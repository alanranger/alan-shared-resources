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omments/comment1.xml" ContentType="application/vnd.openxmlformats-officedocument.spreadsheetml.comments+xml"/>
  <Override PartName="/xl/worksheets/sheet3.xml" ContentType="application/vnd.openxmlformats-officedocument.spreadsheetml.worksheet+xml"/>
  <Override PartName="/xl/comments/comment2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3.xml" ContentType="application/vnd.openxmlformats-officedocument.spreadsheetml.comments+xml"/>
  <Override PartName="/xl/worksheets/sheet7.xml" ContentType="application/vnd.openxmlformats-officedocument.spreadsheetml.worksheet+xml"/>
  <Override PartName="/xl/comments/comment4.xml" ContentType="application/vnd.openxmlformats-officedocument.spreadsheetml.comments+xml"/>
  <Override PartName="/xl/worksheets/sheet8.xml" ContentType="application/vnd.openxmlformats-officedocument.spreadsheetml.worksheet+xml"/>
  <Override PartName="/xl/comments/comment5.xml" ContentType="application/vnd.openxmlformats-officedocument.spreadsheetml.comments+xml"/>
  <Override PartName="/xl/worksheets/sheet9.xml" ContentType="application/vnd.openxmlformats-officedocument.spreadsheetml.worksheet+xml"/>
  <Override PartName="/xl/comments/comment6.xml" ContentType="application/vnd.openxmlformats-officedocument.spreadsheetml.comments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drawings/drawing1.xml" ContentType="application/vnd.openxmlformats-officedocument.drawing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5.xml" ContentType="application/vnd.openxmlformats-officedocument.spreadsheetml.pivotTable+xml"/>
  <Override PartName="/xl/pivotCache/pivotCacheRecords3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comments/comment7.xml" ContentType="application/vnd.openxmlformats-officedocument.spreadsheetml.comments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pivotCache/pivotCacheRecords4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omments/comment8.xml" ContentType="application/vnd.openxmlformats-officedocument.spreadsheetml.comments+xml"/>
  <Override PartName="/xl/worksheets/sheet32.xml" ContentType="application/vnd.openxmlformats-officedocument.spreadsheetml.worksheet+xml"/>
  <Override PartName="/xl/comments/comment9.xml" ContentType="application/vnd.openxmlformats-officedocument.spreadsheetml.comments+xml"/>
  <Override PartName="/xl/worksheets/sheet33.xml" ContentType="application/vnd.openxmlformats-officedocument.spreadsheetml.worksheet+xml"/>
  <Override PartName="/xl/comments/comment10.xml" ContentType="application/vnd.openxmlformats-officedocument.spreadsheetml.comments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comments/comment11.xml" ContentType="application/vnd.openxmlformats-officedocument.spreadsheetml.comments+xml"/>
  <Override PartName="/xl/worksheets/sheet36.xml" ContentType="application/vnd.openxmlformats-officedocument.spreadsheetml.worksheet+xml"/>
  <Override PartName="/xl/pivotCache/pivotCacheRecords5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worksheets/sheet37.xml" ContentType="application/vnd.openxmlformats-officedocument.spreadsheetml.worksheet+xml"/>
  <Override PartName="/xl/comments/comment12.xml" ContentType="application/vnd.openxmlformats-officedocument.spreadsheetml.comments+xml"/>
  <Override PartName="/xl/worksheets/sheet38.xml" ContentType="application/vnd.openxmlformats-officedocument.spreadsheetml.worksheet+xml"/>
  <Override PartName="/xl/comments/comment13.xml" ContentType="application/vnd.openxmlformats-officedocument.spreadsheetml.comments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98" yWindow="-98" windowWidth="38596" windowHeight="21075" tabRatio="972" firstSheet="0" activeTab="5" autoFilterDateGrouping="1"/>
  </bookViews>
  <sheets>
    <sheet xmlns:r="http://schemas.openxmlformats.org/officeDocument/2006/relationships" name="Calendar Ruby " sheetId="1" state="visible" r:id="rId1"/>
    <sheet xmlns:r="http://schemas.openxmlformats.org/officeDocument/2006/relationships" name="Calendar 2018" sheetId="2" state="hidden" r:id="rId2"/>
    <sheet xmlns:r="http://schemas.openxmlformats.org/officeDocument/2006/relationships" name="Calendar 2019" sheetId="3" state="hidden" r:id="rId3"/>
    <sheet xmlns:r="http://schemas.openxmlformats.org/officeDocument/2006/relationships" name="Ireland" sheetId="4" state="visible" r:id="rId4"/>
    <sheet xmlns:r="http://schemas.openxmlformats.org/officeDocument/2006/relationships" name="Boot Camp" sheetId="5" state="visible" r:id="rId5"/>
    <sheet xmlns:r="http://schemas.openxmlformats.org/officeDocument/2006/relationships" name="Sales 2026" sheetId="6" state="visible" r:id="rId6"/>
    <sheet xmlns:r="http://schemas.openxmlformats.org/officeDocument/2006/relationships" name="Sales 2025" sheetId="7" state="visible" r:id="rId7"/>
    <sheet xmlns:r="http://schemas.openxmlformats.org/officeDocument/2006/relationships" name="Sales 2024" sheetId="8" state="visible" r:id="rId8"/>
    <sheet xmlns:r="http://schemas.openxmlformats.org/officeDocument/2006/relationships" name="Sales 2023" sheetId="9" state="hidden" r:id="rId9"/>
    <sheet xmlns:r="http://schemas.openxmlformats.org/officeDocument/2006/relationships" name="Sales 2022" sheetId="10" state="hidden" r:id="rId10"/>
    <sheet xmlns:r="http://schemas.openxmlformats.org/officeDocument/2006/relationships" name="Sales 2021" sheetId="11" state="hidden" r:id="rId11"/>
    <sheet xmlns:r="http://schemas.openxmlformats.org/officeDocument/2006/relationships" name="Sales 2020" sheetId="12" state="hidden" r:id="rId12"/>
    <sheet xmlns:r="http://schemas.openxmlformats.org/officeDocument/2006/relationships" name="Sales 2019" sheetId="13" state="hidden" r:id="rId13"/>
    <sheet xmlns:r="http://schemas.openxmlformats.org/officeDocument/2006/relationships" name="2018 Pivots" sheetId="14" state="hidden" r:id="rId14"/>
    <sheet xmlns:r="http://schemas.openxmlformats.org/officeDocument/2006/relationships" name="Sales 2018" sheetId="15" state="hidden" r:id="rId15"/>
    <sheet xmlns:r="http://schemas.openxmlformats.org/officeDocument/2006/relationships" name="2017 Pivots" sheetId="16" state="hidden" r:id="rId16"/>
    <sheet xmlns:r="http://schemas.openxmlformats.org/officeDocument/2006/relationships" name="Sales 2017" sheetId="17" state="hidden" r:id="rId17"/>
    <sheet xmlns:r="http://schemas.openxmlformats.org/officeDocument/2006/relationships" name="Jo" sheetId="18" state="visible" r:id="rId18"/>
    <sheet xmlns:r="http://schemas.openxmlformats.org/officeDocument/2006/relationships" name="Ruby" sheetId="19" state="visible" r:id="rId19"/>
    <sheet xmlns:r="http://schemas.openxmlformats.org/officeDocument/2006/relationships" name="Inc-Exp" sheetId="20" state="visible" r:id="rId20"/>
    <sheet xmlns:r="http://schemas.openxmlformats.org/officeDocument/2006/relationships" name="Profitability" sheetId="21" state="visible" r:id="rId21"/>
    <sheet xmlns:r="http://schemas.openxmlformats.org/officeDocument/2006/relationships" name="Payments" sheetId="22" state="visible" r:id="rId22"/>
    <sheet xmlns:r="http://schemas.openxmlformats.org/officeDocument/2006/relationships" name="Commercial" sheetId="23" state="visible" r:id="rId23"/>
    <sheet xmlns:r="http://schemas.openxmlformats.org/officeDocument/2006/relationships" name="Workshop Costs" sheetId="24" state="visible" r:id="rId24"/>
    <sheet xmlns:r="http://schemas.openxmlformats.org/officeDocument/2006/relationships" name="xmas list" sheetId="25" state="visible" r:id="rId25"/>
    <sheet xmlns:r="http://schemas.openxmlformats.org/officeDocument/2006/relationships" name="Mentoring " sheetId="26" state="visible" r:id="rId26"/>
    <sheet xmlns:r="http://schemas.openxmlformats.org/officeDocument/2006/relationships" name="Gift Vouchers" sheetId="27" state="visible" r:id="rId27"/>
    <sheet xmlns:r="http://schemas.openxmlformats.org/officeDocument/2006/relationships" name="Poppies" sheetId="28" state="visible" r:id="rId28"/>
    <sheet xmlns:r="http://schemas.openxmlformats.org/officeDocument/2006/relationships" name="workshop pivot" sheetId="29" state="visible" r:id="rId29"/>
    <sheet xmlns:r="http://schemas.openxmlformats.org/officeDocument/2006/relationships" name="1-2-1's" sheetId="30" state="visible" r:id="rId30"/>
    <sheet xmlns:r="http://schemas.openxmlformats.org/officeDocument/2006/relationships" name="Courses-Classes" sheetId="31" state="visible" r:id="rId31"/>
    <sheet xmlns:r="http://schemas.openxmlformats.org/officeDocument/2006/relationships" name="Workshops" sheetId="32" state="visible" r:id="rId32"/>
    <sheet xmlns:r="http://schemas.openxmlformats.org/officeDocument/2006/relationships" name="JLR Bookings" sheetId="33" state="visible" r:id="rId33"/>
    <sheet xmlns:r="http://schemas.openxmlformats.org/officeDocument/2006/relationships" name="Attendance JLR" sheetId="34" state="visible" r:id="rId34"/>
    <sheet xmlns:r="http://schemas.openxmlformats.org/officeDocument/2006/relationships" name="Bluebells" sheetId="35" state="visible" r:id="rId35"/>
    <sheet xmlns:r="http://schemas.openxmlformats.org/officeDocument/2006/relationships" name="course pivot" sheetId="36" state="visible" r:id="rId36"/>
    <sheet xmlns:r="http://schemas.openxmlformats.org/officeDocument/2006/relationships" name="RPS Course" sheetId="37" state="visible" r:id="rId37"/>
    <sheet xmlns:r="http://schemas.openxmlformats.org/officeDocument/2006/relationships" name="Master Classes" sheetId="38" state="visible" r:id="rId38"/>
    <sheet xmlns:r="http://schemas.openxmlformats.org/officeDocument/2006/relationships" name="Intentions Nov 2018" sheetId="39" state="visible" r:id="rId39"/>
    <sheet xmlns:r="http://schemas.openxmlformats.org/officeDocument/2006/relationships" name="Intentions Feb 2018" sheetId="40" state="visible" r:id="rId40"/>
    <sheet xmlns:r="http://schemas.openxmlformats.org/officeDocument/2006/relationships" name="ProductMap" sheetId="41" state="visible" r:id="rId41"/>
    <sheet xmlns:r="http://schemas.openxmlformats.org/officeDocument/2006/relationships" name="ProductList" sheetId="42" state="visible" r:id="rId42"/>
  </sheets>
  <definedNames>
    <definedName name="_12._Academy">'Sales 2025'!$C$395</definedName>
    <definedName name="_2_Day_Location_Workshop__inc">#REF!</definedName>
    <definedName name="_xleta.N" hidden="1" xlm="1">#NAME?</definedName>
    <definedName name="_xleta.SUM" hidden="1" xlm="1">#NAME?</definedName>
    <definedName name="_xleta.T" hidden="1" xlm="1">#NAME?</definedName>
    <definedName name="options">#REF!</definedName>
    <definedName name="tuition">#REF!</definedName>
    <definedName name="tuitionoptions">#REF!</definedName>
    <definedName name="_2_Day_Location_Workshop__inc" localSheetId="0">#REF!</definedName>
    <definedName name="options" localSheetId="0">#REF!</definedName>
    <definedName name="tuition" localSheetId="0">#REF!</definedName>
    <definedName name="tuitionoptions" localSheetId="0">#REF!</definedName>
    <definedName name="_2_Day_Location_Workshop__inc" localSheetId="1">#REF!</definedName>
    <definedName name="options" localSheetId="1">#REF!</definedName>
    <definedName name="tuition" localSheetId="1">#REF!</definedName>
    <definedName name="tuitionoptions" localSheetId="1">#REF!</definedName>
    <definedName name="_xlnm.Print_Titles" localSheetId="1">'Calendar 2018'!$3:$3</definedName>
    <definedName name="_2_Day_Location_Workshop__inc" localSheetId="2">#REF!</definedName>
    <definedName name="options" localSheetId="2">#REF!</definedName>
    <definedName name="tuition" localSheetId="2">#REF!</definedName>
    <definedName name="tuitionoptions" localSheetId="2">#REF!</definedName>
    <definedName name="_12._Academy" localSheetId="5">'Sales 2026'!#REF!</definedName>
    <definedName name="_2_Day_Location_Workshop__inc" localSheetId="5">#REF!</definedName>
    <definedName name="options" localSheetId="5">#REF!</definedName>
    <definedName name="tuition" localSheetId="5">#REF!</definedName>
    <definedName name="tuitionoptions" localSheetId="5">#REF!</definedName>
    <definedName name="_2_Day_Location_Workshop__inc" localSheetId="6">#REF!</definedName>
    <definedName name="options" localSheetId="6">#REF!</definedName>
    <definedName name="tuition" localSheetId="6">#REF!</definedName>
    <definedName name="tuitionoptions" localSheetId="6">#REF!</definedName>
    <definedName name="_2_Day_Location_Workshop__inc" localSheetId="7">#REF!</definedName>
    <definedName name="options" localSheetId="7">#REF!</definedName>
    <definedName name="tuition" localSheetId="7">#REF!</definedName>
    <definedName name="tuitionoptions" localSheetId="7">#REF!</definedName>
    <definedName name="_2_Day_Location_Workshop__inc" localSheetId="8">#REF!</definedName>
    <definedName name="options" localSheetId="8">#REF!</definedName>
    <definedName name="tuition" localSheetId="8">#REF!</definedName>
    <definedName name="tuitionoptions" localSheetId="8">#REF!</definedName>
    <definedName name="_2_Day_Location_Workshop__inc" localSheetId="9">#REF!</definedName>
    <definedName name="options" localSheetId="9">#REF!</definedName>
    <definedName name="tuition" localSheetId="9">#REF!</definedName>
    <definedName name="tuitionoptions" localSheetId="9">#REF!</definedName>
    <definedName name="_2_Day_Location_Workshop__inc" localSheetId="10">#REF!</definedName>
    <definedName name="options" localSheetId="10">#REF!</definedName>
    <definedName name="tuition" localSheetId="10">#REF!</definedName>
    <definedName name="tuitionoptions" localSheetId="10">#REF!</definedName>
    <definedName name="_2_Day_Location_Workshop__inc" localSheetId="11">#REF!</definedName>
    <definedName name="options" localSheetId="11">#REF!</definedName>
    <definedName name="tuition" localSheetId="11">#REF!</definedName>
    <definedName name="tuitionoptions" localSheetId="11">#REF!</definedName>
    <definedName name="_2_Day_Location_Workshop__inc" localSheetId="12">#REF!</definedName>
    <definedName name="options" localSheetId="12">#REF!</definedName>
    <definedName name="tuition" localSheetId="12">#REF!</definedName>
    <definedName name="tuitionoptions" localSheetId="12">#REF!</definedName>
    <definedName name="_2_Day_Location_Workshop__inc" localSheetId="13">#REF!</definedName>
    <definedName name="options" localSheetId="13">#REF!</definedName>
    <definedName name="tuition" localSheetId="13">#REF!</definedName>
    <definedName name="tuitionoptions" localSheetId="13">#REF!</definedName>
    <definedName name="_2_Day_Location_Workshop__inc" localSheetId="14">#REF!</definedName>
    <definedName name="options" localSheetId="14">#REF!</definedName>
    <definedName name="tuition" localSheetId="14">#REF!</definedName>
    <definedName name="tuitionoptions" localSheetId="14">#REF!</definedName>
    <definedName name="_2_Day_Location_Workshop__inc" localSheetId="20">#REF!</definedName>
    <definedName name="options" localSheetId="20">#REF!</definedName>
    <definedName name="tuition" localSheetId="20">#REF!</definedName>
    <definedName name="tuitionoptions" localSheetId="20">#REF!</definedName>
    <definedName name="_2_Day_Location_Workshop__inc" localSheetId="26">#REF!</definedName>
    <definedName name="options" localSheetId="26">#REF!</definedName>
    <definedName name="tuition" localSheetId="26">#REF!</definedName>
    <definedName name="tuitionoptions" localSheetId="26">#REF!</definedName>
    <definedName name="_xlnm._FilterDatabase" localSheetId="26" hidden="1">'Gift Vouchers'!$B$2:$X$192</definedName>
    <definedName name="_2_Day_Location_Workshop__inc" localSheetId="30">#REF!</definedName>
    <definedName name="options" localSheetId="30">#REF!</definedName>
    <definedName name="tuition" localSheetId="30">#REF!</definedName>
    <definedName name="tuitionoptions" localSheetId="30">#REF!</definedName>
    <definedName name="_xlnm._FilterDatabase" localSheetId="30" hidden="1">'Courses-Classes'!$C$2:$S$139</definedName>
    <definedName name="_xlnm._FilterDatabase" localSheetId="31" hidden="1">'Workshops'!$B$2:$S$566</definedName>
    <definedName name="_2_Day_Location_Workshop__inc" localSheetId="36">#REF!</definedName>
    <definedName name="options" localSheetId="36">#REF!</definedName>
    <definedName name="tuition" localSheetId="36">#REF!</definedName>
    <definedName name="tuitionoptions" localSheetId="36">#REF!</definedName>
    <definedName name="_2_Day_Location_Workshop__inc" localSheetId="37">#REF!</definedName>
    <definedName name="options" localSheetId="37">#REF!</definedName>
    <definedName name="tuition" localSheetId="37">#REF!</definedName>
    <definedName name="tuitionoptions" localSheetId="37">#REF!</definedName>
    <definedName name="_xlnm._FilterDatabase" localSheetId="37" hidden="1">'Master Classes'!$A$2:$V$116</definedName>
    <definedName name="_2_Day_Location_Workshop__inc" localSheetId="38">#REF!</definedName>
    <definedName name="options" localSheetId="38">#REF!</definedName>
    <definedName name="tuition" localSheetId="38">#REF!</definedName>
    <definedName name="tuitionoptions" localSheetId="38">#REF!</definedName>
    <definedName name="_2_Day_Location_Workshop__inc" localSheetId="39">#REF!</definedName>
    <definedName name="options" localSheetId="39">#REF!</definedName>
    <definedName name="tuition" localSheetId="39">#REF!</definedName>
    <definedName name="tuitionoptions" localSheetId="39">#REF!</definedName>
  </definedNames>
  <calcPr calcId="191029" fullCalcOnLoad="1"/>
  <pivotCaches>
    <pivotCache xmlns:r="http://schemas.openxmlformats.org/officeDocument/2006/relationships" cacheId="2" r:id="rId43"/>
    <pivotCache xmlns:r="http://schemas.openxmlformats.org/officeDocument/2006/relationships" cacheId="1" r:id="rId44"/>
    <pivotCache xmlns:r="http://schemas.openxmlformats.org/officeDocument/2006/relationships" cacheId="0" r:id="rId45"/>
    <pivotCache xmlns:r="http://schemas.openxmlformats.org/officeDocument/2006/relationships" cacheId="3" r:id="rId46"/>
    <pivotCache xmlns:r="http://schemas.openxmlformats.org/officeDocument/2006/relationships" cacheId="4" r:id="rId47"/>
  </pivotCaches>
</workbook>
</file>

<file path=xl/styles.xml><?xml version="1.0" encoding="utf-8"?>
<styleSheet xmlns="http://schemas.openxmlformats.org/spreadsheetml/2006/main">
  <numFmts count="27">
    <numFmt numFmtId="164" formatCode="_-[$£-809]* #,##0.00_-;\-[$£-809]* #,##0.00_-;_-[$£-809]* &quot;-&quot;??_-;_-@_-"/>
    <numFmt numFmtId="165" formatCode="_-&quot;£&quot;* #,##0.00_-;\-&quot;£&quot;* #,##0.00_-;_-&quot;£&quot;* &quot;-&quot;??_-;_-@_-"/>
    <numFmt numFmtId="166" formatCode="_-* #,##0_-;\-* #,##0_-;_-* &quot;-&quot;??_-;_-@_-"/>
    <numFmt numFmtId="167" formatCode="d\-mmm\-yy"/>
    <numFmt numFmtId="168" formatCode="_-* #,##0.00_-;\-* #,##0.00_-;_-* &quot;-&quot;??_-;_-@_-"/>
    <numFmt numFmtId="169" formatCode="_-* #,##0.0_-;\-* #,##0.0_-;_-* &quot;-&quot;??_-;_-@_-"/>
    <numFmt numFmtId="170" formatCode="dd\-mmm\-ddd"/>
    <numFmt numFmtId="171" formatCode="[$-F800]dddd\,\ mmmm\ dd\,\ yyyy"/>
    <numFmt numFmtId="172" formatCode="d\-mmm"/>
    <numFmt numFmtId="173" formatCode="ddd\-dd\-mmm\-yy"/>
    <numFmt numFmtId="174" formatCode="m\-d"/>
    <numFmt numFmtId="175" formatCode="_-[$£-809]* #,##0_-;\-[$£-809]* #,##0_-;_-[$£-809]* &quot;-&quot;??_-;_-@_-"/>
    <numFmt numFmtId="176" formatCode="ddd\,\ mmmm\ dd\,\ yyyy"/>
    <numFmt numFmtId="177" formatCode="ddd\,\ mmm\ dd"/>
    <numFmt numFmtId="178" formatCode="mm\-yy"/>
    <numFmt numFmtId="179" formatCode="dd/mmm"/>
    <numFmt numFmtId="180" formatCode="ddd\-dd"/>
    <numFmt numFmtId="181" formatCode="_-* #,##0.000_-;\-* #,##0.000_-;_-* &quot;-&quot;??_-;_-@_-"/>
    <numFmt numFmtId="182" formatCode="0.0"/>
    <numFmt numFmtId="183" formatCode="0.000"/>
    <numFmt numFmtId="184" formatCode="0.0%"/>
    <numFmt numFmtId="185" formatCode="_-&quot;£&quot;* #,##0_-;\-&quot;£&quot;* #,##0_-;_-&quot;£&quot;* &quot;-&quot;??_-;_-@_-"/>
    <numFmt numFmtId="186" formatCode="mmm"/>
    <numFmt numFmtId="187" formatCode="_-[$£-809]* #,##0.0_-;\-[$£-809]* #,##0.0_-;_-[$£-809]* &quot;-&quot;??_-;_-@_-"/>
    <numFmt numFmtId="188" formatCode="[$-F400]h:mm:ss\ AM/PM"/>
    <numFmt numFmtId="189" formatCode="dd/mm/yyyy\ \-\ ddd"/>
    <numFmt numFmtId="190" formatCode="dd\-mmm\-yyyy"/>
  </numFmts>
  <fonts count="171">
    <font>
      <name val="Arial"/>
      <sz val="10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Arial"/>
      <family val="2"/>
      <sz val="10"/>
    </font>
    <font>
      <name val="Tahoma"/>
      <family val="2"/>
      <b val="1"/>
      <color indexed="81"/>
      <sz val="9"/>
    </font>
    <font>
      <name val="Arial"/>
      <family val="2"/>
      <color theme="10"/>
      <sz val="10"/>
      <u val="single"/>
    </font>
    <font>
      <name val="Arial"/>
      <family val="2"/>
      <sz val="10"/>
    </font>
    <font>
      <name val="Arial"/>
      <family val="2"/>
      <sz val="10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BrownLight"/>
      <sz val="10"/>
    </font>
    <font>
      <name val="BrownLight"/>
      <b val="1"/>
      <sz val="10"/>
    </font>
    <font>
      <name val="BrownLight"/>
      <b val="1"/>
      <sz val="11"/>
    </font>
    <font>
      <name val="BrownLight"/>
      <sz val="11"/>
    </font>
    <font>
      <name val="BrownLight"/>
      <color indexed="53"/>
      <sz val="11"/>
    </font>
    <font>
      <name val="BrownLight"/>
      <color theme="10"/>
      <sz val="11"/>
      <u val="single"/>
    </font>
    <font>
      <name val="BrownLight"/>
      <color rgb="FFFF0000"/>
      <sz val="11"/>
    </font>
    <font>
      <name val="BrownLight"/>
      <color theme="1"/>
      <sz val="11"/>
    </font>
    <font>
      <name val="BrownLight"/>
      <color theme="1"/>
      <sz val="10"/>
    </font>
    <font>
      <name val="BrownLight"/>
      <sz val="12"/>
    </font>
    <font>
      <name val="BrownLight"/>
      <b val="1"/>
      <sz val="12"/>
    </font>
    <font>
      <name val="BrownLight"/>
      <color theme="1"/>
      <sz val="12"/>
    </font>
    <font>
      <name val="BrownLight"/>
      <i val="1"/>
      <color indexed="55"/>
      <sz val="9"/>
    </font>
    <font>
      <name val="BrownLight"/>
      <color theme="10"/>
      <sz val="10"/>
      <u val="single"/>
    </font>
    <font>
      <name val="BrownLight"/>
      <color indexed="12"/>
      <sz val="10"/>
      <u val="single"/>
    </font>
    <font>
      <name val="BrownLight"/>
      <color rgb="FFFF0000"/>
      <sz val="10"/>
    </font>
    <font>
      <name val="BrownLight"/>
      <color rgb="FFFF0000"/>
      <sz val="12"/>
    </font>
    <font>
      <name val="BrownLight"/>
      <color theme="10"/>
      <sz val="12"/>
      <u val="single"/>
    </font>
    <font>
      <name val="BrownLight"/>
      <b val="1"/>
      <color theme="1"/>
      <sz val="12"/>
    </font>
    <font>
      <name val="BrownLight"/>
      <b val="1"/>
      <color rgb="FF7030A0"/>
      <sz val="10"/>
    </font>
    <font>
      <name val="BrownLight"/>
      <i val="1"/>
      <color indexed="55"/>
      <sz val="10"/>
      <u val="single"/>
    </font>
    <font>
      <name val="BrownLight"/>
      <i val="1"/>
      <color indexed="55"/>
      <sz val="11"/>
    </font>
    <font>
      <name val="BrownLight"/>
      <i val="1"/>
      <color indexed="55"/>
      <sz val="11"/>
      <u val="single"/>
    </font>
    <font>
      <name val="Arial"/>
      <family val="2"/>
      <sz val="10"/>
    </font>
    <font>
      <name val="BrownLight"/>
      <b val="1"/>
      <color rgb="FFFF0000"/>
      <sz val="11"/>
    </font>
    <font>
      <name val="BrownLight"/>
      <color rgb="FF333333"/>
      <sz val="11"/>
    </font>
    <font>
      <name val="Arial"/>
      <family val="2"/>
      <color theme="1"/>
      <sz val="10"/>
    </font>
    <font>
      <name val="Arial"/>
      <family val="2"/>
      <b val="1"/>
      <sz val="10"/>
    </font>
    <font>
      <name val="BrownLight"/>
      <b val="1"/>
      <i val="1"/>
      <color theme="1"/>
      <sz val="9"/>
    </font>
    <font>
      <name val="Calibri"/>
      <family val="2"/>
      <sz val="11"/>
    </font>
    <font>
      <name val="Times New Roman"/>
      <family val="1"/>
      <sz val="12"/>
    </font>
    <font>
      <name val="Arial"/>
      <family val="2"/>
      <b val="1"/>
      <color theme="1"/>
      <sz val="10"/>
    </font>
    <font>
      <name val="BrownLight"/>
      <b val="1"/>
      <color theme="1"/>
      <sz val="11"/>
    </font>
    <font>
      <name val="Cambria"/>
      <family val="1"/>
      <strike val="1"/>
      <color theme="1"/>
      <sz val="12"/>
    </font>
    <font>
      <name val="Cambria"/>
      <family val="1"/>
      <strike val="1"/>
      <sz val="12"/>
    </font>
    <font>
      <name val="Cambria"/>
      <family val="1"/>
      <strike val="1"/>
      <color theme="10"/>
      <sz val="10"/>
      <u val="single"/>
    </font>
    <font>
      <name val="BrownLight"/>
      <color indexed="53"/>
      <sz val="22"/>
    </font>
    <font>
      <name val="Arial"/>
      <family val="2"/>
      <color rgb="FF3E3E3E"/>
      <sz val="8.5"/>
    </font>
    <font>
      <name val="Tahoma"/>
      <family val="2"/>
      <color indexed="81"/>
      <sz val="9"/>
    </font>
    <font>
      <name val="BrownLight"/>
      <strike val="1"/>
      <color theme="1"/>
      <sz val="12"/>
    </font>
    <font>
      <name val="BrownLight"/>
      <strike val="1"/>
      <sz val="12"/>
    </font>
    <font>
      <name val="Arial"/>
      <family val="2"/>
      <b val="1"/>
      <color rgb="FFFF0000"/>
      <sz val="10"/>
    </font>
    <font>
      <name val="Arial"/>
      <family val="2"/>
      <sz val="10"/>
    </font>
    <font>
      <name val="Arial"/>
      <family val="2"/>
      <b val="1"/>
      <sz val="10"/>
    </font>
    <font>
      <name val="Arial"/>
      <family val="2"/>
      <color rgb="FFFF0000"/>
      <sz val="10"/>
    </font>
    <font>
      <name val="Arial"/>
      <family val="2"/>
      <color theme="10"/>
      <sz val="10"/>
      <u val="single"/>
    </font>
    <font>
      <name val="BrownLight"/>
      <color theme="10"/>
      <sz val="11"/>
      <u val="single"/>
    </font>
    <font>
      <name val="BrownLight"/>
      <sz val="10"/>
    </font>
    <font>
      <name val="BrownLight"/>
      <color rgb="FFFF0000"/>
      <sz val="10"/>
    </font>
    <font>
      <name val="Arial"/>
      <family val="2"/>
      <color theme="1"/>
      <sz val="10"/>
    </font>
    <font>
      <name val="Arial"/>
      <family val="2"/>
      <strike val="1"/>
      <color theme="1"/>
      <sz val="10"/>
    </font>
    <font>
      <name val="BrownLight"/>
      <sz val="11"/>
    </font>
    <font>
      <name val="BrownLight"/>
      <color theme="1"/>
      <sz val="12"/>
    </font>
    <font>
      <name val="Arial"/>
      <family val="2"/>
      <color rgb="FF000000"/>
      <sz val="10"/>
    </font>
    <font>
      <name val="Arial"/>
      <family val="2"/>
      <sz val="10"/>
    </font>
    <font>
      <name val="Arial"/>
      <family val="2"/>
      <b val="1"/>
      <sz val="10"/>
    </font>
    <font>
      <name val="BrownLight"/>
      <sz val="10"/>
    </font>
    <font>
      <name val="BrownLight"/>
      <color indexed="53"/>
      <sz val="24"/>
    </font>
    <font>
      <name val="BrownLight"/>
      <color indexed="53"/>
      <sz val="48"/>
    </font>
    <font>
      <name val="BrownLight"/>
      <b val="1"/>
      <sz val="10"/>
    </font>
    <font>
      <name val="BrownLight"/>
      <i val="1"/>
      <color indexed="55"/>
      <sz val="9"/>
    </font>
    <font>
      <name val="BrownLight"/>
      <i val="1"/>
      <color indexed="55"/>
      <sz val="9"/>
      <u val="single"/>
    </font>
    <font>
      <name val="BrownLight"/>
      <b val="1"/>
      <sz val="12"/>
    </font>
    <font>
      <name val="BrownLight"/>
      <sz val="12"/>
    </font>
    <font>
      <name val="Arial"/>
      <family val="2"/>
      <color theme="10"/>
      <sz val="10"/>
      <u val="single"/>
    </font>
    <font>
      <name val="BrownLight"/>
      <color theme="10"/>
      <sz val="12"/>
      <u val="single"/>
    </font>
    <font>
      <name val="BrownLight"/>
      <sz val="11"/>
    </font>
    <font>
      <name val="Times New Roman"/>
      <family val="1"/>
      <color rgb="FF000000"/>
      <sz val="8.5"/>
    </font>
    <font>
      <name val="BrownLight"/>
      <color theme="1"/>
      <sz val="11"/>
    </font>
    <font>
      <name val="Arial"/>
      <family val="2"/>
      <sz val="10"/>
    </font>
    <font>
      <name val="BrownLight"/>
      <color theme="1"/>
      <sz val="12"/>
    </font>
    <font>
      <name val="Arial"/>
      <family val="2"/>
      <sz val="10"/>
    </font>
    <font>
      <name val="BrownLight"/>
      <sz val="12"/>
    </font>
    <font>
      <name val="Arial"/>
      <family val="2"/>
      <color rgb="FFFF0000"/>
      <sz val="10"/>
      <u val="single"/>
    </font>
    <font>
      <name val="BrownLight"/>
      <sz val="11"/>
    </font>
    <font>
      <name val="BrownLight"/>
      <color indexed="53"/>
      <sz val="11"/>
    </font>
    <font>
      <name val="BrownLight"/>
      <b val="1"/>
      <sz val="11"/>
    </font>
    <font>
      <name val="BrownLight"/>
      <i val="1"/>
      <color indexed="55"/>
      <sz val="12"/>
    </font>
    <font>
      <name val="BrownLight"/>
      <i val="1"/>
      <color indexed="55"/>
      <sz val="12"/>
      <u val="single"/>
    </font>
    <font>
      <name val="BrownLight"/>
      <i val="1"/>
      <color indexed="55"/>
      <sz val="11"/>
    </font>
    <font>
      <name val="BrownLight"/>
      <b val="1"/>
      <sz val="12"/>
    </font>
    <font>
      <name val="BrownLight"/>
      <sz val="12"/>
    </font>
    <font>
      <name val="Arial"/>
      <family val="2"/>
      <color theme="10"/>
      <sz val="12"/>
      <u val="single"/>
    </font>
    <font>
      <name val="BrownLight"/>
      <color rgb="FFFF0000"/>
      <sz val="12"/>
    </font>
    <font>
      <name val="Arial"/>
      <family val="2"/>
      <sz val="10"/>
    </font>
    <font>
      <name val="Arial"/>
      <family val="2"/>
      <color theme="10"/>
      <sz val="10"/>
      <u val="single"/>
    </font>
    <font>
      <name val="Arial"/>
      <family val="2"/>
      <sz val="12"/>
    </font>
    <font>
      <name val="Arial"/>
      <family val="2"/>
      <b val="1"/>
      <sz val="10"/>
    </font>
    <font>
      <name val="Arial"/>
      <family val="2"/>
      <b val="1"/>
      <sz val="8"/>
    </font>
    <font>
      <name val="Arial"/>
      <family val="2"/>
      <sz val="10"/>
    </font>
    <font>
      <name val="BrownLight"/>
      <color rgb="FF9900CC"/>
      <sz val="11"/>
    </font>
    <font>
      <name val="Arial"/>
      <family val="2"/>
      <color rgb="FF7030A0"/>
      <sz val="10"/>
    </font>
    <font>
      <name val="Arial"/>
      <family val="2"/>
      <color rgb="FF9900CC"/>
      <sz val="10"/>
    </font>
    <font>
      <name val="Arial"/>
      <family val="2"/>
      <color theme="1"/>
      <sz val="10"/>
    </font>
    <font>
      <name val="Arial"/>
      <family val="2"/>
      <b val="1"/>
      <sz val="9"/>
    </font>
    <font>
      <name val="BrownLight"/>
      <b val="1"/>
      <color rgb="FF00B050"/>
      <sz val="12"/>
    </font>
    <font>
      <name val="BrownLight"/>
      <b val="1"/>
      <color rgb="FF00B050"/>
      <sz val="11"/>
    </font>
    <font>
      <name val="Arial"/>
      <family val="2"/>
      <b val="1"/>
      <color rgb="FF00B050"/>
      <sz val="10"/>
    </font>
    <font>
      <name val="BrownLight"/>
      <b val="1"/>
      <color rgb="FF9900CC"/>
      <sz val="12"/>
    </font>
    <font>
      <name val="BrownLight"/>
      <b val="1"/>
      <color rgb="FF7030A0"/>
      <sz val="11"/>
    </font>
    <font>
      <name val="BrownLight"/>
      <b val="1"/>
      <color rgb="FF00B0F0"/>
      <sz val="12"/>
    </font>
    <font>
      <name val="BrownLight"/>
      <b val="1"/>
      <color rgb="FF00B0F0"/>
      <sz val="11"/>
    </font>
    <font>
      <name val="Arial"/>
      <family val="2"/>
      <color rgb="FF00B050"/>
      <sz val="10"/>
    </font>
    <font>
      <name val="BrownLight"/>
      <color rgb="FF00B050"/>
      <sz val="11"/>
    </font>
    <font>
      <name val="Arial"/>
      <family val="2"/>
      <b val="1"/>
      <color rgb="FF7030A0"/>
      <sz val="10"/>
    </font>
    <font>
      <name val="Arial"/>
      <family val="2"/>
      <b val="1"/>
      <color rgb="FF000000"/>
      <sz val="10"/>
    </font>
    <font>
      <name val="BrownLight"/>
      <color theme="1"/>
      <sz val="11"/>
    </font>
    <font>
      <name val="BrownLight"/>
      <sz val="11"/>
    </font>
    <font>
      <name val="BrownLight"/>
      <b val="1"/>
      <sz val="11"/>
    </font>
    <font>
      <name val="BrownLight"/>
      <sz val="12"/>
    </font>
    <font>
      <name val="BrownLight"/>
      <b val="1"/>
      <sz val="12"/>
    </font>
    <font>
      <name val="BrownLight"/>
      <color theme="10"/>
      <sz val="12"/>
      <u val="single"/>
    </font>
    <font>
      <name val="BrownLight"/>
      <color rgb="FFFF0000"/>
      <sz val="12"/>
    </font>
    <font>
      <name val="Arial"/>
      <family val="2"/>
      <color theme="10"/>
      <sz val="10"/>
      <u val="single"/>
    </font>
    <font>
      <name val="BrownLight"/>
      <color theme="1"/>
      <sz val="12"/>
    </font>
    <font>
      <name val="Arial"/>
      <family val="2"/>
      <b val="1"/>
      <color theme="1"/>
      <sz val="11"/>
    </font>
    <font>
      <name val="Arial"/>
      <family val="2"/>
      <sz val="10"/>
    </font>
    <font>
      <name val="Arial"/>
      <family val="2"/>
      <sz val="8"/>
    </font>
    <font>
      <name val="BrownLight"/>
      <color indexed="53"/>
      <sz val="20"/>
    </font>
    <font>
      <name val="BrownLight"/>
      <b val="1"/>
      <sz val="20"/>
    </font>
    <font>
      <name val="Arial"/>
      <family val="2"/>
      <color theme="1"/>
      <sz val="10"/>
      <u val="single"/>
    </font>
    <font>
      <name val="BrownLight"/>
      <color rgb="FF22AA63"/>
      <sz val="11"/>
    </font>
    <font>
      <name val="Arial"/>
      <family val="2"/>
      <color rgb="FF22AA63"/>
      <sz val="10"/>
    </font>
    <font>
      <name val="BrownLight"/>
      <b val="1"/>
      <color rgb="FF9900CC"/>
      <sz val="11"/>
    </font>
    <font>
      <name val="Arial"/>
      <family val="2"/>
      <b val="1"/>
      <sz val="12"/>
    </font>
    <font>
      <name val="Arial"/>
      <family val="2"/>
      <b val="1"/>
      <sz val="14"/>
    </font>
    <font>
      <name val="Arial"/>
      <family val="2"/>
      <b val="1"/>
      <i val="1"/>
      <sz val="10"/>
    </font>
    <font>
      <name val="Arial"/>
      <family val="2"/>
      <i val="1"/>
      <color theme="1"/>
      <sz val="10"/>
    </font>
    <font>
      <name val="BrownLight"/>
      <color rgb="FF22AA63"/>
      <sz val="12"/>
    </font>
    <font>
      <name val="Arial"/>
      <family val="2"/>
      <color rgb="FF9C0006"/>
      <sz val="10"/>
    </font>
    <font>
      <name val="BrownLight"/>
      <color rgb="FF000000"/>
      <sz val="12"/>
    </font>
    <font>
      <name val="Calibri"/>
      <family val="2"/>
      <color theme="0"/>
      <sz val="11"/>
      <scheme val="minor"/>
    </font>
    <font>
      <name val="Arial"/>
      <family val="2"/>
      <i val="1"/>
      <sz val="10"/>
    </font>
    <font>
      <name val="Arial"/>
      <family val="2"/>
      <color rgb="FFFF0000"/>
      <sz val="12"/>
      <u val="single"/>
    </font>
    <font>
      <name val="BrownLight"/>
      <b val="1"/>
      <color rgb="FFFF0000"/>
      <sz val="12"/>
    </font>
    <font>
      <name val="BrownLight"/>
      <color rgb="FFFF0000"/>
      <sz val="12"/>
      <u val="single"/>
    </font>
    <font>
      <name val="BrownLight"/>
      <i val="1"/>
      <color rgb="FF9900CC"/>
      <sz val="11"/>
    </font>
    <font>
      <name val="Arial"/>
      <family val="2"/>
      <b val="1"/>
      <sz val="16"/>
    </font>
    <font>
      <name val="Arial"/>
      <family val="2"/>
      <b val="1"/>
      <sz val="11"/>
    </font>
    <font>
      <name val="Arial"/>
      <family val="2"/>
      <sz val="11"/>
    </font>
    <font>
      <name val="Arial"/>
      <family val="2"/>
      <sz val="10"/>
    </font>
    <font>
      <name val="Cambria"/>
      <family val="1"/>
      <strike val="1"/>
      <color rgb="FF9900CC"/>
      <sz val="11"/>
    </font>
    <font>
      <name val="Cambria"/>
      <family val="1"/>
      <strike val="1"/>
      <sz val="10"/>
    </font>
    <font>
      <name val="Cambria"/>
      <family val="1"/>
      <b val="1"/>
      <strike val="1"/>
      <color rgb="FF9900CC"/>
      <sz val="11"/>
    </font>
    <font>
      <name val="Cambria"/>
      <family val="1"/>
      <strike val="1"/>
      <color rgb="FFFF0000"/>
      <sz val="11"/>
    </font>
    <font>
      <name val="Cambria"/>
      <family val="1"/>
      <strike val="1"/>
      <sz val="11"/>
    </font>
    <font>
      <name val="Cambria"/>
      <family val="1"/>
      <strike val="1"/>
      <color rgb="FFFF0000"/>
      <sz val="10"/>
    </font>
    <font>
      <name val="Cambria"/>
      <family val="1"/>
      <b val="1"/>
      <strike val="1"/>
      <color rgb="FFFF0000"/>
      <sz val="11"/>
    </font>
    <font>
      <name val="Arial"/>
      <family val="2"/>
      <b val="1"/>
      <color theme="5" tint="-0.249977111117893"/>
      <sz val="10"/>
    </font>
    <font>
      <name val="Arial"/>
      <family val="2"/>
      <b val="1"/>
      <color rgb="FFFF0000"/>
      <sz val="12"/>
    </font>
    <font>
      <name val="BrownLight"/>
      <color theme="5"/>
      <sz val="12"/>
    </font>
    <font>
      <name val="Calibri"/>
      <family val="2"/>
      <color rgb="FF000000"/>
      <sz val="11"/>
    </font>
    <font>
      <name val="Calibri"/>
      <family val="2"/>
      <b val="1"/>
      <color rgb="FF000000"/>
      <sz val="11"/>
    </font>
    <font>
      <name val="Cambria"/>
      <family val="1"/>
      <sz val="11"/>
    </font>
    <font>
      <name val="Cambria"/>
      <family val="1"/>
      <color theme="1"/>
      <sz val="10"/>
    </font>
    <font>
      <name val="Calibri"/>
      <family val="2"/>
      <color rgb="FFFF0000"/>
      <sz val="11"/>
    </font>
    <font>
      <name val="BrownLight"/>
      <color theme="4"/>
      <sz val="12"/>
    </font>
    <font>
      <name val="BrownLight"/>
      <color rgb="FF92D050"/>
      <sz val="12"/>
    </font>
    <font>
      <name val="Cambria"/>
      <family val="1"/>
      <color rgb="FFFF0000"/>
      <sz val="11"/>
    </font>
    <font>
      <name val="Calibri"/>
      <family val="2"/>
      <color theme="1"/>
      <sz val="11"/>
    </font>
    <font>
      <name val="Cambria"/>
      <family val="1"/>
      <color theme="1"/>
      <sz val="11"/>
    </font>
  </fonts>
  <fills count="48">
    <fill>
      <patternFill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3" tint="0.399975585192419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8080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"/>
        <bgColor indexed="64"/>
      </patternFill>
    </fill>
    <fill>
      <patternFill patternType="solid">
        <fgColor theme="0" tint="-0.3499862666707358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rgb="FF6AF7FA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9F6B5"/>
        <bgColor indexed="64"/>
      </patternFill>
    </fill>
    <fill>
      <patternFill patternType="solid">
        <fgColor theme="6" tint="0.399975585192419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45F197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rgb="FF90E74F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C7CE"/>
        <bgColor rgb="FF000000"/>
      </patternFill>
    </fill>
    <fill>
      <patternFill patternType="solid">
        <fgColor theme="6"/>
      </patternFill>
    </fill>
    <fill>
      <patternFill patternType="solid">
        <fgColor theme="2"/>
        <bgColor indexed="64"/>
      </patternFill>
    </fill>
    <fill>
      <patternFill patternType="solid">
        <fgColor theme="2" tint="-0.09997863704336681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5EF7B"/>
        <bgColor indexed="64"/>
      </patternFill>
    </fill>
  </fills>
  <borders count="46">
    <border>
      <left/>
      <right/>
      <top/>
      <bottom/>
      <diagonal/>
    </border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/>
      <diagonal/>
    </border>
    <border>
      <left style="medium">
        <color indexed="64"/>
      </left>
      <right/>
      <top style="thin">
        <color indexed="55"/>
      </top>
      <bottom style="medium">
        <color indexed="64"/>
      </bottom>
      <diagonal/>
    </border>
    <border>
      <left style="hair">
        <color indexed="22"/>
      </left>
      <right style="hair">
        <color indexed="22"/>
      </right>
      <top style="hair">
        <color indexed="22"/>
      </top>
      <bottom style="hair">
        <color indexed="22"/>
      </bottom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22"/>
      </left>
      <right/>
      <top style="hair">
        <color indexed="22"/>
      </top>
      <bottom style="hair">
        <color indexed="22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"/>
      </left>
      <right style="thin">
        <color theme="0" tint="-0.249946592608417"/>
      </right>
      <top style="thin">
        <color theme="0" tint="-0.249946592608417"/>
      </top>
      <bottom style="thin">
        <color theme="0" tint="-0.249946592608417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91">
    <xf numFmtId="164" fontId="0" fillId="0" borderId="1"/>
    <xf numFmtId="164" fontId="150" fillId="16" borderId="1"/>
    <xf numFmtId="164" fontId="150" fillId="16" borderId="1"/>
    <xf numFmtId="164" fontId="150" fillId="16" borderId="1"/>
    <xf numFmtId="164" fontId="150" fillId="16" borderId="1"/>
    <xf numFmtId="164" fontId="150" fillId="16" borderId="1"/>
    <xf numFmtId="164" fontId="150" fillId="16" borderId="1"/>
    <xf numFmtId="164" fontId="150" fillId="16" borderId="1"/>
    <xf numFmtId="0" fontId="9" fillId="16" borderId="1"/>
    <xf numFmtId="9" fontId="9" fillId="16" borderId="1"/>
    <xf numFmtId="43" fontId="9" fillId="16" borderId="1"/>
    <xf numFmtId="164" fontId="150" fillId="16" borderId="1"/>
    <xf numFmtId="43" fontId="150" fillId="16" borderId="1"/>
    <xf numFmtId="44" fontId="150" fillId="16" borderId="1"/>
    <xf numFmtId="0" fontId="150" fillId="16" borderId="1"/>
    <xf numFmtId="0" fontId="150" fillId="16" borderId="1"/>
    <xf numFmtId="0" fontId="150" fillId="16" borderId="1"/>
    <xf numFmtId="0" fontId="150" fillId="16" borderId="1"/>
    <xf numFmtId="0" fontId="150" fillId="16" borderId="1"/>
    <xf numFmtId="0" fontId="150" fillId="16" borderId="1"/>
    <xf numFmtId="0" fontId="150" fillId="16" borderId="1"/>
    <xf numFmtId="0" fontId="150" fillId="16" borderId="1"/>
    <xf numFmtId="0" fontId="150" fillId="16" borderId="1"/>
    <xf numFmtId="0" fontId="150" fillId="16" borderId="1"/>
    <xf numFmtId="0" fontId="150" fillId="16" borderId="1"/>
    <xf numFmtId="0" fontId="150" fillId="16" borderId="1"/>
    <xf numFmtId="0" fontId="150" fillId="16" borderId="1"/>
    <xf numFmtId="0" fontId="150" fillId="16" borderId="1"/>
    <xf numFmtId="0" fontId="150" fillId="16" borderId="1"/>
    <xf numFmtId="0" fontId="150" fillId="16" borderId="1"/>
    <xf numFmtId="0" fontId="150" fillId="16" borderId="1"/>
    <xf numFmtId="0" fontId="150" fillId="16" borderId="1"/>
    <xf numFmtId="0" fontId="150" fillId="16" borderId="1"/>
    <xf numFmtId="0" fontId="150" fillId="16" borderId="1"/>
    <xf numFmtId="0" fontId="150" fillId="16" borderId="1"/>
    <xf numFmtId="0" fontId="150" fillId="16" borderId="1"/>
    <xf numFmtId="0" fontId="150" fillId="16" borderId="1"/>
    <xf numFmtId="0" fontId="150" fillId="16" borderId="1"/>
    <xf numFmtId="0" fontId="150" fillId="16" borderId="1"/>
    <xf numFmtId="164" fontId="123" fillId="16" borderId="1"/>
    <xf numFmtId="44" fontId="9" fillId="16" borderId="1"/>
    <xf numFmtId="43" fontId="9" fillId="16" borderId="1"/>
    <xf numFmtId="9" fontId="150" fillId="16" borderId="1"/>
    <xf numFmtId="164" fontId="150" fillId="16" borderId="1"/>
    <xf numFmtId="0" fontId="150" fillId="16" borderId="1"/>
    <xf numFmtId="164" fontId="123" fillId="0" borderId="1"/>
    <xf numFmtId="0" fontId="63" fillId="16" borderId="1"/>
    <xf numFmtId="9" fontId="150" fillId="0" borderId="1"/>
    <xf numFmtId="43" fontId="150" fillId="0" borderId="1"/>
    <xf numFmtId="164" fontId="150" fillId="16" borderId="1"/>
    <xf numFmtId="164" fontId="150" fillId="16" borderId="1"/>
    <xf numFmtId="164" fontId="150" fillId="16" borderId="1"/>
    <xf numFmtId="164" fontId="150" fillId="16" borderId="1"/>
    <xf numFmtId="164" fontId="150" fillId="16" borderId="1"/>
    <xf numFmtId="164" fontId="150" fillId="16" borderId="1"/>
    <xf numFmtId="164" fontId="150" fillId="16" borderId="1"/>
    <xf numFmtId="0" fontId="9" fillId="16" borderId="1"/>
    <xf numFmtId="9" fontId="9" fillId="16" borderId="1"/>
    <xf numFmtId="43" fontId="9" fillId="16" borderId="1"/>
    <xf numFmtId="43" fontId="150" fillId="16" borderId="1"/>
    <xf numFmtId="44" fontId="150" fillId="16" borderId="1"/>
    <xf numFmtId="0" fontId="150" fillId="16" borderId="1"/>
    <xf numFmtId="0" fontId="150" fillId="16" borderId="1"/>
    <xf numFmtId="0" fontId="150" fillId="16" borderId="1"/>
    <xf numFmtId="0" fontId="150" fillId="16" borderId="1"/>
    <xf numFmtId="0" fontId="150" fillId="16" borderId="1"/>
    <xf numFmtId="0" fontId="150" fillId="16" borderId="1"/>
    <xf numFmtId="0" fontId="150" fillId="16" borderId="1"/>
    <xf numFmtId="0" fontId="150" fillId="16" borderId="1"/>
    <xf numFmtId="0" fontId="150" fillId="16" borderId="1"/>
    <xf numFmtId="0" fontId="150" fillId="16" borderId="1"/>
    <xf numFmtId="0" fontId="150" fillId="16" borderId="1"/>
    <xf numFmtId="0" fontId="150" fillId="16" borderId="1"/>
    <xf numFmtId="0" fontId="150" fillId="16" borderId="1"/>
    <xf numFmtId="0" fontId="150" fillId="16" borderId="1"/>
    <xf numFmtId="0" fontId="150" fillId="16" borderId="1"/>
    <xf numFmtId="0" fontId="150" fillId="16" borderId="1"/>
    <xf numFmtId="0" fontId="150" fillId="16" borderId="1"/>
    <xf numFmtId="0" fontId="150" fillId="16" borderId="1"/>
    <xf numFmtId="0" fontId="150" fillId="16" borderId="1"/>
    <xf numFmtId="0" fontId="150" fillId="16" borderId="1"/>
    <xf numFmtId="0" fontId="150" fillId="16" borderId="1"/>
    <xf numFmtId="0" fontId="150" fillId="16" borderId="1"/>
    <xf numFmtId="0" fontId="150" fillId="16" borderId="1"/>
    <xf numFmtId="44" fontId="9" fillId="16" borderId="1"/>
    <xf numFmtId="43" fontId="9" fillId="16" borderId="1"/>
    <xf numFmtId="43" fontId="150" fillId="16" borderId="1"/>
    <xf numFmtId="0" fontId="9" fillId="16" borderId="1"/>
    <xf numFmtId="0" fontId="141" fillId="42" borderId="1"/>
    <xf numFmtId="44" fontId="150" fillId="0" borderId="1"/>
    <xf numFmtId="0" fontId="161" fillId="16" borderId="1"/>
  </cellStyleXfs>
  <cellXfs count="1930">
    <xf numFmtId="164" fontId="0" fillId="0" borderId="1" pivotButton="0" quotePrefix="0" xfId="0"/>
    <xf numFmtId="165" fontId="13" fillId="16" borderId="1" pivotButton="0" quotePrefix="0" xfId="13"/>
    <xf numFmtId="164" fontId="23" fillId="16" borderId="1" pivotButton="0" quotePrefix="0" xfId="39"/>
    <xf numFmtId="164" fontId="5" fillId="16" borderId="1" pivotButton="0" quotePrefix="0" xfId="39"/>
    <xf numFmtId="165" fontId="19" fillId="16" borderId="1" pivotButton="0" quotePrefix="0" xfId="13"/>
    <xf numFmtId="164" fontId="27" fillId="16" borderId="1" pivotButton="0" quotePrefix="0" xfId="39"/>
    <xf numFmtId="165" fontId="21" fillId="16" borderId="1" pivotButton="0" quotePrefix="0" xfId="13"/>
    <xf numFmtId="164" fontId="10" fillId="16" borderId="1" pivotButton="0" quotePrefix="0" xfId="11"/>
    <xf numFmtId="166" fontId="10" fillId="16" borderId="1" applyAlignment="1" pivotButton="0" quotePrefix="0" xfId="12">
      <alignment horizontal="center"/>
    </xf>
    <xf numFmtId="164" fontId="11" fillId="16" borderId="1" applyAlignment="1" pivotButton="0" quotePrefix="0" xfId="11">
      <alignment horizontal="left"/>
    </xf>
    <xf numFmtId="164" fontId="10" fillId="16" borderId="1" applyAlignment="1" pivotButton="0" quotePrefix="0" xfId="11">
      <alignment vertical="center"/>
    </xf>
    <xf numFmtId="166" fontId="10" fillId="20" borderId="24" applyAlignment="1" pivotButton="0" quotePrefix="0" xfId="12">
      <alignment horizontal="center" vertical="center"/>
    </xf>
    <xf numFmtId="166" fontId="10" fillId="20" borderId="6" applyAlignment="1" pivotButton="0" quotePrefix="0" xfId="12">
      <alignment horizontal="center" vertical="center"/>
    </xf>
    <xf numFmtId="166" fontId="10" fillId="16" borderId="6" applyAlignment="1" pivotButton="0" quotePrefix="0" xfId="12">
      <alignment horizontal="center" vertical="center"/>
    </xf>
    <xf numFmtId="164" fontId="11" fillId="5" borderId="5" applyAlignment="1" pivotButton="0" quotePrefix="0" xfId="11">
      <alignment horizontal="left"/>
    </xf>
    <xf numFmtId="1" fontId="10" fillId="16" borderId="6" applyAlignment="1" pivotButton="0" quotePrefix="0" xfId="11">
      <alignment horizontal="center" vertical="center"/>
    </xf>
    <xf numFmtId="166" fontId="10" fillId="16" borderId="24" applyAlignment="1" pivotButton="0" quotePrefix="0" xfId="12">
      <alignment horizontal="center" vertical="center"/>
    </xf>
    <xf numFmtId="166" fontId="10" fillId="16" borderId="1" applyAlignment="1" pivotButton="0" quotePrefix="0" xfId="12">
      <alignment horizontal="center" vertical="center"/>
    </xf>
    <xf numFmtId="166" fontId="10" fillId="14" borderId="6" applyAlignment="1" pivotButton="0" quotePrefix="0" xfId="12">
      <alignment horizontal="center" vertical="center"/>
    </xf>
    <xf numFmtId="164" fontId="10" fillId="4" borderId="3" applyAlignment="1" pivotButton="0" quotePrefix="0" xfId="11">
      <alignment horizontal="left"/>
    </xf>
    <xf numFmtId="164" fontId="11" fillId="5" borderId="3" applyAlignment="1" pivotButton="0" quotePrefix="0" xfId="11">
      <alignment horizontal="left"/>
    </xf>
    <xf numFmtId="164" fontId="10" fillId="5" borderId="3" applyAlignment="1" pivotButton="0" quotePrefix="0" xfId="11">
      <alignment horizontal="left"/>
    </xf>
    <xf numFmtId="164" fontId="29" fillId="16" borderId="1" applyAlignment="1" pivotButton="0" quotePrefix="0" xfId="11">
      <alignment vertical="center"/>
    </xf>
    <xf numFmtId="1" fontId="10" fillId="16" borderId="1" applyAlignment="1" pivotButton="0" quotePrefix="0" xfId="11">
      <alignment horizontal="center" vertical="center"/>
    </xf>
    <xf numFmtId="14" fontId="10" fillId="16" borderId="1" applyAlignment="1" pivotButton="0" quotePrefix="1" xfId="11">
      <alignment vertical="center"/>
    </xf>
    <xf numFmtId="164" fontId="11" fillId="5" borderId="4" applyAlignment="1" pivotButton="0" quotePrefix="0" xfId="11">
      <alignment horizontal="left"/>
    </xf>
    <xf numFmtId="1" fontId="10" fillId="16" borderId="1" applyAlignment="1" pivotButton="0" quotePrefix="0" xfId="11">
      <alignment horizontal="center"/>
    </xf>
    <xf numFmtId="1" fontId="10" fillId="16" borderId="24" applyAlignment="1" pivotButton="0" quotePrefix="0" xfId="11">
      <alignment horizontal="center" vertical="center"/>
    </xf>
    <xf numFmtId="164" fontId="25" fillId="16" borderId="1" pivotButton="0" quotePrefix="0" xfId="11"/>
    <xf numFmtId="164" fontId="18" fillId="16" borderId="1" pivotButton="0" quotePrefix="0" xfId="11"/>
    <xf numFmtId="166" fontId="11" fillId="3" borderId="25" applyAlignment="1" pivotButton="0" quotePrefix="0" xfId="12">
      <alignment horizontal="center"/>
    </xf>
    <xf numFmtId="166" fontId="11" fillId="3" borderId="17" applyAlignment="1" pivotButton="0" quotePrefix="0" xfId="12">
      <alignment horizontal="center"/>
    </xf>
    <xf numFmtId="166" fontId="11" fillId="2" borderId="17" applyAlignment="1" pivotButton="0" quotePrefix="0" xfId="12">
      <alignment horizontal="center"/>
    </xf>
    <xf numFmtId="164" fontId="11" fillId="2" borderId="2" applyAlignment="1" pivotButton="0" quotePrefix="1" xfId="11">
      <alignment horizontal="left"/>
    </xf>
    <xf numFmtId="166" fontId="11" fillId="3" borderId="18" applyAlignment="1" pivotButton="0" quotePrefix="0" xfId="12">
      <alignment horizontal="center"/>
    </xf>
    <xf numFmtId="164" fontId="10" fillId="16" borderId="6" applyAlignment="1" pivotButton="0" quotePrefix="0" xfId="11">
      <alignment vertical="center"/>
    </xf>
    <xf numFmtId="1" fontId="10" fillId="18" borderId="6" applyAlignment="1" pivotButton="0" quotePrefix="0" xfId="11">
      <alignment horizontal="center" vertical="center"/>
    </xf>
    <xf numFmtId="1" fontId="10" fillId="6" borderId="6" applyAlignment="1" pivotButton="0" quotePrefix="0" xfId="11">
      <alignment horizontal="center" vertical="center"/>
    </xf>
    <xf numFmtId="1" fontId="10" fillId="24" borderId="6" applyAlignment="1" pivotButton="0" quotePrefix="0" xfId="11">
      <alignment horizontal="center" vertical="center"/>
    </xf>
    <xf numFmtId="1" fontId="10" fillId="7" borderId="6" applyAlignment="1" pivotButton="0" quotePrefix="0" xfId="11">
      <alignment horizontal="center" vertical="center"/>
    </xf>
    <xf numFmtId="1" fontId="10" fillId="19" borderId="6" applyAlignment="1" pivotButton="0" quotePrefix="0" xfId="11">
      <alignment horizontal="center" vertical="center"/>
    </xf>
    <xf numFmtId="1" fontId="10" fillId="13" borderId="6" applyAlignment="1" pivotButton="0" quotePrefix="0" xfId="11">
      <alignment horizontal="center" vertical="center"/>
    </xf>
    <xf numFmtId="1" fontId="10" fillId="25" borderId="6" applyAlignment="1" pivotButton="0" quotePrefix="0" xfId="11">
      <alignment horizontal="center" vertical="center"/>
    </xf>
    <xf numFmtId="1" fontId="10" fillId="15" borderId="6" applyAlignment="1" pivotButton="0" quotePrefix="0" xfId="11">
      <alignment horizontal="center" vertical="center"/>
    </xf>
    <xf numFmtId="1" fontId="10" fillId="23" borderId="6" applyAlignment="1" pivotButton="0" quotePrefix="0" xfId="11">
      <alignment horizontal="center" vertical="center"/>
    </xf>
    <xf numFmtId="164" fontId="3" fillId="16" borderId="1" pivotButton="0" quotePrefix="0" xfId="11"/>
    <xf numFmtId="164" fontId="37" fillId="16" borderId="1" pivotButton="0" quotePrefix="0" xfId="11"/>
    <xf numFmtId="167" fontId="13" fillId="16" borderId="1" pivotButton="0" quotePrefix="0" xfId="11"/>
    <xf numFmtId="164" fontId="3" fillId="16" borderId="1" pivotButton="0" quotePrefix="1" xfId="11"/>
    <xf numFmtId="164" fontId="36" fillId="16" borderId="1" pivotButton="0" quotePrefix="0" xfId="11"/>
    <xf numFmtId="9" fontId="3" fillId="16" borderId="1" pivotButton="0" quotePrefix="0" xfId="42"/>
    <xf numFmtId="166" fontId="3" fillId="16" borderId="1" pivotButton="0" quotePrefix="0" xfId="12"/>
    <xf numFmtId="165" fontId="0" fillId="16" borderId="1" pivotButton="0" quotePrefix="0" xfId="13"/>
    <xf numFmtId="168" fontId="3" fillId="16" borderId="1" pivotButton="0" quotePrefix="0" xfId="12"/>
    <xf numFmtId="165" fontId="37" fillId="16" borderId="1" pivotButton="0" quotePrefix="0" xfId="13"/>
    <xf numFmtId="166" fontId="0" fillId="16" borderId="1" applyAlignment="1" pivotButton="0" quotePrefix="0" xfId="12">
      <alignment horizontal="center"/>
    </xf>
    <xf numFmtId="164" fontId="37" fillId="16" borderId="1" applyAlignment="1" pivotButton="0" quotePrefix="0" xfId="11">
      <alignment horizontal="center"/>
    </xf>
    <xf numFmtId="168" fontId="0" fillId="16" borderId="1" pivotButton="0" quotePrefix="0" xfId="12"/>
    <xf numFmtId="168" fontId="37" fillId="16" borderId="1" pivotButton="0" quotePrefix="0" xfId="12"/>
    <xf numFmtId="164" fontId="37" fillId="16" borderId="1" applyAlignment="1" pivotButton="0" quotePrefix="0" xfId="11">
      <alignment wrapText="1"/>
    </xf>
    <xf numFmtId="164" fontId="3" fillId="16" borderId="1" applyAlignment="1" pivotButton="0" quotePrefix="0" xfId="11">
      <alignment horizontal="center"/>
    </xf>
    <xf numFmtId="169" fontId="3" fillId="16" borderId="1" pivotButton="0" quotePrefix="0" xfId="12"/>
    <xf numFmtId="168" fontId="37" fillId="16" borderId="15" pivotButton="0" quotePrefix="0" xfId="12"/>
    <xf numFmtId="165" fontId="3" fillId="16" borderId="1" pivotButton="0" quotePrefix="0" xfId="13"/>
    <xf numFmtId="9" fontId="3" fillId="16" borderId="1" pivotButton="0" quotePrefix="0" xfId="12"/>
    <xf numFmtId="166" fontId="3" fillId="11" borderId="1" pivotButton="0" quotePrefix="0" xfId="12"/>
    <xf numFmtId="164" fontId="37" fillId="11" borderId="1" pivotButton="0" quotePrefix="0" xfId="11"/>
    <xf numFmtId="164" fontId="3" fillId="11" borderId="1" applyAlignment="1" pivotButton="0" quotePrefix="0" xfId="11">
      <alignment horizontal="left" indent="3"/>
    </xf>
    <xf numFmtId="168" fontId="3" fillId="11" borderId="1" pivotButton="0" quotePrefix="0" xfId="12"/>
    <xf numFmtId="168" fontId="37" fillId="11" borderId="1" applyAlignment="1" pivotButton="0" quotePrefix="0" xfId="12">
      <alignment horizontal="right"/>
    </xf>
    <xf numFmtId="17" fontId="37" fillId="16" borderId="1" pivotButton="0" quotePrefix="0" xfId="11"/>
    <xf numFmtId="164" fontId="13" fillId="16" borderId="1" pivotButton="0" quotePrefix="0" xfId="11"/>
    <xf numFmtId="164" fontId="13" fillId="16" borderId="1" pivotButton="0" quotePrefix="1" xfId="11"/>
    <xf numFmtId="164" fontId="15" fillId="16" borderId="1" pivotButton="0" quotePrefix="0" xfId="39"/>
    <xf numFmtId="166" fontId="13" fillId="16" borderId="1" applyAlignment="1" pivotButton="0" quotePrefix="0" xfId="12">
      <alignment horizontal="left" vertical="center"/>
    </xf>
    <xf numFmtId="166" fontId="13" fillId="16" borderId="1" pivotButton="0" quotePrefix="0" xfId="12"/>
    <xf numFmtId="170" fontId="21" fillId="16" borderId="1" applyAlignment="1" pivotButton="0" quotePrefix="1" xfId="11">
      <alignment horizontal="left" vertical="center" wrapText="1"/>
    </xf>
    <xf numFmtId="166" fontId="10" fillId="16" borderId="1" pivotButton="0" quotePrefix="0" xfId="12"/>
    <xf numFmtId="166" fontId="15" fillId="16" borderId="1" pivotButton="0" quotePrefix="0" xfId="39"/>
    <xf numFmtId="166" fontId="0" fillId="16" borderId="1" pivotButton="0" quotePrefix="0" xfId="12"/>
    <xf numFmtId="166" fontId="5" fillId="16" borderId="1" pivotButton="0" quotePrefix="0" xfId="39"/>
    <xf numFmtId="164" fontId="5" fillId="16" borderId="1" applyAlignment="1" pivotButton="0" quotePrefix="0" xfId="39">
      <alignment horizontal="left"/>
    </xf>
    <xf numFmtId="164" fontId="39" fillId="16" borderId="1" applyAlignment="1" pivotButton="0" quotePrefix="0" xfId="11">
      <alignment vertical="center"/>
    </xf>
    <xf numFmtId="164" fontId="51" fillId="16" borderId="1" pivotButton="0" quotePrefix="0" xfId="11"/>
    <xf numFmtId="164" fontId="19" fillId="16" borderId="1" pivotButton="0" quotePrefix="0" xfId="11"/>
    <xf numFmtId="49" fontId="3" fillId="16" borderId="1" applyAlignment="1" pivotButton="0" quotePrefix="0" xfId="11">
      <alignment horizontal="left"/>
    </xf>
    <xf numFmtId="16" fontId="19" fillId="16" borderId="1" pivotButton="0" quotePrefix="0" xfId="11"/>
    <xf numFmtId="49" fontId="19" fillId="16" borderId="1" applyAlignment="1" pivotButton="0" quotePrefix="0" xfId="11">
      <alignment horizontal="left"/>
    </xf>
    <xf numFmtId="49" fontId="19" fillId="16" borderId="1" pivotButton="0" quotePrefix="0" xfId="11"/>
    <xf numFmtId="165" fontId="19" fillId="16" borderId="15" pivotButton="0" quotePrefix="0" xfId="13"/>
    <xf numFmtId="49" fontId="19" fillId="16" borderId="15" applyAlignment="1" pivotButton="0" quotePrefix="0" xfId="11">
      <alignment horizontal="left"/>
    </xf>
    <xf numFmtId="170" fontId="21" fillId="16" borderId="1" applyAlignment="1" pivotButton="0" quotePrefix="0" xfId="11">
      <alignment horizontal="left" vertical="center" wrapText="1"/>
    </xf>
    <xf numFmtId="0" fontId="5" fillId="16" borderId="1" applyAlignment="1" pivotButton="0" quotePrefix="0" xfId="39">
      <alignment horizontal="left" vertical="center" wrapText="1"/>
    </xf>
    <xf numFmtId="0" fontId="21" fillId="16" borderId="1" applyAlignment="1" pivotButton="0" quotePrefix="0" xfId="11">
      <alignment horizontal="left" vertical="center" wrapText="1"/>
    </xf>
    <xf numFmtId="0" fontId="21" fillId="16" borderId="1" applyAlignment="1" pivotButton="0" quotePrefix="1" xfId="11">
      <alignment horizontal="left" vertical="center" wrapText="1"/>
    </xf>
    <xf numFmtId="0" fontId="27" fillId="16" borderId="1" applyAlignment="1" pivotButton="0" quotePrefix="0" xfId="39">
      <alignment horizontal="left" vertical="center" wrapText="1"/>
    </xf>
    <xf numFmtId="164" fontId="21" fillId="16" borderId="1" pivotButton="0" quotePrefix="0" xfId="11"/>
    <xf numFmtId="16" fontId="21" fillId="16" borderId="1" pivotButton="0" quotePrefix="0" xfId="11"/>
    <xf numFmtId="164" fontId="17" fillId="16" borderId="1" pivotButton="0" quotePrefix="0" xfId="11"/>
    <xf numFmtId="16" fontId="19" fillId="16" borderId="14" pivotButton="0" quotePrefix="0" xfId="11"/>
    <xf numFmtId="164" fontId="19" fillId="14" borderId="1" pivotButton="0" quotePrefix="0" xfId="11"/>
    <xf numFmtId="165" fontId="19" fillId="14" borderId="1" pivotButton="0" quotePrefix="0" xfId="13"/>
    <xf numFmtId="16" fontId="20" fillId="14" borderId="14" applyAlignment="1" pivotButton="0" quotePrefix="1" xfId="11">
      <alignment horizontal="right" vertical="center"/>
    </xf>
    <xf numFmtId="49" fontId="19" fillId="14" borderId="1" applyAlignment="1" pivotButton="0" quotePrefix="0" xfId="11">
      <alignment horizontal="left"/>
    </xf>
    <xf numFmtId="49" fontId="19" fillId="14" borderId="1" pivotButton="0" quotePrefix="0" xfId="11"/>
    <xf numFmtId="164" fontId="27" fillId="14" borderId="1" pivotButton="0" quotePrefix="0" xfId="39"/>
    <xf numFmtId="164" fontId="20" fillId="9" borderId="8" applyAlignment="1" pivotButton="0" quotePrefix="0" xfId="11">
      <alignment vertical="center" wrapText="1"/>
    </xf>
    <xf numFmtId="164" fontId="20" fillId="9" borderId="8" applyAlignment="1" pivotButton="0" quotePrefix="0" xfId="11">
      <alignment horizontal="center" vertical="center" wrapText="1"/>
    </xf>
    <xf numFmtId="165" fontId="20" fillId="9" borderId="8" applyAlignment="1" pivotButton="0" quotePrefix="0" xfId="13">
      <alignment horizontal="center" vertical="center" wrapText="1"/>
    </xf>
    <xf numFmtId="49" fontId="20" fillId="9" borderId="8" applyAlignment="1" pivotButton="0" quotePrefix="0" xfId="11">
      <alignment horizontal="left" vertical="center" wrapText="1"/>
    </xf>
    <xf numFmtId="49" fontId="20" fillId="9" borderId="8" applyAlignment="1" pivotButton="0" quotePrefix="0" xfId="11">
      <alignment vertical="center" wrapText="1"/>
    </xf>
    <xf numFmtId="49" fontId="10" fillId="16" borderId="1" pivotButton="0" quotePrefix="0" xfId="11"/>
    <xf numFmtId="164" fontId="10" fillId="16" borderId="1" applyAlignment="1" pivotButton="0" quotePrefix="0" xfId="11">
      <alignment horizontal="left"/>
    </xf>
    <xf numFmtId="171" fontId="10" fillId="16" borderId="1" pivotButton="0" quotePrefix="0" xfId="11"/>
    <xf numFmtId="171" fontId="10" fillId="16" borderId="1" applyAlignment="1" pivotButton="0" quotePrefix="0" xfId="11">
      <alignment horizontal="left"/>
    </xf>
    <xf numFmtId="165" fontId="19" fillId="16" borderId="14" pivotButton="0" quotePrefix="0" xfId="13"/>
    <xf numFmtId="165" fontId="13" fillId="16" borderId="14" pivotButton="0" quotePrefix="0" xfId="13"/>
    <xf numFmtId="172" fontId="19" fillId="16" borderId="1" pivotButton="0" quotePrefix="0" xfId="11"/>
    <xf numFmtId="166" fontId="11" fillId="16" borderId="1" applyAlignment="1" pivotButton="0" quotePrefix="0" xfId="12">
      <alignment horizontal="left" vertical="center"/>
    </xf>
    <xf numFmtId="166" fontId="11" fillId="16" borderId="14" applyAlignment="1" pivotButton="0" quotePrefix="0" xfId="12">
      <alignment horizontal="right"/>
    </xf>
    <xf numFmtId="171" fontId="19" fillId="16" borderId="1" pivotButton="0" quotePrefix="0" xfId="11"/>
    <xf numFmtId="171" fontId="19" fillId="16" borderId="1" applyAlignment="1" pivotButton="0" quotePrefix="0" xfId="11">
      <alignment horizontal="left"/>
    </xf>
    <xf numFmtId="172" fontId="19" fillId="16" borderId="14" pivotButton="0" quotePrefix="0" xfId="11"/>
    <xf numFmtId="164" fontId="10" fillId="16" borderId="14" pivotButton="0" quotePrefix="0" xfId="11"/>
    <xf numFmtId="164" fontId="10" fillId="16" borderId="1" pivotButton="0" quotePrefix="1" xfId="11"/>
    <xf numFmtId="164" fontId="10" fillId="11" borderId="1" pivotButton="0" quotePrefix="0" xfId="11"/>
    <xf numFmtId="165" fontId="26" fillId="16" borderId="14" pivotButton="0" quotePrefix="0" xfId="13"/>
    <xf numFmtId="164" fontId="19" fillId="16" borderId="1" applyAlignment="1" pivotButton="0" quotePrefix="0" xfId="11">
      <alignment horizontal="left"/>
    </xf>
    <xf numFmtId="49" fontId="13" fillId="16" borderId="1" pivotButton="0" quotePrefix="0" xfId="11"/>
    <xf numFmtId="49" fontId="10" fillId="16" borderId="1" pivotButton="0" quotePrefix="1" xfId="11"/>
    <xf numFmtId="171" fontId="10" fillId="17" borderId="13" pivotButton="0" quotePrefix="0" xfId="11"/>
    <xf numFmtId="171" fontId="13" fillId="16" borderId="14" applyAlignment="1" pivotButton="0" quotePrefix="0" xfId="11">
      <alignment horizontal="left"/>
    </xf>
    <xf numFmtId="172" fontId="13" fillId="16" borderId="1" pivotButton="0" quotePrefix="0" xfId="11"/>
    <xf numFmtId="164" fontId="12" fillId="16" borderId="1" pivotButton="0" quotePrefix="0" xfId="11"/>
    <xf numFmtId="166" fontId="11" fillId="16" borderId="1" pivotButton="0" quotePrefix="0" xfId="12"/>
    <xf numFmtId="164" fontId="22" fillId="16" borderId="1" pivotButton="0" quotePrefix="0" xfId="11"/>
    <xf numFmtId="164" fontId="22" fillId="16" borderId="1" applyAlignment="1" pivotButton="0" quotePrefix="0" xfId="11">
      <alignment horizontal="center"/>
    </xf>
    <xf numFmtId="164" fontId="13" fillId="16" borderId="1" applyAlignment="1" pivotButton="0" quotePrefix="0" xfId="11">
      <alignment horizontal="left"/>
    </xf>
    <xf numFmtId="166" fontId="12" fillId="16" borderId="1" pivotButton="0" quotePrefix="0" xfId="12"/>
    <xf numFmtId="164" fontId="47" fillId="16" borderId="1" pivotButton="0" quotePrefix="1" xfId="11"/>
    <xf numFmtId="165" fontId="20" fillId="16" borderId="1" pivotButton="0" quotePrefix="0" xfId="13"/>
    <xf numFmtId="164" fontId="20" fillId="16" borderId="1" pivotButton="0" quotePrefix="0" xfId="11"/>
    <xf numFmtId="166" fontId="20" fillId="16" borderId="1" pivotButton="0" quotePrefix="0" xfId="12"/>
    <xf numFmtId="171" fontId="19" fillId="16" borderId="13" pivotButton="0" quotePrefix="0" xfId="11"/>
    <xf numFmtId="164" fontId="10" fillId="16" borderId="14" applyAlignment="1" pivotButton="0" quotePrefix="0" xfId="11">
      <alignment horizontal="left"/>
    </xf>
    <xf numFmtId="164" fontId="23" fillId="16" borderId="16" pivotButton="0" quotePrefix="0" xfId="39"/>
    <xf numFmtId="164" fontId="19" fillId="16" borderId="1" pivotButton="0" quotePrefix="1" xfId="11"/>
    <xf numFmtId="49" fontId="19" fillId="16" borderId="1" applyAlignment="1" pivotButton="0" quotePrefix="0" xfId="11">
      <alignment horizontal="center" vertical="center"/>
    </xf>
    <xf numFmtId="164" fontId="19" fillId="12" borderId="1" pivotButton="0" quotePrefix="0" xfId="11"/>
    <xf numFmtId="164" fontId="13" fillId="16" borderId="14" pivotButton="0" quotePrefix="0" xfId="11"/>
    <xf numFmtId="164" fontId="10" fillId="12" borderId="1" pivotButton="0" quotePrefix="0" xfId="11"/>
    <xf numFmtId="49" fontId="22" fillId="16" borderId="1" pivotButton="0" quotePrefix="0" xfId="11"/>
    <xf numFmtId="172" fontId="22" fillId="16" borderId="1" pivotButton="0" quotePrefix="0" xfId="11"/>
    <xf numFmtId="171" fontId="19" fillId="16" borderId="14" applyAlignment="1" pivotButton="0" quotePrefix="0" xfId="11">
      <alignment horizontal="left"/>
    </xf>
    <xf numFmtId="164" fontId="10" fillId="16" borderId="1" applyAlignment="1" pivotButton="0" quotePrefix="0" xfId="11">
      <alignment wrapText="1"/>
    </xf>
    <xf numFmtId="164" fontId="3" fillId="16" borderId="16" applyAlignment="1" pivotButton="0" quotePrefix="0" xfId="11">
      <alignment wrapText="1"/>
    </xf>
    <xf numFmtId="164" fontId="35" fillId="16" borderId="1" pivotButton="0" quotePrefix="0" xfId="11"/>
    <xf numFmtId="166" fontId="11" fillId="12" borderId="1" applyAlignment="1" pivotButton="0" quotePrefix="0" xfId="12">
      <alignment horizontal="left" vertical="center"/>
    </xf>
    <xf numFmtId="164" fontId="13" fillId="16" borderId="16" applyAlignment="1" pivotButton="0" quotePrefix="0" xfId="11">
      <alignment wrapText="1"/>
    </xf>
    <xf numFmtId="164" fontId="13" fillId="16" borderId="16" applyAlignment="1" pivotButton="0" quotePrefix="0" xfId="11">
      <alignment horizontal="right" wrapText="1"/>
    </xf>
    <xf numFmtId="165" fontId="13" fillId="16" borderId="10" pivotButton="0" quotePrefix="0" xfId="13"/>
    <xf numFmtId="172" fontId="19" fillId="16" borderId="10" pivotButton="0" quotePrefix="0" xfId="11"/>
    <xf numFmtId="164" fontId="24" fillId="16" borderId="1" pivotButton="0" quotePrefix="0" xfId="11"/>
    <xf numFmtId="172" fontId="13" fillId="16" borderId="14" pivotButton="0" quotePrefix="0" xfId="11"/>
    <xf numFmtId="166" fontId="12" fillId="16" borderId="1" applyAlignment="1" pivotButton="0" quotePrefix="0" xfId="12">
      <alignment horizontal="left" vertical="center"/>
    </xf>
    <xf numFmtId="172" fontId="22" fillId="15" borderId="1" pivotButton="0" quotePrefix="0" xfId="11"/>
    <xf numFmtId="171" fontId="13" fillId="16" borderId="1" applyAlignment="1" pivotButton="0" quotePrefix="0" xfId="11">
      <alignment horizontal="left"/>
    </xf>
    <xf numFmtId="164" fontId="13" fillId="11" borderId="1" pivotButton="0" quotePrefix="0" xfId="11"/>
    <xf numFmtId="49" fontId="13" fillId="16" borderId="1" pivotButton="0" quotePrefix="1" xfId="11"/>
    <xf numFmtId="2" fontId="13" fillId="16" borderId="1" applyAlignment="1" pivotButton="0" quotePrefix="1" xfId="12">
      <alignment horizontal="left" vertical="center"/>
    </xf>
    <xf numFmtId="164" fontId="41" fillId="16" borderId="1" pivotButton="0" quotePrefix="0" xfId="11"/>
    <xf numFmtId="16" fontId="13" fillId="16" borderId="14" pivotButton="0" quotePrefix="0" xfId="11"/>
    <xf numFmtId="172" fontId="13" fillId="16" borderId="10" pivotButton="0" quotePrefix="0" xfId="11"/>
    <xf numFmtId="164" fontId="34" fillId="16" borderId="1" pivotButton="0" quotePrefix="0" xfId="11"/>
    <xf numFmtId="166" fontId="34" fillId="16" borderId="1" pivotButton="0" quotePrefix="0" xfId="12"/>
    <xf numFmtId="164" fontId="11" fillId="16" borderId="1" pivotButton="0" quotePrefix="0" xfId="11"/>
    <xf numFmtId="164" fontId="13" fillId="16" borderId="14" applyAlignment="1" pivotButton="0" quotePrefix="0" xfId="11">
      <alignment horizontal="left"/>
    </xf>
    <xf numFmtId="164" fontId="3" fillId="16" borderId="16" applyAlignment="1" pivotButton="0" quotePrefix="1" xfId="11">
      <alignment horizontal="right" wrapText="1"/>
    </xf>
    <xf numFmtId="164" fontId="42" fillId="16" borderId="1" pivotButton="0" quotePrefix="0" xfId="11"/>
    <xf numFmtId="165" fontId="13" fillId="16" borderId="1" pivotButton="0" quotePrefix="1" xfId="13"/>
    <xf numFmtId="16" fontId="10" fillId="16" borderId="1" pivotButton="0" quotePrefix="0" xfId="11"/>
    <xf numFmtId="49" fontId="11" fillId="9" borderId="8" applyAlignment="1" pivotButton="0" quotePrefix="0" xfId="11">
      <alignment horizontal="center" vertical="center" wrapText="1"/>
    </xf>
    <xf numFmtId="0" fontId="12" fillId="16" borderId="1" pivotButton="0" quotePrefix="0" xfId="11"/>
    <xf numFmtId="172" fontId="31" fillId="16" borderId="1" applyAlignment="1" pivotButton="0" quotePrefix="0" xfId="11">
      <alignment horizontal="left"/>
    </xf>
    <xf numFmtId="164" fontId="31" fillId="16" borderId="1" pivotButton="0" quotePrefix="0" xfId="11"/>
    <xf numFmtId="172" fontId="31" fillId="16" borderId="1" pivotButton="0" quotePrefix="0" xfId="11"/>
    <xf numFmtId="166" fontId="31" fillId="16" borderId="1" applyAlignment="1" pivotButton="0" quotePrefix="0" xfId="12">
      <alignment horizontal="right"/>
    </xf>
    <xf numFmtId="164" fontId="32" fillId="16" borderId="1" pivotButton="0" quotePrefix="0" xfId="11"/>
    <xf numFmtId="166" fontId="22" fillId="16" borderId="1" applyAlignment="1" pivotButton="0" quotePrefix="0" xfId="12">
      <alignment horizontal="right"/>
    </xf>
    <xf numFmtId="166" fontId="38" fillId="16" borderId="1" applyAlignment="1" pivotButton="0" quotePrefix="0" xfId="12">
      <alignment horizontal="right"/>
    </xf>
    <xf numFmtId="164" fontId="40" fillId="16" borderId="1" pivotButton="0" quotePrefix="1" xfId="11"/>
    <xf numFmtId="172" fontId="22" fillId="16" borderId="1" applyAlignment="1" pivotButton="0" quotePrefix="0" xfId="11">
      <alignment horizontal="left"/>
    </xf>
    <xf numFmtId="164" fontId="30" fillId="16" borderId="1" pivotButton="0" quotePrefix="0" xfId="11"/>
    <xf numFmtId="164" fontId="11" fillId="9" borderId="8" applyAlignment="1" pivotButton="0" quotePrefix="0" xfId="11">
      <alignment horizontal="left" vertical="center" wrapText="1"/>
    </xf>
    <xf numFmtId="164" fontId="11" fillId="9" borderId="8" applyAlignment="1" pivotButton="0" quotePrefix="0" xfId="11">
      <alignment vertical="center" wrapText="1"/>
    </xf>
    <xf numFmtId="164" fontId="11" fillId="9" borderId="8" applyAlignment="1" pivotButton="0" quotePrefix="0" xfId="11">
      <alignment horizontal="center" vertical="center" wrapText="1"/>
    </xf>
    <xf numFmtId="166" fontId="11" fillId="9" borderId="7" applyAlignment="1" pivotButton="0" quotePrefix="0" xfId="12">
      <alignment horizontal="right" vertical="center" wrapText="1"/>
    </xf>
    <xf numFmtId="49" fontId="19" fillId="16" borderId="1" applyAlignment="1" pivotButton="0" quotePrefix="0" xfId="11">
      <alignment horizontal="center"/>
    </xf>
    <xf numFmtId="0" fontId="19" fillId="16" borderId="1" applyAlignment="1" pivotButton="0" quotePrefix="0" xfId="11">
      <alignment horizontal="left"/>
    </xf>
    <xf numFmtId="173" fontId="19" fillId="16" borderId="1" applyAlignment="1" pivotButton="0" quotePrefix="0" xfId="11">
      <alignment horizontal="left" vertical="center"/>
    </xf>
    <xf numFmtId="164" fontId="19" fillId="16" borderId="15" pivotButton="0" quotePrefix="0" xfId="11"/>
    <xf numFmtId="0" fontId="20" fillId="16" borderId="15" applyAlignment="1" pivotButton="0" quotePrefix="0" xfId="11">
      <alignment horizontal="left"/>
    </xf>
    <xf numFmtId="49" fontId="19" fillId="16" borderId="1" applyAlignment="1" pivotButton="0" quotePrefix="1" xfId="11">
      <alignment horizontal="center"/>
    </xf>
    <xf numFmtId="173" fontId="19" fillId="16" borderId="1" applyAlignment="1" pivotButton="0" quotePrefix="1" xfId="11">
      <alignment horizontal="left" vertical="center"/>
    </xf>
    <xf numFmtId="49" fontId="44" fillId="16" borderId="1" pivotButton="0" quotePrefix="0" xfId="11"/>
    <xf numFmtId="49" fontId="44" fillId="16" borderId="1" applyAlignment="1" pivotButton="0" quotePrefix="1" xfId="11">
      <alignment horizontal="center"/>
    </xf>
    <xf numFmtId="164" fontId="44" fillId="16" borderId="1" pivotButton="0" quotePrefix="0" xfId="11"/>
    <xf numFmtId="164" fontId="45" fillId="16" borderId="1" pivotButton="0" quotePrefix="0" xfId="39"/>
    <xf numFmtId="165" fontId="44" fillId="16" borderId="1" pivotButton="0" quotePrefix="0" xfId="13"/>
    <xf numFmtId="170" fontId="43" fillId="16" borderId="1" applyAlignment="1" pivotButton="0" quotePrefix="0" xfId="11">
      <alignment horizontal="left" vertical="center" wrapText="1"/>
    </xf>
    <xf numFmtId="49" fontId="44" fillId="16" borderId="1" applyAlignment="1" pivotButton="0" quotePrefix="0" xfId="11">
      <alignment horizontal="left"/>
    </xf>
    <xf numFmtId="0" fontId="43" fillId="16" borderId="1" applyAlignment="1" pivotButton="0" quotePrefix="0" xfId="11">
      <alignment horizontal="left" vertical="center" wrapText="1"/>
    </xf>
    <xf numFmtId="173" fontId="44" fillId="16" borderId="1" applyAlignment="1" pivotButton="0" quotePrefix="1" xfId="11">
      <alignment horizontal="left" vertical="center"/>
    </xf>
    <xf numFmtId="165" fontId="50" fillId="16" borderId="1" pivotButton="0" quotePrefix="0" xfId="13"/>
    <xf numFmtId="49" fontId="50" fillId="16" borderId="1" applyAlignment="1" pivotButton="0" quotePrefix="0" xfId="11">
      <alignment horizontal="left"/>
    </xf>
    <xf numFmtId="164" fontId="50" fillId="16" borderId="1" pivotButton="0" quotePrefix="0" xfId="11"/>
    <xf numFmtId="0" fontId="49" fillId="16" borderId="1" applyAlignment="1" pivotButton="0" quotePrefix="0" xfId="11">
      <alignment horizontal="left" vertical="center" wrapText="1"/>
    </xf>
    <xf numFmtId="173" fontId="50" fillId="16" borderId="1" applyAlignment="1" pivotButton="0" quotePrefix="0" xfId="11">
      <alignment horizontal="left" vertical="center"/>
    </xf>
    <xf numFmtId="173" fontId="44" fillId="16" borderId="1" applyAlignment="1" pivotButton="0" quotePrefix="0" xfId="11">
      <alignment horizontal="left" vertical="center"/>
    </xf>
    <xf numFmtId="49" fontId="50" fillId="16" borderId="1" pivotButton="0" quotePrefix="0" xfId="11"/>
    <xf numFmtId="49" fontId="50" fillId="16" borderId="1" applyAlignment="1" pivotButton="0" quotePrefix="1" xfId="11">
      <alignment horizontal="center"/>
    </xf>
    <xf numFmtId="49" fontId="44" fillId="16" borderId="1" applyAlignment="1" pivotButton="0" quotePrefix="0" xfId="11">
      <alignment horizontal="center"/>
    </xf>
    <xf numFmtId="49" fontId="44" fillId="16" borderId="1" pivotButton="0" quotePrefix="1" xfId="11"/>
    <xf numFmtId="170" fontId="43" fillId="16" borderId="1" applyAlignment="1" pivotButton="0" quotePrefix="1" xfId="11">
      <alignment horizontal="left" vertical="center" wrapText="1"/>
    </xf>
    <xf numFmtId="0" fontId="43" fillId="16" borderId="1" applyAlignment="1" pivotButton="0" quotePrefix="1" xfId="11">
      <alignment horizontal="left" vertical="center" wrapText="1"/>
    </xf>
    <xf numFmtId="0" fontId="45" fillId="16" borderId="1" applyAlignment="1" pivotButton="0" quotePrefix="0" xfId="39">
      <alignment horizontal="left" vertical="center" wrapText="1"/>
    </xf>
    <xf numFmtId="0" fontId="28" fillId="16" borderId="1" applyAlignment="1" pivotButton="0" quotePrefix="0" xfId="11">
      <alignment horizontal="left" vertical="center" wrapText="1"/>
    </xf>
    <xf numFmtId="170" fontId="21" fillId="16" borderId="12" applyAlignment="1" pivotButton="0" quotePrefix="0" xfId="11">
      <alignment horizontal="left" vertical="center" wrapText="1"/>
    </xf>
    <xf numFmtId="0" fontId="21" fillId="22" borderId="1" applyAlignment="1" pivotButton="0" quotePrefix="0" xfId="11">
      <alignment horizontal="left" vertical="center" wrapText="1"/>
    </xf>
    <xf numFmtId="170" fontId="21" fillId="22" borderId="12" applyAlignment="1" pivotButton="0" quotePrefix="0" xfId="11">
      <alignment horizontal="left" vertical="center" wrapText="1"/>
    </xf>
    <xf numFmtId="49" fontId="19" fillId="14" borderId="1" applyAlignment="1" pivotButton="0" quotePrefix="0" xfId="11">
      <alignment horizontal="center"/>
    </xf>
    <xf numFmtId="0" fontId="19" fillId="14" borderId="1" applyAlignment="1" pivotButton="0" quotePrefix="0" xfId="11">
      <alignment horizontal="left"/>
    </xf>
    <xf numFmtId="166" fontId="20" fillId="14" borderId="1" pivotButton="0" quotePrefix="0" xfId="12"/>
    <xf numFmtId="164" fontId="20" fillId="9" borderId="9" applyAlignment="1" pivotButton="0" quotePrefix="0" xfId="11">
      <alignment horizontal="left" vertical="center" wrapText="1"/>
    </xf>
    <xf numFmtId="164" fontId="20" fillId="9" borderId="8" applyAlignment="1" pivotButton="0" quotePrefix="0" xfId="11">
      <alignment horizontal="left" vertical="center" wrapText="1"/>
    </xf>
    <xf numFmtId="49" fontId="20" fillId="9" borderId="8" applyAlignment="1" pivotButton="0" quotePrefix="0" xfId="11">
      <alignment horizontal="center" vertical="center" wrapText="1"/>
    </xf>
    <xf numFmtId="0" fontId="20" fillId="9" borderId="8" applyAlignment="1" pivotButton="0" quotePrefix="0" xfId="11">
      <alignment horizontal="left" vertical="center" wrapText="1"/>
    </xf>
    <xf numFmtId="166" fontId="20" fillId="9" borderId="7" applyAlignment="1" pivotButton="0" quotePrefix="0" xfId="12">
      <alignment horizontal="left" vertical="center" wrapText="1"/>
    </xf>
    <xf numFmtId="49" fontId="19" fillId="16" borderId="1" pivotButton="0" quotePrefix="1" xfId="11"/>
    <xf numFmtId="170" fontId="26" fillId="16" borderId="1" applyAlignment="1" pivotButton="0" quotePrefix="0" xfId="11">
      <alignment horizontal="left" vertical="center" wrapText="1"/>
    </xf>
    <xf numFmtId="0" fontId="26" fillId="16" borderId="1" applyAlignment="1" pivotButton="0" quotePrefix="0" xfId="11">
      <alignment horizontal="left" vertical="center" wrapText="1"/>
    </xf>
    <xf numFmtId="164" fontId="27" fillId="16" borderId="1" applyAlignment="1" pivotButton="0" quotePrefix="0" xfId="39">
      <alignment horizontal="left"/>
    </xf>
    <xf numFmtId="0" fontId="26" fillId="16" borderId="1" applyAlignment="1" pivotButton="0" quotePrefix="1" xfId="11">
      <alignment horizontal="left" vertical="center" wrapText="1"/>
    </xf>
    <xf numFmtId="16" fontId="21" fillId="16" borderId="14" pivotButton="0" quotePrefix="0" xfId="11"/>
    <xf numFmtId="165" fontId="12" fillId="16" borderId="1" pivotButton="0" quotePrefix="0" xfId="13"/>
    <xf numFmtId="10" fontId="13" fillId="16" borderId="1" pivotButton="0" quotePrefix="0" xfId="13"/>
    <xf numFmtId="165" fontId="12" fillId="16" borderId="1" applyAlignment="1" pivotButton="0" quotePrefix="0" xfId="13">
      <alignment horizontal="right"/>
    </xf>
    <xf numFmtId="166" fontId="12" fillId="16" borderId="14" applyAlignment="1" pivotButton="0" quotePrefix="0" xfId="12">
      <alignment horizontal="right"/>
    </xf>
    <xf numFmtId="165" fontId="31" fillId="16" borderId="1" pivotButton="0" quotePrefix="0" xfId="13"/>
    <xf numFmtId="165" fontId="12" fillId="9" borderId="8" applyAlignment="1" pivotButton="0" quotePrefix="0" xfId="13">
      <alignment horizontal="center" vertical="center" wrapText="1"/>
    </xf>
    <xf numFmtId="165" fontId="12" fillId="10" borderId="8" applyAlignment="1" pivotButton="0" quotePrefix="0" xfId="13">
      <alignment horizontal="center" vertical="center" wrapText="1"/>
    </xf>
    <xf numFmtId="166" fontId="12" fillId="9" borderId="7" applyAlignment="1" pivotButton="0" quotePrefix="0" xfId="12">
      <alignment horizontal="right" vertical="center" wrapText="1"/>
    </xf>
    <xf numFmtId="164" fontId="46" fillId="16" borderId="1" applyAlignment="1" pivotButton="0" quotePrefix="0" xfId="11">
      <alignment vertical="center"/>
    </xf>
    <xf numFmtId="164" fontId="52" fillId="16" borderId="1" pivotButton="0" quotePrefix="0" xfId="11"/>
    <xf numFmtId="164" fontId="53" fillId="16" borderId="1" pivotButton="0" quotePrefix="0" xfId="11"/>
    <xf numFmtId="17" fontId="53" fillId="16" borderId="1" pivotButton="0" quotePrefix="0" xfId="11"/>
    <xf numFmtId="166" fontId="52" fillId="16" borderId="1" pivotButton="0" quotePrefix="0" xfId="12"/>
    <xf numFmtId="164" fontId="54" fillId="16" borderId="1" pivotButton="0" quotePrefix="0" xfId="11"/>
    <xf numFmtId="164" fontId="52" fillId="12" borderId="1" pivotButton="0" quotePrefix="0" xfId="11"/>
    <xf numFmtId="164" fontId="55" fillId="16" borderId="1" pivotButton="0" quotePrefix="0" xfId="39"/>
    <xf numFmtId="164" fontId="56" fillId="16" borderId="1" pivotButton="0" quotePrefix="0" xfId="39"/>
    <xf numFmtId="166" fontId="55" fillId="16" borderId="1" pivotButton="0" quotePrefix="0" xfId="39"/>
    <xf numFmtId="166" fontId="57" fillId="16" borderId="1" pivotButton="0" quotePrefix="0" xfId="12"/>
    <xf numFmtId="164" fontId="57" fillId="16" borderId="1" pivotButton="0" quotePrefix="0" xfId="11"/>
    <xf numFmtId="166" fontId="54" fillId="16" borderId="1" pivotButton="0" quotePrefix="0" xfId="12"/>
    <xf numFmtId="166" fontId="58" fillId="16" borderId="1" pivotButton="0" quotePrefix="0" xfId="12"/>
    <xf numFmtId="164" fontId="59" fillId="16" borderId="1" pivotButton="0" quotePrefix="0" xfId="11"/>
    <xf numFmtId="0" fontId="60" fillId="16" borderId="1" pivotButton="0" quotePrefix="0" xfId="11"/>
    <xf numFmtId="164" fontId="61" fillId="16" borderId="1" pivotButton="0" quotePrefix="0" xfId="11"/>
    <xf numFmtId="166" fontId="53" fillId="16" borderId="1" pivotButton="0" quotePrefix="0" xfId="12"/>
    <xf numFmtId="170" fontId="62" fillId="16" borderId="1" applyAlignment="1" pivotButton="0" quotePrefix="1" xfId="11">
      <alignment horizontal="left" vertical="center" wrapText="1"/>
    </xf>
    <xf numFmtId="166" fontId="61" fillId="16" borderId="1" pivotButton="0" quotePrefix="0" xfId="12"/>
    <xf numFmtId="166" fontId="61" fillId="16" borderId="1" applyAlignment="1" pivotButton="0" quotePrefix="0" xfId="12">
      <alignment horizontal="left" vertical="center"/>
    </xf>
    <xf numFmtId="164" fontId="55" fillId="16" borderId="1" applyAlignment="1" pivotButton="0" quotePrefix="0" xfId="39">
      <alignment horizontal="left"/>
    </xf>
    <xf numFmtId="164" fontId="52" fillId="16" borderId="1" pivotButton="0" quotePrefix="1" xfId="11"/>
    <xf numFmtId="164" fontId="53" fillId="16" borderId="1" applyAlignment="1" pivotButton="0" quotePrefix="0" xfId="11">
      <alignment horizontal="right"/>
    </xf>
    <xf numFmtId="164" fontId="61" fillId="16" borderId="1" pivotButton="0" quotePrefix="1" xfId="11"/>
    <xf numFmtId="164" fontId="59" fillId="12" borderId="1" pivotButton="0" quotePrefix="0" xfId="11"/>
    <xf numFmtId="164" fontId="55" fillId="16" borderId="1" applyAlignment="1" pivotButton="0" quotePrefix="0" xfId="39">
      <alignment vertical="center"/>
    </xf>
    <xf numFmtId="164" fontId="54" fillId="12" borderId="1" pivotButton="0" quotePrefix="0" xfId="11"/>
    <xf numFmtId="164" fontId="53" fillId="11" borderId="1" pivotButton="0" quotePrefix="0" xfId="11"/>
    <xf numFmtId="164" fontId="52" fillId="22" borderId="1" pivotButton="0" quotePrefix="0" xfId="11"/>
    <xf numFmtId="164" fontId="53" fillId="16" borderId="15" pivotButton="0" quotePrefix="0" xfId="11"/>
    <xf numFmtId="164" fontId="52" fillId="16" borderId="15" pivotButton="0" quotePrefix="0" xfId="11"/>
    <xf numFmtId="165" fontId="53" fillId="16" borderId="1" pivotButton="0" quotePrefix="0" xfId="13"/>
    <xf numFmtId="164" fontId="53" fillId="16" borderId="19" pivotButton="0" quotePrefix="0" xfId="11"/>
    <xf numFmtId="164" fontId="52" fillId="16" borderId="19" pivotButton="0" quotePrefix="0" xfId="11"/>
    <xf numFmtId="164" fontId="5" fillId="16" borderId="1" pivotButton="0" quotePrefix="0" xfId="45"/>
    <xf numFmtId="0" fontId="3" fillId="16" borderId="1" pivotButton="0" quotePrefix="0" xfId="46"/>
    <xf numFmtId="174" fontId="3" fillId="16" borderId="1" pivotButton="0" quotePrefix="0" xfId="46"/>
    <xf numFmtId="0" fontId="3" fillId="16" borderId="1" pivotButton="0" quotePrefix="1" xfId="46"/>
    <xf numFmtId="0" fontId="5" fillId="16" borderId="1" pivotButton="0" quotePrefix="0" xfId="45"/>
    <xf numFmtId="164" fontId="52" fillId="0" borderId="1" pivotButton="0" quotePrefix="0" xfId="11"/>
    <xf numFmtId="164" fontId="64" fillId="0" borderId="1" pivotButton="0" quotePrefix="0" xfId="0"/>
    <xf numFmtId="164" fontId="65" fillId="0" borderId="1" pivotButton="0" quotePrefix="0" xfId="0"/>
    <xf numFmtId="164" fontId="3" fillId="0" borderId="1" pivotButton="0" quotePrefix="0" xfId="0"/>
    <xf numFmtId="9" fontId="37" fillId="16" borderId="1" pivotButton="0" quotePrefix="0" xfId="42"/>
    <xf numFmtId="164" fontId="37" fillId="0" borderId="1" applyAlignment="1" pivotButton="0" quotePrefix="0" xfId="0">
      <alignment horizontal="center"/>
    </xf>
    <xf numFmtId="1" fontId="10" fillId="11" borderId="6" applyAlignment="1" pivotButton="0" quotePrefix="0" xfId="11">
      <alignment horizontal="center" vertical="center"/>
    </xf>
    <xf numFmtId="164" fontId="19" fillId="0" borderId="1" pivotButton="0" quotePrefix="0" xfId="11"/>
    <xf numFmtId="164" fontId="19" fillId="0" borderId="1" pivotButton="0" quotePrefix="1" xfId="11"/>
    <xf numFmtId="166" fontId="66" fillId="16" borderId="1" pivotButton="0" quotePrefix="0" xfId="12"/>
    <xf numFmtId="164" fontId="66" fillId="16" borderId="1" pivotButton="0" quotePrefix="0" xfId="11"/>
    <xf numFmtId="164" fontId="66" fillId="16" borderId="1" applyAlignment="1" pivotButton="0" quotePrefix="0" xfId="11">
      <alignment wrapText="1"/>
    </xf>
    <xf numFmtId="164" fontId="67" fillId="16" borderId="1" applyAlignment="1" pivotButton="0" quotePrefix="0" xfId="11">
      <alignment horizontal="center" vertical="center"/>
    </xf>
    <xf numFmtId="49" fontId="68" fillId="16" borderId="1" applyAlignment="1" pivotButton="0" quotePrefix="0" xfId="11">
      <alignment horizontal="center" vertical="center"/>
    </xf>
    <xf numFmtId="49" fontId="67" fillId="16" borderId="1" applyAlignment="1" pivotButton="0" quotePrefix="0" xfId="11">
      <alignment horizontal="center" vertical="center"/>
    </xf>
    <xf numFmtId="166" fontId="69" fillId="9" borderId="7" applyAlignment="1" pivotButton="0" quotePrefix="0" xfId="12">
      <alignment horizontal="right" vertical="center" wrapText="1"/>
    </xf>
    <xf numFmtId="164" fontId="69" fillId="9" borderId="8" applyAlignment="1" pivotButton="0" quotePrefix="0" xfId="11">
      <alignment vertical="center" wrapText="1"/>
    </xf>
    <xf numFmtId="164" fontId="69" fillId="9" borderId="8" applyAlignment="1" pivotButton="0" quotePrefix="0" xfId="11">
      <alignment horizontal="center" vertical="center" wrapText="1"/>
    </xf>
    <xf numFmtId="164" fontId="69" fillId="12" borderId="8" applyAlignment="1" pivotButton="0" quotePrefix="0" xfId="11">
      <alignment horizontal="center" vertical="center" wrapText="1"/>
    </xf>
    <xf numFmtId="49" fontId="69" fillId="9" borderId="8" applyAlignment="1" pivotButton="0" quotePrefix="0" xfId="11">
      <alignment horizontal="center" vertical="center" wrapText="1"/>
    </xf>
    <xf numFmtId="49" fontId="69" fillId="9" borderId="8" applyAlignment="1" pivotButton="0" quotePrefix="0" xfId="11">
      <alignment vertical="center" wrapText="1"/>
    </xf>
    <xf numFmtId="164" fontId="69" fillId="9" borderId="8" applyAlignment="1" pivotButton="0" quotePrefix="0" xfId="11">
      <alignment horizontal="left" vertical="center" wrapText="1"/>
    </xf>
    <xf numFmtId="164" fontId="69" fillId="9" borderId="9" applyAlignment="1" pivotButton="0" quotePrefix="0" xfId="11">
      <alignment horizontal="left" vertical="center" wrapText="1"/>
    </xf>
    <xf numFmtId="166" fontId="70" fillId="16" borderId="1" applyAlignment="1" pivotButton="0" quotePrefix="0" xfId="12">
      <alignment horizontal="right"/>
    </xf>
    <xf numFmtId="172" fontId="70" fillId="16" borderId="1" pivotButton="0" quotePrefix="0" xfId="11"/>
    <xf numFmtId="164" fontId="70" fillId="16" borderId="1" pivotButton="0" quotePrefix="0" xfId="11"/>
    <xf numFmtId="164" fontId="71" fillId="16" borderId="1" pivotButton="0" quotePrefix="0" xfId="11"/>
    <xf numFmtId="49" fontId="70" fillId="16" borderId="1" applyAlignment="1" pivotButton="0" quotePrefix="0" xfId="11">
      <alignment horizontal="center"/>
    </xf>
    <xf numFmtId="49" fontId="70" fillId="16" borderId="1" pivotButton="0" quotePrefix="0" xfId="11"/>
    <xf numFmtId="166" fontId="72" fillId="16" borderId="14" applyAlignment="1" pivotButton="0" quotePrefix="0" xfId="12">
      <alignment horizontal="right"/>
    </xf>
    <xf numFmtId="16" fontId="73" fillId="16" borderId="1" pivotButton="0" quotePrefix="0" xfId="11"/>
    <xf numFmtId="164" fontId="73" fillId="16" borderId="1" pivotButton="0" quotePrefix="0" xfId="11"/>
    <xf numFmtId="165" fontId="73" fillId="16" borderId="1" pivotButton="0" quotePrefix="0" xfId="13"/>
    <xf numFmtId="172" fontId="73" fillId="16" borderId="14" pivotButton="0" quotePrefix="0" xfId="11"/>
    <xf numFmtId="164" fontId="74" fillId="16" borderId="1" pivotButton="0" quotePrefix="0" xfId="39"/>
    <xf numFmtId="164" fontId="73" fillId="16" borderId="1" pivotButton="0" quotePrefix="1" xfId="11"/>
    <xf numFmtId="164" fontId="75" fillId="16" borderId="1" pivotButton="0" quotePrefix="0" xfId="39"/>
    <xf numFmtId="49" fontId="73" fillId="16" borderId="1" applyAlignment="1" pivotButton="0" quotePrefix="0" xfId="11">
      <alignment horizontal="center"/>
    </xf>
    <xf numFmtId="49" fontId="73" fillId="16" borderId="1" pivotButton="0" quotePrefix="1" xfId="11"/>
    <xf numFmtId="49" fontId="73" fillId="16" borderId="1" pivotButton="0" quotePrefix="0" xfId="11"/>
    <xf numFmtId="165" fontId="73" fillId="16" borderId="14" pivotButton="0" quotePrefix="0" xfId="13"/>
    <xf numFmtId="16" fontId="73" fillId="16" borderId="14" pivotButton="0" quotePrefix="0" xfId="11"/>
    <xf numFmtId="164" fontId="73" fillId="16" borderId="14" pivotButton="0" quotePrefix="0" xfId="11"/>
    <xf numFmtId="164" fontId="76" fillId="16" borderId="1" applyAlignment="1" pivotButton="0" quotePrefix="0" xfId="11">
      <alignment horizontal="left"/>
    </xf>
    <xf numFmtId="164" fontId="76" fillId="11" borderId="1" applyAlignment="1" pivotButton="0" quotePrefix="0" xfId="11">
      <alignment horizontal="left"/>
    </xf>
    <xf numFmtId="49" fontId="76" fillId="11" borderId="1" applyAlignment="1" pivotButton="0" quotePrefix="0" xfId="11">
      <alignment horizontal="left"/>
    </xf>
    <xf numFmtId="49" fontId="76" fillId="16" borderId="1" applyAlignment="1" pivotButton="0" quotePrefix="0" xfId="11">
      <alignment horizontal="left"/>
    </xf>
    <xf numFmtId="164" fontId="76" fillId="16" borderId="1" applyAlignment="1" pivotButton="0" quotePrefix="1" xfId="11">
      <alignment horizontal="left"/>
    </xf>
    <xf numFmtId="164" fontId="76" fillId="16" borderId="1" pivotButton="0" quotePrefix="0" xfId="11"/>
    <xf numFmtId="49" fontId="73" fillId="16" borderId="14" pivotButton="0" quotePrefix="1" xfId="11"/>
    <xf numFmtId="164" fontId="73" fillId="16" borderId="14" pivotButton="0" quotePrefix="1" xfId="11"/>
    <xf numFmtId="16" fontId="73" fillId="16" borderId="14" pivotButton="0" quotePrefix="1" xfId="11"/>
    <xf numFmtId="164" fontId="76" fillId="16" borderId="1" pivotButton="0" quotePrefix="1" xfId="11"/>
    <xf numFmtId="49" fontId="76" fillId="16" borderId="1" pivotButton="0" quotePrefix="0" xfId="11"/>
    <xf numFmtId="166" fontId="76" fillId="16" borderId="1" applyAlignment="1" pivotButton="0" quotePrefix="0" xfId="12">
      <alignment horizontal="left" vertical="center"/>
    </xf>
    <xf numFmtId="164" fontId="77" fillId="16" borderId="14" pivotButton="0" quotePrefix="0" xfId="11"/>
    <xf numFmtId="49" fontId="73" fillId="16" borderId="14" applyAlignment="1" pivotButton="0" quotePrefix="0" xfId="11">
      <alignment horizontal="left"/>
    </xf>
    <xf numFmtId="164" fontId="74" fillId="16" borderId="14" pivotButton="0" quotePrefix="0" xfId="39"/>
    <xf numFmtId="164" fontId="76" fillId="16" borderId="14" pivotButton="0" quotePrefix="0" xfId="11"/>
    <xf numFmtId="164" fontId="76" fillId="16" borderId="14" pivotButton="0" quotePrefix="1" xfId="11"/>
    <xf numFmtId="49" fontId="76" fillId="16" borderId="14" pivotButton="0" quotePrefix="0" xfId="11"/>
    <xf numFmtId="49" fontId="73" fillId="16" borderId="1" applyAlignment="1" pivotButton="0" quotePrefix="1" xfId="11">
      <alignment horizontal="center"/>
    </xf>
    <xf numFmtId="164" fontId="78" fillId="16" borderId="1" pivotButton="0" quotePrefix="0" xfId="11"/>
    <xf numFmtId="49" fontId="78" fillId="16" borderId="1" pivotButton="0" quotePrefix="0" xfId="11"/>
    <xf numFmtId="166" fontId="74" fillId="16" borderId="1" pivotButton="0" quotePrefix="0" xfId="39"/>
    <xf numFmtId="166" fontId="79" fillId="16" borderId="1" pivotButton="0" quotePrefix="0" xfId="12"/>
    <xf numFmtId="49" fontId="80" fillId="16" borderId="1" applyAlignment="1" pivotButton="0" quotePrefix="0" xfId="11">
      <alignment horizontal="left" vertical="center" wrapText="1"/>
    </xf>
    <xf numFmtId="0" fontId="75" fillId="16" borderId="1" applyAlignment="1" pivotButton="0" quotePrefix="0" xfId="39">
      <alignment horizontal="left" vertical="center" wrapText="1"/>
    </xf>
    <xf numFmtId="170" fontId="80" fillId="16" borderId="1" applyAlignment="1" pivotButton="0" quotePrefix="0" xfId="11">
      <alignment horizontal="left" vertical="center" wrapText="1"/>
    </xf>
    <xf numFmtId="0" fontId="80" fillId="16" borderId="1" applyAlignment="1" pivotButton="0" quotePrefix="0" xfId="11">
      <alignment horizontal="left" vertical="center" wrapText="1"/>
    </xf>
    <xf numFmtId="0" fontId="80" fillId="16" borderId="1" applyAlignment="1" pivotButton="0" quotePrefix="1" xfId="11">
      <alignment horizontal="left" vertical="center" wrapText="1"/>
    </xf>
    <xf numFmtId="170" fontId="80" fillId="16" borderId="1" applyAlignment="1" pivotButton="0" quotePrefix="1" xfId="11">
      <alignment horizontal="left" vertical="center" wrapText="1"/>
    </xf>
    <xf numFmtId="164" fontId="79" fillId="16" borderId="1" pivotButton="0" quotePrefix="0" xfId="11"/>
    <xf numFmtId="14" fontId="73" fillId="16" borderId="14" pivotButton="0" quotePrefix="0" xfId="11"/>
    <xf numFmtId="166" fontId="72" fillId="16" borderId="14" pivotButton="0" quotePrefix="0" xfId="12"/>
    <xf numFmtId="14" fontId="73" fillId="16" borderId="1" applyAlignment="1" pivotButton="0" quotePrefix="0" xfId="11">
      <alignment horizontal="right"/>
    </xf>
    <xf numFmtId="49" fontId="66" fillId="16" borderId="1" pivotButton="0" quotePrefix="0" xfId="11"/>
    <xf numFmtId="164" fontId="74" fillId="16" borderId="1" pivotButton="0" quotePrefix="0" xfId="45"/>
    <xf numFmtId="165" fontId="72" fillId="16" borderId="1" pivotButton="0" quotePrefix="0" xfId="13"/>
    <xf numFmtId="9" fontId="73" fillId="16" borderId="1" pivotButton="0" quotePrefix="0" xfId="13"/>
    <xf numFmtId="165" fontId="73" fillId="16" borderId="1" pivotButton="0" quotePrefix="0" xfId="11"/>
    <xf numFmtId="166" fontId="84" fillId="16" borderId="1" pivotButton="0" quotePrefix="0" xfId="12"/>
    <xf numFmtId="164" fontId="84" fillId="16" borderId="1" pivotButton="0" quotePrefix="0" xfId="11"/>
    <xf numFmtId="165" fontId="84" fillId="16" borderId="1" pivotButton="0" quotePrefix="0" xfId="13"/>
    <xf numFmtId="164" fontId="85" fillId="16" borderId="1" applyAlignment="1" pivotButton="0" quotePrefix="0" xfId="11">
      <alignment vertical="center"/>
    </xf>
    <xf numFmtId="49" fontId="85" fillId="16" borderId="1" applyAlignment="1" pivotButton="0" quotePrefix="0" xfId="11">
      <alignment vertical="center"/>
    </xf>
    <xf numFmtId="164" fontId="84" fillId="14" borderId="1" pivotButton="0" quotePrefix="0" xfId="11"/>
    <xf numFmtId="49" fontId="84" fillId="16" borderId="1" pivotButton="0" quotePrefix="0" xfId="11"/>
    <xf numFmtId="164" fontId="84" fillId="13" borderId="1" pivotButton="0" quotePrefix="0" xfId="11"/>
    <xf numFmtId="164" fontId="84" fillId="8" borderId="1" pivotButton="0" quotePrefix="0" xfId="11"/>
    <xf numFmtId="166" fontId="86" fillId="9" borderId="7" applyAlignment="1" pivotButton="0" quotePrefix="0" xfId="12">
      <alignment horizontal="right" vertical="center" wrapText="1"/>
    </xf>
    <xf numFmtId="164" fontId="86" fillId="10" borderId="8" applyAlignment="1" pivotButton="0" quotePrefix="0" xfId="11">
      <alignment vertical="center" wrapText="1"/>
    </xf>
    <xf numFmtId="165" fontId="86" fillId="10" borderId="8" applyAlignment="1" pivotButton="0" quotePrefix="0" xfId="13">
      <alignment horizontal="center" vertical="center" wrapText="1"/>
    </xf>
    <xf numFmtId="165" fontId="86" fillId="9" borderId="8" applyAlignment="1" pivotButton="0" quotePrefix="0" xfId="13">
      <alignment horizontal="center" vertical="center" wrapText="1"/>
    </xf>
    <xf numFmtId="164" fontId="86" fillId="10" borderId="8" applyAlignment="1" pivotButton="0" quotePrefix="0" xfId="11">
      <alignment horizontal="center" vertical="center" wrapText="1"/>
    </xf>
    <xf numFmtId="49" fontId="86" fillId="10" borderId="8" applyAlignment="1" pivotButton="0" quotePrefix="0" xfId="11">
      <alignment horizontal="center" vertical="center" wrapText="1"/>
    </xf>
    <xf numFmtId="49" fontId="86" fillId="10" borderId="8" applyAlignment="1" pivotButton="0" quotePrefix="0" xfId="11">
      <alignment vertical="center" wrapText="1"/>
    </xf>
    <xf numFmtId="164" fontId="86" fillId="10" borderId="8" applyAlignment="1" pivotButton="0" quotePrefix="0" xfId="11">
      <alignment horizontal="left" vertical="center" wrapText="1"/>
    </xf>
    <xf numFmtId="164" fontId="86" fillId="9" borderId="8" applyAlignment="1" pivotButton="0" quotePrefix="0" xfId="11">
      <alignment horizontal="left" vertical="center" wrapText="1"/>
    </xf>
    <xf numFmtId="164" fontId="86" fillId="9" borderId="9" applyAlignment="1" pivotButton="0" quotePrefix="0" xfId="11">
      <alignment horizontal="left" vertical="center" wrapText="1"/>
    </xf>
    <xf numFmtId="164" fontId="84" fillId="16" borderId="1" applyAlignment="1" pivotButton="0" quotePrefix="0" xfId="11">
      <alignment wrapText="1"/>
    </xf>
    <xf numFmtId="166" fontId="87" fillId="16" borderId="1" applyAlignment="1" pivotButton="0" quotePrefix="0" xfId="12">
      <alignment horizontal="right"/>
    </xf>
    <xf numFmtId="172" fontId="87" fillId="16" borderId="1" pivotButton="0" quotePrefix="0" xfId="11"/>
    <xf numFmtId="165" fontId="87" fillId="16" borderId="1" pivotButton="0" quotePrefix="0" xfId="13"/>
    <xf numFmtId="164" fontId="88" fillId="16" borderId="1" pivotButton="0" quotePrefix="0" xfId="11"/>
    <xf numFmtId="164" fontId="87" fillId="16" borderId="1" pivotButton="0" quotePrefix="0" xfId="11"/>
    <xf numFmtId="49" fontId="87" fillId="16" borderId="1" applyAlignment="1" pivotButton="0" quotePrefix="0" xfId="12">
      <alignment horizontal="center"/>
    </xf>
    <xf numFmtId="49" fontId="87" fillId="16" borderId="1" pivotButton="0" quotePrefix="0" xfId="11"/>
    <xf numFmtId="49" fontId="89" fillId="16" borderId="1" pivotButton="0" quotePrefix="0" xfId="11"/>
    <xf numFmtId="166" fontId="90" fillId="16" borderId="14" applyAlignment="1" pivotButton="0" quotePrefix="0" xfId="12">
      <alignment horizontal="right"/>
    </xf>
    <xf numFmtId="164" fontId="91" fillId="16" borderId="1" pivotButton="0" quotePrefix="0" xfId="11"/>
    <xf numFmtId="164" fontId="94" fillId="16" borderId="1" pivotButton="0" quotePrefix="0" xfId="11"/>
    <xf numFmtId="167" fontId="91" fillId="0" borderId="1" pivotButton="0" quotePrefix="0" xfId="11"/>
    <xf numFmtId="49" fontId="91" fillId="16" borderId="1" pivotButton="0" quotePrefix="0" xfId="11"/>
    <xf numFmtId="164" fontId="96" fillId="16" borderId="16" applyAlignment="1" pivotButton="0" quotePrefix="0" xfId="11">
      <alignment wrapText="1"/>
    </xf>
    <xf numFmtId="164" fontId="94" fillId="16" borderId="16" applyAlignment="1" pivotButton="0" quotePrefix="0" xfId="11">
      <alignment wrapText="1"/>
    </xf>
    <xf numFmtId="172" fontId="91" fillId="16" borderId="14" pivotButton="0" quotePrefix="0" xfId="11"/>
    <xf numFmtId="165" fontId="91" fillId="16" borderId="14" pivotButton="0" quotePrefix="0" xfId="13"/>
    <xf numFmtId="164" fontId="91" fillId="16" borderId="14" pivotButton="0" quotePrefix="0" xfId="11"/>
    <xf numFmtId="166" fontId="91" fillId="16" borderId="1" pivotButton="0" quotePrefix="0" xfId="12"/>
    <xf numFmtId="165" fontId="91" fillId="16" borderId="1" pivotButton="0" quotePrefix="0" xfId="13"/>
    <xf numFmtId="164" fontId="86" fillId="16" borderId="1" applyAlignment="1" pivotButton="0" quotePrefix="0" xfId="11">
      <alignment horizontal="right"/>
    </xf>
    <xf numFmtId="165" fontId="86" fillId="16" borderId="1" applyAlignment="1" pivotButton="0" quotePrefix="0" xfId="13">
      <alignment horizontal="right"/>
    </xf>
    <xf numFmtId="166" fontId="86" fillId="16" borderId="1" pivotButton="0" quotePrefix="0" xfId="12"/>
    <xf numFmtId="165" fontId="86" fillId="16" borderId="1" pivotButton="0" quotePrefix="0" xfId="13"/>
    <xf numFmtId="10" fontId="84" fillId="16" borderId="1" pivotButton="0" quotePrefix="0" xfId="13"/>
    <xf numFmtId="164" fontId="97" fillId="16" borderId="1" applyAlignment="1" pivotButton="0" quotePrefix="0" xfId="11">
      <alignment horizontal="left" wrapText="1"/>
    </xf>
    <xf numFmtId="168" fontId="97" fillId="16" borderId="1" applyAlignment="1" pivotButton="0" quotePrefix="0" xfId="12">
      <alignment horizontal="left" wrapText="1"/>
    </xf>
    <xf numFmtId="164" fontId="97" fillId="16" borderId="13" pivotButton="0" quotePrefix="0" xfId="11"/>
    <xf numFmtId="164" fontId="97" fillId="11" borderId="13" pivotButton="0" quotePrefix="0" xfId="11"/>
    <xf numFmtId="164" fontId="97" fillId="16" borderId="13" applyAlignment="1" pivotButton="0" quotePrefix="0" xfId="11">
      <alignment horizontal="center"/>
    </xf>
    <xf numFmtId="164" fontId="97" fillId="11" borderId="13" applyAlignment="1" pivotButton="0" quotePrefix="0" xfId="11">
      <alignment horizontal="center"/>
    </xf>
    <xf numFmtId="164" fontId="98" fillId="16" borderId="13" pivotButton="0" quotePrefix="0" xfId="11"/>
    <xf numFmtId="164" fontId="98" fillId="16" borderId="26" pivotButton="0" quotePrefix="0" xfId="11"/>
    <xf numFmtId="164" fontId="99" fillId="16" borderId="1" pivotButton="0" quotePrefix="0" xfId="11"/>
    <xf numFmtId="167" fontId="100" fillId="16" borderId="1" pivotButton="0" quotePrefix="0" xfId="11"/>
    <xf numFmtId="168" fontId="101" fillId="16" borderId="1" pivotButton="0" quotePrefix="0" xfId="12"/>
    <xf numFmtId="164" fontId="102" fillId="16" borderId="1" pivotButton="0" quotePrefix="0" xfId="11"/>
    <xf numFmtId="164" fontId="99" fillId="16" borderId="13" pivotButton="0" quotePrefix="0" xfId="11"/>
    <xf numFmtId="1" fontId="99" fillId="11" borderId="13" pivotButton="0" quotePrefix="0" xfId="13"/>
    <xf numFmtId="1" fontId="99" fillId="16" borderId="13" pivotButton="0" quotePrefix="0" xfId="13"/>
    <xf numFmtId="9" fontId="99" fillId="16" borderId="13" pivotButton="0" quotePrefix="0" xfId="42"/>
    <xf numFmtId="166" fontId="99" fillId="16" borderId="1" pivotButton="0" quotePrefix="0" xfId="12"/>
    <xf numFmtId="168" fontId="99" fillId="16" borderId="1" pivotButton="0" quotePrefix="0" xfId="12"/>
    <xf numFmtId="164" fontId="99" fillId="16" borderId="13" pivotButton="0" quotePrefix="1" xfId="11"/>
    <xf numFmtId="164" fontId="97" fillId="16" borderId="13" applyAlignment="1" pivotButton="0" quotePrefix="0" xfId="11">
      <alignment horizontal="left" wrapText="1"/>
    </xf>
    <xf numFmtId="1" fontId="97" fillId="11" borderId="13" pivotButton="0" quotePrefix="0" xfId="13"/>
    <xf numFmtId="1" fontId="97" fillId="16" borderId="13" pivotButton="0" quotePrefix="0" xfId="13"/>
    <xf numFmtId="164" fontId="97" fillId="16" borderId="1" applyAlignment="1" pivotButton="0" quotePrefix="1" xfId="11">
      <alignment horizontal="right"/>
    </xf>
    <xf numFmtId="175" fontId="97" fillId="16" borderId="1" pivotButton="0" quotePrefix="0" xfId="11"/>
    <xf numFmtId="9" fontId="103" fillId="16" borderId="1" pivotButton="0" quotePrefix="0" xfId="42"/>
    <xf numFmtId="175" fontId="99" fillId="16" borderId="1" pivotButton="0" quotePrefix="0" xfId="11"/>
    <xf numFmtId="1" fontId="97" fillId="16" borderId="1" pivotButton="0" quotePrefix="0" xfId="13"/>
    <xf numFmtId="9" fontId="99" fillId="16" borderId="1" pivotButton="0" quotePrefix="0" xfId="47"/>
    <xf numFmtId="164" fontId="104" fillId="16" borderId="1" applyAlignment="1" pivotButton="0" quotePrefix="1" xfId="11">
      <alignment horizontal="right"/>
    </xf>
    <xf numFmtId="167" fontId="105" fillId="27" borderId="13" pivotButton="0" quotePrefix="0" xfId="11"/>
    <xf numFmtId="166" fontId="106" fillId="27" borderId="13" pivotButton="0" quotePrefix="0" xfId="12"/>
    <xf numFmtId="1" fontId="107" fillId="16" borderId="1" pivotButton="0" quotePrefix="0" xfId="13"/>
    <xf numFmtId="167" fontId="108" fillId="27" borderId="13" pivotButton="0" quotePrefix="0" xfId="11"/>
    <xf numFmtId="166" fontId="109" fillId="27" borderId="13" pivotButton="0" quotePrefix="0" xfId="12"/>
    <xf numFmtId="167" fontId="110" fillId="27" borderId="30" pivotButton="0" quotePrefix="0" xfId="11"/>
    <xf numFmtId="166" fontId="111" fillId="27" borderId="30" pivotButton="0" quotePrefix="0" xfId="12"/>
    <xf numFmtId="1" fontId="99" fillId="16" borderId="1" pivotButton="0" quotePrefix="0" xfId="13"/>
    <xf numFmtId="164" fontId="99" fillId="26" borderId="2" pivotButton="0" quotePrefix="0" xfId="11"/>
    <xf numFmtId="166" fontId="97" fillId="26" borderId="29" pivotButton="0" quotePrefix="0" xfId="12"/>
    <xf numFmtId="164" fontId="99" fillId="26" borderId="28" pivotButton="0" quotePrefix="0" xfId="11"/>
    <xf numFmtId="166" fontId="97" fillId="26" borderId="27" pivotButton="0" quotePrefix="0" xfId="12"/>
    <xf numFmtId="164" fontId="97" fillId="16" borderId="1" pivotButton="0" quotePrefix="0" xfId="11"/>
    <xf numFmtId="9" fontId="99" fillId="16" borderId="1" pivotButton="0" quotePrefix="0" xfId="42"/>
    <xf numFmtId="1" fontId="99" fillId="16" borderId="26" pivotButton="0" quotePrefix="0" xfId="13"/>
    <xf numFmtId="164" fontId="112" fillId="16" borderId="1" pivotButton="0" quotePrefix="1" xfId="11"/>
    <xf numFmtId="167" fontId="113" fillId="16" borderId="1" pivotButton="0" quotePrefix="0" xfId="11"/>
    <xf numFmtId="164" fontId="112" fillId="16" borderId="1" pivotButton="0" quotePrefix="0" xfId="11"/>
    <xf numFmtId="168" fontId="112" fillId="16" borderId="1" pivotButton="0" quotePrefix="0" xfId="12"/>
    <xf numFmtId="166" fontId="97" fillId="16" borderId="1" pivotButton="0" quotePrefix="0" xfId="12"/>
    <xf numFmtId="168" fontId="114" fillId="16" borderId="1" pivotButton="0" quotePrefix="0" xfId="12"/>
    <xf numFmtId="1" fontId="99" fillId="16" borderId="1" pivotButton="0" quotePrefix="0" xfId="11"/>
    <xf numFmtId="164" fontId="115" fillId="16" borderId="1" applyAlignment="1" pivotButton="0" quotePrefix="0" xfId="11">
      <alignment horizontal="center" wrapText="1"/>
    </xf>
    <xf numFmtId="16" fontId="99" fillId="16" borderId="1" pivotButton="0" quotePrefix="0" xfId="11"/>
    <xf numFmtId="167" fontId="116" fillId="16" borderId="1" pivotButton="0" quotePrefix="0" xfId="11"/>
    <xf numFmtId="49" fontId="103" fillId="16" borderId="1" pivotButton="0" quotePrefix="0" xfId="11"/>
    <xf numFmtId="168" fontId="103" fillId="11" borderId="1" pivotButton="0" quotePrefix="0" xfId="12"/>
    <xf numFmtId="164" fontId="103" fillId="16" borderId="1" pivotButton="0" quotePrefix="0" xfId="11"/>
    <xf numFmtId="9" fontId="97" fillId="16" borderId="1" pivotButton="0" quotePrefix="0" xfId="42"/>
    <xf numFmtId="164" fontId="99" fillId="11" borderId="1" pivotButton="0" quotePrefix="0" xfId="11"/>
    <xf numFmtId="164" fontId="103" fillId="16" borderId="1" pivotButton="0" quotePrefix="1" xfId="11"/>
    <xf numFmtId="164" fontId="99" fillId="16" borderId="1" pivotButton="0" quotePrefix="1" xfId="11"/>
    <xf numFmtId="168" fontId="103" fillId="16" borderId="1" pivotButton="0" quotePrefix="0" xfId="12"/>
    <xf numFmtId="167" fontId="117" fillId="16" borderId="1" pivotButton="0" quotePrefix="0" xfId="11"/>
    <xf numFmtId="168" fontId="107" fillId="16" borderId="1" pivotButton="0" quotePrefix="0" xfId="12"/>
    <xf numFmtId="167" fontId="118" fillId="16" borderId="1" pivotButton="0" quotePrefix="0" xfId="11"/>
    <xf numFmtId="168" fontId="97" fillId="16" borderId="1" pivotButton="0" quotePrefix="0" xfId="12"/>
    <xf numFmtId="164" fontId="119" fillId="16" borderId="1" pivotButton="0" quotePrefix="0" xfId="11"/>
    <xf numFmtId="166" fontId="120" fillId="9" borderId="7" applyAlignment="1" pivotButton="0" quotePrefix="0" xfId="12">
      <alignment horizontal="left" vertical="center" wrapText="1"/>
    </xf>
    <xf numFmtId="0" fontId="120" fillId="9" borderId="8" applyAlignment="1" pivotButton="0" quotePrefix="0" xfId="11">
      <alignment horizontal="left" vertical="center" wrapText="1"/>
    </xf>
    <xf numFmtId="164" fontId="120" fillId="9" borderId="8" applyAlignment="1" pivotButton="0" quotePrefix="0" xfId="11">
      <alignment horizontal="center" vertical="center" wrapText="1"/>
    </xf>
    <xf numFmtId="49" fontId="120" fillId="9" borderId="8" applyAlignment="1" pivotButton="0" quotePrefix="0" xfId="11">
      <alignment horizontal="left" vertical="center" wrapText="1"/>
    </xf>
    <xf numFmtId="164" fontId="120" fillId="9" borderId="8" applyAlignment="1" pivotButton="0" quotePrefix="0" xfId="11">
      <alignment vertical="center" wrapText="1"/>
    </xf>
    <xf numFmtId="165" fontId="120" fillId="9" borderId="8" applyAlignment="1" pivotButton="0" quotePrefix="0" xfId="13">
      <alignment horizontal="center" vertical="center" wrapText="1"/>
    </xf>
    <xf numFmtId="49" fontId="120" fillId="9" borderId="8" applyAlignment="1" pivotButton="0" quotePrefix="0" xfId="11">
      <alignment horizontal="center" vertical="center" wrapText="1"/>
    </xf>
    <xf numFmtId="49" fontId="120" fillId="9" borderId="8" applyAlignment="1" pivotButton="0" quotePrefix="0" xfId="11">
      <alignment vertical="center" wrapText="1"/>
    </xf>
    <xf numFmtId="164" fontId="120" fillId="9" borderId="8" applyAlignment="1" pivotButton="0" quotePrefix="0" xfId="11">
      <alignment horizontal="left" vertical="center" wrapText="1"/>
    </xf>
    <xf numFmtId="166" fontId="120" fillId="14" borderId="1" pivotButton="0" quotePrefix="0" xfId="12"/>
    <xf numFmtId="0" fontId="119" fillId="14" borderId="1" applyAlignment="1" pivotButton="0" quotePrefix="0" xfId="11">
      <alignment horizontal="left"/>
    </xf>
    <xf numFmtId="164" fontId="119" fillId="14" borderId="1" pivotButton="0" quotePrefix="0" xfId="11"/>
    <xf numFmtId="49" fontId="119" fillId="14" borderId="1" applyAlignment="1" pivotButton="0" quotePrefix="0" xfId="11">
      <alignment horizontal="left"/>
    </xf>
    <xf numFmtId="16" fontId="120" fillId="14" borderId="14" applyAlignment="1" pivotButton="0" quotePrefix="1" xfId="11">
      <alignment horizontal="right" vertical="center"/>
    </xf>
    <xf numFmtId="165" fontId="119" fillId="14" borderId="1" pivotButton="0" quotePrefix="0" xfId="13"/>
    <xf numFmtId="164" fontId="121" fillId="14" borderId="1" pivotButton="0" quotePrefix="0" xfId="39"/>
    <xf numFmtId="49" fontId="119" fillId="14" borderId="1" applyAlignment="1" pivotButton="0" quotePrefix="0" xfId="11">
      <alignment horizontal="center"/>
    </xf>
    <xf numFmtId="49" fontId="119" fillId="14" borderId="1" pivotButton="0" quotePrefix="0" xfId="11"/>
    <xf numFmtId="166" fontId="120" fillId="16" borderId="1" pivotButton="0" quotePrefix="0" xfId="12"/>
    <xf numFmtId="0" fontId="119" fillId="16" borderId="1" applyAlignment="1" pivotButton="0" quotePrefix="0" xfId="11">
      <alignment horizontal="left"/>
    </xf>
    <xf numFmtId="49" fontId="119" fillId="16" borderId="1" applyAlignment="1" pivotButton="0" quotePrefix="0" xfId="11">
      <alignment horizontal="left"/>
    </xf>
    <xf numFmtId="16" fontId="119" fillId="16" borderId="14" pivotButton="0" quotePrefix="0" xfId="11"/>
    <xf numFmtId="165" fontId="119" fillId="16" borderId="1" pivotButton="0" quotePrefix="0" xfId="13"/>
    <xf numFmtId="164" fontId="121" fillId="16" borderId="1" pivotButton="0" quotePrefix="0" xfId="39"/>
    <xf numFmtId="49" fontId="119" fillId="16" borderId="1" applyAlignment="1" pivotButton="0" quotePrefix="0" xfId="11">
      <alignment horizontal="center"/>
    </xf>
    <xf numFmtId="49" fontId="119" fillId="16" borderId="1" pivotButton="0" quotePrefix="0" xfId="11"/>
    <xf numFmtId="16" fontId="119" fillId="16" borderId="1" pivotButton="0" quotePrefix="0" xfId="11"/>
    <xf numFmtId="170" fontId="124" fillId="16" borderId="1" applyAlignment="1" pivotButton="0" quotePrefix="0" xfId="11">
      <alignment horizontal="left" vertical="center" wrapText="1"/>
    </xf>
    <xf numFmtId="0" fontId="124" fillId="16" borderId="1" applyAlignment="1" pivotButton="0" quotePrefix="0" xfId="11">
      <alignment horizontal="left" vertical="center" wrapText="1"/>
    </xf>
    <xf numFmtId="0" fontId="124" fillId="16" borderId="1" applyAlignment="1" pivotButton="0" quotePrefix="1" xfId="11">
      <alignment horizontal="left" vertical="center" wrapText="1"/>
    </xf>
    <xf numFmtId="170" fontId="124" fillId="16" borderId="1" applyAlignment="1" pivotButton="0" quotePrefix="1" xfId="11">
      <alignment horizontal="left" vertical="center" wrapText="1"/>
    </xf>
    <xf numFmtId="164" fontId="119" fillId="16" borderId="1" applyAlignment="1" pivotButton="0" quotePrefix="0" xfId="11">
      <alignment horizontal="left"/>
    </xf>
    <xf numFmtId="173" fontId="119" fillId="16" borderId="1" applyAlignment="1" pivotButton="0" quotePrefix="0" xfId="11">
      <alignment horizontal="left" vertical="center"/>
    </xf>
    <xf numFmtId="0" fontId="122" fillId="16" borderId="1" applyAlignment="1" pivotButton="0" quotePrefix="0" xfId="11">
      <alignment horizontal="left"/>
    </xf>
    <xf numFmtId="0" fontId="120" fillId="16" borderId="15" applyAlignment="1" pivotButton="0" quotePrefix="0" xfId="11">
      <alignment horizontal="left"/>
    </xf>
    <xf numFmtId="164" fontId="119" fillId="16" borderId="15" pivotButton="0" quotePrefix="0" xfId="11"/>
    <xf numFmtId="49" fontId="119" fillId="16" borderId="15" applyAlignment="1" pivotButton="0" quotePrefix="0" xfId="11">
      <alignment horizontal="left"/>
    </xf>
    <xf numFmtId="9" fontId="119" fillId="16" borderId="15" pivotButton="0" quotePrefix="0" xfId="42"/>
    <xf numFmtId="165" fontId="119" fillId="16" borderId="15" pivotButton="0" quotePrefix="0" xfId="13"/>
    <xf numFmtId="1" fontId="10" fillId="28" borderId="6" applyAlignment="1" pivotButton="0" quotePrefix="0" xfId="11">
      <alignment horizontal="center" vertical="center"/>
    </xf>
    <xf numFmtId="9" fontId="125" fillId="0" borderId="1" pivotButton="0" quotePrefix="0" xfId="42"/>
    <xf numFmtId="167" fontId="17" fillId="16" borderId="1" pivotButton="0" quotePrefix="0" xfId="11"/>
    <xf numFmtId="165" fontId="91" fillId="0" borderId="1" pivotButton="0" quotePrefix="0" xfId="13"/>
    <xf numFmtId="164" fontId="91" fillId="0" borderId="1" pivotButton="0" quotePrefix="0" xfId="11"/>
    <xf numFmtId="164" fontId="91" fillId="0" borderId="1" pivotButton="0" quotePrefix="1" xfId="11"/>
    <xf numFmtId="164" fontId="92" fillId="0" borderId="1" pivotButton="0" quotePrefix="0" xfId="39"/>
    <xf numFmtId="164" fontId="84" fillId="0" borderId="1" pivotButton="0" quotePrefix="0" xfId="11"/>
    <xf numFmtId="164" fontId="92" fillId="0" borderId="1" applyAlignment="1" pivotButton="0" quotePrefix="0" xfId="39">
      <alignment horizontal="left"/>
    </xf>
    <xf numFmtId="164" fontId="93" fillId="0" borderId="1" pivotButton="0" quotePrefix="0" xfId="11"/>
    <xf numFmtId="164" fontId="95" fillId="0" borderId="1" pivotButton="0" quotePrefix="0" xfId="39"/>
    <xf numFmtId="49" fontId="91" fillId="0" borderId="1" pivotButton="0" quotePrefix="0" xfId="11"/>
    <xf numFmtId="164" fontId="91" fillId="0" borderId="20" applyAlignment="1" pivotButton="0" quotePrefix="0" xfId="11">
      <alignment wrapText="1"/>
    </xf>
    <xf numFmtId="164" fontId="91" fillId="0" borderId="16" applyAlignment="1" pivotButton="0" quotePrefix="0" xfId="11">
      <alignment wrapText="1"/>
    </xf>
    <xf numFmtId="164" fontId="96" fillId="0" borderId="16" applyAlignment="1" pivotButton="0" quotePrefix="0" xfId="11">
      <alignment wrapText="1"/>
    </xf>
    <xf numFmtId="172" fontId="91" fillId="0" borderId="14" pivotButton="0" quotePrefix="0" xfId="11"/>
    <xf numFmtId="164" fontId="103" fillId="11" borderId="1" pivotButton="0" quotePrefix="0" xfId="11"/>
    <xf numFmtId="164" fontId="37" fillId="16" borderId="1" applyAlignment="1" pivotButton="0" quotePrefix="1" xfId="11">
      <alignment horizontal="right"/>
    </xf>
    <xf numFmtId="164" fontId="99" fillId="16" borderId="1" pivotButton="0" quotePrefix="0" xfId="48"/>
    <xf numFmtId="0" fontId="21" fillId="16" borderId="1" applyAlignment="1" pivotButton="0" quotePrefix="0" xfId="11">
      <alignment horizontal="left"/>
    </xf>
    <xf numFmtId="166" fontId="5" fillId="16" borderId="1" pivotButton="0" quotePrefix="0" xfId="45"/>
    <xf numFmtId="164" fontId="5" fillId="0" borderId="1" pivotButton="0" quotePrefix="0" xfId="45"/>
    <xf numFmtId="164" fontId="102" fillId="16" borderId="1" pivotButton="0" quotePrefix="1" xfId="11"/>
    <xf numFmtId="0" fontId="5" fillId="16" borderId="1" applyAlignment="1" pivotButton="0" quotePrefix="0" xfId="45">
      <alignment horizontal="left" vertical="center" wrapText="1"/>
    </xf>
    <xf numFmtId="16" fontId="3" fillId="16" borderId="1" pivotButton="0" quotePrefix="0" xfId="11"/>
    <xf numFmtId="0" fontId="123" fillId="0" borderId="1" applyAlignment="1" pivotButton="0" quotePrefix="0" xfId="39">
      <alignment horizontal="left" vertical="center" wrapText="1"/>
    </xf>
    <xf numFmtId="170" fontId="21" fillId="0" borderId="1" applyAlignment="1" pivotButton="0" quotePrefix="0" xfId="11">
      <alignment horizontal="left" vertical="center" wrapText="1"/>
    </xf>
    <xf numFmtId="0" fontId="21" fillId="0" borderId="1" applyAlignment="1" pivotButton="0" quotePrefix="1" xfId="11">
      <alignment horizontal="left" vertical="center" wrapText="1"/>
    </xf>
    <xf numFmtId="164" fontId="19" fillId="0" borderId="1" applyAlignment="1" pivotButton="0" quotePrefix="0" xfId="11">
      <alignment horizontal="left"/>
    </xf>
    <xf numFmtId="164" fontId="19" fillId="0" borderId="1" applyAlignment="1" pivotButton="0" quotePrefix="1" xfId="11">
      <alignment horizontal="left"/>
    </xf>
    <xf numFmtId="1" fontId="37" fillId="16" borderId="13" pivotButton="0" quotePrefix="0" xfId="13"/>
    <xf numFmtId="164" fontId="98" fillId="11" borderId="26" pivotButton="0" quotePrefix="0" xfId="11"/>
    <xf numFmtId="1" fontId="37" fillId="11" borderId="1" pivotButton="0" quotePrefix="0" xfId="13"/>
    <xf numFmtId="164" fontId="37" fillId="11" borderId="13" pivotButton="0" quotePrefix="0" xfId="11"/>
    <xf numFmtId="166" fontId="99" fillId="16" borderId="1" pivotButton="0" quotePrefix="0" xfId="48"/>
    <xf numFmtId="164" fontId="3" fillId="11" borderId="1" pivotButton="0" quotePrefix="0" xfId="11"/>
    <xf numFmtId="164" fontId="127" fillId="11" borderId="1" pivotButton="0" quotePrefix="0" xfId="11"/>
    <xf numFmtId="1" fontId="37" fillId="16" borderId="1" pivotButton="0" quotePrefix="0" xfId="13"/>
    <xf numFmtId="1" fontId="37" fillId="16" borderId="31" pivotButton="0" quotePrefix="0" xfId="13"/>
    <xf numFmtId="1" fontId="37" fillId="16" borderId="15" pivotButton="0" quotePrefix="0" xfId="13"/>
    <xf numFmtId="9" fontId="97" fillId="16" borderId="15" pivotButton="0" quotePrefix="0" xfId="42"/>
    <xf numFmtId="166" fontId="97" fillId="16" borderId="15" pivotButton="0" quotePrefix="0" xfId="12"/>
    <xf numFmtId="164" fontId="97" fillId="11" borderId="1" pivotButton="0" quotePrefix="0" xfId="11"/>
    <xf numFmtId="168" fontId="99" fillId="16" borderId="1" pivotButton="0" quotePrefix="0" xfId="48"/>
    <xf numFmtId="166" fontId="0" fillId="0" borderId="1" pivotButton="0" quotePrefix="0" xfId="48"/>
    <xf numFmtId="166" fontId="0" fillId="0" borderId="1" pivotButton="1" quotePrefix="0" xfId="48"/>
    <xf numFmtId="166" fontId="0" fillId="0" borderId="1" applyAlignment="1" pivotButton="0" quotePrefix="0" xfId="48">
      <alignment horizontal="left"/>
    </xf>
    <xf numFmtId="166" fontId="0" fillId="0" borderId="1" applyAlignment="1" pivotButton="0" quotePrefix="0" xfId="48">
      <alignment horizontal="right"/>
    </xf>
    <xf numFmtId="166" fontId="0" fillId="0" borderId="1" pivotButton="0" quotePrefix="0" xfId="0"/>
    <xf numFmtId="166" fontId="0" fillId="0" borderId="1" pivotButton="1" quotePrefix="0" xfId="0"/>
    <xf numFmtId="166" fontId="0" fillId="0" borderId="1" applyAlignment="1" pivotButton="0" quotePrefix="0" xfId="0">
      <alignment horizontal="left"/>
    </xf>
    <xf numFmtId="166" fontId="0" fillId="0" borderId="1" applyAlignment="1" pivotButton="0" quotePrefix="0" xfId="0">
      <alignment horizontal="right"/>
    </xf>
    <xf numFmtId="166" fontId="3" fillId="0" borderId="1" pivotButton="0" quotePrefix="0" xfId="48"/>
    <xf numFmtId="164" fontId="97" fillId="29" borderId="13" applyAlignment="1" pivotButton="0" quotePrefix="0" xfId="11">
      <alignment horizontal="center"/>
    </xf>
    <xf numFmtId="164" fontId="97" fillId="29" borderId="13" pivotButton="0" quotePrefix="0" xfId="11"/>
    <xf numFmtId="164" fontId="98" fillId="29" borderId="13" pivotButton="0" quotePrefix="0" xfId="11"/>
    <xf numFmtId="164" fontId="98" fillId="29" borderId="26" pivotButton="0" quotePrefix="0" xfId="11"/>
    <xf numFmtId="164" fontId="3" fillId="16" borderId="13" pivotButton="0" quotePrefix="0" xfId="11"/>
    <xf numFmtId="164" fontId="3" fillId="16" borderId="13" pivotButton="0" quotePrefix="1" xfId="11"/>
    <xf numFmtId="166" fontId="97" fillId="16" borderId="1" pivotButton="0" quotePrefix="0" xfId="48"/>
    <xf numFmtId="175" fontId="3" fillId="16" borderId="1" pivotButton="0" quotePrefix="0" xfId="11"/>
    <xf numFmtId="9" fontId="37" fillId="16" borderId="13" pivotButton="0" quotePrefix="0" xfId="47"/>
    <xf numFmtId="1" fontId="99" fillId="16" borderId="31" pivotButton="0" quotePrefix="0" xfId="13"/>
    <xf numFmtId="1" fontId="37" fillId="16" borderId="32" pivotButton="0" quotePrefix="0" xfId="13"/>
    <xf numFmtId="164" fontId="13" fillId="16" borderId="1" pivotButton="0" quotePrefix="0" xfId="43"/>
    <xf numFmtId="164" fontId="14" fillId="16" borderId="1" applyAlignment="1" pivotButton="0" quotePrefix="0" xfId="43">
      <alignment vertical="center"/>
    </xf>
    <xf numFmtId="164" fontId="13" fillId="14" borderId="1" pivotButton="0" quotePrefix="0" xfId="43"/>
    <xf numFmtId="49" fontId="13" fillId="16" borderId="1" pivotButton="0" quotePrefix="0" xfId="43"/>
    <xf numFmtId="164" fontId="13" fillId="13" borderId="1" pivotButton="0" quotePrefix="0" xfId="43"/>
    <xf numFmtId="164" fontId="13" fillId="8" borderId="1" pivotButton="0" quotePrefix="0" xfId="43"/>
    <xf numFmtId="164" fontId="12" fillId="10" borderId="8" applyAlignment="1" pivotButton="0" quotePrefix="0" xfId="43">
      <alignment vertical="center" wrapText="1"/>
    </xf>
    <xf numFmtId="164" fontId="12" fillId="10" borderId="8" applyAlignment="1" pivotButton="0" quotePrefix="0" xfId="43">
      <alignment horizontal="center" vertical="center" wrapText="1"/>
    </xf>
    <xf numFmtId="49" fontId="12" fillId="10" borderId="8" applyAlignment="1" pivotButton="0" quotePrefix="0" xfId="43">
      <alignment horizontal="center" vertical="center" wrapText="1"/>
    </xf>
    <xf numFmtId="49" fontId="12" fillId="10" borderId="8" applyAlignment="1" pivotButton="0" quotePrefix="0" xfId="43">
      <alignment vertical="center" wrapText="1"/>
    </xf>
    <xf numFmtId="164" fontId="13" fillId="16" borderId="1" applyAlignment="1" pivotButton="0" quotePrefix="0" xfId="43">
      <alignment wrapText="1"/>
    </xf>
    <xf numFmtId="172" fontId="31" fillId="16" borderId="1" pivotButton="0" quotePrefix="0" xfId="43"/>
    <xf numFmtId="164" fontId="32" fillId="16" borderId="1" pivotButton="0" quotePrefix="0" xfId="43"/>
    <xf numFmtId="164" fontId="31" fillId="16" borderId="1" pivotButton="0" quotePrefix="0" xfId="43"/>
    <xf numFmtId="49" fontId="31" fillId="16" borderId="1" applyAlignment="1" pivotButton="0" quotePrefix="0" xfId="12">
      <alignment horizontal="center"/>
    </xf>
    <xf numFmtId="49" fontId="31" fillId="16" borderId="1" pivotButton="0" quotePrefix="0" xfId="43"/>
    <xf numFmtId="164" fontId="12" fillId="16" borderId="1" applyAlignment="1" pivotButton="0" quotePrefix="0" xfId="43">
      <alignment horizontal="right"/>
    </xf>
    <xf numFmtId="166" fontId="37" fillId="16" borderId="1" pivotButton="0" quotePrefix="0" xfId="12"/>
    <xf numFmtId="164" fontId="19" fillId="11" borderId="1" pivotButton="0" quotePrefix="0" xfId="11"/>
    <xf numFmtId="164" fontId="26" fillId="16" borderId="1" pivotButton="0" quotePrefix="0" xfId="11"/>
    <xf numFmtId="49" fontId="26" fillId="16" borderId="1" applyAlignment="1" pivotButton="0" quotePrefix="0" xfId="11">
      <alignment horizontal="left"/>
    </xf>
    <xf numFmtId="165" fontId="26" fillId="16" borderId="1" pivotButton="0" quotePrefix="0" xfId="13"/>
    <xf numFmtId="168" fontId="41" fillId="16" borderId="1" pivotButton="0" quotePrefix="0" xfId="12"/>
    <xf numFmtId="0" fontId="21" fillId="16" borderId="1" applyAlignment="1" pivotButton="0" quotePrefix="0" xfId="43">
      <alignment horizontal="left" vertical="center" wrapText="1"/>
    </xf>
    <xf numFmtId="164" fontId="19" fillId="0" borderId="1" applyAlignment="1" pivotButton="0" quotePrefix="0" xfId="11">
      <alignment wrapText="1"/>
    </xf>
    <xf numFmtId="1" fontId="3" fillId="16" borderId="1" pivotButton="0" quotePrefix="0" xfId="13"/>
    <xf numFmtId="49" fontId="12" fillId="11" borderId="8" applyAlignment="1" pivotButton="0" quotePrefix="0" xfId="43">
      <alignment horizontal="center" vertical="center" wrapText="1"/>
    </xf>
    <xf numFmtId="176" fontId="13" fillId="16" borderId="1" pivotButton="0" quotePrefix="0" xfId="43"/>
    <xf numFmtId="167" fontId="19" fillId="16" borderId="1" pivotButton="0" quotePrefix="0" xfId="43"/>
    <xf numFmtId="164" fontId="19" fillId="16" borderId="1" pivotButton="0" quotePrefix="0" xfId="43"/>
    <xf numFmtId="176" fontId="19" fillId="16" borderId="1" pivotButton="0" quotePrefix="0" xfId="43"/>
    <xf numFmtId="172" fontId="19" fillId="16" borderId="14" pivotButton="0" quotePrefix="0" xfId="43"/>
    <xf numFmtId="164" fontId="19" fillId="16" borderId="14" pivotButton="0" quotePrefix="0" xfId="43"/>
    <xf numFmtId="164" fontId="128" fillId="16" borderId="1" applyAlignment="1" pivotButton="0" quotePrefix="0" xfId="43">
      <alignment vertical="center"/>
    </xf>
    <xf numFmtId="164" fontId="19" fillId="16" borderId="1" pivotButton="0" quotePrefix="1" xfId="43"/>
    <xf numFmtId="164" fontId="5" fillId="0" borderId="1" applyAlignment="1" pivotButton="0" quotePrefix="0" xfId="45">
      <alignment wrapText="1"/>
    </xf>
    <xf numFmtId="1" fontId="10" fillId="0" borderId="6" applyAlignment="1" pivotButton="0" quotePrefix="0" xfId="11">
      <alignment horizontal="center" vertical="center"/>
    </xf>
    <xf numFmtId="166" fontId="10" fillId="0" borderId="6" applyAlignment="1" pivotButton="0" quotePrefix="0" xfId="12">
      <alignment horizontal="center" vertical="center"/>
    </xf>
    <xf numFmtId="1" fontId="10" fillId="30" borderId="6" applyAlignment="1" pivotButton="0" quotePrefix="0" xfId="11">
      <alignment horizontal="center" vertical="center"/>
    </xf>
    <xf numFmtId="1" fontId="10" fillId="16" borderId="6" applyAlignment="1" pivotButton="0" quotePrefix="0" xfId="11">
      <alignment horizontal="left" vertical="center"/>
    </xf>
    <xf numFmtId="1" fontId="10" fillId="31" borderId="6" applyAlignment="1" pivotButton="0" quotePrefix="0" xfId="11">
      <alignment horizontal="center" vertical="center"/>
    </xf>
    <xf numFmtId="164" fontId="10" fillId="16" borderId="1" applyAlignment="1" pivotButton="0" quotePrefix="0" xfId="11">
      <alignment horizontal="center"/>
    </xf>
    <xf numFmtId="166" fontId="10" fillId="16" borderId="1" applyAlignment="1" pivotButton="0" quotePrefix="0" xfId="48">
      <alignment horizontal="center"/>
    </xf>
    <xf numFmtId="166" fontId="10" fillId="33" borderId="17" applyAlignment="1" pivotButton="0" quotePrefix="0" xfId="12">
      <alignment horizontal="center" wrapText="1"/>
    </xf>
    <xf numFmtId="166" fontId="10" fillId="32" borderId="17" applyAlignment="1" pivotButton="0" quotePrefix="0" xfId="12">
      <alignment horizontal="center" wrapText="1"/>
    </xf>
    <xf numFmtId="166" fontId="10" fillId="32" borderId="18" applyAlignment="1" pivotButton="0" quotePrefix="0" xfId="12">
      <alignment horizontal="center" wrapText="1"/>
    </xf>
    <xf numFmtId="1" fontId="10" fillId="21" borderId="6" applyAlignment="1" pivotButton="0" quotePrefix="0" xfId="11">
      <alignment horizontal="center" vertical="center"/>
    </xf>
    <xf numFmtId="168" fontId="54" fillId="16" borderId="1" pivotButton="0" quotePrefix="0" xfId="12"/>
    <xf numFmtId="164" fontId="26" fillId="16" borderId="1" pivotButton="0" quotePrefix="0" xfId="43"/>
    <xf numFmtId="49" fontId="21" fillId="16" borderId="1" applyAlignment="1" pivotButton="0" quotePrefix="0" xfId="11">
      <alignment horizontal="left"/>
    </xf>
    <xf numFmtId="164" fontId="130" fillId="16" borderId="1" pivotButton="0" quotePrefix="0" xfId="45"/>
    <xf numFmtId="164" fontId="36" fillId="16" borderId="1" pivotButton="0" quotePrefix="1" xfId="11"/>
    <xf numFmtId="166" fontId="119" fillId="16" borderId="1" pivotButton="0" quotePrefix="0" xfId="48"/>
    <xf numFmtId="14" fontId="19" fillId="16" borderId="1" applyAlignment="1" pivotButton="0" quotePrefix="0" xfId="11">
      <alignment horizontal="right"/>
    </xf>
    <xf numFmtId="175" fontId="99" fillId="11" borderId="1" pivotButton="0" quotePrefix="0" xfId="11"/>
    <xf numFmtId="164" fontId="36" fillId="0" borderId="1" pivotButton="0" quotePrefix="0" xfId="11"/>
    <xf numFmtId="177" fontId="19" fillId="16" borderId="1" pivotButton="0" quotePrefix="0" xfId="43"/>
    <xf numFmtId="0" fontId="28" fillId="16" borderId="1" applyAlignment="1" pivotButton="0" quotePrefix="1" xfId="11">
      <alignment horizontal="center" vertical="center" wrapText="1"/>
    </xf>
    <xf numFmtId="164" fontId="19" fillId="0" borderId="1" applyAlignment="1" pivotButton="0" quotePrefix="1" xfId="11">
      <alignment horizontal="left" wrapText="1"/>
    </xf>
    <xf numFmtId="164" fontId="37" fillId="0" borderId="1" pivotButton="0" quotePrefix="0" xfId="0"/>
    <xf numFmtId="49" fontId="3" fillId="16" borderId="1" applyAlignment="1" pivotButton="0" quotePrefix="1" xfId="11">
      <alignment horizontal="left"/>
    </xf>
    <xf numFmtId="178" fontId="11" fillId="9" borderId="8" applyAlignment="1" pivotButton="0" quotePrefix="0" xfId="11">
      <alignment horizontal="center" vertical="center" wrapText="1"/>
    </xf>
    <xf numFmtId="168" fontId="3" fillId="16" borderId="1" pivotButton="0" quotePrefix="0" xfId="48"/>
    <xf numFmtId="168" fontId="36" fillId="0" borderId="1" pivotButton="0" quotePrefix="0" xfId="48"/>
    <xf numFmtId="168" fontId="3" fillId="0" borderId="1" pivotButton="0" quotePrefix="0" xfId="48"/>
    <xf numFmtId="168" fontId="99" fillId="0" borderId="1" pivotButton="0" quotePrefix="0" xfId="48"/>
    <xf numFmtId="49" fontId="14" fillId="16" borderId="1" applyAlignment="1" pivotButton="0" quotePrefix="0" xfId="43">
      <alignment horizontal="center" vertical="center"/>
    </xf>
    <xf numFmtId="164" fontId="14" fillId="16" borderId="1" applyAlignment="1" pivotButton="0" quotePrefix="0" xfId="43">
      <alignment horizontal="center" vertical="center"/>
    </xf>
    <xf numFmtId="49" fontId="13" fillId="16" borderId="1" applyAlignment="1" pivotButton="0" quotePrefix="0" xfId="43">
      <alignment horizontal="center"/>
    </xf>
    <xf numFmtId="49" fontId="31" fillId="16" borderId="1" applyAlignment="1" pivotButton="0" quotePrefix="0" xfId="43">
      <alignment horizontal="center"/>
    </xf>
    <xf numFmtId="0" fontId="21" fillId="16" borderId="1" applyAlignment="1" pivotButton="0" quotePrefix="1" xfId="11">
      <alignment horizontal="center" vertical="center" wrapText="1"/>
    </xf>
    <xf numFmtId="0" fontId="19" fillId="16" borderId="1" applyAlignment="1" pivotButton="0" quotePrefix="0" xfId="43">
      <alignment horizontal="center"/>
    </xf>
    <xf numFmtId="0" fontId="19" fillId="16" borderId="1" applyAlignment="1" pivotButton="0" quotePrefix="1" xfId="43">
      <alignment horizontal="center"/>
    </xf>
    <xf numFmtId="164" fontId="19" fillId="16" borderId="1" applyAlignment="1" pivotButton="0" quotePrefix="0" xfId="43">
      <alignment horizontal="center"/>
    </xf>
    <xf numFmtId="0" fontId="19" fillId="16" borderId="1" applyAlignment="1" pivotButton="0" quotePrefix="1" xfId="11">
      <alignment horizontal="center"/>
    </xf>
    <xf numFmtId="49" fontId="19" fillId="16" borderId="1" applyAlignment="1" pivotButton="0" quotePrefix="0" xfId="43">
      <alignment horizontal="center"/>
    </xf>
    <xf numFmtId="164" fontId="13" fillId="16" borderId="1" applyAlignment="1" pivotButton="0" quotePrefix="0" xfId="43">
      <alignment horizontal="center"/>
    </xf>
    <xf numFmtId="164" fontId="19" fillId="16" borderId="1" applyAlignment="1" pivotButton="0" quotePrefix="1" xfId="43">
      <alignment horizontal="center"/>
    </xf>
    <xf numFmtId="0" fontId="21" fillId="16" borderId="1" applyAlignment="1" pivotButton="0" quotePrefix="1" xfId="43">
      <alignment horizontal="center" vertical="center" wrapText="1"/>
    </xf>
    <xf numFmtId="164" fontId="3" fillId="0" borderId="1" applyAlignment="1" pivotButton="0" quotePrefix="0" xfId="0">
      <alignment wrapText="1"/>
    </xf>
    <xf numFmtId="164" fontId="3" fillId="0" borderId="1" applyAlignment="1" pivotButton="0" quotePrefix="1" xfId="0">
      <alignment horizontal="right" wrapText="1"/>
    </xf>
    <xf numFmtId="1" fontId="25" fillId="0" borderId="6" applyAlignment="1" pivotButton="0" quotePrefix="0" xfId="11">
      <alignment horizontal="center" vertical="center"/>
    </xf>
    <xf numFmtId="166" fontId="10" fillId="15" borderId="6" applyAlignment="1" pivotButton="0" quotePrefix="0" xfId="12">
      <alignment horizontal="center" vertical="center"/>
    </xf>
    <xf numFmtId="9" fontId="41" fillId="16" borderId="1" pivotButton="0" quotePrefix="0" xfId="42"/>
    <xf numFmtId="177" fontId="19" fillId="16" borderId="1" applyAlignment="1" pivotButton="0" quotePrefix="0" xfId="43">
      <alignment horizontal="center"/>
    </xf>
    <xf numFmtId="176" fontId="19" fillId="16" borderId="1" applyAlignment="1" pivotButton="0" quotePrefix="0" xfId="43">
      <alignment horizontal="center"/>
    </xf>
    <xf numFmtId="176" fontId="13" fillId="16" borderId="1" applyAlignment="1" pivotButton="0" quotePrefix="0" xfId="43">
      <alignment horizontal="center"/>
    </xf>
    <xf numFmtId="1" fontId="10" fillId="34" borderId="6" applyAlignment="1" pivotButton="0" quotePrefix="0" xfId="11">
      <alignment horizontal="center" vertical="center"/>
    </xf>
    <xf numFmtId="1" fontId="10" fillId="35" borderId="6" applyAlignment="1" pivotButton="0" quotePrefix="0" xfId="11">
      <alignment horizontal="center" vertical="center"/>
    </xf>
    <xf numFmtId="1" fontId="10" fillId="36" borderId="6" applyAlignment="1" pivotButton="0" quotePrefix="0" xfId="11">
      <alignment horizontal="center" vertical="center"/>
    </xf>
    <xf numFmtId="1" fontId="10" fillId="37" borderId="6" applyAlignment="1" pivotButton="0" quotePrefix="0" xfId="11">
      <alignment horizontal="center" vertical="center"/>
    </xf>
    <xf numFmtId="177" fontId="26" fillId="16" borderId="1" applyAlignment="1" pivotButton="0" quotePrefix="0" xfId="43">
      <alignment horizontal="center"/>
    </xf>
    <xf numFmtId="177" fontId="21" fillId="0" borderId="1" applyAlignment="1" pivotButton="0" quotePrefix="0" xfId="43">
      <alignment horizontal="center"/>
    </xf>
    <xf numFmtId="166" fontId="64" fillId="0" borderId="1" pivotButton="0" quotePrefix="0" xfId="48"/>
    <xf numFmtId="168" fontId="37" fillId="11" borderId="1" pivotButton="0" quotePrefix="0" xfId="12"/>
    <xf numFmtId="175" fontId="99" fillId="16" borderId="1" pivotButton="0" quotePrefix="0" xfId="48"/>
    <xf numFmtId="166" fontId="3" fillId="0" borderId="1" pivotButton="0" quotePrefix="1" xfId="48"/>
    <xf numFmtId="166" fontId="3" fillId="0" borderId="1" applyAlignment="1" pivotButton="0" quotePrefix="0" xfId="48">
      <alignment horizontal="center"/>
    </xf>
    <xf numFmtId="164" fontId="37" fillId="0" borderId="30" pivotButton="0" quotePrefix="0" xfId="0"/>
    <xf numFmtId="166" fontId="37" fillId="0" borderId="30" pivotButton="0" quotePrefix="0" xfId="48"/>
    <xf numFmtId="166" fontId="37" fillId="16" borderId="1" pivotButton="0" quotePrefix="0" xfId="48"/>
    <xf numFmtId="166" fontId="36" fillId="26" borderId="1" pivotButton="0" quotePrefix="0" xfId="48"/>
    <xf numFmtId="164" fontId="36" fillId="26" borderId="1" pivotButton="0" quotePrefix="0" xfId="0"/>
    <xf numFmtId="164" fontId="37" fillId="38" borderId="1" pivotButton="0" quotePrefix="0" xfId="0"/>
    <xf numFmtId="166" fontId="41" fillId="38" borderId="1" pivotButton="0" quotePrefix="0" xfId="48"/>
    <xf numFmtId="167" fontId="131" fillId="16" borderId="1" pivotButton="0" quotePrefix="0" xfId="11"/>
    <xf numFmtId="164" fontId="132" fillId="16" borderId="1" pivotButton="0" quotePrefix="0" xfId="11"/>
    <xf numFmtId="168" fontId="36" fillId="16" borderId="1" pivotButton="0" quotePrefix="0" xfId="12"/>
    <xf numFmtId="1" fontId="36" fillId="16" borderId="1" pivotButton="0" quotePrefix="0" xfId="11"/>
    <xf numFmtId="168" fontId="132" fillId="16" borderId="1" pivotButton="0" quotePrefix="0" xfId="12"/>
    <xf numFmtId="164" fontId="37" fillId="0" borderId="19" pivotButton="0" quotePrefix="0" xfId="0"/>
    <xf numFmtId="166" fontId="37" fillId="0" borderId="19" pivotButton="0" quotePrefix="0" xfId="48"/>
    <xf numFmtId="164" fontId="52" fillId="39" borderId="1" pivotButton="0" quotePrefix="0" xfId="11"/>
    <xf numFmtId="167" fontId="133" fillId="16" borderId="1" pivotButton="0" quotePrefix="0" xfId="11"/>
    <xf numFmtId="177" fontId="21" fillId="16" borderId="1" applyAlignment="1" pivotButton="0" quotePrefix="0" xfId="43">
      <alignment horizontal="center"/>
    </xf>
    <xf numFmtId="1" fontId="54" fillId="16" borderId="13" pivotButton="0" quotePrefix="0" xfId="13"/>
    <xf numFmtId="1" fontId="54" fillId="11" borderId="13" pivotButton="0" quotePrefix="0" xfId="13"/>
    <xf numFmtId="168" fontId="37" fillId="16" borderId="1" applyAlignment="1" pivotButton="0" quotePrefix="0" xfId="12">
      <alignment horizontal="center"/>
    </xf>
    <xf numFmtId="166" fontId="64" fillId="0" borderId="1" pivotButton="0" quotePrefix="0" xfId="0"/>
    <xf numFmtId="166" fontId="41" fillId="11" borderId="1" pivotButton="0" quotePrefix="0" xfId="48"/>
    <xf numFmtId="179" fontId="37" fillId="11" borderId="1" pivotButton="0" quotePrefix="0" xfId="0"/>
    <xf numFmtId="173" fontId="119" fillId="11" borderId="1" applyAlignment="1" pivotButton="0" quotePrefix="0" xfId="11">
      <alignment horizontal="left" vertical="center"/>
    </xf>
    <xf numFmtId="0" fontId="21" fillId="11" borderId="1" applyAlignment="1" pivotButton="0" quotePrefix="0" xfId="11">
      <alignment horizontal="left"/>
    </xf>
    <xf numFmtId="16" fontId="119" fillId="11" borderId="1" pivotButton="0" quotePrefix="0" xfId="11"/>
    <xf numFmtId="165" fontId="119" fillId="11" borderId="1" pivotButton="0" quotePrefix="0" xfId="13"/>
    <xf numFmtId="164" fontId="119" fillId="11" borderId="1" pivotButton="0" quotePrefix="0" xfId="11"/>
    <xf numFmtId="166" fontId="119" fillId="16" borderId="15" pivotButton="0" quotePrefix="0" xfId="48"/>
    <xf numFmtId="0" fontId="28" fillId="16" borderId="1" applyAlignment="1" pivotButton="0" quotePrefix="0" xfId="11">
      <alignment horizontal="left"/>
    </xf>
    <xf numFmtId="164" fontId="0" fillId="0" borderId="1" pivotButton="1" quotePrefix="0" xfId="0"/>
    <xf numFmtId="164" fontId="0" fillId="0" borderId="1" applyAlignment="1" pivotButton="0" quotePrefix="0" xfId="0">
      <alignment horizontal="left"/>
    </xf>
    <xf numFmtId="164" fontId="0" fillId="0" borderId="1" applyAlignment="1" pivotButton="0" quotePrefix="0" xfId="0">
      <alignment horizontal="center"/>
    </xf>
    <xf numFmtId="168" fontId="19" fillId="16" borderId="15" applyAlignment="1" pivotButton="0" quotePrefix="0" xfId="48">
      <alignment horizontal="left"/>
    </xf>
    <xf numFmtId="172" fontId="82" fillId="11" borderId="1" applyAlignment="1" pivotButton="0" quotePrefix="0" xfId="11">
      <alignment horizontal="left"/>
    </xf>
    <xf numFmtId="0" fontId="123" fillId="11" borderId="1" applyAlignment="1" pivotButton="0" quotePrefix="0" xfId="39">
      <alignment horizontal="left" vertical="center" wrapText="1"/>
    </xf>
    <xf numFmtId="0" fontId="21" fillId="11" borderId="1" applyAlignment="1" pivotButton="0" quotePrefix="1" xfId="11">
      <alignment horizontal="left" vertical="center" wrapText="1"/>
    </xf>
    <xf numFmtId="164" fontId="119" fillId="11" borderId="1" applyAlignment="1" pivotButton="0" quotePrefix="0" xfId="11">
      <alignment horizontal="left"/>
    </xf>
    <xf numFmtId="173" fontId="26" fillId="0" borderId="1" applyAlignment="1" pivotButton="0" quotePrefix="0" xfId="11">
      <alignment horizontal="left"/>
    </xf>
    <xf numFmtId="173" fontId="21" fillId="0" borderId="1" applyAlignment="1" pivotButton="0" quotePrefix="0" xfId="11">
      <alignment horizontal="left"/>
    </xf>
    <xf numFmtId="17" fontId="28" fillId="16" borderId="1" applyAlignment="1" pivotButton="0" quotePrefix="1" xfId="11">
      <alignment horizontal="center" vertical="center" wrapText="1"/>
    </xf>
    <xf numFmtId="0" fontId="26" fillId="16" borderId="1" applyAlignment="1" pivotButton="0" quotePrefix="1" xfId="11">
      <alignment horizontal="center" vertical="center" wrapText="1"/>
    </xf>
    <xf numFmtId="0" fontId="26" fillId="16" borderId="1" applyAlignment="1" pivotButton="0" quotePrefix="0" xfId="43">
      <alignment horizontal="center"/>
    </xf>
    <xf numFmtId="164" fontId="92" fillId="16" borderId="1" pivotButton="0" quotePrefix="0" xfId="45"/>
    <xf numFmtId="165" fontId="92" fillId="16" borderId="1" applyAlignment="1" pivotButton="0" quotePrefix="0" xfId="45">
      <alignment horizontal="left" vertical="center" wrapText="1"/>
    </xf>
    <xf numFmtId="165" fontId="36" fillId="16" borderId="1" pivotButton="0" quotePrefix="0" xfId="13"/>
    <xf numFmtId="166" fontId="3" fillId="16" borderId="1" pivotButton="0" quotePrefix="0" xfId="48"/>
    <xf numFmtId="164" fontId="37" fillId="16" borderId="33" pivotButton="0" quotePrefix="0" xfId="11"/>
    <xf numFmtId="164" fontId="3" fillId="0" borderId="1" pivotButton="0" quotePrefix="0" xfId="11"/>
    <xf numFmtId="164" fontId="37" fillId="40" borderId="1" pivotButton="0" quotePrefix="0" xfId="11"/>
    <xf numFmtId="166" fontId="134" fillId="0" borderId="1" pivotButton="0" quotePrefix="0" xfId="48"/>
    <xf numFmtId="166" fontId="37" fillId="0" borderId="1" pivotButton="0" quotePrefix="0" xfId="48"/>
    <xf numFmtId="166" fontId="36" fillId="26" borderId="30" pivotButton="0" quotePrefix="0" xfId="48"/>
    <xf numFmtId="164" fontId="119" fillId="14" borderId="1" applyAlignment="1" pivotButton="0" quotePrefix="0" xfId="11">
      <alignment horizontal="left"/>
    </xf>
    <xf numFmtId="164" fontId="52" fillId="15" borderId="1" pivotButton="0" quotePrefix="0" xfId="11"/>
    <xf numFmtId="164" fontId="3" fillId="0" borderId="30" pivotButton="0" quotePrefix="0" xfId="0"/>
    <xf numFmtId="164" fontId="135" fillId="0" borderId="30" pivotButton="0" quotePrefix="0" xfId="0"/>
    <xf numFmtId="166" fontId="135" fillId="0" borderId="30" pivotButton="0" quotePrefix="0" xfId="48"/>
    <xf numFmtId="177" fontId="19" fillId="26" borderId="1" applyAlignment="1" pivotButton="0" quotePrefix="0" xfId="43">
      <alignment horizontal="center"/>
    </xf>
    <xf numFmtId="16" fontId="28" fillId="16" borderId="1" applyAlignment="1" pivotButton="0" quotePrefix="1" xfId="11">
      <alignment horizontal="center" vertical="center" wrapText="1"/>
    </xf>
    <xf numFmtId="172" fontId="21" fillId="0" borderId="1" pivotButton="0" quotePrefix="0" xfId="11"/>
    <xf numFmtId="166" fontId="41" fillId="26" borderId="30" pivotButton="0" quotePrefix="0" xfId="48"/>
    <xf numFmtId="166" fontId="41" fillId="29" borderId="1" pivotButton="0" quotePrefix="0" xfId="48"/>
    <xf numFmtId="164" fontId="136" fillId="29" borderId="1" pivotButton="0" quotePrefix="0" xfId="0"/>
    <xf numFmtId="166" fontId="137" fillId="29" borderId="1" pivotButton="0" quotePrefix="0" xfId="48"/>
    <xf numFmtId="168" fontId="100" fillId="16" borderId="1" pivotButton="0" quotePrefix="0" xfId="48"/>
    <xf numFmtId="164" fontId="54" fillId="0" borderId="1" pivotButton="0" quotePrefix="0" xfId="0"/>
    <xf numFmtId="170" fontId="138" fillId="16" borderId="1" applyAlignment="1" pivotButton="0" quotePrefix="0" xfId="11">
      <alignment horizontal="left" vertical="center" wrapText="1"/>
    </xf>
    <xf numFmtId="0" fontId="138" fillId="16" borderId="1" applyAlignment="1" pivotButton="0" quotePrefix="0" xfId="11">
      <alignment horizontal="left" vertical="center" wrapText="1"/>
    </xf>
    <xf numFmtId="180" fontId="0" fillId="0" borderId="1" pivotButton="0" quotePrefix="0" xfId="0"/>
    <xf numFmtId="164" fontId="3" fillId="0" borderId="1" applyAlignment="1" pivotButton="0" quotePrefix="0" xfId="0">
      <alignment horizontal="center"/>
    </xf>
    <xf numFmtId="0" fontId="0" fillId="0" borderId="1" applyAlignment="1" pivotButton="0" quotePrefix="0" xfId="0">
      <alignment horizontal="center"/>
    </xf>
    <xf numFmtId="166" fontId="37" fillId="0" borderId="1" applyAlignment="1" pivotButton="0" quotePrefix="0" xfId="48">
      <alignment vertical="center"/>
    </xf>
    <xf numFmtId="166" fontId="37" fillId="16" borderId="1" applyAlignment="1" pivotButton="0" quotePrefix="0" xfId="48">
      <alignment vertical="center"/>
    </xf>
    <xf numFmtId="166" fontId="37" fillId="0" borderId="1" applyAlignment="1" pivotButton="0" quotePrefix="0" xfId="48">
      <alignment horizontal="center" vertical="center"/>
    </xf>
    <xf numFmtId="166" fontId="37" fillId="16" borderId="1" applyAlignment="1" pivotButton="0" quotePrefix="0" xfId="48">
      <alignment horizontal="center" vertical="center"/>
    </xf>
    <xf numFmtId="180" fontId="37" fillId="0" borderId="1" applyAlignment="1" pivotButton="0" quotePrefix="0" xfId="0">
      <alignment horizontal="center"/>
    </xf>
    <xf numFmtId="167" fontId="100" fillId="16" borderId="1" pivotButton="0" quotePrefix="1" xfId="11"/>
    <xf numFmtId="167" fontId="13" fillId="0" borderId="1" pivotButton="0" quotePrefix="0" xfId="11"/>
    <xf numFmtId="168" fontId="3" fillId="0" borderId="1" pivotButton="0" quotePrefix="0" xfId="12"/>
    <xf numFmtId="164" fontId="3" fillId="0" borderId="1" pivotButton="0" quotePrefix="1" xfId="11"/>
    <xf numFmtId="0" fontId="5" fillId="0" borderId="1" applyAlignment="1" pivotButton="0" quotePrefix="0" xfId="45">
      <alignment horizontal="left" vertical="center" wrapText="1"/>
    </xf>
    <xf numFmtId="0" fontId="20" fillId="16" borderId="1" applyAlignment="1" pivotButton="0" quotePrefix="1" xfId="43">
      <alignment horizontal="center"/>
    </xf>
    <xf numFmtId="164" fontId="20" fillId="16" borderId="1" applyAlignment="1" pivotButton="0" quotePrefix="0" xfId="43">
      <alignment horizontal="center"/>
    </xf>
    <xf numFmtId="49" fontId="20" fillId="16" borderId="1" applyAlignment="1" pivotButton="0" quotePrefix="0" xfId="43">
      <alignment horizontal="center"/>
    </xf>
    <xf numFmtId="9" fontId="3" fillId="16" borderId="1" pivotButton="0" quotePrefix="0" xfId="47"/>
    <xf numFmtId="164" fontId="5" fillId="0" borderId="1" applyAlignment="1" pivotButton="0" quotePrefix="0" xfId="45">
      <alignment vertical="center" wrapText="1"/>
    </xf>
    <xf numFmtId="167" fontId="20" fillId="16" borderId="1" pivotButton="0" quotePrefix="0" xfId="43"/>
    <xf numFmtId="166" fontId="28" fillId="16" borderId="1" applyAlignment="1" pivotButton="0" quotePrefix="1" xfId="48">
      <alignment horizontal="center" vertical="center" wrapText="1"/>
    </xf>
    <xf numFmtId="175" fontId="135" fillId="0" borderId="30" pivotButton="0" quotePrefix="0" xfId="0"/>
    <xf numFmtId="168" fontId="3" fillId="0" borderId="1" pivotButton="0" quotePrefix="0" xfId="0"/>
    <xf numFmtId="168" fontId="139" fillId="41" borderId="1" pivotButton="0" quotePrefix="0" xfId="0"/>
    <xf numFmtId="166" fontId="97" fillId="11" borderId="13" pivotButton="0" quotePrefix="0" xfId="48"/>
    <xf numFmtId="177" fontId="19" fillId="0" borderId="1" applyAlignment="1" pivotButton="0" quotePrefix="0" xfId="43">
      <alignment horizontal="center"/>
    </xf>
    <xf numFmtId="173" fontId="140" fillId="0" borderId="1" applyAlignment="1" pivotButton="0" quotePrefix="0" xfId="0">
      <alignment horizontal="left"/>
    </xf>
    <xf numFmtId="167" fontId="100" fillId="0" borderId="1" pivotButton="0" quotePrefix="0" xfId="0"/>
    <xf numFmtId="168" fontId="100" fillId="0" borderId="1" pivotButton="0" quotePrefix="0" xfId="0"/>
    <xf numFmtId="0" fontId="21" fillId="0" borderId="1" applyAlignment="1" pivotButton="0" quotePrefix="0" xfId="11">
      <alignment horizontal="left"/>
    </xf>
    <xf numFmtId="164" fontId="21" fillId="0" borderId="1" pivotButton="0" quotePrefix="0" xfId="11"/>
    <xf numFmtId="16" fontId="21" fillId="0" borderId="1" pivotButton="0" quotePrefix="0" xfId="11"/>
    <xf numFmtId="165" fontId="21" fillId="0" borderId="1" pivotButton="0" quotePrefix="0" xfId="13"/>
    <xf numFmtId="164" fontId="21" fillId="0" borderId="1" pivotButton="0" quotePrefix="1" xfId="11"/>
    <xf numFmtId="1" fontId="99" fillId="16" borderId="34" pivotButton="0" quotePrefix="0" xfId="13"/>
    <xf numFmtId="1" fontId="37" fillId="16" borderId="35" pivotButton="0" quotePrefix="0" xfId="13"/>
    <xf numFmtId="1" fontId="99" fillId="16" borderId="36" pivotButton="0" quotePrefix="0" xfId="13"/>
    <xf numFmtId="1" fontId="3" fillId="16" borderId="1" pivotButton="0" quotePrefix="0" xfId="13"/>
    <xf numFmtId="0" fontId="5" fillId="16" borderId="1" applyAlignment="1" pivotButton="0" quotePrefix="0" xfId="39">
      <alignment horizontal="left" vertical="center" wrapText="1"/>
    </xf>
    <xf numFmtId="165" fontId="19" fillId="16" borderId="1" pivotButton="0" quotePrefix="0" xfId="13"/>
    <xf numFmtId="0" fontId="21" fillId="0" borderId="1" applyAlignment="1" pivotButton="0" quotePrefix="1" xfId="11">
      <alignment horizontal="left"/>
    </xf>
    <xf numFmtId="164" fontId="0" fillId="0" borderId="1" applyAlignment="1" pivotButton="1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166" fontId="0" fillId="0" borderId="1" applyAlignment="1" pivotButton="0" quotePrefix="0" xfId="0">
      <alignment vertical="center"/>
    </xf>
    <xf numFmtId="168" fontId="3" fillId="16" borderId="1" pivotButton="0" quotePrefix="0" xfId="12"/>
    <xf numFmtId="1" fontId="3" fillId="16" borderId="1" applyAlignment="1" pivotButton="0" quotePrefix="0" xfId="13">
      <alignment horizontal="left"/>
    </xf>
    <xf numFmtId="1" fontId="99" fillId="16" borderId="1" applyAlignment="1" pivotButton="0" quotePrefix="0" xfId="13">
      <alignment horizontal="left"/>
    </xf>
    <xf numFmtId="1" fontId="97" fillId="16" borderId="19" pivotButton="0" quotePrefix="0" xfId="13"/>
    <xf numFmtId="1" fontId="37" fillId="16" borderId="37" pivotButton="0" quotePrefix="0" xfId="13"/>
    <xf numFmtId="166" fontId="99" fillId="16" borderId="1" pivotButton="0" quotePrefix="0" xfId="11"/>
    <xf numFmtId="181" fontId="99" fillId="16" borderId="1" pivotButton="0" quotePrefix="0" xfId="48"/>
    <xf numFmtId="1" fontId="37" fillId="11" borderId="13" pivotButton="0" quotePrefix="0" xfId="13"/>
    <xf numFmtId="164" fontId="3" fillId="16" borderId="38" pivotButton="0" quotePrefix="0" xfId="11"/>
    <xf numFmtId="164" fontId="37" fillId="16" borderId="11" pivotButton="0" quotePrefix="0" xfId="11"/>
    <xf numFmtId="164" fontId="3" fillId="16" borderId="11" pivotButton="0" quotePrefix="0" xfId="11"/>
    <xf numFmtId="9" fontId="3" fillId="16" borderId="11" pivotButton="0" quotePrefix="0" xfId="42"/>
    <xf numFmtId="166" fontId="37" fillId="16" borderId="1" applyAlignment="1" pivotButton="0" quotePrefix="0" xfId="12">
      <alignment horizontal="center" vertical="center"/>
    </xf>
    <xf numFmtId="164" fontId="37" fillId="16" borderId="39" pivotButton="0" quotePrefix="0" xfId="11"/>
    <xf numFmtId="164" fontId="37" fillId="39" borderId="1" pivotButton="0" quotePrefix="0" xfId="11"/>
    <xf numFmtId="166" fontId="3" fillId="39" borderId="1" pivotButton="0" quotePrefix="0" xfId="12"/>
    <xf numFmtId="164" fontId="3" fillId="39" borderId="1" pivotButton="0" quotePrefix="0" xfId="11"/>
    <xf numFmtId="168" fontId="3" fillId="29" borderId="1" pivotButton="0" quotePrefix="0" xfId="12"/>
    <xf numFmtId="164" fontId="37" fillId="29" borderId="13" pivotButton="0" quotePrefix="0" xfId="11"/>
    <xf numFmtId="166" fontId="99" fillId="16" borderId="13" pivotButton="0" quotePrefix="0" xfId="12"/>
    <xf numFmtId="166" fontId="99" fillId="17" borderId="13" pivotButton="0" quotePrefix="0" xfId="12"/>
    <xf numFmtId="164" fontId="37" fillId="17" borderId="1" pivotButton="0" quotePrefix="0" xfId="11"/>
    <xf numFmtId="166" fontId="99" fillId="17" borderId="1" pivotButton="0" quotePrefix="0" xfId="48"/>
    <xf numFmtId="166" fontId="99" fillId="26" borderId="1" pivotButton="0" quotePrefix="0" xfId="48"/>
    <xf numFmtId="1" fontId="97" fillId="16" borderId="30" pivotButton="0" quotePrefix="0" xfId="13"/>
    <xf numFmtId="164" fontId="99" fillId="16" borderId="30" pivotButton="0" quotePrefix="0" xfId="11"/>
    <xf numFmtId="1" fontId="37" fillId="16" borderId="41" pivotButton="0" quotePrefix="0" xfId="13"/>
    <xf numFmtId="164" fontId="97" fillId="16" borderId="41" applyAlignment="1" pivotButton="0" quotePrefix="0" xfId="11">
      <alignment horizontal="left" wrapText="1"/>
    </xf>
    <xf numFmtId="1" fontId="97" fillId="11" borderId="41" pivotButton="0" quotePrefix="0" xfId="13"/>
    <xf numFmtId="1" fontId="97" fillId="16" borderId="41" pivotButton="0" quotePrefix="0" xfId="13"/>
    <xf numFmtId="164" fontId="97" fillId="16" borderId="37" applyAlignment="1" pivotButton="0" quotePrefix="0" xfId="11">
      <alignment horizontal="left" wrapText="1"/>
    </xf>
    <xf numFmtId="1" fontId="97" fillId="11" borderId="37" pivotButton="0" quotePrefix="0" xfId="13"/>
    <xf numFmtId="1" fontId="97" fillId="16" borderId="37" pivotButton="0" quotePrefix="0" xfId="13"/>
    <xf numFmtId="166" fontId="37" fillId="11" borderId="1" pivotButton="0" quotePrefix="0" xfId="48"/>
    <xf numFmtId="166" fontId="141" fillId="42" borderId="1" pivotButton="0" quotePrefix="0" xfId="88"/>
    <xf numFmtId="164" fontId="21" fillId="16" borderId="1" pivotButton="0" quotePrefix="1" xfId="11"/>
    <xf numFmtId="164" fontId="21" fillId="16" borderId="1" applyAlignment="1" pivotButton="0" quotePrefix="0" xfId="11">
      <alignment horizontal="left"/>
    </xf>
    <xf numFmtId="175" fontId="99" fillId="43" borderId="1" pivotButton="0" quotePrefix="0" xfId="11"/>
    <xf numFmtId="1" fontId="99" fillId="16" borderId="40" pivotButton="0" quotePrefix="0" xfId="13"/>
    <xf numFmtId="9" fontId="37" fillId="16" borderId="41" pivotButton="0" quotePrefix="0" xfId="42"/>
    <xf numFmtId="166" fontId="37" fillId="16" borderId="30" pivotButton="0" quotePrefix="0" xfId="12"/>
    <xf numFmtId="9" fontId="99" fillId="16" borderId="13" pivotButton="0" quotePrefix="0" xfId="47"/>
    <xf numFmtId="182" fontId="99" fillId="11" borderId="13" pivotButton="0" quotePrefix="0" xfId="13"/>
    <xf numFmtId="183" fontId="99" fillId="11" borderId="13" pivotButton="0" quotePrefix="0" xfId="13"/>
    <xf numFmtId="167" fontId="13" fillId="26" borderId="13" pivotButton="0" quotePrefix="0" xfId="11"/>
    <xf numFmtId="164" fontId="3" fillId="26" borderId="13" pivotButton="0" quotePrefix="0" xfId="11"/>
    <xf numFmtId="164" fontId="99" fillId="26" borderId="13" pivotButton="0" quotePrefix="0" xfId="11"/>
    <xf numFmtId="168" fontId="3" fillId="26" borderId="13" pivotButton="0" quotePrefix="0" xfId="12"/>
    <xf numFmtId="168" fontId="99" fillId="26" borderId="13" pivotButton="0" quotePrefix="0" xfId="48"/>
    <xf numFmtId="168" fontId="3" fillId="26" borderId="13" pivotButton="0" quotePrefix="0" xfId="12"/>
    <xf numFmtId="0" fontId="138" fillId="16" borderId="1" applyAlignment="1" pivotButton="0" quotePrefix="1" xfId="11">
      <alignment horizontal="center" vertical="center" wrapText="1"/>
    </xf>
    <xf numFmtId="0" fontId="138" fillId="16" borderId="1" applyAlignment="1" pivotButton="0" quotePrefix="1" xfId="43">
      <alignment horizontal="center"/>
    </xf>
    <xf numFmtId="164" fontId="142" fillId="0" borderId="1" pivotButton="0" quotePrefix="0" xfId="0"/>
    <xf numFmtId="166" fontId="13" fillId="16" borderId="14" applyAlignment="1" pivotButton="0" quotePrefix="0" xfId="12">
      <alignment horizontal="right"/>
    </xf>
    <xf numFmtId="164" fontId="37" fillId="0" borderId="38" pivotButton="0" quotePrefix="0" xfId="0"/>
    <xf numFmtId="164" fontId="3" fillId="26" borderId="13" pivotButton="0" quotePrefix="1" xfId="11"/>
    <xf numFmtId="164" fontId="83" fillId="16" borderId="1" pivotButton="0" quotePrefix="0" xfId="45"/>
    <xf numFmtId="175" fontId="37" fillId="16" borderId="1" pivotButton="0" quotePrefix="0" xfId="11"/>
    <xf numFmtId="173" fontId="21" fillId="0" borderId="1" applyAlignment="1" pivotButton="0" quotePrefix="1" xfId="11">
      <alignment horizontal="left" vertical="center"/>
    </xf>
    <xf numFmtId="166" fontId="12" fillId="16" borderId="1" applyAlignment="1" pivotButton="0" quotePrefix="0" xfId="12">
      <alignment horizontal="right"/>
    </xf>
    <xf numFmtId="164" fontId="0" fillId="11" borderId="1" pivotButton="0" quotePrefix="0" xfId="0"/>
    <xf numFmtId="166" fontId="0" fillId="16" borderId="1" pivotButton="0" quotePrefix="0" xfId="48"/>
    <xf numFmtId="167" fontId="26" fillId="16" borderId="1" pivotButton="0" quotePrefix="0" xfId="43"/>
    <xf numFmtId="165" fontId="16" fillId="16" borderId="1" pivotButton="0" quotePrefix="0" xfId="13"/>
    <xf numFmtId="164" fontId="16" fillId="16" borderId="1" pivotButton="0" quotePrefix="0" xfId="43"/>
    <xf numFmtId="165" fontId="143" fillId="16" borderId="1" applyAlignment="1" pivotButton="0" quotePrefix="0" xfId="45">
      <alignment horizontal="left" vertical="center" wrapText="1"/>
    </xf>
    <xf numFmtId="49" fontId="16" fillId="16" borderId="1" applyAlignment="1" pivotButton="0" quotePrefix="0" xfId="43">
      <alignment horizontal="center"/>
    </xf>
    <xf numFmtId="0" fontId="144" fillId="16" borderId="1" applyAlignment="1" pivotButton="0" quotePrefix="1" xfId="11">
      <alignment horizontal="center" vertical="center" wrapText="1"/>
    </xf>
    <xf numFmtId="49" fontId="16" fillId="16" borderId="1" pivotButton="0" quotePrefix="0" xfId="43"/>
    <xf numFmtId="17" fontId="144" fillId="16" borderId="1" applyAlignment="1" pivotButton="0" quotePrefix="1" xfId="11">
      <alignment horizontal="center" vertical="center" wrapText="1"/>
    </xf>
    <xf numFmtId="164" fontId="16" fillId="16" borderId="1" applyAlignment="1" pivotButton="0" quotePrefix="0" xfId="43">
      <alignment horizontal="center"/>
    </xf>
    <xf numFmtId="177" fontId="26" fillId="0" borderId="1" applyAlignment="1" pivotButton="0" quotePrefix="0" xfId="43">
      <alignment horizontal="center"/>
    </xf>
    <xf numFmtId="164" fontId="143" fillId="16" borderId="1" pivotButton="0" quotePrefix="0" xfId="45"/>
    <xf numFmtId="164" fontId="16" fillId="16" borderId="1" pivotButton="0" quotePrefix="1" xfId="43"/>
    <xf numFmtId="164" fontId="145" fillId="16" borderId="1" applyAlignment="1" pivotButton="0" quotePrefix="0" xfId="39">
      <alignment horizontal="left"/>
    </xf>
    <xf numFmtId="177" fontId="26" fillId="16" borderId="1" pivotButton="0" quotePrefix="0" xfId="43"/>
    <xf numFmtId="164" fontId="26" fillId="16" borderId="1" applyAlignment="1" pivotButton="0" quotePrefix="0" xfId="43">
      <alignment horizontal="center"/>
    </xf>
    <xf numFmtId="166" fontId="13" fillId="16" borderId="14" pivotButton="0" quotePrefix="0" xfId="12"/>
    <xf numFmtId="173" fontId="21" fillId="16" borderId="1" applyAlignment="1" pivotButton="0" quotePrefix="0" xfId="11">
      <alignment horizontal="left" vertical="center"/>
    </xf>
    <xf numFmtId="16" fontId="26" fillId="16" borderId="1" pivotButton="0" quotePrefix="0" xfId="11"/>
    <xf numFmtId="9" fontId="41" fillId="16" borderId="13" pivotButton="0" quotePrefix="0" xfId="42"/>
    <xf numFmtId="49" fontId="19" fillId="11" borderId="1" applyAlignment="1" pivotButton="0" quotePrefix="0" xfId="11">
      <alignment horizontal="left"/>
    </xf>
    <xf numFmtId="16" fontId="19" fillId="11" borderId="1" pivotButton="0" quotePrefix="0" xfId="11"/>
    <xf numFmtId="165" fontId="19" fillId="11" borderId="1" pivotButton="0" quotePrefix="0" xfId="13"/>
    <xf numFmtId="164" fontId="19" fillId="11" borderId="1" pivotButton="0" quotePrefix="1" xfId="11"/>
    <xf numFmtId="0" fontId="26" fillId="0" borderId="1" applyAlignment="1" pivotButton="0" quotePrefix="0" xfId="11">
      <alignment horizontal="left"/>
    </xf>
    <xf numFmtId="173" fontId="26" fillId="0" borderId="1" applyAlignment="1" pivotButton="0" quotePrefix="1" xfId="11">
      <alignment horizontal="left" vertical="center"/>
    </xf>
    <xf numFmtId="0" fontId="21" fillId="0" borderId="1" applyAlignment="1" pivotButton="0" quotePrefix="0" xfId="11">
      <alignment horizontal="left" vertical="top"/>
    </xf>
    <xf numFmtId="164" fontId="5" fillId="16" borderId="1" applyAlignment="1" pivotButton="0" quotePrefix="0" xfId="45">
      <alignment horizontal="left" vertical="top"/>
    </xf>
    <xf numFmtId="0" fontId="21" fillId="0" borderId="1" pivotButton="0" quotePrefix="1" xfId="11"/>
    <xf numFmtId="166" fontId="37" fillId="0" borderId="1" applyAlignment="1" pivotButton="0" quotePrefix="0" xfId="12">
      <alignment horizontal="center" vertical="center"/>
    </xf>
    <xf numFmtId="166" fontId="3" fillId="0" borderId="1" pivotButton="0" quotePrefix="0" xfId="12"/>
    <xf numFmtId="165" fontId="3" fillId="0" borderId="1" pivotButton="0" quotePrefix="0" xfId="13"/>
    <xf numFmtId="168" fontId="37" fillId="0" borderId="15" pivotButton="0" quotePrefix="0" xfId="12"/>
    <xf numFmtId="9" fontId="3" fillId="0" borderId="11" pivotButton="0" quotePrefix="0" xfId="42"/>
    <xf numFmtId="164" fontId="3" fillId="0" borderId="38" pivotButton="0" quotePrefix="0" xfId="11"/>
    <xf numFmtId="168" fontId="3" fillId="26" borderId="1" pivotButton="0" quotePrefix="0" xfId="12"/>
    <xf numFmtId="164" fontId="3" fillId="26" borderId="1" pivotButton="0" quotePrefix="0" xfId="11"/>
    <xf numFmtId="164" fontId="37" fillId="26" borderId="39" pivotButton="0" quotePrefix="0" xfId="11"/>
    <xf numFmtId="164" fontId="3" fillId="16" borderId="1" applyAlignment="1" pivotButton="0" quotePrefix="0" xfId="11">
      <alignment horizontal="left"/>
    </xf>
    <xf numFmtId="165" fontId="36" fillId="16" borderId="1" applyAlignment="1" pivotButton="0" quotePrefix="0" xfId="13">
      <alignment horizontal="left"/>
    </xf>
    <xf numFmtId="9" fontId="3" fillId="16" borderId="1" applyAlignment="1" pivotButton="0" quotePrefix="0" xfId="42">
      <alignment horizontal="left"/>
    </xf>
    <xf numFmtId="49" fontId="0" fillId="0" borderId="1" pivotButton="0" quotePrefix="0" xfId="0"/>
    <xf numFmtId="164" fontId="21" fillId="16" borderId="1" applyAlignment="1" pivotButton="0" quotePrefix="0" xfId="11">
      <alignment horizontal="left" vertical="center"/>
    </xf>
    <xf numFmtId="184" fontId="3" fillId="16" borderId="1" pivotButton="0" quotePrefix="0" xfId="12"/>
    <xf numFmtId="0" fontId="21" fillId="0" borderId="1" pivotButton="0" quotePrefix="0" xfId="11"/>
    <xf numFmtId="16" fontId="26" fillId="0" borderId="1" pivotButton="0" quotePrefix="0" xfId="11"/>
    <xf numFmtId="166" fontId="21" fillId="16" borderId="1" pivotButton="0" quotePrefix="0" xfId="12"/>
    <xf numFmtId="168" fontId="21" fillId="16" borderId="1" applyAlignment="1" pivotButton="0" quotePrefix="0" xfId="48">
      <alignment horizontal="left"/>
    </xf>
    <xf numFmtId="164" fontId="145" fillId="16" borderId="1" pivotButton="0" quotePrefix="0" xfId="39"/>
    <xf numFmtId="167" fontId="146" fillId="16" borderId="1" pivotButton="0" quotePrefix="0" xfId="11"/>
    <xf numFmtId="16" fontId="142" fillId="16" borderId="1" pivotButton="0" quotePrefix="0" xfId="11"/>
    <xf numFmtId="168" fontId="146" fillId="16" borderId="1" pivotButton="0" quotePrefix="0" xfId="48"/>
    <xf numFmtId="167" fontId="146" fillId="16" borderId="1" pivotButton="0" quotePrefix="1" xfId="11"/>
    <xf numFmtId="164" fontId="37" fillId="16" borderId="38" pivotButton="0" quotePrefix="0" xfId="11"/>
    <xf numFmtId="164" fontId="147" fillId="16" borderId="1" pivotButton="0" quotePrefix="1" xfId="11"/>
    <xf numFmtId="1" fontId="99" fillId="16" borderId="1" pivotButton="0" quotePrefix="0" xfId="13"/>
    <xf numFmtId="1" fontId="97" fillId="17" borderId="37" pivotButton="0" quotePrefix="0" xfId="13"/>
    <xf numFmtId="1" fontId="37" fillId="17" borderId="37" pivotButton="0" quotePrefix="0" xfId="13"/>
    <xf numFmtId="1" fontId="97" fillId="17" borderId="41" pivotButton="0" quotePrefix="0" xfId="13"/>
    <xf numFmtId="172" fontId="73" fillId="16" borderId="1" pivotButton="0" quotePrefix="0" xfId="11"/>
    <xf numFmtId="16" fontId="37" fillId="16" borderId="1" pivotButton="0" quotePrefix="0" xfId="11"/>
    <xf numFmtId="168" fontId="133" fillId="16" borderId="1" pivotButton="0" quotePrefix="0" xfId="48"/>
    <xf numFmtId="167" fontId="133" fillId="16" borderId="1" pivotButton="0" quotePrefix="1" xfId="11"/>
    <xf numFmtId="164" fontId="107" fillId="16" borderId="1" pivotButton="0" quotePrefix="0" xfId="11"/>
    <xf numFmtId="9" fontId="41" fillId="16" borderId="40" pivotButton="0" quotePrefix="0" xfId="42"/>
    <xf numFmtId="9" fontId="36" fillId="16" borderId="1" pivotButton="0" quotePrefix="0" xfId="42"/>
    <xf numFmtId="164" fontId="148" fillId="16" borderId="30" pivotButton="0" quotePrefix="0" xfId="11"/>
    <xf numFmtId="175" fontId="148" fillId="16" borderId="30" pivotButton="0" quotePrefix="0" xfId="11"/>
    <xf numFmtId="166" fontId="149" fillId="16" borderId="30" pivotButton="0" quotePrefix="0" xfId="48"/>
    <xf numFmtId="164" fontId="148" fillId="16" borderId="1" pivotButton="0" quotePrefix="0" xfId="11"/>
    <xf numFmtId="175" fontId="148" fillId="16" borderId="1" pivotButton="0" quotePrefix="0" xfId="11"/>
    <xf numFmtId="9" fontId="149" fillId="16" borderId="1" pivotButton="0" quotePrefix="0" xfId="47"/>
    <xf numFmtId="9" fontId="41" fillId="16" borderId="1" pivotButton="0" quotePrefix="0" xfId="47"/>
    <xf numFmtId="166" fontId="97" fillId="11" borderId="41" pivotButton="0" quotePrefix="0" xfId="48"/>
    <xf numFmtId="1" fontId="97" fillId="26" borderId="41" pivotButton="0" quotePrefix="0" xfId="13"/>
    <xf numFmtId="175" fontId="37" fillId="16" borderId="1" pivotButton="0" quotePrefix="0" xfId="48"/>
    <xf numFmtId="16" fontId="20" fillId="16" borderId="1" pivotButton="0" quotePrefix="0" xfId="11"/>
    <xf numFmtId="0" fontId="28" fillId="0" borderId="1" applyAlignment="1" pivotButton="0" quotePrefix="0" xfId="11">
      <alignment horizontal="left"/>
    </xf>
    <xf numFmtId="16" fontId="26" fillId="0" borderId="1" applyAlignment="1" pivotButton="0" quotePrefix="0" xfId="11">
      <alignment horizontal="left"/>
    </xf>
    <xf numFmtId="166" fontId="37" fillId="38" borderId="1" pivotButton="0" quotePrefix="0" xfId="48"/>
    <xf numFmtId="168" fontId="131" fillId="16" borderId="1" pivotButton="0" quotePrefix="0" xfId="48"/>
    <xf numFmtId="167" fontId="131" fillId="16" borderId="1" pivotButton="0" quotePrefix="1" xfId="11"/>
    <xf numFmtId="164" fontId="3" fillId="44" borderId="1" pivotButton="0" quotePrefix="0" xfId="0"/>
    <xf numFmtId="9" fontId="97" fillId="11" borderId="41" pivotButton="0" quotePrefix="0" xfId="47"/>
    <xf numFmtId="164" fontId="100" fillId="16" borderId="1" pivotButton="0" quotePrefix="0" xfId="48"/>
    <xf numFmtId="14" fontId="73" fillId="16" borderId="1" pivotButton="0" quotePrefix="0" xfId="11"/>
    <xf numFmtId="165" fontId="37" fillId="16" borderId="1" pivotButton="0" quotePrefix="0" xfId="89"/>
    <xf numFmtId="167" fontId="151" fillId="16" borderId="1" pivotButton="0" quotePrefix="0" xfId="11"/>
    <xf numFmtId="16" fontId="152" fillId="16" borderId="1" pivotButton="0" quotePrefix="0" xfId="11"/>
    <xf numFmtId="164" fontId="153" fillId="16" borderId="1" pivotButton="0" quotePrefix="0" xfId="48"/>
    <xf numFmtId="167" fontId="154" fillId="0" borderId="1" pivotButton="0" quotePrefix="0" xfId="0"/>
    <xf numFmtId="167" fontId="155" fillId="26" borderId="13" pivotButton="0" quotePrefix="0" xfId="11"/>
    <xf numFmtId="9" fontId="37" fillId="0" borderId="1" pivotButton="0" quotePrefix="0" xfId="47"/>
    <xf numFmtId="167" fontId="151" fillId="0" borderId="1" pivotButton="0" quotePrefix="0" xfId="0"/>
    <xf numFmtId="167" fontId="154" fillId="16" borderId="1" pivotButton="0" quotePrefix="0" xfId="11"/>
    <xf numFmtId="16" fontId="156" fillId="16" borderId="1" pivotButton="0" quotePrefix="0" xfId="11"/>
    <xf numFmtId="164" fontId="157" fillId="16" borderId="1" pivotButton="0" quotePrefix="0" xfId="48"/>
    <xf numFmtId="9" fontId="64" fillId="0" borderId="1" pivotButton="0" quotePrefix="0" xfId="47"/>
    <xf numFmtId="164" fontId="37" fillId="0" borderId="1" applyAlignment="1" pivotButton="0" quotePrefix="0" xfId="0">
      <alignment horizontal="right"/>
    </xf>
    <xf numFmtId="166" fontId="65" fillId="0" borderId="1" pivotButton="0" quotePrefix="0" xfId="48"/>
    <xf numFmtId="164" fontId="134" fillId="11" borderId="1" pivotButton="0" quotePrefix="0" xfId="11"/>
    <xf numFmtId="175" fontId="134" fillId="11" borderId="1" pivotButton="0" quotePrefix="0" xfId="11"/>
    <xf numFmtId="169" fontId="0" fillId="0" borderId="1" pivotButton="0" quotePrefix="0" xfId="48"/>
    <xf numFmtId="164" fontId="25" fillId="16" borderId="1" applyAlignment="1" pivotButton="0" quotePrefix="0" xfId="11">
      <alignment horizontal="left"/>
    </xf>
    <xf numFmtId="166" fontId="3" fillId="11" borderId="1" pivotButton="0" quotePrefix="0" xfId="48"/>
    <xf numFmtId="164" fontId="64" fillId="11" borderId="1" pivotButton="0" quotePrefix="0" xfId="0"/>
    <xf numFmtId="164" fontId="3" fillId="11" borderId="1" pivotButton="0" quotePrefix="0" xfId="0"/>
    <xf numFmtId="173" fontId="21" fillId="11" borderId="1" applyAlignment="1" pivotButton="0" quotePrefix="1" xfId="11">
      <alignment horizontal="left" vertical="center"/>
    </xf>
    <xf numFmtId="164" fontId="21" fillId="11" borderId="1" pivotButton="0" quotePrefix="0" xfId="11"/>
    <xf numFmtId="16" fontId="21" fillId="11" borderId="1" pivotButton="0" quotePrefix="0" xfId="11"/>
    <xf numFmtId="165" fontId="21" fillId="11" borderId="1" pivotButton="0" quotePrefix="0" xfId="13"/>
    <xf numFmtId="164" fontId="5" fillId="11" borderId="1" pivotButton="0" quotePrefix="0" xfId="45"/>
    <xf numFmtId="0" fontId="21" fillId="11" borderId="1" applyAlignment="1" pivotButton="0" quotePrefix="1" xfId="11">
      <alignment horizontal="left"/>
    </xf>
    <xf numFmtId="164" fontId="21" fillId="11" borderId="1" pivotButton="0" quotePrefix="1" xfId="11"/>
    <xf numFmtId="164" fontId="21" fillId="16" borderId="1" applyAlignment="1" pivotButton="0" quotePrefix="1" xfId="11">
      <alignment wrapText="1"/>
    </xf>
    <xf numFmtId="164" fontId="37" fillId="0" borderId="30" pivotButton="0" quotePrefix="0" xfId="11"/>
    <xf numFmtId="175" fontId="97" fillId="0" borderId="30" pivotButton="0" quotePrefix="0" xfId="11"/>
    <xf numFmtId="166" fontId="41" fillId="0" borderId="30" pivotButton="0" quotePrefix="0" xfId="48"/>
    <xf numFmtId="166" fontId="41" fillId="16" borderId="30" pivotButton="0" quotePrefix="0" xfId="48"/>
    <xf numFmtId="166" fontId="37" fillId="11" borderId="1" applyAlignment="1" pivotButton="0" quotePrefix="0" xfId="12">
      <alignment horizontal="center" vertical="center"/>
    </xf>
    <xf numFmtId="165" fontId="3" fillId="11" borderId="1" pivotButton="0" quotePrefix="0" xfId="13"/>
    <xf numFmtId="168" fontId="37" fillId="11" borderId="15" pivotButton="0" quotePrefix="0" xfId="12"/>
    <xf numFmtId="164" fontId="37" fillId="11" borderId="39" pivotButton="0" quotePrefix="0" xfId="11"/>
    <xf numFmtId="9" fontId="3" fillId="11" borderId="11" pivotButton="0" quotePrefix="0" xfId="42"/>
    <xf numFmtId="164" fontId="3" fillId="11" borderId="38" pivotButton="0" quotePrefix="0" xfId="11"/>
    <xf numFmtId="169" fontId="3" fillId="39" borderId="1" pivotButton="0" quotePrefix="0" xfId="48"/>
    <xf numFmtId="164" fontId="97" fillId="0" borderId="41" applyAlignment="1" pivotButton="0" quotePrefix="0" xfId="11">
      <alignment horizontal="left" wrapText="1"/>
    </xf>
    <xf numFmtId="164" fontId="158" fillId="26" borderId="13" pivotButton="0" quotePrefix="0" xfId="11"/>
    <xf numFmtId="164" fontId="37" fillId="22" borderId="13" pivotButton="0" quotePrefix="0" xfId="11"/>
    <xf numFmtId="164" fontId="37" fillId="22" borderId="13" pivotButton="0" quotePrefix="1" xfId="11"/>
    <xf numFmtId="164" fontId="3" fillId="22" borderId="13" pivotButton="0" quotePrefix="0" xfId="11"/>
    <xf numFmtId="164" fontId="3" fillId="22" borderId="13" pivotButton="0" quotePrefix="1" xfId="11"/>
    <xf numFmtId="1" fontId="134" fillId="26" borderId="41" pivotButton="0" quotePrefix="0" xfId="13"/>
    <xf numFmtId="168" fontId="97" fillId="16" borderId="1" applyAlignment="1" pivotButton="0" quotePrefix="0" xfId="48">
      <alignment horizontal="left" wrapText="1"/>
    </xf>
    <xf numFmtId="166" fontId="97" fillId="16" borderId="1" applyAlignment="1" pivotButton="0" quotePrefix="0" xfId="48">
      <alignment horizontal="left" wrapText="1"/>
    </xf>
    <xf numFmtId="9" fontId="97" fillId="16" borderId="1" applyAlignment="1" pivotButton="0" quotePrefix="0" xfId="47">
      <alignment horizontal="right" wrapText="1"/>
    </xf>
    <xf numFmtId="168" fontId="134" fillId="16" borderId="1" applyAlignment="1" pivotButton="0" quotePrefix="0" xfId="48">
      <alignment horizontal="left" wrapText="1"/>
    </xf>
    <xf numFmtId="168" fontId="134" fillId="16" borderId="19" applyAlignment="1" pivotButton="0" quotePrefix="0" xfId="48">
      <alignment horizontal="left" wrapText="1"/>
    </xf>
    <xf numFmtId="175" fontId="97" fillId="0" borderId="19" applyAlignment="1" pivotButton="0" quotePrefix="0" xfId="48">
      <alignment horizontal="left" wrapText="1"/>
    </xf>
    <xf numFmtId="168" fontId="134" fillId="44" borderId="1" applyAlignment="1" pivotButton="0" quotePrefix="0" xfId="48">
      <alignment horizontal="left" wrapText="1"/>
    </xf>
    <xf numFmtId="168" fontId="134" fillId="44" borderId="19" applyAlignment="1" pivotButton="0" quotePrefix="0" xfId="48">
      <alignment horizontal="left" wrapText="1"/>
    </xf>
    <xf numFmtId="168" fontId="97" fillId="0" borderId="1" applyAlignment="1" pivotButton="0" quotePrefix="0" xfId="48">
      <alignment horizontal="left" wrapText="1"/>
    </xf>
    <xf numFmtId="171" fontId="159" fillId="16" borderId="1" applyAlignment="1" pivotButton="0" quotePrefix="0" xfId="11">
      <alignment horizontal="left" wrapText="1"/>
    </xf>
    <xf numFmtId="179" fontId="37" fillId="21" borderId="1" pivotButton="0" quotePrefix="0" xfId="0"/>
    <xf numFmtId="175" fontId="37" fillId="0" borderId="1" pivotButton="0" quotePrefix="0" xfId="0"/>
    <xf numFmtId="166" fontId="54" fillId="0" borderId="1" pivotButton="0" quotePrefix="0" xfId="48"/>
    <xf numFmtId="164" fontId="54" fillId="44" borderId="1" pivotButton="0" quotePrefix="0" xfId="0"/>
    <xf numFmtId="166" fontId="54" fillId="11" borderId="1" pivotButton="0" quotePrefix="0" xfId="48"/>
    <xf numFmtId="164" fontId="54" fillId="11" borderId="1" pivotButton="0" quotePrefix="0" xfId="0"/>
    <xf numFmtId="184" fontId="64" fillId="0" borderId="1" pivotButton="0" quotePrefix="0" xfId="47"/>
    <xf numFmtId="185" fontId="37" fillId="0" borderId="1" pivotButton="0" quotePrefix="0" xfId="89"/>
    <xf numFmtId="166" fontId="65" fillId="11" borderId="42" pivotButton="0" quotePrefix="0" xfId="48"/>
    <xf numFmtId="164" fontId="37" fillId="0" borderId="1" applyAlignment="1" pivotButton="0" quotePrefix="0" xfId="0">
      <alignment vertical="center"/>
    </xf>
    <xf numFmtId="175" fontId="64" fillId="0" borderId="1" pivotButton="0" quotePrefix="0" xfId="0"/>
    <xf numFmtId="166" fontId="65" fillId="35" borderId="1" pivotButton="0" quotePrefix="0" xfId="48"/>
    <xf numFmtId="175" fontId="37" fillId="0" borderId="30" pivotButton="0" quotePrefix="0" xfId="0"/>
    <xf numFmtId="175" fontId="3" fillId="0" borderId="1" pivotButton="0" quotePrefix="0" xfId="0"/>
    <xf numFmtId="185" fontId="64" fillId="0" borderId="1" pivotButton="0" quotePrefix="0" xfId="89"/>
    <xf numFmtId="164" fontId="64" fillId="46" borderId="1" pivotButton="0" quotePrefix="0" xfId="0"/>
    <xf numFmtId="164" fontId="3" fillId="46" borderId="1" pivotButton="0" quotePrefix="0" xfId="0"/>
    <xf numFmtId="166" fontId="64" fillId="46" borderId="1" pivotButton="0" quotePrefix="0" xfId="48"/>
    <xf numFmtId="9" fontId="64" fillId="46" borderId="1" pivotButton="0" quotePrefix="0" xfId="47"/>
    <xf numFmtId="175" fontId="65" fillId="0" borderId="19" pivotButton="0" quotePrefix="0" xfId="0"/>
    <xf numFmtId="179" fontId="37" fillId="21" borderId="1" applyAlignment="1" pivotButton="0" quotePrefix="0" xfId="0">
      <alignment horizontal="right"/>
    </xf>
    <xf numFmtId="164" fontId="51" fillId="0" borderId="1" pivotButton="0" quotePrefix="0" xfId="0"/>
    <xf numFmtId="166" fontId="36" fillId="16" borderId="1" pivotButton="0" quotePrefix="0" xfId="12"/>
    <xf numFmtId="164" fontId="47" fillId="0" borderId="1" pivotButton="0" quotePrefix="0" xfId="0"/>
    <xf numFmtId="168" fontId="100" fillId="16" borderId="1" pivotButton="0" quotePrefix="1" xfId="48"/>
    <xf numFmtId="186" fontId="97" fillId="29" borderId="13" applyAlignment="1" pivotButton="0" quotePrefix="0" xfId="11">
      <alignment horizontal="center"/>
    </xf>
    <xf numFmtId="173" fontId="21" fillId="11" borderId="1" applyAlignment="1" pivotButton="0" quotePrefix="0" xfId="11">
      <alignment horizontal="left"/>
    </xf>
    <xf numFmtId="172" fontId="21" fillId="11" borderId="1" pivotButton="0" quotePrefix="0" xfId="11"/>
    <xf numFmtId="166" fontId="21" fillId="11" borderId="1" pivotButton="0" quotePrefix="0" xfId="12"/>
    <xf numFmtId="168" fontId="21" fillId="11" borderId="1" applyAlignment="1" pivotButton="0" quotePrefix="0" xfId="48">
      <alignment horizontal="left"/>
    </xf>
    <xf numFmtId="164" fontId="28" fillId="16" borderId="1" pivotButton="0" quotePrefix="0" xfId="11"/>
    <xf numFmtId="164" fontId="28" fillId="16" borderId="1" applyAlignment="1" pivotButton="0" quotePrefix="0" xfId="11">
      <alignment horizontal="left"/>
    </xf>
    <xf numFmtId="164" fontId="28" fillId="16" borderId="1" applyAlignment="1" pivotButton="0" quotePrefix="0" xfId="11">
      <alignment horizontal="left" vertical="center"/>
    </xf>
    <xf numFmtId="0" fontId="28" fillId="0" borderId="1" applyAlignment="1" pivotButton="0" quotePrefix="0" xfId="11">
      <alignment horizontal="left" vertical="top"/>
    </xf>
    <xf numFmtId="164" fontId="37" fillId="26" borderId="1" applyAlignment="1" pivotButton="0" quotePrefix="0" xfId="0">
      <alignment horizontal="center"/>
    </xf>
    <xf numFmtId="164" fontId="0" fillId="26" borderId="1" pivotButton="0" quotePrefix="0" xfId="0"/>
    <xf numFmtId="166" fontId="0" fillId="26" borderId="1" pivotButton="0" quotePrefix="0" xfId="48"/>
    <xf numFmtId="169" fontId="0" fillId="26" borderId="1" pivotButton="0" quotePrefix="0" xfId="48"/>
    <xf numFmtId="166" fontId="54" fillId="26" borderId="1" pivotButton="0" quotePrefix="0" xfId="48"/>
    <xf numFmtId="164" fontId="3" fillId="0" borderId="1" pivotButton="0" quotePrefix="1" xfId="0"/>
    <xf numFmtId="16" fontId="20" fillId="16" borderId="1" applyAlignment="1" pivotButton="0" quotePrefix="0" xfId="11">
      <alignment horizontal="left"/>
    </xf>
    <xf numFmtId="165" fontId="20" fillId="16" borderId="1" applyAlignment="1" pivotButton="0" quotePrefix="0" xfId="13">
      <alignment horizontal="left"/>
    </xf>
    <xf numFmtId="164" fontId="21" fillId="0" borderId="1" applyAlignment="1" pivotButton="0" quotePrefix="0" xfId="11">
      <alignment horizontal="left"/>
    </xf>
    <xf numFmtId="16" fontId="19" fillId="16" borderId="1" applyAlignment="1" pivotButton="0" quotePrefix="0" xfId="11">
      <alignment horizontal="left"/>
    </xf>
    <xf numFmtId="165" fontId="19" fillId="16" borderId="1" applyAlignment="1" pivotButton="0" quotePrefix="0" xfId="13">
      <alignment horizontal="left"/>
    </xf>
    <xf numFmtId="187" fontId="99" fillId="16" borderId="1" pivotButton="0" quotePrefix="0" xfId="11"/>
    <xf numFmtId="49" fontId="13" fillId="16" borderId="1" applyAlignment="1" pivotButton="0" quotePrefix="1" xfId="43">
      <alignment horizontal="center"/>
    </xf>
    <xf numFmtId="165" fontId="5" fillId="16" borderId="1" applyAlignment="1" pivotButton="0" quotePrefix="0" xfId="45">
      <alignment horizontal="left" vertical="center" wrapText="1"/>
    </xf>
    <xf numFmtId="164" fontId="3" fillId="16" borderId="1" pivotButton="0" quotePrefix="0" xfId="0"/>
    <xf numFmtId="49" fontId="19" fillId="16" borderId="1" applyAlignment="1" pivotButton="0" quotePrefix="1" xfId="11">
      <alignment horizontal="left"/>
    </xf>
    <xf numFmtId="184" fontId="99" fillId="16" borderId="1" pivotButton="0" quotePrefix="0" xfId="47"/>
    <xf numFmtId="173" fontId="160" fillId="0" borderId="1" applyAlignment="1" pivotButton="0" quotePrefix="1" xfId="11">
      <alignment horizontal="left" vertical="center"/>
    </xf>
    <xf numFmtId="0" fontId="160" fillId="0" borderId="1" applyAlignment="1" pivotButton="0" quotePrefix="0" xfId="11">
      <alignment horizontal="left"/>
    </xf>
    <xf numFmtId="164" fontId="160" fillId="0" borderId="1" pivotButton="0" quotePrefix="0" xfId="11"/>
    <xf numFmtId="16" fontId="160" fillId="0" borderId="1" pivotButton="0" quotePrefix="0" xfId="11"/>
    <xf numFmtId="165" fontId="160" fillId="0" borderId="1" pivotButton="0" quotePrefix="0" xfId="13"/>
    <xf numFmtId="164" fontId="119" fillId="0" borderId="1" pivotButton="0" quotePrefix="0" xfId="11"/>
    <xf numFmtId="49" fontId="119" fillId="0" borderId="1" applyAlignment="1" pivotButton="0" quotePrefix="0" xfId="11">
      <alignment horizontal="left"/>
    </xf>
    <xf numFmtId="165" fontId="119" fillId="0" borderId="1" pivotButton="0" quotePrefix="0" xfId="13"/>
    <xf numFmtId="164" fontId="119" fillId="0" borderId="1" applyAlignment="1" pivotButton="0" quotePrefix="0" xfId="11">
      <alignment horizontal="left"/>
    </xf>
    <xf numFmtId="173" fontId="26" fillId="11" borderId="1" applyAlignment="1" pivotButton="0" quotePrefix="1" xfId="11">
      <alignment horizontal="left" vertical="center"/>
    </xf>
    <xf numFmtId="16" fontId="26" fillId="11" borderId="1" applyAlignment="1" pivotButton="0" quotePrefix="0" xfId="11">
      <alignment horizontal="left"/>
    </xf>
    <xf numFmtId="0" fontId="26" fillId="11" borderId="1" applyAlignment="1" pivotButton="0" quotePrefix="0" xfId="11">
      <alignment horizontal="left"/>
    </xf>
    <xf numFmtId="166" fontId="97" fillId="0" borderId="1" applyAlignment="1" pivotButton="0" quotePrefix="0" xfId="48">
      <alignment horizontal="left" wrapText="1"/>
    </xf>
    <xf numFmtId="166" fontId="25" fillId="16" borderId="1" pivotButton="0" quotePrefix="0" xfId="12"/>
    <xf numFmtId="164" fontId="25" fillId="16" borderId="1" pivotButton="0" quotePrefix="1" xfId="11"/>
    <xf numFmtId="172" fontId="16" fillId="16" borderId="1" pivotButton="0" quotePrefix="0" xfId="11"/>
    <xf numFmtId="9" fontId="37" fillId="16" borderId="1" pivotButton="0" quotePrefix="0" xfId="47"/>
    <xf numFmtId="167" fontId="100" fillId="0" borderId="1" pivotButton="0" quotePrefix="1" xfId="0"/>
    <xf numFmtId="171" fontId="20" fillId="9" borderId="8" applyAlignment="1" pivotButton="0" quotePrefix="0" xfId="11">
      <alignment vertical="center" wrapText="1"/>
    </xf>
    <xf numFmtId="171" fontId="20" fillId="14" borderId="14" applyAlignment="1" pivotButton="0" quotePrefix="1" xfId="11">
      <alignment horizontal="right" vertical="center"/>
    </xf>
    <xf numFmtId="171" fontId="19" fillId="16" borderId="14" pivotButton="0" quotePrefix="0" xfId="11"/>
    <xf numFmtId="171" fontId="3" fillId="16" borderId="1" pivotButton="0" quotePrefix="0" xfId="11"/>
    <xf numFmtId="171" fontId="21" fillId="16" borderId="1" applyAlignment="1" pivotButton="0" quotePrefix="0" xfId="11">
      <alignment horizontal="left" vertical="center" wrapText="1"/>
    </xf>
    <xf numFmtId="171" fontId="43" fillId="16" borderId="1" applyAlignment="1" pivotButton="0" quotePrefix="0" xfId="11">
      <alignment horizontal="left" vertical="center" wrapText="1"/>
    </xf>
    <xf numFmtId="171" fontId="49" fillId="16" borderId="1" applyAlignment="1" pivotButton="0" quotePrefix="0" xfId="11">
      <alignment horizontal="left" vertical="center" wrapText="1"/>
    </xf>
    <xf numFmtId="171" fontId="26" fillId="16" borderId="1" applyAlignment="1" pivotButton="0" quotePrefix="0" xfId="11">
      <alignment horizontal="left" vertical="center" wrapText="1"/>
    </xf>
    <xf numFmtId="171" fontId="19" fillId="16" borderId="15" pivotButton="0" quotePrefix="0" xfId="11"/>
    <xf numFmtId="0" fontId="21" fillId="11" borderId="1" applyAlignment="1" pivotButton="0" quotePrefix="0" xfId="11">
      <alignment horizontal="left" vertical="center" wrapText="1"/>
    </xf>
    <xf numFmtId="171" fontId="21" fillId="11" borderId="1" applyAlignment="1" pivotButton="0" quotePrefix="0" xfId="11">
      <alignment horizontal="left" vertical="center" wrapText="1"/>
    </xf>
    <xf numFmtId="0" fontId="161" fillId="16" borderId="1" pivotButton="0" quotePrefix="0" xfId="90"/>
    <xf numFmtId="0" fontId="161" fillId="21" borderId="1" pivotButton="0" quotePrefix="0" xfId="90"/>
    <xf numFmtId="0" fontId="162" fillId="16" borderId="1" pivotButton="0" quotePrefix="0" xfId="90"/>
    <xf numFmtId="21" fontId="161" fillId="21" borderId="1" pivotButton="0" quotePrefix="0" xfId="90"/>
    <xf numFmtId="16" fontId="21" fillId="0" borderId="1" pivotButton="0" quotePrefix="1" xfId="11"/>
    <xf numFmtId="0" fontId="165" fillId="21" borderId="1" pivotButton="0" quotePrefix="0" xfId="90"/>
    <xf numFmtId="0" fontId="165" fillId="16" borderId="1" pivotButton="0" quotePrefix="0" xfId="90"/>
    <xf numFmtId="168" fontId="161" fillId="16" borderId="1" pivotButton="0" quotePrefix="0" xfId="48"/>
    <xf numFmtId="167" fontId="163" fillId="26" borderId="1" pivotButton="0" quotePrefix="0" xfId="11"/>
    <xf numFmtId="173" fontId="26" fillId="16" borderId="1" applyAlignment="1" pivotButton="0" quotePrefix="1" xfId="11">
      <alignment horizontal="left" vertical="center"/>
    </xf>
    <xf numFmtId="0" fontId="26" fillId="16" borderId="1" applyAlignment="1" pivotButton="0" quotePrefix="0" xfId="11">
      <alignment horizontal="left"/>
    </xf>
    <xf numFmtId="165" fontId="21" fillId="16" borderId="1" pivotButton="0" quotePrefix="0" xfId="13"/>
    <xf numFmtId="0" fontId="5" fillId="16" borderId="1" applyAlignment="1" pivotButton="0" quotePrefix="0" xfId="39">
      <alignment horizontal="left" vertical="center" wrapText="1"/>
    </xf>
    <xf numFmtId="0" fontId="162" fillId="16" borderId="1" applyAlignment="1" pivotButton="0" quotePrefix="0" xfId="90">
      <alignment horizontal="center"/>
    </xf>
    <xf numFmtId="0" fontId="161" fillId="16" borderId="1" applyAlignment="1" pivotButton="0" quotePrefix="0" xfId="90">
      <alignment horizontal="center"/>
    </xf>
    <xf numFmtId="168" fontId="162" fillId="16" borderId="1" pivotButton="0" quotePrefix="0" xfId="90"/>
    <xf numFmtId="164" fontId="134" fillId="0" borderId="1" applyAlignment="1" pivotButton="0" quotePrefix="0" xfId="0">
      <alignment vertical="center" wrapText="1"/>
    </xf>
    <xf numFmtId="173" fontId="21" fillId="0" borderId="43" applyAlignment="1" pivotButton="0" quotePrefix="1" xfId="11">
      <alignment horizontal="left" vertical="center" wrapText="1"/>
    </xf>
    <xf numFmtId="164" fontId="19" fillId="16" borderId="43" applyAlignment="1" pivotButton="0" quotePrefix="0" xfId="11">
      <alignment vertical="center" wrapText="1"/>
    </xf>
    <xf numFmtId="164" fontId="19" fillId="16" borderId="43" applyAlignment="1" pivotButton="0" quotePrefix="0" xfId="11">
      <alignment horizontal="left" vertical="center" wrapText="1"/>
    </xf>
    <xf numFmtId="164" fontId="0" fillId="0" borderId="43" applyAlignment="1" pivotButton="0" quotePrefix="0" xfId="0">
      <alignment vertical="center" wrapText="1"/>
    </xf>
    <xf numFmtId="14" fontId="19" fillId="16" borderId="43" applyAlignment="1" pivotButton="0" quotePrefix="0" xfId="11">
      <alignment vertical="center" wrapText="1"/>
    </xf>
    <xf numFmtId="188" fontId="119" fillId="16" borderId="43" applyAlignment="1" pivotButton="0" quotePrefix="0" xfId="11">
      <alignment horizontal="left" vertical="center" wrapText="1"/>
    </xf>
    <xf numFmtId="164" fontId="134" fillId="0" borderId="1" applyAlignment="1" pivotButton="0" quotePrefix="0" xfId="0">
      <alignment horizontal="center" vertical="center" wrapText="1"/>
    </xf>
    <xf numFmtId="172" fontId="26" fillId="0" borderId="1" pivotButton="0" quotePrefix="0" xfId="11"/>
    <xf numFmtId="166" fontId="26" fillId="16" borderId="1" pivotButton="0" quotePrefix="0" xfId="12"/>
    <xf numFmtId="164" fontId="83" fillId="0" borderId="1" pivotButton="0" quotePrefix="0" xfId="45"/>
    <xf numFmtId="164" fontId="26" fillId="16" borderId="1" pivotButton="0" quotePrefix="1" xfId="11"/>
    <xf numFmtId="21" fontId="165" fillId="21" borderId="1" pivotButton="0" quotePrefix="0" xfId="90"/>
    <xf numFmtId="168" fontId="165" fillId="16" borderId="1" pivotButton="0" quotePrefix="0" xfId="48"/>
    <xf numFmtId="49" fontId="5" fillId="16" borderId="1" applyAlignment="1" pivotButton="0" quotePrefix="0" xfId="45">
      <alignment horizontal="left"/>
    </xf>
    <xf numFmtId="164" fontId="5" fillId="16" borderId="1" pivotButton="0" quotePrefix="0" xfId="39"/>
    <xf numFmtId="0" fontId="21" fillId="16" borderId="1" pivotButton="0" quotePrefix="0" xfId="11"/>
    <xf numFmtId="0" fontId="21" fillId="16" borderId="1" applyAlignment="1" pivotButton="0" quotePrefix="1" xfId="11">
      <alignment horizontal="left"/>
    </xf>
    <xf numFmtId="164" fontId="19" fillId="33" borderId="1" pivotButton="0" quotePrefix="0" xfId="11"/>
    <xf numFmtId="173" fontId="166" fillId="0" borderId="1" applyAlignment="1" pivotButton="0" quotePrefix="0" xfId="11">
      <alignment horizontal="left"/>
    </xf>
    <xf numFmtId="172" fontId="166" fillId="0" borderId="1" pivotButton="0" quotePrefix="0" xfId="11"/>
    <xf numFmtId="172" fontId="167" fillId="0" borderId="1" pivotButton="0" quotePrefix="0" xfId="11"/>
    <xf numFmtId="165" fontId="5" fillId="16" borderId="1" pivotButton="0" quotePrefix="0" xfId="45"/>
    <xf numFmtId="16" fontId="161" fillId="16" borderId="1" pivotButton="0" quotePrefix="0" xfId="90"/>
    <xf numFmtId="164" fontId="99" fillId="22" borderId="1" pivotButton="0" quotePrefix="0" xfId="11"/>
    <xf numFmtId="167" fontId="100" fillId="22" borderId="1" pivotButton="0" quotePrefix="0" xfId="11"/>
    <xf numFmtId="164" fontId="164" fillId="22" borderId="1" applyAlignment="1" pivotButton="0" quotePrefix="0" xfId="11">
      <alignment horizontal="left"/>
    </xf>
    <xf numFmtId="168" fontId="100" fillId="22" borderId="1" pivotButton="0" quotePrefix="0" xfId="48"/>
    <xf numFmtId="14" fontId="99" fillId="22" borderId="1" pivotButton="0" quotePrefix="0" xfId="11"/>
    <xf numFmtId="167" fontId="163" fillId="22" borderId="1" pivotButton="0" quotePrefix="0" xfId="11"/>
    <xf numFmtId="164" fontId="3" fillId="22" borderId="1" pivotButton="0" quotePrefix="0" xfId="11"/>
    <xf numFmtId="14" fontId="3" fillId="22" borderId="1" pivotButton="0" quotePrefix="0" xfId="11"/>
    <xf numFmtId="168" fontId="133" fillId="22" borderId="1" pivotButton="0" quotePrefix="0" xfId="48"/>
    <xf numFmtId="166" fontId="99" fillId="16" borderId="13" pivotButton="0" quotePrefix="0" xfId="48"/>
    <xf numFmtId="0" fontId="162" fillId="16" borderId="1" applyAlignment="1" pivotButton="0" quotePrefix="0" xfId="90">
      <alignment horizontal="right"/>
    </xf>
    <xf numFmtId="0" fontId="161" fillId="22" borderId="1" pivotButton="0" quotePrefix="0" xfId="90"/>
    <xf numFmtId="21" fontId="161" fillId="22" borderId="1" pivotButton="0" quotePrefix="0" xfId="90"/>
    <xf numFmtId="0" fontId="161" fillId="47" borderId="1" pivotButton="0" quotePrefix="0" xfId="90"/>
    <xf numFmtId="166" fontId="162" fillId="47" borderId="1" pivotButton="0" quotePrefix="0" xfId="90"/>
    <xf numFmtId="168" fontId="162" fillId="47" borderId="1" pivotButton="0" quotePrefix="0" xfId="90"/>
    <xf numFmtId="167" fontId="168" fillId="26" borderId="1" pivotButton="0" quotePrefix="0" xfId="11"/>
    <xf numFmtId="189" fontId="162" fillId="16" borderId="1" pivotButton="0" quotePrefix="0" xfId="90"/>
    <xf numFmtId="189" fontId="161" fillId="21" borderId="1" pivotButton="0" quotePrefix="0" xfId="90"/>
    <xf numFmtId="189" fontId="165" fillId="21" borderId="1" pivotButton="0" quotePrefix="0" xfId="90"/>
    <xf numFmtId="189" fontId="161" fillId="22" borderId="1" pivotButton="0" quotePrefix="0" xfId="90"/>
    <xf numFmtId="189" fontId="161" fillId="47" borderId="1" pivotButton="0" quotePrefix="0" xfId="90"/>
    <xf numFmtId="189" fontId="161" fillId="16" borderId="1" pivotButton="0" quotePrefix="0" xfId="90"/>
    <xf numFmtId="168" fontId="161" fillId="22" borderId="1" pivotButton="0" quotePrefix="0" xfId="48"/>
    <xf numFmtId="168" fontId="161" fillId="16" borderId="1" pivotButton="0" quotePrefix="0" xfId="90"/>
    <xf numFmtId="166" fontId="149" fillId="16" borderId="13" pivotButton="0" quotePrefix="0" xfId="48"/>
    <xf numFmtId="164" fontId="19" fillId="16" borderId="1" applyAlignment="1" pivotButton="0" quotePrefix="1" xfId="11">
      <alignment wrapText="1"/>
    </xf>
    <xf numFmtId="168" fontId="169" fillId="16" borderId="1" pivotButton="0" quotePrefix="0" xfId="48"/>
    <xf numFmtId="0" fontId="169" fillId="16" borderId="1" pivotButton="0" quotePrefix="0" xfId="90"/>
    <xf numFmtId="167" fontId="170" fillId="26" borderId="1" pivotButton="0" quotePrefix="0" xfId="11"/>
    <xf numFmtId="166" fontId="99" fillId="22" borderId="1" pivotButton="0" quotePrefix="0" xfId="48"/>
    <xf numFmtId="166" fontId="149" fillId="16" borderId="1" pivotButton="0" quotePrefix="0" xfId="48"/>
    <xf numFmtId="166" fontId="108" fillId="22" borderId="1" pivotButton="0" quotePrefix="0" xfId="48"/>
    <xf numFmtId="0" fontId="161" fillId="45" borderId="1" pivotButton="0" quotePrefix="0" xfId="90"/>
    <xf numFmtId="189" fontId="161" fillId="45" borderId="1" pivotButton="0" quotePrefix="0" xfId="90"/>
    <xf numFmtId="21" fontId="161" fillId="45" borderId="1" pivotButton="0" quotePrefix="0" xfId="90"/>
    <xf numFmtId="16" fontId="161" fillId="16" borderId="1" applyAlignment="1" pivotButton="0" quotePrefix="0" xfId="90">
      <alignment horizontal="center"/>
    </xf>
    <xf numFmtId="168" fontId="161" fillId="22" borderId="1" pivotButton="0" quotePrefix="0" xfId="90"/>
    <xf numFmtId="189" fontId="165" fillId="16" borderId="1" pivotButton="0" quotePrefix="0" xfId="90"/>
    <xf numFmtId="21" fontId="165" fillId="16" borderId="1" pivotButton="0" quotePrefix="0" xfId="90"/>
    <xf numFmtId="173" fontId="21" fillId="22" borderId="1" applyAlignment="1" pivotButton="0" quotePrefix="1" xfId="11">
      <alignment horizontal="left" vertical="center"/>
    </xf>
    <xf numFmtId="164" fontId="19" fillId="22" borderId="1" pivotButton="0" quotePrefix="0" xfId="11"/>
    <xf numFmtId="16" fontId="21" fillId="22" borderId="1" pivotButton="0" quotePrefix="1" xfId="11"/>
    <xf numFmtId="16" fontId="21" fillId="22" borderId="1" pivotButton="0" quotePrefix="0" xfId="11"/>
    <xf numFmtId="49" fontId="119" fillId="22" borderId="1" applyAlignment="1" pivotButton="0" quotePrefix="0" xfId="11">
      <alignment horizontal="left"/>
    </xf>
    <xf numFmtId="0" fontId="169" fillId="45" borderId="1" pivotButton="0" quotePrefix="0" xfId="90"/>
    <xf numFmtId="189" fontId="169" fillId="45" borderId="1" pivotButton="0" quotePrefix="0" xfId="90"/>
    <xf numFmtId="21" fontId="169" fillId="45" borderId="1" pivotButton="0" quotePrefix="0" xfId="90"/>
    <xf numFmtId="16" fontId="169" fillId="16" borderId="1" pivotButton="0" quotePrefix="0" xfId="90"/>
    <xf numFmtId="164" fontId="26" fillId="16" borderId="1" applyAlignment="1" pivotButton="0" quotePrefix="0" xfId="11">
      <alignment horizontal="left"/>
    </xf>
    <xf numFmtId="0" fontId="26" fillId="0" borderId="1" pivotButton="0" quotePrefix="0" xfId="11"/>
    <xf numFmtId="164" fontId="26" fillId="0" borderId="1" pivotButton="0" quotePrefix="0" xfId="11"/>
    <xf numFmtId="164" fontId="26" fillId="16" borderId="1" applyAlignment="1" pivotButton="0" quotePrefix="0" xfId="11">
      <alignment horizontal="left" vertical="center"/>
    </xf>
    <xf numFmtId="168" fontId="37" fillId="16" borderId="1" applyAlignment="1" pivotButton="0" quotePrefix="0" xfId="12">
      <alignment horizontal="center" wrapText="1"/>
    </xf>
    <xf numFmtId="164" fontId="5" fillId="16" borderId="1" applyAlignment="1" pivotButton="0" quotePrefix="0" xfId="45">
      <alignment horizontal="left"/>
    </xf>
    <xf numFmtId="0" fontId="5" fillId="22" borderId="1" pivotButton="0" quotePrefix="0" xfId="45"/>
    <xf numFmtId="164" fontId="19" fillId="16" borderId="1" applyAlignment="1" pivotButton="0" quotePrefix="0" xfId="11">
      <alignment wrapText="1"/>
    </xf>
    <xf numFmtId="16" fontId="165" fillId="16" borderId="1" pivotButton="0" quotePrefix="0" xfId="90"/>
    <xf numFmtId="168" fontId="165" fillId="16" borderId="1" pivotButton="0" quotePrefix="0" xfId="90"/>
    <xf numFmtId="0" fontId="165" fillId="45" borderId="1" pivotButton="0" quotePrefix="0" xfId="90"/>
    <xf numFmtId="189" fontId="165" fillId="45" borderId="1" pivotButton="0" quotePrefix="0" xfId="90"/>
    <xf numFmtId="21" fontId="165" fillId="45" borderId="1" pivotButton="0" quotePrefix="0" xfId="90"/>
    <xf numFmtId="16" fontId="21" fillId="0" borderId="1" applyAlignment="1" pivotButton="0" quotePrefix="0" xfId="11">
      <alignment horizontal="left"/>
    </xf>
    <xf numFmtId="164" fontId="5" fillId="16" borderId="1" pivotButton="0" quotePrefix="1" xfId="45"/>
    <xf numFmtId="175" fontId="0" fillId="0" borderId="1" pivotButton="0" quotePrefix="0" xfId="0"/>
    <xf numFmtId="166" fontId="97" fillId="0" borderId="1" applyAlignment="1" pivotButton="0" quotePrefix="0" xfId="48">
      <alignment horizontal="right" wrapText="1"/>
    </xf>
    <xf numFmtId="166" fontId="97" fillId="0" borderId="19" applyAlignment="1" pivotButton="0" quotePrefix="0" xfId="48">
      <alignment horizontal="left" wrapText="1"/>
    </xf>
    <xf numFmtId="168" fontId="26" fillId="16" borderId="1" applyAlignment="1" pivotButton="0" quotePrefix="0" xfId="48">
      <alignment horizontal="left"/>
    </xf>
    <xf numFmtId="0" fontId="5" fillId="0" borderId="1" applyAlignment="1" pivotButton="0" quotePrefix="0" xfId="39">
      <alignment horizontal="left" vertical="center" wrapText="1"/>
    </xf>
    <xf numFmtId="190" fontId="161" fillId="45" borderId="1" applyAlignment="1" pivotButton="0" quotePrefix="0" xfId="90">
      <alignment horizontal="left"/>
    </xf>
    <xf numFmtId="190" fontId="169" fillId="45" borderId="1" applyAlignment="1" pivotButton="0" quotePrefix="0" xfId="90">
      <alignment horizontal="left"/>
    </xf>
    <xf numFmtId="16" fontId="26" fillId="0" borderId="1" pivotButton="0" quotePrefix="1" xfId="11"/>
    <xf numFmtId="164" fontId="26" fillId="33" borderId="1" pivotButton="0" quotePrefix="0" xfId="11"/>
    <xf numFmtId="190" fontId="161" fillId="45" borderId="1" pivotButton="0" quotePrefix="0" xfId="90"/>
    <xf numFmtId="0" fontId="39" fillId="45" borderId="1" pivotButton="0" quotePrefix="0" xfId="90"/>
    <xf numFmtId="173" fontId="26" fillId="22" borderId="1" applyAlignment="1" pivotButton="0" quotePrefix="1" xfId="11">
      <alignment horizontal="left" vertical="center"/>
    </xf>
    <xf numFmtId="164" fontId="26" fillId="22" borderId="1" pivotButton="0" quotePrefix="0" xfId="11"/>
    <xf numFmtId="49" fontId="26" fillId="22" borderId="1" applyAlignment="1" pivotButton="0" quotePrefix="0" xfId="11">
      <alignment horizontal="left"/>
    </xf>
    <xf numFmtId="16" fontId="26" fillId="22" borderId="1" pivotButton="0" quotePrefix="0" xfId="11"/>
    <xf numFmtId="15" fontId="161" fillId="45" borderId="1" applyAlignment="1" pivotButton="0" quotePrefix="0" xfId="90">
      <alignment horizontal="left"/>
    </xf>
    <xf numFmtId="173" fontId="21" fillId="12" borderId="1" applyAlignment="1" pivotButton="0" quotePrefix="1" xfId="11">
      <alignment horizontal="left" vertical="center"/>
    </xf>
    <xf numFmtId="164" fontId="119" fillId="12" borderId="1" pivotButton="0" quotePrefix="0" xfId="11"/>
    <xf numFmtId="16" fontId="21" fillId="12" borderId="1" pivotButton="0" quotePrefix="1" xfId="11"/>
    <xf numFmtId="16" fontId="21" fillId="12" borderId="1" pivotButton="0" quotePrefix="0" xfId="11"/>
    <xf numFmtId="164" fontId="21" fillId="12" borderId="1" pivotButton="0" quotePrefix="0" xfId="11"/>
    <xf numFmtId="164" fontId="21" fillId="12" borderId="1" applyAlignment="1" pivotButton="0" quotePrefix="0" xfId="11">
      <alignment horizontal="left"/>
    </xf>
    <xf numFmtId="164" fontId="21" fillId="12" borderId="1" applyAlignment="1" pivotButton="0" quotePrefix="0" xfId="11">
      <alignment horizontal="left" vertical="center"/>
    </xf>
    <xf numFmtId="164" fontId="21" fillId="12" borderId="1" pivotButton="0" quotePrefix="1" xfId="11"/>
    <xf numFmtId="164" fontId="5" fillId="12" borderId="1" pivotButton="0" quotePrefix="0" xfId="45"/>
    <xf numFmtId="2" fontId="97" fillId="0" borderId="1" applyAlignment="1" pivotButton="0" quotePrefix="0" xfId="48">
      <alignment horizontal="right" wrapText="1"/>
    </xf>
    <xf numFmtId="164" fontId="134" fillId="11" borderId="12" applyAlignment="1" pivotButton="0" quotePrefix="0" xfId="11">
      <alignment horizontal="center"/>
    </xf>
    <xf numFmtId="164" fontId="134" fillId="11" borderId="1" applyAlignment="1" pivotButton="0" quotePrefix="0" xfId="11">
      <alignment horizontal="center"/>
    </xf>
    <xf numFmtId="164" fontId="11" fillId="16" borderId="11" applyAlignment="1" pivotButton="0" quotePrefix="0" xfId="11">
      <alignment horizontal="center"/>
    </xf>
    <xf numFmtId="164" fontId="129" fillId="16" borderId="22" applyAlignment="1" pivotButton="0" quotePrefix="0" xfId="11">
      <alignment horizontal="center"/>
    </xf>
    <xf numFmtId="164" fontId="37" fillId="11" borderId="1" applyAlignment="1" pivotButton="0" quotePrefix="0" xfId="0">
      <alignment horizontal="center"/>
    </xf>
    <xf numFmtId="164" fontId="37" fillId="17" borderId="1" applyAlignment="1" pivotButton="0" quotePrefix="0" xfId="0">
      <alignment horizontal="center"/>
    </xf>
    <xf numFmtId="164" fontId="37" fillId="45" borderId="1" applyAlignment="1" pivotButton="0" quotePrefix="0" xfId="0">
      <alignment horizontal="center"/>
    </xf>
    <xf numFmtId="1" fontId="3" fillId="16" borderId="1" applyAlignment="1" pivotButton="0" quotePrefix="0" xfId="13">
      <alignment horizontal="left"/>
    </xf>
    <xf numFmtId="1" fontId="99" fillId="16" borderId="1" applyAlignment="1" pivotButton="0" quotePrefix="0" xfId="13">
      <alignment horizontal="left"/>
    </xf>
    <xf numFmtId="164" fontId="3" fillId="16" borderId="21" applyAlignment="1" pivotButton="0" quotePrefix="0" xfId="11">
      <alignment horizontal="center"/>
    </xf>
    <xf numFmtId="164" fontId="3" fillId="16" borderId="22" applyAlignment="1" pivotButton="0" quotePrefix="0" xfId="11">
      <alignment horizontal="center"/>
    </xf>
    <xf numFmtId="164" fontId="3" fillId="16" borderId="23" applyAlignment="1" pivotButton="0" quotePrefix="0" xfId="11">
      <alignment horizontal="center"/>
    </xf>
    <xf numFmtId="173" fontId="28" fillId="0" borderId="1" applyAlignment="1" pivotButton="0" quotePrefix="1" xfId="11">
      <alignment horizontal="center" vertical="center"/>
    </xf>
    <xf numFmtId="173" fontId="28" fillId="26" borderId="1" applyAlignment="1" pivotButton="0" quotePrefix="1" xfId="11">
      <alignment horizontal="center" vertical="center"/>
    </xf>
    <xf numFmtId="164" fontId="3" fillId="16" borderId="1" pivotButton="0" quotePrefix="0" xfId="11"/>
    <xf numFmtId="164" fontId="37" fillId="16" borderId="13" pivotButton="0" quotePrefix="0" xfId="11"/>
    <xf numFmtId="164" fontId="37" fillId="29" borderId="13" applyAlignment="1" pivotButton="0" quotePrefix="0" xfId="11">
      <alignment horizontal="center"/>
    </xf>
    <xf numFmtId="164" fontId="37" fillId="11" borderId="13" pivotButton="0" quotePrefix="1" xfId="11"/>
    <xf numFmtId="164" fontId="10" fillId="16" borderId="1" pivotButton="0" quotePrefix="0" xfId="11"/>
    <xf numFmtId="164" fontId="11" fillId="16" borderId="1" applyAlignment="1" pivotButton="0" quotePrefix="0" xfId="11">
      <alignment horizontal="left"/>
    </xf>
    <xf numFmtId="0" fontId="0" fillId="0" borderId="0" pivotButton="0" quotePrefix="0" xfId="0"/>
    <xf numFmtId="164" fontId="11" fillId="16" borderId="11" applyAlignment="1" pivotButton="0" quotePrefix="0" xfId="11">
      <alignment horizontal="center"/>
    </xf>
    <xf numFmtId="0" fontId="0" fillId="0" borderId="11" pivotButton="0" quotePrefix="0" xfId="0"/>
    <xf numFmtId="164" fontId="11" fillId="2" borderId="2" applyAlignment="1" pivotButton="0" quotePrefix="1" xfId="11">
      <alignment horizontal="left"/>
    </xf>
    <xf numFmtId="164" fontId="10" fillId="4" borderId="3" applyAlignment="1" pivotButton="0" quotePrefix="0" xfId="11">
      <alignment horizontal="left"/>
    </xf>
    <xf numFmtId="164" fontId="18" fillId="16" borderId="1" pivotButton="0" quotePrefix="0" xfId="11"/>
    <xf numFmtId="164" fontId="25" fillId="16" borderId="1" pivotButton="0" quotePrefix="0" xfId="11"/>
    <xf numFmtId="164" fontId="10" fillId="16" borderId="1" applyAlignment="1" pivotButton="0" quotePrefix="0" xfId="11">
      <alignment vertical="center"/>
    </xf>
    <xf numFmtId="164" fontId="11" fillId="5" borderId="3" applyAlignment="1" pivotButton="0" quotePrefix="0" xfId="11">
      <alignment horizontal="left"/>
    </xf>
    <xf numFmtId="164" fontId="11" fillId="5" borderId="4" applyAlignment="1" pivotButton="0" quotePrefix="0" xfId="11">
      <alignment horizontal="left"/>
    </xf>
    <xf numFmtId="164" fontId="29" fillId="16" borderId="1" applyAlignment="1" pivotButton="0" quotePrefix="0" xfId="11">
      <alignment vertical="center"/>
    </xf>
    <xf numFmtId="164" fontId="10" fillId="5" borderId="3" applyAlignment="1" pivotButton="0" quotePrefix="0" xfId="11">
      <alignment horizontal="left"/>
    </xf>
    <xf numFmtId="164" fontId="11" fillId="5" borderId="5" applyAlignment="1" pivotButton="0" quotePrefix="0" xfId="11">
      <alignment horizontal="left"/>
    </xf>
    <xf numFmtId="164" fontId="10" fillId="16" borderId="1" applyAlignment="1" pivotButton="0" quotePrefix="0" xfId="11">
      <alignment horizontal="center"/>
    </xf>
    <xf numFmtId="164" fontId="129" fillId="16" borderId="22" applyAlignment="1" pivotButton="0" quotePrefix="0" xfId="11">
      <alignment horizontal="center"/>
    </xf>
    <xf numFmtId="0" fontId="0" fillId="0" borderId="22" pivotButton="0" quotePrefix="0" xfId="0"/>
    <xf numFmtId="164" fontId="10" fillId="16" borderId="6" applyAlignment="1" pivotButton="0" quotePrefix="0" xfId="11">
      <alignment vertical="center"/>
    </xf>
    <xf numFmtId="164" fontId="3" fillId="0" borderId="1" pivotButton="0" quotePrefix="0" xfId="0"/>
    <xf numFmtId="164" fontId="0" fillId="0" borderId="1" pivotButton="0" quotePrefix="0" xfId="0"/>
    <xf numFmtId="164" fontId="37" fillId="0" borderId="1" pivotButton="0" quotePrefix="0" xfId="0"/>
    <xf numFmtId="164" fontId="37" fillId="11" borderId="1" applyAlignment="1" pivotButton="0" quotePrefix="0" xfId="0">
      <alignment horizontal="center"/>
    </xf>
    <xf numFmtId="164" fontId="37" fillId="17" borderId="1" applyAlignment="1" pivotButton="0" quotePrefix="0" xfId="0">
      <alignment horizontal="center"/>
    </xf>
    <xf numFmtId="164" fontId="37" fillId="45" borderId="1" applyAlignment="1" pivotButton="0" quotePrefix="0" xfId="0">
      <alignment horizontal="center"/>
    </xf>
    <xf numFmtId="164" fontId="99" fillId="16" borderId="1" pivotButton="0" quotePrefix="0" xfId="11"/>
    <xf numFmtId="168" fontId="99" fillId="16" borderId="1" pivotButton="0" quotePrefix="0" xfId="12"/>
    <xf numFmtId="171" fontId="159" fillId="16" borderId="1" applyAlignment="1" pivotButton="0" quotePrefix="0" xfId="11">
      <alignment horizontal="left" wrapText="1"/>
    </xf>
    <xf numFmtId="168" fontId="97" fillId="16" borderId="1" applyAlignment="1" pivotButton="0" quotePrefix="0" xfId="48">
      <alignment horizontal="left" wrapText="1"/>
    </xf>
    <xf numFmtId="164" fontId="147" fillId="16" borderId="1" pivotButton="0" quotePrefix="1" xfId="11"/>
    <xf numFmtId="164" fontId="3" fillId="16" borderId="1" pivotButton="0" quotePrefix="0" xfId="11"/>
    <xf numFmtId="168" fontId="99" fillId="16" borderId="1" pivotButton="0" quotePrefix="0" xfId="48"/>
    <xf numFmtId="183" fontId="99" fillId="11" borderId="13" pivotButton="0" quotePrefix="0" xfId="13"/>
    <xf numFmtId="168" fontId="134" fillId="16" borderId="1" applyAlignment="1" pivotButton="0" quotePrefix="0" xfId="48">
      <alignment horizontal="left" wrapText="1"/>
    </xf>
    <xf numFmtId="168" fontId="97" fillId="16" borderId="1" applyAlignment="1" pivotButton="0" quotePrefix="0" xfId="12">
      <alignment horizontal="left" wrapText="1"/>
    </xf>
    <xf numFmtId="164" fontId="97" fillId="16" borderId="1" applyAlignment="1" pivotButton="0" quotePrefix="0" xfId="11">
      <alignment horizontal="left" wrapText="1"/>
    </xf>
    <xf numFmtId="181" fontId="99" fillId="16" borderId="1" pivotButton="0" quotePrefix="0" xfId="48"/>
    <xf numFmtId="182" fontId="99" fillId="11" borderId="13" pivotButton="0" quotePrefix="0" xfId="13"/>
    <xf numFmtId="164" fontId="37" fillId="16" borderId="1" pivotButton="0" quotePrefix="0" xfId="11"/>
    <xf numFmtId="168" fontId="134" fillId="44" borderId="1" applyAlignment="1" pivotButton="0" quotePrefix="0" xfId="48">
      <alignment horizontal="left" wrapText="1"/>
    </xf>
    <xf numFmtId="168" fontId="36" fillId="16" borderId="1" pivotButton="0" quotePrefix="0" xfId="12"/>
    <xf numFmtId="167" fontId="100" fillId="16" borderId="1" pivotButton="0" quotePrefix="0" xfId="11"/>
    <xf numFmtId="164" fontId="37" fillId="16" borderId="1" applyAlignment="1" pivotButton="0" quotePrefix="0" xfId="11">
      <alignment wrapText="1"/>
    </xf>
    <xf numFmtId="164" fontId="3" fillId="11" borderId="1" pivotButton="0" quotePrefix="0" xfId="11"/>
    <xf numFmtId="164" fontId="36" fillId="16" borderId="1" pivotButton="0" quotePrefix="0" xfId="11"/>
    <xf numFmtId="164" fontId="158" fillId="26" borderId="13" pivotButton="0" quotePrefix="0" xfId="11"/>
    <xf numFmtId="164" fontId="97" fillId="11" borderId="13" pivotButton="0" quotePrefix="0" xfId="11"/>
    <xf numFmtId="186" fontId="97" fillId="29" borderId="13" applyAlignment="1" pivotButton="0" quotePrefix="0" xfId="11">
      <alignment horizontal="center"/>
    </xf>
    <xf numFmtId="164" fontId="97" fillId="11" borderId="13" applyAlignment="1" pivotButton="0" quotePrefix="0" xfId="11">
      <alignment horizontal="center"/>
    </xf>
    <xf numFmtId="164" fontId="37" fillId="17" borderId="1" pivotButton="0" quotePrefix="0" xfId="11"/>
    <xf numFmtId="164" fontId="98" fillId="29" borderId="13" pivotButton="0" quotePrefix="0" xfId="11"/>
    <xf numFmtId="164" fontId="98" fillId="29" borderId="26" pivotButton="0" quotePrefix="0" xfId="11"/>
    <xf numFmtId="164" fontId="3" fillId="16" borderId="1" pivotButton="0" quotePrefix="1" xfId="11"/>
    <xf numFmtId="175" fontId="37" fillId="16" borderId="1" pivotButton="0" quotePrefix="0" xfId="48"/>
    <xf numFmtId="175" fontId="99" fillId="16" borderId="1" pivotButton="0" quotePrefix="0" xfId="11"/>
    <xf numFmtId="168" fontId="134" fillId="16" borderId="19" applyAlignment="1" pivotButton="0" quotePrefix="0" xfId="48">
      <alignment horizontal="left" wrapText="1"/>
    </xf>
    <xf numFmtId="164" fontId="37" fillId="22" borderId="13" pivotButton="0" quotePrefix="0" xfId="11"/>
    <xf numFmtId="175" fontId="3" fillId="16" borderId="1" pivotButton="0" quotePrefix="0" xfId="11"/>
    <xf numFmtId="168" fontId="134" fillId="44" borderId="19" applyAlignment="1" pivotButton="0" quotePrefix="0" xfId="48">
      <alignment horizontal="left" wrapText="1"/>
    </xf>
    <xf numFmtId="164" fontId="37" fillId="22" borderId="13" pivotButton="0" quotePrefix="1" xfId="11"/>
    <xf numFmtId="164" fontId="3" fillId="22" borderId="13" pivotButton="0" quotePrefix="0" xfId="11"/>
    <xf numFmtId="167" fontId="131" fillId="16" borderId="1" pivotButton="0" quotePrefix="0" xfId="11"/>
    <xf numFmtId="167" fontId="113" fillId="16" borderId="1" pivotButton="0" quotePrefix="0" xfId="11"/>
    <xf numFmtId="168" fontId="112" fillId="16" borderId="1" pivotButton="0" quotePrefix="0" xfId="12"/>
    <xf numFmtId="164" fontId="112" fillId="16" borderId="1" pivotButton="0" quotePrefix="0" xfId="11"/>
    <xf numFmtId="164" fontId="3" fillId="22" borderId="13" pivotButton="0" quotePrefix="1" xfId="11"/>
    <xf numFmtId="168" fontId="100" fillId="16" borderId="1" pivotButton="0" quotePrefix="0" xfId="48"/>
    <xf numFmtId="167" fontId="100" fillId="16" borderId="1" pivotButton="0" quotePrefix="1" xfId="11"/>
    <xf numFmtId="164" fontId="97" fillId="0" borderId="41" applyAlignment="1" pivotButton="0" quotePrefix="0" xfId="11">
      <alignment horizontal="left" wrapText="1"/>
    </xf>
    <xf numFmtId="175" fontId="97" fillId="16" borderId="1" pivotButton="0" quotePrefix="0" xfId="11"/>
    <xf numFmtId="164" fontId="37" fillId="0" borderId="30" pivotButton="0" quotePrefix="0" xfId="11"/>
    <xf numFmtId="175" fontId="97" fillId="0" borderId="30" pivotButton="0" quotePrefix="0" xfId="11"/>
    <xf numFmtId="164" fontId="134" fillId="11" borderId="12" applyAlignment="1" pivotButton="0" quotePrefix="0" xfId="11">
      <alignment horizontal="center"/>
    </xf>
    <xf numFmtId="175" fontId="134" fillId="11" borderId="1" pivotButton="0" quotePrefix="0" xfId="11"/>
    <xf numFmtId="164" fontId="115" fillId="16" borderId="1" applyAlignment="1" pivotButton="0" quotePrefix="0" xfId="11">
      <alignment horizontal="center" wrapText="1"/>
    </xf>
    <xf numFmtId="164" fontId="112" fillId="16" borderId="1" pivotButton="0" quotePrefix="1" xfId="11"/>
    <xf numFmtId="164" fontId="148" fillId="16" borderId="30" pivotButton="0" quotePrefix="0" xfId="11"/>
    <xf numFmtId="175" fontId="148" fillId="16" borderId="30" pivotButton="0" quotePrefix="0" xfId="11"/>
    <xf numFmtId="164" fontId="148" fillId="16" borderId="1" pivotButton="0" quotePrefix="0" xfId="11"/>
    <xf numFmtId="175" fontId="148" fillId="16" borderId="1" pivotButton="0" quotePrefix="0" xfId="11"/>
    <xf numFmtId="164" fontId="104" fillId="16" borderId="1" applyAlignment="1" pivotButton="0" quotePrefix="1" xfId="11">
      <alignment horizontal="right"/>
    </xf>
    <xf numFmtId="175" fontId="37" fillId="16" borderId="1" pivotButton="0" quotePrefix="0" xfId="11"/>
    <xf numFmtId="187" fontId="99" fillId="16" borderId="1" pivotButton="0" quotePrefix="0" xfId="11"/>
    <xf numFmtId="164" fontId="37" fillId="16" borderId="1" applyAlignment="1" pivotButton="0" quotePrefix="1" xfId="11">
      <alignment horizontal="right"/>
    </xf>
    <xf numFmtId="167" fontId="100" fillId="0" borderId="1" pivotButton="0" quotePrefix="0" xfId="0"/>
    <xf numFmtId="167" fontId="100" fillId="0" borderId="1" pivotButton="0" quotePrefix="1" xfId="0"/>
    <xf numFmtId="164" fontId="97" fillId="16" borderId="1" applyAlignment="1" pivotButton="0" quotePrefix="1" xfId="11">
      <alignment horizontal="right"/>
    </xf>
    <xf numFmtId="168" fontId="133" fillId="16" borderId="1" pivotButton="0" quotePrefix="0" xfId="48"/>
    <xf numFmtId="167" fontId="105" fillId="27" borderId="13" pivotButton="0" quotePrefix="0" xfId="11"/>
    <xf numFmtId="167" fontId="108" fillId="27" borderId="13" pivotButton="0" quotePrefix="0" xfId="11"/>
    <xf numFmtId="168" fontId="37" fillId="16" borderId="1" applyAlignment="1" pivotButton="0" quotePrefix="0" xfId="12">
      <alignment horizontal="center" wrapText="1"/>
    </xf>
    <xf numFmtId="164" fontId="37" fillId="16" borderId="1" applyAlignment="1" pivotButton="0" quotePrefix="0" xfId="11">
      <alignment horizontal="center"/>
    </xf>
    <xf numFmtId="167" fontId="110" fillId="27" borderId="30" pivotButton="0" quotePrefix="0" xfId="11"/>
    <xf numFmtId="164" fontId="99" fillId="22" borderId="1" pivotButton="0" quotePrefix="0" xfId="11"/>
    <xf numFmtId="164" fontId="3" fillId="22" borderId="1" pivotButton="0" quotePrefix="0" xfId="11"/>
    <xf numFmtId="164" fontId="164" fillId="22" borderId="1" applyAlignment="1" pivotButton="0" quotePrefix="0" xfId="11">
      <alignment horizontal="left"/>
    </xf>
    <xf numFmtId="167" fontId="163" fillId="22" borderId="1" pivotButton="0" quotePrefix="0" xfId="11"/>
    <xf numFmtId="164" fontId="99" fillId="26" borderId="2" pivotButton="0" quotePrefix="0" xfId="11"/>
    <xf numFmtId="164" fontId="99" fillId="26" borderId="28" pivotButton="0" quotePrefix="0" xfId="11"/>
    <xf numFmtId="164" fontId="37" fillId="16" borderId="13" pivotButton="0" quotePrefix="0" xfId="11"/>
    <xf numFmtId="164" fontId="37" fillId="11" borderId="13" pivotButton="0" quotePrefix="0" xfId="11"/>
    <xf numFmtId="164" fontId="37" fillId="29" borderId="13" applyAlignment="1" pivotButton="0" quotePrefix="0" xfId="11">
      <alignment horizontal="center"/>
    </xf>
    <xf numFmtId="164" fontId="97" fillId="29" borderId="13" applyAlignment="1" pivotButton="0" quotePrefix="0" xfId="11">
      <alignment horizontal="center"/>
    </xf>
    <xf numFmtId="164" fontId="3" fillId="16" borderId="13" pivotButton="0" quotePrefix="0" xfId="11"/>
    <xf numFmtId="164" fontId="3" fillId="16" borderId="13" pivotButton="0" quotePrefix="1" xfId="11"/>
    <xf numFmtId="164" fontId="97" fillId="16" borderId="13" applyAlignment="1" pivotButton="0" quotePrefix="0" xfId="11">
      <alignment horizontal="left" wrapText="1"/>
    </xf>
    <xf numFmtId="164" fontId="97" fillId="16" borderId="13" pivotButton="0" quotePrefix="0" xfId="11"/>
    <xf numFmtId="167" fontId="100" fillId="22" borderId="1" pivotButton="0" quotePrefix="0" xfId="11"/>
    <xf numFmtId="168" fontId="100" fillId="22" borderId="1" pivotButton="0" quotePrefix="0" xfId="48"/>
    <xf numFmtId="164" fontId="97" fillId="16" borderId="37" applyAlignment="1" pivotButton="0" quotePrefix="0" xfId="11">
      <alignment horizontal="left" wrapText="1"/>
    </xf>
    <xf numFmtId="164" fontId="97" fillId="16" borderId="41" applyAlignment="1" pivotButton="0" quotePrefix="0" xfId="11">
      <alignment horizontal="left" wrapText="1"/>
    </xf>
    <xf numFmtId="164" fontId="97" fillId="11" borderId="1" pivotButton="0" quotePrefix="0" xfId="11"/>
    <xf numFmtId="184" fontId="99" fillId="16" borderId="1" pivotButton="0" quotePrefix="0" xfId="47"/>
    <xf numFmtId="164" fontId="99" fillId="16" borderId="30" pivotButton="0" quotePrefix="0" xfId="11"/>
    <xf numFmtId="168" fontId="133" fillId="22" borderId="1" pivotButton="0" quotePrefix="0" xfId="48"/>
    <xf numFmtId="167" fontId="118" fillId="16" borderId="1" pivotButton="0" quotePrefix="0" xfId="11"/>
    <xf numFmtId="164" fontId="97" fillId="16" borderId="1" pivotButton="0" quotePrefix="0" xfId="11"/>
    <xf numFmtId="168" fontId="97" fillId="16" borderId="1" pivotButton="0" quotePrefix="0" xfId="12"/>
    <xf numFmtId="167" fontId="13" fillId="26" borderId="13" pivotButton="0" quotePrefix="0" xfId="11"/>
    <xf numFmtId="164" fontId="3" fillId="26" borderId="13" pivotButton="0" quotePrefix="0" xfId="11"/>
    <xf numFmtId="164" fontId="99" fillId="26" borderId="13" pivotButton="0" quotePrefix="0" xfId="11"/>
    <xf numFmtId="168" fontId="3" fillId="26" borderId="13" pivotButton="0" quotePrefix="0" xfId="12"/>
    <xf numFmtId="164" fontId="3" fillId="26" borderId="13" pivotButton="0" quotePrefix="1" xfId="11"/>
    <xf numFmtId="168" fontId="97" fillId="0" borderId="1" applyAlignment="1" pivotButton="0" quotePrefix="0" xfId="48">
      <alignment horizontal="left" wrapText="1"/>
    </xf>
    <xf numFmtId="175" fontId="97" fillId="0" borderId="19" applyAlignment="1" pivotButton="0" quotePrefix="0" xfId="48">
      <alignment horizontal="left" wrapText="1"/>
    </xf>
    <xf numFmtId="164" fontId="134" fillId="11" borderId="1" pivotButton="0" quotePrefix="0" xfId="11"/>
    <xf numFmtId="164" fontId="107" fillId="16" borderId="1" pivotButton="0" quotePrefix="0" xfId="11"/>
    <xf numFmtId="167" fontId="133" fillId="16" borderId="1" pivotButton="0" quotePrefix="0" xfId="11"/>
    <xf numFmtId="167" fontId="133" fillId="16" borderId="1" pivotButton="0" quotePrefix="1" xfId="11"/>
    <xf numFmtId="164" fontId="37" fillId="11" borderId="13" pivotButton="0" quotePrefix="1" xfId="11"/>
    <xf numFmtId="168" fontId="37" fillId="16" borderId="1" applyAlignment="1" pivotButton="0" quotePrefix="0" xfId="12">
      <alignment horizontal="center"/>
    </xf>
    <xf numFmtId="167" fontId="151" fillId="16" borderId="1" pivotButton="0" quotePrefix="0" xfId="11"/>
    <xf numFmtId="164" fontId="153" fillId="16" borderId="1" pivotButton="0" quotePrefix="0" xfId="48"/>
    <xf numFmtId="167" fontId="154" fillId="0" borderId="1" pivotButton="0" quotePrefix="0" xfId="0"/>
    <xf numFmtId="167" fontId="154" fillId="16" borderId="1" pivotButton="0" quotePrefix="0" xfId="11"/>
    <xf numFmtId="164" fontId="157" fillId="16" borderId="1" pivotButton="0" quotePrefix="0" xfId="48"/>
    <xf numFmtId="167" fontId="151" fillId="0" borderId="1" pivotButton="0" quotePrefix="0" xfId="0"/>
    <xf numFmtId="164" fontId="37" fillId="29" borderId="13" pivotButton="0" quotePrefix="0" xfId="11"/>
    <xf numFmtId="168" fontId="100" fillId="16" borderId="1" pivotButton="0" quotePrefix="1" xfId="48"/>
    <xf numFmtId="168" fontId="131" fillId="16" borderId="1" pivotButton="0" quotePrefix="0" xfId="48"/>
    <xf numFmtId="167" fontId="131" fillId="16" borderId="1" pivotButton="0" quotePrefix="1" xfId="11"/>
    <xf numFmtId="168" fontId="132" fillId="16" borderId="1" pivotButton="0" quotePrefix="0" xfId="12"/>
    <xf numFmtId="167" fontId="116" fillId="16" borderId="1" pivotButton="0" quotePrefix="0" xfId="11"/>
    <xf numFmtId="164" fontId="103" fillId="16" borderId="1" pivotButton="0" quotePrefix="0" xfId="11"/>
    <xf numFmtId="164" fontId="5" fillId="16" borderId="1" pivotButton="0" quotePrefix="0" xfId="45"/>
    <xf numFmtId="167" fontId="155" fillId="26" borderId="13" pivotButton="0" quotePrefix="0" xfId="11"/>
    <xf numFmtId="165" fontId="37" fillId="16" borderId="1" pivotButton="0" quotePrefix="0" xfId="89"/>
    <xf numFmtId="164" fontId="100" fillId="16" borderId="1" pivotButton="0" quotePrefix="0" xfId="48"/>
    <xf numFmtId="175" fontId="99" fillId="16" borderId="1" pivotButton="0" quotePrefix="0" xfId="48"/>
    <xf numFmtId="175" fontId="99" fillId="43" borderId="1" pivotButton="0" quotePrefix="0" xfId="11"/>
    <xf numFmtId="167" fontId="146" fillId="16" borderId="1" pivotButton="0" quotePrefix="0" xfId="11"/>
    <xf numFmtId="168" fontId="146" fillId="16" borderId="1" pivotButton="0" quotePrefix="0" xfId="48"/>
    <xf numFmtId="167" fontId="146" fillId="16" borderId="1" pivotButton="0" quotePrefix="1" xfId="11"/>
    <xf numFmtId="164" fontId="127" fillId="11" borderId="1" pivotButton="0" quotePrefix="0" xfId="11"/>
    <xf numFmtId="168" fontId="103" fillId="11" borderId="1" pivotButton="0" quotePrefix="0" xfId="12"/>
    <xf numFmtId="164" fontId="99" fillId="11" borderId="1" pivotButton="0" quotePrefix="0" xfId="11"/>
    <xf numFmtId="167" fontId="17" fillId="16" borderId="1" pivotButton="0" quotePrefix="0" xfId="11"/>
    <xf numFmtId="164" fontId="103" fillId="16" borderId="1" pivotButton="0" quotePrefix="1" xfId="11"/>
    <xf numFmtId="164" fontId="103" fillId="11" borderId="1" pivotButton="0" quotePrefix="0" xfId="11"/>
    <xf numFmtId="164" fontId="99" fillId="16" borderId="1" pivotButton="0" quotePrefix="1" xfId="11"/>
    <xf numFmtId="164" fontId="54" fillId="16" borderId="1" pivotButton="0" quotePrefix="0" xfId="11"/>
    <xf numFmtId="168" fontId="41" fillId="16" borderId="1" pivotButton="0" quotePrefix="0" xfId="12"/>
    <xf numFmtId="168" fontId="99" fillId="26" borderId="13" pivotButton="0" quotePrefix="0" xfId="48"/>
    <xf numFmtId="167" fontId="13" fillId="16" borderId="1" pivotButton="0" quotePrefix="0" xfId="11"/>
    <xf numFmtId="168" fontId="3" fillId="16" borderId="1" pivotButton="0" quotePrefix="0" xfId="12"/>
    <xf numFmtId="164" fontId="97" fillId="29" borderId="13" pivotButton="0" quotePrefix="0" xfId="11"/>
    <xf numFmtId="164" fontId="132" fillId="16" borderId="1" pivotButton="0" quotePrefix="0" xfId="11"/>
    <xf numFmtId="175" fontId="99" fillId="11" borderId="1" pivotButton="0" quotePrefix="0" xfId="11"/>
    <xf numFmtId="168" fontId="100" fillId="0" borderId="1" pivotButton="0" quotePrefix="0" xfId="0"/>
    <xf numFmtId="173" fontId="140" fillId="0" borderId="1" applyAlignment="1" pivotButton="0" quotePrefix="0" xfId="0">
      <alignment horizontal="left"/>
    </xf>
    <xf numFmtId="168" fontId="3" fillId="0" borderId="1" pivotButton="0" quotePrefix="0" xfId="0"/>
    <xf numFmtId="168" fontId="139" fillId="41" borderId="1" pivotButton="0" quotePrefix="0" xfId="0"/>
    <xf numFmtId="164" fontId="3" fillId="0" borderId="1" pivotButton="0" quotePrefix="0" xfId="11"/>
    <xf numFmtId="167" fontId="13" fillId="0" borderId="1" pivotButton="0" quotePrefix="0" xfId="11"/>
    <xf numFmtId="168" fontId="3" fillId="0" borderId="1" pivotButton="0" quotePrefix="0" xfId="12"/>
    <xf numFmtId="164" fontId="3" fillId="0" borderId="1" pivotButton="0" quotePrefix="1" xfId="11"/>
    <xf numFmtId="164" fontId="36" fillId="16" borderId="1" pivotButton="0" quotePrefix="1" xfId="11"/>
    <xf numFmtId="164" fontId="41" fillId="16" borderId="1" pivotButton="0" quotePrefix="0" xfId="11"/>
    <xf numFmtId="168" fontId="54" fillId="16" borderId="1" pivotButton="0" quotePrefix="0" xfId="12"/>
    <xf numFmtId="168" fontId="3" fillId="16" borderId="1" pivotButton="0" quotePrefix="0" xfId="48"/>
    <xf numFmtId="164" fontId="36" fillId="0" borderId="1" pivotButton="0" quotePrefix="0" xfId="11"/>
    <xf numFmtId="168" fontId="36" fillId="0" borderId="1" pivotButton="0" quotePrefix="0" xfId="48"/>
    <xf numFmtId="168" fontId="3" fillId="0" borderId="1" pivotButton="0" quotePrefix="0" xfId="48"/>
    <xf numFmtId="167" fontId="117" fillId="16" borderId="1" pivotButton="0" quotePrefix="0" xfId="11"/>
    <xf numFmtId="168" fontId="99" fillId="0" borderId="1" pivotButton="0" quotePrefix="0" xfId="48"/>
    <xf numFmtId="164" fontId="97" fillId="16" borderId="13" applyAlignment="1" pivotButton="0" quotePrefix="0" xfId="11">
      <alignment horizontal="center"/>
    </xf>
    <xf numFmtId="164" fontId="98" fillId="16" borderId="13" pivotButton="0" quotePrefix="0" xfId="11"/>
    <xf numFmtId="164" fontId="98" fillId="16" borderId="26" pivotButton="0" quotePrefix="0" xfId="11"/>
    <xf numFmtId="168" fontId="101" fillId="16" borderId="1" pivotButton="0" quotePrefix="0" xfId="12"/>
    <xf numFmtId="164" fontId="102" fillId="16" borderId="1" pivotButton="0" quotePrefix="0" xfId="11"/>
    <xf numFmtId="164" fontId="99" fillId="16" borderId="13" pivotButton="0" quotePrefix="0" xfId="11"/>
    <xf numFmtId="164" fontId="99" fillId="16" borderId="1" pivotButton="0" quotePrefix="0" xfId="48"/>
    <xf numFmtId="164" fontId="102" fillId="16" borderId="1" pivotButton="0" quotePrefix="1" xfId="11"/>
    <xf numFmtId="164" fontId="99" fillId="16" borderId="13" pivotButton="0" quotePrefix="1" xfId="11"/>
    <xf numFmtId="168" fontId="114" fillId="16" borderId="1" pivotButton="0" quotePrefix="0" xfId="12"/>
    <xf numFmtId="164" fontId="98" fillId="11" borderId="26" pivotButton="0" quotePrefix="0" xfId="11"/>
    <xf numFmtId="168" fontId="107" fillId="16" borderId="1" pivotButton="0" quotePrefix="0" xfId="12"/>
    <xf numFmtId="168" fontId="103" fillId="16" borderId="1" pivotButton="0" quotePrefix="0" xfId="12"/>
    <xf numFmtId="164" fontId="3" fillId="0" borderId="1" pivotButton="0" quotePrefix="1" xfId="0"/>
    <xf numFmtId="175" fontId="0" fillId="0" borderId="1" pivotButton="0" quotePrefix="0" xfId="0"/>
    <xf numFmtId="175" fontId="37" fillId="0" borderId="30" pivotButton="0" quotePrefix="0" xfId="0"/>
    <xf numFmtId="175" fontId="37" fillId="0" borderId="1" pivotButton="0" quotePrefix="0" xfId="0"/>
    <xf numFmtId="164" fontId="37" fillId="0" borderId="30" pivotButton="0" quotePrefix="0" xfId="0"/>
    <xf numFmtId="164" fontId="64" fillId="0" borderId="1" pivotButton="0" quotePrefix="0" xfId="0"/>
    <xf numFmtId="164" fontId="37" fillId="0" borderId="1" applyAlignment="1" pivotButton="0" quotePrefix="0" xfId="0">
      <alignment horizontal="center"/>
    </xf>
    <xf numFmtId="179" fontId="37" fillId="21" borderId="1" pivotButton="0" quotePrefix="0" xfId="0"/>
    <xf numFmtId="179" fontId="37" fillId="11" borderId="1" pivotButton="0" quotePrefix="0" xfId="0"/>
    <xf numFmtId="164" fontId="37" fillId="0" borderId="1" applyAlignment="1" pivotButton="0" quotePrefix="0" xfId="0">
      <alignment vertical="center"/>
    </xf>
    <xf numFmtId="175" fontId="64" fillId="0" borderId="1" pivotButton="0" quotePrefix="0" xfId="0"/>
    <xf numFmtId="164" fontId="65" fillId="0" borderId="1" pivotButton="0" quotePrefix="0" xfId="0"/>
    <xf numFmtId="185" fontId="64" fillId="0" borderId="1" pivotButton="0" quotePrefix="0" xfId="89"/>
    <xf numFmtId="164" fontId="64" fillId="46" borderId="1" pivotButton="0" quotePrefix="0" xfId="0"/>
    <xf numFmtId="164" fontId="3" fillId="46" borderId="1" pivotButton="0" quotePrefix="0" xfId="0"/>
    <xf numFmtId="184" fontId="64" fillId="0" borderId="1" pivotButton="0" quotePrefix="0" xfId="47"/>
    <xf numFmtId="164" fontId="3" fillId="0" borderId="30" pivotButton="0" quotePrefix="0" xfId="0"/>
    <xf numFmtId="164" fontId="3" fillId="16" borderId="1" pivotButton="0" quotePrefix="0" xfId="0"/>
    <xf numFmtId="164" fontId="3" fillId="11" borderId="1" pivotButton="0" quotePrefix="0" xfId="0"/>
    <xf numFmtId="164" fontId="54" fillId="0" borderId="1" pivotButton="0" quotePrefix="0" xfId="0"/>
    <xf numFmtId="164" fontId="3" fillId="44" borderId="1" pivotButton="0" quotePrefix="0" xfId="0"/>
    <xf numFmtId="175" fontId="65" fillId="0" borderId="19" pivotButton="0" quotePrefix="0" xfId="0"/>
    <xf numFmtId="164" fontId="64" fillId="11" borderId="1" pivotButton="0" quotePrefix="0" xfId="0"/>
    <xf numFmtId="164" fontId="54" fillId="44" borderId="1" pivotButton="0" quotePrefix="0" xfId="0"/>
    <xf numFmtId="164" fontId="54" fillId="11" borderId="1" pivotButton="0" quotePrefix="0" xfId="0"/>
    <xf numFmtId="175" fontId="3" fillId="0" borderId="1" pivotButton="0" quotePrefix="0" xfId="0"/>
    <xf numFmtId="164" fontId="37" fillId="0" borderId="19" pivotButton="0" quotePrefix="0" xfId="0"/>
    <xf numFmtId="164" fontId="37" fillId="0" borderId="38" pivotButton="0" quotePrefix="0" xfId="0"/>
    <xf numFmtId="164" fontId="37" fillId="38" borderId="1" pivotButton="0" quotePrefix="0" xfId="0"/>
    <xf numFmtId="164" fontId="136" fillId="29" borderId="1" pivotButton="0" quotePrefix="0" xfId="0"/>
    <xf numFmtId="164" fontId="36" fillId="26" borderId="1" pivotButton="0" quotePrefix="0" xfId="0"/>
    <xf numFmtId="164" fontId="135" fillId="0" borderId="30" pivotButton="0" quotePrefix="0" xfId="0"/>
    <xf numFmtId="175" fontId="135" fillId="0" borderId="30" pivotButton="0" quotePrefix="0" xfId="0"/>
    <xf numFmtId="185" fontId="37" fillId="0" borderId="1" pivotButton="0" quotePrefix="0" xfId="89"/>
    <xf numFmtId="164" fontId="37" fillId="0" borderId="1" applyAlignment="1" pivotButton="0" quotePrefix="0" xfId="0">
      <alignment horizontal="right"/>
    </xf>
    <xf numFmtId="164" fontId="142" fillId="0" borderId="1" pivotButton="0" quotePrefix="0" xfId="0"/>
    <xf numFmtId="164" fontId="51" fillId="0" borderId="1" pivotButton="0" quotePrefix="0" xfId="0"/>
    <xf numFmtId="179" fontId="37" fillId="21" borderId="1" applyAlignment="1" pivotButton="0" quotePrefix="0" xfId="0">
      <alignment horizontal="right"/>
    </xf>
    <xf numFmtId="164" fontId="37" fillId="40" borderId="1" pivotButton="0" quotePrefix="0" xfId="11"/>
    <xf numFmtId="165" fontId="3" fillId="16" borderId="1" pivotButton="0" quotePrefix="0" xfId="13"/>
    <xf numFmtId="164" fontId="37" fillId="11" borderId="1" pivotButton="0" quotePrefix="0" xfId="11"/>
    <xf numFmtId="168" fontId="3" fillId="11" borderId="1" pivotButton="0" quotePrefix="0" xfId="12"/>
    <xf numFmtId="168" fontId="37" fillId="11" borderId="1" applyAlignment="1" pivotButton="0" quotePrefix="0" xfId="12">
      <alignment horizontal="right"/>
    </xf>
    <xf numFmtId="164" fontId="3" fillId="11" borderId="1" applyAlignment="1" pivotButton="0" quotePrefix="0" xfId="11">
      <alignment horizontal="left" indent="3"/>
    </xf>
    <xf numFmtId="168" fontId="37" fillId="16" borderId="1" pivotButton="0" quotePrefix="0" xfId="12"/>
    <xf numFmtId="168" fontId="37" fillId="16" borderId="15" pivotButton="0" quotePrefix="0" xfId="12"/>
    <xf numFmtId="169" fontId="3" fillId="16" borderId="1" pivotButton="0" quotePrefix="0" xfId="12"/>
    <xf numFmtId="165" fontId="36" fillId="16" borderId="1" pivotButton="0" quotePrefix="0" xfId="13"/>
    <xf numFmtId="168" fontId="37" fillId="11" borderId="1" pivotButton="0" quotePrefix="0" xfId="12"/>
    <xf numFmtId="164" fontId="3" fillId="16" borderId="1" applyAlignment="1" pivotButton="0" quotePrefix="0" xfId="11">
      <alignment horizontal="left"/>
    </xf>
    <xf numFmtId="165" fontId="36" fillId="16" borderId="1" applyAlignment="1" pivotButton="0" quotePrefix="0" xfId="13">
      <alignment horizontal="left"/>
    </xf>
    <xf numFmtId="164" fontId="37" fillId="16" borderId="33" pivotButton="0" quotePrefix="0" xfId="11"/>
    <xf numFmtId="164" fontId="52" fillId="16" borderId="1" pivotButton="0" quotePrefix="0" xfId="11"/>
    <xf numFmtId="164" fontId="53" fillId="16" borderId="1" pivotButton="0" quotePrefix="0" xfId="11"/>
    <xf numFmtId="164" fontId="52" fillId="12" borderId="1" pivotButton="0" quotePrefix="0" xfId="11"/>
    <xf numFmtId="164" fontId="57" fillId="16" borderId="1" pivotButton="0" quotePrefix="0" xfId="11"/>
    <xf numFmtId="164" fontId="59" fillId="16" borderId="1" pivotButton="0" quotePrefix="0" xfId="11"/>
    <xf numFmtId="164" fontId="55" fillId="16" borderId="1" pivotButton="0" quotePrefix="0" xfId="39"/>
    <xf numFmtId="164" fontId="61" fillId="16" borderId="1" pivotButton="0" quotePrefix="0" xfId="11"/>
    <xf numFmtId="164" fontId="52" fillId="0" borderId="1" pivotButton="0" quotePrefix="0" xfId="11"/>
    <xf numFmtId="164" fontId="13" fillId="16" borderId="1" pivotButton="0" quotePrefix="0" xfId="11"/>
    <xf numFmtId="164" fontId="52" fillId="15" borderId="1" pivotButton="0" quotePrefix="0" xfId="11"/>
    <xf numFmtId="164" fontId="5" fillId="0" borderId="1" applyAlignment="1" pivotButton="0" quotePrefix="0" xfId="45">
      <alignment wrapText="1"/>
    </xf>
    <xf numFmtId="164" fontId="5" fillId="0" borderId="1" pivotButton="0" quotePrefix="0" xfId="45"/>
    <xf numFmtId="164" fontId="55" fillId="16" borderId="1" applyAlignment="1" pivotButton="0" quotePrefix="0" xfId="39">
      <alignment horizontal="left"/>
    </xf>
    <xf numFmtId="164" fontId="52" fillId="16" borderId="1" pivotButton="0" quotePrefix="1" xfId="11"/>
    <xf numFmtId="164" fontId="53" fillId="16" borderId="1" applyAlignment="1" pivotButton="0" quotePrefix="0" xfId="11">
      <alignment horizontal="right"/>
    </xf>
    <xf numFmtId="164" fontId="56" fillId="16" borderId="1" pivotButton="0" quotePrefix="0" xfId="39"/>
    <xf numFmtId="164" fontId="61" fillId="16" borderId="1" pivotButton="0" quotePrefix="1" xfId="11"/>
    <xf numFmtId="164" fontId="59" fillId="12" borderId="1" pivotButton="0" quotePrefix="0" xfId="11"/>
    <xf numFmtId="164" fontId="55" fillId="16" borderId="1" applyAlignment="1" pivotButton="0" quotePrefix="0" xfId="39">
      <alignment vertical="center"/>
    </xf>
    <xf numFmtId="164" fontId="121" fillId="16" borderId="1" pivotButton="0" quotePrefix="0" xfId="39"/>
    <xf numFmtId="164" fontId="52" fillId="39" borderId="1" pivotButton="0" quotePrefix="0" xfId="11"/>
    <xf numFmtId="164" fontId="5" fillId="16" borderId="1" pivotButton="0" quotePrefix="0" xfId="39"/>
    <xf numFmtId="164" fontId="5" fillId="0" borderId="1" applyAlignment="1" pivotButton="0" quotePrefix="0" xfId="45">
      <alignment vertical="center" wrapText="1"/>
    </xf>
    <xf numFmtId="164" fontId="54" fillId="12" borderId="1" pivotButton="0" quotePrefix="0" xfId="11"/>
    <xf numFmtId="164" fontId="53" fillId="11" borderId="1" pivotButton="0" quotePrefix="0" xfId="11"/>
    <xf numFmtId="164" fontId="52" fillId="22" borderId="1" pivotButton="0" quotePrefix="0" xfId="11"/>
    <xf numFmtId="164" fontId="53" fillId="16" borderId="15" pivotButton="0" quotePrefix="0" xfId="11"/>
    <xf numFmtId="164" fontId="52" fillId="16" borderId="15" pivotButton="0" quotePrefix="0" xfId="11"/>
    <xf numFmtId="165" fontId="53" fillId="16" borderId="1" pivotButton="0" quotePrefix="0" xfId="13"/>
    <xf numFmtId="164" fontId="53" fillId="16" borderId="19" pivotButton="0" quotePrefix="0" xfId="11"/>
    <xf numFmtId="164" fontId="52" fillId="16" borderId="19" pivotButton="0" quotePrefix="0" xfId="11"/>
    <xf numFmtId="164" fontId="3" fillId="16" borderId="45" applyAlignment="1" pivotButton="0" quotePrefix="0" xfId="11">
      <alignment horizontal="center"/>
    </xf>
    <xf numFmtId="0" fontId="0" fillId="0" borderId="23" pivotButton="0" quotePrefix="0" xfId="0"/>
    <xf numFmtId="164" fontId="3" fillId="16" borderId="1" applyAlignment="1" pivotButton="0" quotePrefix="0" xfId="11">
      <alignment horizontal="center"/>
    </xf>
    <xf numFmtId="168" fontId="0" fillId="16" borderId="1" pivotButton="0" quotePrefix="0" xfId="12"/>
    <xf numFmtId="165" fontId="0" fillId="16" borderId="1" pivotButton="0" quotePrefix="0" xfId="13"/>
    <xf numFmtId="165" fontId="37" fillId="16" borderId="1" pivotButton="0" quotePrefix="0" xfId="13"/>
    <xf numFmtId="184" fontId="3" fillId="16" borderId="1" pivotButton="0" quotePrefix="0" xfId="12"/>
    <xf numFmtId="164" fontId="37" fillId="39" borderId="1" pivotButton="0" quotePrefix="0" xfId="11"/>
    <xf numFmtId="168" fontId="3" fillId="29" borderId="1" pivotButton="0" quotePrefix="0" xfId="12"/>
    <xf numFmtId="165" fontId="3" fillId="0" borderId="1" pivotButton="0" quotePrefix="0" xfId="13"/>
    <xf numFmtId="165" fontId="3" fillId="11" borderId="1" pivotButton="0" quotePrefix="0" xfId="13"/>
    <xf numFmtId="168" fontId="37" fillId="0" borderId="15" pivotButton="0" quotePrefix="0" xfId="12"/>
    <xf numFmtId="168" fontId="37" fillId="11" borderId="15" pivotButton="0" quotePrefix="0" xfId="12"/>
    <xf numFmtId="164" fontId="3" fillId="26" borderId="1" pivotButton="0" quotePrefix="0" xfId="11"/>
    <xf numFmtId="168" fontId="3" fillId="26" borderId="1" pivotButton="0" quotePrefix="0" xfId="12"/>
    <xf numFmtId="164" fontId="3" fillId="39" borderId="1" pivotButton="0" quotePrefix="0" xfId="11"/>
    <xf numFmtId="164" fontId="37" fillId="16" borderId="39" pivotButton="0" quotePrefix="0" xfId="11"/>
    <xf numFmtId="164" fontId="37" fillId="26" borderId="39" pivotButton="0" quotePrefix="0" xfId="11"/>
    <xf numFmtId="164" fontId="37" fillId="11" borderId="39" pivotButton="0" quotePrefix="0" xfId="11"/>
    <xf numFmtId="169" fontId="3" fillId="39" borderId="1" pivotButton="0" quotePrefix="0" xfId="48"/>
    <xf numFmtId="164" fontId="37" fillId="16" borderId="38" pivotButton="0" quotePrefix="0" xfId="11"/>
    <xf numFmtId="164" fontId="3" fillId="16" borderId="38" pivotButton="0" quotePrefix="0" xfId="11"/>
    <xf numFmtId="164" fontId="3" fillId="0" borderId="38" pivotButton="0" quotePrefix="0" xfId="11"/>
    <xf numFmtId="164" fontId="3" fillId="11" borderId="38" pivotButton="0" quotePrefix="0" xfId="11"/>
    <xf numFmtId="164" fontId="37" fillId="16" borderId="11" pivotButton="0" quotePrefix="0" xfId="11"/>
    <xf numFmtId="164" fontId="3" fillId="16" borderId="11" pivotButton="0" quotePrefix="0" xfId="11"/>
    <xf numFmtId="164" fontId="0" fillId="11" borderId="1" pivotButton="0" quotePrefix="0" xfId="0"/>
    <xf numFmtId="164" fontId="51" fillId="16" borderId="1" pivotButton="0" quotePrefix="0" xfId="11"/>
    <xf numFmtId="164" fontId="39" fillId="16" borderId="1" applyAlignment="1" pivotButton="0" quotePrefix="0" xfId="11">
      <alignment vertical="center"/>
    </xf>
    <xf numFmtId="164" fontId="10" fillId="16" borderId="1" applyAlignment="1" pivotButton="0" quotePrefix="0" xfId="11">
      <alignment horizontal="left"/>
    </xf>
    <xf numFmtId="164" fontId="10" fillId="16" borderId="1" applyAlignment="1" pivotButton="0" quotePrefix="0" xfId="11">
      <alignment wrapText="1"/>
    </xf>
    <xf numFmtId="164" fontId="11" fillId="9" borderId="8" applyAlignment="1" pivotButton="0" quotePrefix="0" xfId="11">
      <alignment vertical="center" wrapText="1"/>
    </xf>
    <xf numFmtId="164" fontId="11" fillId="9" borderId="8" applyAlignment="1" pivotButton="0" quotePrefix="0" xfId="11">
      <alignment horizontal="center" vertical="center" wrapText="1"/>
    </xf>
    <xf numFmtId="164" fontId="11" fillId="9" borderId="8" applyAlignment="1" pivotButton="0" quotePrefix="0" xfId="11">
      <alignment horizontal="left" vertical="center" wrapText="1"/>
    </xf>
    <xf numFmtId="178" fontId="11" fillId="9" borderId="8" applyAlignment="1" pivotButton="0" quotePrefix="0" xfId="11">
      <alignment horizontal="center" vertical="center" wrapText="1"/>
    </xf>
    <xf numFmtId="164" fontId="30" fillId="16" borderId="1" pivotButton="0" quotePrefix="0" xfId="11"/>
    <xf numFmtId="172" fontId="22" fillId="16" borderId="1" pivotButton="0" quotePrefix="0" xfId="11"/>
    <xf numFmtId="164" fontId="22" fillId="16" borderId="1" pivotButton="0" quotePrefix="0" xfId="11"/>
    <xf numFmtId="172" fontId="22" fillId="16" borderId="1" applyAlignment="1" pivotButton="0" quotePrefix="0" xfId="11">
      <alignment horizontal="left"/>
    </xf>
    <xf numFmtId="164" fontId="22" fillId="16" borderId="1" applyAlignment="1" pivotButton="0" quotePrefix="0" xfId="11">
      <alignment horizontal="center"/>
    </xf>
    <xf numFmtId="164" fontId="10" fillId="16" borderId="1" pivotButton="0" quotePrefix="1" xfId="11"/>
    <xf numFmtId="172" fontId="13" fillId="16" borderId="1" pivotButton="0" quotePrefix="0" xfId="11"/>
    <xf numFmtId="164" fontId="25" fillId="16" borderId="1" pivotButton="0" quotePrefix="1" xfId="11"/>
    <xf numFmtId="172" fontId="16" fillId="16" borderId="1" pivotButton="0" quotePrefix="0" xfId="11"/>
    <xf numFmtId="164" fontId="25" fillId="16" borderId="1" applyAlignment="1" pivotButton="0" quotePrefix="0" xfId="11">
      <alignment horizontal="left"/>
    </xf>
    <xf numFmtId="164" fontId="13" fillId="16" borderId="1" applyAlignment="1" pivotButton="0" quotePrefix="0" xfId="11">
      <alignment horizontal="left"/>
    </xf>
    <xf numFmtId="164" fontId="11" fillId="16" borderId="1" pivotButton="0" quotePrefix="0" xfId="11"/>
    <xf numFmtId="164" fontId="12" fillId="16" borderId="1" pivotButton="0" quotePrefix="0" xfId="11"/>
    <xf numFmtId="165" fontId="13" fillId="16" borderId="1" pivotButton="0" quotePrefix="0" xfId="13"/>
    <xf numFmtId="171" fontId="13" fillId="16" borderId="1" applyAlignment="1" pivotButton="0" quotePrefix="0" xfId="11">
      <alignment horizontal="left"/>
    </xf>
    <xf numFmtId="174" fontId="3" fillId="16" borderId="1" pivotButton="0" quotePrefix="0" xfId="46"/>
    <xf numFmtId="164" fontId="32" fillId="16" borderId="1" pivotButton="0" quotePrefix="0" xfId="11"/>
    <xf numFmtId="172" fontId="31" fillId="16" borderId="1" pivotButton="0" quotePrefix="0" xfId="11"/>
    <xf numFmtId="164" fontId="31" fillId="16" borderId="1" pivotButton="0" quotePrefix="0" xfId="11"/>
    <xf numFmtId="172" fontId="31" fillId="16" borderId="1" applyAlignment="1" pivotButton="0" quotePrefix="0" xfId="11">
      <alignment horizontal="left"/>
    </xf>
    <xf numFmtId="171" fontId="19" fillId="16" borderId="1" pivotButton="0" quotePrefix="0" xfId="11"/>
    <xf numFmtId="164" fontId="5" fillId="16" borderId="1" applyAlignment="1" pivotButton="0" quotePrefix="0" xfId="39">
      <alignment horizontal="left"/>
    </xf>
    <xf numFmtId="164" fontId="19" fillId="16" borderId="1" pivotButton="0" quotePrefix="0" xfId="11"/>
    <xf numFmtId="165" fontId="13" fillId="16" borderId="14" pivotButton="0" quotePrefix="0" xfId="13"/>
    <xf numFmtId="165" fontId="13" fillId="16" borderId="1" pivotButton="0" quotePrefix="1" xfId="13"/>
    <xf numFmtId="164" fontId="42" fillId="16" borderId="1" pivotButton="0" quotePrefix="0" xfId="11"/>
    <xf numFmtId="171" fontId="13" fillId="16" borderId="14" applyAlignment="1" pivotButton="0" quotePrefix="0" xfId="11">
      <alignment horizontal="left"/>
    </xf>
    <xf numFmtId="171" fontId="10" fillId="17" borderId="13" pivotButton="0" quotePrefix="0" xfId="11"/>
    <xf numFmtId="164" fontId="15" fillId="16" borderId="1" pivotButton="0" quotePrefix="0" xfId="39"/>
    <xf numFmtId="172" fontId="13" fillId="16" borderId="14" pivotButton="0" quotePrefix="0" xfId="11"/>
    <xf numFmtId="164" fontId="17" fillId="16" borderId="1" pivotButton="0" quotePrefix="0" xfId="11"/>
    <xf numFmtId="164" fontId="3" fillId="16" borderId="16" applyAlignment="1" pivotButton="0" quotePrefix="1" xfId="11">
      <alignment horizontal="right" wrapText="1"/>
    </xf>
    <xf numFmtId="164" fontId="3" fillId="16" borderId="16" applyAlignment="1" pivotButton="0" quotePrefix="0" xfId="11">
      <alignment wrapText="1"/>
    </xf>
    <xf numFmtId="164" fontId="13" fillId="16" borderId="14" applyAlignment="1" pivotButton="0" quotePrefix="0" xfId="11">
      <alignment horizontal="left"/>
    </xf>
    <xf numFmtId="171" fontId="10" fillId="16" borderId="1" pivotButton="0" quotePrefix="0" xfId="11"/>
    <xf numFmtId="164" fontId="13" fillId="16" borderId="1" pivotButton="0" quotePrefix="1" xfId="11"/>
    <xf numFmtId="164" fontId="34" fillId="16" borderId="1" pivotButton="0" quotePrefix="0" xfId="11"/>
    <xf numFmtId="172" fontId="13" fillId="16" borderId="10" pivotButton="0" quotePrefix="0" xfId="11"/>
    <xf numFmtId="164" fontId="13" fillId="16" borderId="14" pivotButton="0" quotePrefix="0" xfId="11"/>
    <xf numFmtId="164" fontId="13" fillId="11" borderId="1" pivotButton="0" quotePrefix="0" xfId="11"/>
    <xf numFmtId="172" fontId="22" fillId="15" borderId="1" pivotButton="0" quotePrefix="0" xfId="11"/>
    <xf numFmtId="164" fontId="24" fillId="16" borderId="1" pivotButton="0" quotePrefix="0" xfId="11"/>
    <xf numFmtId="172" fontId="19" fillId="16" borderId="10" pivotButton="0" quotePrefix="0" xfId="11"/>
    <xf numFmtId="165" fontId="13" fillId="16" borderId="10" pivotButton="0" quotePrefix="0" xfId="13"/>
    <xf numFmtId="165" fontId="19" fillId="16" borderId="14" pivotButton="0" quotePrefix="0" xfId="13"/>
    <xf numFmtId="171" fontId="19" fillId="16" borderId="1" applyAlignment="1" pivotButton="0" quotePrefix="0" xfId="11">
      <alignment horizontal="left"/>
    </xf>
    <xf numFmtId="172" fontId="19" fillId="16" borderId="14" pivotButton="0" quotePrefix="0" xfId="11"/>
    <xf numFmtId="164" fontId="19" fillId="12" borderId="1" pivotButton="0" quotePrefix="0" xfId="11"/>
    <xf numFmtId="164" fontId="23" fillId="16" borderId="1" pivotButton="0" quotePrefix="0" xfId="39"/>
    <xf numFmtId="171" fontId="19" fillId="16" borderId="14" applyAlignment="1" pivotButton="0" quotePrefix="0" xfId="11">
      <alignment horizontal="left"/>
    </xf>
    <xf numFmtId="172" fontId="19" fillId="16" borderId="1" pivotButton="0" quotePrefix="0" xfId="11"/>
    <xf numFmtId="171" fontId="10" fillId="16" borderId="1" applyAlignment="1" pivotButton="0" quotePrefix="0" xfId="11">
      <alignment horizontal="left"/>
    </xf>
    <xf numFmtId="164" fontId="13" fillId="16" borderId="16" applyAlignment="1" pivotButton="0" quotePrefix="0" xfId="11">
      <alignment horizontal="right" wrapText="1"/>
    </xf>
    <xf numFmtId="164" fontId="13" fillId="16" borderId="16" applyAlignment="1" pivotButton="0" quotePrefix="0" xfId="11">
      <alignment wrapText="1"/>
    </xf>
    <xf numFmtId="164" fontId="35" fillId="16" borderId="1" pivotButton="0" quotePrefix="0" xfId="11"/>
    <xf numFmtId="171" fontId="19" fillId="16" borderId="13" pivotButton="0" quotePrefix="0" xfId="11"/>
    <xf numFmtId="164" fontId="10" fillId="12" borderId="1" pivotButton="0" quotePrefix="0" xfId="11"/>
    <xf numFmtId="164" fontId="10" fillId="16" borderId="14" applyAlignment="1" pivotButton="0" quotePrefix="0" xfId="11">
      <alignment horizontal="left"/>
    </xf>
    <xf numFmtId="164" fontId="19" fillId="16" borderId="1" pivotButton="0" quotePrefix="1" xfId="11"/>
    <xf numFmtId="164" fontId="23" fillId="16" borderId="16" pivotButton="0" quotePrefix="0" xfId="39"/>
    <xf numFmtId="164" fontId="20" fillId="16" borderId="1" pivotButton="0" quotePrefix="0" xfId="11"/>
    <xf numFmtId="165" fontId="19" fillId="16" borderId="1" pivotButton="0" quotePrefix="0" xfId="13"/>
    <xf numFmtId="165" fontId="20" fillId="16" borderId="1" pivotButton="0" quotePrefix="0" xfId="13"/>
    <xf numFmtId="164" fontId="47" fillId="16" borderId="1" pivotButton="0" quotePrefix="1" xfId="11"/>
    <xf numFmtId="164" fontId="19" fillId="16" borderId="1" applyAlignment="1" pivotButton="0" quotePrefix="0" xfId="11">
      <alignment horizontal="left"/>
    </xf>
    <xf numFmtId="165" fontId="26" fillId="16" borderId="14" pivotButton="0" quotePrefix="0" xfId="13"/>
    <xf numFmtId="164" fontId="10" fillId="11" borderId="1" pivotButton="0" quotePrefix="0" xfId="11"/>
    <xf numFmtId="164" fontId="10" fillId="16" borderId="14" pivotButton="0" quotePrefix="0" xfId="11"/>
    <xf numFmtId="164" fontId="40" fillId="16" borderId="1" pivotButton="0" quotePrefix="1" xfId="11"/>
    <xf numFmtId="164" fontId="3" fillId="0" borderId="1" applyAlignment="1" pivotButton="0" quotePrefix="0" xfId="0">
      <alignment wrapText="1"/>
    </xf>
    <xf numFmtId="164" fontId="3" fillId="0" borderId="1" applyAlignment="1" pivotButton="0" quotePrefix="1" xfId="0">
      <alignment horizontal="right" wrapText="1"/>
    </xf>
    <xf numFmtId="171" fontId="3" fillId="16" borderId="1" pivotButton="0" quotePrefix="0" xfId="11"/>
    <xf numFmtId="164" fontId="20" fillId="9" borderId="8" applyAlignment="1" pivotButton="0" quotePrefix="0" xfId="11">
      <alignment horizontal="center" vertical="center" wrapText="1"/>
    </xf>
    <xf numFmtId="171" fontId="20" fillId="9" borderId="8" applyAlignment="1" pivotButton="0" quotePrefix="0" xfId="11">
      <alignment vertical="center" wrapText="1"/>
    </xf>
    <xf numFmtId="165" fontId="20" fillId="9" borderId="8" applyAlignment="1" pivotButton="0" quotePrefix="0" xfId="13">
      <alignment horizontal="center" vertical="center" wrapText="1"/>
    </xf>
    <xf numFmtId="164" fontId="20" fillId="9" borderId="8" applyAlignment="1" pivotButton="0" quotePrefix="0" xfId="11">
      <alignment vertical="center" wrapText="1"/>
    </xf>
    <xf numFmtId="164" fontId="20" fillId="9" borderId="8" applyAlignment="1" pivotButton="0" quotePrefix="0" xfId="11">
      <alignment horizontal="left" vertical="center" wrapText="1"/>
    </xf>
    <xf numFmtId="164" fontId="20" fillId="9" borderId="9" applyAlignment="1" pivotButton="0" quotePrefix="0" xfId="11">
      <alignment horizontal="left" vertical="center" wrapText="1"/>
    </xf>
    <xf numFmtId="164" fontId="19" fillId="14" borderId="1" pivotButton="0" quotePrefix="0" xfId="11"/>
    <xf numFmtId="171" fontId="20" fillId="14" borderId="14" applyAlignment="1" pivotButton="0" quotePrefix="1" xfId="11">
      <alignment horizontal="right" vertical="center"/>
    </xf>
    <xf numFmtId="165" fontId="19" fillId="14" borderId="1" pivotButton="0" quotePrefix="0" xfId="13"/>
    <xf numFmtId="164" fontId="27" fillId="14" borderId="1" pivotButton="0" quotePrefix="0" xfId="39"/>
    <xf numFmtId="171" fontId="19" fillId="16" borderId="14" pivotButton="0" quotePrefix="0" xfId="11"/>
    <xf numFmtId="164" fontId="27" fillId="16" borderId="1" pivotButton="0" quotePrefix="0" xfId="39"/>
    <xf numFmtId="173" fontId="19" fillId="16" borderId="1" applyAlignment="1" pivotButton="0" quotePrefix="0" xfId="11">
      <alignment horizontal="left" vertical="center"/>
    </xf>
    <xf numFmtId="171" fontId="21" fillId="16" borderId="1" applyAlignment="1" pivotButton="0" quotePrefix="0" xfId="11">
      <alignment horizontal="left" vertical="center" wrapText="1"/>
    </xf>
    <xf numFmtId="173" fontId="44" fillId="16" borderId="1" applyAlignment="1" pivotButton="0" quotePrefix="0" xfId="11">
      <alignment horizontal="left" vertical="center"/>
    </xf>
    <xf numFmtId="164" fontId="44" fillId="16" borderId="1" pivotButton="0" quotePrefix="0" xfId="11"/>
    <xf numFmtId="171" fontId="43" fillId="16" borderId="1" applyAlignment="1" pivotButton="0" quotePrefix="0" xfId="11">
      <alignment horizontal="left" vertical="center" wrapText="1"/>
    </xf>
    <xf numFmtId="165" fontId="44" fillId="16" borderId="1" pivotButton="0" quotePrefix="0" xfId="13"/>
    <xf numFmtId="164" fontId="45" fillId="16" borderId="1" pivotButton="0" quotePrefix="0" xfId="39"/>
    <xf numFmtId="173" fontId="50" fillId="16" borderId="1" applyAlignment="1" pivotButton="0" quotePrefix="0" xfId="11">
      <alignment horizontal="left" vertical="center"/>
    </xf>
    <xf numFmtId="164" fontId="50" fillId="16" borderId="1" pivotButton="0" quotePrefix="0" xfId="11"/>
    <xf numFmtId="171" fontId="49" fillId="16" borderId="1" applyAlignment="1" pivotButton="0" quotePrefix="0" xfId="11">
      <alignment horizontal="left" vertical="center" wrapText="1"/>
    </xf>
    <xf numFmtId="165" fontId="50" fillId="16" borderId="1" pivotButton="0" quotePrefix="0" xfId="13"/>
    <xf numFmtId="173" fontId="44" fillId="16" borderId="1" applyAlignment="1" pivotButton="0" quotePrefix="1" xfId="11">
      <alignment horizontal="left" vertical="center"/>
    </xf>
    <xf numFmtId="173" fontId="19" fillId="16" borderId="1" applyAlignment="1" pivotButton="0" quotePrefix="1" xfId="11">
      <alignment horizontal="left" vertical="center"/>
    </xf>
    <xf numFmtId="164" fontId="26" fillId="16" borderId="1" pivotButton="0" quotePrefix="0" xfId="11"/>
    <xf numFmtId="171" fontId="26" fillId="16" borderId="1" applyAlignment="1" pivotButton="0" quotePrefix="0" xfId="11">
      <alignment horizontal="left" vertical="center" wrapText="1"/>
    </xf>
    <xf numFmtId="165" fontId="26" fillId="16" borderId="1" pivotButton="0" quotePrefix="0" xfId="13"/>
    <xf numFmtId="164" fontId="21" fillId="16" borderId="1" pivotButton="0" quotePrefix="0" xfId="11"/>
    <xf numFmtId="165" fontId="21" fillId="16" borderId="1" pivotButton="0" quotePrefix="0" xfId="13"/>
    <xf numFmtId="164" fontId="130" fillId="16" borderId="1" pivotButton="0" quotePrefix="0" xfId="45"/>
    <xf numFmtId="164" fontId="19" fillId="11" borderId="1" pivotButton="0" quotePrefix="0" xfId="11"/>
    <xf numFmtId="171" fontId="21" fillId="11" borderId="1" applyAlignment="1" pivotButton="0" quotePrefix="0" xfId="11">
      <alignment horizontal="left" vertical="center" wrapText="1"/>
    </xf>
    <xf numFmtId="165" fontId="19" fillId="11" borderId="1" pivotButton="0" quotePrefix="0" xfId="13"/>
    <xf numFmtId="164" fontId="19" fillId="16" borderId="15" pivotButton="0" quotePrefix="0" xfId="11"/>
    <xf numFmtId="171" fontId="19" fillId="16" borderId="15" pivotButton="0" quotePrefix="0" xfId="11"/>
    <xf numFmtId="165" fontId="19" fillId="16" borderId="15" pivotButton="0" quotePrefix="0" xfId="13"/>
    <xf numFmtId="180" fontId="37" fillId="0" borderId="1" applyAlignment="1" pivotButton="0" quotePrefix="0" xfId="0">
      <alignment horizontal="center"/>
    </xf>
    <xf numFmtId="164" fontId="3" fillId="0" borderId="1" applyAlignment="1" pivotButton="0" quotePrefix="0" xfId="0">
      <alignment horizontal="center"/>
    </xf>
    <xf numFmtId="180" fontId="0" fillId="0" borderId="1" pivotButton="0" quotePrefix="0" xfId="0"/>
    <xf numFmtId="164" fontId="0" fillId="0" borderId="1" applyAlignment="1" pivotButton="0" quotePrefix="0" xfId="0">
      <alignment horizontal="center"/>
    </xf>
    <xf numFmtId="164" fontId="0" fillId="0" borderId="1" pivotButton="1" quotePrefix="0" xfId="0"/>
    <xf numFmtId="164" fontId="0" fillId="0" borderId="1" applyAlignment="1" pivotButton="1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left"/>
    </xf>
    <xf numFmtId="164" fontId="66" fillId="16" borderId="1" pivotButton="0" quotePrefix="0" xfId="11"/>
    <xf numFmtId="164" fontId="66" fillId="16" borderId="1" applyAlignment="1" pivotButton="0" quotePrefix="0" xfId="11">
      <alignment wrapText="1"/>
    </xf>
    <xf numFmtId="164" fontId="67" fillId="16" borderId="1" applyAlignment="1" pivotButton="0" quotePrefix="0" xfId="11">
      <alignment horizontal="center" vertical="center"/>
    </xf>
    <xf numFmtId="164" fontId="69" fillId="9" borderId="8" applyAlignment="1" pivotButton="0" quotePrefix="0" xfId="11">
      <alignment vertical="center" wrapText="1"/>
    </xf>
    <xf numFmtId="164" fontId="69" fillId="9" borderId="8" applyAlignment="1" pivotButton="0" quotePrefix="0" xfId="11">
      <alignment horizontal="center" vertical="center" wrapText="1"/>
    </xf>
    <xf numFmtId="164" fontId="69" fillId="12" borderId="8" applyAlignment="1" pivotButton="0" quotePrefix="0" xfId="11">
      <alignment horizontal="center" vertical="center" wrapText="1"/>
    </xf>
    <xf numFmtId="164" fontId="69" fillId="9" borderId="8" applyAlignment="1" pivotButton="0" quotePrefix="0" xfId="11">
      <alignment horizontal="left" vertical="center" wrapText="1"/>
    </xf>
    <xf numFmtId="164" fontId="69" fillId="9" borderId="9" applyAlignment="1" pivotButton="0" quotePrefix="0" xfId="11">
      <alignment horizontal="left" vertical="center" wrapText="1"/>
    </xf>
    <xf numFmtId="172" fontId="70" fillId="16" borderId="1" pivotButton="0" quotePrefix="0" xfId="11"/>
    <xf numFmtId="164" fontId="70" fillId="16" borderId="1" pivotButton="0" quotePrefix="0" xfId="11"/>
    <xf numFmtId="164" fontId="71" fillId="16" borderId="1" pivotButton="0" quotePrefix="0" xfId="11"/>
    <xf numFmtId="164" fontId="73" fillId="16" borderId="1" pivotButton="0" quotePrefix="0" xfId="11"/>
    <xf numFmtId="165" fontId="73" fillId="16" borderId="1" pivotButton="0" quotePrefix="0" xfId="13"/>
    <xf numFmtId="172" fontId="73" fillId="16" borderId="14" pivotButton="0" quotePrefix="0" xfId="11"/>
    <xf numFmtId="172" fontId="73" fillId="16" borderId="1" pivotButton="0" quotePrefix="0" xfId="11"/>
    <xf numFmtId="164" fontId="74" fillId="16" borderId="1" pivotButton="0" quotePrefix="0" xfId="39"/>
    <xf numFmtId="164" fontId="73" fillId="16" borderId="1" pivotButton="0" quotePrefix="1" xfId="11"/>
    <xf numFmtId="164" fontId="75" fillId="16" borderId="1" pivotButton="0" quotePrefix="0" xfId="39"/>
    <xf numFmtId="165" fontId="73" fillId="16" borderId="14" pivotButton="0" quotePrefix="0" xfId="13"/>
    <xf numFmtId="164" fontId="73" fillId="16" borderId="14" pivotButton="0" quotePrefix="0" xfId="11"/>
    <xf numFmtId="164" fontId="76" fillId="16" borderId="1" applyAlignment="1" pivotButton="0" quotePrefix="0" xfId="11">
      <alignment horizontal="left"/>
    </xf>
    <xf numFmtId="164" fontId="76" fillId="11" borderId="1" applyAlignment="1" pivotButton="0" quotePrefix="0" xfId="11">
      <alignment horizontal="left"/>
    </xf>
    <xf numFmtId="164" fontId="76" fillId="16" borderId="1" applyAlignment="1" pivotButton="0" quotePrefix="1" xfId="11">
      <alignment horizontal="left"/>
    </xf>
    <xf numFmtId="164" fontId="76" fillId="16" borderId="1" pivotButton="0" quotePrefix="0" xfId="11"/>
    <xf numFmtId="164" fontId="73" fillId="16" borderId="14" pivotButton="0" quotePrefix="1" xfId="11"/>
    <xf numFmtId="164" fontId="76" fillId="16" borderId="1" pivotButton="0" quotePrefix="1" xfId="11"/>
    <xf numFmtId="164" fontId="77" fillId="16" borderId="14" pivotButton="0" quotePrefix="0" xfId="11"/>
    <xf numFmtId="164" fontId="74" fillId="16" borderId="14" pivotButton="0" quotePrefix="0" xfId="39"/>
    <xf numFmtId="164" fontId="76" fillId="16" borderId="14" pivotButton="0" quotePrefix="0" xfId="11"/>
    <xf numFmtId="164" fontId="76" fillId="16" borderId="14" pivotButton="0" quotePrefix="1" xfId="11"/>
    <xf numFmtId="164" fontId="78" fillId="16" borderId="1" pivotButton="0" quotePrefix="0" xfId="11"/>
    <xf numFmtId="164" fontId="79" fillId="16" borderId="1" pivotButton="0" quotePrefix="0" xfId="11"/>
    <xf numFmtId="164" fontId="74" fillId="16" borderId="1" pivotButton="0" quotePrefix="0" xfId="45"/>
    <xf numFmtId="165" fontId="119" fillId="16" borderId="1" pivotButton="0" quotePrefix="0" xfId="13"/>
    <xf numFmtId="164" fontId="119" fillId="16" borderId="1" pivotButton="0" quotePrefix="0" xfId="11"/>
    <xf numFmtId="164" fontId="19" fillId="0" borderId="1" applyAlignment="1" pivotButton="0" quotePrefix="0" xfId="11">
      <alignment wrapText="1"/>
    </xf>
    <xf numFmtId="164" fontId="19" fillId="0" borderId="1" pivotButton="0" quotePrefix="0" xfId="11"/>
    <xf numFmtId="164" fontId="19" fillId="0" borderId="1" applyAlignment="1" pivotButton="0" quotePrefix="1" xfId="11">
      <alignment horizontal="left" wrapText="1"/>
    </xf>
    <xf numFmtId="164" fontId="19" fillId="0" borderId="1" pivotButton="0" quotePrefix="1" xfId="11"/>
    <xf numFmtId="164" fontId="92" fillId="16" borderId="1" pivotButton="0" quotePrefix="0" xfId="45"/>
    <xf numFmtId="164" fontId="19" fillId="0" borderId="1" applyAlignment="1" pivotButton="0" quotePrefix="0" xfId="11">
      <alignment horizontal="left"/>
    </xf>
    <xf numFmtId="164" fontId="47" fillId="0" borderId="1" pivotButton="0" quotePrefix="0" xfId="0"/>
    <xf numFmtId="164" fontId="21" fillId="16" borderId="1" applyAlignment="1" pivotButton="0" quotePrefix="0" xfId="11">
      <alignment horizontal="left"/>
    </xf>
    <xf numFmtId="164" fontId="21" fillId="16" borderId="1" applyAlignment="1" pivotButton="0" quotePrefix="0" xfId="11">
      <alignment horizontal="left" vertical="center"/>
    </xf>
    <xf numFmtId="164" fontId="21" fillId="16" borderId="1" pivotButton="0" quotePrefix="1" xfId="11"/>
    <xf numFmtId="173" fontId="21" fillId="0" borderId="1" applyAlignment="1" pivotButton="0" quotePrefix="1" xfId="11">
      <alignment horizontal="left" vertical="center"/>
    </xf>
    <xf numFmtId="165" fontId="72" fillId="16" borderId="1" pivotButton="0" quotePrefix="0" xfId="13"/>
    <xf numFmtId="165" fontId="73" fillId="16" borderId="1" pivotButton="0" quotePrefix="0" xfId="11"/>
    <xf numFmtId="164" fontId="119" fillId="16" borderId="1" applyAlignment="1" pivotButton="0" quotePrefix="0" xfId="11">
      <alignment horizontal="left"/>
    </xf>
    <xf numFmtId="164" fontId="120" fillId="9" borderId="8" applyAlignment="1" pivotButton="0" quotePrefix="0" xfId="11">
      <alignment horizontal="center" vertical="center" wrapText="1"/>
    </xf>
    <xf numFmtId="164" fontId="120" fillId="9" borderId="8" applyAlignment="1" pivotButton="0" quotePrefix="0" xfId="11">
      <alignment vertical="center" wrapText="1"/>
    </xf>
    <xf numFmtId="165" fontId="120" fillId="9" borderId="8" applyAlignment="1" pivotButton="0" quotePrefix="0" xfId="13">
      <alignment horizontal="center" vertical="center" wrapText="1"/>
    </xf>
    <xf numFmtId="164" fontId="119" fillId="14" borderId="1" pivotButton="0" quotePrefix="0" xfId="11"/>
    <xf numFmtId="165" fontId="119" fillId="14" borderId="1" pivotButton="0" quotePrefix="0" xfId="13"/>
    <xf numFmtId="164" fontId="121" fillId="14" borderId="1" pivotButton="0" quotePrefix="0" xfId="39"/>
    <xf numFmtId="173" fontId="26" fillId="0" borderId="1" applyAlignment="1" pivotButton="0" quotePrefix="0" xfId="11">
      <alignment horizontal="left"/>
    </xf>
    <xf numFmtId="173" fontId="21" fillId="0" borderId="1" applyAlignment="1" pivotButton="0" quotePrefix="0" xfId="11">
      <alignment horizontal="left"/>
    </xf>
    <xf numFmtId="172" fontId="21" fillId="0" borderId="1" pivotButton="0" quotePrefix="0" xfId="11"/>
    <xf numFmtId="168" fontId="21" fillId="16" borderId="1" applyAlignment="1" pivotButton="0" quotePrefix="0" xfId="48">
      <alignment horizontal="left"/>
    </xf>
    <xf numFmtId="173" fontId="21" fillId="11" borderId="1" applyAlignment="1" pivotButton="0" quotePrefix="0" xfId="11">
      <alignment horizontal="left"/>
    </xf>
    <xf numFmtId="172" fontId="21" fillId="11" borderId="1" pivotButton="0" quotePrefix="0" xfId="11"/>
    <xf numFmtId="164" fontId="21" fillId="11" borderId="1" pivotButton="0" quotePrefix="0" xfId="11"/>
    <xf numFmtId="168" fontId="21" fillId="11" borderId="1" applyAlignment="1" pivotButton="0" quotePrefix="0" xfId="48">
      <alignment horizontal="left"/>
    </xf>
    <xf numFmtId="164" fontId="5" fillId="11" borderId="1" pivotButton="0" quotePrefix="0" xfId="45"/>
    <xf numFmtId="164" fontId="19" fillId="11" borderId="1" pivotButton="0" quotePrefix="1" xfId="11"/>
    <xf numFmtId="164" fontId="119" fillId="11" borderId="1" pivotButton="0" quotePrefix="0" xfId="11"/>
    <xf numFmtId="172" fontId="167" fillId="0" borderId="1" pivotButton="0" quotePrefix="0" xfId="11"/>
    <xf numFmtId="172" fontId="26" fillId="0" borderId="1" pivotButton="0" quotePrefix="0" xfId="11"/>
    <xf numFmtId="164" fontId="83" fillId="0" borderId="1" pivotButton="0" quotePrefix="0" xfId="45"/>
    <xf numFmtId="164" fontId="26" fillId="16" borderId="1" pivotButton="0" quotePrefix="1" xfId="11"/>
    <xf numFmtId="173" fontId="166" fillId="0" borderId="1" applyAlignment="1" pivotButton="0" quotePrefix="0" xfId="11">
      <alignment horizontal="left"/>
    </xf>
    <xf numFmtId="172" fontId="166" fillId="0" borderId="1" pivotButton="0" quotePrefix="0" xfId="11"/>
    <xf numFmtId="165" fontId="5" fillId="16" borderId="1" pivotButton="0" quotePrefix="0" xfId="45"/>
    <xf numFmtId="168" fontId="26" fillId="16" borderId="1" applyAlignment="1" pivotButton="0" quotePrefix="0" xfId="48">
      <alignment horizontal="left"/>
    </xf>
    <xf numFmtId="165" fontId="119" fillId="11" borderId="1" pivotButton="0" quotePrefix="0" xfId="13"/>
    <xf numFmtId="172" fontId="82" fillId="11" borderId="1" applyAlignment="1" pivotButton="0" quotePrefix="0" xfId="11">
      <alignment horizontal="left"/>
    </xf>
    <xf numFmtId="173" fontId="119" fillId="11" borderId="1" applyAlignment="1" pivotButton="0" quotePrefix="0" xfId="11">
      <alignment horizontal="left" vertical="center"/>
    </xf>
    <xf numFmtId="164" fontId="119" fillId="11" borderId="1" applyAlignment="1" pivotButton="0" quotePrefix="0" xfId="11">
      <alignment horizontal="left"/>
    </xf>
    <xf numFmtId="173" fontId="119" fillId="16" borderId="1" applyAlignment="1" pivotButton="0" quotePrefix="0" xfId="11">
      <alignment horizontal="left" vertical="center"/>
    </xf>
    <xf numFmtId="164" fontId="119" fillId="16" borderId="15" pivotButton="0" quotePrefix="0" xfId="11"/>
    <xf numFmtId="168" fontId="19" fillId="16" borderId="15" applyAlignment="1" pivotButton="0" quotePrefix="0" xfId="48">
      <alignment horizontal="left"/>
    </xf>
    <xf numFmtId="165" fontId="119" fillId="16" borderId="15" pivotButton="0" quotePrefix="0" xfId="13"/>
    <xf numFmtId="164" fontId="120" fillId="9" borderId="8" applyAlignment="1" pivotButton="0" quotePrefix="0" xfId="11">
      <alignment horizontal="left" vertical="center" wrapText="1"/>
    </xf>
    <xf numFmtId="164" fontId="119" fillId="14" borderId="1" applyAlignment="1" pivotButton="0" quotePrefix="0" xfId="11">
      <alignment horizontal="left"/>
    </xf>
    <xf numFmtId="173" fontId="21" fillId="11" borderId="1" applyAlignment="1" pivotButton="0" quotePrefix="1" xfId="11">
      <alignment horizontal="left" vertical="center"/>
    </xf>
    <xf numFmtId="165" fontId="21" fillId="11" borderId="1" pivotButton="0" quotePrefix="0" xfId="13"/>
    <xf numFmtId="164" fontId="21" fillId="11" borderId="1" pivotButton="0" quotePrefix="1" xfId="11"/>
    <xf numFmtId="164" fontId="21" fillId="0" borderId="1" pivotButton="0" quotePrefix="0" xfId="11"/>
    <xf numFmtId="165" fontId="21" fillId="0" borderId="1" pivotButton="0" quotePrefix="0" xfId="13"/>
    <xf numFmtId="164" fontId="21" fillId="0" borderId="1" pivotButton="0" quotePrefix="1" xfId="11"/>
    <xf numFmtId="173" fontId="26" fillId="0" borderId="1" applyAlignment="1" pivotButton="0" quotePrefix="1" xfId="11">
      <alignment horizontal="left" vertical="center"/>
    </xf>
    <xf numFmtId="173" fontId="26" fillId="11" borderId="1" applyAlignment="1" pivotButton="0" quotePrefix="1" xfId="11">
      <alignment horizontal="left" vertical="center"/>
    </xf>
    <xf numFmtId="164" fontId="119" fillId="0" borderId="1" pivotButton="0" quotePrefix="0" xfId="11"/>
    <xf numFmtId="165" fontId="119" fillId="0" borderId="1" pivotButton="0" quotePrefix="0" xfId="13"/>
    <xf numFmtId="164" fontId="119" fillId="0" borderId="1" applyAlignment="1" pivotButton="0" quotePrefix="0" xfId="11">
      <alignment horizontal="left"/>
    </xf>
    <xf numFmtId="164" fontId="21" fillId="16" borderId="1" applyAlignment="1" pivotButton="0" quotePrefix="1" xfId="11">
      <alignment wrapText="1"/>
    </xf>
    <xf numFmtId="173" fontId="160" fillId="0" borderId="1" applyAlignment="1" pivotButton="0" quotePrefix="1" xfId="11">
      <alignment horizontal="left" vertical="center"/>
    </xf>
    <xf numFmtId="164" fontId="160" fillId="0" borderId="1" pivotButton="0" quotePrefix="0" xfId="11"/>
    <xf numFmtId="165" fontId="160" fillId="0" borderId="1" pivotButton="0" quotePrefix="0" xfId="13"/>
    <xf numFmtId="165" fontId="19" fillId="16" borderId="1" applyAlignment="1" pivotButton="0" quotePrefix="0" xfId="13">
      <alignment horizontal="left"/>
    </xf>
    <xf numFmtId="164" fontId="26" fillId="16" borderId="1" applyAlignment="1" pivotButton="0" quotePrefix="0" xfId="11">
      <alignment horizontal="left"/>
    </xf>
    <xf numFmtId="164" fontId="83" fillId="16" borderId="1" pivotButton="0" quotePrefix="0" xfId="45"/>
    <xf numFmtId="164" fontId="26" fillId="0" borderId="1" pivotButton="0" quotePrefix="0" xfId="11"/>
    <xf numFmtId="164" fontId="26" fillId="16" borderId="1" applyAlignment="1" pivotButton="0" quotePrefix="0" xfId="11">
      <alignment horizontal="left" vertical="center"/>
    </xf>
    <xf numFmtId="173" fontId="26" fillId="16" borderId="1" applyAlignment="1" pivotButton="0" quotePrefix="1" xfId="11">
      <alignment horizontal="left" vertical="center"/>
    </xf>
    <xf numFmtId="164" fontId="19" fillId="16" borderId="1" applyAlignment="1" pivotButton="0" quotePrefix="1" xfId="11">
      <alignment wrapText="1"/>
    </xf>
    <xf numFmtId="164" fontId="19" fillId="16" borderId="1" applyAlignment="1" pivotButton="0" quotePrefix="0" xfId="11">
      <alignment wrapText="1"/>
    </xf>
    <xf numFmtId="164" fontId="5" fillId="16" borderId="1" applyAlignment="1" pivotButton="0" quotePrefix="0" xfId="45">
      <alignment horizontal="left"/>
    </xf>
    <xf numFmtId="164" fontId="19" fillId="33" borderId="1" pivotButton="0" quotePrefix="0" xfId="11"/>
    <xf numFmtId="164" fontId="26" fillId="33" borderId="1" pivotButton="0" quotePrefix="0" xfId="11"/>
    <xf numFmtId="173" fontId="21" fillId="22" borderId="1" applyAlignment="1" pivotButton="0" quotePrefix="1" xfId="11">
      <alignment horizontal="left" vertical="center"/>
    </xf>
    <xf numFmtId="164" fontId="19" fillId="22" borderId="1" pivotButton="0" quotePrefix="0" xfId="11"/>
    <xf numFmtId="173" fontId="26" fillId="22" borderId="1" applyAlignment="1" pivotButton="0" quotePrefix="1" xfId="11">
      <alignment horizontal="left" vertical="center"/>
    </xf>
    <xf numFmtId="164" fontId="26" fillId="22" borderId="1" pivotButton="0" quotePrefix="0" xfId="11"/>
    <xf numFmtId="173" fontId="21" fillId="12" borderId="1" applyAlignment="1" pivotButton="0" quotePrefix="1" xfId="11">
      <alignment horizontal="left" vertical="center"/>
    </xf>
    <xf numFmtId="164" fontId="119" fillId="12" borderId="1" pivotButton="0" quotePrefix="0" xfId="11"/>
    <xf numFmtId="164" fontId="21" fillId="12" borderId="1" pivotButton="0" quotePrefix="0" xfId="11"/>
    <xf numFmtId="164" fontId="21" fillId="12" borderId="1" applyAlignment="1" pivotButton="0" quotePrefix="0" xfId="11">
      <alignment horizontal="left"/>
    </xf>
    <xf numFmtId="164" fontId="21" fillId="12" borderId="1" applyAlignment="1" pivotButton="0" quotePrefix="0" xfId="11">
      <alignment horizontal="left" vertical="center"/>
    </xf>
    <xf numFmtId="164" fontId="21" fillId="12" borderId="1" pivotButton="0" quotePrefix="1" xfId="11"/>
    <xf numFmtId="164" fontId="5" fillId="12" borderId="1" pivotButton="0" quotePrefix="0" xfId="45"/>
    <xf numFmtId="164" fontId="5" fillId="16" borderId="1" pivotButton="0" quotePrefix="1" xfId="45"/>
    <xf numFmtId="189" fontId="161" fillId="16" borderId="1" pivotButton="0" quotePrefix="0" xfId="90"/>
    <xf numFmtId="189" fontId="162" fillId="16" borderId="1" pivotButton="0" quotePrefix="0" xfId="90"/>
    <xf numFmtId="189" fontId="161" fillId="45" borderId="1" pivotButton="0" quotePrefix="0" xfId="90"/>
    <xf numFmtId="168" fontId="161" fillId="16" borderId="1" pivotButton="0" quotePrefix="0" xfId="48"/>
    <xf numFmtId="167" fontId="163" fillId="26" borderId="1" pivotButton="0" quotePrefix="0" xfId="11"/>
    <xf numFmtId="168" fontId="161" fillId="16" borderId="1" pivotButton="0" quotePrefix="0" xfId="90"/>
    <xf numFmtId="168" fontId="161" fillId="22" borderId="1" pivotButton="0" quotePrefix="0" xfId="48"/>
    <xf numFmtId="189" fontId="169" fillId="45" borderId="1" pivotButton="0" quotePrefix="0" xfId="90"/>
    <xf numFmtId="168" fontId="169" fillId="16" borderId="1" pivotButton="0" quotePrefix="0" xfId="48"/>
    <xf numFmtId="167" fontId="170" fillId="26" borderId="1" pivotButton="0" quotePrefix="0" xfId="11"/>
    <xf numFmtId="189" fontId="165" fillId="45" borderId="1" pivotButton="0" quotePrefix="0" xfId="90"/>
    <xf numFmtId="190" fontId="161" fillId="45" borderId="1" applyAlignment="1" pivotButton="0" quotePrefix="0" xfId="90">
      <alignment horizontal="left"/>
    </xf>
    <xf numFmtId="190" fontId="169" fillId="45" borderId="1" applyAlignment="1" pivotButton="0" quotePrefix="0" xfId="90">
      <alignment horizontal="left"/>
    </xf>
    <xf numFmtId="190" fontId="161" fillId="45" borderId="1" pivotButton="0" quotePrefix="0" xfId="90"/>
    <xf numFmtId="167" fontId="168" fillId="26" borderId="1" pivotButton="0" quotePrefix="0" xfId="11"/>
    <xf numFmtId="168" fontId="165" fillId="16" borderId="1" pivotButton="0" quotePrefix="0" xfId="90"/>
    <xf numFmtId="168" fontId="165" fillId="16" borderId="1" pivotButton="0" quotePrefix="0" xfId="48"/>
    <xf numFmtId="189" fontId="161" fillId="21" borderId="1" pivotButton="0" quotePrefix="0" xfId="90"/>
    <xf numFmtId="189" fontId="161" fillId="47" borderId="1" pivotButton="0" quotePrefix="0" xfId="90"/>
    <xf numFmtId="168" fontId="162" fillId="47" borderId="1" pivotButton="0" quotePrefix="0" xfId="90"/>
    <xf numFmtId="189" fontId="161" fillId="22" borderId="1" pivotButton="0" quotePrefix="0" xfId="90"/>
    <xf numFmtId="168" fontId="161" fillId="22" borderId="1" pivotButton="0" quotePrefix="0" xfId="90"/>
    <xf numFmtId="189" fontId="165" fillId="16" borderId="1" pivotButton="0" quotePrefix="0" xfId="90"/>
    <xf numFmtId="189" fontId="165" fillId="21" borderId="1" pivotButton="0" quotePrefix="0" xfId="90"/>
    <xf numFmtId="168" fontId="162" fillId="16" borderId="1" pivotButton="0" quotePrefix="0" xfId="90"/>
    <xf numFmtId="164" fontId="134" fillId="0" borderId="1" applyAlignment="1" pivotButton="0" quotePrefix="0" xfId="0">
      <alignment vertical="center" wrapText="1"/>
    </xf>
    <xf numFmtId="164" fontId="134" fillId="0" borderId="1" applyAlignment="1" pivotButton="0" quotePrefix="0" xfId="0">
      <alignment horizontal="center" vertical="center" wrapText="1"/>
    </xf>
    <xf numFmtId="173" fontId="21" fillId="0" borderId="43" applyAlignment="1" pivotButton="0" quotePrefix="1" xfId="11">
      <alignment horizontal="left" vertical="center" wrapText="1"/>
    </xf>
    <xf numFmtId="164" fontId="19" fillId="16" borderId="43" applyAlignment="1" pivotButton="0" quotePrefix="0" xfId="11">
      <alignment vertical="center" wrapText="1"/>
    </xf>
    <xf numFmtId="188" fontId="119" fillId="16" borderId="43" applyAlignment="1" pivotButton="0" quotePrefix="0" xfId="11">
      <alignment horizontal="left" vertical="center" wrapText="1"/>
    </xf>
    <xf numFmtId="164" fontId="19" fillId="16" borderId="43" applyAlignment="1" pivotButton="0" quotePrefix="0" xfId="11">
      <alignment horizontal="left" vertical="center" wrapText="1"/>
    </xf>
    <xf numFmtId="164" fontId="0" fillId="0" borderId="43" applyAlignment="1" pivotButton="0" quotePrefix="0" xfId="0">
      <alignment vertical="center" wrapText="1"/>
    </xf>
    <xf numFmtId="173" fontId="28" fillId="26" borderId="1" applyAlignment="1" pivotButton="0" quotePrefix="1" xfId="11">
      <alignment horizontal="center" vertical="center"/>
    </xf>
    <xf numFmtId="173" fontId="28" fillId="0" borderId="1" applyAlignment="1" pivotButton="0" quotePrefix="1" xfId="11">
      <alignment horizontal="center" vertical="center"/>
    </xf>
    <xf numFmtId="164" fontId="37" fillId="26" borderId="1" applyAlignment="1" pivotButton="0" quotePrefix="0" xfId="0">
      <alignment horizontal="center"/>
    </xf>
    <xf numFmtId="164" fontId="28" fillId="16" borderId="1" pivotButton="0" quotePrefix="0" xfId="11"/>
    <xf numFmtId="164" fontId="28" fillId="16" borderId="1" applyAlignment="1" pivotButton="0" quotePrefix="0" xfId="11">
      <alignment horizontal="left"/>
    </xf>
    <xf numFmtId="164" fontId="28" fillId="16" borderId="1" applyAlignment="1" pivotButton="0" quotePrefix="0" xfId="11">
      <alignment horizontal="left" vertical="center"/>
    </xf>
    <xf numFmtId="169" fontId="0" fillId="0" borderId="1" pivotButton="0" quotePrefix="0" xfId="48"/>
    <xf numFmtId="164" fontId="5" fillId="16" borderId="1" applyAlignment="1" pivotButton="0" quotePrefix="0" xfId="45">
      <alignment horizontal="left" vertical="top"/>
    </xf>
    <xf numFmtId="173" fontId="21" fillId="16" borderId="1" applyAlignment="1" pivotButton="0" quotePrefix="0" xfId="11">
      <alignment horizontal="left" vertical="center"/>
    </xf>
    <xf numFmtId="164" fontId="0" fillId="26" borderId="1" pivotButton="0" quotePrefix="0" xfId="0"/>
    <xf numFmtId="169" fontId="0" fillId="26" borderId="1" pivotButton="0" quotePrefix="0" xfId="48"/>
    <xf numFmtId="164" fontId="21" fillId="0" borderId="1" applyAlignment="1" pivotButton="0" quotePrefix="0" xfId="11">
      <alignment horizontal="left"/>
    </xf>
    <xf numFmtId="165" fontId="20" fillId="16" borderId="1" applyAlignment="1" pivotButton="0" quotePrefix="0" xfId="13">
      <alignment horizontal="left"/>
    </xf>
    <xf numFmtId="164" fontId="13" fillId="16" borderId="1" pivotButton="0" quotePrefix="0" xfId="43"/>
    <xf numFmtId="164" fontId="13" fillId="16" borderId="1" applyAlignment="1" pivotButton="0" quotePrefix="0" xfId="43">
      <alignment horizontal="center"/>
    </xf>
    <xf numFmtId="164" fontId="14" fillId="16" borderId="1" applyAlignment="1" pivotButton="0" quotePrefix="0" xfId="43">
      <alignment vertical="center"/>
    </xf>
    <xf numFmtId="164" fontId="128" fillId="16" borderId="1" applyAlignment="1" pivotButton="0" quotePrefix="0" xfId="43">
      <alignment vertical="center"/>
    </xf>
    <xf numFmtId="164" fontId="14" fillId="16" borderId="1" applyAlignment="1" pivotButton="0" quotePrefix="0" xfId="43">
      <alignment horizontal="center" vertical="center"/>
    </xf>
    <xf numFmtId="164" fontId="13" fillId="14" borderId="1" pivotButton="0" quotePrefix="0" xfId="43"/>
    <xf numFmtId="164" fontId="13" fillId="13" borderId="1" pivotButton="0" quotePrefix="0" xfId="43"/>
    <xf numFmtId="164" fontId="13" fillId="8" borderId="1" pivotButton="0" quotePrefix="0" xfId="43"/>
    <xf numFmtId="164" fontId="13" fillId="16" borderId="1" applyAlignment="1" pivotButton="0" quotePrefix="0" xfId="43">
      <alignment wrapText="1"/>
    </xf>
    <xf numFmtId="164" fontId="12" fillId="10" borderId="8" applyAlignment="1" pivotButton="0" quotePrefix="0" xfId="43">
      <alignment vertical="center" wrapText="1"/>
    </xf>
    <xf numFmtId="165" fontId="12" fillId="10" borderId="8" applyAlignment="1" pivotButton="0" quotePrefix="0" xfId="13">
      <alignment horizontal="center" vertical="center" wrapText="1"/>
    </xf>
    <xf numFmtId="165" fontId="12" fillId="9" borderId="8" applyAlignment="1" pivotButton="0" quotePrefix="0" xfId="13">
      <alignment horizontal="center" vertical="center" wrapText="1"/>
    </xf>
    <xf numFmtId="164" fontId="12" fillId="10" borderId="8" applyAlignment="1" pivotButton="0" quotePrefix="0" xfId="43">
      <alignment horizontal="center" vertical="center" wrapText="1"/>
    </xf>
    <xf numFmtId="172" fontId="31" fillId="16" borderId="1" pivotButton="0" quotePrefix="0" xfId="43"/>
    <xf numFmtId="165" fontId="31" fillId="16" borderId="1" pivotButton="0" quotePrefix="0" xfId="13"/>
    <xf numFmtId="164" fontId="32" fillId="16" borderId="1" pivotButton="0" quotePrefix="0" xfId="43"/>
    <xf numFmtId="164" fontId="31" fillId="16" borderId="1" pivotButton="0" quotePrefix="0" xfId="43"/>
    <xf numFmtId="177" fontId="19" fillId="16" borderId="1" applyAlignment="1" pivotButton="0" quotePrefix="0" xfId="43">
      <alignment horizontal="center"/>
    </xf>
    <xf numFmtId="177" fontId="19" fillId="0" borderId="1" applyAlignment="1" pivotButton="0" quotePrefix="0" xfId="43">
      <alignment horizontal="center"/>
    </xf>
    <xf numFmtId="167" fontId="26" fillId="16" borderId="1" pivotButton="0" quotePrefix="0" xfId="43"/>
    <xf numFmtId="164" fontId="26" fillId="16" borderId="1" pivotButton="0" quotePrefix="0" xfId="43"/>
    <xf numFmtId="164" fontId="145" fillId="16" borderId="1" pivotButton="0" quotePrefix="0" xfId="39"/>
    <xf numFmtId="177" fontId="19" fillId="16" borderId="1" pivotButton="0" quotePrefix="0" xfId="43"/>
    <xf numFmtId="177" fontId="26" fillId="16" borderId="1" applyAlignment="1" pivotButton="0" quotePrefix="0" xfId="43">
      <alignment horizontal="center"/>
    </xf>
    <xf numFmtId="165" fontId="143" fillId="16" borderId="1" applyAlignment="1" pivotButton="0" quotePrefix="0" xfId="45">
      <alignment horizontal="left" vertical="center" wrapText="1"/>
    </xf>
    <xf numFmtId="167" fontId="19" fillId="16" borderId="1" pivotButton="0" quotePrefix="0" xfId="43"/>
    <xf numFmtId="164" fontId="19" fillId="16" borderId="1" pivotButton="0" quotePrefix="0" xfId="43"/>
    <xf numFmtId="165" fontId="92" fillId="16" borderId="1" applyAlignment="1" pivotButton="0" quotePrefix="0" xfId="45">
      <alignment horizontal="left" vertical="center" wrapText="1"/>
    </xf>
    <xf numFmtId="165" fontId="5" fillId="16" borderId="1" applyAlignment="1" pivotButton="0" quotePrefix="0" xfId="45">
      <alignment horizontal="left" vertical="center" wrapText="1"/>
    </xf>
    <xf numFmtId="167" fontId="20" fillId="16" borderId="1" pivotButton="0" quotePrefix="0" xfId="43"/>
    <xf numFmtId="176" fontId="19" fillId="16" borderId="1" pivotButton="0" quotePrefix="0" xfId="43"/>
    <xf numFmtId="176" fontId="19" fillId="16" borderId="1" applyAlignment="1" pivotButton="0" quotePrefix="0" xfId="43">
      <alignment horizontal="center"/>
    </xf>
    <xf numFmtId="177" fontId="21" fillId="0" borderId="1" applyAlignment="1" pivotButton="0" quotePrefix="0" xfId="43">
      <alignment horizontal="center"/>
    </xf>
    <xf numFmtId="177" fontId="19" fillId="26" borderId="1" applyAlignment="1" pivotButton="0" quotePrefix="0" xfId="43">
      <alignment horizontal="center"/>
    </xf>
    <xf numFmtId="164" fontId="19" fillId="16" borderId="1" applyAlignment="1" pivotButton="0" quotePrefix="0" xfId="43">
      <alignment horizontal="center"/>
    </xf>
    <xf numFmtId="164" fontId="20" fillId="16" borderId="1" applyAlignment="1" pivotButton="0" quotePrefix="0" xfId="43">
      <alignment horizontal="center"/>
    </xf>
    <xf numFmtId="177" fontId="21" fillId="16" borderId="1" applyAlignment="1" pivotButton="0" quotePrefix="0" xfId="43">
      <alignment horizontal="center"/>
    </xf>
    <xf numFmtId="165" fontId="16" fillId="16" borderId="1" pivotButton="0" quotePrefix="0" xfId="13"/>
    <xf numFmtId="164" fontId="16" fillId="16" borderId="1" pivotButton="0" quotePrefix="0" xfId="43"/>
    <xf numFmtId="164" fontId="16" fillId="16" borderId="1" applyAlignment="1" pivotButton="0" quotePrefix="0" xfId="43">
      <alignment horizontal="center"/>
    </xf>
    <xf numFmtId="177" fontId="26" fillId="0" borderId="1" applyAlignment="1" pivotButton="0" quotePrefix="0" xfId="43">
      <alignment horizontal="center"/>
    </xf>
    <xf numFmtId="164" fontId="143" fillId="16" borderId="1" pivotButton="0" quotePrefix="0" xfId="45"/>
    <xf numFmtId="164" fontId="16" fillId="16" borderId="1" pivotButton="0" quotePrefix="1" xfId="43"/>
    <xf numFmtId="164" fontId="145" fillId="16" borderId="1" applyAlignment="1" pivotButton="0" quotePrefix="0" xfId="39">
      <alignment horizontal="left"/>
    </xf>
    <xf numFmtId="177" fontId="26" fillId="16" borderId="1" pivotButton="0" quotePrefix="0" xfId="43"/>
    <xf numFmtId="164" fontId="26" fillId="16" borderId="1" applyAlignment="1" pivotButton="0" quotePrefix="0" xfId="43">
      <alignment horizontal="center"/>
    </xf>
    <xf numFmtId="176" fontId="13" fillId="16" borderId="1" pivotButton="0" quotePrefix="0" xfId="43"/>
    <xf numFmtId="176" fontId="13" fillId="16" borderId="1" applyAlignment="1" pivotButton="0" quotePrefix="0" xfId="43">
      <alignment horizontal="center"/>
    </xf>
    <xf numFmtId="164" fontId="12" fillId="16" borderId="1" applyAlignment="1" pivotButton="0" quotePrefix="0" xfId="43">
      <alignment horizontal="right"/>
    </xf>
    <xf numFmtId="165" fontId="12" fillId="16" borderId="1" applyAlignment="1" pivotButton="0" quotePrefix="0" xfId="13">
      <alignment horizontal="right"/>
    </xf>
    <xf numFmtId="165" fontId="12" fillId="16" borderId="1" pivotButton="0" quotePrefix="0" xfId="13"/>
    <xf numFmtId="172" fontId="19" fillId="16" borderId="14" pivotButton="0" quotePrefix="0" xfId="43"/>
    <xf numFmtId="164" fontId="19" fillId="16" borderId="1" applyAlignment="1" pivotButton="0" quotePrefix="1" xfId="43">
      <alignment horizontal="center"/>
    </xf>
    <xf numFmtId="164" fontId="19" fillId="16" borderId="14" pivotButton="0" quotePrefix="0" xfId="43"/>
    <xf numFmtId="164" fontId="27" fillId="16" borderId="1" applyAlignment="1" pivotButton="0" quotePrefix="0" xfId="39">
      <alignment horizontal="left"/>
    </xf>
    <xf numFmtId="164" fontId="19" fillId="16" borderId="1" pivotButton="0" quotePrefix="1" xfId="43"/>
    <xf numFmtId="164" fontId="84" fillId="16" borderId="1" pivotButton="0" quotePrefix="0" xfId="11"/>
    <xf numFmtId="165" fontId="84" fillId="16" borderId="1" pivotButton="0" quotePrefix="0" xfId="13"/>
    <xf numFmtId="164" fontId="85" fillId="16" borderId="1" applyAlignment="1" pivotButton="0" quotePrefix="0" xfId="11">
      <alignment vertical="center"/>
    </xf>
    <xf numFmtId="164" fontId="46" fillId="16" borderId="1" applyAlignment="1" pivotButton="0" quotePrefix="0" xfId="11">
      <alignment vertical="center"/>
    </xf>
    <xf numFmtId="164" fontId="84" fillId="14" borderId="1" pivotButton="0" quotePrefix="0" xfId="11"/>
    <xf numFmtId="164" fontId="84" fillId="13" borderId="1" pivotButton="0" quotePrefix="0" xfId="11"/>
    <xf numFmtId="164" fontId="84" fillId="8" borderId="1" pivotButton="0" quotePrefix="0" xfId="11"/>
    <xf numFmtId="164" fontId="84" fillId="16" borderId="1" applyAlignment="1" pivotButton="0" quotePrefix="0" xfId="11">
      <alignment wrapText="1"/>
    </xf>
    <xf numFmtId="164" fontId="86" fillId="10" borderId="8" applyAlignment="1" pivotButton="0" quotePrefix="0" xfId="11">
      <alignment vertical="center" wrapText="1"/>
    </xf>
    <xf numFmtId="165" fontId="86" fillId="10" borderId="8" applyAlignment="1" pivotButton="0" quotePrefix="0" xfId="13">
      <alignment horizontal="center" vertical="center" wrapText="1"/>
    </xf>
    <xf numFmtId="165" fontId="86" fillId="9" borderId="8" applyAlignment="1" pivotButton="0" quotePrefix="0" xfId="13">
      <alignment horizontal="center" vertical="center" wrapText="1"/>
    </xf>
    <xf numFmtId="164" fontId="86" fillId="10" borderId="8" applyAlignment="1" pivotButton="0" quotePrefix="0" xfId="11">
      <alignment horizontal="center" vertical="center" wrapText="1"/>
    </xf>
    <xf numFmtId="164" fontId="86" fillId="10" borderId="8" applyAlignment="1" pivotButton="0" quotePrefix="0" xfId="11">
      <alignment horizontal="left" vertical="center" wrapText="1"/>
    </xf>
    <xf numFmtId="164" fontId="86" fillId="9" borderId="8" applyAlignment="1" pivotButton="0" quotePrefix="0" xfId="11">
      <alignment horizontal="left" vertical="center" wrapText="1"/>
    </xf>
    <xf numFmtId="164" fontId="86" fillId="9" borderId="9" applyAlignment="1" pivotButton="0" quotePrefix="0" xfId="11">
      <alignment horizontal="left" vertical="center" wrapText="1"/>
    </xf>
    <xf numFmtId="172" fontId="87" fillId="16" borderId="1" pivotButton="0" quotePrefix="0" xfId="11"/>
    <xf numFmtId="165" fontId="87" fillId="16" borderId="1" pivotButton="0" quotePrefix="0" xfId="13"/>
    <xf numFmtId="164" fontId="88" fillId="16" borderId="1" pivotButton="0" quotePrefix="0" xfId="11"/>
    <xf numFmtId="164" fontId="87" fillId="16" borderId="1" pivotButton="0" quotePrefix="0" xfId="11"/>
    <xf numFmtId="167" fontId="91" fillId="0" borderId="1" pivotButton="0" quotePrefix="0" xfId="11"/>
    <xf numFmtId="165" fontId="91" fillId="0" borderId="1" pivotButton="0" quotePrefix="0" xfId="13"/>
    <xf numFmtId="164" fontId="92" fillId="0" borderId="1" pivotButton="0" quotePrefix="0" xfId="39"/>
    <xf numFmtId="164" fontId="91" fillId="0" borderId="1" pivotButton="0" quotePrefix="0" xfId="11"/>
    <xf numFmtId="164" fontId="91" fillId="16" borderId="1" pivotButton="0" quotePrefix="0" xfId="11"/>
    <xf numFmtId="164" fontId="84" fillId="0" borderId="1" pivotButton="0" quotePrefix="0" xfId="11"/>
    <xf numFmtId="164" fontId="92" fillId="0" borderId="1" applyAlignment="1" pivotButton="0" quotePrefix="0" xfId="39">
      <alignment horizontal="left"/>
    </xf>
    <xf numFmtId="164" fontId="19" fillId="0" borderId="1" applyAlignment="1" pivotButton="0" quotePrefix="1" xfId="11">
      <alignment horizontal="left"/>
    </xf>
    <xf numFmtId="164" fontId="93" fillId="0" borderId="1" pivotButton="0" quotePrefix="0" xfId="11"/>
    <xf numFmtId="164" fontId="91" fillId="0" borderId="1" pivotButton="0" quotePrefix="1" xfId="11"/>
    <xf numFmtId="164" fontId="94" fillId="16" borderId="1" pivotButton="0" quotePrefix="0" xfId="11"/>
    <xf numFmtId="164" fontId="95" fillId="0" borderId="1" pivotButton="0" quotePrefix="0" xfId="39"/>
    <xf numFmtId="164" fontId="91" fillId="0" borderId="20" applyAlignment="1" pivotButton="0" quotePrefix="0" xfId="11">
      <alignment wrapText="1"/>
    </xf>
    <xf numFmtId="164" fontId="91" fillId="0" borderId="16" applyAlignment="1" pivotButton="0" quotePrefix="0" xfId="11">
      <alignment wrapText="1"/>
    </xf>
    <xf numFmtId="164" fontId="96" fillId="0" borderId="16" applyAlignment="1" pivotButton="0" quotePrefix="0" xfId="11">
      <alignment wrapText="1"/>
    </xf>
    <xf numFmtId="164" fontId="96" fillId="16" borderId="16" applyAlignment="1" pivotButton="0" quotePrefix="0" xfId="11">
      <alignment wrapText="1"/>
    </xf>
    <xf numFmtId="164" fontId="94" fillId="16" borderId="16" applyAlignment="1" pivotButton="0" quotePrefix="0" xfId="11">
      <alignment wrapText="1"/>
    </xf>
    <xf numFmtId="172" fontId="91" fillId="0" borderId="14" pivotButton="0" quotePrefix="0" xfId="11"/>
    <xf numFmtId="172" fontId="91" fillId="16" borderId="14" pivotButton="0" quotePrefix="0" xfId="11"/>
    <xf numFmtId="165" fontId="91" fillId="16" borderId="14" pivotButton="0" quotePrefix="0" xfId="13"/>
    <xf numFmtId="164" fontId="91" fillId="16" borderId="14" pivotButton="0" quotePrefix="0" xfId="11"/>
    <xf numFmtId="165" fontId="91" fillId="16" borderId="1" pivotButton="0" quotePrefix="0" xfId="13"/>
    <xf numFmtId="164" fontId="86" fillId="16" borderId="1" applyAlignment="1" pivotButton="0" quotePrefix="0" xfId="11">
      <alignment horizontal="right"/>
    </xf>
    <xf numFmtId="165" fontId="86" fillId="16" borderId="1" applyAlignment="1" pivotButton="0" quotePrefix="0" xfId="13">
      <alignment horizontal="right"/>
    </xf>
    <xf numFmtId="165" fontId="86" fillId="16" borderId="1" pivotButton="0" quotePrefix="0" xfId="13"/>
  </cellXfs>
  <cellStyles count="91">
    <cellStyle name="Normal" xfId="0" builtinId="0"/>
    <cellStyle name="Normal 2" xfId="1"/>
    <cellStyle name="Normal 3" xfId="2"/>
    <cellStyle name="Normal 4" xfId="3"/>
    <cellStyle name="Normal 5" xfId="4"/>
    <cellStyle name="Normal 6" xfId="5"/>
    <cellStyle name="Normal 7" xfId="6"/>
    <cellStyle name="Normal 8" xfId="7"/>
    <cellStyle name="Normal 9" xfId="8"/>
    <cellStyle name="Percent 2" xfId="9"/>
    <cellStyle name="Comma 2" xfId="10"/>
    <cellStyle name="Normal 10" xfId="11"/>
    <cellStyle name="Comma 3" xfId="12"/>
    <cellStyle name="Currency 2" xfId="13"/>
    <cellStyle name="Normal 11" xfId="14"/>
    <cellStyle name="Normal 12" xfId="15"/>
    <cellStyle name="Normal 13" xfId="16"/>
    <cellStyle name="Normal 14" xfId="17"/>
    <cellStyle name="Normal 15" xfId="18"/>
    <cellStyle name="Normal 16" xfId="19"/>
    <cellStyle name="Normal 17" xfId="20"/>
    <cellStyle name="Normal 18" xfId="21"/>
    <cellStyle name="Normal 19" xfId="22"/>
    <cellStyle name="Normal 20" xfId="23"/>
    <cellStyle name="Normal 21" xfId="24"/>
    <cellStyle name="Normal 22" xfId="25"/>
    <cellStyle name="Normal 23" xfId="26"/>
    <cellStyle name="Normal 24" xfId="27"/>
    <cellStyle name="Normal 25" xfId="28"/>
    <cellStyle name="Normal 26" xfId="29"/>
    <cellStyle name="Normal 27" xfId="30"/>
    <cellStyle name="Normal 28" xfId="31"/>
    <cellStyle name="Normal 29" xfId="32"/>
    <cellStyle name="Normal 30" xfId="33"/>
    <cellStyle name="Normal 31" xfId="34"/>
    <cellStyle name="Normal 32" xfId="35"/>
    <cellStyle name="Normal 33" xfId="36"/>
    <cellStyle name="Normal 34" xfId="37"/>
    <cellStyle name="Normal 35" xfId="38"/>
    <cellStyle name="Hyperlink 2" xfId="39"/>
    <cellStyle name="Currency 3" xfId="40"/>
    <cellStyle name="Comma 4" xfId="41"/>
    <cellStyle name="Percent 3" xfId="42"/>
    <cellStyle name="Normal 36" xfId="43"/>
    <cellStyle name="Normal 32 2" xfId="44"/>
    <cellStyle name="Hyperlink" xfId="45" builtinId="8"/>
    <cellStyle name="Normal 37" xfId="46"/>
    <cellStyle name="Percent" xfId="47" builtinId="5"/>
    <cellStyle name="Comma" xfId="48" builtinId="3"/>
    <cellStyle name="Normal 2 2" xfId="49"/>
    <cellStyle name="Normal 3 2" xfId="50"/>
    <cellStyle name="Normal 4 2" xfId="51"/>
    <cellStyle name="Normal 5 2" xfId="52"/>
    <cellStyle name="Normal 6 2" xfId="53"/>
    <cellStyle name="Normal 7 2" xfId="54"/>
    <cellStyle name="Normal 8 2" xfId="55"/>
    <cellStyle name="Normal 9 2" xfId="56"/>
    <cellStyle name="Percent 2 2" xfId="57"/>
    <cellStyle name="Comma 2 2" xfId="58"/>
    <cellStyle name="Comma 3 2" xfId="59"/>
    <cellStyle name="Currency 2 2" xfId="60"/>
    <cellStyle name="Normal 12 2" xfId="61"/>
    <cellStyle name="Normal 13 2" xfId="62"/>
    <cellStyle name="Normal 14 2" xfId="63"/>
    <cellStyle name="Normal 15 2" xfId="64"/>
    <cellStyle name="Normal 16 2" xfId="65"/>
    <cellStyle name="Normal 17 2" xfId="66"/>
    <cellStyle name="Normal 18 2" xfId="67"/>
    <cellStyle name="Normal 19 2" xfId="68"/>
    <cellStyle name="Normal 20 2" xfId="69"/>
    <cellStyle name="Normal 21 2" xfId="70"/>
    <cellStyle name="Normal 22 2" xfId="71"/>
    <cellStyle name="Normal 23 2" xfId="72"/>
    <cellStyle name="Normal 24 2" xfId="73"/>
    <cellStyle name="Normal 25 2" xfId="74"/>
    <cellStyle name="Normal 26 2" xfId="75"/>
    <cellStyle name="Normal 27 2" xfId="76"/>
    <cellStyle name="Normal 28 2" xfId="77"/>
    <cellStyle name="Normal 29 2" xfId="78"/>
    <cellStyle name="Normal 30 2" xfId="79"/>
    <cellStyle name="Normal 31 2" xfId="80"/>
    <cellStyle name="Normal 33 2" xfId="81"/>
    <cellStyle name="Normal 34 2" xfId="82"/>
    <cellStyle name="Normal 35 2" xfId="83"/>
    <cellStyle name="Currency 3 2" xfId="84"/>
    <cellStyle name="Comma 4 2" xfId="85"/>
    <cellStyle name="Comma 5" xfId="86"/>
    <cellStyle name="Normal 38" xfId="87"/>
    <cellStyle name="Accent3" xfId="88" builtinId="37"/>
    <cellStyle name="Currency" xfId="89" builtinId="4"/>
    <cellStyle name="Normal 39" xfId="90"/>
  </cellStyles>
  <dxfs count="436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6" tint="0.399945066682943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1"/>
        <color rgb="FF006100"/>
      </font>
      <fill>
        <patternFill>
          <bgColor theme="7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1"/>
        <color rgb="FF006100"/>
      </font>
      <fill>
        <patternFill>
          <bgColor theme="7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alignment horizontal="general"/>
    </dxf>
    <dxf>
      <alignment horizontal="general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6" formatCode="_-* #,##0_-;\-* #,##0_-;_-* &quot;-&quot;??_-;_-@_-"/>
    </dxf>
    <dxf>
      <numFmt numFmtId="166" formatCode="_-* #,##0_-;\-* #,##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  <dxf>
      <numFmt numFmtId="172" formatCode="_-* #,##0.0_-;\-* #,##0.0_-;_-* &quot;-&quot;??_-;_-@_-"/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worksheet" Target="/xl/worksheets/sheet29.xml" Id="rId29"/><Relationship Type="http://schemas.openxmlformats.org/officeDocument/2006/relationships/worksheet" Target="/xl/worksheets/sheet30.xml" Id="rId30"/><Relationship Type="http://schemas.openxmlformats.org/officeDocument/2006/relationships/worksheet" Target="/xl/worksheets/sheet31.xml" Id="rId31"/><Relationship Type="http://schemas.openxmlformats.org/officeDocument/2006/relationships/worksheet" Target="/xl/worksheets/sheet32.xml" Id="rId32"/><Relationship Type="http://schemas.openxmlformats.org/officeDocument/2006/relationships/worksheet" Target="/xl/worksheets/sheet33.xml" Id="rId33"/><Relationship Type="http://schemas.openxmlformats.org/officeDocument/2006/relationships/worksheet" Target="/xl/worksheets/sheet34.xml" Id="rId34"/><Relationship Type="http://schemas.openxmlformats.org/officeDocument/2006/relationships/worksheet" Target="/xl/worksheets/sheet35.xml" Id="rId35"/><Relationship Type="http://schemas.openxmlformats.org/officeDocument/2006/relationships/worksheet" Target="/xl/worksheets/sheet36.xml" Id="rId36"/><Relationship Type="http://schemas.openxmlformats.org/officeDocument/2006/relationships/worksheet" Target="/xl/worksheets/sheet37.xml" Id="rId37"/><Relationship Type="http://schemas.openxmlformats.org/officeDocument/2006/relationships/worksheet" Target="/xl/worksheets/sheet38.xml" Id="rId38"/><Relationship Type="http://schemas.openxmlformats.org/officeDocument/2006/relationships/worksheet" Target="/xl/worksheets/sheet39.xml" Id="rId39"/><Relationship Type="http://schemas.openxmlformats.org/officeDocument/2006/relationships/worksheet" Target="/xl/worksheets/sheet40.xml" Id="rId40"/><Relationship Type="http://schemas.openxmlformats.org/officeDocument/2006/relationships/worksheet" Target="/xl/worksheets/sheet41.xml" Id="rId41"/><Relationship Type="http://schemas.openxmlformats.org/officeDocument/2006/relationships/worksheet" Target="/xl/worksheets/sheet42.xml" Id="rId42"/><Relationship Type="http://schemas.openxmlformats.org/officeDocument/2006/relationships/pivotCacheDefinition" Target="/xl/pivotCache/pivotCacheDefinition1.xml" Id="rId43"/><Relationship Type="http://schemas.openxmlformats.org/officeDocument/2006/relationships/pivotCacheDefinition" Target="/xl/pivotCache/pivotCacheDefinition2.xml" Id="rId44"/><Relationship Type="http://schemas.openxmlformats.org/officeDocument/2006/relationships/pivotCacheDefinition" Target="/xl/pivotCache/pivotCacheDefinition3.xml" Id="rId45"/><Relationship Type="http://schemas.openxmlformats.org/officeDocument/2006/relationships/pivotCacheDefinition" Target="/xl/pivotCache/pivotCacheDefinition4.xml" Id="rId46"/><Relationship Type="http://schemas.openxmlformats.org/officeDocument/2006/relationships/pivotCacheDefinition" Target="/xl/pivotCache/pivotCacheDefinition5.xml" Id="rId47"/><Relationship Type="http://schemas.openxmlformats.org/officeDocument/2006/relationships/styles" Target="styles.xml" Id="rId48"/><Relationship Type="http://schemas.openxmlformats.org/officeDocument/2006/relationships/theme" Target="theme/theme1.xml" Id="rId49"/><Relationship Type="http://schemas.microsoft.com/office/2006/relationships/vbaProject" Target="vbaProject.bin" Id="rId5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/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2000" b="0" i="0" strike="noStrike" kern="1200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r>
            <a:t/>
          </a:r>
          <a:endParaRPr lang="en-US"/>
        </a:p>
      </txPr>
    </title>
    <plotArea>
      <layout/>
      <lineChart>
        <grouping val="standard"/>
        <varyColors val="0"/>
        <ser>
          <idx val="0"/>
          <order val="0"/>
          <tx>
            <strRef>
              <f>'2018 Pivots'!$R$24:$S$24</f>
              <strCache>
                <ptCount val="2"/>
                <pt idx="0">
                  <v xml:space="preserve"> 2018 </v>
                </pt>
                <pt idx="1">
                  <v xml:space="preserve"> Year 6 </v>
                </pt>
              </strCache>
            </strRef>
          </tx>
          <spPr>
            <a:ln xmlns:a="http://schemas.openxmlformats.org/drawingml/2006/main" w="38100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Lbls>
            <spPr>
              <a:noFill xmlns:a="http://schemas.openxmlformats.org/drawingml/2006/main"/>
              <a:ln xmlns:a="http://schemas.openxmlformats.org/drawingml/2006/main">
                <a:noFill/>
                <a:prstDash val="solid"/>
              </a:ln>
            </spPr>
            <txPr>
              <a:bodyPr xmlns:a="http://schemas.openxmlformats.org/drawingml/2006/main" rot="0" spcFirstLastPara="1" vertOverflow="ellipsis" vert="horz" wrap="square" lIns="38100" tIns="19050" rIns="38100" bIns="19050" anchor="ctr" anchorCtr="1">
                <a:spAutoFit/>
              </a:bodyPr>
              <a:lstStyle xmlns:a="http://schemas.openxmlformats.org/drawingml/2006/main"/>
              <a:p xmlns:a="http://schemas.openxmlformats.org/drawingml/2006/main"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/>
                </a:r>
                <a:endParaRPr lang="en-US"/>
              </a:p>
            </txPr>
            <dLblPos val="ctr"/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'2018 Pivots'!$T$22:$AE$22</f>
              <strCache>
                <ptCount val="12"/>
                <pt idx="0">
                  <v xml:space="preserve"> Jan </v>
                </pt>
                <pt idx="1">
                  <v xml:space="preserve"> Feb </v>
                </pt>
                <pt idx="2">
                  <v xml:space="preserve"> Mar </v>
                </pt>
                <pt idx="3">
                  <v xml:space="preserve"> Apr </v>
                </pt>
                <pt idx="4">
                  <v xml:space="preserve"> May </v>
                </pt>
                <pt idx="5">
                  <v xml:space="preserve"> Jun </v>
                </pt>
                <pt idx="6">
                  <v xml:space="preserve"> Jul </v>
                </pt>
                <pt idx="7">
                  <v xml:space="preserve"> Aug </v>
                </pt>
                <pt idx="8">
                  <v xml:space="preserve"> Sep </v>
                </pt>
                <pt idx="9">
                  <v xml:space="preserve"> Oct </v>
                </pt>
                <pt idx="10">
                  <v xml:space="preserve"> Nov </v>
                </pt>
                <pt idx="11">
                  <v xml:space="preserve"> Dec </v>
                </pt>
              </strCache>
            </strRef>
          </cat>
          <val>
            <numRef>
              <f>'2018 Pivots'!$T$24:$AE$24</f>
              <numCache>
                <formatCode>_-* #,##0_-;\-* #,##0_-;_-* "-"??_-;_-@_-</formatCode>
                <ptCount val="12"/>
                <pt idx="0">
                  <v>8277.470000000001</v>
                </pt>
                <pt idx="1">
                  <v>10607.11</v>
                </pt>
                <pt idx="2">
                  <v>7155.05</v>
                </pt>
                <pt idx="3">
                  <v>4371.015</v>
                </pt>
                <pt idx="4">
                  <v>4002.63</v>
                </pt>
                <pt idx="5">
                  <v>3243.6</v>
                </pt>
                <pt idx="6">
                  <v>2859.03</v>
                </pt>
                <pt idx="7">
                  <v>4792.59</v>
                </pt>
                <pt idx="8">
                  <v>6443.88</v>
                </pt>
                <pt idx="9">
                  <v>3908.03</v>
                </pt>
                <pt idx="10">
                  <v>8299.08</v>
                </pt>
                <pt idx="11">
                  <v>4642.25</v>
                </pt>
              </numCache>
            </numRef>
          </val>
          <smooth val="0"/>
        </ser>
        <ser>
          <idx val="1"/>
          <order val="1"/>
          <tx>
            <strRef>
              <f>'2018 Pivots'!$R$25:$S$25</f>
              <strCache>
                <ptCount val="2"/>
                <pt idx="0">
                  <v xml:space="preserve"> 2017 </v>
                </pt>
                <pt idx="1">
                  <v xml:space="preserve"> Year 5 </v>
                </pt>
              </strCache>
            </strRef>
          </tx>
          <spPr>
            <a:ln xmlns:a="http://schemas.openxmlformats.org/drawingml/2006/main" w="38100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Lbls>
            <spPr>
              <a:noFill xmlns:a="http://schemas.openxmlformats.org/drawingml/2006/main"/>
              <a:ln xmlns:a="http://schemas.openxmlformats.org/drawingml/2006/main">
                <a:noFill/>
                <a:prstDash val="solid"/>
              </a:ln>
            </spPr>
            <txPr>
              <a:bodyPr xmlns:a="http://schemas.openxmlformats.org/drawingml/2006/main" rot="0" spcFirstLastPara="1" vertOverflow="ellipsis" vert="horz" wrap="square" lIns="38100" tIns="19050" rIns="38100" bIns="19050" anchor="ctr" anchorCtr="1">
                <a:spAutoFit/>
              </a:bodyPr>
              <a:lstStyle xmlns:a="http://schemas.openxmlformats.org/drawingml/2006/main"/>
              <a:p xmlns:a="http://schemas.openxmlformats.org/drawingml/2006/main"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/>
                </a:r>
                <a:endParaRPr lang="en-US"/>
              </a:p>
            </txPr>
            <dLblPos val="ctr"/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'2018 Pivots'!$T$22:$AE$22</f>
              <strCache>
                <ptCount val="12"/>
                <pt idx="0">
                  <v xml:space="preserve"> Jan </v>
                </pt>
                <pt idx="1">
                  <v xml:space="preserve"> Feb </v>
                </pt>
                <pt idx="2">
                  <v xml:space="preserve"> Mar </v>
                </pt>
                <pt idx="3">
                  <v xml:space="preserve"> Apr </v>
                </pt>
                <pt idx="4">
                  <v xml:space="preserve"> May </v>
                </pt>
                <pt idx="5">
                  <v xml:space="preserve"> Jun </v>
                </pt>
                <pt idx="6">
                  <v xml:space="preserve"> Jul </v>
                </pt>
                <pt idx="7">
                  <v xml:space="preserve"> Aug </v>
                </pt>
                <pt idx="8">
                  <v xml:space="preserve"> Sep </v>
                </pt>
                <pt idx="9">
                  <v xml:space="preserve"> Oct </v>
                </pt>
                <pt idx="10">
                  <v xml:space="preserve"> Nov </v>
                </pt>
                <pt idx="11">
                  <v xml:space="preserve"> Dec </v>
                </pt>
              </strCache>
            </strRef>
          </cat>
          <val>
            <numRef>
              <f>'2018 Pivots'!$T$25:$AE$25</f>
              <numCache>
                <formatCode>_-* #,##0_-;\-* #,##0_-;_-* "-"??_-;_-@_-</formatCode>
                <ptCount val="12"/>
                <pt idx="0">
                  <v>3203.5</v>
                </pt>
                <pt idx="1">
                  <v>6685</v>
                </pt>
                <pt idx="2">
                  <v>6242.83</v>
                </pt>
                <pt idx="3">
                  <v>6063.17</v>
                </pt>
                <pt idx="4">
                  <v>5851.71</v>
                </pt>
                <pt idx="5">
                  <v>5479.93</v>
                </pt>
                <pt idx="6">
                  <v>3603.81</v>
                </pt>
                <pt idx="7">
                  <v>4658.85</v>
                </pt>
                <pt idx="8">
                  <v>10821.67</v>
                </pt>
                <pt idx="9">
                  <v>9224.58</v>
                </pt>
                <pt idx="10">
                  <v>10504.09</v>
                </pt>
                <pt idx="11">
                  <v>4329.030000000001</v>
                </pt>
              </numCache>
            </numRef>
          </val>
          <smooth val="0"/>
        </ser>
        <ser>
          <idx val="2"/>
          <order val="2"/>
          <tx>
            <strRef>
              <f>'2018 Pivots'!$R$26:$S$26</f>
              <strCache>
                <ptCount val="2"/>
                <pt idx="0">
                  <v xml:space="preserve"> 2016 </v>
                </pt>
                <pt idx="1">
                  <v xml:space="preserve"> Year 4 </v>
                </pt>
              </strCache>
            </strRef>
          </tx>
          <spPr>
            <a:ln xmlns:a="http://schemas.openxmlformats.org/drawingml/2006/main" w="3810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Lbls>
            <spPr>
              <a:noFill xmlns:a="http://schemas.openxmlformats.org/drawingml/2006/main"/>
              <a:ln xmlns:a="http://schemas.openxmlformats.org/drawingml/2006/main">
                <a:noFill/>
                <a:prstDash val="solid"/>
              </a:ln>
            </spPr>
            <txPr>
              <a:bodyPr xmlns:a="http://schemas.openxmlformats.org/drawingml/2006/main" rot="0" spcFirstLastPara="1" vertOverflow="ellipsis" vert="horz" wrap="square" lIns="38100" tIns="19050" rIns="38100" bIns="19050" anchor="ctr" anchorCtr="1">
                <a:spAutoFit/>
              </a:bodyPr>
              <a:lstStyle xmlns:a="http://schemas.openxmlformats.org/drawingml/2006/main"/>
              <a:p xmlns:a="http://schemas.openxmlformats.org/drawingml/2006/main"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/>
                </a:r>
                <a:endParaRPr lang="en-US"/>
              </a:p>
            </txPr>
            <dLblPos val="ctr"/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'2018 Pivots'!$T$22:$AE$22</f>
              <strCache>
                <ptCount val="12"/>
                <pt idx="0">
                  <v xml:space="preserve"> Jan </v>
                </pt>
                <pt idx="1">
                  <v xml:space="preserve"> Feb </v>
                </pt>
                <pt idx="2">
                  <v xml:space="preserve"> Mar </v>
                </pt>
                <pt idx="3">
                  <v xml:space="preserve"> Apr </v>
                </pt>
                <pt idx="4">
                  <v xml:space="preserve"> May </v>
                </pt>
                <pt idx="5">
                  <v xml:space="preserve"> Jun </v>
                </pt>
                <pt idx="6">
                  <v xml:space="preserve"> Jul </v>
                </pt>
                <pt idx="7">
                  <v xml:space="preserve"> Aug </v>
                </pt>
                <pt idx="8">
                  <v xml:space="preserve"> Sep </v>
                </pt>
                <pt idx="9">
                  <v xml:space="preserve"> Oct </v>
                </pt>
                <pt idx="10">
                  <v xml:space="preserve"> Nov </v>
                </pt>
                <pt idx="11">
                  <v xml:space="preserve"> Dec </v>
                </pt>
              </strCache>
            </strRef>
          </cat>
          <val>
            <numRef>
              <f>'2018 Pivots'!$T$26:$AE$26</f>
              <numCache>
                <formatCode>_-* #,##0_-;\-* #,##0_-;_-* "-"??_-;_-@_-</formatCode>
                <ptCount val="12"/>
                <pt idx="0">
                  <v>4537</v>
                </pt>
                <pt idx="1">
                  <v>4319</v>
                </pt>
                <pt idx="2">
                  <v>3722</v>
                </pt>
                <pt idx="3">
                  <v>4551</v>
                </pt>
                <pt idx="4">
                  <v>3618</v>
                </pt>
                <pt idx="5">
                  <v>2779</v>
                </pt>
                <pt idx="6">
                  <v>2709</v>
                </pt>
                <pt idx="7">
                  <v>7253</v>
                </pt>
                <pt idx="8">
                  <v>3793</v>
                </pt>
                <pt idx="9">
                  <v>10484</v>
                </pt>
                <pt idx="10">
                  <v>4868</v>
                </pt>
                <pt idx="11">
                  <v>5007</v>
                </pt>
              </numCache>
            </numRef>
          </val>
          <smooth val="0"/>
        </ser>
        <ser>
          <idx val="3"/>
          <order val="3"/>
          <tx>
            <strRef>
              <f>'2018 Pivots'!$R$27:$S$27</f>
              <strCache>
                <ptCount val="2"/>
                <pt idx="0">
                  <v xml:space="preserve"> 2015 </v>
                </pt>
                <pt idx="1">
                  <v xml:space="preserve"> Year 3 </v>
                </pt>
              </strCache>
            </strRef>
          </tx>
          <spPr>
            <a:ln xmlns:a="http://schemas.openxmlformats.org/drawingml/2006/main" w="3810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Lbls>
            <spPr>
              <a:noFill xmlns:a="http://schemas.openxmlformats.org/drawingml/2006/main"/>
              <a:ln xmlns:a="http://schemas.openxmlformats.org/drawingml/2006/main">
                <a:noFill/>
                <a:prstDash val="solid"/>
              </a:ln>
            </spPr>
            <txPr>
              <a:bodyPr xmlns:a="http://schemas.openxmlformats.org/drawingml/2006/main" rot="0" spcFirstLastPara="1" vertOverflow="ellipsis" vert="horz" wrap="square" lIns="38100" tIns="19050" rIns="38100" bIns="19050" anchor="ctr" anchorCtr="1">
                <a:spAutoFit/>
              </a:bodyPr>
              <a:lstStyle xmlns:a="http://schemas.openxmlformats.org/drawingml/2006/main"/>
              <a:p xmlns:a="http://schemas.openxmlformats.org/drawingml/2006/main"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/>
                </a:r>
                <a:endParaRPr lang="en-US"/>
              </a:p>
            </txPr>
            <dLblPos val="ctr"/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'2018 Pivots'!$T$22:$AE$22</f>
              <strCache>
                <ptCount val="12"/>
                <pt idx="0">
                  <v xml:space="preserve"> Jan </v>
                </pt>
                <pt idx="1">
                  <v xml:space="preserve"> Feb </v>
                </pt>
                <pt idx="2">
                  <v xml:space="preserve"> Mar </v>
                </pt>
                <pt idx="3">
                  <v xml:space="preserve"> Apr </v>
                </pt>
                <pt idx="4">
                  <v xml:space="preserve"> May </v>
                </pt>
                <pt idx="5">
                  <v xml:space="preserve"> Jun </v>
                </pt>
                <pt idx="6">
                  <v xml:space="preserve"> Jul </v>
                </pt>
                <pt idx="7">
                  <v xml:space="preserve"> Aug </v>
                </pt>
                <pt idx="8">
                  <v xml:space="preserve"> Sep </v>
                </pt>
                <pt idx="9">
                  <v xml:space="preserve"> Oct </v>
                </pt>
                <pt idx="10">
                  <v xml:space="preserve"> Nov </v>
                </pt>
                <pt idx="11">
                  <v xml:space="preserve"> Dec </v>
                </pt>
              </strCache>
            </strRef>
          </cat>
          <val>
            <numRef>
              <f>'2018 Pivots'!$T$27:$AE$27</f>
              <numCache>
                <formatCode>_-* #,##0_-;\-* #,##0_-;_-* "-"??_-;_-@_-</formatCode>
                <ptCount val="12"/>
                <pt idx="0">
                  <v>3710</v>
                </pt>
                <pt idx="1">
                  <v>3750</v>
                </pt>
                <pt idx="2">
                  <v>7113</v>
                </pt>
                <pt idx="3">
                  <v>3715</v>
                </pt>
                <pt idx="4">
                  <v>2288</v>
                </pt>
                <pt idx="5">
                  <v>3255</v>
                </pt>
                <pt idx="6">
                  <v>1762</v>
                </pt>
                <pt idx="7">
                  <v>3933</v>
                </pt>
                <pt idx="8">
                  <v>8306</v>
                </pt>
                <pt idx="9">
                  <v>5405</v>
                </pt>
                <pt idx="10">
                  <v>3604</v>
                </pt>
                <pt idx="11">
                  <v>12228</v>
                </pt>
              </numCache>
            </numRef>
          </val>
          <smooth val="0"/>
        </ser>
        <ser>
          <idx val="4"/>
          <order val="4"/>
          <tx>
            <strRef>
              <f>'2018 Pivots'!$R$28:$S$28</f>
              <strCache>
                <ptCount val="2"/>
                <pt idx="0">
                  <v xml:space="preserve"> 2014 </v>
                </pt>
                <pt idx="1">
                  <v xml:space="preserve"> Year 2 </v>
                </pt>
              </strCache>
            </strRef>
          </tx>
          <spPr>
            <a:ln xmlns:a="http://schemas.openxmlformats.org/drawingml/2006/main" w="38100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Lbls>
            <spPr>
              <a:noFill xmlns:a="http://schemas.openxmlformats.org/drawingml/2006/main"/>
              <a:ln xmlns:a="http://schemas.openxmlformats.org/drawingml/2006/main">
                <a:noFill/>
                <a:prstDash val="solid"/>
              </a:ln>
            </spPr>
            <txPr>
              <a:bodyPr xmlns:a="http://schemas.openxmlformats.org/drawingml/2006/main" rot="0" spcFirstLastPara="1" vertOverflow="ellipsis" vert="horz" wrap="square" lIns="38100" tIns="19050" rIns="38100" bIns="19050" anchor="ctr" anchorCtr="1">
                <a:spAutoFit/>
              </a:bodyPr>
              <a:lstStyle xmlns:a="http://schemas.openxmlformats.org/drawingml/2006/main"/>
              <a:p xmlns:a="http://schemas.openxmlformats.org/drawingml/2006/main"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/>
                </a:r>
                <a:endParaRPr lang="en-US"/>
              </a:p>
            </txPr>
            <dLblPos val="ctr"/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'2018 Pivots'!$T$22:$AE$22</f>
              <strCache>
                <ptCount val="12"/>
                <pt idx="0">
                  <v xml:space="preserve"> Jan </v>
                </pt>
                <pt idx="1">
                  <v xml:space="preserve"> Feb </v>
                </pt>
                <pt idx="2">
                  <v xml:space="preserve"> Mar </v>
                </pt>
                <pt idx="3">
                  <v xml:space="preserve"> Apr </v>
                </pt>
                <pt idx="4">
                  <v xml:space="preserve"> May </v>
                </pt>
                <pt idx="5">
                  <v xml:space="preserve"> Jun </v>
                </pt>
                <pt idx="6">
                  <v xml:space="preserve"> Jul </v>
                </pt>
                <pt idx="7">
                  <v xml:space="preserve"> Aug </v>
                </pt>
                <pt idx="8">
                  <v xml:space="preserve"> Sep </v>
                </pt>
                <pt idx="9">
                  <v xml:space="preserve"> Oct </v>
                </pt>
                <pt idx="10">
                  <v xml:space="preserve"> Nov </v>
                </pt>
                <pt idx="11">
                  <v xml:space="preserve"> Dec </v>
                </pt>
              </strCache>
            </strRef>
          </cat>
          <val>
            <numRef>
              <f>'2018 Pivots'!$T$28:$AE$28</f>
              <numCache>
                <formatCode>_-* #,##0_-;\-* #,##0_-;_-* "-"??_-;_-@_-</formatCode>
                <ptCount val="12"/>
                <pt idx="0">
                  <v>3179</v>
                </pt>
                <pt idx="1">
                  <v>2874</v>
                </pt>
                <pt idx="2">
                  <v>4826</v>
                </pt>
                <pt idx="3">
                  <v>3453</v>
                </pt>
                <pt idx="4">
                  <v>4975</v>
                </pt>
                <pt idx="5">
                  <v>3386</v>
                </pt>
                <pt idx="6">
                  <v>3633</v>
                </pt>
                <pt idx="7">
                  <v>3855</v>
                </pt>
                <pt idx="8">
                  <v>6440</v>
                </pt>
                <pt idx="9">
                  <v>3536</v>
                </pt>
                <pt idx="10">
                  <v>2851</v>
                </pt>
                <pt idx="11">
                  <v>7614</v>
                </pt>
              </numCache>
            </numRef>
          </val>
          <smooth val="0"/>
        </ser>
        <ser>
          <idx val="5"/>
          <order val="5"/>
          <tx>
            <strRef>
              <f>'2018 Pivots'!$R$29:$S$29</f>
              <strCache>
                <ptCount val="2"/>
                <pt idx="0">
                  <v xml:space="preserve"> 2013 </v>
                </pt>
                <pt idx="1">
                  <v xml:space="preserve"> Year 1 </v>
                </pt>
              </strCache>
            </strRef>
          </tx>
          <spPr>
            <a:ln xmlns:a="http://schemas.openxmlformats.org/drawingml/2006/main" w="38100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Lbls>
            <spPr>
              <a:noFill xmlns:a="http://schemas.openxmlformats.org/drawingml/2006/main"/>
              <a:ln xmlns:a="http://schemas.openxmlformats.org/drawingml/2006/main">
                <a:noFill/>
                <a:prstDash val="solid"/>
              </a:ln>
            </spPr>
            <txPr>
              <a:bodyPr xmlns:a="http://schemas.openxmlformats.org/drawingml/2006/main" rot="0" spcFirstLastPara="1" vertOverflow="ellipsis" vert="horz" wrap="square" lIns="38100" tIns="19050" rIns="38100" bIns="19050" anchor="ctr" anchorCtr="1">
                <a:spAutoFit/>
              </a:bodyPr>
              <a:lstStyle xmlns:a="http://schemas.openxmlformats.org/drawingml/2006/main"/>
              <a:p xmlns:a="http://schemas.openxmlformats.org/drawingml/2006/main"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/>
                </a:r>
                <a:endParaRPr lang="en-US"/>
              </a:p>
            </txPr>
            <dLblPos val="ctr"/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'2018 Pivots'!$T$22:$AE$22</f>
              <strCache>
                <ptCount val="12"/>
                <pt idx="0">
                  <v xml:space="preserve"> Jan </v>
                </pt>
                <pt idx="1">
                  <v xml:space="preserve"> Feb </v>
                </pt>
                <pt idx="2">
                  <v xml:space="preserve"> Mar </v>
                </pt>
                <pt idx="3">
                  <v xml:space="preserve"> Apr </v>
                </pt>
                <pt idx="4">
                  <v xml:space="preserve"> May </v>
                </pt>
                <pt idx="5">
                  <v xml:space="preserve"> Jun </v>
                </pt>
                <pt idx="6">
                  <v xml:space="preserve"> Jul </v>
                </pt>
                <pt idx="7">
                  <v xml:space="preserve"> Aug </v>
                </pt>
                <pt idx="8">
                  <v xml:space="preserve"> Sep </v>
                </pt>
                <pt idx="9">
                  <v xml:space="preserve"> Oct </v>
                </pt>
                <pt idx="10">
                  <v xml:space="preserve"> Nov </v>
                </pt>
                <pt idx="11">
                  <v xml:space="preserve"> Dec </v>
                </pt>
              </strCache>
            </strRef>
          </cat>
          <val>
            <numRef>
              <f>'2018 Pivots'!$T$29:$AE$29</f>
              <numCache>
                <formatCode>_-* #,##0_-;\-* #,##0_-;_-* "-"??_-;_-@_-</formatCode>
                <ptCount val="12"/>
                <pt idx="10">
                  <v>3008</v>
                </pt>
                <pt idx="11">
                  <v>6386</v>
                </pt>
              </numCache>
            </numRef>
          </val>
          <smooth val="0"/>
        </ser>
        <dLbls>
          <dLblPos val="ctr"/>
          <showLegendKey val="0"/>
          <showVal val="1"/>
          <showCatName val="0"/>
          <showSerName val="0"/>
          <showPercent val="0"/>
          <showBubbleSize val="0"/>
        </dLbls>
        <smooth val="0"/>
        <axId val="1013833136"/>
        <axId val="1398278352"/>
      </lineChart>
      <catAx>
        <axId val="1013833136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398278352"/>
        <crosses val="autoZero"/>
        <auto val="1"/>
        <lblAlgn val="ctr"/>
        <lblOffset val="100"/>
        <noMultiLvlLbl val="0"/>
      </catAx>
      <valAx>
        <axId val="139827835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xmlns:a="http://schemas.openxmlformats.org/drawingml/2006/main"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numFmt formatCode="_-* #,##0_-;\-* #,##0_-;_-* &quot;-&quot;??_-;_-@_-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013833136"/>
        <crosses val="autoZero"/>
        <crossBetween val="between"/>
      </valAx>
    </plotArea>
    <legend>
      <legendPos val="t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omments/comment1.xml><?xml version="1.0" encoding="utf-8"?>
<comments xmlns="http://schemas.openxmlformats.org/spreadsheetml/2006/main">
  <authors>
    <author>alan ranger</author>
  </authors>
  <commentList>
    <comment ref="I39" authorId="0" shapeId="0">
      <text>
        <t xml:space="preserve">RPS
</t>
      </text>
    </comment>
    <comment ref="G40" authorId="0" shapeId="0">
      <text>
        <t xml:space="preserve">Photo Level 2 Course
</t>
      </text>
    </comment>
    <comment ref="G41" authorId="0" shapeId="0">
      <text>
        <t xml:space="preserve">Photo Level 2 Course
</t>
      </text>
    </comment>
    <comment ref="I41" authorId="0" shapeId="0">
      <text>
        <t xml:space="preserve">Intentions
</t>
      </text>
    </comment>
    <comment ref="G42" authorId="0" shapeId="0">
      <text>
        <t xml:space="preserve">Photo Level 2 Course
</t>
      </text>
    </comment>
    <comment ref="G43" authorId="0" shapeId="0">
      <text>
        <t xml:space="preserve">Photo Level 2 Course
</t>
      </text>
    </comment>
    <comment ref="I43" authorId="0" shapeId="0">
      <text>
        <t xml:space="preserve">Intentions
</t>
      </text>
    </comment>
    <comment ref="I46" authorId="0" shapeId="0">
      <text>
        <t xml:space="preserve">Intentions
</t>
      </text>
    </comment>
    <comment ref="I50" authorId="0" shapeId="0">
      <text>
        <t xml:space="preserve">Intentions
</t>
      </text>
    </comment>
    <comment ref="I54" authorId="0" shapeId="0">
      <text>
        <t xml:space="preserve">Intentions
</t>
      </text>
    </comment>
  </commentList>
</comments>
</file>

<file path=xl/comments/comment2.xml><?xml version="1.0" encoding="utf-8"?>
<comments xmlns="http://schemas.openxmlformats.org/spreadsheetml/2006/main">
  <authors>
    <author>alan ranger</author>
  </authors>
  <commentList>
    <comment ref="F3" authorId="0" shapeId="0">
      <text>
        <t xml:space="preserve">Get Off Auto Class
</t>
      </text>
    </comment>
    <comment ref="G3" authorId="0" shapeId="0">
      <text>
        <t xml:space="preserve">RPS
</t>
      </text>
    </comment>
    <comment ref="D4" authorId="0" shapeId="0">
      <text>
        <t xml:space="preserve">Get Off Auto Class
</t>
      </text>
    </comment>
    <comment ref="E4" authorId="0" shapeId="0">
      <text>
        <t xml:space="preserve">RPS
</t>
      </text>
    </comment>
    <comment ref="F4" authorId="0" shapeId="0">
      <text>
        <t xml:space="preserve">Get Off Auto Class
</t>
      </text>
    </comment>
    <comment ref="D5" authorId="0" shapeId="0">
      <text>
        <t xml:space="preserve">Get Off Auto Class
</t>
      </text>
    </comment>
    <comment ref="F5" authorId="0" shapeId="0">
      <text>
        <t xml:space="preserve">Beginners Lvl 1
</t>
      </text>
    </comment>
    <comment ref="C6" authorId="0" shapeId="0">
      <text>
        <t xml:space="preserve">RPS
</t>
      </text>
    </comment>
    <comment ref="D6" authorId="0" shapeId="0">
      <text>
        <t xml:space="preserve">LR Lvl2
</t>
      </text>
    </comment>
    <comment ref="E6" authorId="0" shapeId="0">
      <text>
        <t xml:space="preserve">Intentions
</t>
      </text>
    </comment>
    <comment ref="F6" authorId="0" shapeId="0">
      <text>
        <t xml:space="preserve">Beginners Lvl 1
</t>
      </text>
    </comment>
    <comment ref="F7" authorId="0" shapeId="0">
      <text>
        <t xml:space="preserve">Beginners Lvl 1
</t>
      </text>
    </comment>
    <comment ref="E8" authorId="0" shapeId="0">
      <text>
        <t xml:space="preserve">RPS
</t>
      </text>
    </comment>
    <comment ref="F8" authorId="0" shapeId="0">
      <text>
        <t xml:space="preserve">Beginners Lvl 1
</t>
      </text>
    </comment>
    <comment ref="E9" authorId="0" shapeId="0">
      <text>
        <t xml:space="preserve">Intentions
</t>
      </text>
    </comment>
    <comment ref="F9" authorId="0" shapeId="0">
      <text>
        <t xml:space="preserve">Get Off Auto Class
</t>
      </text>
    </comment>
    <comment ref="D10" authorId="0" shapeId="0">
      <text>
        <t xml:space="preserve">Beginners Lvl 1
</t>
      </text>
    </comment>
    <comment ref="D11" authorId="0" shapeId="0">
      <text>
        <t xml:space="preserve">Beginners Lvl 1
</t>
      </text>
    </comment>
    <comment ref="E11" authorId="0" shapeId="0">
      <text>
        <t xml:space="preserve">Intentions
</t>
      </text>
    </comment>
    <comment ref="F11" authorId="0" shapeId="0">
      <text>
        <t xml:space="preserve">Get Off Auto Class
</t>
      </text>
    </comment>
    <comment ref="C12" authorId="0" shapeId="0">
      <text>
        <t xml:space="preserve">RPS
</t>
      </text>
    </comment>
    <comment ref="D12" authorId="0" shapeId="0">
      <text>
        <t xml:space="preserve">Beginners Lvl 1
</t>
      </text>
    </comment>
    <comment ref="F12" authorId="0" shapeId="0">
      <text>
        <t xml:space="preserve">Get Off Auto Class
</t>
      </text>
    </comment>
    <comment ref="D13" authorId="0" shapeId="0">
      <text>
        <t xml:space="preserve">Beginners Lvl 1
</t>
      </text>
    </comment>
    <comment ref="E13" authorId="0" shapeId="0">
      <text>
        <t xml:space="preserve">Intentions
</t>
      </text>
    </comment>
    <comment ref="F13" authorId="0" shapeId="0">
      <text>
        <t xml:space="preserve">Get Off Auto Class
</t>
      </text>
    </comment>
    <comment ref="D14" authorId="0" shapeId="0">
      <text>
        <t xml:space="preserve">Get Off Auto Class
</t>
      </text>
    </comment>
    <comment ref="E14" authorId="0" shapeId="0">
      <text>
        <t xml:space="preserve">RPS
</t>
      </text>
    </comment>
    <comment ref="F14" authorId="0" shapeId="0">
      <text>
        <t xml:space="preserve">LR Lvl 1
</t>
      </text>
    </comment>
    <comment ref="D15" authorId="0" shapeId="0">
      <text>
        <t xml:space="preserve">Photo Level 2 Course
</t>
      </text>
    </comment>
    <comment ref="F15" authorId="0" shapeId="0">
      <text>
        <t xml:space="preserve">LR Lvl 1
</t>
      </text>
    </comment>
    <comment ref="C16" authorId="0" shapeId="0">
      <text>
        <t xml:space="preserve">RPS
</t>
      </text>
    </comment>
    <comment ref="D16" authorId="0" shapeId="0">
      <text>
        <t xml:space="preserve">Photo Level 2 Course
</t>
      </text>
    </comment>
    <comment ref="F16" authorId="0" shapeId="0">
      <text>
        <t xml:space="preserve">LR Lvl 1
</t>
      </text>
    </comment>
    <comment ref="D17" authorId="0" shapeId="0">
      <text>
        <t xml:space="preserve">Photo Level 2 Course
</t>
      </text>
    </comment>
    <comment ref="F17" authorId="0" shapeId="0">
      <text>
        <t xml:space="preserve">LR Lvl 1
</t>
      </text>
    </comment>
    <comment ref="C18" authorId="0" shapeId="0">
      <text>
        <t xml:space="preserve">Chesterton
</t>
      </text>
    </comment>
    <comment ref="D18" authorId="0" shapeId="0">
      <text>
        <t xml:space="preserve">Photo Level 2 Course
</t>
      </text>
    </comment>
    <comment ref="F18" authorId="0" shapeId="0">
      <text>
        <t xml:space="preserve">Get Off Auto Class
</t>
      </text>
    </comment>
    <comment ref="D19" authorId="0" shapeId="0">
      <text>
        <t xml:space="preserve">Get Off Auto Class
</t>
      </text>
    </comment>
    <comment ref="F19" authorId="0" shapeId="0">
      <text>
        <t xml:space="preserve">LR Lvl2
</t>
      </text>
    </comment>
    <comment ref="H19" authorId="0" shapeId="0">
      <text>
        <t xml:space="preserve">Bluebells
</t>
      </text>
    </comment>
    <comment ref="C20" authorId="0" shapeId="0">
      <text>
        <t xml:space="preserve">RPS
</t>
      </text>
    </comment>
    <comment ref="F20" authorId="0" shapeId="0">
      <text>
        <t xml:space="preserve">Beginners Lvl 1
</t>
      </text>
    </comment>
    <comment ref="D21" authorId="0" shapeId="0">
      <text>
        <t xml:space="preserve">LR Lvl 1
</t>
      </text>
    </comment>
    <comment ref="F21" authorId="0" shapeId="0">
      <text>
        <t xml:space="preserve">Beginners Lvl 1
</t>
      </text>
    </comment>
    <comment ref="D22" authorId="0" shapeId="0">
      <text>
        <t xml:space="preserve">LR Lvl 1
</t>
      </text>
    </comment>
    <comment ref="E22" authorId="0" shapeId="0">
      <text>
        <t xml:space="preserve">RPS
</t>
      </text>
    </comment>
    <comment ref="F22" authorId="0" shapeId="0">
      <text>
        <t xml:space="preserve">Beginners Lvl 1
</t>
      </text>
    </comment>
    <comment ref="D23" authorId="0" shapeId="0">
      <text>
        <t xml:space="preserve">LR Lvl 1
</t>
      </text>
    </comment>
    <comment ref="F23" authorId="0" shapeId="0">
      <text>
        <t xml:space="preserve">Beginners Lvl 1
</t>
      </text>
    </comment>
    <comment ref="D24" authorId="0" shapeId="0">
      <text>
        <t xml:space="preserve">LR Lvl 1
</t>
      </text>
    </comment>
    <comment ref="F24" authorId="0" shapeId="0">
      <text>
        <t xml:space="preserve">Get Off Auto Class
</t>
      </text>
    </comment>
    <comment ref="C25" authorId="0" shapeId="0">
      <text>
        <t xml:space="preserve">RPS
</t>
      </text>
    </comment>
    <comment ref="D25" authorId="0" shapeId="0">
      <text>
        <t xml:space="preserve">Beginners Lvl 1
</t>
      </text>
    </comment>
    <comment ref="E25" authorId="0" shapeId="0">
      <text>
        <t xml:space="preserve">LR Lvl2
</t>
      </text>
    </comment>
    <comment ref="F25" authorId="0" shapeId="0">
      <text>
        <t xml:space="preserve">Photo Level 2 Course
</t>
      </text>
    </comment>
    <comment ref="H25" authorId="0" shapeId="0">
      <text>
        <t xml:space="preserve">Lynmouth
</t>
      </text>
    </comment>
    <comment ref="I25" authorId="0" shapeId="0">
      <text>
        <t xml:space="preserve">Lynmouth
</t>
      </text>
    </comment>
    <comment ref="D26" authorId="0" shapeId="0">
      <text>
        <t xml:space="preserve">Beginners Lvl 1
</t>
      </text>
    </comment>
    <comment ref="E26" authorId="0" shapeId="0">
      <text>
        <t xml:space="preserve">LR Lvl2
</t>
      </text>
    </comment>
    <comment ref="F26" authorId="0" shapeId="0">
      <text>
        <t xml:space="preserve">Photo Level 2 Course
</t>
      </text>
    </comment>
    <comment ref="D27" authorId="0" shapeId="0">
      <text>
        <t xml:space="preserve">Beginners Lvl 1
</t>
      </text>
    </comment>
    <comment ref="E27" authorId="0" shapeId="0">
      <text>
        <t xml:space="preserve">LR Lvl2
</t>
      </text>
    </comment>
    <comment ref="F27" authorId="0" shapeId="0">
      <text>
        <t xml:space="preserve">Photo Level 2 Course
</t>
      </text>
    </comment>
    <comment ref="G27" authorId="0" shapeId="0">
      <text>
        <t>Poppies</t>
      </text>
    </comment>
    <comment ref="H27" authorId="0" shapeId="0">
      <text>
        <t>Poppies</t>
      </text>
    </comment>
    <comment ref="C28" authorId="0" shapeId="0">
      <text>
        <t xml:space="preserve">RPS
</t>
      </text>
    </comment>
    <comment ref="D28" authorId="0" shapeId="0">
      <text>
        <t xml:space="preserve">Beginners Lvl 1
</t>
      </text>
    </comment>
    <comment ref="E28" authorId="0" shapeId="0">
      <text>
        <t xml:space="preserve">LR Lvl2
</t>
      </text>
    </comment>
    <comment ref="F28" authorId="0" shapeId="0">
      <text>
        <t xml:space="preserve">Photo Level 2 Course
</t>
      </text>
    </comment>
    <comment ref="D29" authorId="0" shapeId="0">
      <text>
        <t xml:space="preserve">Get Off Auto Class
</t>
      </text>
    </comment>
    <comment ref="F29" authorId="0" shapeId="0">
      <text>
        <t xml:space="preserve">Get Off Auto Class
</t>
      </text>
    </comment>
    <comment ref="D30" authorId="0" shapeId="0">
      <text>
        <t xml:space="preserve">Get Off Auto Class
</t>
      </text>
    </comment>
    <comment ref="E30" authorId="0" shapeId="0">
      <text>
        <t xml:space="preserve">RPS
</t>
      </text>
    </comment>
    <comment ref="F30" authorId="0" shapeId="0">
      <text>
        <t xml:space="preserve">Get Off Auto Class
</t>
      </text>
    </comment>
    <comment ref="C32" authorId="0" shapeId="0">
      <text>
        <t xml:space="preserve">RPS
</t>
      </text>
    </comment>
    <comment ref="D32" authorId="0" shapeId="0">
      <text>
        <t xml:space="preserve">Get Off Auto Class
</t>
      </text>
    </comment>
    <comment ref="F32" authorId="0" shapeId="0">
      <text>
        <t xml:space="preserve">Get Off Auto Class
</t>
      </text>
    </comment>
    <comment ref="H34" authorId="0" shapeId="0">
      <text>
        <t xml:space="preserve">Anglesey
</t>
      </text>
    </comment>
    <comment ref="D35" authorId="0" shapeId="0">
      <text>
        <t xml:space="preserve">Photo Level 2 Course
</t>
      </text>
    </comment>
    <comment ref="D36" authorId="0" shapeId="0">
      <text>
        <t xml:space="preserve">Photo Level 2 Course
</t>
      </text>
    </comment>
    <comment ref="D37" authorId="0" shapeId="0">
      <text>
        <t xml:space="preserve">Photo Level 2 Course
</t>
      </text>
    </comment>
    <comment ref="E37" authorId="0" shapeId="0">
      <text>
        <t xml:space="preserve">Peak District Roaches
</t>
      </text>
    </comment>
    <comment ref="H37" authorId="0" shapeId="0">
      <text>
        <t>Hartland</t>
      </text>
    </comment>
    <comment ref="I37" authorId="0" shapeId="0">
      <text>
        <t>Hartland</t>
      </text>
    </comment>
    <comment ref="D38" authorId="0" shapeId="0">
      <text>
        <t xml:space="preserve">Photo Level 2 Course
</t>
      </text>
    </comment>
    <comment ref="F39" authorId="0" shapeId="0">
      <text>
        <t xml:space="preserve">Beginners Photo
</t>
      </text>
    </comment>
    <comment ref="F40" authorId="0" shapeId="0">
      <text>
        <t xml:space="preserve">Beginners Photo
</t>
      </text>
    </comment>
    <comment ref="F41" authorId="0" shapeId="0">
      <text>
        <t xml:space="preserve">Beginners Photo
</t>
      </text>
    </comment>
    <comment ref="F42" authorId="0" shapeId="0">
      <text>
        <t xml:space="preserve">Beginners Photo
</t>
      </text>
    </comment>
  </commentList>
</comments>
</file>

<file path=xl/comments/comment3.xml><?xml version="1.0" encoding="utf-8"?>
<comments xmlns="http://schemas.openxmlformats.org/spreadsheetml/2006/main">
  <authors>
    <author>alan ranger</author>
  </authors>
  <commentList>
    <comment ref="K33" authorId="0" shapeId="0">
      <text>
        <t>alan ranger:
karen</t>
      </text>
    </comment>
    <comment ref="M34" authorId="0" shapeId="0">
      <text>
        <t>alan ranger:
Karen</t>
      </text>
    </comment>
    <comment ref="R35" authorId="0" shapeId="0">
      <text>
        <t>alan ranger:
Karen</t>
      </text>
    </comment>
  </commentList>
</comments>
</file>

<file path=xl/comments/comment4.xml><?xml version="1.0" encoding="utf-8"?>
<comments xmlns="http://schemas.openxmlformats.org/spreadsheetml/2006/main">
  <authors>
    <author>alan ranger</author>
  </authors>
  <commentList>
    <comment ref="K32" authorId="0" shapeId="0">
      <text>
        <t>alan ranger:
karen</t>
      </text>
    </comment>
    <comment ref="M33" authorId="0" shapeId="0">
      <text>
        <t>alan ranger:
Karen</t>
      </text>
    </comment>
    <comment ref="R34" authorId="0" shapeId="0">
      <text>
        <t>alan ranger:
Karen</t>
      </text>
    </comment>
  </commentList>
</comments>
</file>

<file path=xl/comments/comment5.xml><?xml version="1.0" encoding="utf-8"?>
<comments xmlns="http://schemas.openxmlformats.org/spreadsheetml/2006/main">
  <authors>
    <author>alan ranger</author>
  </authors>
  <commentList>
    <comment ref="K31" authorId="0" shapeId="0">
      <text>
        <t>alan ranger:
karen</t>
      </text>
    </comment>
    <comment ref="M32" authorId="0" shapeId="0">
      <text>
        <t>alan ranger:
Karen</t>
      </text>
    </comment>
    <comment ref="R33" authorId="0" shapeId="0">
      <text>
        <t>alan ranger:
Karen</t>
      </text>
    </comment>
  </commentList>
</comments>
</file>

<file path=xl/comments/comment6.xml><?xml version="1.0" encoding="utf-8"?>
<comments xmlns="http://schemas.openxmlformats.org/spreadsheetml/2006/main">
  <authors>
    <author>alan ranger</author>
  </authors>
  <commentList>
    <comment ref="K27" authorId="0" shapeId="0">
      <text>
        <t>alan ranger:
karen</t>
      </text>
    </comment>
    <comment ref="M28" authorId="0" shapeId="0">
      <text>
        <t>alan ranger:
Karen</t>
      </text>
    </comment>
    <comment ref="R29" authorId="0" shapeId="0">
      <text>
        <t>alan ranger:
Karen</t>
      </text>
    </comment>
  </commentList>
</comments>
</file>

<file path=xl/comments/comment7.xml><?xml version="1.0" encoding="utf-8"?>
<comments xmlns="http://schemas.openxmlformats.org/spreadsheetml/2006/main">
  <authors>
    <author>alan ranger</author>
  </authors>
  <commentList>
    <comment ref="Q8" authorId="0" shapeId="0">
      <text>
        <t>alan ranger:
lakes
Dbl - 164pn
Sl - 109pn
SI - 98pn</t>
      </text>
    </comment>
    <comment ref="R8" authorId="0" shapeId="0">
      <text>
        <t>alan ranger:
hartland
3 x 130 x 2</t>
      </text>
    </comment>
    <comment ref="A49" authorId="0" shapeId="0">
      <text>
        <t>alan ranger:
can I get teaching price?</t>
      </text>
    </comment>
    <comment ref="T70" authorId="0" shapeId="0">
      <text>
        <t>alan ranger:
Jack</t>
      </text>
    </comment>
    <comment ref="B176" authorId="0" shapeId="0">
      <text>
        <t>alan ranger:
early settlement amount</t>
      </text>
    </comment>
    <comment ref="B183" authorId="0" shapeId="0">
      <text>
        <t>alan ranger:
early settlement amount</t>
      </text>
    </comment>
  </commentList>
</comments>
</file>

<file path=xl/comments/comment8.xml><?xml version="1.0" encoding="utf-8"?>
<comments xmlns="http://schemas.openxmlformats.org/spreadsheetml/2006/main">
  <authors>
    <author>alan ranger</author>
  </authors>
  <commentList>
    <comment ref="D47" authorId="0" shapeId="0">
      <text>
        <t>alan ranger:
Didn’t show up</t>
      </text>
    </comment>
    <comment ref="D62" authorId="0" shapeId="0">
      <text>
        <t>alan ranger:
cancelled 29 Sep</t>
      </text>
    </comment>
    <comment ref="D67" authorId="0" shapeId="0">
      <text>
        <t xml:space="preserve">alan ranger:
Credit from heathers aug 2023
</t>
      </text>
    </comment>
  </commentList>
</comments>
</file>

<file path=xl/comments/comment9.xml><?xml version="1.0" encoding="utf-8"?>
<comments xmlns="http://schemas.openxmlformats.org/spreadsheetml/2006/main">
  <authors>
    <author>alan ranger</author>
  </authors>
  <commentList>
    <comment ref="D7" authorId="0" shapeId="0">
      <text>
        <t>alan ranger:
cancelled as sprained ankle</t>
      </text>
    </comment>
    <comment ref="C8" authorId="0" shapeId="0">
      <text>
        <t>alan ranger:
transferred from last years cancelled event</t>
      </text>
    </comment>
    <comment ref="D71" authorId="0" shapeId="0">
      <text>
        <t xml:space="preserve">alan ranger:
cancelled as her father is ill.  Will rebook the spring one instead
</t>
      </text>
    </comment>
    <comment ref="D72" authorId="0" shapeId="0">
      <text>
        <t xml:space="preserve">alan ranger:
cancelled as her father is ill.  Will rebook the spring one instead
</t>
      </text>
    </comment>
    <comment ref="C83" authorId="0" shapeId="0">
      <text>
        <t>alan ranger:
had booked 19th apr then changed it as going on holiday</t>
      </text>
    </comment>
    <comment ref="C85" authorId="0" shapeId="0">
      <text>
        <t xml:space="preserve">alan ranger:
emailed day before to cancel due to illness
</t>
      </text>
    </comment>
    <comment ref="C90" authorId="0" shapeId="0">
      <text>
        <t>alan ranger:
Caneclled on day to not well and weather</t>
      </text>
    </comment>
    <comment ref="C94" authorId="0" shapeId="0">
      <text>
        <t>alan ranger:
No show and no message</t>
      </text>
    </comment>
    <comment ref="C108" authorId="0" shapeId="0">
      <text>
        <t>alan ranger:
she split all day over 2 day half sessions
Wed 23 Apr moring had heavy rain fprecast so we agreed to defer her 2nd booking towards another event so £51 credit</t>
      </text>
    </comment>
    <comment ref="C109" authorId="0" shapeId="0">
      <text>
        <t>alan ranger:
she cancelled as cant make it - received 15 apr</t>
      </text>
    </comment>
    <comment ref="C112" authorId="0" shapeId="0">
      <text>
        <t>alan ranger:
Heavy rain forecast so Morning session cancelled and agreed a credit of £51 towards another event</t>
      </text>
    </comment>
    <comment ref="B123" authorId="0" shapeId="0">
      <text>
        <t>alan ranger:
emailed on 19 apr to say she cant make as husband working away</t>
      </text>
    </comment>
    <comment ref="F123" authorId="0" shapeId="0">
      <text>
        <t>alan ranger:
Gift Voucher
#02297</t>
      </text>
    </comment>
    <comment ref="C127" authorId="0" shapeId="0">
      <text>
        <t>alan ranger:
Cancelled the night before</t>
      </text>
    </comment>
    <comment ref="C142" authorId="0" shapeId="0">
      <text>
        <t xml:space="preserve">alan ranger:
cancelled night before due to biking accident and broken collar bone
</t>
      </text>
    </comment>
    <comment ref="C143" authorId="0" shapeId="0">
      <text>
        <t xml:space="preserve">alan ranger:
cancelled night before due to biking accident and broken collar bone
</t>
      </text>
    </comment>
    <comment ref="F149" authorId="0" shapeId="0">
      <text>
        <t>alan ranger:
Gift Voucher
#02297</t>
      </text>
    </comment>
    <comment ref="C154" authorId="0" shapeId="0">
      <text>
        <t>alan ranger:
she cancelled on fri 2 May</t>
      </text>
    </comment>
    <comment ref="C166" authorId="0" shapeId="0">
      <text>
        <t>alan ranger:
Cancelled on the day</t>
      </text>
    </comment>
    <comment ref="C170" authorId="0" shapeId="0">
      <text>
        <t>alan ranger:
Cancelled on 7th May</t>
      </text>
    </comment>
    <comment ref="C174" authorId="0" shapeId="0">
      <text>
        <t xml:space="preserve">alan ranger:
Didn’t show up
</t>
      </text>
    </comment>
    <comment ref="C181" authorId="0" shapeId="0">
      <text>
        <t xml:space="preserve">alan ranger:
Didn’t show up
</t>
      </text>
    </comment>
    <comment ref="B194" authorId="0" shapeId="0">
      <text>
        <t>alan ranger:
Cancelled on 13 May</t>
      </text>
    </comment>
    <comment ref="C227" authorId="0" shapeId="0">
      <text>
        <t>alan ranger:
cancelled on june 2nd as away</t>
      </text>
    </comment>
    <comment ref="C230" authorId="0" shapeId="0">
      <text>
        <t>alan ranger:
I cancelled as not enough bookings</t>
      </text>
    </comment>
    <comment ref="C235" authorId="0" shapeId="0">
      <text>
        <t>alan ranger:
I cancelled as not enough bookings so he switched to Heathers and LE Kenilworth</t>
      </text>
    </comment>
    <comment ref="C245" authorId="0" shapeId="0">
      <text>
        <t xml:space="preserve">alan ranger:
switched from lavender shoot
</t>
      </text>
    </comment>
    <comment ref="C252" authorId="0" shapeId="0">
      <text>
        <t xml:space="preserve">alan ranger:
switched from Lavender shoot
</t>
      </text>
    </comment>
    <comment ref="D256" authorId="0" shapeId="0">
      <text>
        <t xml:space="preserve">alan ranger:
cancelled as her father is ill.  Will rebook the spring one instead
</t>
      </text>
    </comment>
    <comment ref="D257" authorId="0" shapeId="0">
      <text>
        <t>alan ranger:
Cancelled the week before on 24th Aug</t>
      </text>
    </comment>
    <comment ref="F287" authorId="0" shapeId="0">
      <text>
        <t>alan ranger:
Gift Voucher
#02297</t>
      </text>
    </comment>
    <comment ref="D289" authorId="0" shapeId="0">
      <text>
        <t>alan ranger:
caneclled 15 Oct</t>
      </text>
    </comment>
    <comment ref="D293" authorId="0" shapeId="0">
      <text>
        <t>alan ranger:
cancelled on 7 Oct</t>
      </text>
    </comment>
    <comment ref="A336" authorId="0" shapeId="0">
      <text>
        <t>alan ranger:
couldn’t find a date to reschedule so credit for 2026 booking</t>
      </text>
    </comment>
    <comment ref="C342" authorId="0" shapeId="0">
      <text>
        <t>alan ranger:
book for
 batsford 2025 as I cancelled wed 30 Oct 2024</t>
      </text>
    </comment>
    <comment ref="C403" authorId="0" shapeId="0">
      <text>
        <t>alan ranger:
was booked for 4th may millisons but clashed with another event so moved to 8 dec</t>
      </text>
    </comment>
    <comment ref="C404" authorId="0" shapeId="0">
      <text>
        <t>alan ranger:
cancelled 19 nov</t>
      </text>
    </comment>
  </commentList>
</comments>
</file>

<file path=xl/comments/comment10.xml><?xml version="1.0" encoding="utf-8"?>
<comments xmlns="http://schemas.openxmlformats.org/spreadsheetml/2006/main">
  <authors>
    <author>alan ranger</author>
  </authors>
  <commentList>
    <comment ref="S1" authorId="0" shapeId="0">
      <text>
        <t xml:space="preserve">alan ranger:
Cancellation terms 
The service order is subject to the following cancellation terms in calendar days: 
- More than or equal to 12 calendar days before the training start date: No cancellation fee. 
- Between 11 and 06 calendar days prior to the training start date: Maximum 50% of the course fee 
- Less than 05 calendar days before the training start date: 100% of the course fee 
</t>
      </text>
    </comment>
    <comment ref="H35" authorId="0" shapeId="0">
      <text>
        <t>alan ranger:
moved to 31 Aug as done back in</t>
      </text>
    </comment>
    <comment ref="H36" authorId="0" shapeId="0">
      <text>
        <t>alan ranger:
rescheduled for May 2nd but left on system as original date</t>
      </text>
    </comment>
    <comment ref="H52" authorId="0" shapeId="0">
      <text>
        <t xml:space="preserve">alan ranger:
attending 26th
</t>
      </text>
    </comment>
    <comment ref="H53" authorId="0" shapeId="0">
      <text>
        <t>alan ranger:
is attending 27 apr</t>
      </text>
    </comment>
    <comment ref="H56" authorId="0" shapeId="0">
      <text>
        <t xml:space="preserve">alan ranger:
attending 26th
</t>
      </text>
    </comment>
    <comment ref="H67" authorId="0" shapeId="0">
      <text>
        <t>alan ranger:
was booked 19 Apr</t>
      </text>
    </comment>
    <comment ref="G81" authorId="0" shapeId="0">
      <text>
        <t>alan ranger:
is attending 8 Dec instead</t>
      </text>
    </comment>
    <comment ref="E99" authorId="0" shapeId="0">
      <text>
        <t>alan ranger:
made two bookings for same event,  then didn’t turn up on date</t>
      </text>
    </comment>
    <comment ref="E105" authorId="0" shapeId="0">
      <text>
        <t>alan ranger:
didn’t show up</t>
      </text>
    </comment>
    <comment ref="E108" authorId="0" shapeId="0">
      <text>
        <t>alan ranger:
Booked for 16 May but I am away so rescheduled for May 22 but request is still showing for may 16
Didn’t turn up</t>
      </text>
    </comment>
    <comment ref="E114" authorId="0" shapeId="0">
      <text>
        <t xml:space="preserve">alan ranger:
Cancelled on 13 May
</t>
      </text>
    </comment>
    <comment ref="E171" authorId="0" shapeId="0">
      <text>
        <t>alan ranger:
wants to change to 1st Oct to attend with a colleague so waiting for confirmation and additional booking for colleague</t>
      </text>
    </comment>
    <comment ref="E179" authorId="0" shapeId="0">
      <text>
        <t>alan ranger:
cancelled 15 Oct</t>
      </text>
    </comment>
    <comment ref="E181" authorId="0" shapeId="0">
      <text>
        <t>alan ranger:
cancelled 7 Oct</t>
      </text>
    </comment>
    <comment ref="E198" authorId="0" shapeId="0">
      <text>
        <t>alan ranger:
cancelled</t>
      </text>
    </comment>
    <comment ref="E200" authorId="0" shapeId="0">
      <text>
        <t>alan ranger:
asked nits to cancel it find out which date he wanted as its showing a date range not actual date</t>
      </text>
    </comment>
    <comment ref="E241" authorId="0" shapeId="0">
      <text>
        <t>alan ranger:
cancelled on 19 Nov</t>
      </text>
    </comment>
    <comment ref="E277" authorId="0" shapeId="0">
      <text>
        <t>alan ranger:
I didn’t approve this</t>
      </text>
    </comment>
  </commentList>
</comments>
</file>

<file path=xl/comments/comment11.xml><?xml version="1.0" encoding="utf-8"?>
<comments xmlns="http://schemas.openxmlformats.org/spreadsheetml/2006/main">
  <authors>
    <author>alan ranger</author>
  </authors>
  <commentList>
    <comment ref="M4" authorId="0" shapeId="0">
      <text>
        <t xml:space="preserve">alan ranger:
Sat 20th AM
</t>
      </text>
    </comment>
    <comment ref="H8" authorId="0" shapeId="0">
      <text>
        <t xml:space="preserve">alan ranger:
credit given for lavender cancellation, had to cancel batsford due to work but credit carried forward for 12 months
</t>
      </text>
    </comment>
    <comment ref="B11" authorId="0" shapeId="0">
      <text>
        <t>alan ranger:
transferred from cancelled heathers workshop</t>
      </text>
    </comment>
    <comment ref="B12" authorId="0" shapeId="0">
      <text>
        <t>alan ranger:
transferred from cancelled heathers workshop</t>
      </text>
    </comment>
    <comment ref="B20" authorId="0" shapeId="0">
      <text>
        <t>alan ranger:
credit transferred from woodland masterclass £125 - £99 to this and £26 to LE Kenilworth May 23</t>
      </text>
    </comment>
    <comment ref="B22" authorId="0" shapeId="0">
      <text>
        <t>alan ranger:
transferred from macro workshop</t>
      </text>
    </comment>
    <comment ref="B23" authorId="0" shapeId="0">
      <text>
        <t>alan ranger:
transferred from macro workshop</t>
      </text>
    </comment>
    <comment ref="B68" authorId="0" shapeId="0">
      <text>
        <t>alan ranger:
transferred from cancelled heathers workshop</t>
      </text>
    </comment>
    <comment ref="B70" authorId="0" shapeId="0">
      <text>
        <t>alan ranger:
credit transferred from woodland masterclass £125 - £99 to this and £26 to LE Kenilworth May 23</t>
      </text>
    </comment>
    <comment ref="M74" authorId="0" shapeId="0">
      <text>
        <t xml:space="preserve">alan ranger:
Sat 20th AM
</t>
      </text>
    </comment>
    <comment ref="H81" authorId="0" shapeId="0">
      <text>
        <t xml:space="preserve">alan ranger:
credit given for lavender cancellation, had to cancel batsford due to work but credit carried forward for 12 months
</t>
      </text>
    </comment>
    <comment ref="B82" authorId="0" shapeId="0">
      <text>
        <t>alan ranger:
transferred from macro workshop</t>
      </text>
    </comment>
    <comment ref="B83" authorId="0" shapeId="0">
      <text>
        <t>alan ranger:
transferred from macro workshop</t>
      </text>
    </comment>
    <comment ref="B94" authorId="0" shapeId="0">
      <text>
        <t>alan ranger:
transferred from cancelled heathers workshop</t>
      </text>
    </comment>
  </commentList>
</comments>
</file>

<file path=xl/comments/comment12.xml><?xml version="1.0" encoding="utf-8"?>
<comments xmlns="http://schemas.openxmlformats.org/spreadsheetml/2006/main">
  <authors>
    <author>alan ranger</author>
  </authors>
  <commentList>
    <comment ref="I19" authorId="0" shapeId="0">
      <text>
        <t xml:space="preserve">alan ranger:
 Extended for 12 monthsand another 6 classes
</t>
      </text>
    </comment>
    <comment ref="AY38" authorId="0" shapeId="0">
      <text>
        <t>alan ranger:
online</t>
      </text>
    </comment>
    <comment ref="AZ38" authorId="0" shapeId="0">
      <text>
        <t>alan ranger:
online</t>
      </text>
    </comment>
    <comment ref="BA38" authorId="0" shapeId="0">
      <text>
        <t>alan ranger:
online</t>
      </text>
    </comment>
  </commentList>
</comments>
</file>

<file path=xl/comments/comment13.xml><?xml version="1.0" encoding="utf-8"?>
<comments xmlns="http://schemas.openxmlformats.org/spreadsheetml/2006/main">
  <authors>
    <author>alan ranger</author>
  </authors>
  <commentList>
    <comment ref="D17" authorId="0" shapeId="0">
      <text>
        <t>If doesn’t run I agreed a refund… 2/11/2016 email</t>
      </text>
    </comment>
  </commentList>
</comments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15</col>
      <colOff>578642</colOff>
      <row>33</row>
      <rowOff>45243</rowOff>
    </from>
    <to>
      <col>34</col>
      <colOff>271462</colOff>
      <row>72</row>
      <rowOff>128588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3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4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5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alan ranger" refreshedDate="43805.49854560185" createdVersion="6" refreshedVersion="6" minRefreshableVersion="3" recordCount="1065" r:id="rId1">
  <cacheSource type="worksheet">
    <worksheetSource ref="A120:G1458" sheet="Sales 2018"/>
  </cacheSource>
  <cacheFields count="8">
    <cacheField name="Date" uniqueList="1" numFmtId="0" sqlType="0" hierarchy="0" level="0" databaseField="1">
      <sharedItems count="226" containsBlank="1" containsDate="1" containsNonDate="0" containsString="0" minDate="2018-01-01T00:00:00" maxDate="2018-12-31T00:00:00">
        <m/>
        <d v="2018-12-30T00:00:00"/>
        <d v="2018-12-27T00:00:00"/>
        <d v="2018-12-25T00:00:00"/>
        <d v="2018-12-24T00:00:00"/>
        <d v="2018-12-21T00:00:00"/>
        <d v="2018-12-20T00:00:00"/>
        <d v="2018-12-19T00:00:00"/>
        <d v="2018-12-18T00:00:00"/>
        <d v="2018-12-16T00:00:00"/>
        <d v="2018-12-15T00:00:00"/>
        <d v="2018-12-13T00:00:00"/>
        <d v="2018-12-12T00:00:00"/>
        <d v="2018-12-11T00:00:00"/>
        <d v="2018-12-10T00:00:00"/>
        <d v="2018-12-09T00:00:00"/>
        <d v="2018-12-05T00:00:00"/>
        <d v="2018-12-04T00:00:00"/>
        <d v="2018-12-02T00:00:00"/>
        <d v="2018-12-01T00:00:00"/>
        <d v="2018-11-30T00:00:00"/>
        <d v="2018-11-29T00:00:00"/>
        <d v="2018-11-27T00:00:00"/>
        <d v="2018-11-26T00:00:00"/>
        <d v="2018-11-25T00:00:00"/>
        <d v="2018-11-24T00:00:00"/>
        <d v="2018-11-23T00:00:00"/>
        <d v="2018-11-21T00:00:00"/>
        <d v="2018-11-20T00:00:00"/>
        <d v="2018-11-18T00:00:00"/>
        <d v="2018-11-16T00:00:00"/>
        <d v="2018-11-15T00:00:00"/>
        <d v="2018-11-11T00:00:00"/>
        <d v="2018-11-14T00:00:00"/>
        <d v="2018-11-07T00:00:00"/>
        <d v="2018-11-05T00:00:00"/>
        <d v="2018-11-03T00:00:00"/>
        <d v="2018-11-01T00:00:00"/>
        <d v="2018-10-31T00:00:00"/>
        <d v="2018-10-29T00:00:00"/>
        <d v="2018-10-25T00:00:00"/>
        <d v="2018-10-23T00:00:00"/>
        <d v="2018-10-21T00:00:00"/>
        <d v="2018-10-20T00:00:00"/>
        <d v="2018-10-19T00:00:00"/>
        <d v="2018-10-18T00:00:00"/>
        <d v="2018-10-17T00:00:00"/>
        <d v="2018-10-16T00:00:00"/>
        <d v="2018-10-15T00:00:00"/>
        <d v="2018-10-12T00:00:00"/>
        <d v="2018-10-07T00:00:00"/>
        <d v="2018-10-06T00:00:00"/>
        <d v="2018-10-03T00:00:00"/>
        <d v="2018-10-01T00:00:00"/>
        <d v="2018-09-30T00:00:00"/>
        <d v="2018-09-29T00:00:00"/>
        <d v="2018-09-28T00:00:00"/>
        <d v="2018-09-27T00:00:00"/>
        <d v="2018-09-24T00:00:00"/>
        <d v="2018-09-23T00:00:00"/>
        <d v="2018-09-22T00:00:00"/>
        <d v="2018-09-21T00:00:00"/>
        <d v="2018-09-20T00:00:00"/>
        <d v="2018-09-19T00:00:00"/>
        <d v="2018-09-18T00:00:00"/>
        <d v="2018-09-16T00:00:00"/>
        <d v="2018-09-14T00:00:00"/>
        <d v="2018-09-13T00:00:00"/>
        <d v="2018-09-09T00:00:00"/>
        <d v="2018-09-08T00:00:00"/>
        <d v="2018-09-06T00:00:00"/>
        <d v="2018-09-05T00:00:00"/>
        <d v="2018-09-04T00:00:00"/>
        <d v="2018-09-02T00:00:00"/>
        <d v="2018-09-01T00:00:00"/>
        <d v="2018-08-31T00:00:00"/>
        <d v="2018-08-28T00:00:00"/>
        <d v="2018-08-27T00:00:00"/>
        <d v="2018-08-25T00:00:00"/>
        <d v="2018-08-22T00:00:00"/>
        <d v="2018-08-20T00:00:00"/>
        <d v="2018-08-19T00:00:00"/>
        <d v="2018-08-13T00:00:00"/>
        <d v="2018-08-08T00:00:00"/>
        <d v="2018-08-06T00:00:00"/>
        <d v="2018-08-05T00:00:00"/>
        <d v="2018-08-02T00:00:00"/>
        <d v="2018-08-01T00:00:00"/>
        <d v="2018-07-30T00:00:00"/>
        <d v="2018-07-29T00:00:00"/>
        <d v="2018-07-27T00:00:00"/>
        <d v="2018-07-26T00:00:00"/>
        <d v="2018-07-25T00:00:00"/>
        <d v="2018-07-23T00:00:00"/>
        <d v="2018-07-19T00:00:00"/>
        <d v="2018-07-16T00:00:00"/>
        <d v="2018-07-11T00:00:00"/>
        <d v="2018-07-10T00:00:00"/>
        <d v="2018-07-06T00:00:00"/>
        <d v="2018-07-05T00:00:00"/>
        <d v="2018-07-03T00:00:00"/>
        <d v="2018-07-02T00:00:00"/>
        <d v="2018-07-01T00:00:00"/>
        <d v="2018-06-26T00:00:00"/>
        <d v="2018-06-24T00:00:00"/>
        <d v="2018-06-21T00:00:00"/>
        <d v="2018-06-18T00:00:00"/>
        <d v="2018-06-17T00:00:00"/>
        <d v="2018-06-16T00:00:00"/>
        <d v="2018-06-12T00:00:00"/>
        <d v="2018-06-08T00:00:00"/>
        <d v="2018-06-07T00:00:00"/>
        <d v="2018-06-06T00:00:00"/>
        <d v="2018-06-04T00:00:00"/>
        <d v="2018-06-03T00:00:00"/>
        <d v="2018-06-02T00:00:00"/>
        <d v="2018-06-01T00:00:00"/>
        <d v="2018-05-31T00:00:00"/>
        <d v="2018-05-30T00:00:00"/>
        <d v="2018-05-29T00:00:00"/>
        <d v="2018-05-23T00:00:00"/>
        <d v="2018-05-25T00:00:00"/>
        <d v="2018-05-19T00:00:00"/>
        <d v="2018-05-18T00:00:00"/>
        <d v="2018-05-17T00:00:00"/>
        <d v="2018-05-16T00:00:00"/>
        <d v="2018-05-15T00:00:00"/>
        <d v="2018-05-14T00:00:00"/>
        <d v="2018-05-13T00:00:00"/>
        <d v="2018-05-12T00:00:00"/>
        <d v="2018-05-10T00:00:00"/>
        <d v="2018-05-09T00:00:00"/>
        <d v="2018-05-08T00:00:00"/>
        <d v="2018-05-07T00:00:00"/>
        <d v="2018-05-04T00:00:00"/>
        <d v="2018-05-03T00:00:00"/>
        <d v="2018-05-01T00:00:00"/>
        <d v="2018-04-30T00:00:00"/>
        <d v="2018-04-29T00:00:00"/>
        <d v="2018-04-27T00:00:00"/>
        <d v="2018-04-26T00:00:00"/>
        <d v="2018-04-25T00:00:00"/>
        <d v="2018-04-24T00:00:00"/>
        <d v="2018-04-22T00:00:00"/>
        <d v="2018-04-20T00:00:00"/>
        <d v="2018-04-19T00:00:00"/>
        <d v="2018-04-16T00:00:00"/>
        <d v="2018-04-14T00:00:00"/>
        <d v="2018-04-12T00:00:00"/>
        <d v="2018-04-11T00:00:00"/>
        <d v="2018-04-10T00:00:00"/>
        <d v="2018-04-09T00:00:00"/>
        <d v="2018-04-06T00:00:00"/>
        <d v="2018-04-05T00:00:00"/>
        <d v="2018-04-04T00:00:00"/>
        <d v="2018-04-03T00:00:00"/>
        <d v="2018-04-02T00:00:00"/>
        <d v="2018-04-01T00:00:00"/>
        <d v="2018-03-29T00:00:00"/>
        <d v="2018-03-27T00:00:00"/>
        <d v="2018-03-23T00:00:00"/>
        <d v="2018-03-26T00:00:00"/>
        <d v="2018-03-22T00:00:00"/>
        <d v="2018-03-18T00:00:00"/>
        <d v="2018-03-15T00:00:00"/>
        <d v="2018-03-14T00:00:00"/>
        <d v="2018-03-13T00:00:00"/>
        <d v="2018-03-12T00:00:00"/>
        <d v="2018-03-09T00:00:00"/>
        <d v="2018-03-08T00:00:00"/>
        <d v="2018-03-07T00:00:00"/>
        <d v="2018-03-06T00:00:00"/>
        <d v="2018-03-05T00:00:00"/>
        <d v="2018-03-04T00:00:00"/>
        <d v="2018-03-03T00:00:00"/>
        <d v="2018-03-02T00:00:00"/>
        <d v="2018-03-01T00:00:00"/>
        <d v="2018-02-28T00:00:00"/>
        <d v="2018-02-27T00:00:00"/>
        <d v="2018-02-26T00:00:00"/>
        <d v="2018-02-24T00:00:00"/>
        <d v="2018-02-23T00:00:00"/>
        <d v="2018-02-22T00:00:00"/>
        <d v="2018-02-21T00:00:00"/>
        <d v="2018-02-20T00:00:00"/>
        <d v="2018-02-19T00:00:00"/>
        <d v="2018-02-16T00:00:00"/>
        <d v="2018-02-15T00:00:00"/>
        <d v="2018-02-14T00:00:00"/>
        <d v="2018-02-13T00:00:00"/>
        <d v="2018-02-12T00:00:00"/>
        <d v="2018-02-11T00:00:00"/>
        <d v="2018-02-10T00:00:00"/>
        <d v="2018-02-09T00:00:00"/>
        <d v="2018-02-08T00:00:00"/>
        <d v="2018-02-06T00:00:00"/>
        <d v="2018-02-05T00:00:00"/>
        <d v="2018-02-04T00:00:00"/>
        <d v="2018-02-03T00:00:00"/>
        <d v="2018-02-02T00:00:00"/>
        <d v="2018-02-01T00:00:00"/>
        <d v="2018-01-31T00:00:00"/>
        <d v="2018-01-30T00:00:00"/>
        <d v="2018-01-29T00:00:00"/>
        <d v="2018-01-28T00:00:00"/>
        <d v="2018-01-26T00:00:00"/>
        <d v="2018-01-27T00:00:00"/>
        <d v="2018-01-25T00:00:00"/>
        <d v="2018-01-24T00:00:00"/>
        <d v="2018-01-22T00:00:00"/>
        <d v="2018-01-18T00:00:00"/>
        <d v="2018-01-17T00:00:00"/>
        <d v="2018-01-16T00:00:00"/>
        <d v="2018-01-15T00:00:00"/>
        <d v="2018-01-14T00:00:00"/>
        <d v="2018-01-12T00:00:00"/>
        <d v="2018-01-10T00:00:00"/>
        <d v="2018-01-09T00:00:00"/>
        <d v="2018-01-08T00:00:00"/>
        <d v="2018-01-07T00:00:00"/>
        <d v="2018-01-06T00:00:00"/>
        <d v="2018-01-05T00:00:00"/>
        <d v="2018-01-04T00:00:00"/>
        <d v="2018-01-03T00:00:00"/>
        <d v="2018-01-02T00:00:00"/>
        <d v="2018-01-01T00:00:00"/>
      </sharedItems>
      <fieldGroup par="7" base="0">
        <rangePr autoStart="1" autoEnd="1" groupBy="days" startDate="2018-01-01T00:00:00" endDate="2018-12-31T00:00:00" groupInterval="1"/>
        <groupItems count="368">
          <s v="(blank)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31/12/2018"/>
        </groupItems>
      </fieldGroup>
    </cacheField>
    <cacheField name="Client" uniqueList="1" numFmtId="0" sqlType="0" hierarchy="0" level="0" databaseField="1">
      <sharedItems count="0" containsBlank="1"/>
    </cacheField>
    <cacheField name="Category" uniqueList="1" numFmtId="0" sqlType="0" hierarchy="0" level="0" databaseField="1">
      <sharedItems count="14" containsBlank="1">
        <m/>
        <s v="4. Pick n Mix Out"/>
        <s v="2. Workshops"/>
        <s v="7. Other"/>
        <s v="1. Courses/masterclasses"/>
        <s v="6. 1-2-1"/>
        <s v="3. Pick n Mix Inc"/>
        <s v="5. Mentoring"/>
        <s v="3. Pick n mix" u="1"/>
        <s v="pick n mix" u="1"/>
        <s v="mentoring" u="1"/>
        <s v="4. Mentoring" u="1"/>
        <s v="other" u="1"/>
        <s v="6. Other" u="1"/>
      </sharedItems>
    </cacheField>
    <cacheField name="Funding" uniqueList="1" numFmtId="0" sqlType="0" hierarchy="0" level="0" databaseField="1">
      <sharedItems count="9" containsBlank="1">
        <m/>
        <s v="PicknMix"/>
        <s v="Stripe"/>
        <s v="Paypal"/>
        <s v="W-Play"/>
        <s v="Bank"/>
        <s v="Various"/>
        <s v="Cash"/>
        <s v="Groupon"/>
      </sharedItems>
    </cacheField>
    <cacheField name="Amount" uniqueList="1" numFmtId="0" sqlType="0" hierarchy="0" level="0" databaseField="1">
      <sharedItems count="0" containsBlank="1" containsNumber="1" containsString="0" minValue="-1316" maxValue="1320"/>
    </cacheField>
    <cacheField name="Event" uniqueList="1" numFmtId="0" sqlType="0" hierarchy="0" level="0" databaseField="1">
      <sharedItems count="0" containsBlank="1"/>
    </cacheField>
    <cacheField name="Source" uniqueList="1" numFmtId="0" sqlType="0" hierarchy="0" level="0" databaseField="1">
      <sharedItems count="8" containsBlank="1">
        <m/>
        <s v="Existing"/>
        <s v="Google"/>
        <s v="Groupon"/>
        <s v="Facebook"/>
        <s v="ELS"/>
        <s v="Batsford"/>
        <s v="Other"/>
      </sharedItems>
    </cacheField>
    <cacheField name="Months" uniqueList="1" numFmtId="0" sqlType="0" hierarchy="0" level="0" databaseField="0">
      <fieldGroup base="0">
        <rangePr autoStart="1" autoEnd="1" groupBy="months" startDate="2018-01-01T00:00:00" endDate="2018-12-31T00:00:00" groupInterval="1"/>
        <groupItems count="14">
          <s v="&lt;01/01/2018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1/12/2018"/>
        </groupItems>
      </fieldGroup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alan ranger" refreshedDate="43102.52015428241" createdVersion="6" refreshedVersion="6" minRefreshableVersion="3" recordCount="530" r:id="rId1">
  <cacheSource type="worksheet">
    <worksheetSource ref="B124" sheet="Sales 2017"/>
  </cacheSource>
  <cacheFields count="8">
    <cacheField name="Date" uniqueList="1" numFmtId="0" sqlType="0" hierarchy="0" level="0" databaseField="1">
      <sharedItems count="219" containsBlank="1" containsDate="1" containsNonDate="0" containsString="0" minDate="2017-01-01T00:00:00" maxDate="2017-12-28T00:00:00">
        <m/>
        <d v="2017-12-27T00:00:00"/>
        <d v="2017-12-26T00:00:00"/>
        <d v="2017-12-24T00:00:00"/>
        <d v="2017-12-22T00:00:00"/>
        <d v="2017-12-21T00:00:00"/>
        <d v="2017-12-20T00:00:00"/>
        <d v="2017-12-19T00:00:00"/>
        <d v="2017-12-16T00:00:00"/>
        <d v="2017-12-14T00:00:00"/>
        <d v="2017-12-13T00:00:00"/>
        <d v="2017-12-12T00:00:00"/>
        <d v="2017-12-11T00:00:00"/>
        <d v="2017-12-10T00:00:00"/>
        <d v="2017-12-09T00:00:00"/>
        <d v="2017-12-06T00:00:00"/>
        <d v="2017-12-04T00:00:00"/>
        <d v="2017-12-01T00:00:00"/>
        <d v="2017-11-30T00:00:00"/>
        <d v="2017-11-29T00:00:00"/>
        <d v="2017-11-28T00:00:00"/>
        <d v="2017-11-21T00:00:00"/>
        <d v="2017-11-27T00:00:00"/>
        <d v="2017-11-19T00:00:00"/>
        <d v="2017-11-16T00:00:00"/>
        <d v="2017-11-11T00:00:00"/>
        <d v="2017-11-12T00:00:00"/>
        <d v="2017-11-10T00:00:00"/>
        <d v="2017-11-09T00:00:00"/>
        <d v="2017-11-08T00:00:00"/>
        <d v="2017-11-07T00:00:00"/>
        <d v="2017-11-01T00:00:00"/>
        <d v="2017-10-29T00:00:00"/>
        <d v="2017-10-27T00:00:00"/>
        <d v="2017-10-26T00:00:00"/>
        <d v="2017-10-24T00:00:00"/>
        <d v="2017-10-23T00:00:00"/>
        <d v="2017-10-22T00:00:00"/>
        <d v="2017-10-19T00:00:00"/>
        <d v="2017-10-18T00:00:00"/>
        <d v="2017-10-17T00:00:00"/>
        <d v="2017-10-16T00:00:00"/>
        <d v="2017-10-14T00:00:00"/>
        <d v="2017-10-12T00:00:00"/>
        <d v="2017-10-11T00:00:00"/>
        <d v="2017-10-10T00:00:00"/>
        <d v="2017-10-09T00:00:00"/>
        <d v="2017-10-08T00:00:00"/>
        <d v="2017-10-07T00:00:00"/>
        <d v="2017-10-04T00:00:00"/>
        <d v="2017-10-03T00:00:00"/>
        <d v="2017-10-02T00:00:00"/>
        <d v="2017-10-01T00:00:00"/>
        <d v="2017-09-30T00:00:00"/>
        <d v="2017-09-29T00:00:00"/>
        <d v="2017-09-28T00:00:00"/>
        <d v="2017-09-27T00:00:00"/>
        <d v="2017-09-26T00:00:00"/>
        <d v="2017-09-25T00:00:00"/>
        <d v="2017-09-24T00:00:00"/>
        <d v="2017-09-23T00:00:00"/>
        <d v="2017-09-22T00:00:00"/>
        <d v="2017-09-21T00:00:00"/>
        <d v="2017-09-20T00:00:00"/>
        <d v="2017-09-19T00:00:00"/>
        <d v="2017-09-18T00:00:00"/>
        <d v="2017-09-17T00:00:00"/>
        <d v="2017-09-16T00:00:00"/>
        <d v="2017-09-14T00:00:00"/>
        <d v="2017-09-13T00:00:00"/>
        <d v="2017-09-12T00:00:00"/>
        <d v="2017-09-11T00:00:00"/>
        <d v="2017-09-10T00:00:00"/>
        <d v="2017-09-08T00:00:00"/>
        <d v="2017-09-07T00:00:00"/>
        <d v="2017-09-06T00:00:00"/>
        <d v="2017-09-05T00:00:00"/>
        <d v="2017-09-04T00:00:00"/>
        <d v="2017-09-01T00:00:00"/>
        <d v="2017-08-31T00:00:00"/>
        <d v="2017-08-30T00:00:00"/>
        <d v="2017-08-29T00:00:00"/>
        <d v="2017-08-26T00:00:00"/>
        <d v="2017-08-25T00:00:00"/>
        <d v="2017-08-23T00:00:00"/>
        <d v="2017-08-22T00:00:00"/>
        <d v="2017-08-21T00:00:00"/>
        <d v="2017-08-07T00:00:00"/>
        <d v="2017-08-15T00:00:00"/>
        <d v="2017-08-19T00:00:00"/>
        <d v="2017-08-18T00:00:00"/>
        <d v="2017-08-17T00:00:00"/>
        <d v="2017-08-16T00:00:00"/>
        <d v="2017-08-14T00:00:00"/>
        <d v="2017-08-12T00:00:00"/>
        <d v="2017-08-06T00:00:00"/>
        <d v="2017-08-03T00:00:00"/>
        <d v="2017-08-01T00:00:00"/>
        <d v="2017-07-31T00:00:00"/>
        <d v="2017-07-25T00:00:00"/>
        <d v="2017-07-24T00:00:00"/>
        <d v="2017-07-23T00:00:00"/>
        <d v="2017-07-21T00:00:00"/>
        <d v="2017-07-18T00:00:00"/>
        <d v="2017-07-17T00:00:00"/>
        <d v="2017-07-16T00:00:00"/>
        <d v="2017-07-14T00:00:00"/>
        <d v="2017-07-06T00:00:00"/>
        <d v="2017-07-04T00:00:00"/>
        <d v="2017-07-03T00:00:00"/>
        <d v="2017-07-01T00:00:00"/>
        <d v="2017-06-30T00:00:00"/>
        <d v="2017-06-28T00:00:00"/>
        <d v="2017-06-23T00:00:00"/>
        <d v="2017-06-22T00:00:00"/>
        <d v="2017-06-21T00:00:00"/>
        <d v="2017-06-18T00:00:00"/>
        <d v="2017-06-17T00:00:00"/>
        <d v="2017-06-16T00:00:00"/>
        <d v="2017-06-15T00:00:00"/>
        <d v="2017-06-14T00:00:00"/>
        <d v="2017-06-13T00:00:00"/>
        <d v="2017-06-12T00:00:00"/>
        <d v="2017-06-11T00:00:00"/>
        <d v="2017-06-10T00:00:00"/>
        <d v="2017-06-09T00:00:00"/>
        <d v="2017-06-08T00:00:00"/>
        <d v="2017-06-07T00:00:00"/>
        <d v="2017-06-06T00:00:00"/>
        <d v="2017-06-05T00:00:00"/>
        <d v="2017-06-03T00:00:00"/>
        <d v="2017-06-02T00:00:00"/>
        <d v="2017-06-01T00:00:00"/>
        <d v="2017-05-31T00:00:00"/>
        <d v="2017-05-30T00:00:00"/>
        <d v="2017-05-29T00:00:00"/>
        <d v="2017-05-28T00:00:00"/>
        <d v="2017-05-27T00:00:00"/>
        <d v="2017-05-25T00:00:00"/>
        <d v="2017-05-24T00:00:00"/>
        <d v="2017-05-18T00:00:00"/>
        <d v="2017-05-17T00:00:00"/>
        <d v="2017-05-16T00:00:00"/>
        <d v="2017-05-15T00:00:00"/>
        <d v="2017-05-11T00:00:00"/>
        <d v="2017-05-10T00:00:00"/>
        <d v="2017-05-09T00:00:00"/>
        <d v="2017-05-08T00:00:00"/>
        <d v="2017-05-07T00:00:00"/>
        <d v="2017-05-06T00:00:00"/>
        <d v="2017-05-01T00:00:00"/>
        <d v="2017-04-30T00:00:00"/>
        <d v="2017-04-28T00:00:00"/>
        <d v="2017-04-27T00:00:00"/>
        <d v="2017-04-24T00:00:00"/>
        <d v="2017-04-23T00:00:00"/>
        <d v="2017-04-20T00:00:00"/>
        <d v="2017-04-19T00:00:00"/>
        <d v="2017-04-17T00:00:00"/>
        <d v="2017-04-14T00:00:00"/>
        <d v="2017-04-11T00:00:00"/>
        <d v="2017-04-10T00:00:00"/>
        <d v="2017-04-09T00:00:00"/>
        <d v="2017-04-07T00:00:00"/>
        <d v="2017-04-06T00:00:00"/>
        <d v="2017-04-04T00:00:00"/>
        <d v="2017-04-03T00:00:00"/>
        <d v="2017-04-02T00:00:00"/>
        <d v="2017-04-01T00:00:00"/>
        <d v="2017-03-30T00:00:00"/>
        <d v="2017-03-28T00:00:00"/>
        <d v="2017-03-27T00:00:00"/>
        <d v="2017-03-26T00:00:00"/>
        <d v="2017-03-23T00:00:00"/>
        <d v="2017-03-21T00:00:00"/>
        <d v="2017-03-20T00:00:00"/>
        <d v="2017-03-19T00:00:00"/>
        <d v="2017-03-18T00:00:00"/>
        <d v="2017-03-17T00:00:00"/>
        <d v="2017-03-16T00:00:00"/>
        <d v="2017-03-15T00:00:00"/>
        <d v="2017-03-13T00:00:00"/>
        <d v="2017-03-10T00:00:00"/>
        <d v="2017-03-09T00:00:00"/>
        <d v="2017-03-04T00:00:00"/>
        <d v="2017-03-01T00:00:00"/>
        <d v="2017-02-28T00:00:00"/>
        <d v="2017-02-27T00:00:00"/>
        <d v="2017-02-26T00:00:00"/>
        <d v="2017-02-24T00:00:00"/>
        <d v="2017-02-23T00:00:00"/>
        <d v="2017-02-22T00:00:00"/>
        <d v="2017-02-21T00:00:00"/>
        <d v="2017-02-20T00:00:00"/>
        <d v="2017-02-17T00:00:00"/>
        <d v="2017-02-16T00:00:00"/>
        <d v="2017-02-15T00:00:00"/>
        <d v="2017-02-14T00:00:00"/>
        <d v="2017-02-13T00:00:00"/>
        <d v="2017-02-12T00:00:00"/>
        <d v="2017-02-11T00:00:00"/>
        <d v="2017-02-10T00:00:00"/>
        <d v="2017-02-08T00:00:00"/>
        <d v="2017-02-07T00:00:00"/>
        <d v="2017-02-03T00:00:00"/>
        <d v="2017-01-31T00:00:00"/>
        <d v="2017-01-27T00:00:00"/>
        <d v="2017-01-26T00:00:00"/>
        <d v="2017-01-25T00:00:00"/>
        <d v="2017-01-17T00:00:00"/>
        <d v="2017-01-14T00:00:00"/>
        <d v="2017-01-13T00:00:00"/>
        <d v="2017-01-11T00:00:00"/>
        <d v="2017-01-08T00:00:00"/>
        <d v="2017-01-07T00:00:00"/>
        <d v="2017-01-05T00:00:00"/>
        <d v="2017-01-04T00:00:00"/>
        <d v="2017-01-03T00:00:00"/>
        <d v="2017-01-01T00:00:00"/>
      </sharedItems>
      <fieldGroup par="7" base="0">
        <rangePr autoStart="1" autoEnd="1" groupBy="days" startDate="2017-01-01T00:00:00" endDate="2017-12-28T00:00:00" groupInterval="1"/>
        <groupItems count="368">
          <s v="(blank)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8/12/2017"/>
        </groupItems>
      </fieldGroup>
    </cacheField>
    <cacheField name="Client" uniqueList="1" numFmtId="0" sqlType="0" hierarchy="0" level="0" databaseField="1">
      <sharedItems count="0" containsBlank="1"/>
    </cacheField>
    <cacheField name="Category" uniqueList="1" numFmtId="0" sqlType="0" hierarchy="0" level="0" databaseField="1">
      <sharedItems count="7" containsBlank="1">
        <m/>
        <s v="courses/masterclasses"/>
        <s v="other"/>
        <s v="workshops"/>
        <s v="1-2-1"/>
        <s v="pick n mix"/>
        <s v="mentoring"/>
      </sharedItems>
    </cacheField>
    <cacheField name="Funding" uniqueList="1" numFmtId="0" sqlType="0" hierarchy="0" level="0" databaseField="1">
      <sharedItems count="8" containsBlank="1">
        <m/>
        <s v="PayPal"/>
        <s v="Stripe"/>
        <s v="Bank"/>
        <s v="W-Play"/>
        <s v="Groupon"/>
        <s v="Various"/>
        <s v="Cash"/>
      </sharedItems>
    </cacheField>
    <cacheField name="Amount" uniqueList="1" numFmtId="0" sqlType="0" hierarchy="0" level="0" databaseField="1">
      <sharedItems count="0" containsBlank="1" containsNumber="1" containsString="0" minValue="7.75" maxValue="2493"/>
    </cacheField>
    <cacheField name="Event" uniqueList="1" numFmtId="0" sqlType="0" hierarchy="0" level="0" databaseField="1">
      <sharedItems count="0" containsBlank="1"/>
    </cacheField>
    <cacheField name="Source" uniqueList="1" numFmtId="0" sqlType="0" hierarchy="0" level="0" databaseField="1">
      <sharedItems count="0" containsBlank="1"/>
    </cacheField>
    <cacheField name="Months" uniqueList="1" numFmtId="0" sqlType="0" hierarchy="0" level="0" databaseField="0">
      <fieldGroup base="0">
        <rangePr autoStart="1" autoEnd="1" groupBy="months" startDate="2017-01-01T00:00:00" endDate="2017-12-28T00:00:00" groupInterval="1"/>
        <groupItems count="14">
          <s v="&lt;01/01/2017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8/12/2017"/>
        </groupItems>
      </fieldGroup>
    </cacheField>
  </cacheFields>
</pivotCacheDefinition>
</file>

<file path=xl/pivotCache/pivotCacheDefinition3.xml><?xml version="1.0" encoding="utf-8"?>
<pivotCacheDefinition xmlns:r="http://schemas.openxmlformats.org/officeDocument/2006/relationships" xmlns="http://schemas.openxmlformats.org/spreadsheetml/2006/main" refreshedBy="alan ranger" refreshedDate="43102.48616759259" createdVersion="6" refreshedVersion="6" minRefreshableVersion="3" recordCount="529" r:id="rId1">
  <cacheSource type="worksheet">
    <worksheetSource ref="B124" sheet="Sales 2017"/>
  </cacheSource>
  <cacheFields count="8">
    <cacheField name="Date" uniqueList="1" numFmtId="0" sqlType="0" hierarchy="0" level="0" databaseField="1">
      <sharedItems count="219" containsBlank="1" containsDate="1" containsNonDate="0" containsString="0" minDate="2017-01-01T00:00:00" maxDate="2017-12-28T00:00:00">
        <m/>
        <d v="2017-12-27T00:00:00"/>
        <d v="2017-12-26T00:00:00"/>
        <d v="2017-12-24T00:00:00"/>
        <d v="2017-12-22T00:00:00"/>
        <d v="2017-12-21T00:00:00"/>
        <d v="2017-12-20T00:00:00"/>
        <d v="2017-12-19T00:00:00"/>
        <d v="2017-12-16T00:00:00"/>
        <d v="2017-12-14T00:00:00"/>
        <d v="2017-12-13T00:00:00"/>
        <d v="2017-12-12T00:00:00"/>
        <d v="2017-12-11T00:00:00"/>
        <d v="2017-12-10T00:00:00"/>
        <d v="2017-12-09T00:00:00"/>
        <d v="2017-12-06T00:00:00"/>
        <d v="2017-12-04T00:00:00"/>
        <d v="2017-12-01T00:00:00"/>
        <d v="2017-11-30T00:00:00"/>
        <d v="2017-11-29T00:00:00"/>
        <d v="2017-11-28T00:00:00"/>
        <d v="2017-11-21T00:00:00"/>
        <d v="2017-11-27T00:00:00"/>
        <d v="2017-11-19T00:00:00"/>
        <d v="2017-11-16T00:00:00"/>
        <d v="2017-11-11T00:00:00"/>
        <d v="2017-11-12T00:00:00"/>
        <d v="2017-11-10T00:00:00"/>
        <d v="2017-11-09T00:00:00"/>
        <d v="2017-11-08T00:00:00"/>
        <d v="2017-11-07T00:00:00"/>
        <d v="2017-11-01T00:00:00"/>
        <d v="2017-10-29T00:00:00"/>
        <d v="2017-10-27T00:00:00"/>
        <d v="2017-10-26T00:00:00"/>
        <d v="2017-10-24T00:00:00"/>
        <d v="2017-10-23T00:00:00"/>
        <d v="2017-10-22T00:00:00"/>
        <d v="2017-10-19T00:00:00"/>
        <d v="2017-10-18T00:00:00"/>
        <d v="2017-10-17T00:00:00"/>
        <d v="2017-10-16T00:00:00"/>
        <d v="2017-10-14T00:00:00"/>
        <d v="2017-10-12T00:00:00"/>
        <d v="2017-10-11T00:00:00"/>
        <d v="2017-10-10T00:00:00"/>
        <d v="2017-10-09T00:00:00"/>
        <d v="2017-10-08T00:00:00"/>
        <d v="2017-10-07T00:00:00"/>
        <d v="2017-10-04T00:00:00"/>
        <d v="2017-10-03T00:00:00"/>
        <d v="2017-10-02T00:00:00"/>
        <d v="2017-10-01T00:00:00"/>
        <d v="2017-09-30T00:00:00"/>
        <d v="2017-09-29T00:00:00"/>
        <d v="2017-09-28T00:00:00"/>
        <d v="2017-09-27T00:00:00"/>
        <d v="2017-09-26T00:00:00"/>
        <d v="2017-09-25T00:00:00"/>
        <d v="2017-09-24T00:00:00"/>
        <d v="2017-09-23T00:00:00"/>
        <d v="2017-09-22T00:00:00"/>
        <d v="2017-09-21T00:00:00"/>
        <d v="2017-09-20T00:00:00"/>
        <d v="2017-09-19T00:00:00"/>
        <d v="2017-09-18T00:00:00"/>
        <d v="2017-09-17T00:00:00"/>
        <d v="2017-09-16T00:00:00"/>
        <d v="2017-09-14T00:00:00"/>
        <d v="2017-09-13T00:00:00"/>
        <d v="2017-09-12T00:00:00"/>
        <d v="2017-09-11T00:00:00"/>
        <d v="2017-09-10T00:00:00"/>
        <d v="2017-09-08T00:00:00"/>
        <d v="2017-09-07T00:00:00"/>
        <d v="2017-09-06T00:00:00"/>
        <d v="2017-09-05T00:00:00"/>
        <d v="2017-09-04T00:00:00"/>
        <d v="2017-09-01T00:00:00"/>
        <d v="2017-08-31T00:00:00"/>
        <d v="2017-08-30T00:00:00"/>
        <d v="2017-08-29T00:00:00"/>
        <d v="2017-08-26T00:00:00"/>
        <d v="2017-08-25T00:00:00"/>
        <d v="2017-08-23T00:00:00"/>
        <d v="2017-08-22T00:00:00"/>
        <d v="2017-08-21T00:00:00"/>
        <d v="2017-08-07T00:00:00"/>
        <d v="2017-08-15T00:00:00"/>
        <d v="2017-08-19T00:00:00"/>
        <d v="2017-08-18T00:00:00"/>
        <d v="2017-08-17T00:00:00"/>
        <d v="2017-08-16T00:00:00"/>
        <d v="2017-08-14T00:00:00"/>
        <d v="2017-08-12T00:00:00"/>
        <d v="2017-08-06T00:00:00"/>
        <d v="2017-08-03T00:00:00"/>
        <d v="2017-08-01T00:00:00"/>
        <d v="2017-07-31T00:00:00"/>
        <d v="2017-07-25T00:00:00"/>
        <d v="2017-07-24T00:00:00"/>
        <d v="2017-07-23T00:00:00"/>
        <d v="2017-07-21T00:00:00"/>
        <d v="2017-07-18T00:00:00"/>
        <d v="2017-07-17T00:00:00"/>
        <d v="2017-07-16T00:00:00"/>
        <d v="2017-07-14T00:00:00"/>
        <d v="2017-07-06T00:00:00"/>
        <d v="2017-07-04T00:00:00"/>
        <d v="2017-07-03T00:00:00"/>
        <d v="2017-07-01T00:00:00"/>
        <d v="2017-06-30T00:00:00"/>
        <d v="2017-06-28T00:00:00"/>
        <d v="2017-06-23T00:00:00"/>
        <d v="2017-06-22T00:00:00"/>
        <d v="2017-06-21T00:00:00"/>
        <d v="2017-06-18T00:00:00"/>
        <d v="2017-06-17T00:00:00"/>
        <d v="2017-06-16T00:00:00"/>
        <d v="2017-06-15T00:00:00"/>
        <d v="2017-06-14T00:00:00"/>
        <d v="2017-06-13T00:00:00"/>
        <d v="2017-06-12T00:00:00"/>
        <d v="2017-06-11T00:00:00"/>
        <d v="2017-06-10T00:00:00"/>
        <d v="2017-06-09T00:00:00"/>
        <d v="2017-06-08T00:00:00"/>
        <d v="2017-06-07T00:00:00"/>
        <d v="2017-06-06T00:00:00"/>
        <d v="2017-06-05T00:00:00"/>
        <d v="2017-06-03T00:00:00"/>
        <d v="2017-06-02T00:00:00"/>
        <d v="2017-06-01T00:00:00"/>
        <d v="2017-05-31T00:00:00"/>
        <d v="2017-05-30T00:00:00"/>
        <d v="2017-05-29T00:00:00"/>
        <d v="2017-05-28T00:00:00"/>
        <d v="2017-05-27T00:00:00"/>
        <d v="2017-05-25T00:00:00"/>
        <d v="2017-05-24T00:00:00"/>
        <d v="2017-05-18T00:00:00"/>
        <d v="2017-05-17T00:00:00"/>
        <d v="2017-05-16T00:00:00"/>
        <d v="2017-05-15T00:00:00"/>
        <d v="2017-05-11T00:00:00"/>
        <d v="2017-05-10T00:00:00"/>
        <d v="2017-05-09T00:00:00"/>
        <d v="2017-05-08T00:00:00"/>
        <d v="2017-05-07T00:00:00"/>
        <d v="2017-05-06T00:00:00"/>
        <d v="2017-05-01T00:00:00"/>
        <d v="2017-04-30T00:00:00"/>
        <d v="2017-04-28T00:00:00"/>
        <d v="2017-04-27T00:00:00"/>
        <d v="2017-04-24T00:00:00"/>
        <d v="2017-04-23T00:00:00"/>
        <d v="2017-04-20T00:00:00"/>
        <d v="2017-04-19T00:00:00"/>
        <d v="2017-04-17T00:00:00"/>
        <d v="2017-04-14T00:00:00"/>
        <d v="2017-04-11T00:00:00"/>
        <d v="2017-04-10T00:00:00"/>
        <d v="2017-04-09T00:00:00"/>
        <d v="2017-04-07T00:00:00"/>
        <d v="2017-04-06T00:00:00"/>
        <d v="2017-04-04T00:00:00"/>
        <d v="2017-04-03T00:00:00"/>
        <d v="2017-04-02T00:00:00"/>
        <d v="2017-04-01T00:00:00"/>
        <d v="2017-03-30T00:00:00"/>
        <d v="2017-03-28T00:00:00"/>
        <d v="2017-03-27T00:00:00"/>
        <d v="2017-03-26T00:00:00"/>
        <d v="2017-03-23T00:00:00"/>
        <d v="2017-03-21T00:00:00"/>
        <d v="2017-03-20T00:00:00"/>
        <d v="2017-03-19T00:00:00"/>
        <d v="2017-03-18T00:00:00"/>
        <d v="2017-03-17T00:00:00"/>
        <d v="2017-03-16T00:00:00"/>
        <d v="2017-03-15T00:00:00"/>
        <d v="2017-03-13T00:00:00"/>
        <d v="2017-03-10T00:00:00"/>
        <d v="2017-03-09T00:00:00"/>
        <d v="2017-03-04T00:00:00"/>
        <d v="2017-03-01T00:00:00"/>
        <d v="2017-02-28T00:00:00"/>
        <d v="2017-02-27T00:00:00"/>
        <d v="2017-02-26T00:00:00"/>
        <d v="2017-02-24T00:00:00"/>
        <d v="2017-02-23T00:00:00"/>
        <d v="2017-02-22T00:00:00"/>
        <d v="2017-02-21T00:00:00"/>
        <d v="2017-02-20T00:00:00"/>
        <d v="2017-02-17T00:00:00"/>
        <d v="2017-02-16T00:00:00"/>
        <d v="2017-02-15T00:00:00"/>
        <d v="2017-02-14T00:00:00"/>
        <d v="2017-02-13T00:00:00"/>
        <d v="2017-02-12T00:00:00"/>
        <d v="2017-02-11T00:00:00"/>
        <d v="2017-02-10T00:00:00"/>
        <d v="2017-02-08T00:00:00"/>
        <d v="2017-02-07T00:00:00"/>
        <d v="2017-02-03T00:00:00"/>
        <d v="2017-01-31T00:00:00"/>
        <d v="2017-01-27T00:00:00"/>
        <d v="2017-01-26T00:00:00"/>
        <d v="2017-01-25T00:00:00"/>
        <d v="2017-01-17T00:00:00"/>
        <d v="2017-01-14T00:00:00"/>
        <d v="2017-01-13T00:00:00"/>
        <d v="2017-01-11T00:00:00"/>
        <d v="2017-01-08T00:00:00"/>
        <d v="2017-01-07T00:00:00"/>
        <d v="2017-01-05T00:00:00"/>
        <d v="2017-01-04T00:00:00"/>
        <d v="2017-01-03T00:00:00"/>
        <d v="2017-01-01T00:00:00"/>
      </sharedItems>
      <fieldGroup par="7" base="0">
        <rangePr autoStart="1" autoEnd="1" groupBy="days" startDate="2017-01-01T00:00:00" endDate="2017-12-28T00:00:00" groupInterval="1"/>
        <groupItems count="368">
          <s v="(blank)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8/12/2017"/>
        </groupItems>
      </fieldGroup>
    </cacheField>
    <cacheField name="Client" uniqueList="1" numFmtId="0" sqlType="0" hierarchy="0" level="0" databaseField="1">
      <sharedItems count="0" containsBlank="1"/>
    </cacheField>
    <cacheField name="Category" uniqueList="1" numFmtId="0" sqlType="0" hierarchy="0" level="0" databaseField="1">
      <sharedItems count="7" containsBlank="1">
        <m/>
        <s v="courses/masterclasses"/>
        <s v="other"/>
        <s v="workshops"/>
        <s v="1-2-1"/>
        <s v="pick n mix"/>
        <s v="mentoring"/>
      </sharedItems>
    </cacheField>
    <cacheField name="Funding" uniqueList="1" numFmtId="0" sqlType="0" hierarchy="0" level="0" databaseField="1">
      <sharedItems count="8" containsBlank="1">
        <m/>
        <s v="PayPal"/>
        <s v="Stripe"/>
        <s v="Bank"/>
        <s v="W-Play"/>
        <s v="Groupon"/>
        <s v="Various"/>
        <s v="Cash"/>
      </sharedItems>
    </cacheField>
    <cacheField name="Amount" uniqueList="1" numFmtId="0" sqlType="0" hierarchy="0" level="0" databaseField="1">
      <sharedItems count="0" containsBlank="1" containsNumber="1" containsString="0" minValue="7.75" maxValue="2493"/>
    </cacheField>
    <cacheField name="Event" uniqueList="1" numFmtId="0" sqlType="0" hierarchy="0" level="0" databaseField="1">
      <sharedItems count="143" containsBlank="1">
        <m/>
        <s v="5wk Course"/>
        <s v="Digital Gift Card"/>
        <s v="Intro Class"/>
        <s v="4wk Extended Course"/>
        <s v="Batsford Calendar"/>
        <s v="Masterclass Critique"/>
        <s v="Hartland April"/>
        <s v="1-2-1"/>
        <s v="Gift Voucher"/>
        <s v="Forum"/>
        <s v="LR Course"/>
        <s v="Intermediates Course"/>
        <s v="Pick N Mix Payments"/>
        <s v="Mentoring Subs"/>
        <s v="4wk Ext Course"/>
        <s v="Xmas Photo Walk"/>
        <s v="Batsford Workshop March"/>
        <s v="Various"/>
        <s v="LR Organisation"/>
        <s v="3 Prints"/>
        <s v="Intermediates"/>
        <s v="Xmas Sparkle"/>
        <s v="Northumbria Workshop"/>
        <s v="Xmas Walk"/>
        <s v="Masterclass"/>
        <s v="Various Workshops"/>
        <s v="Bluebells"/>
        <s v="4wk Beginners"/>
        <s v="Xposure"/>
        <s v="Poppies"/>
        <s v="Batsford"/>
        <s v="Fireworks"/>
        <s v="Intentions Course"/>
        <s v="Lightroom Course"/>
        <s v="1-2-1 Lightroom"/>
        <s v="France"/>
        <s v="Panel Review"/>
        <s v="Batsford/Fireworks"/>
        <s v="1 day workshop"/>
        <s v="Pick N Mix"/>
        <s v="Pocket Guides"/>
        <s v="4wk Course"/>
        <s v="Workshop"/>
        <s v="Mentoring + Courses"/>
        <s v="Batsford Workshop"/>
        <s v="Lakes"/>
        <s v="Beginner Course"/>
        <s v="Photo Shoot"/>
        <s v="Pick N MixPlan"/>
        <s v="Chesterton Workshop"/>
        <s v="Pocket Guide"/>
        <s v="ARPS Panel"/>
        <s v="Xposure Festival"/>
        <s v="Tripod Hire"/>
        <s v="Northumbria"/>
        <s v="Age Uk Course"/>
        <s v="1-2-1 Tuition"/>
        <s v="Prints"/>
        <s v="Creative Editing Masterclass"/>
        <s v="Deposit 4wk Course"/>
        <s v="4wk Course Ken"/>
        <s v="5wk Course Ken"/>
        <s v="Peak District"/>
        <s v="Anglesey Workshop"/>
        <s v="Prints-Zenfolio"/>
        <s v="Plan shortfall"/>
        <s v="Batsford - Oct"/>
        <s v="Monhtly Mentoring"/>
        <s v="Intro Class x 2"/>
        <s v="3 x Masterclasses"/>
        <s v="Chesterton Sunset"/>
        <s v="Photo Walk"/>
        <s v="?"/>
        <s v="Norfolk"/>
        <s v="Portriats Course"/>
        <s v="photo critique"/>
        <s v="Course"/>
        <s v="Chesterton Windmill"/>
        <s v="Sherbourne Prints"/>
        <s v="Sensor Clean"/>
        <s v="Sunset"/>
        <s v="Delphiniums"/>
        <s v="ELS Payment"/>
        <s v="Abstract Workshop"/>
        <s v="Settle Plan"/>
        <s v="Portraits Workshop"/>
        <s v="Workshops"/>
        <s v="19 Poppies"/>
        <s v="22 Poppies"/>
        <s v="21 Poppies"/>
        <s v="4wk extended"/>
        <s v="Mentoring "/>
        <s v="Pick N Mix Subs"/>
        <s v="Intermed Course"/>
        <s v="Lightroom"/>
        <s v="Anglesey"/>
        <s v="Macro Masterclass"/>
        <s v="Monthly Mentoring"/>
        <s v="sunset workshop"/>
        <s v="Sharpshooters"/>
        <s v="Prem Mentoring"/>
        <s v="5wk Course Soli"/>
        <s v="Fairy Glen Workshop"/>
        <s v="Pick N Mix plans"/>
        <s v="Mentoring Plans"/>
        <s v="Family SS/Workshop"/>
        <s v="Schools Course"/>
        <s v="Yorkshire"/>
        <s v="Courses"/>
        <s v="Night shoot"/>
        <s v="Gift Voucher Sharpshooters"/>
        <s v="Pick N Mix Mar"/>
        <s v="1-2-1 gift voucher"/>
        <s v="Bluebell Workshop"/>
        <s v="LR Support"/>
        <s v="Various Courses"/>
        <s v="Masterclass + 5week"/>
        <s v="2.5hr Chesterton"/>
        <s v="General/ Intro"/>
        <s v="Print Sale $-£"/>
        <s v="Wales"/>
        <s v="4 wk course"/>
        <s v="Mentoring Mar"/>
        <s v="Other"/>
        <s v="Batsford Workshops"/>
        <s v="class"/>
        <s v="2.5hr workshop"/>
        <s v="Autumn Batsford"/>
        <s v="Deposit 4wk Extd"/>
        <s v="2.5+4hr Workshop"/>
        <s v="5 wk course"/>
        <s v="Mentoring"/>
        <s v="Intro Class Dorridge"/>
        <s v="2 Schools"/>
        <s v="PnM"/>
        <s v="5 week course"/>
        <s v="monitor calibration"/>
        <s v="devon"/>
        <s v="batsford cal shoot"/>
        <s v="5wk course feb"/>
        <s v="yes"/>
        <s v="no"/>
      </sharedItems>
    </cacheField>
    <cacheField name="Source" uniqueList="1" numFmtId="0" sqlType="0" hierarchy="0" level="0" databaseField="1">
      <sharedItems count="8" containsBlank="1">
        <m/>
        <s v="Google"/>
        <s v="Existing"/>
        <s v="Batsford"/>
        <s v="ELS"/>
        <s v="Groupon"/>
        <s v="Zenfolio"/>
        <s v="Other"/>
      </sharedItems>
    </cacheField>
    <cacheField name="Months" uniqueList="1" numFmtId="0" sqlType="0" hierarchy="0" level="0" databaseField="0">
      <fieldGroup base="0">
        <rangePr autoStart="1" autoEnd="1" groupBy="months" startDate="2017-01-01T00:00:00" endDate="2017-12-28T00:00:00" groupInterval="1"/>
        <groupItems count="14">
          <s v="&lt;01/01/2017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8/12/2017"/>
        </groupItems>
      </fieldGroup>
    </cacheField>
  </cacheFields>
</pivotCacheDefinition>
</file>

<file path=xl/pivotCache/pivotCacheDefinition4.xml><?xml version="1.0" encoding="utf-8"?>
<pivotCacheDefinition xmlns:r="http://schemas.openxmlformats.org/officeDocument/2006/relationships" xmlns="http://schemas.openxmlformats.org/spreadsheetml/2006/main" refreshedBy="alan ranger" refreshedDate="43831.5093806713" createdVersion="6" refreshedVersion="6" minRefreshableVersion="3" recordCount="121" r:id="rId1">
  <cacheSource type="worksheet">
    <worksheetSource ref="A9:L9" sheet="Workshops"/>
  </cacheSource>
  <cacheFields count="13">
    <cacheField name="Event Date" uniqueList="1" numFmtId="0" sqlType="0" hierarchy="0" level="0" databaseField="1">
      <sharedItems count="0" containsBlank="1" containsDate="1" containsNonDate="0" containsString="0" minDate="2020-01-07T00:00:00" maxDate="2020-12-02T00:00:00"/>
    </cacheField>
    <cacheField name="Workshop-Location/Theme" uniqueList="1" numFmtId="0" sqlType="0" hierarchy="0" level="0" databaseField="1">
      <sharedItems count="34" containsBlank="1">
        <m/>
        <s v="Woodland Photo Walk "/>
        <s v="Wales - Dee Valley"/>
        <s v="Urban Architecture"/>
        <s v="Yorkshire Dales"/>
        <s v="Suffolk Coast"/>
        <s v="Long Exposure"/>
        <s v="Ireland - Dingle"/>
        <s v="Peak District"/>
        <s v="Bluebell Woodlands"/>
        <s v="Dorset"/>
        <s v="Poppy Fields"/>
        <s v="Sunflower Fields"/>
        <s v="Hartland Quay - Devon"/>
        <s v="Lake District"/>
        <s v="Lavendar" u="1"/>
        <s v="Woodland Workshop" u="1"/>
        <s v="Batsford Class/Walk" u="1"/>
        <s v="Suffolk Coastal" u="1"/>
        <s v="Northumbria" u="1"/>
        <s v="Wales Nant Mill" u="1"/>
        <s v="Abstract &amp; Macro " u="1"/>
        <s v="Sunflowers" u="1"/>
        <s v="Brandon Marsh" u="1"/>
        <s v="Chesterton Windmill" u="1"/>
        <s v="Burnham On Sea - Sunset" u="1"/>
        <s v="Christmas Photowalk" u="1"/>
        <s v="Wales Fairy Glen Betws-y-Coed " u="1"/>
        <s v="Wales Anglesey" u="1"/>
        <s v="Long Exposure - Coventry" u="1"/>
        <s v="Batsford Autumn" u="1"/>
        <s v="Norfolk" u="1"/>
        <s v="Wales - Coed y Brenin - Waterfalls " u="1"/>
        <s v="Christmas Sparkle" u="1"/>
      </sharedItems>
    </cacheField>
    <cacheField name="Time/Package" uniqueList="1" numFmtId="0" sqlType="0" hierarchy="0" level="0" databaseField="1">
      <sharedItems count="0" containsBlank="1"/>
    </cacheField>
    <cacheField name="Duration" uniqueList="1" numFmtId="0" sqlType="0" hierarchy="0" level="0" databaseField="1">
      <sharedItems count="8" containsBlank="1">
        <m/>
        <s v="2.5hrs"/>
        <s v="3 Days"/>
        <s v="2 Days"/>
        <s v="5 Days"/>
        <s v="1 Day"/>
        <s v="4hrs"/>
        <s v="4 Days" u="1"/>
      </sharedItems>
    </cacheField>
    <cacheField name="source" uniqueList="1" numFmtId="0" sqlType="0" hierarchy="0" level="0" databaseField="1">
      <sharedItems count="8" containsBlank="1">
        <m/>
        <s v="Google"/>
        <s v="Existing"/>
        <s v="Facebook" u="1"/>
        <s v="Exisiting" u="1"/>
        <s v="Referral" u="1"/>
        <s v="ELS" u="1"/>
        <s v="Batsford" u="1"/>
      </sharedItems>
    </cacheField>
    <cacheField name="Order Ref" uniqueList="1" numFmtId="0" sqlType="0" hierarchy="0" level="0" databaseField="1">
      <sharedItems count="0" containsBlank="1"/>
    </cacheField>
    <cacheField name="Date Booked" uniqueList="1" numFmtId="16" sqlType="0" hierarchy="0" level="0" databaseField="1">
      <sharedItems count="0" containsBlank="1" containsDate="1" containsMixedTypes="1" minDate="2019-03-15T00:00:00" maxDate="2019-12-31T00:00:00"/>
    </cacheField>
    <cacheField name="Paid" uniqueList="1" numFmtId="0" sqlType="0" hierarchy="0" level="0" databaseField="1">
      <sharedItems count="0" containsBlank="1" containsNumber="1" containsString="0" minValue="10" maxValue="1190"/>
    </cacheField>
    <cacheField name="Balance" uniqueList="1" numFmtId="0" sqlType="0" hierarchy="0" level="0" databaseField="1">
      <sharedItems count="0" containsBlank="1" containsInteger="1" containsNumber="1" containsString="0" minValue="0" maxValue="795"/>
    </cacheField>
    <cacheField name="Email Address" uniqueList="1" numFmtId="0" sqlType="0" hierarchy="0" level="0" databaseField="1">
      <sharedItems count="0" containsBlank="1"/>
    </cacheField>
    <cacheField name="Prefix" uniqueList="1" numFmtId="0" sqlType="0" hierarchy="0" level="0" databaseField="1">
      <sharedItems count="0" containsBlank="1"/>
    </cacheField>
    <cacheField name="First Name" uniqueList="1" numFmtId="0" sqlType="0" hierarchy="0" level="0" databaseField="1">
      <sharedItems count="0" containsBlank="1"/>
    </cacheField>
    <cacheField name="Last Name" uniqueList="1" numFmtId="0" sqlType="0" hierarchy="0" level="0" databaseField="1">
      <sharedItems count="0" containsBlank="1"/>
    </cacheField>
  </cacheFields>
</pivotCacheDefinition>
</file>

<file path=xl/pivotCache/pivotCacheDefinition5.xml><?xml version="1.0" encoding="utf-8"?>
<pivotCacheDefinition xmlns:r="http://schemas.openxmlformats.org/officeDocument/2006/relationships" xmlns="http://schemas.openxmlformats.org/spreadsheetml/2006/main" refreshedBy="alan ranger" refreshedDate="43845.70387858796" createdVersion="6" refreshedVersion="6" minRefreshableVersion="3" recordCount="64" r:id="rId1">
  <cacheSource type="worksheet">
    <worksheetSource ref="B230:J231" sheet="Courses-Classes"/>
  </cacheSource>
  <cacheFields count="9">
    <cacheField name="From Date" uniqueList="1" numFmtId="0" sqlType="0" hierarchy="0" level="0" databaseField="1">
      <sharedItems count="0" containsBlank="1" containsDate="1" containsNonDate="0" containsString="0" minDate="2019-09-05T00:00:00" maxDate="2020-03-20T00:00:00"/>
    </cacheField>
    <cacheField name="To Date" uniqueList="1" numFmtId="0" sqlType="0" hierarchy="0" level="0" databaseField="1">
      <sharedItems count="0" containsBlank="1" containsDate="1" containsNonDate="0" containsString="0" minDate="2019-10-03T00:00:00" maxDate="2021-01-10T00:00:00"/>
    </cacheField>
    <cacheField name="Date Booked" uniqueList="1" numFmtId="0" sqlType="0" hierarchy="0" level="0" databaseField="1">
      <sharedItems count="0" containsBlank="1" containsDate="1" containsNonDate="0" containsString="0" minDate="2018-01-27T00:00:00" maxDate="2020-01-09T00:00:00"/>
    </cacheField>
    <cacheField name="Event" uniqueList="1" numFmtId="0" sqlType="0" hierarchy="0" level="0" databaseField="1">
      <sharedItems count="19" containsBlank="1">
        <m/>
        <s v="RPS Course"/>
        <s v="B&amp;W Mastercalss"/>
        <s v="Image Sharing Masteclass"/>
        <s v="Beginners Lightroom do in 2020 Kenilworth"/>
        <s v="Intermediates Photography Course"/>
        <s v="Get Off Auto"/>
        <s v="Beginners Photography"/>
        <s v="Better Portraits Workshop"/>
        <s v="Beginners Lightroom"/>
        <s v="Creative Editing Masterclass" u="1"/>
        <s v="Intermediates Intentions Course" u="1"/>
        <s v="Online Beginners Photography Course" u="1"/>
        <s v="RPS Extension - 6 months" u="1"/>
        <s v="Premium Mentoring" u="1"/>
        <s v="Lightroom Masterclass" u="1"/>
        <s v="Beginners Lightroom/Considering Intermediates Photo - NOV" u="1"/>
        <s v="Get Off Auto NO SHOW (4/6) waived the fee" u="1"/>
        <s v="Macro Masterclass" u="1"/>
      </sharedItems>
    </cacheField>
    <cacheField name="Location" uniqueList="1" numFmtId="0" sqlType="0" hierarchy="0" level="0" databaseField="1">
      <sharedItems count="6" containsBlank="1">
        <m/>
        <s v="Coventry"/>
        <s v="Kenilworth"/>
        <s v="Solihull"/>
        <s v="Batsford" u="1"/>
        <s v="Online" u="1"/>
      </sharedItems>
    </cacheField>
    <cacheField name="Duration" uniqueList="1" numFmtId="0" sqlType="0" hierarchy="0" level="0" databaseField="1">
      <sharedItems count="7" containsBlank="1">
        <m/>
        <s v="12 Months"/>
        <s v="2.5hrs"/>
        <s v="4wks"/>
        <s v="5wks"/>
        <s v="1 Day"/>
        <s v="6 Months" u="1"/>
      </sharedItems>
    </cacheField>
    <cacheField name="Paid" uniqueList="1" numFmtId="0" sqlType="0" hierarchy="0" level="0" databaseField="1">
      <sharedItems count="0" containsBlank="1" containsNumber="1" containsString="0" minValue="30" maxValue="395"/>
    </cacheField>
    <cacheField name="Balance" uniqueList="1" numFmtId="0" sqlType="0" hierarchy="0" level="0" databaseField="1">
      <sharedItems count="0" containsBlank="1" containsInteger="1" containsNumber="1" containsString="0" minValue="0" maxValue="0"/>
    </cacheField>
    <cacheField name="Source" uniqueList="1" numFmtId="0" sqlType="0" hierarchy="0" level="0" databaseField="1">
      <sharedItems count="8" containsBlank="1">
        <m/>
        <s v="Existing"/>
        <s v="Exisiting"/>
        <s v="Google"/>
        <s v="ELS"/>
        <s v="Referral" u="1"/>
        <s v="Groupon" u="1"/>
        <s v="Batsford" u="1"/>
      </sharedItems>
    </cacheField>
  </cacheFields>
</pivotCacheDefinition>
</file>

<file path=xl/pivotCache/pivotCacheRecords1.xml><?xml version="1.0" encoding="utf-8"?>
<pivotCacheRecords xmlns="http://schemas.openxmlformats.org/spreadsheetml/2006/main" count="1065"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1"/>
    <s v="Amanda Graham"/>
    <x v="1"/>
    <x v="1"/>
    <n v="-112.5"/>
    <s v="Heathers - Peak District"/>
    <x v="1"/>
  </r>
  <r>
    <x v="1"/>
    <s v="Amanda Graham"/>
    <x v="2"/>
    <x v="1"/>
    <n v="112.5"/>
    <s v="Heathers - Peak District"/>
    <x v="1"/>
  </r>
  <r>
    <x v="2"/>
    <s v="Rebecca Teague"/>
    <x v="2"/>
    <x v="2"/>
    <n v="93.75"/>
    <s v="Bluebells"/>
    <x v="1"/>
  </r>
  <r>
    <x v="3"/>
    <s v="Christine Cowley"/>
    <x v="3"/>
    <x v="2"/>
    <n v="30"/>
    <s v="Gift Vouchers"/>
    <x v="2"/>
  </r>
  <r>
    <x v="4"/>
    <s v="Julia Dyer"/>
    <x v="2"/>
    <x v="3"/>
    <n v="93.75"/>
    <s v="Burnham Sunset Shoot"/>
    <x v="1"/>
  </r>
  <r>
    <x v="5"/>
    <s v="Lesley Ford"/>
    <x v="3"/>
    <x v="3"/>
    <n v="100"/>
    <s v="Gift Vouchers"/>
    <x v="2"/>
  </r>
  <r>
    <x v="6"/>
    <s v="Ryan Biggerstaff"/>
    <x v="4"/>
    <x v="2"/>
    <n v="30"/>
    <s v="Intro Class"/>
    <x v="2"/>
  </r>
  <r>
    <x v="6"/>
    <s v="Helen Seaman "/>
    <x v="2"/>
    <x v="4"/>
    <n v="725"/>
    <s v="Lake District Workshop"/>
    <x v="2"/>
  </r>
  <r>
    <x v="7"/>
    <s v="Maxine Tighe"/>
    <x v="3"/>
    <x v="2"/>
    <n v="30"/>
    <s v="Gift Vouchers"/>
    <x v="2"/>
  </r>
  <r>
    <x v="7"/>
    <s v="stacey Rose"/>
    <x v="3"/>
    <x v="2"/>
    <n v="25"/>
    <s v="Gift Vouchers"/>
    <x v="2"/>
  </r>
  <r>
    <x v="7"/>
    <s v="stacey Rose"/>
    <x v="3"/>
    <x v="2"/>
    <n v="50"/>
    <s v="Gift Vouchers"/>
    <x v="2"/>
  </r>
  <r>
    <x v="8"/>
    <s v="Tony Hunter"/>
    <x v="4"/>
    <x v="4"/>
    <n v="210"/>
    <s v="Beginners Course"/>
    <x v="2"/>
  </r>
  <r>
    <x v="8"/>
    <s v="John Jeffries"/>
    <x v="4"/>
    <x v="4"/>
    <n v="280"/>
    <s v="Beginners Course"/>
    <x v="2"/>
  </r>
  <r>
    <x v="9"/>
    <s v="Helen Jerina"/>
    <x v="3"/>
    <x v="2"/>
    <n v="50"/>
    <s v="Gift Vouchers"/>
    <x v="2"/>
  </r>
  <r>
    <x v="9"/>
    <s v="Helen Jerina"/>
    <x v="3"/>
    <x v="2"/>
    <n v="25"/>
    <s v="Gift Vouchers"/>
    <x v="2"/>
  </r>
  <r>
    <x v="9"/>
    <s v="Simon Bissett "/>
    <x v="4"/>
    <x v="5"/>
    <n v="13"/>
    <s v="Intro Class"/>
    <x v="3"/>
  </r>
  <r>
    <x v="10"/>
    <s v="Wendy Davis"/>
    <x v="3"/>
    <x v="2"/>
    <n v="50"/>
    <s v="Gift Vouchers"/>
    <x v="2"/>
  </r>
  <r>
    <x v="10"/>
    <s v="Michael Lally"/>
    <x v="3"/>
    <x v="2"/>
    <n v="250"/>
    <s v="Gift Vouchers"/>
    <x v="2"/>
  </r>
  <r>
    <x v="11"/>
    <s v="Joe Tattersall"/>
    <x v="4"/>
    <x v="2"/>
    <n v="30"/>
    <s v="Intro Class"/>
    <x v="2"/>
  </r>
  <r>
    <x v="11"/>
    <s v="Holly Robinson"/>
    <x v="3"/>
    <x v="2"/>
    <n v="100"/>
    <s v="Gift Vouchers"/>
    <x v="2"/>
  </r>
  <r>
    <x v="12"/>
    <s v="Sarah Jukes"/>
    <x v="4"/>
    <x v="2"/>
    <n v="30"/>
    <s v="Intro Class"/>
    <x v="2"/>
  </r>
  <r>
    <x v="12"/>
    <s v="Anne Watkinson"/>
    <x v="5"/>
    <x v="2"/>
    <n v="360"/>
    <s v="1-2-1"/>
    <x v="1"/>
  </r>
  <r>
    <x v="13"/>
    <s v="Stuart Isaac"/>
    <x v="4"/>
    <x v="2"/>
    <n v="30"/>
    <s v="Intro Class"/>
    <x v="2"/>
  </r>
  <r>
    <x v="14"/>
    <s v="J Longthorn"/>
    <x v="2"/>
    <x v="2"/>
    <n v="10"/>
    <s v="Woodland Photo Walk - Oakley Wood, Leamington"/>
    <x v="1"/>
  </r>
  <r>
    <x v="14"/>
    <s v="David Reed"/>
    <x v="2"/>
    <x v="2"/>
    <n v="50"/>
    <s v="Long Exposure Coventry"/>
    <x v="1"/>
  </r>
  <r>
    <x v="14"/>
    <s v="Alex Harbige"/>
    <x v="2"/>
    <x v="5"/>
    <n v="625"/>
    <s v="Suffolk Workshop"/>
    <x v="1"/>
  </r>
  <r>
    <x v="14"/>
    <s v="Mark Pascoe"/>
    <x v="3"/>
    <x v="2"/>
    <n v="30"/>
    <s v="Gift Vouchers"/>
    <x v="2"/>
  </r>
  <r>
    <x v="15"/>
    <s v="Mr M G Richardson"/>
    <x v="2"/>
    <x v="2"/>
    <n v="10"/>
    <s v="Woodland Walks"/>
    <x v="4"/>
  </r>
  <r>
    <x v="14"/>
    <s v="Jeremy Troth"/>
    <x v="2"/>
    <x v="5"/>
    <n v="110"/>
    <s v="Woodland Walks"/>
    <x v="1"/>
  </r>
  <r>
    <x v="16"/>
    <s v="Simon Wright"/>
    <x v="3"/>
    <x v="2"/>
    <n v="20.62"/>
    <s v="Pocket Guides"/>
    <x v="4"/>
  </r>
  <r>
    <x v="17"/>
    <s v="Dave McGuire"/>
    <x v="4"/>
    <x v="5"/>
    <n v="200"/>
    <s v="ELS - Course"/>
    <x v="5"/>
  </r>
  <r>
    <x v="18"/>
    <s v="Antony Clay"/>
    <x v="2"/>
    <x v="3"/>
    <n v="50"/>
    <s v="Brandon Marsh"/>
    <x v="2"/>
  </r>
  <r>
    <x v="18"/>
    <s v="Ann-Marie McGrath"/>
    <x v="4"/>
    <x v="3"/>
    <n v="30"/>
    <s v="Intro Class"/>
    <x v="2"/>
  </r>
  <r>
    <x v="19"/>
    <s v="Dec Pick N Mix"/>
    <x v="6"/>
    <x v="6"/>
    <n v="861.13"/>
    <s v="Pick N Mix Payments"/>
    <x v="1"/>
  </r>
  <r>
    <x v="19"/>
    <s v="Dec Mentoring"/>
    <x v="7"/>
    <x v="6"/>
    <n v="40"/>
    <s v="Mentoring Subs"/>
    <x v="1"/>
  </r>
  <r>
    <x v="0"/>
    <m/>
    <x v="0"/>
    <x v="0"/>
    <m/>
    <m/>
    <x v="0"/>
  </r>
  <r>
    <x v="0"/>
    <m/>
    <x v="0"/>
    <x v="0"/>
    <m/>
    <m/>
    <x v="0"/>
  </r>
  <r>
    <x v="20"/>
    <s v="Con McHugh"/>
    <x v="6"/>
    <x v="5"/>
    <n v="120"/>
    <s v="Pick N Mix Payments"/>
    <x v="1"/>
  </r>
  <r>
    <x v="21"/>
    <s v="Kaye Bottomley"/>
    <x v="3"/>
    <x v="3"/>
    <n v="25"/>
    <s v="Digital Gift Voucher"/>
    <x v="1"/>
  </r>
  <r>
    <x v="22"/>
    <s v="Ciara Hartley"/>
    <x v="4"/>
    <x v="3"/>
    <n v="250"/>
    <s v="4wk Beginners Course"/>
    <x v="1"/>
  </r>
  <r>
    <x v="23"/>
    <s v="Diana Richards"/>
    <x v="2"/>
    <x v="3"/>
    <n v="543.75"/>
    <s v="Workshop"/>
    <x v="1"/>
  </r>
  <r>
    <x v="23"/>
    <s v="Ian Blake"/>
    <x v="2"/>
    <x v="2"/>
    <n v="356.25"/>
    <s v="Workshop"/>
    <x v="1"/>
  </r>
  <r>
    <x v="23"/>
    <s v="Les Pratt"/>
    <x v="3"/>
    <x v="2"/>
    <n v="200"/>
    <s v="Gift Vouchers"/>
    <x v="2"/>
  </r>
  <r>
    <x v="23"/>
    <s v="ESTER RIORDAN"/>
    <x v="2"/>
    <x v="2"/>
    <n v="543.75"/>
    <s v="Northumbria"/>
    <x v="1"/>
  </r>
  <r>
    <x v="23"/>
    <s v="Jane Chapman"/>
    <x v="2"/>
    <x v="2"/>
    <n v="543.75"/>
    <s v="Northumbria"/>
    <x v="1"/>
  </r>
  <r>
    <x v="23"/>
    <s v="Wendy Anthony"/>
    <x v="2"/>
    <x v="3"/>
    <n v="57.15"/>
    <s v="Xmas Walk"/>
    <x v="1"/>
  </r>
  <r>
    <x v="24"/>
    <s v="Justin Meaden"/>
    <x v="2"/>
    <x v="2"/>
    <n v="1087.5"/>
    <s v="Lake District"/>
    <x v="1"/>
  </r>
  <r>
    <x v="24"/>
    <s v="Sandra Aulton"/>
    <x v="3"/>
    <x v="2"/>
    <n v="97.5"/>
    <s v="Gift Vouchers"/>
    <x v="1"/>
  </r>
  <r>
    <x v="24"/>
    <s v="Jeremy Troth"/>
    <x v="2"/>
    <x v="2"/>
    <n v="57.15"/>
    <s v="Xmas Walk"/>
    <x v="1"/>
  </r>
  <r>
    <x v="23"/>
    <s v="John Seely"/>
    <x v="5"/>
    <x v="3"/>
    <n v="180"/>
    <s v="1-2-1 5x2hr Sessions"/>
    <x v="1"/>
  </r>
  <r>
    <x v="24"/>
    <s v="John Seely"/>
    <x v="5"/>
    <x v="3"/>
    <n v="270"/>
    <s v="1-2-1 5x2hr Sessions"/>
    <x v="1"/>
  </r>
  <r>
    <x v="25"/>
    <s v="Justin Meaden"/>
    <x v="2"/>
    <x v="2"/>
    <n v="93.75"/>
    <s v="4hr Workshop"/>
    <x v="1"/>
  </r>
  <r>
    <x v="25"/>
    <s v="Justin Meaden"/>
    <x v="2"/>
    <x v="2"/>
    <n v="56.25"/>
    <s v="2.5hr Workshop"/>
    <x v="1"/>
  </r>
  <r>
    <x v="25"/>
    <s v="Vida Propert"/>
    <x v="5"/>
    <x v="3"/>
    <n v="180"/>
    <s v="1-2-1"/>
    <x v="2"/>
  </r>
  <r>
    <x v="26"/>
    <s v="Sylvia Fillingham"/>
    <x v="4"/>
    <x v="3"/>
    <n v="187.5"/>
    <s v="4wk Beginners Course"/>
    <x v="1"/>
  </r>
  <r>
    <x v="26"/>
    <s v="Grant Harbert"/>
    <x v="2"/>
    <x v="2"/>
    <n v="86.25"/>
    <s v="Bluebells"/>
    <x v="2"/>
  </r>
  <r>
    <x v="26"/>
    <s v="Grant Harbert"/>
    <x v="4"/>
    <x v="2"/>
    <n v="30"/>
    <s v="Intro  Class"/>
    <x v="2"/>
  </r>
  <r>
    <x v="26"/>
    <s v="Madeleine Clark"/>
    <x v="4"/>
    <x v="2"/>
    <n v="187.5"/>
    <s v="LR Soli"/>
    <x v="1"/>
  </r>
  <r>
    <x v="27"/>
    <s v="Sylvia Fillingham"/>
    <x v="3"/>
    <x v="3"/>
    <n v="9.4"/>
    <s v="Pocket Guides"/>
    <x v="2"/>
  </r>
  <r>
    <x v="28"/>
    <s v="Helen Sotheran"/>
    <x v="4"/>
    <x v="5"/>
    <n v="20"/>
    <s v="Lvl 2 Photo"/>
    <x v="5"/>
  </r>
  <r>
    <x v="28"/>
    <s v="Dorinda Gardner"/>
    <x v="4"/>
    <x v="2"/>
    <n v="30"/>
    <s v="Intro  Class"/>
    <x v="2"/>
  </r>
  <r>
    <x v="28"/>
    <s v="Alan Gardner "/>
    <x v="4"/>
    <x v="2"/>
    <n v="30"/>
    <s v="Intro  Class"/>
    <x v="2"/>
  </r>
  <r>
    <x v="29"/>
    <s v="Con McHugh"/>
    <x v="4"/>
    <x v="1"/>
    <n v="396"/>
    <s v="Intentions Class"/>
    <x v="1"/>
  </r>
  <r>
    <x v="29"/>
    <s v="Janice Jordan"/>
    <x v="4"/>
    <x v="1"/>
    <n v="75"/>
    <s v="Intentions Class"/>
    <x v="1"/>
  </r>
  <r>
    <x v="29"/>
    <s v="Con McHugh"/>
    <x v="1"/>
    <x v="1"/>
    <n v="-396"/>
    <s v="Intentions Class"/>
    <x v="1"/>
  </r>
  <r>
    <x v="29"/>
    <s v="Janice Jordan"/>
    <x v="1"/>
    <x v="1"/>
    <n v="-75"/>
    <s v="Intentions Class"/>
    <x v="1"/>
  </r>
  <r>
    <x v="29"/>
    <s v="Colette Reeves"/>
    <x v="4"/>
    <x v="2"/>
    <n v="30"/>
    <s v="Intro  Class"/>
    <x v="2"/>
  </r>
  <r>
    <x v="30"/>
    <s v="James Cameron"/>
    <x v="5"/>
    <x v="5"/>
    <n v="120"/>
    <s v="1-2-1 Editing"/>
    <x v="1"/>
  </r>
  <r>
    <x v="31"/>
    <s v="James Newberry"/>
    <x v="2"/>
    <x v="3"/>
    <n v="25"/>
    <s v="Leamington Xmas Walk"/>
    <x v="2"/>
  </r>
  <r>
    <x v="32"/>
    <s v="Sylvia Fillingham"/>
    <x v="4"/>
    <x v="3"/>
    <n v="30"/>
    <s v="Intro  Class"/>
    <x v="4"/>
  </r>
  <r>
    <x v="33"/>
    <s v="Alex Harbige"/>
    <x v="2"/>
    <x v="5"/>
    <n v="100"/>
    <s v="Suffolk - Feb"/>
    <x v="2"/>
  </r>
  <r>
    <x v="34"/>
    <s v="Catherine Wood"/>
    <x v="4"/>
    <x v="3"/>
    <n v="212.5"/>
    <s v="LR Beginners"/>
    <x v="1"/>
  </r>
  <r>
    <x v="34"/>
    <s v="Anne Watkinson"/>
    <x v="4"/>
    <x v="3"/>
    <n v="200"/>
    <s v="LR Beginners"/>
    <x v="1"/>
  </r>
  <r>
    <x v="34"/>
    <s v="Rob Hull"/>
    <x v="4"/>
    <x v="3"/>
    <n v="200"/>
    <s v="LR Beginners"/>
    <x v="1"/>
  </r>
  <r>
    <x v="34"/>
    <s v="Ann McNulty"/>
    <x v="4"/>
    <x v="3"/>
    <n v="200"/>
    <s v="LR Beginners"/>
    <x v="1"/>
  </r>
  <r>
    <x v="35"/>
    <s v="Joyce james"/>
    <x v="6"/>
    <x v="5"/>
    <n v="500"/>
    <s v="Pick N Mix Payments"/>
    <x v="1"/>
  </r>
  <r>
    <x v="36"/>
    <s v="Raman Sharma"/>
    <x v="4"/>
    <x v="5"/>
    <n v="13"/>
    <s v="Intro  Class"/>
    <x v="3"/>
  </r>
  <r>
    <x v="36"/>
    <s v="Lois Portelli"/>
    <x v="4"/>
    <x v="2"/>
    <n v="250"/>
    <s v="4wk Beginners Course"/>
    <x v="1"/>
  </r>
  <r>
    <x v="36"/>
    <s v="Amanda Graham"/>
    <x v="6"/>
    <x v="5"/>
    <n v="60"/>
    <s v="Pick N Mix Payments"/>
    <x v="2"/>
  </r>
  <r>
    <x v="36"/>
    <s v="Dennis Jeffrey RPS"/>
    <x v="4"/>
    <x v="2"/>
    <n v="395"/>
    <s v="RPS Course"/>
    <x v="1"/>
  </r>
  <r>
    <x v="37"/>
    <s v="Nov Pick N Mix"/>
    <x v="6"/>
    <x v="6"/>
    <n v="681.13"/>
    <s v="Pick N Mix Payments"/>
    <x v="1"/>
  </r>
  <r>
    <x v="37"/>
    <s v="Nov Mentoring"/>
    <x v="7"/>
    <x v="6"/>
    <n v="40"/>
    <s v="Mentoring Subs"/>
    <x v="1"/>
  </r>
  <r>
    <x v="0"/>
    <m/>
    <x v="0"/>
    <x v="0"/>
    <m/>
    <m/>
    <x v="0"/>
  </r>
  <r>
    <x v="38"/>
    <s v="Richard Cheney"/>
    <x v="4"/>
    <x v="2"/>
    <n v="30"/>
    <s v="Intro Class"/>
    <x v="1"/>
  </r>
  <r>
    <x v="39"/>
    <s v="Kerry Bottomley"/>
    <x v="2"/>
    <x v="2"/>
    <n v="49"/>
    <s v="Batsford Autumn"/>
    <x v="1"/>
  </r>
  <r>
    <x v="40"/>
    <s v="Ann Anson"/>
    <x v="2"/>
    <x v="4"/>
    <n v="150"/>
    <s v="Batsford Autumn"/>
    <x v="6"/>
  </r>
  <r>
    <x v="41"/>
    <s v="Lois Portelli"/>
    <x v="4"/>
    <x v="3"/>
    <n v="30"/>
    <s v="Intro Class Ken"/>
    <x v="2"/>
  </r>
  <r>
    <x v="41"/>
    <s v="Cheryl Millyard"/>
    <x v="2"/>
    <x v="2"/>
    <n v="75"/>
    <s v="Fireworks"/>
    <x v="4"/>
  </r>
  <r>
    <x v="41"/>
    <s v="Dave McGuire"/>
    <x v="4"/>
    <x v="3"/>
    <n v="50"/>
    <s v="4wk Beginners Course"/>
    <x v="5"/>
  </r>
  <r>
    <x v="42"/>
    <s v="Dennis Jeffrey"/>
    <x v="2"/>
    <x v="2"/>
    <n v="75"/>
    <s v="Batsford Autumn"/>
    <x v="2"/>
  </r>
  <r>
    <x v="42"/>
    <s v="Indi Pnaiser"/>
    <x v="5"/>
    <x v="3"/>
    <n v="120"/>
    <s v="1-2-1"/>
    <x v="2"/>
  </r>
  <r>
    <x v="42"/>
    <s v="Catherine Gomm"/>
    <x v="2"/>
    <x v="2"/>
    <n v="75"/>
    <s v="Batsford Autumn"/>
    <x v="2"/>
  </r>
  <r>
    <x v="43"/>
    <s v="Diana Richards"/>
    <x v="2"/>
    <x v="3"/>
    <n v="125"/>
    <s v="Batsford Autumn"/>
    <x v="1"/>
  </r>
  <r>
    <x v="43"/>
    <s v="Shree Kennedy"/>
    <x v="5"/>
    <x v="3"/>
    <n v="120"/>
    <s v="1-2-1"/>
    <x v="1"/>
  </r>
  <r>
    <x v="44"/>
    <s v="Carol Davies"/>
    <x v="2"/>
    <x v="2"/>
    <n v="75"/>
    <s v="Batsford Autumn"/>
    <x v="2"/>
  </r>
  <r>
    <x v="44"/>
    <s v="Alistair Willis"/>
    <x v="2"/>
    <x v="3"/>
    <n v="75"/>
    <s v="Batsford Autumn"/>
    <x v="1"/>
  </r>
  <r>
    <x v="44"/>
    <s v="Paul Kirby"/>
    <x v="2"/>
    <x v="3"/>
    <n v="75"/>
    <s v="Batsford Autumn"/>
    <x v="1"/>
  </r>
  <r>
    <x v="45"/>
    <s v="Lynn Bowring"/>
    <x v="2"/>
    <x v="2"/>
    <n v="75"/>
    <s v="Batsford Autumn"/>
    <x v="6"/>
  </r>
  <r>
    <x v="45"/>
    <s v="Penny Simpson"/>
    <x v="4"/>
    <x v="2"/>
    <n v="50"/>
    <s v="Bracketing Masterclass"/>
    <x v="4"/>
  </r>
  <r>
    <x v="45"/>
    <s v="Joy Dennison"/>
    <x v="2"/>
    <x v="2"/>
    <n v="125"/>
    <s v="Batsford Autumn"/>
    <x v="1"/>
  </r>
  <r>
    <x v="46"/>
    <s v="Jeff Love"/>
    <x v="2"/>
    <x v="3"/>
    <n v="375"/>
    <s v="Batsford Autumn"/>
    <x v="2"/>
  </r>
  <r>
    <x v="46"/>
    <s v="Karol Whittington"/>
    <x v="2"/>
    <x v="3"/>
    <n v="75"/>
    <s v="Batsford Autumn"/>
    <x v="2"/>
  </r>
  <r>
    <x v="46"/>
    <s v="Colleen Abell"/>
    <x v="4"/>
    <x v="3"/>
    <n v="30"/>
    <s v="Intro Class Soli"/>
    <x v="2"/>
  </r>
  <r>
    <x v="46"/>
    <s v="John Grant"/>
    <x v="4"/>
    <x v="2"/>
    <n v="250"/>
    <s v="LR Lvl 1 Soli"/>
    <x v="4"/>
  </r>
  <r>
    <x v="46"/>
    <s v="John Grant"/>
    <x v="4"/>
    <x v="2"/>
    <n v="50"/>
    <s v="Bracketing Masterclass"/>
    <x v="4"/>
  </r>
  <r>
    <x v="47"/>
    <s v="Barrington Mayne"/>
    <x v="3"/>
    <x v="3"/>
    <n v="9.4"/>
    <s v="Pocket Guides"/>
    <x v="2"/>
  </r>
  <r>
    <x v="48"/>
    <s v="Michael Payne"/>
    <x v="2"/>
    <x v="2"/>
    <n v="150"/>
    <s v="Batsford Autumn"/>
    <x v="6"/>
  </r>
  <r>
    <x v="49"/>
    <s v="Stephen Fitchett"/>
    <x v="2"/>
    <x v="2"/>
    <n v="99"/>
    <s v="Batsford Autumn"/>
    <x v="2"/>
  </r>
  <r>
    <x v="50"/>
    <s v="Katie Siddle"/>
    <x v="2"/>
    <x v="2"/>
    <n v="75"/>
    <s v="Gift Voucher"/>
    <x v="2"/>
  </r>
  <r>
    <x v="50"/>
    <s v="Mandy Clift"/>
    <x v="2"/>
    <x v="2"/>
    <n v="150"/>
    <s v="Batsford Autumn"/>
    <x v="4"/>
  </r>
  <r>
    <x v="51"/>
    <s v="Andy Fitt"/>
    <x v="2"/>
    <x v="2"/>
    <n v="99"/>
    <s v="Batsford Autumn"/>
    <x v="4"/>
  </r>
  <r>
    <x v="51"/>
    <s v="Barry Roberts"/>
    <x v="2"/>
    <x v="2"/>
    <n v="69"/>
    <s v="Batsford Autumn"/>
    <x v="6"/>
  </r>
  <r>
    <x v="52"/>
    <s v="Rebecca Beresford"/>
    <x v="2"/>
    <x v="2"/>
    <n v="99"/>
    <s v="Batsford Autumn"/>
    <x v="2"/>
  </r>
  <r>
    <x v="52"/>
    <s v="Joyce James"/>
    <x v="2"/>
    <x v="5"/>
    <n v="230"/>
    <s v="Northumbria"/>
    <x v="1"/>
  </r>
  <r>
    <x v="52"/>
    <s v="Lynn Welsher"/>
    <x v="2"/>
    <x v="3"/>
    <n v="15"/>
    <s v="Batsford Class/Walk"/>
    <x v="6"/>
  </r>
  <r>
    <x v="53"/>
    <s v="Rebecca Keene"/>
    <x v="2"/>
    <x v="2"/>
    <n v="150"/>
    <s v="Batsford Autumn"/>
    <x v="4"/>
  </r>
  <r>
    <x v="53"/>
    <s v="Paula Major"/>
    <x v="2"/>
    <x v="2"/>
    <n v="75"/>
    <s v="Kenilworth Fireworks"/>
    <x v="2"/>
  </r>
  <r>
    <x v="53"/>
    <s v="Oct Pick N Mix"/>
    <x v="6"/>
    <x v="6"/>
    <n v="493.63"/>
    <s v="Pick N Mix Payments"/>
    <x v="1"/>
  </r>
  <r>
    <x v="53"/>
    <s v="Oct Mentoring"/>
    <x v="7"/>
    <x v="6"/>
    <n v="40"/>
    <s v="Mentoring Subs"/>
    <x v="1"/>
  </r>
  <r>
    <x v="0"/>
    <m/>
    <x v="0"/>
    <x v="0"/>
    <m/>
    <m/>
    <x v="0"/>
  </r>
  <r>
    <x v="54"/>
    <s v="Janice Jordan"/>
    <x v="6"/>
    <x v="5"/>
    <n v="187.5"/>
    <s v="Pick N Mix Payments"/>
    <x v="1"/>
  </r>
  <r>
    <x v="54"/>
    <s v="Sally Wood"/>
    <x v="2"/>
    <x v="2"/>
    <n v="69"/>
    <s v="Batsford Autumn"/>
    <x v="6"/>
  </r>
  <r>
    <x v="54"/>
    <s v="Diana Richards"/>
    <x v="2"/>
    <x v="3"/>
    <n v="543.75"/>
    <s v="Workshops"/>
    <x v="1"/>
  </r>
  <r>
    <x v="55"/>
    <s v="Tom Wrigley"/>
    <x v="2"/>
    <x v="2"/>
    <n v="99"/>
    <s v="Batsford Autumn"/>
    <x v="6"/>
  </r>
  <r>
    <x v="56"/>
    <s v="Philip Webster - ELS"/>
    <x v="2"/>
    <x v="5"/>
    <n v="200"/>
    <s v="Workshops"/>
    <x v="5"/>
  </r>
  <r>
    <x v="57"/>
    <s v="Andy Mosley"/>
    <x v="2"/>
    <x v="3"/>
    <n v="24"/>
    <s v="Batsford Autumn"/>
    <x v="1"/>
  </r>
  <r>
    <x v="57"/>
    <s v="Jane Chapman"/>
    <x v="2"/>
    <x v="2"/>
    <n v="725"/>
    <s v="Lake District Nov"/>
    <x v="1"/>
  </r>
  <r>
    <x v="58"/>
    <s v="Ester Riodran"/>
    <x v="2"/>
    <x v="3"/>
    <n v="625"/>
    <s v="Lake District Nov"/>
    <x v="2"/>
  </r>
  <r>
    <x v="58"/>
    <s v="Anne Watkinson"/>
    <x v="5"/>
    <x v="3"/>
    <n v="360"/>
    <s v="1-2-1"/>
    <x v="1"/>
  </r>
  <r>
    <x v="59"/>
    <s v="diana richards"/>
    <x v="2"/>
    <x v="3"/>
    <n v="112.5"/>
    <s v="Batsford Autumn"/>
    <x v="2"/>
  </r>
  <r>
    <x v="59"/>
    <s v="Paul Appleby"/>
    <x v="2"/>
    <x v="3"/>
    <n v="112.5"/>
    <s v="Batsford Autumn"/>
    <x v="4"/>
  </r>
  <r>
    <x v="59"/>
    <s v="Robert Aulton"/>
    <x v="4"/>
    <x v="2"/>
    <n v="22.5"/>
    <s v="Intro Class"/>
    <x v="2"/>
  </r>
  <r>
    <x v="59"/>
    <s v="Roger Bull"/>
    <x v="2"/>
    <x v="2"/>
    <n v="74.25"/>
    <s v="Batsford Autumn"/>
    <x v="6"/>
  </r>
  <r>
    <x v="59"/>
    <s v="Ed Robson"/>
    <x v="2"/>
    <x v="2"/>
    <n v="99"/>
    <s v="Batsford Autumn"/>
    <x v="4"/>
  </r>
  <r>
    <x v="59"/>
    <s v="Kevin Thomason"/>
    <x v="2"/>
    <x v="3"/>
    <n v="56.25"/>
    <s v="Fireworks"/>
    <x v="1"/>
  </r>
  <r>
    <x v="60"/>
    <s v="Madeleine Clark"/>
    <x v="4"/>
    <x v="2"/>
    <n v="371.25"/>
    <s v="Intentions Course"/>
    <x v="1"/>
  </r>
  <r>
    <x v="60"/>
    <s v="Rebecca Mower"/>
    <x v="2"/>
    <x v="2"/>
    <n v="56.25"/>
    <s v="Fireworks"/>
    <x v="1"/>
  </r>
  <r>
    <x v="60"/>
    <s v="Mengran Wang"/>
    <x v="2"/>
    <x v="3"/>
    <n v="114"/>
    <s v="Xmas Photo Walks x 2"/>
    <x v="2"/>
  </r>
  <r>
    <x v="61"/>
    <s v="Olivia Sewell"/>
    <x v="4"/>
    <x v="3"/>
    <n v="187.5"/>
    <s v="4wk Course"/>
    <x v="2"/>
  </r>
  <r>
    <x v="62"/>
    <s v="phillip Ayres"/>
    <x v="2"/>
    <x v="3"/>
    <n v="150"/>
    <s v="Batsford Autumn"/>
    <x v="4"/>
  </r>
  <r>
    <x v="62"/>
    <s v="Alistair Willis"/>
    <x v="4"/>
    <x v="3"/>
    <n v="37.5"/>
    <s v="Masterclass"/>
    <x v="1"/>
  </r>
  <r>
    <x v="63"/>
    <s v="Francis Peckham"/>
    <x v="5"/>
    <x v="2"/>
    <n v="120"/>
    <s v="1-2-1"/>
    <x v="1"/>
  </r>
  <r>
    <x v="63"/>
    <s v="Clare Peaston"/>
    <x v="2"/>
    <x v="2"/>
    <n v="97.5"/>
    <s v="Batsford Class"/>
    <x v="6"/>
  </r>
  <r>
    <x v="64"/>
    <s v="Helen Curtis"/>
    <x v="4"/>
    <x v="5"/>
    <n v="220"/>
    <s v="4wk Course"/>
    <x v="1"/>
  </r>
  <r>
    <x v="64"/>
    <s v="Raylene O'Leary "/>
    <x v="7"/>
    <x v="3"/>
    <n v="20"/>
    <s v="Monthly Mentoring"/>
    <x v="2"/>
  </r>
  <r>
    <x v="64"/>
    <s v="Janie Chapman"/>
    <x v="3"/>
    <x v="2"/>
    <n v="22.5"/>
    <s v="Forum"/>
    <x v="1"/>
  </r>
  <r>
    <x v="65"/>
    <s v="Jonathan Brusby"/>
    <x v="2"/>
    <x v="2"/>
    <n v="48.75"/>
    <s v="Batsford Class"/>
    <x v="1"/>
  </r>
  <r>
    <x v="65"/>
    <s v="Frederick Stubbs"/>
    <x v="2"/>
    <x v="3"/>
    <n v="56.25"/>
    <s v="Kenilworth Castle"/>
    <x v="1"/>
  </r>
  <r>
    <x v="66"/>
    <s v="James Hall"/>
    <x v="4"/>
    <x v="5"/>
    <n v="13"/>
    <s v="Intro Class"/>
    <x v="3"/>
  </r>
  <r>
    <x v="67"/>
    <s v="David Hartley"/>
    <x v="4"/>
    <x v="2"/>
    <n v="60"/>
    <s v="Intro Class"/>
    <x v="2"/>
  </r>
  <r>
    <x v="68"/>
    <s v="Roger Neal"/>
    <x v="2"/>
    <x v="2"/>
    <n v="150"/>
    <s v="Batsford"/>
    <x v="1"/>
  </r>
  <r>
    <x v="69"/>
    <s v="Nijagunashivayogi Mathad"/>
    <x v="2"/>
    <x v="2"/>
    <n v="198"/>
    <s v="Batsford"/>
    <x v="6"/>
  </r>
  <r>
    <x v="69"/>
    <s v="GRAHAM ODDEY"/>
    <x v="2"/>
    <x v="2"/>
    <n v="150"/>
    <s v="Batsford"/>
    <x v="6"/>
  </r>
  <r>
    <x v="70"/>
    <s v="Robert Hull"/>
    <x v="4"/>
    <x v="3"/>
    <n v="250"/>
    <s v="4wk Course"/>
    <x v="2"/>
  </r>
  <r>
    <x v="71"/>
    <s v="Helen Curtis"/>
    <x v="4"/>
    <x v="5"/>
    <n v="30"/>
    <s v="4wk Course"/>
    <x v="1"/>
  </r>
  <r>
    <x v="72"/>
    <s v="Olivia Sewell"/>
    <x v="4"/>
    <x v="3"/>
    <n v="30"/>
    <s v="Intro Class"/>
    <x v="2"/>
  </r>
  <r>
    <x v="73"/>
    <s v="Helen Curtis"/>
    <x v="4"/>
    <x v="3"/>
    <n v="30"/>
    <s v="Intro Class"/>
    <x v="2"/>
  </r>
  <r>
    <x v="74"/>
    <s v="Sep Pick N Mix"/>
    <x v="6"/>
    <x v="6"/>
    <n v="681.13"/>
    <s v="Pick N Mix Payments"/>
    <x v="1"/>
  </r>
  <r>
    <x v="74"/>
    <s v="Sep Mentoring"/>
    <x v="7"/>
    <x v="6"/>
    <n v="40"/>
    <s v="Mentoring Subs"/>
    <x v="1"/>
  </r>
  <r>
    <x v="0"/>
    <m/>
    <x v="0"/>
    <x v="0"/>
    <m/>
    <m/>
    <x v="0"/>
  </r>
  <r>
    <x v="75"/>
    <s v="Janice Jordan"/>
    <x v="2"/>
    <x v="2"/>
    <n v="200"/>
    <s v="Workshops"/>
    <x v="1"/>
  </r>
  <r>
    <x v="75"/>
    <s v="Nathan Jogia"/>
    <x v="6"/>
    <x v="5"/>
    <n v="250"/>
    <s v="Pick N Mix Payments"/>
    <x v="1"/>
  </r>
  <r>
    <x v="75"/>
    <s v="Anne Watkinson"/>
    <x v="5"/>
    <x v="2"/>
    <n v="192"/>
    <s v="1-2-1"/>
    <x v="1"/>
  </r>
  <r>
    <x v="75"/>
    <s v="Janice Jordan"/>
    <x v="2"/>
    <x v="7"/>
    <n v="50"/>
    <s v="Charlecote Park"/>
    <x v="1"/>
  </r>
  <r>
    <x v="75"/>
    <s v="Kirsten Pearce"/>
    <x v="6"/>
    <x v="5"/>
    <n v="187.5"/>
    <s v="Pick N Mix Payments"/>
    <x v="1"/>
  </r>
  <r>
    <x v="76"/>
    <s v="john mcnamara"/>
    <x v="3"/>
    <x v="2"/>
    <n v="22.86"/>
    <s v="Pocket Guides"/>
    <x v="1"/>
  </r>
  <r>
    <x v="76"/>
    <s v="jamie mckenna"/>
    <x v="4"/>
    <x v="5"/>
    <n v="13"/>
    <s v="Intro Class"/>
    <x v="3"/>
  </r>
  <r>
    <x v="76"/>
    <s v="Catherine Wood"/>
    <x v="4"/>
    <x v="5"/>
    <n v="120"/>
    <s v="4wk Beginners Soli"/>
    <x v="1"/>
  </r>
  <r>
    <x v="77"/>
    <s v="Ester Riodran"/>
    <x v="2"/>
    <x v="4"/>
    <n v="100"/>
    <s v="Lake District Nov"/>
    <x v="2"/>
  </r>
  <r>
    <x v="78"/>
    <s v="Richard Staley"/>
    <x v="4"/>
    <x v="2"/>
    <n v="30"/>
    <s v="Intro Class"/>
    <x v="2"/>
  </r>
  <r>
    <x v="78"/>
    <s v="L STEVENSON"/>
    <x v="4"/>
    <x v="2"/>
    <n v="30"/>
    <s v="Intro Class"/>
    <x v="2"/>
  </r>
  <r>
    <x v="78"/>
    <s v="LEVI WATTS"/>
    <x v="4"/>
    <x v="3"/>
    <n v="30"/>
    <s v="Intro Class"/>
    <x v="2"/>
  </r>
  <r>
    <x v="79"/>
    <s v="Chris Johnson"/>
    <x v="5"/>
    <x v="2"/>
    <n v="65"/>
    <s v="1-2-1"/>
    <x v="1"/>
  </r>
  <r>
    <x v="79"/>
    <s v="Fiona Barber"/>
    <x v="4"/>
    <x v="2"/>
    <n v="30"/>
    <s v="Intro Class"/>
    <x v="2"/>
  </r>
  <r>
    <x v="79"/>
    <s v="viv thompson"/>
    <x v="2"/>
    <x v="3"/>
    <n v="120"/>
    <s v="Batsford Workshop"/>
    <x v="6"/>
  </r>
  <r>
    <x v="80"/>
    <s v="Nathan Jogia"/>
    <x v="2"/>
    <x v="2"/>
    <n v="175"/>
    <s v="Peak District"/>
    <x v="2"/>
  </r>
  <r>
    <x v="80"/>
    <s v="Catherine Wood"/>
    <x v="4"/>
    <x v="3"/>
    <n v="100"/>
    <s v="4wk Beginners Course"/>
    <x v="1"/>
  </r>
  <r>
    <x v="81"/>
    <s v="Ann McNulty"/>
    <x v="4"/>
    <x v="2"/>
    <n v="250"/>
    <s v="4wk Beginners Course"/>
    <x v="1"/>
  </r>
  <r>
    <x v="82"/>
    <s v="Jean Dance"/>
    <x v="7"/>
    <x v="3"/>
    <n v="200"/>
    <s v="Mentoring"/>
    <x v="1"/>
  </r>
  <r>
    <x v="82"/>
    <s v="William Shearer"/>
    <x v="2"/>
    <x v="2"/>
    <n v="150"/>
    <s v="Batsford Autumn"/>
    <x v="1"/>
  </r>
  <r>
    <x v="82"/>
    <s v="Jason Newell"/>
    <x v="3"/>
    <x v="3"/>
    <n v="27.6"/>
    <s v="Pocket Guides"/>
    <x v="2"/>
  </r>
  <r>
    <x v="83"/>
    <s v="Robert Smith"/>
    <x v="4"/>
    <x v="5"/>
    <n v="71"/>
    <s v="Lvl 2 Course"/>
    <x v="1"/>
  </r>
  <r>
    <x v="83"/>
    <s v="James Cameron"/>
    <x v="2"/>
    <x v="5"/>
    <n v="625"/>
    <s v="Glen Coe"/>
    <x v="1"/>
  </r>
  <r>
    <x v="83"/>
    <s v="Anne Watkinson"/>
    <x v="5"/>
    <x v="2"/>
    <n v="65"/>
    <s v="1-2-1"/>
    <x v="1"/>
  </r>
  <r>
    <x v="84"/>
    <s v="Elizabeth Hoye"/>
    <x v="4"/>
    <x v="5"/>
    <n v="13"/>
    <s v="Intro Class"/>
    <x v="3"/>
  </r>
  <r>
    <x v="84"/>
    <s v="Julia Arnold"/>
    <x v="3"/>
    <x v="2"/>
    <n v="50"/>
    <s v="Digital Gift Card"/>
    <x v="2"/>
  </r>
  <r>
    <x v="85"/>
    <s v="Jonathan Brusby"/>
    <x v="2"/>
    <x v="3"/>
    <n v="65"/>
    <s v="Batsford Abstract"/>
    <x v="2"/>
  </r>
  <r>
    <x v="85"/>
    <s v="Garry Such"/>
    <x v="6"/>
    <x v="5"/>
    <n v="262"/>
    <s v="Pick N Mix Payments"/>
    <x v="1"/>
  </r>
  <r>
    <x v="85"/>
    <s v="Judy Niner"/>
    <x v="2"/>
    <x v="5"/>
    <n v="395"/>
    <s v="Northumbria"/>
    <x v="2"/>
  </r>
  <r>
    <x v="85"/>
    <s v="Simon Betteridge"/>
    <x v="2"/>
    <x v="5"/>
    <n v="625"/>
    <s v="Glen Coe"/>
    <x v="1"/>
  </r>
  <r>
    <x v="86"/>
    <s v="Preetha Luther"/>
    <x v="4"/>
    <x v="2"/>
    <n v="75"/>
    <s v="4wk Beginners Course"/>
    <x v="1"/>
  </r>
  <r>
    <x v="86"/>
    <s v="jacqueline Harley"/>
    <x v="4"/>
    <x v="2"/>
    <n v="30"/>
    <s v="Intro Class"/>
    <x v="4"/>
  </r>
  <r>
    <x v="87"/>
    <s v="Aug Pick N Mix"/>
    <x v="6"/>
    <x v="6"/>
    <n v="93.63"/>
    <s v="Pick N Mix Payments"/>
    <x v="1"/>
  </r>
  <r>
    <x v="87"/>
    <s v="Aug Mentoring"/>
    <x v="7"/>
    <x v="6"/>
    <n v="80"/>
    <s v="Mentoring Subs"/>
    <x v="1"/>
  </r>
  <r>
    <x v="0"/>
    <m/>
    <x v="0"/>
    <x v="0"/>
    <m/>
    <m/>
    <x v="0"/>
  </r>
  <r>
    <x v="88"/>
    <s v="amy goymer brown"/>
    <x v="2"/>
    <x v="2"/>
    <n v="42.5"/>
    <s v="Batsford Sharpshooters"/>
    <x v="2"/>
  </r>
  <r>
    <x v="89"/>
    <s v="Sally Bluck"/>
    <x v="4"/>
    <x v="2"/>
    <n v="30"/>
    <s v="Intro Class"/>
    <x v="2"/>
  </r>
  <r>
    <x v="90"/>
    <s v="Susan Giblett"/>
    <x v="2"/>
    <x v="3"/>
    <n v="25"/>
    <s v="Chesterton Windmill"/>
    <x v="2"/>
  </r>
  <r>
    <x v="91"/>
    <s v="Richard Cheney"/>
    <x v="2"/>
    <x v="2"/>
    <n v="65"/>
    <s v="Batsford Exposure"/>
    <x v="6"/>
  </r>
  <r>
    <x v="91"/>
    <s v="Fiona Brown"/>
    <x v="6"/>
    <x v="5"/>
    <n v="150"/>
    <s v="New Pick N Mix Plan"/>
    <x v="1"/>
  </r>
  <r>
    <x v="91"/>
    <s v="Coventry Collge"/>
    <x v="4"/>
    <x v="5"/>
    <n v="1050"/>
    <s v="2 Lightroom Classes"/>
    <x v="2"/>
  </r>
  <r>
    <x v="92"/>
    <s v="alison norris"/>
    <x v="2"/>
    <x v="2"/>
    <n v="55"/>
    <s v="Batsford Sharpshooters"/>
    <x v="6"/>
  </r>
  <r>
    <x v="93"/>
    <s v="Amanda Murray"/>
    <x v="2"/>
    <x v="2"/>
    <n v="130"/>
    <s v="Batsford Comp Class"/>
    <x v="2"/>
  </r>
  <r>
    <x v="93"/>
    <s v="gillian parker"/>
    <x v="2"/>
    <x v="2"/>
    <n v="57.5"/>
    <s v="Batsford Sharpshooters"/>
    <x v="2"/>
  </r>
  <r>
    <x v="94"/>
    <s v="Alison Hocking"/>
    <x v="2"/>
    <x v="2"/>
    <n v="35"/>
    <s v="Batsford Sharpshooters"/>
    <x v="6"/>
  </r>
  <r>
    <x v="95"/>
    <s v="Dave Coombs"/>
    <x v="2"/>
    <x v="3"/>
    <n v="35"/>
    <s v="Batsford Sharpshooters"/>
    <x v="2"/>
  </r>
  <r>
    <x v="96"/>
    <s v="Alexandru Melinte"/>
    <x v="4"/>
    <x v="5"/>
    <n v="13"/>
    <s v="Intro Class"/>
    <x v="3"/>
  </r>
  <r>
    <x v="96"/>
    <s v="Nadine Pratt"/>
    <x v="2"/>
    <x v="1"/>
    <n v="192.5"/>
    <s v="B&amp;W Course"/>
    <x v="1"/>
  </r>
  <r>
    <x v="96"/>
    <s v="Nadine Pratt"/>
    <x v="4"/>
    <x v="1"/>
    <n v="165"/>
    <s v="B&amp;W Course"/>
    <x v="1"/>
  </r>
  <r>
    <x v="96"/>
    <s v="Nadine Pratt"/>
    <x v="1"/>
    <x v="1"/>
    <n v="-357.5"/>
    <s v="Drawdown on PnM"/>
    <x v="1"/>
  </r>
  <r>
    <x v="96"/>
    <s v="Joyce James"/>
    <x v="6"/>
    <x v="5"/>
    <n v="400"/>
    <s v="Pick N Mix Payments"/>
    <x v="1"/>
  </r>
  <r>
    <x v="97"/>
    <s v="John Hayes"/>
    <x v="7"/>
    <x v="3"/>
    <n v="20"/>
    <s v="Mentoring Subs"/>
    <x v="1"/>
  </r>
  <r>
    <x v="97"/>
    <s v="Ina Wilkening"/>
    <x v="4"/>
    <x v="2"/>
    <n v="30"/>
    <s v="Intro Class"/>
    <x v="2"/>
  </r>
  <r>
    <x v="97"/>
    <s v="Elixabeth Boniface"/>
    <x v="3"/>
    <x v="3"/>
    <n v="9.4"/>
    <s v="Pocket Guides"/>
    <x v="2"/>
  </r>
  <r>
    <x v="98"/>
    <s v="Daniel Robb"/>
    <x v="5"/>
    <x v="5"/>
    <n v="106"/>
    <s v="1-2-1"/>
    <x v="1"/>
  </r>
  <r>
    <x v="99"/>
    <s v="Paul Kirby"/>
    <x v="5"/>
    <x v="2"/>
    <n v="156"/>
    <s v="1-2-1"/>
    <x v="1"/>
  </r>
  <r>
    <x v="100"/>
    <s v="Helen King"/>
    <x v="2"/>
    <x v="3"/>
    <n v="65"/>
    <s v="Batsford Macro"/>
    <x v="2"/>
  </r>
  <r>
    <x v="100"/>
    <s v="Sohail Rawat"/>
    <x v="4"/>
    <x v="5"/>
    <n v="13"/>
    <s v="Intro Class"/>
    <x v="3"/>
  </r>
  <r>
    <x v="100"/>
    <s v="Zoe Sharman"/>
    <x v="4"/>
    <x v="5"/>
    <n v="13"/>
    <s v="Intro Class"/>
    <x v="3"/>
  </r>
  <r>
    <x v="101"/>
    <s v="Helen Madden"/>
    <x v="4"/>
    <x v="5"/>
    <n v="13"/>
    <s v="Intro Class"/>
    <x v="3"/>
  </r>
  <r>
    <x v="101"/>
    <s v="Anne Watkinson"/>
    <x v="5"/>
    <x v="2"/>
    <n v="192"/>
    <s v="1-2-1"/>
    <x v="1"/>
  </r>
  <r>
    <x v="102"/>
    <s v="Jun Pick N Mix"/>
    <x v="6"/>
    <x v="6"/>
    <n v="93.63"/>
    <s v="Pick N Mix Payments"/>
    <x v="1"/>
  </r>
  <r>
    <x v="102"/>
    <s v="Jun Mentoring"/>
    <x v="7"/>
    <x v="6"/>
    <n v="60"/>
    <s v="Mentoring Subs"/>
    <x v="1"/>
  </r>
  <r>
    <x v="0"/>
    <m/>
    <x v="0"/>
    <x v="0"/>
    <m/>
    <m/>
    <x v="0"/>
  </r>
  <r>
    <x v="103"/>
    <s v="Judy Niner"/>
    <x v="2"/>
    <x v="3"/>
    <n v="100"/>
    <s v="Northumberland"/>
    <x v="2"/>
  </r>
  <r>
    <x v="104"/>
    <s v="Bethany Mountford"/>
    <x v="4"/>
    <x v="5"/>
    <n v="13"/>
    <s v="Intro Class"/>
    <x v="3"/>
  </r>
  <r>
    <x v="104"/>
    <s v="Jeremy Troth"/>
    <x v="2"/>
    <x v="2"/>
    <n v="25"/>
    <s v="Fireworks"/>
    <x v="1"/>
  </r>
  <r>
    <x v="105"/>
    <s v="Anne Watkinson"/>
    <x v="5"/>
    <x v="2"/>
    <n v="120"/>
    <s v="1-2-1"/>
    <x v="1"/>
  </r>
  <r>
    <x v="105"/>
    <s v="Anne Watkinson"/>
    <x v="2"/>
    <x v="2"/>
    <n v="130"/>
    <s v="2 x Batsford"/>
    <x v="1"/>
  </r>
  <r>
    <x v="105"/>
    <s v="Con McHugh"/>
    <x v="3"/>
    <x v="3"/>
    <n v="24.61"/>
    <s v="Print - Zenfolio"/>
    <x v="1"/>
  </r>
  <r>
    <x v="106"/>
    <s v="Joanne Moorhouse"/>
    <x v="2"/>
    <x v="2"/>
    <n v="65"/>
    <s v="Batsford"/>
    <x v="4"/>
  </r>
  <r>
    <x v="106"/>
    <s v="CHRISTOPHER TROTH"/>
    <x v="3"/>
    <x v="2"/>
    <n v="50"/>
    <s v="Gift Voucher"/>
    <x v="1"/>
  </r>
  <r>
    <x v="106"/>
    <s v="Mohammed Khan"/>
    <x v="4"/>
    <x v="5"/>
    <n v="13"/>
    <s v="Intro Class"/>
    <x v="3"/>
  </r>
  <r>
    <x v="106"/>
    <s v="Gillian Perry"/>
    <x v="2"/>
    <x v="2"/>
    <n v="75"/>
    <s v="Poppies"/>
    <x v="2"/>
  </r>
  <r>
    <x v="107"/>
    <s v="M Sotheran"/>
    <x v="2"/>
    <x v="2"/>
    <n v="105"/>
    <s v="Chesterton Windmill"/>
    <x v="1"/>
  </r>
  <r>
    <x v="107"/>
    <s v="Steve Paling - ELS"/>
    <x v="4"/>
    <x v="5"/>
    <n v="200"/>
    <s v="4wk Extended Course"/>
    <x v="5"/>
  </r>
  <r>
    <x v="108"/>
    <s v="Odette Green"/>
    <x v="4"/>
    <x v="2"/>
    <n v="245"/>
    <s v="4wk Extended Course"/>
    <x v="2"/>
  </r>
  <r>
    <x v="109"/>
    <s v="Anne Watkinson"/>
    <x v="5"/>
    <x v="2"/>
    <n v="120"/>
    <s v="1-2-1"/>
    <x v="1"/>
  </r>
  <r>
    <x v="109"/>
    <s v="Allen Miller"/>
    <x v="2"/>
    <x v="2"/>
    <n v="65"/>
    <s v="Batsford"/>
    <x v="6"/>
  </r>
  <r>
    <x v="109"/>
    <s v="Francis Peckham"/>
    <x v="4"/>
    <x v="2"/>
    <n v="395"/>
    <s v="RPS Course"/>
    <x v="1"/>
  </r>
  <r>
    <x v="110"/>
    <s v="Nina Rowland"/>
    <x v="4"/>
    <x v="5"/>
    <n v="13"/>
    <s v="Intro Class"/>
    <x v="3"/>
  </r>
  <r>
    <x v="110"/>
    <s v="Claire Powell"/>
    <x v="4"/>
    <x v="5"/>
    <n v="13"/>
    <s v="Intro Class"/>
    <x v="3"/>
  </r>
  <r>
    <x v="111"/>
    <s v="CLAIRE STEVENSON"/>
    <x v="4"/>
    <x v="2"/>
    <n v="15"/>
    <s v="Rebooking Fee Into"/>
    <x v="1"/>
  </r>
  <r>
    <x v="112"/>
    <s v="Kirsten Pearce"/>
    <x v="3"/>
    <x v="5"/>
    <n v="403.75"/>
    <s v="Anglesey"/>
    <x v="1"/>
  </r>
  <r>
    <x v="112"/>
    <s v="Emma Macnair"/>
    <x v="3"/>
    <x v="3"/>
    <n v="24.61"/>
    <s v="Print - Zenfolio"/>
    <x v="2"/>
  </r>
  <r>
    <x v="113"/>
    <s v="Janice Brown"/>
    <x v="4"/>
    <x v="2"/>
    <n v="245"/>
    <s v="4wk Extended Course"/>
    <x v="2"/>
  </r>
  <r>
    <x v="113"/>
    <s v="Andrew White"/>
    <x v="4"/>
    <x v="2"/>
    <n v="30"/>
    <s v="Intro Class"/>
    <x v="2"/>
  </r>
  <r>
    <x v="114"/>
    <s v="Ian Blake"/>
    <x v="2"/>
    <x v="5"/>
    <n v="175"/>
    <s v="Anglesey"/>
    <x v="1"/>
  </r>
  <r>
    <x v="114"/>
    <s v="Sharron Hill"/>
    <x v="2"/>
    <x v="2"/>
    <n v="75"/>
    <s v="Poppies"/>
    <x v="4"/>
  </r>
  <r>
    <x v="115"/>
    <s v="Janice Anne Bannister"/>
    <x v="2"/>
    <x v="3"/>
    <n v="75"/>
    <s v="Poppies"/>
    <x v="4"/>
  </r>
  <r>
    <x v="116"/>
    <s v="Jun Pick N Mix"/>
    <x v="6"/>
    <x v="6"/>
    <n v="348.63"/>
    <s v="Pick N Mix Payments"/>
    <x v="1"/>
  </r>
  <r>
    <x v="116"/>
    <s v="Jun Mentoring"/>
    <x v="7"/>
    <x v="6"/>
    <n v="80"/>
    <s v="Mentoring Subs"/>
    <x v="1"/>
  </r>
  <r>
    <x v="0"/>
    <m/>
    <x v="0"/>
    <x v="0"/>
    <m/>
    <m/>
    <x v="0"/>
  </r>
  <r>
    <x v="117"/>
    <s v="Simon Wright"/>
    <x v="2"/>
    <x v="2"/>
    <n v="175"/>
    <s v="Wales"/>
    <x v="4"/>
  </r>
  <r>
    <x v="118"/>
    <s v="Claire Stevenson"/>
    <x v="4"/>
    <x v="5"/>
    <n v="13"/>
    <s v="Intro Class"/>
    <x v="3"/>
  </r>
  <r>
    <x v="118"/>
    <s v="Alison Littleford"/>
    <x v="2"/>
    <x v="2"/>
    <n v="75"/>
    <s v="Poppies"/>
    <x v="4"/>
  </r>
  <r>
    <x v="118"/>
    <s v="Steve Paling - ELS"/>
    <x v="4"/>
    <x v="5"/>
    <n v="45"/>
    <s v="4wk Beginners Course"/>
    <x v="5"/>
  </r>
  <r>
    <x v="119"/>
    <s v="Anne Watkinson"/>
    <x v="5"/>
    <x v="5"/>
    <n v="120"/>
    <s v="LR '1-2-1"/>
    <x v="1"/>
  </r>
  <r>
    <x v="119"/>
    <s v="Isabelle Singleton"/>
    <x v="2"/>
    <x v="5"/>
    <n v="125"/>
    <s v="Lavender"/>
    <x v="4"/>
  </r>
  <r>
    <x v="120"/>
    <s v="Sarah Parrin"/>
    <x v="2"/>
    <x v="2"/>
    <n v="75"/>
    <s v="Kenilworth Castle"/>
    <x v="2"/>
  </r>
  <r>
    <x v="121"/>
    <s v="Judith Matthews"/>
    <x v="2"/>
    <x v="3"/>
    <n v="75"/>
    <s v="Poppies"/>
    <x v="4"/>
  </r>
  <r>
    <x v="122"/>
    <s v="Alan Taylor"/>
    <x v="5"/>
    <x v="5"/>
    <n v="195"/>
    <s v="1-2-1"/>
    <x v="2"/>
  </r>
  <r>
    <x v="123"/>
    <s v="John Cummings"/>
    <x v="2"/>
    <x v="5"/>
    <n v="35"/>
    <s v="Poppies"/>
    <x v="1"/>
  </r>
  <r>
    <x v="124"/>
    <s v="Richard Maine"/>
    <x v="4"/>
    <x v="5"/>
    <n v="13"/>
    <s v="Intro Class"/>
    <x v="3"/>
  </r>
  <r>
    <x v="124"/>
    <s v="Barrie Maine"/>
    <x v="4"/>
    <x v="5"/>
    <n v="13"/>
    <s v="Intro Class"/>
    <x v="3"/>
  </r>
  <r>
    <x v="125"/>
    <s v="Ket Sang Tai"/>
    <x v="2"/>
    <x v="2"/>
    <n v="75"/>
    <s v="Poppies"/>
    <x v="4"/>
  </r>
  <r>
    <x v="125"/>
    <s v="Kevin Thomason"/>
    <x v="2"/>
    <x v="3"/>
    <n v="75"/>
    <s v="Poppies"/>
    <x v="2"/>
  </r>
  <r>
    <x v="125"/>
    <s v="Angus Mills"/>
    <x v="4"/>
    <x v="5"/>
    <n v="13"/>
    <s v="Intro Class"/>
    <x v="3"/>
  </r>
  <r>
    <x v="126"/>
    <s v="Andrew Mosley"/>
    <x v="2"/>
    <x v="3"/>
    <n v="75"/>
    <s v="Poppies"/>
    <x v="4"/>
  </r>
  <r>
    <x v="126"/>
    <s v="Francis Peckham"/>
    <x v="2"/>
    <x v="2"/>
    <n v="725"/>
    <s v="Snowdonia"/>
    <x v="2"/>
  </r>
  <r>
    <x v="127"/>
    <s v="Lizana Oberholzer"/>
    <x v="4"/>
    <x v="5"/>
    <n v="13"/>
    <s v="Intro Class"/>
    <x v="3"/>
  </r>
  <r>
    <x v="127"/>
    <s v="Maggie Yowa"/>
    <x v="4"/>
    <x v="5"/>
    <n v="13"/>
    <s v="Intro Class"/>
    <x v="3"/>
  </r>
  <r>
    <x v="128"/>
    <s v="janice Blues"/>
    <x v="4"/>
    <x v="3"/>
    <n v="30"/>
    <s v="Intro Class"/>
    <x v="2"/>
  </r>
  <r>
    <x v="129"/>
    <s v="chris brain"/>
    <x v="2"/>
    <x v="3"/>
    <n v="75"/>
    <s v="Poppies"/>
    <x v="4"/>
  </r>
  <r>
    <x v="130"/>
    <s v="tina Jackson"/>
    <x v="2"/>
    <x v="2"/>
    <n v="75"/>
    <s v="Poppies"/>
    <x v="1"/>
  </r>
  <r>
    <x v="130"/>
    <s v="Daryl Cowmeadow"/>
    <x v="2"/>
    <x v="3"/>
    <n v="75"/>
    <s v="Poppies"/>
    <x v="2"/>
  </r>
  <r>
    <x v="130"/>
    <s v="Garry Such"/>
    <x v="1"/>
    <x v="1"/>
    <n v="-725"/>
    <s v="Drawdown on PnM"/>
    <x v="1"/>
  </r>
  <r>
    <x v="130"/>
    <s v="Garry Such"/>
    <x v="2"/>
    <x v="1"/>
    <n v="725"/>
    <s v="Suffolk"/>
    <x v="1"/>
  </r>
  <r>
    <x v="131"/>
    <s v="Luke Durston"/>
    <x v="4"/>
    <x v="2"/>
    <n v="30"/>
    <s v="Intro Class"/>
    <x v="2"/>
  </r>
  <r>
    <x v="131"/>
    <s v="Diana Roberts"/>
    <x v="5"/>
    <x v="2"/>
    <n v="195"/>
    <s v="1-2-1"/>
    <x v="1"/>
  </r>
  <r>
    <x v="132"/>
    <s v="elizabeth Petras"/>
    <x v="4"/>
    <x v="2"/>
    <n v="30"/>
    <s v="Intro Class"/>
    <x v="2"/>
  </r>
  <r>
    <x v="133"/>
    <s v="katie kinsella"/>
    <x v="4"/>
    <x v="5"/>
    <n v="13"/>
    <s v="Intro Class"/>
    <x v="3"/>
  </r>
  <r>
    <x v="133"/>
    <s v="Sunita Roussel-Milner"/>
    <x v="4"/>
    <x v="3"/>
    <n v="15"/>
    <s v="Rebooking Fee"/>
    <x v="1"/>
  </r>
  <r>
    <x v="134"/>
    <s v="Ivyline"/>
    <x v="3"/>
    <x v="5"/>
    <n v="950"/>
    <s v="Commercial"/>
    <x v="2"/>
  </r>
  <r>
    <x v="135"/>
    <s v="Fiona Brown"/>
    <x v="7"/>
    <x v="3"/>
    <n v="20"/>
    <s v="Mentoring Subs"/>
    <x v="2"/>
  </r>
  <r>
    <x v="135"/>
    <s v="Sharon Norman"/>
    <x v="4"/>
    <x v="5"/>
    <n v="13"/>
    <s v="Intro Class"/>
    <x v="3"/>
  </r>
  <r>
    <x v="135"/>
    <s v="Garry Bree"/>
    <x v="2"/>
    <x v="3"/>
    <n v="150"/>
    <s v="Poppies"/>
    <x v="4"/>
  </r>
  <r>
    <x v="135"/>
    <s v="Diana Woodhouse"/>
    <x v="2"/>
    <x v="2"/>
    <n v="65"/>
    <s v="Batsford Class"/>
    <x v="6"/>
  </r>
  <r>
    <x v="136"/>
    <s v="Frances Pike - ELS"/>
    <x v="2"/>
    <x v="5"/>
    <n v="125"/>
    <s v="Bluebells"/>
    <x v="5"/>
  </r>
  <r>
    <x v="136"/>
    <s v="May Pick N Mix"/>
    <x v="6"/>
    <x v="6"/>
    <n v="93.63"/>
    <s v="Pick N Mix Payments"/>
    <x v="1"/>
  </r>
  <r>
    <x v="136"/>
    <s v="May Mentoring"/>
    <x v="7"/>
    <x v="6"/>
    <n v="100"/>
    <s v="Mentoring Subs"/>
    <x v="1"/>
  </r>
  <r>
    <x v="0"/>
    <m/>
    <x v="0"/>
    <x v="0"/>
    <m/>
    <m/>
    <x v="0"/>
  </r>
  <r>
    <x v="0"/>
    <m/>
    <x v="0"/>
    <x v="0"/>
    <m/>
    <m/>
    <x v="0"/>
  </r>
  <r>
    <x v="137"/>
    <s v="Daniel Thomas - ELS"/>
    <x v="4"/>
    <x v="5"/>
    <n v="200"/>
    <s v="Lightroom Course"/>
    <x v="5"/>
  </r>
  <r>
    <x v="138"/>
    <s v="Catherine Manley"/>
    <x v="4"/>
    <x v="3"/>
    <n v="30"/>
    <s v="Intro Class"/>
    <x v="2"/>
  </r>
  <r>
    <x v="139"/>
    <s v="Isabelle Singleton"/>
    <x v="2"/>
    <x v="2"/>
    <n v="75"/>
    <s v="Lavender"/>
    <x v="4"/>
  </r>
  <r>
    <x v="140"/>
    <s v="Nicholas Cheese"/>
    <x v="4"/>
    <x v="3"/>
    <n v="30"/>
    <s v="Intro Class"/>
    <x v="2"/>
  </r>
  <r>
    <x v="140"/>
    <s v="Lisa Loxton"/>
    <x v="2"/>
    <x v="2"/>
    <n v="65"/>
    <s v="Batsford"/>
    <x v="6"/>
  </r>
  <r>
    <x v="141"/>
    <s v="Jo Wade"/>
    <x v="3"/>
    <x v="3"/>
    <n v="4.385"/>
    <s v="Pocket Guide"/>
    <x v="2"/>
  </r>
  <r>
    <x v="142"/>
    <s v="Maria Saunders"/>
    <x v="2"/>
    <x v="2"/>
    <n v="35"/>
    <s v="Sharpshooters"/>
    <x v="2"/>
  </r>
  <r>
    <x v="142"/>
    <s v="Dominoc Thompson"/>
    <x v="2"/>
    <x v="4"/>
    <n v="125"/>
    <s v="Bluebells"/>
    <x v="4"/>
  </r>
  <r>
    <x v="142"/>
    <s v="Helen Fawcett"/>
    <x v="4"/>
    <x v="5"/>
    <n v="30"/>
    <s v="Intro Class"/>
    <x v="5"/>
  </r>
  <r>
    <x v="143"/>
    <s v="Alistair Willis"/>
    <x v="4"/>
    <x v="3"/>
    <n v="395"/>
    <s v="RPS Course"/>
    <x v="2"/>
  </r>
  <r>
    <x v="144"/>
    <s v="Samantha Lee"/>
    <x v="2"/>
    <x v="2"/>
    <n v="125"/>
    <s v="Bluebells"/>
    <x v="4"/>
  </r>
  <r>
    <x v="145"/>
    <s v="Karen Frampton"/>
    <x v="2"/>
    <x v="2"/>
    <n v="125"/>
    <s v="Bluebells"/>
    <x v="4"/>
  </r>
  <r>
    <x v="146"/>
    <s v="Richard Roussel-Milner"/>
    <x v="4"/>
    <x v="3"/>
    <n v="30"/>
    <s v="Intro Class"/>
    <x v="2"/>
  </r>
  <r>
    <x v="147"/>
    <s v="Barry Nash"/>
    <x v="2"/>
    <x v="2"/>
    <n v="175"/>
    <s v="Bluebells"/>
    <x v="2"/>
  </r>
  <r>
    <x v="148"/>
    <s v="Wendy Anthony"/>
    <x v="2"/>
    <x v="3"/>
    <n v="125"/>
    <s v="Charlecote"/>
    <x v="1"/>
  </r>
  <r>
    <x v="149"/>
    <s v="Michael Wall"/>
    <x v="4"/>
    <x v="5"/>
    <n v="13"/>
    <s v="Intro Class"/>
    <x v="3"/>
  </r>
  <r>
    <x v="149"/>
    <s v="Daniel Robb"/>
    <x v="4"/>
    <x v="3"/>
    <n v="30"/>
    <s v="Intro Class"/>
    <x v="2"/>
  </r>
  <r>
    <x v="149"/>
    <s v="Tim Newcombe"/>
    <x v="5"/>
    <x v="3"/>
    <n v="65"/>
    <s v="Camera Setup"/>
    <x v="2"/>
  </r>
  <r>
    <x v="150"/>
    <s v="Jane Sahaslan"/>
    <x v="2"/>
    <x v="2"/>
    <n v="75"/>
    <s v="Urban Architeture"/>
    <x v="2"/>
  </r>
  <r>
    <x v="151"/>
    <s v="Chris Green"/>
    <x v="4"/>
    <x v="2"/>
    <n v="30"/>
    <s v="Intro Class"/>
    <x v="2"/>
  </r>
  <r>
    <x v="151"/>
    <s v="David John"/>
    <x v="2"/>
    <x v="2"/>
    <n v="-42.5"/>
    <s v="Refund"/>
    <x v="6"/>
  </r>
  <r>
    <x v="151"/>
    <s v="David John"/>
    <x v="2"/>
    <x v="2"/>
    <n v="42.5"/>
    <s v="Batsford Sharpshooters"/>
    <x v="6"/>
  </r>
  <r>
    <x v="151"/>
    <s v="Susan Wheeler"/>
    <x v="4"/>
    <x v="3"/>
    <n v="30"/>
    <s v="Intro Class"/>
    <x v="2"/>
  </r>
  <r>
    <x v="152"/>
    <s v="Joyce James"/>
    <x v="1"/>
    <x v="1"/>
    <n v="-580"/>
    <s v="Drawdown on PnM"/>
    <x v="1"/>
  </r>
  <r>
    <x v="152"/>
    <s v="Joyce James"/>
    <x v="2"/>
    <x v="1"/>
    <n v="580"/>
    <s v="Suffolk"/>
    <x v="1"/>
  </r>
  <r>
    <x v="152"/>
    <s v="Janet Miller"/>
    <x v="2"/>
    <x v="4"/>
    <n v="65"/>
    <s v="Batsford Class 17th Apr"/>
    <x v="6"/>
  </r>
  <r>
    <x v="152"/>
    <s v="Joyce James"/>
    <x v="4"/>
    <x v="1"/>
    <n v="40"/>
    <s v="Macro Masterclass"/>
    <x v="1"/>
  </r>
  <r>
    <x v="152"/>
    <s v="Joyce James"/>
    <x v="4"/>
    <x v="1"/>
    <n v="316"/>
    <s v="RPS Course"/>
    <x v="1"/>
  </r>
  <r>
    <x v="152"/>
    <s v="Joyce James"/>
    <x v="2"/>
    <x v="1"/>
    <n v="380"/>
    <s v="Anglesey"/>
    <x v="1"/>
  </r>
  <r>
    <x v="152"/>
    <s v="Joyce James"/>
    <x v="2"/>
    <x v="1"/>
    <n v="580"/>
    <s v="Glen Coe"/>
    <x v="1"/>
  </r>
  <r>
    <x v="152"/>
    <s v="Joyce James"/>
    <x v="1"/>
    <x v="1"/>
    <n v="-1316"/>
    <s v="Drawdown on PnM"/>
    <x v="1"/>
  </r>
  <r>
    <x v="152"/>
    <s v="Joyce James"/>
    <x v="6"/>
    <x v="5"/>
    <n v="1000"/>
    <s v="Plan"/>
    <x v="1"/>
  </r>
  <r>
    <x v="153"/>
    <s v="Louise Bennett"/>
    <x v="2"/>
    <x v="3"/>
    <n v="125"/>
    <s v="Bluebells"/>
    <x v="4"/>
  </r>
  <r>
    <x v="154"/>
    <s v="Nicholas Hunnisett"/>
    <x v="4"/>
    <x v="2"/>
    <n v="275"/>
    <s v="Lightroom Solihull"/>
    <x v="1"/>
  </r>
  <r>
    <x v="155"/>
    <s v="Ian Blake"/>
    <x v="2"/>
    <x v="2"/>
    <n v="100"/>
    <s v="Anglesey"/>
    <x v="1"/>
  </r>
  <r>
    <x v="156"/>
    <s v="Jeremy Troth"/>
    <x v="2"/>
    <x v="2"/>
    <n v="820"/>
    <s v="Workshops"/>
    <x v="1"/>
  </r>
  <r>
    <x v="157"/>
    <s v="Apr Pick N Mix"/>
    <x v="6"/>
    <x v="6"/>
    <n v="93.63"/>
    <s v="Pick N Mix Payments"/>
    <x v="1"/>
  </r>
  <r>
    <x v="157"/>
    <s v="Apr Mentoring"/>
    <x v="7"/>
    <x v="6"/>
    <n v="80"/>
    <s v="Mentoring Subs"/>
    <x v="1"/>
  </r>
  <r>
    <x v="0"/>
    <m/>
    <x v="0"/>
    <x v="0"/>
    <m/>
    <m/>
    <x v="0"/>
  </r>
  <r>
    <x v="158"/>
    <s v="Matt Battison"/>
    <x v="4"/>
    <x v="5"/>
    <n v="295"/>
    <s v="RPS Course"/>
    <x v="1"/>
  </r>
  <r>
    <x v="158"/>
    <s v="Melissa Chapman"/>
    <x v="4"/>
    <x v="2"/>
    <n v="275"/>
    <s v="5wk Beginners Course"/>
    <x v="2"/>
  </r>
  <r>
    <x v="158"/>
    <s v="Acorn School"/>
    <x v="2"/>
    <x v="5"/>
    <n v="260"/>
    <s v="Batsford Class"/>
    <x v="2"/>
  </r>
  <r>
    <x v="158"/>
    <s v="Vijaytha Murali"/>
    <x v="4"/>
    <x v="3"/>
    <n v="175"/>
    <s v="Lightroom Course"/>
    <x v="1"/>
  </r>
  <r>
    <x v="159"/>
    <s v="Jacqui Chislett"/>
    <x v="3"/>
    <x v="2"/>
    <n v="300"/>
    <s v="Digital Gift Card"/>
    <x v="2"/>
  </r>
  <r>
    <x v="160"/>
    <s v="Rachel Carson"/>
    <x v="4"/>
    <x v="2"/>
    <n v="30"/>
    <s v="Intro Class"/>
    <x v="2"/>
  </r>
  <r>
    <x v="159"/>
    <s v="Chris White"/>
    <x v="2"/>
    <x v="4"/>
    <n v="125"/>
    <s v="CharleCote Workshop"/>
    <x v="2"/>
  </r>
  <r>
    <x v="161"/>
    <s v="Sarah McGovern "/>
    <x v="7"/>
    <x v="3"/>
    <n v="20"/>
    <s v="Monthly Mentoring"/>
    <x v="2"/>
  </r>
  <r>
    <x v="161"/>
    <s v="Ian Barnard"/>
    <x v="2"/>
    <x v="3"/>
    <n v="125"/>
    <s v="CharleCote Workshop"/>
    <x v="2"/>
  </r>
  <r>
    <x v="161"/>
    <s v="Phil O'Grady"/>
    <x v="2"/>
    <x v="1"/>
    <n v="67.5"/>
    <s v="Poppies 21st June"/>
    <x v="1"/>
  </r>
  <r>
    <x v="161"/>
    <s v="Phil O'Grady"/>
    <x v="2"/>
    <x v="1"/>
    <n v="67.5"/>
    <s v="Coventry 11th Apr"/>
    <x v="1"/>
  </r>
  <r>
    <x v="161"/>
    <s v="Phil O'Grady"/>
    <x v="1"/>
    <x v="1"/>
    <n v="-135"/>
    <s v="Drawdown on PnM"/>
    <x v="1"/>
  </r>
  <r>
    <x v="160"/>
    <s v="jill harrison"/>
    <x v="2"/>
    <x v="3"/>
    <n v="125"/>
    <s v="CharleCote Workshop"/>
    <x v="6"/>
  </r>
  <r>
    <x v="160"/>
    <s v="Helen Finch - ELS"/>
    <x v="4"/>
    <x v="5"/>
    <n v="200"/>
    <s v="LR Course"/>
    <x v="5"/>
  </r>
  <r>
    <x v="160"/>
    <s v="Arjun Rawat - ELS"/>
    <x v="4"/>
    <x v="5"/>
    <n v="200"/>
    <s v="5wk Beginners Course"/>
    <x v="5"/>
  </r>
  <r>
    <x v="160"/>
    <s v="Clare Durston"/>
    <x v="4"/>
    <x v="2"/>
    <n v="30"/>
    <s v="Intro Class"/>
    <x v="2"/>
  </r>
  <r>
    <x v="162"/>
    <s v="Ann Knight"/>
    <x v="4"/>
    <x v="2"/>
    <n v="30"/>
    <s v="Intro Class"/>
    <x v="2"/>
  </r>
  <r>
    <x v="162"/>
    <s v="Ann Knight"/>
    <x v="4"/>
    <x v="2"/>
    <n v="4.850000000000001"/>
    <s v="Pocket Guide"/>
    <x v="2"/>
  </r>
  <r>
    <x v="162"/>
    <s v="Malcolm Richardson"/>
    <x v="2"/>
    <x v="2"/>
    <n v="75"/>
    <s v="Chesterton"/>
    <x v="2"/>
  </r>
  <r>
    <x v="163"/>
    <s v="Pure Photo Sale"/>
    <x v="3"/>
    <x v="5"/>
    <n v="296.2"/>
    <s v="Pure Photo"/>
    <x v="7"/>
  </r>
  <r>
    <x v="164"/>
    <s v="Hans Berg - ELS"/>
    <x v="4"/>
    <x v="5"/>
    <n v="200"/>
    <s v="LR Course  "/>
    <x v="5"/>
  </r>
  <r>
    <x v="165"/>
    <s v="Philippa Smith"/>
    <x v="4"/>
    <x v="8"/>
    <n v="13"/>
    <s v="Intro Class"/>
    <x v="3"/>
  </r>
  <r>
    <x v="165"/>
    <s v="Janet Roberts"/>
    <x v="3"/>
    <x v="2"/>
    <n v="30"/>
    <s v="Facebook Forum"/>
    <x v="1"/>
  </r>
  <r>
    <x v="166"/>
    <s v="Christopher Parker"/>
    <x v="3"/>
    <x v="3"/>
    <n v="30"/>
    <s v="Facebook Forum"/>
    <x v="1"/>
  </r>
  <r>
    <x v="166"/>
    <s v="Sayed Nazir - ELS"/>
    <x v="4"/>
    <x v="5"/>
    <n v="200"/>
    <s v="LR Course  "/>
    <x v="5"/>
  </r>
  <r>
    <x v="166"/>
    <s v="Ganesh Palani - ELS"/>
    <x v="4"/>
    <x v="5"/>
    <n v="200"/>
    <s v="5wk Beginners"/>
    <x v="5"/>
  </r>
  <r>
    <x v="166"/>
    <s v="Aidan Broderick - ELS"/>
    <x v="4"/>
    <x v="5"/>
    <n v="200"/>
    <s v="LR Course  "/>
    <x v="5"/>
  </r>
  <r>
    <x v="167"/>
    <s v="Neil Giblett"/>
    <x v="3"/>
    <x v="2"/>
    <n v="50"/>
    <s v="Digital Gift Card"/>
    <x v="2"/>
  </r>
  <r>
    <x v="167"/>
    <s v="Carolyn O'Neill"/>
    <x v="2"/>
    <x v="2"/>
    <n v="125"/>
    <s v="Bluebells"/>
    <x v="7"/>
  </r>
  <r>
    <x v="167"/>
    <s v="Peter Hagger"/>
    <x v="2"/>
    <x v="2"/>
    <n v="125"/>
    <s v="Bluebells"/>
    <x v="4"/>
  </r>
  <r>
    <x v="168"/>
    <s v="suzanne danter"/>
    <x v="4"/>
    <x v="2"/>
    <n v="30"/>
    <s v="Intro Class"/>
    <x v="2"/>
  </r>
  <r>
    <x v="168"/>
    <s v="Sarah Moore"/>
    <x v="2"/>
    <x v="2"/>
    <n v="125"/>
    <s v="Bluebells"/>
    <x v="4"/>
  </r>
  <r>
    <x v="169"/>
    <s v="Anne Watkinson"/>
    <x v="5"/>
    <x v="2"/>
    <n v="120"/>
    <s v="1-2-1"/>
    <x v="1"/>
  </r>
  <r>
    <x v="169"/>
    <s v="Anne Watkinson"/>
    <x v="2"/>
    <x v="2"/>
    <n v="125"/>
    <s v="Bluebells"/>
    <x v="1"/>
  </r>
  <r>
    <x v="169"/>
    <s v="Garry Such"/>
    <x v="4"/>
    <x v="1"/>
    <n v="42.5"/>
    <s v="Creative Editing"/>
    <x v="1"/>
  </r>
  <r>
    <x v="169"/>
    <s v="Garry Such"/>
    <x v="2"/>
    <x v="1"/>
    <n v="63.75"/>
    <s v="Coventry 11th Apr"/>
    <x v="1"/>
  </r>
  <r>
    <x v="169"/>
    <s v="Garry Such"/>
    <x v="2"/>
    <x v="1"/>
    <n v="63.75"/>
    <s v="Kenilwirth Night 19thMar"/>
    <x v="1"/>
  </r>
  <r>
    <x v="169"/>
    <s v="Garry Such"/>
    <x v="1"/>
    <x v="1"/>
    <n v="-170"/>
    <s v="Drawdown on PnM"/>
    <x v="1"/>
  </r>
  <r>
    <x v="169"/>
    <s v="Simon Betteridge"/>
    <x v="2"/>
    <x v="5"/>
    <n v="100"/>
    <s v="Glen Coe"/>
    <x v="1"/>
  </r>
  <r>
    <x v="169"/>
    <s v="Simon Betteridge"/>
    <x v="3"/>
    <x v="5"/>
    <n v="30"/>
    <s v="Facebook Forum"/>
    <x v="1"/>
  </r>
  <r>
    <x v="169"/>
    <s v="James Cameron"/>
    <x v="3"/>
    <x v="2"/>
    <n v="30"/>
    <s v="Facebook Forum"/>
    <x v="1"/>
  </r>
  <r>
    <x v="169"/>
    <s v="Vijaytha Muralidharan"/>
    <x v="4"/>
    <x v="2"/>
    <n v="100"/>
    <s v="LR Course Soli"/>
    <x v="1"/>
  </r>
  <r>
    <x v="170"/>
    <s v="Nick DeCianti"/>
    <x v="7"/>
    <x v="3"/>
    <n v="20"/>
    <s v="Monthly Mentoring"/>
    <x v="2"/>
  </r>
  <r>
    <x v="170"/>
    <s v="Chris Shaw"/>
    <x v="3"/>
    <x v="3"/>
    <n v="30"/>
    <s v="Facebook Forum"/>
    <x v="1"/>
  </r>
  <r>
    <x v="170"/>
    <s v="Anne Henry"/>
    <x v="3"/>
    <x v="2"/>
    <n v="150"/>
    <s v="Digital Gift Card"/>
    <x v="2"/>
  </r>
  <r>
    <x v="170"/>
    <s v="Julian Barton-Bodley"/>
    <x v="3"/>
    <x v="2"/>
    <n v="30"/>
    <s v="Facebook Forum"/>
    <x v="1"/>
  </r>
  <r>
    <x v="170"/>
    <s v="Derek Dale"/>
    <x v="4"/>
    <x v="8"/>
    <n v="13"/>
    <s v="Intro Class"/>
    <x v="3"/>
  </r>
  <r>
    <x v="171"/>
    <s v="Con McHugh"/>
    <x v="2"/>
    <x v="1"/>
    <n v="580"/>
    <s v="Glen Coe"/>
    <x v="1"/>
  </r>
  <r>
    <x v="171"/>
    <s v="Con McHugh"/>
    <x v="1"/>
    <x v="1"/>
    <n v="-580"/>
    <s v="Drawdown on PnM"/>
    <x v="1"/>
  </r>
  <r>
    <x v="171"/>
    <s v="Denise Merelie"/>
    <x v="2"/>
    <x v="2"/>
    <n v="175"/>
    <s v="Northumbria"/>
    <x v="2"/>
  </r>
  <r>
    <x v="172"/>
    <s v="Jacki Rosin"/>
    <x v="4"/>
    <x v="2"/>
    <n v="50"/>
    <s v="Macro Masterclass"/>
    <x v="1"/>
  </r>
  <r>
    <x v="173"/>
    <s v="Jennifer Box"/>
    <x v="3"/>
    <x v="3"/>
    <n v="30"/>
    <s v="Facebook Forum"/>
    <x v="1"/>
  </r>
  <r>
    <x v="173"/>
    <s v="Janice Jordan"/>
    <x v="2"/>
    <x v="5"/>
    <n v="1320"/>
    <s v="French Riviera"/>
    <x v="1"/>
  </r>
  <r>
    <x v="173"/>
    <s v="Andy Martin"/>
    <x v="2"/>
    <x v="3"/>
    <n v="65"/>
    <s v="Batsford Clas/Walk"/>
    <x v="2"/>
  </r>
  <r>
    <x v="173"/>
    <s v="Dunstan Vavasour"/>
    <x v="3"/>
    <x v="3"/>
    <n v="30"/>
    <s v="Facebook Forum"/>
    <x v="1"/>
  </r>
  <r>
    <x v="173"/>
    <s v="Chris Franklin"/>
    <x v="3"/>
    <x v="3"/>
    <n v="30"/>
    <s v="Facebook Forum"/>
    <x v="1"/>
  </r>
  <r>
    <x v="174"/>
    <s v="Caroline Robinson"/>
    <x v="4"/>
    <x v="6"/>
    <n v="0"/>
    <s v="Intro Class"/>
    <x v="7"/>
  </r>
  <r>
    <x v="175"/>
    <s v="derek robbins"/>
    <x v="3"/>
    <x v="3"/>
    <n v="30"/>
    <s v="Facebook Forum"/>
    <x v="1"/>
  </r>
  <r>
    <x v="174"/>
    <s v="derek Bridges"/>
    <x v="2"/>
    <x v="2"/>
    <n v="150"/>
    <s v="Batsford Autumn"/>
    <x v="4"/>
  </r>
  <r>
    <x v="174"/>
    <s v="Laura Byrne"/>
    <x v="4"/>
    <x v="5"/>
    <n v="195"/>
    <s v="RPS Course"/>
    <x v="1"/>
  </r>
  <r>
    <x v="176"/>
    <s v="Robert Newton"/>
    <x v="2"/>
    <x v="2"/>
    <n v="130"/>
    <s v="Batsford Clas/Walk"/>
    <x v="6"/>
  </r>
  <r>
    <x v="176"/>
    <s v="Mar Pick N Mix"/>
    <x v="6"/>
    <x v="6"/>
    <n v="268"/>
    <s v="Pick N Mix Payments"/>
    <x v="1"/>
  </r>
  <r>
    <x v="176"/>
    <s v="Mar Mentoring"/>
    <x v="7"/>
    <x v="6"/>
    <n v="40"/>
    <s v="Mentoring Subs"/>
    <x v="1"/>
  </r>
  <r>
    <x v="0"/>
    <m/>
    <x v="0"/>
    <x v="0"/>
    <m/>
    <m/>
    <x v="0"/>
  </r>
  <r>
    <x v="177"/>
    <s v="Jane Chapman"/>
    <x v="2"/>
    <x v="2"/>
    <n v="100"/>
    <s v="Lynmouth"/>
    <x v="1"/>
  </r>
  <r>
    <x v="177"/>
    <s v="Anne Watkinson"/>
    <x v="4"/>
    <x v="2"/>
    <n v="395"/>
    <s v="RPS Course"/>
    <x v="1"/>
  </r>
  <r>
    <x v="177"/>
    <s v="Jane Chapman"/>
    <x v="2"/>
    <x v="2"/>
    <n v="65"/>
    <s v="Batsford Clas/Walk"/>
    <x v="1"/>
  </r>
  <r>
    <x v="178"/>
    <s v="Melissa Dickinson - ELS"/>
    <x v="4"/>
    <x v="5"/>
    <n v="200"/>
    <s v="5wk Course"/>
    <x v="5"/>
  </r>
  <r>
    <x v="179"/>
    <s v="Rebecca Teague"/>
    <x v="2"/>
    <x v="2"/>
    <n v="125"/>
    <s v="Bluebells"/>
    <x v="1"/>
  </r>
  <r>
    <x v="179"/>
    <s v="Matt Battison"/>
    <x v="4"/>
    <x v="5"/>
    <n v="100"/>
    <s v="RPS Course"/>
    <x v="1"/>
  </r>
  <r>
    <x v="180"/>
    <s v="Tamara Nunley"/>
    <x v="2"/>
    <x v="2"/>
    <n v="125"/>
    <s v="Bluebells"/>
    <x v="4"/>
  </r>
  <r>
    <x v="180"/>
    <s v="Penny Tebbit"/>
    <x v="4"/>
    <x v="2"/>
    <n v="235"/>
    <s v="4wk Extended Course"/>
    <x v="1"/>
  </r>
  <r>
    <x v="180"/>
    <s v="Jill Roberts"/>
    <x v="4"/>
    <x v="8"/>
    <n v="13"/>
    <s v="Intro Class"/>
    <x v="3"/>
  </r>
  <r>
    <x v="180"/>
    <s v="Sue Critchlow"/>
    <x v="2"/>
    <x v="2"/>
    <n v="495"/>
    <s v="Hartland Quay"/>
    <x v="4"/>
  </r>
  <r>
    <x v="181"/>
    <s v="Jill Roberts"/>
    <x v="4"/>
    <x v="5"/>
    <n v="235"/>
    <s v="4wk Extended Course"/>
    <x v="1"/>
  </r>
  <r>
    <x v="182"/>
    <s v="Nicola Cashin"/>
    <x v="4"/>
    <x v="3"/>
    <n v="245"/>
    <s v="4wk Extended Course"/>
    <x v="2"/>
  </r>
  <r>
    <x v="182"/>
    <s v="James Cameron"/>
    <x v="2"/>
    <x v="2"/>
    <n v="100"/>
    <s v="Glen Coe"/>
    <x v="1"/>
  </r>
  <r>
    <x v="183"/>
    <s v="David Bird"/>
    <x v="4"/>
    <x v="3"/>
    <n v="245"/>
    <s v="4wk Extended Course"/>
    <x v="1"/>
  </r>
  <r>
    <x v="183"/>
    <s v="Audrey Peebles"/>
    <x v="2"/>
    <x v="3"/>
    <n v="725"/>
    <s v="Northumbria"/>
    <x v="2"/>
  </r>
  <r>
    <x v="183"/>
    <s v="Arjun Rawat"/>
    <x v="4"/>
    <x v="5"/>
    <n v="75"/>
    <s v="5wk Course"/>
    <x v="5"/>
  </r>
  <r>
    <x v="184"/>
    <s v="Anne Rowling"/>
    <x v="4"/>
    <x v="3"/>
    <n v="-275"/>
    <s v="Refunded"/>
    <x v="7"/>
  </r>
  <r>
    <x v="185"/>
    <s v="Ian Blake - ELS"/>
    <x v="4"/>
    <x v="5"/>
    <n v="200"/>
    <s v="TBC"/>
    <x v="5"/>
  </r>
  <r>
    <x v="185"/>
    <s v="Hans Berg -ELS"/>
    <x v="4"/>
    <x v="5"/>
    <n v="50"/>
    <s v="LR Course"/>
    <x v="5"/>
  </r>
  <r>
    <x v="185"/>
    <s v="signe frei"/>
    <x v="2"/>
    <x v="2"/>
    <n v="175"/>
    <s v="Bluebells"/>
    <x v="4"/>
  </r>
  <r>
    <x v="185"/>
    <s v="Anne Rowling"/>
    <x v="4"/>
    <x v="3"/>
    <n v="275"/>
    <s v="4wk Extended Course"/>
    <x v="7"/>
  </r>
  <r>
    <x v="185"/>
    <s v="Jane Sahaslan"/>
    <x v="2"/>
    <x v="2"/>
    <n v="59"/>
    <s v="Batsford Calendar"/>
    <x v="6"/>
  </r>
  <r>
    <x v="186"/>
    <s v="Robert Smith"/>
    <x v="5"/>
    <x v="2"/>
    <n v="120"/>
    <s v="1-21- Tuition"/>
    <x v="1"/>
  </r>
  <r>
    <x v="186"/>
    <s v="Karen Gant"/>
    <x v="2"/>
    <x v="2"/>
    <n v="125"/>
    <s v="Bluebells"/>
    <x v="4"/>
  </r>
  <r>
    <x v="186"/>
    <s v="Mavis Tingay"/>
    <x v="4"/>
    <x v="2"/>
    <n v="275"/>
    <s v="5wk Course"/>
    <x v="2"/>
  </r>
  <r>
    <x v="187"/>
    <s v="Helen Finch"/>
    <x v="4"/>
    <x v="5"/>
    <n v="300"/>
    <s v="LR Course"/>
    <x v="1"/>
  </r>
  <r>
    <x v="187"/>
    <s v="Jackie Rosin"/>
    <x v="4"/>
    <x v="2"/>
    <n v="395"/>
    <s v="RPS Course"/>
    <x v="1"/>
  </r>
  <r>
    <x v="187"/>
    <s v="Frederick Stubbs"/>
    <x v="3"/>
    <x v="3"/>
    <n v="9.4"/>
    <s v="Pocket Guides"/>
    <x v="1"/>
  </r>
  <r>
    <x v="187"/>
    <s v="Nadine Pratt"/>
    <x v="1"/>
    <x v="1"/>
    <n v="-451"/>
    <s v="Drawdown on PnM"/>
    <x v="1"/>
  </r>
  <r>
    <x v="187"/>
    <s v="Nadine Pratt"/>
    <x v="4"/>
    <x v="1"/>
    <n v="148.5"/>
    <s v="LR Course"/>
    <x v="1"/>
  </r>
  <r>
    <x v="187"/>
    <s v="Nadine Pratt"/>
    <x v="2"/>
    <x v="1"/>
    <n v="55"/>
    <s v="Batsford SharpShooters"/>
    <x v="1"/>
  </r>
  <r>
    <x v="187"/>
    <s v="Nadine Pratt"/>
    <x v="4"/>
    <x v="1"/>
    <n v="247.5"/>
    <s v="LR Course"/>
    <x v="1"/>
  </r>
  <r>
    <x v="187"/>
    <s v="Nadine Pratt"/>
    <x v="6"/>
    <x v="5"/>
    <n v="46.13"/>
    <s v="Plan"/>
    <x v="1"/>
  </r>
  <r>
    <x v="187"/>
    <s v="Frederick Stubbs"/>
    <x v="2"/>
    <x v="3"/>
    <n v="125"/>
    <s v="Bluebells"/>
    <x v="1"/>
  </r>
  <r>
    <x v="187"/>
    <s v="Shen Xiang"/>
    <x v="4"/>
    <x v="3"/>
    <n v="50"/>
    <s v="Rebooking Fee"/>
    <x v="1"/>
  </r>
  <r>
    <x v="187"/>
    <s v="Ganesh Palani - ELS"/>
    <x v="4"/>
    <x v="5"/>
    <n v="75"/>
    <s v="5wk Course"/>
    <x v="5"/>
  </r>
  <r>
    <x v="188"/>
    <s v="Andrew D'Amico"/>
    <x v="2"/>
    <x v="5"/>
    <n v="50"/>
    <s v="TBA"/>
    <x v="5"/>
  </r>
  <r>
    <x v="189"/>
    <s v="Graham Ibbetson"/>
    <x v="2"/>
    <x v="2"/>
    <n v="175"/>
    <s v="Bluebells"/>
    <x v="1"/>
  </r>
  <r>
    <x v="189"/>
    <s v="Sayed Nazir - ELS"/>
    <x v="4"/>
    <x v="5"/>
    <n v="50"/>
    <s v="LR Course"/>
    <x v="1"/>
  </r>
  <r>
    <x v="189"/>
    <s v="John Stubbs"/>
    <x v="7"/>
    <x v="3"/>
    <n v="200"/>
    <s v="Mentoring Subs"/>
    <x v="2"/>
  </r>
  <r>
    <x v="190"/>
    <s v="Aidan Broderick"/>
    <x v="4"/>
    <x v="5"/>
    <n v="50"/>
    <s v="LR Course"/>
    <x v="1"/>
  </r>
  <r>
    <x v="190"/>
    <s v="Lucy Williams"/>
    <x v="3"/>
    <x v="2"/>
    <n v="30"/>
    <s v="Gift Voucher"/>
    <x v="2"/>
  </r>
  <r>
    <x v="190"/>
    <s v="laura Venn (Richard Sheath)"/>
    <x v="2"/>
    <x v="2"/>
    <n v="65"/>
    <s v="Batsford Clas/Walk"/>
    <x v="2"/>
  </r>
  <r>
    <x v="191"/>
    <s v="myriame lawley"/>
    <x v="2"/>
    <x v="2"/>
    <n v="175"/>
    <s v="Bluebells"/>
    <x v="4"/>
  </r>
  <r>
    <x v="191"/>
    <s v="Paul Kilford"/>
    <x v="4"/>
    <x v="2"/>
    <n v="100"/>
    <s v="Lr 26th"/>
    <x v="1"/>
  </r>
  <r>
    <x v="192"/>
    <s v="Oliver Price"/>
    <x v="4"/>
    <x v="8"/>
    <n v="13"/>
    <s v="Intro Class"/>
    <x v="3"/>
  </r>
  <r>
    <x v="192"/>
    <s v="Diana Roberts"/>
    <x v="2"/>
    <x v="2"/>
    <n v="65"/>
    <s v="Batsford Clas/Walk"/>
    <x v="1"/>
  </r>
  <r>
    <x v="193"/>
    <s v="Claire Harris (Duncan)"/>
    <x v="4"/>
    <x v="3"/>
    <n v="250"/>
    <s v="LR Course"/>
    <x v="1"/>
  </r>
  <r>
    <x v="193"/>
    <s v="Diana Roberts"/>
    <x v="7"/>
    <x v="3"/>
    <n v="20"/>
    <s v="Monthly Mentoring"/>
    <x v="1"/>
  </r>
  <r>
    <x v="193"/>
    <s v="Iain Williams - ELS"/>
    <x v="4"/>
    <x v="5"/>
    <n v="200"/>
    <s v="5wk Course"/>
    <x v="5"/>
  </r>
  <r>
    <x v="193"/>
    <s v="Dan Thomas"/>
    <x v="4"/>
    <x v="2"/>
    <n v="50"/>
    <s v="LR Course"/>
    <x v="1"/>
  </r>
  <r>
    <x v="194"/>
    <s v="LOUISE FOSTER"/>
    <x v="4"/>
    <x v="2"/>
    <n v="275"/>
    <s v="5wk Course"/>
    <x v="2"/>
  </r>
  <r>
    <x v="195"/>
    <s v="Tom Price"/>
    <x v="4"/>
    <x v="2"/>
    <n v="15"/>
    <s v="Re-booking Fee"/>
    <x v="2"/>
  </r>
  <r>
    <x v="195"/>
    <s v="Duncan Harris"/>
    <x v="2"/>
    <x v="2"/>
    <n v="125"/>
    <s v="Bluebell Workshop"/>
    <x v="1"/>
  </r>
  <r>
    <x v="195"/>
    <s v="chris woolcott"/>
    <x v="2"/>
    <x v="3"/>
    <n v="125"/>
    <s v="Bluebell Workshop"/>
    <x v="4"/>
  </r>
  <r>
    <x v="195"/>
    <s v="Scott Bremner - ELS"/>
    <x v="4"/>
    <x v="5"/>
    <n v="200"/>
    <s v="Lightroom Course"/>
    <x v="5"/>
  </r>
  <r>
    <x v="195"/>
    <s v="Laura Byrne"/>
    <x v="4"/>
    <x v="5"/>
    <n v="200"/>
    <s v="RPS Course"/>
    <x v="1"/>
  </r>
  <r>
    <x v="195"/>
    <s v="Robert Smith"/>
    <x v="4"/>
    <x v="2"/>
    <n v="395"/>
    <s v="RPS Course"/>
    <x v="1"/>
  </r>
  <r>
    <x v="196"/>
    <s v="Hina Solanki"/>
    <x v="4"/>
    <x v="8"/>
    <n v="13"/>
    <s v="Intro Class"/>
    <x v="3"/>
  </r>
  <r>
    <x v="196"/>
    <s v="DEBORAH DONALDSON"/>
    <x v="4"/>
    <x v="8"/>
    <n v="13"/>
    <s v="Intro Class"/>
    <x v="3"/>
  </r>
  <r>
    <x v="196"/>
    <s v="Melissa Dickinson - ELS"/>
    <x v="4"/>
    <x v="5"/>
    <n v="75"/>
    <s v="5wk Course"/>
    <x v="5"/>
  </r>
  <r>
    <x v="196"/>
    <s v="David Bird"/>
    <x v="4"/>
    <x v="8"/>
    <n v="13"/>
    <s v="Intro Class"/>
    <x v="3"/>
  </r>
  <r>
    <x v="197"/>
    <s v="rebecca Mower"/>
    <x v="2"/>
    <x v="2"/>
    <n v="125"/>
    <s v="Bluebell Workshop"/>
    <x v="1"/>
  </r>
  <r>
    <x v="197"/>
    <s v="John Seely"/>
    <x v="4"/>
    <x v="3"/>
    <n v="495"/>
    <s v="Intentions Course"/>
    <x v="1"/>
  </r>
  <r>
    <x v="198"/>
    <s v="Philipa Gunn"/>
    <x v="7"/>
    <x v="3"/>
    <n v="20"/>
    <s v="Mentoring Subs"/>
    <x v="1"/>
  </r>
  <r>
    <x v="199"/>
    <s v="Artfinder"/>
    <x v="3"/>
    <x v="5"/>
    <n v="138.34"/>
    <s v="Print Sale"/>
    <x v="7"/>
  </r>
  <r>
    <x v="200"/>
    <s v="Peter Davis"/>
    <x v="2"/>
    <x v="2"/>
    <n v="9"/>
    <s v="Batsford Calendar"/>
    <x v="6"/>
  </r>
  <r>
    <x v="200"/>
    <s v="John Seely"/>
    <x v="5"/>
    <x v="3"/>
    <n v="65"/>
    <s v="Image Review"/>
    <x v="6"/>
  </r>
  <r>
    <x v="200"/>
    <s v="Janie Chapman"/>
    <x v="2"/>
    <x v="2"/>
    <n v="59"/>
    <s v="Batsford Calendar"/>
    <x v="1"/>
  </r>
  <r>
    <x v="200"/>
    <s v="Paul Kirby"/>
    <x v="4"/>
    <x v="2"/>
    <n v="395"/>
    <s v="RPS Course"/>
    <x v="1"/>
  </r>
  <r>
    <x v="200"/>
    <s v="Janet Boulter"/>
    <x v="4"/>
    <x v="2"/>
    <n v="395"/>
    <s v="RPS Course"/>
    <x v="1"/>
  </r>
  <r>
    <x v="200"/>
    <s v="Feb Pick N Mix"/>
    <x v="6"/>
    <x v="6"/>
    <n v="441.24"/>
    <s v="Pick N Mix Payments"/>
    <x v="1"/>
  </r>
  <r>
    <x v="200"/>
    <s v="FebMentoring"/>
    <x v="7"/>
    <x v="6"/>
    <n v="40"/>
    <s v="Mentoring Subs"/>
    <x v="1"/>
  </r>
  <r>
    <x v="0"/>
    <m/>
    <x v="0"/>
    <x v="0"/>
    <m/>
    <m/>
    <x v="0"/>
  </r>
  <r>
    <x v="201"/>
    <s v="Chris Parker"/>
    <x v="4"/>
    <x v="5"/>
    <n v="395"/>
    <s v="RPS Course"/>
    <x v="1"/>
  </r>
  <r>
    <x v="201"/>
    <s v="Kirsten Pearce"/>
    <x v="6"/>
    <x v="5"/>
    <n v="39.5"/>
    <s v="Pick N Mix Payments"/>
    <x v="1"/>
  </r>
  <r>
    <x v="201"/>
    <s v="Clive Turner"/>
    <x v="4"/>
    <x v="2"/>
    <n v="395"/>
    <s v="RPS Course"/>
    <x v="1"/>
  </r>
  <r>
    <x v="201"/>
    <s v="Kirsten Pearce"/>
    <x v="4"/>
    <x v="1"/>
    <n v="335.75"/>
    <s v="RPS Course"/>
    <x v="1"/>
  </r>
  <r>
    <x v="201"/>
    <s v="Kirsten Pearce"/>
    <x v="1"/>
    <x v="1"/>
    <n v="-335.75"/>
    <s v="RPS Course"/>
    <x v="1"/>
  </r>
  <r>
    <x v="201"/>
    <s v="Alind Srivastava"/>
    <x v="2"/>
    <x v="2"/>
    <n v="175"/>
    <s v="Bluebells"/>
    <x v="4"/>
  </r>
  <r>
    <x v="201"/>
    <s v="Andrew Hodge"/>
    <x v="4"/>
    <x v="2"/>
    <n v="245"/>
    <s v="4wk Extended Soli"/>
    <x v="2"/>
  </r>
  <r>
    <x v="202"/>
    <s v="Johanna Stansfield"/>
    <x v="3"/>
    <x v="2"/>
    <n v="30"/>
    <s v="Facebook Forum"/>
    <x v="1"/>
  </r>
  <r>
    <x v="202"/>
    <s v="Tracey Jones"/>
    <x v="2"/>
    <x v="2"/>
    <n v="175"/>
    <s v="Suffolk"/>
    <x v="2"/>
  </r>
  <r>
    <x v="202"/>
    <s v="Hans Berg - ELS"/>
    <x v="4"/>
    <x v="5"/>
    <n v="200"/>
    <s v="5wk Course"/>
    <x v="5"/>
  </r>
  <r>
    <x v="203"/>
    <s v="Matt Nuttall"/>
    <x v="3"/>
    <x v="2"/>
    <n v="35"/>
    <s v="Monitor Calibration"/>
    <x v="2"/>
  </r>
  <r>
    <x v="203"/>
    <s v="Matt Nuttall"/>
    <x v="5"/>
    <x v="2"/>
    <n v="195"/>
    <s v="1:2:1"/>
    <x v="2"/>
  </r>
  <r>
    <x v="204"/>
    <s v="Ben James"/>
    <x v="4"/>
    <x v="2"/>
    <n v="245"/>
    <s v="4wk Extended Soli"/>
    <x v="1"/>
  </r>
  <r>
    <x v="205"/>
    <s v="Gillian Thomas"/>
    <x v="4"/>
    <x v="2"/>
    <n v="30"/>
    <s v="Intro Class"/>
    <x v="2"/>
  </r>
  <r>
    <x v="206"/>
    <s v="derek robbins"/>
    <x v="4"/>
    <x v="3"/>
    <n v="135"/>
    <s v="3 Masterclasses"/>
    <x v="1"/>
  </r>
  <r>
    <x v="204"/>
    <s v="Jill Roberts"/>
    <x v="4"/>
    <x v="2"/>
    <n v="30"/>
    <s v="Intro Class"/>
    <x v="2"/>
  </r>
  <r>
    <x v="207"/>
    <s v="Catherine Wood"/>
    <x v="4"/>
    <x v="3"/>
    <n v="30"/>
    <s v="Intro Class"/>
    <x v="2"/>
  </r>
  <r>
    <x v="207"/>
    <s v="Liz Yarrow"/>
    <x v="2"/>
    <x v="2"/>
    <n v="125"/>
    <s v="Bluebells"/>
    <x v="2"/>
  </r>
  <r>
    <x v="208"/>
    <s v="Jean Dance"/>
    <x v="5"/>
    <x v="2"/>
    <n v="65"/>
    <s v="1:2:1"/>
    <x v="1"/>
  </r>
  <r>
    <x v="209"/>
    <s v="Penny Tebbit"/>
    <x v="4"/>
    <x v="8"/>
    <n v="13"/>
    <s v="Intro Class"/>
    <x v="3"/>
  </r>
  <r>
    <x v="209"/>
    <s v="Andrew Hodge"/>
    <x v="4"/>
    <x v="2"/>
    <n v="30"/>
    <s v="Intro Class"/>
    <x v="2"/>
  </r>
  <r>
    <x v="210"/>
    <s v="Jodie Child - ELS"/>
    <x v="4"/>
    <x v="5"/>
    <n v="200"/>
    <s v="5wk Course"/>
    <x v="5"/>
  </r>
  <r>
    <x v="210"/>
    <s v="Sayed Nazir - ELS"/>
    <x v="4"/>
    <x v="5"/>
    <n v="200"/>
    <s v="5wk Course"/>
    <x v="5"/>
  </r>
  <r>
    <x v="210"/>
    <s v="Philip Webster -ELS"/>
    <x v="5"/>
    <x v="5"/>
    <n v="200"/>
    <s v="1:2:1"/>
    <x v="5"/>
  </r>
  <r>
    <x v="210"/>
    <s v="James Braithwaite ELS"/>
    <x v="2"/>
    <x v="5"/>
    <n v="150"/>
    <s v="Hartland - Jan 2018"/>
    <x v="5"/>
  </r>
  <r>
    <x v="210"/>
    <s v="Amundep Hothi - ELS"/>
    <x v="4"/>
    <x v="5"/>
    <n v="200"/>
    <s v="5wk Course"/>
    <x v="5"/>
  </r>
  <r>
    <x v="210"/>
    <s v="Preetha Luther - ELS"/>
    <x v="4"/>
    <x v="5"/>
    <n v="200"/>
    <s v="5wk Course"/>
    <x v="5"/>
  </r>
  <r>
    <x v="211"/>
    <s v="m Adamson"/>
    <x v="2"/>
    <x v="2"/>
    <n v="59"/>
    <s v="Batsford"/>
    <x v="6"/>
  </r>
  <r>
    <x v="211"/>
    <s v="Craig Drinnan"/>
    <x v="4"/>
    <x v="3"/>
    <n v="30"/>
    <s v="Intro Class"/>
    <x v="2"/>
  </r>
  <r>
    <x v="211"/>
    <s v="TINA JACKSON"/>
    <x v="3"/>
    <x v="2"/>
    <n v="0.9"/>
    <s v="Pocket Guide Offer"/>
    <x v="7"/>
  </r>
  <r>
    <x v="212"/>
    <s v="Ruth Dunse"/>
    <x v="4"/>
    <x v="8"/>
    <n v="13"/>
    <s v="Intro Class"/>
    <x v="3"/>
  </r>
  <r>
    <x v="212"/>
    <s v="Abigail Moffat"/>
    <x v="4"/>
    <x v="8"/>
    <n v="13"/>
    <s v="Intro Class"/>
    <x v="3"/>
  </r>
  <r>
    <x v="212"/>
    <s v="Samantha Coleman"/>
    <x v="4"/>
    <x v="8"/>
    <n v="13"/>
    <s v="Intro Class"/>
    <x v="3"/>
  </r>
  <r>
    <x v="212"/>
    <s v="Spencer Wragg"/>
    <x v="4"/>
    <x v="8"/>
    <n v="13"/>
    <s v="Intro Class"/>
    <x v="3"/>
  </r>
  <r>
    <x v="212"/>
    <s v="Jonathan Mee - ELS"/>
    <x v="4"/>
    <x v="5"/>
    <n v="135"/>
    <s v="TBA"/>
    <x v="5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1"/>
  </r>
  <r>
    <x v="214"/>
    <s v="Roger Neal"/>
    <x v="2"/>
    <x v="2"/>
    <n v="75"/>
    <s v="Chetserton"/>
    <x v="1"/>
  </r>
  <r>
    <x v="215"/>
    <s v="Mrs J Longthorn"/>
    <x v="2"/>
    <x v="2"/>
    <n v="175"/>
    <s v="Bluebells"/>
    <x v="1"/>
  </r>
  <r>
    <x v="215"/>
    <s v="Carol Osborne"/>
    <x v="4"/>
    <x v="2"/>
    <n v="80"/>
    <s v="Age UK Course"/>
    <x v="7"/>
  </r>
  <r>
    <x v="215"/>
    <s v="Iain Williams - ELS"/>
    <x v="4"/>
    <x v="5"/>
    <n v="75"/>
    <s v="5wk Course"/>
    <x v="5"/>
  </r>
  <r>
    <x v="215"/>
    <s v="Jacki Rosin"/>
    <x v="4"/>
    <x v="2"/>
    <n v="50"/>
    <s v="Creative Edting"/>
    <x v="1"/>
  </r>
  <r>
    <x v="215"/>
    <s v="Mrs J Longthorn"/>
    <x v="4"/>
    <x v="2"/>
    <n v="50"/>
    <s v="Creative Edting"/>
    <x v="1"/>
  </r>
  <r>
    <x v="216"/>
    <s v="Joyce James"/>
    <x v="4"/>
    <x v="2"/>
    <n v="135"/>
    <s v="Masterclasses x 3"/>
    <x v="1"/>
  </r>
  <r>
    <x v="217"/>
    <s v="marcela Griffiths"/>
    <x v="4"/>
    <x v="2"/>
    <n v="15"/>
    <s v="Macro Masterclass"/>
    <x v="1"/>
  </r>
  <r>
    <x v="217"/>
    <s v="Harriet Bowley"/>
    <x v="4"/>
    <x v="3"/>
    <n v="50"/>
    <s v="Macro Masterclass"/>
    <x v="1"/>
  </r>
  <r>
    <x v="218"/>
    <s v="Angel Cave"/>
    <x v="4"/>
    <x v="8"/>
    <n v="13"/>
    <s v="Intro Class"/>
    <x v="3"/>
  </r>
  <r>
    <x v="218"/>
    <s v="Johanna Stansfield"/>
    <x v="2"/>
    <x v="2"/>
    <n v="726.8"/>
    <s v="Suffolk"/>
    <x v="1"/>
  </r>
  <r>
    <x v="218"/>
    <s v="sharron kerr"/>
    <x v="2"/>
    <x v="3"/>
    <n v="126.8"/>
    <s v="Bluebells"/>
    <x v="1"/>
  </r>
  <r>
    <x v="219"/>
    <s v="David Rogers"/>
    <x v="4"/>
    <x v="2"/>
    <n v="30"/>
    <s v="Intro Class"/>
    <x v="2"/>
  </r>
  <r>
    <x v="219"/>
    <s v="lee clarke"/>
    <x v="4"/>
    <x v="2"/>
    <n v="550"/>
    <s v="Lightroom Course"/>
    <x v="1"/>
  </r>
  <r>
    <x v="219"/>
    <s v="Lynn Morris"/>
    <x v="4"/>
    <x v="8"/>
    <n v="13"/>
    <s v="Intro Class"/>
    <x v="3"/>
  </r>
  <r>
    <x v="219"/>
    <s v="Janice Jordan"/>
    <x v="3"/>
    <x v="2"/>
    <n v="30"/>
    <s v="Facebook Forum"/>
    <x v="1"/>
  </r>
  <r>
    <x v="220"/>
    <s v="Janice Jordan"/>
    <x v="2"/>
    <x v="2"/>
    <n v="75"/>
    <s v="Brandon Marsh"/>
    <x v="1"/>
  </r>
  <r>
    <x v="221"/>
    <s v="Christina Mannering"/>
    <x v="4"/>
    <x v="8"/>
    <n v="13"/>
    <s v="Intro Class"/>
    <x v="3"/>
  </r>
  <r>
    <x v="221"/>
    <s v="Phil O'Grady"/>
    <x v="2"/>
    <x v="1"/>
    <n v="67.5"/>
    <s v="Brandon Marsh"/>
    <x v="1"/>
  </r>
  <r>
    <x v="221"/>
    <s v="Phil O'Grady"/>
    <x v="1"/>
    <x v="1"/>
    <n v="-67.5"/>
    <s v="Brandon Marsh"/>
    <x v="1"/>
  </r>
  <r>
    <x v="221"/>
    <s v="Pam Roberts"/>
    <x v="3"/>
    <x v="2"/>
    <n v="150"/>
    <s v="Digital Gift Card"/>
    <x v="2"/>
  </r>
  <r>
    <x v="221"/>
    <s v="Chris Parker"/>
    <x v="2"/>
    <x v="5"/>
    <n v="75"/>
    <s v="Brandon Marsh"/>
    <x v="1"/>
  </r>
  <r>
    <x v="221"/>
    <s v="Johanna Stansfield"/>
    <x v="2"/>
    <x v="2"/>
    <n v="76.8"/>
    <s v="Brandon Marsh"/>
    <x v="1"/>
  </r>
  <r>
    <x v="222"/>
    <s v="Pure Photo"/>
    <x v="3"/>
    <x v="5"/>
    <n v="125.56"/>
    <s v="Print Sale"/>
    <x v="7"/>
  </r>
  <r>
    <x v="223"/>
    <s v="Elizabeth Shrives"/>
    <x v="4"/>
    <x v="3"/>
    <n v="275"/>
    <s v="5wk Course"/>
    <x v="2"/>
  </r>
  <r>
    <x v="223"/>
    <s v="Con McHugh"/>
    <x v="1"/>
    <x v="1"/>
    <n v="-40"/>
    <s v="Macro Masterclass"/>
    <x v="1"/>
  </r>
  <r>
    <x v="223"/>
    <s v="Con McHugh"/>
    <x v="4"/>
    <x v="1"/>
    <n v="40"/>
    <s v="Macro Masterclass"/>
    <x v="1"/>
  </r>
  <r>
    <x v="224"/>
    <s v="Anne-Marie Scott"/>
    <x v="4"/>
    <x v="3"/>
    <n v="50"/>
    <s v="LR Rebooking"/>
    <x v="1"/>
  </r>
  <r>
    <x v="224"/>
    <s v="Bray Leino Ltd,"/>
    <x v="3"/>
    <x v="5"/>
    <n v="500"/>
    <s v="Commercial Image Use"/>
    <x v="2"/>
  </r>
  <r>
    <x v="225"/>
    <s v="Jan Pick N Mix"/>
    <x v="6"/>
    <x v="6"/>
    <n v="168.11"/>
    <s v="Pick N Mix Payments"/>
    <x v="1"/>
  </r>
  <r>
    <x v="225"/>
    <s v="Jan Mentoring"/>
    <x v="7"/>
    <x v="6"/>
    <n v="60"/>
    <s v="Mentoring Subs"/>
    <x v="1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</pivotCacheRecords>
</file>

<file path=xl/pivotCache/pivotCacheRecords2.xml><?xml version="1.0" encoding="utf-8"?>
<pivotCacheRecords xmlns="http://schemas.openxmlformats.org/spreadsheetml/2006/main" count="530">
  <r>
    <x v="0"/>
    <m/>
    <x v="0"/>
    <x v="0"/>
    <m/>
    <m/>
    <m/>
  </r>
  <r>
    <x v="0"/>
    <m/>
    <x v="0"/>
    <x v="0"/>
    <m/>
    <m/>
    <m/>
  </r>
  <r>
    <x v="0"/>
    <m/>
    <x v="0"/>
    <x v="0"/>
    <m/>
    <m/>
    <m/>
  </r>
  <r>
    <x v="0"/>
    <m/>
    <x v="0"/>
    <x v="0"/>
    <m/>
    <m/>
    <m/>
  </r>
  <r>
    <x v="0"/>
    <m/>
    <x v="0"/>
    <x v="0"/>
    <m/>
    <m/>
    <m/>
  </r>
  <r>
    <x v="0"/>
    <m/>
    <x v="0"/>
    <x v="0"/>
    <m/>
    <m/>
    <m/>
  </r>
  <r>
    <x v="0"/>
    <m/>
    <x v="0"/>
    <x v="0"/>
    <m/>
    <m/>
    <m/>
  </r>
  <r>
    <x v="0"/>
    <m/>
    <x v="0"/>
    <x v="0"/>
    <m/>
    <m/>
    <m/>
  </r>
  <r>
    <x v="0"/>
    <m/>
    <x v="0"/>
    <x v="0"/>
    <m/>
    <m/>
    <m/>
  </r>
  <r>
    <x v="0"/>
    <m/>
    <x v="0"/>
    <x v="0"/>
    <m/>
    <m/>
    <m/>
  </r>
  <r>
    <x v="1"/>
    <s v="Steven Moffitt"/>
    <x v="1"/>
    <x v="1"/>
    <n v="50"/>
    <s v="5wk Course"/>
    <s v="Google"/>
  </r>
  <r>
    <x v="1"/>
    <s v="Jan Whaley"/>
    <x v="2"/>
    <x v="2"/>
    <n v="150"/>
    <s v="Digital Gift Card"/>
    <s v="Google"/>
  </r>
  <r>
    <x v="2"/>
    <s v="Amanda Cope"/>
    <x v="1"/>
    <x v="2"/>
    <n v="30"/>
    <s v="Intro Class"/>
    <s v="Google"/>
  </r>
  <r>
    <x v="2"/>
    <s v="Georgia Guinan"/>
    <x v="1"/>
    <x v="2"/>
    <n v="30"/>
    <s v="Intro Class"/>
    <s v="Google"/>
  </r>
  <r>
    <x v="2"/>
    <s v="Vijaytha Murali"/>
    <x v="1"/>
    <x v="3"/>
    <n v="235"/>
    <s v="4wk Extended Course"/>
    <s v="Existing"/>
  </r>
  <r>
    <x v="3"/>
    <s v="michaella robb"/>
    <x v="2"/>
    <x v="2"/>
    <n v="50"/>
    <s v="Digital Gift Card"/>
    <s v="Google"/>
  </r>
  <r>
    <x v="3"/>
    <s v="Julia Dyer"/>
    <x v="3"/>
    <x v="2"/>
    <n v="59"/>
    <s v="Batsford Calendar"/>
    <s v="Batsford"/>
  </r>
  <r>
    <x v="4"/>
    <s v="Mary Martin"/>
    <x v="1"/>
    <x v="2"/>
    <n v="30"/>
    <s v="Intro Class"/>
    <s v="Google"/>
  </r>
  <r>
    <x v="5"/>
    <s v="Roger Harrison"/>
    <x v="1"/>
    <x v="2"/>
    <n v="50"/>
    <s v="Masterclass Critique"/>
    <s v="Existing"/>
  </r>
  <r>
    <x v="5"/>
    <s v="Kerry Bottomley"/>
    <x v="2"/>
    <x v="2"/>
    <n v="50"/>
    <s v="Digital Gift Card"/>
    <s v="Existing"/>
  </r>
  <r>
    <x v="5"/>
    <s v="Sheelagh Hiley"/>
    <x v="3"/>
    <x v="2"/>
    <n v="176.8"/>
    <s v="Hartland April"/>
    <s v="Google"/>
  </r>
  <r>
    <x v="6"/>
    <s v="Anne Rowling"/>
    <x v="1"/>
    <x v="1"/>
    <n v="30"/>
    <s v="Intro Class"/>
    <s v="Existing"/>
  </r>
  <r>
    <x v="6"/>
    <s v="Christian James"/>
    <x v="1"/>
    <x v="4"/>
    <n v="265"/>
    <s v="5wk Course"/>
    <s v="Google"/>
  </r>
  <r>
    <x v="7"/>
    <s v="Anna Price"/>
    <x v="1"/>
    <x v="2"/>
    <n v="30"/>
    <s v="Intro Class"/>
    <s v="Google"/>
  </r>
  <r>
    <x v="8"/>
    <s v="Matthew Davis"/>
    <x v="2"/>
    <x v="1"/>
    <n v="50"/>
    <s v="Digital Gift Card"/>
    <s v="Existing"/>
  </r>
  <r>
    <x v="8"/>
    <s v="Helen Robinson"/>
    <x v="2"/>
    <x v="2"/>
    <n v="50"/>
    <s v="Digital Gift Card"/>
    <s v="Existing"/>
  </r>
  <r>
    <x v="9"/>
    <s v="Laura Steele"/>
    <x v="2"/>
    <x v="2"/>
    <n v="50"/>
    <s v="Digital Gift Card"/>
    <s v="Existing"/>
  </r>
  <r>
    <x v="9"/>
    <s v="lee clarke"/>
    <x v="4"/>
    <x v="2"/>
    <n v="195"/>
    <s v="1-2-1"/>
    <s v="Existing"/>
  </r>
  <r>
    <x v="9"/>
    <s v="Elaine Adkins"/>
    <x v="1"/>
    <x v="4"/>
    <n v="265"/>
    <s v="5wk Course"/>
    <s v="Google"/>
  </r>
  <r>
    <x v="10"/>
    <s v="P Jordon (Gift Voucher - Janice)"/>
    <x v="2"/>
    <x v="4"/>
    <n v="100"/>
    <s v="Gift Voucher"/>
    <s v="Existing"/>
  </r>
  <r>
    <x v="10"/>
    <s v="Julia Arnold"/>
    <x v="2"/>
    <x v="2"/>
    <n v="30"/>
    <s v="Digital Gift Card"/>
    <s v="Google"/>
  </r>
  <r>
    <x v="10"/>
    <s v="lee clarke"/>
    <x v="4"/>
    <x v="2"/>
    <n v="195"/>
    <s v="1-2-1"/>
    <s v="Existing"/>
  </r>
  <r>
    <x v="10"/>
    <s v="Janet Boulter"/>
    <x v="2"/>
    <x v="2"/>
    <n v="30"/>
    <s v="Forum"/>
    <s v="Existing"/>
  </r>
  <r>
    <x v="11"/>
    <s v="Scott Bremner - ELS"/>
    <x v="1"/>
    <x v="3"/>
    <n v="65"/>
    <s v="LR Course"/>
    <s v="ELS"/>
  </r>
  <r>
    <x v="11"/>
    <s v="Christian Twigg-Flesner - paul kilford"/>
    <x v="1"/>
    <x v="2"/>
    <n v="265"/>
    <s v="5wk Course"/>
    <s v="Google"/>
  </r>
  <r>
    <x v="12"/>
    <s v="Hans Berg - ELS"/>
    <x v="1"/>
    <x v="3"/>
    <n v="65"/>
    <s v="5wk Course"/>
    <s v="ELS"/>
  </r>
  <r>
    <x v="13"/>
    <s v="Emma Mehrabanpour"/>
    <x v="2"/>
    <x v="2"/>
    <n v="50"/>
    <s v="Digital Gift Card"/>
    <s v="Google"/>
  </r>
  <r>
    <x v="14"/>
    <s v="Nick Jones"/>
    <x v="2"/>
    <x v="1"/>
    <n v="30"/>
    <s v="Forum"/>
    <s v="Existing"/>
  </r>
  <r>
    <x v="14"/>
    <s v="Marcela Griffiths"/>
    <x v="1"/>
    <x v="5"/>
    <n v="13"/>
    <s v="Intro Class"/>
    <s v="Groupon"/>
  </r>
  <r>
    <x v="14"/>
    <s v="Chris Johnson"/>
    <x v="1"/>
    <x v="2"/>
    <n v="475"/>
    <s v="Intermediates Course"/>
    <s v="Existing"/>
  </r>
  <r>
    <x v="15"/>
    <s v="Joy Dennison"/>
    <x v="1"/>
    <x v="2"/>
    <n v="235"/>
    <s v="4wk Extended Course"/>
    <s v="Existing"/>
  </r>
  <r>
    <x v="16"/>
    <s v="Karen Morris"/>
    <x v="2"/>
    <x v="2"/>
    <n v="7.75"/>
    <s v="5wk Course"/>
    <s v="Google"/>
  </r>
  <r>
    <x v="16"/>
    <s v="Karen Morris"/>
    <x v="1"/>
    <x v="2"/>
    <n v="265"/>
    <s v="5wk Course"/>
    <s v="Google"/>
  </r>
  <r>
    <x v="17"/>
    <s v="Carol Stephens"/>
    <x v="1"/>
    <x v="3"/>
    <n v="225"/>
    <s v="5wk Course"/>
    <s v="Google"/>
  </r>
  <r>
    <x v="17"/>
    <s v="Amundep Hothi - ELS"/>
    <x v="1"/>
    <x v="3"/>
    <n v="65"/>
    <s v="5wk Course"/>
    <s v="ELS"/>
  </r>
  <r>
    <x v="17"/>
    <s v="Dec Pick N Mix"/>
    <x v="5"/>
    <x v="6"/>
    <n v="307.48"/>
    <s v="Pick N Mix Payments"/>
    <s v="Existing"/>
  </r>
  <r>
    <x v="17"/>
    <s v="Dec Mentoring"/>
    <x v="6"/>
    <x v="6"/>
    <n v="60"/>
    <s v="Mentoring Subs"/>
    <s v="Existing"/>
  </r>
  <r>
    <x v="0"/>
    <m/>
    <x v="0"/>
    <x v="0"/>
    <m/>
    <m/>
    <m/>
  </r>
  <r>
    <x v="18"/>
    <s v="Vijaytha Murali"/>
    <x v="1"/>
    <x v="7"/>
    <n v="10"/>
    <s v="4wk Ext Course"/>
    <s v="Groupon"/>
  </r>
  <r>
    <x v="18"/>
    <s v="Carol Stephens"/>
    <x v="1"/>
    <x v="7"/>
    <n v="10"/>
    <s v="4wk Ext Course"/>
    <s v="Google"/>
  </r>
  <r>
    <x v="18"/>
    <s v="John Hayes"/>
    <x v="3"/>
    <x v="2"/>
    <n v="66.8"/>
    <s v="Xmas Photo Walk"/>
    <s v="Google"/>
  </r>
  <r>
    <x v="18"/>
    <s v="Karen Blake"/>
    <x v="1"/>
    <x v="2"/>
    <n v="165"/>
    <s v="5wk Course"/>
    <s v="Google"/>
  </r>
  <r>
    <x v="19"/>
    <s v="Preetha Luther - ELS"/>
    <x v="1"/>
    <x v="3"/>
    <n v="65"/>
    <s v="5wk Course"/>
    <s v="ELS"/>
  </r>
  <r>
    <x v="19"/>
    <s v="J Blore"/>
    <x v="2"/>
    <x v="4"/>
    <n v="85"/>
    <s v="Gift Voucher"/>
    <s v="Google"/>
  </r>
  <r>
    <x v="20"/>
    <s v="Nadine Pratt"/>
    <x v="1"/>
    <x v="3"/>
    <n v="100"/>
    <s v="5wk Course"/>
    <s v="Google"/>
  </r>
  <r>
    <x v="20"/>
    <s v="Sayed Nazir - ELS"/>
    <x v="1"/>
    <x v="3"/>
    <n v="65"/>
    <s v="5wk Course"/>
    <s v="ELS"/>
  </r>
  <r>
    <x v="20"/>
    <s v="Jill James"/>
    <x v="3"/>
    <x v="4"/>
    <n v="61"/>
    <s v="Batsford Workshop March"/>
    <s v="Google"/>
  </r>
  <r>
    <x v="20"/>
    <s v="Jonathan Hull"/>
    <x v="2"/>
    <x v="1"/>
    <n v="40"/>
    <s v="Gift Voucher"/>
    <s v="Google"/>
  </r>
  <r>
    <x v="20"/>
    <s v="Johanna Stansfield"/>
    <x v="5"/>
    <x v="3"/>
    <n v="1623"/>
    <s v="Various"/>
    <s v="Existing"/>
  </r>
  <r>
    <x v="21"/>
    <s v="Andrew Holmes"/>
    <x v="3"/>
    <x v="2"/>
    <n v="695"/>
    <s v="Hartland April"/>
    <s v="Google"/>
  </r>
  <r>
    <x v="22"/>
    <s v="Johanna Stansfield"/>
    <x v="1"/>
    <x v="2"/>
    <n v="50"/>
    <s v="LR Organisation"/>
    <s v="Existing"/>
  </r>
  <r>
    <x v="22"/>
    <s v="Michael Morgan"/>
    <x v="1"/>
    <x v="5"/>
    <n v="13"/>
    <s v="Intro Class"/>
    <s v="Groupon"/>
  </r>
  <r>
    <x v="22"/>
    <s v="Dannie Merry"/>
    <x v="2"/>
    <x v="1"/>
    <n v="42.99"/>
    <s v="3 Prints"/>
    <s v="Zenfolio"/>
  </r>
  <r>
    <x v="20"/>
    <s v="Ashwyn Dhir - ELS"/>
    <x v="1"/>
    <x v="3"/>
    <n v="200"/>
    <s v="5wk Course"/>
    <s v="ELS"/>
  </r>
  <r>
    <x v="20"/>
    <s v="Richard Wardle - ELS"/>
    <x v="1"/>
    <x v="3"/>
    <n v="200"/>
    <s v="Intermediates"/>
    <s v="ELS"/>
  </r>
  <r>
    <x v="20"/>
    <s v="Helen Finch - ELS"/>
    <x v="1"/>
    <x v="3"/>
    <n v="150"/>
    <s v="5wk Course"/>
    <s v="ELS"/>
  </r>
  <r>
    <x v="23"/>
    <s v="Nadine Preece"/>
    <x v="3"/>
    <x v="2"/>
    <n v="66.8"/>
    <s v="Xmas Sparkle"/>
    <s v="Existing"/>
  </r>
  <r>
    <x v="23"/>
    <s v="Karen Blake"/>
    <x v="1"/>
    <x v="2"/>
    <n v="100"/>
    <s v="5wk Course"/>
    <s v="Google"/>
  </r>
  <r>
    <x v="23"/>
    <s v="Matthew Lees"/>
    <x v="3"/>
    <x v="2"/>
    <n v="302.4"/>
    <s v="Northumbria Workshop"/>
    <s v="Google"/>
  </r>
  <r>
    <x v="24"/>
    <s v="Fiona Cummings"/>
    <x v="2"/>
    <x v="2"/>
    <n v="43.6"/>
    <s v="Gift Voucher"/>
    <s v="Existing"/>
  </r>
  <r>
    <x v="25"/>
    <s v="Debbie Colby"/>
    <x v="3"/>
    <x v="2"/>
    <n v="150"/>
    <s v="Xmas Walk"/>
    <s v="Google"/>
  </r>
  <r>
    <x v="26"/>
    <s v="J Blore"/>
    <x v="1"/>
    <x v="2"/>
    <n v="50"/>
    <s v="Masterclass"/>
    <s v="Google"/>
  </r>
  <r>
    <x v="27"/>
    <s v="Justin Meaden"/>
    <x v="3"/>
    <x v="2"/>
    <n v="482.2"/>
    <s v="Various Workshops"/>
    <s v="Existing"/>
  </r>
  <r>
    <x v="27"/>
    <s v="Veronika Beckova "/>
    <x v="3"/>
    <x v="3"/>
    <n v="33"/>
    <s v="Bluebells"/>
    <s v="Google"/>
  </r>
  <r>
    <x v="27"/>
    <s v="Jodie Child"/>
    <x v="1"/>
    <x v="3"/>
    <n v="65"/>
    <s v="5wk Course"/>
    <s v="ELS"/>
  </r>
  <r>
    <x v="27"/>
    <s v="Steven Moffitt"/>
    <x v="1"/>
    <x v="2"/>
    <n v="265"/>
    <s v="5wk Course"/>
    <s v="Google"/>
  </r>
  <r>
    <x v="27"/>
    <s v="Rob Graham ELS"/>
    <x v="1"/>
    <x v="3"/>
    <n v="200"/>
    <s v="5wk Course"/>
    <s v="ELS"/>
  </r>
  <r>
    <x v="27"/>
    <s v="Jonathan McCaughan  ELS"/>
    <x v="1"/>
    <x v="3"/>
    <n v="200"/>
    <s v="5wk Course"/>
    <s v="ELS"/>
  </r>
  <r>
    <x v="27"/>
    <s v="Shen Xiang -ELS"/>
    <x v="1"/>
    <x v="3"/>
    <n v="200"/>
    <s v="5wk Course"/>
    <s v="ELS"/>
  </r>
  <r>
    <x v="27"/>
    <s v="Seon Chang - ELS"/>
    <x v="1"/>
    <x v="3"/>
    <n v="200"/>
    <s v="5wk Course"/>
    <s v="ELS"/>
  </r>
  <r>
    <x v="28"/>
    <s v="Robert Smith"/>
    <x v="1"/>
    <x v="2"/>
    <n v="270"/>
    <s v="4wk Beginners"/>
    <s v="Existing"/>
  </r>
  <r>
    <x v="28"/>
    <s v="Stacey Jones"/>
    <x v="1"/>
    <x v="2"/>
    <n v="135"/>
    <s v="4wk Beginners"/>
    <s v="Google"/>
  </r>
  <r>
    <x v="28"/>
    <s v="Robert Smith"/>
    <x v="1"/>
    <x v="2"/>
    <n v="200"/>
    <s v="4wk Beginners"/>
    <s v="Existing"/>
  </r>
  <r>
    <x v="28"/>
    <s v="Stacey Jones"/>
    <x v="1"/>
    <x v="2"/>
    <n v="30"/>
    <s v="Intro Class"/>
    <s v="Google"/>
  </r>
  <r>
    <x v="28"/>
    <s v="Stacey Jones"/>
    <x v="1"/>
    <x v="2"/>
    <n v="100"/>
    <s v="4wk Beginners"/>
    <s v="Google"/>
  </r>
  <r>
    <x v="29"/>
    <s v="Nadine Pratt"/>
    <x v="1"/>
    <x v="3"/>
    <n v="65"/>
    <s v="5wk Course"/>
    <s v="Google"/>
  </r>
  <r>
    <x v="29"/>
    <s v="Janet Boulter"/>
    <x v="1"/>
    <x v="1"/>
    <n v="100"/>
    <s v="Various"/>
    <s v="Existing"/>
  </r>
  <r>
    <x v="29"/>
    <s v="Nadine Pratt"/>
    <x v="3"/>
    <x v="2"/>
    <n v="225.8"/>
    <s v="Various"/>
    <s v="Google"/>
  </r>
  <r>
    <x v="30"/>
    <s v="Donna Glaister"/>
    <x v="1"/>
    <x v="5"/>
    <n v="13"/>
    <s v="Intro Class"/>
    <s v="Groupon"/>
  </r>
  <r>
    <x v="30"/>
    <s v="Owen Deneny"/>
    <x v="1"/>
    <x v="3"/>
    <n v="117.5"/>
    <s v="4wk Beginners"/>
    <s v="Google"/>
  </r>
  <r>
    <x v="31"/>
    <s v="Charlotte Kaye"/>
    <x v="1"/>
    <x v="1"/>
    <n v="60"/>
    <s v="Intro Class"/>
    <s v="Google"/>
  </r>
  <r>
    <x v="31"/>
    <s v="Nov Pick N Mix"/>
    <x v="5"/>
    <x v="6"/>
    <n v="615"/>
    <s v="Pick N Mix Payments"/>
    <s v="Existing"/>
  </r>
  <r>
    <x v="31"/>
    <s v="Nov Mentoring"/>
    <x v="6"/>
    <x v="6"/>
    <n v="80"/>
    <s v="Mentoring Subs"/>
    <s v="Existing"/>
  </r>
  <r>
    <x v="31"/>
    <s v="Xposure Fees"/>
    <x v="1"/>
    <x v="3"/>
    <n v="2493"/>
    <s v="Xposure"/>
    <s v="Existing"/>
  </r>
  <r>
    <x v="0"/>
    <m/>
    <x v="0"/>
    <x v="0"/>
    <m/>
    <m/>
    <m/>
  </r>
  <r>
    <x v="32"/>
    <s v="Rebecca Teague"/>
    <x v="3"/>
    <x v="2"/>
    <n v="66.8"/>
    <s v="Poppies"/>
    <s v="Existing"/>
  </r>
  <r>
    <x v="33"/>
    <s v="Gemma Proctor"/>
    <x v="3"/>
    <x v="1"/>
    <n v="73.34999999999999"/>
    <s v="Xmas Sparkle"/>
    <s v="Google"/>
  </r>
  <r>
    <x v="33"/>
    <s v="Gill Cartwright"/>
    <x v="3"/>
    <x v="1"/>
    <n v="100.8"/>
    <s v="Batsford"/>
    <s v="Other"/>
  </r>
  <r>
    <x v="33"/>
    <s v="sharron kerr"/>
    <x v="3"/>
    <x v="1"/>
    <n v="66.8"/>
    <s v="Fireworks"/>
    <s v="Google"/>
  </r>
  <r>
    <x v="33"/>
    <s v="Marvin Epton - ELS"/>
    <x v="1"/>
    <x v="3"/>
    <n v="200"/>
    <s v="5wk Course"/>
    <s v="ELS"/>
  </r>
  <r>
    <x v="33"/>
    <s v="Aidan Broderick - ELS"/>
    <x v="1"/>
    <x v="3"/>
    <n v="200"/>
    <s v="5wk Course"/>
    <s v="ELS"/>
  </r>
  <r>
    <x v="34"/>
    <s v="Marius Ciobanu -ELS"/>
    <x v="1"/>
    <x v="3"/>
    <n v="200"/>
    <s v="5wk Course"/>
    <s v="ELS"/>
  </r>
  <r>
    <x v="35"/>
    <s v="Kerry Bottomley"/>
    <x v="3"/>
    <x v="1"/>
    <n v="151.8"/>
    <s v="Batsford"/>
    <s v="Batsford"/>
  </r>
  <r>
    <x v="36"/>
    <s v="Richard Wardle - ELS"/>
    <x v="1"/>
    <x v="3"/>
    <n v="275"/>
    <s v="Intentions Course"/>
    <s v="ELS"/>
  </r>
  <r>
    <x v="37"/>
    <s v="Lawrence Peach"/>
    <x v="1"/>
    <x v="5"/>
    <n v="13"/>
    <s v="Intro Class"/>
    <s v="Groupon"/>
  </r>
  <r>
    <x v="37"/>
    <s v="Steven Skidmore"/>
    <x v="1"/>
    <x v="5"/>
    <n v="13"/>
    <s v="Intro Class"/>
    <s v="Groupon"/>
  </r>
  <r>
    <x v="37"/>
    <s v="Helen Finch"/>
    <x v="1"/>
    <x v="3"/>
    <n v="380"/>
    <s v="5wk Course"/>
    <s v="ELS"/>
  </r>
  <r>
    <x v="38"/>
    <s v="Mike Ford"/>
    <x v="2"/>
    <x v="1"/>
    <n v="30"/>
    <s v="Forum"/>
    <s v="Existing"/>
  </r>
  <r>
    <x v="38"/>
    <s v="Owen Deneny"/>
    <x v="1"/>
    <x v="3"/>
    <n v="117.5"/>
    <s v="5wk Course"/>
    <s v="Google"/>
  </r>
  <r>
    <x v="39"/>
    <s v="Chris Johnson"/>
    <x v="3"/>
    <x v="2"/>
    <n v="151.8"/>
    <s v="Batsford"/>
    <s v="Existing"/>
  </r>
  <r>
    <x v="39"/>
    <s v="Johanna Stansfield"/>
    <x v="3"/>
    <x v="2"/>
    <n v="151.8"/>
    <s v="Batsford"/>
    <s v="Existing"/>
  </r>
  <r>
    <x v="39"/>
    <s v="David Ainsbury"/>
    <x v="3"/>
    <x v="1"/>
    <n v="99"/>
    <s v="Batsford"/>
    <s v="Batsford"/>
  </r>
  <r>
    <x v="39"/>
    <s v="Janet Roberts"/>
    <x v="1"/>
    <x v="3"/>
    <n v="175"/>
    <s v="Lightroom Course"/>
    <s v="Existing"/>
  </r>
  <r>
    <x v="39"/>
    <s v="Janice Jordon"/>
    <x v="3"/>
    <x v="3"/>
    <n v="150"/>
    <s v="Batsford"/>
    <s v="Existing"/>
  </r>
  <r>
    <x v="39"/>
    <s v="Chris Parker"/>
    <x v="3"/>
    <x v="3"/>
    <n v="150"/>
    <s v="Batsford"/>
    <s v="Existing"/>
  </r>
  <r>
    <x v="40"/>
    <s v="Owen Deneny"/>
    <x v="1"/>
    <x v="1"/>
    <n v="30"/>
    <s v="Intro Class"/>
    <s v="Google"/>
  </r>
  <r>
    <x v="41"/>
    <s v="Shen Xiang -ELS"/>
    <x v="1"/>
    <x v="3"/>
    <n v="65"/>
    <s v="5wk Course"/>
    <s v="ELS"/>
  </r>
  <r>
    <x v="41"/>
    <s v="Ashwyn Dhir"/>
    <x v="1"/>
    <x v="3"/>
    <n v="65"/>
    <s v="5wk Course"/>
    <s v="ELS"/>
  </r>
  <r>
    <x v="41"/>
    <s v="Karen Smith"/>
    <x v="3"/>
    <x v="2"/>
    <n v="200.4"/>
    <s v="Batsford"/>
    <s v="Batsford"/>
  </r>
  <r>
    <x v="42"/>
    <s v="Virginia Mason"/>
    <x v="3"/>
    <x v="2"/>
    <n v="100.8"/>
    <s v="Batsford"/>
    <s v="Other"/>
  </r>
  <r>
    <x v="42"/>
    <s v="Des Watkins"/>
    <x v="3"/>
    <x v="2"/>
    <n v="151.8"/>
    <s v="Batsford"/>
    <s v="Existing"/>
  </r>
  <r>
    <x v="43"/>
    <s v="Jonathan McCaughan  ELS"/>
    <x v="1"/>
    <x v="3"/>
    <n v="100"/>
    <s v="5wk Course"/>
    <s v="ELS"/>
  </r>
  <r>
    <x v="43"/>
    <s v="Jonathan McCaughan  ELS"/>
    <x v="1"/>
    <x v="3"/>
    <n v="230"/>
    <s v="5wk Course"/>
    <s v="ELS"/>
  </r>
  <r>
    <x v="43"/>
    <s v="Lee Clarke"/>
    <x v="4"/>
    <x v="2"/>
    <n v="195"/>
    <s v="1-2-1 Lightroom"/>
    <s v="Existing"/>
  </r>
  <r>
    <x v="44"/>
    <s v="Nikita Da Cunha"/>
    <x v="1"/>
    <x v="5"/>
    <n v="13"/>
    <s v="Intro Class"/>
    <s v="Groupon"/>
  </r>
  <r>
    <x v="44"/>
    <s v="Vijaytha Murali"/>
    <x v="1"/>
    <x v="5"/>
    <n v="13"/>
    <s v="Intro Class"/>
    <s v="Groupon"/>
  </r>
  <r>
    <x v="44"/>
    <s v="Michael Tombs"/>
    <x v="3"/>
    <x v="2"/>
    <n v="151.8"/>
    <s v="Batsford"/>
    <s v="Existing"/>
  </r>
  <r>
    <x v="45"/>
    <s v="Anne Spackman"/>
    <x v="3"/>
    <x v="2"/>
    <n v="100.8"/>
    <s v="Batsford"/>
    <s v="Other"/>
  </r>
  <r>
    <x v="45"/>
    <s v="Janice Jordon"/>
    <x v="3"/>
    <x v="3"/>
    <n v="350"/>
    <s v="France"/>
    <s v="Existing"/>
  </r>
  <r>
    <x v="45"/>
    <s v="Rob Graham"/>
    <x v="1"/>
    <x v="3"/>
    <n v="65"/>
    <s v="5wk Course"/>
    <s v="ELS"/>
  </r>
  <r>
    <x v="46"/>
    <s v="Laura Byrne"/>
    <x v="4"/>
    <x v="2"/>
    <n v="50"/>
    <s v="Panel Review"/>
    <s v="Existing"/>
  </r>
  <r>
    <x v="46"/>
    <s v="Anne Watkinson"/>
    <x v="3"/>
    <x v="2"/>
    <n v="166.4"/>
    <s v="Batsford/Fireworks"/>
    <s v="Existing"/>
  </r>
  <r>
    <x v="46"/>
    <s v="Tony Wright"/>
    <x v="3"/>
    <x v="4"/>
    <n v="40"/>
    <s v="Batsford"/>
    <s v="Batsford"/>
  </r>
  <r>
    <x v="46"/>
    <s v="Julia R A Taylor"/>
    <x v="3"/>
    <x v="2"/>
    <n v="200.4"/>
    <s v="Batsford"/>
    <s v="Batsford"/>
  </r>
  <r>
    <x v="47"/>
    <s v="Carol Stephens"/>
    <x v="1"/>
    <x v="2"/>
    <n v="30"/>
    <s v="Intro Class"/>
    <s v="Google"/>
  </r>
  <r>
    <x v="47"/>
    <s v="Harriet Bowley"/>
    <x v="1"/>
    <x v="1"/>
    <n v="265"/>
    <s v="Lightroom Course"/>
    <s v="Existing"/>
  </r>
  <r>
    <x v="48"/>
    <s v="Nadine Preece"/>
    <x v="1"/>
    <x v="2"/>
    <n v="265"/>
    <s v="5wk Course"/>
    <s v="Existing"/>
  </r>
  <r>
    <x v="48"/>
    <s v="Philippa Gunn"/>
    <x v="3"/>
    <x v="2"/>
    <n v="302.4"/>
    <s v="Batsford"/>
    <s v="Batsford"/>
  </r>
  <r>
    <x v="49"/>
    <s v="Sunny Chang - ELS"/>
    <x v="1"/>
    <x v="3"/>
    <n v="200"/>
    <s v="5wk Course"/>
    <s v="ELS"/>
  </r>
  <r>
    <x v="49"/>
    <s v="Stewart Twilton - ELS"/>
    <x v="3"/>
    <x v="3"/>
    <n v="135"/>
    <s v="1 day workshop"/>
    <s v="ELS"/>
  </r>
  <r>
    <x v="49"/>
    <s v="Aikaterini Fotoglou - ELS"/>
    <x v="1"/>
    <x v="3"/>
    <n v="200"/>
    <s v="5wk Course"/>
    <s v="ELS"/>
  </r>
  <r>
    <x v="49"/>
    <s v="Ran Tao - ELS"/>
    <x v="1"/>
    <x v="3"/>
    <n v="200"/>
    <s v="5wk Course"/>
    <s v="ELS"/>
  </r>
  <r>
    <x v="50"/>
    <s v="Con Mchugh"/>
    <x v="5"/>
    <x v="3"/>
    <n v="1000"/>
    <s v="Pick N Mix"/>
    <s v="Existing"/>
  </r>
  <r>
    <x v="50"/>
    <s v="Daryl Cowmeadow"/>
    <x v="2"/>
    <x v="1"/>
    <n v="20.85"/>
    <s v="Pocket Guides"/>
    <s v="Batsford"/>
  </r>
  <r>
    <x v="50"/>
    <s v="Malcolm Mccutcheon "/>
    <x v="1"/>
    <x v="5"/>
    <n v="13"/>
    <s v="Intro Class"/>
    <s v="Groupon"/>
  </r>
  <r>
    <x v="51"/>
    <s v="Kim Robert - ELS"/>
    <x v="1"/>
    <x v="3"/>
    <n v="200"/>
    <s v="5wk Course"/>
    <s v="ELS"/>
  </r>
  <r>
    <x v="51"/>
    <s v="Scott Bremner - ELS"/>
    <x v="1"/>
    <x v="3"/>
    <n v="200"/>
    <s v="5wk Course"/>
    <s v="ELS"/>
  </r>
  <r>
    <x v="51"/>
    <s v="Michael King - ELS"/>
    <x v="1"/>
    <x v="3"/>
    <n v="200"/>
    <s v="4wk Course"/>
    <s v="ELS"/>
  </r>
  <r>
    <x v="51"/>
    <s v="Thomas Lloyd -ELS"/>
    <x v="3"/>
    <x v="3"/>
    <n v="65"/>
    <s v="Workshop"/>
    <s v="ELS"/>
  </r>
  <r>
    <x v="51"/>
    <s v="Jieyuan Wu - ELS"/>
    <x v="1"/>
    <x v="3"/>
    <n v="200"/>
    <s v="5wk Course"/>
    <s v="ELS"/>
  </r>
  <r>
    <x v="51"/>
    <s v="Daniel Thomas - ELS"/>
    <x v="1"/>
    <x v="3"/>
    <n v="200"/>
    <s v="5wk Course"/>
    <s v="ELS"/>
  </r>
  <r>
    <x v="51"/>
    <s v="Paul Gardiner - ELS"/>
    <x v="3"/>
    <x v="3"/>
    <n v="41"/>
    <s v="Workshop"/>
    <s v="ELS"/>
  </r>
  <r>
    <x v="52"/>
    <s v="Oct Pick N Mix"/>
    <x v="5"/>
    <x v="6"/>
    <n v="232.48"/>
    <s v="Pick N Mix Payments"/>
    <s v="Existing"/>
  </r>
  <r>
    <x v="52"/>
    <s v="Oct Mentoring"/>
    <x v="6"/>
    <x v="6"/>
    <n v="100"/>
    <s v="Mentoring Subs"/>
    <s v="Existing"/>
  </r>
  <r>
    <x v="52"/>
    <s v="Emily Russell"/>
    <x v="3"/>
    <x v="1"/>
    <n v="100.8"/>
    <s v="Batsford"/>
    <s v="Google"/>
  </r>
  <r>
    <x v="0"/>
    <m/>
    <x v="0"/>
    <x v="0"/>
    <m/>
    <m/>
    <m/>
  </r>
  <r>
    <x v="53"/>
    <s v="Duncan Harris"/>
    <x v="1"/>
    <x v="1"/>
    <n v="265"/>
    <s v="5wk Course"/>
    <s v="Google"/>
  </r>
  <r>
    <x v="54"/>
    <s v="Rebecca Mower"/>
    <x v="3"/>
    <x v="2"/>
    <n v="151.8"/>
    <s v="Batsford"/>
    <s v="Batsford"/>
  </r>
  <r>
    <x v="55"/>
    <s v="Jane Sahaslan"/>
    <x v="3"/>
    <x v="2"/>
    <n v="66.8"/>
    <s v="Fireworks"/>
    <s v="Google"/>
  </r>
  <r>
    <x v="55"/>
    <s v="Amy Morris"/>
    <x v="5"/>
    <x v="3"/>
    <n v="1000"/>
    <s v="Mentoring + Courses"/>
    <s v="Google"/>
  </r>
  <r>
    <x v="56"/>
    <s v="Marvin Epton"/>
    <x v="1"/>
    <x v="3"/>
    <n v="65"/>
    <s v="Lightroom Course"/>
    <s v="ELS"/>
  </r>
  <r>
    <x v="56"/>
    <s v="Amit Sinha"/>
    <x v="3"/>
    <x v="2"/>
    <n v="151.8"/>
    <s v="Batsford Workshop"/>
    <s v="Google"/>
  </r>
  <r>
    <x v="57"/>
    <s v="Gill Roberts"/>
    <x v="3"/>
    <x v="4"/>
    <n v="99"/>
    <s v="Batsford Workshop"/>
    <s v="Batsford"/>
  </r>
  <r>
    <x v="58"/>
    <s v="Tracy Kenny"/>
    <x v="1"/>
    <x v="3"/>
    <n v="55"/>
    <s v="4wk Course"/>
    <s v="Google"/>
  </r>
  <r>
    <x v="58"/>
    <s v="Tracy Kenny"/>
    <x v="1"/>
    <x v="2"/>
    <n v="135"/>
    <s v="4wk Course"/>
    <s v="Google"/>
  </r>
  <r>
    <x v="58"/>
    <s v="Colin Stephens"/>
    <x v="1"/>
    <x v="5"/>
    <n v="13"/>
    <s v="Intro Class"/>
    <s v="Groupon"/>
  </r>
  <r>
    <x v="59"/>
    <s v="Simon Betteridge"/>
    <x v="3"/>
    <x v="3"/>
    <n v="475"/>
    <s v="Lakes"/>
    <s v="Existing"/>
  </r>
  <r>
    <x v="59"/>
    <s v="James Cameron"/>
    <x v="3"/>
    <x v="2"/>
    <n v="476.8"/>
    <s v="Lakes"/>
    <s v="Existing"/>
  </r>
  <r>
    <x v="60"/>
    <s v="Aidan Broderick - ELS"/>
    <x v="1"/>
    <x v="3"/>
    <n v="65"/>
    <s v="Beginner Course"/>
    <s v="ELS"/>
  </r>
  <r>
    <x v="61"/>
    <s v="Anju Dhadra"/>
    <x v="1"/>
    <x v="5"/>
    <n v="13"/>
    <s v="Intro Class"/>
    <s v="Groupon"/>
  </r>
  <r>
    <x v="61"/>
    <s v="Christina Barnfield"/>
    <x v="1"/>
    <x v="5"/>
    <n v="13"/>
    <s v="Intro Class"/>
    <s v="Groupon"/>
  </r>
  <r>
    <x v="61"/>
    <s v="Brian McBride"/>
    <x v="1"/>
    <x v="5"/>
    <n v="13"/>
    <s v="Intro Class"/>
    <s v="Groupon"/>
  </r>
  <r>
    <x v="61"/>
    <s v="Kirsty McBride"/>
    <x v="1"/>
    <x v="5"/>
    <n v="13"/>
    <s v="Intro Class"/>
    <s v="Groupon"/>
  </r>
  <r>
    <x v="61"/>
    <s v="MTC"/>
    <x v="2"/>
    <x v="3"/>
    <n v="350"/>
    <s v="Photo Shoot"/>
    <s v="Google"/>
  </r>
  <r>
    <x v="62"/>
    <s v="Kirsten Pearce"/>
    <x v="5"/>
    <x v="3"/>
    <n v="175"/>
    <s v="Pick N MixPlan"/>
    <s v="Existing"/>
  </r>
  <r>
    <x v="63"/>
    <s v="Doug Smith"/>
    <x v="3"/>
    <x v="2"/>
    <n v="476.8"/>
    <s v="Lakes"/>
    <s v="Google"/>
  </r>
  <r>
    <x v="63"/>
    <s v="William Shearer"/>
    <x v="3"/>
    <x v="2"/>
    <n v="151.8"/>
    <s v="Batsford Workshop"/>
    <s v="Google"/>
  </r>
  <r>
    <x v="64"/>
    <s v="Michelle Bradshaw"/>
    <x v="1"/>
    <x v="2"/>
    <n v="30"/>
    <s v="Intro Class"/>
    <s v="Google"/>
  </r>
  <r>
    <x v="64"/>
    <s v="Sharon Sodhi"/>
    <x v="1"/>
    <x v="2"/>
    <n v="30"/>
    <s v="Intro Class"/>
    <s v="Other"/>
  </r>
  <r>
    <x v="64"/>
    <s v="Len Sutton"/>
    <x v="1"/>
    <x v="3"/>
    <n v="165"/>
    <s v="Lightroom Course"/>
    <s v="Existing"/>
  </r>
  <r>
    <x v="65"/>
    <s v="Glenn Torpy"/>
    <x v="3"/>
    <x v="2"/>
    <n v="150"/>
    <s v="Batsford Workshop"/>
    <s v="Batsford"/>
  </r>
  <r>
    <x v="65"/>
    <s v="Beata Stojek"/>
    <x v="1"/>
    <x v="5"/>
    <n v="13"/>
    <s v="Intro Class"/>
    <s v="Groupon"/>
  </r>
  <r>
    <x v="65"/>
    <s v="Paul Gardiner"/>
    <x v="3"/>
    <x v="3"/>
    <n v="48"/>
    <s v="Chesterton Workshop"/>
    <s v="ELS"/>
  </r>
  <r>
    <x v="65"/>
    <s v="Nicola Broderick"/>
    <x v="2"/>
    <x v="2"/>
    <n v="7.75"/>
    <s v="Pocket Guide"/>
    <s v="Batsford"/>
  </r>
  <r>
    <x v="65"/>
    <s v="Nicola Broderick"/>
    <x v="3"/>
    <x v="2"/>
    <n v="200.4"/>
    <s v="Batsford Workshop"/>
    <s v="Batsford"/>
  </r>
  <r>
    <x v="65"/>
    <s v="Simon Lerwell"/>
    <x v="3"/>
    <x v="3"/>
    <n v="39"/>
    <s v="Batsford Calendar"/>
    <s v="Google"/>
  </r>
  <r>
    <x v="65"/>
    <s v="Simon King"/>
    <x v="4"/>
    <x v="2"/>
    <n v="85"/>
    <s v="ARPS Panel"/>
    <s v="Google"/>
  </r>
  <r>
    <x v="65"/>
    <s v="Xposure"/>
    <x v="1"/>
    <x v="3"/>
    <n v="2493"/>
    <s v="Xposure Festival"/>
    <s v="Existing"/>
  </r>
  <r>
    <x v="66"/>
    <s v="laura byrne"/>
    <x v="2"/>
    <x v="7"/>
    <n v="30"/>
    <s v="Tripod Hire"/>
    <s v="Existing"/>
  </r>
  <r>
    <x v="66"/>
    <s v="laura byrne"/>
    <x v="1"/>
    <x v="2"/>
    <n v="50"/>
    <s v="Masterclass"/>
    <s v="Existing"/>
  </r>
  <r>
    <x v="67"/>
    <s v="Emilie Moslard"/>
    <x v="1"/>
    <x v="2"/>
    <n v="50"/>
    <s v="Masterclass"/>
    <s v="Google"/>
  </r>
  <r>
    <x v="68"/>
    <s v="Johanna Stansfield"/>
    <x v="6"/>
    <x v="1"/>
    <n v="20"/>
    <s v="Mentoring Subs"/>
    <s v="Existing"/>
  </r>
  <r>
    <x v="69"/>
    <s v="Johanna Stansfield"/>
    <x v="3"/>
    <x v="2"/>
    <n v="200.4"/>
    <s v="Batsford Workshop"/>
    <s v="Batsford"/>
  </r>
  <r>
    <x v="69"/>
    <s v="Darlene Barnfield"/>
    <x v="3"/>
    <x v="4"/>
    <n v="99"/>
    <s v="Batsford Workshop"/>
    <s v="Batsford"/>
  </r>
  <r>
    <x v="70"/>
    <s v="Sunny Chang"/>
    <x v="1"/>
    <x v="3"/>
    <n v="65"/>
    <s v="5wk Course"/>
    <s v="ELS"/>
  </r>
  <r>
    <x v="70"/>
    <s v="Matthew Paterson"/>
    <x v="3"/>
    <x v="4"/>
    <n v="99"/>
    <s v="Batsford Workshop"/>
    <s v="Batsford"/>
  </r>
  <r>
    <x v="71"/>
    <s v="Louise Harris"/>
    <x v="2"/>
    <x v="2"/>
    <n v="22.4"/>
    <s v="Gift Voucher"/>
    <s v="Existing"/>
  </r>
  <r>
    <x v="72"/>
    <s v="Philip Wander"/>
    <x v="3"/>
    <x v="2"/>
    <n v="100.8"/>
    <s v="Batsford Workshop"/>
    <s v="Batsford"/>
  </r>
  <r>
    <x v="73"/>
    <s v="Keith Hinsley"/>
    <x v="1"/>
    <x v="1"/>
    <n v="30"/>
    <s v="Intro Class"/>
    <s v="Google"/>
  </r>
  <r>
    <x v="73"/>
    <s v="Glyn Fetcher"/>
    <x v="3"/>
    <x v="2"/>
    <n v="696.8"/>
    <s v="Northumbria"/>
    <s v="Google"/>
  </r>
  <r>
    <x v="74"/>
    <s v="Elaine Castleford"/>
    <x v="3"/>
    <x v="2"/>
    <n v="59"/>
    <s v="Batsford Calendar"/>
    <s v="Batsford"/>
  </r>
  <r>
    <x v="75"/>
    <s v="Keith Miller"/>
    <x v="1"/>
    <x v="2"/>
    <n v="145"/>
    <s v="Age Uk Course"/>
    <s v="Google"/>
  </r>
  <r>
    <x v="76"/>
    <s v="Helen Carter"/>
    <x v="1"/>
    <x v="2"/>
    <n v="265"/>
    <s v="5wk Course"/>
    <s v="Google"/>
  </r>
  <r>
    <x v="77"/>
    <s v="Amy Morris"/>
    <x v="4"/>
    <x v="1"/>
    <n v="120"/>
    <s v="1-2-1"/>
    <s v="Google"/>
  </r>
  <r>
    <x v="77"/>
    <s v="Stewart Twilton - ELS"/>
    <x v="3"/>
    <x v="3"/>
    <n v="65"/>
    <s v="Chesterton Workshop"/>
    <s v="ELS"/>
  </r>
  <r>
    <x v="77"/>
    <s v="Adam Shepherd -ELS"/>
    <x v="3"/>
    <x v="3"/>
    <n v="75"/>
    <s v="Chesterton Workshop"/>
    <s v="ELS"/>
  </r>
  <r>
    <x v="77"/>
    <s v="Lee Clarke"/>
    <x v="4"/>
    <x v="2"/>
    <n v="195"/>
    <s v="1-2-1 Tuition"/>
    <s v="Google"/>
  </r>
  <r>
    <x v="77"/>
    <s v="Thomas Hewitt"/>
    <x v="1"/>
    <x v="2"/>
    <n v="235"/>
    <s v="4wk Extended Course"/>
    <s v="Google"/>
  </r>
  <r>
    <x v="77"/>
    <s v="Marius Ciobanu"/>
    <x v="1"/>
    <x v="3"/>
    <n v="65"/>
    <s v="5wk Course"/>
    <s v="ELS"/>
  </r>
  <r>
    <x v="77"/>
    <s v="Daniel Thomas"/>
    <x v="1"/>
    <x v="3"/>
    <n v="65"/>
    <s v="5wk Course"/>
    <s v="ELS"/>
  </r>
  <r>
    <x v="77"/>
    <s v="Geoff Dedman"/>
    <x v="2"/>
    <x v="1"/>
    <n v="46.34"/>
    <s v="Prints"/>
    <s v="Zenfolio"/>
  </r>
  <r>
    <x v="78"/>
    <s v="P J E Kirby"/>
    <x v="1"/>
    <x v="2"/>
    <n v="39"/>
    <s v="Creative Editing Masterclass"/>
    <s v="Existing"/>
  </r>
  <r>
    <x v="78"/>
    <s v="Sep Pick N Mix"/>
    <x v="5"/>
    <x v="6"/>
    <n v="357.98"/>
    <s v="Pick N Mix Payments"/>
    <s v="Existing"/>
  </r>
  <r>
    <x v="78"/>
    <s v="Sep Mentoring"/>
    <x v="6"/>
    <x v="6"/>
    <n v="140"/>
    <s v="Mentoring Subs"/>
    <s v="Existing"/>
  </r>
  <r>
    <x v="0"/>
    <m/>
    <x v="0"/>
    <x v="0"/>
    <m/>
    <m/>
    <m/>
  </r>
  <r>
    <x v="0"/>
    <m/>
    <x v="0"/>
    <x v="0"/>
    <m/>
    <m/>
    <m/>
  </r>
  <r>
    <x v="0"/>
    <m/>
    <x v="0"/>
    <x v="0"/>
    <m/>
    <m/>
    <m/>
  </r>
  <r>
    <x v="0"/>
    <m/>
    <x v="0"/>
    <x v="0"/>
    <m/>
    <m/>
    <m/>
  </r>
  <r>
    <x v="0"/>
    <m/>
    <x v="0"/>
    <x v="0"/>
    <m/>
    <m/>
    <m/>
  </r>
  <r>
    <x v="0"/>
    <m/>
    <x v="0"/>
    <x v="0"/>
    <m/>
    <m/>
    <m/>
  </r>
  <r>
    <x v="79"/>
    <s v="Jieyuan Wu"/>
    <x v="1"/>
    <x v="3"/>
    <n v="35"/>
    <s v="5wk Course"/>
    <s v="ELS"/>
  </r>
  <r>
    <x v="80"/>
    <s v="Garry Such"/>
    <x v="2"/>
    <x v="2"/>
    <n v="30"/>
    <s v="Forum"/>
    <s v="Existing"/>
  </r>
  <r>
    <x v="81"/>
    <s v="Tracy Kenny"/>
    <x v="1"/>
    <x v="7"/>
    <n v="10"/>
    <s v="Deposit 4wk Course"/>
    <s v="Google"/>
  </r>
  <r>
    <x v="81"/>
    <s v="Scott Bremner"/>
    <x v="1"/>
    <x v="3"/>
    <n v="65"/>
    <s v="5wk Course"/>
    <s v="ELS"/>
  </r>
  <r>
    <x v="82"/>
    <s v="Chris Parker"/>
    <x v="1"/>
    <x v="3"/>
    <n v="35"/>
    <s v="Masterclass"/>
    <s v="Existing"/>
  </r>
  <r>
    <x v="82"/>
    <s v="Justin Meaden"/>
    <x v="3"/>
    <x v="3"/>
    <n v="995"/>
    <s v="Northumbria"/>
    <s v="Google"/>
  </r>
  <r>
    <x v="82"/>
    <s v="Govindan Raghuraman"/>
    <x v="1"/>
    <x v="1"/>
    <n v="25"/>
    <s v="Intro Class"/>
    <s v="Google"/>
  </r>
  <r>
    <x v="82"/>
    <s v="Roger Carlisle"/>
    <x v="1"/>
    <x v="5"/>
    <n v="13"/>
    <s v="Intro Class"/>
    <s v="Groupon"/>
  </r>
  <r>
    <x v="83"/>
    <s v="Len Sutton"/>
    <x v="1"/>
    <x v="2"/>
    <n v="100"/>
    <s v="Lightroom Course"/>
    <s v="Existing"/>
  </r>
  <r>
    <x v="82"/>
    <s v="Karen Pilotte"/>
    <x v="6"/>
    <x v="1"/>
    <n v="20"/>
    <s v="Mentoring Subs"/>
    <s v="Google"/>
  </r>
  <r>
    <x v="84"/>
    <s v="Latha Raghuraman"/>
    <x v="1"/>
    <x v="5"/>
    <n v="13"/>
    <s v="Intro Class"/>
    <s v="Groupon"/>
  </r>
  <r>
    <x v="84"/>
    <s v="Michael King"/>
    <x v="1"/>
    <x v="3"/>
    <n v="35"/>
    <s v="4wk Course Ken"/>
    <s v="ELS"/>
  </r>
  <r>
    <x v="85"/>
    <s v="Kim Robert"/>
    <x v="1"/>
    <x v="3"/>
    <n v="65"/>
    <s v="5wk Course Ken"/>
    <s v="ELS"/>
  </r>
  <r>
    <x v="86"/>
    <s v="James Bennett"/>
    <x v="3"/>
    <x v="4"/>
    <n v="195"/>
    <s v="Peak District"/>
    <s v="Google"/>
  </r>
  <r>
    <x v="86"/>
    <s v="Gee Nandhra"/>
    <x v="3"/>
    <x v="3"/>
    <n v="1200"/>
    <s v="Anglesey Workshop"/>
    <s v="Google"/>
  </r>
  <r>
    <x v="87"/>
    <s v="Bob Parker"/>
    <x v="1"/>
    <x v="5"/>
    <n v="13"/>
    <s v="Intro Class"/>
    <s v="Groupon"/>
  </r>
  <r>
    <x v="88"/>
    <s v="susan ramsey"/>
    <x v="2"/>
    <x v="1"/>
    <n v="8.539999999999999"/>
    <s v="Prints-Zenfolio"/>
    <s v="Zenfolio"/>
  </r>
  <r>
    <x v="89"/>
    <s v="Joyce James"/>
    <x v="5"/>
    <x v="3"/>
    <n v="25.2"/>
    <s v="Plan shortfall"/>
    <s v="Existing"/>
  </r>
  <r>
    <x v="90"/>
    <s v="Laura Byrne"/>
    <x v="2"/>
    <x v="7"/>
    <n v="30"/>
    <s v="Tripod Hire"/>
    <s v="Existing"/>
  </r>
  <r>
    <x v="90"/>
    <s v="Rebecca Teague"/>
    <x v="3"/>
    <x v="2"/>
    <n v="150"/>
    <s v="Batsford - Oct"/>
    <s v="Existing"/>
  </r>
  <r>
    <x v="91"/>
    <s v="Jeand Dance"/>
    <x v="6"/>
    <x v="1"/>
    <n v="200"/>
    <s v="Monhtly Mentoring"/>
    <s v="Existing"/>
  </r>
  <r>
    <x v="91"/>
    <s v="Amanda Millican"/>
    <x v="1"/>
    <x v="2"/>
    <n v="25"/>
    <s v="Intro Class"/>
    <s v="Google"/>
  </r>
  <r>
    <x v="91"/>
    <s v="Nira Panchal"/>
    <x v="1"/>
    <x v="2"/>
    <n v="50"/>
    <s v="Intro Class x 2"/>
    <s v="Google"/>
  </r>
  <r>
    <x v="92"/>
    <s v="Marguerite Kirby"/>
    <x v="3"/>
    <x v="4"/>
    <n v="20"/>
    <s v="Batsford - Oct"/>
    <s v="Batsford"/>
  </r>
  <r>
    <x v="88"/>
    <s v="Janet Boulter"/>
    <x v="1"/>
    <x v="2"/>
    <n v="135"/>
    <s v="3 x Masterclasses"/>
    <s v="Existing"/>
  </r>
  <r>
    <x v="93"/>
    <s v="Rebecca English"/>
    <x v="3"/>
    <x v="1"/>
    <n v="65"/>
    <s v="Chesterton Sunset"/>
    <s v="Existing"/>
  </r>
  <r>
    <x v="94"/>
    <s v="Elaine Castleford"/>
    <x v="1"/>
    <x v="2"/>
    <n v="25"/>
    <s v="Intro Class"/>
    <s v="Google"/>
  </r>
  <r>
    <x v="95"/>
    <s v="Janice Jordan"/>
    <x v="3"/>
    <x v="2"/>
    <n v="160"/>
    <s v="Workshop"/>
    <s v="Existing"/>
  </r>
  <r>
    <x v="96"/>
    <s v="toby arnold"/>
    <x v="3"/>
    <x v="2"/>
    <n v="10"/>
    <s v="Photo Walk"/>
    <s v="Google"/>
  </r>
  <r>
    <x v="96"/>
    <s v="tracy atureliya"/>
    <x v="3"/>
    <x v="1"/>
    <n v="65"/>
    <s v="Workshop"/>
    <s v="Google"/>
  </r>
  <r>
    <x v="97"/>
    <s v="Aug Pick N Mix"/>
    <x v="5"/>
    <x v="6"/>
    <n v="701.11"/>
    <s v="Pick N Mix Payments"/>
    <s v="Existing"/>
  </r>
  <r>
    <x v="97"/>
    <s v="Aug Mentoring"/>
    <x v="6"/>
    <x v="6"/>
    <n v="140"/>
    <s v="Mentoring Subs"/>
    <s v="Existing"/>
  </r>
  <r>
    <x v="0"/>
    <m/>
    <x v="0"/>
    <x v="0"/>
    <m/>
    <m/>
    <m/>
  </r>
  <r>
    <x v="0"/>
    <m/>
    <x v="0"/>
    <x v="0"/>
    <m/>
    <m/>
    <m/>
  </r>
  <r>
    <x v="98"/>
    <s v="Catherine Brandist"/>
    <x v="1"/>
    <x v="5"/>
    <n v="13"/>
    <s v="Intro Class"/>
    <s v="Groupon"/>
  </r>
  <r>
    <x v="98"/>
    <s v="Stewart Twilton "/>
    <x v="3"/>
    <x v="3"/>
    <n v="15"/>
    <s v="Workshop"/>
    <s v="ELS"/>
  </r>
  <r>
    <x v="99"/>
    <s v="Ran Tao"/>
    <x v="1"/>
    <x v="3"/>
    <n v="65"/>
    <s v="5wk course"/>
    <s v="ELS"/>
  </r>
  <r>
    <x v="99"/>
    <s v="JB ?"/>
    <x v="1"/>
    <x v="3"/>
    <n v="63.5"/>
    <s v="?"/>
    <s v="Other"/>
  </r>
  <r>
    <x v="99"/>
    <s v="Ian Hodgetts - ELS"/>
    <x v="1"/>
    <x v="3"/>
    <n v="200"/>
    <s v="5wk course"/>
    <s v="ELS"/>
  </r>
  <r>
    <x v="99"/>
    <s v="siobhan bushell"/>
    <x v="3"/>
    <x v="2"/>
    <n v="35"/>
    <s v="Batsford Workshop"/>
    <s v="Batsford"/>
  </r>
  <r>
    <x v="100"/>
    <s v="Stephanie Franks"/>
    <x v="1"/>
    <x v="5"/>
    <n v="13"/>
    <s v="Intro Class"/>
    <s v="Groupon"/>
  </r>
  <r>
    <x v="101"/>
    <s v="Jessica Welge"/>
    <x v="3"/>
    <x v="2"/>
    <n v="450"/>
    <s v="Norfolk"/>
    <s v="Google"/>
  </r>
  <r>
    <x v="101"/>
    <s v="Tim Payne"/>
    <x v="1"/>
    <x v="3"/>
    <n v="75"/>
    <s v="Portriats Course"/>
    <s v="Google"/>
  </r>
  <r>
    <x v="102"/>
    <s v="Jean Dance"/>
    <x v="1"/>
    <x v="2"/>
    <n v="35"/>
    <s v="photo critique"/>
    <s v="Existing"/>
  </r>
  <r>
    <x v="102"/>
    <s v="Aikaterini Fotoglou"/>
    <x v="1"/>
    <x v="3"/>
    <n v="65"/>
    <s v="5wk course"/>
    <s v="ELS"/>
  </r>
  <r>
    <x v="102"/>
    <s v="Chris Brain - ELS"/>
    <x v="1"/>
    <x v="3"/>
    <n v="200"/>
    <s v="Course"/>
    <s v="ELS"/>
  </r>
  <r>
    <x v="103"/>
    <s v="Irene Pointon"/>
    <x v="3"/>
    <x v="2"/>
    <n v="55"/>
    <s v="Batsford Workshop"/>
    <s v="Batsford"/>
  </r>
  <r>
    <x v="103"/>
    <s v="Tracey Jones"/>
    <x v="3"/>
    <x v="3"/>
    <n v="325"/>
    <s v="Norfolk"/>
    <s v="Google"/>
  </r>
  <r>
    <x v="103"/>
    <s v="Pauline Kerr"/>
    <x v="3"/>
    <x v="3"/>
    <n v="625"/>
    <s v="Norfolk"/>
    <s v="Existing"/>
  </r>
  <r>
    <x v="104"/>
    <s v="Eve Ducker"/>
    <x v="1"/>
    <x v="5"/>
    <n v="13"/>
    <s v="Intro Class"/>
    <s v="Groupon"/>
  </r>
  <r>
    <x v="105"/>
    <s v="Vivian Drury"/>
    <x v="3"/>
    <x v="2"/>
    <n v="65"/>
    <s v="Chesterton Windmill"/>
    <s v="Existing"/>
  </r>
  <r>
    <x v="106"/>
    <s v="Various"/>
    <x v="2"/>
    <x v="1"/>
    <n v="31.41"/>
    <s v="Sherbourne Prints"/>
    <s v="Zenfolio"/>
  </r>
  <r>
    <x v="107"/>
    <s v="Ben Possee "/>
    <x v="1"/>
    <x v="5"/>
    <n v="13"/>
    <s v="Intro Class"/>
    <s v="Groupon"/>
  </r>
  <r>
    <x v="107"/>
    <s v="Tracy Kenny"/>
    <x v="1"/>
    <x v="2"/>
    <n v="30"/>
    <s v="Intro Class"/>
    <s v="Google"/>
  </r>
  <r>
    <x v="108"/>
    <s v="Janet Train"/>
    <x v="5"/>
    <x v="3"/>
    <n v="31"/>
    <s v="Lightroom Course"/>
    <s v="Existing"/>
  </r>
  <r>
    <x v="108"/>
    <s v="Roger Neal"/>
    <x v="3"/>
    <x v="2"/>
    <n v="150"/>
    <s v="Batsford Workshop"/>
    <s v="Batsford"/>
  </r>
  <r>
    <x v="108"/>
    <s v="Laura Charles"/>
    <x v="4"/>
    <x v="2"/>
    <n v="146.25"/>
    <s v="1-2-1"/>
    <s v="Google"/>
  </r>
  <r>
    <x v="109"/>
    <s v="Janet Train"/>
    <x v="5"/>
    <x v="3"/>
    <n v="204.05"/>
    <s v="Lightroom Course"/>
    <s v="Existing"/>
  </r>
  <r>
    <x v="110"/>
    <s v="Jul Pick N Mix"/>
    <x v="5"/>
    <x v="6"/>
    <n v="545.6"/>
    <s v="Pick N Mix Payments"/>
    <s v="Existing"/>
  </r>
  <r>
    <x v="110"/>
    <s v="Jul Mentoring"/>
    <x v="6"/>
    <x v="6"/>
    <n v="140"/>
    <s v="Mentoring Subs"/>
    <s v="Existing"/>
  </r>
  <r>
    <x v="0"/>
    <m/>
    <x v="0"/>
    <x v="0"/>
    <m/>
    <m/>
    <m/>
  </r>
  <r>
    <x v="111"/>
    <s v="Paul Kirby"/>
    <x v="2"/>
    <x v="2"/>
    <n v="35"/>
    <s v="Sensor Clean"/>
    <s v="Existing"/>
  </r>
  <r>
    <x v="111"/>
    <s v="Janet Boulter"/>
    <x v="4"/>
    <x v="3"/>
    <n v="304.15"/>
    <s v="1-2-1"/>
    <s v="Existing"/>
  </r>
  <r>
    <x v="111"/>
    <s v="Andrew Thompson"/>
    <x v="3"/>
    <x v="2"/>
    <n v="48"/>
    <s v="Sunset"/>
    <s v="Existing"/>
  </r>
  <r>
    <x v="112"/>
    <s v="Sue Phillips"/>
    <x v="3"/>
    <x v="1"/>
    <n v="60"/>
    <s v="Delphiniums"/>
    <s v="Existing"/>
  </r>
  <r>
    <x v="112"/>
    <s v="Graham Ibbetson"/>
    <x v="2"/>
    <x v="2"/>
    <n v="30"/>
    <s v="Forum"/>
    <s v="Existing"/>
  </r>
  <r>
    <x v="113"/>
    <s v="emily payne"/>
    <x v="2"/>
    <x v="2"/>
    <n v="100"/>
    <s v="Gift Voucher"/>
    <s v="Google"/>
  </r>
  <r>
    <x v="114"/>
    <s v="Ian Blake - ELS"/>
    <x v="3"/>
    <x v="3"/>
    <n v="200"/>
    <s v="ELS Payment"/>
    <s v="ELS"/>
  </r>
  <r>
    <x v="115"/>
    <s v="Janie Chapman"/>
    <x v="3"/>
    <x v="2"/>
    <n v="99"/>
    <s v="Abstract Workshop"/>
    <s v="Google"/>
  </r>
  <r>
    <x v="115"/>
    <s v="Andrew Clifforth"/>
    <x v="3"/>
    <x v="2"/>
    <n v="60"/>
    <s v="Delphiniums"/>
    <s v="Existing"/>
  </r>
  <r>
    <x v="115"/>
    <s v="Jamie Beardmore"/>
    <x v="5"/>
    <x v="3"/>
    <n v="394.2"/>
    <s v="Settle Plan"/>
    <s v="Existing"/>
  </r>
  <r>
    <x v="116"/>
    <s v="Richard Glendinning"/>
    <x v="3"/>
    <x v="2"/>
    <n v="59"/>
    <s v="Batsford"/>
    <s v="Batsford"/>
  </r>
  <r>
    <x v="117"/>
    <s v="Nick Wright"/>
    <x v="3"/>
    <x v="1"/>
    <n v="59"/>
    <s v="Batsford"/>
    <s v="Batsford"/>
  </r>
  <r>
    <x v="118"/>
    <s v="John Cummings"/>
    <x v="1"/>
    <x v="1"/>
    <n v="175"/>
    <s v="Portraits Workshop"/>
    <s v="Existing"/>
  </r>
  <r>
    <x v="119"/>
    <s v="Jaz Dhir "/>
    <x v="1"/>
    <x v="5"/>
    <n v="13"/>
    <s v="Intro Class"/>
    <s v="Groupon"/>
  </r>
  <r>
    <x v="120"/>
    <s v="humaira parvez"/>
    <x v="3"/>
    <x v="3"/>
    <n v="500"/>
    <s v="Workshops"/>
    <s v="Google"/>
  </r>
  <r>
    <x v="120"/>
    <s v="humaira parvez"/>
    <x v="4"/>
    <x v="3"/>
    <n v="1300"/>
    <s v="1-2-1"/>
    <s v="Google"/>
  </r>
  <r>
    <x v="120"/>
    <s v="Ian Blake"/>
    <x v="3"/>
    <x v="2"/>
    <n v="60"/>
    <s v="19 Poppies"/>
    <s v="Existing"/>
  </r>
  <r>
    <x v="121"/>
    <s v="Pauline Kerr"/>
    <x v="3"/>
    <x v="4"/>
    <n v="180"/>
    <s v="19 Poppies"/>
    <s v="Existing"/>
  </r>
  <r>
    <x v="121"/>
    <s v="Graham Ibbetson"/>
    <x v="3"/>
    <x v="2"/>
    <n v="60"/>
    <s v="22 Poppies"/>
    <s v="Existing"/>
  </r>
  <r>
    <x v="121"/>
    <s v="Zoe Eardley"/>
    <x v="3"/>
    <x v="2"/>
    <n v="60"/>
    <s v="21 Poppies"/>
    <s v="Google"/>
  </r>
  <r>
    <x v="122"/>
    <s v="Linn Ashmore"/>
    <x v="2"/>
    <x v="2"/>
    <n v="64.8"/>
    <s v="Gift Voucher"/>
    <s v="Google"/>
  </r>
  <r>
    <x v="123"/>
    <s v="Jo Rogers"/>
    <x v="2"/>
    <x v="1"/>
    <n v="30"/>
    <s v="Forum"/>
    <s v="Existing"/>
  </r>
  <r>
    <x v="124"/>
    <s v="Janet Towers"/>
    <x v="3"/>
    <x v="2"/>
    <n v="60"/>
    <s v="Delphiniums"/>
    <s v="Existing"/>
  </r>
  <r>
    <x v="125"/>
    <s v="Martin Smith"/>
    <x v="3"/>
    <x v="2"/>
    <n v="425"/>
    <s v="Norfolk"/>
    <s v="Google"/>
  </r>
  <r>
    <x v="125"/>
    <s v="Julien Hoyez - ELS"/>
    <x v="1"/>
    <x v="3"/>
    <n v="200"/>
    <s v="4wk extended"/>
    <s v="ELS"/>
  </r>
  <r>
    <x v="126"/>
    <s v="Sabine Bowman"/>
    <x v="1"/>
    <x v="5"/>
    <n v="13"/>
    <s v="Intro Class"/>
    <s v="Groupon"/>
  </r>
  <r>
    <x v="126"/>
    <s v="Karolin Hartlieb "/>
    <x v="1"/>
    <x v="5"/>
    <n v="13"/>
    <s v="Intro Class"/>
    <s v="Groupon"/>
  </r>
  <r>
    <x v="126"/>
    <s v="Roberta Gristwood"/>
    <x v="3"/>
    <x v="2"/>
    <n v="60"/>
    <s v="Delphiniums"/>
    <s v="Google"/>
  </r>
  <r>
    <x v="127"/>
    <s v="Rebecca Long"/>
    <x v="6"/>
    <x v="1"/>
    <n v="20"/>
    <s v="Mentoring "/>
    <s v="Existing"/>
  </r>
  <r>
    <x v="128"/>
    <s v="Ian Hodgetts"/>
    <x v="1"/>
    <x v="3"/>
    <n v="65"/>
    <s v="5wk course"/>
    <s v="ELS"/>
  </r>
  <r>
    <x v="128"/>
    <s v="Natalie Williams"/>
    <x v="1"/>
    <x v="4"/>
    <n v="235"/>
    <s v="4wk extended"/>
    <s v="Google"/>
  </r>
  <r>
    <x v="129"/>
    <s v="Natalie Williams"/>
    <x v="1"/>
    <x v="2"/>
    <n v="30"/>
    <s v="Intro Class"/>
    <s v="Google"/>
  </r>
  <r>
    <x v="130"/>
    <s v="Adam Jefferies"/>
    <x v="1"/>
    <x v="5"/>
    <n v="13"/>
    <s v="Intro Class"/>
    <s v="Groupon"/>
  </r>
  <r>
    <x v="130"/>
    <s v="Dawn De Costa"/>
    <x v="1"/>
    <x v="5"/>
    <n v="13"/>
    <s v="Intro Class"/>
    <s v="Groupon"/>
  </r>
  <r>
    <x v="131"/>
    <s v="Lewis Maloba"/>
    <x v="1"/>
    <x v="5"/>
    <n v="13"/>
    <s v="Intro Class"/>
    <s v="Groupon"/>
  </r>
  <r>
    <x v="132"/>
    <s v="Guy Dunwoody"/>
    <x v="1"/>
    <x v="1"/>
    <n v="30"/>
    <s v="Intro Class"/>
    <s v="Google"/>
  </r>
  <r>
    <x v="132"/>
    <s v="Jun Pick N Mix"/>
    <x v="5"/>
    <x v="6"/>
    <n v="296.78"/>
    <s v="Pick N Mix Subs"/>
    <s v="Existing"/>
  </r>
  <r>
    <x v="132"/>
    <s v="Jun Mentoring"/>
    <x v="6"/>
    <x v="6"/>
    <n v="102"/>
    <s v="Mentoring Subs"/>
    <s v="Existing"/>
  </r>
  <r>
    <x v="0"/>
    <m/>
    <x v="0"/>
    <x v="0"/>
    <m/>
    <m/>
    <m/>
  </r>
  <r>
    <x v="133"/>
    <s v="James Kelly"/>
    <x v="2"/>
    <x v="2"/>
    <n v="18.75"/>
    <s v="Sensor Clean"/>
    <s v="Existing"/>
  </r>
  <r>
    <x v="133"/>
    <s v="Justyna Adamek"/>
    <x v="1"/>
    <x v="2"/>
    <n v="273.75"/>
    <s v="Intermed Course"/>
    <s v="Existing"/>
  </r>
  <r>
    <x v="133"/>
    <s v="Anne-Marie Scott"/>
    <x v="1"/>
    <x v="2"/>
    <n v="198.75"/>
    <s v="Lightroom"/>
    <s v="Existing"/>
  </r>
  <r>
    <x v="133"/>
    <s v="stuart walters"/>
    <x v="4"/>
    <x v="2"/>
    <n v="146.25"/>
    <s v="1-2-1"/>
    <s v="Existing"/>
  </r>
  <r>
    <x v="133"/>
    <s v="Kirsten Pearce"/>
    <x v="3"/>
    <x v="3"/>
    <n v="337.5"/>
    <s v="Anglesey"/>
    <s v="Existing"/>
  </r>
  <r>
    <x v="133"/>
    <s v="Ray Phillips"/>
    <x v="3"/>
    <x v="4"/>
    <n v="60"/>
    <s v="Delphiniums"/>
    <s v="Google"/>
  </r>
  <r>
    <x v="133"/>
    <s v="Paula Knott"/>
    <x v="1"/>
    <x v="5"/>
    <n v="13"/>
    <s v="Intro Class"/>
    <s v="Groupon"/>
  </r>
  <r>
    <x v="133"/>
    <s v="Chris Parker"/>
    <x v="1"/>
    <x v="3"/>
    <n v="37.5"/>
    <s v="Macro Masterclass"/>
    <s v="Existing"/>
  </r>
  <r>
    <x v="133"/>
    <s v="Christinejane Lewington"/>
    <x v="1"/>
    <x v="3"/>
    <n v="176.25"/>
    <s v="4wk course"/>
    <s v="Google"/>
  </r>
  <r>
    <x v="133"/>
    <s v="Taqua Imam"/>
    <x v="1"/>
    <x v="5"/>
    <n v="13"/>
    <s v="Intro Class"/>
    <s v="Groupon"/>
  </r>
  <r>
    <x v="133"/>
    <s v="Zoe Smith"/>
    <x v="1"/>
    <x v="2"/>
    <n v="22.5"/>
    <s v="Intro Class"/>
    <s v="Google"/>
  </r>
  <r>
    <x v="134"/>
    <s v="Sam Cook"/>
    <x v="3"/>
    <x v="1"/>
    <n v="45"/>
    <s v="Delphiniums"/>
    <s v="Existing"/>
  </r>
  <r>
    <x v="134"/>
    <s v="Sam Cook"/>
    <x v="6"/>
    <x v="1"/>
    <n v="20"/>
    <s v="Monthly Mentoring"/>
    <s v="Existing"/>
  </r>
  <r>
    <x v="134"/>
    <s v="Christopher Troth"/>
    <x v="3"/>
    <x v="1"/>
    <n v="45"/>
    <s v="sunset workshop"/>
    <s v="Existing"/>
  </r>
  <r>
    <x v="134"/>
    <s v="KATHLEEN HORSBURGH"/>
    <x v="1"/>
    <x v="2"/>
    <n v="198.75"/>
    <s v="5wk course"/>
    <s v="Google"/>
  </r>
  <r>
    <x v="135"/>
    <s v="Alex Priestley"/>
    <x v="1"/>
    <x v="1"/>
    <n v="60"/>
    <s v="Intro Class"/>
    <s v="Google"/>
  </r>
  <r>
    <x v="135"/>
    <s v="Suzannah Dougherty"/>
    <x v="3"/>
    <x v="2"/>
    <n v="35"/>
    <s v="Sharpshooters"/>
    <s v="Batsford"/>
  </r>
  <r>
    <x v="136"/>
    <s v="Janet Lambdon"/>
    <x v="1"/>
    <x v="2"/>
    <n v="265"/>
    <s v="Lr Course"/>
    <s v="Existing"/>
  </r>
  <r>
    <x v="137"/>
    <s v="Chris Johnson"/>
    <x v="6"/>
    <x v="2"/>
    <n v="600"/>
    <s v="Prem Mentoring"/>
    <s v="Existing"/>
  </r>
  <r>
    <x v="138"/>
    <s v="Chris Brain"/>
    <x v="1"/>
    <x v="3"/>
    <n v="35"/>
    <s v="4wk course"/>
    <s v="ELS"/>
  </r>
  <r>
    <x v="139"/>
    <s v="Tracey Jones"/>
    <x v="3"/>
    <x v="2"/>
    <n v="100"/>
    <s v="Norfolk"/>
    <s v="Google"/>
  </r>
  <r>
    <x v="140"/>
    <s v="Sue Phillips"/>
    <x v="1"/>
    <x v="1"/>
    <n v="265"/>
    <s v="5wk Course Soli"/>
    <s v="Existing"/>
  </r>
  <r>
    <x v="141"/>
    <s v="Helen Hollingworth"/>
    <x v="1"/>
    <x v="2"/>
    <n v="265"/>
    <s v="5wk Course Soli"/>
    <s v="Google"/>
  </r>
  <r>
    <x v="142"/>
    <s v="Manjit Narotra"/>
    <x v="3"/>
    <x v="2"/>
    <n v="175"/>
    <s v="Fairy Glen Workshop"/>
    <s v="Existing"/>
  </r>
  <r>
    <x v="143"/>
    <s v="Amar Majid"/>
    <x v="5"/>
    <x v="3"/>
    <n v="175"/>
    <s v="Pick N Mix plans"/>
    <s v="Existing"/>
  </r>
  <r>
    <x v="143"/>
    <s v="Margaret Millberry"/>
    <x v="4"/>
    <x v="7"/>
    <n v="100"/>
    <s v="1-2-1"/>
    <s v="Batsford"/>
  </r>
  <r>
    <x v="143"/>
    <s v="Judith Wilde"/>
    <x v="4"/>
    <x v="4"/>
    <n v="195"/>
    <s v="1-2-1"/>
    <s v="Existing"/>
  </r>
  <r>
    <x v="144"/>
    <s v="Jo Rogers"/>
    <x v="1"/>
    <x v="4"/>
    <n v="265"/>
    <s v="5wk Course Soli"/>
    <s v="Google"/>
  </r>
  <r>
    <x v="145"/>
    <s v="Elisabeth Walker "/>
    <x v="3"/>
    <x v="2"/>
    <n v="35"/>
    <s v="Sharpshooters"/>
    <s v="Batsford"/>
  </r>
  <r>
    <x v="146"/>
    <s v="Paul Murray"/>
    <x v="3"/>
    <x v="2"/>
    <n v="20"/>
    <s v="Sharpshooters"/>
    <s v="Batsford"/>
  </r>
  <r>
    <x v="147"/>
    <s v="Nicola Lockyer"/>
    <x v="2"/>
    <x v="7"/>
    <n v="100"/>
    <s v="Prints"/>
    <s v="Existing"/>
  </r>
  <r>
    <x v="147"/>
    <s v="T O'Carroll-Bailey"/>
    <x v="1"/>
    <x v="1"/>
    <n v="265"/>
    <s v="5wk course Ken"/>
    <s v="Google"/>
  </r>
  <r>
    <x v="147"/>
    <s v="Marcia Rathbone"/>
    <x v="1"/>
    <x v="5"/>
    <n v="13"/>
    <s v="Intro Class"/>
    <s v="Groupon"/>
  </r>
  <r>
    <x v="148"/>
    <s v="Sarah Green"/>
    <x v="1"/>
    <x v="2"/>
    <n v="265"/>
    <s v="5wk Course Soli"/>
    <s v="Google"/>
  </r>
  <r>
    <x v="149"/>
    <s v="Graham Ibbetson"/>
    <x v="3"/>
    <x v="2"/>
    <n v="60"/>
    <s v="Chesterton Workshop"/>
    <s v="Existing"/>
  </r>
  <r>
    <x v="149"/>
    <s v="Ben James"/>
    <x v="1"/>
    <x v="1"/>
    <n v="60"/>
    <s v="Intro Class"/>
    <s v="Google"/>
  </r>
  <r>
    <x v="149"/>
    <s v="Michelle Fellows"/>
    <x v="1"/>
    <x v="5"/>
    <n v="13"/>
    <s v="Intro Class"/>
    <s v="Groupon"/>
  </r>
  <r>
    <x v="150"/>
    <s v="Mentoring - Apr"/>
    <x v="6"/>
    <x v="6"/>
    <n v="100"/>
    <s v="Mentoring Plans"/>
    <s v="Existing"/>
  </r>
  <r>
    <x v="150"/>
    <s v="Pick N Mix - Apr"/>
    <x v="5"/>
    <x v="6"/>
    <n v="779.71"/>
    <s v="Pick N Mix plans"/>
    <s v="Existing"/>
  </r>
  <r>
    <x v="0"/>
    <m/>
    <x v="0"/>
    <x v="0"/>
    <m/>
    <m/>
    <m/>
  </r>
  <r>
    <x v="0"/>
    <m/>
    <x v="0"/>
    <x v="0"/>
    <m/>
    <m/>
    <m/>
  </r>
  <r>
    <x v="151"/>
    <s v="PEDERSEN ISOBEL    "/>
    <x v="2"/>
    <x v="3"/>
    <n v="255.18"/>
    <s v="Prints"/>
    <s v="Zenfolio"/>
  </r>
  <r>
    <x v="151"/>
    <s v="Christine Lewington"/>
    <x v="1"/>
    <x v="5"/>
    <n v="13"/>
    <s v="Intro Class"/>
    <s v="Groupon"/>
  </r>
  <r>
    <x v="151"/>
    <s v="Vivian Drury"/>
    <x v="3"/>
    <x v="2"/>
    <n v="72"/>
    <s v="Family SS/Workshop"/>
    <s v="Batsford"/>
  </r>
  <r>
    <x v="152"/>
    <s v="Anthony Ashcroft"/>
    <x v="6"/>
    <x v="1"/>
    <n v="20"/>
    <s v="Monthly Mentoring"/>
    <s v="Google"/>
  </r>
  <r>
    <x v="153"/>
    <s v="Laura Scrace"/>
    <x v="1"/>
    <x v="5"/>
    <n v="13"/>
    <s v="Intro Class"/>
    <s v="Groupon"/>
  </r>
  <r>
    <x v="154"/>
    <s v="Chris Parker"/>
    <x v="3"/>
    <x v="3"/>
    <n v="99"/>
    <s v="Bluebells"/>
    <s v="Existing"/>
  </r>
  <r>
    <x v="154"/>
    <s v="Sarah Deemoing"/>
    <x v="1"/>
    <x v="3"/>
    <n v="1020"/>
    <s v="Schools Course"/>
    <s v="Google"/>
  </r>
  <r>
    <x v="155"/>
    <s v="Jodie Munn"/>
    <x v="1"/>
    <x v="4"/>
    <n v="265"/>
    <s v="5wk course"/>
    <s v="Google"/>
  </r>
  <r>
    <x v="156"/>
    <s v="Ian Blake"/>
    <x v="3"/>
    <x v="3"/>
    <n v="250"/>
    <s v="Yorkshire"/>
    <s v="ELS"/>
  </r>
  <r>
    <x v="156"/>
    <s v="Steve Parish"/>
    <x v="1"/>
    <x v="3"/>
    <n v="441"/>
    <s v="Courses"/>
    <s v="Existing"/>
  </r>
  <r>
    <x v="156"/>
    <s v="Phil Hardy"/>
    <x v="3"/>
    <x v="4"/>
    <n v="99"/>
    <s v="Bluebells"/>
    <s v="Google"/>
  </r>
  <r>
    <x v="156"/>
    <s v="Sarah Khan"/>
    <x v="1"/>
    <x v="5"/>
    <n v="13"/>
    <s v="Intro Class"/>
    <s v="Groupon"/>
  </r>
  <r>
    <x v="157"/>
    <s v="Harriet Bowley"/>
    <x v="2"/>
    <x v="3"/>
    <n v="30"/>
    <s v="Forum"/>
    <s v="Existing"/>
  </r>
  <r>
    <x v="157"/>
    <s v="Janet Boulter"/>
    <x v="3"/>
    <x v="2"/>
    <n v="99"/>
    <s v="Bluebells"/>
    <s v="Google"/>
  </r>
  <r>
    <x v="158"/>
    <s v="Sarah Nesbitt"/>
    <x v="1"/>
    <x v="5"/>
    <n v="12"/>
    <s v="Intro Class"/>
    <s v="Groupon"/>
  </r>
  <r>
    <x v="158"/>
    <s v="Christopher Morris"/>
    <x v="3"/>
    <x v="1"/>
    <n v="99"/>
    <s v="Bluebells"/>
    <s v="Google"/>
  </r>
  <r>
    <x v="158"/>
    <s v="Natalie Craddock"/>
    <x v="3"/>
    <x v="2"/>
    <n v="60"/>
    <s v="Night shoot"/>
    <s v="Existing"/>
  </r>
  <r>
    <x v="158"/>
    <s v="Stephanie Cowley "/>
    <x v="1"/>
    <x v="2"/>
    <n v="265"/>
    <s v="5wk course"/>
    <s v="Google"/>
  </r>
  <r>
    <x v="159"/>
    <s v="Bryan Bradley"/>
    <x v="3"/>
    <x v="2"/>
    <n v="99"/>
    <s v="Bluebells"/>
    <s v="Google"/>
  </r>
  <r>
    <x v="160"/>
    <s v="Judith Wilde"/>
    <x v="3"/>
    <x v="2"/>
    <n v="99"/>
    <s v="Bluebells"/>
    <s v="Google"/>
  </r>
  <r>
    <x v="161"/>
    <s v="Nicola Lockyer"/>
    <x v="3"/>
    <x v="2"/>
    <n v="99"/>
    <s v="Bluebells"/>
    <s v="Existing"/>
  </r>
  <r>
    <x v="162"/>
    <s v="Peter Tierney"/>
    <x v="3"/>
    <x v="1"/>
    <n v="30"/>
    <s v="Sharpshooters"/>
    <s v="Batsford"/>
  </r>
  <r>
    <x v="162"/>
    <s v="tim lerwill"/>
    <x v="3"/>
    <x v="2"/>
    <n v="22.4"/>
    <s v="Gift Voucher Sharpshooters"/>
    <s v="Batsford"/>
  </r>
  <r>
    <x v="162"/>
    <s v="Derek Sharp"/>
    <x v="3"/>
    <x v="1"/>
    <n v="99"/>
    <s v="Bluebells"/>
    <s v="Existing"/>
  </r>
  <r>
    <x v="162"/>
    <s v="Claire Meyer"/>
    <x v="3"/>
    <x v="2"/>
    <n v="99"/>
    <s v="Bluebells"/>
    <s v="Google"/>
  </r>
  <r>
    <x v="163"/>
    <s v="Judith Longhorn"/>
    <x v="3"/>
    <x v="2"/>
    <n v="675"/>
    <s v="Norfolk"/>
    <s v="Existing"/>
  </r>
  <r>
    <x v="163"/>
    <s v="Julien Hoyez"/>
    <x v="1"/>
    <x v="3"/>
    <n v="65"/>
    <s v="5wk course"/>
    <s v="ELS"/>
  </r>
  <r>
    <x v="164"/>
    <s v="Pauline Kerr"/>
    <x v="3"/>
    <x v="2"/>
    <n v="50"/>
    <s v="Norfolk"/>
    <s v="Existing"/>
  </r>
  <r>
    <x v="164"/>
    <s v="James Kelly"/>
    <x v="1"/>
    <x v="2"/>
    <n v="265"/>
    <s v="5wk course"/>
    <s v="ELS"/>
  </r>
  <r>
    <x v="164"/>
    <s v="Chris Franklin"/>
    <x v="5"/>
    <x v="3"/>
    <n v="47.48"/>
    <s v="Pick N Mix plans"/>
    <s v="Existing"/>
  </r>
  <r>
    <x v="165"/>
    <s v="Chris Parker"/>
    <x v="1"/>
    <x v="3"/>
    <n v="475"/>
    <s v="Intermediates"/>
    <s v="Existing"/>
  </r>
  <r>
    <x v="166"/>
    <s v="Stuart Walters"/>
    <x v="1"/>
    <x v="2"/>
    <n v="235"/>
    <s v="4wk course"/>
    <s v="Google"/>
  </r>
  <r>
    <x v="167"/>
    <s v="Zoe Eardley"/>
    <x v="1"/>
    <x v="2"/>
    <n v="30"/>
    <s v="Intro Class"/>
    <s v="Google"/>
  </r>
  <r>
    <x v="168"/>
    <s v="Mentoring - Apr"/>
    <x v="6"/>
    <x v="6"/>
    <n v="80"/>
    <s v="Mentoring Plans"/>
    <s v="Existing"/>
  </r>
  <r>
    <x v="168"/>
    <s v="Pick N Mix - Apr"/>
    <x v="5"/>
    <x v="6"/>
    <n v="468.11"/>
    <s v="Pick N Mix plans"/>
    <s v="Existing"/>
  </r>
  <r>
    <x v="0"/>
    <m/>
    <x v="0"/>
    <x v="0"/>
    <m/>
    <m/>
    <m/>
  </r>
  <r>
    <x v="0"/>
    <m/>
    <x v="0"/>
    <x v="0"/>
    <m/>
    <m/>
    <m/>
  </r>
  <r>
    <x v="169"/>
    <s v="Sam Cook"/>
    <x v="1"/>
    <x v="3"/>
    <n v="190"/>
    <s v="4wk course"/>
    <s v="Existing"/>
  </r>
  <r>
    <x v="169"/>
    <s v="Eileen Huzzey"/>
    <x v="3"/>
    <x v="2"/>
    <n v="59"/>
    <s v="Batsford Calendar"/>
    <s v="Batsford"/>
  </r>
  <r>
    <x v="169"/>
    <s v="Janet Ingram"/>
    <x v="3"/>
    <x v="2"/>
    <n v="59"/>
    <s v="Batsford Calendar"/>
    <s v="Batsford"/>
  </r>
  <r>
    <x v="169"/>
    <s v="Phil O'Grady"/>
    <x v="5"/>
    <x v="3"/>
    <n v="50"/>
    <s v="Pick N Mix Mar"/>
    <s v="Existing"/>
  </r>
  <r>
    <x v="169"/>
    <s v="Cerys Jones"/>
    <x v="1"/>
    <x v="3"/>
    <n v="190"/>
    <s v="4wk course"/>
    <s v="Google"/>
  </r>
  <r>
    <x v="170"/>
    <s v="Sam Cook"/>
    <x v="1"/>
    <x v="2"/>
    <n v="10"/>
    <s v="4wk course"/>
    <s v="Google"/>
  </r>
  <r>
    <x v="170"/>
    <s v="Cerys Jones"/>
    <x v="1"/>
    <x v="2"/>
    <n v="10"/>
    <s v="4wk course"/>
    <s v="Google"/>
  </r>
  <r>
    <x v="170"/>
    <s v="Elga Riman/Colin Clapp"/>
    <x v="4"/>
    <x v="1"/>
    <n v="195"/>
    <s v="1-2-1 gift voucher"/>
    <s v="Google"/>
  </r>
  <r>
    <x v="171"/>
    <s v="Chris Walkland"/>
    <x v="2"/>
    <x v="2"/>
    <n v="30"/>
    <s v="Forum"/>
    <s v="Existing"/>
  </r>
  <r>
    <x v="171"/>
    <s v="Jamie Beardmore"/>
    <x v="2"/>
    <x v="1"/>
    <n v="30"/>
    <s v="Forum"/>
    <s v="Existing"/>
  </r>
  <r>
    <x v="172"/>
    <s v="Sue Mowle"/>
    <x v="3"/>
    <x v="2"/>
    <n v="99"/>
    <s v="Bluebell Workshop"/>
    <s v="Google"/>
  </r>
  <r>
    <x v="173"/>
    <s v="Janice Jordon"/>
    <x v="3"/>
    <x v="3"/>
    <n v="578.38"/>
    <s v="Workshop"/>
    <s v="Existing"/>
  </r>
  <r>
    <x v="173"/>
    <s v="Jamie Beardmore"/>
    <x v="5"/>
    <x v="3"/>
    <n v="43.8"/>
    <s v="Pick N Mix Mar"/>
    <s v="Existing"/>
  </r>
  <r>
    <x v="173"/>
    <s v="Greg Sant"/>
    <x v="4"/>
    <x v="4"/>
    <n v="195"/>
    <s v="LR Support"/>
    <s v="Google"/>
  </r>
  <r>
    <x v="174"/>
    <s v="Dinah King"/>
    <x v="1"/>
    <x v="2"/>
    <n v="30"/>
    <s v="Intro Class"/>
    <s v="Google"/>
  </r>
  <r>
    <x v="175"/>
    <s v="Jo Rogers"/>
    <x v="3"/>
    <x v="2"/>
    <n v="60"/>
    <s v="Workshop"/>
    <s v="Existing"/>
  </r>
  <r>
    <x v="175"/>
    <s v="Greg Sant"/>
    <x v="1"/>
    <x v="4"/>
    <n v="745"/>
    <s v="Various Courses"/>
    <s v="Google"/>
  </r>
  <r>
    <x v="176"/>
    <s v="Rebecca Long"/>
    <x v="1"/>
    <x v="1"/>
    <n v="215"/>
    <s v="Masterclass + 5week"/>
    <s v="Existing"/>
  </r>
  <r>
    <x v="177"/>
    <s v="Greg Smart"/>
    <x v="3"/>
    <x v="2"/>
    <n v="60"/>
    <s v="2.5hr Chesterton"/>
    <s v="Existing"/>
  </r>
  <r>
    <x v="177"/>
    <s v="John Verdult"/>
    <x v="2"/>
    <x v="2"/>
    <n v="139"/>
    <s v="Gift Voucher"/>
    <s v="Google"/>
  </r>
  <r>
    <x v="177"/>
    <s v="Rebecca Long"/>
    <x v="1"/>
    <x v="1"/>
    <n v="100"/>
    <s v="Masterclass + 5week"/>
    <s v="Existing"/>
  </r>
  <r>
    <x v="178"/>
    <s v="Cerys Jones"/>
    <x v="1"/>
    <x v="5"/>
    <n v="12.97"/>
    <s v="Intro Class"/>
    <s v="Groupon"/>
  </r>
  <r>
    <x v="179"/>
    <s v="Con McHugh"/>
    <x v="2"/>
    <x v="2"/>
    <n v="30"/>
    <s v="forum"/>
    <s v="Existing"/>
  </r>
  <r>
    <x v="179"/>
    <s v="Pauline Kerr"/>
    <x v="4"/>
    <x v="4"/>
    <n v="195"/>
    <s v="General/ Intro"/>
    <s v="Google"/>
  </r>
  <r>
    <x v="179"/>
    <s v="Katie Wardle"/>
    <x v="1"/>
    <x v="5"/>
    <n v="12.97"/>
    <s v="Intro Class"/>
    <s v="Groupon"/>
  </r>
  <r>
    <x v="180"/>
    <s v="Paul Kirby"/>
    <x v="3"/>
    <x v="2"/>
    <n v="99"/>
    <s v="Bluebell Workshop"/>
    <s v="Existing"/>
  </r>
  <r>
    <x v="180"/>
    <s v="Simon Betteridge"/>
    <x v="3"/>
    <x v="3"/>
    <n v="400"/>
    <s v="Yorkshire"/>
    <s v="Existing"/>
  </r>
  <r>
    <x v="180"/>
    <s v="Pure Photo Print Sale"/>
    <x v="2"/>
    <x v="3"/>
    <n v="253.24"/>
    <s v="Print Sale $-£"/>
    <s v="Other"/>
  </r>
  <r>
    <x v="180"/>
    <s v="Mike Ford"/>
    <x v="3"/>
    <x v="1"/>
    <n v="99"/>
    <s v="Bluebell Workshop"/>
    <s v="Existing"/>
  </r>
  <r>
    <x v="180"/>
    <s v="Jean Sutton"/>
    <x v="3"/>
    <x v="2"/>
    <n v="59"/>
    <s v="Batsford Calendar"/>
    <s v="Batsford"/>
  </r>
  <r>
    <x v="181"/>
    <s v="Greg Sant"/>
    <x v="4"/>
    <x v="4"/>
    <n v="195"/>
    <s v="1-2-1 Lightroom"/>
    <s v="Google"/>
  </r>
  <r>
    <x v="181"/>
    <s v="Robert Edwards"/>
    <x v="3"/>
    <x v="2"/>
    <n v="150"/>
    <s v="Wales"/>
    <s v="Existing"/>
  </r>
  <r>
    <x v="182"/>
    <s v="Kirsten Pearce"/>
    <x v="3"/>
    <x v="3"/>
    <n v="400"/>
    <s v="Yorkshire"/>
    <s v="Existing"/>
  </r>
  <r>
    <x v="181"/>
    <s v="Robert Edwards"/>
    <x v="3"/>
    <x v="2"/>
    <n v="150"/>
    <s v="Wales"/>
    <s v="Existing"/>
  </r>
  <r>
    <x v="183"/>
    <s v="Annie Evans"/>
    <x v="1"/>
    <x v="5"/>
    <n v="12.97"/>
    <s v="Intro Class"/>
    <s v="Groupon"/>
  </r>
  <r>
    <x v="183"/>
    <s v="Samantha Cook"/>
    <x v="1"/>
    <x v="1"/>
    <n v="30"/>
    <s v="Intro Class"/>
    <s v="Google"/>
  </r>
  <r>
    <x v="183"/>
    <s v="Chris Parker"/>
    <x v="2"/>
    <x v="2"/>
    <n v="30"/>
    <s v="forum"/>
    <s v="Existing"/>
  </r>
  <r>
    <x v="183"/>
    <s v="Oliver Dickinson"/>
    <x v="1"/>
    <x v="3"/>
    <n v="185"/>
    <s v="4 wk course"/>
    <s v="ELS"/>
  </r>
  <r>
    <x v="183"/>
    <s v="Chris Johnson"/>
    <x v="1"/>
    <x v="2"/>
    <n v="265"/>
    <s v="lightroom course"/>
    <s v="Existing"/>
  </r>
  <r>
    <x v="184"/>
    <s v="Oliver Dickinson"/>
    <x v="1"/>
    <x v="2"/>
    <n v="50"/>
    <s v="4 wk course"/>
    <s v="ELS"/>
  </r>
  <r>
    <x v="185"/>
    <s v="Terry Smallman"/>
    <x v="2"/>
    <x v="2"/>
    <n v="30"/>
    <s v="forum"/>
    <s v="Existing"/>
  </r>
  <r>
    <x v="185"/>
    <s v="Pick N Mix - Feb"/>
    <x v="5"/>
    <x v="6"/>
    <n v="415.5"/>
    <s v="Pick N Mix Mar"/>
    <s v="Existing"/>
  </r>
  <r>
    <x v="185"/>
    <s v="Mentoring subs Mar"/>
    <x v="6"/>
    <x v="6"/>
    <n v="80"/>
    <s v="Mentoring Mar"/>
    <s v="Existing"/>
  </r>
  <r>
    <x v="0"/>
    <m/>
    <x v="0"/>
    <x v="0"/>
    <m/>
    <m/>
    <m/>
  </r>
  <r>
    <x v="0"/>
    <m/>
    <x v="0"/>
    <x v="0"/>
    <m/>
    <m/>
    <m/>
  </r>
  <r>
    <x v="186"/>
    <s v="Ben Cooper"/>
    <x v="1"/>
    <x v="1"/>
    <n v="265"/>
    <s v="5wk course"/>
    <s v="Google"/>
  </r>
  <r>
    <x v="186"/>
    <s v="Paul Kirby"/>
    <x v="2"/>
    <x v="2"/>
    <n v="30"/>
    <s v="Other"/>
    <s v="Existing"/>
  </r>
  <r>
    <x v="187"/>
    <s v="Margaret Millbery"/>
    <x v="3"/>
    <x v="4"/>
    <n v="200"/>
    <s v="Batsford Workshops"/>
    <s v="Batsford"/>
  </r>
  <r>
    <x v="187"/>
    <s v="Tania Stretton"/>
    <x v="1"/>
    <x v="2"/>
    <n v="60"/>
    <s v="class"/>
    <s v="Google"/>
  </r>
  <r>
    <x v="187"/>
    <s v="Graham Painter"/>
    <x v="1"/>
    <x v="5"/>
    <n v="12"/>
    <s v="class"/>
    <s v="Groupon"/>
  </r>
  <r>
    <x v="188"/>
    <s v="Craig Johnson"/>
    <x v="3"/>
    <x v="1"/>
    <n v="60"/>
    <s v="2.5hr workshop"/>
    <s v="Existing"/>
  </r>
  <r>
    <x v="188"/>
    <s v="Jessica Miller"/>
    <x v="1"/>
    <x v="3"/>
    <n v="185"/>
    <s v="4 wk Course"/>
    <s v="Google"/>
  </r>
  <r>
    <x v="189"/>
    <s v="Andrew Clifforth"/>
    <x v="2"/>
    <x v="1"/>
    <n v="30"/>
    <s v="forum"/>
    <s v="Existing"/>
  </r>
  <r>
    <x v="190"/>
    <s v="Julia Stew"/>
    <x v="1"/>
    <x v="2"/>
    <n v="185"/>
    <s v="4 wk Course"/>
    <s v="Google"/>
  </r>
  <r>
    <x v="189"/>
    <s v="ELS"/>
    <x v="1"/>
    <x v="3"/>
    <n v="200"/>
    <s v="4 wk Course"/>
    <s v="ELS"/>
  </r>
  <r>
    <x v="190"/>
    <s v="Kathryn Philpott"/>
    <x v="3"/>
    <x v="2"/>
    <n v="150"/>
    <s v="Autumn Batsford"/>
    <s v="Batsford"/>
  </r>
  <r>
    <x v="190"/>
    <s v="Julia Stew"/>
    <x v="1"/>
    <x v="4"/>
    <n v="10"/>
    <s v="Deposit 4wk Extd"/>
    <s v="Google"/>
  </r>
  <r>
    <x v="190"/>
    <s v="Jessica Miller"/>
    <x v="1"/>
    <x v="6"/>
    <n v="10"/>
    <s v="Deposit 4wk Extd"/>
    <s v="Google"/>
  </r>
  <r>
    <x v="190"/>
    <s v="Sue Thompson"/>
    <x v="3"/>
    <x v="1"/>
    <n v="159"/>
    <s v="2.5+4hr Workshop"/>
    <s v="Existing"/>
  </r>
  <r>
    <x v="191"/>
    <s v="Steve Parish"/>
    <x v="1"/>
    <x v="2"/>
    <n v="265"/>
    <s v="5 wk course"/>
    <s v="Google"/>
  </r>
  <r>
    <x v="192"/>
    <s v="Chris Franklin"/>
    <x v="1"/>
    <x v="3"/>
    <n v="185"/>
    <s v="4 wk Course"/>
    <s v="Google"/>
  </r>
  <r>
    <x v="192"/>
    <s v="Trevor Griffiths"/>
    <x v="1"/>
    <x v="2"/>
    <n v="15"/>
    <s v="class"/>
    <s v="Google"/>
  </r>
  <r>
    <x v="192"/>
    <s v="Lynn Hughes"/>
    <x v="3"/>
    <x v="1"/>
    <n v="60"/>
    <s v="Workshop"/>
    <s v="Existing"/>
  </r>
  <r>
    <x v="192"/>
    <s v="Andreas Ruhnke"/>
    <x v="1"/>
    <x v="5"/>
    <n v="12"/>
    <s v="class"/>
    <s v="Groupon"/>
  </r>
  <r>
    <x v="192"/>
    <s v="Chris Franklin"/>
    <x v="2"/>
    <x v="1"/>
    <n v="30"/>
    <s v="forum"/>
    <s v="Existing"/>
  </r>
  <r>
    <x v="193"/>
    <s v="Chris Parker"/>
    <x v="6"/>
    <x v="1"/>
    <n v="20"/>
    <s v="Mentoring"/>
    <s v="Existing"/>
  </r>
  <r>
    <x v="194"/>
    <s v="Alison Sheppard"/>
    <x v="1"/>
    <x v="4"/>
    <n v="15"/>
    <s v="Intro Class Dorridge"/>
    <s v="Google"/>
  </r>
  <r>
    <x v="194"/>
    <s v="Sarah Deeming"/>
    <x v="1"/>
    <x v="3"/>
    <n v="220"/>
    <s v="2 Schools"/>
    <s v="Google"/>
  </r>
  <r>
    <x v="195"/>
    <s v="Chris Franklin"/>
    <x v="1"/>
    <x v="4"/>
    <n v="10"/>
    <s v="Deposit 4wk Extd"/>
    <s v="Google"/>
  </r>
  <r>
    <x v="195"/>
    <s v="Emily Fernandez"/>
    <x v="5"/>
    <x v="3"/>
    <n v="35"/>
    <s v="PnM"/>
    <s v="Existing"/>
  </r>
  <r>
    <x v="196"/>
    <s v="Natalie Craddock "/>
    <x v="1"/>
    <x v="4"/>
    <n v="265"/>
    <s v="5 week course"/>
    <s v="Google"/>
  </r>
  <r>
    <x v="196"/>
    <s v="Garry Such"/>
    <x v="5"/>
    <x v="3"/>
    <n v="175"/>
    <s v="pick n mix"/>
    <s v="Existing"/>
  </r>
  <r>
    <x v="196"/>
    <s v="Paul Matt"/>
    <x v="1"/>
    <x v="2"/>
    <n v="265"/>
    <s v="5 week course"/>
    <s v="Google"/>
  </r>
  <r>
    <x v="197"/>
    <s v="Sue Phillips"/>
    <x v="2"/>
    <x v="1"/>
    <n v="30"/>
    <s v="forum"/>
    <s v="Existing"/>
  </r>
  <r>
    <x v="197"/>
    <s v="James Cameron"/>
    <x v="2"/>
    <x v="2"/>
    <n v="30"/>
    <s v="forum"/>
    <s v="Existing"/>
  </r>
  <r>
    <x v="197"/>
    <s v="Janet Roberts"/>
    <x v="2"/>
    <x v="2"/>
    <n v="30"/>
    <s v="forum"/>
    <s v="Existing"/>
  </r>
  <r>
    <x v="197"/>
    <s v="Derek Robbins"/>
    <x v="2"/>
    <x v="1"/>
    <n v="30"/>
    <s v="forum"/>
    <s v="Existing"/>
  </r>
  <r>
    <x v="197"/>
    <s v="Jennifer Box"/>
    <x v="2"/>
    <x v="1"/>
    <n v="30"/>
    <s v="forum"/>
    <s v="Existing"/>
  </r>
  <r>
    <x v="197"/>
    <s v="Simon Betteridge"/>
    <x v="3"/>
    <x v="3"/>
    <n v="50"/>
    <s v="Yorkshire"/>
    <s v="Existing"/>
  </r>
  <r>
    <x v="197"/>
    <s v="Simon Betteridge"/>
    <x v="2"/>
    <x v="3"/>
    <n v="30"/>
    <s v="forum"/>
    <s v="Existing"/>
  </r>
  <r>
    <x v="198"/>
    <s v="Julian Barton-Bodley"/>
    <x v="2"/>
    <x v="1"/>
    <n v="35"/>
    <s v="monitor calibration"/>
    <s v="Existing"/>
  </r>
  <r>
    <x v="198"/>
    <s v="Ina Koswara "/>
    <x v="3"/>
    <x v="2"/>
    <n v="400"/>
    <s v="devon"/>
    <s v="Google"/>
  </r>
  <r>
    <x v="199"/>
    <s v="Jackie Rosin"/>
    <x v="2"/>
    <x v="2"/>
    <n v="30"/>
    <s v="forum"/>
    <s v="Existing"/>
  </r>
  <r>
    <x v="200"/>
    <s v="Greg Smart"/>
    <x v="3"/>
    <x v="1"/>
    <n v="99"/>
    <s v="bluebells"/>
    <s v="Existing"/>
  </r>
  <r>
    <x v="201"/>
    <s v="Yee Lee"/>
    <x v="1"/>
    <x v="2"/>
    <n v="265"/>
    <s v="5 week course"/>
    <s v="ELS"/>
  </r>
  <r>
    <x v="201"/>
    <s v="Serena Nicholls"/>
    <x v="2"/>
    <x v="2"/>
    <n v="30"/>
    <s v="forum"/>
    <s v="Existing"/>
  </r>
  <r>
    <x v="202"/>
    <s v="Chris Walkland"/>
    <x v="5"/>
    <x v="3"/>
    <n v="1000"/>
    <s v="pick n mix"/>
    <s v="Google"/>
  </r>
  <r>
    <x v="202"/>
    <s v="Jean MacDonald"/>
    <x v="3"/>
    <x v="3"/>
    <n v="180"/>
    <s v="devon"/>
    <s v="Existing"/>
  </r>
  <r>
    <x v="202"/>
    <s v="Ian Blake"/>
    <x v="2"/>
    <x v="2"/>
    <n v="30"/>
    <s v="forum"/>
    <s v="Existing"/>
  </r>
  <r>
    <x v="203"/>
    <s v="Chris Shaw"/>
    <x v="2"/>
    <x v="2"/>
    <n v="30"/>
    <s v="forum"/>
    <s v="Existing"/>
  </r>
  <r>
    <x v="203"/>
    <s v="Kirsten Pearce"/>
    <x v="2"/>
    <x v="1"/>
    <n v="30"/>
    <s v="forum"/>
    <s v="Existing"/>
  </r>
  <r>
    <x v="203"/>
    <s v="Dunstan Vavasour"/>
    <x v="2"/>
    <x v="1"/>
    <n v="30"/>
    <s v="forum"/>
    <s v="Existing"/>
  </r>
  <r>
    <x v="203"/>
    <s v="Julian Barton-Bodley"/>
    <x v="2"/>
    <x v="1"/>
    <n v="30"/>
    <s v="forum"/>
    <s v="Existing"/>
  </r>
  <r>
    <x v="204"/>
    <s v="Pick N Mix - Feb"/>
    <x v="5"/>
    <x v="3"/>
    <n v="738"/>
    <m/>
    <s v="Existing"/>
  </r>
  <r>
    <x v="204"/>
    <s v="Mentoring subs Feb"/>
    <x v="6"/>
    <x v="6"/>
    <n v="120"/>
    <m/>
    <s v="Existing"/>
  </r>
  <r>
    <x v="204"/>
    <s v="Judith Longhorn"/>
    <x v="3"/>
    <x v="2"/>
    <n v="180"/>
    <s v="delphiniums"/>
    <s v="Google"/>
  </r>
  <r>
    <x v="204"/>
    <s v="Justin Meaden"/>
    <x v="3"/>
    <x v="2"/>
    <n v="100"/>
    <s v="northumbria"/>
    <s v="Google"/>
  </r>
  <r>
    <x v="0"/>
    <m/>
    <x v="0"/>
    <x v="0"/>
    <m/>
    <m/>
    <m/>
  </r>
  <r>
    <x v="0"/>
    <m/>
    <x v="0"/>
    <x v="0"/>
    <m/>
    <m/>
    <m/>
  </r>
  <r>
    <x v="205"/>
    <s v="Pavan Kumar"/>
    <x v="1"/>
    <x v="1"/>
    <n v="50"/>
    <m/>
    <s v="Google"/>
  </r>
  <r>
    <x v="205"/>
    <s v="Daniel Brookes"/>
    <x v="1"/>
    <x v="5"/>
    <n v="12"/>
    <m/>
    <s v="Groupon"/>
  </r>
  <r>
    <x v="205"/>
    <s v="David Towers"/>
    <x v="1"/>
    <x v="5"/>
    <n v="12"/>
    <m/>
    <s v="Groupon"/>
  </r>
  <r>
    <x v="205"/>
    <s v="Chris Towers"/>
    <x v="1"/>
    <x v="5"/>
    <n v="12"/>
    <m/>
    <s v="Groupon"/>
  </r>
  <r>
    <x v="206"/>
    <s v="Sarah Franklin"/>
    <x v="1"/>
    <x v="5"/>
    <n v="12"/>
    <m/>
    <s v="Groupon"/>
  </r>
  <r>
    <x v="206"/>
    <s v="Gail Franklin"/>
    <x v="1"/>
    <x v="2"/>
    <n v="30"/>
    <m/>
    <s v="Google"/>
  </r>
  <r>
    <x v="206"/>
    <s v="Terrence Underhill"/>
    <x v="1"/>
    <x v="5"/>
    <n v="12"/>
    <m/>
    <s v="Groupon"/>
  </r>
  <r>
    <x v="207"/>
    <s v="Ina Koswara "/>
    <x v="3"/>
    <x v="3"/>
    <n v="50"/>
    <m/>
    <s v="Google"/>
  </r>
  <r>
    <x v="208"/>
    <s v="Jan Shaylor"/>
    <x v="4"/>
    <x v="3"/>
    <n v="95"/>
    <m/>
    <s v="Google"/>
  </r>
  <r>
    <x v="208"/>
    <s v="Jessica Miller"/>
    <x v="1"/>
    <x v="2"/>
    <n v="15"/>
    <m/>
    <s v="Google"/>
  </r>
  <r>
    <x v="208"/>
    <s v="Paulina Lewis"/>
    <x v="1"/>
    <x v="2"/>
    <n v="30"/>
    <m/>
    <s v="Google"/>
  </r>
  <r>
    <x v="208"/>
    <s v="Michelle Richings"/>
    <x v="1"/>
    <x v="2"/>
    <n v="30"/>
    <m/>
    <s v="Google"/>
  </r>
  <r>
    <x v="208"/>
    <s v="Chloe Brown"/>
    <x v="1"/>
    <x v="2"/>
    <n v="30"/>
    <m/>
    <s v="Google"/>
  </r>
  <r>
    <x v="208"/>
    <s v="Chris Franklin"/>
    <x v="1"/>
    <x v="5"/>
    <n v="12"/>
    <m/>
    <s v="Groupon"/>
  </r>
  <r>
    <x v="209"/>
    <s v="Kedar "/>
    <x v="1"/>
    <x v="2"/>
    <n v="250"/>
    <s v="5 week course"/>
    <s v="Google"/>
  </r>
  <r>
    <x v="210"/>
    <s v="Kirsten pearce"/>
    <x v="3"/>
    <x v="3"/>
    <n v="243.5"/>
    <s v="lakes"/>
    <s v="Existing"/>
  </r>
  <r>
    <x v="211"/>
    <s v="Emily Fernadez"/>
    <x v="1"/>
    <x v="3"/>
    <n v="200"/>
    <m/>
    <s v="Existing"/>
  </r>
  <r>
    <x v="212"/>
    <s v="Rachel Ward"/>
    <x v="3"/>
    <x v="2"/>
    <n v="59"/>
    <s v="batsford cal shoot"/>
    <s v="Batsford"/>
  </r>
  <r>
    <x v="212"/>
    <s v="Ruth Colgan"/>
    <x v="1"/>
    <x v="2"/>
    <n v="215"/>
    <s v="5wk course feb"/>
    <s v="Existing"/>
  </r>
  <r>
    <x v="213"/>
    <s v="Rachel Imogen BOWES "/>
    <x v="1"/>
    <x v="1"/>
    <n v="265"/>
    <m/>
    <s v="Google"/>
  </r>
  <r>
    <x v="213"/>
    <s v="Zoe Manning "/>
    <x v="1"/>
    <x v="2"/>
    <n v="60"/>
    <m/>
    <s v="Google"/>
  </r>
  <r>
    <x v="214"/>
    <s v="Vic Millard"/>
    <x v="1"/>
    <x v="2"/>
    <n v="30"/>
    <m/>
    <s v="Google"/>
  </r>
  <r>
    <x v="214"/>
    <s v="Rebecca Teague "/>
    <x v="3"/>
    <x v="2"/>
    <n v="60"/>
    <m/>
    <s v="Google"/>
  </r>
  <r>
    <x v="215"/>
    <s v="Adrian Knott"/>
    <x v="1"/>
    <x v="1"/>
    <n v="25"/>
    <s v="yes"/>
    <s v="Google"/>
  </r>
  <r>
    <x v="216"/>
    <s v="Janet Roberts"/>
    <x v="1"/>
    <x v="2"/>
    <n v="135"/>
    <s v="no"/>
    <s v="Existing"/>
  </r>
  <r>
    <x v="216"/>
    <s v="Mark Harrison"/>
    <x v="4"/>
    <x v="3"/>
    <n v="145"/>
    <s v="yes"/>
    <s v="Google"/>
  </r>
  <r>
    <x v="217"/>
    <s v="Norman Whitaker"/>
    <x v="1"/>
    <x v="2"/>
    <n v="25"/>
    <s v="yes"/>
    <s v="Google"/>
  </r>
  <r>
    <x v="217"/>
    <s v="Sue &amp; Chris Walkland"/>
    <x v="1"/>
    <x v="3"/>
    <n v="400"/>
    <s v="yes"/>
    <s v="Google"/>
  </r>
  <r>
    <x v="218"/>
    <s v="Mentoring Subs"/>
    <x v="6"/>
    <x v="6"/>
    <n v="120"/>
    <m/>
    <s v="Existing"/>
  </r>
  <r>
    <x v="218"/>
    <s v="Janice Jordon"/>
    <x v="2"/>
    <x v="2"/>
    <n v="30"/>
    <s v="yes"/>
    <s v="Existing"/>
  </r>
  <r>
    <x v="218"/>
    <s v="Pick N Mix Jan"/>
    <x v="5"/>
    <x v="6"/>
    <n v="339"/>
    <m/>
    <s v="Existing"/>
  </r>
  <r>
    <x v="218"/>
    <s v="Anne-Marie Scott"/>
    <x v="6"/>
    <x v="1"/>
    <n v="200"/>
    <s v="yes"/>
    <s v="Existing"/>
  </r>
  <r>
    <x v="0"/>
    <m/>
    <x v="0"/>
    <x v="0"/>
    <m/>
    <m/>
    <m/>
  </r>
</pivotCacheRecords>
</file>

<file path=xl/pivotCache/pivotCacheRecords3.xml><?xml version="1.0" encoding="utf-8"?>
<pivotCacheRecords xmlns="http://schemas.openxmlformats.org/spreadsheetml/2006/main" count="529">
  <r>
    <x v="0"/>
    <m/>
    <x v="0"/>
    <x v="0"/>
    <m/>
    <x v="0"/>
    <x v="0"/>
  </r>
  <r>
    <x v="0"/>
    <m/>
    <x v="0"/>
    <x v="0"/>
    <m/>
    <x v="0"/>
    <x v="0"/>
  </r>
  <r>
    <x v="0"/>
    <m/>
    <x v="0"/>
    <x v="0"/>
    <m/>
    <x v="0"/>
    <x v="0"/>
  </r>
  <r>
    <x v="0"/>
    <m/>
    <x v="0"/>
    <x v="0"/>
    <m/>
    <x v="0"/>
    <x v="0"/>
  </r>
  <r>
    <x v="0"/>
    <m/>
    <x v="0"/>
    <x v="0"/>
    <m/>
    <x v="0"/>
    <x v="0"/>
  </r>
  <r>
    <x v="0"/>
    <m/>
    <x v="0"/>
    <x v="0"/>
    <m/>
    <x v="0"/>
    <x v="0"/>
  </r>
  <r>
    <x v="0"/>
    <m/>
    <x v="0"/>
    <x v="0"/>
    <m/>
    <x v="0"/>
    <x v="0"/>
  </r>
  <r>
    <x v="0"/>
    <m/>
    <x v="0"/>
    <x v="0"/>
    <m/>
    <x v="0"/>
    <x v="0"/>
  </r>
  <r>
    <x v="0"/>
    <m/>
    <x v="0"/>
    <x v="0"/>
    <m/>
    <x v="0"/>
    <x v="0"/>
  </r>
  <r>
    <x v="0"/>
    <m/>
    <x v="0"/>
    <x v="0"/>
    <m/>
    <x v="0"/>
    <x v="0"/>
  </r>
  <r>
    <x v="1"/>
    <s v="Steven Moffitt"/>
    <x v="1"/>
    <x v="1"/>
    <n v="50"/>
    <x v="1"/>
    <x v="1"/>
  </r>
  <r>
    <x v="1"/>
    <s v="Jan Whaley"/>
    <x v="2"/>
    <x v="2"/>
    <n v="150"/>
    <x v="2"/>
    <x v="1"/>
  </r>
  <r>
    <x v="2"/>
    <s v="Amanda Cope"/>
    <x v="1"/>
    <x v="2"/>
    <n v="30"/>
    <x v="3"/>
    <x v="1"/>
  </r>
  <r>
    <x v="2"/>
    <s v="Georgia Guinan"/>
    <x v="1"/>
    <x v="2"/>
    <n v="30"/>
    <x v="3"/>
    <x v="1"/>
  </r>
  <r>
    <x v="2"/>
    <s v="Vijaytha Murali"/>
    <x v="1"/>
    <x v="3"/>
    <n v="235"/>
    <x v="4"/>
    <x v="2"/>
  </r>
  <r>
    <x v="3"/>
    <s v="michaella robb"/>
    <x v="2"/>
    <x v="2"/>
    <n v="50"/>
    <x v="2"/>
    <x v="1"/>
  </r>
  <r>
    <x v="3"/>
    <s v="Julia Dyer"/>
    <x v="3"/>
    <x v="2"/>
    <n v="59"/>
    <x v="5"/>
    <x v="3"/>
  </r>
  <r>
    <x v="4"/>
    <s v="Mary Martin"/>
    <x v="1"/>
    <x v="2"/>
    <n v="30"/>
    <x v="3"/>
    <x v="1"/>
  </r>
  <r>
    <x v="5"/>
    <s v="Roger Harrison"/>
    <x v="1"/>
    <x v="2"/>
    <n v="50"/>
    <x v="6"/>
    <x v="2"/>
  </r>
  <r>
    <x v="5"/>
    <s v="Kerry Bottomley"/>
    <x v="2"/>
    <x v="2"/>
    <n v="50"/>
    <x v="2"/>
    <x v="2"/>
  </r>
  <r>
    <x v="5"/>
    <s v="Sheelagh Hiley"/>
    <x v="3"/>
    <x v="2"/>
    <n v="176.8"/>
    <x v="7"/>
    <x v="1"/>
  </r>
  <r>
    <x v="6"/>
    <s v="Anne Rowling"/>
    <x v="1"/>
    <x v="1"/>
    <n v="30"/>
    <x v="3"/>
    <x v="2"/>
  </r>
  <r>
    <x v="6"/>
    <s v="Christian James"/>
    <x v="1"/>
    <x v="4"/>
    <n v="265"/>
    <x v="1"/>
    <x v="1"/>
  </r>
  <r>
    <x v="7"/>
    <s v="Anna Price"/>
    <x v="1"/>
    <x v="2"/>
    <n v="30"/>
    <x v="3"/>
    <x v="1"/>
  </r>
  <r>
    <x v="8"/>
    <s v="Matthew Davis"/>
    <x v="2"/>
    <x v="1"/>
    <n v="50"/>
    <x v="2"/>
    <x v="2"/>
  </r>
  <r>
    <x v="8"/>
    <s v="Helen Robinson"/>
    <x v="2"/>
    <x v="2"/>
    <n v="50"/>
    <x v="2"/>
    <x v="2"/>
  </r>
  <r>
    <x v="9"/>
    <s v="Laura Steele"/>
    <x v="2"/>
    <x v="2"/>
    <n v="50"/>
    <x v="2"/>
    <x v="2"/>
  </r>
  <r>
    <x v="9"/>
    <s v="lee clarke"/>
    <x v="4"/>
    <x v="2"/>
    <n v="195"/>
    <x v="8"/>
    <x v="2"/>
  </r>
  <r>
    <x v="9"/>
    <s v="Elaine Adkins"/>
    <x v="1"/>
    <x v="4"/>
    <n v="265"/>
    <x v="1"/>
    <x v="1"/>
  </r>
  <r>
    <x v="10"/>
    <s v="P Jordon (Gift Voucher - Janice)"/>
    <x v="2"/>
    <x v="4"/>
    <n v="100"/>
    <x v="9"/>
    <x v="2"/>
  </r>
  <r>
    <x v="10"/>
    <s v="Julia Arnold"/>
    <x v="2"/>
    <x v="2"/>
    <n v="30"/>
    <x v="2"/>
    <x v="1"/>
  </r>
  <r>
    <x v="10"/>
    <s v="lee clarke"/>
    <x v="4"/>
    <x v="2"/>
    <n v="195"/>
    <x v="8"/>
    <x v="2"/>
  </r>
  <r>
    <x v="10"/>
    <s v="Janet Boulter"/>
    <x v="2"/>
    <x v="2"/>
    <n v="30"/>
    <x v="10"/>
    <x v="2"/>
  </r>
  <r>
    <x v="11"/>
    <s v="Scott Bremner - ELS"/>
    <x v="1"/>
    <x v="3"/>
    <n v="65"/>
    <x v="11"/>
    <x v="4"/>
  </r>
  <r>
    <x v="11"/>
    <s v="Christian Twigg-Flesner - paul kilford"/>
    <x v="1"/>
    <x v="2"/>
    <n v="265"/>
    <x v="1"/>
    <x v="1"/>
  </r>
  <r>
    <x v="12"/>
    <s v="Hans Berg - ELS"/>
    <x v="1"/>
    <x v="3"/>
    <n v="65"/>
    <x v="1"/>
    <x v="4"/>
  </r>
  <r>
    <x v="13"/>
    <s v="Emma Mehrabanpour"/>
    <x v="2"/>
    <x v="2"/>
    <n v="50"/>
    <x v="2"/>
    <x v="1"/>
  </r>
  <r>
    <x v="14"/>
    <s v="Nick Jones"/>
    <x v="2"/>
    <x v="1"/>
    <n v="30"/>
    <x v="10"/>
    <x v="2"/>
  </r>
  <r>
    <x v="14"/>
    <s v="Marcela Griffiths"/>
    <x v="1"/>
    <x v="5"/>
    <n v="13"/>
    <x v="3"/>
    <x v="5"/>
  </r>
  <r>
    <x v="14"/>
    <s v="Chris Johnson"/>
    <x v="1"/>
    <x v="2"/>
    <n v="475"/>
    <x v="12"/>
    <x v="2"/>
  </r>
  <r>
    <x v="15"/>
    <s v="Joy Dennison"/>
    <x v="1"/>
    <x v="2"/>
    <n v="235"/>
    <x v="4"/>
    <x v="2"/>
  </r>
  <r>
    <x v="16"/>
    <s v="Karen Morris"/>
    <x v="2"/>
    <x v="2"/>
    <n v="7.75"/>
    <x v="1"/>
    <x v="1"/>
  </r>
  <r>
    <x v="16"/>
    <s v="Karen Morris"/>
    <x v="1"/>
    <x v="2"/>
    <n v="265"/>
    <x v="1"/>
    <x v="1"/>
  </r>
  <r>
    <x v="17"/>
    <s v="Carol Stephens"/>
    <x v="1"/>
    <x v="3"/>
    <n v="225"/>
    <x v="1"/>
    <x v="1"/>
  </r>
  <r>
    <x v="17"/>
    <s v="Amundep Hothi - ELS"/>
    <x v="1"/>
    <x v="3"/>
    <n v="65"/>
    <x v="1"/>
    <x v="4"/>
  </r>
  <r>
    <x v="17"/>
    <s v="Dec Pick N Mix"/>
    <x v="5"/>
    <x v="6"/>
    <n v="307.48"/>
    <x v="13"/>
    <x v="2"/>
  </r>
  <r>
    <x v="17"/>
    <s v="Dec Mentoring"/>
    <x v="6"/>
    <x v="6"/>
    <n v="60"/>
    <x v="14"/>
    <x v="2"/>
  </r>
  <r>
    <x v="0"/>
    <m/>
    <x v="0"/>
    <x v="0"/>
    <m/>
    <x v="0"/>
    <x v="0"/>
  </r>
  <r>
    <x v="18"/>
    <s v="Vijaytha Murali"/>
    <x v="1"/>
    <x v="7"/>
    <n v="10"/>
    <x v="15"/>
    <x v="5"/>
  </r>
  <r>
    <x v="18"/>
    <s v="Carol Stephens"/>
    <x v="1"/>
    <x v="7"/>
    <n v="10"/>
    <x v="15"/>
    <x v="1"/>
  </r>
  <r>
    <x v="18"/>
    <s v="John Hayes"/>
    <x v="3"/>
    <x v="2"/>
    <n v="66.8"/>
    <x v="16"/>
    <x v="1"/>
  </r>
  <r>
    <x v="18"/>
    <s v="Karen Blake"/>
    <x v="1"/>
    <x v="2"/>
    <n v="165"/>
    <x v="1"/>
    <x v="1"/>
  </r>
  <r>
    <x v="19"/>
    <s v="Preetha Luther - ELS"/>
    <x v="1"/>
    <x v="3"/>
    <n v="65"/>
    <x v="1"/>
    <x v="4"/>
  </r>
  <r>
    <x v="19"/>
    <s v="J Blore"/>
    <x v="2"/>
    <x v="4"/>
    <n v="85"/>
    <x v="9"/>
    <x v="1"/>
  </r>
  <r>
    <x v="20"/>
    <s v="Nadine Pratt"/>
    <x v="1"/>
    <x v="3"/>
    <n v="100"/>
    <x v="1"/>
    <x v="1"/>
  </r>
  <r>
    <x v="20"/>
    <s v="Sayed Nazir - ELS"/>
    <x v="1"/>
    <x v="3"/>
    <n v="65"/>
    <x v="1"/>
    <x v="4"/>
  </r>
  <r>
    <x v="20"/>
    <s v="Jill James"/>
    <x v="3"/>
    <x v="4"/>
    <n v="61"/>
    <x v="17"/>
    <x v="1"/>
  </r>
  <r>
    <x v="20"/>
    <s v="Jonathan Hull"/>
    <x v="2"/>
    <x v="1"/>
    <n v="40"/>
    <x v="9"/>
    <x v="1"/>
  </r>
  <r>
    <x v="20"/>
    <s v="Johanna Stansfield"/>
    <x v="5"/>
    <x v="3"/>
    <n v="1623"/>
    <x v="18"/>
    <x v="2"/>
  </r>
  <r>
    <x v="21"/>
    <s v="Andrew Holmes"/>
    <x v="3"/>
    <x v="2"/>
    <n v="695"/>
    <x v="7"/>
    <x v="1"/>
  </r>
  <r>
    <x v="22"/>
    <s v="Johanna Stansfield"/>
    <x v="1"/>
    <x v="2"/>
    <n v="50"/>
    <x v="19"/>
    <x v="2"/>
  </r>
  <r>
    <x v="22"/>
    <s v="Michael Morgan"/>
    <x v="1"/>
    <x v="5"/>
    <n v="13"/>
    <x v="3"/>
    <x v="5"/>
  </r>
  <r>
    <x v="22"/>
    <s v="Dannie Merry"/>
    <x v="2"/>
    <x v="1"/>
    <n v="42.99"/>
    <x v="20"/>
    <x v="6"/>
  </r>
  <r>
    <x v="20"/>
    <s v="Ashwyn Dhir - ELS"/>
    <x v="1"/>
    <x v="3"/>
    <n v="200"/>
    <x v="1"/>
    <x v="4"/>
  </r>
  <r>
    <x v="20"/>
    <s v="Richard Wardle - ELS"/>
    <x v="1"/>
    <x v="3"/>
    <n v="200"/>
    <x v="21"/>
    <x v="4"/>
  </r>
  <r>
    <x v="20"/>
    <s v="Helen Finch - ELS"/>
    <x v="1"/>
    <x v="3"/>
    <n v="150"/>
    <x v="1"/>
    <x v="4"/>
  </r>
  <r>
    <x v="23"/>
    <s v="Nadine Preece"/>
    <x v="3"/>
    <x v="2"/>
    <n v="66.8"/>
    <x v="22"/>
    <x v="2"/>
  </r>
  <r>
    <x v="23"/>
    <s v="Karen Blake"/>
    <x v="1"/>
    <x v="2"/>
    <n v="100"/>
    <x v="1"/>
    <x v="1"/>
  </r>
  <r>
    <x v="23"/>
    <s v="Matthew Lees"/>
    <x v="3"/>
    <x v="2"/>
    <n v="302.4"/>
    <x v="23"/>
    <x v="1"/>
  </r>
  <r>
    <x v="24"/>
    <s v="Fiona Cummings"/>
    <x v="2"/>
    <x v="2"/>
    <n v="43.6"/>
    <x v="9"/>
    <x v="2"/>
  </r>
  <r>
    <x v="25"/>
    <s v="Debbie Colby"/>
    <x v="3"/>
    <x v="2"/>
    <n v="150"/>
    <x v="24"/>
    <x v="1"/>
  </r>
  <r>
    <x v="26"/>
    <s v="J Blore"/>
    <x v="1"/>
    <x v="2"/>
    <n v="50"/>
    <x v="25"/>
    <x v="1"/>
  </r>
  <r>
    <x v="27"/>
    <s v="Justin Meaden"/>
    <x v="3"/>
    <x v="2"/>
    <n v="482.2"/>
    <x v="26"/>
    <x v="2"/>
  </r>
  <r>
    <x v="27"/>
    <s v="Veronika Beckova "/>
    <x v="3"/>
    <x v="3"/>
    <n v="33"/>
    <x v="27"/>
    <x v="1"/>
  </r>
  <r>
    <x v="27"/>
    <s v="Jodie Child"/>
    <x v="1"/>
    <x v="3"/>
    <n v="65"/>
    <x v="1"/>
    <x v="4"/>
  </r>
  <r>
    <x v="27"/>
    <s v="Steven Moffitt"/>
    <x v="1"/>
    <x v="2"/>
    <n v="265"/>
    <x v="1"/>
    <x v="1"/>
  </r>
  <r>
    <x v="27"/>
    <s v="Rob Graham ELS"/>
    <x v="1"/>
    <x v="3"/>
    <n v="200"/>
    <x v="1"/>
    <x v="4"/>
  </r>
  <r>
    <x v="27"/>
    <s v="Jonathan McCaughan  ELS"/>
    <x v="1"/>
    <x v="3"/>
    <n v="200"/>
    <x v="1"/>
    <x v="4"/>
  </r>
  <r>
    <x v="27"/>
    <s v="Shen Xiang -ELS"/>
    <x v="1"/>
    <x v="3"/>
    <n v="200"/>
    <x v="1"/>
    <x v="4"/>
  </r>
  <r>
    <x v="27"/>
    <s v="Seon Chang - ELS"/>
    <x v="1"/>
    <x v="3"/>
    <n v="200"/>
    <x v="1"/>
    <x v="4"/>
  </r>
  <r>
    <x v="28"/>
    <s v="Robert Smith"/>
    <x v="1"/>
    <x v="2"/>
    <n v="270"/>
    <x v="28"/>
    <x v="2"/>
  </r>
  <r>
    <x v="28"/>
    <s v="Stacey Jones"/>
    <x v="1"/>
    <x v="2"/>
    <n v="135"/>
    <x v="28"/>
    <x v="1"/>
  </r>
  <r>
    <x v="28"/>
    <s v="Robert Smith"/>
    <x v="1"/>
    <x v="2"/>
    <n v="200"/>
    <x v="28"/>
    <x v="2"/>
  </r>
  <r>
    <x v="28"/>
    <s v="Stacey Jones"/>
    <x v="1"/>
    <x v="2"/>
    <n v="30"/>
    <x v="3"/>
    <x v="1"/>
  </r>
  <r>
    <x v="28"/>
    <s v="Stacey Jones"/>
    <x v="1"/>
    <x v="2"/>
    <n v="100"/>
    <x v="28"/>
    <x v="1"/>
  </r>
  <r>
    <x v="29"/>
    <s v="Nadine Pratt"/>
    <x v="1"/>
    <x v="3"/>
    <n v="65"/>
    <x v="1"/>
    <x v="1"/>
  </r>
  <r>
    <x v="29"/>
    <s v="Janet Boulter"/>
    <x v="1"/>
    <x v="1"/>
    <n v="100"/>
    <x v="18"/>
    <x v="2"/>
  </r>
  <r>
    <x v="29"/>
    <s v="Nadine Pratt"/>
    <x v="3"/>
    <x v="2"/>
    <n v="225.8"/>
    <x v="18"/>
    <x v="1"/>
  </r>
  <r>
    <x v="30"/>
    <s v="Donna Glaister"/>
    <x v="1"/>
    <x v="5"/>
    <n v="13"/>
    <x v="3"/>
    <x v="5"/>
  </r>
  <r>
    <x v="30"/>
    <s v="Owen Deneny"/>
    <x v="1"/>
    <x v="3"/>
    <n v="117.5"/>
    <x v="28"/>
    <x v="1"/>
  </r>
  <r>
    <x v="31"/>
    <s v="Charlotte Kaye"/>
    <x v="1"/>
    <x v="1"/>
    <n v="60"/>
    <x v="3"/>
    <x v="1"/>
  </r>
  <r>
    <x v="31"/>
    <s v="Nov Pick N Mix"/>
    <x v="5"/>
    <x v="6"/>
    <n v="615"/>
    <x v="13"/>
    <x v="2"/>
  </r>
  <r>
    <x v="31"/>
    <s v="Nov Mentoring"/>
    <x v="6"/>
    <x v="6"/>
    <n v="80"/>
    <x v="14"/>
    <x v="2"/>
  </r>
  <r>
    <x v="31"/>
    <s v="Xposure Fees"/>
    <x v="1"/>
    <x v="3"/>
    <n v="2493"/>
    <x v="29"/>
    <x v="2"/>
  </r>
  <r>
    <x v="0"/>
    <m/>
    <x v="0"/>
    <x v="0"/>
    <m/>
    <x v="0"/>
    <x v="0"/>
  </r>
  <r>
    <x v="32"/>
    <s v="Rebecca Teague"/>
    <x v="3"/>
    <x v="2"/>
    <n v="66.8"/>
    <x v="30"/>
    <x v="2"/>
  </r>
  <r>
    <x v="33"/>
    <s v="Gemma Proctor"/>
    <x v="3"/>
    <x v="1"/>
    <n v="73.34999999999999"/>
    <x v="22"/>
    <x v="1"/>
  </r>
  <r>
    <x v="33"/>
    <s v="Gill Cartwright"/>
    <x v="3"/>
    <x v="1"/>
    <n v="100.8"/>
    <x v="31"/>
    <x v="7"/>
  </r>
  <r>
    <x v="33"/>
    <s v="sharron kerr"/>
    <x v="3"/>
    <x v="1"/>
    <n v="66.8"/>
    <x v="32"/>
    <x v="1"/>
  </r>
  <r>
    <x v="33"/>
    <s v="Marvin Epton - ELS"/>
    <x v="1"/>
    <x v="3"/>
    <n v="200"/>
    <x v="1"/>
    <x v="4"/>
  </r>
  <r>
    <x v="33"/>
    <s v="Aidan Broderick - ELS"/>
    <x v="1"/>
    <x v="3"/>
    <n v="200"/>
    <x v="1"/>
    <x v="4"/>
  </r>
  <r>
    <x v="34"/>
    <s v="Marius Ciobanu -ELS"/>
    <x v="1"/>
    <x v="3"/>
    <n v="200"/>
    <x v="1"/>
    <x v="4"/>
  </r>
  <r>
    <x v="35"/>
    <s v="Kerry Bottomley"/>
    <x v="3"/>
    <x v="1"/>
    <n v="151.8"/>
    <x v="31"/>
    <x v="3"/>
  </r>
  <r>
    <x v="36"/>
    <s v="Richard Wardle - ELS"/>
    <x v="1"/>
    <x v="3"/>
    <n v="275"/>
    <x v="33"/>
    <x v="4"/>
  </r>
  <r>
    <x v="37"/>
    <s v="Lawrence Peach"/>
    <x v="1"/>
    <x v="5"/>
    <n v="13"/>
    <x v="3"/>
    <x v="5"/>
  </r>
  <r>
    <x v="37"/>
    <s v="Steven Skidmore"/>
    <x v="1"/>
    <x v="5"/>
    <n v="13"/>
    <x v="3"/>
    <x v="5"/>
  </r>
  <r>
    <x v="37"/>
    <s v="Helen Finch"/>
    <x v="1"/>
    <x v="3"/>
    <n v="380"/>
    <x v="1"/>
    <x v="4"/>
  </r>
  <r>
    <x v="38"/>
    <s v="Mike Ford"/>
    <x v="2"/>
    <x v="1"/>
    <n v="30"/>
    <x v="10"/>
    <x v="2"/>
  </r>
  <r>
    <x v="38"/>
    <s v="Owen Deneny"/>
    <x v="1"/>
    <x v="3"/>
    <n v="117.5"/>
    <x v="1"/>
    <x v="1"/>
  </r>
  <r>
    <x v="39"/>
    <s v="Chris Johnson"/>
    <x v="3"/>
    <x v="2"/>
    <n v="151.8"/>
    <x v="31"/>
    <x v="2"/>
  </r>
  <r>
    <x v="39"/>
    <s v="Johanna Stansfield"/>
    <x v="3"/>
    <x v="2"/>
    <n v="151.8"/>
    <x v="31"/>
    <x v="2"/>
  </r>
  <r>
    <x v="39"/>
    <s v="David Ainsbury"/>
    <x v="3"/>
    <x v="1"/>
    <n v="99"/>
    <x v="31"/>
    <x v="3"/>
  </r>
  <r>
    <x v="39"/>
    <s v="Janet Roberts"/>
    <x v="1"/>
    <x v="3"/>
    <n v="175"/>
    <x v="34"/>
    <x v="2"/>
  </r>
  <r>
    <x v="39"/>
    <s v="Janice Jordon"/>
    <x v="3"/>
    <x v="3"/>
    <n v="150"/>
    <x v="31"/>
    <x v="2"/>
  </r>
  <r>
    <x v="39"/>
    <s v="Chris Parker"/>
    <x v="3"/>
    <x v="3"/>
    <n v="150"/>
    <x v="31"/>
    <x v="2"/>
  </r>
  <r>
    <x v="40"/>
    <s v="Owen Deneny"/>
    <x v="1"/>
    <x v="1"/>
    <n v="30"/>
    <x v="3"/>
    <x v="1"/>
  </r>
  <r>
    <x v="41"/>
    <s v="Shen Xiang -ELS"/>
    <x v="1"/>
    <x v="3"/>
    <n v="65"/>
    <x v="1"/>
    <x v="4"/>
  </r>
  <r>
    <x v="41"/>
    <s v="Ashwyn Dhir"/>
    <x v="1"/>
    <x v="3"/>
    <n v="65"/>
    <x v="1"/>
    <x v="4"/>
  </r>
  <r>
    <x v="41"/>
    <s v="Karen Smith"/>
    <x v="3"/>
    <x v="2"/>
    <n v="200.4"/>
    <x v="31"/>
    <x v="3"/>
  </r>
  <r>
    <x v="42"/>
    <s v="Virginia Mason"/>
    <x v="3"/>
    <x v="2"/>
    <n v="100.8"/>
    <x v="31"/>
    <x v="7"/>
  </r>
  <r>
    <x v="42"/>
    <s v="Des Watkins"/>
    <x v="3"/>
    <x v="2"/>
    <n v="151.8"/>
    <x v="31"/>
    <x v="2"/>
  </r>
  <r>
    <x v="43"/>
    <s v="Jonathan McCaughan  ELS"/>
    <x v="1"/>
    <x v="3"/>
    <n v="100"/>
    <x v="1"/>
    <x v="4"/>
  </r>
  <r>
    <x v="43"/>
    <s v="Jonathan McCaughan  ELS"/>
    <x v="1"/>
    <x v="3"/>
    <n v="230"/>
    <x v="1"/>
    <x v="4"/>
  </r>
  <r>
    <x v="43"/>
    <s v="Lee Clarke"/>
    <x v="4"/>
    <x v="2"/>
    <n v="195"/>
    <x v="35"/>
    <x v="2"/>
  </r>
  <r>
    <x v="44"/>
    <s v="Nikita Da Cunha"/>
    <x v="1"/>
    <x v="5"/>
    <n v="13"/>
    <x v="3"/>
    <x v="5"/>
  </r>
  <r>
    <x v="44"/>
    <s v="Vijaytha Murali"/>
    <x v="1"/>
    <x v="5"/>
    <n v="13"/>
    <x v="3"/>
    <x v="5"/>
  </r>
  <r>
    <x v="44"/>
    <s v="Michael Tombs"/>
    <x v="3"/>
    <x v="2"/>
    <n v="151.8"/>
    <x v="31"/>
    <x v="2"/>
  </r>
  <r>
    <x v="45"/>
    <s v="Anne Spackman"/>
    <x v="3"/>
    <x v="2"/>
    <n v="100.8"/>
    <x v="31"/>
    <x v="7"/>
  </r>
  <r>
    <x v="45"/>
    <s v="Janice Jordon"/>
    <x v="3"/>
    <x v="3"/>
    <n v="350"/>
    <x v="36"/>
    <x v="2"/>
  </r>
  <r>
    <x v="45"/>
    <s v="Rob Graham"/>
    <x v="1"/>
    <x v="3"/>
    <n v="65"/>
    <x v="1"/>
    <x v="4"/>
  </r>
  <r>
    <x v="46"/>
    <s v="Laura Byrne"/>
    <x v="4"/>
    <x v="2"/>
    <n v="50"/>
    <x v="37"/>
    <x v="2"/>
  </r>
  <r>
    <x v="46"/>
    <s v="Anne Watkinson"/>
    <x v="3"/>
    <x v="2"/>
    <n v="166.4"/>
    <x v="38"/>
    <x v="2"/>
  </r>
  <r>
    <x v="46"/>
    <s v="Tony Wright"/>
    <x v="3"/>
    <x v="4"/>
    <n v="40"/>
    <x v="31"/>
    <x v="3"/>
  </r>
  <r>
    <x v="46"/>
    <s v="Julia R A Taylor"/>
    <x v="3"/>
    <x v="2"/>
    <n v="200.4"/>
    <x v="31"/>
    <x v="3"/>
  </r>
  <r>
    <x v="47"/>
    <s v="Carol Stephens"/>
    <x v="1"/>
    <x v="2"/>
    <n v="30"/>
    <x v="3"/>
    <x v="1"/>
  </r>
  <r>
    <x v="47"/>
    <s v="Harriet Bowley"/>
    <x v="1"/>
    <x v="1"/>
    <n v="265"/>
    <x v="34"/>
    <x v="2"/>
  </r>
  <r>
    <x v="48"/>
    <s v="Nadine Preece"/>
    <x v="1"/>
    <x v="2"/>
    <n v="265"/>
    <x v="1"/>
    <x v="2"/>
  </r>
  <r>
    <x v="48"/>
    <s v="Philippa Gunn"/>
    <x v="3"/>
    <x v="2"/>
    <n v="302.4"/>
    <x v="31"/>
    <x v="3"/>
  </r>
  <r>
    <x v="49"/>
    <s v="Sunny Chang - ELS"/>
    <x v="1"/>
    <x v="3"/>
    <n v="200"/>
    <x v="1"/>
    <x v="4"/>
  </r>
  <r>
    <x v="49"/>
    <s v="Stewart Twilton - ELS"/>
    <x v="3"/>
    <x v="3"/>
    <n v="135"/>
    <x v="39"/>
    <x v="4"/>
  </r>
  <r>
    <x v="49"/>
    <s v="Aikaterini Fotoglou - ELS"/>
    <x v="1"/>
    <x v="3"/>
    <n v="200"/>
    <x v="1"/>
    <x v="4"/>
  </r>
  <r>
    <x v="49"/>
    <s v="Ran Tao - ELS"/>
    <x v="1"/>
    <x v="3"/>
    <n v="200"/>
    <x v="1"/>
    <x v="4"/>
  </r>
  <r>
    <x v="50"/>
    <s v="Con Mchugh"/>
    <x v="5"/>
    <x v="3"/>
    <n v="1000"/>
    <x v="40"/>
    <x v="2"/>
  </r>
  <r>
    <x v="50"/>
    <s v="Daryl Cowmeadow"/>
    <x v="2"/>
    <x v="1"/>
    <n v="20.85"/>
    <x v="41"/>
    <x v="3"/>
  </r>
  <r>
    <x v="50"/>
    <s v="Malcolm Mccutcheon "/>
    <x v="1"/>
    <x v="5"/>
    <n v="13"/>
    <x v="3"/>
    <x v="5"/>
  </r>
  <r>
    <x v="51"/>
    <s v="Kim Robert - ELS"/>
    <x v="1"/>
    <x v="3"/>
    <n v="200"/>
    <x v="1"/>
    <x v="4"/>
  </r>
  <r>
    <x v="51"/>
    <s v="Scott Bremner - ELS"/>
    <x v="1"/>
    <x v="3"/>
    <n v="200"/>
    <x v="1"/>
    <x v="4"/>
  </r>
  <r>
    <x v="51"/>
    <s v="Michael King - ELS"/>
    <x v="1"/>
    <x v="3"/>
    <n v="200"/>
    <x v="42"/>
    <x v="4"/>
  </r>
  <r>
    <x v="51"/>
    <s v="Thomas Lloyd -ELS"/>
    <x v="3"/>
    <x v="3"/>
    <n v="65"/>
    <x v="43"/>
    <x v="4"/>
  </r>
  <r>
    <x v="51"/>
    <s v="Jieyuan Wu - ELS"/>
    <x v="1"/>
    <x v="3"/>
    <n v="200"/>
    <x v="1"/>
    <x v="4"/>
  </r>
  <r>
    <x v="51"/>
    <s v="Daniel Thomas - ELS"/>
    <x v="1"/>
    <x v="3"/>
    <n v="200"/>
    <x v="1"/>
    <x v="4"/>
  </r>
  <r>
    <x v="51"/>
    <s v="Paul Gardiner - ELS"/>
    <x v="3"/>
    <x v="3"/>
    <n v="41"/>
    <x v="43"/>
    <x v="4"/>
  </r>
  <r>
    <x v="52"/>
    <s v="Oct Pick N Mix"/>
    <x v="5"/>
    <x v="6"/>
    <n v="232.48"/>
    <x v="13"/>
    <x v="2"/>
  </r>
  <r>
    <x v="52"/>
    <s v="Oct Mentoring"/>
    <x v="6"/>
    <x v="6"/>
    <n v="100"/>
    <x v="14"/>
    <x v="2"/>
  </r>
  <r>
    <x v="52"/>
    <s v="Emily Russell"/>
    <x v="3"/>
    <x v="1"/>
    <n v="100.8"/>
    <x v="31"/>
    <x v="1"/>
  </r>
  <r>
    <x v="0"/>
    <m/>
    <x v="0"/>
    <x v="0"/>
    <m/>
    <x v="0"/>
    <x v="0"/>
  </r>
  <r>
    <x v="53"/>
    <s v="Duncan Harris"/>
    <x v="1"/>
    <x v="1"/>
    <n v="265"/>
    <x v="1"/>
    <x v="1"/>
  </r>
  <r>
    <x v="54"/>
    <s v="Rebecca Mower"/>
    <x v="3"/>
    <x v="2"/>
    <n v="151.8"/>
    <x v="31"/>
    <x v="3"/>
  </r>
  <r>
    <x v="55"/>
    <s v="Jane Sahaslan"/>
    <x v="3"/>
    <x v="2"/>
    <n v="66.8"/>
    <x v="32"/>
    <x v="1"/>
  </r>
  <r>
    <x v="55"/>
    <s v="Amy Morris"/>
    <x v="5"/>
    <x v="3"/>
    <n v="1000"/>
    <x v="44"/>
    <x v="1"/>
  </r>
  <r>
    <x v="56"/>
    <s v="Marvin Epton"/>
    <x v="1"/>
    <x v="3"/>
    <n v="65"/>
    <x v="34"/>
    <x v="4"/>
  </r>
  <r>
    <x v="56"/>
    <s v="Amit Sinha"/>
    <x v="3"/>
    <x v="2"/>
    <n v="151.8"/>
    <x v="45"/>
    <x v="1"/>
  </r>
  <r>
    <x v="57"/>
    <s v="Gill Roberts"/>
    <x v="3"/>
    <x v="4"/>
    <n v="99"/>
    <x v="45"/>
    <x v="3"/>
  </r>
  <r>
    <x v="58"/>
    <s v="Tracy Kenny"/>
    <x v="1"/>
    <x v="3"/>
    <n v="55"/>
    <x v="42"/>
    <x v="1"/>
  </r>
  <r>
    <x v="58"/>
    <s v="Tracy Kenny"/>
    <x v="1"/>
    <x v="2"/>
    <n v="135"/>
    <x v="42"/>
    <x v="1"/>
  </r>
  <r>
    <x v="58"/>
    <s v="Colin Stephens"/>
    <x v="1"/>
    <x v="5"/>
    <n v="13"/>
    <x v="3"/>
    <x v="5"/>
  </r>
  <r>
    <x v="59"/>
    <s v="Simon Betteridge"/>
    <x v="3"/>
    <x v="3"/>
    <n v="475"/>
    <x v="46"/>
    <x v="2"/>
  </r>
  <r>
    <x v="59"/>
    <s v="James Cameron"/>
    <x v="3"/>
    <x v="2"/>
    <n v="476.8"/>
    <x v="46"/>
    <x v="2"/>
  </r>
  <r>
    <x v="60"/>
    <s v="Aidan Broderick - ELS"/>
    <x v="1"/>
    <x v="3"/>
    <n v="65"/>
    <x v="47"/>
    <x v="4"/>
  </r>
  <r>
    <x v="61"/>
    <s v="Anju Dhadra"/>
    <x v="1"/>
    <x v="5"/>
    <n v="13"/>
    <x v="3"/>
    <x v="5"/>
  </r>
  <r>
    <x v="61"/>
    <s v="Christina Barnfield"/>
    <x v="1"/>
    <x v="5"/>
    <n v="13"/>
    <x v="3"/>
    <x v="5"/>
  </r>
  <r>
    <x v="61"/>
    <s v="Brian McBride"/>
    <x v="1"/>
    <x v="5"/>
    <n v="13"/>
    <x v="3"/>
    <x v="5"/>
  </r>
  <r>
    <x v="61"/>
    <s v="Kirsty McBride"/>
    <x v="1"/>
    <x v="5"/>
    <n v="13"/>
    <x v="3"/>
    <x v="5"/>
  </r>
  <r>
    <x v="61"/>
    <s v="MTC"/>
    <x v="2"/>
    <x v="3"/>
    <n v="350"/>
    <x v="48"/>
    <x v="1"/>
  </r>
  <r>
    <x v="62"/>
    <s v="Kirsten Pearce"/>
    <x v="5"/>
    <x v="3"/>
    <n v="175"/>
    <x v="49"/>
    <x v="2"/>
  </r>
  <r>
    <x v="63"/>
    <s v="Doug Smith"/>
    <x v="3"/>
    <x v="2"/>
    <n v="476.8"/>
    <x v="46"/>
    <x v="1"/>
  </r>
  <r>
    <x v="63"/>
    <s v="William Shearer"/>
    <x v="3"/>
    <x v="2"/>
    <n v="151.8"/>
    <x v="45"/>
    <x v="1"/>
  </r>
  <r>
    <x v="64"/>
    <s v="Michelle Bradshaw"/>
    <x v="1"/>
    <x v="2"/>
    <n v="30"/>
    <x v="3"/>
    <x v="1"/>
  </r>
  <r>
    <x v="64"/>
    <s v="Sharon Sodhi"/>
    <x v="1"/>
    <x v="2"/>
    <n v="30"/>
    <x v="3"/>
    <x v="7"/>
  </r>
  <r>
    <x v="64"/>
    <s v="Len Sutton"/>
    <x v="1"/>
    <x v="3"/>
    <n v="165"/>
    <x v="34"/>
    <x v="2"/>
  </r>
  <r>
    <x v="65"/>
    <s v="Glenn Torpy"/>
    <x v="3"/>
    <x v="2"/>
    <n v="150"/>
    <x v="45"/>
    <x v="3"/>
  </r>
  <r>
    <x v="65"/>
    <s v="Beata Stojek"/>
    <x v="1"/>
    <x v="5"/>
    <n v="13"/>
    <x v="3"/>
    <x v="5"/>
  </r>
  <r>
    <x v="65"/>
    <s v="Paul Gardiner"/>
    <x v="3"/>
    <x v="3"/>
    <n v="48"/>
    <x v="50"/>
    <x v="4"/>
  </r>
  <r>
    <x v="65"/>
    <s v="Nicola Broderick"/>
    <x v="2"/>
    <x v="2"/>
    <n v="7.75"/>
    <x v="51"/>
    <x v="3"/>
  </r>
  <r>
    <x v="65"/>
    <s v="Nicola Broderick"/>
    <x v="3"/>
    <x v="2"/>
    <n v="200.4"/>
    <x v="45"/>
    <x v="3"/>
  </r>
  <r>
    <x v="65"/>
    <s v="Simon Lerwell"/>
    <x v="3"/>
    <x v="3"/>
    <n v="39"/>
    <x v="5"/>
    <x v="1"/>
  </r>
  <r>
    <x v="65"/>
    <s v="Simon King"/>
    <x v="4"/>
    <x v="2"/>
    <n v="85"/>
    <x v="52"/>
    <x v="1"/>
  </r>
  <r>
    <x v="65"/>
    <s v="Xposure"/>
    <x v="1"/>
    <x v="3"/>
    <n v="2493"/>
    <x v="53"/>
    <x v="2"/>
  </r>
  <r>
    <x v="66"/>
    <s v="laura byrne"/>
    <x v="2"/>
    <x v="7"/>
    <n v="30"/>
    <x v="54"/>
    <x v="2"/>
  </r>
  <r>
    <x v="66"/>
    <s v="laura byrne"/>
    <x v="1"/>
    <x v="2"/>
    <n v="50"/>
    <x v="25"/>
    <x v="2"/>
  </r>
  <r>
    <x v="67"/>
    <s v="Emilie Moslard"/>
    <x v="1"/>
    <x v="2"/>
    <n v="50"/>
    <x v="25"/>
    <x v="1"/>
  </r>
  <r>
    <x v="68"/>
    <s v="Johanna Stansfield"/>
    <x v="6"/>
    <x v="1"/>
    <n v="20"/>
    <x v="14"/>
    <x v="2"/>
  </r>
  <r>
    <x v="69"/>
    <s v="Johanna Stansfield"/>
    <x v="3"/>
    <x v="2"/>
    <n v="200.4"/>
    <x v="45"/>
    <x v="3"/>
  </r>
  <r>
    <x v="69"/>
    <s v="Darlene Barnfield"/>
    <x v="3"/>
    <x v="4"/>
    <n v="99"/>
    <x v="45"/>
    <x v="3"/>
  </r>
  <r>
    <x v="70"/>
    <s v="Sunny Chang"/>
    <x v="1"/>
    <x v="3"/>
    <n v="65"/>
    <x v="1"/>
    <x v="4"/>
  </r>
  <r>
    <x v="70"/>
    <s v="Matthew Paterson"/>
    <x v="3"/>
    <x v="4"/>
    <n v="99"/>
    <x v="45"/>
    <x v="3"/>
  </r>
  <r>
    <x v="71"/>
    <s v="Louise Harris"/>
    <x v="2"/>
    <x v="2"/>
    <n v="22.4"/>
    <x v="9"/>
    <x v="2"/>
  </r>
  <r>
    <x v="72"/>
    <s v="Philip Wander"/>
    <x v="3"/>
    <x v="2"/>
    <n v="100.8"/>
    <x v="45"/>
    <x v="3"/>
  </r>
  <r>
    <x v="73"/>
    <s v="Keith Hinsley"/>
    <x v="1"/>
    <x v="1"/>
    <n v="30"/>
    <x v="3"/>
    <x v="1"/>
  </r>
  <r>
    <x v="73"/>
    <s v="Glyn Fetcher"/>
    <x v="3"/>
    <x v="2"/>
    <n v="696.8"/>
    <x v="55"/>
    <x v="1"/>
  </r>
  <r>
    <x v="74"/>
    <s v="Elaine Castleford"/>
    <x v="3"/>
    <x v="2"/>
    <n v="59"/>
    <x v="5"/>
    <x v="3"/>
  </r>
  <r>
    <x v="75"/>
    <s v="Keith Miller"/>
    <x v="1"/>
    <x v="2"/>
    <n v="145"/>
    <x v="56"/>
    <x v="1"/>
  </r>
  <r>
    <x v="76"/>
    <s v="Helen Carter"/>
    <x v="1"/>
    <x v="2"/>
    <n v="265"/>
    <x v="1"/>
    <x v="1"/>
  </r>
  <r>
    <x v="77"/>
    <s v="Amy Morris"/>
    <x v="4"/>
    <x v="1"/>
    <n v="120"/>
    <x v="8"/>
    <x v="1"/>
  </r>
  <r>
    <x v="77"/>
    <s v="Stewart Twilton - ELS"/>
    <x v="3"/>
    <x v="3"/>
    <n v="65"/>
    <x v="50"/>
    <x v="4"/>
  </r>
  <r>
    <x v="77"/>
    <s v="Adam Shepherd -ELS"/>
    <x v="3"/>
    <x v="3"/>
    <n v="75"/>
    <x v="50"/>
    <x v="4"/>
  </r>
  <r>
    <x v="77"/>
    <s v="Lee Clarke"/>
    <x v="4"/>
    <x v="2"/>
    <n v="195"/>
    <x v="57"/>
    <x v="1"/>
  </r>
  <r>
    <x v="77"/>
    <s v="Thomas Hewitt"/>
    <x v="1"/>
    <x v="2"/>
    <n v="235"/>
    <x v="4"/>
    <x v="1"/>
  </r>
  <r>
    <x v="77"/>
    <s v="Marius Ciobanu"/>
    <x v="1"/>
    <x v="3"/>
    <n v="65"/>
    <x v="1"/>
    <x v="4"/>
  </r>
  <r>
    <x v="77"/>
    <s v="Daniel Thomas"/>
    <x v="1"/>
    <x v="3"/>
    <n v="65"/>
    <x v="1"/>
    <x v="4"/>
  </r>
  <r>
    <x v="77"/>
    <s v="Geoff Dedman"/>
    <x v="2"/>
    <x v="1"/>
    <n v="46.34"/>
    <x v="58"/>
    <x v="6"/>
  </r>
  <r>
    <x v="78"/>
    <s v="P J E Kirby"/>
    <x v="1"/>
    <x v="2"/>
    <n v="39"/>
    <x v="59"/>
    <x v="2"/>
  </r>
  <r>
    <x v="78"/>
    <s v="Sep Pick N Mix"/>
    <x v="5"/>
    <x v="6"/>
    <n v="357.98"/>
    <x v="13"/>
    <x v="2"/>
  </r>
  <r>
    <x v="78"/>
    <s v="Sep Mentoring"/>
    <x v="6"/>
    <x v="6"/>
    <n v="140"/>
    <x v="14"/>
    <x v="2"/>
  </r>
  <r>
    <x v="0"/>
    <m/>
    <x v="0"/>
    <x v="0"/>
    <m/>
    <x v="0"/>
    <x v="0"/>
  </r>
  <r>
    <x v="0"/>
    <m/>
    <x v="0"/>
    <x v="0"/>
    <m/>
    <x v="0"/>
    <x v="0"/>
  </r>
  <r>
    <x v="0"/>
    <m/>
    <x v="0"/>
    <x v="0"/>
    <m/>
    <x v="0"/>
    <x v="0"/>
  </r>
  <r>
    <x v="0"/>
    <m/>
    <x v="0"/>
    <x v="0"/>
    <m/>
    <x v="0"/>
    <x v="0"/>
  </r>
  <r>
    <x v="0"/>
    <m/>
    <x v="0"/>
    <x v="0"/>
    <m/>
    <x v="0"/>
    <x v="0"/>
  </r>
  <r>
    <x v="0"/>
    <m/>
    <x v="0"/>
    <x v="0"/>
    <m/>
    <x v="0"/>
    <x v="0"/>
  </r>
  <r>
    <x v="79"/>
    <s v="Jieyuan Wu"/>
    <x v="1"/>
    <x v="3"/>
    <n v="35"/>
    <x v="1"/>
    <x v="4"/>
  </r>
  <r>
    <x v="80"/>
    <s v="Garry Such"/>
    <x v="2"/>
    <x v="2"/>
    <n v="30"/>
    <x v="10"/>
    <x v="2"/>
  </r>
  <r>
    <x v="81"/>
    <s v="Tracy Kenny"/>
    <x v="1"/>
    <x v="7"/>
    <n v="10"/>
    <x v="60"/>
    <x v="1"/>
  </r>
  <r>
    <x v="81"/>
    <s v="Scott Bremner"/>
    <x v="1"/>
    <x v="3"/>
    <n v="65"/>
    <x v="1"/>
    <x v="4"/>
  </r>
  <r>
    <x v="82"/>
    <s v="Chris Parker"/>
    <x v="1"/>
    <x v="3"/>
    <n v="35"/>
    <x v="25"/>
    <x v="2"/>
  </r>
  <r>
    <x v="82"/>
    <s v="Justin Meaden"/>
    <x v="3"/>
    <x v="3"/>
    <n v="995"/>
    <x v="55"/>
    <x v="1"/>
  </r>
  <r>
    <x v="82"/>
    <s v="Govindan Raghuraman"/>
    <x v="1"/>
    <x v="1"/>
    <n v="25"/>
    <x v="3"/>
    <x v="1"/>
  </r>
  <r>
    <x v="82"/>
    <s v="Roger Carlisle"/>
    <x v="1"/>
    <x v="5"/>
    <n v="13"/>
    <x v="3"/>
    <x v="5"/>
  </r>
  <r>
    <x v="83"/>
    <s v="Len Sutton"/>
    <x v="1"/>
    <x v="2"/>
    <n v="100"/>
    <x v="34"/>
    <x v="2"/>
  </r>
  <r>
    <x v="82"/>
    <s v="Karen Pilotte"/>
    <x v="6"/>
    <x v="1"/>
    <n v="20"/>
    <x v="14"/>
    <x v="1"/>
  </r>
  <r>
    <x v="84"/>
    <s v="Latha Raghuraman"/>
    <x v="1"/>
    <x v="5"/>
    <n v="13"/>
    <x v="3"/>
    <x v="5"/>
  </r>
  <r>
    <x v="84"/>
    <s v="Michael King"/>
    <x v="1"/>
    <x v="3"/>
    <n v="35"/>
    <x v="61"/>
    <x v="4"/>
  </r>
  <r>
    <x v="85"/>
    <s v="Kim Robert"/>
    <x v="1"/>
    <x v="3"/>
    <n v="65"/>
    <x v="62"/>
    <x v="4"/>
  </r>
  <r>
    <x v="86"/>
    <s v="James Bennett"/>
    <x v="3"/>
    <x v="4"/>
    <n v="195"/>
    <x v="63"/>
    <x v="1"/>
  </r>
  <r>
    <x v="86"/>
    <s v="Gee Nandhra"/>
    <x v="3"/>
    <x v="3"/>
    <n v="1200"/>
    <x v="64"/>
    <x v="1"/>
  </r>
  <r>
    <x v="87"/>
    <s v="Bob Parker"/>
    <x v="1"/>
    <x v="5"/>
    <n v="13"/>
    <x v="3"/>
    <x v="5"/>
  </r>
  <r>
    <x v="88"/>
    <s v="susan ramsey"/>
    <x v="2"/>
    <x v="1"/>
    <n v="8.539999999999999"/>
    <x v="65"/>
    <x v="6"/>
  </r>
  <r>
    <x v="89"/>
    <s v="Joyce James"/>
    <x v="5"/>
    <x v="3"/>
    <n v="25.2"/>
    <x v="66"/>
    <x v="2"/>
  </r>
  <r>
    <x v="90"/>
    <s v="Laura Byrne"/>
    <x v="2"/>
    <x v="7"/>
    <n v="30"/>
    <x v="54"/>
    <x v="2"/>
  </r>
  <r>
    <x v="90"/>
    <s v="Rebecca Teague"/>
    <x v="3"/>
    <x v="2"/>
    <n v="150"/>
    <x v="67"/>
    <x v="2"/>
  </r>
  <r>
    <x v="91"/>
    <s v="Jeand Dance"/>
    <x v="6"/>
    <x v="1"/>
    <n v="200"/>
    <x v="68"/>
    <x v="2"/>
  </r>
  <r>
    <x v="91"/>
    <s v="Amanda Millican"/>
    <x v="1"/>
    <x v="2"/>
    <n v="25"/>
    <x v="3"/>
    <x v="1"/>
  </r>
  <r>
    <x v="91"/>
    <s v="Nira Panchal"/>
    <x v="1"/>
    <x v="2"/>
    <n v="50"/>
    <x v="69"/>
    <x v="1"/>
  </r>
  <r>
    <x v="92"/>
    <s v="Marguerite Kirby"/>
    <x v="3"/>
    <x v="4"/>
    <n v="20"/>
    <x v="67"/>
    <x v="3"/>
  </r>
  <r>
    <x v="88"/>
    <s v="Janet Boulter"/>
    <x v="1"/>
    <x v="2"/>
    <n v="135"/>
    <x v="70"/>
    <x v="2"/>
  </r>
  <r>
    <x v="93"/>
    <s v="Rebecca English"/>
    <x v="3"/>
    <x v="1"/>
    <n v="65"/>
    <x v="71"/>
    <x v="2"/>
  </r>
  <r>
    <x v="94"/>
    <s v="Elaine Castleford"/>
    <x v="1"/>
    <x v="2"/>
    <n v="25"/>
    <x v="3"/>
    <x v="1"/>
  </r>
  <r>
    <x v="95"/>
    <s v="Janice Jordan"/>
    <x v="3"/>
    <x v="2"/>
    <n v="160"/>
    <x v="43"/>
    <x v="2"/>
  </r>
  <r>
    <x v="96"/>
    <s v="toby arnold"/>
    <x v="3"/>
    <x v="2"/>
    <n v="10"/>
    <x v="72"/>
    <x v="1"/>
  </r>
  <r>
    <x v="96"/>
    <s v="tracy atureliya"/>
    <x v="3"/>
    <x v="1"/>
    <n v="65"/>
    <x v="43"/>
    <x v="1"/>
  </r>
  <r>
    <x v="97"/>
    <s v="Aug Pick N Mix"/>
    <x v="5"/>
    <x v="6"/>
    <n v="701.11"/>
    <x v="13"/>
    <x v="2"/>
  </r>
  <r>
    <x v="97"/>
    <s v="Aug Mentoring"/>
    <x v="6"/>
    <x v="6"/>
    <n v="140"/>
    <x v="14"/>
    <x v="2"/>
  </r>
  <r>
    <x v="0"/>
    <m/>
    <x v="0"/>
    <x v="0"/>
    <m/>
    <x v="0"/>
    <x v="0"/>
  </r>
  <r>
    <x v="0"/>
    <m/>
    <x v="0"/>
    <x v="0"/>
    <m/>
    <x v="0"/>
    <x v="0"/>
  </r>
  <r>
    <x v="98"/>
    <s v="Catherine Brandist"/>
    <x v="1"/>
    <x v="5"/>
    <n v="13"/>
    <x v="3"/>
    <x v="5"/>
  </r>
  <r>
    <x v="98"/>
    <s v="Stewart Twilton "/>
    <x v="3"/>
    <x v="3"/>
    <n v="15"/>
    <x v="43"/>
    <x v="4"/>
  </r>
  <r>
    <x v="99"/>
    <s v="Ran Tao"/>
    <x v="1"/>
    <x v="3"/>
    <n v="65"/>
    <x v="1"/>
    <x v="4"/>
  </r>
  <r>
    <x v="99"/>
    <s v="JB ?"/>
    <x v="1"/>
    <x v="3"/>
    <n v="63.5"/>
    <x v="73"/>
    <x v="7"/>
  </r>
  <r>
    <x v="99"/>
    <s v="Ian Hodgetts - ELS"/>
    <x v="1"/>
    <x v="3"/>
    <n v="200"/>
    <x v="1"/>
    <x v="4"/>
  </r>
  <r>
    <x v="99"/>
    <s v="siobhan bushell"/>
    <x v="3"/>
    <x v="2"/>
    <n v="35"/>
    <x v="45"/>
    <x v="3"/>
  </r>
  <r>
    <x v="100"/>
    <s v="Stephanie Franks"/>
    <x v="1"/>
    <x v="5"/>
    <n v="13"/>
    <x v="3"/>
    <x v="5"/>
  </r>
  <r>
    <x v="101"/>
    <s v="Jessica Welge"/>
    <x v="3"/>
    <x v="2"/>
    <n v="450"/>
    <x v="74"/>
    <x v="1"/>
  </r>
  <r>
    <x v="101"/>
    <s v="Tim Payne"/>
    <x v="1"/>
    <x v="3"/>
    <n v="75"/>
    <x v="75"/>
    <x v="1"/>
  </r>
  <r>
    <x v="102"/>
    <s v="Jean Dance"/>
    <x v="1"/>
    <x v="2"/>
    <n v="35"/>
    <x v="76"/>
    <x v="2"/>
  </r>
  <r>
    <x v="102"/>
    <s v="Aikaterini Fotoglou"/>
    <x v="1"/>
    <x v="3"/>
    <n v="65"/>
    <x v="1"/>
    <x v="4"/>
  </r>
  <r>
    <x v="102"/>
    <s v="Chris Brain - ELS"/>
    <x v="1"/>
    <x v="3"/>
    <n v="200"/>
    <x v="77"/>
    <x v="4"/>
  </r>
  <r>
    <x v="103"/>
    <s v="Irene Pointon"/>
    <x v="3"/>
    <x v="2"/>
    <n v="55"/>
    <x v="45"/>
    <x v="3"/>
  </r>
  <r>
    <x v="103"/>
    <s v="Tracey Jones"/>
    <x v="3"/>
    <x v="3"/>
    <n v="325"/>
    <x v="74"/>
    <x v="1"/>
  </r>
  <r>
    <x v="103"/>
    <s v="Pauline Kerr"/>
    <x v="3"/>
    <x v="3"/>
    <n v="625"/>
    <x v="74"/>
    <x v="2"/>
  </r>
  <r>
    <x v="104"/>
    <s v="Eve Ducker"/>
    <x v="1"/>
    <x v="5"/>
    <n v="13"/>
    <x v="3"/>
    <x v="5"/>
  </r>
  <r>
    <x v="105"/>
    <s v="Vivian Drury"/>
    <x v="3"/>
    <x v="2"/>
    <n v="65"/>
    <x v="78"/>
    <x v="2"/>
  </r>
  <r>
    <x v="106"/>
    <s v="Various"/>
    <x v="2"/>
    <x v="1"/>
    <n v="31.41"/>
    <x v="79"/>
    <x v="6"/>
  </r>
  <r>
    <x v="107"/>
    <s v="Ben Possee "/>
    <x v="1"/>
    <x v="5"/>
    <n v="13"/>
    <x v="3"/>
    <x v="5"/>
  </r>
  <r>
    <x v="107"/>
    <s v="Tracy Kenny"/>
    <x v="1"/>
    <x v="2"/>
    <n v="30"/>
    <x v="3"/>
    <x v="1"/>
  </r>
  <r>
    <x v="108"/>
    <s v="Janet Train"/>
    <x v="5"/>
    <x v="3"/>
    <n v="31"/>
    <x v="34"/>
    <x v="2"/>
  </r>
  <r>
    <x v="108"/>
    <s v="Roger Neal"/>
    <x v="3"/>
    <x v="2"/>
    <n v="150"/>
    <x v="45"/>
    <x v="3"/>
  </r>
  <r>
    <x v="108"/>
    <s v="Laura Charles"/>
    <x v="4"/>
    <x v="2"/>
    <n v="146.25"/>
    <x v="8"/>
    <x v="1"/>
  </r>
  <r>
    <x v="109"/>
    <s v="Janet Train"/>
    <x v="5"/>
    <x v="3"/>
    <n v="204.05"/>
    <x v="34"/>
    <x v="2"/>
  </r>
  <r>
    <x v="110"/>
    <s v="Jul Pick N Mix"/>
    <x v="5"/>
    <x v="6"/>
    <n v="545.6"/>
    <x v="13"/>
    <x v="2"/>
  </r>
  <r>
    <x v="110"/>
    <s v="Jul Mentoring"/>
    <x v="6"/>
    <x v="6"/>
    <n v="140"/>
    <x v="14"/>
    <x v="2"/>
  </r>
  <r>
    <x v="0"/>
    <m/>
    <x v="0"/>
    <x v="0"/>
    <m/>
    <x v="0"/>
    <x v="0"/>
  </r>
  <r>
    <x v="111"/>
    <s v="Paul Kirby"/>
    <x v="2"/>
    <x v="2"/>
    <n v="35"/>
    <x v="80"/>
    <x v="2"/>
  </r>
  <r>
    <x v="111"/>
    <s v="Janet Boulter"/>
    <x v="4"/>
    <x v="3"/>
    <n v="304.15"/>
    <x v="8"/>
    <x v="2"/>
  </r>
  <r>
    <x v="111"/>
    <s v="Andrew Thompson"/>
    <x v="3"/>
    <x v="2"/>
    <n v="48"/>
    <x v="81"/>
    <x v="2"/>
  </r>
  <r>
    <x v="112"/>
    <s v="Sue Phillips"/>
    <x v="3"/>
    <x v="1"/>
    <n v="60"/>
    <x v="82"/>
    <x v="2"/>
  </r>
  <r>
    <x v="112"/>
    <s v="Graham Ibbetson"/>
    <x v="2"/>
    <x v="2"/>
    <n v="30"/>
    <x v="10"/>
    <x v="2"/>
  </r>
  <r>
    <x v="113"/>
    <s v="emily payne"/>
    <x v="2"/>
    <x v="2"/>
    <n v="100"/>
    <x v="9"/>
    <x v="1"/>
  </r>
  <r>
    <x v="114"/>
    <s v="Ian Blake - ELS"/>
    <x v="3"/>
    <x v="3"/>
    <n v="200"/>
    <x v="83"/>
    <x v="4"/>
  </r>
  <r>
    <x v="115"/>
    <s v="Janie Chapman"/>
    <x v="3"/>
    <x v="2"/>
    <n v="99"/>
    <x v="84"/>
    <x v="1"/>
  </r>
  <r>
    <x v="115"/>
    <s v="Andrew Clifforth"/>
    <x v="3"/>
    <x v="2"/>
    <n v="60"/>
    <x v="82"/>
    <x v="2"/>
  </r>
  <r>
    <x v="115"/>
    <s v="Jamie Beardmore"/>
    <x v="5"/>
    <x v="3"/>
    <n v="394.2"/>
    <x v="85"/>
    <x v="2"/>
  </r>
  <r>
    <x v="116"/>
    <s v="Richard Glendinning"/>
    <x v="3"/>
    <x v="2"/>
    <n v="59"/>
    <x v="31"/>
    <x v="3"/>
  </r>
  <r>
    <x v="117"/>
    <s v="Nick Wright"/>
    <x v="3"/>
    <x v="1"/>
    <n v="59"/>
    <x v="31"/>
    <x v="3"/>
  </r>
  <r>
    <x v="118"/>
    <s v="John Cummings"/>
    <x v="1"/>
    <x v="1"/>
    <n v="175"/>
    <x v="86"/>
    <x v="2"/>
  </r>
  <r>
    <x v="119"/>
    <s v="Jaz Dhir "/>
    <x v="1"/>
    <x v="5"/>
    <n v="13"/>
    <x v="3"/>
    <x v="5"/>
  </r>
  <r>
    <x v="120"/>
    <s v="humaira parvez"/>
    <x v="3"/>
    <x v="3"/>
    <n v="500"/>
    <x v="87"/>
    <x v="1"/>
  </r>
  <r>
    <x v="120"/>
    <s v="humaira parvez"/>
    <x v="4"/>
    <x v="3"/>
    <n v="1300"/>
    <x v="8"/>
    <x v="1"/>
  </r>
  <r>
    <x v="120"/>
    <s v="Ian Blake"/>
    <x v="3"/>
    <x v="2"/>
    <n v="60"/>
    <x v="88"/>
    <x v="2"/>
  </r>
  <r>
    <x v="121"/>
    <s v="Pauline Kerr"/>
    <x v="3"/>
    <x v="4"/>
    <n v="180"/>
    <x v="88"/>
    <x v="2"/>
  </r>
  <r>
    <x v="121"/>
    <s v="Graham Ibbetson"/>
    <x v="3"/>
    <x v="2"/>
    <n v="60"/>
    <x v="89"/>
    <x v="2"/>
  </r>
  <r>
    <x v="121"/>
    <s v="Zoe Eardley"/>
    <x v="3"/>
    <x v="2"/>
    <n v="60"/>
    <x v="90"/>
    <x v="1"/>
  </r>
  <r>
    <x v="122"/>
    <s v="Linn Ashmore"/>
    <x v="2"/>
    <x v="2"/>
    <n v="64.8"/>
    <x v="9"/>
    <x v="1"/>
  </r>
  <r>
    <x v="123"/>
    <s v="Jo Rogers"/>
    <x v="2"/>
    <x v="1"/>
    <n v="30"/>
    <x v="10"/>
    <x v="2"/>
  </r>
  <r>
    <x v="124"/>
    <s v="Janet Towers"/>
    <x v="3"/>
    <x v="2"/>
    <n v="60"/>
    <x v="82"/>
    <x v="2"/>
  </r>
  <r>
    <x v="125"/>
    <s v="Martin Smith"/>
    <x v="3"/>
    <x v="2"/>
    <n v="425"/>
    <x v="74"/>
    <x v="1"/>
  </r>
  <r>
    <x v="125"/>
    <s v="Julien Hoyez - ELS"/>
    <x v="1"/>
    <x v="3"/>
    <n v="200"/>
    <x v="91"/>
    <x v="4"/>
  </r>
  <r>
    <x v="126"/>
    <s v="Sabine Bowman"/>
    <x v="1"/>
    <x v="5"/>
    <n v="13"/>
    <x v="3"/>
    <x v="5"/>
  </r>
  <r>
    <x v="126"/>
    <s v="Karolin Hartlieb "/>
    <x v="1"/>
    <x v="5"/>
    <n v="13"/>
    <x v="3"/>
    <x v="5"/>
  </r>
  <r>
    <x v="126"/>
    <s v="Roberta Gristwood"/>
    <x v="3"/>
    <x v="2"/>
    <n v="60"/>
    <x v="82"/>
    <x v="1"/>
  </r>
  <r>
    <x v="127"/>
    <s v="Rebecca Long"/>
    <x v="6"/>
    <x v="1"/>
    <n v="20"/>
    <x v="92"/>
    <x v="2"/>
  </r>
  <r>
    <x v="128"/>
    <s v="Ian Hodgetts"/>
    <x v="1"/>
    <x v="3"/>
    <n v="65"/>
    <x v="1"/>
    <x v="4"/>
  </r>
  <r>
    <x v="128"/>
    <s v="Natalie Williams"/>
    <x v="1"/>
    <x v="4"/>
    <n v="235"/>
    <x v="91"/>
    <x v="1"/>
  </r>
  <r>
    <x v="129"/>
    <s v="Natalie Williams"/>
    <x v="1"/>
    <x v="2"/>
    <n v="30"/>
    <x v="3"/>
    <x v="1"/>
  </r>
  <r>
    <x v="130"/>
    <s v="Adam Jefferies"/>
    <x v="1"/>
    <x v="5"/>
    <n v="13"/>
    <x v="3"/>
    <x v="5"/>
  </r>
  <r>
    <x v="130"/>
    <s v="Dawn De Costa"/>
    <x v="1"/>
    <x v="5"/>
    <n v="13"/>
    <x v="3"/>
    <x v="5"/>
  </r>
  <r>
    <x v="131"/>
    <s v="Lewis Maloba"/>
    <x v="1"/>
    <x v="5"/>
    <n v="13"/>
    <x v="3"/>
    <x v="5"/>
  </r>
  <r>
    <x v="132"/>
    <s v="Guy Dunwoody"/>
    <x v="1"/>
    <x v="1"/>
    <n v="30"/>
    <x v="3"/>
    <x v="1"/>
  </r>
  <r>
    <x v="132"/>
    <s v="Jun Pick N Mix"/>
    <x v="5"/>
    <x v="6"/>
    <n v="296.78"/>
    <x v="93"/>
    <x v="2"/>
  </r>
  <r>
    <x v="132"/>
    <s v="Jun Mentoring"/>
    <x v="6"/>
    <x v="6"/>
    <n v="102"/>
    <x v="14"/>
    <x v="2"/>
  </r>
  <r>
    <x v="0"/>
    <m/>
    <x v="0"/>
    <x v="0"/>
    <m/>
    <x v="0"/>
    <x v="0"/>
  </r>
  <r>
    <x v="133"/>
    <s v="James Kelly"/>
    <x v="2"/>
    <x v="2"/>
    <n v="18.75"/>
    <x v="80"/>
    <x v="2"/>
  </r>
  <r>
    <x v="133"/>
    <s v="Justyna Adamek"/>
    <x v="1"/>
    <x v="2"/>
    <n v="273.75"/>
    <x v="94"/>
    <x v="2"/>
  </r>
  <r>
    <x v="133"/>
    <s v="Anne-Marie Scott"/>
    <x v="1"/>
    <x v="2"/>
    <n v="198.75"/>
    <x v="95"/>
    <x v="2"/>
  </r>
  <r>
    <x v="133"/>
    <s v="stuart walters"/>
    <x v="4"/>
    <x v="2"/>
    <n v="146.25"/>
    <x v="8"/>
    <x v="2"/>
  </r>
  <r>
    <x v="133"/>
    <s v="Kirsten Pearce"/>
    <x v="3"/>
    <x v="3"/>
    <n v="337.5"/>
    <x v="96"/>
    <x v="2"/>
  </r>
  <r>
    <x v="133"/>
    <s v="Ray Phillips"/>
    <x v="3"/>
    <x v="4"/>
    <n v="60"/>
    <x v="82"/>
    <x v="1"/>
  </r>
  <r>
    <x v="133"/>
    <s v="Paula Knott"/>
    <x v="1"/>
    <x v="5"/>
    <n v="13"/>
    <x v="3"/>
    <x v="5"/>
  </r>
  <r>
    <x v="133"/>
    <s v="Chris Parker"/>
    <x v="1"/>
    <x v="3"/>
    <n v="37.5"/>
    <x v="97"/>
    <x v="2"/>
  </r>
  <r>
    <x v="133"/>
    <s v="Christinejane Lewington"/>
    <x v="1"/>
    <x v="3"/>
    <n v="176.25"/>
    <x v="42"/>
    <x v="1"/>
  </r>
  <r>
    <x v="133"/>
    <s v="Taqua Imam"/>
    <x v="1"/>
    <x v="5"/>
    <n v="13"/>
    <x v="3"/>
    <x v="5"/>
  </r>
  <r>
    <x v="133"/>
    <s v="Zoe Smith"/>
    <x v="1"/>
    <x v="2"/>
    <n v="22.5"/>
    <x v="3"/>
    <x v="1"/>
  </r>
  <r>
    <x v="134"/>
    <s v="Sam Cook"/>
    <x v="3"/>
    <x v="1"/>
    <n v="45"/>
    <x v="82"/>
    <x v="2"/>
  </r>
  <r>
    <x v="134"/>
    <s v="Sam Cook"/>
    <x v="6"/>
    <x v="1"/>
    <n v="20"/>
    <x v="98"/>
    <x v="2"/>
  </r>
  <r>
    <x v="134"/>
    <s v="Christopher Troth"/>
    <x v="3"/>
    <x v="1"/>
    <n v="45"/>
    <x v="99"/>
    <x v="2"/>
  </r>
  <r>
    <x v="134"/>
    <s v="KATHLEEN HORSBURGH"/>
    <x v="1"/>
    <x v="2"/>
    <n v="198.75"/>
    <x v="1"/>
    <x v="1"/>
  </r>
  <r>
    <x v="135"/>
    <s v="Alex Priestley"/>
    <x v="1"/>
    <x v="1"/>
    <n v="60"/>
    <x v="3"/>
    <x v="1"/>
  </r>
  <r>
    <x v="135"/>
    <s v="Suzannah Dougherty"/>
    <x v="3"/>
    <x v="2"/>
    <n v="35"/>
    <x v="100"/>
    <x v="3"/>
  </r>
  <r>
    <x v="136"/>
    <s v="Janet Lambdon"/>
    <x v="1"/>
    <x v="2"/>
    <n v="265"/>
    <x v="11"/>
    <x v="2"/>
  </r>
  <r>
    <x v="137"/>
    <s v="Chris Johnson"/>
    <x v="6"/>
    <x v="2"/>
    <n v="600"/>
    <x v="101"/>
    <x v="2"/>
  </r>
  <r>
    <x v="138"/>
    <s v="Chris Brain"/>
    <x v="1"/>
    <x v="3"/>
    <n v="35"/>
    <x v="42"/>
    <x v="4"/>
  </r>
  <r>
    <x v="139"/>
    <s v="Tracey Jones"/>
    <x v="3"/>
    <x v="2"/>
    <n v="100"/>
    <x v="74"/>
    <x v="1"/>
  </r>
  <r>
    <x v="140"/>
    <s v="Sue Phillips"/>
    <x v="1"/>
    <x v="1"/>
    <n v="265"/>
    <x v="102"/>
    <x v="2"/>
  </r>
  <r>
    <x v="141"/>
    <s v="Helen Hollingworth"/>
    <x v="1"/>
    <x v="2"/>
    <n v="265"/>
    <x v="102"/>
    <x v="1"/>
  </r>
  <r>
    <x v="142"/>
    <s v="Manjit Narotra"/>
    <x v="3"/>
    <x v="2"/>
    <n v="175"/>
    <x v="103"/>
    <x v="2"/>
  </r>
  <r>
    <x v="143"/>
    <s v="Amar Majid"/>
    <x v="5"/>
    <x v="3"/>
    <n v="175"/>
    <x v="104"/>
    <x v="2"/>
  </r>
  <r>
    <x v="143"/>
    <s v="Margaret Millberry"/>
    <x v="4"/>
    <x v="7"/>
    <n v="100"/>
    <x v="8"/>
    <x v="3"/>
  </r>
  <r>
    <x v="143"/>
    <s v="Judith Wilde"/>
    <x v="4"/>
    <x v="4"/>
    <n v="195"/>
    <x v="8"/>
    <x v="2"/>
  </r>
  <r>
    <x v="144"/>
    <s v="Jo Rogers"/>
    <x v="1"/>
    <x v="4"/>
    <n v="265"/>
    <x v="102"/>
    <x v="1"/>
  </r>
  <r>
    <x v="145"/>
    <s v="Elisabeth Walker "/>
    <x v="3"/>
    <x v="2"/>
    <n v="35"/>
    <x v="100"/>
    <x v="3"/>
  </r>
  <r>
    <x v="146"/>
    <s v="Paul Murray"/>
    <x v="3"/>
    <x v="2"/>
    <n v="20"/>
    <x v="100"/>
    <x v="3"/>
  </r>
  <r>
    <x v="147"/>
    <s v="Nicola Lockyer"/>
    <x v="2"/>
    <x v="7"/>
    <n v="100"/>
    <x v="58"/>
    <x v="2"/>
  </r>
  <r>
    <x v="147"/>
    <s v="T O'Carroll-Bailey"/>
    <x v="1"/>
    <x v="1"/>
    <n v="265"/>
    <x v="62"/>
    <x v="1"/>
  </r>
  <r>
    <x v="147"/>
    <s v="Marcia Rathbone"/>
    <x v="1"/>
    <x v="5"/>
    <n v="13"/>
    <x v="3"/>
    <x v="5"/>
  </r>
  <r>
    <x v="148"/>
    <s v="Sarah Green"/>
    <x v="1"/>
    <x v="2"/>
    <n v="265"/>
    <x v="102"/>
    <x v="1"/>
  </r>
  <r>
    <x v="149"/>
    <s v="Graham Ibbetson"/>
    <x v="3"/>
    <x v="2"/>
    <n v="60"/>
    <x v="50"/>
    <x v="2"/>
  </r>
  <r>
    <x v="149"/>
    <s v="Ben James"/>
    <x v="1"/>
    <x v="1"/>
    <n v="60"/>
    <x v="3"/>
    <x v="1"/>
  </r>
  <r>
    <x v="149"/>
    <s v="Michelle Fellows"/>
    <x v="1"/>
    <x v="5"/>
    <n v="13"/>
    <x v="3"/>
    <x v="5"/>
  </r>
  <r>
    <x v="150"/>
    <s v="Mentoring - Apr"/>
    <x v="6"/>
    <x v="6"/>
    <n v="100"/>
    <x v="105"/>
    <x v="2"/>
  </r>
  <r>
    <x v="150"/>
    <s v="Pick N Mix - Apr"/>
    <x v="5"/>
    <x v="6"/>
    <n v="779.71"/>
    <x v="104"/>
    <x v="2"/>
  </r>
  <r>
    <x v="0"/>
    <m/>
    <x v="0"/>
    <x v="0"/>
    <m/>
    <x v="0"/>
    <x v="0"/>
  </r>
  <r>
    <x v="0"/>
    <m/>
    <x v="0"/>
    <x v="0"/>
    <m/>
    <x v="0"/>
    <x v="0"/>
  </r>
  <r>
    <x v="151"/>
    <s v="PEDERSEN ISOBEL    "/>
    <x v="2"/>
    <x v="3"/>
    <n v="255.18"/>
    <x v="58"/>
    <x v="6"/>
  </r>
  <r>
    <x v="151"/>
    <s v="Christine Lewington"/>
    <x v="1"/>
    <x v="5"/>
    <n v="13"/>
    <x v="3"/>
    <x v="5"/>
  </r>
  <r>
    <x v="151"/>
    <s v="Vivian Drury"/>
    <x v="3"/>
    <x v="2"/>
    <n v="72"/>
    <x v="106"/>
    <x v="3"/>
  </r>
  <r>
    <x v="152"/>
    <s v="Anthony Ashcroft"/>
    <x v="6"/>
    <x v="1"/>
    <n v="20"/>
    <x v="98"/>
    <x v="1"/>
  </r>
  <r>
    <x v="153"/>
    <s v="Laura Scrace"/>
    <x v="1"/>
    <x v="5"/>
    <n v="13"/>
    <x v="3"/>
    <x v="5"/>
  </r>
  <r>
    <x v="154"/>
    <s v="Chris Parker"/>
    <x v="3"/>
    <x v="3"/>
    <n v="99"/>
    <x v="27"/>
    <x v="2"/>
  </r>
  <r>
    <x v="154"/>
    <s v="Sarah Deemoing"/>
    <x v="1"/>
    <x v="3"/>
    <n v="1020"/>
    <x v="107"/>
    <x v="1"/>
  </r>
  <r>
    <x v="155"/>
    <s v="Jodie Munn"/>
    <x v="1"/>
    <x v="4"/>
    <n v="265"/>
    <x v="1"/>
    <x v="1"/>
  </r>
  <r>
    <x v="156"/>
    <s v="Ian Blake"/>
    <x v="3"/>
    <x v="3"/>
    <n v="250"/>
    <x v="108"/>
    <x v="4"/>
  </r>
  <r>
    <x v="156"/>
    <s v="Steve Parish"/>
    <x v="1"/>
    <x v="3"/>
    <n v="441"/>
    <x v="109"/>
    <x v="2"/>
  </r>
  <r>
    <x v="156"/>
    <s v="Phil Hardy"/>
    <x v="3"/>
    <x v="4"/>
    <n v="99"/>
    <x v="27"/>
    <x v="1"/>
  </r>
  <r>
    <x v="156"/>
    <s v="Sarah Khan"/>
    <x v="1"/>
    <x v="5"/>
    <n v="13"/>
    <x v="3"/>
    <x v="5"/>
  </r>
  <r>
    <x v="157"/>
    <s v="Harriet Bowley"/>
    <x v="2"/>
    <x v="3"/>
    <n v="30"/>
    <x v="10"/>
    <x v="2"/>
  </r>
  <r>
    <x v="157"/>
    <s v="Janet Boulter"/>
    <x v="3"/>
    <x v="2"/>
    <n v="99"/>
    <x v="27"/>
    <x v="1"/>
  </r>
  <r>
    <x v="158"/>
    <s v="Sarah Nesbitt"/>
    <x v="1"/>
    <x v="5"/>
    <n v="12"/>
    <x v="3"/>
    <x v="5"/>
  </r>
  <r>
    <x v="158"/>
    <s v="Christopher Morris"/>
    <x v="3"/>
    <x v="1"/>
    <n v="99"/>
    <x v="27"/>
    <x v="1"/>
  </r>
  <r>
    <x v="158"/>
    <s v="Natalie Craddock"/>
    <x v="3"/>
    <x v="2"/>
    <n v="60"/>
    <x v="110"/>
    <x v="2"/>
  </r>
  <r>
    <x v="158"/>
    <s v="Stephanie Cowley "/>
    <x v="1"/>
    <x v="2"/>
    <n v="265"/>
    <x v="1"/>
    <x v="1"/>
  </r>
  <r>
    <x v="159"/>
    <s v="Bryan Bradley"/>
    <x v="3"/>
    <x v="2"/>
    <n v="99"/>
    <x v="27"/>
    <x v="1"/>
  </r>
  <r>
    <x v="160"/>
    <s v="Judith Wilde"/>
    <x v="3"/>
    <x v="2"/>
    <n v="99"/>
    <x v="27"/>
    <x v="1"/>
  </r>
  <r>
    <x v="161"/>
    <s v="Nicola Lockyer"/>
    <x v="3"/>
    <x v="2"/>
    <n v="99"/>
    <x v="27"/>
    <x v="2"/>
  </r>
  <r>
    <x v="162"/>
    <s v="Peter Tierney"/>
    <x v="3"/>
    <x v="1"/>
    <n v="30"/>
    <x v="100"/>
    <x v="3"/>
  </r>
  <r>
    <x v="162"/>
    <s v="tim lerwill"/>
    <x v="3"/>
    <x v="2"/>
    <n v="22.4"/>
    <x v="111"/>
    <x v="3"/>
  </r>
  <r>
    <x v="162"/>
    <s v="Derek Sharp"/>
    <x v="3"/>
    <x v="1"/>
    <n v="99"/>
    <x v="27"/>
    <x v="2"/>
  </r>
  <r>
    <x v="162"/>
    <s v="Claire Meyer"/>
    <x v="3"/>
    <x v="2"/>
    <n v="99"/>
    <x v="27"/>
    <x v="1"/>
  </r>
  <r>
    <x v="163"/>
    <s v="Judith Longhorn"/>
    <x v="3"/>
    <x v="2"/>
    <n v="675"/>
    <x v="74"/>
    <x v="2"/>
  </r>
  <r>
    <x v="163"/>
    <s v="Julien Hoyez"/>
    <x v="1"/>
    <x v="3"/>
    <n v="65"/>
    <x v="1"/>
    <x v="4"/>
  </r>
  <r>
    <x v="164"/>
    <s v="Pauline Kerr"/>
    <x v="3"/>
    <x v="2"/>
    <n v="50"/>
    <x v="74"/>
    <x v="2"/>
  </r>
  <r>
    <x v="164"/>
    <s v="James Kelly"/>
    <x v="1"/>
    <x v="2"/>
    <n v="265"/>
    <x v="1"/>
    <x v="4"/>
  </r>
  <r>
    <x v="164"/>
    <s v="Chris Franklin"/>
    <x v="5"/>
    <x v="3"/>
    <n v="47.48"/>
    <x v="104"/>
    <x v="2"/>
  </r>
  <r>
    <x v="165"/>
    <s v="Chris Parker"/>
    <x v="1"/>
    <x v="3"/>
    <n v="475"/>
    <x v="21"/>
    <x v="2"/>
  </r>
  <r>
    <x v="166"/>
    <s v="Stuart Walters"/>
    <x v="1"/>
    <x v="2"/>
    <n v="235"/>
    <x v="42"/>
    <x v="1"/>
  </r>
  <r>
    <x v="167"/>
    <s v="Zoe Eardley"/>
    <x v="1"/>
    <x v="2"/>
    <n v="30"/>
    <x v="3"/>
    <x v="1"/>
  </r>
  <r>
    <x v="168"/>
    <s v="Mentoring - Apr"/>
    <x v="6"/>
    <x v="6"/>
    <n v="80"/>
    <x v="105"/>
    <x v="2"/>
  </r>
  <r>
    <x v="168"/>
    <s v="Pick N Mix - Apr"/>
    <x v="5"/>
    <x v="6"/>
    <n v="468.11"/>
    <x v="104"/>
    <x v="2"/>
  </r>
  <r>
    <x v="0"/>
    <m/>
    <x v="0"/>
    <x v="0"/>
    <m/>
    <x v="0"/>
    <x v="0"/>
  </r>
  <r>
    <x v="0"/>
    <m/>
    <x v="0"/>
    <x v="0"/>
    <m/>
    <x v="0"/>
    <x v="0"/>
  </r>
  <r>
    <x v="169"/>
    <s v="Sam Cook"/>
    <x v="1"/>
    <x v="3"/>
    <n v="190"/>
    <x v="42"/>
    <x v="2"/>
  </r>
  <r>
    <x v="169"/>
    <s v="Eileen Huzzey"/>
    <x v="3"/>
    <x v="2"/>
    <n v="59"/>
    <x v="5"/>
    <x v="3"/>
  </r>
  <r>
    <x v="169"/>
    <s v="Janet Ingram"/>
    <x v="3"/>
    <x v="2"/>
    <n v="59"/>
    <x v="5"/>
    <x v="3"/>
  </r>
  <r>
    <x v="169"/>
    <s v="Phil O'Grady"/>
    <x v="5"/>
    <x v="3"/>
    <n v="50"/>
    <x v="112"/>
    <x v="2"/>
  </r>
  <r>
    <x v="169"/>
    <s v="Cerys Jones"/>
    <x v="1"/>
    <x v="3"/>
    <n v="190"/>
    <x v="42"/>
    <x v="1"/>
  </r>
  <r>
    <x v="170"/>
    <s v="Sam Cook"/>
    <x v="1"/>
    <x v="2"/>
    <n v="10"/>
    <x v="42"/>
    <x v="1"/>
  </r>
  <r>
    <x v="170"/>
    <s v="Cerys Jones"/>
    <x v="1"/>
    <x v="2"/>
    <n v="10"/>
    <x v="42"/>
    <x v="1"/>
  </r>
  <r>
    <x v="170"/>
    <s v="Elga Riman/Colin Clapp"/>
    <x v="4"/>
    <x v="1"/>
    <n v="195"/>
    <x v="113"/>
    <x v="1"/>
  </r>
  <r>
    <x v="171"/>
    <s v="Chris Walkland"/>
    <x v="2"/>
    <x v="2"/>
    <n v="30"/>
    <x v="10"/>
    <x v="2"/>
  </r>
  <r>
    <x v="171"/>
    <s v="Jamie Beardmore"/>
    <x v="2"/>
    <x v="1"/>
    <n v="30"/>
    <x v="10"/>
    <x v="2"/>
  </r>
  <r>
    <x v="172"/>
    <s v="Sue Mowle"/>
    <x v="3"/>
    <x v="2"/>
    <n v="99"/>
    <x v="114"/>
    <x v="1"/>
  </r>
  <r>
    <x v="173"/>
    <s v="Janice Jordon"/>
    <x v="3"/>
    <x v="3"/>
    <n v="578.38"/>
    <x v="43"/>
    <x v="2"/>
  </r>
  <r>
    <x v="173"/>
    <s v="Jamie Beardmore"/>
    <x v="5"/>
    <x v="3"/>
    <n v="43.8"/>
    <x v="112"/>
    <x v="2"/>
  </r>
  <r>
    <x v="173"/>
    <s v="Greg Sant"/>
    <x v="4"/>
    <x v="4"/>
    <n v="195"/>
    <x v="115"/>
    <x v="1"/>
  </r>
  <r>
    <x v="174"/>
    <s v="Dinah King"/>
    <x v="1"/>
    <x v="2"/>
    <n v="30"/>
    <x v="3"/>
    <x v="1"/>
  </r>
  <r>
    <x v="175"/>
    <s v="Jo Rogers"/>
    <x v="3"/>
    <x v="2"/>
    <n v="60"/>
    <x v="43"/>
    <x v="2"/>
  </r>
  <r>
    <x v="175"/>
    <s v="Greg Sant"/>
    <x v="1"/>
    <x v="4"/>
    <n v="745"/>
    <x v="116"/>
    <x v="1"/>
  </r>
  <r>
    <x v="176"/>
    <s v="Rebecca Long"/>
    <x v="1"/>
    <x v="1"/>
    <n v="215"/>
    <x v="117"/>
    <x v="2"/>
  </r>
  <r>
    <x v="177"/>
    <s v="Greg Smart"/>
    <x v="3"/>
    <x v="2"/>
    <n v="60"/>
    <x v="118"/>
    <x v="2"/>
  </r>
  <r>
    <x v="177"/>
    <s v="John Verdult"/>
    <x v="2"/>
    <x v="2"/>
    <n v="139"/>
    <x v="9"/>
    <x v="1"/>
  </r>
  <r>
    <x v="177"/>
    <s v="Rebecca Long"/>
    <x v="1"/>
    <x v="1"/>
    <n v="100"/>
    <x v="117"/>
    <x v="2"/>
  </r>
  <r>
    <x v="178"/>
    <s v="Cerys Jones"/>
    <x v="1"/>
    <x v="5"/>
    <n v="12.97"/>
    <x v="3"/>
    <x v="5"/>
  </r>
  <r>
    <x v="179"/>
    <s v="Con McHugh"/>
    <x v="2"/>
    <x v="2"/>
    <n v="30"/>
    <x v="10"/>
    <x v="2"/>
  </r>
  <r>
    <x v="179"/>
    <s v="Pauline Kerr"/>
    <x v="4"/>
    <x v="4"/>
    <n v="195"/>
    <x v="119"/>
    <x v="1"/>
  </r>
  <r>
    <x v="179"/>
    <s v="Katie Wardle"/>
    <x v="1"/>
    <x v="5"/>
    <n v="12.97"/>
    <x v="3"/>
    <x v="5"/>
  </r>
  <r>
    <x v="180"/>
    <s v="Paul Kirby"/>
    <x v="3"/>
    <x v="2"/>
    <n v="99"/>
    <x v="114"/>
    <x v="2"/>
  </r>
  <r>
    <x v="180"/>
    <s v="Simon Betteridge"/>
    <x v="3"/>
    <x v="3"/>
    <n v="400"/>
    <x v="108"/>
    <x v="2"/>
  </r>
  <r>
    <x v="180"/>
    <s v="Pure Photo Print Sale"/>
    <x v="2"/>
    <x v="3"/>
    <n v="253.24"/>
    <x v="120"/>
    <x v="7"/>
  </r>
  <r>
    <x v="180"/>
    <s v="Mike Ford"/>
    <x v="3"/>
    <x v="1"/>
    <n v="99"/>
    <x v="114"/>
    <x v="2"/>
  </r>
  <r>
    <x v="180"/>
    <s v="Jean Sutton"/>
    <x v="3"/>
    <x v="2"/>
    <n v="59"/>
    <x v="5"/>
    <x v="3"/>
  </r>
  <r>
    <x v="181"/>
    <s v="Greg Sant"/>
    <x v="4"/>
    <x v="4"/>
    <n v="195"/>
    <x v="35"/>
    <x v="1"/>
  </r>
  <r>
    <x v="181"/>
    <s v="Robert Edwards"/>
    <x v="3"/>
    <x v="2"/>
    <n v="150"/>
    <x v="121"/>
    <x v="2"/>
  </r>
  <r>
    <x v="182"/>
    <s v="Kirsten Pearce"/>
    <x v="3"/>
    <x v="3"/>
    <n v="400"/>
    <x v="108"/>
    <x v="2"/>
  </r>
  <r>
    <x v="181"/>
    <s v="Robert Edwards"/>
    <x v="3"/>
    <x v="2"/>
    <n v="150"/>
    <x v="121"/>
    <x v="2"/>
  </r>
  <r>
    <x v="183"/>
    <s v="Annie Evans"/>
    <x v="1"/>
    <x v="5"/>
    <n v="12.97"/>
    <x v="3"/>
    <x v="5"/>
  </r>
  <r>
    <x v="183"/>
    <s v="Samantha Cook"/>
    <x v="1"/>
    <x v="1"/>
    <n v="30"/>
    <x v="3"/>
    <x v="1"/>
  </r>
  <r>
    <x v="183"/>
    <s v="Chris Parker"/>
    <x v="2"/>
    <x v="2"/>
    <n v="30"/>
    <x v="10"/>
    <x v="2"/>
  </r>
  <r>
    <x v="183"/>
    <s v="Oliver Dickinson"/>
    <x v="1"/>
    <x v="3"/>
    <n v="185"/>
    <x v="122"/>
    <x v="4"/>
  </r>
  <r>
    <x v="183"/>
    <s v="Chris Johnson"/>
    <x v="1"/>
    <x v="2"/>
    <n v="265"/>
    <x v="34"/>
    <x v="2"/>
  </r>
  <r>
    <x v="184"/>
    <s v="Oliver Dickinson"/>
    <x v="1"/>
    <x v="2"/>
    <n v="50"/>
    <x v="122"/>
    <x v="4"/>
  </r>
  <r>
    <x v="185"/>
    <s v="Terry Smallman"/>
    <x v="2"/>
    <x v="2"/>
    <n v="30"/>
    <x v="10"/>
    <x v="2"/>
  </r>
  <r>
    <x v="185"/>
    <s v="Pick N Mix - Feb"/>
    <x v="5"/>
    <x v="6"/>
    <n v="415.5"/>
    <x v="112"/>
    <x v="2"/>
  </r>
  <r>
    <x v="185"/>
    <s v="Mentoring subs Mar"/>
    <x v="6"/>
    <x v="6"/>
    <n v="80"/>
    <x v="123"/>
    <x v="2"/>
  </r>
  <r>
    <x v="0"/>
    <m/>
    <x v="0"/>
    <x v="0"/>
    <m/>
    <x v="0"/>
    <x v="0"/>
  </r>
  <r>
    <x v="0"/>
    <m/>
    <x v="0"/>
    <x v="0"/>
    <m/>
    <x v="0"/>
    <x v="0"/>
  </r>
  <r>
    <x v="186"/>
    <s v="Ben Cooper"/>
    <x v="1"/>
    <x v="1"/>
    <n v="265"/>
    <x v="1"/>
    <x v="1"/>
  </r>
  <r>
    <x v="186"/>
    <s v="Paul Kirby"/>
    <x v="2"/>
    <x v="2"/>
    <n v="30"/>
    <x v="124"/>
    <x v="2"/>
  </r>
  <r>
    <x v="187"/>
    <s v="Margaret Millbery"/>
    <x v="3"/>
    <x v="4"/>
    <n v="200"/>
    <x v="125"/>
    <x v="3"/>
  </r>
  <r>
    <x v="187"/>
    <s v="Tania Stretton"/>
    <x v="1"/>
    <x v="2"/>
    <n v="60"/>
    <x v="126"/>
    <x v="1"/>
  </r>
  <r>
    <x v="187"/>
    <s v="Graham Painter"/>
    <x v="1"/>
    <x v="5"/>
    <n v="12"/>
    <x v="126"/>
    <x v="5"/>
  </r>
  <r>
    <x v="188"/>
    <s v="Craig Johnson"/>
    <x v="3"/>
    <x v="1"/>
    <n v="60"/>
    <x v="127"/>
    <x v="2"/>
  </r>
  <r>
    <x v="188"/>
    <s v="Jessica Miller"/>
    <x v="1"/>
    <x v="3"/>
    <n v="185"/>
    <x v="122"/>
    <x v="1"/>
  </r>
  <r>
    <x v="189"/>
    <s v="Andrew Clifforth"/>
    <x v="2"/>
    <x v="1"/>
    <n v="30"/>
    <x v="10"/>
    <x v="2"/>
  </r>
  <r>
    <x v="190"/>
    <s v="Julia Stew"/>
    <x v="1"/>
    <x v="2"/>
    <n v="185"/>
    <x v="122"/>
    <x v="1"/>
  </r>
  <r>
    <x v="189"/>
    <s v="ELS"/>
    <x v="1"/>
    <x v="3"/>
    <n v="200"/>
    <x v="122"/>
    <x v="4"/>
  </r>
  <r>
    <x v="190"/>
    <s v="Kathryn Philpott"/>
    <x v="3"/>
    <x v="2"/>
    <n v="150"/>
    <x v="128"/>
    <x v="3"/>
  </r>
  <r>
    <x v="190"/>
    <s v="Julia Stew"/>
    <x v="1"/>
    <x v="4"/>
    <n v="10"/>
    <x v="129"/>
    <x v="1"/>
  </r>
  <r>
    <x v="190"/>
    <s v="Jessica Miller"/>
    <x v="1"/>
    <x v="6"/>
    <n v="10"/>
    <x v="129"/>
    <x v="1"/>
  </r>
  <r>
    <x v="190"/>
    <s v="Sue Thompson"/>
    <x v="3"/>
    <x v="1"/>
    <n v="159"/>
    <x v="130"/>
    <x v="2"/>
  </r>
  <r>
    <x v="191"/>
    <s v="Steve Parish"/>
    <x v="1"/>
    <x v="2"/>
    <n v="265"/>
    <x v="131"/>
    <x v="1"/>
  </r>
  <r>
    <x v="192"/>
    <s v="Chris Franklin"/>
    <x v="1"/>
    <x v="3"/>
    <n v="185"/>
    <x v="122"/>
    <x v="1"/>
  </r>
  <r>
    <x v="192"/>
    <s v="Trevor Griffiths"/>
    <x v="1"/>
    <x v="2"/>
    <n v="15"/>
    <x v="126"/>
    <x v="1"/>
  </r>
  <r>
    <x v="192"/>
    <s v="Lynn Hughes"/>
    <x v="3"/>
    <x v="1"/>
    <n v="60"/>
    <x v="43"/>
    <x v="2"/>
  </r>
  <r>
    <x v="192"/>
    <s v="Andreas Ruhnke"/>
    <x v="1"/>
    <x v="5"/>
    <n v="12"/>
    <x v="126"/>
    <x v="5"/>
  </r>
  <r>
    <x v="192"/>
    <s v="Chris Franklin"/>
    <x v="2"/>
    <x v="1"/>
    <n v="30"/>
    <x v="10"/>
    <x v="2"/>
  </r>
  <r>
    <x v="193"/>
    <s v="Chris Parker"/>
    <x v="6"/>
    <x v="1"/>
    <n v="20"/>
    <x v="132"/>
    <x v="2"/>
  </r>
  <r>
    <x v="194"/>
    <s v="Alison Sheppard"/>
    <x v="1"/>
    <x v="4"/>
    <n v="15"/>
    <x v="133"/>
    <x v="1"/>
  </r>
  <r>
    <x v="194"/>
    <s v="Sarah Deeming"/>
    <x v="1"/>
    <x v="3"/>
    <n v="220"/>
    <x v="134"/>
    <x v="1"/>
  </r>
  <r>
    <x v="195"/>
    <s v="Chris Franklin"/>
    <x v="1"/>
    <x v="4"/>
    <n v="10"/>
    <x v="129"/>
    <x v="1"/>
  </r>
  <r>
    <x v="195"/>
    <s v="Emily Fernandez"/>
    <x v="5"/>
    <x v="3"/>
    <n v="35"/>
    <x v="135"/>
    <x v="2"/>
  </r>
  <r>
    <x v="196"/>
    <s v="Natalie Craddock "/>
    <x v="1"/>
    <x v="4"/>
    <n v="265"/>
    <x v="136"/>
    <x v="1"/>
  </r>
  <r>
    <x v="196"/>
    <s v="Garry Such"/>
    <x v="5"/>
    <x v="3"/>
    <n v="175"/>
    <x v="40"/>
    <x v="2"/>
  </r>
  <r>
    <x v="196"/>
    <s v="Paul Matt"/>
    <x v="1"/>
    <x v="2"/>
    <n v="265"/>
    <x v="136"/>
    <x v="1"/>
  </r>
  <r>
    <x v="197"/>
    <s v="Sue Phillips"/>
    <x v="2"/>
    <x v="1"/>
    <n v="30"/>
    <x v="10"/>
    <x v="2"/>
  </r>
  <r>
    <x v="197"/>
    <s v="James Cameron"/>
    <x v="2"/>
    <x v="2"/>
    <n v="30"/>
    <x v="10"/>
    <x v="2"/>
  </r>
  <r>
    <x v="197"/>
    <s v="Janet Roberts"/>
    <x v="2"/>
    <x v="2"/>
    <n v="30"/>
    <x v="10"/>
    <x v="2"/>
  </r>
  <r>
    <x v="197"/>
    <s v="Derek Robbins"/>
    <x v="2"/>
    <x v="1"/>
    <n v="30"/>
    <x v="10"/>
    <x v="2"/>
  </r>
  <r>
    <x v="197"/>
    <s v="Jennifer Box"/>
    <x v="2"/>
    <x v="1"/>
    <n v="30"/>
    <x v="10"/>
    <x v="2"/>
  </r>
  <r>
    <x v="197"/>
    <s v="Simon Betteridge"/>
    <x v="3"/>
    <x v="3"/>
    <n v="50"/>
    <x v="108"/>
    <x v="2"/>
  </r>
  <r>
    <x v="197"/>
    <s v="Simon Betteridge"/>
    <x v="2"/>
    <x v="3"/>
    <n v="30"/>
    <x v="10"/>
    <x v="2"/>
  </r>
  <r>
    <x v="198"/>
    <s v="Julian Barton-Bodley"/>
    <x v="2"/>
    <x v="1"/>
    <n v="35"/>
    <x v="137"/>
    <x v="2"/>
  </r>
  <r>
    <x v="198"/>
    <s v="Ina Koswara "/>
    <x v="3"/>
    <x v="2"/>
    <n v="400"/>
    <x v="138"/>
    <x v="1"/>
  </r>
  <r>
    <x v="199"/>
    <s v="Jackie Rosin"/>
    <x v="2"/>
    <x v="2"/>
    <n v="30"/>
    <x v="10"/>
    <x v="2"/>
  </r>
  <r>
    <x v="200"/>
    <s v="Greg Smart"/>
    <x v="3"/>
    <x v="1"/>
    <n v="99"/>
    <x v="27"/>
    <x v="2"/>
  </r>
  <r>
    <x v="201"/>
    <s v="Yee Lee"/>
    <x v="1"/>
    <x v="2"/>
    <n v="265"/>
    <x v="136"/>
    <x v="4"/>
  </r>
  <r>
    <x v="201"/>
    <s v="Serena Nicholls"/>
    <x v="2"/>
    <x v="2"/>
    <n v="30"/>
    <x v="10"/>
    <x v="2"/>
  </r>
  <r>
    <x v="202"/>
    <s v="Chris Walkland"/>
    <x v="5"/>
    <x v="3"/>
    <n v="1000"/>
    <x v="40"/>
    <x v="1"/>
  </r>
  <r>
    <x v="202"/>
    <s v="Jean MacDonald"/>
    <x v="3"/>
    <x v="3"/>
    <n v="180"/>
    <x v="138"/>
    <x v="2"/>
  </r>
  <r>
    <x v="202"/>
    <s v="Ian Blake"/>
    <x v="2"/>
    <x v="2"/>
    <n v="30"/>
    <x v="10"/>
    <x v="2"/>
  </r>
  <r>
    <x v="203"/>
    <s v="Chris Shaw"/>
    <x v="2"/>
    <x v="2"/>
    <n v="30"/>
    <x v="10"/>
    <x v="2"/>
  </r>
  <r>
    <x v="203"/>
    <s v="Kirsten Pearce"/>
    <x v="2"/>
    <x v="1"/>
    <n v="30"/>
    <x v="10"/>
    <x v="2"/>
  </r>
  <r>
    <x v="203"/>
    <s v="Dunstan Vavasour"/>
    <x v="2"/>
    <x v="1"/>
    <n v="30"/>
    <x v="10"/>
    <x v="2"/>
  </r>
  <r>
    <x v="203"/>
    <s v="Julian Barton-Bodley"/>
    <x v="2"/>
    <x v="1"/>
    <n v="30"/>
    <x v="10"/>
    <x v="2"/>
  </r>
  <r>
    <x v="204"/>
    <s v="Pick N Mix - Feb"/>
    <x v="5"/>
    <x v="3"/>
    <n v="738"/>
    <x v="0"/>
    <x v="2"/>
  </r>
  <r>
    <x v="204"/>
    <s v="Mentoring subs Feb"/>
    <x v="6"/>
    <x v="6"/>
    <n v="120"/>
    <x v="0"/>
    <x v="2"/>
  </r>
  <r>
    <x v="204"/>
    <s v="Judith Longhorn"/>
    <x v="3"/>
    <x v="2"/>
    <n v="180"/>
    <x v="82"/>
    <x v="1"/>
  </r>
  <r>
    <x v="204"/>
    <s v="Justin Meaden"/>
    <x v="3"/>
    <x v="2"/>
    <n v="100"/>
    <x v="55"/>
    <x v="1"/>
  </r>
  <r>
    <x v="0"/>
    <m/>
    <x v="0"/>
    <x v="0"/>
    <m/>
    <x v="0"/>
    <x v="0"/>
  </r>
  <r>
    <x v="0"/>
    <m/>
    <x v="0"/>
    <x v="0"/>
    <m/>
    <x v="0"/>
    <x v="0"/>
  </r>
  <r>
    <x v="205"/>
    <s v="Pavan Kumar"/>
    <x v="1"/>
    <x v="1"/>
    <n v="50"/>
    <x v="0"/>
    <x v="1"/>
  </r>
  <r>
    <x v="205"/>
    <s v="Daniel Brookes"/>
    <x v="1"/>
    <x v="5"/>
    <n v="12"/>
    <x v="0"/>
    <x v="5"/>
  </r>
  <r>
    <x v="205"/>
    <s v="David Towers"/>
    <x v="1"/>
    <x v="5"/>
    <n v="12"/>
    <x v="0"/>
    <x v="5"/>
  </r>
  <r>
    <x v="205"/>
    <s v="Chris Towers"/>
    <x v="1"/>
    <x v="5"/>
    <n v="12"/>
    <x v="0"/>
    <x v="5"/>
  </r>
  <r>
    <x v="206"/>
    <s v="Sarah Franklin"/>
    <x v="1"/>
    <x v="5"/>
    <n v="12"/>
    <x v="0"/>
    <x v="5"/>
  </r>
  <r>
    <x v="206"/>
    <s v="Gail Franklin"/>
    <x v="1"/>
    <x v="2"/>
    <n v="30"/>
    <x v="0"/>
    <x v="1"/>
  </r>
  <r>
    <x v="206"/>
    <s v="Terrence Underhill"/>
    <x v="1"/>
    <x v="5"/>
    <n v="12"/>
    <x v="0"/>
    <x v="5"/>
  </r>
  <r>
    <x v="207"/>
    <s v="Ina Koswara "/>
    <x v="3"/>
    <x v="3"/>
    <n v="50"/>
    <x v="0"/>
    <x v="1"/>
  </r>
  <r>
    <x v="208"/>
    <s v="Jan Shaylor"/>
    <x v="4"/>
    <x v="3"/>
    <n v="95"/>
    <x v="0"/>
    <x v="1"/>
  </r>
  <r>
    <x v="208"/>
    <s v="Jessica Miller"/>
    <x v="1"/>
    <x v="2"/>
    <n v="15"/>
    <x v="0"/>
    <x v="1"/>
  </r>
  <r>
    <x v="208"/>
    <s v="Paulina Lewis"/>
    <x v="1"/>
    <x v="2"/>
    <n v="30"/>
    <x v="0"/>
    <x v="1"/>
  </r>
  <r>
    <x v="208"/>
    <s v="Michelle Richings"/>
    <x v="1"/>
    <x v="2"/>
    <n v="30"/>
    <x v="0"/>
    <x v="1"/>
  </r>
  <r>
    <x v="208"/>
    <s v="Chloe Brown"/>
    <x v="1"/>
    <x v="2"/>
    <n v="30"/>
    <x v="0"/>
    <x v="1"/>
  </r>
  <r>
    <x v="208"/>
    <s v="Chris Franklin"/>
    <x v="1"/>
    <x v="5"/>
    <n v="12"/>
    <x v="0"/>
    <x v="5"/>
  </r>
  <r>
    <x v="209"/>
    <s v="Kedar "/>
    <x v="1"/>
    <x v="2"/>
    <n v="250"/>
    <x v="136"/>
    <x v="1"/>
  </r>
  <r>
    <x v="210"/>
    <s v="Kirsten pearce"/>
    <x v="3"/>
    <x v="3"/>
    <n v="243.5"/>
    <x v="46"/>
    <x v="2"/>
  </r>
  <r>
    <x v="211"/>
    <s v="Emily Fernadez"/>
    <x v="1"/>
    <x v="3"/>
    <n v="200"/>
    <x v="0"/>
    <x v="2"/>
  </r>
  <r>
    <x v="212"/>
    <s v="Rachel Ward"/>
    <x v="3"/>
    <x v="2"/>
    <n v="59"/>
    <x v="139"/>
    <x v="3"/>
  </r>
  <r>
    <x v="212"/>
    <s v="Ruth Colgan"/>
    <x v="1"/>
    <x v="2"/>
    <n v="215"/>
    <x v="140"/>
    <x v="2"/>
  </r>
  <r>
    <x v="213"/>
    <s v="Rachel Imogen BOWES "/>
    <x v="1"/>
    <x v="1"/>
    <n v="265"/>
    <x v="0"/>
    <x v="1"/>
  </r>
  <r>
    <x v="213"/>
    <s v="Zoe Manning "/>
    <x v="1"/>
    <x v="2"/>
    <n v="60"/>
    <x v="0"/>
    <x v="1"/>
  </r>
  <r>
    <x v="214"/>
    <s v="Vic Millard"/>
    <x v="1"/>
    <x v="2"/>
    <n v="30"/>
    <x v="0"/>
    <x v="1"/>
  </r>
  <r>
    <x v="214"/>
    <s v="Rebecca Teague "/>
    <x v="3"/>
    <x v="2"/>
    <n v="60"/>
    <x v="0"/>
    <x v="1"/>
  </r>
  <r>
    <x v="215"/>
    <s v="Adrian Knott"/>
    <x v="1"/>
    <x v="1"/>
    <n v="25"/>
    <x v="141"/>
    <x v="1"/>
  </r>
  <r>
    <x v="216"/>
    <s v="Janet Roberts"/>
    <x v="1"/>
    <x v="2"/>
    <n v="135"/>
    <x v="142"/>
    <x v="2"/>
  </r>
  <r>
    <x v="216"/>
    <s v="Mark Harrison"/>
    <x v="4"/>
    <x v="3"/>
    <n v="145"/>
    <x v="141"/>
    <x v="1"/>
  </r>
  <r>
    <x v="217"/>
    <s v="Norman Whitaker"/>
    <x v="1"/>
    <x v="2"/>
    <n v="25"/>
    <x v="141"/>
    <x v="1"/>
  </r>
  <r>
    <x v="217"/>
    <s v="Sue &amp; Chris Walkland"/>
    <x v="1"/>
    <x v="3"/>
    <n v="400"/>
    <x v="141"/>
    <x v="1"/>
  </r>
  <r>
    <x v="218"/>
    <s v="Mentoring Subs"/>
    <x v="6"/>
    <x v="6"/>
    <n v="120"/>
    <x v="0"/>
    <x v="2"/>
  </r>
  <r>
    <x v="218"/>
    <s v="Janice Jordon"/>
    <x v="2"/>
    <x v="2"/>
    <n v="30"/>
    <x v="141"/>
    <x v="2"/>
  </r>
  <r>
    <x v="218"/>
    <s v="Pick N Mix Jan"/>
    <x v="5"/>
    <x v="6"/>
    <n v="339"/>
    <x v="0"/>
    <x v="2"/>
  </r>
  <r>
    <x v="218"/>
    <s v="Anne-Marie Scott"/>
    <x v="6"/>
    <x v="1"/>
    <n v="200"/>
    <x v="141"/>
    <x v="2"/>
  </r>
</pivotCacheRecords>
</file>

<file path=xl/pivotCache/pivotCacheRecords4.xml><?xml version="1.0" encoding="utf-8"?>
<pivotCacheRecords xmlns="http://schemas.openxmlformats.org/spreadsheetml/2006/main" count="121">
  <r>
    <m/>
    <x v="0"/>
    <m/>
    <x v="0"/>
    <x v="0"/>
    <m/>
    <s v="2014"/>
    <m/>
    <m/>
    <m/>
    <m/>
    <m/>
    <m/>
  </r>
  <r>
    <m/>
    <x v="0"/>
    <m/>
    <x v="0"/>
    <x v="0"/>
    <m/>
    <m/>
    <m/>
    <m/>
    <m/>
    <m/>
    <m/>
    <m/>
  </r>
  <r>
    <m/>
    <x v="0"/>
    <m/>
    <x v="0"/>
    <x v="0"/>
    <m/>
    <m/>
    <m/>
    <m/>
    <m/>
    <m/>
    <m/>
    <m/>
  </r>
  <r>
    <m/>
    <x v="0"/>
    <m/>
    <x v="0"/>
    <x v="0"/>
    <m/>
    <m/>
    <m/>
    <m/>
    <m/>
    <m/>
    <m/>
    <m/>
  </r>
  <r>
    <m/>
    <x v="0"/>
    <m/>
    <x v="0"/>
    <x v="0"/>
    <m/>
    <m/>
    <m/>
    <m/>
    <m/>
    <m/>
    <m/>
    <m/>
  </r>
  <r>
    <m/>
    <x v="0"/>
    <m/>
    <x v="1"/>
    <x v="1"/>
    <s v="#01573"/>
    <d v="2019-12-21T00:00:00"/>
    <n v="50"/>
    <n v="0"/>
    <s v="janet@majtucker.plus.com"/>
    <s v="Mr"/>
    <s v="Alasdair "/>
    <s v="Tucker"/>
  </r>
  <r>
    <m/>
    <x v="0"/>
    <m/>
    <x v="0"/>
    <x v="0"/>
    <m/>
    <m/>
    <m/>
    <m/>
    <m/>
    <m/>
    <m/>
    <m/>
  </r>
  <r>
    <m/>
    <x v="0"/>
    <m/>
    <x v="1"/>
    <x v="1"/>
    <s v="#01573"/>
    <d v="2019-12-21T00:00:00"/>
    <n v="50"/>
    <n v="0"/>
    <s v="janet@majtucker.plus.com"/>
    <s v="Mr"/>
    <s v="Alasdair "/>
    <s v="Tucker"/>
  </r>
  <r>
    <m/>
    <x v="0"/>
    <m/>
    <x v="0"/>
    <x v="0"/>
    <m/>
    <m/>
    <m/>
    <m/>
    <m/>
    <m/>
    <m/>
    <m/>
  </r>
  <r>
    <m/>
    <x v="0"/>
    <m/>
    <x v="1"/>
    <x v="1"/>
    <s v="#01563"/>
    <d v="2019-12-17T00:00:00"/>
    <n v="50"/>
    <n v="0"/>
    <s v="muldoon.j.g@icloud.com "/>
    <s v="Ms"/>
    <s v="Annie "/>
    <s v="Muldoon"/>
  </r>
  <r>
    <m/>
    <x v="0"/>
    <m/>
    <x v="0"/>
    <x v="0"/>
    <m/>
    <m/>
    <m/>
    <m/>
    <m/>
    <m/>
    <m/>
    <m/>
  </r>
  <r>
    <m/>
    <x v="0"/>
    <m/>
    <x v="0"/>
    <x v="0"/>
    <m/>
    <m/>
    <m/>
    <m/>
    <m/>
    <m/>
    <m/>
    <m/>
  </r>
  <r>
    <d v="2020-01-07T00:00:00"/>
    <x v="1"/>
    <s v="Oakley Wood, Leamington Spa"/>
    <x v="1"/>
    <x v="2"/>
    <s v="Direct"/>
    <d v="2019-12-06T00:00:00"/>
    <n v="10"/>
    <n v="0"/>
    <s v="jeremytroth@btinternet.com "/>
    <s v="Mr"/>
    <s v="Jeremy"/>
    <s v="Troth"/>
  </r>
  <r>
    <d v="2020-01-07T00:00:00"/>
    <x v="1"/>
    <s v="Oakley Wood, Leamington Spa"/>
    <x v="1"/>
    <x v="2"/>
    <s v="#01552"/>
    <d v="2019-12-09T00:00:00"/>
    <n v="10"/>
    <n v="0"/>
    <s v="charliebudd@hotmail.co.uk "/>
    <s v="Mr"/>
    <s v="Charlie"/>
    <s v="Budd"/>
  </r>
  <r>
    <d v="2020-01-07T00:00:00"/>
    <x v="1"/>
    <s v="Oakley Wood, Leamington Spa"/>
    <x v="1"/>
    <x v="2"/>
    <s v="#01578"/>
    <d v="2019-12-26T00:00:00"/>
    <n v="10"/>
    <n v="0"/>
    <s v="ian.harrop@tiscali.co.uk "/>
    <s v="Mr"/>
    <s v="Ian"/>
    <s v="Harrop"/>
  </r>
  <r>
    <m/>
    <x v="0"/>
    <m/>
    <x v="0"/>
    <x v="0"/>
    <m/>
    <m/>
    <m/>
    <m/>
    <m/>
    <m/>
    <m/>
    <m/>
  </r>
  <r>
    <m/>
    <x v="0"/>
    <m/>
    <x v="0"/>
    <x v="0"/>
    <m/>
    <m/>
    <m/>
    <m/>
    <m/>
    <m/>
    <m/>
    <m/>
  </r>
  <r>
    <d v="2020-01-17T00:00:00"/>
    <x v="2"/>
    <s v="All Inclusive"/>
    <x v="2"/>
    <x v="2"/>
    <s v="Existing"/>
    <d v="2019-11-27T00:00:00"/>
    <n v="675"/>
    <n v="0"/>
    <s v="ibby1946@hotmail.com"/>
    <s v="Mr"/>
    <s v="Graham"/>
    <s v="Ibbetson"/>
  </r>
  <r>
    <m/>
    <x v="0"/>
    <m/>
    <x v="0"/>
    <x v="0"/>
    <m/>
    <m/>
    <m/>
    <m/>
    <m/>
    <m/>
    <m/>
    <m/>
  </r>
  <r>
    <d v="2020-01-27T00:00:00"/>
    <x v="3"/>
    <s v="Coventry"/>
    <x v="1"/>
    <x v="1"/>
    <s v="Exisiting"/>
    <d v="2019-12-06T00:00:00"/>
    <n v="50"/>
    <n v="0"/>
    <s v="jane@fishingfox.co.uk "/>
    <s v="Mr"/>
    <s v="Nigel"/>
    <s v="Fox"/>
  </r>
  <r>
    <d v="2020-01-27T00:00:00"/>
    <x v="3"/>
    <s v="Coventry"/>
    <x v="1"/>
    <x v="2"/>
    <s v="#01482"/>
    <d v="2019-10-07T00:00:00"/>
    <n v="50"/>
    <n v="0"/>
    <s v="sbremner@jaguarlandrover.com "/>
    <s v="Mr"/>
    <s v="Scott"/>
    <s v="Bremner"/>
  </r>
  <r>
    <m/>
    <x v="0"/>
    <m/>
    <x v="0"/>
    <x v="0"/>
    <m/>
    <m/>
    <m/>
    <m/>
    <m/>
    <m/>
    <m/>
    <m/>
  </r>
  <r>
    <m/>
    <x v="0"/>
    <m/>
    <x v="0"/>
    <x v="0"/>
    <m/>
    <m/>
    <m/>
    <m/>
    <m/>
    <m/>
    <m/>
    <m/>
  </r>
  <r>
    <d v="2020-02-04T00:00:00"/>
    <x v="1"/>
    <s v="Hay Wood, Lapworth"/>
    <x v="1"/>
    <x v="2"/>
    <s v="Direct"/>
    <d v="2019-12-06T00:00:00"/>
    <n v="10"/>
    <n v="0"/>
    <s v="jeremytroth@btinternet.com "/>
    <s v="Mr"/>
    <s v="Jeremy"/>
    <s v="Troth"/>
  </r>
  <r>
    <d v="2020-02-04T00:00:00"/>
    <x v="1"/>
    <s v="Hay Wood, Lapworth"/>
    <x v="1"/>
    <x v="2"/>
    <s v="#01572"/>
    <d v="2019-12-21T00:00:00"/>
    <n v="10"/>
    <n v="0"/>
    <s v="gina815@sky.com "/>
    <s v="Ms"/>
    <s v="Gina"/>
    <s v="Smith"/>
  </r>
  <r>
    <d v="2020-02-04T00:00:00"/>
    <x v="1"/>
    <s v="Hay Wood, Lapworth"/>
    <x v="1"/>
    <x v="2"/>
    <s v="#01572"/>
    <d v="2019-12-21T00:00:00"/>
    <n v="10"/>
    <n v="0"/>
    <s v="gina815@sky.com "/>
    <s v="Ms"/>
    <s v="Gina"/>
    <s v="Smith"/>
  </r>
  <r>
    <m/>
    <x v="0"/>
    <m/>
    <x v="0"/>
    <x v="0"/>
    <m/>
    <m/>
    <m/>
    <m/>
    <m/>
    <m/>
    <m/>
    <m/>
  </r>
  <r>
    <m/>
    <x v="0"/>
    <m/>
    <x v="0"/>
    <x v="0"/>
    <m/>
    <m/>
    <m/>
    <m/>
    <m/>
    <m/>
    <m/>
    <m/>
  </r>
  <r>
    <d v="2020-02-08T00:00:00"/>
    <x v="4"/>
    <s v="All Inclusive"/>
    <x v="3"/>
    <x v="1"/>
    <s v="#01445"/>
    <d v="2019-08-25T00:00:00"/>
    <n v="425"/>
    <n v="0"/>
    <s v="alan.barth@btinternet.com "/>
    <s v="Mr"/>
    <s v="Alan"/>
    <s v="Barth"/>
  </r>
  <r>
    <m/>
    <x v="0"/>
    <m/>
    <x v="0"/>
    <x v="0"/>
    <m/>
    <m/>
    <m/>
    <m/>
    <m/>
    <m/>
    <m/>
    <m/>
  </r>
  <r>
    <d v="2020-02-14T00:00:00"/>
    <x v="5"/>
    <s v="All Inclusive"/>
    <x v="2"/>
    <x v="2"/>
    <s v="#01360"/>
    <d v="2019-05-19T00:00:00"/>
    <n v="475"/>
    <n v="0"/>
    <s v="fjohnstubbs@icloud.com"/>
    <s v="Mr"/>
    <s v="Frederick"/>
    <s v="Stubbs"/>
  </r>
  <r>
    <d v="2020-02-14T00:00:00"/>
    <x v="5"/>
    <s v="All Inclusive"/>
    <x v="2"/>
    <x v="2"/>
    <s v="#01451"/>
    <d v="2019-08-30T00:00:00"/>
    <n v="616.25"/>
    <m/>
    <s v="knpearce@hotmail.com "/>
    <s v="Ms"/>
    <s v="Kirsten "/>
    <s v="Pearce"/>
  </r>
  <r>
    <d v="2020-02-14T00:00:00"/>
    <x v="5"/>
    <s v="All Inclusive"/>
    <x v="2"/>
    <x v="2"/>
    <m/>
    <d v="2019-08-30T00:00:00"/>
    <n v="580"/>
    <n v="0"/>
    <s v="joyceejames@me.com "/>
    <s v="Mrs"/>
    <s v="Joyce"/>
    <s v="James"/>
  </r>
  <r>
    <m/>
    <x v="0"/>
    <m/>
    <x v="0"/>
    <x v="0"/>
    <m/>
    <m/>
    <m/>
    <m/>
    <m/>
    <m/>
    <m/>
    <m/>
  </r>
  <r>
    <d v="2020-03-03T00:00:00"/>
    <x v="1"/>
    <s v="Wappenbury, Rugby"/>
    <x v="1"/>
    <x v="2"/>
    <s v="Direct"/>
    <d v="2019-12-06T00:00:00"/>
    <n v="10"/>
    <n v="0"/>
    <s v="jeremytroth@btinternet.com "/>
    <s v="Mr"/>
    <s v="Jeremy"/>
    <s v="Troth"/>
  </r>
  <r>
    <d v="2020-03-03T00:00:00"/>
    <x v="1"/>
    <s v="Wappenbury, Rugby"/>
    <x v="1"/>
    <x v="1"/>
    <s v="#01580"/>
    <d v="2019-12-30T00:00:00"/>
    <n v="10"/>
    <n v="0"/>
    <s v="radders1@hotmail.co.uk "/>
    <s v="Mrs"/>
    <s v="Melanie"/>
    <s v=" Radcliffe"/>
  </r>
  <r>
    <d v="2020-03-03T00:00:00"/>
    <x v="1"/>
    <s v="Wappenbury, Rugby"/>
    <x v="1"/>
    <x v="1"/>
    <s v="#01580"/>
    <d v="2019-12-30T00:00:00"/>
    <n v="10"/>
    <n v="0"/>
    <s v="radders1@hotmail.co.uk "/>
    <s v="Mr"/>
    <s v="Patrick"/>
    <s v=" Radcliffe"/>
  </r>
  <r>
    <m/>
    <x v="0"/>
    <m/>
    <x v="0"/>
    <x v="0"/>
    <m/>
    <m/>
    <m/>
    <m/>
    <m/>
    <m/>
    <m/>
    <m/>
  </r>
  <r>
    <m/>
    <x v="0"/>
    <m/>
    <x v="0"/>
    <x v="0"/>
    <m/>
    <m/>
    <m/>
    <m/>
    <m/>
    <m/>
    <m/>
    <m/>
  </r>
  <r>
    <d v="2020-03-04T00:00:00"/>
    <x v="6"/>
    <s v="Coventry"/>
    <x v="1"/>
    <x v="1"/>
    <s v="Exisiting"/>
    <d v="2019-12-06T00:00:00"/>
    <n v="49"/>
    <n v="1"/>
    <s v="jane@fishingfox.co.uk "/>
    <s v="Mr"/>
    <s v="Nigel"/>
    <s v="Fox"/>
  </r>
  <r>
    <m/>
    <x v="0"/>
    <m/>
    <x v="0"/>
    <x v="0"/>
    <m/>
    <m/>
    <m/>
    <m/>
    <m/>
    <m/>
    <m/>
    <m/>
  </r>
  <r>
    <d v="2020-03-12T00:00:00"/>
    <x v="7"/>
    <s v="All Inclusive"/>
    <x v="4"/>
    <x v="2"/>
    <s v="#01361"/>
    <d v="2019-05-20T00:00:00"/>
    <n v="1155"/>
    <n v="0"/>
    <s v="joyceejames@me.com "/>
    <s v="Mrs"/>
    <s v="Joyce"/>
    <s v="James"/>
  </r>
  <r>
    <d v="2020-03-12T00:00:00"/>
    <x v="7"/>
    <s v="All Inclusive"/>
    <x v="4"/>
    <x v="2"/>
    <m/>
    <d v="2019-06-12T00:00:00"/>
    <n v="695"/>
    <n v="0"/>
    <s v="robert.griffiths30@btinternet.com"/>
    <s v="Mr"/>
    <s v="ROBERT "/>
    <s v="GRIFFITHS "/>
  </r>
  <r>
    <d v="2020-03-12T00:00:00"/>
    <x v="7"/>
    <s v="All Inclusive"/>
    <x v="4"/>
    <x v="2"/>
    <m/>
    <d v="2019-07-05T00:00:00"/>
    <n v="295"/>
    <n v="795"/>
    <s v="annewatkinson@talk21.com "/>
    <s v="Mrs"/>
    <s v="Anne"/>
    <s v="Watkinson"/>
  </r>
  <r>
    <d v="2020-03-12T00:00:00"/>
    <x v="7"/>
    <s v="All Inclusive"/>
    <x v="4"/>
    <x v="2"/>
    <s v="#01490"/>
    <d v="2019-10-11T00:00:00"/>
    <n v="995"/>
    <n v="0"/>
    <s v="ian.harrop@tiscali.co.uk "/>
    <s v="Mr"/>
    <s v="Ian"/>
    <s v="Harrop"/>
  </r>
  <r>
    <d v="2020-03-12T00:00:00"/>
    <x v="7"/>
    <s v="All Inclusive"/>
    <x v="4"/>
    <x v="2"/>
    <s v="#01519"/>
    <d v="2019-11-09T00:00:00"/>
    <n v="1190"/>
    <m/>
    <s v="con.mchugh@gmail.com"/>
    <s v="Mr"/>
    <s v="Con "/>
    <s v="McHugh"/>
  </r>
  <r>
    <d v="2020-03-12T00:00:00"/>
    <x v="7"/>
    <s v="All Inclusive"/>
    <x v="4"/>
    <x v="2"/>
    <m/>
    <m/>
    <m/>
    <n v="500"/>
    <s v="phgarnett@gmail.com"/>
    <s v="Mr"/>
    <s v="Paul "/>
    <s v="Garnett"/>
  </r>
  <r>
    <m/>
    <x v="0"/>
    <m/>
    <x v="0"/>
    <x v="0"/>
    <m/>
    <m/>
    <m/>
    <m/>
    <m/>
    <m/>
    <m/>
    <m/>
  </r>
  <r>
    <d v="2020-04-07T00:00:00"/>
    <x v="1"/>
    <s v="Clowes Wood, Earlswood"/>
    <x v="1"/>
    <x v="1"/>
    <s v="#01539"/>
    <d v="2019-11-27T00:00:00"/>
    <n v="10"/>
    <n v="0"/>
    <s v="sarahyeo@yahoo.co.uk "/>
    <s v="Mr"/>
    <s v="Graeme "/>
    <s v="Yeo"/>
  </r>
  <r>
    <d v="2020-04-07T00:00:00"/>
    <x v="1"/>
    <s v="Clowes Wood, Earlswood"/>
    <x v="1"/>
    <x v="2"/>
    <s v="Direct"/>
    <d v="2019-12-06T00:00:00"/>
    <n v="10"/>
    <n v="0"/>
    <s v="jeremytroth@btinternet.com "/>
    <s v="Mr"/>
    <s v="Jeremy"/>
    <s v="Troth"/>
  </r>
  <r>
    <m/>
    <x v="0"/>
    <m/>
    <x v="0"/>
    <x v="0"/>
    <m/>
    <m/>
    <m/>
    <m/>
    <m/>
    <m/>
    <m/>
    <m/>
  </r>
  <r>
    <d v="2020-04-11T00:00:00"/>
    <x v="8"/>
    <s v="Padley Gorge"/>
    <x v="5"/>
    <x v="1"/>
    <s v="#01529"/>
    <d v="2019-11-19T00:00:00"/>
    <n v="150"/>
    <n v="0"/>
    <s v="neilbest256@outlook.com "/>
    <s v="Ms"/>
    <s v="Kathryn"/>
    <s v="Thompson"/>
  </r>
  <r>
    <m/>
    <x v="0"/>
    <m/>
    <x v="0"/>
    <x v="0"/>
    <m/>
    <m/>
    <m/>
    <m/>
    <m/>
    <m/>
    <m/>
    <m/>
  </r>
  <r>
    <d v="2020-04-24T00:00:00"/>
    <x v="9"/>
    <s v="AM"/>
    <x v="6"/>
    <x v="2"/>
    <s v="#01270"/>
    <d v="2019-03-15T00:00:00"/>
    <n v="62.5"/>
    <n v="0"/>
    <s v="ibby1946@hotmail.com"/>
    <s v="Mr"/>
    <s v="Graham"/>
    <s v="Ibbetson"/>
  </r>
  <r>
    <m/>
    <x v="0"/>
    <m/>
    <x v="0"/>
    <x v="0"/>
    <m/>
    <m/>
    <m/>
    <m/>
    <m/>
    <m/>
    <m/>
    <m/>
  </r>
  <r>
    <d v="2020-04-25T00:00:00"/>
    <x v="9"/>
    <s v="PM"/>
    <x v="6"/>
    <x v="1"/>
    <s v="#01557"/>
    <d v="2019-12-16T00:00:00"/>
    <n v="99"/>
    <n v="0"/>
    <s v="siobhanhoyes@yahoo.co.uk "/>
    <s v="Ms"/>
    <s v="Shan"/>
    <s v="Rush"/>
  </r>
  <r>
    <d v="2020-04-25T00:00:00"/>
    <x v="9"/>
    <s v="PM"/>
    <x v="6"/>
    <x v="1"/>
    <s v="#01558"/>
    <d v="2019-12-16T00:00:00"/>
    <n v="99"/>
    <n v="0"/>
    <s v="siobhanhoyes@yahoo.co.uk "/>
    <s v="Ms"/>
    <s v="Siobhan "/>
    <s v="Hoyes"/>
  </r>
  <r>
    <m/>
    <x v="0"/>
    <m/>
    <x v="0"/>
    <x v="0"/>
    <m/>
    <m/>
    <m/>
    <m/>
    <m/>
    <m/>
    <m/>
    <m/>
  </r>
  <r>
    <d v="2020-05-07T00:00:00"/>
    <x v="1"/>
    <s v="Millisons Wood, Meriden"/>
    <x v="1"/>
    <x v="2"/>
    <s v="Direct"/>
    <d v="2019-12-06T00:00:00"/>
    <n v="10"/>
    <n v="0"/>
    <s v="jeremytroth@btinternet.com "/>
    <s v="Mr"/>
    <s v="Jeremy"/>
    <s v="Troth"/>
  </r>
  <r>
    <m/>
    <x v="0"/>
    <m/>
    <x v="0"/>
    <x v="0"/>
    <m/>
    <m/>
    <m/>
    <m/>
    <m/>
    <m/>
    <m/>
    <m/>
  </r>
  <r>
    <d v="2020-06-02T00:00:00"/>
    <x v="1"/>
    <s v="Ryton Wood, Coventry"/>
    <x v="1"/>
    <x v="2"/>
    <s v="Direct"/>
    <d v="2019-12-06T00:00:00"/>
    <n v="10"/>
    <n v="0"/>
    <s v="jeremytroth@btinternet.com "/>
    <s v="Mr"/>
    <s v="Jeremy"/>
    <s v="Troth"/>
  </r>
  <r>
    <m/>
    <x v="0"/>
    <m/>
    <x v="0"/>
    <x v="0"/>
    <m/>
    <m/>
    <m/>
    <m/>
    <m/>
    <m/>
    <m/>
    <m/>
  </r>
  <r>
    <d v="2020-06-06T00:00:00"/>
    <x v="10"/>
    <s v="All Inclusive"/>
    <x v="3"/>
    <x v="2"/>
    <s v="#01540"/>
    <d v="2019-11-29T00:00:00"/>
    <n v="425"/>
    <n v="0"/>
    <s v="mobrad7@gmail.com"/>
    <s v="Mrs"/>
    <s v="Maureen"/>
    <s v="Bradley"/>
  </r>
  <r>
    <d v="2020-06-06T00:00:00"/>
    <x v="10"/>
    <s v="All Inclusive"/>
    <x v="3"/>
    <x v="2"/>
    <s v="#01543"/>
    <d v="2019-11-30T00:00:00"/>
    <n v="275"/>
    <n v="0"/>
    <s v="ipblake@lineone.net"/>
    <s v="Mr"/>
    <s v="Ian"/>
    <s v="Blake"/>
  </r>
  <r>
    <m/>
    <x v="0"/>
    <m/>
    <x v="0"/>
    <x v="0"/>
    <m/>
    <m/>
    <m/>
    <m/>
    <m/>
    <m/>
    <m/>
    <m/>
  </r>
  <r>
    <d v="2020-06-19T00:00:00"/>
    <x v="11"/>
    <s v="PM"/>
    <x v="1"/>
    <x v="1"/>
    <s v="#01533"/>
    <d v="2019-11-26T00:00:00"/>
    <n v="75"/>
    <n v="0"/>
    <s v="les_page2003@yahoo.co.uk"/>
    <s v="Mr"/>
    <s v="Les"/>
    <s v="Page"/>
  </r>
  <r>
    <d v="2020-06-19T00:00:00"/>
    <x v="11"/>
    <s v="PM"/>
    <x v="1"/>
    <x v="1"/>
    <s v="#01534"/>
    <d v="2019-11-26T00:00:00"/>
    <n v="75"/>
    <n v="0"/>
    <s v="daran_millward@hotmail.com "/>
    <s v="Mr"/>
    <s v="Daran "/>
    <s v="Millward"/>
  </r>
  <r>
    <m/>
    <x v="0"/>
    <m/>
    <x v="0"/>
    <x v="0"/>
    <m/>
    <m/>
    <m/>
    <m/>
    <m/>
    <m/>
    <m/>
    <m/>
  </r>
  <r>
    <d v="2020-06-20T00:00:00"/>
    <x v="11"/>
    <s v="AM"/>
    <x v="1"/>
    <x v="1"/>
    <s v="#01533"/>
    <d v="2019-11-26T00:00:00"/>
    <n v="75"/>
    <n v="0"/>
    <s v="les_page2003@yahoo.co.uk"/>
    <s v="Mr"/>
    <s v="Les"/>
    <s v="Page"/>
  </r>
  <r>
    <d v="2020-06-20T00:00:00"/>
    <x v="11"/>
    <s v="AM"/>
    <x v="1"/>
    <x v="1"/>
    <s v="#01535"/>
    <d v="2019-11-26T00:00:00"/>
    <n v="75"/>
    <n v="0"/>
    <s v="daran_millward@hotmail.com "/>
    <s v="Mr"/>
    <s v="Daran "/>
    <s v="Millward"/>
  </r>
  <r>
    <m/>
    <x v="0"/>
    <m/>
    <x v="0"/>
    <x v="0"/>
    <m/>
    <m/>
    <m/>
    <m/>
    <m/>
    <m/>
    <m/>
    <m/>
  </r>
  <r>
    <d v="2020-06-21T00:00:00"/>
    <x v="11"/>
    <s v="AM"/>
    <x v="1"/>
    <x v="2"/>
    <s v="#01555"/>
    <d v="2019-12-12T00:00:00"/>
    <n v="67.5"/>
    <n v="0"/>
    <s v="amanda_graham@hotmail.co.uk "/>
    <s v="Miss"/>
    <s v="Amanda "/>
    <s v="Graham"/>
  </r>
  <r>
    <d v="2020-06-21T00:00:00"/>
    <x v="11"/>
    <s v="AM"/>
    <x v="1"/>
    <x v="1"/>
    <s v="#01559"/>
    <d v="2019-12-17T00:00:00"/>
    <n v="75"/>
    <n v="0"/>
    <s v="jprytula3@gmail.com "/>
    <s v="Ms"/>
    <s v="JUSTINA "/>
    <s v="PRYTULA"/>
  </r>
  <r>
    <m/>
    <x v="0"/>
    <m/>
    <x v="0"/>
    <x v="0"/>
    <m/>
    <m/>
    <m/>
    <m/>
    <m/>
    <m/>
    <m/>
    <m/>
  </r>
  <r>
    <d v="2020-07-07T00:00:00"/>
    <x v="1"/>
    <s v="Tile Hill Wood, Coventry"/>
    <x v="1"/>
    <x v="2"/>
    <s v="Direct"/>
    <d v="2019-12-06T00:00:00"/>
    <n v="10"/>
    <n v="0"/>
    <s v="jeremytroth@btinternet.com "/>
    <s v="Mr"/>
    <s v="Jeremy"/>
    <s v="Troth"/>
  </r>
  <r>
    <m/>
    <x v="0"/>
    <m/>
    <x v="0"/>
    <x v="0"/>
    <m/>
    <m/>
    <m/>
    <m/>
    <m/>
    <m/>
    <m/>
    <m/>
  </r>
  <r>
    <d v="2020-08-04T00:00:00"/>
    <x v="1"/>
    <s v="Brandon Wood, Coventry"/>
    <x v="1"/>
    <x v="2"/>
    <s v="Direct"/>
    <d v="2019-12-06T00:00:00"/>
    <n v="10"/>
    <n v="0"/>
    <s v="jeremytroth@btinternet.com "/>
    <s v="Mr"/>
    <s v="Jeremy"/>
    <s v="Troth"/>
  </r>
  <r>
    <m/>
    <x v="0"/>
    <m/>
    <x v="0"/>
    <x v="0"/>
    <m/>
    <m/>
    <m/>
    <m/>
    <m/>
    <m/>
    <m/>
    <m/>
  </r>
  <r>
    <d v="2020-08-28T00:00:00"/>
    <x v="12"/>
    <s v="AM"/>
    <x v="1"/>
    <x v="2"/>
    <s v="#01555"/>
    <d v="2019-12-12T00:00:00"/>
    <n v="50"/>
    <n v="0"/>
    <s v="amanda_graham@hotmail.co.uk "/>
    <s v="Miss"/>
    <s v="Amanda "/>
    <s v="Graham"/>
  </r>
  <r>
    <m/>
    <x v="0"/>
    <m/>
    <x v="0"/>
    <x v="0"/>
    <m/>
    <m/>
    <m/>
    <m/>
    <m/>
    <m/>
    <m/>
    <m/>
  </r>
  <r>
    <m/>
    <x v="0"/>
    <m/>
    <x v="0"/>
    <x v="0"/>
    <m/>
    <m/>
    <m/>
    <m/>
    <m/>
    <m/>
    <m/>
    <m/>
  </r>
  <r>
    <d v="2020-08-29T00:00:00"/>
    <x v="13"/>
    <s v="All Inclusive"/>
    <x v="3"/>
    <x v="1"/>
    <s v="#01476"/>
    <d v="2019-09-30T00:00:00"/>
    <n v="425"/>
    <n v="0"/>
    <s v="iainturnbull@doctors.org.uk"/>
    <s v="Mr"/>
    <s v="Iain "/>
    <s v="Turnbull"/>
  </r>
  <r>
    <m/>
    <x v="0"/>
    <m/>
    <x v="0"/>
    <x v="0"/>
    <m/>
    <m/>
    <m/>
    <m/>
    <m/>
    <m/>
    <m/>
    <m/>
  </r>
  <r>
    <d v="2020-09-01T00:00:00"/>
    <x v="1"/>
    <s v="Ufton Feields, Harbury"/>
    <x v="1"/>
    <x v="2"/>
    <s v="Direct"/>
    <d v="2019-12-06T00:00:00"/>
    <n v="10"/>
    <n v="0"/>
    <s v="jeremytroth@btinternet.com "/>
    <s v="Mr"/>
    <s v="Jeremy"/>
    <s v="Troth"/>
  </r>
  <r>
    <m/>
    <x v="0"/>
    <m/>
    <x v="0"/>
    <x v="0"/>
    <m/>
    <m/>
    <m/>
    <m/>
    <m/>
    <m/>
    <m/>
    <m/>
  </r>
  <r>
    <d v="2020-10-06T00:00:00"/>
    <x v="1"/>
    <s v="Piles Coppice, Coventry"/>
    <x v="1"/>
    <x v="2"/>
    <s v="Direct"/>
    <d v="2019-12-06T00:00:00"/>
    <n v="10"/>
    <n v="0"/>
    <s v="jeremytroth@btinternet.com "/>
    <s v="Mr"/>
    <s v="Jeremy"/>
    <s v="Troth"/>
  </r>
  <r>
    <m/>
    <x v="0"/>
    <m/>
    <x v="0"/>
    <x v="0"/>
    <m/>
    <m/>
    <m/>
    <m/>
    <m/>
    <m/>
    <m/>
    <m/>
  </r>
  <r>
    <d v="2020-11-03T00:00:00"/>
    <x v="1"/>
    <s v="Crackely Wood, Kenilworth"/>
    <x v="1"/>
    <x v="2"/>
    <s v="Direct"/>
    <d v="2019-12-06T00:00:00"/>
    <n v="10"/>
    <n v="0"/>
    <s v="jeremytroth@btinternet.com "/>
    <s v="Mr"/>
    <s v="Jeremy"/>
    <s v="Troth"/>
  </r>
  <r>
    <m/>
    <x v="0"/>
    <m/>
    <x v="0"/>
    <x v="0"/>
    <m/>
    <m/>
    <m/>
    <m/>
    <m/>
    <m/>
    <m/>
    <m/>
  </r>
  <r>
    <d v="2020-11-06T00:00:00"/>
    <x v="14"/>
    <m/>
    <x v="2"/>
    <x v="1"/>
    <s v="#01541"/>
    <d v="2019-11-30T00:00:00"/>
    <n v="675"/>
    <n v="0"/>
    <s v="humphreys59@hotmail.co.uk"/>
    <s v="Mrs"/>
    <s v="Anne"/>
    <s v="Humphreys"/>
  </r>
  <r>
    <m/>
    <x v="0"/>
    <m/>
    <x v="0"/>
    <x v="0"/>
    <m/>
    <m/>
    <m/>
    <m/>
    <m/>
    <m/>
    <m/>
    <m/>
  </r>
  <r>
    <d v="2020-12-01T00:00:00"/>
    <x v="1"/>
    <s v="Elkin Wood, Coventry"/>
    <x v="1"/>
    <x v="2"/>
    <s v="Direct"/>
    <d v="2019-12-06T00:00:00"/>
    <n v="10"/>
    <n v="0"/>
    <s v="jeremytroth@btinternet.com "/>
    <s v="Mr"/>
    <s v="Jeremy"/>
    <s v="Troth"/>
  </r>
  <r>
    <m/>
    <x v="0"/>
    <m/>
    <x v="0"/>
    <x v="0"/>
    <m/>
    <m/>
    <m/>
    <m/>
    <m/>
    <m/>
    <m/>
    <m/>
  </r>
  <r>
    <m/>
    <x v="0"/>
    <m/>
    <x v="0"/>
    <x v="0"/>
    <m/>
    <m/>
    <m/>
    <m/>
    <m/>
    <m/>
    <m/>
    <m/>
  </r>
  <r>
    <m/>
    <x v="0"/>
    <m/>
    <x v="0"/>
    <x v="0"/>
    <m/>
    <m/>
    <m/>
    <m/>
    <m/>
    <m/>
    <m/>
    <m/>
  </r>
  <r>
    <m/>
    <x v="0"/>
    <m/>
    <x v="0"/>
    <x v="0"/>
    <m/>
    <m/>
    <m/>
    <m/>
    <m/>
    <m/>
    <m/>
    <m/>
  </r>
  <r>
    <m/>
    <x v="0"/>
    <m/>
    <x v="0"/>
    <x v="0"/>
    <m/>
    <m/>
    <m/>
    <m/>
    <m/>
    <m/>
    <m/>
    <m/>
  </r>
  <r>
    <m/>
    <x v="0"/>
    <m/>
    <x v="0"/>
    <x v="0"/>
    <m/>
    <m/>
    <m/>
    <m/>
    <m/>
    <m/>
    <m/>
    <m/>
  </r>
  <r>
    <m/>
    <x v="0"/>
    <m/>
    <x v="0"/>
    <x v="0"/>
    <m/>
    <m/>
    <m/>
    <m/>
    <m/>
    <m/>
    <m/>
    <m/>
  </r>
  <r>
    <m/>
    <x v="0"/>
    <m/>
    <x v="0"/>
    <x v="0"/>
    <m/>
    <m/>
    <m/>
    <m/>
    <m/>
    <m/>
    <m/>
    <m/>
  </r>
  <r>
    <m/>
    <x v="0"/>
    <m/>
    <x v="0"/>
    <x v="0"/>
    <m/>
    <m/>
    <m/>
    <m/>
    <m/>
    <m/>
    <m/>
    <m/>
  </r>
  <r>
    <m/>
    <x v="0"/>
    <m/>
    <x v="0"/>
    <x v="0"/>
    <m/>
    <m/>
    <m/>
    <m/>
    <m/>
    <m/>
    <m/>
    <m/>
  </r>
  <r>
    <m/>
    <x v="0"/>
    <m/>
    <x v="0"/>
    <x v="0"/>
    <m/>
    <m/>
    <m/>
    <m/>
    <m/>
    <m/>
    <m/>
    <m/>
  </r>
  <r>
    <m/>
    <x v="0"/>
    <m/>
    <x v="0"/>
    <x v="0"/>
    <m/>
    <m/>
    <m/>
    <m/>
    <m/>
    <m/>
    <m/>
    <m/>
  </r>
  <r>
    <m/>
    <x v="0"/>
    <m/>
    <x v="0"/>
    <x v="0"/>
    <m/>
    <m/>
    <m/>
    <m/>
    <m/>
    <m/>
    <m/>
    <m/>
  </r>
  <r>
    <m/>
    <x v="0"/>
    <m/>
    <x v="0"/>
    <x v="0"/>
    <m/>
    <m/>
    <m/>
    <m/>
    <m/>
    <m/>
    <m/>
    <m/>
  </r>
  <r>
    <m/>
    <x v="0"/>
    <m/>
    <x v="0"/>
    <x v="0"/>
    <m/>
    <m/>
    <m/>
    <m/>
    <m/>
    <m/>
    <m/>
    <m/>
  </r>
  <r>
    <m/>
    <x v="0"/>
    <m/>
    <x v="0"/>
    <x v="0"/>
    <m/>
    <m/>
    <m/>
    <m/>
    <m/>
    <m/>
    <m/>
    <m/>
  </r>
  <r>
    <m/>
    <x v="0"/>
    <m/>
    <x v="0"/>
    <x v="0"/>
    <m/>
    <m/>
    <m/>
    <m/>
    <m/>
    <m/>
    <m/>
    <m/>
  </r>
  <r>
    <m/>
    <x v="0"/>
    <m/>
    <x v="0"/>
    <x v="0"/>
    <m/>
    <m/>
    <m/>
    <m/>
    <m/>
    <m/>
    <m/>
    <m/>
  </r>
  <r>
    <m/>
    <x v="0"/>
    <m/>
    <x v="0"/>
    <x v="0"/>
    <m/>
    <m/>
    <m/>
    <m/>
    <m/>
    <m/>
    <m/>
    <m/>
  </r>
  <r>
    <m/>
    <x v="0"/>
    <m/>
    <x v="0"/>
    <x v="0"/>
    <m/>
    <m/>
    <m/>
    <m/>
    <m/>
    <m/>
    <m/>
    <m/>
  </r>
  <r>
    <m/>
    <x v="0"/>
    <m/>
    <x v="0"/>
    <x v="0"/>
    <m/>
    <m/>
    <m/>
    <m/>
    <m/>
    <m/>
    <m/>
    <m/>
  </r>
  <r>
    <m/>
    <x v="0"/>
    <m/>
    <x v="0"/>
    <x v="0"/>
    <m/>
    <m/>
    <m/>
    <m/>
    <m/>
    <m/>
    <m/>
    <m/>
  </r>
  <r>
    <m/>
    <x v="0"/>
    <m/>
    <x v="0"/>
    <x v="0"/>
    <m/>
    <m/>
    <m/>
    <m/>
    <m/>
    <m/>
    <m/>
    <m/>
  </r>
  <r>
    <m/>
    <x v="0"/>
    <m/>
    <x v="0"/>
    <x v="0"/>
    <m/>
    <m/>
    <m/>
    <m/>
    <m/>
    <m/>
    <m/>
    <m/>
  </r>
  <r>
    <m/>
    <x v="0"/>
    <m/>
    <x v="0"/>
    <x v="0"/>
    <m/>
    <m/>
    <m/>
    <m/>
    <m/>
    <m/>
    <m/>
    <m/>
  </r>
  <r>
    <m/>
    <x v="0"/>
    <m/>
    <x v="0"/>
    <x v="0"/>
    <m/>
    <m/>
    <m/>
    <m/>
    <m/>
    <m/>
    <m/>
    <m/>
  </r>
  <r>
    <m/>
    <x v="0"/>
    <m/>
    <x v="0"/>
    <x v="0"/>
    <m/>
    <m/>
    <m/>
    <m/>
    <m/>
    <m/>
    <m/>
    <m/>
  </r>
  <r>
    <m/>
    <x v="0"/>
    <m/>
    <x v="0"/>
    <x v="0"/>
    <m/>
    <m/>
    <m/>
    <m/>
    <m/>
    <m/>
    <m/>
    <m/>
  </r>
  <r>
    <m/>
    <x v="0"/>
    <m/>
    <x v="0"/>
    <x v="0"/>
    <m/>
    <m/>
    <m/>
    <m/>
    <m/>
    <m/>
    <m/>
    <m/>
  </r>
</pivotCacheRecords>
</file>

<file path=xl/pivotCache/pivotCacheRecords5.xml><?xml version="1.0" encoding="utf-8"?>
<pivotCacheRecords xmlns="http://schemas.openxmlformats.org/spreadsheetml/2006/main" count="64">
  <r>
    <m/>
    <m/>
    <m/>
    <x v="0"/>
    <x v="0"/>
    <x v="0"/>
    <m/>
    <m/>
    <x v="0"/>
  </r>
  <r>
    <m/>
    <m/>
    <m/>
    <x v="0"/>
    <x v="0"/>
    <x v="0"/>
    <m/>
    <m/>
    <x v="0"/>
  </r>
  <r>
    <m/>
    <m/>
    <m/>
    <x v="0"/>
    <x v="0"/>
    <x v="0"/>
    <m/>
    <m/>
    <x v="0"/>
  </r>
  <r>
    <m/>
    <m/>
    <m/>
    <x v="0"/>
    <x v="0"/>
    <x v="0"/>
    <m/>
    <m/>
    <x v="0"/>
  </r>
  <r>
    <m/>
    <m/>
    <m/>
    <x v="0"/>
    <x v="0"/>
    <x v="0"/>
    <m/>
    <m/>
    <x v="0"/>
  </r>
  <r>
    <d v="2020-01-08T00:00:00"/>
    <d v="2021-01-07T00:00:00"/>
    <m/>
    <x v="1"/>
    <x v="1"/>
    <x v="1"/>
    <n v="395"/>
    <n v="0"/>
    <x v="1"/>
  </r>
  <r>
    <d v="2020-01-08T00:00:00"/>
    <d v="2021-01-07T00:00:00"/>
    <m/>
    <x v="1"/>
    <x v="1"/>
    <x v="1"/>
    <n v="395"/>
    <n v="0"/>
    <x v="1"/>
  </r>
  <r>
    <d v="2020-01-08T00:00:00"/>
    <d v="2021-01-07T00:00:00"/>
    <m/>
    <x v="1"/>
    <x v="1"/>
    <x v="1"/>
    <n v="395"/>
    <n v="0"/>
    <x v="1"/>
  </r>
  <r>
    <d v="2020-01-10T00:00:00"/>
    <d v="2021-01-09T00:00:00"/>
    <m/>
    <x v="1"/>
    <x v="1"/>
    <x v="1"/>
    <n v="395"/>
    <n v="0"/>
    <x v="1"/>
  </r>
  <r>
    <m/>
    <m/>
    <m/>
    <x v="0"/>
    <x v="0"/>
    <x v="0"/>
    <m/>
    <m/>
    <x v="0"/>
  </r>
  <r>
    <m/>
    <m/>
    <d v="2018-01-27T00:00:00"/>
    <x v="2"/>
    <x v="1"/>
    <x v="2"/>
    <n v="45"/>
    <m/>
    <x v="2"/>
  </r>
  <r>
    <m/>
    <m/>
    <m/>
    <x v="0"/>
    <x v="0"/>
    <x v="0"/>
    <m/>
    <m/>
    <x v="0"/>
  </r>
  <r>
    <m/>
    <m/>
    <d v="2018-01-27T00:00:00"/>
    <x v="3"/>
    <x v="1"/>
    <x v="2"/>
    <n v="45"/>
    <m/>
    <x v="2"/>
  </r>
  <r>
    <m/>
    <m/>
    <m/>
    <x v="0"/>
    <x v="0"/>
    <x v="0"/>
    <m/>
    <m/>
    <x v="0"/>
  </r>
  <r>
    <m/>
    <m/>
    <m/>
    <x v="0"/>
    <x v="0"/>
    <x v="0"/>
    <m/>
    <m/>
    <x v="0"/>
  </r>
  <r>
    <d v="2019-09-05T00:00:00"/>
    <d v="2019-10-03T00:00:00"/>
    <d v="2019-04-17T00:00:00"/>
    <x v="4"/>
    <x v="2"/>
    <x v="3"/>
    <n v="250"/>
    <n v="0"/>
    <x v="1"/>
  </r>
  <r>
    <m/>
    <m/>
    <m/>
    <x v="0"/>
    <x v="0"/>
    <x v="0"/>
    <m/>
    <m/>
    <x v="0"/>
  </r>
  <r>
    <m/>
    <m/>
    <m/>
    <x v="0"/>
    <x v="0"/>
    <x v="0"/>
    <m/>
    <m/>
    <x v="0"/>
  </r>
  <r>
    <d v="2019-11-14T00:00:00"/>
    <d v="2019-12-05T00:00:00"/>
    <d v="2019-09-30T00:00:00"/>
    <x v="5"/>
    <x v="2"/>
    <x v="3"/>
    <n v="275"/>
    <n v="0"/>
    <x v="1"/>
  </r>
  <r>
    <m/>
    <m/>
    <m/>
    <x v="0"/>
    <x v="0"/>
    <x v="0"/>
    <m/>
    <m/>
    <x v="0"/>
  </r>
  <r>
    <d v="2020-01-02T00:00:00"/>
    <d v="2020-01-02T00:00:00"/>
    <d v="2019-12-04T00:00:00"/>
    <x v="6"/>
    <x v="1"/>
    <x v="2"/>
    <n v="30"/>
    <n v="0"/>
    <x v="3"/>
  </r>
  <r>
    <d v="2020-01-02T00:00:00"/>
    <d v="2020-01-02T00:00:00"/>
    <d v="2019-12-04T00:00:00"/>
    <x v="6"/>
    <x v="1"/>
    <x v="2"/>
    <n v="30"/>
    <n v="0"/>
    <x v="3"/>
  </r>
  <r>
    <d v="2020-01-02T00:00:00"/>
    <d v="2020-01-02T00:00:00"/>
    <d v="2019-08-26T00:00:00"/>
    <x v="6"/>
    <x v="1"/>
    <x v="2"/>
    <n v="30"/>
    <n v="0"/>
    <x v="3"/>
  </r>
  <r>
    <d v="2020-01-02T00:00:00"/>
    <d v="2020-01-02T00:00:00"/>
    <d v="2019-12-17T00:00:00"/>
    <x v="6"/>
    <x v="1"/>
    <x v="2"/>
    <n v="30"/>
    <n v="0"/>
    <x v="3"/>
  </r>
  <r>
    <d v="2020-01-02T00:00:00"/>
    <d v="2020-01-02T00:00:00"/>
    <d v="2019-12-31T00:00:00"/>
    <x v="6"/>
    <x v="1"/>
    <x v="2"/>
    <n v="30"/>
    <n v="0"/>
    <x v="3"/>
  </r>
  <r>
    <d v="2020-01-02T00:00:00"/>
    <d v="2020-01-02T00:00:00"/>
    <d v="2020-01-01T00:00:00"/>
    <x v="6"/>
    <x v="1"/>
    <x v="2"/>
    <n v="30"/>
    <n v="0"/>
    <x v="3"/>
  </r>
  <r>
    <m/>
    <m/>
    <m/>
    <x v="0"/>
    <x v="0"/>
    <x v="0"/>
    <m/>
    <m/>
    <x v="0"/>
  </r>
  <r>
    <m/>
    <m/>
    <m/>
    <x v="0"/>
    <x v="0"/>
    <x v="0"/>
    <m/>
    <m/>
    <x v="0"/>
  </r>
  <r>
    <m/>
    <m/>
    <m/>
    <x v="0"/>
    <x v="0"/>
    <x v="0"/>
    <m/>
    <m/>
    <x v="0"/>
  </r>
  <r>
    <d v="2020-01-09T00:00:00"/>
    <d v="2020-01-30T00:00:00"/>
    <d v="2019-10-31T00:00:00"/>
    <x v="7"/>
    <x v="1"/>
    <x v="4"/>
    <n v="250"/>
    <n v="0"/>
    <x v="4"/>
  </r>
  <r>
    <d v="2020-01-09T00:00:00"/>
    <d v="2020-01-30T00:00:00"/>
    <d v="2019-09-05T00:00:00"/>
    <x v="7"/>
    <x v="1"/>
    <x v="3"/>
    <n v="220"/>
    <n v="0"/>
    <x v="3"/>
  </r>
  <r>
    <d v="2020-01-09T00:00:00"/>
    <d v="2020-01-30T00:00:00"/>
    <d v="2020-01-01T00:00:00"/>
    <x v="7"/>
    <x v="1"/>
    <x v="3"/>
    <n v="220"/>
    <n v="0"/>
    <x v="3"/>
  </r>
  <r>
    <d v="2020-01-09T00:00:00"/>
    <d v="2020-01-30T00:00:00"/>
    <d v="2020-01-04T00:00:00"/>
    <x v="7"/>
    <x v="1"/>
    <x v="3"/>
    <n v="250"/>
    <n v="0"/>
    <x v="3"/>
  </r>
  <r>
    <m/>
    <m/>
    <m/>
    <x v="0"/>
    <x v="0"/>
    <x v="0"/>
    <m/>
    <m/>
    <x v="0"/>
  </r>
  <r>
    <d v="2020-01-15T00:00:00"/>
    <d v="2020-01-15T00:00:00"/>
    <d v="2020-01-08T00:00:00"/>
    <x v="6"/>
    <x v="1"/>
    <x v="2"/>
    <n v="30"/>
    <n v="0"/>
    <x v="3"/>
  </r>
  <r>
    <d v="2020-01-15T00:00:00"/>
    <d v="2020-01-15T00:00:00"/>
    <d v="2020-01-02T00:00:00"/>
    <x v="6"/>
    <x v="1"/>
    <x v="2"/>
    <n v="30"/>
    <n v="0"/>
    <x v="3"/>
  </r>
  <r>
    <d v="2020-01-15T00:00:00"/>
    <d v="2020-01-15T00:00:00"/>
    <m/>
    <x v="6"/>
    <x v="1"/>
    <x v="2"/>
    <n v="30"/>
    <n v="0"/>
    <x v="3"/>
  </r>
  <r>
    <m/>
    <m/>
    <m/>
    <x v="0"/>
    <x v="0"/>
    <x v="0"/>
    <m/>
    <m/>
    <x v="0"/>
  </r>
  <r>
    <d v="2020-01-19T00:00:00"/>
    <d v="2020-01-19T00:00:00"/>
    <d v="2019-11-14T00:00:00"/>
    <x v="8"/>
    <x v="1"/>
    <x v="5"/>
    <n v="195"/>
    <n v="0"/>
    <x v="1"/>
  </r>
  <r>
    <d v="2020-01-19T00:00:00"/>
    <d v="2020-01-19T00:00:00"/>
    <d v="2019-11-19T00:00:00"/>
    <x v="8"/>
    <x v="1"/>
    <x v="5"/>
    <n v="175.5"/>
    <n v="0"/>
    <x v="1"/>
  </r>
  <r>
    <d v="2020-01-19T00:00:00"/>
    <d v="2020-01-19T00:00:00"/>
    <d v="2020-01-06T00:00:00"/>
    <x v="8"/>
    <x v="1"/>
    <x v="5"/>
    <n v="156"/>
    <n v="0"/>
    <x v="1"/>
  </r>
  <r>
    <d v="2020-01-19T00:00:00"/>
    <d v="2020-01-19T00:00:00"/>
    <d v="2020-01-06T00:00:00"/>
    <x v="8"/>
    <x v="1"/>
    <x v="5"/>
    <n v="195"/>
    <n v="0"/>
    <x v="1"/>
  </r>
  <r>
    <m/>
    <m/>
    <m/>
    <x v="0"/>
    <x v="0"/>
    <x v="0"/>
    <m/>
    <m/>
    <x v="0"/>
  </r>
  <r>
    <m/>
    <m/>
    <m/>
    <x v="0"/>
    <x v="0"/>
    <x v="0"/>
    <m/>
    <m/>
    <x v="0"/>
  </r>
  <r>
    <m/>
    <m/>
    <m/>
    <x v="0"/>
    <x v="0"/>
    <x v="0"/>
    <m/>
    <m/>
    <x v="0"/>
  </r>
  <r>
    <m/>
    <m/>
    <m/>
    <x v="0"/>
    <x v="0"/>
    <x v="0"/>
    <m/>
    <m/>
    <x v="0"/>
  </r>
  <r>
    <m/>
    <m/>
    <m/>
    <x v="0"/>
    <x v="0"/>
    <x v="0"/>
    <m/>
    <m/>
    <x v="0"/>
  </r>
  <r>
    <m/>
    <m/>
    <m/>
    <x v="0"/>
    <x v="0"/>
    <x v="0"/>
    <m/>
    <m/>
    <x v="0"/>
  </r>
  <r>
    <m/>
    <m/>
    <m/>
    <x v="0"/>
    <x v="0"/>
    <x v="0"/>
    <m/>
    <m/>
    <x v="0"/>
  </r>
  <r>
    <d v="2020-02-11T00:00:00"/>
    <d v="2020-03-03T00:00:00"/>
    <d v="2019-11-27T00:00:00"/>
    <x v="9"/>
    <x v="3"/>
    <x v="3"/>
    <n v="225"/>
    <n v="0"/>
    <x v="1"/>
  </r>
  <r>
    <m/>
    <m/>
    <m/>
    <x v="0"/>
    <x v="0"/>
    <x v="0"/>
    <m/>
    <m/>
    <x v="0"/>
  </r>
  <r>
    <m/>
    <m/>
    <m/>
    <x v="0"/>
    <x v="0"/>
    <x v="0"/>
    <m/>
    <m/>
    <x v="0"/>
  </r>
  <r>
    <d v="2020-03-09T00:00:00"/>
    <d v="2020-04-06T00:00:00"/>
    <d v="2019-12-21T00:00:00"/>
    <x v="7"/>
    <x v="1"/>
    <x v="4"/>
    <n v="250"/>
    <n v="0"/>
    <x v="3"/>
  </r>
  <r>
    <m/>
    <m/>
    <m/>
    <x v="0"/>
    <x v="0"/>
    <x v="0"/>
    <m/>
    <m/>
    <x v="0"/>
  </r>
  <r>
    <m/>
    <m/>
    <m/>
    <x v="0"/>
    <x v="0"/>
    <x v="0"/>
    <m/>
    <m/>
    <x v="0"/>
  </r>
  <r>
    <m/>
    <m/>
    <m/>
    <x v="0"/>
    <x v="0"/>
    <x v="0"/>
    <m/>
    <m/>
    <x v="0"/>
  </r>
  <r>
    <d v="2020-03-19T00:00:00"/>
    <d v="2020-04-09T00:00:00"/>
    <d v="2019-11-26T00:00:00"/>
    <x v="9"/>
    <x v="2"/>
    <x v="3"/>
    <n v="225"/>
    <n v="0"/>
    <x v="1"/>
  </r>
  <r>
    <d v="2020-03-19T00:00:00"/>
    <d v="2020-04-09T00:00:00"/>
    <d v="2019-11-26T00:00:00"/>
    <x v="9"/>
    <x v="2"/>
    <x v="3"/>
    <n v="250"/>
    <n v="0"/>
    <x v="1"/>
  </r>
  <r>
    <m/>
    <m/>
    <m/>
    <x v="0"/>
    <x v="0"/>
    <x v="0"/>
    <m/>
    <m/>
    <x v="0"/>
  </r>
  <r>
    <m/>
    <m/>
    <m/>
    <x v="0"/>
    <x v="0"/>
    <x v="0"/>
    <m/>
    <m/>
    <x v="0"/>
  </r>
  <r>
    <m/>
    <m/>
    <m/>
    <x v="0"/>
    <x v="0"/>
    <x v="0"/>
    <m/>
    <m/>
    <x v="0"/>
  </r>
  <r>
    <m/>
    <m/>
    <m/>
    <x v="0"/>
    <x v="0"/>
    <x v="0"/>
    <m/>
    <m/>
    <x v="0"/>
  </r>
  <r>
    <m/>
    <m/>
    <m/>
    <x v="0"/>
    <x v="0"/>
    <x v="0"/>
    <m/>
    <m/>
    <x v="0"/>
  </r>
  <r>
    <m/>
    <m/>
    <m/>
    <x v="0"/>
    <x v="0"/>
    <x v="0"/>
    <m/>
    <m/>
    <x v="0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4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5.xml.rels><Relationships xmlns="http://schemas.openxmlformats.org/package/2006/relationships"><Relationship Type="http://schemas.openxmlformats.org/officeDocument/2006/relationships/pivotCacheDefinition" Target="/xl/pivotCache/pivotCacheDefinition2.xml" Id="rId1"/></Relationships>
</file>

<file path=xl/pivotTables/_rels/pivotTable6.xml.rels><Relationships xmlns="http://schemas.openxmlformats.org/package/2006/relationships"><Relationship Type="http://schemas.openxmlformats.org/officeDocument/2006/relationships/pivotCacheDefinition" Target="/xl/pivotCache/pivotCacheDefinition3.xml" Id="rId1"/></Relationships>
</file>

<file path=xl/pivotTables/_rels/pivotTable7.xml.rels><Relationships xmlns="http://schemas.openxmlformats.org/package/2006/relationships"><Relationship Type="http://schemas.openxmlformats.org/officeDocument/2006/relationships/pivotCacheDefinition" Target="/xl/pivotCache/pivotCacheDefinition3.xml" Id="rId1"/></Relationships>
</file>

<file path=xl/pivotTables/_rels/pivotTable8.xml.rels><Relationships xmlns="http://schemas.openxmlformats.org/package/2006/relationships"><Relationship Type="http://schemas.openxmlformats.org/officeDocument/2006/relationships/pivotCacheDefinition" Target="/xl/pivotCache/pivotCacheDefinition2.xml" Id="rId1"/></Relationships>
</file>

<file path=xl/pivotTables/_rels/pivotTable9.xml.rels><Relationships xmlns="http://schemas.openxmlformats.org/package/2006/relationships"><Relationship Type="http://schemas.openxmlformats.org/officeDocument/2006/relationships/pivotCacheDefinition" Target="/xl/pivotCache/pivotCacheDefinition4.xml" Id="rId1"/></Relationships>
</file>

<file path=xl/pivotTables/_rels/pivotTable10.xml.rels><Relationships xmlns="http://schemas.openxmlformats.org/package/2006/relationships"><Relationship Type="http://schemas.openxmlformats.org/officeDocument/2006/relationships/pivotCacheDefinition" Target="/xl/pivotCache/pivotCacheDefinition4.xml" Id="rId1"/></Relationships>
</file>

<file path=xl/pivotTables/_rels/pivotTable11.xml.rels><Relationships xmlns="http://schemas.openxmlformats.org/package/2006/relationships"><Relationship Type="http://schemas.openxmlformats.org/officeDocument/2006/relationships/pivotCacheDefinition" Target="/xl/pivotCache/pivotCacheDefinition5.xml" Id="rId1"/></Relationships>
</file>

<file path=xl/pivotTables/_rels/pivotTable12.xml.rels><Relationships xmlns="http://schemas.openxmlformats.org/package/2006/relationships"><Relationship Type="http://schemas.openxmlformats.org/officeDocument/2006/relationships/pivotCacheDefinition" Target="/xl/pivotCache/pivotCacheDefinition5.xml" Id="rId1"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PivotTable1" cacheId="2" dataOnRows="0" dataCaption="Valu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0" fieldListSortAscending="0" mdxSubqueries="0" applyNumberFormats="0" applyBorderFormats="0" applyFontFormats="0" applyPatternFormats="0" applyAlignmentFormats="0" applyWidthHeightFormats="1" r:id="rId1">
  <location ref="A3:O13" firstHeaderRow="1" firstDataRow="2" firstDataCol="1"/>
  <pivotFields count="8">
    <pivotField showDropDowns="1" compact="1" outline="1" subtotalTop="1" dragToRow="1" dragToCol="1" dragToPage="1" dragToData="1" dragOff="1" showAll="0" topAutoShow="1" itemPageCount="10" sortType="manual" defaultSubtotal="1">
      <items count="369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  <item t="data" sd="1" x="49"/>
        <item t="data" sd="1" x="50"/>
        <item t="data" sd="1" x="51"/>
        <item t="data" sd="1" x="52"/>
        <item t="data" sd="1" x="53"/>
        <item t="data" sd="1" x="54"/>
        <item t="data" sd="1" x="55"/>
        <item t="data" sd="1" x="56"/>
        <item t="data" sd="1" x="57"/>
        <item t="data" sd="1" x="58"/>
        <item t="data" sd="1" x="59"/>
        <item t="data" sd="1" x="60"/>
        <item t="data" sd="1" x="61"/>
        <item t="data" sd="1" x="62"/>
        <item t="data" sd="1" x="63"/>
        <item t="data" sd="1" x="64"/>
        <item t="data" sd="1" x="65"/>
        <item t="data" sd="1" x="66"/>
        <item t="data" sd="1" x="67"/>
        <item t="data" sd="1" x="68"/>
        <item t="data" sd="1" x="69"/>
        <item t="data" sd="1" x="70"/>
        <item t="data" sd="1" x="71"/>
        <item t="data" sd="1" x="72"/>
        <item t="data" sd="1" x="73"/>
        <item t="data" sd="1" x="74"/>
        <item t="data" sd="1" x="75"/>
        <item t="data" sd="1" x="76"/>
        <item t="data" sd="1" x="77"/>
        <item t="data" sd="1" x="78"/>
        <item t="data" sd="1" x="79"/>
        <item t="data" sd="1" x="80"/>
        <item t="data" sd="1" x="81"/>
        <item t="data" sd="1" x="82"/>
        <item t="data" sd="1" x="83"/>
        <item t="data" sd="1" x="84"/>
        <item t="data" sd="1" x="85"/>
        <item t="data" sd="1" x="86"/>
        <item t="data" sd="1" x="87"/>
        <item t="data" sd="1" x="88"/>
        <item t="data" sd="1" x="89"/>
        <item t="data" sd="1" x="90"/>
        <item t="data" sd="1" x="91"/>
        <item t="data" sd="1" x="92"/>
        <item t="data" sd="1" x="93"/>
        <item t="data" sd="1" x="94"/>
        <item t="data" sd="1" x="95"/>
        <item t="data" sd="1" x="96"/>
        <item t="data" sd="1" x="97"/>
        <item t="data" sd="1" x="98"/>
        <item t="data" sd="1" x="99"/>
        <item t="data" sd="1" x="100"/>
        <item t="data" sd="1" x="101"/>
        <item t="data" sd="1" x="102"/>
        <item t="data" sd="1" x="103"/>
        <item t="data" sd="1" x="104"/>
        <item t="data" sd="1" x="105"/>
        <item t="data" sd="1" x="106"/>
        <item t="data" sd="1" x="107"/>
        <item t="data" sd="1" x="108"/>
        <item t="data" sd="1" x="109"/>
        <item t="data" sd="1" x="110"/>
        <item t="data" sd="1" x="111"/>
        <item t="data" sd="1" x="112"/>
        <item t="data" sd="1" x="113"/>
        <item t="data" sd="1" x="114"/>
        <item t="data" sd="1" x="115"/>
        <item t="data" sd="1" x="116"/>
        <item t="data" sd="1" x="117"/>
        <item t="data" sd="1" x="118"/>
        <item t="data" sd="1" x="119"/>
        <item t="data" sd="1" x="120"/>
        <item t="data" sd="1" x="121"/>
        <item t="data" sd="1" x="122"/>
        <item t="data" sd="1" x="123"/>
        <item t="data" sd="1" x="124"/>
        <item t="data" sd="1" x="125"/>
        <item t="data" sd="1" x="126"/>
        <item t="data" sd="1" x="127"/>
        <item t="data" sd="1" x="128"/>
        <item t="data" sd="1" x="129"/>
        <item t="data" sd="1" x="130"/>
        <item t="data" sd="1" x="131"/>
        <item t="data" sd="1" x="132"/>
        <item t="data" sd="1" x="133"/>
        <item t="data" sd="1" x="134"/>
        <item t="data" sd="1" x="135"/>
        <item t="data" sd="1" x="136"/>
        <item t="data" sd="1" x="137"/>
        <item t="data" sd="1" x="138"/>
        <item t="data" sd="1" x="139"/>
        <item t="data" sd="1" x="140"/>
        <item t="data" sd="1" x="141"/>
        <item t="data" sd="1" x="142"/>
        <item t="data" sd="1" x="143"/>
        <item t="data" sd="1" x="144"/>
        <item t="data" sd="1" x="145"/>
        <item t="data" sd="1" x="146"/>
        <item t="data" sd="1" x="147"/>
        <item t="data" sd="1" x="148"/>
        <item t="data" sd="1" x="149"/>
        <item t="data" sd="1" x="150"/>
        <item t="data" sd="1" x="151"/>
        <item t="data" sd="1" x="152"/>
        <item t="data" sd="1" x="153"/>
        <item t="data" sd="1" x="154"/>
        <item t="data" sd="1" x="155"/>
        <item t="data" sd="1" x="156"/>
        <item t="data" sd="1" x="157"/>
        <item t="data" sd="1" x="158"/>
        <item t="data" sd="1" x="159"/>
        <item t="data" sd="1" x="160"/>
        <item t="data" sd="1" x="161"/>
        <item t="data" sd="1" x="162"/>
        <item t="data" sd="1" x="163"/>
        <item t="data" sd="1" x="164"/>
        <item t="data" sd="1" x="165"/>
        <item t="data" sd="1" x="166"/>
        <item t="data" sd="1" x="167"/>
        <item t="data" sd="1" x="168"/>
        <item t="data" sd="1" x="169"/>
        <item t="data" sd="1" x="170"/>
        <item t="data" sd="1" x="171"/>
        <item t="data" sd="1" x="172"/>
        <item t="data" sd="1" x="173"/>
        <item t="data" sd="1" x="174"/>
        <item t="data" sd="1" x="175"/>
        <item t="data" sd="1" x="176"/>
        <item t="data" sd="1" x="177"/>
        <item t="data" sd="1" x="178"/>
        <item t="data" sd="1" x="179"/>
        <item t="data" sd="1" x="180"/>
        <item t="data" sd="1" x="181"/>
        <item t="data" sd="1" x="182"/>
        <item t="data" sd="1" x="183"/>
        <item t="data" sd="1" x="184"/>
        <item t="data" sd="1" x="185"/>
        <item t="data" sd="1" x="186"/>
        <item t="data" sd="1" x="187"/>
        <item t="data" sd="1" x="188"/>
        <item t="data" sd="1" x="189"/>
        <item t="data" sd="1" x="190"/>
        <item t="data" sd="1" x="191"/>
        <item t="data" sd="1" x="192"/>
        <item t="data" sd="1" x="193"/>
        <item t="data" sd="1" x="194"/>
        <item t="data" sd="1" x="195"/>
        <item t="data" sd="1" x="196"/>
        <item t="data" sd="1" x="197"/>
        <item t="data" sd="1" x="198"/>
        <item t="data" sd="1" x="199"/>
        <item t="data" sd="1" x="200"/>
        <item t="data" sd="1" x="201"/>
        <item t="data" sd="1" x="202"/>
        <item t="data" sd="1" x="203"/>
        <item t="data" sd="1" x="204"/>
        <item t="data" sd="1" x="205"/>
        <item t="data" sd="1" x="206"/>
        <item t="data" sd="1" x="207"/>
        <item t="data" sd="1" x="208"/>
        <item t="data" sd="1" x="209"/>
        <item t="data" sd="1" x="210"/>
        <item t="data" sd="1" x="211"/>
        <item t="data" sd="1" x="212"/>
        <item t="data" sd="1" x="213"/>
        <item t="data" sd="1" x="214"/>
        <item t="data" sd="1" x="215"/>
        <item t="data" sd="1" x="216"/>
        <item t="data" sd="1" x="217"/>
        <item t="data" sd="1" x="218"/>
        <item t="data" sd="1" x="219"/>
        <item t="data" sd="1" x="220"/>
        <item t="data" sd="1" x="221"/>
        <item t="data" sd="1" x="222"/>
        <item t="data" sd="1" x="223"/>
        <item t="data" sd="1" x="224"/>
        <item t="data" sd="1" x="225"/>
        <item t="data" sd="1" x="226"/>
        <item t="data" sd="1" x="227"/>
        <item t="data" sd="1" x="228"/>
        <item t="data" sd="1" x="229"/>
        <item t="data" sd="1" x="230"/>
        <item t="data" sd="1" x="231"/>
        <item t="data" sd="1" x="232"/>
        <item t="data" sd="1" x="233"/>
        <item t="data" sd="1" x="234"/>
        <item t="data" sd="1" x="235"/>
        <item t="data" sd="1" x="236"/>
        <item t="data" sd="1" x="237"/>
        <item t="data" sd="1" x="238"/>
        <item t="data" sd="1" x="239"/>
        <item t="data" sd="1" x="240"/>
        <item t="data" sd="1" x="241"/>
        <item t="data" sd="1" x="242"/>
        <item t="data" sd="1" x="243"/>
        <item t="data" sd="1" x="244"/>
        <item t="data" sd="1" x="245"/>
        <item t="data" sd="1" x="246"/>
        <item t="data" sd="1" x="247"/>
        <item t="data" sd="1" x="248"/>
        <item t="data" sd="1" x="249"/>
        <item t="data" sd="1" x="250"/>
        <item t="data" sd="1" x="251"/>
        <item t="data" sd="1" x="252"/>
        <item t="data" sd="1" x="253"/>
        <item t="data" sd="1" x="254"/>
        <item t="data" sd="1" x="255"/>
        <item t="data" sd="1" x="256"/>
        <item t="data" sd="1" x="257"/>
        <item t="data" sd="1" x="258"/>
        <item t="data" sd="1" x="259"/>
        <item t="data" sd="1" x="260"/>
        <item t="data" sd="1" x="261"/>
        <item t="data" sd="1" x="262"/>
        <item t="data" sd="1" x="263"/>
        <item t="data" sd="1" x="264"/>
        <item t="data" sd="1" x="265"/>
        <item t="data" sd="1" x="266"/>
        <item t="data" sd="1" x="267"/>
        <item t="data" sd="1" x="268"/>
        <item t="data" sd="1" x="269"/>
        <item t="data" sd="1" x="270"/>
        <item t="data" sd="1" x="271"/>
        <item t="data" sd="1" x="272"/>
        <item t="data" sd="1" x="273"/>
        <item t="data" sd="1" x="274"/>
        <item t="data" sd="1" x="275"/>
        <item t="data" sd="1" x="276"/>
        <item t="data" sd="1" x="277"/>
        <item t="data" sd="1" x="278"/>
        <item t="data" sd="1" x="279"/>
        <item t="data" sd="1" x="280"/>
        <item t="data" sd="1" x="281"/>
        <item t="data" sd="1" x="282"/>
        <item t="data" sd="1" x="283"/>
        <item t="data" sd="1" x="284"/>
        <item t="data" sd="1" x="285"/>
        <item t="data" sd="1" x="286"/>
        <item t="data" sd="1" x="287"/>
        <item t="data" sd="1" x="288"/>
        <item t="data" sd="1" x="289"/>
        <item t="data" sd="1" x="290"/>
        <item t="data" sd="1" x="291"/>
        <item t="data" sd="1" x="292"/>
        <item t="data" sd="1" x="293"/>
        <item t="data" sd="1" x="294"/>
        <item t="data" sd="1" x="295"/>
        <item t="data" sd="1" x="296"/>
        <item t="data" sd="1" x="297"/>
        <item t="data" sd="1" x="298"/>
        <item t="data" sd="1" x="299"/>
        <item t="data" sd="1" x="300"/>
        <item t="data" sd="1" x="301"/>
        <item t="data" sd="1" x="302"/>
        <item t="data" sd="1" x="303"/>
        <item t="data" sd="1" x="304"/>
        <item t="data" sd="1" x="305"/>
        <item t="data" sd="1" x="306"/>
        <item t="data" sd="1" x="307"/>
        <item t="data" sd="1" x="308"/>
        <item t="data" sd="1" x="309"/>
        <item t="data" sd="1" x="310"/>
        <item t="data" sd="1" x="311"/>
        <item t="data" sd="1" x="312"/>
        <item t="data" sd="1" x="313"/>
        <item t="data" sd="1" x="314"/>
        <item t="data" sd="1" x="315"/>
        <item t="data" sd="1" x="316"/>
        <item t="data" sd="1" x="317"/>
        <item t="data" sd="1" x="318"/>
        <item t="data" sd="1" x="319"/>
        <item t="data" sd="1" x="320"/>
        <item t="data" sd="1" x="321"/>
        <item t="data" sd="1" x="322"/>
        <item t="data" sd="1" x="323"/>
        <item t="data" sd="1" x="324"/>
        <item t="data" sd="1" x="325"/>
        <item t="data" sd="1" x="326"/>
        <item t="data" sd="1" x="327"/>
        <item t="data" sd="1" x="328"/>
        <item t="data" sd="1" x="329"/>
        <item t="data" sd="1" x="330"/>
        <item t="data" sd="1" x="331"/>
        <item t="data" sd="1" x="332"/>
        <item t="data" sd="1" x="333"/>
        <item t="data" sd="1" x="334"/>
        <item t="data" sd="1" x="335"/>
        <item t="data" sd="1" x="336"/>
        <item t="data" sd="1" x="337"/>
        <item t="data" sd="1" x="338"/>
        <item t="data" sd="1" x="339"/>
        <item t="data" sd="1" x="340"/>
        <item t="data" sd="1" x="341"/>
        <item t="data" sd="1" x="342"/>
        <item t="data" sd="1" x="343"/>
        <item t="data" sd="1" x="344"/>
        <item t="data" sd="1" x="345"/>
        <item t="data" sd="1" x="346"/>
        <item t="data" sd="1" x="347"/>
        <item t="data" sd="1" x="348"/>
        <item t="data" sd="1" x="349"/>
        <item t="data" sd="1" x="350"/>
        <item t="data" sd="1" x="351"/>
        <item t="data" sd="1" x="352"/>
        <item t="data" sd="1" x="353"/>
        <item t="data" sd="1" x="354"/>
        <item t="data" sd="1" x="355"/>
        <item t="data" sd="1" x="356"/>
        <item t="data" sd="1" x="357"/>
        <item t="data" sd="1" x="358"/>
        <item t="data" sd="1" x="359"/>
        <item t="data" sd="1" x="360"/>
        <item t="data" sd="1" x="361"/>
        <item t="data" sd="1" x="362"/>
        <item t="data" sd="1" x="363"/>
        <item t="data" sd="1" x="364"/>
        <item t="data" sd="1" x="365"/>
        <item t="data" sd="1" x="366"/>
        <item t="data" sd="1" x="367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Row" showDropDowns="1" compact="1" outline="1" subtotalTop="1" dragToRow="1" dragToCol="1" dragToPage="1" dragToData="1" dragOff="1" showAll="0" topAutoShow="1" itemPageCount="10" sortType="ascending" defaultSubtotal="1">
      <items count="15">
        <item t="data" sd="1" x="4"/>
        <item t="data" sd="1" x="2"/>
        <item t="data" sd="1" m="1" x="8"/>
        <item t="data" sd="1" x="6"/>
        <item t="data" sd="1" m="1" x="11"/>
        <item t="data" sd="1" x="1"/>
        <item t="data" sd="1" x="7"/>
        <item t="data" sd="1" x="5"/>
        <item t="data" sd="1" m="1" x="13"/>
        <item t="data" sd="1" x="3"/>
        <item t="data" sd="1" m="1" x="10"/>
        <item t="data" sd="1" m="1" x="12"/>
        <item t="data" sd="1" m="1" x="9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15">
        <item t="data" sd="0" x="0"/>
        <item t="data" sd="0" x="1"/>
        <item t="data" sd="0" x="2"/>
        <item t="data" sd="0" x="3"/>
        <item t="data" sd="0" x="4"/>
        <item t="data" sd="0" x="5"/>
        <item t="data" sd="0" x="6"/>
        <item t="data" sd="0" x="7"/>
        <item t="data" sd="0" x="8"/>
        <item t="data" sd="0" x="9"/>
        <item t="data" sd="0" x="10"/>
        <item t="data" sd="0" x="11"/>
        <item t="data" sd="0" x="12"/>
        <item t="data" sd="0" x="13"/>
        <item t="default" sd="1"/>
      </items>
    </pivotField>
  </pivotFields>
  <rowFields count="1">
    <field x="2"/>
  </rowFields>
  <rowItems count="9">
    <i t="data" r="0" i="0">
      <x v="0"/>
    </i>
    <i t="data" r="0" i="0">
      <x v="1"/>
    </i>
    <i t="data" r="0" i="0">
      <x v="3"/>
    </i>
    <i t="data" r="0" i="0">
      <x v="5"/>
    </i>
    <i t="data" r="0" i="0">
      <x v="6"/>
    </i>
    <i t="data" r="0" i="0">
      <x v="7"/>
    </i>
    <i t="data" r="0" i="0">
      <x v="9"/>
    </i>
    <i t="data" r="0" i="0">
      <x v="13"/>
    </i>
    <i t="grand" r="0" i="0">
      <x v="0"/>
    </i>
  </rowItems>
  <colFields count="1">
    <field x="7"/>
  </colFields>
  <colItems count="1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grand" r="0" i="0">
      <x v="0"/>
    </i>
  </colItems>
  <dataFields count="1">
    <dataField name="Sum of Categories" fld="4" subtotal="sum" showDataAs="normal" baseField="2" baseItem="0" numFmtId="166"/>
  </dataFields>
  <formats count="80">
    <format action="formatting" dxfId="4282">
      <pivotArea type="all" dataOnly="0" outline="0" fieldPosition="0"/>
    </format>
    <format action="formatting" dxfId="4281">
      <pivotArea type="normal" dataOnly="1" outline="0" collapsedLevelsAreSubtotals="1" fieldPosition="0"/>
    </format>
    <format action="formatting" dxfId="4280">
      <pivotArea type="origin" dataOnly="0" labelOnly="1" outline="0" fieldPosition="0"/>
    </format>
    <format action="formatting" dxfId="4279">
      <pivotArea field="7" type="button" dataOnly="0" labelOnly="1" outline="0" axis="axisCol" fieldPosition="0"/>
    </format>
    <format action="formatting" dxfId="4278">
      <pivotArea type="topRight" dataOnly="0" labelOnly="1" outline="0" fieldPosition="0"/>
    </format>
    <format action="formatting" dxfId="4277">
      <pivotArea field="2" type="button" dataOnly="0" labelOnly="1" outline="0" axis="axisRow" fieldPosition="0"/>
    </format>
    <format action="formatting" dxfId="4276">
      <pivotArea type="normal" dataOnly="0" labelOnly="1" outline="1" fieldPosition="0">
        <references count="1">
          <reference field="2"/>
        </references>
      </pivotArea>
    </format>
    <format action="formatting" dxfId="4275">
      <pivotArea type="normal" dataOnly="0" labelOnly="1" grandRow="1" outline="0" fieldPosition="0"/>
    </format>
    <format action="formatting" dxfId="4274">
      <pivotArea type="normal" dataOnly="0" labelOnly="1" outline="1" fieldPosition="0">
        <references count="1">
          <reference field="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4273">
      <pivotArea type="normal" dataOnly="0" labelOnly="1" grandCol="1" outline="0" fieldPosition="0"/>
    </format>
    <format action="formatting" dxfId="4272">
      <pivotArea type="all" dataOnly="0" outline="0" fieldPosition="0"/>
    </format>
    <format action="formatting" dxfId="4271">
      <pivotArea type="normal" dataOnly="1" outline="0" collapsedLevelsAreSubtotals="1" fieldPosition="0"/>
    </format>
    <format action="formatting" dxfId="4270">
      <pivotArea type="origin" dataOnly="0" labelOnly="1" outline="0" fieldPosition="0"/>
    </format>
    <format action="formatting" dxfId="4269">
      <pivotArea field="7" type="button" dataOnly="0" labelOnly="1" outline="0" axis="axisCol" fieldPosition="0"/>
    </format>
    <format action="formatting" dxfId="4268">
      <pivotArea type="topRight" dataOnly="0" labelOnly="1" outline="0" fieldPosition="0"/>
    </format>
    <format action="formatting" dxfId="4267">
      <pivotArea field="2" type="button" dataOnly="0" labelOnly="1" outline="0" axis="axisRow" fieldPosition="0"/>
    </format>
    <format action="formatting" dxfId="4266">
      <pivotArea type="normal" dataOnly="0" labelOnly="1" outline="1" fieldPosition="0">
        <references count="1">
          <reference field="2"/>
        </references>
      </pivotArea>
    </format>
    <format action="formatting" dxfId="4265">
      <pivotArea type="normal" dataOnly="0" labelOnly="1" grandRow="1" outline="0" fieldPosition="0"/>
    </format>
    <format action="formatting" dxfId="4264">
      <pivotArea type="normal" dataOnly="0" labelOnly="1" outline="1" fieldPosition="0">
        <references count="1">
          <reference field="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4263">
      <pivotArea type="normal" dataOnly="0" labelOnly="1" grandCol="1" outline="0" fieldPosition="0"/>
    </format>
    <format action="formatting" dxfId="4262">
      <pivotArea type="all" dataOnly="0" outline="0" fieldPosition="0"/>
    </format>
    <format action="formatting" dxfId="4261">
      <pivotArea type="normal" dataOnly="1" outline="0" collapsedLevelsAreSubtotals="1" fieldPosition="0"/>
    </format>
    <format action="formatting" dxfId="4260">
      <pivotArea type="origin" dataOnly="0" labelOnly="1" outline="0" fieldPosition="0"/>
    </format>
    <format action="formatting" dxfId="4259">
      <pivotArea field="7" type="button" dataOnly="0" labelOnly="1" outline="0" axis="axisCol" fieldPosition="0"/>
    </format>
    <format action="formatting" dxfId="4258">
      <pivotArea type="topRight" dataOnly="0" labelOnly="1" outline="0" fieldPosition="0"/>
    </format>
    <format action="formatting" dxfId="4257">
      <pivotArea field="2" type="button" dataOnly="0" labelOnly="1" outline="0" axis="axisRow" fieldPosition="0"/>
    </format>
    <format action="formatting" dxfId="4256">
      <pivotArea type="normal" dataOnly="0" labelOnly="1" outline="1" fieldPosition="0">
        <references count="1">
          <reference field="2"/>
        </references>
      </pivotArea>
    </format>
    <format action="formatting" dxfId="4255">
      <pivotArea type="normal" dataOnly="0" labelOnly="1" grandRow="1" outline="0" fieldPosition="0"/>
    </format>
    <format action="formatting" dxfId="4254">
      <pivotArea type="normal" dataOnly="0" labelOnly="1" outline="1" fieldPosition="0">
        <references count="1">
          <reference field="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4253">
      <pivotArea type="normal" dataOnly="0" labelOnly="1" grandCol="1" outline="0" fieldPosition="0"/>
    </format>
    <format action="formatting" dxfId="4252">
      <pivotArea type="all" dataOnly="0" outline="0" fieldPosition="0"/>
    </format>
    <format action="formatting" dxfId="4251">
      <pivotArea type="normal" dataOnly="1" outline="0" collapsedLevelsAreSubtotals="1" fieldPosition="0"/>
    </format>
    <format action="formatting" dxfId="4250">
      <pivotArea type="origin" dataOnly="0" labelOnly="1" outline="0" fieldPosition="0"/>
    </format>
    <format action="formatting" dxfId="4249">
      <pivotArea field="7" type="button" dataOnly="0" labelOnly="1" outline="0" axis="axisCol" fieldPosition="0"/>
    </format>
    <format action="formatting" dxfId="4248">
      <pivotArea type="topRight" dataOnly="0" labelOnly="1" outline="0" fieldPosition="0"/>
    </format>
    <format action="formatting" dxfId="4247">
      <pivotArea field="2" type="button" dataOnly="0" labelOnly="1" outline="0" axis="axisRow" fieldPosition="0"/>
    </format>
    <format action="formatting" dxfId="4246">
      <pivotArea type="normal" dataOnly="0" labelOnly="1" outline="1" fieldPosition="0">
        <references count="1">
          <reference field="2"/>
        </references>
      </pivotArea>
    </format>
    <format action="formatting" dxfId="4245">
      <pivotArea type="normal" dataOnly="0" labelOnly="1" grandRow="1" outline="0" fieldPosition="0"/>
    </format>
    <format action="formatting" dxfId="4244">
      <pivotArea type="normal" dataOnly="0" labelOnly="1" outline="1" fieldPosition="0">
        <references count="1">
          <reference field="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4243">
      <pivotArea type="normal" dataOnly="0" labelOnly="1" grandCol="1" outline="0" fieldPosition="0"/>
    </format>
    <format action="formatting" dxfId="4242">
      <pivotArea type="normal" dataOnly="1" outline="0" collapsedLevelsAreSubtotals="1" fieldPosition="0">
        <references count="1">
          <reference field="7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4241">
      <pivotArea type="normal" dataOnly="1" grandCol="1" outline="0" collapsedLevelsAreSubtotals="1" fieldPosition="0"/>
    </format>
    <format action="formatting" dxfId="4240">
      <pivotArea type="topRight" dataOnly="0" labelOnly="1" outline="0" fieldPosition="0"/>
    </format>
    <format action="formatting" dxfId="4239">
      <pivotArea type="normal" dataOnly="0" labelOnly="1" outline="1" fieldPosition="0">
        <references count="1">
          <reference field="7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4238">
      <pivotArea type="normal" dataOnly="0" labelOnly="1" grandCol="1" outline="0" fieldPosition="0"/>
    </format>
    <format action="formatting" dxfId="4237">
      <pivotArea type="normal" dataOnly="1" outline="0" collapsedLevelsAreSubtotals="1" fieldPosition="0">
        <references count="1">
          <reference field="7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4236">
      <pivotArea type="normal" dataOnly="1" grandCol="1" outline="0" collapsedLevelsAreSubtotals="1" fieldPosition="0"/>
    </format>
    <format action="formatting" dxfId="4235">
      <pivotArea type="topRight" dataOnly="0" labelOnly="1" outline="0" fieldPosition="0"/>
    </format>
    <format action="formatting" dxfId="4234">
      <pivotArea type="normal" dataOnly="0" labelOnly="1" outline="1" fieldPosition="0">
        <references count="1">
          <reference field="7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4233">
      <pivotArea type="normal" dataOnly="0" labelOnly="1" grandCol="1" outline="0" fieldPosition="0"/>
    </format>
    <format action="formatting" dxfId="4232">
      <pivotArea type="all" dataOnly="0" outline="0" fieldPosition="0"/>
    </format>
    <format action="formatting" dxfId="4231">
      <pivotArea type="normal" dataOnly="1" outline="0" collapsedLevelsAreSubtotals="1" fieldPosition="0"/>
    </format>
    <format action="formatting" dxfId="4230">
      <pivotArea type="origin" dataOnly="0" labelOnly="1" outline="0" fieldPosition="0"/>
    </format>
    <format action="formatting" dxfId="4229">
      <pivotArea field="7" type="button" dataOnly="0" labelOnly="1" outline="0" axis="axisCol" fieldPosition="0"/>
    </format>
    <format action="formatting" dxfId="4228">
      <pivotArea type="topRight" dataOnly="0" labelOnly="1" outline="0" fieldPosition="0"/>
    </format>
    <format action="formatting" dxfId="4227">
      <pivotArea field="2" type="button" dataOnly="0" labelOnly="1" outline="0" axis="axisRow" fieldPosition="0"/>
    </format>
    <format action="formatting" dxfId="4226">
      <pivotArea type="normal" dataOnly="0" labelOnly="1" outline="1" fieldPosition="0">
        <references count="1">
          <reference field="2"/>
        </references>
      </pivotArea>
    </format>
    <format action="formatting" dxfId="4225">
      <pivotArea type="normal" dataOnly="0" labelOnly="1" grandRow="1" outline="0" fieldPosition="0"/>
    </format>
    <format action="formatting" dxfId="4224">
      <pivotArea type="normal" dataOnly="0" labelOnly="1" outline="1" fieldPosition="0">
        <references count="1">
          <reference field="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4223">
      <pivotArea type="normal" dataOnly="0" labelOnly="1" grandCol="1" outline="0" fieldPosition="0"/>
    </format>
    <format action="formatting" dxfId="4222">
      <pivotArea type="all" dataOnly="0" outline="0" fieldPosition="0"/>
    </format>
    <format action="formatting" dxfId="4221">
      <pivotArea type="normal" dataOnly="1" outline="0" collapsedLevelsAreSubtotals="1" fieldPosition="0"/>
    </format>
    <format action="formatting" dxfId="4220">
      <pivotArea type="origin" dataOnly="0" labelOnly="1" outline="0" fieldPosition="0"/>
    </format>
    <format action="formatting" dxfId="4219">
      <pivotArea field="7" type="button" dataOnly="0" labelOnly="1" outline="0" axis="axisCol" fieldPosition="0"/>
    </format>
    <format action="formatting" dxfId="4218">
      <pivotArea type="topRight" dataOnly="0" labelOnly="1" outline="0" fieldPosition="0"/>
    </format>
    <format action="formatting" dxfId="4217">
      <pivotArea field="2" type="button" dataOnly="0" labelOnly="1" outline="0" axis="axisRow" fieldPosition="0"/>
    </format>
    <format action="formatting" dxfId="4216">
      <pivotArea type="normal" dataOnly="0" labelOnly="1" outline="1" fieldPosition="0">
        <references count="1">
          <reference field="2"/>
        </references>
      </pivotArea>
    </format>
    <format action="formatting" dxfId="4215">
      <pivotArea type="normal" dataOnly="0" labelOnly="1" grandRow="1" outline="0" fieldPosition="0"/>
    </format>
    <format action="formatting" dxfId="4214">
      <pivotArea type="normal" dataOnly="0" labelOnly="1" outline="1" fieldPosition="0">
        <references count="1">
          <reference field="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4213">
      <pivotArea type="normal" dataOnly="0" labelOnly="1" grandCol="1" outline="0" fieldPosition="0"/>
    </format>
    <format action="formatting" dxfId="4212">
      <pivotArea type="normal" dataOnly="1" outline="0" collapsedLevelsAreSubtotals="1" fieldPosition="0">
        <references count="1">
          <reference field="7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4211">
      <pivotArea type="normal" dataOnly="1" grandCol="1" outline="0" collapsedLevelsAreSubtotals="1" fieldPosition="0"/>
    </format>
    <format action="formatting" dxfId="4210">
      <pivotArea type="topRight" dataOnly="0" labelOnly="1" outline="0" fieldPosition="0"/>
    </format>
    <format action="formatting" dxfId="4209">
      <pivotArea type="normal" dataOnly="0" labelOnly="1" outline="1" fieldPosition="0">
        <references count="1">
          <reference field="7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4208">
      <pivotArea type="normal" dataOnly="0" labelOnly="1" grandCol="1" outline="0" fieldPosition="0"/>
    </format>
    <format action="formatting" dxfId="4207">
      <pivotArea type="normal" dataOnly="1" outline="0" collapsedLevelsAreSubtotals="1" fieldPosition="0">
        <references count="1">
          <reference field="7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4206">
      <pivotArea type="normal" dataOnly="1" grandCol="1" outline="0" collapsedLevelsAreSubtotals="1" fieldPosition="0"/>
    </format>
    <format action="formatting" dxfId="4205">
      <pivotArea type="topRight" dataOnly="0" labelOnly="1" outline="0" fieldPosition="0"/>
    </format>
    <format action="formatting" dxfId="4204">
      <pivotArea type="normal" dataOnly="0" labelOnly="1" outline="1" fieldPosition="0">
        <references count="1">
          <reference field="7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4203">
      <pivotArea type="normal" dataOnly="0" labelOnly="1" grandCol="1" outline="0" fieldPosition="0"/>
    </format>
  </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PivotTable4" cacheId="2" dataOnRows="0" dataCaption="Valu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0" fieldListSortAscending="0" mdxSubqueries="0" applyNumberFormats="0" applyBorderFormats="0" applyFontFormats="0" applyPatternFormats="0" applyAlignmentFormats="0" applyWidthHeightFormats="1" r:id="rId1">
  <location ref="A44:O54" firstHeaderRow="1" firstDataRow="2" firstDataCol="1"/>
  <pivotFields count="8"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Row" showDropDowns="1" compact="1" outline="1" subtotalTop="1" dragToRow="1" dragToCol="1" dragToPage="1" dragToData="1" dragOff="1" showAll="0" topAutoShow="1" itemPageCount="10" sortType="ascending" defaultSubtotal="1">
      <items count="15">
        <item t="data" sd="1" x="4"/>
        <item t="data" sd="1" x="2"/>
        <item t="data" sd="1" m="1" x="8"/>
        <item t="data" sd="1" x="6"/>
        <item t="data" sd="1" m="1" x="11"/>
        <item t="data" sd="1" x="1"/>
        <item t="data" sd="1" x="7"/>
        <item t="data" sd="1" x="5"/>
        <item t="data" sd="1" m="1" x="13"/>
        <item t="data" sd="1" x="3"/>
        <item t="data" sd="1" m="1" x="10"/>
        <item t="data" sd="1" m="1" x="12"/>
        <item t="data" sd="1" m="1" x="9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0">
      <items count="14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</items>
    </pivotField>
  </pivotFields>
  <rowFields count="1">
    <field x="2"/>
  </rowFields>
  <rowItems count="9">
    <i t="data" r="0" i="0">
      <x v="0"/>
    </i>
    <i t="data" r="0" i="0">
      <x v="1"/>
    </i>
    <i t="data" r="0" i="0">
      <x v="3"/>
    </i>
    <i t="data" r="0" i="0">
      <x v="5"/>
    </i>
    <i t="data" r="0" i="0">
      <x v="6"/>
    </i>
    <i t="data" r="0" i="0">
      <x v="7"/>
    </i>
    <i t="data" r="0" i="0">
      <x v="9"/>
    </i>
    <i t="data" r="0" i="0">
      <x v="13"/>
    </i>
    <i t="grand" r="0" i="0">
      <x v="0"/>
    </i>
  </rowItems>
  <colFields count="1">
    <field x="7"/>
  </colFields>
  <colItems count="1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grand" r="0" i="0">
      <x v="0"/>
    </i>
  </colItems>
  <dataFields count="1">
    <dataField name="Count of Amount" fld="4" subtotal="count" showDataAs="normal" baseField="2" baseItem="0" numFmtId="166"/>
  </dataFields>
  <formats count="30">
    <format action="formatting" dxfId="4202">
      <pivotArea type="all" dataOnly="0" outline="0" fieldPosition="0"/>
    </format>
    <format action="formatting" dxfId="4201">
      <pivotArea type="normal" dataOnly="1" outline="0" collapsedLevelsAreSubtotals="1" fieldPosition="0"/>
    </format>
    <format action="formatting" dxfId="4200">
      <pivotArea type="origin" dataOnly="0" labelOnly="1" outline="0" fieldPosition="0"/>
    </format>
    <format action="formatting" dxfId="4199">
      <pivotArea field="7" type="button" dataOnly="0" labelOnly="1" outline="0" axis="axisCol" fieldPosition="0"/>
    </format>
    <format action="formatting" dxfId="4198">
      <pivotArea type="topRight" dataOnly="0" labelOnly="1" outline="0" fieldPosition="0"/>
    </format>
    <format action="formatting" dxfId="4197">
      <pivotArea field="2" type="button" dataOnly="0" labelOnly="1" outline="0" axis="axisRow" fieldPosition="0"/>
    </format>
    <format action="formatting" dxfId="4196">
      <pivotArea type="normal" dataOnly="0" labelOnly="1" outline="1" fieldPosition="0">
        <references count="1">
          <reference field="2"/>
        </references>
      </pivotArea>
    </format>
    <format action="formatting" dxfId="4195">
      <pivotArea type="normal" dataOnly="0" labelOnly="1" grandRow="1" outline="0" fieldPosition="0"/>
    </format>
    <format action="formatting" dxfId="4194">
      <pivotArea type="normal" dataOnly="0" labelOnly="1" outline="1" fieldPosition="0">
        <references count="1">
          <reference field="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4193">
      <pivotArea type="normal" dataOnly="0" labelOnly="1" grandCol="1" outline="0" fieldPosition="0"/>
    </format>
    <format action="formatting" dxfId="4192">
      <pivotArea type="all" dataOnly="0" outline="0" fieldPosition="0"/>
    </format>
    <format action="formatting" dxfId="4191">
      <pivotArea type="normal" dataOnly="1" outline="0" collapsedLevelsAreSubtotals="1" fieldPosition="0"/>
    </format>
    <format action="formatting" dxfId="4190">
      <pivotArea type="origin" dataOnly="0" labelOnly="1" outline="0" fieldPosition="0"/>
    </format>
    <format action="formatting" dxfId="4189">
      <pivotArea field="7" type="button" dataOnly="0" labelOnly="1" outline="0" axis="axisCol" fieldPosition="0"/>
    </format>
    <format action="formatting" dxfId="4188">
      <pivotArea type="topRight" dataOnly="0" labelOnly="1" outline="0" fieldPosition="0"/>
    </format>
    <format action="formatting" dxfId="4187">
      <pivotArea field="2" type="button" dataOnly="0" labelOnly="1" outline="0" axis="axisRow" fieldPosition="0"/>
    </format>
    <format action="formatting" dxfId="4186">
      <pivotArea type="normal" dataOnly="0" labelOnly="1" outline="1" fieldPosition="0">
        <references count="1">
          <reference field="2"/>
        </references>
      </pivotArea>
    </format>
    <format action="formatting" dxfId="4185">
      <pivotArea type="normal" dataOnly="0" labelOnly="1" grandRow="1" outline="0" fieldPosition="0"/>
    </format>
    <format action="formatting" dxfId="4184">
      <pivotArea type="normal" dataOnly="0" labelOnly="1" outline="1" fieldPosition="0">
        <references count="1">
          <reference field="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4183">
      <pivotArea type="normal" dataOnly="0" labelOnly="1" grandCol="1" outline="0" fieldPosition="0"/>
    </format>
    <format action="formatting" dxfId="4182">
      <pivotArea type="normal" dataOnly="1" outline="0" collapsedLevelsAreSubtotals="1" fieldPosition="0">
        <references count="1">
          <reference field="7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4181">
      <pivotArea type="normal" dataOnly="1" grandCol="1" outline="0" collapsedLevelsAreSubtotals="1" fieldPosition="0"/>
    </format>
    <format action="formatting" dxfId="4180">
      <pivotArea type="topRight" dataOnly="0" labelOnly="1" outline="0" fieldPosition="0"/>
    </format>
    <format action="formatting" dxfId="4179">
      <pivotArea type="normal" dataOnly="0" labelOnly="1" outline="1" fieldPosition="0">
        <references count="1">
          <reference field="7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4178">
      <pivotArea type="normal" dataOnly="0" labelOnly="1" grandCol="1" outline="0" fieldPosition="0"/>
    </format>
    <format action="formatting" dxfId="4177">
      <pivotArea type="normal" dataOnly="1" outline="0" collapsedLevelsAreSubtotals="1" fieldPosition="0">
        <references count="1">
          <reference field="7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4176">
      <pivotArea type="normal" dataOnly="1" grandCol="1" outline="0" collapsedLevelsAreSubtotals="1" fieldPosition="0"/>
    </format>
    <format action="formatting" dxfId="4175">
      <pivotArea type="topRight" dataOnly="0" labelOnly="1" outline="0" fieldPosition="0"/>
    </format>
    <format action="formatting" dxfId="4174">
      <pivotArea type="normal" dataOnly="0" labelOnly="1" outline="1" fieldPosition="0">
        <references count="1">
          <reference field="7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4173">
      <pivotArea type="normal" dataOnly="0" labelOnly="1" grandCol="1" outline="0" fieldPosition="0"/>
    </format>
  </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PivotTable3" cacheId="2" dataOnRows="0" dataCaption="Valu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0" fieldListSortAscending="0" mdxSubqueries="0" applyNumberFormats="0" applyBorderFormats="0" applyFontFormats="0" applyPatternFormats="0" applyAlignmentFormats="0" applyWidthHeightFormats="1" r:id="rId1">
  <location ref="A31:O42" firstHeaderRow="1" firstDataRow="2" firstDataCol="1"/>
  <pivotFields count="8">
    <pivotField showDropDowns="1" compact="1" outline="1" subtotalTop="1" dragToRow="1" dragToCol="1" dragToPage="1" dragToData="1" dragOff="1" showAll="0" topAutoShow="1" itemPageCount="10" sortType="manual" defaultSubtotal="1">
      <items count="369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  <item t="data" sd="1" x="49"/>
        <item t="data" sd="1" x="50"/>
        <item t="data" sd="1" x="51"/>
        <item t="data" sd="1" x="52"/>
        <item t="data" sd="1" x="53"/>
        <item t="data" sd="1" x="54"/>
        <item t="data" sd="1" x="55"/>
        <item t="data" sd="1" x="56"/>
        <item t="data" sd="1" x="57"/>
        <item t="data" sd="1" x="58"/>
        <item t="data" sd="1" x="59"/>
        <item t="data" sd="1" x="60"/>
        <item t="data" sd="1" x="61"/>
        <item t="data" sd="1" x="62"/>
        <item t="data" sd="1" x="63"/>
        <item t="data" sd="1" x="64"/>
        <item t="data" sd="1" x="65"/>
        <item t="data" sd="1" x="66"/>
        <item t="data" sd="1" x="67"/>
        <item t="data" sd="1" x="68"/>
        <item t="data" sd="1" x="69"/>
        <item t="data" sd="1" x="70"/>
        <item t="data" sd="1" x="71"/>
        <item t="data" sd="1" x="72"/>
        <item t="data" sd="1" x="73"/>
        <item t="data" sd="1" x="74"/>
        <item t="data" sd="1" x="75"/>
        <item t="data" sd="1" x="76"/>
        <item t="data" sd="1" x="77"/>
        <item t="data" sd="1" x="78"/>
        <item t="data" sd="1" x="79"/>
        <item t="data" sd="1" x="80"/>
        <item t="data" sd="1" x="81"/>
        <item t="data" sd="1" x="82"/>
        <item t="data" sd="1" x="83"/>
        <item t="data" sd="1" x="84"/>
        <item t="data" sd="1" x="85"/>
        <item t="data" sd="1" x="86"/>
        <item t="data" sd="1" x="87"/>
        <item t="data" sd="1" x="88"/>
        <item t="data" sd="1" x="89"/>
        <item t="data" sd="1" x="90"/>
        <item t="data" sd="1" x="91"/>
        <item t="data" sd="1" x="92"/>
        <item t="data" sd="1" x="93"/>
        <item t="data" sd="1" x="94"/>
        <item t="data" sd="1" x="95"/>
        <item t="data" sd="1" x="96"/>
        <item t="data" sd="1" x="97"/>
        <item t="data" sd="1" x="98"/>
        <item t="data" sd="1" x="99"/>
        <item t="data" sd="1" x="100"/>
        <item t="data" sd="1" x="101"/>
        <item t="data" sd="1" x="102"/>
        <item t="data" sd="1" x="103"/>
        <item t="data" sd="1" x="104"/>
        <item t="data" sd="1" x="105"/>
        <item t="data" sd="1" x="106"/>
        <item t="data" sd="1" x="107"/>
        <item t="data" sd="1" x="108"/>
        <item t="data" sd="1" x="109"/>
        <item t="data" sd="1" x="110"/>
        <item t="data" sd="1" x="111"/>
        <item t="data" sd="1" x="112"/>
        <item t="data" sd="1" x="113"/>
        <item t="data" sd="1" x="114"/>
        <item t="data" sd="1" x="115"/>
        <item t="data" sd="1" x="116"/>
        <item t="data" sd="1" x="117"/>
        <item t="data" sd="1" x="118"/>
        <item t="data" sd="1" x="119"/>
        <item t="data" sd="1" x="120"/>
        <item t="data" sd="1" x="121"/>
        <item t="data" sd="1" x="122"/>
        <item t="data" sd="1" x="123"/>
        <item t="data" sd="1" x="124"/>
        <item t="data" sd="1" x="125"/>
        <item t="data" sd="1" x="126"/>
        <item t="data" sd="1" x="127"/>
        <item t="data" sd="1" x="128"/>
        <item t="data" sd="1" x="129"/>
        <item t="data" sd="1" x="130"/>
        <item t="data" sd="1" x="131"/>
        <item t="data" sd="1" x="132"/>
        <item t="data" sd="1" x="133"/>
        <item t="data" sd="1" x="134"/>
        <item t="data" sd="1" x="135"/>
        <item t="data" sd="1" x="136"/>
        <item t="data" sd="1" x="137"/>
        <item t="data" sd="1" x="138"/>
        <item t="data" sd="1" x="139"/>
        <item t="data" sd="1" x="140"/>
        <item t="data" sd="1" x="141"/>
        <item t="data" sd="1" x="142"/>
        <item t="data" sd="1" x="143"/>
        <item t="data" sd="1" x="144"/>
        <item t="data" sd="1" x="145"/>
        <item t="data" sd="1" x="146"/>
        <item t="data" sd="1" x="147"/>
        <item t="data" sd="1" x="148"/>
        <item t="data" sd="1" x="149"/>
        <item t="data" sd="1" x="150"/>
        <item t="data" sd="1" x="151"/>
        <item t="data" sd="1" x="152"/>
        <item t="data" sd="1" x="153"/>
        <item t="data" sd="1" x="154"/>
        <item t="data" sd="1" x="155"/>
        <item t="data" sd="1" x="156"/>
        <item t="data" sd="1" x="157"/>
        <item t="data" sd="1" x="158"/>
        <item t="data" sd="1" x="159"/>
        <item t="data" sd="1" x="160"/>
        <item t="data" sd="1" x="161"/>
        <item t="data" sd="1" x="162"/>
        <item t="data" sd="1" x="163"/>
        <item t="data" sd="1" x="164"/>
        <item t="data" sd="1" x="165"/>
        <item t="data" sd="1" x="166"/>
        <item t="data" sd="1" x="167"/>
        <item t="data" sd="1" x="168"/>
        <item t="data" sd="1" x="169"/>
        <item t="data" sd="1" x="170"/>
        <item t="data" sd="1" x="171"/>
        <item t="data" sd="1" x="172"/>
        <item t="data" sd="1" x="173"/>
        <item t="data" sd="1" x="174"/>
        <item t="data" sd="1" x="175"/>
        <item t="data" sd="1" x="176"/>
        <item t="data" sd="1" x="177"/>
        <item t="data" sd="1" x="178"/>
        <item t="data" sd="1" x="179"/>
        <item t="data" sd="1" x="180"/>
        <item t="data" sd="1" x="181"/>
        <item t="data" sd="1" x="182"/>
        <item t="data" sd="1" x="183"/>
        <item t="data" sd="1" x="184"/>
        <item t="data" sd="1" x="185"/>
        <item t="data" sd="1" x="186"/>
        <item t="data" sd="1" x="187"/>
        <item t="data" sd="1" x="188"/>
        <item t="data" sd="1" x="189"/>
        <item t="data" sd="1" x="190"/>
        <item t="data" sd="1" x="191"/>
        <item t="data" sd="1" x="192"/>
        <item t="data" sd="1" x="193"/>
        <item t="data" sd="1" x="194"/>
        <item t="data" sd="1" x="195"/>
        <item t="data" sd="1" x="196"/>
        <item t="data" sd="1" x="197"/>
        <item t="data" sd="1" x="198"/>
        <item t="data" sd="1" x="199"/>
        <item t="data" sd="1" x="200"/>
        <item t="data" sd="1" x="201"/>
        <item t="data" sd="1" x="202"/>
        <item t="data" sd="1" x="203"/>
        <item t="data" sd="1" x="204"/>
        <item t="data" sd="1" x="205"/>
        <item t="data" sd="1" x="206"/>
        <item t="data" sd="1" x="207"/>
        <item t="data" sd="1" x="208"/>
        <item t="data" sd="1" x="209"/>
        <item t="data" sd="1" x="210"/>
        <item t="data" sd="1" x="211"/>
        <item t="data" sd="1" x="212"/>
        <item t="data" sd="1" x="213"/>
        <item t="data" sd="1" x="214"/>
        <item t="data" sd="1" x="215"/>
        <item t="data" sd="1" x="216"/>
        <item t="data" sd="1" x="217"/>
        <item t="data" sd="1" x="218"/>
        <item t="data" sd="1" x="219"/>
        <item t="data" sd="1" x="220"/>
        <item t="data" sd="1" x="221"/>
        <item t="data" sd="1" x="222"/>
        <item t="data" sd="1" x="223"/>
        <item t="data" sd="1" x="224"/>
        <item t="data" sd="1" x="225"/>
        <item t="data" sd="1" x="226"/>
        <item t="data" sd="1" x="227"/>
        <item t="data" sd="1" x="228"/>
        <item t="data" sd="1" x="229"/>
        <item t="data" sd="1" x="230"/>
        <item t="data" sd="1" x="231"/>
        <item t="data" sd="1" x="232"/>
        <item t="data" sd="1" x="233"/>
        <item t="data" sd="1" x="234"/>
        <item t="data" sd="1" x="235"/>
        <item t="data" sd="1" x="236"/>
        <item t="data" sd="1" x="237"/>
        <item t="data" sd="1" x="238"/>
        <item t="data" sd="1" x="239"/>
        <item t="data" sd="1" x="240"/>
        <item t="data" sd="1" x="241"/>
        <item t="data" sd="1" x="242"/>
        <item t="data" sd="1" x="243"/>
        <item t="data" sd="1" x="244"/>
        <item t="data" sd="1" x="245"/>
        <item t="data" sd="1" x="246"/>
        <item t="data" sd="1" x="247"/>
        <item t="data" sd="1" x="248"/>
        <item t="data" sd="1" x="249"/>
        <item t="data" sd="1" x="250"/>
        <item t="data" sd="1" x="251"/>
        <item t="data" sd="1" x="252"/>
        <item t="data" sd="1" x="253"/>
        <item t="data" sd="1" x="254"/>
        <item t="data" sd="1" x="255"/>
        <item t="data" sd="1" x="256"/>
        <item t="data" sd="1" x="257"/>
        <item t="data" sd="1" x="258"/>
        <item t="data" sd="1" x="259"/>
        <item t="data" sd="1" x="260"/>
        <item t="data" sd="1" x="261"/>
        <item t="data" sd="1" x="262"/>
        <item t="data" sd="1" x="263"/>
        <item t="data" sd="1" x="264"/>
        <item t="data" sd="1" x="265"/>
        <item t="data" sd="1" x="266"/>
        <item t="data" sd="1" x="267"/>
        <item t="data" sd="1" x="268"/>
        <item t="data" sd="1" x="269"/>
        <item t="data" sd="1" x="270"/>
        <item t="data" sd="1" x="271"/>
        <item t="data" sd="1" x="272"/>
        <item t="data" sd="1" x="273"/>
        <item t="data" sd="1" x="274"/>
        <item t="data" sd="1" x="275"/>
        <item t="data" sd="1" x="276"/>
        <item t="data" sd="1" x="277"/>
        <item t="data" sd="1" x="278"/>
        <item t="data" sd="1" x="279"/>
        <item t="data" sd="1" x="280"/>
        <item t="data" sd="1" x="281"/>
        <item t="data" sd="1" x="282"/>
        <item t="data" sd="1" x="283"/>
        <item t="data" sd="1" x="284"/>
        <item t="data" sd="1" x="285"/>
        <item t="data" sd="1" x="286"/>
        <item t="data" sd="1" x="287"/>
        <item t="data" sd="1" x="288"/>
        <item t="data" sd="1" x="289"/>
        <item t="data" sd="1" x="290"/>
        <item t="data" sd="1" x="291"/>
        <item t="data" sd="1" x="292"/>
        <item t="data" sd="1" x="293"/>
        <item t="data" sd="1" x="294"/>
        <item t="data" sd="1" x="295"/>
        <item t="data" sd="1" x="296"/>
        <item t="data" sd="1" x="297"/>
        <item t="data" sd="1" x="298"/>
        <item t="data" sd="1" x="299"/>
        <item t="data" sd="1" x="300"/>
        <item t="data" sd="1" x="301"/>
        <item t="data" sd="1" x="302"/>
        <item t="data" sd="1" x="303"/>
        <item t="data" sd="1" x="304"/>
        <item t="data" sd="1" x="305"/>
        <item t="data" sd="1" x="306"/>
        <item t="data" sd="1" x="307"/>
        <item t="data" sd="1" x="308"/>
        <item t="data" sd="1" x="309"/>
        <item t="data" sd="1" x="310"/>
        <item t="data" sd="1" x="311"/>
        <item t="data" sd="1" x="312"/>
        <item t="data" sd="1" x="313"/>
        <item t="data" sd="1" x="314"/>
        <item t="data" sd="1" x="315"/>
        <item t="data" sd="1" x="316"/>
        <item t="data" sd="1" x="317"/>
        <item t="data" sd="1" x="318"/>
        <item t="data" sd="1" x="319"/>
        <item t="data" sd="1" x="320"/>
        <item t="data" sd="1" x="321"/>
        <item t="data" sd="1" x="322"/>
        <item t="data" sd="1" x="323"/>
        <item t="data" sd="1" x="324"/>
        <item t="data" sd="1" x="325"/>
        <item t="data" sd="1" x="326"/>
        <item t="data" sd="1" x="327"/>
        <item t="data" sd="1" x="328"/>
        <item t="data" sd="1" x="329"/>
        <item t="data" sd="1" x="330"/>
        <item t="data" sd="1" x="331"/>
        <item t="data" sd="1" x="332"/>
        <item t="data" sd="1" x="333"/>
        <item t="data" sd="1" x="334"/>
        <item t="data" sd="1" x="335"/>
        <item t="data" sd="1" x="336"/>
        <item t="data" sd="1" x="337"/>
        <item t="data" sd="1" x="338"/>
        <item t="data" sd="1" x="339"/>
        <item t="data" sd="1" x="340"/>
        <item t="data" sd="1" x="341"/>
        <item t="data" sd="1" x="342"/>
        <item t="data" sd="1" x="343"/>
        <item t="data" sd="1" x="344"/>
        <item t="data" sd="1" x="345"/>
        <item t="data" sd="1" x="346"/>
        <item t="data" sd="1" x="347"/>
        <item t="data" sd="1" x="348"/>
        <item t="data" sd="1" x="349"/>
        <item t="data" sd="1" x="350"/>
        <item t="data" sd="1" x="351"/>
        <item t="data" sd="1" x="352"/>
        <item t="data" sd="1" x="353"/>
        <item t="data" sd="1" x="354"/>
        <item t="data" sd="1" x="355"/>
        <item t="data" sd="1" x="356"/>
        <item t="data" sd="1" x="357"/>
        <item t="data" sd="1" x="358"/>
        <item t="data" sd="1" x="359"/>
        <item t="data" sd="1" x="360"/>
        <item t="data" sd="1" x="361"/>
        <item t="data" sd="1" x="362"/>
        <item t="data" sd="1" x="363"/>
        <item t="data" sd="1" x="364"/>
        <item t="data" sd="1" x="365"/>
        <item t="data" sd="1" x="366"/>
        <item t="data" sd="1" x="367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Row" showDropDowns="1" compact="1" outline="1" subtotalTop="1" dragToRow="1" dragToCol="1" dragToPage="1" dragToData="1" dragOff="1" showAll="0" topAutoShow="1" itemPageCount="10" sortType="descending" defaultSubtotal="1">
      <items count="10">
        <item t="data" sd="1" x="5"/>
        <item t="data" sd="1" x="6"/>
        <item t="data" sd="1" x="0"/>
        <item t="data" sd="1" x="3"/>
        <item t="data" sd="1" x="1"/>
        <item t="data" sd="1" x="2"/>
        <item t="data" sd="1" x="8"/>
        <item t="data" sd="1" x="4"/>
        <item t="data" sd="1" x="7"/>
        <item t="default" sd="1"/>
      </items>
      <autoSortScope>
        <pivotArea type="normal" dataOnly="0" outline="0" fieldPosition="0">
          <references count="2">
            <reference field="4294967294" selected="0">
              <x v="0"/>
            </reference>
            <reference field="7" selected="0">
              <x v="1"/>
            </reference>
          </references>
        </pivotArea>
      </autoSortScope>
    </pivotField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15">
        <item t="data" sd="0" x="0"/>
        <item t="data" sd="0" x="1"/>
        <item t="data" sd="0" x="2"/>
        <item t="data" sd="0" x="3"/>
        <item t="data" sd="0" x="4"/>
        <item t="data" sd="0" x="5"/>
        <item t="data" sd="0" x="6"/>
        <item t="data" sd="0" x="7"/>
        <item t="data" sd="0" x="8"/>
        <item t="data" sd="0" x="9"/>
        <item t="data" sd="0" x="10"/>
        <item t="data" sd="0" x="11"/>
        <item t="data" sd="0" x="12"/>
        <item t="data" sd="0" x="13"/>
        <item t="default" sd="1"/>
      </items>
    </pivotField>
  </pivotFields>
  <rowFields count="1">
    <field x="3"/>
  </rowFields>
  <rowItems count="10">
    <i t="data" r="0" i="0">
      <x v="5"/>
    </i>
    <i t="data" r="0" i="0">
      <x v="0"/>
    </i>
    <i t="data" r="0" i="0">
      <x v="3"/>
    </i>
    <i t="data" r="0" i="0">
      <x v="1"/>
    </i>
    <i t="data" r="0" i="0">
      <x v="6"/>
    </i>
    <i t="data" r="0" i="0">
      <x v="7"/>
    </i>
    <i t="data" r="0" i="0">
      <x v="8"/>
    </i>
    <i t="data" r="0" i="0">
      <x v="2"/>
    </i>
    <i t="data" r="0" i="0">
      <x v="4"/>
    </i>
    <i t="grand" r="0" i="0">
      <x v="0"/>
    </i>
  </rowItems>
  <colFields count="1">
    <field x="7"/>
  </colFields>
  <colItems count="1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grand" r="0" i="0">
      <x v="0"/>
    </i>
  </colItems>
  <dataFields count="1">
    <dataField name="Sum of Amount" fld="4" subtotal="sum" showDataAs="normal" baseField="0" baseItem="0" numFmtId="166"/>
  </dataFields>
  <formats count="60">
    <format action="formatting" dxfId="4172">
      <pivotArea type="all" dataOnly="0" outline="0" fieldPosition="0"/>
    </format>
    <format action="formatting" dxfId="4171">
      <pivotArea type="normal" dataOnly="1" outline="0" collapsedLevelsAreSubtotals="1" fieldPosition="0"/>
    </format>
    <format action="formatting" dxfId="4170">
      <pivotArea type="origin" dataOnly="0" labelOnly="1" outline="0" fieldPosition="0"/>
    </format>
    <format action="formatting" dxfId="4169">
      <pivotArea field="7" type="button" dataOnly="0" labelOnly="1" outline="0" axis="axisCol" fieldPosition="0"/>
    </format>
    <format action="formatting" dxfId="4168">
      <pivotArea type="topRight" dataOnly="0" labelOnly="1" outline="0" fieldPosition="0"/>
    </format>
    <format action="formatting" dxfId="4167">
      <pivotArea field="3" type="button" dataOnly="0" labelOnly="1" outline="0" axis="axisRow" fieldPosition="0"/>
    </format>
    <format action="formatting" dxfId="4166">
      <pivotArea type="normal" dataOnly="0" labelOnly="1" outline="1" fieldPosition="0">
        <references count="1">
          <reference field="3"/>
        </references>
      </pivotArea>
    </format>
    <format action="formatting" dxfId="4165">
      <pivotArea type="normal" dataOnly="0" labelOnly="1" grandRow="1" outline="0" fieldPosition="0"/>
    </format>
    <format action="formatting" dxfId="4164">
      <pivotArea type="normal" dataOnly="0" labelOnly="1" outline="1" fieldPosition="0">
        <references count="1">
          <reference field="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4163">
      <pivotArea type="normal" dataOnly="0" labelOnly="1" grandCol="1" outline="0" fieldPosition="0"/>
    </format>
    <format action="formatting" dxfId="4162">
      <pivotArea type="all" dataOnly="0" outline="0" fieldPosition="0"/>
    </format>
    <format action="formatting" dxfId="4161">
      <pivotArea type="normal" dataOnly="1" outline="0" collapsedLevelsAreSubtotals="1" fieldPosition="0"/>
    </format>
    <format action="formatting" dxfId="4160">
      <pivotArea type="origin" dataOnly="0" labelOnly="1" outline="0" fieldPosition="0"/>
    </format>
    <format action="formatting" dxfId="4159">
      <pivotArea field="7" type="button" dataOnly="0" labelOnly="1" outline="0" axis="axisCol" fieldPosition="0"/>
    </format>
    <format action="formatting" dxfId="4158">
      <pivotArea type="topRight" dataOnly="0" labelOnly="1" outline="0" fieldPosition="0"/>
    </format>
    <format action="formatting" dxfId="4157">
      <pivotArea field="3" type="button" dataOnly="0" labelOnly="1" outline="0" axis="axisRow" fieldPosition="0"/>
    </format>
    <format action="formatting" dxfId="4156">
      <pivotArea type="normal" dataOnly="0" labelOnly="1" outline="1" fieldPosition="0">
        <references count="1">
          <reference field="3"/>
        </references>
      </pivotArea>
    </format>
    <format action="formatting" dxfId="4155">
      <pivotArea type="normal" dataOnly="0" labelOnly="1" grandRow="1" outline="0" fieldPosition="0"/>
    </format>
    <format action="formatting" dxfId="4154">
      <pivotArea type="normal" dataOnly="0" labelOnly="1" outline="1" fieldPosition="0">
        <references count="1">
          <reference field="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4153">
      <pivotArea type="normal" dataOnly="0" labelOnly="1" grandCol="1" outline="0" fieldPosition="0"/>
    </format>
    <format action="formatting" dxfId="4152">
      <pivotArea type="normal" dataOnly="1" outline="0" collapsedLevelsAreSubtotals="1" fieldPosition="0">
        <references count="1">
          <reference field="7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4151">
      <pivotArea type="normal" dataOnly="1" grandCol="1" outline="0" collapsedLevelsAreSubtotals="1" fieldPosition="0"/>
    </format>
    <format action="formatting" dxfId="4150">
      <pivotArea type="topRight" dataOnly="0" labelOnly="1" outline="0" fieldPosition="0"/>
    </format>
    <format action="formatting" dxfId="4149">
      <pivotArea type="normal" dataOnly="0" labelOnly="1" outline="1" fieldPosition="0">
        <references count="1">
          <reference field="7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4148">
      <pivotArea type="normal" dataOnly="0" labelOnly="1" grandCol="1" outline="0" fieldPosition="0"/>
    </format>
    <format action="formatting" dxfId="4147">
      <pivotArea type="normal" dataOnly="1" outline="0" collapsedLevelsAreSubtotals="1" fieldPosition="0">
        <references count="1">
          <reference field="7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4146">
      <pivotArea type="normal" dataOnly="1" grandCol="1" outline="0" collapsedLevelsAreSubtotals="1" fieldPosition="0"/>
    </format>
    <format action="formatting" dxfId="4145">
      <pivotArea type="topRight" dataOnly="0" labelOnly="1" outline="0" fieldPosition="0"/>
    </format>
    <format action="formatting" dxfId="4144">
      <pivotArea type="normal" dataOnly="0" labelOnly="1" outline="1" fieldPosition="0">
        <references count="1">
          <reference field="7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4143">
      <pivotArea type="normal" dataOnly="0" labelOnly="1" grandCol="1" outline="0" fieldPosition="0"/>
    </format>
    <format action="formatting" dxfId="4142">
      <pivotArea type="all" dataOnly="0" outline="0" fieldPosition="0"/>
    </format>
    <format action="formatting" dxfId="4141">
      <pivotArea type="normal" dataOnly="1" outline="0" collapsedLevelsAreSubtotals="1" fieldPosition="0"/>
    </format>
    <format action="formatting" dxfId="4140">
      <pivotArea type="origin" dataOnly="0" labelOnly="1" outline="0" fieldPosition="0"/>
    </format>
    <format action="formatting" dxfId="4139">
      <pivotArea field="7" type="button" dataOnly="0" labelOnly="1" outline="0" axis="axisCol" fieldPosition="0"/>
    </format>
    <format action="formatting" dxfId="4138">
      <pivotArea type="topRight" dataOnly="0" labelOnly="1" outline="0" fieldPosition="0"/>
    </format>
    <format action="formatting" dxfId="4137">
      <pivotArea field="3" type="button" dataOnly="0" labelOnly="1" outline="0" axis="axisRow" fieldPosition="0"/>
    </format>
    <format action="formatting" dxfId="4136">
      <pivotArea type="normal" dataOnly="0" labelOnly="1" outline="1" fieldPosition="0">
        <references count="1">
          <reference field="3"/>
        </references>
      </pivotArea>
    </format>
    <format action="formatting" dxfId="4135">
      <pivotArea type="normal" dataOnly="0" labelOnly="1" grandRow="1" outline="0" fieldPosition="0"/>
    </format>
    <format action="formatting" dxfId="4134">
      <pivotArea type="normal" dataOnly="0" labelOnly="1" outline="1" fieldPosition="0">
        <references count="1">
          <reference field="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4133">
      <pivotArea type="normal" dataOnly="0" labelOnly="1" grandCol="1" outline="0" fieldPosition="0"/>
    </format>
    <format action="formatting" dxfId="4132">
      <pivotArea type="all" dataOnly="0" outline="0" fieldPosition="0"/>
    </format>
    <format action="formatting" dxfId="4131">
      <pivotArea type="normal" dataOnly="1" outline="0" collapsedLevelsAreSubtotals="1" fieldPosition="0"/>
    </format>
    <format action="formatting" dxfId="4130">
      <pivotArea type="origin" dataOnly="0" labelOnly="1" outline="0" fieldPosition="0"/>
    </format>
    <format action="formatting" dxfId="4129">
      <pivotArea field="7" type="button" dataOnly="0" labelOnly="1" outline="0" axis="axisCol" fieldPosition="0"/>
    </format>
    <format action="formatting" dxfId="4128">
      <pivotArea type="topRight" dataOnly="0" labelOnly="1" outline="0" fieldPosition="0"/>
    </format>
    <format action="formatting" dxfId="4127">
      <pivotArea field="3" type="button" dataOnly="0" labelOnly="1" outline="0" axis="axisRow" fieldPosition="0"/>
    </format>
    <format action="formatting" dxfId="4126">
      <pivotArea type="normal" dataOnly="0" labelOnly="1" outline="1" fieldPosition="0">
        <references count="1">
          <reference field="3"/>
        </references>
      </pivotArea>
    </format>
    <format action="formatting" dxfId="4125">
      <pivotArea type="normal" dataOnly="0" labelOnly="1" grandRow="1" outline="0" fieldPosition="0"/>
    </format>
    <format action="formatting" dxfId="4124">
      <pivotArea type="normal" dataOnly="0" labelOnly="1" outline="1" fieldPosition="0">
        <references count="1">
          <reference field="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4123">
      <pivotArea type="normal" dataOnly="0" labelOnly="1" grandCol="1" outline="0" fieldPosition="0"/>
    </format>
    <format action="formatting" dxfId="4122">
      <pivotArea type="normal" dataOnly="1" outline="0" collapsedLevelsAreSubtotals="1" fieldPosition="0">
        <references count="1">
          <reference field="7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4121">
      <pivotArea type="normal" dataOnly="1" grandCol="1" outline="0" collapsedLevelsAreSubtotals="1" fieldPosition="0"/>
    </format>
    <format action="formatting" dxfId="4120">
      <pivotArea type="topRight" dataOnly="0" labelOnly="1" outline="0" fieldPosition="0"/>
    </format>
    <format action="formatting" dxfId="4119">
      <pivotArea type="normal" dataOnly="0" labelOnly="1" outline="1" fieldPosition="0">
        <references count="1">
          <reference field="7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4118">
      <pivotArea type="normal" dataOnly="0" labelOnly="1" grandCol="1" outline="0" fieldPosition="0"/>
    </format>
    <format action="formatting" dxfId="4117">
      <pivotArea type="normal" dataOnly="1" outline="0" collapsedLevelsAreSubtotals="1" fieldPosition="0">
        <references count="1">
          <reference field="7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4116">
      <pivotArea type="normal" dataOnly="1" grandCol="1" outline="0" collapsedLevelsAreSubtotals="1" fieldPosition="0"/>
    </format>
    <format action="formatting" dxfId="4115">
      <pivotArea type="topRight" dataOnly="0" labelOnly="1" outline="0" fieldPosition="0"/>
    </format>
    <format action="formatting" dxfId="4114">
      <pivotArea type="normal" dataOnly="0" labelOnly="1" outline="1" fieldPosition="0">
        <references count="1">
          <reference field="7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4113">
      <pivotArea type="normal" dataOnly="0" labelOnly="1" grandCol="1" outline="0" fieldPosition="0"/>
    </format>
  </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:r="http://schemas.openxmlformats.org/officeDocument/2006/relationships" xmlns="http://schemas.openxmlformats.org/spreadsheetml/2006/main" name="PivotTable2" cacheId="2" dataOnRows="0" dataCaption="Valu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0" fieldListSortAscending="0" mdxSubqueries="0" applyNumberFormats="0" applyBorderFormats="0" applyFontFormats="0" applyPatternFormats="0" applyAlignmentFormats="0" applyWidthHeightFormats="1" r:id="rId1">
  <location ref="A16:O26" firstHeaderRow="1" firstDataRow="2" firstDataCol="1"/>
  <pivotFields count="8"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Row" showDropDowns="1" compact="1" outline="1" subtotalTop="1" dragToRow="1" dragToCol="1" dragToPage="1" dragToData="1" dragOff="1" showAll="0" topAutoShow="1" itemPageCount="10" sortType="descending" defaultSubtotal="1">
      <items count="9">
        <item t="data" sd="1" x="1"/>
        <item t="data" sd="1" x="2"/>
        <item t="data" sd="1" x="0"/>
        <item t="data" sd="1" x="3"/>
        <item t="data" sd="1" x="7"/>
        <item t="data" sd="1" x="5"/>
        <item t="data" sd="1" x="6"/>
        <item t="data" sd="1" x="4"/>
        <item t="default" sd="1"/>
      </items>
      <autoSortScope>
        <pivotArea type="normal" dataOnly="0" outline="0" fieldPosition="0">
          <references count="2">
            <reference field="4294967294" selected="0">
              <x v="0"/>
            </reference>
            <reference field="7" selected="0">
              <x v="1"/>
            </reference>
          </references>
        </pivotArea>
      </autoSortScope>
    </pivotField>
    <pivotField axis="axisCol" showDropDowns="1" compact="1" outline="1" subtotalTop="1" dragToRow="1" dragToCol="1" dragToPage="1" dragToData="1" dragOff="1" showAll="0" topAutoShow="1" itemPageCount="10" sortType="manual" defaultSubtotal="0">
      <items count="14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</items>
    </pivotField>
  </pivotFields>
  <rowFields count="1">
    <field x="6"/>
  </rowFields>
  <rowItems count="9">
    <i t="data" r="0" i="0">
      <x v="0"/>
    </i>
    <i t="data" r="0" i="0">
      <x v="1"/>
    </i>
    <i t="data" r="0" i="0">
      <x v="5"/>
    </i>
    <i t="data" r="0" i="0">
      <x v="4"/>
    </i>
    <i t="data" r="0" i="0">
      <x v="7"/>
    </i>
    <i t="data" r="0" i="0">
      <x v="3"/>
    </i>
    <i t="data" r="0" i="0">
      <x v="6"/>
    </i>
    <i t="data" r="0" i="0">
      <x v="2"/>
    </i>
    <i t="grand" r="0" i="0">
      <x v="0"/>
    </i>
  </rowItems>
  <colFields count="1">
    <field x="7"/>
  </colFields>
  <colItems count="1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grand" r="0" i="0">
      <x v="0"/>
    </i>
  </colItems>
  <dataFields count="1">
    <dataField name="Sum of Amount" fld="4" subtotal="sum" showDataAs="normal" baseField="0" baseItem="0" numFmtId="166"/>
  </dataFields>
  <formats count="80">
    <format action="formatting" dxfId="4362">
      <pivotArea type="all" dataOnly="0" outline="0" fieldPosition="0"/>
    </format>
    <format action="formatting" dxfId="4361">
      <pivotArea type="normal" dataOnly="1" outline="0" collapsedLevelsAreSubtotals="1" fieldPosition="0"/>
    </format>
    <format action="formatting" dxfId="4360">
      <pivotArea type="origin" dataOnly="0" labelOnly="1" outline="0" fieldPosition="0"/>
    </format>
    <format action="formatting" dxfId="4359">
      <pivotArea field="7" type="button" dataOnly="0" labelOnly="1" outline="0" axis="axisCol" fieldPosition="0"/>
    </format>
    <format action="formatting" dxfId="4358">
      <pivotArea type="topRight" dataOnly="0" labelOnly="1" outline="0" fieldPosition="0"/>
    </format>
    <format action="formatting" dxfId="4357">
      <pivotArea field="6" type="button" dataOnly="0" labelOnly="1" outline="0" axis="axisRow" fieldPosition="0"/>
    </format>
    <format action="formatting" dxfId="4356">
      <pivotArea type="normal" dataOnly="0" labelOnly="1" outline="1" fieldPosition="0">
        <references count="1">
          <reference field="6"/>
        </references>
      </pivotArea>
    </format>
    <format action="formatting" dxfId="4355">
      <pivotArea type="normal" dataOnly="0" labelOnly="1" grandRow="1" outline="0" fieldPosition="0"/>
    </format>
    <format action="formatting" dxfId="4354">
      <pivotArea type="normal" dataOnly="0" labelOnly="1" outline="1" fieldPosition="0">
        <references count="1">
          <reference field="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4353">
      <pivotArea type="normal" dataOnly="0" labelOnly="1" grandCol="1" outline="0" fieldPosition="0"/>
    </format>
    <format action="formatting" dxfId="4352">
      <pivotArea type="all" dataOnly="0" outline="0" fieldPosition="0"/>
    </format>
    <format action="formatting" dxfId="4351">
      <pivotArea type="normal" dataOnly="1" outline="0" collapsedLevelsAreSubtotals="1" fieldPosition="0"/>
    </format>
    <format action="formatting" dxfId="4350">
      <pivotArea type="origin" dataOnly="0" labelOnly="1" outline="0" fieldPosition="0"/>
    </format>
    <format action="formatting" dxfId="4349">
      <pivotArea field="7" type="button" dataOnly="0" labelOnly="1" outline="0" axis="axisCol" fieldPosition="0"/>
    </format>
    <format action="formatting" dxfId="4348">
      <pivotArea type="topRight" dataOnly="0" labelOnly="1" outline="0" fieldPosition="0"/>
    </format>
    <format action="formatting" dxfId="4347">
      <pivotArea field="6" type="button" dataOnly="0" labelOnly="1" outline="0" axis="axisRow" fieldPosition="0"/>
    </format>
    <format action="formatting" dxfId="4346">
      <pivotArea type="normal" dataOnly="0" labelOnly="1" outline="1" fieldPosition="0">
        <references count="1">
          <reference field="6"/>
        </references>
      </pivotArea>
    </format>
    <format action="formatting" dxfId="4345">
      <pivotArea type="normal" dataOnly="0" labelOnly="1" grandRow="1" outline="0" fieldPosition="0"/>
    </format>
    <format action="formatting" dxfId="4344">
      <pivotArea type="normal" dataOnly="0" labelOnly="1" outline="1" fieldPosition="0">
        <references count="1">
          <reference field="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4343">
      <pivotArea type="normal" dataOnly="0" labelOnly="1" grandCol="1" outline="0" fieldPosition="0"/>
    </format>
    <format action="formatting" dxfId="4342">
      <pivotArea type="all" dataOnly="0" outline="0" fieldPosition="0"/>
    </format>
    <format action="formatting" dxfId="4341">
      <pivotArea type="normal" dataOnly="1" outline="0" collapsedLevelsAreSubtotals="1" fieldPosition="0"/>
    </format>
    <format action="formatting" dxfId="4340">
      <pivotArea type="origin" dataOnly="0" labelOnly="1" outline="0" fieldPosition="0"/>
    </format>
    <format action="formatting" dxfId="4339">
      <pivotArea field="7" type="button" dataOnly="0" labelOnly="1" outline="0" axis="axisCol" fieldPosition="0"/>
    </format>
    <format action="formatting" dxfId="4338">
      <pivotArea type="topRight" dataOnly="0" labelOnly="1" outline="0" fieldPosition="0"/>
    </format>
    <format action="formatting" dxfId="4337">
      <pivotArea field="6" type="button" dataOnly="0" labelOnly="1" outline="0" axis="axisRow" fieldPosition="0"/>
    </format>
    <format action="formatting" dxfId="4336">
      <pivotArea type="normal" dataOnly="0" labelOnly="1" outline="1" fieldPosition="0">
        <references count="1">
          <reference field="6"/>
        </references>
      </pivotArea>
    </format>
    <format action="formatting" dxfId="4335">
      <pivotArea type="normal" dataOnly="0" labelOnly="1" grandRow="1" outline="0" fieldPosition="0"/>
    </format>
    <format action="formatting" dxfId="4334">
      <pivotArea type="normal" dataOnly="0" labelOnly="1" outline="1" fieldPosition="0">
        <references count="1">
          <reference field="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4333">
      <pivotArea type="normal" dataOnly="0" labelOnly="1" grandCol="1" outline="0" fieldPosition="0"/>
    </format>
    <format action="formatting" dxfId="4332">
      <pivotArea type="all" dataOnly="0" outline="0" fieldPosition="0"/>
    </format>
    <format action="formatting" dxfId="4331">
      <pivotArea type="normal" dataOnly="1" outline="0" collapsedLevelsAreSubtotals="1" fieldPosition="0"/>
    </format>
    <format action="formatting" dxfId="4330">
      <pivotArea type="origin" dataOnly="0" labelOnly="1" outline="0" fieldPosition="0"/>
    </format>
    <format action="formatting" dxfId="4329">
      <pivotArea field="7" type="button" dataOnly="0" labelOnly="1" outline="0" axis="axisCol" fieldPosition="0"/>
    </format>
    <format action="formatting" dxfId="4328">
      <pivotArea type="topRight" dataOnly="0" labelOnly="1" outline="0" fieldPosition="0"/>
    </format>
    <format action="formatting" dxfId="4327">
      <pivotArea field="6" type="button" dataOnly="0" labelOnly="1" outline="0" axis="axisRow" fieldPosition="0"/>
    </format>
    <format action="formatting" dxfId="4326">
      <pivotArea type="normal" dataOnly="0" labelOnly="1" outline="1" fieldPosition="0">
        <references count="1">
          <reference field="6"/>
        </references>
      </pivotArea>
    </format>
    <format action="formatting" dxfId="4325">
      <pivotArea type="normal" dataOnly="0" labelOnly="1" grandRow="1" outline="0" fieldPosition="0"/>
    </format>
    <format action="formatting" dxfId="4324">
      <pivotArea type="normal" dataOnly="0" labelOnly="1" outline="1" fieldPosition="0">
        <references count="1">
          <reference field="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4323">
      <pivotArea type="normal" dataOnly="0" labelOnly="1" grandCol="1" outline="0" fieldPosition="0"/>
    </format>
    <format action="formatting" dxfId="4322">
      <pivotArea type="normal" dataOnly="1" outline="0" collapsedLevelsAreSubtotals="1" fieldPosition="0">
        <references count="1">
          <reference field="7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4321">
      <pivotArea type="normal" dataOnly="1" grandCol="1" outline="0" collapsedLevelsAreSubtotals="1" fieldPosition="0"/>
    </format>
    <format action="formatting" dxfId="4320">
      <pivotArea type="topRight" dataOnly="0" labelOnly="1" outline="0" fieldPosition="0"/>
    </format>
    <format action="formatting" dxfId="4319">
      <pivotArea type="normal" dataOnly="0" labelOnly="1" outline="1" fieldPosition="0">
        <references count="1">
          <reference field="7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4318">
      <pivotArea type="normal" dataOnly="0" labelOnly="1" grandCol="1" outline="0" fieldPosition="0"/>
    </format>
    <format action="formatting" dxfId="4317">
      <pivotArea type="normal" dataOnly="1" outline="0" collapsedLevelsAreSubtotals="1" fieldPosition="0">
        <references count="1">
          <reference field="7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4316">
      <pivotArea type="normal" dataOnly="1" grandCol="1" outline="0" collapsedLevelsAreSubtotals="1" fieldPosition="0"/>
    </format>
    <format action="formatting" dxfId="4315">
      <pivotArea type="topRight" dataOnly="0" labelOnly="1" outline="0" fieldPosition="0"/>
    </format>
    <format action="formatting" dxfId="4314">
      <pivotArea type="normal" dataOnly="0" labelOnly="1" outline="1" fieldPosition="0">
        <references count="1">
          <reference field="7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4313">
      <pivotArea type="normal" dataOnly="0" labelOnly="1" grandCol="1" outline="0" fieldPosition="0"/>
    </format>
    <format action="formatting" dxfId="4312">
      <pivotArea type="all" dataOnly="0" outline="0" fieldPosition="0"/>
    </format>
    <format action="formatting" dxfId="4311">
      <pivotArea type="normal" dataOnly="1" outline="0" collapsedLevelsAreSubtotals="1" fieldPosition="0"/>
    </format>
    <format action="formatting" dxfId="4310">
      <pivotArea type="origin" dataOnly="0" labelOnly="1" outline="0" fieldPosition="0"/>
    </format>
    <format action="formatting" dxfId="4309">
      <pivotArea field="7" type="button" dataOnly="0" labelOnly="1" outline="0" axis="axisCol" fieldPosition="0"/>
    </format>
    <format action="formatting" dxfId="4308">
      <pivotArea type="topRight" dataOnly="0" labelOnly="1" outline="0" fieldPosition="0"/>
    </format>
    <format action="formatting" dxfId="4307">
      <pivotArea field="6" type="button" dataOnly="0" labelOnly="1" outline="0" axis="axisRow" fieldPosition="0"/>
    </format>
    <format action="formatting" dxfId="4306">
      <pivotArea type="normal" dataOnly="0" labelOnly="1" outline="1" fieldPosition="0">
        <references count="1">
          <reference field="6"/>
        </references>
      </pivotArea>
    </format>
    <format action="formatting" dxfId="4305">
      <pivotArea type="normal" dataOnly="0" labelOnly="1" grandRow="1" outline="0" fieldPosition="0"/>
    </format>
    <format action="formatting" dxfId="4304">
      <pivotArea type="normal" dataOnly="0" labelOnly="1" outline="1" fieldPosition="0">
        <references count="1">
          <reference field="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4303">
      <pivotArea type="normal" dataOnly="0" labelOnly="1" grandCol="1" outline="0" fieldPosition="0"/>
    </format>
    <format action="formatting" dxfId="4302">
      <pivotArea type="all" dataOnly="0" outline="0" fieldPosition="0"/>
    </format>
    <format action="formatting" dxfId="4301">
      <pivotArea type="normal" dataOnly="1" outline="0" collapsedLevelsAreSubtotals="1" fieldPosition="0"/>
    </format>
    <format action="formatting" dxfId="4300">
      <pivotArea type="origin" dataOnly="0" labelOnly="1" outline="0" fieldPosition="0"/>
    </format>
    <format action="formatting" dxfId="4299">
      <pivotArea field="7" type="button" dataOnly="0" labelOnly="1" outline="0" axis="axisCol" fieldPosition="0"/>
    </format>
    <format action="formatting" dxfId="4298">
      <pivotArea type="topRight" dataOnly="0" labelOnly="1" outline="0" fieldPosition="0"/>
    </format>
    <format action="formatting" dxfId="4297">
      <pivotArea field="6" type="button" dataOnly="0" labelOnly="1" outline="0" axis="axisRow" fieldPosition="0"/>
    </format>
    <format action="formatting" dxfId="4296">
      <pivotArea type="normal" dataOnly="0" labelOnly="1" outline="1" fieldPosition="0">
        <references count="1">
          <reference field="6"/>
        </references>
      </pivotArea>
    </format>
    <format action="formatting" dxfId="4295">
      <pivotArea type="normal" dataOnly="0" labelOnly="1" grandRow="1" outline="0" fieldPosition="0"/>
    </format>
    <format action="formatting" dxfId="4294">
      <pivotArea type="normal" dataOnly="0" labelOnly="1" outline="1" fieldPosition="0">
        <references count="1">
          <reference field="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4293">
      <pivotArea type="normal" dataOnly="0" labelOnly="1" grandCol="1" outline="0" fieldPosition="0"/>
    </format>
    <format action="formatting" dxfId="4292">
      <pivotArea type="normal" dataOnly="1" outline="0" collapsedLevelsAreSubtotals="1" fieldPosition="0">
        <references count="1">
          <reference field="7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4291">
      <pivotArea type="normal" dataOnly="1" grandCol="1" outline="0" collapsedLevelsAreSubtotals="1" fieldPosition="0"/>
    </format>
    <format action="formatting" dxfId="4290">
      <pivotArea type="topRight" dataOnly="0" labelOnly="1" outline="0" fieldPosition="0"/>
    </format>
    <format action="formatting" dxfId="4289">
      <pivotArea type="normal" dataOnly="0" labelOnly="1" outline="1" fieldPosition="0">
        <references count="1">
          <reference field="7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4288">
      <pivotArea type="normal" dataOnly="0" labelOnly="1" grandCol="1" outline="0" fieldPosition="0"/>
    </format>
    <format action="formatting" dxfId="4287">
      <pivotArea type="normal" dataOnly="1" outline="0" collapsedLevelsAreSubtotals="1" fieldPosition="0">
        <references count="1">
          <reference field="7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4286">
      <pivotArea type="normal" dataOnly="1" grandCol="1" outline="0" collapsedLevelsAreSubtotals="1" fieldPosition="0"/>
    </format>
    <format action="formatting" dxfId="4285">
      <pivotArea type="topRight" dataOnly="0" labelOnly="1" outline="0" fieldPosition="0"/>
    </format>
    <format action="formatting" dxfId="4284">
      <pivotArea type="normal" dataOnly="0" labelOnly="1" outline="1" fieldPosition="0">
        <references count="1">
          <reference field="7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4283">
      <pivotArea type="normal" dataOnly="0" labelOnly="1" grandCol="1" outline="0" fieldPosition="0"/>
    </format>
  </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:r="http://schemas.openxmlformats.org/officeDocument/2006/relationships" xmlns="http://schemas.openxmlformats.org/spreadsheetml/2006/main" name="PivotTable4" cacheId="1" dataOnRows="0" dataCaption="Valu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0" fieldListSortAscending="0" mdxSubqueries="0" applyNumberFormats="0" applyBorderFormats="0" applyFontFormats="0" applyPatternFormats="0" applyAlignmentFormats="0" applyWidthHeightFormats="1" r:id="rId1">
  <location ref="A44:O53" firstHeaderRow="1" firstDataRow="2" firstDataCol="1"/>
  <pivotFields count="8"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Row" showDropDowns="1" compact="1" outline="1" subtotalTop="1" dragToRow="1" dragToCol="1" dragToPage="1" dragToData="1" dragOff="1" showAll="0" topAutoShow="1" itemPageCount="10" sortType="descending" defaultSubtotal="1">
      <items count="8">
        <item t="data" sd="1" x="4"/>
        <item t="data" sd="1" x="1"/>
        <item t="data" sd="1" x="6"/>
        <item t="data" sd="1" x="2"/>
        <item t="data" sd="1" x="5"/>
        <item t="data" sd="1" x="3"/>
        <item t="data" sd="1" x="0"/>
        <item t="default" sd="1"/>
      </items>
      <autoSortScope>
        <pivotArea type="normal" dataOnly="0" outline="0" fieldPosition="0">
          <references count="2">
            <reference field="4294967294" selected="0">
              <x v="0"/>
            </reference>
            <reference field="7" selected="0">
              <x v="1"/>
            </reference>
          </references>
        </pivotArea>
      </autoSortScope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0">
      <items count="14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</items>
    </pivotField>
  </pivotFields>
  <rowFields count="1">
    <field x="2"/>
  </rowFields>
  <rowItems count="8">
    <i t="data" r="0" i="0">
      <x v="1"/>
    </i>
    <i t="data" r="0" i="0">
      <x v="5"/>
    </i>
    <i t="data" r="0" i="0">
      <x v="0"/>
    </i>
    <i t="data" r="0" i="0">
      <x v="2"/>
    </i>
    <i t="data" r="0" i="0">
      <x v="4"/>
    </i>
    <i t="data" r="0" i="0">
      <x v="3"/>
    </i>
    <i t="data" r="0" i="0">
      <x v="6"/>
    </i>
    <i t="grand" r="0" i="0">
      <x v="0"/>
    </i>
  </rowItems>
  <colFields count="1">
    <field x="7"/>
  </colFields>
  <colItems count="1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grand" r="0" i="0">
      <x v="0"/>
    </i>
  </colItems>
  <dataFields count="1">
    <dataField name="Count of Amount" fld="4" subtotal="count" showDataAs="normal" baseField="2" baseItem="0" numFmtId="166"/>
  </dataFields>
  <formats count="30">
    <format action="formatting" dxfId="4052">
      <pivotArea type="all" dataOnly="0" outline="0" fieldPosition="0"/>
    </format>
    <format action="formatting" dxfId="4051">
      <pivotArea type="normal" dataOnly="1" outline="0" collapsedLevelsAreSubtotals="1" fieldPosition="0"/>
    </format>
    <format action="formatting" dxfId="4050">
      <pivotArea type="origin" dataOnly="0" labelOnly="1" outline="0" fieldPosition="0"/>
    </format>
    <format action="formatting" dxfId="4049">
      <pivotArea field="7" type="button" dataOnly="0" labelOnly="1" outline="0" axis="axisCol" fieldPosition="0"/>
    </format>
    <format action="formatting" dxfId="4048">
      <pivotArea type="topRight" dataOnly="0" labelOnly="1" outline="0" fieldPosition="0"/>
    </format>
    <format action="formatting" dxfId="4047">
      <pivotArea field="2" type="button" dataOnly="0" labelOnly="1" outline="0" axis="axisRow" fieldPosition="0"/>
    </format>
    <format action="formatting" dxfId="4046">
      <pivotArea type="normal" dataOnly="0" labelOnly="1" outline="1" fieldPosition="0">
        <references count="1">
          <reference field="2"/>
        </references>
      </pivotArea>
    </format>
    <format action="formatting" dxfId="4045">
      <pivotArea type="normal" dataOnly="0" labelOnly="1" grandRow="1" outline="0" fieldPosition="0"/>
    </format>
    <format action="formatting" dxfId="4044">
      <pivotArea type="normal" dataOnly="0" labelOnly="1" outline="1" fieldPosition="0">
        <references count="1">
          <reference field="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4043">
      <pivotArea type="normal" dataOnly="0" labelOnly="1" grandCol="1" outline="0" fieldPosition="0"/>
    </format>
    <format action="formatting" dxfId="4042">
      <pivotArea type="all" dataOnly="0" outline="0" fieldPosition="0"/>
    </format>
    <format action="formatting" dxfId="4041">
      <pivotArea type="normal" dataOnly="1" outline="0" collapsedLevelsAreSubtotals="1" fieldPosition="0"/>
    </format>
    <format action="formatting" dxfId="4040">
      <pivotArea type="origin" dataOnly="0" labelOnly="1" outline="0" fieldPosition="0"/>
    </format>
    <format action="formatting" dxfId="4039">
      <pivotArea field="7" type="button" dataOnly="0" labelOnly="1" outline="0" axis="axisCol" fieldPosition="0"/>
    </format>
    <format action="formatting" dxfId="4038">
      <pivotArea type="topRight" dataOnly="0" labelOnly="1" outline="0" fieldPosition="0"/>
    </format>
    <format action="formatting" dxfId="4037">
      <pivotArea field="2" type="button" dataOnly="0" labelOnly="1" outline="0" axis="axisRow" fieldPosition="0"/>
    </format>
    <format action="formatting" dxfId="4036">
      <pivotArea type="normal" dataOnly="0" labelOnly="1" outline="1" fieldPosition="0">
        <references count="1">
          <reference field="2"/>
        </references>
      </pivotArea>
    </format>
    <format action="formatting" dxfId="4035">
      <pivotArea type="normal" dataOnly="0" labelOnly="1" grandRow="1" outline="0" fieldPosition="0"/>
    </format>
    <format action="formatting" dxfId="4034">
      <pivotArea type="normal" dataOnly="0" labelOnly="1" outline="1" fieldPosition="0">
        <references count="1">
          <reference field="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4033">
      <pivotArea type="normal" dataOnly="0" labelOnly="1" grandCol="1" outline="0" fieldPosition="0"/>
    </format>
    <format action="formatting" dxfId="4032">
      <pivotArea type="normal" dataOnly="1" outline="0" collapsedLevelsAreSubtotals="1" fieldPosition="0">
        <references count="1">
          <reference field="7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4031">
      <pivotArea type="normal" dataOnly="1" grandCol="1" outline="0" collapsedLevelsAreSubtotals="1" fieldPosition="0"/>
    </format>
    <format action="formatting" dxfId="4030">
      <pivotArea type="topRight" dataOnly="0" labelOnly="1" outline="0" fieldPosition="0"/>
    </format>
    <format action="formatting" dxfId="4029">
      <pivotArea type="normal" dataOnly="0" labelOnly="1" outline="1" fieldPosition="0">
        <references count="1">
          <reference field="7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4028">
      <pivotArea type="normal" dataOnly="0" labelOnly="1" grandCol="1" outline="0" fieldPosition="0"/>
    </format>
    <format action="formatting" dxfId="4027">
      <pivotArea type="normal" dataOnly="1" outline="0" collapsedLevelsAreSubtotals="1" fieldPosition="0">
        <references count="1">
          <reference field="7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4026">
      <pivotArea type="normal" dataOnly="1" grandCol="1" outline="0" collapsedLevelsAreSubtotals="1" fieldPosition="0"/>
    </format>
    <format action="formatting" dxfId="4025">
      <pivotArea type="topRight" dataOnly="0" labelOnly="1" outline="0" fieldPosition="0"/>
    </format>
    <format action="formatting" dxfId="4024">
      <pivotArea type="normal" dataOnly="0" labelOnly="1" outline="1" fieldPosition="0">
        <references count="1">
          <reference field="7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4023">
      <pivotArea type="normal" dataOnly="0" labelOnly="1" grandCol="1" outline="0" fieldPosition="0"/>
    </format>
  </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:r="http://schemas.openxmlformats.org/officeDocument/2006/relationships" xmlns="http://schemas.openxmlformats.org/spreadsheetml/2006/main" name="PivotTable1" cacheId="0" dataOnRows="0" dataCaption="Valu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0" fieldListSortAscending="0" mdxSubqueries="0" applyNumberFormats="0" applyBorderFormats="0" applyFontFormats="0" applyPatternFormats="0" applyAlignmentFormats="0" applyWidthHeightFormats="1" r:id="rId1">
  <location ref="A3:O12" firstHeaderRow="1" firstDataRow="2" firstDataCol="1"/>
  <pivotFields count="8">
    <pivotField showDropDowns="1" compact="1" outline="1" subtotalTop="1" dragToRow="1" dragToCol="1" dragToPage="1" dragToData="1" dragOff="1" showAll="0" topAutoShow="1" itemPageCount="10" sortType="manual" defaultSubtotal="1">
      <items count="369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  <item t="data" sd="1" x="49"/>
        <item t="data" sd="1" x="50"/>
        <item t="data" sd="1" x="51"/>
        <item t="data" sd="1" x="52"/>
        <item t="data" sd="1" x="53"/>
        <item t="data" sd="1" x="54"/>
        <item t="data" sd="1" x="55"/>
        <item t="data" sd="1" x="56"/>
        <item t="data" sd="1" x="57"/>
        <item t="data" sd="1" x="58"/>
        <item t="data" sd="1" x="59"/>
        <item t="data" sd="1" x="60"/>
        <item t="data" sd="1" x="61"/>
        <item t="data" sd="1" x="62"/>
        <item t="data" sd="1" x="63"/>
        <item t="data" sd="1" x="64"/>
        <item t="data" sd="1" x="65"/>
        <item t="data" sd="1" x="66"/>
        <item t="data" sd="1" x="67"/>
        <item t="data" sd="1" x="68"/>
        <item t="data" sd="1" x="69"/>
        <item t="data" sd="1" x="70"/>
        <item t="data" sd="1" x="71"/>
        <item t="data" sd="1" x="72"/>
        <item t="data" sd="1" x="73"/>
        <item t="data" sd="1" x="74"/>
        <item t="data" sd="1" x="75"/>
        <item t="data" sd="1" x="76"/>
        <item t="data" sd="1" x="77"/>
        <item t="data" sd="1" x="78"/>
        <item t="data" sd="1" x="79"/>
        <item t="data" sd="1" x="80"/>
        <item t="data" sd="1" x="81"/>
        <item t="data" sd="1" x="82"/>
        <item t="data" sd="1" x="83"/>
        <item t="data" sd="1" x="84"/>
        <item t="data" sd="1" x="85"/>
        <item t="data" sd="1" x="86"/>
        <item t="data" sd="1" x="87"/>
        <item t="data" sd="1" x="88"/>
        <item t="data" sd="1" x="89"/>
        <item t="data" sd="1" x="90"/>
        <item t="data" sd="1" x="91"/>
        <item t="data" sd="1" x="92"/>
        <item t="data" sd="1" x="93"/>
        <item t="data" sd="1" x="94"/>
        <item t="data" sd="1" x="95"/>
        <item t="data" sd="1" x="96"/>
        <item t="data" sd="1" x="97"/>
        <item t="data" sd="1" x="98"/>
        <item t="data" sd="1" x="99"/>
        <item t="data" sd="1" x="100"/>
        <item t="data" sd="1" x="101"/>
        <item t="data" sd="1" x="102"/>
        <item t="data" sd="1" x="103"/>
        <item t="data" sd="1" x="104"/>
        <item t="data" sd="1" x="105"/>
        <item t="data" sd="1" x="106"/>
        <item t="data" sd="1" x="107"/>
        <item t="data" sd="1" x="108"/>
        <item t="data" sd="1" x="109"/>
        <item t="data" sd="1" x="110"/>
        <item t="data" sd="1" x="111"/>
        <item t="data" sd="1" x="112"/>
        <item t="data" sd="1" x="113"/>
        <item t="data" sd="1" x="114"/>
        <item t="data" sd="1" x="115"/>
        <item t="data" sd="1" x="116"/>
        <item t="data" sd="1" x="117"/>
        <item t="data" sd="1" x="118"/>
        <item t="data" sd="1" x="119"/>
        <item t="data" sd="1" x="120"/>
        <item t="data" sd="1" x="121"/>
        <item t="data" sd="1" x="122"/>
        <item t="data" sd="1" x="123"/>
        <item t="data" sd="1" x="124"/>
        <item t="data" sd="1" x="125"/>
        <item t="data" sd="1" x="126"/>
        <item t="data" sd="1" x="127"/>
        <item t="data" sd="1" x="128"/>
        <item t="data" sd="1" x="129"/>
        <item t="data" sd="1" x="130"/>
        <item t="data" sd="1" x="131"/>
        <item t="data" sd="1" x="132"/>
        <item t="data" sd="1" x="133"/>
        <item t="data" sd="1" x="134"/>
        <item t="data" sd="1" x="135"/>
        <item t="data" sd="1" x="136"/>
        <item t="data" sd="1" x="137"/>
        <item t="data" sd="1" x="138"/>
        <item t="data" sd="1" x="139"/>
        <item t="data" sd="1" x="140"/>
        <item t="data" sd="1" x="141"/>
        <item t="data" sd="1" x="142"/>
        <item t="data" sd="1" x="143"/>
        <item t="data" sd="1" x="144"/>
        <item t="data" sd="1" x="145"/>
        <item t="data" sd="1" x="146"/>
        <item t="data" sd="1" x="147"/>
        <item t="data" sd="1" x="148"/>
        <item t="data" sd="1" x="149"/>
        <item t="data" sd="1" x="150"/>
        <item t="data" sd="1" x="151"/>
        <item t="data" sd="1" x="152"/>
        <item t="data" sd="1" x="153"/>
        <item t="data" sd="1" x="154"/>
        <item t="data" sd="1" x="155"/>
        <item t="data" sd="1" x="156"/>
        <item t="data" sd="1" x="157"/>
        <item t="data" sd="1" x="158"/>
        <item t="data" sd="1" x="159"/>
        <item t="data" sd="1" x="160"/>
        <item t="data" sd="1" x="161"/>
        <item t="data" sd="1" x="162"/>
        <item t="data" sd="1" x="163"/>
        <item t="data" sd="1" x="164"/>
        <item t="data" sd="1" x="165"/>
        <item t="data" sd="1" x="166"/>
        <item t="data" sd="1" x="167"/>
        <item t="data" sd="1" x="168"/>
        <item t="data" sd="1" x="169"/>
        <item t="data" sd="1" x="170"/>
        <item t="data" sd="1" x="171"/>
        <item t="data" sd="1" x="172"/>
        <item t="data" sd="1" x="173"/>
        <item t="data" sd="1" x="174"/>
        <item t="data" sd="1" x="175"/>
        <item t="data" sd="1" x="176"/>
        <item t="data" sd="1" x="177"/>
        <item t="data" sd="1" x="178"/>
        <item t="data" sd="1" x="179"/>
        <item t="data" sd="1" x="180"/>
        <item t="data" sd="1" x="181"/>
        <item t="data" sd="1" x="182"/>
        <item t="data" sd="1" x="183"/>
        <item t="data" sd="1" x="184"/>
        <item t="data" sd="1" x="185"/>
        <item t="data" sd="1" x="186"/>
        <item t="data" sd="1" x="187"/>
        <item t="data" sd="1" x="188"/>
        <item t="data" sd="1" x="189"/>
        <item t="data" sd="1" x="190"/>
        <item t="data" sd="1" x="191"/>
        <item t="data" sd="1" x="192"/>
        <item t="data" sd="1" x="193"/>
        <item t="data" sd="1" x="194"/>
        <item t="data" sd="1" x="195"/>
        <item t="data" sd="1" x="196"/>
        <item t="data" sd="1" x="197"/>
        <item t="data" sd="1" x="198"/>
        <item t="data" sd="1" x="199"/>
        <item t="data" sd="1" x="200"/>
        <item t="data" sd="1" x="201"/>
        <item t="data" sd="1" x="202"/>
        <item t="data" sd="1" x="203"/>
        <item t="data" sd="1" x="204"/>
        <item t="data" sd="1" x="205"/>
        <item t="data" sd="1" x="206"/>
        <item t="data" sd="1" x="207"/>
        <item t="data" sd="1" x="208"/>
        <item t="data" sd="1" x="209"/>
        <item t="data" sd="1" x="210"/>
        <item t="data" sd="1" x="211"/>
        <item t="data" sd="1" x="212"/>
        <item t="data" sd="1" x="213"/>
        <item t="data" sd="1" x="214"/>
        <item t="data" sd="1" x="215"/>
        <item t="data" sd="1" x="216"/>
        <item t="data" sd="1" x="217"/>
        <item t="data" sd="1" x="218"/>
        <item t="data" sd="1" x="219"/>
        <item t="data" sd="1" x="220"/>
        <item t="data" sd="1" x="221"/>
        <item t="data" sd="1" x="222"/>
        <item t="data" sd="1" x="223"/>
        <item t="data" sd="1" x="224"/>
        <item t="data" sd="1" x="225"/>
        <item t="data" sd="1" x="226"/>
        <item t="data" sd="1" x="227"/>
        <item t="data" sd="1" x="228"/>
        <item t="data" sd="1" x="229"/>
        <item t="data" sd="1" x="230"/>
        <item t="data" sd="1" x="231"/>
        <item t="data" sd="1" x="232"/>
        <item t="data" sd="1" x="233"/>
        <item t="data" sd="1" x="234"/>
        <item t="data" sd="1" x="235"/>
        <item t="data" sd="1" x="236"/>
        <item t="data" sd="1" x="237"/>
        <item t="data" sd="1" x="238"/>
        <item t="data" sd="1" x="239"/>
        <item t="data" sd="1" x="240"/>
        <item t="data" sd="1" x="241"/>
        <item t="data" sd="1" x="242"/>
        <item t="data" sd="1" x="243"/>
        <item t="data" sd="1" x="244"/>
        <item t="data" sd="1" x="245"/>
        <item t="data" sd="1" x="246"/>
        <item t="data" sd="1" x="247"/>
        <item t="data" sd="1" x="248"/>
        <item t="data" sd="1" x="249"/>
        <item t="data" sd="1" x="250"/>
        <item t="data" sd="1" x="251"/>
        <item t="data" sd="1" x="252"/>
        <item t="data" sd="1" x="253"/>
        <item t="data" sd="1" x="254"/>
        <item t="data" sd="1" x="255"/>
        <item t="data" sd="1" x="256"/>
        <item t="data" sd="1" x="257"/>
        <item t="data" sd="1" x="258"/>
        <item t="data" sd="1" x="259"/>
        <item t="data" sd="1" x="260"/>
        <item t="data" sd="1" x="261"/>
        <item t="data" sd="1" x="262"/>
        <item t="data" sd="1" x="263"/>
        <item t="data" sd="1" x="264"/>
        <item t="data" sd="1" x="265"/>
        <item t="data" sd="1" x="266"/>
        <item t="data" sd="1" x="267"/>
        <item t="data" sd="1" x="268"/>
        <item t="data" sd="1" x="269"/>
        <item t="data" sd="1" x="270"/>
        <item t="data" sd="1" x="271"/>
        <item t="data" sd="1" x="272"/>
        <item t="data" sd="1" x="273"/>
        <item t="data" sd="1" x="274"/>
        <item t="data" sd="1" x="275"/>
        <item t="data" sd="1" x="276"/>
        <item t="data" sd="1" x="277"/>
        <item t="data" sd="1" x="278"/>
        <item t="data" sd="1" x="279"/>
        <item t="data" sd="1" x="280"/>
        <item t="data" sd="1" x="281"/>
        <item t="data" sd="1" x="282"/>
        <item t="data" sd="1" x="283"/>
        <item t="data" sd="1" x="284"/>
        <item t="data" sd="1" x="285"/>
        <item t="data" sd="1" x="286"/>
        <item t="data" sd="1" x="287"/>
        <item t="data" sd="1" x="288"/>
        <item t="data" sd="1" x="289"/>
        <item t="data" sd="1" x="290"/>
        <item t="data" sd="1" x="291"/>
        <item t="data" sd="1" x="292"/>
        <item t="data" sd="1" x="293"/>
        <item t="data" sd="1" x="294"/>
        <item t="data" sd="1" x="295"/>
        <item t="data" sd="1" x="296"/>
        <item t="data" sd="1" x="297"/>
        <item t="data" sd="1" x="298"/>
        <item t="data" sd="1" x="299"/>
        <item t="data" sd="1" x="300"/>
        <item t="data" sd="1" x="301"/>
        <item t="data" sd="1" x="302"/>
        <item t="data" sd="1" x="303"/>
        <item t="data" sd="1" x="304"/>
        <item t="data" sd="1" x="305"/>
        <item t="data" sd="1" x="306"/>
        <item t="data" sd="1" x="307"/>
        <item t="data" sd="1" x="308"/>
        <item t="data" sd="1" x="309"/>
        <item t="data" sd="1" x="310"/>
        <item t="data" sd="1" x="311"/>
        <item t="data" sd="1" x="312"/>
        <item t="data" sd="1" x="313"/>
        <item t="data" sd="1" x="314"/>
        <item t="data" sd="1" x="315"/>
        <item t="data" sd="1" x="316"/>
        <item t="data" sd="1" x="317"/>
        <item t="data" sd="1" x="318"/>
        <item t="data" sd="1" x="319"/>
        <item t="data" sd="1" x="320"/>
        <item t="data" sd="1" x="321"/>
        <item t="data" sd="1" x="322"/>
        <item t="data" sd="1" x="323"/>
        <item t="data" sd="1" x="324"/>
        <item t="data" sd="1" x="325"/>
        <item t="data" sd="1" x="326"/>
        <item t="data" sd="1" x="327"/>
        <item t="data" sd="1" x="328"/>
        <item t="data" sd="1" x="329"/>
        <item t="data" sd="1" x="330"/>
        <item t="data" sd="1" x="331"/>
        <item t="data" sd="1" x="332"/>
        <item t="data" sd="1" x="333"/>
        <item t="data" sd="1" x="334"/>
        <item t="data" sd="1" x="335"/>
        <item t="data" sd="1" x="336"/>
        <item t="data" sd="1" x="337"/>
        <item t="data" sd="1" x="338"/>
        <item t="data" sd="1" x="339"/>
        <item t="data" sd="1" x="340"/>
        <item t="data" sd="1" x="341"/>
        <item t="data" sd="1" x="342"/>
        <item t="data" sd="1" x="343"/>
        <item t="data" sd="1" x="344"/>
        <item t="data" sd="1" x="345"/>
        <item t="data" sd="1" x="346"/>
        <item t="data" sd="1" x="347"/>
        <item t="data" sd="1" x="348"/>
        <item t="data" sd="1" x="349"/>
        <item t="data" sd="1" x="350"/>
        <item t="data" sd="1" x="351"/>
        <item t="data" sd="1" x="352"/>
        <item t="data" sd="1" x="353"/>
        <item t="data" sd="1" x="354"/>
        <item t="data" sd="1" x="355"/>
        <item t="data" sd="1" x="356"/>
        <item t="data" sd="1" x="357"/>
        <item t="data" sd="1" x="358"/>
        <item t="data" sd="1" x="359"/>
        <item t="data" sd="1" x="360"/>
        <item t="data" sd="1" x="361"/>
        <item t="data" sd="1" x="362"/>
        <item t="data" sd="1" x="363"/>
        <item t="data" sd="1" x="364"/>
        <item t="data" sd="1" x="365"/>
        <item t="data" sd="1" x="366"/>
        <item t="data" sd="1" x="367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Row" showDropDowns="1" compact="1" outline="1" subtotalTop="1" dragToRow="1" dragToCol="1" dragToPage="1" dragToData="1" dragOff="1" showAll="0" topAutoShow="1" itemPageCount="10" sortType="descending" defaultSubtotal="1">
      <items count="8">
        <item t="data" sd="1" x="0"/>
        <item t="data" sd="1" x="3"/>
        <item t="data" sd="1" x="5"/>
        <item t="data" sd="1" x="2"/>
        <item t="data" sd="1" x="6"/>
        <item t="data" sd="1" x="1"/>
        <item t="data" sd="1" x="4"/>
        <item t="default" sd="1"/>
      </items>
      <autoSortScope>
        <pivotArea type="normal" dataOnly="0" outline="0" fieldPosition="0">
          <references count="2">
            <reference field="4294967294" selected="0">
              <x v="0"/>
            </reference>
            <reference field="7" selected="0">
              <x v="1"/>
            </reference>
          </references>
        </pivotArea>
      </autoSortScope>
    </pivotField>
    <pivotField showDropDowns="1" compact="1" outline="1" subtotalTop="1" dragToRow="1" dragToCol="1" dragToPage="1" dragToData="1" dragOff="1" showAll="0" topAutoShow="1" itemPageCount="10" sortType="manual" defaultSubtotal="1">
      <items count="9">
        <item t="data" sd="1" x="3"/>
        <item t="data" sd="1" x="7"/>
        <item t="data" sd="1" x="5"/>
        <item t="data" sd="1" x="1"/>
        <item t="data" sd="1" x="2"/>
        <item t="data" sd="1" x="6"/>
        <item t="data" sd="1" x="4"/>
        <item t="data" sd="1" x="0"/>
        <item t="default" sd="1"/>
      </items>
    </pivotField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15">
        <item t="data" sd="0" x="0"/>
        <item t="data" sd="0" x="1"/>
        <item t="data" sd="0" x="2"/>
        <item t="data" sd="0" x="3"/>
        <item t="data" sd="0" x="4"/>
        <item t="data" sd="0" x="5"/>
        <item t="data" sd="0" x="6"/>
        <item t="data" sd="0" x="7"/>
        <item t="data" sd="0" x="8"/>
        <item t="data" sd="0" x="9"/>
        <item t="data" sd="0" x="10"/>
        <item t="data" sd="0" x="11"/>
        <item t="data" sd="0" x="12"/>
        <item t="data" sd="0" x="13"/>
        <item t="default" sd="1"/>
      </items>
    </pivotField>
  </pivotFields>
  <rowFields count="1">
    <field x="2"/>
  </rowFields>
  <rowItems count="8">
    <i t="data" r="0" i="0">
      <x v="5"/>
    </i>
    <i t="data" r="0" i="0">
      <x v="1"/>
    </i>
    <i t="data" r="0" i="0">
      <x v="2"/>
    </i>
    <i t="data" r="0" i="0">
      <x v="4"/>
    </i>
    <i t="data" r="0" i="0">
      <x v="6"/>
    </i>
    <i t="data" r="0" i="0">
      <x v="3"/>
    </i>
    <i t="data" r="0" i="0">
      <x v="0"/>
    </i>
    <i t="grand" r="0" i="0">
      <x v="0"/>
    </i>
  </rowItems>
  <colFields count="1">
    <field x="7"/>
  </colFields>
  <colItems count="1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grand" r="0" i="0">
      <x v="0"/>
    </i>
  </colItems>
  <dataFields count="1">
    <dataField name="Sum of Categories" fld="4" subtotal="sum" showDataAs="normal" baseField="2" baseItem="0" numFmtId="166"/>
  </dataFields>
  <formats count="80">
    <format action="formatting" dxfId="4022">
      <pivotArea type="all" dataOnly="0" outline="0" fieldPosition="0"/>
    </format>
    <format action="formatting" dxfId="4021">
      <pivotArea type="normal" dataOnly="1" outline="0" collapsedLevelsAreSubtotals="1" fieldPosition="0"/>
    </format>
    <format action="formatting" dxfId="4020">
      <pivotArea type="origin" dataOnly="0" labelOnly="1" outline="0" fieldPosition="0"/>
    </format>
    <format action="formatting" dxfId="4019">
      <pivotArea field="7" type="button" dataOnly="0" labelOnly="1" outline="0" axis="axisCol" fieldPosition="0"/>
    </format>
    <format action="formatting" dxfId="4018">
      <pivotArea type="topRight" dataOnly="0" labelOnly="1" outline="0" fieldPosition="0"/>
    </format>
    <format action="formatting" dxfId="4017">
      <pivotArea field="2" type="button" dataOnly="0" labelOnly="1" outline="0" axis="axisRow" fieldPosition="0"/>
    </format>
    <format action="formatting" dxfId="4016">
      <pivotArea type="normal" dataOnly="0" labelOnly="1" outline="1" fieldPosition="0">
        <references count="1">
          <reference field="2"/>
        </references>
      </pivotArea>
    </format>
    <format action="formatting" dxfId="4015">
      <pivotArea type="normal" dataOnly="0" labelOnly="1" grandRow="1" outline="0" fieldPosition="0"/>
    </format>
    <format action="formatting" dxfId="4014">
      <pivotArea type="normal" dataOnly="0" labelOnly="1" outline="1" fieldPosition="0">
        <references count="1">
          <reference field="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4013">
      <pivotArea type="normal" dataOnly="0" labelOnly="1" grandCol="1" outline="0" fieldPosition="0"/>
    </format>
    <format action="formatting" dxfId="4012">
      <pivotArea type="all" dataOnly="0" outline="0" fieldPosition="0"/>
    </format>
    <format action="formatting" dxfId="4011">
      <pivotArea type="normal" dataOnly="1" outline="0" collapsedLevelsAreSubtotals="1" fieldPosition="0"/>
    </format>
    <format action="formatting" dxfId="4010">
      <pivotArea type="origin" dataOnly="0" labelOnly="1" outline="0" fieldPosition="0"/>
    </format>
    <format action="formatting" dxfId="4009">
      <pivotArea field="7" type="button" dataOnly="0" labelOnly="1" outline="0" axis="axisCol" fieldPosition="0"/>
    </format>
    <format action="formatting" dxfId="4008">
      <pivotArea type="topRight" dataOnly="0" labelOnly="1" outline="0" fieldPosition="0"/>
    </format>
    <format action="formatting" dxfId="4007">
      <pivotArea field="2" type="button" dataOnly="0" labelOnly="1" outline="0" axis="axisRow" fieldPosition="0"/>
    </format>
    <format action="formatting" dxfId="4006">
      <pivotArea type="normal" dataOnly="0" labelOnly="1" outline="1" fieldPosition="0">
        <references count="1">
          <reference field="2"/>
        </references>
      </pivotArea>
    </format>
    <format action="formatting" dxfId="4005">
      <pivotArea type="normal" dataOnly="0" labelOnly="1" grandRow="1" outline="0" fieldPosition="0"/>
    </format>
    <format action="formatting" dxfId="4004">
      <pivotArea type="normal" dataOnly="0" labelOnly="1" outline="1" fieldPosition="0">
        <references count="1">
          <reference field="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4003">
      <pivotArea type="normal" dataOnly="0" labelOnly="1" grandCol="1" outline="0" fieldPosition="0"/>
    </format>
    <format action="formatting" dxfId="4002">
      <pivotArea type="all" dataOnly="0" outline="0" fieldPosition="0"/>
    </format>
    <format action="formatting" dxfId="4001">
      <pivotArea type="normal" dataOnly="1" outline="0" collapsedLevelsAreSubtotals="1" fieldPosition="0"/>
    </format>
    <format action="formatting" dxfId="4000">
      <pivotArea type="origin" dataOnly="0" labelOnly="1" outline="0" fieldPosition="0"/>
    </format>
    <format action="formatting" dxfId="3999">
      <pivotArea field="7" type="button" dataOnly="0" labelOnly="1" outline="0" axis="axisCol" fieldPosition="0"/>
    </format>
    <format action="formatting" dxfId="3998">
      <pivotArea type="topRight" dataOnly="0" labelOnly="1" outline="0" fieldPosition="0"/>
    </format>
    <format action="formatting" dxfId="3997">
      <pivotArea field="2" type="button" dataOnly="0" labelOnly="1" outline="0" axis="axisRow" fieldPosition="0"/>
    </format>
    <format action="formatting" dxfId="3996">
      <pivotArea type="normal" dataOnly="0" labelOnly="1" outline="1" fieldPosition="0">
        <references count="1">
          <reference field="2"/>
        </references>
      </pivotArea>
    </format>
    <format action="formatting" dxfId="3995">
      <pivotArea type="normal" dataOnly="0" labelOnly="1" grandRow="1" outline="0" fieldPosition="0"/>
    </format>
    <format action="formatting" dxfId="3994">
      <pivotArea type="normal" dataOnly="0" labelOnly="1" outline="1" fieldPosition="0">
        <references count="1">
          <reference field="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3993">
      <pivotArea type="normal" dataOnly="0" labelOnly="1" grandCol="1" outline="0" fieldPosition="0"/>
    </format>
    <format action="formatting" dxfId="3992">
      <pivotArea type="all" dataOnly="0" outline="0" fieldPosition="0"/>
    </format>
    <format action="formatting" dxfId="3991">
      <pivotArea type="normal" dataOnly="1" outline="0" collapsedLevelsAreSubtotals="1" fieldPosition="0"/>
    </format>
    <format action="formatting" dxfId="3990">
      <pivotArea type="origin" dataOnly="0" labelOnly="1" outline="0" fieldPosition="0"/>
    </format>
    <format action="formatting" dxfId="3989">
      <pivotArea field="7" type="button" dataOnly="0" labelOnly="1" outline="0" axis="axisCol" fieldPosition="0"/>
    </format>
    <format action="formatting" dxfId="3988">
      <pivotArea type="topRight" dataOnly="0" labelOnly="1" outline="0" fieldPosition="0"/>
    </format>
    <format action="formatting" dxfId="3987">
      <pivotArea field="2" type="button" dataOnly="0" labelOnly="1" outline="0" axis="axisRow" fieldPosition="0"/>
    </format>
    <format action="formatting" dxfId="3986">
      <pivotArea type="normal" dataOnly="0" labelOnly="1" outline="1" fieldPosition="0">
        <references count="1">
          <reference field="2"/>
        </references>
      </pivotArea>
    </format>
    <format action="formatting" dxfId="3985">
      <pivotArea type="normal" dataOnly="0" labelOnly="1" grandRow="1" outline="0" fieldPosition="0"/>
    </format>
    <format action="formatting" dxfId="3984">
      <pivotArea type="normal" dataOnly="0" labelOnly="1" outline="1" fieldPosition="0">
        <references count="1">
          <reference field="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3983">
      <pivotArea type="normal" dataOnly="0" labelOnly="1" grandCol="1" outline="0" fieldPosition="0"/>
    </format>
    <format action="formatting" dxfId="3982">
      <pivotArea type="normal" dataOnly="1" outline="0" collapsedLevelsAreSubtotals="1" fieldPosition="0">
        <references count="1">
          <reference field="7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3981">
      <pivotArea type="normal" dataOnly="1" grandCol="1" outline="0" collapsedLevelsAreSubtotals="1" fieldPosition="0"/>
    </format>
    <format action="formatting" dxfId="3980">
      <pivotArea type="topRight" dataOnly="0" labelOnly="1" outline="0" fieldPosition="0"/>
    </format>
    <format action="formatting" dxfId="3979">
      <pivotArea type="normal" dataOnly="0" labelOnly="1" outline="1" fieldPosition="0">
        <references count="1">
          <reference field="7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3978">
      <pivotArea type="normal" dataOnly="0" labelOnly="1" grandCol="1" outline="0" fieldPosition="0"/>
    </format>
    <format action="formatting" dxfId="3977">
      <pivotArea type="normal" dataOnly="1" outline="0" collapsedLevelsAreSubtotals="1" fieldPosition="0">
        <references count="1">
          <reference field="7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3976">
      <pivotArea type="normal" dataOnly="1" grandCol="1" outline="0" collapsedLevelsAreSubtotals="1" fieldPosition="0"/>
    </format>
    <format action="formatting" dxfId="3975">
      <pivotArea type="topRight" dataOnly="0" labelOnly="1" outline="0" fieldPosition="0"/>
    </format>
    <format action="formatting" dxfId="3974">
      <pivotArea type="normal" dataOnly="0" labelOnly="1" outline="1" fieldPosition="0">
        <references count="1">
          <reference field="7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3973">
      <pivotArea type="normal" dataOnly="0" labelOnly="1" grandCol="1" outline="0" fieldPosition="0"/>
    </format>
    <format action="formatting" dxfId="3972">
      <pivotArea type="all" dataOnly="0" outline="0" fieldPosition="0"/>
    </format>
    <format action="formatting" dxfId="3971">
      <pivotArea type="normal" dataOnly="1" outline="0" collapsedLevelsAreSubtotals="1" fieldPosition="0"/>
    </format>
    <format action="formatting" dxfId="3970">
      <pivotArea type="origin" dataOnly="0" labelOnly="1" outline="0" fieldPosition="0"/>
    </format>
    <format action="formatting" dxfId="3969">
      <pivotArea field="7" type="button" dataOnly="0" labelOnly="1" outline="0" axis="axisCol" fieldPosition="0"/>
    </format>
    <format action="formatting" dxfId="3968">
      <pivotArea type="topRight" dataOnly="0" labelOnly="1" outline="0" fieldPosition="0"/>
    </format>
    <format action="formatting" dxfId="3967">
      <pivotArea field="2" type="button" dataOnly="0" labelOnly="1" outline="0" axis="axisRow" fieldPosition="0"/>
    </format>
    <format action="formatting" dxfId="3966">
      <pivotArea type="normal" dataOnly="0" labelOnly="1" outline="1" fieldPosition="0">
        <references count="1">
          <reference field="2"/>
        </references>
      </pivotArea>
    </format>
    <format action="formatting" dxfId="3965">
      <pivotArea type="normal" dataOnly="0" labelOnly="1" grandRow="1" outline="0" fieldPosition="0"/>
    </format>
    <format action="formatting" dxfId="3964">
      <pivotArea type="normal" dataOnly="0" labelOnly="1" outline="1" fieldPosition="0">
        <references count="1">
          <reference field="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3963">
      <pivotArea type="normal" dataOnly="0" labelOnly="1" grandCol="1" outline="0" fieldPosition="0"/>
    </format>
    <format action="formatting" dxfId="3962">
      <pivotArea type="all" dataOnly="0" outline="0" fieldPosition="0"/>
    </format>
    <format action="formatting" dxfId="3961">
      <pivotArea type="normal" dataOnly="1" outline="0" collapsedLevelsAreSubtotals="1" fieldPosition="0"/>
    </format>
    <format action="formatting" dxfId="3960">
      <pivotArea type="origin" dataOnly="0" labelOnly="1" outline="0" fieldPosition="0"/>
    </format>
    <format action="formatting" dxfId="3959">
      <pivotArea field="7" type="button" dataOnly="0" labelOnly="1" outline="0" axis="axisCol" fieldPosition="0"/>
    </format>
    <format action="formatting" dxfId="3958">
      <pivotArea type="topRight" dataOnly="0" labelOnly="1" outline="0" fieldPosition="0"/>
    </format>
    <format action="formatting" dxfId="3957">
      <pivotArea field="2" type="button" dataOnly="0" labelOnly="1" outline="0" axis="axisRow" fieldPosition="0"/>
    </format>
    <format action="formatting" dxfId="3956">
      <pivotArea type="normal" dataOnly="0" labelOnly="1" outline="1" fieldPosition="0">
        <references count="1">
          <reference field="2"/>
        </references>
      </pivotArea>
    </format>
    <format action="formatting" dxfId="3955">
      <pivotArea type="normal" dataOnly="0" labelOnly="1" grandRow="1" outline="0" fieldPosition="0"/>
    </format>
    <format action="formatting" dxfId="3954">
      <pivotArea type="normal" dataOnly="0" labelOnly="1" outline="1" fieldPosition="0">
        <references count="1">
          <reference field="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3953">
      <pivotArea type="normal" dataOnly="0" labelOnly="1" grandCol="1" outline="0" fieldPosition="0"/>
    </format>
    <format action="formatting" dxfId="3952">
      <pivotArea type="normal" dataOnly="1" outline="0" collapsedLevelsAreSubtotals="1" fieldPosition="0">
        <references count="1">
          <reference field="7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3951">
      <pivotArea type="normal" dataOnly="1" grandCol="1" outline="0" collapsedLevelsAreSubtotals="1" fieldPosition="0"/>
    </format>
    <format action="formatting" dxfId="3950">
      <pivotArea type="topRight" dataOnly="0" labelOnly="1" outline="0" fieldPosition="0"/>
    </format>
    <format action="formatting" dxfId="3949">
      <pivotArea type="normal" dataOnly="0" labelOnly="1" outline="1" fieldPosition="0">
        <references count="1">
          <reference field="7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3948">
      <pivotArea type="normal" dataOnly="0" labelOnly="1" grandCol="1" outline="0" fieldPosition="0"/>
    </format>
    <format action="formatting" dxfId="3947">
      <pivotArea type="normal" dataOnly="1" outline="0" collapsedLevelsAreSubtotals="1" fieldPosition="0">
        <references count="1">
          <reference field="7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3946">
      <pivotArea type="normal" dataOnly="1" grandCol="1" outline="0" collapsedLevelsAreSubtotals="1" fieldPosition="0"/>
    </format>
    <format action="formatting" dxfId="3945">
      <pivotArea type="topRight" dataOnly="0" labelOnly="1" outline="0" fieldPosition="0"/>
    </format>
    <format action="formatting" dxfId="3944">
      <pivotArea type="normal" dataOnly="0" labelOnly="1" outline="1" fieldPosition="0">
        <references count="1">
          <reference field="7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3943">
      <pivotArea type="normal" dataOnly="0" labelOnly="1" grandCol="1" outline="0" fieldPosition="0"/>
    </format>
  </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:r="http://schemas.openxmlformats.org/officeDocument/2006/relationships" xmlns="http://schemas.openxmlformats.org/spreadsheetml/2006/main" name="PivotTable2" cacheId="0" dataOnRows="0" dataCaption="Valu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0" fieldListSortAscending="0" mdxSubqueries="0" applyNumberFormats="0" applyBorderFormats="0" applyFontFormats="0" applyPatternFormats="0" applyAlignmentFormats="0" applyWidthHeightFormats="1" r:id="rId1">
  <location ref="A16:O26" firstHeaderRow="1" firstDataRow="2" firstDataCol="1"/>
  <pivotFields count="8"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>
      <items count="8">
        <item t="data" sd="1" x="4"/>
        <item t="data" sd="1" x="1"/>
        <item t="data" sd="1" x="6"/>
        <item t="data" sd="1" x="2"/>
        <item t="data" sd="1" x="5"/>
        <item t="data" sd="1" x="3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>
      <items count="144">
        <item t="data" sd="1" x="73"/>
        <item t="data" sd="1" x="39"/>
        <item t="data" sd="1" x="8"/>
        <item t="data" sd="1" x="113"/>
        <item t="data" sd="1" x="35"/>
        <item t="data" sd="1" x="57"/>
        <item t="data" sd="1" x="88"/>
        <item t="data" sd="1" x="134"/>
        <item t="data" sd="1" x="130"/>
        <item t="data" sd="1" x="118"/>
        <item t="data" sd="1" x="127"/>
        <item t="data" sd="1" x="90"/>
        <item t="data" sd="1" x="89"/>
        <item t="data" sd="1" x="20"/>
        <item t="data" sd="1" x="70"/>
        <item t="data" sd="1" x="122"/>
        <item t="data" sd="1" x="28"/>
        <item t="data" sd="1" x="42"/>
        <item t="data" sd="1" x="61"/>
        <item t="data" sd="1" x="15"/>
        <item t="data" sd="1" x="91"/>
        <item t="data" sd="1" x="4"/>
        <item t="data" sd="1" x="136"/>
        <item t="data" sd="1" x="131"/>
        <item t="data" sd="1" x="1"/>
        <item t="data" sd="1" x="140"/>
        <item t="data" sd="1" x="62"/>
        <item t="data" sd="1" x="102"/>
        <item t="data" sd="1" x="84"/>
        <item t="data" sd="1" x="56"/>
        <item t="data" sd="1" x="96"/>
        <item t="data" sd="1" x="64"/>
        <item t="data" sd="1" x="52"/>
        <item t="data" sd="1" x="128"/>
        <item t="data" sd="1" x="31"/>
        <item t="data" sd="1" x="67"/>
        <item t="data" sd="1" x="139"/>
        <item t="data" sd="1" x="5"/>
        <item t="data" sd="1" x="45"/>
        <item t="data" sd="1" x="17"/>
        <item t="data" sd="1" x="125"/>
        <item t="data" sd="1" x="38"/>
        <item t="data" sd="1" x="47"/>
        <item t="data" sd="1" x="114"/>
        <item t="data" sd="1" x="27"/>
        <item t="data" sd="1" x="71"/>
        <item t="data" sd="1" x="78"/>
        <item t="data" sd="1" x="50"/>
        <item t="data" sd="1" x="126"/>
        <item t="data" sd="1" x="77"/>
        <item t="data" sd="1" x="109"/>
        <item t="data" sd="1" x="59"/>
        <item t="data" sd="1" x="82"/>
        <item t="data" sd="1" x="60"/>
        <item t="data" sd="1" x="129"/>
        <item t="data" sd="1" x="138"/>
        <item t="data" sd="1" x="2"/>
        <item t="data" sd="1" x="83"/>
        <item t="data" sd="1" x="103"/>
        <item t="data" sd="1" x="106"/>
        <item t="data" sd="1" x="32"/>
        <item t="data" sd="1" x="10"/>
        <item t="data" sd="1" x="36"/>
        <item t="data" sd="1" x="119"/>
        <item t="data" sd="1" x="9"/>
        <item t="data" sd="1" x="111"/>
        <item t="data" sd="1" x="7"/>
        <item t="data" sd="1" x="33"/>
        <item t="data" sd="1" x="94"/>
        <item t="data" sd="1" x="21"/>
        <item t="data" sd="1" x="12"/>
        <item t="data" sd="1" x="3"/>
        <item t="data" sd="1" x="133"/>
        <item t="data" sd="1" x="69"/>
        <item t="data" sd="1" x="46"/>
        <item t="data" sd="1" x="95"/>
        <item t="data" sd="1" x="34"/>
        <item t="data" sd="1" x="11"/>
        <item t="data" sd="1" x="19"/>
        <item t="data" sd="1" x="115"/>
        <item t="data" sd="1" x="97"/>
        <item t="data" sd="1" x="25"/>
        <item t="data" sd="1" x="117"/>
        <item t="data" sd="1" x="6"/>
        <item t="data" sd="1" x="132"/>
        <item t="data" sd="1" x="92"/>
        <item t="data" sd="1" x="44"/>
        <item t="data" sd="1" x="123"/>
        <item t="data" sd="1" x="105"/>
        <item t="data" sd="1" x="14"/>
        <item t="data" sd="1" x="68"/>
        <item t="data" sd="1" x="137"/>
        <item t="data" sd="1" x="98"/>
        <item t="data" sd="1" x="110"/>
        <item t="data" sd="1" x="142"/>
        <item t="data" sd="1" x="74"/>
        <item t="data" sd="1" x="55"/>
        <item t="data" sd="1" x="23"/>
        <item t="data" sd="1" x="124"/>
        <item t="data" sd="1" x="37"/>
        <item t="data" sd="1" x="63"/>
        <item t="data" sd="1" x="76"/>
        <item t="data" sd="1" x="48"/>
        <item t="data" sd="1" x="72"/>
        <item t="data" sd="1" x="40"/>
        <item t="data" sd="1" x="112"/>
        <item t="data" sd="1" x="13"/>
        <item t="data" sd="1" x="104"/>
        <item t="data" sd="1" x="93"/>
        <item t="data" sd="1" x="49"/>
        <item t="data" sd="1" x="66"/>
        <item t="data" sd="1" x="135"/>
        <item t="data" sd="1" x="51"/>
        <item t="data" sd="1" x="41"/>
        <item t="data" sd="1" x="30"/>
        <item t="data" sd="1" x="86"/>
        <item t="data" sd="1" x="75"/>
        <item t="data" sd="1" x="101"/>
        <item t="data" sd="1" x="120"/>
        <item t="data" sd="1" x="58"/>
        <item t="data" sd="1" x="65"/>
        <item t="data" sd="1" x="107"/>
        <item t="data" sd="1" x="80"/>
        <item t="data" sd="1" x="85"/>
        <item t="data" sd="1" x="100"/>
        <item t="data" sd="1" x="79"/>
        <item t="data" sd="1" x="81"/>
        <item t="data" sd="1" x="99"/>
        <item t="data" sd="1" x="54"/>
        <item t="data" sd="1" x="18"/>
        <item t="data" sd="1" x="116"/>
        <item t="data" sd="1" x="26"/>
        <item t="data" sd="1" x="121"/>
        <item t="data" sd="1" x="43"/>
        <item t="data" sd="1" x="87"/>
        <item t="data" sd="1" x="16"/>
        <item t="data" sd="1" x="22"/>
        <item t="data" sd="1" x="24"/>
        <item t="data" sd="1" x="29"/>
        <item t="data" sd="1" x="53"/>
        <item t="data" sd="1" x="141"/>
        <item t="data" sd="1" x="108"/>
        <item t="data" sd="1" x="0"/>
        <item t="default" sd="1"/>
      </items>
    </pivotField>
    <pivotField axis="axisRow" showDropDowns="1" compact="1" outline="1" subtotalTop="1" dragToRow="1" dragToCol="1" dragToPage="1" dragToData="1" dragOff="1" showAll="0" topAutoShow="1" itemPageCount="10" sortType="descending" defaultSubtotal="1">
      <items count="9">
        <item t="data" sd="1" x="3"/>
        <item t="data" sd="1" x="4"/>
        <item t="data" sd="1" x="2"/>
        <item t="data" sd="1" x="1"/>
        <item t="data" sd="1" x="5"/>
        <item t="data" sd="1" x="7"/>
        <item t="data" sd="1" x="6"/>
        <item t="data" sd="1" x="0"/>
        <item t="default" sd="1"/>
      </items>
      <autoSortScope>
        <pivotArea type="normal" dataOnly="0" outline="0" fieldPosition="0">
          <references count="2">
            <reference field="4294967294" selected="0">
              <x v="0"/>
            </reference>
            <reference field="7" selected="0">
              <x v="1"/>
            </reference>
          </references>
        </pivotArea>
      </autoSortScope>
    </pivotField>
    <pivotField axis="axisCol" showDropDowns="1" compact="1" outline="1" subtotalTop="1" dragToRow="1" dragToCol="1" dragToPage="1" dragToData="1" dragOff="1" showAll="0" topAutoShow="1" itemPageCount="10" sortType="manual" defaultSubtotal="0">
      <items count="14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</items>
    </pivotField>
  </pivotFields>
  <rowFields count="1">
    <field x="6"/>
  </rowFields>
  <rowItems count="9">
    <i t="data" r="0" i="0">
      <x v="3"/>
    </i>
    <i t="data" r="0" i="0">
      <x v="2"/>
    </i>
    <i t="data" r="0" i="0">
      <x v="4"/>
    </i>
    <i t="data" r="0" i="0">
      <x v="0"/>
    </i>
    <i t="data" r="0" i="0">
      <x v="6"/>
    </i>
    <i t="data" r="0" i="0">
      <x v="7"/>
    </i>
    <i t="data" r="0" i="0">
      <x v="1"/>
    </i>
    <i t="data" r="0" i="0">
      <x v="5"/>
    </i>
    <i t="grand" r="0" i="0">
      <x v="0"/>
    </i>
  </rowItems>
  <colFields count="1">
    <field x="7"/>
  </colFields>
  <colItems count="1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grand" r="0" i="0">
      <x v="0"/>
    </i>
  </colItems>
  <dataFields count="1">
    <dataField name="Sum of Amount" fld="4" subtotal="sum" showDataAs="normal" baseField="0" baseItem="0" numFmtId="166"/>
  </dataFields>
  <formats count="80">
    <format action="formatting" dxfId="3942">
      <pivotArea type="all" dataOnly="0" outline="0" fieldPosition="0"/>
    </format>
    <format action="formatting" dxfId="3941">
      <pivotArea type="normal" dataOnly="1" outline="0" collapsedLevelsAreSubtotals="1" fieldPosition="0"/>
    </format>
    <format action="formatting" dxfId="3940">
      <pivotArea type="origin" dataOnly="0" labelOnly="1" outline="0" fieldPosition="0"/>
    </format>
    <format action="formatting" dxfId="3939">
      <pivotArea field="7" type="button" dataOnly="0" labelOnly="1" outline="0" axis="axisCol" fieldPosition="0"/>
    </format>
    <format action="formatting" dxfId="3938">
      <pivotArea type="topRight" dataOnly="0" labelOnly="1" outline="0" fieldPosition="0"/>
    </format>
    <format action="formatting" dxfId="3937">
      <pivotArea field="6" type="button" dataOnly="0" labelOnly="1" outline="0" axis="axisRow" fieldPosition="0"/>
    </format>
    <format action="formatting" dxfId="3936">
      <pivotArea type="normal" dataOnly="0" labelOnly="1" outline="1" fieldPosition="0">
        <references count="1">
          <reference field="6"/>
        </references>
      </pivotArea>
    </format>
    <format action="formatting" dxfId="3935">
      <pivotArea type="normal" dataOnly="0" labelOnly="1" grandRow="1" outline="0" fieldPosition="0"/>
    </format>
    <format action="formatting" dxfId="3934">
      <pivotArea type="normal" dataOnly="0" labelOnly="1" outline="1" fieldPosition="0">
        <references count="1">
          <reference field="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3933">
      <pivotArea type="normal" dataOnly="0" labelOnly="1" grandCol="1" outline="0" fieldPosition="0"/>
    </format>
    <format action="formatting" dxfId="3932">
      <pivotArea type="all" dataOnly="0" outline="0" fieldPosition="0"/>
    </format>
    <format action="formatting" dxfId="3931">
      <pivotArea type="normal" dataOnly="1" outline="0" collapsedLevelsAreSubtotals="1" fieldPosition="0"/>
    </format>
    <format action="formatting" dxfId="3930">
      <pivotArea type="origin" dataOnly="0" labelOnly="1" outline="0" fieldPosition="0"/>
    </format>
    <format action="formatting" dxfId="3929">
      <pivotArea field="7" type="button" dataOnly="0" labelOnly="1" outline="0" axis="axisCol" fieldPosition="0"/>
    </format>
    <format action="formatting" dxfId="3928">
      <pivotArea type="topRight" dataOnly="0" labelOnly="1" outline="0" fieldPosition="0"/>
    </format>
    <format action="formatting" dxfId="3927">
      <pivotArea field="6" type="button" dataOnly="0" labelOnly="1" outline="0" axis="axisRow" fieldPosition="0"/>
    </format>
    <format action="formatting" dxfId="3926">
      <pivotArea type="normal" dataOnly="0" labelOnly="1" outline="1" fieldPosition="0">
        <references count="1">
          <reference field="6"/>
        </references>
      </pivotArea>
    </format>
    <format action="formatting" dxfId="3925">
      <pivotArea type="normal" dataOnly="0" labelOnly="1" grandRow="1" outline="0" fieldPosition="0"/>
    </format>
    <format action="formatting" dxfId="3924">
      <pivotArea type="normal" dataOnly="0" labelOnly="1" outline="1" fieldPosition="0">
        <references count="1">
          <reference field="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3923">
      <pivotArea type="normal" dataOnly="0" labelOnly="1" grandCol="1" outline="0" fieldPosition="0"/>
    </format>
    <format action="formatting" dxfId="3922">
      <pivotArea type="all" dataOnly="0" outline="0" fieldPosition="0"/>
    </format>
    <format action="formatting" dxfId="3921">
      <pivotArea type="normal" dataOnly="1" outline="0" collapsedLevelsAreSubtotals="1" fieldPosition="0"/>
    </format>
    <format action="formatting" dxfId="3920">
      <pivotArea type="origin" dataOnly="0" labelOnly="1" outline="0" fieldPosition="0"/>
    </format>
    <format action="formatting" dxfId="3919">
      <pivotArea field="7" type="button" dataOnly="0" labelOnly="1" outline="0" axis="axisCol" fieldPosition="0"/>
    </format>
    <format action="formatting" dxfId="3918">
      <pivotArea type="topRight" dataOnly="0" labelOnly="1" outline="0" fieldPosition="0"/>
    </format>
    <format action="formatting" dxfId="3917">
      <pivotArea field="6" type="button" dataOnly="0" labelOnly="1" outline="0" axis="axisRow" fieldPosition="0"/>
    </format>
    <format action="formatting" dxfId="3916">
      <pivotArea type="normal" dataOnly="0" labelOnly="1" outline="1" fieldPosition="0">
        <references count="1">
          <reference field="6"/>
        </references>
      </pivotArea>
    </format>
    <format action="formatting" dxfId="3915">
      <pivotArea type="normal" dataOnly="0" labelOnly="1" grandRow="1" outline="0" fieldPosition="0"/>
    </format>
    <format action="formatting" dxfId="3914">
      <pivotArea type="normal" dataOnly="0" labelOnly="1" outline="1" fieldPosition="0">
        <references count="1">
          <reference field="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3913">
      <pivotArea type="normal" dataOnly="0" labelOnly="1" grandCol="1" outline="0" fieldPosition="0"/>
    </format>
    <format action="formatting" dxfId="3912">
      <pivotArea type="all" dataOnly="0" outline="0" fieldPosition="0"/>
    </format>
    <format action="formatting" dxfId="3911">
      <pivotArea type="normal" dataOnly="1" outline="0" collapsedLevelsAreSubtotals="1" fieldPosition="0"/>
    </format>
    <format action="formatting" dxfId="3910">
      <pivotArea type="origin" dataOnly="0" labelOnly="1" outline="0" fieldPosition="0"/>
    </format>
    <format action="formatting" dxfId="3909">
      <pivotArea field="7" type="button" dataOnly="0" labelOnly="1" outline="0" axis="axisCol" fieldPosition="0"/>
    </format>
    <format action="formatting" dxfId="3908">
      <pivotArea type="topRight" dataOnly="0" labelOnly="1" outline="0" fieldPosition="0"/>
    </format>
    <format action="formatting" dxfId="3907">
      <pivotArea field="6" type="button" dataOnly="0" labelOnly="1" outline="0" axis="axisRow" fieldPosition="0"/>
    </format>
    <format action="formatting" dxfId="3906">
      <pivotArea type="normal" dataOnly="0" labelOnly="1" outline="1" fieldPosition="0">
        <references count="1">
          <reference field="6"/>
        </references>
      </pivotArea>
    </format>
    <format action="formatting" dxfId="3905">
      <pivotArea type="normal" dataOnly="0" labelOnly="1" grandRow="1" outline="0" fieldPosition="0"/>
    </format>
    <format action="formatting" dxfId="3904">
      <pivotArea type="normal" dataOnly="0" labelOnly="1" outline="1" fieldPosition="0">
        <references count="1">
          <reference field="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3903">
      <pivotArea type="normal" dataOnly="0" labelOnly="1" grandCol="1" outline="0" fieldPosition="0"/>
    </format>
    <format action="formatting" dxfId="3902">
      <pivotArea type="normal" dataOnly="1" outline="0" collapsedLevelsAreSubtotals="1" fieldPosition="0">
        <references count="1">
          <reference field="7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3901">
      <pivotArea type="normal" dataOnly="1" grandCol="1" outline="0" collapsedLevelsAreSubtotals="1" fieldPosition="0"/>
    </format>
    <format action="formatting" dxfId="3900">
      <pivotArea type="topRight" dataOnly="0" labelOnly="1" outline="0" fieldPosition="0"/>
    </format>
    <format action="formatting" dxfId="3899">
      <pivotArea type="normal" dataOnly="0" labelOnly="1" outline="1" fieldPosition="0">
        <references count="1">
          <reference field="7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3898">
      <pivotArea type="normal" dataOnly="0" labelOnly="1" grandCol="1" outline="0" fieldPosition="0"/>
    </format>
    <format action="formatting" dxfId="3897">
      <pivotArea type="normal" dataOnly="1" outline="0" collapsedLevelsAreSubtotals="1" fieldPosition="0">
        <references count="1">
          <reference field="7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3896">
      <pivotArea type="normal" dataOnly="1" grandCol="1" outline="0" collapsedLevelsAreSubtotals="1" fieldPosition="0"/>
    </format>
    <format action="formatting" dxfId="3895">
      <pivotArea type="topRight" dataOnly="0" labelOnly="1" outline="0" fieldPosition="0"/>
    </format>
    <format action="formatting" dxfId="3894">
      <pivotArea type="normal" dataOnly="0" labelOnly="1" outline="1" fieldPosition="0">
        <references count="1">
          <reference field="7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3893">
      <pivotArea type="normal" dataOnly="0" labelOnly="1" grandCol="1" outline="0" fieldPosition="0"/>
    </format>
    <format action="formatting" dxfId="3892">
      <pivotArea type="all" dataOnly="0" outline="0" fieldPosition="0"/>
    </format>
    <format action="formatting" dxfId="3891">
      <pivotArea type="normal" dataOnly="1" outline="0" collapsedLevelsAreSubtotals="1" fieldPosition="0"/>
    </format>
    <format action="formatting" dxfId="3890">
      <pivotArea type="origin" dataOnly="0" labelOnly="1" outline="0" fieldPosition="0"/>
    </format>
    <format action="formatting" dxfId="3889">
      <pivotArea field="7" type="button" dataOnly="0" labelOnly="1" outline="0" axis="axisCol" fieldPosition="0"/>
    </format>
    <format action="formatting" dxfId="3888">
      <pivotArea type="topRight" dataOnly="0" labelOnly="1" outline="0" fieldPosition="0"/>
    </format>
    <format action="formatting" dxfId="3887">
      <pivotArea field="6" type="button" dataOnly="0" labelOnly="1" outline="0" axis="axisRow" fieldPosition="0"/>
    </format>
    <format action="formatting" dxfId="3886">
      <pivotArea type="normal" dataOnly="0" labelOnly="1" outline="1" fieldPosition="0">
        <references count="1">
          <reference field="6"/>
        </references>
      </pivotArea>
    </format>
    <format action="formatting" dxfId="3885">
      <pivotArea type="normal" dataOnly="0" labelOnly="1" grandRow="1" outline="0" fieldPosition="0"/>
    </format>
    <format action="formatting" dxfId="3884">
      <pivotArea type="normal" dataOnly="0" labelOnly="1" outline="1" fieldPosition="0">
        <references count="1">
          <reference field="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3883">
      <pivotArea type="normal" dataOnly="0" labelOnly="1" grandCol="1" outline="0" fieldPosition="0"/>
    </format>
    <format action="formatting" dxfId="3882">
      <pivotArea type="all" dataOnly="0" outline="0" fieldPosition="0"/>
    </format>
    <format action="formatting" dxfId="3881">
      <pivotArea type="normal" dataOnly="1" outline="0" collapsedLevelsAreSubtotals="1" fieldPosition="0"/>
    </format>
    <format action="formatting" dxfId="3880">
      <pivotArea type="origin" dataOnly="0" labelOnly="1" outline="0" fieldPosition="0"/>
    </format>
    <format action="formatting" dxfId="3879">
      <pivotArea field="7" type="button" dataOnly="0" labelOnly="1" outline="0" axis="axisCol" fieldPosition="0"/>
    </format>
    <format action="formatting" dxfId="3878">
      <pivotArea type="topRight" dataOnly="0" labelOnly="1" outline="0" fieldPosition="0"/>
    </format>
    <format action="formatting" dxfId="3877">
      <pivotArea field="6" type="button" dataOnly="0" labelOnly="1" outline="0" axis="axisRow" fieldPosition="0"/>
    </format>
    <format action="formatting" dxfId="3876">
      <pivotArea type="normal" dataOnly="0" labelOnly="1" outline="1" fieldPosition="0">
        <references count="1">
          <reference field="6"/>
        </references>
      </pivotArea>
    </format>
    <format action="formatting" dxfId="3875">
      <pivotArea type="normal" dataOnly="0" labelOnly="1" grandRow="1" outline="0" fieldPosition="0"/>
    </format>
    <format action="formatting" dxfId="3874">
      <pivotArea type="normal" dataOnly="0" labelOnly="1" outline="1" fieldPosition="0">
        <references count="1">
          <reference field="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3873">
      <pivotArea type="normal" dataOnly="0" labelOnly="1" grandCol="1" outline="0" fieldPosition="0"/>
    </format>
    <format action="formatting" dxfId="3872">
      <pivotArea type="normal" dataOnly="1" outline="0" collapsedLevelsAreSubtotals="1" fieldPosition="0">
        <references count="1">
          <reference field="7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3871">
      <pivotArea type="normal" dataOnly="1" grandCol="1" outline="0" collapsedLevelsAreSubtotals="1" fieldPosition="0"/>
    </format>
    <format action="formatting" dxfId="3870">
      <pivotArea type="topRight" dataOnly="0" labelOnly="1" outline="0" fieldPosition="0"/>
    </format>
    <format action="formatting" dxfId="3869">
      <pivotArea type="normal" dataOnly="0" labelOnly="1" outline="1" fieldPosition="0">
        <references count="1">
          <reference field="7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3868">
      <pivotArea type="normal" dataOnly="0" labelOnly="1" grandCol="1" outline="0" fieldPosition="0"/>
    </format>
    <format action="formatting" dxfId="3867">
      <pivotArea type="normal" dataOnly="1" outline="0" collapsedLevelsAreSubtotals="1" fieldPosition="0">
        <references count="1">
          <reference field="7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3866">
      <pivotArea type="normal" dataOnly="1" grandCol="1" outline="0" collapsedLevelsAreSubtotals="1" fieldPosition="0"/>
    </format>
    <format action="formatting" dxfId="3865">
      <pivotArea type="topRight" dataOnly="0" labelOnly="1" outline="0" fieldPosition="0"/>
    </format>
    <format action="formatting" dxfId="3864">
      <pivotArea type="normal" dataOnly="0" labelOnly="1" outline="1" fieldPosition="0">
        <references count="1">
          <reference field="7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3863">
      <pivotArea type="normal" dataOnly="0" labelOnly="1" grandCol="1" outline="0" fieldPosition="0"/>
    </format>
  </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:r="http://schemas.openxmlformats.org/officeDocument/2006/relationships" xmlns="http://schemas.openxmlformats.org/spreadsheetml/2006/main" name="PivotTable3" cacheId="1" dataOnRows="0" dataCaption="Valu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0" fieldListSortAscending="0" mdxSubqueries="0" applyNumberFormats="0" applyBorderFormats="0" applyFontFormats="0" applyPatternFormats="0" applyAlignmentFormats="0" applyWidthHeightFormats="1" r:id="rId1">
  <location ref="A31:O41" firstHeaderRow="1" firstDataRow="2" firstDataCol="1"/>
  <pivotFields count="8">
    <pivotField showDropDowns="1" compact="1" outline="1" subtotalTop="1" dragToRow="1" dragToCol="1" dragToPage="1" dragToData="1" dragOff="1" showAll="0" topAutoShow="1" itemPageCount="10" sortType="manual" defaultSubtotal="1">
      <items count="369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  <item t="data" sd="1" x="49"/>
        <item t="data" sd="1" x="50"/>
        <item t="data" sd="1" x="51"/>
        <item t="data" sd="1" x="52"/>
        <item t="data" sd="1" x="53"/>
        <item t="data" sd="1" x="54"/>
        <item t="data" sd="1" x="55"/>
        <item t="data" sd="1" x="56"/>
        <item t="data" sd="1" x="57"/>
        <item t="data" sd="1" x="58"/>
        <item t="data" sd="1" x="59"/>
        <item t="data" sd="1" x="60"/>
        <item t="data" sd="1" x="61"/>
        <item t="data" sd="1" x="62"/>
        <item t="data" sd="1" x="63"/>
        <item t="data" sd="1" x="64"/>
        <item t="data" sd="1" x="65"/>
        <item t="data" sd="1" x="66"/>
        <item t="data" sd="1" x="67"/>
        <item t="data" sd="1" x="68"/>
        <item t="data" sd="1" x="69"/>
        <item t="data" sd="1" x="70"/>
        <item t="data" sd="1" x="71"/>
        <item t="data" sd="1" x="72"/>
        <item t="data" sd="1" x="73"/>
        <item t="data" sd="1" x="74"/>
        <item t="data" sd="1" x="75"/>
        <item t="data" sd="1" x="76"/>
        <item t="data" sd="1" x="77"/>
        <item t="data" sd="1" x="78"/>
        <item t="data" sd="1" x="79"/>
        <item t="data" sd="1" x="80"/>
        <item t="data" sd="1" x="81"/>
        <item t="data" sd="1" x="82"/>
        <item t="data" sd="1" x="83"/>
        <item t="data" sd="1" x="84"/>
        <item t="data" sd="1" x="85"/>
        <item t="data" sd="1" x="86"/>
        <item t="data" sd="1" x="87"/>
        <item t="data" sd="1" x="88"/>
        <item t="data" sd="1" x="89"/>
        <item t="data" sd="1" x="90"/>
        <item t="data" sd="1" x="91"/>
        <item t="data" sd="1" x="92"/>
        <item t="data" sd="1" x="93"/>
        <item t="data" sd="1" x="94"/>
        <item t="data" sd="1" x="95"/>
        <item t="data" sd="1" x="96"/>
        <item t="data" sd="1" x="97"/>
        <item t="data" sd="1" x="98"/>
        <item t="data" sd="1" x="99"/>
        <item t="data" sd="1" x="100"/>
        <item t="data" sd="1" x="101"/>
        <item t="data" sd="1" x="102"/>
        <item t="data" sd="1" x="103"/>
        <item t="data" sd="1" x="104"/>
        <item t="data" sd="1" x="105"/>
        <item t="data" sd="1" x="106"/>
        <item t="data" sd="1" x="107"/>
        <item t="data" sd="1" x="108"/>
        <item t="data" sd="1" x="109"/>
        <item t="data" sd="1" x="110"/>
        <item t="data" sd="1" x="111"/>
        <item t="data" sd="1" x="112"/>
        <item t="data" sd="1" x="113"/>
        <item t="data" sd="1" x="114"/>
        <item t="data" sd="1" x="115"/>
        <item t="data" sd="1" x="116"/>
        <item t="data" sd="1" x="117"/>
        <item t="data" sd="1" x="118"/>
        <item t="data" sd="1" x="119"/>
        <item t="data" sd="1" x="120"/>
        <item t="data" sd="1" x="121"/>
        <item t="data" sd="1" x="122"/>
        <item t="data" sd="1" x="123"/>
        <item t="data" sd="1" x="124"/>
        <item t="data" sd="1" x="125"/>
        <item t="data" sd="1" x="126"/>
        <item t="data" sd="1" x="127"/>
        <item t="data" sd="1" x="128"/>
        <item t="data" sd="1" x="129"/>
        <item t="data" sd="1" x="130"/>
        <item t="data" sd="1" x="131"/>
        <item t="data" sd="1" x="132"/>
        <item t="data" sd="1" x="133"/>
        <item t="data" sd="1" x="134"/>
        <item t="data" sd="1" x="135"/>
        <item t="data" sd="1" x="136"/>
        <item t="data" sd="1" x="137"/>
        <item t="data" sd="1" x="138"/>
        <item t="data" sd="1" x="139"/>
        <item t="data" sd="1" x="140"/>
        <item t="data" sd="1" x="141"/>
        <item t="data" sd="1" x="142"/>
        <item t="data" sd="1" x="143"/>
        <item t="data" sd="1" x="144"/>
        <item t="data" sd="1" x="145"/>
        <item t="data" sd="1" x="146"/>
        <item t="data" sd="1" x="147"/>
        <item t="data" sd="1" x="148"/>
        <item t="data" sd="1" x="149"/>
        <item t="data" sd="1" x="150"/>
        <item t="data" sd="1" x="151"/>
        <item t="data" sd="1" x="152"/>
        <item t="data" sd="1" x="153"/>
        <item t="data" sd="1" x="154"/>
        <item t="data" sd="1" x="155"/>
        <item t="data" sd="1" x="156"/>
        <item t="data" sd="1" x="157"/>
        <item t="data" sd="1" x="158"/>
        <item t="data" sd="1" x="159"/>
        <item t="data" sd="1" x="160"/>
        <item t="data" sd="1" x="161"/>
        <item t="data" sd="1" x="162"/>
        <item t="data" sd="1" x="163"/>
        <item t="data" sd="1" x="164"/>
        <item t="data" sd="1" x="165"/>
        <item t="data" sd="1" x="166"/>
        <item t="data" sd="1" x="167"/>
        <item t="data" sd="1" x="168"/>
        <item t="data" sd="1" x="169"/>
        <item t="data" sd="1" x="170"/>
        <item t="data" sd="1" x="171"/>
        <item t="data" sd="1" x="172"/>
        <item t="data" sd="1" x="173"/>
        <item t="data" sd="1" x="174"/>
        <item t="data" sd="1" x="175"/>
        <item t="data" sd="1" x="176"/>
        <item t="data" sd="1" x="177"/>
        <item t="data" sd="1" x="178"/>
        <item t="data" sd="1" x="179"/>
        <item t="data" sd="1" x="180"/>
        <item t="data" sd="1" x="181"/>
        <item t="data" sd="1" x="182"/>
        <item t="data" sd="1" x="183"/>
        <item t="data" sd="1" x="184"/>
        <item t="data" sd="1" x="185"/>
        <item t="data" sd="1" x="186"/>
        <item t="data" sd="1" x="187"/>
        <item t="data" sd="1" x="188"/>
        <item t="data" sd="1" x="189"/>
        <item t="data" sd="1" x="190"/>
        <item t="data" sd="1" x="191"/>
        <item t="data" sd="1" x="192"/>
        <item t="data" sd="1" x="193"/>
        <item t="data" sd="1" x="194"/>
        <item t="data" sd="1" x="195"/>
        <item t="data" sd="1" x="196"/>
        <item t="data" sd="1" x="197"/>
        <item t="data" sd="1" x="198"/>
        <item t="data" sd="1" x="199"/>
        <item t="data" sd="1" x="200"/>
        <item t="data" sd="1" x="201"/>
        <item t="data" sd="1" x="202"/>
        <item t="data" sd="1" x="203"/>
        <item t="data" sd="1" x="204"/>
        <item t="data" sd="1" x="205"/>
        <item t="data" sd="1" x="206"/>
        <item t="data" sd="1" x="207"/>
        <item t="data" sd="1" x="208"/>
        <item t="data" sd="1" x="209"/>
        <item t="data" sd="1" x="210"/>
        <item t="data" sd="1" x="211"/>
        <item t="data" sd="1" x="212"/>
        <item t="data" sd="1" x="213"/>
        <item t="data" sd="1" x="214"/>
        <item t="data" sd="1" x="215"/>
        <item t="data" sd="1" x="216"/>
        <item t="data" sd="1" x="217"/>
        <item t="data" sd="1" x="218"/>
        <item t="data" sd="1" x="219"/>
        <item t="data" sd="1" x="220"/>
        <item t="data" sd="1" x="221"/>
        <item t="data" sd="1" x="222"/>
        <item t="data" sd="1" x="223"/>
        <item t="data" sd="1" x="224"/>
        <item t="data" sd="1" x="225"/>
        <item t="data" sd="1" x="226"/>
        <item t="data" sd="1" x="227"/>
        <item t="data" sd="1" x="228"/>
        <item t="data" sd="1" x="229"/>
        <item t="data" sd="1" x="230"/>
        <item t="data" sd="1" x="231"/>
        <item t="data" sd="1" x="232"/>
        <item t="data" sd="1" x="233"/>
        <item t="data" sd="1" x="234"/>
        <item t="data" sd="1" x="235"/>
        <item t="data" sd="1" x="236"/>
        <item t="data" sd="1" x="237"/>
        <item t="data" sd="1" x="238"/>
        <item t="data" sd="1" x="239"/>
        <item t="data" sd="1" x="240"/>
        <item t="data" sd="1" x="241"/>
        <item t="data" sd="1" x="242"/>
        <item t="data" sd="1" x="243"/>
        <item t="data" sd="1" x="244"/>
        <item t="data" sd="1" x="245"/>
        <item t="data" sd="1" x="246"/>
        <item t="data" sd="1" x="247"/>
        <item t="data" sd="1" x="248"/>
        <item t="data" sd="1" x="249"/>
        <item t="data" sd="1" x="250"/>
        <item t="data" sd="1" x="251"/>
        <item t="data" sd="1" x="252"/>
        <item t="data" sd="1" x="253"/>
        <item t="data" sd="1" x="254"/>
        <item t="data" sd="1" x="255"/>
        <item t="data" sd="1" x="256"/>
        <item t="data" sd="1" x="257"/>
        <item t="data" sd="1" x="258"/>
        <item t="data" sd="1" x="259"/>
        <item t="data" sd="1" x="260"/>
        <item t="data" sd="1" x="261"/>
        <item t="data" sd="1" x="262"/>
        <item t="data" sd="1" x="263"/>
        <item t="data" sd="1" x="264"/>
        <item t="data" sd="1" x="265"/>
        <item t="data" sd="1" x="266"/>
        <item t="data" sd="1" x="267"/>
        <item t="data" sd="1" x="268"/>
        <item t="data" sd="1" x="269"/>
        <item t="data" sd="1" x="270"/>
        <item t="data" sd="1" x="271"/>
        <item t="data" sd="1" x="272"/>
        <item t="data" sd="1" x="273"/>
        <item t="data" sd="1" x="274"/>
        <item t="data" sd="1" x="275"/>
        <item t="data" sd="1" x="276"/>
        <item t="data" sd="1" x="277"/>
        <item t="data" sd="1" x="278"/>
        <item t="data" sd="1" x="279"/>
        <item t="data" sd="1" x="280"/>
        <item t="data" sd="1" x="281"/>
        <item t="data" sd="1" x="282"/>
        <item t="data" sd="1" x="283"/>
        <item t="data" sd="1" x="284"/>
        <item t="data" sd="1" x="285"/>
        <item t="data" sd="1" x="286"/>
        <item t="data" sd="1" x="287"/>
        <item t="data" sd="1" x="288"/>
        <item t="data" sd="1" x="289"/>
        <item t="data" sd="1" x="290"/>
        <item t="data" sd="1" x="291"/>
        <item t="data" sd="1" x="292"/>
        <item t="data" sd="1" x="293"/>
        <item t="data" sd="1" x="294"/>
        <item t="data" sd="1" x="295"/>
        <item t="data" sd="1" x="296"/>
        <item t="data" sd="1" x="297"/>
        <item t="data" sd="1" x="298"/>
        <item t="data" sd="1" x="299"/>
        <item t="data" sd="1" x="300"/>
        <item t="data" sd="1" x="301"/>
        <item t="data" sd="1" x="302"/>
        <item t="data" sd="1" x="303"/>
        <item t="data" sd="1" x="304"/>
        <item t="data" sd="1" x="305"/>
        <item t="data" sd="1" x="306"/>
        <item t="data" sd="1" x="307"/>
        <item t="data" sd="1" x="308"/>
        <item t="data" sd="1" x="309"/>
        <item t="data" sd="1" x="310"/>
        <item t="data" sd="1" x="311"/>
        <item t="data" sd="1" x="312"/>
        <item t="data" sd="1" x="313"/>
        <item t="data" sd="1" x="314"/>
        <item t="data" sd="1" x="315"/>
        <item t="data" sd="1" x="316"/>
        <item t="data" sd="1" x="317"/>
        <item t="data" sd="1" x="318"/>
        <item t="data" sd="1" x="319"/>
        <item t="data" sd="1" x="320"/>
        <item t="data" sd="1" x="321"/>
        <item t="data" sd="1" x="322"/>
        <item t="data" sd="1" x="323"/>
        <item t="data" sd="1" x="324"/>
        <item t="data" sd="1" x="325"/>
        <item t="data" sd="1" x="326"/>
        <item t="data" sd="1" x="327"/>
        <item t="data" sd="1" x="328"/>
        <item t="data" sd="1" x="329"/>
        <item t="data" sd="1" x="330"/>
        <item t="data" sd="1" x="331"/>
        <item t="data" sd="1" x="332"/>
        <item t="data" sd="1" x="333"/>
        <item t="data" sd="1" x="334"/>
        <item t="data" sd="1" x="335"/>
        <item t="data" sd="1" x="336"/>
        <item t="data" sd="1" x="337"/>
        <item t="data" sd="1" x="338"/>
        <item t="data" sd="1" x="339"/>
        <item t="data" sd="1" x="340"/>
        <item t="data" sd="1" x="341"/>
        <item t="data" sd="1" x="342"/>
        <item t="data" sd="1" x="343"/>
        <item t="data" sd="1" x="344"/>
        <item t="data" sd="1" x="345"/>
        <item t="data" sd="1" x="346"/>
        <item t="data" sd="1" x="347"/>
        <item t="data" sd="1" x="348"/>
        <item t="data" sd="1" x="349"/>
        <item t="data" sd="1" x="350"/>
        <item t="data" sd="1" x="351"/>
        <item t="data" sd="1" x="352"/>
        <item t="data" sd="1" x="353"/>
        <item t="data" sd="1" x="354"/>
        <item t="data" sd="1" x="355"/>
        <item t="data" sd="1" x="356"/>
        <item t="data" sd="1" x="357"/>
        <item t="data" sd="1" x="358"/>
        <item t="data" sd="1" x="359"/>
        <item t="data" sd="1" x="360"/>
        <item t="data" sd="1" x="361"/>
        <item t="data" sd="1" x="362"/>
        <item t="data" sd="1" x="363"/>
        <item t="data" sd="1" x="364"/>
        <item t="data" sd="1" x="365"/>
        <item t="data" sd="1" x="366"/>
        <item t="data" sd="1" x="367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Row" showDropDowns="1" compact="1" outline="1" subtotalTop="1" dragToRow="1" dragToCol="1" dragToPage="1" dragToData="1" dragOff="1" showAll="0" topAutoShow="1" itemPageCount="10" sortType="descending" defaultSubtotal="1">
      <items count="9">
        <item t="data" sd="1" x="3"/>
        <item t="data" sd="1" x="7"/>
        <item t="data" sd="1" x="5"/>
        <item t="data" sd="1" x="1"/>
        <item t="data" sd="1" x="2"/>
        <item t="data" sd="1" x="6"/>
        <item t="data" sd="1" x="4"/>
        <item t="data" sd="1" x="0"/>
        <item t="default" sd="1"/>
      </items>
      <autoSortScope>
        <pivotArea type="normal" dataOnly="0" outline="0" fieldPosition="0">
          <references count="2">
            <reference field="4294967294" selected="0">
              <x v="0"/>
            </reference>
            <reference field="7" selected="0">
              <x v="1"/>
            </reference>
          </references>
        </pivotArea>
      </autoSortScope>
    </pivotField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15">
        <item t="data" sd="0" x="0"/>
        <item t="data" sd="0" x="1"/>
        <item t="data" sd="0" x="2"/>
        <item t="data" sd="0" x="3"/>
        <item t="data" sd="0" x="4"/>
        <item t="data" sd="0" x="5"/>
        <item t="data" sd="0" x="6"/>
        <item t="data" sd="0" x="7"/>
        <item t="data" sd="0" x="8"/>
        <item t="data" sd="0" x="9"/>
        <item t="data" sd="0" x="10"/>
        <item t="data" sd="0" x="11"/>
        <item t="data" sd="0" x="12"/>
        <item t="data" sd="0" x="13"/>
        <item t="default" sd="1"/>
      </items>
    </pivotField>
  </pivotFields>
  <rowFields count="1">
    <field x="3"/>
  </rowFields>
  <rowItems count="9">
    <i t="data" r="0" i="0">
      <x v="0"/>
    </i>
    <i t="data" r="0" i="0">
      <x v="4"/>
    </i>
    <i t="data" r="0" i="0">
      <x v="3"/>
    </i>
    <i t="data" r="0" i="0">
      <x v="5"/>
    </i>
    <i t="data" r="0" i="0">
      <x v="2"/>
    </i>
    <i t="data" r="0" i="0">
      <x v="6"/>
    </i>
    <i t="data" r="0" i="0">
      <x v="7"/>
    </i>
    <i t="data" r="0" i="0">
      <x v="1"/>
    </i>
    <i t="grand" r="0" i="0">
      <x v="0"/>
    </i>
  </rowItems>
  <colFields count="1">
    <field x="7"/>
  </colFields>
  <colItems count="1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grand" r="0" i="0">
      <x v="0"/>
    </i>
  </colItems>
  <dataFields count="1">
    <dataField name="Sum of Amount" fld="4" subtotal="sum" showDataAs="normal" baseField="0" baseItem="0" numFmtId="166"/>
  </dataFields>
  <formats count="60">
    <format action="formatting" dxfId="4112">
      <pivotArea type="all" dataOnly="0" outline="0" fieldPosition="0"/>
    </format>
    <format action="formatting" dxfId="4111">
      <pivotArea type="normal" dataOnly="1" outline="0" collapsedLevelsAreSubtotals="1" fieldPosition="0"/>
    </format>
    <format action="formatting" dxfId="4110">
      <pivotArea type="origin" dataOnly="0" labelOnly="1" outline="0" fieldPosition="0"/>
    </format>
    <format action="formatting" dxfId="4109">
      <pivotArea field="7" type="button" dataOnly="0" labelOnly="1" outline="0" axis="axisCol" fieldPosition="0"/>
    </format>
    <format action="formatting" dxfId="4108">
      <pivotArea type="topRight" dataOnly="0" labelOnly="1" outline="0" fieldPosition="0"/>
    </format>
    <format action="formatting" dxfId="4107">
      <pivotArea field="3" type="button" dataOnly="0" labelOnly="1" outline="0" axis="axisRow" fieldPosition="0"/>
    </format>
    <format action="formatting" dxfId="4106">
      <pivotArea type="normal" dataOnly="0" labelOnly="1" outline="1" fieldPosition="0">
        <references count="1">
          <reference field="3"/>
        </references>
      </pivotArea>
    </format>
    <format action="formatting" dxfId="4105">
      <pivotArea type="normal" dataOnly="0" labelOnly="1" grandRow="1" outline="0" fieldPosition="0"/>
    </format>
    <format action="formatting" dxfId="4104">
      <pivotArea type="normal" dataOnly="0" labelOnly="1" outline="1" fieldPosition="0">
        <references count="1">
          <reference field="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4103">
      <pivotArea type="normal" dataOnly="0" labelOnly="1" grandCol="1" outline="0" fieldPosition="0"/>
    </format>
    <format action="formatting" dxfId="4102">
      <pivotArea type="all" dataOnly="0" outline="0" fieldPosition="0"/>
    </format>
    <format action="formatting" dxfId="4101">
      <pivotArea type="normal" dataOnly="1" outline="0" collapsedLevelsAreSubtotals="1" fieldPosition="0"/>
    </format>
    <format action="formatting" dxfId="4100">
      <pivotArea type="origin" dataOnly="0" labelOnly="1" outline="0" fieldPosition="0"/>
    </format>
    <format action="formatting" dxfId="4099">
      <pivotArea field="7" type="button" dataOnly="0" labelOnly="1" outline="0" axis="axisCol" fieldPosition="0"/>
    </format>
    <format action="formatting" dxfId="4098">
      <pivotArea type="topRight" dataOnly="0" labelOnly="1" outline="0" fieldPosition="0"/>
    </format>
    <format action="formatting" dxfId="4097">
      <pivotArea field="3" type="button" dataOnly="0" labelOnly="1" outline="0" axis="axisRow" fieldPosition="0"/>
    </format>
    <format action="formatting" dxfId="4096">
      <pivotArea type="normal" dataOnly="0" labelOnly="1" outline="1" fieldPosition="0">
        <references count="1">
          <reference field="3"/>
        </references>
      </pivotArea>
    </format>
    <format action="formatting" dxfId="4095">
      <pivotArea type="normal" dataOnly="0" labelOnly="1" grandRow="1" outline="0" fieldPosition="0"/>
    </format>
    <format action="formatting" dxfId="4094">
      <pivotArea type="normal" dataOnly="0" labelOnly="1" outline="1" fieldPosition="0">
        <references count="1">
          <reference field="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4093">
      <pivotArea type="normal" dataOnly="0" labelOnly="1" grandCol="1" outline="0" fieldPosition="0"/>
    </format>
    <format action="formatting" dxfId="4092">
      <pivotArea type="normal" dataOnly="1" outline="0" collapsedLevelsAreSubtotals="1" fieldPosition="0">
        <references count="1">
          <reference field="7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4091">
      <pivotArea type="normal" dataOnly="1" grandCol="1" outline="0" collapsedLevelsAreSubtotals="1" fieldPosition="0"/>
    </format>
    <format action="formatting" dxfId="4090">
      <pivotArea type="topRight" dataOnly="0" labelOnly="1" outline="0" fieldPosition="0"/>
    </format>
    <format action="formatting" dxfId="4089">
      <pivotArea type="normal" dataOnly="0" labelOnly="1" outline="1" fieldPosition="0">
        <references count="1">
          <reference field="7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4088">
      <pivotArea type="normal" dataOnly="0" labelOnly="1" grandCol="1" outline="0" fieldPosition="0"/>
    </format>
    <format action="formatting" dxfId="4087">
      <pivotArea type="normal" dataOnly="1" outline="0" collapsedLevelsAreSubtotals="1" fieldPosition="0">
        <references count="1">
          <reference field="7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4086">
      <pivotArea type="normal" dataOnly="1" grandCol="1" outline="0" collapsedLevelsAreSubtotals="1" fieldPosition="0"/>
    </format>
    <format action="formatting" dxfId="4085">
      <pivotArea type="topRight" dataOnly="0" labelOnly="1" outline="0" fieldPosition="0"/>
    </format>
    <format action="formatting" dxfId="4084">
      <pivotArea type="normal" dataOnly="0" labelOnly="1" outline="1" fieldPosition="0">
        <references count="1">
          <reference field="7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4083">
      <pivotArea type="normal" dataOnly="0" labelOnly="1" grandCol="1" outline="0" fieldPosition="0"/>
    </format>
    <format action="formatting" dxfId="4082">
      <pivotArea type="all" dataOnly="0" outline="0" fieldPosition="0"/>
    </format>
    <format action="formatting" dxfId="4081">
      <pivotArea type="normal" dataOnly="1" outline="0" collapsedLevelsAreSubtotals="1" fieldPosition="0"/>
    </format>
    <format action="formatting" dxfId="4080">
      <pivotArea type="origin" dataOnly="0" labelOnly="1" outline="0" fieldPosition="0"/>
    </format>
    <format action="formatting" dxfId="4079">
      <pivotArea field="7" type="button" dataOnly="0" labelOnly="1" outline="0" axis="axisCol" fieldPosition="0"/>
    </format>
    <format action="formatting" dxfId="4078">
      <pivotArea type="topRight" dataOnly="0" labelOnly="1" outline="0" fieldPosition="0"/>
    </format>
    <format action="formatting" dxfId="4077">
      <pivotArea field="3" type="button" dataOnly="0" labelOnly="1" outline="0" axis="axisRow" fieldPosition="0"/>
    </format>
    <format action="formatting" dxfId="4076">
      <pivotArea type="normal" dataOnly="0" labelOnly="1" outline="1" fieldPosition="0">
        <references count="1">
          <reference field="3"/>
        </references>
      </pivotArea>
    </format>
    <format action="formatting" dxfId="4075">
      <pivotArea type="normal" dataOnly="0" labelOnly="1" grandRow="1" outline="0" fieldPosition="0"/>
    </format>
    <format action="formatting" dxfId="4074">
      <pivotArea type="normal" dataOnly="0" labelOnly="1" outline="1" fieldPosition="0">
        <references count="1">
          <reference field="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4073">
      <pivotArea type="normal" dataOnly="0" labelOnly="1" grandCol="1" outline="0" fieldPosition="0"/>
    </format>
    <format action="formatting" dxfId="4072">
      <pivotArea type="all" dataOnly="0" outline="0" fieldPosition="0"/>
    </format>
    <format action="formatting" dxfId="4071">
      <pivotArea type="normal" dataOnly="1" outline="0" collapsedLevelsAreSubtotals="1" fieldPosition="0"/>
    </format>
    <format action="formatting" dxfId="4070">
      <pivotArea type="origin" dataOnly="0" labelOnly="1" outline="0" fieldPosition="0"/>
    </format>
    <format action="formatting" dxfId="4069">
      <pivotArea field="7" type="button" dataOnly="0" labelOnly="1" outline="0" axis="axisCol" fieldPosition="0"/>
    </format>
    <format action="formatting" dxfId="4068">
      <pivotArea type="topRight" dataOnly="0" labelOnly="1" outline="0" fieldPosition="0"/>
    </format>
    <format action="formatting" dxfId="4067">
      <pivotArea field="3" type="button" dataOnly="0" labelOnly="1" outline="0" axis="axisRow" fieldPosition="0"/>
    </format>
    <format action="formatting" dxfId="4066">
      <pivotArea type="normal" dataOnly="0" labelOnly="1" outline="1" fieldPosition="0">
        <references count="1">
          <reference field="3"/>
        </references>
      </pivotArea>
    </format>
    <format action="formatting" dxfId="4065">
      <pivotArea type="normal" dataOnly="0" labelOnly="1" grandRow="1" outline="0" fieldPosition="0"/>
    </format>
    <format action="formatting" dxfId="4064">
      <pivotArea type="normal" dataOnly="0" labelOnly="1" outline="1" fieldPosition="0">
        <references count="1">
          <reference field="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4063">
      <pivotArea type="normal" dataOnly="0" labelOnly="1" grandCol="1" outline="0" fieldPosition="0"/>
    </format>
    <format action="formatting" dxfId="4062">
      <pivotArea type="normal" dataOnly="1" outline="0" collapsedLevelsAreSubtotals="1" fieldPosition="0">
        <references count="1">
          <reference field="7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4061">
      <pivotArea type="normal" dataOnly="1" grandCol="1" outline="0" collapsedLevelsAreSubtotals="1" fieldPosition="0"/>
    </format>
    <format action="formatting" dxfId="4060">
      <pivotArea type="topRight" dataOnly="0" labelOnly="1" outline="0" fieldPosition="0"/>
    </format>
    <format action="formatting" dxfId="4059">
      <pivotArea type="normal" dataOnly="0" labelOnly="1" outline="1" fieldPosition="0">
        <references count="1">
          <reference field="7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4058">
      <pivotArea type="normal" dataOnly="0" labelOnly="1" grandCol="1" outline="0" fieldPosition="0"/>
    </format>
    <format action="formatting" dxfId="4057">
      <pivotArea type="normal" dataOnly="1" outline="0" collapsedLevelsAreSubtotals="1" fieldPosition="0">
        <references count="1">
          <reference field="7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4056">
      <pivotArea type="normal" dataOnly="1" grandCol="1" outline="0" collapsedLevelsAreSubtotals="1" fieldPosition="0"/>
    </format>
    <format action="formatting" dxfId="4055">
      <pivotArea type="topRight" dataOnly="0" labelOnly="1" outline="0" fieldPosition="0"/>
    </format>
    <format action="formatting" dxfId="4054">
      <pivotArea type="normal" dataOnly="0" labelOnly="1" outline="1" fieldPosition="0">
        <references count="1">
          <reference field="7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4053">
      <pivotArea type="normal" dataOnly="0" labelOnly="1" grandCol="1" outline="0" fieldPosition="0"/>
    </format>
  </format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:r="http://schemas.openxmlformats.org/officeDocument/2006/relationships" xmlns="http://schemas.openxmlformats.org/spreadsheetml/2006/main" name="PivotTable2" cacheId="3" dataOnRows="0" dataCaption="Valu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0" fieldListSortAscending="0" mdxSubqueries="0" applyNumberFormats="0" applyBorderFormats="0" applyFontFormats="0" applyPatternFormats="0" applyAlignmentFormats="0" applyWidthHeightFormats="1" r:id="rId1">
  <location ref="A3:I20" firstHeaderRow="1" firstDataRow="2" firstDataCol="1" rowPageCount="1" colPageCount="1"/>
  <pivotFields count="13">
    <pivotField showDropDowns="1" compact="1" outline="1" subtotalTop="1" dragToRow="1" dragToCol="1" dragToPage="1" dragToData="1" dragOff="1" showAll="0" topAutoShow="1" itemPageCount="10" sortType="manual" defaultSubtotal="1"/>
    <pivotField axis="axisRow" showDropDowns="1" compact="1" outline="1" subtotalTop="1" dragToRow="1" dragToCol="1" dragToPage="1" dragToData="1" dragOff="1" showAll="0" topAutoShow="1" itemPageCount="10" sortType="descending" defaultSubtotal="1">
      <items count="35">
        <item t="data" sd="1" m="1" x="21"/>
        <item t="data" sd="1" m="1" x="30"/>
        <item t="data" sd="1" m="1" x="17"/>
        <item t="data" sd="1" x="9"/>
        <item t="data" sd="1" m="1" x="23"/>
        <item t="data" sd="1" m="1" x="25"/>
        <item t="data" sd="1" m="1" x="24"/>
        <item t="data" sd="1" m="1" x="26"/>
        <item t="data" sd="1" m="1" x="33"/>
        <item t="data" sd="1" x="10"/>
        <item t="data" sd="1" x="13"/>
        <item t="data" sd="1" x="7"/>
        <item t="data" sd="1" x="14"/>
        <item t="data" sd="1" m="1" x="15"/>
        <item t="data" sd="1" m="1" x="29"/>
        <item t="data" sd="1" m="1" x="31"/>
        <item t="data" sd="1" m="1" x="19"/>
        <item t="data" sd="1" x="8"/>
        <item t="data" sd="1" x="11"/>
        <item t="data" sd="1" x="5"/>
        <item t="data" sd="1" m="1" x="18"/>
        <item t="data" sd="1" m="1" x="22"/>
        <item t="data" sd="1" m="1" x="32"/>
        <item t="data" sd="1" x="2"/>
        <item t="data" sd="1" m="1" x="28"/>
        <item t="data" sd="1" m="1" x="27"/>
        <item t="data" sd="1" m="1" x="20"/>
        <item t="data" sd="1" x="1"/>
        <item t="data" sd="1" m="1" x="16"/>
        <item t="data" sd="1" x="4"/>
        <item t="data" sd="1" x="0"/>
        <item t="data" sd="1" x="3"/>
        <item t="data" sd="1" x="6"/>
        <item t="data" sd="1" x="12"/>
        <item t="default" sd="1"/>
      </items>
      <autoSortScope>
        <pivotArea type="normal" dataOnly="0" outline="0" fieldPosition="0">
          <references count="1">
            <reference field="4294967294" selected="0">
              <x v="0"/>
            </reference>
          </references>
        </pivotArea>
      </autoSortScope>
    </pivotField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ascending" defaultSubtotal="1">
      <items count="9">
        <item t="data" sd="1" x="5"/>
        <item t="data" sd="1" x="3"/>
        <item t="data" sd="1" x="1"/>
        <item t="data" sd="1" x="2"/>
        <item t="data" sd="1" m="1" x="7"/>
        <item t="data" sd="1" x="6"/>
        <item t="data" sd="1" x="4"/>
        <item t="data" sd="1" x="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9">
        <item t="data" sd="1" m="1" x="7"/>
        <item t="data" sd="1" m="1" x="6"/>
        <item t="data" sd="1" m="1" x="4"/>
        <item t="data" sd="1" x="2"/>
        <item t="data" sd="1" m="1" x="3"/>
        <item t="data" sd="1" x="1"/>
        <item t="data" sd="1" m="1" x="5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1"/>
  </rowFields>
  <rowItems count="16">
    <i t="data" r="0" i="0">
      <x v="11"/>
    </i>
    <i t="data" r="0" i="0">
      <x v="19"/>
    </i>
    <i t="data" r="0" i="0">
      <x v="9"/>
    </i>
    <i t="data" r="0" i="0">
      <x v="12"/>
    </i>
    <i t="data" r="0" i="0">
      <x v="23"/>
    </i>
    <i t="data" r="0" i="0">
      <x v="18"/>
    </i>
    <i t="data" r="0" i="0">
      <x v="29"/>
    </i>
    <i t="data" r="0" i="0">
      <x v="10"/>
    </i>
    <i t="data" r="0" i="0">
      <x v="3"/>
    </i>
    <i t="data" r="0" i="0">
      <x v="27"/>
    </i>
    <i t="data" r="0" i="0">
      <x v="30"/>
    </i>
    <i t="data" r="0" i="0">
      <x v="17"/>
    </i>
    <i t="data" r="0" i="0">
      <x v="31"/>
    </i>
    <i t="data" r="0" i="0">
      <x v="33"/>
    </i>
    <i t="data" r="0" i="0">
      <x v="32"/>
    </i>
    <i t="grand" r="0" i="0">
      <x v="0"/>
    </i>
  </rowItems>
  <colFields count="1">
    <field x="3"/>
  </colFields>
  <colItems count="8">
    <i t="data" r="0" i="0">
      <x v="0"/>
    </i>
    <i t="data" r="0" i="0">
      <x v="1"/>
    </i>
    <i t="data" r="0" i="0">
      <x v="2"/>
    </i>
    <i t="data" r="0" i="0">
      <x v="3"/>
    </i>
    <i t="data" r="0" i="0">
      <x v="5"/>
    </i>
    <i t="data" r="0" i="0">
      <x v="6"/>
    </i>
    <i t="data" r="0" i="0">
      <x v="7"/>
    </i>
    <i t="grand" r="0" i="0">
      <x v="0"/>
    </i>
  </colItems>
  <pageFields count="1">
    <pageField fld="4" hier="-1"/>
  </pageFields>
  <dataFields count="1">
    <dataField name="Sum of Paid" fld="7" subtotal="sum" showDataAs="normal" baseField="0" baseItem="0" numFmtId="167"/>
  </dataFields>
  <formats count="14">
    <format action="formatting" dxfId="3862">
      <pivotArea type="normal" dataOnly="1" outline="1" collapsedLevelsAreSubtotals="1" fieldPosition="0">
        <references count="1">
          <reference field="1"/>
        </references>
      </pivotArea>
    </format>
    <format action="formatting" dxfId="3861">
      <pivotArea type="normal" dataOnly="1" grandRow="1" outline="0" collapsedLevelsAreSubtotals="1" fieldPosition="0"/>
    </format>
    <format action="formatting" dxfId="3860">
      <pivotArea field="3" type="button" dataOnly="0" labelOnly="1" outline="0" axis="axisCol" fieldPosition="0"/>
    </format>
    <format action="formatting" dxfId="3859">
      <pivotArea type="topRight" dataOnly="0" labelOnly="1" outline="0" fieldPosition="0"/>
    </format>
    <format action="formatting" dxfId="3858">
      <pivotArea type="normal" dataOnly="0" labelOnly="1" outline="1" fieldPosition="0">
        <references count="1">
          <reference field="3"/>
        </references>
      </pivotArea>
    </format>
    <format action="formatting" dxfId="3857">
      <pivotArea type="normal" dataOnly="0" labelOnly="1" grandCol="1" outline="0" fieldPosition="0"/>
    </format>
    <format action="formatting" dxfId="3856">
      <pivotArea field="3" type="button" dataOnly="0" labelOnly="1" outline="0" axis="axisCol" fieldPosition="0"/>
    </format>
    <format action="formatting" dxfId="3855">
      <pivotArea type="topRight" dataOnly="0" labelOnly="1" outline="0" fieldPosition="0"/>
    </format>
    <format action="formatting" dxfId="3854">
      <pivotArea type="normal" dataOnly="0" labelOnly="1" outline="1" fieldPosition="0">
        <references count="1">
          <reference field="3"/>
        </references>
      </pivotArea>
    </format>
    <format action="formatting" dxfId="3853">
      <pivotArea type="normal" dataOnly="0" labelOnly="1" grandCol="1" outline="0" fieldPosition="0"/>
    </format>
    <format action="formatting" dxfId="3852">
      <pivotArea type="normal" dataOnly="1" outline="1" collapsedLevelsAreSubtotals="1" fieldPosition="0">
        <references count="2">
          <reference field="1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  <reference field="3" selected="0"/>
        </references>
      </pivotArea>
    </format>
    <format action="formatting" dxfId="3851">
      <pivotArea field="3" type="normal" dataOnly="1" grandRow="1" outline="0" collapsedLevelsAreSubtotals="1" axis="axisCol" fieldPosition="0">
        <references count="1">
          <reference field="3" selected="0"/>
        </references>
      </pivotArea>
    </format>
    <format action="formatting" dxfId="3850">
      <pivotArea type="normal" dataOnly="1" outline="1" collapsedLevelsAreSubtotals="1" fieldPosition="0">
        <references count="2">
          <reference field="1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  <reference field="3" selected="0"/>
        </references>
      </pivotArea>
    </format>
    <format action="formatting" dxfId="3849">
      <pivotArea field="3" type="normal" dataOnly="1" grandRow="1" outline="0" collapsedLevelsAreSubtotals="1" axis="axisCol" fieldPosition="0">
        <references count="1">
          <reference field="3" selected="0"/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:r="http://schemas.openxmlformats.org/officeDocument/2006/relationships" xmlns="http://schemas.openxmlformats.org/spreadsheetml/2006/main" name="PivotTable3" cacheId="3" dataOnRows="0" dataCaption="Valu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0" fieldListSortAscending="0" mdxSubqueries="0" applyNumberFormats="0" applyBorderFormats="0" applyFontFormats="0" applyPatternFormats="0" applyAlignmentFormats="0" applyWidthHeightFormats="1" r:id="rId1">
  <location ref="A50:I67" firstHeaderRow="1" firstDataRow="2" firstDataCol="1" rowPageCount="1" colPageCount="1"/>
  <pivotFields count="13">
    <pivotField showDropDowns="1" compact="1" outline="1" subtotalTop="1" dragToRow="1" dragToCol="1" dragToPage="1" dragToData="1" dragOff="1" showAll="0" topAutoShow="1" itemPageCount="10" sortType="manual" defaultSubtotal="1"/>
    <pivotField axis="axisRow" showDropDowns="1" compact="1" outline="1" subtotalTop="1" dragToRow="1" dragToCol="1" dragToPage="1" dragToData="1" dragOff="1" showAll="0" topAutoShow="1" itemPageCount="10" sortType="descending" defaultSubtotal="1">
      <items count="35">
        <item t="data" sd="1" m="1" x="21"/>
        <item t="data" sd="1" m="1" x="30"/>
        <item t="data" sd="1" m="1" x="17"/>
        <item t="data" sd="1" x="9"/>
        <item t="data" sd="1" m="1" x="23"/>
        <item t="data" sd="1" m="1" x="25"/>
        <item t="data" sd="1" m="1" x="24"/>
        <item t="data" sd="1" m="1" x="26"/>
        <item t="data" sd="1" m="1" x="33"/>
        <item t="data" sd="1" x="10"/>
        <item t="data" sd="1" x="13"/>
        <item t="data" sd="1" x="7"/>
        <item t="data" sd="1" x="14"/>
        <item t="data" sd="1" m="1" x="15"/>
        <item t="data" sd="1" m="1" x="29"/>
        <item t="data" sd="1" m="1" x="31"/>
        <item t="data" sd="1" m="1" x="19"/>
        <item t="data" sd="1" x="8"/>
        <item t="data" sd="1" x="11"/>
        <item t="data" sd="1" x="5"/>
        <item t="data" sd="1" m="1" x="18"/>
        <item t="data" sd="1" m="1" x="22"/>
        <item t="data" sd="1" m="1" x="32"/>
        <item t="data" sd="1" x="2"/>
        <item t="data" sd="1" m="1" x="28"/>
        <item t="data" sd="1" m="1" x="27"/>
        <item t="data" sd="1" m="1" x="20"/>
        <item t="data" sd="1" x="1"/>
        <item t="data" sd="1" m="1" x="16"/>
        <item t="data" sd="1" x="4"/>
        <item t="data" sd="1" x="0"/>
        <item t="data" sd="1" x="3"/>
        <item t="data" sd="1" x="6"/>
        <item t="data" sd="1" x="12"/>
        <item t="default" sd="1"/>
      </items>
      <autoSortScope>
        <pivotArea type="normal" dataOnly="0" outline="0" fieldPosition="0">
          <references count="1">
            <reference field="4294967294" selected="0">
              <x v="0"/>
            </reference>
          </references>
        </pivotArea>
      </autoSortScope>
    </pivotField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9">
        <item t="data" sd="1" x="5"/>
        <item t="data" sd="1" x="3"/>
        <item t="data" sd="1" x="1"/>
        <item t="data" sd="1" x="2"/>
        <item t="data" sd="1" m="1" x="7"/>
        <item t="data" sd="1" x="6"/>
        <item t="data" sd="1" x="0"/>
        <item t="data" sd="1" x="4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9">
        <item t="data" sd="1" m="1" x="7"/>
        <item t="data" sd="1" m="1" x="6"/>
        <item t="data" sd="1" m="1" x="4"/>
        <item t="data" sd="1" x="2"/>
        <item t="data" sd="1" m="1" x="3"/>
        <item t="data" sd="1" x="1"/>
        <item t="data" sd="1" m="1" x="5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1"/>
  </rowFields>
  <rowItems count="16">
    <i t="data" r="0" i="0">
      <x v="27"/>
    </i>
    <i t="data" r="0" i="0">
      <x v="18"/>
    </i>
    <i t="data" r="0" i="0">
      <x v="11"/>
    </i>
    <i t="data" r="0" i="0">
      <x v="30"/>
    </i>
    <i t="data" r="0" i="0">
      <x v="3"/>
    </i>
    <i t="data" r="0" i="0">
      <x v="19"/>
    </i>
    <i t="data" r="0" i="0">
      <x v="9"/>
    </i>
    <i t="data" r="0" i="0">
      <x v="31"/>
    </i>
    <i t="data" r="0" i="0">
      <x v="17"/>
    </i>
    <i t="data" r="0" i="0">
      <x v="10"/>
    </i>
    <i t="data" r="0" i="0">
      <x v="32"/>
    </i>
    <i t="data" r="0" i="0">
      <x v="23"/>
    </i>
    <i t="data" r="0" i="0">
      <x v="33"/>
    </i>
    <i t="data" r="0" i="0">
      <x v="12"/>
    </i>
    <i t="data" r="0" i="0">
      <x v="29"/>
    </i>
    <i t="grand" r="0" i="0">
      <x v="0"/>
    </i>
  </rowItems>
  <colFields count="1">
    <field x="3"/>
  </colFields>
  <colItems count="8">
    <i t="data" r="0" i="0">
      <x v="0"/>
    </i>
    <i t="data" r="0" i="0">
      <x v="1"/>
    </i>
    <i t="data" r="0" i="0">
      <x v="2"/>
    </i>
    <i t="data" r="0" i="0">
      <x v="3"/>
    </i>
    <i t="data" r="0" i="0">
      <x v="5"/>
    </i>
    <i t="data" r="0" i="0">
      <x v="6"/>
    </i>
    <i t="data" r="0" i="0">
      <x v="7"/>
    </i>
    <i t="grand" r="0" i="0">
      <x v="0"/>
    </i>
  </colItems>
  <pageFields count="1">
    <pageField fld="4" hier="-1"/>
  </pageFields>
  <dataFields count="1">
    <dataField name="Count of Paid" fld="7" subtotal="count" showDataAs="normal" baseField="1" baseItem="0" numFmtId="166"/>
  </dataFields>
  <formats count="1">
    <format action="formatting" dxfId="3848">
      <pivotArea type="normal" dataOnly="1" outline="0" collapsedLevelsAreSubtotals="1" fieldPosition="0"/>
    </format>
  </formats>
  <pivotTableStyleInfo name="PivotStyleLight16" showRowHeaders="1" showColHeaders="1" showRowStripes="0" showColStripes="0" showLastColumn="1"/>
</pivotTableDefinition>
</file>

<file path=xl/pivotTables/pivotTable11.xml><?xml version="1.0" encoding="utf-8"?>
<pivotTableDefinition xmlns:r="http://schemas.openxmlformats.org/officeDocument/2006/relationships" xmlns="http://schemas.openxmlformats.org/spreadsheetml/2006/main" name="PivotTable1" cacheId="4" dataOnRows="0" dataCaption="Valu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0" fieldListSortAscending="0" mdxSubqueries="0" applyNumberFormats="0" applyBorderFormats="0" applyFontFormats="0" applyPatternFormats="0" applyAlignmentFormats="0" applyWidthHeightFormats="1" r:id="rId1">
  <location ref="A3:F15" firstHeaderRow="1" firstDataRow="2" firstDataCol="1" rowPageCount="1" colPageCount="1"/>
  <pivotFields count="9"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Row" showDropDowns="1" compact="1" outline="1" subtotalTop="1" dragToRow="1" dragToCol="1" dragToPage="1" dragToData="1" dragOff="1" showAll="0" topAutoShow="1" itemPageCount="10" sortType="descending" defaultSubtotal="1">
      <items count="20">
        <item t="data" sd="1" x="2"/>
        <item t="data" sd="1" x="9"/>
        <item t="data" sd="1" x="4"/>
        <item t="data" sd="1" m="1" x="16"/>
        <item t="data" sd="1" x="7"/>
        <item t="data" sd="1" x="8"/>
        <item t="data" sd="1" m="1" x="10"/>
        <item t="data" sd="1" x="6"/>
        <item t="data" sd="1" m="1" x="17"/>
        <item t="data" sd="1" x="3"/>
        <item t="data" sd="1" m="1" x="11"/>
        <item t="data" sd="1" x="5"/>
        <item t="data" sd="1" m="1" x="15"/>
        <item t="data" sd="1" m="1" x="18"/>
        <item t="data" sd="1" m="1" x="12"/>
        <item t="data" sd="1" m="1" x="14"/>
        <item t="data" sd="1" x="1"/>
        <item t="data" sd="1" m="1" x="13"/>
        <item t="data" sd="1" x="0"/>
        <item t="default" sd="1"/>
      </items>
      <autoSortScope>
        <pivotArea type="normal" dataOnly="0" outline="0" fieldPosition="0">
          <references count="1">
            <reference field="4294967294" selected="0">
              <x v="0"/>
            </reference>
          </references>
        </pivotArea>
      </autoSortScope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7">
        <item t="data" sd="1" m="1" x="4"/>
        <item t="data" sd="1" x="1"/>
        <item t="data" sd="1" x="2"/>
        <item t="data" sd="1" m="1" x="5"/>
        <item t="data" sd="1" x="3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9">
        <item t="data" sd="1" m="1" x="7"/>
        <item t="data" sd="1" x="4"/>
        <item t="data" sd="1" x="2"/>
        <item t="data" sd="1" x="1"/>
        <item t="data" sd="1" x="3"/>
        <item t="data" sd="1" m="1" x="6"/>
        <item t="data" sd="1" m="1" x="5"/>
        <item t="data" sd="1" x="0"/>
        <item t="default" sd="1"/>
      </items>
    </pivotField>
  </pivotFields>
  <rowFields count="1">
    <field x="3"/>
  </rowFields>
  <rowItems count="11">
    <i t="data" r="0" i="0">
      <x v="16"/>
    </i>
    <i t="data" r="0" i="0">
      <x v="4"/>
    </i>
    <i t="data" r="0" i="0">
      <x v="5"/>
    </i>
    <i t="data" r="0" i="0">
      <x v="1"/>
    </i>
    <i t="data" r="0" i="0">
      <x v="11"/>
    </i>
    <i t="data" r="0" i="0">
      <x v="7"/>
    </i>
    <i t="data" r="0" i="0">
      <x v="2"/>
    </i>
    <i t="data" r="0" i="0">
      <x v="0"/>
    </i>
    <i t="data" r="0" i="0">
      <x v="9"/>
    </i>
    <i t="data" r="0" i="0">
      <x v="18"/>
    </i>
    <i t="grand" r="0" i="0">
      <x v="0"/>
    </i>
  </rowItems>
  <colFields count="1">
    <field x="4"/>
  </colFields>
  <colItems count="5">
    <i t="data" r="0" i="0">
      <x v="1"/>
    </i>
    <i t="data" r="0" i="0">
      <x v="2"/>
    </i>
    <i t="data" r="0" i="0">
      <x v="4"/>
    </i>
    <i t="data" r="0" i="0">
      <x v="5"/>
    </i>
    <i t="grand" r="0" i="0">
      <x v="0"/>
    </i>
  </colItems>
  <pageFields count="1">
    <pageField fld="8" hier="-1"/>
  </pageFields>
  <dataFields count="1">
    <dataField name="Sum of Paid" fld="6" subtotal="sum" showDataAs="normal" baseField="0" baseItem="0" numFmtId="166"/>
  </dataFields>
  <formats count="1">
    <format action="formatting" dxfId="3847">
      <pivotArea type="normal" dataOnly="1" outline="0" collapsedLevelsAreSubtotals="1" fieldPosition="0"/>
    </format>
  </formats>
  <pivotTableStyleInfo name="PivotStyleLight16" showRowHeaders="1" showColHeaders="1" showRowStripes="0" showColStripes="0" showLastColumn="1"/>
</pivotTableDefinition>
</file>

<file path=xl/pivotTables/pivotTable12.xml><?xml version="1.0" encoding="utf-8"?>
<pivotTableDefinition xmlns:r="http://schemas.openxmlformats.org/officeDocument/2006/relationships" xmlns="http://schemas.openxmlformats.org/spreadsheetml/2006/main" name="PivotTable2" cacheId="4" dataOnRows="0" dataCaption="Valu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0" fieldListSortAscending="0" mdxSubqueries="0" applyNumberFormats="0" applyBorderFormats="0" applyFontFormats="0" applyPatternFormats="0" applyAlignmentFormats="0" applyWidthHeightFormats="1" r:id="rId1">
  <location ref="A29:F41" firstHeaderRow="1" firstDataRow="2" firstDataCol="1" rowPageCount="1" colPageCount="1"/>
  <pivotFields count="9"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Row" showDropDowns="1" compact="1" outline="1" subtotalTop="1" dragToRow="1" dragToCol="1" dragToPage="1" dragToData="1" dragOff="1" showAll="0" topAutoShow="1" itemPageCount="10" sortType="descending" defaultSubtotal="1">
      <items count="20">
        <item t="data" sd="1" x="2"/>
        <item t="data" sd="1" x="9"/>
        <item t="data" sd="1" x="4"/>
        <item t="data" sd="1" m="1" x="16"/>
        <item t="data" sd="1" x="7"/>
        <item t="data" sd="1" x="8"/>
        <item t="data" sd="1" m="1" x="10"/>
        <item t="data" sd="1" x="6"/>
        <item t="data" sd="1" m="1" x="17"/>
        <item t="data" sd="1" x="3"/>
        <item t="data" sd="1" m="1" x="11"/>
        <item t="data" sd="1" x="5"/>
        <item t="data" sd="1" m="1" x="15"/>
        <item t="data" sd="1" m="1" x="18"/>
        <item t="data" sd="1" m="1" x="12"/>
        <item t="data" sd="1" m="1" x="14"/>
        <item t="data" sd="1" x="1"/>
        <item t="data" sd="1" m="1" x="13"/>
        <item t="data" sd="1" x="0"/>
        <item t="default" sd="1"/>
      </items>
      <autoSortScope>
        <pivotArea type="normal" dataOnly="0" outline="0" fieldPosition="0">
          <references count="1">
            <reference field="4294967294" selected="0">
              <x v="0"/>
            </reference>
          </references>
        </pivotArea>
      </autoSortScope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7">
        <item t="data" sd="1" m="1" x="4"/>
        <item t="data" sd="1" x="1"/>
        <item t="data" sd="1" x="2"/>
        <item t="data" sd="1" m="1" x="5"/>
        <item t="data" sd="1" x="3"/>
        <item t="data" sd="1" x="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8">
        <item t="data" sd="1" x="5"/>
        <item t="data" sd="1" x="1"/>
        <item t="data" sd="1" x="2"/>
        <item t="data" sd="1" x="3"/>
        <item t="data" sd="1" x="4"/>
        <item t="data" sd="1" m="1" x="6"/>
        <item t="data" sd="1" x="0"/>
        <item t="default" sd="1"/>
      </items>
    </pivotField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3"/>
  </rowFields>
  <rowItems count="11">
    <i t="data" r="0" i="0">
      <x v="7"/>
    </i>
    <i t="data" r="0" i="0">
      <x v="4"/>
    </i>
    <i t="data" r="0" i="0">
      <x v="16"/>
    </i>
    <i t="data" r="0" i="0">
      <x v="5"/>
    </i>
    <i t="data" r="0" i="0">
      <x v="1"/>
    </i>
    <i t="data" r="0" i="0">
      <x v="0"/>
    </i>
    <i t="data" r="0" i="0">
      <x v="11"/>
    </i>
    <i t="data" r="0" i="0">
      <x v="2"/>
    </i>
    <i t="data" r="0" i="0">
      <x v="9"/>
    </i>
    <i t="data" r="0" i="0">
      <x v="18"/>
    </i>
    <i t="grand" r="0" i="0">
      <x v="0"/>
    </i>
  </rowItems>
  <colFields count="1">
    <field x="4"/>
  </colFields>
  <colItems count="5">
    <i t="data" r="0" i="0">
      <x v="1"/>
    </i>
    <i t="data" r="0" i="0">
      <x v="2"/>
    </i>
    <i t="data" r="0" i="0">
      <x v="4"/>
    </i>
    <i t="data" r="0" i="0">
      <x v="5"/>
    </i>
    <i t="grand" r="0" i="0">
      <x v="0"/>
    </i>
  </colItems>
  <pageFields count="1">
    <pageField fld="5" hier="-1"/>
  </pageFields>
  <dataFields count="1">
    <dataField name="Count of Paid" fld="6" subtotal="count" showDataAs="normal" baseField="3" baseItem="0" numFmtId="166"/>
  </dataFields>
  <formats count="1">
    <format action="formatting" dxfId="3846">
      <pivotArea type="normal" dataOnly="1" outline="0" collapsedLevelsAreSubtotals="1" fieldPosition="0"/>
    </format>
  </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4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5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6.vml" Id="anysvml"/></Relationships>
</file>

<file path=xl/worksheets/_rels/sheet14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pivotTable" Target="/xl/pivotTables/pivotTable1.xml" Id="rId2"/><Relationship Type="http://schemas.openxmlformats.org/officeDocument/2006/relationships/pivotTable" Target="/xl/pivotTables/pivotTable2.xml" Id="rId3"/><Relationship Type="http://schemas.openxmlformats.org/officeDocument/2006/relationships/pivotTable" Target="/xl/pivotTables/pivotTable3.xml" Id="rId4"/><Relationship Type="http://schemas.openxmlformats.org/officeDocument/2006/relationships/pivotTable" Target="/xl/pivotTables/pivotTable4.xml" Id="rId5"/></Relationships>
</file>

<file path=xl/worksheets/_rels/sheet15.xml.rels><Relationships xmlns="http://schemas.openxmlformats.org/package/2006/relationships"><Relationship Type="http://schemas.openxmlformats.org/officeDocument/2006/relationships/hyperlink" Target="https://www.alanranger.com/four-private-tuition-classes" TargetMode="External" Id="rId1"/><Relationship Type="http://schemas.openxmlformats.org/officeDocument/2006/relationships/hyperlink" Target="https://www.alanranger.com/photography-classes/rps-course-cd5bd-h55gz" TargetMode="External" Id="rId2"/></Relationships>
</file>

<file path=xl/worksheets/_rels/sheet16.xml.rels><Relationships xmlns="http://schemas.openxmlformats.org/package/2006/relationships"><Relationship Type="http://schemas.openxmlformats.org/officeDocument/2006/relationships/pivotTable" Target="/xl/pivotTables/pivotTable5.xml" Id="rId1"/><Relationship Type="http://schemas.openxmlformats.org/officeDocument/2006/relationships/pivotTable" Target="/xl/pivotTables/pivotTable6.xml" Id="rId2"/><Relationship Type="http://schemas.openxmlformats.org/officeDocument/2006/relationships/pivotTable" Target="/xl/pivotTables/pivotTable7.xml" Id="rId3"/><Relationship Type="http://schemas.openxmlformats.org/officeDocument/2006/relationships/pivotTable" Target="/xl/pivotTables/pivotTable8.xml" Id="rId4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7.vml" Id="anysvml"/></Relationships>
</file>

<file path=xl/worksheets/_rels/sheet22.xml.rels><Relationships xmlns="http://schemas.openxmlformats.org/package/2006/relationships"><Relationship Type="http://schemas.openxmlformats.org/officeDocument/2006/relationships/hyperlink" Target="mailto:mary.paterson@ymail.com" TargetMode="External" Id="rId1"/><Relationship Type="http://schemas.openxmlformats.org/officeDocument/2006/relationships/hyperlink" Target="mailto:jeandance007@gmail.com" TargetMode="External" Id="rId2"/><Relationship Type="http://schemas.openxmlformats.org/officeDocument/2006/relationships/hyperlink" Target="mailto:ickaohman@gmail.com" TargetMode="External" Id="rId3"/><Relationship Type="http://schemas.openxmlformats.org/officeDocument/2006/relationships/hyperlink" Target="mailto:caroline.k9@btinternet.com" TargetMode="External" Id="rId4"/><Relationship Type="http://schemas.openxmlformats.org/officeDocument/2006/relationships/hyperlink" Target="mailto:mpuffett@virginmedia.com" TargetMode="External" Id="rId5"/><Relationship Type="http://schemas.openxmlformats.org/officeDocument/2006/relationships/hyperlink" Target="mailto:pwillis1907@gmail.com" TargetMode="External" Id="rId6"/><Relationship Type="http://schemas.openxmlformats.org/officeDocument/2006/relationships/hyperlink" Target="mailto:janeliz.robb@gmail.com" TargetMode="External" Id="rId7"/><Relationship Type="http://schemas.openxmlformats.org/officeDocument/2006/relationships/hyperlink" Target="mailto:jason.bunce@rocketmail.com" TargetMode="External" Id="rId8"/><Relationship Type="http://schemas.openxmlformats.org/officeDocument/2006/relationships/hyperlink" Target="mailto:lindamauch@hotmail.com" TargetMode="External" Id="rId9"/><Relationship Type="http://schemas.openxmlformats.org/officeDocument/2006/relationships/hyperlink" Target="mailto:ramchander@me.com" TargetMode="External" Id="rId10"/><Relationship Type="http://schemas.openxmlformats.org/officeDocument/2006/relationships/hyperlink" Target="mailto:pawelskibinski@wp.pl" TargetMode="External" Id="rId11"/><Relationship Type="http://schemas.openxmlformats.org/officeDocument/2006/relationships/hyperlink" Target="mailto:simplybowen@hotmail.co.uk" TargetMode="External" Id="rId12"/><Relationship Type="http://schemas.openxmlformats.org/officeDocument/2006/relationships/hyperlink" Target="mailto:lesptt@googlemail.com" TargetMode="External" Id="rId13"/><Relationship Type="http://schemas.openxmlformats.org/officeDocument/2006/relationships/hyperlink" Target="mailto:chris@professionallink.co.uk" TargetMode="External" Id="rId14"/><Relationship Type="http://schemas.openxmlformats.org/officeDocument/2006/relationships/hyperlink" Target="mailto:jhcrabs@gmail.com" TargetMode="External" Id="rId15"/><Relationship Type="http://schemas.openxmlformats.org/officeDocument/2006/relationships/hyperlink" Target="mailto:con.mchugh@gmail.com" TargetMode="External" Id="rId16"/><Relationship Type="http://schemas.openxmlformats.org/officeDocument/2006/relationships/hyperlink" Target="mailto:pjekirby@btinternet.com" TargetMode="External" Id="rId17"/><Relationship Type="http://schemas.openxmlformats.org/officeDocument/2006/relationships/hyperlink" Target="mailto:maxinewatts@me.com" TargetMode="External" Id="rId18"/><Relationship Type="http://schemas.openxmlformats.org/officeDocument/2006/relationships/hyperlink" Target="mailto:Fionaadams90@gmail.com" TargetMode="External" Id="rId19"/><Relationship Type="http://schemas.openxmlformats.org/officeDocument/2006/relationships/hyperlink" Target="mailto:jackirosin@gmail.com" TargetMode="External" Id="rId20"/><Relationship Type="http://schemas.openxmlformats.org/officeDocument/2006/relationships/hyperlink" Target="mailto:janice.jordan@shaylorgroup.com" TargetMode="External" Id="rId21"/><Relationship Type="http://schemas.openxmlformats.org/officeDocument/2006/relationships/hyperlink" Target="mailto:garrymsuch@btinternet.com" TargetMode="External" Id="rId22"/><Relationship Type="http://schemas.openxmlformats.org/officeDocument/2006/relationships/hyperlink" Target="mailto:edwards_rm@hotmail.co.uk" TargetMode="External" Id="rId23"/><Relationship Type="http://schemas.openxmlformats.org/officeDocument/2006/relationships/hyperlink" Target="mailto:trainc616@aol.com" TargetMode="External" Id="rId24"/><Relationship Type="http://schemas.openxmlformats.org/officeDocument/2006/relationships/hyperlink" Target="mailto:imlaurab@hotmail.co.uk" TargetMode="External" Id="rId25"/><Relationship Type="http://schemas.openxmlformats.org/officeDocument/2006/relationships/hyperlink" Target="mailto:semnicholls@gmail.com" TargetMode="External" Id="rId26"/><Relationship Type="http://schemas.openxmlformats.org/officeDocument/2006/relationships/hyperlink" Target="mailto:nathan920@ymail.com" TargetMode="External" Id="rId27"/><Relationship Type="http://schemas.openxmlformats.org/officeDocument/2006/relationships/hyperlink" Target="mailto:amanda_graham@hotmail.co.uk" TargetMode="External" Id="rId28"/><Relationship Type="http://schemas.openxmlformats.org/officeDocument/2006/relationships/hyperlink" Target="mailto:heathermarie412@hotmail.co.uk" TargetMode="External" Id="rId29"/><Relationship Type="http://schemas.openxmlformats.org/officeDocument/2006/relationships/hyperlink" Target="mailto:annewatkinson@talk21.com" TargetMode="External" Id="rId30"/><Relationship Type="http://schemas.openxmlformats.org/officeDocument/2006/relationships/hyperlink" Target="mailto:jaymeslynch@hotmail.com" TargetMode="External" Id="rId31"/><Relationship Type="http://schemas.openxmlformats.org/officeDocument/2006/relationships/hyperlink" Target="mailto:inwanderment@gmail.com" TargetMode="External" Id="rId32"/><Relationship Type="http://schemas.openxmlformats.org/officeDocument/2006/relationships/hyperlink" Target="mailto:inwanderment@gmail.com" TargetMode="External" Id="rId33"/><Relationship Type="http://schemas.openxmlformats.org/officeDocument/2006/relationships/hyperlink" Target="mailto:kamkaur7373@yahoo.com" TargetMode="External" Id="rId34"/></Relationships>
</file>

<file path=xl/worksheets/_rels/sheet26.xml.rels><Relationships xmlns="http://schemas.openxmlformats.org/package/2006/relationships"><Relationship Type="http://schemas.openxmlformats.org/officeDocument/2006/relationships/hyperlink" Target="mailto:angelacox@hotmail.com" TargetMode="External" Id="rId1"/><Relationship Type="http://schemas.openxmlformats.org/officeDocument/2006/relationships/hyperlink" Target="mailto:caroline.k9@btinternet.com" TargetMode="External" Id="rId2"/><Relationship Type="http://schemas.openxmlformats.org/officeDocument/2006/relationships/hyperlink" Target="mailto:jonathan_owl@yahoo.co.uk" TargetMode="External" Id="rId3"/><Relationship Type="http://schemas.openxmlformats.org/officeDocument/2006/relationships/hyperlink" Target="mailto:joannegalloway2003@yahoo.co.uk" TargetMode="External" Id="rId4"/><Relationship Type="http://schemas.openxmlformats.org/officeDocument/2006/relationships/hyperlink" Target="mailto:barford.neil@gmail.com" TargetMode="External" Id="rId5"/><Relationship Type="http://schemas.openxmlformats.org/officeDocument/2006/relationships/hyperlink" Target="mailto:johanna81005@gmail.com" TargetMode="External" Id="rId6"/><Relationship Type="http://schemas.openxmlformats.org/officeDocument/2006/relationships/hyperlink" Target="mailto:myra_little@hotmail.com" TargetMode="External" Id="rId7"/><Relationship Type="http://schemas.openxmlformats.org/officeDocument/2006/relationships/hyperlink" Target="mailto:dene.caple@googlemail.com" TargetMode="External" Id="rId8"/><Relationship Type="http://schemas.openxmlformats.org/officeDocument/2006/relationships/hyperlink" Target="mailto:kelly.westwood@icloud.com" TargetMode="External" Id="rId9"/><Relationship Type="http://schemas.openxmlformats.org/officeDocument/2006/relationships/hyperlink" Target="mailto:b.voules@btinternet.com" TargetMode="External" Id="rId10"/><Relationship Type="http://schemas.openxmlformats.org/officeDocument/2006/relationships/hyperlink" Target="mailto:janeliz.robb@gmail.com" TargetMode="External" Id="rId11"/><Relationship Type="http://schemas.openxmlformats.org/officeDocument/2006/relationships/hyperlink" Target="mailto:flax0001@gmail.com" TargetMode="External" Id="rId12"/><Relationship Type="http://schemas.openxmlformats.org/officeDocument/2006/relationships/hyperlink" Target="mailto:dosinski1990@outlook.com" TargetMode="External" Id="rId13"/><Relationship Type="http://schemas.openxmlformats.org/officeDocument/2006/relationships/hyperlink" Target="mailto:nicky1983mills@gmail.com" TargetMode="External" Id="rId14"/><Relationship Type="http://schemas.openxmlformats.org/officeDocument/2006/relationships/hyperlink" Target="mailto:mpuffett@virginmedia.com" TargetMode="External" Id="rId15"/><Relationship Type="http://schemas.openxmlformats.org/officeDocument/2006/relationships/hyperlink" Target="mailto:pwillis1907@gmail.com" TargetMode="External" Id="rId16"/><Relationship Type="http://schemas.openxmlformats.org/officeDocument/2006/relationships/hyperlink" Target="mailto:jason.bunce@rocketmail.com" TargetMode="External" Id="rId17"/><Relationship Type="http://schemas.openxmlformats.org/officeDocument/2006/relationships/hyperlink" Target="mailto:jonathan_owl@yahoo.co.uk" TargetMode="External" Id="rId18"/><Relationship Type="http://schemas.openxmlformats.org/officeDocument/2006/relationships/hyperlink" Target="mailto:rfveiga@gmail.com" TargetMode="External" Id="rId19"/><Relationship Type="http://schemas.openxmlformats.org/officeDocument/2006/relationships/hyperlink" Target="mailto:husamhsf@gmail.com" TargetMode="External" Id="rId20"/><Relationship Type="http://schemas.openxmlformats.org/officeDocument/2006/relationships/hyperlink" Target="mailto:ickaohman@gmail.com" TargetMode="External" Id="rId21"/><Relationship Type="http://schemas.openxmlformats.org/officeDocument/2006/relationships/hyperlink" Target="mailto:fjohnstubbs@icloud.com" TargetMode="External" Id="rId22"/><Relationship Type="http://schemas.openxmlformats.org/officeDocument/2006/relationships/hyperlink" Target="mailto:i.yorgov@gmail.com" TargetMode="External" Id="rId23"/><Relationship Type="http://schemas.openxmlformats.org/officeDocument/2006/relationships/hyperlink" Target="mailto:yussuf.al.yamani@gmail.com" TargetMode="External" Id="rId24"/><Relationship Type="http://schemas.openxmlformats.org/officeDocument/2006/relationships/hyperlink" Target="mailto:i.wilkening@warwick.ac.uk" TargetMode="External" Id="rId25"/><Relationship Type="http://schemas.openxmlformats.org/officeDocument/2006/relationships/hyperlink" Target="mailto:fiona@flbrown.com" TargetMode="External" Id="rId26"/><Relationship Type="http://schemas.openxmlformats.org/officeDocument/2006/relationships/hyperlink" Target="mailto:frank2807@gmail.com" TargetMode="External" Id="rId27"/><Relationship Type="http://schemas.openxmlformats.org/officeDocument/2006/relationships/hyperlink" Target="mailto:seelypix@gmail.com" TargetMode="External" Id="rId28"/><Relationship Type="http://schemas.openxmlformats.org/officeDocument/2006/relationships/hyperlink" Target="mailto:gill.core@btinternet.com" TargetMode="External" Id="rId29"/><Relationship Type="http://schemas.openxmlformats.org/officeDocument/2006/relationships/hyperlink" Target="mailto:malcolm.park@virginmedia.com" TargetMode="External" Id="rId30"/><Relationship Type="http://schemas.openxmlformats.org/officeDocument/2006/relationships/hyperlink" Target="mailto:joyceejames@me.com" TargetMode="External" Id="rId31"/><Relationship Type="http://schemas.openxmlformats.org/officeDocument/2006/relationships/hyperlink" Target="mailto:mike1ford@hotmail.co.uk" TargetMode="External" Id="rId32"/><Relationship Type="http://schemas.openxmlformats.org/officeDocument/2006/relationships/hyperlink" Target="mailto:mhughesuk@me.com" TargetMode="External" Id="rId33"/><Relationship Type="http://schemas.openxmlformats.org/officeDocument/2006/relationships/hyperlink" Target="mailto:chrisjohnson305@btinternet.com" TargetMode="External" Id="rId34"/><Relationship Type="http://schemas.openxmlformats.org/officeDocument/2006/relationships/hyperlink" Target="mailto:jhcrabs@gmail.com" TargetMode="External" Id="rId35"/><Relationship Type="http://schemas.openxmlformats.org/officeDocument/2006/relationships/hyperlink" Target="mailto:Kaysu@hotmail.com" TargetMode="External" Id="rId36"/><Relationship Type="http://schemas.openxmlformats.org/officeDocument/2006/relationships/hyperlink" Target="mailto:semnicholls@gmail.com" TargetMode="External" Id="rId37"/><Relationship Type="http://schemas.openxmlformats.org/officeDocument/2006/relationships/hyperlink" Target="mailto:david.varo@outlook.com" TargetMode="External" Id="rId38"/><Relationship Type="http://schemas.openxmlformats.org/officeDocument/2006/relationships/hyperlink" Target="mailto:uklynnh@gmail.com" TargetMode="External" Id="rId39"/><Relationship Type="http://schemas.openxmlformats.org/officeDocument/2006/relationships/hyperlink" Target="mailto:karenbarber7@hotmail.com" TargetMode="External" Id="rId40"/><Relationship Type="http://schemas.openxmlformats.org/officeDocument/2006/relationships/hyperlink" Target="mailto:Fionaadams90@gmail.com" TargetMode="External" Id="rId41"/><Relationship Type="http://schemas.openxmlformats.org/officeDocument/2006/relationships/hyperlink" Target="mailto:mike1ford@hotmail.co.uk" TargetMode="External" Id="rId42"/><Relationship Type="http://schemas.openxmlformats.org/officeDocument/2006/relationships/hyperlink" Target="mailto:pr@patrickrobiquet.com" TargetMode="External" Id="rId43"/><Relationship Type="http://schemas.openxmlformats.org/officeDocument/2006/relationships/hyperlink" Target="mailto:philseymour77@gmail.com" TargetMode="External" Id="rId44"/><Relationship Type="http://schemas.openxmlformats.org/officeDocument/2006/relationships/hyperlink" Target="mailto:visserruurd1@hotmail.com" TargetMode="External" Id="rId45"/><Relationship Type="http://schemas.openxmlformats.org/officeDocument/2006/relationships/hyperlink" Target="mailto:jeandance007@gmail.com" TargetMode="External" Id="rId46"/><Relationship Type="http://schemas.openxmlformats.org/officeDocument/2006/relationships/hyperlink" Target="mailto:leslieadams1965@outlook.com" TargetMode="External" Id="rId47"/><Relationship Type="http://schemas.openxmlformats.org/officeDocument/2006/relationships/hyperlink" Target="mailto:chrisparker1954@btinternet.com" TargetMode="External" Id="rId48"/><Relationship Type="http://schemas.openxmlformats.org/officeDocument/2006/relationships/hyperlink" Target="mailto:simplybowen@hotmail.co.uk" TargetMode="External" Id="rId49"/><Relationship Type="http://schemas.openxmlformats.org/officeDocument/2006/relationships/hyperlink" Target="mailto:Alannewbold@hotmail.co.uk" TargetMode="External" Id="rId50"/><Relationship Type="http://schemas.openxmlformats.org/officeDocument/2006/relationships/hyperlink" Target="mailto:iancrowsonys@googlemail.com" TargetMode="External" Id="rId51"/><Relationship Type="http://schemas.openxmlformats.org/officeDocument/2006/relationships/hyperlink" Target="mailto:bryanloraine@btinternet.com" TargetMode="External" Id="rId52"/><Relationship Type="http://schemas.openxmlformats.org/officeDocument/2006/relationships/hyperlink" Target="mailto:johanna81005@gmail.com" TargetMode="External" Id="rId53"/><Relationship Type="http://schemas.openxmlformats.org/officeDocument/2006/relationships/hyperlink" Target="mailto:jmacsport@hotmail.com" TargetMode="External" Id="rId54"/><Relationship Type="http://schemas.openxmlformats.org/officeDocument/2006/relationships/hyperlink" Target="mailto:vezukbabe@hotmail.com" TargetMode="External" Id="rId55"/><Relationship Type="http://schemas.openxmlformats.org/officeDocument/2006/relationships/hyperlink" Target="mailto:noogle0904@gmail.com" TargetMode="External" Id="rId56"/><Relationship Type="http://schemas.openxmlformats.org/officeDocument/2006/relationships/hyperlink" Target="mailto:simplybowen@hotmail.co.uk" TargetMode="External" Id="rId57"/><Relationship Type="http://schemas.openxmlformats.org/officeDocument/2006/relationships/hyperlink" Target="mailto:janetrroberts1@btinternet.com" TargetMode="External" Id="rId58"/><Relationship Type="http://schemas.openxmlformats.org/officeDocument/2006/relationships/hyperlink" Target="mailto:nj_ward@sky.com" TargetMode="External" Id="rId59"/><Relationship Type="http://schemas.openxmlformats.org/officeDocument/2006/relationships/hyperlink" Target="mailto:benmorphet@yahoo.com" TargetMode="External" Id="rId60"/><Relationship Type="http://schemas.openxmlformats.org/officeDocument/2006/relationships/hyperlink" Target="mailto:ian_stuart491999@yahoo.com" TargetMode="External" Id="rId61"/><Relationship Type="http://schemas.openxmlformats.org/officeDocument/2006/relationships/hyperlink" Target="mailto:Rachelakerman1@yahoo.co.uk" TargetMode="External" Id="rId62"/><Relationship Type="http://schemas.openxmlformats.org/officeDocument/2006/relationships/hyperlink" Target="mailto:georgina.catalinotto@googlemail.com" TargetMode="External" Id="rId63"/><Relationship Type="http://schemas.openxmlformats.org/officeDocument/2006/relationships/hyperlink" Target="mailto:samc3019@gmail.com" TargetMode="External" Id="rId64"/><Relationship Type="http://schemas.openxmlformats.org/officeDocument/2006/relationships/hyperlink" Target="mailto:annemarieandchris@btinternet.com" TargetMode="External" Id="rId65"/><Relationship Type="http://schemas.openxmlformats.org/officeDocument/2006/relationships/hyperlink" Target="mailto:edwards_rm@hotmail.co.uk" TargetMode="External" Id="rId66"/><Relationship Type="http://schemas.openxmlformats.org/officeDocument/2006/relationships/hyperlink" Target="mailto:dandmroberts@googlemail.com" TargetMode="External" Id="rId67"/><Relationship Type="http://schemas.openxmlformats.org/officeDocument/2006/relationships/hyperlink" Target="mailto:sarahmcgovern86@hotmail.com" TargetMode="External" Id="rId68"/><Relationship Type="http://schemas.openxmlformats.org/officeDocument/2006/relationships/hyperlink" Target="mailto:Philgnn@aol.com" TargetMode="External" Id="rId69"/><Relationship Type="http://schemas.openxmlformats.org/officeDocument/2006/relationships/hyperlink" Target="mailto:nick.decianti@gmail.com" TargetMode="External" Id="rId70"/><Relationship Type="http://schemas.openxmlformats.org/officeDocument/2006/relationships/hyperlink" Target="mailto:johnhayeshere@gmail.com" TargetMode="External" Id="rId71"/><Relationship Type="http://schemas.openxmlformats.org/officeDocument/2006/relationships/hyperlink" Target="mailto:chrisparker1954@btinternet.com" TargetMode="External" Id="rId72"/><Relationship Type="http://schemas.openxmlformats.org/officeDocument/2006/relationships/hyperlink" Target="mailto:raylene4@hotmail.com" TargetMode="External" Id="rId73"/><Relationship Type="http://schemas.openxmlformats.org/officeDocument/2006/relationships/hyperlink" Target="mailto:jeandance007@gmail.com" TargetMode="External" Id="rId74"/></Relationships>
</file>

<file path=xl/worksheets/_rels/sheet27.xml.rels><Relationships xmlns="http://schemas.openxmlformats.org/package/2006/relationships"><Relationship Type="http://schemas.openxmlformats.org/officeDocument/2006/relationships/hyperlink" Target="mailto:ynossel@aol.com" TargetMode="External" Id="rId1"/><Relationship Type="http://schemas.openxmlformats.org/officeDocument/2006/relationships/hyperlink" Target="mailto:chrisjohnson305@btinternet.com" TargetMode="External" Id="rId2"/><Relationship Type="http://schemas.openxmlformats.org/officeDocument/2006/relationships/hyperlink" Target="mailto:h.davies@bcguk.com" TargetMode="External" Id="rId3"/><Relationship Type="http://schemas.openxmlformats.org/officeDocument/2006/relationships/hyperlink" Target="mailto:mark4harrison@gmail.com" TargetMode="External" Id="rId4"/><Relationship Type="http://schemas.openxmlformats.org/officeDocument/2006/relationships/hyperlink" Target="mailto:nigeljjones@hotmail.co.uk" TargetMode="External" Id="rId5"/><Relationship Type="http://schemas.openxmlformats.org/officeDocument/2006/relationships/hyperlink" Target="mailto:martin.chambers@shaylorgroup.com" TargetMode="External" Id="rId6"/><Relationship Type="http://schemas.openxmlformats.org/officeDocument/2006/relationships/hyperlink" Target="mailto:jill_lusted@live.co.uk" TargetMode="External" Id="rId7"/><Relationship Type="http://schemas.openxmlformats.org/officeDocument/2006/relationships/hyperlink" Target="mailto:philipogrady@sky.com" TargetMode="External" Id="rId8"/><Relationship Type="http://schemas.openxmlformats.org/officeDocument/2006/relationships/hyperlink" Target="mailto:colinclapp@hotmail.com" TargetMode="External" Id="rId9"/><Relationship Type="http://schemas.openxmlformats.org/officeDocument/2006/relationships/hyperlink" Target="mailto:vivdrury@icloud.com" TargetMode="External" Id="rId10"/><Relationship Type="http://schemas.openxmlformats.org/officeDocument/2006/relationships/hyperlink" Target="mailto:vivdrury@icloud.com" TargetMode="External" Id="rId11"/><Relationship Type="http://schemas.openxmlformats.org/officeDocument/2006/relationships/hyperlink" Target="mailto:linn.ashmore@rugby.gov.uk" TargetMode="External" Id="rId12"/><Relationship Type="http://schemas.openxmlformats.org/officeDocument/2006/relationships/hyperlink" Target="mailto:karenherd91@btinternet.com" TargetMode="External" Id="rId13"/></Relationships>
</file>

<file path=xl/worksheets/_rels/sheet29.xml.rels><Relationships xmlns="http://schemas.openxmlformats.org/package/2006/relationships"><Relationship Type="http://schemas.openxmlformats.org/officeDocument/2006/relationships/pivotTable" Target="/xl/pivotTables/pivotTable9.xml" Id="rId1"/><Relationship Type="http://schemas.openxmlformats.org/officeDocument/2006/relationships/pivotTable" Target="/xl/pivotTables/pivotTable10.xml" Id="rId2"/></Relationships>
</file>

<file path=xl/worksheets/_rels/sheet30.xml.rels><Relationships xmlns="http://schemas.openxmlformats.org/package/2006/relationships"><Relationship Type="http://schemas.openxmlformats.org/officeDocument/2006/relationships/hyperlink" Target="mailto:angelacox@hotmail.com" TargetMode="External" Id="rId1"/><Relationship Type="http://schemas.openxmlformats.org/officeDocument/2006/relationships/hyperlink" Target="mailto:latishadhir@gmail.com" TargetMode="External" Id="rId2"/><Relationship Type="http://schemas.openxmlformats.org/officeDocument/2006/relationships/hyperlink" Target="mailto:jmcooke111@btinternet.com" TargetMode="External" Id="rId3"/><Relationship Type="http://schemas.openxmlformats.org/officeDocument/2006/relationships/hyperlink" Target="mailto:gjralph@tesco.net" TargetMode="External" Id="rId4"/><Relationship Type="http://schemas.openxmlformats.org/officeDocument/2006/relationships/hyperlink" Target="mailto:cliff@technologist.com" TargetMode="External" Id="rId5"/><Relationship Type="http://schemas.openxmlformats.org/officeDocument/2006/relationships/hyperlink" Target="mailto:leslieadams1965@outlook.com" TargetMode="External" Id="rId6"/><Relationship Type="http://schemas.openxmlformats.org/officeDocument/2006/relationships/hyperlink" Target="mailto:jeandance007@gmail.com" TargetMode="External" Id="rId7"/><Relationship Type="http://schemas.openxmlformats.org/officeDocument/2006/relationships/hyperlink" Target="mailto:simonwalkergdp1@btinternet.com" TargetMode="External" Id="rId8"/><Relationship Type="http://schemas.openxmlformats.org/officeDocument/2006/relationships/hyperlink" Target="mailto:leslieadams1965@outlook.com" TargetMode="External" Id="rId9"/><Relationship Type="http://schemas.openxmlformats.org/officeDocument/2006/relationships/hyperlink" Target="mailto:gill.core@btinternet.com" TargetMode="External" Id="rId10"/><Relationship Type="http://schemas.openxmlformats.org/officeDocument/2006/relationships/hyperlink" Target="mailto:ian_stuart491999@yahoo.com" TargetMode="External" Id="rId11"/><Relationship Type="http://schemas.openxmlformats.org/officeDocument/2006/relationships/hyperlink" Target="mailto:c.caborn@yahoo.co.uk" TargetMode="External" Id="rId12"/><Relationship Type="http://schemas.openxmlformats.org/officeDocument/2006/relationships/hyperlink" Target="mailto:simon.warriner013@btinternet.com" TargetMode="External" Id="rId13"/><Relationship Type="http://schemas.openxmlformats.org/officeDocument/2006/relationships/hyperlink" Target="mailto:bedebe@hotmail.com" TargetMode="External" Id="rId14"/><Relationship Type="http://schemas.openxmlformats.org/officeDocument/2006/relationships/hyperlink" Target="mailto:greg.sant@sky.com" TargetMode="External" Id="rId15"/><Relationship Type="http://schemas.openxmlformats.org/officeDocument/2006/relationships/hyperlink" Target="mailto:colinclapp@hotmail.com" TargetMode="External" Id="rId16"/><Relationship Type="http://schemas.openxmlformats.org/officeDocument/2006/relationships/hyperlink" Target="mailto:stuart.walters@ob-mc.co.uk" TargetMode="External" Id="rId17"/><Relationship Type="http://schemas.openxmlformats.org/officeDocument/2006/relationships/hyperlink" Target="mailto:jan@nomadians.co.uk" TargetMode="External" Id="rId18"/><Relationship Type="http://schemas.openxmlformats.org/officeDocument/2006/relationships/hyperlink" Target="mailto:leeclarke12@aol.com" TargetMode="External" Id="rId19"/><Relationship Type="http://schemas.openxmlformats.org/officeDocument/2006/relationships/hyperlink" Target="mailto:philwebster92@gmail.com" TargetMode="External" Id="rId20"/><Relationship Type="http://schemas.openxmlformats.org/officeDocument/2006/relationships/hyperlink" Target="mailto:leeclarke12@aol.com" TargetMode="External" Id="rId21"/><Relationship Type="http://schemas.openxmlformats.org/officeDocument/2006/relationships/hyperlink" Target="mailto:leeclarke12@aol.com" TargetMode="External" Id="rId22"/><Relationship Type="http://schemas.openxmlformats.org/officeDocument/2006/relationships/hyperlink" Target="mailto:annewatkinson@talk21.com" TargetMode="External" Id="rId23"/><Relationship Type="http://schemas.openxmlformats.org/officeDocument/2006/relationships/hyperlink" Target="mailto:tim.newcombe123@btinternet.com" TargetMode="External" Id="rId24"/><Relationship Type="http://schemas.openxmlformats.org/officeDocument/2006/relationships/hyperlink" Target="mailto:dandmroberts@googlemail.com" TargetMode="External" Id="rId25"/><Relationship Type="http://schemas.openxmlformats.org/officeDocument/2006/relationships/hyperlink" Target="mailto:annewatkinson@talk21.com" TargetMode="External" Id="rId26"/><Relationship Type="http://schemas.openxmlformats.org/officeDocument/2006/relationships/hyperlink" Target="mailto:alantaylor1409@gmail.com" TargetMode="External" Id="rId27"/><Relationship Type="http://schemas.openxmlformats.org/officeDocument/2006/relationships/hyperlink" Target="mailto:annewatkinson@talk21.com" TargetMode="External" Id="rId28"/><Relationship Type="http://schemas.openxmlformats.org/officeDocument/2006/relationships/hyperlink" Target="mailto:annewatkinson@talk21.com" TargetMode="External" Id="rId29"/><Relationship Type="http://schemas.openxmlformats.org/officeDocument/2006/relationships/hyperlink" Target="mailto:annewatkinson@talk21.com" TargetMode="External" Id="rId30"/><Relationship Type="http://schemas.openxmlformats.org/officeDocument/2006/relationships/hyperlink" Target="mailto:daniel.robb@live.co.uk" TargetMode="External" Id="rId31"/><Relationship Type="http://schemas.openxmlformats.org/officeDocument/2006/relationships/hyperlink" Target="mailto:annewatkinson@talk21.com" TargetMode="External" Id="rId32"/><Relationship Type="http://schemas.openxmlformats.org/officeDocument/2006/relationships/hyperlink" Target="mailto:annewatkinson@talk21.com" TargetMode="External" Id="rId33"/><Relationship Type="http://schemas.openxmlformats.org/officeDocument/2006/relationships/hyperlink" Target="mailto:funsizeclaire@hotmail.co.uk" TargetMode="External" Id="rId34"/><Relationship Type="http://schemas.openxmlformats.org/officeDocument/2006/relationships/hyperlink" Target="mailto:annewatkinson@talk21.com" TargetMode="External" Id="rId35"/><Relationship Type="http://schemas.openxmlformats.org/officeDocument/2006/relationships/hyperlink" Target="mailto:annewatkinson@talk21.com" TargetMode="External" Id="rId36"/><Relationship Type="http://schemas.openxmlformats.org/officeDocument/2006/relationships/hyperlink" Target="mailto:alancross9937@gmail.com" TargetMode="External" Id="rId37"/><Relationship Type="http://schemas.openxmlformats.org/officeDocument/2006/relationships/hyperlink" Target="mailto:dreamsjoinery@gmail.com" TargetMode="External" Id="rId38"/><Relationship Type="http://schemas.openxmlformats.org/officeDocument/2006/relationships/hyperlink" Target="mailto:annewatkinson@talk21.com" TargetMode="External" Id="rId39"/><Relationship Type="http://schemas.openxmlformats.org/officeDocument/2006/relationships/hyperlink" Target="mailto:snavelien@gmail.com" TargetMode="External" Id="rId40"/><Relationship Type="http://schemas.openxmlformats.org/officeDocument/2006/relationships/hyperlink" Target="mailto:snavelien@gmail.com" TargetMode="External" Id="rId41"/><Relationship Type="http://schemas.openxmlformats.org/officeDocument/2006/relationships/hyperlink" Target="mailto:chrisbrownoakcottage@virginmedia.com" TargetMode="External" Id="rId42"/><Relationship Type="http://schemas.openxmlformats.org/officeDocument/2006/relationships/hyperlink" Target="mailto:zydrune22@yahoo.com" TargetMode="External" Id="rId43"/><Relationship Type="http://schemas.openxmlformats.org/officeDocument/2006/relationships/hyperlink" Target="mailto:quentmelhuish@gmail.com" TargetMode="External" Id="rId44"/><Relationship Type="http://schemas.openxmlformats.org/officeDocument/2006/relationships/hyperlink" Target="mailto:jan@nomadians.co.uk" TargetMode="External" Id="rId45"/><Relationship Type="http://schemas.openxmlformats.org/officeDocument/2006/relationships/hyperlink" Target="mailto:jeffreybalyliss@gmail.com" TargetMode="External" Id="rId46"/><Relationship Type="http://schemas.openxmlformats.org/officeDocument/2006/relationships/hyperlink" Target="mailto:albanamarina12@outlook.com" TargetMode="External" Id="rId47"/><Relationship Type="http://schemas.openxmlformats.org/officeDocument/2006/relationships/hyperlink" Target="mailto:jaysapna747@gmail.com" TargetMode="External" Id="rId48"/></Relationships>
</file>

<file path=xl/worksheets/_rels/sheet31.xml.rels><Relationships xmlns="http://schemas.openxmlformats.org/package/2006/relationships"><Relationship Type="http://schemas.openxmlformats.org/officeDocument/2006/relationships/hyperlink" Target="mailto:fdebelli@jaguarlandrover.com" TargetMode="External" Id="rId1"/><Relationship Type="http://schemas.openxmlformats.org/officeDocument/2006/relationships/hyperlink" Target="mailto:paul.lewis982@googlemail.com" TargetMode="External" Id="rId2"/><Relationship Type="http://schemas.openxmlformats.org/officeDocument/2006/relationships/hyperlink" Target="mailto:claveri1@jaguarlandrover.com" TargetMode="External" Id="rId3"/><Relationship Type="http://schemas.openxmlformats.org/officeDocument/2006/relationships/hyperlink" Target="mailto:glingan1@jaguarlandrover.com" TargetMode="External" Id="rId4"/><Relationship Type="http://schemas.openxmlformats.org/officeDocument/2006/relationships/hyperlink" Target="mailto:abalasu4@jaguarlandrover.com" TargetMode="External" Id="rId5"/><Relationship Type="http://schemas.openxmlformats.org/officeDocument/2006/relationships/hyperlink" Target="mailto:sherle@jaguarlandrover.com" TargetMode="External" Id="rId6"/><Relationship Type="http://schemas.openxmlformats.org/officeDocument/2006/relationships/hyperlink" Target="mailto:bvanzeel@jaguarlandrover.com" TargetMode="External" Id="rId7"/><Relationship Type="http://schemas.openxmlformats.org/officeDocument/2006/relationships/hyperlink" Target="mailto:kkuttan@jaguarlandrover.com" TargetMode="External" Id="rId8"/><Relationship Type="http://schemas.openxmlformats.org/officeDocument/2006/relationships/hyperlink" Target="mailto:whyteb2010@aol.co.uk" TargetMode="External" Id="rId9"/><Relationship Type="http://schemas.openxmlformats.org/officeDocument/2006/relationships/hyperlink" Target="mailto:Marie.Rushworth.1@warwick.ac.uk" TargetMode="External" Id="rId10"/><Relationship Type="http://schemas.openxmlformats.org/officeDocument/2006/relationships/hyperlink" Target="mailto:gcaus1@jaguarlandrover.com" TargetMode="External" Id="rId11"/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8.vml" Id="anysvml"/></Relationships>
</file>

<file path=xl/worksheets/_rels/sheet32.xml.rels><Relationships xmlns="http://schemas.openxmlformats.org/package/2006/relationships"><Relationship Type="http://schemas.openxmlformats.org/officeDocument/2006/relationships/hyperlink" Target="mailto:barford.neil@gmail.com" TargetMode="External" Id="rId1"/><Relationship Type="http://schemas.openxmlformats.org/officeDocument/2006/relationships/hyperlink" Target="mailto:alockwo3@jaguarlandrover.com" TargetMode="External" Id="rId2"/><Relationship Type="http://schemas.openxmlformats.org/officeDocument/2006/relationships/hyperlink" Target="mailto:7lockwood@googlemail.com" TargetMode="External" Id="rId3"/><Relationship Type="http://schemas.openxmlformats.org/officeDocument/2006/relationships/hyperlink" Target="mailto:cannings57@gmail.com" TargetMode="External" Id="rId4"/><Relationship Type="http://schemas.openxmlformats.org/officeDocument/2006/relationships/hyperlink" Target="mailto:rprew@jaguarlandrover.com" TargetMode="External" Id="rId5"/><Relationship Type="http://schemas.openxmlformats.org/officeDocument/2006/relationships/hyperlink" Target="mailto:alockwo3@jaguarlandrover.com" TargetMode="External" Id="rId6"/><Relationship Type="http://schemas.openxmlformats.org/officeDocument/2006/relationships/hyperlink" Target="mailto:alockwo3@jaguarlandrover.com" TargetMode="External" Id="rId7"/><Relationship Type="http://schemas.openxmlformats.org/officeDocument/2006/relationships/hyperlink" Target="mailto:john.s.whitehouse@gmail.com" TargetMode="External" Id="rId8"/><Relationship Type="http://schemas.openxmlformats.org/officeDocument/2006/relationships/hyperlink" Target="mailto:bradleyrj22@gmail.com" TargetMode="External" Id="rId9"/><Relationship Type="http://schemas.openxmlformats.org/officeDocument/2006/relationships/hyperlink" Target="mailto:julie@partsworldgroup.com" TargetMode="External" Id="rId10"/><Relationship Type="http://schemas.openxmlformats.org/officeDocument/2006/relationships/hyperlink" Target="mailto:jjames8@jaguarlandrover.com" TargetMode="External" Id="rId11"/><Relationship Type="http://schemas.openxmlformats.org/officeDocument/2006/relationships/hyperlink" Target="mailto:jojames081@gmail.com" TargetMode="External" Id="rId12"/><Relationship Type="http://schemas.openxmlformats.org/officeDocument/2006/relationships/hyperlink" Target="mailto:gjones56@jaguarlandrover.com" TargetMode="External" Id="rId13"/><Relationship Type="http://schemas.openxmlformats.org/officeDocument/2006/relationships/hyperlink" Target="mailto:jaysapna747@gmail.com" TargetMode="External" Id="rId14"/><Relationship Type="http://schemas.openxmlformats.org/officeDocument/2006/relationships/hyperlink" Target="mailto:rcriste1@jaguarlandrover.com" TargetMode="External" Id="rId15"/><Relationship Type="http://schemas.openxmlformats.org/officeDocument/2006/relationships/hyperlink" Target="mailto:jaysapna747@gmail.com" TargetMode="External" Id="rId16"/><Relationship Type="http://schemas.openxmlformats.org/officeDocument/2006/relationships/hyperlink" Target="mailto:kxrcool24@gmail.com" TargetMode="External" Id="rId17"/><Relationship Type="http://schemas.openxmlformats.org/officeDocument/2006/relationships/hyperlink" Target="mailto:sabina_004@hotmail.com" TargetMode="External" Id="rId18"/><Relationship Type="http://schemas.openxmlformats.org/officeDocument/2006/relationships/hyperlink" Target="mailto:ltasker@jaguarlandrover.com" TargetMode="External" Id="rId19"/><Relationship Type="http://schemas.openxmlformats.org/officeDocument/2006/relationships/hyperlink" Target="mailto:pjacks1969@gmail.com" TargetMode="External" Id="rId20"/><Relationship Type="http://schemas.openxmlformats.org/officeDocument/2006/relationships/hyperlink" Target="mailto:egoodwin@jaguarlandrover.com" TargetMode="External" Id="rId21"/><Relationship Type="http://schemas.openxmlformats.org/officeDocument/2006/relationships/hyperlink" Target="mailto:mpixley@jaguarlandrover.com" TargetMode="External" Id="rId22"/><Relationship Type="http://schemas.openxmlformats.org/officeDocument/2006/relationships/hyperlink" Target="mailto:gjones56@jaguarlandrover.com" TargetMode="External" Id="rId23"/><Relationship Type="http://schemas.openxmlformats.org/officeDocument/2006/relationships/hyperlink" Target="mailto:eandrew1@jaguarlandrover.com" TargetMode="External" Id="rId24"/><Relationship Type="http://schemas.openxmlformats.org/officeDocument/2006/relationships/hyperlink" Target="mailto:sophie.deeley@gmail.com" TargetMode="External" Id="rId25"/><Relationship Type="http://schemas.openxmlformats.org/officeDocument/2006/relationships/hyperlink" Target="mailto:nkarupp2@jaguarlandrover.com" TargetMode="External" Id="rId26"/><Relationship Type="http://schemas.openxmlformats.org/officeDocument/2006/relationships/hyperlink" Target="mailto:mdavie32@jaguarlandrover.com" TargetMode="External" Id="rId27"/><Relationship Type="http://schemas.openxmlformats.org/officeDocument/2006/relationships/hyperlink" Target="mailto:nlakshm1@jaguarlandrover.com" TargetMode="External" Id="rId28"/><Relationship Type="http://schemas.openxmlformats.org/officeDocument/2006/relationships/hyperlink" Target="mailto:cadwitney@gmail.com" TargetMode="External" Id="rId29"/><Relationship Type="http://schemas.openxmlformats.org/officeDocument/2006/relationships/hyperlink" Target="mailto:dave.pyta@gmail.com" TargetMode="External" Id="rId30"/><Relationship Type="http://schemas.openxmlformats.org/officeDocument/2006/relationships/hyperlink" Target="mailto:richiemack32@hotmail.com" TargetMode="External" Id="rId31"/><Relationship Type="http://schemas.openxmlformats.org/officeDocument/2006/relationships/hyperlink" Target="mailto:johnkitteringham@hotmail.co.uk" TargetMode="External" Id="rId32"/><Relationship Type="http://schemas.openxmlformats.org/officeDocument/2006/relationships/hyperlink" Target="mailto:gmoys@jaguarlandrover.com" TargetMode="External" Id="rId33"/><Relationship Type="http://schemas.openxmlformats.org/officeDocument/2006/relationships/hyperlink" Target="mailto:aalexa1@jaguarlandrover.com" TargetMode="External" Id="rId34"/><Relationship Type="http://schemas.openxmlformats.org/officeDocument/2006/relationships/hyperlink" Target="mailto:jaysapna747@gmail.com" TargetMode="External" Id="rId35"/><Relationship Type="http://schemas.openxmlformats.org/officeDocument/2006/relationships/hyperlink" Target="mailto:bernadettehart0@gmail.com" TargetMode="External" Id="rId36"/><Relationship Type="http://schemas.openxmlformats.org/officeDocument/2006/relationships/hyperlink" Target="mailto:rob_j_mac@hotmail.com" TargetMode="External" Id="rId37"/><Relationship Type="http://schemas.openxmlformats.org/officeDocument/2006/relationships/hyperlink" Target="mailto:jswinde1@jaguarlandrover.com" TargetMode="External" Id="rId38"/><Relationship Type="http://schemas.openxmlformats.org/officeDocument/2006/relationships/hyperlink" Target="mailto:tim.bigcorp@gmail.com" TargetMode="External" Id="rId39"/><Relationship Type="http://schemas.openxmlformats.org/officeDocument/2006/relationships/hyperlink" Target="mailto:cadwitney@gmail.com" TargetMode="External" Id="rId40"/><Relationship Type="http://schemas.openxmlformats.org/officeDocument/2006/relationships/hyperlink" Target="mailto:lbishop5@jaguarlandrover.com" TargetMode="External" Id="rId41"/><Relationship Type="http://schemas.openxmlformats.org/officeDocument/2006/relationships/hyperlink" Target="mailto:cfrankl4@jaguarlandrover.com" TargetMode="External" Id="rId42"/><Relationship Type="http://schemas.openxmlformats.org/officeDocument/2006/relationships/hyperlink" Target="mailto:dkanaka1@jaguarlandrover.com" TargetMode="External" Id="rId43"/><Relationship Type="http://schemas.openxmlformats.org/officeDocument/2006/relationships/hyperlink" Target="mailto:simonworledge@icloud.com" TargetMode="External" Id="rId44"/><Relationship Type="http://schemas.openxmlformats.org/officeDocument/2006/relationships/hyperlink" Target="mailto:andy.haslam62@gmail.com" TargetMode="External" Id="rId45"/><Relationship Type="http://schemas.openxmlformats.org/officeDocument/2006/relationships/hyperlink" Target="mailto:awilli60@jaguarlandrover.com" TargetMode="External" Id="rId46"/><Relationship Type="http://schemas.openxmlformats.org/officeDocument/2006/relationships/hyperlink" Target="mailto:srickar3@jaguarlandrover.com" TargetMode="External" Id="rId47"/><Relationship Type="http://schemas.openxmlformats.org/officeDocument/2006/relationships/hyperlink" Target="mailto:saz.rickards@gmail.com" TargetMode="External" Id="rId48"/><Relationship Type="http://schemas.openxmlformats.org/officeDocument/2006/relationships/hyperlink" Target="mailto:djadhav4@jaguarlandrover.com" TargetMode="External" Id="rId49"/><Relationship Type="http://schemas.openxmlformats.org/officeDocument/2006/relationships/hyperlink" Target="mailto:vthakar1@jaguarlandrover.com" TargetMode="External" Id="rId50"/><Relationship Type="http://schemas.openxmlformats.org/officeDocument/2006/relationships/hyperlink" Target="mailto:ssander2@jaguarlandrover.com" TargetMode="External" Id="rId51"/><Relationship Type="http://schemas.openxmlformats.org/officeDocument/2006/relationships/hyperlink" Target="mailto:tmendes1@jaguarlandrover.com" TargetMode="External" Id="rId52"/><Relationship Type="http://schemas.openxmlformats.org/officeDocument/2006/relationships/hyperlink" Target="mailto:saz.rickards@gmail.com" TargetMode="External" Id="rId53"/><Relationship Type="http://schemas.openxmlformats.org/officeDocument/2006/relationships/hyperlink" Target="mailto:dcoe@jaguarlandrover.com" TargetMode="External" Id="rId54"/><Relationship Type="http://schemas.openxmlformats.org/officeDocument/2006/relationships/hyperlink" Target="mailto:ytao2@jaguarlandrover.com" TargetMode="External" Id="rId55"/><Relationship Type="http://schemas.openxmlformats.org/officeDocument/2006/relationships/hyperlink" Target="mailto:jeremytroth1@gmail.com" TargetMode="External" Id="rId56"/><Relationship Type="http://schemas.openxmlformats.org/officeDocument/2006/relationships/hyperlink" Target="mailto:paulj4981@gmail.com" TargetMode="External" Id="rId57"/><Relationship Type="http://schemas.openxmlformats.org/officeDocument/2006/relationships/hyperlink" Target="mailto:mileshuckle@gmail.com" TargetMode="External" Id="rId58"/><Relationship Type="http://schemas.openxmlformats.org/officeDocument/2006/relationships/hyperlink" Target="mailto:barford.neil@gmail.com" TargetMode="External" Id="rId59"/><Relationship Type="http://schemas.openxmlformats.org/officeDocument/2006/relationships/hyperlink" Target="mailto:lpotter8@jaguarlandrover.com" TargetMode="External" Id="rId60"/><Relationship Type="http://schemas.openxmlformats.org/officeDocument/2006/relationships/hyperlink" Target="mailto:richard@shearwood.org.uk" TargetMode="External" Id="rId61"/><Relationship Type="http://schemas.openxmlformats.org/officeDocument/2006/relationships/hyperlink" Target="mailto:smcdonald589@gmail.com" TargetMode="External" Id="rId62"/><Relationship Type="http://schemas.openxmlformats.org/officeDocument/2006/relationships/hyperlink" Target="mailto:smcdonald589@gmail.com" TargetMode="External" Id="rId63"/><Relationship Type="http://schemas.openxmlformats.org/officeDocument/2006/relationships/hyperlink" Target="mailto:cwhitta1@jaguarlandrover.com" TargetMode="External" Id="rId64"/><Relationship Type="http://schemas.openxmlformats.org/officeDocument/2006/relationships/hyperlink" Target="mailto:colin.whittaker89@gmail.com" TargetMode="External" Id="rId65"/><Relationship Type="http://schemas.openxmlformats.org/officeDocument/2006/relationships/hyperlink" Target="mailto:cmather6@jaguarlandrover.com" TargetMode="External" Id="rId66"/><Relationship Type="http://schemas.openxmlformats.org/officeDocument/2006/relationships/hyperlink" Target="mailto:salome@sylimited.com" TargetMode="External" Id="rId67"/><Relationship Type="http://schemas.openxmlformats.org/officeDocument/2006/relationships/hyperlink" Target="mailto:lindsay_j_best@hotmail.com" TargetMode="External" Id="rId68"/><Relationship Type="http://schemas.openxmlformats.org/officeDocument/2006/relationships/hyperlink" Target="mailto:mrhdenning@gmail.com" TargetMode="External" Id="rId69"/><Relationship Type="http://schemas.openxmlformats.org/officeDocument/2006/relationships/hyperlink" Target="mailto:aj_morris@sky.com" TargetMode="External" Id="rId70"/><Relationship Type="http://schemas.openxmlformats.org/officeDocument/2006/relationships/hyperlink" Target="mailto:hpownall@jaguarlandrover.com" TargetMode="External" Id="rId71"/><Relationship Type="http://schemas.openxmlformats.org/officeDocument/2006/relationships/hyperlink" Target="mailto:alanjpilkington@gmail.com" TargetMode="External" Id="rId72"/><Relationship Type="http://schemas.openxmlformats.org/officeDocument/2006/relationships/hyperlink" Target="mailto:j.macdonald1405@btinternet.com" TargetMode="External" Id="rId73"/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9.vml" Id="anysvml"/></Relationships>
</file>

<file path=xl/worksheets/_rels/sheet33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0.vml" Id="anysvml"/></Relationships>
</file>

<file path=xl/worksheets/_rels/sheet35.xml.rels><Relationships xmlns="http://schemas.openxmlformats.org/package/2006/relationships"><Relationship Type="http://schemas.openxmlformats.org/officeDocument/2006/relationships/hyperlink" Target="mailto:cathykibble@googlemail.com" TargetMode="External" Id="rId1"/><Relationship Type="http://schemas.openxmlformats.org/officeDocument/2006/relationships/hyperlink" Target="mailto:ambra.minoli@protonmail.com" TargetMode="External" Id="rId2"/><Relationship Type="http://schemas.openxmlformats.org/officeDocument/2006/relationships/hyperlink" Target="mailto:drsanjay.kumar@btinternet.com" TargetMode="External" Id="rId3"/><Relationship Type="http://schemas.openxmlformats.org/officeDocument/2006/relationships/hyperlink" Target="mailto:cathykibble@googlemail.com" TargetMode="External" Id="rId4"/><Relationship Type="http://schemas.openxmlformats.org/officeDocument/2006/relationships/hyperlink" Target="mailto:drsanjay.kumar@btinternet.com" TargetMode="External" Id="rId5"/><Relationship Type="http://schemas.openxmlformats.org/officeDocument/2006/relationships/hyperlink" Target="mailto:ambra.minoli@protonmail.com" TargetMode="External" Id="rId6"/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1.vml" Id="anysvml"/></Relationships>
</file>

<file path=xl/worksheets/_rels/sheet36.xml.rels><Relationships xmlns="http://schemas.openxmlformats.org/package/2006/relationships"><Relationship Type="http://schemas.openxmlformats.org/officeDocument/2006/relationships/pivotTable" Target="/xl/pivotTables/pivotTable11.xml" Id="rId1"/><Relationship Type="http://schemas.openxmlformats.org/officeDocument/2006/relationships/pivotTable" Target="/xl/pivotTables/pivotTable12.xml" Id="rId2"/></Relationships>
</file>

<file path=xl/worksheets/_rels/sheet37.xml.rels><Relationships xmlns="http://schemas.openxmlformats.org/package/2006/relationships"><Relationship Type="http://schemas.openxmlformats.org/officeDocument/2006/relationships/hyperlink" Target="mailto:helen.sotheran@gmail.com" TargetMode="External" Id="rId1"/><Relationship Type="http://schemas.openxmlformats.org/officeDocument/2006/relationships/hyperlink" Target="mailto:johnson.pete@btinternet.com" TargetMode="External" Id="rId2"/><Relationship Type="http://schemas.openxmlformats.org/officeDocument/2006/relationships/hyperlink" Target="mailto:myra_little@hotmail.com" TargetMode="External" Id="rId3"/><Relationship Type="http://schemas.openxmlformats.org/officeDocument/2006/relationships/hyperlink" Target="mailto:alistair_willis@yahoo.co.uk" TargetMode="External" Id="rId4"/><Relationship Type="http://schemas.openxmlformats.org/officeDocument/2006/relationships/hyperlink" Target="mailto:slates67@icloud.com" TargetMode="External" Id="rId5"/><Relationship Type="http://schemas.openxmlformats.org/officeDocument/2006/relationships/hyperlink" Target="mailto:s.a.hunt@icloud.com" TargetMode="External" Id="rId6"/><Relationship Type="http://schemas.openxmlformats.org/officeDocument/2006/relationships/hyperlink" Target="mailto:pjekirby@btinternet.com" TargetMode="External" Id="rId7"/><Relationship Type="http://schemas.openxmlformats.org/officeDocument/2006/relationships/hyperlink" Target="mailto:annewatkinson@talk21.com" TargetMode="External" Id="rId8"/><Relationship Type="http://schemas.openxmlformats.org/officeDocument/2006/relationships/hyperlink" Target="mailto:joyceejames@me.com" TargetMode="External" Id="rId9"/><Relationship Type="http://schemas.openxmlformats.org/officeDocument/2006/relationships/hyperlink" Target="mailto:alistair_willis@yahoo.co.uk" TargetMode="External" Id="rId10"/><Relationship Type="http://schemas.openxmlformats.org/officeDocument/2006/relationships/hyperlink" Target="mailto:diana.saville@icloud.com" TargetMode="External" Id="rId11"/><Relationship Type="http://schemas.openxmlformats.org/officeDocument/2006/relationships/hyperlink" Target="mailto:imlaurab@hotmail.co.uk" TargetMode="External" Id="rId12"/><Relationship Type="http://schemas.openxmlformats.org/officeDocument/2006/relationships/hyperlink" Target="mailto:battisonmatt@googlemail.com" TargetMode="External" Id="rId13"/><Relationship Type="http://schemas.openxmlformats.org/officeDocument/2006/relationships/hyperlink" Target="mailto:robertjsmith@btinternet.com" TargetMode="External" Id="rId14"/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2.vml" Id="anysvml"/></Relationships>
</file>

<file path=xl/worksheets/_rels/sheet38.xml.rels><Relationships xmlns="http://schemas.openxmlformats.org/package/2006/relationships"><Relationship Type="http://schemas.openxmlformats.org/officeDocument/2006/relationships/hyperlink" Target="mailto:mike.h.g@btinternet.com&#160;" TargetMode="External" Id="rId1"/><Relationship Type="http://schemas.openxmlformats.org/officeDocument/2006/relationships/hyperlink" Target="mailto:maxinewatts@me.com" TargetMode="External" Id="rId2"/><Relationship Type="http://schemas.openxmlformats.org/officeDocument/2006/relationships/hyperlink" Target="mailto:louisanutter@virginmedia.com" TargetMode="External" Id="rId3"/><Relationship Type="http://schemas.openxmlformats.org/officeDocument/2006/relationships/hyperlink" Target="mailto:maxinewatts@me.com" TargetMode="External" Id="rId4"/><Relationship Type="http://schemas.openxmlformats.org/officeDocument/2006/relationships/hyperlink" Target="mailto:annewatkinson@talk21.com" TargetMode="External" Id="rId5"/><Relationship Type="http://schemas.openxmlformats.org/officeDocument/2006/relationships/hyperlink" Target="mailto:chrisjohnson305@btinternet.com" TargetMode="External" Id="rId6"/><Relationship Type="http://schemas.openxmlformats.org/officeDocument/2006/relationships/hyperlink" Target="mailto:con.mchugh@gmail.com" TargetMode="External" Id="rId7"/><Relationship Type="http://schemas.openxmlformats.org/officeDocument/2006/relationships/hyperlink" Target="mailto:vytesh@gmail.com" TargetMode="External" Id="rId8"/><Relationship Type="http://schemas.openxmlformats.org/officeDocument/2006/relationships/hyperlink" Target="mailto:jamiebeardmore@yahoo.co.uk" TargetMode="External" Id="rId9"/><Relationship Type="http://schemas.openxmlformats.org/officeDocument/2006/relationships/hyperlink" Target="mailto:chriswalkland@gmail.com" TargetMode="External" Id="rId10"/><Relationship Type="http://schemas.openxmlformats.org/officeDocument/2006/relationships/hyperlink" Target="mailto:jamiebeardmore@yahoo.co.uk" TargetMode="External" Id="rId11"/><Relationship Type="http://schemas.openxmlformats.org/officeDocument/2006/relationships/hyperlink" Target="mailto:uklynnh@gmail.com" TargetMode="External" Id="rId12"/><Relationship Type="http://schemas.openxmlformats.org/officeDocument/2006/relationships/hyperlink" Target="mailto:greg.sant@sky.com" TargetMode="External" Id="rId13"/><Relationship Type="http://schemas.openxmlformats.org/officeDocument/2006/relationships/hyperlink" Target="mailto:studio@sublime-creative.co.uk" TargetMode="External" Id="rId14"/><Relationship Type="http://schemas.openxmlformats.org/officeDocument/2006/relationships/hyperlink" Target="mailto:christophparker@googlemail.com" TargetMode="External" Id="rId15"/><Relationship Type="http://schemas.openxmlformats.org/officeDocument/2006/relationships/hyperlink" Target="mailto:chrisparker1954@btinternet.com" TargetMode="External" Id="rId16"/><Relationship Type="http://schemas.openxmlformats.org/officeDocument/2006/relationships/hyperlink" Target="mailto:jan@nomadians.co.uk" TargetMode="External" Id="rId17"/><Relationship Type="http://schemas.openxmlformats.org/officeDocument/2006/relationships/hyperlink" Target="mailto:jan@nomadians.co.uk" TargetMode="External" Id="rId18"/><Relationship Type="http://schemas.openxmlformats.org/officeDocument/2006/relationships/hyperlink" Target="mailto:jan@nomadians.co.uk" TargetMode="External" Id="rId19"/><Relationship Type="http://schemas.openxmlformats.org/officeDocument/2006/relationships/hyperlink" Target="mailto:jan@nomadians.co.uk" TargetMode="External" Id="rId20"/><Relationship Type="http://schemas.openxmlformats.org/officeDocument/2006/relationships/hyperlink" Target="mailto:derekrobbins@sky.com" TargetMode="External" Id="rId21"/><Relationship Type="http://schemas.openxmlformats.org/officeDocument/2006/relationships/hyperlink" Target="mailto:judy.longthorn@gmail.com" TargetMode="External" Id="rId22"/><Relationship Type="http://schemas.openxmlformats.org/officeDocument/2006/relationships/hyperlink" Target="mailto:robertjsmith@btinternet.com" TargetMode="External" Id="rId23"/><Relationship Type="http://schemas.openxmlformats.org/officeDocument/2006/relationships/hyperlink" Target="mailto:mark4harrison@gmail.com" TargetMode="External" Id="rId24"/><Relationship Type="http://schemas.openxmlformats.org/officeDocument/2006/relationships/hyperlink" Target="mailto:maxinewatts@me.com" TargetMode="External" Id="rId25"/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3.vml" Id="anysvml"/></Relationships>
</file>

<file path=xl/worksheets/_rels/sheet40.xml.rels><Relationships xmlns="http://schemas.openxmlformats.org/package/2006/relationships"><Relationship Type="http://schemas.openxmlformats.org/officeDocument/2006/relationships/hyperlink" Target="mailto:seelypix@gmail.com" TargetMode="External" Id="rId1"/><Relationship Type="http://schemas.openxmlformats.org/officeDocument/2006/relationships/hyperlink" Target="mailto:rwardle3@jaguarlandrover.com" TargetMode="External" Id="rId2"/></Relationships>
</file>

<file path=xl/worksheets/sheet1.xml><?xml version="1.0" encoding="utf-8"?>
<worksheet xmlns="http://schemas.openxmlformats.org/spreadsheetml/2006/main">
  <sheetPr>
    <tabColor indexed="10"/>
    <outlinePr summaryBelow="1" summaryRight="1"/>
    <pageSetUpPr fitToPage="1"/>
  </sheetPr>
  <dimension ref="B1:AF55"/>
  <sheetViews>
    <sheetView workbookViewId="0">
      <pane xSplit="13" ySplit="2" topLeftCell="N27" activePane="bottomRight" state="frozen"/>
      <selection activeCell="G20" sqref="G20"/>
      <selection pane="topRight" activeCell="G20" sqref="G20"/>
      <selection pane="bottomLeft" activeCell="G20" sqref="G20"/>
      <selection pane="bottomRight" activeCell="D64" sqref="D64"/>
    </sheetView>
  </sheetViews>
  <sheetFormatPr baseColWidth="8" defaultColWidth="9.1328125" defaultRowHeight="12.4"/>
  <cols>
    <col width="3.53125" customWidth="1" style="1230" min="1" max="1"/>
    <col width="10.46484375" customWidth="1" style="1230" min="2" max="2"/>
    <col width="5.86328125" customWidth="1" style="1230" min="3" max="9"/>
    <col width="1.33203125" customWidth="1" style="1230" min="10" max="10"/>
    <col width="13.53125" customWidth="1" style="1230" min="11" max="12"/>
    <col width="9.1328125" customWidth="1" style="1231" min="13" max="13"/>
    <col width="5" customWidth="1" style="8" min="14" max="20"/>
    <col width="1" customWidth="1" style="1230" min="21" max="21"/>
    <col width="18.1328125" bestFit="1" customWidth="1" style="1230" min="22" max="22"/>
    <col width="4.19921875" customWidth="1" style="1230" min="23" max="23"/>
    <col width="9.1328125" customWidth="1" style="1230" min="24" max="24"/>
    <col width="5" customWidth="1" style="1230" min="25" max="31"/>
    <col width="13.46484375" customWidth="1" style="1230" min="32" max="32"/>
    <col width="9.1328125" customWidth="1" style="1230" min="33" max="16384"/>
  </cols>
  <sheetData>
    <row r="1" ht="8.75" customHeight="1" s="1232" thickBot="1">
      <c r="M1" s="1233" t="n"/>
      <c r="N1" s="1234" t="n"/>
      <c r="O1" s="1234" t="n"/>
      <c r="P1" s="1234" t="n"/>
      <c r="Q1" s="1234" t="n"/>
      <c r="R1" s="1234" t="n"/>
      <c r="S1" s="1234" t="n"/>
      <c r="T1" s="1234" t="n"/>
    </row>
    <row r="2" ht="30" customHeight="1" s="1232">
      <c r="B2" s="1235" t="inlineStr">
        <is>
          <t>2019</t>
        </is>
      </c>
      <c r="C2" s="32" t="inlineStr">
        <is>
          <t>Mon</t>
        </is>
      </c>
      <c r="D2" s="32" t="inlineStr">
        <is>
          <t>Tue</t>
        </is>
      </c>
      <c r="E2" s="32" t="inlineStr">
        <is>
          <t>Wed</t>
        </is>
      </c>
      <c r="F2" s="32" t="inlineStr">
        <is>
          <t>Thu</t>
        </is>
      </c>
      <c r="G2" s="32" t="inlineStr">
        <is>
          <t>Fri</t>
        </is>
      </c>
      <c r="H2" s="31" t="inlineStr">
        <is>
          <t>Sat</t>
        </is>
      </c>
      <c r="I2" s="34" t="inlineStr">
        <is>
          <t>Sun</t>
        </is>
      </c>
      <c r="M2" s="1235" t="inlineStr">
        <is>
          <t>2018</t>
        </is>
      </c>
      <c r="N2" s="32" t="inlineStr">
        <is>
          <t>Mon</t>
        </is>
      </c>
      <c r="O2" s="32" t="inlineStr">
        <is>
          <t>Tue</t>
        </is>
      </c>
      <c r="P2" s="32" t="inlineStr">
        <is>
          <t>Wed</t>
        </is>
      </c>
      <c r="Q2" s="32" t="inlineStr">
        <is>
          <t>Thu</t>
        </is>
      </c>
      <c r="R2" s="32" t="inlineStr">
        <is>
          <t>Fri</t>
        </is>
      </c>
      <c r="S2" s="31" t="inlineStr">
        <is>
          <t>Sat</t>
        </is>
      </c>
      <c r="T2" s="34" t="inlineStr">
        <is>
          <t>Sun</t>
        </is>
      </c>
      <c r="X2" s="1235" t="inlineStr">
        <is>
          <t>2017</t>
        </is>
      </c>
      <c r="Y2" s="32" t="inlineStr">
        <is>
          <t>Mon</t>
        </is>
      </c>
      <c r="Z2" s="32" t="inlineStr">
        <is>
          <t>Tue</t>
        </is>
      </c>
      <c r="AA2" s="32" t="inlineStr">
        <is>
          <t>Wed</t>
        </is>
      </c>
      <c r="AB2" s="32" t="inlineStr">
        <is>
          <t>Thu</t>
        </is>
      </c>
      <c r="AC2" s="32" t="inlineStr">
        <is>
          <t>Fri</t>
        </is>
      </c>
      <c r="AD2" s="31" t="inlineStr">
        <is>
          <t>Sat</t>
        </is>
      </c>
      <c r="AE2" s="30" t="inlineStr">
        <is>
          <t>Sun</t>
        </is>
      </c>
    </row>
    <row r="3" ht="18" customHeight="1" s="1232">
      <c r="B3" s="1236" t="inlineStr">
        <is>
          <t>Jan</t>
        </is>
      </c>
      <c r="C3" s="625" t="n"/>
      <c r="D3" s="625">
        <f>C3+1</f>
        <v/>
      </c>
      <c r="E3" s="624">
        <f>D3+1</f>
        <v/>
      </c>
      <c r="F3" s="624">
        <f>E3+1</f>
        <v/>
      </c>
      <c r="G3" s="624">
        <f>F3+1</f>
        <v/>
      </c>
      <c r="H3" s="624">
        <f>G3+1</f>
        <v/>
      </c>
      <c r="I3" s="624">
        <f>H3+1</f>
        <v/>
      </c>
      <c r="J3" s="1237" t="n"/>
      <c r="K3" s="1238" t="n"/>
      <c r="M3" s="1236" t="inlineStr">
        <is>
          <t>Jan</t>
        </is>
      </c>
      <c r="N3" s="12" t="n">
        <v>1</v>
      </c>
      <c r="O3" s="18">
        <f>N3+1</f>
        <v/>
      </c>
      <c r="P3" s="15">
        <f>O3+1</f>
        <v/>
      </c>
      <c r="Q3" s="15">
        <f>P3+1</f>
        <v/>
      </c>
      <c r="R3" s="15">
        <f>Q3+1</f>
        <v/>
      </c>
      <c r="S3" s="15">
        <f>R3+1</f>
        <v/>
      </c>
      <c r="T3" s="15">
        <f>S3+1</f>
        <v/>
      </c>
      <c r="U3" s="1237" t="n"/>
      <c r="V3" s="1238" t="n"/>
      <c r="X3" s="1236" t="inlineStr">
        <is>
          <t>Jan</t>
        </is>
      </c>
      <c r="Y3" s="17" t="n"/>
      <c r="Z3" s="17" t="n"/>
      <c r="AA3" s="17" t="n"/>
      <c r="AB3" s="17" t="n"/>
      <c r="AC3" s="17" t="n"/>
      <c r="AD3" s="17" t="n"/>
      <c r="AE3" s="11" t="n">
        <v>1</v>
      </c>
      <c r="AF3" s="1237" t="n"/>
    </row>
    <row r="4" ht="18" customHeight="1" s="1232">
      <c r="B4" s="1236" t="inlineStr">
        <is>
          <t>Jan</t>
        </is>
      </c>
      <c r="C4" s="624">
        <f>I3+1</f>
        <v/>
      </c>
      <c r="D4" s="624">
        <f>C4+1</f>
        <v/>
      </c>
      <c r="E4" s="624">
        <f>D4+1</f>
        <v/>
      </c>
      <c r="F4" s="624">
        <f>E4+1</f>
        <v/>
      </c>
      <c r="G4" s="12">
        <f>F4+1</f>
        <v/>
      </c>
      <c r="H4" s="12">
        <f>G4+1</f>
        <v/>
      </c>
      <c r="I4" s="12">
        <f>H4+1</f>
        <v/>
      </c>
      <c r="K4" s="1239" t="n"/>
      <c r="M4" s="1236" t="inlineStr">
        <is>
          <t>Jan</t>
        </is>
      </c>
      <c r="N4" s="15">
        <f>T3+1</f>
        <v/>
      </c>
      <c r="O4" s="15">
        <f>N4+1</f>
        <v/>
      </c>
      <c r="P4" s="15">
        <f>O4+1</f>
        <v/>
      </c>
      <c r="Q4" s="15">
        <f>P4+1</f>
        <v/>
      </c>
      <c r="R4" s="12">
        <f>Q4+1</f>
        <v/>
      </c>
      <c r="S4" s="12">
        <f>R4+1</f>
        <v/>
      </c>
      <c r="T4" s="12">
        <f>S4+1</f>
        <v/>
      </c>
      <c r="V4" s="1239" t="n"/>
      <c r="W4" s="1239" t="n"/>
      <c r="X4" s="1236" t="inlineStr">
        <is>
          <t>Jan</t>
        </is>
      </c>
      <c r="Y4" s="12" t="n">
        <v>2</v>
      </c>
      <c r="Z4" s="15">
        <f>Y4+1</f>
        <v/>
      </c>
      <c r="AA4" s="15">
        <f>Z4+1</f>
        <v/>
      </c>
      <c r="AB4" s="15">
        <f>AA4+1</f>
        <v/>
      </c>
      <c r="AC4" s="15">
        <f>AB4+1</f>
        <v/>
      </c>
      <c r="AD4" s="15">
        <f>AC4+1</f>
        <v/>
      </c>
      <c r="AE4" s="27">
        <f>AD4+1</f>
        <v/>
      </c>
      <c r="AF4" s="23" t="n"/>
    </row>
    <row r="5" ht="18" customHeight="1" s="1232">
      <c r="B5" s="1236" t="inlineStr">
        <is>
          <t>Jan</t>
        </is>
      </c>
      <c r="C5" s="18">
        <f>I4+1</f>
        <v/>
      </c>
      <c r="D5" s="624">
        <f>C5+1</f>
        <v/>
      </c>
      <c r="E5" s="624">
        <f>D5+1</f>
        <v/>
      </c>
      <c r="F5" s="624">
        <f>E5+1</f>
        <v/>
      </c>
      <c r="G5" s="624">
        <f>F5+1</f>
        <v/>
      </c>
      <c r="H5" s="624">
        <f>G5+1</f>
        <v/>
      </c>
      <c r="I5" s="624">
        <f>H5+1</f>
        <v/>
      </c>
      <c r="K5" s="1239" t="n"/>
      <c r="M5" s="1236" t="inlineStr">
        <is>
          <t>Jan</t>
        </is>
      </c>
      <c r="N5" s="18">
        <f>T4+1</f>
        <v/>
      </c>
      <c r="O5" s="15">
        <f>N5+1</f>
        <v/>
      </c>
      <c r="P5" s="15">
        <f>O5+1</f>
        <v/>
      </c>
      <c r="Q5" s="15">
        <f>P5+1</f>
        <v/>
      </c>
      <c r="R5" s="15">
        <f>Q5+1</f>
        <v/>
      </c>
      <c r="S5" s="15">
        <f>R5+1</f>
        <v/>
      </c>
      <c r="T5" s="15">
        <f>S5+1</f>
        <v/>
      </c>
      <c r="V5" s="1239" t="n"/>
      <c r="W5" s="1239" t="n"/>
      <c r="X5" s="1236" t="inlineStr">
        <is>
          <t>Jan</t>
        </is>
      </c>
      <c r="Y5" s="15">
        <f>AE4+1</f>
        <v/>
      </c>
      <c r="Z5" s="15">
        <f>Y5+1</f>
        <v/>
      </c>
      <c r="AA5" s="15">
        <f>Z5+1</f>
        <v/>
      </c>
      <c r="AB5" s="15">
        <f>AA5+1</f>
        <v/>
      </c>
      <c r="AC5" s="13">
        <f>AB5+1</f>
        <v/>
      </c>
      <c r="AD5" s="13">
        <f>AC5+1</f>
        <v/>
      </c>
      <c r="AE5" s="16">
        <f>AD5+1</f>
        <v/>
      </c>
    </row>
    <row r="6" ht="18" customHeight="1" s="1232">
      <c r="B6" s="1236" t="inlineStr">
        <is>
          <t>Jan</t>
        </is>
      </c>
      <c r="C6" s="624">
        <f>I5+1</f>
        <v/>
      </c>
      <c r="D6" s="624">
        <f>C6+1</f>
        <v/>
      </c>
      <c r="E6" s="624">
        <f>D6+1</f>
        <v/>
      </c>
      <c r="F6" s="624">
        <f>E6+1</f>
        <v/>
      </c>
      <c r="G6" s="12">
        <f>F6+1</f>
        <v/>
      </c>
      <c r="H6" s="12">
        <f>G6+1</f>
        <v/>
      </c>
      <c r="I6" s="12">
        <f>H6+1</f>
        <v/>
      </c>
      <c r="K6" s="1239" t="n"/>
      <c r="M6" s="1236" t="inlineStr">
        <is>
          <t>Jan</t>
        </is>
      </c>
      <c r="N6" s="15">
        <f>T5+1</f>
        <v/>
      </c>
      <c r="O6" s="15">
        <f>N6+1</f>
        <v/>
      </c>
      <c r="P6" s="15">
        <f>O6+1</f>
        <v/>
      </c>
      <c r="Q6" s="15">
        <f>P6+1</f>
        <v/>
      </c>
      <c r="R6" s="12">
        <f>Q6+1</f>
        <v/>
      </c>
      <c r="S6" s="12">
        <f>R6+1</f>
        <v/>
      </c>
      <c r="T6" s="12">
        <f>S6+1</f>
        <v/>
      </c>
      <c r="V6" s="1239" t="n"/>
      <c r="W6" s="1239" t="n"/>
      <c r="X6" s="1236" t="inlineStr">
        <is>
          <t>Jan</t>
        </is>
      </c>
      <c r="Y6" s="17">
        <f>AE5+1</f>
        <v/>
      </c>
      <c r="Z6" s="15">
        <f>Y6+1</f>
        <v/>
      </c>
      <c r="AA6" s="15">
        <f>Z6+1</f>
        <v/>
      </c>
      <c r="AB6" s="15">
        <f>AA6+1</f>
        <v/>
      </c>
      <c r="AC6" s="15">
        <f>AB6+1</f>
        <v/>
      </c>
      <c r="AD6" s="13">
        <f>AC6+1</f>
        <v/>
      </c>
      <c r="AE6" s="16">
        <f>AD6+1</f>
        <v/>
      </c>
      <c r="AF6" s="23" t="n"/>
    </row>
    <row r="7" ht="18" customHeight="1" s="1232">
      <c r="B7" s="1240" t="inlineStr">
        <is>
          <t>Jan/Feb</t>
        </is>
      </c>
      <c r="C7" s="18">
        <f>I6+1</f>
        <v/>
      </c>
      <c r="D7" s="624">
        <f>C7+1</f>
        <v/>
      </c>
      <c r="E7" s="624">
        <f>D7+1</f>
        <v/>
      </c>
      <c r="F7" s="624">
        <f>E7+1</f>
        <v/>
      </c>
      <c r="G7" s="624" t="n">
        <v>1</v>
      </c>
      <c r="H7" s="624">
        <f>G7+1</f>
        <v/>
      </c>
      <c r="I7" s="624">
        <f>H7+1</f>
        <v/>
      </c>
      <c r="K7" s="1239" t="n"/>
      <c r="M7" s="1240" t="inlineStr">
        <is>
          <t>Jan/Feb</t>
        </is>
      </c>
      <c r="N7" s="18">
        <f>T6+1</f>
        <v/>
      </c>
      <c r="O7" s="15">
        <f>N7+1</f>
        <v/>
      </c>
      <c r="P7" s="15">
        <f>O7+1</f>
        <v/>
      </c>
      <c r="Q7" s="15" t="n">
        <v>1</v>
      </c>
      <c r="R7" s="15">
        <f>Q7+1</f>
        <v/>
      </c>
      <c r="S7" s="15">
        <f>R7+1</f>
        <v/>
      </c>
      <c r="T7" s="15">
        <f>S7+1</f>
        <v/>
      </c>
      <c r="V7" s="1239" t="n"/>
      <c r="W7" s="1239" t="n"/>
      <c r="X7" s="1236" t="inlineStr">
        <is>
          <t>Jan</t>
        </is>
      </c>
      <c r="Y7" s="15">
        <f>AE6+1</f>
        <v/>
      </c>
      <c r="Z7" s="15">
        <f>Y7+1</f>
        <v/>
      </c>
      <c r="AA7" s="26">
        <f>Z7+1</f>
        <v/>
      </c>
      <c r="AB7" s="15">
        <f>AA7+1</f>
        <v/>
      </c>
      <c r="AC7" s="13">
        <f>AB7+1</f>
        <v/>
      </c>
      <c r="AD7" s="13">
        <f>AC7+1</f>
        <v/>
      </c>
      <c r="AE7" s="16">
        <f>AD7+1</f>
        <v/>
      </c>
    </row>
    <row r="8" ht="18" customHeight="1" s="1232">
      <c r="B8" s="1236" t="inlineStr">
        <is>
          <t>Feb</t>
        </is>
      </c>
      <c r="C8" s="624">
        <f>I7+1</f>
        <v/>
      </c>
      <c r="D8" s="624">
        <f>C8+1</f>
        <v/>
      </c>
      <c r="E8" s="624">
        <f>D8+1</f>
        <v/>
      </c>
      <c r="F8" s="624">
        <f>E8+1</f>
        <v/>
      </c>
      <c r="G8" s="12">
        <f>F8+1</f>
        <v/>
      </c>
      <c r="H8" s="12">
        <f>G8+1</f>
        <v/>
      </c>
      <c r="I8" s="12">
        <f>H8+1</f>
        <v/>
      </c>
      <c r="K8" s="1239" t="n"/>
      <c r="M8" s="1236" t="inlineStr">
        <is>
          <t>Feb</t>
        </is>
      </c>
      <c r="N8" s="15">
        <f>T7+1</f>
        <v/>
      </c>
      <c r="O8" s="15">
        <f>N8+1</f>
        <v/>
      </c>
      <c r="P8" s="15">
        <f>O8+1</f>
        <v/>
      </c>
      <c r="Q8" s="15">
        <f>P8+1</f>
        <v/>
      </c>
      <c r="R8" s="12">
        <f>Q8+1</f>
        <v/>
      </c>
      <c r="S8" s="12">
        <f>R8+1</f>
        <v/>
      </c>
      <c r="T8" s="12">
        <f>S8+1</f>
        <v/>
      </c>
      <c r="V8" s="1239" t="n"/>
      <c r="W8" s="1239" t="n"/>
      <c r="X8" s="1240" t="inlineStr">
        <is>
          <t>Feb</t>
        </is>
      </c>
      <c r="Y8" s="15" t="n">
        <v>30</v>
      </c>
      <c r="Z8" s="26">
        <f>Y8+1</f>
        <v/>
      </c>
      <c r="AA8" s="15" t="n">
        <v>1</v>
      </c>
      <c r="AB8" s="15">
        <f>AA8+1</f>
        <v/>
      </c>
      <c r="AC8" s="17">
        <f>AB8+1</f>
        <v/>
      </c>
      <c r="AD8" s="13">
        <f>AC8+1</f>
        <v/>
      </c>
      <c r="AE8" s="16">
        <f>AD8+1</f>
        <v/>
      </c>
    </row>
    <row r="9" ht="18" customHeight="1" s="1232">
      <c r="B9" s="1236" t="inlineStr">
        <is>
          <t>Feb</t>
        </is>
      </c>
      <c r="C9" s="18">
        <f>I8+1</f>
        <v/>
      </c>
      <c r="D9" s="625">
        <f>C9+1</f>
        <v/>
      </c>
      <c r="E9" s="625">
        <f>D9+1</f>
        <v/>
      </c>
      <c r="F9" s="624">
        <f>E9+1</f>
        <v/>
      </c>
      <c r="G9" s="624">
        <f>F9+1</f>
        <v/>
      </c>
      <c r="H9" s="624">
        <f>G9+1</f>
        <v/>
      </c>
      <c r="I9" s="624">
        <f>H9+1</f>
        <v/>
      </c>
      <c r="M9" s="1236" t="inlineStr">
        <is>
          <t>Feb</t>
        </is>
      </c>
      <c r="N9" s="12">
        <f>T8+1</f>
        <v/>
      </c>
      <c r="O9" s="12">
        <f>N9+1</f>
        <v/>
      </c>
      <c r="P9" s="18">
        <f>O9+1</f>
        <v/>
      </c>
      <c r="Q9" s="15">
        <f>P9+1</f>
        <v/>
      </c>
      <c r="R9" s="15">
        <f>Q9+1</f>
        <v/>
      </c>
      <c r="S9" s="15">
        <f>R9+1</f>
        <v/>
      </c>
      <c r="T9" s="15">
        <f>S9+1</f>
        <v/>
      </c>
      <c r="V9" s="1239" t="inlineStr">
        <is>
          <t>Half Term</t>
        </is>
      </c>
      <c r="W9" s="1239" t="n"/>
      <c r="X9" s="1236" t="inlineStr">
        <is>
          <t>Feb</t>
        </is>
      </c>
      <c r="Y9" s="15">
        <f>AE8+1</f>
        <v/>
      </c>
      <c r="Z9" s="15">
        <f>Y9+1</f>
        <v/>
      </c>
      <c r="AA9" s="15">
        <f>Z9+1</f>
        <v/>
      </c>
      <c r="AB9" s="15">
        <f>AA9+1</f>
        <v/>
      </c>
      <c r="AC9" s="13">
        <f>AB9+1</f>
        <v/>
      </c>
      <c r="AD9" s="13">
        <f>AC9+1</f>
        <v/>
      </c>
      <c r="AE9" s="16">
        <f>AD9+1</f>
        <v/>
      </c>
    </row>
    <row r="10" ht="18" customHeight="1" s="1232">
      <c r="B10" s="1236" t="inlineStr">
        <is>
          <t>Feb</t>
        </is>
      </c>
      <c r="C10" s="624">
        <f>I9+1</f>
        <v/>
      </c>
      <c r="D10" s="624">
        <f>C10+1</f>
        <v/>
      </c>
      <c r="E10" s="12">
        <f>D10+1</f>
        <v/>
      </c>
      <c r="F10" s="12">
        <f>E10+1</f>
        <v/>
      </c>
      <c r="G10" s="12">
        <f>F10+1</f>
        <v/>
      </c>
      <c r="H10" s="12">
        <f>G10+1</f>
        <v/>
      </c>
      <c r="I10" s="12">
        <f>H10+1</f>
        <v/>
      </c>
      <c r="K10" s="1239" t="inlineStr">
        <is>
          <t>Half Term</t>
        </is>
      </c>
      <c r="M10" s="1236" t="inlineStr">
        <is>
          <t>Feb</t>
        </is>
      </c>
      <c r="N10" s="15">
        <f>T9+1</f>
        <v/>
      </c>
      <c r="O10" s="15">
        <f>N10+1</f>
        <v/>
      </c>
      <c r="P10" s="15">
        <f>O10+1</f>
        <v/>
      </c>
      <c r="Q10" s="15">
        <f>P10+1</f>
        <v/>
      </c>
      <c r="R10" s="12">
        <f>Q10+1</f>
        <v/>
      </c>
      <c r="S10" s="12">
        <f>R10+1</f>
        <v/>
      </c>
      <c r="T10" s="12">
        <f>S10+1</f>
        <v/>
      </c>
      <c r="W10" s="1239" t="n"/>
      <c r="X10" s="1236" t="inlineStr">
        <is>
          <t>Feb</t>
        </is>
      </c>
      <c r="Y10" s="13">
        <f>AE9+1</f>
        <v/>
      </c>
      <c r="Z10" s="13">
        <f>Y10+1</f>
        <v/>
      </c>
      <c r="AA10" s="15">
        <f>Z10+1</f>
        <v/>
      </c>
      <c r="AB10" s="15">
        <f>AA10+1</f>
        <v/>
      </c>
      <c r="AC10" s="17">
        <f>AB10+1</f>
        <v/>
      </c>
      <c r="AD10" s="13">
        <f>AC10+1</f>
        <v/>
      </c>
      <c r="AE10" s="16">
        <f>AD10+1</f>
        <v/>
      </c>
    </row>
    <row r="11" ht="18" customHeight="1" s="1232">
      <c r="B11" s="1240" t="inlineStr">
        <is>
          <t>Feb/Mar</t>
        </is>
      </c>
      <c r="C11" s="18">
        <f>I10+1</f>
        <v/>
      </c>
      <c r="D11" s="624">
        <f>C11+1</f>
        <v/>
      </c>
      <c r="E11" s="624">
        <f>D11+1</f>
        <v/>
      </c>
      <c r="F11" s="624">
        <f>E11+1</f>
        <v/>
      </c>
      <c r="G11" s="624" t="n">
        <v>1</v>
      </c>
      <c r="H11" s="624">
        <f>G11+1</f>
        <v/>
      </c>
      <c r="I11" s="624">
        <f>H11+1</f>
        <v/>
      </c>
      <c r="K11" s="1239" t="n"/>
      <c r="M11" s="1240" t="inlineStr">
        <is>
          <t>Feb/Mar</t>
        </is>
      </c>
      <c r="N11" s="18">
        <f>T10+1</f>
        <v/>
      </c>
      <c r="O11" s="15">
        <f>N11+1</f>
        <v/>
      </c>
      <c r="P11" s="15">
        <f>O11+1</f>
        <v/>
      </c>
      <c r="Q11" s="15" t="n">
        <v>1</v>
      </c>
      <c r="R11" s="15">
        <f>Q11+1</f>
        <v/>
      </c>
      <c r="S11" s="15">
        <f>R11+1</f>
        <v/>
      </c>
      <c r="T11" s="15">
        <f>S11+1</f>
        <v/>
      </c>
      <c r="V11" s="1239" t="n"/>
      <c r="W11" s="1239" t="n"/>
      <c r="X11" s="1236" t="inlineStr">
        <is>
          <t>Feb</t>
        </is>
      </c>
      <c r="Y11" s="15">
        <f>AE10+1</f>
        <v/>
      </c>
      <c r="Z11" s="15">
        <f>Y11+1</f>
        <v/>
      </c>
      <c r="AA11" s="17">
        <f>Z11+1</f>
        <v/>
      </c>
      <c r="AB11" s="15">
        <f>AA11+1</f>
        <v/>
      </c>
      <c r="AC11" s="13">
        <f>AB11+1</f>
        <v/>
      </c>
      <c r="AD11" s="13">
        <f>AC11+1</f>
        <v/>
      </c>
      <c r="AE11" s="16">
        <f>AD11+1</f>
        <v/>
      </c>
    </row>
    <row r="12" ht="18" customHeight="1" s="1232">
      <c r="B12" s="1236" t="inlineStr">
        <is>
          <t>Mar</t>
        </is>
      </c>
      <c r="C12" s="624">
        <f>I11+1</f>
        <v/>
      </c>
      <c r="D12" s="624">
        <f>C12+1</f>
        <v/>
      </c>
      <c r="E12" s="624">
        <f>D12+1</f>
        <v/>
      </c>
      <c r="F12" s="624">
        <f>E12+1</f>
        <v/>
      </c>
      <c r="G12" s="12">
        <f>F12+1</f>
        <v/>
      </c>
      <c r="H12" s="12">
        <f>G12+1</f>
        <v/>
      </c>
      <c r="I12" s="12">
        <f>H12+1</f>
        <v/>
      </c>
      <c r="M12" s="1236" t="inlineStr">
        <is>
          <t>Mar</t>
        </is>
      </c>
      <c r="N12" s="15">
        <f>T11+1</f>
        <v/>
      </c>
      <c r="O12" s="15">
        <f>N12+1</f>
        <v/>
      </c>
      <c r="P12" s="15">
        <f>O12+1</f>
        <v/>
      </c>
      <c r="Q12" s="15">
        <f>P12+1</f>
        <v/>
      </c>
      <c r="R12" s="12">
        <f>Q12+1</f>
        <v/>
      </c>
      <c r="S12" s="12">
        <f>R12+1</f>
        <v/>
      </c>
      <c r="T12" s="18">
        <f>S12+1</f>
        <v/>
      </c>
      <c r="V12" s="1239" t="inlineStr">
        <is>
          <t>Mothers Day</t>
        </is>
      </c>
      <c r="W12" s="1239" t="n"/>
      <c r="X12" s="1240" t="inlineStr">
        <is>
          <t>Feb/Mar</t>
        </is>
      </c>
      <c r="Y12" s="17">
        <f>AE11+1</f>
        <v/>
      </c>
      <c r="Z12" s="15" t="n">
        <v>28</v>
      </c>
      <c r="AA12" s="15" t="n">
        <v>1</v>
      </c>
      <c r="AB12" s="15">
        <f>AA12+1</f>
        <v/>
      </c>
      <c r="AC12" s="15">
        <f>AB12+1</f>
        <v/>
      </c>
      <c r="AD12" s="13">
        <f>AC12+1</f>
        <v/>
      </c>
      <c r="AE12" s="16">
        <f>AD12+1</f>
        <v/>
      </c>
      <c r="AF12" s="17" t="n"/>
    </row>
    <row r="13" ht="18" customHeight="1" s="1232">
      <c r="B13" s="1236" t="inlineStr">
        <is>
          <t>Mar</t>
        </is>
      </c>
      <c r="C13" s="18">
        <f>I12+1</f>
        <v/>
      </c>
      <c r="D13" s="624">
        <f>C13+1</f>
        <v/>
      </c>
      <c r="E13" s="624">
        <f>D13+1</f>
        <v/>
      </c>
      <c r="F13" s="624">
        <f>E13+1</f>
        <v/>
      </c>
      <c r="G13" s="624">
        <f>F13+1</f>
        <v/>
      </c>
      <c r="H13" s="624">
        <f>G13+1</f>
        <v/>
      </c>
      <c r="I13" s="624">
        <f>H13+1</f>
        <v/>
      </c>
      <c r="K13" s="1239" t="n"/>
      <c r="M13" s="1236" t="inlineStr">
        <is>
          <t>Mar</t>
        </is>
      </c>
      <c r="N13" s="15">
        <f>T12+1</f>
        <v/>
      </c>
      <c r="O13" s="15">
        <f>N13+1</f>
        <v/>
      </c>
      <c r="P13" s="15">
        <f>O13+1</f>
        <v/>
      </c>
      <c r="Q13" s="15">
        <f>P13+1</f>
        <v/>
      </c>
      <c r="R13" s="15">
        <f>Q13+1</f>
        <v/>
      </c>
      <c r="S13" s="15">
        <f>R13+1</f>
        <v/>
      </c>
      <c r="T13" s="15">
        <f>S13+1</f>
        <v/>
      </c>
      <c r="V13" s="1239" t="n"/>
      <c r="W13" s="1239" t="n"/>
      <c r="X13" s="1236" t="inlineStr">
        <is>
          <t>Mar</t>
        </is>
      </c>
      <c r="Y13" s="15">
        <f>AE12+1</f>
        <v/>
      </c>
      <c r="Z13" s="15">
        <f>Y13+1</f>
        <v/>
      </c>
      <c r="AA13" s="15">
        <f>Z13+1</f>
        <v/>
      </c>
      <c r="AB13" s="15">
        <f>AA13+1</f>
        <v/>
      </c>
      <c r="AC13" s="12">
        <f>AB13+1</f>
        <v/>
      </c>
      <c r="AD13" s="12">
        <f>AC13+1</f>
        <v/>
      </c>
      <c r="AE13" s="11">
        <f>AD13+1</f>
        <v/>
      </c>
    </row>
    <row r="14" ht="18" customHeight="1" s="1232">
      <c r="B14" s="1236" t="inlineStr">
        <is>
          <t>Mar</t>
        </is>
      </c>
      <c r="C14" s="624">
        <f>I13+1</f>
        <v/>
      </c>
      <c r="D14" s="624">
        <f>C14+1</f>
        <v/>
      </c>
      <c r="E14" s="624">
        <f>D14+1</f>
        <v/>
      </c>
      <c r="F14" s="624">
        <f>E14+1</f>
        <v/>
      </c>
      <c r="G14" s="12">
        <f>F14+1</f>
        <v/>
      </c>
      <c r="H14" s="12">
        <f>G14+1</f>
        <v/>
      </c>
      <c r="I14" s="12">
        <f>H14+1</f>
        <v/>
      </c>
      <c r="M14" s="1236" t="inlineStr">
        <is>
          <t>Mar</t>
        </is>
      </c>
      <c r="N14" s="15">
        <f>T13+1</f>
        <v/>
      </c>
      <c r="O14" s="15">
        <f>N14+1</f>
        <v/>
      </c>
      <c r="P14" s="15">
        <f>O14+1</f>
        <v/>
      </c>
      <c r="Q14" s="15">
        <f>P14+1</f>
        <v/>
      </c>
      <c r="R14" s="12">
        <f>Q14+1</f>
        <v/>
      </c>
      <c r="S14" s="12">
        <f>R14+1</f>
        <v/>
      </c>
      <c r="T14" s="12">
        <f>S14+1</f>
        <v/>
      </c>
      <c r="V14" s="1239" t="inlineStr">
        <is>
          <t>Ruby breaks up</t>
        </is>
      </c>
      <c r="W14" s="1239" t="n"/>
      <c r="X14" s="1236" t="inlineStr">
        <is>
          <t>Mar</t>
        </is>
      </c>
      <c r="Y14" s="18">
        <f>AE13+1</f>
        <v/>
      </c>
      <c r="Z14" s="15">
        <f>Y14+1</f>
        <v/>
      </c>
      <c r="AA14" s="15">
        <f>Z14+1</f>
        <v/>
      </c>
      <c r="AB14" s="15">
        <f>AA14+1</f>
        <v/>
      </c>
      <c r="AC14" s="17">
        <f>AB14+1</f>
        <v/>
      </c>
      <c r="AD14" s="17">
        <f>AC14+1</f>
        <v/>
      </c>
      <c r="AE14" s="17">
        <f>AD14+1</f>
        <v/>
      </c>
      <c r="AF14" s="17" t="n"/>
    </row>
    <row r="15" ht="18" customHeight="1" s="1232">
      <c r="B15" s="1236" t="inlineStr">
        <is>
          <t>Mar</t>
        </is>
      </c>
      <c r="C15" s="18">
        <f>I14+1</f>
        <v/>
      </c>
      <c r="D15" s="625">
        <f>C15+1</f>
        <v/>
      </c>
      <c r="E15" s="625">
        <f>D15+1</f>
        <v/>
      </c>
      <c r="F15" s="625">
        <f>E15+1</f>
        <v/>
      </c>
      <c r="G15" s="625">
        <f>F15+1</f>
        <v/>
      </c>
      <c r="H15" s="624">
        <f>G15+1</f>
        <v/>
      </c>
      <c r="I15" s="624">
        <f>H15+1</f>
        <v/>
      </c>
      <c r="K15" s="1239" t="inlineStr">
        <is>
          <t>Mothers Day</t>
        </is>
      </c>
      <c r="M15" s="1236" t="inlineStr">
        <is>
          <t>Mar</t>
        </is>
      </c>
      <c r="N15" s="12">
        <f>T14+1</f>
        <v/>
      </c>
      <c r="O15" s="12">
        <f>N15+1</f>
        <v/>
      </c>
      <c r="P15" s="12">
        <f>O15+1</f>
        <v/>
      </c>
      <c r="Q15" s="12">
        <f>P15+1</f>
        <v/>
      </c>
      <c r="R15" s="18">
        <f>Q15+1</f>
        <v/>
      </c>
      <c r="S15" s="15">
        <f>R15+1</f>
        <v/>
      </c>
      <c r="T15" s="15" t="n">
        <v>1</v>
      </c>
      <c r="V15" s="1239" t="n"/>
      <c r="W15" s="1239" t="n"/>
      <c r="X15" s="1236" t="inlineStr">
        <is>
          <t>Mar</t>
        </is>
      </c>
      <c r="Y15" s="15">
        <f>AE14+1</f>
        <v/>
      </c>
      <c r="Z15" s="15">
        <f>Y15+1</f>
        <v/>
      </c>
      <c r="AA15" s="15">
        <f>Z15+1</f>
        <v/>
      </c>
      <c r="AB15" s="15">
        <f>AA15+1</f>
        <v/>
      </c>
      <c r="AC15" s="12">
        <f>AB15+1</f>
        <v/>
      </c>
      <c r="AD15" s="12">
        <f>AC15+1</f>
        <v/>
      </c>
      <c r="AE15" s="11">
        <f>AD15+1</f>
        <v/>
      </c>
    </row>
    <row r="16" ht="18" customHeight="1" s="1232">
      <c r="B16" s="1241" t="inlineStr">
        <is>
          <t>Apr</t>
        </is>
      </c>
      <c r="C16" s="624" t="n">
        <v>1</v>
      </c>
      <c r="D16" s="624">
        <f>C16+1</f>
        <v/>
      </c>
      <c r="E16" s="624">
        <f>D16+1</f>
        <v/>
      </c>
      <c r="F16" s="624">
        <f>E16+1</f>
        <v/>
      </c>
      <c r="G16" s="12">
        <f>F16+1</f>
        <v/>
      </c>
      <c r="H16" s="12">
        <f>G16+1</f>
        <v/>
      </c>
      <c r="I16" s="12">
        <f>H16+1</f>
        <v/>
      </c>
      <c r="K16" s="1239" t="n"/>
      <c r="M16" s="1241" t="inlineStr">
        <is>
          <t>Apr</t>
        </is>
      </c>
      <c r="N16" s="15">
        <f>T15+1</f>
        <v/>
      </c>
      <c r="O16" s="15">
        <f>N16+1</f>
        <v/>
      </c>
      <c r="P16" s="15">
        <f>O16+1</f>
        <v/>
      </c>
      <c r="Q16" s="15">
        <f>P16+1</f>
        <v/>
      </c>
      <c r="R16" s="12">
        <f>Q16+1</f>
        <v/>
      </c>
      <c r="S16" s="12">
        <f>R16+1</f>
        <v/>
      </c>
      <c r="T16" s="12">
        <f>S16+1</f>
        <v/>
      </c>
      <c r="V16" s="1239" t="n"/>
      <c r="W16" s="24" t="n"/>
      <c r="X16" s="1241" t="inlineStr">
        <is>
          <t>Mar/Apr</t>
        </is>
      </c>
      <c r="Y16" s="18">
        <f>AE15+1</f>
        <v/>
      </c>
      <c r="Z16" s="15">
        <f>Y16+1</f>
        <v/>
      </c>
      <c r="AA16" s="15">
        <f>Z16+1</f>
        <v/>
      </c>
      <c r="AB16" s="15">
        <f>AA16+1</f>
        <v/>
      </c>
      <c r="AC16" s="17" t="n">
        <v>31</v>
      </c>
      <c r="AD16" s="17" t="n">
        <v>1</v>
      </c>
      <c r="AE16" s="17">
        <f>AD16+1</f>
        <v/>
      </c>
    </row>
    <row r="17" ht="18" customHeight="1" s="1232">
      <c r="B17" s="1236" t="inlineStr">
        <is>
          <t>Apr</t>
        </is>
      </c>
      <c r="C17" s="18">
        <f>I16+1</f>
        <v/>
      </c>
      <c r="D17" s="624">
        <f>C17+1</f>
        <v/>
      </c>
      <c r="E17" s="624">
        <f>D17+1</f>
        <v/>
      </c>
      <c r="F17" s="624">
        <f>E17+1</f>
        <v/>
      </c>
      <c r="G17" s="624">
        <f>F17+1</f>
        <v/>
      </c>
      <c r="H17" s="624">
        <f>G17+1</f>
        <v/>
      </c>
      <c r="I17" s="624">
        <f>H17+1</f>
        <v/>
      </c>
      <c r="K17" s="1239" t="inlineStr">
        <is>
          <t>Ruby breaks up Easter</t>
        </is>
      </c>
      <c r="M17" s="1236" t="inlineStr">
        <is>
          <t>Apr</t>
        </is>
      </c>
      <c r="N17" s="18">
        <f>T16+1</f>
        <v/>
      </c>
      <c r="O17" s="15">
        <f>N17+1</f>
        <v/>
      </c>
      <c r="P17" s="15">
        <f>O17+1</f>
        <v/>
      </c>
      <c r="Q17" s="15">
        <f>P17+1</f>
        <v/>
      </c>
      <c r="R17" s="15">
        <f>Q17+1</f>
        <v/>
      </c>
      <c r="S17" s="15">
        <f>R17+1</f>
        <v/>
      </c>
      <c r="T17" s="15">
        <f>S17+1</f>
        <v/>
      </c>
      <c r="V17" s="1239" t="n"/>
      <c r="W17" s="1239" t="n"/>
      <c r="X17" s="1236" t="inlineStr">
        <is>
          <t>Apr</t>
        </is>
      </c>
      <c r="Y17" s="17">
        <f>AE16+1</f>
        <v/>
      </c>
      <c r="Z17" s="15">
        <f>Y17+1</f>
        <v/>
      </c>
      <c r="AA17" s="17">
        <f>Z17+1</f>
        <v/>
      </c>
      <c r="AB17" s="15">
        <f>AA17+1</f>
        <v/>
      </c>
      <c r="AC17" s="12">
        <f>AB17+1</f>
        <v/>
      </c>
      <c r="AD17" s="12">
        <f>AC17+1</f>
        <v/>
      </c>
      <c r="AE17" s="11">
        <f>AD17+1</f>
        <v/>
      </c>
    </row>
    <row r="18" ht="18" customHeight="1" s="1232">
      <c r="B18" s="1236" t="inlineStr">
        <is>
          <t>Apr</t>
        </is>
      </c>
      <c r="C18" s="624">
        <f>I17+1</f>
        <v/>
      </c>
      <c r="D18" s="624">
        <f>C18+1</f>
        <v/>
      </c>
      <c r="E18" s="624">
        <f>D18+1</f>
        <v/>
      </c>
      <c r="F18" s="624">
        <f>E18+1</f>
        <v/>
      </c>
      <c r="G18" s="12">
        <f>F18+1</f>
        <v/>
      </c>
      <c r="H18" s="12">
        <f>G18+1</f>
        <v/>
      </c>
      <c r="I18" s="12">
        <f>H18+1</f>
        <v/>
      </c>
      <c r="M18" s="1236" t="inlineStr">
        <is>
          <t>Apr</t>
        </is>
      </c>
      <c r="N18" s="15">
        <f>T17+1</f>
        <v/>
      </c>
      <c r="O18" s="15">
        <f>N18+1</f>
        <v/>
      </c>
      <c r="P18" s="15">
        <f>O18+1</f>
        <v/>
      </c>
      <c r="Q18" s="15">
        <f>P18+1</f>
        <v/>
      </c>
      <c r="R18" s="12">
        <f>Q18+1</f>
        <v/>
      </c>
      <c r="S18" s="12">
        <f>R18+1</f>
        <v/>
      </c>
      <c r="T18" s="12">
        <f>S18+1</f>
        <v/>
      </c>
      <c r="W18" s="1239" t="n"/>
      <c r="X18" s="1236" t="inlineStr">
        <is>
          <t>Apr</t>
        </is>
      </c>
      <c r="Y18" s="18">
        <f>AE17+1</f>
        <v/>
      </c>
      <c r="Z18" s="17">
        <f>Y18+1</f>
        <v/>
      </c>
      <c r="AA18" s="17">
        <f>Z18+1</f>
        <v/>
      </c>
      <c r="AB18" s="15">
        <f>AA18+1</f>
        <v/>
      </c>
      <c r="AC18" s="17">
        <f>AB18+1</f>
        <v/>
      </c>
      <c r="AD18" s="17">
        <f>AC18+1</f>
        <v/>
      </c>
      <c r="AE18" s="17">
        <f>AD18+1</f>
        <v/>
      </c>
      <c r="AF18" s="1230" t="inlineStr">
        <is>
          <t>Easter Break</t>
        </is>
      </c>
    </row>
    <row r="19" ht="18" customHeight="1" s="1232">
      <c r="B19" s="1236" t="inlineStr">
        <is>
          <t>Apr</t>
        </is>
      </c>
      <c r="C19" s="12">
        <f>I18+1</f>
        <v/>
      </c>
      <c r="D19" s="12">
        <f>C19+1</f>
        <v/>
      </c>
      <c r="E19" s="12">
        <f>D19+1</f>
        <v/>
      </c>
      <c r="F19" s="12">
        <f>E19+1</f>
        <v/>
      </c>
      <c r="G19" s="12">
        <f>F19+1</f>
        <v/>
      </c>
      <c r="H19" s="624">
        <f>G19+1</f>
        <v/>
      </c>
      <c r="I19" s="624">
        <f>H19+1</f>
        <v/>
      </c>
      <c r="K19" s="1239" t="inlineStr">
        <is>
          <t>Ruby's Birthday</t>
        </is>
      </c>
      <c r="M19" s="1236" t="inlineStr">
        <is>
          <t>Apr</t>
        </is>
      </c>
      <c r="N19" s="18">
        <f>T18+1</f>
        <v/>
      </c>
      <c r="O19" s="15">
        <f>N19+1</f>
        <v/>
      </c>
      <c r="P19" s="15">
        <f>O19+1</f>
        <v/>
      </c>
      <c r="Q19" s="15">
        <f>P19+1</f>
        <v/>
      </c>
      <c r="R19" s="15">
        <f>Q19+1</f>
        <v/>
      </c>
      <c r="S19" s="15">
        <f>R19+1</f>
        <v/>
      </c>
      <c r="T19" s="15">
        <f>S19+1</f>
        <v/>
      </c>
      <c r="V19" s="1239" t="n"/>
      <c r="W19" s="1239" t="n"/>
      <c r="X19" s="1236" t="inlineStr">
        <is>
          <t>Apr</t>
        </is>
      </c>
      <c r="Y19" s="12">
        <f>AE18+1</f>
        <v/>
      </c>
      <c r="Z19" s="12">
        <f>Y19+1</f>
        <v/>
      </c>
      <c r="AA19" s="12">
        <f>Z19+1</f>
        <v/>
      </c>
      <c r="AB19" s="12">
        <f>AA19+1</f>
        <v/>
      </c>
      <c r="AC19" s="12">
        <f>AB19+1</f>
        <v/>
      </c>
      <c r="AD19" s="12">
        <f>AC19+1</f>
        <v/>
      </c>
      <c r="AE19" s="11">
        <f>AD19+1</f>
        <v/>
      </c>
    </row>
    <row r="20" ht="18" customHeight="1" s="1232">
      <c r="B20" s="1240" t="inlineStr">
        <is>
          <t>Apr/May</t>
        </is>
      </c>
      <c r="C20" s="624">
        <f>I19+1</f>
        <v/>
      </c>
      <c r="D20" s="624" t="n">
        <v>30</v>
      </c>
      <c r="E20" s="624" t="n">
        <v>1</v>
      </c>
      <c r="F20" s="624">
        <f>E20+1</f>
        <v/>
      </c>
      <c r="G20" s="12">
        <f>F20+1</f>
        <v/>
      </c>
      <c r="H20" s="12">
        <f>G20+1</f>
        <v/>
      </c>
      <c r="I20" s="12">
        <f>H20+1</f>
        <v/>
      </c>
      <c r="K20" s="23" t="n"/>
      <c r="M20" s="1240" t="inlineStr">
        <is>
          <t>Apr/May</t>
        </is>
      </c>
      <c r="N20" s="15">
        <f>T19+1</f>
        <v/>
      </c>
      <c r="O20" s="15" t="n">
        <v>1</v>
      </c>
      <c r="P20" s="15">
        <f>O20+1</f>
        <v/>
      </c>
      <c r="Q20" s="15">
        <f>P20+1</f>
        <v/>
      </c>
      <c r="R20" s="12">
        <f>Q20+1</f>
        <v/>
      </c>
      <c r="S20" s="12">
        <f>R20+1</f>
        <v/>
      </c>
      <c r="T20" s="12">
        <f>S20+1</f>
        <v/>
      </c>
      <c r="V20" s="23" t="n"/>
      <c r="W20" s="1239" t="n"/>
      <c r="X20" s="1240" t="inlineStr">
        <is>
          <t>Apr/May</t>
        </is>
      </c>
      <c r="Y20" s="18">
        <f>AE19+1</f>
        <v/>
      </c>
      <c r="Z20" s="15">
        <f>Y20+1</f>
        <v/>
      </c>
      <c r="AA20" s="15">
        <f>Z20+1</f>
        <v/>
      </c>
      <c r="AB20" s="17">
        <f>AA20+1</f>
        <v/>
      </c>
      <c r="AC20" s="17">
        <f>AB20+1</f>
        <v/>
      </c>
      <c r="AD20" s="17">
        <f>AC20+1</f>
        <v/>
      </c>
      <c r="AE20" s="17" t="n">
        <v>30</v>
      </c>
    </row>
    <row r="21" ht="18" customHeight="1" s="1232">
      <c r="B21" s="1236" t="inlineStr">
        <is>
          <t>May</t>
        </is>
      </c>
      <c r="C21" s="12">
        <f>I20+1</f>
        <v/>
      </c>
      <c r="D21" s="18">
        <f>C21+1</f>
        <v/>
      </c>
      <c r="E21" s="624">
        <f>D21+1</f>
        <v/>
      </c>
      <c r="F21" s="624">
        <f>E21+1</f>
        <v/>
      </c>
      <c r="G21" s="624">
        <f>F21+1</f>
        <v/>
      </c>
      <c r="H21" s="624">
        <f>G21+1</f>
        <v/>
      </c>
      <c r="I21" s="624">
        <f>H21+1</f>
        <v/>
      </c>
      <c r="K21" s="1239" t="inlineStr">
        <is>
          <t>Bank Holiday</t>
        </is>
      </c>
      <c r="M21" s="1236" t="inlineStr">
        <is>
          <t>May</t>
        </is>
      </c>
      <c r="N21" s="12">
        <f>T20+1</f>
        <v/>
      </c>
      <c r="O21" s="18">
        <f>N21+1</f>
        <v/>
      </c>
      <c r="P21" s="15">
        <f>O21+1</f>
        <v/>
      </c>
      <c r="Q21" s="15">
        <f>P21+1</f>
        <v/>
      </c>
      <c r="R21" s="15">
        <f>Q21+1</f>
        <v/>
      </c>
      <c r="S21" s="15">
        <f>R21+1</f>
        <v/>
      </c>
      <c r="T21" s="15">
        <f>S21+1</f>
        <v/>
      </c>
      <c r="V21" s="1239" t="inlineStr">
        <is>
          <t>Bank Holiday</t>
        </is>
      </c>
      <c r="W21" s="1239" t="n"/>
      <c r="X21" s="1236" t="inlineStr">
        <is>
          <t>May</t>
        </is>
      </c>
      <c r="Y21" s="15" t="n">
        <v>1</v>
      </c>
      <c r="Z21" s="15">
        <f>Y21+1</f>
        <v/>
      </c>
      <c r="AA21" s="15">
        <f>Z21+1</f>
        <v/>
      </c>
      <c r="AB21" s="15">
        <f>AA21+1</f>
        <v/>
      </c>
      <c r="AC21" s="12">
        <f>AB21+1</f>
        <v/>
      </c>
      <c r="AD21" s="12">
        <f>AC21+1</f>
        <v/>
      </c>
      <c r="AE21" s="11">
        <f>AD21+1</f>
        <v/>
      </c>
    </row>
    <row r="22" ht="18" customHeight="1" s="1232">
      <c r="B22" s="1236" t="inlineStr">
        <is>
          <t>May</t>
        </is>
      </c>
      <c r="C22" s="624">
        <f>I21+1</f>
        <v/>
      </c>
      <c r="D22" s="624">
        <f>C22+1</f>
        <v/>
      </c>
      <c r="E22" s="624">
        <f>D22+1</f>
        <v/>
      </c>
      <c r="F22" s="624">
        <f>E22+1</f>
        <v/>
      </c>
      <c r="G22" s="12">
        <f>F22+1</f>
        <v/>
      </c>
      <c r="H22" s="12">
        <f>G22+1</f>
        <v/>
      </c>
      <c r="I22" s="12">
        <f>H22+1</f>
        <v/>
      </c>
      <c r="K22" s="1239" t="n"/>
      <c r="M22" s="1236" t="inlineStr">
        <is>
          <t>May</t>
        </is>
      </c>
      <c r="N22" s="15">
        <f>T21+1</f>
        <v/>
      </c>
      <c r="O22" s="15">
        <f>N22+1</f>
        <v/>
      </c>
      <c r="P22" s="15">
        <f>O22+1</f>
        <v/>
      </c>
      <c r="Q22" s="15">
        <f>P22+1</f>
        <v/>
      </c>
      <c r="R22" s="12">
        <f>Q22+1</f>
        <v/>
      </c>
      <c r="S22" s="12">
        <f>R22+1</f>
        <v/>
      </c>
      <c r="T22" s="12">
        <f>S22+1</f>
        <v/>
      </c>
      <c r="V22" s="1239" t="n"/>
      <c r="W22" s="1239" t="n"/>
      <c r="X22" s="1236" t="inlineStr">
        <is>
          <t>May</t>
        </is>
      </c>
      <c r="Y22" s="18">
        <f>AE21+1</f>
        <v/>
      </c>
      <c r="Z22" s="15">
        <f>Y22+1</f>
        <v/>
      </c>
      <c r="AA22" s="17">
        <f>Z22+1</f>
        <v/>
      </c>
      <c r="AB22" s="15">
        <f>AA22+1</f>
        <v/>
      </c>
      <c r="AC22" s="17">
        <f>AB22+1</f>
        <v/>
      </c>
      <c r="AD22" s="17">
        <f>AC22+1</f>
        <v/>
      </c>
      <c r="AE22" s="17">
        <f>AD22+1</f>
        <v/>
      </c>
    </row>
    <row r="23" ht="18" customHeight="1" s="1232">
      <c r="B23" s="1236" t="inlineStr">
        <is>
          <t>May</t>
        </is>
      </c>
      <c r="C23" s="18">
        <f>I22+1</f>
        <v/>
      </c>
      <c r="D23" s="624">
        <f>C23+1</f>
        <v/>
      </c>
      <c r="E23" s="624">
        <f>D23+1</f>
        <v/>
      </c>
      <c r="F23" s="624">
        <f>E23+1</f>
        <v/>
      </c>
      <c r="G23" s="624">
        <f>F23+1</f>
        <v/>
      </c>
      <c r="H23" s="624">
        <f>G23+1</f>
        <v/>
      </c>
      <c r="I23" s="624">
        <f>H23+1</f>
        <v/>
      </c>
      <c r="K23" s="1239" t="n"/>
      <c r="M23" s="1236" t="inlineStr">
        <is>
          <t>May</t>
        </is>
      </c>
      <c r="N23" s="18">
        <f>T22+1</f>
        <v/>
      </c>
      <c r="O23" s="15">
        <f>N23+1</f>
        <v/>
      </c>
      <c r="P23" s="15">
        <f>O23+1</f>
        <v/>
      </c>
      <c r="Q23" s="15">
        <f>P23+1</f>
        <v/>
      </c>
      <c r="R23" s="15">
        <f>Q23+1</f>
        <v/>
      </c>
      <c r="S23" s="15">
        <f>R23+1</f>
        <v/>
      </c>
      <c r="T23" s="15">
        <f>S23+1</f>
        <v/>
      </c>
      <c r="V23" s="1239" t="n"/>
      <c r="W23" s="1239" t="n"/>
      <c r="X23" s="1236" t="inlineStr">
        <is>
          <t>May</t>
        </is>
      </c>
      <c r="Y23" s="15">
        <f>AE22+1</f>
        <v/>
      </c>
      <c r="Z23" s="15">
        <f>Y23+1</f>
        <v/>
      </c>
      <c r="AA23" s="17">
        <f>Z23+1</f>
        <v/>
      </c>
      <c r="AB23" s="15">
        <f>AA23+1</f>
        <v/>
      </c>
      <c r="AC23" s="12">
        <f>AB23+1</f>
        <v/>
      </c>
      <c r="AD23" s="12">
        <f>AC23+1</f>
        <v/>
      </c>
      <c r="AE23" s="11">
        <f>AD23+1</f>
        <v/>
      </c>
    </row>
    <row r="24" ht="18" customHeight="1" s="1232">
      <c r="B24" s="1240" t="inlineStr">
        <is>
          <t>May/Jun</t>
        </is>
      </c>
      <c r="C24" s="669">
        <f>I23+1</f>
        <v/>
      </c>
      <c r="D24" s="624">
        <f>C24+1</f>
        <v/>
      </c>
      <c r="E24" s="12">
        <f>D24+1</f>
        <v/>
      </c>
      <c r="F24" s="12">
        <f>E24+1</f>
        <v/>
      </c>
      <c r="G24" s="12">
        <f>F24+1</f>
        <v/>
      </c>
      <c r="H24" s="12" t="n">
        <v>1</v>
      </c>
      <c r="I24" s="12">
        <f>H24+1</f>
        <v/>
      </c>
      <c r="K24" s="1239" t="inlineStr">
        <is>
          <t>Half Term</t>
        </is>
      </c>
      <c r="M24" s="1240" t="inlineStr">
        <is>
          <t>May/Jun</t>
        </is>
      </c>
      <c r="N24" s="15">
        <f>T23+1</f>
        <v/>
      </c>
      <c r="O24" s="15">
        <f>N24+1</f>
        <v/>
      </c>
      <c r="P24" s="12">
        <f>O24+1</f>
        <v/>
      </c>
      <c r="Q24" s="12">
        <f>P24+1</f>
        <v/>
      </c>
      <c r="R24" s="12" t="n">
        <v>1</v>
      </c>
      <c r="S24" s="12">
        <f>R24+1</f>
        <v/>
      </c>
      <c r="T24" s="12">
        <f>S24+1</f>
        <v/>
      </c>
      <c r="V24" s="1239" t="inlineStr">
        <is>
          <t>Half Term</t>
        </is>
      </c>
      <c r="W24" s="1239" t="n"/>
      <c r="X24" s="1236" t="inlineStr">
        <is>
          <t>May</t>
        </is>
      </c>
      <c r="Y24" s="18">
        <f>AE23+1</f>
        <v/>
      </c>
      <c r="Z24" s="17">
        <f>Y24+1</f>
        <v/>
      </c>
      <c r="AA24" s="17">
        <f>Z24+1</f>
        <v/>
      </c>
      <c r="AB24" s="17">
        <f>AA24+1</f>
        <v/>
      </c>
      <c r="AC24" s="17">
        <f>AB24+1</f>
        <v/>
      </c>
      <c r="AD24" s="17">
        <f>AC24+1</f>
        <v/>
      </c>
      <c r="AE24" s="17">
        <f>AD24+1</f>
        <v/>
      </c>
    </row>
    <row r="25" ht="18" customHeight="1" s="1232">
      <c r="B25" s="1236" t="inlineStr">
        <is>
          <t>Jun</t>
        </is>
      </c>
      <c r="C25" s="18">
        <f>I24+1</f>
        <v/>
      </c>
      <c r="D25" s="624">
        <f>C25+1</f>
        <v/>
      </c>
      <c r="E25" s="624">
        <f>D25+1</f>
        <v/>
      </c>
      <c r="F25" s="624">
        <f>E25+1</f>
        <v/>
      </c>
      <c r="G25" s="624">
        <f>F25+1</f>
        <v/>
      </c>
      <c r="H25" s="624">
        <f>G25+1</f>
        <v/>
      </c>
      <c r="I25" s="624">
        <f>H25+1</f>
        <v/>
      </c>
      <c r="K25" s="1239" t="n"/>
      <c r="M25" s="1236" t="inlineStr">
        <is>
          <t>Jun</t>
        </is>
      </c>
      <c r="N25" s="18">
        <f>T24+1</f>
        <v/>
      </c>
      <c r="O25" s="15">
        <f>N25+1</f>
        <v/>
      </c>
      <c r="P25" s="15">
        <f>O25+1</f>
        <v/>
      </c>
      <c r="Q25" s="15">
        <f>P25+1</f>
        <v/>
      </c>
      <c r="R25" s="15">
        <f>Q25+1</f>
        <v/>
      </c>
      <c r="S25" s="15">
        <f>R25+1</f>
        <v/>
      </c>
      <c r="T25" s="15">
        <f>S25+1</f>
        <v/>
      </c>
      <c r="V25" s="1239" t="n"/>
      <c r="W25" s="1239" t="n"/>
      <c r="X25" s="1240" t="inlineStr">
        <is>
          <t>May/Jun</t>
        </is>
      </c>
      <c r="Y25" s="17">
        <f>AE24+1</f>
        <v/>
      </c>
      <c r="Z25" s="15">
        <f>Y25+1</f>
        <v/>
      </c>
      <c r="AA25" s="12" t="n">
        <v>31</v>
      </c>
      <c r="AB25" s="12" t="n">
        <v>1</v>
      </c>
      <c r="AC25" s="12">
        <f>AB25+1</f>
        <v/>
      </c>
      <c r="AD25" s="12">
        <f>AC25+1</f>
        <v/>
      </c>
      <c r="AE25" s="11">
        <f>AD25+1</f>
        <v/>
      </c>
      <c r="AF25" s="1230" t="inlineStr">
        <is>
          <t>Half Term</t>
        </is>
      </c>
    </row>
    <row r="26" ht="18" customHeight="1" s="1232">
      <c r="B26" s="1236" t="inlineStr">
        <is>
          <t>Jun</t>
        </is>
      </c>
      <c r="C26" s="624">
        <f>I25+1</f>
        <v/>
      </c>
      <c r="D26" s="624">
        <f>C26+1</f>
        <v/>
      </c>
      <c r="E26" s="624">
        <f>D26+1</f>
        <v/>
      </c>
      <c r="F26" s="624">
        <f>E26+1</f>
        <v/>
      </c>
      <c r="G26" s="12">
        <f>F26+1</f>
        <v/>
      </c>
      <c r="H26" s="12">
        <f>G26+1</f>
        <v/>
      </c>
      <c r="I26" s="12">
        <f>H26+1</f>
        <v/>
      </c>
      <c r="K26" s="1239" t="inlineStr">
        <is>
          <t>Fathers Day</t>
        </is>
      </c>
      <c r="M26" s="1236" t="inlineStr">
        <is>
          <t>Jun</t>
        </is>
      </c>
      <c r="N26" s="15">
        <f>T25+1</f>
        <v/>
      </c>
      <c r="O26" s="15">
        <f>N26+1</f>
        <v/>
      </c>
      <c r="P26" s="15">
        <f>O26+1</f>
        <v/>
      </c>
      <c r="Q26" s="15">
        <f>P26+1</f>
        <v/>
      </c>
      <c r="R26" s="12">
        <f>Q26+1</f>
        <v/>
      </c>
      <c r="S26" s="12">
        <f>R26+1</f>
        <v/>
      </c>
      <c r="T26" s="12">
        <f>S26+1</f>
        <v/>
      </c>
      <c r="V26" s="1239" t="inlineStr">
        <is>
          <t>Fathers Day</t>
        </is>
      </c>
      <c r="W26" s="1239" t="n"/>
      <c r="X26" s="1236" t="inlineStr">
        <is>
          <t>Jun</t>
        </is>
      </c>
      <c r="Y26" s="18">
        <f>AE25+1</f>
        <v/>
      </c>
      <c r="Z26" s="15">
        <f>Y26+1</f>
        <v/>
      </c>
      <c r="AA26" s="15">
        <f>Z26+1</f>
        <v/>
      </c>
      <c r="AB26" s="15">
        <f>AA26+1</f>
        <v/>
      </c>
      <c r="AC26" s="17">
        <f>AB26+1</f>
        <v/>
      </c>
      <c r="AD26" s="17">
        <f>AC26+1</f>
        <v/>
      </c>
      <c r="AE26" s="17">
        <f>AD26+1</f>
        <v/>
      </c>
    </row>
    <row r="27" ht="18" customHeight="1" s="1232">
      <c r="B27" s="1236" t="inlineStr">
        <is>
          <t>Jun</t>
        </is>
      </c>
      <c r="C27" s="18">
        <f>I26+1</f>
        <v/>
      </c>
      <c r="D27" s="624">
        <f>C27+1</f>
        <v/>
      </c>
      <c r="E27" s="624">
        <f>D27+1</f>
        <v/>
      </c>
      <c r="F27" s="624">
        <f>E27+1</f>
        <v/>
      </c>
      <c r="G27" s="624">
        <f>F27+1</f>
        <v/>
      </c>
      <c r="H27" s="624">
        <f>G27+1</f>
        <v/>
      </c>
      <c r="I27" s="624">
        <f>H27+1</f>
        <v/>
      </c>
      <c r="K27" s="1239" t="n"/>
      <c r="M27" s="1236" t="inlineStr">
        <is>
          <t>Jun</t>
        </is>
      </c>
      <c r="N27" s="18">
        <f>T26+1</f>
        <v/>
      </c>
      <c r="O27" s="15">
        <f>N27+1</f>
        <v/>
      </c>
      <c r="P27" s="15">
        <f>O27+1</f>
        <v/>
      </c>
      <c r="Q27" s="15">
        <f>P27+1</f>
        <v/>
      </c>
      <c r="R27" s="15">
        <f>Q27+1</f>
        <v/>
      </c>
      <c r="S27" s="15">
        <f>R27+1</f>
        <v/>
      </c>
      <c r="T27" s="15">
        <f>S27+1</f>
        <v/>
      </c>
      <c r="V27" s="1239" t="n"/>
      <c r="W27" s="1239" t="n"/>
      <c r="X27" s="1236" t="inlineStr">
        <is>
          <t>Jun</t>
        </is>
      </c>
      <c r="Y27" s="15">
        <f>AE26+1</f>
        <v/>
      </c>
      <c r="Z27" s="15">
        <f>Y27+1</f>
        <v/>
      </c>
      <c r="AA27" s="17">
        <f>Z27+1</f>
        <v/>
      </c>
      <c r="AB27" s="15">
        <f>AA27+1</f>
        <v/>
      </c>
      <c r="AC27" s="12">
        <f>AB27+1</f>
        <v/>
      </c>
      <c r="AD27" s="12">
        <f>AC27+1</f>
        <v/>
      </c>
      <c r="AE27" s="11">
        <f>AD27+1</f>
        <v/>
      </c>
      <c r="AF27" s="1230" t="inlineStr">
        <is>
          <t>Fathers Day</t>
        </is>
      </c>
    </row>
    <row r="28" ht="18" customHeight="1" s="1232">
      <c r="B28" s="1236" t="inlineStr">
        <is>
          <t>Jun</t>
        </is>
      </c>
      <c r="C28" s="624">
        <f>I27+1</f>
        <v/>
      </c>
      <c r="D28" s="624">
        <f>C28+1</f>
        <v/>
      </c>
      <c r="E28" s="624">
        <f>D28+1</f>
        <v/>
      </c>
      <c r="F28" s="624">
        <f>E28+1</f>
        <v/>
      </c>
      <c r="G28" s="12">
        <f>F28+1</f>
        <v/>
      </c>
      <c r="H28" s="12">
        <f>G28+1</f>
        <v/>
      </c>
      <c r="I28" s="12">
        <f>H28+1</f>
        <v/>
      </c>
      <c r="M28" s="1236" t="inlineStr">
        <is>
          <t>Jun</t>
        </is>
      </c>
      <c r="N28" s="15">
        <f>T27+1</f>
        <v/>
      </c>
      <c r="O28" s="15">
        <f>N28+1</f>
        <v/>
      </c>
      <c r="P28" s="15">
        <f>O28+1</f>
        <v/>
      </c>
      <c r="Q28" s="15">
        <f>P28+1</f>
        <v/>
      </c>
      <c r="R28" s="12">
        <f>Q28+1</f>
        <v/>
      </c>
      <c r="S28" s="12">
        <f>R28+1</f>
        <v/>
      </c>
      <c r="T28" s="12" t="n">
        <v>1</v>
      </c>
      <c r="W28" s="1239" t="n"/>
      <c r="X28" s="1236" t="inlineStr">
        <is>
          <t>Jun</t>
        </is>
      </c>
      <c r="Y28" s="18">
        <f>AE27+1</f>
        <v/>
      </c>
      <c r="Z28" s="15">
        <f>Y28+1</f>
        <v/>
      </c>
      <c r="AA28" s="17">
        <f>Z28+1</f>
        <v/>
      </c>
      <c r="AB28" s="15">
        <f>AA28+1</f>
        <v/>
      </c>
      <c r="AC28" s="17">
        <f>AB28+1</f>
        <v/>
      </c>
      <c r="AD28" s="17">
        <f>AC28+1</f>
        <v/>
      </c>
      <c r="AE28" s="17">
        <f>AD28+1</f>
        <v/>
      </c>
    </row>
    <row r="29" ht="18" customHeight="1" s="1232">
      <c r="B29" s="1240" t="inlineStr">
        <is>
          <t>Jun/Jul</t>
        </is>
      </c>
      <c r="C29" s="18" t="n">
        <v>1</v>
      </c>
      <c r="D29" s="624">
        <f>C29+1</f>
        <v/>
      </c>
      <c r="E29" s="624">
        <f>D29+1</f>
        <v/>
      </c>
      <c r="F29" s="624">
        <f>E29+1</f>
        <v/>
      </c>
      <c r="G29" s="624">
        <f>F29+1</f>
        <v/>
      </c>
      <c r="H29" s="624">
        <f>G29+1</f>
        <v/>
      </c>
      <c r="I29" s="624">
        <f>H29+1</f>
        <v/>
      </c>
      <c r="K29" s="1239" t="n"/>
      <c r="M29" s="1240" t="inlineStr">
        <is>
          <t>Jun/Jul</t>
        </is>
      </c>
      <c r="N29" s="18">
        <f>T28+1</f>
        <v/>
      </c>
      <c r="O29" s="15">
        <f>N29+1</f>
        <v/>
      </c>
      <c r="P29" s="15">
        <f>O29+1</f>
        <v/>
      </c>
      <c r="Q29" s="15">
        <f>P29+1</f>
        <v/>
      </c>
      <c r="R29" s="15">
        <f>Q29+1</f>
        <v/>
      </c>
      <c r="S29" s="15">
        <f>R29+1</f>
        <v/>
      </c>
      <c r="T29" s="15">
        <f>S29+1</f>
        <v/>
      </c>
      <c r="V29" s="1239" t="n"/>
      <c r="W29" s="1239" t="n"/>
      <c r="X29" s="1240" t="inlineStr">
        <is>
          <t>Jun/Jul</t>
        </is>
      </c>
      <c r="Y29" s="17" t="n">
        <v>26</v>
      </c>
      <c r="Z29" s="15">
        <f>Y29+1</f>
        <v/>
      </c>
      <c r="AA29" s="17">
        <f>Z29+1</f>
        <v/>
      </c>
      <c r="AB29" s="15">
        <f>AA29+1</f>
        <v/>
      </c>
      <c r="AC29" s="12" t="n">
        <v>30</v>
      </c>
      <c r="AD29" s="12" t="n">
        <v>1</v>
      </c>
      <c r="AE29" s="11">
        <f>AD29+1</f>
        <v/>
      </c>
    </row>
    <row r="30" ht="18" customHeight="1" s="1232">
      <c r="B30" s="1236" t="inlineStr">
        <is>
          <t>Jul</t>
        </is>
      </c>
      <c r="C30" s="624">
        <f>I29+1</f>
        <v/>
      </c>
      <c r="D30" s="624">
        <f>C30+1</f>
        <v/>
      </c>
      <c r="E30" s="624">
        <f>D30+1</f>
        <v/>
      </c>
      <c r="F30" s="624">
        <f>E30+1</f>
        <v/>
      </c>
      <c r="G30" s="12">
        <f>F30+1</f>
        <v/>
      </c>
      <c r="H30" s="12">
        <f>G30+1</f>
        <v/>
      </c>
      <c r="I30" s="12">
        <f>H30+1</f>
        <v/>
      </c>
      <c r="K30" s="1239" t="inlineStr">
        <is>
          <t>Ruby breaks up</t>
        </is>
      </c>
      <c r="M30" s="1236" t="inlineStr">
        <is>
          <t>Jul</t>
        </is>
      </c>
      <c r="N30" s="15">
        <f>T29+1</f>
        <v/>
      </c>
      <c r="O30" s="15">
        <f>N30+1</f>
        <v/>
      </c>
      <c r="P30" s="15">
        <f>O30+1</f>
        <v/>
      </c>
      <c r="Q30" s="15">
        <f>P30+1</f>
        <v/>
      </c>
      <c r="R30" s="15">
        <f>Q30+1</f>
        <v/>
      </c>
      <c r="S30" s="15">
        <f>R30+1</f>
        <v/>
      </c>
      <c r="T30" s="15">
        <f>S30+1</f>
        <v/>
      </c>
      <c r="V30" s="1239" t="inlineStr">
        <is>
          <t>Ruby breaks up</t>
        </is>
      </c>
      <c r="W30" s="1239" t="n"/>
      <c r="X30" s="1236" t="inlineStr">
        <is>
          <t>Jul</t>
        </is>
      </c>
      <c r="Y30" s="18">
        <f>AE29+1</f>
        <v/>
      </c>
      <c r="Z30" s="15">
        <f>Y30+1</f>
        <v/>
      </c>
      <c r="AA30" s="17">
        <f>Z30+1</f>
        <v/>
      </c>
      <c r="AB30" s="15">
        <f>AA30+1</f>
        <v/>
      </c>
      <c r="AC30" s="17">
        <f>AB30+1</f>
        <v/>
      </c>
      <c r="AD30" s="17">
        <f>AC30+1</f>
        <v/>
      </c>
      <c r="AE30" s="17">
        <f>AD30+1</f>
        <v/>
      </c>
    </row>
    <row r="31" ht="18" customHeight="1" s="1232">
      <c r="B31" s="1236" t="inlineStr">
        <is>
          <t>Jul</t>
        </is>
      </c>
      <c r="C31" s="12">
        <f>I30+1</f>
        <v/>
      </c>
      <c r="D31" s="12">
        <f>C31+1</f>
        <v/>
      </c>
      <c r="E31" s="12">
        <f>D31+1</f>
        <v/>
      </c>
      <c r="F31" s="12">
        <f>E31+1</f>
        <v/>
      </c>
      <c r="G31" s="18">
        <f>F31+1</f>
        <v/>
      </c>
      <c r="H31" s="625">
        <f>G31+1</f>
        <v/>
      </c>
      <c r="I31" s="625">
        <f>H31+1</f>
        <v/>
      </c>
      <c r="K31" s="1239" t="n"/>
      <c r="M31" s="1236" t="inlineStr">
        <is>
          <t>Jul</t>
        </is>
      </c>
      <c r="N31" s="15">
        <f>T30+1</f>
        <v/>
      </c>
      <c r="O31" s="15">
        <f>N31+1</f>
        <v/>
      </c>
      <c r="P31" s="15">
        <f>O31+1</f>
        <v/>
      </c>
      <c r="Q31" s="15">
        <f>P31+1</f>
        <v/>
      </c>
      <c r="R31" s="12">
        <f>Q31+1</f>
        <v/>
      </c>
      <c r="S31" s="12">
        <f>R31+1</f>
        <v/>
      </c>
      <c r="T31" s="12">
        <f>S31+1</f>
        <v/>
      </c>
      <c r="V31" s="1239" t="n"/>
      <c r="W31" s="1239" t="n"/>
      <c r="X31" s="1236" t="inlineStr">
        <is>
          <t>Jul</t>
        </is>
      </c>
      <c r="Y31" s="13">
        <f>AE30+1</f>
        <v/>
      </c>
      <c r="Z31" s="15">
        <f>Y31+1</f>
        <v/>
      </c>
      <c r="AA31" s="17">
        <f>Z31+1</f>
        <v/>
      </c>
      <c r="AB31" s="15">
        <f>AA31+1</f>
        <v/>
      </c>
      <c r="AC31" s="12">
        <f>AB31+1</f>
        <v/>
      </c>
      <c r="AD31" s="12">
        <f>AC31+1</f>
        <v/>
      </c>
      <c r="AE31" s="11">
        <f>AD31+1</f>
        <v/>
      </c>
      <c r="AF31" s="1230" t="inlineStr">
        <is>
          <t>Ruby Breaks Up</t>
        </is>
      </c>
    </row>
    <row r="32" ht="18" customHeight="1" s="1232">
      <c r="B32" s="1236" t="inlineStr">
        <is>
          <t>Jul</t>
        </is>
      </c>
      <c r="C32" s="625">
        <f>I31+1</f>
        <v/>
      </c>
      <c r="D32" s="625">
        <f>C32+1</f>
        <v/>
      </c>
      <c r="E32" s="625">
        <f>D32+1</f>
        <v/>
      </c>
      <c r="F32" s="625">
        <f>E32+1</f>
        <v/>
      </c>
      <c r="G32" s="12">
        <f>F32+1</f>
        <v/>
      </c>
      <c r="H32" s="12">
        <f>G32+1</f>
        <v/>
      </c>
      <c r="I32" s="12">
        <f>H32+1</f>
        <v/>
      </c>
      <c r="K32" s="1239" t="n"/>
      <c r="M32" s="1236" t="inlineStr">
        <is>
          <t>Jul</t>
        </is>
      </c>
      <c r="N32" s="12">
        <f>T31+1</f>
        <v/>
      </c>
      <c r="O32" s="12">
        <f>N32+1</f>
        <v/>
      </c>
      <c r="P32" s="12">
        <f>O32+1</f>
        <v/>
      </c>
      <c r="Q32" s="12">
        <f>P32+1</f>
        <v/>
      </c>
      <c r="R32" s="18">
        <f>Q32+1</f>
        <v/>
      </c>
      <c r="S32" s="15">
        <f>R32+1</f>
        <v/>
      </c>
      <c r="T32" s="15">
        <f>S32+1</f>
        <v/>
      </c>
      <c r="V32" s="1239" t="n"/>
      <c r="W32" s="1239" t="n"/>
      <c r="X32" s="1236" t="inlineStr">
        <is>
          <t>Jul</t>
        </is>
      </c>
      <c r="Y32" s="12">
        <f>AE31+1</f>
        <v/>
      </c>
      <c r="Z32" s="12">
        <f>Y32+1</f>
        <v/>
      </c>
      <c r="AA32" s="12">
        <f>Z32+1</f>
        <v/>
      </c>
      <c r="AB32" s="12">
        <f>AA32+1</f>
        <v/>
      </c>
      <c r="AC32" s="18">
        <f>AB32+1</f>
        <v/>
      </c>
      <c r="AD32" s="13">
        <f>AC32+1</f>
        <v/>
      </c>
      <c r="AE32" s="16">
        <f>AD32+1</f>
        <v/>
      </c>
    </row>
    <row r="33" ht="18" customHeight="1" s="1232">
      <c r="B33" s="1240" t="inlineStr">
        <is>
          <t>Jul/Aug</t>
        </is>
      </c>
      <c r="C33" s="12">
        <f>I32+1</f>
        <v/>
      </c>
      <c r="D33" s="12">
        <f>C33+1</f>
        <v/>
      </c>
      <c r="E33" s="12" t="n">
        <v>31</v>
      </c>
      <c r="F33" s="12" t="n">
        <v>1</v>
      </c>
      <c r="G33" s="12">
        <f>F33+1</f>
        <v/>
      </c>
      <c r="H33" s="12">
        <f>G33+1</f>
        <v/>
      </c>
      <c r="I33" s="12">
        <f>H33+1</f>
        <v/>
      </c>
      <c r="K33" s="1239" t="n"/>
      <c r="M33" s="1240" t="inlineStr">
        <is>
          <t>Jul/Aug</t>
        </is>
      </c>
      <c r="N33" s="15">
        <f>T32+1</f>
        <v/>
      </c>
      <c r="O33" s="15">
        <f>N33+1</f>
        <v/>
      </c>
      <c r="P33" s="15" t="n">
        <v>1</v>
      </c>
      <c r="Q33" s="15">
        <f>P33+1</f>
        <v/>
      </c>
      <c r="R33" s="15">
        <f>Q33+1</f>
        <v/>
      </c>
      <c r="S33" s="15">
        <f>R33+1</f>
        <v/>
      </c>
      <c r="T33" s="15">
        <f>S33+1</f>
        <v/>
      </c>
      <c r="V33" s="1239" t="n"/>
      <c r="W33" s="1239" t="n"/>
      <c r="X33" s="1236" t="inlineStr">
        <is>
          <t>Jul</t>
        </is>
      </c>
      <c r="Y33" s="13">
        <f>AE32+1</f>
        <v/>
      </c>
      <c r="Z33" s="13">
        <f>Y33+1</f>
        <v/>
      </c>
      <c r="AA33" s="13">
        <f>Z33+1</f>
        <v/>
      </c>
      <c r="AB33" s="13">
        <f>AA33+1</f>
        <v/>
      </c>
      <c r="AC33" s="12">
        <f>AB33+1</f>
        <v/>
      </c>
      <c r="AD33" s="12">
        <f>AC33+1</f>
        <v/>
      </c>
      <c r="AE33" s="12">
        <f>AD33+1</f>
        <v/>
      </c>
    </row>
    <row r="34" ht="18" customHeight="1" s="1232">
      <c r="B34" s="1236" t="inlineStr">
        <is>
          <t>Aug</t>
        </is>
      </c>
      <c r="C34" s="12">
        <f>I33+1</f>
        <v/>
      </c>
      <c r="D34" s="12">
        <f>C34+1</f>
        <v/>
      </c>
      <c r="E34" s="12">
        <f>D34+1</f>
        <v/>
      </c>
      <c r="F34" s="12">
        <f>E34+1</f>
        <v/>
      </c>
      <c r="G34" s="18">
        <f>F34+1</f>
        <v/>
      </c>
      <c r="H34" s="625">
        <f>G34+1</f>
        <v/>
      </c>
      <c r="I34" s="625">
        <f>H34+1</f>
        <v/>
      </c>
      <c r="K34" s="1239" t="n"/>
      <c r="M34" s="1236" t="inlineStr">
        <is>
          <t>Aug</t>
        </is>
      </c>
      <c r="N34" s="15">
        <f>T33+1</f>
        <v/>
      </c>
      <c r="O34" s="15">
        <f>N34+1</f>
        <v/>
      </c>
      <c r="P34" s="15">
        <f>O34+1</f>
        <v/>
      </c>
      <c r="Q34" s="15">
        <f>P34+1</f>
        <v/>
      </c>
      <c r="R34" s="12">
        <f>Q34+1</f>
        <v/>
      </c>
      <c r="S34" s="12">
        <f>R34+1</f>
        <v/>
      </c>
      <c r="T34" s="12">
        <f>S34+1</f>
        <v/>
      </c>
      <c r="V34" s="1239" t="n"/>
      <c r="W34" s="1239" t="n"/>
      <c r="X34" s="1240" t="inlineStr">
        <is>
          <t>Aug</t>
        </is>
      </c>
      <c r="Y34" s="12" t="n">
        <v>31</v>
      </c>
      <c r="Z34" s="12" t="n">
        <v>1</v>
      </c>
      <c r="AA34" s="12">
        <f>Z34+1</f>
        <v/>
      </c>
      <c r="AB34" s="12">
        <f>AA34+1</f>
        <v/>
      </c>
      <c r="AC34" s="12">
        <f>AB34+1</f>
        <v/>
      </c>
      <c r="AD34" s="12">
        <f>AC34+1</f>
        <v/>
      </c>
      <c r="AE34" s="11">
        <f>AD34+1</f>
        <v/>
      </c>
      <c r="AF34" s="17" t="n"/>
    </row>
    <row r="35" ht="18" customHeight="1" s="1232">
      <c r="B35" s="1236" t="inlineStr">
        <is>
          <t>Aug</t>
        </is>
      </c>
      <c r="C35" s="625">
        <f>I34+1</f>
        <v/>
      </c>
      <c r="D35" s="625">
        <f>C35+1</f>
        <v/>
      </c>
      <c r="E35" s="625">
        <f>D35+1</f>
        <v/>
      </c>
      <c r="F35" s="625">
        <f>E35+1</f>
        <v/>
      </c>
      <c r="G35" s="625">
        <f>F35+1</f>
        <v/>
      </c>
      <c r="H35" s="625">
        <f>G35+1</f>
        <v/>
      </c>
      <c r="I35" s="625">
        <f>H35+1</f>
        <v/>
      </c>
      <c r="K35" s="1239" t="n"/>
      <c r="M35" s="1236" t="inlineStr">
        <is>
          <t>Aug</t>
        </is>
      </c>
      <c r="N35" s="12">
        <f>T34+1</f>
        <v/>
      </c>
      <c r="O35" s="12">
        <f>N35+1</f>
        <v/>
      </c>
      <c r="P35" s="12">
        <f>O35+1</f>
        <v/>
      </c>
      <c r="Q35" s="12">
        <f>P35+1</f>
        <v/>
      </c>
      <c r="R35" s="12">
        <f>Q35+1</f>
        <v/>
      </c>
      <c r="S35" s="12">
        <f>R35+1</f>
        <v/>
      </c>
      <c r="T35" s="12">
        <f>S35+1</f>
        <v/>
      </c>
      <c r="V35" s="1239" t="n"/>
      <c r="W35" s="1239" t="n"/>
      <c r="X35" s="1236" t="inlineStr">
        <is>
          <t>Aug</t>
        </is>
      </c>
      <c r="Y35" s="12">
        <f>AE34+1</f>
        <v/>
      </c>
      <c r="Z35" s="12">
        <f>Y35+1</f>
        <v/>
      </c>
      <c r="AA35" s="12">
        <f>Z35+1</f>
        <v/>
      </c>
      <c r="AB35" s="12">
        <f>AA35+1</f>
        <v/>
      </c>
      <c r="AC35" s="18">
        <f>AB35+1</f>
        <v/>
      </c>
      <c r="AD35" s="13">
        <f>AC35+1</f>
        <v/>
      </c>
      <c r="AE35" s="13">
        <f>AD35+1</f>
        <v/>
      </c>
      <c r="AF35" s="17" t="n"/>
    </row>
    <row r="36" ht="18" customHeight="1" s="1232">
      <c r="B36" s="1236" t="inlineStr">
        <is>
          <t>Aug</t>
        </is>
      </c>
      <c r="C36" s="625">
        <f>I35+1</f>
        <v/>
      </c>
      <c r="D36" s="625">
        <f>C36+1</f>
        <v/>
      </c>
      <c r="E36" s="625">
        <f>D36+1</f>
        <v/>
      </c>
      <c r="F36" s="625">
        <f>E36+1</f>
        <v/>
      </c>
      <c r="G36" s="12">
        <f>F36+1</f>
        <v/>
      </c>
      <c r="H36" s="12">
        <f>G36+1</f>
        <v/>
      </c>
      <c r="I36" s="12">
        <f>H36+1</f>
        <v/>
      </c>
      <c r="K36" s="1242" t="n"/>
      <c r="M36" s="1236" t="inlineStr">
        <is>
          <t>Aug</t>
        </is>
      </c>
      <c r="N36" s="12">
        <f>T35+1</f>
        <v/>
      </c>
      <c r="O36" s="12">
        <f>N36+1</f>
        <v/>
      </c>
      <c r="P36" s="12">
        <f>O36+1</f>
        <v/>
      </c>
      <c r="Q36" s="12">
        <f>P36+1</f>
        <v/>
      </c>
      <c r="R36" s="12">
        <f>Q36+1</f>
        <v/>
      </c>
      <c r="S36" s="12">
        <f>R36+1</f>
        <v/>
      </c>
      <c r="T36" s="12">
        <f>S36+1</f>
        <v/>
      </c>
      <c r="V36" s="1242" t="n"/>
      <c r="W36" s="1239" t="n"/>
      <c r="X36" s="1236" t="inlineStr">
        <is>
          <t>Aug</t>
        </is>
      </c>
      <c r="Y36" s="13">
        <f>AE35+1</f>
        <v/>
      </c>
      <c r="Z36" s="13">
        <f>Y36+1</f>
        <v/>
      </c>
      <c r="AA36" s="13">
        <f>Z36+1</f>
        <v/>
      </c>
      <c r="AB36" s="13">
        <f>AA36+1</f>
        <v/>
      </c>
      <c r="AC36" s="13">
        <f>AB36+1</f>
        <v/>
      </c>
      <c r="AD36" s="13">
        <f>AC36+1</f>
        <v/>
      </c>
      <c r="AE36" s="16">
        <f>AD36+1</f>
        <v/>
      </c>
      <c r="AF36" s="17" t="n"/>
    </row>
    <row r="37" ht="18" customHeight="1" s="1232">
      <c r="B37" s="1243" t="inlineStr">
        <is>
          <t>Aug/Sep</t>
        </is>
      </c>
      <c r="C37" s="670">
        <f>I36+1</f>
        <v/>
      </c>
      <c r="D37" s="18">
        <f>C37+1</f>
        <v/>
      </c>
      <c r="E37" s="625">
        <f>D37+1</f>
        <v/>
      </c>
      <c r="F37" s="670">
        <f>E37+1</f>
        <v/>
      </c>
      <c r="G37" s="625">
        <f>F37+1</f>
        <v/>
      </c>
      <c r="H37" s="625" t="n">
        <v>31</v>
      </c>
      <c r="I37" s="625" t="n">
        <v>1</v>
      </c>
      <c r="K37" s="1239" t="inlineStr">
        <is>
          <t>Ruby school 29th Aug</t>
        </is>
      </c>
      <c r="M37" s="1243" t="inlineStr">
        <is>
          <t>Aug/Sep</t>
        </is>
      </c>
      <c r="N37" s="18">
        <f>T36+1</f>
        <v/>
      </c>
      <c r="O37" s="670">
        <f>N37+1</f>
        <v/>
      </c>
      <c r="P37" s="13">
        <f>O37+1</f>
        <v/>
      </c>
      <c r="Q37" s="13">
        <f>P37+1</f>
        <v/>
      </c>
      <c r="R37" s="13">
        <f>Q37+1</f>
        <v/>
      </c>
      <c r="S37" s="13" t="n">
        <v>1</v>
      </c>
      <c r="T37" s="13">
        <f>S37+1</f>
        <v/>
      </c>
      <c r="V37" s="1239" t="inlineStr">
        <is>
          <t>Ruby school 28th Aug</t>
        </is>
      </c>
      <c r="W37" s="1239" t="n"/>
      <c r="X37" s="1236" t="inlineStr">
        <is>
          <t>Aug</t>
        </is>
      </c>
      <c r="Y37" s="13">
        <f>AE36+1</f>
        <v/>
      </c>
      <c r="Z37" s="13">
        <f>Y37+1</f>
        <v/>
      </c>
      <c r="AA37" s="13">
        <f>Z37+1</f>
        <v/>
      </c>
      <c r="AB37" s="15">
        <f>AA37+1</f>
        <v/>
      </c>
      <c r="AC37" s="12">
        <f>AB37+1</f>
        <v/>
      </c>
      <c r="AD37" s="12">
        <f>AC37+1</f>
        <v/>
      </c>
      <c r="AE37" s="12">
        <f>AD37+1</f>
        <v/>
      </c>
    </row>
    <row r="38" ht="18" customHeight="1" s="1232">
      <c r="B38" s="1236" t="inlineStr">
        <is>
          <t>Sep</t>
        </is>
      </c>
      <c r="C38" s="624">
        <f>I37+1</f>
        <v/>
      </c>
      <c r="D38" s="624">
        <f>C38+1</f>
        <v/>
      </c>
      <c r="E38" s="624">
        <f>D38+1</f>
        <v/>
      </c>
      <c r="F38" s="624">
        <f>E38+1</f>
        <v/>
      </c>
      <c r="G38" s="12">
        <f>F38+1</f>
        <v/>
      </c>
      <c r="H38" s="12">
        <f>G38+1</f>
        <v/>
      </c>
      <c r="I38" s="12">
        <f>H38+1</f>
        <v/>
      </c>
      <c r="M38" s="1236" t="inlineStr">
        <is>
          <t>Sep</t>
        </is>
      </c>
      <c r="N38" s="15">
        <f>T37+1</f>
        <v/>
      </c>
      <c r="O38" s="15">
        <f>N38+1</f>
        <v/>
      </c>
      <c r="P38" s="15">
        <f>O38+1</f>
        <v/>
      </c>
      <c r="Q38" s="15">
        <f>P38+1</f>
        <v/>
      </c>
      <c r="R38" s="12">
        <f>Q38+1</f>
        <v/>
      </c>
      <c r="S38" s="12">
        <f>R38+1</f>
        <v/>
      </c>
      <c r="T38" s="12">
        <f>S38+1</f>
        <v/>
      </c>
      <c r="W38" s="1239" t="n"/>
      <c r="X38" s="1243" t="inlineStr">
        <is>
          <t>Aug/Sep</t>
        </is>
      </c>
      <c r="Y38" s="12">
        <f>AE37+1</f>
        <v/>
      </c>
      <c r="Z38" s="18">
        <f>Y38+1</f>
        <v/>
      </c>
      <c r="AA38" s="13">
        <f>Z38+1</f>
        <v/>
      </c>
      <c r="AB38" s="15" t="n">
        <v>31</v>
      </c>
      <c r="AC38" s="17" t="n">
        <v>1</v>
      </c>
      <c r="AD38" s="17">
        <f>AC38+1</f>
        <v/>
      </c>
      <c r="AE38" s="17">
        <f>AD38+1</f>
        <v/>
      </c>
    </row>
    <row r="39" ht="18" customHeight="1" s="1232">
      <c r="B39" s="1236" t="inlineStr">
        <is>
          <t>Sep</t>
        </is>
      </c>
      <c r="C39" s="18">
        <f>I38+1</f>
        <v/>
      </c>
      <c r="D39" s="624">
        <f>C39+1</f>
        <v/>
      </c>
      <c r="E39" s="624">
        <f>D39+1</f>
        <v/>
      </c>
      <c r="F39" s="624">
        <f>E39+1</f>
        <v/>
      </c>
      <c r="G39" s="624">
        <f>F39+1</f>
        <v/>
      </c>
      <c r="H39" s="624">
        <f>G39+1</f>
        <v/>
      </c>
      <c r="I39" s="624">
        <f>H39+1</f>
        <v/>
      </c>
      <c r="K39" s="1239" t="n"/>
      <c r="M39" s="1236" t="inlineStr">
        <is>
          <t>Sep</t>
        </is>
      </c>
      <c r="N39" s="18">
        <f>T38+1</f>
        <v/>
      </c>
      <c r="O39" s="15">
        <f>N39+1</f>
        <v/>
      </c>
      <c r="P39" s="15">
        <f>O39+1</f>
        <v/>
      </c>
      <c r="Q39" s="15">
        <f>P39+1</f>
        <v/>
      </c>
      <c r="R39" s="15">
        <f>Q39+1</f>
        <v/>
      </c>
      <c r="S39" s="15">
        <f>R39+1</f>
        <v/>
      </c>
      <c r="T39" s="15">
        <f>S39+1</f>
        <v/>
      </c>
      <c r="V39" s="1239" t="n"/>
      <c r="W39" s="1239" t="n"/>
      <c r="X39" s="1236" t="inlineStr">
        <is>
          <t>Sep</t>
        </is>
      </c>
      <c r="Y39" s="15">
        <f>AE38+1</f>
        <v/>
      </c>
      <c r="Z39" s="15">
        <f>Y39+1</f>
        <v/>
      </c>
      <c r="AA39" s="13">
        <f>Z39+1</f>
        <v/>
      </c>
      <c r="AB39" s="15">
        <f>AA39+1</f>
        <v/>
      </c>
      <c r="AC39" s="12">
        <f>AB39+1</f>
        <v/>
      </c>
      <c r="AD39" s="12">
        <f>AC39+1</f>
        <v/>
      </c>
      <c r="AE39" s="11">
        <f>AD39+1</f>
        <v/>
      </c>
    </row>
    <row r="40" ht="18" customHeight="1" s="1232">
      <c r="B40" s="1236" t="inlineStr">
        <is>
          <t>Sep</t>
        </is>
      </c>
      <c r="C40" s="624">
        <f>I39+1</f>
        <v/>
      </c>
      <c r="D40" s="624">
        <f>C40+1</f>
        <v/>
      </c>
      <c r="E40" s="624">
        <f>D40+1</f>
        <v/>
      </c>
      <c r="F40" s="624">
        <f>E40+1</f>
        <v/>
      </c>
      <c r="G40" s="12">
        <f>F40+1</f>
        <v/>
      </c>
      <c r="H40" s="12">
        <f>G40+1</f>
        <v/>
      </c>
      <c r="I40" s="12">
        <f>H40+1</f>
        <v/>
      </c>
      <c r="K40" s="1239" t="n"/>
      <c r="M40" s="1236" t="inlineStr">
        <is>
          <t>Sep</t>
        </is>
      </c>
      <c r="N40" s="15">
        <f>T39+1</f>
        <v/>
      </c>
      <c r="O40" s="15">
        <f>N40+1</f>
        <v/>
      </c>
      <c r="P40" s="15">
        <f>O40+1</f>
        <v/>
      </c>
      <c r="Q40" s="15">
        <f>P40+1</f>
        <v/>
      </c>
      <c r="R40" s="12">
        <f>Q40+1</f>
        <v/>
      </c>
      <c r="S40" s="12">
        <f>R40+1</f>
        <v/>
      </c>
      <c r="T40" s="12">
        <f>S40+1</f>
        <v/>
      </c>
      <c r="V40" s="1239" t="n"/>
      <c r="W40" s="1239" t="n"/>
      <c r="X40" s="1236" t="inlineStr">
        <is>
          <t>Sep</t>
        </is>
      </c>
      <c r="Y40" s="18">
        <f>AE39+1</f>
        <v/>
      </c>
      <c r="Z40" s="15">
        <f>Y40+1</f>
        <v/>
      </c>
      <c r="AA40" s="17">
        <f>Z40+1</f>
        <v/>
      </c>
      <c r="AB40" s="15">
        <f>AA40+1</f>
        <v/>
      </c>
      <c r="AC40" s="17">
        <f>AB40+1</f>
        <v/>
      </c>
      <c r="AD40" s="17">
        <f>AC40+1</f>
        <v/>
      </c>
      <c r="AE40" s="17">
        <f>AD40+1</f>
        <v/>
      </c>
    </row>
    <row r="41" ht="18" customHeight="1" s="1232">
      <c r="B41" s="1236" t="inlineStr">
        <is>
          <t>Sep</t>
        </is>
      </c>
      <c r="C41" s="18">
        <f>I40+1</f>
        <v/>
      </c>
      <c r="D41" s="624">
        <f>C41+1</f>
        <v/>
      </c>
      <c r="E41" s="624">
        <f>D41+1</f>
        <v/>
      </c>
      <c r="F41" s="624">
        <f>E41+1</f>
        <v/>
      </c>
      <c r="G41" s="624">
        <f>F41+1</f>
        <v/>
      </c>
      <c r="H41" s="624">
        <f>G41+1</f>
        <v/>
      </c>
      <c r="I41" s="624">
        <f>H41+1</f>
        <v/>
      </c>
      <c r="K41" s="1239" t="n"/>
      <c r="M41" s="1236" t="inlineStr">
        <is>
          <t>Sep</t>
        </is>
      </c>
      <c r="N41" s="18">
        <f>T40+1</f>
        <v/>
      </c>
      <c r="O41" s="15">
        <f>N41+1</f>
        <v/>
      </c>
      <c r="P41" s="15">
        <f>O41+1</f>
        <v/>
      </c>
      <c r="Q41" s="15">
        <f>P41+1</f>
        <v/>
      </c>
      <c r="R41" s="15">
        <f>Q41+1</f>
        <v/>
      </c>
      <c r="S41" s="15">
        <f>R41+1</f>
        <v/>
      </c>
      <c r="T41" s="15">
        <f>S41+1</f>
        <v/>
      </c>
      <c r="V41" s="1239" t="n"/>
      <c r="W41" s="1239" t="n"/>
      <c r="X41" s="1236" t="inlineStr">
        <is>
          <t>Sep</t>
        </is>
      </c>
      <c r="Y41" s="15">
        <f>AE40+1</f>
        <v/>
      </c>
      <c r="Z41" s="15">
        <f>Y41+1</f>
        <v/>
      </c>
      <c r="AA41" s="13">
        <f>Z41+1</f>
        <v/>
      </c>
      <c r="AB41" s="15">
        <f>AA41+1</f>
        <v/>
      </c>
      <c r="AC41" s="12">
        <f>AB41+1</f>
        <v/>
      </c>
      <c r="AD41" s="12">
        <f>AC41+1</f>
        <v/>
      </c>
      <c r="AE41" s="11">
        <f>AD41+1</f>
        <v/>
      </c>
    </row>
    <row r="42" ht="18" customHeight="1" s="1232">
      <c r="B42" s="1240" t="inlineStr">
        <is>
          <t>Oct</t>
        </is>
      </c>
      <c r="C42" s="624" t="n">
        <v>30</v>
      </c>
      <c r="D42" s="624" t="n">
        <v>1</v>
      </c>
      <c r="E42" s="624">
        <f>D42+1</f>
        <v/>
      </c>
      <c r="F42" s="624">
        <f>E42+1</f>
        <v/>
      </c>
      <c r="G42" s="12">
        <f>F42+1</f>
        <v/>
      </c>
      <c r="H42" s="12">
        <f>G42+1</f>
        <v/>
      </c>
      <c r="I42" s="12">
        <f>H42+1</f>
        <v/>
      </c>
      <c r="K42" s="1239" t="n"/>
      <c r="M42" s="1240" t="inlineStr">
        <is>
          <t>Oct</t>
        </is>
      </c>
      <c r="N42" s="15" t="n">
        <v>1</v>
      </c>
      <c r="O42" s="15">
        <f>N42+1</f>
        <v/>
      </c>
      <c r="P42" s="15">
        <f>O42+1</f>
        <v/>
      </c>
      <c r="Q42" s="15">
        <f>P42+1</f>
        <v/>
      </c>
      <c r="R42" s="12">
        <f>Q42+1</f>
        <v/>
      </c>
      <c r="S42" s="12">
        <f>R42+1</f>
        <v/>
      </c>
      <c r="T42" s="12">
        <f>S42+1</f>
        <v/>
      </c>
      <c r="V42" s="1239" t="n"/>
      <c r="W42" s="1239" t="n"/>
      <c r="X42" s="1240" t="inlineStr">
        <is>
          <t>Sep/Oct</t>
        </is>
      </c>
      <c r="Y42" s="18">
        <f>AE41+1</f>
        <v/>
      </c>
      <c r="Z42" s="15">
        <f>Y42+1</f>
        <v/>
      </c>
      <c r="AA42" s="15">
        <f>Z42+1</f>
        <v/>
      </c>
      <c r="AB42" s="15">
        <f>AA42+1</f>
        <v/>
      </c>
      <c r="AC42" s="17">
        <f>AB42+1</f>
        <v/>
      </c>
      <c r="AD42" s="17" t="n">
        <v>30</v>
      </c>
      <c r="AE42" s="17" t="n">
        <v>1</v>
      </c>
    </row>
    <row r="43" ht="18" customHeight="1" s="1232">
      <c r="B43" s="1236" t="inlineStr">
        <is>
          <t>Oct</t>
        </is>
      </c>
      <c r="C43" s="18">
        <f>I42+1</f>
        <v/>
      </c>
      <c r="D43" s="624">
        <f>C43+1</f>
        <v/>
      </c>
      <c r="E43" s="624">
        <f>D43+1</f>
        <v/>
      </c>
      <c r="F43" s="624">
        <f>E43+1</f>
        <v/>
      </c>
      <c r="G43" s="624">
        <f>F43+1</f>
        <v/>
      </c>
      <c r="H43" s="624">
        <f>G43+1</f>
        <v/>
      </c>
      <c r="I43" s="624">
        <f>H43+1</f>
        <v/>
      </c>
      <c r="K43" s="1239" t="n"/>
      <c r="M43" s="1236" t="inlineStr">
        <is>
          <t>Oct</t>
        </is>
      </c>
      <c r="N43" s="18">
        <f>T42+1</f>
        <v/>
      </c>
      <c r="O43" s="15">
        <f>N43+1</f>
        <v/>
      </c>
      <c r="P43" s="15">
        <f>O43+1</f>
        <v/>
      </c>
      <c r="Q43" s="15">
        <f>P43+1</f>
        <v/>
      </c>
      <c r="R43" s="15">
        <f>Q43+1</f>
        <v/>
      </c>
      <c r="S43" s="15">
        <f>R43+1</f>
        <v/>
      </c>
      <c r="T43" s="15">
        <f>S43+1</f>
        <v/>
      </c>
      <c r="V43" s="1239" t="n"/>
      <c r="W43" s="1239" t="n"/>
      <c r="X43" s="1236" t="inlineStr">
        <is>
          <t>Oct</t>
        </is>
      </c>
      <c r="Y43" s="15">
        <f>AE42+1</f>
        <v/>
      </c>
      <c r="Z43" s="15">
        <f>Y43+1</f>
        <v/>
      </c>
      <c r="AA43" s="13">
        <f>Z43+1</f>
        <v/>
      </c>
      <c r="AB43" s="15">
        <f>AA43+1</f>
        <v/>
      </c>
      <c r="AC43" s="12">
        <f>AB43+1</f>
        <v/>
      </c>
      <c r="AD43" s="12">
        <f>AC43+1</f>
        <v/>
      </c>
      <c r="AE43" s="11">
        <f>AD43+1</f>
        <v/>
      </c>
    </row>
    <row r="44" ht="18" customHeight="1" s="1232">
      <c r="B44" s="1236" t="inlineStr">
        <is>
          <t>Oct</t>
        </is>
      </c>
      <c r="C44" s="624">
        <f>I43+1</f>
        <v/>
      </c>
      <c r="D44" s="624">
        <f>C44+1</f>
        <v/>
      </c>
      <c r="E44" s="12">
        <f>D44+1</f>
        <v/>
      </c>
      <c r="F44" s="12">
        <f>E44+1</f>
        <v/>
      </c>
      <c r="G44" s="12">
        <f>F44+1</f>
        <v/>
      </c>
      <c r="H44" s="12">
        <f>G44+1</f>
        <v/>
      </c>
      <c r="I44" s="12">
        <f>H44+1</f>
        <v/>
      </c>
      <c r="K44" s="1239" t="inlineStr">
        <is>
          <t>Half Term</t>
        </is>
      </c>
      <c r="M44" s="1236" t="inlineStr">
        <is>
          <t>Oct</t>
        </is>
      </c>
      <c r="N44" s="15">
        <f>T43+1</f>
        <v/>
      </c>
      <c r="O44" s="15">
        <f>N44+1</f>
        <v/>
      </c>
      <c r="P44" s="12">
        <f>O44+1</f>
        <v/>
      </c>
      <c r="Q44" s="12">
        <f>P44+1</f>
        <v/>
      </c>
      <c r="R44" s="12">
        <f>Q44+1</f>
        <v/>
      </c>
      <c r="S44" s="12">
        <f>R44+1</f>
        <v/>
      </c>
      <c r="T44" s="12">
        <f>S44+1</f>
        <v/>
      </c>
      <c r="V44" s="1239" t="inlineStr">
        <is>
          <t>Half Term</t>
        </is>
      </c>
      <c r="W44" s="1239" t="n"/>
      <c r="X44" s="1236" t="inlineStr">
        <is>
          <t>Oct</t>
        </is>
      </c>
      <c r="Y44" s="18">
        <f>AE43+1</f>
        <v/>
      </c>
      <c r="Z44" s="15">
        <f>Y44+1</f>
        <v/>
      </c>
      <c r="AA44" s="17">
        <f>Z44+1</f>
        <v/>
      </c>
      <c r="AB44" s="15">
        <f>AA44+1</f>
        <v/>
      </c>
      <c r="AC44" s="17">
        <f>AB44+1</f>
        <v/>
      </c>
      <c r="AD44" s="17">
        <f>AC44+1</f>
        <v/>
      </c>
      <c r="AE44" s="17">
        <f>AD44+1</f>
        <v/>
      </c>
    </row>
    <row r="45" ht="18" customHeight="1" s="1232">
      <c r="B45" s="1236" t="inlineStr">
        <is>
          <t>Oct</t>
        </is>
      </c>
      <c r="C45" s="18">
        <f>I44+1</f>
        <v/>
      </c>
      <c r="D45" s="624">
        <f>C45+1</f>
        <v/>
      </c>
      <c r="E45" s="624">
        <f>D45+1</f>
        <v/>
      </c>
      <c r="F45" s="624">
        <f>E45+1</f>
        <v/>
      </c>
      <c r="G45" s="624">
        <f>F45+1</f>
        <v/>
      </c>
      <c r="H45" s="624">
        <f>G45+1</f>
        <v/>
      </c>
      <c r="I45" s="624">
        <f>H45+1</f>
        <v/>
      </c>
      <c r="K45" s="1239" t="n"/>
      <c r="M45" s="1236" t="inlineStr">
        <is>
          <t>Oct</t>
        </is>
      </c>
      <c r="N45" s="18">
        <f>T44+1</f>
        <v/>
      </c>
      <c r="O45" s="15">
        <f>N45+1</f>
        <v/>
      </c>
      <c r="P45" s="15">
        <f>O45+1</f>
        <v/>
      </c>
      <c r="Q45" s="15">
        <f>P45+1</f>
        <v/>
      </c>
      <c r="R45" s="15">
        <f>Q45+1</f>
        <v/>
      </c>
      <c r="S45" s="15">
        <f>R45+1</f>
        <v/>
      </c>
      <c r="T45" s="15">
        <f>S45+1</f>
        <v/>
      </c>
      <c r="V45" s="1239" t="n"/>
      <c r="W45" s="1239" t="n"/>
      <c r="X45" s="1236" t="inlineStr">
        <is>
          <t>Oct</t>
        </is>
      </c>
      <c r="Y45" s="17">
        <f>AE44+1</f>
        <v/>
      </c>
      <c r="Z45" s="15">
        <f>Y45+1</f>
        <v/>
      </c>
      <c r="AA45" s="12">
        <f>Z45+1</f>
        <v/>
      </c>
      <c r="AB45" s="12">
        <f>AA45+1</f>
        <v/>
      </c>
      <c r="AC45" s="12">
        <f>AB45+1</f>
        <v/>
      </c>
      <c r="AD45" s="12">
        <f>AC45+1</f>
        <v/>
      </c>
      <c r="AE45" s="11">
        <f>AD45+1</f>
        <v/>
      </c>
      <c r="AF45" s="1230" t="inlineStr">
        <is>
          <t>Half Term</t>
        </is>
      </c>
    </row>
    <row r="46" ht="18" customHeight="1" s="1232">
      <c r="B46" s="1240" t="inlineStr">
        <is>
          <t>Oct/Nov</t>
        </is>
      </c>
      <c r="C46" s="624">
        <f>I45+1</f>
        <v/>
      </c>
      <c r="D46" s="624">
        <f>C46+1</f>
        <v/>
      </c>
      <c r="E46" s="624">
        <f>D46+1</f>
        <v/>
      </c>
      <c r="F46" s="624" t="n">
        <v>31</v>
      </c>
      <c r="G46" s="12" t="n">
        <v>1</v>
      </c>
      <c r="H46" s="12">
        <f>G46+1</f>
        <v/>
      </c>
      <c r="I46" s="12">
        <f>H46+1</f>
        <v/>
      </c>
      <c r="K46" s="1239" t="n"/>
      <c r="M46" s="1240" t="inlineStr">
        <is>
          <t>Oct/Nov</t>
        </is>
      </c>
      <c r="N46" s="15">
        <f>T45+1</f>
        <v/>
      </c>
      <c r="O46" s="15">
        <f>N46+1</f>
        <v/>
      </c>
      <c r="P46" s="15">
        <f>O46+1</f>
        <v/>
      </c>
      <c r="Q46" s="15" t="n">
        <v>1</v>
      </c>
      <c r="R46" s="12">
        <f>Q46+1</f>
        <v/>
      </c>
      <c r="S46" s="12">
        <f>R46+1</f>
        <v/>
      </c>
      <c r="T46" s="12">
        <f>S46+1</f>
        <v/>
      </c>
      <c r="V46" s="1239" t="n"/>
      <c r="W46" s="1239" t="n"/>
      <c r="X46" s="1240" t="inlineStr">
        <is>
          <t>Oct/Nov</t>
        </is>
      </c>
      <c r="Y46" s="18">
        <f>AE45+1</f>
        <v/>
      </c>
      <c r="Z46" s="17">
        <f>Y46+1</f>
        <v/>
      </c>
      <c r="AA46" s="17">
        <f>Z46+1</f>
        <v/>
      </c>
      <c r="AB46" s="15">
        <f>AA46+1</f>
        <v/>
      </c>
      <c r="AC46" s="17">
        <f>AB46+1</f>
        <v/>
      </c>
      <c r="AD46" s="17">
        <f>AC46+1</f>
        <v/>
      </c>
      <c r="AE46" s="17">
        <f>AD46+1</f>
        <v/>
      </c>
    </row>
    <row r="47" ht="18" customHeight="1" s="1232">
      <c r="B47" s="1236" t="inlineStr">
        <is>
          <t>Nov</t>
        </is>
      </c>
      <c r="C47" s="18">
        <f>I46+1</f>
        <v/>
      </c>
      <c r="D47" s="624">
        <f>C47+1</f>
        <v/>
      </c>
      <c r="E47" s="624">
        <f>D47+1</f>
        <v/>
      </c>
      <c r="F47" s="624">
        <f>E47+1</f>
        <v/>
      </c>
      <c r="G47" s="624">
        <f>F47+1</f>
        <v/>
      </c>
      <c r="H47" s="624">
        <f>G47+1</f>
        <v/>
      </c>
      <c r="I47" s="624">
        <f>H47+1</f>
        <v/>
      </c>
      <c r="K47" s="1239" t="n"/>
      <c r="M47" s="1236" t="inlineStr">
        <is>
          <t>Nov</t>
        </is>
      </c>
      <c r="N47" s="18">
        <f>T46+1</f>
        <v/>
      </c>
      <c r="O47" s="15">
        <f>N47+1</f>
        <v/>
      </c>
      <c r="P47" s="15">
        <f>O47+1</f>
        <v/>
      </c>
      <c r="Q47" s="15">
        <f>P47+1</f>
        <v/>
      </c>
      <c r="R47" s="15">
        <f>Q47+1</f>
        <v/>
      </c>
      <c r="S47" s="15">
        <f>R47+1</f>
        <v/>
      </c>
      <c r="T47" s="15">
        <f>S47+1</f>
        <v/>
      </c>
      <c r="V47" s="1239" t="n"/>
      <c r="W47" s="1239" t="n"/>
      <c r="X47" s="1236" t="inlineStr">
        <is>
          <t>Nov</t>
        </is>
      </c>
      <c r="Y47" s="17">
        <f>AE46+1</f>
        <v/>
      </c>
      <c r="Z47" s="17" t="n">
        <v>31</v>
      </c>
      <c r="AA47" s="17" t="n">
        <v>1</v>
      </c>
      <c r="AB47" s="15">
        <f>AA47+1</f>
        <v/>
      </c>
      <c r="AC47" s="12">
        <f>AB47+1</f>
        <v/>
      </c>
      <c r="AD47" s="12">
        <f>AC47+1</f>
        <v/>
      </c>
      <c r="AE47" s="11">
        <f>AD47+1</f>
        <v/>
      </c>
    </row>
    <row r="48" ht="18" customHeight="1" s="1232">
      <c r="B48" s="1236" t="inlineStr">
        <is>
          <t>Nov</t>
        </is>
      </c>
      <c r="C48" s="624">
        <f>I47+1</f>
        <v/>
      </c>
      <c r="D48" s="624">
        <f>C48+1</f>
        <v/>
      </c>
      <c r="E48" s="624">
        <f>D48+1</f>
        <v/>
      </c>
      <c r="F48" s="624">
        <f>E48+1</f>
        <v/>
      </c>
      <c r="G48" s="12">
        <f>F48+1</f>
        <v/>
      </c>
      <c r="H48" s="12">
        <f>G48+1</f>
        <v/>
      </c>
      <c r="I48" s="12">
        <f>H48+1</f>
        <v/>
      </c>
      <c r="K48" s="1239" t="n"/>
      <c r="M48" s="1236" t="inlineStr">
        <is>
          <t>Nov</t>
        </is>
      </c>
      <c r="N48" s="15">
        <f>T47+1</f>
        <v/>
      </c>
      <c r="O48" s="15">
        <f>N48+1</f>
        <v/>
      </c>
      <c r="P48" s="15">
        <f>O48+1</f>
        <v/>
      </c>
      <c r="Q48" s="15">
        <f>P48+1</f>
        <v/>
      </c>
      <c r="R48" s="12">
        <f>Q48+1</f>
        <v/>
      </c>
      <c r="S48" s="12">
        <f>R48+1</f>
        <v/>
      </c>
      <c r="T48" s="12">
        <f>S48+1</f>
        <v/>
      </c>
      <c r="V48" s="1239" t="n"/>
      <c r="W48" s="1239" t="n"/>
      <c r="X48" s="1236" t="inlineStr">
        <is>
          <t>Nov</t>
        </is>
      </c>
      <c r="Y48" s="18">
        <f>AE47+1</f>
        <v/>
      </c>
      <c r="Z48" s="15">
        <f>Y48+1</f>
        <v/>
      </c>
      <c r="AA48" s="17">
        <f>Z48+1</f>
        <v/>
      </c>
      <c r="AB48" s="15">
        <f>AA48+1</f>
        <v/>
      </c>
      <c r="AC48" s="17">
        <f>AB48+1</f>
        <v/>
      </c>
      <c r="AD48" s="17">
        <f>AC48+1</f>
        <v/>
      </c>
      <c r="AE48" s="17">
        <f>AD48+1</f>
        <v/>
      </c>
    </row>
    <row r="49" ht="18" customHeight="1" s="1232">
      <c r="B49" s="1236" t="inlineStr">
        <is>
          <t>Nov</t>
        </is>
      </c>
      <c r="C49" s="18">
        <f>I48+1</f>
        <v/>
      </c>
      <c r="D49" s="624">
        <f>C49+1</f>
        <v/>
      </c>
      <c r="E49" s="624">
        <f>D49+1</f>
        <v/>
      </c>
      <c r="F49" s="624">
        <f>E49+1</f>
        <v/>
      </c>
      <c r="G49" s="624">
        <f>F49+1</f>
        <v/>
      </c>
      <c r="H49" s="624">
        <f>G49+1</f>
        <v/>
      </c>
      <c r="I49" s="624">
        <f>H49+1</f>
        <v/>
      </c>
      <c r="K49" s="1239" t="n"/>
      <c r="M49" s="1236" t="inlineStr">
        <is>
          <t>Nov</t>
        </is>
      </c>
      <c r="N49" s="18">
        <f>T48+1</f>
        <v/>
      </c>
      <c r="O49" s="15">
        <f>N49+1</f>
        <v/>
      </c>
      <c r="P49" s="15">
        <f>O49+1</f>
        <v/>
      </c>
      <c r="Q49" s="15">
        <f>P49+1</f>
        <v/>
      </c>
      <c r="R49" s="15">
        <f>Q49+1</f>
        <v/>
      </c>
      <c r="S49" s="15">
        <f>R49+1</f>
        <v/>
      </c>
      <c r="T49" s="15">
        <f>S49+1</f>
        <v/>
      </c>
      <c r="V49" s="1239" t="n"/>
      <c r="W49" s="1239" t="n"/>
      <c r="X49" s="1236" t="inlineStr">
        <is>
          <t>Nov</t>
        </is>
      </c>
      <c r="Y49" s="15">
        <f>AE48+1</f>
        <v/>
      </c>
      <c r="Z49" s="15">
        <f>Y49+1</f>
        <v/>
      </c>
      <c r="AA49" s="15">
        <f>Z49+1</f>
        <v/>
      </c>
      <c r="AB49" s="15">
        <f>AA49+1</f>
        <v/>
      </c>
      <c r="AC49" s="12">
        <f>AB49+1</f>
        <v/>
      </c>
      <c r="AD49" s="12">
        <f>AC49+1</f>
        <v/>
      </c>
      <c r="AE49" s="11">
        <f>AD49+1</f>
        <v/>
      </c>
    </row>
    <row r="50" ht="18" customHeight="1" s="1232">
      <c r="B50" s="1240" t="inlineStr">
        <is>
          <t>Nov/Dec</t>
        </is>
      </c>
      <c r="C50" s="624">
        <f>I49+1</f>
        <v/>
      </c>
      <c r="D50" s="624">
        <f>C50+1</f>
        <v/>
      </c>
      <c r="E50" s="624">
        <f>D50+1</f>
        <v/>
      </c>
      <c r="F50" s="624">
        <f>E50+1</f>
        <v/>
      </c>
      <c r="G50" s="12">
        <f>F50+1</f>
        <v/>
      </c>
      <c r="H50" s="12" t="n">
        <v>30</v>
      </c>
      <c r="I50" s="12" t="n">
        <v>1</v>
      </c>
      <c r="K50" s="1239" t="n"/>
      <c r="M50" s="1240" t="inlineStr">
        <is>
          <t>Nov/Dec</t>
        </is>
      </c>
      <c r="N50" s="15">
        <f>T49+1</f>
        <v/>
      </c>
      <c r="O50" s="15">
        <f>N50+1</f>
        <v/>
      </c>
      <c r="P50" s="15">
        <f>O50+1</f>
        <v/>
      </c>
      <c r="Q50" s="15">
        <f>P50+1</f>
        <v/>
      </c>
      <c r="R50" s="12">
        <f>Q50+1</f>
        <v/>
      </c>
      <c r="S50" s="12" t="n">
        <v>1</v>
      </c>
      <c r="T50" s="12">
        <f>S50+1</f>
        <v/>
      </c>
      <c r="V50" s="1239" t="n"/>
      <c r="W50" s="1239" t="n"/>
      <c r="X50" s="1236" t="inlineStr">
        <is>
          <t>Nov</t>
        </is>
      </c>
      <c r="Y50" s="18">
        <f>AE49+1</f>
        <v/>
      </c>
      <c r="Z50" s="15">
        <f>Y50+1</f>
        <v/>
      </c>
      <c r="AA50" s="17">
        <f>Z50+1</f>
        <v/>
      </c>
      <c r="AB50" s="15">
        <f>AA50+1</f>
        <v/>
      </c>
      <c r="AC50" s="17">
        <f>AB50+1</f>
        <v/>
      </c>
      <c r="AD50" s="17">
        <f>AC50+1</f>
        <v/>
      </c>
      <c r="AE50" s="17">
        <f>AD50+1</f>
        <v/>
      </c>
    </row>
    <row r="51" ht="18" customHeight="1" s="1232">
      <c r="B51" s="1236" t="inlineStr">
        <is>
          <t>Dec</t>
        </is>
      </c>
      <c r="C51" s="18">
        <f>I50+1</f>
        <v/>
      </c>
      <c r="D51" s="624">
        <f>C51+1</f>
        <v/>
      </c>
      <c r="E51" s="624">
        <f>D51+1</f>
        <v/>
      </c>
      <c r="F51" s="624">
        <f>E51+1</f>
        <v/>
      </c>
      <c r="G51" s="624">
        <f>F51+1</f>
        <v/>
      </c>
      <c r="H51" s="624">
        <f>G51+1</f>
        <v/>
      </c>
      <c r="I51" s="624">
        <f>H51+1</f>
        <v/>
      </c>
      <c r="K51" s="1239" t="n"/>
      <c r="M51" s="1236" t="inlineStr">
        <is>
          <t>Dec</t>
        </is>
      </c>
      <c r="N51" s="18">
        <f>T50+1</f>
        <v/>
      </c>
      <c r="O51" s="15">
        <f>N51+1</f>
        <v/>
      </c>
      <c r="P51" s="15">
        <f>O51+1</f>
        <v/>
      </c>
      <c r="Q51" s="15">
        <f>P51+1</f>
        <v/>
      </c>
      <c r="R51" s="15">
        <f>Q51+1</f>
        <v/>
      </c>
      <c r="S51" s="15">
        <f>R51+1</f>
        <v/>
      </c>
      <c r="T51" s="15">
        <f>S51+1</f>
        <v/>
      </c>
      <c r="V51" s="1239" t="n"/>
      <c r="W51" s="1239" t="n"/>
      <c r="X51" s="1240" t="inlineStr">
        <is>
          <t>Nov/Dec</t>
        </is>
      </c>
      <c r="Y51" s="15">
        <f>AE50+1</f>
        <v/>
      </c>
      <c r="Z51" s="15">
        <f>Y51+1</f>
        <v/>
      </c>
      <c r="AA51" s="15">
        <f>Z51+1</f>
        <v/>
      </c>
      <c r="AB51" s="15" t="n">
        <v>30</v>
      </c>
      <c r="AC51" s="12" t="n">
        <v>1</v>
      </c>
      <c r="AD51" s="12">
        <f>AC51+1</f>
        <v/>
      </c>
      <c r="AE51" s="11">
        <f>AD51+1</f>
        <v/>
      </c>
    </row>
    <row r="52" ht="18" customHeight="1" s="1232">
      <c r="B52" s="1236" t="inlineStr">
        <is>
          <t>Dec</t>
        </is>
      </c>
      <c r="C52" s="624">
        <f>I51+1</f>
        <v/>
      </c>
      <c r="D52" s="624">
        <f>C52+1</f>
        <v/>
      </c>
      <c r="E52" s="624">
        <f>D52+1</f>
        <v/>
      </c>
      <c r="F52" s="624">
        <f>E52+1</f>
        <v/>
      </c>
      <c r="G52" s="12">
        <f>F52+1</f>
        <v/>
      </c>
      <c r="H52" s="12">
        <f>G52+1</f>
        <v/>
      </c>
      <c r="I52" s="12">
        <f>H52+1</f>
        <v/>
      </c>
      <c r="K52" s="1239" t="n"/>
      <c r="M52" s="1236" t="inlineStr">
        <is>
          <t>Dec</t>
        </is>
      </c>
      <c r="N52" s="15">
        <f>T51+1</f>
        <v/>
      </c>
      <c r="O52" s="15">
        <f>N52+1</f>
        <v/>
      </c>
      <c r="P52" s="15">
        <f>O52+1</f>
        <v/>
      </c>
      <c r="Q52" s="15">
        <f>P52+1</f>
        <v/>
      </c>
      <c r="R52" s="12">
        <f>Q52+1</f>
        <v/>
      </c>
      <c r="S52" s="12">
        <f>R52+1</f>
        <v/>
      </c>
      <c r="T52" s="12">
        <f>S52+1</f>
        <v/>
      </c>
      <c r="V52" s="1239" t="n"/>
      <c r="W52" s="1239" t="n"/>
      <c r="X52" s="1236" t="inlineStr">
        <is>
          <t>Dec</t>
        </is>
      </c>
      <c r="Y52" s="18">
        <f>AE51+1</f>
        <v/>
      </c>
      <c r="Z52" s="15">
        <f>Y52+1</f>
        <v/>
      </c>
      <c r="AA52" s="17">
        <f>Z52+1</f>
        <v/>
      </c>
      <c r="AB52" s="15">
        <f>AA52+1</f>
        <v/>
      </c>
      <c r="AC52" s="17">
        <f>AB52+1</f>
        <v/>
      </c>
      <c r="AD52" s="17">
        <f>AC52+1</f>
        <v/>
      </c>
      <c r="AE52" s="17">
        <f>AD52+1</f>
        <v/>
      </c>
      <c r="AF52" s="17" t="n"/>
    </row>
    <row r="53" ht="18" customHeight="1" s="1232">
      <c r="B53" s="1236" t="inlineStr">
        <is>
          <t>Dec</t>
        </is>
      </c>
      <c r="C53" s="18">
        <f>I52+1</f>
        <v/>
      </c>
      <c r="D53" s="624">
        <f>C53+1</f>
        <v/>
      </c>
      <c r="E53" s="624">
        <f>D53+1</f>
        <v/>
      </c>
      <c r="F53" s="624">
        <f>E53+1</f>
        <v/>
      </c>
      <c r="G53" s="625">
        <f>F53+1</f>
        <v/>
      </c>
      <c r="H53" s="625">
        <f>G53+1</f>
        <v/>
      </c>
      <c r="I53" s="625">
        <f>H53+1</f>
        <v/>
      </c>
      <c r="K53" s="1239" t="inlineStr">
        <is>
          <t>Ruby Breaks Up</t>
        </is>
      </c>
      <c r="M53" s="1236" t="inlineStr">
        <is>
          <t>Dec</t>
        </is>
      </c>
      <c r="N53" s="18">
        <f>T52+1</f>
        <v/>
      </c>
      <c r="O53" s="15">
        <f>N53+1</f>
        <v/>
      </c>
      <c r="P53" s="15">
        <f>O53+1</f>
        <v/>
      </c>
      <c r="Q53" s="15">
        <f>P53+1</f>
        <v/>
      </c>
      <c r="R53" s="12">
        <f>Q53+1</f>
        <v/>
      </c>
      <c r="S53" s="12">
        <f>R53+1</f>
        <v/>
      </c>
      <c r="T53" s="12">
        <f>S53+1</f>
        <v/>
      </c>
      <c r="V53" s="1239" t="inlineStr">
        <is>
          <t>Ruby Breaks Up</t>
        </is>
      </c>
      <c r="W53" s="1239" t="n"/>
      <c r="X53" s="1236" t="inlineStr">
        <is>
          <t>Dec</t>
        </is>
      </c>
      <c r="Y53" s="17">
        <f>AE52+1</f>
        <v/>
      </c>
      <c r="Z53" s="15">
        <f>Y53+1</f>
        <v/>
      </c>
      <c r="AA53" s="17">
        <f>Z53+1</f>
        <v/>
      </c>
      <c r="AB53" s="15">
        <f>AA53+1</f>
        <v/>
      </c>
      <c r="AC53" s="12">
        <f>AB53+1</f>
        <v/>
      </c>
      <c r="AD53" s="12">
        <f>AC53+1</f>
        <v/>
      </c>
      <c r="AE53" s="11">
        <f>AD53+1</f>
        <v/>
      </c>
    </row>
    <row r="54" ht="18" customHeight="1" s="1232">
      <c r="B54" s="1236" t="inlineStr">
        <is>
          <t>Dec</t>
        </is>
      </c>
      <c r="C54" s="625">
        <f>I53+1</f>
        <v/>
      </c>
      <c r="D54" s="625">
        <f>C54+1</f>
        <v/>
      </c>
      <c r="E54" s="625">
        <f>D54+1</f>
        <v/>
      </c>
      <c r="F54" s="12">
        <f>E54+1</f>
        <v/>
      </c>
      <c r="G54" s="12">
        <f>F54+1</f>
        <v/>
      </c>
      <c r="H54" s="12">
        <f>G54+1</f>
        <v/>
      </c>
      <c r="I54" s="12">
        <f>H54+1</f>
        <v/>
      </c>
      <c r="K54" s="1239" t="n"/>
      <c r="M54" s="1236" t="inlineStr">
        <is>
          <t>Dec</t>
        </is>
      </c>
      <c r="N54" s="12">
        <f>T53+1</f>
        <v/>
      </c>
      <c r="O54" s="12">
        <f>N54+1</f>
        <v/>
      </c>
      <c r="P54" s="18">
        <f>O54+1</f>
        <v/>
      </c>
      <c r="Q54" s="15">
        <f>P54+1</f>
        <v/>
      </c>
      <c r="R54" s="15">
        <f>Q54+1</f>
        <v/>
      </c>
      <c r="S54" s="15">
        <f>R54+1</f>
        <v/>
      </c>
      <c r="T54" s="15">
        <f>S54+1</f>
        <v/>
      </c>
      <c r="V54" s="1239" t="n"/>
      <c r="W54" s="1239" t="n"/>
      <c r="X54" s="1236" t="inlineStr">
        <is>
          <t>Dec</t>
        </is>
      </c>
      <c r="Y54" s="18">
        <f>AE53+1</f>
        <v/>
      </c>
      <c r="Z54" s="15">
        <f>Y54+1</f>
        <v/>
      </c>
      <c r="AA54" s="17">
        <f>Z54+1</f>
        <v/>
      </c>
      <c r="AB54" s="15">
        <f>AA54+1</f>
        <v/>
      </c>
      <c r="AC54" s="17">
        <f>AB54+1</f>
        <v/>
      </c>
      <c r="AD54" s="13">
        <f>AC54+1</f>
        <v/>
      </c>
      <c r="AE54" s="16">
        <f>AD54+1</f>
        <v/>
      </c>
    </row>
    <row r="55" ht="18" customHeight="1" s="1232" thickBot="1">
      <c r="B55" s="1244" t="inlineStr">
        <is>
          <t>Dec/Jan</t>
        </is>
      </c>
      <c r="C55" s="12">
        <f>I54+1</f>
        <v/>
      </c>
      <c r="D55" s="12" t="n">
        <v>31</v>
      </c>
      <c r="E55" s="12" t="n">
        <v>1</v>
      </c>
      <c r="F55" s="18">
        <f>E55+1</f>
        <v/>
      </c>
      <c r="G55" s="625">
        <f>F55+1</f>
        <v/>
      </c>
      <c r="H55" s="624">
        <f>G55+1</f>
        <v/>
      </c>
      <c r="I55" s="624">
        <f>H55+1</f>
        <v/>
      </c>
      <c r="K55" s="1239" t="n"/>
      <c r="M55" s="1244" t="inlineStr">
        <is>
          <t>Dec/Jan</t>
        </is>
      </c>
      <c r="N55" s="15">
        <f>T54+1</f>
        <v/>
      </c>
      <c r="O55" s="15" t="n">
        <v>1</v>
      </c>
      <c r="P55" s="15">
        <f>O55+1</f>
        <v/>
      </c>
      <c r="Q55" s="15">
        <f>P55+1</f>
        <v/>
      </c>
      <c r="R55" s="15">
        <f>Q55+1</f>
        <v/>
      </c>
      <c r="S55" s="15">
        <f>R55+1</f>
        <v/>
      </c>
      <c r="T55" s="15">
        <f>S55+1</f>
        <v/>
      </c>
      <c r="V55" s="1239" t="n"/>
      <c r="W55" s="1239" t="n"/>
      <c r="X55" s="1244" t="inlineStr">
        <is>
          <t>Dec/Jan</t>
        </is>
      </c>
      <c r="Y55" s="13">
        <f>AE54+1</f>
        <v/>
      </c>
      <c r="Z55" s="12">
        <f>Y55+1</f>
        <v/>
      </c>
      <c r="AA55" s="12">
        <f>Z55+1</f>
        <v/>
      </c>
      <c r="AB55" s="12">
        <f>AA55+1</f>
        <v/>
      </c>
      <c r="AC55" s="12">
        <f>AB55+1</f>
        <v/>
      </c>
      <c r="AD55" s="12">
        <f>AC55+1</f>
        <v/>
      </c>
      <c r="AE55" s="11" t="n">
        <v>31</v>
      </c>
    </row>
  </sheetData>
  <mergeCells count="1">
    <mergeCell ref="M1:T1"/>
  </mergeCells>
  <pageMargins left="0.2362204724409449" right="0.2362204724409449" top="0.3937007874015748" bottom="0.3543307086614174" header="0.3149606299212598" footer="0.3149606299212598"/>
  <pageSetup orientation="portrait" paperSize="9" scale="58" fitToHeight="0"/>
  <rowBreaks count="1" manualBreakCount="1">
    <brk id="55" min="0" max="16383" man="1"/>
  </rowBreaks>
</worksheet>
</file>

<file path=xl/worksheets/sheet2.xml><?xml version="1.0" encoding="utf-8"?>
<worksheet xmlns="http://schemas.openxmlformats.org/spreadsheetml/2006/main">
  <sheetPr>
    <tabColor indexed="10"/>
    <outlinePr summaryBelow="1" summaryRight="1"/>
    <pageSetUpPr fitToPage="1"/>
  </sheetPr>
  <dimension ref="C1:AS56"/>
  <sheetViews>
    <sheetView workbookViewId="0">
      <pane xSplit="27" ySplit="3" topLeftCell="AB19" activePane="bottomRight" state="frozen"/>
      <selection activeCell="G50" sqref="G50"/>
      <selection pane="topRight" activeCell="G50" sqref="G50"/>
      <selection pane="bottomLeft" activeCell="G50" sqref="G50"/>
      <selection pane="bottomRight" activeCell="G50" sqref="G50"/>
    </sheetView>
  </sheetViews>
  <sheetFormatPr baseColWidth="8" defaultColWidth="9.1328125" defaultRowHeight="12.4"/>
  <cols>
    <col width="0.53125" customWidth="1" style="1230" min="1" max="1"/>
    <col width="2" customWidth="1" style="1230" min="2" max="2"/>
    <col width="8.6640625" customWidth="1" style="1230" min="3" max="3"/>
    <col width="5.19921875" customWidth="1" style="1245" min="4" max="4"/>
    <col width="5.19921875" customWidth="1" style="630" min="5" max="17"/>
    <col width="38.46484375" customWidth="1" style="1230" min="18" max="18"/>
    <col width="3.33203125" customWidth="1" style="1230" min="19" max="25"/>
    <col width="9.19921875" customWidth="1" style="1230" min="26" max="26"/>
    <col width="9.1328125" customWidth="1" style="1231" min="27" max="27"/>
    <col width="5" customWidth="1" style="8" min="28" max="34"/>
    <col width="1" customWidth="1" style="1230" min="35" max="35"/>
    <col width="44.6640625" bestFit="1" customWidth="1" style="1230" min="36" max="36"/>
    <col width="10.1328125" bestFit="1" customWidth="1" style="1230" min="37" max="37"/>
    <col width="5" customWidth="1" style="1230" min="38" max="44"/>
    <col width="9.1328125" customWidth="1" style="1230" min="45" max="16384"/>
  </cols>
  <sheetData>
    <row r="1" ht="20.25" customHeight="1" s="1232" thickBot="1">
      <c r="AA1" s="1233" t="n"/>
      <c r="AB1" s="1234" t="n"/>
      <c r="AC1" s="1234" t="n"/>
      <c r="AD1" s="1234" t="n"/>
      <c r="AE1" s="1234" t="n"/>
      <c r="AF1" s="1234" t="n"/>
      <c r="AG1" s="1234" t="n"/>
      <c r="AH1" s="1234" t="n"/>
    </row>
    <row r="2" ht="20.25" customHeight="1" s="1232" thickBot="1">
      <c r="AA2" s="1246" t="inlineStr">
        <is>
          <t>Evenings</t>
        </is>
      </c>
      <c r="AB2" s="1247" t="n"/>
      <c r="AC2" s="1247" t="n"/>
      <c r="AD2" s="1247" t="n"/>
      <c r="AE2" s="1247" t="n"/>
      <c r="AF2" s="1247" t="n"/>
      <c r="AG2" s="1247" t="n"/>
      <c r="AH2" s="1247" t="n"/>
      <c r="AK2" s="1246" t="inlineStr">
        <is>
          <t>Daytime</t>
        </is>
      </c>
      <c r="AL2" s="1247" t="n"/>
      <c r="AM2" s="1247" t="n"/>
      <c r="AN2" s="1247" t="n"/>
      <c r="AO2" s="1247" t="n"/>
      <c r="AP2" s="1247" t="n"/>
      <c r="AQ2" s="1247" t="n"/>
      <c r="AR2" s="1247" t="n"/>
    </row>
    <row r="3" ht="30" customHeight="1" s="1232">
      <c r="C3" s="1235" t="inlineStr">
        <is>
          <t>2018</t>
        </is>
      </c>
      <c r="D3" s="631" t="inlineStr">
        <is>
          <t>Mon Day</t>
        </is>
      </c>
      <c r="E3" s="632" t="inlineStr">
        <is>
          <t>Mon Eve</t>
        </is>
      </c>
      <c r="F3" s="631" t="inlineStr">
        <is>
          <t>Tue Day</t>
        </is>
      </c>
      <c r="G3" s="632" t="inlineStr">
        <is>
          <t>Tue Eve</t>
        </is>
      </c>
      <c r="H3" s="631" t="inlineStr">
        <is>
          <t>Wed Day</t>
        </is>
      </c>
      <c r="I3" s="632" t="inlineStr">
        <is>
          <t>Wed Eve</t>
        </is>
      </c>
      <c r="J3" s="631" t="inlineStr">
        <is>
          <t>Thu Day</t>
        </is>
      </c>
      <c r="K3" s="632" t="inlineStr">
        <is>
          <t>Thu Eve</t>
        </is>
      </c>
      <c r="L3" s="631" t="inlineStr">
        <is>
          <t>Fri Day</t>
        </is>
      </c>
      <c r="M3" s="632" t="inlineStr">
        <is>
          <t>Fri Eve</t>
        </is>
      </c>
      <c r="N3" s="631" t="inlineStr">
        <is>
          <t>Sat Day</t>
        </is>
      </c>
      <c r="O3" s="632" t="inlineStr">
        <is>
          <t>Sat Eve</t>
        </is>
      </c>
      <c r="P3" s="631" t="inlineStr">
        <is>
          <t>Sun Day</t>
        </is>
      </c>
      <c r="Q3" s="633" t="inlineStr">
        <is>
          <t>Sun Eve</t>
        </is>
      </c>
      <c r="AA3" s="1235" t="inlineStr">
        <is>
          <t>2018</t>
        </is>
      </c>
      <c r="AB3" s="32" t="inlineStr">
        <is>
          <t>Mon</t>
        </is>
      </c>
      <c r="AC3" s="32" t="inlineStr">
        <is>
          <t>Tue</t>
        </is>
      </c>
      <c r="AD3" s="32" t="inlineStr">
        <is>
          <t>Wed</t>
        </is>
      </c>
      <c r="AE3" s="32" t="inlineStr">
        <is>
          <t>Thu</t>
        </is>
      </c>
      <c r="AF3" s="32" t="inlineStr">
        <is>
          <t>Fri</t>
        </is>
      </c>
      <c r="AG3" s="31" t="inlineStr">
        <is>
          <t>Sat</t>
        </is>
      </c>
      <c r="AH3" s="34" t="inlineStr">
        <is>
          <t>Sun</t>
        </is>
      </c>
      <c r="AK3" s="1235" t="inlineStr">
        <is>
          <t>2018</t>
        </is>
      </c>
      <c r="AL3" s="32" t="inlineStr">
        <is>
          <t>Mon</t>
        </is>
      </c>
      <c r="AM3" s="32" t="inlineStr">
        <is>
          <t>Tue</t>
        </is>
      </c>
      <c r="AN3" s="32" t="inlineStr">
        <is>
          <t>Wed</t>
        </is>
      </c>
      <c r="AO3" s="32" t="inlineStr">
        <is>
          <t>Thu</t>
        </is>
      </c>
      <c r="AP3" s="32" t="inlineStr">
        <is>
          <t>Fri</t>
        </is>
      </c>
      <c r="AQ3" s="31" t="inlineStr">
        <is>
          <t>Sat</t>
        </is>
      </c>
      <c r="AR3" s="34" t="inlineStr">
        <is>
          <t>Sun</t>
        </is>
      </c>
    </row>
    <row r="4" ht="18" customHeight="1" s="1232">
      <c r="C4" s="1236" t="inlineStr">
        <is>
          <t>Jan</t>
        </is>
      </c>
      <c r="D4" s="12" t="n">
        <v>1</v>
      </c>
      <c r="E4" s="12" t="n">
        <v>1</v>
      </c>
      <c r="F4" s="12" t="n">
        <v>2</v>
      </c>
      <c r="G4" s="12" t="n">
        <v>2</v>
      </c>
      <c r="H4" s="12" t="n">
        <v>3</v>
      </c>
      <c r="I4" s="44" t="n">
        <v>3</v>
      </c>
      <c r="J4" s="624" t="n">
        <v>4</v>
      </c>
      <c r="K4" s="41" t="n">
        <v>4</v>
      </c>
      <c r="L4" s="15" t="n">
        <v>5</v>
      </c>
      <c r="M4" s="15" t="n">
        <v>5</v>
      </c>
      <c r="N4" s="624" t="n">
        <v>6</v>
      </c>
      <c r="O4" s="36" t="n">
        <v>6</v>
      </c>
      <c r="P4" s="624" t="n">
        <v>7</v>
      </c>
      <c r="Q4" s="624" t="n">
        <v>7</v>
      </c>
      <c r="R4" s="1238" t="inlineStr">
        <is>
          <t>Dorset/London</t>
        </is>
      </c>
      <c r="AA4" s="1236" t="inlineStr">
        <is>
          <t>Jan</t>
        </is>
      </c>
      <c r="AB4" s="12" t="n">
        <v>1</v>
      </c>
      <c r="AC4" s="12">
        <f>AB4+1</f>
        <v/>
      </c>
      <c r="AD4" s="44">
        <f>AC4+1</f>
        <v/>
      </c>
      <c r="AE4" s="41">
        <f>AD4+1</f>
        <v/>
      </c>
      <c r="AF4" s="15">
        <f>AE4+1</f>
        <v/>
      </c>
      <c r="AG4" s="36">
        <f>AF4+1</f>
        <v/>
      </c>
      <c r="AH4" s="36">
        <f>AG4+1</f>
        <v/>
      </c>
      <c r="AI4" s="1237" t="n"/>
      <c r="AJ4" s="1238" t="inlineStr">
        <is>
          <t>Dorset/London</t>
        </is>
      </c>
      <c r="AK4" s="1236" t="inlineStr">
        <is>
          <t>Jan</t>
        </is>
      </c>
      <c r="AL4" s="12" t="n">
        <v>1</v>
      </c>
      <c r="AM4" s="12">
        <f>AL4+1</f>
        <v/>
      </c>
      <c r="AN4" s="624">
        <f>AM4+1</f>
        <v/>
      </c>
      <c r="AO4" s="624">
        <f>AN4+1</f>
        <v/>
      </c>
      <c r="AP4" s="15">
        <f>AO4+1</f>
        <v/>
      </c>
      <c r="AQ4" s="624">
        <f>AP4+1</f>
        <v/>
      </c>
      <c r="AR4" s="624">
        <f>AQ4+1</f>
        <v/>
      </c>
      <c r="AS4" s="1237" t="n"/>
    </row>
    <row r="5" ht="18" customHeight="1" s="1232">
      <c r="C5" s="1236" t="inlineStr">
        <is>
          <t>Jan</t>
        </is>
      </c>
      <c r="D5" s="624" t="n">
        <v>8</v>
      </c>
      <c r="E5" s="44" t="n">
        <v>8</v>
      </c>
      <c r="F5" s="624" t="n">
        <v>9</v>
      </c>
      <c r="G5" s="39" t="n">
        <v>9</v>
      </c>
      <c r="H5" s="624" t="n">
        <v>10</v>
      </c>
      <c r="I5" s="44" t="n">
        <v>10</v>
      </c>
      <c r="J5" s="624" t="n">
        <v>11</v>
      </c>
      <c r="K5" s="41" t="n">
        <v>11</v>
      </c>
      <c r="L5" s="12" t="n">
        <v>12</v>
      </c>
      <c r="M5" s="12" t="n">
        <v>12</v>
      </c>
      <c r="N5" s="12" t="n">
        <v>13</v>
      </c>
      <c r="O5" s="12" t="n">
        <v>13</v>
      </c>
      <c r="P5" s="12" t="n">
        <v>14</v>
      </c>
      <c r="Q5" s="12" t="n">
        <v>14</v>
      </c>
      <c r="R5" s="1248" t="n"/>
      <c r="AA5" s="1236" t="inlineStr">
        <is>
          <t>Jan</t>
        </is>
      </c>
      <c r="AB5" s="44">
        <f>AH4+1</f>
        <v/>
      </c>
      <c r="AC5" s="39">
        <f>AB5+1</f>
        <v/>
      </c>
      <c r="AD5" s="44">
        <f>AC5+1</f>
        <v/>
      </c>
      <c r="AE5" s="41">
        <f>AD5+1</f>
        <v/>
      </c>
      <c r="AF5" s="12">
        <f>AE5+1</f>
        <v/>
      </c>
      <c r="AG5" s="12">
        <f>AF5+1</f>
        <v/>
      </c>
      <c r="AH5" s="12">
        <f>AG5+1</f>
        <v/>
      </c>
      <c r="AJ5" s="1248" t="n"/>
      <c r="AK5" s="1236" t="inlineStr">
        <is>
          <t>Jan</t>
        </is>
      </c>
      <c r="AL5" s="624">
        <f>AR4+1</f>
        <v/>
      </c>
      <c r="AM5" s="624">
        <f>AL5+1</f>
        <v/>
      </c>
      <c r="AN5" s="624">
        <f>AM5+1</f>
        <v/>
      </c>
      <c r="AO5" s="624">
        <f>AN5+1</f>
        <v/>
      </c>
      <c r="AP5" s="12">
        <f>AO5+1</f>
        <v/>
      </c>
      <c r="AQ5" s="12">
        <f>AP5+1</f>
        <v/>
      </c>
      <c r="AR5" s="12">
        <f>AQ5+1</f>
        <v/>
      </c>
    </row>
    <row r="6" ht="18" customHeight="1" s="1232">
      <c r="C6" s="1236" t="inlineStr">
        <is>
          <t>Jan</t>
        </is>
      </c>
      <c r="D6" s="624" t="n">
        <v>15</v>
      </c>
      <c r="E6" s="298" t="n">
        <v>15</v>
      </c>
      <c r="F6" s="624" t="n">
        <v>16</v>
      </c>
      <c r="G6" s="37" t="n">
        <v>16</v>
      </c>
      <c r="H6" s="624" t="n">
        <v>17</v>
      </c>
      <c r="I6" s="36" t="n">
        <v>17</v>
      </c>
      <c r="J6" s="624" t="n">
        <v>18</v>
      </c>
      <c r="K6" s="40" t="n">
        <v>18</v>
      </c>
      <c r="L6" s="624" t="n">
        <v>19</v>
      </c>
      <c r="M6" s="44" t="n">
        <v>19</v>
      </c>
      <c r="N6" s="624" t="n">
        <v>20</v>
      </c>
      <c r="O6" s="36" t="n">
        <v>20</v>
      </c>
      <c r="P6" s="624" t="n">
        <v>21</v>
      </c>
      <c r="Q6" s="624" t="n">
        <v>21</v>
      </c>
      <c r="R6" s="1248" t="inlineStr">
        <is>
          <t>Batsford/Hartland</t>
        </is>
      </c>
      <c r="AA6" s="1236" t="inlineStr">
        <is>
          <t>Jan</t>
        </is>
      </c>
      <c r="AB6" s="298">
        <f>AH5+1</f>
        <v/>
      </c>
      <c r="AC6" s="37">
        <f>AB6+1</f>
        <v/>
      </c>
      <c r="AD6" s="36">
        <f>AC6+1</f>
        <v/>
      </c>
      <c r="AE6" s="40">
        <f>AD6+1</f>
        <v/>
      </c>
      <c r="AF6" s="44">
        <f>AE6+1</f>
        <v/>
      </c>
      <c r="AG6" s="36">
        <f>AF6+1</f>
        <v/>
      </c>
      <c r="AH6" s="36">
        <f>AG6+1</f>
        <v/>
      </c>
      <c r="AJ6" s="1248" t="inlineStr">
        <is>
          <t>Batsford/Hartland</t>
        </is>
      </c>
      <c r="AK6" s="1236" t="inlineStr">
        <is>
          <t>Jan</t>
        </is>
      </c>
      <c r="AL6" s="624">
        <f>AR5+1</f>
        <v/>
      </c>
      <c r="AM6" s="624">
        <f>AL6+1</f>
        <v/>
      </c>
      <c r="AN6" s="624">
        <f>AM6+1</f>
        <v/>
      </c>
      <c r="AO6" s="624">
        <f>AN6+1</f>
        <v/>
      </c>
      <c r="AP6" s="624">
        <f>AO6+1</f>
        <v/>
      </c>
      <c r="AQ6" s="624">
        <f>AP6+1</f>
        <v/>
      </c>
      <c r="AR6" s="624">
        <f>AQ6+1</f>
        <v/>
      </c>
    </row>
    <row r="7" ht="18" customHeight="1" s="1232">
      <c r="C7" s="1236" t="inlineStr">
        <is>
          <t>Jan</t>
        </is>
      </c>
      <c r="D7" s="624" t="n">
        <v>22</v>
      </c>
      <c r="E7" s="298" t="n">
        <v>22</v>
      </c>
      <c r="F7" s="624" t="n">
        <v>23</v>
      </c>
      <c r="G7" s="37" t="n">
        <v>23</v>
      </c>
      <c r="H7" s="624" t="n">
        <v>24</v>
      </c>
      <c r="I7" s="44" t="n">
        <v>24</v>
      </c>
      <c r="J7" s="624" t="n">
        <v>25</v>
      </c>
      <c r="K7" s="40" t="n">
        <v>25</v>
      </c>
      <c r="L7" s="12" t="n">
        <v>26</v>
      </c>
      <c r="M7" s="12" t="n">
        <v>26</v>
      </c>
      <c r="N7" s="12" t="n">
        <v>27</v>
      </c>
      <c r="O7" s="12" t="n">
        <v>27</v>
      </c>
      <c r="P7" s="12" t="n">
        <v>28</v>
      </c>
      <c r="Q7" s="12" t="n">
        <v>28</v>
      </c>
      <c r="R7" s="1248" t="n"/>
      <c r="AA7" s="1236" t="inlineStr">
        <is>
          <t>Jan</t>
        </is>
      </c>
      <c r="AB7" s="298">
        <f>AH6+1</f>
        <v/>
      </c>
      <c r="AC7" s="37">
        <f>AB7+1</f>
        <v/>
      </c>
      <c r="AD7" s="44">
        <f>AC7+1</f>
        <v/>
      </c>
      <c r="AE7" s="40">
        <f>AD7+1</f>
        <v/>
      </c>
      <c r="AF7" s="12">
        <f>AE7+1</f>
        <v/>
      </c>
      <c r="AG7" s="12">
        <f>AF7+1</f>
        <v/>
      </c>
      <c r="AH7" s="12">
        <f>AG7+1</f>
        <v/>
      </c>
      <c r="AJ7" s="1248" t="n"/>
      <c r="AK7" s="1236" t="inlineStr">
        <is>
          <t>Jan</t>
        </is>
      </c>
      <c r="AL7" s="624">
        <f>AR6+1</f>
        <v/>
      </c>
      <c r="AM7" s="624">
        <f>AL7+1</f>
        <v/>
      </c>
      <c r="AN7" s="624">
        <f>AM7+1</f>
        <v/>
      </c>
      <c r="AO7" s="624">
        <f>AN7+1</f>
        <v/>
      </c>
      <c r="AP7" s="12">
        <f>AO7+1</f>
        <v/>
      </c>
      <c r="AQ7" s="12">
        <f>AP7+1</f>
        <v/>
      </c>
      <c r="AR7" s="12">
        <f>AQ7+1</f>
        <v/>
      </c>
    </row>
    <row r="8" ht="18" customHeight="1" s="1232">
      <c r="C8" s="1240" t="inlineStr">
        <is>
          <t>Jan/Feb</t>
        </is>
      </c>
      <c r="D8" s="624" t="n">
        <v>29</v>
      </c>
      <c r="E8" s="298" t="n">
        <v>29</v>
      </c>
      <c r="F8" s="624" t="n">
        <v>30</v>
      </c>
      <c r="G8" s="37" t="n">
        <v>30</v>
      </c>
      <c r="H8" s="624" t="n">
        <v>31</v>
      </c>
      <c r="I8" s="44" t="n">
        <v>31</v>
      </c>
      <c r="J8" s="624" t="n">
        <v>1</v>
      </c>
      <c r="K8" s="40" t="n">
        <v>1</v>
      </c>
      <c r="L8" s="624" t="n">
        <v>2</v>
      </c>
      <c r="M8" s="36" t="n">
        <v>2</v>
      </c>
      <c r="N8" s="624" t="n">
        <v>3</v>
      </c>
      <c r="O8" s="36" t="n">
        <v>3</v>
      </c>
      <c r="P8" s="624" t="n">
        <v>4</v>
      </c>
      <c r="Q8" s="624" t="n">
        <v>4</v>
      </c>
      <c r="R8" s="1248" t="inlineStr">
        <is>
          <t>Lake District</t>
        </is>
      </c>
      <c r="AA8" s="1240" t="inlineStr">
        <is>
          <t>Jan/Feb</t>
        </is>
      </c>
      <c r="AB8" s="298">
        <f>AH7+1</f>
        <v/>
      </c>
      <c r="AC8" s="37">
        <f>AB8+1</f>
        <v/>
      </c>
      <c r="AD8" s="44">
        <f>AC8+1</f>
        <v/>
      </c>
      <c r="AE8" s="40" t="n">
        <v>1</v>
      </c>
      <c r="AF8" s="36">
        <f>AE8+1</f>
        <v/>
      </c>
      <c r="AG8" s="36">
        <f>AF8+1</f>
        <v/>
      </c>
      <c r="AH8" s="36">
        <f>AG8+1</f>
        <v/>
      </c>
      <c r="AJ8" s="1248" t="inlineStr">
        <is>
          <t>Lake District</t>
        </is>
      </c>
      <c r="AK8" s="1240" t="inlineStr">
        <is>
          <t>Jan/Feb</t>
        </is>
      </c>
      <c r="AL8" s="624">
        <f>AR7+1</f>
        <v/>
      </c>
      <c r="AM8" s="624">
        <f>AL8+1</f>
        <v/>
      </c>
      <c r="AN8" s="624">
        <f>AM8+1</f>
        <v/>
      </c>
      <c r="AO8" s="624" t="n">
        <v>1</v>
      </c>
      <c r="AP8" s="624">
        <f>AO8+1</f>
        <v/>
      </c>
      <c r="AQ8" s="624">
        <f>AP8+1</f>
        <v/>
      </c>
      <c r="AR8" s="624">
        <f>AQ8+1</f>
        <v/>
      </c>
    </row>
    <row r="9" ht="18" customHeight="1" s="1232">
      <c r="C9" s="1236" t="inlineStr">
        <is>
          <t>Feb</t>
        </is>
      </c>
      <c r="D9" s="624" t="n">
        <v>5</v>
      </c>
      <c r="E9" s="298" t="n">
        <v>5</v>
      </c>
      <c r="F9" s="624" t="n">
        <v>6</v>
      </c>
      <c r="G9" s="37" t="n">
        <v>6</v>
      </c>
      <c r="H9" s="624" t="n">
        <v>7</v>
      </c>
      <c r="I9" s="524" t="n">
        <v>7</v>
      </c>
      <c r="J9" s="624" t="n">
        <v>8</v>
      </c>
      <c r="K9" s="40" t="n">
        <v>8</v>
      </c>
      <c r="L9" s="12" t="n">
        <v>9</v>
      </c>
      <c r="M9" s="12" t="n">
        <v>9</v>
      </c>
      <c r="N9" s="12" t="n">
        <v>10</v>
      </c>
      <c r="O9" s="12" t="n">
        <v>10</v>
      </c>
      <c r="P9" s="12" t="n">
        <v>11</v>
      </c>
      <c r="Q9" s="12" t="n">
        <v>11</v>
      </c>
      <c r="R9" s="1248" t="n"/>
      <c r="AA9" s="1236" t="inlineStr">
        <is>
          <t>Feb</t>
        </is>
      </c>
      <c r="AB9" s="298">
        <f>AH8+1</f>
        <v/>
      </c>
      <c r="AC9" s="37">
        <f>AB9+1</f>
        <v/>
      </c>
      <c r="AD9" s="524">
        <f>AC9+1</f>
        <v/>
      </c>
      <c r="AE9" s="40">
        <f>AD9+1</f>
        <v/>
      </c>
      <c r="AF9" s="12">
        <f>AE9+1</f>
        <v/>
      </c>
      <c r="AG9" s="12">
        <f>AF9+1</f>
        <v/>
      </c>
      <c r="AH9" s="12">
        <f>AG9+1</f>
        <v/>
      </c>
      <c r="AJ9" s="1248" t="n"/>
      <c r="AK9" s="1236" t="inlineStr">
        <is>
          <t>Feb</t>
        </is>
      </c>
      <c r="AL9" s="624">
        <f>AR8+1</f>
        <v/>
      </c>
      <c r="AM9" s="624">
        <f>AL9+1</f>
        <v/>
      </c>
      <c r="AN9" s="624">
        <f>AM9+1</f>
        <v/>
      </c>
      <c r="AO9" s="624">
        <f>AN9+1</f>
        <v/>
      </c>
      <c r="AP9" s="12">
        <f>AO9+1</f>
        <v/>
      </c>
      <c r="AQ9" s="12">
        <f>AP9+1</f>
        <v/>
      </c>
      <c r="AR9" s="12">
        <f>AQ9+1</f>
        <v/>
      </c>
    </row>
    <row r="10" ht="18" customHeight="1" s="1232">
      <c r="C10" s="1236" t="inlineStr">
        <is>
          <t>Feb</t>
        </is>
      </c>
      <c r="D10" s="12" t="n">
        <v>12</v>
      </c>
      <c r="E10" s="12" t="n">
        <v>12</v>
      </c>
      <c r="F10" s="12" t="n">
        <v>13</v>
      </c>
      <c r="G10" s="12" t="n">
        <v>13</v>
      </c>
      <c r="H10" s="12" t="n">
        <v>14</v>
      </c>
      <c r="I10" s="44" t="n">
        <v>14</v>
      </c>
      <c r="J10" s="624" t="n">
        <v>15</v>
      </c>
      <c r="K10" s="41" t="n">
        <v>15</v>
      </c>
      <c r="L10" s="36" t="n">
        <v>16</v>
      </c>
      <c r="M10" s="36" t="n">
        <v>16</v>
      </c>
      <c r="N10" s="36" t="n">
        <v>17</v>
      </c>
      <c r="O10" s="36" t="n">
        <v>17</v>
      </c>
      <c r="P10" s="36" t="n">
        <v>18</v>
      </c>
      <c r="Q10" s="36" t="n">
        <v>18</v>
      </c>
      <c r="R10" s="1239" t="inlineStr">
        <is>
          <t>Half Term /Isle of Skye/Suffolk Coast</t>
        </is>
      </c>
      <c r="AA10" s="1236" t="inlineStr">
        <is>
          <t>Feb</t>
        </is>
      </c>
      <c r="AB10" s="12">
        <f>AH9+1</f>
        <v/>
      </c>
      <c r="AC10" s="12">
        <f>AB10+1</f>
        <v/>
      </c>
      <c r="AD10" s="44">
        <f>AC10+1</f>
        <v/>
      </c>
      <c r="AE10" s="41">
        <f>AD10+1</f>
        <v/>
      </c>
      <c r="AF10" s="36">
        <f>AE10+1</f>
        <v/>
      </c>
      <c r="AG10" s="36">
        <f>AF10+1</f>
        <v/>
      </c>
      <c r="AH10" s="36">
        <f>AG10+1</f>
        <v/>
      </c>
      <c r="AJ10" s="1239" t="inlineStr">
        <is>
          <t>Half Term /Isle of Skye/Suffolk Coast</t>
        </is>
      </c>
      <c r="AK10" s="1236" t="inlineStr">
        <is>
          <t>Feb</t>
        </is>
      </c>
      <c r="AL10" s="12">
        <f>AR9+1</f>
        <v/>
      </c>
      <c r="AM10" s="12">
        <f>AL10+1</f>
        <v/>
      </c>
      <c r="AN10" s="624">
        <f>AM10+1</f>
        <v/>
      </c>
      <c r="AO10" s="624">
        <f>AN10+1</f>
        <v/>
      </c>
      <c r="AP10" s="36">
        <f>AO10+1</f>
        <v/>
      </c>
      <c r="AQ10" s="36">
        <f>AP10+1</f>
        <v/>
      </c>
      <c r="AR10" s="36">
        <f>AQ10+1</f>
        <v/>
      </c>
    </row>
    <row r="11" ht="18" customHeight="1" s="1232">
      <c r="C11" s="1236" t="inlineStr">
        <is>
          <t>Feb</t>
        </is>
      </c>
      <c r="D11" s="624" t="n">
        <v>19</v>
      </c>
      <c r="E11" s="44" t="n">
        <v>19</v>
      </c>
      <c r="F11" s="624" t="n">
        <v>20</v>
      </c>
      <c r="G11" s="39" t="n">
        <v>20</v>
      </c>
      <c r="H11" s="624" t="n">
        <v>21</v>
      </c>
      <c r="I11" s="44" t="n">
        <v>21</v>
      </c>
      <c r="J11" s="624" t="n">
        <v>22</v>
      </c>
      <c r="K11" s="41" t="n">
        <v>22</v>
      </c>
      <c r="L11" s="12" t="n">
        <v>23</v>
      </c>
      <c r="M11" s="12" t="n">
        <v>23</v>
      </c>
      <c r="N11" s="12" t="n">
        <v>24</v>
      </c>
      <c r="O11" s="12" t="n">
        <v>24</v>
      </c>
      <c r="P11" s="12" t="n">
        <v>25</v>
      </c>
      <c r="Q11" s="12" t="n">
        <v>25</v>
      </c>
      <c r="AA11" s="1236" t="inlineStr">
        <is>
          <t>Feb</t>
        </is>
      </c>
      <c r="AB11" s="44">
        <f>AH10+1</f>
        <v/>
      </c>
      <c r="AC11" s="39">
        <f>AB11+1</f>
        <v/>
      </c>
      <c r="AD11" s="44">
        <f>AC11+1</f>
        <v/>
      </c>
      <c r="AE11" s="41">
        <f>AD11+1</f>
        <v/>
      </c>
      <c r="AF11" s="12">
        <f>AE11+1</f>
        <v/>
      </c>
      <c r="AG11" s="12">
        <f>AF11+1</f>
        <v/>
      </c>
      <c r="AH11" s="12">
        <f>AG11+1</f>
        <v/>
      </c>
      <c r="AK11" s="1236" t="inlineStr">
        <is>
          <t>Feb</t>
        </is>
      </c>
      <c r="AL11" s="624">
        <f>AR10+1</f>
        <v/>
      </c>
      <c r="AM11" s="624">
        <f>AL11+1</f>
        <v/>
      </c>
      <c r="AN11" s="624">
        <f>AM11+1</f>
        <v/>
      </c>
      <c r="AO11" s="624">
        <f>AN11+1</f>
        <v/>
      </c>
      <c r="AP11" s="12">
        <f>AO11+1</f>
        <v/>
      </c>
      <c r="AQ11" s="12">
        <f>AP11+1</f>
        <v/>
      </c>
      <c r="AR11" s="12">
        <f>AQ11+1</f>
        <v/>
      </c>
    </row>
    <row r="12" ht="18" customHeight="1" s="1232">
      <c r="C12" s="1240" t="inlineStr">
        <is>
          <t>Feb/Mar</t>
        </is>
      </c>
      <c r="D12" s="624" t="n">
        <v>26</v>
      </c>
      <c r="E12" s="44" t="n">
        <v>26</v>
      </c>
      <c r="F12" s="624" t="n">
        <v>27</v>
      </c>
      <c r="G12" s="37" t="n">
        <v>27</v>
      </c>
      <c r="H12" s="624" t="n">
        <v>28</v>
      </c>
      <c r="I12" s="524" t="n">
        <v>28</v>
      </c>
      <c r="J12" s="624" t="n">
        <v>1</v>
      </c>
      <c r="K12" s="40" t="n">
        <v>1</v>
      </c>
      <c r="L12" s="624" t="n">
        <v>2</v>
      </c>
      <c r="M12" s="628" t="n">
        <v>2</v>
      </c>
      <c r="N12" s="36" t="n">
        <v>3</v>
      </c>
      <c r="O12" s="36" t="n">
        <v>3</v>
      </c>
      <c r="P12" s="36" t="n">
        <v>4</v>
      </c>
      <c r="Q12" s="36" t="n">
        <v>4</v>
      </c>
      <c r="R12" s="1248" t="inlineStr">
        <is>
          <t>Yorkshire Dales</t>
        </is>
      </c>
      <c r="AA12" s="1240" t="inlineStr">
        <is>
          <t>Feb/Mar</t>
        </is>
      </c>
      <c r="AB12" s="44">
        <f>AH11+1</f>
        <v/>
      </c>
      <c r="AC12" s="37">
        <f>AB12+1</f>
        <v/>
      </c>
      <c r="AD12" s="524">
        <f>AC12+1</f>
        <v/>
      </c>
      <c r="AE12" s="40" t="n">
        <v>1</v>
      </c>
      <c r="AF12" s="36">
        <f>AE12+1</f>
        <v/>
      </c>
      <c r="AG12" s="36">
        <f>AF12+1</f>
        <v/>
      </c>
      <c r="AH12" s="36">
        <f>AG12+1</f>
        <v/>
      </c>
      <c r="AJ12" s="1248" t="inlineStr">
        <is>
          <t>Yorkshire Dales</t>
        </is>
      </c>
      <c r="AK12" s="1240" t="inlineStr">
        <is>
          <t>Feb/Mar</t>
        </is>
      </c>
      <c r="AL12" s="624">
        <f>AR11+1</f>
        <v/>
      </c>
      <c r="AM12" s="624">
        <f>AL12+1</f>
        <v/>
      </c>
      <c r="AN12" s="624">
        <f>AM12+1</f>
        <v/>
      </c>
      <c r="AO12" s="624" t="n">
        <v>1</v>
      </c>
      <c r="AP12" s="36">
        <f>AO12+1</f>
        <v/>
      </c>
      <c r="AQ12" s="36">
        <f>AP12+1</f>
        <v/>
      </c>
      <c r="AR12" s="36">
        <f>AQ12+1</f>
        <v/>
      </c>
    </row>
    <row r="13" ht="18" customHeight="1" s="1232">
      <c r="C13" s="1236" t="inlineStr">
        <is>
          <t>Mar</t>
        </is>
      </c>
      <c r="D13" s="624" t="n">
        <v>5</v>
      </c>
      <c r="E13" s="44" t="n">
        <v>5</v>
      </c>
      <c r="F13" s="634" t="n">
        <v>6</v>
      </c>
      <c r="G13" s="37" t="n">
        <v>6</v>
      </c>
      <c r="H13" s="624" t="n">
        <v>7</v>
      </c>
      <c r="I13" s="628" t="n">
        <v>7</v>
      </c>
      <c r="J13" s="624" t="n">
        <v>8</v>
      </c>
      <c r="K13" s="40" t="n">
        <v>8</v>
      </c>
      <c r="L13" s="12" t="n">
        <v>9</v>
      </c>
      <c r="M13" s="12" t="n">
        <v>9</v>
      </c>
      <c r="N13" s="12" t="n">
        <v>10</v>
      </c>
      <c r="O13" s="12" t="n">
        <v>10</v>
      </c>
      <c r="P13" s="36" t="n">
        <v>11</v>
      </c>
      <c r="Q13" s="15" t="n">
        <v>11</v>
      </c>
      <c r="R13" s="1248" t="inlineStr">
        <is>
          <t>Mothers Day/Padley Gorge</t>
        </is>
      </c>
      <c r="AA13" s="1236" t="inlineStr">
        <is>
          <t>Mar</t>
        </is>
      </c>
      <c r="AB13" s="44">
        <f>AH12+1</f>
        <v/>
      </c>
      <c r="AC13" s="37">
        <f>AB13+1</f>
        <v/>
      </c>
      <c r="AD13" s="44">
        <f>AC13+1</f>
        <v/>
      </c>
      <c r="AE13" s="40">
        <f>AD13+1</f>
        <v/>
      </c>
      <c r="AF13" s="12">
        <f>AE13+1</f>
        <v/>
      </c>
      <c r="AG13" s="12">
        <f>AF13+1</f>
        <v/>
      </c>
      <c r="AH13" s="36">
        <f>AG13+1</f>
        <v/>
      </c>
      <c r="AJ13" s="1248" t="inlineStr">
        <is>
          <t>Mothers Day/Padley Gorge</t>
        </is>
      </c>
      <c r="AK13" s="1236" t="inlineStr">
        <is>
          <t>Mar</t>
        </is>
      </c>
      <c r="AL13" s="624">
        <f>AR12+1</f>
        <v/>
      </c>
      <c r="AM13" s="624">
        <f>AL13+1</f>
        <v/>
      </c>
      <c r="AN13" s="624">
        <f>AM13+1</f>
        <v/>
      </c>
      <c r="AO13" s="624">
        <f>AN13+1</f>
        <v/>
      </c>
      <c r="AP13" s="12">
        <f>AO13+1</f>
        <v/>
      </c>
      <c r="AQ13" s="12">
        <f>AP13+1</f>
        <v/>
      </c>
      <c r="AR13" s="36">
        <f>AQ13+1</f>
        <v/>
      </c>
    </row>
    <row r="14" ht="18" customHeight="1" s="1232">
      <c r="C14" s="1236" t="inlineStr">
        <is>
          <t>Mar</t>
        </is>
      </c>
      <c r="D14" s="624" t="n">
        <v>12</v>
      </c>
      <c r="E14" s="44" t="n">
        <v>12</v>
      </c>
      <c r="F14" s="624" t="n">
        <v>13</v>
      </c>
      <c r="G14" s="37" t="n">
        <v>13</v>
      </c>
      <c r="H14" s="624" t="n">
        <v>14</v>
      </c>
      <c r="I14" s="524" t="n">
        <v>14</v>
      </c>
      <c r="J14" s="624" t="n">
        <v>15</v>
      </c>
      <c r="K14" s="40" t="n">
        <v>15</v>
      </c>
      <c r="L14" s="36" t="n">
        <v>16</v>
      </c>
      <c r="M14" s="36" t="n">
        <v>16</v>
      </c>
      <c r="N14" s="36" t="n">
        <v>17</v>
      </c>
      <c r="O14" s="36" t="n">
        <v>17</v>
      </c>
      <c r="P14" s="36" t="n">
        <v>18</v>
      </c>
      <c r="Q14" s="36" t="n">
        <v>18</v>
      </c>
      <c r="R14" s="1248" t="inlineStr">
        <is>
          <t>Lake District</t>
        </is>
      </c>
      <c r="AA14" s="1236" t="inlineStr">
        <is>
          <t>Mar</t>
        </is>
      </c>
      <c r="AB14" s="15">
        <f>AH13+1</f>
        <v/>
      </c>
      <c r="AC14" s="37">
        <f>AB14+1</f>
        <v/>
      </c>
      <c r="AD14" s="524">
        <f>AC14+1</f>
        <v/>
      </c>
      <c r="AE14" s="40">
        <f>AD14+1</f>
        <v/>
      </c>
      <c r="AF14" s="36">
        <f>AE14+1</f>
        <v/>
      </c>
      <c r="AG14" s="36">
        <f>AF14+1</f>
        <v/>
      </c>
      <c r="AH14" s="36">
        <f>AG14+1</f>
        <v/>
      </c>
      <c r="AJ14" s="1248" t="inlineStr">
        <is>
          <t>Lake District</t>
        </is>
      </c>
      <c r="AK14" s="1236" t="inlineStr">
        <is>
          <t>Mar</t>
        </is>
      </c>
      <c r="AL14" s="624">
        <f>AR13+1</f>
        <v/>
      </c>
      <c r="AM14" s="624">
        <f>AL14+1</f>
        <v/>
      </c>
      <c r="AN14" s="624">
        <f>AM14+1</f>
        <v/>
      </c>
      <c r="AO14" s="624">
        <f>AN14+1</f>
        <v/>
      </c>
      <c r="AP14" s="36">
        <f>AO14+1</f>
        <v/>
      </c>
      <c r="AQ14" s="36">
        <f>AP14+1</f>
        <v/>
      </c>
      <c r="AR14" s="36">
        <f>AQ14+1</f>
        <v/>
      </c>
    </row>
    <row r="15" ht="18" customHeight="1" s="1232">
      <c r="C15" s="1236" t="inlineStr">
        <is>
          <t>Mar</t>
        </is>
      </c>
      <c r="D15" s="624" t="n">
        <v>19</v>
      </c>
      <c r="E15" s="36" t="n">
        <v>19</v>
      </c>
      <c r="F15" s="624" t="n">
        <v>20</v>
      </c>
      <c r="G15" s="37" t="n">
        <v>20</v>
      </c>
      <c r="H15" s="624" t="n">
        <v>21</v>
      </c>
      <c r="I15" s="44" t="n">
        <v>21</v>
      </c>
      <c r="J15" s="624" t="n">
        <v>22</v>
      </c>
      <c r="K15" s="40" t="n">
        <v>22</v>
      </c>
      <c r="L15" s="12" t="n">
        <v>23</v>
      </c>
      <c r="M15" s="12" t="n">
        <v>23</v>
      </c>
      <c r="N15" s="12" t="n">
        <v>24</v>
      </c>
      <c r="O15" s="12" t="n">
        <v>24</v>
      </c>
      <c r="P15" s="12" t="n">
        <v>25</v>
      </c>
      <c r="Q15" s="12" t="n">
        <v>25</v>
      </c>
      <c r="R15" s="1239" t="inlineStr">
        <is>
          <t>Ruby breaks up  Night Shoot Kenilworth</t>
        </is>
      </c>
      <c r="AA15" s="1236" t="inlineStr">
        <is>
          <t>Mar</t>
        </is>
      </c>
      <c r="AB15" s="36">
        <f>AH14+1</f>
        <v/>
      </c>
      <c r="AC15" s="37">
        <f>AB15+1</f>
        <v/>
      </c>
      <c r="AD15" s="44">
        <f>AC15+1</f>
        <v/>
      </c>
      <c r="AE15" s="40">
        <f>AD15+1</f>
        <v/>
      </c>
      <c r="AF15" s="12">
        <f>AE15+1</f>
        <v/>
      </c>
      <c r="AG15" s="12">
        <f>AF15+1</f>
        <v/>
      </c>
      <c r="AH15" s="12">
        <f>AG15+1</f>
        <v/>
      </c>
      <c r="AJ15" s="1239" t="inlineStr">
        <is>
          <t>Ruby breaks up  Night Shoot Kenilworth</t>
        </is>
      </c>
      <c r="AK15" s="1236" t="inlineStr">
        <is>
          <t>Mar</t>
        </is>
      </c>
      <c r="AL15" s="624">
        <f>AR14+1</f>
        <v/>
      </c>
      <c r="AM15" s="624">
        <f>AL15+1</f>
        <v/>
      </c>
      <c r="AN15" s="624">
        <f>AM15+1</f>
        <v/>
      </c>
      <c r="AO15" s="624">
        <f>AN15+1</f>
        <v/>
      </c>
      <c r="AP15" s="12">
        <f>AO15+1</f>
        <v/>
      </c>
      <c r="AQ15" s="12">
        <f>AP15+1</f>
        <v/>
      </c>
      <c r="AR15" s="12">
        <f>AQ15+1</f>
        <v/>
      </c>
    </row>
    <row r="16" ht="18" customHeight="1" s="1232">
      <c r="C16" s="1236" t="inlineStr">
        <is>
          <t>Mar</t>
        </is>
      </c>
      <c r="D16" s="12" t="n">
        <v>26</v>
      </c>
      <c r="E16" s="12" t="n">
        <v>26</v>
      </c>
      <c r="F16" s="12" t="n">
        <v>27</v>
      </c>
      <c r="G16" s="12" t="n">
        <v>27</v>
      </c>
      <c r="H16" s="12" t="n">
        <v>28</v>
      </c>
      <c r="I16" s="12" t="n">
        <v>28</v>
      </c>
      <c r="J16" s="12" t="n">
        <v>29</v>
      </c>
      <c r="K16" s="12" t="n">
        <v>29</v>
      </c>
      <c r="L16" s="12" t="n">
        <v>30</v>
      </c>
      <c r="M16" s="12" t="n">
        <v>30</v>
      </c>
      <c r="N16" s="36" t="n">
        <v>31</v>
      </c>
      <c r="O16" s="36" t="n">
        <v>31</v>
      </c>
      <c r="P16" s="36" t="n">
        <v>1</v>
      </c>
      <c r="Q16" s="36" t="n">
        <v>1</v>
      </c>
      <c r="R16" s="1248" t="inlineStr">
        <is>
          <t>Anglesey</t>
        </is>
      </c>
      <c r="AA16" s="1236" t="inlineStr">
        <is>
          <t>Mar</t>
        </is>
      </c>
      <c r="AB16" s="12">
        <f>AH15+1</f>
        <v/>
      </c>
      <c r="AC16" s="12">
        <f>AB16+1</f>
        <v/>
      </c>
      <c r="AD16" s="12">
        <f>AC16+1</f>
        <v/>
      </c>
      <c r="AE16" s="12">
        <f>AD16+1</f>
        <v/>
      </c>
      <c r="AF16" s="12">
        <f>AE16+1</f>
        <v/>
      </c>
      <c r="AG16" s="36">
        <f>AF16+1</f>
        <v/>
      </c>
      <c r="AH16" s="36" t="n">
        <v>1</v>
      </c>
      <c r="AJ16" s="1248" t="inlineStr">
        <is>
          <t>Anglesey</t>
        </is>
      </c>
      <c r="AK16" s="1236" t="inlineStr">
        <is>
          <t>Mar</t>
        </is>
      </c>
      <c r="AL16" s="12">
        <f>AR15+1</f>
        <v/>
      </c>
      <c r="AM16" s="12">
        <f>AL16+1</f>
        <v/>
      </c>
      <c r="AN16" s="12">
        <f>AM16+1</f>
        <v/>
      </c>
      <c r="AO16" s="12">
        <f>AN16+1</f>
        <v/>
      </c>
      <c r="AP16" s="12">
        <f>AO16+1</f>
        <v/>
      </c>
      <c r="AQ16" s="36">
        <f>AP16+1</f>
        <v/>
      </c>
      <c r="AR16" s="36" t="n">
        <v>1</v>
      </c>
    </row>
    <row r="17" ht="18" customHeight="1" s="1232">
      <c r="C17" s="1241" t="inlineStr">
        <is>
          <t>Apr</t>
        </is>
      </c>
      <c r="D17" s="624" t="n">
        <v>2</v>
      </c>
      <c r="E17" s="44" t="n">
        <v>2</v>
      </c>
      <c r="F17" s="624" t="n">
        <v>3</v>
      </c>
      <c r="G17" s="624" t="n">
        <v>3</v>
      </c>
      <c r="H17" s="626" t="n">
        <v>4</v>
      </c>
      <c r="I17" s="44" t="n">
        <v>4</v>
      </c>
      <c r="J17" s="624" t="n">
        <v>5</v>
      </c>
      <c r="K17" s="628" t="n">
        <v>5</v>
      </c>
      <c r="L17" s="12" t="n">
        <v>6</v>
      </c>
      <c r="M17" s="12" t="n">
        <v>6</v>
      </c>
      <c r="N17" s="12" t="n">
        <v>7</v>
      </c>
      <c r="O17" s="12" t="n">
        <v>7</v>
      </c>
      <c r="P17" s="12" t="n">
        <v>8</v>
      </c>
      <c r="Q17" s="12" t="n">
        <v>8</v>
      </c>
      <c r="R17" s="1239" t="n"/>
      <c r="AA17" s="1241" t="inlineStr">
        <is>
          <t>Apr</t>
        </is>
      </c>
      <c r="AB17" s="15">
        <f>AH16+1</f>
        <v/>
      </c>
      <c r="AC17" s="39">
        <f>AB17+1</f>
        <v/>
      </c>
      <c r="AD17" s="44">
        <f>AC17+1</f>
        <v/>
      </c>
      <c r="AE17" s="41">
        <f>AD17+1</f>
        <v/>
      </c>
      <c r="AF17" s="12">
        <f>AE17+1</f>
        <v/>
      </c>
      <c r="AG17" s="12">
        <f>AF17+1</f>
        <v/>
      </c>
      <c r="AH17" s="12">
        <f>AG17+1</f>
        <v/>
      </c>
      <c r="AJ17" s="1239" t="n"/>
      <c r="AK17" s="1241" t="inlineStr">
        <is>
          <t>Apr</t>
        </is>
      </c>
      <c r="AL17" s="624">
        <f>AR16+1</f>
        <v/>
      </c>
      <c r="AM17" s="624">
        <f>AL17+1</f>
        <v/>
      </c>
      <c r="AN17" s="626">
        <f>AM17+1</f>
        <v/>
      </c>
      <c r="AO17" s="624">
        <f>AN17+1</f>
        <v/>
      </c>
      <c r="AP17" s="12">
        <f>AO17+1</f>
        <v/>
      </c>
      <c r="AQ17" s="12">
        <f>AP17+1</f>
        <v/>
      </c>
      <c r="AR17" s="12">
        <f>AQ17+1</f>
        <v/>
      </c>
    </row>
    <row r="18" ht="18" customHeight="1" s="1232">
      <c r="C18" s="1236" t="inlineStr">
        <is>
          <t>Apr</t>
        </is>
      </c>
      <c r="D18" s="626" t="n">
        <v>9</v>
      </c>
      <c r="E18" s="44" t="n">
        <v>9</v>
      </c>
      <c r="F18" s="624" t="n">
        <v>10</v>
      </c>
      <c r="G18" s="298" t="n">
        <v>10</v>
      </c>
      <c r="H18" s="626" t="n">
        <v>11</v>
      </c>
      <c r="I18" s="36" t="n">
        <v>11</v>
      </c>
      <c r="J18" s="624" t="n">
        <v>12</v>
      </c>
      <c r="K18" s="624" t="n">
        <v>12</v>
      </c>
      <c r="L18" s="36" t="n">
        <v>13</v>
      </c>
      <c r="M18" s="36" t="n">
        <v>13</v>
      </c>
      <c r="N18" s="36" t="n">
        <v>14</v>
      </c>
      <c r="O18" s="36" t="n">
        <v>14</v>
      </c>
      <c r="P18" s="36" t="n">
        <v>15</v>
      </c>
      <c r="Q18" s="15" t="n">
        <v>15</v>
      </c>
      <c r="R18" s="1239" t="inlineStr">
        <is>
          <t>Hartland</t>
        </is>
      </c>
      <c r="AA18" s="1236" t="inlineStr">
        <is>
          <t>Apr</t>
        </is>
      </c>
      <c r="AB18" s="15">
        <f>AH17+1</f>
        <v/>
      </c>
      <c r="AC18" s="39">
        <f>AB18+1</f>
        <v/>
      </c>
      <c r="AD18" s="15">
        <f>AC18+1</f>
        <v/>
      </c>
      <c r="AE18" s="41">
        <f>AD18+1</f>
        <v/>
      </c>
      <c r="AF18" s="36">
        <f>AE18+1</f>
        <v/>
      </c>
      <c r="AG18" s="36">
        <f>AF18+1</f>
        <v/>
      </c>
      <c r="AH18" s="36">
        <f>AG18+1</f>
        <v/>
      </c>
      <c r="AJ18" s="1239" t="inlineStr">
        <is>
          <t>Hartland</t>
        </is>
      </c>
      <c r="AK18" s="1236" t="inlineStr">
        <is>
          <t>Apr</t>
        </is>
      </c>
      <c r="AL18" s="626">
        <f>AR17+1</f>
        <v/>
      </c>
      <c r="AM18" s="624">
        <f>AL18+1</f>
        <v/>
      </c>
      <c r="AN18" s="626">
        <f>AM18+1</f>
        <v/>
      </c>
      <c r="AO18" s="624">
        <f>AN18+1</f>
        <v/>
      </c>
      <c r="AP18" s="36">
        <f>AO18+1</f>
        <v/>
      </c>
      <c r="AQ18" s="36">
        <f>AP18+1</f>
        <v/>
      </c>
      <c r="AR18" s="36">
        <f>AQ18+1</f>
        <v/>
      </c>
    </row>
    <row r="19" ht="18" customHeight="1" s="1232">
      <c r="C19" s="1236" t="inlineStr">
        <is>
          <t>Apr</t>
        </is>
      </c>
      <c r="D19" s="624" t="n">
        <v>16</v>
      </c>
      <c r="E19" s="628" t="n">
        <v>16</v>
      </c>
      <c r="F19" s="626" t="n">
        <v>17</v>
      </c>
      <c r="G19" s="298" t="n">
        <v>17</v>
      </c>
      <c r="H19" s="624" t="n">
        <v>18</v>
      </c>
      <c r="I19" s="524" t="n">
        <v>18</v>
      </c>
      <c r="J19" s="624" t="n">
        <v>19</v>
      </c>
      <c r="K19" s="41" t="n">
        <v>19</v>
      </c>
      <c r="L19" s="12" t="n">
        <v>20</v>
      </c>
      <c r="M19" s="12" t="n">
        <v>20</v>
      </c>
      <c r="N19" s="12" t="n">
        <v>21</v>
      </c>
      <c r="O19" s="12" t="n">
        <v>21</v>
      </c>
      <c r="P19" s="12" t="n">
        <v>22</v>
      </c>
      <c r="Q19" s="12" t="n">
        <v>22</v>
      </c>
      <c r="R19" s="1230" t="inlineStr">
        <is>
          <t>Batsford 17th</t>
        </is>
      </c>
      <c r="AA19" s="1236" t="inlineStr">
        <is>
          <t>Apr</t>
        </is>
      </c>
      <c r="AB19" s="15">
        <f>AH18+1</f>
        <v/>
      </c>
      <c r="AC19" s="39">
        <f>AB19+1</f>
        <v/>
      </c>
      <c r="AD19" s="524">
        <f>AC19+1</f>
        <v/>
      </c>
      <c r="AE19" s="41">
        <f>AD19+1</f>
        <v/>
      </c>
      <c r="AF19" s="12">
        <f>AE19+1</f>
        <v/>
      </c>
      <c r="AG19" s="12">
        <f>AF19+1</f>
        <v/>
      </c>
      <c r="AH19" s="12">
        <f>AG19+1</f>
        <v/>
      </c>
      <c r="AJ19" s="1230" t="inlineStr">
        <is>
          <t>Batsford 17th</t>
        </is>
      </c>
      <c r="AK19" s="1236" t="inlineStr">
        <is>
          <t>Apr</t>
        </is>
      </c>
      <c r="AL19" s="624">
        <f>AR18+1</f>
        <v/>
      </c>
      <c r="AM19" s="626">
        <f>AL19+1</f>
        <v/>
      </c>
      <c r="AN19" s="624">
        <f>AM19+1</f>
        <v/>
      </c>
      <c r="AO19" s="624">
        <f>AN19+1</f>
        <v/>
      </c>
      <c r="AP19" s="12">
        <f>AO19+1</f>
        <v/>
      </c>
      <c r="AQ19" s="12">
        <f>AP19+1</f>
        <v/>
      </c>
      <c r="AR19" s="12">
        <f>AQ19+1</f>
        <v/>
      </c>
    </row>
    <row r="20" ht="18" customHeight="1" s="1232">
      <c r="C20" s="1236" t="inlineStr">
        <is>
          <t>Apr</t>
        </is>
      </c>
      <c r="D20" s="624" t="n">
        <v>23</v>
      </c>
      <c r="E20" s="15" t="n">
        <v>23</v>
      </c>
      <c r="F20" s="624" t="n">
        <v>24</v>
      </c>
      <c r="G20" s="298" t="n">
        <v>24</v>
      </c>
      <c r="H20" s="626" t="n">
        <v>25</v>
      </c>
      <c r="I20" s="44" t="n">
        <v>25</v>
      </c>
      <c r="J20" s="38" t="n">
        <v>26</v>
      </c>
      <c r="K20" s="298" t="n">
        <v>26</v>
      </c>
      <c r="L20" s="38" t="n">
        <v>27</v>
      </c>
      <c r="M20" s="628" t="n">
        <v>27</v>
      </c>
      <c r="N20" s="38" t="n">
        <v>28</v>
      </c>
      <c r="O20" s="15" t="n">
        <v>28</v>
      </c>
      <c r="P20" s="38" t="n">
        <v>29</v>
      </c>
      <c r="Q20" s="15" t="n">
        <v>29</v>
      </c>
      <c r="R20" s="1248" t="inlineStr">
        <is>
          <t>Bluebells  Batsford 25th</t>
        </is>
      </c>
      <c r="AA20" s="1236" t="inlineStr">
        <is>
          <t>Apr</t>
        </is>
      </c>
      <c r="AB20" s="15">
        <f>AH19+1</f>
        <v/>
      </c>
      <c r="AC20" s="37">
        <f>AB20+1</f>
        <v/>
      </c>
      <c r="AD20" s="15">
        <f>AC20+1</f>
        <v/>
      </c>
      <c r="AE20" s="298">
        <f>AD20+1</f>
        <v/>
      </c>
      <c r="AF20" s="15">
        <f>AE20+1</f>
        <v/>
      </c>
      <c r="AG20" s="15">
        <f>AF20+1</f>
        <v/>
      </c>
      <c r="AH20" s="15">
        <f>AG20+1</f>
        <v/>
      </c>
      <c r="AJ20" s="1248" t="inlineStr">
        <is>
          <t>Bluebells  Batsford 25th</t>
        </is>
      </c>
      <c r="AK20" s="1236" t="inlineStr">
        <is>
          <t>Apr</t>
        </is>
      </c>
      <c r="AL20" s="624">
        <f>AR19+1</f>
        <v/>
      </c>
      <c r="AM20" s="624">
        <f>AL20+1</f>
        <v/>
      </c>
      <c r="AN20" s="626">
        <f>AM20+1</f>
        <v/>
      </c>
      <c r="AO20" s="38">
        <f>AN20+1</f>
        <v/>
      </c>
      <c r="AP20" s="38">
        <f>AO20+1</f>
        <v/>
      </c>
      <c r="AQ20" s="38">
        <f>AP20+1</f>
        <v/>
      </c>
      <c r="AR20" s="38">
        <f>AQ20+1</f>
        <v/>
      </c>
    </row>
    <row r="21" ht="18" customHeight="1" s="1232">
      <c r="C21" s="1240" t="inlineStr">
        <is>
          <t>Apr/May</t>
        </is>
      </c>
      <c r="D21" s="38" t="n">
        <v>30</v>
      </c>
      <c r="E21" s="36" t="n">
        <v>30</v>
      </c>
      <c r="F21" s="38" t="n">
        <v>1</v>
      </c>
      <c r="G21" s="298" t="n">
        <v>1</v>
      </c>
      <c r="H21" s="38" t="n">
        <v>2</v>
      </c>
      <c r="I21" s="42" t="n">
        <v>2</v>
      </c>
      <c r="J21" s="624" t="n">
        <v>3</v>
      </c>
      <c r="K21" s="298" t="n">
        <v>3</v>
      </c>
      <c r="L21" s="12" t="n">
        <v>4</v>
      </c>
      <c r="M21" s="12" t="n">
        <v>4</v>
      </c>
      <c r="N21" s="12" t="n">
        <v>5</v>
      </c>
      <c r="O21" s="12" t="n">
        <v>5</v>
      </c>
      <c r="P21" s="12" t="n">
        <v>6</v>
      </c>
      <c r="Q21" s="12" t="n">
        <v>6</v>
      </c>
      <c r="R21" s="627" t="inlineStr">
        <is>
          <t>Chesterton/ Bluebells</t>
        </is>
      </c>
      <c r="AA21" s="1240" t="inlineStr">
        <is>
          <t>Apr/May</t>
        </is>
      </c>
      <c r="AB21" s="36">
        <f>AH20+1</f>
        <v/>
      </c>
      <c r="AC21" s="37" t="n">
        <v>1</v>
      </c>
      <c r="AD21" s="42">
        <f>AC21+1</f>
        <v/>
      </c>
      <c r="AE21" s="298">
        <f>AD21+1</f>
        <v/>
      </c>
      <c r="AF21" s="12">
        <f>AE21+1</f>
        <v/>
      </c>
      <c r="AG21" s="12">
        <f>AF21+1</f>
        <v/>
      </c>
      <c r="AH21" s="12">
        <f>AG21+1</f>
        <v/>
      </c>
      <c r="AJ21" s="627" t="inlineStr">
        <is>
          <t>Chesterton</t>
        </is>
      </c>
      <c r="AK21" s="1240" t="inlineStr">
        <is>
          <t>Apr/May</t>
        </is>
      </c>
      <c r="AL21" s="624">
        <f>AR20+1</f>
        <v/>
      </c>
      <c r="AM21" s="624" t="n">
        <v>1</v>
      </c>
      <c r="AN21" s="624">
        <f>AM21+1</f>
        <v/>
      </c>
      <c r="AO21" s="624">
        <f>AN21+1</f>
        <v/>
      </c>
      <c r="AP21" s="12">
        <f>AO21+1</f>
        <v/>
      </c>
      <c r="AQ21" s="12">
        <f>AP21+1</f>
        <v/>
      </c>
      <c r="AR21" s="12">
        <f>AQ21+1</f>
        <v/>
      </c>
    </row>
    <row r="22" ht="18" customHeight="1" s="1232">
      <c r="C22" s="1236" t="inlineStr">
        <is>
          <t>May</t>
        </is>
      </c>
      <c r="D22" s="12" t="n">
        <v>7</v>
      </c>
      <c r="E22" s="44" t="n">
        <v>7</v>
      </c>
      <c r="F22" s="624" t="n">
        <v>8</v>
      </c>
      <c r="G22" s="39" t="n">
        <v>8</v>
      </c>
      <c r="H22" s="624" t="n">
        <v>9</v>
      </c>
      <c r="I22" s="42" t="n">
        <v>9</v>
      </c>
      <c r="J22" s="624" t="n">
        <v>10</v>
      </c>
      <c r="K22" s="298" t="n">
        <v>10</v>
      </c>
      <c r="L22" s="36" t="n">
        <v>11</v>
      </c>
      <c r="M22" s="36" t="n">
        <v>11</v>
      </c>
      <c r="N22" s="36" t="n">
        <v>12</v>
      </c>
      <c r="O22" s="36" t="n">
        <v>12</v>
      </c>
      <c r="P22" s="36" t="n">
        <v>13</v>
      </c>
      <c r="Q22" s="36" t="n">
        <v>13</v>
      </c>
      <c r="R22" s="1239" t="inlineStr">
        <is>
          <t>Bank Holiday / Northumbria</t>
        </is>
      </c>
      <c r="AA22" s="1236" t="inlineStr">
        <is>
          <t>May</t>
        </is>
      </c>
      <c r="AB22" s="12">
        <f>AH21+1</f>
        <v/>
      </c>
      <c r="AC22" s="37">
        <f>AB22+1</f>
        <v/>
      </c>
      <c r="AD22" s="42">
        <f>AC22+1</f>
        <v/>
      </c>
      <c r="AE22" s="298">
        <f>AD22+1</f>
        <v/>
      </c>
      <c r="AF22" s="36">
        <f>AE22+1</f>
        <v/>
      </c>
      <c r="AG22" s="36">
        <f>AF22+1</f>
        <v/>
      </c>
      <c r="AH22" s="36">
        <f>AG22+1</f>
        <v/>
      </c>
      <c r="AJ22" s="1239" t="inlineStr">
        <is>
          <t>Bank Holiday / Northumbria</t>
        </is>
      </c>
      <c r="AK22" s="1236" t="inlineStr">
        <is>
          <t>May</t>
        </is>
      </c>
      <c r="AL22" s="625">
        <f>AR21+1</f>
        <v/>
      </c>
      <c r="AM22" s="624">
        <f>AL22+1</f>
        <v/>
      </c>
      <c r="AN22" s="624">
        <f>AM22+1</f>
        <v/>
      </c>
      <c r="AO22" s="624">
        <f>AN22+1</f>
        <v/>
      </c>
      <c r="AP22" s="36">
        <f>AO22+1</f>
        <v/>
      </c>
      <c r="AQ22" s="36">
        <f>AP22+1</f>
        <v/>
      </c>
      <c r="AR22" s="36">
        <f>AQ22+1</f>
        <v/>
      </c>
    </row>
    <row r="23" ht="18" customHeight="1" s="1232">
      <c r="C23" s="1236" t="inlineStr">
        <is>
          <t>May</t>
        </is>
      </c>
      <c r="D23" s="624" t="n">
        <v>14</v>
      </c>
      <c r="E23" s="628" t="n">
        <v>14</v>
      </c>
      <c r="F23" s="626" t="n">
        <v>15</v>
      </c>
      <c r="G23" s="628" t="n">
        <v>15</v>
      </c>
      <c r="H23" s="624" t="n">
        <v>16</v>
      </c>
      <c r="I23" s="524" t="n">
        <v>16</v>
      </c>
      <c r="J23" s="624" t="n">
        <v>17</v>
      </c>
      <c r="K23" s="298" t="n">
        <v>17</v>
      </c>
      <c r="L23" s="12" t="n">
        <v>18</v>
      </c>
      <c r="M23" s="12" t="n">
        <v>18</v>
      </c>
      <c r="N23" s="12" t="n">
        <v>19</v>
      </c>
      <c r="O23" s="12" t="n">
        <v>19</v>
      </c>
      <c r="P23" s="12" t="n">
        <v>20</v>
      </c>
      <c r="Q23" s="12" t="n">
        <v>20</v>
      </c>
      <c r="R23" s="1239" t="inlineStr">
        <is>
          <t>Batsford 14th</t>
        </is>
      </c>
      <c r="AA23" s="1236" t="inlineStr">
        <is>
          <t>May</t>
        </is>
      </c>
      <c r="AB23" s="15">
        <f>AH22+1</f>
        <v/>
      </c>
      <c r="AC23" s="37">
        <f>AB23+1</f>
        <v/>
      </c>
      <c r="AD23" s="524">
        <f>AC23+1</f>
        <v/>
      </c>
      <c r="AE23" s="298">
        <f>AD23+1</f>
        <v/>
      </c>
      <c r="AF23" s="12">
        <f>AE23+1</f>
        <v/>
      </c>
      <c r="AG23" s="12">
        <f>AF23+1</f>
        <v/>
      </c>
      <c r="AH23" s="12">
        <f>AG23+1</f>
        <v/>
      </c>
      <c r="AJ23" s="1239" t="inlineStr">
        <is>
          <t>Batsford 14th</t>
        </is>
      </c>
      <c r="AK23" s="1236" t="inlineStr">
        <is>
          <t>May</t>
        </is>
      </c>
      <c r="AL23" s="626">
        <f>AR22+1</f>
        <v/>
      </c>
      <c r="AM23" s="624">
        <f>AL23+1</f>
        <v/>
      </c>
      <c r="AN23" s="624">
        <f>AM23+1</f>
        <v/>
      </c>
      <c r="AO23" s="624">
        <f>AN23+1</f>
        <v/>
      </c>
      <c r="AP23" s="12">
        <f>AO23+1</f>
        <v/>
      </c>
      <c r="AQ23" s="12">
        <f>AP23+1</f>
        <v/>
      </c>
      <c r="AR23" s="12">
        <f>AQ23+1</f>
        <v/>
      </c>
    </row>
    <row r="24" ht="18" customHeight="1" s="1232">
      <c r="C24" s="1236" t="inlineStr">
        <is>
          <t>May</t>
        </is>
      </c>
      <c r="D24" s="36" t="n">
        <v>21</v>
      </c>
      <c r="E24" s="36" t="n">
        <v>21</v>
      </c>
      <c r="F24" s="36" t="n">
        <v>22</v>
      </c>
      <c r="G24" s="36" t="n">
        <v>22</v>
      </c>
      <c r="H24" s="36" t="n">
        <v>23</v>
      </c>
      <c r="I24" s="36" t="n">
        <v>23</v>
      </c>
      <c r="J24" s="36" t="n">
        <v>24</v>
      </c>
      <c r="K24" s="36" t="n">
        <v>24</v>
      </c>
      <c r="L24" s="36" t="n">
        <v>25</v>
      </c>
      <c r="M24" s="36" t="n">
        <v>25</v>
      </c>
      <c r="N24" s="36" t="n">
        <v>26</v>
      </c>
      <c r="O24" s="36" t="n">
        <v>26</v>
      </c>
      <c r="P24" s="36" t="n">
        <v>27</v>
      </c>
      <c r="Q24" s="36" t="n">
        <v>27</v>
      </c>
      <c r="R24" s="1239" t="inlineStr">
        <is>
          <t>French Riviera</t>
        </is>
      </c>
      <c r="AA24" s="1236" t="inlineStr">
        <is>
          <t>May</t>
        </is>
      </c>
      <c r="AB24" s="36">
        <f>AH23+1</f>
        <v/>
      </c>
      <c r="AC24" s="36">
        <f>AB24+1</f>
        <v/>
      </c>
      <c r="AD24" s="36">
        <f>AC24+1</f>
        <v/>
      </c>
      <c r="AE24" s="36">
        <f>AD24+1</f>
        <v/>
      </c>
      <c r="AF24" s="36">
        <f>AE24+1</f>
        <v/>
      </c>
      <c r="AG24" s="36">
        <f>AF24+1</f>
        <v/>
      </c>
      <c r="AH24" s="36">
        <f>AG24+1</f>
        <v/>
      </c>
      <c r="AJ24" s="1239" t="inlineStr">
        <is>
          <t>French Riviera</t>
        </is>
      </c>
      <c r="AK24" s="1236" t="inlineStr">
        <is>
          <t>May</t>
        </is>
      </c>
      <c r="AL24" s="36">
        <f>AR23+1</f>
        <v/>
      </c>
      <c r="AM24" s="36">
        <f>AL24+1</f>
        <v/>
      </c>
      <c r="AN24" s="36">
        <f>AM24+1</f>
        <v/>
      </c>
      <c r="AO24" s="36">
        <f>AN24+1</f>
        <v/>
      </c>
      <c r="AP24" s="36">
        <f>AO24+1</f>
        <v/>
      </c>
      <c r="AQ24" s="36">
        <f>AP24+1</f>
        <v/>
      </c>
      <c r="AR24" s="36">
        <f>AQ24+1</f>
        <v/>
      </c>
    </row>
    <row r="25" ht="18" customHeight="1" s="1232">
      <c r="C25" s="1240" t="inlineStr">
        <is>
          <t>May/Jun</t>
        </is>
      </c>
      <c r="D25" s="36" t="n">
        <v>28</v>
      </c>
      <c r="E25" s="36" t="n">
        <v>28</v>
      </c>
      <c r="F25" s="626" t="n">
        <v>29</v>
      </c>
      <c r="G25" s="39" t="n">
        <v>29</v>
      </c>
      <c r="H25" s="12" t="n">
        <v>30</v>
      </c>
      <c r="I25" s="12" t="n">
        <v>30</v>
      </c>
      <c r="J25" s="626" t="n">
        <v>31</v>
      </c>
      <c r="K25" s="12" t="n">
        <v>31</v>
      </c>
      <c r="L25" s="12" t="n">
        <v>1</v>
      </c>
      <c r="M25" s="12" t="n">
        <v>1</v>
      </c>
      <c r="N25" s="12" t="n">
        <v>2</v>
      </c>
      <c r="O25" s="12" t="n">
        <v>2</v>
      </c>
      <c r="P25" s="12" t="n">
        <v>3</v>
      </c>
      <c r="Q25" s="12" t="n">
        <v>3</v>
      </c>
      <c r="R25" s="1239" t="inlineStr">
        <is>
          <t>Half Term  Batsford 29th 31st</t>
        </is>
      </c>
      <c r="AA25" s="1240" t="inlineStr">
        <is>
          <t>May/Jun</t>
        </is>
      </c>
      <c r="AB25" s="36">
        <f>AH24+1</f>
        <v/>
      </c>
      <c r="AC25" s="39">
        <f>AB25+1</f>
        <v/>
      </c>
      <c r="AD25" s="12">
        <f>AC25+1</f>
        <v/>
      </c>
      <c r="AE25" s="12">
        <f>AD25+1</f>
        <v/>
      </c>
      <c r="AF25" s="12" t="n">
        <v>1</v>
      </c>
      <c r="AG25" s="12">
        <f>AF25+1</f>
        <v/>
      </c>
      <c r="AH25" s="12">
        <f>AG25+1</f>
        <v/>
      </c>
      <c r="AJ25" s="1239" t="inlineStr">
        <is>
          <t>Half Term  Batsford 29th 31st</t>
        </is>
      </c>
      <c r="AK25" s="1240" t="inlineStr">
        <is>
          <t>May/Jun</t>
        </is>
      </c>
      <c r="AL25" s="36">
        <f>AR24+1</f>
        <v/>
      </c>
      <c r="AM25" s="626">
        <f>AL25+1</f>
        <v/>
      </c>
      <c r="AN25" s="12">
        <f>AM25+1</f>
        <v/>
      </c>
      <c r="AO25" s="626">
        <f>AN25+1</f>
        <v/>
      </c>
      <c r="AP25" s="12" t="n">
        <v>1</v>
      </c>
      <c r="AQ25" s="12">
        <f>AP25+1</f>
        <v/>
      </c>
      <c r="AR25" s="12">
        <f>AQ25+1</f>
        <v/>
      </c>
    </row>
    <row r="26" ht="18" customHeight="1" s="1232">
      <c r="C26" s="1236" t="inlineStr">
        <is>
          <t>Jun</t>
        </is>
      </c>
      <c r="D26" s="15" t="n">
        <v>4</v>
      </c>
      <c r="E26" s="628" t="n">
        <v>4</v>
      </c>
      <c r="F26" s="626" t="n">
        <v>5</v>
      </c>
      <c r="G26" s="39" t="n">
        <v>5</v>
      </c>
      <c r="H26" s="624" t="n">
        <v>6</v>
      </c>
      <c r="I26" s="44" t="n">
        <v>6</v>
      </c>
      <c r="J26" s="624" t="n">
        <v>7</v>
      </c>
      <c r="K26" s="41" t="n">
        <v>7</v>
      </c>
      <c r="L26" s="36" t="n">
        <v>8</v>
      </c>
      <c r="M26" s="36" t="n">
        <v>8</v>
      </c>
      <c r="N26" s="36" t="n">
        <v>9</v>
      </c>
      <c r="O26" s="36" t="n">
        <v>9</v>
      </c>
      <c r="P26" s="36" t="n">
        <v>10</v>
      </c>
      <c r="Q26" s="36" t="n">
        <v>10</v>
      </c>
      <c r="R26" s="1239" t="inlineStr">
        <is>
          <t>Snowdonia  Batsford 5th</t>
        </is>
      </c>
      <c r="AA26" s="1236" t="inlineStr">
        <is>
          <t>Jun</t>
        </is>
      </c>
      <c r="AB26" s="15">
        <f>AH25+1</f>
        <v/>
      </c>
      <c r="AC26" s="39">
        <f>AB26+1</f>
        <v/>
      </c>
      <c r="AD26" s="15">
        <f>AC26+1</f>
        <v/>
      </c>
      <c r="AE26" s="41">
        <f>AD26+1</f>
        <v/>
      </c>
      <c r="AF26" s="36">
        <f>AE26+1</f>
        <v/>
      </c>
      <c r="AG26" s="36">
        <f>AF26+1</f>
        <v/>
      </c>
      <c r="AH26" s="36">
        <f>AG26+1</f>
        <v/>
      </c>
      <c r="AJ26" s="1239" t="inlineStr">
        <is>
          <t>Snowdonia  Batsford 5th</t>
        </is>
      </c>
      <c r="AK26" s="1236" t="inlineStr">
        <is>
          <t>Jun</t>
        </is>
      </c>
      <c r="AL26" s="624">
        <f>AR25+1</f>
        <v/>
      </c>
      <c r="AM26" s="626">
        <f>AL26+1</f>
        <v/>
      </c>
      <c r="AN26" s="624">
        <f>AM26+1</f>
        <v/>
      </c>
      <c r="AO26" s="624">
        <f>AN26+1</f>
        <v/>
      </c>
      <c r="AP26" s="36">
        <f>AO26+1</f>
        <v/>
      </c>
      <c r="AQ26" s="36">
        <f>AP26+1</f>
        <v/>
      </c>
      <c r="AR26" s="36">
        <f>AQ26+1</f>
        <v/>
      </c>
    </row>
    <row r="27" ht="18" customHeight="1" s="1232">
      <c r="C27" s="1236" t="inlineStr">
        <is>
          <t>Jun</t>
        </is>
      </c>
      <c r="D27" s="15" t="n">
        <v>11</v>
      </c>
      <c r="E27" s="44" t="n">
        <v>11</v>
      </c>
      <c r="F27" s="624" t="n">
        <v>12</v>
      </c>
      <c r="G27" s="36" t="n">
        <v>12</v>
      </c>
      <c r="H27" s="624" t="n">
        <v>13</v>
      </c>
      <c r="I27" s="524" t="n">
        <v>13</v>
      </c>
      <c r="J27" s="624" t="n">
        <v>14</v>
      </c>
      <c r="K27" s="41" t="n">
        <v>14</v>
      </c>
      <c r="L27" s="12" t="n">
        <v>15</v>
      </c>
      <c r="M27" s="12" t="n">
        <v>15</v>
      </c>
      <c r="N27" s="12" t="n">
        <v>16</v>
      </c>
      <c r="O27" s="12" t="n">
        <v>16</v>
      </c>
      <c r="P27" s="12" t="n">
        <v>17</v>
      </c>
      <c r="Q27" s="12" t="n">
        <v>17</v>
      </c>
      <c r="R27" s="1239" t="inlineStr">
        <is>
          <t>Fathers Day</t>
        </is>
      </c>
      <c r="AA27" s="1236" t="inlineStr">
        <is>
          <t>Jun</t>
        </is>
      </c>
      <c r="AB27" s="15">
        <f>AH26+1</f>
        <v/>
      </c>
      <c r="AC27" s="37">
        <f>AB27+1</f>
        <v/>
      </c>
      <c r="AD27" s="524">
        <f>AC27+1</f>
        <v/>
      </c>
      <c r="AE27" s="41">
        <f>AD27+1</f>
        <v/>
      </c>
      <c r="AF27" s="12">
        <f>AE27+1</f>
        <v/>
      </c>
      <c r="AG27" s="12">
        <f>AF27+1</f>
        <v/>
      </c>
      <c r="AH27" s="12">
        <f>AG27+1</f>
        <v/>
      </c>
      <c r="AJ27" s="1239" t="inlineStr">
        <is>
          <t>Fathers Day</t>
        </is>
      </c>
      <c r="AK27" s="1236" t="inlineStr">
        <is>
          <t>Jun</t>
        </is>
      </c>
      <c r="AL27" s="624">
        <f>AR26+1</f>
        <v/>
      </c>
      <c r="AM27" s="624">
        <f>AL27+1</f>
        <v/>
      </c>
      <c r="AN27" s="624">
        <f>AM27+1</f>
        <v/>
      </c>
      <c r="AO27" s="624">
        <f>AN27+1</f>
        <v/>
      </c>
      <c r="AP27" s="12">
        <f>AO27+1</f>
        <v/>
      </c>
      <c r="AQ27" s="12">
        <f>AP27+1</f>
        <v/>
      </c>
      <c r="AR27" s="12">
        <f>AQ27+1</f>
        <v/>
      </c>
    </row>
    <row r="28" ht="18" customHeight="1" s="1232">
      <c r="C28" s="1236" t="inlineStr">
        <is>
          <t>Jun</t>
        </is>
      </c>
      <c r="D28" s="15" t="n">
        <v>18</v>
      </c>
      <c r="E28" s="36" t="n">
        <v>18</v>
      </c>
      <c r="F28" s="624" t="n">
        <v>19</v>
      </c>
      <c r="G28" s="36" t="n">
        <v>19</v>
      </c>
      <c r="H28" s="626" t="n">
        <v>20</v>
      </c>
      <c r="I28" s="36" t="n">
        <v>20</v>
      </c>
      <c r="J28" s="624" t="n">
        <v>21</v>
      </c>
      <c r="K28" s="36" t="n">
        <v>21</v>
      </c>
      <c r="L28" s="15" t="n">
        <v>22</v>
      </c>
      <c r="M28" s="628" t="n">
        <v>22</v>
      </c>
      <c r="N28" s="36" t="n">
        <v>23</v>
      </c>
      <c r="O28" s="15" t="n">
        <v>23</v>
      </c>
      <c r="P28" s="36" t="n">
        <v>24</v>
      </c>
      <c r="Q28" s="36" t="n">
        <v>24</v>
      </c>
      <c r="R28" s="1239" t="inlineStr">
        <is>
          <t>Poppies- Aberdovey??  Batsford 20th</t>
        </is>
      </c>
      <c r="AA28" s="1236" t="inlineStr">
        <is>
          <t>Jun</t>
        </is>
      </c>
      <c r="AB28" s="36">
        <f>AH27+1</f>
        <v/>
      </c>
      <c r="AC28" s="37">
        <f>AB28+1</f>
        <v/>
      </c>
      <c r="AD28" s="36">
        <f>AC28+1</f>
        <v/>
      </c>
      <c r="AE28" s="36">
        <f>AD28+1</f>
        <v/>
      </c>
      <c r="AF28" s="15">
        <f>AE28+1</f>
        <v/>
      </c>
      <c r="AG28" s="628">
        <f>AF28+1</f>
        <v/>
      </c>
      <c r="AH28" s="628">
        <f>AG28+1</f>
        <v/>
      </c>
      <c r="AJ28" s="1239" t="inlineStr">
        <is>
          <t>Poppies- Aberdovey??  Batsford 20th</t>
        </is>
      </c>
      <c r="AK28" s="1236" t="inlineStr">
        <is>
          <t>Jun</t>
        </is>
      </c>
      <c r="AL28" s="624">
        <f>AR27+1</f>
        <v/>
      </c>
      <c r="AM28" s="624">
        <f>AL28+1</f>
        <v/>
      </c>
      <c r="AN28" s="626">
        <f>AM28+1</f>
        <v/>
      </c>
      <c r="AO28" s="624">
        <f>AN28+1</f>
        <v/>
      </c>
      <c r="AP28" s="15">
        <f>AO28+1</f>
        <v/>
      </c>
      <c r="AQ28" s="36">
        <f>AP28+1</f>
        <v/>
      </c>
      <c r="AR28" s="36">
        <f>AQ28+1</f>
        <v/>
      </c>
    </row>
    <row r="29" ht="18" customHeight="1" s="1232">
      <c r="C29" s="1236" t="inlineStr">
        <is>
          <t>Jun</t>
        </is>
      </c>
      <c r="D29" s="15" t="n">
        <v>25</v>
      </c>
      <c r="E29" s="298" t="n">
        <v>25</v>
      </c>
      <c r="F29" s="624" t="n">
        <v>26</v>
      </c>
      <c r="G29" s="44" t="n">
        <v>26</v>
      </c>
      <c r="H29" s="624" t="n">
        <v>27</v>
      </c>
      <c r="I29" s="524" t="n">
        <v>27</v>
      </c>
      <c r="J29" s="624" t="n">
        <v>28</v>
      </c>
      <c r="K29" s="40" t="n">
        <v>28</v>
      </c>
      <c r="L29" s="12" t="n">
        <v>29</v>
      </c>
      <c r="M29" s="12" t="n">
        <v>29</v>
      </c>
      <c r="N29" s="12" t="n">
        <v>30</v>
      </c>
      <c r="O29" s="12" t="n">
        <v>30</v>
      </c>
      <c r="P29" s="12" t="n">
        <v>1</v>
      </c>
      <c r="Q29" s="12" t="n">
        <v>1</v>
      </c>
      <c r="AA29" s="1236" t="inlineStr">
        <is>
          <t>Jun</t>
        </is>
      </c>
      <c r="AB29" s="15">
        <f>AH28+1</f>
        <v/>
      </c>
      <c r="AC29" s="37">
        <f>AB29+1</f>
        <v/>
      </c>
      <c r="AD29" s="524">
        <f>AC29+1</f>
        <v/>
      </c>
      <c r="AE29" s="40">
        <f>AD29+1</f>
        <v/>
      </c>
      <c r="AF29" s="12">
        <f>AE29+1</f>
        <v/>
      </c>
      <c r="AG29" s="12">
        <f>AF29+1</f>
        <v/>
      </c>
      <c r="AH29" s="12" t="n">
        <v>1</v>
      </c>
      <c r="AK29" s="1236" t="inlineStr">
        <is>
          <t>Jun</t>
        </is>
      </c>
      <c r="AL29" s="624">
        <f>AR28+1</f>
        <v/>
      </c>
      <c r="AM29" s="624">
        <f>AL29+1</f>
        <v/>
      </c>
      <c r="AN29" s="624">
        <f>AM29+1</f>
        <v/>
      </c>
      <c r="AO29" s="624">
        <f>AN29+1</f>
        <v/>
      </c>
      <c r="AP29" s="12">
        <f>AO29+1</f>
        <v/>
      </c>
      <c r="AQ29" s="12">
        <f>AP29+1</f>
        <v/>
      </c>
      <c r="AR29" s="12" t="n">
        <v>1</v>
      </c>
    </row>
    <row r="30" ht="18" customHeight="1" s="1232">
      <c r="C30" s="1240" t="inlineStr">
        <is>
          <t>Jun/Jul</t>
        </is>
      </c>
      <c r="D30" s="15" t="n">
        <v>2</v>
      </c>
      <c r="E30" s="298" t="n">
        <v>2</v>
      </c>
      <c r="F30" s="624" t="n">
        <v>3</v>
      </c>
      <c r="G30" s="44" t="n">
        <v>3</v>
      </c>
      <c r="H30" s="624" t="n">
        <v>4</v>
      </c>
      <c r="I30" s="44" t="n">
        <v>4</v>
      </c>
      <c r="J30" s="624" t="n">
        <v>5</v>
      </c>
      <c r="K30" s="40" t="n">
        <v>5</v>
      </c>
      <c r="L30" s="15" t="n">
        <v>6</v>
      </c>
      <c r="M30" s="15" t="n">
        <v>6</v>
      </c>
      <c r="N30" s="36" t="n">
        <v>7</v>
      </c>
      <c r="O30" s="36" t="n">
        <v>7</v>
      </c>
      <c r="P30" s="36" t="n">
        <v>8</v>
      </c>
      <c r="Q30" s="36" t="n">
        <v>8</v>
      </c>
      <c r="R30" s="1239" t="inlineStr">
        <is>
          <t xml:space="preserve"> Burnham or Anglesey</t>
        </is>
      </c>
      <c r="AA30" s="1240" t="inlineStr">
        <is>
          <t>Jun/Jul</t>
        </is>
      </c>
      <c r="AB30" s="36">
        <f>AH29+1</f>
        <v/>
      </c>
      <c r="AC30" s="37">
        <f>AB30+1</f>
        <v/>
      </c>
      <c r="AD30" s="36">
        <f>AC30+1</f>
        <v/>
      </c>
      <c r="AE30" s="40">
        <f>AD30+1</f>
        <v/>
      </c>
      <c r="AF30" s="15">
        <f>AE30+1</f>
        <v/>
      </c>
      <c r="AG30" s="15">
        <f>AF30+1</f>
        <v/>
      </c>
      <c r="AH30" s="36">
        <f>AG30+1</f>
        <v/>
      </c>
      <c r="AJ30" s="1239" t="inlineStr">
        <is>
          <t>Delphiniums / Burnham Long Exposure</t>
        </is>
      </c>
      <c r="AK30" s="1240" t="inlineStr">
        <is>
          <t>Jun/Jul</t>
        </is>
      </c>
      <c r="AL30" s="624">
        <f>AR29+1</f>
        <v/>
      </c>
      <c r="AM30" s="624">
        <f>AL30+1</f>
        <v/>
      </c>
      <c r="AN30" s="624">
        <f>AM30+1</f>
        <v/>
      </c>
      <c r="AO30" s="624">
        <f>AN30+1</f>
        <v/>
      </c>
      <c r="AP30" s="15">
        <f>AO30+1</f>
        <v/>
      </c>
      <c r="AQ30" s="36">
        <f>AP30+1</f>
        <v/>
      </c>
      <c r="AR30" s="36">
        <f>AQ30+1</f>
        <v/>
      </c>
    </row>
    <row r="31" ht="18" customHeight="1" s="1232">
      <c r="C31" s="1236" t="inlineStr">
        <is>
          <t>Jul</t>
        </is>
      </c>
      <c r="D31" s="15" t="n">
        <v>9</v>
      </c>
      <c r="E31" s="298" t="n">
        <v>9</v>
      </c>
      <c r="F31" s="624" t="n">
        <v>10</v>
      </c>
      <c r="G31" s="628" t="n">
        <v>10</v>
      </c>
      <c r="H31" s="626" t="n">
        <v>11</v>
      </c>
      <c r="I31" s="524" t="n">
        <v>11</v>
      </c>
      <c r="J31" s="624" t="n">
        <v>12</v>
      </c>
      <c r="K31" s="40" t="n">
        <v>12</v>
      </c>
      <c r="L31" s="43" t="n">
        <v>13</v>
      </c>
      <c r="M31" s="43" t="n">
        <v>13</v>
      </c>
      <c r="N31" s="43" t="n">
        <v>14</v>
      </c>
      <c r="O31" s="43" t="n">
        <v>14</v>
      </c>
      <c r="P31" s="43" t="n">
        <v>15</v>
      </c>
      <c r="Q31" s="43" t="n">
        <v>15</v>
      </c>
      <c r="R31" s="1239" t="inlineStr">
        <is>
          <t>Ruby breaks up. Jo Cornish Workshop  Batsford 9th Jul</t>
        </is>
      </c>
      <c r="AA31" s="1236" t="inlineStr">
        <is>
          <t>Jul</t>
        </is>
      </c>
      <c r="AB31" s="15">
        <f>AH30+1</f>
        <v/>
      </c>
      <c r="AC31" s="15">
        <f>AB31+1</f>
        <v/>
      </c>
      <c r="AD31" s="524">
        <f>AC31+1</f>
        <v/>
      </c>
      <c r="AE31" s="40">
        <f>AD31+1</f>
        <v/>
      </c>
      <c r="AF31" s="15">
        <f>AE31+1</f>
        <v/>
      </c>
      <c r="AG31" s="43">
        <f>AF31+1</f>
        <v/>
      </c>
      <c r="AH31" s="43">
        <f>AG31+1</f>
        <v/>
      </c>
      <c r="AJ31" s="1239" t="inlineStr">
        <is>
          <t>Ruby breaks up. Jo Cornish Workshop  Batsford 9th Jul</t>
        </is>
      </c>
      <c r="AK31" s="1236" t="inlineStr">
        <is>
          <t>Jul</t>
        </is>
      </c>
      <c r="AL31" s="626">
        <f>AR30+1</f>
        <v/>
      </c>
      <c r="AM31" s="624">
        <f>AL31+1</f>
        <v/>
      </c>
      <c r="AN31" s="624">
        <f>AM31+1</f>
        <v/>
      </c>
      <c r="AO31" s="624">
        <f>AN31+1</f>
        <v/>
      </c>
      <c r="AP31" s="15">
        <f>AO31+1</f>
        <v/>
      </c>
      <c r="AQ31" s="43">
        <f>AP31+1</f>
        <v/>
      </c>
      <c r="AR31" s="43">
        <f>AQ31+1</f>
        <v/>
      </c>
    </row>
    <row r="32" ht="18" customHeight="1" s="1232">
      <c r="C32" s="1236" t="inlineStr">
        <is>
          <t>Jul</t>
        </is>
      </c>
      <c r="D32" s="624" t="n">
        <v>16</v>
      </c>
      <c r="E32" s="298" t="n">
        <v>16</v>
      </c>
      <c r="F32" s="624" t="n">
        <v>17</v>
      </c>
      <c r="G32" s="628" t="n">
        <v>17</v>
      </c>
      <c r="H32" s="626" t="n">
        <v>18</v>
      </c>
      <c r="I32" s="524" t="n">
        <v>18</v>
      </c>
      <c r="J32" s="624" t="n">
        <v>19</v>
      </c>
      <c r="K32" s="40" t="n">
        <v>19</v>
      </c>
      <c r="L32" s="12" t="n">
        <v>20</v>
      </c>
      <c r="M32" s="12" t="n">
        <v>20</v>
      </c>
      <c r="N32" s="43" t="n">
        <v>21</v>
      </c>
      <c r="O32" s="43" t="n">
        <v>21</v>
      </c>
      <c r="P32" s="12" t="n">
        <v>22</v>
      </c>
      <c r="Q32" s="12" t="n">
        <v>22</v>
      </c>
      <c r="R32" s="1239" t="inlineStr">
        <is>
          <t>Garden Party  Batsford 18th Jul</t>
        </is>
      </c>
      <c r="AA32" s="1236" t="inlineStr">
        <is>
          <t>Jul</t>
        </is>
      </c>
      <c r="AB32" s="15">
        <f>AH31+1</f>
        <v/>
      </c>
      <c r="AC32" s="15">
        <f>AB32+1</f>
        <v/>
      </c>
      <c r="AD32" s="15">
        <f>AC32+1</f>
        <v/>
      </c>
      <c r="AE32" s="40">
        <f>AD32+1</f>
        <v/>
      </c>
      <c r="AF32" s="12">
        <f>AE32+1</f>
        <v/>
      </c>
      <c r="AG32" s="43">
        <f>AF32+1</f>
        <v/>
      </c>
      <c r="AH32" s="12">
        <f>AG32+1</f>
        <v/>
      </c>
      <c r="AJ32" s="1239" t="inlineStr">
        <is>
          <t>Garden Party  Batsford 18th Jul</t>
        </is>
      </c>
      <c r="AK32" s="1236" t="inlineStr">
        <is>
          <t>Jul</t>
        </is>
      </c>
      <c r="AL32" s="624">
        <f>AR31+1</f>
        <v/>
      </c>
      <c r="AM32" s="624">
        <f>AL32+1</f>
        <v/>
      </c>
      <c r="AN32" s="626">
        <f>AM32+1</f>
        <v/>
      </c>
      <c r="AO32" s="624">
        <f>AN32+1</f>
        <v/>
      </c>
      <c r="AP32" s="12">
        <f>AO32+1</f>
        <v/>
      </c>
      <c r="AQ32" s="43">
        <f>AP32+1</f>
        <v/>
      </c>
      <c r="AR32" s="12">
        <f>AQ32+1</f>
        <v/>
      </c>
    </row>
    <row r="33" ht="18" customHeight="1" s="1232">
      <c r="C33" s="1236" t="inlineStr">
        <is>
          <t>Jul</t>
        </is>
      </c>
      <c r="D33" s="12" t="n">
        <v>23</v>
      </c>
      <c r="E33" s="12" t="n">
        <v>23</v>
      </c>
      <c r="F33" s="12" t="n">
        <v>24</v>
      </c>
      <c r="G33" s="12" t="n">
        <v>24</v>
      </c>
      <c r="H33" s="12" t="n">
        <v>25</v>
      </c>
      <c r="I33" s="12" t="n">
        <v>25</v>
      </c>
      <c r="J33" s="12" t="n">
        <v>26</v>
      </c>
      <c r="K33" s="12" t="n">
        <v>26</v>
      </c>
      <c r="L33" s="12" t="n">
        <v>27</v>
      </c>
      <c r="M33" s="12" t="n">
        <v>27</v>
      </c>
      <c r="N33" s="36" t="n">
        <v>28</v>
      </c>
      <c r="O33" s="36" t="n">
        <v>28</v>
      </c>
      <c r="P33" s="36" t="n">
        <v>29</v>
      </c>
      <c r="Q33" s="15" t="n">
        <v>29</v>
      </c>
      <c r="R33" s="1239" t="inlineStr">
        <is>
          <t>Lavender Somerset</t>
        </is>
      </c>
      <c r="AA33" s="1236" t="inlineStr">
        <is>
          <t>Jul</t>
        </is>
      </c>
      <c r="AB33" s="12">
        <f>AH32+1</f>
        <v/>
      </c>
      <c r="AC33" s="12">
        <f>AB33+1</f>
        <v/>
      </c>
      <c r="AD33" s="12">
        <f>AC33+1</f>
        <v/>
      </c>
      <c r="AE33" s="12">
        <f>AD33+1</f>
        <v/>
      </c>
      <c r="AF33" s="12">
        <f>AE33+1</f>
        <v/>
      </c>
      <c r="AG33" s="36">
        <f>AF33+1</f>
        <v/>
      </c>
      <c r="AH33" s="36">
        <f>AG33+1</f>
        <v/>
      </c>
      <c r="AJ33" s="1239" t="inlineStr">
        <is>
          <t>Lavender Somerset</t>
        </is>
      </c>
      <c r="AK33" s="1236" t="inlineStr">
        <is>
          <t>Jul</t>
        </is>
      </c>
      <c r="AL33" s="12">
        <f>AR32+1</f>
        <v/>
      </c>
      <c r="AM33" s="12">
        <f>AL33+1</f>
        <v/>
      </c>
      <c r="AN33" s="12">
        <f>AM33+1</f>
        <v/>
      </c>
      <c r="AO33" s="12">
        <f>AN33+1</f>
        <v/>
      </c>
      <c r="AP33" s="12">
        <f>AO33+1</f>
        <v/>
      </c>
      <c r="AQ33" s="36">
        <f>AP33+1</f>
        <v/>
      </c>
      <c r="AR33" s="36">
        <f>AQ33+1</f>
        <v/>
      </c>
    </row>
    <row r="34" ht="18" customHeight="1" s="1232">
      <c r="C34" s="1240" t="inlineStr">
        <is>
          <t>Jul/Aug</t>
        </is>
      </c>
      <c r="D34" s="626" t="n">
        <v>30</v>
      </c>
      <c r="E34" s="43" t="n">
        <v>30</v>
      </c>
      <c r="F34" s="43" t="n">
        <v>31</v>
      </c>
      <c r="G34" s="43" t="n">
        <v>31</v>
      </c>
      <c r="H34" s="43" t="n">
        <v>1</v>
      </c>
      <c r="I34" s="43" t="n">
        <v>1</v>
      </c>
      <c r="J34" s="43" t="n">
        <v>2</v>
      </c>
      <c r="K34" s="43" t="n">
        <v>2</v>
      </c>
      <c r="L34" s="43" t="n">
        <v>3</v>
      </c>
      <c r="M34" s="43" t="n">
        <v>3</v>
      </c>
      <c r="N34" s="43" t="n">
        <v>4</v>
      </c>
      <c r="O34" s="43" t="n">
        <v>4</v>
      </c>
      <c r="P34" s="43" t="n">
        <v>5</v>
      </c>
      <c r="Q34" s="43" t="n">
        <v>5</v>
      </c>
      <c r="R34" s="1239" t="inlineStr">
        <is>
          <t>Where to go?</t>
        </is>
      </c>
      <c r="AA34" s="1240" t="inlineStr">
        <is>
          <t>Jul/Aug</t>
        </is>
      </c>
      <c r="AB34" s="43">
        <f>AH33+1</f>
        <v/>
      </c>
      <c r="AC34" s="43">
        <f>AB34+1</f>
        <v/>
      </c>
      <c r="AD34" s="43" t="n">
        <v>1</v>
      </c>
      <c r="AE34" s="43">
        <f>AD34+1</f>
        <v/>
      </c>
      <c r="AF34" s="43">
        <f>AE34+1</f>
        <v/>
      </c>
      <c r="AG34" s="43">
        <f>AF34+1</f>
        <v/>
      </c>
      <c r="AH34" s="43">
        <f>AG34+1</f>
        <v/>
      </c>
      <c r="AJ34" s="1239" t="inlineStr">
        <is>
          <t>Where to go?</t>
        </is>
      </c>
      <c r="AK34" s="1240" t="inlineStr">
        <is>
          <t>Jul/Aug</t>
        </is>
      </c>
      <c r="AL34" s="626">
        <f>AR33+1</f>
        <v/>
      </c>
      <c r="AM34" s="43">
        <f>AL34+1</f>
        <v/>
      </c>
      <c r="AN34" s="43" t="n">
        <v>1</v>
      </c>
      <c r="AO34" s="43">
        <f>AN34+1</f>
        <v/>
      </c>
      <c r="AP34" s="43">
        <f>AO34+1</f>
        <v/>
      </c>
      <c r="AQ34" s="43">
        <f>AP34+1</f>
        <v/>
      </c>
      <c r="AR34" s="43">
        <f>AQ34+1</f>
        <v/>
      </c>
    </row>
    <row r="35" ht="18" customHeight="1" s="1232">
      <c r="C35" s="1236" t="inlineStr">
        <is>
          <t>Aug</t>
        </is>
      </c>
      <c r="D35" s="624" t="n">
        <v>6</v>
      </c>
      <c r="E35" s="44" t="n">
        <v>6</v>
      </c>
      <c r="F35" s="626" t="n">
        <v>7</v>
      </c>
      <c r="G35" s="628" t="n">
        <v>7</v>
      </c>
      <c r="H35" s="626" t="n">
        <v>8</v>
      </c>
      <c r="I35" s="44" t="n">
        <v>8</v>
      </c>
      <c r="J35" s="36" t="n">
        <v>9</v>
      </c>
      <c r="K35" s="15" t="n">
        <v>9</v>
      </c>
      <c r="L35" s="12" t="n">
        <v>10</v>
      </c>
      <c r="M35" s="12" t="n">
        <v>10</v>
      </c>
      <c r="N35" s="12" t="n">
        <v>11</v>
      </c>
      <c r="O35" s="12" t="n">
        <v>11</v>
      </c>
      <c r="P35" s="12" t="n">
        <v>12</v>
      </c>
      <c r="Q35" s="12" t="n">
        <v>12</v>
      </c>
      <c r="R35" s="1239" t="inlineStr">
        <is>
          <t>Batsford 7th  8th Peak District 9th</t>
        </is>
      </c>
      <c r="AA35" s="1236" t="inlineStr">
        <is>
          <t>Aug</t>
        </is>
      </c>
      <c r="AB35" s="15">
        <f>AH34+1</f>
        <v/>
      </c>
      <c r="AC35" s="15">
        <f>AB35+1</f>
        <v/>
      </c>
      <c r="AD35" s="15">
        <f>AC35+1</f>
        <v/>
      </c>
      <c r="AE35" s="15">
        <f>AD35+1</f>
        <v/>
      </c>
      <c r="AF35" s="12">
        <f>AE35+1</f>
        <v/>
      </c>
      <c r="AG35" s="12">
        <f>AF35+1</f>
        <v/>
      </c>
      <c r="AH35" s="12">
        <f>AG35+1</f>
        <v/>
      </c>
      <c r="AJ35" s="1239" t="inlineStr">
        <is>
          <t>Batsford 7th  8th Peak District 9th</t>
        </is>
      </c>
      <c r="AK35" s="1236" t="inlineStr">
        <is>
          <t>Aug</t>
        </is>
      </c>
      <c r="AL35" s="624">
        <f>AR34+1</f>
        <v/>
      </c>
      <c r="AM35" s="626">
        <f>AL35+1</f>
        <v/>
      </c>
      <c r="AN35" s="626">
        <f>AM35+1</f>
        <v/>
      </c>
      <c r="AO35" s="36">
        <f>AN35+1</f>
        <v/>
      </c>
      <c r="AP35" s="12">
        <f>AO35+1</f>
        <v/>
      </c>
      <c r="AQ35" s="12">
        <f>AP35+1</f>
        <v/>
      </c>
      <c r="AR35" s="12">
        <f>AQ35+1</f>
        <v/>
      </c>
    </row>
    <row r="36" ht="18" customHeight="1" s="1232">
      <c r="C36" s="1236" t="inlineStr">
        <is>
          <t>Aug</t>
        </is>
      </c>
      <c r="D36" s="12" t="n">
        <v>13</v>
      </c>
      <c r="E36" s="12" t="n">
        <v>13</v>
      </c>
      <c r="F36" s="12" t="n">
        <v>14</v>
      </c>
      <c r="G36" s="12" t="n">
        <v>14</v>
      </c>
      <c r="H36" s="12" t="n">
        <v>15</v>
      </c>
      <c r="I36" s="12" t="n">
        <v>15</v>
      </c>
      <c r="J36" s="12" t="n">
        <v>16</v>
      </c>
      <c r="K36" s="12" t="n">
        <v>16</v>
      </c>
      <c r="L36" s="12" t="n">
        <v>17</v>
      </c>
      <c r="M36" s="12" t="n">
        <v>17</v>
      </c>
      <c r="N36" s="12" t="n">
        <v>18</v>
      </c>
      <c r="O36" s="12" t="n">
        <v>18</v>
      </c>
      <c r="P36" s="12" t="n">
        <v>19</v>
      </c>
      <c r="Q36" s="12" t="n">
        <v>19</v>
      </c>
      <c r="R36" s="1239" t="n"/>
      <c r="AA36" s="1236" t="inlineStr">
        <is>
          <t>Aug</t>
        </is>
      </c>
      <c r="AB36" s="12">
        <f>AH35+1</f>
        <v/>
      </c>
      <c r="AC36" s="12">
        <f>AB36+1</f>
        <v/>
      </c>
      <c r="AD36" s="12">
        <f>AC36+1</f>
        <v/>
      </c>
      <c r="AE36" s="12">
        <f>AD36+1</f>
        <v/>
      </c>
      <c r="AF36" s="12">
        <f>AE36+1</f>
        <v/>
      </c>
      <c r="AG36" s="12">
        <f>AF36+1</f>
        <v/>
      </c>
      <c r="AH36" s="12">
        <f>AG36+1</f>
        <v/>
      </c>
      <c r="AJ36" s="1239" t="n"/>
      <c r="AK36" s="1236" t="inlineStr">
        <is>
          <t>Aug</t>
        </is>
      </c>
      <c r="AL36" s="12">
        <f>AR35+1</f>
        <v/>
      </c>
      <c r="AM36" s="12">
        <f>AL36+1</f>
        <v/>
      </c>
      <c r="AN36" s="12">
        <f>AM36+1</f>
        <v/>
      </c>
      <c r="AO36" s="12">
        <f>AN36+1</f>
        <v/>
      </c>
      <c r="AP36" s="12">
        <f>AO36+1</f>
        <v/>
      </c>
      <c r="AQ36" s="12">
        <f>AP36+1</f>
        <v/>
      </c>
      <c r="AR36" s="12">
        <f>AQ36+1</f>
        <v/>
      </c>
    </row>
    <row r="37" ht="18" customHeight="1" s="1232">
      <c r="C37" s="1236" t="inlineStr">
        <is>
          <t>Aug</t>
        </is>
      </c>
      <c r="D37" s="12" t="n">
        <v>20</v>
      </c>
      <c r="E37" s="12" t="n">
        <v>20</v>
      </c>
      <c r="F37" s="12" t="n">
        <v>21</v>
      </c>
      <c r="G37" s="12" t="n">
        <v>21</v>
      </c>
      <c r="H37" s="12" t="n">
        <v>22</v>
      </c>
      <c r="I37" s="12" t="n">
        <v>22</v>
      </c>
      <c r="J37" s="12" t="n">
        <v>23</v>
      </c>
      <c r="K37" s="12" t="n">
        <v>23</v>
      </c>
      <c r="L37" s="12" t="n">
        <v>24</v>
      </c>
      <c r="M37" s="12" t="n">
        <v>24</v>
      </c>
      <c r="N37" s="12" t="n">
        <v>25</v>
      </c>
      <c r="O37" s="12" t="n">
        <v>25</v>
      </c>
      <c r="P37" s="12" t="n">
        <v>26</v>
      </c>
      <c r="Q37" s="12" t="n">
        <v>26</v>
      </c>
      <c r="R37" s="1242" t="n"/>
      <c r="AA37" s="1236" t="inlineStr">
        <is>
          <t>Aug</t>
        </is>
      </c>
      <c r="AB37" s="12">
        <f>AH36+1</f>
        <v/>
      </c>
      <c r="AC37" s="12">
        <f>AB37+1</f>
        <v/>
      </c>
      <c r="AD37" s="12">
        <f>AC37+1</f>
        <v/>
      </c>
      <c r="AE37" s="12">
        <f>AD37+1</f>
        <v/>
      </c>
      <c r="AF37" s="12">
        <f>AE37+1</f>
        <v/>
      </c>
      <c r="AG37" s="12">
        <f>AF37+1</f>
        <v/>
      </c>
      <c r="AH37" s="12">
        <f>AG37+1</f>
        <v/>
      </c>
      <c r="AJ37" s="1242" t="n"/>
      <c r="AK37" s="1236" t="inlineStr">
        <is>
          <t>Aug</t>
        </is>
      </c>
      <c r="AL37" s="12">
        <f>AR36+1</f>
        <v/>
      </c>
      <c r="AM37" s="12">
        <f>AL37+1</f>
        <v/>
      </c>
      <c r="AN37" s="12">
        <f>AM37+1</f>
        <v/>
      </c>
      <c r="AO37" s="12">
        <f>AN37+1</f>
        <v/>
      </c>
      <c r="AP37" s="12">
        <f>AO37+1</f>
        <v/>
      </c>
      <c r="AQ37" s="12">
        <f>AP37+1</f>
        <v/>
      </c>
      <c r="AR37" s="12">
        <f>AQ37+1</f>
        <v/>
      </c>
    </row>
    <row r="38" ht="18" customHeight="1" s="1232">
      <c r="C38" s="1243" t="inlineStr">
        <is>
          <t>Aug/Sep</t>
        </is>
      </c>
      <c r="D38" s="12" t="n">
        <v>27</v>
      </c>
      <c r="E38" s="12" t="n">
        <v>27</v>
      </c>
      <c r="F38" s="36" t="n">
        <v>28</v>
      </c>
      <c r="G38" s="677" t="n">
        <v>28</v>
      </c>
      <c r="H38" s="626" t="n">
        <v>29</v>
      </c>
      <c r="I38" s="628" t="n">
        <v>29</v>
      </c>
      <c r="J38" s="36" t="n">
        <v>30</v>
      </c>
      <c r="K38" s="44" t="n">
        <v>30</v>
      </c>
      <c r="L38" s="36" t="n">
        <v>31</v>
      </c>
      <c r="M38" s="36" t="n">
        <v>31</v>
      </c>
      <c r="N38" s="36" t="n">
        <v>1</v>
      </c>
      <c r="O38" s="36" t="n">
        <v>1</v>
      </c>
      <c r="P38" s="36" t="n">
        <v>2</v>
      </c>
      <c r="Q38" s="36" t="n">
        <v>2</v>
      </c>
      <c r="R38" s="1239" t="inlineStr">
        <is>
          <t>Sunflowers/Charlecote Park/Peak District  Batsford 29th</t>
        </is>
      </c>
      <c r="AA38" s="1243" t="inlineStr">
        <is>
          <t>Aug/Sep</t>
        </is>
      </c>
      <c r="AB38" s="12">
        <f>AH37+1</f>
        <v/>
      </c>
      <c r="AC38" s="13">
        <f>AB38+1</f>
        <v/>
      </c>
      <c r="AD38" s="13">
        <f>AC38+1</f>
        <v/>
      </c>
      <c r="AE38" s="36">
        <f>AD38+1</f>
        <v/>
      </c>
      <c r="AF38" s="36">
        <f>AE38+1</f>
        <v/>
      </c>
      <c r="AG38" s="36" t="n">
        <v>1</v>
      </c>
      <c r="AH38" s="36">
        <f>AG38+1</f>
        <v/>
      </c>
      <c r="AJ38" s="1239" t="inlineStr">
        <is>
          <t>Sunflowers/Charlecote Park/Peak District  Batsford 29th</t>
        </is>
      </c>
      <c r="AK38" s="1243" t="inlineStr">
        <is>
          <t>Aug/Sep</t>
        </is>
      </c>
      <c r="AL38" s="12">
        <f>AR37+1</f>
        <v/>
      </c>
      <c r="AM38" s="36">
        <f>AL38+1</f>
        <v/>
      </c>
      <c r="AN38" s="626">
        <f>AM38+1</f>
        <v/>
      </c>
      <c r="AO38" s="36">
        <f>AN38+1</f>
        <v/>
      </c>
      <c r="AP38" s="36">
        <f>AO38+1</f>
        <v/>
      </c>
      <c r="AQ38" s="36" t="n">
        <v>1</v>
      </c>
      <c r="AR38" s="36">
        <f>AQ38+1</f>
        <v/>
      </c>
    </row>
    <row r="39" ht="18" customHeight="1" s="1232">
      <c r="C39" s="1236" t="inlineStr">
        <is>
          <t>Sep</t>
        </is>
      </c>
      <c r="D39" s="15" t="n">
        <v>3</v>
      </c>
      <c r="E39" s="15" t="n">
        <v>3</v>
      </c>
      <c r="F39" s="626" t="n">
        <v>4</v>
      </c>
      <c r="G39" s="677" t="n">
        <v>4</v>
      </c>
      <c r="H39" s="15" t="n">
        <v>5</v>
      </c>
      <c r="I39" s="628" t="n">
        <v>4</v>
      </c>
      <c r="J39" s="15" t="n">
        <v>6</v>
      </c>
      <c r="K39" s="677" t="n">
        <v>6</v>
      </c>
      <c r="L39" s="12" t="n">
        <v>7</v>
      </c>
      <c r="M39" s="12" t="n">
        <v>7</v>
      </c>
      <c r="N39" s="12" t="n">
        <v>8</v>
      </c>
      <c r="O39" s="12" t="n">
        <v>8</v>
      </c>
      <c r="P39" s="12" t="n">
        <v>9</v>
      </c>
      <c r="Q39" s="12" t="n">
        <v>9</v>
      </c>
      <c r="R39" s="1230" t="inlineStr">
        <is>
          <t>Batsford 3rd</t>
        </is>
      </c>
      <c r="AA39" s="1236" t="inlineStr">
        <is>
          <t>Sep</t>
        </is>
      </c>
      <c r="AB39" s="15">
        <f>AH38+1</f>
        <v/>
      </c>
      <c r="AC39" s="15">
        <f>AB39+1</f>
        <v/>
      </c>
      <c r="AD39" s="15">
        <f>AC39+1</f>
        <v/>
      </c>
      <c r="AE39" s="15">
        <f>AD39+1</f>
        <v/>
      </c>
      <c r="AF39" s="12">
        <f>AE39+1</f>
        <v/>
      </c>
      <c r="AG39" s="12">
        <f>AF39+1</f>
        <v/>
      </c>
      <c r="AH39" s="12">
        <f>AG39+1</f>
        <v/>
      </c>
      <c r="AJ39" s="1230" t="inlineStr">
        <is>
          <t>Batsford 3rd</t>
        </is>
      </c>
      <c r="AK39" s="1236" t="inlineStr">
        <is>
          <t>Sep</t>
        </is>
      </c>
      <c r="AL39" s="626">
        <f>AR38+1</f>
        <v/>
      </c>
      <c r="AM39" s="15">
        <f>AL39+1</f>
        <v/>
      </c>
      <c r="AN39" s="15">
        <f>AM39+1</f>
        <v/>
      </c>
      <c r="AO39" s="15">
        <f>AN39+1</f>
        <v/>
      </c>
      <c r="AP39" s="12">
        <f>AO39+1</f>
        <v/>
      </c>
      <c r="AQ39" s="12">
        <f>AP39+1</f>
        <v/>
      </c>
      <c r="AR39" s="12">
        <f>AQ39+1</f>
        <v/>
      </c>
    </row>
    <row r="40" ht="18" customHeight="1" s="1232">
      <c r="C40" s="1236" t="inlineStr">
        <is>
          <t>Sep</t>
        </is>
      </c>
      <c r="D40" s="15" t="n">
        <v>10</v>
      </c>
      <c r="E40" s="15" t="n">
        <v>10</v>
      </c>
      <c r="F40" s="15" t="n">
        <v>11</v>
      </c>
      <c r="G40" s="678" t="n">
        <v>11</v>
      </c>
      <c r="H40" s="15" t="n">
        <v>12</v>
      </c>
      <c r="I40" s="628" t="n">
        <v>12</v>
      </c>
      <c r="J40" s="15" t="n">
        <v>13</v>
      </c>
      <c r="K40" s="676" t="n">
        <v>13</v>
      </c>
      <c r="L40" s="36" t="n">
        <v>14</v>
      </c>
      <c r="M40" s="36" t="n">
        <v>14</v>
      </c>
      <c r="N40" s="36" t="n">
        <v>15</v>
      </c>
      <c r="O40" s="36" t="n">
        <v>15</v>
      </c>
      <c r="P40" s="36" t="n">
        <v>16</v>
      </c>
      <c r="Q40" s="15" t="n">
        <v>16</v>
      </c>
      <c r="R40" s="1239" t="inlineStr">
        <is>
          <t>Lake District</t>
        </is>
      </c>
      <c r="AA40" s="1236" t="inlineStr">
        <is>
          <t>Sep</t>
        </is>
      </c>
      <c r="AB40" s="15">
        <f>AH39+1</f>
        <v/>
      </c>
      <c r="AC40" s="15">
        <f>AB40+1</f>
        <v/>
      </c>
      <c r="AD40" s="15">
        <f>AC40+1</f>
        <v/>
      </c>
      <c r="AE40" s="15">
        <f>AD40+1</f>
        <v/>
      </c>
      <c r="AF40" s="36">
        <f>AE40+1</f>
        <v/>
      </c>
      <c r="AG40" s="36">
        <f>AF40+1</f>
        <v/>
      </c>
      <c r="AH40" s="36">
        <f>AG40+1</f>
        <v/>
      </c>
      <c r="AJ40" s="1239" t="inlineStr">
        <is>
          <t>Lake District</t>
        </is>
      </c>
      <c r="AK40" s="1236" t="inlineStr">
        <is>
          <t>Sep</t>
        </is>
      </c>
      <c r="AL40" s="15">
        <f>AR39+1</f>
        <v/>
      </c>
      <c r="AM40" s="15">
        <f>AL40+1</f>
        <v/>
      </c>
      <c r="AN40" s="15">
        <f>AM40+1</f>
        <v/>
      </c>
      <c r="AO40" s="15">
        <f>AN40+1</f>
        <v/>
      </c>
      <c r="AP40" s="36">
        <f>AO40+1</f>
        <v/>
      </c>
      <c r="AQ40" s="36">
        <f>AP40+1</f>
        <v/>
      </c>
      <c r="AR40" s="36">
        <f>AQ40+1</f>
        <v/>
      </c>
    </row>
    <row r="41" ht="18" customHeight="1" s="1232">
      <c r="C41" s="1236" t="inlineStr">
        <is>
          <t>Sep</t>
        </is>
      </c>
      <c r="D41" s="15" t="n">
        <v>17</v>
      </c>
      <c r="E41" s="15" t="n">
        <v>17</v>
      </c>
      <c r="F41" s="15" t="n">
        <v>18</v>
      </c>
      <c r="G41" s="678" t="n">
        <v>18</v>
      </c>
      <c r="H41" s="15" t="n">
        <v>19</v>
      </c>
      <c r="I41" s="524" t="n">
        <v>19</v>
      </c>
      <c r="J41" s="15" t="n">
        <v>20</v>
      </c>
      <c r="K41" s="676" t="n">
        <v>20</v>
      </c>
      <c r="L41" s="12" t="n">
        <v>21</v>
      </c>
      <c r="M41" s="12" t="n">
        <v>21</v>
      </c>
      <c r="N41" s="12" t="n">
        <v>22</v>
      </c>
      <c r="O41" s="12" t="n">
        <v>22</v>
      </c>
      <c r="P41" s="12" t="n">
        <v>23</v>
      </c>
      <c r="Q41" s="12" t="n">
        <v>23</v>
      </c>
      <c r="R41" s="1239" t="n"/>
      <c r="AA41" s="1236" t="inlineStr">
        <is>
          <t>Sep</t>
        </is>
      </c>
      <c r="AB41" s="15">
        <f>AH40+1</f>
        <v/>
      </c>
      <c r="AC41" s="15">
        <f>AB41+1</f>
        <v/>
      </c>
      <c r="AD41" s="15">
        <f>AC41+1</f>
        <v/>
      </c>
      <c r="AE41" s="15">
        <f>AD41+1</f>
        <v/>
      </c>
      <c r="AF41" s="12">
        <f>AE41+1</f>
        <v/>
      </c>
      <c r="AG41" s="12">
        <f>AF41+1</f>
        <v/>
      </c>
      <c r="AH41" s="12">
        <f>AG41+1</f>
        <v/>
      </c>
      <c r="AJ41" s="1239" t="n"/>
      <c r="AK41" s="1236" t="inlineStr">
        <is>
          <t>Sep</t>
        </is>
      </c>
      <c r="AL41" s="15">
        <f>AR40+1</f>
        <v/>
      </c>
      <c r="AM41" s="15">
        <f>AL41+1</f>
        <v/>
      </c>
      <c r="AN41" s="15">
        <f>AM41+1</f>
        <v/>
      </c>
      <c r="AO41" s="15">
        <f>AN41+1</f>
        <v/>
      </c>
      <c r="AP41" s="12">
        <f>AO41+1</f>
        <v/>
      </c>
      <c r="AQ41" s="12">
        <f>AP41+1</f>
        <v/>
      </c>
      <c r="AR41" s="12">
        <f>AQ41+1</f>
        <v/>
      </c>
    </row>
    <row r="42" ht="18" customHeight="1" s="1232">
      <c r="C42" s="1236" t="inlineStr">
        <is>
          <t>Sep</t>
        </is>
      </c>
      <c r="D42" s="15" t="n">
        <v>24</v>
      </c>
      <c r="E42" s="15" t="n">
        <v>24</v>
      </c>
      <c r="F42" s="15" t="n">
        <v>25</v>
      </c>
      <c r="G42" s="678" t="n">
        <v>25</v>
      </c>
      <c r="H42" s="626" t="n">
        <v>26</v>
      </c>
      <c r="I42" s="15" t="n">
        <v>26</v>
      </c>
      <c r="J42" s="15" t="n">
        <v>27</v>
      </c>
      <c r="K42" s="676" t="n">
        <v>27</v>
      </c>
      <c r="L42" s="36" t="n">
        <v>28</v>
      </c>
      <c r="M42" s="36" t="n">
        <v>28</v>
      </c>
      <c r="N42" s="36" t="n">
        <v>29</v>
      </c>
      <c r="O42" s="36" t="n">
        <v>29</v>
      </c>
      <c r="P42" s="36" t="n">
        <v>30</v>
      </c>
      <c r="Q42" s="15" t="n">
        <v>30</v>
      </c>
      <c r="R42" s="1239" t="inlineStr">
        <is>
          <t>Norfolk or Suffolk Batsford 26th</t>
        </is>
      </c>
      <c r="AA42" s="1236" t="inlineStr">
        <is>
          <t>Sep</t>
        </is>
      </c>
      <c r="AB42" s="15">
        <f>AH41+1</f>
        <v/>
      </c>
      <c r="AC42" s="15">
        <f>AB42+1</f>
        <v/>
      </c>
      <c r="AD42" s="15">
        <f>AC42+1</f>
        <v/>
      </c>
      <c r="AE42" s="15">
        <f>AD42+1</f>
        <v/>
      </c>
      <c r="AF42" s="36">
        <f>AE42+1</f>
        <v/>
      </c>
      <c r="AG42" s="36">
        <f>AF42+1</f>
        <v/>
      </c>
      <c r="AH42" s="36">
        <f>AG42+1</f>
        <v/>
      </c>
      <c r="AJ42" s="1239" t="inlineStr">
        <is>
          <t>Norfolk  Batsford 26th</t>
        </is>
      </c>
      <c r="AK42" s="1236" t="inlineStr">
        <is>
          <t>Sep</t>
        </is>
      </c>
      <c r="AL42" s="15">
        <f>AR41+1</f>
        <v/>
      </c>
      <c r="AM42" s="15">
        <f>AL42+1</f>
        <v/>
      </c>
      <c r="AN42" s="626">
        <f>AM42+1</f>
        <v/>
      </c>
      <c r="AO42" s="15">
        <f>AN42+1</f>
        <v/>
      </c>
      <c r="AP42" s="36">
        <f>AO42+1</f>
        <v/>
      </c>
      <c r="AQ42" s="36">
        <f>AP42+1</f>
        <v/>
      </c>
      <c r="AR42" s="36">
        <f>AQ42+1</f>
        <v/>
      </c>
    </row>
    <row r="43" ht="18" customHeight="1" s="1232">
      <c r="C43" s="1240" t="inlineStr">
        <is>
          <t>Oct</t>
        </is>
      </c>
      <c r="D43" s="15" t="n">
        <v>1</v>
      </c>
      <c r="E43" s="628" t="n">
        <v>1</v>
      </c>
      <c r="F43" s="15" t="n">
        <v>2</v>
      </c>
      <c r="G43" s="678" t="n">
        <v>2</v>
      </c>
      <c r="H43" s="15" t="n">
        <v>3</v>
      </c>
      <c r="I43" s="524" t="n">
        <v>3</v>
      </c>
      <c r="J43" s="15" t="n">
        <v>4</v>
      </c>
      <c r="K43" s="676" t="n">
        <v>4</v>
      </c>
      <c r="L43" s="12" t="n">
        <v>5</v>
      </c>
      <c r="M43" s="12" t="n">
        <v>5</v>
      </c>
      <c r="N43" s="12" t="n">
        <v>6</v>
      </c>
      <c r="O43" s="12" t="n">
        <v>6</v>
      </c>
      <c r="P43" s="12" t="n">
        <v>7</v>
      </c>
      <c r="Q43" s="12" t="n">
        <v>7</v>
      </c>
      <c r="R43" s="1248" t="n"/>
      <c r="AA43" s="1240" t="inlineStr">
        <is>
          <t>Oct</t>
        </is>
      </c>
      <c r="AB43" s="15" t="n">
        <v>1</v>
      </c>
      <c r="AC43" s="15">
        <f>AB43+1</f>
        <v/>
      </c>
      <c r="AD43" s="15">
        <f>AC43+1</f>
        <v/>
      </c>
      <c r="AE43" s="15">
        <f>AD43+1</f>
        <v/>
      </c>
      <c r="AF43" s="12">
        <f>AE43+1</f>
        <v/>
      </c>
      <c r="AG43" s="12">
        <f>AF43+1</f>
        <v/>
      </c>
      <c r="AH43" s="12">
        <f>AG43+1</f>
        <v/>
      </c>
      <c r="AJ43" s="1248" t="n"/>
      <c r="AK43" s="1240" t="inlineStr">
        <is>
          <t>Oct</t>
        </is>
      </c>
      <c r="AL43" s="15" t="n">
        <v>1</v>
      </c>
      <c r="AM43" s="15">
        <f>AL43+1</f>
        <v/>
      </c>
      <c r="AN43" s="15">
        <f>AM43+1</f>
        <v/>
      </c>
      <c r="AO43" s="15">
        <f>AN43+1</f>
        <v/>
      </c>
      <c r="AP43" s="12">
        <f>AO43+1</f>
        <v/>
      </c>
      <c r="AQ43" s="12">
        <f>AP43+1</f>
        <v/>
      </c>
      <c r="AR43" s="12">
        <f>AQ43+1</f>
        <v/>
      </c>
    </row>
    <row r="44" ht="18" customHeight="1" s="1232">
      <c r="C44" s="1236" t="inlineStr">
        <is>
          <t>Oct</t>
        </is>
      </c>
      <c r="D44" s="15" t="n">
        <v>8</v>
      </c>
      <c r="E44" s="675" t="n">
        <v>8</v>
      </c>
      <c r="F44" s="626" t="n">
        <v>9</v>
      </c>
      <c r="G44" s="677" t="n">
        <v>9</v>
      </c>
      <c r="H44" s="15" t="n">
        <v>10</v>
      </c>
      <c r="I44" s="628" t="n">
        <v>10</v>
      </c>
      <c r="J44" s="15" t="n">
        <v>11</v>
      </c>
      <c r="K44" s="677" t="n">
        <v>11</v>
      </c>
      <c r="L44" s="36" t="n">
        <v>12</v>
      </c>
      <c r="M44" s="36" t="n">
        <v>12</v>
      </c>
      <c r="N44" s="36" t="n">
        <v>13</v>
      </c>
      <c r="O44" s="36" t="n">
        <v>13</v>
      </c>
      <c r="P44" s="36" t="n">
        <v>14</v>
      </c>
      <c r="Q44" s="36" t="n">
        <v>14</v>
      </c>
      <c r="R44" s="1239" t="inlineStr">
        <is>
          <t>Northumbria  Batsford 9th</t>
        </is>
      </c>
      <c r="AA44" s="1236" t="inlineStr">
        <is>
          <t>Oct</t>
        </is>
      </c>
      <c r="AB44" s="15">
        <f>AH43+1</f>
        <v/>
      </c>
      <c r="AC44" s="15">
        <f>AB44+1</f>
        <v/>
      </c>
      <c r="AD44" s="15">
        <f>AC44+1</f>
        <v/>
      </c>
      <c r="AE44" s="15">
        <f>AD44+1</f>
        <v/>
      </c>
      <c r="AF44" s="36">
        <f>AE44+1</f>
        <v/>
      </c>
      <c r="AG44" s="36">
        <f>AF44+1</f>
        <v/>
      </c>
      <c r="AH44" s="36">
        <f>AG44+1</f>
        <v/>
      </c>
      <c r="AJ44" s="1239" t="inlineStr">
        <is>
          <t>Northumbria  Batsford 9th</t>
        </is>
      </c>
      <c r="AK44" s="1236" t="inlineStr">
        <is>
          <t>Oct</t>
        </is>
      </c>
      <c r="AL44" s="15">
        <f>AR43+1</f>
        <v/>
      </c>
      <c r="AM44" s="626">
        <f>AL44+1</f>
        <v/>
      </c>
      <c r="AN44" s="15">
        <f>AM44+1</f>
        <v/>
      </c>
      <c r="AO44" s="15">
        <f>AN44+1</f>
        <v/>
      </c>
      <c r="AP44" s="36">
        <f>AO44+1</f>
        <v/>
      </c>
      <c r="AQ44" s="36">
        <f>AP44+1</f>
        <v/>
      </c>
      <c r="AR44" s="36">
        <f>AQ44+1</f>
        <v/>
      </c>
    </row>
    <row r="45" ht="18" customHeight="1" s="1232">
      <c r="C45" s="1236" t="inlineStr">
        <is>
          <t>Oct</t>
        </is>
      </c>
      <c r="D45" s="15" t="n">
        <v>15</v>
      </c>
      <c r="E45" s="675" t="n">
        <v>15</v>
      </c>
      <c r="F45" s="15" t="n">
        <v>16</v>
      </c>
      <c r="G45" s="677" t="n">
        <v>16</v>
      </c>
      <c r="H45" s="12" t="n">
        <v>17</v>
      </c>
      <c r="I45" s="12" t="n">
        <v>17</v>
      </c>
      <c r="J45" s="12" t="n">
        <v>18</v>
      </c>
      <c r="K45" s="15" t="n">
        <v>18</v>
      </c>
      <c r="L45" s="12" t="n">
        <v>19</v>
      </c>
      <c r="M45" s="12" t="n">
        <v>19</v>
      </c>
      <c r="N45" s="12" t="n">
        <v>20</v>
      </c>
      <c r="O45" s="12" t="n">
        <v>20</v>
      </c>
      <c r="P45" s="12" t="n">
        <v>21</v>
      </c>
      <c r="Q45" s="12" t="n">
        <v>21</v>
      </c>
      <c r="R45" s="1239" t="inlineStr">
        <is>
          <t>Half Term</t>
        </is>
      </c>
      <c r="AA45" s="1236" t="inlineStr">
        <is>
          <t>Oct</t>
        </is>
      </c>
      <c r="AB45" s="15">
        <f>AH44+1</f>
        <v/>
      </c>
      <c r="AC45" s="15">
        <f>AB45+1</f>
        <v/>
      </c>
      <c r="AD45" s="12">
        <f>AC45+1</f>
        <v/>
      </c>
      <c r="AE45" s="12">
        <f>AD45+1</f>
        <v/>
      </c>
      <c r="AF45" s="12">
        <f>AE45+1</f>
        <v/>
      </c>
      <c r="AG45" s="12">
        <f>AF45+1</f>
        <v/>
      </c>
      <c r="AH45" s="12">
        <f>AG45+1</f>
        <v/>
      </c>
      <c r="AJ45" s="1239" t="inlineStr">
        <is>
          <t>Half Term</t>
        </is>
      </c>
      <c r="AK45" s="1236" t="inlineStr">
        <is>
          <t>Oct</t>
        </is>
      </c>
      <c r="AL45" s="15">
        <f>AR44+1</f>
        <v/>
      </c>
      <c r="AM45" s="15">
        <f>AL45+1</f>
        <v/>
      </c>
      <c r="AN45" s="12">
        <f>AM45+1</f>
        <v/>
      </c>
      <c r="AO45" s="12">
        <f>AN45+1</f>
        <v/>
      </c>
      <c r="AP45" s="12">
        <f>AO45+1</f>
        <v/>
      </c>
      <c r="AQ45" s="12">
        <f>AP45+1</f>
        <v/>
      </c>
      <c r="AR45" s="12">
        <f>AQ45+1</f>
        <v/>
      </c>
    </row>
    <row r="46" ht="18" customHeight="1" s="1232">
      <c r="C46" s="1236" t="inlineStr">
        <is>
          <t>Oct</t>
        </is>
      </c>
      <c r="D46" s="15" t="n">
        <v>22</v>
      </c>
      <c r="E46" s="675" t="n">
        <v>22</v>
      </c>
      <c r="F46" s="626" t="n">
        <v>23</v>
      </c>
      <c r="G46" s="676" t="n">
        <v>23</v>
      </c>
      <c r="H46" s="626" t="n">
        <v>24</v>
      </c>
      <c r="I46" s="524" t="n">
        <v>24</v>
      </c>
      <c r="J46" s="626" t="n">
        <v>25</v>
      </c>
      <c r="K46" s="678" t="n">
        <v>25</v>
      </c>
      <c r="L46" s="626" t="n">
        <v>26</v>
      </c>
      <c r="M46" s="15" t="n">
        <v>26</v>
      </c>
      <c r="N46" s="626" t="n">
        <v>27</v>
      </c>
      <c r="O46" s="15" t="n">
        <v>27</v>
      </c>
      <c r="P46" s="626" t="n">
        <v>28</v>
      </c>
      <c r="Q46" s="626" t="n">
        <v>28</v>
      </c>
      <c r="R46" s="1239" t="inlineStr">
        <is>
          <t>Batsford</t>
        </is>
      </c>
      <c r="AA46" s="1236" t="inlineStr">
        <is>
          <t>Oct</t>
        </is>
      </c>
      <c r="AB46" s="15">
        <f>AH45+1</f>
        <v/>
      </c>
      <c r="AC46" s="15">
        <f>AB46+1</f>
        <v/>
      </c>
      <c r="AD46" s="38">
        <f>AC46+1</f>
        <v/>
      </c>
      <c r="AE46" s="38">
        <f>AD46+1</f>
        <v/>
      </c>
      <c r="AF46" s="38">
        <f>AE46+1</f>
        <v/>
      </c>
      <c r="AG46" s="38">
        <f>AF46+1</f>
        <v/>
      </c>
      <c r="AH46" s="38">
        <f>AG46+1</f>
        <v/>
      </c>
      <c r="AJ46" s="1239" t="inlineStr">
        <is>
          <t>Batsford</t>
        </is>
      </c>
      <c r="AK46" s="1236" t="inlineStr">
        <is>
          <t>Oct</t>
        </is>
      </c>
      <c r="AL46" s="15">
        <f>AR45+1</f>
        <v/>
      </c>
      <c r="AM46" s="15">
        <f>AL46+1</f>
        <v/>
      </c>
      <c r="AN46" s="626">
        <f>AM46+1</f>
        <v/>
      </c>
      <c r="AO46" s="626">
        <f>AN46+1</f>
        <v/>
      </c>
      <c r="AP46" s="626">
        <f>AO46+1</f>
        <v/>
      </c>
      <c r="AQ46" s="626">
        <f>AP46+1</f>
        <v/>
      </c>
      <c r="AR46" s="626">
        <f>AQ46+1</f>
        <v/>
      </c>
    </row>
    <row r="47" ht="18" customHeight="1" s="1232">
      <c r="C47" s="1240" t="inlineStr">
        <is>
          <t>Oct/Nov</t>
        </is>
      </c>
      <c r="D47" s="626" t="n">
        <v>29</v>
      </c>
      <c r="E47" s="675" t="n">
        <v>29</v>
      </c>
      <c r="F47" s="626" t="n">
        <v>30</v>
      </c>
      <c r="G47" s="676" t="n">
        <v>30</v>
      </c>
      <c r="H47" s="626" t="n">
        <v>31</v>
      </c>
      <c r="I47" s="15" t="n">
        <v>31</v>
      </c>
      <c r="J47" s="626" t="n">
        <v>1</v>
      </c>
      <c r="K47" s="677" t="n">
        <v>1</v>
      </c>
      <c r="L47" s="12" t="n">
        <v>2</v>
      </c>
      <c r="M47" s="12" t="n">
        <v>2</v>
      </c>
      <c r="N47" s="12" t="n">
        <v>3</v>
      </c>
      <c r="O47" s="12" t="n">
        <v>3</v>
      </c>
      <c r="P47" s="12" t="n">
        <v>4</v>
      </c>
      <c r="Q47" s="12" t="n">
        <v>4</v>
      </c>
      <c r="R47" s="1239" t="n"/>
      <c r="AA47" s="1240" t="inlineStr">
        <is>
          <t>Oct/Nov</t>
        </is>
      </c>
      <c r="AB47" s="38">
        <f>AH46+1</f>
        <v/>
      </c>
      <c r="AC47" s="38">
        <f>AB47+1</f>
        <v/>
      </c>
      <c r="AD47" s="38">
        <f>AC47+1</f>
        <v/>
      </c>
      <c r="AE47" s="38" t="n">
        <v>1</v>
      </c>
      <c r="AF47" s="12">
        <f>AE47+1</f>
        <v/>
      </c>
      <c r="AG47" s="12">
        <f>AF47+1</f>
        <v/>
      </c>
      <c r="AH47" s="12">
        <f>AG47+1</f>
        <v/>
      </c>
      <c r="AJ47" s="1239" t="n"/>
      <c r="AK47" s="1240" t="inlineStr">
        <is>
          <t>Oct/Nov</t>
        </is>
      </c>
      <c r="AL47" s="626">
        <f>AR46+1</f>
        <v/>
      </c>
      <c r="AM47" s="626">
        <f>AL47+1</f>
        <v/>
      </c>
      <c r="AN47" s="626">
        <f>AM47+1</f>
        <v/>
      </c>
      <c r="AO47" s="626" t="n">
        <v>1</v>
      </c>
      <c r="AP47" s="12">
        <f>AO47+1</f>
        <v/>
      </c>
      <c r="AQ47" s="12">
        <f>AP47+1</f>
        <v/>
      </c>
      <c r="AR47" s="12">
        <f>AQ47+1</f>
        <v/>
      </c>
    </row>
    <row r="48" ht="18" customHeight="1" s="1232">
      <c r="C48" s="1236" t="inlineStr">
        <is>
          <t>Nov</t>
        </is>
      </c>
      <c r="D48" s="15" t="n">
        <v>5</v>
      </c>
      <c r="E48" s="298" t="n">
        <v>5</v>
      </c>
      <c r="F48" s="15" t="n">
        <v>6</v>
      </c>
      <c r="G48" s="676" t="n">
        <v>6</v>
      </c>
      <c r="H48" s="15" t="n">
        <v>7</v>
      </c>
      <c r="I48" s="628" t="n">
        <v>7</v>
      </c>
      <c r="J48" s="15" t="n">
        <v>8</v>
      </c>
      <c r="K48" s="677" t="n">
        <v>8</v>
      </c>
      <c r="L48" s="36" t="n">
        <v>9</v>
      </c>
      <c r="M48" s="36" t="n">
        <v>9</v>
      </c>
      <c r="N48" s="36" t="n">
        <v>10</v>
      </c>
      <c r="O48" s="36" t="n">
        <v>10</v>
      </c>
      <c r="P48" s="36" t="n">
        <v>11</v>
      </c>
      <c r="Q48" s="36" t="n">
        <v>11</v>
      </c>
      <c r="R48" s="1239" t="inlineStr">
        <is>
          <t>Scotland - Glen Coe</t>
        </is>
      </c>
      <c r="AA48" s="1236" t="inlineStr">
        <is>
          <t>Nov</t>
        </is>
      </c>
      <c r="AB48" s="15">
        <f>AH47+1</f>
        <v/>
      </c>
      <c r="AC48" s="15">
        <f>AB48+1</f>
        <v/>
      </c>
      <c r="AD48" s="15">
        <f>AC48+1</f>
        <v/>
      </c>
      <c r="AE48" s="15">
        <f>AD48+1</f>
        <v/>
      </c>
      <c r="AF48" s="36">
        <f>AE48+1</f>
        <v/>
      </c>
      <c r="AG48" s="36">
        <f>AF48+1</f>
        <v/>
      </c>
      <c r="AH48" s="36">
        <f>AG48+1</f>
        <v/>
      </c>
      <c r="AJ48" s="1239" t="inlineStr">
        <is>
          <t>Glen Coe</t>
        </is>
      </c>
      <c r="AK48" s="1236" t="inlineStr">
        <is>
          <t>Nov</t>
        </is>
      </c>
      <c r="AL48" s="15">
        <f>AR47+1</f>
        <v/>
      </c>
      <c r="AM48" s="626">
        <f>AL48+1</f>
        <v/>
      </c>
      <c r="AN48" s="15">
        <f>AM48+1</f>
        <v/>
      </c>
      <c r="AO48" s="15">
        <f>AN48+1</f>
        <v/>
      </c>
      <c r="AP48" s="38">
        <f>AO48+1</f>
        <v/>
      </c>
      <c r="AQ48" s="38">
        <f>AP48+1</f>
        <v/>
      </c>
      <c r="AR48" s="38">
        <f>AQ48+1</f>
        <v/>
      </c>
    </row>
    <row r="49" ht="18" customHeight="1" s="1232">
      <c r="C49" s="1236" t="inlineStr">
        <is>
          <t>Nov</t>
        </is>
      </c>
      <c r="D49" s="15" t="n">
        <v>12</v>
      </c>
      <c r="E49" s="298" t="n">
        <v>12</v>
      </c>
      <c r="F49" s="15" t="n">
        <v>13</v>
      </c>
      <c r="G49" s="676" t="n">
        <v>13</v>
      </c>
      <c r="H49" s="15" t="n">
        <v>14</v>
      </c>
      <c r="I49" s="15" t="n">
        <v>14</v>
      </c>
      <c r="J49" s="15" t="n">
        <v>15</v>
      </c>
      <c r="K49" s="676" t="n">
        <v>15</v>
      </c>
      <c r="L49" s="12" t="n">
        <v>16</v>
      </c>
      <c r="M49" s="12" t="n">
        <v>16</v>
      </c>
      <c r="N49" s="12" t="n">
        <v>17</v>
      </c>
      <c r="O49" s="12" t="n">
        <v>17</v>
      </c>
      <c r="P49" s="12" t="n">
        <v>18</v>
      </c>
      <c r="Q49" s="12" t="n">
        <v>18</v>
      </c>
      <c r="R49" s="1239" t="n"/>
      <c r="AA49" s="1236" t="inlineStr">
        <is>
          <t>Nov</t>
        </is>
      </c>
      <c r="AB49" s="15">
        <f>AH48+1</f>
        <v/>
      </c>
      <c r="AC49" s="15">
        <f>AB49+1</f>
        <v/>
      </c>
      <c r="AD49" s="15">
        <f>AC49+1</f>
        <v/>
      </c>
      <c r="AE49" s="15">
        <f>AD49+1</f>
        <v/>
      </c>
      <c r="AF49" s="12">
        <f>AE49+1</f>
        <v/>
      </c>
      <c r="AG49" s="12">
        <f>AF49+1</f>
        <v/>
      </c>
      <c r="AH49" s="12">
        <f>AG49+1</f>
        <v/>
      </c>
      <c r="AJ49" s="1239" t="n"/>
      <c r="AK49" s="1236" t="inlineStr">
        <is>
          <t>Nov</t>
        </is>
      </c>
      <c r="AL49" s="15">
        <f>AR48+1</f>
        <v/>
      </c>
      <c r="AM49" s="15">
        <f>AL49+1</f>
        <v/>
      </c>
      <c r="AN49" s="15">
        <f>AM49+1</f>
        <v/>
      </c>
      <c r="AO49" s="15">
        <f>AN49+1</f>
        <v/>
      </c>
      <c r="AP49" s="12">
        <f>AO49+1</f>
        <v/>
      </c>
      <c r="AQ49" s="12">
        <f>AP49+1</f>
        <v/>
      </c>
      <c r="AR49" s="12">
        <f>AQ49+1</f>
        <v/>
      </c>
    </row>
    <row r="50" ht="18" customHeight="1" s="1232">
      <c r="C50" s="1236" t="inlineStr">
        <is>
          <t>Nov</t>
        </is>
      </c>
      <c r="D50" s="15" t="n">
        <v>19</v>
      </c>
      <c r="E50" s="298" t="n">
        <v>19</v>
      </c>
      <c r="F50" s="15" t="n">
        <v>20</v>
      </c>
      <c r="G50" s="677" t="n">
        <v>20</v>
      </c>
      <c r="H50" s="15" t="n">
        <v>21</v>
      </c>
      <c r="I50" s="524" t="n">
        <v>21</v>
      </c>
      <c r="J50" s="15" t="n">
        <v>22</v>
      </c>
      <c r="K50" s="676" t="n">
        <v>22</v>
      </c>
      <c r="L50" s="36" t="n">
        <v>23</v>
      </c>
      <c r="M50" s="36" t="n">
        <v>23</v>
      </c>
      <c r="N50" s="36" t="n">
        <v>24</v>
      </c>
      <c r="O50" s="36" t="n">
        <v>24</v>
      </c>
      <c r="P50" s="36" t="n">
        <v>25</v>
      </c>
      <c r="Q50" s="15" t="n">
        <v>25</v>
      </c>
      <c r="R50" s="1239" t="inlineStr">
        <is>
          <t>Lake District</t>
        </is>
      </c>
      <c r="AA50" s="1236" t="inlineStr">
        <is>
          <t>Nov</t>
        </is>
      </c>
      <c r="AB50" s="15">
        <f>AH49+1</f>
        <v/>
      </c>
      <c r="AC50" s="15">
        <f>AB50+1</f>
        <v/>
      </c>
      <c r="AD50" s="15">
        <f>AC50+1</f>
        <v/>
      </c>
      <c r="AE50" s="15">
        <f>AD50+1</f>
        <v/>
      </c>
      <c r="AF50" s="36">
        <f>AE50+1</f>
        <v/>
      </c>
      <c r="AG50" s="36">
        <f>AF50+1</f>
        <v/>
      </c>
      <c r="AH50" s="36">
        <f>AG50+1</f>
        <v/>
      </c>
      <c r="AJ50" s="1239" t="inlineStr">
        <is>
          <t>Lake District</t>
        </is>
      </c>
      <c r="AK50" s="1236" t="inlineStr">
        <is>
          <t>Nov</t>
        </is>
      </c>
      <c r="AL50" s="15">
        <f>AR49+1</f>
        <v/>
      </c>
      <c r="AM50" s="15">
        <f>AL50+1</f>
        <v/>
      </c>
      <c r="AN50" s="15">
        <f>AM50+1</f>
        <v/>
      </c>
      <c r="AO50" s="15">
        <f>AN50+1</f>
        <v/>
      </c>
      <c r="AP50" s="36">
        <f>AO50+1</f>
        <v/>
      </c>
      <c r="AQ50" s="36">
        <f>AP50+1</f>
        <v/>
      </c>
      <c r="AR50" s="36">
        <f>AQ50+1</f>
        <v/>
      </c>
    </row>
    <row r="51" ht="18" customHeight="1" s="1232">
      <c r="C51" s="1240" t="inlineStr">
        <is>
          <t>Nov/Dec</t>
        </is>
      </c>
      <c r="D51" s="15" t="n">
        <v>26</v>
      </c>
      <c r="E51" s="298" t="n">
        <v>26</v>
      </c>
      <c r="F51" s="15" t="n">
        <v>27</v>
      </c>
      <c r="G51" s="675" t="n">
        <v>27</v>
      </c>
      <c r="H51" s="15" t="n">
        <v>28</v>
      </c>
      <c r="I51" s="628" t="n">
        <v>28</v>
      </c>
      <c r="J51" s="15" t="n">
        <v>29</v>
      </c>
      <c r="K51" s="676" t="n">
        <v>29</v>
      </c>
      <c r="L51" s="12" t="n">
        <v>30</v>
      </c>
      <c r="M51" s="12" t="n">
        <v>30</v>
      </c>
      <c r="N51" s="12" t="n">
        <v>1</v>
      </c>
      <c r="O51" s="12" t="n">
        <v>1</v>
      </c>
      <c r="P51" s="12" t="n">
        <v>2</v>
      </c>
      <c r="Q51" s="12" t="n">
        <v>2</v>
      </c>
      <c r="R51" s="1239" t="n"/>
      <c r="AA51" s="1240" t="inlineStr">
        <is>
          <t>Nov/Dec</t>
        </is>
      </c>
      <c r="AB51" s="15">
        <f>AH50+1</f>
        <v/>
      </c>
      <c r="AC51" s="15">
        <f>AB51+1</f>
        <v/>
      </c>
      <c r="AD51" s="15">
        <f>AC51+1</f>
        <v/>
      </c>
      <c r="AE51" s="15">
        <f>AD51+1</f>
        <v/>
      </c>
      <c r="AF51" s="12">
        <f>AE51+1</f>
        <v/>
      </c>
      <c r="AG51" s="12" t="n">
        <v>1</v>
      </c>
      <c r="AH51" s="12">
        <f>AG51+1</f>
        <v/>
      </c>
      <c r="AJ51" s="1239" t="n"/>
      <c r="AK51" s="1240" t="inlineStr">
        <is>
          <t>Nov/Dec</t>
        </is>
      </c>
      <c r="AL51" s="15">
        <f>AR50+1</f>
        <v/>
      </c>
      <c r="AM51" s="15">
        <f>AL51+1</f>
        <v/>
      </c>
      <c r="AN51" s="15">
        <f>AM51+1</f>
        <v/>
      </c>
      <c r="AO51" s="15">
        <f>AN51+1</f>
        <v/>
      </c>
      <c r="AP51" s="12">
        <f>AO51+1</f>
        <v/>
      </c>
      <c r="AQ51" s="12" t="n">
        <v>1</v>
      </c>
      <c r="AR51" s="12">
        <f>AQ51+1</f>
        <v/>
      </c>
    </row>
    <row r="52" ht="18" customHeight="1" s="1232">
      <c r="C52" s="1236" t="inlineStr">
        <is>
          <t>Dec</t>
        </is>
      </c>
      <c r="D52" s="15" t="n">
        <v>3</v>
      </c>
      <c r="E52" s="15" t="n">
        <v>3</v>
      </c>
      <c r="F52" s="15" t="n">
        <v>4</v>
      </c>
      <c r="G52" s="675" t="n">
        <v>4</v>
      </c>
      <c r="H52" s="15" t="n">
        <v>5</v>
      </c>
      <c r="I52" s="15" t="n">
        <v>5</v>
      </c>
      <c r="J52" s="15" t="n">
        <v>6</v>
      </c>
      <c r="K52" s="676" t="n">
        <v>6</v>
      </c>
      <c r="L52" s="15" t="n">
        <v>7</v>
      </c>
      <c r="M52" s="15" t="n">
        <v>7</v>
      </c>
      <c r="N52" s="36" t="n">
        <v>8</v>
      </c>
      <c r="O52" s="15" t="n">
        <v>8</v>
      </c>
      <c r="P52" s="36" t="n">
        <v>9</v>
      </c>
      <c r="Q52" s="15" t="n">
        <v>9</v>
      </c>
      <c r="R52" s="1239" t="inlineStr">
        <is>
          <t>Fairy Glen/Phystall Rhaeder</t>
        </is>
      </c>
      <c r="AA52" s="1236" t="inlineStr">
        <is>
          <t>Dec</t>
        </is>
      </c>
      <c r="AB52" s="15">
        <f>AH51+1</f>
        <v/>
      </c>
      <c r="AC52" s="15">
        <f>AB52+1</f>
        <v/>
      </c>
      <c r="AD52" s="15">
        <f>AC52+1</f>
        <v/>
      </c>
      <c r="AE52" s="15">
        <f>AD52+1</f>
        <v/>
      </c>
      <c r="AF52" s="15">
        <f>AE52+1</f>
        <v/>
      </c>
      <c r="AG52" s="15">
        <f>AF52+1</f>
        <v/>
      </c>
      <c r="AH52" s="15">
        <f>AG52+1</f>
        <v/>
      </c>
      <c r="AJ52" s="1239" t="n"/>
      <c r="AK52" s="1236" t="inlineStr">
        <is>
          <t>Dec</t>
        </is>
      </c>
      <c r="AL52" s="15">
        <f>AR51+1</f>
        <v/>
      </c>
      <c r="AM52" s="15">
        <f>AL52+1</f>
        <v/>
      </c>
      <c r="AN52" s="15">
        <f>AM52+1</f>
        <v/>
      </c>
      <c r="AO52" s="15">
        <f>AN52+1</f>
        <v/>
      </c>
      <c r="AP52" s="15">
        <f>AO52+1</f>
        <v/>
      </c>
      <c r="AQ52" s="15">
        <f>AP52+1</f>
        <v/>
      </c>
      <c r="AR52" s="15">
        <f>AQ52+1</f>
        <v/>
      </c>
    </row>
    <row r="53" ht="18" customHeight="1" s="1232">
      <c r="C53" s="1236" t="inlineStr">
        <is>
          <t>Dec</t>
        </is>
      </c>
      <c r="D53" s="628" t="n">
        <v>10</v>
      </c>
      <c r="E53" s="15" t="n">
        <v>10</v>
      </c>
      <c r="F53" s="15" t="n">
        <v>11</v>
      </c>
      <c r="G53" s="675" t="n">
        <v>11</v>
      </c>
      <c r="H53" s="15" t="n">
        <v>12</v>
      </c>
      <c r="I53" s="628" t="n">
        <v>12</v>
      </c>
      <c r="J53" s="15" t="n">
        <v>13</v>
      </c>
      <c r="K53" s="677" t="n">
        <v>13</v>
      </c>
      <c r="L53" s="12" t="n">
        <v>14</v>
      </c>
      <c r="M53" s="628" t="n">
        <v>14</v>
      </c>
      <c r="N53" s="12" t="n">
        <v>15</v>
      </c>
      <c r="O53" s="12" t="n">
        <v>15</v>
      </c>
      <c r="P53" s="12" t="n">
        <v>16</v>
      </c>
      <c r="Q53" s="12" t="n">
        <v>16</v>
      </c>
      <c r="R53" s="1248" t="n"/>
      <c r="AA53" s="1236" t="inlineStr">
        <is>
          <t>Dec</t>
        </is>
      </c>
      <c r="AB53" s="15">
        <f>AH52+1</f>
        <v/>
      </c>
      <c r="AC53" s="15">
        <f>AB53+1</f>
        <v/>
      </c>
      <c r="AD53" s="15">
        <f>AC53+1</f>
        <v/>
      </c>
      <c r="AE53" s="15">
        <f>AD53+1</f>
        <v/>
      </c>
      <c r="AF53" s="12">
        <f>AE53+1</f>
        <v/>
      </c>
      <c r="AG53" s="12">
        <f>AF53+1</f>
        <v/>
      </c>
      <c r="AH53" s="12">
        <f>AG53+1</f>
        <v/>
      </c>
      <c r="AJ53" s="1248" t="n"/>
      <c r="AK53" s="1236" t="inlineStr">
        <is>
          <t>Dec</t>
        </is>
      </c>
      <c r="AL53" s="15">
        <f>AR52+1</f>
        <v/>
      </c>
      <c r="AM53" s="15">
        <f>AL53+1</f>
        <v/>
      </c>
      <c r="AN53" s="15">
        <f>AM53+1</f>
        <v/>
      </c>
      <c r="AO53" s="15">
        <f>AN53+1</f>
        <v/>
      </c>
      <c r="AP53" s="12">
        <f>AO53+1</f>
        <v/>
      </c>
      <c r="AQ53" s="12">
        <f>AP53+1</f>
        <v/>
      </c>
      <c r="AR53" s="12">
        <f>AQ53+1</f>
        <v/>
      </c>
    </row>
    <row r="54" ht="18" customHeight="1" s="1232">
      <c r="C54" s="1236" t="inlineStr">
        <is>
          <t>Dec</t>
        </is>
      </c>
      <c r="D54" s="15" t="n">
        <v>17</v>
      </c>
      <c r="E54" s="36" t="n">
        <v>17</v>
      </c>
      <c r="F54" s="15" t="n">
        <v>18</v>
      </c>
      <c r="G54" s="675" t="n">
        <v>18</v>
      </c>
      <c r="H54" s="15" t="n">
        <v>19</v>
      </c>
      <c r="I54" s="524" t="n">
        <v>19</v>
      </c>
      <c r="J54" s="15" t="n">
        <v>20</v>
      </c>
      <c r="K54" s="15" t="n">
        <v>20</v>
      </c>
      <c r="L54" s="12" t="n">
        <v>21</v>
      </c>
      <c r="M54" s="12" t="n">
        <v>21</v>
      </c>
      <c r="N54" s="12" t="n">
        <v>22</v>
      </c>
      <c r="O54" s="12" t="n">
        <v>22</v>
      </c>
      <c r="P54" s="12" t="n">
        <v>23</v>
      </c>
      <c r="Q54" s="12" t="n">
        <v>23</v>
      </c>
      <c r="R54" s="1239" t="inlineStr">
        <is>
          <t>Ruby Breaks Up</t>
        </is>
      </c>
      <c r="AA54" s="1236" t="inlineStr">
        <is>
          <t>Dec</t>
        </is>
      </c>
      <c r="AB54" s="15">
        <f>AH53+1</f>
        <v/>
      </c>
      <c r="AC54" s="15">
        <f>AB54+1</f>
        <v/>
      </c>
      <c r="AD54" s="15">
        <f>AC54+1</f>
        <v/>
      </c>
      <c r="AE54" s="15">
        <f>AD54+1</f>
        <v/>
      </c>
      <c r="AF54" s="12">
        <f>AE54+1</f>
        <v/>
      </c>
      <c r="AG54" s="12">
        <f>AF54+1</f>
        <v/>
      </c>
      <c r="AH54" s="12">
        <f>AG54+1</f>
        <v/>
      </c>
      <c r="AJ54" s="1239" t="inlineStr">
        <is>
          <t>Ruby Breaks Up</t>
        </is>
      </c>
      <c r="AK54" s="1236" t="inlineStr">
        <is>
          <t>Dec</t>
        </is>
      </c>
      <c r="AL54" s="15">
        <f>AR53+1</f>
        <v/>
      </c>
      <c r="AM54" s="15">
        <f>AL54+1</f>
        <v/>
      </c>
      <c r="AN54" s="15">
        <f>AM54+1</f>
        <v/>
      </c>
      <c r="AO54" s="15">
        <f>AN54+1</f>
        <v/>
      </c>
      <c r="AP54" s="12">
        <f>AO54+1</f>
        <v/>
      </c>
      <c r="AQ54" s="12">
        <f>AP54+1</f>
        <v/>
      </c>
      <c r="AR54" s="12">
        <f>AQ54+1</f>
        <v/>
      </c>
    </row>
    <row r="55" ht="18" customHeight="1" s="1232">
      <c r="C55" s="1236" t="inlineStr">
        <is>
          <t>Dec</t>
        </is>
      </c>
      <c r="D55" s="12" t="n">
        <v>24</v>
      </c>
      <c r="E55" s="12" t="n">
        <v>24</v>
      </c>
      <c r="F55" s="12" t="n">
        <v>25</v>
      </c>
      <c r="G55" s="12" t="n">
        <v>25</v>
      </c>
      <c r="H55" s="15" t="n">
        <v>26</v>
      </c>
      <c r="I55" s="15" t="n">
        <v>26</v>
      </c>
      <c r="J55" s="15" t="n">
        <v>27</v>
      </c>
      <c r="K55" s="15" t="n">
        <v>27</v>
      </c>
      <c r="L55" s="15" t="n">
        <v>28</v>
      </c>
      <c r="M55" s="15" t="n">
        <v>28</v>
      </c>
      <c r="N55" s="36" t="n">
        <v>29</v>
      </c>
      <c r="O55" s="15" t="n">
        <v>29</v>
      </c>
      <c r="P55" s="15" t="n">
        <v>30</v>
      </c>
      <c r="Q55" s="15" t="n">
        <v>30</v>
      </c>
      <c r="R55" s="1239" t="n"/>
      <c r="AA55" s="1236" t="inlineStr">
        <is>
          <t>Dec</t>
        </is>
      </c>
      <c r="AB55" s="12">
        <f>AH54+1</f>
        <v/>
      </c>
      <c r="AC55" s="12">
        <f>AB55+1</f>
        <v/>
      </c>
      <c r="AD55" s="15">
        <f>AC55+1</f>
        <v/>
      </c>
      <c r="AE55" s="15">
        <f>AD55+1</f>
        <v/>
      </c>
      <c r="AF55" s="15">
        <f>AE55+1</f>
        <v/>
      </c>
      <c r="AG55" s="15">
        <f>AF55+1</f>
        <v/>
      </c>
      <c r="AH55" s="15">
        <f>AG55+1</f>
        <v/>
      </c>
      <c r="AJ55" s="1239" t="n"/>
      <c r="AK55" s="1236" t="inlineStr">
        <is>
          <t>Dec</t>
        </is>
      </c>
      <c r="AL55" s="12">
        <f>AR54+1</f>
        <v/>
      </c>
      <c r="AM55" s="12">
        <f>AL55+1</f>
        <v/>
      </c>
      <c r="AN55" s="15">
        <f>AM55+1</f>
        <v/>
      </c>
      <c r="AO55" s="15">
        <f>AN55+1</f>
        <v/>
      </c>
      <c r="AP55" s="15">
        <f>AO55+1</f>
        <v/>
      </c>
      <c r="AQ55" s="15">
        <f>AP55+1</f>
        <v/>
      </c>
      <c r="AR55" s="15">
        <f>AQ55+1</f>
        <v/>
      </c>
    </row>
    <row r="56" ht="18" customHeight="1" s="1232" thickBot="1">
      <c r="C56" s="1244" t="inlineStr">
        <is>
          <t>Dec/Jan</t>
        </is>
      </c>
      <c r="D56" s="15" t="n">
        <v>31</v>
      </c>
      <c r="E56" s="15" t="n">
        <v>31</v>
      </c>
      <c r="F56" s="15" t="n">
        <v>1</v>
      </c>
      <c r="G56" s="15" t="n">
        <v>1</v>
      </c>
      <c r="H56" s="15" t="n">
        <v>2</v>
      </c>
      <c r="I56" s="15" t="n">
        <v>2</v>
      </c>
      <c r="J56" s="15" t="n">
        <v>3</v>
      </c>
      <c r="K56" s="15" t="n">
        <v>3</v>
      </c>
      <c r="L56" s="15" t="n">
        <v>4</v>
      </c>
      <c r="M56" s="628" t="n">
        <v>4</v>
      </c>
      <c r="N56" s="15" t="n">
        <v>5</v>
      </c>
      <c r="O56" s="15" t="n">
        <v>5</v>
      </c>
      <c r="P56" s="15" t="n">
        <v>6</v>
      </c>
      <c r="Q56" s="15" t="n">
        <v>6</v>
      </c>
      <c r="R56" s="1239" t="n"/>
      <c r="AA56" s="1244" t="inlineStr">
        <is>
          <t>Dec/Jan</t>
        </is>
      </c>
      <c r="AB56" s="15">
        <f>AH55+1</f>
        <v/>
      </c>
      <c r="AC56" s="15" t="n">
        <v>1</v>
      </c>
      <c r="AD56" s="15">
        <f>AC56+1</f>
        <v/>
      </c>
      <c r="AE56" s="15">
        <f>AD56+1</f>
        <v/>
      </c>
      <c r="AF56" s="12">
        <f>AE56+1</f>
        <v/>
      </c>
      <c r="AG56" s="12">
        <f>AF56+1</f>
        <v/>
      </c>
      <c r="AH56" s="12">
        <f>AG56+1</f>
        <v/>
      </c>
      <c r="AJ56" s="1239" t="n"/>
      <c r="AK56" s="1244" t="inlineStr">
        <is>
          <t>Dec/Jan</t>
        </is>
      </c>
      <c r="AL56" s="15">
        <f>AR55+1</f>
        <v/>
      </c>
      <c r="AM56" s="15" t="n">
        <v>1</v>
      </c>
      <c r="AN56" s="15">
        <f>AM56+1</f>
        <v/>
      </c>
      <c r="AO56" s="15">
        <f>AN56+1</f>
        <v/>
      </c>
      <c r="AP56" s="12">
        <f>AO56+1</f>
        <v/>
      </c>
      <c r="AQ56" s="12">
        <f>AP56+1</f>
        <v/>
      </c>
      <c r="AR56" s="12">
        <f>AQ56+1</f>
        <v/>
      </c>
    </row>
  </sheetData>
  <mergeCells count="3">
    <mergeCell ref="AA1:AH1"/>
    <mergeCell ref="AK2:AR2"/>
    <mergeCell ref="AA2:AH2"/>
  </mergeCells>
  <pageMargins left="0.2362204724409449" right="0.2362204724409449" top="0.1968503937007874" bottom="0.3543307086614174" header="0.3149606299212598" footer="0.3149606299212598"/>
  <pageSetup orientation="portrait" paperSize="9" scale="33"/>
  <rowBreaks count="1" manualBreakCount="1">
    <brk id="56" min="0" max="16383" man="1"/>
  </rowBreaks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>
    <tabColor indexed="10"/>
    <outlinePr summaryBelow="1" summaryRight="1"/>
    <pageSetUpPr fitToPage="1"/>
  </sheetPr>
  <dimension ref="B2:K55"/>
  <sheetViews>
    <sheetView workbookViewId="0">
      <pane xSplit="11" ySplit="2" topLeftCell="L3" activePane="bottomRight" state="frozen"/>
      <selection activeCell="G50" sqref="G50"/>
      <selection pane="topRight" activeCell="G50" sqref="G50"/>
      <selection pane="bottomLeft" activeCell="G50" sqref="G50"/>
      <selection pane="bottomRight" activeCell="G50" sqref="G50"/>
    </sheetView>
  </sheetViews>
  <sheetFormatPr baseColWidth="8" defaultColWidth="9.1328125" defaultRowHeight="12.4"/>
  <cols>
    <col width="3.53125" customWidth="1" style="1230" min="1" max="1"/>
    <col width="10.46484375" customWidth="1" style="1230" min="2" max="2"/>
    <col width="5.86328125" customWidth="1" style="1230" min="3" max="9"/>
    <col width="1.33203125" customWidth="1" style="1230" min="10" max="10"/>
    <col width="13.53125" customWidth="1" style="1230" min="11" max="11"/>
    <col width="9.1328125" customWidth="1" style="1230" min="12" max="16384"/>
  </cols>
  <sheetData>
    <row r="2" ht="30" customHeight="1" s="1232">
      <c r="B2" s="1235" t="inlineStr">
        <is>
          <t>2019</t>
        </is>
      </c>
      <c r="C2" s="32" t="inlineStr">
        <is>
          <t>Mon</t>
        </is>
      </c>
      <c r="D2" s="32" t="inlineStr">
        <is>
          <t>Tue</t>
        </is>
      </c>
      <c r="E2" s="32" t="inlineStr">
        <is>
          <t>Wed</t>
        </is>
      </c>
      <c r="F2" s="32" t="inlineStr">
        <is>
          <t>Thu</t>
        </is>
      </c>
      <c r="G2" s="32" t="inlineStr">
        <is>
          <t>Fri</t>
        </is>
      </c>
      <c r="H2" s="31" t="inlineStr">
        <is>
          <t>Sat</t>
        </is>
      </c>
      <c r="I2" s="34" t="inlineStr">
        <is>
          <t>Sun</t>
        </is>
      </c>
    </row>
    <row r="3" ht="18" customHeight="1" s="1232">
      <c r="B3" s="1236" t="inlineStr">
        <is>
          <t>Jan</t>
        </is>
      </c>
      <c r="C3" s="625" t="n"/>
      <c r="D3" s="625">
        <f>C3+1</f>
        <v/>
      </c>
      <c r="E3" s="624">
        <f>D3+1</f>
        <v/>
      </c>
      <c r="F3" s="677">
        <f>E3+1</f>
        <v/>
      </c>
      <c r="G3" s="628">
        <f>F3+1</f>
        <v/>
      </c>
      <c r="H3" s="624">
        <f>G3+1</f>
        <v/>
      </c>
      <c r="I3" s="36">
        <f>H3+1</f>
        <v/>
      </c>
      <c r="J3" s="1237" t="n"/>
      <c r="K3" s="1238" t="inlineStr">
        <is>
          <t>Brandon Marsh</t>
        </is>
      </c>
    </row>
    <row r="4" ht="18" customHeight="1" s="1232">
      <c r="B4" s="1236" t="inlineStr">
        <is>
          <t>Jan</t>
        </is>
      </c>
      <c r="C4" s="44">
        <f>I3+1</f>
        <v/>
      </c>
      <c r="D4" s="677">
        <f>C4+1</f>
        <v/>
      </c>
      <c r="E4" s="628">
        <f>D4+1</f>
        <v/>
      </c>
      <c r="F4" s="677">
        <f>E4+1</f>
        <v/>
      </c>
      <c r="G4" s="12">
        <f>F4+1</f>
        <v/>
      </c>
      <c r="H4" s="12">
        <f>G4+1</f>
        <v/>
      </c>
      <c r="I4" s="12">
        <f>H4+1</f>
        <v/>
      </c>
      <c r="K4" s="1239" t="n"/>
    </row>
    <row r="5" ht="18" customHeight="1" s="1232">
      <c r="B5" s="1236" t="inlineStr">
        <is>
          <t>Jan</t>
        </is>
      </c>
      <c r="C5" s="624">
        <f>I4+1</f>
        <v/>
      </c>
      <c r="D5" s="677">
        <f>C5+1</f>
        <v/>
      </c>
      <c r="E5" s="44">
        <f>D5+1</f>
        <v/>
      </c>
      <c r="F5" s="676">
        <f>E5+1</f>
        <v/>
      </c>
      <c r="G5" s="624">
        <f>F5+1</f>
        <v/>
      </c>
      <c r="H5" s="36">
        <f>G5+1</f>
        <v/>
      </c>
      <c r="I5" s="36">
        <f>H5+1</f>
        <v/>
      </c>
      <c r="K5" s="1239" t="inlineStr">
        <is>
          <t>Dorset</t>
        </is>
      </c>
    </row>
    <row r="6" ht="18" customHeight="1" s="1232">
      <c r="B6" s="1236" t="inlineStr">
        <is>
          <t>Jan</t>
        </is>
      </c>
      <c r="C6" s="628">
        <f>I5+1</f>
        <v/>
      </c>
      <c r="D6" s="298">
        <f>C6+1</f>
        <v/>
      </c>
      <c r="E6" s="524">
        <f>D6+1</f>
        <v/>
      </c>
      <c r="F6" s="676">
        <f>E6+1</f>
        <v/>
      </c>
      <c r="G6" s="12">
        <f>F6+1</f>
        <v/>
      </c>
      <c r="H6" s="12">
        <f>G6+1</f>
        <v/>
      </c>
      <c r="I6" s="12">
        <f>H6+1</f>
        <v/>
      </c>
      <c r="K6" s="1239" t="n"/>
    </row>
    <row r="7" ht="18" customHeight="1" s="1232">
      <c r="B7" s="1240" t="inlineStr">
        <is>
          <t>Jan/Feb</t>
        </is>
      </c>
      <c r="C7" s="624">
        <f>I6+1</f>
        <v/>
      </c>
      <c r="D7" s="298">
        <f>C7+1</f>
        <v/>
      </c>
      <c r="E7" s="624">
        <f>D7+1</f>
        <v/>
      </c>
      <c r="F7" s="676">
        <f>E7+1</f>
        <v/>
      </c>
      <c r="G7" s="36" t="n">
        <v>1</v>
      </c>
      <c r="H7" s="36">
        <f>G7+1</f>
        <v/>
      </c>
      <c r="I7" s="36">
        <f>H7+1</f>
        <v/>
      </c>
      <c r="K7" s="1239" t="inlineStr">
        <is>
          <t>Lake District</t>
        </is>
      </c>
    </row>
    <row r="8" ht="18" customHeight="1" s="1232">
      <c r="B8" s="1236" t="inlineStr">
        <is>
          <t>Feb</t>
        </is>
      </c>
      <c r="C8" s="624">
        <f>I7+1</f>
        <v/>
      </c>
      <c r="D8" s="298">
        <f>C8+1</f>
        <v/>
      </c>
      <c r="E8" s="628">
        <f>D8+1</f>
        <v/>
      </c>
      <c r="F8" s="676">
        <f>E8+1</f>
        <v/>
      </c>
      <c r="G8" s="12">
        <f>F8+1</f>
        <v/>
      </c>
      <c r="H8" s="12">
        <f>G8+1</f>
        <v/>
      </c>
      <c r="I8" s="12">
        <f>H8+1</f>
        <v/>
      </c>
      <c r="K8" s="1239" t="n"/>
    </row>
    <row r="9" ht="18" customHeight="1" s="1232">
      <c r="B9" s="1236" t="inlineStr">
        <is>
          <t>Feb</t>
        </is>
      </c>
      <c r="C9" s="624">
        <f>I8+1</f>
        <v/>
      </c>
      <c r="D9" s="298">
        <f>C9+1</f>
        <v/>
      </c>
      <c r="E9" s="524">
        <f>D9+1</f>
        <v/>
      </c>
      <c r="F9" s="677">
        <f>E9+1</f>
        <v/>
      </c>
      <c r="G9" s="36">
        <f>F9+1</f>
        <v/>
      </c>
      <c r="H9" s="36">
        <f>G9+1</f>
        <v/>
      </c>
      <c r="I9" s="36">
        <f>H9+1</f>
        <v/>
      </c>
      <c r="K9" s="1230" t="inlineStr">
        <is>
          <t>Suffolk</t>
        </is>
      </c>
    </row>
    <row r="10" ht="18" customHeight="1" s="1232">
      <c r="B10" s="1236" t="inlineStr">
        <is>
          <t>Feb</t>
        </is>
      </c>
      <c r="C10" s="624">
        <f>I9+1</f>
        <v/>
      </c>
      <c r="D10" s="676">
        <f>C10+1</f>
        <v/>
      </c>
      <c r="E10" s="12">
        <f>D10+1</f>
        <v/>
      </c>
      <c r="F10" s="12">
        <f>E10+1</f>
        <v/>
      </c>
      <c r="G10" s="12">
        <f>F10+1</f>
        <v/>
      </c>
      <c r="H10" s="12">
        <f>G10+1</f>
        <v/>
      </c>
      <c r="I10" s="12">
        <f>H10+1</f>
        <v/>
      </c>
      <c r="K10" s="1239" t="inlineStr">
        <is>
          <t>Half Term</t>
        </is>
      </c>
    </row>
    <row r="11" ht="18" customHeight="1" s="1232">
      <c r="B11" s="1240" t="inlineStr">
        <is>
          <t>Feb/Mar</t>
        </is>
      </c>
      <c r="C11" s="624">
        <f>I10+1</f>
        <v/>
      </c>
      <c r="D11" s="676">
        <f>C11+1</f>
        <v/>
      </c>
      <c r="E11" s="524">
        <f>D11+1</f>
        <v/>
      </c>
      <c r="F11" s="677">
        <f>E11+1</f>
        <v/>
      </c>
      <c r="G11" s="36" t="n">
        <v>1</v>
      </c>
      <c r="H11" s="36">
        <f>G11+1</f>
        <v/>
      </c>
      <c r="I11" s="36">
        <f>H11+1</f>
        <v/>
      </c>
      <c r="K11" s="1239" t="inlineStr">
        <is>
          <t>Anglesey</t>
        </is>
      </c>
    </row>
    <row r="12" ht="18" customHeight="1" s="1232">
      <c r="B12" s="1236" t="inlineStr">
        <is>
          <t>Mar</t>
        </is>
      </c>
      <c r="C12" s="628">
        <f>I11+1</f>
        <v/>
      </c>
      <c r="D12" s="676">
        <f>C12+1</f>
        <v/>
      </c>
      <c r="E12" s="625">
        <f>D12+1</f>
        <v/>
      </c>
      <c r="F12" s="677">
        <f>E12+1</f>
        <v/>
      </c>
      <c r="G12" s="12">
        <f>F12+1</f>
        <v/>
      </c>
      <c r="H12" s="12">
        <f>G12+1</f>
        <v/>
      </c>
      <c r="I12" s="12">
        <f>H12+1</f>
        <v/>
      </c>
    </row>
    <row r="13" ht="18" customHeight="1" s="1232">
      <c r="B13" s="1236" t="inlineStr">
        <is>
          <t>Mar</t>
        </is>
      </c>
      <c r="C13" s="624">
        <f>I12+1</f>
        <v/>
      </c>
      <c r="D13" s="676">
        <f>C13+1</f>
        <v/>
      </c>
      <c r="E13" s="524">
        <f>D13+1</f>
        <v/>
      </c>
      <c r="F13" s="677">
        <f>E13+1</f>
        <v/>
      </c>
      <c r="G13" s="36">
        <f>F13+1</f>
        <v/>
      </c>
      <c r="H13" s="36">
        <f>G13+1</f>
        <v/>
      </c>
      <c r="I13" s="36">
        <f>H13+1</f>
        <v/>
      </c>
      <c r="K13" s="1239" t="inlineStr">
        <is>
          <t>Lake District</t>
        </is>
      </c>
    </row>
    <row r="14" ht="18" customHeight="1" s="1232">
      <c r="B14" s="1236" t="inlineStr">
        <is>
          <t>Mar</t>
        </is>
      </c>
      <c r="C14" s="624">
        <f>I13+1</f>
        <v/>
      </c>
      <c r="D14" s="677">
        <f>C14+1</f>
        <v/>
      </c>
      <c r="E14" s="628">
        <f>D14+1</f>
        <v/>
      </c>
      <c r="F14" s="675">
        <f>E14+1</f>
        <v/>
      </c>
      <c r="G14" s="12">
        <f>F14+1</f>
        <v/>
      </c>
      <c r="H14" s="12">
        <f>G14+1</f>
        <v/>
      </c>
      <c r="I14" s="12">
        <f>H14+1</f>
        <v/>
      </c>
    </row>
    <row r="15" ht="18" customHeight="1" s="1232">
      <c r="B15" s="1236" t="inlineStr">
        <is>
          <t>Mar</t>
        </is>
      </c>
      <c r="C15" s="624">
        <f>I14+1</f>
        <v/>
      </c>
      <c r="D15" s="678">
        <f>C15+1</f>
        <v/>
      </c>
      <c r="E15" s="624">
        <f>D15+1</f>
        <v/>
      </c>
      <c r="F15" s="675">
        <f>E15+1</f>
        <v/>
      </c>
      <c r="G15" s="36">
        <f>F15+1</f>
        <v/>
      </c>
      <c r="H15" s="36">
        <f>G15+1</f>
        <v/>
      </c>
      <c r="I15" s="36">
        <f>H15+1</f>
        <v/>
      </c>
      <c r="K15" s="1239" t="inlineStr">
        <is>
          <t>Mothers Day</t>
        </is>
      </c>
    </row>
    <row r="16" ht="18" customHeight="1" s="1232">
      <c r="B16" s="1241" t="inlineStr">
        <is>
          <t>Apr</t>
        </is>
      </c>
      <c r="C16" s="628" t="n">
        <v>1</v>
      </c>
      <c r="D16" s="678">
        <f>C16+1</f>
        <v/>
      </c>
      <c r="E16" s="624">
        <f>D16+1</f>
        <v/>
      </c>
      <c r="F16" s="675">
        <f>E16+1</f>
        <v/>
      </c>
      <c r="G16" s="12">
        <f>F16+1</f>
        <v/>
      </c>
      <c r="H16" s="12">
        <f>G16+1</f>
        <v/>
      </c>
      <c r="I16" s="12">
        <f>H16+1</f>
        <v/>
      </c>
      <c r="K16" s="1239" t="n"/>
    </row>
    <row r="17" ht="18" customHeight="1" s="1232">
      <c r="B17" s="1236" t="inlineStr">
        <is>
          <t>Apr</t>
        </is>
      </c>
      <c r="C17" s="624">
        <f>I16+1</f>
        <v/>
      </c>
      <c r="D17" s="678">
        <f>C17+1</f>
        <v/>
      </c>
      <c r="E17" s="624">
        <f>D17+1</f>
        <v/>
      </c>
      <c r="F17" s="675">
        <f>E17+1</f>
        <v/>
      </c>
      <c r="G17" s="36">
        <f>F17+1</f>
        <v/>
      </c>
      <c r="H17" s="36">
        <f>G17+1</f>
        <v/>
      </c>
      <c r="I17" s="36">
        <f>H17+1</f>
        <v/>
      </c>
      <c r="K17" s="1239" t="inlineStr">
        <is>
          <t>Ruby breaks up Easter . Northumbria</t>
        </is>
      </c>
    </row>
    <row r="18" ht="18" customHeight="1" s="1232">
      <c r="B18" s="1236" t="inlineStr">
        <is>
          <t>Apr</t>
        </is>
      </c>
      <c r="C18" s="36">
        <f>I17+1</f>
        <v/>
      </c>
      <c r="D18" s="678">
        <f>C18+1</f>
        <v/>
      </c>
      <c r="E18" s="624">
        <f>D18+1</f>
        <v/>
      </c>
      <c r="F18" s="677">
        <f>E18+1</f>
        <v/>
      </c>
      <c r="G18" s="12">
        <f>F18+1</f>
        <v/>
      </c>
      <c r="H18" s="12">
        <f>G18+1</f>
        <v/>
      </c>
      <c r="I18" s="12">
        <f>H18+1</f>
        <v/>
      </c>
    </row>
    <row r="19" ht="18" customHeight="1" s="1232">
      <c r="B19" s="1236" t="inlineStr">
        <is>
          <t>Apr</t>
        </is>
      </c>
      <c r="C19" s="12">
        <f>I18+1</f>
        <v/>
      </c>
      <c r="D19" s="677">
        <f>C19+1</f>
        <v/>
      </c>
      <c r="E19" s="12">
        <f>D19+1</f>
        <v/>
      </c>
      <c r="F19" s="677">
        <f>E19+1</f>
        <v/>
      </c>
      <c r="G19" s="12">
        <f>F19+1</f>
        <v/>
      </c>
      <c r="H19" s="36">
        <f>G19+1</f>
        <v/>
      </c>
      <c r="I19" s="43">
        <f>H19+1</f>
        <v/>
      </c>
      <c r="K19" s="1239" t="inlineStr">
        <is>
          <t>Ruby's Birthday /Bluebells/Padley Gorge</t>
        </is>
      </c>
    </row>
    <row r="20" ht="18" customHeight="1" s="1232">
      <c r="B20" s="1240" t="inlineStr">
        <is>
          <t>Apr/May</t>
        </is>
      </c>
      <c r="C20" s="628">
        <f>I19+1</f>
        <v/>
      </c>
      <c r="D20" s="677" t="n">
        <v>30</v>
      </c>
      <c r="E20" s="624" t="n">
        <v>1</v>
      </c>
      <c r="F20" s="676">
        <f>E20+1</f>
        <v/>
      </c>
      <c r="G20" s="12">
        <f>F20+1</f>
        <v/>
      </c>
      <c r="H20" s="12">
        <f>G20+1</f>
        <v/>
      </c>
      <c r="I20" s="12">
        <f>H20+1</f>
        <v/>
      </c>
      <c r="K20" s="23" t="n"/>
    </row>
    <row r="21" ht="18" customHeight="1" s="1232">
      <c r="B21" s="1236" t="inlineStr">
        <is>
          <t>May</t>
        </is>
      </c>
      <c r="C21" s="12">
        <f>I20+1</f>
        <v/>
      </c>
      <c r="D21" s="675">
        <f>C21+1</f>
        <v/>
      </c>
      <c r="E21" s="624">
        <f>D21+1</f>
        <v/>
      </c>
      <c r="F21" s="676">
        <f>E21+1</f>
        <v/>
      </c>
      <c r="G21" s="36">
        <f>F21+1</f>
        <v/>
      </c>
      <c r="H21" s="36">
        <f>G21+1</f>
        <v/>
      </c>
      <c r="I21" s="36">
        <f>H21+1</f>
        <v/>
      </c>
      <c r="K21" s="1239" t="inlineStr">
        <is>
          <t>Bank Holiday / Hartland</t>
        </is>
      </c>
    </row>
    <row r="22" ht="18" customHeight="1" s="1232">
      <c r="B22" s="1236" t="inlineStr">
        <is>
          <t>May</t>
        </is>
      </c>
      <c r="C22" s="624">
        <f>I21+1</f>
        <v/>
      </c>
      <c r="D22" s="675">
        <f>C22+1</f>
        <v/>
      </c>
      <c r="E22" s="628">
        <f>D22+1</f>
        <v/>
      </c>
      <c r="F22" s="676">
        <f>E22+1</f>
        <v/>
      </c>
      <c r="G22" s="12">
        <f>F22+1</f>
        <v/>
      </c>
      <c r="H22" s="12">
        <f>G22+1</f>
        <v/>
      </c>
      <c r="I22" s="12">
        <f>H22+1</f>
        <v/>
      </c>
      <c r="K22" s="1239" t="n"/>
    </row>
    <row r="23" ht="18" customHeight="1" s="1232">
      <c r="B23" s="1236" t="inlineStr">
        <is>
          <t>May</t>
        </is>
      </c>
      <c r="C23" s="624">
        <f>I22+1</f>
        <v/>
      </c>
      <c r="D23" s="675">
        <f>C23+1</f>
        <v/>
      </c>
      <c r="E23" s="624">
        <f>D23+1</f>
        <v/>
      </c>
      <c r="F23" s="676">
        <f>E23+1</f>
        <v/>
      </c>
      <c r="G23" s="36">
        <f>F23+1</f>
        <v/>
      </c>
      <c r="H23" s="36">
        <f>G23+1</f>
        <v/>
      </c>
      <c r="I23" s="36">
        <f>H23+1</f>
        <v/>
      </c>
      <c r="K23" s="1239" t="inlineStr">
        <is>
          <t>Yorkshire Dales</t>
        </is>
      </c>
    </row>
    <row r="24" ht="18" customHeight="1" s="1232">
      <c r="B24" s="1240" t="inlineStr">
        <is>
          <t>May/Jun</t>
        </is>
      </c>
      <c r="C24" s="669">
        <f>I23+1</f>
        <v/>
      </c>
      <c r="D24" s="675">
        <f>C24+1</f>
        <v/>
      </c>
      <c r="E24" s="12">
        <f>D24+1</f>
        <v/>
      </c>
      <c r="F24" s="677">
        <f>E24+1</f>
        <v/>
      </c>
      <c r="G24" s="12">
        <f>F24+1</f>
        <v/>
      </c>
      <c r="H24" s="12" t="n">
        <v>1</v>
      </c>
      <c r="I24" s="12">
        <f>H24+1</f>
        <v/>
      </c>
      <c r="K24" s="1239" t="inlineStr">
        <is>
          <t>Half Term</t>
        </is>
      </c>
    </row>
    <row r="25" ht="18" customHeight="1" s="1232">
      <c r="B25" s="1236" t="inlineStr">
        <is>
          <t>Jun</t>
        </is>
      </c>
      <c r="C25" s="628">
        <f>I24+1</f>
        <v/>
      </c>
      <c r="D25" s="676">
        <f>C25+1</f>
        <v/>
      </c>
      <c r="E25" s="298">
        <f>D25+1</f>
        <v/>
      </c>
      <c r="F25" s="678">
        <f>E25+1</f>
        <v/>
      </c>
      <c r="G25" s="624">
        <f>F25+1</f>
        <v/>
      </c>
      <c r="H25" s="36">
        <f>G25+1</f>
        <v/>
      </c>
      <c r="I25" s="36">
        <f>H25+1</f>
        <v/>
      </c>
      <c r="K25" s="1239" t="inlineStr">
        <is>
          <t>Lynmouth</t>
        </is>
      </c>
    </row>
    <row r="26" ht="18" customHeight="1" s="1232">
      <c r="B26" s="1236" t="inlineStr">
        <is>
          <t>Jun</t>
        </is>
      </c>
      <c r="C26" s="624">
        <f>I25+1</f>
        <v/>
      </c>
      <c r="D26" s="676">
        <f>C26+1</f>
        <v/>
      </c>
      <c r="E26" s="298">
        <f>D26+1</f>
        <v/>
      </c>
      <c r="F26" s="678">
        <f>E26+1</f>
        <v/>
      </c>
      <c r="G26" s="12">
        <f>F26+1</f>
        <v/>
      </c>
      <c r="H26" s="12">
        <f>G26+1</f>
        <v/>
      </c>
      <c r="I26" s="12">
        <f>H26+1</f>
        <v/>
      </c>
      <c r="K26" s="1239" t="inlineStr">
        <is>
          <t>Fathers Day</t>
        </is>
      </c>
    </row>
    <row r="27" ht="18" customHeight="1" s="1232">
      <c r="B27" s="1236" t="inlineStr">
        <is>
          <t>Jun</t>
        </is>
      </c>
      <c r="C27" s="624">
        <f>I26+1</f>
        <v/>
      </c>
      <c r="D27" s="676">
        <f>C27+1</f>
        <v/>
      </c>
      <c r="E27" s="298">
        <f>D27+1</f>
        <v/>
      </c>
      <c r="F27" s="678">
        <f>E27+1</f>
        <v/>
      </c>
      <c r="G27" s="36">
        <f>F27+1</f>
        <v/>
      </c>
      <c r="H27" s="36">
        <f>G27+1</f>
        <v/>
      </c>
      <c r="I27" s="624">
        <f>H27+1</f>
        <v/>
      </c>
      <c r="K27" s="1239" t="inlineStr">
        <is>
          <t>Poppies</t>
        </is>
      </c>
    </row>
    <row r="28" ht="18" customHeight="1" s="1232">
      <c r="B28" s="1236" t="inlineStr">
        <is>
          <t>Jun</t>
        </is>
      </c>
      <c r="C28" s="628">
        <f>I27+1</f>
        <v/>
      </c>
      <c r="D28" s="676">
        <f>C28+1</f>
        <v/>
      </c>
      <c r="E28" s="298">
        <f>D28+1</f>
        <v/>
      </c>
      <c r="F28" s="678">
        <f>E28+1</f>
        <v/>
      </c>
      <c r="G28" s="12">
        <f>F28+1</f>
        <v/>
      </c>
      <c r="H28" s="12">
        <f>G28+1</f>
        <v/>
      </c>
      <c r="I28" s="12">
        <f>H28+1</f>
        <v/>
      </c>
    </row>
    <row r="29" ht="18" customHeight="1" s="1232">
      <c r="B29" s="1240" t="inlineStr">
        <is>
          <t>Jun/Jul</t>
        </is>
      </c>
      <c r="C29" s="624" t="n">
        <v>1</v>
      </c>
      <c r="D29" s="677">
        <f>C29+1</f>
        <v/>
      </c>
      <c r="E29" s="624">
        <f>D29+1</f>
        <v/>
      </c>
      <c r="F29" s="677">
        <f>E29+1</f>
        <v/>
      </c>
      <c r="G29" s="624">
        <f>F29+1</f>
        <v/>
      </c>
      <c r="H29" s="624">
        <f>G29+1</f>
        <v/>
      </c>
      <c r="I29" s="624">
        <f>H29+1</f>
        <v/>
      </c>
      <c r="K29" s="1239" t="n"/>
    </row>
    <row r="30" ht="18" customHeight="1" s="1232">
      <c r="B30" s="1236" t="inlineStr">
        <is>
          <t>Jul</t>
        </is>
      </c>
      <c r="C30" s="624">
        <f>I29+1</f>
        <v/>
      </c>
      <c r="D30" s="677">
        <f>C30+1</f>
        <v/>
      </c>
      <c r="E30" s="628">
        <f>D30+1</f>
        <v/>
      </c>
      <c r="F30" s="677">
        <f>E30+1</f>
        <v/>
      </c>
      <c r="G30" s="12">
        <f>F30+1</f>
        <v/>
      </c>
      <c r="H30" s="12">
        <f>G30+1</f>
        <v/>
      </c>
      <c r="I30" s="12">
        <f>H30+1</f>
        <v/>
      </c>
      <c r="K30" s="1239" t="inlineStr">
        <is>
          <t>Ruby breaks up</t>
        </is>
      </c>
    </row>
    <row r="31" ht="18" customHeight="1" s="1232">
      <c r="B31" s="1236" t="inlineStr">
        <is>
          <t>Jul</t>
        </is>
      </c>
      <c r="C31" s="12">
        <f>I30+1</f>
        <v/>
      </c>
      <c r="D31" s="12">
        <f>C31+1</f>
        <v/>
      </c>
      <c r="E31" s="12">
        <f>D31+1</f>
        <v/>
      </c>
      <c r="F31" s="12">
        <f>E31+1</f>
        <v/>
      </c>
      <c r="G31" s="18">
        <f>F31+1</f>
        <v/>
      </c>
      <c r="H31" s="36">
        <f>G31+1</f>
        <v/>
      </c>
      <c r="I31" s="36">
        <f>H31+1</f>
        <v/>
      </c>
      <c r="K31" s="1239" t="inlineStr">
        <is>
          <t>Lavendar</t>
        </is>
      </c>
    </row>
    <row r="32" ht="18" customHeight="1" s="1232">
      <c r="B32" s="1236" t="inlineStr">
        <is>
          <t>Jul</t>
        </is>
      </c>
      <c r="C32" s="628">
        <f>I31+1</f>
        <v/>
      </c>
      <c r="D32" s="677">
        <f>C32+1</f>
        <v/>
      </c>
      <c r="E32" s="625">
        <f>D32+1</f>
        <v/>
      </c>
      <c r="F32" s="677">
        <f>E32+1</f>
        <v/>
      </c>
      <c r="G32" s="12">
        <f>F32+1</f>
        <v/>
      </c>
      <c r="H32" s="12">
        <f>G32+1</f>
        <v/>
      </c>
      <c r="I32" s="12">
        <f>H32+1</f>
        <v/>
      </c>
      <c r="K32" s="1239" t="n"/>
    </row>
    <row r="33" ht="18" customHeight="1" s="1232">
      <c r="B33" s="1240" t="inlineStr">
        <is>
          <t>Jul/Aug</t>
        </is>
      </c>
      <c r="C33" s="12">
        <f>I32+1</f>
        <v/>
      </c>
      <c r="D33" s="12">
        <f>C33+1</f>
        <v/>
      </c>
      <c r="E33" s="12" t="n">
        <v>31</v>
      </c>
      <c r="F33" s="12" t="n">
        <v>1</v>
      </c>
      <c r="G33" s="12">
        <f>F33+1</f>
        <v/>
      </c>
      <c r="H33" s="12">
        <f>G33+1</f>
        <v/>
      </c>
      <c r="I33" s="12">
        <f>H33+1</f>
        <v/>
      </c>
      <c r="K33" s="1239" t="n"/>
    </row>
    <row r="34" ht="18" customHeight="1" s="1232">
      <c r="B34" s="1236" t="inlineStr">
        <is>
          <t>Aug</t>
        </is>
      </c>
      <c r="C34" s="12">
        <f>I33+1</f>
        <v/>
      </c>
      <c r="D34" s="12">
        <f>C34+1</f>
        <v/>
      </c>
      <c r="E34" s="12">
        <f>D34+1</f>
        <v/>
      </c>
      <c r="F34" s="12">
        <f>E34+1</f>
        <v/>
      </c>
      <c r="G34" s="18">
        <f>F34+1</f>
        <v/>
      </c>
      <c r="H34" s="36">
        <f>G34+1</f>
        <v/>
      </c>
      <c r="I34" s="36">
        <f>H34+1</f>
        <v/>
      </c>
      <c r="K34" s="1239" t="inlineStr">
        <is>
          <t>Anglesey</t>
        </is>
      </c>
    </row>
    <row r="35" ht="18" customHeight="1" s="1232">
      <c r="B35" s="1236" t="inlineStr">
        <is>
          <t>Aug</t>
        </is>
      </c>
      <c r="C35" s="625">
        <f>I34+1</f>
        <v/>
      </c>
      <c r="D35" s="678">
        <f>C35+1</f>
        <v/>
      </c>
      <c r="E35" s="625">
        <f>D35+1</f>
        <v/>
      </c>
      <c r="F35" s="625">
        <f>E35+1</f>
        <v/>
      </c>
      <c r="G35" s="625">
        <f>F35+1</f>
        <v/>
      </c>
      <c r="H35" s="625">
        <f>G35+1</f>
        <v/>
      </c>
      <c r="I35" s="625">
        <f>H35+1</f>
        <v/>
      </c>
      <c r="K35" s="1239" t="n"/>
    </row>
    <row r="36" ht="18" customHeight="1" s="1232">
      <c r="B36" s="1236" t="inlineStr">
        <is>
          <t>Aug</t>
        </is>
      </c>
      <c r="C36" s="625">
        <f>I35+1</f>
        <v/>
      </c>
      <c r="D36" s="678">
        <f>C36+1</f>
        <v/>
      </c>
      <c r="E36" s="625">
        <f>D36+1</f>
        <v/>
      </c>
      <c r="F36" s="677">
        <f>E36+1</f>
        <v/>
      </c>
      <c r="G36" s="12">
        <f>F36+1</f>
        <v/>
      </c>
      <c r="H36" s="12">
        <f>G36+1</f>
        <v/>
      </c>
      <c r="I36" s="12">
        <f>H36+1</f>
        <v/>
      </c>
      <c r="K36" s="1242" t="n"/>
    </row>
    <row r="37" ht="18" customHeight="1" s="1232">
      <c r="B37" s="1243" t="inlineStr">
        <is>
          <t>Aug/Sep</t>
        </is>
      </c>
      <c r="C37" s="670">
        <f>I36+1</f>
        <v/>
      </c>
      <c r="D37" s="678">
        <f>C37+1</f>
        <v/>
      </c>
      <c r="E37" s="36">
        <f>D37+1</f>
        <v/>
      </c>
      <c r="F37" s="670">
        <f>E37+1</f>
        <v/>
      </c>
      <c r="G37" s="625">
        <f>F37+1</f>
        <v/>
      </c>
      <c r="H37" s="36" t="n">
        <v>31</v>
      </c>
      <c r="I37" s="36" t="n">
        <v>1</v>
      </c>
      <c r="K37" s="1239" t="inlineStr">
        <is>
          <t>Ruby school 29th Aug/Hartland</t>
        </is>
      </c>
    </row>
    <row r="38" ht="18" customHeight="1" s="1232">
      <c r="B38" s="1236" t="inlineStr">
        <is>
          <t>Sep</t>
        </is>
      </c>
      <c r="C38" s="624">
        <f>I37+1</f>
        <v/>
      </c>
      <c r="D38" s="678">
        <f>C38+1</f>
        <v/>
      </c>
      <c r="E38" s="624">
        <f>D38+1</f>
        <v/>
      </c>
      <c r="F38" s="677">
        <f>E38+1</f>
        <v/>
      </c>
      <c r="G38" s="12">
        <f>F38+1</f>
        <v/>
      </c>
      <c r="H38" s="12">
        <f>G38+1</f>
        <v/>
      </c>
      <c r="I38" s="12">
        <f>H38+1</f>
        <v/>
      </c>
    </row>
    <row r="39" ht="18" customHeight="1" s="1232">
      <c r="B39" s="1236" t="inlineStr">
        <is>
          <t>Sep</t>
        </is>
      </c>
      <c r="C39" s="624">
        <f>I38+1</f>
        <v/>
      </c>
      <c r="D39" s="624">
        <f>C39+1</f>
        <v/>
      </c>
      <c r="E39" s="624">
        <f>D39+1</f>
        <v/>
      </c>
      <c r="F39" s="676">
        <f>E39+1</f>
        <v/>
      </c>
      <c r="G39" s="624">
        <f>F39+1</f>
        <v/>
      </c>
      <c r="H39" s="624">
        <f>G39+1</f>
        <v/>
      </c>
      <c r="I39" s="624">
        <f>H39+1</f>
        <v/>
      </c>
      <c r="K39" s="1239" t="inlineStr">
        <is>
          <t>Lake district</t>
        </is>
      </c>
    </row>
    <row r="40" ht="18" customHeight="1" s="1232">
      <c r="B40" s="1236" t="inlineStr">
        <is>
          <t>Sep</t>
        </is>
      </c>
      <c r="C40" s="624">
        <f>I39+1</f>
        <v/>
      </c>
      <c r="D40" s="624">
        <f>C40+1</f>
        <v/>
      </c>
      <c r="E40" s="624">
        <f>D40+1</f>
        <v/>
      </c>
      <c r="F40" s="676">
        <f>E40+1</f>
        <v/>
      </c>
      <c r="G40" s="12">
        <f>F40+1</f>
        <v/>
      </c>
      <c r="H40" s="12">
        <f>G40+1</f>
        <v/>
      </c>
      <c r="I40" s="12">
        <f>H40+1</f>
        <v/>
      </c>
      <c r="K40" s="1239" t="n"/>
    </row>
    <row r="41" ht="18" customHeight="1" s="1232">
      <c r="B41" s="1236" t="inlineStr">
        <is>
          <t>Sep</t>
        </is>
      </c>
      <c r="C41" s="624">
        <f>I40+1</f>
        <v/>
      </c>
      <c r="D41" s="624">
        <f>C41+1</f>
        <v/>
      </c>
      <c r="E41" s="624">
        <f>D41+1</f>
        <v/>
      </c>
      <c r="F41" s="676">
        <f>E41+1</f>
        <v/>
      </c>
      <c r="G41" s="624">
        <f>F41+1</f>
        <v/>
      </c>
      <c r="H41" s="624">
        <f>G41+1</f>
        <v/>
      </c>
      <c r="I41" s="624">
        <f>H41+1</f>
        <v/>
      </c>
      <c r="K41" s="1239" t="inlineStr">
        <is>
          <t>Norfolk</t>
        </is>
      </c>
    </row>
    <row r="42" ht="18" customHeight="1" s="1232">
      <c r="B42" s="1240" t="inlineStr">
        <is>
          <t>Oct</t>
        </is>
      </c>
      <c r="C42" s="624" t="n">
        <v>30</v>
      </c>
      <c r="D42" s="624" t="n">
        <v>1</v>
      </c>
      <c r="E42" s="624">
        <f>D42+1</f>
        <v/>
      </c>
      <c r="F42" s="676">
        <f>E42+1</f>
        <v/>
      </c>
      <c r="G42" s="12">
        <f>F42+1</f>
        <v/>
      </c>
      <c r="H42" s="12">
        <f>G42+1</f>
        <v/>
      </c>
      <c r="I42" s="12">
        <f>H42+1</f>
        <v/>
      </c>
      <c r="K42" s="1239" t="n"/>
    </row>
    <row r="43" ht="18" customHeight="1" s="1232">
      <c r="B43" s="1236" t="inlineStr">
        <is>
          <t>Oct</t>
        </is>
      </c>
      <c r="C43" s="624">
        <f>I42+1</f>
        <v/>
      </c>
      <c r="D43" s="624">
        <f>C43+1</f>
        <v/>
      </c>
      <c r="E43" s="624">
        <f>D43+1</f>
        <v/>
      </c>
      <c r="F43" s="624">
        <f>E43+1</f>
        <v/>
      </c>
      <c r="G43" s="624">
        <f>F43+1</f>
        <v/>
      </c>
      <c r="H43" s="624">
        <f>G43+1</f>
        <v/>
      </c>
      <c r="I43" s="624">
        <f>H43+1</f>
        <v/>
      </c>
      <c r="K43" s="1239" t="n"/>
    </row>
    <row r="44" ht="18" customHeight="1" s="1232">
      <c r="B44" s="1236" t="inlineStr">
        <is>
          <t>Oct</t>
        </is>
      </c>
      <c r="C44" s="624">
        <f>I43+1</f>
        <v/>
      </c>
      <c r="D44" s="624">
        <f>C44+1</f>
        <v/>
      </c>
      <c r="E44" s="12">
        <f>D44+1</f>
        <v/>
      </c>
      <c r="F44" s="12">
        <f>E44+1</f>
        <v/>
      </c>
      <c r="G44" s="12">
        <f>F44+1</f>
        <v/>
      </c>
      <c r="H44" s="12">
        <f>G44+1</f>
        <v/>
      </c>
      <c r="I44" s="12">
        <f>H44+1</f>
        <v/>
      </c>
      <c r="K44" s="1239" t="inlineStr">
        <is>
          <t>Half Term</t>
        </is>
      </c>
    </row>
    <row r="45" ht="18" customHeight="1" s="1232">
      <c r="B45" s="1236" t="inlineStr">
        <is>
          <t>Oct</t>
        </is>
      </c>
      <c r="C45" s="624">
        <f>I44+1</f>
        <v/>
      </c>
      <c r="D45" s="624">
        <f>C45+1</f>
        <v/>
      </c>
      <c r="E45" s="624">
        <f>D45+1</f>
        <v/>
      </c>
      <c r="F45" s="624">
        <f>E45+1</f>
        <v/>
      </c>
      <c r="G45" s="624">
        <f>F45+1</f>
        <v/>
      </c>
      <c r="H45" s="624">
        <f>G45+1</f>
        <v/>
      </c>
      <c r="I45" s="624">
        <f>H45+1</f>
        <v/>
      </c>
      <c r="K45" s="1239" t="n"/>
    </row>
    <row r="46" ht="18" customHeight="1" s="1232">
      <c r="B46" s="1240" t="inlineStr">
        <is>
          <t>Oct/Nov</t>
        </is>
      </c>
      <c r="C46" s="624">
        <f>I45+1</f>
        <v/>
      </c>
      <c r="D46" s="624">
        <f>C46+1</f>
        <v/>
      </c>
      <c r="E46" s="624">
        <f>D46+1</f>
        <v/>
      </c>
      <c r="F46" s="624" t="n">
        <v>31</v>
      </c>
      <c r="G46" s="12" t="n">
        <v>1</v>
      </c>
      <c r="H46" s="12">
        <f>G46+1</f>
        <v/>
      </c>
      <c r="I46" s="12">
        <f>H46+1</f>
        <v/>
      </c>
      <c r="K46" s="1239" t="n"/>
    </row>
    <row r="47" ht="18" customHeight="1" s="1232">
      <c r="B47" s="1236" t="inlineStr">
        <is>
          <t>Nov</t>
        </is>
      </c>
      <c r="C47" s="624">
        <f>I46+1</f>
        <v/>
      </c>
      <c r="D47" s="624">
        <f>C47+1</f>
        <v/>
      </c>
      <c r="E47" s="624">
        <f>D47+1</f>
        <v/>
      </c>
      <c r="F47" s="624">
        <f>E47+1</f>
        <v/>
      </c>
      <c r="G47" s="624">
        <f>F47+1</f>
        <v/>
      </c>
      <c r="H47" s="624">
        <f>G47+1</f>
        <v/>
      </c>
      <c r="I47" s="624">
        <f>H47+1</f>
        <v/>
      </c>
      <c r="K47" s="1239" t="n"/>
    </row>
    <row r="48" ht="18" customHeight="1" s="1232">
      <c r="B48" s="1236" t="inlineStr">
        <is>
          <t>Nov</t>
        </is>
      </c>
      <c r="C48" s="624">
        <f>I47+1</f>
        <v/>
      </c>
      <c r="D48" s="624">
        <f>C48+1</f>
        <v/>
      </c>
      <c r="E48" s="624">
        <f>D48+1</f>
        <v/>
      </c>
      <c r="F48" s="624">
        <f>E48+1</f>
        <v/>
      </c>
      <c r="G48" s="12">
        <f>F48+1</f>
        <v/>
      </c>
      <c r="H48" s="12">
        <f>G48+1</f>
        <v/>
      </c>
      <c r="I48" s="12">
        <f>H48+1</f>
        <v/>
      </c>
      <c r="K48" s="1239" t="n"/>
    </row>
    <row r="49" ht="18" customHeight="1" s="1232">
      <c r="B49" s="1236" t="inlineStr">
        <is>
          <t>Nov</t>
        </is>
      </c>
      <c r="C49" s="624">
        <f>I48+1</f>
        <v/>
      </c>
      <c r="D49" s="624">
        <f>C49+1</f>
        <v/>
      </c>
      <c r="E49" s="624">
        <f>D49+1</f>
        <v/>
      </c>
      <c r="F49" s="624">
        <f>E49+1</f>
        <v/>
      </c>
      <c r="G49" s="624">
        <f>F49+1</f>
        <v/>
      </c>
      <c r="H49" s="624">
        <f>G49+1</f>
        <v/>
      </c>
      <c r="I49" s="624">
        <f>H49+1</f>
        <v/>
      </c>
      <c r="K49" s="1239" t="inlineStr">
        <is>
          <t>Glencoe</t>
        </is>
      </c>
    </row>
    <row r="50" ht="18" customHeight="1" s="1232">
      <c r="B50" s="1240" t="inlineStr">
        <is>
          <t>Nov/Dec</t>
        </is>
      </c>
      <c r="C50" s="624">
        <f>I49+1</f>
        <v/>
      </c>
      <c r="D50" s="624">
        <f>C50+1</f>
        <v/>
      </c>
      <c r="E50" s="624">
        <f>D50+1</f>
        <v/>
      </c>
      <c r="F50" s="624">
        <f>E50+1</f>
        <v/>
      </c>
      <c r="G50" s="12">
        <f>F50+1</f>
        <v/>
      </c>
      <c r="H50" s="12" t="n">
        <v>30</v>
      </c>
      <c r="I50" s="12" t="n">
        <v>1</v>
      </c>
      <c r="K50" s="1239" t="n"/>
    </row>
    <row r="51" ht="18" customHeight="1" s="1232">
      <c r="B51" s="1236" t="inlineStr">
        <is>
          <t>Dec</t>
        </is>
      </c>
      <c r="C51" s="624">
        <f>I50+1</f>
        <v/>
      </c>
      <c r="D51" s="624">
        <f>C51+1</f>
        <v/>
      </c>
      <c r="E51" s="624">
        <f>D51+1</f>
        <v/>
      </c>
      <c r="F51" s="624">
        <f>E51+1</f>
        <v/>
      </c>
      <c r="G51" s="624">
        <f>F51+1</f>
        <v/>
      </c>
      <c r="H51" s="624">
        <f>G51+1</f>
        <v/>
      </c>
      <c r="I51" s="624">
        <f>H51+1</f>
        <v/>
      </c>
      <c r="K51" s="1239" t="n"/>
    </row>
    <row r="52" ht="18" customHeight="1" s="1232">
      <c r="B52" s="1236" t="inlineStr">
        <is>
          <t>Dec</t>
        </is>
      </c>
      <c r="C52" s="624">
        <f>I51+1</f>
        <v/>
      </c>
      <c r="D52" s="624">
        <f>C52+1</f>
        <v/>
      </c>
      <c r="E52" s="624">
        <f>D52+1</f>
        <v/>
      </c>
      <c r="F52" s="624">
        <f>E52+1</f>
        <v/>
      </c>
      <c r="G52" s="12">
        <f>F52+1</f>
        <v/>
      </c>
      <c r="H52" s="12">
        <f>G52+1</f>
        <v/>
      </c>
      <c r="I52" s="12">
        <f>H52+1</f>
        <v/>
      </c>
      <c r="K52" s="1239" t="n"/>
    </row>
    <row r="53" ht="18" customHeight="1" s="1232">
      <c r="B53" s="1236" t="inlineStr">
        <is>
          <t>Dec</t>
        </is>
      </c>
      <c r="C53" s="624">
        <f>I52+1</f>
        <v/>
      </c>
      <c r="D53" s="624">
        <f>C53+1</f>
        <v/>
      </c>
      <c r="E53" s="624">
        <f>D53+1</f>
        <v/>
      </c>
      <c r="F53" s="624">
        <f>E53+1</f>
        <v/>
      </c>
      <c r="G53" s="625">
        <f>F53+1</f>
        <v/>
      </c>
      <c r="H53" s="625">
        <f>G53+1</f>
        <v/>
      </c>
      <c r="I53" s="625">
        <f>H53+1</f>
        <v/>
      </c>
      <c r="K53" s="1239" t="inlineStr">
        <is>
          <t>Ruby Breaks Up</t>
        </is>
      </c>
    </row>
    <row r="54" ht="18" customHeight="1" s="1232">
      <c r="B54" s="1236" t="inlineStr">
        <is>
          <t>Dec</t>
        </is>
      </c>
      <c r="C54" s="625">
        <f>I53+1</f>
        <v/>
      </c>
      <c r="D54" s="625">
        <f>C54+1</f>
        <v/>
      </c>
      <c r="E54" s="625">
        <f>D54+1</f>
        <v/>
      </c>
      <c r="F54" s="12">
        <f>E54+1</f>
        <v/>
      </c>
      <c r="G54" s="12">
        <f>F54+1</f>
        <v/>
      </c>
      <c r="H54" s="12">
        <f>G54+1</f>
        <v/>
      </c>
      <c r="I54" s="12">
        <f>H54+1</f>
        <v/>
      </c>
      <c r="K54" s="1239" t="n"/>
    </row>
    <row r="55" ht="18" customHeight="1" s="1232" thickBot="1">
      <c r="B55" s="1244" t="inlineStr">
        <is>
          <t>Dec/Jan</t>
        </is>
      </c>
      <c r="C55" s="12">
        <f>I54+1</f>
        <v/>
      </c>
      <c r="D55" s="12" t="n">
        <v>31</v>
      </c>
      <c r="E55" s="12" t="n">
        <v>1</v>
      </c>
      <c r="F55" s="18">
        <f>E55+1</f>
        <v/>
      </c>
      <c r="G55" s="625">
        <f>F55+1</f>
        <v/>
      </c>
      <c r="H55" s="624">
        <f>G55+1</f>
        <v/>
      </c>
      <c r="I55" s="624">
        <f>H55+1</f>
        <v/>
      </c>
      <c r="K55" s="1239" t="n"/>
    </row>
  </sheetData>
  <pageMargins left="0.2362204724409449" right="0.2362204724409449" top="0.3937007874015748" bottom="0.3543307086614174" header="0.3149606299212598" footer="0.3149606299212598"/>
  <pageSetup orientation="portrait" paperSize="9" scale="65"/>
  <rowBreaks count="1" manualBreakCount="1">
    <brk id="55" min="0" max="16383" man="1"/>
  </rowBreaks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3:K49"/>
  <sheetViews>
    <sheetView workbookViewId="0">
      <selection activeCell="E19" sqref="E19"/>
    </sheetView>
  </sheetViews>
  <sheetFormatPr baseColWidth="8" defaultRowHeight="12.75"/>
  <cols>
    <col width="16.1328125" bestFit="1" customWidth="1" style="1232" min="2" max="2"/>
    <col width="12.1328125" bestFit="1" customWidth="1" style="1232" min="3" max="3"/>
    <col width="10" bestFit="1" customWidth="1" style="1232" min="4" max="4"/>
    <col width="10" bestFit="1" customWidth="1" style="1232" min="6" max="6"/>
    <col width="10" bestFit="1" customWidth="1" style="1232" min="8" max="8"/>
    <col width="10" bestFit="1" customWidth="1" style="1232" min="10" max="10"/>
  </cols>
  <sheetData>
    <row r="3">
      <c r="D3" s="1249" t="inlineStr">
        <is>
          <t>Inc</t>
        </is>
      </c>
      <c r="E3" s="1249" t="inlineStr">
        <is>
          <t>Extra</t>
        </is>
      </c>
      <c r="F3" s="1249" t="inlineStr">
        <is>
          <t>Total</t>
        </is>
      </c>
      <c r="G3" s="1249" t="inlineStr">
        <is>
          <t>Client PD</t>
        </is>
      </c>
      <c r="H3" s="1249" t="inlineStr">
        <is>
          <t>Cost</t>
        </is>
      </c>
      <c r="J3" s="1249" t="inlineStr">
        <is>
          <t>Margin</t>
        </is>
      </c>
      <c r="K3" s="1249" t="inlineStr">
        <is>
          <t>Per Day</t>
        </is>
      </c>
    </row>
    <row r="5">
      <c r="A5" s="568" t="n">
        <v>1</v>
      </c>
      <c r="B5" s="1250" t="inlineStr">
        <is>
          <t>Joyce</t>
        </is>
      </c>
      <c r="C5" s="1250" t="inlineStr">
        <is>
          <t>James</t>
        </is>
      </c>
      <c r="D5" s="1250" t="n">
        <v>960</v>
      </c>
      <c r="E5" s="1250">
        <f>$D$35</f>
        <v/>
      </c>
      <c r="F5" s="1250">
        <f>E5+D5</f>
        <v/>
      </c>
      <c r="G5" s="1250">
        <f>F5/5</f>
        <v/>
      </c>
      <c r="H5" s="1250">
        <f>$D$49</f>
        <v/>
      </c>
      <c r="J5" s="1250">
        <f>F5-H5</f>
        <v/>
      </c>
      <c r="K5" s="1250">
        <f>J5/5</f>
        <v/>
      </c>
    </row>
    <row r="6">
      <c r="A6" s="568" t="n">
        <v>2</v>
      </c>
      <c r="B6" s="1250" t="inlineStr">
        <is>
          <t xml:space="preserve">ROBERT </t>
        </is>
      </c>
      <c r="C6" s="1250" t="inlineStr">
        <is>
          <t xml:space="preserve">GRIFFITHS </t>
        </is>
      </c>
      <c r="D6" s="1250" t="n">
        <v>500</v>
      </c>
      <c r="E6" s="1250">
        <f>$D$35</f>
        <v/>
      </c>
      <c r="F6" s="1250">
        <f>E6+D6</f>
        <v/>
      </c>
      <c r="G6" s="1250">
        <f>F6/5</f>
        <v/>
      </c>
      <c r="H6" s="1250">
        <f>$D$49</f>
        <v/>
      </c>
      <c r="J6" s="1250">
        <f>F6-H6</f>
        <v/>
      </c>
      <c r="K6" s="1250">
        <f>J6/5</f>
        <v/>
      </c>
    </row>
    <row r="7">
      <c r="A7" s="568" t="n">
        <v>3</v>
      </c>
      <c r="B7" s="1250" t="inlineStr">
        <is>
          <t>Anne</t>
        </is>
      </c>
      <c r="C7" s="1250" t="inlineStr">
        <is>
          <t>Watkinson</t>
        </is>
      </c>
      <c r="D7" s="1250" t="n">
        <v>995</v>
      </c>
      <c r="E7" s="1250" t="n">
        <v>100</v>
      </c>
      <c r="F7" s="1250">
        <f>E7+D7</f>
        <v/>
      </c>
      <c r="G7" s="1250">
        <f>F7/5</f>
        <v/>
      </c>
      <c r="H7" s="1250">
        <f>$D$49</f>
        <v/>
      </c>
      <c r="J7" s="1250">
        <f>F7-H7</f>
        <v/>
      </c>
      <c r="K7" s="1250">
        <f>J7/5</f>
        <v/>
      </c>
    </row>
    <row r="8">
      <c r="A8" s="568" t="n">
        <v>4</v>
      </c>
      <c r="B8" s="1250" t="inlineStr">
        <is>
          <t>Ian</t>
        </is>
      </c>
      <c r="C8" s="1250" t="inlineStr">
        <is>
          <t>Harrop</t>
        </is>
      </c>
      <c r="D8" s="1250" t="n">
        <v>995</v>
      </c>
      <c r="E8" s="1250" t="n">
        <v>100</v>
      </c>
      <c r="F8" s="1250">
        <f>E8+D8</f>
        <v/>
      </c>
      <c r="G8" s="1250">
        <f>F8/5</f>
        <v/>
      </c>
      <c r="H8" s="1250">
        <f>$D$49</f>
        <v/>
      </c>
      <c r="J8" s="1250">
        <f>F8-H8</f>
        <v/>
      </c>
      <c r="K8" s="1250">
        <f>J8/5</f>
        <v/>
      </c>
    </row>
    <row r="9">
      <c r="A9" s="568" t="n">
        <v>5</v>
      </c>
      <c r="B9" s="1250" t="inlineStr">
        <is>
          <t xml:space="preserve">Con </t>
        </is>
      </c>
      <c r="C9" s="1250" t="inlineStr">
        <is>
          <t>McHugh</t>
        </is>
      </c>
      <c r="D9" s="1250" t="n">
        <v>995</v>
      </c>
      <c r="E9" s="1250">
        <f>$D$35</f>
        <v/>
      </c>
      <c r="F9" s="1250">
        <f>E9+D9</f>
        <v/>
      </c>
      <c r="G9" s="1250">
        <f>F9/5</f>
        <v/>
      </c>
      <c r="H9" s="1250">
        <f>$D$49</f>
        <v/>
      </c>
      <c r="J9" s="1250">
        <f>F9-H9</f>
        <v/>
      </c>
      <c r="K9" s="1250">
        <f>J9/5</f>
        <v/>
      </c>
    </row>
    <row r="10">
      <c r="A10" s="568" t="n">
        <v>6</v>
      </c>
      <c r="B10" s="1250" t="inlineStr">
        <is>
          <t xml:space="preserve">Paul </t>
        </is>
      </c>
      <c r="C10" s="1250" t="inlineStr">
        <is>
          <t>Garnett</t>
        </is>
      </c>
      <c r="D10" s="1250" t="n">
        <v>0</v>
      </c>
      <c r="F10" s="1250">
        <f>E10+D10</f>
        <v/>
      </c>
      <c r="G10" s="1250">
        <f>F10/5</f>
        <v/>
      </c>
      <c r="J10" s="1250">
        <f>F10-H10</f>
        <v/>
      </c>
      <c r="K10" s="1250">
        <f>J10/5</f>
        <v/>
      </c>
    </row>
    <row r="13" ht="13.15" customHeight="1" s="1232">
      <c r="D13" s="1251">
        <f>SUM(D4:D12)</f>
        <v/>
      </c>
      <c r="E13" s="1251">
        <f>SUM(E4:E12)</f>
        <v/>
      </c>
      <c r="F13" s="1251">
        <f>SUM(F4:F12)</f>
        <v/>
      </c>
      <c r="G13" s="1251" t="n"/>
      <c r="H13" s="1251">
        <f>SUM(H4:H12)</f>
        <v/>
      </c>
      <c r="I13" s="1251" t="n"/>
      <c r="J13" s="1251">
        <f>SUM(J4:J12)</f>
        <v/>
      </c>
      <c r="K13" s="1251">
        <f>SUM(K4:K12)</f>
        <v/>
      </c>
    </row>
    <row r="17">
      <c r="B17" s="1249" t="inlineStr">
        <is>
          <t>Costs</t>
        </is>
      </c>
    </row>
    <row r="19">
      <c r="B19" s="1249" t="inlineStr">
        <is>
          <t>Dingle Hotel</t>
        </is>
      </c>
      <c r="C19" s="1249" t="inlineStr">
        <is>
          <t>5 Rooms</t>
        </is>
      </c>
      <c r="D19" s="1250">
        <f>1550-241</f>
        <v/>
      </c>
    </row>
    <row r="20">
      <c r="B20" s="1249" t="inlineStr">
        <is>
          <t>Van Hire</t>
        </is>
      </c>
      <c r="C20" s="1249" t="inlineStr">
        <is>
          <t>3 Days</t>
        </is>
      </c>
      <c r="D20" s="1250" t="n">
        <v>500</v>
      </c>
    </row>
    <row r="21">
      <c r="B21" s="1249" t="inlineStr">
        <is>
          <t>Fuel</t>
        </is>
      </c>
      <c r="C21" s="1249" t="inlineStr">
        <is>
          <t>4Days</t>
        </is>
      </c>
      <c r="D21" s="1250">
        <f>45*4</f>
        <v/>
      </c>
      <c r="I21" s="1249" t="inlineStr">
        <is>
          <t>Money to Come in</t>
        </is>
      </c>
    </row>
    <row r="23">
      <c r="I23" s="1249" t="inlineStr">
        <is>
          <t>Bob</t>
        </is>
      </c>
    </row>
    <row r="24">
      <c r="B24" s="1249" t="inlineStr">
        <is>
          <t>Food</t>
        </is>
      </c>
      <c r="C24" s="1249" t="inlineStr">
        <is>
          <t>Alan</t>
        </is>
      </c>
      <c r="D24" s="1250">
        <f>60*4</f>
        <v/>
      </c>
      <c r="I24" s="1249" t="inlineStr">
        <is>
          <t>Anne</t>
        </is>
      </c>
      <c r="J24" s="1250" t="n">
        <v>0</v>
      </c>
    </row>
    <row r="25">
      <c r="I25" s="1249" t="inlineStr">
        <is>
          <t>Ian</t>
        </is>
      </c>
      <c r="J25" s="1250" t="n">
        <v>0</v>
      </c>
    </row>
    <row r="26" ht="13.15" customHeight="1" s="1232">
      <c r="D26" s="1251">
        <f>SUM(D19:D25)</f>
        <v/>
      </c>
      <c r="I26" s="1249" t="inlineStr">
        <is>
          <t>Joyce</t>
        </is>
      </c>
      <c r="J26" s="1250" t="n">
        <v>0</v>
      </c>
    </row>
    <row r="27" ht="13.15" customHeight="1" s="1232">
      <c r="B27" s="1251" t="inlineStr">
        <is>
          <t>Extra Day</t>
        </is>
      </c>
      <c r="I27" s="1249" t="n"/>
    </row>
    <row r="28" ht="13.15" customHeight="1" s="1232">
      <c r="B28" s="1251" t="n"/>
    </row>
    <row r="29">
      <c r="B29" s="1249" t="inlineStr">
        <is>
          <t>Killarney Hotel</t>
        </is>
      </c>
      <c r="C29" s="1249" t="inlineStr">
        <is>
          <t>1 night</t>
        </is>
      </c>
      <c r="D29" s="1250">
        <f>430-79</f>
        <v/>
      </c>
    </row>
    <row r="30">
      <c r="B30" s="1249" t="inlineStr">
        <is>
          <t>Van Hire</t>
        </is>
      </c>
      <c r="C30" s="1249" t="inlineStr">
        <is>
          <t>Extra Day</t>
        </is>
      </c>
      <c r="D30" s="1250" t="n">
        <v>200</v>
      </c>
      <c r="E30" s="1250">
        <f>D30/5</f>
        <v/>
      </c>
    </row>
    <row r="31" ht="13.15" customHeight="1" s="1232">
      <c r="B31" s="1249" t="inlineStr">
        <is>
          <t>food</t>
        </is>
      </c>
      <c r="C31" s="1249" t="inlineStr">
        <is>
          <t>one extra day</t>
        </is>
      </c>
      <c r="D31" s="1250" t="n">
        <v>80</v>
      </c>
      <c r="J31" s="1251">
        <f>SUM(J23:J30)</f>
        <v/>
      </c>
    </row>
    <row r="32">
      <c r="B32" s="1249" t="inlineStr">
        <is>
          <t>Tuition</t>
        </is>
      </c>
      <c r="C32" s="1249" t="inlineStr">
        <is>
          <t>Extra Day</t>
        </is>
      </c>
      <c r="D32" s="1250" t="n">
        <v>250</v>
      </c>
    </row>
    <row r="33">
      <c r="B33" s="1249" t="inlineStr">
        <is>
          <t>fuel extra day</t>
        </is>
      </c>
      <c r="C33" s="1249" t="n"/>
      <c r="D33" s="1250" t="n">
        <v>50</v>
      </c>
    </row>
    <row r="34" ht="13.15" customHeight="1" s="1232">
      <c r="D34" s="1251">
        <f>SUM(D29:D33)</f>
        <v/>
      </c>
    </row>
    <row r="35">
      <c r="C35" s="1249" t="inlineStr">
        <is>
          <t>divide by 5</t>
        </is>
      </c>
      <c r="D35" s="1250">
        <f>D34/5</f>
        <v/>
      </c>
    </row>
    <row r="38" ht="13.15" customHeight="1" s="1232">
      <c r="B38" s="1249" t="inlineStr">
        <is>
          <t>Total Cost</t>
        </is>
      </c>
      <c r="D38" s="1251">
        <f>D34+D26</f>
        <v/>
      </c>
    </row>
    <row r="42" ht="13.15" customHeight="1" s="1232">
      <c r="B42" s="1251" t="inlineStr">
        <is>
          <t>Cost per person</t>
        </is>
      </c>
      <c r="D42" s="568" t="n">
        <v>5</v>
      </c>
    </row>
    <row r="43">
      <c r="B43" s="1249" t="inlineStr">
        <is>
          <t>Dingle Hotel</t>
        </is>
      </c>
      <c r="D43" s="1250">
        <f>D19/$D$42</f>
        <v/>
      </c>
    </row>
    <row r="44">
      <c r="B44" s="1249" t="inlineStr">
        <is>
          <t>Van Hire</t>
        </is>
      </c>
      <c r="D44" s="1250">
        <f>D20/$D$42</f>
        <v/>
      </c>
    </row>
    <row r="45">
      <c r="B45" s="1249" t="inlineStr">
        <is>
          <t>Fuel</t>
        </is>
      </c>
      <c r="D45" s="1250">
        <f>D21/$D$42</f>
        <v/>
      </c>
    </row>
    <row r="46">
      <c r="B46" s="1249" t="inlineStr">
        <is>
          <t>Alan Food</t>
        </is>
      </c>
      <c r="D46" s="1250">
        <f>D24/$D$42</f>
        <v/>
      </c>
    </row>
    <row r="47">
      <c r="B47" s="1249" t="inlineStr">
        <is>
          <t>Extra Day</t>
        </is>
      </c>
      <c r="D47" s="1250">
        <f>D34/$D$42</f>
        <v/>
      </c>
    </row>
    <row r="49" ht="13.15" customHeight="1" s="1232">
      <c r="D49" s="1251">
        <f>SUM(D43:D48)</f>
        <v/>
      </c>
    </row>
  </sheetData>
  <pageMargins left="0.7" right="0.7" top="0.75" bottom="0.75" header="0.3" footer="0.3"/>
  <pageSetup orientation="portrait" paperSize="9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B2:N38"/>
  <sheetViews>
    <sheetView workbookViewId="0">
      <selection activeCell="B60" sqref="B59:B60"/>
    </sheetView>
  </sheetViews>
  <sheetFormatPr baseColWidth="8" defaultRowHeight="12.75"/>
  <cols>
    <col width="26.33203125" bestFit="1" customWidth="1" style="1232" min="2" max="2"/>
    <col width="11.19921875" customWidth="1" style="1232" min="3" max="3"/>
    <col width="10" bestFit="1" customWidth="1" style="1232" min="10" max="10"/>
    <col width="10" bestFit="1" customWidth="1" style="1232" min="14" max="14"/>
  </cols>
  <sheetData>
    <row r="2" ht="13.15" customHeight="1" s="1232">
      <c r="D2" s="1252" t="inlineStr">
        <is>
          <t>Bronze</t>
        </is>
      </c>
      <c r="G2" s="1251" t="n"/>
      <c r="H2" s="1253" t="inlineStr">
        <is>
          <t>Silver</t>
        </is>
      </c>
      <c r="K2" s="1251" t="n"/>
      <c r="L2" s="1254" t="inlineStr">
        <is>
          <t>Gold</t>
        </is>
      </c>
    </row>
    <row r="4" ht="13.15" customHeight="1" s="1232">
      <c r="B4" s="1251" t="inlineStr">
        <is>
          <t>Boot Camp</t>
        </is>
      </c>
      <c r="C4" s="1251" t="n"/>
      <c r="D4" s="1251" t="inlineStr">
        <is>
          <t>Monthly</t>
        </is>
      </c>
      <c r="E4" s="1251" t="n"/>
      <c r="F4" s="1251" t="inlineStr">
        <is>
          <t>Annual</t>
        </is>
      </c>
      <c r="G4" s="1251" t="n"/>
      <c r="H4" s="1251" t="inlineStr">
        <is>
          <t>Monthly</t>
        </is>
      </c>
      <c r="I4" s="1251" t="n"/>
      <c r="J4" s="1251" t="inlineStr">
        <is>
          <t>Annual</t>
        </is>
      </c>
      <c r="K4" s="1251" t="n"/>
      <c r="L4" s="1251" t="inlineStr">
        <is>
          <t>Monthly</t>
        </is>
      </c>
      <c r="M4" s="1251" t="n"/>
      <c r="N4" s="1251" t="inlineStr">
        <is>
          <t>Annual</t>
        </is>
      </c>
    </row>
    <row r="6">
      <c r="B6" s="1249" t="inlineStr">
        <is>
          <t>Membership</t>
        </is>
      </c>
      <c r="C6" s="1249" t="n"/>
      <c r="D6" s="1250" t="n">
        <v>50</v>
      </c>
      <c r="F6" s="1250">
        <f>D6*12</f>
        <v/>
      </c>
      <c r="H6" s="1250" t="n">
        <v>75</v>
      </c>
      <c r="J6" s="1250">
        <f>H6*12</f>
        <v/>
      </c>
      <c r="L6" s="1250" t="n">
        <v>100</v>
      </c>
      <c r="N6" s="1250">
        <f>L6*12</f>
        <v/>
      </c>
    </row>
    <row r="7">
      <c r="B7" s="1249" t="n"/>
      <c r="C7" s="1249" t="n"/>
    </row>
    <row r="11" ht="13.15" customHeight="1" s="1232">
      <c r="B11" s="1251" t="inlineStr">
        <is>
          <t>Services</t>
        </is>
      </c>
      <c r="C11" s="1249" t="n"/>
    </row>
    <row r="13" ht="13.15" customHeight="1" s="1232">
      <c r="B13" s="1251" t="inlineStr">
        <is>
          <t>Initial Discussion and Planning</t>
        </is>
      </c>
      <c r="D13" s="1250" t="n">
        <v>50</v>
      </c>
      <c r="F13" s="1250">
        <f>D13*1</f>
        <v/>
      </c>
      <c r="H13" s="1250" t="n">
        <v>50</v>
      </c>
      <c r="J13" s="1250">
        <f>H13*1</f>
        <v/>
      </c>
      <c r="L13" s="1250" t="n">
        <v>50</v>
      </c>
      <c r="N13" s="1250">
        <f>L13*1</f>
        <v/>
      </c>
    </row>
    <row r="15">
      <c r="B15" s="1249" t="inlineStr">
        <is>
          <t>Monthly Assignment x 6</t>
        </is>
      </c>
      <c r="C15" s="1249" t="n"/>
      <c r="D15" s="1250" t="n">
        <v>20</v>
      </c>
      <c r="F15" s="1250">
        <f>D15*6</f>
        <v/>
      </c>
      <c r="H15" s="1250" t="n">
        <v>20</v>
      </c>
      <c r="J15" s="1250">
        <f>H15*6</f>
        <v/>
      </c>
      <c r="L15" s="1250" t="n">
        <v>20</v>
      </c>
      <c r="N15" s="1250">
        <f>L15*6</f>
        <v/>
      </c>
    </row>
    <row r="17">
      <c r="B17" s="1249" t="inlineStr">
        <is>
          <t>1hr Zoom 9am -5pm x 6</t>
        </is>
      </c>
      <c r="C17" s="1249" t="n"/>
      <c r="D17" s="1250" t="n">
        <v>50</v>
      </c>
      <c r="F17" s="1250">
        <f>D17*6</f>
        <v/>
      </c>
    </row>
    <row r="19">
      <c r="B19" s="1249" t="inlineStr">
        <is>
          <t>1hr Zoom Evening/Weekend x 6</t>
        </is>
      </c>
      <c r="C19" s="1249" t="n"/>
      <c r="H19" s="1250" t="n">
        <v>75</v>
      </c>
      <c r="J19" s="1250">
        <f>H19*6</f>
        <v/>
      </c>
      <c r="L19" s="1250" t="n">
        <v>75</v>
      </c>
      <c r="N19" s="1250">
        <f>L19*6</f>
        <v/>
      </c>
    </row>
    <row r="20">
      <c r="B20" s="1249" t="inlineStr">
        <is>
          <t>Or</t>
        </is>
      </c>
    </row>
    <row r="21">
      <c r="B21" s="1249" t="inlineStr">
        <is>
          <t>1hr 1-2-1 F2F Coventry x 6</t>
        </is>
      </c>
      <c r="H21" s="1250" t="n">
        <v>65</v>
      </c>
      <c r="I21" s="1250">
        <f>H21*6</f>
        <v/>
      </c>
      <c r="L21" s="1250" t="n">
        <v>65</v>
      </c>
      <c r="M21" s="1250">
        <f>L21*6</f>
        <v/>
      </c>
    </row>
    <row r="24">
      <c r="B24" s="1249" t="inlineStr">
        <is>
          <t>4 x Group Zoom - Editing</t>
        </is>
      </c>
      <c r="C24" s="1249" t="n"/>
      <c r="D24" s="1250" t="n">
        <v>25</v>
      </c>
      <c r="F24" s="1250">
        <f>D24*4</f>
        <v/>
      </c>
      <c r="H24" s="1250" t="n">
        <v>25</v>
      </c>
      <c r="J24" s="1250" t="n">
        <v>100</v>
      </c>
      <c r="L24" s="1250" t="n">
        <v>25</v>
      </c>
      <c r="N24" s="1250" t="n">
        <v>100</v>
      </c>
    </row>
    <row r="31" ht="13.15" customHeight="1" s="1232">
      <c r="B31" s="1249" t="inlineStr">
        <is>
          <t>Workshop / Classes Discount</t>
        </is>
      </c>
      <c r="D31" s="951" t="n">
        <v>0.1</v>
      </c>
      <c r="H31" s="951" t="n">
        <v>0.15</v>
      </c>
      <c r="L31" s="951" t="n">
        <v>0.2</v>
      </c>
    </row>
    <row r="34" ht="13.15" customHeight="1" s="1232">
      <c r="B34" s="1251" t="inlineStr">
        <is>
          <t>End of Year Review</t>
        </is>
      </c>
      <c r="D34" s="1250" t="n">
        <v>50</v>
      </c>
      <c r="F34" s="1250">
        <f>D34*1</f>
        <v/>
      </c>
      <c r="H34" s="1250" t="n">
        <v>50</v>
      </c>
      <c r="J34" s="1250">
        <f>H34*1</f>
        <v/>
      </c>
      <c r="L34" s="1250" t="n">
        <v>50</v>
      </c>
      <c r="N34" s="1250">
        <f>L34*1</f>
        <v/>
      </c>
    </row>
    <row r="38" ht="13.15" customHeight="1" s="1232">
      <c r="F38" s="1251">
        <f>SUM(F11:F37)</f>
        <v/>
      </c>
      <c r="J38" s="1251">
        <f>SUM(J11:J37)</f>
        <v/>
      </c>
      <c r="N38" s="1251">
        <f>SUM(N11:N37)</f>
        <v/>
      </c>
    </row>
  </sheetData>
  <mergeCells count="3">
    <mergeCell ref="D2:F2"/>
    <mergeCell ref="L2:N2"/>
    <mergeCell ref="H2:J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 fitToPage="1"/>
  </sheetPr>
  <dimension ref="A1:AJ354"/>
  <sheetViews>
    <sheetView showZeros="0" tabSelected="1" topLeftCell="A11" zoomScaleNormal="100" workbookViewId="0">
      <selection activeCell="P45" sqref="P45"/>
    </sheetView>
  </sheetViews>
  <sheetFormatPr baseColWidth="8" defaultColWidth="9.1328125" defaultRowHeight="12.75"/>
  <cols>
    <col width="9.796875" bestFit="1" customWidth="1" style="1255" min="1" max="1"/>
    <col width="19.33203125" bestFit="1" customWidth="1" style="1255" min="2" max="2"/>
    <col width="26.86328125" bestFit="1" customWidth="1" style="1255" min="3" max="3"/>
    <col width="18.796875" customWidth="1" style="1255" min="4" max="4"/>
    <col width="11" bestFit="1" customWidth="1" style="1256" min="5" max="5"/>
    <col width="16.33203125" customWidth="1" style="1255" min="6" max="6"/>
    <col width="13.46484375" customWidth="1" style="1255" min="7" max="7"/>
    <col width="11.53125" customWidth="1" style="1255" min="8" max="8"/>
    <col width="30.1328125" bestFit="1" customWidth="1" style="1255" min="9" max="9"/>
    <col width="16.46484375" bestFit="1" customWidth="1" style="1255" min="10" max="10"/>
    <col width="8.86328125" customWidth="1" style="1255" min="11" max="11"/>
    <col width="9" bestFit="1" customWidth="1" style="1255" min="12" max="12"/>
    <col width="7.796875" customWidth="1" style="1255" min="13" max="13"/>
    <col width="7.46484375" customWidth="1" style="1255" min="14" max="14"/>
    <col width="7.796875" customWidth="1" style="1255" min="15" max="22"/>
    <col width="8.3984375" customWidth="1" style="1255" min="23" max="23"/>
    <col width="12.1328125" bestFit="1" customWidth="1" style="1255" min="24" max="24"/>
    <col width="10.19921875" customWidth="1" style="1255" min="25" max="25"/>
    <col width="8.796875" customWidth="1" style="1255" min="26" max="26"/>
    <col width="10.1328125" customWidth="1" style="1255" min="27" max="27"/>
    <col width="12.1328125" customWidth="1" style="1255" min="28" max="28"/>
    <col width="3.1328125" customWidth="1" style="1255" min="29" max="29"/>
    <col width="13.33203125" customWidth="1" style="1255" min="30" max="31"/>
    <col width="12" bestFit="1" customWidth="1" style="1255" min="32" max="32"/>
    <col width="11.53125" bestFit="1" customWidth="1" style="1255" min="33" max="33"/>
    <col width="12" bestFit="1" customWidth="1" style="1255" min="34" max="34"/>
    <col width="9" bestFit="1" customWidth="1" style="1255" min="35" max="35"/>
    <col width="9.1328125" customWidth="1" style="1255" min="36" max="16384"/>
  </cols>
  <sheetData>
    <row r="1" ht="20.65" customHeight="1" s="1232">
      <c r="C1" s="1257">
        <f>NOW()</f>
        <v/>
      </c>
      <c r="D1" s="1258" t="n"/>
      <c r="I1" s="1259" t="inlineStr">
        <is>
          <t>2026 - Year 14</t>
        </is>
      </c>
      <c r="J1" s="1260" t="inlineStr">
        <is>
          <t>Covid Factor</t>
        </is>
      </c>
      <c r="K1" s="1261" t="n">
        <v>0</v>
      </c>
      <c r="L1" s="1261" t="n">
        <v>0</v>
      </c>
      <c r="M1" s="1261" t="n">
        <v>0</v>
      </c>
      <c r="N1" s="1261" t="n">
        <v>0</v>
      </c>
      <c r="O1" s="1261" t="n">
        <v>0</v>
      </c>
      <c r="P1" s="1261" t="n">
        <v>0</v>
      </c>
      <c r="Q1" s="1261" t="n">
        <v>0</v>
      </c>
      <c r="R1" s="1261" t="n">
        <v>0</v>
      </c>
      <c r="S1" s="1261" t="n">
        <v>0</v>
      </c>
      <c r="T1" s="1261" t="n">
        <v>0</v>
      </c>
      <c r="U1" s="1261" t="n">
        <v>0</v>
      </c>
      <c r="V1" s="1261" t="n">
        <v>0</v>
      </c>
      <c r="W1" s="1262">
        <f>SUM(K1:V1)</f>
        <v/>
      </c>
      <c r="AA1" s="1260" t="n"/>
    </row>
    <row r="2" ht="15" customHeight="1" s="1232">
      <c r="C2" s="1263" t="inlineStr">
        <is>
          <t>Working Days Left</t>
        </is>
      </c>
      <c r="D2" s="993">
        <f>NETWORKDAYS(TODAY(),EOMONTH(TODAY(),0))</f>
        <v/>
      </c>
      <c r="E2" s="1264" t="n"/>
      <c r="F2" s="1265" t="n"/>
      <c r="J2" s="1260" t="inlineStr">
        <is>
          <t>Weighting</t>
        </is>
      </c>
      <c r="K2" s="1266">
        <f>SUM(K44/$W44)</f>
        <v/>
      </c>
      <c r="L2" s="1266">
        <f>SUM(L44/$W44)</f>
        <v/>
      </c>
      <c r="M2" s="1266">
        <f>SUM(M44/$W44)</f>
        <v/>
      </c>
      <c r="N2" s="1266">
        <f>SUM(N44/$W44)</f>
        <v/>
      </c>
      <c r="O2" s="1266">
        <f>SUM(O44/$W44)</f>
        <v/>
      </c>
      <c r="P2" s="1266">
        <f>SUM(P44/$W44)</f>
        <v/>
      </c>
      <c r="Q2" s="1266">
        <f>SUM(Q44/$W44)</f>
        <v/>
      </c>
      <c r="R2" s="1266">
        <f>SUM(R44/$W44)</f>
        <v/>
      </c>
      <c r="S2" s="1266">
        <f>SUM(S44/$W44)</f>
        <v/>
      </c>
      <c r="T2" s="1266">
        <f>SUM(T44/$W44)</f>
        <v/>
      </c>
      <c r="U2" s="1266">
        <f>SUM(U44/$W44)</f>
        <v/>
      </c>
      <c r="V2" s="1266">
        <f>SUM(V44/$W44)</f>
        <v/>
      </c>
      <c r="W2" s="1267">
        <f>SUM(K2:V2)</f>
        <v/>
      </c>
      <c r="AD2" s="1268" t="inlineStr">
        <is>
          <t>FY</t>
        </is>
      </c>
      <c r="AE2" s="1268" t="n"/>
      <c r="AF2" s="1268" t="inlineStr">
        <is>
          <t>Total</t>
        </is>
      </c>
      <c r="AG2" s="1260" t="inlineStr">
        <is>
          <t>Apr to Dec</t>
        </is>
      </c>
      <c r="AH2" s="1260" t="inlineStr">
        <is>
          <t>Jan to Mar</t>
        </is>
      </c>
      <c r="AI2" s="1260" t="inlineStr">
        <is>
          <t>% Inc</t>
        </is>
      </c>
    </row>
    <row r="3" ht="26.25" customHeight="1" s="1232">
      <c r="C3" s="1269" t="inlineStr">
        <is>
          <t>Working Days gone</t>
        </is>
      </c>
      <c r="D3" s="993">
        <f>22-D2</f>
        <v/>
      </c>
      <c r="E3" s="1270" t="n"/>
      <c r="F3" s="1271" t="n"/>
      <c r="G3" s="1272" t="inlineStr">
        <is>
          <t>Gross Margin Share</t>
        </is>
      </c>
      <c r="H3" s="1272" t="inlineStr">
        <is>
          <t>Sales Share</t>
        </is>
      </c>
      <c r="I3" s="1250" t="n"/>
      <c r="J3" s="1251" t="inlineStr">
        <is>
          <t>Monthly Target</t>
        </is>
      </c>
      <c r="K3" s="737">
        <f>SUM(K2+K1)*$J19</f>
        <v/>
      </c>
      <c r="L3" s="737">
        <f>SUM(L2+L1)*$J19</f>
        <v/>
      </c>
      <c r="M3" s="737">
        <f>SUM(M2+M1)*$J19</f>
        <v/>
      </c>
      <c r="N3" s="737">
        <f>SUM(N2+N1)*$J19</f>
        <v/>
      </c>
      <c r="O3" s="737">
        <f>SUM(O2+O1)*$J19</f>
        <v/>
      </c>
      <c r="P3" s="737">
        <f>SUM(P2+P1)*$J19</f>
        <v/>
      </c>
      <c r="Q3" s="737">
        <f>SUM(Q2+Q1)*$J19</f>
        <v/>
      </c>
      <c r="R3" s="737">
        <f>SUM(R2+R1)*$J19</f>
        <v/>
      </c>
      <c r="S3" s="737">
        <f>SUM(S2+S1)*$J19</f>
        <v/>
      </c>
      <c r="T3" s="737">
        <f>SUM(T2+T1)*$J19</f>
        <v/>
      </c>
      <c r="U3" s="737">
        <f>SUM(U2+U1)*$J19</f>
        <v/>
      </c>
      <c r="V3" s="737">
        <f>SUM(V2+V1)*$J19</f>
        <v/>
      </c>
      <c r="W3" s="805">
        <f>SUM(K3:V3)</f>
        <v/>
      </c>
      <c r="AA3" s="1273" t="inlineStr">
        <is>
          <t>Month No'</t>
        </is>
      </c>
      <c r="AB3" s="820" t="n">
        <v>5</v>
      </c>
      <c r="AD3" s="1255" t="n">
        <v>0.9995056846267919</v>
      </c>
      <c r="AF3" s="1268" t="n"/>
    </row>
    <row r="4" ht="15" customHeight="1" s="1232">
      <c r="C4" s="1269" t="inlineStr">
        <is>
          <t>Average per day to date</t>
        </is>
      </c>
      <c r="D4" s="1211">
        <f>O18/D3</f>
        <v/>
      </c>
      <c r="E4" s="1270" t="n"/>
      <c r="F4" s="1271" t="n"/>
      <c r="I4" s="1250" t="n"/>
      <c r="J4" s="1251" t="inlineStr">
        <is>
          <t>Working Days</t>
        </is>
      </c>
      <c r="K4" s="737">
        <f>NETWORKDAYS(K5,EOMONTH(K5,0))</f>
        <v/>
      </c>
      <c r="L4" s="737">
        <f>NETWORKDAYS(L5,EOMONTH(L5,0))</f>
        <v/>
      </c>
      <c r="M4" s="737">
        <f>NETWORKDAYS(M5,EOMONTH(M5,0))</f>
        <v/>
      </c>
      <c r="N4" s="737">
        <f>NETWORKDAYS(N5,EOMONTH(N5,0))</f>
        <v/>
      </c>
      <c r="O4" s="737">
        <f>NETWORKDAYS(O5,EOMONTH(O5,0))</f>
        <v/>
      </c>
      <c r="P4" s="737">
        <f>NETWORKDAYS(P5,EOMONTH(P5,0))</f>
        <v/>
      </c>
      <c r="Q4" s="737">
        <f>NETWORKDAYS(Q5,EOMONTH(Q5,0))</f>
        <v/>
      </c>
      <c r="R4" s="737">
        <f>NETWORKDAYS(R5,EOMONTH(R5,0))</f>
        <v/>
      </c>
      <c r="S4" s="737">
        <f>NETWORKDAYS(S5,EOMONTH(S5,0))</f>
        <v/>
      </c>
      <c r="T4" s="737">
        <f>NETWORKDAYS(T5,EOMONTH(T5,0))</f>
        <v/>
      </c>
      <c r="U4" s="737">
        <f>NETWORKDAYS(U5,EOMONTH(U5,0))</f>
        <v/>
      </c>
      <c r="V4" s="737">
        <f>NETWORKDAYS(V5,EOMONTH(V5,0))</f>
        <v/>
      </c>
      <c r="W4" s="805">
        <f>SUM(K4:V4)</f>
        <v/>
      </c>
      <c r="AF4" s="1268" t="n"/>
    </row>
    <row r="5" ht="15" customHeight="1" s="1232">
      <c r="C5" s="1263" t="inlineStr">
        <is>
          <t>Per hour</t>
        </is>
      </c>
      <c r="D5" s="1065">
        <f>D4/8</f>
        <v/>
      </c>
      <c r="E5" s="1270" t="n"/>
      <c r="F5" s="1274" t="n"/>
      <c r="I5" s="1275" t="inlineStr">
        <is>
          <t>Sales Categories</t>
        </is>
      </c>
      <c r="J5" s="1276" t="inlineStr">
        <is>
          <t>Target</t>
        </is>
      </c>
      <c r="K5" s="1277" t="n">
        <v>45292</v>
      </c>
      <c r="L5" s="1277" t="n">
        <v>45323</v>
      </c>
      <c r="M5" s="1277" t="n">
        <v>45352</v>
      </c>
      <c r="N5" s="1277" t="n">
        <v>45383</v>
      </c>
      <c r="O5" s="1277" t="n">
        <v>45413</v>
      </c>
      <c r="P5" s="1277" t="n">
        <v>45444</v>
      </c>
      <c r="Q5" s="1277" t="n">
        <v>45474</v>
      </c>
      <c r="R5" s="1277" t="n">
        <v>45505</v>
      </c>
      <c r="S5" s="1277" t="n">
        <v>45536</v>
      </c>
      <c r="T5" s="1277" t="n">
        <v>45566</v>
      </c>
      <c r="U5" s="1277" t="n">
        <v>45597</v>
      </c>
      <c r="V5" s="1277" t="n">
        <v>45627</v>
      </c>
      <c r="W5" s="1278" t="inlineStr">
        <is>
          <t>Year</t>
        </is>
      </c>
      <c r="X5" s="1279" t="inlineStr">
        <is>
          <t>Current Var</t>
        </is>
      </c>
      <c r="Y5" s="1280" t="inlineStr">
        <is>
          <t>Var YTD</t>
        </is>
      </c>
      <c r="Z5" s="1281" t="inlineStr">
        <is>
          <t>% YTD</t>
        </is>
      </c>
      <c r="AA5" s="1279" t="inlineStr">
        <is>
          <t>YTD Targ</t>
        </is>
      </c>
      <c r="AB5" s="1260" t="inlineStr">
        <is>
          <t>Avg.PM</t>
        </is>
      </c>
      <c r="AD5" s="1282" t="inlineStr">
        <is>
          <t>23/24</t>
        </is>
      </c>
      <c r="AE5" s="1260" t="inlineStr">
        <is>
          <t>Year 11</t>
        </is>
      </c>
      <c r="AF5" s="1283">
        <f>AG5+AH5</f>
        <v/>
      </c>
      <c r="AG5" s="1284">
        <f>SUM(N32:V32)</f>
        <v/>
      </c>
      <c r="AH5" s="1284">
        <f>SUM(K18:M18)</f>
        <v/>
      </c>
      <c r="AI5" s="445">
        <f>SUM(AF5-AF6)/AF6</f>
        <v/>
      </c>
    </row>
    <row r="6" ht="15.4" customHeight="1" s="1232" thickBot="1">
      <c r="C6" s="1285" t="inlineStr">
        <is>
          <t>Remaining Additional</t>
        </is>
      </c>
      <c r="D6" s="1188">
        <f>D2*D4</f>
        <v/>
      </c>
      <c r="E6" s="1270" t="n"/>
      <c r="F6" s="1274" t="n"/>
      <c r="G6" s="445">
        <f>W114/$W$126</f>
        <v/>
      </c>
      <c r="H6" s="445">
        <f>W6/$W$18</f>
        <v/>
      </c>
      <c r="I6" s="1286" t="inlineStr">
        <is>
          <t>1. Courses/masterclasses</t>
        </is>
      </c>
      <c r="J6" s="431">
        <f>8000/12</f>
        <v/>
      </c>
      <c r="K6" s="432">
        <f>SUMIFS($E$192:$E$354,$A$192:$A$354,"&gt;31/12/2025",$A$192:$A$354,"&lt;1/2/2026",$C$192:$C$354,$I6)</f>
        <v/>
      </c>
      <c r="L6" s="432">
        <f>SUMIFS($E$192:$E$354,$A$192:$A$354,"&gt;31/1/2026",$A$192:$A$354,"&lt;1/3/2026",$C$192:$C$354,$I6)</f>
        <v/>
      </c>
      <c r="M6" s="432">
        <f>SUMIFS($E$192:$E$354,$A$192:$A$354,"&gt;28/2/2026",$A$192:$A$354,"&lt;1/4/2026",$C$192:$C$354,$I6)</f>
        <v/>
      </c>
      <c r="N6" s="432">
        <f>SUMIFS($E$192:$E$354,$A$192:$A$354,"&gt;31/3/2026",$A$192:$A$354,"&lt;1/5/2026",$C$192:$C$354,$I6)</f>
        <v/>
      </c>
      <c r="O6" s="432">
        <f>SUMIFS($E$192:$E$354,$A$192:$A$354,"&gt;30/4/2026",$A$192:$A$354,"&lt;1/6/2026",$C$192:$C$354,$I6)</f>
        <v/>
      </c>
      <c r="P6" s="432">
        <f>SUMIFS($E$192:$E$354,$A$192:$A$354,"&gt;31/5/2026",$A$192:$A$354,"&lt;1/7/2026",$C$192:$C$354,$I6)</f>
        <v/>
      </c>
      <c r="Q6" s="432">
        <f>SUMIFS($E$192:$E$354,$A$192:$A$354,"&gt;30/6/2026",$A$192:$A$354,"&lt;1/8/2026",$C$192:$C$354,$I6)</f>
        <v/>
      </c>
      <c r="R6" s="432">
        <f>SUMIFS($E$192:$E$354,$A$192:$A$354,"&gt;31/7/2026",$A$192:$A$354,"&lt;1/9/2026",$C$192:$C$354,$I6)</f>
        <v/>
      </c>
      <c r="S6" s="432">
        <f>SUMIFS($E$192:$E$354,$A$192:$A$354,"&gt;31/8/2026",$A$192:$A$354,"&lt;1/10/2026",$C$192:$C$354,$I6)</f>
        <v/>
      </c>
      <c r="T6" s="432">
        <f>SUMIFS($E$192:$E$354,$A$192:$A$354,"&gt;30/9/2026",$A$192:$A$354,"&lt;1/11/2026",$C$192:$C$354,$I6)</f>
        <v/>
      </c>
      <c r="U6" s="432">
        <f>SUMIFS($E$192:$E$354,$A$192:$A$354,"&gt;31/10/2026",$A$192:$A$354,"&lt;1/12/2026",$C$192:$C$354,$I6)</f>
        <v/>
      </c>
      <c r="V6" s="432">
        <f>SUMIFS($E$192:$E$354,$A$192:$A$354,"&gt;30/11/2026",$A$192:$A$354,"&lt;1/1/2027",$C$192:$C$354,$I6)</f>
        <v/>
      </c>
      <c r="W6" s="431">
        <f>SUM(K6:V6)</f>
        <v/>
      </c>
      <c r="X6" s="432">
        <f>SUM(O6-(J6*12)*(O$2+O$1))</f>
        <v/>
      </c>
      <c r="Y6" s="432">
        <f>W6-AA6</f>
        <v/>
      </c>
      <c r="Z6" s="433">
        <f>Y6/AA6</f>
        <v/>
      </c>
      <c r="AA6" s="818">
        <f>SUM(J6*12)*((K$2+K$1+L$1+L$2+M$1+M$2+N$1+N$2+O$1+O$2))</f>
        <v/>
      </c>
      <c r="AB6" s="817">
        <f>W6/$AB$3</f>
        <v/>
      </c>
      <c r="AD6" s="1282" t="inlineStr">
        <is>
          <t>22/23</t>
        </is>
      </c>
      <c r="AE6" s="1287" t="inlineStr">
        <is>
          <t>Year 10</t>
        </is>
      </c>
      <c r="AF6" s="1283">
        <f>AG6+AH6</f>
        <v/>
      </c>
      <c r="AG6" s="1284">
        <f>SUM(N33:V33)</f>
        <v/>
      </c>
      <c r="AH6" s="1284">
        <f>SUM(K32:M32)</f>
        <v/>
      </c>
      <c r="AI6" s="445">
        <f>SUM(AF6-AF7)/AF7</f>
        <v/>
      </c>
    </row>
    <row r="7" ht="15.4" customHeight="1" s="1232" thickTop="1">
      <c r="C7" s="1263" t="n"/>
      <c r="D7" s="1065" t="n"/>
      <c r="E7" s="1270" t="n"/>
      <c r="F7" s="1274" t="n"/>
      <c r="G7" s="445">
        <f>W115/$W$126</f>
        <v/>
      </c>
      <c r="H7" s="445">
        <f>W7/$W$18</f>
        <v/>
      </c>
      <c r="I7" s="1286" t="inlineStr">
        <is>
          <t>2. Workshops Non Residential</t>
        </is>
      </c>
      <c r="J7" s="431">
        <f>20000/12</f>
        <v/>
      </c>
      <c r="K7" s="432">
        <f>SUMIFS($E$192:$E$354,$A$192:$A$354,"&gt;31/12/2025",$A$192:$A$354,"&lt;1/2/2026",$C$192:$C$354,$I7)</f>
        <v/>
      </c>
      <c r="L7" s="432">
        <f>SUMIFS($E$192:$E$354,$A$192:$A$354,"&gt;31/1/2026",$A$192:$A$354,"&lt;1/3/2026",$C$192:$C$354,$I7)</f>
        <v/>
      </c>
      <c r="M7" s="432">
        <f>SUMIFS($E$192:$E$354,$A$192:$A$354,"&gt;28/2/2026",$A$192:$A$354,"&lt;1/4/2026",$C$192:$C$354,$I7)</f>
        <v/>
      </c>
      <c r="N7" s="432">
        <f>SUMIFS($E$192:$E$354,$A$192:$A$354,"&gt;31/3/2026",$A$192:$A$354,"&lt;1/5/2026",$C$192:$C$354,$I7)</f>
        <v/>
      </c>
      <c r="O7" s="432">
        <f>SUMIFS($E$192:$E$354,$A$192:$A$354,"&gt;30/4/2026",$A$192:$A$354,"&lt;1/6/2026",$C$192:$C$354,$I7)</f>
        <v/>
      </c>
      <c r="P7" s="432">
        <f>SUMIFS($E$192:$E$354,$A$192:$A$354,"&gt;31/5/2026",$A$192:$A$354,"&lt;1/7/2026",$C$192:$C$354,$I7)</f>
        <v/>
      </c>
      <c r="Q7" s="432">
        <f>SUMIFS($E$192:$E$354,$A$192:$A$354,"&gt;30/6/2026",$A$192:$A$354,"&lt;1/8/2026",$C$192:$C$354,$I7)</f>
        <v/>
      </c>
      <c r="R7" s="432">
        <f>SUMIFS($E$192:$E$354,$A$192:$A$354,"&gt;31/7/2026",$A$192:$A$354,"&lt;1/9/2026",$C$192:$C$354,$I7)</f>
        <v/>
      </c>
      <c r="S7" s="432">
        <f>SUMIFS($E$192:$E$354,$A$192:$A$354,"&gt;31/8/2026",$A$192:$A$354,"&lt;1/10/2026",$C$192:$C$354,$I7)</f>
        <v/>
      </c>
      <c r="T7" s="432">
        <f>SUMIFS($E$192:$E$354,$A$192:$A$354,"&gt;30/9/2026",$A$192:$A$354,"&lt;1/11/2026",$C$192:$C$354,$I7)</f>
        <v/>
      </c>
      <c r="U7" s="432">
        <f>SUMIFS($E$192:$E$354,$A$192:$A$354,"&gt;31/10/2026",$A$192:$A$354,"&lt;1/12/2026",$C$192:$C$354,$I7)</f>
        <v/>
      </c>
      <c r="V7" s="432">
        <f>SUMIFS($E$192:$E$354,$A$192:$A$354,"&gt;30/11/2026",$A$192:$A$354,"&lt;1/1/2027",$C$192:$C$354,$I7)</f>
        <v/>
      </c>
      <c r="W7" s="431">
        <f>SUM(K7:V7)</f>
        <v/>
      </c>
      <c r="X7" s="432">
        <f>SUM(O7-(J7*12)*(O$2+O$1))</f>
        <v/>
      </c>
      <c r="Y7" s="432">
        <f>W7-AA7</f>
        <v/>
      </c>
      <c r="Z7" s="433">
        <f>Y7/AA7</f>
        <v/>
      </c>
      <c r="AA7" s="818">
        <f>SUM(J7*12)*((K$2+K$1+L$1+L$2+M$1+M$2+N$1+N$2+O$1+O$2))</f>
        <v/>
      </c>
      <c r="AB7" s="817">
        <f>W7/$AB$3</f>
        <v/>
      </c>
      <c r="AD7" s="1282" t="inlineStr">
        <is>
          <t>21/22</t>
        </is>
      </c>
      <c r="AE7" s="1287" t="inlineStr">
        <is>
          <t>Year 9 (Covid-19)</t>
        </is>
      </c>
      <c r="AF7" s="1283">
        <f>AG7+AH7</f>
        <v/>
      </c>
      <c r="AG7" s="1284">
        <f>SUM(N34:V34)</f>
        <v/>
      </c>
      <c r="AH7" s="1284">
        <f>SUM(K33:M33)</f>
        <v/>
      </c>
      <c r="AI7" s="445">
        <f>SUM(AF7-AF9)/AF9</f>
        <v/>
      </c>
    </row>
    <row r="8" ht="15.4" customHeight="1" s="1232" thickBot="1">
      <c r="C8" s="1288" t="inlineStr">
        <is>
          <t>Current Month Forecast</t>
        </is>
      </c>
      <c r="D8" s="1188">
        <f>O18+D6</f>
        <v/>
      </c>
      <c r="E8" s="1024" t="n"/>
      <c r="F8" s="1274" t="n"/>
      <c r="G8" s="445">
        <f>W116/$W$126</f>
        <v/>
      </c>
      <c r="H8" s="445">
        <f>W8/$W$18</f>
        <v/>
      </c>
      <c r="I8" s="1289" t="inlineStr">
        <is>
          <t>3. Workshops Residential</t>
        </is>
      </c>
      <c r="J8" s="431">
        <f>10000/12</f>
        <v/>
      </c>
      <c r="K8" s="432">
        <f>SUMIFS($E$192:$E$354,$A$192:$A$354,"&gt;31/12/2025",$A$192:$A$354,"&lt;1/2/2026",$C$192:$C$354,$I8)</f>
        <v/>
      </c>
      <c r="L8" s="432">
        <f>SUMIFS($E$192:$E$354,$A$192:$A$354,"&gt;31/1/2026",$A$192:$A$354,"&lt;1/3/2026",$C$192:$C$354,$I8)</f>
        <v/>
      </c>
      <c r="M8" s="432">
        <f>SUMIFS($E$192:$E$354,$A$192:$A$354,"&gt;28/2/2026",$A$192:$A$354,"&lt;1/4/2026",$C$192:$C$354,$I8)</f>
        <v/>
      </c>
      <c r="N8" s="432">
        <f>SUMIFS($E$192:$E$354,$A$192:$A$354,"&gt;31/3/2026",$A$192:$A$354,"&lt;1/5/2026",$C$192:$C$354,$I8)</f>
        <v/>
      </c>
      <c r="O8" s="432">
        <f>SUMIFS($E$192:$E$354,$A$192:$A$354,"&gt;30/4/2026",$A$192:$A$354,"&lt;1/6/2026",$C$192:$C$354,$I8)</f>
        <v/>
      </c>
      <c r="P8" s="432">
        <f>SUMIFS($E$192:$E$354,$A$192:$A$354,"&gt;31/5/2026",$A$192:$A$354,"&lt;1/7/2026",$C$192:$C$354,$I8)</f>
        <v/>
      </c>
      <c r="Q8" s="432">
        <f>SUMIFS($E$192:$E$354,$A$192:$A$354,"&gt;30/6/2026",$A$192:$A$354,"&lt;1/8/2026",$C$192:$C$354,$I8)</f>
        <v/>
      </c>
      <c r="R8" s="432">
        <f>SUMIFS($E$192:$E$354,$A$192:$A$354,"&gt;31/7/2026",$A$192:$A$354,"&lt;1/9/2026",$C$192:$C$354,$I8)</f>
        <v/>
      </c>
      <c r="S8" s="432">
        <f>SUMIFS($E$192:$E$354,$A$192:$A$354,"&gt;31/8/2026",$A$192:$A$354,"&lt;1/10/2026",$C$192:$C$354,$I8)</f>
        <v/>
      </c>
      <c r="T8" s="432">
        <f>SUMIFS($E$192:$E$354,$A$192:$A$354,"&gt;30/9/2026",$A$192:$A$354,"&lt;1/11/2026",$C$192:$C$354,$I8)</f>
        <v/>
      </c>
      <c r="U8" s="432">
        <f>SUMIFS($E$192:$E$354,$A$192:$A$354,"&gt;31/10/2026",$A$192:$A$354,"&lt;1/12/2026",$C$192:$C$354,$I8)</f>
        <v/>
      </c>
      <c r="V8" s="432">
        <f>SUMIFS($E$192:$E$354,$A$192:$A$354,"&gt;30/11/2026",$A$192:$A$354,"&lt;1/1/2027",$C$192:$C$354,$I8)</f>
        <v/>
      </c>
      <c r="W8" s="431">
        <f>SUM(K8:V8)</f>
        <v/>
      </c>
      <c r="X8" s="432">
        <f>SUM(O8-(J8*12)*(O$2+O$1))</f>
        <v/>
      </c>
      <c r="Y8" s="432">
        <f>W8-AA8</f>
        <v/>
      </c>
      <c r="Z8" s="433">
        <f>Y8/AA8</f>
        <v/>
      </c>
      <c r="AA8" s="818">
        <f>SUM(J8*12)*((K$2+K$1+L$1+L$2+M$1+M$2+N$1+N$2+O$1+O$2))</f>
        <v/>
      </c>
      <c r="AB8" s="817">
        <f>W8/$AB$3</f>
        <v/>
      </c>
      <c r="AD8" s="1282" t="n"/>
      <c r="AE8" s="1287" t="n"/>
      <c r="AF8" s="1283" t="n"/>
      <c r="AG8" s="1284" t="n"/>
      <c r="AH8" s="1284" t="n"/>
      <c r="AI8" s="445" t="n"/>
    </row>
    <row r="9" ht="15.4" customHeight="1" s="1232" thickTop="1">
      <c r="C9" s="1269" t="inlineStr">
        <is>
          <t>Shortfall/Surplus</t>
        </is>
      </c>
      <c r="D9" s="993">
        <f>D8-O3</f>
        <v/>
      </c>
      <c r="E9" s="1024" t="n"/>
      <c r="F9" s="1274" t="n"/>
      <c r="G9" s="445">
        <f>W117/$W$126</f>
        <v/>
      </c>
      <c r="H9" s="445">
        <f>W9/$W$18</f>
        <v/>
      </c>
      <c r="I9" s="1290" t="inlineStr">
        <is>
          <t>4. Pick n Mix Inc</t>
        </is>
      </c>
      <c r="J9" s="431" t="n">
        <v>100</v>
      </c>
      <c r="K9" s="432">
        <f>SUMIFS($E$192:$E$354,$A$192:$A$354,"&gt;31/12/2025",$A$192:$A$354,"&lt;1/2/2026",$C$192:$C$354,$I9)</f>
        <v/>
      </c>
      <c r="L9" s="432">
        <f>SUMIFS($E$192:$E$354,$A$192:$A$354,"&gt;31/1/2026",$A$192:$A$354,"&lt;1/3/2026",$C$192:$C$354,$I9)</f>
        <v/>
      </c>
      <c r="M9" s="432">
        <f>SUMIFS($E$192:$E$354,$A$192:$A$354,"&gt;28/2/2026",$A$192:$A$354,"&lt;1/4/2026",$C$192:$C$354,$I9)</f>
        <v/>
      </c>
      <c r="N9" s="432">
        <f>SUMIFS($E$192:$E$354,$A$192:$A$354,"&gt;31/3/2026",$A$192:$A$354,"&lt;1/5/2026",$C$192:$C$354,$I9)</f>
        <v/>
      </c>
      <c r="O9" s="432">
        <f>SUMIFS($E$192:$E$354,$A$192:$A$354,"&gt;30/4/2026",$A$192:$A$354,"&lt;1/6/2026",$C$192:$C$354,$I9)</f>
        <v/>
      </c>
      <c r="P9" s="432">
        <f>SUMIFS($E$192:$E$354,$A$192:$A$354,"&gt;31/5/2026",$A$192:$A$354,"&lt;1/7/2026",$C$192:$C$354,$I9)</f>
        <v/>
      </c>
      <c r="Q9" s="432">
        <f>SUMIFS($E$192:$E$354,$A$192:$A$354,"&gt;30/6/2026",$A$192:$A$354,"&lt;1/8/2026",$C$192:$C$354,$I9)</f>
        <v/>
      </c>
      <c r="R9" s="432">
        <f>SUMIFS($E$192:$E$354,$A$192:$A$354,"&gt;31/7/2026",$A$192:$A$354,"&lt;1/9/2026",$C$192:$C$354,$I9)</f>
        <v/>
      </c>
      <c r="S9" s="432">
        <f>SUMIFS($E$192:$E$354,$A$192:$A$354,"&gt;31/8/2026",$A$192:$A$354,"&lt;1/10/2026",$C$192:$C$354,$I9)</f>
        <v/>
      </c>
      <c r="T9" s="432">
        <f>SUMIFS($E$192:$E$354,$A$192:$A$354,"&gt;30/9/2026",$A$192:$A$354,"&lt;1/11/2026",$C$192:$C$354,$I9)</f>
        <v/>
      </c>
      <c r="U9" s="432">
        <f>SUMIFS($E$192:$E$354,$A$192:$A$354,"&gt;31/10/2026",$A$192:$A$354,"&lt;1/12/2026",$C$192:$C$354,$I9)</f>
        <v/>
      </c>
      <c r="V9" s="432">
        <f>SUMIFS($E$192:$E$354,$A$192:$A$354,"&gt;30/11/2026",$A$192:$A$354,"&lt;1/1/2027",$C$192:$C$354,$I9)</f>
        <v/>
      </c>
      <c r="W9" s="431">
        <f>SUM(K9:V9)</f>
        <v/>
      </c>
      <c r="X9" s="432">
        <f>SUM(O9-(J9*12)*(O$2+O$1))</f>
        <v/>
      </c>
      <c r="Y9" s="432">
        <f>W9-AA9</f>
        <v/>
      </c>
      <c r="Z9" s="433">
        <f>Y9/AA9</f>
        <v/>
      </c>
      <c r="AA9" s="818">
        <f>SUM(J9*12)*((K$2+K$1+L$1+L$2+M$1+M$2+N$1+N$2+O$1+O$2))</f>
        <v/>
      </c>
      <c r="AB9" s="817">
        <f>W9/$AB$3</f>
        <v/>
      </c>
      <c r="AD9" s="1282" t="inlineStr">
        <is>
          <t>20/21</t>
        </is>
      </c>
      <c r="AE9" s="1287" t="inlineStr">
        <is>
          <t>Year 8 (Covid-19)</t>
        </is>
      </c>
      <c r="AF9" s="1283">
        <f>AG9+AH9</f>
        <v/>
      </c>
      <c r="AG9" s="1284">
        <f>SUM(N35:V35)</f>
        <v/>
      </c>
      <c r="AH9" s="1284">
        <f>SUM(K34:M34)</f>
        <v/>
      </c>
      <c r="AI9" s="445">
        <f>SUM(AF9-AF10)/AF10</f>
        <v/>
      </c>
    </row>
    <row r="10" ht="15" customHeight="1" s="1232">
      <c r="C10" s="1269" t="inlineStr">
        <is>
          <t>Forecast to Target</t>
        </is>
      </c>
      <c r="D10" s="994">
        <f>D8/M3</f>
        <v/>
      </c>
      <c r="E10" s="1270" t="n"/>
      <c r="F10" s="1274" t="n"/>
      <c r="G10" s="445">
        <f>W118/$W$126</f>
        <v/>
      </c>
      <c r="H10" s="445">
        <f>W10/$W$18</f>
        <v/>
      </c>
      <c r="I10" s="1290" t="inlineStr">
        <is>
          <t>5. Pick n Mix Out</t>
        </is>
      </c>
      <c r="J10" s="431" t="n">
        <v>-100</v>
      </c>
      <c r="K10" s="432">
        <f>SUMIFS($E$192:$E$354,$A$192:$A$354,"&gt;31/12/2025",$A$192:$A$354,"&lt;1/2/2026",$C$192:$C$354,$I10)</f>
        <v/>
      </c>
      <c r="L10" s="432">
        <f>SUMIFS($E$192:$E$354,$A$192:$A$354,"&gt;31/1/2026",$A$192:$A$354,"&lt;1/3/2026",$C$192:$C$354,$I10)</f>
        <v/>
      </c>
      <c r="M10" s="432">
        <f>SUMIFS($E$192:$E$354,$A$192:$A$354,"&gt;28/2/2026",$A$192:$A$354,"&lt;1/4/2026",$C$192:$C$354,$I10)</f>
        <v/>
      </c>
      <c r="N10" s="432">
        <f>SUMIFS($E$192:$E$354,$A$192:$A$354,"&gt;31/3/2026",$A$192:$A$354,"&lt;1/5/2026",$C$192:$C$354,$I10)</f>
        <v/>
      </c>
      <c r="O10" s="432">
        <f>SUMIFS($E$192:$E$354,$A$192:$A$354,"&gt;30/4/2026",$A$192:$A$354,"&lt;1/6/2026",$C$192:$C$354,$I10)</f>
        <v/>
      </c>
      <c r="P10" s="432">
        <f>SUMIFS($E$192:$E$354,$A$192:$A$354,"&gt;31/5/2026",$A$192:$A$354,"&lt;1/7/2026",$C$192:$C$354,$I10)</f>
        <v/>
      </c>
      <c r="Q10" s="432">
        <f>SUMIFS($E$192:$E$354,$A$192:$A$354,"&gt;30/6/2026",$A$192:$A$354,"&lt;1/8/2026",$C$192:$C$354,$I10)</f>
        <v/>
      </c>
      <c r="R10" s="432">
        <f>SUMIFS($E$192:$E$354,$A$192:$A$354,"&gt;31/7/2026",$A$192:$A$354,"&lt;1/9/2026",$C$192:$C$354,$I10)</f>
        <v/>
      </c>
      <c r="S10" s="432">
        <f>SUMIFS($E$192:$E$354,$A$192:$A$354,"&gt;31/8/2026",$A$192:$A$354,"&lt;1/10/2026",$C$192:$C$354,$I10)</f>
        <v/>
      </c>
      <c r="T10" s="432">
        <f>SUMIFS($E$192:$E$354,$A$192:$A$354,"&gt;30/9/2026",$A$192:$A$354,"&lt;1/11/2026",$C$192:$C$354,$I10)</f>
        <v/>
      </c>
      <c r="U10" s="432">
        <f>SUMIFS($E$192:$E$354,$A$192:$A$354,"&gt;31/10/2026",$A$192:$A$354,"&lt;1/12/2026",$C$192:$C$354,$I10)</f>
        <v/>
      </c>
      <c r="V10" s="432">
        <f>SUMIFS($E$192:$E$354,$A$192:$A$354,"&gt;30/11/2026",$A$192:$A$354,"&lt;1/1/2027",$C$192:$C$354,$I10)</f>
        <v/>
      </c>
      <c r="W10" s="704">
        <f>SUM(K10:V10)</f>
        <v/>
      </c>
      <c r="X10" s="432">
        <f>SUM(O10-(J10*12)*(O$2+O$1))</f>
        <v/>
      </c>
      <c r="Y10" s="432">
        <f>W10-AA10</f>
        <v/>
      </c>
      <c r="Z10" s="433">
        <f>Y10/AA10</f>
        <v/>
      </c>
      <c r="AA10" s="818">
        <f>SUM(J10*12)*((K$2+K$1+L$1+L$2+M$1+M$2+N$1+N$2+O$1+O$2))</f>
        <v/>
      </c>
      <c r="AB10" s="817">
        <f>W10/$AB$3</f>
        <v/>
      </c>
      <c r="AD10" s="1282" t="inlineStr">
        <is>
          <t>19/20</t>
        </is>
      </c>
      <c r="AE10" s="1287" t="inlineStr">
        <is>
          <t>Year 7</t>
        </is>
      </c>
      <c r="AF10" s="1283">
        <f>AG10+AH10</f>
        <v/>
      </c>
      <c r="AG10" s="1284">
        <f>SUM(N36:V36)</f>
        <v/>
      </c>
      <c r="AH10" s="1284">
        <f>SUM(K35:M35)</f>
        <v/>
      </c>
      <c r="AI10" s="445">
        <f>SUM(AF10-AF11)/AF11</f>
        <v/>
      </c>
    </row>
    <row r="11" ht="13.9" customHeight="1" s="1232">
      <c r="B11" s="1258" t="n"/>
      <c r="D11" s="1291" t="n"/>
      <c r="E11" s="1270" t="n"/>
      <c r="F11" s="1291" t="n"/>
      <c r="G11" s="445">
        <f>W119/$W$126</f>
        <v/>
      </c>
      <c r="H11" s="445">
        <f>W11/$W$18</f>
        <v/>
      </c>
      <c r="I11" s="1286" t="inlineStr">
        <is>
          <t>6. Mentoring</t>
        </is>
      </c>
      <c r="J11" s="431" t="n">
        <v>80</v>
      </c>
      <c r="K11" s="432">
        <f>SUMIFS($E$192:$E$354,$A$192:$A$354,"&gt;31/12/2025",$A$192:$A$354,"&lt;1/2/2026",$C$192:$C$354,$I11)</f>
        <v/>
      </c>
      <c r="L11" s="432">
        <f>SUMIFS($E$192:$E$354,$A$192:$A$354,"&gt;31/1/2026",$A$192:$A$354,"&lt;1/3/2026",$C$192:$C$354,$I11)</f>
        <v/>
      </c>
      <c r="M11" s="432">
        <f>SUMIFS($E$192:$E$354,$A$192:$A$354,"&gt;28/2/2026",$A$192:$A$354,"&lt;1/4/2026",$C$192:$C$354,$I11)</f>
        <v/>
      </c>
      <c r="N11" s="432">
        <f>SUMIFS($E$192:$E$354,$A$192:$A$354,"&gt;31/3/2026",$A$192:$A$354,"&lt;1/5/2026",$C$192:$C$354,$I11)</f>
        <v/>
      </c>
      <c r="O11" s="432">
        <f>SUMIFS($E$192:$E$354,$A$192:$A$354,"&gt;30/4/2026",$A$192:$A$354,"&lt;1/6/2026",$C$192:$C$354,$I11)</f>
        <v/>
      </c>
      <c r="P11" s="432">
        <f>SUMIFS($E$192:$E$354,$A$192:$A$354,"&gt;31/5/2026",$A$192:$A$354,"&lt;1/7/2026",$C$192:$C$354,$I11)</f>
        <v/>
      </c>
      <c r="Q11" s="432">
        <f>SUMIFS($E$192:$E$354,$A$192:$A$354,"&gt;30/6/2026",$A$192:$A$354,"&lt;1/8/2026",$C$192:$C$354,$I11)</f>
        <v/>
      </c>
      <c r="R11" s="432">
        <f>SUMIFS($E$192:$E$354,$A$192:$A$354,"&gt;31/7/2026",$A$192:$A$354,"&lt;1/9/2026",$C$192:$C$354,$I11)</f>
        <v/>
      </c>
      <c r="S11" s="432">
        <f>SUMIFS($E$192:$E$354,$A$192:$A$354,"&gt;31/8/2026",$A$192:$A$354,"&lt;1/10/2026",$C$192:$C$354,$I11)</f>
        <v/>
      </c>
      <c r="T11" s="432">
        <f>SUMIFS($E$192:$E$354,$A$192:$A$354,"&gt;30/9/2026",$A$192:$A$354,"&lt;1/11/2026",$C$192:$C$354,$I11)</f>
        <v/>
      </c>
      <c r="U11" s="432">
        <f>SUMIFS($E$192:$E$354,$A$192:$A$354,"&gt;31/10/2026",$A$192:$A$354,"&lt;1/12/2026",$C$192:$C$354,$I11)</f>
        <v/>
      </c>
      <c r="V11" s="432">
        <f>SUMIFS($E$192:$E$354,$A$192:$A$354,"&gt;30/11/2026",$A$192:$A$354,"&lt;1/1/2027",$C$192:$C$354,$I11)</f>
        <v/>
      </c>
      <c r="W11" s="431">
        <f>SUM(K11:V11)</f>
        <v/>
      </c>
      <c r="X11" s="432">
        <f>SUM(O11-(J11*12)*(O$2+O$1))</f>
        <v/>
      </c>
      <c r="Y11" s="432">
        <f>W11-AA11</f>
        <v/>
      </c>
      <c r="Z11" s="433">
        <f>Y11/AA11</f>
        <v/>
      </c>
      <c r="AA11" s="818">
        <f>SUM(J11*12)*((K$2+K$1+L$1+L$2+M$1+M$2+N$1+N$2+O$1+O$2))</f>
        <v/>
      </c>
      <c r="AB11" s="817">
        <f>W11/$AB$3</f>
        <v/>
      </c>
      <c r="AD11" s="1282" t="inlineStr">
        <is>
          <t>18/19</t>
        </is>
      </c>
      <c r="AE11" s="1260" t="inlineStr">
        <is>
          <t>Year 6</t>
        </is>
      </c>
      <c r="AF11" s="1283">
        <f>AG11+AH11</f>
        <v/>
      </c>
      <c r="AG11" s="1284">
        <f>SUM(N37:V37)</f>
        <v/>
      </c>
      <c r="AH11" s="1284">
        <f>SUM(K36:M36)</f>
        <v/>
      </c>
      <c r="AI11" s="445">
        <f>SUM(AF11-AF12)/AF12</f>
        <v/>
      </c>
    </row>
    <row r="12" ht="13.9" customHeight="1" s="1232">
      <c r="B12" s="1258" t="n"/>
      <c r="D12" s="1292" t="n"/>
      <c r="E12" s="1293" t="n"/>
      <c r="F12" s="1260" t="n"/>
      <c r="G12" s="445">
        <f>W120/$W$126</f>
        <v/>
      </c>
      <c r="H12" s="445">
        <f>W12/$W$18</f>
        <v/>
      </c>
      <c r="I12" s="1289" t="inlineStr">
        <is>
          <t>7. 1-2-1</t>
        </is>
      </c>
      <c r="J12" s="431" t="n">
        <v>800</v>
      </c>
      <c r="K12" s="432">
        <f>SUMIFS($E$192:$E$354,$A$192:$A$354,"&gt;31/12/2025",$A$192:$A$354,"&lt;1/2/2026",$C$192:$C$354,$I12)</f>
        <v/>
      </c>
      <c r="L12" s="432">
        <f>SUMIFS($E$192:$E$354,$A$192:$A$354,"&gt;31/1/2026",$A$192:$A$354,"&lt;1/3/2026",$C$192:$C$354,$I12)</f>
        <v/>
      </c>
      <c r="M12" s="432">
        <f>SUMIFS($E$192:$E$354,$A$192:$A$354,"&gt;28/2/2026",$A$192:$A$354,"&lt;1/4/2026",$C$192:$C$354,$I12)</f>
        <v/>
      </c>
      <c r="N12" s="432">
        <f>SUMIFS($E$192:$E$354,$A$192:$A$354,"&gt;31/3/2026",$A$192:$A$354,"&lt;1/5/2026",$C$192:$C$354,$I12)</f>
        <v/>
      </c>
      <c r="O12" s="432">
        <f>SUMIFS($E$192:$E$354,$A$192:$A$354,"&gt;30/4/2026",$A$192:$A$354,"&lt;1/6/2026",$C$192:$C$354,$I12)</f>
        <v/>
      </c>
      <c r="P12" s="432">
        <f>SUMIFS($E$192:$E$354,$A$192:$A$354,"&gt;31/5/2026",$A$192:$A$354,"&lt;1/7/2026",$C$192:$C$354,$I12)</f>
        <v/>
      </c>
      <c r="Q12" s="432">
        <f>SUMIFS($E$192:$E$354,$A$192:$A$354,"&gt;30/6/2026",$A$192:$A$354,"&lt;1/8/2026",$C$192:$C$354,$I12)</f>
        <v/>
      </c>
      <c r="R12" s="432">
        <f>SUMIFS($E$192:$E$354,$A$192:$A$354,"&gt;31/7/2026",$A$192:$A$354,"&lt;1/9/2026",$C$192:$C$354,$I12)</f>
        <v/>
      </c>
      <c r="S12" s="432">
        <f>SUMIFS($E$192:$E$354,$A$192:$A$354,"&gt;31/8/2026",$A$192:$A$354,"&lt;1/10/2026",$C$192:$C$354,$I12)</f>
        <v/>
      </c>
      <c r="T12" s="432">
        <f>SUMIFS($E$192:$E$354,$A$192:$A$354,"&gt;30/9/2026",$A$192:$A$354,"&lt;1/11/2026",$C$192:$C$354,$I12)</f>
        <v/>
      </c>
      <c r="U12" s="432">
        <f>SUMIFS($E$192:$E$354,$A$192:$A$354,"&gt;31/10/2026",$A$192:$A$354,"&lt;1/12/2026",$C$192:$C$354,$I12)</f>
        <v/>
      </c>
      <c r="V12" s="432">
        <f>SUMIFS($E$192:$E$354,$A$192:$A$354,"&gt;30/11/2026",$A$192:$A$354,"&lt;1/1/2027",$C$192:$C$354,$I12)</f>
        <v/>
      </c>
      <c r="W12" s="431">
        <f>SUM(K12:V12)</f>
        <v/>
      </c>
      <c r="X12" s="432">
        <f>SUM(O12-(J12*12)*(O$2+O$1))</f>
        <v/>
      </c>
      <c r="Y12" s="432">
        <f>W12-AA12</f>
        <v/>
      </c>
      <c r="Z12" s="433">
        <f>Y12/AA12</f>
        <v/>
      </c>
      <c r="AA12" s="818">
        <f>SUM(J12*12)*((K$2+K$1+L$1+L$2+M$1+M$2+N$1+N$2+O$1+O$2))</f>
        <v/>
      </c>
      <c r="AB12" s="817">
        <f>W12/$AB$3</f>
        <v/>
      </c>
      <c r="AD12" s="1282" t="inlineStr">
        <is>
          <t>17/18</t>
        </is>
      </c>
      <c r="AE12" s="1260" t="inlineStr">
        <is>
          <t>Year 5</t>
        </is>
      </c>
      <c r="AF12" s="1283">
        <f>AG12+AH12</f>
        <v/>
      </c>
      <c r="AG12" s="1284">
        <f>SUM(N38:V38)</f>
        <v/>
      </c>
      <c r="AH12" s="1284">
        <f>SUM(K37:M37)</f>
        <v/>
      </c>
      <c r="AI12" s="445">
        <f>SUM(AF12-AF13)/AF13</f>
        <v/>
      </c>
    </row>
    <row r="13" ht="13.15" customHeight="1" s="1232">
      <c r="B13" s="1258" t="n"/>
      <c r="C13" s="1260" t="n"/>
      <c r="D13" s="1260" t="n">
        <v>2673</v>
      </c>
      <c r="E13" s="1293" t="n"/>
      <c r="F13" s="1260" t="n"/>
      <c r="G13" s="445">
        <f>W121/$W$126</f>
        <v/>
      </c>
      <c r="H13" s="445">
        <f>W13/$W$18</f>
        <v/>
      </c>
      <c r="I13" s="1289" t="inlineStr">
        <is>
          <t>8. Gift Vouchers Inc</t>
        </is>
      </c>
      <c r="J13" s="431" t="n">
        <v>83</v>
      </c>
      <c r="K13" s="432">
        <f>SUMIFS($E$192:$E$354,$A$192:$A$354,"&gt;31/12/2025",$A$192:$A$354,"&lt;1/2/2026",$C$192:$C$354,$I13)</f>
        <v/>
      </c>
      <c r="L13" s="432">
        <f>SUMIFS($E$192:$E$354,$A$192:$A$354,"&gt;31/1/2026",$A$192:$A$354,"&lt;1/3/2026",$C$192:$C$354,$I13)</f>
        <v/>
      </c>
      <c r="M13" s="432">
        <f>SUMIFS($E$192:$E$354,$A$192:$A$354,"&gt;28/2/2026",$A$192:$A$354,"&lt;1/4/2026",$C$192:$C$354,$I13)</f>
        <v/>
      </c>
      <c r="N13" s="432">
        <f>SUMIFS($E$192:$E$354,$A$192:$A$354,"&gt;31/3/2026",$A$192:$A$354,"&lt;1/5/2026",$C$192:$C$354,$I13)</f>
        <v/>
      </c>
      <c r="O13" s="432">
        <f>SUMIFS($E$192:$E$354,$A$192:$A$354,"&gt;30/4/2026",$A$192:$A$354,"&lt;1/6/2026",$C$192:$C$354,$I13)</f>
        <v/>
      </c>
      <c r="P13" s="432">
        <f>SUMIFS($E$192:$E$354,$A$192:$A$354,"&gt;31/5/2026",$A$192:$A$354,"&lt;1/7/2026",$C$192:$C$354,$I13)</f>
        <v/>
      </c>
      <c r="Q13" s="432">
        <f>SUMIFS($E$192:$E$354,$A$192:$A$354,"&gt;30/6/2026",$A$192:$A$354,"&lt;1/8/2026",$C$192:$C$354,$I13)</f>
        <v/>
      </c>
      <c r="R13" s="432">
        <f>SUMIFS($E$192:$E$354,$A$192:$A$354,"&gt;31/7/2026",$A$192:$A$354,"&lt;1/9/2026",$C$192:$C$354,$I13)</f>
        <v/>
      </c>
      <c r="S13" s="432">
        <f>SUMIFS($E$192:$E$354,$A$192:$A$354,"&gt;31/8/2026",$A$192:$A$354,"&lt;1/10/2026",$C$192:$C$354,$I13)</f>
        <v/>
      </c>
      <c r="T13" s="432">
        <f>SUMIFS($E$192:$E$354,$A$192:$A$354,"&gt;30/9/2026",$A$192:$A$354,"&lt;1/11/2026",$C$192:$C$354,$I13)</f>
        <v/>
      </c>
      <c r="U13" s="432">
        <f>SUMIFS($E$192:$E$354,$A$192:$A$354,"&gt;31/10/2026",$A$192:$A$354,"&lt;1/12/2026",$C$192:$C$354,$I13)</f>
        <v/>
      </c>
      <c r="V13" s="432">
        <f>SUMIFS($E$192:$E$354,$A$192:$A$354,"&gt;30/11/2026",$A$192:$A$354,"&lt;1/1/2027",$C$192:$C$354,$I13)</f>
        <v/>
      </c>
      <c r="W13" s="431">
        <f>SUM(K13:V13)</f>
        <v/>
      </c>
      <c r="X13" s="432">
        <f>SUM(O13-(J13*12)*(O$2+O$1))</f>
        <v/>
      </c>
      <c r="Y13" s="432">
        <f>W13-AA13</f>
        <v/>
      </c>
      <c r="Z13" s="433">
        <f>Y13/AA13</f>
        <v/>
      </c>
      <c r="AA13" s="818">
        <f>SUM(J13*12)*((K$2+K$1+L$1+L$2+M$1+M$2+N$1+N$2+O$1+O$2))</f>
        <v/>
      </c>
      <c r="AB13" s="817">
        <f>W13/$AB$3</f>
        <v/>
      </c>
      <c r="AD13" s="1282" t="inlineStr">
        <is>
          <t>16/17</t>
        </is>
      </c>
      <c r="AE13" s="1287" t="inlineStr">
        <is>
          <t>Year 4 (surgery)</t>
        </is>
      </c>
      <c r="AF13" s="1283">
        <f>AG13+AH13</f>
        <v/>
      </c>
      <c r="AG13" s="1284">
        <f>SUM(N39:V39)</f>
        <v/>
      </c>
      <c r="AH13" s="1284">
        <f>SUM(K38:M38)</f>
        <v/>
      </c>
      <c r="AI13" s="445">
        <f>SUM(AF13-AF14)/AF14</f>
        <v/>
      </c>
    </row>
    <row r="14" ht="13.15" customHeight="1" s="1232">
      <c r="B14" s="1294" t="n"/>
      <c r="C14" s="1260" t="n"/>
      <c r="D14" s="1260" t="n"/>
      <c r="E14" s="1293" t="n"/>
      <c r="F14" s="1260" t="n"/>
      <c r="G14" s="445">
        <f>W122/$W$126</f>
        <v/>
      </c>
      <c r="H14" s="445">
        <f>W14/$W$18</f>
        <v/>
      </c>
      <c r="I14" s="1295" t="inlineStr">
        <is>
          <t>9. Gift Vouchers Out</t>
        </is>
      </c>
      <c r="J14" s="431" t="n">
        <v>-100</v>
      </c>
      <c r="K14" s="432">
        <f>SUMIFS($E$192:$E$354,$A$192:$A$354,"&gt;31/12/2025",$A$192:$A$354,"&lt;1/2/2026",$C$192:$C$354,$I14)</f>
        <v/>
      </c>
      <c r="L14" s="432">
        <f>SUMIFS($E$192:$E$354,$A$192:$A$354,"&gt;31/1/2026",$A$192:$A$354,"&lt;1/3/2026",$C$192:$C$354,$I14)</f>
        <v/>
      </c>
      <c r="M14" s="432">
        <f>SUMIFS($E$192:$E$354,$A$192:$A$354,"&gt;28/2/2026",$A$192:$A$354,"&lt;1/4/2026",$C$192:$C$354,$I14)</f>
        <v/>
      </c>
      <c r="N14" s="432">
        <f>SUMIFS($E$192:$E$354,$A$192:$A$354,"&gt;31/3/2026",$A$192:$A$354,"&lt;1/5/2026",$C$192:$C$354,$I14)</f>
        <v/>
      </c>
      <c r="O14" s="432">
        <f>SUMIFS($E$192:$E$354,$A$192:$A$354,"&gt;30/4/2026",$A$192:$A$354,"&lt;1/6/2026",$C$192:$C$354,$I14)</f>
        <v/>
      </c>
      <c r="P14" s="432">
        <f>SUMIFS($E$192:$E$354,$A$192:$A$354,"&gt;31/5/2026",$A$192:$A$354,"&lt;1/7/2026",$C$192:$C$354,$I14)</f>
        <v/>
      </c>
      <c r="Q14" s="432">
        <f>SUMIFS($E$192:$E$354,$A$192:$A$354,"&gt;30/6/2026",$A$192:$A$354,"&lt;1/8/2026",$C$192:$C$354,$I14)</f>
        <v/>
      </c>
      <c r="R14" s="432">
        <f>SUMIFS($E$192:$E$354,$A$192:$A$354,"&gt;31/7/2026",$A$192:$A$354,"&lt;1/9/2026",$C$192:$C$354,$I14)</f>
        <v/>
      </c>
      <c r="S14" s="432">
        <f>SUMIFS($E$192:$E$354,$A$192:$A$354,"&gt;31/8/2026",$A$192:$A$354,"&lt;1/10/2026",$C$192:$C$354,$I14)</f>
        <v/>
      </c>
      <c r="T14" s="432">
        <f>SUMIFS($E$192:$E$354,$A$192:$A$354,"&gt;30/9/2026",$A$192:$A$354,"&lt;1/11/2026",$C$192:$C$354,$I14)</f>
        <v/>
      </c>
      <c r="U14" s="432">
        <f>SUMIFS($E$192:$E$354,$A$192:$A$354,"&gt;31/10/2026",$A$192:$A$354,"&lt;1/12/2026",$C$192:$C$354,$I14)</f>
        <v/>
      </c>
      <c r="V14" s="432">
        <f>SUMIFS($E$192:$E$354,$A$192:$A$354,"&gt;30/11/2026",$A$192:$A$354,"&lt;1/1/2027",$C$192:$C$354,$I14)</f>
        <v/>
      </c>
      <c r="W14" s="431">
        <f>SUM(K14:V14)</f>
        <v/>
      </c>
      <c r="X14" s="432">
        <f>SUM(O14-(J14*12)*(O$2+O$1))</f>
        <v/>
      </c>
      <c r="Y14" s="432">
        <f>W14-AA14</f>
        <v/>
      </c>
      <c r="Z14" s="433">
        <f>Y14/AA14</f>
        <v/>
      </c>
      <c r="AA14" s="818">
        <f>SUM(J14*12)*((K$2+K$1+L$1+L$2+M$1+M$2+N$1+N$2+O$1+O$2))</f>
        <v/>
      </c>
      <c r="AB14" s="817">
        <f>W14/$AB$3</f>
        <v/>
      </c>
      <c r="AD14" s="1282" t="inlineStr">
        <is>
          <t>15/16</t>
        </is>
      </c>
      <c r="AE14" s="1260" t="inlineStr">
        <is>
          <t>Year 3</t>
        </is>
      </c>
      <c r="AF14" s="1283">
        <f>AG14+AH14</f>
        <v/>
      </c>
      <c r="AG14" s="1284">
        <f>SUM(N40:V40)</f>
        <v/>
      </c>
      <c r="AH14" s="1284">
        <f>SUM(K39:M39)</f>
        <v/>
      </c>
      <c r="AI14" s="445">
        <f>SUM(AF14-AF15)/AF15</f>
        <v/>
      </c>
    </row>
    <row r="15" ht="13.15" customHeight="1" s="1232">
      <c r="B15" s="1294" t="n"/>
      <c r="C15" s="1294" t="n"/>
      <c r="D15" s="1260" t="n"/>
      <c r="E15" s="1293" t="n"/>
      <c r="F15" s="1260" t="n"/>
      <c r="G15" s="445">
        <f>W123/$W$126</f>
        <v/>
      </c>
      <c r="H15" s="445">
        <f>W15/$W$18</f>
        <v/>
      </c>
      <c r="I15" s="1289" t="inlineStr">
        <is>
          <t>10. Prints &amp; Royalties</t>
        </is>
      </c>
      <c r="J15" s="431" t="n">
        <v>100</v>
      </c>
      <c r="K15" s="432">
        <f>SUMIFS($E$192:$E$354,$A$192:$A$354,"&gt;31/12/2025",$A$192:$A$354,"&lt;1/2/2026",$C$192:$C$354,$I15)</f>
        <v/>
      </c>
      <c r="L15" s="432">
        <f>SUMIFS($E$192:$E$354,$A$192:$A$354,"&gt;31/1/2026",$A$192:$A$354,"&lt;1/3/2026",$C$192:$C$354,$I15)</f>
        <v/>
      </c>
      <c r="M15" s="432">
        <f>SUMIFS($E$192:$E$354,$A$192:$A$354,"&gt;28/2/2026",$A$192:$A$354,"&lt;1/4/2026",$C$192:$C$354,$I15)</f>
        <v/>
      </c>
      <c r="N15" s="432">
        <f>SUMIFS($E$192:$E$354,$A$192:$A$354,"&gt;31/3/2026",$A$192:$A$354,"&lt;1/5/2026",$C$192:$C$354,$I15)</f>
        <v/>
      </c>
      <c r="O15" s="432">
        <f>SUMIFS($E$192:$E$354,$A$192:$A$354,"&gt;30/4/2026",$A$192:$A$354,"&lt;1/6/2026",$C$192:$C$354,$I15)</f>
        <v/>
      </c>
      <c r="P15" s="432">
        <f>SUMIFS($E$192:$E$354,$A$192:$A$354,"&gt;31/5/2026",$A$192:$A$354,"&lt;1/7/2026",$C$192:$C$354,$I15)</f>
        <v/>
      </c>
      <c r="Q15" s="432">
        <f>SUMIFS($E$192:$E$354,$A$192:$A$354,"&gt;30/6/2026",$A$192:$A$354,"&lt;1/8/2026",$C$192:$C$354,$I15)</f>
        <v/>
      </c>
      <c r="R15" s="432">
        <f>SUMIFS($E$192:$E$354,$A$192:$A$354,"&gt;31/7/2026",$A$192:$A$354,"&lt;1/9/2026",$C$192:$C$354,$I15)</f>
        <v/>
      </c>
      <c r="S15" s="432">
        <f>SUMIFS($E$192:$E$354,$A$192:$A$354,"&gt;31/8/2026",$A$192:$A$354,"&lt;1/10/2026",$C$192:$C$354,$I15)</f>
        <v/>
      </c>
      <c r="T15" s="432">
        <f>SUMIFS($E$192:$E$354,$A$192:$A$354,"&gt;30/9/2026",$A$192:$A$354,"&lt;1/11/2026",$C$192:$C$354,$I15)</f>
        <v/>
      </c>
      <c r="U15" s="432">
        <f>SUMIFS($E$192:$E$354,$A$192:$A$354,"&gt;31/10/2026",$A$192:$A$354,"&lt;1/12/2026",$C$192:$C$354,$I15)</f>
        <v/>
      </c>
      <c r="V15" s="432">
        <f>SUMIFS($E$192:$E$354,$A$192:$A$354,"&gt;30/11/2026",$A$192:$A$354,"&lt;1/1/2027",$C$192:$C$354,$I15)</f>
        <v/>
      </c>
      <c r="W15" s="431">
        <f>SUM(K15:V15)</f>
        <v/>
      </c>
      <c r="X15" s="432">
        <f>SUM(O15-(J15*12)*(O$2+O$1))</f>
        <v/>
      </c>
      <c r="Y15" s="432">
        <f>W15-AA15</f>
        <v/>
      </c>
      <c r="Z15" s="433">
        <f>Y15/AA15</f>
        <v/>
      </c>
      <c r="AA15" s="818">
        <f>SUM(J15*12)*((K$2+K$1+L$1+L$2+M$1+M$2+N$1+N$2+O$1+O$2))</f>
        <v/>
      </c>
      <c r="AB15" s="817">
        <f>W15/$AB$3</f>
        <v/>
      </c>
      <c r="AD15" s="1282" t="inlineStr">
        <is>
          <t>14/15</t>
        </is>
      </c>
      <c r="AE15" s="1260" t="inlineStr">
        <is>
          <t>Year 2</t>
        </is>
      </c>
      <c r="AF15" s="1283">
        <f>AG15+AH15</f>
        <v/>
      </c>
      <c r="AG15" s="1284">
        <f>SUM(N41:V41)</f>
        <v/>
      </c>
      <c r="AH15" s="1284">
        <f>SUM(K40:M40)</f>
        <v/>
      </c>
      <c r="AI15" s="445" t="n"/>
    </row>
    <row r="16" ht="13.15" customHeight="1" s="1232">
      <c r="B16" s="1294" t="n"/>
      <c r="C16" s="1294" t="n"/>
      <c r="D16" s="1260" t="n"/>
      <c r="E16" s="1293" t="n"/>
      <c r="F16" s="1260" t="n"/>
      <c r="G16" s="445">
        <f>W124/$W$126</f>
        <v/>
      </c>
      <c r="H16" s="445">
        <f>W16/$W$18</f>
        <v/>
      </c>
      <c r="I16" s="1289" t="inlineStr">
        <is>
          <t>11 Commissions</t>
        </is>
      </c>
      <c r="J16" s="431">
        <f>3000/12</f>
        <v/>
      </c>
      <c r="K16" s="432">
        <f>SUMIFS($E$192:$E$354,$A$192:$A$354,"&gt;31/12/2025",$A$192:$A$354,"&lt;1/2/2026",$C$192:$C$354,$I16)</f>
        <v/>
      </c>
      <c r="L16" s="432">
        <f>SUMIFS($E$192:$E$354,$A$192:$A$354,"&gt;31/1/2026",$A$192:$A$354,"&lt;1/3/2026",$C$192:$C$354,$I16)</f>
        <v/>
      </c>
      <c r="M16" s="432">
        <f>SUMIFS($E$192:$E$354,$A$192:$A$354,"&gt;28/2/2026",$A$192:$A$354,"&lt;1/4/2026",$C$192:$C$354,$I16)</f>
        <v/>
      </c>
      <c r="N16" s="432">
        <f>SUMIFS($E$192:$E$354,$A$192:$A$354,"&gt;31/3/2026",$A$192:$A$354,"&lt;1/5/2026",$C$192:$C$354,$I16)</f>
        <v/>
      </c>
      <c r="O16" s="432">
        <f>SUMIFS($E$192:$E$354,$A$192:$A$354,"&gt;30/4/2026",$A$192:$A$354,"&lt;1/6/2026",$C$192:$C$354,$I16)</f>
        <v/>
      </c>
      <c r="P16" s="432">
        <f>SUMIFS($E$192:$E$354,$A$192:$A$354,"&gt;31/5/2026",$A$192:$A$354,"&lt;1/7/2026",$C$192:$C$354,$I16)</f>
        <v/>
      </c>
      <c r="Q16" s="432">
        <f>SUMIFS($E$192:$E$354,$A$192:$A$354,"&gt;30/6/2026",$A$192:$A$354,"&lt;1/8/2026",$C$192:$C$354,$I16)</f>
        <v/>
      </c>
      <c r="R16" s="432">
        <f>SUMIFS($E$192:$E$354,$A$192:$A$354,"&gt;31/7/2026",$A$192:$A$354,"&lt;1/9/2026",$C$192:$C$354,$I16)</f>
        <v/>
      </c>
      <c r="S16" s="432">
        <f>SUMIFS($E$192:$E$354,$A$192:$A$354,"&gt;31/8/2026",$A$192:$A$354,"&lt;1/10/2026",$C$192:$C$354,$I16)</f>
        <v/>
      </c>
      <c r="T16" s="432">
        <f>SUMIFS($E$192:$E$354,$A$192:$A$354,"&gt;30/9/2026",$A$192:$A$354,"&lt;1/11/2026",$C$192:$C$354,$I16)</f>
        <v/>
      </c>
      <c r="U16" s="432">
        <f>SUMIFS($E$192:$E$354,$A$192:$A$354,"&gt;31/10/2026",$A$192:$A$354,"&lt;1/12/2026",$C$192:$C$354,$I16)</f>
        <v/>
      </c>
      <c r="V16" s="432">
        <f>SUMIFS($E$192:$E$354,$A$192:$A$354,"&gt;30/11/2026",$A$192:$A$354,"&lt;1/1/2027",$C$192:$C$354,$I16)</f>
        <v/>
      </c>
      <c r="W16" s="431">
        <f>SUM(K16:V16)</f>
        <v/>
      </c>
      <c r="X16" s="432">
        <f>SUM(O16-(J16*12)*(O$2+O$1))</f>
        <v/>
      </c>
      <c r="Y16" s="432">
        <f>W16-AA16</f>
        <v/>
      </c>
      <c r="Z16" s="433">
        <f>Y16/AA16</f>
        <v/>
      </c>
      <c r="AA16" s="818">
        <f>SUM(J16*12)*((K$2+K$1+L$1+L$2+M$1+M$2+N$1+N$2+O$1+O$2))</f>
        <v/>
      </c>
      <c r="AB16" s="817">
        <f>W16/$AB$3</f>
        <v/>
      </c>
      <c r="AD16" s="1282" t="inlineStr">
        <is>
          <t>13/14</t>
        </is>
      </c>
      <c r="AE16" s="1260" t="inlineStr">
        <is>
          <t>Year 1</t>
        </is>
      </c>
      <c r="AF16" s="1283">
        <f>AG16+AH16</f>
        <v/>
      </c>
      <c r="AG16" s="1284">
        <f>SUM(N42:V42)</f>
        <v/>
      </c>
      <c r="AH16" s="1284">
        <f>SUM(K41:M41)</f>
        <v/>
      </c>
    </row>
    <row r="17" ht="13.5" customHeight="1" s="1232">
      <c r="B17" s="1294" t="n"/>
      <c r="C17" s="1294" t="n"/>
      <c r="E17" s="1293" t="n">
        <v>0</v>
      </c>
      <c r="F17" s="1274" t="n"/>
      <c r="G17" s="445">
        <f>W125/$W$126</f>
        <v/>
      </c>
      <c r="H17" s="445">
        <f>W17/$W$18</f>
        <v/>
      </c>
      <c r="I17" s="1289" t="inlineStr">
        <is>
          <t>12. Academy</t>
        </is>
      </c>
      <c r="J17" s="431">
        <f>8000/12</f>
        <v/>
      </c>
      <c r="K17" s="432">
        <f>SUMIFS($E$192:$E$354,$A$192:$A$354,"&gt;31/12/2025",$A$192:$A$354,"&lt;1/2/2026",$C$192:$C$354,$I17)</f>
        <v/>
      </c>
      <c r="L17" s="432">
        <f>SUMIFS($E$192:$E$354,$A$192:$A$354,"&gt;31/1/2026",$A$192:$A$354,"&lt;1/3/2026",$C$192:$C$354,$I17)</f>
        <v/>
      </c>
      <c r="M17" s="432">
        <f>SUMIFS($E$192:$E$354,$A$192:$A$354,"&gt;28/2/2026",$A$192:$A$354,"&lt;1/4/2026",$C$192:$C$354,$I17)</f>
        <v/>
      </c>
      <c r="N17" s="432">
        <f>SUMIFS($E$192:$E$354,$A$192:$A$354,"&gt;31/3/2026",$A$192:$A$354,"&lt;1/5/2026",$C$192:$C$354,$I17)</f>
        <v/>
      </c>
      <c r="O17" s="432">
        <f>SUMIFS($E$192:$E$354,$A$192:$A$354,"&gt;30/4/2026",$A$192:$A$354,"&lt;1/6/2026",$C$192:$C$354,$I17)</f>
        <v/>
      </c>
      <c r="P17" s="432">
        <f>SUMIFS($E$192:$E$354,$A$192:$A$354,"&gt;31/5/2026",$A$192:$A$354,"&lt;1/7/2026",$C$192:$C$354,$I17)</f>
        <v/>
      </c>
      <c r="Q17" s="432">
        <f>SUMIFS($E$192:$E$354,$A$192:$A$354,"&gt;30/6/2026",$A$192:$A$354,"&lt;1/8/2026",$C$192:$C$354,$I17)</f>
        <v/>
      </c>
      <c r="R17" s="432">
        <f>SUMIFS($E$192:$E$354,$A$192:$A$354,"&gt;31/7/2026",$A$192:$A$354,"&lt;1/9/2026",$C$192:$C$354,$I17)</f>
        <v/>
      </c>
      <c r="S17" s="432">
        <f>SUMIFS($E$192:$E$354,$A$192:$A$354,"&gt;31/8/2026",$A$192:$A$354,"&lt;1/10/2026",$C$192:$C$354,$I17)</f>
        <v/>
      </c>
      <c r="T17" s="432">
        <f>SUMIFS($E$192:$E$354,$A$192:$A$354,"&gt;30/9/2026",$A$192:$A$354,"&lt;1/11/2026",$C$192:$C$354,$I17)</f>
        <v/>
      </c>
      <c r="U17" s="432">
        <f>SUMIFS($E$192:$E$354,$A$192:$A$354,"&gt;31/10/2026",$A$192:$A$354,"&lt;1/12/2026",$C$192:$C$354,$I17)</f>
        <v/>
      </c>
      <c r="V17" s="432">
        <f>SUMIFS($E$192:$E$354,$A$192:$A$354,"&gt;30/11/2026",$A$192:$A$354,"&lt;1/1/2027",$C$192:$C$354,$I17)</f>
        <v/>
      </c>
      <c r="W17" s="431">
        <f>SUM(K17:V17)</f>
        <v/>
      </c>
      <c r="X17" s="432">
        <f>SUM(O17-(J17*12)*(O$2+O$1))</f>
        <v/>
      </c>
      <c r="Y17" s="432">
        <f>W17-AA17</f>
        <v/>
      </c>
      <c r="Z17" s="433">
        <f>Y17/AA17</f>
        <v/>
      </c>
      <c r="AA17" s="818">
        <f>SUM(J17*12)*((K$2+K$1+L$1+L$2+M$1+M$2+N$1+N$2+O$1+O$2))</f>
        <v/>
      </c>
      <c r="AB17" s="817">
        <f>W17/$AB$3</f>
        <v/>
      </c>
    </row>
    <row r="18" ht="15.75" customHeight="1" s="1232" thickBot="1">
      <c r="B18" s="1271" t="n"/>
      <c r="C18" s="1271" t="n"/>
      <c r="E18" s="1296" t="n"/>
      <c r="F18" s="1297" t="n"/>
      <c r="G18" s="445">
        <f>W126/$W$126</f>
        <v/>
      </c>
      <c r="H18" s="445">
        <f>W18/$W$18</f>
        <v/>
      </c>
      <c r="I18" s="1298" t="inlineStr">
        <is>
          <t>Totals</t>
        </is>
      </c>
      <c r="J18" s="932">
        <f>SUM(J6:J17)</f>
        <v/>
      </c>
      <c r="K18" s="991">
        <f>SUM(K6:K17)</f>
        <v/>
      </c>
      <c r="L18" s="991">
        <f>SUM(L6:L17)</f>
        <v/>
      </c>
      <c r="M18" s="991">
        <f>SUM(M6:M17)</f>
        <v/>
      </c>
      <c r="N18" s="991">
        <f>SUM(N6:N17)</f>
        <v/>
      </c>
      <c r="O18" s="991">
        <f>SUM(O6:O17)</f>
        <v/>
      </c>
      <c r="P18" s="991">
        <f>SUM(P6:P17)</f>
        <v/>
      </c>
      <c r="Q18" s="991">
        <f>SUM(Q6:Q17)</f>
        <v/>
      </c>
      <c r="R18" s="991">
        <f>SUM(R6:R17)</f>
        <v/>
      </c>
      <c r="S18" s="991">
        <f>SUM(S6:S17)</f>
        <v/>
      </c>
      <c r="T18" s="991">
        <f>SUM(T6:T17)</f>
        <v/>
      </c>
      <c r="U18" s="991">
        <f>SUM(U6:U17)</f>
        <v/>
      </c>
      <c r="V18" s="991">
        <f>SUM(V6:V17)</f>
        <v/>
      </c>
      <c r="W18" s="991">
        <f>SUM(W6:W17)</f>
        <v/>
      </c>
      <c r="X18" s="432">
        <f>SUM(O18-(J18*12)*(O$2+O$1))</f>
        <v/>
      </c>
      <c r="Y18" s="824">
        <f>W18-AA18</f>
        <v/>
      </c>
      <c r="Z18" s="837">
        <f>Y18/AA18</f>
        <v/>
      </c>
      <c r="AA18" s="818">
        <f>SUM(J18*12)*((K$2+K$1+L$1+L$2+M$1+M$2+N$1+N$2+O$1+O$2))</f>
        <v/>
      </c>
      <c r="AB18" s="838">
        <f>W18/$AB$3</f>
        <v/>
      </c>
      <c r="AE18" s="1283">
        <f>AF18-W46</f>
        <v/>
      </c>
      <c r="AF18" s="1283">
        <f>SUM(AF5:AF16)</f>
        <v/>
      </c>
      <c r="AG18" s="1283">
        <f>SUM(AG5:AG16)</f>
        <v/>
      </c>
      <c r="AH18" s="1283">
        <f>SUM(AH5:AH16)</f>
        <v/>
      </c>
    </row>
    <row r="19" ht="13.9" customHeight="1" s="1232">
      <c r="B19" s="1271" t="n"/>
      <c r="C19" s="1271" t="n"/>
      <c r="D19" s="1292" t="n"/>
      <c r="E19" s="1296" t="n"/>
      <c r="F19" s="1297" t="n"/>
      <c r="I19" s="1268" t="inlineStr">
        <is>
          <t>Target</t>
        </is>
      </c>
      <c r="J19" s="1299">
        <f>J18*12</f>
        <v/>
      </c>
      <c r="K19" s="671">
        <f>K18/K3</f>
        <v/>
      </c>
      <c r="L19" s="671">
        <f>L18/L3</f>
        <v/>
      </c>
      <c r="M19" s="671">
        <f>M18/M3</f>
        <v/>
      </c>
      <c r="N19" s="671">
        <f>N18/N3</f>
        <v/>
      </c>
      <c r="O19" s="671">
        <f>O18/O3</f>
        <v/>
      </c>
      <c r="P19" s="671">
        <f>P18/P3</f>
        <v/>
      </c>
      <c r="Q19" s="671">
        <f>Q18/Q3</f>
        <v/>
      </c>
      <c r="R19" s="671">
        <f>R18/R3</f>
        <v/>
      </c>
      <c r="S19" s="671">
        <f>S18/S3</f>
        <v/>
      </c>
      <c r="T19" s="671">
        <f>T18/T3</f>
        <v/>
      </c>
      <c r="U19" s="671">
        <f>U18/U3</f>
        <v/>
      </c>
      <c r="V19" s="671">
        <f>V18/V3</f>
        <v/>
      </c>
      <c r="W19" s="671">
        <f>W18/AA18</f>
        <v/>
      </c>
      <c r="X19" s="583" t="n"/>
      <c r="Y19" s="836" t="n"/>
      <c r="AB19" s="445" t="n"/>
    </row>
    <row r="20" ht="15.75" customHeight="1" s="1232" thickBot="1">
      <c r="B20" s="1271" t="inlineStr">
        <is>
          <t>Tony Teague</t>
        </is>
      </c>
      <c r="C20" s="1271" t="inlineStr">
        <is>
          <t>Deals Won - Waiting £</t>
        </is>
      </c>
      <c r="D20" s="548" t="inlineStr">
        <is>
          <t>paid 250 deposit</t>
        </is>
      </c>
      <c r="E20" s="1296" t="n"/>
      <c r="F20" s="1297" t="inlineStr">
        <is>
          <t>Dingle / Ireland</t>
        </is>
      </c>
      <c r="I20" s="1300" t="inlineStr">
        <is>
          <t>GP</t>
        </is>
      </c>
      <c r="J20" s="1301" t="n"/>
      <c r="K20" s="976">
        <f>K126</f>
        <v/>
      </c>
      <c r="L20" s="976">
        <f>L126</f>
        <v/>
      </c>
      <c r="M20" s="976">
        <f>M126</f>
        <v/>
      </c>
      <c r="N20" s="976">
        <f>N126</f>
        <v/>
      </c>
      <c r="O20" s="976">
        <f>O126</f>
        <v/>
      </c>
      <c r="P20" s="976">
        <f>P126</f>
        <v/>
      </c>
      <c r="Q20" s="976">
        <f>Q126</f>
        <v/>
      </c>
      <c r="R20" s="976">
        <f>R126</f>
        <v/>
      </c>
      <c r="S20" s="976">
        <f>S126</f>
        <v/>
      </c>
      <c r="T20" s="976">
        <f>T126</f>
        <v/>
      </c>
      <c r="U20" s="976">
        <f>U126</f>
        <v/>
      </c>
      <c r="V20" s="976">
        <f>V126</f>
        <v/>
      </c>
      <c r="W20" s="977">
        <f>W126</f>
        <v/>
      </c>
      <c r="X20" s="583">
        <f>W20/AB3</f>
        <v/>
      </c>
      <c r="Y20" s="836" t="n"/>
      <c r="Z20" s="1302" t="inlineStr">
        <is>
          <t>YR Rev Forecast</t>
        </is>
      </c>
      <c r="AB20" s="1303">
        <f>SUM(W18)++D8+(AB18*(12-AB3))+G66</f>
        <v/>
      </c>
      <c r="AD20" s="1304" t="inlineStr">
        <is>
          <t>Invoice Date</t>
        </is>
      </c>
      <c r="AE20" s="1304" t="n"/>
      <c r="AF20" s="1304" t="inlineStr">
        <is>
          <t>Employee</t>
        </is>
      </c>
      <c r="AG20" s="1304" t="inlineStr">
        <is>
          <t>Invoice Number</t>
        </is>
      </c>
      <c r="AH20" s="1304" t="inlineStr">
        <is>
          <t>ELS Voucher</t>
        </is>
      </c>
      <c r="AI20" s="1304" t="inlineStr">
        <is>
          <t>Amount</t>
        </is>
      </c>
      <c r="AJ20" s="1304" t="inlineStr">
        <is>
          <t>Event</t>
        </is>
      </c>
    </row>
    <row r="21" ht="13.9" customHeight="1" s="1232">
      <c r="B21" s="1271" t="n"/>
      <c r="C21" s="1271" t="n"/>
      <c r="D21" s="470" t="n"/>
      <c r="E21" s="1296" t="n"/>
      <c r="F21" s="1305" t="n"/>
      <c r="I21" s="1268" t="inlineStr">
        <is>
          <t>GP %</t>
        </is>
      </c>
      <c r="J21" s="1299" t="n"/>
      <c r="K21" s="924">
        <f>K20/K18</f>
        <v/>
      </c>
      <c r="L21" s="924">
        <f>L20/L18</f>
        <v/>
      </c>
      <c r="M21" s="924">
        <f>M20/M18</f>
        <v/>
      </c>
      <c r="N21" s="924">
        <f>N20/N18</f>
        <v/>
      </c>
      <c r="O21" s="924">
        <f>O20/O18</f>
        <v/>
      </c>
      <c r="P21" s="924">
        <f>P20/P18</f>
        <v/>
      </c>
      <c r="Q21" s="924">
        <f>Q20/Q18</f>
        <v/>
      </c>
      <c r="R21" s="924">
        <f>R20/R18</f>
        <v/>
      </c>
      <c r="S21" s="924">
        <f>S20/S18</f>
        <v/>
      </c>
      <c r="T21" s="924">
        <f>T20/T18</f>
        <v/>
      </c>
      <c r="U21" s="924">
        <f>U20/U18</f>
        <v/>
      </c>
      <c r="V21" s="924">
        <f>V20/V18</f>
        <v/>
      </c>
      <c r="W21" s="924">
        <f>W20/W18</f>
        <v/>
      </c>
      <c r="X21" s="583" t="n"/>
      <c r="Y21" s="836" t="n"/>
      <c r="AB21" s="445" t="n"/>
    </row>
    <row r="22" ht="14.25" customHeight="1" s="1232" thickBot="1">
      <c r="B22" s="1271" t="n"/>
      <c r="C22" s="1271" t="n"/>
      <c r="D22" s="548" t="n"/>
      <c r="E22" s="1296" t="n"/>
      <c r="F22" s="1297" t="n"/>
      <c r="I22" s="1306" t="inlineStr">
        <is>
          <t>Cash After Capital Repayment</t>
        </is>
      </c>
      <c r="J22" s="1307" t="n"/>
      <c r="K22" s="927">
        <f>SUM((K129+K130)*-25%)+(K129+K130)+(K131+K132+K133+K134+K135+K136+K137)</f>
        <v/>
      </c>
      <c r="L22" s="927">
        <f>SUM((L129+L130)*-25%)+(L129+L130)+(L131+L132+L133+L134+L135+L136+L137)</f>
        <v/>
      </c>
      <c r="M22" s="927">
        <f>SUM((M129+M130)*-25%)+(M129+M130)+(M131+M132+M133+M134+M135+M136+M137)</f>
        <v/>
      </c>
      <c r="N22" s="927">
        <f>SUM((N129+N130)*-25%)+(N129+N130)+(N131+N132+N133+N134+N135+N136+N137)</f>
        <v/>
      </c>
      <c r="O22" s="927">
        <f>SUM((O129+O130)*-25%)+(O129+O130)+(O131+O132+O133+O134+O135+O136+O137)</f>
        <v/>
      </c>
      <c r="P22" s="927">
        <f>SUM((P129+P130)*-25%)+(P129+P130)+(P131+P132+P133+P134+P135+P136+P137)</f>
        <v/>
      </c>
      <c r="Q22" s="927">
        <f>SUM((Q129+Q130)*-25%)+(Q129+Q130)+(Q131+Q132+Q133+Q134+Q135+Q136+Q137)</f>
        <v/>
      </c>
      <c r="R22" s="927">
        <f>SUM((R129+R130)*-25%)+(R129+R130)+(R131+R132+R133+R134+R135+R136+R137)</f>
        <v/>
      </c>
      <c r="S22" s="927">
        <f>SUM((S129+S130)*-25%)+(S129+S130)+(S131+S132+S133+S134+S135+S136+S137)</f>
        <v/>
      </c>
      <c r="T22" s="927">
        <f>SUM((T129+T130)*-25%)+(T129+T130)+(T131+T132+T133+T134+T135+T136+T137)</f>
        <v/>
      </c>
      <c r="U22" s="927">
        <f>SUM((U129+U130)*-25%)+(U129+U130)+(U131+U132+U133+U134+U135+U136+U137)</f>
        <v/>
      </c>
      <c r="V22" s="927">
        <f>SUM((V129+V130)*-25%)+(V129+V130)+(V131+V132+V133+V134+V135+V136+V137)</f>
        <v/>
      </c>
      <c r="W22" s="927">
        <f>SUM((W129+W130)*-30%)+(W129+W130)+(W131+W132+W133+W134+W135+W136+W137)</f>
        <v/>
      </c>
      <c r="X22" s="583">
        <f>W22/AB3</f>
        <v/>
      </c>
      <c r="Y22" s="836" t="n"/>
      <c r="AB22" s="445" t="n"/>
    </row>
    <row r="23" ht="13.9" customHeight="1" s="1232">
      <c r="B23" s="1271" t="inlineStr">
        <is>
          <t>Pixsy</t>
        </is>
      </c>
      <c r="C23" s="1271" t="inlineStr">
        <is>
          <t>Deals Won - Waiting £</t>
        </is>
      </c>
      <c r="D23" s="1282" t="n"/>
      <c r="E23" s="1296" t="n"/>
      <c r="F23" s="1297" t="n"/>
      <c r="I23" s="1308" t="inlineStr">
        <is>
          <t>Cash %</t>
        </is>
      </c>
      <c r="J23" s="1309" t="n"/>
      <c r="K23" s="931">
        <f>K22/K18</f>
        <v/>
      </c>
      <c r="L23" s="931">
        <f>L22/L18</f>
        <v/>
      </c>
      <c r="M23" s="931">
        <f>M22/M18</f>
        <v/>
      </c>
      <c r="N23" s="931">
        <f>N22/N18</f>
        <v/>
      </c>
      <c r="O23" s="931">
        <f>O22/O18</f>
        <v/>
      </c>
      <c r="P23" s="931">
        <f>P22/P18</f>
        <v/>
      </c>
      <c r="Q23" s="931">
        <f>Q22/Q18</f>
        <v/>
      </c>
      <c r="R23" s="931">
        <f>R22/R18</f>
        <v/>
      </c>
      <c r="S23" s="931">
        <f>S22/S18</f>
        <v/>
      </c>
      <c r="T23" s="931">
        <f>T22/T18</f>
        <v/>
      </c>
      <c r="U23" s="931">
        <f>U22/U18</f>
        <v/>
      </c>
      <c r="V23" s="931">
        <f>V22/V18</f>
        <v/>
      </c>
      <c r="W23" s="930">
        <f>W22/W18</f>
        <v/>
      </c>
      <c r="X23" s="583" t="n"/>
      <c r="Y23" s="836" t="n"/>
      <c r="AB23" s="445" t="n"/>
    </row>
    <row r="24" ht="13.9" customHeight="1" s="1232">
      <c r="B24" s="1271" t="inlineStr">
        <is>
          <t>Kase Affiliation</t>
        </is>
      </c>
      <c r="C24" s="1271" t="inlineStr">
        <is>
          <t>Deals Won - Waiting £</t>
        </is>
      </c>
      <c r="D24" s="470" t="n"/>
      <c r="E24" s="1296" t="n">
        <v>100</v>
      </c>
      <c r="F24" s="1260" t="inlineStr">
        <is>
          <t>Kase Commission</t>
        </is>
      </c>
      <c r="I24" s="1310" t="inlineStr">
        <is>
          <t>Year on year Improvement %</t>
        </is>
      </c>
      <c r="J24" s="1311" t="inlineStr">
        <is>
          <t>2026 v 2025</t>
        </is>
      </c>
      <c r="K24" s="923">
        <f>IFERROR((K18-K30)/K30,0)</f>
        <v/>
      </c>
      <c r="L24" s="923">
        <f>IFERROR((L18-L30)/L30,0)</f>
        <v/>
      </c>
      <c r="M24" s="923">
        <f>IFERROR((M18-M30)/M30,0)</f>
        <v/>
      </c>
      <c r="N24" s="923">
        <f>IFERROR((N18-N30)/N30,0)</f>
        <v/>
      </c>
      <c r="O24" s="923">
        <f>IFERROR((O18-O30)/O30,0)</f>
        <v/>
      </c>
      <c r="P24" s="923">
        <f>IFERROR((P18-P30)/P30,0)</f>
        <v/>
      </c>
      <c r="Q24" s="923">
        <f>IFERROR((Q18-Q30)/Q30,0)</f>
        <v/>
      </c>
      <c r="R24" s="923">
        <f>IFERROR((R18-R30)/R30,0)</f>
        <v/>
      </c>
      <c r="S24" s="923">
        <f>IFERROR((S18-S30)/S30,0)</f>
        <v/>
      </c>
      <c r="T24" s="923">
        <f>IFERROR((T18-T30)/T30,0)</f>
        <v/>
      </c>
      <c r="U24" s="923">
        <f>IFERROR((U18-U30)/U30,0)</f>
        <v/>
      </c>
      <c r="V24" s="923">
        <f>IFERROR((V18-V30)/V30,0)</f>
        <v/>
      </c>
      <c r="W24" s="923">
        <f>IFERROR((W18-W30)/W30,0)</f>
        <v/>
      </c>
      <c r="X24" s="583" t="n"/>
      <c r="Y24" s="585" t="n"/>
      <c r="Z24" s="1260" t="inlineStr">
        <is>
          <t>Last 6 months Avg</t>
        </is>
      </c>
      <c r="AB24" s="821">
        <f>SUM(T31+U31+V31+K18+S31+R31)/6</f>
        <v/>
      </c>
    </row>
    <row r="25" ht="13.9" customHeight="1" s="1232">
      <c r="B25" s="1271" t="inlineStr">
        <is>
          <t>Partnerize</t>
        </is>
      </c>
      <c r="C25" s="1271" t="inlineStr">
        <is>
          <t>Deals Won - Waiting £</t>
        </is>
      </c>
      <c r="E25" s="1296" t="n">
        <v>15</v>
      </c>
      <c r="F25" s="1260" t="inlineStr">
        <is>
          <t>MPB Commission</t>
        </is>
      </c>
      <c r="I25" s="1310" t="n"/>
      <c r="J25" s="1299" t="n"/>
      <c r="O25" s="432" t="n">
        <v>214</v>
      </c>
      <c r="P25" s="432">
        <f>O18-O25</f>
        <v/>
      </c>
      <c r="X25" s="583" t="n"/>
      <c r="Y25" s="585" t="n"/>
      <c r="Z25" s="1260" t="n"/>
      <c r="AB25" s="821" t="n"/>
    </row>
    <row r="26" ht="13.9" customHeight="1" s="1232">
      <c r="B26" s="1271" t="inlineStr">
        <is>
          <t>Pure Photo</t>
        </is>
      </c>
      <c r="C26" s="1271" t="inlineStr">
        <is>
          <t>Deals Won - Waiting £</t>
        </is>
      </c>
      <c r="D26" s="470" t="n"/>
      <c r="E26" s="1296" t="n"/>
      <c r="F26" s="1297" t="n"/>
      <c r="I26" s="1310" t="n"/>
      <c r="J26" s="1311" t="inlineStr">
        <is>
          <t>Hrly Rate (8hrs)</t>
        </is>
      </c>
      <c r="K26" s="1284">
        <f>SUM(K20/K4)/8</f>
        <v/>
      </c>
      <c r="L26" s="1284">
        <f>SUM(L20/L4)/8</f>
        <v/>
      </c>
      <c r="M26" s="1284">
        <f>SUM(M20/M4)/8</f>
        <v/>
      </c>
      <c r="N26" s="1284">
        <f>SUM(N20/N4)/8</f>
        <v/>
      </c>
      <c r="O26" s="1284">
        <f>SUM(O20/O4)/8</f>
        <v/>
      </c>
      <c r="P26" s="1284">
        <f>SUM(P20/P4)/8</f>
        <v/>
      </c>
      <c r="Q26" s="1284">
        <f>SUM(Q20/Q4)/8</f>
        <v/>
      </c>
      <c r="R26" s="1284">
        <f>SUM(R20/R4)/8</f>
        <v/>
      </c>
      <c r="S26" s="1284">
        <f>SUM(S20/S4)/8</f>
        <v/>
      </c>
      <c r="T26" s="1284">
        <f>SUM(T20/T4)/8</f>
        <v/>
      </c>
      <c r="U26" s="1284">
        <f>SUM(U20/U4)/8</f>
        <v/>
      </c>
      <c r="V26" s="1284">
        <f>SUM(V20/V4)/8</f>
        <v/>
      </c>
      <c r="W26" s="1312">
        <f>AVERAGE(K26:V26)</f>
        <v/>
      </c>
      <c r="X26" s="583" t="n"/>
      <c r="Y26" s="585" t="n"/>
      <c r="Z26" s="1260" t="n"/>
      <c r="AB26" s="821" t="n"/>
    </row>
    <row r="27" ht="13.9" customHeight="1" s="1232">
      <c r="B27" s="1271" t="inlineStr">
        <is>
          <t>Artfully Walls</t>
        </is>
      </c>
      <c r="C27" s="1271" t="inlineStr">
        <is>
          <t>Deals Won - Waiting £</t>
        </is>
      </c>
      <c r="D27" s="470" t="n"/>
      <c r="E27" s="1296" t="n">
        <v>0</v>
      </c>
      <c r="F27" s="1297" t="n"/>
      <c r="I27" s="1310" t="n"/>
      <c r="J27" s="1311" t="inlineStr">
        <is>
          <t>Daily Rate</t>
        </is>
      </c>
      <c r="K27" s="1284">
        <f>K20/K4</f>
        <v/>
      </c>
      <c r="L27" s="1284">
        <f>L20/L4</f>
        <v/>
      </c>
      <c r="M27" s="1284">
        <f>M20/M4</f>
        <v/>
      </c>
      <c r="N27" s="1284">
        <f>N20/N4</f>
        <v/>
      </c>
      <c r="O27" s="1284">
        <f>O20/O4</f>
        <v/>
      </c>
      <c r="P27" s="1284">
        <f>P20/P4</f>
        <v/>
      </c>
      <c r="Q27" s="1284">
        <f>Q20/Q4</f>
        <v/>
      </c>
      <c r="R27" s="1284">
        <f>R20/R4</f>
        <v/>
      </c>
      <c r="S27" s="1284">
        <f>S20/S4</f>
        <v/>
      </c>
      <c r="T27" s="1284">
        <f>T20/T4</f>
        <v/>
      </c>
      <c r="U27" s="1284">
        <f>U20/U4</f>
        <v/>
      </c>
      <c r="V27" s="1284">
        <f>V20/V4</f>
        <v/>
      </c>
      <c r="W27" s="1284">
        <f>AVERAGE(K27:V27)</f>
        <v/>
      </c>
      <c r="X27" s="583" t="n"/>
      <c r="Y27" s="585" t="n"/>
      <c r="Z27" s="1260" t="n"/>
      <c r="AB27" s="821" t="n"/>
    </row>
    <row r="28" ht="13.9" customHeight="1" s="1232">
      <c r="B28" s="1271" t="n"/>
      <c r="C28" s="1271" t="n"/>
      <c r="D28" s="470" t="n"/>
      <c r="E28" s="1296" t="n">
        <v>0</v>
      </c>
      <c r="F28" s="1297" t="n">
        <v>45596</v>
      </c>
      <c r="I28" s="1310" t="n"/>
      <c r="J28" s="1299" t="n"/>
      <c r="L28" s="914" t="n"/>
      <c r="M28" s="914" t="n"/>
      <c r="N28" s="914" t="n"/>
      <c r="O28" s="914" t="n"/>
      <c r="P28" s="914" t="n"/>
      <c r="X28" s="583" t="n"/>
      <c r="Y28" s="585" t="n"/>
      <c r="Z28" s="1260" t="n"/>
      <c r="AB28" s="821" t="n"/>
    </row>
    <row r="29" ht="13.9" customHeight="1" s="1232">
      <c r="B29" s="1271" t="n"/>
      <c r="C29" s="1271" t="inlineStr">
        <is>
          <t>Deals Won - Waiting £</t>
        </is>
      </c>
      <c r="D29" s="470" t="n"/>
      <c r="E29" s="1296" t="n"/>
      <c r="F29" s="1297" t="inlineStr">
        <is>
          <t>Staff Training</t>
        </is>
      </c>
      <c r="I29" s="1310" t="n"/>
      <c r="J29" s="1299" t="n"/>
      <c r="L29" s="914" t="n"/>
      <c r="M29" s="914" t="n"/>
      <c r="N29" s="914" t="n"/>
      <c r="O29" s="914" t="n"/>
      <c r="P29" s="914" t="n"/>
      <c r="X29" s="583" t="n"/>
      <c r="Y29" s="1069" t="n"/>
      <c r="Z29" s="1260" t="n"/>
      <c r="AB29" s="821" t="n"/>
    </row>
    <row r="30" ht="13.9" customHeight="1" s="1232">
      <c r="B30" s="1271" t="inlineStr">
        <is>
          <t>The Heart of a Garden</t>
        </is>
      </c>
      <c r="C30" s="1271" t="inlineStr">
        <is>
          <t>Deals Won - Waiting £</t>
        </is>
      </c>
      <c r="D30" s="548" t="n"/>
      <c r="E30" s="1296" t="n"/>
      <c r="F30" s="1297" t="inlineStr">
        <is>
          <t>Greeting Cards</t>
        </is>
      </c>
      <c r="I30" s="1313" t="inlineStr">
        <is>
          <t>2025</t>
        </is>
      </c>
      <c r="J30" s="1287" t="inlineStr">
        <is>
          <t>Year 13</t>
        </is>
      </c>
      <c r="K30" s="558" t="n">
        <v>4298.860000000001</v>
      </c>
      <c r="L30" s="558" t="n">
        <v>2343.84</v>
      </c>
      <c r="M30" s="558" t="n">
        <v>1707.83</v>
      </c>
      <c r="N30" s="558" t="n">
        <v>1968</v>
      </c>
      <c r="O30" s="558" t="n">
        <v>4092</v>
      </c>
      <c r="P30" s="558" t="n">
        <v>7139.3</v>
      </c>
      <c r="Q30" s="558" t="n">
        <v>5700</v>
      </c>
      <c r="R30" s="558" t="n">
        <v>1627.4</v>
      </c>
      <c r="S30" s="558" t="n">
        <v>5108.48</v>
      </c>
      <c r="T30" s="558" t="n">
        <v>3092</v>
      </c>
      <c r="U30" s="558" t="n">
        <v>4094.8</v>
      </c>
      <c r="V30" s="558" t="n">
        <v>5394.95</v>
      </c>
      <c r="W30" s="431">
        <f>SUM(K30:V30)</f>
        <v/>
      </c>
      <c r="X30" s="583">
        <f>W30-W31</f>
        <v/>
      </c>
      <c r="Y30" s="585">
        <f>X30/W31</f>
        <v/>
      </c>
      <c r="Z30" s="1260" t="inlineStr">
        <is>
          <t>YTD YOY</t>
        </is>
      </c>
      <c r="AB30" s="821" t="n"/>
    </row>
    <row r="31" ht="13.9" customHeight="1" s="1232">
      <c r="B31" s="1271" t="inlineStr">
        <is>
          <t>Photocrowd</t>
        </is>
      </c>
      <c r="C31" s="1271" t="inlineStr">
        <is>
          <t>Deals Won - Waiting £</t>
        </is>
      </c>
      <c r="D31" s="548" t="n"/>
      <c r="E31" s="1296" t="n">
        <v>155</v>
      </c>
      <c r="F31" s="1297" t="inlineStr">
        <is>
          <t>Judging Fee</t>
        </is>
      </c>
      <c r="I31" s="1313" t="inlineStr">
        <is>
          <t>2024</t>
        </is>
      </c>
      <c r="J31" s="1287" t="inlineStr">
        <is>
          <t>Year 12</t>
        </is>
      </c>
      <c r="K31" s="558" t="n">
        <v>2422</v>
      </c>
      <c r="L31" s="558" t="n">
        <v>3078.1</v>
      </c>
      <c r="M31" s="558" t="n">
        <v>1866.63</v>
      </c>
      <c r="N31" s="558" t="n">
        <v>5388.54</v>
      </c>
      <c r="O31" s="558" t="n">
        <v>4515.34</v>
      </c>
      <c r="P31" s="558" t="n">
        <v>2123.48</v>
      </c>
      <c r="Q31" s="558" t="n">
        <v>1272.5</v>
      </c>
      <c r="R31" s="558" t="n">
        <v>3673.58</v>
      </c>
      <c r="S31" s="558" t="n">
        <v>3203.46</v>
      </c>
      <c r="T31" s="558" t="n">
        <v>7757.34</v>
      </c>
      <c r="U31" s="558" t="n">
        <v>4832.82</v>
      </c>
      <c r="V31" s="558" t="n">
        <v>2657</v>
      </c>
      <c r="W31" s="431">
        <f>SUM(K31:V31)</f>
        <v/>
      </c>
      <c r="X31" s="583">
        <f>W31-W32</f>
        <v/>
      </c>
      <c r="Y31" s="585">
        <f>X31/W32</f>
        <v/>
      </c>
      <c r="AB31" s="821" t="n"/>
    </row>
    <row r="32" ht="13.9" customHeight="1" s="1232">
      <c r="B32" s="1271" t="inlineStr">
        <is>
          <t>Call of the Page</t>
        </is>
      </c>
      <c r="C32" s="1271" t="inlineStr">
        <is>
          <t>Deals Won - Waiting £</t>
        </is>
      </c>
      <c r="D32" s="470" t="n"/>
      <c r="E32" s="1296" t="n"/>
      <c r="F32" s="1297" t="inlineStr">
        <is>
          <t>Feedback time Sept</t>
        </is>
      </c>
      <c r="I32" s="1313" t="inlineStr">
        <is>
          <t>2023</t>
        </is>
      </c>
      <c r="J32" s="1287" t="inlineStr">
        <is>
          <t>Year 11</t>
        </is>
      </c>
      <c r="K32" s="558" t="n">
        <v>5354.48</v>
      </c>
      <c r="L32" s="558" t="n">
        <v>2837.58</v>
      </c>
      <c r="M32" s="558" t="n">
        <v>7495.8</v>
      </c>
      <c r="N32" s="558" t="n">
        <v>3303.37</v>
      </c>
      <c r="O32" s="558" t="n">
        <v>3794.39</v>
      </c>
      <c r="P32" s="558" t="n">
        <v>2830.65</v>
      </c>
      <c r="Q32" s="558" t="n">
        <v>2809.28</v>
      </c>
      <c r="R32" s="558" t="n">
        <v>5912.62</v>
      </c>
      <c r="S32" s="558" t="n">
        <v>2568.6</v>
      </c>
      <c r="T32" s="558" t="n">
        <v>3215.39</v>
      </c>
      <c r="U32" s="558" t="n">
        <v>5022.6</v>
      </c>
      <c r="V32" s="558" t="n">
        <v>8252.059999999999</v>
      </c>
      <c r="W32" s="431">
        <f>SUM(K32:V32)</f>
        <v/>
      </c>
      <c r="X32" s="583">
        <f>W32-W33</f>
        <v/>
      </c>
      <c r="Y32" s="585">
        <f>X32/W33</f>
        <v/>
      </c>
      <c r="Z32" s="1260" t="n"/>
      <c r="AB32" s="821" t="n"/>
    </row>
    <row r="33" ht="13.9" customHeight="1" s="1232">
      <c r="B33" s="1271" t="inlineStr">
        <is>
          <t>Outdoor Photographer</t>
        </is>
      </c>
      <c r="C33" s="1271" t="inlineStr">
        <is>
          <t>Deals Won - Waiting £</t>
        </is>
      </c>
      <c r="D33" s="470" t="n"/>
      <c r="E33" s="1296" t="n"/>
      <c r="F33" s="1297" t="n"/>
      <c r="I33" s="1313" t="inlineStr">
        <is>
          <t>2022</t>
        </is>
      </c>
      <c r="J33" s="1287" t="inlineStr">
        <is>
          <t>Year 10</t>
        </is>
      </c>
      <c r="K33" s="558" t="n">
        <v>18758.77</v>
      </c>
      <c r="L33" s="558" t="n">
        <v>3028.2</v>
      </c>
      <c r="M33" s="558" t="n">
        <v>5768.64</v>
      </c>
      <c r="N33" s="558" t="n">
        <v>7461.77</v>
      </c>
      <c r="O33" s="558" t="n">
        <v>5269.650000000001</v>
      </c>
      <c r="P33" s="558" t="n">
        <v>2223</v>
      </c>
      <c r="Q33" s="558" t="n">
        <v>2500.94</v>
      </c>
      <c r="R33" s="558" t="n">
        <v>2796.35</v>
      </c>
      <c r="S33" s="558" t="n">
        <v>3928.56</v>
      </c>
      <c r="T33" s="558" t="n">
        <v>2389</v>
      </c>
      <c r="U33" s="558" t="n">
        <v>3577.95</v>
      </c>
      <c r="V33" s="558" t="n">
        <v>3624.19</v>
      </c>
      <c r="W33" s="431">
        <f>SUM(K33:V33)</f>
        <v/>
      </c>
      <c r="X33" s="583">
        <f>W33-W34</f>
        <v/>
      </c>
      <c r="Y33" s="585">
        <f>X33/W34</f>
        <v/>
      </c>
      <c r="Z33" s="1260" t="n"/>
      <c r="AB33" s="821" t="n"/>
    </row>
    <row r="34" ht="13.9" customHeight="1" s="1232">
      <c r="B34" s="1271" t="n"/>
      <c r="C34" s="1271" t="n"/>
      <c r="E34" s="1296" t="n"/>
      <c r="I34" s="1313" t="inlineStr">
        <is>
          <t>2021</t>
        </is>
      </c>
      <c r="J34" s="1287" t="inlineStr">
        <is>
          <t>Year 9 (Covid-19)</t>
        </is>
      </c>
      <c r="K34" s="558" t="n">
        <v>1633</v>
      </c>
      <c r="L34" s="558" t="n">
        <v>3730.19</v>
      </c>
      <c r="M34" s="558" t="n">
        <v>18208.68</v>
      </c>
      <c r="N34" s="558" t="n">
        <v>3783</v>
      </c>
      <c r="O34" s="558" t="n">
        <v>3750.38</v>
      </c>
      <c r="P34" s="558" t="n">
        <v>4858.6</v>
      </c>
      <c r="Q34" s="558" t="n">
        <v>3785.35</v>
      </c>
      <c r="R34" s="558" t="n">
        <v>7391.76</v>
      </c>
      <c r="S34" s="558" t="n">
        <v>5355.23</v>
      </c>
      <c r="T34" s="558" t="n">
        <v>5201</v>
      </c>
      <c r="U34" s="558" t="n">
        <v>4340.02</v>
      </c>
      <c r="V34" s="558" t="n">
        <v>7628.76</v>
      </c>
      <c r="W34" s="431">
        <f>SUM(K34:V34)</f>
        <v/>
      </c>
      <c r="X34" s="583">
        <f>W34-W35</f>
        <v/>
      </c>
      <c r="Y34" s="585">
        <f>X34/W35</f>
        <v/>
      </c>
      <c r="Z34" s="1260" t="n"/>
      <c r="AB34" s="821" t="n"/>
    </row>
    <row r="35" ht="13.9" customHeight="1" s="1232">
      <c r="B35" s="1271" t="n"/>
      <c r="C35" s="1271" t="inlineStr">
        <is>
          <t>Deals Won - Waiting £</t>
        </is>
      </c>
      <c r="D35" s="470" t="n"/>
      <c r="E35" s="1296" t="n"/>
      <c r="F35" s="1297" t="inlineStr">
        <is>
          <t>Photo shoot</t>
        </is>
      </c>
      <c r="I35" s="1313" t="inlineStr">
        <is>
          <t>2020</t>
        </is>
      </c>
      <c r="J35" s="1287" t="inlineStr">
        <is>
          <t>Year 8 (Covid-19)</t>
        </is>
      </c>
      <c r="K35" s="558" t="n">
        <v>7647.85</v>
      </c>
      <c r="L35" s="558" t="n">
        <v>5051.64</v>
      </c>
      <c r="M35" s="558" t="n">
        <v>4783.746923076923</v>
      </c>
      <c r="N35" s="558" t="n">
        <v>1598.35</v>
      </c>
      <c r="O35" s="558" t="n">
        <v>1786.66</v>
      </c>
      <c r="P35" s="558" t="n">
        <v>6854.62</v>
      </c>
      <c r="Q35" s="558" t="n">
        <v>2667</v>
      </c>
      <c r="R35" s="558" t="n">
        <v>11694.07</v>
      </c>
      <c r="S35" s="558" t="n">
        <v>4126.62</v>
      </c>
      <c r="T35" s="558" t="n">
        <v>2423.69</v>
      </c>
      <c r="U35" s="558" t="n">
        <v>3332.58</v>
      </c>
      <c r="V35" s="558" t="n">
        <v>3035.07</v>
      </c>
      <c r="W35" s="431">
        <f>SUM(K35:V35)</f>
        <v/>
      </c>
      <c r="X35" s="583">
        <f>W35-W36</f>
        <v/>
      </c>
      <c r="Y35" s="585">
        <f>X35/W36</f>
        <v/>
      </c>
      <c r="Z35" s="1260" t="n"/>
      <c r="AB35" s="821" t="n"/>
    </row>
    <row r="36" ht="13.9" customHeight="1" s="1232">
      <c r="B36" s="1260" t="n"/>
      <c r="C36" s="1271" t="n"/>
      <c r="D36" s="1271" t="n"/>
      <c r="E36" s="1296" t="n"/>
      <c r="F36" s="1314" t="n"/>
      <c r="G36" s="1297" t="n"/>
      <c r="I36" s="1313" t="inlineStr">
        <is>
          <t>2019</t>
        </is>
      </c>
      <c r="J36" s="1287" t="inlineStr">
        <is>
          <t>Year 7</t>
        </is>
      </c>
      <c r="K36" s="558" t="n">
        <v>5891.07</v>
      </c>
      <c r="L36" s="558" t="n">
        <v>2739.5</v>
      </c>
      <c r="M36" s="558" t="n">
        <v>4414.5</v>
      </c>
      <c r="N36" s="558" t="n">
        <v>5147.5</v>
      </c>
      <c r="O36" s="558" t="n">
        <v>6878</v>
      </c>
      <c r="P36" s="558" t="n">
        <v>4875.34</v>
      </c>
      <c r="Q36" s="558" t="n">
        <v>5769.97</v>
      </c>
      <c r="R36" s="558" t="n">
        <v>7463.89</v>
      </c>
      <c r="S36" s="558" t="n">
        <v>6034.39</v>
      </c>
      <c r="T36" s="558" t="n">
        <v>4573.58</v>
      </c>
      <c r="U36" s="558" t="n">
        <v>5973.75</v>
      </c>
      <c r="V36" s="558" t="n">
        <v>5421.440000000001</v>
      </c>
      <c r="W36" s="431">
        <f>SUM(K36:V36)</f>
        <v/>
      </c>
      <c r="X36" s="583">
        <f>W36-W37</f>
        <v/>
      </c>
      <c r="Y36" s="585">
        <f>X36/W37</f>
        <v/>
      </c>
      <c r="Z36" s="1260" t="inlineStr">
        <is>
          <t>Previous 6 months Avg</t>
        </is>
      </c>
      <c r="AB36" s="821">
        <f>SUM(L31+M31+Q31+P31+O31+N31)/6</f>
        <v/>
      </c>
    </row>
    <row r="37" ht="13.9" customHeight="1" s="1232">
      <c r="B37" s="1260" t="inlineStr">
        <is>
          <t>Into The Blue</t>
        </is>
      </c>
      <c r="C37" s="1271" t="inlineStr">
        <is>
          <t>Deals Won - Waiting £</t>
        </is>
      </c>
      <c r="D37" s="1271" t="inlineStr">
        <is>
          <t>John MacDonald</t>
        </is>
      </c>
      <c r="E37" s="1296" t="n">
        <v>120</v>
      </c>
      <c r="F37" s="1297" t="inlineStr">
        <is>
          <t>Peak District 1 Nov</t>
        </is>
      </c>
      <c r="G37" s="1315" t="inlineStr">
        <is>
          <t>2605100908</t>
        </is>
      </c>
      <c r="I37" s="1313" t="inlineStr">
        <is>
          <t>2018</t>
        </is>
      </c>
      <c r="J37" s="1268" t="inlineStr">
        <is>
          <t>Year 6</t>
        </is>
      </c>
      <c r="K37" s="558" t="n">
        <v>8277.470000000001</v>
      </c>
      <c r="L37" s="558" t="n">
        <v>10607.11</v>
      </c>
      <c r="M37" s="558" t="n">
        <v>7155.05</v>
      </c>
      <c r="N37" s="558" t="n">
        <v>4371.015</v>
      </c>
      <c r="O37" s="558" t="n">
        <v>4002.63</v>
      </c>
      <c r="P37" s="558" t="n">
        <v>3243.6</v>
      </c>
      <c r="Q37" s="558" t="n">
        <v>2859.03</v>
      </c>
      <c r="R37" s="558" t="n">
        <v>4792.59</v>
      </c>
      <c r="S37" s="558" t="n">
        <v>6443.88</v>
      </c>
      <c r="T37" s="558" t="n">
        <v>3908.03</v>
      </c>
      <c r="U37" s="558" t="n">
        <v>8299.08</v>
      </c>
      <c r="V37" s="558" t="n">
        <v>4642.25</v>
      </c>
      <c r="W37" s="431">
        <f>SUM(K37:V37)</f>
        <v/>
      </c>
      <c r="X37" s="583">
        <f>W37-W38</f>
        <v/>
      </c>
      <c r="Y37" s="585">
        <f>X37/W38</f>
        <v/>
      </c>
      <c r="AB37" s="445">
        <f>SUM(AB24-AB36)/AB24</f>
        <v/>
      </c>
    </row>
    <row r="38" ht="13.9" customHeight="1" s="1232">
      <c r="B38" s="1260" t="inlineStr">
        <is>
          <t>Into The Blue</t>
        </is>
      </c>
      <c r="C38" s="1271" t="inlineStr">
        <is>
          <t>Deals Won - Waiting £</t>
        </is>
      </c>
      <c r="D38" s="1271" t="n"/>
      <c r="E38" s="1296" t="n"/>
      <c r="F38" s="1297" t="n"/>
      <c r="G38" s="1315" t="n"/>
      <c r="I38" s="1316" t="inlineStr">
        <is>
          <t>2017</t>
        </is>
      </c>
      <c r="J38" s="1268" t="inlineStr">
        <is>
          <t>Year 5</t>
        </is>
      </c>
      <c r="K38" s="558" t="n">
        <v>3203.5</v>
      </c>
      <c r="L38" s="558" t="n">
        <v>6685</v>
      </c>
      <c r="M38" s="558" t="n">
        <v>6242.83</v>
      </c>
      <c r="N38" s="558" t="n">
        <v>6063.17</v>
      </c>
      <c r="O38" s="558" t="n">
        <v>5851.71</v>
      </c>
      <c r="P38" s="558" t="n">
        <v>5479.93</v>
      </c>
      <c r="Q38" s="558" t="n">
        <v>3603.81</v>
      </c>
      <c r="R38" s="558" t="n">
        <v>4658.85</v>
      </c>
      <c r="S38" s="558" t="n">
        <v>10821.67</v>
      </c>
      <c r="T38" s="558" t="n">
        <v>9224.58</v>
      </c>
      <c r="U38" s="558" t="n">
        <v>10504.09</v>
      </c>
      <c r="V38" s="558" t="n">
        <v>4329.030000000001</v>
      </c>
      <c r="W38" s="431">
        <f>SUM(K38:V38)</f>
        <v/>
      </c>
      <c r="X38" s="583">
        <f>W38-W39</f>
        <v/>
      </c>
      <c r="Y38" s="585">
        <f>X38/W39</f>
        <v/>
      </c>
    </row>
    <row r="39" ht="13.9" customHeight="1" s="1232">
      <c r="B39" s="1260" t="inlineStr">
        <is>
          <t>Into The Blue</t>
        </is>
      </c>
      <c r="C39" s="1271" t="inlineStr">
        <is>
          <t>Deals Won - Waiting £</t>
        </is>
      </c>
      <c r="D39" s="1271" t="n"/>
      <c r="E39" s="1296" t="n"/>
      <c r="F39" s="1297" t="n"/>
      <c r="G39" s="1315" t="n"/>
      <c r="I39" s="1316" t="inlineStr">
        <is>
          <t>2016</t>
        </is>
      </c>
      <c r="J39" s="1287" t="inlineStr">
        <is>
          <t>Year 4 (surgery)</t>
        </is>
      </c>
      <c r="K39" s="558" t="n">
        <v>4537</v>
      </c>
      <c r="L39" s="558">
        <f>4583-264</f>
        <v/>
      </c>
      <c r="M39" s="558">
        <f>3935-213</f>
        <v/>
      </c>
      <c r="N39" s="558">
        <f>4947-396</f>
        <v/>
      </c>
      <c r="O39" s="558">
        <f>3911-293</f>
        <v/>
      </c>
      <c r="P39" s="558">
        <f>2992-213</f>
        <v/>
      </c>
      <c r="Q39" s="558">
        <f>2927-218</f>
        <v/>
      </c>
      <c r="R39" s="558">
        <f>7466-213</f>
        <v/>
      </c>
      <c r="S39" s="558">
        <f>4218-425</f>
        <v/>
      </c>
      <c r="T39" s="558">
        <f>10697-213</f>
        <v/>
      </c>
      <c r="U39" s="558">
        <f>5081-213</f>
        <v/>
      </c>
      <c r="V39" s="558">
        <f>5220-213</f>
        <v/>
      </c>
      <c r="W39" s="431">
        <f>SUM(K39:V39)</f>
        <v/>
      </c>
      <c r="X39" s="583">
        <f>W39-W40</f>
        <v/>
      </c>
      <c r="Y39" s="585">
        <f>X39/W40</f>
        <v/>
      </c>
      <c r="Z39" s="445" t="n"/>
      <c r="AA39" s="771" t="n"/>
      <c r="AB39" s="803" t="n"/>
    </row>
    <row r="40" ht="13.9" customHeight="1" s="1232">
      <c r="B40" s="1260" t="inlineStr">
        <is>
          <t>Into The Blue</t>
        </is>
      </c>
      <c r="C40" s="1271" t="inlineStr">
        <is>
          <t>Deals Won - Waiting £</t>
        </is>
      </c>
      <c r="D40" s="1271" t="n"/>
      <c r="E40" s="1296" t="n"/>
      <c r="F40" s="1297" t="n"/>
      <c r="G40" s="1315" t="n"/>
      <c r="I40" s="1316" t="inlineStr">
        <is>
          <t>2015</t>
        </is>
      </c>
      <c r="J40" s="1260" t="inlineStr">
        <is>
          <t>Year 3</t>
        </is>
      </c>
      <c r="K40" s="558" t="n">
        <v>3710</v>
      </c>
      <c r="L40" s="558" t="n">
        <v>3750</v>
      </c>
      <c r="M40" s="558" t="n">
        <v>7113</v>
      </c>
      <c r="N40" s="558">
        <f>3928-213</f>
        <v/>
      </c>
      <c r="O40" s="558">
        <f>2501-213</f>
        <v/>
      </c>
      <c r="P40" s="558">
        <f>3468-213</f>
        <v/>
      </c>
      <c r="Q40" s="558">
        <f>1986-224</f>
        <v/>
      </c>
      <c r="R40" s="558">
        <f>4145-212</f>
        <v/>
      </c>
      <c r="S40" s="558">
        <f>8518-212</f>
        <v/>
      </c>
      <c r="T40" s="558">
        <f>5829-424</f>
        <v/>
      </c>
      <c r="U40" s="558">
        <f>3816-212</f>
        <v/>
      </c>
      <c r="V40" s="558">
        <f>12440-212</f>
        <v/>
      </c>
      <c r="W40" s="431">
        <f>SUM(K40:V40)</f>
        <v/>
      </c>
      <c r="X40" s="583">
        <f>W40-W41</f>
        <v/>
      </c>
      <c r="Y40" s="585">
        <f>X40/W41</f>
        <v/>
      </c>
      <c r="Z40" s="445" t="n"/>
      <c r="AA40" s="445" t="n"/>
      <c r="AB40" s="1260" t="inlineStr">
        <is>
          <t>.</t>
        </is>
      </c>
    </row>
    <row r="41" ht="13.9" customHeight="1" s="1232">
      <c r="B41" s="1260" t="inlineStr">
        <is>
          <t>Into The Blue</t>
        </is>
      </c>
      <c r="C41" s="1271" t="inlineStr">
        <is>
          <t>Deals Won - Waiting £</t>
        </is>
      </c>
      <c r="D41" s="1271" t="n"/>
      <c r="E41" s="1296" t="n"/>
      <c r="F41" s="1297" t="n"/>
      <c r="G41" s="1315" t="n"/>
      <c r="I41" s="1316" t="inlineStr">
        <is>
          <t>2014</t>
        </is>
      </c>
      <c r="J41" s="1260" t="inlineStr">
        <is>
          <t>Year 2</t>
        </is>
      </c>
      <c r="K41" s="558">
        <f>4439-1260</f>
        <v/>
      </c>
      <c r="L41" s="558">
        <f>3071-197</f>
        <v/>
      </c>
      <c r="M41" s="558">
        <f>4958-132</f>
        <v/>
      </c>
      <c r="N41" s="558">
        <f>3585-132</f>
        <v/>
      </c>
      <c r="O41" s="558">
        <f>5008-33</f>
        <v/>
      </c>
      <c r="P41" s="558" t="n">
        <v>3386</v>
      </c>
      <c r="Q41" s="558" t="n">
        <v>3633</v>
      </c>
      <c r="R41" s="558" t="n">
        <v>3855</v>
      </c>
      <c r="S41" s="558" t="n">
        <v>6440</v>
      </c>
      <c r="T41" s="558" t="n">
        <v>3536</v>
      </c>
      <c r="U41" s="558" t="n">
        <v>2851</v>
      </c>
      <c r="V41" s="558" t="n">
        <v>7614</v>
      </c>
      <c r="W41" s="431">
        <f>SUM(K41:V41)</f>
        <v/>
      </c>
      <c r="X41" s="583">
        <f>W41-W42</f>
        <v/>
      </c>
      <c r="Y41" s="585">
        <f>X41/W42</f>
        <v/>
      </c>
    </row>
    <row r="42" ht="13.9" customHeight="1" s="1232">
      <c r="B42" s="1260" t="inlineStr">
        <is>
          <t>Into The Blue</t>
        </is>
      </c>
      <c r="C42" s="1271" t="inlineStr">
        <is>
          <t>Deals Won - Waiting £</t>
        </is>
      </c>
      <c r="D42" s="1271" t="n"/>
      <c r="E42" s="1296" t="n"/>
      <c r="F42" s="1297" t="n"/>
      <c r="G42" s="1315" t="n"/>
      <c r="I42" s="1313" t="inlineStr">
        <is>
          <t>2013</t>
        </is>
      </c>
      <c r="J42" s="1260" t="inlineStr">
        <is>
          <t>Year 1</t>
        </is>
      </c>
      <c r="K42" s="558" t="n"/>
      <c r="L42" s="558" t="n"/>
      <c r="M42" s="558" t="n"/>
      <c r="N42" s="558" t="n"/>
      <c r="O42" s="558" t="n"/>
      <c r="P42" s="558" t="n"/>
      <c r="Q42" s="558" t="n"/>
      <c r="R42" s="558" t="n"/>
      <c r="S42" s="558" t="n"/>
      <c r="T42" s="558" t="n"/>
      <c r="U42" s="558">
        <f>3346-338</f>
        <v/>
      </c>
      <c r="V42" s="558">
        <f>6776-390</f>
        <v/>
      </c>
      <c r="W42" s="431">
        <f>SUM(K42:V42)</f>
        <v/>
      </c>
    </row>
    <row r="43" ht="13.15" customHeight="1" s="1232">
      <c r="X43" s="1260" t="inlineStr">
        <is>
          <t>YoY +/-</t>
        </is>
      </c>
      <c r="Y43" s="688">
        <f>W30-W31</f>
        <v/>
      </c>
      <c r="Z43" s="839">
        <f>Y43/W31</f>
        <v/>
      </c>
    </row>
    <row r="44" ht="15" customHeight="1" s="1232">
      <c r="E44" s="1317">
        <f>SUM(E36:E42)</f>
        <v/>
      </c>
      <c r="I44" s="1318" t="inlineStr">
        <is>
          <t>Leads In Progress</t>
        </is>
      </c>
      <c r="J44" s="448">
        <f>SUMIF($C2:E96,I44,$E2:$E65)</f>
        <v/>
      </c>
      <c r="K44" s="558">
        <f>AVERAGE(K30:K31)</f>
        <v/>
      </c>
      <c r="L44" s="558">
        <f>AVERAGE(L30:L31)</f>
        <v/>
      </c>
      <c r="M44" s="558">
        <f>AVERAGE(M30:M31)</f>
        <v/>
      </c>
      <c r="N44" s="558">
        <f>AVERAGE(N30:N31)</f>
        <v/>
      </c>
      <c r="O44" s="558">
        <f>AVERAGE(O30:O31)</f>
        <v/>
      </c>
      <c r="P44" s="558">
        <f>AVERAGE(P30:P31)</f>
        <v/>
      </c>
      <c r="Q44" s="558">
        <f>AVERAGE(Q30:Q31)</f>
        <v/>
      </c>
      <c r="R44" s="558">
        <f>AVERAGE(R30:R31)</f>
        <v/>
      </c>
      <c r="S44" s="558">
        <f>AVERAGE(S30:S31)</f>
        <v/>
      </c>
      <c r="T44" s="558">
        <f>AVERAGE(T30:T31)</f>
        <v/>
      </c>
      <c r="U44" s="558">
        <f>AVERAGE(U30:U31)</f>
        <v/>
      </c>
      <c r="V44" s="558">
        <f>AVERAGE(V30:V31)</f>
        <v/>
      </c>
      <c r="W44" s="449">
        <f>SUM(K44:V44)</f>
        <v/>
      </c>
      <c r="X44" s="449" t="inlineStr">
        <is>
          <t>2YR Avg</t>
        </is>
      </c>
    </row>
    <row r="45" ht="15" customHeight="1" s="1232">
      <c r="B45" s="1271" t="n"/>
      <c r="C45" s="1271" t="n"/>
      <c r="D45" s="470" t="n"/>
      <c r="E45" s="1296" t="n"/>
      <c r="F45" s="1297" t="n"/>
      <c r="I45" s="1319" t="inlineStr">
        <is>
          <t>Deals Won - Waiting £</t>
        </is>
      </c>
      <c r="J45" s="451">
        <f>SUMIF($C18:D146,I45,$E18:$E146)</f>
        <v/>
      </c>
      <c r="L45" s="449" t="n"/>
      <c r="M45" s="449" t="n"/>
      <c r="N45" s="449" t="n"/>
      <c r="O45" s="449" t="n"/>
      <c r="P45" s="449" t="n"/>
      <c r="Q45" s="449" t="n"/>
      <c r="R45" s="449" t="n"/>
      <c r="S45" s="449" t="n"/>
      <c r="T45" s="449" t="n"/>
      <c r="U45" s="449" t="n"/>
      <c r="V45" s="449" t="n"/>
      <c r="W45" s="449" t="n"/>
      <c r="X45" s="449" t="n"/>
    </row>
    <row r="46" ht="32.75" customHeight="1" s="1232" thickBot="1">
      <c r="A46" s="1268" t="inlineStr">
        <is>
          <t>Invoice</t>
        </is>
      </c>
      <c r="B46" s="1268" t="inlineStr">
        <is>
          <t>JLR</t>
        </is>
      </c>
      <c r="D46" s="1268" t="inlineStr">
        <is>
          <t>Count Units Payment Month</t>
        </is>
      </c>
      <c r="E46" s="1320" t="inlineStr">
        <is>
          <t>Pay  Due Amounts</t>
        </is>
      </c>
      <c r="F46" s="1321" t="inlineStr">
        <is>
          <t>Paid</t>
        </is>
      </c>
      <c r="G46" s="1321" t="inlineStr">
        <is>
          <t>Outstanding</t>
        </is>
      </c>
      <c r="H46" s="1321" t="n"/>
      <c r="I46" s="1322" t="inlineStr">
        <is>
          <t xml:space="preserve">Total </t>
        </is>
      </c>
      <c r="J46" s="453">
        <f>SUM(J44:J45)</f>
        <v/>
      </c>
      <c r="K46" s="914" t="n"/>
      <c r="L46" s="914" t="n"/>
      <c r="M46" s="914" t="n"/>
      <c r="N46" s="914" t="n"/>
      <c r="O46" s="914" t="n"/>
      <c r="P46" s="914" t="n"/>
      <c r="Q46" s="914" t="n"/>
      <c r="R46" s="914" t="n"/>
      <c r="S46" s="914" t="n"/>
      <c r="T46" s="914" t="n"/>
      <c r="U46" s="1219" t="inlineStr">
        <is>
          <t>To Date - All Time</t>
        </is>
      </c>
      <c r="V46" s="1220" t="n"/>
      <c r="W46" s="688">
        <f>SUM(W31:W42)+W18</f>
        <v/>
      </c>
      <c r="X46" s="914" t="n"/>
    </row>
    <row r="47" ht="13.9" customHeight="1" s="1232" thickBot="1">
      <c r="A47" s="1323" t="n"/>
      <c r="B47" s="1324" t="n"/>
      <c r="C47" s="1271" t="n"/>
      <c r="D47" s="1325" t="n"/>
      <c r="E47" s="1325" t="n"/>
      <c r="F47" s="1126" t="n"/>
      <c r="G47" s="1323" t="n"/>
      <c r="H47" s="1326" t="n"/>
      <c r="J47" s="914" t="n"/>
      <c r="K47" s="914" t="n"/>
      <c r="L47" s="914" t="n"/>
      <c r="M47" s="914" t="n"/>
      <c r="N47" s="914" t="n"/>
      <c r="O47" s="914" t="n"/>
      <c r="P47" s="914" t="n"/>
      <c r="Q47" s="914" t="n"/>
      <c r="R47" s="914" t="n"/>
      <c r="S47" s="914" t="n"/>
      <c r="T47" s="914" t="n"/>
      <c r="U47" s="1219" t="inlineStr">
        <is>
          <t>Average Per Year</t>
        </is>
      </c>
      <c r="V47" s="1220" t="n"/>
      <c r="W47" s="558">
        <f>SUM(W32:W41)/13</f>
        <v/>
      </c>
      <c r="X47" s="914" t="n"/>
    </row>
    <row r="48" ht="13.9" customHeight="1" s="1232">
      <c r="A48" s="1126" t="n">
        <v>46174</v>
      </c>
      <c r="B48" s="1129" t="n">
        <v>46203</v>
      </c>
      <c r="C48" s="1271" t="inlineStr">
        <is>
          <t>Deals Won - Waiting £</t>
        </is>
      </c>
      <c r="D48" s="1147">
        <f>COUNTIFS('JLR Bookings'!$V$1:$V$272, "&gt;=" &amp; A48, 'JLR Bookings'!$V$1:$V$272, "&lt;=" &amp; B48)</f>
        <v/>
      </c>
      <c r="E48" s="1131">
        <f>SUMIFS('JLR Bookings'!$Q$2:$Q$272, 'JLR Bookings'!$V$2:$V$272, "&gt;=" &amp; A48, 'JLR Bookings'!$V$2:$V$272, "&lt;=" &amp; B48)</f>
        <v/>
      </c>
      <c r="F48" s="1131">
        <f>SUMIFS('JLR Bookings'!$W$2:$W$272, 'JLR Bookings'!$V$2:$V$272, "&gt;=" &amp; A48, 'JLR Bookings'!$V$2:$V$272, "&lt;=" &amp; B48)</f>
        <v/>
      </c>
      <c r="G48" s="1152">
        <f>E48-F48</f>
        <v/>
      </c>
      <c r="H48" s="1326" t="n"/>
      <c r="I48" s="1327" t="inlineStr">
        <is>
          <t>YTD Actual</t>
        </is>
      </c>
      <c r="J48" s="456">
        <f>W18</f>
        <v/>
      </c>
      <c r="K48" s="914">
        <f>SUM(E192:E354)-J48</f>
        <v/>
      </c>
      <c r="L48" s="914" t="n"/>
      <c r="M48" s="914" t="n"/>
      <c r="N48" s="914" t="n"/>
      <c r="O48" s="914" t="n"/>
      <c r="P48" s="914" t="n"/>
      <c r="Q48" s="914" t="n"/>
      <c r="R48" s="914" t="n"/>
      <c r="S48" s="914" t="n"/>
      <c r="T48" s="914" t="n"/>
      <c r="U48" s="914" t="n"/>
      <c r="V48" s="914" t="n"/>
      <c r="W48" s="914" t="n"/>
      <c r="X48" s="914" t="n"/>
    </row>
    <row r="49" ht="14.25" customHeight="1" s="1232" thickBot="1">
      <c r="A49" s="1126" t="n">
        <v>46204</v>
      </c>
      <c r="B49" s="1129" t="n">
        <v>46234</v>
      </c>
      <c r="C49" s="1271" t="inlineStr">
        <is>
          <t>Deals Won - Waiting £</t>
        </is>
      </c>
      <c r="D49" s="1147">
        <f>COUNTIFS('JLR Bookings'!$V$1:$V$272, "&gt;=" &amp; A49, 'JLR Bookings'!$V$1:$V$272, "&lt;=" &amp; B49)</f>
        <v/>
      </c>
      <c r="E49" s="1131">
        <f>SUMIFS('JLR Bookings'!$Q$2:$Q$272, 'JLR Bookings'!$V$2:$V$272, "&gt;=" &amp; A49, 'JLR Bookings'!$V$2:$V$272, "&lt;=" &amp; B49)</f>
        <v/>
      </c>
      <c r="F49" s="1131">
        <f>SUMIFS('JLR Bookings'!$W$2:$W$272, 'JLR Bookings'!$V$2:$V$272, "&gt;=" &amp; A49, 'JLR Bookings'!$V$2:$V$272, "&lt;=" &amp; B49)</f>
        <v/>
      </c>
      <c r="G49" s="1152">
        <f>E49-F49</f>
        <v/>
      </c>
      <c r="H49" s="1326" t="n"/>
      <c r="I49" s="1328" t="inlineStr">
        <is>
          <t>YTD Var to target</t>
        </is>
      </c>
      <c r="J49" s="458">
        <f>J48-AA18</f>
        <v/>
      </c>
      <c r="K49" s="914" t="n"/>
      <c r="L49" s="914" t="n"/>
      <c r="M49" s="914" t="n"/>
      <c r="N49" s="914" t="n"/>
      <c r="O49" s="914" t="n"/>
      <c r="P49" s="914" t="n"/>
      <c r="Q49" s="914" t="n"/>
      <c r="R49" s="914" t="n"/>
      <c r="S49" s="914" t="n"/>
      <c r="T49" s="914" t="n"/>
      <c r="U49" s="914" t="n"/>
      <c r="V49" s="914" t="n"/>
      <c r="W49" s="914" t="n"/>
      <c r="X49" s="914" t="n"/>
    </row>
    <row r="50" ht="13.5" customHeight="1" s="1232">
      <c r="A50" s="1126" t="n">
        <v>46235</v>
      </c>
      <c r="B50" s="1129" t="n">
        <v>46265</v>
      </c>
      <c r="C50" s="1271" t="inlineStr">
        <is>
          <t>Deals Won - Waiting £</t>
        </is>
      </c>
      <c r="D50" s="1147">
        <f>COUNTIFS('JLR Bookings'!$V$1:$V$272, "&gt;=" &amp; A50, 'JLR Bookings'!$V$1:$V$272, "&lt;=" &amp; B50)</f>
        <v/>
      </c>
      <c r="E50" s="1131">
        <f>SUMIFS('JLR Bookings'!$Q$2:$Q$272, 'JLR Bookings'!$V$2:$V$272, "&gt;=" &amp; A50, 'JLR Bookings'!$V$2:$V$272, "&lt;=" &amp; B50)</f>
        <v/>
      </c>
      <c r="F50" s="1131">
        <f>SUMIFS('JLR Bookings'!$W$2:$W$272, 'JLR Bookings'!$V$2:$V$272, "&gt;=" &amp; A50, 'JLR Bookings'!$V$2:$V$272, "&lt;=" &amp; B50)</f>
        <v/>
      </c>
      <c r="G50" s="1152">
        <f>E50-F50</f>
        <v/>
      </c>
      <c r="H50" s="1326" t="n"/>
    </row>
    <row r="51" ht="13.9" customHeight="1" s="1232">
      <c r="A51" s="1126" t="n">
        <v>46266</v>
      </c>
      <c r="B51" s="1129" t="n">
        <v>46295</v>
      </c>
      <c r="C51" s="1271" t="inlineStr">
        <is>
          <t>Deals Won - Waiting £</t>
        </is>
      </c>
      <c r="D51" s="1147">
        <f>COUNTIFS('JLR Bookings'!$V$1:$V$272, "&gt;=" &amp; A51, 'JLR Bookings'!$V$1:$V$272, "&lt;=" &amp; B51)</f>
        <v/>
      </c>
      <c r="E51" s="1131">
        <f>SUMIFS('JLR Bookings'!$Q$2:$Q$272, 'JLR Bookings'!$V$2:$V$272, "&gt;=" &amp; A51, 'JLR Bookings'!$V$2:$V$272, "&lt;=" &amp; B51)</f>
        <v/>
      </c>
      <c r="F51" s="1131">
        <f>SUMIFS('JLR Bookings'!$W$2:$W$272, 'JLR Bookings'!$V$2:$V$272, "&gt;=" &amp; A51, 'JLR Bookings'!$V$2:$V$272, "&lt;=" &amp; B51)</f>
        <v/>
      </c>
      <c r="G51" s="1152">
        <f>E51-F51</f>
        <v/>
      </c>
      <c r="H51" s="1326" t="n"/>
      <c r="I51" s="1329" t="inlineStr">
        <is>
          <t>JLR Anlsyis 2026</t>
        </is>
      </c>
      <c r="J51" s="1330" t="n"/>
      <c r="K51" s="1331" t="inlineStr">
        <is>
          <t>Non JLR</t>
        </is>
      </c>
      <c r="L51" s="1331" t="inlineStr">
        <is>
          <t>JLR</t>
        </is>
      </c>
      <c r="M51" s="1331" t="inlineStr">
        <is>
          <t>TOTAL</t>
        </is>
      </c>
      <c r="N51" s="1331" t="inlineStr">
        <is>
          <t>Diff</t>
        </is>
      </c>
      <c r="O51" s="1332" t="n"/>
      <c r="P51" s="1332" t="n"/>
      <c r="Q51" s="1332" t="n"/>
      <c r="R51" s="1332" t="n"/>
      <c r="S51" s="1332" t="n"/>
      <c r="T51" s="1332" t="n"/>
      <c r="U51" s="1332" t="n"/>
      <c r="V51" s="1332" t="n"/>
      <c r="W51" s="1278" t="n"/>
    </row>
    <row r="52" ht="13.5" customHeight="1" s="1232">
      <c r="A52" s="1126" t="n">
        <v>46296</v>
      </c>
      <c r="B52" s="1129" t="n">
        <v>46326</v>
      </c>
      <c r="C52" s="1271" t="inlineStr">
        <is>
          <t>Deals Won - Waiting £</t>
        </is>
      </c>
      <c r="D52" s="1147">
        <f>COUNTIFS('JLR Bookings'!$V$1:$V$272, "&gt;=" &amp; A52, 'JLR Bookings'!$V$1:$V$272, "&lt;=" &amp; B52)</f>
        <v/>
      </c>
      <c r="E52" s="1131">
        <f>SUMIFS('JLR Bookings'!$Q$2:$Q$272, 'JLR Bookings'!$V$2:$V$272, "&gt;=" &amp; A52, 'JLR Bookings'!$V$2:$V$272, "&lt;=" &amp; B52)</f>
        <v/>
      </c>
      <c r="F52" s="1131">
        <f>SUMIFS('JLR Bookings'!$W$2:$W$272, 'JLR Bookings'!$V$2:$V$272, "&gt;=" &amp; A52, 'JLR Bookings'!$V$2:$V$272, "&lt;=" &amp; B52)</f>
        <v/>
      </c>
      <c r="G52" s="1152">
        <f>E52-F52</f>
        <v/>
      </c>
      <c r="H52" s="1326" t="n"/>
      <c r="I52" s="1333" t="inlineStr">
        <is>
          <t>1. Courses/masterclasses</t>
        </is>
      </c>
      <c r="J52" s="431" t="n"/>
      <c r="K52" s="432">
        <f>SUMIFS($E$192:$E$700, $C$192:$C$700, $I52, $G$192:$G$700, "&lt;&gt;JLR")</f>
        <v/>
      </c>
      <c r="L52" s="432">
        <f>SUMIFS($E$192:$E$700, $C$192:$C$700, $I52, $G$192:$G$700, "JLR")</f>
        <v/>
      </c>
      <c r="M52" s="432">
        <f>K52+L52</f>
        <v/>
      </c>
      <c r="N52" s="432">
        <f>M52-W6</f>
        <v/>
      </c>
      <c r="O52" s="432" t="n"/>
      <c r="P52" s="432" t="n"/>
      <c r="Q52" s="432" t="n"/>
      <c r="R52" s="432" t="n"/>
      <c r="S52" s="432" t="n"/>
      <c r="T52" s="432" t="n"/>
      <c r="U52" s="432" t="n"/>
      <c r="V52" s="432" t="n"/>
      <c r="W52" s="432" t="n"/>
    </row>
    <row r="53" ht="13.5" customHeight="1" s="1232">
      <c r="A53" s="1126" t="n">
        <v>46327</v>
      </c>
      <c r="B53" s="1129" t="n">
        <v>46356</v>
      </c>
      <c r="C53" s="1271" t="inlineStr">
        <is>
          <t>Deals Won - Waiting £</t>
        </is>
      </c>
      <c r="D53" s="1147">
        <f>COUNTIFS('JLR Bookings'!$V$1:$V$272, "&gt;=" &amp; A53, 'JLR Bookings'!$V$1:$V$272, "&lt;=" &amp; B53)</f>
        <v/>
      </c>
      <c r="E53" s="1131">
        <f>SUMIFS('JLR Bookings'!$Q$2:$Q$272, 'JLR Bookings'!$V$2:$V$272, "&gt;=" &amp; A53, 'JLR Bookings'!$V$2:$V$272, "&lt;=" &amp; B53)</f>
        <v/>
      </c>
      <c r="F53" s="1131">
        <f>SUMIFS('JLR Bookings'!$W$2:$W$272, 'JLR Bookings'!$V$2:$V$272, "&gt;=" &amp; A53, 'JLR Bookings'!$V$2:$V$272, "&lt;=" &amp; B53)</f>
        <v/>
      </c>
      <c r="G53" s="1152">
        <f>E53-F53</f>
        <v/>
      </c>
      <c r="H53" s="1326" t="n"/>
      <c r="I53" s="1333" t="inlineStr">
        <is>
          <t>2. Workshops Non Residential</t>
        </is>
      </c>
      <c r="J53" s="431" t="n"/>
      <c r="K53" s="432">
        <f>SUMIFS($E$192:$E$700, $C$192:$C$700, $I53, $G$192:$G$700, "&lt;&gt;JLR")</f>
        <v/>
      </c>
      <c r="L53" s="432">
        <f>SUMIFS($E$192:$E$700, $C$192:$C$700, $I53, $G$192:$G$700, "JLR")</f>
        <v/>
      </c>
      <c r="M53" s="432">
        <f>K53+L53</f>
        <v/>
      </c>
      <c r="N53" s="432">
        <f>M53-W7</f>
        <v/>
      </c>
      <c r="O53" s="432" t="n"/>
      <c r="P53" s="432" t="n"/>
      <c r="Q53" s="432" t="n"/>
      <c r="R53" s="432" t="n"/>
      <c r="S53" s="432" t="n"/>
      <c r="T53" s="432" t="n"/>
      <c r="U53" s="432" t="n"/>
      <c r="V53" s="432" t="n"/>
      <c r="W53" s="432" t="n"/>
    </row>
    <row r="54" ht="13.5" customHeight="1" s="1232">
      <c r="A54" s="1126" t="n">
        <v>46357</v>
      </c>
      <c r="B54" s="1129" t="n">
        <v>46387</v>
      </c>
      <c r="C54" s="1271" t="inlineStr">
        <is>
          <t>Deals Won - Waiting £</t>
        </is>
      </c>
      <c r="D54" s="1147">
        <f>COUNTIFS('JLR Bookings'!$V$1:$V$272, "&gt;=" &amp; A54, 'JLR Bookings'!$V$1:$V$272, "&lt;=" &amp; B54)</f>
        <v/>
      </c>
      <c r="E54" s="1131">
        <f>SUMIFS('JLR Bookings'!$Q$2:$Q$272, 'JLR Bookings'!$V$2:$V$272, "&gt;=" &amp; A54, 'JLR Bookings'!$V$2:$V$272, "&lt;=" &amp; B54)</f>
        <v/>
      </c>
      <c r="F54" s="1131">
        <f>SUMIFS('JLR Bookings'!$W$2:$W$272, 'JLR Bookings'!$V$2:$V$272, "&gt;=" &amp; A54, 'JLR Bookings'!$V$2:$V$272, "&lt;=" &amp; B54)</f>
        <v/>
      </c>
      <c r="G54" s="1152">
        <f>E54-F54</f>
        <v/>
      </c>
      <c r="H54" s="1326" t="n"/>
      <c r="I54" s="1334" t="inlineStr">
        <is>
          <t>3. Workshops Residential</t>
        </is>
      </c>
      <c r="J54" s="431" t="n"/>
      <c r="K54" s="432">
        <f>SUMIFS($E$192:$E$700, $C$192:$C$700, $I54, $G$192:$G$700, "&lt;&gt;JLR")</f>
        <v/>
      </c>
      <c r="L54" s="432">
        <f>SUMIFS($E$192:$E$700, $C$192:$C$700, $I54, $G$192:$G$700, "JLR")</f>
        <v/>
      </c>
      <c r="M54" s="432">
        <f>K54+L54</f>
        <v/>
      </c>
      <c r="N54" s="432">
        <f>M54-W8</f>
        <v/>
      </c>
      <c r="O54" s="432" t="n"/>
      <c r="P54" s="432" t="n"/>
      <c r="Q54" s="432" t="n"/>
      <c r="R54" s="432" t="n"/>
      <c r="S54" s="432" t="n"/>
      <c r="T54" s="432" t="n"/>
      <c r="U54" s="432" t="n"/>
      <c r="V54" s="432" t="n"/>
      <c r="W54" s="432" t="n"/>
    </row>
    <row r="55" ht="13.5" customHeight="1" s="1232">
      <c r="A55" s="1126" t="n">
        <v>46388</v>
      </c>
      <c r="B55" s="1129" t="n">
        <v>46418</v>
      </c>
      <c r="C55" s="1271" t="inlineStr">
        <is>
          <t>Deals Won - Waiting £</t>
        </is>
      </c>
      <c r="D55" s="1147">
        <f>COUNTIFS('JLR Bookings'!$V$1:$V$272, "&gt;=" &amp; A55, 'JLR Bookings'!$V$1:$V$272, "&lt;=" &amp; B55)</f>
        <v/>
      </c>
      <c r="E55" s="1131">
        <f>SUMIFS('JLR Bookings'!$Q$2:$Q$272, 'JLR Bookings'!$V$2:$V$272, "&gt;=" &amp; A55, 'JLR Bookings'!$V$2:$V$272, "&lt;=" &amp; B55)</f>
        <v/>
      </c>
      <c r="F55" s="1131">
        <f>SUMIFS('JLR Bookings'!$W$2:$W$272, 'JLR Bookings'!$V$2:$V$272, "&gt;=" &amp; A55, 'JLR Bookings'!$V$2:$V$272, "&lt;=" &amp; B55)</f>
        <v/>
      </c>
      <c r="G55" s="1152">
        <f>E55-F55</f>
        <v/>
      </c>
      <c r="H55" s="1326" t="n"/>
      <c r="I55" s="1333" t="inlineStr">
        <is>
          <t>4. Pick n Mix Inc</t>
        </is>
      </c>
      <c r="J55" s="431" t="n"/>
      <c r="K55" s="432">
        <f>SUMIFS($E$192:$E$700, $C$192:$C$700, $I55, $G$192:$G$700, "&lt;&gt;JLR")</f>
        <v/>
      </c>
      <c r="L55" s="432">
        <f>SUMIFS($E$192:$E$700, $C$192:$C$700, $I55, $G$192:$G$700, "JLR")</f>
        <v/>
      </c>
      <c r="M55" s="432">
        <f>K55+L55</f>
        <v/>
      </c>
      <c r="N55" s="432">
        <f>M55-W9</f>
        <v/>
      </c>
      <c r="O55" s="432" t="n"/>
      <c r="P55" s="432" t="n"/>
      <c r="Q55" s="432" t="n"/>
      <c r="R55" s="432" t="n"/>
      <c r="S55" s="432" t="n"/>
      <c r="T55" s="432" t="n"/>
      <c r="U55" s="432" t="n"/>
      <c r="V55" s="432" t="n"/>
      <c r="W55" s="432" t="n"/>
    </row>
    <row r="56" ht="13.5" customHeight="1" s="1232">
      <c r="A56" s="1126" t="n">
        <v>46419</v>
      </c>
      <c r="B56" s="1129" t="n">
        <v>46446</v>
      </c>
      <c r="C56" s="1271" t="inlineStr">
        <is>
          <t>Deals Won - Waiting £</t>
        </is>
      </c>
      <c r="D56" s="1147">
        <f>COUNTIFS('JLR Bookings'!$V$1:$V$272, "&gt;=" &amp; A56, 'JLR Bookings'!$V$1:$V$272, "&lt;=" &amp; B56)</f>
        <v/>
      </c>
      <c r="E56" s="1131">
        <f>SUMIFS('JLR Bookings'!$Q$2:$Q$272, 'JLR Bookings'!$V$2:$V$272, "&gt;=" &amp; A56, 'JLR Bookings'!$V$2:$V$272, "&lt;=" &amp; B56)</f>
        <v/>
      </c>
      <c r="F56" s="1131">
        <f>SUMIFS('JLR Bookings'!$W$2:$W$272, 'JLR Bookings'!$V$2:$V$272, "&gt;=" &amp; A56, 'JLR Bookings'!$V$2:$V$272, "&lt;=" &amp; B56)</f>
        <v/>
      </c>
      <c r="G56" s="1152">
        <f>E56-F56</f>
        <v/>
      </c>
      <c r="H56" s="1326" t="n"/>
      <c r="I56" s="1333" t="inlineStr">
        <is>
          <t>5. Pick n Mix Out</t>
        </is>
      </c>
      <c r="J56" s="431" t="n"/>
      <c r="K56" s="432">
        <f>SUMIFS($E$192:$E$700, $C$192:$C$700, $I56, $G$192:$G$700, "&lt;&gt;JLR")</f>
        <v/>
      </c>
      <c r="L56" s="432">
        <f>SUMIFS($E$192:$E$700, $C$192:$C$700, $I56, $G$192:$G$700, "JLR")</f>
        <v/>
      </c>
      <c r="M56" s="432">
        <f>K56+L56</f>
        <v/>
      </c>
      <c r="N56" s="432">
        <f>M56-W10</f>
        <v/>
      </c>
      <c r="O56" s="432" t="n"/>
      <c r="P56" s="432" t="n"/>
      <c r="Q56" s="432" t="n"/>
      <c r="R56" s="432" t="n"/>
      <c r="S56" s="432" t="n"/>
      <c r="T56" s="432" t="n"/>
      <c r="U56" s="432" t="n"/>
      <c r="V56" s="432" t="n"/>
      <c r="W56" s="432" t="n"/>
    </row>
    <row r="57" ht="13.5" customHeight="1" s="1232">
      <c r="A57" s="1126" t="n">
        <v>46447</v>
      </c>
      <c r="B57" s="1129" t="n">
        <v>46477</v>
      </c>
      <c r="C57" s="1271" t="inlineStr">
        <is>
          <t>Deals Won - Waiting £</t>
        </is>
      </c>
      <c r="D57" s="1147">
        <f>COUNTIFS('JLR Bookings'!$V$1:$V$272, "&gt;=" &amp; A57, 'JLR Bookings'!$V$1:$V$272, "&lt;=" &amp; B57)</f>
        <v/>
      </c>
      <c r="E57" s="1131">
        <f>SUMIFS('JLR Bookings'!$Q$2:$Q$272, 'JLR Bookings'!$V$2:$V$272, "&gt;=" &amp; A57, 'JLR Bookings'!$V$2:$V$272, "&lt;=" &amp; B57)</f>
        <v/>
      </c>
      <c r="F57" s="1131">
        <f>SUMIFS('JLR Bookings'!$W$2:$W$272, 'JLR Bookings'!$V$2:$V$272, "&gt;=" &amp; A57, 'JLR Bookings'!$V$2:$V$272, "&lt;=" &amp; B57)</f>
        <v/>
      </c>
      <c r="G57" s="1152">
        <f>E57-F57</f>
        <v/>
      </c>
      <c r="H57" s="1326" t="n"/>
      <c r="I57" s="1333" t="inlineStr">
        <is>
          <t>6. Mentoring</t>
        </is>
      </c>
      <c r="J57" s="431" t="n"/>
      <c r="K57" s="432">
        <f>SUMIFS($E$192:$E$700, $C$192:$C$700, $I57, $G$192:$G$700, "&lt;&gt;JLR")</f>
        <v/>
      </c>
      <c r="L57" s="432">
        <f>SUMIFS($E$192:$E$700, $C$192:$C$700, $I57, $G$192:$G$700, "JLR")</f>
        <v/>
      </c>
      <c r="M57" s="432">
        <f>K57+L57</f>
        <v/>
      </c>
      <c r="N57" s="432">
        <f>M57-W11</f>
        <v/>
      </c>
      <c r="O57" s="432" t="n"/>
      <c r="P57" s="432" t="n"/>
      <c r="Q57" s="432" t="n"/>
      <c r="R57" s="432" t="n"/>
      <c r="S57" s="432" t="n"/>
      <c r="T57" s="432" t="n"/>
      <c r="U57" s="432" t="n"/>
      <c r="V57" s="432" t="n"/>
      <c r="W57" s="432" t="n"/>
    </row>
    <row r="58" ht="13.5" customHeight="1" s="1232">
      <c r="A58" s="1126" t="n">
        <v>46478</v>
      </c>
      <c r="B58" s="1129" t="n">
        <v>46507</v>
      </c>
      <c r="C58" s="1271" t="inlineStr">
        <is>
          <t>Deals Won - Waiting £</t>
        </is>
      </c>
      <c r="D58" s="1147">
        <f>COUNTIFS('JLR Bookings'!$V$1:$V$272, "&gt;=" &amp; A58, 'JLR Bookings'!$V$1:$V$272, "&lt;=" &amp; B58)</f>
        <v/>
      </c>
      <c r="E58" s="1131">
        <f>SUMIFS('JLR Bookings'!$Q$2:$Q$272, 'JLR Bookings'!$V$2:$V$272, "&gt;=" &amp; A58, 'JLR Bookings'!$V$2:$V$272, "&lt;=" &amp; B58)</f>
        <v/>
      </c>
      <c r="F58" s="1131">
        <f>SUMIFS('JLR Bookings'!$W$2:$W$272, 'JLR Bookings'!$V$2:$V$272, "&gt;=" &amp; A58, 'JLR Bookings'!$V$2:$V$272, "&lt;=" &amp; B58)</f>
        <v/>
      </c>
      <c r="G58" s="1152">
        <f>E58-F58</f>
        <v/>
      </c>
      <c r="H58" s="1326" t="n"/>
      <c r="I58" s="1334" t="inlineStr">
        <is>
          <t>7. 1-2-1</t>
        </is>
      </c>
      <c r="J58" s="431" t="n"/>
      <c r="K58" s="432">
        <f>SUMIFS($E$192:$E$700, $C$192:$C$700, $I58, $G$192:$G$700, "&lt;&gt;JLR")</f>
        <v/>
      </c>
      <c r="L58" s="432">
        <f>SUMIFS($E$192:$E$700, $C$192:$C$700, $I58, $G$192:$G$700, "JLR")</f>
        <v/>
      </c>
      <c r="M58" s="432">
        <f>K58+L58</f>
        <v/>
      </c>
      <c r="N58" s="432">
        <f>M58-W12</f>
        <v/>
      </c>
      <c r="O58" s="432" t="n"/>
      <c r="P58" s="432" t="n"/>
      <c r="Q58" s="432" t="n"/>
      <c r="R58" s="432" t="n"/>
      <c r="S58" s="432" t="n"/>
      <c r="T58" s="432" t="n"/>
      <c r="U58" s="432" t="n"/>
      <c r="V58" s="432" t="n"/>
      <c r="W58" s="432" t="n"/>
    </row>
    <row r="59" ht="13.5" customHeight="1" s="1232">
      <c r="A59" s="1126" t="n">
        <v>46508</v>
      </c>
      <c r="B59" s="1129" t="n">
        <v>46538</v>
      </c>
      <c r="C59" s="1271" t="inlineStr">
        <is>
          <t>Deals Won - Waiting £</t>
        </is>
      </c>
      <c r="D59" s="1147">
        <f>COUNTIFS('JLR Bookings'!$V$1:$V$272, "&gt;=" &amp; A59, 'JLR Bookings'!$V$1:$V$272, "&lt;=" &amp; B59)</f>
        <v/>
      </c>
      <c r="E59" s="1131">
        <f>SUMIFS('JLR Bookings'!$Q$2:$Q$272, 'JLR Bookings'!$V$2:$V$272, "&gt;=" &amp; A59, 'JLR Bookings'!$V$2:$V$272, "&lt;=" &amp; B59)</f>
        <v/>
      </c>
      <c r="F59" s="1131">
        <f>SUMIFS('JLR Bookings'!$W$2:$W$272, 'JLR Bookings'!$V$2:$V$272, "&gt;=" &amp; A59, 'JLR Bookings'!$V$2:$V$272, "&lt;=" &amp; B59)</f>
        <v/>
      </c>
      <c r="G59" s="1152">
        <f>E59-F59</f>
        <v/>
      </c>
      <c r="H59" s="1326" t="n"/>
      <c r="I59" s="1334" t="inlineStr">
        <is>
          <t>8. Gift Vouchers Inc</t>
        </is>
      </c>
      <c r="J59" s="431" t="n"/>
      <c r="K59" s="432">
        <f>SUMIFS($E$192:$E$700, $C$192:$C$700, $I59, $G$192:$G$700, "&lt;&gt;JLR")</f>
        <v/>
      </c>
      <c r="L59" s="432">
        <f>SUMIFS($E$192:$E$700, $C$192:$C$700, $I59, $G$192:$G$700, "JLR")</f>
        <v/>
      </c>
      <c r="M59" s="432">
        <f>K59+L59</f>
        <v/>
      </c>
      <c r="N59" s="432">
        <f>M59-W13</f>
        <v/>
      </c>
      <c r="O59" s="432" t="n"/>
      <c r="P59" s="432" t="n"/>
      <c r="Q59" s="432" t="n"/>
      <c r="R59" s="432" t="n"/>
      <c r="S59" s="432" t="n"/>
      <c r="T59" s="432" t="n"/>
      <c r="U59" s="432" t="n"/>
      <c r="V59" s="432" t="n"/>
      <c r="W59" s="432" t="n"/>
    </row>
    <row r="60" ht="13.5" customHeight="1" s="1232">
      <c r="A60" s="1126" t="n">
        <v>46539</v>
      </c>
      <c r="B60" s="1129" t="n">
        <v>46568</v>
      </c>
      <c r="C60" s="1271" t="inlineStr">
        <is>
          <t>Deals Won - Waiting £</t>
        </is>
      </c>
      <c r="D60" s="1147">
        <f>COUNTIFS('JLR Bookings'!$V$1:$V$272, "&gt;=" &amp; A60, 'JLR Bookings'!$V$1:$V$272, "&lt;=" &amp; B60)</f>
        <v/>
      </c>
      <c r="E60" s="1131">
        <f>SUMIFS('JLR Bookings'!$Q$2:$Q$272, 'JLR Bookings'!$V$2:$V$272, "&gt;=" &amp; A60, 'JLR Bookings'!$V$2:$V$272, "&lt;=" &amp; B60)</f>
        <v/>
      </c>
      <c r="F60" s="1131">
        <f>SUMIFS('JLR Bookings'!$W$2:$W$272, 'JLR Bookings'!$V$2:$V$272, "&gt;=" &amp; A60, 'JLR Bookings'!$V$2:$V$272, "&lt;=" &amp; B60)</f>
        <v/>
      </c>
      <c r="G60" s="1152">
        <f>E60-F60</f>
        <v/>
      </c>
      <c r="H60" s="1326" t="n"/>
      <c r="I60" s="1334" t="inlineStr">
        <is>
          <t>9. Gift Vouchers Out</t>
        </is>
      </c>
      <c r="J60" s="431" t="n"/>
      <c r="K60" s="432">
        <f>SUMIFS($E$192:$E$700, $C$192:$C$700, $I60, $G$192:$G$700, "&lt;&gt;JLR")</f>
        <v/>
      </c>
      <c r="L60" s="432">
        <f>SUMIFS($E$192:$E$700, $C$192:$C$700, $I60, $G$192:$G$700, "JLR")</f>
        <v/>
      </c>
      <c r="M60" s="432">
        <f>K60+L60</f>
        <v/>
      </c>
      <c r="N60" s="432">
        <f>M60-W14</f>
        <v/>
      </c>
      <c r="O60" s="432" t="n"/>
      <c r="P60" s="432" t="n"/>
      <c r="Q60" s="432" t="n"/>
      <c r="R60" s="432" t="n"/>
      <c r="S60" s="432" t="n"/>
      <c r="T60" s="432" t="n"/>
      <c r="U60" s="432" t="n"/>
      <c r="V60" s="432" t="n"/>
      <c r="W60" s="432" t="n"/>
    </row>
    <row r="61" ht="13.5" customHeight="1" s="1232">
      <c r="A61" s="1126" t="n">
        <v>46569</v>
      </c>
      <c r="B61" s="1129" t="n">
        <v>46599</v>
      </c>
      <c r="C61" s="1271" t="inlineStr">
        <is>
          <t>Deals Won - Waiting £</t>
        </is>
      </c>
      <c r="D61" s="1147">
        <f>COUNTIFS('JLR Bookings'!$V$1:$V$272, "&gt;=" &amp; A61, 'JLR Bookings'!$V$1:$V$272, "&lt;=" &amp; B61)</f>
        <v/>
      </c>
      <c r="E61" s="1131">
        <f>SUMIFS('JLR Bookings'!$Q$2:$Q$272, 'JLR Bookings'!$V$2:$V$272, "&gt;=" &amp; A61, 'JLR Bookings'!$V$2:$V$272, "&lt;=" &amp; B61)</f>
        <v/>
      </c>
      <c r="F61" s="1131">
        <f>SUMIFS('JLR Bookings'!$W$2:$W$272, 'JLR Bookings'!$V$2:$V$272, "&gt;=" &amp; A61, 'JLR Bookings'!$V$2:$V$272, "&lt;=" &amp; B61)</f>
        <v/>
      </c>
      <c r="G61" s="1152">
        <f>E61-F61</f>
        <v/>
      </c>
      <c r="H61" s="1326">
        <f>G66+F66-E66</f>
        <v/>
      </c>
      <c r="I61" s="1334" t="inlineStr">
        <is>
          <t>10. Prints &amp; Royalties</t>
        </is>
      </c>
      <c r="J61" s="431" t="n"/>
      <c r="K61" s="432">
        <f>SUMIFS($E$192:$E$700, $C$192:$C$700, $I61, $G$192:$G$700, "&lt;&gt;JLR")</f>
        <v/>
      </c>
      <c r="L61" s="432">
        <f>SUMIFS($E$192:$E$700, $C$192:$C$700, $I61, $G$192:$G$700, "JLR")</f>
        <v/>
      </c>
      <c r="M61" s="432">
        <f>K61+L61</f>
        <v/>
      </c>
      <c r="N61" s="432">
        <f>M61-W15</f>
        <v/>
      </c>
      <c r="O61" s="432" t="n"/>
      <c r="P61" s="432" t="n"/>
      <c r="Q61" s="432" t="n"/>
      <c r="R61" s="432" t="n"/>
      <c r="S61" s="432" t="n"/>
      <c r="T61" s="432" t="n"/>
      <c r="U61" s="432" t="n"/>
      <c r="V61" s="432" t="n"/>
      <c r="W61" s="432" t="n"/>
    </row>
    <row r="62" ht="13.5" customHeight="1" s="1232">
      <c r="A62" s="1126" t="n">
        <v>46600</v>
      </c>
      <c r="B62" s="1129" t="n">
        <v>46630</v>
      </c>
      <c r="C62" s="1271" t="inlineStr">
        <is>
          <t>Deals Won - Waiting £</t>
        </is>
      </c>
      <c r="D62" s="1147">
        <f>COUNTIFS('JLR Bookings'!$V$1:$V$272, "&gt;=" &amp; A62, 'JLR Bookings'!$V$1:$V$272, "&lt;=" &amp; B62)</f>
        <v/>
      </c>
      <c r="E62" s="1131">
        <f>SUMIFS('JLR Bookings'!$Q$2:$Q$272, 'JLR Bookings'!$V$2:$V$272, "&gt;=" &amp; A62, 'JLR Bookings'!$V$2:$V$272, "&lt;=" &amp; B62)</f>
        <v/>
      </c>
      <c r="F62" s="1131">
        <f>SUMIFS('JLR Bookings'!$W$2:$W$272, 'JLR Bookings'!$V$2:$V$272, "&gt;=" &amp; A62, 'JLR Bookings'!$V$2:$V$272, "&lt;=" &amp; B62)</f>
        <v/>
      </c>
      <c r="G62" s="1152">
        <f>E62-F62</f>
        <v/>
      </c>
      <c r="H62" s="1326" t="n"/>
      <c r="I62" s="1334" t="inlineStr">
        <is>
          <t>11 Commissions</t>
        </is>
      </c>
      <c r="J62" s="431" t="n"/>
      <c r="K62" s="432">
        <f>SUMIFS($E$192:$E$700, $C$192:$C$700, $I62, $G$192:$G$700, "&lt;&gt;JLR")</f>
        <v/>
      </c>
      <c r="L62" s="432">
        <f>SUMIFS($E$192:$E$700, $C$192:$C$700, $I62, $G$192:$G$700, "JLR")</f>
        <v/>
      </c>
      <c r="M62" s="432">
        <f>K62+L62</f>
        <v/>
      </c>
      <c r="N62" s="432">
        <f>M62-W16</f>
        <v/>
      </c>
      <c r="O62" s="432" t="n"/>
      <c r="P62" s="432" t="n"/>
      <c r="Q62" s="432" t="n"/>
      <c r="R62" s="432" t="n"/>
      <c r="S62" s="432" t="n"/>
      <c r="T62" s="432" t="n"/>
      <c r="U62" s="432" t="n"/>
      <c r="V62" s="432" t="n"/>
      <c r="W62" s="432" t="n"/>
    </row>
    <row r="63" ht="14.25" customHeight="1" s="1232" thickBot="1">
      <c r="A63" s="1126" t="n">
        <v>46631</v>
      </c>
      <c r="B63" s="1129" t="n">
        <v>46660</v>
      </c>
      <c r="C63" s="1271" t="inlineStr">
        <is>
          <t>Deals Won - Waiting £</t>
        </is>
      </c>
      <c r="D63" s="1147">
        <f>COUNTIFS('JLR Bookings'!$V$1:$V$272, "&gt;=" &amp; A63, 'JLR Bookings'!$V$1:$V$272, "&lt;=" &amp; B63)</f>
        <v/>
      </c>
      <c r="E63" s="1131">
        <f>SUMIFS('JLR Bookings'!$Q$2:$Q$272, 'JLR Bookings'!$V$2:$V$272, "&gt;=" &amp; A63, 'JLR Bookings'!$V$2:$V$272, "&lt;=" &amp; B63)</f>
        <v/>
      </c>
      <c r="F63" s="1131">
        <f>SUMIFS('JLR Bookings'!$W$2:$W$272, 'JLR Bookings'!$V$2:$V$272, "&gt;=" &amp; A63, 'JLR Bookings'!$V$2:$V$272, "&lt;=" &amp; B63)</f>
        <v/>
      </c>
      <c r="G63" s="1152">
        <f>E63-F63</f>
        <v/>
      </c>
      <c r="H63" s="1326" t="n"/>
      <c r="I63" s="1289" t="inlineStr">
        <is>
          <t>12. Academy</t>
        </is>
      </c>
      <c r="J63" s="431" t="n"/>
      <c r="K63" s="432">
        <f>SUMIFS($E$192:$E$700, $C$192:$C$700, $I63, $G$192:$G$700, "&lt;&gt;JLR")</f>
        <v/>
      </c>
      <c r="L63" s="432">
        <f>SUMIFS($E$192:$E$700, $C$192:$C$700, $I63, $G$192:$G$700, "JLR")</f>
        <v/>
      </c>
      <c r="M63" s="432">
        <f>K63+L63</f>
        <v/>
      </c>
      <c r="N63" s="432">
        <f>M63-W17</f>
        <v/>
      </c>
      <c r="O63" s="432" t="n"/>
      <c r="P63" s="432" t="n"/>
      <c r="Q63" s="432" t="n"/>
      <c r="R63" s="432" t="n"/>
      <c r="S63" s="432" t="n"/>
      <c r="T63" s="432" t="n"/>
      <c r="U63" s="432" t="n"/>
      <c r="V63" s="432" t="n"/>
      <c r="W63" s="432" t="n"/>
    </row>
    <row r="64" ht="14.65" customHeight="1" s="1232" thickBot="1" thickTop="1">
      <c r="A64" s="1126" t="n">
        <v>46661</v>
      </c>
      <c r="B64" s="1129" t="n">
        <v>46691</v>
      </c>
      <c r="C64" s="1271" t="inlineStr">
        <is>
          <t>Deals Won - Waiting £</t>
        </is>
      </c>
      <c r="D64" s="1147">
        <f>COUNTIFS('JLR Bookings'!$V$1:$V$272, "&gt;=" &amp; A64, 'JLR Bookings'!$V$1:$V$272, "&lt;=" &amp; B64)</f>
        <v/>
      </c>
      <c r="E64" s="1131">
        <f>SUMIFS('JLR Bookings'!$Q$2:$Q$272, 'JLR Bookings'!$V$2:$V$272, "&gt;=" &amp; A64, 'JLR Bookings'!$V$2:$V$272, "&lt;=" &amp; B64)</f>
        <v/>
      </c>
      <c r="F64" s="1131">
        <f>SUMIFS('JLR Bookings'!$W$2:$W$272, 'JLR Bookings'!$V$2:$V$272, "&gt;=" &amp; A64, 'JLR Bookings'!$V$2:$V$272, "&lt;=" &amp; B64)</f>
        <v/>
      </c>
      <c r="G64" s="1152">
        <f>E64-F64</f>
        <v/>
      </c>
      <c r="H64" s="1326" t="n"/>
      <c r="I64" s="1335" t="inlineStr">
        <is>
          <t>Totals</t>
        </is>
      </c>
      <c r="J64" s="438" t="n"/>
      <c r="K64" s="587">
        <f>SUM(K52:K63)</f>
        <v/>
      </c>
      <c r="L64" s="587">
        <f>SUM(L52:L63)</f>
        <v/>
      </c>
      <c r="M64" s="587">
        <f>SUM(M52:M63)</f>
        <v/>
      </c>
      <c r="N64" s="587">
        <f>SUM(N52:N63)</f>
        <v/>
      </c>
      <c r="O64" s="587" t="n"/>
      <c r="P64" s="587" t="n"/>
      <c r="Q64" s="587" t="n"/>
      <c r="R64" s="587" t="n"/>
      <c r="S64" s="587" t="n"/>
      <c r="T64" s="587" t="n"/>
      <c r="U64" s="587" t="n"/>
      <c r="V64" s="587" t="n"/>
      <c r="W64" s="789" t="n"/>
    </row>
    <row r="65" ht="13.9" customHeight="1" s="1232" thickTop="1">
      <c r="A65" s="1323" t="n"/>
      <c r="B65" s="1324" t="n"/>
      <c r="C65" s="1271" t="n"/>
      <c r="D65" s="1153" t="n"/>
      <c r="E65" s="558" t="n"/>
      <c r="F65" s="558" t="n"/>
      <c r="G65" s="1323" t="n"/>
      <c r="H65" s="1326" t="n"/>
    </row>
    <row r="66" ht="14.65" customHeight="1" s="1232">
      <c r="A66" s="1323" t="n"/>
      <c r="B66" s="1324" t="n"/>
      <c r="C66" s="1271" t="n"/>
      <c r="D66" s="1154">
        <f>SUM(D48:D64)</f>
        <v/>
      </c>
      <c r="E66" s="1154">
        <f>SUM(E48:E64)</f>
        <v/>
      </c>
      <c r="F66" s="1154">
        <f>SUM(F48:F64)</f>
        <v/>
      </c>
      <c r="G66" s="1154">
        <f>SUM(G48:G64)</f>
        <v/>
      </c>
      <c r="H66" s="1326" t="n"/>
    </row>
    <row r="67" ht="15" customHeight="1" s="1232">
      <c r="A67" s="1323" t="n"/>
      <c r="B67" s="1324" t="n"/>
      <c r="C67" s="1271" t="n"/>
      <c r="D67" s="1153" t="n"/>
      <c r="E67" s="558" t="n"/>
      <c r="F67" s="558" t="n"/>
      <c r="G67" s="1323" t="n"/>
      <c r="H67" s="1326" t="n"/>
      <c r="I67" s="1336" t="inlineStr">
        <is>
          <t>Tuition Categories</t>
        </is>
      </c>
      <c r="J67" s="1330" t="inlineStr">
        <is>
          <t>Variance to 2025</t>
        </is>
      </c>
      <c r="K67" s="1332" t="inlineStr">
        <is>
          <t>Jan</t>
        </is>
      </c>
      <c r="L67" s="1332" t="inlineStr">
        <is>
          <t>Feb</t>
        </is>
      </c>
      <c r="M67" s="1332" t="inlineStr">
        <is>
          <t>Mar</t>
        </is>
      </c>
      <c r="N67" s="1332" t="inlineStr">
        <is>
          <t>Apr</t>
        </is>
      </c>
      <c r="O67" s="1332" t="inlineStr">
        <is>
          <t>May</t>
        </is>
      </c>
      <c r="P67" s="1332" t="inlineStr">
        <is>
          <t>Jun</t>
        </is>
      </c>
      <c r="Q67" s="1332" t="inlineStr">
        <is>
          <t>Jul</t>
        </is>
      </c>
      <c r="R67" s="1332" t="inlineStr">
        <is>
          <t>Aug</t>
        </is>
      </c>
      <c r="S67" s="1332" t="inlineStr">
        <is>
          <t>Sep</t>
        </is>
      </c>
      <c r="T67" s="1332" t="inlineStr">
        <is>
          <t>Oct</t>
        </is>
      </c>
      <c r="U67" s="1332" t="inlineStr">
        <is>
          <t>Nov</t>
        </is>
      </c>
      <c r="V67" s="1332" t="inlineStr">
        <is>
          <t>Dec</t>
        </is>
      </c>
      <c r="W67" s="1278" t="inlineStr">
        <is>
          <t>Year</t>
        </is>
      </c>
    </row>
    <row r="68" ht="13.5" customHeight="1" s="1232">
      <c r="A68" s="1323" t="n"/>
      <c r="B68" s="1324" t="n"/>
      <c r="C68" s="1271" t="n"/>
      <c r="D68" s="1153" t="n"/>
      <c r="E68" s="558" t="n"/>
      <c r="F68" s="558" t="n"/>
      <c r="G68" s="1323" t="n"/>
      <c r="H68" s="1326" t="n"/>
      <c r="I68" s="1333" t="inlineStr">
        <is>
          <t>1. Courses/masterclasses</t>
        </is>
      </c>
      <c r="J68" s="431" t="n"/>
      <c r="K68" s="432">
        <f>K6-'Sales 2025'!K6</f>
        <v/>
      </c>
      <c r="L68" s="432">
        <f>L6-'Sales 2025'!L6</f>
        <v/>
      </c>
      <c r="M68" s="432">
        <f>M6-'Sales 2025'!M6</f>
        <v/>
      </c>
      <c r="N68" s="432">
        <f>N6-'Sales 2025'!N6</f>
        <v/>
      </c>
      <c r="O68" s="432">
        <f>O6-'Sales 2025'!O6</f>
        <v/>
      </c>
      <c r="P68" s="432">
        <f>P6-'Sales 2025'!P6</f>
        <v/>
      </c>
      <c r="Q68" s="432">
        <f>Q6-'Sales 2025'!Q6</f>
        <v/>
      </c>
      <c r="R68" s="432">
        <f>R6-'Sales 2025'!R6</f>
        <v/>
      </c>
      <c r="S68" s="432">
        <f>S6-'Sales 2025'!S6</f>
        <v/>
      </c>
      <c r="T68" s="432">
        <f>T6-'Sales 2025'!T6</f>
        <v/>
      </c>
      <c r="U68" s="432">
        <f>U6-'Sales 2025'!U6</f>
        <v/>
      </c>
      <c r="V68" s="432">
        <f>V6-'Sales 2025'!V6</f>
        <v/>
      </c>
      <c r="W68" s="432">
        <f>SUM(K68:V68)</f>
        <v/>
      </c>
      <c r="X68" s="445">
        <f>W68/'Sales 2023'!W6</f>
        <v/>
      </c>
    </row>
    <row r="69" ht="13.5" customHeight="1" s="1232">
      <c r="A69" s="1323" t="n"/>
      <c r="B69" s="1324" t="n"/>
      <c r="C69" s="1337" t="n"/>
      <c r="D69" s="1338" t="n"/>
      <c r="E69" s="1338" t="n"/>
      <c r="F69" s="1126" t="n"/>
      <c r="G69" s="1323" t="n"/>
      <c r="H69" s="1326" t="n"/>
      <c r="I69" s="1333" t="inlineStr">
        <is>
          <t>2. Workshops Non Residential</t>
        </is>
      </c>
      <c r="J69" s="431" t="n"/>
      <c r="K69" s="432">
        <f>K7-'Sales 2025'!K7</f>
        <v/>
      </c>
      <c r="L69" s="432">
        <f>L7-'Sales 2025'!L7</f>
        <v/>
      </c>
      <c r="M69" s="432">
        <f>M7-'Sales 2025'!M7</f>
        <v/>
      </c>
      <c r="N69" s="432">
        <f>N7-'Sales 2025'!N7</f>
        <v/>
      </c>
      <c r="O69" s="432">
        <f>O7-'Sales 2025'!O7</f>
        <v/>
      </c>
      <c r="P69" s="432">
        <f>P7-'Sales 2025'!P7</f>
        <v/>
      </c>
      <c r="Q69" s="432">
        <f>Q7-'Sales 2025'!Q7</f>
        <v/>
      </c>
      <c r="R69" s="432">
        <f>R7-'Sales 2025'!R7</f>
        <v/>
      </c>
      <c r="S69" s="432">
        <f>S7-'Sales 2025'!S7</f>
        <v/>
      </c>
      <c r="T69" s="432">
        <f>T7-'Sales 2025'!T7</f>
        <v/>
      </c>
      <c r="U69" s="432">
        <f>U7-'Sales 2025'!U7</f>
        <v/>
      </c>
      <c r="V69" s="432">
        <f>V7-'Sales 2025'!V7</f>
        <v/>
      </c>
      <c r="W69" s="432">
        <f>SUM(K69:V69)</f>
        <v/>
      </c>
      <c r="X69" s="445">
        <f>W69/'Sales 2023'!W7</f>
        <v/>
      </c>
    </row>
    <row r="70" ht="13.5" customHeight="1" s="1232">
      <c r="A70" s="1323" t="n"/>
      <c r="B70" s="1323" t="n"/>
      <c r="C70" s="1337" t="n"/>
      <c r="D70" s="1325" t="n"/>
      <c r="E70" s="1338" t="n"/>
      <c r="F70" s="1126" t="n"/>
      <c r="G70" s="1323" t="n"/>
      <c r="H70" s="1326" t="n"/>
      <c r="I70" s="1334" t="inlineStr">
        <is>
          <t>3. Workshops Residential</t>
        </is>
      </c>
      <c r="J70" s="431" t="n"/>
      <c r="K70" s="432">
        <f>K8-'Sales 2025'!K8</f>
        <v/>
      </c>
      <c r="L70" s="432">
        <f>L8-'Sales 2025'!L8</f>
        <v/>
      </c>
      <c r="M70" s="432">
        <f>M8-'Sales 2025'!M8</f>
        <v/>
      </c>
      <c r="N70" s="432">
        <f>N8-'Sales 2025'!N8</f>
        <v/>
      </c>
      <c r="O70" s="432">
        <f>O8-'Sales 2025'!O8</f>
        <v/>
      </c>
      <c r="P70" s="432">
        <f>P8-'Sales 2025'!P8</f>
        <v/>
      </c>
      <c r="Q70" s="432">
        <f>Q8-'Sales 2025'!Q8</f>
        <v/>
      </c>
      <c r="R70" s="432">
        <f>R8-'Sales 2025'!R8</f>
        <v/>
      </c>
      <c r="S70" s="432">
        <f>S8-'Sales 2025'!S8</f>
        <v/>
      </c>
      <c r="T70" s="432">
        <f>T8-'Sales 2025'!T8</f>
        <v/>
      </c>
      <c r="U70" s="432">
        <f>U8-'Sales 2025'!U8</f>
        <v/>
      </c>
      <c r="V70" s="432">
        <f>V8-'Sales 2025'!V8</f>
        <v/>
      </c>
      <c r="W70" s="432">
        <f>SUM(K70:V70)</f>
        <v/>
      </c>
      <c r="X70" s="445">
        <f>W70/'Sales 2023'!W8</f>
        <v/>
      </c>
    </row>
    <row r="71" ht="13.5" customHeight="1" s="1232">
      <c r="A71" s="1323" t="n"/>
      <c r="B71" s="1323" t="n"/>
      <c r="C71" s="1337" t="n"/>
      <c r="D71" s="1325" t="n"/>
      <c r="E71" s="1338" t="n"/>
      <c r="F71" s="1126" t="n"/>
      <c r="G71" s="1323" t="n"/>
      <c r="H71" s="1326" t="n"/>
      <c r="I71" s="1333" t="inlineStr">
        <is>
          <t>4. Pick n Mix Inc</t>
        </is>
      </c>
      <c r="J71" s="431" t="n"/>
      <c r="K71" s="432">
        <f>K9-'Sales 2025'!K9</f>
        <v/>
      </c>
      <c r="L71" s="432">
        <f>L9-'Sales 2025'!L9</f>
        <v/>
      </c>
      <c r="M71" s="432">
        <f>M9-'Sales 2025'!M9</f>
        <v/>
      </c>
      <c r="N71" s="432">
        <f>N9-'Sales 2025'!N9</f>
        <v/>
      </c>
      <c r="O71" s="432">
        <f>O9-'Sales 2025'!O9</f>
        <v/>
      </c>
      <c r="P71" s="432">
        <f>P9-'Sales 2025'!P9</f>
        <v/>
      </c>
      <c r="Q71" s="432">
        <f>Q9-'Sales 2025'!Q9</f>
        <v/>
      </c>
      <c r="R71" s="432">
        <f>R9-'Sales 2025'!R9</f>
        <v/>
      </c>
      <c r="S71" s="432">
        <f>S9-'Sales 2025'!S9</f>
        <v/>
      </c>
      <c r="T71" s="432">
        <f>T9-'Sales 2025'!T9</f>
        <v/>
      </c>
      <c r="U71" s="432">
        <f>U9-'Sales 2025'!U9</f>
        <v/>
      </c>
      <c r="V71" s="432">
        <f>V9-'Sales 2025'!V9</f>
        <v/>
      </c>
      <c r="W71" s="432">
        <f>SUM(K71:V71)</f>
        <v/>
      </c>
      <c r="X71" s="445">
        <f>W71/'Sales 2023'!W8</f>
        <v/>
      </c>
    </row>
    <row r="72" ht="13.5" customHeight="1" s="1232">
      <c r="A72" s="1323" t="n"/>
      <c r="B72" s="1323" t="n"/>
      <c r="C72" s="1337" t="n"/>
      <c r="D72" s="1325" t="n"/>
      <c r="E72" s="1338" t="n"/>
      <c r="F72" s="1126" t="n"/>
      <c r="G72" s="1323" t="n"/>
      <c r="H72" s="1326" t="n"/>
      <c r="I72" s="1333" t="inlineStr">
        <is>
          <t>5. Pick n Mix Out</t>
        </is>
      </c>
      <c r="J72" s="431" t="n"/>
      <c r="K72" s="432">
        <f>K10-'Sales 2025'!K10</f>
        <v/>
      </c>
      <c r="L72" s="432">
        <f>L10-'Sales 2025'!L10</f>
        <v/>
      </c>
      <c r="M72" s="432">
        <f>M10-'Sales 2025'!M10</f>
        <v/>
      </c>
      <c r="N72" s="432">
        <f>N10-'Sales 2025'!N10</f>
        <v/>
      </c>
      <c r="O72" s="432">
        <f>O10-'Sales 2025'!O10</f>
        <v/>
      </c>
      <c r="P72" s="432">
        <f>P10-'Sales 2025'!P10</f>
        <v/>
      </c>
      <c r="Q72" s="432">
        <f>Q10-'Sales 2025'!Q10</f>
        <v/>
      </c>
      <c r="R72" s="432">
        <f>R10-'Sales 2025'!R10</f>
        <v/>
      </c>
      <c r="S72" s="432">
        <f>S10-'Sales 2025'!S10</f>
        <v/>
      </c>
      <c r="T72" s="432">
        <f>T10-'Sales 2025'!T10</f>
        <v/>
      </c>
      <c r="U72" s="432">
        <f>U10-'Sales 2025'!U10</f>
        <v/>
      </c>
      <c r="V72" s="432">
        <f>V10-'Sales 2025'!V10</f>
        <v/>
      </c>
      <c r="W72" s="432">
        <f>SUM(K72:V72)</f>
        <v/>
      </c>
      <c r="X72" s="445">
        <f>W72/'Sales 2023'!W9</f>
        <v/>
      </c>
    </row>
    <row r="73" ht="13.5" customHeight="1" s="1232">
      <c r="A73" s="1323" t="n"/>
      <c r="B73" s="1323" t="n"/>
      <c r="C73" s="1337" t="n"/>
      <c r="D73" s="1325" t="n"/>
      <c r="E73" s="1338" t="n"/>
      <c r="F73" s="1126" t="n"/>
      <c r="G73" s="1323" t="n"/>
      <c r="H73" s="1326" t="n"/>
      <c r="I73" s="1333" t="inlineStr">
        <is>
          <t>6. Mentoring</t>
        </is>
      </c>
      <c r="J73" s="431" t="n"/>
      <c r="K73" s="432">
        <f>K11-'Sales 2025'!K11</f>
        <v/>
      </c>
      <c r="L73" s="432">
        <f>L11-'Sales 2025'!L11</f>
        <v/>
      </c>
      <c r="M73" s="432">
        <f>M11-'Sales 2025'!M11</f>
        <v/>
      </c>
      <c r="N73" s="432">
        <f>N11-'Sales 2025'!N11</f>
        <v/>
      </c>
      <c r="O73" s="432">
        <f>O11-'Sales 2025'!O11</f>
        <v/>
      </c>
      <c r="P73" s="432">
        <f>P11-'Sales 2025'!P11</f>
        <v/>
      </c>
      <c r="Q73" s="432">
        <f>Q11-'Sales 2025'!Q11</f>
        <v/>
      </c>
      <c r="R73" s="432">
        <f>R11-'Sales 2025'!R11</f>
        <v/>
      </c>
      <c r="S73" s="432">
        <f>S11-'Sales 2025'!S11</f>
        <v/>
      </c>
      <c r="T73" s="432">
        <f>T11-'Sales 2025'!T11</f>
        <v/>
      </c>
      <c r="U73" s="432">
        <f>U11-'Sales 2025'!U11</f>
        <v/>
      </c>
      <c r="V73" s="432">
        <f>V11-'Sales 2025'!V11</f>
        <v/>
      </c>
      <c r="W73" s="432">
        <f>SUM(K73:V73)</f>
        <v/>
      </c>
      <c r="X73" s="445">
        <f>W73/'Sales 2023'!W10</f>
        <v/>
      </c>
    </row>
    <row r="74" ht="13.5" customHeight="1" s="1232">
      <c r="A74" s="1323" t="n"/>
      <c r="B74" s="1323" t="n"/>
      <c r="C74" s="1337" t="n"/>
      <c r="D74" s="1325" t="n"/>
      <c r="E74" s="1338" t="n"/>
      <c r="F74" s="1129" t="n"/>
      <c r="G74" s="1323" t="n"/>
      <c r="H74" s="1326" t="n"/>
      <c r="I74" s="1334" t="inlineStr">
        <is>
          <t>7. 1-2-1</t>
        </is>
      </c>
      <c r="J74" s="431" t="n"/>
      <c r="K74" s="432">
        <f>K12-'Sales 2025'!K12</f>
        <v/>
      </c>
      <c r="L74" s="432">
        <f>L12-'Sales 2025'!L12</f>
        <v/>
      </c>
      <c r="M74" s="432">
        <f>M12-'Sales 2025'!M12</f>
        <v/>
      </c>
      <c r="N74" s="432">
        <f>N12-'Sales 2025'!N12</f>
        <v/>
      </c>
      <c r="O74" s="432">
        <f>O12-'Sales 2025'!O12</f>
        <v/>
      </c>
      <c r="P74" s="432">
        <f>P12-'Sales 2025'!P12</f>
        <v/>
      </c>
      <c r="Q74" s="432">
        <f>Q12-'Sales 2025'!Q12</f>
        <v/>
      </c>
      <c r="R74" s="432">
        <f>R12-'Sales 2025'!R12</f>
        <v/>
      </c>
      <c r="S74" s="432">
        <f>S12-'Sales 2025'!S12</f>
        <v/>
      </c>
      <c r="T74" s="432">
        <f>T12-'Sales 2025'!T12</f>
        <v/>
      </c>
      <c r="U74" s="432">
        <f>U12-'Sales 2025'!U12</f>
        <v/>
      </c>
      <c r="V74" s="432">
        <f>V12-'Sales 2025'!V12</f>
        <v/>
      </c>
      <c r="W74" s="432">
        <f>SUM(K74:V74)</f>
        <v/>
      </c>
      <c r="X74" s="445">
        <f>W74/'Sales 2023'!W11</f>
        <v/>
      </c>
    </row>
    <row r="75" ht="13.5" customHeight="1" s="1232">
      <c r="A75" s="1323" t="n"/>
      <c r="B75" s="1323" t="n"/>
      <c r="C75" s="1337" t="n"/>
      <c r="D75" s="1325" t="n"/>
      <c r="E75" s="1338" t="n"/>
      <c r="F75" s="1126" t="n"/>
      <c r="G75" s="1323" t="n"/>
      <c r="H75" s="1326" t="n"/>
      <c r="I75" s="1334" t="inlineStr">
        <is>
          <t>8. Gift Vouchers Inc</t>
        </is>
      </c>
      <c r="J75" s="431" t="n"/>
      <c r="K75" s="432">
        <f>K13-'Sales 2025'!K13</f>
        <v/>
      </c>
      <c r="L75" s="432">
        <f>L13-'Sales 2025'!L13</f>
        <v/>
      </c>
      <c r="M75" s="432">
        <f>M13-'Sales 2025'!M13</f>
        <v/>
      </c>
      <c r="N75" s="432">
        <f>N13-'Sales 2025'!N13</f>
        <v/>
      </c>
      <c r="O75" s="432">
        <f>O13-'Sales 2025'!O13</f>
        <v/>
      </c>
      <c r="P75" s="432">
        <f>P13-'Sales 2025'!P13</f>
        <v/>
      </c>
      <c r="Q75" s="432">
        <f>Q13-'Sales 2025'!Q13</f>
        <v/>
      </c>
      <c r="R75" s="432">
        <f>R13-'Sales 2025'!R13</f>
        <v/>
      </c>
      <c r="S75" s="432">
        <f>S13-'Sales 2025'!S13</f>
        <v/>
      </c>
      <c r="T75" s="432">
        <f>T13-'Sales 2025'!T13</f>
        <v/>
      </c>
      <c r="U75" s="432">
        <f>U13-'Sales 2025'!U13</f>
        <v/>
      </c>
      <c r="V75" s="432">
        <f>V13-'Sales 2025'!V13</f>
        <v/>
      </c>
      <c r="W75" s="432">
        <f>SUM(K75:V75)</f>
        <v/>
      </c>
      <c r="X75" s="445">
        <f>W75/'Sales 2023'!W12</f>
        <v/>
      </c>
    </row>
    <row r="76" ht="13.5" customHeight="1" s="1232">
      <c r="A76" s="1323" t="n"/>
      <c r="B76" s="1323" t="n"/>
      <c r="C76" s="1337" t="n"/>
      <c r="D76" s="1325" t="n"/>
      <c r="E76" s="1338" t="n"/>
      <c r="F76" s="1126" t="n"/>
      <c r="G76" s="1323" t="n"/>
      <c r="H76" s="1326" t="n"/>
      <c r="I76" s="1334" t="inlineStr">
        <is>
          <t>9. Gift Vouchers Out</t>
        </is>
      </c>
      <c r="J76" s="431" t="n"/>
      <c r="K76" s="432">
        <f>K14-'Sales 2025'!K14</f>
        <v/>
      </c>
      <c r="L76" s="432">
        <f>L14-'Sales 2025'!L14</f>
        <v/>
      </c>
      <c r="M76" s="432">
        <f>M14-'Sales 2025'!M14</f>
        <v/>
      </c>
      <c r="N76" s="432">
        <f>N14-'Sales 2025'!N14</f>
        <v/>
      </c>
      <c r="O76" s="432">
        <f>O14-'Sales 2025'!O14</f>
        <v/>
      </c>
      <c r="P76" s="432">
        <f>P14-'Sales 2025'!P14</f>
        <v/>
      </c>
      <c r="Q76" s="432">
        <f>Q14-'Sales 2025'!Q14</f>
        <v/>
      </c>
      <c r="R76" s="432">
        <f>R14-'Sales 2025'!R14</f>
        <v/>
      </c>
      <c r="S76" s="432">
        <f>S14-'Sales 2025'!S14</f>
        <v/>
      </c>
      <c r="T76" s="432">
        <f>T14-'Sales 2025'!T14</f>
        <v/>
      </c>
      <c r="U76" s="432">
        <f>U14-'Sales 2025'!U14</f>
        <v/>
      </c>
      <c r="V76" s="432">
        <f>V14-'Sales 2025'!V14</f>
        <v/>
      </c>
      <c r="W76" s="432">
        <f>SUM(K76:V76)</f>
        <v/>
      </c>
      <c r="X76" s="445">
        <f>W76/'Sales 2023'!W13</f>
        <v/>
      </c>
    </row>
    <row r="77" ht="13.5" customHeight="1" s="1232">
      <c r="A77" s="1323" t="n"/>
      <c r="B77" s="1324" t="n"/>
      <c r="C77" s="1337" t="n"/>
      <c r="D77" s="1325" t="n"/>
      <c r="E77" s="1338" t="n"/>
      <c r="F77" s="1126" t="n"/>
      <c r="G77" s="1323" t="n"/>
      <c r="H77" s="1326" t="n"/>
      <c r="I77" s="1334" t="inlineStr">
        <is>
          <t>10. Prints &amp; Royalties</t>
        </is>
      </c>
      <c r="J77" s="431" t="n"/>
      <c r="K77" s="432">
        <f>K15-'Sales 2025'!K15</f>
        <v/>
      </c>
      <c r="L77" s="432">
        <f>L15-'Sales 2025'!L15</f>
        <v/>
      </c>
      <c r="M77" s="432">
        <f>M15-'Sales 2025'!M15</f>
        <v/>
      </c>
      <c r="N77" s="432">
        <f>N15-'Sales 2025'!N15</f>
        <v/>
      </c>
      <c r="O77" s="432">
        <f>O15-'Sales 2025'!O15</f>
        <v/>
      </c>
      <c r="P77" s="432">
        <f>P15-'Sales 2025'!P15</f>
        <v/>
      </c>
      <c r="Q77" s="432">
        <f>Q15-'Sales 2025'!Q15</f>
        <v/>
      </c>
      <c r="R77" s="432">
        <f>R15-'Sales 2025'!R15</f>
        <v/>
      </c>
      <c r="S77" s="432">
        <f>S15-'Sales 2025'!S15</f>
        <v/>
      </c>
      <c r="T77" s="432">
        <f>T15-'Sales 2025'!T15</f>
        <v/>
      </c>
      <c r="U77" s="432">
        <f>U15-'Sales 2025'!U15</f>
        <v/>
      </c>
      <c r="V77" s="432">
        <f>V15-'Sales 2025'!V15</f>
        <v/>
      </c>
      <c r="W77" s="432">
        <f>SUM(K77:V77)</f>
        <v/>
      </c>
      <c r="X77" s="445">
        <f>W77/'Sales 2023'!W14</f>
        <v/>
      </c>
    </row>
    <row r="78" ht="13.5" customHeight="1" s="1232">
      <c r="A78" s="1323" t="n"/>
      <c r="B78" s="1324" t="n"/>
      <c r="C78" s="1337" t="n"/>
      <c r="D78" s="1325" t="n"/>
      <c r="E78" s="1338" t="n"/>
      <c r="F78" s="1126" t="n"/>
      <c r="G78" s="1323" t="n"/>
      <c r="H78" s="1326" t="n"/>
      <c r="I78" s="1334" t="inlineStr">
        <is>
          <t>11 Commissions</t>
        </is>
      </c>
      <c r="J78" s="431" t="n"/>
      <c r="K78" s="432">
        <f>K16-'Sales 2025'!K16</f>
        <v/>
      </c>
      <c r="L78" s="432">
        <f>L16-'Sales 2025'!L16</f>
        <v/>
      </c>
      <c r="M78" s="432">
        <f>M16-'Sales 2025'!M16</f>
        <v/>
      </c>
      <c r="N78" s="432">
        <f>N16-'Sales 2025'!N16</f>
        <v/>
      </c>
      <c r="O78" s="432">
        <f>O16-'Sales 2025'!O16</f>
        <v/>
      </c>
      <c r="P78" s="432">
        <f>P16-'Sales 2025'!P16</f>
        <v/>
      </c>
      <c r="Q78" s="432">
        <f>Q16-'Sales 2025'!Q16</f>
        <v/>
      </c>
      <c r="R78" s="432">
        <f>R16-'Sales 2025'!R16</f>
        <v/>
      </c>
      <c r="S78" s="432">
        <f>S16-'Sales 2025'!S16</f>
        <v/>
      </c>
      <c r="T78" s="432">
        <f>T16-'Sales 2025'!T16</f>
        <v/>
      </c>
      <c r="U78" s="432">
        <f>U16-'Sales 2025'!U16</f>
        <v/>
      </c>
      <c r="V78" s="432">
        <f>V16-'Sales 2025'!V16</f>
        <v/>
      </c>
      <c r="W78" s="432">
        <f>SUM(K78:V78)</f>
        <v/>
      </c>
      <c r="X78" s="445">
        <f>W78/'Sales 2023'!W15</f>
        <v/>
      </c>
    </row>
    <row r="79" ht="13.9" customHeight="1" s="1232" thickBot="1">
      <c r="A79" s="1323" t="n"/>
      <c r="B79" s="1323" t="n"/>
      <c r="C79" s="1337" t="n"/>
      <c r="D79" s="1325" t="n"/>
      <c r="E79" s="1338" t="n"/>
      <c r="F79" s="1126" t="n"/>
      <c r="G79" s="1323" t="n"/>
      <c r="H79" s="1326" t="n"/>
      <c r="I79" s="1295" t="inlineStr">
        <is>
          <t>12. Academy</t>
        </is>
      </c>
      <c r="J79" s="431" t="n"/>
      <c r="K79" s="432">
        <f>K17-'Sales 2025'!K17</f>
        <v/>
      </c>
      <c r="L79" s="432">
        <f>L17-'Sales 2025'!L17</f>
        <v/>
      </c>
      <c r="M79" s="432">
        <f>M17-'Sales 2025'!M17</f>
        <v/>
      </c>
      <c r="N79" s="432">
        <f>N17-'Sales 2025'!N17</f>
        <v/>
      </c>
      <c r="O79" s="432">
        <f>O17-'Sales 2025'!O17</f>
        <v/>
      </c>
      <c r="P79" s="432">
        <f>P17-'Sales 2025'!P17</f>
        <v/>
      </c>
      <c r="Q79" s="432">
        <f>Q17-'Sales 2025'!Q17</f>
        <v/>
      </c>
      <c r="R79" s="432">
        <f>R17-'Sales 2025'!R17</f>
        <v/>
      </c>
      <c r="S79" s="432">
        <f>S17-'Sales 2025'!S17</f>
        <v/>
      </c>
      <c r="T79" s="432">
        <f>T17-'Sales 2025'!T17</f>
        <v/>
      </c>
      <c r="U79" s="432">
        <f>U17-'Sales 2025'!U17</f>
        <v/>
      </c>
      <c r="V79" s="432">
        <f>V17-'Sales 2025'!V17</f>
        <v/>
      </c>
      <c r="W79" s="432">
        <f>SUM(K79:V79)</f>
        <v/>
      </c>
      <c r="X79" s="445">
        <f>W79/'Sales 2023'!W16</f>
        <v/>
      </c>
    </row>
    <row r="80" ht="14.65" customHeight="1" s="1232" thickBot="1" thickTop="1">
      <c r="A80" s="1323" t="n"/>
      <c r="B80" s="1323" t="n"/>
      <c r="C80" s="1337" t="n"/>
      <c r="D80" s="1325" t="n"/>
      <c r="E80" s="1338" t="n"/>
      <c r="F80" s="1126" t="n"/>
      <c r="G80" s="1323" t="n"/>
      <c r="H80" s="1326" t="n"/>
      <c r="I80" s="1335" t="inlineStr">
        <is>
          <t>Totals</t>
        </is>
      </c>
      <c r="J80" s="438" t="n"/>
      <c r="K80" s="587">
        <f>SUM(K68:K79)</f>
        <v/>
      </c>
      <c r="L80" s="587">
        <f>SUM(L68:L79)</f>
        <v/>
      </c>
      <c r="M80" s="587">
        <f>SUM(M68:M79)</f>
        <v/>
      </c>
      <c r="N80" s="587">
        <f>SUM(N68:N79)</f>
        <v/>
      </c>
      <c r="O80" s="587">
        <f>SUM(O68:O79)</f>
        <v/>
      </c>
      <c r="P80" s="587">
        <f>SUM(P68:P79)</f>
        <v/>
      </c>
      <c r="Q80" s="587">
        <f>SUM(Q68:Q79)</f>
        <v/>
      </c>
      <c r="R80" s="587">
        <f>SUM(R68:R79)</f>
        <v/>
      </c>
      <c r="S80" s="587">
        <f>SUM(S68:S79)</f>
        <v/>
      </c>
      <c r="T80" s="587">
        <f>SUM(T68:T79)</f>
        <v/>
      </c>
      <c r="U80" s="587">
        <f>SUM(U68:U79)</f>
        <v/>
      </c>
      <c r="V80" s="587">
        <f>SUM(V68:V79)</f>
        <v/>
      </c>
      <c r="W80" s="432">
        <f>SUM(K80:V80)</f>
        <v/>
      </c>
      <c r="X80" s="445">
        <f>W80/'Sales 2023'!W17</f>
        <v/>
      </c>
    </row>
    <row r="81" ht="13.9" customHeight="1" s="1232" thickTop="1">
      <c r="A81" s="1323" t="n"/>
      <c r="B81" s="1323" t="n"/>
      <c r="C81" s="1337" t="n"/>
      <c r="D81" s="1325" t="n"/>
      <c r="E81" s="1338" t="n"/>
      <c r="F81" s="1126" t="n"/>
      <c r="G81" s="1323" t="n"/>
      <c r="H81" s="1326" t="n"/>
    </row>
    <row r="82" ht="13.9" customHeight="1" s="1232">
      <c r="A82" s="1323" t="n"/>
      <c r="B82" s="1323" t="n"/>
      <c r="C82" s="1337" t="n"/>
      <c r="D82" s="1325" t="n"/>
      <c r="E82" s="1338" t="n"/>
      <c r="F82" s="1126" t="n"/>
      <c r="G82" s="1323" t="n"/>
      <c r="H82" s="1326" t="n"/>
      <c r="I82" s="1336" t="inlineStr">
        <is>
          <t>Tuition Categories</t>
        </is>
      </c>
      <c r="J82" s="1330" t="inlineStr">
        <is>
          <t>Units</t>
        </is>
      </c>
      <c r="K82" s="1332" t="inlineStr">
        <is>
          <t>Jan</t>
        </is>
      </c>
      <c r="L82" s="1332" t="inlineStr">
        <is>
          <t>Feb</t>
        </is>
      </c>
      <c r="M82" s="1332" t="inlineStr">
        <is>
          <t>Mar</t>
        </is>
      </c>
      <c r="N82" s="1332" t="inlineStr">
        <is>
          <t>Apr</t>
        </is>
      </c>
      <c r="O82" s="1332" t="inlineStr">
        <is>
          <t>May</t>
        </is>
      </c>
      <c r="P82" s="1332" t="inlineStr">
        <is>
          <t>Jun</t>
        </is>
      </c>
      <c r="Q82" s="1332" t="inlineStr">
        <is>
          <t>Jul</t>
        </is>
      </c>
      <c r="R82" s="1332" t="inlineStr">
        <is>
          <t>Aug</t>
        </is>
      </c>
      <c r="S82" s="1332" t="inlineStr">
        <is>
          <t>Sep</t>
        </is>
      </c>
      <c r="T82" s="1332" t="inlineStr">
        <is>
          <t>Oct</t>
        </is>
      </c>
      <c r="U82" s="1332" t="inlineStr">
        <is>
          <t>Nov</t>
        </is>
      </c>
      <c r="V82" s="1332" t="inlineStr">
        <is>
          <t>Dec</t>
        </is>
      </c>
      <c r="W82" s="1332" t="inlineStr">
        <is>
          <t>Year</t>
        </is>
      </c>
    </row>
    <row r="83" ht="13.5" customHeight="1" s="1232">
      <c r="A83" s="1323" t="n"/>
      <c r="B83" s="1323" t="n"/>
      <c r="C83" s="1337" t="n"/>
      <c r="D83" s="1325" t="n"/>
      <c r="E83" s="1338" t="n"/>
      <c r="F83" s="1126" t="n"/>
      <c r="G83" s="1323" t="n"/>
      <c r="H83" s="1326" t="n"/>
      <c r="I83" s="1333" t="inlineStr">
        <is>
          <t>1. Courses/masterclasses</t>
        </is>
      </c>
      <c r="J83" s="431" t="n"/>
      <c r="K83" s="432">
        <f>COUNTIFS($A$192:$A$354,"&gt;31/12/2025",$A$192:$A$354,"&lt;1/2/2026",$C$192:$C$354,I83)</f>
        <v/>
      </c>
      <c r="L83" s="432">
        <f>COUNTIFS($A$192:$A$354,"&gt;31/1/2026",$A$192:$A$354,"&lt;1/3/2026",$C$192:$C$354,$I83)</f>
        <v/>
      </c>
      <c r="M83" s="432">
        <f>COUNTIFS($A$192:$A$354,"&gt;28/2/2026",$A$192:$A$354,"&lt;1/4/2026",$C$192:$C$354,$I83)</f>
        <v/>
      </c>
      <c r="N83" s="432">
        <f>COUNTIFS($A$192:$A$354,"&gt;31/3/2026",$A$192:$A$354,"&lt;1/5/2026",$C$192:$C$354,$I83)</f>
        <v/>
      </c>
      <c r="O83" s="432">
        <f>COUNTIFS($A$192:$A$354,"&gt;30/4/2026",$A$192:$A$354,"&lt;1/6/2026",$C$192:$C$354,$I83)</f>
        <v/>
      </c>
      <c r="P83" s="432">
        <f>COUNTIFS($A$192:$A$354,"&gt;31/5/2026",$A$192:$A$354,"&lt;1/7/2026",$C$192:$C$354,$I83)</f>
        <v/>
      </c>
      <c r="Q83" s="432">
        <f>COUNTIFS($A$192:$A$354,"&gt;30/6/2026",$A$192:$A$354,"&lt;1/8/2026",$C$192:$C$354,$I83)</f>
        <v/>
      </c>
      <c r="R83" s="432">
        <f>COUNTIFS($A$192:$A$354,"&gt;31/7/2026",$A$192:$A$354,"&lt;1/9/2026",$C$192:$C$354,$I83)</f>
        <v/>
      </c>
      <c r="S83" s="432">
        <f>COUNTIFS($A$192:$A$354,"&gt;31/8/2026",$A$192:$A$354,"&lt;1/10/2026",$C$192:$C$354,$I83)</f>
        <v/>
      </c>
      <c r="T83" s="432">
        <f>COUNTIFS($A$192:$A$354,"&gt;30/9/2026",$A$192:$A$354,"&lt;1/11/2026",$C$192:$C$354,$I83)</f>
        <v/>
      </c>
      <c r="U83" s="432">
        <f>COUNTIFS($A$192:$A$354,"&gt;31/10/2026",$A$192:$A$354,"&lt;1/12/2026",$C$192:$C$354,$I83)</f>
        <v/>
      </c>
      <c r="V83" s="432">
        <f>COUNTIFS($A$192:$A$354,"&gt;30/11/2026",$A$192:$A$354,"&lt;1/1/2027",$C$192:$C$354,$I83)</f>
        <v/>
      </c>
      <c r="W83" s="431">
        <f>SUM(K83:V83)</f>
        <v/>
      </c>
    </row>
    <row r="84" ht="13.5" customHeight="1" s="1232">
      <c r="A84" s="1323" t="n"/>
      <c r="B84" s="1323" t="n"/>
      <c r="C84" s="1337" t="n"/>
      <c r="D84" s="1325" t="n"/>
      <c r="E84" s="1338" t="n"/>
      <c r="F84" s="1126" t="n"/>
      <c r="G84" s="1323" t="n"/>
      <c r="H84" s="1326" t="n"/>
      <c r="I84" s="1333" t="inlineStr">
        <is>
          <t>2. Workshops Non Residential</t>
        </is>
      </c>
      <c r="J84" s="431" t="n"/>
      <c r="K84" s="432">
        <f>COUNTIFS($A$192:$A$354,"&gt;31/12/2025",$A$192:$A$354,"&lt;1/2/2026",$C$192:$C$354,I84)</f>
        <v/>
      </c>
      <c r="L84" s="432">
        <f>COUNTIFS($A$192:$A$354,"&gt;31/1/2026",$A$192:$A$354,"&lt;1/3/2026",$C$192:$C$354,$I84)</f>
        <v/>
      </c>
      <c r="M84" s="432">
        <f>COUNTIFS($A$192:$A$354,"&gt;28/2/2026",$A$192:$A$354,"&lt;1/4/2026",$C$192:$C$354,$I84)</f>
        <v/>
      </c>
      <c r="N84" s="432">
        <f>COUNTIFS($A$192:$A$354,"&gt;31/3/2026",$A$192:$A$354,"&lt;1/5/2026",$C$192:$C$354,$I84)</f>
        <v/>
      </c>
      <c r="O84" s="432">
        <f>COUNTIFS($A$192:$A$354,"&gt;30/4/2026",$A$192:$A$354,"&lt;1/6/2026",$C$192:$C$354,$I84)</f>
        <v/>
      </c>
      <c r="P84" s="432">
        <f>COUNTIFS($A$192:$A$354,"&gt;31/5/2026",$A$192:$A$354,"&lt;1/7/2026",$C$192:$C$354,$I84)</f>
        <v/>
      </c>
      <c r="Q84" s="432">
        <f>COUNTIFS($A$192:$A$354,"&gt;30/6/2026",$A$192:$A$354,"&lt;1/8/2026",$C$192:$C$354,$I84)</f>
        <v/>
      </c>
      <c r="R84" s="432">
        <f>COUNTIFS($A$192:$A$354,"&gt;31/7/2026",$A$192:$A$354,"&lt;1/9/2026",$C$192:$C$354,$I84)</f>
        <v/>
      </c>
      <c r="S84" s="432">
        <f>COUNTIFS($A$192:$A$354,"&gt;31/8/2026",$A$192:$A$354,"&lt;1/10/2026",$C$192:$C$354,$I84)</f>
        <v/>
      </c>
      <c r="T84" s="432">
        <f>COUNTIFS($A$192:$A$354,"&gt;30/9/2026",$A$192:$A$354,"&lt;1/11/2026",$C$192:$C$354,$I84)</f>
        <v/>
      </c>
      <c r="U84" s="432">
        <f>COUNTIFS($A$192:$A$354,"&gt;31/10/2026",$A$192:$A$354,"&lt;1/12/2026",$C$192:$C$354,$I84)</f>
        <v/>
      </c>
      <c r="V84" s="432">
        <f>COUNTIFS($A$192:$A$354,"&gt;30/11/2026",$A$192:$A$354,"&lt;1/1/2027",$C$192:$C$354,$I84)</f>
        <v/>
      </c>
      <c r="W84" s="431">
        <f>SUM(K84:V84)</f>
        <v/>
      </c>
    </row>
    <row r="85" ht="13.5" customHeight="1" s="1232">
      <c r="A85" s="1323" t="n"/>
      <c r="B85" s="1323" t="n"/>
      <c r="C85" s="1337" t="n"/>
      <c r="D85" s="1325" t="n"/>
      <c r="E85" s="1338" t="n"/>
      <c r="F85" s="1126" t="n"/>
      <c r="G85" s="1323" t="n"/>
      <c r="H85" s="1326" t="n"/>
      <c r="I85" s="1334" t="inlineStr">
        <is>
          <t>3. Workshops Residential</t>
        </is>
      </c>
      <c r="J85" s="431" t="n"/>
      <c r="K85" s="432">
        <f>COUNTIFS($A$192:$A$354,"&gt;31/12/2025",$A$192:$A$354,"&lt;1/2/2026",$C$192:$C$354,I85)</f>
        <v/>
      </c>
      <c r="L85" s="432">
        <f>COUNTIFS($A$192:$A$354,"&gt;31/1/2026",$A$192:$A$354,"&lt;1/3/2026",$C$192:$C$354,$I85)</f>
        <v/>
      </c>
      <c r="M85" s="432">
        <f>COUNTIFS($A$192:$A$354,"&gt;28/2/2026",$A$192:$A$354,"&lt;1/4/2026",$C$192:$C$354,$I85)</f>
        <v/>
      </c>
      <c r="N85" s="432">
        <f>COUNTIFS($A$192:$A$354,"&gt;31/3/2026",$A$192:$A$354,"&lt;1/5/2026",$C$192:$C$354,$I85)</f>
        <v/>
      </c>
      <c r="O85" s="432">
        <f>COUNTIFS($A$192:$A$354,"&gt;30/4/2026",$A$192:$A$354,"&lt;1/6/2026",$C$192:$C$354,$I85)</f>
        <v/>
      </c>
      <c r="P85" s="432">
        <f>COUNTIFS($A$192:$A$354,"&gt;31/5/2026",$A$192:$A$354,"&lt;1/7/2026",$C$192:$C$354,$I85)</f>
        <v/>
      </c>
      <c r="Q85" s="432">
        <f>COUNTIFS($A$192:$A$354,"&gt;30/6/2026",$A$192:$A$354,"&lt;1/8/2026",$C$192:$C$354,$I85)</f>
        <v/>
      </c>
      <c r="R85" s="432">
        <f>COUNTIFS($A$192:$A$354,"&gt;31/7/2026",$A$192:$A$354,"&lt;1/9/2026",$C$192:$C$354,$I85)</f>
        <v/>
      </c>
      <c r="S85" s="432">
        <f>COUNTIFS($A$192:$A$354,"&gt;31/8/2026",$A$192:$A$354,"&lt;1/10/2026",$C$192:$C$354,$I85)</f>
        <v/>
      </c>
      <c r="T85" s="432">
        <f>COUNTIFS($A$192:$A$354,"&gt;30/9/2026",$A$192:$A$354,"&lt;1/11/2026",$C$192:$C$354,$I85)</f>
        <v/>
      </c>
      <c r="U85" s="432">
        <f>COUNTIFS($A$192:$A$354,"&gt;31/10/2026",$A$192:$A$354,"&lt;1/12/2026",$C$192:$C$354,$I85)</f>
        <v/>
      </c>
      <c r="V85" s="432">
        <f>COUNTIFS($A$192:$A$354,"&gt;30/11/2026",$A$192:$A$354,"&lt;1/1/2027",$C$192:$C$354,$I85)</f>
        <v/>
      </c>
      <c r="W85" s="431">
        <f>SUM(K85:V85)</f>
        <v/>
      </c>
    </row>
    <row r="86" ht="13.5" customHeight="1" s="1232">
      <c r="A86" s="1323" t="n"/>
      <c r="B86" s="1323" t="n"/>
      <c r="C86" s="1337" t="n"/>
      <c r="D86" s="1325" t="n"/>
      <c r="E86" s="1338" t="n"/>
      <c r="F86" s="1126" t="n"/>
      <c r="G86" s="1323" t="n"/>
      <c r="H86" s="1326" t="n"/>
      <c r="I86" s="1333" t="inlineStr">
        <is>
          <t>4. Pick n Mix Inc</t>
        </is>
      </c>
      <c r="J86" s="431" t="n"/>
      <c r="K86" s="432">
        <f>COUNTIFS($A$192:$A$354,"&gt;31/12/2025",$A$192:$A$354,"&lt;1/2/2026",$C$192:$C$354,I86)</f>
        <v/>
      </c>
      <c r="L86" s="432">
        <f>COUNTIFS($A$192:$A$354,"&gt;31/1/2026",$A$192:$A$354,"&lt;1/3/2026",$C$192:$C$354,$I86)</f>
        <v/>
      </c>
      <c r="M86" s="432">
        <f>COUNTIFS($A$192:$A$354,"&gt;28/2/2026",$A$192:$A$354,"&lt;1/4/2026",$C$192:$C$354,$I86)</f>
        <v/>
      </c>
      <c r="N86" s="432">
        <f>COUNTIFS($A$192:$A$354,"&gt;31/3/2026",$A$192:$A$354,"&lt;1/5/2026",$C$192:$C$354,$I86)</f>
        <v/>
      </c>
      <c r="O86" s="432">
        <f>COUNTIFS($A$192:$A$354,"&gt;30/4/2026",$A$192:$A$354,"&lt;1/6/2026",$C$192:$C$354,$I86)</f>
        <v/>
      </c>
      <c r="P86" s="432">
        <f>COUNTIFS($A$192:$A$354,"&gt;31/5/2026",$A$192:$A$354,"&lt;1/7/2026",$C$192:$C$354,$I86)</f>
        <v/>
      </c>
      <c r="Q86" s="432">
        <f>COUNTIFS($A$192:$A$354,"&gt;30/6/2026",$A$192:$A$354,"&lt;1/8/2026",$C$192:$C$354,$I86)</f>
        <v/>
      </c>
      <c r="R86" s="432">
        <f>COUNTIFS($A$192:$A$354,"&gt;31/7/2026",$A$192:$A$354,"&lt;1/9/2026",$C$192:$C$354,$I86)</f>
        <v/>
      </c>
      <c r="S86" s="432">
        <f>COUNTIFS($A$192:$A$354,"&gt;31/8/2026",$A$192:$A$354,"&lt;1/10/2026",$C$192:$C$354,$I86)</f>
        <v/>
      </c>
      <c r="T86" s="432">
        <f>COUNTIFS($A$192:$A$354,"&gt;30/9/2026",$A$192:$A$354,"&lt;1/11/2026",$C$192:$C$354,$I86)</f>
        <v/>
      </c>
      <c r="U86" s="432">
        <f>COUNTIFS($A$192:$A$354,"&gt;31/10/2026",$A$192:$A$354,"&lt;1/12/2026",$C$192:$C$354,$I86)</f>
        <v/>
      </c>
      <c r="V86" s="432">
        <f>COUNTIFS($A$192:$A$354,"&gt;30/11/2026",$A$192:$A$354,"&lt;1/1/2027",$C$192:$C$354,$I86)</f>
        <v/>
      </c>
      <c r="W86" s="431">
        <f>SUM(K86:V86)</f>
        <v/>
      </c>
    </row>
    <row r="87" ht="13.5" customHeight="1" s="1232">
      <c r="A87" s="1323" t="n"/>
      <c r="B87" s="1323" t="n"/>
      <c r="C87" s="1337" t="n"/>
      <c r="D87" s="1325" t="n"/>
      <c r="E87" s="1338" t="n"/>
      <c r="F87" s="1126" t="n"/>
      <c r="G87" s="1323" t="n"/>
      <c r="H87" s="1326" t="n"/>
      <c r="I87" s="1333" t="inlineStr">
        <is>
          <t>5. Pick n Mix Out</t>
        </is>
      </c>
      <c r="J87" s="431" t="n"/>
      <c r="K87" s="432">
        <f>COUNTIFS($A$192:$A$354,"&gt;31/12/2025",$A$192:$A$354,"&lt;1/2/2026",$C$192:$C$354,I87)</f>
        <v/>
      </c>
      <c r="L87" s="432">
        <f>COUNTIFS($A$192:$A$354,"&gt;31/1/2026",$A$192:$A$354,"&lt;1/3/2026",$C$192:$C$354,$I87)</f>
        <v/>
      </c>
      <c r="M87" s="432">
        <f>COUNTIFS($A$192:$A$354,"&gt;28/2/2026",$A$192:$A$354,"&lt;1/4/2026",$C$192:$C$354,$I87)</f>
        <v/>
      </c>
      <c r="N87" s="432">
        <f>COUNTIFS($A$192:$A$354,"&gt;31/3/2026",$A$192:$A$354,"&lt;1/5/2026",$C$192:$C$354,$I87)</f>
        <v/>
      </c>
      <c r="O87" s="432">
        <f>COUNTIFS($A$192:$A$354,"&gt;30/4/2026",$A$192:$A$354,"&lt;1/6/2026",$C$192:$C$354,$I87)</f>
        <v/>
      </c>
      <c r="P87" s="432">
        <f>COUNTIFS($A$192:$A$354,"&gt;31/5/2026",$A$192:$A$354,"&lt;1/7/2026",$C$192:$C$354,$I87)</f>
        <v/>
      </c>
      <c r="Q87" s="432">
        <f>COUNTIFS($A$192:$A$354,"&gt;30/6/2026",$A$192:$A$354,"&lt;1/8/2026",$C$192:$C$354,$I87)</f>
        <v/>
      </c>
      <c r="R87" s="432">
        <f>COUNTIFS($A$192:$A$354,"&gt;31/7/2026",$A$192:$A$354,"&lt;1/9/2026",$C$192:$C$354,$I87)</f>
        <v/>
      </c>
      <c r="S87" s="432">
        <f>COUNTIFS($A$192:$A$354,"&gt;31/8/2026",$A$192:$A$354,"&lt;1/10/2026",$C$192:$C$354,$I87)</f>
        <v/>
      </c>
      <c r="T87" s="432">
        <f>COUNTIFS($A$192:$A$354,"&gt;30/9/2026",$A$192:$A$354,"&lt;1/11/2026",$C$192:$C$354,$I87)</f>
        <v/>
      </c>
      <c r="U87" s="432">
        <f>COUNTIFS($A$192:$A$354,"&gt;31/10/2026",$A$192:$A$354,"&lt;1/12/2026",$C$192:$C$354,$I87)</f>
        <v/>
      </c>
      <c r="V87" s="432">
        <f>COUNTIFS($A$192:$A$354,"&gt;30/11/2026",$A$192:$A$354,"&lt;1/1/2027",$C$192:$C$354,$I87)</f>
        <v/>
      </c>
      <c r="W87" s="431">
        <f>SUM(K87:V87)</f>
        <v/>
      </c>
    </row>
    <row r="88" ht="13.5" customHeight="1" s="1232">
      <c r="A88" s="1323" t="n"/>
      <c r="B88" s="1323" t="n"/>
      <c r="C88" s="1337" t="n"/>
      <c r="D88" s="1325" t="n"/>
      <c r="E88" s="1338" t="n"/>
      <c r="F88" s="1126" t="n"/>
      <c r="G88" s="1323" t="n"/>
      <c r="H88" s="1326" t="n"/>
      <c r="I88" s="1333" t="inlineStr">
        <is>
          <t>6. Mentoring</t>
        </is>
      </c>
      <c r="J88" s="431" t="n"/>
      <c r="K88" s="432">
        <f>COUNTIFS($A$192:$A$354,"&gt;31/12/2025",$A$192:$A$354,"&lt;1/2/2026",$C$192:$C$354,I88)</f>
        <v/>
      </c>
      <c r="L88" s="432">
        <f>COUNTIFS($A$192:$A$354,"&gt;31/1/2026",$A$192:$A$354,"&lt;1/3/2026",$C$192:$C$354,$I88)</f>
        <v/>
      </c>
      <c r="M88" s="432">
        <f>COUNTIFS($A$192:$A$354,"&gt;28/2/2026",$A$192:$A$354,"&lt;1/4/2026",$C$192:$C$354,$I88)</f>
        <v/>
      </c>
      <c r="N88" s="432">
        <f>COUNTIFS($A$192:$A$354,"&gt;31/3/2026",$A$192:$A$354,"&lt;1/5/2026",$C$192:$C$354,$I88)</f>
        <v/>
      </c>
      <c r="O88" s="432">
        <f>COUNTIFS($A$192:$A$354,"&gt;30/4/2026",$A$192:$A$354,"&lt;1/6/2026",$C$192:$C$354,$I88)</f>
        <v/>
      </c>
      <c r="P88" s="432">
        <f>COUNTIFS($A$192:$A$354,"&gt;31/5/2026",$A$192:$A$354,"&lt;1/7/2026",$C$192:$C$354,$I88)</f>
        <v/>
      </c>
      <c r="Q88" s="432">
        <f>COUNTIFS($A$192:$A$354,"&gt;30/6/2026",$A$192:$A$354,"&lt;1/8/2026",$C$192:$C$354,$I88)</f>
        <v/>
      </c>
      <c r="R88" s="432">
        <f>COUNTIFS($A$192:$A$354,"&gt;31/7/2026",$A$192:$A$354,"&lt;1/9/2026",$C$192:$C$354,$I88)</f>
        <v/>
      </c>
      <c r="S88" s="432">
        <f>COUNTIFS($A$192:$A$354,"&gt;31/8/2026",$A$192:$A$354,"&lt;1/10/2026",$C$192:$C$354,$I88)</f>
        <v/>
      </c>
      <c r="T88" s="432">
        <f>COUNTIFS($A$192:$A$354,"&gt;30/9/2026",$A$192:$A$354,"&lt;1/11/2026",$C$192:$C$354,$I88)</f>
        <v/>
      </c>
      <c r="U88" s="432">
        <f>COUNTIFS($A$192:$A$354,"&gt;31/10/2026",$A$192:$A$354,"&lt;1/12/2026",$C$192:$C$354,$I88)</f>
        <v/>
      </c>
      <c r="V88" s="432">
        <f>COUNTIFS($A$192:$A$354,"&gt;30/11/2026",$A$192:$A$354,"&lt;1/1/2027",$C$192:$C$354,$I88)</f>
        <v/>
      </c>
      <c r="W88" s="431">
        <f>SUM(K88:V88)</f>
        <v/>
      </c>
    </row>
    <row r="89" ht="13.5" customHeight="1" s="1232">
      <c r="A89" s="1323" t="n"/>
      <c r="B89" s="1323" t="n"/>
      <c r="C89" s="1337" t="n"/>
      <c r="D89" s="1325" t="n"/>
      <c r="E89" s="1338" t="n"/>
      <c r="F89" s="1126" t="n"/>
      <c r="G89" s="1323" t="n"/>
      <c r="H89" s="1326" t="n"/>
      <c r="I89" s="1334" t="inlineStr">
        <is>
          <t>7. 1-2-1</t>
        </is>
      </c>
      <c r="J89" s="431" t="n"/>
      <c r="K89" s="432">
        <f>COUNTIFS($A$192:$A$354,"&gt;31/12/2025",$A$192:$A$354,"&lt;1/2/2026",$C$192:$C$354,I89)</f>
        <v/>
      </c>
      <c r="L89" s="432">
        <f>COUNTIFS($A$192:$A$354,"&gt;31/1/2026",$A$192:$A$354,"&lt;1/3/2026",$C$192:$C$354,$I89)</f>
        <v/>
      </c>
      <c r="M89" s="432">
        <f>COUNTIFS($A$192:$A$354,"&gt;28/2/2026",$A$192:$A$354,"&lt;1/4/2026",$C$192:$C$354,$I89)</f>
        <v/>
      </c>
      <c r="N89" s="432">
        <f>COUNTIFS($A$192:$A$354,"&gt;31/3/2026",$A$192:$A$354,"&lt;1/5/2026",$C$192:$C$354,$I89)</f>
        <v/>
      </c>
      <c r="O89" s="432">
        <f>COUNTIFS($A$192:$A$354,"&gt;30/4/2026",$A$192:$A$354,"&lt;1/6/2026",$C$192:$C$354,$I89)</f>
        <v/>
      </c>
      <c r="P89" s="432">
        <f>COUNTIFS($A$192:$A$354,"&gt;31/5/2026",$A$192:$A$354,"&lt;1/7/2026",$C$192:$C$354,$I89)</f>
        <v/>
      </c>
      <c r="Q89" s="432">
        <f>COUNTIFS($A$192:$A$354,"&gt;30/6/2026",$A$192:$A$354,"&lt;1/8/2026",$C$192:$C$354,$I89)</f>
        <v/>
      </c>
      <c r="R89" s="432">
        <f>COUNTIFS($A$192:$A$354,"&gt;31/7/2026",$A$192:$A$354,"&lt;1/9/2026",$C$192:$C$354,$I89)</f>
        <v/>
      </c>
      <c r="S89" s="432">
        <f>COUNTIFS($A$192:$A$354,"&gt;31/8/2026",$A$192:$A$354,"&lt;1/10/2026",$C$192:$C$354,$I89)</f>
        <v/>
      </c>
      <c r="T89" s="432">
        <f>COUNTIFS($A$192:$A$354,"&gt;30/9/2026",$A$192:$A$354,"&lt;1/11/2026",$C$192:$C$354,$I89)</f>
        <v/>
      </c>
      <c r="U89" s="432">
        <f>COUNTIFS($A$192:$A$354,"&gt;31/10/2026",$A$192:$A$354,"&lt;1/12/2026",$C$192:$C$354,$I89)</f>
        <v/>
      </c>
      <c r="V89" s="432">
        <f>COUNTIFS($A$192:$A$354,"&gt;30/11/2026",$A$192:$A$354,"&lt;1/1/2027",$C$192:$C$354,$I89)</f>
        <v/>
      </c>
      <c r="W89" s="431">
        <f>SUM(K89:V89)</f>
        <v/>
      </c>
    </row>
    <row r="90" ht="13.5" customHeight="1" s="1232">
      <c r="A90" s="1323" t="n"/>
      <c r="B90" s="1323" t="n"/>
      <c r="C90" s="1337" t="n"/>
      <c r="D90" s="1325" t="n"/>
      <c r="E90" s="1338" t="n"/>
      <c r="F90" s="1126" t="n"/>
      <c r="G90" s="1323" t="n"/>
      <c r="H90" s="1326" t="n"/>
      <c r="I90" s="1334" t="inlineStr">
        <is>
          <t>8. Gift Vouchers Inc</t>
        </is>
      </c>
      <c r="J90" s="431" t="n"/>
      <c r="K90" s="432">
        <f>COUNTIFS($A$192:$A$354,"&gt;31/12/2025",$A$192:$A$354,"&lt;1/2/2026",$C$192:$C$354,I90)</f>
        <v/>
      </c>
      <c r="L90" s="432">
        <f>COUNTIFS($A$192:$A$354,"&gt;31/1/2026",$A$192:$A$354,"&lt;1/3/2026",$C$192:$C$354,$I90)</f>
        <v/>
      </c>
      <c r="M90" s="432">
        <f>COUNTIFS($A$192:$A$354,"&gt;28/2/2026",$A$192:$A$354,"&lt;1/4/2026",$C$192:$C$354,$I90)</f>
        <v/>
      </c>
      <c r="N90" s="432">
        <f>COUNTIFS($A$192:$A$354,"&gt;31/3/2026",$A$192:$A$354,"&lt;1/5/2026",$C$192:$C$354,$I90)</f>
        <v/>
      </c>
      <c r="O90" s="432">
        <f>COUNTIFS($A$192:$A$354,"&gt;30/4/2026",$A$192:$A$354,"&lt;1/6/2026",$C$192:$C$354,$I90)</f>
        <v/>
      </c>
      <c r="P90" s="432">
        <f>COUNTIFS($A$192:$A$354,"&gt;31/5/2026",$A$192:$A$354,"&lt;1/7/2026",$C$192:$C$354,$I90)</f>
        <v/>
      </c>
      <c r="Q90" s="432">
        <f>COUNTIFS($A$192:$A$354,"&gt;30/6/2026",$A$192:$A$354,"&lt;1/8/2026",$C$192:$C$354,$I90)</f>
        <v/>
      </c>
      <c r="R90" s="432">
        <f>COUNTIFS($A$192:$A$354,"&gt;31/7/2026",$A$192:$A$354,"&lt;1/9/2026",$C$192:$C$354,$I90)</f>
        <v/>
      </c>
      <c r="S90" s="432">
        <f>COUNTIFS($A$192:$A$354,"&gt;31/8/2026",$A$192:$A$354,"&lt;1/10/2026",$C$192:$C$354,$I90)</f>
        <v/>
      </c>
      <c r="T90" s="432">
        <f>COUNTIFS($A$192:$A$354,"&gt;30/9/2026",$A$192:$A$354,"&lt;1/11/2026",$C$192:$C$354,$I90)</f>
        <v/>
      </c>
      <c r="U90" s="432">
        <f>COUNTIFS($A$192:$A$354,"&gt;31/10/2026",$A$192:$A$354,"&lt;1/12/2026",$C$192:$C$354,$I90)</f>
        <v/>
      </c>
      <c r="V90" s="432">
        <f>COUNTIFS($A$192:$A$354,"&gt;30/11/2026",$A$192:$A$354,"&lt;1/1/2027",$C$192:$C$354,$I90)</f>
        <v/>
      </c>
      <c r="W90" s="431">
        <f>SUM(K90:V90)</f>
        <v/>
      </c>
    </row>
    <row r="91" ht="13.5" customHeight="1" s="1232">
      <c r="A91" s="1323" t="n"/>
      <c r="B91" s="1323" t="n"/>
      <c r="C91" s="1337" t="n"/>
      <c r="D91" s="1325" t="n"/>
      <c r="E91" s="1338" t="n"/>
      <c r="F91" s="1126" t="n"/>
      <c r="G91" s="1323" t="n"/>
      <c r="H91" s="1326" t="n"/>
      <c r="I91" s="1334" t="inlineStr">
        <is>
          <t>9. Gift Vouchers Out</t>
        </is>
      </c>
      <c r="J91" s="431" t="n"/>
      <c r="K91" s="432">
        <f>COUNTIFS($A$192:$A$354,"&gt;31/12/2025",$A$192:$A$354,"&lt;1/2/2026",$C$192:$C$354,I91)</f>
        <v/>
      </c>
      <c r="L91" s="432">
        <f>COUNTIFS($A$192:$A$354,"&gt;31/1/2026",$A$192:$A$354,"&lt;1/3/2026",$C$192:$C$354,$I91)</f>
        <v/>
      </c>
      <c r="M91" s="432">
        <f>COUNTIFS($A$192:$A$354,"&gt;28/2/2026",$A$192:$A$354,"&lt;1/4/2026",$C$192:$C$354,$I91)</f>
        <v/>
      </c>
      <c r="N91" s="432">
        <f>COUNTIFS($A$192:$A$354,"&gt;31/3/2026",$A$192:$A$354,"&lt;1/5/2026",$C$192:$C$354,$I91)</f>
        <v/>
      </c>
      <c r="O91" s="432">
        <f>COUNTIFS($A$192:$A$354,"&gt;30/4/2026",$A$192:$A$354,"&lt;1/6/2026",$C$192:$C$354,$I91)</f>
        <v/>
      </c>
      <c r="P91" s="432">
        <f>COUNTIFS($A$192:$A$354,"&gt;31/5/2026",$A$192:$A$354,"&lt;1/7/2026",$C$192:$C$354,$I91)</f>
        <v/>
      </c>
      <c r="Q91" s="432">
        <f>COUNTIFS($A$192:$A$354,"&gt;30/6/2026",$A$192:$A$354,"&lt;1/8/2026",$C$192:$C$354,$I91)</f>
        <v/>
      </c>
      <c r="R91" s="432">
        <f>COUNTIFS($A$192:$A$354,"&gt;31/7/2026",$A$192:$A$354,"&lt;1/9/2026",$C$192:$C$354,$I91)</f>
        <v/>
      </c>
      <c r="S91" s="432">
        <f>COUNTIFS($A$192:$A$354,"&gt;31/8/2026",$A$192:$A$354,"&lt;1/10/2026",$C$192:$C$354,$I91)</f>
        <v/>
      </c>
      <c r="T91" s="432">
        <f>COUNTIFS($A$192:$A$354,"&gt;30/9/2026",$A$192:$A$354,"&lt;1/11/2026",$C$192:$C$354,$I91)</f>
        <v/>
      </c>
      <c r="U91" s="432">
        <f>COUNTIFS($A$192:$A$354,"&gt;31/10/2026",$A$192:$A$354,"&lt;1/12/2026",$C$192:$C$354,$I91)</f>
        <v/>
      </c>
      <c r="V91" s="432">
        <f>COUNTIFS($A$192:$A$354,"&gt;30/11/2026",$A$192:$A$354,"&lt;1/1/2027",$C$192:$C$354,$I91)</f>
        <v/>
      </c>
      <c r="W91" s="431">
        <f>SUM(K91:V91)</f>
        <v/>
      </c>
    </row>
    <row r="92" ht="13.5" customHeight="1" s="1232">
      <c r="A92" s="1323" t="n"/>
      <c r="B92" s="1323" t="n"/>
      <c r="C92" s="1337" t="n"/>
      <c r="D92" s="1325" t="n"/>
      <c r="E92" s="1338" t="n"/>
      <c r="F92" s="1126" t="n"/>
      <c r="G92" s="1323" t="n"/>
      <c r="H92" s="1326" t="n"/>
      <c r="I92" s="1334" t="inlineStr">
        <is>
          <t>10. Prints &amp; Royalties</t>
        </is>
      </c>
      <c r="J92" s="431" t="n"/>
      <c r="K92" s="432">
        <f>COUNTIFS($A$192:$A$354,"&gt;31/12/2025",$A$192:$A$354,"&lt;1/2/2026",$C$192:$C$354,I92)</f>
        <v/>
      </c>
      <c r="L92" s="432">
        <f>COUNTIFS($A$192:$A$354,"&gt;31/1/2026",$A$192:$A$354,"&lt;1/3/2026",$C$192:$C$354,$I92)</f>
        <v/>
      </c>
      <c r="M92" s="432">
        <f>COUNTIFS($A$192:$A$354,"&gt;28/2/2026",$A$192:$A$354,"&lt;1/4/2026",$C$192:$C$354,$I92)</f>
        <v/>
      </c>
      <c r="N92" s="432">
        <f>COUNTIFS($A$192:$A$354,"&gt;31/3/2026",$A$192:$A$354,"&lt;1/5/2026",$C$192:$C$354,$I92)</f>
        <v/>
      </c>
      <c r="O92" s="432">
        <f>COUNTIFS($A$192:$A$354,"&gt;30/4/2026",$A$192:$A$354,"&lt;1/6/2026",$C$192:$C$354,$I92)</f>
        <v/>
      </c>
      <c r="P92" s="432">
        <f>COUNTIFS($A$192:$A$354,"&gt;31/5/2026",$A$192:$A$354,"&lt;1/7/2026",$C$192:$C$354,$I92)</f>
        <v/>
      </c>
      <c r="Q92" s="432">
        <f>COUNTIFS($A$192:$A$354,"&gt;30/6/2026",$A$192:$A$354,"&lt;1/8/2026",$C$192:$C$354,$I92)</f>
        <v/>
      </c>
      <c r="R92" s="432">
        <f>COUNTIFS($A$192:$A$354,"&gt;31/7/2026",$A$192:$A$354,"&lt;1/9/2026",$C$192:$C$354,$I92)</f>
        <v/>
      </c>
      <c r="S92" s="432">
        <f>COUNTIFS($A$192:$A$354,"&gt;31/8/2026",$A$192:$A$354,"&lt;1/10/2026",$C$192:$C$354,$I92)</f>
        <v/>
      </c>
      <c r="T92" s="432">
        <f>COUNTIFS($A$192:$A$354,"&gt;30/9/2026",$A$192:$A$354,"&lt;1/11/2026",$C$192:$C$354,$I92)</f>
        <v/>
      </c>
      <c r="U92" s="432">
        <f>COUNTIFS($A$192:$A$354,"&gt;31/10/2026",$A$192:$A$354,"&lt;1/12/2026",$C$192:$C$354,$I92)</f>
        <v/>
      </c>
      <c r="V92" s="432">
        <f>COUNTIFS($A$192:$A$354,"&gt;30/11/2026",$A$192:$A$354,"&lt;1/1/2027",$C$192:$C$354,$I92)</f>
        <v/>
      </c>
      <c r="W92" s="431">
        <f>SUM(K92:V92)</f>
        <v/>
      </c>
    </row>
    <row r="93" ht="13.5" customHeight="1" s="1232">
      <c r="A93" s="1323" t="n"/>
      <c r="B93" s="1323" t="n"/>
      <c r="C93" s="1337" t="n"/>
      <c r="D93" s="1325" t="n"/>
      <c r="E93" s="1338" t="n"/>
      <c r="F93" s="1126" t="n"/>
      <c r="G93" s="1323" t="n"/>
      <c r="H93" s="1326" t="n"/>
      <c r="I93" s="1334" t="inlineStr">
        <is>
          <t>11 Commissions</t>
        </is>
      </c>
      <c r="J93" s="431" t="n"/>
      <c r="K93" s="432">
        <f>COUNTIFS($A$192:$A$354,"&gt;31/12/2025",$A$192:$A$354,"&lt;1/2/2026",$C$192:$C$354,I93)</f>
        <v/>
      </c>
      <c r="L93" s="432">
        <f>COUNTIFS($A$192:$A$354,"&gt;31/1/2026",$A$192:$A$354,"&lt;1/3/2026",$C$192:$C$354,$I93)</f>
        <v/>
      </c>
      <c r="M93" s="432">
        <f>COUNTIFS($A$192:$A$354,"&gt;28/2/2026",$A$192:$A$354,"&lt;1/4/2026",$C$192:$C$354,$I93)</f>
        <v/>
      </c>
      <c r="N93" s="432">
        <f>COUNTIFS($A$192:$A$354,"&gt;31/3/2026",$A$192:$A$354,"&lt;1/5/2026",$C$192:$C$354,$I93)</f>
        <v/>
      </c>
      <c r="O93" s="432">
        <f>COUNTIFS($A$192:$A$354,"&gt;30/4/2026",$A$192:$A$354,"&lt;1/6/2026",$C$192:$C$354,$I93)</f>
        <v/>
      </c>
      <c r="P93" s="432">
        <f>COUNTIFS($A$192:$A$354,"&gt;31/5/2026",$A$192:$A$354,"&lt;1/7/2026",$C$192:$C$354,$I93)</f>
        <v/>
      </c>
      <c r="Q93" s="432">
        <f>COUNTIFS($A$192:$A$354,"&gt;30/6/2026",$A$192:$A$354,"&lt;1/8/2026",$C$192:$C$354,$I93)</f>
        <v/>
      </c>
      <c r="R93" s="432">
        <f>COUNTIFS($A$192:$A$354,"&gt;31/7/2026",$A$192:$A$354,"&lt;1/9/2026",$C$192:$C$354,$I93)</f>
        <v/>
      </c>
      <c r="S93" s="432">
        <f>COUNTIFS($A$192:$A$354,"&gt;31/8/2026",$A$192:$A$354,"&lt;1/10/2026",$C$192:$C$354,$I93)</f>
        <v/>
      </c>
      <c r="T93" s="432">
        <f>COUNTIFS($A$192:$A$354,"&gt;30/9/2026",$A$192:$A$354,"&lt;1/11/2026",$C$192:$C$354,$I93)</f>
        <v/>
      </c>
      <c r="U93" s="432">
        <f>COUNTIFS($A$192:$A$354,"&gt;31/10/2026",$A$192:$A$354,"&lt;1/12/2026",$C$192:$C$354,$I93)</f>
        <v/>
      </c>
      <c r="V93" s="432">
        <f>COUNTIFS($A$192:$A$354,"&gt;30/11/2026",$A$192:$A$354,"&lt;1/1/2027",$C$192:$C$354,$I93)</f>
        <v/>
      </c>
      <c r="W93" s="431">
        <f>SUM(K93:V93)</f>
        <v/>
      </c>
    </row>
    <row r="94" ht="13.5" customHeight="1" s="1232">
      <c r="A94" s="1323" t="n"/>
      <c r="B94" s="1323" t="n"/>
      <c r="C94" s="1337" t="n"/>
      <c r="D94" s="1325" t="n"/>
      <c r="E94" s="1338" t="n"/>
      <c r="F94" s="1126" t="n"/>
      <c r="G94" s="1323" t="n"/>
      <c r="H94" s="1326" t="n"/>
      <c r="I94" s="1295" t="inlineStr">
        <is>
          <t>12. Academy</t>
        </is>
      </c>
      <c r="J94" s="431" t="n"/>
      <c r="K94" s="432">
        <f>COUNTIFS($A$192:$A$354,"&gt;31/12/2025",$A$192:$A$354,"&lt;1/2/2026",$C$192:$C$354,I94)</f>
        <v/>
      </c>
      <c r="L94" s="432">
        <f>COUNTIFS($A$192:$A$354,"&gt;31/1/2026",$A$192:$A$354,"&lt;1/3/2026",$C$192:$C$354,$I94)</f>
        <v/>
      </c>
      <c r="M94" s="432">
        <f>COUNTIFS($A$192:$A$354,"&gt;28/2/2026",$A$192:$A$354,"&lt;1/4/2026",$C$192:$C$354,$I94)</f>
        <v/>
      </c>
      <c r="N94" s="432">
        <f>COUNTIFS($A$192:$A$354,"&gt;31/3/2026",$A$192:$A$354,"&lt;1/5/2026",$C$192:$C$354,$I94)</f>
        <v/>
      </c>
      <c r="O94" s="432">
        <f>COUNTIFS($A$192:$A$354,"&gt;30/4/2026",$A$192:$A$354,"&lt;1/6/2026",$C$192:$C$354,$I94)</f>
        <v/>
      </c>
      <c r="P94" s="432">
        <f>COUNTIFS($A$192:$A$354,"&gt;31/5/2026",$A$192:$A$354,"&lt;1/7/2026",$C$192:$C$354,$I94)</f>
        <v/>
      </c>
      <c r="Q94" s="432">
        <f>COUNTIFS($A$192:$A$354,"&gt;30/6/2026",$A$192:$A$354,"&lt;1/8/2026",$C$192:$C$354,$I94)</f>
        <v/>
      </c>
      <c r="R94" s="432">
        <f>COUNTIFS($A$192:$A$354,"&gt;31/7/2026",$A$192:$A$354,"&lt;1/9/2026",$C$192:$C$354,$I94)</f>
        <v/>
      </c>
      <c r="S94" s="432">
        <f>COUNTIFS($A$192:$A$354,"&gt;31/8/2026",$A$192:$A$354,"&lt;1/10/2026",$C$192:$C$354,$I94)</f>
        <v/>
      </c>
      <c r="T94" s="432">
        <f>COUNTIFS($A$192:$A$354,"&gt;30/9/2026",$A$192:$A$354,"&lt;1/11/2026",$C$192:$C$354,$I94)</f>
        <v/>
      </c>
      <c r="U94" s="432">
        <f>COUNTIFS($A$192:$A$354,"&gt;31/10/2026",$A$192:$A$354,"&lt;1/12/2026",$C$192:$C$354,$I94)</f>
        <v/>
      </c>
      <c r="V94" s="432">
        <f>COUNTIFS($A$192:$A$354,"&gt;30/11/2026",$A$192:$A$354,"&lt;1/1/2027",$C$192:$C$354,$I94)</f>
        <v/>
      </c>
      <c r="W94" s="431">
        <f>SUM(K94:V94)</f>
        <v/>
      </c>
    </row>
    <row r="95" ht="14.25" customHeight="1" s="1232" thickBot="1">
      <c r="A95" s="1323" t="n"/>
      <c r="B95" s="1324" t="n"/>
      <c r="C95" s="1337" t="n"/>
      <c r="D95" s="1325" t="n"/>
      <c r="E95" s="1338" t="n"/>
      <c r="F95" s="1126" t="n"/>
      <c r="G95" s="1323" t="n"/>
      <c r="H95" s="1326" t="n"/>
      <c r="I95" s="1339" t="inlineStr">
        <is>
          <t>Totals</t>
        </is>
      </c>
      <c r="J95" s="829" t="n"/>
      <c r="K95" s="915">
        <f>SUM(K83:K94)</f>
        <v/>
      </c>
      <c r="L95" s="915">
        <f>SUM(L83:L94)</f>
        <v/>
      </c>
      <c r="M95" s="915">
        <f>SUM(M83:M94)</f>
        <v/>
      </c>
      <c r="N95" s="915">
        <f>SUM(N83:N94)</f>
        <v/>
      </c>
      <c r="O95" s="915">
        <f>SUM(O83:O94)</f>
        <v/>
      </c>
      <c r="P95" s="915">
        <f>SUM(P83:P94)</f>
        <v/>
      </c>
      <c r="Q95" s="915">
        <f>SUM(Q83:Q94)</f>
        <v/>
      </c>
      <c r="R95" s="915">
        <f>SUM(R83:R94)</f>
        <v/>
      </c>
      <c r="S95" s="915">
        <f>SUM(S83:S94)</f>
        <v/>
      </c>
      <c r="T95" s="915">
        <f>SUM(T83:T94)</f>
        <v/>
      </c>
      <c r="U95" s="915">
        <f>SUM(U83:U94)</f>
        <v/>
      </c>
      <c r="V95" s="915">
        <f>SUM(V83:V94)</f>
        <v/>
      </c>
      <c r="W95" s="829">
        <f>SUM(W83:W94)</f>
        <v/>
      </c>
    </row>
    <row r="96" ht="13.9" customHeight="1" s="1232" thickTop="1">
      <c r="A96" s="1323" t="n"/>
      <c r="B96" s="1323" t="n"/>
      <c r="C96" s="1337" t="n"/>
      <c r="D96" s="1325" t="n"/>
      <c r="E96" s="1338" t="n"/>
      <c r="F96" s="1126" t="n"/>
      <c r="G96" s="1323" t="n"/>
      <c r="H96" s="1326" t="n"/>
    </row>
    <row r="97" ht="13.9" customHeight="1" s="1232">
      <c r="A97" s="1323" t="n"/>
      <c r="B97" s="1323" t="n"/>
      <c r="C97" s="1337" t="n"/>
      <c r="D97" s="1325" t="n"/>
      <c r="E97" s="1338" t="n"/>
      <c r="F97" s="1126" t="n"/>
      <c r="G97" s="1323" t="n"/>
      <c r="H97" s="1326" t="n"/>
      <c r="I97" s="1336" t="inlineStr">
        <is>
          <t>Tuition Categories</t>
        </is>
      </c>
      <c r="J97" s="1330" t="inlineStr">
        <is>
          <t>Avg PPU</t>
        </is>
      </c>
      <c r="K97" s="1332" t="inlineStr">
        <is>
          <t>Jan</t>
        </is>
      </c>
      <c r="L97" s="1332" t="inlineStr">
        <is>
          <t>Feb</t>
        </is>
      </c>
      <c r="M97" s="1332" t="inlineStr">
        <is>
          <t>Mar</t>
        </is>
      </c>
      <c r="N97" s="1332" t="inlineStr">
        <is>
          <t>Apr</t>
        </is>
      </c>
      <c r="O97" s="1332" t="inlineStr">
        <is>
          <t>May</t>
        </is>
      </c>
      <c r="P97" s="1332" t="inlineStr">
        <is>
          <t>Jun</t>
        </is>
      </c>
      <c r="Q97" s="1332" t="inlineStr">
        <is>
          <t>Jul</t>
        </is>
      </c>
      <c r="R97" s="1332" t="inlineStr">
        <is>
          <t>Aug</t>
        </is>
      </c>
      <c r="S97" s="1332" t="inlineStr">
        <is>
          <t>Sep</t>
        </is>
      </c>
      <c r="T97" s="1332" t="inlineStr">
        <is>
          <t>Oct</t>
        </is>
      </c>
      <c r="U97" s="1332" t="inlineStr">
        <is>
          <t>Nov</t>
        </is>
      </c>
      <c r="V97" s="1332" t="inlineStr">
        <is>
          <t>Dec</t>
        </is>
      </c>
      <c r="W97" s="1332" t="inlineStr">
        <is>
          <t>Year</t>
        </is>
      </c>
    </row>
    <row r="98" ht="13.5" customHeight="1" s="1232">
      <c r="A98" s="1323" t="n"/>
      <c r="B98" s="1323" t="n"/>
      <c r="C98" s="1337" t="n"/>
      <c r="D98" s="1325" t="n"/>
      <c r="E98" s="1338" t="n"/>
      <c r="F98" s="1126" t="n"/>
      <c r="G98" s="1323" t="n"/>
      <c r="H98" s="1326" t="n"/>
      <c r="I98" s="1333" t="inlineStr">
        <is>
          <t>1. Courses/masterclasses</t>
        </is>
      </c>
      <c r="J98" s="431" t="n"/>
      <c r="K98" s="432">
        <f>IFERROR(K6/K83,0)</f>
        <v/>
      </c>
      <c r="L98" s="432">
        <f>IFERROR(L6/L83,0)</f>
        <v/>
      </c>
      <c r="M98" s="432">
        <f>IFERROR(M6/M83,0)</f>
        <v/>
      </c>
      <c r="N98" s="432">
        <f>IFERROR(N6/N83,0)</f>
        <v/>
      </c>
      <c r="O98" s="432">
        <f>IFERROR(O6/O83,0)</f>
        <v/>
      </c>
      <c r="P98" s="432">
        <f>IFERROR(P6/P83,0)</f>
        <v/>
      </c>
      <c r="Q98" s="432">
        <f>IFERROR(Q6/Q83,0)</f>
        <v/>
      </c>
      <c r="R98" s="432">
        <f>IFERROR(R6/R83,0)</f>
        <v/>
      </c>
      <c r="S98" s="432">
        <f>IFERROR(S6/S83,0)</f>
        <v/>
      </c>
      <c r="T98" s="432">
        <f>IFERROR(T6/T83,0)</f>
        <v/>
      </c>
      <c r="U98" s="432">
        <f>IFERROR(U6/U83,0)</f>
        <v/>
      </c>
      <c r="V98" s="432">
        <f>IFERROR(V6/V83,0)</f>
        <v/>
      </c>
      <c r="W98" s="431">
        <f>IFERROR(W6/W83,0)</f>
        <v/>
      </c>
    </row>
    <row r="99" ht="13.5" customHeight="1" s="1232">
      <c r="A99" s="1323" t="n"/>
      <c r="B99" s="1323" t="n"/>
      <c r="C99" s="1337" t="n"/>
      <c r="D99" s="1325" t="n"/>
      <c r="E99" s="1338" t="n"/>
      <c r="F99" s="1126" t="n"/>
      <c r="G99" s="1323" t="n"/>
      <c r="H99" s="1326" t="n"/>
      <c r="I99" s="1333" t="inlineStr">
        <is>
          <t>2. Workshops Non Residential</t>
        </is>
      </c>
      <c r="J99" s="431" t="n"/>
      <c r="K99" s="432">
        <f>IFERROR(K7/K84,0)</f>
        <v/>
      </c>
      <c r="L99" s="432">
        <f>IFERROR(L7/L84,0)</f>
        <v/>
      </c>
      <c r="M99" s="432">
        <f>IFERROR(M7/M84,0)</f>
        <v/>
      </c>
      <c r="N99" s="432">
        <f>IFERROR(N7/N84,0)</f>
        <v/>
      </c>
      <c r="O99" s="432">
        <f>IFERROR(O7/O84,0)</f>
        <v/>
      </c>
      <c r="P99" s="432">
        <f>IFERROR(P7/P84,0)</f>
        <v/>
      </c>
      <c r="Q99" s="432">
        <f>IFERROR(Q7/Q84,0)</f>
        <v/>
      </c>
      <c r="R99" s="432">
        <f>IFERROR(R7/R84,0)</f>
        <v/>
      </c>
      <c r="S99" s="432">
        <f>IFERROR(S7/S84,0)</f>
        <v/>
      </c>
      <c r="T99" s="432">
        <f>IFERROR(T7/T84,0)</f>
        <v/>
      </c>
      <c r="U99" s="432">
        <f>IFERROR(U7/U84,0)</f>
        <v/>
      </c>
      <c r="V99" s="432">
        <f>IFERROR(V7/V84,0)</f>
        <v/>
      </c>
      <c r="W99" s="431">
        <f>IFERROR(W7/W84,0)</f>
        <v/>
      </c>
    </row>
    <row r="100" ht="13.5" customHeight="1" s="1232">
      <c r="A100" s="1323" t="n"/>
      <c r="B100" s="1323" t="n"/>
      <c r="C100" s="1337" t="n"/>
      <c r="D100" s="1325" t="n"/>
      <c r="E100" s="1338" t="n"/>
      <c r="F100" s="1126" t="n"/>
      <c r="G100" s="1323" t="n"/>
      <c r="H100" s="1326" t="n"/>
      <c r="I100" s="1334" t="inlineStr">
        <is>
          <t>3. Workshops Residential</t>
        </is>
      </c>
      <c r="J100" s="431" t="n"/>
      <c r="K100" s="432">
        <f>IFERROR(K8/K85,0)</f>
        <v/>
      </c>
      <c r="L100" s="432">
        <f>IFERROR(L8/L85,0)</f>
        <v/>
      </c>
      <c r="M100" s="432">
        <f>IFERROR(M8/M85,0)</f>
        <v/>
      </c>
      <c r="N100" s="432">
        <f>IFERROR(N8/N85,0)</f>
        <v/>
      </c>
      <c r="O100" s="432">
        <f>IFERROR(O8/O85,0)</f>
        <v/>
      </c>
      <c r="P100" s="432">
        <f>IFERROR(P8/P85,0)</f>
        <v/>
      </c>
      <c r="Q100" s="432">
        <f>IFERROR(Q8/Q85,0)</f>
        <v/>
      </c>
      <c r="R100" s="432">
        <f>IFERROR(R8/R85,0)</f>
        <v/>
      </c>
      <c r="S100" s="432">
        <f>IFERROR(S8/S85,0)</f>
        <v/>
      </c>
      <c r="T100" s="432">
        <f>IFERROR(T8/T85,0)</f>
        <v/>
      </c>
      <c r="U100" s="432">
        <f>IFERROR(U8/U85,0)</f>
        <v/>
      </c>
      <c r="V100" s="432">
        <f>IFERROR(V8/V85,0)</f>
        <v/>
      </c>
      <c r="W100" s="431">
        <f>IFERROR(W8/W85,0)</f>
        <v/>
      </c>
    </row>
    <row r="101" ht="13.5" customHeight="1" s="1232">
      <c r="A101" s="1323" t="n"/>
      <c r="B101" s="1323" t="n"/>
      <c r="C101" s="1337" t="n"/>
      <c r="D101" s="1325" t="n"/>
      <c r="E101" s="1338" t="n"/>
      <c r="F101" s="1126" t="n"/>
      <c r="G101" s="1323" t="n"/>
      <c r="H101" s="1326" t="n"/>
      <c r="I101" s="1333" t="inlineStr">
        <is>
          <t>4. Pick n Mix Inc</t>
        </is>
      </c>
      <c r="J101" s="431" t="n"/>
      <c r="K101" s="432">
        <f>IFERROR(K9/K86,0)</f>
        <v/>
      </c>
      <c r="L101" s="432">
        <f>IFERROR(L9/L86,0)</f>
        <v/>
      </c>
      <c r="M101" s="432">
        <f>IFERROR(M9/M86,0)</f>
        <v/>
      </c>
      <c r="N101" s="432">
        <f>IFERROR(N9/N86,0)</f>
        <v/>
      </c>
      <c r="O101" s="432">
        <f>IFERROR(O9/O86,0)</f>
        <v/>
      </c>
      <c r="P101" s="432">
        <f>IFERROR(P9/P86,0)</f>
        <v/>
      </c>
      <c r="Q101" s="432">
        <f>IFERROR(Q9/Q86,0)</f>
        <v/>
      </c>
      <c r="R101" s="432">
        <f>IFERROR(R9/R86,0)</f>
        <v/>
      </c>
      <c r="S101" s="432">
        <f>IFERROR(S9/S86,0)</f>
        <v/>
      </c>
      <c r="T101" s="432">
        <f>IFERROR(T9/T86,0)</f>
        <v/>
      </c>
      <c r="U101" s="432">
        <f>IFERROR(U9/U86,0)</f>
        <v/>
      </c>
      <c r="V101" s="432">
        <f>IFERROR(V9/V86,0)</f>
        <v/>
      </c>
      <c r="W101" s="431">
        <f>IFERROR(W9/W86,0)</f>
        <v/>
      </c>
    </row>
    <row r="102" ht="13.5" customHeight="1" s="1232">
      <c r="A102" s="1323" t="n"/>
      <c r="B102" s="1323" t="n"/>
      <c r="C102" s="1337" t="n"/>
      <c r="D102" s="1325" t="n"/>
      <c r="E102" s="1338" t="n"/>
      <c r="F102" s="1126" t="n"/>
      <c r="G102" s="1323" t="n"/>
      <c r="H102" s="1326" t="n"/>
      <c r="I102" s="1333" t="inlineStr">
        <is>
          <t>5. Pick n Mix Out</t>
        </is>
      </c>
      <c r="J102" s="431" t="n"/>
      <c r="K102" s="432">
        <f>IFERROR(K10/K87,0)</f>
        <v/>
      </c>
      <c r="L102" s="432">
        <f>IFERROR(L10/L87,0)</f>
        <v/>
      </c>
      <c r="M102" s="432">
        <f>IFERROR(M10/M87,0)</f>
        <v/>
      </c>
      <c r="N102" s="432">
        <f>IFERROR(N10/N87,0)</f>
        <v/>
      </c>
      <c r="O102" s="432">
        <f>IFERROR(O10/O87,0)</f>
        <v/>
      </c>
      <c r="P102" s="432">
        <f>IFERROR(P10/P87,0)</f>
        <v/>
      </c>
      <c r="Q102" s="432">
        <f>IFERROR(Q10/Q87,0)</f>
        <v/>
      </c>
      <c r="R102" s="432">
        <f>IFERROR(R10/R87,0)</f>
        <v/>
      </c>
      <c r="S102" s="432">
        <f>IFERROR(S10/S87,0)</f>
        <v/>
      </c>
      <c r="T102" s="432">
        <f>IFERROR(T10/T87,0)</f>
        <v/>
      </c>
      <c r="U102" s="432">
        <f>IFERROR(U10/U87,0)</f>
        <v/>
      </c>
      <c r="V102" s="432">
        <f>IFERROR(V10/V87,0)</f>
        <v/>
      </c>
      <c r="W102" s="431">
        <f>IFERROR(W10/W87,0)</f>
        <v/>
      </c>
    </row>
    <row r="103" ht="13.5" customHeight="1" s="1232">
      <c r="A103" s="1323" t="n"/>
      <c r="B103" s="1323" t="n"/>
      <c r="C103" s="1337" t="n"/>
      <c r="D103" s="1325" t="n"/>
      <c r="E103" s="1338" t="n"/>
      <c r="F103" s="1126" t="n"/>
      <c r="G103" s="1323" t="n"/>
      <c r="H103" s="1326" t="n"/>
      <c r="I103" s="1333" t="inlineStr">
        <is>
          <t>6. Mentoring</t>
        </is>
      </c>
      <c r="J103" s="431" t="n"/>
      <c r="K103" s="432">
        <f>IFERROR(K11/K88,0)</f>
        <v/>
      </c>
      <c r="L103" s="432">
        <f>IFERROR(L11/L88,0)</f>
        <v/>
      </c>
      <c r="M103" s="432">
        <f>IFERROR(M11/M88,0)</f>
        <v/>
      </c>
      <c r="N103" s="432">
        <f>IFERROR(N11/N88,0)</f>
        <v/>
      </c>
      <c r="O103" s="432">
        <f>IFERROR(O11/O88,0)</f>
        <v/>
      </c>
      <c r="P103" s="432">
        <f>IFERROR(P11/P88,0)</f>
        <v/>
      </c>
      <c r="Q103" s="432">
        <f>IFERROR(Q11/Q88,0)</f>
        <v/>
      </c>
      <c r="R103" s="432">
        <f>IFERROR(R11/R88,0)</f>
        <v/>
      </c>
      <c r="S103" s="432">
        <f>IFERROR(S11/S88,0)</f>
        <v/>
      </c>
      <c r="T103" s="432">
        <f>IFERROR(T11/T88,0)</f>
        <v/>
      </c>
      <c r="U103" s="432">
        <f>IFERROR(U11/U88,0)</f>
        <v/>
      </c>
      <c r="V103" s="432">
        <f>IFERROR(V11/V88,0)</f>
        <v/>
      </c>
      <c r="W103" s="431">
        <f>IFERROR(W11/W88,0)</f>
        <v/>
      </c>
    </row>
    <row r="104" ht="13.5" customHeight="1" s="1232">
      <c r="A104" s="1323" t="n"/>
      <c r="B104" s="1323" t="n"/>
      <c r="C104" s="1337" t="n"/>
      <c r="D104" s="1325" t="n"/>
      <c r="E104" s="1338" t="n"/>
      <c r="F104" s="1126" t="n"/>
      <c r="G104" s="1323" t="n"/>
      <c r="H104" s="1326" t="n"/>
      <c r="I104" s="1334" t="inlineStr">
        <is>
          <t>7. 1-2-1</t>
        </is>
      </c>
      <c r="J104" s="431" t="n"/>
      <c r="K104" s="432">
        <f>IFERROR(K12/K89,0)</f>
        <v/>
      </c>
      <c r="L104" s="432">
        <f>IFERROR(L12/L89,0)</f>
        <v/>
      </c>
      <c r="M104" s="432">
        <f>IFERROR(M12/M89,0)</f>
        <v/>
      </c>
      <c r="N104" s="432">
        <f>IFERROR(N12/N89,0)</f>
        <v/>
      </c>
      <c r="O104" s="432">
        <f>IFERROR(O12/O89,0)</f>
        <v/>
      </c>
      <c r="P104" s="432">
        <f>IFERROR(P12/P89,0)</f>
        <v/>
      </c>
      <c r="Q104" s="432">
        <f>IFERROR(Q12/Q89,0)</f>
        <v/>
      </c>
      <c r="R104" s="432">
        <f>IFERROR(R12/R89,0)</f>
        <v/>
      </c>
      <c r="S104" s="432">
        <f>IFERROR(S12/S89,0)</f>
        <v/>
      </c>
      <c r="T104" s="432">
        <f>IFERROR(T12/T89,0)</f>
        <v/>
      </c>
      <c r="U104" s="432">
        <f>IFERROR(U12/U89,0)</f>
        <v/>
      </c>
      <c r="V104" s="432">
        <f>IFERROR(V12/V89,0)</f>
        <v/>
      </c>
      <c r="W104" s="431">
        <f>IFERROR(W12/W89,0)</f>
        <v/>
      </c>
    </row>
    <row r="105" ht="13.5" customHeight="1" s="1232">
      <c r="A105" s="1323" t="n"/>
      <c r="B105" s="1323" t="n"/>
      <c r="C105" s="1337" t="n"/>
      <c r="D105" s="1325" t="n"/>
      <c r="E105" s="1338" t="n"/>
      <c r="F105" s="1126" t="n"/>
      <c r="G105" s="1323" t="n"/>
      <c r="H105" s="1326" t="n"/>
      <c r="I105" s="1334" t="inlineStr">
        <is>
          <t>8. Gift Vouchers Inc</t>
        </is>
      </c>
      <c r="J105" s="431" t="n"/>
      <c r="K105" s="432">
        <f>IFERROR(K13/K90,0)</f>
        <v/>
      </c>
      <c r="L105" s="432">
        <f>IFERROR(L13/L90,0)</f>
        <v/>
      </c>
      <c r="M105" s="432">
        <f>IFERROR(M13/M90,0)</f>
        <v/>
      </c>
      <c r="N105" s="432">
        <f>IFERROR(N13/N90,0)</f>
        <v/>
      </c>
      <c r="O105" s="432">
        <f>IFERROR(O13/O90,0)</f>
        <v/>
      </c>
      <c r="P105" s="432">
        <f>IFERROR(P13/P90,0)</f>
        <v/>
      </c>
      <c r="Q105" s="432">
        <f>IFERROR(Q13/Q90,0)</f>
        <v/>
      </c>
      <c r="R105" s="432">
        <f>IFERROR(R13/R90,0)</f>
        <v/>
      </c>
      <c r="S105" s="432">
        <f>IFERROR(S13/S90,0)</f>
        <v/>
      </c>
      <c r="T105" s="432">
        <f>IFERROR(T13/T90,0)</f>
        <v/>
      </c>
      <c r="U105" s="432">
        <f>IFERROR(U13/U90,0)</f>
        <v/>
      </c>
      <c r="V105" s="432">
        <f>IFERROR(V13/V90,0)</f>
        <v/>
      </c>
      <c r="W105" s="431">
        <f>IFERROR(W13/W90,0)</f>
        <v/>
      </c>
    </row>
    <row r="106" ht="13.5" customHeight="1" s="1232">
      <c r="A106" s="1323" t="n"/>
      <c r="B106" s="1323" t="n"/>
      <c r="C106" s="1337" t="n"/>
      <c r="D106" s="1325" t="n"/>
      <c r="E106" s="1338" t="n"/>
      <c r="F106" s="1126" t="n"/>
      <c r="G106" s="1323" t="n"/>
      <c r="H106" s="1326" t="n"/>
      <c r="I106" s="1334" t="inlineStr">
        <is>
          <t>9. Gift Vouchers Out</t>
        </is>
      </c>
      <c r="J106" s="431" t="n"/>
      <c r="K106" s="432">
        <f>IFERROR(K14/K91,0)</f>
        <v/>
      </c>
      <c r="L106" s="432">
        <f>IFERROR(L14/L91,0)</f>
        <v/>
      </c>
      <c r="M106" s="432">
        <f>IFERROR(M14/M91,0)</f>
        <v/>
      </c>
      <c r="N106" s="432">
        <f>IFERROR(N14/N91,0)</f>
        <v/>
      </c>
      <c r="O106" s="432">
        <f>IFERROR(O14/O91,0)</f>
        <v/>
      </c>
      <c r="P106" s="432">
        <f>IFERROR(P14/P91,0)</f>
        <v/>
      </c>
      <c r="Q106" s="432">
        <f>IFERROR(Q14/Q91,0)</f>
        <v/>
      </c>
      <c r="R106" s="432">
        <f>IFERROR(R14/R91,0)</f>
        <v/>
      </c>
      <c r="S106" s="432">
        <f>IFERROR(S14/S91,0)</f>
        <v/>
      </c>
      <c r="T106" s="432">
        <f>IFERROR(T14/T91,0)</f>
        <v/>
      </c>
      <c r="U106" s="432">
        <f>IFERROR(U14/U91,0)</f>
        <v/>
      </c>
      <c r="V106" s="432">
        <f>IFERROR(V14/V91,0)</f>
        <v/>
      </c>
      <c r="W106" s="431">
        <f>IFERROR(W14/W91,0)</f>
        <v/>
      </c>
    </row>
    <row r="107" ht="13.5" customHeight="1" s="1232">
      <c r="A107" s="1323" t="n"/>
      <c r="B107" s="1323" t="n"/>
      <c r="C107" s="1337" t="n"/>
      <c r="D107" s="1325" t="n"/>
      <c r="E107" s="1338" t="n"/>
      <c r="F107" s="1126" t="n"/>
      <c r="G107" s="1323" t="n"/>
      <c r="H107" s="1326" t="n"/>
      <c r="I107" s="1334" t="inlineStr">
        <is>
          <t>10. Prints &amp; Royalties</t>
        </is>
      </c>
      <c r="J107" s="431" t="n"/>
      <c r="K107" s="432">
        <f>IFERROR(K15/K92,0)</f>
        <v/>
      </c>
      <c r="L107" s="432">
        <f>IFERROR(L15/L92,0)</f>
        <v/>
      </c>
      <c r="M107" s="432">
        <f>IFERROR(M15/M92,0)</f>
        <v/>
      </c>
      <c r="N107" s="432">
        <f>IFERROR(N15/N92,0)</f>
        <v/>
      </c>
      <c r="O107" s="432">
        <f>IFERROR(O15/O92,0)</f>
        <v/>
      </c>
      <c r="P107" s="432">
        <f>IFERROR(P15/P92,0)</f>
        <v/>
      </c>
      <c r="Q107" s="432">
        <f>IFERROR(Q15/Q92,0)</f>
        <v/>
      </c>
      <c r="R107" s="432">
        <f>IFERROR(R15/R92,0)</f>
        <v/>
      </c>
      <c r="S107" s="432">
        <f>IFERROR(S15/S92,0)</f>
        <v/>
      </c>
      <c r="T107" s="432">
        <f>IFERROR(T15/T92,0)</f>
        <v/>
      </c>
      <c r="U107" s="432">
        <f>IFERROR(U15/U92,0)</f>
        <v/>
      </c>
      <c r="V107" s="432">
        <f>IFERROR(V15/V92,0)</f>
        <v/>
      </c>
      <c r="W107" s="431">
        <f>IFERROR(W15/W92,0)</f>
        <v/>
      </c>
    </row>
    <row r="108" ht="13.5" customHeight="1" s="1232">
      <c r="A108" s="1323" t="n"/>
      <c r="B108" s="1323" t="n"/>
      <c r="C108" s="1337" t="n"/>
      <c r="D108" s="1325" t="n"/>
      <c r="E108" s="1338" t="n"/>
      <c r="F108" s="1126" t="n"/>
      <c r="G108" s="1323" t="n"/>
      <c r="H108" s="1326" t="n"/>
      <c r="I108" s="1334" t="inlineStr">
        <is>
          <t>11 Commissions</t>
        </is>
      </c>
      <c r="J108" s="431" t="n"/>
      <c r="K108" s="432">
        <f>IFERROR(K16/K93,0)</f>
        <v/>
      </c>
      <c r="L108" s="432">
        <f>IFERROR(L16/L93,0)</f>
        <v/>
      </c>
      <c r="M108" s="432">
        <f>IFERROR(M16/M93,0)</f>
        <v/>
      </c>
      <c r="N108" s="432">
        <f>IFERROR(N16/N93,0)</f>
        <v/>
      </c>
      <c r="O108" s="432">
        <f>IFERROR(O16/O93,0)</f>
        <v/>
      </c>
      <c r="P108" s="432">
        <f>IFERROR(P16/P93,0)</f>
        <v/>
      </c>
      <c r="Q108" s="432">
        <f>IFERROR(Q16/Q93,0)</f>
        <v/>
      </c>
      <c r="R108" s="432">
        <f>IFERROR(R16/R93,0)</f>
        <v/>
      </c>
      <c r="S108" s="432">
        <f>IFERROR(S16/S93,0)</f>
        <v/>
      </c>
      <c r="T108" s="432">
        <f>IFERROR(T16/T93,0)</f>
        <v/>
      </c>
      <c r="U108" s="432">
        <f>IFERROR(U16/U93,0)</f>
        <v/>
      </c>
      <c r="V108" s="432">
        <f>IFERROR(V16/V93,0)</f>
        <v/>
      </c>
      <c r="W108" s="431">
        <f>IFERROR(W16/W93,0)</f>
        <v/>
      </c>
    </row>
    <row r="109" ht="13.5" customHeight="1" s="1232">
      <c r="A109" s="1323" t="n"/>
      <c r="B109" s="1323" t="n"/>
      <c r="C109" s="1337" t="n"/>
      <c r="D109" s="1325" t="n"/>
      <c r="E109" s="1338" t="n"/>
      <c r="F109" s="1126" t="n"/>
      <c r="G109" s="1323" t="n"/>
      <c r="H109" s="1326" t="n"/>
      <c r="I109" s="1295" t="inlineStr">
        <is>
          <t>12. Academy</t>
        </is>
      </c>
      <c r="J109" s="431" t="n"/>
      <c r="K109" s="432">
        <f>IFERROR(K17/K94,0)</f>
        <v/>
      </c>
      <c r="L109" s="432">
        <f>IFERROR(L17/L94,0)</f>
        <v/>
      </c>
      <c r="M109" s="432">
        <f>IFERROR(M17/M94,0)</f>
        <v/>
      </c>
      <c r="N109" s="432">
        <f>IFERROR(N17/N94,0)</f>
        <v/>
      </c>
      <c r="O109" s="432">
        <f>IFERROR(O17/O94,0)</f>
        <v/>
      </c>
      <c r="P109" s="432">
        <f>IFERROR(P17/P94,0)</f>
        <v/>
      </c>
      <c r="Q109" s="432">
        <f>IFERROR(Q17/Q94,0)</f>
        <v/>
      </c>
      <c r="R109" s="432">
        <f>IFERROR(R17/R94,0)</f>
        <v/>
      </c>
      <c r="S109" s="432">
        <f>IFERROR(S17/S94,0)</f>
        <v/>
      </c>
      <c r="T109" s="432">
        <f>IFERROR(T17/T94,0)</f>
        <v/>
      </c>
      <c r="U109" s="432">
        <f>IFERROR(U17/U94,0)</f>
        <v/>
      </c>
      <c r="V109" s="432">
        <f>IFERROR(V17/V94,0)</f>
        <v/>
      </c>
      <c r="W109" s="431">
        <f>IFERROR(W17/W94,0)</f>
        <v/>
      </c>
    </row>
    <row r="110" ht="14.25" customHeight="1" s="1232" thickBot="1">
      <c r="A110" s="1323" t="n"/>
      <c r="B110" s="1323" t="n"/>
      <c r="C110" s="1337" t="n"/>
      <c r="D110" s="1325" t="n"/>
      <c r="E110" s="1338" t="n"/>
      <c r="F110" s="1126" t="n"/>
      <c r="G110" s="1323" t="n"/>
      <c r="H110" s="1326" t="n"/>
      <c r="I110" s="1339" t="inlineStr">
        <is>
          <t>Totals</t>
        </is>
      </c>
      <c r="J110" s="829" t="n"/>
      <c r="K110" s="916">
        <f>IFERROR(K18/K95,0)</f>
        <v/>
      </c>
      <c r="L110" s="916">
        <f>IFERROR(L18/L95,0)</f>
        <v/>
      </c>
      <c r="M110" s="916">
        <f>IFERROR(M18/M95,0)</f>
        <v/>
      </c>
      <c r="N110" s="916">
        <f>IFERROR(N18/N95,0)</f>
        <v/>
      </c>
      <c r="O110" s="916">
        <f>IFERROR(O18/O95,0)</f>
        <v/>
      </c>
      <c r="P110" s="916">
        <f>IFERROR(P18/P95,0)</f>
        <v/>
      </c>
      <c r="Q110" s="916">
        <f>IFERROR(Q18/Q95,0)</f>
        <v/>
      </c>
      <c r="R110" s="916">
        <f>IFERROR(R18/R95,0)</f>
        <v/>
      </c>
      <c r="S110" s="916">
        <f>IFERROR(S18/S95,0)</f>
        <v/>
      </c>
      <c r="T110" s="916">
        <f>IFERROR(T18/T95,0)</f>
        <v/>
      </c>
      <c r="U110" s="916">
        <f>IFERROR(U18/U95,0)</f>
        <v/>
      </c>
      <c r="V110" s="916">
        <f>IFERROR(V18/V95,0)</f>
        <v/>
      </c>
      <c r="W110" s="829">
        <f>IFERROR(W18/W95,0)</f>
        <v/>
      </c>
      <c r="Z110" s="434" t="n"/>
    </row>
    <row r="111" ht="13.9" customHeight="1" s="1232" thickTop="1">
      <c r="A111" s="1323" t="n"/>
      <c r="B111" s="1323" t="n"/>
      <c r="C111" s="1337" t="n"/>
      <c r="D111" s="1325" t="n"/>
      <c r="E111" s="1338" t="n"/>
      <c r="F111" s="1126" t="n"/>
      <c r="G111" s="1323" t="n"/>
      <c r="H111" s="1326" t="n"/>
      <c r="Z111" s="434">
        <f>W126-Y126</f>
        <v/>
      </c>
    </row>
    <row r="112" ht="13.5" customHeight="1" s="1232">
      <c r="A112" s="1323" t="n"/>
      <c r="B112" s="1323" t="n"/>
      <c r="C112" s="1337" t="n"/>
      <c r="D112" s="1325" t="n"/>
      <c r="E112" s="1338" t="n"/>
      <c r="F112" s="1126" t="n"/>
      <c r="G112" s="1323" t="n"/>
      <c r="H112" s="1326" t="n"/>
    </row>
    <row r="113" ht="13.9" customHeight="1" s="1232">
      <c r="A113" s="1323" t="n"/>
      <c r="B113" s="1323" t="n"/>
      <c r="C113" s="1337" t="n"/>
      <c r="D113" s="1325" t="n"/>
      <c r="E113" s="1338" t="n"/>
      <c r="F113" s="1126" t="n"/>
      <c r="G113" s="1323" t="n"/>
      <c r="H113" s="1326" t="n"/>
      <c r="I113" s="1336" t="inlineStr">
        <is>
          <t>Tuition Categories</t>
        </is>
      </c>
      <c r="J113" s="1330" t="inlineStr">
        <is>
          <t>GP Amount</t>
        </is>
      </c>
      <c r="K113" s="1332" t="inlineStr">
        <is>
          <t>Jan</t>
        </is>
      </c>
      <c r="L113" s="1332" t="inlineStr">
        <is>
          <t>Feb</t>
        </is>
      </c>
      <c r="M113" s="1332" t="inlineStr">
        <is>
          <t>Mar</t>
        </is>
      </c>
      <c r="N113" s="1332" t="inlineStr">
        <is>
          <t>Apr</t>
        </is>
      </c>
      <c r="O113" s="1332" t="inlineStr">
        <is>
          <t>May</t>
        </is>
      </c>
      <c r="P113" s="1332" t="inlineStr">
        <is>
          <t>Jun</t>
        </is>
      </c>
      <c r="Q113" s="1332" t="inlineStr">
        <is>
          <t>Jul</t>
        </is>
      </c>
      <c r="R113" s="1332" t="inlineStr">
        <is>
          <t>Aug</t>
        </is>
      </c>
      <c r="S113" s="1332" t="inlineStr">
        <is>
          <t>Sep</t>
        </is>
      </c>
      <c r="T113" s="1332" t="inlineStr">
        <is>
          <t>Oct</t>
        </is>
      </c>
      <c r="U113" s="1332" t="inlineStr">
        <is>
          <t>Nov</t>
        </is>
      </c>
      <c r="V113" s="1332" t="inlineStr">
        <is>
          <t>Dec</t>
        </is>
      </c>
      <c r="W113" s="1332" t="inlineStr">
        <is>
          <t>Year</t>
        </is>
      </c>
    </row>
    <row r="114" ht="13.5" customHeight="1" s="1232">
      <c r="A114" s="1323" t="n"/>
      <c r="B114" s="1323" t="n"/>
      <c r="C114" s="1337" t="n"/>
      <c r="D114" s="1325" t="n"/>
      <c r="E114" s="1338" t="n"/>
      <c r="F114" s="1126" t="n"/>
      <c r="G114" s="1323" t="n"/>
      <c r="H114" s="1326" t="n"/>
      <c r="I114" s="1333" t="inlineStr">
        <is>
          <t>1. Courses/masterclasses</t>
        </is>
      </c>
      <c r="J114" s="839" t="n">
        <v>0.9</v>
      </c>
      <c r="K114" s="432">
        <f>K6*$J114</f>
        <v/>
      </c>
      <c r="L114" s="432">
        <f>L6*$J114</f>
        <v/>
      </c>
      <c r="M114" s="432">
        <f>M6*$J114</f>
        <v/>
      </c>
      <c r="N114" s="432">
        <f>N6*$J114</f>
        <v/>
      </c>
      <c r="O114" s="432">
        <f>O6*$J114</f>
        <v/>
      </c>
      <c r="P114" s="432">
        <f>P6*$J114</f>
        <v/>
      </c>
      <c r="Q114" s="432">
        <f>Q6*$J114</f>
        <v/>
      </c>
      <c r="R114" s="432">
        <f>R6*$J114</f>
        <v/>
      </c>
      <c r="S114" s="432">
        <f>S6*$J114</f>
        <v/>
      </c>
      <c r="T114" s="432">
        <f>T6*$J114</f>
        <v/>
      </c>
      <c r="U114" s="432">
        <f>U6*$J114</f>
        <v/>
      </c>
      <c r="V114" s="432">
        <f>V6*$J114</f>
        <v/>
      </c>
      <c r="W114" s="431">
        <f>SUM(K114:V114)</f>
        <v/>
      </c>
    </row>
    <row r="115" ht="13.5" customHeight="1" s="1232">
      <c r="A115" s="1323" t="n"/>
      <c r="B115" s="1323" t="n"/>
      <c r="C115" s="1337" t="n"/>
      <c r="D115" s="1325" t="n"/>
      <c r="E115" s="1338" t="n"/>
      <c r="F115" s="1126" t="n"/>
      <c r="G115" s="1323" t="n"/>
      <c r="H115" s="1326" t="n"/>
      <c r="I115" s="1333" t="inlineStr">
        <is>
          <t>2. Workshops Non Residential</t>
        </is>
      </c>
      <c r="J115" s="839" t="n">
        <v>0.75</v>
      </c>
      <c r="K115" s="432">
        <f>K7*$J115</f>
        <v/>
      </c>
      <c r="L115" s="432">
        <f>L7*$J115</f>
        <v/>
      </c>
      <c r="M115" s="432">
        <f>M7*$J115</f>
        <v/>
      </c>
      <c r="N115" s="432">
        <f>N7*$J115</f>
        <v/>
      </c>
      <c r="O115" s="432">
        <f>O7*$J115</f>
        <v/>
      </c>
      <c r="P115" s="432">
        <f>P7*$J115</f>
        <v/>
      </c>
      <c r="Q115" s="432">
        <f>Q7*$J115</f>
        <v/>
      </c>
      <c r="R115" s="432">
        <f>R7*$J115</f>
        <v/>
      </c>
      <c r="S115" s="432">
        <f>S7*$J115</f>
        <v/>
      </c>
      <c r="T115" s="432">
        <f>T7*$J115</f>
        <v/>
      </c>
      <c r="U115" s="432">
        <f>U7*$J115</f>
        <v/>
      </c>
      <c r="V115" s="432">
        <f>V7*$J115</f>
        <v/>
      </c>
      <c r="W115" s="431">
        <f>SUM(K115:V115)</f>
        <v/>
      </c>
    </row>
    <row r="116" ht="13.5" customHeight="1" s="1232">
      <c r="A116" s="1323" t="n"/>
      <c r="B116" s="1323" t="n"/>
      <c r="C116" s="1337" t="n"/>
      <c r="D116" s="1325" t="n"/>
      <c r="E116" s="1338" t="n"/>
      <c r="F116" s="1126" t="n"/>
      <c r="G116" s="1323" t="n"/>
      <c r="H116" s="1326" t="n"/>
      <c r="I116" s="1334" t="inlineStr">
        <is>
          <t>3. Workshops Residential</t>
        </is>
      </c>
      <c r="J116" s="839" t="n">
        <v>0.35</v>
      </c>
      <c r="K116" s="432">
        <f>K8*$J116</f>
        <v/>
      </c>
      <c r="L116" s="432">
        <f>L8*$J116</f>
        <v/>
      </c>
      <c r="M116" s="432">
        <f>M8*$J116</f>
        <v/>
      </c>
      <c r="N116" s="432">
        <f>N8*$J116</f>
        <v/>
      </c>
      <c r="O116" s="432">
        <f>O8*$J116</f>
        <v/>
      </c>
      <c r="P116" s="432">
        <f>P8*$J116</f>
        <v/>
      </c>
      <c r="Q116" s="432">
        <f>Q8*$J116</f>
        <v/>
      </c>
      <c r="R116" s="432">
        <f>R8*$J116</f>
        <v/>
      </c>
      <c r="S116" s="432">
        <f>S8*$J116</f>
        <v/>
      </c>
      <c r="T116" s="432">
        <f>T8*$J116</f>
        <v/>
      </c>
      <c r="U116" s="432">
        <f>U8*$J116</f>
        <v/>
      </c>
      <c r="V116" s="432">
        <f>V8*$J116</f>
        <v/>
      </c>
      <c r="W116" s="431">
        <f>SUM(K116:V116)</f>
        <v/>
      </c>
    </row>
    <row r="117" ht="13.5" customHeight="1" s="1232">
      <c r="A117" s="1323" t="n"/>
      <c r="B117" s="1323" t="n"/>
      <c r="C117" s="1337" t="n"/>
      <c r="D117" s="1325" t="n"/>
      <c r="E117" s="1338" t="n"/>
      <c r="F117" s="1126" t="n"/>
      <c r="G117" s="1323" t="n"/>
      <c r="H117" s="1326" t="n"/>
      <c r="I117" s="1333" t="inlineStr">
        <is>
          <t>4. Pick n Mix Inc</t>
        </is>
      </c>
      <c r="J117" s="839" t="n">
        <v>0.5</v>
      </c>
      <c r="K117" s="432">
        <f>K9*$J117</f>
        <v/>
      </c>
      <c r="L117" s="432">
        <f>L9*$J117</f>
        <v/>
      </c>
      <c r="M117" s="432">
        <f>M9*$J117</f>
        <v/>
      </c>
      <c r="N117" s="432">
        <f>N9*$J117</f>
        <v/>
      </c>
      <c r="O117" s="432">
        <f>O9*$J117</f>
        <v/>
      </c>
      <c r="P117" s="432">
        <f>P9*$J117</f>
        <v/>
      </c>
      <c r="Q117" s="432">
        <f>Q9*$J117</f>
        <v/>
      </c>
      <c r="R117" s="432">
        <f>R9*$J117</f>
        <v/>
      </c>
      <c r="S117" s="432">
        <f>S9*$J117</f>
        <v/>
      </c>
      <c r="T117" s="432">
        <f>T9*$J117</f>
        <v/>
      </c>
      <c r="U117" s="432">
        <f>U9*$J117</f>
        <v/>
      </c>
      <c r="V117" s="432">
        <f>V9*$J117</f>
        <v/>
      </c>
      <c r="W117" s="431">
        <f>SUM(K117:V117)</f>
        <v/>
      </c>
    </row>
    <row r="118" ht="13.5" customHeight="1" s="1232">
      <c r="A118" s="1323" t="n"/>
      <c r="B118" s="1323" t="n"/>
      <c r="C118" s="1337" t="n"/>
      <c r="D118" s="1325" t="n"/>
      <c r="E118" s="1338" t="n"/>
      <c r="F118" s="1126" t="n"/>
      <c r="G118" s="1323" t="n"/>
      <c r="H118" s="1326" t="n"/>
      <c r="I118" s="1333" t="inlineStr">
        <is>
          <t>5. Pick n Mix Out</t>
        </is>
      </c>
      <c r="J118" s="839" t="n">
        <v>0.45</v>
      </c>
      <c r="K118" s="432">
        <f>K10*$J118</f>
        <v/>
      </c>
      <c r="L118" s="432">
        <f>L10*$J118</f>
        <v/>
      </c>
      <c r="M118" s="432">
        <f>M10*$J118</f>
        <v/>
      </c>
      <c r="N118" s="432">
        <f>N10*$J118</f>
        <v/>
      </c>
      <c r="O118" s="432">
        <f>O10*$J118</f>
        <v/>
      </c>
      <c r="P118" s="432">
        <f>P10*$J118</f>
        <v/>
      </c>
      <c r="Q118" s="432">
        <f>Q10*$J118</f>
        <v/>
      </c>
      <c r="R118" s="432">
        <f>R10*$J118</f>
        <v/>
      </c>
      <c r="S118" s="432">
        <f>S10*$J118</f>
        <v/>
      </c>
      <c r="T118" s="432">
        <f>T10*$J118</f>
        <v/>
      </c>
      <c r="U118" s="432">
        <f>U10*$J118</f>
        <v/>
      </c>
      <c r="V118" s="432">
        <f>V10*$J118</f>
        <v/>
      </c>
      <c r="W118" s="431">
        <f>SUM(K118:V118)</f>
        <v/>
      </c>
    </row>
    <row r="119" ht="13.5" customHeight="1" s="1232">
      <c r="A119" s="1323" t="n"/>
      <c r="B119" s="1323" t="n"/>
      <c r="C119" s="1337" t="n"/>
      <c r="D119" s="1325" t="n"/>
      <c r="E119" s="1338" t="n"/>
      <c r="F119" s="1126" t="n"/>
      <c r="G119" s="1323" t="n"/>
      <c r="H119" s="1326" t="n"/>
      <c r="I119" s="1333" t="inlineStr">
        <is>
          <t>6. Mentoring</t>
        </is>
      </c>
      <c r="J119" s="839" t="n">
        <v>0.95</v>
      </c>
      <c r="K119" s="432">
        <f>K11*$J119</f>
        <v/>
      </c>
      <c r="L119" s="432">
        <f>L11*$J119</f>
        <v/>
      </c>
      <c r="M119" s="432">
        <f>M11*$J119</f>
        <v/>
      </c>
      <c r="N119" s="432">
        <f>N11*$J119</f>
        <v/>
      </c>
      <c r="O119" s="432">
        <f>O11*$J119</f>
        <v/>
      </c>
      <c r="P119" s="432">
        <f>P11*$J119</f>
        <v/>
      </c>
      <c r="Q119" s="432">
        <f>Q11*$J119</f>
        <v/>
      </c>
      <c r="R119" s="432">
        <f>R11*$J119</f>
        <v/>
      </c>
      <c r="S119" s="432">
        <f>S11*$J119</f>
        <v/>
      </c>
      <c r="T119" s="432">
        <f>T11*$J119</f>
        <v/>
      </c>
      <c r="U119" s="432">
        <f>U11*$J119</f>
        <v/>
      </c>
      <c r="V119" s="432">
        <f>V11*$J119</f>
        <v/>
      </c>
      <c r="W119" s="431">
        <f>SUM(K119:V119)</f>
        <v/>
      </c>
    </row>
    <row r="120" ht="13.5" customHeight="1" s="1232">
      <c r="A120" s="1323" t="n"/>
      <c r="B120" s="1323" t="n"/>
      <c r="C120" s="1337" t="n"/>
      <c r="D120" s="1325" t="n"/>
      <c r="E120" s="1338" t="n"/>
      <c r="F120" s="1126" t="n"/>
      <c r="G120" s="1323" t="n"/>
      <c r="H120" s="1326" t="n"/>
      <c r="I120" s="1334" t="inlineStr">
        <is>
          <t>7. 1-2-1</t>
        </is>
      </c>
      <c r="J120" s="839" t="n">
        <v>0.95</v>
      </c>
      <c r="K120" s="432">
        <f>K12*$J120</f>
        <v/>
      </c>
      <c r="L120" s="432">
        <f>L12*$J120</f>
        <v/>
      </c>
      <c r="M120" s="432">
        <f>M12*$J120</f>
        <v/>
      </c>
      <c r="N120" s="432">
        <f>N12*$J120</f>
        <v/>
      </c>
      <c r="O120" s="432">
        <f>O12*$J120</f>
        <v/>
      </c>
      <c r="P120" s="432">
        <f>P12*$J120</f>
        <v/>
      </c>
      <c r="Q120" s="432">
        <f>Q12*$J120</f>
        <v/>
      </c>
      <c r="R120" s="432">
        <f>R12*$J120</f>
        <v/>
      </c>
      <c r="S120" s="432">
        <f>S12*$J120</f>
        <v/>
      </c>
      <c r="T120" s="432">
        <f>T12*$J120</f>
        <v/>
      </c>
      <c r="U120" s="432">
        <f>U12*$J120</f>
        <v/>
      </c>
      <c r="V120" s="432">
        <f>V12*$J120</f>
        <v/>
      </c>
      <c r="W120" s="431">
        <f>SUM(K120:V120)</f>
        <v/>
      </c>
    </row>
    <row r="121" ht="13.5" customHeight="1" s="1232">
      <c r="A121" s="1323" t="n"/>
      <c r="B121" s="1323" t="n"/>
      <c r="C121" s="1337" t="n"/>
      <c r="D121" s="1325" t="n"/>
      <c r="E121" s="1338" t="n"/>
      <c r="F121" s="1126" t="n"/>
      <c r="G121" s="1323" t="n"/>
      <c r="H121" s="1326" t="n"/>
      <c r="I121" s="1334" t="inlineStr">
        <is>
          <t>8. Gift Vouchers Inc</t>
        </is>
      </c>
      <c r="J121" s="839" t="n">
        <v>0.6</v>
      </c>
      <c r="K121" s="432">
        <f>K13*$J121</f>
        <v/>
      </c>
      <c r="L121" s="432">
        <f>L13*$J121</f>
        <v/>
      </c>
      <c r="M121" s="432">
        <f>M13*$J121</f>
        <v/>
      </c>
      <c r="N121" s="432">
        <f>N13*$J121</f>
        <v/>
      </c>
      <c r="O121" s="432">
        <f>O13*$J121</f>
        <v/>
      </c>
      <c r="P121" s="432">
        <f>P13*$J121</f>
        <v/>
      </c>
      <c r="Q121" s="432">
        <f>Q13*$J121</f>
        <v/>
      </c>
      <c r="R121" s="432">
        <f>R13*$J121</f>
        <v/>
      </c>
      <c r="S121" s="432">
        <f>S13*$J121</f>
        <v/>
      </c>
      <c r="T121" s="432">
        <f>T13*$J121</f>
        <v/>
      </c>
      <c r="U121" s="432">
        <f>U13*$J121</f>
        <v/>
      </c>
      <c r="V121" s="432">
        <f>V13*$J121</f>
        <v/>
      </c>
      <c r="W121" s="431">
        <f>SUM(K121:V121)</f>
        <v/>
      </c>
    </row>
    <row r="122" ht="13.5" customHeight="1" s="1232">
      <c r="A122" s="1323" t="n"/>
      <c r="B122" s="1323" t="n"/>
      <c r="C122" s="1337" t="n"/>
      <c r="D122" s="1325" t="n"/>
      <c r="E122" s="1338" t="n"/>
      <c r="F122" s="1126" t="n"/>
      <c r="G122" s="1323" t="n"/>
      <c r="H122" s="1326" t="n"/>
      <c r="I122" s="1334" t="inlineStr">
        <is>
          <t>9. Gift Vouchers Out</t>
        </is>
      </c>
      <c r="J122" s="839" t="n">
        <v>0.5</v>
      </c>
      <c r="K122" s="432">
        <f>K14*$J122</f>
        <v/>
      </c>
      <c r="L122" s="432">
        <f>L14*$J122</f>
        <v/>
      </c>
      <c r="M122" s="432">
        <f>M14*$J122</f>
        <v/>
      </c>
      <c r="N122" s="432">
        <f>N14*$J122</f>
        <v/>
      </c>
      <c r="O122" s="432">
        <f>O14*$J122</f>
        <v/>
      </c>
      <c r="P122" s="432">
        <f>P14*$J122</f>
        <v/>
      </c>
      <c r="Q122" s="432">
        <f>Q14*$J122</f>
        <v/>
      </c>
      <c r="R122" s="432">
        <f>R14*$J122</f>
        <v/>
      </c>
      <c r="S122" s="432">
        <f>S14*$J122</f>
        <v/>
      </c>
      <c r="T122" s="432">
        <f>T14*$J122</f>
        <v/>
      </c>
      <c r="U122" s="432">
        <f>U14*$J122</f>
        <v/>
      </c>
      <c r="V122" s="432">
        <f>V14*$J122</f>
        <v/>
      </c>
      <c r="W122" s="431">
        <f>SUM(K122:V122)</f>
        <v/>
      </c>
    </row>
    <row r="123" ht="13.5" customHeight="1" s="1232">
      <c r="A123" s="1323" t="n"/>
      <c r="B123" s="1323" t="n"/>
      <c r="C123" s="1337" t="n"/>
      <c r="D123" s="1325" t="n"/>
      <c r="E123" s="1338" t="n"/>
      <c r="F123" s="1126" t="n"/>
      <c r="G123" s="1323" t="n"/>
      <c r="H123" s="1326" t="n"/>
      <c r="I123" s="1334" t="inlineStr">
        <is>
          <t>10. Prints &amp; Royalties</t>
        </is>
      </c>
      <c r="J123" s="839" t="n">
        <v>0.99</v>
      </c>
      <c r="K123" s="432">
        <f>K15*$J123</f>
        <v/>
      </c>
      <c r="L123" s="432">
        <f>L15*$J123</f>
        <v/>
      </c>
      <c r="M123" s="432">
        <f>M15*$J123</f>
        <v/>
      </c>
      <c r="N123" s="432">
        <f>N15*$J123</f>
        <v/>
      </c>
      <c r="O123" s="432">
        <f>O15*$J123</f>
        <v/>
      </c>
      <c r="P123" s="432">
        <f>P15*$J123</f>
        <v/>
      </c>
      <c r="Q123" s="432">
        <f>Q15*$J123</f>
        <v/>
      </c>
      <c r="R123" s="432">
        <f>R15*$J123</f>
        <v/>
      </c>
      <c r="S123" s="432">
        <f>S15*$J123</f>
        <v/>
      </c>
      <c r="T123" s="432">
        <f>T15*$J123</f>
        <v/>
      </c>
      <c r="U123" s="432">
        <f>U15*$J123</f>
        <v/>
      </c>
      <c r="V123" s="432">
        <f>V15*$J123</f>
        <v/>
      </c>
      <c r="W123" s="431">
        <f>SUM(K123:V123)</f>
        <v/>
      </c>
    </row>
    <row r="124" ht="13.5" customHeight="1" s="1232">
      <c r="A124" s="1323" t="n"/>
      <c r="B124" s="1323" t="n"/>
      <c r="C124" s="1337" t="n"/>
      <c r="D124" s="1325" t="n"/>
      <c r="E124" s="1338" t="n"/>
      <c r="F124" s="1126" t="n"/>
      <c r="G124" s="1323" t="n"/>
      <c r="H124" s="1326" t="n"/>
      <c r="I124" s="1334" t="inlineStr">
        <is>
          <t>11 Commissions</t>
        </is>
      </c>
      <c r="J124" s="839" t="n">
        <v>0.9</v>
      </c>
      <c r="K124" s="432">
        <f>K16*$J124</f>
        <v/>
      </c>
      <c r="L124" s="432">
        <f>L16*$J124</f>
        <v/>
      </c>
      <c r="M124" s="432">
        <f>M16*$J124</f>
        <v/>
      </c>
      <c r="N124" s="432">
        <f>N16*$J124</f>
        <v/>
      </c>
      <c r="O124" s="432">
        <f>O16*$J124</f>
        <v/>
      </c>
      <c r="P124" s="432">
        <f>P16*$J124</f>
        <v/>
      </c>
      <c r="Q124" s="432">
        <f>Q16*$J124</f>
        <v/>
      </c>
      <c r="R124" s="432">
        <f>R16*$J124</f>
        <v/>
      </c>
      <c r="S124" s="432">
        <f>S16*$J124</f>
        <v/>
      </c>
      <c r="T124" s="432">
        <f>T16*$J124</f>
        <v/>
      </c>
      <c r="U124" s="432">
        <f>U16*$J124</f>
        <v/>
      </c>
      <c r="V124" s="432">
        <f>V16*$J124</f>
        <v/>
      </c>
      <c r="W124" s="431">
        <f>SUM(K124:V124)</f>
        <v/>
      </c>
    </row>
    <row r="125" ht="13.5" customHeight="1" s="1232">
      <c r="A125" s="1323" t="n"/>
      <c r="B125" s="1323" t="n"/>
      <c r="C125" s="1337" t="n"/>
      <c r="D125" s="1325" t="n"/>
      <c r="E125" s="1338" t="n"/>
      <c r="F125" s="1126" t="n"/>
      <c r="G125" s="1323" t="n"/>
      <c r="H125" s="1326" t="n"/>
      <c r="I125" s="1295" t="inlineStr">
        <is>
          <t>12. Academy</t>
        </is>
      </c>
      <c r="J125" s="839" t="n">
        <v>0.99</v>
      </c>
      <c r="K125" s="432">
        <f>K17*$J125</f>
        <v/>
      </c>
      <c r="L125" s="432">
        <f>L17*$J125</f>
        <v/>
      </c>
      <c r="M125" s="432">
        <f>M17*$J125</f>
        <v/>
      </c>
      <c r="N125" s="432">
        <f>N17*$J125</f>
        <v/>
      </c>
      <c r="O125" s="432">
        <f>O17*$J125</f>
        <v/>
      </c>
      <c r="P125" s="432">
        <f>P17*$J125</f>
        <v/>
      </c>
      <c r="Q125" s="432">
        <f>Q17*$J125</f>
        <v/>
      </c>
      <c r="R125" s="432">
        <f>R17*$J125</f>
        <v/>
      </c>
      <c r="S125" s="432">
        <f>S17*$J125</f>
        <v/>
      </c>
      <c r="T125" s="432">
        <f>T17*$J125</f>
        <v/>
      </c>
      <c r="U125" s="432">
        <f>U17*$J125</f>
        <v/>
      </c>
      <c r="V125" s="432">
        <f>V17*$J125</f>
        <v/>
      </c>
      <c r="W125" s="431">
        <f>SUM(K125:V125)</f>
        <v/>
      </c>
      <c r="X125" s="445" t="n"/>
      <c r="Y125" s="558" t="n"/>
    </row>
    <row r="126" ht="14.25" customHeight="1" s="1232" thickBot="1">
      <c r="A126" s="1323" t="n"/>
      <c r="B126" s="1323" t="n"/>
      <c r="C126" s="1337" t="n"/>
      <c r="D126" s="1325" t="n"/>
      <c r="E126" s="1338" t="n"/>
      <c r="F126" s="1126" t="n"/>
      <c r="G126" s="1323" t="n"/>
      <c r="H126" s="1326" t="n"/>
      <c r="I126" s="1340" t="inlineStr">
        <is>
          <t>Totals</t>
        </is>
      </c>
      <c r="J126" s="942">
        <f>W126/W18</f>
        <v/>
      </c>
      <c r="K126" s="917">
        <f>SUM(K114:K125)</f>
        <v/>
      </c>
      <c r="L126" s="917">
        <f>SUM(L114:L125)</f>
        <v/>
      </c>
      <c r="M126" s="917">
        <f>SUM(M114:M125)</f>
        <v/>
      </c>
      <c r="N126" s="917">
        <f>SUM(N114:N125)</f>
        <v/>
      </c>
      <c r="O126" s="917">
        <f>SUM(O114:O125)</f>
        <v/>
      </c>
      <c r="P126" s="917">
        <f>SUM(P114:P125)</f>
        <v/>
      </c>
      <c r="Q126" s="917">
        <f>SUM(Q114:Q125)</f>
        <v/>
      </c>
      <c r="R126" s="917">
        <f>SUM(R114:R125)</f>
        <v/>
      </c>
      <c r="S126" s="917">
        <f>SUM(S114:S125)</f>
        <v/>
      </c>
      <c r="T126" s="917">
        <f>SUM(T114:T125)</f>
        <v/>
      </c>
      <c r="U126" s="917">
        <f>SUM(U114:U125)</f>
        <v/>
      </c>
      <c r="V126" s="917">
        <f>SUM(V114:V125)</f>
        <v/>
      </c>
      <c r="W126" s="431">
        <f>SUM(K126:V126)</f>
        <v/>
      </c>
      <c r="X126" s="445">
        <f>IFERROR(W126/W18,0)</f>
        <v/>
      </c>
      <c r="Y126" s="558">
        <f>J126*12</f>
        <v/>
      </c>
    </row>
    <row r="127" ht="13.5" customHeight="1" s="1232">
      <c r="A127" s="1323" t="n"/>
      <c r="B127" s="1323" t="n"/>
      <c r="C127" s="1337" t="n"/>
      <c r="D127" s="1325" t="n"/>
      <c r="E127" s="1338" t="n"/>
      <c r="F127" s="1126" t="n"/>
      <c r="G127" s="1323" t="n"/>
      <c r="H127" s="1326" t="n"/>
      <c r="K127" s="445">
        <f>K126/K18</f>
        <v/>
      </c>
      <c r="L127" s="445">
        <f>L126/L18</f>
        <v/>
      </c>
      <c r="M127" s="445">
        <f>M126/M18</f>
        <v/>
      </c>
      <c r="N127" s="445">
        <f>N126/N18</f>
        <v/>
      </c>
      <c r="O127" s="445">
        <f>O126/O18</f>
        <v/>
      </c>
      <c r="P127" s="445">
        <f>P126/P18</f>
        <v/>
      </c>
      <c r="Q127" s="445">
        <f>Q126/Q18</f>
        <v/>
      </c>
      <c r="R127" s="445">
        <f>R126/R18</f>
        <v/>
      </c>
      <c r="S127" s="445">
        <f>S126/S18</f>
        <v/>
      </c>
      <c r="T127" s="445">
        <f>T126/T18</f>
        <v/>
      </c>
      <c r="U127" s="445">
        <f>U126/U18</f>
        <v/>
      </c>
      <c r="V127" s="445">
        <f>V126/V18</f>
        <v/>
      </c>
      <c r="W127" s="445">
        <f>W126/W18</f>
        <v/>
      </c>
    </row>
    <row r="128" ht="13.9" customHeight="1" s="1232">
      <c r="A128" s="1323" t="n"/>
      <c r="B128" s="1323" t="n"/>
      <c r="C128" s="1337" t="n"/>
      <c r="D128" s="1325" t="n"/>
      <c r="E128" s="1338" t="n"/>
      <c r="F128" s="1126" t="n"/>
      <c r="G128" s="1323" t="n"/>
      <c r="H128" s="1326" t="n"/>
      <c r="I128" s="1341" t="inlineStr">
        <is>
          <t>Banking Source</t>
        </is>
      </c>
      <c r="K128" s="1332" t="inlineStr">
        <is>
          <t>Jan</t>
        </is>
      </c>
      <c r="L128" s="1332" t="inlineStr">
        <is>
          <t>Feb</t>
        </is>
      </c>
      <c r="M128" s="1332" t="inlineStr">
        <is>
          <t>Mar</t>
        </is>
      </c>
      <c r="N128" s="1332" t="inlineStr">
        <is>
          <t>Apr</t>
        </is>
      </c>
      <c r="O128" s="1332" t="inlineStr">
        <is>
          <t>May</t>
        </is>
      </c>
      <c r="P128" s="1332" t="inlineStr">
        <is>
          <t>Jun</t>
        </is>
      </c>
      <c r="Q128" s="1332" t="inlineStr">
        <is>
          <t>Jul</t>
        </is>
      </c>
      <c r="R128" s="1332" t="inlineStr">
        <is>
          <t>Aug</t>
        </is>
      </c>
      <c r="S128" s="1332" t="inlineStr">
        <is>
          <t>Sep</t>
        </is>
      </c>
      <c r="T128" s="1332" t="inlineStr">
        <is>
          <t>Oct</t>
        </is>
      </c>
      <c r="U128" s="1332" t="inlineStr">
        <is>
          <t>Nov</t>
        </is>
      </c>
      <c r="V128" s="1332" t="inlineStr">
        <is>
          <t>Dec</t>
        </is>
      </c>
      <c r="W128" s="1332" t="inlineStr">
        <is>
          <t>Year</t>
        </is>
      </c>
      <c r="X128" s="1278" t="inlineStr">
        <is>
          <t>Split</t>
        </is>
      </c>
      <c r="Y128" s="1278" t="inlineStr">
        <is>
          <t>% YTD</t>
        </is>
      </c>
    </row>
    <row r="129" ht="13.5" customHeight="1" s="1232">
      <c r="A129" s="1323" t="n"/>
      <c r="B129" s="1323" t="n"/>
      <c r="C129" s="1337" t="n"/>
      <c r="D129" s="1325" t="n"/>
      <c r="E129" s="1338" t="n"/>
      <c r="F129" s="1126" t="n"/>
      <c r="G129" s="1323" t="n"/>
      <c r="H129" s="1326" t="n"/>
      <c r="I129" s="1255" t="inlineStr">
        <is>
          <t>Stripe</t>
        </is>
      </c>
      <c r="K129" s="432">
        <f>SUMIFS($E$192:$E$354,$A$192:$A$354,"&gt;31/12/2025",$A$192:$A$354,"&lt;1/2/2026",$D$192:$D$354,$I129)</f>
        <v/>
      </c>
      <c r="L129" s="432">
        <f>SUMIFS($E$192:$E$354,$A$192:$A$354,"&gt;31/1/2026",$A$192:$A$354,"&lt;1/3/2026",$D$192:$D$354,$I129)</f>
        <v/>
      </c>
      <c r="M129" s="432">
        <f>SUMIFS($E$192:$E$354,$A$192:$A$354,"&gt;28/2/2026",$A$192:$A$354,"&lt;1/4/2026",$D$192:$D$354,$I129)</f>
        <v/>
      </c>
      <c r="N129" s="432">
        <f>SUMIFS($E$192:$E$354,$A$192:$A$354,"&gt;31/3/2026",$A$192:$A$354,"&lt;1/5/2026",$D$192:$D$354,$I129)</f>
        <v/>
      </c>
      <c r="O129" s="432">
        <f>SUMIFS($E$192:$E$354,$A$192:$A$354,"&gt;30/4/2026",$A$192:$A$354,"&lt;1/6/2026",$D$192:$D$354,$I129)</f>
        <v/>
      </c>
      <c r="P129" s="432">
        <f>SUMIFS($E$192:$E$354,$A$192:$A$354,"&gt;31/5/2026",$A$192:$A$354,"&lt;1/7/2026",$D$192:$D$354,$I129)</f>
        <v/>
      </c>
      <c r="Q129" s="432">
        <f>SUMIFS($E$192:$E$354,$A$192:$A$354,"&gt;30/6/2026",$A$192:$A$354,"&lt;1/8/2026",$D$192:$D$354,$I129)</f>
        <v/>
      </c>
      <c r="R129" s="432">
        <f>SUMIFS($E$192:$E$354,$A$192:$A$354,"&gt;31/7/2026",$A$192:$A$354,"&lt;1/9/2026",$D$192:$D$354,$I129)</f>
        <v/>
      </c>
      <c r="S129" s="432">
        <f>SUMIFS($E$192:$E$354,$A$192:$A$354,"&gt;31/8/2026",$A$192:$A$354,"&lt;1/10/2026",$D$192:$D$354,$I129)</f>
        <v/>
      </c>
      <c r="T129" s="432">
        <f>SUMIFS($E$192:$E$354,$A$192:$A$354,"&gt;30/9/2026",$A$192:$A$354,"&lt;1/11/2026",$D$192:$D$354,$I129)</f>
        <v/>
      </c>
      <c r="U129" s="432">
        <f>SUMIFS($E$192:$E$354,$A$192:$A$354,"&gt;31/10/2026",$A$192:$A$354,"&lt;1/12/2026",$D$192:$D$354,$I129)</f>
        <v/>
      </c>
      <c r="V129" s="432">
        <f>SUMIFS($E$192:$E$354,$A$192:$A$354,"&gt;30/11/2026",$A$192:$A$354,"&lt;1/1/2027",$D$192:$D$354,$I129)</f>
        <v/>
      </c>
      <c r="W129" s="432">
        <f>SUM(K129:V129)</f>
        <v/>
      </c>
      <c r="X129" s="460">
        <f>L129/$L$138</f>
        <v/>
      </c>
      <c r="Y129" s="460">
        <f>W129/W138</f>
        <v/>
      </c>
    </row>
    <row r="130" ht="13.5" customHeight="1" s="1232">
      <c r="A130" s="1323" t="n"/>
      <c r="B130" s="1323" t="n"/>
      <c r="C130" s="1337" t="n"/>
      <c r="D130" s="1325" t="n"/>
      <c r="E130" s="1338" t="n"/>
      <c r="F130" s="1126" t="n"/>
      <c r="G130" s="1323" t="n"/>
      <c r="H130" s="1326" t="n"/>
      <c r="I130" s="1255" t="inlineStr">
        <is>
          <t>PayPal</t>
        </is>
      </c>
      <c r="K130" s="432">
        <f>SUMIFS($E$192:$E$354,$A$192:$A$354,"&gt;31/12/2025",$A$192:$A$354,"&lt;1/2/2026",$D$192:$D$354,$I130)</f>
        <v/>
      </c>
      <c r="L130" s="432">
        <f>SUMIFS($E$192:$E$354,$A$192:$A$354,"&gt;31/1/2026",$A$192:$A$354,"&lt;1/3/2026",$D$192:$D$354,$I130)</f>
        <v/>
      </c>
      <c r="M130" s="432">
        <f>SUMIFS($E$192:$E$354,$A$192:$A$354,"&gt;28/2/2026",$A$192:$A$354,"&lt;1/4/2026",$D$192:$D$354,$I130)</f>
        <v/>
      </c>
      <c r="N130" s="432">
        <f>SUMIFS($E$192:$E$354,$A$192:$A$354,"&gt;31/3/2026",$A$192:$A$354,"&lt;1/5/2026",$D$192:$D$354,$I130)</f>
        <v/>
      </c>
      <c r="O130" s="432">
        <f>SUMIFS($E$192:$E$354,$A$192:$A$354,"&gt;30/4/2026",$A$192:$A$354,"&lt;1/6/2026",$D$192:$D$354,$I130)</f>
        <v/>
      </c>
      <c r="P130" s="432">
        <f>SUMIFS($E$192:$E$354,$A$192:$A$354,"&gt;31/5/2026",$A$192:$A$354,"&lt;1/7/2026",$D$192:$D$354,$I130)</f>
        <v/>
      </c>
      <c r="Q130" s="432">
        <f>SUMIFS($E$192:$E$354,$A$192:$A$354,"&gt;30/6/2026",$A$192:$A$354,"&lt;1/8/2026",$D$192:$D$354,$I130)</f>
        <v/>
      </c>
      <c r="R130" s="432">
        <f>SUMIFS($E$192:$E$354,$A$192:$A$354,"&gt;31/7/2026",$A$192:$A$354,"&lt;1/9/2026",$D$192:$D$354,$I130)</f>
        <v/>
      </c>
      <c r="S130" s="432">
        <f>SUMIFS($E$192:$E$354,$A$192:$A$354,"&gt;31/8/2026",$A$192:$A$354,"&lt;1/10/2026",$D$192:$D$354,$I130)</f>
        <v/>
      </c>
      <c r="T130" s="432">
        <f>SUMIFS($E$192:$E$354,$A$192:$A$354,"&gt;30/9/2026",$A$192:$A$354,"&lt;1/11/2026",$D$192:$D$354,$I130)</f>
        <v/>
      </c>
      <c r="U130" s="432">
        <f>SUMIFS($E$192:$E$354,$A$192:$A$354,"&gt;31/10/2026",$A$192:$A$354,"&lt;1/12/2026",$D$192:$D$354,$I130)</f>
        <v/>
      </c>
      <c r="V130" s="432">
        <f>SUMIFS($E$192:$E$354,$A$192:$A$354,"&gt;30/11/2026",$A$192:$A$354,"&lt;1/1/2027",$D$192:$D$354,$I130)</f>
        <v/>
      </c>
      <c r="W130" s="432">
        <f>SUM(K130:V130)</f>
        <v/>
      </c>
      <c r="X130" s="460">
        <f>L130/$L$138</f>
        <v/>
      </c>
      <c r="Y130" s="460">
        <f>W130/W138</f>
        <v/>
      </c>
    </row>
    <row r="131" ht="13.5" customHeight="1" s="1232">
      <c r="A131" s="1323" t="n"/>
      <c r="B131" s="1323" t="n"/>
      <c r="C131" s="1337" t="n"/>
      <c r="D131" s="1325" t="n"/>
      <c r="E131" s="1338" t="n"/>
      <c r="F131" s="1126" t="n"/>
      <c r="G131" s="1323" t="n"/>
      <c r="H131" s="1326" t="n"/>
      <c r="I131" s="1255" t="inlineStr">
        <is>
          <t>Various</t>
        </is>
      </c>
      <c r="K131" s="432">
        <f>SUMIFS($E$192:$E$354,$A$192:$A$354,"&gt;31/12/2025",$A$192:$A$354,"&lt;1/2/2026",$D$192:$D$354,$I131)</f>
        <v/>
      </c>
      <c r="L131" s="432">
        <f>SUMIFS($E$192:$E$354,$A$192:$A$354,"&gt;31/1/2026",$A$192:$A$354,"&lt;1/3/2026",$D$192:$D$354,$I131)</f>
        <v/>
      </c>
      <c r="M131" s="432">
        <f>SUMIFS($E$192:$E$354,$A$192:$A$354,"&gt;28/2/2026",$A$192:$A$354,"&lt;1/4/2026",$D$192:$D$354,$I131)</f>
        <v/>
      </c>
      <c r="N131" s="432">
        <f>SUMIFS($E$192:$E$354,$A$192:$A$354,"&gt;31/3/2026",$A$192:$A$354,"&lt;1/5/2026",$D$192:$D$354,$I131)</f>
        <v/>
      </c>
      <c r="O131" s="432">
        <f>SUMIFS($E$192:$E$354,$A$192:$A$354,"&gt;30/4/2026",$A$192:$A$354,"&lt;1/6/2026",$D$192:$D$354,$I131)</f>
        <v/>
      </c>
      <c r="P131" s="432">
        <f>SUMIFS($E$192:$E$354,$A$192:$A$354,"&gt;31/5/2026",$A$192:$A$354,"&lt;1/7/2026",$D$192:$D$354,$I131)</f>
        <v/>
      </c>
      <c r="Q131" s="432">
        <f>SUMIFS($E$192:$E$354,$A$192:$A$354,"&gt;30/6/2026",$A$192:$A$354,"&lt;1/8/2026",$D$192:$D$354,$I131)</f>
        <v/>
      </c>
      <c r="R131" s="432">
        <f>SUMIFS($E$192:$E$354,$A$192:$A$354,"&gt;31/7/2026",$A$192:$A$354,"&lt;1/9/2026",$D$192:$D$354,$I131)</f>
        <v/>
      </c>
      <c r="S131" s="432">
        <f>SUMIFS($E$192:$E$354,$A$192:$A$354,"&gt;31/8/2026",$A$192:$A$354,"&lt;1/10/2026",$D$192:$D$354,$I131)</f>
        <v/>
      </c>
      <c r="T131" s="432">
        <f>SUMIFS($E$192:$E$354,$A$192:$A$354,"&gt;30/9/2026",$A$192:$A$354,"&lt;1/11/2026",$D$192:$D$354,$I131)</f>
        <v/>
      </c>
      <c r="U131" s="432">
        <f>SUMIFS($E$192:$E$354,$A$192:$A$354,"&gt;31/10/2026",$A$192:$A$354,"&lt;1/12/2026",$D$192:$D$354,$I131)</f>
        <v/>
      </c>
      <c r="V131" s="432">
        <f>SUMIFS($E$192:$E$354,$A$192:$A$354,"&gt;30/11/2026",$A$192:$A$354,"&lt;1/1/2027",$D$192:$D$354,$I131)</f>
        <v/>
      </c>
      <c r="W131" s="432">
        <f>SUM(K131:V131)</f>
        <v/>
      </c>
      <c r="X131" s="460">
        <f>L131/$L$138</f>
        <v/>
      </c>
      <c r="Y131" s="460">
        <f>W131/W138</f>
        <v/>
      </c>
    </row>
    <row r="132" ht="13.5" customHeight="1" s="1232">
      <c r="A132" s="1323" t="n"/>
      <c r="B132" s="1323" t="n"/>
      <c r="C132" s="1337" t="n"/>
      <c r="D132" s="1325" t="n"/>
      <c r="E132" s="1338" t="n"/>
      <c r="F132" s="1126" t="n"/>
      <c r="G132" s="1323" t="n"/>
      <c r="H132" s="1326" t="n"/>
      <c r="I132" s="1255" t="inlineStr">
        <is>
          <t>Bank</t>
        </is>
      </c>
      <c r="K132" s="432">
        <f>SUMIFS($E$192:$E$354,$A$192:$A$354,"&gt;31/12/2025",$A$192:$A$354,"&lt;1/2/2026",$D$192:$D$354,$I132)</f>
        <v/>
      </c>
      <c r="L132" s="432">
        <f>SUMIFS($E$192:$E$354,$A$192:$A$354,"&gt;31/1/2026",$A$192:$A$354,"&lt;1/3/2026",$D$192:$D$354,$I132)</f>
        <v/>
      </c>
      <c r="M132" s="432">
        <f>SUMIFS($E$192:$E$354,$A$192:$A$354,"&gt;28/2/2026",$A$192:$A$354,"&lt;1/4/2026",$D$192:$D$354,$I132)</f>
        <v/>
      </c>
      <c r="N132" s="432">
        <f>SUMIFS($E$192:$E$354,$A$192:$A$354,"&gt;31/3/2026",$A$192:$A$354,"&lt;1/5/2026",$D$192:$D$354,$I132)</f>
        <v/>
      </c>
      <c r="O132" s="432">
        <f>SUMIFS($E$192:$E$354,$A$192:$A$354,"&gt;30/4/2026",$A$192:$A$354,"&lt;1/6/2026",$D$192:$D$354,$I132)</f>
        <v/>
      </c>
      <c r="P132" s="432">
        <f>SUMIFS($E$192:$E$354,$A$192:$A$354,"&gt;31/5/2026",$A$192:$A$354,"&lt;1/7/2026",$D$192:$D$354,$I132)</f>
        <v/>
      </c>
      <c r="Q132" s="432">
        <f>SUMIFS($E$192:$E$354,$A$192:$A$354,"&gt;30/6/2026",$A$192:$A$354,"&lt;1/8/2026",$D$192:$D$354,$I132)</f>
        <v/>
      </c>
      <c r="R132" s="432">
        <f>SUMIFS($E$192:$E$354,$A$192:$A$354,"&gt;31/7/2026",$A$192:$A$354,"&lt;1/9/2026",$D$192:$D$354,$I132)</f>
        <v/>
      </c>
      <c r="S132" s="432">
        <f>SUMIFS($E$192:$E$354,$A$192:$A$354,"&gt;31/8/2026",$A$192:$A$354,"&lt;1/10/2026",$D$192:$D$354,$I132)</f>
        <v/>
      </c>
      <c r="T132" s="432">
        <f>SUMIFS($E$192:$E$354,$A$192:$A$354,"&gt;30/9/2026",$A$192:$A$354,"&lt;1/11/2026",$D$192:$D$354,$I132)</f>
        <v/>
      </c>
      <c r="U132" s="432">
        <f>SUMIFS($E$192:$E$354,$A$192:$A$354,"&gt;31/10/2026",$A$192:$A$354,"&lt;1/12/2026",$D$192:$D$354,$I132)</f>
        <v/>
      </c>
      <c r="V132" s="432">
        <f>SUMIFS($E$192:$E$354,$A$192:$A$354,"&gt;30/11/2026",$A$192:$A$354,"&lt;1/1/2027",$D$192:$D$354,$I132)</f>
        <v/>
      </c>
      <c r="W132" s="432">
        <f>SUM(K132:V132)</f>
        <v/>
      </c>
      <c r="X132" s="460">
        <f>L132/$L$138</f>
        <v/>
      </c>
      <c r="Y132" s="460">
        <f>W132/W138</f>
        <v/>
      </c>
    </row>
    <row r="133" ht="13.5" customHeight="1" s="1232">
      <c r="A133" s="1323" t="n"/>
      <c r="B133" s="1323" t="n"/>
      <c r="C133" s="1337" t="n"/>
      <c r="D133" s="1325" t="n"/>
      <c r="E133" s="1338" t="n"/>
      <c r="F133" s="1126" t="n"/>
      <c r="G133" s="1323" t="n"/>
      <c r="H133" s="1326" t="n"/>
      <c r="I133" s="1255" t="inlineStr">
        <is>
          <t>Groupon</t>
        </is>
      </c>
      <c r="K133" s="432">
        <f>SUMIFS($E$192:$E$354,$A$192:$A$354,"&gt;31/12/2025",$A$192:$A$354,"&lt;1/2/2026",$D$192:$D$354,$I133)</f>
        <v/>
      </c>
      <c r="L133" s="432">
        <f>SUMIFS($E$192:$E$354,$A$192:$A$354,"&gt;31/1/2026",$A$192:$A$354,"&lt;1/3/2026",$D$192:$D$354,$I133)</f>
        <v/>
      </c>
      <c r="M133" s="432">
        <f>SUMIFS($E$192:$E$354,$A$192:$A$354,"&gt;28/2/2026",$A$192:$A$354,"&lt;1/4/2026",$D$192:$D$354,$I133)</f>
        <v/>
      </c>
      <c r="N133" s="432">
        <f>SUMIFS($E$192:$E$354,$A$192:$A$354,"&gt;31/3/2026",$A$192:$A$354,"&lt;1/5/2026",$D$192:$D$354,$I133)</f>
        <v/>
      </c>
      <c r="O133" s="432">
        <f>SUMIFS($E$192:$E$354,$A$192:$A$354,"&gt;30/4/2026",$A$192:$A$354,"&lt;1/6/2026",$D$192:$D$354,$I133)</f>
        <v/>
      </c>
      <c r="P133" s="432">
        <f>SUMIFS($E$192:$E$354,$A$192:$A$354,"&gt;31/5/2026",$A$192:$A$354,"&lt;1/7/2026",$D$192:$D$354,$I133)</f>
        <v/>
      </c>
      <c r="Q133" s="432">
        <f>SUMIFS($E$192:$E$354,$A$192:$A$354,"&gt;30/6/2026",$A$192:$A$354,"&lt;1/8/2026",$D$192:$D$354,$I133)</f>
        <v/>
      </c>
      <c r="R133" s="432">
        <f>SUMIFS($E$192:$E$354,$A$192:$A$354,"&gt;31/7/2026",$A$192:$A$354,"&lt;1/9/2026",$D$192:$D$354,$I133)</f>
        <v/>
      </c>
      <c r="S133" s="432">
        <f>SUMIFS($E$192:$E$354,$A$192:$A$354,"&gt;31/8/2026",$A$192:$A$354,"&lt;1/10/2026",$D$192:$D$354,$I133)</f>
        <v/>
      </c>
      <c r="T133" s="432">
        <f>SUMIFS($E$192:$E$354,$A$192:$A$354,"&gt;30/9/2026",$A$192:$A$354,"&lt;1/11/2026",$D$192:$D$354,$I133)</f>
        <v/>
      </c>
      <c r="U133" s="432">
        <f>SUMIFS($E$192:$E$354,$A$192:$A$354,"&gt;31/10/2026",$A$192:$A$354,"&lt;1/12/2026",$D$192:$D$354,$I133)</f>
        <v/>
      </c>
      <c r="V133" s="432">
        <f>SUMIFS($E$192:$E$354,$A$192:$A$354,"&gt;30/11/2026",$A$192:$A$354,"&lt;1/1/2027",$D$192:$D$354,$I133)</f>
        <v/>
      </c>
      <c r="W133" s="432">
        <f>SUM(K133:V133)</f>
        <v/>
      </c>
      <c r="X133" s="460">
        <f>L133/$L$138</f>
        <v/>
      </c>
      <c r="Y133" s="460">
        <f>W133/W138</f>
        <v/>
      </c>
    </row>
    <row r="134" ht="13.5" customHeight="1" s="1232">
      <c r="A134" s="1323" t="n"/>
      <c r="B134" s="1323" t="n"/>
      <c r="C134" s="1337" t="n"/>
      <c r="D134" s="1325" t="n"/>
      <c r="E134" s="1338" t="n"/>
      <c r="F134" s="1126" t="n"/>
      <c r="G134" s="1323" t="n"/>
      <c r="H134" s="1326" t="n"/>
      <c r="I134" s="1255" t="inlineStr">
        <is>
          <t>Cash</t>
        </is>
      </c>
      <c r="K134" s="432">
        <f>SUMIFS($E$192:$E$354,$A$192:$A$354,"&gt;31/12/2025",$A$192:$A$354,"&lt;1/2/2026",$D$192:$D$354,$I134)</f>
        <v/>
      </c>
      <c r="L134" s="432">
        <f>SUMIFS($E$192:$E$354,$A$192:$A$354,"&gt;31/1/2026",$A$192:$A$354,"&lt;1/3/2026",$D$192:$D$354,$I134)</f>
        <v/>
      </c>
      <c r="M134" s="432">
        <f>SUMIFS($E$192:$E$354,$A$192:$A$354,"&gt;28/2/2026",$A$192:$A$354,"&lt;1/4/2026",$D$192:$D$354,$I134)</f>
        <v/>
      </c>
      <c r="N134" s="432">
        <f>SUMIFS($E$192:$E$354,$A$192:$A$354,"&gt;31/3/2026",$A$192:$A$354,"&lt;1/5/2026",$D$192:$D$354,$I134)</f>
        <v/>
      </c>
      <c r="O134" s="432">
        <f>SUMIFS($E$192:$E$354,$A$192:$A$354,"&gt;30/4/2026",$A$192:$A$354,"&lt;1/6/2026",$D$192:$D$354,$I134)</f>
        <v/>
      </c>
      <c r="P134" s="432">
        <f>SUMIFS($E$192:$E$354,$A$192:$A$354,"&gt;31/5/2026",$A$192:$A$354,"&lt;1/7/2026",$D$192:$D$354,$I134)</f>
        <v/>
      </c>
      <c r="Q134" s="432">
        <f>SUMIFS($E$192:$E$354,$A$192:$A$354,"&gt;30/6/2026",$A$192:$A$354,"&lt;1/8/2026",$D$192:$D$354,$I134)</f>
        <v/>
      </c>
      <c r="R134" s="432">
        <f>SUMIFS($E$192:$E$354,$A$192:$A$354,"&gt;31/7/2026",$A$192:$A$354,"&lt;1/9/2026",$D$192:$D$354,$I134)</f>
        <v/>
      </c>
      <c r="S134" s="432">
        <f>SUMIFS($E$192:$E$354,$A$192:$A$354,"&gt;31/8/2026",$A$192:$A$354,"&lt;1/10/2026",$D$192:$D$354,$I134)</f>
        <v/>
      </c>
      <c r="T134" s="432">
        <f>SUMIFS($E$192:$E$354,$A$192:$A$354,"&gt;30/9/2026",$A$192:$A$354,"&lt;1/11/2026",$D$192:$D$354,$I134)</f>
        <v/>
      </c>
      <c r="U134" s="432">
        <f>SUMIFS($E$192:$E$354,$A$192:$A$354,"&gt;31/10/2026",$A$192:$A$354,"&lt;1/12/2026",$D$192:$D$354,$I134)</f>
        <v/>
      </c>
      <c r="V134" s="432">
        <f>SUMIFS($E$192:$E$354,$A$192:$A$354,"&gt;30/11/2026",$A$192:$A$354,"&lt;1/1/2027",$D$192:$D$354,$I134)</f>
        <v/>
      </c>
      <c r="W134" s="432">
        <f>SUM(K134:V134)</f>
        <v/>
      </c>
      <c r="X134" s="460">
        <f>L134/$L$138</f>
        <v/>
      </c>
      <c r="Y134" s="460">
        <f>W134/W138</f>
        <v/>
      </c>
    </row>
    <row r="135" ht="13.5" customHeight="1" s="1232">
      <c r="A135" s="1323" t="n"/>
      <c r="B135" s="1323" t="n"/>
      <c r="C135" s="1337" t="n"/>
      <c r="D135" s="1325" t="n"/>
      <c r="E135" s="1338" t="n"/>
      <c r="F135" s="1126" t="n"/>
      <c r="G135" s="1323" t="n"/>
      <c r="H135" s="1326" t="n"/>
      <c r="I135" s="1260" t="inlineStr">
        <is>
          <t>Gift Voucher Out</t>
        </is>
      </c>
      <c r="K135" s="432">
        <f>SUMIFS($E$192:$E$354,$A$192:$A$354,"&gt;31/12/2025",$A$192:$A$354,"&lt;1/2/2026",$D$192:$D$354,$I135)</f>
        <v/>
      </c>
      <c r="L135" s="432">
        <f>SUMIFS($E$192:$E$354,$A$192:$A$354,"&gt;31/1/2026",$A$192:$A$354,"&lt;1/3/2026",$D$192:$D$354,$I135)</f>
        <v/>
      </c>
      <c r="M135" s="432">
        <f>SUMIFS($E$192:$E$354,$A$192:$A$354,"&gt;28/2/2026",$A$192:$A$354,"&lt;1/4/2026",$D$192:$D$354,$I135)</f>
        <v/>
      </c>
      <c r="N135" s="432">
        <f>SUMIFS($E$192:$E$354,$A$192:$A$354,"&gt;31/3/2026",$A$192:$A$354,"&lt;1/5/2026",$D$192:$D$354,$I135)</f>
        <v/>
      </c>
      <c r="O135" s="432">
        <f>SUMIFS($E$192:$E$354,$A$192:$A$354,"&gt;30/4/2026",$A$192:$A$354,"&lt;1/6/2026",$D$192:$D$354,$I135)</f>
        <v/>
      </c>
      <c r="P135" s="432">
        <f>SUMIFS($E$192:$E$354,$A$192:$A$354,"&gt;31/5/2026",$A$192:$A$354,"&lt;1/7/2026",$D$192:$D$354,$I135)</f>
        <v/>
      </c>
      <c r="Q135" s="432">
        <f>SUMIFS($E$192:$E$354,$A$192:$A$354,"&gt;30/6/2026",$A$192:$A$354,"&lt;1/8/2026",$D$192:$D$354,$I135)</f>
        <v/>
      </c>
      <c r="R135" s="432">
        <f>SUMIFS($E$192:$E$354,$A$192:$A$354,"&gt;31/7/2026",$A$192:$A$354,"&lt;1/9/2026",$D$192:$D$354,$I135)</f>
        <v/>
      </c>
      <c r="S135" s="432">
        <f>SUMIFS($E$192:$E$354,$A$192:$A$354,"&gt;31/8/2026",$A$192:$A$354,"&lt;1/10/2026",$D$192:$D$354,$I135)</f>
        <v/>
      </c>
      <c r="T135" s="432">
        <f>SUMIFS($E$192:$E$354,$A$192:$A$354,"&gt;30/9/2026",$A$192:$A$354,"&lt;1/11/2026",$D$192:$D$354,$I135)</f>
        <v/>
      </c>
      <c r="U135" s="432">
        <f>SUMIFS($E$192:$E$354,$A$192:$A$354,"&gt;31/10/2026",$A$192:$A$354,"&lt;1/12/2026",$D$192:$D$354,$I135)</f>
        <v/>
      </c>
      <c r="V135" s="432">
        <f>SUMIFS($E$192:$E$354,$A$192:$A$354,"&gt;30/11/2026",$A$192:$A$354,"&lt;1/1/2027",$D$192:$D$354,$I135)</f>
        <v/>
      </c>
      <c r="W135" s="432">
        <f>SUM(K135:V135)</f>
        <v/>
      </c>
      <c r="X135" s="460" t="n"/>
      <c r="Y135" s="460" t="n"/>
    </row>
    <row r="136" ht="13.5" customHeight="1" s="1232">
      <c r="A136" s="1323" t="n"/>
      <c r="B136" s="1323" t="n"/>
      <c r="C136" s="1337" t="n"/>
      <c r="D136" s="1325" t="n"/>
      <c r="E136" s="1338" t="n"/>
      <c r="F136" s="1126" t="n"/>
      <c r="G136" s="1323" t="n"/>
      <c r="H136" s="1326" t="n"/>
      <c r="I136" s="1260" t="inlineStr">
        <is>
          <t>PicknMix</t>
        </is>
      </c>
      <c r="K136" s="432">
        <f>SUMIFS($E$192:$E$354,$A$192:$A$354,"&gt;31/12/2025",$A$192:$A$354,"&lt;1/2/2026",$D$192:$D$354,$I136)</f>
        <v/>
      </c>
      <c r="L136" s="432">
        <f>SUMIFS($E$192:$E$354,$A$192:$A$354,"&gt;31/1/2026",$A$192:$A$354,"&lt;1/3/2026",$D$192:$D$354,$I136)</f>
        <v/>
      </c>
      <c r="M136" s="432">
        <f>SUMIFS($E$192:$E$354,$A$192:$A$354,"&gt;28/2/2026",$A$192:$A$354,"&lt;1/4/2026",$D$192:$D$354,$I136)</f>
        <v/>
      </c>
      <c r="N136" s="432">
        <f>SUMIFS($E$192:$E$354,$A$192:$A$354,"&gt;31/3/2026",$A$192:$A$354,"&lt;1/5/2026",$D$192:$D$354,$I136)</f>
        <v/>
      </c>
      <c r="O136" s="432">
        <f>SUMIFS($E$192:$E$354,$A$192:$A$354,"&gt;30/4/2026",$A$192:$A$354,"&lt;1/6/2026",$D$192:$D$354,$I136)</f>
        <v/>
      </c>
      <c r="P136" s="432">
        <f>SUMIFS($E$192:$E$354,$A$192:$A$354,"&gt;31/5/2026",$A$192:$A$354,"&lt;1/7/2026",$D$192:$D$354,$I136)</f>
        <v/>
      </c>
      <c r="Q136" s="432">
        <f>SUMIFS($E$192:$E$354,$A$192:$A$354,"&gt;30/6/2026",$A$192:$A$354,"&lt;1/8/2026",$D$192:$D$354,$I136)</f>
        <v/>
      </c>
      <c r="R136" s="432">
        <f>SUMIFS($E$192:$E$354,$A$192:$A$354,"&gt;31/7/2026",$A$192:$A$354,"&lt;1/9/2026",$D$192:$D$354,$I136)</f>
        <v/>
      </c>
      <c r="S136" s="432">
        <f>SUMIFS($E$192:$E$354,$A$192:$A$354,"&gt;31/8/2026",$A$192:$A$354,"&lt;1/10/2026",$D$192:$D$354,$I136)</f>
        <v/>
      </c>
      <c r="T136" s="432">
        <f>SUMIFS($E$192:$E$354,$A$192:$A$354,"&gt;30/9/2026",$A$192:$A$354,"&lt;1/11/2026",$D$192:$D$354,$I136)</f>
        <v/>
      </c>
      <c r="U136" s="432">
        <f>SUMIFS($E$192:$E$354,$A$192:$A$354,"&gt;31/10/2026",$A$192:$A$354,"&lt;1/12/2026",$D$192:$D$354,$I136)</f>
        <v/>
      </c>
      <c r="V136" s="432">
        <f>SUMIFS($E$192:$E$354,$A$192:$A$354,"&gt;30/11/2026",$A$192:$A$354,"&lt;1/1/2027",$D$192:$D$354,$I136)</f>
        <v/>
      </c>
      <c r="W136" s="432">
        <f>SUM(K136:V136)</f>
        <v/>
      </c>
      <c r="X136" s="460">
        <f>L136/$L$138</f>
        <v/>
      </c>
      <c r="Y136" s="460">
        <f>W136/W138</f>
        <v/>
      </c>
    </row>
    <row r="137" ht="13.5" customHeight="1" s="1232">
      <c r="A137" s="1323" t="n"/>
      <c r="B137" s="1323" t="n"/>
      <c r="C137" s="1337" t="n"/>
      <c r="D137" s="1325" t="n"/>
      <c r="E137" s="1338" t="n"/>
      <c r="F137" s="1126" t="n"/>
      <c r="G137" s="1323" t="n"/>
      <c r="H137" s="1326" t="n"/>
      <c r="I137" s="1260" t="inlineStr">
        <is>
          <t>W-Pay</t>
        </is>
      </c>
      <c r="K137" s="432">
        <f>SUMIFS($E$192:$E$354,$A$192:$A$354,"&gt;31/12/2025",$A$192:$A$354,"&lt;1/2/2026",$D$192:$D$354,$I137)</f>
        <v/>
      </c>
      <c r="L137" s="432">
        <f>SUMIFS($E$192:$E$354,$A$192:$A$354,"&gt;31/1/2026",$A$192:$A$354,"&lt;1/3/2026",$D$192:$D$354,$I137)</f>
        <v/>
      </c>
      <c r="M137" s="432">
        <f>SUMIFS($E$192:$E$354,$A$192:$A$354,"&gt;28/2/2026",$A$192:$A$354,"&lt;1/4/2026",$D$192:$D$354,$I137)</f>
        <v/>
      </c>
      <c r="N137" s="432">
        <f>SUMIFS($E$192:$E$354,$A$192:$A$354,"&gt;31/3/2026",$A$192:$A$354,"&lt;1/5/2026",$D$192:$D$354,$I137)</f>
        <v/>
      </c>
      <c r="O137" s="432">
        <f>SUMIFS($E$192:$E$354,$A$192:$A$354,"&gt;30/4/2026",$A$192:$A$354,"&lt;1/6/2026",$D$192:$D$354,$I137)</f>
        <v/>
      </c>
      <c r="P137" s="432">
        <f>SUMIFS($E$192:$E$354,$A$192:$A$354,"&gt;31/5/2026",$A$192:$A$354,"&lt;1/7/2026",$D$192:$D$354,$I137)</f>
        <v/>
      </c>
      <c r="Q137" s="432">
        <f>SUMIFS($E$192:$E$354,$A$192:$A$354,"&gt;30/6/2026",$A$192:$A$354,"&lt;1/8/2026",$D$192:$D$354,$I137)</f>
        <v/>
      </c>
      <c r="R137" s="432">
        <f>SUMIFS($E$192:$E$354,$A$192:$A$354,"&gt;31/7/2026",$A$192:$A$354,"&lt;1/9/2026",$D$192:$D$354,$I137)</f>
        <v/>
      </c>
      <c r="S137" s="432">
        <f>SUMIFS($E$192:$E$354,$A$192:$A$354,"&gt;31/8/2026",$A$192:$A$354,"&lt;1/10/2026",$D$192:$D$354,$I137)</f>
        <v/>
      </c>
      <c r="T137" s="432">
        <f>SUMIFS($E$192:$E$354,$A$192:$A$354,"&gt;30/9/2026",$A$192:$A$354,"&lt;1/11/2026",$D$192:$D$354,$I137)</f>
        <v/>
      </c>
      <c r="U137" s="432">
        <f>SUMIFS($E$192:$E$354,$A$192:$A$354,"&gt;31/10/2026",$A$192:$A$354,"&lt;1/12/2026",$D$192:$D$354,$I137)</f>
        <v/>
      </c>
      <c r="V137" s="432">
        <f>SUMIFS($E$192:$E$354,$A$192:$A$354,"&gt;30/11/2026",$A$192:$A$354,"&lt;1/1/2027",$D$192:$D$354,$I137)</f>
        <v/>
      </c>
      <c r="W137" s="432">
        <f>SUM(K137:V137)</f>
        <v/>
      </c>
      <c r="X137" s="460">
        <f>L137/$L$138</f>
        <v/>
      </c>
      <c r="Y137" s="460">
        <f>W137/W138</f>
        <v/>
      </c>
    </row>
    <row r="138" ht="14.25" customHeight="1" s="1232" thickBot="1">
      <c r="A138" s="1323" t="n"/>
      <c r="B138" s="1323" t="n"/>
      <c r="C138" s="1337" t="n"/>
      <c r="D138" s="1325" t="n"/>
      <c r="E138" s="1338" t="n"/>
      <c r="F138" s="1126" t="n"/>
      <c r="G138" s="1323" t="n"/>
      <c r="H138" s="1326" t="n"/>
      <c r="I138" s="914" t="n"/>
      <c r="K138" s="801">
        <f>SUM(K129:K137)</f>
        <v/>
      </c>
      <c r="L138" s="801">
        <f>SUM(L129:L137)</f>
        <v/>
      </c>
      <c r="M138" s="801">
        <f>SUM(M129:M137)</f>
        <v/>
      </c>
      <c r="N138" s="801">
        <f>SUM(N129:N137)</f>
        <v/>
      </c>
      <c r="O138" s="801">
        <f>SUM(O129:O137)</f>
        <v/>
      </c>
      <c r="P138" s="801">
        <f>SUM(P129:P137)</f>
        <v/>
      </c>
      <c r="Q138" s="801">
        <f>SUM(Q129:Q137)</f>
        <v/>
      </c>
      <c r="R138" s="801">
        <f>SUM(R129:R137)</f>
        <v/>
      </c>
      <c r="S138" s="801">
        <f>SUM(S129:S137)</f>
        <v/>
      </c>
      <c r="T138" s="801">
        <f>SUM(T129:T137)</f>
        <v/>
      </c>
      <c r="U138" s="801">
        <f>SUM(U129:U137)</f>
        <v/>
      </c>
      <c r="V138" s="801">
        <f>SUM(V129:V137)</f>
        <v/>
      </c>
      <c r="W138" s="801">
        <f>SUM(W129:W137)</f>
        <v/>
      </c>
      <c r="X138" s="914" t="n"/>
      <c r="Y138" s="466" t="n"/>
    </row>
    <row r="139" ht="13.9" customHeight="1" s="1232" thickTop="1">
      <c r="A139" s="1323" t="n"/>
      <c r="B139" s="1323" t="n"/>
      <c r="C139" s="1337" t="n"/>
      <c r="D139" s="1325" t="n"/>
      <c r="E139" s="1338" t="n"/>
      <c r="F139" s="1126" t="n"/>
      <c r="G139" s="1323" t="n"/>
      <c r="H139" s="1326" t="n"/>
      <c r="I139" s="914" t="n"/>
      <c r="K139" s="434">
        <f>K138-K18</f>
        <v/>
      </c>
      <c r="L139" s="434">
        <f>L138-L18</f>
        <v/>
      </c>
      <c r="M139" s="434">
        <f>M138-M18</f>
        <v/>
      </c>
      <c r="N139" s="434">
        <f>N138-N18</f>
        <v/>
      </c>
      <c r="O139" s="434">
        <f>O138-O18</f>
        <v/>
      </c>
      <c r="P139" s="434">
        <f>P138-P18</f>
        <v/>
      </c>
      <c r="Q139" s="434">
        <f>Q138-Q18</f>
        <v/>
      </c>
      <c r="R139" s="434">
        <f>R138-R18</f>
        <v/>
      </c>
      <c r="S139" s="434">
        <f>S138-S18</f>
        <v/>
      </c>
      <c r="T139" s="434">
        <f>T138-T18</f>
        <v/>
      </c>
      <c r="U139" s="434">
        <f>U138-U18</f>
        <v/>
      </c>
      <c r="V139" s="434">
        <f>V138-V18</f>
        <v/>
      </c>
      <c r="W139" s="434">
        <f>W138-W18</f>
        <v/>
      </c>
      <c r="X139" s="914" t="n"/>
    </row>
    <row r="140" ht="13.9" customHeight="1" s="1232">
      <c r="A140" s="1323" t="n"/>
      <c r="B140" s="1323" t="n"/>
      <c r="C140" s="1337" t="n"/>
      <c r="D140" s="1325" t="n"/>
      <c r="E140" s="1338" t="n"/>
      <c r="F140" s="1126" t="n"/>
      <c r="G140" s="1323" t="n"/>
      <c r="H140" s="1326" t="n"/>
      <c r="I140" s="556" t="inlineStr">
        <is>
          <t>Payment Fees</t>
        </is>
      </c>
      <c r="K140" s="1332" t="inlineStr">
        <is>
          <t>Jan</t>
        </is>
      </c>
      <c r="L140" s="1332" t="inlineStr">
        <is>
          <t>Feb</t>
        </is>
      </c>
      <c r="M140" s="1332" t="inlineStr">
        <is>
          <t>Mar</t>
        </is>
      </c>
      <c r="N140" s="1332" t="inlineStr">
        <is>
          <t>Apr</t>
        </is>
      </c>
      <c r="O140" s="1332" t="inlineStr">
        <is>
          <t>May</t>
        </is>
      </c>
      <c r="P140" s="1332" t="inlineStr">
        <is>
          <t>Jun</t>
        </is>
      </c>
      <c r="Q140" s="1332" t="inlineStr">
        <is>
          <t>Jul</t>
        </is>
      </c>
      <c r="R140" s="1332" t="inlineStr">
        <is>
          <t>Aug</t>
        </is>
      </c>
      <c r="S140" s="1332" t="inlineStr">
        <is>
          <t>Sep</t>
        </is>
      </c>
      <c r="T140" s="1332" t="inlineStr">
        <is>
          <t>Oct</t>
        </is>
      </c>
      <c r="U140" s="1332" t="inlineStr">
        <is>
          <t>Nov</t>
        </is>
      </c>
      <c r="V140" s="1332" t="inlineStr">
        <is>
          <t>Dec</t>
        </is>
      </c>
      <c r="W140" s="1332" t="inlineStr">
        <is>
          <t>Year</t>
        </is>
      </c>
      <c r="X140" s="914" t="n"/>
    </row>
    <row r="141" ht="13.9" customHeight="1" s="1232">
      <c r="A141" s="1323" t="n"/>
      <c r="B141" s="1323" t="n"/>
      <c r="C141" s="1337" t="n"/>
      <c r="D141" s="1325" t="n"/>
      <c r="E141" s="1338" t="n"/>
      <c r="F141" s="1126" t="n"/>
      <c r="G141" s="1323" t="n"/>
      <c r="H141" s="1326" t="n"/>
      <c r="I141" s="791" t="inlineStr">
        <is>
          <t>Stripe 1.5% +20p</t>
        </is>
      </c>
      <c r="J141" s="1342" t="n">
        <v>0.016</v>
      </c>
      <c r="K141" s="1261">
        <f>K129*$J141</f>
        <v/>
      </c>
      <c r="L141" s="1261">
        <f>L129*$J141</f>
        <v/>
      </c>
      <c r="M141" s="1261">
        <f>M129*$J141</f>
        <v/>
      </c>
      <c r="N141" s="1261">
        <f>N129*$J141</f>
        <v/>
      </c>
      <c r="O141" s="1261">
        <f>O129*$J141</f>
        <v/>
      </c>
      <c r="P141" s="1261">
        <f>P129*$J141</f>
        <v/>
      </c>
      <c r="Q141" s="1261">
        <f>Q129*$J141</f>
        <v/>
      </c>
      <c r="R141" s="1261">
        <f>R129*$J141</f>
        <v/>
      </c>
      <c r="S141" s="1261">
        <f>S129*$J141</f>
        <v/>
      </c>
      <c r="T141" s="1261">
        <f>T129*$J141</f>
        <v/>
      </c>
      <c r="U141" s="1261">
        <f>U129*$J141</f>
        <v/>
      </c>
      <c r="V141" s="1261">
        <f>V129*$J141</f>
        <v/>
      </c>
      <c r="W141" s="432">
        <f>SUM(K141:V141)</f>
        <v/>
      </c>
      <c r="X141" s="914" t="n"/>
      <c r="Y141" s="466" t="n"/>
    </row>
    <row r="142" ht="13.9" customHeight="1" s="1232">
      <c r="A142" s="1323" t="n"/>
      <c r="B142" s="1323" t="n"/>
      <c r="C142" s="1337" t="n"/>
      <c r="D142" s="1325" t="n"/>
      <c r="E142" s="1338" t="n"/>
      <c r="F142" s="1126" t="n"/>
      <c r="G142" s="1323" t="n"/>
      <c r="H142" s="1326" t="n"/>
      <c r="I142" s="791" t="inlineStr">
        <is>
          <t>Paypal 2.90% + £0.30</t>
        </is>
      </c>
      <c r="K142" s="1261">
        <f>K130*3.5%</f>
        <v/>
      </c>
      <c r="L142" s="1261">
        <f>L130*3.5%</f>
        <v/>
      </c>
      <c r="M142" s="1261">
        <f>M130*3.5%</f>
        <v/>
      </c>
      <c r="N142" s="1261">
        <f>N130*3.5%</f>
        <v/>
      </c>
      <c r="O142" s="1261">
        <f>O130*3.5%</f>
        <v/>
      </c>
      <c r="P142" s="1261">
        <f>P130*3.5%</f>
        <v/>
      </c>
      <c r="Q142" s="1261">
        <f>Q130*3.5%</f>
        <v/>
      </c>
      <c r="R142" s="1261">
        <f>R130*3.5%</f>
        <v/>
      </c>
      <c r="S142" s="1261">
        <f>S130*3.5%</f>
        <v/>
      </c>
      <c r="T142" s="1261">
        <f>T130*3.5%</f>
        <v/>
      </c>
      <c r="U142" s="1261">
        <f>U130*3.5%</f>
        <v/>
      </c>
      <c r="V142" s="1261">
        <f>V130*3.5%</f>
        <v/>
      </c>
      <c r="W142" s="432">
        <f>SUM(K142:V142)</f>
        <v/>
      </c>
      <c r="X142" s="914" t="n"/>
      <c r="Y142" s="466" t="n"/>
    </row>
    <row r="143" ht="13.9" customHeight="1" s="1232">
      <c r="A143" s="1323" t="n"/>
      <c r="B143" s="1323" t="n"/>
      <c r="C143" s="1337" t="n"/>
      <c r="D143" s="1325" t="n"/>
      <c r="E143" s="1338" t="n"/>
      <c r="F143" s="1126" t="n"/>
      <c r="G143" s="1323" t="n"/>
      <c r="H143" s="1326" t="n"/>
      <c r="I143" s="791" t="inlineStr">
        <is>
          <t>W-Pay</t>
        </is>
      </c>
      <c r="K143" s="1261">
        <f>K137*3.5%</f>
        <v/>
      </c>
      <c r="L143" s="1261">
        <f>L137*3.5%</f>
        <v/>
      </c>
      <c r="M143" s="1261">
        <f>M137*3.5%</f>
        <v/>
      </c>
      <c r="N143" s="1261">
        <f>N137*3.5%</f>
        <v/>
      </c>
      <c r="O143" s="1261">
        <f>O137*3.5%</f>
        <v/>
      </c>
      <c r="P143" s="1261">
        <f>P137*3.5%</f>
        <v/>
      </c>
      <c r="Q143" s="1261">
        <f>Q137*3.5%</f>
        <v/>
      </c>
      <c r="R143" s="1261">
        <f>R137*3.5%</f>
        <v/>
      </c>
      <c r="S143" s="1261">
        <f>S137*3.5%</f>
        <v/>
      </c>
      <c r="T143" s="1261">
        <f>T137*3.5%</f>
        <v/>
      </c>
      <c r="U143" s="1261">
        <f>U137*3.5%</f>
        <v/>
      </c>
      <c r="V143" s="1261">
        <f>V137*3.5%</f>
        <v/>
      </c>
      <c r="W143" s="586">
        <f>SUM(K143:V143)</f>
        <v/>
      </c>
      <c r="X143" s="914" t="n"/>
      <c r="Y143" s="466" t="n"/>
    </row>
    <row r="144" ht="14.25" customHeight="1" s="1232" thickBot="1">
      <c r="A144" s="1323" t="n"/>
      <c r="B144" s="1323" t="n"/>
      <c r="C144" s="1337" t="n"/>
      <c r="D144" s="1325" t="n"/>
      <c r="E144" s="1338" t="n"/>
      <c r="F144" s="1126" t="n"/>
      <c r="G144" s="1323" t="n"/>
      <c r="H144" s="1326" t="n"/>
      <c r="I144" s="822" t="inlineStr">
        <is>
          <t>Total Fees</t>
        </is>
      </c>
      <c r="J144" s="1343" t="n"/>
      <c r="K144" s="822">
        <f>SUM(K140:K143)</f>
        <v/>
      </c>
      <c r="L144" s="822">
        <f>SUM(L140:L143)</f>
        <v/>
      </c>
      <c r="M144" s="822">
        <f>SUM(M140:M143)</f>
        <v/>
      </c>
      <c r="N144" s="822">
        <f>SUM(N140:N143)</f>
        <v/>
      </c>
      <c r="O144" s="822">
        <f>SUM(O140:O143)</f>
        <v/>
      </c>
      <c r="P144" s="822">
        <f>SUM(P140:P143)</f>
        <v/>
      </c>
      <c r="Q144" s="822">
        <f>SUM(Q140:Q143)</f>
        <v/>
      </c>
      <c r="R144" s="822">
        <f>SUM(R140:R143)</f>
        <v/>
      </c>
      <c r="S144" s="822">
        <f>SUM(S140:S143)</f>
        <v/>
      </c>
      <c r="T144" s="822">
        <f>SUM(T140:T143)</f>
        <v/>
      </c>
      <c r="U144" s="822">
        <f>SUM(U140:U143)</f>
        <v/>
      </c>
      <c r="V144" s="822">
        <f>SUM(V140:V143)</f>
        <v/>
      </c>
      <c r="W144" s="824">
        <f>SUM(K144:V144)</f>
        <v/>
      </c>
      <c r="X144" s="914" t="n"/>
      <c r="Y144" s="466" t="n"/>
    </row>
    <row r="145" ht="13.9" customHeight="1" s="1232">
      <c r="A145" s="1323" t="n"/>
      <c r="B145" s="1323" t="n"/>
      <c r="C145" s="1337" t="n"/>
      <c r="D145" s="1325" t="n"/>
      <c r="E145" s="1338" t="n"/>
      <c r="F145" s="1126" t="n"/>
      <c r="G145" s="1323" t="n"/>
      <c r="H145" s="1326" t="n"/>
      <c r="I145" s="914" t="n"/>
      <c r="K145" s="914" t="n"/>
      <c r="L145" s="914" t="n"/>
      <c r="M145" s="914" t="n"/>
      <c r="N145" s="914" t="n"/>
      <c r="O145" s="914" t="n"/>
      <c r="P145" s="914" t="n"/>
      <c r="Q145" s="914" t="n"/>
      <c r="R145" s="914" t="n"/>
      <c r="S145" s="914" t="n"/>
      <c r="T145" s="914" t="n"/>
      <c r="U145" s="914" t="n"/>
      <c r="V145" s="914" t="n"/>
      <c r="W145" s="461">
        <f>SUM(K145:V145)</f>
        <v/>
      </c>
      <c r="X145" s="914" t="n"/>
      <c r="Y145" s="466" t="n"/>
    </row>
    <row r="146" ht="14.25" customHeight="1" s="1232" thickBot="1">
      <c r="A146" s="1323" t="n"/>
      <c r="B146" s="1323" t="n"/>
      <c r="C146" s="1337" t="n"/>
      <c r="D146" s="1325" t="n"/>
      <c r="E146" s="1338" t="n"/>
      <c r="F146" s="1126" t="n"/>
      <c r="G146" s="1323" t="n"/>
      <c r="H146" s="1326" t="n"/>
      <c r="I146" s="561" t="inlineStr">
        <is>
          <t>Net Payment</t>
        </is>
      </c>
      <c r="K146" s="801">
        <f>K138-K144</f>
        <v/>
      </c>
      <c r="L146" s="801">
        <f>L138-L144</f>
        <v/>
      </c>
      <c r="M146" s="801">
        <f>M138-M144</f>
        <v/>
      </c>
      <c r="N146" s="801">
        <f>N138-N144</f>
        <v/>
      </c>
      <c r="O146" s="801">
        <f>O138-O144</f>
        <v/>
      </c>
      <c r="P146" s="801">
        <f>P138-P144</f>
        <v/>
      </c>
      <c r="Q146" s="801">
        <f>Q138-Q144</f>
        <v/>
      </c>
      <c r="R146" s="801">
        <f>R138-R144</f>
        <v/>
      </c>
      <c r="S146" s="801">
        <f>S138-S144</f>
        <v/>
      </c>
      <c r="T146" s="801">
        <f>T138-T144</f>
        <v/>
      </c>
      <c r="U146" s="801">
        <f>U138-U144</f>
        <v/>
      </c>
      <c r="V146" s="801">
        <f>V138-V144</f>
        <v/>
      </c>
      <c r="W146" s="802">
        <f>SUM(K146:V146)</f>
        <v/>
      </c>
      <c r="X146" s="914" t="n"/>
      <c r="Y146" s="466" t="n"/>
    </row>
    <row r="147" ht="13.9" customHeight="1" s="1232" thickTop="1">
      <c r="A147" s="1344" t="n"/>
      <c r="B147" s="1323" t="n"/>
      <c r="C147" s="1323" t="n"/>
      <c r="D147" s="1323" t="n"/>
      <c r="E147" s="1344" t="n"/>
      <c r="F147" s="1323" t="n"/>
      <c r="G147" s="1323" t="n"/>
      <c r="H147" s="1323" t="n"/>
      <c r="I147" s="914" t="n"/>
      <c r="K147" s="914" t="n"/>
      <c r="L147" s="914" t="n"/>
      <c r="M147" s="914" t="n"/>
      <c r="N147" s="914" t="n"/>
      <c r="O147" s="914" t="n"/>
      <c r="P147" s="914" t="n"/>
      <c r="Q147" s="914" t="n"/>
      <c r="R147" s="914" t="n"/>
      <c r="S147" s="914" t="n"/>
      <c r="T147" s="914" t="n"/>
      <c r="U147" s="914" t="n"/>
      <c r="V147" s="914" t="n"/>
      <c r="W147" s="914" t="n"/>
      <c r="X147" s="914" t="n"/>
    </row>
    <row r="148">
      <c r="K148" s="914" t="n"/>
      <c r="L148" s="914" t="n"/>
      <c r="M148" s="914" t="n"/>
      <c r="N148" s="914" t="n"/>
      <c r="O148" s="914" t="n"/>
      <c r="P148" s="914" t="n"/>
      <c r="Q148" s="914" t="n"/>
      <c r="R148" s="914" t="n"/>
      <c r="S148" s="914" t="n"/>
      <c r="T148" s="914" t="n"/>
      <c r="U148" s="914" t="n"/>
      <c r="V148" s="914" t="n"/>
      <c r="W148" s="914" t="n"/>
      <c r="X148" s="914" t="n"/>
    </row>
    <row r="149" ht="13.15" customHeight="1" s="1232">
      <c r="I149" s="556" t="inlineStr">
        <is>
          <t>Booking source</t>
        </is>
      </c>
      <c r="K149" s="1332" t="inlineStr">
        <is>
          <t>Jan</t>
        </is>
      </c>
      <c r="L149" s="1332" t="inlineStr">
        <is>
          <t>Feb</t>
        </is>
      </c>
      <c r="M149" s="1332" t="inlineStr">
        <is>
          <t>Mar</t>
        </is>
      </c>
      <c r="N149" s="1332" t="inlineStr">
        <is>
          <t>Apr</t>
        </is>
      </c>
      <c r="O149" s="1332" t="inlineStr">
        <is>
          <t>May</t>
        </is>
      </c>
      <c r="P149" s="1332" t="inlineStr">
        <is>
          <t>Jun</t>
        </is>
      </c>
      <c r="Q149" s="1332" t="inlineStr">
        <is>
          <t>Jul</t>
        </is>
      </c>
      <c r="R149" s="1332" t="inlineStr">
        <is>
          <t>Aug</t>
        </is>
      </c>
      <c r="S149" s="1332" t="inlineStr">
        <is>
          <t>Sep</t>
        </is>
      </c>
      <c r="T149" s="1332" t="inlineStr">
        <is>
          <t>Oct</t>
        </is>
      </c>
      <c r="U149" s="1332" t="inlineStr">
        <is>
          <t>Nov</t>
        </is>
      </c>
      <c r="V149" s="1332" t="inlineStr">
        <is>
          <t>Dec</t>
        </is>
      </c>
      <c r="W149" s="1332" t="inlineStr">
        <is>
          <t>Year</t>
        </is>
      </c>
      <c r="X149" s="1278" t="inlineStr">
        <is>
          <t>Split</t>
        </is>
      </c>
    </row>
    <row r="150">
      <c r="I150" s="1255" t="inlineStr">
        <is>
          <t>Google</t>
        </is>
      </c>
      <c r="K150" s="432">
        <f>SUMIFS($E$192:$E$354,$A$192:$A$354,"&gt;31/12/2025",$A$192:$A$354,"&lt;1/2/2026",$G$192:$G$354,$I150)</f>
        <v/>
      </c>
      <c r="L150" s="432">
        <f>SUMIFS($E$192:$E$354,$A$192:$A$354,"&gt;31/1/2026",$A$192:$A$354,"&lt;1/3/2026",$G$192:$G$354,$I150)</f>
        <v/>
      </c>
      <c r="M150" s="432">
        <f>SUMIFS($E$192:$E$354,$A$192:$A$354,"&gt;28/2/2026",$A$192:$A$354,"&lt;1/4/2026",$G$192:$G$354,$I150)</f>
        <v/>
      </c>
      <c r="N150" s="432">
        <f>SUMIFS($E$192:$E$354,$A$192:$A$354,"&gt;31/3/2026",$A$192:$A$354,"&lt;1/5/2026",$G$192:$G$354,$I150)</f>
        <v/>
      </c>
      <c r="O150" s="432">
        <f>SUMIFS($E$192:$E$354,$A$192:$A$354,"&gt;30/4/2026",$A$192:$A$354,"&lt;1/6/2026",$G$192:$G$354,$I150)</f>
        <v/>
      </c>
      <c r="P150" s="432">
        <f>SUMIFS($E$192:$E$354,$A$192:$A$354,"&gt;31/5/2026",$A$192:$A$354,"&lt;1/7/2026",$G$192:$G$354,$I150)</f>
        <v/>
      </c>
      <c r="Q150" s="432">
        <f>SUMIFS($E$192:$E$354,$A$192:$A$354,"&gt;30/6/2026",$A$192:$A$354,"&lt;1/8/2026",$G$192:$G$354,$I150)</f>
        <v/>
      </c>
      <c r="R150" s="432">
        <f>SUMIFS($E$192:$E$354,$A$192:$A$354,"&gt;31/7/2026",$A$192:$A$354,"&lt;1/9/2026",$G$192:$G$354,$I150)</f>
        <v/>
      </c>
      <c r="S150" s="432">
        <f>SUMIFS($E$192:$E$354,$A$192:$A$354,"&gt;31/8/2026",$A$192:$A$354,"&lt;1/10/2026",$G$192:$G$354,$I150)</f>
        <v/>
      </c>
      <c r="T150" s="432">
        <f>SUMIFS($E$192:$E$354,$A$192:$A$354,"&gt;30/9/2026",$A$192:$A$354,"&lt;1/11/2026",$G$192:$G$354,$I150)</f>
        <v/>
      </c>
      <c r="U150" s="432">
        <f>SUMIFS($E$192:$E$354,$A$192:$A$354,"&gt;31/10/2026",$A$192:$A$354,"&lt;1/12/2026",$G$192:$G$354,$I150)</f>
        <v/>
      </c>
      <c r="V150" s="432">
        <f>SUMIFS($E$192:$E$354,$A$192:$A$354,"&gt;30/11/2026",$A$192:$A$354,"&lt;1/1/2027",$G$192:$G$354,$I150)</f>
        <v/>
      </c>
      <c r="W150" s="432">
        <f>SUM(K150:V150)</f>
        <v/>
      </c>
      <c r="X150" s="460">
        <f>IFERROR(W150/$W$161,0)</f>
        <v/>
      </c>
    </row>
    <row r="151">
      <c r="I151" s="1255" t="inlineStr">
        <is>
          <t>Existing</t>
        </is>
      </c>
      <c r="K151" s="432">
        <f>SUMIFS($E$192:$E$354,$A$192:$A$354,"&gt;31/12/2025",$A$192:$A$354,"&lt;1/2/2026",$G$192:$G$354,$I151)</f>
        <v/>
      </c>
      <c r="L151" s="432">
        <f>SUMIFS($E$192:$E$354,$A$192:$A$354,"&gt;31/1/2026",$A$192:$A$354,"&lt;1/3/2026",$G$192:$G$354,$I151)</f>
        <v/>
      </c>
      <c r="M151" s="432">
        <f>SUMIFS($E$192:$E$354,$A$192:$A$354,"&gt;28/2/2026",$A$192:$A$354,"&lt;1/4/2026",$G$192:$G$354,$I151)</f>
        <v/>
      </c>
      <c r="N151" s="432">
        <f>SUMIFS($E$192:$E$354,$A$192:$A$354,"&gt;31/3/2026",$A$192:$A$354,"&lt;1/5/2026",$G$192:$G$354,$I151)</f>
        <v/>
      </c>
      <c r="O151" s="432">
        <f>SUMIFS($E$192:$E$354,$A$192:$A$354,"&gt;30/4/2026",$A$192:$A$354,"&lt;1/6/2026",$G$192:$G$354,$I151)</f>
        <v/>
      </c>
      <c r="P151" s="432">
        <f>SUMIFS($E$192:$E$354,$A$192:$A$354,"&gt;31/5/2026",$A$192:$A$354,"&lt;1/7/2026",$G$192:$G$354,$I151)</f>
        <v/>
      </c>
      <c r="Q151" s="432">
        <f>SUMIFS($E$192:$E$354,$A$192:$A$354,"&gt;30/6/2026",$A$192:$A$354,"&lt;1/8/2026",$G$192:$G$354,$I151)</f>
        <v/>
      </c>
      <c r="R151" s="432">
        <f>SUMIFS($E$192:$E$354,$A$192:$A$354,"&gt;31/7/2026",$A$192:$A$354,"&lt;1/9/2026",$G$192:$G$354,$I151)</f>
        <v/>
      </c>
      <c r="S151" s="432">
        <f>SUMIFS($E$192:$E$354,$A$192:$A$354,"&gt;31/8/2026",$A$192:$A$354,"&lt;1/10/2026",$G$192:$G$354,$I151)</f>
        <v/>
      </c>
      <c r="T151" s="432">
        <f>SUMIFS($E$192:$E$354,$A$192:$A$354,"&gt;30/9/2026",$A$192:$A$354,"&lt;1/11/2026",$G$192:$G$354,$I151)</f>
        <v/>
      </c>
      <c r="U151" s="432">
        <f>SUMIFS($E$192:$E$354,$A$192:$A$354,"&gt;31/10/2026",$A$192:$A$354,"&lt;1/12/2026",$G$192:$G$354,$I151)</f>
        <v/>
      </c>
      <c r="V151" s="432">
        <f>SUMIFS($E$192:$E$354,$A$192:$A$354,"&gt;30/11/2026",$A$192:$A$354,"&lt;1/1/2027",$G$192:$G$354,$I151)</f>
        <v/>
      </c>
      <c r="W151" s="432">
        <f>SUM(K151:V151)</f>
        <v/>
      </c>
      <c r="X151" s="460">
        <f>IFERROR(W151/$W$161,0)</f>
        <v/>
      </c>
    </row>
    <row r="152">
      <c r="I152" s="1260" t="inlineStr">
        <is>
          <t>JLR</t>
        </is>
      </c>
      <c r="K152" s="432">
        <f>SUMIFS($E$192:$E$354,$A$192:$A$354,"&gt;31/12/2025",$A$192:$A$354,"&lt;1/2/2026",$G$192:$G$354,$I152)</f>
        <v/>
      </c>
      <c r="L152" s="432">
        <f>SUMIFS($E$192:$E$354,$A$192:$A$354,"&gt;31/1/2026",$A$192:$A$354,"&lt;1/3/2026",$G$192:$G$354,$I152)</f>
        <v/>
      </c>
      <c r="M152" s="432">
        <f>SUMIFS($E$192:$E$354,$A$192:$A$354,"&gt;28/2/2026",$A$192:$A$354,"&lt;1/4/2026",$G$192:$G$354,$I152)</f>
        <v/>
      </c>
      <c r="N152" s="432">
        <f>SUMIFS($E$192:$E$354,$A$192:$A$354,"&gt;31/3/2026",$A$192:$A$354,"&lt;1/5/2026",$G$192:$G$354,$I152)</f>
        <v/>
      </c>
      <c r="O152" s="432">
        <f>SUMIFS($E$192:$E$354,$A$192:$A$354,"&gt;30/4/2026",$A$192:$A$354,"&lt;1/6/2026",$G$192:$G$354,$I152)</f>
        <v/>
      </c>
      <c r="P152" s="432">
        <f>SUMIFS($E$192:$E$354,$A$192:$A$354,"&gt;31/5/2026",$A$192:$A$354,"&lt;1/7/2026",$G$192:$G$354,$I152)</f>
        <v/>
      </c>
      <c r="Q152" s="432">
        <f>SUMIFS($E$192:$E$354,$A$192:$A$354,"&gt;30/6/2026",$A$192:$A$354,"&lt;1/8/2026",$G$192:$G$354,$I152)</f>
        <v/>
      </c>
      <c r="R152" s="432">
        <f>SUMIFS($E$192:$E$354,$A$192:$A$354,"&gt;31/7/2026",$A$192:$A$354,"&lt;1/9/2026",$G$192:$G$354,$I152)</f>
        <v/>
      </c>
      <c r="S152" s="432">
        <f>SUMIFS($E$192:$E$354,$A$192:$A$354,"&gt;31/8/2026",$A$192:$A$354,"&lt;1/10/2026",$G$192:$G$354,$I152)</f>
        <v/>
      </c>
      <c r="T152" s="432">
        <f>SUMIFS($E$192:$E$354,$A$192:$A$354,"&gt;30/9/2026",$A$192:$A$354,"&lt;1/11/2026",$G$192:$G$354,$I152)</f>
        <v/>
      </c>
      <c r="U152" s="432">
        <f>SUMIFS($E$192:$E$354,$A$192:$A$354,"&gt;31/10/2026",$A$192:$A$354,"&lt;1/12/2026",$G$192:$G$354,$I152)</f>
        <v/>
      </c>
      <c r="V152" s="432">
        <f>SUMIFS($E$192:$E$354,$A$192:$A$354,"&gt;30/11/2026",$A$192:$A$354,"&lt;1/1/2027",$G$192:$G$354,$I152)</f>
        <v/>
      </c>
      <c r="W152" s="432">
        <f>SUM(K152:V152)</f>
        <v/>
      </c>
      <c r="X152" s="460">
        <f>IFERROR(W152/$W$161,0)</f>
        <v/>
      </c>
    </row>
    <row r="153">
      <c r="I153" s="1260" t="inlineStr">
        <is>
          <t>Referral</t>
        </is>
      </c>
      <c r="K153" s="432">
        <f>SUMIFS($E$192:$E$354,$A$192:$A$354,"&gt;31/12/2025",$A$192:$A$354,"&lt;1/2/2026",$G$192:$G$354,$I153)</f>
        <v/>
      </c>
      <c r="L153" s="432">
        <f>SUMIFS($E$192:$E$354,$A$192:$A$354,"&gt;31/1/2026",$A$192:$A$354,"&lt;1/3/2026",$G$192:$G$354,$I153)</f>
        <v/>
      </c>
      <c r="M153" s="432">
        <f>SUMIFS($E$192:$E$354,$A$192:$A$354,"&gt;28/2/2026",$A$192:$A$354,"&lt;1/4/2026",$G$192:$G$354,$I153)</f>
        <v/>
      </c>
      <c r="N153" s="432">
        <f>SUMIFS($E$192:$E$354,$A$192:$A$354,"&gt;31/3/2026",$A$192:$A$354,"&lt;1/5/2026",$G$192:$G$354,$I153)</f>
        <v/>
      </c>
      <c r="O153" s="432">
        <f>SUMIFS($E$192:$E$354,$A$192:$A$354,"&gt;30/4/2026",$A$192:$A$354,"&lt;1/6/2026",$G$192:$G$354,$I153)</f>
        <v/>
      </c>
      <c r="P153" s="432">
        <f>SUMIFS($E$192:$E$354,$A$192:$A$354,"&gt;31/5/2026",$A$192:$A$354,"&lt;1/7/2026",$G$192:$G$354,$I153)</f>
        <v/>
      </c>
      <c r="Q153" s="432">
        <f>SUMIFS($E$192:$E$354,$A$192:$A$354,"&gt;30/6/2026",$A$192:$A$354,"&lt;1/8/2026",$G$192:$G$354,$I153)</f>
        <v/>
      </c>
      <c r="R153" s="432">
        <f>SUMIFS($E$192:$E$354,$A$192:$A$354,"&gt;31/7/2026",$A$192:$A$354,"&lt;1/9/2026",$G$192:$G$354,$I153)</f>
        <v/>
      </c>
      <c r="S153" s="432">
        <f>SUMIFS($E$192:$E$354,$A$192:$A$354,"&gt;31/8/2026",$A$192:$A$354,"&lt;1/10/2026",$G$192:$G$354,$I153)</f>
        <v/>
      </c>
      <c r="T153" s="432">
        <f>SUMIFS($E$192:$E$354,$A$192:$A$354,"&gt;30/9/2026",$A$192:$A$354,"&lt;1/11/2026",$G$192:$G$354,$I153)</f>
        <v/>
      </c>
      <c r="U153" s="432">
        <f>SUMIFS($E$192:$E$354,$A$192:$A$354,"&gt;31/10/2026",$A$192:$A$354,"&lt;1/12/2026",$G$192:$G$354,$I153)</f>
        <v/>
      </c>
      <c r="V153" s="432">
        <f>SUMIFS($E$192:$E$354,$A$192:$A$354,"&gt;30/11/2026",$A$192:$A$354,"&lt;1/1/2027",$G$192:$G$354,$I153)</f>
        <v/>
      </c>
      <c r="W153" s="432">
        <f>SUM(K153:V153)</f>
        <v/>
      </c>
      <c r="X153" s="460">
        <f>IFERROR(W153/$W$161,0)</f>
        <v/>
      </c>
    </row>
    <row r="154">
      <c r="I154" s="1255" t="inlineStr">
        <is>
          <t>Batsford</t>
        </is>
      </c>
      <c r="K154" s="432">
        <f>SUMIFS($E$192:$E$354,$A$192:$A$354,"&gt;31/12/2025",$A$192:$A$354,"&lt;1/2/2026",$G$192:$G$354,$I154)</f>
        <v/>
      </c>
      <c r="L154" s="432">
        <f>SUMIFS($E$192:$E$354,$A$192:$A$354,"&gt;31/1/2026",$A$192:$A$354,"&lt;1/3/2026",$G$192:$G$354,$I154)</f>
        <v/>
      </c>
      <c r="M154" s="432">
        <f>SUMIFS($E$192:$E$354,$A$192:$A$354,"&gt;28/2/2026",$A$192:$A$354,"&lt;1/4/2026",$G$192:$G$354,$I154)</f>
        <v/>
      </c>
      <c r="N154" s="432">
        <f>SUMIFS($E$192:$E$354,$A$192:$A$354,"&gt;31/3/2026",$A$192:$A$354,"&lt;1/5/2026",$G$192:$G$354,$I154)</f>
        <v/>
      </c>
      <c r="O154" s="432">
        <f>SUMIFS($E$192:$E$354,$A$192:$A$354,"&gt;30/4/2026",$A$192:$A$354,"&lt;1/6/2026",$G$192:$G$354,$I154)</f>
        <v/>
      </c>
      <c r="P154" s="432">
        <f>SUMIFS($E$192:$E$354,$A$192:$A$354,"&gt;31/5/2026",$A$192:$A$354,"&lt;1/7/2026",$G$192:$G$354,$I154)</f>
        <v/>
      </c>
      <c r="Q154" s="432">
        <f>SUMIFS($E$192:$E$354,$A$192:$A$354,"&gt;30/6/2026",$A$192:$A$354,"&lt;1/8/2026",$G$192:$G$354,$I154)</f>
        <v/>
      </c>
      <c r="R154" s="432">
        <f>SUMIFS($E$192:$E$354,$A$192:$A$354,"&gt;31/7/2026",$A$192:$A$354,"&lt;1/9/2026",$G$192:$G$354,$I154)</f>
        <v/>
      </c>
      <c r="S154" s="432">
        <f>SUMIFS($E$192:$E$354,$A$192:$A$354,"&gt;31/8/2026",$A$192:$A$354,"&lt;1/10/2026",$G$192:$G$354,$I154)</f>
        <v/>
      </c>
      <c r="T154" s="432">
        <f>SUMIFS($E$192:$E$354,$A$192:$A$354,"&gt;30/9/2026",$A$192:$A$354,"&lt;1/11/2026",$G$192:$G$354,$I154)</f>
        <v/>
      </c>
      <c r="U154" s="432">
        <f>SUMIFS($E$192:$E$354,$A$192:$A$354,"&gt;31/10/2026",$A$192:$A$354,"&lt;1/12/2026",$G$192:$G$354,$I154)</f>
        <v/>
      </c>
      <c r="V154" s="432">
        <f>SUMIFS($E$192:$E$354,$A$192:$A$354,"&gt;30/11/2026",$A$192:$A$354,"&lt;1/1/2027",$G$192:$G$354,$I154)</f>
        <v/>
      </c>
      <c r="W154" s="432">
        <f>SUM(K154:V154)</f>
        <v/>
      </c>
      <c r="X154" s="460">
        <f>IFERROR(W154/$W$161,0)</f>
        <v/>
      </c>
    </row>
    <row r="155">
      <c r="I155" s="1260" t="inlineStr">
        <is>
          <t>ChatGPT</t>
        </is>
      </c>
      <c r="K155" s="432">
        <f>SUMIFS($E$192:$E$354,$A$192:$A$354,"&gt;31/12/2025",$A$192:$A$354,"&lt;1/2/2026",$G$192:$G$354,$I155)</f>
        <v/>
      </c>
      <c r="L155" s="432">
        <f>SUMIFS($E$192:$E$354,$A$192:$A$354,"&gt;31/1/2026",$A$192:$A$354,"&lt;1/3/2026",$G$192:$G$354,$I155)</f>
        <v/>
      </c>
      <c r="M155" s="432">
        <f>SUMIFS($E$192:$E$354,$A$192:$A$354,"&gt;28/2/2026",$A$192:$A$354,"&lt;1/4/2026",$G$192:$G$354,$I155)</f>
        <v/>
      </c>
      <c r="N155" s="432">
        <f>SUMIFS($E$192:$E$354,$A$192:$A$354,"&gt;31/3/2026",$A$192:$A$354,"&lt;1/5/2026",$G$192:$G$354,$I155)</f>
        <v/>
      </c>
      <c r="O155" s="432">
        <f>SUMIFS($E$192:$E$354,$A$192:$A$354,"&gt;30/4/2026",$A$192:$A$354,"&lt;1/6/2026",$G$192:$G$354,$I155)</f>
        <v/>
      </c>
      <c r="P155" s="432">
        <f>SUMIFS($E$192:$E$354,$A$192:$A$354,"&gt;31/5/2026",$A$192:$A$354,"&lt;1/7/2026",$G$192:$G$354,$I155)</f>
        <v/>
      </c>
      <c r="Q155" s="432">
        <f>SUMIFS($E$192:$E$354,$A$192:$A$354,"&gt;30/6/2026",$A$192:$A$354,"&lt;1/8/2026",$G$192:$G$354,$I155)</f>
        <v/>
      </c>
      <c r="R155" s="432">
        <f>SUMIFS($E$192:$E$354,$A$192:$A$354,"&gt;31/7/2026",$A$192:$A$354,"&lt;1/9/2026",$G$192:$G$354,$I155)</f>
        <v/>
      </c>
      <c r="S155" s="432">
        <f>SUMIFS($E$192:$E$354,$A$192:$A$354,"&gt;31/8/2026",$A$192:$A$354,"&lt;1/10/2026",$G$192:$G$354,$I155)</f>
        <v/>
      </c>
      <c r="T155" s="432">
        <f>SUMIFS($E$192:$E$354,$A$192:$A$354,"&gt;30/9/2026",$A$192:$A$354,"&lt;1/11/2026",$G$192:$G$354,$I155)</f>
        <v/>
      </c>
      <c r="U155" s="432">
        <f>SUMIFS($E$192:$E$354,$A$192:$A$354,"&gt;31/10/2026",$A$192:$A$354,"&lt;1/12/2026",$G$192:$G$354,$I155)</f>
        <v/>
      </c>
      <c r="V155" s="432">
        <f>SUMIFS($E$192:$E$354,$A$192:$A$354,"&gt;30/11/2026",$A$192:$A$354,"&lt;1/1/2027",$G$192:$G$354,$I155)</f>
        <v/>
      </c>
      <c r="W155" s="432">
        <f>SUM(K155:V155)</f>
        <v/>
      </c>
      <c r="X155" s="460">
        <f>IFERROR(W155/$W$161,0)</f>
        <v/>
      </c>
    </row>
    <row r="156">
      <c r="I156" s="1260" t="inlineStr">
        <is>
          <t>Facebook</t>
        </is>
      </c>
      <c r="K156" s="432">
        <f>SUMIFS($E$192:$E$354,$A$192:$A$354,"&gt;31/12/2025",$A$192:$A$354,"&lt;1/2/2026",$G$192:$G$354,$I156)</f>
        <v/>
      </c>
      <c r="L156" s="432">
        <f>SUMIFS($E$192:$E$354,$A$192:$A$354,"&gt;31/1/2026",$A$192:$A$354,"&lt;1/3/2026",$G$192:$G$354,$I156)</f>
        <v/>
      </c>
      <c r="M156" s="432">
        <f>SUMIFS($E$192:$E$354,$A$192:$A$354,"&gt;28/2/2026",$A$192:$A$354,"&lt;1/4/2026",$G$192:$G$354,$I156)</f>
        <v/>
      </c>
      <c r="N156" s="432">
        <f>SUMIFS($E$192:$E$354,$A$192:$A$354,"&gt;31/3/2026",$A$192:$A$354,"&lt;1/5/2026",$G$192:$G$354,$I156)</f>
        <v/>
      </c>
      <c r="O156" s="432">
        <f>SUMIFS($E$192:$E$354,$A$192:$A$354,"&gt;30/4/2026",$A$192:$A$354,"&lt;1/6/2026",$G$192:$G$354,$I156)</f>
        <v/>
      </c>
      <c r="P156" s="432">
        <f>SUMIFS($E$192:$E$354,$A$192:$A$354,"&gt;31/5/2026",$A$192:$A$354,"&lt;1/7/2026",$G$192:$G$354,$I156)</f>
        <v/>
      </c>
      <c r="Q156" s="432">
        <f>SUMIFS($E$192:$E$354,$A$192:$A$354,"&gt;30/6/2026",$A$192:$A$354,"&lt;1/8/2026",$G$192:$G$354,$I156)</f>
        <v/>
      </c>
      <c r="R156" s="432">
        <f>SUMIFS($E$192:$E$354,$A$192:$A$354,"&gt;31/7/2026",$A$192:$A$354,"&lt;1/9/2026",$G$192:$G$354,$I156)</f>
        <v/>
      </c>
      <c r="S156" s="432">
        <f>SUMIFS($E$192:$E$354,$A$192:$A$354,"&gt;31/8/2026",$A$192:$A$354,"&lt;1/10/2026",$G$192:$G$354,$I156)</f>
        <v/>
      </c>
      <c r="T156" s="432">
        <f>SUMIFS($E$192:$E$354,$A$192:$A$354,"&gt;30/9/2026",$A$192:$A$354,"&lt;1/11/2026",$G$192:$G$354,$I156)</f>
        <v/>
      </c>
      <c r="U156" s="432">
        <f>SUMIFS($E$192:$E$354,$A$192:$A$354,"&gt;31/10/2026",$A$192:$A$354,"&lt;1/12/2026",$G$192:$G$354,$I156)</f>
        <v/>
      </c>
      <c r="V156" s="432">
        <f>SUMIFS($E$192:$E$354,$A$192:$A$354,"&gt;30/11/2026",$A$192:$A$354,"&lt;1/1/2027",$G$192:$G$354,$I156)</f>
        <v/>
      </c>
      <c r="W156" s="432">
        <f>SUM(K156:V156)</f>
        <v/>
      </c>
      <c r="X156" s="460">
        <f>IFERROR(W156/$W$161,0)</f>
        <v/>
      </c>
    </row>
    <row r="157">
      <c r="I157" s="1260" t="inlineStr">
        <is>
          <t>Pure Photo</t>
        </is>
      </c>
      <c r="K157" s="432">
        <f>SUMIFS($E$192:$E$354,$A$192:$A$354,"&gt;31/12/2025",$A$192:$A$354,"&lt;1/2/2026",$G$192:$G$354,$I157)</f>
        <v/>
      </c>
      <c r="L157" s="432">
        <f>SUMIFS($E$192:$E$354,$A$192:$A$354,"&gt;31/1/2026",$A$192:$A$354,"&lt;1/3/2026",$G$192:$G$354,$I157)</f>
        <v/>
      </c>
      <c r="M157" s="432">
        <f>SUMIFS($E$192:$E$354,$A$192:$A$354,"&gt;28/2/2026",$A$192:$A$354,"&lt;1/4/2026",$G$192:$G$354,$I157)</f>
        <v/>
      </c>
      <c r="N157" s="432">
        <f>SUMIFS($E$192:$E$354,$A$192:$A$354,"&gt;31/3/2026",$A$192:$A$354,"&lt;1/5/2026",$G$192:$G$354,$I157)</f>
        <v/>
      </c>
      <c r="O157" s="432">
        <f>SUMIFS($E$192:$E$354,$A$192:$A$354,"&gt;30/4/2026",$A$192:$A$354,"&lt;1/6/2026",$G$192:$G$354,$I157)</f>
        <v/>
      </c>
      <c r="P157" s="432">
        <f>SUMIFS($E$192:$E$354,$A$192:$A$354,"&gt;31/5/2026",$A$192:$A$354,"&lt;1/7/2026",$G$192:$G$354,$I157)</f>
        <v/>
      </c>
      <c r="Q157" s="432">
        <f>SUMIFS($E$192:$E$354,$A$192:$A$354,"&gt;30/6/2026",$A$192:$A$354,"&lt;1/8/2026",$G$192:$G$354,$I157)</f>
        <v/>
      </c>
      <c r="R157" s="432">
        <f>SUMIFS($E$192:$E$354,$A$192:$A$354,"&gt;31/7/2026",$A$192:$A$354,"&lt;1/9/2026",$G$192:$G$354,$I157)</f>
        <v/>
      </c>
      <c r="S157" s="432">
        <f>SUMIFS($E$192:$E$354,$A$192:$A$354,"&gt;31/8/2026",$A$192:$A$354,"&lt;1/10/2026",$G$192:$G$354,$I157)</f>
        <v/>
      </c>
      <c r="T157" s="432">
        <f>SUMIFS($E$192:$E$354,$A$192:$A$354,"&gt;30/9/2026",$A$192:$A$354,"&lt;1/11/2026",$G$192:$G$354,$I157)</f>
        <v/>
      </c>
      <c r="U157" s="432">
        <f>SUMIFS($E$192:$E$354,$A$192:$A$354,"&gt;31/10/2026",$A$192:$A$354,"&lt;1/12/2026",$G$192:$G$354,$I157)</f>
        <v/>
      </c>
      <c r="V157" s="432">
        <f>SUMIFS($E$192:$E$354,$A$192:$A$354,"&gt;30/11/2026",$A$192:$A$354,"&lt;1/1/2027",$G$192:$G$354,$I157)</f>
        <v/>
      </c>
      <c r="W157" s="432">
        <f>SUM(K157:V157)</f>
        <v/>
      </c>
      <c r="X157" s="460">
        <f>IFERROR(W157/$W$161,0)</f>
        <v/>
      </c>
    </row>
    <row r="158">
      <c r="I158" s="1260" t="inlineStr">
        <is>
          <t>Artfully Walls</t>
        </is>
      </c>
      <c r="K158" s="432">
        <f>SUMIFS($E$192:$E$354,$A$192:$A$354,"&gt;31/12/2025",$A$192:$A$354,"&lt;1/2/2026",$G$192:$G$354,$I158)</f>
        <v/>
      </c>
      <c r="L158" s="432">
        <f>SUMIFS($E$192:$E$354,$A$192:$A$354,"&gt;31/1/2026",$A$192:$A$354,"&lt;1/3/2026",$G$192:$G$354,$I158)</f>
        <v/>
      </c>
      <c r="M158" s="432">
        <f>SUMIFS($E$192:$E$354,$A$192:$A$354,"&gt;28/2/2026",$A$192:$A$354,"&lt;1/4/2026",$G$192:$G$354,$I158)</f>
        <v/>
      </c>
      <c r="N158" s="432">
        <f>SUMIFS($E$192:$E$354,$A$192:$A$354,"&gt;31/3/2026",$A$192:$A$354,"&lt;1/5/2026",$G$192:$G$354,$I158)</f>
        <v/>
      </c>
      <c r="O158" s="432">
        <f>SUMIFS($E$192:$E$354,$A$192:$A$354,"&gt;30/4/2026",$A$192:$A$354,"&lt;1/6/2026",$G$192:$G$354,$I158)</f>
        <v/>
      </c>
      <c r="P158" s="432">
        <f>SUMIFS($E$192:$E$354,$A$192:$A$354,"&gt;31/5/2026",$A$192:$A$354,"&lt;1/7/2026",$G$192:$G$354,$I158)</f>
        <v/>
      </c>
      <c r="Q158" s="432">
        <f>SUMIFS($E$192:$E$354,$A$192:$A$354,"&gt;30/6/2026",$A$192:$A$354,"&lt;1/8/2026",$G$192:$G$354,$I158)</f>
        <v/>
      </c>
      <c r="R158" s="432">
        <f>SUMIFS($E$192:$E$354,$A$192:$A$354,"&gt;31/7/2026",$A$192:$A$354,"&lt;1/9/2026",$G$192:$G$354,$I158)</f>
        <v/>
      </c>
      <c r="S158" s="432">
        <f>SUMIFS($E$192:$E$354,$A$192:$A$354,"&gt;31/8/2026",$A$192:$A$354,"&lt;1/10/2026",$G$192:$G$354,$I158)</f>
        <v/>
      </c>
      <c r="T158" s="432">
        <f>SUMIFS($E$192:$E$354,$A$192:$A$354,"&gt;30/9/2026",$A$192:$A$354,"&lt;1/11/2026",$G$192:$G$354,$I158)</f>
        <v/>
      </c>
      <c r="U158" s="432">
        <f>SUMIFS($E$192:$E$354,$A$192:$A$354,"&gt;31/10/2026",$A$192:$A$354,"&lt;1/12/2026",$G$192:$G$354,$I158)</f>
        <v/>
      </c>
      <c r="V158" s="432">
        <f>SUMIFS($E$192:$E$354,$A$192:$A$354,"&gt;30/11/2026",$A$192:$A$354,"&lt;1/1/2027",$G$192:$G$354,$I158)</f>
        <v/>
      </c>
      <c r="W158" s="432">
        <f>SUM(K158:V158)</f>
        <v/>
      </c>
      <c r="X158" s="460">
        <f>IFERROR(W158/$W$161,0)</f>
        <v/>
      </c>
    </row>
    <row r="159">
      <c r="I159" s="1260" t="inlineStr">
        <is>
          <t>Into the Blue</t>
        </is>
      </c>
      <c r="K159" s="432">
        <f>SUMIFS($E$192:$E$354,$A$192:$A$354,"&gt;31/12/2025",$A$192:$A$354,"&lt;1/2/2026",$G$192:$G$354,$I159)</f>
        <v/>
      </c>
      <c r="L159" s="432">
        <f>SUMIFS($E$192:$E$354,$A$192:$A$354,"&gt;31/1/2026",$A$192:$A$354,"&lt;1/3/2026",$G$192:$G$354,$I159)</f>
        <v/>
      </c>
      <c r="M159" s="432">
        <f>SUMIFS($E$192:$E$354,$A$192:$A$354,"&gt;28/2/2026",$A$192:$A$354,"&lt;1/4/2026",$G$192:$G$354,$I159)</f>
        <v/>
      </c>
      <c r="N159" s="432">
        <f>SUMIFS($E$192:$E$354,$A$192:$A$354,"&gt;31/3/2026",$A$192:$A$354,"&lt;1/5/2026",$G$192:$G$354,$I159)</f>
        <v/>
      </c>
      <c r="O159" s="432">
        <f>SUMIFS($E$192:$E$354,$A$192:$A$354,"&gt;30/4/2026",$A$192:$A$354,"&lt;1/6/2026",$G$192:$G$354,$I159)</f>
        <v/>
      </c>
      <c r="P159" s="432">
        <f>SUMIFS($E$192:$E$354,$A$192:$A$354,"&gt;31/5/2026",$A$192:$A$354,"&lt;1/7/2026",$G$192:$G$354,$I159)</f>
        <v/>
      </c>
      <c r="Q159" s="432">
        <f>SUMIFS($E$192:$E$354,$A$192:$A$354,"&gt;30/6/2026",$A$192:$A$354,"&lt;1/8/2026",$G$192:$G$354,$I159)</f>
        <v/>
      </c>
      <c r="R159" s="432">
        <f>SUMIFS($E$192:$E$354,$A$192:$A$354,"&gt;31/7/2026",$A$192:$A$354,"&lt;1/9/2026",$G$192:$G$354,$I159)</f>
        <v/>
      </c>
      <c r="S159" s="432">
        <f>SUMIFS($E$192:$E$354,$A$192:$A$354,"&gt;31/8/2026",$A$192:$A$354,"&lt;1/10/2026",$G$192:$G$354,$I159)</f>
        <v/>
      </c>
      <c r="T159" s="432">
        <f>SUMIFS($E$192:$E$354,$A$192:$A$354,"&gt;30/9/2026",$A$192:$A$354,"&lt;1/11/2026",$G$192:$G$354,$I159)</f>
        <v/>
      </c>
      <c r="U159" s="432">
        <f>SUMIFS($E$192:$E$354,$A$192:$A$354,"&gt;31/10/2026",$A$192:$A$354,"&lt;1/12/2026",$G$192:$G$354,$I159)</f>
        <v/>
      </c>
      <c r="V159" s="432">
        <f>SUMIFS($E$192:$E$354,$A$192:$A$354,"&gt;30/11/2026",$A$192:$A$354,"&lt;1/1/2027",$G$192:$G$354,$I159)</f>
        <v/>
      </c>
      <c r="W159" s="432">
        <f>SUM(K159:V159)</f>
        <v/>
      </c>
      <c r="X159" s="460">
        <f>IFERROR(W159/$W$161,0)</f>
        <v/>
      </c>
    </row>
    <row r="160">
      <c r="I160" s="1255" t="inlineStr">
        <is>
          <t>Other</t>
        </is>
      </c>
      <c r="K160" s="432">
        <f>SUMIFS($E$192:$E$354,$A$192:$A$354,"&gt;31/12/2025",$A$192:$A$354,"&lt;1/2/2026",$G$192:$G$354,$I160)</f>
        <v/>
      </c>
      <c r="L160" s="432">
        <f>SUMIFS($E$192:$E$354,$A$192:$A$354,"&gt;31/1/2026",$A$192:$A$354,"&lt;1/3/2026",$G$192:$G$354,$I160)</f>
        <v/>
      </c>
      <c r="M160" s="432">
        <f>SUMIFS($E$192:$E$354,$A$192:$A$354,"&gt;28/2/2026",$A$192:$A$354,"&lt;1/4/2026",$G$192:$G$354,$I160)</f>
        <v/>
      </c>
      <c r="N160" s="432">
        <f>SUMIFS($E$192:$E$354,$A$192:$A$354,"&gt;31/3/2026",$A$192:$A$354,"&lt;1/5/2026",$G$192:$G$354,$I160)</f>
        <v/>
      </c>
      <c r="O160" s="432">
        <f>SUMIFS($E$192:$E$354,$A$192:$A$354,"&gt;30/4/2026",$A$192:$A$354,"&lt;1/6/2026",$G$192:$G$354,$I160)</f>
        <v/>
      </c>
      <c r="P160" s="432">
        <f>SUMIFS($E$192:$E$354,$A$192:$A$354,"&gt;31/5/2026",$A$192:$A$354,"&lt;1/7/2026",$G$192:$G$354,$I160)</f>
        <v/>
      </c>
      <c r="Q160" s="432">
        <f>SUMIFS($E$192:$E$354,$A$192:$A$354,"&gt;30/6/2026",$A$192:$A$354,"&lt;1/8/2026",$G$192:$G$354,$I160)</f>
        <v/>
      </c>
      <c r="R160" s="432">
        <f>SUMIFS($E$192:$E$354,$A$192:$A$354,"&gt;31/7/2026",$A$192:$A$354,"&lt;1/9/2026",$G$192:$G$354,$I160)</f>
        <v/>
      </c>
      <c r="S160" s="432">
        <f>SUMIFS($E$192:$E$354,$A$192:$A$354,"&gt;31/8/2026",$A$192:$A$354,"&lt;1/10/2026",$G$192:$G$354,$I160)</f>
        <v/>
      </c>
      <c r="T160" s="432">
        <f>SUMIFS($E$192:$E$354,$A$192:$A$354,"&gt;30/9/2026",$A$192:$A$354,"&lt;1/11/2026",$G$192:$G$354,$I160)</f>
        <v/>
      </c>
      <c r="U160" s="432">
        <f>SUMIFS($E$192:$E$354,$A$192:$A$354,"&gt;31/10/2026",$A$192:$A$354,"&lt;1/12/2026",$G$192:$G$354,$I160)</f>
        <v/>
      </c>
      <c r="V160" s="432">
        <f>SUMIFS($E$192:$E$354,$A$192:$A$354,"&gt;30/11/2026",$A$192:$A$354,"&lt;1/1/2027",$G$192:$G$354,$I160)</f>
        <v/>
      </c>
      <c r="W160" s="432">
        <f>SUM(K160:V160)</f>
        <v/>
      </c>
      <c r="X160" s="460">
        <f>IFERROR(W160/$W$161,0)</f>
        <v/>
      </c>
    </row>
    <row r="161" ht="13.15" customHeight="1" s="1232">
      <c r="I161" s="914" t="n"/>
      <c r="K161" s="444">
        <f>SUM(K150:K160)</f>
        <v/>
      </c>
      <c r="L161" s="444">
        <f>SUM(L150:L160)</f>
        <v/>
      </c>
      <c r="M161" s="444">
        <f>SUM(M150:M160)</f>
        <v/>
      </c>
      <c r="N161" s="444">
        <f>SUM(N150:N160)</f>
        <v/>
      </c>
      <c r="O161" s="444">
        <f>SUM(O150:O160)</f>
        <v/>
      </c>
      <c r="P161" s="444">
        <f>SUM(P150:P160)</f>
        <v/>
      </c>
      <c r="Q161" s="444">
        <f>SUM(Q150:Q160)</f>
        <v/>
      </c>
      <c r="R161" s="444">
        <f>SUM(R150:R160)</f>
        <v/>
      </c>
      <c r="S161" s="444">
        <f>SUM(S150:S160)</f>
        <v/>
      </c>
      <c r="T161" s="444">
        <f>SUM(T150:T160)</f>
        <v/>
      </c>
      <c r="U161" s="444">
        <f>SUM(U150:U160)</f>
        <v/>
      </c>
      <c r="V161" s="444">
        <f>SUM(V150:V160)</f>
        <v/>
      </c>
      <c r="W161" s="444">
        <f>SUM(W150:W160)</f>
        <v/>
      </c>
      <c r="X161" s="460">
        <f>IFERROR(W161/$W$161,0)</f>
        <v/>
      </c>
      <c r="Y161" s="466" t="n"/>
    </row>
    <row r="162">
      <c r="J162" s="914" t="n"/>
      <c r="K162" s="914">
        <f>K138-K161</f>
        <v/>
      </c>
      <c r="L162" s="914">
        <f>L138-L161</f>
        <v/>
      </c>
      <c r="M162" s="914">
        <f>M138-M161</f>
        <v/>
      </c>
      <c r="N162" s="914">
        <f>N138-N161</f>
        <v/>
      </c>
      <c r="O162" s="914">
        <f>O138-O161</f>
        <v/>
      </c>
      <c r="P162" s="914">
        <f>P138-P161</f>
        <v/>
      </c>
      <c r="Q162" s="914">
        <f>Q138-Q161</f>
        <v/>
      </c>
      <c r="R162" s="914">
        <f>R138-R161</f>
        <v/>
      </c>
      <c r="S162" s="914">
        <f>S138-S161</f>
        <v/>
      </c>
      <c r="T162" s="914">
        <f>T138-T161</f>
        <v/>
      </c>
      <c r="U162" s="914">
        <f>U138-U161</f>
        <v/>
      </c>
      <c r="V162" s="914">
        <f>V138-V161</f>
        <v/>
      </c>
      <c r="W162" s="914">
        <f>W138-W161</f>
        <v/>
      </c>
      <c r="X162" s="914" t="n"/>
    </row>
    <row r="163" ht="13.15" customHeight="1" s="1232">
      <c r="I163" s="556" t="inlineStr">
        <is>
          <t>Booking source  £</t>
        </is>
      </c>
      <c r="K163" s="1332" t="inlineStr">
        <is>
          <t>Jan</t>
        </is>
      </c>
      <c r="L163" s="1332" t="inlineStr">
        <is>
          <t>Feb</t>
        </is>
      </c>
      <c r="M163" s="1332" t="inlineStr">
        <is>
          <t>Mar</t>
        </is>
      </c>
      <c r="N163" s="1332" t="inlineStr">
        <is>
          <t>Apr</t>
        </is>
      </c>
      <c r="O163" s="1332" t="inlineStr">
        <is>
          <t>May</t>
        </is>
      </c>
      <c r="P163" s="1332" t="inlineStr">
        <is>
          <t>Jun</t>
        </is>
      </c>
      <c r="Q163" s="1332" t="inlineStr">
        <is>
          <t>Jul</t>
        </is>
      </c>
      <c r="R163" s="1332" t="inlineStr">
        <is>
          <t>Aug</t>
        </is>
      </c>
      <c r="S163" s="1332" t="inlineStr">
        <is>
          <t>Sep</t>
        </is>
      </c>
      <c r="T163" s="1332" t="inlineStr">
        <is>
          <t>Oct</t>
        </is>
      </c>
      <c r="U163" s="1332" t="inlineStr">
        <is>
          <t>Nov</t>
        </is>
      </c>
      <c r="V163" s="1332" t="inlineStr">
        <is>
          <t>Dec</t>
        </is>
      </c>
      <c r="W163" s="1332" t="inlineStr">
        <is>
          <t>Year</t>
        </is>
      </c>
      <c r="X163" s="1278" t="inlineStr">
        <is>
          <t>Split</t>
        </is>
      </c>
    </row>
    <row r="164" ht="13.15" customHeight="1" s="1232">
      <c r="I164" s="444" t="inlineStr">
        <is>
          <t>New Clients</t>
        </is>
      </c>
      <c r="K164" s="914">
        <f>SUM(K161-K151)</f>
        <v/>
      </c>
      <c r="L164" s="914">
        <f>SUM(L161-L151)</f>
        <v/>
      </c>
      <c r="M164" s="914">
        <f>SUM(M161-M151)</f>
        <v/>
      </c>
      <c r="N164" s="914">
        <f>SUM(N161-N151)</f>
        <v/>
      </c>
      <c r="O164" s="914">
        <f>SUM(O161-O151)</f>
        <v/>
      </c>
      <c r="P164" s="914">
        <f>SUM(P161-P151)</f>
        <v/>
      </c>
      <c r="Q164" s="914">
        <f>SUM(Q161-Q151)</f>
        <v/>
      </c>
      <c r="R164" s="914">
        <f>SUM(R161-R151)</f>
        <v/>
      </c>
      <c r="S164" s="914">
        <f>SUM(S161-S151)</f>
        <v/>
      </c>
      <c r="T164" s="914">
        <f>SUM(T161-T151)</f>
        <v/>
      </c>
      <c r="U164" s="914">
        <f>SUM(U161-U151)</f>
        <v/>
      </c>
      <c r="V164" s="914">
        <f>SUM(V161-V151)</f>
        <v/>
      </c>
      <c r="W164" s="554">
        <f>SUM(K164:V164)</f>
        <v/>
      </c>
      <c r="X164" s="475">
        <f>W164/W166</f>
        <v/>
      </c>
    </row>
    <row r="165" ht="13.15" customHeight="1" s="1232">
      <c r="I165" s="444" t="inlineStr">
        <is>
          <t>Existing Clients</t>
        </is>
      </c>
      <c r="K165" s="914">
        <f>K151</f>
        <v/>
      </c>
      <c r="L165" s="914">
        <f>L151</f>
        <v/>
      </c>
      <c r="M165" s="914">
        <f>M151</f>
        <v/>
      </c>
      <c r="N165" s="914">
        <f>N151</f>
        <v/>
      </c>
      <c r="O165" s="914">
        <f>O151</f>
        <v/>
      </c>
      <c r="P165" s="914">
        <f>P151</f>
        <v/>
      </c>
      <c r="Q165" s="914">
        <f>Q151</f>
        <v/>
      </c>
      <c r="R165" s="914">
        <f>R151</f>
        <v/>
      </c>
      <c r="S165" s="914">
        <f>S151</f>
        <v/>
      </c>
      <c r="T165" s="914">
        <f>T151</f>
        <v/>
      </c>
      <c r="U165" s="914">
        <f>U151</f>
        <v/>
      </c>
      <c r="V165" s="914">
        <f>V151</f>
        <v/>
      </c>
      <c r="W165" s="562">
        <f>SUM(K165:V165)</f>
        <v/>
      </c>
      <c r="X165" s="475">
        <f>W165/W166</f>
        <v/>
      </c>
    </row>
    <row r="166" ht="13.15" customHeight="1" s="1232">
      <c r="I166" s="444" t="n"/>
      <c r="K166" s="563">
        <f>K164+K165</f>
        <v/>
      </c>
      <c r="L166" s="563">
        <f>L164+L165</f>
        <v/>
      </c>
      <c r="M166" s="563">
        <f>M164+M165</f>
        <v/>
      </c>
      <c r="N166" s="563">
        <f>N164+N165</f>
        <v/>
      </c>
      <c r="O166" s="563">
        <f>O164+O165</f>
        <v/>
      </c>
      <c r="P166" s="563">
        <f>P164+P165</f>
        <v/>
      </c>
      <c r="Q166" s="563">
        <f>Q164+Q165</f>
        <v/>
      </c>
      <c r="R166" s="563">
        <f>R164+R165</f>
        <v/>
      </c>
      <c r="S166" s="563">
        <f>S164+S165</f>
        <v/>
      </c>
      <c r="T166" s="563">
        <f>T164+T165</f>
        <v/>
      </c>
      <c r="U166" s="563">
        <f>U164+U165</f>
        <v/>
      </c>
      <c r="V166" s="563">
        <f>V164+V165</f>
        <v/>
      </c>
      <c r="W166" s="563">
        <f>W164+W165</f>
        <v/>
      </c>
      <c r="X166" s="564" t="n"/>
    </row>
    <row r="167">
      <c r="J167" s="914" t="n"/>
      <c r="K167" s="914" t="n"/>
      <c r="L167" s="914" t="n"/>
      <c r="M167" s="914" t="n"/>
      <c r="N167" s="914" t="n"/>
      <c r="O167" s="914" t="n"/>
      <c r="P167" s="914" t="n"/>
      <c r="Q167" s="914" t="n"/>
      <c r="R167" s="914" t="n"/>
      <c r="S167" s="914" t="n"/>
      <c r="T167" s="914" t="n"/>
      <c r="U167" s="914" t="n"/>
      <c r="V167" s="914" t="n"/>
      <c r="W167" s="914" t="n"/>
      <c r="X167" s="914" t="n"/>
    </row>
    <row r="168" ht="13.15" customHeight="1" s="1232">
      <c r="I168" s="556" t="inlineStr">
        <is>
          <t>Booking source  Units</t>
        </is>
      </c>
      <c r="K168" s="1332" t="inlineStr">
        <is>
          <t>Jan</t>
        </is>
      </c>
      <c r="L168" s="1332" t="inlineStr">
        <is>
          <t>Feb</t>
        </is>
      </c>
      <c r="M168" s="1332" t="inlineStr">
        <is>
          <t>Mar</t>
        </is>
      </c>
      <c r="N168" s="1332" t="inlineStr">
        <is>
          <t>Apr</t>
        </is>
      </c>
      <c r="O168" s="1332" t="inlineStr">
        <is>
          <t>May</t>
        </is>
      </c>
      <c r="P168" s="1332" t="inlineStr">
        <is>
          <t>Jun</t>
        </is>
      </c>
      <c r="Q168" s="1332" t="inlineStr">
        <is>
          <t>Jul</t>
        </is>
      </c>
      <c r="R168" s="1332" t="inlineStr">
        <is>
          <t>Aug</t>
        </is>
      </c>
      <c r="S168" s="1332" t="inlineStr">
        <is>
          <t>Sep</t>
        </is>
      </c>
      <c r="T168" s="1332" t="inlineStr">
        <is>
          <t>Oct</t>
        </is>
      </c>
      <c r="U168" s="1332" t="inlineStr">
        <is>
          <t>Nov</t>
        </is>
      </c>
      <c r="V168" s="1332" t="inlineStr">
        <is>
          <t>Dec</t>
        </is>
      </c>
      <c r="W168" s="1332" t="inlineStr">
        <is>
          <t>Year</t>
        </is>
      </c>
      <c r="X168" s="1278" t="inlineStr">
        <is>
          <t>Split</t>
        </is>
      </c>
    </row>
    <row r="169" ht="13.15" customHeight="1" s="1232">
      <c r="I169" s="444" t="inlineStr">
        <is>
          <t>New Clients</t>
        </is>
      </c>
      <c r="K169" s="914">
        <f>K95-K170</f>
        <v/>
      </c>
      <c r="L169" s="914">
        <f>L95-L170</f>
        <v/>
      </c>
      <c r="M169" s="914">
        <f>M95-M170</f>
        <v/>
      </c>
      <c r="N169" s="914">
        <f>N95-N170</f>
        <v/>
      </c>
      <c r="O169" s="914">
        <f>O95-O170</f>
        <v/>
      </c>
      <c r="P169" s="914">
        <f>P95-P170</f>
        <v/>
      </c>
      <c r="Q169" s="914">
        <f>Q95-Q170</f>
        <v/>
      </c>
      <c r="R169" s="914">
        <f>R95-R170</f>
        <v/>
      </c>
      <c r="S169" s="914">
        <f>S95-S170</f>
        <v/>
      </c>
      <c r="T169" s="914">
        <f>T95-T170</f>
        <v/>
      </c>
      <c r="U169" s="914">
        <f>U95-U170</f>
        <v/>
      </c>
      <c r="V169" s="914">
        <f>V95-V170</f>
        <v/>
      </c>
      <c r="W169" s="554">
        <f>SUM(K169:V169)</f>
        <v/>
      </c>
      <c r="X169" s="475">
        <f>W169/W171</f>
        <v/>
      </c>
    </row>
    <row r="170" ht="13.15" customHeight="1" s="1232">
      <c r="I170" s="561" t="inlineStr">
        <is>
          <t>Existing</t>
        </is>
      </c>
      <c r="K170" s="914">
        <f>COUNTIFS($A$192:$A$354,"&gt;31/12/2025",$A$192:$A$354,"&lt;1/2/2026",$G$192:$G$354,"Existing")</f>
        <v/>
      </c>
      <c r="L170" s="432">
        <f>COUNTIFS($A$192:$A$354,"&gt;31/1/2026",$A$192:$A$354,"&lt;1/3/2026",$G$192:$G$354,$I170)</f>
        <v/>
      </c>
      <c r="M170" s="432">
        <f>COUNTIFS($A$192:$A$354,"&gt;28/2/2026",$A$192:$A$354,"&lt;1/4/2026",$G$192:$G$354,$I170)</f>
        <v/>
      </c>
      <c r="N170" s="432">
        <f>COUNTIFS($A$192:$A$354,"&gt;31/3/2026",$A$192:$A$354,"&lt;1/5/2026",$G$192:$G$354,$I170)</f>
        <v/>
      </c>
      <c r="O170" s="432">
        <f>COUNTIFS($A$192:$A$354,"&gt;30/4/2026",$A$192:$A$354,"&lt;1/6/2026",$G$192:$G$354,$I170)</f>
        <v/>
      </c>
      <c r="P170" s="432">
        <f>COUNTIFS($A$192:$A$354,"&gt;31/5/2026",$A$192:$A$354,"&lt;1/7/2026",$G$192:$G$354,$I170)</f>
        <v/>
      </c>
      <c r="Q170" s="432">
        <f>COUNTIFS($A$192:$A$354,"&gt;30/6/2026",$A$192:$A$354,"&lt;1/8/2026",$G$192:$G$354,$I170)</f>
        <v/>
      </c>
      <c r="R170" s="432">
        <f>COUNTIFS($A$192:$A$354,"&gt;31/7/2026",$A$192:$A$354,"&lt;1/9/2026",$G$192:$G$354,$I170)</f>
        <v/>
      </c>
      <c r="S170" s="432">
        <f>COUNTIFS($A$192:$A$354,"&gt;31/8/2026",$A$192:$A$354,"&lt;1/10/2026",$G$192:$G$354,$I170)</f>
        <v/>
      </c>
      <c r="T170" s="432">
        <f>COUNTIFS($A$192:$A$354,"&gt;30/9/2026",$A$192:$A$354,"&lt;1/11/2026",$G$192:$G$354,$I170)</f>
        <v/>
      </c>
      <c r="U170" s="432">
        <f>COUNTIFS($A$192:$A$354,"&gt;31/10/2026",$A$192:$A$354,"&lt;1/12/2026",$G$192:$G$354,$I170)</f>
        <v/>
      </c>
      <c r="V170" s="432">
        <f>COUNTIFS($A$192:$A$354,"&gt;30/11/2026",$A$192:$A$354,"&lt;1/1/2027",$G$192:$G$354,$I170)</f>
        <v/>
      </c>
      <c r="W170" s="554">
        <f>SUM(K170:V170)</f>
        <v/>
      </c>
      <c r="X170" s="475">
        <f>W170/$W$171</f>
        <v/>
      </c>
    </row>
    <row r="171" ht="13.15" customHeight="1" s="1232">
      <c r="J171" s="914" t="n"/>
      <c r="K171" s="563">
        <f>K169+K170</f>
        <v/>
      </c>
      <c r="L171" s="563">
        <f>L169+L170</f>
        <v/>
      </c>
      <c r="M171" s="563">
        <f>M169+M170</f>
        <v/>
      </c>
      <c r="N171" s="563">
        <f>N169+N170</f>
        <v/>
      </c>
      <c r="O171" s="563">
        <f>O169+O170</f>
        <v/>
      </c>
      <c r="P171" s="563">
        <f>P169+P170</f>
        <v/>
      </c>
      <c r="Q171" s="563">
        <f>Q169+Q170</f>
        <v/>
      </c>
      <c r="R171" s="563">
        <f>R169+R170</f>
        <v/>
      </c>
      <c r="S171" s="563">
        <f>S169+S170</f>
        <v/>
      </c>
      <c r="T171" s="563">
        <f>T169+T170</f>
        <v/>
      </c>
      <c r="U171" s="563">
        <f>U169+U170</f>
        <v/>
      </c>
      <c r="V171" s="563">
        <f>V169+V170</f>
        <v/>
      </c>
      <c r="W171" s="563">
        <f>W169+W170</f>
        <v/>
      </c>
      <c r="X171" s="564" t="n"/>
    </row>
    <row r="172" ht="13.15" customHeight="1" s="1232">
      <c r="J172" s="914" t="n"/>
      <c r="K172" s="791">
        <f>K95-K171</f>
        <v/>
      </c>
      <c r="L172" s="791">
        <f>L95-L171</f>
        <v/>
      </c>
      <c r="M172" s="791">
        <f>M95-M171</f>
        <v/>
      </c>
      <c r="N172" s="791">
        <f>N95-N171</f>
        <v/>
      </c>
      <c r="O172" s="791">
        <f>O95-O171</f>
        <v/>
      </c>
      <c r="P172" s="791">
        <f>P95-P171</f>
        <v/>
      </c>
      <c r="Q172" s="791">
        <f>Q95-Q171</f>
        <v/>
      </c>
      <c r="R172" s="791">
        <f>R95-R171</f>
        <v/>
      </c>
      <c r="S172" s="791">
        <f>S95-S171</f>
        <v/>
      </c>
      <c r="T172" s="791">
        <f>T95-T171</f>
        <v/>
      </c>
      <c r="U172" s="791">
        <f>U95-U171</f>
        <v/>
      </c>
      <c r="V172" s="791">
        <f>V95-V171</f>
        <v/>
      </c>
      <c r="W172" s="791">
        <f>W95-W171</f>
        <v/>
      </c>
      <c r="X172" s="475" t="n"/>
    </row>
    <row r="173" ht="13.15" customHeight="1" s="1232">
      <c r="I173" s="556" t="inlineStr">
        <is>
          <t>Booking source  AVG PPU</t>
        </is>
      </c>
      <c r="K173" s="1332" t="inlineStr">
        <is>
          <t>Jan</t>
        </is>
      </c>
      <c r="L173" s="1332" t="inlineStr">
        <is>
          <t>Feb</t>
        </is>
      </c>
      <c r="M173" s="1332" t="inlineStr">
        <is>
          <t>Mar</t>
        </is>
      </c>
      <c r="N173" s="1332" t="inlineStr">
        <is>
          <t>Apr</t>
        </is>
      </c>
      <c r="O173" s="1332" t="inlineStr">
        <is>
          <t>May</t>
        </is>
      </c>
      <c r="P173" s="1332" t="inlineStr">
        <is>
          <t>Jun</t>
        </is>
      </c>
      <c r="Q173" s="1332" t="inlineStr">
        <is>
          <t>Jul</t>
        </is>
      </c>
      <c r="R173" s="1332" t="inlineStr">
        <is>
          <t>Aug</t>
        </is>
      </c>
      <c r="S173" s="1332" t="inlineStr">
        <is>
          <t>Sep</t>
        </is>
      </c>
      <c r="T173" s="1332" t="inlineStr">
        <is>
          <t>Oct</t>
        </is>
      </c>
      <c r="U173" s="1332" t="inlineStr">
        <is>
          <t>Nov</t>
        </is>
      </c>
      <c r="V173" s="1332" t="inlineStr">
        <is>
          <t>Dec</t>
        </is>
      </c>
      <c r="W173" s="1332" t="inlineStr">
        <is>
          <t>Year</t>
        </is>
      </c>
      <c r="X173" s="1278" t="inlineStr">
        <is>
          <t>Split</t>
        </is>
      </c>
    </row>
    <row r="174" ht="13.15" customHeight="1" s="1232">
      <c r="I174" s="444" t="inlineStr">
        <is>
          <t>New Clients</t>
        </is>
      </c>
      <c r="K174" s="914">
        <f>IFERROR(K164/K169,0)</f>
        <v/>
      </c>
      <c r="L174" s="914">
        <f>IFERROR(L164/L169,0)</f>
        <v/>
      </c>
      <c r="M174" s="914">
        <f>IFERROR(M164/M169,0)</f>
        <v/>
      </c>
      <c r="N174" s="914">
        <f>IFERROR(N164/N169,0)</f>
        <v/>
      </c>
      <c r="O174" s="914">
        <f>IFERROR(O164/O169,0)</f>
        <v/>
      </c>
      <c r="P174" s="914">
        <f>IFERROR(P164/P169,0)</f>
        <v/>
      </c>
      <c r="Q174" s="914">
        <f>IFERROR(Q164/Q169,0)</f>
        <v/>
      </c>
      <c r="R174" s="914">
        <f>IFERROR(R164/R169,0)</f>
        <v/>
      </c>
      <c r="S174" s="914">
        <f>IFERROR(S164/S169,0)</f>
        <v/>
      </c>
      <c r="T174" s="914">
        <f>IFERROR(T164/T169,0)</f>
        <v/>
      </c>
      <c r="U174" s="914">
        <f>IFERROR(U164/U169,0)</f>
        <v/>
      </c>
      <c r="V174" s="914">
        <f>IFERROR(V164/V169,0)</f>
        <v/>
      </c>
      <c r="W174" s="554">
        <f>AVERAGE(K174:V174)</f>
        <v/>
      </c>
      <c r="X174" s="475">
        <f>W174/#REF!</f>
        <v/>
      </c>
    </row>
    <row r="175" ht="13.15" customHeight="1" s="1232">
      <c r="I175" s="444" t="inlineStr">
        <is>
          <t>Existing Clients</t>
        </is>
      </c>
      <c r="K175" s="914">
        <f>IFERROR(K165/K170,0)</f>
        <v/>
      </c>
      <c r="L175" s="914">
        <f>IFERROR(L165/L170,0)</f>
        <v/>
      </c>
      <c r="M175" s="914">
        <f>IFERROR(M165/M170,0)</f>
        <v/>
      </c>
      <c r="N175" s="914">
        <f>IFERROR(N165/N170,0)</f>
        <v/>
      </c>
      <c r="O175" s="914">
        <f>IFERROR(O165/O170,0)</f>
        <v/>
      </c>
      <c r="P175" s="914">
        <f>IFERROR(P165/P170,0)</f>
        <v/>
      </c>
      <c r="Q175" s="914">
        <f>IFERROR(Q165/Q170,0)</f>
        <v/>
      </c>
      <c r="R175" s="914">
        <f>IFERROR(R165/R170,0)</f>
        <v/>
      </c>
      <c r="S175" s="914">
        <f>IFERROR(S165/S170,0)</f>
        <v/>
      </c>
      <c r="T175" s="914">
        <f>IFERROR(T165/T170,0)</f>
        <v/>
      </c>
      <c r="U175" s="914">
        <f>IFERROR(U165/U170,0)</f>
        <v/>
      </c>
      <c r="V175" s="914">
        <f>IFERROR(V165/V170,0)</f>
        <v/>
      </c>
      <c r="W175" s="554">
        <f>AVERAGE(K175:V175)</f>
        <v/>
      </c>
      <c r="X175" s="475">
        <f>W175/#REF!</f>
        <v/>
      </c>
    </row>
    <row r="176"/>
    <row r="177"/>
    <row r="178"/>
    <row r="179"/>
    <row r="180"/>
    <row r="181"/>
    <row r="182"/>
    <row r="183"/>
    <row r="184"/>
    <row r="185"/>
    <row r="186" ht="13.15" customHeight="1" s="1232">
      <c r="E186" s="605">
        <f>SUM(E192:E354)</f>
        <v/>
      </c>
    </row>
    <row r="187" ht="13.9" customHeight="1" s="1232">
      <c r="A187" s="1345" t="inlineStr">
        <is>
          <t>Date</t>
        </is>
      </c>
      <c r="B187" s="1346" t="inlineStr">
        <is>
          <t>Client</t>
        </is>
      </c>
      <c r="C187" s="1346" t="inlineStr">
        <is>
          <t>Category</t>
        </is>
      </c>
      <c r="D187" s="1346" t="inlineStr">
        <is>
          <t>Funding</t>
        </is>
      </c>
      <c r="E187" s="1347" t="inlineStr">
        <is>
          <t>Amount</t>
        </is>
      </c>
      <c r="F187" s="1346" t="inlineStr">
        <is>
          <t>Event</t>
        </is>
      </c>
      <c r="G187" s="1346" t="inlineStr">
        <is>
          <t>Source</t>
        </is>
      </c>
    </row>
    <row r="188"/>
    <row r="189"/>
    <row r="190"/>
    <row r="191"/>
    <row r="192" ht="13.5" customHeight="1" s="1232">
      <c r="A192" s="1348" t="n"/>
      <c r="B192" s="1349" t="n"/>
      <c r="C192" s="1350" t="n"/>
      <c r="D192" s="1349" t="n"/>
      <c r="E192" s="1351" t="n"/>
      <c r="F192" s="1349" t="n"/>
      <c r="G192" s="1349" t="n"/>
    </row>
    <row r="193" ht="13.5" customHeight="1" s="1232">
      <c r="A193" s="1348" t="n"/>
      <c r="B193" s="1349" t="n"/>
      <c r="C193" s="1350" t="n"/>
      <c r="D193" s="1349" t="n"/>
      <c r="E193" s="1351" t="n"/>
      <c r="F193" s="1349" t="n"/>
      <c r="G193" s="1349" t="n"/>
    </row>
    <row r="194" ht="13.5" customHeight="1" s="1232">
      <c r="A194" s="1348" t="n"/>
      <c r="B194" s="1349" t="n"/>
      <c r="C194" s="1350" t="n"/>
      <c r="D194" s="1349" t="n"/>
      <c r="E194" s="1351" t="n"/>
      <c r="F194" s="1349" t="n"/>
      <c r="G194" s="1349" t="n"/>
    </row>
    <row r="195" ht="13.5" customHeight="1" s="1232">
      <c r="A195" s="1348" t="n"/>
      <c r="B195" s="1349" t="n"/>
      <c r="C195" s="1350" t="n"/>
      <c r="D195" s="1349" t="n"/>
      <c r="E195" s="1351" t="n"/>
      <c r="F195" s="1349" t="n"/>
      <c r="G195" s="1349" t="n"/>
    </row>
    <row r="196" ht="13.5" customHeight="1" s="1232">
      <c r="A196" s="1348" t="n"/>
      <c r="B196" s="1349" t="n"/>
      <c r="C196" s="1350" t="n"/>
      <c r="D196" s="1349" t="n"/>
      <c r="E196" s="1351" t="n"/>
      <c r="F196" s="1349" t="n"/>
      <c r="G196" s="1349" t="n"/>
    </row>
    <row r="197" ht="13.5" customHeight="1" s="1232">
      <c r="A197" s="1348" t="n"/>
      <c r="B197" s="1349" t="n"/>
      <c r="C197" s="1350" t="n"/>
      <c r="D197" s="1349" t="n"/>
      <c r="E197" s="1351" t="n"/>
      <c r="F197" s="1349" t="n"/>
      <c r="G197" s="1349" t="n"/>
    </row>
    <row r="198" ht="13.5" customHeight="1" s="1232">
      <c r="A198" s="1348" t="n"/>
      <c r="B198" s="1349" t="n"/>
      <c r="C198" s="1350" t="n"/>
      <c r="D198" s="1349" t="n"/>
      <c r="E198" s="1351" t="n"/>
      <c r="F198" s="1349" t="n"/>
      <c r="G198" s="1349" t="n"/>
    </row>
    <row r="199" ht="13.5" customHeight="1" s="1232">
      <c r="A199" s="1348" t="n"/>
      <c r="B199" s="1349" t="n"/>
      <c r="C199" s="1350" t="n"/>
      <c r="D199" s="1349" t="n"/>
      <c r="E199" s="1351" t="n"/>
      <c r="F199" s="1349" t="n"/>
      <c r="G199" s="1349" t="n"/>
    </row>
    <row r="200" ht="13.5" customHeight="1" s="1232">
      <c r="A200" s="1348" t="n"/>
      <c r="B200" s="1349" t="n"/>
      <c r="C200" s="1350" t="n"/>
      <c r="D200" s="1349" t="n"/>
      <c r="E200" s="1351" t="n"/>
      <c r="F200" s="1349" t="n"/>
      <c r="G200" s="1349" t="n"/>
      <c r="I200" t="inlineStr">
        <is>
          <t>Canonical Product</t>
        </is>
      </c>
      <c r="J200" t="inlineStr">
        <is>
          <t>Landing Page URL</t>
        </is>
      </c>
    </row>
    <row r="201" ht="13.5" customHeight="1" s="1232">
      <c r="A201" s="1348" t="n">
        <v>46168</v>
      </c>
      <c r="B201" s="1349" t="inlineStr">
        <is>
          <t>Sarah Kuner</t>
        </is>
      </c>
      <c r="C201" s="1350" t="inlineStr">
        <is>
          <t>1. Courses/masterclasses</t>
        </is>
      </c>
      <c r="D201" s="1349" t="inlineStr">
        <is>
          <t>Bank</t>
        </is>
      </c>
      <c r="E201" s="1351" t="n">
        <v>120</v>
      </c>
      <c r="F201" s="1349" t="inlineStr">
        <is>
          <t>Camera Course</t>
        </is>
      </c>
      <c r="G201" s="1349" t="inlineStr">
        <is>
          <t>Into the Blue</t>
        </is>
      </c>
      <c r="I201" t="inlineStr">
        <is>
          <t>Beginners Photography Course | 3 Weekly Evening Classes</t>
        </is>
      </c>
      <c r="J201" t="inlineStr">
        <is>
          <t>https://www.alanranger.com/beginners-photography-classes</t>
        </is>
      </c>
    </row>
    <row r="202" ht="13.5" customHeight="1" s="1232">
      <c r="A202" s="1348" t="n">
        <v>46168</v>
      </c>
      <c r="B202" s="1349" t="inlineStr">
        <is>
          <t>Harmit Kuner</t>
        </is>
      </c>
      <c r="C202" s="1350" t="inlineStr">
        <is>
          <t>1. Courses/masterclasses</t>
        </is>
      </c>
      <c r="D202" s="1349" t="inlineStr">
        <is>
          <t>Bank</t>
        </is>
      </c>
      <c r="E202" s="1351" t="n">
        <v>120</v>
      </c>
      <c r="F202" s="1349" t="inlineStr">
        <is>
          <t>Camera Course</t>
        </is>
      </c>
      <c r="G202" s="1349" t="inlineStr">
        <is>
          <t>Into the Blue</t>
        </is>
      </c>
      <c r="I202" t="inlineStr">
        <is>
          <t>Beginners Photography Course | 3 Weekly Evening Classes</t>
        </is>
      </c>
      <c r="J202" t="inlineStr">
        <is>
          <t>https://www.alanranger.com/beginners-photography-classes</t>
        </is>
      </c>
    </row>
    <row r="203" ht="13.5" customHeight="1" s="1232">
      <c r="A203" s="1348" t="n">
        <v>46163</v>
      </c>
      <c r="B203" s="1349" t="inlineStr">
        <is>
          <t>Esau Leon</t>
        </is>
      </c>
      <c r="C203" s="1350" t="inlineStr">
        <is>
          <t>12. Academy</t>
        </is>
      </c>
      <c r="D203" s="1349" t="inlineStr">
        <is>
          <t>Stripe</t>
        </is>
      </c>
      <c r="E203" s="1351" t="n">
        <v>79</v>
      </c>
      <c r="F203" s="1349" t="inlineStr">
        <is>
          <t>Academy</t>
        </is>
      </c>
      <c r="G203" s="1349" t="inlineStr">
        <is>
          <t>Google</t>
        </is>
      </c>
      <c r="I203" t="inlineStr">
        <is>
          <t>Academy - Membership / eBook / Exams (historical bundle)</t>
        </is>
      </c>
      <c r="J203" t="inlineStr">
        <is>
          <t>https://www.alanranger.com/free-online-photography-course</t>
        </is>
      </c>
    </row>
    <row r="204" ht="13.5" customHeight="1" s="1232">
      <c r="A204" s="1348" t="n">
        <v>46162</v>
      </c>
      <c r="B204" s="1349" t="inlineStr">
        <is>
          <t xml:space="preserve">Anne Watkinson </t>
        </is>
      </c>
      <c r="C204" s="1350" t="inlineStr">
        <is>
          <t>7. 1-2-1</t>
        </is>
      </c>
      <c r="D204" s="1349" t="inlineStr">
        <is>
          <t>Stripe</t>
        </is>
      </c>
      <c r="E204" s="1351" t="n">
        <v>65</v>
      </c>
      <c r="F204" s="1352" t="inlineStr">
        <is>
          <t>121</t>
        </is>
      </c>
      <c r="G204" s="1349" t="inlineStr">
        <is>
          <t>Existing</t>
        </is>
      </c>
      <c r="I204" t="inlineStr">
        <is>
          <t>1-2-1 Single Session - 1hr (Face-to-Face)</t>
        </is>
      </c>
      <c r="J204" t="inlineStr">
        <is>
          <t>https://www.alanranger.com/private-photography-lessons</t>
        </is>
      </c>
    </row>
    <row r="205" ht="13.5" customHeight="1" s="1232">
      <c r="A205" s="1348" t="n">
        <v>46159</v>
      </c>
      <c r="B205" s="1349" t="inlineStr">
        <is>
          <t>Ruth Martin</t>
        </is>
      </c>
      <c r="C205" s="1350" t="inlineStr">
        <is>
          <t>12. Academy</t>
        </is>
      </c>
      <c r="D205" s="1349" t="inlineStr">
        <is>
          <t>Stripe</t>
        </is>
      </c>
      <c r="E205" s="1351" t="n">
        <v>59</v>
      </c>
      <c r="F205" s="1349" t="inlineStr">
        <is>
          <t>Academy</t>
        </is>
      </c>
      <c r="G205" s="1349" t="inlineStr">
        <is>
          <t>Existing</t>
        </is>
      </c>
      <c r="I205" t="inlineStr">
        <is>
          <t>Academy - Membership / eBook / Exams (historical bundle)</t>
        </is>
      </c>
      <c r="J205" t="inlineStr">
        <is>
          <t>https://www.alanranger.com/free-online-photography-course</t>
        </is>
      </c>
    </row>
    <row r="206" ht="13.5" customHeight="1" s="1232">
      <c r="A206" s="1348" t="n">
        <v>46156</v>
      </c>
      <c r="B206" s="1349" t="inlineStr">
        <is>
          <t>Mahesh Valasa</t>
        </is>
      </c>
      <c r="C206" s="1350" t="inlineStr">
        <is>
          <t>8. Gift Vouchers Inc</t>
        </is>
      </c>
      <c r="D206" s="1349" t="inlineStr">
        <is>
          <t>Stripe</t>
        </is>
      </c>
      <c r="E206" s="1351" t="n">
        <v>150</v>
      </c>
      <c r="F206" s="1349" t="inlineStr">
        <is>
          <t>Gift Voucher</t>
        </is>
      </c>
      <c r="G206" s="1349" t="inlineStr">
        <is>
          <t>Google</t>
        </is>
      </c>
      <c r="I206" t="inlineStr">
        <is>
          <t>Gift Voucher - Digital eCard</t>
        </is>
      </c>
      <c r="J206" t="inlineStr">
        <is>
          <t>https://www.alanranger.com/photography-gift-vouchers</t>
        </is>
      </c>
    </row>
    <row r="207" ht="13.5" customHeight="1" s="1232">
      <c r="A207" s="1348" t="n">
        <v>46154</v>
      </c>
      <c r="B207" s="1349" t="inlineStr">
        <is>
          <t>Peter Sands</t>
        </is>
      </c>
      <c r="C207" s="1350" t="inlineStr">
        <is>
          <t>12. Academy</t>
        </is>
      </c>
      <c r="D207" s="1349" t="inlineStr">
        <is>
          <t>Stripe</t>
        </is>
      </c>
      <c r="E207" s="1351" t="n">
        <v>79</v>
      </c>
      <c r="F207" s="1349" t="inlineStr">
        <is>
          <t>Academy</t>
        </is>
      </c>
      <c r="G207" s="1349" t="inlineStr">
        <is>
          <t>Google</t>
        </is>
      </c>
      <c r="I207" t="inlineStr">
        <is>
          <t>Academy - Membership / eBook / Exams (historical bundle)</t>
        </is>
      </c>
      <c r="J207" t="inlineStr">
        <is>
          <t>https://www.alanranger.com/free-online-photography-course</t>
        </is>
      </c>
    </row>
    <row r="208" ht="13.5" customHeight="1" s="1232">
      <c r="A208" s="1348" t="n">
        <v>46152</v>
      </c>
      <c r="B208" s="1349" t="inlineStr">
        <is>
          <t>Archit Rastogi</t>
        </is>
      </c>
      <c r="C208" s="1350" t="inlineStr">
        <is>
          <t>1. Courses/masterclasses</t>
        </is>
      </c>
      <c r="D208" s="1349" t="inlineStr">
        <is>
          <t>Stripe</t>
        </is>
      </c>
      <c r="E208" s="1351" t="n">
        <v>50</v>
      </c>
      <c r="F208" s="1349" t="inlineStr">
        <is>
          <t>Lightoom</t>
        </is>
      </c>
      <c r="G208" s="1349" t="inlineStr">
        <is>
          <t>Existing</t>
        </is>
      </c>
      <c r="I208" t="inlineStr">
        <is>
          <t>Lightroom Courses for Beginners Photo Editing - Coventry</t>
        </is>
      </c>
      <c r="J208" t="inlineStr">
        <is>
          <t>https://www.alanranger.com/photo-editing-course-coventry</t>
        </is>
      </c>
    </row>
    <row r="209" ht="13.5" customHeight="1" s="1232">
      <c r="A209" s="1348" t="n">
        <v>46145</v>
      </c>
      <c r="B209" s="1349" t="inlineStr">
        <is>
          <t xml:space="preserve">Anne Watkinson </t>
        </is>
      </c>
      <c r="C209" s="1350" t="inlineStr">
        <is>
          <t>7. 1-2-1</t>
        </is>
      </c>
      <c r="D209" s="1349" t="inlineStr">
        <is>
          <t>Stripe</t>
        </is>
      </c>
      <c r="E209" s="1351" t="n">
        <v>65</v>
      </c>
      <c r="F209" s="1352" t="inlineStr">
        <is>
          <t>121</t>
        </is>
      </c>
      <c r="G209" s="1349" t="inlineStr">
        <is>
          <t>Existing</t>
        </is>
      </c>
      <c r="I209" t="inlineStr">
        <is>
          <t>1-2-1 Single Session - 1hr (Face-to-Face)</t>
        </is>
      </c>
      <c r="J209" t="inlineStr">
        <is>
          <t>https://www.alanranger.com/private-photography-lessons</t>
        </is>
      </c>
    </row>
    <row r="210" ht="13.5" customHeight="1" s="1232">
      <c r="A210" s="1348" t="n"/>
      <c r="B210" s="1349" t="n"/>
      <c r="C210" s="1350" t="n"/>
      <c r="D210" s="1349" t="n"/>
      <c r="E210" s="1351" t="n"/>
      <c r="F210" s="1349" t="n"/>
      <c r="G210" s="1349" t="n"/>
    </row>
    <row r="211" ht="13.5" customHeight="1" s="1232">
      <c r="A211" s="1348" t="n">
        <v>46141</v>
      </c>
      <c r="B211" s="1349" t="inlineStr">
        <is>
          <t>Michael Donnelly</t>
        </is>
      </c>
      <c r="C211" s="1350" t="inlineStr">
        <is>
          <t>1. Courses/masterclasses</t>
        </is>
      </c>
      <c r="D211" s="1349" t="inlineStr">
        <is>
          <t>Stripe</t>
        </is>
      </c>
      <c r="E211" s="1351" t="n">
        <v>150</v>
      </c>
      <c r="F211" s="1349" t="inlineStr">
        <is>
          <t>Camera Course</t>
        </is>
      </c>
      <c r="G211" s="1349" t="inlineStr">
        <is>
          <t>Google</t>
        </is>
      </c>
      <c r="I211" t="inlineStr">
        <is>
          <t>Beginners Photography Course | 3 Weekly Evening Classes</t>
        </is>
      </c>
      <c r="J211" t="inlineStr">
        <is>
          <t>https://www.alanranger.com/beginners-photography-classes</t>
        </is>
      </c>
    </row>
    <row r="212" ht="13.5" customHeight="1" s="1232">
      <c r="A212" s="1348" t="n">
        <v>46139</v>
      </c>
      <c r="B212" s="1349" t="inlineStr">
        <is>
          <t>Mike Elliott</t>
        </is>
      </c>
      <c r="C212" s="1350" t="inlineStr">
        <is>
          <t>9. Gift Vouchers Out</t>
        </is>
      </c>
      <c r="D212" s="1349" t="inlineStr">
        <is>
          <t>Gift Voucher Out</t>
        </is>
      </c>
      <c r="E212" s="1351" t="n">
        <v>-100</v>
      </c>
      <c r="F212" s="1349" t="inlineStr">
        <is>
          <t>Hartland Quay</t>
        </is>
      </c>
      <c r="G212" s="1349" t="inlineStr">
        <is>
          <t>Google</t>
        </is>
      </c>
      <c r="I212" t="inlineStr">
        <is>
          <t>Voucher/Plan Redemption - not a product sale</t>
        </is>
      </c>
      <c r="J212" t="inlineStr"/>
    </row>
    <row r="213" ht="13.5" customHeight="1" s="1232">
      <c r="A213" s="1348" t="n">
        <v>46139</v>
      </c>
      <c r="B213" s="1349" t="inlineStr">
        <is>
          <t>Mike Elliott</t>
        </is>
      </c>
      <c r="C213" s="1350" t="inlineStr">
        <is>
          <t>3. Workshops Residential</t>
        </is>
      </c>
      <c r="D213" s="1349" t="inlineStr">
        <is>
          <t>Gift Voucher Out</t>
        </is>
      </c>
      <c r="E213" s="1351" t="n">
        <v>100</v>
      </c>
      <c r="F213" s="1349" t="inlineStr">
        <is>
          <t>Hartland Quay</t>
        </is>
      </c>
      <c r="G213" s="1349" t="inlineStr">
        <is>
          <t>Google</t>
        </is>
      </c>
      <c r="I213" t="inlineStr">
        <is>
          <t>Landscape Photography DEVON Workshops - Various Dates</t>
        </is>
      </c>
      <c r="J213" t="inlineStr">
        <is>
          <t>https://www.alanranger.com/photography-workshops</t>
        </is>
      </c>
    </row>
    <row r="214" ht="13.5" customHeight="1" s="1232">
      <c r="A214" s="1348" t="n">
        <v>46139</v>
      </c>
      <c r="B214" s="1349" t="inlineStr">
        <is>
          <t>Mike Elliott</t>
        </is>
      </c>
      <c r="C214" s="1350" t="inlineStr">
        <is>
          <t>3. Workshops Residential</t>
        </is>
      </c>
      <c r="D214" s="1349" t="inlineStr">
        <is>
          <t>Stripe</t>
        </is>
      </c>
      <c r="E214" s="1351" t="n">
        <v>675</v>
      </c>
      <c r="F214" s="1349" t="inlineStr">
        <is>
          <t>Hartland Quay</t>
        </is>
      </c>
      <c r="G214" s="1349" t="inlineStr">
        <is>
          <t>Google</t>
        </is>
      </c>
      <c r="I214" t="inlineStr">
        <is>
          <t>Landscape Photography DEVON Workshops - Various Dates</t>
        </is>
      </c>
      <c r="J214" t="inlineStr">
        <is>
          <t>https://www.alanranger.com/photography-workshops</t>
        </is>
      </c>
    </row>
    <row r="215" ht="13.5" customHeight="1" s="1232">
      <c r="A215" s="1348" t="n">
        <v>46138</v>
      </c>
      <c r="B215" s="1349" t="inlineStr">
        <is>
          <t>Gail Johnson</t>
        </is>
      </c>
      <c r="C215" s="1350" t="inlineStr">
        <is>
          <t>9. Gift Vouchers Out</t>
        </is>
      </c>
      <c r="D215" s="1349" t="inlineStr">
        <is>
          <t>Gift Voucher Out</t>
        </is>
      </c>
      <c r="E215" s="1351" t="n">
        <v>-125</v>
      </c>
      <c r="F215" s="1349" t="inlineStr">
        <is>
          <t>Fairy Glen</t>
        </is>
      </c>
      <c r="G215" s="1349" t="inlineStr">
        <is>
          <t>Google</t>
        </is>
      </c>
      <c r="I215" t="inlineStr">
        <is>
          <t>Voucher/Plan Redemption - not a product sale</t>
        </is>
      </c>
      <c r="J215" t="inlineStr"/>
    </row>
    <row r="216" ht="13.5" customHeight="1" s="1232">
      <c r="A216" s="1348" t="n">
        <v>46138</v>
      </c>
      <c r="B216" s="1349" t="inlineStr">
        <is>
          <t>Gail Johnson</t>
        </is>
      </c>
      <c r="C216" s="1350" t="inlineStr">
        <is>
          <t>2. Workshops Non Residential</t>
        </is>
      </c>
      <c r="D216" s="1349" t="inlineStr">
        <is>
          <t>Gift Voucher Out</t>
        </is>
      </c>
      <c r="E216" s="1351" t="n">
        <v>125</v>
      </c>
      <c r="F216" s="1349" t="inlineStr">
        <is>
          <t>Fairy Glen</t>
        </is>
      </c>
      <c r="G216" s="1349" t="inlineStr">
        <is>
          <t>Google</t>
        </is>
      </c>
      <c r="I216" t="inlineStr">
        <is>
          <t>FAIRY GLEN and Fairy Falls Long Exposure Photography</t>
        </is>
      </c>
      <c r="J216" t="inlineStr">
        <is>
          <t>https://www.alanranger.com/landscape-photography-workshops</t>
        </is>
      </c>
    </row>
    <row r="217" ht="13.5" customHeight="1" s="1232">
      <c r="A217" s="1348" t="n">
        <v>46138</v>
      </c>
      <c r="B217" s="1349" t="inlineStr">
        <is>
          <t>Maggie Shaw</t>
        </is>
      </c>
      <c r="C217" s="1350" t="inlineStr">
        <is>
          <t>8. Gift Vouchers Inc</t>
        </is>
      </c>
      <c r="D217" s="1349" t="inlineStr">
        <is>
          <t>Stripe</t>
        </is>
      </c>
      <c r="E217" s="1351" t="n">
        <v>50</v>
      </c>
      <c r="F217" s="1349" t="inlineStr">
        <is>
          <t>Digital Gidt Card</t>
        </is>
      </c>
      <c r="G217" s="1349" t="inlineStr">
        <is>
          <t>Google</t>
        </is>
      </c>
      <c r="I217" t="inlineStr">
        <is>
          <t>Gift Voucher - Digital eCard</t>
        </is>
      </c>
      <c r="J217" t="inlineStr">
        <is>
          <t>https://www.alanranger.com/photography-gift-vouchers</t>
        </is>
      </c>
    </row>
    <row r="218" ht="13.5" customHeight="1" s="1232">
      <c r="A218" s="1348" t="n">
        <v>46138</v>
      </c>
      <c r="B218" s="1349" t="inlineStr">
        <is>
          <t>Les Page</t>
        </is>
      </c>
      <c r="C218" s="1350" t="inlineStr">
        <is>
          <t>2. Workshops Non Residential</t>
        </is>
      </c>
      <c r="D218" s="1349" t="inlineStr">
        <is>
          <t>Stripe</t>
        </is>
      </c>
      <c r="E218" s="1351" t="n">
        <v>99</v>
      </c>
      <c r="F218" s="1349" t="inlineStr">
        <is>
          <t>Bluebells</t>
        </is>
      </c>
      <c r="G218" s="1349" t="inlineStr">
        <is>
          <t>Existing</t>
        </is>
      </c>
      <c r="I218" t="inlineStr">
        <is>
          <t>BLUEBELL WOODLANDS Photography - Warks - 20 Apr- 30 Apr</t>
        </is>
      </c>
      <c r="J218" t="inlineStr">
        <is>
          <t>https://www.alanranger.com/one-day-landscape-photography-workshops</t>
        </is>
      </c>
    </row>
    <row r="219" ht="13.5" customHeight="1" s="1232">
      <c r="A219" s="1348" t="n">
        <v>46136</v>
      </c>
      <c r="B219" s="1349" t="inlineStr">
        <is>
          <t>neil lewis</t>
        </is>
      </c>
      <c r="C219" s="1350" t="inlineStr">
        <is>
          <t>2. Workshops Non Residential</t>
        </is>
      </c>
      <c r="D219" s="1349" t="inlineStr">
        <is>
          <t>Stripe</t>
        </is>
      </c>
      <c r="E219" s="1351" t="n">
        <v>99</v>
      </c>
      <c r="F219" s="1349" t="inlineStr">
        <is>
          <t>Bluebells</t>
        </is>
      </c>
      <c r="G219" s="1349" t="inlineStr">
        <is>
          <t>Google</t>
        </is>
      </c>
      <c r="I219" t="inlineStr">
        <is>
          <t>BLUEBELL WOODLANDS Photography - Warks - 20 Apr- 30 Apr</t>
        </is>
      </c>
      <c r="J219" t="inlineStr">
        <is>
          <t>https://www.alanranger.com/one-day-landscape-photography-workshops</t>
        </is>
      </c>
    </row>
    <row r="220" ht="13.5" customHeight="1" s="1232">
      <c r="A220" s="1348" t="n">
        <v>46136</v>
      </c>
      <c r="B220" s="1349" t="inlineStr">
        <is>
          <t>Neil Sturgess</t>
        </is>
      </c>
      <c r="C220" s="1350" t="inlineStr">
        <is>
          <t>2. Workshops Non Residential</t>
        </is>
      </c>
      <c r="D220" s="1349" t="inlineStr">
        <is>
          <t>Bank</t>
        </is>
      </c>
      <c r="E220" s="1351" t="n">
        <v>120</v>
      </c>
      <c r="F220" s="1349" t="inlineStr">
        <is>
          <t>Peak District</t>
        </is>
      </c>
      <c r="G220" s="1349" t="inlineStr">
        <is>
          <t>Into the Blue</t>
        </is>
      </c>
      <c r="I220" t="inlineStr">
        <is>
          <t>PEAK DISTRICT Photography Workshops - May, Oct and Nov</t>
        </is>
      </c>
      <c r="J220" t="inlineStr">
        <is>
          <t>https://www.alanranger.com/one-day-landscape-photography-workshops</t>
        </is>
      </c>
    </row>
    <row r="221" ht="13.5" customHeight="1" s="1232">
      <c r="A221" s="1348" t="n">
        <v>46136</v>
      </c>
      <c r="B221" s="1349" t="inlineStr">
        <is>
          <t>Sharon MacDonald</t>
        </is>
      </c>
      <c r="C221" s="1350" t="inlineStr">
        <is>
          <t>2. Workshops Non Residential</t>
        </is>
      </c>
      <c r="D221" s="1349" t="inlineStr">
        <is>
          <t>Bank</t>
        </is>
      </c>
      <c r="E221" s="1351" t="n">
        <v>240</v>
      </c>
      <c r="F221" s="1349" t="inlineStr">
        <is>
          <t>Peak District</t>
        </is>
      </c>
      <c r="G221" s="1349" t="inlineStr">
        <is>
          <t>Into the Blue</t>
        </is>
      </c>
      <c r="I221" t="inlineStr">
        <is>
          <t>PEAK DISTRICT Photography Workshops - May, Oct and Nov</t>
        </is>
      </c>
      <c r="J221" t="inlineStr">
        <is>
          <t>https://www.alanranger.com/one-day-landscape-photography-workshops</t>
        </is>
      </c>
    </row>
    <row r="222" ht="13.5" customHeight="1" s="1232">
      <c r="A222" s="1348" t="n">
        <v>46136</v>
      </c>
      <c r="B222" s="1349" t="inlineStr">
        <is>
          <t>Lisa Vincent</t>
        </is>
      </c>
      <c r="C222" s="1350" t="inlineStr">
        <is>
          <t>2. Workshops Non Residential</t>
        </is>
      </c>
      <c r="D222" s="1349" t="inlineStr">
        <is>
          <t>Bank</t>
        </is>
      </c>
      <c r="E222" s="1351" t="n">
        <v>120</v>
      </c>
      <c r="F222" s="1349" t="inlineStr">
        <is>
          <t>Peak District</t>
        </is>
      </c>
      <c r="G222" s="1349" t="inlineStr">
        <is>
          <t>Into the Blue</t>
        </is>
      </c>
      <c r="I222" t="inlineStr">
        <is>
          <t>PEAK DISTRICT Photography Workshops - May, Oct and Nov</t>
        </is>
      </c>
      <c r="J222" t="inlineStr">
        <is>
          <t>https://www.alanranger.com/one-day-landscape-photography-workshops</t>
        </is>
      </c>
    </row>
    <row r="223" ht="13.5" customHeight="1" s="1232">
      <c r="A223" s="1348" t="n">
        <v>46136</v>
      </c>
      <c r="B223" s="1349" t="inlineStr">
        <is>
          <t>Sophie Bringlow</t>
        </is>
      </c>
      <c r="C223" s="1350" t="inlineStr">
        <is>
          <t>2. Workshops Non Residential</t>
        </is>
      </c>
      <c r="D223" s="1349" t="inlineStr">
        <is>
          <t>Bank</t>
        </is>
      </c>
      <c r="E223" s="1351" t="n">
        <v>120</v>
      </c>
      <c r="F223" s="1349" t="inlineStr">
        <is>
          <t>Peak District</t>
        </is>
      </c>
      <c r="G223" s="1349" t="inlineStr">
        <is>
          <t>Into the Blue</t>
        </is>
      </c>
      <c r="I223" t="inlineStr">
        <is>
          <t>PEAK DISTRICT Photography Workshops - May, Oct and Nov</t>
        </is>
      </c>
      <c r="J223" t="inlineStr">
        <is>
          <t>https://www.alanranger.com/one-day-landscape-photography-workshops</t>
        </is>
      </c>
    </row>
    <row r="224" ht="13.5" customHeight="1" s="1232">
      <c r="A224" s="1348" t="n">
        <v>46136</v>
      </c>
      <c r="B224" s="1349" t="inlineStr">
        <is>
          <t>David Clarke</t>
        </is>
      </c>
      <c r="C224" s="1350" t="inlineStr">
        <is>
          <t>2. Workshops Non Residential</t>
        </is>
      </c>
      <c r="D224" s="1349" t="inlineStr">
        <is>
          <t>Bank</t>
        </is>
      </c>
      <c r="E224" s="1351" t="n">
        <v>120</v>
      </c>
      <c r="F224" s="1349" t="inlineStr">
        <is>
          <t>Peak District</t>
        </is>
      </c>
      <c r="G224" s="1349" t="inlineStr">
        <is>
          <t>Into the Blue</t>
        </is>
      </c>
      <c r="I224" t="inlineStr">
        <is>
          <t>PEAK DISTRICT Photography Workshops - May, Oct and Nov</t>
        </is>
      </c>
      <c r="J224" t="inlineStr">
        <is>
          <t>https://www.alanranger.com/one-day-landscape-photography-workshops</t>
        </is>
      </c>
    </row>
    <row r="225" ht="13.5" customHeight="1" s="1232">
      <c r="A225" s="1348" t="n">
        <v>46136</v>
      </c>
      <c r="B225" s="1349" t="inlineStr">
        <is>
          <t>Elizabeth Newall</t>
        </is>
      </c>
      <c r="C225" s="1350" t="inlineStr">
        <is>
          <t>2. Workshops Non Residential</t>
        </is>
      </c>
      <c r="D225" s="1349" t="inlineStr">
        <is>
          <t>Bank</t>
        </is>
      </c>
      <c r="E225" s="1351" t="n">
        <v>120</v>
      </c>
      <c r="F225" s="1349" t="inlineStr">
        <is>
          <t>Peak District</t>
        </is>
      </c>
      <c r="G225" s="1349" t="inlineStr">
        <is>
          <t>Into the Blue</t>
        </is>
      </c>
      <c r="I225" t="inlineStr">
        <is>
          <t>PEAK DISTRICT Photography Workshops - May, Oct and Nov</t>
        </is>
      </c>
      <c r="J225" t="inlineStr">
        <is>
          <t>https://www.alanranger.com/one-day-landscape-photography-workshops</t>
        </is>
      </c>
    </row>
    <row r="226" ht="13.5" customHeight="1" s="1232">
      <c r="A226" s="1348" t="n">
        <v>46135</v>
      </c>
      <c r="B226" s="1349" t="inlineStr">
        <is>
          <t>Sarah Glasgow</t>
        </is>
      </c>
      <c r="C226" s="1350" t="inlineStr">
        <is>
          <t>2. Workshops Non Residential</t>
        </is>
      </c>
      <c r="D226" s="1349" t="inlineStr">
        <is>
          <t>Stripe</t>
        </is>
      </c>
      <c r="E226" s="1351" t="n">
        <v>50</v>
      </c>
      <c r="F226" s="1349" t="inlineStr">
        <is>
          <t>Urban Architecture</t>
        </is>
      </c>
      <c r="G226" s="1349" t="inlineStr">
        <is>
          <t>Referral</t>
        </is>
      </c>
      <c r="I226" t="inlineStr">
        <is>
          <t>URBAN ARCHITECTURE Photography Workshops - Coventry 9 Sep</t>
        </is>
      </c>
      <c r="J226" t="inlineStr">
        <is>
          <t>https://www.alanranger.com/landscape-photography-workshops</t>
        </is>
      </c>
    </row>
    <row r="227" ht="13.5" customHeight="1" s="1232">
      <c r="A227" s="1348" t="n">
        <v>46136</v>
      </c>
      <c r="B227" s="1349" t="inlineStr">
        <is>
          <t>Paul Widdowson</t>
        </is>
      </c>
      <c r="C227" s="1350" t="inlineStr">
        <is>
          <t>12. Academy</t>
        </is>
      </c>
      <c r="D227" s="1349" t="inlineStr">
        <is>
          <t>Stripe</t>
        </is>
      </c>
      <c r="E227" s="1351" t="n">
        <v>59</v>
      </c>
      <c r="F227" s="1349" t="inlineStr">
        <is>
          <t>Academy</t>
        </is>
      </c>
      <c r="G227" s="1349" t="inlineStr">
        <is>
          <t>Existing</t>
        </is>
      </c>
      <c r="I227" t="inlineStr">
        <is>
          <t>Academy - Membership / eBook / Exams (historical bundle)</t>
        </is>
      </c>
      <c r="J227" t="inlineStr">
        <is>
          <t>https://www.alanranger.com/free-online-photography-course</t>
        </is>
      </c>
    </row>
    <row r="228" ht="13.5" customHeight="1" s="1232">
      <c r="A228" s="1348" t="n">
        <v>46136</v>
      </c>
      <c r="B228" s="1349" t="inlineStr">
        <is>
          <t>Sharon Pilkington</t>
        </is>
      </c>
      <c r="C228" s="1350" t="inlineStr">
        <is>
          <t>2. Workshops Non Residential</t>
        </is>
      </c>
      <c r="D228" s="1349" t="inlineStr">
        <is>
          <t>Stripe</t>
        </is>
      </c>
      <c r="E228" s="1351" t="n">
        <v>150</v>
      </c>
      <c r="F228" s="1349" t="inlineStr">
        <is>
          <t>Peak District</t>
        </is>
      </c>
      <c r="G228" s="1349" t="inlineStr">
        <is>
          <t>Google</t>
        </is>
      </c>
      <c r="I228" t="inlineStr">
        <is>
          <t>PEAK DISTRICT Photography Workshops - May, Oct and Nov</t>
        </is>
      </c>
      <c r="J228" t="inlineStr">
        <is>
          <t>https://www.alanranger.com/one-day-landscape-photography-workshops</t>
        </is>
      </c>
    </row>
    <row r="229" ht="13.5" customHeight="1" s="1232">
      <c r="A229" s="1348" t="n">
        <v>46135</v>
      </c>
      <c r="B229" s="1349" t="inlineStr">
        <is>
          <t>dave sharp</t>
        </is>
      </c>
      <c r="C229" s="1350" t="inlineStr">
        <is>
          <t>2. Workshops Non Residential</t>
        </is>
      </c>
      <c r="D229" s="1349" t="inlineStr">
        <is>
          <t>Stripe</t>
        </is>
      </c>
      <c r="E229" s="1351" t="n">
        <v>99</v>
      </c>
      <c r="F229" s="1349" t="inlineStr">
        <is>
          <t>Bluebells</t>
        </is>
      </c>
      <c r="G229" s="1349" t="inlineStr">
        <is>
          <t>Referral</t>
        </is>
      </c>
      <c r="I229" t="inlineStr">
        <is>
          <t>BLUEBELL WOODLANDS Photography - Warks - 20 Apr- 30 Apr</t>
        </is>
      </c>
      <c r="J229" t="inlineStr">
        <is>
          <t>https://www.alanranger.com/one-day-landscape-photography-workshops</t>
        </is>
      </c>
    </row>
    <row r="230" ht="13.5" customHeight="1" s="1232">
      <c r="A230" s="1348" t="n">
        <v>46131</v>
      </c>
      <c r="B230" s="1349" t="inlineStr">
        <is>
          <t>Mahesh Patel</t>
        </is>
      </c>
      <c r="C230" s="1350" t="inlineStr">
        <is>
          <t>3. Workshops Residential</t>
        </is>
      </c>
      <c r="D230" s="1349" t="inlineStr">
        <is>
          <t>Stripe</t>
        </is>
      </c>
      <c r="E230" s="1351" t="n">
        <v>575</v>
      </c>
      <c r="F230" s="1349" t="inlineStr">
        <is>
          <t>Lake Vyrnwy</t>
        </is>
      </c>
      <c r="G230" s="1349" t="inlineStr">
        <is>
          <t>Google</t>
        </is>
      </c>
      <c r="I230" t="inlineStr">
        <is>
          <t>WALES Photography Workshop | Lake Vyrnwy 10-11 Oct</t>
        </is>
      </c>
      <c r="J230" t="inlineStr">
        <is>
          <t>https://www.alanranger.com/photography-workshops</t>
        </is>
      </c>
    </row>
    <row r="231" ht="13.5" customHeight="1" s="1232">
      <c r="A231" s="1348" t="n">
        <v>46130</v>
      </c>
      <c r="B231" s="1349" t="inlineStr">
        <is>
          <t>Andrea Morris</t>
        </is>
      </c>
      <c r="C231" s="1350" t="inlineStr">
        <is>
          <t>8. Gift Vouchers Inc</t>
        </is>
      </c>
      <c r="D231" s="1349" t="inlineStr">
        <is>
          <t>Stripe</t>
        </is>
      </c>
      <c r="E231" s="1351" t="n">
        <v>150</v>
      </c>
      <c r="F231" s="1349" t="inlineStr">
        <is>
          <t>Digital Gidt Card</t>
        </is>
      </c>
      <c r="G231" s="1349" t="inlineStr">
        <is>
          <t>Google</t>
        </is>
      </c>
      <c r="I231" t="inlineStr">
        <is>
          <t>Gift Voucher - Digital eCard</t>
        </is>
      </c>
      <c r="J231" t="inlineStr">
        <is>
          <t>https://www.alanranger.com/photography-gift-vouchers</t>
        </is>
      </c>
    </row>
    <row r="232" ht="13.5" customHeight="1" s="1232">
      <c r="A232" s="1348" t="n">
        <v>46129</v>
      </c>
      <c r="B232" s="1349" t="inlineStr">
        <is>
          <t>Malver CC</t>
        </is>
      </c>
      <c r="C232" s="1350" t="inlineStr">
        <is>
          <t>11 Commissions</t>
        </is>
      </c>
      <c r="D232" s="1349" t="inlineStr">
        <is>
          <t>Bank</t>
        </is>
      </c>
      <c r="E232" s="1351" t="n">
        <v>200</v>
      </c>
      <c r="F232" s="1349" t="inlineStr">
        <is>
          <t>Camera Club Talk</t>
        </is>
      </c>
      <c r="G232" s="1349" t="inlineStr">
        <is>
          <t>Google</t>
        </is>
      </c>
      <c r="I232" t="inlineStr">
        <is>
          <t>Commission - Editorial / Guest Blog / Judging</t>
        </is>
      </c>
      <c r="J232" t="inlineStr">
        <is>
          <t>https://www.alanranger.com/corporate-photography-training</t>
        </is>
      </c>
    </row>
    <row r="233" ht="13.5" customHeight="1" s="1232">
      <c r="A233" s="1348" t="n">
        <v>46129</v>
      </c>
      <c r="B233" s="1349" t="inlineStr">
        <is>
          <t>Ruth Martin</t>
        </is>
      </c>
      <c r="C233" s="1350" t="inlineStr">
        <is>
          <t>2. Workshops Non Residential</t>
        </is>
      </c>
      <c r="D233" s="1349" t="inlineStr">
        <is>
          <t>Stripe</t>
        </is>
      </c>
      <c r="E233" s="1351" t="n">
        <v>99</v>
      </c>
      <c r="F233" s="1349" t="inlineStr">
        <is>
          <t>Bluebells</t>
        </is>
      </c>
      <c r="G233" s="1349" t="inlineStr">
        <is>
          <t>Google</t>
        </is>
      </c>
      <c r="I233" t="inlineStr">
        <is>
          <t>BLUEBELL WOODLANDS Photography - Warks - 20 Apr- 30 Apr</t>
        </is>
      </c>
      <c r="J233" t="inlineStr">
        <is>
          <t>https://www.alanranger.com/one-day-landscape-photography-workshops</t>
        </is>
      </c>
    </row>
    <row r="234" ht="13.5" customHeight="1" s="1232">
      <c r="A234" s="1348" t="n">
        <v>46127</v>
      </c>
      <c r="B234" s="1349" t="inlineStr">
        <is>
          <t>Esther Anyanwu</t>
        </is>
      </c>
      <c r="C234" s="1350" t="inlineStr">
        <is>
          <t>7. 1-2-1</t>
        </is>
      </c>
      <c r="D234" s="1349" t="inlineStr">
        <is>
          <t>Stripe</t>
        </is>
      </c>
      <c r="E234" s="1351" t="n">
        <v>20</v>
      </c>
      <c r="F234" s="1352" t="inlineStr">
        <is>
          <t>1-2-1 Balance</t>
        </is>
      </c>
      <c r="G234" s="1349" t="inlineStr">
        <is>
          <t>Existing</t>
        </is>
      </c>
      <c r="I234" t="inlineStr">
        <is>
          <t>1-2-1 Single Session - 1hr (Face-to-Face)</t>
        </is>
      </c>
      <c r="J234" t="inlineStr">
        <is>
          <t>https://www.alanranger.com/private-photography-lessons</t>
        </is>
      </c>
    </row>
    <row r="235" ht="13.5" customHeight="1" s="1232">
      <c r="A235" s="1348" t="n">
        <v>46127</v>
      </c>
      <c r="B235" s="1349" t="inlineStr">
        <is>
          <t>Martin Morris</t>
        </is>
      </c>
      <c r="C235" s="1350" t="inlineStr">
        <is>
          <t>9. Gift Vouchers Out</t>
        </is>
      </c>
      <c r="D235" s="1349" t="inlineStr">
        <is>
          <t>Gift Voucher Out</t>
        </is>
      </c>
      <c r="E235" s="1351" t="n">
        <v>-100</v>
      </c>
      <c r="F235" s="1349" t="inlineStr">
        <is>
          <t>Camera Course</t>
        </is>
      </c>
      <c r="G235" s="1349" t="inlineStr">
        <is>
          <t>Google</t>
        </is>
      </c>
      <c r="I235" t="inlineStr">
        <is>
          <t>Voucher/Plan Redemption - not a product sale</t>
        </is>
      </c>
      <c r="J235" t="inlineStr"/>
    </row>
    <row r="236" ht="13.5" customHeight="1" s="1232">
      <c r="A236" s="1348" t="n">
        <v>46127</v>
      </c>
      <c r="B236" s="1349" t="inlineStr">
        <is>
          <t>Martin Morris</t>
        </is>
      </c>
      <c r="C236" s="1350" t="inlineStr">
        <is>
          <t>1. Courses/masterclasses</t>
        </is>
      </c>
      <c r="D236" s="1349" t="inlineStr">
        <is>
          <t>Gift Voucher Out</t>
        </is>
      </c>
      <c r="E236" s="1351" t="n">
        <v>100</v>
      </c>
      <c r="F236" s="1349" t="inlineStr">
        <is>
          <t>Camera Course</t>
        </is>
      </c>
      <c r="G236" s="1349" t="inlineStr">
        <is>
          <t>Google</t>
        </is>
      </c>
      <c r="I236" t="inlineStr">
        <is>
          <t>Beginners Photography Course | 3 Weekly Evening Classes</t>
        </is>
      </c>
      <c r="J236" t="inlineStr">
        <is>
          <t>https://www.alanranger.com/beginners-photography-classes</t>
        </is>
      </c>
    </row>
    <row r="237" ht="13.5" customHeight="1" s="1232">
      <c r="A237" s="1348" t="n">
        <v>46127</v>
      </c>
      <c r="B237" s="1349" t="inlineStr">
        <is>
          <t>Martin Morris</t>
        </is>
      </c>
      <c r="C237" s="1350" t="inlineStr">
        <is>
          <t>1. Courses/masterclasses</t>
        </is>
      </c>
      <c r="D237" s="1349" t="inlineStr">
        <is>
          <t>Stripe</t>
        </is>
      </c>
      <c r="E237" s="1351" t="n">
        <v>50</v>
      </c>
      <c r="F237" s="1349" t="inlineStr">
        <is>
          <t>Camera Course</t>
        </is>
      </c>
      <c r="G237" s="1349" t="inlineStr">
        <is>
          <t>Google</t>
        </is>
      </c>
      <c r="I237" t="inlineStr">
        <is>
          <t>Beginners Photography Course | 3 Weekly Evening Classes</t>
        </is>
      </c>
      <c r="J237" t="inlineStr">
        <is>
          <t>https://www.alanranger.com/beginners-photography-classes</t>
        </is>
      </c>
    </row>
    <row r="238" ht="13.5" customHeight="1" s="1232">
      <c r="A238" s="1348" t="n">
        <v>46126</v>
      </c>
      <c r="B238" s="1349" t="inlineStr">
        <is>
          <t>Stacey Bailey</t>
        </is>
      </c>
      <c r="C238" s="1350" t="inlineStr">
        <is>
          <t>2. Workshops Non Residential</t>
        </is>
      </c>
      <c r="D238" s="1349" t="inlineStr">
        <is>
          <t>Stripe</t>
        </is>
      </c>
      <c r="E238" s="1351" t="n">
        <v>99</v>
      </c>
      <c r="F238" s="1349" t="inlineStr">
        <is>
          <t>Bluebells</t>
        </is>
      </c>
      <c r="G238" s="1349" t="inlineStr">
        <is>
          <t>Google</t>
        </is>
      </c>
      <c r="I238" t="inlineStr">
        <is>
          <t>BLUEBELL WOODLANDS Photography - Warks - 20 Apr- 30 Apr</t>
        </is>
      </c>
      <c r="J238" t="inlineStr">
        <is>
          <t>https://www.alanranger.com/one-day-landscape-photography-workshops</t>
        </is>
      </c>
    </row>
    <row r="239" ht="13.5" customHeight="1" s="1232">
      <c r="A239" s="1348" t="n">
        <v>46126</v>
      </c>
      <c r="B239" s="1349" t="inlineStr">
        <is>
          <t>Katherine Clay</t>
        </is>
      </c>
      <c r="C239" s="1350" t="inlineStr">
        <is>
          <t>1. Courses/masterclasses</t>
        </is>
      </c>
      <c r="D239" s="1349" t="inlineStr">
        <is>
          <t>Stripe</t>
        </is>
      </c>
      <c r="E239" s="1351" t="n">
        <v>150</v>
      </c>
      <c r="F239" s="1349" t="inlineStr">
        <is>
          <t>Camera Course</t>
        </is>
      </c>
      <c r="G239" s="1349" t="inlineStr">
        <is>
          <t>Google</t>
        </is>
      </c>
      <c r="I239" t="inlineStr">
        <is>
          <t>Beginners Photography Course | 3 Weekly Evening Classes</t>
        </is>
      </c>
      <c r="J239" t="inlineStr">
        <is>
          <t>https://www.alanranger.com/beginners-photography-classes</t>
        </is>
      </c>
    </row>
    <row r="240" ht="13.5" customHeight="1" s="1232">
      <c r="A240" s="1348" t="n">
        <v>46126</v>
      </c>
      <c r="B240" s="1349" t="inlineStr">
        <is>
          <t>George Caus</t>
        </is>
      </c>
      <c r="C240" s="1350" t="inlineStr">
        <is>
          <t>1. Courses/masterclasses</t>
        </is>
      </c>
      <c r="D240" s="1349" t="inlineStr">
        <is>
          <t>Stripe</t>
        </is>
      </c>
      <c r="E240" s="1351" t="n">
        <v>50</v>
      </c>
      <c r="F240" s="1349" t="inlineStr">
        <is>
          <t>Camera Course</t>
        </is>
      </c>
      <c r="G240" s="1349" t="inlineStr">
        <is>
          <t>Existing</t>
        </is>
      </c>
      <c r="I240" t="inlineStr">
        <is>
          <t>Beginners Photography Course | 3 Weekly Evening Classes</t>
        </is>
      </c>
      <c r="J240" t="inlineStr">
        <is>
          <t>https://www.alanranger.com/beginners-photography-classes</t>
        </is>
      </c>
    </row>
    <row r="241" ht="13.5" customHeight="1" s="1232">
      <c r="A241" s="1348" t="n">
        <v>46126</v>
      </c>
      <c r="B241" s="1349" t="inlineStr">
        <is>
          <t>BRAIN SMITH DSOUZA</t>
        </is>
      </c>
      <c r="C241" s="1350" t="inlineStr">
        <is>
          <t>1. Courses/masterclasses</t>
        </is>
      </c>
      <c r="D241" s="1349" t="inlineStr">
        <is>
          <t>Stripe</t>
        </is>
      </c>
      <c r="E241" s="1351" t="n">
        <v>50</v>
      </c>
      <c r="F241" s="1349" t="inlineStr">
        <is>
          <t>Camera Course</t>
        </is>
      </c>
      <c r="G241" s="1349" t="inlineStr">
        <is>
          <t>Existing</t>
        </is>
      </c>
      <c r="I241" t="inlineStr">
        <is>
          <t>Beginners Photography Course | 3 Weekly Evening Classes</t>
        </is>
      </c>
      <c r="J241" t="inlineStr">
        <is>
          <t>https://www.alanranger.com/beginners-photography-classes</t>
        </is>
      </c>
    </row>
    <row r="242" ht="13.5" customHeight="1" s="1232">
      <c r="A242" s="1348" t="n">
        <v>46125</v>
      </c>
      <c r="B242" s="1349" t="inlineStr">
        <is>
          <t>Jo Galloway</t>
        </is>
      </c>
      <c r="C242" s="1350" t="inlineStr">
        <is>
          <t>7. 1-2-1</t>
        </is>
      </c>
      <c r="D242" s="1349" t="inlineStr">
        <is>
          <t>Stripe</t>
        </is>
      </c>
      <c r="E242" s="1351" t="n">
        <v>120</v>
      </c>
      <c r="F242" s="1349" t="inlineStr">
        <is>
          <t>F2F 1-2-1</t>
        </is>
      </c>
      <c r="G242" s="1349" t="inlineStr">
        <is>
          <t>Existing</t>
        </is>
      </c>
      <c r="I242" t="inlineStr">
        <is>
          <t>1-2-1 Single Session - 2hr (Face-to-Face)</t>
        </is>
      </c>
      <c r="J242" t="inlineStr">
        <is>
          <t>https://www.alanranger.com/private-photography-lessons</t>
        </is>
      </c>
    </row>
    <row r="243" ht="13.5" customHeight="1" s="1232">
      <c r="A243" s="1348" t="n">
        <v>46125</v>
      </c>
      <c r="B243" s="1349" t="inlineStr">
        <is>
          <t>John Johnstone</t>
        </is>
      </c>
      <c r="C243" s="1350" t="inlineStr">
        <is>
          <t>7. 1-2-1</t>
        </is>
      </c>
      <c r="D243" s="1349" t="inlineStr">
        <is>
          <t>Stripe</t>
        </is>
      </c>
      <c r="E243" s="1351" t="n">
        <v>50</v>
      </c>
      <c r="F243" s="1349" t="inlineStr">
        <is>
          <t>Zomm 1hr</t>
        </is>
      </c>
      <c r="G243" s="1349" t="inlineStr">
        <is>
          <t>Google</t>
        </is>
      </c>
      <c r="I243" t="inlineStr">
        <is>
          <t>1-2-1 Single Session - 1hr Zoom</t>
        </is>
      </c>
      <c r="J243" t="inlineStr">
        <is>
          <t>https://www.alanranger.com/photography-lessons-online-121</t>
        </is>
      </c>
    </row>
    <row r="244" ht="13.5" customHeight="1" s="1232">
      <c r="A244" s="1348" t="n">
        <v>46124</v>
      </c>
      <c r="B244" s="1349" t="inlineStr">
        <is>
          <t>Peter Orton</t>
        </is>
      </c>
      <c r="C244" s="1350" t="inlineStr">
        <is>
          <t>3. Workshops Residential</t>
        </is>
      </c>
      <c r="D244" s="1349" t="inlineStr">
        <is>
          <t>Stripe</t>
        </is>
      </c>
      <c r="E244" s="1351" t="n">
        <v>775</v>
      </c>
      <c r="F244" s="1349" t="inlineStr">
        <is>
          <t>Devon</t>
        </is>
      </c>
      <c r="G244" s="1349" t="inlineStr">
        <is>
          <t>Existing</t>
        </is>
      </c>
      <c r="I244" t="inlineStr">
        <is>
          <t>Landscape Photography DEVON Workshops - Various Dates</t>
        </is>
      </c>
      <c r="J244" t="inlineStr">
        <is>
          <t>https://www.alanranger.com/photography-workshops</t>
        </is>
      </c>
    </row>
    <row r="245" ht="13.5" customHeight="1" s="1232">
      <c r="A245" s="1348" t="n">
        <v>46120</v>
      </c>
      <c r="B245" s="1349" t="inlineStr">
        <is>
          <t>Emmanuel Asimadi</t>
        </is>
      </c>
      <c r="C245" s="1350" t="inlineStr">
        <is>
          <t>2. Workshops Non Residential</t>
        </is>
      </c>
      <c r="D245" s="1349" t="inlineStr">
        <is>
          <t>Stripe</t>
        </is>
      </c>
      <c r="E245" s="1351" t="n">
        <v>125</v>
      </c>
      <c r="F245" s="1349" t="inlineStr">
        <is>
          <t>Woodland Masterclass</t>
        </is>
      </c>
      <c r="G245" s="1349" t="inlineStr">
        <is>
          <t>Google</t>
        </is>
      </c>
      <c r="I245" t="inlineStr">
        <is>
          <t>The Secret of WOODLAND PHOTOGRAPHY- 1-Day Jan, Apr, Aug, Oct</t>
        </is>
      </c>
      <c r="J245" t="inlineStr">
        <is>
          <t>https://www.alanranger.com/one-day-landscape-photography-workshops</t>
        </is>
      </c>
    </row>
    <row r="246" ht="13.5" customHeight="1" s="1232">
      <c r="A246" s="1348" t="n">
        <v>46120</v>
      </c>
      <c r="B246" s="1349" t="inlineStr">
        <is>
          <t>Kulvinder Bains</t>
        </is>
      </c>
      <c r="C246" s="1350" t="inlineStr">
        <is>
          <t>1. Courses/masterclasses</t>
        </is>
      </c>
      <c r="D246" s="1349" t="inlineStr">
        <is>
          <t>Stripe</t>
        </is>
      </c>
      <c r="E246" s="1351" t="n">
        <v>50</v>
      </c>
      <c r="F246" s="1349" t="inlineStr">
        <is>
          <t>Camera Course</t>
        </is>
      </c>
      <c r="G246" s="1349" t="inlineStr">
        <is>
          <t>Existing</t>
        </is>
      </c>
      <c r="I246" t="inlineStr">
        <is>
          <t>Beginners Photography Course | 3 Weekly Evening Classes</t>
        </is>
      </c>
      <c r="J246" t="inlineStr">
        <is>
          <t>https://www.alanranger.com/beginners-photography-classes</t>
        </is>
      </c>
    </row>
    <row r="247" ht="13.5" customHeight="1" s="1232">
      <c r="A247" s="1348" t="n">
        <v>46120</v>
      </c>
      <c r="B247" s="1349" t="inlineStr">
        <is>
          <t>Diana Richards</t>
        </is>
      </c>
      <c r="C247" s="1350" t="inlineStr">
        <is>
          <t>2. Workshops Non Residential</t>
        </is>
      </c>
      <c r="D247" s="1349" t="inlineStr">
        <is>
          <t>Stripe</t>
        </is>
      </c>
      <c r="E247" s="1351" t="n">
        <v>99</v>
      </c>
      <c r="F247" s="1349" t="inlineStr">
        <is>
          <t>Bluebells</t>
        </is>
      </c>
      <c r="G247" s="1349" t="inlineStr">
        <is>
          <t>Google</t>
        </is>
      </c>
      <c r="I247" t="inlineStr">
        <is>
          <t>BLUEBELL WOODLANDS Photography - Warks - 20 Apr- 30 Apr</t>
        </is>
      </c>
      <c r="J247" t="inlineStr">
        <is>
          <t>https://www.alanranger.com/one-day-landscape-photography-workshops</t>
        </is>
      </c>
    </row>
    <row r="248" ht="13.5" customHeight="1" s="1232">
      <c r="A248" s="1348" t="n">
        <v>46119</v>
      </c>
      <c r="B248" s="1349" t="inlineStr">
        <is>
          <t>Mike McMahon</t>
        </is>
      </c>
      <c r="C248" s="1350" t="inlineStr">
        <is>
          <t>2. Workshops Non Residential</t>
        </is>
      </c>
      <c r="D248" s="1349" t="inlineStr">
        <is>
          <t>Stripe</t>
        </is>
      </c>
      <c r="E248" s="1351" t="n">
        <v>150</v>
      </c>
      <c r="F248" s="1349" t="inlineStr">
        <is>
          <t>Bluebells</t>
        </is>
      </c>
      <c r="G248" s="1349" t="inlineStr">
        <is>
          <t>Google</t>
        </is>
      </c>
      <c r="I248" t="inlineStr">
        <is>
          <t>BLUEBELL WOODLANDS Photography - Warks - 20 Apr- 30 Apr</t>
        </is>
      </c>
      <c r="J248" t="inlineStr">
        <is>
          <t>https://www.alanranger.com/one-day-landscape-photography-workshops</t>
        </is>
      </c>
    </row>
    <row r="249" ht="13.5" customHeight="1" s="1232">
      <c r="A249" s="1348" t="n">
        <v>46118</v>
      </c>
      <c r="B249" s="1349" t="inlineStr">
        <is>
          <t>Geraint Williams</t>
        </is>
      </c>
      <c r="C249" s="1350" t="inlineStr">
        <is>
          <t>2. Workshops Non Residential</t>
        </is>
      </c>
      <c r="D249" s="1349" t="inlineStr">
        <is>
          <t>Stripe</t>
        </is>
      </c>
      <c r="E249" s="1351" t="n">
        <v>35</v>
      </c>
      <c r="F249" s="1349" t="inlineStr">
        <is>
          <t>Garden Workshop</t>
        </is>
      </c>
      <c r="G249" s="1349" t="inlineStr">
        <is>
          <t>Google</t>
        </is>
      </c>
      <c r="I249" t="inlineStr">
        <is>
          <t>The Art of GARDEN PHOTOGRAPHY  - Coventry -  May and July</t>
        </is>
      </c>
      <c r="J249" t="inlineStr">
        <is>
          <t>https://www.alanranger.com/landscape-photography-workshops</t>
        </is>
      </c>
    </row>
    <row r="250" ht="13.5" customHeight="1" s="1232">
      <c r="A250" s="1348" t="n">
        <v>46118</v>
      </c>
      <c r="B250" s="1349" t="inlineStr">
        <is>
          <t>Geraint Williams</t>
        </is>
      </c>
      <c r="C250" s="1350" t="inlineStr">
        <is>
          <t>2. Workshops Non Residential</t>
        </is>
      </c>
      <c r="D250" s="1349" t="inlineStr">
        <is>
          <t>Stripe</t>
        </is>
      </c>
      <c r="E250" s="1351" t="n">
        <v>150</v>
      </c>
      <c r="F250" s="1349" t="inlineStr">
        <is>
          <t>Lavendar</t>
        </is>
      </c>
      <c r="G250" s="1349" t="inlineStr">
        <is>
          <t>Google</t>
        </is>
      </c>
      <c r="I250" t="inlineStr">
        <is>
          <t>LAVENDER FIELD Photography Workshop - Gloucestershire July</t>
        </is>
      </c>
      <c r="J250" t="inlineStr">
        <is>
          <t>https://www.alanranger.com/landscape-photography-workshops</t>
        </is>
      </c>
    </row>
    <row r="251" ht="13.5" customHeight="1" s="1232">
      <c r="A251" s="1348" t="n">
        <v>46116</v>
      </c>
      <c r="B251" s="1349" t="inlineStr">
        <is>
          <t>Artfully Walls Ltd</t>
        </is>
      </c>
      <c r="C251" s="1350" t="inlineStr">
        <is>
          <t>10. Prints &amp; Royalties</t>
        </is>
      </c>
      <c r="D251" s="1349" t="inlineStr">
        <is>
          <t>PayPal</t>
        </is>
      </c>
      <c r="E251" s="1351" t="n">
        <v>32.75</v>
      </c>
      <c r="F251" s="1349" t="inlineStr">
        <is>
          <t>Prints</t>
        </is>
      </c>
      <c r="G251" s="1349" t="inlineStr">
        <is>
          <t>Artfully Walls</t>
        </is>
      </c>
      <c r="I251" t="inlineStr">
        <is>
          <t>Print Sale - Generic (historical)</t>
        </is>
      </c>
      <c r="J251" t="inlineStr">
        <is>
          <t>https://www.alanranger.com/fine-art-prints</t>
        </is>
      </c>
    </row>
    <row r="252" ht="13.5" customHeight="1" s="1232">
      <c r="A252" s="1348" t="n">
        <v>46116</v>
      </c>
      <c r="B252" s="1349" t="inlineStr">
        <is>
          <t>Dale Creaser</t>
        </is>
      </c>
      <c r="C252" s="1350" t="inlineStr">
        <is>
          <t>3. Workshops Residential</t>
        </is>
      </c>
      <c r="D252" s="1349" t="inlineStr">
        <is>
          <t>Stripe</t>
        </is>
      </c>
      <c r="E252" s="1351" t="n">
        <v>595</v>
      </c>
      <c r="F252" s="1349" t="inlineStr">
        <is>
          <t>Snowdonia</t>
        </is>
      </c>
      <c r="G252" s="1349" t="inlineStr">
        <is>
          <t>Google</t>
        </is>
      </c>
      <c r="I252" t="inlineStr">
        <is>
          <t>Landscape Photography SNOWDONIA - Sat 26 - Sun 27 Sep 2026</t>
        </is>
      </c>
      <c r="J252" t="inlineStr">
        <is>
          <t>https://www.alanranger.com/photography-workshops</t>
        </is>
      </c>
    </row>
    <row r="253" ht="13.5" customHeight="1" s="1232">
      <c r="A253" s="1348" t="n">
        <v>46114</v>
      </c>
      <c r="B253" s="1349" t="inlineStr">
        <is>
          <t>Mahmood Esmail</t>
        </is>
      </c>
      <c r="C253" s="1350" t="inlineStr">
        <is>
          <t>1. Courses/masterclasses</t>
        </is>
      </c>
      <c r="D253" s="1349" t="inlineStr">
        <is>
          <t>Stripe</t>
        </is>
      </c>
      <c r="E253" s="1351" t="n">
        <v>150</v>
      </c>
      <c r="F253" s="1349" t="inlineStr">
        <is>
          <t>Lightroom Course</t>
        </is>
      </c>
      <c r="G253" s="1349" t="inlineStr">
        <is>
          <t>Existing</t>
        </is>
      </c>
      <c r="I253" t="inlineStr">
        <is>
          <t>Lightroom Courses for Beginners Photo Editing - Coventry</t>
        </is>
      </c>
      <c r="J253" t="inlineStr">
        <is>
          <t>https://www.alanranger.com/photo-editing-course-coventry</t>
        </is>
      </c>
    </row>
    <row r="254" ht="13.5" customHeight="1" s="1232">
      <c r="A254" s="1348" t="n">
        <v>46113</v>
      </c>
      <c r="B254" s="1349" t="inlineStr">
        <is>
          <t>Mentoring Subs</t>
        </is>
      </c>
      <c r="C254" s="1350" t="inlineStr">
        <is>
          <t>6. Mentoring</t>
        </is>
      </c>
      <c r="D254" s="1349" t="inlineStr">
        <is>
          <t>Stripe</t>
        </is>
      </c>
      <c r="E254" s="1351" t="n">
        <v>20</v>
      </c>
      <c r="F254" s="1349" t="inlineStr">
        <is>
          <t>Monthly Mentoring</t>
        </is>
      </c>
      <c r="G254" s="1349" t="inlineStr">
        <is>
          <t>Existing</t>
        </is>
      </c>
      <c r="I254" t="inlineStr">
        <is>
          <t>Mentoring - Monthly Subscription</t>
        </is>
      </c>
      <c r="J254" t="inlineStr">
        <is>
          <t>https://www.alanranger.com/photography-mentoring-online-assignments</t>
        </is>
      </c>
    </row>
    <row r="255" ht="13.5" customHeight="1" s="1232">
      <c r="A255" s="1348" t="n"/>
      <c r="B255" s="1349" t="n"/>
      <c r="C255" s="1350" t="n"/>
      <c r="D255" s="1349" t="n"/>
      <c r="E255" s="1351" t="n"/>
      <c r="F255" s="1349" t="n"/>
      <c r="G255" s="1349" t="n"/>
    </row>
    <row r="256" ht="13.5" customHeight="1" s="1232">
      <c r="A256" s="1348" t="n">
        <v>46112</v>
      </c>
      <c r="B256" s="1349" t="inlineStr">
        <is>
          <t>ROBERT TAYLOR</t>
        </is>
      </c>
      <c r="C256" s="1350" t="inlineStr">
        <is>
          <t>12. Academy</t>
        </is>
      </c>
      <c r="D256" s="1349" t="inlineStr">
        <is>
          <t>Stripe</t>
        </is>
      </c>
      <c r="E256" s="1351" t="n">
        <v>79</v>
      </c>
      <c r="F256" s="1349" t="inlineStr">
        <is>
          <t>Annual Member</t>
        </is>
      </c>
      <c r="G256" s="1349" t="inlineStr">
        <is>
          <t>Existing</t>
        </is>
      </c>
      <c r="I256" t="inlineStr">
        <is>
          <t>Academy - Membership / eBook / Exams (historical bundle)</t>
        </is>
      </c>
      <c r="J256" t="inlineStr">
        <is>
          <t>https://www.alanranger.com/free-online-photography-course</t>
        </is>
      </c>
    </row>
    <row r="257" ht="13.5" customHeight="1" s="1232">
      <c r="A257" s="1348" t="n">
        <v>46108</v>
      </c>
      <c r="B257" s="1349" t="inlineStr">
        <is>
          <t>Brooklyn Brow</t>
        </is>
      </c>
      <c r="C257" s="1350" t="inlineStr">
        <is>
          <t>11 Commissions</t>
        </is>
      </c>
      <c r="D257" s="1349" t="inlineStr">
        <is>
          <t>Stripe</t>
        </is>
      </c>
      <c r="E257" s="1351" t="n">
        <v>425</v>
      </c>
      <c r="F257" s="1349" t="inlineStr">
        <is>
          <t>Staff Training</t>
        </is>
      </c>
      <c r="G257" s="1349" t="inlineStr">
        <is>
          <t>Google</t>
        </is>
      </c>
      <c r="I257" t="inlineStr">
        <is>
          <t>Commission - Corporate / Staff Training</t>
        </is>
      </c>
      <c r="J257" t="inlineStr">
        <is>
          <t>https://www.alanranger.com/corporate-photography-training</t>
        </is>
      </c>
    </row>
    <row r="258" ht="13.5" customHeight="1" s="1232">
      <c r="A258" s="1348" t="n">
        <v>46108</v>
      </c>
      <c r="B258" s="1349" t="inlineStr">
        <is>
          <t>Diane McHardy</t>
        </is>
      </c>
      <c r="C258" s="1350" t="inlineStr">
        <is>
          <t>7. 1-2-1</t>
        </is>
      </c>
      <c r="D258" s="1349" t="inlineStr">
        <is>
          <t>Stripe</t>
        </is>
      </c>
      <c r="E258" s="1351" t="n">
        <v>120</v>
      </c>
      <c r="F258" s="1349" t="inlineStr">
        <is>
          <t>2hr f2f 1-2-1</t>
        </is>
      </c>
      <c r="G258" s="1349" t="inlineStr">
        <is>
          <t>Google</t>
        </is>
      </c>
      <c r="I258" t="inlineStr">
        <is>
          <t>1-2-1 Single Session - 2hr (Face-to-Face)</t>
        </is>
      </c>
      <c r="J258" t="inlineStr">
        <is>
          <t>https://www.alanranger.com/private-photography-lessons</t>
        </is>
      </c>
    </row>
    <row r="259" ht="13.5" customHeight="1" s="1232">
      <c r="A259" s="1348" t="n">
        <v>46107</v>
      </c>
      <c r="B259" s="1349" t="inlineStr">
        <is>
          <t xml:space="preserve">HOMD Consulting </t>
        </is>
      </c>
      <c r="C259" s="1350" t="inlineStr">
        <is>
          <t>11 Commissions</t>
        </is>
      </c>
      <c r="D259" s="1349" t="inlineStr">
        <is>
          <t>PayPal</t>
        </is>
      </c>
      <c r="E259" s="1351" t="n">
        <v>200</v>
      </c>
      <c r="F259" s="1349" t="inlineStr">
        <is>
          <t>Blog Post</t>
        </is>
      </c>
      <c r="G259" s="1349" t="inlineStr">
        <is>
          <t>Existing</t>
        </is>
      </c>
      <c r="I259" t="inlineStr">
        <is>
          <t>Commission - Editorial / Guest Blog / Judging</t>
        </is>
      </c>
      <c r="J259" t="inlineStr">
        <is>
          <t>https://www.alanranger.com/professional-commercial-photographer-coventry</t>
        </is>
      </c>
    </row>
    <row r="260" ht="13.5" customHeight="1" s="1232">
      <c r="A260" s="1348" t="n">
        <v>46107</v>
      </c>
      <c r="B260" s="1349" t="inlineStr">
        <is>
          <t xml:space="preserve">dpk1959@sky.com </t>
        </is>
      </c>
      <c r="C260" s="1350" t="inlineStr">
        <is>
          <t>12. Academy</t>
        </is>
      </c>
      <c r="D260" s="1349" t="inlineStr">
        <is>
          <t>Stripe</t>
        </is>
      </c>
      <c r="E260" s="1351" t="n">
        <v>79</v>
      </c>
      <c r="F260" s="1349" t="inlineStr">
        <is>
          <t>Annual Member</t>
        </is>
      </c>
      <c r="G260" s="1349" t="inlineStr">
        <is>
          <t>Existing</t>
        </is>
      </c>
      <c r="I260" t="inlineStr">
        <is>
          <t>Academy - Membership / eBook / Exams (historical bundle)</t>
        </is>
      </c>
      <c r="J260" t="inlineStr">
        <is>
          <t>https://www.alanranger.com/free-online-photography-course</t>
        </is>
      </c>
    </row>
    <row r="261" ht="13.5" customHeight="1" s="1232">
      <c r="A261" s="1348" t="n">
        <v>46106</v>
      </c>
      <c r="B261" s="1349" t="inlineStr">
        <is>
          <t>Mr N A. Barford</t>
        </is>
      </c>
      <c r="C261" s="1350" t="inlineStr">
        <is>
          <t>2. Workshops Non Residential</t>
        </is>
      </c>
      <c r="D261" s="1349" t="inlineStr">
        <is>
          <t>Stripe</t>
        </is>
      </c>
      <c r="E261" s="1351" t="n">
        <v>99</v>
      </c>
      <c r="F261" s="1349" t="inlineStr">
        <is>
          <t>Bluebells</t>
        </is>
      </c>
      <c r="G261" s="1349" t="inlineStr">
        <is>
          <t>Existing</t>
        </is>
      </c>
      <c r="I261" t="inlineStr">
        <is>
          <t>BLUEBELL WOODLANDS Photography - Warks - 20 Apr- 30 Apr</t>
        </is>
      </c>
      <c r="J261" t="inlineStr">
        <is>
          <t>https://www.alanranger.com/one-day-landscape-photography-workshops</t>
        </is>
      </c>
    </row>
    <row r="262" ht="13.5" customHeight="1" s="1232">
      <c r="A262" s="1348" t="n">
        <v>46106</v>
      </c>
      <c r="B262" s="1349" t="inlineStr">
        <is>
          <t xml:space="preserve">mahmood@esmail.io </t>
        </is>
      </c>
      <c r="C262" s="1350" t="inlineStr">
        <is>
          <t>12. Academy</t>
        </is>
      </c>
      <c r="D262" s="1349" t="inlineStr">
        <is>
          <t>Stripe</t>
        </is>
      </c>
      <c r="E262" s="1351" t="n">
        <v>79</v>
      </c>
      <c r="F262" s="1349" t="inlineStr">
        <is>
          <t>Academy Membership</t>
        </is>
      </c>
      <c r="G262" s="1349" t="inlineStr">
        <is>
          <t>Existing</t>
        </is>
      </c>
      <c r="I262" t="inlineStr">
        <is>
          <t>Academy - Membership / eBook / Exams (historical bundle)</t>
        </is>
      </c>
      <c r="J262" t="inlineStr">
        <is>
          <t>https://www.alanranger.com/free-online-photography-course</t>
        </is>
      </c>
    </row>
    <row r="263" ht="13.5" customHeight="1" s="1232">
      <c r="A263" s="1348" t="n">
        <v>46106</v>
      </c>
      <c r="B263" s="1349" t="inlineStr">
        <is>
          <t>Myra Little</t>
        </is>
      </c>
      <c r="C263" s="1350" t="inlineStr">
        <is>
          <t>2. Workshops Non Residential</t>
        </is>
      </c>
      <c r="D263" s="1349" t="inlineStr">
        <is>
          <t>Stripe</t>
        </is>
      </c>
      <c r="E263" s="1351" t="n">
        <v>99</v>
      </c>
      <c r="F263" s="1349" t="inlineStr">
        <is>
          <t>Bluebells</t>
        </is>
      </c>
      <c r="G263" s="1349" t="inlineStr">
        <is>
          <t>Existing</t>
        </is>
      </c>
      <c r="I263" t="inlineStr">
        <is>
          <t>BLUEBELL WOODLANDS Photography - Warks - 20 Apr- 30 Apr</t>
        </is>
      </c>
      <c r="J263" t="inlineStr">
        <is>
          <t>https://www.alanranger.com/one-day-landscape-photography-workshops</t>
        </is>
      </c>
    </row>
    <row r="264" ht="13.5" customHeight="1" s="1232">
      <c r="A264" s="1348" t="n">
        <v>46106</v>
      </c>
      <c r="B264" s="1349" t="inlineStr">
        <is>
          <t>Julietta Juras</t>
        </is>
      </c>
      <c r="C264" s="1350" t="inlineStr">
        <is>
          <t>2. Workshops Non Residential</t>
        </is>
      </c>
      <c r="D264" s="1349" t="inlineStr">
        <is>
          <t>Stripe</t>
        </is>
      </c>
      <c r="E264" s="1351" t="n">
        <v>99</v>
      </c>
      <c r="F264" s="1349" t="inlineStr">
        <is>
          <t>Bluebells</t>
        </is>
      </c>
      <c r="G264" s="1349" t="inlineStr">
        <is>
          <t>Google</t>
        </is>
      </c>
      <c r="I264" t="inlineStr">
        <is>
          <t>BLUEBELL WOODLANDS Photography - Warks - 20 Apr- 30 Apr</t>
        </is>
      </c>
      <c r="J264" t="inlineStr">
        <is>
          <t>https://www.alanranger.com/one-day-landscape-photography-workshops</t>
        </is>
      </c>
    </row>
    <row r="265" ht="13.5" customHeight="1" s="1232">
      <c r="A265" s="1348" t="n">
        <v>46105</v>
      </c>
      <c r="B265" s="1349" t="inlineStr">
        <is>
          <t>Alan Ranger</t>
        </is>
      </c>
      <c r="C265" s="1350" t="inlineStr">
        <is>
          <t>12. Academy</t>
        </is>
      </c>
      <c r="D265" s="1349" t="inlineStr">
        <is>
          <t>Stripe</t>
        </is>
      </c>
      <c r="E265" s="1351" t="n">
        <v>79</v>
      </c>
      <c r="F265" s="1349" t="inlineStr">
        <is>
          <t>Annual Member</t>
        </is>
      </c>
      <c r="G265" s="1349" t="inlineStr">
        <is>
          <t>Existing</t>
        </is>
      </c>
      <c r="I265" t="inlineStr">
        <is>
          <t>Academy - Membership / eBook / Exams (historical bundle)</t>
        </is>
      </c>
      <c r="J265" t="inlineStr">
        <is>
          <t>https://www.alanranger.com/free-online-photography-course</t>
        </is>
      </c>
    </row>
    <row r="266" ht="13.5" customHeight="1" s="1232">
      <c r="A266" s="1348" t="n">
        <v>46105</v>
      </c>
      <c r="B266" s="1349" t="inlineStr">
        <is>
          <t>Richard Johnson</t>
        </is>
      </c>
      <c r="C266" s="1350" t="inlineStr">
        <is>
          <t>7. 1-2-1</t>
        </is>
      </c>
      <c r="D266" s="1349" t="inlineStr">
        <is>
          <t>Stripe</t>
        </is>
      </c>
      <c r="E266" s="1351" t="n">
        <v>170</v>
      </c>
      <c r="F266" s="1349" t="inlineStr">
        <is>
          <t>4 x 1hr Zoom</t>
        </is>
      </c>
      <c r="G266" s="1349" t="inlineStr">
        <is>
          <t>Google</t>
        </is>
      </c>
      <c r="I266" t="inlineStr">
        <is>
          <t>1-2-1 Package - 4 x 1hr Zoom</t>
        </is>
      </c>
      <c r="J266" t="inlineStr">
        <is>
          <t>https://www.alanranger.com/photography-lessons-online-121</t>
        </is>
      </c>
    </row>
    <row r="267" ht="13.5" customHeight="1" s="1232">
      <c r="A267" s="1348" t="n">
        <v>46102</v>
      </c>
      <c r="B267" s="1349" t="inlineStr">
        <is>
          <t>Mrs P Pearl</t>
        </is>
      </c>
      <c r="C267" s="1350" t="inlineStr">
        <is>
          <t>2. Workshops Non Residential</t>
        </is>
      </c>
      <c r="D267" s="1349" t="inlineStr">
        <is>
          <t>Stripe</t>
        </is>
      </c>
      <c r="E267" s="1351" t="n">
        <v>50</v>
      </c>
      <c r="F267" s="1349" t="inlineStr">
        <is>
          <t>Kenilworth</t>
        </is>
      </c>
      <c r="G267" s="1349" t="inlineStr">
        <is>
          <t>Existing</t>
        </is>
      </c>
      <c r="I267" t="inlineStr">
        <is>
          <t>Long Exposure Photography Workshop KENILWORTH Sunset</t>
        </is>
      </c>
      <c r="J267" t="inlineStr">
        <is>
          <t>https://www.alanranger.com/landscape-photography-workshops</t>
        </is>
      </c>
    </row>
    <row r="268" ht="13.5" customHeight="1" s="1232">
      <c r="A268" s="1348" t="n">
        <v>46100</v>
      </c>
      <c r="B268" s="1349" t="inlineStr">
        <is>
          <t>James W Rosnack</t>
        </is>
      </c>
      <c r="C268" s="1350" t="inlineStr">
        <is>
          <t>11 Commissions</t>
        </is>
      </c>
      <c r="D268" s="1349" t="inlineStr">
        <is>
          <t>Stripe</t>
        </is>
      </c>
      <c r="E268" s="1351" t="n">
        <v>245</v>
      </c>
      <c r="F268" s="1349" t="inlineStr">
        <is>
          <t>Biggin Hall Enquiry</t>
        </is>
      </c>
      <c r="G268" s="1349" t="inlineStr">
        <is>
          <t>Google</t>
        </is>
      </c>
      <c r="I268" t="inlineStr">
        <is>
          <t>Commission - Commercial / Product Shoot</t>
        </is>
      </c>
      <c r="J268" t="inlineStr">
        <is>
          <t>https://www.alanranger.com/professional-commercial-photographer-coventry</t>
        </is>
      </c>
    </row>
    <row r="269" ht="13.5" customHeight="1" s="1232">
      <c r="A269" s="1348" t="n">
        <v>46096</v>
      </c>
      <c r="B269" s="1349" t="inlineStr">
        <is>
          <t>Sarah Joyce</t>
        </is>
      </c>
      <c r="C269" s="1350" t="inlineStr">
        <is>
          <t>2. Workshops Non Residential</t>
        </is>
      </c>
      <c r="D269" s="1349" t="inlineStr">
        <is>
          <t>Stripe</t>
        </is>
      </c>
      <c r="E269" s="1351" t="n">
        <v>99</v>
      </c>
      <c r="F269" s="1349" t="inlineStr">
        <is>
          <t>Bluebells</t>
        </is>
      </c>
      <c r="G269" s="1349" t="inlineStr">
        <is>
          <t>Google</t>
        </is>
      </c>
      <c r="I269" t="inlineStr">
        <is>
          <t>BLUEBELL WOODLANDS Photography - Warks - 20 Apr- 30 Apr</t>
        </is>
      </c>
      <c r="J269" t="inlineStr">
        <is>
          <t>https://www.alanranger.com/one-day-landscape-photography-workshops</t>
        </is>
      </c>
    </row>
    <row r="270" ht="13.5" customHeight="1" s="1232">
      <c r="A270" s="1348" t="n">
        <v>46094</v>
      </c>
      <c r="B270" s="1349" t="inlineStr">
        <is>
          <t>Carolynn Trimble</t>
        </is>
      </c>
      <c r="C270" s="1350" t="inlineStr">
        <is>
          <t>2. Workshops Non Residential</t>
        </is>
      </c>
      <c r="D270" s="1349" t="inlineStr">
        <is>
          <t>Stripe</t>
        </is>
      </c>
      <c r="E270" s="1351" t="n">
        <v>150</v>
      </c>
      <c r="F270" s="1349" t="inlineStr">
        <is>
          <t>Bluebells</t>
        </is>
      </c>
      <c r="G270" s="1349" t="inlineStr">
        <is>
          <t>Google</t>
        </is>
      </c>
      <c r="I270" t="inlineStr">
        <is>
          <t>BLUEBELL WOODLANDS Photography - Warks - 20 Apr- 30 Apr</t>
        </is>
      </c>
      <c r="J270" t="inlineStr">
        <is>
          <t>https://www.alanranger.com/one-day-landscape-photography-workshops</t>
        </is>
      </c>
    </row>
    <row r="271" ht="13.5" customHeight="1" s="1232">
      <c r="A271" s="1348" t="n">
        <v>46094</v>
      </c>
      <c r="B271" s="1349" t="inlineStr">
        <is>
          <t>Balbir Dubb</t>
        </is>
      </c>
      <c r="C271" s="1350" t="inlineStr">
        <is>
          <t>2. Workshops Non Residential</t>
        </is>
      </c>
      <c r="D271" s="1349" t="inlineStr">
        <is>
          <t>Bank</t>
        </is>
      </c>
      <c r="E271" s="1351" t="n">
        <v>15</v>
      </c>
      <c r="F271" s="1349" t="inlineStr">
        <is>
          <t>Woodland Walk</t>
        </is>
      </c>
      <c r="G271" s="1349" t="inlineStr">
        <is>
          <t>JLR</t>
        </is>
      </c>
      <c r="I271" t="inlineStr">
        <is>
          <t>Woodland Photography Walk - Warwickshire (half-day low-cost)</t>
        </is>
      </c>
      <c r="J271" t="inlineStr">
        <is>
          <t>https://www.alanranger.com/landscape-photography-workshops</t>
        </is>
      </c>
    </row>
    <row r="272" ht="13.5" customHeight="1" s="1232">
      <c r="A272" s="1348" t="n">
        <v>46094</v>
      </c>
      <c r="B272" s="1349" t="inlineStr">
        <is>
          <t>Tugba Sahin Tore</t>
        </is>
      </c>
      <c r="C272" s="1350" t="inlineStr">
        <is>
          <t>2. Workshops Non Residential</t>
        </is>
      </c>
      <c r="D272" s="1349" t="inlineStr">
        <is>
          <t>Bank</t>
        </is>
      </c>
      <c r="E272" s="1351" t="n">
        <v>15</v>
      </c>
      <c r="F272" s="1349" t="inlineStr">
        <is>
          <t>Woodland Walk</t>
        </is>
      </c>
      <c r="G272" s="1349" t="inlineStr">
        <is>
          <t>JLR</t>
        </is>
      </c>
      <c r="I272" t="inlineStr">
        <is>
          <t>Woodland Photography Walk - Warwickshire (half-day low-cost)</t>
        </is>
      </c>
      <c r="J272" t="inlineStr">
        <is>
          <t>https://www.alanranger.com/landscape-photography-workshops</t>
        </is>
      </c>
    </row>
    <row r="273" ht="13.5" customHeight="1" s="1232">
      <c r="A273" s="1348" t="n">
        <v>46093</v>
      </c>
      <c r="B273" s="1349" t="inlineStr">
        <is>
          <t>Sandra Dawkes</t>
        </is>
      </c>
      <c r="C273" s="1350" t="inlineStr">
        <is>
          <t>7. 1-2-1</t>
        </is>
      </c>
      <c r="D273" s="1349" t="inlineStr">
        <is>
          <t>Stripe</t>
        </is>
      </c>
      <c r="E273" s="1351" t="n">
        <v>240</v>
      </c>
      <c r="F273" s="1349" t="inlineStr">
        <is>
          <t>4 x1hr Zooms</t>
        </is>
      </c>
      <c r="G273" s="1349" t="inlineStr">
        <is>
          <t>Existing</t>
        </is>
      </c>
      <c r="I273" t="inlineStr">
        <is>
          <t>1-2-1 Package - 4 x 1hr Zoom</t>
        </is>
      </c>
      <c r="J273" t="inlineStr">
        <is>
          <t>https://www.alanranger.com/photography-lessons-online-121</t>
        </is>
      </c>
    </row>
    <row r="274" ht="13.5" customHeight="1" s="1232">
      <c r="A274" s="1348" t="n">
        <v>46091</v>
      </c>
      <c r="B274" s="1349" t="inlineStr">
        <is>
          <t>Artfully Walls Ltd</t>
        </is>
      </c>
      <c r="C274" s="1350" t="inlineStr">
        <is>
          <t>10. Prints &amp; Royalties</t>
        </is>
      </c>
      <c r="D274" s="1349" t="inlineStr">
        <is>
          <t>PayPal</t>
        </is>
      </c>
      <c r="E274" s="1351" t="n">
        <v>88.91</v>
      </c>
      <c r="F274" s="1349" t="inlineStr">
        <is>
          <t>Prints</t>
        </is>
      </c>
      <c r="G274" s="1349" t="inlineStr">
        <is>
          <t>Artfully Walls</t>
        </is>
      </c>
      <c r="I274" t="inlineStr">
        <is>
          <t>Print Sale - Generic (historical)</t>
        </is>
      </c>
      <c r="J274" t="inlineStr">
        <is>
          <t>https://www.alanranger.com/fine-art-prints</t>
        </is>
      </c>
    </row>
    <row r="275" ht="13.5" customHeight="1" s="1232">
      <c r="A275" s="1348" t="n">
        <v>46091</v>
      </c>
      <c r="B275" s="1349" t="inlineStr">
        <is>
          <t>James Rosnack</t>
        </is>
      </c>
      <c r="C275" s="1350" t="inlineStr">
        <is>
          <t>11 Commissions</t>
        </is>
      </c>
      <c r="D275" s="1349" t="inlineStr">
        <is>
          <t>Stripe</t>
        </is>
      </c>
      <c r="E275" s="1351" t="n">
        <v>25</v>
      </c>
      <c r="F275" s="1349" t="inlineStr">
        <is>
          <t>Biggin Hall Enquiry</t>
        </is>
      </c>
      <c r="G275" s="1349" t="inlineStr">
        <is>
          <t>Google</t>
        </is>
      </c>
      <c r="I275" t="inlineStr">
        <is>
          <t>Commission - Commercial / Product Shoot</t>
        </is>
      </c>
      <c r="J275" t="inlineStr">
        <is>
          <t>https://www.alanranger.com/professional-commercial-photographer-coventry</t>
        </is>
      </c>
    </row>
    <row r="276" ht="13.5" customHeight="1" s="1232">
      <c r="A276" s="1348" t="n">
        <v>46089</v>
      </c>
      <c r="B276" s="1349" t="inlineStr">
        <is>
          <t>Helen Skilton</t>
        </is>
      </c>
      <c r="C276" s="1350" t="inlineStr">
        <is>
          <t>1. Courses/masterclasses</t>
        </is>
      </c>
      <c r="D276" s="1349" t="inlineStr">
        <is>
          <t>Stripe</t>
        </is>
      </c>
      <c r="E276" s="1351" t="n">
        <v>150</v>
      </c>
      <c r="F276" s="1349" t="inlineStr">
        <is>
          <t>Camera Course</t>
        </is>
      </c>
      <c r="G276" s="1349" t="inlineStr">
        <is>
          <t>Google</t>
        </is>
      </c>
      <c r="I276" t="inlineStr">
        <is>
          <t>Beginners Photography Course | 3 Weekly Evening Classes</t>
        </is>
      </c>
      <c r="J276" t="inlineStr">
        <is>
          <t>https://www.alanranger.com/beginners-photography-classes</t>
        </is>
      </c>
    </row>
    <row r="277" ht="13.5" customHeight="1" s="1232">
      <c r="A277" s="1348" t="n">
        <v>46087</v>
      </c>
      <c r="B277" s="1349" t="inlineStr">
        <is>
          <t>Heart of England</t>
        </is>
      </c>
      <c r="C277" s="1350" t="inlineStr">
        <is>
          <t>10. Prints &amp; Royalties</t>
        </is>
      </c>
      <c r="D277" s="1349" t="inlineStr">
        <is>
          <t>Bank</t>
        </is>
      </c>
      <c r="E277" s="1351" t="n">
        <v>52.71</v>
      </c>
      <c r="F277" s="1349" t="inlineStr">
        <is>
          <t>Card royalies</t>
        </is>
      </c>
      <c r="G277" s="1349" t="inlineStr">
        <is>
          <t>Existing</t>
        </is>
      </c>
      <c r="I277" t="inlineStr">
        <is>
          <t>Royalties &amp; Affiliate Income</t>
        </is>
      </c>
      <c r="J277" t="inlineStr">
        <is>
          <t>https://www.alanranger.com/fine-art-prints</t>
        </is>
      </c>
    </row>
    <row r="278" ht="13.5" customHeight="1" s="1232">
      <c r="A278" s="1348" t="n">
        <v>46087</v>
      </c>
      <c r="B278" s="1349" t="inlineStr">
        <is>
          <t>Liz Lewis</t>
        </is>
      </c>
      <c r="C278" s="1350" t="inlineStr">
        <is>
          <t>2. Workshops Non Residential</t>
        </is>
      </c>
      <c r="D278" s="1349" t="inlineStr">
        <is>
          <t>Bank</t>
        </is>
      </c>
      <c r="E278" s="1351" t="n">
        <v>40</v>
      </c>
      <c r="F278" s="1349" t="inlineStr">
        <is>
          <t>Kenilworth</t>
        </is>
      </c>
      <c r="G278" s="1349" t="inlineStr">
        <is>
          <t>Into the Blue</t>
        </is>
      </c>
      <c r="I278" t="inlineStr">
        <is>
          <t>Long Exposure Photography Workshop KENILWORTH Sunset</t>
        </is>
      </c>
      <c r="J278" t="inlineStr">
        <is>
          <t>https://www.alanranger.com/landscape-photography-workshops</t>
        </is>
      </c>
    </row>
    <row r="279" ht="13.5" customHeight="1" s="1232">
      <c r="A279" s="1348" t="n">
        <v>46087</v>
      </c>
      <c r="B279" s="1349" t="inlineStr">
        <is>
          <t>Allison Poole</t>
        </is>
      </c>
      <c r="C279" s="1350" t="inlineStr">
        <is>
          <t>2. Workshops Non Residential</t>
        </is>
      </c>
      <c r="D279" s="1349" t="inlineStr">
        <is>
          <t>Bank</t>
        </is>
      </c>
      <c r="E279" s="1351" t="n">
        <v>40</v>
      </c>
      <c r="F279" s="1349" t="inlineStr">
        <is>
          <t>Kenilworth</t>
        </is>
      </c>
      <c r="G279" s="1349" t="inlineStr">
        <is>
          <t>Into the Blue</t>
        </is>
      </c>
      <c r="I279" t="inlineStr">
        <is>
          <t>Long Exposure Photography Workshop KENILWORTH Sunset</t>
        </is>
      </c>
      <c r="J279" t="inlineStr">
        <is>
          <t>https://www.alanranger.com/landscape-photography-workshops</t>
        </is>
      </c>
    </row>
    <row r="280" ht="13.5" customHeight="1" s="1232">
      <c r="A280" s="1348" t="n">
        <v>46086</v>
      </c>
      <c r="B280" s="1349" t="inlineStr">
        <is>
          <t>Francisca Solis Puello</t>
        </is>
      </c>
      <c r="C280" s="1350" t="inlineStr">
        <is>
          <t>11 Commissions</t>
        </is>
      </c>
      <c r="D280" s="1349" t="inlineStr">
        <is>
          <t>Stripe</t>
        </is>
      </c>
      <c r="E280" s="1351" t="n">
        <v>150</v>
      </c>
      <c r="F280" s="1349" t="inlineStr">
        <is>
          <t>Author Photos</t>
        </is>
      </c>
      <c r="G280" s="1349" t="inlineStr">
        <is>
          <t>Google</t>
        </is>
      </c>
      <c r="I280" t="inlineStr">
        <is>
          <t>Commission - Commercial / Product Shoot</t>
        </is>
      </c>
      <c r="J280" t="inlineStr">
        <is>
          <t>https://www.alanranger.com/professional-commercial-photographer-coventry</t>
        </is>
      </c>
    </row>
    <row r="281" ht="13.5" customHeight="1" s="1232">
      <c r="A281" s="1348" t="n">
        <v>46085</v>
      </c>
      <c r="B281" s="1349" t="inlineStr">
        <is>
          <t>PROMOVA LEARNING PLATFORM</t>
        </is>
      </c>
      <c r="C281" s="1350" t="inlineStr">
        <is>
          <t>11 Commissions</t>
        </is>
      </c>
      <c r="D281" s="1349" t="inlineStr">
        <is>
          <t>PayPal</t>
        </is>
      </c>
      <c r="E281" s="1351" t="n">
        <v>250</v>
      </c>
      <c r="F281" s="1349" t="inlineStr">
        <is>
          <t>Guest Blog</t>
        </is>
      </c>
      <c r="G281" s="1349" t="inlineStr">
        <is>
          <t>Google</t>
        </is>
      </c>
      <c r="I281" t="inlineStr">
        <is>
          <t>Commission - Editorial / Guest Blog / Judging</t>
        </is>
      </c>
      <c r="J281" t="inlineStr">
        <is>
          <t>https://www.alanranger.com/professional-commercial-photographer-coventry</t>
        </is>
      </c>
    </row>
    <row r="282" ht="13.5" customHeight="1" s="1232">
      <c r="A282" s="1348" t="n">
        <v>46084</v>
      </c>
      <c r="B282" s="1349" t="inlineStr">
        <is>
          <t>mark reynolds</t>
        </is>
      </c>
      <c r="C282" s="1350" t="inlineStr">
        <is>
          <t>7. 1-2-1</t>
        </is>
      </c>
      <c r="D282" s="1349" t="inlineStr">
        <is>
          <t>Stripe</t>
        </is>
      </c>
      <c r="E282" s="1351" t="n">
        <v>240</v>
      </c>
      <c r="F282" s="1349" t="inlineStr">
        <is>
          <t>6 Zoom Lessons</t>
        </is>
      </c>
      <c r="G282" s="1349" t="inlineStr">
        <is>
          <t>Existing</t>
        </is>
      </c>
      <c r="I282" t="inlineStr">
        <is>
          <t>1-2-1 Package - Zoom Multi-Session</t>
        </is>
      </c>
      <c r="J282" t="inlineStr">
        <is>
          <t>https://www.alanranger.com/photography-lessons-online-121</t>
        </is>
      </c>
    </row>
    <row r="283" ht="13.5" customHeight="1" s="1232">
      <c r="A283" s="1348" t="n">
        <v>46082</v>
      </c>
      <c r="B283" s="1349" t="inlineStr">
        <is>
          <t>Mentoring Subs</t>
        </is>
      </c>
      <c r="C283" s="1350" t="inlineStr">
        <is>
          <t>6. Mentoring</t>
        </is>
      </c>
      <c r="D283" s="1349" t="inlineStr">
        <is>
          <t>Stripe</t>
        </is>
      </c>
      <c r="E283" s="1351" t="n">
        <v>20</v>
      </c>
      <c r="F283" s="1349" t="inlineStr">
        <is>
          <t>Monthly Mentoring</t>
        </is>
      </c>
      <c r="G283" s="1349" t="inlineStr">
        <is>
          <t>Existing</t>
        </is>
      </c>
      <c r="I283" t="inlineStr">
        <is>
          <t>Mentoring - Monthly Subscription</t>
        </is>
      </c>
      <c r="J283" t="inlineStr">
        <is>
          <t>https://www.alanranger.com/photography-mentoring-online-assignments</t>
        </is>
      </c>
    </row>
    <row r="284" ht="13.5" customHeight="1" s="1232">
      <c r="A284" s="1348" t="n"/>
      <c r="B284" s="1349" t="n"/>
      <c r="C284" s="1350" t="n"/>
      <c r="D284" s="1349" t="n"/>
      <c r="E284" s="1351" t="n"/>
      <c r="F284" s="1349" t="n"/>
      <c r="G284" s="1349" t="n"/>
    </row>
    <row r="285" ht="13.5" customHeight="1" s="1232">
      <c r="A285" s="1348" t="n">
        <v>46078</v>
      </c>
      <c r="B285" s="1349" t="inlineStr">
        <is>
          <t>Miss M G Walker</t>
        </is>
      </c>
      <c r="C285" s="1350" t="inlineStr">
        <is>
          <t>8. Gift Vouchers Inc</t>
        </is>
      </c>
      <c r="D285" s="1349" t="inlineStr">
        <is>
          <t>Stripe</t>
        </is>
      </c>
      <c r="E285" s="1351" t="n">
        <v>150</v>
      </c>
      <c r="F285" s="1349" t="inlineStr">
        <is>
          <t>Digital Voucher</t>
        </is>
      </c>
      <c r="G285" s="1349" t="inlineStr">
        <is>
          <t>Google</t>
        </is>
      </c>
      <c r="I285" t="inlineStr">
        <is>
          <t>Gift Voucher - Digital eCard</t>
        </is>
      </c>
      <c r="J285" t="inlineStr">
        <is>
          <t>https://www.alanranger.com/photography-gift-vouchers</t>
        </is>
      </c>
    </row>
    <row r="286" ht="13.5" customHeight="1" s="1232">
      <c r="A286" s="1348" t="n">
        <v>46077</v>
      </c>
      <c r="B286" s="1349" t="inlineStr">
        <is>
          <t>Caroline Key</t>
        </is>
      </c>
      <c r="C286" s="1350" t="inlineStr">
        <is>
          <t>12. Academy</t>
        </is>
      </c>
      <c r="D286" s="1349" t="inlineStr">
        <is>
          <t>Stripe</t>
        </is>
      </c>
      <c r="E286" s="1351" t="n">
        <v>79</v>
      </c>
      <c r="F286" s="1349" t="inlineStr">
        <is>
          <t>Academy</t>
        </is>
      </c>
      <c r="G286" s="1349" t="inlineStr">
        <is>
          <t>Existing</t>
        </is>
      </c>
      <c r="I286" t="inlineStr">
        <is>
          <t>Academy - Membership / eBook / Exams (historical bundle)</t>
        </is>
      </c>
      <c r="J286" t="inlineStr">
        <is>
          <t>https://www.alanranger.com/free-online-photography-course</t>
        </is>
      </c>
    </row>
    <row r="287" ht="13.5" customHeight="1" s="1232">
      <c r="A287" s="1348" t="n">
        <v>46076</v>
      </c>
      <c r="B287" s="1349" t="inlineStr">
        <is>
          <t>Johanna Stansfield</t>
        </is>
      </c>
      <c r="C287" s="1350" t="inlineStr">
        <is>
          <t>12. Academy</t>
        </is>
      </c>
      <c r="D287" s="1349" t="inlineStr">
        <is>
          <t>Stripe</t>
        </is>
      </c>
      <c r="E287" s="1351" t="n">
        <v>79</v>
      </c>
      <c r="F287" s="1349" t="inlineStr">
        <is>
          <t>Academy</t>
        </is>
      </c>
      <c r="G287" s="1349" t="inlineStr">
        <is>
          <t>Existing</t>
        </is>
      </c>
      <c r="I287" t="inlineStr">
        <is>
          <t>Academy - Membership / eBook / Exams (historical bundle)</t>
        </is>
      </c>
      <c r="J287" t="inlineStr">
        <is>
          <t>https://www.alanranger.com/free-online-photography-course</t>
        </is>
      </c>
    </row>
    <row r="288" ht="13.5" customHeight="1" s="1232">
      <c r="A288" s="1348" t="n">
        <v>46076</v>
      </c>
      <c r="B288" s="1349" t="inlineStr">
        <is>
          <t>Christopher Bernatek</t>
        </is>
      </c>
      <c r="C288" s="1350" t="inlineStr">
        <is>
          <t>8. Gift Vouchers Inc</t>
        </is>
      </c>
      <c r="D288" s="1349" t="inlineStr">
        <is>
          <t>Stripe</t>
        </is>
      </c>
      <c r="E288" s="1351" t="n">
        <v>150</v>
      </c>
      <c r="F288" s="1349" t="inlineStr">
        <is>
          <t>Digital Voucher</t>
        </is>
      </c>
      <c r="G288" s="1349" t="inlineStr">
        <is>
          <t>Google</t>
        </is>
      </c>
      <c r="I288" t="inlineStr">
        <is>
          <t>Gift Voucher - Digital eCard</t>
        </is>
      </c>
      <c r="J288" t="inlineStr">
        <is>
          <t>https://www.alanranger.com/photography-gift-vouchers</t>
        </is>
      </c>
    </row>
    <row r="289" ht="13.5" customHeight="1" s="1232">
      <c r="A289" s="1348" t="n">
        <v>46071</v>
      </c>
      <c r="B289" s="1349" t="inlineStr">
        <is>
          <t>Sandra Dawkes</t>
        </is>
      </c>
      <c r="C289" s="1350" t="inlineStr">
        <is>
          <t>2. Workshops Non Residential</t>
        </is>
      </c>
      <c r="D289" s="1349" t="inlineStr">
        <is>
          <t>Stripe</t>
        </is>
      </c>
      <c r="E289" s="1351" t="n">
        <v>125</v>
      </c>
      <c r="F289" s="1349" t="inlineStr">
        <is>
          <t>Fairy Glen</t>
        </is>
      </c>
      <c r="G289" s="1349" t="inlineStr">
        <is>
          <t>Existing</t>
        </is>
      </c>
      <c r="I289" t="inlineStr">
        <is>
          <t>FAIRY GLEN and Fairy Falls Long Exposure Photography</t>
        </is>
      </c>
      <c r="J289" t="inlineStr">
        <is>
          <t>https://www.alanranger.com/landscape-photography-workshops</t>
        </is>
      </c>
    </row>
    <row r="290" ht="13.5" customHeight="1" s="1232">
      <c r="A290" s="1348" t="n">
        <v>46071</v>
      </c>
      <c r="B290" s="1349" t="inlineStr">
        <is>
          <t>Ben Lucy</t>
        </is>
      </c>
      <c r="C290" s="1350" t="inlineStr">
        <is>
          <t>11 Commissions</t>
        </is>
      </c>
      <c r="D290" s="1349" t="inlineStr">
        <is>
          <t>Stripe</t>
        </is>
      </c>
      <c r="E290" s="1351" t="n">
        <v>75</v>
      </c>
      <c r="F290" s="1349" t="inlineStr">
        <is>
          <t>Photo shoot sculpture</t>
        </is>
      </c>
      <c r="G290" s="1349" t="inlineStr">
        <is>
          <t>Google</t>
        </is>
      </c>
      <c r="I290" t="inlineStr">
        <is>
          <t>Commission - Commercial / Product Shoot</t>
        </is>
      </c>
      <c r="J290" t="inlineStr">
        <is>
          <t>https://www.alanranger.com/professional-commercial-photographer-coventry</t>
        </is>
      </c>
    </row>
    <row r="291" ht="13.5" customHeight="1" s="1232">
      <c r="A291" s="1348" t="n">
        <v>46073</v>
      </c>
      <c r="B291" s="1349" t="inlineStr">
        <is>
          <t>Paul Jackson</t>
        </is>
      </c>
      <c r="C291" s="1350" t="inlineStr">
        <is>
          <t>2. Workshops Non Residential</t>
        </is>
      </c>
      <c r="D291" s="1349" t="inlineStr">
        <is>
          <t>Bank</t>
        </is>
      </c>
      <c r="E291" s="1351" t="n">
        <v>125</v>
      </c>
      <c r="F291" s="1349" t="inlineStr">
        <is>
          <t>Woodland Masterclass</t>
        </is>
      </c>
      <c r="G291" s="1349" t="inlineStr">
        <is>
          <t>JLR</t>
        </is>
      </c>
      <c r="I291" t="inlineStr">
        <is>
          <t>The Secret of WOODLAND PHOTOGRAPHY- 1-Day Jan, Apr, Aug, Oct</t>
        </is>
      </c>
      <c r="J291" t="inlineStr">
        <is>
          <t>https://www.alanranger.com/one-day-landscape-photography-workshops</t>
        </is>
      </c>
    </row>
    <row r="292" ht="13.5" customHeight="1" s="1232">
      <c r="A292" s="1348" t="n">
        <v>46070</v>
      </c>
      <c r="B292" s="1349" t="inlineStr">
        <is>
          <t>Joanne Galloway</t>
        </is>
      </c>
      <c r="C292" s="1350" t="inlineStr">
        <is>
          <t>4. Pick n Mix Inc</t>
        </is>
      </c>
      <c r="D292" s="1349" t="inlineStr">
        <is>
          <t>Bank</t>
        </is>
      </c>
      <c r="E292" s="1351" t="n">
        <v>286</v>
      </c>
      <c r="F292" s="1349" t="inlineStr">
        <is>
          <t>PnM Balance</t>
        </is>
      </c>
      <c r="G292" s="1349" t="inlineStr">
        <is>
          <t>Existing</t>
        </is>
      </c>
      <c r="I292" t="inlineStr">
        <is>
          <t>Pick N Mix Payment Plan</t>
        </is>
      </c>
      <c r="J292" t="inlineStr">
        <is>
          <t>https://www.alanranger.com/photography-payment-plan</t>
        </is>
      </c>
    </row>
    <row r="293" ht="13.5" customHeight="1" s="1232">
      <c r="A293" s="1348" t="n">
        <v>46069</v>
      </c>
      <c r="B293" s="1349" t="inlineStr">
        <is>
          <t>Robert Taylor</t>
        </is>
      </c>
      <c r="C293" s="1350" t="inlineStr">
        <is>
          <t>1. Courses/masterclasses</t>
        </is>
      </c>
      <c r="D293" s="1349" t="inlineStr">
        <is>
          <t>Stripe</t>
        </is>
      </c>
      <c r="E293" s="1351" t="n">
        <v>150</v>
      </c>
      <c r="F293" s="1349" t="inlineStr">
        <is>
          <t>Camera Course</t>
        </is>
      </c>
      <c r="G293" s="1349" t="inlineStr">
        <is>
          <t>Google</t>
        </is>
      </c>
      <c r="I293" t="inlineStr">
        <is>
          <t>Beginners Photography Course | 3 Weekly Evening Classes</t>
        </is>
      </c>
      <c r="J293" t="inlineStr">
        <is>
          <t>https://www.alanranger.com/beginners-photography-classes</t>
        </is>
      </c>
    </row>
    <row r="294" ht="13.5" customHeight="1" s="1232">
      <c r="A294" s="1348" t="n">
        <v>46069</v>
      </c>
      <c r="B294" s="1349" t="inlineStr">
        <is>
          <t>Sofia Garza</t>
        </is>
      </c>
      <c r="C294" s="1350" t="inlineStr">
        <is>
          <t>3. Workshops Residential</t>
        </is>
      </c>
      <c r="D294" s="1349" t="inlineStr">
        <is>
          <t>Stripe</t>
        </is>
      </c>
      <c r="E294" s="1351" t="n">
        <v>825</v>
      </c>
      <c r="F294" s="1349" t="inlineStr">
        <is>
          <t>Yorkshire Dales</t>
        </is>
      </c>
      <c r="G294" s="1349" t="inlineStr">
        <is>
          <t>ChatGPT</t>
        </is>
      </c>
      <c r="I294" t="inlineStr">
        <is>
          <t>Landscape YORKSHIRE DALES Photography Workshop - 16 - 18 Apr</t>
        </is>
      </c>
      <c r="J294" t="inlineStr">
        <is>
          <t>https://www.alanranger.com/photography-workshops</t>
        </is>
      </c>
    </row>
    <row r="295" ht="13.5" customHeight="1" s="1232">
      <c r="A295" s="1348" t="n">
        <v>46066</v>
      </c>
      <c r="B295" s="1349" t="inlineStr">
        <is>
          <t>Mark Reynolds</t>
        </is>
      </c>
      <c r="C295" s="1350" t="inlineStr">
        <is>
          <t>7. 1-2-1</t>
        </is>
      </c>
      <c r="D295" s="1349" t="inlineStr">
        <is>
          <t>Stripe</t>
        </is>
      </c>
      <c r="E295" s="1351" t="n">
        <v>50</v>
      </c>
      <c r="F295" s="1349" t="inlineStr">
        <is>
          <t>1hr Zoom</t>
        </is>
      </c>
      <c r="G295" s="1349" t="inlineStr">
        <is>
          <t>Google</t>
        </is>
      </c>
      <c r="I295" t="inlineStr">
        <is>
          <t>1-2-1 Single Session - 1hr Zoom</t>
        </is>
      </c>
      <c r="J295" t="inlineStr">
        <is>
          <t>https://www.alanranger.com/photography-lessons-online-121</t>
        </is>
      </c>
    </row>
    <row r="296" ht="13.5" customHeight="1" s="1232">
      <c r="A296" s="1348" t="n">
        <v>46066</v>
      </c>
      <c r="B296" s="1349" t="inlineStr">
        <is>
          <t>Deion Coe</t>
        </is>
      </c>
      <c r="C296" s="1350" t="inlineStr">
        <is>
          <t>2. Workshops Non Residential</t>
        </is>
      </c>
      <c r="D296" s="1349" t="inlineStr">
        <is>
          <t>Bank</t>
        </is>
      </c>
      <c r="E296" s="1351" t="n">
        <v>15</v>
      </c>
      <c r="F296" s="1349" t="inlineStr">
        <is>
          <t>Woodland Photography Walk</t>
        </is>
      </c>
      <c r="G296" s="1349" t="inlineStr">
        <is>
          <t>JLR</t>
        </is>
      </c>
      <c r="I296" t="inlineStr">
        <is>
          <t>Woodland Photography Walk - Warwickshire (half-day low-cost)</t>
        </is>
      </c>
      <c r="J296" t="inlineStr">
        <is>
          <t>https://www.alanranger.com/landscape-photography-workshops</t>
        </is>
      </c>
    </row>
    <row r="297" ht="13.5" customHeight="1" s="1232">
      <c r="A297" s="1348" t="n">
        <v>46066</v>
      </c>
      <c r="B297" s="1349" t="inlineStr">
        <is>
          <t>Ye Tao</t>
        </is>
      </c>
      <c r="C297" s="1350" t="inlineStr">
        <is>
          <t>2. Workshops Non Residential</t>
        </is>
      </c>
      <c r="D297" s="1349" t="inlineStr">
        <is>
          <t>Bank</t>
        </is>
      </c>
      <c r="E297" s="1351" t="n">
        <v>15</v>
      </c>
      <c r="F297" s="1349" t="inlineStr">
        <is>
          <t>Woodland Photography Walk</t>
        </is>
      </c>
      <c r="G297" s="1349" t="inlineStr">
        <is>
          <t>JLR</t>
        </is>
      </c>
      <c r="I297" t="inlineStr">
        <is>
          <t>Woodland Photography Walk - Warwickshire (half-day low-cost)</t>
        </is>
      </c>
      <c r="J297" t="inlineStr">
        <is>
          <t>https://www.alanranger.com/landscape-photography-workshops</t>
        </is>
      </c>
    </row>
    <row r="298" ht="13.5" customHeight="1" s="1232">
      <c r="A298" s="1348" t="n">
        <v>46066</v>
      </c>
      <c r="B298" s="1349" t="inlineStr">
        <is>
          <t>Indianna Long</t>
        </is>
      </c>
      <c r="C298" s="1350" t="inlineStr">
        <is>
          <t>2. Workshops Non Residential</t>
        </is>
      </c>
      <c r="D298" s="1349" t="inlineStr">
        <is>
          <t>Bank</t>
        </is>
      </c>
      <c r="E298" s="1351" t="n">
        <v>15</v>
      </c>
      <c r="F298" s="1349" t="inlineStr">
        <is>
          <t>Woodland Photography Walk</t>
        </is>
      </c>
      <c r="G298" s="1349" t="inlineStr">
        <is>
          <t>JLR</t>
        </is>
      </c>
      <c r="I298" t="inlineStr">
        <is>
          <t>Woodland Photography Walk - Warwickshire (half-day low-cost)</t>
        </is>
      </c>
      <c r="J298" t="inlineStr">
        <is>
          <t>https://www.alanranger.com/landscape-photography-workshops</t>
        </is>
      </c>
    </row>
    <row r="299" ht="13.5" customHeight="1" s="1232">
      <c r="A299" s="1348" t="n">
        <v>46064</v>
      </c>
      <c r="B299" s="1349" t="inlineStr">
        <is>
          <t>John Sharp</t>
        </is>
      </c>
      <c r="C299" s="1350" t="inlineStr">
        <is>
          <t>1. Courses/masterclasses</t>
        </is>
      </c>
      <c r="D299" s="1349" t="inlineStr">
        <is>
          <t>Stripe</t>
        </is>
      </c>
      <c r="E299" s="1351" t="n">
        <v>150</v>
      </c>
      <c r="F299" s="1349" t="inlineStr">
        <is>
          <t>Camera Course</t>
        </is>
      </c>
      <c r="G299" s="1349" t="inlineStr">
        <is>
          <t>Google</t>
        </is>
      </c>
      <c r="I299" t="inlineStr">
        <is>
          <t>Beginners Photography Course | 3 Weekly Evening Classes</t>
        </is>
      </c>
      <c r="J299" t="inlineStr">
        <is>
          <t>https://www.alanranger.com/beginners-photography-classes</t>
        </is>
      </c>
    </row>
    <row r="300" ht="13.5" customHeight="1" s="1232">
      <c r="A300" s="1348" t="n">
        <v>46060</v>
      </c>
      <c r="B300" s="1349" t="inlineStr">
        <is>
          <t>Kat Philpott</t>
        </is>
      </c>
      <c r="C300" s="1350" t="inlineStr">
        <is>
          <t>2. Workshops Non Residential</t>
        </is>
      </c>
      <c r="D300" s="1349" t="inlineStr">
        <is>
          <t>Stripe</t>
        </is>
      </c>
      <c r="E300" s="1351" t="n">
        <v>50</v>
      </c>
      <c r="F300" s="1349" t="inlineStr">
        <is>
          <t xml:space="preserve">KENILWORTH Sunset </t>
        </is>
      </c>
      <c r="G300" s="1349" t="inlineStr">
        <is>
          <t>Existing</t>
        </is>
      </c>
      <c r="I300" t="inlineStr">
        <is>
          <t>Long Exposure Photography Workshop KENILWORTH Sunset</t>
        </is>
      </c>
      <c r="J300" t="inlineStr">
        <is>
          <t>https://www.alanranger.com/landscape-photography-workshops</t>
        </is>
      </c>
    </row>
    <row r="301" ht="13.5" customHeight="1" s="1232">
      <c r="A301" s="1348" t="n">
        <v>46058</v>
      </c>
      <c r="B301" s="1349" t="inlineStr">
        <is>
          <t>Michael J White</t>
        </is>
      </c>
      <c r="C301" s="1350" t="inlineStr">
        <is>
          <t>2. Workshops Non Residential</t>
        </is>
      </c>
      <c r="D301" s="1349" t="inlineStr">
        <is>
          <t>Stripe</t>
        </is>
      </c>
      <c r="E301" s="1351" t="n">
        <v>250</v>
      </c>
      <c r="F301" s="1349" t="inlineStr">
        <is>
          <t>Fairy Glen</t>
        </is>
      </c>
      <c r="G301" s="1349" t="inlineStr">
        <is>
          <t>Existing</t>
        </is>
      </c>
      <c r="I301" t="inlineStr">
        <is>
          <t>FAIRY GLEN and Fairy Falls Long Exposure Photography</t>
        </is>
      </c>
      <c r="J301" t="inlineStr">
        <is>
          <t>https://www.alanranger.com/landscape-photography-workshops</t>
        </is>
      </c>
    </row>
    <row r="302" ht="13.5" customHeight="1" s="1232">
      <c r="A302" s="1348" t="n">
        <v>46057</v>
      </c>
      <c r="B302" s="1349" t="inlineStr">
        <is>
          <t>Nickiii Kohhantsuk</t>
        </is>
      </c>
      <c r="C302" s="1350" t="inlineStr">
        <is>
          <t>8. Gift Vouchers Inc</t>
        </is>
      </c>
      <c r="D302" s="1349" t="inlineStr">
        <is>
          <t>Stripe</t>
        </is>
      </c>
      <c r="E302" s="1351" t="n">
        <v>150</v>
      </c>
      <c r="F302" s="1349" t="inlineStr">
        <is>
          <t>Digital Voucher</t>
        </is>
      </c>
      <c r="G302" s="1349" t="inlineStr">
        <is>
          <t>Google</t>
        </is>
      </c>
      <c r="I302" t="inlineStr">
        <is>
          <t>Gift Voucher - Digital eCard</t>
        </is>
      </c>
      <c r="J302" t="inlineStr">
        <is>
          <t>https://www.alanranger.com/photography-gift-vouchers</t>
        </is>
      </c>
    </row>
    <row r="303" ht="13.5" customHeight="1" s="1232">
      <c r="A303" s="1348" t="n">
        <v>46057</v>
      </c>
      <c r="B303" s="1349" t="inlineStr">
        <is>
          <t>Makala Walker</t>
        </is>
      </c>
      <c r="C303" s="1350" t="inlineStr">
        <is>
          <t>1. Courses/masterclasses</t>
        </is>
      </c>
      <c r="D303" s="1349" t="inlineStr">
        <is>
          <t>Stripe</t>
        </is>
      </c>
      <c r="E303" s="1351" t="n">
        <v>150</v>
      </c>
      <c r="F303" s="1349" t="inlineStr">
        <is>
          <t>Camera Course</t>
        </is>
      </c>
      <c r="G303" s="1349" t="inlineStr">
        <is>
          <t>Google</t>
        </is>
      </c>
      <c r="I303" t="inlineStr">
        <is>
          <t>Beginners Photography Course | 3 Weekly Evening Classes</t>
        </is>
      </c>
      <c r="J303" t="inlineStr">
        <is>
          <t>https://www.alanranger.com/beginners-photography-classes</t>
        </is>
      </c>
    </row>
    <row r="304" ht="13.5" customHeight="1" s="1232">
      <c r="A304" s="1348" t="n">
        <v>46057</v>
      </c>
      <c r="B304" s="1349" t="inlineStr">
        <is>
          <t>Michael White</t>
        </is>
      </c>
      <c r="C304" s="1350" t="inlineStr">
        <is>
          <t>3. Workshops Residential</t>
        </is>
      </c>
      <c r="D304" s="1349" t="inlineStr">
        <is>
          <t>Stripe</t>
        </is>
      </c>
      <c r="E304" s="1351" t="n">
        <v>1590</v>
      </c>
      <c r="F304" s="1349" t="inlineStr">
        <is>
          <t>Anglesey 2 places</t>
        </is>
      </c>
      <c r="G304" s="1349" t="inlineStr">
        <is>
          <t>Google</t>
        </is>
      </c>
      <c r="I304" t="inlineStr">
        <is>
          <t>ANGLESEY Landscape Photography Workshop -  May 2027</t>
        </is>
      </c>
      <c r="J304" t="inlineStr">
        <is>
          <t>https://www.alanranger.com/photography-workshops</t>
        </is>
      </c>
    </row>
    <row r="305" ht="13.5" customHeight="1" s="1232">
      <c r="A305" s="1348" t="n">
        <v>46056</v>
      </c>
      <c r="B305" s="1349" t="inlineStr">
        <is>
          <t>Ben Lucy</t>
        </is>
      </c>
      <c r="C305" s="1350" t="inlineStr">
        <is>
          <t>11 Commissions</t>
        </is>
      </c>
      <c r="D305" s="1349" t="inlineStr">
        <is>
          <t>Stripe</t>
        </is>
      </c>
      <c r="E305" s="1351" t="n">
        <v>75</v>
      </c>
      <c r="F305" s="1349" t="inlineStr">
        <is>
          <t>Photo shoot sculpture</t>
        </is>
      </c>
      <c r="G305" s="1349" t="inlineStr">
        <is>
          <t>Google</t>
        </is>
      </c>
      <c r="I305" t="inlineStr">
        <is>
          <t>Commission - Commercial / Product Shoot</t>
        </is>
      </c>
      <c r="J305" t="inlineStr">
        <is>
          <t>https://www.alanranger.com/professional-commercial-photographer-coventry</t>
        </is>
      </c>
    </row>
    <row r="306" ht="13.5" customHeight="1" s="1232">
      <c r="A306" s="1348" t="n">
        <v>46054</v>
      </c>
      <c r="B306" s="1349" t="inlineStr">
        <is>
          <t>Mentoring Subs</t>
        </is>
      </c>
      <c r="C306" s="1350" t="inlineStr">
        <is>
          <t>6. Mentoring</t>
        </is>
      </c>
      <c r="D306" s="1349" t="inlineStr">
        <is>
          <t>Stripe</t>
        </is>
      </c>
      <c r="E306" s="1351" t="n">
        <v>20</v>
      </c>
      <c r="F306" s="1349" t="inlineStr">
        <is>
          <t>Monthly Mentoring</t>
        </is>
      </c>
      <c r="G306" s="1349" t="inlineStr">
        <is>
          <t>Existing</t>
        </is>
      </c>
      <c r="I306" t="inlineStr">
        <is>
          <t>Mentoring - Monthly Subscription</t>
        </is>
      </c>
      <c r="J306" t="inlineStr">
        <is>
          <t>https://www.alanranger.com/photography-mentoring-online-assignments</t>
        </is>
      </c>
    </row>
    <row r="307" ht="13.5" customHeight="1" s="1232">
      <c r="A307" s="1348" t="n"/>
      <c r="B307" s="1349" t="n"/>
      <c r="C307" s="1350" t="n"/>
      <c r="D307" s="1349" t="n"/>
      <c r="E307" s="1351" t="n"/>
      <c r="F307" s="1349" t="n"/>
      <c r="G307" s="1349" t="n"/>
    </row>
    <row r="308" ht="13.5" customHeight="1" s="1232">
      <c r="A308" s="1348" t="n">
        <v>46052</v>
      </c>
      <c r="B308" s="1349" t="inlineStr">
        <is>
          <t>Joanne Galloway</t>
        </is>
      </c>
      <c r="C308" s="1350" t="inlineStr">
        <is>
          <t>5. Pick n Mix Out</t>
        </is>
      </c>
      <c r="D308" s="1349" t="inlineStr">
        <is>
          <t>PicknMix</t>
        </is>
      </c>
      <c r="E308" s="1351" t="n">
        <v>-150</v>
      </c>
      <c r="F308" s="1349" t="inlineStr">
        <is>
          <t xml:space="preserve">LAVENDER FIELD Photography </t>
        </is>
      </c>
      <c r="G308" s="1349" t="inlineStr">
        <is>
          <t>Existing</t>
        </is>
      </c>
      <c r="I308" t="inlineStr">
        <is>
          <t>Voucher/Plan Redemption - not a product sale</t>
        </is>
      </c>
      <c r="J308" t="inlineStr"/>
    </row>
    <row r="309" ht="13.5" customHeight="1" s="1232">
      <c r="A309" s="1348" t="n">
        <v>46052</v>
      </c>
      <c r="B309" s="1349" t="inlineStr">
        <is>
          <t>Joanne Galloway</t>
        </is>
      </c>
      <c r="C309" s="1350" t="inlineStr">
        <is>
          <t>2. Workshops Non Residential</t>
        </is>
      </c>
      <c r="D309" s="1349" t="inlineStr">
        <is>
          <t>PicknMix</t>
        </is>
      </c>
      <c r="E309" s="1351" t="n">
        <v>150</v>
      </c>
      <c r="F309" s="1349" t="inlineStr">
        <is>
          <t xml:space="preserve">LAVENDER FIELD Photography </t>
        </is>
      </c>
      <c r="G309" s="1349" t="inlineStr">
        <is>
          <t>Existing</t>
        </is>
      </c>
      <c r="I309" t="inlineStr">
        <is>
          <t>LAVENDER FIELD Photography Workshop - Gloucestershire July</t>
        </is>
      </c>
      <c r="J309" t="inlineStr">
        <is>
          <t>https://www.alanranger.com/landscape-photography-workshops</t>
        </is>
      </c>
    </row>
    <row r="310" ht="13.5" customHeight="1" s="1232">
      <c r="A310" s="1348" t="n">
        <v>46052</v>
      </c>
      <c r="B310" s="1349" t="inlineStr">
        <is>
          <t>Jo Galloway</t>
        </is>
      </c>
      <c r="C310" s="1349" t="inlineStr">
        <is>
          <t>5. Pick n Mix Out</t>
        </is>
      </c>
      <c r="D310" s="1349" t="inlineStr">
        <is>
          <t>PicknMix</t>
        </is>
      </c>
      <c r="E310" s="1351" t="n">
        <v>-150</v>
      </c>
      <c r="F310" s="1349" t="inlineStr">
        <is>
          <t xml:space="preserve">BLUEBELL WOODLANDS </t>
        </is>
      </c>
      <c r="G310" s="1349" t="inlineStr">
        <is>
          <t>Existing</t>
        </is>
      </c>
      <c r="I310" t="inlineStr">
        <is>
          <t>Voucher/Plan Redemption - not a product sale</t>
        </is>
      </c>
      <c r="J310" t="inlineStr"/>
    </row>
    <row r="311" ht="13.5" customHeight="1" s="1232">
      <c r="A311" s="1348" t="n">
        <v>46052</v>
      </c>
      <c r="B311" s="1349" t="inlineStr">
        <is>
          <t>Jo Galloway</t>
        </is>
      </c>
      <c r="C311" s="1350" t="inlineStr">
        <is>
          <t>2. Workshops Non Residential</t>
        </is>
      </c>
      <c r="D311" s="1349" t="inlineStr">
        <is>
          <t>PicknMix</t>
        </is>
      </c>
      <c r="E311" s="1351" t="n">
        <v>150</v>
      </c>
      <c r="F311" s="1349" t="inlineStr">
        <is>
          <t xml:space="preserve">BLUEBELL WOODLANDS </t>
        </is>
      </c>
      <c r="G311" s="1349" t="inlineStr">
        <is>
          <t>Existing</t>
        </is>
      </c>
      <c r="I311" t="inlineStr">
        <is>
          <t>BLUEBELL WOODLANDS Photography - Warks - 20 Apr- 30 Apr</t>
        </is>
      </c>
      <c r="J311" t="inlineStr">
        <is>
          <t>https://www.alanranger.com/one-day-landscape-photography-workshops</t>
        </is>
      </c>
    </row>
    <row r="312" ht="13.5" customHeight="1" s="1232">
      <c r="A312" s="1348" t="n">
        <v>46052</v>
      </c>
      <c r="B312" s="1349" t="inlineStr">
        <is>
          <t>Jo Galloway</t>
        </is>
      </c>
      <c r="C312" s="1349" t="inlineStr">
        <is>
          <t>5. Pick n Mix Out</t>
        </is>
      </c>
      <c r="D312" s="1349" t="inlineStr">
        <is>
          <t>PicknMix</t>
        </is>
      </c>
      <c r="E312" s="1351" t="n">
        <v>-575</v>
      </c>
      <c r="F312" s="1349" t="inlineStr">
        <is>
          <t xml:space="preserve">WALES Photography Workshop </t>
        </is>
      </c>
      <c r="G312" s="1349" t="inlineStr">
        <is>
          <t>Existing</t>
        </is>
      </c>
      <c r="I312" t="inlineStr">
        <is>
          <t>Voucher/Plan Redemption - not a product sale</t>
        </is>
      </c>
      <c r="J312" t="inlineStr"/>
    </row>
    <row r="313" ht="13.5" customHeight="1" s="1232">
      <c r="A313" s="1348" t="n">
        <v>46052</v>
      </c>
      <c r="B313" s="1349" t="inlineStr">
        <is>
          <t>Jo Galloway</t>
        </is>
      </c>
      <c r="C313" s="1350" t="inlineStr">
        <is>
          <t>3. Workshops Residential</t>
        </is>
      </c>
      <c r="D313" s="1349" t="inlineStr">
        <is>
          <t>PicknMix</t>
        </is>
      </c>
      <c r="E313" s="1351" t="n">
        <v>575</v>
      </c>
      <c r="F313" s="1349" t="inlineStr">
        <is>
          <t xml:space="preserve">WALES Photography Workshop </t>
        </is>
      </c>
      <c r="G313" s="1349" t="inlineStr">
        <is>
          <t>Existing</t>
        </is>
      </c>
      <c r="I313" t="inlineStr">
        <is>
          <t>WALES Photography Workshop | Lake Vyrnwy 10-11 Oct</t>
        </is>
      </c>
      <c r="J313" t="inlineStr">
        <is>
          <t>https://www.alanranger.com/photography-workshops</t>
        </is>
      </c>
    </row>
    <row r="314" ht="13.5" customHeight="1" s="1232">
      <c r="A314" s="1348" t="n">
        <v>46052</v>
      </c>
      <c r="B314" s="1349" t="inlineStr">
        <is>
          <t>Jo Galloway</t>
        </is>
      </c>
      <c r="C314" s="1350" t="inlineStr">
        <is>
          <t>5. Pick n Mix Out</t>
        </is>
      </c>
      <c r="D314" s="1349" t="inlineStr">
        <is>
          <t>PicknMix</t>
        </is>
      </c>
      <c r="E314" s="1351" t="n">
        <v>-95</v>
      </c>
      <c r="F314" s="1349" t="inlineStr">
        <is>
          <t xml:space="preserve">BURNHAM ON SEA </t>
        </is>
      </c>
      <c r="G314" s="1349" t="inlineStr">
        <is>
          <t>Existing</t>
        </is>
      </c>
      <c r="I314" t="inlineStr">
        <is>
          <t>Voucher/Plan Redemption - not a product sale</t>
        </is>
      </c>
      <c r="J314" t="inlineStr"/>
    </row>
    <row r="315" ht="13.5" customHeight="1" s="1232">
      <c r="A315" s="1348" t="n">
        <v>46052</v>
      </c>
      <c r="B315" s="1349" t="inlineStr">
        <is>
          <t>Jo Galloway</t>
        </is>
      </c>
      <c r="C315" s="1350" t="inlineStr">
        <is>
          <t>2. Workshops Non Residential</t>
        </is>
      </c>
      <c r="D315" s="1349" t="inlineStr">
        <is>
          <t>PicknMix</t>
        </is>
      </c>
      <c r="E315" s="1351" t="n">
        <v>95</v>
      </c>
      <c r="F315" s="1349" t="inlineStr">
        <is>
          <t xml:space="preserve">BURNHAM ON SEA </t>
        </is>
      </c>
      <c r="G315" s="1349" t="inlineStr">
        <is>
          <t>Existing</t>
        </is>
      </c>
      <c r="I315" t="inlineStr">
        <is>
          <t>BURNHAM ON SEA Long Exposure Photography Workshop 1 Aug</t>
        </is>
      </c>
      <c r="J315" t="inlineStr">
        <is>
          <t>https://www.alanranger.com/landscape-photography-workshops</t>
        </is>
      </c>
    </row>
    <row r="316" ht="13.5" customHeight="1" s="1232">
      <c r="A316" s="1348" t="n">
        <v>46052</v>
      </c>
      <c r="B316" s="1349" t="inlineStr">
        <is>
          <t>Jo Galloway</t>
        </is>
      </c>
      <c r="C316" s="1350" t="inlineStr">
        <is>
          <t>5. Pick n Mix Out</t>
        </is>
      </c>
      <c r="D316" s="1349" t="inlineStr">
        <is>
          <t>PicknMix</t>
        </is>
      </c>
      <c r="E316" s="1351" t="n">
        <v>-50</v>
      </c>
      <c r="F316" s="1349" t="inlineStr">
        <is>
          <t xml:space="preserve">CHESTERTON WINDMILL </t>
        </is>
      </c>
      <c r="G316" s="1349" t="inlineStr">
        <is>
          <t>Existing</t>
        </is>
      </c>
      <c r="I316" t="inlineStr">
        <is>
          <t>Voucher/Plan Redemption - not a product sale</t>
        </is>
      </c>
      <c r="J316" t="inlineStr"/>
    </row>
    <row r="317" ht="13.5" customHeight="1" s="1232">
      <c r="A317" s="1348" t="n">
        <v>46052</v>
      </c>
      <c r="B317" s="1349" t="inlineStr">
        <is>
          <t>Jo Galloway</t>
        </is>
      </c>
      <c r="C317" s="1350" t="inlineStr">
        <is>
          <t>2. Workshops Non Residential</t>
        </is>
      </c>
      <c r="D317" s="1349" t="inlineStr">
        <is>
          <t>PicknMix</t>
        </is>
      </c>
      <c r="E317" s="1351" t="n">
        <v>50</v>
      </c>
      <c r="F317" s="1349" t="inlineStr">
        <is>
          <t xml:space="preserve">CHESTERTON WINDMILL </t>
        </is>
      </c>
      <c r="G317" s="1349" t="inlineStr">
        <is>
          <t>Existing</t>
        </is>
      </c>
      <c r="I317" t="inlineStr">
        <is>
          <t>Photography Workshops CHESTERTON WINDMILL - Warwickshire</t>
        </is>
      </c>
      <c r="J317" t="inlineStr">
        <is>
          <t>https://www.alanranger.com/landscape-photography-workshops</t>
        </is>
      </c>
    </row>
    <row r="318" ht="13.5" customHeight="1" s="1232">
      <c r="A318" s="1348" t="n">
        <v>46052</v>
      </c>
      <c r="B318" s="1349" t="inlineStr">
        <is>
          <t>Jo Galloway</t>
        </is>
      </c>
      <c r="C318" s="1350" t="inlineStr">
        <is>
          <t>12. Academy</t>
        </is>
      </c>
      <c r="D318" s="1349" t="inlineStr">
        <is>
          <t>Stripe</t>
        </is>
      </c>
      <c r="E318" s="1351" t="n">
        <v>79</v>
      </c>
      <c r="F318" s="1349" t="inlineStr">
        <is>
          <t>Academy Membership</t>
        </is>
      </c>
      <c r="G318" s="1349" t="inlineStr">
        <is>
          <t>Existing</t>
        </is>
      </c>
      <c r="I318" t="inlineStr">
        <is>
          <t>Academy - Membership / eBook / Exams (historical bundle)</t>
        </is>
      </c>
      <c r="J318" t="inlineStr">
        <is>
          <t>https://www.alanranger.com/free-online-photography-course</t>
        </is>
      </c>
    </row>
    <row r="319" ht="13.5" customHeight="1" s="1232">
      <c r="A319" s="1348" t="n">
        <v>46052</v>
      </c>
      <c r="B319" s="1349" t="inlineStr">
        <is>
          <t>Heidi Gibbs</t>
        </is>
      </c>
      <c r="C319" s="1350" t="inlineStr">
        <is>
          <t>11 Commissions</t>
        </is>
      </c>
      <c r="D319" s="1349" t="inlineStr">
        <is>
          <t>Stripe</t>
        </is>
      </c>
      <c r="E319" s="1351" t="n">
        <v>50</v>
      </c>
      <c r="F319" s="1349" t="inlineStr">
        <is>
          <t>Photo Editing</t>
        </is>
      </c>
      <c r="G319" s="1349" t="inlineStr">
        <is>
          <t>Existing</t>
        </is>
      </c>
      <c r="I319" t="inlineStr">
        <is>
          <t>Commission - Editorial / Guest Blog / Judging</t>
        </is>
      </c>
      <c r="J319" t="inlineStr">
        <is>
          <t>https://www.alanranger.com/professional-commercial-photographer-coventry</t>
        </is>
      </c>
    </row>
    <row r="320" ht="13.5" customHeight="1" s="1232">
      <c r="A320" s="1348" t="n">
        <v>46051</v>
      </c>
      <c r="B320" s="1349" t="inlineStr">
        <is>
          <t>Caitriona Hanly</t>
        </is>
      </c>
      <c r="C320" s="1350" t="inlineStr">
        <is>
          <t>2. Workshops Non Residential</t>
        </is>
      </c>
      <c r="D320" s="1349" t="inlineStr">
        <is>
          <t>Stripe</t>
        </is>
      </c>
      <c r="E320" s="1351" t="n">
        <v>198</v>
      </c>
      <c r="F320" s="1349" t="inlineStr">
        <is>
          <t>Bluebells</t>
        </is>
      </c>
      <c r="G320" s="1349" t="inlineStr">
        <is>
          <t>Google</t>
        </is>
      </c>
      <c r="I320" t="inlineStr">
        <is>
          <t>BLUEBELL WOODLANDS Photography - Warks - 20 Apr- 30 Apr</t>
        </is>
      </c>
      <c r="J320" t="inlineStr">
        <is>
          <t>https://www.alanranger.com/one-day-landscape-photography-workshops</t>
        </is>
      </c>
    </row>
    <row r="321" ht="13.5" customHeight="1" s="1232">
      <c r="A321" s="1348" t="n">
        <v>46050</v>
      </c>
      <c r="B321" s="1349" t="inlineStr">
        <is>
          <t>John Ellis</t>
        </is>
      </c>
      <c r="C321" s="1350" t="inlineStr">
        <is>
          <t>12. Academy</t>
        </is>
      </c>
      <c r="D321" s="1349" t="inlineStr">
        <is>
          <t>Stripe</t>
        </is>
      </c>
      <c r="E321" s="1351" t="n">
        <v>79</v>
      </c>
      <c r="F321" s="1349" t="inlineStr">
        <is>
          <t>Academy Membership</t>
        </is>
      </c>
      <c r="G321" s="1349" t="inlineStr">
        <is>
          <t>Existing</t>
        </is>
      </c>
      <c r="I321" t="inlineStr">
        <is>
          <t>Academy - Membership / eBook / Exams (historical bundle)</t>
        </is>
      </c>
      <c r="J321" t="inlineStr">
        <is>
          <t>https://www.alanranger.com/free-online-photography-course</t>
        </is>
      </c>
    </row>
    <row r="322" ht="13.5" customHeight="1" s="1232">
      <c r="A322" s="1348" t="n">
        <v>46049</v>
      </c>
      <c r="B322" s="1349" t="inlineStr">
        <is>
          <t>Chris Stamp</t>
        </is>
      </c>
      <c r="C322" s="1350" t="inlineStr">
        <is>
          <t>3. Workshops Residential</t>
        </is>
      </c>
      <c r="D322" s="1349" t="inlineStr">
        <is>
          <t>Stripe</t>
        </is>
      </c>
      <c r="E322" s="1351" t="n">
        <v>825</v>
      </c>
      <c r="F322" s="1349" t="inlineStr">
        <is>
          <t>Yorkshire Dales</t>
        </is>
      </c>
      <c r="G322" s="1349" t="inlineStr">
        <is>
          <t>Google</t>
        </is>
      </c>
      <c r="I322" t="inlineStr">
        <is>
          <t>Landscape YORKSHIRE DALES Photography Workshop - 16 - 18 Apr</t>
        </is>
      </c>
      <c r="J322" t="inlineStr">
        <is>
          <t>https://www.alanranger.com/photography-workshops</t>
        </is>
      </c>
    </row>
    <row r="323" ht="13.5" customHeight="1" s="1232">
      <c r="A323" s="1348" t="n">
        <v>46045</v>
      </c>
      <c r="B323" s="1349" t="inlineStr">
        <is>
          <t>Sara Roberts</t>
        </is>
      </c>
      <c r="C323" s="1350" t="inlineStr">
        <is>
          <t>2. Workshops Non Residential</t>
        </is>
      </c>
      <c r="D323" s="1349" t="inlineStr">
        <is>
          <t>Bank</t>
        </is>
      </c>
      <c r="E323" s="1351" t="n">
        <v>15</v>
      </c>
      <c r="F323" s="1349" t="inlineStr">
        <is>
          <t>Woodland Photography Walk</t>
        </is>
      </c>
      <c r="G323" s="1349" t="inlineStr">
        <is>
          <t>JLR</t>
        </is>
      </c>
      <c r="I323" t="inlineStr">
        <is>
          <t>Woodland Photography Walk - Warwickshire (half-day low-cost)</t>
        </is>
      </c>
      <c r="J323" t="inlineStr">
        <is>
          <t>https://www.alanranger.com/landscape-photography-workshops</t>
        </is>
      </c>
    </row>
    <row r="324" ht="13.5" customHeight="1" s="1232">
      <c r="A324" s="1348" t="n">
        <v>46045</v>
      </c>
      <c r="B324" s="1349" t="inlineStr">
        <is>
          <t>Sunil Raaj</t>
        </is>
      </c>
      <c r="C324" s="1350" t="inlineStr">
        <is>
          <t>2. Workshops Non Residential</t>
        </is>
      </c>
      <c r="D324" s="1349" t="inlineStr">
        <is>
          <t>Bank</t>
        </is>
      </c>
      <c r="E324" s="1351" t="n">
        <v>15</v>
      </c>
      <c r="F324" s="1349" t="inlineStr">
        <is>
          <t>Woodland Photography Walk</t>
        </is>
      </c>
      <c r="G324" s="1349" t="inlineStr">
        <is>
          <t>JLR</t>
        </is>
      </c>
      <c r="I324" t="inlineStr">
        <is>
          <t>Woodland Photography Walk - Warwickshire (half-day low-cost)</t>
        </is>
      </c>
      <c r="J324" t="inlineStr">
        <is>
          <t>https://www.alanranger.com/landscape-photography-workshops</t>
        </is>
      </c>
    </row>
    <row r="325" ht="13.5" customHeight="1" s="1232">
      <c r="A325" s="1348" t="n">
        <v>46045</v>
      </c>
      <c r="B325" s="1349" t="inlineStr">
        <is>
          <t>Stephanie Sanderson</t>
        </is>
      </c>
      <c r="C325" s="1350" t="inlineStr">
        <is>
          <t>2. Workshops Non Residential</t>
        </is>
      </c>
      <c r="D325" s="1349" t="inlineStr">
        <is>
          <t>Bank</t>
        </is>
      </c>
      <c r="E325" s="1351" t="n">
        <v>15</v>
      </c>
      <c r="F325" s="1349" t="inlineStr">
        <is>
          <t>Woodland Photography Walk</t>
        </is>
      </c>
      <c r="G325" s="1349" t="inlineStr">
        <is>
          <t>JLR</t>
        </is>
      </c>
      <c r="I325" t="inlineStr">
        <is>
          <t>Woodland Photography Walk - Warwickshire (half-day low-cost)</t>
        </is>
      </c>
      <c r="J325" t="inlineStr">
        <is>
          <t>https://www.alanranger.com/landscape-photography-workshops</t>
        </is>
      </c>
    </row>
    <row r="326" ht="13.5" customHeight="1" s="1232">
      <c r="A326" s="1348" t="n">
        <v>46045</v>
      </c>
      <c r="B326" s="1349" t="inlineStr">
        <is>
          <t>Theresa Halpin</t>
        </is>
      </c>
      <c r="C326" s="1350" t="inlineStr">
        <is>
          <t>2. Workshops Non Residential</t>
        </is>
      </c>
      <c r="D326" s="1349" t="inlineStr">
        <is>
          <t>Bank</t>
        </is>
      </c>
      <c r="E326" s="1351" t="n">
        <v>15</v>
      </c>
      <c r="F326" s="1349" t="inlineStr">
        <is>
          <t>Woodland Photography Walk</t>
        </is>
      </c>
      <c r="G326" s="1349" t="inlineStr">
        <is>
          <t>JLR</t>
        </is>
      </c>
      <c r="I326" t="inlineStr">
        <is>
          <t>Woodland Photography Walk - Warwickshire (half-day low-cost)</t>
        </is>
      </c>
      <c r="J326" t="inlineStr">
        <is>
          <t>https://www.alanranger.com/landscape-photography-workshops</t>
        </is>
      </c>
    </row>
    <row r="327" ht="13.5" customHeight="1" s="1232">
      <c r="A327" s="1348" t="n">
        <v>46045</v>
      </c>
      <c r="B327" s="1349" t="inlineStr">
        <is>
          <t>Naveen Prakash Karuppaiah</t>
        </is>
      </c>
      <c r="C327" s="1350" t="inlineStr">
        <is>
          <t>2. Workshops Non Residential</t>
        </is>
      </c>
      <c r="D327" s="1349" t="inlineStr">
        <is>
          <t>Bank</t>
        </is>
      </c>
      <c r="E327" s="1351" t="n">
        <v>15</v>
      </c>
      <c r="F327" s="1349" t="inlineStr">
        <is>
          <t>Woodland Photography Walk</t>
        </is>
      </c>
      <c r="G327" s="1349" t="inlineStr">
        <is>
          <t>JLR</t>
        </is>
      </c>
      <c r="I327" t="inlineStr">
        <is>
          <t>Woodland Photography Walk - Warwickshire (half-day low-cost)</t>
        </is>
      </c>
      <c r="J327" t="inlineStr">
        <is>
          <t>https://www.alanranger.com/landscape-photography-workshops</t>
        </is>
      </c>
    </row>
    <row r="328" ht="13.5" customHeight="1" s="1232">
      <c r="A328" s="1348" t="n">
        <v>46045</v>
      </c>
      <c r="B328" s="1349" t="inlineStr">
        <is>
          <t>Shreyashi Saha</t>
        </is>
      </c>
      <c r="C328" s="1350" t="inlineStr">
        <is>
          <t>2. Workshops Non Residential</t>
        </is>
      </c>
      <c r="D328" s="1349" t="inlineStr">
        <is>
          <t>Bank</t>
        </is>
      </c>
      <c r="E328" s="1351" t="n">
        <v>15</v>
      </c>
      <c r="F328" s="1349" t="inlineStr">
        <is>
          <t>Woodland Photography Walk</t>
        </is>
      </c>
      <c r="G328" s="1349" t="inlineStr">
        <is>
          <t>JLR</t>
        </is>
      </c>
      <c r="I328" t="inlineStr">
        <is>
          <t>Woodland Photography Walk - Warwickshire (half-day low-cost)</t>
        </is>
      </c>
      <c r="J328" t="inlineStr">
        <is>
          <t>https://www.alanranger.com/landscape-photography-workshops</t>
        </is>
      </c>
    </row>
    <row r="329" ht="13.5" customHeight="1" s="1232">
      <c r="A329" s="1348" t="n">
        <v>46045</v>
      </c>
      <c r="B329" s="1349" t="inlineStr">
        <is>
          <t>Vedaraj Thakare</t>
        </is>
      </c>
      <c r="C329" s="1350" t="inlineStr">
        <is>
          <t>2. Workshops Non Residential</t>
        </is>
      </c>
      <c r="D329" s="1349" t="inlineStr">
        <is>
          <t>Bank</t>
        </is>
      </c>
      <c r="E329" s="1351" t="n">
        <v>15</v>
      </c>
      <c r="F329" s="1349" t="inlineStr">
        <is>
          <t>Woodland Photography Walk</t>
        </is>
      </c>
      <c r="G329" s="1349" t="inlineStr">
        <is>
          <t>JLR</t>
        </is>
      </c>
      <c r="I329" t="inlineStr">
        <is>
          <t>Woodland Photography Walk - Warwickshire (half-day low-cost)</t>
        </is>
      </c>
      <c r="J329" t="inlineStr">
        <is>
          <t>https://www.alanranger.com/landscape-photography-workshops</t>
        </is>
      </c>
    </row>
    <row r="330" ht="13.5" customHeight="1" s="1232">
      <c r="A330" s="1348" t="n">
        <v>46045</v>
      </c>
      <c r="B330" s="1349" t="inlineStr">
        <is>
          <t>Dadasaheb Jadhav</t>
        </is>
      </c>
      <c r="C330" s="1350" t="inlineStr">
        <is>
          <t>2. Workshops Non Residential</t>
        </is>
      </c>
      <c r="D330" s="1349" t="inlineStr">
        <is>
          <t>Bank</t>
        </is>
      </c>
      <c r="E330" s="1351" t="n">
        <v>15</v>
      </c>
      <c r="F330" s="1349" t="inlineStr">
        <is>
          <t>Woodland Photography Walk</t>
        </is>
      </c>
      <c r="G330" s="1349" t="inlineStr">
        <is>
          <t>JLR</t>
        </is>
      </c>
      <c r="I330" t="inlineStr">
        <is>
          <t>Woodland Photography Walk - Warwickshire (half-day low-cost)</t>
        </is>
      </c>
      <c r="J330" t="inlineStr">
        <is>
          <t>https://www.alanranger.com/landscape-photography-workshops</t>
        </is>
      </c>
    </row>
    <row r="331" ht="13.5" customHeight="1" s="1232">
      <c r="A331" s="1348" t="n">
        <v>46045</v>
      </c>
      <c r="B331" s="1349" t="inlineStr">
        <is>
          <t>Toby Mendes</t>
        </is>
      </c>
      <c r="C331" s="1350" t="inlineStr">
        <is>
          <t>2. Workshops Non Residential</t>
        </is>
      </c>
      <c r="D331" s="1349" t="inlineStr">
        <is>
          <t>Bank</t>
        </is>
      </c>
      <c r="E331" s="1351" t="n">
        <v>15</v>
      </c>
      <c r="F331" s="1349" t="inlineStr">
        <is>
          <t>Woodland Photography Walk</t>
        </is>
      </c>
      <c r="G331" s="1349" t="inlineStr">
        <is>
          <t>JLR</t>
        </is>
      </c>
      <c r="I331" t="inlineStr">
        <is>
          <t>Woodland Photography Walk - Warwickshire (half-day low-cost)</t>
        </is>
      </c>
      <c r="J331" t="inlineStr">
        <is>
          <t>https://www.alanranger.com/landscape-photography-workshops</t>
        </is>
      </c>
    </row>
    <row r="332" ht="13.5" customHeight="1" s="1232">
      <c r="A332" s="1348" t="n">
        <v>46045</v>
      </c>
      <c r="B332" s="1349" t="inlineStr">
        <is>
          <t>Kalindi Vyas</t>
        </is>
      </c>
      <c r="C332" s="1350" t="inlineStr">
        <is>
          <t>2. Workshops Non Residential</t>
        </is>
      </c>
      <c r="D332" s="1349" t="inlineStr">
        <is>
          <t>Bank</t>
        </is>
      </c>
      <c r="E332" s="1351" t="n">
        <v>15</v>
      </c>
      <c r="F332" s="1349" t="inlineStr">
        <is>
          <t>Woodland Photography Walk</t>
        </is>
      </c>
      <c r="G332" s="1349" t="inlineStr">
        <is>
          <t>JLR</t>
        </is>
      </c>
      <c r="I332" t="inlineStr">
        <is>
          <t>Woodland Photography Walk - Warwickshire (half-day low-cost)</t>
        </is>
      </c>
      <c r="J332" t="inlineStr">
        <is>
          <t>https://www.alanranger.com/landscape-photography-workshops</t>
        </is>
      </c>
    </row>
    <row r="333" ht="13.5" customHeight="1" s="1232">
      <c r="A333" s="1348" t="n">
        <v>46045</v>
      </c>
      <c r="B333" s="1349" t="inlineStr">
        <is>
          <t>Rebecca Saunders</t>
        </is>
      </c>
      <c r="C333" s="1350" t="inlineStr">
        <is>
          <t>2. Workshops Non Residential</t>
        </is>
      </c>
      <c r="D333" s="1349" t="inlineStr">
        <is>
          <t>Bank</t>
        </is>
      </c>
      <c r="E333" s="1351" t="n">
        <v>15</v>
      </c>
      <c r="F333" s="1349" t="inlineStr">
        <is>
          <t>Woodland Photography Walk</t>
        </is>
      </c>
      <c r="G333" s="1349" t="inlineStr">
        <is>
          <t>JLR</t>
        </is>
      </c>
      <c r="I333" t="inlineStr">
        <is>
          <t>Woodland Photography Walk - Warwickshire (half-day low-cost)</t>
        </is>
      </c>
      <c r="J333" t="inlineStr">
        <is>
          <t>https://www.alanranger.com/landscape-photography-workshops</t>
        </is>
      </c>
    </row>
    <row r="334" ht="13.5" customHeight="1" s="1232">
      <c r="A334" s="1348" t="n">
        <v>46045</v>
      </c>
      <c r="B334" s="1349" t="inlineStr">
        <is>
          <t>Stephanie Roberts</t>
        </is>
      </c>
      <c r="C334" s="1350" t="inlineStr">
        <is>
          <t>2. Workshops Non Residential</t>
        </is>
      </c>
      <c r="D334" s="1349" t="inlineStr">
        <is>
          <t>Stripe</t>
        </is>
      </c>
      <c r="E334" s="1351" t="n">
        <v>125</v>
      </c>
      <c r="F334" s="1349" t="inlineStr">
        <is>
          <t>Fairy Glen</t>
        </is>
      </c>
      <c r="G334" s="1349" t="inlineStr">
        <is>
          <t>Google</t>
        </is>
      </c>
      <c r="I334" t="inlineStr">
        <is>
          <t>FAIRY GLEN and Fairy Falls Long Exposure Photography</t>
        </is>
      </c>
      <c r="J334" t="inlineStr">
        <is>
          <t>https://www.alanranger.com/landscape-photography-workshops</t>
        </is>
      </c>
    </row>
    <row r="335" ht="13.5" customHeight="1" s="1232">
      <c r="A335" s="1348" t="n">
        <v>46042</v>
      </c>
      <c r="B335" s="1349" t="inlineStr">
        <is>
          <t xml:space="preserve">HOMD Consulting Limited </t>
        </is>
      </c>
      <c r="C335" s="1350" t="inlineStr">
        <is>
          <t>11 Commissions</t>
        </is>
      </c>
      <c r="D335" s="1349" t="inlineStr">
        <is>
          <t>PayPal</t>
        </is>
      </c>
      <c r="E335" s="1351" t="n">
        <v>200</v>
      </c>
      <c r="F335" s="1349" t="inlineStr">
        <is>
          <t>Guest Blog</t>
        </is>
      </c>
      <c r="G335" s="1349" t="inlineStr">
        <is>
          <t>Google</t>
        </is>
      </c>
      <c r="I335" t="inlineStr">
        <is>
          <t>Commission - Editorial / Guest Blog / Judging</t>
        </is>
      </c>
      <c r="J335" t="inlineStr">
        <is>
          <t>https://www.alanranger.com/professional-commercial-photographer-coventry</t>
        </is>
      </c>
    </row>
    <row r="336" ht="13.5" customHeight="1" s="1232">
      <c r="A336" s="1348" t="n">
        <v>46042</v>
      </c>
      <c r="B336" s="1349" t="inlineStr">
        <is>
          <t>Paul Wright</t>
        </is>
      </c>
      <c r="C336" s="1350" t="inlineStr">
        <is>
          <t>12. Academy</t>
        </is>
      </c>
      <c r="D336" s="1349" t="inlineStr">
        <is>
          <t>Stripe</t>
        </is>
      </c>
      <c r="E336" s="1351" t="n">
        <v>79</v>
      </c>
      <c r="F336" s="1349" t="inlineStr">
        <is>
          <t>Academy Membership</t>
        </is>
      </c>
      <c r="G336" s="1349" t="inlineStr">
        <is>
          <t>Google</t>
        </is>
      </c>
      <c r="I336" t="inlineStr">
        <is>
          <t>Academy - Membership / eBook / Exams (historical bundle)</t>
        </is>
      </c>
      <c r="J336" t="inlineStr">
        <is>
          <t>https://www.alanranger.com/free-online-photography-course</t>
        </is>
      </c>
    </row>
    <row r="337" ht="13.5" customHeight="1" s="1232">
      <c r="A337" s="1348" t="n">
        <v>46040</v>
      </c>
      <c r="B337" s="1349" t="inlineStr">
        <is>
          <t>sue green</t>
        </is>
      </c>
      <c r="C337" s="1350" t="inlineStr">
        <is>
          <t>1. Courses/masterclasses</t>
        </is>
      </c>
      <c r="D337" s="1349" t="inlineStr">
        <is>
          <t>Stripe</t>
        </is>
      </c>
      <c r="E337" s="1351" t="n">
        <v>150</v>
      </c>
      <c r="F337" s="1349" t="inlineStr">
        <is>
          <t>Lightroom Course</t>
        </is>
      </c>
      <c r="G337" s="1349" t="inlineStr">
        <is>
          <t>Google</t>
        </is>
      </c>
      <c r="I337" t="inlineStr">
        <is>
          <t>Lightroom Courses for Beginners Photo Editing - Coventry</t>
        </is>
      </c>
      <c r="J337" t="inlineStr">
        <is>
          <t>https://www.alanranger.com/photo-editing-course-coventry</t>
        </is>
      </c>
    </row>
    <row r="338" ht="13.5" customHeight="1" s="1232">
      <c r="A338" s="1348" t="n">
        <v>46040</v>
      </c>
      <c r="B338" s="1349" t="inlineStr">
        <is>
          <t>David Pitt</t>
        </is>
      </c>
      <c r="C338" s="1350" t="inlineStr">
        <is>
          <t>2. Workshops Non Residential</t>
        </is>
      </c>
      <c r="D338" s="1349" t="inlineStr">
        <is>
          <t>Stripe</t>
        </is>
      </c>
      <c r="E338" s="1351" t="n">
        <v>50</v>
      </c>
      <c r="F338" s="1349" t="inlineStr">
        <is>
          <t>Urban Architecture</t>
        </is>
      </c>
      <c r="G338" s="1349" t="inlineStr">
        <is>
          <t>Existing</t>
        </is>
      </c>
      <c r="I338" t="inlineStr">
        <is>
          <t>URBAN ARCHITECTURE Photography Workshops - Coventry 9 Sep</t>
        </is>
      </c>
      <c r="J338" t="inlineStr">
        <is>
          <t>https://www.alanranger.com/landscape-photography-workshops</t>
        </is>
      </c>
    </row>
    <row r="339" ht="13.5" customHeight="1" s="1232">
      <c r="A339" s="1348" t="n">
        <v>46039</v>
      </c>
      <c r="B339" s="1349" t="inlineStr">
        <is>
          <t>Nick Barber</t>
        </is>
      </c>
      <c r="C339" s="1350" t="inlineStr">
        <is>
          <t>12. Academy</t>
        </is>
      </c>
      <c r="D339" s="1349" t="inlineStr">
        <is>
          <t>Stripe</t>
        </is>
      </c>
      <c r="E339" s="1351" t="n">
        <v>79</v>
      </c>
      <c r="F339" s="1349" t="inlineStr">
        <is>
          <t>Academy Membership</t>
        </is>
      </c>
      <c r="G339" s="1349" t="inlineStr">
        <is>
          <t>Existing</t>
        </is>
      </c>
      <c r="I339" t="inlineStr">
        <is>
          <t>Academy - Membership / eBook / Exams (historical bundle)</t>
        </is>
      </c>
      <c r="J339" t="inlineStr">
        <is>
          <t>https://www.alanranger.com/free-online-photography-course</t>
        </is>
      </c>
    </row>
    <row r="340" ht="13.5" customHeight="1" s="1232">
      <c r="A340" s="1348" t="n">
        <v>46036</v>
      </c>
      <c r="B340" s="1349" t="inlineStr">
        <is>
          <t>Myra Little</t>
        </is>
      </c>
      <c r="C340" s="1350" t="inlineStr">
        <is>
          <t>12. Academy</t>
        </is>
      </c>
      <c r="D340" s="1349" t="inlineStr">
        <is>
          <t>Stripe</t>
        </is>
      </c>
      <c r="E340" s="1351" t="n">
        <v>79</v>
      </c>
      <c r="F340" s="1349" t="inlineStr">
        <is>
          <t>Academy Membership</t>
        </is>
      </c>
      <c r="G340" s="1349" t="inlineStr">
        <is>
          <t>Existing</t>
        </is>
      </c>
      <c r="I340" t="inlineStr">
        <is>
          <t>Academy - Membership / eBook / Exams (historical bundle)</t>
        </is>
      </c>
      <c r="J340" t="inlineStr">
        <is>
          <t>https://www.alanranger.com/free-online-photography-course</t>
        </is>
      </c>
    </row>
    <row r="341" ht="13.5" customHeight="1" s="1232">
      <c r="A341" s="1348" t="n">
        <v>46036</v>
      </c>
      <c r="B341" s="1349" t="inlineStr">
        <is>
          <t>Myra Little</t>
        </is>
      </c>
      <c r="C341" s="1350" t="inlineStr">
        <is>
          <t>7. 1-2-1</t>
        </is>
      </c>
      <c r="D341" s="1349" t="inlineStr">
        <is>
          <t>Stripe</t>
        </is>
      </c>
      <c r="E341" s="1351" t="n">
        <v>300</v>
      </c>
      <c r="F341" s="1349" t="inlineStr">
        <is>
          <t>Zoom Package</t>
        </is>
      </c>
      <c r="G341" s="1349" t="inlineStr">
        <is>
          <t>Existing</t>
        </is>
      </c>
      <c r="I341" t="inlineStr">
        <is>
          <t>1-2-1 Package - Zoom Multi-Session</t>
        </is>
      </c>
      <c r="J341" t="inlineStr">
        <is>
          <t>https://www.alanranger.com/photography-lessons-online-121</t>
        </is>
      </c>
    </row>
    <row r="342" ht="13.5" customHeight="1" s="1232">
      <c r="A342" s="1348" t="n">
        <v>46034</v>
      </c>
      <c r="B342" s="1349" t="inlineStr">
        <is>
          <t>Michael Harrott</t>
        </is>
      </c>
      <c r="C342" s="1350" t="inlineStr">
        <is>
          <t>1. Courses/masterclasses</t>
        </is>
      </c>
      <c r="D342" s="1349" t="inlineStr">
        <is>
          <t>Stripe</t>
        </is>
      </c>
      <c r="E342" s="1351" t="n">
        <v>300</v>
      </c>
      <c r="F342" s="1349" t="inlineStr">
        <is>
          <t>Camera Course</t>
        </is>
      </c>
      <c r="G342" s="1349" t="inlineStr">
        <is>
          <t>Google</t>
        </is>
      </c>
      <c r="I342" t="inlineStr">
        <is>
          <t>Beginners Photography Course | 3 Weekly Evening Classes</t>
        </is>
      </c>
      <c r="J342" t="inlineStr">
        <is>
          <t>https://www.alanranger.com/beginners-photography-classes</t>
        </is>
      </c>
    </row>
    <row r="343" ht="13.5" customHeight="1" s="1232">
      <c r="A343" s="1348" t="n">
        <v>46034</v>
      </c>
      <c r="B343" s="1349" t="inlineStr">
        <is>
          <t>Alvin Roussel</t>
        </is>
      </c>
      <c r="C343" s="1350" t="inlineStr">
        <is>
          <t>2. Workshops Non Residential</t>
        </is>
      </c>
      <c r="D343" s="1349" t="inlineStr">
        <is>
          <t>Stripe</t>
        </is>
      </c>
      <c r="E343" s="1351" t="n">
        <v>125</v>
      </c>
      <c r="F343" s="1349" t="inlineStr">
        <is>
          <t>Woodland Masterclass</t>
        </is>
      </c>
      <c r="G343" s="1349" t="inlineStr">
        <is>
          <t>Google</t>
        </is>
      </c>
      <c r="I343" t="inlineStr">
        <is>
          <t>The Secret of WOODLAND PHOTOGRAPHY- 1-Day Jan, Apr, Aug, Oct</t>
        </is>
      </c>
      <c r="J343" t="inlineStr">
        <is>
          <t>https://www.alanranger.com/one-day-landscape-photography-workshops</t>
        </is>
      </c>
    </row>
    <row r="344" ht="13.5" customHeight="1" s="1232">
      <c r="A344" s="1348" t="n">
        <v>46033</v>
      </c>
      <c r="B344" s="1349" t="inlineStr">
        <is>
          <t>Sue Heady</t>
        </is>
      </c>
      <c r="C344" s="1350" t="inlineStr">
        <is>
          <t>2. Workshops Non Residential</t>
        </is>
      </c>
      <c r="D344" s="1349" t="inlineStr">
        <is>
          <t>Stripe</t>
        </is>
      </c>
      <c r="E344" s="1351" t="n">
        <v>15</v>
      </c>
      <c r="F344" s="1349" t="inlineStr">
        <is>
          <t>Woodland Walk</t>
        </is>
      </c>
      <c r="G344" s="1349" t="inlineStr">
        <is>
          <t>Google</t>
        </is>
      </c>
      <c r="I344" t="inlineStr">
        <is>
          <t>Woodland Photography Walk - Warwickshire (half-day low-cost)</t>
        </is>
      </c>
      <c r="J344" t="inlineStr">
        <is>
          <t>https://www.alanranger.com/landscape-photography-workshops</t>
        </is>
      </c>
    </row>
    <row r="345" ht="13.5" customHeight="1" s="1232">
      <c r="A345" s="1348" t="n">
        <v>46031</v>
      </c>
      <c r="B345" s="1349" t="inlineStr">
        <is>
          <t>Helen Burnett</t>
        </is>
      </c>
      <c r="C345" s="1350" t="inlineStr">
        <is>
          <t>1. Courses/masterclasses</t>
        </is>
      </c>
      <c r="D345" s="1349" t="inlineStr">
        <is>
          <t>Stripe</t>
        </is>
      </c>
      <c r="E345" s="1351" t="n">
        <v>150</v>
      </c>
      <c r="F345" s="1349" t="inlineStr">
        <is>
          <t>Camera Course</t>
        </is>
      </c>
      <c r="G345" s="1349" t="inlineStr">
        <is>
          <t>Google</t>
        </is>
      </c>
      <c r="I345" t="inlineStr">
        <is>
          <t>Beginners Photography Course | 3 Weekly Evening Classes</t>
        </is>
      </c>
      <c r="J345" t="inlineStr">
        <is>
          <t>https://www.alanranger.com/beginners-photography-classes</t>
        </is>
      </c>
    </row>
    <row r="346" ht="13.5" customHeight="1" s="1232">
      <c r="A346" s="1348" t="n">
        <v>46030</v>
      </c>
      <c r="B346" s="1349" t="inlineStr">
        <is>
          <t>Heidi Gibbs</t>
        </is>
      </c>
      <c r="C346" s="1350" t="inlineStr">
        <is>
          <t>1. Courses/masterclasses</t>
        </is>
      </c>
      <c r="D346" s="1349" t="inlineStr">
        <is>
          <t>Stripe</t>
        </is>
      </c>
      <c r="E346" s="1351" t="n">
        <v>150</v>
      </c>
      <c r="F346" s="1349" t="inlineStr">
        <is>
          <t>Camera Course</t>
        </is>
      </c>
      <c r="G346" s="1349" t="inlineStr">
        <is>
          <t>Google</t>
        </is>
      </c>
      <c r="I346" t="inlineStr">
        <is>
          <t>Beginners Photography Course | 3 Weekly Evening Classes</t>
        </is>
      </c>
      <c r="J346" t="inlineStr">
        <is>
          <t>https://www.alanranger.com/beginners-photography-classes</t>
        </is>
      </c>
    </row>
    <row r="347" ht="13.5" customHeight="1" s="1232">
      <c r="A347" s="1348" t="n">
        <v>46030</v>
      </c>
      <c r="B347" s="1349" t="inlineStr">
        <is>
          <t>Grace Brown</t>
        </is>
      </c>
      <c r="C347" s="1350" t="inlineStr">
        <is>
          <t>11 Commissions</t>
        </is>
      </c>
      <c r="D347" s="1349" t="inlineStr">
        <is>
          <t>Stripe</t>
        </is>
      </c>
      <c r="E347" s="1351" t="n">
        <v>350</v>
      </c>
      <c r="F347" s="1349" t="inlineStr">
        <is>
          <t>PWA Training</t>
        </is>
      </c>
      <c r="G347" s="1349" t="inlineStr">
        <is>
          <t>Google</t>
        </is>
      </c>
      <c r="I347" t="inlineStr">
        <is>
          <t>Commission - Corporate / Staff Training</t>
        </is>
      </c>
      <c r="J347" t="inlineStr">
        <is>
          <t>https://www.alanranger.com/corporate-photography-training</t>
        </is>
      </c>
    </row>
    <row r="348" ht="13.5" customHeight="1" s="1232">
      <c r="A348" s="1348" t="n">
        <v>46029</v>
      </c>
      <c r="B348" s="1349" t="inlineStr">
        <is>
          <t>Penelope Ulander</t>
        </is>
      </c>
      <c r="C348" s="1350" t="inlineStr">
        <is>
          <t>3. Workshops Residential</t>
        </is>
      </c>
      <c r="D348" s="1349" t="inlineStr">
        <is>
          <t>Stripe</t>
        </is>
      </c>
      <c r="E348" s="1351" t="n">
        <v>775</v>
      </c>
      <c r="F348" s="1349" t="inlineStr">
        <is>
          <t>Hartland Quay</t>
        </is>
      </c>
      <c r="G348" s="1349" t="inlineStr">
        <is>
          <t>Referral</t>
        </is>
      </c>
      <c r="I348" t="inlineStr">
        <is>
          <t>Landscape Photography DEVON Workshops - Various Dates</t>
        </is>
      </c>
      <c r="J348" t="inlineStr">
        <is>
          <t>https://www.alanranger.com/photography-workshops</t>
        </is>
      </c>
    </row>
    <row r="349" ht="13.5" customHeight="1" s="1232">
      <c r="A349" s="1348" t="n">
        <v>46028</v>
      </c>
      <c r="B349" s="1349" t="inlineStr">
        <is>
          <t>Simon Durk</t>
        </is>
      </c>
      <c r="C349" s="1350" t="inlineStr">
        <is>
          <t>2. Workshops Non Residential</t>
        </is>
      </c>
      <c r="D349" s="1349" t="inlineStr">
        <is>
          <t>Stripe</t>
        </is>
      </c>
      <c r="E349" s="1351" t="n">
        <v>35</v>
      </c>
      <c r="F349" s="1349" t="inlineStr">
        <is>
          <t>Garden Workshop</t>
        </is>
      </c>
      <c r="G349" s="1349" t="inlineStr">
        <is>
          <t>Existing</t>
        </is>
      </c>
      <c r="I349" t="inlineStr">
        <is>
          <t>The Art of GARDEN PHOTOGRAPHY  - Coventry -  May and July</t>
        </is>
      </c>
      <c r="J349" t="inlineStr">
        <is>
          <t>https://www.alanranger.com/landscape-photography-workshops</t>
        </is>
      </c>
    </row>
    <row r="350" ht="13.5" customHeight="1" s="1232">
      <c r="A350" s="1348" t="n">
        <v>46027</v>
      </c>
      <c r="B350" s="1349" t="inlineStr">
        <is>
          <t>Alan Ranger</t>
        </is>
      </c>
      <c r="C350" s="1350" t="inlineStr">
        <is>
          <t>12. Academy</t>
        </is>
      </c>
      <c r="D350" s="1349" t="inlineStr">
        <is>
          <t>Stripe</t>
        </is>
      </c>
      <c r="E350" s="1351" t="n">
        <v>79</v>
      </c>
      <c r="F350" s="1349" t="inlineStr">
        <is>
          <t>Academy Membership</t>
        </is>
      </c>
      <c r="G350" s="1349" t="inlineStr">
        <is>
          <t>Existing</t>
        </is>
      </c>
      <c r="I350" t="inlineStr">
        <is>
          <t>Academy - Membership / eBook / Exams (historical bundle)</t>
        </is>
      </c>
      <c r="J350" t="inlineStr">
        <is>
          <t>https://www.alanranger.com/free-online-photography-course</t>
        </is>
      </c>
    </row>
    <row r="351" ht="13.5" customHeight="1" s="1232">
      <c r="A351" s="1348" t="n">
        <v>46025</v>
      </c>
      <c r="B351" s="1349" t="inlineStr">
        <is>
          <t>Alan Ranger</t>
        </is>
      </c>
      <c r="C351" s="1350" t="inlineStr">
        <is>
          <t>12. Academy</t>
        </is>
      </c>
      <c r="D351" s="1349" t="inlineStr">
        <is>
          <t>Stripe</t>
        </is>
      </c>
      <c r="E351" s="1351" t="n">
        <v>59</v>
      </c>
      <c r="F351" s="1349" t="inlineStr">
        <is>
          <t>Academy Membership</t>
        </is>
      </c>
      <c r="G351" s="1349" t="inlineStr">
        <is>
          <t>Existing</t>
        </is>
      </c>
      <c r="I351" t="inlineStr">
        <is>
          <t>Academy - Membership / eBook / Exams (historical bundle)</t>
        </is>
      </c>
      <c r="J351" t="inlineStr">
        <is>
          <t>https://www.alanranger.com/free-online-photography-course</t>
        </is>
      </c>
    </row>
    <row r="352" ht="13.5" customHeight="1" s="1232">
      <c r="A352" s="1348" t="n">
        <v>46025</v>
      </c>
      <c r="B352" s="1349" t="inlineStr">
        <is>
          <t>Emma Brown</t>
        </is>
      </c>
      <c r="C352" s="1350" t="inlineStr">
        <is>
          <t>12. Academy</t>
        </is>
      </c>
      <c r="D352" s="1349" t="inlineStr">
        <is>
          <t>Stripe</t>
        </is>
      </c>
      <c r="E352" s="1351" t="n">
        <v>20</v>
      </c>
      <c r="F352" s="1349" t="inlineStr">
        <is>
          <t>Exams Module</t>
        </is>
      </c>
      <c r="G352" s="1349" t="inlineStr">
        <is>
          <t>Existing</t>
        </is>
      </c>
      <c r="I352" t="inlineStr">
        <is>
          <t>Academy - Membership / eBook / Exams (historical bundle)</t>
        </is>
      </c>
      <c r="J352" t="inlineStr">
        <is>
          <t>https://www.alanranger.com/free-online-photography-course</t>
        </is>
      </c>
    </row>
    <row r="353" ht="13.5" customHeight="1" s="1232">
      <c r="A353" s="1348" t="n">
        <v>46025</v>
      </c>
      <c r="B353" s="1349" t="inlineStr">
        <is>
          <t>Pure Photo</t>
        </is>
      </c>
      <c r="C353" s="1350" t="inlineStr">
        <is>
          <t>10. Prints &amp; Royalties</t>
        </is>
      </c>
      <c r="D353" s="1349" t="inlineStr">
        <is>
          <t>PayPal</t>
        </is>
      </c>
      <c r="E353" s="1351" t="n">
        <v>236.67</v>
      </c>
      <c r="F353" s="1349" t="inlineStr">
        <is>
          <t>Print Sale</t>
        </is>
      </c>
      <c r="G353" s="1349" t="inlineStr">
        <is>
          <t>Pure Photo</t>
        </is>
      </c>
      <c r="I353" t="inlineStr">
        <is>
          <t>Print Sale - Generic (historical)</t>
        </is>
      </c>
      <c r="J353" t="inlineStr">
        <is>
          <t>https://www.alanranger.com/fine-art-prints</t>
        </is>
      </c>
    </row>
    <row r="354" ht="13.5" customHeight="1" s="1232">
      <c r="A354" s="1348" t="n">
        <v>46023</v>
      </c>
      <c r="B354" s="1349" t="inlineStr">
        <is>
          <t>Mentoring Subs</t>
        </is>
      </c>
      <c r="C354" s="1350" t="inlineStr">
        <is>
          <t>6. Mentoring</t>
        </is>
      </c>
      <c r="D354" s="1349" t="inlineStr">
        <is>
          <t>Stripe</t>
        </is>
      </c>
      <c r="E354" s="1351" t="n">
        <v>20</v>
      </c>
      <c r="F354" s="1349" t="inlineStr">
        <is>
          <t>Monthly Mentoring</t>
        </is>
      </c>
      <c r="G354" s="1349" t="inlineStr">
        <is>
          <t>Existing</t>
        </is>
      </c>
      <c r="I354" t="inlineStr">
        <is>
          <t>Mentoring - Monthly Subscription</t>
        </is>
      </c>
      <c r="J354" t="inlineStr">
        <is>
          <t>https://www.alanranger.com/photography-mentoring-online-assignments</t>
        </is>
      </c>
    </row>
  </sheetData>
  <mergeCells count="1">
    <mergeCell ref="Z20:AA20"/>
  </mergeCells>
  <conditionalFormatting sqref="D48:D64 D65:F68 E2:E25 E27:E29 E31 E33:E42 E44:E45 E48:E49 E51:E63 E69:E146 E185:E187 E192:E211 E213:E214 E217:E234 E237:E307 E318:E1048576 G66 N31:N33 P31:V33 V176:V521 X6:X29 X46:X51 X129 X138:X148 X162 X167 Y24:Y34">
    <cfRule type="cellIs" priority="267" operator="lessThan" dxfId="1">
      <formula>0</formula>
    </cfRule>
  </conditionalFormatting>
  <conditionalFormatting sqref="X44">
    <cfRule type="cellIs" priority="266" operator="lessThan" dxfId="1">
      <formula>0</formula>
    </cfRule>
  </conditionalFormatting>
  <conditionalFormatting sqref="X6:X18">
    <cfRule type="cellIs" priority="264" operator="lessThan" dxfId="1">
      <formula>0</formula>
    </cfRule>
    <cfRule type="cellIs" priority="262" operator="lessThan" dxfId="1">
      <formula>0</formula>
    </cfRule>
    <cfRule type="cellIs" priority="255" operator="lessThan" dxfId="1">
      <formula>0</formula>
    </cfRule>
    <cfRule type="cellIs" priority="252" operator="lessThan" dxfId="1">
      <formula>0</formula>
    </cfRule>
    <cfRule type="cellIs" priority="251" operator="lessThan" dxfId="1">
      <formula>0</formula>
    </cfRule>
    <cfRule type="cellIs" priority="250" operator="lessThan" dxfId="1">
      <formula>0</formula>
    </cfRule>
    <cfRule type="cellIs" priority="249" operator="lessThan" dxfId="1">
      <formula>0</formula>
    </cfRule>
    <cfRule type="cellIs" priority="243" operator="lessThan" dxfId="1">
      <formula>0</formula>
    </cfRule>
    <cfRule type="cellIs" priority="240" operator="lessThan" dxfId="1">
      <formula>0</formula>
    </cfRule>
    <cfRule type="cellIs" priority="239" operator="lessThan" dxfId="1">
      <formula>0</formula>
    </cfRule>
    <cfRule type="cellIs" priority="199" operator="lessThan" dxfId="1">
      <formula>0</formula>
    </cfRule>
    <cfRule type="cellIs" priority="198" operator="lessThan" dxfId="1">
      <formula>0</formula>
    </cfRule>
    <cfRule type="cellIs" priority="197" operator="lessThan" dxfId="1">
      <formula>0</formula>
    </cfRule>
    <cfRule type="cellIs" priority="196" operator="lessThan" dxfId="1">
      <formula>0</formula>
    </cfRule>
    <cfRule type="cellIs" priority="195" operator="lessThan" dxfId="1">
      <formula>0</formula>
    </cfRule>
    <cfRule type="cellIs" priority="194" operator="lessThan" dxfId="1">
      <formula>0</formula>
    </cfRule>
    <cfRule type="cellIs" priority="193" operator="lessThan" dxfId="1">
      <formula>0</formula>
    </cfRule>
    <cfRule type="cellIs" priority="192" operator="lessThan" dxfId="1">
      <formula>0</formula>
    </cfRule>
    <cfRule type="cellIs" priority="191" operator="lessThan" dxfId="1">
      <formula>0</formula>
    </cfRule>
    <cfRule type="cellIs" priority="190" operator="lessThan" dxfId="1">
      <formula>0</formula>
    </cfRule>
    <cfRule type="cellIs" priority="189" operator="lessThan" dxfId="1">
      <formula>0</formula>
    </cfRule>
    <cfRule type="cellIs" priority="188" operator="lessThan" dxfId="1">
      <formula>0</formula>
    </cfRule>
    <cfRule type="cellIs" priority="187" operator="lessThan" dxfId="1">
      <formula>0</formula>
    </cfRule>
    <cfRule type="cellIs" priority="186" operator="lessThan" dxfId="1">
      <formula>0</formula>
    </cfRule>
    <cfRule type="cellIs" priority="185" operator="lessThan" dxfId="1">
      <formula>0</formula>
    </cfRule>
    <cfRule type="cellIs" priority="184" operator="lessThan" dxfId="1">
      <formula>0</formula>
    </cfRule>
    <cfRule type="cellIs" priority="183" operator="lessThan" dxfId="1">
      <formula>0</formula>
    </cfRule>
    <cfRule type="cellIs" priority="182" operator="lessThan" dxfId="1">
      <formula>0</formula>
    </cfRule>
  </conditionalFormatting>
  <conditionalFormatting sqref="X45">
    <cfRule type="cellIs" priority="265" operator="lessThan" dxfId="1">
      <formula>0</formula>
    </cfRule>
  </conditionalFormatting>
  <conditionalFormatting sqref="X6:X29 Y24:Y34">
    <cfRule type="cellIs" priority="263" operator="greaterThan" dxfId="0">
      <formula>0</formula>
    </cfRule>
  </conditionalFormatting>
  <conditionalFormatting sqref="J49">
    <cfRule type="cellIs" priority="260" operator="greaterThan" dxfId="0">
      <formula>0</formula>
    </cfRule>
    <cfRule type="cellIs" priority="261" operator="lessThan" dxfId="1">
      <formula>0</formula>
    </cfRule>
  </conditionalFormatting>
  <conditionalFormatting sqref="Y6">
    <cfRule type="cellIs" priority="259" operator="lessThan" dxfId="1">
      <formula>0</formula>
    </cfRule>
    <cfRule type="cellIs" priority="258" operator="greaterThan" dxfId="0">
      <formula>0</formula>
    </cfRule>
  </conditionalFormatting>
  <conditionalFormatting sqref="Z6">
    <cfRule type="cellIs" priority="257" operator="lessThan" dxfId="1">
      <formula>0</formula>
    </cfRule>
    <cfRule type="cellIs" priority="256" operator="greaterThan" dxfId="0">
      <formula>0</formula>
    </cfRule>
  </conditionalFormatting>
  <conditionalFormatting sqref="AB6:AB18">
    <cfRule type="cellIs" priority="253" operator="lessThan" dxfId="1">
      <formula>0</formula>
    </cfRule>
    <cfRule type="cellIs" priority="254" operator="greaterThan" dxfId="0">
      <formula>0</formula>
    </cfRule>
  </conditionalFormatting>
  <conditionalFormatting sqref="W19">
    <cfRule type="cellIs" priority="246" operator="greaterThan" dxfId="0">
      <formula>0.8</formula>
    </cfRule>
    <cfRule type="cellIs" priority="247" operator="between" dxfId="26">
      <formula>0.51</formula>
      <formula>0.8</formula>
    </cfRule>
    <cfRule type="cellIs" priority="248" operator="lessThan" dxfId="1">
      <formula>0.5</formula>
    </cfRule>
  </conditionalFormatting>
  <conditionalFormatting sqref="X150">
    <cfRule type="cellIs" priority="245" operator="lessThan" dxfId="1">
      <formula>0</formula>
    </cfRule>
  </conditionalFormatting>
  <conditionalFormatting sqref="X164:X166">
    <cfRule type="cellIs" priority="244" operator="lessThan" dxfId="1">
      <formula>0</formula>
    </cfRule>
  </conditionalFormatting>
  <conditionalFormatting sqref="Y41">
    <cfRule type="cellIs" priority="242" operator="lessThan" dxfId="1">
      <formula>0</formula>
    </cfRule>
    <cfRule type="cellIs" priority="241" operator="greaterThan" dxfId="0">
      <formula>0</formula>
    </cfRule>
  </conditionalFormatting>
  <conditionalFormatting sqref="X41">
    <cfRule type="cellIs" priority="236" operator="lessThan" dxfId="1">
      <formula>0</formula>
    </cfRule>
    <cfRule type="cellIs" priority="235" operator="lessThan" dxfId="1">
      <formula>0</formula>
    </cfRule>
    <cfRule type="cellIs" priority="234" operator="lessThan" dxfId="1">
      <formula>0</formula>
    </cfRule>
    <cfRule type="cellIs" priority="233" operator="lessThan" dxfId="1">
      <formula>0</formula>
    </cfRule>
    <cfRule type="cellIs" priority="238" operator="lessThan" dxfId="1">
      <formula>0</formula>
    </cfRule>
    <cfRule type="cellIs" priority="237" operator="greaterThan" dxfId="0">
      <formula>0</formula>
    </cfRule>
    <cfRule type="cellIs" priority="232" operator="lessThan" dxfId="1">
      <formula>0</formula>
    </cfRule>
  </conditionalFormatting>
  <conditionalFormatting sqref="Z110:Z111">
    <cfRule type="cellIs" priority="230" operator="lessThan" dxfId="1">
      <formula>0</formula>
    </cfRule>
    <cfRule type="cellIs" priority="231" operator="greaterThan" dxfId="0">
      <formula>0</formula>
    </cfRule>
  </conditionalFormatting>
  <conditionalFormatting sqref="X169:X170">
    <cfRule type="cellIs" priority="229" operator="lessThan" dxfId="1">
      <formula>0</formula>
    </cfRule>
  </conditionalFormatting>
  <conditionalFormatting sqref="X171:X172">
    <cfRule type="cellIs" priority="228" operator="lessThan" dxfId="1">
      <formula>0</formula>
    </cfRule>
  </conditionalFormatting>
  <conditionalFormatting sqref="X174:X175">
    <cfRule type="cellIs" priority="227" operator="lessThan" dxfId="1">
      <formula>0</formula>
    </cfRule>
  </conditionalFormatting>
  <conditionalFormatting sqref="X38:X40">
    <cfRule type="cellIs" priority="224" operator="lessThan" dxfId="1">
      <formula>0</formula>
    </cfRule>
    <cfRule type="cellIs" priority="223" operator="lessThan" dxfId="1">
      <formula>0</formula>
    </cfRule>
    <cfRule type="cellIs" priority="222" operator="lessThan" dxfId="1">
      <formula>0</formula>
    </cfRule>
    <cfRule type="cellIs" priority="221" operator="lessThan" dxfId="1">
      <formula>0</formula>
    </cfRule>
    <cfRule type="cellIs" priority="226" operator="lessThan" dxfId="1">
      <formula>0</formula>
    </cfRule>
    <cfRule type="cellIs" priority="225" operator="greaterThan" dxfId="0">
      <formula>0</formula>
    </cfRule>
    <cfRule type="cellIs" priority="220" operator="lessThan" dxfId="1">
      <formula>0</formula>
    </cfRule>
  </conditionalFormatting>
  <conditionalFormatting sqref="Y38:Y40">
    <cfRule type="cellIs" priority="219" operator="lessThan" dxfId="1">
      <formula>0</formula>
    </cfRule>
    <cfRule type="cellIs" priority="218" operator="greaterThan" dxfId="0">
      <formula>0</formula>
    </cfRule>
  </conditionalFormatting>
  <conditionalFormatting sqref="K68:W68 K69:V79 W69:W80">
    <cfRule type="cellIs" priority="216" operator="lessThan" dxfId="1">
      <formula>0</formula>
    </cfRule>
    <cfRule type="cellIs" priority="217" operator="greaterThan" dxfId="0">
      <formula>0.1</formula>
    </cfRule>
  </conditionalFormatting>
  <conditionalFormatting sqref="K80">
    <cfRule type="cellIs" priority="214" operator="lessThan" dxfId="1">
      <formula>0</formula>
    </cfRule>
    <cfRule type="cellIs" priority="215" operator="greaterThan" dxfId="0">
      <formula>0.1</formula>
    </cfRule>
  </conditionalFormatting>
  <conditionalFormatting sqref="W68:W80">
    <cfRule type="cellIs" priority="212" operator="lessThan" dxfId="1">
      <formula>0</formula>
    </cfRule>
    <cfRule type="cellIs" priority="213" operator="greaterThan" dxfId="0">
      <formula>0.1</formula>
    </cfRule>
  </conditionalFormatting>
  <conditionalFormatting sqref="L68:V71 L73:V75 L77:V79">
    <cfRule type="cellIs" priority="210" operator="lessThan" dxfId="1">
      <formula>0</formula>
    </cfRule>
    <cfRule type="cellIs" priority="211" operator="greaterThan" dxfId="0">
      <formula>0.1</formula>
    </cfRule>
  </conditionalFormatting>
  <conditionalFormatting sqref="K72:V72">
    <cfRule type="cellIs" priority="208" operator="lessThan" dxfId="1">
      <formula>0</formula>
    </cfRule>
    <cfRule type="cellIs" priority="209" operator="greaterThan" dxfId="0">
      <formula>0.1</formula>
    </cfRule>
    <cfRule type="cellIs" priority="206" operator="lessThan" dxfId="1">
      <formula>0</formula>
    </cfRule>
    <cfRule type="cellIs" priority="207" operator="greaterThan" dxfId="0">
      <formula>0.1</formula>
    </cfRule>
  </conditionalFormatting>
  <conditionalFormatting sqref="L72:V72">
    <cfRule type="cellIs" priority="204" operator="lessThan" dxfId="1">
      <formula>0</formula>
    </cfRule>
    <cfRule type="cellIs" priority="205" operator="greaterThan" dxfId="0">
      <formula>0.1</formula>
    </cfRule>
    <cfRule type="cellIs" priority="202" operator="lessThan" dxfId="1">
      <formula>0</formula>
    </cfRule>
    <cfRule type="cellIs" priority="203" operator="greaterThan" dxfId="0">
      <formula>0.1</formula>
    </cfRule>
  </conditionalFormatting>
  <conditionalFormatting sqref="L80:V80">
    <cfRule type="cellIs" priority="200" operator="lessThan" dxfId="1">
      <formula>0</formula>
    </cfRule>
    <cfRule type="cellIs" priority="201" operator="greaterThan" dxfId="0">
      <formula>0.1</formula>
    </cfRule>
  </conditionalFormatting>
  <conditionalFormatting sqref="Z43">
    <cfRule type="cellIs" priority="181" operator="lessThan" dxfId="1">
      <formula>0</formula>
    </cfRule>
    <cfRule type="cellIs" priority="180" operator="greaterThan" dxfId="0">
      <formula>0</formula>
    </cfRule>
  </conditionalFormatting>
  <conditionalFormatting sqref="X37">
    <cfRule type="cellIs" priority="166" operator="lessThan" dxfId="1">
      <formula>0</formula>
    </cfRule>
    <cfRule type="cellIs" priority="165" operator="lessThan" dxfId="1">
      <formula>0</formula>
    </cfRule>
    <cfRule type="cellIs" priority="164" operator="lessThan" dxfId="1">
      <formula>0</formula>
    </cfRule>
    <cfRule type="cellIs" priority="163" operator="lessThan" dxfId="1">
      <formula>0</formula>
    </cfRule>
    <cfRule type="cellIs" priority="168" operator="lessThan" dxfId="1">
      <formula>0</formula>
    </cfRule>
    <cfRule type="cellIs" priority="167" operator="greaterThan" dxfId="0">
      <formula>0</formula>
    </cfRule>
    <cfRule type="cellIs" priority="162" operator="lessThan" dxfId="1">
      <formula>0</formula>
    </cfRule>
  </conditionalFormatting>
  <conditionalFormatting sqref="Z7:Z18">
    <cfRule type="cellIs" priority="157" operator="lessThan" dxfId="1">
      <formula>0</formula>
    </cfRule>
    <cfRule type="cellIs" priority="156" operator="greaterThan" dxfId="0">
      <formula>0</formula>
    </cfRule>
  </conditionalFormatting>
  <conditionalFormatting sqref="K19:V19 K20:W20">
    <cfRule type="cellIs" priority="177" operator="greaterThan" dxfId="0">
      <formula>0.81</formula>
    </cfRule>
    <cfRule type="cellIs" priority="178" operator="between" dxfId="1036">
      <formula>0.301</formula>
      <formula>0.8</formula>
    </cfRule>
    <cfRule type="cellIs" priority="179" operator="lessThan" dxfId="1">
      <formula>0.3</formula>
    </cfRule>
  </conditionalFormatting>
  <conditionalFormatting sqref="K24:W24">
    <cfRule type="cellIs" priority="175" operator="lessThan" dxfId="1">
      <formula>0</formula>
    </cfRule>
    <cfRule type="cellIs" priority="176" operator="greaterThan" dxfId="0">
      <formula>0.0001</formula>
    </cfRule>
  </conditionalFormatting>
  <conditionalFormatting sqref="Q19">
    <cfRule type="cellIs" priority="172" operator="greaterThan" dxfId="0">
      <formula>0.75</formula>
    </cfRule>
    <cfRule type="cellIs" priority="173" operator="between" dxfId="1036">
      <formula>0.301</formula>
      <formula>0.7499</formula>
    </cfRule>
    <cfRule type="cellIs" priority="174" operator="lessThan" dxfId="1">
      <formula>0.3</formula>
    </cfRule>
  </conditionalFormatting>
  <conditionalFormatting sqref="Y43">
    <cfRule type="cellIs" priority="170" operator="lessThan" dxfId="1">
      <formula>0</formula>
    </cfRule>
    <cfRule type="cellIs" priority="171" operator="greaterThan" dxfId="0">
      <formula>0</formula>
    </cfRule>
  </conditionalFormatting>
  <conditionalFormatting sqref="X36">
    <cfRule type="cellIs" priority="150" operator="lessThan" dxfId="1">
      <formula>0</formula>
    </cfRule>
    <cfRule type="cellIs" priority="147" operator="lessThan" dxfId="1">
      <formula>0</formula>
    </cfRule>
    <cfRule type="cellIs" priority="146" operator="lessThan" dxfId="1">
      <formula>0</formula>
    </cfRule>
    <cfRule type="cellIs" priority="148" operator="lessThan" dxfId="1">
      <formula>0</formula>
    </cfRule>
    <cfRule type="cellIs" priority="145" operator="lessThan" dxfId="1">
      <formula>0</formula>
    </cfRule>
    <cfRule type="cellIs" priority="149" operator="greaterThan" dxfId="0">
      <formula>0</formula>
    </cfRule>
    <cfRule type="cellIs" priority="144" operator="lessThan" dxfId="1">
      <formula>0</formula>
    </cfRule>
  </conditionalFormatting>
  <conditionalFormatting sqref="X151:X161">
    <cfRule type="cellIs" priority="169" operator="lessThan" dxfId="1">
      <formula>0</formula>
    </cfRule>
  </conditionalFormatting>
  <conditionalFormatting sqref="Y37">
    <cfRule type="cellIs" priority="161" operator="lessThan" dxfId="1">
      <formula>0</formula>
    </cfRule>
    <cfRule type="cellIs" priority="160" operator="greaterThan" dxfId="0">
      <formula>0</formula>
    </cfRule>
  </conditionalFormatting>
  <conditionalFormatting sqref="X130:X137">
    <cfRule type="cellIs" priority="159" operator="lessThan" dxfId="1">
      <formula>0</formula>
    </cfRule>
  </conditionalFormatting>
  <conditionalFormatting sqref="K6:V17 K18:W18">
    <cfRule type="cellIs" priority="158" operator="lessThan" dxfId="1">
      <formula>0</formula>
    </cfRule>
  </conditionalFormatting>
  <conditionalFormatting sqref="K33:V42">
    <cfRule type="aboveAverage" priority="155" dxfId="1865"/>
    <cfRule type="aboveAverage" priority="151" dxfId="1865"/>
    <cfRule type="aboveAverage" priority="105" dxfId="1865"/>
    <cfRule type="aboveAverage" priority="104" dxfId="1865"/>
  </conditionalFormatting>
  <conditionalFormatting sqref="X68:X80">
    <cfRule type="cellIs" priority="152" operator="greaterThan" dxfId="1255">
      <formula>0</formula>
    </cfRule>
    <cfRule type="cellIs" priority="154" operator="lessThan" dxfId="1">
      <formula>0</formula>
    </cfRule>
    <cfRule type="cellIs" priority="153" operator="greaterThan" dxfId="0">
      <formula>0</formula>
    </cfRule>
  </conditionalFormatting>
  <conditionalFormatting sqref="Y36">
    <cfRule type="cellIs" priority="143" operator="lessThan" dxfId="1">
      <formula>0</formula>
    </cfRule>
    <cfRule type="cellIs" priority="142" operator="greaterThan" dxfId="0">
      <formula>0</formula>
    </cfRule>
  </conditionalFormatting>
  <conditionalFormatting sqref="L170:V170">
    <cfRule type="cellIs" priority="137" operator="lessThan" dxfId="1">
      <formula>0</formula>
    </cfRule>
  </conditionalFormatting>
  <conditionalFormatting sqref="K76:V76">
    <cfRule type="cellIs" priority="140" operator="lessThan" dxfId="1">
      <formula>0</formula>
    </cfRule>
    <cfRule type="cellIs" priority="141" operator="greaterThan" dxfId="0">
      <formula>0.1</formula>
    </cfRule>
  </conditionalFormatting>
  <conditionalFormatting sqref="K83:K94">
    <cfRule type="cellIs" priority="139" operator="lessThan" dxfId="1">
      <formula>0</formula>
    </cfRule>
  </conditionalFormatting>
  <conditionalFormatting sqref="L83:V83">
    <cfRule type="cellIs" priority="138" operator="lessThan" dxfId="1">
      <formula>0</formula>
    </cfRule>
  </conditionalFormatting>
  <conditionalFormatting sqref="Y19:Y23">
    <cfRule type="cellIs" priority="136" operator="lessThan" dxfId="1">
      <formula>0</formula>
    </cfRule>
    <cfRule type="cellIs" priority="135" operator="greaterThan" dxfId="0">
      <formula>0</formula>
    </cfRule>
  </conditionalFormatting>
  <conditionalFormatting sqref="X35">
    <cfRule type="cellIs" priority="124" operator="lessThan" dxfId="1">
      <formula>0</formula>
    </cfRule>
    <cfRule type="cellIs" priority="128" operator="lessThan" dxfId="1">
      <formula>0</formula>
    </cfRule>
    <cfRule type="cellIs" priority="127" operator="lessThan" dxfId="1">
      <formula>0</formula>
    </cfRule>
    <cfRule type="cellIs" priority="126" operator="lessThan" dxfId="1">
      <formula>0</formula>
    </cfRule>
    <cfRule type="cellIs" priority="125" operator="lessThan" dxfId="1">
      <formula>0</formula>
    </cfRule>
    <cfRule type="cellIs" priority="130" operator="lessThan" dxfId="1">
      <formula>0</formula>
    </cfRule>
    <cfRule type="cellIs" priority="129" operator="greaterThan" dxfId="0">
      <formula>0</formula>
    </cfRule>
  </conditionalFormatting>
  <conditionalFormatting sqref="Y7:Y18">
    <cfRule type="cellIs" priority="134" operator="lessThan" dxfId="1">
      <formula>0</formula>
    </cfRule>
    <cfRule type="cellIs" priority="133" operator="greaterThan" dxfId="0">
      <formula>0</formula>
    </cfRule>
  </conditionalFormatting>
  <conditionalFormatting sqref="Y35">
    <cfRule type="cellIs" priority="123" operator="lessThan" dxfId="1">
      <formula>0</formula>
    </cfRule>
    <cfRule type="cellIs" priority="122" operator="greaterThan" dxfId="0">
      <formula>0</formula>
    </cfRule>
  </conditionalFormatting>
  <conditionalFormatting sqref="K129:K137">
    <cfRule type="cellIs" priority="121" operator="lessThan" dxfId="1">
      <formula>0</formula>
    </cfRule>
  </conditionalFormatting>
  <conditionalFormatting sqref="L129:V129">
    <cfRule type="cellIs" priority="120" operator="lessThan" dxfId="1">
      <formula>0</formula>
    </cfRule>
  </conditionalFormatting>
  <conditionalFormatting sqref="K150:K160">
    <cfRule type="cellIs" priority="119" operator="lessThan" dxfId="1">
      <formula>0</formula>
    </cfRule>
  </conditionalFormatting>
  <conditionalFormatting sqref="L150:V150">
    <cfRule type="cellIs" priority="118" operator="lessThan" dxfId="1">
      <formula>0</formula>
    </cfRule>
  </conditionalFormatting>
  <conditionalFormatting sqref="E31">
    <cfRule type="cellIs" priority="117" operator="lessThan" dxfId="1">
      <formula>0</formula>
    </cfRule>
  </conditionalFormatting>
  <conditionalFormatting sqref="E30">
    <cfRule type="cellIs" priority="116" operator="lessThan" dxfId="1">
      <formula>0</formula>
    </cfRule>
  </conditionalFormatting>
  <conditionalFormatting sqref="S34">
    <cfRule type="aboveAverage" priority="115" dxfId="1865"/>
    <cfRule type="aboveAverage" priority="114" dxfId="1865"/>
  </conditionalFormatting>
  <conditionalFormatting sqref="T34">
    <cfRule type="aboveAverage" priority="113" dxfId="1865"/>
    <cfRule type="aboveAverage" priority="112" dxfId="1865"/>
  </conditionalFormatting>
  <conditionalFormatting sqref="U34">
    <cfRule type="aboveAverage" priority="111" dxfId="1865"/>
    <cfRule type="aboveAverage" priority="110" dxfId="1865"/>
    <cfRule type="aboveAverage" priority="109" dxfId="1865"/>
    <cfRule type="aboveAverage" priority="108" dxfId="1865"/>
  </conditionalFormatting>
  <conditionalFormatting sqref="V31:V34">
    <cfRule type="cellIs" priority="107" operator="lessThan" dxfId="1">
      <formula>0</formula>
    </cfRule>
  </conditionalFormatting>
  <conditionalFormatting sqref="E32">
    <cfRule type="cellIs" priority="106" operator="lessThan" dxfId="1">
      <formula>0</formula>
    </cfRule>
  </conditionalFormatting>
  <conditionalFormatting sqref="X30:X34">
    <cfRule type="cellIs" priority="97" operator="lessThan" dxfId="1">
      <formula>0</formula>
    </cfRule>
    <cfRule type="cellIs" priority="101" operator="lessThan" dxfId="1">
      <formula>0</formula>
    </cfRule>
    <cfRule type="cellIs" priority="100" operator="lessThan" dxfId="1">
      <formula>0</formula>
    </cfRule>
    <cfRule type="cellIs" priority="99" operator="lessThan" dxfId="1">
      <formula>0</formula>
    </cfRule>
    <cfRule type="cellIs" priority="98" operator="lessThan" dxfId="1">
      <formula>0</formula>
    </cfRule>
    <cfRule type="cellIs" priority="103" operator="lessThan" dxfId="1">
      <formula>0</formula>
    </cfRule>
    <cfRule type="cellIs" priority="102" operator="greaterThan" dxfId="0">
      <formula>0</formula>
    </cfRule>
  </conditionalFormatting>
  <conditionalFormatting sqref="L28:P29 O25:P25">
    <cfRule type="cellIs" priority="96" operator="lessThan" dxfId="1">
      <formula>0</formula>
    </cfRule>
  </conditionalFormatting>
  <conditionalFormatting sqref="O25:P25">
    <cfRule type="cellIs" priority="87" operator="greaterThan" dxfId="0">
      <formula>935</formula>
    </cfRule>
    <cfRule type="cellIs" priority="88" operator="lessThan" dxfId="1">
      <formula>935</formula>
    </cfRule>
    <cfRule type="cellIs" priority="95" operator="lessThan" dxfId="1">
      <formula>0</formula>
    </cfRule>
  </conditionalFormatting>
  <conditionalFormatting sqref="K22:W22 W23">
    <cfRule type="aboveAverage" priority="94" dxfId="1865"/>
    <cfRule type="cellIs" priority="91" operator="between" dxfId="2881">
      <formula>1601</formula>
      <formula>1800</formula>
    </cfRule>
  </conditionalFormatting>
  <conditionalFormatting sqref="W23">
    <cfRule type="aboveAverage" priority="93" dxfId="1865"/>
    <cfRule type="aboveAverage" priority="92" dxfId="1865"/>
  </conditionalFormatting>
  <conditionalFormatting sqref="K22:V22 W23">
    <cfRule type="cellIs" priority="89" operator="lessThan" dxfId="1">
      <formula>1600</formula>
    </cfRule>
    <cfRule type="cellIs" priority="90" operator="greaterThan" dxfId="0">
      <formula>1801</formula>
    </cfRule>
  </conditionalFormatting>
  <conditionalFormatting sqref="G6:G17">
    <cfRule type="cellIs" priority="84" operator="lessThan" dxfId="1">
      <formula>0.04</formula>
    </cfRule>
    <cfRule type="cellIs" priority="85" operator="between" dxfId="26">
      <formula>0.04</formula>
      <formula>0.09</formula>
    </cfRule>
    <cfRule type="cellIs" priority="86" operator="greaterThan" dxfId="0">
      <formula>10%</formula>
    </cfRule>
  </conditionalFormatting>
  <conditionalFormatting sqref="H6:H17">
    <cfRule type="cellIs" priority="81" operator="lessThan" dxfId="1">
      <formula>0.04</formula>
    </cfRule>
    <cfRule type="cellIs" priority="82" operator="between" dxfId="26">
      <formula>0.04</formula>
      <formula>0.09</formula>
    </cfRule>
    <cfRule type="cellIs" priority="83" operator="greaterThan" dxfId="0">
      <formula>10%</formula>
    </cfRule>
  </conditionalFormatting>
  <conditionalFormatting sqref="K32:V32">
    <cfRule type="aboveAverage" priority="80" dxfId="1865"/>
    <cfRule type="aboveAverage" priority="79" dxfId="1865"/>
    <cfRule type="aboveAverage" priority="78" dxfId="1865"/>
    <cfRule type="aboveAverage" priority="77" dxfId="1865"/>
  </conditionalFormatting>
  <conditionalFormatting sqref="D9">
    <cfRule type="cellIs" priority="75" operator="lessThan" dxfId="1">
      <formula>0</formula>
    </cfRule>
    <cfRule type="cellIs" priority="76" operator="greaterThan" dxfId="0">
      <formula>0.01</formula>
    </cfRule>
  </conditionalFormatting>
  <conditionalFormatting sqref="D5">
    <cfRule type="cellIs" priority="73" operator="greaterThan" dxfId="0">
      <formula>15.01</formula>
    </cfRule>
    <cfRule type="cellIs" priority="74" operator="lessThan" dxfId="1">
      <formula>15</formula>
    </cfRule>
  </conditionalFormatting>
  <conditionalFormatting sqref="K31:V31">
    <cfRule type="aboveAverage" priority="71" dxfId="1865"/>
    <cfRule type="aboveAverage" priority="70" dxfId="1865"/>
    <cfRule type="aboveAverage" priority="69" dxfId="1865"/>
    <cfRule type="aboveAverage" priority="68" dxfId="1865"/>
  </conditionalFormatting>
  <conditionalFormatting sqref="A147">
    <cfRule type="cellIs" priority="58" operator="lessThan" dxfId="1">
      <formula>0</formula>
    </cfRule>
  </conditionalFormatting>
  <conditionalFormatting sqref="E147">
    <cfRule type="cellIs" priority="56" operator="lessThan" dxfId="1">
      <formula>0</formula>
    </cfRule>
  </conditionalFormatting>
  <conditionalFormatting sqref="D69">
    <cfRule type="cellIs" priority="55" operator="lessThan" dxfId="1">
      <formula>0</formula>
    </cfRule>
  </conditionalFormatting>
  <conditionalFormatting sqref="F48:F64">
    <cfRule type="cellIs" priority="52" operator="lessThan" dxfId="1">
      <formula>0</formula>
    </cfRule>
  </conditionalFormatting>
  <conditionalFormatting sqref="D66:G66">
    <cfRule type="cellIs" priority="51" operator="lessThan" dxfId="1">
      <formula>0</formula>
    </cfRule>
  </conditionalFormatting>
  <conditionalFormatting sqref="E66">
    <cfRule type="cellIs" priority="45" operator="lessThan" dxfId="1">
      <formula>0</formula>
    </cfRule>
  </conditionalFormatting>
  <conditionalFormatting sqref="F66">
    <cfRule type="cellIs" priority="44" operator="lessThan" dxfId="1">
      <formula>0</formula>
    </cfRule>
  </conditionalFormatting>
  <conditionalFormatting sqref="G66">
    <cfRule type="cellIs" priority="43" operator="lessThan" dxfId="1">
      <formula>0</formula>
    </cfRule>
  </conditionalFormatting>
  <conditionalFormatting sqref="E64">
    <cfRule type="cellIs" priority="42" operator="lessThan" dxfId="1">
      <formula>0</formula>
    </cfRule>
  </conditionalFormatting>
  <conditionalFormatting sqref="K30 M30 O30 Q30 S30 U30">
    <cfRule type="cellIs" priority="37" operator="lessThan" dxfId="1">
      <formula>0</formula>
    </cfRule>
  </conditionalFormatting>
  <conditionalFormatting sqref="K30:V30">
    <cfRule type="aboveAverage" priority="36" dxfId="1865"/>
    <cfRule type="aboveAverage" priority="35" dxfId="1865"/>
    <cfRule type="aboveAverage" priority="34" dxfId="1865"/>
    <cfRule type="aboveAverage" priority="33" dxfId="1865"/>
  </conditionalFormatting>
  <conditionalFormatting sqref="L84:U94">
    <cfRule type="cellIs" priority="32" operator="lessThan" dxfId="1">
      <formula>0</formula>
    </cfRule>
  </conditionalFormatting>
  <conditionalFormatting sqref="V84:V94">
    <cfRule type="cellIs" priority="31" operator="lessThan" dxfId="1">
      <formula>0</formula>
    </cfRule>
  </conditionalFormatting>
  <conditionalFormatting sqref="L130:U137">
    <cfRule type="cellIs" priority="30" operator="lessThan" dxfId="1">
      <formula>0</formula>
    </cfRule>
  </conditionalFormatting>
  <conditionalFormatting sqref="V130:V137">
    <cfRule type="cellIs" priority="29" operator="lessThan" dxfId="1">
      <formula>0</formula>
    </cfRule>
  </conditionalFormatting>
  <conditionalFormatting sqref="L151:V160">
    <cfRule type="cellIs" priority="28" operator="lessThan" dxfId="1">
      <formula>0</formula>
    </cfRule>
  </conditionalFormatting>
  <conditionalFormatting sqref="E308:E317">
    <cfRule type="cellIs" priority="27" operator="lessThan" dxfId="1">
      <formula>0</formula>
    </cfRule>
  </conditionalFormatting>
  <conditionalFormatting sqref="E50">
    <cfRule type="cellIs" priority="26" operator="lessThan" dxfId="1">
      <formula>0</formula>
    </cfRule>
  </conditionalFormatting>
  <conditionalFormatting sqref="E235:E236">
    <cfRule type="cellIs" priority="25" operator="lessThan" dxfId="1">
      <formula>0</formula>
    </cfRule>
  </conditionalFormatting>
  <conditionalFormatting sqref="E215:E216">
    <cfRule type="cellIs" priority="24" operator="lessThan" dxfId="1">
      <formula>0</formula>
    </cfRule>
  </conditionalFormatting>
  <conditionalFormatting sqref="E212">
    <cfRule type="cellIs" priority="23" operator="lessThan" dxfId="1">
      <formula>0</formula>
    </cfRule>
  </conditionalFormatting>
  <conditionalFormatting sqref="K52:W63">
    <cfRule type="cellIs" priority="21" operator="lessThan" dxfId="1">
      <formula>0</formula>
    </cfRule>
    <cfRule type="cellIs" priority="22" operator="greaterThan" dxfId="0">
      <formula>0.1</formula>
    </cfRule>
  </conditionalFormatting>
  <conditionalFormatting sqref="K64">
    <cfRule type="cellIs" priority="19" operator="lessThan" dxfId="1">
      <formula>0</formula>
    </cfRule>
    <cfRule type="cellIs" priority="20" operator="greaterThan" dxfId="0">
      <formula>0.1</formula>
    </cfRule>
  </conditionalFormatting>
  <conditionalFormatting sqref="W52">
    <cfRule type="cellIs" priority="17" operator="lessThan" dxfId="1">
      <formula>0</formula>
    </cfRule>
    <cfRule type="cellIs" priority="18" operator="greaterThan" dxfId="0">
      <formula>0.1</formula>
    </cfRule>
  </conditionalFormatting>
  <conditionalFormatting sqref="L52:V55 L53:N63 L57:V59 L61:V63">
    <cfRule type="cellIs" priority="15" operator="lessThan" dxfId="1">
      <formula>0</formula>
    </cfRule>
    <cfRule type="cellIs" priority="16" operator="greaterThan" dxfId="0">
      <formula>0.1</formula>
    </cfRule>
  </conditionalFormatting>
  <conditionalFormatting sqref="K56:V56">
    <cfRule type="cellIs" priority="13" operator="lessThan" dxfId="1">
      <formula>0</formula>
    </cfRule>
    <cfRule type="cellIs" priority="14" operator="greaterThan" dxfId="0">
      <formula>0.1</formula>
    </cfRule>
    <cfRule type="cellIs" priority="11" operator="lessThan" dxfId="1">
      <formula>0</formula>
    </cfRule>
    <cfRule type="cellIs" priority="12" operator="greaterThan" dxfId="0">
      <formula>0.1</formula>
    </cfRule>
  </conditionalFormatting>
  <conditionalFormatting sqref="L56:V56">
    <cfRule type="cellIs" priority="9" operator="lessThan" dxfId="1">
      <formula>0</formula>
    </cfRule>
    <cfRule type="cellIs" priority="10" operator="greaterThan" dxfId="0">
      <formula>0.1</formula>
    </cfRule>
    <cfRule type="cellIs" priority="7" operator="lessThan" dxfId="1">
      <formula>0</formula>
    </cfRule>
    <cfRule type="cellIs" priority="8" operator="greaterThan" dxfId="0">
      <formula>0.1</formula>
    </cfRule>
  </conditionalFormatting>
  <conditionalFormatting sqref="L64:W64">
    <cfRule type="cellIs" priority="5" operator="lessThan" dxfId="1">
      <formula>0</formula>
    </cfRule>
    <cfRule type="cellIs" priority="6" operator="greaterThan" dxfId="0">
      <formula>0.1</formula>
    </cfRule>
  </conditionalFormatting>
  <conditionalFormatting sqref="K60:V60">
    <cfRule type="cellIs" priority="3" operator="lessThan" dxfId="1">
      <formula>0</formula>
    </cfRule>
    <cfRule type="cellIs" priority="4" operator="greaterThan" dxfId="0">
      <formula>0.1</formula>
    </cfRule>
  </conditionalFormatting>
  <conditionalFormatting sqref="W53:W63">
    <cfRule type="cellIs" priority="1" operator="lessThan" dxfId="1">
      <formula>0</formula>
    </cfRule>
    <cfRule type="cellIs" priority="2" operator="greaterThan" dxfId="0">
      <formula>0.1</formula>
    </cfRule>
  </conditionalFormatting>
  <dataValidations count="4">
    <dataValidation sqref="C15:C19 C355:C358 C360:C368 C370:C397 C399:C402 C405:C409 C411 C413:C414 C416:C438 C440:C474 C477:C488 C490:C519 C521:C573 C576:C610" showDropDown="0" showInputMessage="1" showErrorMessage="1" allowBlank="1" type="list">
      <formula1>$I$5:$I$45</formula1>
    </dataValidation>
    <dataValidation sqref="C20:C27 C29:C33 C35:C42 C45 C47:C143" showDropDown="0" showInputMessage="1" showErrorMessage="1" allowBlank="1" type="list">
      <formula1>$I$4:$I$42</formula1>
    </dataValidation>
    <dataValidation sqref="C192:C354" showDropDown="0" showInputMessage="1" showErrorMessage="1" allowBlank="1" type="list">
      <formula1>$I$6:$I$17</formula1>
    </dataValidation>
    <dataValidation sqref="I201:I354" showDropDown="0" showInputMessage="0" showErrorMessage="0" allowBlank="1" type="list">
      <formula1>=ProductList!$A$2:$A$100</formula1>
    </dataValidation>
  </dataValidations>
  <pageMargins left="0.25" right="0.25" top="0.75" bottom="0.75" header="0.3" footer="0.3"/>
  <pageSetup orientation="landscape" paperSize="9" scale="14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>
    <outlinePr summaryBelow="1" summaryRight="1"/>
    <pageSetUpPr fitToPage="1"/>
  </sheetPr>
  <dimension ref="A1:AJ693"/>
  <sheetViews>
    <sheetView showZeros="0" topLeftCell="A24" zoomScaleNormal="100" workbookViewId="0">
      <selection activeCell="I50" sqref="I50:W63"/>
    </sheetView>
  </sheetViews>
  <sheetFormatPr baseColWidth="8" defaultColWidth="9.1328125" defaultRowHeight="12.75"/>
  <cols>
    <col width="9.796875" bestFit="1" customWidth="1" style="1255" min="1" max="1"/>
    <col width="19.33203125" bestFit="1" customWidth="1" style="1255" min="2" max="2"/>
    <col width="26.86328125" bestFit="1" customWidth="1" style="1255" min="3" max="3"/>
    <col width="18.796875" customWidth="1" style="1255" min="4" max="4"/>
    <col width="11" bestFit="1" customWidth="1" style="1256" min="5" max="5"/>
    <col width="16.33203125" customWidth="1" style="1255" min="6" max="6"/>
    <col width="13.46484375" customWidth="1" style="1255" min="7" max="7"/>
    <col width="11.53125" customWidth="1" style="1255" min="8" max="8"/>
    <col width="30.1328125" bestFit="1" customWidth="1" style="1255" min="9" max="9"/>
    <col width="16.46484375" bestFit="1" customWidth="1" style="1255" min="10" max="10"/>
    <col width="8.86328125" customWidth="1" style="1255" min="11" max="11"/>
    <col width="7.46484375" bestFit="1" customWidth="1" style="1255" min="12" max="12"/>
    <col width="7.796875" customWidth="1" style="1255" min="13" max="13"/>
    <col width="7.46484375" customWidth="1" style="1255" min="14" max="14"/>
    <col width="7.796875" customWidth="1" style="1255" min="15" max="22"/>
    <col width="8.3984375" customWidth="1" style="1255" min="23" max="23"/>
    <col width="12.1328125" bestFit="1" customWidth="1" style="1255" min="24" max="24"/>
    <col width="10.19921875" customWidth="1" style="1255" min="25" max="25"/>
    <col width="8.796875" customWidth="1" style="1255" min="26" max="26"/>
    <col width="10.1328125" customWidth="1" style="1255" min="27" max="27"/>
    <col width="12.1328125" customWidth="1" style="1255" min="28" max="28"/>
    <col width="3.1328125" customWidth="1" style="1255" min="29" max="29"/>
    <col width="13.33203125" customWidth="1" style="1255" min="30" max="31"/>
    <col width="12" bestFit="1" customWidth="1" style="1255" min="32" max="32"/>
    <col width="11.53125" bestFit="1" customWidth="1" style="1255" min="33" max="33"/>
    <col width="12" bestFit="1" customWidth="1" style="1255" min="34" max="34"/>
    <col width="9" bestFit="1" customWidth="1" style="1255" min="35" max="35"/>
    <col width="9.1328125" customWidth="1" style="1255" min="36" max="16384"/>
  </cols>
  <sheetData>
    <row r="1" ht="20.65" customHeight="1" s="1232">
      <c r="C1" s="1257">
        <f>NOW()</f>
        <v/>
      </c>
      <c r="D1" s="1258" t="n"/>
      <c r="I1" s="1259" t="inlineStr">
        <is>
          <t>2025 - Year 13</t>
        </is>
      </c>
      <c r="J1" s="1260" t="inlineStr">
        <is>
          <t>Covid Factor</t>
        </is>
      </c>
      <c r="K1" s="1261" t="n">
        <v>0</v>
      </c>
      <c r="L1" s="1261" t="n">
        <v>0</v>
      </c>
      <c r="M1" s="1261" t="n">
        <v>0</v>
      </c>
      <c r="N1" s="1261" t="n">
        <v>0</v>
      </c>
      <c r="O1" s="1261" t="n">
        <v>0</v>
      </c>
      <c r="P1" s="1261" t="n">
        <v>0</v>
      </c>
      <c r="Q1" s="1261" t="n">
        <v>0</v>
      </c>
      <c r="R1" s="1261" t="n">
        <v>0</v>
      </c>
      <c r="S1" s="1261" t="n">
        <v>0</v>
      </c>
      <c r="T1" s="1261" t="n">
        <v>0</v>
      </c>
      <c r="U1" s="1261" t="n">
        <v>0</v>
      </c>
      <c r="V1" s="1261" t="n">
        <v>0</v>
      </c>
      <c r="W1" s="1262">
        <f>SUM(K1:V1)</f>
        <v/>
      </c>
      <c r="AA1" s="1260" t="n"/>
    </row>
    <row r="2" ht="15" customHeight="1" s="1232">
      <c r="C2" s="1263" t="inlineStr">
        <is>
          <t>Working Days Left</t>
        </is>
      </c>
      <c r="D2" s="993">
        <f>NETWORKDAYS(TODAY(),EOMONTH(TODAY(),0))</f>
        <v/>
      </c>
      <c r="E2" s="1264" t="n"/>
      <c r="F2" s="1265" t="n"/>
      <c r="J2" s="1260" t="inlineStr">
        <is>
          <t>Weighting</t>
        </is>
      </c>
      <c r="K2" s="1266">
        <f>SUM(K43/$W43)</f>
        <v/>
      </c>
      <c r="L2" s="1266">
        <f>SUM(L43/$W43)</f>
        <v/>
      </c>
      <c r="M2" s="1266">
        <f>SUM(M43/$W43)</f>
        <v/>
      </c>
      <c r="N2" s="1266">
        <f>SUM(N43/$W43)</f>
        <v/>
      </c>
      <c r="O2" s="1266">
        <f>SUM(O43/$W43)</f>
        <v/>
      </c>
      <c r="P2" s="1266">
        <f>SUM(P43/$W43)</f>
        <v/>
      </c>
      <c r="Q2" s="1266">
        <f>SUM(Q43/$W43)</f>
        <v/>
      </c>
      <c r="R2" s="1266">
        <f>SUM(R43/$W43)</f>
        <v/>
      </c>
      <c r="S2" s="1266">
        <f>SUM(S43/$W43)</f>
        <v/>
      </c>
      <c r="T2" s="1266">
        <f>SUM(T43/$W43)</f>
        <v/>
      </c>
      <c r="U2" s="1266">
        <f>SUM(U43/$W43)</f>
        <v/>
      </c>
      <c r="V2" s="1266">
        <f>SUM(V43/$W43)</f>
        <v/>
      </c>
      <c r="W2" s="1267">
        <f>SUM(K2:V2)</f>
        <v/>
      </c>
      <c r="AD2" s="1268" t="inlineStr">
        <is>
          <t>FY</t>
        </is>
      </c>
      <c r="AE2" s="1268" t="n"/>
      <c r="AF2" s="1268" t="inlineStr">
        <is>
          <t>Total</t>
        </is>
      </c>
      <c r="AG2" s="1260" t="inlineStr">
        <is>
          <t>Apr to Dec</t>
        </is>
      </c>
      <c r="AH2" s="1260" t="inlineStr">
        <is>
          <t>Jan to Mar</t>
        </is>
      </c>
      <c r="AI2" s="1260" t="inlineStr">
        <is>
          <t>% Inc</t>
        </is>
      </c>
    </row>
    <row r="3" ht="26.25" customHeight="1" s="1232">
      <c r="C3" s="1269" t="inlineStr">
        <is>
          <t>Working Days gone</t>
        </is>
      </c>
      <c r="D3" s="993">
        <f>25-D2</f>
        <v/>
      </c>
      <c r="E3" s="1270" t="n"/>
      <c r="F3" s="1271" t="n"/>
      <c r="G3" s="1272" t="inlineStr">
        <is>
          <t>Gross Margin Share</t>
        </is>
      </c>
      <c r="H3" s="1272" t="inlineStr">
        <is>
          <t>Sales Share</t>
        </is>
      </c>
      <c r="I3" s="1250" t="n"/>
      <c r="J3" s="1251" t="inlineStr">
        <is>
          <t>Monthly Target</t>
        </is>
      </c>
      <c r="K3" s="737">
        <f>SUM(K2+K1)*$J19</f>
        <v/>
      </c>
      <c r="L3" s="737">
        <f>SUM(L2+L1)*$J19</f>
        <v/>
      </c>
      <c r="M3" s="737">
        <f>SUM(M2+M1)*$J19</f>
        <v/>
      </c>
      <c r="N3" s="737">
        <f>SUM(N2+N1)*$J19</f>
        <v/>
      </c>
      <c r="O3" s="737">
        <f>SUM(O2+O1)*$J19</f>
        <v/>
      </c>
      <c r="P3" s="737">
        <f>SUM(P2+P1)*$J19</f>
        <v/>
      </c>
      <c r="Q3" s="737">
        <f>SUM(Q2+Q1)*$J19</f>
        <v/>
      </c>
      <c r="R3" s="737">
        <f>SUM(R2+R1)*$J19</f>
        <v/>
      </c>
      <c r="S3" s="737">
        <f>SUM(S2+S1)*$J19</f>
        <v/>
      </c>
      <c r="T3" s="737">
        <f>SUM(T2+T1)*$J19</f>
        <v/>
      </c>
      <c r="U3" s="737">
        <f>SUM(U2+U1)*$J19</f>
        <v/>
      </c>
      <c r="V3" s="737">
        <f>SUM(V2+V1)*$J19</f>
        <v/>
      </c>
      <c r="W3" s="805">
        <f>SUM(K3:V3)</f>
        <v/>
      </c>
      <c r="AA3" s="1273" t="inlineStr">
        <is>
          <t>Month No'</t>
        </is>
      </c>
      <c r="AB3" s="820" t="n">
        <v>12</v>
      </c>
      <c r="AD3" s="1255" t="n">
        <v>0.9995056846267919</v>
      </c>
      <c r="AF3" s="1268" t="n"/>
    </row>
    <row r="4" ht="15" customHeight="1" s="1232">
      <c r="C4" s="1269" t="inlineStr">
        <is>
          <t>Average per day to date</t>
        </is>
      </c>
      <c r="D4" s="1187">
        <f>V18/D3</f>
        <v/>
      </c>
      <c r="E4" s="1270" t="n"/>
      <c r="F4" s="1271" t="n"/>
      <c r="I4" s="1250" t="n"/>
      <c r="J4" s="1251" t="inlineStr">
        <is>
          <t>Working Days</t>
        </is>
      </c>
      <c r="K4" s="737">
        <f>NETWORKDAYS(K5,EOMONTH(K5,0))</f>
        <v/>
      </c>
      <c r="L4" s="737">
        <f>NETWORKDAYS(L5,EOMONTH(L5,0))</f>
        <v/>
      </c>
      <c r="M4" s="737">
        <f>NETWORKDAYS(M5,EOMONTH(M5,0))</f>
        <v/>
      </c>
      <c r="N4" s="737">
        <f>NETWORKDAYS(N5,EOMONTH(N5,0))</f>
        <v/>
      </c>
      <c r="O4" s="737">
        <f>NETWORKDAYS(O5,EOMONTH(O5,0))</f>
        <v/>
      </c>
      <c r="P4" s="737">
        <f>NETWORKDAYS(P5,EOMONTH(P5,0))</f>
        <v/>
      </c>
      <c r="Q4" s="737">
        <f>NETWORKDAYS(Q5,EOMONTH(Q5,0))</f>
        <v/>
      </c>
      <c r="R4" s="737">
        <f>NETWORKDAYS(R5,EOMONTH(R5,0))</f>
        <v/>
      </c>
      <c r="S4" s="737">
        <f>NETWORKDAYS(S5,EOMONTH(S5,0))</f>
        <v/>
      </c>
      <c r="T4" s="737">
        <f>NETWORKDAYS(T5,EOMONTH(T5,0))</f>
        <v/>
      </c>
      <c r="U4" s="737">
        <f>NETWORKDAYS(U5,EOMONTH(U5,0))</f>
        <v/>
      </c>
      <c r="V4" s="737">
        <f>NETWORKDAYS(V5,EOMONTH(V5,0))</f>
        <v/>
      </c>
      <c r="W4" s="805">
        <f>SUM(K4:V4)</f>
        <v/>
      </c>
      <c r="AF4" s="1268" t="n"/>
    </row>
    <row r="5" ht="15" customHeight="1" s="1232">
      <c r="C5" s="1263" t="inlineStr">
        <is>
          <t>Per hour</t>
        </is>
      </c>
      <c r="D5" s="1065">
        <f>D4/8</f>
        <v/>
      </c>
      <c r="E5" s="1270" t="n"/>
      <c r="F5" s="1274" t="n"/>
      <c r="I5" s="1275" t="inlineStr">
        <is>
          <t>Tuition Categories</t>
        </is>
      </c>
      <c r="J5" s="1276" t="inlineStr">
        <is>
          <t>Target</t>
        </is>
      </c>
      <c r="K5" s="1277" t="n">
        <v>45292</v>
      </c>
      <c r="L5" s="1277" t="n">
        <v>45323</v>
      </c>
      <c r="M5" s="1277" t="n">
        <v>45352</v>
      </c>
      <c r="N5" s="1277" t="n">
        <v>45383</v>
      </c>
      <c r="O5" s="1277" t="n">
        <v>45413</v>
      </c>
      <c r="P5" s="1277" t="n">
        <v>45444</v>
      </c>
      <c r="Q5" s="1277" t="n">
        <v>45474</v>
      </c>
      <c r="R5" s="1277" t="n">
        <v>45505</v>
      </c>
      <c r="S5" s="1277" t="n">
        <v>45536</v>
      </c>
      <c r="T5" s="1277" t="n">
        <v>45566</v>
      </c>
      <c r="U5" s="1277" t="n">
        <v>45597</v>
      </c>
      <c r="V5" s="1277" t="n">
        <v>45627</v>
      </c>
      <c r="W5" s="1278" t="inlineStr">
        <is>
          <t>Year</t>
        </is>
      </c>
      <c r="X5" s="1279" t="inlineStr">
        <is>
          <t>Current Var</t>
        </is>
      </c>
      <c r="Y5" s="1280" t="inlineStr">
        <is>
          <t>Var YTD</t>
        </is>
      </c>
      <c r="Z5" s="1281" t="inlineStr">
        <is>
          <t>% YTD</t>
        </is>
      </c>
      <c r="AA5" s="1279" t="inlineStr">
        <is>
          <t>YTD Targ</t>
        </is>
      </c>
      <c r="AB5" s="1260" t="inlineStr">
        <is>
          <t>Avg.PM</t>
        </is>
      </c>
      <c r="AD5" s="1282" t="inlineStr">
        <is>
          <t>23/24</t>
        </is>
      </c>
      <c r="AE5" s="1260" t="inlineStr">
        <is>
          <t>Year 11</t>
        </is>
      </c>
      <c r="AF5" s="1283">
        <f>AG5+AH5</f>
        <v/>
      </c>
      <c r="AG5" s="1284">
        <f>SUM(N31:V31)</f>
        <v/>
      </c>
      <c r="AH5" s="1284">
        <f>SUM(K18:M18)</f>
        <v/>
      </c>
      <c r="AI5" s="445">
        <f>SUM(AF5-AF6)/AF6</f>
        <v/>
      </c>
    </row>
    <row r="6" ht="15.4" customHeight="1" s="1232" thickBot="1">
      <c r="C6" s="1285" t="inlineStr">
        <is>
          <t>Remaining Additional</t>
        </is>
      </c>
      <c r="D6" s="1188">
        <f>D2*D4</f>
        <v/>
      </c>
      <c r="E6" s="1270" t="n"/>
      <c r="F6" s="1274" t="n"/>
      <c r="G6" s="445">
        <f>W113/$W$125</f>
        <v/>
      </c>
      <c r="H6" s="445">
        <f>W6/$W$18</f>
        <v/>
      </c>
      <c r="I6" s="1286" t="inlineStr">
        <is>
          <t>1. Courses/masterclasses</t>
        </is>
      </c>
      <c r="J6" s="431" t="n">
        <v>800</v>
      </c>
      <c r="K6" s="432">
        <f>SUMIFS($E$209:$E$693,$A$209:$A$693,"&gt;31/12/2024",$A$209:$A$693,"&lt;1/2/2025",$C$209:$C$693,$I6)</f>
        <v/>
      </c>
      <c r="L6" s="432">
        <f>SUMIFS($E$209:$E$693,$A$209:$A$693,"&gt;31/1/2025",$A$209:$A$693,"&lt;1/3/2025",$C$209:$C$693,$I6)</f>
        <v/>
      </c>
      <c r="M6" s="432">
        <f>SUMIFS($E$209:$E$693,$A$209:$A$693,"&gt;28/2/2025",$A$209:$A$693,"&lt;1/4/2025",$C$209:$C$693,$I6)</f>
        <v/>
      </c>
      <c r="N6" s="432">
        <f>SUMIFS($E$209:$E$693,$A$209:$A$693,"&gt;31/3/2025",$A$209:$A$693,"&lt;1/5/2025",$C$209:$C$693,$I6)</f>
        <v/>
      </c>
      <c r="O6" s="432">
        <f>SUMIFS($E$209:$E$693,$A$209:$A$693,"&gt;30/4/2025",$A$209:$A$693,"&lt;1/6/2025",$C$209:$C$693,$I6)</f>
        <v/>
      </c>
      <c r="P6" s="432">
        <f>SUMIFS($E$209:$E$693,$A$209:$A$693,"&gt;31/5/2025",$A$209:$A$693,"&lt;1/7/2025",$C$209:$C$693,$I6)</f>
        <v/>
      </c>
      <c r="Q6" s="432">
        <f>SUMIFS($E$209:$E$693,$A$209:$A$693,"&gt;30/6/2025",$A$209:$A$693,"&lt;1/8/2025",$C$209:$C$693,$I6)</f>
        <v/>
      </c>
      <c r="R6" s="432">
        <f>SUMIFS($E$209:$E$693,$A$209:$A$693,"&gt;31/7/2025",$A$209:$A$693,"&lt;1/9/2025",$C$209:$C$693,$I6)</f>
        <v/>
      </c>
      <c r="S6" s="432">
        <f>SUMIFS($E$209:$E$693,$A$209:$A$693,"&gt;31/8/2025",$A$209:$A$693,"&lt;1/10/2025",$C$209:$C$693,$I6)</f>
        <v/>
      </c>
      <c r="T6" s="432">
        <f>SUMIFS($E$209:$E$693,$A$209:$A$693,"&gt;30/9/2025",$A$209:$A$693,"&lt;1/11/2025",$C$209:$C$693,$I6)</f>
        <v/>
      </c>
      <c r="U6" s="432">
        <f>SUMIFS($E$209:$E$693,$A$209:$A$693,"&gt;31/10/2025",$A$209:$A$693,"&lt;1/12/2025",$C$209:$C$693,$I6)</f>
        <v/>
      </c>
      <c r="V6" s="432">
        <f>SUMIFS($E$209:$E$693,$A$209:$A$693,"&gt;30/11/2025",$A$209:$A$693,"&lt;1/1/2026",$C$209:$C$693,$I6)</f>
        <v/>
      </c>
      <c r="W6" s="431">
        <f>SUM(K6:V6)</f>
        <v/>
      </c>
      <c r="X6" s="432">
        <f>SUM(V6-(J6*12)*(V$2+V$1))</f>
        <v/>
      </c>
      <c r="Y6" s="432">
        <f>W6-AA6</f>
        <v/>
      </c>
      <c r="Z6" s="433">
        <f>Y6/AA6</f>
        <v/>
      </c>
      <c r="AA6" s="818">
        <f>SUM(J6*12)*((K$2+K$1+L$1+L$2+M$1+M$2+N$1+N$2+O$1+O$2+P$1+P$2+Q$1+Q$2+R$1+R$2+S$1+S$2+T$1+T$2+U$1+U$2+V$1+V$2))</f>
        <v/>
      </c>
      <c r="AB6" s="817">
        <f>W6/$AB$3</f>
        <v/>
      </c>
      <c r="AD6" s="1282" t="inlineStr">
        <is>
          <t>22/23</t>
        </is>
      </c>
      <c r="AE6" s="1287" t="inlineStr">
        <is>
          <t>Year 10</t>
        </is>
      </c>
      <c r="AF6" s="1283">
        <f>AG6+AH6</f>
        <v/>
      </c>
      <c r="AG6" s="1284">
        <f>SUM(N32:V32)</f>
        <v/>
      </c>
      <c r="AH6" s="1284">
        <f>SUM(K31:M31)</f>
        <v/>
      </c>
      <c r="AI6" s="445">
        <f>SUM(AF6-AF7)/AF7</f>
        <v/>
      </c>
    </row>
    <row r="7" ht="15.4" customHeight="1" s="1232" thickTop="1">
      <c r="C7" s="1263" t="n"/>
      <c r="D7" s="1065" t="n"/>
      <c r="E7" s="1270" t="n"/>
      <c r="F7" s="1274" t="n"/>
      <c r="G7" s="445">
        <f>W114/$W$125</f>
        <v/>
      </c>
      <c r="H7" s="445">
        <f>W7/$W$18</f>
        <v/>
      </c>
      <c r="I7" s="1286" t="inlineStr">
        <is>
          <t>2. Workshops Non Residential</t>
        </is>
      </c>
      <c r="J7" s="431" t="n">
        <v>1200</v>
      </c>
      <c r="K7" s="432">
        <f>SUMIFS($E$209:$E$693,$A$209:$A$693,"&gt;31/12/2024",$A$209:$A$693,"&lt;1/2/2025",$C$209:$C$693,$I7)</f>
        <v/>
      </c>
      <c r="L7" s="432">
        <f>SUMIFS($E$209:$E$693,$A$209:$A$693,"&gt;31/1/2025",$A$209:$A$693,"&lt;1/3/2025",$C$209:$C$693,$I7)</f>
        <v/>
      </c>
      <c r="M7" s="432">
        <f>SUMIFS($E$209:$E$693,$A$209:$A$693,"&gt;28/2/2025",$A$209:$A$693,"&lt;1/4/2025",$C$209:$C$693,$I7)</f>
        <v/>
      </c>
      <c r="N7" s="432">
        <f>SUMIFS($E$209:$E$693,$A$209:$A$693,"&gt;31/3/2025",$A$209:$A$693,"&lt;1/5/2025",$C$209:$C$693,$I7)</f>
        <v/>
      </c>
      <c r="O7" s="432">
        <f>SUMIFS($E$209:$E$693,$A$209:$A$693,"&gt;30/4/2025",$A$209:$A$693,"&lt;1/6/2025",$C$209:$C$693,$I7)</f>
        <v/>
      </c>
      <c r="P7" s="432">
        <f>SUMIFS($E$209:$E$693,$A$209:$A$693,"&gt;31/5/2025",$A$209:$A$693,"&lt;1/7/2025",$C$209:$C$693,$I7)</f>
        <v/>
      </c>
      <c r="Q7" s="432">
        <f>SUMIFS($E$209:$E$693,$A$209:$A$693,"&gt;30/6/2025",$A$209:$A$693,"&lt;1/8/2025",$C$209:$C$693,$I7)</f>
        <v/>
      </c>
      <c r="R7" s="432">
        <f>SUMIFS($E$209:$E$693,$A$209:$A$693,"&gt;31/7/2025",$A$209:$A$693,"&lt;1/9/2025",$C$209:$C$693,$I7)</f>
        <v/>
      </c>
      <c r="S7" s="432">
        <f>SUMIFS($E$209:$E$693,$A$209:$A$693,"&gt;31/8/2025",$A$209:$A$693,"&lt;1/10/2025",$C$209:$C$693,$I7)</f>
        <v/>
      </c>
      <c r="T7" s="432">
        <f>SUMIFS($E$209:$E$693,$A$209:$A$693,"&gt;30/9/2025",$A$209:$A$693,"&lt;1/11/2025",$C$209:$C$693,$I7)</f>
        <v/>
      </c>
      <c r="U7" s="432">
        <f>SUMIFS($E$209:$E$693,$A$209:$A$693,"&gt;31/10/2025",$A$209:$A$693,"&lt;1/12/2025",$C$209:$C$693,$I7)</f>
        <v/>
      </c>
      <c r="V7" s="432">
        <f>SUMIFS($E$209:$E$693,$A$209:$A$693,"&gt;30/11/2025",$A$209:$A$693,"&lt;1/1/2026",$C$209:$C$693,$I7)</f>
        <v/>
      </c>
      <c r="W7" s="431">
        <f>SUM(K7:V7)</f>
        <v/>
      </c>
      <c r="X7" s="432">
        <f>SUM(V7-(J7*12)*(V$2+V$1))</f>
        <v/>
      </c>
      <c r="Y7" s="432">
        <f>W7-AA7</f>
        <v/>
      </c>
      <c r="Z7" s="433">
        <f>Y7/AA7</f>
        <v/>
      </c>
      <c r="AA7" s="818">
        <f>SUM(J7*12)*((K$2+K$1+L$1+L$2+M$1+M$2+N$1+N$2+O$1+O$2+P$1+P$2+Q$1+Q$2+R$1+R$2+S$1+S$2+T$1+T$2+U$1+U$2+V$1+V$2))</f>
        <v/>
      </c>
      <c r="AB7" s="817">
        <f>W7/$AB$3</f>
        <v/>
      </c>
      <c r="AD7" s="1282" t="inlineStr">
        <is>
          <t>21/22</t>
        </is>
      </c>
      <c r="AE7" s="1287" t="inlineStr">
        <is>
          <t>Year 9 (Covid-19)</t>
        </is>
      </c>
      <c r="AF7" s="1283">
        <f>AG7+AH7</f>
        <v/>
      </c>
      <c r="AG7" s="1284">
        <f>SUM(N33:V33)</f>
        <v/>
      </c>
      <c r="AH7" s="1284">
        <f>SUM(K32:M32)</f>
        <v/>
      </c>
      <c r="AI7" s="445">
        <f>SUM(AF7-AF9)/AF9</f>
        <v/>
      </c>
    </row>
    <row r="8" ht="15.4" customHeight="1" s="1232" thickBot="1">
      <c r="C8" s="1288" t="inlineStr">
        <is>
          <t>Current Month Forecast</t>
        </is>
      </c>
      <c r="D8" s="1188">
        <f>V18+D6</f>
        <v/>
      </c>
      <c r="E8" s="1024" t="n"/>
      <c r="F8" s="1274" t="n"/>
      <c r="G8" s="445">
        <f>W115/$W$125</f>
        <v/>
      </c>
      <c r="H8" s="445">
        <f>W8/$W$18</f>
        <v/>
      </c>
      <c r="I8" s="1289" t="inlineStr">
        <is>
          <t>3. Workshops Residential</t>
        </is>
      </c>
      <c r="J8" s="431" t="n">
        <v>1000</v>
      </c>
      <c r="K8" s="432">
        <f>SUMIFS($E$209:$E$693,$A$209:$A$693,"&gt;31/12/2024",$A$209:$A$693,"&lt;1/2/2025",$C$209:$C$693,$I8)</f>
        <v/>
      </c>
      <c r="L8" s="432">
        <f>SUMIFS($E$209:$E$693,$A$209:$A$693,"&gt;31/1/2025",$A$209:$A$693,"&lt;1/3/2025",$C$209:$C$693,$I8)</f>
        <v/>
      </c>
      <c r="M8" s="432">
        <f>SUMIFS($E$209:$E$693,$A$209:$A$693,"&gt;28/2/2025",$A$209:$A$693,"&lt;1/4/2025",$C$209:$C$693,$I8)</f>
        <v/>
      </c>
      <c r="N8" s="432">
        <f>SUMIFS($E$209:$E$693,$A$209:$A$693,"&gt;31/3/2025",$A$209:$A$693,"&lt;1/5/2025",$C$209:$C$693,$I8)</f>
        <v/>
      </c>
      <c r="O8" s="432">
        <f>SUMIFS($E$209:$E$693,$A$209:$A$693,"&gt;30/4/2025",$A$209:$A$693,"&lt;1/6/2025",$C$209:$C$693,$I8)</f>
        <v/>
      </c>
      <c r="P8" s="432">
        <f>SUMIFS($E$209:$E$693,$A$209:$A$693,"&gt;31/5/2025",$A$209:$A$693,"&lt;1/7/2025",$C$209:$C$693,$I8)</f>
        <v/>
      </c>
      <c r="Q8" s="432">
        <f>SUMIFS($E$209:$E$693,$A$209:$A$693,"&gt;30/6/2025",$A$209:$A$693,"&lt;1/8/2025",$C$209:$C$693,$I8)</f>
        <v/>
      </c>
      <c r="R8" s="432">
        <f>SUMIFS($E$209:$E$693,$A$209:$A$693,"&gt;31/7/2025",$A$209:$A$693,"&lt;1/9/2025",$C$209:$C$693,$I8)</f>
        <v/>
      </c>
      <c r="S8" s="432">
        <f>SUMIFS($E$209:$E$693,$A$209:$A$693,"&gt;31/8/2025",$A$209:$A$693,"&lt;1/10/2025",$C$209:$C$693,$I8)</f>
        <v/>
      </c>
      <c r="T8" s="432">
        <f>SUMIFS($E$209:$E$693,$A$209:$A$693,"&gt;30/9/2025",$A$209:$A$693,"&lt;1/11/2025",$C$209:$C$693,$I8)</f>
        <v/>
      </c>
      <c r="U8" s="432">
        <f>SUMIFS($E$209:$E$693,$A$209:$A$693,"&gt;31/10/2025",$A$209:$A$693,"&lt;1/12/2025",$C$209:$C$693,$I8)</f>
        <v/>
      </c>
      <c r="V8" s="432">
        <f>SUMIFS($E$209:$E$693,$A$209:$A$693,"&gt;30/11/2025",$A$209:$A$693,"&lt;1/1/2026",$C$209:$C$693,$I8)</f>
        <v/>
      </c>
      <c r="W8" s="431">
        <f>SUM(K8:V8)</f>
        <v/>
      </c>
      <c r="X8" s="432">
        <f>SUM(V8-(J8*12)*(V$2+V$1))</f>
        <v/>
      </c>
      <c r="Y8" s="432">
        <f>W8-AA8</f>
        <v/>
      </c>
      <c r="Z8" s="433">
        <f>Y8/AA8</f>
        <v/>
      </c>
      <c r="AA8" s="818">
        <f>SUM(J8*12)*((K$2+K$1+L$1+L$2+M$1+M$2+N$1+N$2+O$1+O$2+P$1+P$2+Q$1+Q$2+R$1+R$2+S$1+S$2+T$1+T$2+U$1+U$2+V$1+V$2))</f>
        <v/>
      </c>
      <c r="AB8" s="817">
        <f>W8/$AB$3</f>
        <v/>
      </c>
      <c r="AD8" s="1282" t="n"/>
      <c r="AE8" s="1287" t="n"/>
      <c r="AF8" s="1283" t="n"/>
      <c r="AG8" s="1284" t="n"/>
      <c r="AH8" s="1284" t="n"/>
      <c r="AI8" s="445" t="n"/>
    </row>
    <row r="9" ht="15.4" customHeight="1" s="1232" thickTop="1">
      <c r="C9" s="1269" t="inlineStr">
        <is>
          <t>Shortfall/Surplus</t>
        </is>
      </c>
      <c r="D9" s="993">
        <f>D8-U3</f>
        <v/>
      </c>
      <c r="E9" s="1024" t="n"/>
      <c r="F9" s="1274" t="n"/>
      <c r="G9" s="445">
        <f>W116/$W$125</f>
        <v/>
      </c>
      <c r="H9" s="445">
        <f>W9/$W$18</f>
        <v/>
      </c>
      <c r="I9" s="1290" t="inlineStr">
        <is>
          <t>4. Pick n Mix Inc</t>
        </is>
      </c>
      <c r="J9" s="431" t="n">
        <v>150</v>
      </c>
      <c r="K9" s="432">
        <f>SUMIFS($E$209:$E$693,$A$209:$A$693,"&gt;31/12/2024",$A$209:$A$693,"&lt;1/2/2025",$C$209:$C$693,$I9)</f>
        <v/>
      </c>
      <c r="L9" s="432">
        <f>SUMIFS($E$209:$E$693,$A$209:$A$693,"&gt;31/1/2025",$A$209:$A$693,"&lt;1/3/2025",$C$209:$C$693,$I9)</f>
        <v/>
      </c>
      <c r="M9" s="432">
        <f>SUMIFS($E$209:$E$693,$A$209:$A$693,"&gt;28/2/2025",$A$209:$A$693,"&lt;1/4/2025",$C$209:$C$693,$I9)</f>
        <v/>
      </c>
      <c r="N9" s="432">
        <f>SUMIFS($E$209:$E$693,$A$209:$A$693,"&gt;31/3/2025",$A$209:$A$693,"&lt;1/5/2025",$C$209:$C$693,$I9)</f>
        <v/>
      </c>
      <c r="O9" s="432">
        <f>SUMIFS($E$209:$E$693,$A$209:$A$693,"&gt;30/4/2025",$A$209:$A$693,"&lt;1/6/2025",$C$209:$C$693,$I9)</f>
        <v/>
      </c>
      <c r="P9" s="432">
        <f>SUMIFS($E$209:$E$693,$A$209:$A$693,"&gt;31/5/2025",$A$209:$A$693,"&lt;1/7/2025",$C$209:$C$693,$I9)</f>
        <v/>
      </c>
      <c r="Q9" s="432">
        <f>SUMIFS($E$209:$E$693,$A$209:$A$693,"&gt;30/6/2025",$A$209:$A$693,"&lt;1/8/2025",$C$209:$C$693,$I9)</f>
        <v/>
      </c>
      <c r="R9" s="432">
        <f>SUMIFS($E$209:$E$693,$A$209:$A$693,"&gt;31/7/2025",$A$209:$A$693,"&lt;1/9/2025",$C$209:$C$693,$I9)</f>
        <v/>
      </c>
      <c r="S9" s="432">
        <f>SUMIFS($E$209:$E$693,$A$209:$A$693,"&gt;31/8/2025",$A$209:$A$693,"&lt;1/10/2025",$C$209:$C$693,$I9)</f>
        <v/>
      </c>
      <c r="T9" s="432">
        <f>SUMIFS($E$209:$E$693,$A$209:$A$693,"&gt;30/9/2025",$A$209:$A$693,"&lt;1/11/2025",$C$209:$C$693,$I9)</f>
        <v/>
      </c>
      <c r="U9" s="432">
        <f>SUMIFS($E$209:$E$693,$A$209:$A$693,"&gt;31/10/2025",$A$209:$A$693,"&lt;1/12/2025",$C$209:$C$693,$I9)</f>
        <v/>
      </c>
      <c r="V9" s="432">
        <f>SUMIFS($E$209:$E$693,$A$209:$A$693,"&gt;30/11/2025",$A$209:$A$693,"&lt;1/1/2026",$C$209:$C$693,$I9)</f>
        <v/>
      </c>
      <c r="W9" s="431">
        <f>SUM(K9:V9)</f>
        <v/>
      </c>
      <c r="X9" s="432">
        <f>SUM(V9-(J9*12)*(V$2+V$1))</f>
        <v/>
      </c>
      <c r="Y9" s="432">
        <f>W9-AA9</f>
        <v/>
      </c>
      <c r="Z9" s="433">
        <f>Y9/AA9</f>
        <v/>
      </c>
      <c r="AA9" s="818">
        <f>SUM(J9*12)*((K$2+K$1+L$1+L$2+M$1+M$2+N$1+N$2+O$1+O$2+P$1+P$2+Q$1+Q$2+R$1+R$2+S$1+S$2+T$1+T$2+U$1+U$2+V$1+V$2))</f>
        <v/>
      </c>
      <c r="AB9" s="817">
        <f>W9/$AB$3</f>
        <v/>
      </c>
      <c r="AD9" s="1282" t="inlineStr">
        <is>
          <t>20/21</t>
        </is>
      </c>
      <c r="AE9" s="1287" t="inlineStr">
        <is>
          <t>Year 8 (Covid-19)</t>
        </is>
      </c>
      <c r="AF9" s="1283">
        <f>AG9+AH9</f>
        <v/>
      </c>
      <c r="AG9" s="1284">
        <f>SUM(N34:V34)</f>
        <v/>
      </c>
      <c r="AH9" s="1284">
        <f>SUM(K33:M33)</f>
        <v/>
      </c>
      <c r="AI9" s="445">
        <f>SUM(AF9-AF10)/AF10</f>
        <v/>
      </c>
    </row>
    <row r="10" ht="15" customHeight="1" s="1232">
      <c r="C10" s="1269" t="inlineStr">
        <is>
          <t>Forecast to Target</t>
        </is>
      </c>
      <c r="D10" s="994">
        <f>D8/V3</f>
        <v/>
      </c>
      <c r="E10" s="1270" t="n"/>
      <c r="F10" s="1274" t="n"/>
      <c r="G10" s="445">
        <f>W117/$W$125</f>
        <v/>
      </c>
      <c r="H10" s="445">
        <f>W10/$W$18</f>
        <v/>
      </c>
      <c r="I10" s="1290" t="inlineStr">
        <is>
          <t>5. Pick n Mix Out</t>
        </is>
      </c>
      <c r="J10" s="431" t="n">
        <v>-100</v>
      </c>
      <c r="K10" s="432">
        <f>SUMIFS($E$209:$E$693,$A$209:$A$693,"&gt;31/12/2024",$A$209:$A$693,"&lt;1/2/2025",$C$209:$C$693,$I10)</f>
        <v/>
      </c>
      <c r="L10" s="432">
        <f>SUMIFS($E$209:$E$693,$A$209:$A$693,"&gt;31/1/2025",$A$209:$A$693,"&lt;1/3/2025",$C$209:$C$693,$I10)</f>
        <v/>
      </c>
      <c r="M10" s="432">
        <f>SUMIFS($E$209:$E$693,$A$209:$A$693,"&gt;28/2/2025",$A$209:$A$693,"&lt;1/4/2025",$C$209:$C$693,$I10)</f>
        <v/>
      </c>
      <c r="N10" s="432">
        <f>SUMIFS($E$209:$E$693,$A$209:$A$693,"&gt;31/3/2025",$A$209:$A$693,"&lt;1/5/2025",$C$209:$C$693,$I10)</f>
        <v/>
      </c>
      <c r="O10" s="432">
        <f>SUMIFS($E$209:$E$693,$A$209:$A$693,"&gt;30/4/2025",$A$209:$A$693,"&lt;1/6/2025",$C$209:$C$693,$I10)</f>
        <v/>
      </c>
      <c r="P10" s="432">
        <f>SUMIFS($E$209:$E$693,$A$209:$A$693,"&gt;31/5/2025",$A$209:$A$693,"&lt;1/7/2025",$C$209:$C$693,$I10)</f>
        <v/>
      </c>
      <c r="Q10" s="432">
        <f>SUMIFS($E$209:$E$693,$A$209:$A$693,"&gt;30/6/2025",$A$209:$A$693,"&lt;1/8/2025",$C$209:$C$693,$I10)</f>
        <v/>
      </c>
      <c r="R10" s="432">
        <f>SUMIFS($E$209:$E$693,$A$209:$A$693,"&gt;31/7/2025",$A$209:$A$693,"&lt;1/9/2025",$C$209:$C$693,$I10)</f>
        <v/>
      </c>
      <c r="S10" s="432">
        <f>SUMIFS($E$209:$E$693,$A$209:$A$693,"&gt;31/8/2025",$A$209:$A$693,"&lt;1/10/2025",$C$209:$C$693,$I10)</f>
        <v/>
      </c>
      <c r="T10" s="432">
        <f>SUMIFS($E$209:$E$693,$A$209:$A$693,"&gt;30/9/2025",$A$209:$A$693,"&lt;1/11/2025",$C$209:$C$693,$I10)</f>
        <v/>
      </c>
      <c r="U10" s="432">
        <f>SUMIFS($E$209:$E$693,$A$209:$A$693,"&gt;31/10/2025",$A$209:$A$693,"&lt;1/12/2025",$C$209:$C$693,$I10)</f>
        <v/>
      </c>
      <c r="V10" s="432">
        <f>SUMIFS($E$209:$E$693,$A$209:$A$693,"&gt;30/11/2025",$A$209:$A$693,"&lt;1/1/2026",$C$209:$C$693,$I10)</f>
        <v/>
      </c>
      <c r="W10" s="704">
        <f>SUM(K10:V10)</f>
        <v/>
      </c>
      <c r="X10" s="432">
        <f>SUM(V10-(J10*12)*(V$2+V$1))</f>
        <v/>
      </c>
      <c r="Y10" s="432">
        <f>W10-AA10</f>
        <v/>
      </c>
      <c r="Z10" s="433">
        <f>Y10/AA10</f>
        <v/>
      </c>
      <c r="AA10" s="818">
        <f>SUM(J10*12)*((K$2+K$1+L$1+L$2+M$1+M$2+N$1+N$2+O$1+O$2+P$1+P$2+Q$1+Q$2+R$1+R$2+S$1+S$2+T$1+T$2+U$1+U$2+V$1+V$2))</f>
        <v/>
      </c>
      <c r="AB10" s="817">
        <f>W10/$AB$3</f>
        <v/>
      </c>
      <c r="AD10" s="1282" t="inlineStr">
        <is>
          <t>19/20</t>
        </is>
      </c>
      <c r="AE10" s="1287" t="inlineStr">
        <is>
          <t>Year 7</t>
        </is>
      </c>
      <c r="AF10" s="1283">
        <f>AG10+AH10</f>
        <v/>
      </c>
      <c r="AG10" s="1284">
        <f>SUM(N35:V35)</f>
        <v/>
      </c>
      <c r="AH10" s="1284">
        <f>SUM(K34:M34)</f>
        <v/>
      </c>
      <c r="AI10" s="445">
        <f>SUM(AF10-AF11)/AF11</f>
        <v/>
      </c>
    </row>
    <row r="11" ht="13.9" customHeight="1" s="1232">
      <c r="B11" s="1258" t="n"/>
      <c r="D11" s="1291" t="n"/>
      <c r="E11" s="1270" t="n"/>
      <c r="F11" s="1291" t="n"/>
      <c r="G11" s="445">
        <f>W118/$W$125</f>
        <v/>
      </c>
      <c r="H11" s="445">
        <f>W11/$W$18</f>
        <v/>
      </c>
      <c r="I11" s="1286" t="inlineStr">
        <is>
          <t>6. Mentoring</t>
        </is>
      </c>
      <c r="J11" s="431" t="n">
        <v>80</v>
      </c>
      <c r="K11" s="432">
        <f>SUMIFS($E$209:$E$693,$A$209:$A$693,"&gt;31/12/2024",$A$209:$A$693,"&lt;1/2/2025",$C$209:$C$693,$I11)</f>
        <v/>
      </c>
      <c r="L11" s="432">
        <f>SUMIFS($E$209:$E$693,$A$209:$A$693,"&gt;31/1/2025",$A$209:$A$693,"&lt;1/3/2025",$C$209:$C$693,$I11)</f>
        <v/>
      </c>
      <c r="M11" s="432">
        <f>SUMIFS($E$209:$E$693,$A$209:$A$693,"&gt;28/2/2025",$A$209:$A$693,"&lt;1/4/2025",$C$209:$C$693,$I11)</f>
        <v/>
      </c>
      <c r="N11" s="432">
        <f>SUMIFS($E$209:$E$693,$A$209:$A$693,"&gt;31/3/2025",$A$209:$A$693,"&lt;1/5/2025",$C$209:$C$693,$I11)</f>
        <v/>
      </c>
      <c r="O11" s="432">
        <f>SUMIFS($E$209:$E$693,$A$209:$A$693,"&gt;30/4/2025",$A$209:$A$693,"&lt;1/6/2025",$C$209:$C$693,$I11)</f>
        <v/>
      </c>
      <c r="P11" s="432">
        <f>SUMIFS($E$209:$E$693,$A$209:$A$693,"&gt;31/5/2025",$A$209:$A$693,"&lt;1/7/2025",$C$209:$C$693,$I11)</f>
        <v/>
      </c>
      <c r="Q11" s="432">
        <f>SUMIFS($E$209:$E$693,$A$209:$A$693,"&gt;30/6/2025",$A$209:$A$693,"&lt;1/8/2025",$C$209:$C$693,$I11)</f>
        <v/>
      </c>
      <c r="R11" s="432">
        <f>SUMIFS($E$209:$E$693,$A$209:$A$693,"&gt;31/7/2025",$A$209:$A$693,"&lt;1/9/2025",$C$209:$C$693,$I11)</f>
        <v/>
      </c>
      <c r="S11" s="432">
        <f>SUMIFS($E$209:$E$693,$A$209:$A$693,"&gt;31/8/2025",$A$209:$A$693,"&lt;1/10/2025",$C$209:$C$693,$I11)</f>
        <v/>
      </c>
      <c r="T11" s="432">
        <f>SUMIFS($E$209:$E$693,$A$209:$A$693,"&gt;30/9/2025",$A$209:$A$693,"&lt;1/11/2025",$C$209:$C$693,$I11)</f>
        <v/>
      </c>
      <c r="U11" s="432">
        <f>SUMIFS($E$209:$E$693,$A$209:$A$693,"&gt;31/10/2025",$A$209:$A$693,"&lt;1/12/2025",$C$209:$C$693,$I11)</f>
        <v/>
      </c>
      <c r="V11" s="432">
        <f>SUMIFS($E$209:$E$693,$A$209:$A$693,"&gt;30/11/2025",$A$209:$A$693,"&lt;1/1/2026",$C$209:$C$693,$I11)</f>
        <v/>
      </c>
      <c r="W11" s="431">
        <f>SUM(K11:V11)</f>
        <v/>
      </c>
      <c r="X11" s="432">
        <f>SUM(V11-(J11*12)*(V$2+V$1))</f>
        <v/>
      </c>
      <c r="Y11" s="432">
        <f>W11-AA11</f>
        <v/>
      </c>
      <c r="Z11" s="433">
        <f>Y11/AA11</f>
        <v/>
      </c>
      <c r="AA11" s="818">
        <f>SUM(J11*12)*((K$2+K$1+L$1+L$2+M$1+M$2+N$1+N$2+O$1+O$2+P$1+P$2+Q$1+Q$2+R$1+R$2+S$1+S$2+T$1+T$2+U$1+U$2+V$1+V$2))</f>
        <v/>
      </c>
      <c r="AB11" s="817">
        <f>W11/$AB$3</f>
        <v/>
      </c>
      <c r="AD11" s="1282" t="inlineStr">
        <is>
          <t>18/19</t>
        </is>
      </c>
      <c r="AE11" s="1260" t="inlineStr">
        <is>
          <t>Year 6</t>
        </is>
      </c>
      <c r="AF11" s="1283">
        <f>AG11+AH11</f>
        <v/>
      </c>
      <c r="AG11" s="1284">
        <f>SUM(N36:V36)</f>
        <v/>
      </c>
      <c r="AH11" s="1284">
        <f>SUM(K35:M35)</f>
        <v/>
      </c>
      <c r="AI11" s="445">
        <f>SUM(AF11-AF12)/AF12</f>
        <v/>
      </c>
    </row>
    <row r="12" ht="13.9" customHeight="1" s="1232">
      <c r="B12" s="1258" t="n"/>
      <c r="D12" s="1292" t="n"/>
      <c r="E12" s="1293" t="n"/>
      <c r="F12" s="1260" t="n"/>
      <c r="G12" s="445">
        <f>W119/$W$125</f>
        <v/>
      </c>
      <c r="H12" s="445">
        <f>W12/$W$18</f>
        <v/>
      </c>
      <c r="I12" s="1289" t="inlineStr">
        <is>
          <t>7. 1-2-1</t>
        </is>
      </c>
      <c r="J12" s="431" t="n">
        <v>800</v>
      </c>
      <c r="K12" s="432">
        <f>SUMIFS($E$209:$E$693,$A$209:$A$693,"&gt;31/12/2024",$A$209:$A$693,"&lt;1/2/2025",$C$209:$C$693,$I12)</f>
        <v/>
      </c>
      <c r="L12" s="432">
        <f>SUMIFS($E$209:$E$693,$A$209:$A$693,"&gt;31/1/2025",$A$209:$A$693,"&lt;1/3/2025",$C$209:$C$693,$I12)</f>
        <v/>
      </c>
      <c r="M12" s="432">
        <f>SUMIFS($E$209:$E$693,$A$209:$A$693,"&gt;28/2/2025",$A$209:$A$693,"&lt;1/4/2025",$C$209:$C$693,$I12)</f>
        <v/>
      </c>
      <c r="N12" s="432">
        <f>SUMIFS($E$209:$E$693,$A$209:$A$693,"&gt;31/3/2025",$A$209:$A$693,"&lt;1/5/2025",$C$209:$C$693,$I12)</f>
        <v/>
      </c>
      <c r="O12" s="432">
        <f>SUMIFS($E$209:$E$693,$A$209:$A$693,"&gt;30/4/2025",$A$209:$A$693,"&lt;1/6/2025",$C$209:$C$693,$I12)</f>
        <v/>
      </c>
      <c r="P12" s="432">
        <f>SUMIFS($E$209:$E$693,$A$209:$A$693,"&gt;31/5/2025",$A$209:$A$693,"&lt;1/7/2025",$C$209:$C$693,$I12)</f>
        <v/>
      </c>
      <c r="Q12" s="432">
        <f>SUMIFS($E$209:$E$693,$A$209:$A$693,"&gt;30/6/2025",$A$209:$A$693,"&lt;1/8/2025",$C$209:$C$693,$I12)</f>
        <v/>
      </c>
      <c r="R12" s="432">
        <f>SUMIFS($E$209:$E$693,$A$209:$A$693,"&gt;31/7/2025",$A$209:$A$693,"&lt;1/9/2025",$C$209:$C$693,$I12)</f>
        <v/>
      </c>
      <c r="S12" s="432">
        <f>SUMIFS($E$209:$E$693,$A$209:$A$693,"&gt;31/8/2025",$A$209:$A$693,"&lt;1/10/2025",$C$209:$C$693,$I12)</f>
        <v/>
      </c>
      <c r="T12" s="432">
        <f>SUMIFS($E$209:$E$693,$A$209:$A$693,"&gt;30/9/2025",$A$209:$A$693,"&lt;1/11/2025",$C$209:$C$693,$I12)</f>
        <v/>
      </c>
      <c r="U12" s="432">
        <f>SUMIFS($E$209:$E$693,$A$209:$A$693,"&gt;31/10/2025",$A$209:$A$693,"&lt;1/12/2025",$C$209:$C$693,$I12)</f>
        <v/>
      </c>
      <c r="V12" s="432">
        <f>SUMIFS($E$209:$E$693,$A$209:$A$693,"&gt;30/11/2025",$A$209:$A$693,"&lt;1/1/2026",$C$209:$C$693,$I12)</f>
        <v/>
      </c>
      <c r="W12" s="431">
        <f>SUM(K12:V12)</f>
        <v/>
      </c>
      <c r="X12" s="432">
        <f>SUM(V12-(J12*12)*(V$2+V$1))</f>
        <v/>
      </c>
      <c r="Y12" s="432">
        <f>W12-AA12</f>
        <v/>
      </c>
      <c r="Z12" s="433">
        <f>Y12/AA12</f>
        <v/>
      </c>
      <c r="AA12" s="818">
        <f>SUM(J12*12)*((K$2+K$1+L$1+L$2+M$1+M$2+N$1+N$2+O$1+O$2+P$1+P$2+Q$1+Q$2+R$1+R$2+S$1+S$2+T$1+T$2+U$1+U$2+V$1+V$2))</f>
        <v/>
      </c>
      <c r="AB12" s="817">
        <f>W12/$AB$3</f>
        <v/>
      </c>
      <c r="AD12" s="1282" t="inlineStr">
        <is>
          <t>17/18</t>
        </is>
      </c>
      <c r="AE12" s="1260" t="inlineStr">
        <is>
          <t>Year 5</t>
        </is>
      </c>
      <c r="AF12" s="1283">
        <f>AG12+AH12</f>
        <v/>
      </c>
      <c r="AG12" s="1284">
        <f>SUM(N37:V37)</f>
        <v/>
      </c>
      <c r="AH12" s="1284">
        <f>SUM(K36:M36)</f>
        <v/>
      </c>
      <c r="AI12" s="445">
        <f>SUM(AF12-AF13)/AF13</f>
        <v/>
      </c>
    </row>
    <row r="13" ht="13.15" customHeight="1" s="1232">
      <c r="B13" s="1258" t="n"/>
      <c r="C13" s="1260" t="n"/>
      <c r="D13" s="1260" t="n">
        <v>2673</v>
      </c>
      <c r="E13" s="1293" t="n"/>
      <c r="F13" s="1260" t="n"/>
      <c r="G13" s="445">
        <f>W120/$W$125</f>
        <v/>
      </c>
      <c r="H13" s="445">
        <f>W13/$W$18</f>
        <v/>
      </c>
      <c r="I13" s="1289" t="inlineStr">
        <is>
          <t>8. Gift Vouchers Inc</t>
        </is>
      </c>
      <c r="J13" s="431" t="n">
        <v>225</v>
      </c>
      <c r="K13" s="432">
        <f>SUMIFS($E$209:$E$693,$A$209:$A$693,"&gt;31/12/2024",$A$209:$A$693,"&lt;1/2/2025",$C$209:$C$693,$I13)</f>
        <v/>
      </c>
      <c r="L13" s="432">
        <f>SUMIFS($E$209:$E$693,$A$209:$A$693,"&gt;31/1/2025",$A$209:$A$693,"&lt;1/3/2025",$C$209:$C$693,$I13)</f>
        <v/>
      </c>
      <c r="M13" s="432">
        <f>SUMIFS($E$209:$E$693,$A$209:$A$693,"&gt;28/2/2025",$A$209:$A$693,"&lt;1/4/2025",$C$209:$C$693,$I13)</f>
        <v/>
      </c>
      <c r="N13" s="432">
        <f>SUMIFS($E$209:$E$693,$A$209:$A$693,"&gt;31/3/2025",$A$209:$A$693,"&lt;1/5/2025",$C$209:$C$693,$I13)</f>
        <v/>
      </c>
      <c r="O13" s="432">
        <f>SUMIFS($E$209:$E$693,$A$209:$A$693,"&gt;30/4/2025",$A$209:$A$693,"&lt;1/6/2025",$C$209:$C$693,$I13)</f>
        <v/>
      </c>
      <c r="P13" s="432">
        <f>SUMIFS($E$209:$E$693,$A$209:$A$693,"&gt;31/5/2025",$A$209:$A$693,"&lt;1/7/2025",$C$209:$C$693,$I13)</f>
        <v/>
      </c>
      <c r="Q13" s="432">
        <f>SUMIFS($E$209:$E$693,$A$209:$A$693,"&gt;30/6/2025",$A$209:$A$693,"&lt;1/8/2025",$C$209:$C$693,$I13)</f>
        <v/>
      </c>
      <c r="R13" s="432">
        <f>SUMIFS($E$209:$E$693,$A$209:$A$693,"&gt;31/7/2025",$A$209:$A$693,"&lt;1/9/2025",$C$209:$C$693,$I13)</f>
        <v/>
      </c>
      <c r="S13" s="432">
        <f>SUMIFS($E$209:$E$693,$A$209:$A$693,"&gt;31/8/2025",$A$209:$A$693,"&lt;1/10/2025",$C$209:$C$693,$I13)</f>
        <v/>
      </c>
      <c r="T13" s="432">
        <f>SUMIFS($E$209:$E$693,$A$209:$A$693,"&gt;30/9/2025",$A$209:$A$693,"&lt;1/11/2025",$C$209:$C$693,$I13)</f>
        <v/>
      </c>
      <c r="U13" s="432">
        <f>SUMIFS($E$209:$E$693,$A$209:$A$693,"&gt;31/10/2025",$A$209:$A$693,"&lt;1/12/2025",$C$209:$C$693,$I13)</f>
        <v/>
      </c>
      <c r="V13" s="432">
        <f>SUMIFS($E$209:$E$693,$A$209:$A$693,"&gt;30/11/2025",$A$209:$A$693,"&lt;1/1/2026",$C$209:$C$693,$I13)</f>
        <v/>
      </c>
      <c r="W13" s="431">
        <f>SUM(K13:V13)</f>
        <v/>
      </c>
      <c r="X13" s="432">
        <f>SUM(V13-(J13*12)*(V$2+V$1))</f>
        <v/>
      </c>
      <c r="Y13" s="432">
        <f>W13-AA13</f>
        <v/>
      </c>
      <c r="Z13" s="433">
        <f>Y13/AA13</f>
        <v/>
      </c>
      <c r="AA13" s="818">
        <f>SUM(J13*12)*((K$2+K$1+L$1+L$2+M$1+M$2+N$1+N$2+O$1+O$2+P$1+P$2+Q$1+Q$2+R$1+R$2+S$1+S$2+T$1+T$2+U$1+U$2+V$1+V$2))</f>
        <v/>
      </c>
      <c r="AB13" s="817">
        <f>W13/$AB$3</f>
        <v/>
      </c>
      <c r="AD13" s="1282" t="inlineStr">
        <is>
          <t>16/17</t>
        </is>
      </c>
      <c r="AE13" s="1287" t="inlineStr">
        <is>
          <t>Year 4 (surgery)</t>
        </is>
      </c>
      <c r="AF13" s="1283">
        <f>AG13+AH13</f>
        <v/>
      </c>
      <c r="AG13" s="1284">
        <f>SUM(N38:V38)</f>
        <v/>
      </c>
      <c r="AH13" s="1284">
        <f>SUM(K37:M37)</f>
        <v/>
      </c>
      <c r="AI13" s="445">
        <f>SUM(AF13-AF14)/AF14</f>
        <v/>
      </c>
    </row>
    <row r="14" ht="13.15" customHeight="1" s="1232">
      <c r="B14" s="1294" t="n"/>
      <c r="C14" s="1260" t="n"/>
      <c r="D14" s="1260" t="n"/>
      <c r="E14" s="1293" t="n"/>
      <c r="F14" s="1260" t="n"/>
      <c r="G14" s="445">
        <f>W121/$W$125</f>
        <v/>
      </c>
      <c r="H14" s="445">
        <f>W14/$W$18</f>
        <v/>
      </c>
      <c r="I14" s="1295" t="inlineStr">
        <is>
          <t>9. Gift Vouchers Out</t>
        </is>
      </c>
      <c r="J14" s="431" t="n">
        <v>-150</v>
      </c>
      <c r="K14" s="432">
        <f>SUMIFS($E$209:$E$693,$A$209:$A$693,"&gt;31/12/2024",$A$209:$A$693,"&lt;1/2/2025",$C$209:$C$693,$I14)</f>
        <v/>
      </c>
      <c r="L14" s="432">
        <f>SUMIFS($E$209:$E$693,$A$209:$A$693,"&gt;31/1/2025",$A$209:$A$693,"&lt;1/3/2025",$C$209:$C$693,$I14)</f>
        <v/>
      </c>
      <c r="M14" s="432">
        <f>SUMIFS($E$209:$E$693,$A$209:$A$693,"&gt;28/2/2025",$A$209:$A$693,"&lt;1/4/2025",$C$209:$C$693,$I14)</f>
        <v/>
      </c>
      <c r="N14" s="432">
        <f>SUMIFS($E$209:$E$693,$A$209:$A$693,"&gt;31/3/2025",$A$209:$A$693,"&lt;1/5/2025",$C$209:$C$693,$I14)</f>
        <v/>
      </c>
      <c r="O14" s="432">
        <f>SUMIFS($E$209:$E$693,$A$209:$A$693,"&gt;30/4/2025",$A$209:$A$693,"&lt;1/6/2025",$C$209:$C$693,$I14)</f>
        <v/>
      </c>
      <c r="P14" s="432">
        <f>SUMIFS($E$209:$E$693,$A$209:$A$693,"&gt;31/5/2025",$A$209:$A$693,"&lt;1/7/2025",$C$209:$C$693,$I14)</f>
        <v/>
      </c>
      <c r="Q14" s="432">
        <f>SUMIFS($E$209:$E$693,$A$209:$A$693,"&gt;30/6/2025",$A$209:$A$693,"&lt;1/8/2025",$C$209:$C$693,$I14)</f>
        <v/>
      </c>
      <c r="R14" s="432">
        <f>SUMIFS($E$209:$E$693,$A$209:$A$693,"&gt;31/7/2025",$A$209:$A$693,"&lt;1/9/2025",$C$209:$C$693,$I14)</f>
        <v/>
      </c>
      <c r="S14" s="432">
        <f>SUMIFS($E$209:$E$693,$A$209:$A$693,"&gt;31/8/2025",$A$209:$A$693,"&lt;1/10/2025",$C$209:$C$693,$I14)</f>
        <v/>
      </c>
      <c r="T14" s="432">
        <f>SUMIFS($E$209:$E$693,$A$209:$A$693,"&gt;30/9/2025",$A$209:$A$693,"&lt;1/11/2025",$C$209:$C$693,$I14)</f>
        <v/>
      </c>
      <c r="U14" s="432">
        <f>SUMIFS($E$209:$E$693,$A$209:$A$693,"&gt;31/10/2025",$A$209:$A$693,"&lt;1/12/2025",$C$209:$C$693,$I14)</f>
        <v/>
      </c>
      <c r="V14" s="432">
        <f>SUMIFS($E$209:$E$693,$A$209:$A$693,"&gt;30/11/2025",$A$209:$A$693,"&lt;1/1/2026",$C$209:$C$693,$I14)</f>
        <v/>
      </c>
      <c r="W14" s="431">
        <f>SUM(K14:V14)</f>
        <v/>
      </c>
      <c r="X14" s="432">
        <f>SUM(V14-(J14*12)*(V$2+V$1))</f>
        <v/>
      </c>
      <c r="Y14" s="432">
        <f>W14-AA14</f>
        <v/>
      </c>
      <c r="Z14" s="433">
        <f>Y14/AA14</f>
        <v/>
      </c>
      <c r="AA14" s="818">
        <f>SUM(J14*12)*((K$2+K$1+L$1+L$2+M$1+M$2+N$1+N$2+O$1+O$2+P$1+P$2+Q$1+Q$2+R$1+R$2+S$1+S$2+T$1+T$2+U$1+U$2+V$1+V$2))</f>
        <v/>
      </c>
      <c r="AB14" s="817">
        <f>W14/$AB$3</f>
        <v/>
      </c>
      <c r="AD14" s="1282" t="inlineStr">
        <is>
          <t>15/16</t>
        </is>
      </c>
      <c r="AE14" s="1260" t="inlineStr">
        <is>
          <t>Year 3</t>
        </is>
      </c>
      <c r="AF14" s="1283">
        <f>AG14+AH14</f>
        <v/>
      </c>
      <c r="AG14" s="1284">
        <f>SUM(N39:V39)</f>
        <v/>
      </c>
      <c r="AH14" s="1284">
        <f>SUM(K38:M38)</f>
        <v/>
      </c>
      <c r="AI14" s="445">
        <f>SUM(AF14-AF15)/AF15</f>
        <v/>
      </c>
    </row>
    <row r="15" ht="13.15" customHeight="1" s="1232">
      <c r="B15" s="1294" t="n"/>
      <c r="C15" s="1294" t="n"/>
      <c r="D15" s="1260" t="n"/>
      <c r="E15" s="1293" t="n"/>
      <c r="F15" s="1260" t="n"/>
      <c r="G15" s="445">
        <f>W122/$W$125</f>
        <v/>
      </c>
      <c r="H15" s="445">
        <f>W15/$W$18</f>
        <v/>
      </c>
      <c r="I15" s="1289" t="inlineStr">
        <is>
          <t>10. Prints &amp; Royalties</t>
        </is>
      </c>
      <c r="J15" s="431" t="n">
        <v>100</v>
      </c>
      <c r="K15" s="432">
        <f>SUMIFS($E$209:$E$693,$A$209:$A$693,"&gt;31/12/2024",$A$209:$A$693,"&lt;1/2/2025",$C$209:$C$693,$I15)</f>
        <v/>
      </c>
      <c r="L15" s="432">
        <f>SUMIFS($E$209:$E$693,$A$209:$A$693,"&gt;31/1/2025",$A$209:$A$693,"&lt;1/3/2025",$C$209:$C$693,$I15)</f>
        <v/>
      </c>
      <c r="M15" s="432">
        <f>SUMIFS($E$209:$E$693,$A$209:$A$693,"&gt;28/2/2025",$A$209:$A$693,"&lt;1/4/2025",$C$209:$C$693,$I15)</f>
        <v/>
      </c>
      <c r="N15" s="432">
        <f>SUMIFS($E$209:$E$693,$A$209:$A$693,"&gt;31/3/2025",$A$209:$A$693,"&lt;1/5/2025",$C$209:$C$693,$I15)</f>
        <v/>
      </c>
      <c r="O15" s="432">
        <f>SUMIFS($E$209:$E$693,$A$209:$A$693,"&gt;30/4/2025",$A$209:$A$693,"&lt;1/6/2025",$C$209:$C$693,$I15)</f>
        <v/>
      </c>
      <c r="P15" s="432">
        <f>SUMIFS($E$209:$E$693,$A$209:$A$693,"&gt;31/5/2025",$A$209:$A$693,"&lt;1/7/2025",$C$209:$C$693,$I15)</f>
        <v/>
      </c>
      <c r="Q15" s="432">
        <f>SUMIFS($E$209:$E$693,$A$209:$A$693,"&gt;30/6/2025",$A$209:$A$693,"&lt;1/8/2025",$C$209:$C$693,$I15)</f>
        <v/>
      </c>
      <c r="R15" s="432">
        <f>SUMIFS($E$209:$E$693,$A$209:$A$693,"&gt;31/7/2025",$A$209:$A$693,"&lt;1/9/2025",$C$209:$C$693,$I15)</f>
        <v/>
      </c>
      <c r="S15" s="432">
        <f>SUMIFS($E$209:$E$693,$A$209:$A$693,"&gt;31/8/2025",$A$209:$A$693,"&lt;1/10/2025",$C$209:$C$693,$I15)</f>
        <v/>
      </c>
      <c r="T15" s="432">
        <f>SUMIFS($E$209:$E$693,$A$209:$A$693,"&gt;30/9/2025",$A$209:$A$693,"&lt;1/11/2025",$C$209:$C$693,$I15)</f>
        <v/>
      </c>
      <c r="U15" s="432">
        <f>SUMIFS($E$209:$E$693,$A$209:$A$693,"&gt;31/10/2025",$A$209:$A$693,"&lt;1/12/2025",$C$209:$C$693,$I15)</f>
        <v/>
      </c>
      <c r="V15" s="432">
        <f>SUMIFS($E$209:$E$693,$A$209:$A$693,"&gt;30/11/2025",$A$209:$A$693,"&lt;1/1/2026",$C$209:$C$693,$I15)</f>
        <v/>
      </c>
      <c r="W15" s="431">
        <f>SUM(K15:V15)</f>
        <v/>
      </c>
      <c r="X15" s="432">
        <f>SUM(V15-(J15*12)*(V$2+V$1))</f>
        <v/>
      </c>
      <c r="Y15" s="432">
        <f>W15-AA15</f>
        <v/>
      </c>
      <c r="Z15" s="433">
        <f>Y15/AA15</f>
        <v/>
      </c>
      <c r="AA15" s="818">
        <f>SUM(J15*12)*((K$2+K$1+L$1+L$2+M$1+M$2+N$1+N$2+O$1+O$2+P$1+P$2+Q$1+Q$2+R$1+R$2+S$1+S$2+T$1+T$2+U$1+U$2+V$1+V$2))</f>
        <v/>
      </c>
      <c r="AB15" s="817">
        <f>W15/$AB$3</f>
        <v/>
      </c>
      <c r="AD15" s="1282" t="inlineStr">
        <is>
          <t>14/15</t>
        </is>
      </c>
      <c r="AE15" s="1260" t="inlineStr">
        <is>
          <t>Year 2</t>
        </is>
      </c>
      <c r="AF15" s="1283">
        <f>AG15+AH15</f>
        <v/>
      </c>
      <c r="AG15" s="1284">
        <f>SUM(N40:V40)</f>
        <v/>
      </c>
      <c r="AH15" s="1284">
        <f>SUM(K39:M39)</f>
        <v/>
      </c>
      <c r="AI15" s="445" t="n"/>
    </row>
    <row r="16" ht="13.15" customHeight="1" s="1232">
      <c r="B16" s="1294" t="n"/>
      <c r="C16" s="1294" t="n"/>
      <c r="D16" s="1260" t="n"/>
      <c r="E16" s="1293" t="n"/>
      <c r="F16" s="1260" t="n"/>
      <c r="G16" s="445">
        <f>W123/$W$125</f>
        <v/>
      </c>
      <c r="H16" s="445">
        <f>W16/$W$18</f>
        <v/>
      </c>
      <c r="I16" s="1289" t="inlineStr">
        <is>
          <t>11 Commissions</t>
        </is>
      </c>
      <c r="J16" s="431" t="n">
        <v>500</v>
      </c>
      <c r="K16" s="432">
        <f>SUMIFS($E$209:$E$693,$A$209:$A$693,"&gt;31/12/2024",$A$209:$A$693,"&lt;1/2/2025",$C$209:$C$693,$I16)</f>
        <v/>
      </c>
      <c r="L16" s="432">
        <f>SUMIFS($E$209:$E$693,$A$209:$A$693,"&gt;31/1/2025",$A$209:$A$693,"&lt;1/3/2025",$C$209:$C$693,$I16)</f>
        <v/>
      </c>
      <c r="M16" s="432">
        <f>SUMIFS($E$209:$E$693,$A$209:$A$693,"&gt;28/2/2025",$A$209:$A$693,"&lt;1/4/2025",$C$209:$C$693,$I16)</f>
        <v/>
      </c>
      <c r="N16" s="432">
        <f>SUMIFS($E$209:$E$693,$A$209:$A$693,"&gt;31/3/2025",$A$209:$A$693,"&lt;1/5/2025",$C$209:$C$693,$I16)</f>
        <v/>
      </c>
      <c r="O16" s="432">
        <f>SUMIFS($E$209:$E$693,$A$209:$A$693,"&gt;30/4/2025",$A$209:$A$693,"&lt;1/6/2025",$C$209:$C$693,$I16)</f>
        <v/>
      </c>
      <c r="P16" s="432">
        <f>SUMIFS($E$209:$E$693,$A$209:$A$693,"&gt;31/5/2025",$A$209:$A$693,"&lt;1/7/2025",$C$209:$C$693,$I16)</f>
        <v/>
      </c>
      <c r="Q16" s="432">
        <f>SUMIFS($E$209:$E$693,$A$209:$A$693,"&gt;30/6/2025",$A$209:$A$693,"&lt;1/8/2025",$C$209:$C$693,$I16)</f>
        <v/>
      </c>
      <c r="R16" s="432">
        <f>SUMIFS($E$209:$E$693,$A$209:$A$693,"&gt;31/7/2025",$A$209:$A$693,"&lt;1/9/2025",$C$209:$C$693,$I16)</f>
        <v/>
      </c>
      <c r="S16" s="432">
        <f>SUMIFS($E$209:$E$693,$A$209:$A$693,"&gt;31/8/2025",$A$209:$A$693,"&lt;1/10/2025",$C$209:$C$693,$I16)</f>
        <v/>
      </c>
      <c r="T16" s="432">
        <f>SUMIFS($E$209:$E$693,$A$209:$A$693,"&gt;30/9/2025",$A$209:$A$693,"&lt;1/11/2025",$C$209:$C$693,$I16)</f>
        <v/>
      </c>
      <c r="U16" s="432">
        <f>SUMIFS($E$209:$E$693,$A$209:$A$693,"&gt;31/10/2025",$A$209:$A$693,"&lt;1/12/2025",$C$209:$C$693,$I16)</f>
        <v/>
      </c>
      <c r="V16" s="432">
        <f>SUMIFS($E$209:$E$693,$A$209:$A$693,"&gt;30/11/2025",$A$209:$A$693,"&lt;1/1/2026",$C$209:$C$693,$I16)</f>
        <v/>
      </c>
      <c r="W16" s="431">
        <f>SUM(K16:V16)</f>
        <v/>
      </c>
      <c r="X16" s="432">
        <f>SUM(V16-(J16*12)*(V$2+V$1))</f>
        <v/>
      </c>
      <c r="Y16" s="432">
        <f>W16-AA16</f>
        <v/>
      </c>
      <c r="Z16" s="433">
        <f>Y16/AA16</f>
        <v/>
      </c>
      <c r="AA16" s="818">
        <f>SUM(J16*12)*((K$2+K$1+L$1+L$2+M$1+M$2+N$1+N$2+O$1+O$2+P$1+P$2+Q$1+Q$2+R$1+R$2+S$1+S$2+T$1+T$2+U$1+U$2+V$1+V$2))</f>
        <v/>
      </c>
      <c r="AB16" s="817">
        <f>W16/$AB$3</f>
        <v/>
      </c>
      <c r="AD16" s="1282" t="inlineStr">
        <is>
          <t>13/14</t>
        </is>
      </c>
      <c r="AE16" s="1260" t="inlineStr">
        <is>
          <t>Year 1</t>
        </is>
      </c>
      <c r="AF16" s="1283">
        <f>AG16+AH16</f>
        <v/>
      </c>
      <c r="AG16" s="1284">
        <f>SUM(N41:V41)</f>
        <v/>
      </c>
      <c r="AH16" s="1284">
        <f>SUM(K40:M40)</f>
        <v/>
      </c>
    </row>
    <row r="17" ht="13.5" customHeight="1" s="1232">
      <c r="B17" s="1294" t="n"/>
      <c r="C17" s="1294" t="n"/>
      <c r="E17" s="1293" t="n">
        <v>0</v>
      </c>
      <c r="F17" s="1274" t="n"/>
      <c r="G17" s="445">
        <f>W124/$W$125</f>
        <v/>
      </c>
      <c r="H17" s="445">
        <f>W17/$W$18</f>
        <v/>
      </c>
      <c r="I17" s="1289" t="inlineStr">
        <is>
          <t>12. Academy</t>
        </is>
      </c>
      <c r="J17" s="431" t="n">
        <v>50</v>
      </c>
      <c r="K17" s="432">
        <f>SUMIFS($E$209:$E$693,$A$209:$A$693,"&gt;31/12/2024",$A$209:$A$693,"&lt;1/2/2025",$C$209:$C$693,$I17)</f>
        <v/>
      </c>
      <c r="L17" s="432">
        <f>SUMIFS($E$209:$E$693,$A$209:$A$693,"&gt;31/1/2025",$A$209:$A$693,"&lt;1/3/2025",$C$209:$C$693,$I17)</f>
        <v/>
      </c>
      <c r="M17" s="432">
        <f>SUMIFS($E$209:$E$693,$A$209:$A$693,"&gt;28/2/2025",$A$209:$A$693,"&lt;1/4/2025",$C$209:$C$693,$I17)</f>
        <v/>
      </c>
      <c r="N17" s="432">
        <f>SUMIFS($E$209:$E$693,$A$209:$A$693,"&gt;31/3/2025",$A$209:$A$693,"&lt;1/5/2025",$C$209:$C$693,$I17)</f>
        <v/>
      </c>
      <c r="O17" s="432">
        <f>SUMIFS($E$209:$E$693,$A$209:$A$693,"&gt;30/4/2025",$A$209:$A$693,"&lt;1/6/2025",$C$209:$C$693,$I17)</f>
        <v/>
      </c>
      <c r="P17" s="432">
        <f>SUMIFS($E$209:$E$693,$A$209:$A$693,"&gt;31/5/2025",$A$209:$A$693,"&lt;1/7/2025",$C$209:$C$693,$I17)</f>
        <v/>
      </c>
      <c r="Q17" s="432">
        <f>SUMIFS($E$209:$E$693,$A$209:$A$693,"&gt;30/6/2025",$A$209:$A$693,"&lt;1/8/2025",$C$209:$C$693,$I17)</f>
        <v/>
      </c>
      <c r="R17" s="432">
        <f>SUMIFS($E$209:$E$693,$A$209:$A$693,"&gt;31/7/2025",$A$209:$A$693,"&lt;1/9/2025",$C$209:$C$693,$I17)</f>
        <v/>
      </c>
      <c r="S17" s="432">
        <f>SUMIFS($E$209:$E$693,$A$209:$A$693,"&gt;31/8/2025",$A$209:$A$693,"&lt;1/10/2025",$C$209:$C$693,$I17)</f>
        <v/>
      </c>
      <c r="T17" s="432">
        <f>SUMIFS($E$209:$E$693,$A$209:$A$693,"&gt;30/9/2025",$A$209:$A$693,"&lt;1/11/2025",$C$209:$C$693,$I17)</f>
        <v/>
      </c>
      <c r="U17" s="432">
        <f>SUMIFS($E$209:$E$693,$A$209:$A$693,"&gt;31/10/2025",$A$209:$A$693,"&lt;1/12/2025",$C$209:$C$693,$I17)</f>
        <v/>
      </c>
      <c r="V17" s="432">
        <f>SUMIFS($E$209:$E$693,$A$209:$A$693,"&gt;30/11/2025",$A$209:$A$693,"&lt;1/1/2026",$C$209:$C$693,$I17)</f>
        <v/>
      </c>
      <c r="W17" s="431">
        <f>SUM(K17:V17)</f>
        <v/>
      </c>
      <c r="X17" s="432">
        <f>SUM(V17-(J17*12)*(V$2+V$1))</f>
        <v/>
      </c>
      <c r="Y17" s="432">
        <f>W17-AA17</f>
        <v/>
      </c>
      <c r="Z17" s="433">
        <f>Y17/AA17</f>
        <v/>
      </c>
      <c r="AA17" s="818">
        <f>SUM(J17*12)*((K$2+K$1+L$1+L$2+M$1+M$2+N$1+N$2+O$1+O$2+P$1+P$2+Q$1+Q$2+R$1+R$2+S$1+S$2+T$1+T$2+U$1+U$2+V$1+V$2))</f>
        <v/>
      </c>
      <c r="AB17" s="817">
        <f>W17/$AB$3</f>
        <v/>
      </c>
    </row>
    <row r="18" ht="15.75" customHeight="1" s="1232" thickBot="1">
      <c r="B18" s="1271" t="n"/>
      <c r="C18" s="1271" t="n"/>
      <c r="E18" s="1296" t="n"/>
      <c r="F18" s="1297" t="n"/>
      <c r="G18" s="445">
        <f>W125/$W$125</f>
        <v/>
      </c>
      <c r="H18" s="445">
        <f>W18/$W$18</f>
        <v/>
      </c>
      <c r="I18" s="1298" t="inlineStr">
        <is>
          <t>Totals</t>
        </is>
      </c>
      <c r="J18" s="932">
        <f>SUM(J6:J17)</f>
        <v/>
      </c>
      <c r="K18" s="991">
        <f>SUM(K6:K17)</f>
        <v/>
      </c>
      <c r="L18" s="991">
        <f>SUM(L6:L17)</f>
        <v/>
      </c>
      <c r="M18" s="991">
        <f>SUM(M6:M17)</f>
        <v/>
      </c>
      <c r="N18" s="991">
        <f>SUM(N6:N17)</f>
        <v/>
      </c>
      <c r="O18" s="991">
        <f>SUM(O6:O17)</f>
        <v/>
      </c>
      <c r="P18" s="991">
        <f>SUM(P6:P17)</f>
        <v/>
      </c>
      <c r="Q18" s="991">
        <f>SUM(Q6:Q17)</f>
        <v/>
      </c>
      <c r="R18" s="991">
        <f>SUM(R6:R17)</f>
        <v/>
      </c>
      <c r="S18" s="991">
        <f>SUM(S6:S17)</f>
        <v/>
      </c>
      <c r="T18" s="991">
        <f>SUM(T6:T17)</f>
        <v/>
      </c>
      <c r="U18" s="991">
        <f>SUM(U6:U17)</f>
        <v/>
      </c>
      <c r="V18" s="991">
        <f>SUM(V6:V17)</f>
        <v/>
      </c>
      <c r="W18" s="991">
        <f>SUM(W6:W17)</f>
        <v/>
      </c>
      <c r="X18" s="432">
        <f>SUM(V18-(J18*12)*(V$2+V$1))</f>
        <v/>
      </c>
      <c r="Y18" s="824">
        <f>W18-AA18</f>
        <v/>
      </c>
      <c r="Z18" s="837">
        <f>Y18/AA18</f>
        <v/>
      </c>
      <c r="AA18" s="818">
        <f>SUM(J18*12)*((K$2+K$1+L$1+L$2+M$1+M$2+N$1+N$2+O$1+O$2+P$1+P$2+Q$1+Q$2+R$1+R$2+S$1+S$2+T$1+T$2+U$1+U$2+V$1+V$2))</f>
        <v/>
      </c>
      <c r="AB18" s="838">
        <f>W18/$AB$3</f>
        <v/>
      </c>
      <c r="AE18" s="1283">
        <f>AF18-W45</f>
        <v/>
      </c>
      <c r="AF18" s="1283">
        <f>SUM(AF5:AF16)</f>
        <v/>
      </c>
      <c r="AG18" s="1283">
        <f>SUM(AG5:AG16)</f>
        <v/>
      </c>
      <c r="AH18" s="1283">
        <f>SUM(AH5:AH16)</f>
        <v/>
      </c>
    </row>
    <row r="19" ht="13.9" customHeight="1" s="1232">
      <c r="B19" s="1271" t="n"/>
      <c r="C19" s="1271" t="n"/>
      <c r="D19" s="1292" t="n"/>
      <c r="E19" s="1296" t="n"/>
      <c r="F19" s="1297" t="n"/>
      <c r="I19" s="1268" t="inlineStr">
        <is>
          <t>Target</t>
        </is>
      </c>
      <c r="J19" s="1299">
        <f>J18*12</f>
        <v/>
      </c>
      <c r="K19" s="671">
        <f>K18/K3</f>
        <v/>
      </c>
      <c r="L19" s="671">
        <f>L18/L3</f>
        <v/>
      </c>
      <c r="M19" s="671">
        <f>M18/M3</f>
        <v/>
      </c>
      <c r="N19" s="671">
        <f>N18/N3</f>
        <v/>
      </c>
      <c r="O19" s="671">
        <f>O18/O3</f>
        <v/>
      </c>
      <c r="P19" s="671">
        <f>P18/P3</f>
        <v/>
      </c>
      <c r="Q19" s="671">
        <f>Q18/Q3</f>
        <v/>
      </c>
      <c r="R19" s="671">
        <f>R18/R3</f>
        <v/>
      </c>
      <c r="S19" s="671">
        <f>S18/S3</f>
        <v/>
      </c>
      <c r="T19" s="671">
        <f>T18/T3</f>
        <v/>
      </c>
      <c r="U19" s="671">
        <f>U18/U3</f>
        <v/>
      </c>
      <c r="V19" s="671">
        <f>V18/V3</f>
        <v/>
      </c>
      <c r="W19" s="671">
        <f>W18/AA18</f>
        <v/>
      </c>
      <c r="X19" s="583" t="n"/>
      <c r="Y19" s="836" t="n"/>
      <c r="AB19" s="445" t="n"/>
    </row>
    <row r="20" ht="15.75" customHeight="1" s="1232" thickBot="1">
      <c r="B20" s="1271" t="inlineStr">
        <is>
          <t>Tony Teague</t>
        </is>
      </c>
      <c r="C20" s="1271" t="inlineStr">
        <is>
          <t>Deals Won - Waiting £</t>
        </is>
      </c>
      <c r="D20" s="548" t="inlineStr">
        <is>
          <t>paid 250 deposit</t>
        </is>
      </c>
      <c r="E20" s="1296" t="n"/>
      <c r="F20" s="1297" t="inlineStr">
        <is>
          <t>Dingle / Ireland</t>
        </is>
      </c>
      <c r="I20" s="1300" t="inlineStr">
        <is>
          <t>GP</t>
        </is>
      </c>
      <c r="J20" s="1301" t="n"/>
      <c r="K20" s="976">
        <f>K125</f>
        <v/>
      </c>
      <c r="L20" s="976">
        <f>L125</f>
        <v/>
      </c>
      <c r="M20" s="976">
        <f>M125</f>
        <v/>
      </c>
      <c r="N20" s="976">
        <f>N125</f>
        <v/>
      </c>
      <c r="O20" s="976">
        <f>O125</f>
        <v/>
      </c>
      <c r="P20" s="976">
        <f>P125</f>
        <v/>
      </c>
      <c r="Q20" s="976">
        <f>Q125</f>
        <v/>
      </c>
      <c r="R20" s="976">
        <f>R125</f>
        <v/>
      </c>
      <c r="S20" s="976">
        <f>S125</f>
        <v/>
      </c>
      <c r="T20" s="976">
        <f>T125</f>
        <v/>
      </c>
      <c r="U20" s="976">
        <f>U125</f>
        <v/>
      </c>
      <c r="V20" s="976">
        <f>V125</f>
        <v/>
      </c>
      <c r="W20" s="977">
        <f>W125</f>
        <v/>
      </c>
      <c r="X20" s="583">
        <f>W20/AB3</f>
        <v/>
      </c>
      <c r="Y20" s="836" t="n"/>
      <c r="Z20" s="1302" t="inlineStr">
        <is>
          <t>YR Rev Forecast</t>
        </is>
      </c>
      <c r="AB20" s="1303">
        <f>SUM(W18)++D8+(AB18*(12-AB3))+G65</f>
        <v/>
      </c>
      <c r="AD20" s="1304" t="inlineStr">
        <is>
          <t>Invoice Date</t>
        </is>
      </c>
      <c r="AE20" s="1304" t="n"/>
      <c r="AF20" s="1304" t="inlineStr">
        <is>
          <t>Employee</t>
        </is>
      </c>
      <c r="AG20" s="1304" t="inlineStr">
        <is>
          <t>Invoice Number</t>
        </is>
      </c>
      <c r="AH20" s="1304" t="inlineStr">
        <is>
          <t>ELS Voucher</t>
        </is>
      </c>
      <c r="AI20" s="1304" t="inlineStr">
        <is>
          <t>Amount</t>
        </is>
      </c>
      <c r="AJ20" s="1304" t="inlineStr">
        <is>
          <t>Event</t>
        </is>
      </c>
    </row>
    <row r="21" ht="13.9" customHeight="1" s="1232">
      <c r="B21" s="1271" t="n"/>
      <c r="C21" s="1271" t="n"/>
      <c r="D21" s="470" t="n"/>
      <c r="E21" s="1296" t="n"/>
      <c r="F21" s="1305" t="n"/>
      <c r="I21" s="1268" t="inlineStr">
        <is>
          <t>GP %</t>
        </is>
      </c>
      <c r="J21" s="1299" t="n"/>
      <c r="K21" s="924">
        <f>K20/K18</f>
        <v/>
      </c>
      <c r="L21" s="924">
        <f>L20/L18</f>
        <v/>
      </c>
      <c r="M21" s="924">
        <f>M20/M18</f>
        <v/>
      </c>
      <c r="N21" s="924">
        <f>N20/N18</f>
        <v/>
      </c>
      <c r="O21" s="924">
        <f>O20/O18</f>
        <v/>
      </c>
      <c r="P21" s="924">
        <f>P20/P18</f>
        <v/>
      </c>
      <c r="Q21" s="924">
        <f>Q20/Q18</f>
        <v/>
      </c>
      <c r="R21" s="924">
        <f>R20/R18</f>
        <v/>
      </c>
      <c r="S21" s="924">
        <f>S20/S18</f>
        <v/>
      </c>
      <c r="T21" s="924">
        <f>T20/T18</f>
        <v/>
      </c>
      <c r="U21" s="924">
        <f>U20/U18</f>
        <v/>
      </c>
      <c r="V21" s="924">
        <f>V20/V18</f>
        <v/>
      </c>
      <c r="W21" s="924">
        <f>W20/W18</f>
        <v/>
      </c>
      <c r="X21" s="583" t="n"/>
      <c r="Y21" s="836" t="n"/>
      <c r="AB21" s="445" t="n"/>
    </row>
    <row r="22" ht="14.25" customHeight="1" s="1232" thickBot="1">
      <c r="B22" s="1271" t="n"/>
      <c r="C22" s="1271" t="n"/>
      <c r="D22" s="548" t="n"/>
      <c r="E22" s="1296" t="n"/>
      <c r="F22" s="1297" t="n"/>
      <c r="I22" s="1306" t="inlineStr">
        <is>
          <t>Cash After Capital Repayment</t>
        </is>
      </c>
      <c r="J22" s="1307" t="n"/>
      <c r="K22" s="927">
        <f>SUM((K128+K129)*-25%)+(K128+K129)+(K130+K131+K132+K133+K134+K135+K136)</f>
        <v/>
      </c>
      <c r="L22" s="927">
        <f>SUM((L128+L129)*-25%)+(L128+L129)+(L130+L131+L132+L133+L134+L135+L136)</f>
        <v/>
      </c>
      <c r="M22" s="927">
        <f>SUM((M128+M129)*-25%)+(M128+M129)+(M130+M131+M132+M133+M134+M135+M136)</f>
        <v/>
      </c>
      <c r="N22" s="927">
        <f>SUM((N128+N129)*-25%)+(N128+N129)+(N130+N131+N132+N133+N134+N135+N136)</f>
        <v/>
      </c>
      <c r="O22" s="927">
        <f>SUM((O128+O129)*-25%)+(O128+O129)+(O130+O131+O132+O133+O134+O135+O136)</f>
        <v/>
      </c>
      <c r="P22" s="927">
        <f>SUM((P128+P129)*-25%)+(P128+P129)+(P130+P131+P132+P133+P134+P135+P136)</f>
        <v/>
      </c>
      <c r="Q22" s="927">
        <f>SUM((Q128+Q129)*-25%)+(Q128+Q129)+(Q130+Q131+Q132+Q133+Q134+Q135+Q136)</f>
        <v/>
      </c>
      <c r="R22" s="927">
        <f>SUM((R128+R129)*-25%)+(R128+R129)+(R130+R131+R132+R133+R134+R135+R136)</f>
        <v/>
      </c>
      <c r="S22" s="927">
        <f>SUM((S128+S129)*-25%)+(S128+S129)+(S130+S131+S132+S133+S134+S135+S136)</f>
        <v/>
      </c>
      <c r="T22" s="927">
        <f>SUM((T128+T129)*-25%)+(T128+T129)+(T130+T131+T132+T133+T134+T135+T136)</f>
        <v/>
      </c>
      <c r="U22" s="927">
        <f>SUM((U128+U129)*-25%)+(U128+U129)+(U130+U131+U132+U133+U134+U135+U136)</f>
        <v/>
      </c>
      <c r="V22" s="927">
        <f>SUM((V128+V129)*-25%)+(V128+V129)+(V130+V131+V132+V133+V134+V135+V136)</f>
        <v/>
      </c>
      <c r="W22" s="927">
        <f>SUM((W128+W129)*-30%)+(W128+W129)+(W130+W131+W132+W133+W134+W135+W136)</f>
        <v/>
      </c>
      <c r="X22" s="583">
        <f>W22/AB3</f>
        <v/>
      </c>
      <c r="Y22" s="836" t="n"/>
      <c r="AB22" s="445" t="n"/>
    </row>
    <row r="23" ht="13.9" customHeight="1" s="1232">
      <c r="B23" s="1271" t="inlineStr">
        <is>
          <t>Pixsy</t>
        </is>
      </c>
      <c r="C23" s="1271" t="inlineStr">
        <is>
          <t>Deals Won - Waiting £</t>
        </is>
      </c>
      <c r="D23" s="1282" t="n"/>
      <c r="E23" s="1296" t="n"/>
      <c r="F23" s="1297" t="n"/>
      <c r="I23" s="1308" t="inlineStr">
        <is>
          <t>Cash %</t>
        </is>
      </c>
      <c r="J23" s="1309" t="n"/>
      <c r="K23" s="931">
        <f>K22/K18</f>
        <v/>
      </c>
      <c r="L23" s="931">
        <f>L22/L18</f>
        <v/>
      </c>
      <c r="M23" s="931">
        <f>M22/M18</f>
        <v/>
      </c>
      <c r="N23" s="931">
        <f>N22/N18</f>
        <v/>
      </c>
      <c r="O23" s="931">
        <f>O22/O18</f>
        <v/>
      </c>
      <c r="P23" s="931">
        <f>P22/P18</f>
        <v/>
      </c>
      <c r="Q23" s="931">
        <f>Q22/Q18</f>
        <v/>
      </c>
      <c r="R23" s="931">
        <f>R22/R18</f>
        <v/>
      </c>
      <c r="S23" s="931">
        <f>S22/S18</f>
        <v/>
      </c>
      <c r="T23" s="931">
        <f>T22/T18</f>
        <v/>
      </c>
      <c r="U23" s="931">
        <f>U22/U18</f>
        <v/>
      </c>
      <c r="V23" s="931">
        <f>V22/V18</f>
        <v/>
      </c>
      <c r="W23" s="930">
        <f>W22/W18</f>
        <v/>
      </c>
      <c r="X23" s="583" t="n"/>
      <c r="Y23" s="836" t="n"/>
      <c r="AB23" s="445" t="n"/>
    </row>
    <row r="24" ht="13.9" customHeight="1" s="1232">
      <c r="B24" s="1271" t="inlineStr">
        <is>
          <t>Kase Affiliation</t>
        </is>
      </c>
      <c r="C24" s="1271" t="inlineStr">
        <is>
          <t>Deals Won - Waiting £</t>
        </is>
      </c>
      <c r="D24" s="470" t="n"/>
      <c r="E24" s="1296" t="n">
        <v>100</v>
      </c>
      <c r="F24" s="1260" t="inlineStr">
        <is>
          <t>Kase Commission</t>
        </is>
      </c>
      <c r="I24" s="1310" t="inlineStr">
        <is>
          <t>Year on year Improvement %</t>
        </is>
      </c>
      <c r="J24" s="1311" t="inlineStr">
        <is>
          <t>2025 v 2024</t>
        </is>
      </c>
      <c r="K24" s="923">
        <f>IFERROR((K18-K30)/K31,0)</f>
        <v/>
      </c>
      <c r="L24" s="923">
        <f>IFERROR((L18-L30)/L31,0)</f>
        <v/>
      </c>
      <c r="M24" s="923">
        <f>IFERROR((M18-M30)/M31,0)</f>
        <v/>
      </c>
      <c r="N24" s="923">
        <f>IFERROR((N18-N30)/N31,0)</f>
        <v/>
      </c>
      <c r="O24" s="923">
        <f>IFERROR((O18-O30)/O31,0)</f>
        <v/>
      </c>
      <c r="P24" s="923">
        <f>IFERROR((P18-P30)/P31,0)</f>
        <v/>
      </c>
      <c r="Q24" s="923">
        <f>IFERROR((Q18-Q30)/Q31,0)</f>
        <v/>
      </c>
      <c r="R24" s="923">
        <f>IFERROR((R18-R30)/R31,0)</f>
        <v/>
      </c>
      <c r="S24" s="923">
        <f>IFERROR((S18-S30)/S31,0)</f>
        <v/>
      </c>
      <c r="T24" s="923">
        <f>IFERROR((T18-T30)/T31,0)</f>
        <v/>
      </c>
      <c r="U24" s="923">
        <f>IFERROR((U18-U30)/U31,0)</f>
        <v/>
      </c>
      <c r="V24" s="923">
        <f>IFERROR((V18-V30)/V31,0)</f>
        <v/>
      </c>
      <c r="W24" s="923">
        <f>IFERROR((W18-W30)/W31,0)</f>
        <v/>
      </c>
      <c r="X24" s="583" t="n"/>
      <c r="Y24" s="585" t="n"/>
      <c r="Z24" s="1260" t="inlineStr">
        <is>
          <t>Last 6 months Avg</t>
        </is>
      </c>
      <c r="AB24" s="821">
        <f>SUM(T30+U30+V30+K18+S30+R30)/6</f>
        <v/>
      </c>
    </row>
    <row r="25" ht="13.9" customHeight="1" s="1232">
      <c r="B25" s="1271" t="inlineStr">
        <is>
          <t>Partnerize</t>
        </is>
      </c>
      <c r="C25" s="1271" t="inlineStr">
        <is>
          <t>Deals Won - Waiting £</t>
        </is>
      </c>
      <c r="E25" s="1296" t="n">
        <v>15</v>
      </c>
      <c r="F25" s="1260" t="inlineStr">
        <is>
          <t>MPB Commission</t>
        </is>
      </c>
      <c r="I25" s="1310" t="n"/>
      <c r="J25" s="1299" t="n"/>
      <c r="K25" s="1299" t="n"/>
      <c r="L25" s="1299" t="n"/>
      <c r="V25" s="432" t="n">
        <v>3692</v>
      </c>
      <c r="W25" s="432">
        <f>V18-V25</f>
        <v/>
      </c>
      <c r="X25" s="583" t="n"/>
      <c r="Y25" s="585" t="n"/>
      <c r="Z25" s="1260" t="n"/>
      <c r="AB25" s="821" t="n"/>
    </row>
    <row r="26" ht="13.9" customHeight="1" s="1232">
      <c r="B26" s="1271" t="inlineStr">
        <is>
          <t>Pure Photo</t>
        </is>
      </c>
      <c r="C26" s="1271" t="inlineStr">
        <is>
          <t>Deals Won - Waiting £</t>
        </is>
      </c>
      <c r="D26" s="470" t="n"/>
      <c r="E26" s="1296" t="n"/>
      <c r="F26" s="1297" t="n"/>
      <c r="I26" s="1310" t="n"/>
      <c r="J26" s="1311" t="inlineStr">
        <is>
          <t>Hrly Rate (8hrs)</t>
        </is>
      </c>
      <c r="K26" s="1284">
        <f>SUM(K20/K4)/8</f>
        <v/>
      </c>
      <c r="L26" s="1284">
        <f>SUM(L20/L4)/8</f>
        <v/>
      </c>
      <c r="M26" s="1284">
        <f>SUM(M20/M4)/8</f>
        <v/>
      </c>
      <c r="N26" s="1284">
        <f>SUM(N20/N4)/8</f>
        <v/>
      </c>
      <c r="O26" s="1284">
        <f>SUM(O20/O4)/8</f>
        <v/>
      </c>
      <c r="P26" s="1284">
        <f>SUM(P20/P4)/8</f>
        <v/>
      </c>
      <c r="Q26" s="1284">
        <f>SUM(Q20/Q4)/8</f>
        <v/>
      </c>
      <c r="R26" s="1284">
        <f>SUM(R20/R4)/8</f>
        <v/>
      </c>
      <c r="S26" s="1284">
        <f>SUM(S20/S4)/8</f>
        <v/>
      </c>
      <c r="T26" s="1284">
        <f>SUM(T20/T4)/8</f>
        <v/>
      </c>
      <c r="U26" s="1284">
        <f>SUM(U20/U4)/8</f>
        <v/>
      </c>
      <c r="V26" s="1284">
        <f>SUM(V20/V4)/8</f>
        <v/>
      </c>
      <c r="W26" s="1312">
        <f>AVERAGE(K26:V26)</f>
        <v/>
      </c>
      <c r="X26" s="583" t="n"/>
      <c r="Y26" s="585" t="n"/>
      <c r="Z26" s="1260" t="n"/>
      <c r="AB26" s="821" t="n"/>
    </row>
    <row r="27" ht="13.9" customHeight="1" s="1232">
      <c r="B27" s="1271" t="inlineStr">
        <is>
          <t>Artfully Walls</t>
        </is>
      </c>
      <c r="C27" s="1271" t="inlineStr">
        <is>
          <t>Deals Won - Waiting £</t>
        </is>
      </c>
      <c r="D27" s="470" t="n"/>
      <c r="E27" s="1296" t="n">
        <v>0</v>
      </c>
      <c r="F27" s="1297" t="n"/>
      <c r="I27" s="1310" t="n"/>
      <c r="J27" s="1311" t="inlineStr">
        <is>
          <t>Daily Rate</t>
        </is>
      </c>
      <c r="K27" s="1284">
        <f>K20/K4</f>
        <v/>
      </c>
      <c r="L27" s="1284">
        <f>L20/L4</f>
        <v/>
      </c>
      <c r="M27" s="1284">
        <f>M20/M4</f>
        <v/>
      </c>
      <c r="N27" s="1284">
        <f>N20/N4</f>
        <v/>
      </c>
      <c r="O27" s="1284">
        <f>O20/O4</f>
        <v/>
      </c>
      <c r="P27" s="1284">
        <f>P20/P4</f>
        <v/>
      </c>
      <c r="Q27" s="1284">
        <f>Q20/Q4</f>
        <v/>
      </c>
      <c r="R27" s="1284">
        <f>R20/R4</f>
        <v/>
      </c>
      <c r="S27" s="1284">
        <f>S20/S4</f>
        <v/>
      </c>
      <c r="T27" s="1284">
        <f>T20/T4</f>
        <v/>
      </c>
      <c r="U27" s="1284">
        <f>U20/U4</f>
        <v/>
      </c>
      <c r="V27" s="1284">
        <f>V20/V4</f>
        <v/>
      </c>
      <c r="W27" s="1284">
        <f>AVERAGE(K27:V27)</f>
        <v/>
      </c>
      <c r="X27" s="583" t="n"/>
      <c r="Y27" s="585" t="n"/>
      <c r="Z27" s="1260" t="n"/>
      <c r="AB27" s="821" t="n"/>
    </row>
    <row r="28" ht="13.9" customHeight="1" s="1232">
      <c r="B28" s="1271" t="n"/>
      <c r="C28" s="1271" t="n"/>
      <c r="D28" s="470" t="n"/>
      <c r="E28" s="1296" t="n">
        <v>0</v>
      </c>
      <c r="F28" s="1297" t="n">
        <v>45596</v>
      </c>
      <c r="I28" s="1310" t="n"/>
      <c r="J28" s="1299" t="n"/>
      <c r="L28" s="914" t="n"/>
      <c r="M28" s="914" t="n"/>
      <c r="N28" s="914" t="n"/>
      <c r="O28" s="914" t="n"/>
      <c r="P28" s="914" t="n"/>
      <c r="X28" s="583" t="n"/>
      <c r="Y28" s="585" t="n"/>
      <c r="Z28" s="1260" t="n"/>
      <c r="AB28" s="821" t="n"/>
    </row>
    <row r="29" ht="13.9" customHeight="1" s="1232">
      <c r="B29" s="1271" t="inlineStr">
        <is>
          <t>The Heart of a Garden</t>
        </is>
      </c>
      <c r="C29" s="1271" t="inlineStr">
        <is>
          <t>Deals Won - Waiting £</t>
        </is>
      </c>
      <c r="D29" s="548" t="n"/>
      <c r="E29" s="1296" t="n"/>
      <c r="F29" s="1297" t="inlineStr">
        <is>
          <t>Greeting Cards</t>
        </is>
      </c>
      <c r="I29" s="1310" t="n"/>
      <c r="J29" s="1299" t="n"/>
      <c r="L29" s="914" t="n"/>
      <c r="M29" s="914" t="n"/>
      <c r="N29" s="914" t="n"/>
      <c r="O29" s="914" t="n"/>
      <c r="P29" s="914" t="n"/>
      <c r="X29" s="583" t="n"/>
      <c r="Y29" s="1069" t="n"/>
      <c r="Z29" s="1260" t="n"/>
      <c r="AB29" s="821" t="n"/>
    </row>
    <row r="30" ht="13.9" customHeight="1" s="1232">
      <c r="B30" s="1271" t="inlineStr">
        <is>
          <t>Photocrowd</t>
        </is>
      </c>
      <c r="C30" s="1271" t="inlineStr">
        <is>
          <t>Deals Won - Waiting £</t>
        </is>
      </c>
      <c r="D30" s="548" t="n"/>
      <c r="E30" s="1296" t="n"/>
      <c r="F30" s="1297" t="inlineStr">
        <is>
          <t>Judging Fee</t>
        </is>
      </c>
      <c r="I30" s="1313" t="inlineStr">
        <is>
          <t>2024</t>
        </is>
      </c>
      <c r="J30" s="1287" t="inlineStr">
        <is>
          <t>Year 12</t>
        </is>
      </c>
      <c r="K30" s="558" t="n">
        <v>2422</v>
      </c>
      <c r="L30" s="558" t="n">
        <v>3078.1</v>
      </c>
      <c r="M30" s="558" t="n">
        <v>1866.63</v>
      </c>
      <c r="N30" s="558" t="n">
        <v>5388.54</v>
      </c>
      <c r="O30" s="558" t="n">
        <v>4515.34</v>
      </c>
      <c r="P30" s="558" t="n">
        <v>2123.48</v>
      </c>
      <c r="Q30" s="558" t="n">
        <v>1272.5</v>
      </c>
      <c r="R30" s="558" t="n">
        <v>3673.58</v>
      </c>
      <c r="S30" s="558" t="n">
        <v>3203.46</v>
      </c>
      <c r="T30" s="558" t="n">
        <v>7757.34</v>
      </c>
      <c r="U30" s="558" t="n">
        <v>4832.82</v>
      </c>
      <c r="V30" s="558" t="n">
        <v>2657</v>
      </c>
      <c r="W30" s="431">
        <f>SUM(K30:V30)</f>
        <v/>
      </c>
      <c r="X30" s="583">
        <f>W30-W31</f>
        <v/>
      </c>
      <c r="Y30" s="585">
        <f>X30/W31</f>
        <v/>
      </c>
      <c r="Z30" s="1260" t="inlineStr">
        <is>
          <t>YTD YOY</t>
        </is>
      </c>
      <c r="AB30" s="821" t="n"/>
    </row>
    <row r="31" ht="13.9" customHeight="1" s="1232">
      <c r="B31" s="1271" t="inlineStr">
        <is>
          <t>Call of the Page</t>
        </is>
      </c>
      <c r="C31" s="1271" t="inlineStr">
        <is>
          <t>Deals Won - Waiting £</t>
        </is>
      </c>
      <c r="D31" s="470" t="n"/>
      <c r="E31" s="1296" t="n"/>
      <c r="F31" s="1297" t="inlineStr">
        <is>
          <t>Feedback time Sept</t>
        </is>
      </c>
      <c r="I31" s="1313" t="inlineStr">
        <is>
          <t>2023</t>
        </is>
      </c>
      <c r="J31" s="1287" t="inlineStr">
        <is>
          <t>Year 11</t>
        </is>
      </c>
      <c r="K31" s="558" t="n">
        <v>5354.48</v>
      </c>
      <c r="L31" s="558" t="n">
        <v>2837.58</v>
      </c>
      <c r="M31" s="558" t="n">
        <v>7495.8</v>
      </c>
      <c r="N31" s="558" t="n">
        <v>3303.37</v>
      </c>
      <c r="O31" s="558" t="n">
        <v>3794.39</v>
      </c>
      <c r="P31" s="558" t="n">
        <v>2830.65</v>
      </c>
      <c r="Q31" s="558" t="n">
        <v>2809.28</v>
      </c>
      <c r="R31" s="558" t="n">
        <v>5912.62</v>
      </c>
      <c r="S31" s="558" t="n">
        <v>2568.6</v>
      </c>
      <c r="T31" s="558" t="n">
        <v>3215.39</v>
      </c>
      <c r="U31" s="558" t="n">
        <v>5022.6</v>
      </c>
      <c r="V31" s="558" t="n">
        <v>8252.059999999999</v>
      </c>
      <c r="W31" s="431">
        <f>SUM(K31:V31)</f>
        <v/>
      </c>
      <c r="X31" s="583">
        <f>W31-W32</f>
        <v/>
      </c>
      <c r="Y31" s="585">
        <f>X31/W32</f>
        <v/>
      </c>
      <c r="Z31" s="1260" t="n"/>
      <c r="AB31" s="821" t="n"/>
    </row>
    <row r="32" ht="13.9" customHeight="1" s="1232">
      <c r="B32" s="1271" t="inlineStr">
        <is>
          <t>Outdoor Photographer</t>
        </is>
      </c>
      <c r="C32" s="1271" t="inlineStr">
        <is>
          <t>Deals Won - Waiting £</t>
        </is>
      </c>
      <c r="D32" s="470" t="n"/>
      <c r="E32" s="1296" t="n"/>
      <c r="F32" s="1297" t="n"/>
      <c r="I32" s="1313" t="inlineStr">
        <is>
          <t>2022</t>
        </is>
      </c>
      <c r="J32" s="1287" t="inlineStr">
        <is>
          <t>Year 10</t>
        </is>
      </c>
      <c r="K32" s="558" t="n">
        <v>18758.77</v>
      </c>
      <c r="L32" s="558" t="n">
        <v>3028.2</v>
      </c>
      <c r="M32" s="558" t="n">
        <v>5768.64</v>
      </c>
      <c r="N32" s="558" t="n">
        <v>7461.77</v>
      </c>
      <c r="O32" s="558" t="n">
        <v>5269.650000000001</v>
      </c>
      <c r="P32" s="558" t="n">
        <v>2223</v>
      </c>
      <c r="Q32" s="558" t="n">
        <v>2500.94</v>
      </c>
      <c r="R32" s="558" t="n">
        <v>2796.35</v>
      </c>
      <c r="S32" s="558" t="n">
        <v>3928.56</v>
      </c>
      <c r="T32" s="558" t="n">
        <v>2389</v>
      </c>
      <c r="U32" s="558" t="n">
        <v>3577.95</v>
      </c>
      <c r="V32" s="558" t="n">
        <v>3624.19</v>
      </c>
      <c r="W32" s="431">
        <f>SUM(K32:V32)</f>
        <v/>
      </c>
      <c r="X32" s="583">
        <f>W32-W33</f>
        <v/>
      </c>
      <c r="Y32" s="585">
        <f>X32/W33</f>
        <v/>
      </c>
      <c r="Z32" s="1260" t="n"/>
      <c r="AB32" s="821" t="n"/>
    </row>
    <row r="33" ht="13.9" customHeight="1" s="1232">
      <c r="B33" s="1271" t="n"/>
      <c r="C33" s="1271" t="n"/>
      <c r="E33" s="1296" t="n"/>
      <c r="I33" s="1313" t="inlineStr">
        <is>
          <t>2021</t>
        </is>
      </c>
      <c r="J33" s="1287" t="inlineStr">
        <is>
          <t>Year 9 (Covid-19)</t>
        </is>
      </c>
      <c r="K33" s="558" t="n">
        <v>1633</v>
      </c>
      <c r="L33" s="558" t="n">
        <v>3730.19</v>
      </c>
      <c r="M33" s="558" t="n">
        <v>18208.68</v>
      </c>
      <c r="N33" s="558" t="n">
        <v>3783</v>
      </c>
      <c r="O33" s="558" t="n">
        <v>3750.38</v>
      </c>
      <c r="P33" s="558" t="n">
        <v>4858.6</v>
      </c>
      <c r="Q33" s="558" t="n">
        <v>3785.35</v>
      </c>
      <c r="R33" s="558" t="n">
        <v>7391.76</v>
      </c>
      <c r="S33" s="558" t="n">
        <v>5355.23</v>
      </c>
      <c r="T33" s="558" t="n">
        <v>5201</v>
      </c>
      <c r="U33" s="558" t="n">
        <v>4340.02</v>
      </c>
      <c r="V33" s="558" t="n">
        <v>7628.76</v>
      </c>
      <c r="W33" s="431">
        <f>SUM(K33:V33)</f>
        <v/>
      </c>
      <c r="X33" s="583">
        <f>W33-W34</f>
        <v/>
      </c>
      <c r="Y33" s="585">
        <f>X33/W34</f>
        <v/>
      </c>
      <c r="Z33" s="1260" t="n"/>
      <c r="AB33" s="821" t="n"/>
    </row>
    <row r="34" ht="13.9" customHeight="1" s="1232">
      <c r="B34" s="1294" t="n"/>
      <c r="C34" s="1271" t="n"/>
      <c r="D34" s="470" t="n"/>
      <c r="E34" s="1296" t="n"/>
      <c r="F34" s="1297" t="n"/>
      <c r="I34" s="1313" t="inlineStr">
        <is>
          <t>2020</t>
        </is>
      </c>
      <c r="J34" s="1287" t="inlineStr">
        <is>
          <t>Year 8 (Covid-19)</t>
        </is>
      </c>
      <c r="K34" s="558" t="n">
        <v>7647.85</v>
      </c>
      <c r="L34" s="558" t="n">
        <v>5051.64</v>
      </c>
      <c r="M34" s="558" t="n">
        <v>4783.746923076923</v>
      </c>
      <c r="N34" s="558" t="n">
        <v>1598.35</v>
      </c>
      <c r="O34" s="558" t="n">
        <v>1786.66</v>
      </c>
      <c r="P34" s="558" t="n">
        <v>6854.62</v>
      </c>
      <c r="Q34" s="558" t="n">
        <v>2667</v>
      </c>
      <c r="R34" s="558" t="n">
        <v>11694.07</v>
      </c>
      <c r="S34" s="558" t="n">
        <v>4126.62</v>
      </c>
      <c r="T34" s="558" t="n">
        <v>2423.69</v>
      </c>
      <c r="U34" s="558" t="n">
        <v>3332.58</v>
      </c>
      <c r="V34" s="558" t="n">
        <v>3035.07</v>
      </c>
      <c r="W34" s="431">
        <f>SUM(K34:V34)</f>
        <v/>
      </c>
      <c r="X34" s="583">
        <f>W34-W35</f>
        <v/>
      </c>
      <c r="Y34" s="585">
        <f>X34/W35</f>
        <v/>
      </c>
      <c r="Z34" s="1260" t="n"/>
      <c r="AB34" s="821" t="n"/>
    </row>
    <row r="35" ht="13.9" customHeight="1" s="1232">
      <c r="B35" s="1260" t="n"/>
      <c r="C35" s="1271" t="n"/>
      <c r="D35" s="1271" t="n"/>
      <c r="E35" s="1296" t="n"/>
      <c r="F35" s="1314" t="n"/>
      <c r="G35" s="1297" t="n"/>
      <c r="I35" s="1313" t="inlineStr">
        <is>
          <t>2019</t>
        </is>
      </c>
      <c r="J35" s="1287" t="inlineStr">
        <is>
          <t>Year 7</t>
        </is>
      </c>
      <c r="K35" s="558" t="n">
        <v>5891.07</v>
      </c>
      <c r="L35" s="558" t="n">
        <v>2739.5</v>
      </c>
      <c r="M35" s="558" t="n">
        <v>4414.5</v>
      </c>
      <c r="N35" s="558" t="n">
        <v>5147.5</v>
      </c>
      <c r="O35" s="558" t="n">
        <v>6878</v>
      </c>
      <c r="P35" s="558" t="n">
        <v>4875.34</v>
      </c>
      <c r="Q35" s="558" t="n">
        <v>5769.97</v>
      </c>
      <c r="R35" s="558" t="n">
        <v>7463.89</v>
      </c>
      <c r="S35" s="558" t="n">
        <v>6034.39</v>
      </c>
      <c r="T35" s="558" t="n">
        <v>4573.58</v>
      </c>
      <c r="U35" s="558" t="n">
        <v>5973.75</v>
      </c>
      <c r="V35" s="558" t="n">
        <v>5421.440000000001</v>
      </c>
      <c r="W35" s="431">
        <f>SUM(K35:V35)</f>
        <v/>
      </c>
      <c r="X35" s="583">
        <f>W35-W36</f>
        <v/>
      </c>
      <c r="Y35" s="585">
        <f>X35/W36</f>
        <v/>
      </c>
      <c r="Z35" s="1260" t="inlineStr">
        <is>
          <t>Previous 6 months Avg</t>
        </is>
      </c>
      <c r="AB35" s="821">
        <f>SUM(L30+M30+Q30+P30+O30+N30)/6</f>
        <v/>
      </c>
    </row>
    <row r="36" ht="13.9" customHeight="1" s="1232">
      <c r="B36" s="1260" t="inlineStr">
        <is>
          <t>Into The Blue</t>
        </is>
      </c>
      <c r="C36" s="1271" t="inlineStr">
        <is>
          <t>Deals Won - Waiting £</t>
        </is>
      </c>
      <c r="D36" s="1271" t="n"/>
      <c r="E36" s="1296" t="n"/>
      <c r="F36" s="1271" t="n"/>
      <c r="G36" s="1315" t="n"/>
      <c r="I36" s="1313" t="inlineStr">
        <is>
          <t>2018</t>
        </is>
      </c>
      <c r="J36" s="1268" t="inlineStr">
        <is>
          <t>Year 6</t>
        </is>
      </c>
      <c r="K36" s="558" t="n">
        <v>8277.470000000001</v>
      </c>
      <c r="L36" s="558" t="n">
        <v>10607.11</v>
      </c>
      <c r="M36" s="558" t="n">
        <v>7155.05</v>
      </c>
      <c r="N36" s="558" t="n">
        <v>4371.015</v>
      </c>
      <c r="O36" s="558" t="n">
        <v>4002.63</v>
      </c>
      <c r="P36" s="558" t="n">
        <v>3243.6</v>
      </c>
      <c r="Q36" s="558" t="n">
        <v>2859.03</v>
      </c>
      <c r="R36" s="558" t="n">
        <v>4792.59</v>
      </c>
      <c r="S36" s="558" t="n">
        <v>6443.88</v>
      </c>
      <c r="T36" s="558" t="n">
        <v>3908.03</v>
      </c>
      <c r="U36" s="558" t="n">
        <v>8299.08</v>
      </c>
      <c r="V36" s="558" t="n">
        <v>4642.25</v>
      </c>
      <c r="W36" s="431">
        <f>SUM(K36:V36)</f>
        <v/>
      </c>
      <c r="X36" s="583">
        <f>W36-W37</f>
        <v/>
      </c>
      <c r="Y36" s="585">
        <f>X36/W37</f>
        <v/>
      </c>
      <c r="AB36" s="445">
        <f>SUM(AB24-AB35)/AB24</f>
        <v/>
      </c>
    </row>
    <row r="37" ht="13.9" customHeight="1" s="1232">
      <c r="B37" s="1260" t="inlineStr">
        <is>
          <t>Into The Blue</t>
        </is>
      </c>
      <c r="C37" s="1271" t="inlineStr">
        <is>
          <t>Deals Won - Waiting £</t>
        </is>
      </c>
      <c r="D37" s="1271" t="inlineStr">
        <is>
          <t>Sharon MacDonald</t>
        </is>
      </c>
      <c r="E37" s="1296" t="n">
        <v>240</v>
      </c>
      <c r="F37" s="1297" t="inlineStr">
        <is>
          <t>Peak District 16 May</t>
        </is>
      </c>
      <c r="G37" s="1315" t="n"/>
      <c r="I37" s="1316" t="inlineStr">
        <is>
          <t>2017</t>
        </is>
      </c>
      <c r="J37" s="1268" t="inlineStr">
        <is>
          <t>Year 5</t>
        </is>
      </c>
      <c r="K37" s="558" t="n">
        <v>3203.5</v>
      </c>
      <c r="L37" s="558" t="n">
        <v>6685</v>
      </c>
      <c r="M37" s="558" t="n">
        <v>6242.83</v>
      </c>
      <c r="N37" s="558" t="n">
        <v>6063.17</v>
      </c>
      <c r="O37" s="558" t="n">
        <v>5851.71</v>
      </c>
      <c r="P37" s="558" t="n">
        <v>5479.93</v>
      </c>
      <c r="Q37" s="558" t="n">
        <v>3603.81</v>
      </c>
      <c r="R37" s="558" t="n">
        <v>4658.85</v>
      </c>
      <c r="S37" s="558" t="n">
        <v>10821.67</v>
      </c>
      <c r="T37" s="558" t="n">
        <v>9224.58</v>
      </c>
      <c r="U37" s="558" t="n">
        <v>10504.09</v>
      </c>
      <c r="V37" s="558" t="n">
        <v>4329.030000000001</v>
      </c>
      <c r="W37" s="431">
        <f>SUM(K37:V37)</f>
        <v/>
      </c>
      <c r="X37" s="583">
        <f>W37-W38</f>
        <v/>
      </c>
      <c r="Y37" s="585">
        <f>X37/W38</f>
        <v/>
      </c>
    </row>
    <row r="38" ht="13.9" customHeight="1" s="1232">
      <c r="B38" s="1260" t="inlineStr">
        <is>
          <t>Into The Blue</t>
        </is>
      </c>
      <c r="C38" s="1271" t="inlineStr">
        <is>
          <t>Deals Won - Waiting £</t>
        </is>
      </c>
      <c r="D38" s="1271" t="inlineStr">
        <is>
          <t>Lisa Vincent</t>
        </is>
      </c>
      <c r="E38" s="1296" t="n">
        <v>120</v>
      </c>
      <c r="F38" s="1297" t="inlineStr">
        <is>
          <t>Peak District 16 May</t>
        </is>
      </c>
      <c r="G38" s="1315" t="inlineStr">
        <is>
          <t>2512030559</t>
        </is>
      </c>
      <c r="I38" s="1316" t="inlineStr">
        <is>
          <t>2016</t>
        </is>
      </c>
      <c r="J38" s="1287" t="inlineStr">
        <is>
          <t>Year 4 (surgery)</t>
        </is>
      </c>
      <c r="K38" s="558" t="n">
        <v>4537</v>
      </c>
      <c r="L38" s="558">
        <f>4583-264</f>
        <v/>
      </c>
      <c r="M38" s="558">
        <f>3935-213</f>
        <v/>
      </c>
      <c r="N38" s="558">
        <f>4947-396</f>
        <v/>
      </c>
      <c r="O38" s="558">
        <f>3911-293</f>
        <v/>
      </c>
      <c r="P38" s="558">
        <f>2992-213</f>
        <v/>
      </c>
      <c r="Q38" s="558">
        <f>2927-218</f>
        <v/>
      </c>
      <c r="R38" s="558">
        <f>7466-213</f>
        <v/>
      </c>
      <c r="S38" s="558">
        <f>4218-425</f>
        <v/>
      </c>
      <c r="T38" s="558">
        <f>10697-213</f>
        <v/>
      </c>
      <c r="U38" s="558">
        <f>5081-213</f>
        <v/>
      </c>
      <c r="V38" s="558">
        <f>5220-213</f>
        <v/>
      </c>
      <c r="W38" s="431">
        <f>SUM(K38:V38)</f>
        <v/>
      </c>
      <c r="X38" s="583">
        <f>W38-W39</f>
        <v/>
      </c>
      <c r="Y38" s="585">
        <f>X38/W39</f>
        <v/>
      </c>
      <c r="Z38" s="445" t="n"/>
      <c r="AA38" s="771" t="n"/>
      <c r="AB38" s="803" t="n"/>
    </row>
    <row r="39" ht="13.9" customHeight="1" s="1232">
      <c r="B39" s="1260" t="inlineStr">
        <is>
          <t>Into The Blue</t>
        </is>
      </c>
      <c r="C39" s="1271" t="inlineStr">
        <is>
          <t>Deals Won - Waiting £</t>
        </is>
      </c>
      <c r="D39" s="1271" t="n"/>
      <c r="E39" s="1296" t="n"/>
      <c r="F39" s="1271" t="n"/>
      <c r="G39" s="1315" t="n"/>
      <c r="I39" s="1316" t="inlineStr">
        <is>
          <t>2015</t>
        </is>
      </c>
      <c r="J39" s="1260" t="inlineStr">
        <is>
          <t>Year 3</t>
        </is>
      </c>
      <c r="K39" s="558" t="n">
        <v>3710</v>
      </c>
      <c r="L39" s="558" t="n">
        <v>3750</v>
      </c>
      <c r="M39" s="558" t="n">
        <v>7113</v>
      </c>
      <c r="N39" s="558">
        <f>3928-213</f>
        <v/>
      </c>
      <c r="O39" s="558">
        <f>2501-213</f>
        <v/>
      </c>
      <c r="P39" s="558">
        <f>3468-213</f>
        <v/>
      </c>
      <c r="Q39" s="558">
        <f>1986-224</f>
        <v/>
      </c>
      <c r="R39" s="558">
        <f>4145-212</f>
        <v/>
      </c>
      <c r="S39" s="558">
        <f>8518-212</f>
        <v/>
      </c>
      <c r="T39" s="558">
        <f>5829-424</f>
        <v/>
      </c>
      <c r="U39" s="558">
        <f>3816-212</f>
        <v/>
      </c>
      <c r="V39" s="558">
        <f>12440-212</f>
        <v/>
      </c>
      <c r="W39" s="431">
        <f>SUM(K39:V39)</f>
        <v/>
      </c>
      <c r="X39" s="583">
        <f>W39-W40</f>
        <v/>
      </c>
      <c r="Y39" s="585">
        <f>X39/W40</f>
        <v/>
      </c>
      <c r="Z39" s="445" t="n"/>
      <c r="AA39" s="445" t="n"/>
      <c r="AB39" s="1260" t="inlineStr">
        <is>
          <t>.</t>
        </is>
      </c>
    </row>
    <row r="40" ht="13.9" customHeight="1" s="1232">
      <c r="D40" s="1271" t="n"/>
      <c r="E40" s="1296" t="n"/>
      <c r="G40" s="1315" t="n"/>
      <c r="I40" s="1316" t="inlineStr">
        <is>
          <t>2014</t>
        </is>
      </c>
      <c r="J40" s="1260" t="inlineStr">
        <is>
          <t>Year 2</t>
        </is>
      </c>
      <c r="K40" s="558">
        <f>4439-1260</f>
        <v/>
      </c>
      <c r="L40" s="558">
        <f>3071-197</f>
        <v/>
      </c>
      <c r="M40" s="558">
        <f>4958-132</f>
        <v/>
      </c>
      <c r="N40" s="558">
        <f>3585-132</f>
        <v/>
      </c>
      <c r="O40" s="558">
        <f>5008-33</f>
        <v/>
      </c>
      <c r="P40" s="558" t="n">
        <v>3386</v>
      </c>
      <c r="Q40" s="558" t="n">
        <v>3633</v>
      </c>
      <c r="R40" s="558" t="n">
        <v>3855</v>
      </c>
      <c r="S40" s="558" t="n">
        <v>6440</v>
      </c>
      <c r="T40" s="558" t="n">
        <v>3536</v>
      </c>
      <c r="U40" s="558" t="n">
        <v>2851</v>
      </c>
      <c r="V40" s="558" t="n">
        <v>7614</v>
      </c>
      <c r="W40" s="431">
        <f>SUM(K40:V40)</f>
        <v/>
      </c>
      <c r="X40" s="583">
        <f>W40-W41</f>
        <v/>
      </c>
      <c r="Y40" s="585">
        <f>X40/W41</f>
        <v/>
      </c>
    </row>
    <row r="41" ht="13.9" customHeight="1" s="1232">
      <c r="D41" s="1271" t="n"/>
      <c r="E41" s="1296" t="n"/>
      <c r="G41" s="1315" t="n"/>
      <c r="I41" s="1313" t="inlineStr">
        <is>
          <t>2013</t>
        </is>
      </c>
      <c r="J41" s="1260" t="inlineStr">
        <is>
          <t>Year 1</t>
        </is>
      </c>
      <c r="K41" s="558" t="n"/>
      <c r="L41" s="558" t="n"/>
      <c r="M41" s="558" t="n"/>
      <c r="N41" s="558" t="n"/>
      <c r="O41" s="558" t="n"/>
      <c r="P41" s="558" t="n"/>
      <c r="Q41" s="558" t="n"/>
      <c r="R41" s="558" t="n"/>
      <c r="S41" s="558" t="n"/>
      <c r="T41" s="558" t="n"/>
      <c r="U41" s="558">
        <f>3346-338</f>
        <v/>
      </c>
      <c r="V41" s="558">
        <f>6776-390</f>
        <v/>
      </c>
      <c r="W41" s="431">
        <f>SUM(K41:V41)</f>
        <v/>
      </c>
    </row>
    <row r="42" ht="13.9" customHeight="1" s="1232">
      <c r="E42" s="1317">
        <f>SUM(E35:E41)</f>
        <v/>
      </c>
      <c r="X42" s="1260" t="inlineStr">
        <is>
          <t>YoY +/-</t>
        </is>
      </c>
      <c r="Y42" s="688">
        <f>W30-W31</f>
        <v/>
      </c>
      <c r="Z42" s="839">
        <f>Y42/W30</f>
        <v/>
      </c>
    </row>
    <row r="43" ht="15" customHeight="1" s="1232">
      <c r="I43" s="1318" t="inlineStr">
        <is>
          <t>Leads In Progress</t>
        </is>
      </c>
      <c r="J43" s="448">
        <f>SUMIF($C2:E95,I43,$E2:$E64)</f>
        <v/>
      </c>
      <c r="K43" s="558">
        <f>AVERAGE(K30:K31)</f>
        <v/>
      </c>
      <c r="L43" s="558">
        <f>AVERAGE(L30:L31)</f>
        <v/>
      </c>
      <c r="M43" s="558">
        <f>AVERAGE(M30:M31)</f>
        <v/>
      </c>
      <c r="N43" s="558">
        <f>AVERAGE(N30:N31)</f>
        <v/>
      </c>
      <c r="O43" s="558">
        <f>AVERAGE(O30:O31)</f>
        <v/>
      </c>
      <c r="P43" s="558">
        <f>AVERAGE(P30:P31)</f>
        <v/>
      </c>
      <c r="Q43" s="558">
        <f>AVERAGE(Q30:Q31)</f>
        <v/>
      </c>
      <c r="R43" s="558">
        <f>AVERAGE(R30:R31)</f>
        <v/>
      </c>
      <c r="S43" s="558">
        <f>AVERAGE(S30:S31)</f>
        <v/>
      </c>
      <c r="T43" s="558">
        <f>AVERAGE(T30:T31)</f>
        <v/>
      </c>
      <c r="U43" s="558">
        <f>AVERAGE(U30:U31)</f>
        <v/>
      </c>
      <c r="V43" s="558">
        <f>AVERAGE(V30:V31)</f>
        <v/>
      </c>
      <c r="W43" s="449">
        <f>SUM(K43:V43)</f>
        <v/>
      </c>
      <c r="X43" s="449" t="inlineStr">
        <is>
          <t>2YR Avg</t>
        </is>
      </c>
    </row>
    <row r="44" ht="15" customHeight="1" s="1232">
      <c r="B44" s="1271" t="n"/>
      <c r="C44" s="1271" t="n"/>
      <c r="D44" s="470" t="n"/>
      <c r="E44" s="1296" t="n"/>
      <c r="F44" s="1297" t="n"/>
      <c r="I44" s="1319" t="inlineStr">
        <is>
          <t>Deals Won - Waiting £</t>
        </is>
      </c>
      <c r="J44" s="451">
        <f>SUMIF($C18:D144,I44,$E18:$E144)</f>
        <v/>
      </c>
      <c r="L44" s="449" t="n"/>
      <c r="M44" s="449" t="n"/>
      <c r="N44" s="449" t="n"/>
      <c r="O44" s="449" t="n"/>
      <c r="P44" s="449" t="n"/>
      <c r="Q44" s="449" t="n"/>
      <c r="R44" s="449" t="n"/>
      <c r="S44" s="449" t="n"/>
      <c r="T44" s="449" t="n"/>
      <c r="U44" s="449" t="n"/>
      <c r="V44" s="449" t="n"/>
      <c r="W44" s="449" t="n"/>
      <c r="X44" s="449" t="n"/>
    </row>
    <row r="45" ht="32.75" customHeight="1" s="1232" thickBot="1">
      <c r="A45" s="1268" t="inlineStr">
        <is>
          <t>Invoice</t>
        </is>
      </c>
      <c r="B45" s="1268" t="inlineStr">
        <is>
          <t>JLR</t>
        </is>
      </c>
      <c r="D45" s="1268" t="inlineStr">
        <is>
          <t>Count Units Payment Month</t>
        </is>
      </c>
      <c r="E45" s="1320" t="inlineStr">
        <is>
          <t>Pay  Due Amounts</t>
        </is>
      </c>
      <c r="F45" s="1321" t="inlineStr">
        <is>
          <t>Paid</t>
        </is>
      </c>
      <c r="G45" s="1321" t="inlineStr">
        <is>
          <t>Outstanding</t>
        </is>
      </c>
      <c r="H45" s="1321" t="n"/>
      <c r="I45" s="1322" t="inlineStr">
        <is>
          <t xml:space="preserve">Total </t>
        </is>
      </c>
      <c r="J45" s="453">
        <f>SUM(J43:J44)</f>
        <v/>
      </c>
      <c r="K45" s="914" t="n"/>
      <c r="L45" s="914" t="n"/>
      <c r="M45" s="914" t="n"/>
      <c r="N45" s="914" t="n"/>
      <c r="O45" s="914" t="n"/>
      <c r="P45" s="914" t="n"/>
      <c r="Q45" s="914" t="n"/>
      <c r="R45" s="914" t="n"/>
      <c r="S45" s="914" t="n"/>
      <c r="T45" s="914" t="n"/>
      <c r="U45" s="1219" t="inlineStr">
        <is>
          <t>To Date - All Time</t>
        </is>
      </c>
      <c r="V45" s="1220" t="n"/>
      <c r="W45" s="688">
        <f>SUM(W30:W41)+W18</f>
        <v/>
      </c>
      <c r="X45" s="914" t="n"/>
    </row>
    <row r="46" ht="13.9" customHeight="1" s="1232" thickBot="1">
      <c r="A46" s="1323" t="n"/>
      <c r="B46" s="1324" t="n"/>
      <c r="C46" s="1271" t="n"/>
      <c r="D46" s="1325" t="n"/>
      <c r="E46" s="1325" t="n"/>
      <c r="F46" s="1126" t="n"/>
      <c r="G46" s="1323" t="n"/>
      <c r="H46" s="1326" t="n"/>
      <c r="J46" s="914" t="n"/>
      <c r="K46" s="914" t="n"/>
      <c r="L46" s="914" t="n"/>
      <c r="M46" s="914" t="n"/>
      <c r="N46" s="914" t="n"/>
      <c r="O46" s="914" t="n"/>
      <c r="P46" s="914" t="n"/>
      <c r="Q46" s="914" t="n"/>
      <c r="R46" s="914" t="n"/>
      <c r="S46" s="914" t="n"/>
      <c r="T46" s="914" t="n"/>
      <c r="U46" s="1219" t="inlineStr">
        <is>
          <t>Average Per Year</t>
        </is>
      </c>
      <c r="V46" s="1220" t="n"/>
      <c r="W46" s="558">
        <f>SUM(W31:W40)/13</f>
        <v/>
      </c>
      <c r="X46" s="914" t="n"/>
    </row>
    <row r="47" ht="13.9" customHeight="1" s="1232">
      <c r="A47" s="1126" t="n">
        <v>45748</v>
      </c>
      <c r="B47" s="1129" t="n">
        <v>45777</v>
      </c>
      <c r="C47" s="1271" t="inlineStr">
        <is>
          <t>Deals Won - Waiting £</t>
        </is>
      </c>
      <c r="D47" s="1147">
        <f>COUNTIFS('JLR Bookings'!$V$1:$V$272, "&gt;=" &amp; A47, 'JLR Bookings'!$V$1:$V$272, "&lt;=" &amp; B47)</f>
        <v/>
      </c>
      <c r="E47" s="1131">
        <f>SUMIFS('JLR Bookings'!$Q$2:$Q$272, 'JLR Bookings'!$V$2:$V$272, "&gt;=" &amp; A47, 'JLR Bookings'!$V$2:$V$272, "&lt;=" &amp; B47)</f>
        <v/>
      </c>
      <c r="F47" s="1131">
        <f>SUMIFS('JLR Bookings'!$W$2:$W$272, 'JLR Bookings'!$V$2:$V$272, "&gt;=" &amp; A47, 'JLR Bookings'!$V$2:$V$272, "&lt;=" &amp; B47)</f>
        <v/>
      </c>
      <c r="G47" s="1152">
        <f>E47-F47</f>
        <v/>
      </c>
      <c r="H47" s="1326" t="n"/>
      <c r="I47" s="1327" t="inlineStr">
        <is>
          <t>YTD Actual</t>
        </is>
      </c>
      <c r="J47" s="456">
        <f>W18</f>
        <v/>
      </c>
      <c r="K47" s="914">
        <f>SUM(E209:E693)-J47</f>
        <v/>
      </c>
      <c r="L47" s="914" t="n"/>
      <c r="M47" s="914" t="n"/>
      <c r="N47" s="914" t="n"/>
      <c r="O47" s="914" t="n"/>
      <c r="P47" s="914" t="n"/>
      <c r="Q47" s="914" t="n"/>
      <c r="R47" s="914" t="n"/>
      <c r="S47" s="914" t="n"/>
      <c r="T47" s="914" t="n"/>
      <c r="U47" s="914" t="n"/>
      <c r="V47" s="914" t="n"/>
      <c r="W47" s="914" t="n"/>
      <c r="X47" s="914" t="n"/>
    </row>
    <row r="48" ht="14.25" customHeight="1" s="1232" thickBot="1">
      <c r="A48" s="1126" t="n">
        <v>45778</v>
      </c>
      <c r="B48" s="1129" t="n">
        <v>45808</v>
      </c>
      <c r="C48" s="1271" t="inlineStr">
        <is>
          <t>Deals Won - Waiting £</t>
        </is>
      </c>
      <c r="D48" s="1147">
        <f>COUNTIFS('JLR Bookings'!$V$1:$V$272, "&gt;=" &amp; A48, 'JLR Bookings'!$V$1:$V$272, "&lt;=" &amp; B48)</f>
        <v/>
      </c>
      <c r="E48" s="1131">
        <f>SUMIFS('JLR Bookings'!$Q$2:$Q$272, 'JLR Bookings'!$V$2:$V$272, "&gt;=" &amp; A48, 'JLR Bookings'!$V$2:$V$272, "&lt;=" &amp; B48)</f>
        <v/>
      </c>
      <c r="F48" s="1131">
        <f>SUMIFS('JLR Bookings'!$W$2:$W$272, 'JLR Bookings'!$V$2:$V$272, "&gt;=" &amp; A48, 'JLR Bookings'!$V$2:$V$272, "&lt;=" &amp; B48)</f>
        <v/>
      </c>
      <c r="G48" s="1152">
        <f>E48-F48</f>
        <v/>
      </c>
      <c r="H48" s="1326" t="n"/>
      <c r="I48" s="1328" t="inlineStr">
        <is>
          <t>YTD Var to target</t>
        </is>
      </c>
      <c r="J48" s="458">
        <f>J47-AA18</f>
        <v/>
      </c>
      <c r="K48" s="914" t="n"/>
      <c r="L48" s="914" t="n"/>
      <c r="M48" s="914" t="n"/>
      <c r="N48" s="914" t="n"/>
      <c r="O48" s="914" t="n"/>
      <c r="P48" s="914" t="n"/>
      <c r="Q48" s="914" t="n"/>
      <c r="R48" s="914" t="n"/>
      <c r="S48" s="914" t="n"/>
      <c r="T48" s="914" t="n"/>
      <c r="U48" s="914" t="n"/>
      <c r="V48" s="914" t="n"/>
      <c r="W48" s="914" t="n"/>
      <c r="X48" s="914" t="n"/>
    </row>
    <row r="49" ht="13.5" customHeight="1" s="1232">
      <c r="A49" s="1126" t="n">
        <v>45809</v>
      </c>
      <c r="B49" s="1129" t="n">
        <v>45838</v>
      </c>
      <c r="C49" s="1271" t="inlineStr">
        <is>
          <t>Deals Won - Waiting £</t>
        </is>
      </c>
      <c r="D49" s="1147">
        <f>COUNTIFS('JLR Bookings'!$V$1:$V$272, "&gt;=" &amp; A49, 'JLR Bookings'!$V$1:$V$272, "&lt;=" &amp; B49)</f>
        <v/>
      </c>
      <c r="E49" s="1131">
        <f>SUMIFS('JLR Bookings'!$Q$2:$Q$272, 'JLR Bookings'!$V$2:$V$272, "&gt;=" &amp; A49, 'JLR Bookings'!$V$2:$V$272, "&lt;=" &amp; B49)</f>
        <v/>
      </c>
      <c r="F49" s="1131">
        <f>SUMIFS('JLR Bookings'!$W$2:$W$272, 'JLR Bookings'!$V$2:$V$272, "&gt;=" &amp; A49, 'JLR Bookings'!$V$2:$V$272, "&lt;=" &amp; B49)</f>
        <v/>
      </c>
      <c r="G49" s="1152">
        <f>E49-F49</f>
        <v/>
      </c>
      <c r="H49" s="1326" t="n"/>
    </row>
    <row r="50" ht="13.9" customHeight="1" s="1232">
      <c r="A50" s="1126" t="n">
        <v>45839</v>
      </c>
      <c r="B50" s="1129" t="n">
        <v>45869</v>
      </c>
      <c r="C50" s="1271" t="inlineStr">
        <is>
          <t>Deals Won - Waiting £</t>
        </is>
      </c>
      <c r="D50" s="1147">
        <f>COUNTIFS('JLR Bookings'!$V$1:$V$272, "&gt;=" &amp; A50, 'JLR Bookings'!$V$1:$V$272, "&lt;=" &amp; B50)</f>
        <v/>
      </c>
      <c r="E50" s="1131">
        <f>SUMIFS('JLR Bookings'!$Q$2:$Q$272, 'JLR Bookings'!$V$2:$V$272, "&gt;=" &amp; A50, 'JLR Bookings'!$V$2:$V$272, "&lt;=" &amp; B50)</f>
        <v/>
      </c>
      <c r="F50" s="1131">
        <f>SUMIFS('JLR Bookings'!$W$2:$W$272, 'JLR Bookings'!$V$2:$V$272, "&gt;=" &amp; A50, 'JLR Bookings'!$V$2:$V$272, "&lt;=" &amp; B50)</f>
        <v/>
      </c>
      <c r="G50" s="1152">
        <f>E50-F50</f>
        <v/>
      </c>
      <c r="H50" s="1326" t="n"/>
      <c r="I50" s="1329" t="inlineStr">
        <is>
          <t>JLR Anlsyis 2025</t>
        </is>
      </c>
      <c r="J50" s="1330" t="n"/>
      <c r="K50" s="1331" t="inlineStr">
        <is>
          <t>Non JLR</t>
        </is>
      </c>
      <c r="L50" s="1331" t="inlineStr">
        <is>
          <t>JLR</t>
        </is>
      </c>
      <c r="M50" s="1331" t="inlineStr">
        <is>
          <t>TOTAL</t>
        </is>
      </c>
      <c r="N50" s="1331" t="inlineStr">
        <is>
          <t>Diff</t>
        </is>
      </c>
      <c r="O50" s="1332" t="n"/>
      <c r="P50" s="1332" t="n"/>
      <c r="Q50" s="1332" t="n"/>
      <c r="R50" s="1332" t="n"/>
      <c r="S50" s="1332" t="n"/>
      <c r="T50" s="1332" t="n"/>
      <c r="U50" s="1332" t="n"/>
      <c r="V50" s="1332" t="n"/>
      <c r="W50" s="1278" t="n"/>
    </row>
    <row r="51" ht="13.5" customHeight="1" s="1232">
      <c r="A51" s="1126" t="n">
        <v>45870</v>
      </c>
      <c r="B51" s="1129" t="n">
        <v>45900</v>
      </c>
      <c r="C51" s="1271" t="inlineStr">
        <is>
          <t>Deals Won - Waiting £</t>
        </is>
      </c>
      <c r="D51" s="1147">
        <f>COUNTIFS('JLR Bookings'!$V$1:$V$272, "&gt;=" &amp; A51, 'JLR Bookings'!$V$1:$V$272, "&lt;=" &amp; B51)</f>
        <v/>
      </c>
      <c r="E51" s="1131">
        <f>SUMIFS('JLR Bookings'!$Q$2:$Q$272, 'JLR Bookings'!$V$2:$V$272, "&gt;=" &amp; A51, 'JLR Bookings'!$V$2:$V$272, "&lt;=" &amp; B51)</f>
        <v/>
      </c>
      <c r="F51" s="1131">
        <f>SUMIFS('JLR Bookings'!$W$2:$W$272, 'JLR Bookings'!$V$2:$V$272, "&gt;=" &amp; A51, 'JLR Bookings'!$V$2:$V$272, "&lt;=" &amp; B51)</f>
        <v/>
      </c>
      <c r="G51" s="1152">
        <f>E51-F51</f>
        <v/>
      </c>
      <c r="H51" s="1326" t="n"/>
      <c r="I51" s="1333" t="inlineStr">
        <is>
          <t>1. Courses/masterclasses</t>
        </is>
      </c>
      <c r="J51" s="431" t="n"/>
      <c r="K51" s="432">
        <f>SUMIFS($E$206:$E$700, $C$206:$C$700, $I51, $G$206:$G$700, "&lt;&gt;JLR")</f>
        <v/>
      </c>
      <c r="L51" s="432">
        <f>SUMIFS($E$206:$E$700, $C$206:$C$700, $I51, $G$206:$G$700, "JLR")</f>
        <v/>
      </c>
      <c r="M51" s="432">
        <f>K51+L51</f>
        <v/>
      </c>
      <c r="N51" s="432">
        <f>M51-W6</f>
        <v/>
      </c>
      <c r="O51" s="432" t="n"/>
      <c r="P51" s="432" t="n"/>
      <c r="Q51" s="432" t="n"/>
      <c r="R51" s="432" t="n"/>
      <c r="S51" s="432" t="n"/>
      <c r="T51" s="432" t="n"/>
      <c r="U51" s="432" t="n"/>
      <c r="V51" s="432" t="n"/>
      <c r="W51" s="432" t="n"/>
    </row>
    <row r="52" ht="13.5" customHeight="1" s="1232">
      <c r="A52" s="1126" t="n">
        <v>45901</v>
      </c>
      <c r="B52" s="1129" t="n">
        <v>45930</v>
      </c>
      <c r="C52" s="1271" t="inlineStr">
        <is>
          <t>Deals Won - Waiting £</t>
        </is>
      </c>
      <c r="D52" s="1147">
        <f>COUNTIFS('JLR Bookings'!$V$1:$V$272, "&gt;=" &amp; A52, 'JLR Bookings'!$V$1:$V$272, "&lt;=" &amp; B52)</f>
        <v/>
      </c>
      <c r="E52" s="1131">
        <f>SUMIFS('JLR Bookings'!$Q$2:$Q$272, 'JLR Bookings'!$V$2:$V$272, "&gt;=" &amp; A52, 'JLR Bookings'!$V$2:$V$272, "&lt;=" &amp; B52)</f>
        <v/>
      </c>
      <c r="F52" s="1131">
        <f>SUMIFS('JLR Bookings'!$W$2:$W$272, 'JLR Bookings'!$V$2:$V$272, "&gt;=" &amp; A52, 'JLR Bookings'!$V$2:$V$272, "&lt;=" &amp; B52)</f>
        <v/>
      </c>
      <c r="G52" s="1152">
        <f>E52-F52</f>
        <v/>
      </c>
      <c r="H52" s="1326" t="n"/>
      <c r="I52" s="1333" t="inlineStr">
        <is>
          <t>2. Workshops Non Residential</t>
        </is>
      </c>
      <c r="J52" s="431" t="n"/>
      <c r="K52" s="432">
        <f>SUMIFS($E$206:$E$700, $C$206:$C$700, $I52, $G$206:$G$700, "&lt;&gt;JLR")</f>
        <v/>
      </c>
      <c r="L52" s="432">
        <f>SUMIFS($E$206:$E$700, $C$206:$C$700, $I52, $G$206:$G$700, "JLR")</f>
        <v/>
      </c>
      <c r="M52" s="432">
        <f>K52+L52</f>
        <v/>
      </c>
      <c r="N52" s="432">
        <f>M52-W7</f>
        <v/>
      </c>
      <c r="O52" s="432" t="n"/>
      <c r="P52" s="432" t="n"/>
      <c r="Q52" s="432" t="n"/>
      <c r="R52" s="432" t="n"/>
      <c r="S52" s="432" t="n"/>
      <c r="T52" s="432" t="n"/>
      <c r="U52" s="432" t="n"/>
      <c r="V52" s="432" t="n"/>
      <c r="W52" s="432" t="n"/>
    </row>
    <row r="53" ht="13.5" customHeight="1" s="1232">
      <c r="A53" s="1126" t="n">
        <v>45931</v>
      </c>
      <c r="B53" s="1129" t="n">
        <v>45961</v>
      </c>
      <c r="C53" s="1271" t="inlineStr">
        <is>
          <t>Deals Won - Waiting £</t>
        </is>
      </c>
      <c r="D53" s="1147">
        <f>COUNTIFS('JLR Bookings'!$V$1:$V$272, "&gt;=" &amp; A53, 'JLR Bookings'!$V$1:$V$272, "&lt;=" &amp; B53)</f>
        <v/>
      </c>
      <c r="E53" s="1131">
        <f>SUMIFS('JLR Bookings'!$Q$2:$Q$272, 'JLR Bookings'!$V$2:$V$272, "&gt;=" &amp; A53, 'JLR Bookings'!$V$2:$V$272, "&lt;=" &amp; B53)</f>
        <v/>
      </c>
      <c r="F53" s="1131">
        <f>SUMIFS('JLR Bookings'!$W$2:$W$272, 'JLR Bookings'!$V$2:$V$272, "&gt;=" &amp; A53, 'JLR Bookings'!$V$2:$V$272, "&lt;=" &amp; B53)</f>
        <v/>
      </c>
      <c r="G53" s="1152">
        <f>E53-F53</f>
        <v/>
      </c>
      <c r="H53" s="1326" t="n"/>
      <c r="I53" s="1334" t="inlineStr">
        <is>
          <t>3. Workshops Residential</t>
        </is>
      </c>
      <c r="J53" s="431" t="n"/>
      <c r="K53" s="432">
        <f>SUMIFS($E$206:$E$700, $C$206:$C$700, $I53, $G$206:$G$700, "&lt;&gt;JLR")</f>
        <v/>
      </c>
      <c r="L53" s="432">
        <f>SUMIFS($E$206:$E$700, $C$206:$C$700, $I53, $G$206:$G$700, "JLR")</f>
        <v/>
      </c>
      <c r="M53" s="432">
        <f>K53+L53</f>
        <v/>
      </c>
      <c r="N53" s="432">
        <f>M53-W8</f>
        <v/>
      </c>
      <c r="O53" s="432" t="n"/>
      <c r="P53" s="432" t="n"/>
      <c r="Q53" s="432" t="n"/>
      <c r="R53" s="432" t="n"/>
      <c r="S53" s="432" t="n"/>
      <c r="T53" s="432" t="n"/>
      <c r="U53" s="432" t="n"/>
      <c r="V53" s="432" t="n"/>
      <c r="W53" s="432" t="n"/>
    </row>
    <row r="54" ht="13.5" customHeight="1" s="1232">
      <c r="A54" s="1126" t="n">
        <v>45962</v>
      </c>
      <c r="B54" s="1129" t="n">
        <v>45991</v>
      </c>
      <c r="C54" s="1271" t="inlineStr">
        <is>
          <t>Deals Won - Waiting £</t>
        </is>
      </c>
      <c r="D54" s="1147">
        <f>COUNTIFS('JLR Bookings'!$V$1:$V$272, "&gt;=" &amp; A54, 'JLR Bookings'!$V$1:$V$272, "&lt;=" &amp; B54)</f>
        <v/>
      </c>
      <c r="E54" s="1131">
        <f>SUMIFS('JLR Bookings'!$Q$2:$Q$272, 'JLR Bookings'!$V$2:$V$272, "&gt;=" &amp; A54, 'JLR Bookings'!$V$2:$V$272, "&lt;=" &amp; B54)</f>
        <v/>
      </c>
      <c r="F54" s="1131">
        <f>SUMIFS('JLR Bookings'!$W$2:$W$272, 'JLR Bookings'!$V$2:$V$272, "&gt;=" &amp; A54, 'JLR Bookings'!$V$2:$V$272, "&lt;=" &amp; B54)</f>
        <v/>
      </c>
      <c r="G54" s="1152">
        <f>E54-F54</f>
        <v/>
      </c>
      <c r="H54" s="1326" t="n"/>
      <c r="I54" s="1333" t="inlineStr">
        <is>
          <t>4. Pick n Mix Inc</t>
        </is>
      </c>
      <c r="J54" s="431" t="n"/>
      <c r="K54" s="432">
        <f>SUMIFS($E$206:$E$700, $C$206:$C$700, $I54, $G$206:$G$700, "&lt;&gt;JLR")</f>
        <v/>
      </c>
      <c r="L54" s="432">
        <f>SUMIFS($E$206:$E$700, $C$206:$C$700, $I54, $G$206:$G$700, "JLR")</f>
        <v/>
      </c>
      <c r="M54" s="432">
        <f>K54+L54</f>
        <v/>
      </c>
      <c r="N54" s="432">
        <f>M54-W9</f>
        <v/>
      </c>
      <c r="O54" s="432" t="n"/>
      <c r="P54" s="432" t="n"/>
      <c r="Q54" s="432" t="n"/>
      <c r="R54" s="432" t="n"/>
      <c r="S54" s="432" t="n"/>
      <c r="T54" s="432" t="n"/>
      <c r="U54" s="432" t="n"/>
      <c r="V54" s="432" t="n"/>
      <c r="W54" s="432" t="n"/>
    </row>
    <row r="55" ht="13.5" customHeight="1" s="1232">
      <c r="A55" s="1126" t="n">
        <v>45992</v>
      </c>
      <c r="B55" s="1129" t="n">
        <v>46022</v>
      </c>
      <c r="C55" s="1271" t="inlineStr">
        <is>
          <t>Deals Won - Waiting £</t>
        </is>
      </c>
      <c r="D55" s="1147">
        <f>COUNTIFS('JLR Bookings'!$V$1:$V$272, "&gt;=" &amp; A55, 'JLR Bookings'!$V$1:$V$272, "&lt;=" &amp; B55)</f>
        <v/>
      </c>
      <c r="E55" s="1131">
        <f>SUMIFS('JLR Bookings'!$Q$2:$Q$272, 'JLR Bookings'!$V$2:$V$272, "&gt;=" &amp; A55, 'JLR Bookings'!$V$2:$V$272, "&lt;=" &amp; B55)</f>
        <v/>
      </c>
      <c r="F55" s="1131">
        <f>SUMIFS('JLR Bookings'!$W$2:$W$272, 'JLR Bookings'!$V$2:$V$272, "&gt;=" &amp; A55, 'JLR Bookings'!$V$2:$V$272, "&lt;=" &amp; B55)</f>
        <v/>
      </c>
      <c r="G55" s="1152">
        <f>E55-F55</f>
        <v/>
      </c>
      <c r="H55" s="1326" t="n"/>
      <c r="I55" s="1333" t="inlineStr">
        <is>
          <t>5. Pick n Mix Out</t>
        </is>
      </c>
      <c r="J55" s="431" t="n"/>
      <c r="K55" s="432">
        <f>SUMIFS($E$206:$E$700, $C$206:$C$700, $I55, $G$206:$G$700, "&lt;&gt;JLR")</f>
        <v/>
      </c>
      <c r="L55" s="432">
        <f>SUMIFS($E$206:$E$700, $C$206:$C$700, $I55, $G$206:$G$700, "JLR")</f>
        <v/>
      </c>
      <c r="M55" s="432">
        <f>K55+L55</f>
        <v/>
      </c>
      <c r="N55" s="432">
        <f>M55-W10</f>
        <v/>
      </c>
      <c r="O55" s="432" t="n"/>
      <c r="P55" s="432" t="n"/>
      <c r="Q55" s="432" t="n"/>
      <c r="R55" s="432" t="n"/>
      <c r="S55" s="432" t="n"/>
      <c r="T55" s="432" t="n"/>
      <c r="U55" s="432" t="n"/>
      <c r="V55" s="432" t="n"/>
      <c r="W55" s="432" t="n"/>
    </row>
    <row r="56" ht="13.5" customHeight="1" s="1232">
      <c r="A56" s="1126" t="n">
        <v>46023</v>
      </c>
      <c r="B56" s="1129" t="n">
        <v>46053</v>
      </c>
      <c r="C56" s="1271" t="inlineStr">
        <is>
          <t>Deals Won - Waiting £</t>
        </is>
      </c>
      <c r="D56" s="1147">
        <f>COUNTIFS('JLR Bookings'!$V$1:$V$272, "&gt;=" &amp; A56, 'JLR Bookings'!$V$1:$V$272, "&lt;=" &amp; B56)</f>
        <v/>
      </c>
      <c r="E56" s="1131">
        <f>SUMIFS('JLR Bookings'!$Q$2:$Q$272, 'JLR Bookings'!$V$2:$V$272, "&gt;=" &amp; A56, 'JLR Bookings'!$V$2:$V$272, "&lt;=" &amp; B56)</f>
        <v/>
      </c>
      <c r="F56" s="1131">
        <f>SUMIFS('JLR Bookings'!$W$2:$W$272, 'JLR Bookings'!$V$2:$V$272, "&gt;=" &amp; A56, 'JLR Bookings'!$V$2:$V$272, "&lt;=" &amp; B56)</f>
        <v/>
      </c>
      <c r="G56" s="1152">
        <f>E56-F56</f>
        <v/>
      </c>
      <c r="H56" s="1326" t="n"/>
      <c r="I56" s="1333" t="inlineStr">
        <is>
          <t>6. Mentoring</t>
        </is>
      </c>
      <c r="J56" s="431" t="n"/>
      <c r="K56" s="432">
        <f>SUMIFS($E$206:$E$700, $C$206:$C$700, $I56, $G$206:$G$700, "&lt;&gt;JLR")</f>
        <v/>
      </c>
      <c r="L56" s="432">
        <f>SUMIFS($E$206:$E$700, $C$206:$C$700, $I56, $G$206:$G$700, "JLR")</f>
        <v/>
      </c>
      <c r="M56" s="432">
        <f>K56+L56</f>
        <v/>
      </c>
      <c r="N56" s="432">
        <f>M56-W11</f>
        <v/>
      </c>
      <c r="O56" s="432" t="n"/>
      <c r="P56" s="432" t="n"/>
      <c r="Q56" s="432" t="n"/>
      <c r="R56" s="432" t="n"/>
      <c r="S56" s="432" t="n"/>
      <c r="T56" s="432" t="n"/>
      <c r="U56" s="432" t="n"/>
      <c r="V56" s="432" t="n"/>
      <c r="W56" s="432" t="n"/>
    </row>
    <row r="57" ht="13.5" customHeight="1" s="1232">
      <c r="A57" s="1126" t="n">
        <v>46054</v>
      </c>
      <c r="B57" s="1129" t="n">
        <v>46081</v>
      </c>
      <c r="C57" s="1271" t="inlineStr">
        <is>
          <t>Deals Won - Waiting £</t>
        </is>
      </c>
      <c r="D57" s="1147">
        <f>COUNTIFS('JLR Bookings'!$V$1:$V$272, "&gt;=" &amp; A57, 'JLR Bookings'!$V$1:$V$272, "&lt;=" &amp; B57)</f>
        <v/>
      </c>
      <c r="E57" s="1131">
        <f>SUMIFS('JLR Bookings'!$Q$2:$Q$272, 'JLR Bookings'!$V$2:$V$272, "&gt;=" &amp; A57, 'JLR Bookings'!$V$2:$V$272, "&lt;=" &amp; B57)</f>
        <v/>
      </c>
      <c r="F57" s="1131">
        <f>SUMIFS('JLR Bookings'!$W$2:$W$272, 'JLR Bookings'!$V$2:$V$272, "&gt;=" &amp; A57, 'JLR Bookings'!$V$2:$V$272, "&lt;=" &amp; B57)</f>
        <v/>
      </c>
      <c r="G57" s="1152">
        <f>E57-F57</f>
        <v/>
      </c>
      <c r="H57" s="1326" t="n"/>
      <c r="I57" s="1334" t="inlineStr">
        <is>
          <t>7. 1-2-1</t>
        </is>
      </c>
      <c r="J57" s="431" t="n"/>
      <c r="K57" s="432">
        <f>SUMIFS($E$206:$E$700, $C$206:$C$700, $I57, $G$206:$G$700, "&lt;&gt;JLR")</f>
        <v/>
      </c>
      <c r="L57" s="432">
        <f>SUMIFS($E$206:$E$700, $C$206:$C$700, $I57, $G$206:$G$700, "JLR")</f>
        <v/>
      </c>
      <c r="M57" s="432">
        <f>K57+L57</f>
        <v/>
      </c>
      <c r="N57" s="432">
        <f>M57-W12</f>
        <v/>
      </c>
      <c r="O57" s="432" t="n"/>
      <c r="P57" s="432" t="n"/>
      <c r="Q57" s="432" t="n"/>
      <c r="R57" s="432" t="n"/>
      <c r="S57" s="432" t="n"/>
      <c r="T57" s="432" t="n"/>
      <c r="U57" s="432" t="n"/>
      <c r="V57" s="432" t="n"/>
      <c r="W57" s="432" t="n"/>
    </row>
    <row r="58" ht="13.5" customHeight="1" s="1232">
      <c r="A58" s="1126" t="n">
        <v>46082</v>
      </c>
      <c r="B58" s="1129" t="n">
        <v>46112</v>
      </c>
      <c r="C58" s="1271" t="inlineStr">
        <is>
          <t>Deals Won - Waiting £</t>
        </is>
      </c>
      <c r="D58" s="1147">
        <f>COUNTIFS('JLR Bookings'!$V$1:$V$272, "&gt;=" &amp; A58, 'JLR Bookings'!$V$1:$V$272, "&lt;=" &amp; B58)</f>
        <v/>
      </c>
      <c r="E58" s="1131">
        <f>SUMIFS('JLR Bookings'!$Q$2:$Q$272, 'JLR Bookings'!$V$2:$V$272, "&gt;=" &amp; A58, 'JLR Bookings'!$V$2:$V$272, "&lt;=" &amp; B58)</f>
        <v/>
      </c>
      <c r="F58" s="1131">
        <f>SUMIFS('JLR Bookings'!$W$2:$W$272, 'JLR Bookings'!$V$2:$V$272, "&gt;=" &amp; A58, 'JLR Bookings'!$V$2:$V$272, "&lt;=" &amp; B58)</f>
        <v/>
      </c>
      <c r="G58" s="1152">
        <f>E58-F58</f>
        <v/>
      </c>
      <c r="H58" s="1326" t="n"/>
      <c r="I58" s="1334" t="inlineStr">
        <is>
          <t>8. Gift Vouchers Inc</t>
        </is>
      </c>
      <c r="J58" s="431" t="n"/>
      <c r="K58" s="432">
        <f>SUMIFS($E$206:$E$700, $C$206:$C$700, $I58, $G$206:$G$700, "&lt;&gt;JLR")</f>
        <v/>
      </c>
      <c r="L58" s="432">
        <f>SUMIFS($E$206:$E$700, $C$206:$C$700, $I58, $G$206:$G$700, "JLR")</f>
        <v/>
      </c>
      <c r="M58" s="432">
        <f>K58+L58</f>
        <v/>
      </c>
      <c r="N58" s="432">
        <f>M58-W13</f>
        <v/>
      </c>
      <c r="O58" s="432" t="n"/>
      <c r="P58" s="432" t="n"/>
      <c r="Q58" s="432" t="n"/>
      <c r="R58" s="432" t="n"/>
      <c r="S58" s="432" t="n"/>
      <c r="T58" s="432" t="n"/>
      <c r="U58" s="432" t="n"/>
      <c r="V58" s="432" t="n"/>
      <c r="W58" s="432" t="n"/>
    </row>
    <row r="59" ht="13.5" customHeight="1" s="1232">
      <c r="A59" s="1126" t="n">
        <v>46113</v>
      </c>
      <c r="B59" s="1129" t="n">
        <v>46142</v>
      </c>
      <c r="C59" s="1271" t="inlineStr">
        <is>
          <t>Deals Won - Waiting £</t>
        </is>
      </c>
      <c r="D59" s="1147">
        <f>COUNTIFS('JLR Bookings'!$V$1:$V$272, "&gt;=" &amp; A59, 'JLR Bookings'!$V$1:$V$272, "&lt;=" &amp; B59)</f>
        <v/>
      </c>
      <c r="E59" s="1131">
        <f>SUMIFS('JLR Bookings'!$Q$2:$Q$272, 'JLR Bookings'!$V$2:$V$272, "&gt;=" &amp; A59, 'JLR Bookings'!$V$2:$V$272, "&lt;=" &amp; B59)</f>
        <v/>
      </c>
      <c r="F59" s="1131">
        <f>SUMIFS('JLR Bookings'!$W$2:$W$272, 'JLR Bookings'!$V$2:$V$272, "&gt;=" &amp; A59, 'JLR Bookings'!$V$2:$V$272, "&lt;=" &amp; B59)</f>
        <v/>
      </c>
      <c r="G59" s="1152">
        <f>E59-F59</f>
        <v/>
      </c>
      <c r="H59" s="1326" t="n"/>
      <c r="I59" s="1334" t="inlineStr">
        <is>
          <t>9. Gift Vouchers Out</t>
        </is>
      </c>
      <c r="J59" s="431" t="n"/>
      <c r="K59" s="432">
        <f>SUMIFS($E$206:$E$700, $C$206:$C$700, $I59, $G$206:$G$700, "&lt;&gt;JLR")</f>
        <v/>
      </c>
      <c r="L59" s="432">
        <f>SUMIFS($E$206:$E$700, $C$206:$C$700, $I59, $G$206:$G$700, "JLR")</f>
        <v/>
      </c>
      <c r="M59" s="432">
        <f>K59+L59</f>
        <v/>
      </c>
      <c r="N59" s="432">
        <f>M59-W14</f>
        <v/>
      </c>
      <c r="O59" s="432" t="n"/>
      <c r="P59" s="432" t="n"/>
      <c r="Q59" s="432" t="n"/>
      <c r="R59" s="432" t="n"/>
      <c r="S59" s="432" t="n"/>
      <c r="T59" s="432" t="n"/>
      <c r="U59" s="432" t="n"/>
      <c r="V59" s="432" t="n"/>
      <c r="W59" s="432" t="n"/>
    </row>
    <row r="60" ht="13.5" customHeight="1" s="1232">
      <c r="A60" s="1126" t="n">
        <v>46143</v>
      </c>
      <c r="B60" s="1129" t="n">
        <v>46173</v>
      </c>
      <c r="C60" s="1271" t="inlineStr">
        <is>
          <t>Deals Won - Waiting £</t>
        </is>
      </c>
      <c r="D60" s="1147">
        <f>COUNTIFS('JLR Bookings'!$V$1:$V$272, "&gt;=" &amp; A60, 'JLR Bookings'!$V$1:$V$272, "&lt;=" &amp; B60)</f>
        <v/>
      </c>
      <c r="E60" s="1131">
        <f>SUMIFS('JLR Bookings'!$Q$2:$Q$272, 'JLR Bookings'!$V$2:$V$272, "&gt;=" &amp; A60, 'JLR Bookings'!$V$2:$V$272, "&lt;=" &amp; B60)</f>
        <v/>
      </c>
      <c r="F60" s="1131">
        <f>SUMIFS('JLR Bookings'!$W$2:$W$272, 'JLR Bookings'!$V$2:$V$272, "&gt;=" &amp; A60, 'JLR Bookings'!$V$2:$V$272, "&lt;=" &amp; B60)</f>
        <v/>
      </c>
      <c r="G60" s="1152">
        <f>E60-F60</f>
        <v/>
      </c>
      <c r="H60" s="1326">
        <f>G65+F65-E65</f>
        <v/>
      </c>
      <c r="I60" s="1334" t="inlineStr">
        <is>
          <t>10. Prints &amp; Royalties</t>
        </is>
      </c>
      <c r="J60" s="431" t="n"/>
      <c r="K60" s="432">
        <f>SUMIFS($E$206:$E$700, $C$206:$C$700, $I60, $G$206:$G$700, "&lt;&gt;JLR")</f>
        <v/>
      </c>
      <c r="L60" s="432">
        <f>SUMIFS($E$206:$E$700, $C$206:$C$700, $I60, $G$206:$G$700, "JLR")</f>
        <v/>
      </c>
      <c r="M60" s="432">
        <f>K60+L60</f>
        <v/>
      </c>
      <c r="N60" s="432">
        <f>M60-W15</f>
        <v/>
      </c>
      <c r="O60" s="432" t="n"/>
      <c r="P60" s="432" t="n"/>
      <c r="Q60" s="432" t="n"/>
      <c r="R60" s="432" t="n"/>
      <c r="S60" s="432" t="n"/>
      <c r="T60" s="432" t="n"/>
      <c r="U60" s="432" t="n"/>
      <c r="V60" s="432" t="n"/>
      <c r="W60" s="432" t="n"/>
    </row>
    <row r="61" ht="13.5" customHeight="1" s="1232">
      <c r="A61" s="1126" t="n">
        <v>46174</v>
      </c>
      <c r="B61" s="1129" t="n">
        <v>46203</v>
      </c>
      <c r="C61" s="1271" t="inlineStr">
        <is>
          <t>Deals Won - Waiting £</t>
        </is>
      </c>
      <c r="D61" s="1147">
        <f>COUNTIFS('JLR Bookings'!$V$1:$V$272, "&gt;=" &amp; A61, 'JLR Bookings'!$V$1:$V$272, "&lt;=" &amp; B61)</f>
        <v/>
      </c>
      <c r="E61" s="1131">
        <f>SUMIFS('JLR Bookings'!$Q$2:$Q$272, 'JLR Bookings'!$V$2:$V$272, "&gt;=" &amp; A61, 'JLR Bookings'!$V$2:$V$272, "&lt;=" &amp; B61)</f>
        <v/>
      </c>
      <c r="F61" s="1131">
        <f>SUMIFS('JLR Bookings'!$W$2:$W$272, 'JLR Bookings'!$V$2:$V$272, "&gt;=" &amp; A61, 'JLR Bookings'!$V$2:$V$272, "&lt;=" &amp; B61)</f>
        <v/>
      </c>
      <c r="G61" s="1152">
        <f>E61-F61</f>
        <v/>
      </c>
      <c r="H61" s="1326" t="n"/>
      <c r="I61" s="1334" t="inlineStr">
        <is>
          <t>11 Commissions</t>
        </is>
      </c>
      <c r="J61" s="431" t="n"/>
      <c r="K61" s="432">
        <f>SUMIFS($E$206:$E$700, $C$206:$C$700, $I61, $G$206:$G$700, "&lt;&gt;JLR")</f>
        <v/>
      </c>
      <c r="L61" s="432">
        <f>SUMIFS($E$206:$E$700, $C$206:$C$700, $I61, $G$206:$G$700, "JLR")</f>
        <v/>
      </c>
      <c r="M61" s="432">
        <f>K61+L61</f>
        <v/>
      </c>
      <c r="N61" s="432">
        <f>M61-W16</f>
        <v/>
      </c>
      <c r="O61" s="432" t="n"/>
      <c r="P61" s="432" t="n"/>
      <c r="Q61" s="432" t="n"/>
      <c r="R61" s="432" t="n"/>
      <c r="S61" s="432" t="n"/>
      <c r="T61" s="432" t="n"/>
      <c r="U61" s="432" t="n"/>
      <c r="V61" s="432" t="n"/>
      <c r="W61" s="432" t="n"/>
    </row>
    <row r="62" ht="14.25" customHeight="1" s="1232" thickBot="1">
      <c r="A62" s="1126" t="n">
        <v>46204</v>
      </c>
      <c r="B62" s="1129" t="n">
        <v>46234</v>
      </c>
      <c r="C62" s="1271" t="inlineStr">
        <is>
          <t>Deals Won - Waiting £</t>
        </is>
      </c>
      <c r="D62" s="1147">
        <f>COUNTIFS('JLR Bookings'!$V$1:$V$272, "&gt;=" &amp; A62, 'JLR Bookings'!$V$1:$V$272, "&lt;=" &amp; B62)</f>
        <v/>
      </c>
      <c r="E62" s="1131">
        <f>SUMIFS('JLR Bookings'!$Q$2:$Q$272, 'JLR Bookings'!$V$2:$V$272, "&gt;=" &amp; A62, 'JLR Bookings'!$V$2:$V$272, "&lt;=" &amp; B62)</f>
        <v/>
      </c>
      <c r="F62" s="1131">
        <f>SUMIFS('JLR Bookings'!$W$2:$W$272, 'JLR Bookings'!$V$2:$V$272, "&gt;=" &amp; A62, 'JLR Bookings'!$V$2:$V$272, "&lt;=" &amp; B62)</f>
        <v/>
      </c>
      <c r="G62" s="1152">
        <f>E62-F62</f>
        <v/>
      </c>
      <c r="H62" s="1326" t="n"/>
      <c r="I62" s="1289" t="inlineStr">
        <is>
          <t>12. Academy</t>
        </is>
      </c>
      <c r="J62" s="431" t="n"/>
      <c r="K62" s="432">
        <f>SUMIFS($E$206:$E$700, $C$206:$C$700, $I62, $G$206:$G$700, "&lt;&gt;JLR")</f>
        <v/>
      </c>
      <c r="L62" s="432">
        <f>SUMIFS($E$206:$E$700, $C$206:$C$700, $I62, $G$206:$G$700, "JLR")</f>
        <v/>
      </c>
      <c r="M62" s="432">
        <f>K62+L62</f>
        <v/>
      </c>
      <c r="N62" s="432">
        <f>M62-W17</f>
        <v/>
      </c>
      <c r="O62" s="432" t="n"/>
      <c r="P62" s="432" t="n"/>
      <c r="Q62" s="432" t="n"/>
      <c r="R62" s="432" t="n"/>
      <c r="S62" s="432" t="n"/>
      <c r="T62" s="432" t="n"/>
      <c r="U62" s="432" t="n"/>
      <c r="V62" s="432" t="n"/>
      <c r="W62" s="432" t="n"/>
    </row>
    <row r="63" ht="14.65" customHeight="1" s="1232" thickBot="1" thickTop="1">
      <c r="A63" s="1126" t="n">
        <v>46235</v>
      </c>
      <c r="B63" s="1129" t="n">
        <v>46265</v>
      </c>
      <c r="C63" s="1271" t="inlineStr">
        <is>
          <t>Deals Won - Waiting £</t>
        </is>
      </c>
      <c r="D63" s="1147">
        <f>COUNTIFS('JLR Bookings'!$V$1:$V$272, "&gt;=" &amp; A63, 'JLR Bookings'!$V$1:$V$272, "&lt;=" &amp; B63)</f>
        <v/>
      </c>
      <c r="E63" s="1131">
        <f>SUMIFS('JLR Bookings'!$Q$2:$Q$272, 'JLR Bookings'!$V$2:$V$272, "&gt;=" &amp; A63, 'JLR Bookings'!$V$2:$V$272, "&lt;=" &amp; B63)</f>
        <v/>
      </c>
      <c r="F63" s="1131">
        <f>SUMIFS('JLR Bookings'!$W$2:$W$272, 'JLR Bookings'!$V$2:$V$272, "&gt;=" &amp; A63, 'JLR Bookings'!$V$2:$V$272, "&lt;=" &amp; B63)</f>
        <v/>
      </c>
      <c r="G63" s="1152">
        <f>E63-F63</f>
        <v/>
      </c>
      <c r="H63" s="1326" t="n"/>
      <c r="I63" s="1335" t="inlineStr">
        <is>
          <t>Totals</t>
        </is>
      </c>
      <c r="J63" s="438" t="n"/>
      <c r="K63" s="587">
        <f>SUM(K51:K62)</f>
        <v/>
      </c>
      <c r="L63" s="587">
        <f>SUM(L51:L62)</f>
        <v/>
      </c>
      <c r="M63" s="587">
        <f>SUM(M51:M62)</f>
        <v/>
      </c>
      <c r="N63" s="587">
        <f>SUM(N51:N62)</f>
        <v/>
      </c>
      <c r="O63" s="587" t="n"/>
      <c r="P63" s="587" t="n"/>
      <c r="Q63" s="587" t="n"/>
      <c r="R63" s="587" t="n"/>
      <c r="S63" s="587" t="n"/>
      <c r="T63" s="587" t="n"/>
      <c r="U63" s="587" t="n"/>
      <c r="V63" s="587" t="n"/>
      <c r="W63" s="789" t="n"/>
    </row>
    <row r="64" ht="13.9" customHeight="1" s="1232" thickTop="1">
      <c r="A64" s="1323" t="n"/>
      <c r="B64" s="1324" t="n"/>
      <c r="C64" s="1271" t="n"/>
      <c r="D64" s="1153" t="n"/>
      <c r="E64" s="558" t="n"/>
      <c r="F64" s="558" t="n"/>
      <c r="G64" s="1323" t="n"/>
      <c r="H64" s="1326" t="n"/>
    </row>
    <row r="65" ht="14.65" customHeight="1" s="1232">
      <c r="A65" s="1323" t="n"/>
      <c r="B65" s="1324" t="n"/>
      <c r="C65" s="1271" t="n"/>
      <c r="D65" s="1154">
        <f>SUM(D47:D63)</f>
        <v/>
      </c>
      <c r="E65" s="1154">
        <f>SUM(E47:E63)</f>
        <v/>
      </c>
      <c r="F65" s="1154">
        <f>SUM(F47:F63)</f>
        <v/>
      </c>
      <c r="G65" s="1154">
        <f>SUM(G47:G63)</f>
        <v/>
      </c>
      <c r="H65" s="1326" t="n"/>
    </row>
    <row r="66" ht="15" customHeight="1" s="1232">
      <c r="A66" s="1323" t="n"/>
      <c r="B66" s="1324" t="n"/>
      <c r="C66" s="1271" t="n"/>
      <c r="D66" s="1153" t="n"/>
      <c r="E66" s="558" t="n"/>
      <c r="F66" s="558" t="n"/>
      <c r="G66" s="1323" t="n"/>
      <c r="H66" s="1326" t="n"/>
      <c r="I66" s="1336" t="inlineStr">
        <is>
          <t>Tuition Categories</t>
        </is>
      </c>
      <c r="J66" s="1330" t="inlineStr">
        <is>
          <t>Variance to 2024</t>
        </is>
      </c>
      <c r="K66" s="1332" t="inlineStr">
        <is>
          <t>Jan</t>
        </is>
      </c>
      <c r="L66" s="1332" t="inlineStr">
        <is>
          <t>Feb</t>
        </is>
      </c>
      <c r="M66" s="1332" t="inlineStr">
        <is>
          <t>Mar</t>
        </is>
      </c>
      <c r="N66" s="1332" t="inlineStr">
        <is>
          <t>Apr</t>
        </is>
      </c>
      <c r="O66" s="1332" t="inlineStr">
        <is>
          <t>May</t>
        </is>
      </c>
      <c r="P66" s="1332" t="inlineStr">
        <is>
          <t>Jun</t>
        </is>
      </c>
      <c r="Q66" s="1332" t="inlineStr">
        <is>
          <t>Jul</t>
        </is>
      </c>
      <c r="R66" s="1332" t="inlineStr">
        <is>
          <t>Aug</t>
        </is>
      </c>
      <c r="S66" s="1332" t="inlineStr">
        <is>
          <t>Sep</t>
        </is>
      </c>
      <c r="T66" s="1332" t="inlineStr">
        <is>
          <t>Oct</t>
        </is>
      </c>
      <c r="U66" s="1332" t="inlineStr">
        <is>
          <t>Nov</t>
        </is>
      </c>
      <c r="V66" s="1332" t="inlineStr">
        <is>
          <t>Dec</t>
        </is>
      </c>
      <c r="W66" s="1278" t="inlineStr">
        <is>
          <t>Year</t>
        </is>
      </c>
    </row>
    <row r="67" ht="13.5" customHeight="1" s="1232">
      <c r="A67" s="1323" t="n"/>
      <c r="B67" s="1324" t="n"/>
      <c r="C67" s="1271" t="n"/>
      <c r="D67" s="1153" t="n"/>
      <c r="E67" s="558" t="n"/>
      <c r="F67" s="558" t="n"/>
      <c r="G67" s="1323" t="n"/>
      <c r="H67" s="1326" t="n"/>
      <c r="I67" s="1333" t="inlineStr">
        <is>
          <t>1. Courses/masterclasses</t>
        </is>
      </c>
      <c r="J67" s="431" t="n"/>
      <c r="K67" s="432">
        <f>K6-'Sales 2024'!K6</f>
        <v/>
      </c>
      <c r="L67" s="432">
        <f>L6-'Sales 2024'!L6</f>
        <v/>
      </c>
      <c r="M67" s="432">
        <f>M6-'Sales 2024'!M6</f>
        <v/>
      </c>
      <c r="N67" s="432">
        <f>N6-'Sales 2024'!N6</f>
        <v/>
      </c>
      <c r="O67" s="432">
        <f>O6-'Sales 2024'!O6</f>
        <v/>
      </c>
      <c r="P67" s="432">
        <f>P6-'Sales 2024'!P6</f>
        <v/>
      </c>
      <c r="Q67" s="432">
        <f>Q6-'Sales 2024'!Q6</f>
        <v/>
      </c>
      <c r="R67" s="432">
        <f>R6-'Sales 2024'!R6</f>
        <v/>
      </c>
      <c r="S67" s="432">
        <f>S6-'Sales 2024'!S6</f>
        <v/>
      </c>
      <c r="T67" s="432">
        <f>T6-'Sales 2024'!T6</f>
        <v/>
      </c>
      <c r="U67" s="432">
        <f>U6-'Sales 2024'!U6</f>
        <v/>
      </c>
      <c r="V67" s="432">
        <f>V6-'Sales 2024'!V6</f>
        <v/>
      </c>
      <c r="W67" s="432">
        <f>W6-'Sales 2024'!W6</f>
        <v/>
      </c>
      <c r="X67" s="445">
        <f>W67/'Sales 2023'!W6</f>
        <v/>
      </c>
    </row>
    <row r="68" ht="13.5" customHeight="1" s="1232">
      <c r="A68" s="1323" t="n"/>
      <c r="B68" s="1324" t="n"/>
      <c r="C68" s="1337" t="n"/>
      <c r="D68" s="1338" t="n"/>
      <c r="E68" s="1338" t="n"/>
      <c r="F68" s="1126" t="n"/>
      <c r="G68" s="1323" t="n"/>
      <c r="H68" s="1326" t="n"/>
      <c r="I68" s="1333" t="inlineStr">
        <is>
          <t>2. Workshops Non Residential</t>
        </is>
      </c>
      <c r="J68" s="431" t="n"/>
      <c r="K68" s="432">
        <f>K7-'Sales 2024'!K7</f>
        <v/>
      </c>
      <c r="L68" s="432">
        <f>L7-'Sales 2024'!L7</f>
        <v/>
      </c>
      <c r="M68" s="432">
        <f>M7-'Sales 2024'!M7</f>
        <v/>
      </c>
      <c r="N68" s="432">
        <f>N7-'Sales 2024'!N7</f>
        <v/>
      </c>
      <c r="O68" s="432">
        <f>O7-'Sales 2024'!O7</f>
        <v/>
      </c>
      <c r="P68" s="432">
        <f>P7-'Sales 2024'!P7</f>
        <v/>
      </c>
      <c r="Q68" s="432">
        <f>Q7-'Sales 2024'!Q7</f>
        <v/>
      </c>
      <c r="R68" s="432">
        <f>R7-'Sales 2024'!R7</f>
        <v/>
      </c>
      <c r="S68" s="432">
        <f>S7-'Sales 2024'!S7</f>
        <v/>
      </c>
      <c r="T68" s="432">
        <f>T7-'Sales 2024'!T7</f>
        <v/>
      </c>
      <c r="U68" s="432">
        <f>U7-'Sales 2024'!U7</f>
        <v/>
      </c>
      <c r="V68" s="432">
        <f>V7-'Sales 2024'!V7</f>
        <v/>
      </c>
      <c r="W68" s="432">
        <f>W7-'Sales 2024'!W7</f>
        <v/>
      </c>
      <c r="X68" s="445">
        <f>W68/'Sales 2023'!W7</f>
        <v/>
      </c>
    </row>
    <row r="69" ht="13.5" customHeight="1" s="1232">
      <c r="A69" s="1323" t="n"/>
      <c r="B69" s="1323" t="n"/>
      <c r="C69" s="1337" t="n"/>
      <c r="D69" s="1325" t="n"/>
      <c r="E69" s="1338" t="n"/>
      <c r="F69" s="1126" t="n"/>
      <c r="G69" s="1323" t="n"/>
      <c r="H69" s="1326" t="n"/>
      <c r="I69" s="1334" t="inlineStr">
        <is>
          <t>3. Workshops Residential</t>
        </is>
      </c>
      <c r="J69" s="431" t="n"/>
      <c r="K69" s="432">
        <f>K8-'Sales 2024'!K8</f>
        <v/>
      </c>
      <c r="L69" s="432">
        <f>L8-'Sales 2024'!L8</f>
        <v/>
      </c>
      <c r="M69" s="432">
        <f>M8-'Sales 2024'!M8</f>
        <v/>
      </c>
      <c r="N69" s="432">
        <f>N8-'Sales 2024'!N8</f>
        <v/>
      </c>
      <c r="O69" s="432">
        <f>O8-'Sales 2024'!O8</f>
        <v/>
      </c>
      <c r="P69" s="432">
        <f>P8-'Sales 2024'!P8</f>
        <v/>
      </c>
      <c r="Q69" s="432">
        <f>Q8-'Sales 2024'!Q8</f>
        <v/>
      </c>
      <c r="R69" s="432">
        <f>R8-'Sales 2024'!R8</f>
        <v/>
      </c>
      <c r="S69" s="432">
        <f>S8-'Sales 2024'!S8</f>
        <v/>
      </c>
      <c r="T69" s="432">
        <f>T8-'Sales 2024'!T8</f>
        <v/>
      </c>
      <c r="U69" s="432">
        <f>U8-'Sales 2024'!U8</f>
        <v/>
      </c>
      <c r="V69" s="432">
        <f>V8-'Sales 2024'!V8</f>
        <v/>
      </c>
      <c r="W69" s="432">
        <f>W8-'Sales 2024'!W8</f>
        <v/>
      </c>
      <c r="X69" s="445">
        <f>W69/'Sales 2023'!W8</f>
        <v/>
      </c>
    </row>
    <row r="70" ht="13.5" customHeight="1" s="1232">
      <c r="A70" s="1323" t="n"/>
      <c r="B70" s="1323" t="n"/>
      <c r="C70" s="1337" t="n"/>
      <c r="D70" s="1325" t="n"/>
      <c r="E70" s="1338" t="n"/>
      <c r="F70" s="1126" t="n"/>
      <c r="G70" s="1323" t="n"/>
      <c r="H70" s="1326" t="n"/>
      <c r="I70" s="1333" t="inlineStr">
        <is>
          <t>4. Pick n Mix Inc</t>
        </is>
      </c>
      <c r="J70" s="431" t="n"/>
      <c r="K70" s="432">
        <f>K9-'Sales 2024'!K9</f>
        <v/>
      </c>
      <c r="L70" s="432">
        <f>L9-'Sales 2024'!L9</f>
        <v/>
      </c>
      <c r="M70" s="432">
        <f>M9-'Sales 2024'!M9</f>
        <v/>
      </c>
      <c r="N70" s="432">
        <f>N9-'Sales 2024'!N9</f>
        <v/>
      </c>
      <c r="O70" s="432">
        <f>O9-'Sales 2024'!O9</f>
        <v/>
      </c>
      <c r="P70" s="432">
        <f>P9-'Sales 2024'!P9</f>
        <v/>
      </c>
      <c r="Q70" s="432">
        <f>Q9-'Sales 2024'!Q9</f>
        <v/>
      </c>
      <c r="R70" s="432">
        <f>R9-'Sales 2024'!R9</f>
        <v/>
      </c>
      <c r="S70" s="432">
        <f>S9-'Sales 2024'!S9</f>
        <v/>
      </c>
      <c r="T70" s="432">
        <f>T9-'Sales 2024'!T9</f>
        <v/>
      </c>
      <c r="U70" s="432">
        <f>U9-'Sales 2024'!U9</f>
        <v/>
      </c>
      <c r="V70" s="432">
        <f>V9-'Sales 2024'!V9</f>
        <v/>
      </c>
      <c r="W70" s="432">
        <f>W9-'Sales 2024'!W9</f>
        <v/>
      </c>
      <c r="X70" s="445">
        <f>W70/'Sales 2023'!W8</f>
        <v/>
      </c>
    </row>
    <row r="71" ht="13.5" customHeight="1" s="1232">
      <c r="A71" s="1323" t="n"/>
      <c r="B71" s="1323" t="n"/>
      <c r="C71" s="1337" t="n"/>
      <c r="D71" s="1325" t="n"/>
      <c r="E71" s="1338" t="n"/>
      <c r="F71" s="1126" t="n"/>
      <c r="G71" s="1323" t="n"/>
      <c r="H71" s="1326" t="n"/>
      <c r="I71" s="1333" t="inlineStr">
        <is>
          <t>5. Pick n Mix Out</t>
        </is>
      </c>
      <c r="J71" s="431" t="n"/>
      <c r="K71" s="432">
        <f>K10-'Sales 2024'!K10</f>
        <v/>
      </c>
      <c r="L71" s="432">
        <f>L10-'Sales 2024'!L10</f>
        <v/>
      </c>
      <c r="M71" s="432">
        <f>M10-'Sales 2024'!M10</f>
        <v/>
      </c>
      <c r="N71" s="432">
        <f>N10-'Sales 2024'!N10</f>
        <v/>
      </c>
      <c r="O71" s="432">
        <f>O10-'Sales 2024'!O10</f>
        <v/>
      </c>
      <c r="P71" s="432">
        <f>P10-'Sales 2024'!P10</f>
        <v/>
      </c>
      <c r="Q71" s="432">
        <f>Q10-'Sales 2024'!Q10</f>
        <v/>
      </c>
      <c r="R71" s="432">
        <f>R10-'Sales 2024'!R10</f>
        <v/>
      </c>
      <c r="S71" s="432">
        <f>S10-'Sales 2024'!S10</f>
        <v/>
      </c>
      <c r="T71" s="432">
        <f>T10-'Sales 2024'!T10</f>
        <v/>
      </c>
      <c r="U71" s="432">
        <f>U10-'Sales 2024'!U10</f>
        <v/>
      </c>
      <c r="V71" s="432">
        <f>V10-'Sales 2024'!V10</f>
        <v/>
      </c>
      <c r="W71" s="432">
        <f>W10-'Sales 2024'!W10</f>
        <v/>
      </c>
      <c r="X71" s="445">
        <f>W71/'Sales 2023'!W9</f>
        <v/>
      </c>
    </row>
    <row r="72" ht="13.5" customHeight="1" s="1232">
      <c r="A72" s="1323" t="n"/>
      <c r="B72" s="1323" t="n"/>
      <c r="C72" s="1337" t="n"/>
      <c r="D72" s="1325" t="n"/>
      <c r="E72" s="1338" t="n"/>
      <c r="F72" s="1126" t="n"/>
      <c r="G72" s="1323" t="n"/>
      <c r="H72" s="1326" t="n"/>
      <c r="I72" s="1333" t="inlineStr">
        <is>
          <t>6. Mentoring</t>
        </is>
      </c>
      <c r="J72" s="431" t="n"/>
      <c r="K72" s="432">
        <f>K11-'Sales 2024'!K11</f>
        <v/>
      </c>
      <c r="L72" s="432">
        <f>L11-'Sales 2024'!L11</f>
        <v/>
      </c>
      <c r="M72" s="432">
        <f>M11-'Sales 2024'!M11</f>
        <v/>
      </c>
      <c r="N72" s="432">
        <f>N11-'Sales 2024'!N11</f>
        <v/>
      </c>
      <c r="O72" s="432">
        <f>O11-'Sales 2024'!O11</f>
        <v/>
      </c>
      <c r="P72" s="432">
        <f>P11-'Sales 2024'!P11</f>
        <v/>
      </c>
      <c r="Q72" s="432">
        <f>Q11-'Sales 2024'!Q11</f>
        <v/>
      </c>
      <c r="R72" s="432">
        <f>R11-'Sales 2024'!R11</f>
        <v/>
      </c>
      <c r="S72" s="432">
        <f>S11-'Sales 2024'!S11</f>
        <v/>
      </c>
      <c r="T72" s="432">
        <f>T11-'Sales 2024'!T11</f>
        <v/>
      </c>
      <c r="U72" s="432">
        <f>U11-'Sales 2024'!U11</f>
        <v/>
      </c>
      <c r="V72" s="432">
        <f>V11-'Sales 2024'!V11</f>
        <v/>
      </c>
      <c r="W72" s="432">
        <f>W11-'Sales 2024'!W11</f>
        <v/>
      </c>
      <c r="X72" s="445">
        <f>W72/'Sales 2023'!W10</f>
        <v/>
      </c>
    </row>
    <row r="73" ht="13.5" customHeight="1" s="1232">
      <c r="A73" s="1323" t="n"/>
      <c r="B73" s="1323" t="n"/>
      <c r="C73" s="1337" t="n"/>
      <c r="D73" s="1325" t="n"/>
      <c r="E73" s="1338" t="n"/>
      <c r="F73" s="1129" t="n"/>
      <c r="G73" s="1323" t="n"/>
      <c r="H73" s="1326" t="n"/>
      <c r="I73" s="1334" t="inlineStr">
        <is>
          <t>7. 1-2-1</t>
        </is>
      </c>
      <c r="J73" s="431" t="n"/>
      <c r="K73" s="432">
        <f>K12-'Sales 2024'!K12</f>
        <v/>
      </c>
      <c r="L73" s="432">
        <f>L12-'Sales 2024'!L12</f>
        <v/>
      </c>
      <c r="M73" s="432">
        <f>M12-'Sales 2024'!M12</f>
        <v/>
      </c>
      <c r="N73" s="432">
        <f>N12-'Sales 2024'!N12</f>
        <v/>
      </c>
      <c r="O73" s="432">
        <f>O12-'Sales 2024'!O12</f>
        <v/>
      </c>
      <c r="P73" s="432">
        <f>P12-'Sales 2024'!P12</f>
        <v/>
      </c>
      <c r="Q73" s="432">
        <f>Q12-'Sales 2024'!Q12</f>
        <v/>
      </c>
      <c r="R73" s="432">
        <f>R12-'Sales 2024'!R12</f>
        <v/>
      </c>
      <c r="S73" s="432">
        <f>S12-'Sales 2024'!S12</f>
        <v/>
      </c>
      <c r="T73" s="432">
        <f>T12-'Sales 2024'!T12</f>
        <v/>
      </c>
      <c r="U73" s="432">
        <f>U12-'Sales 2024'!U12</f>
        <v/>
      </c>
      <c r="V73" s="432">
        <f>V12-'Sales 2024'!V12</f>
        <v/>
      </c>
      <c r="W73" s="432">
        <f>W12-'Sales 2024'!W12</f>
        <v/>
      </c>
      <c r="X73" s="445">
        <f>W73/'Sales 2023'!W11</f>
        <v/>
      </c>
    </row>
    <row r="74" ht="13.5" customHeight="1" s="1232">
      <c r="A74" s="1323" t="n"/>
      <c r="B74" s="1323" t="n"/>
      <c r="C74" s="1337" t="n"/>
      <c r="D74" s="1325" t="n"/>
      <c r="E74" s="1338" t="n"/>
      <c r="F74" s="1126" t="n"/>
      <c r="G74" s="1323" t="n"/>
      <c r="H74" s="1326" t="n"/>
      <c r="I74" s="1334" t="inlineStr">
        <is>
          <t>8. Gift Vouchers Inc</t>
        </is>
      </c>
      <c r="J74" s="431" t="n"/>
      <c r="K74" s="432">
        <f>K13-'Sales 2024'!K13</f>
        <v/>
      </c>
      <c r="L74" s="432">
        <f>L13-'Sales 2024'!L13</f>
        <v/>
      </c>
      <c r="M74" s="432">
        <f>M13-'Sales 2024'!M13</f>
        <v/>
      </c>
      <c r="N74" s="432">
        <f>N13-'Sales 2024'!N13</f>
        <v/>
      </c>
      <c r="O74" s="432">
        <f>O13-'Sales 2024'!O13</f>
        <v/>
      </c>
      <c r="P74" s="432">
        <f>P13-'Sales 2024'!P13</f>
        <v/>
      </c>
      <c r="Q74" s="432">
        <f>Q13-'Sales 2024'!Q13</f>
        <v/>
      </c>
      <c r="R74" s="432">
        <f>R13-'Sales 2024'!R13</f>
        <v/>
      </c>
      <c r="S74" s="432">
        <f>S13-'Sales 2024'!S13</f>
        <v/>
      </c>
      <c r="T74" s="432">
        <f>T13-'Sales 2024'!T13</f>
        <v/>
      </c>
      <c r="U74" s="432">
        <f>U13-'Sales 2024'!U13</f>
        <v/>
      </c>
      <c r="V74" s="432">
        <f>V13-'Sales 2024'!V13</f>
        <v/>
      </c>
      <c r="W74" s="432">
        <f>W13-'Sales 2024'!W13</f>
        <v/>
      </c>
      <c r="X74" s="445">
        <f>W74/'Sales 2023'!W12</f>
        <v/>
      </c>
    </row>
    <row r="75" ht="13.5" customHeight="1" s="1232">
      <c r="A75" s="1323" t="n"/>
      <c r="B75" s="1323" t="n"/>
      <c r="C75" s="1337" t="n"/>
      <c r="D75" s="1325" t="n"/>
      <c r="E75" s="1338" t="n"/>
      <c r="F75" s="1126" t="n"/>
      <c r="G75" s="1323" t="n"/>
      <c r="H75" s="1326" t="n"/>
      <c r="I75" s="1334" t="inlineStr">
        <is>
          <t>9. Gift Vouchers Out</t>
        </is>
      </c>
      <c r="J75" s="431" t="n"/>
      <c r="K75" s="432">
        <f>K14-'Sales 2024'!K14</f>
        <v/>
      </c>
      <c r="L75" s="432">
        <f>L14-'Sales 2024'!L14</f>
        <v/>
      </c>
      <c r="M75" s="432">
        <f>M14-'Sales 2024'!M14</f>
        <v/>
      </c>
      <c r="N75" s="432">
        <f>N14-'Sales 2024'!N14</f>
        <v/>
      </c>
      <c r="O75" s="432">
        <f>O14-'Sales 2024'!O14</f>
        <v/>
      </c>
      <c r="P75" s="432">
        <f>P14-'Sales 2024'!P14</f>
        <v/>
      </c>
      <c r="Q75" s="432">
        <f>Q14-'Sales 2024'!Q14</f>
        <v/>
      </c>
      <c r="R75" s="432">
        <f>R14-'Sales 2024'!R14</f>
        <v/>
      </c>
      <c r="S75" s="432">
        <f>S14-'Sales 2024'!S14</f>
        <v/>
      </c>
      <c r="T75" s="432">
        <f>T14-'Sales 2024'!T14</f>
        <v/>
      </c>
      <c r="U75" s="432">
        <f>U14-'Sales 2024'!U14</f>
        <v/>
      </c>
      <c r="V75" s="432">
        <f>V14-'Sales 2024'!V14</f>
        <v/>
      </c>
      <c r="W75" s="432">
        <f>W14-'Sales 2024'!W14</f>
        <v/>
      </c>
      <c r="X75" s="445">
        <f>W75/'Sales 2023'!W13</f>
        <v/>
      </c>
    </row>
    <row r="76" ht="13.5" customHeight="1" s="1232">
      <c r="A76" s="1323" t="n"/>
      <c r="B76" s="1324" t="n"/>
      <c r="C76" s="1337" t="n"/>
      <c r="D76" s="1325" t="n"/>
      <c r="E76" s="1338" t="n"/>
      <c r="F76" s="1126" t="n"/>
      <c r="G76" s="1323" t="n"/>
      <c r="H76" s="1326" t="n"/>
      <c r="I76" s="1334" t="inlineStr">
        <is>
          <t>10. Prints &amp; Royalties</t>
        </is>
      </c>
      <c r="J76" s="431" t="n"/>
      <c r="K76" s="432">
        <f>K15-'Sales 2024'!K15</f>
        <v/>
      </c>
      <c r="L76" s="432">
        <f>L15-'Sales 2024'!L15</f>
        <v/>
      </c>
      <c r="M76" s="432">
        <f>M15-'Sales 2024'!M15</f>
        <v/>
      </c>
      <c r="N76" s="432">
        <f>N15-'Sales 2024'!N15</f>
        <v/>
      </c>
      <c r="O76" s="432">
        <f>O15-'Sales 2024'!O15</f>
        <v/>
      </c>
      <c r="P76" s="432">
        <f>P15-'Sales 2024'!P15</f>
        <v/>
      </c>
      <c r="Q76" s="432">
        <f>Q15-'Sales 2024'!Q15</f>
        <v/>
      </c>
      <c r="R76" s="432">
        <f>R15-'Sales 2024'!R15</f>
        <v/>
      </c>
      <c r="S76" s="432">
        <f>S15-'Sales 2024'!S15</f>
        <v/>
      </c>
      <c r="T76" s="432">
        <f>T15-'Sales 2024'!T15</f>
        <v/>
      </c>
      <c r="U76" s="432">
        <f>U15-'Sales 2024'!U15</f>
        <v/>
      </c>
      <c r="V76" s="432">
        <f>V15-'Sales 2024'!V15</f>
        <v/>
      </c>
      <c r="W76" s="432">
        <f>W15-'Sales 2024'!W15</f>
        <v/>
      </c>
      <c r="X76" s="445">
        <f>W76/'Sales 2023'!W14</f>
        <v/>
      </c>
    </row>
    <row r="77" ht="13.5" customHeight="1" s="1232">
      <c r="A77" s="1323" t="n"/>
      <c r="B77" s="1324" t="n"/>
      <c r="C77" s="1337" t="n"/>
      <c r="D77" s="1325" t="n"/>
      <c r="E77" s="1338" t="n"/>
      <c r="F77" s="1126" t="n"/>
      <c r="G77" s="1323" t="n"/>
      <c r="H77" s="1326" t="n"/>
      <c r="I77" s="1334" t="inlineStr">
        <is>
          <t>11 Commissions</t>
        </is>
      </c>
      <c r="J77" s="431" t="n"/>
      <c r="K77" s="432">
        <f>K16-'Sales 2024'!K16</f>
        <v/>
      </c>
      <c r="L77" s="432">
        <f>L16-'Sales 2024'!L16</f>
        <v/>
      </c>
      <c r="M77" s="432">
        <f>M16-'Sales 2024'!M16</f>
        <v/>
      </c>
      <c r="N77" s="432">
        <f>N16-'Sales 2024'!N16</f>
        <v/>
      </c>
      <c r="O77" s="432">
        <f>O16-'Sales 2024'!O16</f>
        <v/>
      </c>
      <c r="P77" s="432">
        <f>P16-'Sales 2024'!P16</f>
        <v/>
      </c>
      <c r="Q77" s="432">
        <f>Q16-'Sales 2024'!Q16</f>
        <v/>
      </c>
      <c r="R77" s="432">
        <f>R16-'Sales 2024'!R16</f>
        <v/>
      </c>
      <c r="S77" s="432">
        <f>S16-'Sales 2024'!S16</f>
        <v/>
      </c>
      <c r="T77" s="432">
        <f>T16-'Sales 2024'!T16</f>
        <v/>
      </c>
      <c r="U77" s="432">
        <f>U16-'Sales 2024'!U16</f>
        <v/>
      </c>
      <c r="V77" s="432">
        <f>V16-'Sales 2024'!V16</f>
        <v/>
      </c>
      <c r="W77" s="432">
        <f>W16-'Sales 2024'!W16</f>
        <v/>
      </c>
      <c r="X77" s="445">
        <f>W77/'Sales 2023'!W15</f>
        <v/>
      </c>
    </row>
    <row r="78" ht="13.9" customHeight="1" s="1232" thickBot="1">
      <c r="A78" s="1323" t="n"/>
      <c r="B78" s="1323" t="n"/>
      <c r="C78" s="1337" t="n"/>
      <c r="D78" s="1325" t="n"/>
      <c r="E78" s="1338" t="n"/>
      <c r="F78" s="1126" t="n"/>
      <c r="G78" s="1323" t="n"/>
      <c r="H78" s="1326" t="n"/>
      <c r="I78" s="1334" t="inlineStr">
        <is>
          <t>12. Other</t>
        </is>
      </c>
      <c r="J78" s="431" t="n"/>
      <c r="K78" s="432">
        <f>K17-'Sales 2024'!K17</f>
        <v/>
      </c>
      <c r="L78" s="432">
        <f>L17-'Sales 2024'!L17</f>
        <v/>
      </c>
      <c r="M78" s="432">
        <f>M17-'Sales 2024'!M17</f>
        <v/>
      </c>
      <c r="N78" s="432">
        <f>N17-'Sales 2024'!N17</f>
        <v/>
      </c>
      <c r="O78" s="432">
        <f>O17-'Sales 2024'!O17</f>
        <v/>
      </c>
      <c r="P78" s="432">
        <f>P17-'Sales 2024'!P17</f>
        <v/>
      </c>
      <c r="Q78" s="432">
        <f>Q17-'Sales 2024'!Q17</f>
        <v/>
      </c>
      <c r="R78" s="432">
        <f>R17-'Sales 2024'!R17</f>
        <v/>
      </c>
      <c r="S78" s="432">
        <f>S17-'Sales 2024'!S17</f>
        <v/>
      </c>
      <c r="T78" s="432">
        <f>T17-'Sales 2024'!T17</f>
        <v/>
      </c>
      <c r="U78" s="432">
        <f>U17-'Sales 2024'!U17</f>
        <v/>
      </c>
      <c r="V78" s="432">
        <f>V17-'Sales 2024'!V17</f>
        <v/>
      </c>
      <c r="W78" s="432">
        <f>W17-'Sales 2024'!W17</f>
        <v/>
      </c>
      <c r="X78" s="445">
        <f>W78/'Sales 2023'!W16</f>
        <v/>
      </c>
    </row>
    <row r="79" ht="14.65" customHeight="1" s="1232" thickBot="1" thickTop="1">
      <c r="A79" s="1323" t="n"/>
      <c r="B79" s="1323" t="n"/>
      <c r="C79" s="1337" t="n"/>
      <c r="D79" s="1325" t="n"/>
      <c r="E79" s="1338" t="n"/>
      <c r="F79" s="1126" t="n"/>
      <c r="G79" s="1323" t="n"/>
      <c r="H79" s="1326" t="n"/>
      <c r="I79" s="1335" t="inlineStr">
        <is>
          <t>Totals</t>
        </is>
      </c>
      <c r="J79" s="438" t="n"/>
      <c r="K79" s="587">
        <f>SUM(K67:K78)</f>
        <v/>
      </c>
      <c r="L79" s="587">
        <f>SUM(L67:L78)</f>
        <v/>
      </c>
      <c r="M79" s="587">
        <f>SUM(M67:M78)</f>
        <v/>
      </c>
      <c r="N79" s="587">
        <f>SUM(N67:N78)</f>
        <v/>
      </c>
      <c r="O79" s="587">
        <f>SUM(O67:O78)</f>
        <v/>
      </c>
      <c r="P79" s="587">
        <f>SUM(P67:P78)</f>
        <v/>
      </c>
      <c r="Q79" s="587">
        <f>SUM(Q67:Q78)</f>
        <v/>
      </c>
      <c r="R79" s="587">
        <f>SUM(R67:R78)</f>
        <v/>
      </c>
      <c r="S79" s="587">
        <f>SUM(S67:S78)</f>
        <v/>
      </c>
      <c r="T79" s="587">
        <f>SUM(T67:T78)</f>
        <v/>
      </c>
      <c r="U79" s="587">
        <f>SUM(U67:U78)</f>
        <v/>
      </c>
      <c r="V79" s="587">
        <f>SUM(V67:V78)</f>
        <v/>
      </c>
      <c r="W79" s="789">
        <f>SUM(W67:W78)</f>
        <v/>
      </c>
      <c r="X79" s="445">
        <f>W79/'Sales 2023'!W17</f>
        <v/>
      </c>
    </row>
    <row r="80" ht="13.9" customHeight="1" s="1232" thickTop="1">
      <c r="A80" s="1323" t="n"/>
      <c r="B80" s="1323" t="n"/>
      <c r="C80" s="1337" t="n"/>
      <c r="D80" s="1325" t="n"/>
      <c r="E80" s="1338" t="n"/>
      <c r="F80" s="1126" t="n"/>
      <c r="G80" s="1323" t="n"/>
      <c r="H80" s="1326" t="n"/>
    </row>
    <row r="81" ht="13.9" customHeight="1" s="1232">
      <c r="A81" s="1323" t="n"/>
      <c r="B81" s="1323" t="n"/>
      <c r="C81" s="1337" t="n"/>
      <c r="D81" s="1325" t="n"/>
      <c r="E81" s="1338" t="n"/>
      <c r="F81" s="1126" t="n"/>
      <c r="G81" s="1323" t="n"/>
      <c r="H81" s="1326" t="n"/>
      <c r="I81" s="1336" t="inlineStr">
        <is>
          <t>Tuition Categories</t>
        </is>
      </c>
      <c r="J81" s="1330" t="inlineStr">
        <is>
          <t>Units</t>
        </is>
      </c>
      <c r="K81" s="1332" t="inlineStr">
        <is>
          <t>Jan</t>
        </is>
      </c>
      <c r="L81" s="1332" t="inlineStr">
        <is>
          <t>Feb</t>
        </is>
      </c>
      <c r="M81" s="1332" t="inlineStr">
        <is>
          <t>Mar</t>
        </is>
      </c>
      <c r="N81" s="1332" t="inlineStr">
        <is>
          <t>Apr</t>
        </is>
      </c>
      <c r="O81" s="1332" t="inlineStr">
        <is>
          <t>May</t>
        </is>
      </c>
      <c r="P81" s="1332" t="inlineStr">
        <is>
          <t>Jun</t>
        </is>
      </c>
      <c r="Q81" s="1332" t="inlineStr">
        <is>
          <t>Jul</t>
        </is>
      </c>
      <c r="R81" s="1332" t="inlineStr">
        <is>
          <t>Aug</t>
        </is>
      </c>
      <c r="S81" s="1332" t="inlineStr">
        <is>
          <t>Sep</t>
        </is>
      </c>
      <c r="T81" s="1332" t="inlineStr">
        <is>
          <t>Oct</t>
        </is>
      </c>
      <c r="U81" s="1332" t="inlineStr">
        <is>
          <t>Nov</t>
        </is>
      </c>
      <c r="V81" s="1332" t="inlineStr">
        <is>
          <t>Dec</t>
        </is>
      </c>
      <c r="W81" s="1332" t="inlineStr">
        <is>
          <t>Year</t>
        </is>
      </c>
    </row>
    <row r="82" ht="13.5" customHeight="1" s="1232">
      <c r="A82" s="1323" t="n"/>
      <c r="B82" s="1323" t="n"/>
      <c r="C82" s="1337" t="n"/>
      <c r="D82" s="1325" t="n"/>
      <c r="E82" s="1338" t="n"/>
      <c r="F82" s="1126" t="n"/>
      <c r="G82" s="1323" t="n"/>
      <c r="H82" s="1326" t="n"/>
      <c r="I82" s="1333" t="inlineStr">
        <is>
          <t>1. Courses/masterclasses</t>
        </is>
      </c>
      <c r="J82" s="431" t="n"/>
      <c r="K82" s="432">
        <f>COUNTIFS($A$209:$A$693,"&gt;31/12/2024",$A$209:$A$693,"&lt;1/2/2025",$C$209:$C$693,I82)</f>
        <v/>
      </c>
      <c r="L82" s="432">
        <f>COUNTIFS($A$209:$A$693,"&gt;31/1/2025",$A$209:$A$693,"&lt;1/3/2025",$C$209:$C$693,$I82)</f>
        <v/>
      </c>
      <c r="M82" s="432">
        <f>COUNTIFS($A$209:$A$693,"&gt;28/2/2025",$A$209:$A$693,"&lt;1/4/2025",$C$209:$C$693,$I82)</f>
        <v/>
      </c>
      <c r="N82" s="432">
        <f>COUNTIFS($A$209:$A$693,"&gt;31/3/2025",$A$209:$A$693,"&lt;1/5/2025",$C$209:$C$693,$I82)</f>
        <v/>
      </c>
      <c r="O82" s="432">
        <f>COUNTIFS($A$209:$A$693,"&gt;30/4/2025",$A$209:$A$693,"&lt;1/6/2025",$C$209:$C$693,$I82)</f>
        <v/>
      </c>
      <c r="P82" s="432">
        <f>COUNTIFS($A$209:$A$693,"&gt;31/5/2025",$A$209:$A$693,"&lt;1/7/2025",$C$209:$C$693,$I82)</f>
        <v/>
      </c>
      <c r="Q82" s="432">
        <f>COUNTIFS($A$209:$A$693,"&gt;30/6/2025",$A$209:$A$693,"&lt;1/8/2025",$C$209:$C$693,$I82)</f>
        <v/>
      </c>
      <c r="R82" s="432">
        <f>COUNTIFS($A$209:$A$693,"&gt;31/7/2025",$A$209:$A$693,"&lt;1/9/2025",$C$209:$C$693,$I82)</f>
        <v/>
      </c>
      <c r="S82" s="432">
        <f>COUNTIFS($A$209:$A$693,"&gt;31/8/2025",$A$209:$A$693,"&lt;1/10/2025",$C$209:$C$693,$I82)</f>
        <v/>
      </c>
      <c r="T82" s="432">
        <f>COUNTIFS($A$209:$A$693,"&gt;30/9/2025",$A$209:$A$693,"&lt;1/11/2025",$C$209:$C$693,$I82)</f>
        <v/>
      </c>
      <c r="U82" s="432">
        <f>COUNTIFS($A$209:$A$693,"&gt;31/10/2025",$A$209:$A$693,"&lt;1/12/2025",$C$209:$C$693,$I82)</f>
        <v/>
      </c>
      <c r="V82" s="432">
        <f>COUNTIFS($A$209:$A$693,"&gt;30/11/2025",$A$209:$A$693,"&lt;1/1/2026",$C$209:$C$693,$I82)</f>
        <v/>
      </c>
      <c r="W82" s="431">
        <f>SUM(K82:V82)</f>
        <v/>
      </c>
    </row>
    <row r="83" ht="13.5" customHeight="1" s="1232">
      <c r="A83" s="1323" t="n"/>
      <c r="B83" s="1323" t="n"/>
      <c r="C83" s="1337" t="n"/>
      <c r="D83" s="1325" t="n"/>
      <c r="E83" s="1338" t="n"/>
      <c r="F83" s="1126" t="n"/>
      <c r="G83" s="1323" t="n"/>
      <c r="H83" s="1326" t="n"/>
      <c r="I83" s="1333" t="inlineStr">
        <is>
          <t>2. Workshops Non Residential</t>
        </is>
      </c>
      <c r="J83" s="431" t="n"/>
      <c r="K83" s="432">
        <f>COUNTIFS($A$209:$A$693,"&gt;31/12/2024",$A$209:$A$693,"&lt;1/2/2025",$C$209:$C$693,I83)</f>
        <v/>
      </c>
      <c r="L83" s="432">
        <f>COUNTIFS($A$209:$A$693,"&gt;31/1/2025",$A$209:$A$693,"&lt;1/3/2025",$C$209:$C$693,$I83)</f>
        <v/>
      </c>
      <c r="M83" s="432">
        <f>COUNTIFS($A$209:$A$693,"&gt;28/2/2025",$A$209:$A$693,"&lt;1/4/2025",$C$209:$C$693,$I83)</f>
        <v/>
      </c>
      <c r="N83" s="432">
        <f>COUNTIFS($A$209:$A$693,"&gt;31/3/2025",$A$209:$A$693,"&lt;1/5/2025",$C$209:$C$693,$I83)</f>
        <v/>
      </c>
      <c r="O83" s="432">
        <f>COUNTIFS($A$209:$A$693,"&gt;30/4/2025",$A$209:$A$693,"&lt;1/6/2025",$C$209:$C$693,$I83)</f>
        <v/>
      </c>
      <c r="P83" s="432">
        <f>COUNTIFS($A$209:$A$693,"&gt;31/5/2025",$A$209:$A$693,"&lt;1/7/2025",$C$209:$C$693,$I83)</f>
        <v/>
      </c>
      <c r="Q83" s="432">
        <f>COUNTIFS($A$209:$A$693,"&gt;30/6/2025",$A$209:$A$693,"&lt;1/8/2025",$C$209:$C$693,$I83)</f>
        <v/>
      </c>
      <c r="R83" s="432">
        <f>COUNTIFS($A$209:$A$693,"&gt;31/7/2025",$A$209:$A$693,"&lt;1/9/2025",$C$209:$C$693,$I83)</f>
        <v/>
      </c>
      <c r="S83" s="432">
        <f>COUNTIFS($A$209:$A$693,"&gt;31/8/2025",$A$209:$A$693,"&lt;1/10/2025",$C$209:$C$693,$I83)</f>
        <v/>
      </c>
      <c r="T83" s="432">
        <f>COUNTIFS($A$209:$A$693,"&gt;30/9/2025",$A$209:$A$693,"&lt;1/11/2025",$C$209:$C$693,$I83)</f>
        <v/>
      </c>
      <c r="U83" s="432">
        <f>COUNTIFS($A$209:$A$693,"&gt;31/10/2025",$A$209:$A$693,"&lt;1/12/2025",$C$209:$C$693,$I83)</f>
        <v/>
      </c>
      <c r="V83" s="432">
        <f>COUNTIFS($A$209:$A$693,"&gt;30/11/2025",$A$209:$A$693,"&lt;1/1/2026",$C$209:$C$693,$I83)</f>
        <v/>
      </c>
      <c r="W83" s="431">
        <f>SUM(K83:V83)</f>
        <v/>
      </c>
    </row>
    <row r="84" ht="13.5" customHeight="1" s="1232">
      <c r="A84" s="1323" t="n"/>
      <c r="B84" s="1323" t="n"/>
      <c r="C84" s="1337" t="n"/>
      <c r="D84" s="1325" t="n"/>
      <c r="E84" s="1338" t="n"/>
      <c r="F84" s="1126" t="n"/>
      <c r="G84" s="1323" t="n"/>
      <c r="H84" s="1326" t="n"/>
      <c r="I84" s="1334" t="inlineStr">
        <is>
          <t>3. Workshops Residential</t>
        </is>
      </c>
      <c r="J84" s="431" t="n"/>
      <c r="K84" s="432">
        <f>COUNTIFS($A$209:$A$693,"&gt;31/12/2024",$A$209:$A$693,"&lt;1/2/2025",$C$209:$C$693,I84)</f>
        <v/>
      </c>
      <c r="L84" s="432">
        <f>COUNTIFS($A$209:$A$693,"&gt;31/1/2025",$A$209:$A$693,"&lt;1/3/2025",$C$209:$C$693,$I84)</f>
        <v/>
      </c>
      <c r="M84" s="432">
        <f>COUNTIFS($A$209:$A$693,"&gt;28/2/2025",$A$209:$A$693,"&lt;1/4/2025",$C$209:$C$693,$I84)</f>
        <v/>
      </c>
      <c r="N84" s="432">
        <f>COUNTIFS($A$209:$A$693,"&gt;31/3/2025",$A$209:$A$693,"&lt;1/5/2025",$C$209:$C$693,$I84)</f>
        <v/>
      </c>
      <c r="O84" s="432">
        <f>COUNTIFS($A$209:$A$693,"&gt;30/4/2025",$A$209:$A$693,"&lt;1/6/2025",$C$209:$C$693,$I84)</f>
        <v/>
      </c>
      <c r="P84" s="432">
        <f>COUNTIFS($A$209:$A$693,"&gt;31/5/2025",$A$209:$A$693,"&lt;1/7/2025",$C$209:$C$693,$I84)</f>
        <v/>
      </c>
      <c r="Q84" s="432">
        <f>COUNTIFS($A$209:$A$693,"&gt;30/6/2025",$A$209:$A$693,"&lt;1/8/2025",$C$209:$C$693,$I84)</f>
        <v/>
      </c>
      <c r="R84" s="432">
        <f>COUNTIFS($A$209:$A$693,"&gt;31/7/2025",$A$209:$A$693,"&lt;1/9/2025",$C$209:$C$693,$I84)</f>
        <v/>
      </c>
      <c r="S84" s="432">
        <f>COUNTIFS($A$209:$A$693,"&gt;31/8/2025",$A$209:$A$693,"&lt;1/10/2025",$C$209:$C$693,$I84)</f>
        <v/>
      </c>
      <c r="T84" s="432">
        <f>COUNTIFS($A$209:$A$693,"&gt;30/9/2025",$A$209:$A$693,"&lt;1/11/2025",$C$209:$C$693,$I84)</f>
        <v/>
      </c>
      <c r="U84" s="432">
        <f>COUNTIFS($A$209:$A$693,"&gt;31/10/2025",$A$209:$A$693,"&lt;1/12/2025",$C$209:$C$693,$I84)</f>
        <v/>
      </c>
      <c r="V84" s="432">
        <f>COUNTIFS($A$209:$A$693,"&gt;30/11/2025",$A$209:$A$693,"&lt;1/1/2026",$C$209:$C$693,$I84)</f>
        <v/>
      </c>
      <c r="W84" s="431">
        <f>SUM(K84:V84)</f>
        <v/>
      </c>
    </row>
    <row r="85" ht="13.5" customHeight="1" s="1232">
      <c r="A85" s="1323" t="n"/>
      <c r="B85" s="1323" t="n"/>
      <c r="C85" s="1337" t="n"/>
      <c r="D85" s="1325" t="n"/>
      <c r="E85" s="1338" t="n"/>
      <c r="F85" s="1126" t="n"/>
      <c r="G85" s="1323" t="n"/>
      <c r="H85" s="1326" t="n"/>
      <c r="I85" s="1333" t="inlineStr">
        <is>
          <t>4. Pick n Mix Inc</t>
        </is>
      </c>
      <c r="J85" s="431" t="n"/>
      <c r="K85" s="432">
        <f>COUNTIFS($A$209:$A$693,"&gt;31/12/2024",$A$209:$A$693,"&lt;1/2/2025",$C$209:$C$693,I85)</f>
        <v/>
      </c>
      <c r="L85" s="432">
        <f>COUNTIFS($A$209:$A$693,"&gt;31/1/2025",$A$209:$A$693,"&lt;1/3/2025",$C$209:$C$693,$I85)</f>
        <v/>
      </c>
      <c r="M85" s="432">
        <f>COUNTIFS($A$209:$A$693,"&gt;28/2/2025",$A$209:$A$693,"&lt;1/4/2025",$C$209:$C$693,$I85)</f>
        <v/>
      </c>
      <c r="N85" s="432">
        <f>COUNTIFS($A$209:$A$693,"&gt;31/3/2025",$A$209:$A$693,"&lt;1/5/2025",$C$209:$C$693,$I85)</f>
        <v/>
      </c>
      <c r="O85" s="432">
        <f>COUNTIFS($A$209:$A$693,"&gt;30/4/2025",$A$209:$A$693,"&lt;1/6/2025",$C$209:$C$693,$I85)</f>
        <v/>
      </c>
      <c r="P85" s="432">
        <f>COUNTIFS($A$209:$A$693,"&gt;31/5/2025",$A$209:$A$693,"&lt;1/7/2025",$C$209:$C$693,$I85)</f>
        <v/>
      </c>
      <c r="Q85" s="432">
        <f>COUNTIFS($A$209:$A$693,"&gt;30/6/2025",$A$209:$A$693,"&lt;1/8/2025",$C$209:$C$693,$I85)</f>
        <v/>
      </c>
      <c r="R85" s="432">
        <f>COUNTIFS($A$209:$A$693,"&gt;31/7/2025",$A$209:$A$693,"&lt;1/9/2025",$C$209:$C$693,$I85)</f>
        <v/>
      </c>
      <c r="S85" s="432">
        <f>COUNTIFS($A$209:$A$693,"&gt;31/8/2025",$A$209:$A$693,"&lt;1/10/2025",$C$209:$C$693,$I85)</f>
        <v/>
      </c>
      <c r="T85" s="432">
        <f>COUNTIFS($A$209:$A$693,"&gt;30/9/2025",$A$209:$A$693,"&lt;1/11/2025",$C$209:$C$693,$I85)</f>
        <v/>
      </c>
      <c r="U85" s="432">
        <f>COUNTIFS($A$209:$A$693,"&gt;31/10/2025",$A$209:$A$693,"&lt;1/12/2025",$C$209:$C$693,$I85)</f>
        <v/>
      </c>
      <c r="V85" s="432">
        <f>COUNTIFS($A$209:$A$693,"&gt;30/11/2025",$A$209:$A$693,"&lt;1/1/2026",$C$209:$C$693,$I85)</f>
        <v/>
      </c>
      <c r="W85" s="431">
        <f>SUM(K85:V85)</f>
        <v/>
      </c>
    </row>
    <row r="86" ht="13.5" customHeight="1" s="1232">
      <c r="A86" s="1323" t="n"/>
      <c r="B86" s="1323" t="n"/>
      <c r="C86" s="1337" t="n"/>
      <c r="D86" s="1325" t="n"/>
      <c r="E86" s="1338" t="n"/>
      <c r="F86" s="1126" t="n"/>
      <c r="G86" s="1323" t="n"/>
      <c r="H86" s="1326" t="n"/>
      <c r="I86" s="1333" t="inlineStr">
        <is>
          <t>5. Pick n Mix Out</t>
        </is>
      </c>
      <c r="J86" s="431" t="n"/>
      <c r="K86" s="432">
        <f>COUNTIFS($A$209:$A$693,"&gt;31/12/2024",$A$209:$A$693,"&lt;1/2/2025",$C$209:$C$693,I86)</f>
        <v/>
      </c>
      <c r="L86" s="432">
        <f>COUNTIFS($A$209:$A$693,"&gt;31/1/2025",$A$209:$A$693,"&lt;1/3/2025",$C$209:$C$693,$I86)</f>
        <v/>
      </c>
      <c r="M86" s="432">
        <f>COUNTIFS($A$209:$A$693,"&gt;28/2/2025",$A$209:$A$693,"&lt;1/4/2025",$C$209:$C$693,$I86)</f>
        <v/>
      </c>
      <c r="N86" s="432">
        <f>COUNTIFS($A$209:$A$693,"&gt;31/3/2025",$A$209:$A$693,"&lt;1/5/2025",$C$209:$C$693,$I86)</f>
        <v/>
      </c>
      <c r="O86" s="432">
        <f>COUNTIFS($A$209:$A$693,"&gt;30/4/2025",$A$209:$A$693,"&lt;1/6/2025",$C$209:$C$693,$I86)</f>
        <v/>
      </c>
      <c r="P86" s="432">
        <f>COUNTIFS($A$209:$A$693,"&gt;31/5/2025",$A$209:$A$693,"&lt;1/7/2025",$C$209:$C$693,$I86)</f>
        <v/>
      </c>
      <c r="Q86" s="432">
        <f>COUNTIFS($A$209:$A$693,"&gt;30/6/2025",$A$209:$A$693,"&lt;1/8/2025",$C$209:$C$693,$I86)</f>
        <v/>
      </c>
      <c r="R86" s="432">
        <f>COUNTIFS($A$209:$A$693,"&gt;31/7/2025",$A$209:$A$693,"&lt;1/9/2025",$C$209:$C$693,$I86)</f>
        <v/>
      </c>
      <c r="S86" s="432">
        <f>COUNTIFS($A$209:$A$693,"&gt;31/8/2025",$A$209:$A$693,"&lt;1/10/2025",$C$209:$C$693,$I86)</f>
        <v/>
      </c>
      <c r="T86" s="432">
        <f>COUNTIFS($A$209:$A$693,"&gt;30/9/2025",$A$209:$A$693,"&lt;1/11/2025",$C$209:$C$693,$I86)</f>
        <v/>
      </c>
      <c r="U86" s="432">
        <f>COUNTIFS($A$209:$A$693,"&gt;31/10/2025",$A$209:$A$693,"&lt;1/12/2025",$C$209:$C$693,$I86)</f>
        <v/>
      </c>
      <c r="V86" s="432">
        <f>COUNTIFS($A$209:$A$693,"&gt;30/11/2025",$A$209:$A$693,"&lt;1/1/2026",$C$209:$C$693,$I86)</f>
        <v/>
      </c>
      <c r="W86" s="431">
        <f>SUM(K86:V86)</f>
        <v/>
      </c>
    </row>
    <row r="87" ht="13.5" customHeight="1" s="1232">
      <c r="A87" s="1323" t="n"/>
      <c r="B87" s="1323" t="n"/>
      <c r="C87" s="1337" t="n"/>
      <c r="D87" s="1325" t="n"/>
      <c r="E87" s="1338" t="n"/>
      <c r="F87" s="1126" t="n"/>
      <c r="G87" s="1323" t="n"/>
      <c r="H87" s="1326" t="n"/>
      <c r="I87" s="1333" t="inlineStr">
        <is>
          <t>6. Mentoring</t>
        </is>
      </c>
      <c r="J87" s="431" t="n"/>
      <c r="K87" s="432">
        <f>COUNTIFS($A$209:$A$693,"&gt;31/12/2024",$A$209:$A$693,"&lt;1/2/2025",$C$209:$C$693,I87)</f>
        <v/>
      </c>
      <c r="L87" s="432">
        <f>COUNTIFS($A$209:$A$693,"&gt;31/1/2025",$A$209:$A$693,"&lt;1/3/2025",$C$209:$C$693,$I87)</f>
        <v/>
      </c>
      <c r="M87" s="432">
        <f>COUNTIFS($A$209:$A$693,"&gt;28/2/2025",$A$209:$A$693,"&lt;1/4/2025",$C$209:$C$693,$I87)</f>
        <v/>
      </c>
      <c r="N87" s="432">
        <f>COUNTIFS($A$209:$A$693,"&gt;31/3/2025",$A$209:$A$693,"&lt;1/5/2025",$C$209:$C$693,$I87)</f>
        <v/>
      </c>
      <c r="O87" s="432">
        <f>COUNTIFS($A$209:$A$693,"&gt;30/4/2025",$A$209:$A$693,"&lt;1/6/2025",$C$209:$C$693,$I87)</f>
        <v/>
      </c>
      <c r="P87" s="432">
        <f>COUNTIFS($A$209:$A$693,"&gt;31/5/2025",$A$209:$A$693,"&lt;1/7/2025",$C$209:$C$693,$I87)</f>
        <v/>
      </c>
      <c r="Q87" s="432">
        <f>COUNTIFS($A$209:$A$693,"&gt;30/6/2025",$A$209:$A$693,"&lt;1/8/2025",$C$209:$C$693,$I87)</f>
        <v/>
      </c>
      <c r="R87" s="432">
        <f>COUNTIFS($A$209:$A$693,"&gt;31/7/2025",$A$209:$A$693,"&lt;1/9/2025",$C$209:$C$693,$I87)</f>
        <v/>
      </c>
      <c r="S87" s="432">
        <f>COUNTIFS($A$209:$A$693,"&gt;31/8/2025",$A$209:$A$693,"&lt;1/10/2025",$C$209:$C$693,$I87)</f>
        <v/>
      </c>
      <c r="T87" s="432">
        <f>COUNTIFS($A$209:$A$693,"&gt;30/9/2025",$A$209:$A$693,"&lt;1/11/2025",$C$209:$C$693,$I87)</f>
        <v/>
      </c>
      <c r="U87" s="432">
        <f>COUNTIFS($A$209:$A$693,"&gt;31/10/2025",$A$209:$A$693,"&lt;1/12/2025",$C$209:$C$693,$I87)</f>
        <v/>
      </c>
      <c r="V87" s="432">
        <f>COUNTIFS($A$209:$A$693,"&gt;30/11/2025",$A$209:$A$693,"&lt;1/1/2026",$C$209:$C$693,$I87)</f>
        <v/>
      </c>
      <c r="W87" s="431">
        <f>SUM(K87:V87)</f>
        <v/>
      </c>
    </row>
    <row r="88" ht="13.5" customHeight="1" s="1232">
      <c r="A88" s="1323" t="n"/>
      <c r="B88" s="1323" t="n"/>
      <c r="C88" s="1337" t="n"/>
      <c r="D88" s="1325" t="n"/>
      <c r="E88" s="1338" t="n"/>
      <c r="F88" s="1126" t="n"/>
      <c r="G88" s="1323" t="n"/>
      <c r="H88" s="1326" t="n"/>
      <c r="I88" s="1334" t="inlineStr">
        <is>
          <t>7. 1-2-1</t>
        </is>
      </c>
      <c r="J88" s="431" t="n"/>
      <c r="K88" s="432">
        <f>COUNTIFS($A$209:$A$693,"&gt;31/12/2024",$A$209:$A$693,"&lt;1/2/2025",$C$209:$C$693,I88)</f>
        <v/>
      </c>
      <c r="L88" s="432">
        <f>COUNTIFS($A$209:$A$693,"&gt;31/1/2025",$A$209:$A$693,"&lt;1/3/2025",$C$209:$C$693,$I88)</f>
        <v/>
      </c>
      <c r="M88" s="432">
        <f>COUNTIFS($A$209:$A$693,"&gt;28/2/2025",$A$209:$A$693,"&lt;1/4/2025",$C$209:$C$693,$I88)</f>
        <v/>
      </c>
      <c r="N88" s="432">
        <f>COUNTIFS($A$209:$A$693,"&gt;31/3/2025",$A$209:$A$693,"&lt;1/5/2025",$C$209:$C$693,$I88)</f>
        <v/>
      </c>
      <c r="O88" s="432">
        <f>COUNTIFS($A$209:$A$693,"&gt;30/4/2025",$A$209:$A$693,"&lt;1/6/2025",$C$209:$C$693,$I88)</f>
        <v/>
      </c>
      <c r="P88" s="432">
        <f>COUNTIFS($A$209:$A$693,"&gt;31/5/2025",$A$209:$A$693,"&lt;1/7/2025",$C$209:$C$693,$I88)</f>
        <v/>
      </c>
      <c r="Q88" s="432">
        <f>COUNTIFS($A$209:$A$693,"&gt;30/6/2025",$A$209:$A$693,"&lt;1/8/2025",$C$209:$C$693,$I88)</f>
        <v/>
      </c>
      <c r="R88" s="432">
        <f>COUNTIFS($A$209:$A$693,"&gt;31/7/2025",$A$209:$A$693,"&lt;1/9/2025",$C$209:$C$693,$I88)</f>
        <v/>
      </c>
      <c r="S88" s="432">
        <f>COUNTIFS($A$209:$A$693,"&gt;31/8/2025",$A$209:$A$693,"&lt;1/10/2025",$C$209:$C$693,$I88)</f>
        <v/>
      </c>
      <c r="T88" s="432">
        <f>COUNTIFS($A$209:$A$693,"&gt;30/9/2025",$A$209:$A$693,"&lt;1/11/2025",$C$209:$C$693,$I88)</f>
        <v/>
      </c>
      <c r="U88" s="432">
        <f>COUNTIFS($A$209:$A$693,"&gt;31/10/2025",$A$209:$A$693,"&lt;1/12/2025",$C$209:$C$693,$I88)</f>
        <v/>
      </c>
      <c r="V88" s="432">
        <f>COUNTIFS($A$209:$A$693,"&gt;30/11/2025",$A$209:$A$693,"&lt;1/1/2026",$C$209:$C$693,$I88)</f>
        <v/>
      </c>
      <c r="W88" s="431">
        <f>SUM(K88:V88)</f>
        <v/>
      </c>
    </row>
    <row r="89" ht="13.5" customHeight="1" s="1232">
      <c r="A89" s="1323" t="n"/>
      <c r="B89" s="1323" t="n"/>
      <c r="C89" s="1337" t="n"/>
      <c r="D89" s="1325" t="n"/>
      <c r="E89" s="1338" t="n"/>
      <c r="F89" s="1126" t="n"/>
      <c r="G89" s="1323" t="n"/>
      <c r="H89" s="1326" t="n"/>
      <c r="I89" s="1334" t="inlineStr">
        <is>
          <t>8. Gift Vouchers Inc</t>
        </is>
      </c>
      <c r="J89" s="431" t="n"/>
      <c r="K89" s="432">
        <f>COUNTIFS($A$209:$A$693,"&gt;31/12/2024",$A$209:$A$693,"&lt;1/2/2025",$C$209:$C$693,I89)</f>
        <v/>
      </c>
      <c r="L89" s="432">
        <f>COUNTIFS($A$209:$A$693,"&gt;31/1/2025",$A$209:$A$693,"&lt;1/3/2025",$C$209:$C$693,$I89)</f>
        <v/>
      </c>
      <c r="M89" s="432">
        <f>COUNTIFS($A$209:$A$693,"&gt;28/2/2025",$A$209:$A$693,"&lt;1/4/2025",$C$209:$C$693,$I89)</f>
        <v/>
      </c>
      <c r="N89" s="432">
        <f>COUNTIFS($A$209:$A$693,"&gt;31/3/2025",$A$209:$A$693,"&lt;1/5/2025",$C$209:$C$693,$I89)</f>
        <v/>
      </c>
      <c r="O89" s="432">
        <f>COUNTIFS($A$209:$A$693,"&gt;30/4/2025",$A$209:$A$693,"&lt;1/6/2025",$C$209:$C$693,$I89)</f>
        <v/>
      </c>
      <c r="P89" s="432">
        <f>COUNTIFS($A$209:$A$693,"&gt;31/5/2025",$A$209:$A$693,"&lt;1/7/2025",$C$209:$C$693,$I89)</f>
        <v/>
      </c>
      <c r="Q89" s="432">
        <f>COUNTIFS($A$209:$A$693,"&gt;30/6/2025",$A$209:$A$693,"&lt;1/8/2025",$C$209:$C$693,$I89)</f>
        <v/>
      </c>
      <c r="R89" s="432">
        <f>COUNTIFS($A$209:$A$693,"&gt;31/7/2025",$A$209:$A$693,"&lt;1/9/2025",$C$209:$C$693,$I89)</f>
        <v/>
      </c>
      <c r="S89" s="432">
        <f>COUNTIFS($A$209:$A$693,"&gt;31/8/2025",$A$209:$A$693,"&lt;1/10/2025",$C$209:$C$693,$I89)</f>
        <v/>
      </c>
      <c r="T89" s="432">
        <f>COUNTIFS($A$209:$A$693,"&gt;30/9/2025",$A$209:$A$693,"&lt;1/11/2025",$C$209:$C$693,$I89)</f>
        <v/>
      </c>
      <c r="U89" s="432">
        <f>COUNTIFS($A$209:$A$693,"&gt;31/10/2025",$A$209:$A$693,"&lt;1/12/2025",$C$209:$C$693,$I89)</f>
        <v/>
      </c>
      <c r="V89" s="432">
        <f>COUNTIFS($A$209:$A$693,"&gt;30/11/2025",$A$209:$A$693,"&lt;1/1/2026",$C$209:$C$693,$I89)</f>
        <v/>
      </c>
      <c r="W89" s="431">
        <f>SUM(K89:V89)</f>
        <v/>
      </c>
    </row>
    <row r="90" ht="13.5" customHeight="1" s="1232">
      <c r="A90" s="1323" t="n"/>
      <c r="B90" s="1323" t="n"/>
      <c r="C90" s="1337" t="n"/>
      <c r="D90" s="1325" t="n"/>
      <c r="E90" s="1338" t="n"/>
      <c r="F90" s="1126" t="n"/>
      <c r="G90" s="1323" t="n"/>
      <c r="H90" s="1326" t="n"/>
      <c r="I90" s="1334" t="inlineStr">
        <is>
          <t>9. Gift Vouchers Out</t>
        </is>
      </c>
      <c r="J90" s="431" t="n"/>
      <c r="K90" s="432">
        <f>COUNTIFS($A$209:$A$693,"&gt;31/12/2024",$A$209:$A$693,"&lt;1/2/2025",$C$209:$C$693,I90)</f>
        <v/>
      </c>
      <c r="L90" s="432">
        <f>COUNTIFS($A$209:$A$693,"&gt;31/1/2025",$A$209:$A$693,"&lt;1/3/2025",$C$209:$C$693,$I90)</f>
        <v/>
      </c>
      <c r="M90" s="432">
        <f>COUNTIFS($A$209:$A$693,"&gt;28/2/2025",$A$209:$A$693,"&lt;1/4/2025",$C$209:$C$693,$I90)</f>
        <v/>
      </c>
      <c r="N90" s="432">
        <f>COUNTIFS($A$209:$A$693,"&gt;31/3/2025",$A$209:$A$693,"&lt;1/5/2025",$C$209:$C$693,$I90)</f>
        <v/>
      </c>
      <c r="O90" s="432">
        <f>COUNTIFS($A$209:$A$693,"&gt;30/4/2025",$A$209:$A$693,"&lt;1/6/2025",$C$209:$C$693,$I90)</f>
        <v/>
      </c>
      <c r="P90" s="432">
        <f>COUNTIFS($A$209:$A$693,"&gt;31/5/2025",$A$209:$A$693,"&lt;1/7/2025",$C$209:$C$693,$I90)</f>
        <v/>
      </c>
      <c r="Q90" s="432">
        <f>COUNTIFS($A$209:$A$693,"&gt;30/6/2025",$A$209:$A$693,"&lt;1/8/2025",$C$209:$C$693,$I90)</f>
        <v/>
      </c>
      <c r="R90" s="432">
        <f>COUNTIFS($A$209:$A$693,"&gt;31/7/2025",$A$209:$A$693,"&lt;1/9/2025",$C$209:$C$693,$I90)</f>
        <v/>
      </c>
      <c r="S90" s="432">
        <f>COUNTIFS($A$209:$A$693,"&gt;31/8/2025",$A$209:$A$693,"&lt;1/10/2025",$C$209:$C$693,$I90)</f>
        <v/>
      </c>
      <c r="T90" s="432">
        <f>COUNTIFS($A$209:$A$693,"&gt;30/9/2025",$A$209:$A$693,"&lt;1/11/2025",$C$209:$C$693,$I90)</f>
        <v/>
      </c>
      <c r="U90" s="432">
        <f>COUNTIFS($A$209:$A$693,"&gt;31/10/2025",$A$209:$A$693,"&lt;1/12/2025",$C$209:$C$693,$I90)</f>
        <v/>
      </c>
      <c r="V90" s="432">
        <f>COUNTIFS($A$209:$A$693,"&gt;30/11/2025",$A$209:$A$693,"&lt;1/1/2026",$C$209:$C$693,$I90)</f>
        <v/>
      </c>
      <c r="W90" s="431">
        <f>SUM(K90:V90)</f>
        <v/>
      </c>
    </row>
    <row r="91" ht="13.5" customHeight="1" s="1232">
      <c r="A91" s="1323" t="n"/>
      <c r="B91" s="1323" t="n"/>
      <c r="C91" s="1337" t="n"/>
      <c r="D91" s="1325" t="n"/>
      <c r="E91" s="1338" t="n"/>
      <c r="F91" s="1126" t="n"/>
      <c r="G91" s="1323" t="n"/>
      <c r="H91" s="1326" t="n"/>
      <c r="I91" s="1334" t="inlineStr">
        <is>
          <t>10. Prints &amp; Royalties</t>
        </is>
      </c>
      <c r="J91" s="431" t="n"/>
      <c r="K91" s="432">
        <f>COUNTIFS($A$209:$A$693,"&gt;31/12/2024",$A$209:$A$693,"&lt;1/2/2025",$C$209:$C$693,I91)</f>
        <v/>
      </c>
      <c r="L91" s="432">
        <f>COUNTIFS($A$209:$A$693,"&gt;31/1/2025",$A$209:$A$693,"&lt;1/3/2025",$C$209:$C$693,$I91)</f>
        <v/>
      </c>
      <c r="M91" s="432">
        <f>COUNTIFS($A$209:$A$693,"&gt;28/2/2025",$A$209:$A$693,"&lt;1/4/2025",$C$209:$C$693,$I91)</f>
        <v/>
      </c>
      <c r="N91" s="432">
        <f>COUNTIFS($A$209:$A$693,"&gt;31/3/2025",$A$209:$A$693,"&lt;1/5/2025",$C$209:$C$693,$I91)</f>
        <v/>
      </c>
      <c r="O91" s="432">
        <f>COUNTIFS($A$209:$A$693,"&gt;30/4/2025",$A$209:$A$693,"&lt;1/6/2025",$C$209:$C$693,$I91)</f>
        <v/>
      </c>
      <c r="P91" s="432">
        <f>COUNTIFS($A$209:$A$693,"&gt;31/5/2025",$A$209:$A$693,"&lt;1/7/2025",$C$209:$C$693,$I91)</f>
        <v/>
      </c>
      <c r="Q91" s="432">
        <f>COUNTIFS($A$209:$A$693,"&gt;30/6/2025",$A$209:$A$693,"&lt;1/8/2025",$C$209:$C$693,$I91)</f>
        <v/>
      </c>
      <c r="R91" s="432">
        <f>COUNTIFS($A$209:$A$693,"&gt;31/7/2025",$A$209:$A$693,"&lt;1/9/2025",$C$209:$C$693,$I91)</f>
        <v/>
      </c>
      <c r="S91" s="432">
        <f>COUNTIFS($A$209:$A$693,"&gt;31/8/2025",$A$209:$A$693,"&lt;1/10/2025",$C$209:$C$693,$I91)</f>
        <v/>
      </c>
      <c r="T91" s="432">
        <f>COUNTIFS($A$209:$A$693,"&gt;30/9/2025",$A$209:$A$693,"&lt;1/11/2025",$C$209:$C$693,$I91)</f>
        <v/>
      </c>
      <c r="U91" s="432">
        <f>COUNTIFS($A$209:$A$693,"&gt;31/10/2025",$A$209:$A$693,"&lt;1/12/2025",$C$209:$C$693,$I91)</f>
        <v/>
      </c>
      <c r="V91" s="432">
        <f>COUNTIFS($A$209:$A$693,"&gt;30/11/2025",$A$209:$A$693,"&lt;1/1/2026",$C$209:$C$693,$I91)</f>
        <v/>
      </c>
      <c r="W91" s="431">
        <f>SUM(K91:V91)</f>
        <v/>
      </c>
    </row>
    <row r="92" ht="13.5" customHeight="1" s="1232">
      <c r="A92" s="1323" t="n"/>
      <c r="B92" s="1323" t="n"/>
      <c r="C92" s="1337" t="n"/>
      <c r="D92" s="1325" t="n"/>
      <c r="E92" s="1338" t="n"/>
      <c r="F92" s="1126" t="n"/>
      <c r="G92" s="1323" t="n"/>
      <c r="H92" s="1326" t="n"/>
      <c r="I92" s="1334" t="inlineStr">
        <is>
          <t>11 Commissions</t>
        </is>
      </c>
      <c r="J92" s="431" t="n"/>
      <c r="K92" s="432">
        <f>COUNTIFS($A$209:$A$693,"&gt;31/12/2024",$A$209:$A$693,"&lt;1/2/2025",$C$209:$C$693,I92)</f>
        <v/>
      </c>
      <c r="L92" s="432">
        <f>COUNTIFS($A$209:$A$693,"&gt;31/1/2025",$A$209:$A$693,"&lt;1/3/2025",$C$209:$C$693,$I92)</f>
        <v/>
      </c>
      <c r="M92" s="432">
        <f>COUNTIFS($A$209:$A$693,"&gt;28/2/2025",$A$209:$A$693,"&lt;1/4/2025",$C$209:$C$693,$I92)</f>
        <v/>
      </c>
      <c r="N92" s="432">
        <f>COUNTIFS($A$209:$A$693,"&gt;31/3/2025",$A$209:$A$693,"&lt;1/5/2025",$C$209:$C$693,$I92)</f>
        <v/>
      </c>
      <c r="O92" s="432">
        <f>COUNTIFS($A$209:$A$693,"&gt;30/4/2025",$A$209:$A$693,"&lt;1/6/2025",$C$209:$C$693,$I92)</f>
        <v/>
      </c>
      <c r="P92" s="432">
        <f>COUNTIFS($A$209:$A$693,"&gt;31/5/2025",$A$209:$A$693,"&lt;1/7/2025",$C$209:$C$693,$I92)</f>
        <v/>
      </c>
      <c r="Q92" s="432">
        <f>COUNTIFS($A$209:$A$693,"&gt;30/6/2025",$A$209:$A$693,"&lt;1/8/2025",$C$209:$C$693,$I92)</f>
        <v/>
      </c>
      <c r="R92" s="432">
        <f>COUNTIFS($A$209:$A$693,"&gt;31/7/2025",$A$209:$A$693,"&lt;1/9/2025",$C$209:$C$693,$I92)</f>
        <v/>
      </c>
      <c r="S92" s="432">
        <f>COUNTIFS($A$209:$A$693,"&gt;31/8/2025",$A$209:$A$693,"&lt;1/10/2025",$C$209:$C$693,$I92)</f>
        <v/>
      </c>
      <c r="T92" s="432">
        <f>COUNTIFS($A$209:$A$693,"&gt;30/9/2025",$A$209:$A$693,"&lt;1/11/2025",$C$209:$C$693,$I92)</f>
        <v/>
      </c>
      <c r="U92" s="432">
        <f>COUNTIFS($A$209:$A$693,"&gt;31/10/2025",$A$209:$A$693,"&lt;1/12/2025",$C$209:$C$693,$I92)</f>
        <v/>
      </c>
      <c r="V92" s="432">
        <f>COUNTIFS($A$209:$A$693,"&gt;30/11/2025",$A$209:$A$693,"&lt;1/1/2026",$C$209:$C$693,$I92)</f>
        <v/>
      </c>
      <c r="W92" s="431">
        <f>SUM(K92:V92)</f>
        <v/>
      </c>
    </row>
    <row r="93" ht="13.5" customHeight="1" s="1232">
      <c r="A93" s="1323" t="n"/>
      <c r="B93" s="1323" t="n"/>
      <c r="C93" s="1337" t="n"/>
      <c r="D93" s="1325" t="n"/>
      <c r="E93" s="1338" t="n"/>
      <c r="F93" s="1126" t="n"/>
      <c r="G93" s="1323" t="n"/>
      <c r="H93" s="1326" t="n"/>
      <c r="I93" s="1334" t="inlineStr">
        <is>
          <t>12. Other</t>
        </is>
      </c>
      <c r="J93" s="431" t="n"/>
      <c r="K93" s="432">
        <f>COUNTIFS($A$209:$A$693,"&gt;31/12/2024",$A$209:$A$693,"&lt;1/2/2025",$C$209:$C$693,I93)</f>
        <v/>
      </c>
      <c r="L93" s="432">
        <f>COUNTIFS($A$209:$A$693,"&gt;31/1/2025",$A$209:$A$693,"&lt;1/3/2025",$C$209:$C$693,$I93)</f>
        <v/>
      </c>
      <c r="M93" s="432">
        <f>COUNTIFS($A$209:$A$693,"&gt;28/2/2025",$A$209:$A$693,"&lt;1/4/2025",$C$209:$C$693,$I93)</f>
        <v/>
      </c>
      <c r="N93" s="432">
        <f>COUNTIFS($A$209:$A$693,"&gt;31/3/2025",$A$209:$A$693,"&lt;1/5/2025",$C$209:$C$693,$I93)</f>
        <v/>
      </c>
      <c r="O93" s="432">
        <f>COUNTIFS($A$209:$A$693,"&gt;30/4/2025",$A$209:$A$693,"&lt;1/6/2025",$C$209:$C$693,$I93)</f>
        <v/>
      </c>
      <c r="P93" s="432">
        <f>COUNTIFS($A$209:$A$693,"&gt;31/5/2025",$A$209:$A$693,"&lt;1/7/2025",$C$209:$C$693,$I93)</f>
        <v/>
      </c>
      <c r="Q93" s="432">
        <f>COUNTIFS($A$209:$A$693,"&gt;30/6/2025",$A$209:$A$693,"&lt;1/8/2025",$C$209:$C$693,$I93)</f>
        <v/>
      </c>
      <c r="R93" s="432">
        <f>COUNTIFS($A$209:$A$693,"&gt;31/7/2025",$A$209:$A$693,"&lt;1/9/2025",$C$209:$C$693,$I93)</f>
        <v/>
      </c>
      <c r="S93" s="432">
        <f>COUNTIFS($A$209:$A$693,"&gt;31/8/2025",$A$209:$A$693,"&lt;1/10/2025",$C$209:$C$693,$I93)</f>
        <v/>
      </c>
      <c r="T93" s="432">
        <f>COUNTIFS($A$209:$A$693,"&gt;30/9/2025",$A$209:$A$693,"&lt;1/11/2025",$C$209:$C$693,$I93)</f>
        <v/>
      </c>
      <c r="U93" s="432">
        <f>COUNTIFS($A$209:$A$693,"&gt;31/10/2025",$A$209:$A$693,"&lt;1/12/2025",$C$209:$C$693,$I93)</f>
        <v/>
      </c>
      <c r="V93" s="432">
        <f>COUNTIFS($A$209:$A$693,"&gt;30/11/2025",$A$209:$A$693,"&lt;1/1/2026",$C$209:$C$693,$I93)</f>
        <v/>
      </c>
      <c r="W93" s="431">
        <f>SUM(K93:V93)</f>
        <v/>
      </c>
    </row>
    <row r="94" ht="14.25" customHeight="1" s="1232" thickBot="1">
      <c r="A94" s="1323" t="n"/>
      <c r="B94" s="1324" t="n"/>
      <c r="C94" s="1337" t="n"/>
      <c r="D94" s="1325" t="n"/>
      <c r="E94" s="1338" t="n"/>
      <c r="F94" s="1126" t="n"/>
      <c r="G94" s="1323" t="n"/>
      <c r="H94" s="1326" t="n"/>
      <c r="I94" s="1339" t="inlineStr">
        <is>
          <t>Totals</t>
        </is>
      </c>
      <c r="J94" s="829" t="n"/>
      <c r="K94" s="915">
        <f>SUM(K82:K93)</f>
        <v/>
      </c>
      <c r="L94" s="915">
        <f>SUM(L82:L93)</f>
        <v/>
      </c>
      <c r="M94" s="915">
        <f>SUM(M82:M93)</f>
        <v/>
      </c>
      <c r="N94" s="915">
        <f>SUM(N82:N93)</f>
        <v/>
      </c>
      <c r="O94" s="915">
        <f>SUM(O82:O93)</f>
        <v/>
      </c>
      <c r="P94" s="915">
        <f>SUM(P82:P93)</f>
        <v/>
      </c>
      <c r="Q94" s="915">
        <f>SUM(Q82:Q93)</f>
        <v/>
      </c>
      <c r="R94" s="915">
        <f>SUM(R82:R93)</f>
        <v/>
      </c>
      <c r="S94" s="915">
        <f>SUM(S82:S93)</f>
        <v/>
      </c>
      <c r="T94" s="915">
        <f>SUM(T82:T93)</f>
        <v/>
      </c>
      <c r="U94" s="915">
        <f>SUM(U82:U93)</f>
        <v/>
      </c>
      <c r="V94" s="915">
        <f>SUM(V82:V93)</f>
        <v/>
      </c>
      <c r="W94" s="829">
        <f>SUM(W82:W93)</f>
        <v/>
      </c>
    </row>
    <row r="95" ht="13.9" customHeight="1" s="1232" thickTop="1">
      <c r="A95" s="1323" t="n"/>
      <c r="B95" s="1323" t="n"/>
      <c r="C95" s="1337" t="n"/>
      <c r="D95" s="1325" t="n"/>
      <c r="E95" s="1338" t="n"/>
      <c r="F95" s="1126" t="n"/>
      <c r="G95" s="1323" t="n"/>
      <c r="H95" s="1326" t="n"/>
    </row>
    <row r="96" ht="13.9" customHeight="1" s="1232">
      <c r="A96" s="1323" t="n"/>
      <c r="B96" s="1323" t="n"/>
      <c r="C96" s="1337" t="n"/>
      <c r="D96" s="1325" t="n"/>
      <c r="E96" s="1338" t="n"/>
      <c r="F96" s="1126" t="n"/>
      <c r="G96" s="1323" t="n"/>
      <c r="H96" s="1326" t="n"/>
      <c r="I96" s="1336" t="inlineStr">
        <is>
          <t>Tuition Categories</t>
        </is>
      </c>
      <c r="J96" s="1330" t="inlineStr">
        <is>
          <t>Avg PPU</t>
        </is>
      </c>
      <c r="K96" s="1332" t="inlineStr">
        <is>
          <t>Jan</t>
        </is>
      </c>
      <c r="L96" s="1332" t="inlineStr">
        <is>
          <t>Feb</t>
        </is>
      </c>
      <c r="M96" s="1332" t="inlineStr">
        <is>
          <t>Mar</t>
        </is>
      </c>
      <c r="N96" s="1332" t="inlineStr">
        <is>
          <t>Apr</t>
        </is>
      </c>
      <c r="O96" s="1332" t="inlineStr">
        <is>
          <t>May</t>
        </is>
      </c>
      <c r="P96" s="1332" t="inlineStr">
        <is>
          <t>Jun</t>
        </is>
      </c>
      <c r="Q96" s="1332" t="inlineStr">
        <is>
          <t>Jul</t>
        </is>
      </c>
      <c r="R96" s="1332" t="inlineStr">
        <is>
          <t>Aug</t>
        </is>
      </c>
      <c r="S96" s="1332" t="inlineStr">
        <is>
          <t>Sep</t>
        </is>
      </c>
      <c r="T96" s="1332" t="inlineStr">
        <is>
          <t>Oct</t>
        </is>
      </c>
      <c r="U96" s="1332" t="inlineStr">
        <is>
          <t>Nov</t>
        </is>
      </c>
      <c r="V96" s="1332" t="inlineStr">
        <is>
          <t>Dec</t>
        </is>
      </c>
      <c r="W96" s="1332" t="inlineStr">
        <is>
          <t>Year</t>
        </is>
      </c>
    </row>
    <row r="97" ht="13.5" customHeight="1" s="1232">
      <c r="A97" s="1323" t="n"/>
      <c r="B97" s="1323" t="n"/>
      <c r="C97" s="1337" t="n"/>
      <c r="D97" s="1325" t="n"/>
      <c r="E97" s="1338" t="n"/>
      <c r="F97" s="1126" t="n"/>
      <c r="G97" s="1323" t="n"/>
      <c r="H97" s="1326" t="n"/>
      <c r="I97" s="1333" t="inlineStr">
        <is>
          <t>1. Courses/masterclasses</t>
        </is>
      </c>
      <c r="J97" s="431" t="n"/>
      <c r="K97" s="432">
        <f>IFERROR(K6/K82,0)</f>
        <v/>
      </c>
      <c r="L97" s="432">
        <f>IFERROR(L6/L82,0)</f>
        <v/>
      </c>
      <c r="M97" s="432">
        <f>IFERROR(M6/M82,0)</f>
        <v/>
      </c>
      <c r="N97" s="432">
        <f>IFERROR(N6/N82,0)</f>
        <v/>
      </c>
      <c r="O97" s="432">
        <f>IFERROR(O6/O82,0)</f>
        <v/>
      </c>
      <c r="P97" s="432">
        <f>IFERROR(P6/P82,0)</f>
        <v/>
      </c>
      <c r="Q97" s="432">
        <f>IFERROR(Q6/Q82,0)</f>
        <v/>
      </c>
      <c r="R97" s="432">
        <f>IFERROR(R6/R82,0)</f>
        <v/>
      </c>
      <c r="S97" s="432">
        <f>IFERROR(S6/S82,0)</f>
        <v/>
      </c>
      <c r="T97" s="432">
        <f>IFERROR(T6/T82,0)</f>
        <v/>
      </c>
      <c r="U97" s="432">
        <f>IFERROR(U6/U82,0)</f>
        <v/>
      </c>
      <c r="V97" s="432">
        <f>IFERROR(V6/V82,0)</f>
        <v/>
      </c>
      <c r="W97" s="431">
        <f>IFERROR(W6/W82,0)</f>
        <v/>
      </c>
    </row>
    <row r="98" ht="13.5" customHeight="1" s="1232">
      <c r="A98" s="1323" t="n"/>
      <c r="B98" s="1323" t="n"/>
      <c r="C98" s="1337" t="n"/>
      <c r="D98" s="1325" t="n"/>
      <c r="E98" s="1338" t="n"/>
      <c r="F98" s="1126" t="n"/>
      <c r="G98" s="1323" t="n"/>
      <c r="H98" s="1326" t="n"/>
      <c r="I98" s="1333" t="inlineStr">
        <is>
          <t>2. Workshops Non Residential</t>
        </is>
      </c>
      <c r="J98" s="431" t="n"/>
      <c r="K98" s="432">
        <f>IFERROR(K7/K83,0)</f>
        <v/>
      </c>
      <c r="L98" s="432">
        <f>IFERROR(L7/L83,0)</f>
        <v/>
      </c>
      <c r="M98" s="432">
        <f>IFERROR(M7/M83,0)</f>
        <v/>
      </c>
      <c r="N98" s="432">
        <f>IFERROR(N7/N83,0)</f>
        <v/>
      </c>
      <c r="O98" s="432">
        <f>IFERROR(O7/O83,0)</f>
        <v/>
      </c>
      <c r="P98" s="432">
        <f>IFERROR(P7/P83,0)</f>
        <v/>
      </c>
      <c r="Q98" s="432">
        <f>IFERROR(Q7/Q83,0)</f>
        <v/>
      </c>
      <c r="R98" s="432">
        <f>IFERROR(R7/R83,0)</f>
        <v/>
      </c>
      <c r="S98" s="432">
        <f>IFERROR(S7/S83,0)</f>
        <v/>
      </c>
      <c r="T98" s="432">
        <f>IFERROR(T7/T83,0)</f>
        <v/>
      </c>
      <c r="U98" s="432">
        <f>IFERROR(U7/U83,0)</f>
        <v/>
      </c>
      <c r="V98" s="432">
        <f>IFERROR(V7/V83,0)</f>
        <v/>
      </c>
      <c r="W98" s="431">
        <f>IFERROR(W7/W83,0)</f>
        <v/>
      </c>
    </row>
    <row r="99" ht="13.5" customHeight="1" s="1232">
      <c r="A99" s="1323" t="n"/>
      <c r="B99" s="1323" t="n"/>
      <c r="C99" s="1337" t="n"/>
      <c r="D99" s="1325" t="n"/>
      <c r="E99" s="1338" t="n"/>
      <c r="F99" s="1126" t="n"/>
      <c r="G99" s="1323" t="n"/>
      <c r="H99" s="1326" t="n"/>
      <c r="I99" s="1334" t="inlineStr">
        <is>
          <t>3. Workshops Residential</t>
        </is>
      </c>
      <c r="J99" s="431" t="n"/>
      <c r="K99" s="432">
        <f>IFERROR(K8/K84,0)</f>
        <v/>
      </c>
      <c r="L99" s="432">
        <f>IFERROR(L8/L84,0)</f>
        <v/>
      </c>
      <c r="M99" s="432">
        <f>IFERROR(M8/M84,0)</f>
        <v/>
      </c>
      <c r="N99" s="432">
        <f>IFERROR(N8/N84,0)</f>
        <v/>
      </c>
      <c r="O99" s="432">
        <f>IFERROR(O8/O84,0)</f>
        <v/>
      </c>
      <c r="P99" s="432">
        <f>IFERROR(P8/P84,0)</f>
        <v/>
      </c>
      <c r="Q99" s="432">
        <f>IFERROR(Q8/Q84,0)</f>
        <v/>
      </c>
      <c r="R99" s="432">
        <f>IFERROR(R8/R84,0)</f>
        <v/>
      </c>
      <c r="S99" s="432">
        <f>IFERROR(S8/S84,0)</f>
        <v/>
      </c>
      <c r="T99" s="432">
        <f>IFERROR(T8/T84,0)</f>
        <v/>
      </c>
      <c r="U99" s="432">
        <f>IFERROR(U8/U84,0)</f>
        <v/>
      </c>
      <c r="V99" s="432">
        <f>IFERROR(V8/V84,0)</f>
        <v/>
      </c>
      <c r="W99" s="431">
        <f>IFERROR(W8/W84,0)</f>
        <v/>
      </c>
    </row>
    <row r="100" ht="13.5" customHeight="1" s="1232">
      <c r="A100" s="1323" t="n"/>
      <c r="B100" s="1323" t="n"/>
      <c r="C100" s="1337" t="n"/>
      <c r="D100" s="1325" t="n"/>
      <c r="E100" s="1338" t="n"/>
      <c r="F100" s="1126" t="n"/>
      <c r="G100" s="1323" t="n"/>
      <c r="H100" s="1326" t="n"/>
      <c r="I100" s="1333" t="inlineStr">
        <is>
          <t>4. Pick n Mix Inc</t>
        </is>
      </c>
      <c r="J100" s="431" t="n"/>
      <c r="K100" s="432">
        <f>IFERROR(K9/K85,0)</f>
        <v/>
      </c>
      <c r="L100" s="432">
        <f>IFERROR(L9/L85,0)</f>
        <v/>
      </c>
      <c r="M100" s="432">
        <f>IFERROR(M9/M85,0)</f>
        <v/>
      </c>
      <c r="N100" s="432">
        <f>IFERROR(N9/N85,0)</f>
        <v/>
      </c>
      <c r="O100" s="432">
        <f>IFERROR(O9/O85,0)</f>
        <v/>
      </c>
      <c r="P100" s="432">
        <f>IFERROR(P9/P85,0)</f>
        <v/>
      </c>
      <c r="Q100" s="432">
        <f>IFERROR(Q9/Q85,0)</f>
        <v/>
      </c>
      <c r="R100" s="432">
        <f>IFERROR(R9/R85,0)</f>
        <v/>
      </c>
      <c r="S100" s="432">
        <f>IFERROR(S9/S85,0)</f>
        <v/>
      </c>
      <c r="T100" s="432">
        <f>IFERROR(T9/T85,0)</f>
        <v/>
      </c>
      <c r="U100" s="432">
        <f>IFERROR(U9/U85,0)</f>
        <v/>
      </c>
      <c r="V100" s="432">
        <f>IFERROR(V9/V85,0)</f>
        <v/>
      </c>
      <c r="W100" s="431">
        <f>IFERROR(W9/W85,0)</f>
        <v/>
      </c>
    </row>
    <row r="101" ht="13.5" customHeight="1" s="1232">
      <c r="A101" s="1323" t="n"/>
      <c r="B101" s="1323" t="n"/>
      <c r="C101" s="1337" t="n"/>
      <c r="D101" s="1325" t="n"/>
      <c r="E101" s="1338" t="n"/>
      <c r="F101" s="1126" t="n"/>
      <c r="G101" s="1323" t="n"/>
      <c r="H101" s="1326" t="n"/>
      <c r="I101" s="1333" t="inlineStr">
        <is>
          <t>5. Pick n Mix Out</t>
        </is>
      </c>
      <c r="J101" s="431" t="n"/>
      <c r="K101" s="432">
        <f>IFERROR(K10/K86,0)</f>
        <v/>
      </c>
      <c r="L101" s="432">
        <f>IFERROR(L10/L86,0)</f>
        <v/>
      </c>
      <c r="M101" s="432">
        <f>IFERROR(M10/M86,0)</f>
        <v/>
      </c>
      <c r="N101" s="432">
        <f>IFERROR(N10/N86,0)</f>
        <v/>
      </c>
      <c r="O101" s="432">
        <f>IFERROR(O10/O86,0)</f>
        <v/>
      </c>
      <c r="P101" s="432">
        <f>IFERROR(P10/P86,0)</f>
        <v/>
      </c>
      <c r="Q101" s="432">
        <f>IFERROR(Q10/Q86,0)</f>
        <v/>
      </c>
      <c r="R101" s="432">
        <f>IFERROR(R10/R86,0)</f>
        <v/>
      </c>
      <c r="S101" s="432">
        <f>IFERROR(S10/S86,0)</f>
        <v/>
      </c>
      <c r="T101" s="432">
        <f>IFERROR(T10/T86,0)</f>
        <v/>
      </c>
      <c r="U101" s="432">
        <f>IFERROR(U10/U86,0)</f>
        <v/>
      </c>
      <c r="V101" s="432">
        <f>IFERROR(V10/V86,0)</f>
        <v/>
      </c>
      <c r="W101" s="431">
        <f>IFERROR(W10/W86,0)</f>
        <v/>
      </c>
    </row>
    <row r="102" ht="13.5" customHeight="1" s="1232">
      <c r="A102" s="1323" t="n"/>
      <c r="B102" s="1323" t="n"/>
      <c r="C102" s="1337" t="n"/>
      <c r="D102" s="1325" t="n"/>
      <c r="E102" s="1338" t="n"/>
      <c r="F102" s="1126" t="n"/>
      <c r="G102" s="1323" t="n"/>
      <c r="H102" s="1326" t="n"/>
      <c r="I102" s="1333" t="inlineStr">
        <is>
          <t>6. Mentoring</t>
        </is>
      </c>
      <c r="J102" s="431" t="n"/>
      <c r="K102" s="432">
        <f>IFERROR(K11/K87,0)</f>
        <v/>
      </c>
      <c r="L102" s="432">
        <f>IFERROR(L11/L87,0)</f>
        <v/>
      </c>
      <c r="M102" s="432">
        <f>IFERROR(M11/M87,0)</f>
        <v/>
      </c>
      <c r="N102" s="432">
        <f>IFERROR(N11/N87,0)</f>
        <v/>
      </c>
      <c r="O102" s="432">
        <f>IFERROR(O11/O87,0)</f>
        <v/>
      </c>
      <c r="P102" s="432">
        <f>IFERROR(P11/P87,0)</f>
        <v/>
      </c>
      <c r="Q102" s="432">
        <f>IFERROR(Q11/Q87,0)</f>
        <v/>
      </c>
      <c r="R102" s="432">
        <f>IFERROR(R11/R87,0)</f>
        <v/>
      </c>
      <c r="S102" s="432">
        <f>IFERROR(S11/S87,0)</f>
        <v/>
      </c>
      <c r="T102" s="432">
        <f>IFERROR(T11/T87,0)</f>
        <v/>
      </c>
      <c r="U102" s="432">
        <f>IFERROR(U11/U87,0)</f>
        <v/>
      </c>
      <c r="V102" s="432">
        <f>IFERROR(V11/V87,0)</f>
        <v/>
      </c>
      <c r="W102" s="431">
        <f>IFERROR(W11/W87,0)</f>
        <v/>
      </c>
    </row>
    <row r="103" ht="13.5" customHeight="1" s="1232">
      <c r="A103" s="1323" t="n"/>
      <c r="B103" s="1323" t="n"/>
      <c r="C103" s="1337" t="n"/>
      <c r="D103" s="1325" t="n"/>
      <c r="E103" s="1338" t="n"/>
      <c r="F103" s="1126" t="n"/>
      <c r="G103" s="1323" t="n"/>
      <c r="H103" s="1326" t="n"/>
      <c r="I103" s="1334" t="inlineStr">
        <is>
          <t>7. 1-2-1</t>
        </is>
      </c>
      <c r="J103" s="431" t="n"/>
      <c r="K103" s="432">
        <f>IFERROR(K12/K88,0)</f>
        <v/>
      </c>
      <c r="L103" s="432">
        <f>IFERROR(L12/L88,0)</f>
        <v/>
      </c>
      <c r="M103" s="432">
        <f>IFERROR(M12/M88,0)</f>
        <v/>
      </c>
      <c r="N103" s="432">
        <f>IFERROR(N12/N88,0)</f>
        <v/>
      </c>
      <c r="O103" s="432">
        <f>IFERROR(O12/O88,0)</f>
        <v/>
      </c>
      <c r="P103" s="432">
        <f>IFERROR(P12/P88,0)</f>
        <v/>
      </c>
      <c r="Q103" s="432">
        <f>IFERROR(Q12/Q88,0)</f>
        <v/>
      </c>
      <c r="R103" s="432">
        <f>IFERROR(R12/R88,0)</f>
        <v/>
      </c>
      <c r="S103" s="432">
        <f>IFERROR(S12/S88,0)</f>
        <v/>
      </c>
      <c r="T103" s="432">
        <f>IFERROR(T12/T88,0)</f>
        <v/>
      </c>
      <c r="U103" s="432">
        <f>IFERROR(U12/U88,0)</f>
        <v/>
      </c>
      <c r="V103" s="432">
        <f>IFERROR(V12/V88,0)</f>
        <v/>
      </c>
      <c r="W103" s="431">
        <f>IFERROR(W12/W88,0)</f>
        <v/>
      </c>
    </row>
    <row r="104" ht="13.5" customHeight="1" s="1232">
      <c r="A104" s="1323" t="n"/>
      <c r="B104" s="1323" t="n"/>
      <c r="C104" s="1337" t="n"/>
      <c r="D104" s="1325" t="n"/>
      <c r="E104" s="1338" t="n"/>
      <c r="F104" s="1126" t="n"/>
      <c r="G104" s="1323" t="n"/>
      <c r="H104" s="1326" t="n"/>
      <c r="I104" s="1334" t="inlineStr">
        <is>
          <t>8. Gift Vouchers Inc</t>
        </is>
      </c>
      <c r="J104" s="431" t="n"/>
      <c r="K104" s="432">
        <f>IFERROR(K13/K89,0)</f>
        <v/>
      </c>
      <c r="L104" s="432">
        <f>IFERROR(L13/L89,0)</f>
        <v/>
      </c>
      <c r="M104" s="432">
        <f>IFERROR(M13/M89,0)</f>
        <v/>
      </c>
      <c r="N104" s="432">
        <f>IFERROR(N13/N89,0)</f>
        <v/>
      </c>
      <c r="O104" s="432">
        <f>IFERROR(O13/O89,0)</f>
        <v/>
      </c>
      <c r="P104" s="432">
        <f>IFERROR(P13/P89,0)</f>
        <v/>
      </c>
      <c r="Q104" s="432">
        <f>IFERROR(Q13/Q89,0)</f>
        <v/>
      </c>
      <c r="R104" s="432">
        <f>IFERROR(R13/R89,0)</f>
        <v/>
      </c>
      <c r="S104" s="432">
        <f>IFERROR(S13/S89,0)</f>
        <v/>
      </c>
      <c r="T104" s="432">
        <f>IFERROR(T13/T89,0)</f>
        <v/>
      </c>
      <c r="U104" s="432">
        <f>IFERROR(U13/U89,0)</f>
        <v/>
      </c>
      <c r="V104" s="432">
        <f>IFERROR(V13/V89,0)</f>
        <v/>
      </c>
      <c r="W104" s="431">
        <f>IFERROR(W13/W89,0)</f>
        <v/>
      </c>
    </row>
    <row r="105" ht="13.5" customHeight="1" s="1232">
      <c r="A105" s="1323" t="n"/>
      <c r="B105" s="1323" t="n"/>
      <c r="C105" s="1337" t="n"/>
      <c r="D105" s="1325" t="n"/>
      <c r="E105" s="1338" t="n"/>
      <c r="F105" s="1126" t="n"/>
      <c r="G105" s="1323" t="n"/>
      <c r="H105" s="1326" t="n"/>
      <c r="I105" s="1334" t="inlineStr">
        <is>
          <t>9. Gift Vouchers Out</t>
        </is>
      </c>
      <c r="J105" s="431" t="n"/>
      <c r="K105" s="432">
        <f>IFERROR(K14/K90,0)</f>
        <v/>
      </c>
      <c r="L105" s="432">
        <f>IFERROR(L14/L90,0)</f>
        <v/>
      </c>
      <c r="M105" s="432">
        <f>IFERROR(M14/M90,0)</f>
        <v/>
      </c>
      <c r="N105" s="432">
        <f>IFERROR(N14/N90,0)</f>
        <v/>
      </c>
      <c r="O105" s="432">
        <f>IFERROR(O14/O90,0)</f>
        <v/>
      </c>
      <c r="P105" s="432">
        <f>IFERROR(P14/P90,0)</f>
        <v/>
      </c>
      <c r="Q105" s="432">
        <f>IFERROR(Q14/Q90,0)</f>
        <v/>
      </c>
      <c r="R105" s="432">
        <f>IFERROR(R14/R90,0)</f>
        <v/>
      </c>
      <c r="S105" s="432">
        <f>IFERROR(S14/S90,0)</f>
        <v/>
      </c>
      <c r="T105" s="432">
        <f>IFERROR(T14/T90,0)</f>
        <v/>
      </c>
      <c r="U105" s="432">
        <f>IFERROR(U14/U90,0)</f>
        <v/>
      </c>
      <c r="V105" s="432">
        <f>IFERROR(V14/V90,0)</f>
        <v/>
      </c>
      <c r="W105" s="431">
        <f>IFERROR(W14/W90,0)</f>
        <v/>
      </c>
    </row>
    <row r="106" ht="13.5" customHeight="1" s="1232">
      <c r="A106" s="1323" t="n"/>
      <c r="B106" s="1323" t="n"/>
      <c r="C106" s="1337" t="n"/>
      <c r="D106" s="1325" t="n"/>
      <c r="E106" s="1338" t="n"/>
      <c r="F106" s="1126" t="n"/>
      <c r="G106" s="1323" t="n"/>
      <c r="H106" s="1326" t="n"/>
      <c r="I106" s="1334" t="inlineStr">
        <is>
          <t>10. Prints &amp; Royalties</t>
        </is>
      </c>
      <c r="J106" s="431" t="n"/>
      <c r="K106" s="432">
        <f>IFERROR(K15/K91,0)</f>
        <v/>
      </c>
      <c r="L106" s="432">
        <f>IFERROR(L15/L91,0)</f>
        <v/>
      </c>
      <c r="M106" s="432">
        <f>IFERROR(M15/M91,0)</f>
        <v/>
      </c>
      <c r="N106" s="432">
        <f>IFERROR(N15/N91,0)</f>
        <v/>
      </c>
      <c r="O106" s="432">
        <f>IFERROR(O15/O91,0)</f>
        <v/>
      </c>
      <c r="P106" s="432">
        <f>IFERROR(P15/P91,0)</f>
        <v/>
      </c>
      <c r="Q106" s="432">
        <f>IFERROR(Q15/Q91,0)</f>
        <v/>
      </c>
      <c r="R106" s="432">
        <f>IFERROR(R15/R91,0)</f>
        <v/>
      </c>
      <c r="S106" s="432">
        <f>IFERROR(S15/S91,0)</f>
        <v/>
      </c>
      <c r="T106" s="432">
        <f>IFERROR(T15/T91,0)</f>
        <v/>
      </c>
      <c r="U106" s="432">
        <f>IFERROR(U15/U91,0)</f>
        <v/>
      </c>
      <c r="V106" s="432">
        <f>IFERROR(V15/V91,0)</f>
        <v/>
      </c>
      <c r="W106" s="431">
        <f>IFERROR(W15/W91,0)</f>
        <v/>
      </c>
    </row>
    <row r="107" ht="13.5" customHeight="1" s="1232">
      <c r="A107" s="1323" t="n"/>
      <c r="B107" s="1323" t="n"/>
      <c r="C107" s="1337" t="n"/>
      <c r="D107" s="1325" t="n"/>
      <c r="E107" s="1338" t="n"/>
      <c r="F107" s="1126" t="n"/>
      <c r="G107" s="1323" t="n"/>
      <c r="H107" s="1326" t="n"/>
      <c r="I107" s="1334" t="inlineStr">
        <is>
          <t>11 Commissions</t>
        </is>
      </c>
      <c r="J107" s="431" t="n"/>
      <c r="K107" s="432">
        <f>IFERROR(K16/K92,0)</f>
        <v/>
      </c>
      <c r="L107" s="432">
        <f>IFERROR(L16/L92,0)</f>
        <v/>
      </c>
      <c r="M107" s="432">
        <f>IFERROR(M16/M92,0)</f>
        <v/>
      </c>
      <c r="N107" s="432">
        <f>IFERROR(N16/N92,0)</f>
        <v/>
      </c>
      <c r="O107" s="432">
        <f>IFERROR(O16/O92,0)</f>
        <v/>
      </c>
      <c r="P107" s="432">
        <f>IFERROR(P16/P92,0)</f>
        <v/>
      </c>
      <c r="Q107" s="432">
        <f>IFERROR(Q16/Q92,0)</f>
        <v/>
      </c>
      <c r="R107" s="432">
        <f>IFERROR(R16/R92,0)</f>
        <v/>
      </c>
      <c r="S107" s="432">
        <f>IFERROR(S16/S92,0)</f>
        <v/>
      </c>
      <c r="T107" s="432">
        <f>IFERROR(T16/T92,0)</f>
        <v/>
      </c>
      <c r="U107" s="432">
        <f>IFERROR(U16/U92,0)</f>
        <v/>
      </c>
      <c r="V107" s="432">
        <f>IFERROR(V16/V92,0)</f>
        <v/>
      </c>
      <c r="W107" s="431">
        <f>IFERROR(W16/W92,0)</f>
        <v/>
      </c>
    </row>
    <row r="108" ht="13.5" customHeight="1" s="1232">
      <c r="A108" s="1323" t="n"/>
      <c r="B108" s="1323" t="n"/>
      <c r="C108" s="1337" t="n"/>
      <c r="D108" s="1325" t="n"/>
      <c r="E108" s="1338" t="n"/>
      <c r="F108" s="1126" t="n"/>
      <c r="G108" s="1323" t="n"/>
      <c r="H108" s="1326" t="n"/>
      <c r="I108" s="1334" t="inlineStr">
        <is>
          <t>12. Other</t>
        </is>
      </c>
      <c r="J108" s="431" t="n"/>
      <c r="K108" s="432">
        <f>IFERROR(K17/K93,0)</f>
        <v/>
      </c>
      <c r="L108" s="432">
        <f>IFERROR(L17/L93,0)</f>
        <v/>
      </c>
      <c r="M108" s="432">
        <f>IFERROR(M17/M93,0)</f>
        <v/>
      </c>
      <c r="N108" s="432">
        <f>IFERROR(N17/N93,0)</f>
        <v/>
      </c>
      <c r="O108" s="432">
        <f>IFERROR(O17/O93,0)</f>
        <v/>
      </c>
      <c r="P108" s="432">
        <f>IFERROR(P17/P93,0)</f>
        <v/>
      </c>
      <c r="Q108" s="432">
        <f>IFERROR(Q17/Q93,0)</f>
        <v/>
      </c>
      <c r="R108" s="432">
        <f>IFERROR(R17/R93,0)</f>
        <v/>
      </c>
      <c r="S108" s="432">
        <f>IFERROR(S17/S93,0)</f>
        <v/>
      </c>
      <c r="T108" s="432">
        <f>IFERROR(T17/T93,0)</f>
        <v/>
      </c>
      <c r="U108" s="432">
        <f>IFERROR(U17/U93,0)</f>
        <v/>
      </c>
      <c r="V108" s="432">
        <f>IFERROR(V17/V93,0)</f>
        <v/>
      </c>
      <c r="W108" s="431">
        <f>IFERROR(W17/W93,0)</f>
        <v/>
      </c>
    </row>
    <row r="109" ht="14.25" customHeight="1" s="1232" thickBot="1">
      <c r="A109" s="1323" t="n"/>
      <c r="B109" s="1323" t="n"/>
      <c r="C109" s="1337" t="n"/>
      <c r="D109" s="1325" t="n"/>
      <c r="E109" s="1338" t="n"/>
      <c r="F109" s="1126" t="n"/>
      <c r="G109" s="1323" t="n"/>
      <c r="H109" s="1326" t="n"/>
      <c r="I109" s="1339" t="inlineStr">
        <is>
          <t>Totals</t>
        </is>
      </c>
      <c r="J109" s="829" t="n"/>
      <c r="K109" s="916">
        <f>IFERROR(K18/K94,0)</f>
        <v/>
      </c>
      <c r="L109" s="916">
        <f>IFERROR(L18/L94,0)</f>
        <v/>
      </c>
      <c r="M109" s="916">
        <f>IFERROR(M18/M94,0)</f>
        <v/>
      </c>
      <c r="N109" s="916">
        <f>IFERROR(N18/N94,0)</f>
        <v/>
      </c>
      <c r="O109" s="916">
        <f>IFERROR(O18/O94,0)</f>
        <v/>
      </c>
      <c r="P109" s="916">
        <f>IFERROR(P18/P94,0)</f>
        <v/>
      </c>
      <c r="Q109" s="916">
        <f>IFERROR(Q18/Q94,0)</f>
        <v/>
      </c>
      <c r="R109" s="916">
        <f>IFERROR(R18/R94,0)</f>
        <v/>
      </c>
      <c r="S109" s="916">
        <f>IFERROR(S18/S94,0)</f>
        <v/>
      </c>
      <c r="T109" s="916">
        <f>IFERROR(T18/T94,0)</f>
        <v/>
      </c>
      <c r="U109" s="916">
        <f>IFERROR(U18/U94,0)</f>
        <v/>
      </c>
      <c r="V109" s="916">
        <f>IFERROR(V18/V94,0)</f>
        <v/>
      </c>
      <c r="W109" s="829">
        <f>IFERROR(W18/W94,0)</f>
        <v/>
      </c>
      <c r="Z109" s="434" t="n"/>
    </row>
    <row r="110" ht="13.9" customHeight="1" s="1232" thickTop="1">
      <c r="A110" s="1323" t="n"/>
      <c r="B110" s="1323" t="n"/>
      <c r="C110" s="1337" t="n"/>
      <c r="D110" s="1325" t="n"/>
      <c r="E110" s="1338" t="n"/>
      <c r="F110" s="1126" t="n"/>
      <c r="G110" s="1323" t="n"/>
      <c r="H110" s="1326" t="n"/>
      <c r="Z110" s="434">
        <f>W125-Y125</f>
        <v/>
      </c>
    </row>
    <row r="111" ht="13.5" customHeight="1" s="1232">
      <c r="A111" s="1323" t="n"/>
      <c r="B111" s="1323" t="n"/>
      <c r="C111" s="1337" t="n"/>
      <c r="D111" s="1325" t="n"/>
      <c r="E111" s="1338" t="n"/>
      <c r="F111" s="1126" t="n"/>
      <c r="G111" s="1323" t="n"/>
      <c r="H111" s="1326" t="n"/>
    </row>
    <row r="112" ht="13.9" customHeight="1" s="1232">
      <c r="A112" s="1323" t="n"/>
      <c r="B112" s="1323" t="n"/>
      <c r="C112" s="1337" t="n"/>
      <c r="D112" s="1325" t="n"/>
      <c r="E112" s="1338" t="n"/>
      <c r="F112" s="1126" t="n"/>
      <c r="G112" s="1323" t="n"/>
      <c r="H112" s="1326" t="n"/>
      <c r="I112" s="1336" t="inlineStr">
        <is>
          <t>Tuition Categories</t>
        </is>
      </c>
      <c r="J112" s="1330" t="inlineStr">
        <is>
          <t>GP Amount</t>
        </is>
      </c>
      <c r="K112" s="1332" t="inlineStr">
        <is>
          <t>Jan</t>
        </is>
      </c>
      <c r="L112" s="1332" t="inlineStr">
        <is>
          <t>Feb</t>
        </is>
      </c>
      <c r="M112" s="1332" t="inlineStr">
        <is>
          <t>Mar</t>
        </is>
      </c>
      <c r="N112" s="1332" t="inlineStr">
        <is>
          <t>Apr</t>
        </is>
      </c>
      <c r="O112" s="1332" t="inlineStr">
        <is>
          <t>May</t>
        </is>
      </c>
      <c r="P112" s="1332" t="inlineStr">
        <is>
          <t>Jun</t>
        </is>
      </c>
      <c r="Q112" s="1332" t="inlineStr">
        <is>
          <t>Jul</t>
        </is>
      </c>
      <c r="R112" s="1332" t="inlineStr">
        <is>
          <t>Aug</t>
        </is>
      </c>
      <c r="S112" s="1332" t="inlineStr">
        <is>
          <t>Sep</t>
        </is>
      </c>
      <c r="T112" s="1332" t="inlineStr">
        <is>
          <t>Oct</t>
        </is>
      </c>
      <c r="U112" s="1332" t="inlineStr">
        <is>
          <t>Nov</t>
        </is>
      </c>
      <c r="V112" s="1332" t="inlineStr">
        <is>
          <t>Dec</t>
        </is>
      </c>
      <c r="W112" s="1332" t="inlineStr">
        <is>
          <t>Year</t>
        </is>
      </c>
    </row>
    <row r="113" ht="13.5" customHeight="1" s="1232">
      <c r="A113" s="1323" t="n"/>
      <c r="B113" s="1323" t="n"/>
      <c r="C113" s="1337" t="n"/>
      <c r="D113" s="1325" t="n"/>
      <c r="E113" s="1338" t="n"/>
      <c r="F113" s="1126" t="n"/>
      <c r="G113" s="1323" t="n"/>
      <c r="H113" s="1326" t="n"/>
      <c r="I113" s="1333" t="inlineStr">
        <is>
          <t>1. Courses/masterclasses</t>
        </is>
      </c>
      <c r="J113" s="839" t="n">
        <v>0.9</v>
      </c>
      <c r="K113" s="432">
        <f>K6*$J113</f>
        <v/>
      </c>
      <c r="L113" s="432">
        <f>L6*$J113</f>
        <v/>
      </c>
      <c r="M113" s="432">
        <f>M6*$J113</f>
        <v/>
      </c>
      <c r="N113" s="432">
        <f>N6*$J113</f>
        <v/>
      </c>
      <c r="O113" s="432">
        <f>O6*$J113</f>
        <v/>
      </c>
      <c r="P113" s="432">
        <f>P6*$J113</f>
        <v/>
      </c>
      <c r="Q113" s="432">
        <f>Q6*$J113</f>
        <v/>
      </c>
      <c r="R113" s="432">
        <f>R6*$J113</f>
        <v/>
      </c>
      <c r="S113" s="432">
        <f>S6*$J113</f>
        <v/>
      </c>
      <c r="T113" s="432">
        <f>T6*$J113</f>
        <v/>
      </c>
      <c r="U113" s="432">
        <f>U6*$J113</f>
        <v/>
      </c>
      <c r="V113" s="432">
        <f>V6*$J113</f>
        <v/>
      </c>
      <c r="W113" s="431">
        <f>SUM(K113:V113)</f>
        <v/>
      </c>
    </row>
    <row r="114" ht="13.5" customHeight="1" s="1232">
      <c r="A114" s="1323" t="n"/>
      <c r="B114" s="1323" t="n"/>
      <c r="C114" s="1337" t="n"/>
      <c r="D114" s="1325" t="n"/>
      <c r="E114" s="1338" t="n"/>
      <c r="F114" s="1126" t="n"/>
      <c r="G114" s="1323" t="n"/>
      <c r="H114" s="1326" t="n"/>
      <c r="I114" s="1333" t="inlineStr">
        <is>
          <t>2. Workshops Non Residential</t>
        </is>
      </c>
      <c r="J114" s="839" t="n">
        <v>0.8</v>
      </c>
      <c r="K114" s="432">
        <f>K7*$J114</f>
        <v/>
      </c>
      <c r="L114" s="432">
        <f>L7*$J114</f>
        <v/>
      </c>
      <c r="M114" s="432">
        <f>M7*$J114</f>
        <v/>
      </c>
      <c r="N114" s="432">
        <f>N7*$J114</f>
        <v/>
      </c>
      <c r="O114" s="432">
        <f>O7*$J114</f>
        <v/>
      </c>
      <c r="P114" s="432">
        <f>P7*$J114</f>
        <v/>
      </c>
      <c r="Q114" s="432">
        <f>Q7*$J114</f>
        <v/>
      </c>
      <c r="R114" s="432">
        <f>R7*$J114</f>
        <v/>
      </c>
      <c r="S114" s="432">
        <f>S7*$J114</f>
        <v/>
      </c>
      <c r="T114" s="432">
        <f>T7*$J114</f>
        <v/>
      </c>
      <c r="U114" s="432">
        <f>U7*$J114</f>
        <v/>
      </c>
      <c r="V114" s="432">
        <f>V7*$J114</f>
        <v/>
      </c>
      <c r="W114" s="431">
        <f>SUM(K114:V114)</f>
        <v/>
      </c>
    </row>
    <row r="115" ht="13.5" customHeight="1" s="1232">
      <c r="A115" s="1323" t="n"/>
      <c r="B115" s="1323" t="n"/>
      <c r="C115" s="1337" t="n"/>
      <c r="D115" s="1325" t="n"/>
      <c r="E115" s="1338" t="n"/>
      <c r="F115" s="1126" t="n"/>
      <c r="G115" s="1323" t="n"/>
      <c r="H115" s="1326" t="n"/>
      <c r="I115" s="1334" t="inlineStr">
        <is>
          <t>3. Workshops Residential</t>
        </is>
      </c>
      <c r="J115" s="839" t="n">
        <v>0.5</v>
      </c>
      <c r="K115" s="432">
        <f>K8*$J115</f>
        <v/>
      </c>
      <c r="L115" s="432">
        <f>L8*$J115</f>
        <v/>
      </c>
      <c r="M115" s="432">
        <f>M8*$J115</f>
        <v/>
      </c>
      <c r="N115" s="432">
        <f>N8*$J115</f>
        <v/>
      </c>
      <c r="O115" s="432">
        <f>O8*$J115</f>
        <v/>
      </c>
      <c r="P115" s="432">
        <f>P8*$J115</f>
        <v/>
      </c>
      <c r="Q115" s="432">
        <f>Q8*$J115</f>
        <v/>
      </c>
      <c r="R115" s="432">
        <f>R8*$J115</f>
        <v/>
      </c>
      <c r="S115" s="432">
        <f>S8*$J115</f>
        <v/>
      </c>
      <c r="T115" s="432">
        <f>T8*$J115</f>
        <v/>
      </c>
      <c r="U115" s="432">
        <f>U8*$J115</f>
        <v/>
      </c>
      <c r="V115" s="432">
        <f>V8*$J115</f>
        <v/>
      </c>
      <c r="W115" s="431">
        <f>SUM(K115:V115)</f>
        <v/>
      </c>
    </row>
    <row r="116" ht="13.5" customHeight="1" s="1232">
      <c r="A116" s="1323" t="n"/>
      <c r="B116" s="1323" t="n"/>
      <c r="C116" s="1337" t="n"/>
      <c r="D116" s="1325" t="n"/>
      <c r="E116" s="1338" t="n"/>
      <c r="F116" s="1126" t="n"/>
      <c r="G116" s="1323" t="n"/>
      <c r="H116" s="1326" t="n"/>
      <c r="I116" s="1333" t="inlineStr">
        <is>
          <t>4. Pick n Mix Inc</t>
        </is>
      </c>
      <c r="J116" s="839" t="n">
        <v>0.5</v>
      </c>
      <c r="K116" s="432">
        <f>K9*$J116</f>
        <v/>
      </c>
      <c r="L116" s="432">
        <f>L9*$J116</f>
        <v/>
      </c>
      <c r="M116" s="432">
        <f>M9*$J116</f>
        <v/>
      </c>
      <c r="N116" s="432">
        <f>N9*$J116</f>
        <v/>
      </c>
      <c r="O116" s="432">
        <f>O9*$J116</f>
        <v/>
      </c>
      <c r="P116" s="432">
        <f>P9*$J116</f>
        <v/>
      </c>
      <c r="Q116" s="432">
        <f>Q9*$J116</f>
        <v/>
      </c>
      <c r="R116" s="432">
        <f>R9*$J116</f>
        <v/>
      </c>
      <c r="S116" s="432">
        <f>S9*$J116</f>
        <v/>
      </c>
      <c r="T116" s="432">
        <f>T9*$J116</f>
        <v/>
      </c>
      <c r="U116" s="432">
        <f>U9*$J116</f>
        <v/>
      </c>
      <c r="V116" s="432">
        <f>V9*$J116</f>
        <v/>
      </c>
      <c r="W116" s="431">
        <f>SUM(K116:V116)</f>
        <v/>
      </c>
    </row>
    <row r="117" ht="13.5" customHeight="1" s="1232">
      <c r="A117" s="1323" t="n"/>
      <c r="B117" s="1323" t="n"/>
      <c r="C117" s="1337" t="n"/>
      <c r="D117" s="1325" t="n"/>
      <c r="E117" s="1338" t="n"/>
      <c r="F117" s="1126" t="n"/>
      <c r="G117" s="1323" t="n"/>
      <c r="H117" s="1326" t="n"/>
      <c r="I117" s="1333" t="inlineStr">
        <is>
          <t>5. Pick n Mix Out</t>
        </is>
      </c>
      <c r="J117" s="839" t="n">
        <v>0.45</v>
      </c>
      <c r="K117" s="432">
        <f>K10*$J117</f>
        <v/>
      </c>
      <c r="L117" s="432">
        <f>L10*$J117</f>
        <v/>
      </c>
      <c r="M117" s="432">
        <f>M10*$J117</f>
        <v/>
      </c>
      <c r="N117" s="432">
        <f>N10*$J117</f>
        <v/>
      </c>
      <c r="O117" s="432">
        <f>O10*$J117</f>
        <v/>
      </c>
      <c r="P117" s="432">
        <f>P10*$J117</f>
        <v/>
      </c>
      <c r="Q117" s="432">
        <f>Q10*$J117</f>
        <v/>
      </c>
      <c r="R117" s="432">
        <f>R10*$J117</f>
        <v/>
      </c>
      <c r="S117" s="432">
        <f>S10*$J117</f>
        <v/>
      </c>
      <c r="T117" s="432">
        <f>T10*$J117</f>
        <v/>
      </c>
      <c r="U117" s="432">
        <f>U10*$J117</f>
        <v/>
      </c>
      <c r="V117" s="432">
        <f>V10*$J117</f>
        <v/>
      </c>
      <c r="W117" s="431">
        <f>SUM(K117:V117)</f>
        <v/>
      </c>
    </row>
    <row r="118" ht="13.5" customHeight="1" s="1232">
      <c r="A118" s="1323" t="n"/>
      <c r="B118" s="1323" t="n"/>
      <c r="C118" s="1337" t="n"/>
      <c r="D118" s="1325" t="n"/>
      <c r="E118" s="1338" t="n"/>
      <c r="F118" s="1126" t="n"/>
      <c r="G118" s="1323" t="n"/>
      <c r="H118" s="1326" t="n"/>
      <c r="I118" s="1333" t="inlineStr">
        <is>
          <t>6. Mentoring</t>
        </is>
      </c>
      <c r="J118" s="839" t="n">
        <v>0.95</v>
      </c>
      <c r="K118" s="432">
        <f>K11*$J118</f>
        <v/>
      </c>
      <c r="L118" s="432">
        <f>L11*$J118</f>
        <v/>
      </c>
      <c r="M118" s="432">
        <f>M11*$J118</f>
        <v/>
      </c>
      <c r="N118" s="432">
        <f>N11*$J118</f>
        <v/>
      </c>
      <c r="O118" s="432">
        <f>O11*$J118</f>
        <v/>
      </c>
      <c r="P118" s="432">
        <f>P11*$J118</f>
        <v/>
      </c>
      <c r="Q118" s="432">
        <f>Q11*$J118</f>
        <v/>
      </c>
      <c r="R118" s="432">
        <f>R11*$J118</f>
        <v/>
      </c>
      <c r="S118" s="432">
        <f>S11*$J118</f>
        <v/>
      </c>
      <c r="T118" s="432">
        <f>T11*$J118</f>
        <v/>
      </c>
      <c r="U118" s="432">
        <f>U11*$J118</f>
        <v/>
      </c>
      <c r="V118" s="432">
        <f>V11*$J118</f>
        <v/>
      </c>
      <c r="W118" s="431">
        <f>SUM(K118:V118)</f>
        <v/>
      </c>
    </row>
    <row r="119" ht="13.5" customHeight="1" s="1232">
      <c r="A119" s="1323" t="n"/>
      <c r="B119" s="1323" t="n"/>
      <c r="C119" s="1337" t="n"/>
      <c r="D119" s="1325" t="n"/>
      <c r="E119" s="1338" t="n"/>
      <c r="F119" s="1126" t="n"/>
      <c r="G119" s="1323" t="n"/>
      <c r="H119" s="1326" t="n"/>
      <c r="I119" s="1334" t="inlineStr">
        <is>
          <t>7. 1-2-1</t>
        </is>
      </c>
      <c r="J119" s="839" t="n">
        <v>0.95</v>
      </c>
      <c r="K119" s="432">
        <f>K12*$J119</f>
        <v/>
      </c>
      <c r="L119" s="432">
        <f>L12*$J119</f>
        <v/>
      </c>
      <c r="M119" s="432">
        <f>M12*$J119</f>
        <v/>
      </c>
      <c r="N119" s="432">
        <f>N12*$J119</f>
        <v/>
      </c>
      <c r="O119" s="432">
        <f>O12*$J119</f>
        <v/>
      </c>
      <c r="P119" s="432">
        <f>P12*$J119</f>
        <v/>
      </c>
      <c r="Q119" s="432">
        <f>Q12*$J119</f>
        <v/>
      </c>
      <c r="R119" s="432">
        <f>R12*$J119</f>
        <v/>
      </c>
      <c r="S119" s="432">
        <f>S12*$J119</f>
        <v/>
      </c>
      <c r="T119" s="432">
        <f>T12*$J119</f>
        <v/>
      </c>
      <c r="U119" s="432">
        <f>U12*$J119</f>
        <v/>
      </c>
      <c r="V119" s="432">
        <f>V12*$J119</f>
        <v/>
      </c>
      <c r="W119" s="431">
        <f>SUM(K119:V119)</f>
        <v/>
      </c>
    </row>
    <row r="120" ht="13.5" customHeight="1" s="1232">
      <c r="A120" s="1323" t="n"/>
      <c r="B120" s="1323" t="n"/>
      <c r="C120" s="1337" t="n"/>
      <c r="D120" s="1325" t="n"/>
      <c r="E120" s="1338" t="n"/>
      <c r="F120" s="1126" t="n"/>
      <c r="G120" s="1323" t="n"/>
      <c r="H120" s="1326" t="n"/>
      <c r="I120" s="1334" t="inlineStr">
        <is>
          <t>8. Gift Vouchers Inc</t>
        </is>
      </c>
      <c r="J120" s="839" t="n">
        <v>0.6</v>
      </c>
      <c r="K120" s="432">
        <f>K13*$J120</f>
        <v/>
      </c>
      <c r="L120" s="432">
        <f>L13*$J120</f>
        <v/>
      </c>
      <c r="M120" s="432">
        <f>M13*$J120</f>
        <v/>
      </c>
      <c r="N120" s="432">
        <f>N13*$J120</f>
        <v/>
      </c>
      <c r="O120" s="432">
        <f>O13*$J120</f>
        <v/>
      </c>
      <c r="P120" s="432">
        <f>P13*$J120</f>
        <v/>
      </c>
      <c r="Q120" s="432">
        <f>Q13*$J120</f>
        <v/>
      </c>
      <c r="R120" s="432">
        <f>R13*$J120</f>
        <v/>
      </c>
      <c r="S120" s="432">
        <f>S13*$J120</f>
        <v/>
      </c>
      <c r="T120" s="432">
        <f>T13*$J120</f>
        <v/>
      </c>
      <c r="U120" s="432">
        <f>U13*$J120</f>
        <v/>
      </c>
      <c r="V120" s="432">
        <f>V13*$J120</f>
        <v/>
      </c>
      <c r="W120" s="431">
        <f>SUM(K120:V120)</f>
        <v/>
      </c>
    </row>
    <row r="121" ht="13.5" customHeight="1" s="1232">
      <c r="A121" s="1323" t="n"/>
      <c r="B121" s="1323" t="n"/>
      <c r="C121" s="1337" t="n"/>
      <c r="D121" s="1325" t="n"/>
      <c r="E121" s="1338" t="n"/>
      <c r="F121" s="1126" t="n"/>
      <c r="G121" s="1323" t="n"/>
      <c r="H121" s="1326" t="n"/>
      <c r="I121" s="1334" t="inlineStr">
        <is>
          <t>9. Gift Vouchers Out</t>
        </is>
      </c>
      <c r="J121" s="839" t="n">
        <v>0.5</v>
      </c>
      <c r="K121" s="432">
        <f>K14*$J121</f>
        <v/>
      </c>
      <c r="L121" s="432">
        <f>L14*$J121</f>
        <v/>
      </c>
      <c r="M121" s="432">
        <f>M14*$J121</f>
        <v/>
      </c>
      <c r="N121" s="432">
        <f>N14*$J121</f>
        <v/>
      </c>
      <c r="O121" s="432">
        <f>O14*$J121</f>
        <v/>
      </c>
      <c r="P121" s="432">
        <f>P14*$J121</f>
        <v/>
      </c>
      <c r="Q121" s="432">
        <f>Q14*$J121</f>
        <v/>
      </c>
      <c r="R121" s="432">
        <f>R14*$J121</f>
        <v/>
      </c>
      <c r="S121" s="432">
        <f>S14*$J121</f>
        <v/>
      </c>
      <c r="T121" s="432">
        <f>T14*$J121</f>
        <v/>
      </c>
      <c r="U121" s="432">
        <f>U14*$J121</f>
        <v/>
      </c>
      <c r="V121" s="432">
        <f>V14*$J121</f>
        <v/>
      </c>
      <c r="W121" s="431">
        <f>SUM(K121:V121)</f>
        <v/>
      </c>
    </row>
    <row r="122" ht="13.5" customHeight="1" s="1232">
      <c r="A122" s="1323" t="n"/>
      <c r="B122" s="1323" t="n"/>
      <c r="C122" s="1337" t="n"/>
      <c r="D122" s="1325" t="n"/>
      <c r="E122" s="1338" t="n"/>
      <c r="F122" s="1126" t="n"/>
      <c r="G122" s="1323" t="n"/>
      <c r="H122" s="1326" t="n"/>
      <c r="I122" s="1334" t="inlineStr">
        <is>
          <t>10. Prints &amp; Royalties</t>
        </is>
      </c>
      <c r="J122" s="839" t="n">
        <v>0.99</v>
      </c>
      <c r="K122" s="432">
        <f>K15*$J122</f>
        <v/>
      </c>
      <c r="L122" s="432">
        <f>L15*$J122</f>
        <v/>
      </c>
      <c r="M122" s="432">
        <f>M15*$J122</f>
        <v/>
      </c>
      <c r="N122" s="432">
        <f>N15*$J122</f>
        <v/>
      </c>
      <c r="O122" s="432">
        <f>O15*$J122</f>
        <v/>
      </c>
      <c r="P122" s="432">
        <f>P15*$J122</f>
        <v/>
      </c>
      <c r="Q122" s="432">
        <f>Q15*$J122</f>
        <v/>
      </c>
      <c r="R122" s="432">
        <f>R15*$J122</f>
        <v/>
      </c>
      <c r="S122" s="432">
        <f>S15*$J122</f>
        <v/>
      </c>
      <c r="T122" s="432">
        <f>T15*$J122</f>
        <v/>
      </c>
      <c r="U122" s="432">
        <f>U15*$J122</f>
        <v/>
      </c>
      <c r="V122" s="432">
        <f>V15*$J122</f>
        <v/>
      </c>
      <c r="W122" s="431">
        <f>SUM(K122:V122)</f>
        <v/>
      </c>
    </row>
    <row r="123" ht="13.5" customHeight="1" s="1232">
      <c r="A123" s="1323" t="n"/>
      <c r="B123" s="1323" t="n"/>
      <c r="C123" s="1337" t="n"/>
      <c r="D123" s="1325" t="n"/>
      <c r="E123" s="1338" t="n"/>
      <c r="F123" s="1126" t="n"/>
      <c r="G123" s="1323" t="n"/>
      <c r="H123" s="1326" t="n"/>
      <c r="I123" s="1334" t="inlineStr">
        <is>
          <t>11 Commissions</t>
        </is>
      </c>
      <c r="J123" s="839" t="n">
        <v>0.9</v>
      </c>
      <c r="K123" s="432">
        <f>K16*$J123</f>
        <v/>
      </c>
      <c r="L123" s="432">
        <f>L16*$J123</f>
        <v/>
      </c>
      <c r="M123" s="432">
        <f>M16*$J123</f>
        <v/>
      </c>
      <c r="N123" s="432">
        <f>N16*$J123</f>
        <v/>
      </c>
      <c r="O123" s="432">
        <f>O16*$J123</f>
        <v/>
      </c>
      <c r="P123" s="432">
        <f>P16*$J123</f>
        <v/>
      </c>
      <c r="Q123" s="432">
        <f>Q16*$J123</f>
        <v/>
      </c>
      <c r="R123" s="432">
        <f>R16*$J123</f>
        <v/>
      </c>
      <c r="S123" s="432">
        <f>S16*$J123</f>
        <v/>
      </c>
      <c r="T123" s="432">
        <f>T16*$J123</f>
        <v/>
      </c>
      <c r="U123" s="432">
        <f>U16*$J123</f>
        <v/>
      </c>
      <c r="V123" s="432">
        <f>V16*$J123</f>
        <v/>
      </c>
      <c r="W123" s="431">
        <f>SUM(K123:V123)</f>
        <v/>
      </c>
    </row>
    <row r="124" ht="13.5" customHeight="1" s="1232">
      <c r="A124" s="1323" t="n"/>
      <c r="B124" s="1323" t="n"/>
      <c r="C124" s="1337" t="n"/>
      <c r="D124" s="1325" t="n"/>
      <c r="E124" s="1338" t="n"/>
      <c r="F124" s="1126" t="n"/>
      <c r="G124" s="1323" t="n"/>
      <c r="H124" s="1326" t="n"/>
      <c r="I124" s="1334" t="inlineStr">
        <is>
          <t>12. Other</t>
        </is>
      </c>
      <c r="J124" s="839" t="n">
        <v>0.8</v>
      </c>
      <c r="K124" s="432">
        <f>K17*$J124</f>
        <v/>
      </c>
      <c r="L124" s="432">
        <f>L17*$J124</f>
        <v/>
      </c>
      <c r="M124" s="432">
        <f>M17*$J124</f>
        <v/>
      </c>
      <c r="N124" s="432">
        <f>N17*$J124</f>
        <v/>
      </c>
      <c r="O124" s="432">
        <f>O17*$J124</f>
        <v/>
      </c>
      <c r="P124" s="432">
        <f>P17*$J124</f>
        <v/>
      </c>
      <c r="Q124" s="432">
        <f>Q17*$J124</f>
        <v/>
      </c>
      <c r="R124" s="432">
        <f>R17*$J124</f>
        <v/>
      </c>
      <c r="S124" s="432">
        <f>S17*$J124</f>
        <v/>
      </c>
      <c r="T124" s="432">
        <f>T17*$J124</f>
        <v/>
      </c>
      <c r="U124" s="432">
        <f>U17*$J124</f>
        <v/>
      </c>
      <c r="V124" s="432">
        <f>V17*$J124</f>
        <v/>
      </c>
      <c r="W124" s="431">
        <f>SUM(K124:V124)</f>
        <v/>
      </c>
      <c r="X124" s="445" t="n"/>
      <c r="Y124" s="558" t="n"/>
    </row>
    <row r="125" ht="14.25" customHeight="1" s="1232" thickBot="1">
      <c r="A125" s="1323" t="n"/>
      <c r="B125" s="1323" t="n"/>
      <c r="C125" s="1337" t="n"/>
      <c r="D125" s="1325" t="n"/>
      <c r="E125" s="1338" t="n"/>
      <c r="F125" s="1126" t="n"/>
      <c r="G125" s="1323" t="n"/>
      <c r="H125" s="1326" t="n"/>
      <c r="I125" s="1340" t="inlineStr">
        <is>
          <t>Totals</t>
        </is>
      </c>
      <c r="J125" s="942">
        <f>W125/W18</f>
        <v/>
      </c>
      <c r="K125" s="917">
        <f>SUM(K113:K124)</f>
        <v/>
      </c>
      <c r="L125" s="917">
        <f>SUM(L113:L124)</f>
        <v/>
      </c>
      <c r="M125" s="917">
        <f>SUM(M113:M124)</f>
        <v/>
      </c>
      <c r="N125" s="917">
        <f>SUM(N113:N124)</f>
        <v/>
      </c>
      <c r="O125" s="917">
        <f>SUM(O113:O124)</f>
        <v/>
      </c>
      <c r="P125" s="917">
        <f>SUM(P113:P124)</f>
        <v/>
      </c>
      <c r="Q125" s="917">
        <f>SUM(Q113:Q124)</f>
        <v/>
      </c>
      <c r="R125" s="917">
        <f>SUM(R113:R124)</f>
        <v/>
      </c>
      <c r="S125" s="917">
        <f>SUM(S113:S124)</f>
        <v/>
      </c>
      <c r="T125" s="917">
        <f>SUM(T113:T124)</f>
        <v/>
      </c>
      <c r="U125" s="917">
        <f>SUM(U113:U124)</f>
        <v/>
      </c>
      <c r="V125" s="917">
        <f>SUM(V113:V124)</f>
        <v/>
      </c>
      <c r="W125" s="431">
        <f>SUM(K125:V125)</f>
        <v/>
      </c>
      <c r="X125" s="445">
        <f>IFERROR(W125/W18,0)</f>
        <v/>
      </c>
      <c r="Y125" s="558">
        <f>J125*12</f>
        <v/>
      </c>
    </row>
    <row r="126" ht="13.5" customHeight="1" s="1232">
      <c r="A126" s="1323" t="n"/>
      <c r="B126" s="1323" t="n"/>
      <c r="C126" s="1337" t="n"/>
      <c r="D126" s="1325" t="n"/>
      <c r="E126" s="1338" t="n"/>
      <c r="F126" s="1126" t="n"/>
      <c r="G126" s="1323" t="n"/>
      <c r="H126" s="1326" t="n"/>
      <c r="K126" s="445">
        <f>K125/K18</f>
        <v/>
      </c>
      <c r="L126" s="445">
        <f>L125/L18</f>
        <v/>
      </c>
      <c r="M126" s="445">
        <f>M125/M18</f>
        <v/>
      </c>
      <c r="N126" s="445">
        <f>N125/N18</f>
        <v/>
      </c>
      <c r="O126" s="445">
        <f>O125/O18</f>
        <v/>
      </c>
      <c r="P126" s="445">
        <f>P125/P18</f>
        <v/>
      </c>
      <c r="Q126" s="445">
        <f>Q125/Q18</f>
        <v/>
      </c>
      <c r="R126" s="445">
        <f>R125/R18</f>
        <v/>
      </c>
      <c r="S126" s="445">
        <f>S125/S18</f>
        <v/>
      </c>
      <c r="T126" s="445">
        <f>T125/T18</f>
        <v/>
      </c>
      <c r="U126" s="445">
        <f>U125/U18</f>
        <v/>
      </c>
      <c r="V126" s="445">
        <f>V125/V18</f>
        <v/>
      </c>
      <c r="W126" s="445">
        <f>W125/W18</f>
        <v/>
      </c>
    </row>
    <row r="127" ht="13.9" customHeight="1" s="1232">
      <c r="A127" s="1323" t="n"/>
      <c r="B127" s="1323" t="n"/>
      <c r="C127" s="1337" t="n"/>
      <c r="D127" s="1325" t="n"/>
      <c r="E127" s="1338" t="n"/>
      <c r="F127" s="1126" t="n"/>
      <c r="G127" s="1323" t="n"/>
      <c r="H127" s="1326" t="n"/>
      <c r="I127" s="1341" t="inlineStr">
        <is>
          <t>Banking Source</t>
        </is>
      </c>
      <c r="K127" s="1332" t="inlineStr">
        <is>
          <t>Jan</t>
        </is>
      </c>
      <c r="L127" s="1332" t="inlineStr">
        <is>
          <t>Feb</t>
        </is>
      </c>
      <c r="M127" s="1332" t="inlineStr">
        <is>
          <t>Mar</t>
        </is>
      </c>
      <c r="N127" s="1332" t="inlineStr">
        <is>
          <t>Apr</t>
        </is>
      </c>
      <c r="O127" s="1332" t="inlineStr">
        <is>
          <t>May</t>
        </is>
      </c>
      <c r="P127" s="1332" t="inlineStr">
        <is>
          <t>Jun</t>
        </is>
      </c>
      <c r="Q127" s="1332" t="inlineStr">
        <is>
          <t>Jul</t>
        </is>
      </c>
      <c r="R127" s="1332" t="inlineStr">
        <is>
          <t>Aug</t>
        </is>
      </c>
      <c r="S127" s="1332" t="inlineStr">
        <is>
          <t>Sep</t>
        </is>
      </c>
      <c r="T127" s="1332" t="inlineStr">
        <is>
          <t>Oct</t>
        </is>
      </c>
      <c r="U127" s="1332" t="inlineStr">
        <is>
          <t>Nov</t>
        </is>
      </c>
      <c r="V127" s="1332" t="inlineStr">
        <is>
          <t>Dec</t>
        </is>
      </c>
      <c r="W127" s="1332" t="inlineStr">
        <is>
          <t>Year</t>
        </is>
      </c>
      <c r="X127" s="1278" t="inlineStr">
        <is>
          <t>Split</t>
        </is>
      </c>
      <c r="Y127" s="1278" t="inlineStr">
        <is>
          <t>% YTD</t>
        </is>
      </c>
    </row>
    <row r="128" ht="13.5" customHeight="1" s="1232">
      <c r="A128" s="1323" t="n"/>
      <c r="B128" s="1323" t="n"/>
      <c r="C128" s="1337" t="n"/>
      <c r="D128" s="1325" t="n"/>
      <c r="E128" s="1338" t="n"/>
      <c r="F128" s="1126" t="n"/>
      <c r="G128" s="1323" t="n"/>
      <c r="H128" s="1326" t="n"/>
      <c r="I128" s="1255" t="inlineStr">
        <is>
          <t>Stripe</t>
        </is>
      </c>
      <c r="K128" s="432">
        <f>SUMIFS($E$209:$E$693,$A$209:$A$693,"&gt;31/12/2024",$A$209:$A$693,"&lt;1/2/2025",$D$209:$D$693,$I128)</f>
        <v/>
      </c>
      <c r="L128" s="432">
        <f>SUMIFS($E$209:$E$693,$A$209:$A$693,"&gt;31/1/2025",$A$209:$A$693,"&lt;1/3/2025",$D$209:$D$693,$I128)</f>
        <v/>
      </c>
      <c r="M128" s="432">
        <f>SUMIFS($E$209:$E$693,$A$209:$A$693,"&gt;28/2/2025",$A$209:$A$693,"&lt;1/4/2025",$D$209:$D$693,$I128)</f>
        <v/>
      </c>
      <c r="N128" s="432">
        <f>SUMIFS($E$209:$E$693,$A$209:$A$693,"&gt;31/3/2025",$A$209:$A$693,"&lt;1/5/2025",$D$209:$D$693,$I128)</f>
        <v/>
      </c>
      <c r="O128" s="432">
        <f>SUMIFS($E$209:$E$693,$A$209:$A$693,"&gt;30/4/2025",$A$209:$A$693,"&lt;1/6/2025",$D$209:$D$693,$I128)</f>
        <v/>
      </c>
      <c r="P128" s="432">
        <f>SUMIFS($E$209:$E$693,$A$209:$A$693,"&gt;31/5/2025",$A$209:$A$693,"&lt;1/7/2025",$D$209:$D$693,$I128)</f>
        <v/>
      </c>
      <c r="Q128" s="432">
        <f>SUMIFS($E$209:$E$693,$A$209:$A$693,"&gt;30/6/2025",$A$209:$A$693,"&lt;1/8/2025",$D$209:$D$693,$I128)</f>
        <v/>
      </c>
      <c r="R128" s="432">
        <f>SUMIFS($E$209:$E$693,$A$209:$A$693,"&gt;31/7/2025",$A$209:$A$693,"&lt;1/9/2025",$D$209:$D$693,$I128)</f>
        <v/>
      </c>
      <c r="S128" s="432">
        <f>SUMIFS($E$209:$E$693,$A$209:$A$693,"&gt;31/8/2025",$A$209:$A$693,"&lt;1/10/2025",$D$209:$D$693,$I128)</f>
        <v/>
      </c>
      <c r="T128" s="432">
        <f>SUMIFS($E$209:$E$693,$A$209:$A$693,"&gt;30/9/2025",$A$209:$A$693,"&lt;1/11/2025",$D$209:$D$693,$I128)</f>
        <v/>
      </c>
      <c r="U128" s="432">
        <f>SUMIFS($E$209:$E$693,$A$209:$A$693,"&gt;31/10/2025",$A$209:$A$693,"&lt;1/12/2025",$D$209:$D$693,$I128)</f>
        <v/>
      </c>
      <c r="V128" s="432">
        <f>SUMIFS($E$209:$E$693,$A$209:$A$693,"&gt;30/11/2025",$A$209:$A$693,"&lt;1/1/2026",$D$209:$D$693,$I128)</f>
        <v/>
      </c>
      <c r="W128" s="432">
        <f>SUM(K128:V128)</f>
        <v/>
      </c>
      <c r="X128" s="460">
        <f>L128/$L$137</f>
        <v/>
      </c>
      <c r="Y128" s="460">
        <f>W128/W137</f>
        <v/>
      </c>
    </row>
    <row r="129" ht="13.5" customHeight="1" s="1232">
      <c r="A129" s="1323" t="n"/>
      <c r="B129" s="1323" t="n"/>
      <c r="C129" s="1337" t="n"/>
      <c r="D129" s="1325" t="n"/>
      <c r="E129" s="1338" t="n"/>
      <c r="F129" s="1126" t="n"/>
      <c r="G129" s="1323" t="n"/>
      <c r="H129" s="1326" t="n"/>
      <c r="I129" s="1255" t="inlineStr">
        <is>
          <t>PayPal</t>
        </is>
      </c>
      <c r="K129" s="432">
        <f>SUMIFS($E$209:$E$693,$A$209:$A$693,"&gt;31/12/2024",$A$209:$A$693,"&lt;1/2/2025",$D$209:$D$693,$I129)</f>
        <v/>
      </c>
      <c r="L129" s="432">
        <f>SUMIFS($E$209:$E$693,$A$209:$A$693,"&gt;31/1/2025",$A$209:$A$693,"&lt;1/3/2025",$D$209:$D$693,$I129)</f>
        <v/>
      </c>
      <c r="M129" s="432">
        <f>SUMIFS($E$209:$E$693,$A$209:$A$693,"&gt;28/2/2025",$A$209:$A$693,"&lt;1/4/2025",$D$209:$D$693,$I129)</f>
        <v/>
      </c>
      <c r="N129" s="432">
        <f>SUMIFS($E$209:$E$693,$A$209:$A$693,"&gt;31/3/2025",$A$209:$A$693,"&lt;1/5/2025",$D$209:$D$693,$I129)</f>
        <v/>
      </c>
      <c r="O129" s="432">
        <f>SUMIFS($E$209:$E$693,$A$209:$A$693,"&gt;30/4/2025",$A$209:$A$693,"&lt;1/6/2025",$D$209:$D$693,$I129)</f>
        <v/>
      </c>
      <c r="P129" s="432">
        <f>SUMIFS($E$209:$E$693,$A$209:$A$693,"&gt;31/5/2025",$A$209:$A$693,"&lt;1/7/2025",$D$209:$D$693,$I129)</f>
        <v/>
      </c>
      <c r="Q129" s="432">
        <f>SUMIFS($E$209:$E$693,$A$209:$A$693,"&gt;30/6/2025",$A$209:$A$693,"&lt;1/8/2025",$D$209:$D$693,$I129)</f>
        <v/>
      </c>
      <c r="R129" s="432">
        <f>SUMIFS($E$209:$E$693,$A$209:$A$693,"&gt;31/7/2025",$A$209:$A$693,"&lt;1/9/2025",$D$209:$D$693,$I129)</f>
        <v/>
      </c>
      <c r="S129" s="432">
        <f>SUMIFS($E$209:$E$693,$A$209:$A$693,"&gt;31/8/2025",$A$209:$A$693,"&lt;1/10/2025",$D$209:$D$693,$I129)</f>
        <v/>
      </c>
      <c r="T129" s="432">
        <f>SUMIFS($E$209:$E$693,$A$209:$A$693,"&gt;30/9/2025",$A$209:$A$693,"&lt;1/11/2025",$D$209:$D$693,$I129)</f>
        <v/>
      </c>
      <c r="U129" s="432">
        <f>SUMIFS($E$209:$E$693,$A$209:$A$693,"&gt;31/10/2025",$A$209:$A$693,"&lt;1/12/2025",$D$209:$D$693,$I129)</f>
        <v/>
      </c>
      <c r="V129" s="432">
        <f>SUMIFS($E$209:$E$693,$A$209:$A$693,"&gt;30/11/2025",$A$209:$A$693,"&lt;1/1/2026",$D$209:$D$693,$I129)</f>
        <v/>
      </c>
      <c r="W129" s="432">
        <f>SUM(K129:V129)</f>
        <v/>
      </c>
      <c r="X129" s="460">
        <f>L129/$L$137</f>
        <v/>
      </c>
      <c r="Y129" s="460">
        <f>W129/W137</f>
        <v/>
      </c>
    </row>
    <row r="130" ht="13.5" customHeight="1" s="1232">
      <c r="A130" s="1323" t="n"/>
      <c r="B130" s="1323" t="n"/>
      <c r="C130" s="1337" t="n"/>
      <c r="D130" s="1325" t="n"/>
      <c r="E130" s="1338" t="n"/>
      <c r="F130" s="1126" t="n"/>
      <c r="G130" s="1323" t="n"/>
      <c r="H130" s="1326" t="n"/>
      <c r="I130" s="1255" t="inlineStr">
        <is>
          <t>Various</t>
        </is>
      </c>
      <c r="K130" s="432">
        <f>SUMIFS($E$209:$E$693,$A$209:$A$693,"&gt;31/12/2024",$A$209:$A$693,"&lt;1/2/2025",$D$209:$D$693,$I130)</f>
        <v/>
      </c>
      <c r="L130" s="432">
        <f>SUMIFS($E$209:$E$693,$A$209:$A$693,"&gt;31/1/2025",$A$209:$A$693,"&lt;1/3/2025",$D$209:$D$693,$I130)</f>
        <v/>
      </c>
      <c r="M130" s="432">
        <f>SUMIFS($E$209:$E$693,$A$209:$A$693,"&gt;28/2/2025",$A$209:$A$693,"&lt;1/4/2025",$D$209:$D$693,$I130)</f>
        <v/>
      </c>
      <c r="N130" s="432">
        <f>SUMIFS($E$209:$E$693,$A$209:$A$693,"&gt;31/3/2025",$A$209:$A$693,"&lt;1/5/2025",$D$209:$D$693,$I130)</f>
        <v/>
      </c>
      <c r="O130" s="432">
        <f>SUMIFS($E$209:$E$693,$A$209:$A$693,"&gt;30/4/2025",$A$209:$A$693,"&lt;1/6/2025",$D$209:$D$693,$I130)</f>
        <v/>
      </c>
      <c r="P130" s="432">
        <f>SUMIFS($E$209:$E$693,$A$209:$A$693,"&gt;31/5/2025",$A$209:$A$693,"&lt;1/7/2025",$D$209:$D$693,$I130)</f>
        <v/>
      </c>
      <c r="Q130" s="432">
        <f>SUMIFS($E$209:$E$693,$A$209:$A$693,"&gt;30/6/2025",$A$209:$A$693,"&lt;1/8/2025",$D$209:$D$693,$I130)</f>
        <v/>
      </c>
      <c r="R130" s="432">
        <f>SUMIFS($E$209:$E$693,$A$209:$A$693,"&gt;31/7/2025",$A$209:$A$693,"&lt;1/9/2025",$D$209:$D$693,$I130)</f>
        <v/>
      </c>
      <c r="S130" s="432">
        <f>SUMIFS($E$209:$E$693,$A$209:$A$693,"&gt;31/8/2025",$A$209:$A$693,"&lt;1/10/2025",$D$209:$D$693,$I130)</f>
        <v/>
      </c>
      <c r="T130" s="432">
        <f>SUMIFS($E$209:$E$693,$A$209:$A$693,"&gt;30/9/2025",$A$209:$A$693,"&lt;1/11/2025",$D$209:$D$693,$I130)</f>
        <v/>
      </c>
      <c r="U130" s="432">
        <f>SUMIFS($E$209:$E$693,$A$209:$A$693,"&gt;31/10/2025",$A$209:$A$693,"&lt;1/12/2025",$D$209:$D$693,$I130)</f>
        <v/>
      </c>
      <c r="V130" s="432">
        <f>SUMIFS($E$209:$E$693,$A$209:$A$693,"&gt;30/11/2025",$A$209:$A$693,"&lt;1/1/2026",$D$209:$D$693,$I130)</f>
        <v/>
      </c>
      <c r="W130" s="432">
        <f>SUM(K130:V130)</f>
        <v/>
      </c>
      <c r="X130" s="460">
        <f>L130/$L$137</f>
        <v/>
      </c>
      <c r="Y130" s="460">
        <f>W130/W137</f>
        <v/>
      </c>
    </row>
    <row r="131" ht="13.5" customHeight="1" s="1232">
      <c r="A131" s="1323" t="n"/>
      <c r="B131" s="1323" t="n"/>
      <c r="C131" s="1337" t="n"/>
      <c r="D131" s="1325" t="n"/>
      <c r="E131" s="1338" t="n"/>
      <c r="F131" s="1126" t="n"/>
      <c r="G131" s="1323" t="n"/>
      <c r="H131" s="1326" t="n"/>
      <c r="I131" s="1255" t="inlineStr">
        <is>
          <t>Bank</t>
        </is>
      </c>
      <c r="K131" s="432">
        <f>SUMIFS($E$209:$E$693,$A$209:$A$693,"&gt;31/12/2024",$A$209:$A$693,"&lt;1/2/2025",$D$209:$D$693,$I131)</f>
        <v/>
      </c>
      <c r="L131" s="432">
        <f>SUMIFS($E$209:$E$693,$A$209:$A$693,"&gt;31/1/2025",$A$209:$A$693,"&lt;1/3/2025",$D$209:$D$693,$I131)</f>
        <v/>
      </c>
      <c r="M131" s="432">
        <f>SUMIFS($E$209:$E$693,$A$209:$A$693,"&gt;28/2/2025",$A$209:$A$693,"&lt;1/4/2025",$D$209:$D$693,$I131)</f>
        <v/>
      </c>
      <c r="N131" s="432">
        <f>SUMIFS($E$209:$E$693,$A$209:$A$693,"&gt;31/3/2025",$A$209:$A$693,"&lt;1/5/2025",$D$209:$D$693,$I131)</f>
        <v/>
      </c>
      <c r="O131" s="432">
        <f>SUMIFS($E$209:$E$693,$A$209:$A$693,"&gt;30/4/2025",$A$209:$A$693,"&lt;1/6/2025",$D$209:$D$693,$I131)</f>
        <v/>
      </c>
      <c r="P131" s="432">
        <f>SUMIFS($E$209:$E$693,$A$209:$A$693,"&gt;31/5/2025",$A$209:$A$693,"&lt;1/7/2025",$D$209:$D$693,$I131)</f>
        <v/>
      </c>
      <c r="Q131" s="432">
        <f>SUMIFS($E$209:$E$693,$A$209:$A$693,"&gt;30/6/2025",$A$209:$A$693,"&lt;1/8/2025",$D$209:$D$693,$I131)</f>
        <v/>
      </c>
      <c r="R131" s="432">
        <f>SUMIFS($E$209:$E$693,$A$209:$A$693,"&gt;31/7/2025",$A$209:$A$693,"&lt;1/9/2025",$D$209:$D$693,$I131)</f>
        <v/>
      </c>
      <c r="S131" s="432">
        <f>SUMIFS($E$209:$E$693,$A$209:$A$693,"&gt;31/8/2025",$A$209:$A$693,"&lt;1/10/2025",$D$209:$D$693,$I131)</f>
        <v/>
      </c>
      <c r="T131" s="432">
        <f>SUMIFS($E$209:$E$693,$A$209:$A$693,"&gt;30/9/2025",$A$209:$A$693,"&lt;1/11/2025",$D$209:$D$693,$I131)</f>
        <v/>
      </c>
      <c r="U131" s="432">
        <f>SUMIFS($E$209:$E$693,$A$209:$A$693,"&gt;31/10/2025",$A$209:$A$693,"&lt;1/12/2025",$D$209:$D$693,$I131)</f>
        <v/>
      </c>
      <c r="V131" s="432">
        <f>SUMIFS($E$209:$E$693,$A$209:$A$693,"&gt;30/11/2025",$A$209:$A$693,"&lt;1/1/2026",$D$209:$D$693,$I131)</f>
        <v/>
      </c>
      <c r="W131" s="432">
        <f>SUM(K131:V131)</f>
        <v/>
      </c>
      <c r="X131" s="460">
        <f>L131/$L$137</f>
        <v/>
      </c>
      <c r="Y131" s="460">
        <f>W131/W137</f>
        <v/>
      </c>
    </row>
    <row r="132" ht="13.5" customHeight="1" s="1232">
      <c r="A132" s="1323" t="n"/>
      <c r="B132" s="1323" t="n"/>
      <c r="C132" s="1337" t="n"/>
      <c r="D132" s="1325" t="n"/>
      <c r="E132" s="1338" t="n"/>
      <c r="F132" s="1126" t="n"/>
      <c r="G132" s="1323" t="n"/>
      <c r="H132" s="1326" t="n"/>
      <c r="I132" s="1255" t="inlineStr">
        <is>
          <t>Groupon</t>
        </is>
      </c>
      <c r="K132" s="432">
        <f>SUMIFS($E$209:$E$693,$A$209:$A$693,"&gt;31/12/2024",$A$209:$A$693,"&lt;1/2/2025",$D$209:$D$693,$I132)</f>
        <v/>
      </c>
      <c r="L132" s="432">
        <f>SUMIFS($E$209:$E$693,$A$209:$A$693,"&gt;31/1/2025",$A$209:$A$693,"&lt;1/3/2025",$D$209:$D$693,$I132)</f>
        <v/>
      </c>
      <c r="M132" s="432">
        <f>SUMIFS($E$209:$E$693,$A$209:$A$693,"&gt;28/2/2025",$A$209:$A$693,"&lt;1/4/2025",$D$209:$D$693,$I132)</f>
        <v/>
      </c>
      <c r="N132" s="432">
        <f>SUMIFS($E$209:$E$693,$A$209:$A$693,"&gt;31/3/2025",$A$209:$A$693,"&lt;1/5/2025",$D$209:$D$693,$I132)</f>
        <v/>
      </c>
      <c r="O132" s="432">
        <f>SUMIFS($E$209:$E$693,$A$209:$A$693,"&gt;30/4/2025",$A$209:$A$693,"&lt;1/6/2025",$D$209:$D$693,$I132)</f>
        <v/>
      </c>
      <c r="P132" s="432">
        <f>SUMIFS($E$209:$E$693,$A$209:$A$693,"&gt;31/5/2025",$A$209:$A$693,"&lt;1/7/2025",$D$209:$D$693,$I132)</f>
        <v/>
      </c>
      <c r="Q132" s="432">
        <f>SUMIFS($E$209:$E$693,$A$209:$A$693,"&gt;30/6/2025",$A$209:$A$693,"&lt;1/8/2025",$D$209:$D$693,$I132)</f>
        <v/>
      </c>
      <c r="R132" s="432">
        <f>SUMIFS($E$209:$E$693,$A$209:$A$693,"&gt;31/7/2025",$A$209:$A$693,"&lt;1/9/2025",$D$209:$D$693,$I132)</f>
        <v/>
      </c>
      <c r="S132" s="432">
        <f>SUMIFS($E$209:$E$693,$A$209:$A$693,"&gt;31/8/2025",$A$209:$A$693,"&lt;1/10/2025",$D$209:$D$693,$I132)</f>
        <v/>
      </c>
      <c r="T132" s="432">
        <f>SUMIFS($E$209:$E$693,$A$209:$A$693,"&gt;30/9/2025",$A$209:$A$693,"&lt;1/11/2025",$D$209:$D$693,$I132)</f>
        <v/>
      </c>
      <c r="U132" s="432">
        <f>SUMIFS($E$209:$E$693,$A$209:$A$693,"&gt;31/10/2025",$A$209:$A$693,"&lt;1/12/2025",$D$209:$D$693,$I132)</f>
        <v/>
      </c>
      <c r="V132" s="432">
        <f>SUMIFS($E$209:$E$693,$A$209:$A$693,"&gt;30/11/2025",$A$209:$A$693,"&lt;1/1/2026",$D$209:$D$693,$I132)</f>
        <v/>
      </c>
      <c r="W132" s="432">
        <f>SUM(K132:V132)</f>
        <v/>
      </c>
      <c r="X132" s="460">
        <f>L132/$L$137</f>
        <v/>
      </c>
      <c r="Y132" s="460">
        <f>W132/W137</f>
        <v/>
      </c>
    </row>
    <row r="133" ht="13.5" customHeight="1" s="1232">
      <c r="A133" s="1323" t="n"/>
      <c r="B133" s="1323" t="n"/>
      <c r="C133" s="1337" t="n"/>
      <c r="D133" s="1325" t="n"/>
      <c r="E133" s="1338" t="n"/>
      <c r="F133" s="1126" t="n"/>
      <c r="G133" s="1323" t="n"/>
      <c r="H133" s="1326" t="n"/>
      <c r="I133" s="1255" t="inlineStr">
        <is>
          <t>Cash</t>
        </is>
      </c>
      <c r="K133" s="432">
        <f>SUMIFS($E$209:$E$693,$A$209:$A$693,"&gt;31/12/2024",$A$209:$A$693,"&lt;1/2/2025",$D$209:$D$693,$I133)</f>
        <v/>
      </c>
      <c r="L133" s="432">
        <f>SUMIFS($E$209:$E$693,$A$209:$A$693,"&gt;31/1/2025",$A$209:$A$693,"&lt;1/3/2025",$D$209:$D$693,$I133)</f>
        <v/>
      </c>
      <c r="M133" s="432">
        <f>SUMIFS($E$209:$E$693,$A$209:$A$693,"&gt;28/2/2025",$A$209:$A$693,"&lt;1/4/2025",$D$209:$D$693,$I133)</f>
        <v/>
      </c>
      <c r="N133" s="432">
        <f>SUMIFS($E$209:$E$693,$A$209:$A$693,"&gt;31/3/2025",$A$209:$A$693,"&lt;1/5/2025",$D$209:$D$693,$I133)</f>
        <v/>
      </c>
      <c r="O133" s="432">
        <f>SUMIFS($E$209:$E$693,$A$209:$A$693,"&gt;30/4/2025",$A$209:$A$693,"&lt;1/6/2025",$D$209:$D$693,$I133)</f>
        <v/>
      </c>
      <c r="P133" s="432">
        <f>SUMIFS($E$209:$E$693,$A$209:$A$693,"&gt;31/5/2025",$A$209:$A$693,"&lt;1/7/2025",$D$209:$D$693,$I133)</f>
        <v/>
      </c>
      <c r="Q133" s="432">
        <f>SUMIFS($E$209:$E$693,$A$209:$A$693,"&gt;30/6/2025",$A$209:$A$693,"&lt;1/8/2025",$D$209:$D$693,$I133)</f>
        <v/>
      </c>
      <c r="R133" s="432">
        <f>SUMIFS($E$209:$E$693,$A$209:$A$693,"&gt;31/7/2025",$A$209:$A$693,"&lt;1/9/2025",$D$209:$D$693,$I133)</f>
        <v/>
      </c>
      <c r="S133" s="432">
        <f>SUMIFS($E$209:$E$693,$A$209:$A$693,"&gt;31/8/2025",$A$209:$A$693,"&lt;1/10/2025",$D$209:$D$693,$I133)</f>
        <v/>
      </c>
      <c r="T133" s="432">
        <f>SUMIFS($E$209:$E$693,$A$209:$A$693,"&gt;30/9/2025",$A$209:$A$693,"&lt;1/11/2025",$D$209:$D$693,$I133)</f>
        <v/>
      </c>
      <c r="U133" s="432">
        <f>SUMIFS($E$209:$E$693,$A$209:$A$693,"&gt;31/10/2025",$A$209:$A$693,"&lt;1/12/2025",$D$209:$D$693,$I133)</f>
        <v/>
      </c>
      <c r="V133" s="432">
        <f>SUMIFS($E$209:$E$693,$A$209:$A$693,"&gt;30/11/2025",$A$209:$A$693,"&lt;1/1/2026",$D$209:$D$693,$I133)</f>
        <v/>
      </c>
      <c r="W133" s="432">
        <f>SUM(K133:V133)</f>
        <v/>
      </c>
      <c r="X133" s="460">
        <f>L133/$L$137</f>
        <v/>
      </c>
      <c r="Y133" s="460">
        <f>W133/W137</f>
        <v/>
      </c>
    </row>
    <row r="134" ht="13.5" customHeight="1" s="1232">
      <c r="A134" s="1323" t="n"/>
      <c r="B134" s="1323" t="n"/>
      <c r="C134" s="1337" t="n"/>
      <c r="D134" s="1325" t="n"/>
      <c r="E134" s="1338" t="n"/>
      <c r="F134" s="1126" t="n"/>
      <c r="G134" s="1323" t="n"/>
      <c r="H134" s="1326" t="n"/>
      <c r="I134" s="1260" t="inlineStr">
        <is>
          <t>Gift Voucher Out</t>
        </is>
      </c>
      <c r="K134" s="432">
        <f>SUMIFS($E$209:$E$693,$A$209:$A$693,"&gt;31/12/2024",$A$209:$A$693,"&lt;1/2/2025",$D$209:$D$693,$I134)</f>
        <v/>
      </c>
      <c r="L134" s="432">
        <f>SUMIFS($E$209:$E$693,$A$209:$A$693,"&gt;31/1/2025",$A$209:$A$693,"&lt;1/3/2025",$D$209:$D$693,$I134)</f>
        <v/>
      </c>
      <c r="M134" s="432">
        <f>SUMIFS($E$209:$E$693,$A$209:$A$693,"&gt;28/2/2025",$A$209:$A$693,"&lt;1/4/2025",$D$209:$D$693,$I134)</f>
        <v/>
      </c>
      <c r="N134" s="432">
        <f>SUMIFS($E$209:$E$693,$A$209:$A$693,"&gt;31/3/2025",$A$209:$A$693,"&lt;1/5/2025",$D$209:$D$693,$I134)</f>
        <v/>
      </c>
      <c r="O134" s="432">
        <f>SUMIFS($E$209:$E$693,$A$209:$A$693,"&gt;30/4/2025",$A$209:$A$693,"&lt;1/6/2025",$D$209:$D$693,$I134)</f>
        <v/>
      </c>
      <c r="P134" s="432">
        <f>SUMIFS($E$209:$E$693,$A$209:$A$693,"&gt;31/5/2025",$A$209:$A$693,"&lt;1/7/2025",$D$209:$D$693,$I134)</f>
        <v/>
      </c>
      <c r="Q134" s="432">
        <f>SUMIFS($E$209:$E$693,$A$209:$A$693,"&gt;30/6/2025",$A$209:$A$693,"&lt;1/8/2025",$D$209:$D$693,$I134)</f>
        <v/>
      </c>
      <c r="R134" s="432">
        <f>SUMIFS($E$209:$E$693,$A$209:$A$693,"&gt;31/7/2025",$A$209:$A$693,"&lt;1/9/2025",$D$209:$D$693,$I134)</f>
        <v/>
      </c>
      <c r="S134" s="432">
        <f>SUMIFS($E$209:$E$693,$A$209:$A$693,"&gt;31/8/2025",$A$209:$A$693,"&lt;1/10/2025",$D$209:$D$693,$I134)</f>
        <v/>
      </c>
      <c r="T134" s="432">
        <f>SUMIFS($E$209:$E$693,$A$209:$A$693,"&gt;30/9/2025",$A$209:$A$693,"&lt;1/11/2025",$D$209:$D$693,$I134)</f>
        <v/>
      </c>
      <c r="U134" s="432">
        <f>SUMIFS($E$209:$E$693,$A$209:$A$693,"&gt;31/10/2025",$A$209:$A$693,"&lt;1/12/2025",$D$209:$D$693,$I134)</f>
        <v/>
      </c>
      <c r="V134" s="432">
        <f>SUMIFS($E$209:$E$693,$A$209:$A$693,"&gt;30/11/2025",$A$209:$A$693,"&lt;1/1/2026",$D$209:$D$693,$I134)</f>
        <v/>
      </c>
      <c r="W134" s="432">
        <f>SUM(K134:V134)</f>
        <v/>
      </c>
      <c r="X134" s="460" t="n"/>
      <c r="Y134" s="460" t="n"/>
    </row>
    <row r="135" ht="13.5" customHeight="1" s="1232">
      <c r="A135" s="1323" t="n"/>
      <c r="B135" s="1323" t="n"/>
      <c r="C135" s="1337" t="n"/>
      <c r="D135" s="1325" t="n"/>
      <c r="E135" s="1338" t="n"/>
      <c r="F135" s="1126" t="n"/>
      <c r="G135" s="1323" t="n"/>
      <c r="H135" s="1326" t="n"/>
      <c r="I135" s="1260" t="inlineStr">
        <is>
          <t>PicknMix</t>
        </is>
      </c>
      <c r="K135" s="432">
        <f>SUMIFS($E$209:$E$693,$A$209:$A$693,"&gt;31/12/2024",$A$209:$A$693,"&lt;1/2/2025",$D$209:$D$693,$I135)</f>
        <v/>
      </c>
      <c r="L135" s="432">
        <f>SUMIFS($E$209:$E$693,$A$209:$A$693,"&gt;31/1/2025",$A$209:$A$693,"&lt;1/3/2025",$D$209:$D$693,$I135)</f>
        <v/>
      </c>
      <c r="M135" s="432">
        <f>SUMIFS($E$209:$E$693,$A$209:$A$693,"&gt;28/2/2025",$A$209:$A$693,"&lt;1/4/2025",$D$209:$D$693,$I135)</f>
        <v/>
      </c>
      <c r="N135" s="432">
        <f>SUMIFS($E$209:$E$693,$A$209:$A$693,"&gt;31/3/2025",$A$209:$A$693,"&lt;1/5/2025",$D$209:$D$693,$I135)</f>
        <v/>
      </c>
      <c r="O135" s="432">
        <f>SUMIFS($E$209:$E$693,$A$209:$A$693,"&gt;30/4/2025",$A$209:$A$693,"&lt;1/6/2025",$D$209:$D$693,$I135)</f>
        <v/>
      </c>
      <c r="P135" s="432">
        <f>SUMIFS($E$209:$E$693,$A$209:$A$693,"&gt;31/5/2025",$A$209:$A$693,"&lt;1/7/2025",$D$209:$D$693,$I135)</f>
        <v/>
      </c>
      <c r="Q135" s="432">
        <f>SUMIFS($E$209:$E$693,$A$209:$A$693,"&gt;30/6/2025",$A$209:$A$693,"&lt;1/8/2025",$D$209:$D$693,$I135)</f>
        <v/>
      </c>
      <c r="R135" s="432">
        <f>SUMIFS($E$209:$E$693,$A$209:$A$693,"&gt;31/7/2025",$A$209:$A$693,"&lt;1/9/2025",$D$209:$D$693,$I135)</f>
        <v/>
      </c>
      <c r="S135" s="432">
        <f>SUMIFS($E$209:$E$693,$A$209:$A$693,"&gt;31/8/2025",$A$209:$A$693,"&lt;1/10/2025",$D$209:$D$693,$I135)</f>
        <v/>
      </c>
      <c r="T135" s="432">
        <f>SUMIFS($E$209:$E$693,$A$209:$A$693,"&gt;30/9/2025",$A$209:$A$693,"&lt;1/11/2025",$D$209:$D$693,$I135)</f>
        <v/>
      </c>
      <c r="U135" s="432">
        <f>SUMIFS($E$209:$E$693,$A$209:$A$693,"&gt;31/10/2025",$A$209:$A$693,"&lt;1/12/2025",$D$209:$D$693,$I135)</f>
        <v/>
      </c>
      <c r="V135" s="432">
        <f>SUMIFS($E$209:$E$693,$A$209:$A$693,"&gt;30/11/2025",$A$209:$A$693,"&lt;1/1/2026",$D$209:$D$693,$I135)</f>
        <v/>
      </c>
      <c r="W135" s="432">
        <f>SUM(K135:V135)</f>
        <v/>
      </c>
      <c r="X135" s="460">
        <f>L135/$L$137</f>
        <v/>
      </c>
      <c r="Y135" s="460">
        <f>W135/W137</f>
        <v/>
      </c>
    </row>
    <row r="136" ht="13.5" customHeight="1" s="1232">
      <c r="A136" s="1323" t="n"/>
      <c r="B136" s="1323" t="n"/>
      <c r="C136" s="1337" t="n"/>
      <c r="D136" s="1325" t="n"/>
      <c r="E136" s="1338" t="n"/>
      <c r="F136" s="1126" t="n"/>
      <c r="G136" s="1323" t="n"/>
      <c r="H136" s="1326" t="n"/>
      <c r="I136" s="1260" t="inlineStr">
        <is>
          <t>W-Pay</t>
        </is>
      </c>
      <c r="K136" s="432">
        <f>SUMIFS($E$209:$E$693,$A$209:$A$693,"&gt;31/12/2024",$A$209:$A$693,"&lt;1/2/2025",$D$209:$D$693,$I136)</f>
        <v/>
      </c>
      <c r="L136" s="432">
        <f>SUMIFS($E$209:$E$693,$A$209:$A$693,"&gt;31/1/2025",$A$209:$A$693,"&lt;1/3/2025",$D$209:$D$693,$I136)</f>
        <v/>
      </c>
      <c r="M136" s="432">
        <f>SUMIFS($E$209:$E$693,$A$209:$A$693,"&gt;28/2/2025",$A$209:$A$693,"&lt;1/4/2025",$D$209:$D$693,$I136)</f>
        <v/>
      </c>
      <c r="N136" s="432">
        <f>SUMIFS($E$209:$E$693,$A$209:$A$693,"&gt;31/3/2025",$A$209:$A$693,"&lt;1/5/2025",$D$209:$D$693,$I136)</f>
        <v/>
      </c>
      <c r="O136" s="432">
        <f>SUMIFS($E$209:$E$693,$A$209:$A$693,"&gt;30/4/2025",$A$209:$A$693,"&lt;1/6/2025",$D$209:$D$693,$I136)</f>
        <v/>
      </c>
      <c r="P136" s="432">
        <f>SUMIFS($E$209:$E$693,$A$209:$A$693,"&gt;31/5/2025",$A$209:$A$693,"&lt;1/7/2025",$D$209:$D$693,$I136)</f>
        <v/>
      </c>
      <c r="Q136" s="432">
        <f>SUMIFS($E$209:$E$693,$A$209:$A$693,"&gt;30/6/2025",$A$209:$A$693,"&lt;1/8/2025",$D$209:$D$693,$I136)</f>
        <v/>
      </c>
      <c r="R136" s="432">
        <f>SUMIFS($E$209:$E$693,$A$209:$A$693,"&gt;31/7/2025",$A$209:$A$693,"&lt;1/9/2025",$D$209:$D$693,$I136)</f>
        <v/>
      </c>
      <c r="S136" s="432">
        <f>SUMIFS($E$209:$E$693,$A$209:$A$693,"&gt;31/8/2025",$A$209:$A$693,"&lt;1/10/2025",$D$209:$D$693,$I136)</f>
        <v/>
      </c>
      <c r="T136" s="432">
        <f>SUMIFS($E$209:$E$693,$A$209:$A$693,"&gt;30/9/2025",$A$209:$A$693,"&lt;1/11/2025",$D$209:$D$693,$I136)</f>
        <v/>
      </c>
      <c r="U136" s="432">
        <f>SUMIFS($E$209:$E$693,$A$209:$A$693,"&gt;31/10/2025",$A$209:$A$693,"&lt;1/12/2025",$D$209:$D$693,$I136)</f>
        <v/>
      </c>
      <c r="V136" s="432">
        <f>SUMIFS($E$209:$E$693,$A$209:$A$693,"&gt;30/11/2025",$A$209:$A$693,"&lt;1/1/2026",$D$209:$D$693,$I136)</f>
        <v/>
      </c>
      <c r="W136" s="432">
        <f>SUM(K136:V136)</f>
        <v/>
      </c>
      <c r="X136" s="460">
        <f>L136/$L$137</f>
        <v/>
      </c>
      <c r="Y136" s="460">
        <f>W136/W137</f>
        <v/>
      </c>
    </row>
    <row r="137" ht="14.25" customHeight="1" s="1232" thickBot="1">
      <c r="A137" s="1323" t="n"/>
      <c r="B137" s="1323" t="n"/>
      <c r="C137" s="1337" t="n"/>
      <c r="D137" s="1325" t="n"/>
      <c r="E137" s="1338" t="n"/>
      <c r="F137" s="1126" t="n"/>
      <c r="G137" s="1323" t="n"/>
      <c r="H137" s="1326" t="n"/>
      <c r="I137" s="914" t="n"/>
      <c r="K137" s="801">
        <f>SUM(K128:K136)</f>
        <v/>
      </c>
      <c r="L137" s="801">
        <f>SUM(L128:L136)</f>
        <v/>
      </c>
      <c r="M137" s="801">
        <f>SUM(M128:M136)</f>
        <v/>
      </c>
      <c r="N137" s="801">
        <f>SUM(N128:N136)</f>
        <v/>
      </c>
      <c r="O137" s="801">
        <f>SUM(O128:O136)</f>
        <v/>
      </c>
      <c r="P137" s="801">
        <f>SUM(P128:P136)</f>
        <v/>
      </c>
      <c r="Q137" s="801">
        <f>SUM(Q128:Q136)</f>
        <v/>
      </c>
      <c r="R137" s="801">
        <f>SUM(R128:R136)</f>
        <v/>
      </c>
      <c r="S137" s="801">
        <f>SUM(S128:S136)</f>
        <v/>
      </c>
      <c r="T137" s="801">
        <f>SUM(T128:T136)</f>
        <v/>
      </c>
      <c r="U137" s="801">
        <f>SUM(U128:U136)</f>
        <v/>
      </c>
      <c r="V137" s="801">
        <f>SUM(V128:V136)</f>
        <v/>
      </c>
      <c r="W137" s="801">
        <f>SUM(W128:W136)</f>
        <v/>
      </c>
      <c r="X137" s="914" t="n"/>
      <c r="Y137" s="466" t="n"/>
    </row>
    <row r="138" ht="13.9" customHeight="1" s="1232" thickTop="1">
      <c r="A138" s="1323" t="n"/>
      <c r="B138" s="1323" t="n"/>
      <c r="C138" s="1337" t="n"/>
      <c r="D138" s="1325" t="n"/>
      <c r="E138" s="1338" t="n"/>
      <c r="F138" s="1126" t="n"/>
      <c r="G138" s="1323" t="n"/>
      <c r="H138" s="1326" t="n"/>
      <c r="I138" s="914" t="n"/>
      <c r="K138" s="434">
        <f>K137-K18</f>
        <v/>
      </c>
      <c r="L138" s="434">
        <f>L137-L18</f>
        <v/>
      </c>
      <c r="M138" s="434">
        <f>M137-M18</f>
        <v/>
      </c>
      <c r="N138" s="434">
        <f>N137-N18</f>
        <v/>
      </c>
      <c r="O138" s="434">
        <f>O137-O18</f>
        <v/>
      </c>
      <c r="P138" s="434">
        <f>P137-P18</f>
        <v/>
      </c>
      <c r="Q138" s="434">
        <f>Q137-Q18</f>
        <v/>
      </c>
      <c r="R138" s="434">
        <f>R137-R18</f>
        <v/>
      </c>
      <c r="S138" s="434">
        <f>S137-S18</f>
        <v/>
      </c>
      <c r="T138" s="434">
        <f>T137-T18</f>
        <v/>
      </c>
      <c r="U138" s="434">
        <f>U137-U18</f>
        <v/>
      </c>
      <c r="V138" s="434">
        <f>V137-V18</f>
        <v/>
      </c>
      <c r="W138" s="434">
        <f>W137-W18</f>
        <v/>
      </c>
      <c r="X138" s="914" t="n"/>
    </row>
    <row r="139" ht="13.9" customHeight="1" s="1232">
      <c r="A139" s="1323" t="n"/>
      <c r="B139" s="1323" t="n"/>
      <c r="C139" s="1337" t="n"/>
      <c r="D139" s="1325" t="n"/>
      <c r="E139" s="1338" t="n"/>
      <c r="F139" s="1126" t="n"/>
      <c r="G139" s="1323" t="n"/>
      <c r="H139" s="1326" t="n"/>
      <c r="I139" s="556" t="inlineStr">
        <is>
          <t>Payment Fees</t>
        </is>
      </c>
      <c r="K139" s="1332" t="inlineStr">
        <is>
          <t>Jan</t>
        </is>
      </c>
      <c r="L139" s="1332" t="inlineStr">
        <is>
          <t>Feb</t>
        </is>
      </c>
      <c r="M139" s="1332" t="inlineStr">
        <is>
          <t>Mar</t>
        </is>
      </c>
      <c r="N139" s="1332" t="inlineStr">
        <is>
          <t>Apr</t>
        </is>
      </c>
      <c r="O139" s="1332" t="inlineStr">
        <is>
          <t>May</t>
        </is>
      </c>
      <c r="P139" s="1332" t="inlineStr">
        <is>
          <t>Jun</t>
        </is>
      </c>
      <c r="Q139" s="1332" t="inlineStr">
        <is>
          <t>Jul</t>
        </is>
      </c>
      <c r="R139" s="1332" t="inlineStr">
        <is>
          <t>Aug</t>
        </is>
      </c>
      <c r="S139" s="1332" t="inlineStr">
        <is>
          <t>Sep</t>
        </is>
      </c>
      <c r="T139" s="1332" t="inlineStr">
        <is>
          <t>Oct</t>
        </is>
      </c>
      <c r="U139" s="1332" t="inlineStr">
        <is>
          <t>Nov</t>
        </is>
      </c>
      <c r="V139" s="1332" t="inlineStr">
        <is>
          <t>Dec</t>
        </is>
      </c>
      <c r="W139" s="1332" t="inlineStr">
        <is>
          <t>Year</t>
        </is>
      </c>
      <c r="X139" s="914" t="n"/>
    </row>
    <row r="140" ht="13.9" customHeight="1" s="1232">
      <c r="A140" s="1323" t="n"/>
      <c r="B140" s="1323" t="n"/>
      <c r="C140" s="1337" t="n"/>
      <c r="D140" s="1325" t="n"/>
      <c r="E140" s="1338" t="n"/>
      <c r="F140" s="1126" t="n"/>
      <c r="G140" s="1323" t="n"/>
      <c r="H140" s="1326" t="n"/>
      <c r="I140" s="791" t="inlineStr">
        <is>
          <t>Stripe 1.5% +20p</t>
        </is>
      </c>
      <c r="J140" s="1342" t="n">
        <v>0.016</v>
      </c>
      <c r="K140" s="1261">
        <f>K128*$J140</f>
        <v/>
      </c>
      <c r="L140" s="1261">
        <f>L128*$J140</f>
        <v/>
      </c>
      <c r="M140" s="1261">
        <f>M128*$J140</f>
        <v/>
      </c>
      <c r="N140" s="1261">
        <f>N128*$J140</f>
        <v/>
      </c>
      <c r="O140" s="1261">
        <f>O128*$J140</f>
        <v/>
      </c>
      <c r="P140" s="1261">
        <f>P128*$J140</f>
        <v/>
      </c>
      <c r="Q140" s="1261">
        <f>Q128*$J140</f>
        <v/>
      </c>
      <c r="R140" s="1261">
        <f>R128*$J140</f>
        <v/>
      </c>
      <c r="S140" s="1261">
        <f>S128*$J140</f>
        <v/>
      </c>
      <c r="T140" s="1261">
        <f>T128*$J140</f>
        <v/>
      </c>
      <c r="U140" s="1261">
        <f>U128*$J140</f>
        <v/>
      </c>
      <c r="V140" s="1261">
        <f>V128*$J140</f>
        <v/>
      </c>
      <c r="W140" s="432">
        <f>SUM(K140:V140)</f>
        <v/>
      </c>
      <c r="X140" s="914" t="n"/>
      <c r="Y140" s="466" t="n"/>
    </row>
    <row r="141" ht="13.9" customHeight="1" s="1232">
      <c r="A141" s="1323" t="n"/>
      <c r="B141" s="1323" t="n"/>
      <c r="C141" s="1337" t="n"/>
      <c r="D141" s="1325" t="n"/>
      <c r="E141" s="1338" t="n"/>
      <c r="F141" s="1126" t="n"/>
      <c r="G141" s="1323" t="n"/>
      <c r="H141" s="1326" t="n"/>
      <c r="I141" s="791" t="inlineStr">
        <is>
          <t>Paypal 2.90% + £0.30</t>
        </is>
      </c>
      <c r="K141" s="1261">
        <f>K129*3.5%</f>
        <v/>
      </c>
      <c r="L141" s="1261">
        <f>L129*3.5%</f>
        <v/>
      </c>
      <c r="M141" s="1261">
        <f>M129*3.5%</f>
        <v/>
      </c>
      <c r="N141" s="1261">
        <f>N129*3.5%</f>
        <v/>
      </c>
      <c r="O141" s="1261">
        <f>O129*3.5%</f>
        <v/>
      </c>
      <c r="P141" s="1261">
        <f>P129*3.5%</f>
        <v/>
      </c>
      <c r="Q141" s="1261">
        <f>Q129*3.5%</f>
        <v/>
      </c>
      <c r="R141" s="1261">
        <f>R129*3.5%</f>
        <v/>
      </c>
      <c r="S141" s="1261">
        <f>S129*3.5%</f>
        <v/>
      </c>
      <c r="T141" s="1261">
        <f>T129*3.5%</f>
        <v/>
      </c>
      <c r="U141" s="1261">
        <f>U129*3.5%</f>
        <v/>
      </c>
      <c r="V141" s="1261">
        <f>V129*3.5%</f>
        <v/>
      </c>
      <c r="W141" s="432">
        <f>SUM(K141:V141)</f>
        <v/>
      </c>
      <c r="X141" s="914" t="n"/>
      <c r="Y141" s="466" t="n"/>
    </row>
    <row r="142" ht="13.9" customHeight="1" s="1232">
      <c r="A142" s="1323" t="n"/>
      <c r="B142" s="1323" t="n"/>
      <c r="C142" s="1337" t="n"/>
      <c r="D142" s="1325" t="n"/>
      <c r="E142" s="1338" t="n"/>
      <c r="F142" s="1126" t="n"/>
      <c r="G142" s="1323" t="n"/>
      <c r="H142" s="1326" t="n"/>
      <c r="I142" s="791" t="inlineStr">
        <is>
          <t>W-Pay</t>
        </is>
      </c>
      <c r="K142" s="1261">
        <f>K136*3.5%</f>
        <v/>
      </c>
      <c r="L142" s="1261">
        <f>L136*3.5%</f>
        <v/>
      </c>
      <c r="M142" s="1261">
        <f>M136*3.5%</f>
        <v/>
      </c>
      <c r="N142" s="1261">
        <f>N136*3.5%</f>
        <v/>
      </c>
      <c r="O142" s="1261">
        <f>O136*3.5%</f>
        <v/>
      </c>
      <c r="P142" s="1261">
        <f>P136*3.5%</f>
        <v/>
      </c>
      <c r="Q142" s="1261">
        <f>Q136*3.5%</f>
        <v/>
      </c>
      <c r="R142" s="1261">
        <f>R136*3.5%</f>
        <v/>
      </c>
      <c r="S142" s="1261">
        <f>S136*3.5%</f>
        <v/>
      </c>
      <c r="T142" s="1261">
        <f>T136*3.5%</f>
        <v/>
      </c>
      <c r="U142" s="1261">
        <f>U136*3.5%</f>
        <v/>
      </c>
      <c r="V142" s="1261">
        <f>V136*3.5%</f>
        <v/>
      </c>
      <c r="W142" s="586">
        <f>SUM(K142:V142)</f>
        <v/>
      </c>
      <c r="X142" s="914" t="n"/>
      <c r="Y142" s="466" t="n"/>
    </row>
    <row r="143" ht="14.25" customHeight="1" s="1232" thickBot="1">
      <c r="A143" s="1323" t="n"/>
      <c r="B143" s="1323" t="n"/>
      <c r="C143" s="1337" t="n"/>
      <c r="D143" s="1325" t="n"/>
      <c r="E143" s="1338" t="n"/>
      <c r="F143" s="1126" t="n"/>
      <c r="G143" s="1323" t="n"/>
      <c r="H143" s="1326" t="n"/>
      <c r="I143" s="822" t="inlineStr">
        <is>
          <t>Total Fees</t>
        </is>
      </c>
      <c r="J143" s="1343" t="n"/>
      <c r="K143" s="822">
        <f>SUM(K139:K142)</f>
        <v/>
      </c>
      <c r="L143" s="822">
        <f>SUM(L139:L142)</f>
        <v/>
      </c>
      <c r="M143" s="822">
        <f>SUM(M139:M142)</f>
        <v/>
      </c>
      <c r="N143" s="822">
        <f>SUM(N139:N142)</f>
        <v/>
      </c>
      <c r="O143" s="822">
        <f>SUM(O139:O142)</f>
        <v/>
      </c>
      <c r="P143" s="822">
        <f>SUM(P139:P142)</f>
        <v/>
      </c>
      <c r="Q143" s="822">
        <f>SUM(Q139:Q142)</f>
        <v/>
      </c>
      <c r="R143" s="822">
        <f>SUM(R139:R142)</f>
        <v/>
      </c>
      <c r="S143" s="822">
        <f>SUM(S139:S142)</f>
        <v/>
      </c>
      <c r="T143" s="822">
        <f>SUM(T139:T142)</f>
        <v/>
      </c>
      <c r="U143" s="822">
        <f>SUM(U139:U142)</f>
        <v/>
      </c>
      <c r="V143" s="822">
        <f>SUM(V139:V142)</f>
        <v/>
      </c>
      <c r="W143" s="824">
        <f>SUM(K143:V143)</f>
        <v/>
      </c>
      <c r="X143" s="914" t="n"/>
      <c r="Y143" s="466" t="n"/>
    </row>
    <row r="144" ht="13.9" customHeight="1" s="1232">
      <c r="A144" s="1323" t="n"/>
      <c r="B144" s="1323" t="n"/>
      <c r="C144" s="1337" t="n"/>
      <c r="D144" s="1325" t="n"/>
      <c r="E144" s="1338" t="n"/>
      <c r="F144" s="1126" t="n"/>
      <c r="G144" s="1323" t="n"/>
      <c r="H144" s="1326" t="n"/>
      <c r="I144" s="914" t="n"/>
      <c r="K144" s="914" t="n"/>
      <c r="L144" s="914" t="n"/>
      <c r="M144" s="914" t="n"/>
      <c r="N144" s="914" t="n"/>
      <c r="O144" s="914" t="n"/>
      <c r="P144" s="914" t="n"/>
      <c r="Q144" s="914" t="n"/>
      <c r="R144" s="914" t="n"/>
      <c r="S144" s="914" t="n"/>
      <c r="T144" s="914" t="n"/>
      <c r="U144" s="914" t="n"/>
      <c r="V144" s="914" t="n"/>
      <c r="W144" s="461">
        <f>SUM(K144:V144)</f>
        <v/>
      </c>
      <c r="X144" s="914" t="n"/>
      <c r="Y144" s="466" t="n"/>
    </row>
    <row r="145" ht="14.25" customHeight="1" s="1232" thickBot="1">
      <c r="A145" s="1344" t="n"/>
      <c r="B145" s="1323" t="n"/>
      <c r="C145" s="1323" t="n"/>
      <c r="D145" s="1323" t="n"/>
      <c r="E145" s="1344" t="n"/>
      <c r="F145" s="1323" t="n"/>
      <c r="G145" s="1323" t="n"/>
      <c r="H145" s="1323" t="n"/>
      <c r="I145" s="561" t="inlineStr">
        <is>
          <t>Net Payment</t>
        </is>
      </c>
      <c r="K145" s="801">
        <f>K137-K143</f>
        <v/>
      </c>
      <c r="L145" s="801">
        <f>L137-L143</f>
        <v/>
      </c>
      <c r="M145" s="801">
        <f>M137-M143</f>
        <v/>
      </c>
      <c r="N145" s="801">
        <f>N137-N143</f>
        <v/>
      </c>
      <c r="O145" s="801">
        <f>O137-O143</f>
        <v/>
      </c>
      <c r="P145" s="801">
        <f>P137-P143</f>
        <v/>
      </c>
      <c r="Q145" s="801">
        <f>Q137-Q143</f>
        <v/>
      </c>
      <c r="R145" s="801">
        <f>R137-R143</f>
        <v/>
      </c>
      <c r="S145" s="801">
        <f>S137-S143</f>
        <v/>
      </c>
      <c r="T145" s="801">
        <f>T137-T143</f>
        <v/>
      </c>
      <c r="U145" s="801">
        <f>U137-U143</f>
        <v/>
      </c>
      <c r="V145" s="801">
        <f>V137-V143</f>
        <v/>
      </c>
      <c r="W145" s="802">
        <f>SUM(K145:V145)</f>
        <v/>
      </c>
      <c r="X145" s="914" t="n"/>
      <c r="Y145" s="466" t="n"/>
    </row>
    <row r="146" ht="13.15" customHeight="1" s="1232" thickTop="1">
      <c r="I146" s="914" t="n"/>
      <c r="K146" s="914" t="n"/>
      <c r="L146" s="914" t="n"/>
      <c r="M146" s="914" t="n"/>
      <c r="N146" s="914" t="n"/>
      <c r="O146" s="914" t="n"/>
      <c r="P146" s="914" t="n"/>
      <c r="Q146" s="914" t="n"/>
      <c r="R146" s="914" t="n"/>
      <c r="S146" s="914" t="n"/>
      <c r="T146" s="914" t="n"/>
      <c r="U146" s="914" t="n"/>
      <c r="V146" s="914" t="n"/>
      <c r="W146" s="914" t="n"/>
      <c r="X146" s="914" t="n"/>
    </row>
    <row r="147">
      <c r="K147" s="914" t="n"/>
      <c r="L147" s="914" t="n"/>
      <c r="M147" s="914" t="n"/>
      <c r="N147" s="914" t="n"/>
      <c r="O147" s="914" t="n"/>
      <c r="P147" s="914" t="n"/>
      <c r="Q147" s="914" t="n"/>
      <c r="R147" s="914" t="n"/>
      <c r="S147" s="914" t="n"/>
      <c r="T147" s="914" t="n"/>
      <c r="U147" s="914" t="n"/>
      <c r="V147" s="914" t="n"/>
      <c r="W147" s="914" t="n"/>
      <c r="X147" s="914" t="n"/>
    </row>
    <row r="148" ht="13.15" customHeight="1" s="1232">
      <c r="I148" s="556" t="inlineStr">
        <is>
          <t>Booking source</t>
        </is>
      </c>
      <c r="K148" s="1332" t="inlineStr">
        <is>
          <t>Jan</t>
        </is>
      </c>
      <c r="L148" s="1332" t="inlineStr">
        <is>
          <t>Feb</t>
        </is>
      </c>
      <c r="M148" s="1332" t="inlineStr">
        <is>
          <t>Mar</t>
        </is>
      </c>
      <c r="N148" s="1332" t="inlineStr">
        <is>
          <t>Apr</t>
        </is>
      </c>
      <c r="O148" s="1332" t="inlineStr">
        <is>
          <t>May</t>
        </is>
      </c>
      <c r="P148" s="1332" t="inlineStr">
        <is>
          <t>Jun</t>
        </is>
      </c>
      <c r="Q148" s="1332" t="inlineStr">
        <is>
          <t>Jul</t>
        </is>
      </c>
      <c r="R148" s="1332" t="inlineStr">
        <is>
          <t>Aug</t>
        </is>
      </c>
      <c r="S148" s="1332" t="inlineStr">
        <is>
          <t>Sep</t>
        </is>
      </c>
      <c r="T148" s="1332" t="inlineStr">
        <is>
          <t>Oct</t>
        </is>
      </c>
      <c r="U148" s="1332" t="inlineStr">
        <is>
          <t>Nov</t>
        </is>
      </c>
      <c r="V148" s="1332" t="inlineStr">
        <is>
          <t>Dec</t>
        </is>
      </c>
      <c r="W148" s="1332" t="inlineStr">
        <is>
          <t>Year</t>
        </is>
      </c>
      <c r="X148" s="1278" t="inlineStr">
        <is>
          <t>Split</t>
        </is>
      </c>
    </row>
    <row r="149">
      <c r="I149" s="1255" t="inlineStr">
        <is>
          <t>Google</t>
        </is>
      </c>
      <c r="K149" s="432">
        <f>SUMIFS($E$209:$E$693,$A$209:$A$693,"&gt;31/12/2024",$A$209:$A$693,"&lt;1/2/2025",$G$209:$G$693,$I149)</f>
        <v/>
      </c>
      <c r="L149" s="432">
        <f>SUMIFS($E$209:$E$693,$A$209:$A$693,"&gt;31/1/2025",$A$209:$A$693,"&lt;1/3/2025",$G$209:$G$693,$I149)</f>
        <v/>
      </c>
      <c r="M149" s="432">
        <f>SUMIFS($E$209:$E$693,$A$209:$A$693,"&gt;28/2/2025",$A$209:$A$693,"&lt;1/4/2025",$G$209:$G$693,$I149)</f>
        <v/>
      </c>
      <c r="N149" s="432">
        <f>SUMIFS($E$209:$E$693,$A$209:$A$693,"&gt;31/3/2025",$A$209:$A$693,"&lt;1/5/2025",$G$209:$G$693,$I149)</f>
        <v/>
      </c>
      <c r="O149" s="432">
        <f>SUMIFS($E$209:$E$693,$A$209:$A$693,"&gt;30/4/2025",$A$209:$A$693,"&lt;1/6/2025",$G$209:$G$693,$I149)</f>
        <v/>
      </c>
      <c r="P149" s="432">
        <f>SUMIFS($E$209:$E$693,$A$209:$A$693,"&gt;31/5/2025",$A$209:$A$693,"&lt;1/7/2025",$G$209:$G$693,$I149)</f>
        <v/>
      </c>
      <c r="Q149" s="432">
        <f>SUMIFS($E$209:$E$693,$A$209:$A$693,"&gt;30/6/2025",$A$209:$A$693,"&lt;1/8/2025",$G$209:$G$693,$I149)</f>
        <v/>
      </c>
      <c r="R149" s="432">
        <f>SUMIFS($E$209:$E$693,$A$209:$A$693,"&gt;31/7/2025",$A$209:$A$693,"&lt;1/9/2025",$G$209:$G$693,$I149)</f>
        <v/>
      </c>
      <c r="S149" s="432">
        <f>SUMIFS($E$209:$E$693,$A$209:$A$693,"&gt;31/8/2025",$A$209:$A$693,"&lt;1/10/2025",$G$209:$G$693,$I149)</f>
        <v/>
      </c>
      <c r="T149" s="432">
        <f>SUMIFS($E$209:$E$693,$A$209:$A$693,"&gt;30/9/2025",$A$209:$A$693,"&lt;1/11/2025",$G$209:$G$693,$I149)</f>
        <v/>
      </c>
      <c r="U149" s="432">
        <f>SUMIFS($E$209:$E$693,$A$209:$A$693,"&gt;31/10/2025",$A$209:$A$693,"&lt;1/12/2025",$G$209:$G$693,$I149)</f>
        <v/>
      </c>
      <c r="V149" s="432">
        <f>SUMIFS($E$209:$E$693,$A$209:$A$693,"&gt;30/11/2025",$A$209:$A$693,"&lt;1/1/2026",$G$209:$G$693,$I149)</f>
        <v/>
      </c>
      <c r="W149" s="432">
        <f>SUM(K149:V149)</f>
        <v/>
      </c>
      <c r="X149" s="460">
        <f>IFERROR(W149/$W$159,0)</f>
        <v/>
      </c>
    </row>
    <row r="150">
      <c r="I150" s="1255" t="inlineStr">
        <is>
          <t>Existing</t>
        </is>
      </c>
      <c r="K150" s="432">
        <f>SUMIFS($E$209:$E$693,$A$209:$A$693,"&gt;31/12/2024",$A$209:$A$693,"&lt;1/2/2025",$G$209:$G$693,$I150)</f>
        <v/>
      </c>
      <c r="L150" s="432">
        <f>SUMIFS($E$209:$E$693,$A$209:$A$693,"&gt;31/1/2025",$A$209:$A$693,"&lt;1/3/2025",$G$209:$G$693,$I150)</f>
        <v/>
      </c>
      <c r="M150" s="432">
        <f>SUMIFS($E$209:$E$693,$A$209:$A$693,"&gt;28/2/2025",$A$209:$A$693,"&lt;1/4/2025",$G$209:$G$693,$I150)</f>
        <v/>
      </c>
      <c r="N150" s="432">
        <f>SUMIFS($E$209:$E$693,$A$209:$A$693,"&gt;31/3/2025",$A$209:$A$693,"&lt;1/5/2025",$G$209:$G$693,$I150)</f>
        <v/>
      </c>
      <c r="O150" s="432">
        <f>SUMIFS($E$209:$E$693,$A$209:$A$693,"&gt;30/4/2025",$A$209:$A$693,"&lt;1/6/2025",$G$209:$G$693,$I150)</f>
        <v/>
      </c>
      <c r="P150" s="432">
        <f>SUMIFS($E$209:$E$693,$A$209:$A$693,"&gt;31/5/2025",$A$209:$A$693,"&lt;1/7/2025",$G$209:$G$693,$I150)</f>
        <v/>
      </c>
      <c r="Q150" s="432">
        <f>SUMIFS($E$209:$E$693,$A$209:$A$693,"&gt;30/6/2025",$A$209:$A$693,"&lt;1/8/2025",$G$209:$G$693,$I150)</f>
        <v/>
      </c>
      <c r="R150" s="432">
        <f>SUMIFS($E$209:$E$693,$A$209:$A$693,"&gt;31/7/2025",$A$209:$A$693,"&lt;1/9/2025",$G$209:$G$693,$I150)</f>
        <v/>
      </c>
      <c r="S150" s="432">
        <f>SUMIFS($E$209:$E$693,$A$209:$A$693,"&gt;31/8/2025",$A$209:$A$693,"&lt;1/10/2025",$G$209:$G$693,$I150)</f>
        <v/>
      </c>
      <c r="T150" s="432">
        <f>SUMIFS($E$209:$E$693,$A$209:$A$693,"&gt;30/9/2025",$A$209:$A$693,"&lt;1/11/2025",$G$209:$G$693,$I150)</f>
        <v/>
      </c>
      <c r="U150" s="432">
        <f>SUMIFS($E$209:$E$693,$A$209:$A$693,"&gt;31/10/2025",$A$209:$A$693,"&lt;1/12/2025",$G$209:$G$693,$I150)</f>
        <v/>
      </c>
      <c r="V150" s="432">
        <f>SUMIFS($E$209:$E$693,$A$209:$A$693,"&gt;30/11/2025",$A$209:$A$693,"&lt;1/1/2026",$G$209:$G$693,$I150)</f>
        <v/>
      </c>
      <c r="W150" s="432">
        <f>SUM(K150:V150)</f>
        <v/>
      </c>
      <c r="X150" s="460">
        <f>IFERROR(W150/$W$159,0)</f>
        <v/>
      </c>
    </row>
    <row r="151">
      <c r="I151" s="1260" t="inlineStr">
        <is>
          <t>JLR</t>
        </is>
      </c>
      <c r="K151" s="432">
        <f>SUMIFS($E$209:$E$693,$A$209:$A$693,"&gt;31/12/2024",$A$209:$A$693,"&lt;1/2/2025",$G$209:$G$693,$I151)</f>
        <v/>
      </c>
      <c r="L151" s="432">
        <f>SUMIFS($E$209:$E$693,$A$209:$A$693,"&gt;31/1/2025",$A$209:$A$693,"&lt;1/3/2025",$G$209:$G$693,$I151)</f>
        <v/>
      </c>
      <c r="M151" s="432">
        <f>SUMIFS($E$209:$E$693,$A$209:$A$693,"&gt;28/2/2025",$A$209:$A$693,"&lt;1/4/2025",$G$209:$G$693,$I151)</f>
        <v/>
      </c>
      <c r="N151" s="432">
        <f>SUMIFS($E$209:$E$693,$A$209:$A$693,"&gt;31/3/2025",$A$209:$A$693,"&lt;1/5/2025",$G$209:$G$693,$I151)</f>
        <v/>
      </c>
      <c r="O151" s="432">
        <f>SUMIFS($E$209:$E$693,$A$209:$A$693,"&gt;30/4/2025",$A$209:$A$693,"&lt;1/6/2025",$G$209:$G$693,$I151)</f>
        <v/>
      </c>
      <c r="P151" s="432">
        <f>SUMIFS($E$209:$E$693,$A$209:$A$693,"&gt;31/5/2025",$A$209:$A$693,"&lt;1/7/2025",$G$209:$G$693,$I151)</f>
        <v/>
      </c>
      <c r="Q151" s="432">
        <f>SUMIFS($E$209:$E$693,$A$209:$A$693,"&gt;30/6/2025",$A$209:$A$693,"&lt;1/8/2025",$G$209:$G$693,$I151)</f>
        <v/>
      </c>
      <c r="R151" s="432">
        <f>SUMIFS($E$209:$E$693,$A$209:$A$693,"&gt;31/7/2025",$A$209:$A$693,"&lt;1/9/2025",$G$209:$G$693,$I151)</f>
        <v/>
      </c>
      <c r="S151" s="432">
        <f>SUMIFS($E$209:$E$693,$A$209:$A$693,"&gt;31/8/2025",$A$209:$A$693,"&lt;1/10/2025",$G$209:$G$693,$I151)</f>
        <v/>
      </c>
      <c r="T151" s="432">
        <f>SUMIFS($E$209:$E$693,$A$209:$A$693,"&gt;30/9/2025",$A$209:$A$693,"&lt;1/11/2025",$G$209:$G$693,$I151)</f>
        <v/>
      </c>
      <c r="U151" s="432">
        <f>SUMIFS($E$209:$E$693,$A$209:$A$693,"&gt;31/10/2025",$A$209:$A$693,"&lt;1/12/2025",$G$209:$G$693,$I151)</f>
        <v/>
      </c>
      <c r="V151" s="432">
        <f>SUMIFS($E$209:$E$693,$A$209:$A$693,"&gt;30/11/2025",$A$209:$A$693,"&lt;1/1/2026",$G$209:$G$693,$I151)</f>
        <v/>
      </c>
      <c r="W151" s="432">
        <f>SUM(K151:V151)</f>
        <v/>
      </c>
      <c r="X151" s="460">
        <f>IFERROR(W151/$W$159,0)</f>
        <v/>
      </c>
    </row>
    <row r="152">
      <c r="I152" s="1260" t="inlineStr">
        <is>
          <t>Referral</t>
        </is>
      </c>
      <c r="K152" s="432">
        <f>SUMIFS($E$209:$E$693,$A$209:$A$693,"&gt;31/12/2024",$A$209:$A$693,"&lt;1/2/2025",$G$209:$G$693,$I152)</f>
        <v/>
      </c>
      <c r="L152" s="432">
        <f>SUMIFS($E$209:$E$693,$A$209:$A$693,"&gt;31/1/2025",$A$209:$A$693,"&lt;1/3/2025",$G$209:$G$693,$I152)</f>
        <v/>
      </c>
      <c r="M152" s="432">
        <f>SUMIFS($E$209:$E$693,$A$209:$A$693,"&gt;28/2/2025",$A$209:$A$693,"&lt;1/4/2025",$G$209:$G$693,$I152)</f>
        <v/>
      </c>
      <c r="N152" s="432">
        <f>SUMIFS($E$209:$E$693,$A$209:$A$693,"&gt;31/3/2025",$A$209:$A$693,"&lt;1/5/2025",$G$209:$G$693,$I152)</f>
        <v/>
      </c>
      <c r="O152" s="432">
        <f>SUMIFS($E$209:$E$693,$A$209:$A$693,"&gt;30/4/2025",$A$209:$A$693,"&lt;1/6/2025",$G$209:$G$693,$I152)</f>
        <v/>
      </c>
      <c r="P152" s="432">
        <f>SUMIFS($E$209:$E$693,$A$209:$A$693,"&gt;31/5/2025",$A$209:$A$693,"&lt;1/7/2025",$G$209:$G$693,$I152)</f>
        <v/>
      </c>
      <c r="Q152" s="432">
        <f>SUMIFS($E$209:$E$693,$A$209:$A$693,"&gt;30/6/2025",$A$209:$A$693,"&lt;1/8/2025",$G$209:$G$693,$I152)</f>
        <v/>
      </c>
      <c r="R152" s="432">
        <f>SUMIFS($E$209:$E$693,$A$209:$A$693,"&gt;31/7/2025",$A$209:$A$693,"&lt;1/9/2025",$G$209:$G$693,$I152)</f>
        <v/>
      </c>
      <c r="S152" s="432">
        <f>SUMIFS($E$209:$E$693,$A$209:$A$693,"&gt;31/8/2025",$A$209:$A$693,"&lt;1/10/2025",$G$209:$G$693,$I152)</f>
        <v/>
      </c>
      <c r="T152" s="432">
        <f>SUMIFS($E$209:$E$693,$A$209:$A$693,"&gt;30/9/2025",$A$209:$A$693,"&lt;1/11/2025",$G$209:$G$693,$I152)</f>
        <v/>
      </c>
      <c r="U152" s="432">
        <f>SUMIFS($E$209:$E$693,$A$209:$A$693,"&gt;31/10/2025",$A$209:$A$693,"&lt;1/12/2025",$G$209:$G$693,$I152)</f>
        <v/>
      </c>
      <c r="V152" s="432">
        <f>SUMIFS($E$209:$E$693,$A$209:$A$693,"&gt;30/11/2025",$A$209:$A$693,"&lt;1/1/2026",$G$209:$G$693,$I152)</f>
        <v/>
      </c>
      <c r="W152" s="432">
        <f>SUM(K152:V152)</f>
        <v/>
      </c>
      <c r="X152" s="460">
        <f>IFERROR(W152/$W$159,0)</f>
        <v/>
      </c>
    </row>
    <row r="153">
      <c r="I153" s="1255" t="inlineStr">
        <is>
          <t>Batsford</t>
        </is>
      </c>
      <c r="K153" s="432">
        <f>SUMIFS($E$209:$E$693,$A$209:$A$693,"&gt;31/12/2024",$A$209:$A$693,"&lt;1/2/2025",$G$209:$G$693,$I153)</f>
        <v/>
      </c>
      <c r="L153" s="432">
        <f>SUMIFS($E$209:$E$693,$A$209:$A$693,"&gt;31/1/2025",$A$209:$A$693,"&lt;1/3/2025",$G$209:$G$693,$I153)</f>
        <v/>
      </c>
      <c r="M153" s="432">
        <f>SUMIFS($E$209:$E$693,$A$209:$A$693,"&gt;28/2/2025",$A$209:$A$693,"&lt;1/4/2025",$G$209:$G$693,$I153)</f>
        <v/>
      </c>
      <c r="N153" s="432">
        <f>SUMIFS($E$209:$E$693,$A$209:$A$693,"&gt;31/3/2025",$A$209:$A$693,"&lt;1/5/2025",$G$209:$G$693,$I153)</f>
        <v/>
      </c>
      <c r="O153" s="432">
        <f>SUMIFS($E$209:$E$693,$A$209:$A$693,"&gt;30/4/2025",$A$209:$A$693,"&lt;1/6/2025",$G$209:$G$693,$I153)</f>
        <v/>
      </c>
      <c r="P153" s="432">
        <f>SUMIFS($E$209:$E$693,$A$209:$A$693,"&gt;31/5/2025",$A$209:$A$693,"&lt;1/7/2025",$G$209:$G$693,$I153)</f>
        <v/>
      </c>
      <c r="Q153" s="432">
        <f>SUMIFS($E$209:$E$693,$A$209:$A$693,"&gt;30/6/2025",$A$209:$A$693,"&lt;1/8/2025",$G$209:$G$693,$I153)</f>
        <v/>
      </c>
      <c r="R153" s="432">
        <f>SUMIFS($E$209:$E$693,$A$209:$A$693,"&gt;31/7/2025",$A$209:$A$693,"&lt;1/9/2025",$G$209:$G$693,$I153)</f>
        <v/>
      </c>
      <c r="S153" s="432">
        <f>SUMIFS($E$209:$E$693,$A$209:$A$693,"&gt;31/8/2025",$A$209:$A$693,"&lt;1/10/2025",$G$209:$G$693,$I153)</f>
        <v/>
      </c>
      <c r="T153" s="432">
        <f>SUMIFS($E$209:$E$693,$A$209:$A$693,"&gt;30/9/2025",$A$209:$A$693,"&lt;1/11/2025",$G$209:$G$693,$I153)</f>
        <v/>
      </c>
      <c r="U153" s="432">
        <f>SUMIFS($E$209:$E$693,$A$209:$A$693,"&gt;31/10/2025",$A$209:$A$693,"&lt;1/12/2025",$G$209:$G$693,$I153)</f>
        <v/>
      </c>
      <c r="V153" s="432">
        <f>SUMIFS($E$209:$E$693,$A$209:$A$693,"&gt;30/11/2025",$A$209:$A$693,"&lt;1/1/2026",$G$209:$G$693,$I153)</f>
        <v/>
      </c>
      <c r="W153" s="432">
        <f>SUM(K153:V153)</f>
        <v/>
      </c>
      <c r="X153" s="460">
        <f>IFERROR(W153/$W$159,0)</f>
        <v/>
      </c>
    </row>
    <row r="154">
      <c r="I154" s="1260" t="inlineStr">
        <is>
          <t>Facebook</t>
        </is>
      </c>
      <c r="K154" s="432">
        <f>SUMIFS($E$209:$E$693,$A$209:$A$693,"&gt;31/12/2024",$A$209:$A$693,"&lt;1/2/2025",$G$209:$G$693,$I154)</f>
        <v/>
      </c>
      <c r="L154" s="432">
        <f>SUMIFS($E$209:$E$693,$A$209:$A$693,"&gt;31/1/2025",$A$209:$A$693,"&lt;1/3/2025",$G$209:$G$693,$I154)</f>
        <v/>
      </c>
      <c r="M154" s="432">
        <f>SUMIFS($E$209:$E$693,$A$209:$A$693,"&gt;28/2/2025",$A$209:$A$693,"&lt;1/4/2025",$G$209:$G$693,$I154)</f>
        <v/>
      </c>
      <c r="N154" s="432">
        <f>SUMIFS($E$209:$E$693,$A$209:$A$693,"&gt;31/3/2025",$A$209:$A$693,"&lt;1/5/2025",$G$209:$G$693,$I154)</f>
        <v/>
      </c>
      <c r="O154" s="432">
        <f>SUMIFS($E$209:$E$693,$A$209:$A$693,"&gt;30/4/2025",$A$209:$A$693,"&lt;1/6/2025",$G$209:$G$693,$I154)</f>
        <v/>
      </c>
      <c r="P154" s="432">
        <f>SUMIFS($E$209:$E$693,$A$209:$A$693,"&gt;31/5/2025",$A$209:$A$693,"&lt;1/7/2025",$G$209:$G$693,$I154)</f>
        <v/>
      </c>
      <c r="Q154" s="432">
        <f>SUMIFS($E$209:$E$693,$A$209:$A$693,"&gt;30/6/2025",$A$209:$A$693,"&lt;1/8/2025",$G$209:$G$693,$I154)</f>
        <v/>
      </c>
      <c r="R154" s="432">
        <f>SUMIFS($E$209:$E$693,$A$209:$A$693,"&gt;31/7/2025",$A$209:$A$693,"&lt;1/9/2025",$G$209:$G$693,$I154)</f>
        <v/>
      </c>
      <c r="S154" s="432">
        <f>SUMIFS($E$209:$E$693,$A$209:$A$693,"&gt;31/8/2025",$A$209:$A$693,"&lt;1/10/2025",$G$209:$G$693,$I154)</f>
        <v/>
      </c>
      <c r="T154" s="432">
        <f>SUMIFS($E$209:$E$693,$A$209:$A$693,"&gt;30/9/2025",$A$209:$A$693,"&lt;1/11/2025",$G$209:$G$693,$I154)</f>
        <v/>
      </c>
      <c r="U154" s="432">
        <f>SUMIFS($E$209:$E$693,$A$209:$A$693,"&gt;31/10/2025",$A$209:$A$693,"&lt;1/12/2025",$G$209:$G$693,$I154)</f>
        <v/>
      </c>
      <c r="V154" s="432">
        <f>SUMIFS($E$209:$E$693,$A$209:$A$693,"&gt;30/11/2025",$A$209:$A$693,"&lt;1/1/2026",$G$209:$G$693,$I154)</f>
        <v/>
      </c>
      <c r="W154" s="432">
        <f>SUM(K154:V154)</f>
        <v/>
      </c>
      <c r="X154" s="460">
        <f>IFERROR(W154/$W$159,0)</f>
        <v/>
      </c>
    </row>
    <row r="155">
      <c r="I155" s="1260" t="inlineStr">
        <is>
          <t>Pure Photo</t>
        </is>
      </c>
      <c r="K155" s="432">
        <f>SUMIFS($E$209:$E$693,$A$209:$A$693,"&gt;31/12/2024",$A$209:$A$693,"&lt;1/2/2025",$G$209:$G$693,$I155)</f>
        <v/>
      </c>
      <c r="L155" s="432">
        <f>SUMIFS($E$209:$E$693,$A$209:$A$693,"&gt;31/1/2025",$A$209:$A$693,"&lt;1/3/2025",$G$209:$G$693,$I155)</f>
        <v/>
      </c>
      <c r="M155" s="432">
        <f>SUMIFS($E$209:$E$693,$A$209:$A$693,"&gt;28/2/2025",$A$209:$A$693,"&lt;1/4/2025",$G$209:$G$693,$I155)</f>
        <v/>
      </c>
      <c r="N155" s="432">
        <f>SUMIFS($E$209:$E$693,$A$209:$A$693,"&gt;31/3/2025",$A$209:$A$693,"&lt;1/5/2025",$G$209:$G$693,$I155)</f>
        <v/>
      </c>
      <c r="O155" s="432">
        <f>SUMIFS($E$209:$E$693,$A$209:$A$693,"&gt;30/4/2025",$A$209:$A$693,"&lt;1/6/2025",$G$209:$G$693,$I155)</f>
        <v/>
      </c>
      <c r="P155" s="432">
        <f>SUMIFS($E$209:$E$693,$A$209:$A$693,"&gt;31/5/2025",$A$209:$A$693,"&lt;1/7/2025",$G$209:$G$693,$I155)</f>
        <v/>
      </c>
      <c r="Q155" s="432">
        <f>SUMIFS($E$209:$E$693,$A$209:$A$693,"&gt;30/6/2025",$A$209:$A$693,"&lt;1/8/2025",$G$209:$G$693,$I155)</f>
        <v/>
      </c>
      <c r="R155" s="432">
        <f>SUMIFS($E$209:$E$693,$A$209:$A$693,"&gt;31/7/2025",$A$209:$A$693,"&lt;1/9/2025",$G$209:$G$693,$I155)</f>
        <v/>
      </c>
      <c r="S155" s="432">
        <f>SUMIFS($E$209:$E$693,$A$209:$A$693,"&gt;31/8/2025",$A$209:$A$693,"&lt;1/10/2025",$G$209:$G$693,$I155)</f>
        <v/>
      </c>
      <c r="T155" s="432">
        <f>SUMIFS($E$209:$E$693,$A$209:$A$693,"&gt;30/9/2025",$A$209:$A$693,"&lt;1/11/2025",$G$209:$G$693,$I155)</f>
        <v/>
      </c>
      <c r="U155" s="432">
        <f>SUMIFS($E$209:$E$693,$A$209:$A$693,"&gt;31/10/2025",$A$209:$A$693,"&lt;1/12/2025",$G$209:$G$693,$I155)</f>
        <v/>
      </c>
      <c r="V155" s="432">
        <f>SUMIFS($E$209:$E$693,$A$209:$A$693,"&gt;30/11/2025",$A$209:$A$693,"&lt;1/1/2026",$G$209:$G$693,$I155)</f>
        <v/>
      </c>
      <c r="W155" s="432">
        <f>SUM(K155:V155)</f>
        <v/>
      </c>
      <c r="X155" s="460">
        <f>IFERROR(W155/$W$159,0)</f>
        <v/>
      </c>
    </row>
    <row r="156">
      <c r="I156" s="1260" t="inlineStr">
        <is>
          <t>Artfully Walls</t>
        </is>
      </c>
      <c r="K156" s="432">
        <f>SUMIFS($E$209:$E$693,$A$209:$A$693,"&gt;31/12/2024",$A$209:$A$693,"&lt;1/2/2025",$G$209:$G$693,$I156)</f>
        <v/>
      </c>
      <c r="L156" s="432">
        <f>SUMIFS($E$209:$E$693,$A$209:$A$693,"&gt;31/1/2025",$A$209:$A$693,"&lt;1/3/2025",$G$209:$G$693,$I156)</f>
        <v/>
      </c>
      <c r="M156" s="432">
        <f>SUMIFS($E$209:$E$693,$A$209:$A$693,"&gt;28/2/2025",$A$209:$A$693,"&lt;1/4/2025",$G$209:$G$693,$I156)</f>
        <v/>
      </c>
      <c r="N156" s="432">
        <f>SUMIFS($E$209:$E$693,$A$209:$A$693,"&gt;31/3/2025",$A$209:$A$693,"&lt;1/5/2025",$G$209:$G$693,$I156)</f>
        <v/>
      </c>
      <c r="O156" s="432">
        <f>SUMIFS($E$209:$E$693,$A$209:$A$693,"&gt;30/4/2025",$A$209:$A$693,"&lt;1/6/2025",$G$209:$G$693,$I156)</f>
        <v/>
      </c>
      <c r="P156" s="432">
        <f>SUMIFS($E$209:$E$693,$A$209:$A$693,"&gt;31/5/2025",$A$209:$A$693,"&lt;1/7/2025",$G$209:$G$693,$I156)</f>
        <v/>
      </c>
      <c r="Q156" s="432">
        <f>SUMIFS($E$209:$E$693,$A$209:$A$693,"&gt;30/6/2025",$A$209:$A$693,"&lt;1/8/2025",$G$209:$G$693,$I156)</f>
        <v/>
      </c>
      <c r="R156" s="432">
        <f>SUMIFS($E$209:$E$693,$A$209:$A$693,"&gt;31/7/2025",$A$209:$A$693,"&lt;1/9/2025",$G$209:$G$693,$I156)</f>
        <v/>
      </c>
      <c r="S156" s="432">
        <f>SUMIFS($E$209:$E$693,$A$209:$A$693,"&gt;31/8/2025",$A$209:$A$693,"&lt;1/10/2025",$G$209:$G$693,$I156)</f>
        <v/>
      </c>
      <c r="T156" s="432">
        <f>SUMIFS($E$209:$E$693,$A$209:$A$693,"&gt;30/9/2025",$A$209:$A$693,"&lt;1/11/2025",$G$209:$G$693,$I156)</f>
        <v/>
      </c>
      <c r="U156" s="432">
        <f>SUMIFS($E$209:$E$693,$A$209:$A$693,"&gt;31/10/2025",$A$209:$A$693,"&lt;1/12/2025",$G$209:$G$693,$I156)</f>
        <v/>
      </c>
      <c r="V156" s="432">
        <f>SUMIFS($E$209:$E$693,$A$209:$A$693,"&gt;30/11/2025",$A$209:$A$693,"&lt;1/1/2026",$G$209:$G$693,$I156)</f>
        <v/>
      </c>
      <c r="W156" s="432">
        <f>SUM(K156:V156)</f>
        <v/>
      </c>
      <c r="X156" s="460">
        <f>IFERROR(W156/$W$159,0)</f>
        <v/>
      </c>
    </row>
    <row r="157">
      <c r="I157" s="1260" t="inlineStr">
        <is>
          <t>Into the Blue</t>
        </is>
      </c>
      <c r="K157" s="432">
        <f>SUMIFS($E$209:$E$693,$A$209:$A$693,"&gt;31/12/2024",$A$209:$A$693,"&lt;1/2/2025",$G$209:$G$693,$I157)</f>
        <v/>
      </c>
      <c r="L157" s="432">
        <f>SUMIFS($E$209:$E$693,$A$209:$A$693,"&gt;31/1/2025",$A$209:$A$693,"&lt;1/3/2025",$G$209:$G$693,$I157)</f>
        <v/>
      </c>
      <c r="M157" s="432">
        <f>SUMIFS($E$209:$E$693,$A$209:$A$693,"&gt;28/2/2025",$A$209:$A$693,"&lt;1/4/2025",$G$209:$G$693,$I157)</f>
        <v/>
      </c>
      <c r="N157" s="432">
        <f>SUMIFS($E$209:$E$693,$A$209:$A$693,"&gt;31/3/2025",$A$209:$A$693,"&lt;1/5/2025",$G$209:$G$693,$I157)</f>
        <v/>
      </c>
      <c r="O157" s="432">
        <f>SUMIFS($E$209:$E$693,$A$209:$A$693,"&gt;30/4/2025",$A$209:$A$693,"&lt;1/6/2025",$G$209:$G$693,$I157)</f>
        <v/>
      </c>
      <c r="P157" s="432">
        <f>SUMIFS($E$209:$E$693,$A$209:$A$693,"&gt;31/5/2025",$A$209:$A$693,"&lt;1/7/2025",$G$209:$G$693,$I157)</f>
        <v/>
      </c>
      <c r="Q157" s="432">
        <f>SUMIFS($E$209:$E$693,$A$209:$A$693,"&gt;30/6/2025",$A$209:$A$693,"&lt;1/8/2025",$G$209:$G$693,$I157)</f>
        <v/>
      </c>
      <c r="R157" s="432">
        <f>SUMIFS($E$209:$E$693,$A$209:$A$693,"&gt;31/7/2025",$A$209:$A$693,"&lt;1/9/2025",$G$209:$G$693,$I157)</f>
        <v/>
      </c>
      <c r="S157" s="432">
        <f>SUMIFS($E$209:$E$693,$A$209:$A$693,"&gt;31/8/2025",$A$209:$A$693,"&lt;1/10/2025",$G$209:$G$693,$I157)</f>
        <v/>
      </c>
      <c r="T157" s="432">
        <f>SUMIFS($E$209:$E$693,$A$209:$A$693,"&gt;30/9/2025",$A$209:$A$693,"&lt;1/11/2025",$G$209:$G$693,$I157)</f>
        <v/>
      </c>
      <c r="U157" s="432">
        <f>SUMIFS($E$209:$E$693,$A$209:$A$693,"&gt;31/10/2025",$A$209:$A$693,"&lt;1/12/2025",$G$209:$G$693,$I157)</f>
        <v/>
      </c>
      <c r="V157" s="432">
        <f>SUMIFS($E$209:$E$693,$A$209:$A$693,"&gt;30/11/2025",$A$209:$A$693,"&lt;1/1/2026",$G$209:$G$693,$I157)</f>
        <v/>
      </c>
      <c r="W157" s="432">
        <f>SUM(K157:V157)</f>
        <v/>
      </c>
      <c r="X157" s="460">
        <f>IFERROR(W157/$W$159,0)</f>
        <v/>
      </c>
    </row>
    <row r="158">
      <c r="I158" s="1255" t="inlineStr">
        <is>
          <t>Other</t>
        </is>
      </c>
      <c r="K158" s="432">
        <f>SUMIFS($E$209:$E$693,$A$209:$A$693,"&gt;31/12/2024",$A$209:$A$693,"&lt;1/2/2025",$G$209:$G$693,$I158)</f>
        <v/>
      </c>
      <c r="L158" s="432">
        <f>SUMIFS($E$209:$E$693,$A$209:$A$693,"&gt;31/1/2025",$A$209:$A$693,"&lt;1/3/2025",$G$209:$G$693,$I158)</f>
        <v/>
      </c>
      <c r="M158" s="432">
        <f>SUMIFS($E$209:$E$693,$A$209:$A$693,"&gt;28/2/2025",$A$209:$A$693,"&lt;1/4/2025",$G$209:$G$693,$I158)</f>
        <v/>
      </c>
      <c r="N158" s="432">
        <f>SUMIFS($E$209:$E$693,$A$209:$A$693,"&gt;31/3/2025",$A$209:$A$693,"&lt;1/5/2025",$G$209:$G$693,$I158)</f>
        <v/>
      </c>
      <c r="O158" s="432">
        <f>SUMIFS($E$209:$E$693,$A$209:$A$693,"&gt;30/4/2025",$A$209:$A$693,"&lt;1/6/2025",$G$209:$G$693,$I158)</f>
        <v/>
      </c>
      <c r="P158" s="432">
        <f>SUMIFS($E$209:$E$693,$A$209:$A$693,"&gt;31/5/2025",$A$209:$A$693,"&lt;1/7/2025",$G$209:$G$693,$I158)</f>
        <v/>
      </c>
      <c r="Q158" s="432">
        <f>SUMIFS($E$209:$E$693,$A$209:$A$693,"&gt;30/6/2025",$A$209:$A$693,"&lt;1/8/2025",$G$209:$G$693,$I158)</f>
        <v/>
      </c>
      <c r="R158" s="432">
        <f>SUMIFS($E$209:$E$693,$A$209:$A$693,"&gt;31/7/2025",$A$209:$A$693,"&lt;1/9/2025",$G$209:$G$693,$I158)</f>
        <v/>
      </c>
      <c r="S158" s="432">
        <f>SUMIFS($E$209:$E$693,$A$209:$A$693,"&gt;31/8/2025",$A$209:$A$693,"&lt;1/10/2025",$G$209:$G$693,$I158)</f>
        <v/>
      </c>
      <c r="T158" s="432">
        <f>SUMIFS($E$209:$E$693,$A$209:$A$693,"&gt;30/9/2025",$A$209:$A$693,"&lt;1/11/2025",$G$209:$G$693,$I158)</f>
        <v/>
      </c>
      <c r="U158" s="432">
        <f>SUMIFS($E$209:$E$693,$A$209:$A$693,"&gt;31/10/2025",$A$209:$A$693,"&lt;1/12/2025",$G$209:$G$693,$I158)</f>
        <v/>
      </c>
      <c r="V158" s="432">
        <f>SUMIFS($E$209:$E$693,$A$209:$A$693,"&gt;30/11/2025",$A$209:$A$693,"&lt;1/1/2026",$G$209:$G$693,$I158)</f>
        <v/>
      </c>
      <c r="W158" s="432">
        <f>SUM(K158:V158)</f>
        <v/>
      </c>
      <c r="X158" s="460">
        <f>IFERROR(W158/$W$159,0)</f>
        <v/>
      </c>
    </row>
    <row r="159" ht="13.15" customHeight="1" s="1232">
      <c r="I159" s="914" t="n"/>
      <c r="K159" s="444">
        <f>SUM(K149:K158)</f>
        <v/>
      </c>
      <c r="L159" s="444">
        <f>SUM(L149:L158)</f>
        <v/>
      </c>
      <c r="M159" s="444">
        <f>SUM(M149:M158)</f>
        <v/>
      </c>
      <c r="N159" s="444">
        <f>SUM(N149:N158)</f>
        <v/>
      </c>
      <c r="O159" s="444">
        <f>SUM(O149:O158)</f>
        <v/>
      </c>
      <c r="P159" s="444">
        <f>SUM(P149:P158)</f>
        <v/>
      </c>
      <c r="Q159" s="444">
        <f>SUM(Q149:Q158)</f>
        <v/>
      </c>
      <c r="R159" s="444">
        <f>SUM(R149:R158)</f>
        <v/>
      </c>
      <c r="S159" s="444">
        <f>SUM(S149:S158)</f>
        <v/>
      </c>
      <c r="T159" s="444">
        <f>SUM(T149:T158)</f>
        <v/>
      </c>
      <c r="U159" s="444">
        <f>SUM(U149:U158)</f>
        <v/>
      </c>
      <c r="V159" s="444">
        <f>SUM(V149:V158)</f>
        <v/>
      </c>
      <c r="W159" s="444">
        <f>SUM(W149:W158)</f>
        <v/>
      </c>
      <c r="X159" s="460">
        <f>IFERROR(W159/$W$159,0)</f>
        <v/>
      </c>
      <c r="Y159" s="466" t="n"/>
    </row>
    <row r="160">
      <c r="J160" s="914" t="n"/>
      <c r="K160" s="914">
        <f>K137-K159</f>
        <v/>
      </c>
      <c r="L160" s="914">
        <f>L137-L159</f>
        <v/>
      </c>
      <c r="M160" s="914">
        <f>M137-M159</f>
        <v/>
      </c>
      <c r="N160" s="914">
        <f>N137-N159</f>
        <v/>
      </c>
      <c r="O160" s="914">
        <f>O137-O159</f>
        <v/>
      </c>
      <c r="P160" s="914">
        <f>P137-P159</f>
        <v/>
      </c>
      <c r="Q160" s="914">
        <f>Q137-Q159</f>
        <v/>
      </c>
      <c r="R160" s="914">
        <f>R137-R159</f>
        <v/>
      </c>
      <c r="S160" s="914">
        <f>S137-S159</f>
        <v/>
      </c>
      <c r="T160" s="914">
        <f>T137-T159</f>
        <v/>
      </c>
      <c r="U160" s="914">
        <f>U137-U159</f>
        <v/>
      </c>
      <c r="V160" s="914">
        <f>V137-V159</f>
        <v/>
      </c>
      <c r="W160" s="914">
        <f>W137-W159</f>
        <v/>
      </c>
      <c r="X160" s="914" t="n"/>
    </row>
    <row r="161" ht="13.15" customHeight="1" s="1232">
      <c r="I161" s="556" t="inlineStr">
        <is>
          <t>Booking source  £</t>
        </is>
      </c>
      <c r="K161" s="1332" t="inlineStr">
        <is>
          <t>Jan</t>
        </is>
      </c>
      <c r="L161" s="1332" t="inlineStr">
        <is>
          <t>Feb</t>
        </is>
      </c>
      <c r="M161" s="1332" t="inlineStr">
        <is>
          <t>Mar</t>
        </is>
      </c>
      <c r="N161" s="1332" t="inlineStr">
        <is>
          <t>Apr</t>
        </is>
      </c>
      <c r="O161" s="1332" t="inlineStr">
        <is>
          <t>May</t>
        </is>
      </c>
      <c r="P161" s="1332" t="inlineStr">
        <is>
          <t>Jun</t>
        </is>
      </c>
      <c r="Q161" s="1332" t="inlineStr">
        <is>
          <t>Jul</t>
        </is>
      </c>
      <c r="R161" s="1332" t="inlineStr">
        <is>
          <t>Aug</t>
        </is>
      </c>
      <c r="S161" s="1332" t="inlineStr">
        <is>
          <t>Sep</t>
        </is>
      </c>
      <c r="T161" s="1332" t="inlineStr">
        <is>
          <t>Oct</t>
        </is>
      </c>
      <c r="U161" s="1332" t="inlineStr">
        <is>
          <t>Nov</t>
        </is>
      </c>
      <c r="V161" s="1332" t="inlineStr">
        <is>
          <t>Dec</t>
        </is>
      </c>
      <c r="W161" s="1332" t="inlineStr">
        <is>
          <t>Year</t>
        </is>
      </c>
      <c r="X161" s="1278" t="inlineStr">
        <is>
          <t>Split</t>
        </is>
      </c>
    </row>
    <row r="162" ht="13.15" customHeight="1" s="1232">
      <c r="I162" s="444" t="inlineStr">
        <is>
          <t>New Clients</t>
        </is>
      </c>
      <c r="K162" s="914">
        <f>SUM(K159-K150)</f>
        <v/>
      </c>
      <c r="L162" s="914">
        <f>SUM(L159-L150)</f>
        <v/>
      </c>
      <c r="M162" s="914">
        <f>SUM(M159-M150)</f>
        <v/>
      </c>
      <c r="N162" s="914">
        <f>SUM(N159-N150)</f>
        <v/>
      </c>
      <c r="O162" s="914">
        <f>SUM(O159-O150)</f>
        <v/>
      </c>
      <c r="P162" s="914">
        <f>SUM(P159-P150)</f>
        <v/>
      </c>
      <c r="Q162" s="914">
        <f>SUM(Q159-Q150)</f>
        <v/>
      </c>
      <c r="R162" s="914">
        <f>SUM(R159-R150)</f>
        <v/>
      </c>
      <c r="S162" s="914">
        <f>SUM(S159-S150)</f>
        <v/>
      </c>
      <c r="T162" s="914">
        <f>SUM(T159-T150)</f>
        <v/>
      </c>
      <c r="U162" s="914">
        <f>SUM(U159-U150)</f>
        <v/>
      </c>
      <c r="V162" s="914">
        <f>SUM(V159-V150)</f>
        <v/>
      </c>
      <c r="W162" s="554">
        <f>SUM(K162:V162)</f>
        <v/>
      </c>
      <c r="X162" s="475">
        <f>W162/W164</f>
        <v/>
      </c>
    </row>
    <row r="163" ht="13.15" customHeight="1" s="1232">
      <c r="I163" s="444" t="inlineStr">
        <is>
          <t>Existing Clients</t>
        </is>
      </c>
      <c r="K163" s="914">
        <f>K150</f>
        <v/>
      </c>
      <c r="L163" s="914">
        <f>L150</f>
        <v/>
      </c>
      <c r="M163" s="914">
        <f>M150</f>
        <v/>
      </c>
      <c r="N163" s="914">
        <f>N150</f>
        <v/>
      </c>
      <c r="O163" s="914">
        <f>O150</f>
        <v/>
      </c>
      <c r="P163" s="914">
        <f>P150</f>
        <v/>
      </c>
      <c r="Q163" s="914">
        <f>Q150</f>
        <v/>
      </c>
      <c r="R163" s="914">
        <f>R150</f>
        <v/>
      </c>
      <c r="S163" s="914">
        <f>S150</f>
        <v/>
      </c>
      <c r="T163" s="914">
        <f>T150</f>
        <v/>
      </c>
      <c r="U163" s="914">
        <f>U150</f>
        <v/>
      </c>
      <c r="V163" s="914">
        <f>V150</f>
        <v/>
      </c>
      <c r="W163" s="562">
        <f>SUM(K163:V163)</f>
        <v/>
      </c>
      <c r="X163" s="475">
        <f>W163/W164</f>
        <v/>
      </c>
    </row>
    <row r="164" ht="13.15" customHeight="1" s="1232">
      <c r="I164" s="444" t="n"/>
      <c r="K164" s="563">
        <f>K162+K163</f>
        <v/>
      </c>
      <c r="L164" s="563">
        <f>L162+L163</f>
        <v/>
      </c>
      <c r="M164" s="563">
        <f>M162+M163</f>
        <v/>
      </c>
      <c r="N164" s="563">
        <f>N162+N163</f>
        <v/>
      </c>
      <c r="O164" s="563">
        <f>O162+O163</f>
        <v/>
      </c>
      <c r="P164" s="563">
        <f>P162+P163</f>
        <v/>
      </c>
      <c r="Q164" s="563">
        <f>Q162+Q163</f>
        <v/>
      </c>
      <c r="R164" s="563">
        <f>R162+R163</f>
        <v/>
      </c>
      <c r="S164" s="563">
        <f>S162+S163</f>
        <v/>
      </c>
      <c r="T164" s="563">
        <f>T162+T163</f>
        <v/>
      </c>
      <c r="U164" s="563">
        <f>U162+U163</f>
        <v/>
      </c>
      <c r="V164" s="563">
        <f>V162+V163</f>
        <v/>
      </c>
      <c r="W164" s="563">
        <f>W162+W163</f>
        <v/>
      </c>
      <c r="X164" s="564" t="n"/>
    </row>
    <row r="165">
      <c r="J165" s="914" t="n"/>
      <c r="K165" s="914" t="n"/>
      <c r="L165" s="914" t="n"/>
      <c r="M165" s="914" t="n"/>
      <c r="N165" s="914" t="n"/>
      <c r="O165" s="914" t="n"/>
      <c r="P165" s="914" t="n"/>
      <c r="Q165" s="914" t="n"/>
      <c r="R165" s="914" t="n"/>
      <c r="S165" s="914" t="n"/>
      <c r="T165" s="914" t="n"/>
      <c r="U165" s="914" t="n"/>
      <c r="V165" s="914" t="n"/>
      <c r="W165" s="914" t="n"/>
      <c r="X165" s="914" t="n"/>
    </row>
    <row r="166" ht="13.15" customHeight="1" s="1232">
      <c r="I166" s="556" t="inlineStr">
        <is>
          <t>Booking source  Units</t>
        </is>
      </c>
      <c r="K166" s="1332" t="inlineStr">
        <is>
          <t>Jan</t>
        </is>
      </c>
      <c r="L166" s="1332" t="inlineStr">
        <is>
          <t>Feb</t>
        </is>
      </c>
      <c r="M166" s="1332" t="inlineStr">
        <is>
          <t>Mar</t>
        </is>
      </c>
      <c r="N166" s="1332" t="inlineStr">
        <is>
          <t>Apr</t>
        </is>
      </c>
      <c r="O166" s="1332" t="inlineStr">
        <is>
          <t>May</t>
        </is>
      </c>
      <c r="P166" s="1332" t="inlineStr">
        <is>
          <t>Jun</t>
        </is>
      </c>
      <c r="Q166" s="1332" t="inlineStr">
        <is>
          <t>Jul</t>
        </is>
      </c>
      <c r="R166" s="1332" t="inlineStr">
        <is>
          <t>Aug</t>
        </is>
      </c>
      <c r="S166" s="1332" t="inlineStr">
        <is>
          <t>Sep</t>
        </is>
      </c>
      <c r="T166" s="1332" t="inlineStr">
        <is>
          <t>Oct</t>
        </is>
      </c>
      <c r="U166" s="1332" t="inlineStr">
        <is>
          <t>Nov</t>
        </is>
      </c>
      <c r="V166" s="1332" t="inlineStr">
        <is>
          <t>Dec</t>
        </is>
      </c>
      <c r="W166" s="1332" t="inlineStr">
        <is>
          <t>Year</t>
        </is>
      </c>
      <c r="X166" s="1278" t="inlineStr">
        <is>
          <t>Split</t>
        </is>
      </c>
    </row>
    <row r="167" ht="13.15" customHeight="1" s="1232">
      <c r="I167" s="444" t="inlineStr">
        <is>
          <t>New Clients</t>
        </is>
      </c>
      <c r="K167" s="914">
        <f>K94-K168</f>
        <v/>
      </c>
      <c r="L167" s="914">
        <f>L94-L168</f>
        <v/>
      </c>
      <c r="M167" s="914">
        <f>M94-M168</f>
        <v/>
      </c>
      <c r="N167" s="914">
        <f>N94-N168</f>
        <v/>
      </c>
      <c r="O167" s="914">
        <f>O94-O168</f>
        <v/>
      </c>
      <c r="P167" s="914">
        <f>P94-P168</f>
        <v/>
      </c>
      <c r="Q167" s="914">
        <f>Q94-Q168</f>
        <v/>
      </c>
      <c r="R167" s="914">
        <f>R94-R168</f>
        <v/>
      </c>
      <c r="S167" s="914">
        <f>S94-S168</f>
        <v/>
      </c>
      <c r="T167" s="914">
        <f>T94-T168</f>
        <v/>
      </c>
      <c r="U167" s="914">
        <f>U94-U168</f>
        <v/>
      </c>
      <c r="V167" s="914">
        <f>V94-V168</f>
        <v/>
      </c>
      <c r="W167" s="554">
        <f>SUM(K167:V167)</f>
        <v/>
      </c>
      <c r="X167" s="475">
        <f>W167/W169</f>
        <v/>
      </c>
    </row>
    <row r="168" ht="13.15" customHeight="1" s="1232">
      <c r="I168" s="561" t="inlineStr">
        <is>
          <t>Existing</t>
        </is>
      </c>
      <c r="K168" s="914">
        <f>COUNTIFS($A$209:$A$693,"&gt;31/12/2024",$A$209:$A$693,"&lt;1/2/2025",$G$209:$G$693,"Existing")</f>
        <v/>
      </c>
      <c r="L168" s="432">
        <f>COUNTIFS($A$209:$A$693,"&gt;31/1/2025",$A$209:$A$693,"&lt;1/3/2025",$G$209:$G$693,$I168)</f>
        <v/>
      </c>
      <c r="M168" s="432">
        <f>COUNTIFS($A$209:$A$693,"&gt;28/2/2025",$A$209:$A$693,"&lt;1/4/2025",$G$209:$G$693,$I168)</f>
        <v/>
      </c>
      <c r="N168" s="432">
        <f>COUNTIFS($A$209:$A$693,"&gt;31/3/2025",$A$209:$A$693,"&lt;1/5/2025",$G$209:$G$693,$I168)</f>
        <v/>
      </c>
      <c r="O168" s="432">
        <f>COUNTIFS($A$209:$A$693,"&gt;30/4/2025",$A$209:$A$693,"&lt;1/6/2025",$G$209:$G$693,$I168)</f>
        <v/>
      </c>
      <c r="P168" s="432">
        <f>COUNTIFS($A$209:$A$693,"&gt;31/5/2025",$A$209:$A$693,"&lt;1/7/2025",$G$209:$G$693,$I168)</f>
        <v/>
      </c>
      <c r="Q168" s="432">
        <f>COUNTIFS($A$209:$A$693,"&gt;30/6/2025",$A$209:$A$693,"&lt;1/8/2025",$G$209:$G$693,$I168)</f>
        <v/>
      </c>
      <c r="R168" s="432">
        <f>COUNTIFS($A$209:$A$693,"&gt;31/7/2025",$A$209:$A$693,"&lt;1/9/2025",$G$209:$G$693,$I168)</f>
        <v/>
      </c>
      <c r="S168" s="432">
        <f>COUNTIFS($A$209:$A$693,"&gt;31/8/2025",$A$209:$A$693,"&lt;1/10/2025",$G$209:$G$693,$I168)</f>
        <v/>
      </c>
      <c r="T168" s="432">
        <f>COUNTIFS($A$209:$A$693,"&gt;30/9/2025",$A$209:$A$693,"&lt;1/11/2025",$G$209:$G$693,$I168)</f>
        <v/>
      </c>
      <c r="U168" s="432">
        <f>COUNTIFS($A$209:$A$693,"&gt;31/10/2025",$A$209:$A$693,"&lt;1/12/2025",$G$209:$G$693,$I168)</f>
        <v/>
      </c>
      <c r="V168" s="432">
        <f>COUNTIFS($A$209:$A$693,"&gt;30/11/2025",$A$209:$A$693,"&lt;1/1/2025",$G$209:$G$693,$I168)</f>
        <v/>
      </c>
      <c r="W168" s="554">
        <f>SUM(K168:V168)</f>
        <v/>
      </c>
      <c r="X168" s="475">
        <f>W168/$W$169</f>
        <v/>
      </c>
    </row>
    <row r="169" ht="13.15" customHeight="1" s="1232">
      <c r="J169" s="914" t="n"/>
      <c r="K169" s="563">
        <f>K167+K168</f>
        <v/>
      </c>
      <c r="L169" s="563">
        <f>L167+L168</f>
        <v/>
      </c>
      <c r="M169" s="563">
        <f>M167+M168</f>
        <v/>
      </c>
      <c r="N169" s="563">
        <f>N167+N168</f>
        <v/>
      </c>
      <c r="O169" s="563">
        <f>O167+O168</f>
        <v/>
      </c>
      <c r="P169" s="563">
        <f>P167+P168</f>
        <v/>
      </c>
      <c r="Q169" s="563">
        <f>Q167+Q168</f>
        <v/>
      </c>
      <c r="R169" s="563">
        <f>R167+R168</f>
        <v/>
      </c>
      <c r="S169" s="563">
        <f>S167+S168</f>
        <v/>
      </c>
      <c r="T169" s="563">
        <f>T167+T168</f>
        <v/>
      </c>
      <c r="U169" s="563">
        <f>U167+U168</f>
        <v/>
      </c>
      <c r="V169" s="563">
        <f>V167+V168</f>
        <v/>
      </c>
      <c r="W169" s="563">
        <f>W167+W168</f>
        <v/>
      </c>
      <c r="X169" s="564" t="n"/>
    </row>
    <row r="170" ht="13.15" customHeight="1" s="1232">
      <c r="J170" s="914" t="n"/>
      <c r="K170" s="791">
        <f>K94-K169</f>
        <v/>
      </c>
      <c r="L170" s="791">
        <f>L94-L169</f>
        <v/>
      </c>
      <c r="M170" s="791">
        <f>M94-M169</f>
        <v/>
      </c>
      <c r="N170" s="791">
        <f>N94-N169</f>
        <v/>
      </c>
      <c r="O170" s="791">
        <f>O94-O169</f>
        <v/>
      </c>
      <c r="P170" s="791">
        <f>P94-P169</f>
        <v/>
      </c>
      <c r="Q170" s="791">
        <f>Q94-Q169</f>
        <v/>
      </c>
      <c r="R170" s="791">
        <f>R94-R169</f>
        <v/>
      </c>
      <c r="S170" s="791">
        <f>S94-S169</f>
        <v/>
      </c>
      <c r="T170" s="791">
        <f>T94-T169</f>
        <v/>
      </c>
      <c r="U170" s="791">
        <f>U94-U169</f>
        <v/>
      </c>
      <c r="V170" s="791">
        <f>V94-V169</f>
        <v/>
      </c>
      <c r="W170" s="791">
        <f>W94-W169</f>
        <v/>
      </c>
      <c r="X170" s="475" t="n"/>
    </row>
    <row r="171" ht="13.15" customHeight="1" s="1232">
      <c r="I171" s="556" t="inlineStr">
        <is>
          <t>Booking source  AVG PPU</t>
        </is>
      </c>
      <c r="K171" s="1332" t="inlineStr">
        <is>
          <t>Jan</t>
        </is>
      </c>
      <c r="L171" s="1332" t="inlineStr">
        <is>
          <t>Feb</t>
        </is>
      </c>
      <c r="M171" s="1332" t="inlineStr">
        <is>
          <t>Mar</t>
        </is>
      </c>
      <c r="N171" s="1332" t="inlineStr">
        <is>
          <t>Apr</t>
        </is>
      </c>
      <c r="O171" s="1332" t="inlineStr">
        <is>
          <t>May</t>
        </is>
      </c>
      <c r="P171" s="1332" t="inlineStr">
        <is>
          <t>Jun</t>
        </is>
      </c>
      <c r="Q171" s="1332" t="inlineStr">
        <is>
          <t>Jul</t>
        </is>
      </c>
      <c r="R171" s="1332" t="inlineStr">
        <is>
          <t>Aug</t>
        </is>
      </c>
      <c r="S171" s="1332" t="inlineStr">
        <is>
          <t>Sep</t>
        </is>
      </c>
      <c r="T171" s="1332" t="inlineStr">
        <is>
          <t>Oct</t>
        </is>
      </c>
      <c r="U171" s="1332" t="inlineStr">
        <is>
          <t>Nov</t>
        </is>
      </c>
      <c r="V171" s="1332" t="inlineStr">
        <is>
          <t>Dec</t>
        </is>
      </c>
      <c r="W171" s="1332" t="inlineStr">
        <is>
          <t>Year</t>
        </is>
      </c>
      <c r="X171" s="1278" t="inlineStr">
        <is>
          <t>Split</t>
        </is>
      </c>
    </row>
    <row r="172" ht="13.15" customHeight="1" s="1232">
      <c r="I172" s="444" t="inlineStr">
        <is>
          <t>New Clients</t>
        </is>
      </c>
      <c r="K172" s="914">
        <f>IFERROR(K162/K167,0)</f>
        <v/>
      </c>
      <c r="L172" s="914">
        <f>IFERROR(L162/L167,0)</f>
        <v/>
      </c>
      <c r="M172" s="914">
        <f>IFERROR(M162/M167,0)</f>
        <v/>
      </c>
      <c r="N172" s="914">
        <f>IFERROR(N162/N167,0)</f>
        <v/>
      </c>
      <c r="O172" s="914">
        <f>IFERROR(O162/O167,0)</f>
        <v/>
      </c>
      <c r="P172" s="914">
        <f>IFERROR(P162/P167,0)</f>
        <v/>
      </c>
      <c r="Q172" s="914">
        <f>IFERROR(Q162/Q167,0)</f>
        <v/>
      </c>
      <c r="R172" s="914">
        <f>IFERROR(R162/R167,0)</f>
        <v/>
      </c>
      <c r="S172" s="914">
        <f>IFERROR(S162/S167,0)</f>
        <v/>
      </c>
      <c r="T172" s="914">
        <f>IFERROR(T162/T167,0)</f>
        <v/>
      </c>
      <c r="U172" s="914">
        <f>IFERROR(U162/U167,0)</f>
        <v/>
      </c>
      <c r="V172" s="914">
        <f>IFERROR(V162/V167,0)</f>
        <v/>
      </c>
      <c r="W172" s="554">
        <f>AVERAGE(K172:V172)</f>
        <v/>
      </c>
      <c r="X172" s="475">
        <f>W172/W174</f>
        <v/>
      </c>
    </row>
    <row r="173" ht="13.15" customHeight="1" s="1232">
      <c r="I173" s="444" t="inlineStr">
        <is>
          <t>Existing Clients</t>
        </is>
      </c>
      <c r="K173" s="914">
        <f>IFERROR(K163/K168,0)</f>
        <v/>
      </c>
      <c r="L173" s="914">
        <f>IFERROR(L163/L168,0)</f>
        <v/>
      </c>
      <c r="M173" s="914">
        <f>IFERROR(M163/M168,0)</f>
        <v/>
      </c>
      <c r="N173" s="914">
        <f>IFERROR(N163/N168,0)</f>
        <v/>
      </c>
      <c r="O173" s="914">
        <f>IFERROR(O163/O168,0)</f>
        <v/>
      </c>
      <c r="P173" s="914">
        <f>IFERROR(P163/P168,0)</f>
        <v/>
      </c>
      <c r="Q173" s="914">
        <f>IFERROR(Q163/Q168,0)</f>
        <v/>
      </c>
      <c r="R173" s="914">
        <f>IFERROR(R163/R168,0)</f>
        <v/>
      </c>
      <c r="S173" s="914">
        <f>IFERROR(S163/S168,0)</f>
        <v/>
      </c>
      <c r="T173" s="914">
        <f>IFERROR(T163/T168,0)</f>
        <v/>
      </c>
      <c r="U173" s="914">
        <f>IFERROR(U163/U168,0)</f>
        <v/>
      </c>
      <c r="V173" s="914">
        <f>IFERROR(V163/V168,0)</f>
        <v/>
      </c>
      <c r="W173" s="554">
        <f>AVERAGE(K173:V173)</f>
        <v/>
      </c>
      <c r="X173" s="475">
        <f>W173/$W$174</f>
        <v/>
      </c>
    </row>
    <row r="174" ht="13.15" customHeight="1" s="1232">
      <c r="J174" s="914" t="n"/>
      <c r="K174" s="563">
        <f>K172+K173</f>
        <v/>
      </c>
      <c r="L174" s="563">
        <f>L172+L173</f>
        <v/>
      </c>
      <c r="M174" s="563">
        <f>M172+M173</f>
        <v/>
      </c>
      <c r="N174" s="563">
        <f>N172+N173</f>
        <v/>
      </c>
      <c r="O174" s="563">
        <f>O172+O173</f>
        <v/>
      </c>
      <c r="P174" s="563">
        <f>P172+P173</f>
        <v/>
      </c>
      <c r="Q174" s="563">
        <f>Q172+Q173</f>
        <v/>
      </c>
      <c r="R174" s="563">
        <f>R172+R173</f>
        <v/>
      </c>
      <c r="S174" s="563">
        <f>S172+S173</f>
        <v/>
      </c>
      <c r="T174" s="563">
        <f>T172+T173</f>
        <v/>
      </c>
      <c r="U174" s="563">
        <f>U172+U173</f>
        <v/>
      </c>
      <c r="V174" s="563">
        <f>V172+V173</f>
        <v/>
      </c>
      <c r="W174" s="563">
        <f>W172+W173</f>
        <v/>
      </c>
      <c r="X174" s="564" t="n"/>
    </row>
    <row r="175"/>
    <row r="176"/>
    <row r="177"/>
    <row r="178"/>
    <row r="179"/>
    <row r="180"/>
    <row r="181"/>
    <row r="182"/>
    <row r="183"/>
    <row r="184"/>
    <row r="185"/>
    <row r="186"/>
    <row r="187"/>
    <row r="188"/>
    <row r="189"/>
    <row r="190"/>
    <row r="191"/>
    <row r="192"/>
    <row r="193"/>
    <row r="194"/>
    <row r="195"/>
    <row r="196"/>
    <row r="197"/>
    <row r="198"/>
    <row r="199"/>
    <row r="200"/>
    <row r="201"/>
    <row r="202"/>
    <row r="203"/>
    <row r="204"/>
    <row r="205" ht="13.15" customHeight="1" s="1232">
      <c r="E205" s="605">
        <f>SUM(E209:E693)</f>
        <v/>
      </c>
    </row>
    <row r="206" ht="13.9" customHeight="1" s="1232">
      <c r="A206" s="1345" t="inlineStr">
        <is>
          <t>Date</t>
        </is>
      </c>
      <c r="B206" s="1346" t="inlineStr">
        <is>
          <t>Client</t>
        </is>
      </c>
      <c r="C206" s="1346" t="inlineStr">
        <is>
          <t>Category</t>
        </is>
      </c>
      <c r="D206" s="1346" t="inlineStr">
        <is>
          <t>Funding</t>
        </is>
      </c>
      <c r="E206" s="1347" t="inlineStr">
        <is>
          <t>Amount</t>
        </is>
      </c>
      <c r="F206" s="1346" t="inlineStr">
        <is>
          <t>Event</t>
        </is>
      </c>
      <c r="G206" s="1346" t="inlineStr">
        <is>
          <t>Source</t>
        </is>
      </c>
    </row>
    <row r="207"/>
    <row r="208"/>
    <row r="209" ht="13.5" customHeight="1" s="1232">
      <c r="A209" s="1348" t="n"/>
      <c r="B209" s="1349" t="n"/>
      <c r="C209" s="1350" t="n"/>
      <c r="D209" s="1349" t="n"/>
      <c r="E209" s="1351" t="n"/>
      <c r="F209" s="1349" t="n"/>
      <c r="G209" s="1349" t="n"/>
    </row>
    <row r="210" ht="13.5" customHeight="1" s="1232">
      <c r="A210" s="1348" t="n"/>
      <c r="B210" s="1349" t="n"/>
      <c r="C210" s="1350" t="n"/>
      <c r="D210" s="1349" t="n"/>
      <c r="E210" s="1351" t="n"/>
      <c r="F210" s="1349" t="n"/>
      <c r="G210" s="1349" t="n"/>
    </row>
    <row r="211" ht="13.5" customHeight="1" s="1232">
      <c r="A211" s="1348" t="n"/>
      <c r="B211" s="1349" t="n"/>
      <c r="C211" s="1350" t="n"/>
      <c r="D211" s="1349" t="n"/>
      <c r="E211" s="1351" t="n"/>
      <c r="F211" s="1349" t="n"/>
      <c r="G211" s="1349" t="n"/>
    </row>
    <row r="212" ht="13.5" customHeight="1" s="1232">
      <c r="A212" s="1348" t="n"/>
      <c r="B212" s="1349" t="n"/>
      <c r="C212" s="1350" t="n"/>
      <c r="D212" s="1349" t="n"/>
      <c r="E212" s="1351" t="n"/>
      <c r="F212" s="1349" t="n"/>
      <c r="G212" s="1349" t="n"/>
      <c r="I212" t="inlineStr">
        <is>
          <t>Canonical Product</t>
        </is>
      </c>
      <c r="J212" t="inlineStr">
        <is>
          <t>Landing Page URL</t>
        </is>
      </c>
    </row>
    <row r="213" ht="13.5" customHeight="1" s="1232">
      <c r="A213" s="1348" t="n">
        <v>46022</v>
      </c>
      <c r="B213" s="1349" t="inlineStr">
        <is>
          <t>Bianca Pitis</t>
        </is>
      </c>
      <c r="C213" s="1350" t="inlineStr">
        <is>
          <t>2. Workshops Non Residential</t>
        </is>
      </c>
      <c r="D213" s="1349" t="inlineStr">
        <is>
          <t>Stripe</t>
        </is>
      </c>
      <c r="E213" s="1351" t="n">
        <v>15</v>
      </c>
      <c r="F213" s="1349" t="inlineStr">
        <is>
          <t>Woodland Walk</t>
        </is>
      </c>
      <c r="G213" s="1349" t="inlineStr">
        <is>
          <t>Google</t>
        </is>
      </c>
      <c r="I213" t="inlineStr">
        <is>
          <t>Woodland Photography Walk - Warwickshire (half-day low-cost)</t>
        </is>
      </c>
      <c r="J213" t="inlineStr">
        <is>
          <t>https://www.alanranger.com/landscape-photography-workshops</t>
        </is>
      </c>
    </row>
    <row r="214" ht="13.5" customHeight="1" s="1232">
      <c r="A214" s="1348" t="n">
        <v>46015</v>
      </c>
      <c r="B214" s="1349" t="inlineStr">
        <is>
          <t>Owen Webb</t>
        </is>
      </c>
      <c r="C214" s="1350" t="inlineStr">
        <is>
          <t>2. Workshops Non Residential</t>
        </is>
      </c>
      <c r="D214" s="1349" t="inlineStr">
        <is>
          <t>Stripe</t>
        </is>
      </c>
      <c r="E214" s="1351" t="n">
        <v>99</v>
      </c>
      <c r="F214" s="1349" t="inlineStr">
        <is>
          <t>Bluebells</t>
        </is>
      </c>
      <c r="G214" s="1349" t="inlineStr">
        <is>
          <t>Referral</t>
        </is>
      </c>
      <c r="I214" t="inlineStr">
        <is>
          <t>BLUEBELL WOODLANDS Photography - Warks - 20 Apr- 30 Apr</t>
        </is>
      </c>
      <c r="J214" t="inlineStr">
        <is>
          <t>https://www.alanranger.com/one-day-landscape-photography-workshops</t>
        </is>
      </c>
    </row>
    <row r="215" ht="13.5" customHeight="1" s="1232">
      <c r="A215" s="1348" t="n">
        <v>46015</v>
      </c>
      <c r="B215" s="1349" t="inlineStr">
        <is>
          <t>Artfully Walls</t>
        </is>
      </c>
      <c r="C215" s="1350" t="inlineStr">
        <is>
          <t>10. Prints &amp; Royalties</t>
        </is>
      </c>
      <c r="D215" s="1349" t="inlineStr">
        <is>
          <t>PayPal</t>
        </is>
      </c>
      <c r="E215" s="1351" t="n">
        <v>41.95</v>
      </c>
      <c r="F215" s="1349" t="inlineStr">
        <is>
          <t>Print sales</t>
        </is>
      </c>
      <c r="G215" s="1349" t="inlineStr">
        <is>
          <t>Artfully Walls</t>
        </is>
      </c>
      <c r="I215" t="inlineStr">
        <is>
          <t>Print Sale - Generic (historical)</t>
        </is>
      </c>
      <c r="J215" t="inlineStr">
        <is>
          <t>https://www.alanranger.com/fine-art-prints</t>
        </is>
      </c>
    </row>
    <row r="216" ht="13.5" customHeight="1" s="1232">
      <c r="A216" s="1348" t="n">
        <v>46015</v>
      </c>
      <c r="B216" s="1349" t="inlineStr">
        <is>
          <t>John Bolton</t>
        </is>
      </c>
      <c r="C216" s="1350" t="inlineStr">
        <is>
          <t>12. Academy</t>
        </is>
      </c>
      <c r="D216" s="1349" t="inlineStr">
        <is>
          <t>Stripe</t>
        </is>
      </c>
      <c r="E216" s="1351" t="n">
        <v>25</v>
      </c>
      <c r="F216" s="1349" t="inlineStr">
        <is>
          <t>eBook Academy</t>
        </is>
      </c>
      <c r="G216" s="1349" t="inlineStr">
        <is>
          <t>Existing</t>
        </is>
      </c>
      <c r="I216" t="inlineStr">
        <is>
          <t>Academy - Membership / eBook / Exams (historical bundle)</t>
        </is>
      </c>
      <c r="J216" t="inlineStr">
        <is>
          <t>https://www.alanranger.com/free-online-photography-course</t>
        </is>
      </c>
    </row>
    <row r="217" ht="13.5" customHeight="1" s="1232">
      <c r="A217" s="1348" t="n">
        <v>46014</v>
      </c>
      <c r="B217" s="1349" t="inlineStr">
        <is>
          <t>Ashleigh Hargrave</t>
        </is>
      </c>
      <c r="C217" s="1350" t="inlineStr">
        <is>
          <t>2. Workshops Non Residential</t>
        </is>
      </c>
      <c r="D217" s="1349" t="inlineStr">
        <is>
          <t>Stripe</t>
        </is>
      </c>
      <c r="E217" s="1351" t="n">
        <v>125</v>
      </c>
      <c r="F217" s="1349" t="inlineStr">
        <is>
          <t>Woodlands Masterclass</t>
        </is>
      </c>
      <c r="G217" s="1349" t="inlineStr">
        <is>
          <t>Google</t>
        </is>
      </c>
      <c r="I217" t="inlineStr">
        <is>
          <t>The Secret of WOODLAND PHOTOGRAPHY- 1-Day Jan, Apr, Aug, Oct</t>
        </is>
      </c>
      <c r="J217" t="inlineStr">
        <is>
          <t>https://www.alanranger.com/one-day-landscape-photography-workshops</t>
        </is>
      </c>
    </row>
    <row r="218" ht="13.5" customHeight="1" s="1232">
      <c r="A218" s="1348" t="n">
        <v>46013</v>
      </c>
      <c r="B218" s="1349" t="inlineStr">
        <is>
          <t>Eleanor Shearwood</t>
        </is>
      </c>
      <c r="C218" s="1350" t="inlineStr">
        <is>
          <t>2. Workshops Non Residential</t>
        </is>
      </c>
      <c r="D218" s="1349" t="inlineStr">
        <is>
          <t>Stripe</t>
        </is>
      </c>
      <c r="E218" s="1351" t="n">
        <v>50</v>
      </c>
      <c r="F218" s="1349" t="inlineStr">
        <is>
          <t>Kenilworth Castle</t>
        </is>
      </c>
      <c r="G218" s="1349" t="inlineStr">
        <is>
          <t>Google</t>
        </is>
      </c>
      <c r="I218" t="inlineStr">
        <is>
          <t>Long Exposure Photography Workshop KENILWORTH Sunset</t>
        </is>
      </c>
      <c r="J218" t="inlineStr">
        <is>
          <t>https://www.alanranger.com/landscape-photography-workshops</t>
        </is>
      </c>
    </row>
    <row r="219" ht="13.5" customHeight="1" s="1232">
      <c r="A219" s="1348" t="n">
        <v>46010</v>
      </c>
      <c r="B219" s="1349" t="inlineStr">
        <is>
          <t>Siddharth Patil</t>
        </is>
      </c>
      <c r="C219" s="1350" t="inlineStr">
        <is>
          <t>1. Courses/masterclasses</t>
        </is>
      </c>
      <c r="D219" s="1349" t="inlineStr">
        <is>
          <t>Bank</t>
        </is>
      </c>
      <c r="E219" s="1351" t="n">
        <v>150</v>
      </c>
      <c r="F219" s="1349" t="inlineStr">
        <is>
          <t>Camera Courses For Beginners</t>
        </is>
      </c>
      <c r="G219" s="1349" t="inlineStr">
        <is>
          <t>JLR</t>
        </is>
      </c>
      <c r="I219" t="inlineStr">
        <is>
          <t>Beginners Photography Course | 3 Weekly Evening Classes</t>
        </is>
      </c>
      <c r="J219" t="inlineStr">
        <is>
          <t>https://www.alanranger.com/beginners-photography-classes</t>
        </is>
      </c>
    </row>
    <row r="220" ht="13.5" customHeight="1" s="1232">
      <c r="A220" s="1348" t="n">
        <v>46010</v>
      </c>
      <c r="B220" s="1349" t="inlineStr">
        <is>
          <t>Andrei Giubalca</t>
        </is>
      </c>
      <c r="C220" s="1350" t="inlineStr">
        <is>
          <t>2. Workshops Non Residential</t>
        </is>
      </c>
      <c r="D220" s="1349" t="inlineStr">
        <is>
          <t>Bank</t>
        </is>
      </c>
      <c r="E220" s="1351" t="n">
        <v>12</v>
      </c>
      <c r="F220" s="1349" t="inlineStr">
        <is>
          <t>Woodland Photography Walk</t>
        </is>
      </c>
      <c r="G220" s="1349" t="inlineStr">
        <is>
          <t>JLR</t>
        </is>
      </c>
      <c r="I220" t="inlineStr">
        <is>
          <t>Woodland Photography Walk - Warwickshire (half-day low-cost)</t>
        </is>
      </c>
      <c r="J220" t="inlineStr">
        <is>
          <t>https://www.alanranger.com/landscape-photography-workshops</t>
        </is>
      </c>
    </row>
    <row r="221" ht="13.5" customHeight="1" s="1232">
      <c r="A221" s="1348" t="n">
        <v>46010</v>
      </c>
      <c r="B221" s="1349" t="inlineStr">
        <is>
          <t>Simon Underwood</t>
        </is>
      </c>
      <c r="C221" s="1350" t="inlineStr">
        <is>
          <t>2. Workshops Non Residential</t>
        </is>
      </c>
      <c r="D221" s="1349" t="inlineStr">
        <is>
          <t>Bank</t>
        </is>
      </c>
      <c r="E221" s="1351" t="n">
        <v>15</v>
      </c>
      <c r="F221" s="1349" t="inlineStr">
        <is>
          <t>Woodland Photography Walk</t>
        </is>
      </c>
      <c r="G221" s="1349" t="inlineStr">
        <is>
          <t>JLR</t>
        </is>
      </c>
      <c r="I221" t="inlineStr">
        <is>
          <t>Woodland Photography Walk - Warwickshire (half-day low-cost)</t>
        </is>
      </c>
      <c r="J221" t="inlineStr">
        <is>
          <t>https://www.alanranger.com/landscape-photography-workshops</t>
        </is>
      </c>
    </row>
    <row r="222" ht="13.5" customHeight="1" s="1232">
      <c r="A222" s="1348" t="n">
        <v>46010</v>
      </c>
      <c r="B222" s="1349" t="inlineStr">
        <is>
          <t>Elkana Rop</t>
        </is>
      </c>
      <c r="C222" s="1350" t="inlineStr">
        <is>
          <t>2. Workshops Non Residential</t>
        </is>
      </c>
      <c r="D222" s="1349" t="inlineStr">
        <is>
          <t>Bank</t>
        </is>
      </c>
      <c r="E222" s="1351" t="n">
        <v>15</v>
      </c>
      <c r="F222" s="1349" t="inlineStr">
        <is>
          <t>Woodland Photography Walk</t>
        </is>
      </c>
      <c r="G222" s="1349" t="inlineStr">
        <is>
          <t>JLR</t>
        </is>
      </c>
      <c r="I222" t="inlineStr">
        <is>
          <t>Woodland Photography Walk - Warwickshire (half-day low-cost)</t>
        </is>
      </c>
      <c r="J222" t="inlineStr">
        <is>
          <t>https://www.alanranger.com/landscape-photography-workshops</t>
        </is>
      </c>
    </row>
    <row r="223" ht="13.5" customHeight="1" s="1232">
      <c r="A223" s="1348" t="n">
        <v>46010</v>
      </c>
      <c r="B223" s="1349" t="inlineStr">
        <is>
          <t>Isabella Montoya</t>
        </is>
      </c>
      <c r="C223" s="1350" t="inlineStr">
        <is>
          <t>2. Workshops Non Residential</t>
        </is>
      </c>
      <c r="D223" s="1349" t="inlineStr">
        <is>
          <t>Bank</t>
        </is>
      </c>
      <c r="E223" s="1351" t="n">
        <v>15</v>
      </c>
      <c r="F223" s="1349" t="inlineStr">
        <is>
          <t>Woodland Photography Walk</t>
        </is>
      </c>
      <c r="G223" s="1349" t="inlineStr">
        <is>
          <t>JLR</t>
        </is>
      </c>
      <c r="I223" t="inlineStr">
        <is>
          <t>Woodland Photography Walk - Warwickshire (half-day low-cost)</t>
        </is>
      </c>
      <c r="J223" t="inlineStr">
        <is>
          <t>https://www.alanranger.com/landscape-photography-workshops</t>
        </is>
      </c>
    </row>
    <row r="224" ht="13.5" customHeight="1" s="1232">
      <c r="A224" s="1348" t="n">
        <v>46010</v>
      </c>
      <c r="B224" s="1349" t="inlineStr">
        <is>
          <t>Lesly Aguilera Rodriguez</t>
        </is>
      </c>
      <c r="C224" s="1350" t="inlineStr">
        <is>
          <t>2. Workshops Non Residential</t>
        </is>
      </c>
      <c r="D224" s="1349" t="inlineStr">
        <is>
          <t>Bank</t>
        </is>
      </c>
      <c r="E224" s="1351" t="n">
        <v>15</v>
      </c>
      <c r="F224" s="1349" t="inlineStr">
        <is>
          <t>Woodland Photography Walk</t>
        </is>
      </c>
      <c r="G224" s="1349" t="inlineStr">
        <is>
          <t>JLR</t>
        </is>
      </c>
      <c r="I224" t="inlineStr">
        <is>
          <t>Woodland Photography Walk - Warwickshire (half-day low-cost)</t>
        </is>
      </c>
      <c r="J224" t="inlineStr">
        <is>
          <t>https://www.alanranger.com/landscape-photography-workshops</t>
        </is>
      </c>
    </row>
    <row r="225" ht="13.5" customHeight="1" s="1232">
      <c r="A225" s="1348" t="n">
        <v>46010</v>
      </c>
      <c r="B225" s="1349" t="inlineStr">
        <is>
          <t>Sara Roberts</t>
        </is>
      </c>
      <c r="C225" s="1350" t="inlineStr">
        <is>
          <t>2. Workshops Non Residential</t>
        </is>
      </c>
      <c r="D225" s="1349" t="inlineStr">
        <is>
          <t>Bank</t>
        </is>
      </c>
      <c r="E225" s="1351" t="n">
        <v>15</v>
      </c>
      <c r="F225" s="1349" t="inlineStr">
        <is>
          <t>Woodland Photography Walk</t>
        </is>
      </c>
      <c r="G225" s="1349" t="inlineStr">
        <is>
          <t>JLR</t>
        </is>
      </c>
      <c r="I225" t="inlineStr">
        <is>
          <t>Woodland Photography Walk - Warwickshire (half-day low-cost)</t>
        </is>
      </c>
      <c r="J225" t="inlineStr">
        <is>
          <t>https://www.alanranger.com/landscape-photography-workshops</t>
        </is>
      </c>
    </row>
    <row r="226" ht="13.5" customHeight="1" s="1232">
      <c r="A226" s="1348" t="n">
        <v>46010</v>
      </c>
      <c r="B226" s="1349" t="inlineStr">
        <is>
          <t>Bhushan Rajendra Bedse</t>
        </is>
      </c>
      <c r="C226" s="1350" t="inlineStr">
        <is>
          <t>2. Workshops Non Residential</t>
        </is>
      </c>
      <c r="D226" s="1349" t="inlineStr">
        <is>
          <t>Bank</t>
        </is>
      </c>
      <c r="E226" s="1351" t="n">
        <v>15</v>
      </c>
      <c r="F226" s="1349" t="inlineStr">
        <is>
          <t>Woodland Photography Walk</t>
        </is>
      </c>
      <c r="G226" s="1349" t="inlineStr">
        <is>
          <t>JLR</t>
        </is>
      </c>
      <c r="I226" t="inlineStr">
        <is>
          <t>Woodland Photography Walk - Warwickshire (half-day low-cost)</t>
        </is>
      </c>
      <c r="J226" t="inlineStr">
        <is>
          <t>https://www.alanranger.com/landscape-photography-workshops</t>
        </is>
      </c>
    </row>
    <row r="227" ht="13.5" customHeight="1" s="1232">
      <c r="A227" s="1348" t="n">
        <v>46010</v>
      </c>
      <c r="B227" s="1349" t="inlineStr">
        <is>
          <t>Morgan Gore</t>
        </is>
      </c>
      <c r="C227" s="1350" t="inlineStr">
        <is>
          <t>2. Workshops Non Residential</t>
        </is>
      </c>
      <c r="D227" s="1349" t="inlineStr">
        <is>
          <t>Bank</t>
        </is>
      </c>
      <c r="E227" s="1351" t="n">
        <v>15</v>
      </c>
      <c r="F227" s="1349" t="inlineStr">
        <is>
          <t>Woodland Photography Walk</t>
        </is>
      </c>
      <c r="G227" s="1349" t="inlineStr">
        <is>
          <t>JLR</t>
        </is>
      </c>
      <c r="I227" t="inlineStr">
        <is>
          <t>Woodland Photography Walk - Warwickshire (half-day low-cost)</t>
        </is>
      </c>
      <c r="J227" t="inlineStr">
        <is>
          <t>https://www.alanranger.com/landscape-photography-workshops</t>
        </is>
      </c>
    </row>
    <row r="228" ht="13.5" customHeight="1" s="1232">
      <c r="A228" s="1348" t="n">
        <v>46010</v>
      </c>
      <c r="B228" s="1349" t="inlineStr">
        <is>
          <t>Ram Charan R D</t>
        </is>
      </c>
      <c r="C228" s="1350" t="inlineStr">
        <is>
          <t>2. Workshops Non Residential</t>
        </is>
      </c>
      <c r="D228" s="1349" t="inlineStr">
        <is>
          <t>Bank</t>
        </is>
      </c>
      <c r="E228" s="1351" t="n">
        <v>15</v>
      </c>
      <c r="F228" s="1349" t="inlineStr">
        <is>
          <t>Woodland Photography Walk</t>
        </is>
      </c>
      <c r="G228" s="1349" t="inlineStr">
        <is>
          <t>JLR</t>
        </is>
      </c>
      <c r="I228" t="inlineStr">
        <is>
          <t>Woodland Photography Walk - Warwickshire (half-day low-cost)</t>
        </is>
      </c>
      <c r="J228" t="inlineStr">
        <is>
          <t>https://www.alanranger.com/landscape-photography-workshops</t>
        </is>
      </c>
    </row>
    <row r="229" ht="13.5" customHeight="1" s="1232">
      <c r="A229" s="1348" t="n">
        <v>46010</v>
      </c>
      <c r="B229" s="1349" t="inlineStr">
        <is>
          <t>Linda Nannfeldt</t>
        </is>
      </c>
      <c r="C229" s="1350" t="inlineStr">
        <is>
          <t>2. Workshops Non Residential</t>
        </is>
      </c>
      <c r="D229" s="1349" t="inlineStr">
        <is>
          <t>Bank</t>
        </is>
      </c>
      <c r="E229" s="1351" t="n">
        <v>15</v>
      </c>
      <c r="F229" s="1349" t="inlineStr">
        <is>
          <t>Woodland Photography Walk</t>
        </is>
      </c>
      <c r="G229" s="1349" t="inlineStr">
        <is>
          <t>JLR</t>
        </is>
      </c>
      <c r="I229" t="inlineStr">
        <is>
          <t>Woodland Photography Walk - Warwickshire (half-day low-cost)</t>
        </is>
      </c>
      <c r="J229" t="inlineStr">
        <is>
          <t>https://www.alanranger.com/landscape-photography-workshops</t>
        </is>
      </c>
    </row>
    <row r="230" ht="13.5" customHeight="1" s="1232">
      <c r="A230" s="1348" t="n">
        <v>46010</v>
      </c>
      <c r="B230" s="1349" t="inlineStr">
        <is>
          <t>Sunil Raaj</t>
        </is>
      </c>
      <c r="C230" s="1350" t="inlineStr">
        <is>
          <t>2. Workshops Non Residential</t>
        </is>
      </c>
      <c r="D230" s="1349" t="inlineStr">
        <is>
          <t>Bank</t>
        </is>
      </c>
      <c r="E230" s="1351" t="n">
        <v>15</v>
      </c>
      <c r="F230" s="1349" t="inlineStr">
        <is>
          <t>Woodland Photography Walk</t>
        </is>
      </c>
      <c r="G230" s="1349" t="inlineStr">
        <is>
          <t>JLR</t>
        </is>
      </c>
      <c r="I230" t="inlineStr">
        <is>
          <t>Woodland Photography Walk - Warwickshire (half-day low-cost)</t>
        </is>
      </c>
      <c r="J230" t="inlineStr">
        <is>
          <t>https://www.alanranger.com/landscape-photography-workshops</t>
        </is>
      </c>
    </row>
    <row r="231" ht="13.5" customHeight="1" s="1232">
      <c r="A231" s="1348" t="n">
        <v>46010</v>
      </c>
      <c r="B231" s="1349" t="inlineStr">
        <is>
          <t>Burcu Ece Ilgu</t>
        </is>
      </c>
      <c r="C231" s="1350" t="inlineStr">
        <is>
          <t>2. Workshops Non Residential</t>
        </is>
      </c>
      <c r="D231" s="1349" t="inlineStr">
        <is>
          <t>Bank</t>
        </is>
      </c>
      <c r="E231" s="1351" t="n">
        <v>15</v>
      </c>
      <c r="F231" s="1349" t="inlineStr">
        <is>
          <t>Woodland Photography Walk</t>
        </is>
      </c>
      <c r="G231" s="1349" t="inlineStr">
        <is>
          <t>JLR</t>
        </is>
      </c>
      <c r="I231" t="inlineStr">
        <is>
          <t>Woodland Photography Walk - Warwickshire (half-day low-cost)</t>
        </is>
      </c>
      <c r="J231" t="inlineStr">
        <is>
          <t>https://www.alanranger.com/landscape-photography-workshops</t>
        </is>
      </c>
    </row>
    <row r="232" ht="13.5" customHeight="1" s="1232">
      <c r="A232" s="1348" t="n">
        <v>46010</v>
      </c>
      <c r="B232" s="1349" t="inlineStr">
        <is>
          <t>Blessent George</t>
        </is>
      </c>
      <c r="C232" s="1350" t="inlineStr">
        <is>
          <t>2. Workshops Non Residential</t>
        </is>
      </c>
      <c r="D232" s="1349" t="inlineStr">
        <is>
          <t>Bank</t>
        </is>
      </c>
      <c r="E232" s="1351" t="n">
        <v>15</v>
      </c>
      <c r="F232" s="1349" t="inlineStr">
        <is>
          <t>Woodland Photography Walk</t>
        </is>
      </c>
      <c r="G232" s="1349" t="inlineStr">
        <is>
          <t>JLR</t>
        </is>
      </c>
      <c r="I232" t="inlineStr">
        <is>
          <t>Woodland Photography Walk - Warwickshire (half-day low-cost)</t>
        </is>
      </c>
      <c r="J232" t="inlineStr">
        <is>
          <t>https://www.alanranger.com/landscape-photography-workshops</t>
        </is>
      </c>
    </row>
    <row r="233" ht="13.5" customHeight="1" s="1232">
      <c r="A233" s="1348" t="n">
        <v>46010</v>
      </c>
      <c r="B233" s="1349" t="inlineStr">
        <is>
          <t>Filippo Brasacchio</t>
        </is>
      </c>
      <c r="C233" s="1350" t="inlineStr">
        <is>
          <t>2. Workshops Non Residential</t>
        </is>
      </c>
      <c r="D233" s="1349" t="inlineStr">
        <is>
          <t>Bank</t>
        </is>
      </c>
      <c r="E233" s="1351" t="n">
        <v>15</v>
      </c>
      <c r="F233" s="1349" t="inlineStr">
        <is>
          <t>Woodland Photography Walk</t>
        </is>
      </c>
      <c r="G233" s="1349" t="inlineStr">
        <is>
          <t>JLR</t>
        </is>
      </c>
      <c r="I233" t="inlineStr">
        <is>
          <t>Woodland Photography Walk - Warwickshire (half-day low-cost)</t>
        </is>
      </c>
      <c r="J233" t="inlineStr">
        <is>
          <t>https://www.alanranger.com/landscape-photography-workshops</t>
        </is>
      </c>
    </row>
    <row r="234" ht="13.5" customHeight="1" s="1232">
      <c r="A234" s="1348" t="n">
        <v>46010</v>
      </c>
      <c r="B234" s="1349" t="inlineStr">
        <is>
          <t>Gouranga Neog</t>
        </is>
      </c>
      <c r="C234" s="1350" t="inlineStr">
        <is>
          <t>2. Workshops Non Residential</t>
        </is>
      </c>
      <c r="D234" s="1349" t="inlineStr">
        <is>
          <t>Bank</t>
        </is>
      </c>
      <c r="E234" s="1351" t="n">
        <v>15</v>
      </c>
      <c r="F234" s="1349" t="inlineStr">
        <is>
          <t>Woodland Photography Walk</t>
        </is>
      </c>
      <c r="G234" s="1349" t="inlineStr">
        <is>
          <t>JLR</t>
        </is>
      </c>
      <c r="I234" t="inlineStr">
        <is>
          <t>Woodland Photography Walk - Warwickshire (half-day low-cost)</t>
        </is>
      </c>
      <c r="J234" t="inlineStr">
        <is>
          <t>https://www.alanranger.com/landscape-photography-workshops</t>
        </is>
      </c>
    </row>
    <row r="235" ht="13.5" customHeight="1" s="1232">
      <c r="A235" s="1348" t="n">
        <v>46010</v>
      </c>
      <c r="B235" s="1349" t="inlineStr">
        <is>
          <t>Ahmed Alyazji</t>
        </is>
      </c>
      <c r="C235" s="1350" t="inlineStr">
        <is>
          <t>2. Workshops Non Residential</t>
        </is>
      </c>
      <c r="D235" s="1349" t="inlineStr">
        <is>
          <t>Bank</t>
        </is>
      </c>
      <c r="E235" s="1351" t="n">
        <v>15</v>
      </c>
      <c r="F235" s="1349" t="inlineStr">
        <is>
          <t>Woodland Photography Walk</t>
        </is>
      </c>
      <c r="G235" s="1349" t="inlineStr">
        <is>
          <t>JLR</t>
        </is>
      </c>
      <c r="I235" t="inlineStr">
        <is>
          <t>Woodland Photography Walk - Warwickshire (half-day low-cost)</t>
        </is>
      </c>
      <c r="J235" t="inlineStr">
        <is>
          <t>https://www.alanranger.com/landscape-photography-workshops</t>
        </is>
      </c>
    </row>
    <row r="236" ht="13.5" customHeight="1" s="1232">
      <c r="A236" s="1348" t="n">
        <v>46010</v>
      </c>
      <c r="B236" s="1349" t="inlineStr">
        <is>
          <t>Ali Al Badra</t>
        </is>
      </c>
      <c r="C236" s="1350" t="inlineStr">
        <is>
          <t>2. Workshops Non Residential</t>
        </is>
      </c>
      <c r="D236" s="1349" t="inlineStr">
        <is>
          <t>Bank</t>
        </is>
      </c>
      <c r="E236" s="1351" t="n">
        <v>15</v>
      </c>
      <c r="F236" s="1349" t="inlineStr">
        <is>
          <t>Woodland Photography Walk</t>
        </is>
      </c>
      <c r="G236" s="1349" t="inlineStr">
        <is>
          <t>JLR</t>
        </is>
      </c>
      <c r="I236" t="inlineStr">
        <is>
          <t>Woodland Photography Walk - Warwickshire (half-day low-cost)</t>
        </is>
      </c>
      <c r="J236" t="inlineStr">
        <is>
          <t>https://www.alanranger.com/landscape-photography-workshops</t>
        </is>
      </c>
    </row>
    <row r="237" ht="13.5" customHeight="1" s="1232">
      <c r="A237" s="1348" t="n">
        <v>46010</v>
      </c>
      <c r="B237" s="1349" t="inlineStr">
        <is>
          <t>Alireza Rajabi</t>
        </is>
      </c>
      <c r="C237" s="1350" t="inlineStr">
        <is>
          <t>2. Workshops Non Residential</t>
        </is>
      </c>
      <c r="D237" s="1349" t="inlineStr">
        <is>
          <t>Bank</t>
        </is>
      </c>
      <c r="E237" s="1351" t="n">
        <v>15</v>
      </c>
      <c r="F237" s="1349" t="inlineStr">
        <is>
          <t>Woodland Photography Walk</t>
        </is>
      </c>
      <c r="G237" s="1349" t="inlineStr">
        <is>
          <t>JLR</t>
        </is>
      </c>
      <c r="I237" t="inlineStr">
        <is>
          <t>Woodland Photography Walk - Warwickshire (half-day low-cost)</t>
        </is>
      </c>
      <c r="J237" t="inlineStr">
        <is>
          <t>https://www.alanranger.com/landscape-photography-workshops</t>
        </is>
      </c>
    </row>
    <row r="238" ht="13.5" customHeight="1" s="1232">
      <c r="A238" s="1348" t="n">
        <v>46010</v>
      </c>
      <c r="B238" s="1349" t="inlineStr">
        <is>
          <t>Artemiy Brukhno</t>
        </is>
      </c>
      <c r="C238" s="1350" t="inlineStr">
        <is>
          <t>2. Workshops Non Residential</t>
        </is>
      </c>
      <c r="D238" s="1349" t="inlineStr">
        <is>
          <t>Bank</t>
        </is>
      </c>
      <c r="E238" s="1351" t="n">
        <v>15</v>
      </c>
      <c r="F238" s="1349" t="inlineStr">
        <is>
          <t>Woodland Photography Walk</t>
        </is>
      </c>
      <c r="G238" s="1349" t="inlineStr">
        <is>
          <t>JLR</t>
        </is>
      </c>
      <c r="I238" t="inlineStr">
        <is>
          <t>Woodland Photography Walk - Warwickshire (half-day low-cost)</t>
        </is>
      </c>
      <c r="J238" t="inlineStr">
        <is>
          <t>https://www.alanranger.com/landscape-photography-workshops</t>
        </is>
      </c>
    </row>
    <row r="239" ht="13.5" customHeight="1" s="1232">
      <c r="A239" s="1348" t="n">
        <v>46010</v>
      </c>
      <c r="B239" s="1349" t="inlineStr">
        <is>
          <t>Peter Scarisbrick Miller</t>
        </is>
      </c>
      <c r="C239" s="1350" t="inlineStr">
        <is>
          <t>2. Workshops Non Residential</t>
        </is>
      </c>
      <c r="D239" s="1349" t="inlineStr">
        <is>
          <t>Bank</t>
        </is>
      </c>
      <c r="E239" s="1351" t="n">
        <v>15</v>
      </c>
      <c r="F239" s="1349" t="inlineStr">
        <is>
          <t>Woodland Photography Walk</t>
        </is>
      </c>
      <c r="G239" s="1349" t="inlineStr">
        <is>
          <t>JLR</t>
        </is>
      </c>
      <c r="I239" t="inlineStr">
        <is>
          <t>Woodland Photography Walk - Warwickshire (half-day low-cost)</t>
        </is>
      </c>
      <c r="J239" t="inlineStr">
        <is>
          <t>https://www.alanranger.com/landscape-photography-workshops</t>
        </is>
      </c>
    </row>
    <row r="240" ht="13.5" customHeight="1" s="1232">
      <c r="A240" s="1348" t="n">
        <v>46010</v>
      </c>
      <c r="B240" s="1349" t="inlineStr">
        <is>
          <t>Tracie Brannan</t>
        </is>
      </c>
      <c r="C240" s="1350" t="inlineStr">
        <is>
          <t>2. Workshops Non Residential</t>
        </is>
      </c>
      <c r="D240" s="1349" t="inlineStr">
        <is>
          <t>Bank</t>
        </is>
      </c>
      <c r="E240" s="1351" t="n">
        <v>15</v>
      </c>
      <c r="F240" s="1349" t="inlineStr">
        <is>
          <t>Woodland Photography Walk</t>
        </is>
      </c>
      <c r="G240" s="1349" t="inlineStr">
        <is>
          <t>JLR</t>
        </is>
      </c>
      <c r="I240" t="inlineStr">
        <is>
          <t>Woodland Photography Walk - Warwickshire (half-day low-cost)</t>
        </is>
      </c>
      <c r="J240" t="inlineStr">
        <is>
          <t>https://www.alanranger.com/landscape-photography-workshops</t>
        </is>
      </c>
    </row>
    <row r="241" ht="13.5" customHeight="1" s="1232">
      <c r="A241" s="1348" t="n">
        <v>46010</v>
      </c>
      <c r="B241" s="1349" t="inlineStr">
        <is>
          <t>Ajay Thomas</t>
        </is>
      </c>
      <c r="C241" s="1350" t="inlineStr">
        <is>
          <t>2. Workshops Non Residential</t>
        </is>
      </c>
      <c r="D241" s="1349" t="inlineStr">
        <is>
          <t>Bank</t>
        </is>
      </c>
      <c r="E241" s="1351" t="n">
        <v>15</v>
      </c>
      <c r="F241" s="1349" t="inlineStr">
        <is>
          <t>Woodland Photography Walk</t>
        </is>
      </c>
      <c r="G241" s="1349" t="inlineStr">
        <is>
          <t>JLR</t>
        </is>
      </c>
      <c r="I241" t="inlineStr">
        <is>
          <t>Woodland Photography Walk - Warwickshire (half-day low-cost)</t>
        </is>
      </c>
      <c r="J241" t="inlineStr">
        <is>
          <t>https://www.alanranger.com/landscape-photography-workshops</t>
        </is>
      </c>
    </row>
    <row r="242" ht="13.5" customHeight="1" s="1232">
      <c r="A242" s="1348" t="n">
        <v>46010</v>
      </c>
      <c r="B242" s="1349" t="inlineStr">
        <is>
          <t>Matthew Struthers</t>
        </is>
      </c>
      <c r="C242" s="1350" t="inlineStr">
        <is>
          <t>2. Workshops Non Residential</t>
        </is>
      </c>
      <c r="D242" s="1349" t="inlineStr">
        <is>
          <t>Bank</t>
        </is>
      </c>
      <c r="E242" s="1351" t="n">
        <v>15</v>
      </c>
      <c r="F242" s="1349" t="inlineStr">
        <is>
          <t>Woodland Photography Walk</t>
        </is>
      </c>
      <c r="G242" s="1349" t="inlineStr">
        <is>
          <t>JLR</t>
        </is>
      </c>
      <c r="I242" t="inlineStr">
        <is>
          <t>Woodland Photography Walk - Warwickshire (half-day low-cost)</t>
        </is>
      </c>
      <c r="J242" t="inlineStr">
        <is>
          <t>https://www.alanranger.com/landscape-photography-workshops</t>
        </is>
      </c>
    </row>
    <row r="243" ht="13.5" customHeight="1" s="1232">
      <c r="A243" s="1348" t="n">
        <v>46010</v>
      </c>
      <c r="B243" s="1349" t="inlineStr">
        <is>
          <t>Bogdan - Ionut Hardulea</t>
        </is>
      </c>
      <c r="C243" s="1350" t="inlineStr">
        <is>
          <t>2. Workshops Non Residential</t>
        </is>
      </c>
      <c r="D243" s="1349" t="inlineStr">
        <is>
          <t>Bank</t>
        </is>
      </c>
      <c r="E243" s="1351" t="n">
        <v>15</v>
      </c>
      <c r="F243" s="1349" t="inlineStr">
        <is>
          <t>Woodland Photography Walk</t>
        </is>
      </c>
      <c r="G243" s="1349" t="inlineStr">
        <is>
          <t>JLR</t>
        </is>
      </c>
      <c r="I243" t="inlineStr">
        <is>
          <t>Woodland Photography Walk - Warwickshire (half-day low-cost)</t>
        </is>
      </c>
      <c r="J243" t="inlineStr">
        <is>
          <t>https://www.alanranger.com/landscape-photography-workshops</t>
        </is>
      </c>
    </row>
    <row r="244" ht="13.5" customHeight="1" s="1232">
      <c r="A244" s="1348" t="n">
        <v>46010</v>
      </c>
      <c r="B244" s="1349" t="inlineStr">
        <is>
          <t>Daniel Dinu</t>
        </is>
      </c>
      <c r="C244" s="1350" t="inlineStr">
        <is>
          <t>2. Workshops Non Residential</t>
        </is>
      </c>
      <c r="D244" s="1349" t="inlineStr">
        <is>
          <t>Bank</t>
        </is>
      </c>
      <c r="E244" s="1351" t="n">
        <v>60</v>
      </c>
      <c r="F244" s="1349" t="inlineStr">
        <is>
          <t>Abstract and Macro Photography Workshop Warwickshire</t>
        </is>
      </c>
      <c r="G244" s="1349" t="inlineStr">
        <is>
          <t>JLR</t>
        </is>
      </c>
      <c r="I244" t="inlineStr">
        <is>
          <t>MACRO Photography Workshops Warwickshire - Various</t>
        </is>
      </c>
      <c r="J244" t="inlineStr">
        <is>
          <t>https://www.alanranger.com/landscape-photography-workshops</t>
        </is>
      </c>
    </row>
    <row r="245" ht="13.5" customHeight="1" s="1232">
      <c r="A245" s="1348" t="n">
        <v>46010</v>
      </c>
      <c r="B245" s="1349" t="inlineStr">
        <is>
          <t>Nicholas Guntrip Hook</t>
        </is>
      </c>
      <c r="C245" s="1350" t="inlineStr">
        <is>
          <t>2. Workshops Non Residential</t>
        </is>
      </c>
      <c r="D245" s="1349" t="inlineStr">
        <is>
          <t>Bank</t>
        </is>
      </c>
      <c r="E245" s="1351" t="n">
        <v>60</v>
      </c>
      <c r="F245" s="1349" t="inlineStr">
        <is>
          <t>Abstract and Macro Photography Workshop Warwickshire</t>
        </is>
      </c>
      <c r="G245" s="1349" t="inlineStr">
        <is>
          <t>JLR</t>
        </is>
      </c>
      <c r="I245" t="inlineStr">
        <is>
          <t>MACRO Photography Workshops Warwickshire - Various</t>
        </is>
      </c>
      <c r="J245" t="inlineStr">
        <is>
          <t>https://www.alanranger.com/landscape-photography-workshops</t>
        </is>
      </c>
    </row>
    <row r="246" ht="13.5" customHeight="1" s="1232">
      <c r="A246" s="1348" t="n">
        <v>46010</v>
      </c>
      <c r="B246" s="1349" t="inlineStr">
        <is>
          <t>Marie Rushworth</t>
        </is>
      </c>
      <c r="C246" s="1350" t="inlineStr">
        <is>
          <t>1. Courses/masterclasses</t>
        </is>
      </c>
      <c r="D246" s="1349" t="inlineStr">
        <is>
          <t>Bank</t>
        </is>
      </c>
      <c r="E246" s="1351" t="n">
        <v>120</v>
      </c>
      <c r="F246" s="1349" t="inlineStr">
        <is>
          <t>Camera Course</t>
        </is>
      </c>
      <c r="G246" s="1349" t="inlineStr">
        <is>
          <t>Into the Blue</t>
        </is>
      </c>
      <c r="I246" t="inlineStr">
        <is>
          <t>Beginners Photography Course | 3 Weekly Evening Classes</t>
        </is>
      </c>
      <c r="J246" t="inlineStr">
        <is>
          <t>https://www.alanranger.com/beginners-photography-classes</t>
        </is>
      </c>
    </row>
    <row r="247" ht="13.5" customHeight="1" s="1232">
      <c r="A247" s="1348" t="n">
        <v>46008</v>
      </c>
      <c r="B247" s="1349" t="inlineStr">
        <is>
          <t xml:space="preserve">HOMD Consulting Limited </t>
        </is>
      </c>
      <c r="C247" s="1350" t="inlineStr">
        <is>
          <t>11 Commissions</t>
        </is>
      </c>
      <c r="D247" s="1349" t="inlineStr">
        <is>
          <t>PayPal</t>
        </is>
      </c>
      <c r="E247" s="1351" t="n">
        <v>200</v>
      </c>
      <c r="F247" s="1349" t="inlineStr">
        <is>
          <t>Guest Blog</t>
        </is>
      </c>
      <c r="G247" s="1349" t="inlineStr">
        <is>
          <t>Google</t>
        </is>
      </c>
      <c r="I247" t="inlineStr">
        <is>
          <t>Commission - Editorial / Guest Blog / Judging</t>
        </is>
      </c>
      <c r="J247" t="inlineStr">
        <is>
          <t>https://www.alanranger.com/professional-commercial-photographer-coventry</t>
        </is>
      </c>
    </row>
    <row r="248" ht="13.5" customHeight="1" s="1232">
      <c r="A248" s="1348" t="n">
        <v>46005</v>
      </c>
      <c r="B248" s="1349" t="inlineStr">
        <is>
          <t>Chloe Newman</t>
        </is>
      </c>
      <c r="C248" s="1350" t="inlineStr">
        <is>
          <t>8. Gift Vouchers Inc</t>
        </is>
      </c>
      <c r="D248" s="1349" t="inlineStr">
        <is>
          <t>Stripe</t>
        </is>
      </c>
      <c r="E248" s="1351" t="n">
        <v>50</v>
      </c>
      <c r="F248" s="1349" t="inlineStr">
        <is>
          <t>Digital e-Card</t>
        </is>
      </c>
      <c r="G248" s="1349" t="inlineStr">
        <is>
          <t>Google</t>
        </is>
      </c>
      <c r="I248" t="inlineStr">
        <is>
          <t>Gift Voucher - Digital eCard</t>
        </is>
      </c>
      <c r="J248" t="inlineStr">
        <is>
          <t>https://www.alanranger.com/photography-gift-vouchers</t>
        </is>
      </c>
    </row>
    <row r="249" ht="13.5" customHeight="1" s="1232">
      <c r="A249" s="1348" t="n">
        <v>46005</v>
      </c>
      <c r="B249" s="1349" t="inlineStr">
        <is>
          <t>carol darmon</t>
        </is>
      </c>
      <c r="C249" s="1350" t="inlineStr">
        <is>
          <t>1. Courses/masterclasses</t>
        </is>
      </c>
      <c r="D249" s="1349" t="inlineStr">
        <is>
          <t>Stripe</t>
        </is>
      </c>
      <c r="E249" s="1351" t="n">
        <v>150</v>
      </c>
      <c r="F249" s="1349" t="inlineStr">
        <is>
          <t>Camera Course</t>
        </is>
      </c>
      <c r="G249" s="1349" t="inlineStr">
        <is>
          <t>Google</t>
        </is>
      </c>
      <c r="I249" t="inlineStr">
        <is>
          <t>Beginners Photography Course | 3 Weekly Evening Classes</t>
        </is>
      </c>
      <c r="J249" t="inlineStr">
        <is>
          <t>https://www.alanranger.com/beginners-photography-classes</t>
        </is>
      </c>
    </row>
    <row r="250" ht="13.5" customHeight="1" s="1232">
      <c r="A250" s="1348" t="n">
        <v>46004</v>
      </c>
      <c r="B250" s="1349" t="inlineStr">
        <is>
          <t>Deborah Hughes</t>
        </is>
      </c>
      <c r="C250" s="1350" t="inlineStr">
        <is>
          <t>8. Gift Vouchers Inc</t>
        </is>
      </c>
      <c r="D250" s="1349" t="inlineStr">
        <is>
          <t>Stripe</t>
        </is>
      </c>
      <c r="E250" s="1351" t="n">
        <v>50</v>
      </c>
      <c r="F250" s="1349" t="inlineStr">
        <is>
          <t>Digital e-Card</t>
        </is>
      </c>
      <c r="G250" s="1349" t="inlineStr">
        <is>
          <t>Google</t>
        </is>
      </c>
      <c r="I250" t="inlineStr">
        <is>
          <t>Gift Voucher - Digital eCard</t>
        </is>
      </c>
      <c r="J250" t="inlineStr">
        <is>
          <t>https://www.alanranger.com/photography-gift-vouchers</t>
        </is>
      </c>
    </row>
    <row r="251" ht="13.5" customHeight="1" s="1232">
      <c r="A251" s="1348" t="n">
        <v>46003</v>
      </c>
      <c r="B251" s="1349" t="inlineStr">
        <is>
          <t>Erik Johnsen</t>
        </is>
      </c>
      <c r="C251" s="1350" t="inlineStr">
        <is>
          <t>2. Workshops Non Residential</t>
        </is>
      </c>
      <c r="D251" s="1349" t="inlineStr">
        <is>
          <t>Stripe</t>
        </is>
      </c>
      <c r="E251" s="1351" t="n">
        <v>150</v>
      </c>
      <c r="F251" s="1349" t="inlineStr">
        <is>
          <t>Peak District Photography Workshops Padley Gorge</t>
        </is>
      </c>
      <c r="G251" s="1349" t="inlineStr">
        <is>
          <t>Google</t>
        </is>
      </c>
      <c r="I251" t="inlineStr">
        <is>
          <t>PEAK DISTRICT Photography Workshops - May, Oct and Nov</t>
        </is>
      </c>
      <c r="J251" t="inlineStr">
        <is>
          <t>https://www.alanranger.com/one-day-landscape-photography-workshops</t>
        </is>
      </c>
    </row>
    <row r="252" ht="13.5" customHeight="1" s="1232">
      <c r="A252" s="1348" t="n">
        <v>46003</v>
      </c>
      <c r="B252" s="1349" t="inlineStr">
        <is>
          <t>Kelly Mckay</t>
        </is>
      </c>
      <c r="C252" s="1350" t="inlineStr">
        <is>
          <t>12. Academy</t>
        </is>
      </c>
      <c r="D252" s="1349" t="inlineStr">
        <is>
          <t>Stripe</t>
        </is>
      </c>
      <c r="E252" s="1351" t="n">
        <v>20</v>
      </c>
      <c r="F252" s="1349" t="inlineStr">
        <is>
          <t>Exams Module</t>
        </is>
      </c>
      <c r="G252" s="1349" t="inlineStr">
        <is>
          <t>Existing</t>
        </is>
      </c>
      <c r="I252" t="inlineStr">
        <is>
          <t>Academy - Membership / eBook / Exams (historical bundle)</t>
        </is>
      </c>
      <c r="J252" t="inlineStr">
        <is>
          <t>https://www.alanranger.com/free-online-photography-course</t>
        </is>
      </c>
    </row>
    <row r="253" ht="13.5" customHeight="1" s="1232">
      <c r="A253" s="1348" t="n">
        <v>46002</v>
      </c>
      <c r="B253" s="1349" t="inlineStr">
        <is>
          <t xml:space="preserve">HOMD Consulting Limited </t>
        </is>
      </c>
      <c r="C253" s="1350" t="inlineStr">
        <is>
          <t>11 Commissions</t>
        </is>
      </c>
      <c r="D253" s="1349" t="inlineStr">
        <is>
          <t>PayPal</t>
        </is>
      </c>
      <c r="E253" s="1351" t="n">
        <v>200</v>
      </c>
      <c r="F253" s="1349" t="inlineStr">
        <is>
          <t>Guest Blog</t>
        </is>
      </c>
      <c r="G253" s="1349" t="inlineStr">
        <is>
          <t>Google</t>
        </is>
      </c>
      <c r="I253" t="inlineStr">
        <is>
          <t>Commission - Editorial / Guest Blog / Judging</t>
        </is>
      </c>
      <c r="J253" t="inlineStr">
        <is>
          <t>https://www.alanranger.com/professional-commercial-photographer-coventry</t>
        </is>
      </c>
    </row>
    <row r="254" ht="13.5" customHeight="1" s="1232">
      <c r="A254" s="1348" t="n">
        <v>46003</v>
      </c>
      <c r="B254" s="1349" t="inlineStr">
        <is>
          <t>Aaron Williams</t>
        </is>
      </c>
      <c r="C254" s="1350" t="inlineStr">
        <is>
          <t>2. Workshops Non Residential</t>
        </is>
      </c>
      <c r="D254" s="1349" t="inlineStr">
        <is>
          <t>Bank</t>
        </is>
      </c>
      <c r="E254" s="1351" t="n">
        <v>99</v>
      </c>
      <c r="F254" s="1349" t="inlineStr">
        <is>
          <t>Batsford Arboretum Autumn Half-Day Photography Workshop</t>
        </is>
      </c>
      <c r="G254" s="1349" t="inlineStr">
        <is>
          <t>JLR</t>
        </is>
      </c>
      <c r="I254" t="inlineStr">
        <is>
          <t>BATSFORD Arboretum Autumn Photography Workshops 23 - 31 Oct</t>
        </is>
      </c>
      <c r="J254" t="inlineStr">
        <is>
          <t>https://www.alanranger.com/one-day-landscape-photography-workshops</t>
        </is>
      </c>
    </row>
    <row r="255" ht="13.5" customHeight="1" s="1232">
      <c r="A255" s="1348" t="n">
        <v>46003</v>
      </c>
      <c r="B255" s="1349" t="inlineStr">
        <is>
          <t>Junaid Sipple</t>
        </is>
      </c>
      <c r="C255" s="1350" t="inlineStr">
        <is>
          <t>2. Workshops Non Residential</t>
        </is>
      </c>
      <c r="D255" s="1349" t="inlineStr">
        <is>
          <t>Bank</t>
        </is>
      </c>
      <c r="E255" s="1351" t="n">
        <v>99</v>
      </c>
      <c r="F255" s="1349" t="inlineStr">
        <is>
          <t>Batsford Arboretum Autumn Half-Day Photography Workshop</t>
        </is>
      </c>
      <c r="G255" s="1349" t="inlineStr">
        <is>
          <t>JLR</t>
        </is>
      </c>
      <c r="I255" t="inlineStr">
        <is>
          <t>BATSFORD Arboretum Autumn Photography Workshops 23 - 31 Oct</t>
        </is>
      </c>
      <c r="J255" t="inlineStr">
        <is>
          <t>https://www.alanranger.com/one-day-landscape-photography-workshops</t>
        </is>
      </c>
    </row>
    <row r="256" ht="13.5" customHeight="1" s="1232">
      <c r="A256" s="1348" t="n">
        <v>46003</v>
      </c>
      <c r="B256" s="1349" t="inlineStr">
        <is>
          <t>Colin Whittaker</t>
        </is>
      </c>
      <c r="C256" s="1350" t="inlineStr">
        <is>
          <t>2. Workshops Non Residential</t>
        </is>
      </c>
      <c r="D256" s="1349" t="inlineStr">
        <is>
          <t>Bank</t>
        </is>
      </c>
      <c r="E256" s="1351" t="n">
        <v>150</v>
      </c>
      <c r="F256" s="1349" t="inlineStr">
        <is>
          <t>Peak District Photography Workshops Padley Gorge</t>
        </is>
      </c>
      <c r="G256" s="1349" t="inlineStr">
        <is>
          <t>JLR</t>
        </is>
      </c>
      <c r="I256" t="inlineStr">
        <is>
          <t>PEAK DISTRICT Photography Workshops - May, Oct and Nov</t>
        </is>
      </c>
      <c r="J256" t="inlineStr">
        <is>
          <t>https://www.alanranger.com/one-day-landscape-photography-workshops</t>
        </is>
      </c>
    </row>
    <row r="257" ht="13.5" customHeight="1" s="1232">
      <c r="A257" s="1348" t="n">
        <v>46000</v>
      </c>
      <c r="B257" s="1349" t="inlineStr">
        <is>
          <t>Tony Yeaman</t>
        </is>
      </c>
      <c r="C257" s="1350" t="inlineStr">
        <is>
          <t>7. 1-2-1</t>
        </is>
      </c>
      <c r="D257" s="1349" t="inlineStr">
        <is>
          <t>Stripe</t>
        </is>
      </c>
      <c r="E257" s="1351" t="n">
        <v>65</v>
      </c>
      <c r="F257" s="1349" t="inlineStr">
        <is>
          <t>1hr 1-2-1</t>
        </is>
      </c>
      <c r="G257" s="1349" t="inlineStr">
        <is>
          <t>Google</t>
        </is>
      </c>
      <c r="I257" t="inlineStr">
        <is>
          <t>1-2-1 Single Session - 1hr (Face-to-Face)</t>
        </is>
      </c>
      <c r="J257" t="inlineStr">
        <is>
          <t>https://www.alanranger.com/private-photography-lessons</t>
        </is>
      </c>
    </row>
    <row r="258" ht="13.5" customHeight="1" s="1232">
      <c r="A258" s="1348" t="n">
        <v>46000</v>
      </c>
      <c r="B258" s="1349" t="inlineStr">
        <is>
          <t>Rachel Huckle</t>
        </is>
      </c>
      <c r="C258" s="1350" t="inlineStr">
        <is>
          <t>2. Workshops Non Residential</t>
        </is>
      </c>
      <c r="D258" s="1349" t="inlineStr">
        <is>
          <t>Stripe</t>
        </is>
      </c>
      <c r="E258" s="1351" t="n">
        <v>125</v>
      </c>
      <c r="F258" s="1349" t="inlineStr">
        <is>
          <t>Woodland Masterclass</t>
        </is>
      </c>
      <c r="G258" s="1349" t="inlineStr">
        <is>
          <t>Google</t>
        </is>
      </c>
      <c r="I258" t="inlineStr">
        <is>
          <t>The Secret of WOODLAND PHOTOGRAPHY- 1-Day Jan, Apr, Aug, Oct</t>
        </is>
      </c>
      <c r="J258" t="inlineStr">
        <is>
          <t>https://www.alanranger.com/one-day-landscape-photography-workshops</t>
        </is>
      </c>
    </row>
    <row r="259" ht="13.5" customHeight="1" s="1232">
      <c r="A259" s="1348" t="n">
        <v>45999</v>
      </c>
      <c r="B259" s="1349" t="inlineStr">
        <is>
          <t>Pete Morris</t>
        </is>
      </c>
      <c r="C259" s="1350" t="inlineStr">
        <is>
          <t>12. Academy</t>
        </is>
      </c>
      <c r="D259" s="1349" t="inlineStr">
        <is>
          <t>Stripe</t>
        </is>
      </c>
      <c r="E259" s="1351" t="n">
        <v>25</v>
      </c>
      <c r="F259" s="1349" t="inlineStr">
        <is>
          <t>Academy eBook</t>
        </is>
      </c>
      <c r="G259" s="1349" t="inlineStr">
        <is>
          <t>Google</t>
        </is>
      </c>
      <c r="I259" t="inlineStr">
        <is>
          <t>Academy - Membership / eBook / Exams (historical bundle)</t>
        </is>
      </c>
      <c r="J259" t="inlineStr">
        <is>
          <t>https://www.alanranger.com/free-online-photography-course</t>
        </is>
      </c>
    </row>
    <row r="260" ht="13.5" customHeight="1" s="1232">
      <c r="A260" s="1348" t="n">
        <v>45999</v>
      </c>
      <c r="B260" s="1349" t="inlineStr">
        <is>
          <t>Debra Moffat</t>
        </is>
      </c>
      <c r="C260" s="1350" t="inlineStr">
        <is>
          <t>1. Courses/masterclasses</t>
        </is>
      </c>
      <c r="D260" s="1349" t="inlineStr">
        <is>
          <t>Stripe</t>
        </is>
      </c>
      <c r="E260" s="1351" t="n">
        <v>150</v>
      </c>
      <c r="F260" s="1349" t="inlineStr">
        <is>
          <t>Camera Course</t>
        </is>
      </c>
      <c r="G260" s="1349" t="inlineStr">
        <is>
          <t>Google</t>
        </is>
      </c>
      <c r="I260" t="inlineStr">
        <is>
          <t>Beginners Photography Course | 3 Weekly Evening Classes</t>
        </is>
      </c>
      <c r="J260" t="inlineStr">
        <is>
          <t>https://www.alanranger.com/beginners-photography-classes</t>
        </is>
      </c>
    </row>
    <row r="261" ht="13.5" customHeight="1" s="1232">
      <c r="A261" s="1348" t="n">
        <v>45996</v>
      </c>
      <c r="B261" s="1349" t="inlineStr">
        <is>
          <t>Hannah Baker</t>
        </is>
      </c>
      <c r="C261" s="1350" t="inlineStr">
        <is>
          <t>2. Workshops Non Residential</t>
        </is>
      </c>
      <c r="D261" s="1349" t="inlineStr">
        <is>
          <t>Stripe</t>
        </is>
      </c>
      <c r="E261" s="1351" t="n">
        <v>125</v>
      </c>
      <c r="F261" s="1349" t="inlineStr">
        <is>
          <t>Woodland Masterclass</t>
        </is>
      </c>
      <c r="G261" s="1349" t="inlineStr">
        <is>
          <t>Google</t>
        </is>
      </c>
      <c r="I261" t="inlineStr">
        <is>
          <t>The Secret of WOODLAND PHOTOGRAPHY- 1-Day Jan, Apr, Aug, Oct</t>
        </is>
      </c>
      <c r="J261" t="inlineStr">
        <is>
          <t>https://www.alanranger.com/one-day-landscape-photography-workshops</t>
        </is>
      </c>
    </row>
    <row r="262" ht="13.5" customHeight="1" s="1232">
      <c r="A262" s="1348" t="n">
        <v>45996</v>
      </c>
      <c r="B262" s="1349" t="inlineStr">
        <is>
          <t>Arun Ramajayam</t>
        </is>
      </c>
      <c r="C262" s="1350" t="inlineStr">
        <is>
          <t>2. Workshops Non Residential</t>
        </is>
      </c>
      <c r="D262" s="1349" t="inlineStr">
        <is>
          <t>Bank</t>
        </is>
      </c>
      <c r="E262" s="1351" t="n">
        <v>12</v>
      </c>
      <c r="F262" s="1349" t="inlineStr">
        <is>
          <t>Woodland Photography Walk</t>
        </is>
      </c>
      <c r="G262" s="1349" t="inlineStr">
        <is>
          <t>JLR</t>
        </is>
      </c>
      <c r="I262" t="inlineStr">
        <is>
          <t>Woodland Photography Walk - Warwickshire (half-day low-cost)</t>
        </is>
      </c>
      <c r="J262" t="inlineStr">
        <is>
          <t>https://www.alanranger.com/landscape-photography-workshops</t>
        </is>
      </c>
    </row>
    <row r="263" ht="13.5" customHeight="1" s="1232">
      <c r="A263" s="1348" t="n">
        <v>45996</v>
      </c>
      <c r="B263" s="1349" t="inlineStr">
        <is>
          <t>Bridget Connolly</t>
        </is>
      </c>
      <c r="C263" s="1350" t="inlineStr">
        <is>
          <t>2. Workshops Non Residential</t>
        </is>
      </c>
      <c r="D263" s="1349" t="inlineStr">
        <is>
          <t>Bank</t>
        </is>
      </c>
      <c r="E263" s="1351" t="n">
        <v>12</v>
      </c>
      <c r="F263" s="1349" t="inlineStr">
        <is>
          <t>Woodland Photography Walk</t>
        </is>
      </c>
      <c r="G263" s="1349" t="inlineStr">
        <is>
          <t>JLR</t>
        </is>
      </c>
      <c r="I263" t="inlineStr">
        <is>
          <t>Woodland Photography Walk - Warwickshire (half-day low-cost)</t>
        </is>
      </c>
      <c r="J263" t="inlineStr">
        <is>
          <t>https://www.alanranger.com/landscape-photography-workshops</t>
        </is>
      </c>
    </row>
    <row r="264" ht="13.5" customHeight="1" s="1232">
      <c r="A264" s="1348" t="n">
        <v>45996</v>
      </c>
      <c r="B264" s="1349" t="inlineStr">
        <is>
          <t>Navin Soni</t>
        </is>
      </c>
      <c r="C264" s="1350" t="inlineStr">
        <is>
          <t>2. Workshops Non Residential</t>
        </is>
      </c>
      <c r="D264" s="1349" t="inlineStr">
        <is>
          <t>Bank</t>
        </is>
      </c>
      <c r="E264" s="1351" t="n">
        <v>12</v>
      </c>
      <c r="F264" s="1349" t="inlineStr">
        <is>
          <t>Woodland Photography Walk</t>
        </is>
      </c>
      <c r="G264" s="1349" t="inlineStr">
        <is>
          <t>JLR</t>
        </is>
      </c>
      <c r="I264" t="inlineStr">
        <is>
          <t>Woodland Photography Walk - Warwickshire (half-day low-cost)</t>
        </is>
      </c>
      <c r="J264" t="inlineStr">
        <is>
          <t>https://www.alanranger.com/landscape-photography-workshops</t>
        </is>
      </c>
    </row>
    <row r="265" ht="13.5" customHeight="1" s="1232">
      <c r="A265" s="1348" t="n">
        <v>45996</v>
      </c>
      <c r="B265" s="1349" t="inlineStr">
        <is>
          <t>Mahendran Divakaran</t>
        </is>
      </c>
      <c r="C265" s="1350" t="inlineStr">
        <is>
          <t>2. Workshops Non Residential</t>
        </is>
      </c>
      <c r="D265" s="1349" t="inlineStr">
        <is>
          <t>Bank</t>
        </is>
      </c>
      <c r="E265" s="1351" t="n">
        <v>12</v>
      </c>
      <c r="F265" s="1349" t="inlineStr">
        <is>
          <t>Woodland Photography Walk</t>
        </is>
      </c>
      <c r="G265" s="1349" t="inlineStr">
        <is>
          <t>JLR</t>
        </is>
      </c>
      <c r="I265" t="inlineStr">
        <is>
          <t>Woodland Photography Walk - Warwickshire (half-day low-cost)</t>
        </is>
      </c>
      <c r="J265" t="inlineStr">
        <is>
          <t>https://www.alanranger.com/landscape-photography-workshops</t>
        </is>
      </c>
    </row>
    <row r="266" ht="13.5" customHeight="1" s="1232">
      <c r="A266" s="1348" t="n">
        <v>45996</v>
      </c>
      <c r="B266" s="1349" t="inlineStr">
        <is>
          <t>Gopalachary Raghavachary</t>
        </is>
      </c>
      <c r="C266" s="1350" t="inlineStr">
        <is>
          <t>2. Workshops Non Residential</t>
        </is>
      </c>
      <c r="D266" s="1349" t="inlineStr">
        <is>
          <t>Bank</t>
        </is>
      </c>
      <c r="E266" s="1351" t="n">
        <v>15</v>
      </c>
      <c r="F266" s="1349" t="inlineStr">
        <is>
          <t>Woodland Photography Walk</t>
        </is>
      </c>
      <c r="G266" s="1349" t="inlineStr">
        <is>
          <t>JLR</t>
        </is>
      </c>
      <c r="I266" t="inlineStr">
        <is>
          <t>Woodland Photography Walk - Warwickshire (half-day low-cost)</t>
        </is>
      </c>
      <c r="J266" t="inlineStr">
        <is>
          <t>https://www.alanranger.com/landscape-photography-workshops</t>
        </is>
      </c>
    </row>
    <row r="267" ht="13.5" customHeight="1" s="1232">
      <c r="A267" s="1348" t="n">
        <v>45996</v>
      </c>
      <c r="B267" s="1349" t="inlineStr">
        <is>
          <t>Ilkan Akten</t>
        </is>
      </c>
      <c r="C267" s="1350" t="inlineStr">
        <is>
          <t>2. Workshops Non Residential</t>
        </is>
      </c>
      <c r="D267" s="1349" t="inlineStr">
        <is>
          <t>Bank</t>
        </is>
      </c>
      <c r="E267" s="1351" t="n">
        <v>15</v>
      </c>
      <c r="F267" s="1349" t="inlineStr">
        <is>
          <t>Woodland Photography Walk</t>
        </is>
      </c>
      <c r="G267" s="1349" t="inlineStr">
        <is>
          <t>JLR</t>
        </is>
      </c>
      <c r="I267" t="inlineStr">
        <is>
          <t>Woodland Photography Walk - Warwickshire (half-day low-cost)</t>
        </is>
      </c>
      <c r="J267" t="inlineStr">
        <is>
          <t>https://www.alanranger.com/landscape-photography-workshops</t>
        </is>
      </c>
    </row>
    <row r="268" ht="13.5" customHeight="1" s="1232">
      <c r="A268" s="1348" t="n">
        <v>45996</v>
      </c>
      <c r="B268" s="1349" t="inlineStr">
        <is>
          <t>Joseph Symonds</t>
        </is>
      </c>
      <c r="C268" s="1350" t="inlineStr">
        <is>
          <t>2. Workshops Non Residential</t>
        </is>
      </c>
      <c r="D268" s="1349" t="inlineStr">
        <is>
          <t>Bank</t>
        </is>
      </c>
      <c r="E268" s="1351" t="n">
        <v>150</v>
      </c>
      <c r="F268" s="1349" t="inlineStr">
        <is>
          <t>Peak District Photography Workshops Padley Gorge</t>
        </is>
      </c>
      <c r="G268" s="1349" t="inlineStr">
        <is>
          <t>JLR</t>
        </is>
      </c>
      <c r="I268" t="inlineStr">
        <is>
          <t>PEAK DISTRICT Photography Workshops - May, Oct and Nov</t>
        </is>
      </c>
      <c r="J268" t="inlineStr">
        <is>
          <t>https://www.alanranger.com/one-day-landscape-photography-workshops</t>
        </is>
      </c>
    </row>
    <row r="269" ht="13.5" customHeight="1" s="1232">
      <c r="A269" s="1348" t="n">
        <v>45996</v>
      </c>
      <c r="B269" s="1349" t="inlineStr">
        <is>
          <t>Jonathan Swindell</t>
        </is>
      </c>
      <c r="C269" s="1350" t="inlineStr">
        <is>
          <t>2. Workshops Non Residential</t>
        </is>
      </c>
      <c r="D269" s="1349" t="inlineStr">
        <is>
          <t>Bank</t>
        </is>
      </c>
      <c r="E269" s="1351" t="n">
        <v>150</v>
      </c>
      <c r="F269" s="1349" t="inlineStr">
        <is>
          <t>Peak District Photography Workshops Padley Gorge</t>
        </is>
      </c>
      <c r="G269" s="1349" t="inlineStr">
        <is>
          <t>JLR</t>
        </is>
      </c>
      <c r="I269" t="inlineStr">
        <is>
          <t>PEAK DISTRICT Photography Workshops - May, Oct and Nov</t>
        </is>
      </c>
      <c r="J269" t="inlineStr">
        <is>
          <t>https://www.alanranger.com/one-day-landscape-photography-workshops</t>
        </is>
      </c>
    </row>
    <row r="270" ht="13.5" customHeight="1" s="1232">
      <c r="A270" s="1348" t="n">
        <v>45996</v>
      </c>
      <c r="B270" s="1349" t="inlineStr">
        <is>
          <t>Yuvraj Kalbhor</t>
        </is>
      </c>
      <c r="C270" s="1350" t="inlineStr">
        <is>
          <t>2. Workshops Non Residential</t>
        </is>
      </c>
      <c r="D270" s="1349" t="inlineStr">
        <is>
          <t>Bank</t>
        </is>
      </c>
      <c r="E270" s="1351" t="n">
        <v>150</v>
      </c>
      <c r="F270" s="1349" t="inlineStr">
        <is>
          <t>Batsford Arboretum 1-Day Autumn Photography Workshop</t>
        </is>
      </c>
      <c r="G270" s="1349" t="inlineStr">
        <is>
          <t>JLR</t>
        </is>
      </c>
      <c r="I270" t="inlineStr">
        <is>
          <t>BATSFORD Arboretum Autumn Photography Workshops 23 - 31 Oct</t>
        </is>
      </c>
      <c r="J270" t="inlineStr">
        <is>
          <t>https://www.alanranger.com/one-day-landscape-photography-workshops</t>
        </is>
      </c>
    </row>
    <row r="271" ht="13.5" customHeight="1" s="1232">
      <c r="A271" s="1348" t="n">
        <v>45996</v>
      </c>
      <c r="B271" s="1349" t="inlineStr">
        <is>
          <t>Piotr Rachid Chehab</t>
        </is>
      </c>
      <c r="C271" s="1350" t="inlineStr">
        <is>
          <t>2. Workshops Non Residential</t>
        </is>
      </c>
      <c r="D271" s="1349" t="inlineStr">
        <is>
          <t>Bank</t>
        </is>
      </c>
      <c r="E271" s="1351" t="n">
        <v>150</v>
      </c>
      <c r="F271" s="1349" t="inlineStr">
        <is>
          <t>Batsford Arboretum 1-Day Autumn Photography Workshop</t>
        </is>
      </c>
      <c r="G271" s="1349" t="inlineStr">
        <is>
          <t>JLR</t>
        </is>
      </c>
      <c r="I271" t="inlineStr">
        <is>
          <t>BATSFORD Arboretum Autumn Photography Workshops 23 - 31 Oct</t>
        </is>
      </c>
      <c r="J271" t="inlineStr">
        <is>
          <t>https://www.alanranger.com/one-day-landscape-photography-workshops</t>
        </is>
      </c>
    </row>
    <row r="272" ht="13.5" customHeight="1" s="1232">
      <c r="A272" s="1348" t="n">
        <v>45996</v>
      </c>
      <c r="B272" s="1349" t="inlineStr">
        <is>
          <t>Jez Jerome</t>
        </is>
      </c>
      <c r="C272" s="1350" t="inlineStr">
        <is>
          <t>2. Workshops Non Residential</t>
        </is>
      </c>
      <c r="D272" s="1349" t="inlineStr">
        <is>
          <t>Bank</t>
        </is>
      </c>
      <c r="E272" s="1351" t="n">
        <v>99</v>
      </c>
      <c r="F272" s="1349" t="inlineStr">
        <is>
          <t>Batsford Arboretum Autumn Half-Day Photography Workshop</t>
        </is>
      </c>
      <c r="G272" s="1349" t="inlineStr">
        <is>
          <t>JLR</t>
        </is>
      </c>
      <c r="I272" t="inlineStr">
        <is>
          <t>BATSFORD Arboretum Autumn Photography Workshops 23 - 31 Oct</t>
        </is>
      </c>
      <c r="J272" t="inlineStr">
        <is>
          <t>https://www.alanranger.com/one-day-landscape-photography-workshops</t>
        </is>
      </c>
    </row>
    <row r="273" ht="13.5" customHeight="1" s="1232">
      <c r="A273" s="1348" t="n">
        <v>45996</v>
      </c>
      <c r="B273" s="1349" t="inlineStr">
        <is>
          <t>Stuart Webber</t>
        </is>
      </c>
      <c r="C273" s="1350" t="inlineStr">
        <is>
          <t>2. Workshops Non Residential</t>
        </is>
      </c>
      <c r="D273" s="1349" t="inlineStr">
        <is>
          <t>Bank</t>
        </is>
      </c>
      <c r="E273" s="1351" t="n">
        <v>150</v>
      </c>
      <c r="F273" s="1349" t="inlineStr">
        <is>
          <t>Batsford Arboretum 1-Day Autumn Photography Workshop</t>
        </is>
      </c>
      <c r="G273" s="1349" t="inlineStr">
        <is>
          <t>JLR</t>
        </is>
      </c>
      <c r="I273" t="inlineStr">
        <is>
          <t>BATSFORD Arboretum Autumn Photography Workshops 23 - 31 Oct</t>
        </is>
      </c>
      <c r="J273" t="inlineStr">
        <is>
          <t>https://www.alanranger.com/one-day-landscape-photography-workshops</t>
        </is>
      </c>
    </row>
    <row r="274" ht="13.5" customHeight="1" s="1232">
      <c r="A274" s="1348" t="n">
        <v>45996</v>
      </c>
      <c r="B274" s="1349" t="inlineStr">
        <is>
          <t>Ross Harrison-Keefe</t>
        </is>
      </c>
      <c r="C274" s="1350" t="inlineStr">
        <is>
          <t>2. Workshops Non Residential</t>
        </is>
      </c>
      <c r="D274" s="1349" t="inlineStr">
        <is>
          <t>Bank</t>
        </is>
      </c>
      <c r="E274" s="1351" t="n">
        <v>150</v>
      </c>
      <c r="F274" s="1349" t="inlineStr">
        <is>
          <t>Batsford Arboretum 1-Day Autumn Photography Workshop</t>
        </is>
      </c>
      <c r="G274" s="1349" t="inlineStr">
        <is>
          <t>JLR</t>
        </is>
      </c>
      <c r="I274" t="inlineStr">
        <is>
          <t>BATSFORD Arboretum Autumn Photography Workshops 23 - 31 Oct</t>
        </is>
      </c>
      <c r="J274" t="inlineStr">
        <is>
          <t>https://www.alanranger.com/one-day-landscape-photography-workshops</t>
        </is>
      </c>
    </row>
    <row r="275" ht="13.5" customHeight="1" s="1232">
      <c r="A275" s="1348" t="n">
        <v>45996</v>
      </c>
      <c r="B275" s="1349" t="inlineStr">
        <is>
          <t>Tom Eagles</t>
        </is>
      </c>
      <c r="C275" s="1350" t="inlineStr">
        <is>
          <t>2. Workshops Non Residential</t>
        </is>
      </c>
      <c r="D275" s="1349" t="inlineStr">
        <is>
          <t>Bank</t>
        </is>
      </c>
      <c r="E275" s="1351" t="n">
        <v>150</v>
      </c>
      <c r="F275" s="1349" t="inlineStr">
        <is>
          <t>Batsford Arboretum 1-Day Autumn Photography Workshop</t>
        </is>
      </c>
      <c r="G275" s="1349" t="inlineStr">
        <is>
          <t>JLR</t>
        </is>
      </c>
      <c r="I275" t="inlineStr">
        <is>
          <t>BATSFORD Arboretum Autumn Photography Workshops 23 - 31 Oct</t>
        </is>
      </c>
      <c r="J275" t="inlineStr">
        <is>
          <t>https://www.alanranger.com/one-day-landscape-photography-workshops</t>
        </is>
      </c>
    </row>
    <row r="276" ht="13.5" customHeight="1" s="1232">
      <c r="A276" s="1348" t="n">
        <v>45996</v>
      </c>
      <c r="B276" s="1349" t="inlineStr">
        <is>
          <t>Peter Bell</t>
        </is>
      </c>
      <c r="C276" s="1350" t="inlineStr">
        <is>
          <t>2. Workshops Non Residential</t>
        </is>
      </c>
      <c r="D276" s="1349" t="inlineStr">
        <is>
          <t>Bank</t>
        </is>
      </c>
      <c r="E276" s="1351" t="n">
        <v>150</v>
      </c>
      <c r="F276" s="1349" t="inlineStr">
        <is>
          <t>Batsford Arboretum 1-Day Autumn Photography Workshop</t>
        </is>
      </c>
      <c r="G276" s="1349" t="inlineStr">
        <is>
          <t>JLR</t>
        </is>
      </c>
      <c r="I276" t="inlineStr">
        <is>
          <t>BATSFORD Arboretum Autumn Photography Workshops 23 - 31 Oct</t>
        </is>
      </c>
      <c r="J276" t="inlineStr">
        <is>
          <t>https://www.alanranger.com/one-day-landscape-photography-workshops</t>
        </is>
      </c>
    </row>
    <row r="277" ht="13.5" customHeight="1" s="1232">
      <c r="A277" s="1348" t="n">
        <v>45996</v>
      </c>
      <c r="B277" s="1349" t="inlineStr">
        <is>
          <t>Douglas Demori</t>
        </is>
      </c>
      <c r="C277" s="1350" t="inlineStr">
        <is>
          <t>2. Workshops Non Residential</t>
        </is>
      </c>
      <c r="D277" s="1349" t="inlineStr">
        <is>
          <t>Bank</t>
        </is>
      </c>
      <c r="E277" s="1351" t="n">
        <v>99</v>
      </c>
      <c r="F277" s="1349" t="inlineStr">
        <is>
          <t>Batsford Arboretum Autumn Half-Day Photography Workshop</t>
        </is>
      </c>
      <c r="G277" s="1349" t="inlineStr">
        <is>
          <t>JLR</t>
        </is>
      </c>
      <c r="I277" t="inlineStr">
        <is>
          <t>BATSFORD Arboretum Autumn Photography Workshops 23 - 31 Oct</t>
        </is>
      </c>
      <c r="J277" t="inlineStr">
        <is>
          <t>https://www.alanranger.com/one-day-landscape-photography-workshops</t>
        </is>
      </c>
    </row>
    <row r="278" ht="13.5" customHeight="1" s="1232">
      <c r="A278" s="1348" t="n">
        <v>45996</v>
      </c>
      <c r="B278" s="1349" t="inlineStr">
        <is>
          <t>Sara Roberts</t>
        </is>
      </c>
      <c r="C278" s="1350" t="inlineStr">
        <is>
          <t>2. Workshops Non Residential</t>
        </is>
      </c>
      <c r="D278" s="1349" t="inlineStr">
        <is>
          <t>Bank</t>
        </is>
      </c>
      <c r="E278" s="1351" t="n">
        <v>150</v>
      </c>
      <c r="F278" s="1349" t="inlineStr">
        <is>
          <t>Batsford Arboretum 1-Day Autumn Photography Workshop</t>
        </is>
      </c>
      <c r="G278" s="1349" t="inlineStr">
        <is>
          <t>JLR</t>
        </is>
      </c>
      <c r="I278" t="inlineStr">
        <is>
          <t>BATSFORD Arboretum Autumn Photography Workshops 23 - 31 Oct</t>
        </is>
      </c>
      <c r="J278" t="inlineStr">
        <is>
          <t>https://www.alanranger.com/one-day-landscape-photography-workshops</t>
        </is>
      </c>
    </row>
    <row r="279" ht="13.5" customHeight="1" s="1232">
      <c r="A279" s="1348" t="n">
        <v>45996</v>
      </c>
      <c r="B279" s="1349" t="inlineStr">
        <is>
          <t>Lee Bishop</t>
        </is>
      </c>
      <c r="C279" s="1350" t="inlineStr">
        <is>
          <t>2. Workshops Non Residential</t>
        </is>
      </c>
      <c r="D279" s="1349" t="inlineStr">
        <is>
          <t>Bank</t>
        </is>
      </c>
      <c r="E279" s="1351" t="n">
        <v>150</v>
      </c>
      <c r="F279" s="1349" t="inlineStr">
        <is>
          <t>Batsford Arboretum 1-Day Autumn Photography Workshop</t>
        </is>
      </c>
      <c r="G279" s="1349" t="inlineStr">
        <is>
          <t>JLR</t>
        </is>
      </c>
      <c r="I279" t="inlineStr">
        <is>
          <t>BATSFORD Arboretum Autumn Photography Workshops 23 - 31 Oct</t>
        </is>
      </c>
      <c r="J279" t="inlineStr">
        <is>
          <t>https://www.alanranger.com/one-day-landscape-photography-workshops</t>
        </is>
      </c>
    </row>
    <row r="280" ht="13.5" customHeight="1" s="1232">
      <c r="A280" s="1348" t="n">
        <v>45996</v>
      </c>
      <c r="B280" s="1349" t="inlineStr">
        <is>
          <t>Ros Freeman</t>
        </is>
      </c>
      <c r="C280" s="1350" t="inlineStr">
        <is>
          <t>2. Workshops Non Residential</t>
        </is>
      </c>
      <c r="D280" s="1349" t="inlineStr">
        <is>
          <t>Bank</t>
        </is>
      </c>
      <c r="E280" s="1351" t="n">
        <v>99</v>
      </c>
      <c r="F280" s="1349" t="inlineStr">
        <is>
          <t>Batsford Arboretum Autumn Half-Day Photography Workshop</t>
        </is>
      </c>
      <c r="G280" s="1349" t="inlineStr">
        <is>
          <t>JLR</t>
        </is>
      </c>
      <c r="I280" t="inlineStr">
        <is>
          <t>BATSFORD Arboretum Autumn Photography Workshops 23 - 31 Oct</t>
        </is>
      </c>
      <c r="J280" t="inlineStr">
        <is>
          <t>https://www.alanranger.com/one-day-landscape-photography-workshops</t>
        </is>
      </c>
    </row>
    <row r="281" ht="13.5" customHeight="1" s="1232">
      <c r="A281" s="1348" t="n">
        <v>45996</v>
      </c>
      <c r="B281" s="1349" t="inlineStr">
        <is>
          <t>Christopher Franklin</t>
        </is>
      </c>
      <c r="C281" s="1350" t="inlineStr">
        <is>
          <t>2. Workshops Non Residential</t>
        </is>
      </c>
      <c r="D281" s="1349" t="inlineStr">
        <is>
          <t>Bank</t>
        </is>
      </c>
      <c r="E281" s="1351" t="n">
        <v>150</v>
      </c>
      <c r="F281" s="1349" t="inlineStr">
        <is>
          <t>Batsford Arboretum 1-Day Autumn Photography Workshop</t>
        </is>
      </c>
      <c r="G281" s="1349" t="inlineStr">
        <is>
          <t>JLR</t>
        </is>
      </c>
      <c r="I281" t="inlineStr">
        <is>
          <t>BATSFORD Arboretum Autumn Photography Workshops 23 - 31 Oct</t>
        </is>
      </c>
      <c r="J281" t="inlineStr">
        <is>
          <t>https://www.alanranger.com/one-day-landscape-photography-workshops</t>
        </is>
      </c>
    </row>
    <row r="282" ht="13.5" customHeight="1" s="1232">
      <c r="A282" s="1348" t="n">
        <v>45996</v>
      </c>
      <c r="B282" s="1349" t="inlineStr">
        <is>
          <t>Supriya Shailapura Madhusudhana</t>
        </is>
      </c>
      <c r="C282" s="1350" t="inlineStr">
        <is>
          <t>2. Workshops Non Residential</t>
        </is>
      </c>
      <c r="D282" s="1349" t="inlineStr">
        <is>
          <t>Bank</t>
        </is>
      </c>
      <c r="E282" s="1351" t="n">
        <v>150</v>
      </c>
      <c r="F282" s="1349" t="inlineStr">
        <is>
          <t>Batsford Arboretum 1-Day Autumn Photography Workshop</t>
        </is>
      </c>
      <c r="G282" s="1349" t="inlineStr">
        <is>
          <t>JLR</t>
        </is>
      </c>
      <c r="I282" t="inlineStr">
        <is>
          <t>BATSFORD Arboretum Autumn Photography Workshops 23 - 31 Oct</t>
        </is>
      </c>
      <c r="J282" t="inlineStr">
        <is>
          <t>https://www.alanranger.com/one-day-landscape-photography-workshops</t>
        </is>
      </c>
    </row>
    <row r="283" ht="13.5" customHeight="1" s="1232">
      <c r="A283" s="1348" t="n">
        <v>45996</v>
      </c>
      <c r="B283" s="1349" t="inlineStr">
        <is>
          <t>Deepak Kanakandath</t>
        </is>
      </c>
      <c r="C283" s="1350" t="inlineStr">
        <is>
          <t>2. Workshops Non Residential</t>
        </is>
      </c>
      <c r="D283" s="1349" t="inlineStr">
        <is>
          <t>Bank</t>
        </is>
      </c>
      <c r="E283" s="1351" t="n">
        <v>150</v>
      </c>
      <c r="F283" s="1349" t="inlineStr">
        <is>
          <t>Batsford Arboretum 1-Day Autumn Photography Workshop</t>
        </is>
      </c>
      <c r="G283" s="1349" t="inlineStr">
        <is>
          <t>JLR</t>
        </is>
      </c>
      <c r="I283" t="inlineStr">
        <is>
          <t>BATSFORD Arboretum Autumn Photography Workshops 23 - 31 Oct</t>
        </is>
      </c>
      <c r="J283" t="inlineStr">
        <is>
          <t>https://www.alanranger.com/one-day-landscape-photography-workshops</t>
        </is>
      </c>
    </row>
    <row r="284" ht="13.5" customHeight="1" s="1232">
      <c r="A284" s="1348" t="n">
        <v>45996</v>
      </c>
      <c r="B284" s="1349" t="inlineStr">
        <is>
          <t>Simon Worledge</t>
        </is>
      </c>
      <c r="C284" s="1350" t="inlineStr">
        <is>
          <t>2. Workshops Non Residential</t>
        </is>
      </c>
      <c r="D284" s="1349" t="inlineStr">
        <is>
          <t>Bank</t>
        </is>
      </c>
      <c r="E284" s="1351" t="n">
        <v>150</v>
      </c>
      <c r="F284" s="1349" t="inlineStr">
        <is>
          <t>Batsford Arboretum 1-Day Autumn Photography Workshop</t>
        </is>
      </c>
      <c r="G284" s="1349" t="inlineStr">
        <is>
          <t>JLR</t>
        </is>
      </c>
      <c r="I284" t="inlineStr">
        <is>
          <t>BATSFORD Arboretum Autumn Photography Workshops 23 - 31 Oct</t>
        </is>
      </c>
      <c r="J284" t="inlineStr">
        <is>
          <t>https://www.alanranger.com/one-day-landscape-photography-workshops</t>
        </is>
      </c>
    </row>
    <row r="285" ht="13.5" customHeight="1" s="1232">
      <c r="A285" s="1348" t="n">
        <v>45996</v>
      </c>
      <c r="B285" s="1349" t="inlineStr">
        <is>
          <t>Or Shachar</t>
        </is>
      </c>
      <c r="C285" s="1350" t="inlineStr">
        <is>
          <t>2. Workshops Non Residential</t>
        </is>
      </c>
      <c r="D285" s="1349" t="inlineStr">
        <is>
          <t>Bank</t>
        </is>
      </c>
      <c r="E285" s="1351" t="n">
        <v>99</v>
      </c>
      <c r="F285" s="1349" t="inlineStr">
        <is>
          <t>Batsford Arboretum Autumn Half-Day Photography Workshop</t>
        </is>
      </c>
      <c r="G285" s="1349" t="inlineStr">
        <is>
          <t>JLR</t>
        </is>
      </c>
      <c r="I285" t="inlineStr">
        <is>
          <t>BATSFORD Arboretum Autumn Photography Workshops 23 - 31 Oct</t>
        </is>
      </c>
      <c r="J285" t="inlineStr">
        <is>
          <t>https://www.alanranger.com/one-day-landscape-photography-workshops</t>
        </is>
      </c>
    </row>
    <row r="286" ht="13.5" customHeight="1" s="1232">
      <c r="A286" s="1348" t="n">
        <v>45992</v>
      </c>
      <c r="B286" s="1349" t="inlineStr">
        <is>
          <t>Billie Jo Whatley</t>
        </is>
      </c>
      <c r="C286" s="1350" t="inlineStr">
        <is>
          <t>12. Academy</t>
        </is>
      </c>
      <c r="D286" s="1349" t="inlineStr">
        <is>
          <t>Stripe</t>
        </is>
      </c>
      <c r="E286" s="1351" t="n">
        <v>20</v>
      </c>
      <c r="F286" s="1349" t="inlineStr">
        <is>
          <t>15 Exams</t>
        </is>
      </c>
      <c r="G286" s="1349" t="inlineStr">
        <is>
          <t>Google</t>
        </is>
      </c>
      <c r="I286" t="inlineStr">
        <is>
          <t>Academy - Membership / eBook / Exams (historical bundle)</t>
        </is>
      </c>
      <c r="J286" t="inlineStr">
        <is>
          <t>https://www.alanranger.com/free-online-photography-course</t>
        </is>
      </c>
    </row>
    <row r="287" ht="13.5" customHeight="1" s="1232">
      <c r="A287" s="1348" t="n">
        <v>45992</v>
      </c>
      <c r="B287" s="1349" t="inlineStr">
        <is>
          <t>Mentoring Subs</t>
        </is>
      </c>
      <c r="C287" s="1350" t="inlineStr">
        <is>
          <t>6. Mentoring</t>
        </is>
      </c>
      <c r="D287" s="1349" t="inlineStr">
        <is>
          <t>Stripe</t>
        </is>
      </c>
      <c r="E287" s="1351" t="n">
        <v>40</v>
      </c>
      <c r="F287" s="1349" t="inlineStr">
        <is>
          <t>Mentoring Subs</t>
        </is>
      </c>
      <c r="G287" s="1349" t="inlineStr">
        <is>
          <t>Existing</t>
        </is>
      </c>
      <c r="I287" t="inlineStr">
        <is>
          <t>Mentoring - Monthly Subscription</t>
        </is>
      </c>
      <c r="J287" t="inlineStr">
        <is>
          <t>https://www.alanranger.com/photography-mentoring-online-assignments</t>
        </is>
      </c>
    </row>
    <row r="288" ht="13.5" customHeight="1" s="1232">
      <c r="A288" s="1348" t="n"/>
      <c r="B288" s="1349" t="n"/>
      <c r="C288" s="1350" t="n"/>
      <c r="D288" s="1349" t="n"/>
      <c r="E288" s="1351" t="n"/>
      <c r="F288" s="1349" t="n"/>
      <c r="G288" s="1349" t="n"/>
    </row>
    <row r="289" ht="13.5" customHeight="1" s="1232">
      <c r="A289" s="1348" t="n">
        <v>45988</v>
      </c>
      <c r="B289" s="1349" t="inlineStr">
        <is>
          <t>Shannan Richards</t>
        </is>
      </c>
      <c r="C289" s="1350" t="inlineStr">
        <is>
          <t>7. 1-2-1</t>
        </is>
      </c>
      <c r="D289" s="1349" t="inlineStr">
        <is>
          <t>Stripe</t>
        </is>
      </c>
      <c r="E289" s="1351" t="n">
        <v>240</v>
      </c>
      <c r="F289" s="1349" t="inlineStr">
        <is>
          <t>4hrs 1-2-1</t>
        </is>
      </c>
      <c r="G289" s="1349" t="inlineStr">
        <is>
          <t>Google</t>
        </is>
      </c>
      <c r="I289" t="inlineStr">
        <is>
          <t>1-2-1 Package - Zoom Multi-Session</t>
        </is>
      </c>
      <c r="J289" t="inlineStr">
        <is>
          <t>https://www.alanranger.com/photography-lessons-online-121</t>
        </is>
      </c>
    </row>
    <row r="290" ht="13.5" customHeight="1" s="1232">
      <c r="A290" s="1348" t="n">
        <v>45983</v>
      </c>
      <c r="B290" s="1349" t="inlineStr">
        <is>
          <t>Susan Rollason</t>
        </is>
      </c>
      <c r="C290" s="1350" t="inlineStr">
        <is>
          <t>1. Courses/masterclasses</t>
        </is>
      </c>
      <c r="D290" s="1349" t="inlineStr">
        <is>
          <t>Stripe</t>
        </is>
      </c>
      <c r="E290" s="1351" t="n">
        <v>150</v>
      </c>
      <c r="F290" s="1349" t="inlineStr">
        <is>
          <t>Beginners Camera</t>
        </is>
      </c>
      <c r="G290" s="1349" t="inlineStr">
        <is>
          <t>Google</t>
        </is>
      </c>
      <c r="I290" t="inlineStr">
        <is>
          <t>5 Week Beginners Photography Course (RETIRED format)</t>
        </is>
      </c>
      <c r="J290" t="inlineStr">
        <is>
          <t>https://www.alanranger.com/beginners-photography-classes</t>
        </is>
      </c>
    </row>
    <row r="291" ht="13.5" customHeight="1" s="1232">
      <c r="A291" s="1348" t="n">
        <v>45983</v>
      </c>
      <c r="B291" s="1349" t="inlineStr">
        <is>
          <t>Clare Millington</t>
        </is>
      </c>
      <c r="C291" s="1350" t="inlineStr">
        <is>
          <t>2. Workshops Non Residential</t>
        </is>
      </c>
      <c r="D291" s="1349" t="inlineStr">
        <is>
          <t>Stripe</t>
        </is>
      </c>
      <c r="E291" s="1351" t="n">
        <v>125</v>
      </c>
      <c r="F291" s="1349" t="inlineStr">
        <is>
          <t>woodland Masterclass</t>
        </is>
      </c>
      <c r="G291" s="1349" t="inlineStr">
        <is>
          <t>Google</t>
        </is>
      </c>
      <c r="I291" t="inlineStr">
        <is>
          <t>The Secret of WOODLAND PHOTOGRAPHY- 1-Day Jan, Apr, Aug, Oct</t>
        </is>
      </c>
      <c r="J291" t="inlineStr">
        <is>
          <t>https://www.alanranger.com/one-day-landscape-photography-workshops</t>
        </is>
      </c>
    </row>
    <row r="292" ht="13.5" customHeight="1" s="1232">
      <c r="A292" s="1348" t="n">
        <v>45976</v>
      </c>
      <c r="B292" s="1349" t="inlineStr">
        <is>
          <t>Jimmy Waymire</t>
        </is>
      </c>
      <c r="C292" s="1350" t="inlineStr">
        <is>
          <t>12. Academy</t>
        </is>
      </c>
      <c r="D292" s="1349" t="inlineStr">
        <is>
          <t>Stripe</t>
        </is>
      </c>
      <c r="E292" s="1351" t="n">
        <v>20</v>
      </c>
      <c r="F292" s="1349" t="inlineStr">
        <is>
          <t>Exams Module</t>
        </is>
      </c>
      <c r="G292" s="1349" t="inlineStr">
        <is>
          <t>Google</t>
        </is>
      </c>
      <c r="I292" t="inlineStr">
        <is>
          <t>Academy - Membership / eBook / Exams (historical bundle)</t>
        </is>
      </c>
      <c r="J292" t="inlineStr">
        <is>
          <t>https://www.alanranger.com/free-online-photography-course</t>
        </is>
      </c>
    </row>
    <row r="293" ht="13.5" customHeight="1" s="1232">
      <c r="A293" s="1348" t="n">
        <v>45975</v>
      </c>
      <c r="B293" s="1349" t="inlineStr">
        <is>
          <t>Helen Cherry</t>
        </is>
      </c>
      <c r="C293" s="1350" t="inlineStr">
        <is>
          <t>6. Mentoring</t>
        </is>
      </c>
      <c r="D293" s="1349" t="inlineStr">
        <is>
          <t>Stripe</t>
        </is>
      </c>
      <c r="E293" s="1351" t="n">
        <v>240</v>
      </c>
      <c r="F293" s="1349" t="inlineStr">
        <is>
          <t>6 x 1hr Zooms</t>
        </is>
      </c>
      <c r="G293" s="1349" t="inlineStr">
        <is>
          <t>Google</t>
        </is>
      </c>
      <c r="I293" t="inlineStr">
        <is>
          <t>1-2-1 Package - 4 x 1hr Zoom</t>
        </is>
      </c>
      <c r="J293" t="inlineStr">
        <is>
          <t>https://www.alanranger.com/photography-lessons-online-121</t>
        </is>
      </c>
    </row>
    <row r="294" ht="13.5" customHeight="1" s="1232">
      <c r="A294" s="1348" t="n">
        <v>45974</v>
      </c>
      <c r="B294" s="1349" t="inlineStr">
        <is>
          <t>Anant Bhatia</t>
        </is>
      </c>
      <c r="C294" s="1350" t="inlineStr">
        <is>
          <t>2. Workshops Non Residential</t>
        </is>
      </c>
      <c r="D294" s="1349" t="inlineStr">
        <is>
          <t>Bank</t>
        </is>
      </c>
      <c r="E294" s="1351" t="n">
        <v>125</v>
      </c>
      <c r="F294" s="1349" t="inlineStr">
        <is>
          <t>The Secrets of Woodland Photography - 1-Day Masterclass</t>
        </is>
      </c>
      <c r="G294" s="1349" t="inlineStr">
        <is>
          <t>JLR</t>
        </is>
      </c>
      <c r="I294" t="inlineStr">
        <is>
          <t>The Secret of WOODLAND PHOTOGRAPHY- 1-Day Jan, Apr, Aug, Oct</t>
        </is>
      </c>
      <c r="J294" t="inlineStr">
        <is>
          <t>https://www.alanranger.com/one-day-landscape-photography-workshops</t>
        </is>
      </c>
    </row>
    <row r="295" ht="13.5" customHeight="1" s="1232">
      <c r="A295" s="1348" t="n">
        <v>45974</v>
      </c>
      <c r="B295" s="1349" t="inlineStr">
        <is>
          <t>Paul Ebosele</t>
        </is>
      </c>
      <c r="C295" s="1350" t="inlineStr">
        <is>
          <t>1. Courses/masterclasses</t>
        </is>
      </c>
      <c r="D295" s="1349" t="inlineStr">
        <is>
          <t>Bank</t>
        </is>
      </c>
      <c r="E295" s="1351" t="n">
        <v>150</v>
      </c>
      <c r="F295" s="1349" t="inlineStr">
        <is>
          <t>Photo Editing Classes - Lightroom Classic</t>
        </is>
      </c>
      <c r="G295" s="1349" t="inlineStr">
        <is>
          <t>JLR</t>
        </is>
      </c>
      <c r="I295" t="inlineStr">
        <is>
          <t>Lightroom Courses for Beginners Photo Editing - Coventry</t>
        </is>
      </c>
      <c r="J295" t="inlineStr">
        <is>
          <t>https://www.alanranger.com/photo-editing-course-coventry</t>
        </is>
      </c>
    </row>
    <row r="296" ht="13.5" customHeight="1" s="1232">
      <c r="A296" s="1348" t="n">
        <v>45974</v>
      </c>
      <c r="B296" s="1349" t="inlineStr">
        <is>
          <t>Blessent George</t>
        </is>
      </c>
      <c r="C296" s="1350" t="inlineStr">
        <is>
          <t>1. Courses/masterclasses</t>
        </is>
      </c>
      <c r="D296" s="1349" t="inlineStr">
        <is>
          <t>Bank</t>
        </is>
      </c>
      <c r="E296" s="1351" t="n">
        <v>150</v>
      </c>
      <c r="F296" s="1349" t="inlineStr">
        <is>
          <t>Photo Editing Classes - Lightroom Classic</t>
        </is>
      </c>
      <c r="G296" s="1349" t="inlineStr">
        <is>
          <t>JLR</t>
        </is>
      </c>
      <c r="I296" t="inlineStr">
        <is>
          <t>Lightroom Courses for Beginners Photo Editing - Coventry</t>
        </is>
      </c>
      <c r="J296" t="inlineStr">
        <is>
          <t>https://www.alanranger.com/photo-editing-course-coventry</t>
        </is>
      </c>
    </row>
    <row r="297" ht="13.5" customHeight="1" s="1232">
      <c r="A297" s="1348" t="n">
        <v>45974</v>
      </c>
      <c r="B297" s="1349" t="inlineStr">
        <is>
          <t>Joel Wymer</t>
        </is>
      </c>
      <c r="C297" s="1350" t="inlineStr">
        <is>
          <t>1. Courses/masterclasses</t>
        </is>
      </c>
      <c r="D297" s="1349" t="inlineStr">
        <is>
          <t>Bank</t>
        </is>
      </c>
      <c r="E297" s="1351" t="n">
        <v>150</v>
      </c>
      <c r="F297" s="1349" t="inlineStr">
        <is>
          <t>Camera Courses For Beginners</t>
        </is>
      </c>
      <c r="G297" s="1349" t="inlineStr">
        <is>
          <t>JLR</t>
        </is>
      </c>
      <c r="I297" t="inlineStr">
        <is>
          <t>Beginners Photography Course | 3 Weekly Evening Classes</t>
        </is>
      </c>
      <c r="J297" t="inlineStr">
        <is>
          <t>https://www.alanranger.com/beginners-photography-classes</t>
        </is>
      </c>
    </row>
    <row r="298" ht="13.5" customHeight="1" s="1232">
      <c r="A298" s="1348" t="n">
        <v>45974</v>
      </c>
      <c r="B298" s="1349" t="inlineStr">
        <is>
          <t>Sriram Yarlagadda</t>
        </is>
      </c>
      <c r="C298" s="1350" t="inlineStr">
        <is>
          <t>1. Courses/masterclasses</t>
        </is>
      </c>
      <c r="D298" s="1349" t="inlineStr">
        <is>
          <t>Bank</t>
        </is>
      </c>
      <c r="E298" s="1351" t="n">
        <v>150</v>
      </c>
      <c r="F298" s="1349" t="inlineStr">
        <is>
          <t>Camera Courses For Beginners</t>
        </is>
      </c>
      <c r="G298" s="1349" t="inlineStr">
        <is>
          <t>JLR</t>
        </is>
      </c>
      <c r="I298" t="inlineStr">
        <is>
          <t>Beginners Photography Course | 3 Weekly Evening Classes</t>
        </is>
      </c>
      <c r="J298" t="inlineStr">
        <is>
          <t>https://www.alanranger.com/beginners-photography-classes</t>
        </is>
      </c>
    </row>
    <row r="299" ht="13.5" customHeight="1" s="1232">
      <c r="A299" s="1348" t="n">
        <v>45974</v>
      </c>
      <c r="B299" s="1349" t="inlineStr">
        <is>
          <t>Christopher Murray</t>
        </is>
      </c>
      <c r="C299" s="1350" t="inlineStr">
        <is>
          <t>1. Courses/masterclasses</t>
        </is>
      </c>
      <c r="D299" s="1349" t="inlineStr">
        <is>
          <t>Bank</t>
        </is>
      </c>
      <c r="E299" s="1351" t="n">
        <v>150</v>
      </c>
      <c r="F299" s="1349" t="inlineStr">
        <is>
          <t>Camera Courses For Beginners</t>
        </is>
      </c>
      <c r="G299" s="1349" t="inlineStr">
        <is>
          <t>JLR</t>
        </is>
      </c>
      <c r="I299" t="inlineStr">
        <is>
          <t>Beginners Photography Course | 3 Weekly Evening Classes</t>
        </is>
      </c>
      <c r="J299" t="inlineStr">
        <is>
          <t>https://www.alanranger.com/beginners-photography-classes</t>
        </is>
      </c>
    </row>
    <row r="300" ht="13.5" customHeight="1" s="1232">
      <c r="A300" s="1348" t="n">
        <v>45974</v>
      </c>
      <c r="B300" s="1349" t="inlineStr">
        <is>
          <t>Shishir Kutumbe</t>
        </is>
      </c>
      <c r="C300" s="1350" t="inlineStr">
        <is>
          <t>1. Courses/masterclasses</t>
        </is>
      </c>
      <c r="D300" s="1349" t="inlineStr">
        <is>
          <t>Bank</t>
        </is>
      </c>
      <c r="E300" s="1351" t="n">
        <v>150</v>
      </c>
      <c r="F300" s="1349" t="inlineStr">
        <is>
          <t>Camera Courses For Beginners</t>
        </is>
      </c>
      <c r="G300" s="1349" t="inlineStr">
        <is>
          <t>JLR</t>
        </is>
      </c>
      <c r="I300" t="inlineStr">
        <is>
          <t>Beginners Photography Course | 3 Weekly Evening Classes</t>
        </is>
      </c>
      <c r="J300" t="inlineStr">
        <is>
          <t>https://www.alanranger.com/beginners-photography-classes</t>
        </is>
      </c>
    </row>
    <row r="301" ht="13.5" customHeight="1" s="1232">
      <c r="A301" s="1348" t="n">
        <v>45974</v>
      </c>
      <c r="B301" s="1349" t="inlineStr">
        <is>
          <t>Britt Van Zeeland</t>
        </is>
      </c>
      <c r="C301" s="1350" t="inlineStr">
        <is>
          <t>1. Courses/masterclasses</t>
        </is>
      </c>
      <c r="D301" s="1349" t="inlineStr">
        <is>
          <t>Bank</t>
        </is>
      </c>
      <c r="E301" s="1351" t="n">
        <v>150</v>
      </c>
      <c r="F301" s="1349" t="inlineStr">
        <is>
          <t>Camera Courses For Beginners</t>
        </is>
      </c>
      <c r="G301" s="1349" t="inlineStr">
        <is>
          <t>JLR</t>
        </is>
      </c>
      <c r="I301" t="inlineStr">
        <is>
          <t>Beginners Photography Course | 3 Weekly Evening Classes</t>
        </is>
      </c>
      <c r="J301" t="inlineStr">
        <is>
          <t>https://www.alanranger.com/beginners-photography-classes</t>
        </is>
      </c>
    </row>
    <row r="302" ht="13.5" customHeight="1" s="1232">
      <c r="A302" s="1348" t="n">
        <v>45974</v>
      </c>
      <c r="B302" s="1349" t="inlineStr">
        <is>
          <t>KrishnaKumar Kuttan</t>
        </is>
      </c>
      <c r="C302" s="1350" t="inlineStr">
        <is>
          <t>1. Courses/masterclasses</t>
        </is>
      </c>
      <c r="D302" s="1349" t="inlineStr">
        <is>
          <t>Bank</t>
        </is>
      </c>
      <c r="E302" s="1351" t="n">
        <v>150</v>
      </c>
      <c r="F302" s="1349" t="inlineStr">
        <is>
          <t>Camera Courses For Beginners</t>
        </is>
      </c>
      <c r="G302" s="1349" t="inlineStr">
        <is>
          <t>JLR</t>
        </is>
      </c>
      <c r="I302" t="inlineStr">
        <is>
          <t>Beginners Photography Course | 3 Weekly Evening Classes</t>
        </is>
      </c>
      <c r="J302" t="inlineStr">
        <is>
          <t>https://www.alanranger.com/beginners-photography-classes</t>
        </is>
      </c>
    </row>
    <row r="303" ht="13.5" customHeight="1" s="1232">
      <c r="A303" s="1348" t="n">
        <v>45974</v>
      </c>
      <c r="B303" s="1349" t="inlineStr">
        <is>
          <t>Naveen Lakshmanan</t>
        </is>
      </c>
      <c r="C303" s="1350" t="inlineStr">
        <is>
          <t>2. Workshops Non Residential</t>
        </is>
      </c>
      <c r="D303" s="1349" t="inlineStr">
        <is>
          <t>Bank</t>
        </is>
      </c>
      <c r="E303" s="1351" t="n">
        <v>50</v>
      </c>
      <c r="F303" s="1349" t="inlineStr">
        <is>
          <t>Sunset Photographic Workshop - Chesterton Windmill</t>
        </is>
      </c>
      <c r="G303" s="1349" t="inlineStr">
        <is>
          <t>JLR</t>
        </is>
      </c>
      <c r="I303" t="inlineStr">
        <is>
          <t>Photography Workshops CHESTERTON WINDMILL - Warwickshire</t>
        </is>
      </c>
      <c r="J303" t="inlineStr">
        <is>
          <t>https://www.alanranger.com/landscape-photography-workshops</t>
        </is>
      </c>
    </row>
    <row r="304" ht="13.5" customHeight="1" s="1232">
      <c r="A304" s="1348" t="n">
        <v>45974</v>
      </c>
      <c r="B304" s="1349" t="inlineStr">
        <is>
          <t>Matthew Davies</t>
        </is>
      </c>
      <c r="C304" s="1350" t="inlineStr">
        <is>
          <t>2. Workshops Non Residential</t>
        </is>
      </c>
      <c r="D304" s="1349" t="inlineStr">
        <is>
          <t>Bank</t>
        </is>
      </c>
      <c r="E304" s="1351" t="n">
        <v>50</v>
      </c>
      <c r="F304" s="1349" t="inlineStr">
        <is>
          <t>Sunset Photographic Workshop - Chesterton Windmill</t>
        </is>
      </c>
      <c r="G304" s="1349" t="inlineStr">
        <is>
          <t>JLR</t>
        </is>
      </c>
      <c r="I304" t="inlineStr">
        <is>
          <t>Photography Workshops CHESTERTON WINDMILL - Warwickshire</t>
        </is>
      </c>
      <c r="J304" t="inlineStr">
        <is>
          <t>https://www.alanranger.com/landscape-photography-workshops</t>
        </is>
      </c>
    </row>
    <row r="305" ht="13.5" customHeight="1" s="1232">
      <c r="A305" s="1348" t="n">
        <v>45974</v>
      </c>
      <c r="B305" s="1349" t="inlineStr">
        <is>
          <t>Scott Bremner</t>
        </is>
      </c>
      <c r="C305" s="1350" t="inlineStr">
        <is>
          <t>1. Courses/masterclasses</t>
        </is>
      </c>
      <c r="D305" s="1349" t="inlineStr">
        <is>
          <t>Bank</t>
        </is>
      </c>
      <c r="E305" s="1351" t="n">
        <v>150</v>
      </c>
      <c r="F305" s="1349" t="inlineStr">
        <is>
          <t>Photography Mentoring for Qualification</t>
        </is>
      </c>
      <c r="G305" s="1349" t="inlineStr">
        <is>
          <t>JLR</t>
        </is>
      </c>
      <c r="I305" t="inlineStr">
        <is>
          <t>RPS Mentoring Course (historical)</t>
        </is>
      </c>
      <c r="J305" t="inlineStr">
        <is>
          <t>https://www.alanranger.com/rps-courses-mentoring-distinctions</t>
        </is>
      </c>
    </row>
    <row r="306" ht="13.5" customHeight="1" s="1232">
      <c r="A306" s="1348" t="n">
        <v>45974</v>
      </c>
      <c r="B306" s="1349" t="inlineStr">
        <is>
          <t>Gregory Moys</t>
        </is>
      </c>
      <c r="C306" s="1350" t="inlineStr">
        <is>
          <t>2. Workshops Non Residential</t>
        </is>
      </c>
      <c r="D306" s="1349" t="inlineStr">
        <is>
          <t>Bank</t>
        </is>
      </c>
      <c r="E306" s="1351" t="n">
        <v>50</v>
      </c>
      <c r="F306" s="1349" t="inlineStr">
        <is>
          <t>Evening Urban Architecture Photography Workshop</t>
        </is>
      </c>
      <c r="G306" s="1349" t="inlineStr">
        <is>
          <t>JLR</t>
        </is>
      </c>
      <c r="I306" t="inlineStr">
        <is>
          <t>URBAN ARCHITECTURE Photography Workshops - Coventry 9 Sep</t>
        </is>
      </c>
      <c r="J306" t="inlineStr">
        <is>
          <t>https://www.alanranger.com/landscape-photography-workshops</t>
        </is>
      </c>
    </row>
    <row r="307" ht="13.5" customHeight="1" s="1232">
      <c r="A307" s="1348" t="n">
        <v>45974</v>
      </c>
      <c r="B307" s="1349" t="inlineStr">
        <is>
          <t>Charlie Gladden</t>
        </is>
      </c>
      <c r="C307" s="1350" t="inlineStr">
        <is>
          <t>2. Workshops Non Residential</t>
        </is>
      </c>
      <c r="D307" s="1349" t="inlineStr">
        <is>
          <t>Bank</t>
        </is>
      </c>
      <c r="E307" s="1351" t="n">
        <v>50</v>
      </c>
      <c r="F307" s="1349" t="inlineStr">
        <is>
          <t>Sunset Photographic Workshop - Chesterton Windmill</t>
        </is>
      </c>
      <c r="G307" s="1349" t="inlineStr">
        <is>
          <t>JLR</t>
        </is>
      </c>
      <c r="I307" t="inlineStr">
        <is>
          <t>Photography Workshops CHESTERTON WINDMILL - Warwickshire</t>
        </is>
      </c>
      <c r="J307" t="inlineStr">
        <is>
          <t>https://www.alanranger.com/landscape-photography-workshops</t>
        </is>
      </c>
    </row>
    <row r="308" ht="13.5" customHeight="1" s="1232">
      <c r="A308" s="1348" t="n">
        <v>45974</v>
      </c>
      <c r="B308" s="1349" t="inlineStr">
        <is>
          <t>Ileana Sandoiu</t>
        </is>
      </c>
      <c r="C308" s="1350" t="inlineStr">
        <is>
          <t>2. Workshops Non Residential</t>
        </is>
      </c>
      <c r="D308" s="1349" t="inlineStr">
        <is>
          <t>Bank</t>
        </is>
      </c>
      <c r="E308" s="1351" t="n">
        <v>50</v>
      </c>
      <c r="F308" s="1349" t="inlineStr">
        <is>
          <t>Sunset Photographic Workshop - Chesterton Windmill</t>
        </is>
      </c>
      <c r="G308" s="1349" t="inlineStr">
        <is>
          <t>JLR</t>
        </is>
      </c>
      <c r="I308" t="inlineStr">
        <is>
          <t>Photography Workshops CHESTERTON WINDMILL - Warwickshire</t>
        </is>
      </c>
      <c r="J308" t="inlineStr">
        <is>
          <t>https://www.alanranger.com/landscape-photography-workshops</t>
        </is>
      </c>
    </row>
    <row r="309" ht="13.5" customHeight="1" s="1232">
      <c r="A309" s="1348" t="n">
        <v>45974</v>
      </c>
      <c r="B309" s="1349" t="inlineStr">
        <is>
          <t>Ana Alexa</t>
        </is>
      </c>
      <c r="C309" s="1350" t="inlineStr">
        <is>
          <t>2. Workshops Non Residential</t>
        </is>
      </c>
      <c r="D309" s="1349" t="inlineStr">
        <is>
          <t>Bank</t>
        </is>
      </c>
      <c r="E309" s="1351" t="n">
        <v>50</v>
      </c>
      <c r="F309" s="1349" t="inlineStr">
        <is>
          <t>Sunset Photographic Workshop - Chesterton Windmill</t>
        </is>
      </c>
      <c r="G309" s="1349" t="inlineStr">
        <is>
          <t>JLR</t>
        </is>
      </c>
      <c r="I309" t="inlineStr">
        <is>
          <t>Photography Workshops CHESTERTON WINDMILL - Warwickshire</t>
        </is>
      </c>
      <c r="J309" t="inlineStr">
        <is>
          <t>https://www.alanranger.com/landscape-photography-workshops</t>
        </is>
      </c>
    </row>
    <row r="310" ht="13.5" customHeight="1" s="1232">
      <c r="A310" s="1348" t="n">
        <v>45974</v>
      </c>
      <c r="B310" s="1349" t="inlineStr">
        <is>
          <t>Ergin Tasdelen</t>
        </is>
      </c>
      <c r="C310" s="1350" t="inlineStr">
        <is>
          <t>1. Courses/masterclasses</t>
        </is>
      </c>
      <c r="D310" s="1349" t="inlineStr">
        <is>
          <t>Bank</t>
        </is>
      </c>
      <c r="E310" s="1351" t="n">
        <v>150</v>
      </c>
      <c r="F310" s="1349" t="inlineStr">
        <is>
          <t>Camera Courses For Beginners</t>
        </is>
      </c>
      <c r="G310" s="1349" t="inlineStr">
        <is>
          <t>JLR</t>
        </is>
      </c>
      <c r="I310" t="inlineStr">
        <is>
          <t>Beginners Photography Course | 3 Weekly Evening Classes</t>
        </is>
      </c>
      <c r="J310" t="inlineStr">
        <is>
          <t>https://www.alanranger.com/beginners-photography-classes</t>
        </is>
      </c>
    </row>
    <row r="311" ht="13.5" customHeight="1" s="1232">
      <c r="A311" s="1348" t="n">
        <v>45974</v>
      </c>
      <c r="B311" s="1349" t="inlineStr">
        <is>
          <t>Naushad Ali Solanki</t>
        </is>
      </c>
      <c r="C311" s="1350" t="inlineStr">
        <is>
          <t>1. Courses/masterclasses</t>
        </is>
      </c>
      <c r="D311" s="1349" t="inlineStr">
        <is>
          <t>Bank</t>
        </is>
      </c>
      <c r="E311" s="1351" t="n">
        <v>150</v>
      </c>
      <c r="F311" s="1349" t="inlineStr">
        <is>
          <t>Camera Courses For Beginners</t>
        </is>
      </c>
      <c r="G311" s="1349" t="inlineStr">
        <is>
          <t>JLR</t>
        </is>
      </c>
      <c r="I311" t="inlineStr">
        <is>
          <t>Beginners Photography Course | 3 Weekly Evening Classes</t>
        </is>
      </c>
      <c r="J311" t="inlineStr">
        <is>
          <t>https://www.alanranger.com/beginners-photography-classes</t>
        </is>
      </c>
    </row>
    <row r="312" ht="13.5" customHeight="1" s="1232">
      <c r="A312" s="1348" t="n">
        <v>45974</v>
      </c>
      <c r="B312" s="1349" t="inlineStr">
        <is>
          <t>Murali Mohan Suryanarayana</t>
        </is>
      </c>
      <c r="C312" s="1350" t="inlineStr">
        <is>
          <t>1. Courses/masterclasses</t>
        </is>
      </c>
      <c r="D312" s="1349" t="inlineStr">
        <is>
          <t>Bank</t>
        </is>
      </c>
      <c r="E312" s="1351" t="n">
        <v>150</v>
      </c>
      <c r="F312" s="1349" t="inlineStr">
        <is>
          <t>Camera Courses For Beginners</t>
        </is>
      </c>
      <c r="G312" s="1349" t="inlineStr">
        <is>
          <t>JLR</t>
        </is>
      </c>
      <c r="I312" t="inlineStr">
        <is>
          <t>Beginners Photography Course | 3 Weekly Evening Classes</t>
        </is>
      </c>
      <c r="J312" t="inlineStr">
        <is>
          <t>https://www.alanranger.com/beginners-photography-classes</t>
        </is>
      </c>
    </row>
    <row r="313" ht="13.5" customHeight="1" s="1232">
      <c r="A313" s="1348" t="n">
        <v>45974</v>
      </c>
      <c r="B313" s="1349" t="inlineStr">
        <is>
          <t>Craig Gedrim</t>
        </is>
      </c>
      <c r="C313" s="1350" t="inlineStr">
        <is>
          <t>1. Courses/masterclasses</t>
        </is>
      </c>
      <c r="D313" s="1349" t="inlineStr">
        <is>
          <t>Bank</t>
        </is>
      </c>
      <c r="E313" s="1351" t="n">
        <v>150</v>
      </c>
      <c r="F313" s="1349" t="inlineStr">
        <is>
          <t>Camera Courses For Beginners</t>
        </is>
      </c>
      <c r="G313" s="1349" t="inlineStr">
        <is>
          <t>JLR</t>
        </is>
      </c>
      <c r="I313" t="inlineStr">
        <is>
          <t>Beginners Photography Course | 3 Weekly Evening Classes</t>
        </is>
      </c>
      <c r="J313" t="inlineStr">
        <is>
          <t>https://www.alanranger.com/beginners-photography-classes</t>
        </is>
      </c>
    </row>
    <row r="314" ht="13.5" customHeight="1" s="1232">
      <c r="A314" s="1348" t="n">
        <v>45974</v>
      </c>
      <c r="B314" s="1349" t="inlineStr">
        <is>
          <t>Billie Whyte</t>
        </is>
      </c>
      <c r="C314" s="1350" t="inlineStr">
        <is>
          <t>1. Courses/masterclasses</t>
        </is>
      </c>
      <c r="D314" s="1349" t="inlineStr">
        <is>
          <t>Bank</t>
        </is>
      </c>
      <c r="E314" s="1351" t="n">
        <v>150</v>
      </c>
      <c r="F314" s="1349" t="inlineStr">
        <is>
          <t>Camera Courses For Beginners</t>
        </is>
      </c>
      <c r="G314" s="1349" t="inlineStr">
        <is>
          <t>JLR</t>
        </is>
      </c>
      <c r="I314" t="inlineStr">
        <is>
          <t>Beginners Photography Course | 3 Weekly Evening Classes</t>
        </is>
      </c>
      <c r="J314" t="inlineStr">
        <is>
          <t>https://www.alanranger.com/beginners-photography-classes</t>
        </is>
      </c>
    </row>
    <row r="315" ht="13.5" customHeight="1" s="1232">
      <c r="A315" s="1348" t="n">
        <v>45973</v>
      </c>
      <c r="B315" s="1349" t="inlineStr">
        <is>
          <t>Matthew Partridge</t>
        </is>
      </c>
      <c r="C315" s="1350" t="inlineStr">
        <is>
          <t>1. Courses/masterclasses</t>
        </is>
      </c>
      <c r="D315" s="1349" t="inlineStr">
        <is>
          <t>Stripe</t>
        </is>
      </c>
      <c r="E315" s="1351" t="n">
        <v>240</v>
      </c>
      <c r="F315" s="1349" t="inlineStr">
        <is>
          <t>6 x 1hr Zooms</t>
        </is>
      </c>
      <c r="G315" s="1349" t="inlineStr">
        <is>
          <t>Google</t>
        </is>
      </c>
      <c r="I315" t="inlineStr">
        <is>
          <t>1-2-1 Package - 4 x 1hr Zoom</t>
        </is>
      </c>
      <c r="J315" t="inlineStr">
        <is>
          <t>https://www.alanranger.com/photography-lessons-online-121</t>
        </is>
      </c>
    </row>
    <row r="316" ht="13.5" customHeight="1" s="1232">
      <c r="A316" s="1348" t="n">
        <v>45971</v>
      </c>
      <c r="B316" s="1349" t="inlineStr">
        <is>
          <t>Gregory Ford</t>
        </is>
      </c>
      <c r="C316" s="1350" t="inlineStr">
        <is>
          <t>1. Courses/masterclasses</t>
        </is>
      </c>
      <c r="D316" s="1349" t="inlineStr">
        <is>
          <t>Stripe</t>
        </is>
      </c>
      <c r="E316" s="1351" t="n">
        <v>150</v>
      </c>
      <c r="F316" s="1349" t="inlineStr">
        <is>
          <t>Camera Courses For Beginners</t>
        </is>
      </c>
      <c r="G316" s="1349" t="inlineStr">
        <is>
          <t>Google</t>
        </is>
      </c>
      <c r="I316" t="inlineStr">
        <is>
          <t>Beginners Photography Course | 3 Weekly Evening Classes</t>
        </is>
      </c>
      <c r="J316" t="inlineStr">
        <is>
          <t>https://www.alanranger.com/beginners-photography-classes</t>
        </is>
      </c>
    </row>
    <row r="317" ht="13.5" customHeight="1" s="1232">
      <c r="A317" s="1348" t="n">
        <v>45967</v>
      </c>
      <c r="B317" s="1349" t="inlineStr">
        <is>
          <t>Pure Photo</t>
        </is>
      </c>
      <c r="C317" s="1350" t="inlineStr">
        <is>
          <t>10. Prints &amp; Royalties</t>
        </is>
      </c>
      <c r="D317" s="1349" t="inlineStr">
        <is>
          <t>PayPal</t>
        </is>
      </c>
      <c r="E317" s="1351" t="n">
        <v>279.8</v>
      </c>
      <c r="F317" s="1349" t="inlineStr">
        <is>
          <t>Print Sale</t>
        </is>
      </c>
      <c r="G317" s="1349" t="inlineStr">
        <is>
          <t>Pure Photo</t>
        </is>
      </c>
      <c r="I317" t="inlineStr">
        <is>
          <t>Print Sale - Generic (historical)</t>
        </is>
      </c>
      <c r="J317" t="inlineStr">
        <is>
          <t>https://www.alanranger.com/fine-art-prints</t>
        </is>
      </c>
    </row>
    <row r="318" ht="13.5" customHeight="1" s="1232">
      <c r="A318" s="1348" t="n">
        <v>45963</v>
      </c>
      <c r="B318" s="1349" t="inlineStr">
        <is>
          <t>Kim Pratt</t>
        </is>
      </c>
      <c r="C318" s="1350" t="inlineStr">
        <is>
          <t>2. Workshops Non Residential</t>
        </is>
      </c>
      <c r="D318" s="1349" t="inlineStr">
        <is>
          <t>Stripe</t>
        </is>
      </c>
      <c r="E318" s="1351" t="n">
        <v>65</v>
      </c>
      <c r="F318" s="1349" t="inlineStr">
        <is>
          <t>Macro</t>
        </is>
      </c>
      <c r="G318" s="1349" t="inlineStr">
        <is>
          <t>Google</t>
        </is>
      </c>
      <c r="I318" t="inlineStr">
        <is>
          <t>MACRO Photography Workshops Warwickshire - Various</t>
        </is>
      </c>
      <c r="J318" t="inlineStr">
        <is>
          <t>https://www.alanranger.com/landscape-photography-workshops</t>
        </is>
      </c>
    </row>
    <row r="319" ht="13.5" customHeight="1" s="1232">
      <c r="A319" s="1348" t="n">
        <v>45963</v>
      </c>
      <c r="B319" s="1349" t="inlineStr">
        <is>
          <t>Simon Whitehouse</t>
        </is>
      </c>
      <c r="C319" s="1350" t="inlineStr">
        <is>
          <t>2. Workshops Non Residential</t>
        </is>
      </c>
      <c r="D319" s="1349" t="inlineStr">
        <is>
          <t>Stripe</t>
        </is>
      </c>
      <c r="E319" s="1351" t="n">
        <v>25</v>
      </c>
      <c r="F319" s="1349" t="inlineStr">
        <is>
          <t>Chesterton</t>
        </is>
      </c>
      <c r="G319" s="1349" t="inlineStr">
        <is>
          <t>Existing</t>
        </is>
      </c>
      <c r="I319" t="inlineStr">
        <is>
          <t>Photography Workshops CHESTERTON WINDMILL - Warwickshire</t>
        </is>
      </c>
      <c r="J319" t="inlineStr">
        <is>
          <t>https://www.alanranger.com/landscape-photography-workshops</t>
        </is>
      </c>
    </row>
    <row r="320" ht="13.5" customHeight="1" s="1232">
      <c r="A320" s="1348" t="n">
        <v>45963</v>
      </c>
      <c r="B320" s="1349" t="inlineStr">
        <is>
          <t>Simon Whitehouse</t>
        </is>
      </c>
      <c r="C320" s="1350" t="inlineStr">
        <is>
          <t>2. Workshops Non Residential</t>
        </is>
      </c>
      <c r="D320" s="1349" t="inlineStr">
        <is>
          <t>Gift Voucher Out</t>
        </is>
      </c>
      <c r="E320" s="1351" t="n">
        <v>25</v>
      </c>
      <c r="F320" s="1349" t="inlineStr">
        <is>
          <t>Chesterton</t>
        </is>
      </c>
      <c r="G320" s="1349" t="inlineStr">
        <is>
          <t>Existing</t>
        </is>
      </c>
      <c r="I320" t="inlineStr">
        <is>
          <t>Photography Workshops CHESTERTON WINDMILL - Warwickshire</t>
        </is>
      </c>
      <c r="J320" t="inlineStr">
        <is>
          <t>https://www.alanranger.com/landscape-photography-workshops</t>
        </is>
      </c>
    </row>
    <row r="321" ht="13.5" customHeight="1" s="1232">
      <c r="A321" s="1348" t="n">
        <v>45963</v>
      </c>
      <c r="B321" s="1349" t="inlineStr">
        <is>
          <t>Simon Whitehouse</t>
        </is>
      </c>
      <c r="C321" s="1350" t="inlineStr">
        <is>
          <t>9. Gift Vouchers Out</t>
        </is>
      </c>
      <c r="D321" s="1349" t="inlineStr">
        <is>
          <t>Gift Voucher Out</t>
        </is>
      </c>
      <c r="E321" s="1351" t="n">
        <v>-25</v>
      </c>
      <c r="F321" s="1349" t="inlineStr">
        <is>
          <t>Chesterton</t>
        </is>
      </c>
      <c r="G321" s="1349" t="inlineStr">
        <is>
          <t>Existing</t>
        </is>
      </c>
      <c r="I321" t="inlineStr">
        <is>
          <t>Voucher/Plan Redemption - not a product sale</t>
        </is>
      </c>
      <c r="J321" t="inlineStr"/>
    </row>
    <row r="322" ht="13.5" customHeight="1" s="1232">
      <c r="A322" s="1348" t="n">
        <v>45963</v>
      </c>
      <c r="B322" s="1349" t="inlineStr">
        <is>
          <t>Simon Whitehouse</t>
        </is>
      </c>
      <c r="C322" s="1350" t="inlineStr">
        <is>
          <t>2. Workshops Non Residential</t>
        </is>
      </c>
      <c r="D322" s="1349" t="inlineStr">
        <is>
          <t>Gift Voucher Out</t>
        </is>
      </c>
      <c r="E322" s="1351" t="n">
        <v>150</v>
      </c>
      <c r="F322" s="1349" t="inlineStr">
        <is>
          <t>Lavender</t>
        </is>
      </c>
      <c r="G322" s="1349" t="inlineStr">
        <is>
          <t>Existing</t>
        </is>
      </c>
      <c r="I322" t="inlineStr">
        <is>
          <t>LAVENDER FIELD Photography Workshop - Gloucestershire July</t>
        </is>
      </c>
      <c r="J322" t="inlineStr">
        <is>
          <t>https://www.alanranger.com/landscape-photography-workshops</t>
        </is>
      </c>
    </row>
    <row r="323" ht="13.5" customHeight="1" s="1232">
      <c r="A323" s="1348" t="n">
        <v>45963</v>
      </c>
      <c r="B323" s="1349" t="inlineStr">
        <is>
          <t>Simon Whitehouse</t>
        </is>
      </c>
      <c r="C323" s="1350" t="inlineStr">
        <is>
          <t>9. Gift Vouchers Out</t>
        </is>
      </c>
      <c r="D323" s="1349" t="inlineStr">
        <is>
          <t>Gift Voucher Out</t>
        </is>
      </c>
      <c r="E323" s="1351" t="n">
        <v>-150</v>
      </c>
      <c r="F323" s="1349" t="inlineStr">
        <is>
          <t>Lavender</t>
        </is>
      </c>
      <c r="G323" s="1349" t="inlineStr">
        <is>
          <t>Existing</t>
        </is>
      </c>
      <c r="I323" t="inlineStr">
        <is>
          <t>Voucher/Plan Redemption - not a product sale</t>
        </is>
      </c>
      <c r="J323" t="inlineStr"/>
    </row>
    <row r="324" ht="13.5" customHeight="1" s="1232">
      <c r="A324" s="1348" t="n">
        <v>45963</v>
      </c>
      <c r="B324" s="1349" t="inlineStr">
        <is>
          <t>Simon Whitehouse</t>
        </is>
      </c>
      <c r="C324" s="1350" t="inlineStr">
        <is>
          <t>2. Workshops Non Residential</t>
        </is>
      </c>
      <c r="D324" s="1349" t="inlineStr">
        <is>
          <t>Gift Voucher Out</t>
        </is>
      </c>
      <c r="E324" s="1351" t="n">
        <v>125</v>
      </c>
      <c r="F324" s="1349" t="inlineStr">
        <is>
          <t>Fairy Glen</t>
        </is>
      </c>
      <c r="G324" s="1349" t="inlineStr">
        <is>
          <t>Existing</t>
        </is>
      </c>
      <c r="I324" t="inlineStr">
        <is>
          <t>FAIRY GLEN and Fairy Falls Long Exposure Photography</t>
        </is>
      </c>
      <c r="J324" t="inlineStr">
        <is>
          <t>https://www.alanranger.com/landscape-photography-workshops</t>
        </is>
      </c>
    </row>
    <row r="325" ht="13.5" customHeight="1" s="1232">
      <c r="A325" s="1348" t="n">
        <v>45963</v>
      </c>
      <c r="B325" s="1349" t="inlineStr">
        <is>
          <t>Simon Whitehouse</t>
        </is>
      </c>
      <c r="C325" s="1350" t="inlineStr">
        <is>
          <t>9. Gift Vouchers Out</t>
        </is>
      </c>
      <c r="D325" s="1349" t="inlineStr">
        <is>
          <t>Gift Voucher Out</t>
        </is>
      </c>
      <c r="E325" s="1351" t="n">
        <v>-125</v>
      </c>
      <c r="F325" s="1349" t="inlineStr">
        <is>
          <t>Fairy Glen</t>
        </is>
      </c>
      <c r="G325" s="1349" t="inlineStr">
        <is>
          <t>Existing</t>
        </is>
      </c>
      <c r="I325" t="inlineStr">
        <is>
          <t>Voucher/Plan Redemption - not a product sale</t>
        </is>
      </c>
      <c r="J325" t="inlineStr"/>
    </row>
    <row r="326" ht="13.5" customHeight="1" s="1232">
      <c r="A326" s="1348" t="n">
        <v>45962</v>
      </c>
      <c r="B326" s="1349" t="inlineStr">
        <is>
          <t>Mentoring Subs</t>
        </is>
      </c>
      <c r="C326" s="1350" t="inlineStr">
        <is>
          <t>6. Mentoring</t>
        </is>
      </c>
      <c r="D326" s="1349" t="inlineStr">
        <is>
          <t>Stripe</t>
        </is>
      </c>
      <c r="E326" s="1351" t="n">
        <v>35</v>
      </c>
      <c r="F326" s="1349" t="inlineStr">
        <is>
          <t>Mentoring Subs</t>
        </is>
      </c>
      <c r="G326" s="1349" t="inlineStr">
        <is>
          <t>Existing</t>
        </is>
      </c>
      <c r="I326" t="inlineStr">
        <is>
          <t>Mentoring - Monthly Subscription</t>
        </is>
      </c>
      <c r="J326" t="inlineStr">
        <is>
          <t>https://www.alanranger.com/photography-mentoring-online-assignments</t>
        </is>
      </c>
    </row>
    <row r="327" ht="13.5" customHeight="1" s="1232">
      <c r="A327" s="1348" t="n"/>
      <c r="B327" s="1349" t="n"/>
      <c r="C327" s="1350" t="n"/>
      <c r="D327" s="1349" t="n"/>
      <c r="E327" s="1351" t="n"/>
      <c r="F327" s="1349" t="n"/>
      <c r="G327" s="1349" t="n"/>
    </row>
    <row r="328" ht="13.5" customHeight="1" s="1232">
      <c r="A328" s="1348" t="n">
        <v>45961</v>
      </c>
      <c r="B328" s="1349" t="inlineStr">
        <is>
          <t>Kenneth Burton</t>
        </is>
      </c>
      <c r="C328" s="1350" t="inlineStr">
        <is>
          <t>12. Academy</t>
        </is>
      </c>
      <c r="D328" s="1349" t="inlineStr">
        <is>
          <t>Stripe</t>
        </is>
      </c>
      <c r="E328" s="1351" t="n">
        <v>25</v>
      </c>
      <c r="F328" s="1349" t="inlineStr">
        <is>
          <t>Ebook</t>
        </is>
      </c>
      <c r="G328" s="1349" t="inlineStr">
        <is>
          <t>Existing</t>
        </is>
      </c>
      <c r="I328" t="inlineStr">
        <is>
          <t>Academy - Membership / eBook / Exams (historical bundle)</t>
        </is>
      </c>
      <c r="J328" t="inlineStr">
        <is>
          <t>https://www.alanranger.com/free-online-photography-course</t>
        </is>
      </c>
    </row>
    <row r="329" ht="13.5" customHeight="1" s="1232">
      <c r="A329" s="1348" t="n">
        <v>45960</v>
      </c>
      <c r="B329" s="1349" t="inlineStr">
        <is>
          <t>Amy Strong</t>
        </is>
      </c>
      <c r="C329" s="1350" t="inlineStr">
        <is>
          <t>12. Academy</t>
        </is>
      </c>
      <c r="D329" s="1349" t="inlineStr">
        <is>
          <t>Stripe</t>
        </is>
      </c>
      <c r="E329" s="1351" t="n">
        <v>30</v>
      </c>
      <c r="F329" s="1349" t="inlineStr">
        <is>
          <t>35 PDF Bundle</t>
        </is>
      </c>
      <c r="G329" s="1349" t="inlineStr">
        <is>
          <t>Existing</t>
        </is>
      </c>
      <c r="I329" t="inlineStr">
        <is>
          <t>Academy - Membership / eBook / Exams (historical bundle)</t>
        </is>
      </c>
      <c r="J329" t="inlineStr">
        <is>
          <t>https://www.alanranger.com/free-online-photography-course</t>
        </is>
      </c>
    </row>
    <row r="330" ht="13.5" customHeight="1" s="1232">
      <c r="A330" s="1348" t="n">
        <v>45960</v>
      </c>
      <c r="B330" s="1349" t="inlineStr">
        <is>
          <t>Amy Strong</t>
        </is>
      </c>
      <c r="C330" s="1350" t="inlineStr">
        <is>
          <t>12. Academy</t>
        </is>
      </c>
      <c r="D330" s="1349" t="inlineStr">
        <is>
          <t>Stripe</t>
        </is>
      </c>
      <c r="E330" s="1351" t="n">
        <v>25</v>
      </c>
      <c r="F330" s="1349" t="inlineStr">
        <is>
          <t>Ebook</t>
        </is>
      </c>
      <c r="G330" s="1349" t="inlineStr">
        <is>
          <t>Existing</t>
        </is>
      </c>
      <c r="I330" t="inlineStr">
        <is>
          <t>Academy - Membership / eBook / Exams (historical bundle)</t>
        </is>
      </c>
      <c r="J330" t="inlineStr">
        <is>
          <t>https://www.alanranger.com/free-online-photography-course</t>
        </is>
      </c>
    </row>
    <row r="331" ht="13.5" customHeight="1" s="1232">
      <c r="A331" s="1348" t="n">
        <v>45958</v>
      </c>
      <c r="B331" s="1349" t="inlineStr">
        <is>
          <t>Bethan Davies</t>
        </is>
      </c>
      <c r="C331" s="1350" t="inlineStr">
        <is>
          <t>12. Academy</t>
        </is>
      </c>
      <c r="D331" s="1349" t="inlineStr">
        <is>
          <t>Stripe</t>
        </is>
      </c>
      <c r="E331" s="1351" t="n">
        <v>25</v>
      </c>
      <c r="F331" s="1349" t="inlineStr">
        <is>
          <t>Ebook</t>
        </is>
      </c>
      <c r="G331" s="1349" t="inlineStr">
        <is>
          <t>Existing</t>
        </is>
      </c>
      <c r="I331" t="inlineStr">
        <is>
          <t>Academy - Membership / eBook / Exams (historical bundle)</t>
        </is>
      </c>
      <c r="J331" t="inlineStr">
        <is>
          <t>https://www.alanranger.com/free-online-photography-course</t>
        </is>
      </c>
    </row>
    <row r="332" ht="13.5" customHeight="1" s="1232">
      <c r="A332" s="1348" t="n">
        <v>45956</v>
      </c>
      <c r="B332" s="1349" t="inlineStr">
        <is>
          <t>Laura Anne Simpson</t>
        </is>
      </c>
      <c r="C332" s="1350" t="inlineStr">
        <is>
          <t>1. Courses/masterclasses</t>
        </is>
      </c>
      <c r="D332" s="1349" t="inlineStr">
        <is>
          <t>Stripe</t>
        </is>
      </c>
      <c r="E332" s="1351" t="n">
        <v>300</v>
      </c>
      <c r="F332" s="1349" t="inlineStr">
        <is>
          <t>Beginners Camera</t>
        </is>
      </c>
      <c r="G332" s="1349" t="inlineStr">
        <is>
          <t>Google</t>
        </is>
      </c>
      <c r="I332" t="inlineStr">
        <is>
          <t>5 Week Beginners Photography Course (RETIRED format)</t>
        </is>
      </c>
      <c r="J332" t="inlineStr">
        <is>
          <t>https://www.alanranger.com/beginners-photography-classes</t>
        </is>
      </c>
    </row>
    <row r="333" ht="13.5" customHeight="1" s="1232">
      <c r="A333" s="1348" t="n">
        <v>45956</v>
      </c>
      <c r="B333" s="1349" t="inlineStr">
        <is>
          <t xml:space="preserve">Margot Deruyck </t>
        </is>
      </c>
      <c r="C333" s="1350" t="inlineStr">
        <is>
          <t>12. Academy</t>
        </is>
      </c>
      <c r="D333" s="1349" t="inlineStr">
        <is>
          <t>Stripe</t>
        </is>
      </c>
      <c r="E333" s="1351" t="n">
        <v>20</v>
      </c>
      <c r="F333" s="1349" t="inlineStr">
        <is>
          <t>Exams Module</t>
        </is>
      </c>
      <c r="G333" s="1349" t="inlineStr">
        <is>
          <t>Existing</t>
        </is>
      </c>
      <c r="I333" t="inlineStr">
        <is>
          <t>Academy - Membership / eBook / Exams (historical bundle)</t>
        </is>
      </c>
      <c r="J333" t="inlineStr">
        <is>
          <t>https://www.alanranger.com/free-online-photography-course</t>
        </is>
      </c>
    </row>
    <row r="334" ht="13.5" customHeight="1" s="1232">
      <c r="A334" s="1348" t="n">
        <v>45955</v>
      </c>
      <c r="B334" s="1349" t="inlineStr">
        <is>
          <t>Aloma Thurling</t>
        </is>
      </c>
      <c r="C334" s="1350" t="inlineStr">
        <is>
          <t>12. Academy</t>
        </is>
      </c>
      <c r="D334" s="1349" t="inlineStr">
        <is>
          <t>Stripe</t>
        </is>
      </c>
      <c r="E334" s="1351" t="n">
        <v>25</v>
      </c>
      <c r="F334" s="1349" t="inlineStr">
        <is>
          <t>Ebook</t>
        </is>
      </c>
      <c r="G334" s="1349" t="inlineStr">
        <is>
          <t>Existing</t>
        </is>
      </c>
      <c r="I334" t="inlineStr">
        <is>
          <t>Academy - Membership / eBook / Exams (historical bundle)</t>
        </is>
      </c>
      <c r="J334" t="inlineStr">
        <is>
          <t>https://www.alanranger.com/free-online-photography-course</t>
        </is>
      </c>
    </row>
    <row r="335" ht="13.5" customHeight="1" s="1232">
      <c r="A335" s="1348" t="n">
        <v>45954</v>
      </c>
      <c r="B335" s="1349" t="inlineStr">
        <is>
          <t>Sara Mueller</t>
        </is>
      </c>
      <c r="C335" s="1350" t="inlineStr">
        <is>
          <t>12. Academy</t>
        </is>
      </c>
      <c r="D335" s="1349" t="inlineStr">
        <is>
          <t>Stripe</t>
        </is>
      </c>
      <c r="E335" s="1351" t="n">
        <v>25</v>
      </c>
      <c r="F335" s="1349" t="inlineStr">
        <is>
          <t>Ebook</t>
        </is>
      </c>
      <c r="G335" s="1349" t="inlineStr">
        <is>
          <t>Existing</t>
        </is>
      </c>
      <c r="I335" t="inlineStr">
        <is>
          <t>Academy - Membership / eBook / Exams (historical bundle)</t>
        </is>
      </c>
      <c r="J335" t="inlineStr">
        <is>
          <t>https://www.alanranger.com/free-online-photography-course</t>
        </is>
      </c>
    </row>
    <row r="336" ht="13.5" customHeight="1" s="1232">
      <c r="A336" s="1348" t="n">
        <v>45953</v>
      </c>
      <c r="B336" s="1349" t="inlineStr">
        <is>
          <t>Lisa Davison</t>
        </is>
      </c>
      <c r="C336" s="1350" t="inlineStr">
        <is>
          <t>11 Commissions</t>
        </is>
      </c>
      <c r="D336" s="1349" t="inlineStr">
        <is>
          <t>Stripe</t>
        </is>
      </c>
      <c r="E336" s="1351" t="n">
        <v>695</v>
      </c>
      <c r="F336" s="1349" t="inlineStr">
        <is>
          <t>Staff Training</t>
        </is>
      </c>
      <c r="G336" s="1349" t="inlineStr">
        <is>
          <t>Existing</t>
        </is>
      </c>
      <c r="I336" t="inlineStr">
        <is>
          <t>Commission - Corporate / Staff Training</t>
        </is>
      </c>
      <c r="J336" t="inlineStr">
        <is>
          <t>https://www.alanranger.com/corporate-photography-training</t>
        </is>
      </c>
    </row>
    <row r="337" ht="13.5" customHeight="1" s="1232">
      <c r="A337" s="1348" t="n">
        <v>45950</v>
      </c>
      <c r="B337" s="1349" t="inlineStr">
        <is>
          <t>Bradley Floden</t>
        </is>
      </c>
      <c r="C337" s="1350" t="inlineStr">
        <is>
          <t>12. Academy</t>
        </is>
      </c>
      <c r="D337" s="1349" t="inlineStr">
        <is>
          <t>Stripe</t>
        </is>
      </c>
      <c r="E337" s="1351" t="n">
        <v>25</v>
      </c>
      <c r="F337" s="1349" t="inlineStr">
        <is>
          <t>Ebook</t>
        </is>
      </c>
      <c r="G337" s="1349" t="inlineStr">
        <is>
          <t>Existing</t>
        </is>
      </c>
      <c r="I337" t="inlineStr">
        <is>
          <t>Academy - Membership / eBook / Exams (historical bundle)</t>
        </is>
      </c>
      <c r="J337" t="inlineStr">
        <is>
          <t>https://www.alanranger.com/free-online-photography-course</t>
        </is>
      </c>
    </row>
    <row r="338" ht="13.5" customHeight="1" s="1232">
      <c r="A338" s="1348" t="n">
        <v>45949</v>
      </c>
      <c r="B338" s="1349" t="inlineStr">
        <is>
          <t>Andrea Moll</t>
        </is>
      </c>
      <c r="C338" s="1350" t="inlineStr">
        <is>
          <t>12. Academy</t>
        </is>
      </c>
      <c r="D338" s="1349" t="inlineStr">
        <is>
          <t>Stripe</t>
        </is>
      </c>
      <c r="E338" s="1351" t="n">
        <v>25</v>
      </c>
      <c r="F338" s="1349" t="inlineStr">
        <is>
          <t>Ebook</t>
        </is>
      </c>
      <c r="G338" s="1349" t="inlineStr">
        <is>
          <t>Existing</t>
        </is>
      </c>
      <c r="I338" t="inlineStr">
        <is>
          <t>Academy - Membership / eBook / Exams (historical bundle)</t>
        </is>
      </c>
      <c r="J338" t="inlineStr">
        <is>
          <t>https://www.alanranger.com/free-online-photography-course</t>
        </is>
      </c>
    </row>
    <row r="339" ht="13.5" customHeight="1" s="1232">
      <c r="A339" s="1348" t="n">
        <v>45946</v>
      </c>
      <c r="B339" s="1349" t="inlineStr">
        <is>
          <t>Katrina Galbraith</t>
        </is>
      </c>
      <c r="C339" s="1350" t="inlineStr">
        <is>
          <t>12. Academy</t>
        </is>
      </c>
      <c r="D339" s="1349" t="inlineStr">
        <is>
          <t>Stripe</t>
        </is>
      </c>
      <c r="E339" s="1351" t="n">
        <v>25</v>
      </c>
      <c r="F339" s="1349" t="inlineStr">
        <is>
          <t>Ebook</t>
        </is>
      </c>
      <c r="G339" s="1349" t="inlineStr">
        <is>
          <t>Existing</t>
        </is>
      </c>
      <c r="I339" t="inlineStr">
        <is>
          <t>Academy - Membership / eBook / Exams (historical bundle)</t>
        </is>
      </c>
      <c r="J339" t="inlineStr">
        <is>
          <t>https://www.alanranger.com/free-online-photography-course</t>
        </is>
      </c>
    </row>
    <row r="340" ht="13.5" customHeight="1" s="1232">
      <c r="A340" s="1348" t="n">
        <v>45946</v>
      </c>
      <c r="B340" s="1349" t="inlineStr">
        <is>
          <t>Mr N A. Barford</t>
        </is>
      </c>
      <c r="C340" s="1350" t="inlineStr">
        <is>
          <t>2. Workshops Non Residential</t>
        </is>
      </c>
      <c r="D340" s="1349" t="inlineStr">
        <is>
          <t>Stripe</t>
        </is>
      </c>
      <c r="E340" s="1351" t="n">
        <v>150</v>
      </c>
      <c r="F340" s="1349" t="inlineStr">
        <is>
          <t>Peak District</t>
        </is>
      </c>
      <c r="G340" s="1349" t="inlineStr">
        <is>
          <t>Existing</t>
        </is>
      </c>
      <c r="I340" t="inlineStr">
        <is>
          <t>PEAK DISTRICT Photography Workshops - May, Oct and Nov</t>
        </is>
      </c>
      <c r="J340" t="inlineStr">
        <is>
          <t>https://www.alanranger.com/one-day-landscape-photography-workshops</t>
        </is>
      </c>
    </row>
    <row r="341" ht="13.5" customHeight="1" s="1232">
      <c r="A341" s="1348" t="n">
        <v>45945</v>
      </c>
      <c r="B341" s="1349" t="inlineStr">
        <is>
          <t>megan clay</t>
        </is>
      </c>
      <c r="C341" s="1350" t="inlineStr">
        <is>
          <t>12. Academy</t>
        </is>
      </c>
      <c r="D341" s="1349" t="inlineStr">
        <is>
          <t>Stripe</t>
        </is>
      </c>
      <c r="E341" s="1351" t="n">
        <v>20</v>
      </c>
      <c r="F341" s="1349" t="inlineStr">
        <is>
          <t>Exams Module</t>
        </is>
      </c>
      <c r="G341" s="1349" t="inlineStr">
        <is>
          <t>Existing</t>
        </is>
      </c>
      <c r="I341" t="inlineStr">
        <is>
          <t>Academy - Membership / eBook / Exams (historical bundle)</t>
        </is>
      </c>
      <c r="J341" t="inlineStr">
        <is>
          <t>https://www.alanranger.com/free-online-photography-course</t>
        </is>
      </c>
    </row>
    <row r="342" ht="13.5" customHeight="1" s="1232">
      <c r="A342" s="1348" t="n">
        <v>45944</v>
      </c>
      <c r="B342" s="1349" t="inlineStr">
        <is>
          <t>Nichola Wallis</t>
        </is>
      </c>
      <c r="C342" s="1350" t="inlineStr">
        <is>
          <t>2. Workshops Non Residential</t>
        </is>
      </c>
      <c r="D342" s="1349" t="inlineStr">
        <is>
          <t>Stripe</t>
        </is>
      </c>
      <c r="E342" s="1351" t="n">
        <v>125</v>
      </c>
      <c r="F342" s="1349" t="inlineStr">
        <is>
          <t>Woodland masterclass</t>
        </is>
      </c>
      <c r="G342" s="1349" t="inlineStr">
        <is>
          <t>Google</t>
        </is>
      </c>
      <c r="I342" t="inlineStr">
        <is>
          <t>The Secret of WOODLAND PHOTOGRAPHY- 1-Day Jan, Apr, Aug, Oct</t>
        </is>
      </c>
      <c r="J342" t="inlineStr">
        <is>
          <t>https://www.alanranger.com/one-day-landscape-photography-workshops</t>
        </is>
      </c>
    </row>
    <row r="343" ht="13.5" customHeight="1" s="1232">
      <c r="A343" s="1348" t="n">
        <v>45943</v>
      </c>
      <c r="B343" s="1349" t="inlineStr">
        <is>
          <t>Lindsay Best</t>
        </is>
      </c>
      <c r="C343" s="1350" t="inlineStr">
        <is>
          <t>2. Workshops Non Residential</t>
        </is>
      </c>
      <c r="D343" s="1349" t="inlineStr">
        <is>
          <t>Stripe</t>
        </is>
      </c>
      <c r="E343" s="1351" t="n">
        <v>99</v>
      </c>
      <c r="F343" s="1349" t="inlineStr">
        <is>
          <t>Batsford</t>
        </is>
      </c>
      <c r="G343" s="1349" t="inlineStr">
        <is>
          <t>Referral</t>
        </is>
      </c>
      <c r="I343" t="inlineStr">
        <is>
          <t>Gift Voucher - Digital eCard</t>
        </is>
      </c>
      <c r="J343" t="inlineStr">
        <is>
          <t>https://www.alanranger.com/photography-gift-vouchers</t>
        </is>
      </c>
    </row>
    <row r="344" ht="13.5" customHeight="1" s="1232">
      <c r="A344" s="1348" t="n">
        <v>45943</v>
      </c>
      <c r="B344" s="1349" t="inlineStr">
        <is>
          <t>Salome Snook</t>
        </is>
      </c>
      <c r="C344" s="1350" t="inlineStr">
        <is>
          <t>2. Workshops Non Residential</t>
        </is>
      </c>
      <c r="D344" s="1349" t="inlineStr">
        <is>
          <t>Stripe</t>
        </is>
      </c>
      <c r="E344" s="1351" t="n">
        <v>99</v>
      </c>
      <c r="F344" s="1349" t="inlineStr">
        <is>
          <t>Batsford</t>
        </is>
      </c>
      <c r="G344" s="1349" t="inlineStr">
        <is>
          <t>Batsford</t>
        </is>
      </c>
      <c r="I344" t="inlineStr">
        <is>
          <t>Gift Voucher - Digital eCard</t>
        </is>
      </c>
      <c r="J344" t="inlineStr">
        <is>
          <t>https://www.alanranger.com/photography-gift-vouchers</t>
        </is>
      </c>
    </row>
    <row r="345" ht="13.5" customHeight="1" s="1232">
      <c r="A345" s="1348" t="n">
        <v>45941</v>
      </c>
      <c r="B345" s="1349" t="inlineStr">
        <is>
          <t>Mark Denning</t>
        </is>
      </c>
      <c r="C345" s="1350" t="inlineStr">
        <is>
          <t>2. Workshops Non Residential</t>
        </is>
      </c>
      <c r="D345" s="1349" t="inlineStr">
        <is>
          <t>Stripe</t>
        </is>
      </c>
      <c r="E345" s="1351" t="n">
        <v>99</v>
      </c>
      <c r="F345" s="1349" t="inlineStr">
        <is>
          <t>Batsford</t>
        </is>
      </c>
      <c r="G345" s="1349" t="inlineStr">
        <is>
          <t>Batsford</t>
        </is>
      </c>
      <c r="I345" t="inlineStr">
        <is>
          <t>Gift Voucher - Digital eCard</t>
        </is>
      </c>
      <c r="J345" t="inlineStr">
        <is>
          <t>https://www.alanranger.com/photography-gift-vouchers</t>
        </is>
      </c>
    </row>
    <row r="346" ht="13.5" customHeight="1" s="1232">
      <c r="A346" s="1348" t="n">
        <v>45939</v>
      </c>
      <c r="B346" s="1349" t="inlineStr">
        <is>
          <t>Jo Galloway</t>
        </is>
      </c>
      <c r="C346" s="1350" t="inlineStr">
        <is>
          <t>7. 1-2-1</t>
        </is>
      </c>
      <c r="D346" s="1349" t="inlineStr">
        <is>
          <t>Stripe</t>
        </is>
      </c>
      <c r="E346" s="1351" t="n">
        <v>50</v>
      </c>
      <c r="F346" s="1349" t="inlineStr">
        <is>
          <t>1hr Zoom</t>
        </is>
      </c>
      <c r="G346" s="1349" t="inlineStr">
        <is>
          <t>Existing</t>
        </is>
      </c>
      <c r="I346" t="inlineStr">
        <is>
          <t>1-2-1 Single Session - 1hr Zoom</t>
        </is>
      </c>
      <c r="J346" t="inlineStr">
        <is>
          <t>https://www.alanranger.com/photography-lessons-online-121</t>
        </is>
      </c>
    </row>
    <row r="347" ht="13.5" customHeight="1" s="1232">
      <c r="A347" s="1348" t="n">
        <v>45939</v>
      </c>
      <c r="B347" s="1349" t="inlineStr">
        <is>
          <t>Mrs Patricia Pearl</t>
        </is>
      </c>
      <c r="C347" s="1350" t="inlineStr">
        <is>
          <t>7. 1-2-1</t>
        </is>
      </c>
      <c r="D347" s="1349" t="inlineStr">
        <is>
          <t>Stripe</t>
        </is>
      </c>
      <c r="E347" s="1351" t="n">
        <v>170</v>
      </c>
      <c r="F347" s="1349" t="inlineStr">
        <is>
          <t>4 x 1hr Zoom</t>
        </is>
      </c>
      <c r="G347" s="1349" t="inlineStr">
        <is>
          <t>Existing</t>
        </is>
      </c>
      <c r="I347" t="inlineStr">
        <is>
          <t>1-2-1 Package - 4 x 1hr Zoom</t>
        </is>
      </c>
      <c r="J347" t="inlineStr">
        <is>
          <t>https://www.alanranger.com/photography-lessons-online-121</t>
        </is>
      </c>
    </row>
    <row r="348" ht="13.5" customHeight="1" s="1232">
      <c r="A348" s="1348" t="n">
        <v>45939</v>
      </c>
      <c r="B348" s="1349" t="inlineStr">
        <is>
          <t>Caroline Durk</t>
        </is>
      </c>
      <c r="C348" s="1350" t="inlineStr">
        <is>
          <t>2. Workshops Non Residential</t>
        </is>
      </c>
      <c r="D348" s="1349" t="inlineStr">
        <is>
          <t>Bank</t>
        </is>
      </c>
      <c r="E348" s="1351" t="n">
        <v>100</v>
      </c>
      <c r="F348" s="1349" t="inlineStr">
        <is>
          <t>Batsford 29 oct</t>
        </is>
      </c>
      <c r="G348" s="1349" t="inlineStr">
        <is>
          <t>Into the Blue</t>
        </is>
      </c>
      <c r="I348" t="inlineStr">
        <is>
          <t>BATSFORD Arboretum Autumn Photography Workshops 23 - 31 Oct</t>
        </is>
      </c>
      <c r="J348" t="inlineStr">
        <is>
          <t>https://www.alanranger.com/one-day-landscape-photography-workshops</t>
        </is>
      </c>
    </row>
    <row r="349" ht="13.5" customHeight="1" s="1232">
      <c r="A349" s="1348" t="n">
        <v>45939</v>
      </c>
      <c r="B349" s="1349" t="inlineStr">
        <is>
          <t>Neil Worgan</t>
        </is>
      </c>
      <c r="C349" s="1350" t="inlineStr">
        <is>
          <t>2. Workshops Non Residential</t>
        </is>
      </c>
      <c r="D349" s="1349" t="inlineStr">
        <is>
          <t>Bank</t>
        </is>
      </c>
      <c r="E349" s="1351" t="n">
        <v>100</v>
      </c>
      <c r="F349" s="1349" t="inlineStr">
        <is>
          <t>Batsford 24 Oct</t>
        </is>
      </c>
      <c r="G349" s="1349" t="inlineStr">
        <is>
          <t>Into the Blue</t>
        </is>
      </c>
      <c r="I349" t="inlineStr">
        <is>
          <t>BATSFORD Arboretum Autumn Photography Workshops 23 - 31 Oct</t>
        </is>
      </c>
      <c r="J349" t="inlineStr">
        <is>
          <t>https://www.alanranger.com/one-day-landscape-photography-workshops</t>
        </is>
      </c>
    </row>
    <row r="350" ht="13.5" customHeight="1" s="1232">
      <c r="A350" s="1348" t="n">
        <v>45939</v>
      </c>
      <c r="B350" s="1349" t="inlineStr">
        <is>
          <t>Tim Chance</t>
        </is>
      </c>
      <c r="C350" s="1350" t="inlineStr">
        <is>
          <t>2. Workshops Non Residential</t>
        </is>
      </c>
      <c r="D350" s="1349" t="inlineStr">
        <is>
          <t>Bank</t>
        </is>
      </c>
      <c r="E350" s="1351" t="n">
        <v>100</v>
      </c>
      <c r="F350" s="1349" t="inlineStr">
        <is>
          <t>Batsford 24 Oct</t>
        </is>
      </c>
      <c r="G350" s="1349" t="inlineStr">
        <is>
          <t>Into the Blue</t>
        </is>
      </c>
      <c r="I350" t="inlineStr">
        <is>
          <t>BATSFORD Arboretum Autumn Photography Workshops 23 - 31 Oct</t>
        </is>
      </c>
      <c r="J350" t="inlineStr">
        <is>
          <t>https://www.alanranger.com/one-day-landscape-photography-workshops</t>
        </is>
      </c>
    </row>
    <row r="351" ht="13.5" customHeight="1" s="1232">
      <c r="A351" s="1348" t="n">
        <v>45939</v>
      </c>
      <c r="B351" s="1349" t="inlineStr">
        <is>
          <t>John Evans</t>
        </is>
      </c>
      <c r="C351" s="1350" t="inlineStr">
        <is>
          <t>1. Courses/masterclasses</t>
        </is>
      </c>
      <c r="D351" s="1349" t="inlineStr">
        <is>
          <t>Bank</t>
        </is>
      </c>
      <c r="E351" s="1351" t="n">
        <v>120</v>
      </c>
      <c r="F351" s="1349" t="inlineStr">
        <is>
          <t>Camera Course Nov</t>
        </is>
      </c>
      <c r="G351" s="1349" t="inlineStr">
        <is>
          <t>Into the Blue</t>
        </is>
      </c>
      <c r="I351" t="inlineStr">
        <is>
          <t>5 Week Beginners Photography Course (RETIRED format)</t>
        </is>
      </c>
      <c r="J351" t="inlineStr">
        <is>
          <t>https://www.alanranger.com/beginners-photography-classes</t>
        </is>
      </c>
    </row>
    <row r="352" ht="13.5" customHeight="1" s="1232">
      <c r="A352" s="1348" t="n">
        <v>45938</v>
      </c>
      <c r="B352" s="1349" t="inlineStr">
        <is>
          <t>Graham Rousell</t>
        </is>
      </c>
      <c r="C352" s="1350" t="inlineStr">
        <is>
          <t>12. Academy</t>
        </is>
      </c>
      <c r="D352" s="1349" t="inlineStr">
        <is>
          <t>Stripe</t>
        </is>
      </c>
      <c r="E352" s="1351" t="n">
        <v>30</v>
      </c>
      <c r="F352" s="1349" t="inlineStr">
        <is>
          <t>sensore clean</t>
        </is>
      </c>
      <c r="G352" s="1349" t="inlineStr">
        <is>
          <t>Existing</t>
        </is>
      </c>
      <c r="I352" t="inlineStr">
        <is>
          <t>Sensor Clean Service (historical)</t>
        </is>
      </c>
      <c r="J352" t="inlineStr">
        <is>
          <t>https://www.alanranger.com/photography-shop-services</t>
        </is>
      </c>
    </row>
    <row r="353" ht="13.5" customHeight="1" s="1232">
      <c r="A353" s="1348" t="n">
        <v>45937</v>
      </c>
      <c r="B353" s="1349" t="inlineStr">
        <is>
          <t>Shelly Waddell</t>
        </is>
      </c>
      <c r="C353" s="1350" t="inlineStr">
        <is>
          <t>12. Academy</t>
        </is>
      </c>
      <c r="D353" s="1349" t="inlineStr">
        <is>
          <t>Stripe</t>
        </is>
      </c>
      <c r="E353" s="1351" t="n">
        <v>25</v>
      </c>
      <c r="F353" s="1349" t="inlineStr">
        <is>
          <t>Ebook</t>
        </is>
      </c>
      <c r="G353" s="1349" t="inlineStr">
        <is>
          <t>Google</t>
        </is>
      </c>
      <c r="I353" t="inlineStr">
        <is>
          <t>Academy - Membership / eBook / Exams (historical bundle)</t>
        </is>
      </c>
      <c r="J353" t="inlineStr">
        <is>
          <t>https://www.alanranger.com/free-online-photography-course</t>
        </is>
      </c>
    </row>
    <row r="354" ht="13.5" customHeight="1" s="1232">
      <c r="A354" s="1348" t="n">
        <v>45936</v>
      </c>
      <c r="B354" s="1349" t="inlineStr">
        <is>
          <t>Thomas Startin</t>
        </is>
      </c>
      <c r="C354" s="1350" t="inlineStr">
        <is>
          <t>2. Workshops Non Residential</t>
        </is>
      </c>
      <c r="D354" s="1349" t="inlineStr">
        <is>
          <t>Bank</t>
        </is>
      </c>
      <c r="E354" s="1351" t="n">
        <v>50</v>
      </c>
      <c r="F354" s="1349" t="inlineStr">
        <is>
          <t>Long Exposure Photography Workshop - Sunset - Kenilworth</t>
        </is>
      </c>
      <c r="G354" s="1349" t="inlineStr">
        <is>
          <t>JLR</t>
        </is>
      </c>
      <c r="I354" t="inlineStr">
        <is>
          <t>Long Exposure Photography Workshop KENILWORTH Sunset</t>
        </is>
      </c>
      <c r="J354" t="inlineStr">
        <is>
          <t>https://www.alanranger.com/landscape-photography-workshops</t>
        </is>
      </c>
    </row>
    <row r="355" ht="13.5" customHeight="1" s="1232">
      <c r="A355" s="1348" t="n">
        <v>45936</v>
      </c>
      <c r="B355" s="1349" t="inlineStr">
        <is>
          <t>Roxana Mutu</t>
        </is>
      </c>
      <c r="C355" s="1350" t="inlineStr">
        <is>
          <t>2. Workshops Non Residential</t>
        </is>
      </c>
      <c r="D355" s="1349" t="inlineStr">
        <is>
          <t>Bank</t>
        </is>
      </c>
      <c r="E355" s="1351" t="n">
        <v>50</v>
      </c>
      <c r="F355" s="1349" t="inlineStr">
        <is>
          <t>Long Exposure Photography Workshop - Sunset - Kenilworth</t>
        </is>
      </c>
      <c r="G355" s="1349" t="inlineStr">
        <is>
          <t>JLR</t>
        </is>
      </c>
      <c r="I355" t="inlineStr">
        <is>
          <t>Long Exposure Photography Workshop KENILWORTH Sunset</t>
        </is>
      </c>
      <c r="J355" t="inlineStr">
        <is>
          <t>https://www.alanranger.com/landscape-photography-workshops</t>
        </is>
      </c>
    </row>
    <row r="356" ht="13.5" customHeight="1" s="1232">
      <c r="A356" s="1348" t="n">
        <v>45936</v>
      </c>
      <c r="B356" s="1349" t="inlineStr">
        <is>
          <t>Naveen Prakash Karuppaiah</t>
        </is>
      </c>
      <c r="C356" s="1350" t="inlineStr">
        <is>
          <t>2. Workshops Non Residential</t>
        </is>
      </c>
      <c r="D356" s="1349" t="inlineStr">
        <is>
          <t>Bank</t>
        </is>
      </c>
      <c r="E356" s="1351" t="n">
        <v>50</v>
      </c>
      <c r="F356" s="1349" t="inlineStr">
        <is>
          <t>Long Exposure Photography Workshop - Sunset - Kenilworth</t>
        </is>
      </c>
      <c r="G356" s="1349" t="inlineStr">
        <is>
          <t>JLR</t>
        </is>
      </c>
      <c r="I356" t="inlineStr">
        <is>
          <t>Long Exposure Photography Workshop KENILWORTH Sunset</t>
        </is>
      </c>
      <c r="J356" t="inlineStr">
        <is>
          <t>https://www.alanranger.com/landscape-photography-workshops</t>
        </is>
      </c>
    </row>
    <row r="357" ht="13.5" customHeight="1" s="1232">
      <c r="A357" s="1348" t="n">
        <v>45936</v>
      </c>
      <c r="B357" s="1349" t="inlineStr">
        <is>
          <t>Nick Barber</t>
        </is>
      </c>
      <c r="C357" s="1350" t="inlineStr">
        <is>
          <t>7. 1-2-1</t>
        </is>
      </c>
      <c r="D357" s="1349" t="inlineStr">
        <is>
          <t>Stripe</t>
        </is>
      </c>
      <c r="E357" s="1351" t="n">
        <v>50</v>
      </c>
      <c r="F357" s="1349" t="inlineStr">
        <is>
          <t>1hr Zoom</t>
        </is>
      </c>
      <c r="G357" s="1349" t="inlineStr">
        <is>
          <t>Existing</t>
        </is>
      </c>
      <c r="I357" t="inlineStr">
        <is>
          <t>1-2-1 Single Session - 1hr Zoom</t>
        </is>
      </c>
      <c r="J357" t="inlineStr">
        <is>
          <t>https://www.alanranger.com/photography-lessons-online-121</t>
        </is>
      </c>
    </row>
    <row r="358" ht="13.5" customHeight="1" s="1232">
      <c r="A358" s="1348" t="n">
        <v>45932</v>
      </c>
      <c r="B358" s="1349" t="inlineStr">
        <is>
          <t>Claire Brooks</t>
        </is>
      </c>
      <c r="C358" s="1350" t="inlineStr">
        <is>
          <t>7. 1-2-1</t>
        </is>
      </c>
      <c r="D358" s="1349" t="inlineStr">
        <is>
          <t>Stripe</t>
        </is>
      </c>
      <c r="E358" s="1351" t="n">
        <v>170</v>
      </c>
      <c r="F358" s="1349" t="inlineStr">
        <is>
          <t>4 x 1hr Zoom</t>
        </is>
      </c>
      <c r="G358" s="1349" t="inlineStr">
        <is>
          <t>Referral</t>
        </is>
      </c>
      <c r="I358" t="inlineStr">
        <is>
          <t>1-2-1 Package - 4 x 1hr Zoom</t>
        </is>
      </c>
      <c r="J358" t="inlineStr">
        <is>
          <t>https://www.alanranger.com/photography-lessons-online-121</t>
        </is>
      </c>
    </row>
    <row r="359" ht="13.5" customHeight="1" s="1232">
      <c r="A359" s="1348" t="n">
        <v>45931</v>
      </c>
      <c r="B359" s="1349" t="inlineStr">
        <is>
          <t>Anne Watkinson</t>
        </is>
      </c>
      <c r="C359" s="1350" t="inlineStr">
        <is>
          <t>7. 1-2-1</t>
        </is>
      </c>
      <c r="D359" s="1349" t="inlineStr">
        <is>
          <t>Stripe</t>
        </is>
      </c>
      <c r="E359" s="1351" t="n">
        <v>65</v>
      </c>
      <c r="F359" s="1349" t="inlineStr">
        <is>
          <t>1hr 1-2-1</t>
        </is>
      </c>
      <c r="G359" s="1349" t="inlineStr">
        <is>
          <t>Existing</t>
        </is>
      </c>
      <c r="I359" t="inlineStr">
        <is>
          <t>1-2-1 Single Session - 1hr (Face-to-Face)</t>
        </is>
      </c>
      <c r="J359" t="inlineStr">
        <is>
          <t>https://www.alanranger.com/private-photography-lessons</t>
        </is>
      </c>
    </row>
    <row r="360" ht="13.5" customHeight="1" s="1232">
      <c r="A360" s="1348" t="n">
        <v>45931</v>
      </c>
      <c r="B360" s="1349" t="inlineStr">
        <is>
          <t>Ali Bond</t>
        </is>
      </c>
      <c r="C360" s="1350" t="inlineStr">
        <is>
          <t>8. Gift Vouchers Inc</t>
        </is>
      </c>
      <c r="D360" s="1349" t="inlineStr">
        <is>
          <t>Stripe</t>
        </is>
      </c>
      <c r="E360" s="1351" t="n">
        <v>65</v>
      </c>
      <c r="F360" s="1349" t="inlineStr">
        <is>
          <t>Digital Gift Card</t>
        </is>
      </c>
      <c r="G360" s="1349" t="inlineStr">
        <is>
          <t>Google</t>
        </is>
      </c>
      <c r="I360" t="inlineStr">
        <is>
          <t>Gift Voucher - Digital eCard</t>
        </is>
      </c>
      <c r="J360" t="inlineStr">
        <is>
          <t>https://www.alanranger.com/photography-gift-vouchers</t>
        </is>
      </c>
    </row>
    <row r="361" ht="13.5" customHeight="1" s="1232">
      <c r="A361" s="1348" t="n">
        <v>45931</v>
      </c>
      <c r="B361" s="1349" t="inlineStr">
        <is>
          <t>Norman Gabrielse</t>
        </is>
      </c>
      <c r="C361" s="1350" t="inlineStr">
        <is>
          <t>12. Academy</t>
        </is>
      </c>
      <c r="D361" s="1349" t="inlineStr">
        <is>
          <t>Stripe</t>
        </is>
      </c>
      <c r="E361" s="1351" t="n">
        <v>25</v>
      </c>
      <c r="F361" s="1349" t="inlineStr">
        <is>
          <t>Ebook</t>
        </is>
      </c>
      <c r="G361" s="1349" t="inlineStr">
        <is>
          <t>Google</t>
        </is>
      </c>
      <c r="I361" t="inlineStr">
        <is>
          <t>Academy - Membership / eBook / Exams (historical bundle)</t>
        </is>
      </c>
      <c r="J361" t="inlineStr">
        <is>
          <t>https://www.alanranger.com/free-online-photography-course</t>
        </is>
      </c>
    </row>
    <row r="362" ht="13.5" customHeight="1" s="1232">
      <c r="A362" s="1348" t="n">
        <v>45931</v>
      </c>
      <c r="B362" s="1349" t="inlineStr">
        <is>
          <t>Mentoring Subs</t>
        </is>
      </c>
      <c r="C362" s="1350" t="inlineStr">
        <is>
          <t>6. Mentoring</t>
        </is>
      </c>
      <c r="D362" s="1349" t="inlineStr">
        <is>
          <t>Stripe</t>
        </is>
      </c>
      <c r="E362" s="1351" t="n">
        <v>35</v>
      </c>
      <c r="F362" s="1349" t="inlineStr">
        <is>
          <t>Mentoring Subs</t>
        </is>
      </c>
      <c r="G362" s="1349" t="inlineStr">
        <is>
          <t>Existing</t>
        </is>
      </c>
      <c r="I362" t="inlineStr">
        <is>
          <t>Mentoring - Monthly Subscription</t>
        </is>
      </c>
      <c r="J362" t="inlineStr">
        <is>
          <t>https://www.alanranger.com/photography-mentoring-online-assignments</t>
        </is>
      </c>
    </row>
    <row r="363" ht="13.5" customHeight="1" s="1232">
      <c r="A363" s="1348" t="n"/>
      <c r="B363" s="1349" t="n"/>
      <c r="C363" s="1350" t="n"/>
      <c r="D363" s="1349" t="n"/>
      <c r="E363" s="1351" t="n"/>
      <c r="F363" s="1349" t="n"/>
      <c r="G363" s="1349" t="n"/>
    </row>
    <row r="364" ht="13.5" customHeight="1" s="1232">
      <c r="A364" s="1348" t="n">
        <v>45928</v>
      </c>
      <c r="B364" s="1349" t="inlineStr">
        <is>
          <t>Melanie Lindsay</t>
        </is>
      </c>
      <c r="C364" s="1350" t="inlineStr">
        <is>
          <t>12. Academy</t>
        </is>
      </c>
      <c r="D364" s="1349" t="inlineStr">
        <is>
          <t>Stripe</t>
        </is>
      </c>
      <c r="E364" s="1351" t="n">
        <v>25</v>
      </c>
      <c r="F364" s="1349" t="inlineStr">
        <is>
          <t>Ebook</t>
        </is>
      </c>
      <c r="G364" s="1349" t="inlineStr">
        <is>
          <t>Google</t>
        </is>
      </c>
      <c r="I364" t="inlineStr">
        <is>
          <t>Academy - Membership / eBook / Exams (historical bundle)</t>
        </is>
      </c>
      <c r="J364" t="inlineStr">
        <is>
          <t>https://www.alanranger.com/free-online-photography-course</t>
        </is>
      </c>
    </row>
    <row r="365" ht="13.5" customHeight="1" s="1232">
      <c r="A365" s="1348" t="n">
        <v>45926</v>
      </c>
      <c r="B365" s="1349" t="inlineStr">
        <is>
          <t>Neil Morley</t>
        </is>
      </c>
      <c r="C365" s="1350" t="inlineStr">
        <is>
          <t>2. Workshops Non Residential</t>
        </is>
      </c>
      <c r="D365" s="1349" t="inlineStr">
        <is>
          <t>Bank</t>
        </is>
      </c>
      <c r="E365" s="1351" t="n">
        <v>125</v>
      </c>
      <c r="F365" s="1349" t="inlineStr">
        <is>
          <t>Peak District Photography Workshops - Heathers</t>
        </is>
      </c>
      <c r="G365" s="1349" t="inlineStr">
        <is>
          <t>JLR</t>
        </is>
      </c>
      <c r="I365" t="inlineStr">
        <is>
          <t>PEAK DISTRICT HEATHER Photography Workshops - 15-16 Aug</t>
        </is>
      </c>
      <c r="J365" t="inlineStr">
        <is>
          <t>https://www.alanranger.com/landscape-photography-workshops</t>
        </is>
      </c>
    </row>
    <row r="366" ht="13.5" customHeight="1" s="1232">
      <c r="A366" s="1348" t="n">
        <v>45926</v>
      </c>
      <c r="B366" s="1349" t="inlineStr">
        <is>
          <t>Joanne Tapp</t>
        </is>
      </c>
      <c r="C366" s="1350" t="inlineStr">
        <is>
          <t>2. Workshops Non Residential</t>
        </is>
      </c>
      <c r="D366" s="1349" t="inlineStr">
        <is>
          <t>Bank</t>
        </is>
      </c>
      <c r="E366" s="1351" t="n">
        <v>125</v>
      </c>
      <c r="F366" s="1349" t="inlineStr">
        <is>
          <t>Peak District Photography Workshops - Heathers</t>
        </is>
      </c>
      <c r="G366" s="1349" t="inlineStr">
        <is>
          <t>JLR</t>
        </is>
      </c>
      <c r="I366" t="inlineStr">
        <is>
          <t>PEAK DISTRICT HEATHER Photography Workshops - 15-16 Aug</t>
        </is>
      </c>
      <c r="J366" t="inlineStr">
        <is>
          <t>https://www.alanranger.com/landscape-photography-workshops</t>
        </is>
      </c>
    </row>
    <row r="367" ht="13.5" customHeight="1" s="1232">
      <c r="A367" s="1348" t="n">
        <v>45925</v>
      </c>
      <c r="B367" s="1349" t="inlineStr">
        <is>
          <t>sandra bulger</t>
        </is>
      </c>
      <c r="C367" s="1350" t="inlineStr">
        <is>
          <t>12. Academy</t>
        </is>
      </c>
      <c r="D367" s="1349" t="inlineStr">
        <is>
          <t>Stripe</t>
        </is>
      </c>
      <c r="E367" s="1351" t="n">
        <v>25</v>
      </c>
      <c r="F367" s="1349" t="inlineStr">
        <is>
          <t>Ebook</t>
        </is>
      </c>
      <c r="G367" s="1349" t="inlineStr">
        <is>
          <t>Google</t>
        </is>
      </c>
      <c r="I367" t="inlineStr">
        <is>
          <t>Academy - Membership / eBook / Exams (historical bundle)</t>
        </is>
      </c>
      <c r="J367" t="inlineStr">
        <is>
          <t>https://www.alanranger.com/free-online-photography-course</t>
        </is>
      </c>
    </row>
    <row r="368" ht="13.5" customHeight="1" s="1232">
      <c r="A368" s="1348" t="n">
        <v>45923</v>
      </c>
      <c r="B368" s="1349" t="inlineStr">
        <is>
          <t>Artfully Walls</t>
        </is>
      </c>
      <c r="C368" s="1350" t="inlineStr">
        <is>
          <t>10. Prints &amp; Royalties</t>
        </is>
      </c>
      <c r="D368" s="1349" t="inlineStr">
        <is>
          <t>PayPal</t>
        </is>
      </c>
      <c r="E368" s="1351" t="n">
        <v>14.48</v>
      </c>
      <c r="F368" s="1349" t="inlineStr">
        <is>
          <t>Prints</t>
        </is>
      </c>
      <c r="G368" s="1349" t="inlineStr">
        <is>
          <t>Artfully Walls</t>
        </is>
      </c>
      <c r="I368" t="inlineStr">
        <is>
          <t>Print Sale - Generic (historical)</t>
        </is>
      </c>
      <c r="J368" t="inlineStr">
        <is>
          <t>https://www.alanranger.com/fine-art-prints</t>
        </is>
      </c>
    </row>
    <row r="369" ht="13.5" customHeight="1" s="1232">
      <c r="A369" s="1348" t="n">
        <v>45922</v>
      </c>
      <c r="B369" s="1349" t="inlineStr">
        <is>
          <t>Joanne Galloway</t>
        </is>
      </c>
      <c r="C369" s="1350" t="inlineStr">
        <is>
          <t>4. Pick n Mix Inc</t>
        </is>
      </c>
      <c r="D369" s="1349" t="inlineStr">
        <is>
          <t>Stripe</t>
        </is>
      </c>
      <c r="E369" s="1351" t="n">
        <v>1200</v>
      </c>
      <c r="F369" s="1349" t="inlineStr">
        <is>
          <t>Annual PnM</t>
        </is>
      </c>
      <c r="G369" s="1349" t="inlineStr">
        <is>
          <t>Existing</t>
        </is>
      </c>
      <c r="I369" t="inlineStr">
        <is>
          <t>Pick N Mix Payment Plan</t>
        </is>
      </c>
      <c r="J369" t="inlineStr">
        <is>
          <t>https://www.alanranger.com/photography-payment-plan</t>
        </is>
      </c>
    </row>
    <row r="370" ht="13.5" customHeight="1" s="1232">
      <c r="A370" s="1348" t="n">
        <v>45921</v>
      </c>
      <c r="B370" s="1349" t="inlineStr">
        <is>
          <t>David Gallagher</t>
        </is>
      </c>
      <c r="C370" s="1350" t="inlineStr">
        <is>
          <t>2. Workshops Non Residential</t>
        </is>
      </c>
      <c r="D370" s="1349" t="inlineStr">
        <is>
          <t>Stripe</t>
        </is>
      </c>
      <c r="E370" s="1351" t="n">
        <v>50</v>
      </c>
      <c r="F370" s="1349" t="inlineStr">
        <is>
          <t>Urban Workshop</t>
        </is>
      </c>
      <c r="G370" s="1349" t="inlineStr">
        <is>
          <t>Google</t>
        </is>
      </c>
      <c r="I370" t="inlineStr">
        <is>
          <t>URBAN ARCHITECTURE Photography Workshops - Coventry 9 Sep</t>
        </is>
      </c>
      <c r="J370" t="inlineStr">
        <is>
          <t>https://www.alanranger.com/landscape-photography-workshops</t>
        </is>
      </c>
    </row>
    <row r="371" ht="13.5" customHeight="1" s="1232">
      <c r="A371" s="1348" t="n">
        <v>45918</v>
      </c>
      <c r="B371" s="1349" t="inlineStr">
        <is>
          <t>James Bevan</t>
        </is>
      </c>
      <c r="C371" s="1350" t="inlineStr">
        <is>
          <t>2. Workshops Non Residential</t>
        </is>
      </c>
      <c r="D371" s="1349" t="inlineStr">
        <is>
          <t>Stripe</t>
        </is>
      </c>
      <c r="E371" s="1351" t="n">
        <v>50</v>
      </c>
      <c r="F371" s="1349" t="inlineStr">
        <is>
          <t>Urban Workshop</t>
        </is>
      </c>
      <c r="G371" s="1349" t="inlineStr">
        <is>
          <t>Referral</t>
        </is>
      </c>
      <c r="I371" t="inlineStr">
        <is>
          <t>URBAN ARCHITECTURE Photography Workshops - Coventry 9 Sep</t>
        </is>
      </c>
      <c r="J371" t="inlineStr">
        <is>
          <t>https://www.alanranger.com/landscape-photography-workshops</t>
        </is>
      </c>
    </row>
    <row r="372" ht="13.5" customHeight="1" s="1232">
      <c r="A372" s="1348" t="n">
        <v>45916</v>
      </c>
      <c r="B372" s="1349" t="inlineStr">
        <is>
          <t>Patricia Pearl</t>
        </is>
      </c>
      <c r="C372" s="1350" t="inlineStr">
        <is>
          <t>7. 1-2-1</t>
        </is>
      </c>
      <c r="D372" s="1349" t="inlineStr">
        <is>
          <t>Stripe</t>
        </is>
      </c>
      <c r="E372" s="1351" t="n">
        <v>95</v>
      </c>
      <c r="F372" s="1349" t="inlineStr">
        <is>
          <t>RPS</t>
        </is>
      </c>
      <c r="G372" s="1349" t="inlineStr">
        <is>
          <t>Google</t>
        </is>
      </c>
      <c r="I372" t="inlineStr">
        <is>
          <t>RPS Mentoring Course (historical)</t>
        </is>
      </c>
      <c r="J372" t="inlineStr">
        <is>
          <t>https://www.alanranger.com/rps-courses-mentoring-distinctions</t>
        </is>
      </c>
    </row>
    <row r="373" ht="13.5" customHeight="1" s="1232">
      <c r="A373" s="1348" t="n">
        <v>45914</v>
      </c>
      <c r="B373" s="1349" t="inlineStr">
        <is>
          <t>Clifford Yeomans</t>
        </is>
      </c>
      <c r="C373" s="1350" t="inlineStr">
        <is>
          <t>12. Academy</t>
        </is>
      </c>
      <c r="D373" s="1349" t="inlineStr">
        <is>
          <t>Stripe</t>
        </is>
      </c>
      <c r="E373" s="1351" t="n">
        <v>20</v>
      </c>
      <c r="F373" s="1349" t="inlineStr">
        <is>
          <t>Academy Exams</t>
        </is>
      </c>
      <c r="G373" s="1349" t="inlineStr">
        <is>
          <t>Google</t>
        </is>
      </c>
      <c r="I373" t="inlineStr">
        <is>
          <t>Academy - Membership / eBook / Exams (historical bundle)</t>
        </is>
      </c>
      <c r="J373" t="inlineStr">
        <is>
          <t>https://www.alanranger.com/free-online-photography-course</t>
        </is>
      </c>
    </row>
    <row r="374" ht="13.5" customHeight="1" s="1232">
      <c r="A374" s="1348" t="n">
        <v>45914</v>
      </c>
      <c r="B374" s="1349" t="inlineStr">
        <is>
          <t>Melissa Patsches</t>
        </is>
      </c>
      <c r="C374" s="1350" t="inlineStr">
        <is>
          <t>12. Academy</t>
        </is>
      </c>
      <c r="D374" s="1349" t="inlineStr">
        <is>
          <t>PayPal</t>
        </is>
      </c>
      <c r="E374" s="1351" t="n">
        <v>20</v>
      </c>
      <c r="F374" s="1349" t="inlineStr">
        <is>
          <t>Academy Exams</t>
        </is>
      </c>
      <c r="G374" s="1349" t="inlineStr">
        <is>
          <t>Google</t>
        </is>
      </c>
      <c r="I374" t="inlineStr">
        <is>
          <t>Academy - Membership / eBook / Exams (historical bundle)</t>
        </is>
      </c>
      <c r="J374" t="inlineStr">
        <is>
          <t>https://www.alanranger.com/free-online-photography-course</t>
        </is>
      </c>
    </row>
    <row r="375" ht="13.5" customHeight="1" s="1232">
      <c r="A375" s="1348" t="n">
        <v>45911</v>
      </c>
      <c r="B375" s="1349" t="inlineStr">
        <is>
          <t>David Silva</t>
        </is>
      </c>
      <c r="C375" s="1350" t="inlineStr">
        <is>
          <t>12. Academy</t>
        </is>
      </c>
      <c r="D375" s="1349" t="inlineStr">
        <is>
          <t>PayPal</t>
        </is>
      </c>
      <c r="E375" s="1351" t="n">
        <v>25</v>
      </c>
      <c r="F375" s="1349" t="inlineStr">
        <is>
          <t>Ebook</t>
        </is>
      </c>
      <c r="G375" s="1349" t="inlineStr">
        <is>
          <t>Google</t>
        </is>
      </c>
      <c r="I375" t="inlineStr">
        <is>
          <t>Academy - Membership / eBook / Exams (historical bundle)</t>
        </is>
      </c>
      <c r="J375" t="inlineStr">
        <is>
          <t>https://www.alanranger.com/free-online-photography-course</t>
        </is>
      </c>
    </row>
    <row r="376" ht="13.5" customHeight="1" s="1232">
      <c r="A376" s="1348" t="n">
        <v>45913</v>
      </c>
      <c r="B376" s="1349" t="inlineStr">
        <is>
          <t>Ross Schoolar</t>
        </is>
      </c>
      <c r="C376" s="1350" t="inlineStr">
        <is>
          <t>12. Academy</t>
        </is>
      </c>
      <c r="D376" s="1349" t="inlineStr">
        <is>
          <t>Stripe</t>
        </is>
      </c>
      <c r="E376" s="1351" t="n">
        <v>30</v>
      </c>
      <c r="F376" s="1349" t="inlineStr">
        <is>
          <t>Sensor Clean</t>
        </is>
      </c>
      <c r="G376" s="1349" t="inlineStr">
        <is>
          <t>Google</t>
        </is>
      </c>
      <c r="I376" t="inlineStr">
        <is>
          <t>Sensor Clean Service (historical)</t>
        </is>
      </c>
      <c r="J376" t="inlineStr">
        <is>
          <t>https://www.alanranger.com/photography-shop-services</t>
        </is>
      </c>
    </row>
    <row r="377" ht="13.5" customHeight="1" s="1232">
      <c r="A377" s="1348" t="n">
        <v>45912</v>
      </c>
      <c r="B377" s="1349" t="inlineStr">
        <is>
          <t>Mahmood Esmail</t>
        </is>
      </c>
      <c r="C377" s="1350" t="inlineStr">
        <is>
          <t>12. Academy</t>
        </is>
      </c>
      <c r="D377" s="1349" t="inlineStr">
        <is>
          <t>Stripe</t>
        </is>
      </c>
      <c r="E377" s="1351" t="n">
        <v>20</v>
      </c>
      <c r="F377" s="1349" t="inlineStr">
        <is>
          <t>Academy Exams</t>
        </is>
      </c>
      <c r="G377" s="1349" t="inlineStr">
        <is>
          <t>Google</t>
        </is>
      </c>
      <c r="I377" t="inlineStr">
        <is>
          <t>Academy - Membership / eBook / Exams (historical bundle)</t>
        </is>
      </c>
      <c r="J377" t="inlineStr">
        <is>
          <t>https://www.alanranger.com/free-online-photography-course</t>
        </is>
      </c>
    </row>
    <row r="378" ht="13.5" customHeight="1" s="1232">
      <c r="A378" s="1348" t="n">
        <v>45912</v>
      </c>
      <c r="B378" s="1349" t="inlineStr">
        <is>
          <t>Myra Little</t>
        </is>
      </c>
      <c r="C378" s="1350" t="inlineStr">
        <is>
          <t>7. 1-2-1</t>
        </is>
      </c>
      <c r="D378" s="1349" t="inlineStr">
        <is>
          <t>Stripe</t>
        </is>
      </c>
      <c r="E378" s="1351" t="n">
        <v>300</v>
      </c>
      <c r="F378" s="1349" t="inlineStr">
        <is>
          <t>Zoom Package</t>
        </is>
      </c>
      <c r="G378" s="1349" t="inlineStr">
        <is>
          <t>Existing</t>
        </is>
      </c>
      <c r="I378" t="inlineStr">
        <is>
          <t>1-2-1 Package - Zoom Multi-Session</t>
        </is>
      </c>
      <c r="J378" t="inlineStr">
        <is>
          <t>https://www.alanranger.com/photography-lessons-online-121</t>
        </is>
      </c>
    </row>
    <row r="379" ht="13.5" customHeight="1" s="1232">
      <c r="A379" s="1348" t="n">
        <v>45910</v>
      </c>
      <c r="B379" s="1349" t="inlineStr">
        <is>
          <t>Jessica Irby</t>
        </is>
      </c>
      <c r="C379" s="1350" t="inlineStr">
        <is>
          <t>12. Academy</t>
        </is>
      </c>
      <c r="D379" s="1349" t="inlineStr">
        <is>
          <t>Stripe</t>
        </is>
      </c>
      <c r="E379" s="1351" t="n">
        <v>20</v>
      </c>
      <c r="F379" s="1349" t="inlineStr">
        <is>
          <t>Academy Exams</t>
        </is>
      </c>
      <c r="G379" s="1349" t="inlineStr">
        <is>
          <t>Google</t>
        </is>
      </c>
      <c r="I379" t="inlineStr">
        <is>
          <t>Academy - Membership / eBook / Exams (historical bundle)</t>
        </is>
      </c>
      <c r="J379" t="inlineStr">
        <is>
          <t>https://www.alanranger.com/free-online-photography-course</t>
        </is>
      </c>
    </row>
    <row r="380" ht="13.5" customHeight="1" s="1232">
      <c r="A380" s="1348" t="n">
        <v>45909</v>
      </c>
      <c r="B380" s="1349" t="inlineStr">
        <is>
          <t>Carolyn Tatman</t>
        </is>
      </c>
      <c r="C380" s="1350" t="inlineStr">
        <is>
          <t>8. Gift Vouchers Inc</t>
        </is>
      </c>
      <c r="D380" s="1349" t="inlineStr">
        <is>
          <t>Stripe</t>
        </is>
      </c>
      <c r="E380" s="1351" t="n">
        <v>150</v>
      </c>
      <c r="F380" s="1349" t="inlineStr">
        <is>
          <t>Digital Gift Card</t>
        </is>
      </c>
      <c r="G380" s="1349" t="inlineStr">
        <is>
          <t>Google</t>
        </is>
      </c>
      <c r="I380" t="inlineStr">
        <is>
          <t>Gift Voucher - Digital eCard</t>
        </is>
      </c>
      <c r="J380" t="inlineStr">
        <is>
          <t>https://www.alanranger.com/photography-gift-vouchers</t>
        </is>
      </c>
    </row>
    <row r="381" ht="13.5" customHeight="1" s="1232">
      <c r="A381" s="1348" t="n">
        <v>45909</v>
      </c>
      <c r="B381" s="1349" t="inlineStr">
        <is>
          <t>John Kitteringham</t>
        </is>
      </c>
      <c r="C381" s="1350" t="inlineStr">
        <is>
          <t>2. Workshops Non Residential</t>
        </is>
      </c>
      <c r="D381" s="1349" t="inlineStr">
        <is>
          <t>Stripe</t>
        </is>
      </c>
      <c r="E381" s="1351" t="n">
        <v>145</v>
      </c>
      <c r="F381" s="1349" t="inlineStr">
        <is>
          <t>Extra night B&amp;B</t>
        </is>
      </c>
      <c r="G381" s="1349" t="inlineStr">
        <is>
          <t>Existing</t>
        </is>
      </c>
      <c r="I381" t="inlineStr">
        <is>
          <t>Residential Workshop - Add-on (Extra Night/B&amp;B)</t>
        </is>
      </c>
      <c r="J381" t="inlineStr">
        <is>
          <t>https://www.alanranger.com/photography-workshops</t>
        </is>
      </c>
    </row>
    <row r="382" ht="13.5" customHeight="1" s="1232">
      <c r="A382" s="1348" t="n">
        <v>45908</v>
      </c>
      <c r="B382" s="1349" t="inlineStr">
        <is>
          <t>Gillian Perry</t>
        </is>
      </c>
      <c r="C382" s="1350" t="inlineStr">
        <is>
          <t>2. Workshops Non Residential</t>
        </is>
      </c>
      <c r="D382" s="1349" t="inlineStr">
        <is>
          <t>PayPal</t>
        </is>
      </c>
      <c r="E382" s="1351" t="n">
        <v>50</v>
      </c>
      <c r="F382" s="1349" t="inlineStr">
        <is>
          <t>Urban Workshop</t>
        </is>
      </c>
      <c r="G382" s="1349" t="inlineStr">
        <is>
          <t>Existing</t>
        </is>
      </c>
      <c r="I382" t="inlineStr">
        <is>
          <t>URBAN ARCHITECTURE Photography Workshops - Coventry 9 Sep</t>
        </is>
      </c>
      <c r="J382" t="inlineStr">
        <is>
          <t>https://www.alanranger.com/landscape-photography-workshops</t>
        </is>
      </c>
    </row>
    <row r="383" ht="13.5" customHeight="1" s="1232">
      <c r="A383" s="1348" t="n">
        <v>45908</v>
      </c>
      <c r="B383" s="1349" t="inlineStr">
        <is>
          <t>Amber Corbett</t>
        </is>
      </c>
      <c r="C383" s="1350" t="inlineStr">
        <is>
          <t>12. Academy</t>
        </is>
      </c>
      <c r="D383" s="1349" t="inlineStr">
        <is>
          <t>Stripe</t>
        </is>
      </c>
      <c r="E383" s="1351" t="n">
        <v>20</v>
      </c>
      <c r="F383" s="1349" t="inlineStr">
        <is>
          <t>Academy Exams</t>
        </is>
      </c>
      <c r="G383" s="1349" t="inlineStr">
        <is>
          <t>Google</t>
        </is>
      </c>
      <c r="I383" t="inlineStr">
        <is>
          <t>Academy - Membership / eBook / Exams (historical bundle)</t>
        </is>
      </c>
      <c r="J383" t="inlineStr">
        <is>
          <t>https://www.alanranger.com/free-online-photography-course</t>
        </is>
      </c>
    </row>
    <row r="384" ht="13.5" customHeight="1" s="1232">
      <c r="A384" s="1348" t="n">
        <v>45906</v>
      </c>
      <c r="B384" s="1349" t="inlineStr">
        <is>
          <t>Laura Wood</t>
        </is>
      </c>
      <c r="C384" s="1350" t="inlineStr">
        <is>
          <t>2. Workshops Non Residential</t>
        </is>
      </c>
      <c r="D384" s="1349" t="inlineStr">
        <is>
          <t>Bank</t>
        </is>
      </c>
      <c r="E384" s="1351" t="n">
        <v>150</v>
      </c>
      <c r="F384" s="1349" t="inlineStr">
        <is>
          <t>Lavender Photography Workshop Gloucestershire at Sunset</t>
        </is>
      </c>
      <c r="G384" s="1349" t="inlineStr">
        <is>
          <t>JLR</t>
        </is>
      </c>
      <c r="I384" t="inlineStr">
        <is>
          <t>LAVENDER FIELD Photography Workshop - Gloucestershire July</t>
        </is>
      </c>
      <c r="J384" t="inlineStr">
        <is>
          <t>https://www.alanranger.com/landscape-photography-workshops</t>
        </is>
      </c>
    </row>
    <row r="385" ht="13.5" customHeight="1" s="1232">
      <c r="A385" s="1348" t="n">
        <v>45906</v>
      </c>
      <c r="B385" s="1349" t="inlineStr">
        <is>
          <t>Emily Goodwin</t>
        </is>
      </c>
      <c r="C385" s="1350" t="inlineStr">
        <is>
          <t>2. Workshops Non Residential</t>
        </is>
      </c>
      <c r="D385" s="1349" t="inlineStr">
        <is>
          <t>Bank</t>
        </is>
      </c>
      <c r="E385" s="1351" t="n">
        <v>150</v>
      </c>
      <c r="F385" s="1349" t="inlineStr">
        <is>
          <t>Lavender Photography Workshop Gloucestershire at Sunset</t>
        </is>
      </c>
      <c r="G385" s="1349" t="inlineStr">
        <is>
          <t>JLR</t>
        </is>
      </c>
      <c r="I385" t="inlineStr">
        <is>
          <t>LAVENDER FIELD Photography Workshop - Gloucestershire July</t>
        </is>
      </c>
      <c r="J385" t="inlineStr">
        <is>
          <t>https://www.alanranger.com/landscape-photography-workshops</t>
        </is>
      </c>
    </row>
    <row r="386" ht="13.5" customHeight="1" s="1232">
      <c r="A386" s="1348" t="n">
        <v>45906</v>
      </c>
      <c r="B386" s="1349" t="inlineStr">
        <is>
          <t>Miles Pixley</t>
        </is>
      </c>
      <c r="C386" s="1350" t="inlineStr">
        <is>
          <t>2. Workshops Non Residential</t>
        </is>
      </c>
      <c r="D386" s="1349" t="inlineStr">
        <is>
          <t>Bank</t>
        </is>
      </c>
      <c r="E386" s="1351" t="n">
        <v>150</v>
      </c>
      <c r="F386" s="1349" t="inlineStr">
        <is>
          <t>Lavender Photography Workshop Gloucestershire at Sunset</t>
        </is>
      </c>
      <c r="G386" s="1349" t="inlineStr">
        <is>
          <t>JLR</t>
        </is>
      </c>
      <c r="I386" t="inlineStr">
        <is>
          <t>LAVENDER FIELD Photography Workshop - Gloucestershire July</t>
        </is>
      </c>
      <c r="J386" t="inlineStr">
        <is>
          <t>https://www.alanranger.com/landscape-photography-workshops</t>
        </is>
      </c>
    </row>
    <row r="387" ht="13.5" customHeight="1" s="1232">
      <c r="A387" s="1348" t="n">
        <v>45906</v>
      </c>
      <c r="B387" s="1349" t="inlineStr">
        <is>
          <t>Brian Edmonds</t>
        </is>
      </c>
      <c r="C387" s="1350" t="inlineStr">
        <is>
          <t>2. Workshops Non Residential</t>
        </is>
      </c>
      <c r="D387" s="1349" t="inlineStr">
        <is>
          <t>Bank</t>
        </is>
      </c>
      <c r="E387" s="1351" t="n">
        <v>150</v>
      </c>
      <c r="F387" s="1349" t="inlineStr">
        <is>
          <t>Lavender Photography Workshop Gloucestershire at Sunset</t>
        </is>
      </c>
      <c r="G387" s="1349" t="inlineStr">
        <is>
          <t>JLR</t>
        </is>
      </c>
      <c r="I387" t="inlineStr">
        <is>
          <t>LAVENDER FIELD Photography Workshop - Gloucestershire July</t>
        </is>
      </c>
      <c r="J387" t="inlineStr">
        <is>
          <t>https://www.alanranger.com/landscape-photography-workshops</t>
        </is>
      </c>
    </row>
    <row r="388" ht="13.5" customHeight="1" s="1232">
      <c r="A388" s="1348" t="n">
        <v>45906</v>
      </c>
      <c r="B388" s="1349" t="inlineStr">
        <is>
          <t>Andrew Nelson</t>
        </is>
      </c>
      <c r="C388" s="1350" t="inlineStr">
        <is>
          <t>2. Workshops Non Residential</t>
        </is>
      </c>
      <c r="D388" s="1349" t="inlineStr">
        <is>
          <t>Bank</t>
        </is>
      </c>
      <c r="E388" s="1351" t="n">
        <v>150</v>
      </c>
      <c r="F388" s="1349" t="inlineStr">
        <is>
          <t>Lavender Photography Workshop Gloucestershire at Sunset</t>
        </is>
      </c>
      <c r="G388" s="1349" t="inlineStr">
        <is>
          <t>JLR</t>
        </is>
      </c>
      <c r="I388" t="inlineStr">
        <is>
          <t>LAVENDER FIELD Photography Workshop - Gloucestershire July</t>
        </is>
      </c>
      <c r="J388" t="inlineStr">
        <is>
          <t>https://www.alanranger.com/landscape-photography-workshops</t>
        </is>
      </c>
    </row>
    <row r="389" ht="13.5" customHeight="1" s="1232">
      <c r="A389" s="1348" t="n">
        <v>45906</v>
      </c>
      <c r="B389" s="1349" t="inlineStr">
        <is>
          <t>Gregory Morgan</t>
        </is>
      </c>
      <c r="C389" s="1350" t="inlineStr">
        <is>
          <t>2. Workshops Non Residential</t>
        </is>
      </c>
      <c r="D389" s="1349" t="inlineStr">
        <is>
          <t>Bank</t>
        </is>
      </c>
      <c r="E389" s="1351" t="n">
        <v>150</v>
      </c>
      <c r="F389" s="1349" t="inlineStr">
        <is>
          <t>Lavender Photography Workshop Gloucestershire at Sunset</t>
        </is>
      </c>
      <c r="G389" s="1349" t="inlineStr">
        <is>
          <t>JLR</t>
        </is>
      </c>
      <c r="I389" t="inlineStr">
        <is>
          <t>LAVENDER FIELD Photography Workshop - Gloucestershire July</t>
        </is>
      </c>
      <c r="J389" t="inlineStr">
        <is>
          <t>https://www.alanranger.com/landscape-photography-workshops</t>
        </is>
      </c>
    </row>
    <row r="390" ht="13.5" customHeight="1" s="1232">
      <c r="A390" s="1348" t="n">
        <v>45906</v>
      </c>
      <c r="B390" s="1349" t="inlineStr">
        <is>
          <t>Sophie Deeley</t>
        </is>
      </c>
      <c r="C390" s="1350" t="inlineStr">
        <is>
          <t>2. Workshops Non Residential</t>
        </is>
      </c>
      <c r="D390" s="1349" t="inlineStr">
        <is>
          <t>Bank</t>
        </is>
      </c>
      <c r="E390" s="1351" t="n">
        <v>150</v>
      </c>
      <c r="F390" s="1349" t="inlineStr">
        <is>
          <t>Lavender Photography Workshop Gloucestershire at Sunset</t>
        </is>
      </c>
      <c r="G390" s="1349" t="inlineStr">
        <is>
          <t>JLR</t>
        </is>
      </c>
      <c r="I390" t="inlineStr">
        <is>
          <t>LAVENDER FIELD Photography Workshop - Gloucestershire July</t>
        </is>
      </c>
      <c r="J390" t="inlineStr">
        <is>
          <t>https://www.alanranger.com/landscape-photography-workshops</t>
        </is>
      </c>
    </row>
    <row r="391" ht="13.5" customHeight="1" s="1232">
      <c r="A391" s="1348" t="n">
        <v>45906</v>
      </c>
      <c r="B391" s="1349" t="inlineStr">
        <is>
          <t>Andrew Haslam</t>
        </is>
      </c>
      <c r="C391" s="1350" t="inlineStr">
        <is>
          <t>2. Workshops Non Residential</t>
        </is>
      </c>
      <c r="D391" s="1349" t="inlineStr">
        <is>
          <t>Stripe</t>
        </is>
      </c>
      <c r="E391" s="1351" t="n">
        <v>99</v>
      </c>
      <c r="F391" s="1349" t="inlineStr">
        <is>
          <t>Batsford</t>
        </is>
      </c>
      <c r="G391" s="1349" t="inlineStr">
        <is>
          <t>Batsford</t>
        </is>
      </c>
      <c r="I391" t="inlineStr">
        <is>
          <t>Gift Voucher - Digital eCard</t>
        </is>
      </c>
      <c r="J391" t="inlineStr">
        <is>
          <t>https://www.alanranger.com/photography-gift-vouchers</t>
        </is>
      </c>
    </row>
    <row r="392" ht="13.5" customHeight="1" s="1232">
      <c r="A392" s="1348" t="n">
        <v>45905</v>
      </c>
      <c r="B392" s="1349" t="inlineStr">
        <is>
          <t>Melanie Valentine</t>
        </is>
      </c>
      <c r="C392" s="1350" t="inlineStr">
        <is>
          <t>2. Workshops Non Residential</t>
        </is>
      </c>
      <c r="D392" s="1349" t="inlineStr">
        <is>
          <t>Stripe</t>
        </is>
      </c>
      <c r="E392" s="1351" t="n">
        <v>150</v>
      </c>
      <c r="F392" s="1349" t="inlineStr">
        <is>
          <t>Batsford</t>
        </is>
      </c>
      <c r="G392" s="1349" t="inlineStr">
        <is>
          <t>Batsford</t>
        </is>
      </c>
      <c r="I392" t="inlineStr">
        <is>
          <t>Gift Voucher - Digital eCard</t>
        </is>
      </c>
      <c r="J392" t="inlineStr">
        <is>
          <t>https://www.alanranger.com/photography-gift-vouchers</t>
        </is>
      </c>
    </row>
    <row r="393" ht="13.5" customHeight="1" s="1232">
      <c r="A393" s="1348" t="n">
        <v>45905</v>
      </c>
      <c r="B393" s="1349" t="inlineStr">
        <is>
          <t>Derek Butt</t>
        </is>
      </c>
      <c r="C393" s="1350" t="inlineStr">
        <is>
          <t>3. Workshops Residential</t>
        </is>
      </c>
      <c r="D393" s="1349" t="inlineStr">
        <is>
          <t>Stripe</t>
        </is>
      </c>
      <c r="E393" s="1351" t="n">
        <v>750</v>
      </c>
      <c r="F393" s="1349" t="inlineStr">
        <is>
          <t>Hartland</t>
        </is>
      </c>
      <c r="G393" s="1349" t="inlineStr">
        <is>
          <t>Google</t>
        </is>
      </c>
      <c r="I393" t="inlineStr">
        <is>
          <t>Landscape Photography DEVON Workshops - Various Dates</t>
        </is>
      </c>
      <c r="J393" t="inlineStr">
        <is>
          <t>https://www.alanranger.com/photography-workshops</t>
        </is>
      </c>
    </row>
    <row r="394" ht="13.5" customHeight="1" s="1232">
      <c r="A394" s="1348" t="n">
        <v>45905</v>
      </c>
      <c r="B394" s="1349" t="inlineStr">
        <is>
          <t>Guillaume Lesoin</t>
        </is>
      </c>
      <c r="C394" s="1350" t="inlineStr">
        <is>
          <t>7. 1-2-1</t>
        </is>
      </c>
      <c r="D394" s="1349" t="inlineStr">
        <is>
          <t>Stripe</t>
        </is>
      </c>
      <c r="E394" s="1351" t="n">
        <v>360</v>
      </c>
      <c r="F394" s="1349" t="inlineStr">
        <is>
          <t>4 x 2hrs</t>
        </is>
      </c>
      <c r="G394" s="1349" t="inlineStr">
        <is>
          <t>Google</t>
        </is>
      </c>
      <c r="I394" t="inlineStr">
        <is>
          <t>1-2-1 Package - 4 x 2hr Face-to-Face (the GBP360 4-for-3)</t>
        </is>
      </c>
      <c r="J394" t="inlineStr">
        <is>
          <t>https://www.alanranger.com/private-photography-lessons</t>
        </is>
      </c>
    </row>
    <row r="395" ht="13.5" customHeight="1" s="1232">
      <c r="A395" s="1348" t="n">
        <v>45905</v>
      </c>
      <c r="B395" s="1349" t="inlineStr">
        <is>
          <t>Nidhi Kumar</t>
        </is>
      </c>
      <c r="C395" s="1350" t="inlineStr">
        <is>
          <t>12. Academy</t>
        </is>
      </c>
      <c r="D395" s="1349" t="inlineStr">
        <is>
          <t>Stripe</t>
        </is>
      </c>
      <c r="E395" s="1351" t="n">
        <v>25</v>
      </c>
      <c r="F395" s="1349" t="inlineStr">
        <is>
          <t>Ebook</t>
        </is>
      </c>
      <c r="G395" s="1349" t="inlineStr">
        <is>
          <t>Google</t>
        </is>
      </c>
      <c r="I395" t="inlineStr">
        <is>
          <t>Academy - Membership / eBook / Exams (historical bundle)</t>
        </is>
      </c>
      <c r="J395" t="inlineStr">
        <is>
          <t>https://www.alanranger.com/free-online-photography-course</t>
        </is>
      </c>
    </row>
    <row r="396" ht="13.5" customHeight="1" s="1232">
      <c r="A396" s="1348" t="n">
        <v>45904</v>
      </c>
      <c r="B396" s="1349" t="inlineStr">
        <is>
          <t>Sandra Dawkes</t>
        </is>
      </c>
      <c r="C396" s="1350" t="inlineStr">
        <is>
          <t>2. Workshops Non Residential</t>
        </is>
      </c>
      <c r="D396" s="1349" t="inlineStr">
        <is>
          <t>Stripe</t>
        </is>
      </c>
      <c r="E396" s="1351" t="n">
        <v>50</v>
      </c>
      <c r="F396" s="1349" t="inlineStr">
        <is>
          <t>Urban Workshop</t>
        </is>
      </c>
      <c r="G396" s="1349" t="inlineStr">
        <is>
          <t>Existing</t>
        </is>
      </c>
      <c r="I396" t="inlineStr">
        <is>
          <t>URBAN ARCHITECTURE Photography Workshops - Coventry 9 Sep</t>
        </is>
      </c>
      <c r="J396" t="inlineStr">
        <is>
          <t>https://www.alanranger.com/landscape-photography-workshops</t>
        </is>
      </c>
    </row>
    <row r="397" ht="13.5" customHeight="1" s="1232">
      <c r="A397" s="1348" t="n">
        <v>45901</v>
      </c>
      <c r="B397" s="1349" t="inlineStr">
        <is>
          <t>Selwyn Selikowitz</t>
        </is>
      </c>
      <c r="C397" s="1350" t="inlineStr">
        <is>
          <t>12. Academy</t>
        </is>
      </c>
      <c r="D397" s="1349" t="inlineStr">
        <is>
          <t>PayPal</t>
        </is>
      </c>
      <c r="E397" s="1351" t="n">
        <v>25</v>
      </c>
      <c r="F397" s="1349" t="inlineStr">
        <is>
          <t>Academby Book</t>
        </is>
      </c>
      <c r="G397" s="1349" t="inlineStr">
        <is>
          <t>Google</t>
        </is>
      </c>
      <c r="I397" t="inlineStr">
        <is>
          <t>Academy - Membership / eBook / Exams (historical bundle)</t>
        </is>
      </c>
      <c r="J397" t="inlineStr">
        <is>
          <t>https://www.alanranger.com/free-online-photography-course</t>
        </is>
      </c>
    </row>
    <row r="398" ht="13.5" customHeight="1" s="1232">
      <c r="A398" s="1348" t="n">
        <v>45901</v>
      </c>
      <c r="B398" s="1349" t="inlineStr">
        <is>
          <t>Santha Stynes</t>
        </is>
      </c>
      <c r="C398" s="1350" t="inlineStr">
        <is>
          <t>12. Academy</t>
        </is>
      </c>
      <c r="D398" s="1349" t="inlineStr">
        <is>
          <t>Stripe</t>
        </is>
      </c>
      <c r="E398" s="1351" t="n">
        <v>55</v>
      </c>
      <c r="F398" s="1349" t="inlineStr">
        <is>
          <t>Academby Book +PDFs</t>
        </is>
      </c>
      <c r="G398" s="1349" t="inlineStr">
        <is>
          <t>Google</t>
        </is>
      </c>
      <c r="I398" t="inlineStr">
        <is>
          <t>Academy - Membership / eBook / Exams (historical bundle)</t>
        </is>
      </c>
      <c r="J398" t="inlineStr">
        <is>
          <t>https://www.alanranger.com/free-online-photography-course</t>
        </is>
      </c>
    </row>
    <row r="399" ht="13.5" customHeight="1" s="1232">
      <c r="A399" s="1348" t="n">
        <v>45901</v>
      </c>
      <c r="B399" s="1349" t="inlineStr">
        <is>
          <t>Mentoring Subs</t>
        </is>
      </c>
      <c r="C399" s="1350" t="inlineStr">
        <is>
          <t>6. Mentoring</t>
        </is>
      </c>
      <c r="D399" s="1349" t="inlineStr">
        <is>
          <t>Stripe</t>
        </is>
      </c>
      <c r="E399" s="1351" t="n">
        <v>35</v>
      </c>
      <c r="F399" s="1349" t="inlineStr">
        <is>
          <t>Mentoring Subs</t>
        </is>
      </c>
      <c r="G399" s="1349" t="inlineStr">
        <is>
          <t>Existing</t>
        </is>
      </c>
      <c r="I399" t="inlineStr">
        <is>
          <t>Mentoring - Monthly Subscription</t>
        </is>
      </c>
      <c r="J399" t="inlineStr">
        <is>
          <t>https://www.alanranger.com/photography-mentoring-online-assignments</t>
        </is>
      </c>
    </row>
    <row r="400" ht="13.5" customHeight="1" s="1232">
      <c r="A400" s="1348" t="n"/>
      <c r="B400" s="1349" t="n"/>
      <c r="C400" s="1350" t="n"/>
      <c r="D400" s="1349" t="n"/>
      <c r="E400" s="1351" t="n"/>
      <c r="F400" s="1349" t="n"/>
      <c r="G400" s="1349" t="n"/>
    </row>
    <row r="401" ht="13.5" customHeight="1" s="1232">
      <c r="A401" s="1348" t="n">
        <v>45898</v>
      </c>
      <c r="B401" s="1349" t="inlineStr">
        <is>
          <t>Connie Miller</t>
        </is>
      </c>
      <c r="C401" s="1350" t="inlineStr">
        <is>
          <t>3. Workshops Residential</t>
        </is>
      </c>
      <c r="D401" s="1349" t="inlineStr">
        <is>
          <t>Stripe</t>
        </is>
      </c>
      <c r="E401" s="1351" t="n">
        <v>82.40000000000001</v>
      </c>
      <c r="F401" s="1349" t="inlineStr">
        <is>
          <t>Hartland Double Occ</t>
        </is>
      </c>
      <c r="G401" s="1349" t="inlineStr">
        <is>
          <t>Existing</t>
        </is>
      </c>
      <c r="I401" t="inlineStr">
        <is>
          <t>Residential Workshop - Add-on (Extra Night/B&amp;B)</t>
        </is>
      </c>
      <c r="J401" t="inlineStr">
        <is>
          <t>https://www.alanranger.com/photography-workshops</t>
        </is>
      </c>
    </row>
    <row r="402" ht="13.5" customHeight="1" s="1232">
      <c r="A402" s="1348" t="n">
        <v>45897</v>
      </c>
      <c r="B402" s="1349" t="inlineStr">
        <is>
          <t>George King</t>
        </is>
      </c>
      <c r="C402" s="1350" t="inlineStr">
        <is>
          <t>2. Workshops Non Residential</t>
        </is>
      </c>
      <c r="D402" s="1349" t="inlineStr">
        <is>
          <t>Stripe</t>
        </is>
      </c>
      <c r="E402" s="1351" t="n">
        <v>50</v>
      </c>
      <c r="F402" s="1349" t="inlineStr">
        <is>
          <t>LE Kenilworth</t>
        </is>
      </c>
      <c r="G402" s="1349" t="inlineStr">
        <is>
          <t>Google</t>
        </is>
      </c>
      <c r="I402" t="inlineStr">
        <is>
          <t>Long Exposure Photography Workshop KENILWORTH Sunset</t>
        </is>
      </c>
      <c r="J402" t="inlineStr">
        <is>
          <t>https://www.alanranger.com/landscape-photography-workshops</t>
        </is>
      </c>
    </row>
    <row r="403" ht="13.5" customHeight="1" s="1232">
      <c r="A403" s="1348" t="n">
        <v>45896</v>
      </c>
      <c r="B403" s="1349" t="inlineStr">
        <is>
          <t>Jeremy Troth</t>
        </is>
      </c>
      <c r="C403" s="1350" t="inlineStr">
        <is>
          <t>2. Workshops Non Residential</t>
        </is>
      </c>
      <c r="D403" s="1349" t="inlineStr">
        <is>
          <t>Stripe</t>
        </is>
      </c>
      <c r="E403" s="1351" t="n">
        <v>15</v>
      </c>
      <c r="F403" s="1349" t="inlineStr">
        <is>
          <t>Hay Woods</t>
        </is>
      </c>
      <c r="G403" s="1349" t="inlineStr">
        <is>
          <t>Existing</t>
        </is>
      </c>
      <c r="I403" t="inlineStr">
        <is>
          <t>Woodland Photography Walk - Warwickshire (half-day low-cost)</t>
        </is>
      </c>
      <c r="J403" t="inlineStr">
        <is>
          <t>https://www.alanranger.com/landscape-photography-workshops</t>
        </is>
      </c>
    </row>
    <row r="404" ht="13.5" customHeight="1" s="1232">
      <c r="A404" s="1348" t="n">
        <v>45891</v>
      </c>
      <c r="B404" s="1349" t="inlineStr">
        <is>
          <t>Paul Carey</t>
        </is>
      </c>
      <c r="C404" s="1350" t="inlineStr">
        <is>
          <t>2. Workshops Non Residential</t>
        </is>
      </c>
      <c r="D404" s="1349" t="inlineStr">
        <is>
          <t>Stripe</t>
        </is>
      </c>
      <c r="E404" s="1351" t="n">
        <v>50</v>
      </c>
      <c r="F404" s="1349" t="inlineStr">
        <is>
          <t>LE Kenilworth</t>
        </is>
      </c>
      <c r="G404" s="1349" t="inlineStr">
        <is>
          <t>Google</t>
        </is>
      </c>
      <c r="I404" t="inlineStr">
        <is>
          <t>Long Exposure Photography Workshop KENILWORTH Sunset</t>
        </is>
      </c>
      <c r="J404" t="inlineStr">
        <is>
          <t>https://www.alanranger.com/landscape-photography-workshops</t>
        </is>
      </c>
    </row>
    <row r="405" ht="13.5" customHeight="1" s="1232">
      <c r="A405" s="1348" t="n">
        <v>45891</v>
      </c>
      <c r="B405" s="1349" t="inlineStr">
        <is>
          <t>Phil Page</t>
        </is>
      </c>
      <c r="C405" s="1350" t="inlineStr">
        <is>
          <t>2. Workshops Non Residential</t>
        </is>
      </c>
      <c r="D405" s="1349" t="inlineStr">
        <is>
          <t>Bank</t>
        </is>
      </c>
      <c r="E405" s="1351" t="n">
        <v>95</v>
      </c>
      <c r="F405" s="1349" t="inlineStr">
        <is>
          <t>Long Exposure Photography Workshop - Burnham on Sea Sunset</t>
        </is>
      </c>
      <c r="G405" s="1349" t="inlineStr">
        <is>
          <t>JLR</t>
        </is>
      </c>
      <c r="I405" t="inlineStr">
        <is>
          <t>BURNHAM ON SEA Long Exposure Photography Workshop 1 Aug</t>
        </is>
      </c>
      <c r="J405" t="inlineStr">
        <is>
          <t>https://www.alanranger.com/landscape-photography-workshops</t>
        </is>
      </c>
    </row>
    <row r="406" ht="13.5" customHeight="1" s="1232">
      <c r="A406" s="1348" t="n">
        <v>45890</v>
      </c>
      <c r="B406" s="1349" t="inlineStr">
        <is>
          <t>Scott Bremner</t>
        </is>
      </c>
      <c r="C406" s="1350" t="inlineStr">
        <is>
          <t>2. Workshops Non Residential</t>
        </is>
      </c>
      <c r="D406" s="1349" t="inlineStr">
        <is>
          <t>Stripe</t>
        </is>
      </c>
      <c r="E406" s="1351" t="n">
        <v>50</v>
      </c>
      <c r="F406" s="1349" t="inlineStr">
        <is>
          <t>LE Kenilworth</t>
        </is>
      </c>
      <c r="G406" s="1349" t="inlineStr">
        <is>
          <t>Existing</t>
        </is>
      </c>
      <c r="I406" t="inlineStr">
        <is>
          <t>Long Exposure Photography Workshop KENILWORTH Sunset</t>
        </is>
      </c>
      <c r="J406" t="inlineStr">
        <is>
          <t>https://www.alanranger.com/landscape-photography-workshops</t>
        </is>
      </c>
    </row>
    <row r="407" ht="13.5" customHeight="1" s="1232">
      <c r="A407" s="1348" t="n">
        <v>45889</v>
      </c>
      <c r="B407" s="1349" t="inlineStr">
        <is>
          <t>Claire McClaughry</t>
        </is>
      </c>
      <c r="C407" s="1350" t="inlineStr">
        <is>
          <t>2. Workshops Non Residential</t>
        </is>
      </c>
      <c r="D407" s="1349" t="inlineStr">
        <is>
          <t>Stripe</t>
        </is>
      </c>
      <c r="E407" s="1351" t="n">
        <v>50</v>
      </c>
      <c r="F407" s="1349" t="inlineStr">
        <is>
          <t>Chesterton</t>
        </is>
      </c>
      <c r="G407" s="1349" t="inlineStr">
        <is>
          <t>Google</t>
        </is>
      </c>
      <c r="I407" t="inlineStr">
        <is>
          <t>Photography Workshops CHESTERTON WINDMILL - Warwickshire</t>
        </is>
      </c>
      <c r="J407" t="inlineStr">
        <is>
          <t>https://www.alanranger.com/landscape-photography-workshops</t>
        </is>
      </c>
    </row>
    <row r="408" ht="13.5" customHeight="1" s="1232">
      <c r="A408" s="1348" t="n">
        <v>45888</v>
      </c>
      <c r="B408" s="1349" t="inlineStr">
        <is>
          <t>Lisa Shaw</t>
        </is>
      </c>
      <c r="C408" s="1350" t="inlineStr">
        <is>
          <t>11 Commissions</t>
        </is>
      </c>
      <c r="D408" s="1349" t="inlineStr">
        <is>
          <t>Bank</t>
        </is>
      </c>
      <c r="E408" s="1351" t="n">
        <v>75</v>
      </c>
      <c r="F408" s="1349" t="inlineStr">
        <is>
          <t>Artwork Photography</t>
        </is>
      </c>
      <c r="G408" s="1349" t="inlineStr">
        <is>
          <t>Google</t>
        </is>
      </c>
      <c r="I408" t="inlineStr">
        <is>
          <t>Commission - Commercial / Product Shoot</t>
        </is>
      </c>
      <c r="J408" t="inlineStr">
        <is>
          <t>https://www.alanranger.com/professional-commercial-photographer-coventry</t>
        </is>
      </c>
    </row>
    <row r="409" ht="13.5" customHeight="1" s="1232">
      <c r="A409" s="1348" t="n">
        <v>45887</v>
      </c>
      <c r="B409" s="1349" t="inlineStr">
        <is>
          <t>Bernadette Hart</t>
        </is>
      </c>
      <c r="C409" s="1350" t="inlineStr">
        <is>
          <t>2. Workshops Non Residential</t>
        </is>
      </c>
      <c r="D409" s="1349" t="inlineStr">
        <is>
          <t>Bank</t>
        </is>
      </c>
      <c r="E409" s="1351" t="n">
        <v>120</v>
      </c>
      <c r="F409" s="1349" t="inlineStr">
        <is>
          <t>Peak District Oct</t>
        </is>
      </c>
      <c r="G409" s="1349" t="inlineStr">
        <is>
          <t>Into the Blue</t>
        </is>
      </c>
      <c r="I409" t="inlineStr">
        <is>
          <t>PEAK DISTRICT Photography Workshops - May, Oct and Nov</t>
        </is>
      </c>
      <c r="J409" t="inlineStr">
        <is>
          <t>https://www.alanranger.com/one-day-landscape-photography-workshops</t>
        </is>
      </c>
    </row>
    <row r="410" ht="13.5" customHeight="1" s="1232">
      <c r="A410" s="1348" t="n">
        <v>45884</v>
      </c>
      <c r="B410" s="1349" t="inlineStr">
        <is>
          <t>Rob Sample</t>
        </is>
      </c>
      <c r="C410" s="1350" t="inlineStr">
        <is>
          <t>12. Academy</t>
        </is>
      </c>
      <c r="D410" s="1349" t="inlineStr">
        <is>
          <t>Stripe</t>
        </is>
      </c>
      <c r="E410" s="1351" t="n">
        <v>25</v>
      </c>
      <c r="F410" s="1349" t="inlineStr">
        <is>
          <t>e-Book</t>
        </is>
      </c>
      <c r="G410" s="1349" t="inlineStr">
        <is>
          <t>Google</t>
        </is>
      </c>
      <c r="I410" t="inlineStr">
        <is>
          <t>Academy - Membership / eBook / Exams (historical bundle)</t>
        </is>
      </c>
      <c r="J410" t="inlineStr">
        <is>
          <t>https://www.alanranger.com/free-online-photography-course</t>
        </is>
      </c>
    </row>
    <row r="411" ht="13.5" customHeight="1" s="1232">
      <c r="A411" s="1348" t="n">
        <v>45884</v>
      </c>
      <c r="B411" s="1349" t="inlineStr">
        <is>
          <t>Sunil Prasad</t>
        </is>
      </c>
      <c r="C411" s="1350" t="inlineStr">
        <is>
          <t>1. Courses/masterclasses</t>
        </is>
      </c>
      <c r="D411" s="1349" t="inlineStr">
        <is>
          <t>Bank</t>
        </is>
      </c>
      <c r="E411" s="1351" t="n">
        <v>150</v>
      </c>
      <c r="F411" s="1349" t="inlineStr">
        <is>
          <t>Camera Courses For Beginners</t>
        </is>
      </c>
      <c r="G411" s="1349" t="inlineStr">
        <is>
          <t>JLR</t>
        </is>
      </c>
      <c r="I411" t="inlineStr">
        <is>
          <t>Beginners Photography Course | 3 Weekly Evening Classes</t>
        </is>
      </c>
      <c r="J411" t="inlineStr">
        <is>
          <t>https://www.alanranger.com/beginners-photography-classes</t>
        </is>
      </c>
    </row>
    <row r="412" ht="13.5" customHeight="1" s="1232">
      <c r="A412" s="1348" t="n">
        <v>45884</v>
      </c>
      <c r="B412" s="1349" t="inlineStr">
        <is>
          <t>Shashank Herle</t>
        </is>
      </c>
      <c r="C412" s="1350" t="inlineStr">
        <is>
          <t>1. Courses/masterclasses</t>
        </is>
      </c>
      <c r="D412" s="1349" t="inlineStr">
        <is>
          <t>Bank</t>
        </is>
      </c>
      <c r="E412" s="1351" t="n">
        <v>150</v>
      </c>
      <c r="F412" s="1349" t="inlineStr">
        <is>
          <t>Camera Courses For Beginners</t>
        </is>
      </c>
      <c r="G412" s="1349" t="inlineStr">
        <is>
          <t>JLR</t>
        </is>
      </c>
      <c r="I412" t="inlineStr">
        <is>
          <t>Beginners Photography Course | 3 Weekly Evening Classes</t>
        </is>
      </c>
      <c r="J412" t="inlineStr">
        <is>
          <t>https://www.alanranger.com/beginners-photography-classes</t>
        </is>
      </c>
    </row>
    <row r="413" ht="13.5" customHeight="1" s="1232">
      <c r="A413" s="1348" t="n">
        <v>45884</v>
      </c>
      <c r="B413" s="1349" t="inlineStr">
        <is>
          <t>Pradeep Gadag</t>
        </is>
      </c>
      <c r="C413" s="1350" t="inlineStr">
        <is>
          <t>1. Courses/masterclasses</t>
        </is>
      </c>
      <c r="D413" s="1349" t="inlineStr">
        <is>
          <t>Bank</t>
        </is>
      </c>
      <c r="E413" s="1351" t="n">
        <v>150</v>
      </c>
      <c r="F413" s="1349" t="inlineStr">
        <is>
          <t>Camera Courses For Beginners</t>
        </is>
      </c>
      <c r="G413" s="1349" t="inlineStr">
        <is>
          <t>JLR</t>
        </is>
      </c>
      <c r="I413" t="inlineStr">
        <is>
          <t>Beginners Photography Course | 3 Weekly Evening Classes</t>
        </is>
      </c>
      <c r="J413" t="inlineStr">
        <is>
          <t>https://www.alanranger.com/beginners-photography-classes</t>
        </is>
      </c>
    </row>
    <row r="414" ht="13.5" customHeight="1" s="1232">
      <c r="A414" s="1348" t="n">
        <v>45884</v>
      </c>
      <c r="B414" s="1349" t="inlineStr">
        <is>
          <t>Anna Higginson</t>
        </is>
      </c>
      <c r="C414" s="1350" t="inlineStr">
        <is>
          <t>1. Courses/masterclasses</t>
        </is>
      </c>
      <c r="D414" s="1349" t="inlineStr">
        <is>
          <t>Bank</t>
        </is>
      </c>
      <c r="E414" s="1351" t="n">
        <v>150</v>
      </c>
      <c r="F414" s="1349" t="inlineStr">
        <is>
          <t>Camera Courses For Beginners</t>
        </is>
      </c>
      <c r="G414" s="1349" t="inlineStr">
        <is>
          <t>JLR</t>
        </is>
      </c>
      <c r="I414" t="inlineStr">
        <is>
          <t>Beginners Photography Course | 3 Weekly Evening Classes</t>
        </is>
      </c>
      <c r="J414" t="inlineStr">
        <is>
          <t>https://www.alanranger.com/beginners-photography-classes</t>
        </is>
      </c>
    </row>
    <row r="415" ht="13.5" customHeight="1" s="1232">
      <c r="A415" s="1348" t="n">
        <v>45884</v>
      </c>
      <c r="B415" s="1349" t="inlineStr">
        <is>
          <t>Gwyn Jones</t>
        </is>
      </c>
      <c r="C415" s="1350" t="inlineStr">
        <is>
          <t>2. Workshops Non Residential</t>
        </is>
      </c>
      <c r="D415" s="1349" t="inlineStr">
        <is>
          <t>Bank</t>
        </is>
      </c>
      <c r="E415" s="1351" t="n">
        <v>35</v>
      </c>
      <c r="F415" s="1349" t="inlineStr">
        <is>
          <t>Garden Photography Workshop - Private Garden - Coventry</t>
        </is>
      </c>
      <c r="G415" s="1349" t="inlineStr">
        <is>
          <t>JLR</t>
        </is>
      </c>
      <c r="I415" t="inlineStr">
        <is>
          <t>The Art of GARDEN PHOTOGRAPHY  - Coventry -  May and July</t>
        </is>
      </c>
      <c r="J415" t="inlineStr">
        <is>
          <t>https://www.alanranger.com/landscape-photography-workshops</t>
        </is>
      </c>
    </row>
    <row r="416" ht="13.5" customHeight="1" s="1232">
      <c r="A416" s="1348" t="n">
        <v>45884</v>
      </c>
      <c r="B416" s="1349" t="inlineStr">
        <is>
          <t>Edward Andrews</t>
        </is>
      </c>
      <c r="C416" s="1350" t="inlineStr">
        <is>
          <t>2. Workshops Non Residential</t>
        </is>
      </c>
      <c r="D416" s="1349" t="inlineStr">
        <is>
          <t>Bank</t>
        </is>
      </c>
      <c r="E416" s="1351" t="n">
        <v>35</v>
      </c>
      <c r="F416" s="1349" t="inlineStr">
        <is>
          <t>Garden Photography Workshop - Private Garden - Coventry</t>
        </is>
      </c>
      <c r="G416" s="1349" t="inlineStr">
        <is>
          <t>JLR</t>
        </is>
      </c>
      <c r="I416" t="inlineStr">
        <is>
          <t>The Art of GARDEN PHOTOGRAPHY  - Coventry -  May and July</t>
        </is>
      </c>
      <c r="J416" t="inlineStr">
        <is>
          <t>https://www.alanranger.com/landscape-photography-workshops</t>
        </is>
      </c>
    </row>
    <row r="417" ht="13.5" customHeight="1" s="1232">
      <c r="A417" s="1348" t="n">
        <v>45884</v>
      </c>
      <c r="B417" s="1349" t="inlineStr">
        <is>
          <t>Volkan Ayik</t>
        </is>
      </c>
      <c r="C417" s="1350" t="inlineStr">
        <is>
          <t>2. Workshops Non Residential</t>
        </is>
      </c>
      <c r="D417" s="1349" t="inlineStr">
        <is>
          <t>Bank</t>
        </is>
      </c>
      <c r="E417" s="1351" t="n">
        <v>35</v>
      </c>
      <c r="F417" s="1349" t="inlineStr">
        <is>
          <t>Garden Photography Workshop - Private Garden - Coventry</t>
        </is>
      </c>
      <c r="G417" s="1349" t="inlineStr">
        <is>
          <t>JLR</t>
        </is>
      </c>
      <c r="I417" t="inlineStr">
        <is>
          <t>The Art of GARDEN PHOTOGRAPHY  - Coventry -  May and July</t>
        </is>
      </c>
      <c r="J417" t="inlineStr">
        <is>
          <t>https://www.alanranger.com/landscape-photography-workshops</t>
        </is>
      </c>
    </row>
    <row r="418" ht="13.5" customHeight="1" s="1232">
      <c r="A418" s="1348" t="n">
        <v>45881</v>
      </c>
      <c r="B418" s="1349" t="inlineStr">
        <is>
          <t>William Mustoe</t>
        </is>
      </c>
      <c r="C418" s="1350" t="inlineStr">
        <is>
          <t>2. Workshops Non Residential</t>
        </is>
      </c>
      <c r="D418" s="1349" t="inlineStr">
        <is>
          <t>Gift Voucher Out</t>
        </is>
      </c>
      <c r="E418" s="1351" t="n">
        <v>99</v>
      </c>
      <c r="F418" s="1349" t="inlineStr">
        <is>
          <t>Batsford</t>
        </is>
      </c>
      <c r="G418" s="1349" t="inlineStr">
        <is>
          <t>Existing</t>
        </is>
      </c>
      <c r="I418" t="inlineStr">
        <is>
          <t>Gift Voucher - Digital eCard</t>
        </is>
      </c>
      <c r="J418" t="inlineStr">
        <is>
          <t>https://www.alanranger.com/photography-gift-vouchers</t>
        </is>
      </c>
    </row>
    <row r="419" ht="13.5" customHeight="1" s="1232">
      <c r="A419" s="1348" t="n">
        <v>45881</v>
      </c>
      <c r="B419" s="1349" t="inlineStr">
        <is>
          <t>William Mustoe</t>
        </is>
      </c>
      <c r="C419" s="1350" t="inlineStr">
        <is>
          <t>9. Gift Vouchers Out</t>
        </is>
      </c>
      <c r="D419" s="1349" t="inlineStr">
        <is>
          <t>Gift Voucher Out</t>
        </is>
      </c>
      <c r="E419" s="1351" t="n">
        <v>-99</v>
      </c>
      <c r="F419" s="1349" t="inlineStr">
        <is>
          <t>Digital Gift Card</t>
        </is>
      </c>
      <c r="G419" s="1349" t="inlineStr">
        <is>
          <t>Existing</t>
        </is>
      </c>
      <c r="I419" t="inlineStr">
        <is>
          <t>Voucher/Plan Redemption - not a product sale</t>
        </is>
      </c>
      <c r="J419" t="inlineStr"/>
    </row>
    <row r="420" ht="13.5" customHeight="1" s="1232">
      <c r="A420" s="1348" t="n">
        <v>45880</v>
      </c>
      <c r="B420" s="1349" t="inlineStr">
        <is>
          <t>William Mustoe</t>
        </is>
      </c>
      <c r="C420" s="1350" t="inlineStr">
        <is>
          <t>8. Gift Vouchers Inc</t>
        </is>
      </c>
      <c r="D420" s="1349" t="inlineStr">
        <is>
          <t>Stripe</t>
        </is>
      </c>
      <c r="E420" s="1351" t="n">
        <v>100</v>
      </c>
      <c r="F420" s="1349" t="inlineStr">
        <is>
          <t>Digital Gift Card</t>
        </is>
      </c>
      <c r="G420" s="1349" t="inlineStr">
        <is>
          <t>Google</t>
        </is>
      </c>
      <c r="I420" t="inlineStr">
        <is>
          <t>Gift Voucher - Digital eCard</t>
        </is>
      </c>
      <c r="J420" t="inlineStr">
        <is>
          <t>https://www.alanranger.com/photography-gift-vouchers</t>
        </is>
      </c>
    </row>
    <row r="421" ht="13.5" customHeight="1" s="1232">
      <c r="A421" s="1348" t="n">
        <v>45873</v>
      </c>
      <c r="B421" s="1349" t="inlineStr">
        <is>
          <t>Dianne Morgan</t>
        </is>
      </c>
      <c r="C421" s="1350" t="inlineStr">
        <is>
          <t>1. Courses/masterclasses</t>
        </is>
      </c>
      <c r="D421" s="1349" t="inlineStr">
        <is>
          <t>Stripe</t>
        </is>
      </c>
      <c r="E421" s="1351" t="n">
        <v>150</v>
      </c>
      <c r="F421" s="1349" t="inlineStr">
        <is>
          <t>Camera Course</t>
        </is>
      </c>
      <c r="G421" s="1349" t="inlineStr">
        <is>
          <t>Google</t>
        </is>
      </c>
      <c r="I421" t="inlineStr">
        <is>
          <t>Beginners Photography Course | 3 Weekly Evening Classes</t>
        </is>
      </c>
      <c r="J421" t="inlineStr">
        <is>
          <t>https://www.alanranger.com/beginners-photography-classes</t>
        </is>
      </c>
    </row>
    <row r="422" ht="13.5" customHeight="1" s="1232">
      <c r="A422" s="1348" t="n">
        <v>45873</v>
      </c>
      <c r="B422" s="1349" t="inlineStr">
        <is>
          <t>Peter Wilson - Atmos</t>
        </is>
      </c>
      <c r="C422" s="1350" t="inlineStr">
        <is>
          <t>1. Courses/masterclasses</t>
        </is>
      </c>
      <c r="D422" s="1349" t="inlineStr">
        <is>
          <t>Bank</t>
        </is>
      </c>
      <c r="E422" s="1351" t="n">
        <v>25</v>
      </c>
      <c r="F422" s="1349" t="inlineStr">
        <is>
          <t>Camera Course</t>
        </is>
      </c>
      <c r="G422" s="1349" t="inlineStr">
        <is>
          <t>Existing</t>
        </is>
      </c>
      <c r="I422" t="inlineStr">
        <is>
          <t>Beginners Photography Course | 3 Weekly Evening Classes</t>
        </is>
      </c>
      <c r="J422" t="inlineStr">
        <is>
          <t>https://www.alanranger.com/beginners-photography-classes</t>
        </is>
      </c>
    </row>
    <row r="423" ht="13.5" customHeight="1" s="1232">
      <c r="A423" s="1348" t="n">
        <v>45870</v>
      </c>
      <c r="B423" s="1349" t="inlineStr">
        <is>
          <t>Mentoring Subs</t>
        </is>
      </c>
      <c r="C423" s="1350" t="inlineStr">
        <is>
          <t>6. Mentoring</t>
        </is>
      </c>
      <c r="D423" s="1349" t="inlineStr">
        <is>
          <t>Stripe</t>
        </is>
      </c>
      <c r="E423" s="1351" t="n">
        <v>35</v>
      </c>
      <c r="F423" s="1349" t="inlineStr">
        <is>
          <t>Mentoring Subs</t>
        </is>
      </c>
      <c r="G423" s="1349" t="inlineStr">
        <is>
          <t>Existing</t>
        </is>
      </c>
      <c r="I423" t="inlineStr">
        <is>
          <t>Mentoring - Monthly Subscription</t>
        </is>
      </c>
      <c r="J423" t="inlineStr">
        <is>
          <t>https://www.alanranger.com/photography-mentoring-online-assignments</t>
        </is>
      </c>
    </row>
    <row r="424" ht="13.5" customHeight="1" s="1232">
      <c r="A424" s="1348" t="n"/>
      <c r="B424" s="1349" t="n"/>
      <c r="C424" s="1350" t="n"/>
      <c r="D424" s="1349" t="n"/>
      <c r="E424" s="1351" t="n"/>
      <c r="F424" s="1349" t="n"/>
      <c r="G424" s="1349" t="n"/>
    </row>
    <row r="425" ht="13.5" customHeight="1" s="1232">
      <c r="A425" s="1348" t="n">
        <v>45868</v>
      </c>
      <c r="B425" s="1349" t="inlineStr">
        <is>
          <t xml:space="preserve">John Simpson </t>
        </is>
      </c>
      <c r="C425" s="1350" t="inlineStr">
        <is>
          <t>7. 1-2-1</t>
        </is>
      </c>
      <c r="D425" s="1349" t="inlineStr">
        <is>
          <t>PayPal</t>
        </is>
      </c>
      <c r="E425" s="1351" t="n">
        <v>50</v>
      </c>
      <c r="F425" s="1349" t="inlineStr">
        <is>
          <t>1hr Zoom</t>
        </is>
      </c>
      <c r="G425" s="1349" t="inlineStr">
        <is>
          <t>Existing</t>
        </is>
      </c>
      <c r="I425" t="inlineStr">
        <is>
          <t>1-2-1 Single Session - 1hr Zoom</t>
        </is>
      </c>
      <c r="J425" t="inlineStr">
        <is>
          <t>https://www.alanranger.com/photography-lessons-online-121</t>
        </is>
      </c>
    </row>
    <row r="426" ht="13.5" customHeight="1" s="1232">
      <c r="A426" s="1348" t="n">
        <v>45866</v>
      </c>
      <c r="B426" s="1349" t="inlineStr">
        <is>
          <t>Fiona Carter</t>
        </is>
      </c>
      <c r="C426" s="1350" t="inlineStr">
        <is>
          <t>2. Workshops Non Residential</t>
        </is>
      </c>
      <c r="D426" s="1349" t="inlineStr">
        <is>
          <t>Stripe</t>
        </is>
      </c>
      <c r="E426" s="1351" t="n">
        <v>200</v>
      </c>
      <c r="F426" s="1349" t="inlineStr">
        <is>
          <t>Heathers</t>
        </is>
      </c>
      <c r="G426" s="1349" t="inlineStr">
        <is>
          <t>Google</t>
        </is>
      </c>
      <c r="I426" t="inlineStr">
        <is>
          <t>PEAK DISTRICT HEATHER Photography Workshops - 15-16 Aug</t>
        </is>
      </c>
      <c r="J426" t="inlineStr">
        <is>
          <t>https://www.alanranger.com/landscape-photography-workshops</t>
        </is>
      </c>
    </row>
    <row r="427" ht="13.5" customHeight="1" s="1232">
      <c r="A427" s="1348" t="n">
        <v>45865</v>
      </c>
      <c r="B427" s="1349" t="inlineStr">
        <is>
          <t>C C Katsande</t>
        </is>
      </c>
      <c r="C427" s="1350" t="inlineStr">
        <is>
          <t>1. Courses/masterclasses</t>
        </is>
      </c>
      <c r="D427" s="1349" t="inlineStr">
        <is>
          <t>Stripe</t>
        </is>
      </c>
      <c r="E427" s="1351" t="n">
        <v>150</v>
      </c>
      <c r="F427" s="1349" t="inlineStr">
        <is>
          <t>Camera Courses For Beginners</t>
        </is>
      </c>
      <c r="G427" s="1349" t="inlineStr">
        <is>
          <t>Google</t>
        </is>
      </c>
      <c r="I427" t="inlineStr">
        <is>
          <t>Beginners Photography Course | 3 Weekly Evening Classes</t>
        </is>
      </c>
      <c r="J427" t="inlineStr">
        <is>
          <t>https://www.alanranger.com/beginners-photography-classes</t>
        </is>
      </c>
    </row>
    <row r="428" ht="13.5" customHeight="1" s="1232">
      <c r="A428" s="1348" t="n">
        <v>45861</v>
      </c>
      <c r="B428" s="1349" t="inlineStr">
        <is>
          <t>Rob Smith</t>
        </is>
      </c>
      <c r="C428" s="1350" t="inlineStr">
        <is>
          <t>2. Workshops Non Residential</t>
        </is>
      </c>
      <c r="D428" s="1349" t="inlineStr">
        <is>
          <t>Stripe</t>
        </is>
      </c>
      <c r="E428" s="1351" t="n">
        <v>150</v>
      </c>
      <c r="F428" s="1349" t="inlineStr">
        <is>
          <t>Batsford</t>
        </is>
      </c>
      <c r="G428" s="1349" t="inlineStr">
        <is>
          <t>Google</t>
        </is>
      </c>
      <c r="I428" t="inlineStr">
        <is>
          <t>Gift Voucher - Digital eCard</t>
        </is>
      </c>
      <c r="J428" t="inlineStr">
        <is>
          <t>https://www.alanranger.com/photography-gift-vouchers</t>
        </is>
      </c>
    </row>
    <row r="429" ht="13.5" customHeight="1" s="1232">
      <c r="A429" s="1348" t="n">
        <v>45860</v>
      </c>
      <c r="B429" s="1349" t="inlineStr">
        <is>
          <t>John Simpson</t>
        </is>
      </c>
      <c r="C429" s="1350" t="inlineStr">
        <is>
          <t>7. 1-2-1</t>
        </is>
      </c>
      <c r="D429" s="1349" t="inlineStr">
        <is>
          <t>PayPal</t>
        </is>
      </c>
      <c r="E429" s="1351" t="n">
        <v>50</v>
      </c>
      <c r="F429" s="1349" t="inlineStr">
        <is>
          <t>1hr Zoom</t>
        </is>
      </c>
      <c r="G429" s="1349" t="inlineStr">
        <is>
          <t>Existing</t>
        </is>
      </c>
      <c r="I429" t="inlineStr">
        <is>
          <t>1-2-1 Single Session - 1hr Zoom</t>
        </is>
      </c>
      <c r="J429" t="inlineStr">
        <is>
          <t>https://www.alanranger.com/photography-lessons-online-121</t>
        </is>
      </c>
    </row>
    <row r="430" ht="13.5" customHeight="1" s="1232">
      <c r="A430" s="1348" t="n">
        <v>45860</v>
      </c>
      <c r="B430" s="1349" t="inlineStr">
        <is>
          <t>Simon Mills</t>
        </is>
      </c>
      <c r="C430" s="1350" t="inlineStr">
        <is>
          <t>12. Academy</t>
        </is>
      </c>
      <c r="D430" s="1349" t="inlineStr">
        <is>
          <t>Stripe</t>
        </is>
      </c>
      <c r="E430" s="1351" t="n">
        <v>25</v>
      </c>
      <c r="F430" s="1349" t="inlineStr">
        <is>
          <t>e-Book</t>
        </is>
      </c>
      <c r="G430" s="1349" t="inlineStr">
        <is>
          <t>Google</t>
        </is>
      </c>
      <c r="I430" t="inlineStr">
        <is>
          <t>Academy - Membership / eBook / Exams (historical bundle)</t>
        </is>
      </c>
      <c r="J430" t="inlineStr">
        <is>
          <t>https://www.alanranger.com/free-online-photography-course</t>
        </is>
      </c>
    </row>
    <row r="431" ht="13.5" customHeight="1" s="1232">
      <c r="A431" s="1348" t="n">
        <v>45862</v>
      </c>
      <c r="B431" s="1349" t="inlineStr">
        <is>
          <t>Olasanmi Olaniyan</t>
        </is>
      </c>
      <c r="C431" s="1350" t="inlineStr">
        <is>
          <t>1. Courses/masterclasses</t>
        </is>
      </c>
      <c r="D431" s="1349" t="inlineStr">
        <is>
          <t>Bank</t>
        </is>
      </c>
      <c r="E431" s="1351" t="n">
        <v>150</v>
      </c>
      <c r="F431" s="1349" t="inlineStr">
        <is>
          <t>Camera Courses For Beginners</t>
        </is>
      </c>
      <c r="G431" s="1349" t="inlineStr">
        <is>
          <t>JLR</t>
        </is>
      </c>
      <c r="I431" t="inlineStr">
        <is>
          <t>Beginners Photography Course | 3 Weekly Evening Classes</t>
        </is>
      </c>
      <c r="J431" t="inlineStr">
        <is>
          <t>https://www.alanranger.com/beginners-photography-classes</t>
        </is>
      </c>
    </row>
    <row r="432" ht="13.5" customHeight="1" s="1232">
      <c r="A432" s="1348" t="n">
        <v>45862</v>
      </c>
      <c r="B432" s="1349" t="inlineStr">
        <is>
          <t>Nuha Alam</t>
        </is>
      </c>
      <c r="C432" s="1350" t="inlineStr">
        <is>
          <t>1. Courses/masterclasses</t>
        </is>
      </c>
      <c r="D432" s="1349" t="inlineStr">
        <is>
          <t>Bank</t>
        </is>
      </c>
      <c r="E432" s="1351" t="n">
        <v>150</v>
      </c>
      <c r="F432" s="1349" t="inlineStr">
        <is>
          <t>Camera Courses For Beginners</t>
        </is>
      </c>
      <c r="G432" s="1349" t="inlineStr">
        <is>
          <t>JLR</t>
        </is>
      </c>
      <c r="I432" t="inlineStr">
        <is>
          <t>Beginners Photography Course | 3 Weekly Evening Classes</t>
        </is>
      </c>
      <c r="J432" t="inlineStr">
        <is>
          <t>https://www.alanranger.com/beginners-photography-classes</t>
        </is>
      </c>
    </row>
    <row r="433" ht="13.5" customHeight="1" s="1232">
      <c r="A433" s="1348" t="n">
        <v>45862</v>
      </c>
      <c r="B433" s="1349" t="inlineStr">
        <is>
          <t>Emily Coleman</t>
        </is>
      </c>
      <c r="C433" s="1350" t="inlineStr">
        <is>
          <t>7. 1-2-1</t>
        </is>
      </c>
      <c r="D433" s="1349" t="inlineStr">
        <is>
          <t>Bank</t>
        </is>
      </c>
      <c r="E433" s="1351" t="n">
        <v>120</v>
      </c>
      <c r="F433" s="1349" t="inlineStr">
        <is>
          <t>Photography Lessons - Private 1-2-1 (2hr)</t>
        </is>
      </c>
      <c r="G433" s="1349" t="inlineStr">
        <is>
          <t>JLR</t>
        </is>
      </c>
      <c r="I433" t="inlineStr">
        <is>
          <t>1-2-1 Single Session - 2hr (Face-to-Face)</t>
        </is>
      </c>
      <c r="J433" t="inlineStr">
        <is>
          <t>https://www.alanranger.com/private-photography-lessons</t>
        </is>
      </c>
    </row>
    <row r="434" ht="13.5" customHeight="1" s="1232">
      <c r="A434" s="1348" t="n">
        <v>45858</v>
      </c>
      <c r="B434" s="1349" t="inlineStr">
        <is>
          <t>mike murphy</t>
        </is>
      </c>
      <c r="C434" s="1350" t="inlineStr">
        <is>
          <t>3. Workshops Residential</t>
        </is>
      </c>
      <c r="D434" s="1349" t="inlineStr">
        <is>
          <t>PayPal</t>
        </is>
      </c>
      <c r="E434" s="1351" t="n">
        <v>895</v>
      </c>
      <c r="F434" s="1349" t="inlineStr">
        <is>
          <t>Hartland Quay</t>
        </is>
      </c>
      <c r="G434" s="1349" t="inlineStr">
        <is>
          <t>Google</t>
        </is>
      </c>
      <c r="I434" t="inlineStr">
        <is>
          <t>Landscape Photography DEVON Workshops - Various Dates</t>
        </is>
      </c>
      <c r="J434" t="inlineStr">
        <is>
          <t>https://www.alanranger.com/photography-workshops</t>
        </is>
      </c>
    </row>
    <row r="435" ht="13.5" customHeight="1" s="1232">
      <c r="A435" s="1348" t="n">
        <v>45857</v>
      </c>
      <c r="B435" s="1349" t="inlineStr">
        <is>
          <t>Julietta Juras</t>
        </is>
      </c>
      <c r="C435" s="1350" t="inlineStr">
        <is>
          <t>12. Academy</t>
        </is>
      </c>
      <c r="D435" s="1349" t="inlineStr">
        <is>
          <t>Stripe</t>
        </is>
      </c>
      <c r="E435" s="1351" t="n">
        <v>25</v>
      </c>
      <c r="F435" s="1349" t="inlineStr">
        <is>
          <t>e-Book</t>
        </is>
      </c>
      <c r="G435" s="1349" t="inlineStr">
        <is>
          <t>Google</t>
        </is>
      </c>
      <c r="I435" t="inlineStr">
        <is>
          <t>Academy - Membership / eBook / Exams (historical bundle)</t>
        </is>
      </c>
      <c r="J435" t="inlineStr">
        <is>
          <t>https://www.alanranger.com/free-online-photography-course</t>
        </is>
      </c>
    </row>
    <row r="436" ht="13.5" customHeight="1" s="1232">
      <c r="A436" s="1348" t="n">
        <v>45856</v>
      </c>
      <c r="B436" s="1349" t="inlineStr">
        <is>
          <t>Paul Johnson</t>
        </is>
      </c>
      <c r="C436" s="1350" t="inlineStr">
        <is>
          <t>7. 1-2-1</t>
        </is>
      </c>
      <c r="D436" s="1349" t="inlineStr">
        <is>
          <t>Bank</t>
        </is>
      </c>
      <c r="E436" s="1351" t="n">
        <v>65</v>
      </c>
      <c r="F436" s="1349" t="inlineStr">
        <is>
          <t>Photography Lessons - Private 1-2-1 (1HR)</t>
        </is>
      </c>
      <c r="G436" s="1349" t="inlineStr">
        <is>
          <t>JLR</t>
        </is>
      </c>
      <c r="I436" t="inlineStr">
        <is>
          <t>1-2-1 Single Session - 1hr (Face-to-Face)</t>
        </is>
      </c>
      <c r="J436" t="inlineStr">
        <is>
          <t>https://www.alanranger.com/private-photography-lessons</t>
        </is>
      </c>
    </row>
    <row r="437" ht="13.5" customHeight="1" s="1232">
      <c r="A437" s="1348" t="n">
        <v>45851</v>
      </c>
      <c r="B437" s="1349" t="inlineStr">
        <is>
          <t>Vamsi MITTAKANDALA</t>
        </is>
      </c>
      <c r="C437" s="1350" t="inlineStr">
        <is>
          <t>12. Academy</t>
        </is>
      </c>
      <c r="D437" s="1349" t="inlineStr">
        <is>
          <t>Stripe</t>
        </is>
      </c>
      <c r="E437" s="1351" t="n">
        <v>30</v>
      </c>
      <c r="F437" s="1349" t="inlineStr">
        <is>
          <t>Sensor Clean</t>
        </is>
      </c>
      <c r="G437" s="1349" t="inlineStr">
        <is>
          <t>Google</t>
        </is>
      </c>
      <c r="I437" t="inlineStr">
        <is>
          <t>Sensor Clean Service (historical)</t>
        </is>
      </c>
      <c r="J437" t="inlineStr">
        <is>
          <t>https://www.alanranger.com/photography-shop-services</t>
        </is>
      </c>
    </row>
    <row r="438" ht="13.5" customHeight="1" s="1232">
      <c r="A438" s="1348" t="n">
        <v>45852</v>
      </c>
      <c r="B438" s="1349" t="inlineStr">
        <is>
          <t>John Simpson</t>
        </is>
      </c>
      <c r="C438" s="1350" t="inlineStr">
        <is>
          <t>7. 1-2-1</t>
        </is>
      </c>
      <c r="D438" s="1349" t="inlineStr">
        <is>
          <t>PayPal</t>
        </is>
      </c>
      <c r="E438" s="1351" t="n">
        <v>50</v>
      </c>
      <c r="F438" s="1349" t="inlineStr">
        <is>
          <t>1hr Zoom</t>
        </is>
      </c>
      <c r="G438" s="1349" t="inlineStr">
        <is>
          <t>Google</t>
        </is>
      </c>
      <c r="I438" t="inlineStr">
        <is>
          <t>1-2-1 Single Session - 1hr Zoom</t>
        </is>
      </c>
      <c r="J438" t="inlineStr">
        <is>
          <t>https://www.alanranger.com/photography-lessons-online-121</t>
        </is>
      </c>
    </row>
    <row r="439" ht="13.5" customHeight="1" s="1232">
      <c r="A439" s="1348" t="n">
        <v>45854</v>
      </c>
      <c r="B439" s="1349" t="inlineStr">
        <is>
          <t>Michael Rowley</t>
        </is>
      </c>
      <c r="C439" s="1350" t="inlineStr">
        <is>
          <t>12. Academy</t>
        </is>
      </c>
      <c r="D439" s="1349" t="inlineStr">
        <is>
          <t>Stripe</t>
        </is>
      </c>
      <c r="E439" s="1351" t="n">
        <v>30</v>
      </c>
      <c r="F439" s="1349" t="inlineStr">
        <is>
          <t>Sensor Clean</t>
        </is>
      </c>
      <c r="G439" s="1349" t="inlineStr">
        <is>
          <t>Google</t>
        </is>
      </c>
      <c r="I439" t="inlineStr">
        <is>
          <t>Sensor Clean Service (historical)</t>
        </is>
      </c>
      <c r="J439" t="inlineStr">
        <is>
          <t>https://www.alanranger.com/photography-shop-services</t>
        </is>
      </c>
    </row>
    <row r="440" ht="13.5" customHeight="1" s="1232">
      <c r="A440" s="1348" t="n">
        <v>45849</v>
      </c>
      <c r="B440" s="1349" t="inlineStr">
        <is>
          <t>Kimberley Sneyd</t>
        </is>
      </c>
      <c r="C440" s="1350" t="inlineStr">
        <is>
          <t>2. Workshops Non Residential</t>
        </is>
      </c>
      <c r="D440" s="1349" t="inlineStr">
        <is>
          <t>Stripe</t>
        </is>
      </c>
      <c r="E440" s="1351" t="n">
        <v>125</v>
      </c>
      <c r="F440" s="1349" t="inlineStr">
        <is>
          <t>Woodland Masterclass</t>
        </is>
      </c>
      <c r="G440" s="1349" t="inlineStr">
        <is>
          <t>Google</t>
        </is>
      </c>
      <c r="I440" t="inlineStr">
        <is>
          <t>The Secret of WOODLAND PHOTOGRAPHY- 1-Day Jan, Apr, Aug, Oct</t>
        </is>
      </c>
      <c r="J440" t="inlineStr">
        <is>
          <t>https://www.alanranger.com/one-day-landscape-photography-workshops</t>
        </is>
      </c>
    </row>
    <row r="441" ht="13.5" customHeight="1" s="1232">
      <c r="A441" s="1348" t="n">
        <v>45848</v>
      </c>
      <c r="B441" s="1349" t="inlineStr">
        <is>
          <t>William Peet</t>
        </is>
      </c>
      <c r="C441" s="1350" t="inlineStr">
        <is>
          <t>2. Workshops Non Residential</t>
        </is>
      </c>
      <c r="D441" s="1349" t="inlineStr">
        <is>
          <t>Stripe</t>
        </is>
      </c>
      <c r="E441" s="1351" t="n">
        <v>125</v>
      </c>
      <c r="F441" s="1349" t="inlineStr">
        <is>
          <t>Heathers</t>
        </is>
      </c>
      <c r="G441" s="1349" t="inlineStr">
        <is>
          <t>Google</t>
        </is>
      </c>
      <c r="I441" t="inlineStr">
        <is>
          <t>PEAK DISTRICT HEATHER Photography Workshops - 15-16 Aug</t>
        </is>
      </c>
      <c r="J441" t="inlineStr">
        <is>
          <t>https://www.alanranger.com/landscape-photography-workshops</t>
        </is>
      </c>
    </row>
    <row r="442" ht="13.5" customHeight="1" s="1232">
      <c r="A442" s="1348" t="n">
        <v>45849</v>
      </c>
      <c r="B442" s="1349" t="inlineStr">
        <is>
          <t>Casey Clarke</t>
        </is>
      </c>
      <c r="C442" s="1350" t="inlineStr">
        <is>
          <t>1. Courses/masterclasses</t>
        </is>
      </c>
      <c r="D442" s="1349" t="inlineStr">
        <is>
          <t>Bank</t>
        </is>
      </c>
      <c r="E442" s="1351" t="n">
        <v>150</v>
      </c>
      <c r="F442" s="1349" t="inlineStr">
        <is>
          <t>Camera Courses For Beginners</t>
        </is>
      </c>
      <c r="G442" s="1349" t="inlineStr">
        <is>
          <t>JLR</t>
        </is>
      </c>
      <c r="I442" t="inlineStr">
        <is>
          <t>Beginners Photography Course | 3 Weekly Evening Classes</t>
        </is>
      </c>
      <c r="J442" t="inlineStr">
        <is>
          <t>https://www.alanranger.com/beginners-photography-classes</t>
        </is>
      </c>
    </row>
    <row r="443" ht="13.5" customHeight="1" s="1232">
      <c r="A443" s="1348" t="n">
        <v>45849</v>
      </c>
      <c r="B443" s="1349" t="inlineStr">
        <is>
          <t>Aoife Doyle</t>
        </is>
      </c>
      <c r="C443" s="1350" t="inlineStr">
        <is>
          <t>1. Courses/masterclasses</t>
        </is>
      </c>
      <c r="D443" s="1349" t="inlineStr">
        <is>
          <t>Bank</t>
        </is>
      </c>
      <c r="E443" s="1351" t="n">
        <v>150</v>
      </c>
      <c r="F443" s="1349" t="inlineStr">
        <is>
          <t>Camera Courses For Beginners</t>
        </is>
      </c>
      <c r="G443" s="1349" t="inlineStr">
        <is>
          <t>JLR</t>
        </is>
      </c>
      <c r="I443" t="inlineStr">
        <is>
          <t>Beginners Photography Course | 3 Weekly Evening Classes</t>
        </is>
      </c>
      <c r="J443" t="inlineStr">
        <is>
          <t>https://www.alanranger.com/beginners-photography-classes</t>
        </is>
      </c>
    </row>
    <row r="444" ht="13.5" customHeight="1" s="1232">
      <c r="A444" s="1348" t="n">
        <v>45849</v>
      </c>
      <c r="B444" s="1349" t="inlineStr">
        <is>
          <t>Archit Rastogi</t>
        </is>
      </c>
      <c r="C444" s="1350" t="inlineStr">
        <is>
          <t>1. Courses/masterclasses</t>
        </is>
      </c>
      <c r="D444" s="1349" t="inlineStr">
        <is>
          <t>Bank</t>
        </is>
      </c>
      <c r="E444" s="1351" t="n">
        <v>150</v>
      </c>
      <c r="F444" s="1349" t="inlineStr">
        <is>
          <t>Camera Courses For Beginners</t>
        </is>
      </c>
      <c r="G444" s="1349" t="inlineStr">
        <is>
          <t>JLR</t>
        </is>
      </c>
      <c r="I444" t="inlineStr">
        <is>
          <t>Beginners Photography Course | 3 Weekly Evening Classes</t>
        </is>
      </c>
      <c r="J444" t="inlineStr">
        <is>
          <t>https://www.alanranger.com/beginners-photography-classes</t>
        </is>
      </c>
    </row>
    <row r="445" ht="13.5" customHeight="1" s="1232">
      <c r="A445" s="1348" t="n">
        <v>45849</v>
      </c>
      <c r="B445" s="1349" t="inlineStr">
        <is>
          <t>Aparna Balasubramanian</t>
        </is>
      </c>
      <c r="C445" s="1350" t="inlineStr">
        <is>
          <t>1. Courses/masterclasses</t>
        </is>
      </c>
      <c r="D445" s="1349" t="inlineStr">
        <is>
          <t>Bank</t>
        </is>
      </c>
      <c r="E445" s="1351" t="n">
        <v>150</v>
      </c>
      <c r="F445" s="1349" t="inlineStr">
        <is>
          <t>Camera Courses For Beginners</t>
        </is>
      </c>
      <c r="G445" s="1349" t="inlineStr">
        <is>
          <t>JLR</t>
        </is>
      </c>
      <c r="I445" t="inlineStr">
        <is>
          <t>Beginners Photography Course | 3 Weekly Evening Classes</t>
        </is>
      </c>
      <c r="J445" t="inlineStr">
        <is>
          <t>https://www.alanranger.com/beginners-photography-classes</t>
        </is>
      </c>
    </row>
    <row r="446" ht="13.5" customHeight="1" s="1232">
      <c r="A446" s="1348" t="n">
        <v>45849</v>
      </c>
      <c r="B446" s="1349" t="inlineStr">
        <is>
          <t>Mark Schofield</t>
        </is>
      </c>
      <c r="C446" s="1350" t="inlineStr">
        <is>
          <t>7. 1-2-1</t>
        </is>
      </c>
      <c r="D446" s="1349" t="inlineStr">
        <is>
          <t>Bank</t>
        </is>
      </c>
      <c r="E446" s="1351" t="n">
        <v>120</v>
      </c>
      <c r="F446" s="1349" t="inlineStr">
        <is>
          <t>Photography Lessons - Private 1-2-1 (2hr)</t>
        </is>
      </c>
      <c r="G446" s="1349" t="inlineStr">
        <is>
          <t>JLR</t>
        </is>
      </c>
      <c r="I446" t="inlineStr">
        <is>
          <t>1-2-1 Single Session - 2hr (Face-to-Face)</t>
        </is>
      </c>
      <c r="J446" t="inlineStr">
        <is>
          <t>https://www.alanranger.com/private-photography-lessons</t>
        </is>
      </c>
    </row>
    <row r="447" ht="13.5" customHeight="1" s="1232">
      <c r="A447" s="1348" t="n">
        <v>45849</v>
      </c>
      <c r="B447" s="1349" t="inlineStr">
        <is>
          <t>Rowan Floyd</t>
        </is>
      </c>
      <c r="C447" s="1350" t="inlineStr">
        <is>
          <t>2. Workshops Non Residential</t>
        </is>
      </c>
      <c r="D447" s="1349" t="inlineStr">
        <is>
          <t>Bank</t>
        </is>
      </c>
      <c r="E447" s="1351" t="n">
        <v>50</v>
      </c>
      <c r="F447" s="1349" t="inlineStr">
        <is>
          <t>Sunset Photographic Workshop - Chesterton Windmill</t>
        </is>
      </c>
      <c r="G447" s="1349" t="inlineStr">
        <is>
          <t>JLR</t>
        </is>
      </c>
      <c r="I447" t="inlineStr">
        <is>
          <t>Photography Workshops CHESTERTON WINDMILL - Warwickshire</t>
        </is>
      </c>
      <c r="J447" t="inlineStr">
        <is>
          <t>https://www.alanranger.com/landscape-photography-workshops</t>
        </is>
      </c>
    </row>
    <row r="448" ht="13.5" customHeight="1" s="1232">
      <c r="A448" s="1348" t="n">
        <v>45849</v>
      </c>
      <c r="B448" s="1349" t="inlineStr">
        <is>
          <t>Gregory Moys</t>
        </is>
      </c>
      <c r="C448" s="1350" t="inlineStr">
        <is>
          <t>2. Workshops Non Residential</t>
        </is>
      </c>
      <c r="D448" s="1349" t="inlineStr">
        <is>
          <t>Bank</t>
        </is>
      </c>
      <c r="E448" s="1351" t="n">
        <v>50</v>
      </c>
      <c r="F448" s="1349" t="inlineStr">
        <is>
          <t>Sunset Photographic Workshop - Chesterton Windmill</t>
        </is>
      </c>
      <c r="G448" s="1349" t="inlineStr">
        <is>
          <t>JLR</t>
        </is>
      </c>
      <c r="I448" t="inlineStr">
        <is>
          <t>Photography Workshops CHESTERTON WINDMILL - Warwickshire</t>
        </is>
      </c>
      <c r="J448" t="inlineStr">
        <is>
          <t>https://www.alanranger.com/landscape-photography-workshops</t>
        </is>
      </c>
    </row>
    <row r="449" ht="13.5" customHeight="1" s="1232">
      <c r="A449" s="1348" t="n">
        <v>45849</v>
      </c>
      <c r="B449" s="1349" t="inlineStr">
        <is>
          <t>Pratik Vaishnao</t>
        </is>
      </c>
      <c r="C449" s="1350" t="inlineStr">
        <is>
          <t>2. Workshops Non Residential</t>
        </is>
      </c>
      <c r="D449" s="1349" t="inlineStr">
        <is>
          <t>Bank</t>
        </is>
      </c>
      <c r="E449" s="1351" t="n">
        <v>50</v>
      </c>
      <c r="F449" s="1349" t="inlineStr">
        <is>
          <t>Sunset Photographic Workshop - Chesterton Windmill</t>
        </is>
      </c>
      <c r="G449" s="1349" t="inlineStr">
        <is>
          <t>JLR</t>
        </is>
      </c>
      <c r="I449" t="inlineStr">
        <is>
          <t>Photography Workshops CHESTERTON WINDMILL - Warwickshire</t>
        </is>
      </c>
      <c r="J449" t="inlineStr">
        <is>
          <t>https://www.alanranger.com/landscape-photography-workshops</t>
        </is>
      </c>
    </row>
    <row r="450" ht="13.5" customHeight="1" s="1232">
      <c r="A450" s="1348" t="n">
        <v>45849</v>
      </c>
      <c r="B450" s="1349" t="inlineStr">
        <is>
          <t>Sara Roberts</t>
        </is>
      </c>
      <c r="C450" s="1350" t="inlineStr">
        <is>
          <t>2. Workshops Non Residential</t>
        </is>
      </c>
      <c r="D450" s="1349" t="inlineStr">
        <is>
          <t>Bank</t>
        </is>
      </c>
      <c r="E450" s="1351" t="n">
        <v>50</v>
      </c>
      <c r="F450" s="1349" t="inlineStr">
        <is>
          <t>Sunset Photographic Workshop - Chesterton Windmill</t>
        </is>
      </c>
      <c r="G450" s="1349" t="inlineStr">
        <is>
          <t>JLR</t>
        </is>
      </c>
      <c r="I450" t="inlineStr">
        <is>
          <t>Photography Workshops CHESTERTON WINDMILL - Warwickshire</t>
        </is>
      </c>
      <c r="J450" t="inlineStr">
        <is>
          <t>https://www.alanranger.com/landscape-photography-workshops</t>
        </is>
      </c>
    </row>
    <row r="451" ht="13.5" customHeight="1" s="1232">
      <c r="A451" s="1348" t="n">
        <v>45849</v>
      </c>
      <c r="B451" s="1349" t="inlineStr">
        <is>
          <t>Douglas Demori</t>
        </is>
      </c>
      <c r="C451" s="1350" t="inlineStr">
        <is>
          <t>2. Workshops Non Residential</t>
        </is>
      </c>
      <c r="D451" s="1349" t="inlineStr">
        <is>
          <t>Bank</t>
        </is>
      </c>
      <c r="E451" s="1351" t="n">
        <v>50</v>
      </c>
      <c r="F451" s="1349" t="inlineStr">
        <is>
          <t>Sunset Photographic Workshop - Chesterton Windmill</t>
        </is>
      </c>
      <c r="G451" s="1349" t="inlineStr">
        <is>
          <t>JLR</t>
        </is>
      </c>
      <c r="I451" t="inlineStr">
        <is>
          <t>Photography Workshops CHESTERTON WINDMILL - Warwickshire</t>
        </is>
      </c>
      <c r="J451" t="inlineStr">
        <is>
          <t>https://www.alanranger.com/landscape-photography-workshops</t>
        </is>
      </c>
    </row>
    <row r="452" ht="13.5" customHeight="1" s="1232">
      <c r="A452" s="1348" t="n">
        <v>45849</v>
      </c>
      <c r="B452" s="1349" t="inlineStr">
        <is>
          <t>Roger Calvet</t>
        </is>
      </c>
      <c r="C452" s="1350" t="inlineStr">
        <is>
          <t>2. Workshops Non Residential</t>
        </is>
      </c>
      <c r="D452" s="1349" t="inlineStr">
        <is>
          <t>Bank</t>
        </is>
      </c>
      <c r="E452" s="1351" t="n">
        <v>50</v>
      </c>
      <c r="F452" s="1349" t="inlineStr">
        <is>
          <t>Sunset Photographic Workshop - Chesterton Windmill</t>
        </is>
      </c>
      <c r="G452" s="1349" t="inlineStr">
        <is>
          <t>JLR</t>
        </is>
      </c>
      <c r="I452" t="inlineStr">
        <is>
          <t>Photography Workshops CHESTERTON WINDMILL - Warwickshire</t>
        </is>
      </c>
      <c r="J452" t="inlineStr">
        <is>
          <t>https://www.alanranger.com/landscape-photography-workshops</t>
        </is>
      </c>
    </row>
    <row r="453" ht="13.5" customHeight="1" s="1232">
      <c r="A453" s="1348" t="n">
        <v>45849</v>
      </c>
      <c r="B453" s="1349" t="inlineStr">
        <is>
          <t>Steven Martin</t>
        </is>
      </c>
      <c r="C453" s="1350" t="inlineStr">
        <is>
          <t>2. Workshops Non Residential</t>
        </is>
      </c>
      <c r="D453" s="1349" t="inlineStr">
        <is>
          <t>Bank</t>
        </is>
      </c>
      <c r="E453" s="1351" t="n">
        <v>50</v>
      </c>
      <c r="F453" s="1349" t="inlineStr">
        <is>
          <t>Sunset Photographic Workshop - Chesterton Windmill</t>
        </is>
      </c>
      <c r="G453" s="1349" t="inlineStr">
        <is>
          <t>JLR</t>
        </is>
      </c>
      <c r="I453" t="inlineStr">
        <is>
          <t>Photography Workshops CHESTERTON WINDMILL - Warwickshire</t>
        </is>
      </c>
      <c r="J453" t="inlineStr">
        <is>
          <t>https://www.alanranger.com/landscape-photography-workshops</t>
        </is>
      </c>
    </row>
    <row r="454" ht="13.5" customHeight="1" s="1232">
      <c r="A454" s="1348" t="n">
        <v>45849</v>
      </c>
      <c r="B454" s="1349" t="inlineStr">
        <is>
          <t>Sara Roberts</t>
        </is>
      </c>
      <c r="C454" s="1350" t="inlineStr">
        <is>
          <t>2. Workshops Non Residential</t>
        </is>
      </c>
      <c r="D454" s="1349" t="inlineStr">
        <is>
          <t>Bank</t>
        </is>
      </c>
      <c r="E454" s="1351" t="n">
        <v>60</v>
      </c>
      <c r="F454" s="1349" t="inlineStr">
        <is>
          <t>Sezincote Garden Photography - Mughal palace in Cotswolds</t>
        </is>
      </c>
      <c r="G454" s="1349" t="inlineStr">
        <is>
          <t>JLR</t>
        </is>
      </c>
      <c r="I454" t="inlineStr">
        <is>
          <t>SEZINCOTE Garden Photography Workshop - Gloucs 29 May</t>
        </is>
      </c>
      <c r="J454" t="inlineStr">
        <is>
          <t>https://www.alanranger.com/landscape-photography-workshops</t>
        </is>
      </c>
    </row>
    <row r="455" ht="13.5" customHeight="1" s="1232">
      <c r="A455" s="1348" t="n">
        <v>45849</v>
      </c>
      <c r="B455" s="1349" t="inlineStr">
        <is>
          <t>Ian Johnson</t>
        </is>
      </c>
      <c r="C455" s="1350" t="inlineStr">
        <is>
          <t>2. Workshops Non Residential</t>
        </is>
      </c>
      <c r="D455" s="1349" t="inlineStr">
        <is>
          <t>Bank</t>
        </is>
      </c>
      <c r="E455" s="1351" t="n">
        <v>60</v>
      </c>
      <c r="F455" s="1349" t="inlineStr">
        <is>
          <t>Sezincote Garden Photography - Mughal palace in Cotswolds</t>
        </is>
      </c>
      <c r="G455" s="1349" t="inlineStr">
        <is>
          <t>JLR</t>
        </is>
      </c>
      <c r="I455" t="inlineStr">
        <is>
          <t>SEZINCOTE Garden Photography Workshop - Gloucs 29 May</t>
        </is>
      </c>
      <c r="J455" t="inlineStr">
        <is>
          <t>https://www.alanranger.com/landscape-photography-workshops</t>
        </is>
      </c>
    </row>
    <row r="456" ht="13.5" customHeight="1" s="1232">
      <c r="A456" s="1348" t="n">
        <v>45849</v>
      </c>
      <c r="B456" s="1349" t="inlineStr">
        <is>
          <t>Chang-Jing Kong</t>
        </is>
      </c>
      <c r="C456" s="1350" t="inlineStr">
        <is>
          <t>2. Workshops Non Residential</t>
        </is>
      </c>
      <c r="D456" s="1349" t="inlineStr">
        <is>
          <t>Bank</t>
        </is>
      </c>
      <c r="E456" s="1351" t="n">
        <v>60</v>
      </c>
      <c r="F456" s="1349" t="inlineStr">
        <is>
          <t>Sezincote Garden Photography - Mughal palace in Cotswolds</t>
        </is>
      </c>
      <c r="G456" s="1349" t="inlineStr">
        <is>
          <t>JLR</t>
        </is>
      </c>
      <c r="I456" t="inlineStr">
        <is>
          <t>SEZINCOTE Garden Photography Workshop - Gloucs 29 May</t>
        </is>
      </c>
      <c r="J456" t="inlineStr">
        <is>
          <t>https://www.alanranger.com/landscape-photography-workshops</t>
        </is>
      </c>
    </row>
    <row r="457" ht="13.5" customHeight="1" s="1232">
      <c r="A457" s="1348" t="n">
        <v>45849</v>
      </c>
      <c r="B457" s="1349" t="inlineStr">
        <is>
          <t>Jason Holdsworth</t>
        </is>
      </c>
      <c r="C457" s="1350" t="inlineStr">
        <is>
          <t>7. 1-2-1</t>
        </is>
      </c>
      <c r="D457" s="1349" t="inlineStr">
        <is>
          <t>Bank</t>
        </is>
      </c>
      <c r="E457" s="1351" t="n">
        <v>65</v>
      </c>
      <c r="F457" s="1349" t="inlineStr">
        <is>
          <t>Photography Lessons - Private 1-2-1 (2hr)</t>
        </is>
      </c>
      <c r="G457" s="1349" t="inlineStr">
        <is>
          <t>JLR</t>
        </is>
      </c>
      <c r="I457" t="inlineStr">
        <is>
          <t>1-2-1 Single Session - 2hr (Face-to-Face)</t>
        </is>
      </c>
      <c r="J457" t="inlineStr">
        <is>
          <t>https://www.alanranger.com/private-photography-lessons</t>
        </is>
      </c>
    </row>
    <row r="458" ht="13.5" customHeight="1" s="1232">
      <c r="A458" s="1348" t="n">
        <v>45847</v>
      </c>
      <c r="B458" s="1349" t="inlineStr">
        <is>
          <t>Satyam Narine</t>
        </is>
      </c>
      <c r="C458" s="1350" t="inlineStr">
        <is>
          <t>2. Workshops Non Residential</t>
        </is>
      </c>
      <c r="D458" s="1349" t="inlineStr">
        <is>
          <t>Bank</t>
        </is>
      </c>
      <c r="E458" s="1351" t="n">
        <v>50</v>
      </c>
      <c r="F458" s="1349" t="inlineStr">
        <is>
          <t>Long Exposure Photography Workshop - Sunset - Kenilworth</t>
        </is>
      </c>
      <c r="G458" s="1349" t="inlineStr">
        <is>
          <t>JLR</t>
        </is>
      </c>
      <c r="I458" t="inlineStr">
        <is>
          <t>Long Exposure Photography Workshop KENILWORTH Sunset</t>
        </is>
      </c>
      <c r="J458" t="inlineStr">
        <is>
          <t>https://www.alanranger.com/landscape-photography-workshops</t>
        </is>
      </c>
    </row>
    <row r="459" ht="13.5" customHeight="1" s="1232">
      <c r="A459" s="1348" t="n">
        <v>45847</v>
      </c>
      <c r="B459" s="1349" t="inlineStr">
        <is>
          <t>Fatih Sagdic</t>
        </is>
      </c>
      <c r="C459" s="1350" t="inlineStr">
        <is>
          <t>2. Workshops Non Residential</t>
        </is>
      </c>
      <c r="D459" s="1349" t="inlineStr">
        <is>
          <t>Bank</t>
        </is>
      </c>
      <c r="E459" s="1351" t="n">
        <v>50</v>
      </c>
      <c r="F459" s="1349" t="inlineStr">
        <is>
          <t>Long Exposure Photography Workshop - Sunset - Kenilworth</t>
        </is>
      </c>
      <c r="G459" s="1349" t="inlineStr">
        <is>
          <t>JLR</t>
        </is>
      </c>
      <c r="I459" t="inlineStr">
        <is>
          <t>Long Exposure Photography Workshop KENILWORTH Sunset</t>
        </is>
      </c>
      <c r="J459" t="inlineStr">
        <is>
          <t>https://www.alanranger.com/landscape-photography-workshops</t>
        </is>
      </c>
    </row>
    <row r="460" ht="13.5" customHeight="1" s="1232">
      <c r="A460" s="1348" t="n">
        <v>45847</v>
      </c>
      <c r="B460" s="1349" t="inlineStr">
        <is>
          <t>Erick Hernandez Baca</t>
        </is>
      </c>
      <c r="C460" s="1350" t="inlineStr">
        <is>
          <t>2. Workshops Non Residential</t>
        </is>
      </c>
      <c r="D460" s="1349" t="inlineStr">
        <is>
          <t>Bank</t>
        </is>
      </c>
      <c r="E460" s="1351" t="n">
        <v>50</v>
      </c>
      <c r="F460" s="1349" t="inlineStr">
        <is>
          <t>Long Exposure Photography Workshop - Sunset - Kenilworth</t>
        </is>
      </c>
      <c r="G460" s="1349" t="inlineStr">
        <is>
          <t>JLR</t>
        </is>
      </c>
      <c r="I460" t="inlineStr">
        <is>
          <t>Long Exposure Photography Workshop KENILWORTH Sunset</t>
        </is>
      </c>
      <c r="J460" t="inlineStr">
        <is>
          <t>https://www.alanranger.com/landscape-photography-workshops</t>
        </is>
      </c>
    </row>
    <row r="461" ht="13.5" customHeight="1" s="1232">
      <c r="A461" s="1348" t="n">
        <v>45847</v>
      </c>
      <c r="B461" s="1349" t="inlineStr">
        <is>
          <t>Ioannis Zaproudis</t>
        </is>
      </c>
      <c r="C461" s="1350" t="inlineStr">
        <is>
          <t>2. Workshops Non Residential</t>
        </is>
      </c>
      <c r="D461" s="1349" t="inlineStr">
        <is>
          <t>Bank</t>
        </is>
      </c>
      <c r="E461" s="1351" t="n">
        <v>50</v>
      </c>
      <c r="F461" s="1349" t="inlineStr">
        <is>
          <t>Long Exposure Photography Workshop - Sunset - Kenilworth</t>
        </is>
      </c>
      <c r="G461" s="1349" t="inlineStr">
        <is>
          <t>JLR</t>
        </is>
      </c>
      <c r="I461" t="inlineStr">
        <is>
          <t>Long Exposure Photography Workshop KENILWORTH Sunset</t>
        </is>
      </c>
      <c r="J461" t="inlineStr">
        <is>
          <t>https://www.alanranger.com/landscape-photography-workshops</t>
        </is>
      </c>
    </row>
    <row r="462" ht="13.5" customHeight="1" s="1232">
      <c r="A462" s="1348" t="n">
        <v>45847</v>
      </c>
      <c r="B462" s="1349" t="inlineStr">
        <is>
          <t>Ian Burns</t>
        </is>
      </c>
      <c r="C462" s="1350" t="inlineStr">
        <is>
          <t>2. Workshops Non Residential</t>
        </is>
      </c>
      <c r="D462" s="1349" t="inlineStr">
        <is>
          <t>Bank</t>
        </is>
      </c>
      <c r="E462" s="1351" t="n">
        <v>50</v>
      </c>
      <c r="F462" s="1349" t="inlineStr">
        <is>
          <t>Long Exposure Photography Workshop - Sunset - Kenilworth</t>
        </is>
      </c>
      <c r="G462" s="1349" t="inlineStr">
        <is>
          <t>JLR</t>
        </is>
      </c>
      <c r="I462" t="inlineStr">
        <is>
          <t>Long Exposure Photography Workshop KENILWORTH Sunset</t>
        </is>
      </c>
      <c r="J462" t="inlineStr">
        <is>
          <t>https://www.alanranger.com/landscape-photography-workshops</t>
        </is>
      </c>
    </row>
    <row r="463" ht="13.5" customHeight="1" s="1232">
      <c r="A463" s="1348" t="n">
        <v>45847</v>
      </c>
      <c r="B463" s="1349" t="inlineStr">
        <is>
          <t>Ana Arce</t>
        </is>
      </c>
      <c r="C463" s="1350" t="inlineStr">
        <is>
          <t>2. Workshops Non Residential</t>
        </is>
      </c>
      <c r="D463" s="1349" t="inlineStr">
        <is>
          <t>Bank</t>
        </is>
      </c>
      <c r="E463" s="1351" t="n">
        <v>50</v>
      </c>
      <c r="F463" s="1349" t="inlineStr">
        <is>
          <t>Long Exposure Photography Workshop - Sunset - Kenilworth</t>
        </is>
      </c>
      <c r="G463" s="1349" t="inlineStr">
        <is>
          <t>JLR</t>
        </is>
      </c>
      <c r="I463" t="inlineStr">
        <is>
          <t>Long Exposure Photography Workshop KENILWORTH Sunset</t>
        </is>
      </c>
      <c r="J463" t="inlineStr">
        <is>
          <t>https://www.alanranger.com/landscape-photography-workshops</t>
        </is>
      </c>
    </row>
    <row r="464" ht="13.5" customHeight="1" s="1232">
      <c r="A464" s="1348" t="n">
        <v>45847</v>
      </c>
      <c r="B464" s="1349" t="inlineStr">
        <is>
          <t>Ana Alexa</t>
        </is>
      </c>
      <c r="C464" s="1350" t="inlineStr">
        <is>
          <t>2. Workshops Non Residential</t>
        </is>
      </c>
      <c r="D464" s="1349" t="inlineStr">
        <is>
          <t>Bank</t>
        </is>
      </c>
      <c r="E464" s="1351" t="n">
        <v>50</v>
      </c>
      <c r="F464" s="1349" t="inlineStr">
        <is>
          <t>Long Exposure Photography Workshop - Sunset - Kenilworth</t>
        </is>
      </c>
      <c r="G464" s="1349" t="inlineStr">
        <is>
          <t>JLR</t>
        </is>
      </c>
      <c r="I464" t="inlineStr">
        <is>
          <t>Long Exposure Photography Workshop KENILWORTH Sunset</t>
        </is>
      </c>
      <c r="J464" t="inlineStr">
        <is>
          <t>https://www.alanranger.com/landscape-photography-workshops</t>
        </is>
      </c>
    </row>
    <row r="465" ht="13.5" customHeight="1" s="1232">
      <c r="A465" s="1348" t="n">
        <v>45847</v>
      </c>
      <c r="B465" s="1349" t="inlineStr">
        <is>
          <t>Goutham Lingannaiah</t>
        </is>
      </c>
      <c r="C465" s="1350" t="inlineStr">
        <is>
          <t>1. Courses/masterclasses</t>
        </is>
      </c>
      <c r="D465" s="1349" t="inlineStr">
        <is>
          <t>Bank</t>
        </is>
      </c>
      <c r="E465" s="1351" t="n">
        <v>150</v>
      </c>
      <c r="F465" s="1349" t="inlineStr">
        <is>
          <t>Photo Editing Classes - Lightroom Classic</t>
        </is>
      </c>
      <c r="G465" s="1349" t="inlineStr">
        <is>
          <t>JLR</t>
        </is>
      </c>
      <c r="I465" t="inlineStr">
        <is>
          <t>Lightroom Courses for Beginners Photo Editing - Coventry</t>
        </is>
      </c>
      <c r="J465" t="inlineStr">
        <is>
          <t>https://www.alanranger.com/photo-editing-course-coventry</t>
        </is>
      </c>
    </row>
    <row r="466" ht="13.5" customHeight="1" s="1232">
      <c r="A466" s="1348" t="n">
        <v>45847</v>
      </c>
      <c r="B466" s="1349" t="inlineStr">
        <is>
          <t>Cheryl Laverick</t>
        </is>
      </c>
      <c r="C466" s="1350" t="inlineStr">
        <is>
          <t>1. Courses/masterclasses</t>
        </is>
      </c>
      <c r="D466" s="1349" t="inlineStr">
        <is>
          <t>Bank</t>
        </is>
      </c>
      <c r="E466" s="1351" t="n">
        <v>150</v>
      </c>
      <c r="F466" s="1349" t="inlineStr">
        <is>
          <t>Photo Editing Classes - Lightroom Classic</t>
        </is>
      </c>
      <c r="G466" s="1349" t="inlineStr">
        <is>
          <t>JLR</t>
        </is>
      </c>
      <c r="I466" t="inlineStr">
        <is>
          <t>Lightroom Courses for Beginners Photo Editing - Coventry</t>
        </is>
      </c>
      <c r="J466" t="inlineStr">
        <is>
          <t>https://www.alanranger.com/photo-editing-course-coventry</t>
        </is>
      </c>
    </row>
    <row r="467" ht="13.5" customHeight="1" s="1232">
      <c r="A467" s="1348" t="n">
        <v>45847</v>
      </c>
      <c r="B467" s="1349" t="inlineStr">
        <is>
          <t>Tobias Rochester-Bremmer</t>
        </is>
      </c>
      <c r="C467" s="1350" t="inlineStr">
        <is>
          <t>7. 1-2-1</t>
        </is>
      </c>
      <c r="D467" s="1349" t="inlineStr">
        <is>
          <t>Bank</t>
        </is>
      </c>
      <c r="E467" s="1351" t="n">
        <v>65</v>
      </c>
      <c r="F467" s="1349" t="inlineStr">
        <is>
          <t>Photography Lessons - Private 1-2-1 (1HR)</t>
        </is>
      </c>
      <c r="G467" s="1349" t="inlineStr">
        <is>
          <t>JLR</t>
        </is>
      </c>
      <c r="I467" t="inlineStr">
        <is>
          <t>1-2-1 Single Session - 1hr (Face-to-Face)</t>
        </is>
      </c>
      <c r="J467" t="inlineStr">
        <is>
          <t>https://www.alanranger.com/private-photography-lessons</t>
        </is>
      </c>
    </row>
    <row r="468" ht="13.5" customHeight="1" s="1232">
      <c r="A468" s="1348" t="n">
        <v>45847</v>
      </c>
      <c r="B468" s="1349" t="inlineStr">
        <is>
          <t>DineshKumar Nawal</t>
        </is>
      </c>
      <c r="C468" s="1350" t="inlineStr">
        <is>
          <t>7. 1-2-1</t>
        </is>
      </c>
      <c r="D468" s="1349" t="inlineStr">
        <is>
          <t>Bank</t>
        </is>
      </c>
      <c r="E468" s="1351" t="n">
        <v>120</v>
      </c>
      <c r="F468" s="1349" t="inlineStr">
        <is>
          <t>Photography Lessons - Private 1-2-1 (2hr)</t>
        </is>
      </c>
      <c r="G468" s="1349" t="inlineStr">
        <is>
          <t>JLR</t>
        </is>
      </c>
      <c r="I468" t="inlineStr">
        <is>
          <t>1-2-1 Single Session - 2hr (Face-to-Face)</t>
        </is>
      </c>
      <c r="J468" t="inlineStr">
        <is>
          <t>https://www.alanranger.com/private-photography-lessons</t>
        </is>
      </c>
    </row>
    <row r="469" ht="13.5" customHeight="1" s="1232">
      <c r="A469" s="1348" t="n">
        <v>45847</v>
      </c>
      <c r="B469" s="1349" t="inlineStr">
        <is>
          <t>Paul Jackson</t>
        </is>
      </c>
      <c r="C469" s="1350" t="inlineStr">
        <is>
          <t>2. Workshops Non Residential</t>
        </is>
      </c>
      <c r="D469" s="1349" t="inlineStr">
        <is>
          <t>Bank</t>
        </is>
      </c>
      <c r="E469" s="1351" t="n">
        <v>150</v>
      </c>
      <c r="F469" s="1349" t="inlineStr">
        <is>
          <t>Peak District Photography Workshops Padley Gorge</t>
        </is>
      </c>
      <c r="G469" s="1349" t="inlineStr">
        <is>
          <t>JLR</t>
        </is>
      </c>
      <c r="I469" t="inlineStr">
        <is>
          <t>PEAK DISTRICT Photography Workshops - May, Oct and Nov</t>
        </is>
      </c>
      <c r="J469" t="inlineStr">
        <is>
          <t>https://www.alanranger.com/one-day-landscape-photography-workshops</t>
        </is>
      </c>
    </row>
    <row r="470" ht="13.5" customHeight="1" s="1232">
      <c r="A470" s="1348" t="n">
        <v>45847</v>
      </c>
      <c r="B470" s="1349" t="inlineStr">
        <is>
          <t>Mattia Tosi</t>
        </is>
      </c>
      <c r="C470" s="1350" t="inlineStr">
        <is>
          <t>2. Workshops Non Residential</t>
        </is>
      </c>
      <c r="D470" s="1349" t="inlineStr">
        <is>
          <t>Bank</t>
        </is>
      </c>
      <c r="E470" s="1351" t="n">
        <v>150</v>
      </c>
      <c r="F470" s="1349" t="inlineStr">
        <is>
          <t>Peak District Photography Workshops Padley Gorge</t>
        </is>
      </c>
      <c r="G470" s="1349" t="inlineStr">
        <is>
          <t>JLR</t>
        </is>
      </c>
      <c r="I470" t="inlineStr">
        <is>
          <t>PEAK DISTRICT Photography Workshops - May, Oct and Nov</t>
        </is>
      </c>
      <c r="J470" t="inlineStr">
        <is>
          <t>https://www.alanranger.com/one-day-landscape-photography-workshops</t>
        </is>
      </c>
    </row>
    <row r="471" ht="13.5" customHeight="1" s="1232">
      <c r="A471" s="1348" t="n">
        <v>45847</v>
      </c>
      <c r="B471" s="1349" t="inlineStr">
        <is>
          <t>Lee Tasker</t>
        </is>
      </c>
      <c r="C471" s="1350" t="inlineStr">
        <is>
          <t>2. Workshops Non Residential</t>
        </is>
      </c>
      <c r="D471" s="1349" t="inlineStr">
        <is>
          <t>Bank</t>
        </is>
      </c>
      <c r="E471" s="1351" t="n">
        <v>150</v>
      </c>
      <c r="F471" s="1349" t="inlineStr">
        <is>
          <t>Peak District Photography Workshops Padley Gorge</t>
        </is>
      </c>
      <c r="G471" s="1349" t="inlineStr">
        <is>
          <t>JLR</t>
        </is>
      </c>
      <c r="I471" t="inlineStr">
        <is>
          <t>PEAK DISTRICT Photography Workshops - May, Oct and Nov</t>
        </is>
      </c>
      <c r="J471" t="inlineStr">
        <is>
          <t>https://www.alanranger.com/one-day-landscape-photography-workshops</t>
        </is>
      </c>
    </row>
    <row r="472" ht="13.5" customHeight="1" s="1232">
      <c r="A472" s="1348" t="n">
        <v>45847</v>
      </c>
      <c r="B472" s="1349" t="inlineStr">
        <is>
          <t>Richard Hoar</t>
        </is>
      </c>
      <c r="C472" s="1350" t="inlineStr">
        <is>
          <t>2. Workshops Non Residential</t>
        </is>
      </c>
      <c r="D472" s="1349" t="inlineStr">
        <is>
          <t>Bank</t>
        </is>
      </c>
      <c r="E472" s="1351" t="n">
        <v>150</v>
      </c>
      <c r="F472" s="1349" t="inlineStr">
        <is>
          <t>Peak District Photography Workshops Padley Gorge</t>
        </is>
      </c>
      <c r="G472" s="1349" t="inlineStr">
        <is>
          <t>JLR</t>
        </is>
      </c>
      <c r="I472" t="inlineStr">
        <is>
          <t>PEAK DISTRICT Photography Workshops - May, Oct and Nov</t>
        </is>
      </c>
      <c r="J472" t="inlineStr">
        <is>
          <t>https://www.alanranger.com/one-day-landscape-photography-workshops</t>
        </is>
      </c>
    </row>
    <row r="473" ht="13.5" customHeight="1" s="1232">
      <c r="A473" s="1348" t="n">
        <v>45847</v>
      </c>
      <c r="B473" s="1349" t="inlineStr">
        <is>
          <t>Jacinto Carrasco-Munoz Guerra</t>
        </is>
      </c>
      <c r="C473" s="1350" t="inlineStr">
        <is>
          <t>2. Workshops Non Residential</t>
        </is>
      </c>
      <c r="D473" s="1349" t="inlineStr">
        <is>
          <t>Bank</t>
        </is>
      </c>
      <c r="E473" s="1351" t="n">
        <v>150</v>
      </c>
      <c r="F473" s="1349" t="inlineStr">
        <is>
          <t>Peak District Photography Workshops Padley Gorge</t>
        </is>
      </c>
      <c r="G473" s="1349" t="inlineStr">
        <is>
          <t>JLR</t>
        </is>
      </c>
      <c r="I473" t="inlineStr">
        <is>
          <t>PEAK DISTRICT Photography Workshops - May, Oct and Nov</t>
        </is>
      </c>
      <c r="J473" t="inlineStr">
        <is>
          <t>https://www.alanranger.com/one-day-landscape-photography-workshops</t>
        </is>
      </c>
    </row>
    <row r="474" ht="13.5" customHeight="1" s="1232">
      <c r="A474" s="1348" t="n">
        <v>45847</v>
      </c>
      <c r="B474" s="1349" t="inlineStr">
        <is>
          <t>Swapnil Khante</t>
        </is>
      </c>
      <c r="C474" s="1350" t="inlineStr">
        <is>
          <t>2. Workshops Non Residential</t>
        </is>
      </c>
      <c r="D474" s="1349" t="inlineStr">
        <is>
          <t>Bank</t>
        </is>
      </c>
      <c r="E474" s="1351" t="n">
        <v>150</v>
      </c>
      <c r="F474" s="1349" t="inlineStr">
        <is>
          <t>Peak District Photography Workshops Padley Gorge</t>
        </is>
      </c>
      <c r="G474" s="1349" t="inlineStr">
        <is>
          <t>JLR</t>
        </is>
      </c>
      <c r="I474" t="inlineStr">
        <is>
          <t>PEAK DISTRICT Photography Workshops - May, Oct and Nov</t>
        </is>
      </c>
      <c r="J474" t="inlineStr">
        <is>
          <t>https://www.alanranger.com/one-day-landscape-photography-workshops</t>
        </is>
      </c>
    </row>
    <row r="475" ht="13.5" customHeight="1" s="1232">
      <c r="A475" s="1348" t="n">
        <v>45845</v>
      </c>
      <c r="B475" s="1349" t="inlineStr">
        <is>
          <t>Kevin O'Brien</t>
        </is>
      </c>
      <c r="C475" s="1350" t="inlineStr">
        <is>
          <t>12. Academy</t>
        </is>
      </c>
      <c r="D475" s="1349" t="inlineStr">
        <is>
          <t>PayPal</t>
        </is>
      </c>
      <c r="E475" s="1351" t="n">
        <v>25</v>
      </c>
      <c r="F475" s="1349" t="inlineStr">
        <is>
          <t>e-Book</t>
        </is>
      </c>
      <c r="G475" s="1349" t="inlineStr">
        <is>
          <t>Google</t>
        </is>
      </c>
      <c r="I475" t="inlineStr">
        <is>
          <t>Academy - Membership / eBook / Exams (historical bundle)</t>
        </is>
      </c>
      <c r="J475" t="inlineStr">
        <is>
          <t>https://www.alanranger.com/free-online-photography-course</t>
        </is>
      </c>
    </row>
    <row r="476" ht="13.5" customHeight="1" s="1232">
      <c r="A476" s="1348" t="n">
        <v>45843</v>
      </c>
      <c r="B476" s="1349" t="inlineStr">
        <is>
          <t>Yumna Iqbal</t>
        </is>
      </c>
      <c r="C476" s="1350" t="inlineStr">
        <is>
          <t>1. Courses/masterclasses</t>
        </is>
      </c>
      <c r="D476" s="1349" t="inlineStr">
        <is>
          <t>Stripe</t>
        </is>
      </c>
      <c r="E476" s="1351" t="n">
        <v>150</v>
      </c>
      <c r="F476" s="1349" t="inlineStr">
        <is>
          <t>3wk Camera Course</t>
        </is>
      </c>
      <c r="G476" s="1349" t="inlineStr">
        <is>
          <t>Google</t>
        </is>
      </c>
      <c r="I476" t="inlineStr">
        <is>
          <t>5 Week Beginners Photography Course (RETIRED format)</t>
        </is>
      </c>
      <c r="J476" t="inlineStr">
        <is>
          <t>https://www.alanranger.com/beginners-photography-classes</t>
        </is>
      </c>
    </row>
    <row r="477" ht="13.5" customHeight="1" s="1232">
      <c r="A477" s="1348" t="n">
        <v>45842</v>
      </c>
      <c r="B477" s="1349" t="inlineStr">
        <is>
          <t>Nicola Sawle</t>
        </is>
      </c>
      <c r="C477" s="1350" t="inlineStr">
        <is>
          <t>9. Gift Vouchers Out</t>
        </is>
      </c>
      <c r="D477" s="1349" t="inlineStr">
        <is>
          <t>Gift Voucher Out</t>
        </is>
      </c>
      <c r="E477" s="1351" t="n">
        <v>-300</v>
      </c>
      <c r="F477" s="1352" t="inlineStr">
        <is>
          <t>1-2-1 s</t>
        </is>
      </c>
      <c r="G477" s="1349" t="inlineStr">
        <is>
          <t>Existing</t>
        </is>
      </c>
      <c r="I477" t="inlineStr">
        <is>
          <t>Voucher/Plan Redemption - not a product sale</t>
        </is>
      </c>
      <c r="J477" t="inlineStr"/>
    </row>
    <row r="478" ht="13.5" customHeight="1" s="1232">
      <c r="A478" s="1348" t="n">
        <v>45842</v>
      </c>
      <c r="B478" s="1349" t="inlineStr">
        <is>
          <t>Nicola Sawle</t>
        </is>
      </c>
      <c r="C478" s="1350" t="inlineStr">
        <is>
          <t>7. 1-2-1</t>
        </is>
      </c>
      <c r="D478" s="1349" t="inlineStr">
        <is>
          <t>Gift Voucher Out</t>
        </is>
      </c>
      <c r="E478" s="1351" t="n">
        <v>300</v>
      </c>
      <c r="F478" s="1352" t="inlineStr">
        <is>
          <t>1-2-1 s</t>
        </is>
      </c>
      <c r="G478" s="1349" t="inlineStr">
        <is>
          <t>Existing</t>
        </is>
      </c>
      <c r="I478" t="inlineStr">
        <is>
          <t>1-2-1 Package - Zoom Multi-Session</t>
        </is>
      </c>
      <c r="J478" t="inlineStr">
        <is>
          <t>https://www.alanranger.com/photography-lessons-online-121</t>
        </is>
      </c>
    </row>
    <row r="479" ht="13.5" customHeight="1" s="1232">
      <c r="A479" s="1348" t="n">
        <v>45842</v>
      </c>
      <c r="B479" s="1349" t="inlineStr">
        <is>
          <t>Nigel Proctor</t>
        </is>
      </c>
      <c r="C479" s="1350" t="inlineStr">
        <is>
          <t>7. 1-2-1</t>
        </is>
      </c>
      <c r="D479" s="1349" t="inlineStr">
        <is>
          <t>Stripe</t>
        </is>
      </c>
      <c r="E479" s="1351" t="n">
        <v>50</v>
      </c>
      <c r="F479" s="1349" t="inlineStr">
        <is>
          <t>Zoom 1hr</t>
        </is>
      </c>
      <c r="G479" s="1349" t="inlineStr">
        <is>
          <t>Existing</t>
        </is>
      </c>
      <c r="I479" t="inlineStr">
        <is>
          <t>1-2-1 Single Session - 1hr Zoom</t>
        </is>
      </c>
      <c r="J479" t="inlineStr">
        <is>
          <t>https://www.alanranger.com/photography-lessons-online-121</t>
        </is>
      </c>
    </row>
    <row r="480" ht="13.5" customHeight="1" s="1232">
      <c r="A480" s="1348" t="n">
        <v>45839</v>
      </c>
      <c r="B480" s="1349" t="inlineStr">
        <is>
          <t>Mentoring Subs</t>
        </is>
      </c>
      <c r="C480" s="1350" t="inlineStr">
        <is>
          <t>6. Mentoring</t>
        </is>
      </c>
      <c r="D480" s="1349" t="inlineStr">
        <is>
          <t>Stripe</t>
        </is>
      </c>
      <c r="E480" s="1351" t="n">
        <v>35</v>
      </c>
      <c r="F480" s="1349" t="inlineStr">
        <is>
          <t>Mentoring Subs</t>
        </is>
      </c>
      <c r="G480" s="1349" t="inlineStr">
        <is>
          <t>Existing</t>
        </is>
      </c>
      <c r="I480" t="inlineStr">
        <is>
          <t>Mentoring - Monthly Subscription</t>
        </is>
      </c>
      <c r="J480" t="inlineStr">
        <is>
          <t>https://www.alanranger.com/photography-mentoring-online-assignments</t>
        </is>
      </c>
    </row>
    <row r="481" ht="13.5" customHeight="1" s="1232">
      <c r="A481" s="1348" t="n"/>
      <c r="B481" s="1349" t="n"/>
      <c r="C481" s="1350" t="n"/>
      <c r="D481" s="1349" t="n"/>
      <c r="E481" s="1351" t="n"/>
      <c r="F481" s="1349" t="n"/>
      <c r="G481" s="1349" t="n"/>
    </row>
    <row r="482" ht="13.5" customHeight="1" s="1232">
      <c r="A482" s="1348" t="n">
        <v>45838</v>
      </c>
      <c r="B482" s="1349" t="inlineStr">
        <is>
          <t>Bassam Aljazi</t>
        </is>
      </c>
      <c r="C482" s="1350" t="inlineStr">
        <is>
          <t>3. Workshops Residential</t>
        </is>
      </c>
      <c r="D482" s="1349" t="inlineStr">
        <is>
          <t>Stripe</t>
        </is>
      </c>
      <c r="E482" s="1351" t="n">
        <v>750</v>
      </c>
      <c r="F482" s="1349" t="inlineStr">
        <is>
          <t>Hartland Quay</t>
        </is>
      </c>
      <c r="G482" s="1349" t="inlineStr">
        <is>
          <t>Google</t>
        </is>
      </c>
      <c r="I482" t="inlineStr">
        <is>
          <t>Landscape Photography DEVON Workshops - Various Dates</t>
        </is>
      </c>
      <c r="J482" t="inlineStr">
        <is>
          <t>https://www.alanranger.com/photography-workshops</t>
        </is>
      </c>
    </row>
    <row r="483" ht="13.5" customHeight="1" s="1232">
      <c r="A483" s="1348" t="n">
        <v>45838</v>
      </c>
      <c r="B483" s="1349" t="inlineStr">
        <is>
          <t>natalya chacon</t>
        </is>
      </c>
      <c r="C483" s="1350" t="inlineStr">
        <is>
          <t>12. Academy</t>
        </is>
      </c>
      <c r="D483" s="1349" t="inlineStr">
        <is>
          <t>PayPal</t>
        </is>
      </c>
      <c r="E483" s="1351" t="n">
        <v>5</v>
      </c>
      <c r="F483" s="1349" t="inlineStr">
        <is>
          <t>Donation</t>
        </is>
      </c>
      <c r="G483" s="1349" t="inlineStr">
        <is>
          <t>Google</t>
        </is>
      </c>
      <c r="I483" t="inlineStr">
        <is>
          <t>Academy - Membership / eBook / Exams (historical bundle)</t>
        </is>
      </c>
      <c r="J483" t="inlineStr">
        <is>
          <t>https://www.alanranger.com/free-online-photography-course</t>
        </is>
      </c>
    </row>
    <row r="484" ht="13.5" customHeight="1" s="1232">
      <c r="A484" s="1348" t="n">
        <v>45838</v>
      </c>
      <c r="B484" s="1349" t="inlineStr">
        <is>
          <t>Samantha Arnold</t>
        </is>
      </c>
      <c r="C484" s="1350" t="inlineStr">
        <is>
          <t>7. 1-2-1</t>
        </is>
      </c>
      <c r="D484" s="1349" t="inlineStr">
        <is>
          <t>Bank</t>
        </is>
      </c>
      <c r="E484" s="1351" t="n">
        <v>65</v>
      </c>
      <c r="F484" s="1349" t="inlineStr">
        <is>
          <t>1-2-1 lesson</t>
        </is>
      </c>
      <c r="G484" s="1349" t="inlineStr">
        <is>
          <t>JLR</t>
        </is>
      </c>
      <c r="I484" t="inlineStr">
        <is>
          <t>1-2-1 Single Session - 1hr (Face-to-Face)</t>
        </is>
      </c>
      <c r="J484" t="inlineStr">
        <is>
          <t>https://www.alanranger.com/private-photography-lessons</t>
        </is>
      </c>
    </row>
    <row r="485" ht="13.5" customHeight="1" s="1232">
      <c r="A485" s="1348" t="n">
        <v>45837</v>
      </c>
      <c r="B485" s="1349" t="inlineStr">
        <is>
          <t>Michael Simm</t>
        </is>
      </c>
      <c r="C485" s="1350" t="inlineStr">
        <is>
          <t>12. Academy</t>
        </is>
      </c>
      <c r="D485" s="1349" t="inlineStr">
        <is>
          <t>Stripe</t>
        </is>
      </c>
      <c r="E485" s="1351" t="n">
        <v>25</v>
      </c>
      <c r="F485" s="1349" t="inlineStr">
        <is>
          <t>E-book online course</t>
        </is>
      </c>
      <c r="G485" s="1349" t="inlineStr">
        <is>
          <t>Google</t>
        </is>
      </c>
      <c r="I485" t="inlineStr">
        <is>
          <t>Academy - Membership / eBook / Exams (historical bundle)</t>
        </is>
      </c>
      <c r="J485" t="inlineStr">
        <is>
          <t>https://www.alanranger.com/free-online-photography-course</t>
        </is>
      </c>
    </row>
    <row r="486" ht="13.5" customHeight="1" s="1232">
      <c r="A486" s="1348" t="n">
        <v>45833</v>
      </c>
      <c r="B486" s="1349" t="inlineStr">
        <is>
          <t>Trina Hribal</t>
        </is>
      </c>
      <c r="C486" s="1350" t="inlineStr">
        <is>
          <t>12. Academy</t>
        </is>
      </c>
      <c r="D486" s="1349" t="inlineStr">
        <is>
          <t>Stripe</t>
        </is>
      </c>
      <c r="E486" s="1351" t="n">
        <v>25</v>
      </c>
      <c r="F486" s="1349" t="inlineStr">
        <is>
          <t>E-book online course</t>
        </is>
      </c>
      <c r="G486" s="1349" t="inlineStr">
        <is>
          <t>Google</t>
        </is>
      </c>
      <c r="I486" t="inlineStr">
        <is>
          <t>Academy - Membership / eBook / Exams (historical bundle)</t>
        </is>
      </c>
      <c r="J486" t="inlineStr">
        <is>
          <t>https://www.alanranger.com/free-online-photography-course</t>
        </is>
      </c>
    </row>
    <row r="487" ht="13.5" customHeight="1" s="1232">
      <c r="A487" s="1348" t="n">
        <v>45828</v>
      </c>
      <c r="B487" s="1349" t="inlineStr">
        <is>
          <t>Johnson Soundarapandian</t>
        </is>
      </c>
      <c r="C487" s="1350" t="inlineStr">
        <is>
          <t>7. 1-2-1</t>
        </is>
      </c>
      <c r="D487" s="1349" t="inlineStr">
        <is>
          <t>Bank</t>
        </is>
      </c>
      <c r="E487" s="1351" t="n">
        <v>65</v>
      </c>
      <c r="F487" s="1349" t="inlineStr">
        <is>
          <t>Photography Lessons - Private 1-2-1 (1HR)</t>
        </is>
      </c>
      <c r="G487" s="1349" t="inlineStr">
        <is>
          <t>JLR</t>
        </is>
      </c>
      <c r="I487" t="inlineStr">
        <is>
          <t>1-2-1 Single Session - 1hr (Face-to-Face)</t>
        </is>
      </c>
      <c r="J487" t="inlineStr">
        <is>
          <t>https://www.alanranger.com/private-photography-lessons</t>
        </is>
      </c>
    </row>
    <row r="488" ht="13.5" customHeight="1" s="1232">
      <c r="A488" s="1348" t="n">
        <v>45828</v>
      </c>
      <c r="B488" s="1349" t="inlineStr">
        <is>
          <t>Charlotte Brooks</t>
        </is>
      </c>
      <c r="C488" s="1350" t="inlineStr">
        <is>
          <t>2. Workshops Non Residential</t>
        </is>
      </c>
      <c r="D488" s="1349" t="inlineStr">
        <is>
          <t>Bank</t>
        </is>
      </c>
      <c r="E488" s="1351" t="n">
        <v>50</v>
      </c>
      <c r="F488" s="1349" t="inlineStr">
        <is>
          <t>Long Exposure Photography Workshop - Sunset - Kenilworth</t>
        </is>
      </c>
      <c r="G488" s="1349" t="inlineStr">
        <is>
          <t>JLR</t>
        </is>
      </c>
      <c r="I488" t="inlineStr">
        <is>
          <t>Long Exposure Photography Workshop KENILWORTH Sunset</t>
        </is>
      </c>
      <c r="J488" t="inlineStr">
        <is>
          <t>https://www.alanranger.com/landscape-photography-workshops</t>
        </is>
      </c>
    </row>
    <row r="489" ht="13.5" customHeight="1" s="1232">
      <c r="A489" s="1348" t="n">
        <v>45828</v>
      </c>
      <c r="B489" s="1349" t="inlineStr">
        <is>
          <t>Raamakrishnan Narayanan Sankaranarayanan</t>
        </is>
      </c>
      <c r="C489" s="1350" t="inlineStr">
        <is>
          <t>2. Workshops Non Residential</t>
        </is>
      </c>
      <c r="D489" s="1349" t="inlineStr">
        <is>
          <t>Bank</t>
        </is>
      </c>
      <c r="E489" s="1351" t="n">
        <v>50</v>
      </c>
      <c r="F489" s="1349" t="inlineStr">
        <is>
          <t>Long Exposure Photography Workshop - Sunset - Kenilworth</t>
        </is>
      </c>
      <c r="G489" s="1349" t="inlineStr">
        <is>
          <t>JLR</t>
        </is>
      </c>
      <c r="I489" t="inlineStr">
        <is>
          <t>Long Exposure Photography Workshop KENILWORTH Sunset</t>
        </is>
      </c>
      <c r="J489" t="inlineStr">
        <is>
          <t>https://www.alanranger.com/landscape-photography-workshops</t>
        </is>
      </c>
    </row>
    <row r="490" ht="13.5" customHeight="1" s="1232">
      <c r="A490" s="1348" t="n">
        <v>45828</v>
      </c>
      <c r="B490" s="1349" t="inlineStr">
        <is>
          <t>Asia Begum</t>
        </is>
      </c>
      <c r="C490" s="1350" t="inlineStr">
        <is>
          <t>2. Workshops Non Residential</t>
        </is>
      </c>
      <c r="D490" s="1349" t="inlineStr">
        <is>
          <t>Bank</t>
        </is>
      </c>
      <c r="E490" s="1351" t="n">
        <v>50</v>
      </c>
      <c r="F490" s="1349" t="inlineStr">
        <is>
          <t>Long Exposure Photography Workshop - Sunset - Kenilworth</t>
        </is>
      </c>
      <c r="G490" s="1349" t="inlineStr">
        <is>
          <t>JLR</t>
        </is>
      </c>
      <c r="I490" t="inlineStr">
        <is>
          <t>Long Exposure Photography Workshop KENILWORTH Sunset</t>
        </is>
      </c>
      <c r="J490" t="inlineStr">
        <is>
          <t>https://www.alanranger.com/landscape-photography-workshops</t>
        </is>
      </c>
    </row>
    <row r="491" ht="13.5" customHeight="1" s="1232">
      <c r="A491" s="1348" t="n">
        <v>45828</v>
      </c>
      <c r="B491" s="1349" t="inlineStr">
        <is>
          <t>Kerrie Porter</t>
        </is>
      </c>
      <c r="C491" s="1350" t="inlineStr">
        <is>
          <t>2. Workshops Non Residential</t>
        </is>
      </c>
      <c r="D491" s="1349" t="inlineStr">
        <is>
          <t>Bank</t>
        </is>
      </c>
      <c r="E491" s="1351" t="n">
        <v>50</v>
      </c>
      <c r="F491" s="1349" t="inlineStr">
        <is>
          <t>Long Exposure Photography Workshop - Sunset - Kenilworth</t>
        </is>
      </c>
      <c r="G491" s="1349" t="inlineStr">
        <is>
          <t>JLR</t>
        </is>
      </c>
      <c r="I491" t="inlineStr">
        <is>
          <t>Long Exposure Photography Workshop KENILWORTH Sunset</t>
        </is>
      </c>
      <c r="J491" t="inlineStr">
        <is>
          <t>https://www.alanranger.com/landscape-photography-workshops</t>
        </is>
      </c>
    </row>
    <row r="492" ht="13.5" customHeight="1" s="1232">
      <c r="A492" s="1348" t="n">
        <v>45828</v>
      </c>
      <c r="B492" s="1349" t="inlineStr">
        <is>
          <t>Volkan Ayik</t>
        </is>
      </c>
      <c r="C492" s="1350" t="inlineStr">
        <is>
          <t>2. Workshops Non Residential</t>
        </is>
      </c>
      <c r="D492" s="1349" t="inlineStr">
        <is>
          <t>Bank</t>
        </is>
      </c>
      <c r="E492" s="1351" t="n">
        <v>50</v>
      </c>
      <c r="F492" s="1349" t="inlineStr">
        <is>
          <t>Long Exposure Photography Workshop - Sunset - Kenilworth</t>
        </is>
      </c>
      <c r="G492" s="1349" t="inlineStr">
        <is>
          <t>JLR</t>
        </is>
      </c>
      <c r="I492" t="inlineStr">
        <is>
          <t>Long Exposure Photography Workshop KENILWORTH Sunset</t>
        </is>
      </c>
      <c r="J492" t="inlineStr">
        <is>
          <t>https://www.alanranger.com/landscape-photography-workshops</t>
        </is>
      </c>
    </row>
    <row r="493" ht="13.5" customHeight="1" s="1232">
      <c r="A493" s="1348" t="n">
        <v>45828</v>
      </c>
      <c r="B493" s="1349" t="inlineStr">
        <is>
          <t>Naveen Lakshmanan</t>
        </is>
      </c>
      <c r="C493" s="1350" t="inlineStr">
        <is>
          <t>2. Workshops Non Residential</t>
        </is>
      </c>
      <c r="D493" s="1349" t="inlineStr">
        <is>
          <t>Bank</t>
        </is>
      </c>
      <c r="E493" s="1351" t="n">
        <v>50</v>
      </c>
      <c r="F493" s="1349" t="inlineStr">
        <is>
          <t>Long Exposure Photography Workshop - Sunset - Kenilworth</t>
        </is>
      </c>
      <c r="G493" s="1349" t="inlineStr">
        <is>
          <t>JLR</t>
        </is>
      </c>
      <c r="I493" t="inlineStr">
        <is>
          <t>Long Exposure Photography Workshop KENILWORTH Sunset</t>
        </is>
      </c>
      <c r="J493" t="inlineStr">
        <is>
          <t>https://www.alanranger.com/landscape-photography-workshops</t>
        </is>
      </c>
    </row>
    <row r="494" ht="13.5" customHeight="1" s="1232">
      <c r="A494" s="1348" t="n">
        <v>45827</v>
      </c>
      <c r="B494" s="1349" t="inlineStr">
        <is>
          <t>Artfully Walls</t>
        </is>
      </c>
      <c r="C494" s="1350" t="inlineStr">
        <is>
          <t>10. Prints &amp; Royalties</t>
        </is>
      </c>
      <c r="D494" s="1349" t="inlineStr">
        <is>
          <t>PayPal</t>
        </is>
      </c>
      <c r="E494" s="1351" t="n">
        <v>87.09999999999999</v>
      </c>
      <c r="F494" s="1349" t="inlineStr">
        <is>
          <t>Print royalties</t>
        </is>
      </c>
      <c r="G494" s="1349" t="inlineStr">
        <is>
          <t>Artfully Walls</t>
        </is>
      </c>
      <c r="I494" t="inlineStr">
        <is>
          <t>Royalties &amp; Affiliate Income</t>
        </is>
      </c>
      <c r="J494" t="inlineStr">
        <is>
          <t>https://www.alanranger.com/fine-art-prints</t>
        </is>
      </c>
    </row>
    <row r="495" ht="13.5" customHeight="1" s="1232">
      <c r="A495" s="1348" t="n">
        <v>45827</v>
      </c>
      <c r="B495" s="1349" t="inlineStr">
        <is>
          <t>Peter Mangan</t>
        </is>
      </c>
      <c r="C495" s="1350" t="inlineStr">
        <is>
          <t>11 Commissions</t>
        </is>
      </c>
      <c r="D495" s="1349" t="inlineStr">
        <is>
          <t>Cash</t>
        </is>
      </c>
      <c r="E495" s="1351" t="n">
        <v>150</v>
      </c>
      <c r="F495" s="1349" t="inlineStr">
        <is>
          <t>Product Shoot</t>
        </is>
      </c>
      <c r="G495" s="1349" t="inlineStr">
        <is>
          <t>Existing</t>
        </is>
      </c>
      <c r="I495" t="inlineStr">
        <is>
          <t>Commission - Commercial / Product Shoot</t>
        </is>
      </c>
      <c r="J495" t="inlineStr">
        <is>
          <t>https://www.alanranger.com/professional-commercial-photographer-coventry</t>
        </is>
      </c>
    </row>
    <row r="496" ht="13.5" customHeight="1" s="1232">
      <c r="A496" s="1348" t="n">
        <v>45827</v>
      </c>
      <c r="B496" s="1349" t="inlineStr">
        <is>
          <t>Peter Mangan</t>
        </is>
      </c>
      <c r="C496" s="1350" t="inlineStr">
        <is>
          <t>11 Commissions</t>
        </is>
      </c>
      <c r="D496" s="1349" t="inlineStr">
        <is>
          <t>Stripe</t>
        </is>
      </c>
      <c r="E496" s="1351" t="n">
        <v>150</v>
      </c>
      <c r="F496" s="1349" t="inlineStr">
        <is>
          <t>Product Shoot</t>
        </is>
      </c>
      <c r="G496" s="1349" t="inlineStr">
        <is>
          <t>Existing</t>
        </is>
      </c>
      <c r="I496" t="inlineStr">
        <is>
          <t>Commission - Commercial / Product Shoot</t>
        </is>
      </c>
      <c r="J496" t="inlineStr">
        <is>
          <t>https://www.alanranger.com/professional-commercial-photographer-coventry</t>
        </is>
      </c>
    </row>
    <row r="497" ht="13.5" customHeight="1" s="1232">
      <c r="A497" s="1348" t="n">
        <v>45822</v>
      </c>
      <c r="B497" s="1349" t="inlineStr">
        <is>
          <t>Jennie Me Gavin</t>
        </is>
      </c>
      <c r="C497" s="1350" t="inlineStr">
        <is>
          <t>2. Workshops Non Residential</t>
        </is>
      </c>
      <c r="D497" s="1349" t="inlineStr">
        <is>
          <t>Stripe</t>
        </is>
      </c>
      <c r="E497" s="1351" t="n">
        <v>99</v>
      </c>
      <c r="F497" s="1349" t="inlineStr">
        <is>
          <t>Batsford</t>
        </is>
      </c>
      <c r="G497" s="1349" t="inlineStr">
        <is>
          <t>Google</t>
        </is>
      </c>
      <c r="I497" t="inlineStr">
        <is>
          <t>Gift Voucher - Digital eCard</t>
        </is>
      </c>
      <c r="J497" t="inlineStr">
        <is>
          <t>https://www.alanranger.com/photography-gift-vouchers</t>
        </is>
      </c>
    </row>
    <row r="498" ht="13.5" customHeight="1" s="1232">
      <c r="A498" s="1348" t="n">
        <v>45824</v>
      </c>
      <c r="B498" s="1349" t="inlineStr">
        <is>
          <t>Lode Heath School</t>
        </is>
      </c>
      <c r="C498" s="1350" t="inlineStr">
        <is>
          <t>11 Commissions</t>
        </is>
      </c>
      <c r="D498" s="1349" t="inlineStr">
        <is>
          <t>Bank</t>
        </is>
      </c>
      <c r="E498" s="1351" t="n">
        <v>500</v>
      </c>
      <c r="F498" s="1349" t="inlineStr">
        <is>
          <t>4hrs for 2 People</t>
        </is>
      </c>
      <c r="G498" s="1349" t="inlineStr">
        <is>
          <t>Google</t>
        </is>
      </c>
      <c r="I498" t="inlineStr">
        <is>
          <t>Commission - Commercial / Product Shoot</t>
        </is>
      </c>
      <c r="J498" t="inlineStr">
        <is>
          <t>https://www.alanranger.com/professional-commercial-photographer-coventry</t>
        </is>
      </c>
    </row>
    <row r="499" ht="13.5" customHeight="1" s="1232">
      <c r="A499" s="1348" t="n">
        <v>45815</v>
      </c>
      <c r="B499" s="1349" t="inlineStr">
        <is>
          <t>Joanne Galloway</t>
        </is>
      </c>
      <c r="C499" s="1350" t="inlineStr">
        <is>
          <t>5. Pick n Mix Out</t>
        </is>
      </c>
      <c r="D499" s="1349" t="inlineStr">
        <is>
          <t>PicknMix</t>
        </is>
      </c>
      <c r="E499" s="1351" t="n">
        <v>-1120</v>
      </c>
      <c r="F499" s="1349" t="inlineStr">
        <is>
          <t>Lake District</t>
        </is>
      </c>
      <c r="G499" s="1349" t="inlineStr">
        <is>
          <t>Existing</t>
        </is>
      </c>
      <c r="I499" t="inlineStr">
        <is>
          <t>Voucher/Plan Redemption - not a product sale</t>
        </is>
      </c>
      <c r="J499" t="inlineStr"/>
    </row>
    <row r="500" ht="13.5" customHeight="1" s="1232">
      <c r="A500" s="1348" t="n">
        <v>45815</v>
      </c>
      <c r="B500" s="1349" t="inlineStr">
        <is>
          <t>Joanne Galloway</t>
        </is>
      </c>
      <c r="C500" s="1350" t="inlineStr">
        <is>
          <t>3. Workshops Residential</t>
        </is>
      </c>
      <c r="D500" s="1349" t="inlineStr">
        <is>
          <t>PicknMix</t>
        </is>
      </c>
      <c r="E500" s="1351" t="n">
        <v>1120</v>
      </c>
      <c r="F500" s="1349" t="inlineStr">
        <is>
          <t>Lake District</t>
        </is>
      </c>
      <c r="G500" s="1349" t="inlineStr">
        <is>
          <t>Existing</t>
        </is>
      </c>
      <c r="I500" t="inlineStr">
        <is>
          <t>LAKE DISTRICT Photography Workshops - Jan - Mar - Sep - Nov</t>
        </is>
      </c>
      <c r="J500" t="inlineStr">
        <is>
          <t>https://www.alanranger.com/photography-workshops</t>
        </is>
      </c>
    </row>
    <row r="501" ht="13.5" customHeight="1" s="1232">
      <c r="A501" s="1348" t="n">
        <v>45821</v>
      </c>
      <c r="B501" s="1349" t="inlineStr">
        <is>
          <t>Peter Orton</t>
        </is>
      </c>
      <c r="C501" s="1350" t="inlineStr">
        <is>
          <t>7. 1-2-1</t>
        </is>
      </c>
      <c r="D501" s="1349" t="inlineStr">
        <is>
          <t>Stripe</t>
        </is>
      </c>
      <c r="E501" s="1351" t="n">
        <v>170</v>
      </c>
      <c r="F501" s="1349" t="inlineStr">
        <is>
          <t>4 x 1 hr zooms</t>
        </is>
      </c>
      <c r="G501" s="1349" t="inlineStr">
        <is>
          <t>Existing</t>
        </is>
      </c>
      <c r="I501" t="inlineStr">
        <is>
          <t>1-2-1 Package - 4 x 1hr Zoom</t>
        </is>
      </c>
      <c r="J501" t="inlineStr">
        <is>
          <t>https://www.alanranger.com/photography-lessons-online-121</t>
        </is>
      </c>
    </row>
    <row r="502" ht="13.5" customHeight="1" s="1232">
      <c r="A502" s="1348" t="n">
        <v>45820</v>
      </c>
      <c r="B502" s="1349" t="inlineStr">
        <is>
          <t>Paul Lewis</t>
        </is>
      </c>
      <c r="C502" s="1350" t="inlineStr">
        <is>
          <t>1. Courses/masterclasses</t>
        </is>
      </c>
      <c r="D502" s="1349" t="inlineStr">
        <is>
          <t>Bank</t>
        </is>
      </c>
      <c r="E502" s="1351" t="n">
        <v>150</v>
      </c>
      <c r="F502" s="1349" t="inlineStr">
        <is>
          <t>Photo Editing Classes - Lightroom Classic</t>
        </is>
      </c>
      <c r="G502" s="1349" t="inlineStr">
        <is>
          <t>JLR</t>
        </is>
      </c>
      <c r="I502" t="inlineStr">
        <is>
          <t>Lightroom Courses for Beginners Photo Editing - Coventry</t>
        </is>
      </c>
      <c r="J502" t="inlineStr">
        <is>
          <t>https://www.alanranger.com/photo-editing-course-coventry</t>
        </is>
      </c>
    </row>
    <row r="503" ht="13.5" customHeight="1" s="1232">
      <c r="A503" s="1348" t="n">
        <v>45820</v>
      </c>
      <c r="B503" s="1349" t="inlineStr">
        <is>
          <t>James Lawrence</t>
        </is>
      </c>
      <c r="C503" s="1350" t="inlineStr">
        <is>
          <t>1. Courses/masterclasses</t>
        </is>
      </c>
      <c r="D503" s="1349" t="inlineStr">
        <is>
          <t>Bank</t>
        </is>
      </c>
      <c r="E503" s="1351" t="n">
        <v>150</v>
      </c>
      <c r="F503" s="1349" t="inlineStr">
        <is>
          <t>Photo Editing Classes - Lightroom Classic</t>
        </is>
      </c>
      <c r="G503" s="1349" t="inlineStr">
        <is>
          <t>JLR</t>
        </is>
      </c>
      <c r="I503" t="inlineStr">
        <is>
          <t>Lightroom Courses for Beginners Photo Editing - Coventry</t>
        </is>
      </c>
      <c r="J503" t="inlineStr">
        <is>
          <t>https://www.alanranger.com/photo-editing-course-coventry</t>
        </is>
      </c>
    </row>
    <row r="504" ht="13.5" customHeight="1" s="1232">
      <c r="A504" s="1348" t="n">
        <v>45820</v>
      </c>
      <c r="B504" s="1349" t="inlineStr">
        <is>
          <t>Anil Kumar Siddesh</t>
        </is>
      </c>
      <c r="C504" s="1350" t="inlineStr">
        <is>
          <t>1. Courses/masterclasses</t>
        </is>
      </c>
      <c r="D504" s="1349" t="inlineStr">
        <is>
          <t>Bank</t>
        </is>
      </c>
      <c r="E504" s="1351" t="n">
        <v>150</v>
      </c>
      <c r="F504" s="1349" t="inlineStr">
        <is>
          <t>Photo Editing Classes - Lightroom Classic</t>
        </is>
      </c>
      <c r="G504" s="1349" t="inlineStr">
        <is>
          <t>JLR</t>
        </is>
      </c>
      <c r="I504" t="inlineStr">
        <is>
          <t>Lightroom Courses for Beginners Photo Editing - Coventry</t>
        </is>
      </c>
      <c r="J504" t="inlineStr">
        <is>
          <t>https://www.alanranger.com/photo-editing-course-coventry</t>
        </is>
      </c>
    </row>
    <row r="505" ht="13.5" customHeight="1" s="1232">
      <c r="A505" s="1348" t="n">
        <v>45820</v>
      </c>
      <c r="B505" s="1349" t="inlineStr">
        <is>
          <t>Shankar Ganesan</t>
        </is>
      </c>
      <c r="C505" s="1350" t="inlineStr">
        <is>
          <t>7. 1-2-1</t>
        </is>
      </c>
      <c r="D505" s="1349" t="inlineStr">
        <is>
          <t>Bank</t>
        </is>
      </c>
      <c r="E505" s="1351" t="n">
        <v>65</v>
      </c>
      <c r="F505" s="1349" t="inlineStr">
        <is>
          <t>Photography Lessons - Private 1-2-1 (1HR)</t>
        </is>
      </c>
      <c r="G505" s="1349" t="inlineStr">
        <is>
          <t>JLR</t>
        </is>
      </c>
      <c r="I505" t="inlineStr">
        <is>
          <t>1-2-1 Single Session - 1hr (Face-to-Face)</t>
        </is>
      </c>
      <c r="J505" t="inlineStr">
        <is>
          <t>https://www.alanranger.com/private-photography-lessons</t>
        </is>
      </c>
    </row>
    <row r="506" ht="13.5" customHeight="1" s="1232">
      <c r="A506" s="1348" t="n">
        <v>45820</v>
      </c>
      <c r="B506" s="1349" t="inlineStr">
        <is>
          <t>Grace Black</t>
        </is>
      </c>
      <c r="C506" s="1350" t="inlineStr">
        <is>
          <t>2. Workshops Non Residential</t>
        </is>
      </c>
      <c r="D506" s="1349" t="inlineStr">
        <is>
          <t>Bank</t>
        </is>
      </c>
      <c r="E506" s="1351" t="n">
        <v>95</v>
      </c>
      <c r="F506" s="1349" t="inlineStr">
        <is>
          <t>Fairy Glen Betws-y-Coed Photography Workshop -  Wales</t>
        </is>
      </c>
      <c r="G506" s="1349" t="inlineStr">
        <is>
          <t>JLR</t>
        </is>
      </c>
      <c r="I506" t="inlineStr">
        <is>
          <t>FAIRY GLEN and Fairy Falls Long Exposure Photography</t>
        </is>
      </c>
      <c r="J506" t="inlineStr">
        <is>
          <t>https://www.alanranger.com/landscape-photography-workshops</t>
        </is>
      </c>
    </row>
    <row r="507" ht="13.5" customHeight="1" s="1232">
      <c r="A507" s="1348" t="n">
        <v>45820</v>
      </c>
      <c r="B507" s="1349" t="inlineStr">
        <is>
          <t>Jonathan Peggs</t>
        </is>
      </c>
      <c r="C507" s="1350" t="inlineStr">
        <is>
          <t>2. Workshops Non Residential</t>
        </is>
      </c>
      <c r="D507" s="1349" t="inlineStr">
        <is>
          <t>Bank</t>
        </is>
      </c>
      <c r="E507" s="1351" t="n">
        <v>95</v>
      </c>
      <c r="F507" s="1349" t="inlineStr">
        <is>
          <t>Fairy Glen Betws-y-Coed Photography Workshop -  Wales</t>
        </is>
      </c>
      <c r="G507" s="1349" t="inlineStr">
        <is>
          <t>JLR</t>
        </is>
      </c>
      <c r="I507" t="inlineStr">
        <is>
          <t>FAIRY GLEN and Fairy Falls Long Exposure Photography</t>
        </is>
      </c>
      <c r="J507" t="inlineStr">
        <is>
          <t>https://www.alanranger.com/landscape-photography-workshops</t>
        </is>
      </c>
    </row>
    <row r="508" ht="13.5" customHeight="1" s="1232">
      <c r="A508" s="1348" t="n">
        <v>45820</v>
      </c>
      <c r="B508" s="1349" t="inlineStr">
        <is>
          <t>Dianne Nicholls</t>
        </is>
      </c>
      <c r="C508" s="1350" t="inlineStr">
        <is>
          <t>2. Workshops Non Residential</t>
        </is>
      </c>
      <c r="D508" s="1349" t="inlineStr">
        <is>
          <t>Bank</t>
        </is>
      </c>
      <c r="E508" s="1351" t="n">
        <v>95</v>
      </c>
      <c r="F508" s="1349" t="inlineStr">
        <is>
          <t>Fairy Glen Betws-y-Coed Photography Workshop -  Wales</t>
        </is>
      </c>
      <c r="G508" s="1349" t="inlineStr">
        <is>
          <t>JLR</t>
        </is>
      </c>
      <c r="I508" t="inlineStr">
        <is>
          <t>FAIRY GLEN and Fairy Falls Long Exposure Photography</t>
        </is>
      </c>
      <c r="J508" t="inlineStr">
        <is>
          <t>https://www.alanranger.com/landscape-photography-workshops</t>
        </is>
      </c>
    </row>
    <row r="509" ht="13.5" customHeight="1" s="1232">
      <c r="A509" s="1348" t="n">
        <v>45820</v>
      </c>
      <c r="B509" s="1349" t="inlineStr">
        <is>
          <t>Anna Hutchcox</t>
        </is>
      </c>
      <c r="C509" s="1350" t="inlineStr">
        <is>
          <t>2. Workshops Non Residential</t>
        </is>
      </c>
      <c r="D509" s="1349" t="inlineStr">
        <is>
          <t>Bank</t>
        </is>
      </c>
      <c r="E509" s="1351" t="n">
        <v>95</v>
      </c>
      <c r="F509" s="1349" t="inlineStr">
        <is>
          <t>Fairy Glen Betws-y-Coed Photography Workshop -  Wales</t>
        </is>
      </c>
      <c r="G509" s="1349" t="inlineStr">
        <is>
          <t>JLR</t>
        </is>
      </c>
      <c r="I509" t="inlineStr">
        <is>
          <t>FAIRY GLEN and Fairy Falls Long Exposure Photography</t>
        </is>
      </c>
      <c r="J509" t="inlineStr">
        <is>
          <t>https://www.alanranger.com/landscape-photography-workshops</t>
        </is>
      </c>
    </row>
    <row r="510" ht="13.5" customHeight="1" s="1232">
      <c r="A510" s="1348" t="n">
        <v>45820</v>
      </c>
      <c r="B510" s="1349" t="inlineStr">
        <is>
          <t>Mohamad Chaaban</t>
        </is>
      </c>
      <c r="C510" s="1350" t="inlineStr">
        <is>
          <t>2. Workshops Non Residential</t>
        </is>
      </c>
      <c r="D510" s="1349" t="inlineStr">
        <is>
          <t>Bank</t>
        </is>
      </c>
      <c r="E510" s="1351" t="n">
        <v>12</v>
      </c>
      <c r="F510" s="1349" t="inlineStr">
        <is>
          <t>Woodland Photography Walk</t>
        </is>
      </c>
      <c r="G510" s="1349" t="inlineStr">
        <is>
          <t>JLR</t>
        </is>
      </c>
      <c r="I510" t="inlineStr">
        <is>
          <t>Woodland Photography Walk - Warwickshire (half-day low-cost)</t>
        </is>
      </c>
      <c r="J510" t="inlineStr">
        <is>
          <t>https://www.alanranger.com/landscape-photography-workshops</t>
        </is>
      </c>
    </row>
    <row r="511" ht="13.5" customHeight="1" s="1232">
      <c r="A511" s="1348" t="n">
        <v>45820</v>
      </c>
      <c r="B511" s="1349" t="inlineStr">
        <is>
          <t>Lee Kelly</t>
        </is>
      </c>
      <c r="C511" s="1350" t="inlineStr">
        <is>
          <t>2. Workshops Non Residential</t>
        </is>
      </c>
      <c r="D511" s="1349" t="inlineStr">
        <is>
          <t>Bank</t>
        </is>
      </c>
      <c r="E511" s="1351" t="n">
        <v>12</v>
      </c>
      <c r="F511" s="1349" t="inlineStr">
        <is>
          <t>Woodland Photography Walk</t>
        </is>
      </c>
      <c r="G511" s="1349" t="inlineStr">
        <is>
          <t>JLR</t>
        </is>
      </c>
      <c r="I511" t="inlineStr">
        <is>
          <t>Woodland Photography Walk - Warwickshire (half-day low-cost)</t>
        </is>
      </c>
      <c r="J511" t="inlineStr">
        <is>
          <t>https://www.alanranger.com/landscape-photography-workshops</t>
        </is>
      </c>
    </row>
    <row r="512" ht="13.5" customHeight="1" s="1232">
      <c r="A512" s="1348" t="n">
        <v>45820</v>
      </c>
      <c r="B512" s="1349" t="inlineStr">
        <is>
          <t>Aniko Kovacs</t>
        </is>
      </c>
      <c r="C512" s="1350" t="inlineStr">
        <is>
          <t>2. Workshops Non Residential</t>
        </is>
      </c>
      <c r="D512" s="1349" t="inlineStr">
        <is>
          <t>Bank</t>
        </is>
      </c>
      <c r="E512" s="1351" t="n">
        <v>12</v>
      </c>
      <c r="F512" s="1349" t="inlineStr">
        <is>
          <t>Woodland Photography Walk</t>
        </is>
      </c>
      <c r="G512" s="1349" t="inlineStr">
        <is>
          <t>JLR</t>
        </is>
      </c>
      <c r="I512" t="inlineStr">
        <is>
          <t>Woodland Photography Walk - Warwickshire (half-day low-cost)</t>
        </is>
      </c>
      <c r="J512" t="inlineStr">
        <is>
          <t>https://www.alanranger.com/landscape-photography-workshops</t>
        </is>
      </c>
    </row>
    <row r="513" ht="13.5" customHeight="1" s="1232">
      <c r="A513" s="1348" t="n">
        <v>45820</v>
      </c>
      <c r="B513" s="1349" t="inlineStr">
        <is>
          <t>Pravin Pawar</t>
        </is>
      </c>
      <c r="C513" s="1350" t="inlineStr">
        <is>
          <t>2. Workshops Non Residential</t>
        </is>
      </c>
      <c r="D513" s="1349" t="inlineStr">
        <is>
          <t>Bank</t>
        </is>
      </c>
      <c r="E513" s="1351" t="n">
        <v>12</v>
      </c>
      <c r="F513" s="1349" t="inlineStr">
        <is>
          <t>Woodland Photography Walk</t>
        </is>
      </c>
      <c r="G513" s="1349" t="inlineStr">
        <is>
          <t>JLR</t>
        </is>
      </c>
      <c r="I513" t="inlineStr">
        <is>
          <t>Woodland Photography Walk - Warwickshire (half-day low-cost)</t>
        </is>
      </c>
      <c r="J513" t="inlineStr">
        <is>
          <t>https://www.alanranger.com/landscape-photography-workshops</t>
        </is>
      </c>
    </row>
    <row r="514" ht="13.5" customHeight="1" s="1232">
      <c r="A514" s="1348" t="n">
        <v>45820</v>
      </c>
      <c r="B514" s="1349" t="inlineStr">
        <is>
          <t>Tuba Sonmez</t>
        </is>
      </c>
      <c r="C514" s="1350" t="inlineStr">
        <is>
          <t>2. Workshops Non Residential</t>
        </is>
      </c>
      <c r="D514" s="1349" t="inlineStr">
        <is>
          <t>Bank</t>
        </is>
      </c>
      <c r="E514" s="1351" t="n">
        <v>12</v>
      </c>
      <c r="F514" s="1349" t="inlineStr">
        <is>
          <t>Woodland Photography Walk</t>
        </is>
      </c>
      <c r="G514" s="1349" t="inlineStr">
        <is>
          <t>JLR</t>
        </is>
      </c>
      <c r="I514" t="inlineStr">
        <is>
          <t>Woodland Photography Walk - Warwickshire (half-day low-cost)</t>
        </is>
      </c>
      <c r="J514" t="inlineStr">
        <is>
          <t>https://www.alanranger.com/landscape-photography-workshops</t>
        </is>
      </c>
    </row>
    <row r="515" ht="13.5" customHeight="1" s="1232">
      <c r="A515" s="1348" t="n">
        <v>45820</v>
      </c>
      <c r="B515" s="1349" t="inlineStr">
        <is>
          <t>Dadasaheb Jadhav</t>
        </is>
      </c>
      <c r="C515" s="1350" t="inlineStr">
        <is>
          <t>2. Workshops Non Residential</t>
        </is>
      </c>
      <c r="D515" s="1349" t="inlineStr">
        <is>
          <t>Bank</t>
        </is>
      </c>
      <c r="E515" s="1351" t="n">
        <v>15</v>
      </c>
      <c r="F515" s="1349" t="inlineStr">
        <is>
          <t>Woodland Photography Walk</t>
        </is>
      </c>
      <c r="G515" s="1349" t="inlineStr">
        <is>
          <t>JLR</t>
        </is>
      </c>
      <c r="I515" t="inlineStr">
        <is>
          <t>Woodland Photography Walk - Warwickshire (half-day low-cost)</t>
        </is>
      </c>
      <c r="J515" t="inlineStr">
        <is>
          <t>https://www.alanranger.com/landscape-photography-workshops</t>
        </is>
      </c>
    </row>
    <row r="516" ht="13.5" customHeight="1" s="1232">
      <c r="A516" s="1348" t="n">
        <v>45820</v>
      </c>
      <c r="B516" s="1349" t="inlineStr">
        <is>
          <t>Rajiv Mohan</t>
        </is>
      </c>
      <c r="C516" s="1350" t="inlineStr">
        <is>
          <t>2. Workshops Non Residential</t>
        </is>
      </c>
      <c r="D516" s="1349" t="inlineStr">
        <is>
          <t>Bank</t>
        </is>
      </c>
      <c r="E516" s="1351" t="n">
        <v>15</v>
      </c>
      <c r="F516" s="1349" t="inlineStr">
        <is>
          <t>Woodland Photography Walk</t>
        </is>
      </c>
      <c r="G516" s="1349" t="inlineStr">
        <is>
          <t>JLR</t>
        </is>
      </c>
      <c r="I516" t="inlineStr">
        <is>
          <t>Woodland Photography Walk - Warwickshire (half-day low-cost)</t>
        </is>
      </c>
      <c r="J516" t="inlineStr">
        <is>
          <t>https://www.alanranger.com/landscape-photography-workshops</t>
        </is>
      </c>
    </row>
    <row r="517" ht="13.5" customHeight="1" s="1232">
      <c r="A517" s="1348" t="n">
        <v>45820</v>
      </c>
      <c r="B517" s="1349" t="inlineStr">
        <is>
          <t>Raluca-Georgiana Cristea</t>
        </is>
      </c>
      <c r="C517" s="1350" t="inlineStr">
        <is>
          <t>2. Workshops Non Residential</t>
        </is>
      </c>
      <c r="D517" s="1349" t="inlineStr">
        <is>
          <t>Bank</t>
        </is>
      </c>
      <c r="E517" s="1351" t="n">
        <v>15</v>
      </c>
      <c r="F517" s="1349" t="inlineStr">
        <is>
          <t>Woodland Photography Walk</t>
        </is>
      </c>
      <c r="G517" s="1349" t="inlineStr">
        <is>
          <t>JLR</t>
        </is>
      </c>
      <c r="I517" t="inlineStr">
        <is>
          <t>Woodland Photography Walk - Warwickshire (half-day low-cost)</t>
        </is>
      </c>
      <c r="J517" t="inlineStr">
        <is>
          <t>https://www.alanranger.com/landscape-photography-workshops</t>
        </is>
      </c>
    </row>
    <row r="518" ht="13.5" customHeight="1" s="1232">
      <c r="A518" s="1348" t="n">
        <v>45820</v>
      </c>
      <c r="B518" s="1349" t="inlineStr">
        <is>
          <t>Holly Pownall</t>
        </is>
      </c>
      <c r="C518" s="1350" t="inlineStr">
        <is>
          <t>2. Workshops Non Residential</t>
        </is>
      </c>
      <c r="D518" s="1349" t="inlineStr">
        <is>
          <t>Bank</t>
        </is>
      </c>
      <c r="E518" s="1351" t="n">
        <v>35</v>
      </c>
      <c r="F518" s="1349" t="inlineStr">
        <is>
          <t>Garden Photography Workshop - Private Garden - Coventry</t>
        </is>
      </c>
      <c r="G518" s="1349" t="inlineStr">
        <is>
          <t>JLR</t>
        </is>
      </c>
      <c r="I518" t="inlineStr">
        <is>
          <t>The Art of GARDEN PHOTOGRAPHY  - Coventry -  May and July</t>
        </is>
      </c>
      <c r="J518" t="inlineStr">
        <is>
          <t>https://www.alanranger.com/landscape-photography-workshops</t>
        </is>
      </c>
    </row>
    <row r="519" ht="13.5" customHeight="1" s="1232">
      <c r="A519" s="1348" t="n">
        <v>45820</v>
      </c>
      <c r="B519" s="1349" t="inlineStr">
        <is>
          <t>Paul Farrington</t>
        </is>
      </c>
      <c r="C519" s="1350" t="inlineStr">
        <is>
          <t>2. Workshops Non Residential</t>
        </is>
      </c>
      <c r="D519" s="1349" t="inlineStr">
        <is>
          <t>Bank</t>
        </is>
      </c>
      <c r="E519" s="1351" t="n">
        <v>35</v>
      </c>
      <c r="F519" s="1349" t="inlineStr">
        <is>
          <t>Garden Photography Workshop - Private Garden - Coventry</t>
        </is>
      </c>
      <c r="G519" s="1349" t="inlineStr">
        <is>
          <t>JLR</t>
        </is>
      </c>
      <c r="I519" t="inlineStr">
        <is>
          <t>The Art of GARDEN PHOTOGRAPHY  - Coventry -  May and July</t>
        </is>
      </c>
      <c r="J519" t="inlineStr">
        <is>
          <t>https://www.alanranger.com/landscape-photography-workshops</t>
        </is>
      </c>
    </row>
    <row r="520" ht="13.5" customHeight="1" s="1232">
      <c r="A520" s="1348" t="n">
        <v>45820</v>
      </c>
      <c r="B520" s="1349" t="inlineStr">
        <is>
          <t>Nicholas Guntrip Hook</t>
        </is>
      </c>
      <c r="C520" s="1350" t="inlineStr">
        <is>
          <t>2. Workshops Non Residential</t>
        </is>
      </c>
      <c r="D520" s="1349" t="inlineStr">
        <is>
          <t>Bank</t>
        </is>
      </c>
      <c r="E520" s="1351" t="n">
        <v>35</v>
      </c>
      <c r="F520" s="1349" t="inlineStr">
        <is>
          <t>Garden Photography Workshop - Private Garden - Coventry</t>
        </is>
      </c>
      <c r="G520" s="1349" t="inlineStr">
        <is>
          <t>JLR</t>
        </is>
      </c>
      <c r="I520" t="inlineStr">
        <is>
          <t>The Art of GARDEN PHOTOGRAPHY  - Coventry -  May and July</t>
        </is>
      </c>
      <c r="J520" t="inlineStr">
        <is>
          <t>https://www.alanranger.com/landscape-photography-workshops</t>
        </is>
      </c>
    </row>
    <row r="521" ht="13.5" customHeight="1" s="1232">
      <c r="A521" s="1348" t="n">
        <v>45820</v>
      </c>
      <c r="B521" s="1349" t="inlineStr">
        <is>
          <t>Elena Kuznetsova</t>
        </is>
      </c>
      <c r="C521" s="1350" t="inlineStr">
        <is>
          <t>2. Workshops Non Residential</t>
        </is>
      </c>
      <c r="D521" s="1349" t="inlineStr">
        <is>
          <t>Bank</t>
        </is>
      </c>
      <c r="E521" s="1351" t="n">
        <v>35</v>
      </c>
      <c r="F521" s="1349" t="inlineStr">
        <is>
          <t>Garden Photography Workshop - Private Garden - Coventry</t>
        </is>
      </c>
      <c r="G521" s="1349" t="inlineStr">
        <is>
          <t>JLR</t>
        </is>
      </c>
      <c r="I521" t="inlineStr">
        <is>
          <t>The Art of GARDEN PHOTOGRAPHY  - Coventry -  May and July</t>
        </is>
      </c>
      <c r="J521" t="inlineStr">
        <is>
          <t>https://www.alanranger.com/landscape-photography-workshops</t>
        </is>
      </c>
    </row>
    <row r="522" ht="13.5" customHeight="1" s="1232">
      <c r="A522" s="1348" t="n">
        <v>45820</v>
      </c>
      <c r="B522" s="1349" t="inlineStr">
        <is>
          <t>Junaid Sipple</t>
        </is>
      </c>
      <c r="C522" s="1350" t="inlineStr">
        <is>
          <t>2. Workshops Non Residential</t>
        </is>
      </c>
      <c r="D522" s="1349" t="inlineStr">
        <is>
          <t>Bank</t>
        </is>
      </c>
      <c r="E522" s="1351" t="n">
        <v>50</v>
      </c>
      <c r="F522" s="1349" t="inlineStr">
        <is>
          <t>Sunset Photographic Workshop - Chesterton Windmill</t>
        </is>
      </c>
      <c r="G522" s="1349" t="inlineStr">
        <is>
          <t>JLR</t>
        </is>
      </c>
      <c r="I522" t="inlineStr">
        <is>
          <t>Photography Workshops CHESTERTON WINDMILL - Warwickshire</t>
        </is>
      </c>
      <c r="J522" t="inlineStr">
        <is>
          <t>https://www.alanranger.com/landscape-photography-workshops</t>
        </is>
      </c>
    </row>
    <row r="523" ht="13.5" customHeight="1" s="1232">
      <c r="A523" s="1348" t="n">
        <v>45820</v>
      </c>
      <c r="B523" s="1349" t="inlineStr">
        <is>
          <t>Aaron Williams</t>
        </is>
      </c>
      <c r="C523" s="1350" t="inlineStr">
        <is>
          <t>2. Workshops Non Residential</t>
        </is>
      </c>
      <c r="D523" s="1349" t="inlineStr">
        <is>
          <t>Bank</t>
        </is>
      </c>
      <c r="E523" s="1351" t="n">
        <v>50</v>
      </c>
      <c r="F523" s="1349" t="inlineStr">
        <is>
          <t>Sunset Photographic Workshop - Chesterton Windmill</t>
        </is>
      </c>
      <c r="G523" s="1349" t="inlineStr">
        <is>
          <t>JLR</t>
        </is>
      </c>
      <c r="I523" t="inlineStr">
        <is>
          <t>Photography Workshops CHESTERTON WINDMILL - Warwickshire</t>
        </is>
      </c>
      <c r="J523" t="inlineStr">
        <is>
          <t>https://www.alanranger.com/landscape-photography-workshops</t>
        </is>
      </c>
    </row>
    <row r="524" ht="13.5" customHeight="1" s="1232">
      <c r="A524" s="1348" t="n">
        <v>45820</v>
      </c>
      <c r="B524" s="1349" t="inlineStr">
        <is>
          <t>Volkan Ayik</t>
        </is>
      </c>
      <c r="C524" s="1350" t="inlineStr">
        <is>
          <t>2. Workshops Non Residential</t>
        </is>
      </c>
      <c r="D524" s="1349" t="inlineStr">
        <is>
          <t>Bank</t>
        </is>
      </c>
      <c r="E524" s="1351" t="n">
        <v>50</v>
      </c>
      <c r="F524" s="1349" t="inlineStr">
        <is>
          <t>Sunset Photographic Workshop - Chesterton Windmill</t>
        </is>
      </c>
      <c r="G524" s="1349" t="inlineStr">
        <is>
          <t>JLR</t>
        </is>
      </c>
      <c r="I524" t="inlineStr">
        <is>
          <t>Photography Workshops CHESTERTON WINDMILL - Warwickshire</t>
        </is>
      </c>
      <c r="J524" t="inlineStr">
        <is>
          <t>https://www.alanranger.com/landscape-photography-workshops</t>
        </is>
      </c>
    </row>
    <row r="525" ht="13.5" customHeight="1" s="1232">
      <c r="A525" s="1348" t="n">
        <v>45819</v>
      </c>
      <c r="B525" s="1349" t="inlineStr">
        <is>
          <t>constance Miller</t>
        </is>
      </c>
      <c r="C525" s="1350" t="inlineStr">
        <is>
          <t>3. Workshops Residential</t>
        </is>
      </c>
      <c r="D525" s="1349" t="inlineStr">
        <is>
          <t>Stripe</t>
        </is>
      </c>
      <c r="E525" s="1351" t="n">
        <v>750</v>
      </c>
      <c r="F525" s="1349" t="inlineStr">
        <is>
          <t>Hartland Quay</t>
        </is>
      </c>
      <c r="G525" s="1349" t="inlineStr">
        <is>
          <t>Google</t>
        </is>
      </c>
      <c r="I525" t="inlineStr">
        <is>
          <t>Landscape Photography DEVON Workshops - Various Dates</t>
        </is>
      </c>
      <c r="J525" t="inlineStr">
        <is>
          <t>https://www.alanranger.com/photography-workshops</t>
        </is>
      </c>
    </row>
    <row r="526" ht="13.5" customHeight="1" s="1232">
      <c r="A526" s="1348" t="n">
        <v>45818</v>
      </c>
      <c r="B526" s="1349" t="inlineStr">
        <is>
          <t>Kim Harvey</t>
        </is>
      </c>
      <c r="C526" s="1350" t="inlineStr">
        <is>
          <t>2. Workshops Non Residential</t>
        </is>
      </c>
      <c r="D526" s="1349" t="inlineStr">
        <is>
          <t>Stripe</t>
        </is>
      </c>
      <c r="E526" s="1351" t="n">
        <v>79.2</v>
      </c>
      <c r="F526" s="1349" t="inlineStr">
        <is>
          <t>Batsford</t>
        </is>
      </c>
      <c r="G526" s="1349" t="inlineStr">
        <is>
          <t>Referral</t>
        </is>
      </c>
      <c r="I526" t="inlineStr">
        <is>
          <t>Gift Voucher - Digital eCard</t>
        </is>
      </c>
      <c r="J526" t="inlineStr">
        <is>
          <t>https://www.alanranger.com/photography-gift-vouchers</t>
        </is>
      </c>
    </row>
    <row r="527" ht="13.5" customHeight="1" s="1232">
      <c r="A527" s="1348" t="n">
        <v>45818</v>
      </c>
      <c r="B527" s="1349" t="inlineStr">
        <is>
          <t>Dinesh Kumar Selvarangan</t>
        </is>
      </c>
      <c r="C527" s="1350" t="inlineStr">
        <is>
          <t>2. Workshops Non Residential</t>
        </is>
      </c>
      <c r="D527" s="1349" t="inlineStr">
        <is>
          <t>Bank</t>
        </is>
      </c>
      <c r="E527" s="1351" t="n">
        <v>99</v>
      </c>
      <c r="F527" s="1349" t="inlineStr">
        <is>
          <t>Bluebells</t>
        </is>
      </c>
      <c r="G527" s="1349" t="inlineStr">
        <is>
          <t>JLR</t>
        </is>
      </c>
      <c r="I527" t="inlineStr">
        <is>
          <t>BLUEBELL WOODLANDS Photography - Warks - 20 Apr- 30 Apr</t>
        </is>
      </c>
      <c r="J527" t="inlineStr">
        <is>
          <t>https://www.alanranger.com/one-day-landscape-photography-workshops</t>
        </is>
      </c>
    </row>
    <row r="528" ht="13.5" customHeight="1" s="1232">
      <c r="A528" s="1348" t="n">
        <v>45818</v>
      </c>
      <c r="B528" s="1349" t="inlineStr">
        <is>
          <t>Roxana Mutu</t>
        </is>
      </c>
      <c r="C528" s="1350" t="inlineStr">
        <is>
          <t>2. Workshops Non Residential</t>
        </is>
      </c>
      <c r="D528" s="1349" t="inlineStr">
        <is>
          <t>Bank</t>
        </is>
      </c>
      <c r="E528" s="1351" t="n">
        <v>99</v>
      </c>
      <c r="F528" s="1349" t="inlineStr">
        <is>
          <t>Bluebells</t>
        </is>
      </c>
      <c r="G528" s="1349" t="inlineStr">
        <is>
          <t>JLR</t>
        </is>
      </c>
      <c r="I528" t="inlineStr">
        <is>
          <t>BLUEBELL WOODLANDS Photography - Warks - 20 Apr- 30 Apr</t>
        </is>
      </c>
      <c r="J528" t="inlineStr">
        <is>
          <t>https://www.alanranger.com/one-day-landscape-photography-workshops</t>
        </is>
      </c>
    </row>
    <row r="529" ht="13.5" customHeight="1" s="1232">
      <c r="A529" s="1348" t="n">
        <v>45818</v>
      </c>
      <c r="B529" s="1349" t="inlineStr">
        <is>
          <t>Suraiya Kaliravna</t>
        </is>
      </c>
      <c r="C529" s="1350" t="inlineStr">
        <is>
          <t>2. Workshops Non Residential</t>
        </is>
      </c>
      <c r="D529" s="1349" t="inlineStr">
        <is>
          <t>Bank</t>
        </is>
      </c>
      <c r="E529" s="1351" t="n">
        <v>150</v>
      </c>
      <c r="F529" s="1349" t="inlineStr">
        <is>
          <t>Bluebells</t>
        </is>
      </c>
      <c r="G529" s="1349" t="inlineStr">
        <is>
          <t>JLR</t>
        </is>
      </c>
      <c r="I529" t="inlineStr">
        <is>
          <t>BLUEBELL WOODLANDS Photography - Warks - 20 Apr- 30 Apr</t>
        </is>
      </c>
      <c r="J529" t="inlineStr">
        <is>
          <t>https://www.alanranger.com/one-day-landscape-photography-workshops</t>
        </is>
      </c>
    </row>
    <row r="530" ht="13.5" customHeight="1" s="1232">
      <c r="A530" s="1348" t="n">
        <v>45818</v>
      </c>
      <c r="B530" s="1349" t="inlineStr">
        <is>
          <t>Burak Oguz</t>
        </is>
      </c>
      <c r="C530" s="1350" t="inlineStr">
        <is>
          <t>2. Workshops Non Residential</t>
        </is>
      </c>
      <c r="D530" s="1349" t="inlineStr">
        <is>
          <t>Bank</t>
        </is>
      </c>
      <c r="E530" s="1351" t="n">
        <v>150</v>
      </c>
      <c r="F530" s="1349" t="inlineStr">
        <is>
          <t>Bluebells</t>
        </is>
      </c>
      <c r="G530" s="1349" t="inlineStr">
        <is>
          <t>JLR</t>
        </is>
      </c>
      <c r="I530" t="inlineStr">
        <is>
          <t>BLUEBELL WOODLANDS Photography - Warks - 20 Apr- 30 Apr</t>
        </is>
      </c>
      <c r="J530" t="inlineStr">
        <is>
          <t>https://www.alanranger.com/one-day-landscape-photography-workshops</t>
        </is>
      </c>
    </row>
    <row r="531" ht="13.5" customHeight="1" s="1232">
      <c r="A531" s="1348" t="n">
        <v>45818</v>
      </c>
      <c r="B531" s="1349" t="inlineStr">
        <is>
          <t>Murat Yavanirmak</t>
        </is>
      </c>
      <c r="C531" s="1350" t="inlineStr">
        <is>
          <t>2. Workshops Non Residential</t>
        </is>
      </c>
      <c r="D531" s="1349" t="inlineStr">
        <is>
          <t>Bank</t>
        </is>
      </c>
      <c r="E531" s="1351" t="n">
        <v>150</v>
      </c>
      <c r="F531" s="1349" t="inlineStr">
        <is>
          <t>Bluebells</t>
        </is>
      </c>
      <c r="G531" s="1349" t="inlineStr">
        <is>
          <t>JLR</t>
        </is>
      </c>
      <c r="I531" t="inlineStr">
        <is>
          <t>BLUEBELL WOODLANDS Photography - Warks - 20 Apr- 30 Apr</t>
        </is>
      </c>
      <c r="J531" t="inlineStr">
        <is>
          <t>https://www.alanranger.com/one-day-landscape-photography-workshops</t>
        </is>
      </c>
    </row>
    <row r="532" ht="13.5" customHeight="1" s="1232">
      <c r="A532" s="1348" t="n">
        <v>45818</v>
      </c>
      <c r="B532" s="1349" t="inlineStr">
        <is>
          <t>Shruti Nagpure</t>
        </is>
      </c>
      <c r="C532" s="1350" t="inlineStr">
        <is>
          <t>2. Workshops Non Residential</t>
        </is>
      </c>
      <c r="D532" s="1349" t="inlineStr">
        <is>
          <t>Bank</t>
        </is>
      </c>
      <c r="E532" s="1351" t="n">
        <v>99</v>
      </c>
      <c r="F532" s="1349" t="inlineStr">
        <is>
          <t>Bluebells</t>
        </is>
      </c>
      <c r="G532" s="1349" t="inlineStr">
        <is>
          <t>JLR</t>
        </is>
      </c>
      <c r="I532" t="inlineStr">
        <is>
          <t>BLUEBELL WOODLANDS Photography - Warks - 20 Apr- 30 Apr</t>
        </is>
      </c>
      <c r="J532" t="inlineStr">
        <is>
          <t>https://www.alanranger.com/one-day-landscape-photography-workshops</t>
        </is>
      </c>
    </row>
    <row r="533" ht="13.5" customHeight="1" s="1232">
      <c r="A533" s="1348" t="n">
        <v>45818</v>
      </c>
      <c r="B533" s="1349" t="inlineStr">
        <is>
          <t>Jevgenijs Kitajevs</t>
        </is>
      </c>
      <c r="C533" s="1350" t="inlineStr">
        <is>
          <t>2. Workshops Non Residential</t>
        </is>
      </c>
      <c r="D533" s="1349" t="inlineStr">
        <is>
          <t>Bank</t>
        </is>
      </c>
      <c r="E533" s="1351" t="n">
        <v>99</v>
      </c>
      <c r="F533" s="1349" t="inlineStr">
        <is>
          <t>Bluebells</t>
        </is>
      </c>
      <c r="G533" s="1349" t="inlineStr">
        <is>
          <t>JLR</t>
        </is>
      </c>
      <c r="I533" t="inlineStr">
        <is>
          <t>BLUEBELL WOODLANDS Photography - Warks - 20 Apr- 30 Apr</t>
        </is>
      </c>
      <c r="J533" t="inlineStr">
        <is>
          <t>https://www.alanranger.com/one-day-landscape-photography-workshops</t>
        </is>
      </c>
    </row>
    <row r="534" ht="13.5" customHeight="1" s="1232">
      <c r="A534" s="1348" t="n">
        <v>45818</v>
      </c>
      <c r="B534" s="1349" t="inlineStr">
        <is>
          <t>Soon Seng Leong</t>
        </is>
      </c>
      <c r="C534" s="1350" t="inlineStr">
        <is>
          <t>2. Workshops Non Residential</t>
        </is>
      </c>
      <c r="D534" s="1349" t="inlineStr">
        <is>
          <t>Bank</t>
        </is>
      </c>
      <c r="E534" s="1351" t="n">
        <v>99</v>
      </c>
      <c r="F534" s="1349" t="inlineStr">
        <is>
          <t>Bluebells</t>
        </is>
      </c>
      <c r="G534" s="1349" t="inlineStr">
        <is>
          <t>JLR</t>
        </is>
      </c>
      <c r="I534" t="inlineStr">
        <is>
          <t>BLUEBELL WOODLANDS Photography - Warks - 20 Apr- 30 Apr</t>
        </is>
      </c>
      <c r="J534" t="inlineStr">
        <is>
          <t>https://www.alanranger.com/one-day-landscape-photography-workshops</t>
        </is>
      </c>
    </row>
    <row r="535" ht="13.5" customHeight="1" s="1232">
      <c r="A535" s="1348" t="n">
        <v>45818</v>
      </c>
      <c r="B535" s="1349" t="inlineStr">
        <is>
          <t>Phil Houghton</t>
        </is>
      </c>
      <c r="C535" s="1350" t="inlineStr">
        <is>
          <t>2. Workshops Non Residential</t>
        </is>
      </c>
      <c r="D535" s="1349" t="inlineStr">
        <is>
          <t>Bank</t>
        </is>
      </c>
      <c r="E535" s="1351" t="n">
        <v>99</v>
      </c>
      <c r="F535" s="1349" t="inlineStr">
        <is>
          <t>Bluebells</t>
        </is>
      </c>
      <c r="G535" s="1349" t="inlineStr">
        <is>
          <t>JLR</t>
        </is>
      </c>
      <c r="I535" t="inlineStr">
        <is>
          <t>BLUEBELL WOODLANDS Photography - Warks - 20 Apr- 30 Apr</t>
        </is>
      </c>
      <c r="J535" t="inlineStr">
        <is>
          <t>https://www.alanranger.com/one-day-landscape-photography-workshops</t>
        </is>
      </c>
    </row>
    <row r="536" ht="13.5" customHeight="1" s="1232">
      <c r="A536" s="1348" t="n">
        <v>45818</v>
      </c>
      <c r="B536" s="1349" t="inlineStr">
        <is>
          <t>Stuart Hurcomb</t>
        </is>
      </c>
      <c r="C536" s="1350" t="inlineStr">
        <is>
          <t>2. Workshops Non Residential</t>
        </is>
      </c>
      <c r="D536" s="1349" t="inlineStr">
        <is>
          <t>Bank</t>
        </is>
      </c>
      <c r="E536" s="1351" t="n">
        <v>99</v>
      </c>
      <c r="F536" s="1349" t="inlineStr">
        <is>
          <t>Bluebells</t>
        </is>
      </c>
      <c r="G536" s="1349" t="inlineStr">
        <is>
          <t>JLR</t>
        </is>
      </c>
      <c r="I536" t="inlineStr">
        <is>
          <t>BLUEBELL WOODLANDS Photography - Warks - 20 Apr- 30 Apr</t>
        </is>
      </c>
      <c r="J536" t="inlineStr">
        <is>
          <t>https://www.alanranger.com/one-day-landscape-photography-workshops</t>
        </is>
      </c>
    </row>
    <row r="537" ht="13.5" customHeight="1" s="1232">
      <c r="A537" s="1348" t="n">
        <v>45818</v>
      </c>
      <c r="B537" s="1349" t="inlineStr">
        <is>
          <t>Or Shachar</t>
        </is>
      </c>
      <c r="C537" s="1350" t="inlineStr">
        <is>
          <t>2. Workshops Non Residential</t>
        </is>
      </c>
      <c r="D537" s="1349" t="inlineStr">
        <is>
          <t>Bank</t>
        </is>
      </c>
      <c r="E537" s="1351" t="n">
        <v>99</v>
      </c>
      <c r="F537" s="1349" t="inlineStr">
        <is>
          <t>Bluebells</t>
        </is>
      </c>
      <c r="G537" s="1349" t="inlineStr">
        <is>
          <t>JLR</t>
        </is>
      </c>
      <c r="I537" t="inlineStr">
        <is>
          <t>BLUEBELL WOODLANDS Photography - Warks - 20 Apr- 30 Apr</t>
        </is>
      </c>
      <c r="J537" t="inlineStr">
        <is>
          <t>https://www.alanranger.com/one-day-landscape-photography-workshops</t>
        </is>
      </c>
    </row>
    <row r="538" ht="13.5" customHeight="1" s="1232">
      <c r="A538" s="1348" t="n">
        <v>45818</v>
      </c>
      <c r="B538" s="1349" t="inlineStr">
        <is>
          <t>Jim Coleman</t>
        </is>
      </c>
      <c r="C538" s="1350" t="inlineStr">
        <is>
          <t>2. Workshops Non Residential</t>
        </is>
      </c>
      <c r="D538" s="1349" t="inlineStr">
        <is>
          <t>Bank</t>
        </is>
      </c>
      <c r="E538" s="1351" t="n">
        <v>150</v>
      </c>
      <c r="F538" s="1349" t="inlineStr">
        <is>
          <t>Bluebells</t>
        </is>
      </c>
      <c r="G538" s="1349" t="inlineStr">
        <is>
          <t>JLR</t>
        </is>
      </c>
      <c r="I538" t="inlineStr">
        <is>
          <t>BLUEBELL WOODLANDS Photography - Warks - 20 Apr- 30 Apr</t>
        </is>
      </c>
      <c r="J538" t="inlineStr">
        <is>
          <t>https://www.alanranger.com/one-day-landscape-photography-workshops</t>
        </is>
      </c>
    </row>
    <row r="539" ht="13.5" customHeight="1" s="1232">
      <c r="A539" s="1348" t="n">
        <v>45818</v>
      </c>
      <c r="B539" s="1349" t="inlineStr">
        <is>
          <t>Jo James</t>
        </is>
      </c>
      <c r="C539" s="1350" t="inlineStr">
        <is>
          <t>2. Workshops Non Residential</t>
        </is>
      </c>
      <c r="D539" s="1349" t="inlineStr">
        <is>
          <t>Bank</t>
        </is>
      </c>
      <c r="E539" s="1351" t="n">
        <v>99</v>
      </c>
      <c r="F539" s="1349" t="inlineStr">
        <is>
          <t>Bluebells</t>
        </is>
      </c>
      <c r="G539" s="1349" t="inlineStr">
        <is>
          <t>JLR</t>
        </is>
      </c>
      <c r="I539" t="inlineStr">
        <is>
          <t>BLUEBELL WOODLANDS Photography - Warks - 20 Apr- 30 Apr</t>
        </is>
      </c>
      <c r="J539" t="inlineStr">
        <is>
          <t>https://www.alanranger.com/one-day-landscape-photography-workshops</t>
        </is>
      </c>
    </row>
    <row r="540" ht="13.5" customHeight="1" s="1232">
      <c r="A540" s="1348" t="n">
        <v>45818</v>
      </c>
      <c r="B540" s="1349" t="inlineStr">
        <is>
          <t>Kriti Rastogi</t>
        </is>
      </c>
      <c r="C540" s="1350" t="inlineStr">
        <is>
          <t>2. Workshops Non Residential</t>
        </is>
      </c>
      <c r="D540" s="1349" t="inlineStr">
        <is>
          <t>Bank</t>
        </is>
      </c>
      <c r="E540" s="1351" t="n">
        <v>99</v>
      </c>
      <c r="F540" s="1349" t="inlineStr">
        <is>
          <t>Bluebells</t>
        </is>
      </c>
      <c r="G540" s="1349" t="inlineStr">
        <is>
          <t>JLR</t>
        </is>
      </c>
      <c r="I540" t="inlineStr">
        <is>
          <t>BLUEBELL WOODLANDS Photography - Warks - 20 Apr- 30 Apr</t>
        </is>
      </c>
      <c r="J540" t="inlineStr">
        <is>
          <t>https://www.alanranger.com/one-day-landscape-photography-workshops</t>
        </is>
      </c>
    </row>
    <row r="541" ht="13.5" customHeight="1" s="1232">
      <c r="A541" s="1348" t="n">
        <v>45818</v>
      </c>
      <c r="B541" s="1349" t="inlineStr">
        <is>
          <t>Gwyn Jones</t>
        </is>
      </c>
      <c r="C541" s="1350" t="inlineStr">
        <is>
          <t>2. Workshops Non Residential</t>
        </is>
      </c>
      <c r="D541" s="1349" t="inlineStr">
        <is>
          <t>Bank</t>
        </is>
      </c>
      <c r="E541" s="1351" t="n">
        <v>99</v>
      </c>
      <c r="F541" s="1349" t="inlineStr">
        <is>
          <t>Bluebells</t>
        </is>
      </c>
      <c r="G541" s="1349" t="inlineStr">
        <is>
          <t>JLR</t>
        </is>
      </c>
      <c r="I541" t="inlineStr">
        <is>
          <t>BLUEBELL WOODLANDS Photography - Warks - 20 Apr- 30 Apr</t>
        </is>
      </c>
      <c r="J541" t="inlineStr">
        <is>
          <t>https://www.alanranger.com/one-day-landscape-photography-workshops</t>
        </is>
      </c>
    </row>
    <row r="542" ht="13.5" customHeight="1" s="1232">
      <c r="A542" s="1348" t="n">
        <v>45818</v>
      </c>
      <c r="B542" s="1349" t="inlineStr">
        <is>
          <t>Ioannis Zaproudis</t>
        </is>
      </c>
      <c r="C542" s="1350" t="inlineStr">
        <is>
          <t>2. Workshops Non Residential</t>
        </is>
      </c>
      <c r="D542" s="1349" t="inlineStr">
        <is>
          <t>Bank</t>
        </is>
      </c>
      <c r="E542" s="1351" t="n">
        <v>99</v>
      </c>
      <c r="F542" s="1349" t="inlineStr">
        <is>
          <t>Bluebells</t>
        </is>
      </c>
      <c r="G542" s="1349" t="inlineStr">
        <is>
          <t>JLR</t>
        </is>
      </c>
      <c r="I542" t="inlineStr">
        <is>
          <t>BLUEBELL WOODLANDS Photography - Warks - 20 Apr- 30 Apr</t>
        </is>
      </c>
      <c r="J542" t="inlineStr">
        <is>
          <t>https://www.alanranger.com/one-day-landscape-photography-workshops</t>
        </is>
      </c>
    </row>
    <row r="543" ht="13.5" customHeight="1" s="1232">
      <c r="A543" s="1348" t="n">
        <v>45818</v>
      </c>
      <c r="B543" s="1349" t="inlineStr">
        <is>
          <t>Mihaela Stroe</t>
        </is>
      </c>
      <c r="C543" s="1350" t="inlineStr">
        <is>
          <t>2. Workshops Non Residential</t>
        </is>
      </c>
      <c r="D543" s="1349" t="inlineStr">
        <is>
          <t>Bank</t>
        </is>
      </c>
      <c r="E543" s="1351" t="n">
        <v>99</v>
      </c>
      <c r="F543" s="1349" t="inlineStr">
        <is>
          <t>Bluebells</t>
        </is>
      </c>
      <c r="G543" s="1349" t="inlineStr">
        <is>
          <t>JLR</t>
        </is>
      </c>
      <c r="I543" t="inlineStr">
        <is>
          <t>BLUEBELL WOODLANDS Photography - Warks - 20 Apr- 30 Apr</t>
        </is>
      </c>
      <c r="J543" t="inlineStr">
        <is>
          <t>https://www.alanranger.com/one-day-landscape-photography-workshops</t>
        </is>
      </c>
    </row>
    <row r="544" ht="13.5" customHeight="1" s="1232">
      <c r="A544" s="1348" t="n">
        <v>45817</v>
      </c>
      <c r="B544" s="1349" t="inlineStr">
        <is>
          <t>Angela Lapworth</t>
        </is>
      </c>
      <c r="C544" s="1350" t="inlineStr">
        <is>
          <t>8. Gift Vouchers Inc</t>
        </is>
      </c>
      <c r="D544" s="1349" t="inlineStr">
        <is>
          <t>Stripe</t>
        </is>
      </c>
      <c r="E544" s="1351" t="n">
        <v>350</v>
      </c>
      <c r="F544" s="1349" t="inlineStr">
        <is>
          <t>Digital Gift Card</t>
        </is>
      </c>
      <c r="G544" s="1349" t="inlineStr">
        <is>
          <t>Google</t>
        </is>
      </c>
      <c r="I544" t="inlineStr">
        <is>
          <t>Gift Voucher - Digital eCard</t>
        </is>
      </c>
      <c r="J544" t="inlineStr">
        <is>
          <t>https://www.alanranger.com/photography-gift-vouchers</t>
        </is>
      </c>
    </row>
    <row r="545" ht="13.5" customHeight="1" s="1232">
      <c r="A545" s="1348" t="n">
        <v>45816</v>
      </c>
      <c r="B545" s="1349" t="inlineStr">
        <is>
          <t>Jane Mellor</t>
        </is>
      </c>
      <c r="C545" s="1350" t="inlineStr">
        <is>
          <t>8. Gift Vouchers Inc</t>
        </is>
      </c>
      <c r="D545" s="1349" t="inlineStr">
        <is>
          <t>Stripe</t>
        </is>
      </c>
      <c r="E545" s="1351" t="n">
        <v>50</v>
      </c>
      <c r="F545" s="1349" t="inlineStr">
        <is>
          <t>Digital Gift Card</t>
        </is>
      </c>
      <c r="G545" s="1349" t="inlineStr">
        <is>
          <t>Google</t>
        </is>
      </c>
      <c r="I545" t="inlineStr">
        <is>
          <t>Gift Voucher - Digital eCard</t>
        </is>
      </c>
      <c r="J545" t="inlineStr">
        <is>
          <t>https://www.alanranger.com/photography-gift-vouchers</t>
        </is>
      </c>
    </row>
    <row r="546" ht="13.5" customHeight="1" s="1232">
      <c r="A546" s="1348" t="n">
        <v>45815</v>
      </c>
      <c r="B546" s="1349" t="inlineStr">
        <is>
          <t>Jill Cockerton</t>
        </is>
      </c>
      <c r="C546" s="1350" t="inlineStr">
        <is>
          <t>2. Workshops Non Residential</t>
        </is>
      </c>
      <c r="D546" s="1349" t="inlineStr">
        <is>
          <t>Stripe</t>
        </is>
      </c>
      <c r="E546" s="1351" t="n">
        <v>297</v>
      </c>
      <c r="F546" s="1349" t="inlineStr">
        <is>
          <t>Batsford</t>
        </is>
      </c>
      <c r="G546" s="1349" t="inlineStr">
        <is>
          <t>Google</t>
        </is>
      </c>
      <c r="I546" t="inlineStr">
        <is>
          <t>Gift Voucher - Digital eCard</t>
        </is>
      </c>
      <c r="J546" t="inlineStr">
        <is>
          <t>https://www.alanranger.com/photography-gift-vouchers</t>
        </is>
      </c>
    </row>
    <row r="547" ht="13.5" customHeight="1" s="1232">
      <c r="A547" s="1348" t="n">
        <v>45809</v>
      </c>
      <c r="B547" s="1349" t="inlineStr">
        <is>
          <t>Mentoring Subs</t>
        </is>
      </c>
      <c r="C547" s="1350" t="inlineStr">
        <is>
          <t>6. Mentoring</t>
        </is>
      </c>
      <c r="D547" s="1349" t="inlineStr">
        <is>
          <t>Stripe</t>
        </is>
      </c>
      <c r="E547" s="1351" t="n">
        <v>50</v>
      </c>
      <c r="F547" s="1349" t="inlineStr">
        <is>
          <t>Mentoring Subs</t>
        </is>
      </c>
      <c r="G547" s="1349" t="inlineStr">
        <is>
          <t>Existing</t>
        </is>
      </c>
      <c r="I547" t="inlineStr">
        <is>
          <t>Mentoring - Monthly Subscription</t>
        </is>
      </c>
      <c r="J547" t="inlineStr">
        <is>
          <t>https://www.alanranger.com/photography-mentoring-online-assignments</t>
        </is>
      </c>
    </row>
    <row r="548" ht="13.5" customHeight="1" s="1232">
      <c r="A548" s="1348" t="n"/>
      <c r="B548" s="1349" t="n"/>
      <c r="C548" s="1350" t="n"/>
      <c r="D548" s="1349" t="n"/>
      <c r="E548" s="1351" t="n"/>
      <c r="F548" s="1349" t="n"/>
      <c r="G548" s="1349" t="n"/>
    </row>
    <row r="549" ht="13.5" customHeight="1" s="1232">
      <c r="A549" s="1348" t="n">
        <v>45802</v>
      </c>
      <c r="B549" s="1349" t="inlineStr">
        <is>
          <t>Callum Windle</t>
        </is>
      </c>
      <c r="C549" s="1350" t="inlineStr">
        <is>
          <t>1. Courses/masterclasses</t>
        </is>
      </c>
      <c r="D549" s="1349" t="inlineStr">
        <is>
          <t>Stripe</t>
        </is>
      </c>
      <c r="E549" s="1351" t="n">
        <v>150</v>
      </c>
      <c r="F549" s="1349" t="inlineStr">
        <is>
          <t>Camera Course</t>
        </is>
      </c>
      <c r="G549" s="1349" t="inlineStr">
        <is>
          <t>Google</t>
        </is>
      </c>
      <c r="I549" t="inlineStr">
        <is>
          <t>Beginners Photography Course | 3 Weekly Evening Classes</t>
        </is>
      </c>
      <c r="J549" t="inlineStr">
        <is>
          <t>https://www.alanranger.com/beginners-photography-classes</t>
        </is>
      </c>
    </row>
    <row r="550" ht="13.5" customHeight="1" s="1232">
      <c r="A550" s="1348" t="n">
        <v>45800</v>
      </c>
      <c r="B550" s="1349" t="inlineStr">
        <is>
          <t>Andrew Morris</t>
        </is>
      </c>
      <c r="C550" s="1350" t="inlineStr">
        <is>
          <t>7. 1-2-1</t>
        </is>
      </c>
      <c r="D550" s="1349" t="inlineStr">
        <is>
          <t>Bank</t>
        </is>
      </c>
      <c r="E550" s="1351" t="n">
        <v>65</v>
      </c>
      <c r="F550" s="1349" t="inlineStr">
        <is>
          <t>1hr 1-2-1</t>
        </is>
      </c>
      <c r="G550" s="1349" t="inlineStr">
        <is>
          <t>JLR</t>
        </is>
      </c>
      <c r="I550" t="inlineStr">
        <is>
          <t>1-2-1 Single Session - 1hr (Face-to-Face)</t>
        </is>
      </c>
      <c r="J550" t="inlineStr">
        <is>
          <t>https://www.alanranger.com/private-photography-lessons</t>
        </is>
      </c>
    </row>
    <row r="551" ht="13.5" customHeight="1" s="1232">
      <c r="A551" s="1348" t="n">
        <v>45800</v>
      </c>
      <c r="B551" s="1349" t="inlineStr">
        <is>
          <t>Yogesh Rajanandam</t>
        </is>
      </c>
      <c r="C551" s="1350" t="inlineStr">
        <is>
          <t>7. 1-2-1</t>
        </is>
      </c>
      <c r="D551" s="1349" t="inlineStr">
        <is>
          <t>Bank</t>
        </is>
      </c>
      <c r="E551" s="1351" t="n">
        <v>50</v>
      </c>
      <c r="F551" s="1349" t="inlineStr">
        <is>
          <t>1hr 1-2-1</t>
        </is>
      </c>
      <c r="G551" s="1349" t="inlineStr">
        <is>
          <t>JLR</t>
        </is>
      </c>
      <c r="I551" t="inlineStr">
        <is>
          <t>1-2-1 Single Session - 1hr (Face-to-Face)</t>
        </is>
      </c>
      <c r="J551" t="inlineStr">
        <is>
          <t>https://www.alanranger.com/private-photography-lessons</t>
        </is>
      </c>
    </row>
    <row r="552" ht="13.5" customHeight="1" s="1232">
      <c r="A552" s="1348" t="n">
        <v>45800</v>
      </c>
      <c r="B552" s="1349" t="inlineStr">
        <is>
          <t>Ewan Atkinson</t>
        </is>
      </c>
      <c r="C552" s="1350" t="inlineStr">
        <is>
          <t>7. 1-2-1</t>
        </is>
      </c>
      <c r="D552" s="1349" t="inlineStr">
        <is>
          <t>Bank</t>
        </is>
      </c>
      <c r="E552" s="1351" t="n">
        <v>65</v>
      </c>
      <c r="F552" s="1349" t="inlineStr">
        <is>
          <t>1hr 1-2-1</t>
        </is>
      </c>
      <c r="G552" s="1349" t="inlineStr">
        <is>
          <t>JLR</t>
        </is>
      </c>
      <c r="I552" t="inlineStr">
        <is>
          <t>1-2-1 Single Session - 1hr (Face-to-Face)</t>
        </is>
      </c>
      <c r="J552" t="inlineStr">
        <is>
          <t>https://www.alanranger.com/private-photography-lessons</t>
        </is>
      </c>
    </row>
    <row r="553" ht="13.5" customHeight="1" s="1232">
      <c r="A553" s="1348" t="n">
        <v>45800</v>
      </c>
      <c r="B553" s="1349" t="inlineStr">
        <is>
          <t>John Shilladay</t>
        </is>
      </c>
      <c r="C553" s="1350" t="inlineStr">
        <is>
          <t>7. 1-2-1</t>
        </is>
      </c>
      <c r="D553" s="1349" t="inlineStr">
        <is>
          <t>Bank</t>
        </is>
      </c>
      <c r="E553" s="1351" t="n">
        <v>150</v>
      </c>
      <c r="F553" s="1349" t="inlineStr">
        <is>
          <t>Mentoring</t>
        </is>
      </c>
      <c r="G553" s="1349" t="inlineStr">
        <is>
          <t>JLR</t>
        </is>
      </c>
      <c r="I553" t="inlineStr">
        <is>
          <t>Mentoring - Monthly Subscription</t>
        </is>
      </c>
      <c r="J553" t="inlineStr">
        <is>
          <t>https://www.alanranger.com/photography-mentoring-online-assignments</t>
        </is>
      </c>
    </row>
    <row r="554" ht="13.5" customHeight="1" s="1232">
      <c r="A554" s="1348" t="n">
        <v>45800</v>
      </c>
      <c r="B554" s="1349" t="inlineStr">
        <is>
          <t>Chloe Taylor</t>
        </is>
      </c>
      <c r="C554" s="1350" t="inlineStr">
        <is>
          <t>7. 1-2-1</t>
        </is>
      </c>
      <c r="D554" s="1349" t="inlineStr">
        <is>
          <t>Bank</t>
        </is>
      </c>
      <c r="E554" s="1351" t="n">
        <v>50</v>
      </c>
      <c r="F554" s="1349" t="inlineStr">
        <is>
          <t>1hr 1-2-1</t>
        </is>
      </c>
      <c r="G554" s="1349" t="inlineStr">
        <is>
          <t>JLR</t>
        </is>
      </c>
      <c r="I554" t="inlineStr">
        <is>
          <t>1-2-1 Single Session - 1hr (Face-to-Face)</t>
        </is>
      </c>
      <c r="J554" t="inlineStr">
        <is>
          <t>https://www.alanranger.com/private-photography-lessons</t>
        </is>
      </c>
    </row>
    <row r="555" ht="13.5" customHeight="1" s="1232">
      <c r="A555" s="1348" t="n">
        <v>45797</v>
      </c>
      <c r="B555" s="1349" t="inlineStr">
        <is>
          <t>Chan Jandu</t>
        </is>
      </c>
      <c r="C555" s="1350" t="inlineStr">
        <is>
          <t>2. Workshops Non Residential</t>
        </is>
      </c>
      <c r="D555" s="1349" t="inlineStr">
        <is>
          <t>Bank</t>
        </is>
      </c>
      <c r="E555" s="1351" t="n">
        <v>125</v>
      </c>
      <c r="F555" s="1349" t="inlineStr">
        <is>
          <t>The Secrets of Woodland Photography - 1-Day Masterclass</t>
        </is>
      </c>
      <c r="G555" s="1349" t="inlineStr">
        <is>
          <t>JLR</t>
        </is>
      </c>
      <c r="I555" t="inlineStr">
        <is>
          <t>The Secret of WOODLAND PHOTOGRAPHY- 1-Day Jan, Apr, Aug, Oct</t>
        </is>
      </c>
      <c r="J555" t="inlineStr">
        <is>
          <t>https://www.alanranger.com/one-day-landscape-photography-workshops</t>
        </is>
      </c>
    </row>
    <row r="556" ht="13.5" customHeight="1" s="1232">
      <c r="A556" s="1348" t="n">
        <v>45797</v>
      </c>
      <c r="B556" s="1349" t="inlineStr">
        <is>
          <t>Anthony Hartwell</t>
        </is>
      </c>
      <c r="C556" s="1350" t="inlineStr">
        <is>
          <t>2. Workshops Non Residential</t>
        </is>
      </c>
      <c r="D556" s="1349" t="inlineStr">
        <is>
          <t>Bank</t>
        </is>
      </c>
      <c r="E556" s="1351" t="n">
        <v>125</v>
      </c>
      <c r="F556" s="1349" t="inlineStr">
        <is>
          <t>The Secrets of Woodland Photography - 1-Day Masterclass</t>
        </is>
      </c>
      <c r="G556" s="1349" t="inlineStr">
        <is>
          <t>JLR</t>
        </is>
      </c>
      <c r="I556" t="inlineStr">
        <is>
          <t>The Secret of WOODLAND PHOTOGRAPHY- 1-Day Jan, Apr, Aug, Oct</t>
        </is>
      </c>
      <c r="J556" t="inlineStr">
        <is>
          <t>https://www.alanranger.com/one-day-landscape-photography-workshops</t>
        </is>
      </c>
    </row>
    <row r="557" ht="13.5" customHeight="1" s="1232">
      <c r="A557" s="1348" t="n">
        <v>45797</v>
      </c>
      <c r="B557" s="1349" t="inlineStr">
        <is>
          <t>Blessent George</t>
        </is>
      </c>
      <c r="C557" s="1350" t="inlineStr">
        <is>
          <t>7. 1-2-1</t>
        </is>
      </c>
      <c r="D557" s="1349" t="inlineStr">
        <is>
          <t>Bank</t>
        </is>
      </c>
      <c r="E557" s="1351" t="n">
        <v>65</v>
      </c>
      <c r="F557" s="1349" t="inlineStr">
        <is>
          <t>Photography Lessons - Private 1-2-1 (1HR)</t>
        </is>
      </c>
      <c r="G557" s="1349" t="inlineStr">
        <is>
          <t>JLR</t>
        </is>
      </c>
      <c r="I557" t="inlineStr">
        <is>
          <t>1-2-1 Single Session - 1hr (Face-to-Face)</t>
        </is>
      </c>
      <c r="J557" t="inlineStr">
        <is>
          <t>https://www.alanranger.com/private-photography-lessons</t>
        </is>
      </c>
    </row>
    <row r="558" ht="13.5" customHeight="1" s="1232">
      <c r="A558" s="1348" t="n">
        <v>45797</v>
      </c>
      <c r="B558" s="1349" t="inlineStr">
        <is>
          <t>Gerry Daykin</t>
        </is>
      </c>
      <c r="C558" s="1350" t="inlineStr">
        <is>
          <t>7. 1-2-1</t>
        </is>
      </c>
      <c r="D558" s="1349" t="inlineStr">
        <is>
          <t>Bank</t>
        </is>
      </c>
      <c r="E558" s="1351" t="n">
        <v>50</v>
      </c>
      <c r="F558" s="1349" t="inlineStr">
        <is>
          <t>Photography Lessons - Private 1-2-1 (1HR)</t>
        </is>
      </c>
      <c r="G558" s="1349" t="inlineStr">
        <is>
          <t>JLR</t>
        </is>
      </c>
      <c r="I558" t="inlineStr">
        <is>
          <t>1-2-1 Single Session - 1hr (Face-to-Face)</t>
        </is>
      </c>
      <c r="J558" t="inlineStr">
        <is>
          <t>https://www.alanranger.com/private-photography-lessons</t>
        </is>
      </c>
    </row>
    <row r="559" ht="13.5" customHeight="1" s="1232">
      <c r="A559" s="1348" t="n">
        <v>45797</v>
      </c>
      <c r="B559" s="1349" t="inlineStr">
        <is>
          <t>Jevgenijs Kitajevs</t>
        </is>
      </c>
      <c r="C559" s="1350" t="inlineStr">
        <is>
          <t>2. Workshops Non Residential</t>
        </is>
      </c>
      <c r="D559" s="1349" t="inlineStr">
        <is>
          <t>Bank</t>
        </is>
      </c>
      <c r="E559" s="1351" t="n">
        <v>50</v>
      </c>
      <c r="F559" s="1349" t="inlineStr">
        <is>
          <t>Evening Urban Architecture Photography Workshop</t>
        </is>
      </c>
      <c r="G559" s="1349" t="inlineStr">
        <is>
          <t>JLR</t>
        </is>
      </c>
      <c r="I559" t="inlineStr">
        <is>
          <t>URBAN ARCHITECTURE Photography Workshops - Coventry 9 Sep</t>
        </is>
      </c>
      <c r="J559" t="inlineStr">
        <is>
          <t>https://www.alanranger.com/landscape-photography-workshops</t>
        </is>
      </c>
    </row>
    <row r="560" ht="13.5" customHeight="1" s="1232">
      <c r="A560" s="1348" t="n">
        <v>45797</v>
      </c>
      <c r="B560" s="1349" t="inlineStr">
        <is>
          <t>Blessent George</t>
        </is>
      </c>
      <c r="C560" s="1350" t="inlineStr">
        <is>
          <t>2. Workshops Non Residential</t>
        </is>
      </c>
      <c r="D560" s="1349" t="inlineStr">
        <is>
          <t>Bank</t>
        </is>
      </c>
      <c r="E560" s="1351" t="n">
        <v>50</v>
      </c>
      <c r="F560" s="1349" t="inlineStr">
        <is>
          <t>Evening Urban Architecture Photography Workshop</t>
        </is>
      </c>
      <c r="G560" s="1349" t="inlineStr">
        <is>
          <t>JLR</t>
        </is>
      </c>
      <c r="I560" t="inlineStr">
        <is>
          <t>URBAN ARCHITECTURE Photography Workshops - Coventry 9 Sep</t>
        </is>
      </c>
      <c r="J560" t="inlineStr">
        <is>
          <t>https://www.alanranger.com/landscape-photography-workshops</t>
        </is>
      </c>
    </row>
    <row r="561" ht="13.5" customHeight="1" s="1232">
      <c r="A561" s="1348" t="n">
        <v>45797</v>
      </c>
      <c r="B561" s="1349" t="inlineStr">
        <is>
          <t>Paul Galbraith</t>
        </is>
      </c>
      <c r="C561" s="1350" t="inlineStr">
        <is>
          <t>2. Workshops Non Residential</t>
        </is>
      </c>
      <c r="D561" s="1349" t="inlineStr">
        <is>
          <t>Bank</t>
        </is>
      </c>
      <c r="E561" s="1351" t="n">
        <v>50</v>
      </c>
      <c r="F561" s="1349" t="inlineStr">
        <is>
          <t>Evening Urban Architecture Photography Workshop</t>
        </is>
      </c>
      <c r="G561" s="1349" t="inlineStr">
        <is>
          <t>JLR</t>
        </is>
      </c>
      <c r="I561" t="inlineStr">
        <is>
          <t>URBAN ARCHITECTURE Photography Workshops - Coventry 9 Sep</t>
        </is>
      </c>
      <c r="J561" t="inlineStr">
        <is>
          <t>https://www.alanranger.com/landscape-photography-workshops</t>
        </is>
      </c>
    </row>
    <row r="562" ht="13.5" customHeight="1" s="1232">
      <c r="A562" s="1348" t="n">
        <v>45797</v>
      </c>
      <c r="B562" s="1349" t="inlineStr">
        <is>
          <t>Naveen Prakash Karuppaiah</t>
        </is>
      </c>
      <c r="C562" s="1350" t="inlineStr">
        <is>
          <t>2. Workshops Non Residential</t>
        </is>
      </c>
      <c r="D562" s="1349" t="inlineStr">
        <is>
          <t>Bank</t>
        </is>
      </c>
      <c r="E562" s="1351" t="n">
        <v>50</v>
      </c>
      <c r="F562" s="1349" t="inlineStr">
        <is>
          <t>Evening Urban Architecture Photography Workshop</t>
        </is>
      </c>
      <c r="G562" s="1349" t="inlineStr">
        <is>
          <t>JLR</t>
        </is>
      </c>
      <c r="I562" t="inlineStr">
        <is>
          <t>URBAN ARCHITECTURE Photography Workshops - Coventry 9 Sep</t>
        </is>
      </c>
      <c r="J562" t="inlineStr">
        <is>
          <t>https://www.alanranger.com/landscape-photography-workshops</t>
        </is>
      </c>
    </row>
    <row r="563" ht="13.5" customHeight="1" s="1232">
      <c r="A563" s="1348" t="n">
        <v>45797</v>
      </c>
      <c r="B563" s="1349" t="inlineStr">
        <is>
          <t>Andrew Wright</t>
        </is>
      </c>
      <c r="C563" s="1350" t="inlineStr">
        <is>
          <t>2. Workshops Non Residential</t>
        </is>
      </c>
      <c r="D563" s="1349" t="inlineStr">
        <is>
          <t>Bank</t>
        </is>
      </c>
      <c r="E563" s="1351" t="n">
        <v>50</v>
      </c>
      <c r="F563" s="1349" t="inlineStr">
        <is>
          <t>Evening Urban Architecture Photography Workshop</t>
        </is>
      </c>
      <c r="G563" s="1349" t="inlineStr">
        <is>
          <t>JLR</t>
        </is>
      </c>
      <c r="I563" t="inlineStr">
        <is>
          <t>URBAN ARCHITECTURE Photography Workshops - Coventry 9 Sep</t>
        </is>
      </c>
      <c r="J563" t="inlineStr">
        <is>
          <t>https://www.alanranger.com/landscape-photography-workshops</t>
        </is>
      </c>
    </row>
    <row r="564" ht="13.5" customHeight="1" s="1232">
      <c r="A564" s="1348" t="n">
        <v>45797</v>
      </c>
      <c r="B564" s="1349" t="inlineStr">
        <is>
          <t>Rajiv Mohan</t>
        </is>
      </c>
      <c r="C564" s="1350" t="inlineStr">
        <is>
          <t>2. Workshops Non Residential</t>
        </is>
      </c>
      <c r="D564" s="1349" t="inlineStr">
        <is>
          <t>Bank</t>
        </is>
      </c>
      <c r="E564" s="1351" t="n">
        <v>50</v>
      </c>
      <c r="F564" s="1349" t="inlineStr">
        <is>
          <t>Evening Urban Architecture Photography Workshop</t>
        </is>
      </c>
      <c r="G564" s="1349" t="inlineStr">
        <is>
          <t>JLR</t>
        </is>
      </c>
      <c r="I564" t="inlineStr">
        <is>
          <t>URBAN ARCHITECTURE Photography Workshops - Coventry 9 Sep</t>
        </is>
      </c>
      <c r="J564" t="inlineStr">
        <is>
          <t>https://www.alanranger.com/landscape-photography-workshops</t>
        </is>
      </c>
    </row>
    <row r="565" ht="13.5" customHeight="1" s="1232">
      <c r="A565" s="1348" t="n">
        <v>45797</v>
      </c>
      <c r="B565" s="1349" t="inlineStr">
        <is>
          <t>Andrew Lockwood</t>
        </is>
      </c>
      <c r="C565" s="1350" t="inlineStr">
        <is>
          <t>2. Workshops Non Residential</t>
        </is>
      </c>
      <c r="D565" s="1349" t="inlineStr">
        <is>
          <t>Bank</t>
        </is>
      </c>
      <c r="E565" s="1351" t="n">
        <v>50</v>
      </c>
      <c r="F565" s="1349" t="inlineStr">
        <is>
          <t>Evening Urban Architecture Photography Workshop</t>
        </is>
      </c>
      <c r="G565" s="1349" t="inlineStr">
        <is>
          <t>JLR</t>
        </is>
      </c>
      <c r="I565" t="inlineStr">
        <is>
          <t>URBAN ARCHITECTURE Photography Workshops - Coventry 9 Sep</t>
        </is>
      </c>
      <c r="J565" t="inlineStr">
        <is>
          <t>https://www.alanranger.com/landscape-photography-workshops</t>
        </is>
      </c>
    </row>
    <row r="566" ht="13.5" customHeight="1" s="1232">
      <c r="A566" s="1348" t="n">
        <v>45797</v>
      </c>
      <c r="B566" s="1349" t="inlineStr">
        <is>
          <t>Sunil Raaj</t>
        </is>
      </c>
      <c r="C566" s="1350" t="inlineStr">
        <is>
          <t>7. 1-2-1</t>
        </is>
      </c>
      <c r="D566" s="1349" t="inlineStr">
        <is>
          <t>Bank</t>
        </is>
      </c>
      <c r="E566" s="1351" t="n">
        <v>120</v>
      </c>
      <c r="F566" s="1349" t="inlineStr">
        <is>
          <t>Photography Lessons - Private 1-2-1 (2hr)</t>
        </is>
      </c>
      <c r="G566" s="1349" t="inlineStr">
        <is>
          <t>JLR</t>
        </is>
      </c>
      <c r="I566" t="inlineStr">
        <is>
          <t>1-2-1 Single Session - 2hr (Face-to-Face)</t>
        </is>
      </c>
      <c r="J566" t="inlineStr">
        <is>
          <t>https://www.alanranger.com/private-photography-lessons</t>
        </is>
      </c>
    </row>
    <row r="567" ht="13.5" customHeight="1" s="1232">
      <c r="A567" s="1348" t="n">
        <v>45797</v>
      </c>
      <c r="B567" s="1349" t="inlineStr">
        <is>
          <t>Dadasaheb Jadhav</t>
        </is>
      </c>
      <c r="C567" s="1350" t="inlineStr">
        <is>
          <t>7. 1-2-1</t>
        </is>
      </c>
      <c r="D567" s="1349" t="inlineStr">
        <is>
          <t>Bank</t>
        </is>
      </c>
      <c r="E567" s="1351" t="n">
        <v>120</v>
      </c>
      <c r="F567" s="1349" t="inlineStr">
        <is>
          <t>Photography Lessons - Private 1-2-1 (2hr)</t>
        </is>
      </c>
      <c r="G567" s="1349" t="inlineStr">
        <is>
          <t>JLR</t>
        </is>
      </c>
      <c r="I567" t="inlineStr">
        <is>
          <t>1-2-1 Single Session - 2hr (Face-to-Face)</t>
        </is>
      </c>
      <c r="J567" t="inlineStr">
        <is>
          <t>https://www.alanranger.com/private-photography-lessons</t>
        </is>
      </c>
    </row>
    <row r="568" ht="13.5" customHeight="1" s="1232">
      <c r="A568" s="1348" t="n">
        <v>45797</v>
      </c>
      <c r="B568" s="1349" t="inlineStr">
        <is>
          <t>Andrew Morris</t>
        </is>
      </c>
      <c r="C568" s="1350" t="inlineStr">
        <is>
          <t>7. 1-2-1</t>
        </is>
      </c>
      <c r="D568" s="1349" t="inlineStr">
        <is>
          <t>Bank</t>
        </is>
      </c>
      <c r="E568" s="1351" t="n">
        <v>65</v>
      </c>
      <c r="F568" s="1349" t="inlineStr">
        <is>
          <t>Photography Lessons - Private 1-2-1 (1HR)</t>
        </is>
      </c>
      <c r="G568" s="1349" t="inlineStr">
        <is>
          <t>JLR</t>
        </is>
      </c>
      <c r="I568" t="inlineStr">
        <is>
          <t>1-2-1 Single Session - 1hr (Face-to-Face)</t>
        </is>
      </c>
      <c r="J568" t="inlineStr">
        <is>
          <t>https://www.alanranger.com/private-photography-lessons</t>
        </is>
      </c>
    </row>
    <row r="569" ht="13.5" customHeight="1" s="1232">
      <c r="A569" s="1348" t="n">
        <v>45797</v>
      </c>
      <c r="B569" s="1349" t="inlineStr">
        <is>
          <t>Rajkumar Nagappan Pillai</t>
        </is>
      </c>
      <c r="C569" s="1350" t="inlineStr">
        <is>
          <t>1. Courses/masterclasses</t>
        </is>
      </c>
      <c r="D569" s="1349" t="inlineStr">
        <is>
          <t>Bank</t>
        </is>
      </c>
      <c r="E569" s="1351" t="n">
        <v>150</v>
      </c>
      <c r="F569" s="1349" t="inlineStr">
        <is>
          <t>Camera Courses For Beginners</t>
        </is>
      </c>
      <c r="G569" s="1349" t="inlineStr">
        <is>
          <t>JLR</t>
        </is>
      </c>
      <c r="I569" t="inlineStr">
        <is>
          <t>Beginners Photography Course | 3 Weekly Evening Classes</t>
        </is>
      </c>
      <c r="J569" t="inlineStr">
        <is>
          <t>https://www.alanranger.com/beginners-photography-classes</t>
        </is>
      </c>
    </row>
    <row r="570" ht="13.5" customHeight="1" s="1232">
      <c r="A570" s="1348" t="n">
        <v>45797</v>
      </c>
      <c r="B570" s="1349" t="inlineStr">
        <is>
          <t>Nandeep Bhambra</t>
        </is>
      </c>
      <c r="C570" s="1350" t="inlineStr">
        <is>
          <t>1. Courses/masterclasses</t>
        </is>
      </c>
      <c r="D570" s="1349" t="inlineStr">
        <is>
          <t>Bank</t>
        </is>
      </c>
      <c r="E570" s="1351" t="n">
        <v>150</v>
      </c>
      <c r="F570" s="1349" t="inlineStr">
        <is>
          <t>Camera Courses For Beginners</t>
        </is>
      </c>
      <c r="G570" s="1349" t="inlineStr">
        <is>
          <t>JLR</t>
        </is>
      </c>
      <c r="I570" t="inlineStr">
        <is>
          <t>Beginners Photography Course | 3 Weekly Evening Classes</t>
        </is>
      </c>
      <c r="J570" t="inlineStr">
        <is>
          <t>https://www.alanranger.com/beginners-photography-classes</t>
        </is>
      </c>
    </row>
    <row r="571" ht="13.5" customHeight="1" s="1232">
      <c r="A571" s="1348" t="n">
        <v>45797</v>
      </c>
      <c r="B571" s="1349" t="inlineStr">
        <is>
          <t>Premananth Subramanian</t>
        </is>
      </c>
      <c r="C571" s="1350" t="inlineStr">
        <is>
          <t>1. Courses/masterclasses</t>
        </is>
      </c>
      <c r="D571" s="1349" t="inlineStr">
        <is>
          <t>Bank</t>
        </is>
      </c>
      <c r="E571" s="1351" t="n">
        <v>150</v>
      </c>
      <c r="F571" s="1349" t="inlineStr">
        <is>
          <t>Camera Courses For Beginners</t>
        </is>
      </c>
      <c r="G571" s="1349" t="inlineStr">
        <is>
          <t>JLR</t>
        </is>
      </c>
      <c r="I571" t="inlineStr">
        <is>
          <t>Beginners Photography Course | 3 Weekly Evening Classes</t>
        </is>
      </c>
      <c r="J571" t="inlineStr">
        <is>
          <t>https://www.alanranger.com/beginners-photography-classes</t>
        </is>
      </c>
    </row>
    <row r="572" ht="13.5" customHeight="1" s="1232">
      <c r="A572" s="1348" t="n">
        <v>45799</v>
      </c>
      <c r="B572" s="1349" t="inlineStr">
        <is>
          <t>David Pyta</t>
        </is>
      </c>
      <c r="C572" s="1350" t="inlineStr">
        <is>
          <t>2. Workshops Non Residential</t>
        </is>
      </c>
      <c r="D572" s="1349" t="inlineStr">
        <is>
          <t>Stripe</t>
        </is>
      </c>
      <c r="E572" s="1351" t="n">
        <v>100</v>
      </c>
      <c r="F572" s="1349" t="inlineStr">
        <is>
          <t>2 x Chesterton</t>
        </is>
      </c>
      <c r="G572" s="1349" t="inlineStr">
        <is>
          <t>Existing</t>
        </is>
      </c>
      <c r="I572" t="inlineStr">
        <is>
          <t>Photography Workshops CHESTERTON WINDMILL - Warwickshire</t>
        </is>
      </c>
      <c r="J572" t="inlineStr">
        <is>
          <t>https://www.alanranger.com/landscape-photography-workshops</t>
        </is>
      </c>
    </row>
    <row r="573" ht="13.5" customHeight="1" s="1232">
      <c r="A573" s="1348" t="n">
        <v>45798</v>
      </c>
      <c r="B573" s="1349" t="inlineStr">
        <is>
          <t>Michael Auinger</t>
        </is>
      </c>
      <c r="C573" s="1350" t="inlineStr">
        <is>
          <t>11 Commissions</t>
        </is>
      </c>
      <c r="D573" s="1349" t="inlineStr">
        <is>
          <t>Stripe</t>
        </is>
      </c>
      <c r="E573" s="1351" t="n">
        <v>75</v>
      </c>
      <c r="F573" s="1349" t="inlineStr">
        <is>
          <t>Portrait Shoot</t>
        </is>
      </c>
      <c r="G573" s="1349" t="inlineStr">
        <is>
          <t>Google</t>
        </is>
      </c>
      <c r="I573" t="inlineStr">
        <is>
          <t>Commission - Commercial / Product Shoot</t>
        </is>
      </c>
      <c r="J573" t="inlineStr">
        <is>
          <t>https://www.alanranger.com/professional-commercial-photographer-coventry</t>
        </is>
      </c>
    </row>
    <row r="574" ht="13.5" customHeight="1" s="1232">
      <c r="A574" s="1348" t="n">
        <v>45798</v>
      </c>
      <c r="B574" s="1349" t="inlineStr">
        <is>
          <t>Amy Koh</t>
        </is>
      </c>
      <c r="C574" s="1350" t="inlineStr">
        <is>
          <t>11 Commissions</t>
        </is>
      </c>
      <c r="D574" s="1349" t="inlineStr">
        <is>
          <t>Stripe</t>
        </is>
      </c>
      <c r="E574" s="1351" t="n">
        <v>150</v>
      </c>
      <c r="F574" s="1349" t="inlineStr">
        <is>
          <t>Air BnB Shoot</t>
        </is>
      </c>
      <c r="G574" s="1349" t="inlineStr">
        <is>
          <t>Google</t>
        </is>
      </c>
      <c r="I574" t="inlineStr">
        <is>
          <t>Commission - Commercial / Product Shoot</t>
        </is>
      </c>
      <c r="J574" t="inlineStr">
        <is>
          <t>https://www.alanranger.com/professional-commercial-photographer-coventry</t>
        </is>
      </c>
    </row>
    <row r="575" ht="13.5" customHeight="1" s="1232">
      <c r="A575" s="1348" t="n">
        <v>45799</v>
      </c>
      <c r="B575" s="1349" t="inlineStr">
        <is>
          <t>Jarvis Simpson</t>
        </is>
      </c>
      <c r="C575" s="1350" t="inlineStr">
        <is>
          <t>7. 1-2-1</t>
        </is>
      </c>
      <c r="D575" s="1349" t="inlineStr">
        <is>
          <t>Bank</t>
        </is>
      </c>
      <c r="E575" s="1351" t="n">
        <v>50</v>
      </c>
      <c r="F575" s="1352" t="inlineStr">
        <is>
          <t>1-2-1</t>
        </is>
      </c>
      <c r="G575" s="1349" t="inlineStr">
        <is>
          <t>JLR</t>
        </is>
      </c>
      <c r="I575" t="inlineStr">
        <is>
          <t>1-2-1 Single Session - 1hr (Face-to-Face)</t>
        </is>
      </c>
      <c r="J575" t="inlineStr">
        <is>
          <t>https://www.alanranger.com/private-photography-lessons</t>
        </is>
      </c>
    </row>
    <row r="576" ht="13.5" customHeight="1" s="1232">
      <c r="A576" s="1348" t="n">
        <v>45799</v>
      </c>
      <c r="B576" s="1349" t="inlineStr">
        <is>
          <t>Arun Ambrose</t>
        </is>
      </c>
      <c r="C576" s="1350" t="inlineStr">
        <is>
          <t>2. Workshops Non Residential</t>
        </is>
      </c>
      <c r="D576" s="1349" t="inlineStr">
        <is>
          <t>Bank</t>
        </is>
      </c>
      <c r="E576" s="1351" t="n">
        <v>50</v>
      </c>
      <c r="F576" s="1349" t="inlineStr">
        <is>
          <t>Kenilworth</t>
        </is>
      </c>
      <c r="G576" s="1349" t="inlineStr">
        <is>
          <t>JLR</t>
        </is>
      </c>
      <c r="I576" t="inlineStr">
        <is>
          <t>Long Exposure Photography Workshop KENILWORTH Sunset</t>
        </is>
      </c>
      <c r="J576" t="inlineStr">
        <is>
          <t>https://www.alanranger.com/landscape-photography-workshops</t>
        </is>
      </c>
    </row>
    <row r="577" ht="13.5" customHeight="1" s="1232">
      <c r="A577" s="1348" t="n">
        <v>45799</v>
      </c>
      <c r="B577" s="1349" t="inlineStr">
        <is>
          <t>Andrew Lockwood</t>
        </is>
      </c>
      <c r="C577" s="1350" t="inlineStr">
        <is>
          <t>2. Workshops Non Residential</t>
        </is>
      </c>
      <c r="D577" s="1349" t="inlineStr">
        <is>
          <t>Bank</t>
        </is>
      </c>
      <c r="E577" s="1351" t="n">
        <v>50</v>
      </c>
      <c r="F577" s="1349" t="inlineStr">
        <is>
          <t>Kenilworth</t>
        </is>
      </c>
      <c r="G577" s="1349" t="inlineStr">
        <is>
          <t>JLR</t>
        </is>
      </c>
      <c r="I577" t="inlineStr">
        <is>
          <t>Long Exposure Photography Workshop KENILWORTH Sunset</t>
        </is>
      </c>
      <c r="J577" t="inlineStr">
        <is>
          <t>https://www.alanranger.com/landscape-photography-workshops</t>
        </is>
      </c>
    </row>
    <row r="578" ht="13.5" customHeight="1" s="1232">
      <c r="A578" s="1348" t="n">
        <v>45799</v>
      </c>
      <c r="B578" s="1349" t="inlineStr">
        <is>
          <t>Keith Phillips</t>
        </is>
      </c>
      <c r="C578" s="1350" t="inlineStr">
        <is>
          <t>2. Workshops Non Residential</t>
        </is>
      </c>
      <c r="D578" s="1349" t="inlineStr">
        <is>
          <t>Bank</t>
        </is>
      </c>
      <c r="E578" s="1351" t="n">
        <v>50</v>
      </c>
      <c r="F578" s="1349" t="inlineStr">
        <is>
          <t>Kenilworth</t>
        </is>
      </c>
      <c r="G578" s="1349" t="inlineStr">
        <is>
          <t>JLR</t>
        </is>
      </c>
      <c r="I578" t="inlineStr">
        <is>
          <t>Long Exposure Photography Workshop KENILWORTH Sunset</t>
        </is>
      </c>
      <c r="J578" t="inlineStr">
        <is>
          <t>https://www.alanranger.com/landscape-photography-workshops</t>
        </is>
      </c>
    </row>
    <row r="579" ht="13.5" customHeight="1" s="1232">
      <c r="A579" s="1348" t="n">
        <v>45797</v>
      </c>
      <c r="B579" s="1349" t="inlineStr">
        <is>
          <t>Catherine Harris</t>
        </is>
      </c>
      <c r="C579" s="1350" t="inlineStr">
        <is>
          <t>9. Gift Vouchers Out</t>
        </is>
      </c>
      <c r="D579" s="1349" t="inlineStr">
        <is>
          <t>Gift Voucher Out</t>
        </is>
      </c>
      <c r="E579" s="1351" t="n">
        <v>-150</v>
      </c>
      <c r="F579" s="1349" t="inlineStr">
        <is>
          <t>3wk Camera Course</t>
        </is>
      </c>
      <c r="G579" s="1349" t="inlineStr">
        <is>
          <t>Google</t>
        </is>
      </c>
      <c r="I579" t="inlineStr">
        <is>
          <t>Voucher/Plan Redemption - not a product sale</t>
        </is>
      </c>
      <c r="J579" t="inlineStr"/>
    </row>
    <row r="580" ht="13.5" customHeight="1" s="1232">
      <c r="A580" s="1348" t="n">
        <v>45797</v>
      </c>
      <c r="B580" s="1349" t="inlineStr">
        <is>
          <t>Catherine Harris</t>
        </is>
      </c>
      <c r="C580" s="1350" t="inlineStr">
        <is>
          <t>1. Courses/masterclasses</t>
        </is>
      </c>
      <c r="D580" s="1349" t="inlineStr">
        <is>
          <t>Gift Voucher Out</t>
        </is>
      </c>
      <c r="E580" s="1351" t="n">
        <v>150</v>
      </c>
      <c r="F580" s="1349" t="inlineStr">
        <is>
          <t>3wk Camera Course</t>
        </is>
      </c>
      <c r="G580" s="1349" t="inlineStr">
        <is>
          <t>Google</t>
        </is>
      </c>
      <c r="I580" t="inlineStr">
        <is>
          <t>5 Week Beginners Photography Course (RETIRED format)</t>
        </is>
      </c>
      <c r="J580" t="inlineStr">
        <is>
          <t>https://www.alanranger.com/beginners-photography-classes</t>
        </is>
      </c>
    </row>
    <row r="581" ht="13.5" customHeight="1" s="1232">
      <c r="A581" s="1348" t="n">
        <v>45796</v>
      </c>
      <c r="B581" s="1349" t="inlineStr">
        <is>
          <t>Sean Langford</t>
        </is>
      </c>
      <c r="C581" s="1350" t="inlineStr">
        <is>
          <t>12. Academy</t>
        </is>
      </c>
      <c r="D581" s="1349" t="inlineStr">
        <is>
          <t>Stripe</t>
        </is>
      </c>
      <c r="E581" s="1351" t="n">
        <v>30</v>
      </c>
      <c r="F581" s="1349" t="inlineStr">
        <is>
          <t>Sensor Clean</t>
        </is>
      </c>
      <c r="G581" s="1349" t="inlineStr">
        <is>
          <t>Google</t>
        </is>
      </c>
      <c r="I581" t="inlineStr">
        <is>
          <t>Sensor Clean Service (historical)</t>
        </is>
      </c>
      <c r="J581" t="inlineStr">
        <is>
          <t>https://www.alanranger.com/photography-shop-services</t>
        </is>
      </c>
    </row>
    <row r="582" ht="13.5" customHeight="1" s="1232">
      <c r="A582" s="1348" t="n">
        <v>45795</v>
      </c>
      <c r="B582" s="1349" t="inlineStr">
        <is>
          <t>Chi Faat Kong</t>
        </is>
      </c>
      <c r="C582" s="1350" t="inlineStr">
        <is>
          <t>12. Academy</t>
        </is>
      </c>
      <c r="D582" s="1349" t="inlineStr">
        <is>
          <t>PayPal</t>
        </is>
      </c>
      <c r="E582" s="1351" t="n">
        <v>30</v>
      </c>
      <c r="F582" s="1349" t="inlineStr">
        <is>
          <t>Sensor Clean</t>
        </is>
      </c>
      <c r="G582" s="1349" t="inlineStr">
        <is>
          <t>Google</t>
        </is>
      </c>
      <c r="I582" t="inlineStr">
        <is>
          <t>Sensor Clean Service (historical)</t>
        </is>
      </c>
      <c r="J582" t="inlineStr">
        <is>
          <t>https://www.alanranger.com/photography-shop-services</t>
        </is>
      </c>
    </row>
    <row r="583" ht="13.5" customHeight="1" s="1232">
      <c r="A583" s="1348" t="n">
        <v>45792</v>
      </c>
      <c r="B583" s="1349" t="inlineStr">
        <is>
          <t>Emma Collins</t>
        </is>
      </c>
      <c r="C583" s="1350" t="inlineStr">
        <is>
          <t>2. Workshops Non Residential</t>
        </is>
      </c>
      <c r="D583" s="1349" t="inlineStr">
        <is>
          <t>Stripe</t>
        </is>
      </c>
      <c r="E583" s="1351" t="n">
        <v>99</v>
      </c>
      <c r="F583" s="1349" t="inlineStr">
        <is>
          <t>Batsford</t>
        </is>
      </c>
      <c r="G583" s="1349" t="inlineStr">
        <is>
          <t>Google</t>
        </is>
      </c>
      <c r="I583" t="inlineStr">
        <is>
          <t>Gift Voucher - Digital eCard</t>
        </is>
      </c>
      <c r="J583" t="inlineStr">
        <is>
          <t>https://www.alanranger.com/photography-gift-vouchers</t>
        </is>
      </c>
    </row>
    <row r="584" ht="13.5" customHeight="1" s="1232">
      <c r="A584" s="1348" t="n">
        <v>45789</v>
      </c>
      <c r="B584" s="1349" t="inlineStr">
        <is>
          <t>BALA POLINENI</t>
        </is>
      </c>
      <c r="C584" s="1350" t="inlineStr">
        <is>
          <t>1. Courses/masterclasses</t>
        </is>
      </c>
      <c r="D584" s="1349" t="inlineStr">
        <is>
          <t>Bank</t>
        </is>
      </c>
      <c r="E584" s="1351" t="n">
        <v>150</v>
      </c>
      <c r="F584" s="1349" t="inlineStr">
        <is>
          <t>Camera Courses For Beginners</t>
        </is>
      </c>
      <c r="G584" s="1349" t="inlineStr">
        <is>
          <t>JLR</t>
        </is>
      </c>
      <c r="I584" t="inlineStr">
        <is>
          <t>Beginners Photography Course | 3 Weekly Evening Classes</t>
        </is>
      </c>
      <c r="J584" t="inlineStr">
        <is>
          <t>https://www.alanranger.com/beginners-photography-classes</t>
        </is>
      </c>
    </row>
    <row r="585" ht="13.5" customHeight="1" s="1232">
      <c r="A585" s="1348" t="n">
        <v>45789</v>
      </c>
      <c r="B585" s="1349" t="inlineStr">
        <is>
          <t>Victor Alagbe</t>
        </is>
      </c>
      <c r="C585" s="1350" t="inlineStr">
        <is>
          <t>1. Courses/masterclasses</t>
        </is>
      </c>
      <c r="D585" s="1349" t="inlineStr">
        <is>
          <t>Bank</t>
        </is>
      </c>
      <c r="E585" s="1351" t="n">
        <v>150</v>
      </c>
      <c r="F585" s="1349" t="inlineStr">
        <is>
          <t>Camera Courses For Beginners</t>
        </is>
      </c>
      <c r="G585" s="1349" t="inlineStr">
        <is>
          <t>JLR</t>
        </is>
      </c>
      <c r="I585" t="inlineStr">
        <is>
          <t>Beginners Photography Course | 3 Weekly Evening Classes</t>
        </is>
      </c>
      <c r="J585" t="inlineStr">
        <is>
          <t>https://www.alanranger.com/beginners-photography-classes</t>
        </is>
      </c>
    </row>
    <row r="586" ht="13.5" customHeight="1" s="1232">
      <c r="A586" s="1348" t="n">
        <v>45789</v>
      </c>
      <c r="B586" s="1349" t="inlineStr">
        <is>
          <t>Francesco De Bellis</t>
        </is>
      </c>
      <c r="C586" s="1350" t="inlineStr">
        <is>
          <t>1. Courses/masterclasses</t>
        </is>
      </c>
      <c r="D586" s="1349" t="inlineStr">
        <is>
          <t>Bank</t>
        </is>
      </c>
      <c r="E586" s="1351" t="n">
        <v>150</v>
      </c>
      <c r="F586" s="1349" t="inlineStr">
        <is>
          <t>Camera Courses For Beginners</t>
        </is>
      </c>
      <c r="G586" s="1349" t="inlineStr">
        <is>
          <t>JLR</t>
        </is>
      </c>
      <c r="I586" t="inlineStr">
        <is>
          <t>Beginners Photography Course | 3 Weekly Evening Classes</t>
        </is>
      </c>
      <c r="J586" t="inlineStr">
        <is>
          <t>https://www.alanranger.com/beginners-photography-classes</t>
        </is>
      </c>
    </row>
    <row r="587" ht="13.5" customHeight="1" s="1232">
      <c r="A587" s="1348" t="n">
        <v>45789</v>
      </c>
      <c r="B587" s="1349" t="inlineStr">
        <is>
          <t>Richard Parr</t>
        </is>
      </c>
      <c r="C587" s="1350" t="inlineStr">
        <is>
          <t>7. 1-2-1</t>
        </is>
      </c>
      <c r="D587" s="1349" t="inlineStr">
        <is>
          <t>Bank</t>
        </is>
      </c>
      <c r="E587" s="1351" t="n">
        <v>60</v>
      </c>
      <c r="F587" s="1349" t="inlineStr">
        <is>
          <t>Photography Lessons - Private 1-2-1 (1HR)</t>
        </is>
      </c>
      <c r="G587" s="1349" t="inlineStr">
        <is>
          <t>JLR</t>
        </is>
      </c>
      <c r="I587" t="inlineStr">
        <is>
          <t>1-2-1 Single Session - 1hr (Face-to-Face)</t>
        </is>
      </c>
      <c r="J587" t="inlineStr">
        <is>
          <t>https://www.alanranger.com/private-photography-lessons</t>
        </is>
      </c>
    </row>
    <row r="588" ht="13.5" customHeight="1" s="1232">
      <c r="A588" s="1348" t="n">
        <v>45789</v>
      </c>
      <c r="B588" s="1349" t="inlineStr">
        <is>
          <t>Victoria Frankland</t>
        </is>
      </c>
      <c r="C588" s="1350" t="inlineStr">
        <is>
          <t>2. Workshops Non Residential</t>
        </is>
      </c>
      <c r="D588" s="1349" t="inlineStr">
        <is>
          <t>Bank</t>
        </is>
      </c>
      <c r="E588" s="1351" t="n">
        <v>50</v>
      </c>
      <c r="F588" s="1349" t="inlineStr">
        <is>
          <t>Abstract and Macro Photography Workshop Warwickshire</t>
        </is>
      </c>
      <c r="G588" s="1349" t="inlineStr">
        <is>
          <t>JLR</t>
        </is>
      </c>
      <c r="I588" t="inlineStr">
        <is>
          <t>MACRO Photography Workshops Warwickshire - Various</t>
        </is>
      </c>
      <c r="J588" t="inlineStr">
        <is>
          <t>https://www.alanranger.com/landscape-photography-workshops</t>
        </is>
      </c>
    </row>
    <row r="589" ht="13.5" customHeight="1" s="1232">
      <c r="A589" s="1348" t="n">
        <v>45781</v>
      </c>
      <c r="B589" s="1349" t="inlineStr">
        <is>
          <t>James Spraggett</t>
        </is>
      </c>
      <c r="C589" s="1350" t="inlineStr">
        <is>
          <t>8. Gift Vouchers Inc</t>
        </is>
      </c>
      <c r="D589" s="1349" t="inlineStr">
        <is>
          <t>Stripe</t>
        </is>
      </c>
      <c r="E589" s="1351" t="n">
        <v>75</v>
      </c>
      <c r="F589" s="1349" t="inlineStr">
        <is>
          <t>Digital Gift Card</t>
        </is>
      </c>
      <c r="G589" s="1349" t="inlineStr">
        <is>
          <t>Google</t>
        </is>
      </c>
      <c r="I589" t="inlineStr">
        <is>
          <t>Gift Voucher - Digital eCard</t>
        </is>
      </c>
      <c r="J589" t="inlineStr">
        <is>
          <t>https://www.alanranger.com/photography-gift-vouchers</t>
        </is>
      </c>
    </row>
    <row r="590" ht="13.5" customHeight="1" s="1232">
      <c r="A590" s="1348" t="n">
        <v>45783</v>
      </c>
      <c r="B590" s="1349" t="inlineStr">
        <is>
          <t>Christopher Dunn</t>
        </is>
      </c>
      <c r="C590" s="1350" t="inlineStr">
        <is>
          <t>2. Workshops Non Residential</t>
        </is>
      </c>
      <c r="D590" s="1349" t="inlineStr">
        <is>
          <t>Stripe</t>
        </is>
      </c>
      <c r="E590" s="1351" t="n">
        <v>149</v>
      </c>
      <c r="F590" s="1349" t="inlineStr">
        <is>
          <t>Batsford &amp; Chesterton</t>
        </is>
      </c>
      <c r="G590" s="1349" t="inlineStr">
        <is>
          <t>Existing</t>
        </is>
      </c>
      <c r="I590" t="inlineStr">
        <is>
          <t>BATSFORD Arboretum Autumn Photography Workshops 23 - 31 Oct</t>
        </is>
      </c>
      <c r="J590" t="inlineStr">
        <is>
          <t>https://www.alanranger.com/one-day-landscape-photography-workshops</t>
        </is>
      </c>
    </row>
    <row r="591" ht="13.5" customHeight="1" s="1232">
      <c r="A591" s="1348" t="n">
        <v>45783</v>
      </c>
      <c r="B591" s="1349" t="inlineStr">
        <is>
          <t>Nicoleta Dinu</t>
        </is>
      </c>
      <c r="C591" s="1350" t="inlineStr">
        <is>
          <t>6. Mentoring</t>
        </is>
      </c>
      <c r="D591" s="1349" t="inlineStr">
        <is>
          <t>Bank</t>
        </is>
      </c>
      <c r="E591" s="1351" t="n">
        <v>150</v>
      </c>
      <c r="F591" s="1349" t="inlineStr">
        <is>
          <t>Mentoring RPS</t>
        </is>
      </c>
      <c r="G591" s="1349" t="inlineStr">
        <is>
          <t>JLR</t>
        </is>
      </c>
      <c r="I591" t="inlineStr">
        <is>
          <t>RPS Mentoring Course (historical)</t>
        </is>
      </c>
      <c r="J591" t="inlineStr">
        <is>
          <t>https://www.alanranger.com/rps-courses-mentoring-distinctions</t>
        </is>
      </c>
    </row>
    <row r="592" ht="13.5" customHeight="1" s="1232">
      <c r="A592" s="1348" t="n">
        <v>45783</v>
      </c>
      <c r="B592" s="1349" t="inlineStr">
        <is>
          <t>Ian Burns</t>
        </is>
      </c>
      <c r="C592" s="1350" t="inlineStr">
        <is>
          <t>7. 1-2-1</t>
        </is>
      </c>
      <c r="D592" s="1349" t="inlineStr">
        <is>
          <t>Bank</t>
        </is>
      </c>
      <c r="E592" s="1351" t="n">
        <v>50</v>
      </c>
      <c r="F592" s="1352" t="inlineStr">
        <is>
          <t>1-2-1</t>
        </is>
      </c>
      <c r="G592" s="1349" t="inlineStr">
        <is>
          <t>JLR</t>
        </is>
      </c>
      <c r="I592" t="inlineStr">
        <is>
          <t>1-2-1 Single Session - 1hr (Face-to-Face)</t>
        </is>
      </c>
      <c r="J592" t="inlineStr">
        <is>
          <t>https://www.alanranger.com/private-photography-lessons</t>
        </is>
      </c>
    </row>
    <row r="593" ht="13.5" customHeight="1" s="1232">
      <c r="A593" s="1348" t="n">
        <v>45783</v>
      </c>
      <c r="B593" s="1349" t="inlineStr">
        <is>
          <t>Holly Pownall</t>
        </is>
      </c>
      <c r="C593" s="1350" t="inlineStr">
        <is>
          <t>2. Workshops Non Residential</t>
        </is>
      </c>
      <c r="D593" s="1349" t="inlineStr">
        <is>
          <t>Bank</t>
        </is>
      </c>
      <c r="E593" s="1351" t="n">
        <v>12</v>
      </c>
      <c r="F593" s="1349" t="inlineStr">
        <is>
          <t>Woodland Walk</t>
        </is>
      </c>
      <c r="G593" s="1349" t="inlineStr">
        <is>
          <t>JLR</t>
        </is>
      </c>
      <c r="I593" t="inlineStr">
        <is>
          <t>Woodland Photography Walk - Warwickshire (half-day low-cost)</t>
        </is>
      </c>
      <c r="J593" t="inlineStr">
        <is>
          <t>https://www.alanranger.com/landscape-photography-workshops</t>
        </is>
      </c>
    </row>
    <row r="594" ht="13.5" customHeight="1" s="1232">
      <c r="A594" s="1348" t="n">
        <v>45783</v>
      </c>
      <c r="B594" s="1349" t="inlineStr">
        <is>
          <t>Mya Sharda</t>
        </is>
      </c>
      <c r="C594" s="1350" t="inlineStr">
        <is>
          <t>2. Workshops Non Residential</t>
        </is>
      </c>
      <c r="D594" s="1349" t="inlineStr">
        <is>
          <t>Bank</t>
        </is>
      </c>
      <c r="E594" s="1351" t="n">
        <v>12</v>
      </c>
      <c r="F594" s="1349" t="inlineStr">
        <is>
          <t>Woodland Walk</t>
        </is>
      </c>
      <c r="G594" s="1349" t="inlineStr">
        <is>
          <t>JLR</t>
        </is>
      </c>
      <c r="I594" t="inlineStr">
        <is>
          <t>Woodland Photography Walk - Warwickshire (half-day low-cost)</t>
        </is>
      </c>
      <c r="J594" t="inlineStr">
        <is>
          <t>https://www.alanranger.com/landscape-photography-workshops</t>
        </is>
      </c>
    </row>
    <row r="595" ht="13.5" customHeight="1" s="1232">
      <c r="A595" s="1348" t="n">
        <v>45778</v>
      </c>
      <c r="B595" s="1349" t="inlineStr">
        <is>
          <t>Myra Little</t>
        </is>
      </c>
      <c r="C595" s="1350" t="inlineStr">
        <is>
          <t>7. 1-2-1</t>
        </is>
      </c>
      <c r="D595" s="1349" t="inlineStr">
        <is>
          <t>Stripe</t>
        </is>
      </c>
      <c r="E595" s="1351" t="n">
        <v>300</v>
      </c>
      <c r="F595" s="1349" t="inlineStr">
        <is>
          <t>Zoom Package</t>
        </is>
      </c>
      <c r="G595" s="1349" t="inlineStr">
        <is>
          <t>Existing</t>
        </is>
      </c>
      <c r="I595" t="inlineStr">
        <is>
          <t>1-2-1 Package - Zoom Multi-Session</t>
        </is>
      </c>
      <c r="J595" t="inlineStr">
        <is>
          <t>https://www.alanranger.com/photography-lessons-online-121</t>
        </is>
      </c>
    </row>
    <row r="596" ht="13.5" customHeight="1" s="1232">
      <c r="A596" s="1348" t="n">
        <v>45778</v>
      </c>
      <c r="B596" s="1349" t="inlineStr">
        <is>
          <t>Jayne Moye</t>
        </is>
      </c>
      <c r="C596" s="1350" t="inlineStr">
        <is>
          <t>8. Gift Vouchers Inc</t>
        </is>
      </c>
      <c r="D596" s="1349" t="inlineStr">
        <is>
          <t>Stripe</t>
        </is>
      </c>
      <c r="E596" s="1351" t="n">
        <v>50</v>
      </c>
      <c r="F596" s="1349" t="inlineStr">
        <is>
          <t>Digital Gift Card</t>
        </is>
      </c>
      <c r="G596" s="1349" t="inlineStr">
        <is>
          <t>Google</t>
        </is>
      </c>
      <c r="I596" t="inlineStr">
        <is>
          <t>Gift Voucher - Digital eCard</t>
        </is>
      </c>
      <c r="J596" t="inlineStr">
        <is>
          <t>https://www.alanranger.com/photography-gift-vouchers</t>
        </is>
      </c>
    </row>
    <row r="597" ht="13.5" customHeight="1" s="1232">
      <c r="A597" s="1348" t="n">
        <v>45778</v>
      </c>
      <c r="B597" s="1349" t="inlineStr">
        <is>
          <t>Mentoring Subs</t>
        </is>
      </c>
      <c r="C597" s="1350" t="inlineStr">
        <is>
          <t>6. Mentoring</t>
        </is>
      </c>
      <c r="D597" s="1349" t="inlineStr">
        <is>
          <t>Stripe</t>
        </is>
      </c>
      <c r="E597" s="1351" t="n">
        <v>50</v>
      </c>
      <c r="F597" s="1349" t="inlineStr">
        <is>
          <t>Mentoring Subs</t>
        </is>
      </c>
      <c r="G597" s="1349" t="inlineStr">
        <is>
          <t>Existing</t>
        </is>
      </c>
      <c r="I597" t="inlineStr">
        <is>
          <t>Mentoring - Monthly Subscription</t>
        </is>
      </c>
      <c r="J597" t="inlineStr">
        <is>
          <t>https://www.alanranger.com/photography-mentoring-online-assignments</t>
        </is>
      </c>
    </row>
    <row r="598" ht="13.5" customHeight="1" s="1232">
      <c r="A598" s="1348" t="n">
        <v>45771</v>
      </c>
      <c r="B598" s="1349" t="inlineStr">
        <is>
          <t>Nigel Proctor</t>
        </is>
      </c>
      <c r="C598" s="1350" t="inlineStr">
        <is>
          <t>7. 1-2-1</t>
        </is>
      </c>
      <c r="D598" s="1349" t="inlineStr">
        <is>
          <t>Stripe</t>
        </is>
      </c>
      <c r="E598" s="1351" t="n">
        <v>50</v>
      </c>
      <c r="F598" s="1349" t="inlineStr">
        <is>
          <t>Zoom 1hr</t>
        </is>
      </c>
      <c r="G598" s="1349" t="inlineStr">
        <is>
          <t>Existing</t>
        </is>
      </c>
      <c r="I598" t="inlineStr">
        <is>
          <t>1-2-1 Single Session - 1hr Zoom</t>
        </is>
      </c>
      <c r="J598" t="inlineStr">
        <is>
          <t>https://www.alanranger.com/photography-lessons-online-121</t>
        </is>
      </c>
    </row>
    <row r="599" ht="13.5" customHeight="1" s="1232">
      <c r="A599" s="1348" t="n">
        <v>45771</v>
      </c>
      <c r="B599" s="1349" t="inlineStr">
        <is>
          <t>Andrew Brady</t>
        </is>
      </c>
      <c r="C599" s="1350" t="inlineStr">
        <is>
          <t>2. Workshops Non Residential</t>
        </is>
      </c>
      <c r="D599" s="1349" t="inlineStr">
        <is>
          <t>Bank</t>
        </is>
      </c>
      <c r="E599" s="1351" t="n">
        <v>95</v>
      </c>
      <c r="F599" s="1349" t="inlineStr">
        <is>
          <t>Fairy Glen</t>
        </is>
      </c>
      <c r="G599" s="1349" t="inlineStr">
        <is>
          <t>JLR</t>
        </is>
      </c>
      <c r="I599" t="inlineStr">
        <is>
          <t>FAIRY GLEN and Fairy Falls Long Exposure Photography</t>
        </is>
      </c>
      <c r="J599" t="inlineStr">
        <is>
          <t>https://www.alanranger.com/landscape-photography-workshops</t>
        </is>
      </c>
    </row>
    <row r="600" ht="13.5" customHeight="1" s="1232">
      <c r="A600" s="1348" t="n">
        <v>45771</v>
      </c>
      <c r="B600" s="1349" t="inlineStr">
        <is>
          <t>Shilpa Dhanapal</t>
        </is>
      </c>
      <c r="C600" s="1350" t="inlineStr">
        <is>
          <t>2. Workshops Non Residential</t>
        </is>
      </c>
      <c r="D600" s="1349" t="inlineStr">
        <is>
          <t>Bank</t>
        </is>
      </c>
      <c r="E600" s="1351" t="n">
        <v>95</v>
      </c>
      <c r="F600" s="1349" t="inlineStr">
        <is>
          <t>Fairy Glen</t>
        </is>
      </c>
      <c r="G600" s="1349" t="inlineStr">
        <is>
          <t>JLR</t>
        </is>
      </c>
      <c r="I600" t="inlineStr">
        <is>
          <t>FAIRY GLEN and Fairy Falls Long Exposure Photography</t>
        </is>
      </c>
      <c r="J600" t="inlineStr">
        <is>
          <t>https://www.alanranger.com/landscape-photography-workshops</t>
        </is>
      </c>
    </row>
    <row r="601" ht="13.5" customHeight="1" s="1232">
      <c r="A601" s="1348" t="n">
        <v>45771</v>
      </c>
      <c r="B601" s="1349" t="inlineStr">
        <is>
          <t>Bob Prew</t>
        </is>
      </c>
      <c r="C601" s="1350" t="inlineStr">
        <is>
          <t>2. Workshops Non Residential</t>
        </is>
      </c>
      <c r="D601" s="1349" t="inlineStr">
        <is>
          <t>Bank</t>
        </is>
      </c>
      <c r="E601" s="1351" t="n">
        <v>95</v>
      </c>
      <c r="F601" s="1349" t="inlineStr">
        <is>
          <t>Fairy Glen</t>
        </is>
      </c>
      <c r="G601" s="1349" t="inlineStr">
        <is>
          <t>JLR</t>
        </is>
      </c>
      <c r="I601" t="inlineStr">
        <is>
          <t>FAIRY GLEN and Fairy Falls Long Exposure Photography</t>
        </is>
      </c>
      <c r="J601" t="inlineStr">
        <is>
          <t>https://www.alanranger.com/landscape-photography-workshops</t>
        </is>
      </c>
    </row>
    <row r="602" ht="13.5" customHeight="1" s="1232">
      <c r="A602" s="1348" t="n">
        <v>45764</v>
      </c>
      <c r="B602" s="1349" t="inlineStr">
        <is>
          <t>Phil Page</t>
        </is>
      </c>
      <c r="C602" s="1350" t="inlineStr">
        <is>
          <t>2. Workshops Non Residential</t>
        </is>
      </c>
      <c r="D602" s="1349" t="inlineStr">
        <is>
          <t>Bank</t>
        </is>
      </c>
      <c r="E602" s="1351" t="n">
        <v>50</v>
      </c>
      <c r="F602" s="1349" t="inlineStr">
        <is>
          <t>Urban Coventry</t>
        </is>
      </c>
      <c r="G602" s="1349" t="inlineStr">
        <is>
          <t>JLR</t>
        </is>
      </c>
      <c r="I602" t="inlineStr">
        <is>
          <t>URBAN ARCHITECTURE Photography Workshops - Coventry 9 Sep</t>
        </is>
      </c>
      <c r="J602" t="inlineStr">
        <is>
          <t>https://www.alanranger.com/landscape-photography-workshops</t>
        </is>
      </c>
    </row>
    <row r="603" ht="13.5" customHeight="1" s="1232">
      <c r="A603" s="1348" t="n">
        <v>45764</v>
      </c>
      <c r="B603" s="1349" t="inlineStr">
        <is>
          <t>Artemiy Brukhno</t>
        </is>
      </c>
      <c r="C603" s="1350" t="inlineStr">
        <is>
          <t>2. Workshops Non Residential</t>
        </is>
      </c>
      <c r="D603" s="1349" t="inlineStr">
        <is>
          <t>Bank</t>
        </is>
      </c>
      <c r="E603" s="1351" t="n">
        <v>50</v>
      </c>
      <c r="F603" s="1349" t="inlineStr">
        <is>
          <t>Urban Coventry</t>
        </is>
      </c>
      <c r="G603" s="1349" t="inlineStr">
        <is>
          <t>JLR</t>
        </is>
      </c>
      <c r="I603" t="inlineStr">
        <is>
          <t>URBAN ARCHITECTURE Photography Workshops - Coventry 9 Sep</t>
        </is>
      </c>
      <c r="J603" t="inlineStr">
        <is>
          <t>https://www.alanranger.com/landscape-photography-workshops</t>
        </is>
      </c>
    </row>
    <row r="604" ht="13.5" customHeight="1" s="1232">
      <c r="A604" s="1348" t="n">
        <v>45764</v>
      </c>
      <c r="B604" s="1349" t="inlineStr">
        <is>
          <t>Raamakrishnan Narayanan Sankaranarayanan</t>
        </is>
      </c>
      <c r="C604" s="1350" t="inlineStr">
        <is>
          <t>2. Workshops Non Residential</t>
        </is>
      </c>
      <c r="D604" s="1349" t="inlineStr">
        <is>
          <t>Bank</t>
        </is>
      </c>
      <c r="E604" s="1351" t="n">
        <v>50</v>
      </c>
      <c r="F604" s="1349" t="inlineStr">
        <is>
          <t>Urban Coventry</t>
        </is>
      </c>
      <c r="G604" s="1349" t="inlineStr">
        <is>
          <t>JLR</t>
        </is>
      </c>
      <c r="I604" t="inlineStr">
        <is>
          <t>URBAN ARCHITECTURE Photography Workshops - Coventry 9 Sep</t>
        </is>
      </c>
      <c r="J604" t="inlineStr">
        <is>
          <t>https://www.alanranger.com/landscape-photography-workshops</t>
        </is>
      </c>
    </row>
    <row r="605" ht="13.5" customHeight="1" s="1232">
      <c r="A605" s="1348" t="n">
        <v>45764</v>
      </c>
      <c r="B605" s="1349" t="inlineStr">
        <is>
          <t>Andrew Brady</t>
        </is>
      </c>
      <c r="C605" s="1350" t="inlineStr">
        <is>
          <t>2. Workshops Non Residential</t>
        </is>
      </c>
      <c r="D605" s="1349" t="inlineStr">
        <is>
          <t>Bank</t>
        </is>
      </c>
      <c r="E605" s="1351" t="n">
        <v>50</v>
      </c>
      <c r="F605" s="1349" t="inlineStr">
        <is>
          <t>Urban Coventry</t>
        </is>
      </c>
      <c r="G605" s="1349" t="inlineStr">
        <is>
          <t>JLR</t>
        </is>
      </c>
      <c r="I605" t="inlineStr">
        <is>
          <t>URBAN ARCHITECTURE Photography Workshops - Coventry 9 Sep</t>
        </is>
      </c>
      <c r="J605" t="inlineStr">
        <is>
          <t>https://www.alanranger.com/landscape-photography-workshops</t>
        </is>
      </c>
    </row>
    <row r="606" ht="13.5" customHeight="1" s="1232">
      <c r="A606" s="1348" t="n">
        <v>45764</v>
      </c>
      <c r="B606" s="1349" t="inlineStr">
        <is>
          <t>Siddharth Manickavasagam</t>
        </is>
      </c>
      <c r="C606" s="1350" t="inlineStr">
        <is>
          <t>2. Workshops Non Residential</t>
        </is>
      </c>
      <c r="D606" s="1349" t="inlineStr">
        <is>
          <t>Bank</t>
        </is>
      </c>
      <c r="E606" s="1351" t="n">
        <v>50</v>
      </c>
      <c r="F606" s="1349" t="inlineStr">
        <is>
          <t>Urban Coventry</t>
        </is>
      </c>
      <c r="G606" s="1349" t="inlineStr">
        <is>
          <t>JLR</t>
        </is>
      </c>
      <c r="I606" t="inlineStr">
        <is>
          <t>URBAN ARCHITECTURE Photography Workshops - Coventry 9 Sep</t>
        </is>
      </c>
      <c r="J606" t="inlineStr">
        <is>
          <t>https://www.alanranger.com/landscape-photography-workshops</t>
        </is>
      </c>
    </row>
    <row r="607" ht="13.5" customHeight="1" s="1232">
      <c r="A607" s="1348" t="n">
        <v>45763</v>
      </c>
      <c r="B607" s="1349" t="inlineStr">
        <is>
          <t>Alec Finnemore</t>
        </is>
      </c>
      <c r="C607" s="1350" t="inlineStr">
        <is>
          <t>2. Workshops Non Residential</t>
        </is>
      </c>
      <c r="D607" s="1349" t="inlineStr">
        <is>
          <t>Stripe</t>
        </is>
      </c>
      <c r="E607" s="1351" t="n">
        <v>99</v>
      </c>
      <c r="F607" s="1349" t="inlineStr">
        <is>
          <t>Bluebells</t>
        </is>
      </c>
      <c r="G607" s="1349" t="inlineStr">
        <is>
          <t>Google</t>
        </is>
      </c>
      <c r="I607" t="inlineStr">
        <is>
          <t>BLUEBELL WOODLANDS Photography - Warks - 20 Apr- 30 Apr</t>
        </is>
      </c>
      <c r="J607" t="inlineStr">
        <is>
          <t>https://www.alanranger.com/one-day-landscape-photography-workshops</t>
        </is>
      </c>
    </row>
    <row r="608" ht="13.5" customHeight="1" s="1232">
      <c r="A608" s="1348" t="n">
        <v>45762</v>
      </c>
      <c r="B608" s="1349" t="inlineStr">
        <is>
          <t>Colin Stubbs</t>
        </is>
      </c>
      <c r="C608" s="1350" t="inlineStr">
        <is>
          <t>2. Workshops Non Residential</t>
        </is>
      </c>
      <c r="D608" s="1349" t="inlineStr">
        <is>
          <t>Stripe</t>
        </is>
      </c>
      <c r="E608" s="1351" t="n">
        <v>99</v>
      </c>
      <c r="F608" s="1349" t="inlineStr">
        <is>
          <t>Bluebells</t>
        </is>
      </c>
      <c r="G608" s="1349" t="inlineStr">
        <is>
          <t>Google</t>
        </is>
      </c>
      <c r="I608" t="inlineStr">
        <is>
          <t>BLUEBELL WOODLANDS Photography - Warks - 20 Apr- 30 Apr</t>
        </is>
      </c>
      <c r="J608" t="inlineStr">
        <is>
          <t>https://www.alanranger.com/one-day-landscape-photography-workshops</t>
        </is>
      </c>
    </row>
    <row r="609" ht="13.5" customHeight="1" s="1232">
      <c r="A609" s="1348" t="n">
        <v>45761</v>
      </c>
      <c r="B609" s="1349" t="inlineStr">
        <is>
          <t>Janet Boulter</t>
        </is>
      </c>
      <c r="C609" s="1350" t="inlineStr">
        <is>
          <t>7. 1-2-1</t>
        </is>
      </c>
      <c r="D609" s="1349" t="inlineStr">
        <is>
          <t>Stripe</t>
        </is>
      </c>
      <c r="E609" s="1351" t="n">
        <v>50</v>
      </c>
      <c r="F609" s="1349" t="inlineStr">
        <is>
          <t>1hr Zoom</t>
        </is>
      </c>
      <c r="G609" s="1349" t="inlineStr">
        <is>
          <t>Existing</t>
        </is>
      </c>
      <c r="I609" t="inlineStr">
        <is>
          <t>1-2-1 Single Session - 1hr Zoom</t>
        </is>
      </c>
      <c r="J609" t="inlineStr">
        <is>
          <t>https://www.alanranger.com/photography-lessons-online-121</t>
        </is>
      </c>
    </row>
    <row r="610" ht="13.5" customHeight="1" s="1232">
      <c r="A610" s="1348" t="n">
        <v>45759</v>
      </c>
      <c r="B610" s="1349" t="inlineStr">
        <is>
          <t>Jonathan Ellis</t>
        </is>
      </c>
      <c r="C610" s="1350" t="inlineStr">
        <is>
          <t>12. Academy</t>
        </is>
      </c>
      <c r="D610" s="1349" t="inlineStr">
        <is>
          <t>Stripe</t>
        </is>
      </c>
      <c r="E610" s="1351" t="n">
        <v>25</v>
      </c>
      <c r="F610" s="1349" t="inlineStr">
        <is>
          <t>E-Book</t>
        </is>
      </c>
      <c r="G610" s="1349" t="inlineStr">
        <is>
          <t>Existing</t>
        </is>
      </c>
      <c r="I610" t="inlineStr">
        <is>
          <t>Academy - Membership / eBook / Exams (historical bundle)</t>
        </is>
      </c>
      <c r="J610" t="inlineStr">
        <is>
          <t>https://www.alanranger.com/free-online-photography-course</t>
        </is>
      </c>
    </row>
    <row r="611" ht="13.5" customHeight="1" s="1232">
      <c r="A611" s="1348" t="n">
        <v>45758</v>
      </c>
      <c r="B611" s="1349" t="inlineStr">
        <is>
          <t>Andrew Clarke</t>
        </is>
      </c>
      <c r="C611" s="1350" t="inlineStr">
        <is>
          <t>2. Workshops Non Residential</t>
        </is>
      </c>
      <c r="D611" s="1349" t="inlineStr">
        <is>
          <t>Stripe</t>
        </is>
      </c>
      <c r="E611" s="1351" t="n">
        <v>50</v>
      </c>
      <c r="F611" s="1349" t="inlineStr">
        <is>
          <t>Kenilworth</t>
        </is>
      </c>
      <c r="G611" s="1349" t="inlineStr">
        <is>
          <t>Google</t>
        </is>
      </c>
      <c r="I611" t="inlineStr">
        <is>
          <t>Long Exposure Photography Workshop KENILWORTH Sunset</t>
        </is>
      </c>
      <c r="J611" t="inlineStr">
        <is>
          <t>https://www.alanranger.com/landscape-photography-workshops</t>
        </is>
      </c>
    </row>
    <row r="612" ht="13.5" customHeight="1" s="1232">
      <c r="A612" s="1348" t="n">
        <v>45758</v>
      </c>
      <c r="B612" s="1349" t="inlineStr">
        <is>
          <t>Samuel Carter</t>
        </is>
      </c>
      <c r="C612" s="1350" t="inlineStr">
        <is>
          <t>2. Workshops Non Residential</t>
        </is>
      </c>
      <c r="D612" s="1349" t="inlineStr">
        <is>
          <t>Bank</t>
        </is>
      </c>
      <c r="E612" s="1351" t="n">
        <v>100</v>
      </c>
      <c r="F612" s="1349" t="inlineStr">
        <is>
          <t>Batsford</t>
        </is>
      </c>
      <c r="G612" s="1349" t="inlineStr">
        <is>
          <t>Into the Blue</t>
        </is>
      </c>
      <c r="I612" t="inlineStr">
        <is>
          <t>Gift Voucher - Digital eCard</t>
        </is>
      </c>
      <c r="J612" t="inlineStr">
        <is>
          <t>https://www.alanranger.com/photography-gift-vouchers</t>
        </is>
      </c>
    </row>
    <row r="613" ht="13.5" customHeight="1" s="1232">
      <c r="A613" s="1348" t="n">
        <v>45757</v>
      </c>
      <c r="B613" s="1349" t="inlineStr">
        <is>
          <t>Pat Gowdie</t>
        </is>
      </c>
      <c r="C613" s="1350" t="inlineStr">
        <is>
          <t>2. Workshops Non Residential</t>
        </is>
      </c>
      <c r="D613" s="1349" t="inlineStr">
        <is>
          <t>Stripe</t>
        </is>
      </c>
      <c r="E613" s="1351" t="n">
        <v>150</v>
      </c>
      <c r="F613" s="1349" t="inlineStr">
        <is>
          <t>Bluebells</t>
        </is>
      </c>
      <c r="G613" s="1349" t="inlineStr">
        <is>
          <t>Google</t>
        </is>
      </c>
      <c r="I613" t="inlineStr">
        <is>
          <t>BLUEBELL WOODLANDS Photography - Warks - 20 Apr- 30 Apr</t>
        </is>
      </c>
      <c r="J613" t="inlineStr">
        <is>
          <t>https://www.alanranger.com/one-day-landscape-photography-workshops</t>
        </is>
      </c>
    </row>
    <row r="614" ht="13.5" customHeight="1" s="1232">
      <c r="A614" s="1348" t="n">
        <v>45757</v>
      </c>
      <c r="B614" s="1349" t="inlineStr">
        <is>
          <t>Chelsea Anderson</t>
        </is>
      </c>
      <c r="C614" s="1350" t="inlineStr">
        <is>
          <t>1. Courses/masterclasses</t>
        </is>
      </c>
      <c r="D614" s="1349" t="inlineStr">
        <is>
          <t>Bank</t>
        </is>
      </c>
      <c r="E614" s="1351" t="n">
        <v>150</v>
      </c>
      <c r="F614" s="1349" t="inlineStr">
        <is>
          <t>Camera Course</t>
        </is>
      </c>
      <c r="G614" s="1349" t="inlineStr">
        <is>
          <t>JLR</t>
        </is>
      </c>
      <c r="I614" t="inlineStr">
        <is>
          <t>Beginners Photography Course | 3 Weekly Evening Classes</t>
        </is>
      </c>
      <c r="J614" t="inlineStr">
        <is>
          <t>https://www.alanranger.com/beginners-photography-classes</t>
        </is>
      </c>
    </row>
    <row r="615" ht="13.5" customHeight="1" s="1232">
      <c r="A615" s="1348" t="n">
        <v>45757</v>
      </c>
      <c r="B615" s="1349" t="inlineStr">
        <is>
          <t>Richard Hill</t>
        </is>
      </c>
      <c r="C615" s="1350" t="inlineStr">
        <is>
          <t>1. Courses/masterclasses</t>
        </is>
      </c>
      <c r="D615" s="1349" t="inlineStr">
        <is>
          <t>Bank</t>
        </is>
      </c>
      <c r="E615" s="1351" t="n">
        <v>150</v>
      </c>
      <c r="F615" s="1349" t="inlineStr">
        <is>
          <t>Camera Course</t>
        </is>
      </c>
      <c r="G615" s="1349" t="inlineStr">
        <is>
          <t>JLR</t>
        </is>
      </c>
      <c r="I615" t="inlineStr">
        <is>
          <t>Beginners Photography Course | 3 Weekly Evening Classes</t>
        </is>
      </c>
      <c r="J615" t="inlineStr">
        <is>
          <t>https://www.alanranger.com/beginners-photography-classes</t>
        </is>
      </c>
    </row>
    <row r="616" ht="13.5" customHeight="1" s="1232">
      <c r="A616" s="1348" t="n">
        <v>45757</v>
      </c>
      <c r="B616" s="1349" t="inlineStr">
        <is>
          <t>Cheryl Laverick</t>
        </is>
      </c>
      <c r="C616" s="1350" t="inlineStr">
        <is>
          <t>1. Courses/masterclasses</t>
        </is>
      </c>
      <c r="D616" s="1349" t="inlineStr">
        <is>
          <t>Bank</t>
        </is>
      </c>
      <c r="E616" s="1351" t="n">
        <v>150</v>
      </c>
      <c r="F616" s="1349" t="inlineStr">
        <is>
          <t>Camera Course</t>
        </is>
      </c>
      <c r="G616" s="1349" t="inlineStr">
        <is>
          <t>JLR</t>
        </is>
      </c>
      <c r="I616" t="inlineStr">
        <is>
          <t>Beginners Photography Course | 3 Weekly Evening Classes</t>
        </is>
      </c>
      <c r="J616" t="inlineStr">
        <is>
          <t>https://www.alanranger.com/beginners-photography-classes</t>
        </is>
      </c>
    </row>
    <row r="617" ht="13.5" customHeight="1" s="1232">
      <c r="A617" s="1348" t="n">
        <v>45757</v>
      </c>
      <c r="B617" s="1349" t="inlineStr">
        <is>
          <t>David Rochester</t>
        </is>
      </c>
      <c r="C617" s="1350" t="inlineStr">
        <is>
          <t>1. Courses/masterclasses</t>
        </is>
      </c>
      <c r="D617" s="1349" t="inlineStr">
        <is>
          <t>Bank</t>
        </is>
      </c>
      <c r="E617" s="1351" t="n">
        <v>150</v>
      </c>
      <c r="F617" s="1349" t="inlineStr">
        <is>
          <t>Camera Course</t>
        </is>
      </c>
      <c r="G617" s="1349" t="inlineStr">
        <is>
          <t>JLR</t>
        </is>
      </c>
      <c r="I617" t="inlineStr">
        <is>
          <t>Beginners Photography Course | 3 Weekly Evening Classes</t>
        </is>
      </c>
      <c r="J617" t="inlineStr">
        <is>
          <t>https://www.alanranger.com/beginners-photography-classes</t>
        </is>
      </c>
    </row>
    <row r="618" ht="13.5" customHeight="1" s="1232">
      <c r="A618" s="1348" t="n">
        <v>45757</v>
      </c>
      <c r="B618" s="1349" t="inlineStr">
        <is>
          <t>Jo James</t>
        </is>
      </c>
      <c r="C618" s="1350" t="inlineStr">
        <is>
          <t>7. 1-2-1</t>
        </is>
      </c>
      <c r="D618" s="1349" t="inlineStr">
        <is>
          <t>Bank</t>
        </is>
      </c>
      <c r="E618" s="1351" t="n">
        <v>50</v>
      </c>
      <c r="F618" s="1349" t="inlineStr">
        <is>
          <t>1hr</t>
        </is>
      </c>
      <c r="G618" s="1349" t="inlineStr">
        <is>
          <t>JLR</t>
        </is>
      </c>
      <c r="I618" t="inlineStr">
        <is>
          <t>1-2-1 Single Session - 1hr (Face-to-Face)</t>
        </is>
      </c>
      <c r="J618" t="inlineStr">
        <is>
          <t>https://www.alanranger.com/private-photography-lessons</t>
        </is>
      </c>
    </row>
    <row r="619" ht="13.5" customHeight="1" s="1232">
      <c r="A619" s="1348" t="n">
        <v>45757</v>
      </c>
      <c r="B619" s="1349" t="inlineStr">
        <is>
          <t>Andrew Lockwood</t>
        </is>
      </c>
      <c r="C619" s="1350" t="inlineStr">
        <is>
          <t>2. Workshops Non Residential</t>
        </is>
      </c>
      <c r="D619" s="1349" t="inlineStr">
        <is>
          <t>Bank</t>
        </is>
      </c>
      <c r="E619" s="1351" t="n">
        <v>60</v>
      </c>
      <c r="F619" s="1349" t="inlineStr">
        <is>
          <t>Macro</t>
        </is>
      </c>
      <c r="G619" s="1349" t="inlineStr">
        <is>
          <t>JLR</t>
        </is>
      </c>
      <c r="I619" t="inlineStr">
        <is>
          <t>MACRO Photography Workshops Warwickshire - Various</t>
        </is>
      </c>
      <c r="J619" t="inlineStr">
        <is>
          <t>https://www.alanranger.com/landscape-photography-workshops</t>
        </is>
      </c>
    </row>
    <row r="620" ht="13.5" customHeight="1" s="1232">
      <c r="A620" s="1348" t="n">
        <v>45755</v>
      </c>
      <c r="B620" s="1349" t="inlineStr">
        <is>
          <t>sarah owen</t>
        </is>
      </c>
      <c r="C620" s="1350" t="inlineStr">
        <is>
          <t>2. Workshops Non Residential</t>
        </is>
      </c>
      <c r="D620" s="1349" t="inlineStr">
        <is>
          <t>Gift Voucher Out</t>
        </is>
      </c>
      <c r="E620" s="1351" t="n">
        <v>50</v>
      </c>
      <c r="F620" s="1349" t="inlineStr">
        <is>
          <t>Peak District</t>
        </is>
      </c>
      <c r="G620" s="1349" t="inlineStr">
        <is>
          <t>Referral</t>
        </is>
      </c>
      <c r="I620" t="inlineStr">
        <is>
          <t>PEAK DISTRICT Photography Workshops - May, Oct and Nov</t>
        </is>
      </c>
      <c r="J620" t="inlineStr">
        <is>
          <t>https://www.alanranger.com/one-day-landscape-photography-workshops</t>
        </is>
      </c>
    </row>
    <row r="621" ht="13.5" customHeight="1" s="1232">
      <c r="A621" s="1348" t="n">
        <v>45755</v>
      </c>
      <c r="B621" s="1349" t="inlineStr">
        <is>
          <t>sarah owen</t>
        </is>
      </c>
      <c r="C621" s="1350" t="inlineStr">
        <is>
          <t>9. Gift Vouchers Out</t>
        </is>
      </c>
      <c r="D621" s="1349" t="inlineStr">
        <is>
          <t>Gift Voucher Out</t>
        </is>
      </c>
      <c r="E621" s="1351" t="n">
        <v>-50</v>
      </c>
      <c r="F621" s="1349" t="inlineStr">
        <is>
          <t>Peak District</t>
        </is>
      </c>
      <c r="G621" s="1349" t="inlineStr">
        <is>
          <t>Referral</t>
        </is>
      </c>
      <c r="I621" t="inlineStr">
        <is>
          <t>Voucher/Plan Redemption - not a product sale</t>
        </is>
      </c>
      <c r="J621" t="inlineStr"/>
    </row>
    <row r="622" ht="13.5" customHeight="1" s="1232">
      <c r="A622" s="1348" t="n">
        <v>45755</v>
      </c>
      <c r="B622" s="1349" t="inlineStr">
        <is>
          <t>sarah owen</t>
        </is>
      </c>
      <c r="C622" s="1350" t="inlineStr">
        <is>
          <t>2. Workshops Non Residential</t>
        </is>
      </c>
      <c r="D622" s="1349" t="inlineStr">
        <is>
          <t>PayPal</t>
        </is>
      </c>
      <c r="E622" s="1351" t="n">
        <v>50</v>
      </c>
      <c r="F622" s="1349" t="inlineStr">
        <is>
          <t>Peak District</t>
        </is>
      </c>
      <c r="G622" s="1349" t="inlineStr">
        <is>
          <t>Referral</t>
        </is>
      </c>
      <c r="I622" t="inlineStr">
        <is>
          <t>PEAK DISTRICT Photography Workshops - May, Oct and Nov</t>
        </is>
      </c>
      <c r="J622" t="inlineStr">
        <is>
          <t>https://www.alanranger.com/one-day-landscape-photography-workshops</t>
        </is>
      </c>
    </row>
    <row r="623" ht="13.5" customHeight="1" s="1232">
      <c r="A623" s="1348" t="n">
        <v>45748</v>
      </c>
      <c r="B623" s="1349" t="inlineStr">
        <is>
          <t>Mentoring Subs</t>
        </is>
      </c>
      <c r="C623" s="1350" t="inlineStr">
        <is>
          <t>6. Mentoring</t>
        </is>
      </c>
      <c r="D623" s="1349" t="inlineStr">
        <is>
          <t>Stripe</t>
        </is>
      </c>
      <c r="E623" s="1351" t="n">
        <v>50</v>
      </c>
      <c r="F623" s="1349" t="inlineStr">
        <is>
          <t>Mentoring Subs</t>
        </is>
      </c>
      <c r="G623" s="1349" t="inlineStr">
        <is>
          <t>Existing</t>
        </is>
      </c>
      <c r="I623" t="inlineStr">
        <is>
          <t>Mentoring - Monthly Subscription</t>
        </is>
      </c>
      <c r="J623" t="inlineStr">
        <is>
          <t>https://www.alanranger.com/photography-mentoring-online-assignments</t>
        </is>
      </c>
    </row>
    <row r="624" ht="13.5" customHeight="1" s="1232">
      <c r="A624" s="1348" t="n"/>
      <c r="B624" s="1349" t="n"/>
      <c r="C624" s="1350" t="n"/>
      <c r="D624" s="1349" t="n"/>
      <c r="E624" s="1351" t="n"/>
      <c r="F624" s="1349" t="n"/>
      <c r="G624" s="1349" t="n"/>
    </row>
    <row r="625" ht="13.5" customHeight="1" s="1232">
      <c r="A625" s="1348" t="n">
        <v>45746</v>
      </c>
      <c r="B625" s="1349" t="inlineStr">
        <is>
          <t>BARBARA BETT</t>
        </is>
      </c>
      <c r="C625" s="1350" t="inlineStr">
        <is>
          <t>7. 1-2-1</t>
        </is>
      </c>
      <c r="D625" s="1349" t="inlineStr">
        <is>
          <t>PayPal</t>
        </is>
      </c>
      <c r="E625" s="1351" t="n">
        <v>250</v>
      </c>
      <c r="F625" s="1349" t="inlineStr">
        <is>
          <t>Warwickshire</t>
        </is>
      </c>
      <c r="G625" s="1349" t="inlineStr">
        <is>
          <t>Google</t>
        </is>
      </c>
      <c r="I625" t="inlineStr">
        <is>
          <t>1-2-1 Single Session - 2hr (Face-to-Face)</t>
        </is>
      </c>
      <c r="J625" t="inlineStr">
        <is>
          <t>https://www.alanranger.com/private-photography-lessons</t>
        </is>
      </c>
    </row>
    <row r="626" ht="13.5" customHeight="1" s="1232">
      <c r="A626" s="1348" t="n">
        <v>45745</v>
      </c>
      <c r="B626" s="1349" t="inlineStr">
        <is>
          <t>Gillian Taylor</t>
        </is>
      </c>
      <c r="C626" s="1350" t="inlineStr">
        <is>
          <t>2. Workshops Non Residential</t>
        </is>
      </c>
      <c r="D626" s="1349" t="inlineStr">
        <is>
          <t>Stripe</t>
        </is>
      </c>
      <c r="E626" s="1351" t="n">
        <v>50</v>
      </c>
      <c r="F626" s="1349" t="inlineStr">
        <is>
          <t>Padley</t>
        </is>
      </c>
      <c r="G626" s="1349" t="inlineStr">
        <is>
          <t>Referral</t>
        </is>
      </c>
      <c r="I626" t="inlineStr">
        <is>
          <t>PEAK DISTRICT Photography Workshops - May, Oct and Nov</t>
        </is>
      </c>
      <c r="J626" t="inlineStr">
        <is>
          <t>https://www.alanranger.com/one-day-landscape-photography-workshops</t>
        </is>
      </c>
    </row>
    <row r="627" ht="13.5" customHeight="1" s="1232">
      <c r="A627" s="1348" t="n">
        <v>45745</v>
      </c>
      <c r="B627" s="1349" t="inlineStr">
        <is>
          <t>Gillian Taylor</t>
        </is>
      </c>
      <c r="C627" s="1350" t="inlineStr">
        <is>
          <t>9. Gift Vouchers Out</t>
        </is>
      </c>
      <c r="D627" s="1349" t="inlineStr">
        <is>
          <t>Gift Voucher Out</t>
        </is>
      </c>
      <c r="E627" s="1351" t="n">
        <v>-100</v>
      </c>
      <c r="F627" s="1349" t="inlineStr">
        <is>
          <t>Padley</t>
        </is>
      </c>
      <c r="G627" s="1349" t="inlineStr">
        <is>
          <t>Referral</t>
        </is>
      </c>
      <c r="I627" t="inlineStr">
        <is>
          <t>Voucher/Plan Redemption - not a product sale</t>
        </is>
      </c>
      <c r="J627" t="inlineStr"/>
    </row>
    <row r="628" ht="13.5" customHeight="1" s="1232">
      <c r="A628" s="1348" t="n">
        <v>45745</v>
      </c>
      <c r="B628" s="1349" t="inlineStr">
        <is>
          <t>Gillian Taylor</t>
        </is>
      </c>
      <c r="C628" s="1350" t="inlineStr">
        <is>
          <t>2. Workshops Non Residential</t>
        </is>
      </c>
      <c r="D628" s="1349" t="inlineStr">
        <is>
          <t>Gift Voucher Out</t>
        </is>
      </c>
      <c r="E628" s="1351" t="n">
        <v>100</v>
      </c>
      <c r="F628" s="1349" t="inlineStr">
        <is>
          <t>Padley</t>
        </is>
      </c>
      <c r="G628" s="1349" t="inlineStr">
        <is>
          <t>Referral</t>
        </is>
      </c>
      <c r="I628" t="inlineStr">
        <is>
          <t>PEAK DISTRICT Photography Workshops - May, Oct and Nov</t>
        </is>
      </c>
      <c r="J628" t="inlineStr">
        <is>
          <t>https://www.alanranger.com/one-day-landscape-photography-workshops</t>
        </is>
      </c>
    </row>
    <row r="629" ht="13.5" customHeight="1" s="1232">
      <c r="A629" s="1348" t="n">
        <v>45744</v>
      </c>
      <c r="B629" s="1349" t="inlineStr">
        <is>
          <t>Dawn Towers</t>
        </is>
      </c>
      <c r="C629" s="1350" t="inlineStr">
        <is>
          <t>2. Workshops Non Residential</t>
        </is>
      </c>
      <c r="D629" s="1349" t="inlineStr">
        <is>
          <t>Bank</t>
        </is>
      </c>
      <c r="E629" s="1351" t="n">
        <v>100</v>
      </c>
      <c r="F629" s="1349" t="inlineStr">
        <is>
          <t>Bluebells</t>
        </is>
      </c>
      <c r="G629" s="1349" t="inlineStr">
        <is>
          <t>Into the Blue</t>
        </is>
      </c>
      <c r="I629" t="inlineStr">
        <is>
          <t>BLUEBELL WOODLANDS Photography - Warks - 20 Apr- 30 Apr</t>
        </is>
      </c>
      <c r="J629" t="inlineStr">
        <is>
          <t>https://www.alanranger.com/one-day-landscape-photography-workshops</t>
        </is>
      </c>
    </row>
    <row r="630" ht="13.5" customHeight="1" s="1232">
      <c r="A630" s="1348" t="n">
        <v>45744</v>
      </c>
      <c r="B630" s="1349" t="inlineStr">
        <is>
          <t>Geraint Williams</t>
        </is>
      </c>
      <c r="C630" s="1350" t="inlineStr">
        <is>
          <t>2. Workshops Non Residential</t>
        </is>
      </c>
      <c r="D630" s="1349" t="inlineStr">
        <is>
          <t>Bank</t>
        </is>
      </c>
      <c r="E630" s="1351" t="n">
        <v>140</v>
      </c>
      <c r="F630" s="1349" t="inlineStr">
        <is>
          <t>Bluebells</t>
        </is>
      </c>
      <c r="G630" s="1349" t="inlineStr">
        <is>
          <t>Into the Blue</t>
        </is>
      </c>
      <c r="I630" t="inlineStr">
        <is>
          <t>BLUEBELL WOODLANDS Photography - Warks - 20 Apr- 30 Apr</t>
        </is>
      </c>
      <c r="J630" t="inlineStr">
        <is>
          <t>https://www.alanranger.com/one-day-landscape-photography-workshops</t>
        </is>
      </c>
    </row>
    <row r="631" ht="13.5" customHeight="1" s="1232">
      <c r="A631" s="1348" t="n">
        <v>45739</v>
      </c>
      <c r="B631" s="1349" t="inlineStr">
        <is>
          <t>peter rubin</t>
        </is>
      </c>
      <c r="C631" s="1350" t="inlineStr">
        <is>
          <t>2. Workshops Non Residential</t>
        </is>
      </c>
      <c r="D631" s="1349" t="inlineStr">
        <is>
          <t>Stripe</t>
        </is>
      </c>
      <c r="E631" s="1351" t="n">
        <v>99</v>
      </c>
      <c r="F631" s="1349" t="inlineStr">
        <is>
          <t>Bluebells</t>
        </is>
      </c>
      <c r="G631" s="1349" t="inlineStr">
        <is>
          <t>Google</t>
        </is>
      </c>
      <c r="I631" t="inlineStr">
        <is>
          <t>BLUEBELL WOODLANDS Photography - Warks - 20 Apr- 30 Apr</t>
        </is>
      </c>
      <c r="J631" t="inlineStr">
        <is>
          <t>https://www.alanranger.com/one-day-landscape-photography-workshops</t>
        </is>
      </c>
    </row>
    <row r="632" ht="13.5" customHeight="1" s="1232">
      <c r="A632" s="1348" t="n">
        <v>45736</v>
      </c>
      <c r="B632" s="1349" t="inlineStr">
        <is>
          <t>Elizabeth Lewis</t>
        </is>
      </c>
      <c r="C632" s="1350" t="inlineStr">
        <is>
          <t>2. Workshops Non Residential</t>
        </is>
      </c>
      <c r="D632" s="1349" t="inlineStr">
        <is>
          <t>PayPal</t>
        </is>
      </c>
      <c r="E632" s="1351" t="n">
        <v>99</v>
      </c>
      <c r="F632" s="1349" t="inlineStr">
        <is>
          <t>Bluebells</t>
        </is>
      </c>
      <c r="G632" s="1349" t="inlineStr">
        <is>
          <t>Google</t>
        </is>
      </c>
      <c r="I632" t="inlineStr">
        <is>
          <t>BLUEBELL WOODLANDS Photography - Warks - 20 Apr- 30 Apr</t>
        </is>
      </c>
      <c r="J632" t="inlineStr">
        <is>
          <t>https://www.alanranger.com/one-day-landscape-photography-workshops</t>
        </is>
      </c>
    </row>
    <row r="633" ht="13.5" customHeight="1" s="1232">
      <c r="A633" s="1348" t="n">
        <v>45735</v>
      </c>
      <c r="B633" s="1349" t="inlineStr">
        <is>
          <t>Cheryl Laverick</t>
        </is>
      </c>
      <c r="C633" s="1350" t="inlineStr">
        <is>
          <t>2. Workshops Non Residential</t>
        </is>
      </c>
      <c r="D633" s="1349" t="inlineStr">
        <is>
          <t>Stripe</t>
        </is>
      </c>
      <c r="E633" s="1351" t="n">
        <v>125</v>
      </c>
      <c r="F633" s="1349" t="inlineStr">
        <is>
          <t>Woodland Masterclass</t>
        </is>
      </c>
      <c r="G633" s="1349" t="inlineStr">
        <is>
          <t>Existing</t>
        </is>
      </c>
      <c r="I633" t="inlineStr">
        <is>
          <t>The Secret of WOODLAND PHOTOGRAPHY- 1-Day Jan, Apr, Aug, Oct</t>
        </is>
      </c>
      <c r="J633" t="inlineStr">
        <is>
          <t>https://www.alanranger.com/one-day-landscape-photography-workshops</t>
        </is>
      </c>
    </row>
    <row r="634" ht="13.5" customHeight="1" s="1232">
      <c r="A634" s="1348" t="n">
        <v>45722</v>
      </c>
      <c r="B634" s="1349" t="inlineStr">
        <is>
          <t>The Heart of a Garden</t>
        </is>
      </c>
      <c r="C634" s="1350" t="inlineStr">
        <is>
          <t>10. Prints &amp; Royalties</t>
        </is>
      </c>
      <c r="D634" s="1349" t="inlineStr">
        <is>
          <t>Bank</t>
        </is>
      </c>
      <c r="E634" s="1351" t="n">
        <v>80.83</v>
      </c>
      <c r="F634" s="1349" t="inlineStr">
        <is>
          <t>Prints</t>
        </is>
      </c>
      <c r="G634" s="1349" t="inlineStr">
        <is>
          <t>Existing</t>
        </is>
      </c>
      <c r="I634" t="inlineStr">
        <is>
          <t>Print Sale - Generic (historical)</t>
        </is>
      </c>
      <c r="J634" t="inlineStr">
        <is>
          <t>https://www.alanranger.com/fine-art-prints</t>
        </is>
      </c>
    </row>
    <row r="635" ht="13.5" customHeight="1" s="1232">
      <c r="A635" s="1348" t="n">
        <v>45730</v>
      </c>
      <c r="B635" s="1349" t="inlineStr">
        <is>
          <t>Ruth Roach</t>
        </is>
      </c>
      <c r="C635" s="1350" t="inlineStr">
        <is>
          <t>2. Workshops Non Residential</t>
        </is>
      </c>
      <c r="D635" s="1349" t="inlineStr">
        <is>
          <t>Stripe</t>
        </is>
      </c>
      <c r="E635" s="1351" t="n">
        <v>99</v>
      </c>
      <c r="F635" s="1349" t="inlineStr">
        <is>
          <t>Bluebells</t>
        </is>
      </c>
      <c r="G635" s="1349" t="inlineStr">
        <is>
          <t>Existing</t>
        </is>
      </c>
      <c r="I635" t="inlineStr">
        <is>
          <t>BLUEBELL WOODLANDS Photography - Warks - 20 Apr- 30 Apr</t>
        </is>
      </c>
      <c r="J635" t="inlineStr">
        <is>
          <t>https://www.alanranger.com/one-day-landscape-photography-workshops</t>
        </is>
      </c>
    </row>
    <row r="636" ht="13.5" customHeight="1" s="1232">
      <c r="A636" s="1348" t="n">
        <v>45729</v>
      </c>
      <c r="B636" s="1349" t="inlineStr">
        <is>
          <t>Neil Evans</t>
        </is>
      </c>
      <c r="C636" s="1350" t="inlineStr">
        <is>
          <t>2. Workshops Non Residential</t>
        </is>
      </c>
      <c r="D636" s="1349" t="inlineStr">
        <is>
          <t>Stripe</t>
        </is>
      </c>
      <c r="E636" s="1351" t="n">
        <v>150</v>
      </c>
      <c r="F636" s="1349" t="inlineStr">
        <is>
          <t>Lavendar</t>
        </is>
      </c>
      <c r="G636" s="1349" t="inlineStr">
        <is>
          <t>Existing</t>
        </is>
      </c>
      <c r="I636" t="inlineStr">
        <is>
          <t>LAVENDER FIELD Photography Workshop - Gloucestershire July</t>
        </is>
      </c>
      <c r="J636" t="inlineStr">
        <is>
          <t>https://www.alanranger.com/landscape-photography-workshops</t>
        </is>
      </c>
    </row>
    <row r="637" ht="13.5" customHeight="1" s="1232">
      <c r="A637" s="1348" t="n">
        <v>45726</v>
      </c>
      <c r="B637" s="1349" t="inlineStr">
        <is>
          <t>neil barford</t>
        </is>
      </c>
      <c r="C637" s="1350" t="inlineStr">
        <is>
          <t>6. Mentoring</t>
        </is>
      </c>
      <c r="D637" s="1349" t="inlineStr">
        <is>
          <t>Stripe</t>
        </is>
      </c>
      <c r="E637" s="1351" t="n">
        <v>15</v>
      </c>
      <c r="F637" s="1349" t="inlineStr">
        <is>
          <t>Monthly Mentoring</t>
        </is>
      </c>
      <c r="G637" s="1349" t="inlineStr">
        <is>
          <t>Existing</t>
        </is>
      </c>
      <c r="I637" t="inlineStr">
        <is>
          <t>Mentoring - Monthly Subscription</t>
        </is>
      </c>
      <c r="J637" t="inlineStr">
        <is>
          <t>https://www.alanranger.com/photography-mentoring-online-assignments</t>
        </is>
      </c>
    </row>
    <row r="638" ht="13.5" customHeight="1" s="1232">
      <c r="A638" s="1348" t="n">
        <v>45720</v>
      </c>
      <c r="B638" s="1349" t="inlineStr">
        <is>
          <t>Iggy Losa</t>
        </is>
      </c>
      <c r="C638" s="1350" t="inlineStr">
        <is>
          <t>2. Workshops Non Residential</t>
        </is>
      </c>
      <c r="D638" s="1349" t="inlineStr">
        <is>
          <t>Stripe</t>
        </is>
      </c>
      <c r="E638" s="1351" t="n">
        <v>200</v>
      </c>
      <c r="F638" s="1349" t="inlineStr">
        <is>
          <t>Heathers</t>
        </is>
      </c>
      <c r="G638" s="1349" t="inlineStr">
        <is>
          <t>Existing</t>
        </is>
      </c>
      <c r="I638" t="inlineStr">
        <is>
          <t>PEAK DISTRICT HEATHER Photography Workshops - 15-16 Aug</t>
        </is>
      </c>
      <c r="J638" t="inlineStr">
        <is>
          <t>https://www.alanranger.com/landscape-photography-workshops</t>
        </is>
      </c>
    </row>
    <row r="639" ht="13.5" customHeight="1" s="1232">
      <c r="A639" s="1348" t="n">
        <v>45719</v>
      </c>
      <c r="B639" s="1349" t="inlineStr">
        <is>
          <t>Anne Watkinson</t>
        </is>
      </c>
      <c r="C639" s="1350" t="inlineStr">
        <is>
          <t>7. 1-2-1</t>
        </is>
      </c>
      <c r="D639" s="1349" t="inlineStr">
        <is>
          <t>Stripe</t>
        </is>
      </c>
      <c r="E639" s="1351" t="n">
        <v>65</v>
      </c>
      <c r="F639" s="1352" t="inlineStr">
        <is>
          <t>1-2-1</t>
        </is>
      </c>
      <c r="G639" s="1349" t="inlineStr">
        <is>
          <t>Existing</t>
        </is>
      </c>
      <c r="I639" t="inlineStr">
        <is>
          <t>1-2-1 Single Session - 1hr (Face-to-Face)</t>
        </is>
      </c>
      <c r="J639" t="inlineStr">
        <is>
          <t>https://www.alanranger.com/private-photography-lessons</t>
        </is>
      </c>
    </row>
    <row r="640" ht="13.5" customHeight="1" s="1232">
      <c r="A640" s="1348" t="n">
        <v>45719</v>
      </c>
      <c r="B640" s="1349" t="inlineStr">
        <is>
          <t>Iggy Losa</t>
        </is>
      </c>
      <c r="C640" s="1350" t="inlineStr">
        <is>
          <t>2. Workshops Non Residential</t>
        </is>
      </c>
      <c r="D640" s="1349" t="inlineStr">
        <is>
          <t>Stripe</t>
        </is>
      </c>
      <c r="E640" s="1351" t="n">
        <v>150</v>
      </c>
      <c r="F640" s="1349" t="inlineStr">
        <is>
          <t>Bluebells</t>
        </is>
      </c>
      <c r="G640" s="1349" t="inlineStr">
        <is>
          <t>Google</t>
        </is>
      </c>
      <c r="I640" t="inlineStr">
        <is>
          <t>BLUEBELL WOODLANDS Photography - Warks - 20 Apr- 30 Apr</t>
        </is>
      </c>
      <c r="J640" t="inlineStr">
        <is>
          <t>https://www.alanranger.com/one-day-landscape-photography-workshops</t>
        </is>
      </c>
    </row>
    <row r="641" ht="13.5" customHeight="1" s="1232">
      <c r="A641" s="1348" t="n">
        <v>45719</v>
      </c>
      <c r="B641" s="1349" t="inlineStr">
        <is>
          <t>Mark Pemberton</t>
        </is>
      </c>
      <c r="C641" s="1350" t="inlineStr">
        <is>
          <t>12. Academy</t>
        </is>
      </c>
      <c r="D641" s="1349" t="inlineStr">
        <is>
          <t>Stripe</t>
        </is>
      </c>
      <c r="E641" s="1351" t="n">
        <v>30</v>
      </c>
      <c r="F641" s="1349" t="inlineStr">
        <is>
          <t>Sensor Clean</t>
        </is>
      </c>
      <c r="G641" s="1349" t="inlineStr">
        <is>
          <t>Existing</t>
        </is>
      </c>
      <c r="I641" t="inlineStr">
        <is>
          <t>Sensor Clean Service (historical)</t>
        </is>
      </c>
      <c r="J641" t="inlineStr">
        <is>
          <t>https://www.alanranger.com/photography-shop-services</t>
        </is>
      </c>
    </row>
    <row r="642" ht="13.5" customHeight="1" s="1232">
      <c r="A642" s="1348" t="n">
        <v>45717</v>
      </c>
      <c r="B642" s="1349" t="inlineStr">
        <is>
          <t>Mentoring Subs</t>
        </is>
      </c>
      <c r="C642" s="1350" t="inlineStr">
        <is>
          <t>6. Mentoring</t>
        </is>
      </c>
      <c r="D642" s="1349" t="inlineStr">
        <is>
          <t>Stripe</t>
        </is>
      </c>
      <c r="E642" s="1351" t="n">
        <v>55</v>
      </c>
      <c r="F642" s="1349" t="inlineStr">
        <is>
          <t>Mentoring Subs</t>
        </is>
      </c>
      <c r="G642" s="1349" t="inlineStr">
        <is>
          <t>Existing</t>
        </is>
      </c>
      <c r="I642" t="inlineStr">
        <is>
          <t>Mentoring - Monthly Subscription</t>
        </is>
      </c>
      <c r="J642" t="inlineStr">
        <is>
          <t>https://www.alanranger.com/photography-mentoring-online-assignments</t>
        </is>
      </c>
    </row>
    <row r="643" ht="13.5" customHeight="1" s="1232">
      <c r="A643" s="1348" t="n"/>
      <c r="B643" s="1349" t="n"/>
      <c r="C643" s="1350" t="n"/>
      <c r="D643" s="1349" t="n"/>
      <c r="E643" s="1351" t="n"/>
      <c r="F643" s="1349" t="n"/>
      <c r="G643" s="1349" t="n"/>
    </row>
    <row r="644" ht="13.5" customHeight="1" s="1232">
      <c r="A644" s="1348" t="n">
        <v>45714</v>
      </c>
      <c r="B644" s="1349" t="inlineStr">
        <is>
          <t>Rebecca Bradley</t>
        </is>
      </c>
      <c r="C644" s="1350" t="inlineStr">
        <is>
          <t>2. Workshops Non Residential</t>
        </is>
      </c>
      <c r="D644" s="1349" t="inlineStr">
        <is>
          <t>Stripe</t>
        </is>
      </c>
      <c r="E644" s="1351" t="n">
        <v>99</v>
      </c>
      <c r="F644" s="1349" t="inlineStr">
        <is>
          <t>Bluebells</t>
        </is>
      </c>
      <c r="G644" s="1349" t="inlineStr">
        <is>
          <t>Google</t>
        </is>
      </c>
      <c r="I644" t="inlineStr">
        <is>
          <t>BLUEBELL WOODLANDS Photography - Warks - 20 Apr- 30 Apr</t>
        </is>
      </c>
      <c r="J644" t="inlineStr">
        <is>
          <t>https://www.alanranger.com/one-day-landscape-photography-workshops</t>
        </is>
      </c>
    </row>
    <row r="645" ht="13.5" customHeight="1" s="1232">
      <c r="A645" s="1348" t="n">
        <v>45714</v>
      </c>
      <c r="B645" s="1349" t="inlineStr">
        <is>
          <t>Jennifer Cole</t>
        </is>
      </c>
      <c r="C645" s="1350" t="inlineStr">
        <is>
          <t>2. Workshops Non Residential</t>
        </is>
      </c>
      <c r="D645" s="1349" t="inlineStr">
        <is>
          <t>Stripe</t>
        </is>
      </c>
      <c r="E645" s="1351" t="n">
        <v>99</v>
      </c>
      <c r="F645" s="1349" t="inlineStr">
        <is>
          <t>Bluebells</t>
        </is>
      </c>
      <c r="G645" s="1349" t="inlineStr">
        <is>
          <t>Google</t>
        </is>
      </c>
      <c r="I645" t="inlineStr">
        <is>
          <t>BLUEBELL WOODLANDS Photography - Warks - 20 Apr- 30 Apr</t>
        </is>
      </c>
      <c r="J645" t="inlineStr">
        <is>
          <t>https://www.alanranger.com/one-day-landscape-photography-workshops</t>
        </is>
      </c>
    </row>
    <row r="646" ht="13.5" customHeight="1" s="1232">
      <c r="A646" s="1348" t="n">
        <v>45707</v>
      </c>
      <c r="B646" s="1349" t="inlineStr">
        <is>
          <t>Tool Connection</t>
        </is>
      </c>
      <c r="C646" s="1350" t="inlineStr">
        <is>
          <t>11 Commissions</t>
        </is>
      </c>
      <c r="D646" s="1349" t="inlineStr">
        <is>
          <t>Stripe</t>
        </is>
      </c>
      <c r="E646" s="1351" t="n">
        <v>150</v>
      </c>
      <c r="F646" s="1349" t="inlineStr">
        <is>
          <t>Consultancy</t>
        </is>
      </c>
      <c r="G646" s="1349" t="inlineStr">
        <is>
          <t>Google</t>
        </is>
      </c>
      <c r="I646" t="inlineStr">
        <is>
          <t>Commission - Corporate / Staff Training</t>
        </is>
      </c>
      <c r="J646" t="inlineStr">
        <is>
          <t>https://www.alanranger.com/corporate-photography-training</t>
        </is>
      </c>
    </row>
    <row r="647" ht="13.5" customHeight="1" s="1232">
      <c r="A647" s="1348" t="n">
        <v>45706</v>
      </c>
      <c r="B647" s="1349" t="inlineStr">
        <is>
          <t>Grace Oliver</t>
        </is>
      </c>
      <c r="C647" s="1350" t="inlineStr">
        <is>
          <t>7. 1-2-1</t>
        </is>
      </c>
      <c r="D647" s="1349" t="inlineStr">
        <is>
          <t>Stripe</t>
        </is>
      </c>
      <c r="E647" s="1351" t="n">
        <v>360</v>
      </c>
      <c r="F647" s="1349" t="inlineStr">
        <is>
          <t>4 x 2hr 1-2-1 F2F</t>
        </is>
      </c>
      <c r="G647" s="1349" t="inlineStr">
        <is>
          <t>Google</t>
        </is>
      </c>
      <c r="I647" t="inlineStr">
        <is>
          <t>1-2-1 Package - 4 x 2hr Face-to-Face (the GBP360 4-for-3)</t>
        </is>
      </c>
      <c r="J647" t="inlineStr">
        <is>
          <t>https://www.alanranger.com/private-photography-lessons</t>
        </is>
      </c>
    </row>
    <row r="648" ht="13.5" customHeight="1" s="1232">
      <c r="A648" s="1348" t="n">
        <v>45706</v>
      </c>
      <c r="B648" s="1349" t="inlineStr">
        <is>
          <t>John Madigan</t>
        </is>
      </c>
      <c r="C648" s="1350" t="inlineStr">
        <is>
          <t>2. Workshops Non Residential</t>
        </is>
      </c>
      <c r="D648" s="1349" t="inlineStr">
        <is>
          <t>Stripe</t>
        </is>
      </c>
      <c r="E648" s="1351" t="n">
        <v>50</v>
      </c>
      <c r="F648" s="1349" t="inlineStr">
        <is>
          <t>Urban Arch</t>
        </is>
      </c>
      <c r="G648" s="1349" t="inlineStr">
        <is>
          <t>Referral</t>
        </is>
      </c>
      <c r="I648" t="inlineStr">
        <is>
          <t>URBAN ARCHITECTURE Photography Workshops - Coventry 9 Sep</t>
        </is>
      </c>
      <c r="J648" t="inlineStr">
        <is>
          <t>https://www.alanranger.com/landscape-photography-workshops</t>
        </is>
      </c>
    </row>
    <row r="649" ht="13.5" customHeight="1" s="1232">
      <c r="A649" s="1348" t="n">
        <v>45705</v>
      </c>
      <c r="B649" s="1349" t="inlineStr">
        <is>
          <t>Photocrowd</t>
        </is>
      </c>
      <c r="C649" s="1350" t="inlineStr">
        <is>
          <t>11 Commissions</t>
        </is>
      </c>
      <c r="D649" s="1349" t="inlineStr">
        <is>
          <t>Bank</t>
        </is>
      </c>
      <c r="E649" s="1351" t="n">
        <v>185</v>
      </c>
      <c r="F649" s="1349" t="inlineStr">
        <is>
          <t>Judging</t>
        </is>
      </c>
      <c r="G649" s="1349" t="inlineStr">
        <is>
          <t>Existing</t>
        </is>
      </c>
      <c r="I649" t="inlineStr">
        <is>
          <t>Commission - Editorial / Guest Blog / Judging</t>
        </is>
      </c>
      <c r="J649" t="inlineStr">
        <is>
          <t>https://www.alanranger.com/corporate-photography-training</t>
        </is>
      </c>
    </row>
    <row r="650" ht="13.5" customHeight="1" s="1232">
      <c r="A650" s="1348" t="n">
        <v>45705</v>
      </c>
      <c r="B650" s="1349" t="inlineStr">
        <is>
          <t>Shelly Soo</t>
        </is>
      </c>
      <c r="C650" s="1350" t="inlineStr">
        <is>
          <t>3. Workshops Residential</t>
        </is>
      </c>
      <c r="D650" s="1349" t="inlineStr">
        <is>
          <t>Stripe</t>
        </is>
      </c>
      <c r="E650" s="1351" t="n">
        <v>995</v>
      </c>
      <c r="F650" s="1349" t="inlineStr">
        <is>
          <t>Northumbria</t>
        </is>
      </c>
      <c r="G650" s="1349" t="inlineStr">
        <is>
          <t>Existing</t>
        </is>
      </c>
      <c r="I650" t="inlineStr">
        <is>
          <t>NORTHUMBERLAND Photography Workshops - Mar 18 - 21</t>
        </is>
      </c>
      <c r="J650" t="inlineStr">
        <is>
          <t>https://www.alanranger.com/photography-workshops</t>
        </is>
      </c>
    </row>
    <row r="651" ht="13.5" customHeight="1" s="1232">
      <c r="A651" s="1348" t="n">
        <v>45704</v>
      </c>
      <c r="B651" s="1349" t="inlineStr">
        <is>
          <t>Artfully Walls</t>
        </is>
      </c>
      <c r="C651" s="1350" t="inlineStr">
        <is>
          <t>10. Prints &amp; Royalties</t>
        </is>
      </c>
      <c r="D651" s="1349" t="inlineStr">
        <is>
          <t>PayPal</t>
        </is>
      </c>
      <c r="E651" s="1351" t="n">
        <v>70.84</v>
      </c>
      <c r="F651" s="1349" t="inlineStr">
        <is>
          <t>Prints</t>
        </is>
      </c>
      <c r="G651" s="1349" t="inlineStr">
        <is>
          <t>Artfully Walls</t>
        </is>
      </c>
      <c r="I651" t="inlineStr">
        <is>
          <t>Print Sale - Generic (historical)</t>
        </is>
      </c>
      <c r="J651" t="inlineStr">
        <is>
          <t>https://www.alanranger.com/fine-art-prints</t>
        </is>
      </c>
    </row>
    <row r="652" ht="13.5" customHeight="1" s="1232">
      <c r="A652" s="1348" t="n">
        <v>45697</v>
      </c>
      <c r="B652" s="1349" t="inlineStr">
        <is>
          <t>Joanne Galloway</t>
        </is>
      </c>
      <c r="C652" s="1350" t="inlineStr">
        <is>
          <t>5. Pick n Mix Out</t>
        </is>
      </c>
      <c r="D652" s="1349" t="inlineStr">
        <is>
          <t>PicknMix</t>
        </is>
      </c>
      <c r="E652" s="1351" t="n">
        <v>-65</v>
      </c>
      <c r="F652" s="1349" t="inlineStr">
        <is>
          <t>Macro</t>
        </is>
      </c>
      <c r="G652" s="1349" t="inlineStr">
        <is>
          <t>Existing</t>
        </is>
      </c>
      <c r="I652" t="inlineStr">
        <is>
          <t>Voucher/Plan Redemption - not a product sale</t>
        </is>
      </c>
      <c r="J652" t="inlineStr"/>
    </row>
    <row r="653" ht="13.5" customHeight="1" s="1232">
      <c r="A653" s="1348" t="n">
        <v>45697</v>
      </c>
      <c r="B653" s="1349" t="inlineStr">
        <is>
          <t>Joanne Galloway</t>
        </is>
      </c>
      <c r="C653" s="1350" t="inlineStr">
        <is>
          <t>2. Workshops Non Residential</t>
        </is>
      </c>
      <c r="D653" s="1349" t="inlineStr">
        <is>
          <t>PicknMix</t>
        </is>
      </c>
      <c r="E653" s="1351" t="n">
        <v>65</v>
      </c>
      <c r="F653" s="1349" t="inlineStr">
        <is>
          <t>Macro</t>
        </is>
      </c>
      <c r="G653" s="1349" t="inlineStr">
        <is>
          <t>Existing</t>
        </is>
      </c>
      <c r="I653" t="inlineStr">
        <is>
          <t>MACRO Photography Workshops Warwickshire - Various</t>
        </is>
      </c>
      <c r="J653" t="inlineStr">
        <is>
          <t>https://www.alanranger.com/landscape-photography-workshops</t>
        </is>
      </c>
    </row>
    <row r="654" ht="13.5" customHeight="1" s="1232">
      <c r="A654" s="1348" t="n">
        <v>45693</v>
      </c>
      <c r="B654" s="1349" t="inlineStr">
        <is>
          <t>Myra Little</t>
        </is>
      </c>
      <c r="C654" s="1350" t="inlineStr">
        <is>
          <t>7. 1-2-1</t>
        </is>
      </c>
      <c r="D654" s="1349" t="inlineStr">
        <is>
          <t>Stripe</t>
        </is>
      </c>
      <c r="E654" s="1351" t="n">
        <v>240</v>
      </c>
      <c r="F654" s="1349" t="inlineStr">
        <is>
          <t>6 x 1hr sessions</t>
        </is>
      </c>
      <c r="G654" s="1349" t="inlineStr">
        <is>
          <t>Existing</t>
        </is>
      </c>
      <c r="I654" t="inlineStr">
        <is>
          <t>1-2-1 Package - Zoom Multi-Session</t>
        </is>
      </c>
      <c r="J654" t="inlineStr">
        <is>
          <t>https://www.alanranger.com/photography-lessons-online-121</t>
        </is>
      </c>
    </row>
    <row r="655" ht="13.5" customHeight="1" s="1232">
      <c r="A655" s="1348" t="n">
        <v>45692</v>
      </c>
      <c r="B655" s="1349" t="inlineStr">
        <is>
          <t>Carol Barthorpe</t>
        </is>
      </c>
      <c r="C655" s="1350" t="inlineStr">
        <is>
          <t>12. Academy</t>
        </is>
      </c>
      <c r="D655" s="1349" t="inlineStr">
        <is>
          <t>Stripe</t>
        </is>
      </c>
      <c r="E655" s="1351" t="n">
        <v>25</v>
      </c>
      <c r="F655" s="1349" t="inlineStr">
        <is>
          <t>E-Book Foundation</t>
        </is>
      </c>
      <c r="G655" s="1349" t="inlineStr">
        <is>
          <t>Existing</t>
        </is>
      </c>
      <c r="I655" t="inlineStr">
        <is>
          <t>Academy - Membership / eBook / Exams (historical bundle)</t>
        </is>
      </c>
      <c r="J655" t="inlineStr">
        <is>
          <t>https://www.alanranger.com/free-online-photography-course</t>
        </is>
      </c>
    </row>
    <row r="656" ht="13.5" customHeight="1" s="1232">
      <c r="A656" s="1348" t="n">
        <v>45692</v>
      </c>
      <c r="B656" s="1349" t="inlineStr">
        <is>
          <t>Lauren Grainger</t>
        </is>
      </c>
      <c r="C656" s="1350" t="inlineStr">
        <is>
          <t>2. Workshops Non Residential</t>
        </is>
      </c>
      <c r="D656" s="1349" t="inlineStr">
        <is>
          <t>Stripe</t>
        </is>
      </c>
      <c r="E656" s="1351" t="n">
        <v>15</v>
      </c>
      <c r="F656" s="1349" t="inlineStr">
        <is>
          <t>Woodland Walk</t>
        </is>
      </c>
      <c r="G656" s="1349" t="inlineStr">
        <is>
          <t>Google</t>
        </is>
      </c>
      <c r="I656" t="inlineStr">
        <is>
          <t>Woodland Photography Walk - Warwickshire (half-day low-cost)</t>
        </is>
      </c>
      <c r="J656" t="inlineStr">
        <is>
          <t>https://www.alanranger.com/landscape-photography-workshops</t>
        </is>
      </c>
    </row>
    <row r="657" ht="13.5" customHeight="1" s="1232">
      <c r="A657" s="1348" t="n">
        <v>45689</v>
      </c>
      <c r="B657" s="1349" t="inlineStr">
        <is>
          <t>Mentoring Subs</t>
        </is>
      </c>
      <c r="C657" s="1350" t="inlineStr">
        <is>
          <t>6. Mentoring</t>
        </is>
      </c>
      <c r="D657" s="1349" t="inlineStr">
        <is>
          <t>Stripe</t>
        </is>
      </c>
      <c r="E657" s="1351" t="n">
        <v>55</v>
      </c>
      <c r="F657" s="1349" t="inlineStr">
        <is>
          <t>Mentoring Subs</t>
        </is>
      </c>
      <c r="G657" s="1349" t="inlineStr">
        <is>
          <t>Existing</t>
        </is>
      </c>
      <c r="I657" t="inlineStr">
        <is>
          <t>Mentoring - Monthly Subscription</t>
        </is>
      </c>
      <c r="J657" t="inlineStr">
        <is>
          <t>https://www.alanranger.com/photography-mentoring-online-assignments</t>
        </is>
      </c>
    </row>
    <row r="658" ht="13.5" customHeight="1" s="1232">
      <c r="A658" s="1348" t="n"/>
      <c r="B658" s="1349" t="n"/>
      <c r="C658" s="1350" t="n"/>
      <c r="D658" s="1349" t="n"/>
      <c r="E658" s="1351" t="n"/>
      <c r="F658" s="1349" t="n"/>
      <c r="G658" s="1349" t="n"/>
    </row>
    <row r="659" ht="13.5" customHeight="1" s="1232">
      <c r="A659" s="1348" t="n">
        <v>45687</v>
      </c>
      <c r="B659" s="1349" t="inlineStr">
        <is>
          <t>LeeAnn Higgins</t>
        </is>
      </c>
      <c r="C659" s="1350" t="inlineStr">
        <is>
          <t>2. Workshops Non Residential</t>
        </is>
      </c>
      <c r="D659" s="1349" t="inlineStr">
        <is>
          <t>Stripe</t>
        </is>
      </c>
      <c r="E659" s="1351" t="n">
        <v>99</v>
      </c>
      <c r="F659" s="1349" t="inlineStr">
        <is>
          <t>Bluebells</t>
        </is>
      </c>
      <c r="G659" s="1349" t="inlineStr">
        <is>
          <t>Existing</t>
        </is>
      </c>
      <c r="I659" t="inlineStr">
        <is>
          <t>BLUEBELL WOODLANDS Photography - Warks - 20 Apr- 30 Apr</t>
        </is>
      </c>
      <c r="J659" t="inlineStr">
        <is>
          <t>https://www.alanranger.com/one-day-landscape-photography-workshops</t>
        </is>
      </c>
    </row>
    <row r="660" ht="13.5" customHeight="1" s="1232">
      <c r="A660" s="1348" t="n">
        <v>45687</v>
      </c>
      <c r="B660" s="1349" t="inlineStr">
        <is>
          <t>Gwynedd Jones</t>
        </is>
      </c>
      <c r="C660" s="1350" t="inlineStr">
        <is>
          <t>2. Workshops Non Residential</t>
        </is>
      </c>
      <c r="D660" s="1349" t="inlineStr">
        <is>
          <t>PayPal</t>
        </is>
      </c>
      <c r="E660" s="1351" t="n">
        <v>55</v>
      </c>
      <c r="F660" s="1349" t="inlineStr">
        <is>
          <t>Sezincote</t>
        </is>
      </c>
      <c r="G660" s="1349" t="inlineStr">
        <is>
          <t>Google</t>
        </is>
      </c>
      <c r="I660" t="inlineStr">
        <is>
          <t>SEZINCOTE Garden Photography Workshop - Gloucs 29 May</t>
        </is>
      </c>
      <c r="J660" t="inlineStr">
        <is>
          <t>https://www.alanranger.com/landscape-photography-workshops</t>
        </is>
      </c>
    </row>
    <row r="661" ht="13.5" customHeight="1" s="1232">
      <c r="A661" s="1348" t="n">
        <v>45686</v>
      </c>
      <c r="B661" s="1349" t="inlineStr">
        <is>
          <t>Kirsten Pearce</t>
        </is>
      </c>
      <c r="C661" s="1350" t="inlineStr">
        <is>
          <t>3. Workshops Residential</t>
        </is>
      </c>
      <c r="D661" s="1349" t="inlineStr">
        <is>
          <t>Bank</t>
        </is>
      </c>
      <c r="E661" s="1351" t="n">
        <v>453.25</v>
      </c>
      <c r="F661" s="1349" t="inlineStr">
        <is>
          <t>Northumberland</t>
        </is>
      </c>
      <c r="G661" s="1349" t="inlineStr">
        <is>
          <t>Existing</t>
        </is>
      </c>
      <c r="I661" t="inlineStr">
        <is>
          <t>NORTHUMBERLAND Photography Workshops - Mar 18 - 21</t>
        </is>
      </c>
      <c r="J661" t="inlineStr">
        <is>
          <t>https://www.alanranger.com/photography-workshops</t>
        </is>
      </c>
    </row>
    <row r="662" ht="13.5" customHeight="1" s="1232">
      <c r="A662" s="1348" t="n">
        <v>45686</v>
      </c>
      <c r="B662" s="1349" t="inlineStr">
        <is>
          <t>Kirsten Pearce</t>
        </is>
      </c>
      <c r="C662" s="1350" t="inlineStr">
        <is>
          <t>5. Pick n Mix Out</t>
        </is>
      </c>
      <c r="D662" s="1349" t="inlineStr">
        <is>
          <t>PicknMix</t>
        </is>
      </c>
      <c r="E662" s="1351" t="n">
        <v>-845.75</v>
      </c>
      <c r="F662" s="1349" t="inlineStr">
        <is>
          <t>Northumberland</t>
        </is>
      </c>
      <c r="G662" s="1349" t="inlineStr">
        <is>
          <t>Existing</t>
        </is>
      </c>
      <c r="I662" t="inlineStr">
        <is>
          <t>Voucher/Plan Redemption - not a product sale</t>
        </is>
      </c>
      <c r="J662" t="inlineStr"/>
    </row>
    <row r="663" ht="13.5" customHeight="1" s="1232">
      <c r="A663" s="1348" t="n">
        <v>45686</v>
      </c>
      <c r="B663" s="1349" t="inlineStr">
        <is>
          <t>Kirsten Pearce</t>
        </is>
      </c>
      <c r="C663" s="1350" t="inlineStr">
        <is>
          <t>3. Workshops Residential</t>
        </is>
      </c>
      <c r="D663" s="1349" t="inlineStr">
        <is>
          <t>PicknMix</t>
        </is>
      </c>
      <c r="E663" s="1351" t="n">
        <v>845.75</v>
      </c>
      <c r="F663" s="1349" t="inlineStr">
        <is>
          <t>Northumberland</t>
        </is>
      </c>
      <c r="G663" s="1349" t="inlineStr">
        <is>
          <t>Existing</t>
        </is>
      </c>
      <c r="I663" t="inlineStr">
        <is>
          <t>NORTHUMBERLAND Photography Workshops - Mar 18 - 21</t>
        </is>
      </c>
      <c r="J663" t="inlineStr">
        <is>
          <t>https://www.alanranger.com/photography-workshops</t>
        </is>
      </c>
    </row>
    <row r="664" ht="13.5" customHeight="1" s="1232">
      <c r="A664" s="1348" t="n">
        <v>45686</v>
      </c>
      <c r="B664" s="1349" t="inlineStr">
        <is>
          <t>Peter Johnson</t>
        </is>
      </c>
      <c r="C664" s="1350" t="inlineStr">
        <is>
          <t>1. Courses/masterclasses</t>
        </is>
      </c>
      <c r="D664" s="1349" t="inlineStr">
        <is>
          <t>PayPal</t>
        </is>
      </c>
      <c r="E664" s="1351" t="n">
        <v>175</v>
      </c>
      <c r="F664" s="1349" t="inlineStr">
        <is>
          <t>RPS Ext Course</t>
        </is>
      </c>
      <c r="G664" s="1349" t="inlineStr">
        <is>
          <t>Existing</t>
        </is>
      </c>
      <c r="I664" t="inlineStr">
        <is>
          <t>RPS Mentoring Course (historical)</t>
        </is>
      </c>
      <c r="J664" t="inlineStr">
        <is>
          <t>https://www.alanranger.com/rps-courses-mentoring-distinctions</t>
        </is>
      </c>
    </row>
    <row r="665" ht="13.5" customHeight="1" s="1232">
      <c r="A665" s="1348" t="n">
        <v>45686</v>
      </c>
      <c r="B665" s="1349" t="inlineStr">
        <is>
          <t>lee crossan</t>
        </is>
      </c>
      <c r="C665" s="1350" t="inlineStr">
        <is>
          <t>12. Academy</t>
        </is>
      </c>
      <c r="D665" s="1349" t="inlineStr">
        <is>
          <t>PayPal</t>
        </is>
      </c>
      <c r="E665" s="1351" t="n">
        <v>25</v>
      </c>
      <c r="F665" s="1349" t="inlineStr">
        <is>
          <t>E-Book Foundation</t>
        </is>
      </c>
      <c r="G665" s="1349" t="inlineStr">
        <is>
          <t>Google</t>
        </is>
      </c>
      <c r="I665" t="inlineStr">
        <is>
          <t>Academy - Membership / eBook / Exams (historical bundle)</t>
        </is>
      </c>
      <c r="J665" t="inlineStr">
        <is>
          <t>https://www.alanranger.com/free-online-photography-course</t>
        </is>
      </c>
    </row>
    <row r="666" ht="13.5" customHeight="1" s="1232">
      <c r="A666" s="1348" t="n">
        <v>45683</v>
      </c>
      <c r="B666" s="1349" t="inlineStr">
        <is>
          <t>Nigel Proctor</t>
        </is>
      </c>
      <c r="C666" s="1350" t="inlineStr">
        <is>
          <t>3. Workshops Residential</t>
        </is>
      </c>
      <c r="D666" s="1349" t="inlineStr">
        <is>
          <t>Stripe</t>
        </is>
      </c>
      <c r="E666" s="1351" t="n">
        <v>995</v>
      </c>
      <c r="F666" s="1349" t="inlineStr">
        <is>
          <t>Northumberland</t>
        </is>
      </c>
      <c r="G666" s="1349" t="inlineStr">
        <is>
          <t>Google</t>
        </is>
      </c>
      <c r="I666" t="inlineStr">
        <is>
          <t>NORTHUMBERLAND Photography Workshops - Mar 18 - 21</t>
        </is>
      </c>
      <c r="J666" t="inlineStr">
        <is>
          <t>https://www.alanranger.com/photography-workshops</t>
        </is>
      </c>
    </row>
    <row r="667" ht="13.5" customHeight="1" s="1232">
      <c r="A667" s="1348" t="n">
        <v>45679</v>
      </c>
      <c r="B667" s="1349" t="inlineStr">
        <is>
          <t>Martin Cooke</t>
        </is>
      </c>
      <c r="C667" s="1350" t="inlineStr">
        <is>
          <t>2. Workshops Non Residential</t>
        </is>
      </c>
      <c r="D667" s="1349" t="inlineStr">
        <is>
          <t>Stripe</t>
        </is>
      </c>
      <c r="E667" s="1351" t="n">
        <v>49</v>
      </c>
      <c r="F667" s="1349" t="inlineStr">
        <is>
          <t>Bluebells</t>
        </is>
      </c>
      <c r="G667" s="1349" t="inlineStr">
        <is>
          <t>Referral</t>
        </is>
      </c>
      <c r="I667" t="inlineStr">
        <is>
          <t>BLUEBELL WOODLANDS Photography - Warks - 20 Apr- 30 Apr</t>
        </is>
      </c>
      <c r="J667" t="inlineStr">
        <is>
          <t>https://www.alanranger.com/one-day-landscape-photography-workshops</t>
        </is>
      </c>
    </row>
    <row r="668" ht="13.5" customHeight="1" s="1232">
      <c r="A668" s="1348" t="n">
        <v>45679</v>
      </c>
      <c r="B668" s="1349" t="inlineStr">
        <is>
          <t>Martin Cooke</t>
        </is>
      </c>
      <c r="C668" s="1350" t="inlineStr">
        <is>
          <t>9. Gift Vouchers Out</t>
        </is>
      </c>
      <c r="D668" s="1349" t="inlineStr">
        <is>
          <t>Gift Voucher Out</t>
        </is>
      </c>
      <c r="E668" s="1351" t="n">
        <v>-50</v>
      </c>
      <c r="F668" s="1349" t="inlineStr">
        <is>
          <t>Bluebells</t>
        </is>
      </c>
      <c r="G668" s="1349" t="inlineStr">
        <is>
          <t>Referral</t>
        </is>
      </c>
      <c r="I668" t="inlineStr">
        <is>
          <t>Voucher/Plan Redemption - not a product sale</t>
        </is>
      </c>
      <c r="J668" t="inlineStr"/>
    </row>
    <row r="669" ht="13.5" customHeight="1" s="1232">
      <c r="A669" s="1348" t="n">
        <v>45679</v>
      </c>
      <c r="B669" s="1349" t="inlineStr">
        <is>
          <t>Martin Cooke</t>
        </is>
      </c>
      <c r="C669" s="1350" t="inlineStr">
        <is>
          <t>2. Workshops Non Residential</t>
        </is>
      </c>
      <c r="D669" s="1349" t="inlineStr">
        <is>
          <t>Gift Voucher Out</t>
        </is>
      </c>
      <c r="E669" s="1351" t="n">
        <v>50</v>
      </c>
      <c r="F669" s="1349" t="inlineStr">
        <is>
          <t>Bluebells</t>
        </is>
      </c>
      <c r="G669" s="1349" t="inlineStr">
        <is>
          <t>Referral</t>
        </is>
      </c>
      <c r="I669" t="inlineStr">
        <is>
          <t>BLUEBELL WOODLANDS Photography - Warks - 20 Apr- 30 Apr</t>
        </is>
      </c>
      <c r="J669" t="inlineStr">
        <is>
          <t>https://www.alanranger.com/one-day-landscape-photography-workshops</t>
        </is>
      </c>
    </row>
    <row r="670" ht="13.5" customHeight="1" s="1232">
      <c r="A670" s="1348" t="n">
        <v>45679</v>
      </c>
      <c r="B670" s="1349" t="inlineStr">
        <is>
          <t>Johanna Stansfield</t>
        </is>
      </c>
      <c r="C670" s="1350" t="inlineStr">
        <is>
          <t>12. Academy</t>
        </is>
      </c>
      <c r="D670" s="1349" t="inlineStr">
        <is>
          <t>Stripe</t>
        </is>
      </c>
      <c r="E670" s="1351" t="n">
        <v>25</v>
      </c>
      <c r="F670" s="1349" t="inlineStr">
        <is>
          <t>E-Book Foundation</t>
        </is>
      </c>
      <c r="G670" s="1349" t="inlineStr">
        <is>
          <t>Existing</t>
        </is>
      </c>
      <c r="I670" t="inlineStr">
        <is>
          <t>Academy - Membership / eBook / Exams (historical bundle)</t>
        </is>
      </c>
      <c r="J670" t="inlineStr">
        <is>
          <t>https://www.alanranger.com/free-online-photography-course</t>
        </is>
      </c>
    </row>
    <row r="671" ht="13.5" customHeight="1" s="1232">
      <c r="A671" s="1348" t="n">
        <v>45677</v>
      </c>
      <c r="B671" s="1349" t="inlineStr">
        <is>
          <t>Johanna Stansfield</t>
        </is>
      </c>
      <c r="C671" s="1350" t="inlineStr">
        <is>
          <t>6. Mentoring</t>
        </is>
      </c>
      <c r="D671" s="1349" t="inlineStr">
        <is>
          <t>Stripe</t>
        </is>
      </c>
      <c r="E671" s="1351" t="n">
        <v>15</v>
      </c>
      <c r="F671" s="1349" t="inlineStr">
        <is>
          <t>Monthly Mentoring</t>
        </is>
      </c>
      <c r="G671" s="1349" t="inlineStr">
        <is>
          <t>Existing</t>
        </is>
      </c>
      <c r="I671" t="inlineStr">
        <is>
          <t>Mentoring - Monthly Subscription</t>
        </is>
      </c>
      <c r="J671" t="inlineStr">
        <is>
          <t>https://www.alanranger.com/photography-mentoring-online-assignments</t>
        </is>
      </c>
    </row>
    <row r="672" ht="13.5" customHeight="1" s="1232">
      <c r="A672" s="1348" t="n">
        <v>45679</v>
      </c>
      <c r="B672" s="1349" t="inlineStr">
        <is>
          <t>Elizabeth Edwards</t>
        </is>
      </c>
      <c r="C672" s="1350" t="inlineStr">
        <is>
          <t>2. Workshops Non Residential</t>
        </is>
      </c>
      <c r="D672" s="1349" t="inlineStr">
        <is>
          <t>Stripe</t>
        </is>
      </c>
      <c r="E672" s="1351" t="n">
        <v>50</v>
      </c>
      <c r="F672" s="1349" t="inlineStr">
        <is>
          <t>Garden Photography</t>
        </is>
      </c>
      <c r="G672" s="1349" t="inlineStr">
        <is>
          <t>Google</t>
        </is>
      </c>
      <c r="I672" t="inlineStr">
        <is>
          <t>The Art of GARDEN PHOTOGRAPHY  - Coventry -  May and July</t>
        </is>
      </c>
      <c r="J672" t="inlineStr">
        <is>
          <t>https://www.alanranger.com/landscape-photography-workshops</t>
        </is>
      </c>
    </row>
    <row r="673" ht="13.5" customHeight="1" s="1232">
      <c r="A673" s="1348" t="n">
        <v>45678</v>
      </c>
      <c r="B673" s="1349" t="inlineStr">
        <is>
          <t>Dana Berry</t>
        </is>
      </c>
      <c r="C673" s="1350" t="inlineStr">
        <is>
          <t>7. 1-2-1</t>
        </is>
      </c>
      <c r="D673" s="1349" t="inlineStr">
        <is>
          <t>Stripe</t>
        </is>
      </c>
      <c r="E673" s="1351" t="n">
        <v>300</v>
      </c>
      <c r="F673" s="1349" t="inlineStr">
        <is>
          <t xml:space="preserve">Zoom Package 8 x 1hr </t>
        </is>
      </c>
      <c r="G673" s="1349" t="inlineStr">
        <is>
          <t>Google</t>
        </is>
      </c>
      <c r="I673" t="inlineStr">
        <is>
          <t>1-2-1 Package - Zoom Multi-Session</t>
        </is>
      </c>
      <c r="J673" t="inlineStr">
        <is>
          <t>https://www.alanranger.com/photography-lessons-online-121</t>
        </is>
      </c>
    </row>
    <row r="674" ht="13.5" customHeight="1" s="1232">
      <c r="A674" s="1348" t="n">
        <v>45677</v>
      </c>
      <c r="B674" s="1349" t="inlineStr">
        <is>
          <t>Neil Barford</t>
        </is>
      </c>
      <c r="C674" s="1350" t="inlineStr">
        <is>
          <t>3. Workshops Residential</t>
        </is>
      </c>
      <c r="D674" s="1349" t="inlineStr">
        <is>
          <t>Stripe</t>
        </is>
      </c>
      <c r="E674" s="1351" t="n">
        <v>115</v>
      </c>
      <c r="F674" s="1349" t="inlineStr">
        <is>
          <t>Extra Night B&amp;B</t>
        </is>
      </c>
      <c r="G674" s="1349" t="inlineStr">
        <is>
          <t>Existing</t>
        </is>
      </c>
      <c r="I674" t="inlineStr">
        <is>
          <t>Residential Workshop - Add-on (Extra Night/B&amp;B)</t>
        </is>
      </c>
      <c r="J674" t="inlineStr">
        <is>
          <t>https://www.alanranger.com/photography-workshops</t>
        </is>
      </c>
    </row>
    <row r="675" ht="13.5" customHeight="1" s="1232">
      <c r="A675" s="1348" t="n">
        <v>45676</v>
      </c>
      <c r="B675" s="1349" t="inlineStr">
        <is>
          <t>Anne Watkinson</t>
        </is>
      </c>
      <c r="C675" s="1350" t="inlineStr">
        <is>
          <t>7. 1-2-1</t>
        </is>
      </c>
      <c r="D675" s="1349" t="inlineStr">
        <is>
          <t>Stripe</t>
        </is>
      </c>
      <c r="E675" s="1351" t="n">
        <v>120</v>
      </c>
      <c r="F675" s="1349" t="inlineStr">
        <is>
          <t>2hrs F-2-F</t>
        </is>
      </c>
      <c r="G675" s="1349" t="inlineStr">
        <is>
          <t>Existing</t>
        </is>
      </c>
      <c r="I675" t="inlineStr">
        <is>
          <t>1-2-1 Single Session - 2hr (Face-to-Face)</t>
        </is>
      </c>
      <c r="J675" t="inlineStr">
        <is>
          <t>https://www.alanranger.com/private-photography-lessons</t>
        </is>
      </c>
    </row>
    <row r="676" ht="13.5" customHeight="1" s="1232">
      <c r="A676" s="1348" t="n">
        <v>45675</v>
      </c>
      <c r="B676" s="1349" t="inlineStr">
        <is>
          <t>John Kitteringham</t>
        </is>
      </c>
      <c r="C676" s="1350" t="inlineStr">
        <is>
          <t>3. Workshops Residential</t>
        </is>
      </c>
      <c r="D676" s="1349" t="inlineStr">
        <is>
          <t>Stripe</t>
        </is>
      </c>
      <c r="E676" s="1351" t="n">
        <v>995</v>
      </c>
      <c r="F676" s="1349" t="inlineStr">
        <is>
          <t>Lake District</t>
        </is>
      </c>
      <c r="G676" s="1349" t="inlineStr">
        <is>
          <t>Referral</t>
        </is>
      </c>
      <c r="I676" t="inlineStr">
        <is>
          <t>LAKE DISTRICT Photography Workshops - Jan - Mar - Sep - Nov</t>
        </is>
      </c>
      <c r="J676" t="inlineStr">
        <is>
          <t>https://www.alanranger.com/photography-workshops</t>
        </is>
      </c>
    </row>
    <row r="677" ht="13.5" customHeight="1" s="1232">
      <c r="A677" s="1348" t="n">
        <v>45674</v>
      </c>
      <c r="B677" s="1349" t="inlineStr">
        <is>
          <t>Jay Pattni</t>
        </is>
      </c>
      <c r="C677" s="1350" t="inlineStr">
        <is>
          <t>9. Gift Vouchers Out</t>
        </is>
      </c>
      <c r="D677" s="1349" t="inlineStr">
        <is>
          <t>Gift Voucher Out</t>
        </is>
      </c>
      <c r="E677" s="1351" t="n">
        <v>-99</v>
      </c>
      <c r="F677" s="1349" t="inlineStr">
        <is>
          <t>Bluebells</t>
        </is>
      </c>
      <c r="G677" s="1349" t="inlineStr">
        <is>
          <t>Referral</t>
        </is>
      </c>
      <c r="I677" t="inlineStr">
        <is>
          <t>Voucher/Plan Redemption - not a product sale</t>
        </is>
      </c>
      <c r="J677" t="inlineStr"/>
    </row>
    <row r="678" ht="13.5" customHeight="1" s="1232">
      <c r="A678" s="1348" t="n">
        <v>45674</v>
      </c>
      <c r="B678" s="1349" t="inlineStr">
        <is>
          <t>Jay Pattni</t>
        </is>
      </c>
      <c r="C678" s="1350" t="inlineStr">
        <is>
          <t>2. Workshops Non Residential</t>
        </is>
      </c>
      <c r="D678" s="1349" t="inlineStr">
        <is>
          <t>Gift Voucher Out</t>
        </is>
      </c>
      <c r="E678" s="1351" t="n">
        <v>99</v>
      </c>
      <c r="F678" s="1349" t="inlineStr">
        <is>
          <t>Bluebells</t>
        </is>
      </c>
      <c r="G678" s="1349" t="inlineStr">
        <is>
          <t>Referral</t>
        </is>
      </c>
      <c r="I678" t="inlineStr">
        <is>
          <t>BLUEBELL WOODLANDS Photography - Warks - 20 Apr- 30 Apr</t>
        </is>
      </c>
      <c r="J678" t="inlineStr">
        <is>
          <t>https://www.alanranger.com/one-day-landscape-photography-workshops</t>
        </is>
      </c>
    </row>
    <row r="679" ht="13.5" customHeight="1" s="1232">
      <c r="A679" s="1348" t="n">
        <v>45674</v>
      </c>
      <c r="B679" s="1349" t="inlineStr">
        <is>
          <t>Jay Pattni</t>
        </is>
      </c>
      <c r="C679" s="1350" t="inlineStr">
        <is>
          <t>9. Gift Vouchers Out</t>
        </is>
      </c>
      <c r="D679" s="1349" t="inlineStr">
        <is>
          <t>Gift Voucher Out</t>
        </is>
      </c>
      <c r="E679" s="1351" t="n">
        <v>-15</v>
      </c>
      <c r="F679" s="1349" t="inlineStr">
        <is>
          <t>Woodland Walk</t>
        </is>
      </c>
      <c r="G679" s="1349" t="inlineStr">
        <is>
          <t>Referral</t>
        </is>
      </c>
      <c r="I679" t="inlineStr">
        <is>
          <t>Voucher/Plan Redemption - not a product sale</t>
        </is>
      </c>
      <c r="J679" t="inlineStr"/>
    </row>
    <row r="680" ht="13.5" customHeight="1" s="1232">
      <c r="A680" s="1348" t="n">
        <v>45674</v>
      </c>
      <c r="B680" s="1349" t="inlineStr">
        <is>
          <t>Jay Pattni</t>
        </is>
      </c>
      <c r="C680" s="1350" t="inlineStr">
        <is>
          <t>2. Workshops Non Residential</t>
        </is>
      </c>
      <c r="D680" s="1349" t="inlineStr">
        <is>
          <t>Gift Voucher Out</t>
        </is>
      </c>
      <c r="E680" s="1351" t="n">
        <v>15</v>
      </c>
      <c r="F680" s="1349" t="inlineStr">
        <is>
          <t>Woodland Walk</t>
        </is>
      </c>
      <c r="G680" s="1349" t="inlineStr">
        <is>
          <t>Referral</t>
        </is>
      </c>
      <c r="I680" t="inlineStr">
        <is>
          <t>Woodland Photography Walk - Warwickshire (half-day low-cost)</t>
        </is>
      </c>
      <c r="J680" t="inlineStr">
        <is>
          <t>https://www.alanranger.com/landscape-photography-workshops</t>
        </is>
      </c>
    </row>
    <row r="681" ht="13.5" customHeight="1" s="1232">
      <c r="A681" s="1348" t="n">
        <v>45674</v>
      </c>
      <c r="B681" s="1349" t="inlineStr">
        <is>
          <t>Jay Pattni</t>
        </is>
      </c>
      <c r="C681" s="1350" t="inlineStr">
        <is>
          <t>9. Gift Vouchers Out</t>
        </is>
      </c>
      <c r="D681" s="1349" t="inlineStr">
        <is>
          <t>Gift Voucher Out</t>
        </is>
      </c>
      <c r="E681" s="1351" t="n">
        <v>-15</v>
      </c>
      <c r="F681" s="1349" t="inlineStr">
        <is>
          <t>Woodland Walk</t>
        </is>
      </c>
      <c r="G681" s="1349" t="inlineStr">
        <is>
          <t>Referral</t>
        </is>
      </c>
      <c r="I681" t="inlineStr">
        <is>
          <t>Voucher/Plan Redemption - not a product sale</t>
        </is>
      </c>
      <c r="J681" t="inlineStr"/>
    </row>
    <row r="682" ht="13.5" customHeight="1" s="1232">
      <c r="A682" s="1348" t="n">
        <v>45674</v>
      </c>
      <c r="B682" s="1349" t="inlineStr">
        <is>
          <t>Jay Pattni</t>
        </is>
      </c>
      <c r="C682" s="1350" t="inlineStr">
        <is>
          <t>2. Workshops Non Residential</t>
        </is>
      </c>
      <c r="D682" s="1349" t="inlineStr">
        <is>
          <t>Gift Voucher Out</t>
        </is>
      </c>
      <c r="E682" s="1351" t="n">
        <v>15</v>
      </c>
      <c r="F682" s="1349" t="inlineStr">
        <is>
          <t>Woodland Walk</t>
        </is>
      </c>
      <c r="G682" s="1349" t="inlineStr">
        <is>
          <t>Referral</t>
        </is>
      </c>
      <c r="I682" t="inlineStr">
        <is>
          <t>Woodland Photography Walk - Warwickshire (half-day low-cost)</t>
        </is>
      </c>
      <c r="J682" t="inlineStr">
        <is>
          <t>https://www.alanranger.com/landscape-photography-workshops</t>
        </is>
      </c>
    </row>
    <row r="683" ht="13.5" customHeight="1" s="1232">
      <c r="A683" s="1348" t="n">
        <v>45674</v>
      </c>
      <c r="B683" s="1349" t="inlineStr">
        <is>
          <t>Jay Pattni</t>
        </is>
      </c>
      <c r="C683" s="1350" t="inlineStr">
        <is>
          <t>9. Gift Vouchers Out</t>
        </is>
      </c>
      <c r="D683" s="1349" t="inlineStr">
        <is>
          <t>Gift Voucher Out</t>
        </is>
      </c>
      <c r="E683" s="1351" t="n">
        <v>-360</v>
      </c>
      <c r="F683" s="1349" t="inlineStr">
        <is>
          <t>4 x 2hr sessions</t>
        </is>
      </c>
      <c r="G683" s="1349" t="inlineStr">
        <is>
          <t>Referral</t>
        </is>
      </c>
      <c r="I683" t="inlineStr">
        <is>
          <t>Voucher/Plan Redemption - not a product sale</t>
        </is>
      </c>
      <c r="J683" t="inlineStr"/>
    </row>
    <row r="684" ht="13.5" customHeight="1" s="1232">
      <c r="A684" s="1348" t="n">
        <v>45674</v>
      </c>
      <c r="B684" s="1349" t="inlineStr">
        <is>
          <t>Jay Pattni</t>
        </is>
      </c>
      <c r="C684" s="1350" t="inlineStr">
        <is>
          <t>7. 1-2-1</t>
        </is>
      </c>
      <c r="D684" s="1349" t="inlineStr">
        <is>
          <t>Gift Voucher Out</t>
        </is>
      </c>
      <c r="E684" s="1351" t="n">
        <v>360</v>
      </c>
      <c r="F684" s="1349" t="inlineStr">
        <is>
          <t>4 x 2hr sessions</t>
        </is>
      </c>
      <c r="G684" s="1349" t="inlineStr">
        <is>
          <t>Referral</t>
        </is>
      </c>
      <c r="I684" t="inlineStr">
        <is>
          <t>1-2-1 Package - 4 x 2hr Face-to-Face (the GBP360 4-for-3)</t>
        </is>
      </c>
      <c r="J684" t="inlineStr">
        <is>
          <t>https://www.alanranger.com/private-photography-lessons</t>
        </is>
      </c>
    </row>
    <row r="685" ht="13.5" customHeight="1" s="1232">
      <c r="A685" s="1348" t="n">
        <v>45673</v>
      </c>
      <c r="B685" s="1349" t="inlineStr">
        <is>
          <t>Richard OConnor</t>
        </is>
      </c>
      <c r="C685" s="1350" t="inlineStr">
        <is>
          <t>1. Courses/masterclasses</t>
        </is>
      </c>
      <c r="D685" s="1349" t="inlineStr">
        <is>
          <t>Stripe</t>
        </is>
      </c>
      <c r="E685" s="1351" t="n">
        <v>250</v>
      </c>
      <c r="F685" s="1349" t="inlineStr">
        <is>
          <t>5wk Beginners Course</t>
        </is>
      </c>
      <c r="G685" s="1349" t="inlineStr">
        <is>
          <t>Google</t>
        </is>
      </c>
      <c r="I685" t="inlineStr">
        <is>
          <t>5 Week Beginners Photography Course (RETIRED format)</t>
        </is>
      </c>
      <c r="J685" t="inlineStr">
        <is>
          <t>https://www.alanranger.com/beginners-photography-classes</t>
        </is>
      </c>
    </row>
    <row r="686" ht="13.5" customHeight="1" s="1232">
      <c r="A686" s="1348" t="n">
        <v>45673</v>
      </c>
      <c r="B686" s="1349" t="inlineStr">
        <is>
          <t>Artfully Walls</t>
        </is>
      </c>
      <c r="C686" s="1350" t="inlineStr">
        <is>
          <t>10. Prints &amp; Royalties</t>
        </is>
      </c>
      <c r="D686" s="1349" t="inlineStr">
        <is>
          <t>PayPal</t>
        </is>
      </c>
      <c r="E686" s="1351" t="n">
        <v>67.61</v>
      </c>
      <c r="F686" s="1349" t="inlineStr">
        <is>
          <t>Print Sales</t>
        </is>
      </c>
      <c r="G686" s="1349" t="inlineStr">
        <is>
          <t>Artfully Walls</t>
        </is>
      </c>
      <c r="I686" t="inlineStr">
        <is>
          <t>Print Sale - Generic (historical)</t>
        </is>
      </c>
      <c r="J686" t="inlineStr">
        <is>
          <t>https://www.alanranger.com/fine-art-prints</t>
        </is>
      </c>
    </row>
    <row r="687" ht="13.5" customHeight="1" s="1232">
      <c r="A687" s="1348" t="n">
        <v>45670</v>
      </c>
      <c r="B687" s="1349" t="inlineStr">
        <is>
          <t>Outdoor Photography</t>
        </is>
      </c>
      <c r="C687" s="1350" t="inlineStr">
        <is>
          <t>11 Commissions</t>
        </is>
      </c>
      <c r="D687" s="1349" t="inlineStr">
        <is>
          <t>Bank</t>
        </is>
      </c>
      <c r="E687" s="1351" t="n">
        <v>150</v>
      </c>
      <c r="F687" s="1349" t="inlineStr">
        <is>
          <t>On Location</t>
        </is>
      </c>
      <c r="G687" s="1349" t="inlineStr">
        <is>
          <t>Referral</t>
        </is>
      </c>
      <c r="I687" t="inlineStr">
        <is>
          <t>Commission - Editorial / Guest Blog / Judging</t>
        </is>
      </c>
      <c r="J687" t="inlineStr">
        <is>
          <t>https://www.alanranger.com/corporate-photography-training</t>
        </is>
      </c>
    </row>
    <row r="688" ht="13.5" customHeight="1" s="1232">
      <c r="A688" s="1348" t="n">
        <v>45660</v>
      </c>
      <c r="B688" s="1349" t="inlineStr">
        <is>
          <t>Ian Hunt</t>
        </is>
      </c>
      <c r="C688" s="1350" t="inlineStr">
        <is>
          <t>12. Academy</t>
        </is>
      </c>
      <c r="D688" s="1349" t="inlineStr">
        <is>
          <t>Stripe</t>
        </is>
      </c>
      <c r="E688" s="1351" t="n">
        <v>25</v>
      </c>
      <c r="F688" s="1349" t="inlineStr">
        <is>
          <t>E-Book Foundation</t>
        </is>
      </c>
      <c r="G688" s="1349" t="inlineStr">
        <is>
          <t>Existing</t>
        </is>
      </c>
      <c r="I688" t="inlineStr">
        <is>
          <t>Academy - Membership / eBook / Exams (historical bundle)</t>
        </is>
      </c>
      <c r="J688" t="inlineStr">
        <is>
          <t>https://www.alanranger.com/free-online-photography-course</t>
        </is>
      </c>
    </row>
    <row r="689" ht="13.5" customHeight="1" s="1232">
      <c r="A689" s="1348" t="n">
        <v>45659</v>
      </c>
      <c r="B689" s="1349" t="inlineStr">
        <is>
          <t>Timothy Reeve</t>
        </is>
      </c>
      <c r="C689" s="1350" t="inlineStr">
        <is>
          <t>9. Gift Vouchers Out</t>
        </is>
      </c>
      <c r="D689" s="1349" t="inlineStr">
        <is>
          <t>Gift Voucher Out</t>
        </is>
      </c>
      <c r="E689" s="1351" t="n">
        <v>-50</v>
      </c>
      <c r="F689" s="1349" t="inlineStr">
        <is>
          <t>Chesterton</t>
        </is>
      </c>
      <c r="G689" s="1349" t="inlineStr">
        <is>
          <t>Referral</t>
        </is>
      </c>
      <c r="I689" t="inlineStr">
        <is>
          <t>Voucher/Plan Redemption - not a product sale</t>
        </is>
      </c>
      <c r="J689" t="inlineStr"/>
    </row>
    <row r="690" ht="13.5" customHeight="1" s="1232">
      <c r="A690" s="1348" t="n">
        <v>45659</v>
      </c>
      <c r="B690" s="1349" t="inlineStr">
        <is>
          <t>Timothy Reeve</t>
        </is>
      </c>
      <c r="C690" s="1350" t="inlineStr">
        <is>
          <t>2. Workshops Non Residential</t>
        </is>
      </c>
      <c r="D690" s="1349" t="inlineStr">
        <is>
          <t>Gift Voucher Out</t>
        </is>
      </c>
      <c r="E690" s="1351" t="n">
        <v>50</v>
      </c>
      <c r="F690" s="1349" t="inlineStr">
        <is>
          <t>Chesterton</t>
        </is>
      </c>
      <c r="G690" s="1349" t="inlineStr">
        <is>
          <t>Referral</t>
        </is>
      </c>
      <c r="I690" t="inlineStr">
        <is>
          <t>Photography Workshops CHESTERTON WINDMILL - Warwickshire</t>
        </is>
      </c>
      <c r="J690" t="inlineStr">
        <is>
          <t>https://www.alanranger.com/landscape-photography-workshops</t>
        </is>
      </c>
    </row>
    <row r="691" ht="13.5" customHeight="1" s="1232">
      <c r="A691" s="1348" t="n">
        <v>45659</v>
      </c>
      <c r="B691" s="1349" t="inlineStr">
        <is>
          <t>Anant Bhatia</t>
        </is>
      </c>
      <c r="C691" s="1350" t="inlineStr">
        <is>
          <t>2. Workshops Non Residential</t>
        </is>
      </c>
      <c r="D691" s="1349" t="inlineStr">
        <is>
          <t>Stripe</t>
        </is>
      </c>
      <c r="E691" s="1351" t="n">
        <v>15</v>
      </c>
      <c r="F691" s="1349" t="inlineStr">
        <is>
          <t>Woodland Walk</t>
        </is>
      </c>
      <c r="G691" s="1349" t="inlineStr">
        <is>
          <t>Google</t>
        </is>
      </c>
      <c r="I691" t="inlineStr">
        <is>
          <t>Woodland Photography Walk - Warwickshire (half-day low-cost)</t>
        </is>
      </c>
      <c r="J691" t="inlineStr">
        <is>
          <t>https://www.alanranger.com/landscape-photography-workshops</t>
        </is>
      </c>
    </row>
    <row r="692" ht="13.5" customHeight="1" s="1232">
      <c r="A692" s="1348" t="n">
        <v>45658</v>
      </c>
      <c r="B692" s="1349" t="inlineStr">
        <is>
          <t>Pick N Mix</t>
        </is>
      </c>
      <c r="C692" s="1350" t="inlineStr">
        <is>
          <t>4. Pick n Mix Inc</t>
        </is>
      </c>
      <c r="D692" s="1349" t="inlineStr">
        <is>
          <t>Bank</t>
        </is>
      </c>
      <c r="E692" s="1351" t="n">
        <v>250</v>
      </c>
      <c r="F692" s="1349" t="inlineStr">
        <is>
          <t>Kirsten</t>
        </is>
      </c>
      <c r="G692" s="1349" t="inlineStr">
        <is>
          <t>Existing</t>
        </is>
      </c>
      <c r="I692" t="inlineStr">
        <is>
          <t>Pick N Mix Payment Plan</t>
        </is>
      </c>
      <c r="J692" t="inlineStr">
        <is>
          <t>https://www.alanranger.com/photography-payment-plan</t>
        </is>
      </c>
    </row>
    <row r="693" ht="13.5" customHeight="1" s="1232">
      <c r="A693" s="1348" t="n">
        <v>45658</v>
      </c>
      <c r="B693" s="1349" t="inlineStr">
        <is>
          <t>Mentoring Subs</t>
        </is>
      </c>
      <c r="C693" s="1350" t="inlineStr">
        <is>
          <t>6. Mentoring</t>
        </is>
      </c>
      <c r="D693" s="1349" t="inlineStr">
        <is>
          <t>Stripe</t>
        </is>
      </c>
      <c r="E693" s="1351" t="n">
        <v>70</v>
      </c>
      <c r="F693" s="1349" t="inlineStr">
        <is>
          <t>Mentoring Subs</t>
        </is>
      </c>
      <c r="G693" s="1349" t="inlineStr">
        <is>
          <t>Existing</t>
        </is>
      </c>
      <c r="I693" t="inlineStr">
        <is>
          <t>Mentoring - Monthly Subscription</t>
        </is>
      </c>
      <c r="J693" t="inlineStr">
        <is>
          <t>https://www.alanranger.com/photography-mentoring-online-assignments</t>
        </is>
      </c>
    </row>
  </sheetData>
  <mergeCells count="1">
    <mergeCell ref="Z20:AA20"/>
  </mergeCells>
  <conditionalFormatting sqref="D47:E47 D48:D63 D64:F67 E2:E25 E27:E28 E30 E32:E42 E44 E48:E62 E65:G65 E68:E144 E204:E206 E209:E398 E400:E422 E424:E479 E481:E498 E501:E546 E548:E596 E598:E622 E624:E626 E629:E641 E643:E651 E654:E656 E658:E661 E664:E667 E670:E676 E679:E686 E688:E691 E694:E1048576 N30:N32 P30:V32 V175:V905 X6:X29 X45:X50 X128 X137:X147 X160 X165 X174 Y24:Y33">
    <cfRule type="cellIs" priority="307" operator="lessThan" dxfId="1">
      <formula>0</formula>
    </cfRule>
  </conditionalFormatting>
  <conditionalFormatting sqref="X43">
    <cfRule type="cellIs" priority="306" operator="lessThan" dxfId="1">
      <formula>0</formula>
    </cfRule>
  </conditionalFormatting>
  <conditionalFormatting sqref="X6:X18">
    <cfRule type="cellIs" priority="304" operator="lessThan" dxfId="1">
      <formula>0</formula>
    </cfRule>
    <cfRule type="cellIs" priority="302" operator="lessThan" dxfId="1">
      <formula>0</formula>
    </cfRule>
    <cfRule type="cellIs" priority="295" operator="lessThan" dxfId="1">
      <formula>0</formula>
    </cfRule>
    <cfRule type="cellIs" priority="292" operator="lessThan" dxfId="1">
      <formula>0</formula>
    </cfRule>
    <cfRule type="cellIs" priority="291" operator="lessThan" dxfId="1">
      <formula>0</formula>
    </cfRule>
    <cfRule type="cellIs" priority="290" operator="lessThan" dxfId="1">
      <formula>0</formula>
    </cfRule>
    <cfRule type="cellIs" priority="289" operator="lessThan" dxfId="1">
      <formula>0</formula>
    </cfRule>
    <cfRule type="cellIs" priority="283" operator="lessThan" dxfId="1">
      <formula>0</formula>
    </cfRule>
    <cfRule type="cellIs" priority="280" operator="lessThan" dxfId="1">
      <formula>0</formula>
    </cfRule>
    <cfRule type="cellIs" priority="279" operator="lessThan" dxfId="1">
      <formula>0</formula>
    </cfRule>
    <cfRule type="cellIs" priority="239" operator="lessThan" dxfId="1">
      <formula>0</formula>
    </cfRule>
    <cfRule type="cellIs" priority="238" operator="lessThan" dxfId="1">
      <formula>0</formula>
    </cfRule>
    <cfRule type="cellIs" priority="237" operator="lessThan" dxfId="1">
      <formula>0</formula>
    </cfRule>
    <cfRule type="cellIs" priority="236" operator="lessThan" dxfId="1">
      <formula>0</formula>
    </cfRule>
    <cfRule type="cellIs" priority="235" operator="lessThan" dxfId="1">
      <formula>0</formula>
    </cfRule>
    <cfRule type="cellIs" priority="234" operator="lessThan" dxfId="1">
      <formula>0</formula>
    </cfRule>
    <cfRule type="cellIs" priority="233" operator="lessThan" dxfId="1">
      <formula>0</formula>
    </cfRule>
    <cfRule type="cellIs" priority="232" operator="lessThan" dxfId="1">
      <formula>0</formula>
    </cfRule>
    <cfRule type="cellIs" priority="231" operator="lessThan" dxfId="1">
      <formula>0</formula>
    </cfRule>
    <cfRule type="cellIs" priority="230" operator="lessThan" dxfId="1">
      <formula>0</formula>
    </cfRule>
    <cfRule type="cellIs" priority="229" operator="lessThan" dxfId="1">
      <formula>0</formula>
    </cfRule>
    <cfRule type="cellIs" priority="228" operator="lessThan" dxfId="1">
      <formula>0</formula>
    </cfRule>
    <cfRule type="cellIs" priority="227" operator="lessThan" dxfId="1">
      <formula>0</formula>
    </cfRule>
    <cfRule type="cellIs" priority="226" operator="lessThan" dxfId="1">
      <formula>0</formula>
    </cfRule>
    <cfRule type="cellIs" priority="225" operator="lessThan" dxfId="1">
      <formula>0</formula>
    </cfRule>
    <cfRule type="cellIs" priority="224" operator="lessThan" dxfId="1">
      <formula>0</formula>
    </cfRule>
    <cfRule type="cellIs" priority="223" operator="lessThan" dxfId="1">
      <formula>0</formula>
    </cfRule>
    <cfRule type="cellIs" priority="222" operator="lessThan" dxfId="1">
      <formula>0</formula>
    </cfRule>
  </conditionalFormatting>
  <conditionalFormatting sqref="X44">
    <cfRule type="cellIs" priority="305" operator="lessThan" dxfId="1">
      <formula>0</formula>
    </cfRule>
  </conditionalFormatting>
  <conditionalFormatting sqref="X6:X29 Y24:Y33">
    <cfRule type="cellIs" priority="303" operator="greaterThan" dxfId="0">
      <formula>0</formula>
    </cfRule>
  </conditionalFormatting>
  <conditionalFormatting sqref="J48">
    <cfRule type="cellIs" priority="300" operator="greaterThan" dxfId="0">
      <formula>0</formula>
    </cfRule>
    <cfRule type="cellIs" priority="301" operator="lessThan" dxfId="1">
      <formula>0</formula>
    </cfRule>
  </conditionalFormatting>
  <conditionalFormatting sqref="Y6">
    <cfRule type="cellIs" priority="299" operator="lessThan" dxfId="1">
      <formula>0</formula>
    </cfRule>
    <cfRule type="cellIs" priority="298" operator="greaterThan" dxfId="0">
      <formula>0</formula>
    </cfRule>
  </conditionalFormatting>
  <conditionalFormatting sqref="Z6">
    <cfRule type="cellIs" priority="297" operator="lessThan" dxfId="1">
      <formula>0</formula>
    </cfRule>
    <cfRule type="cellIs" priority="296" operator="greaterThan" dxfId="0">
      <formula>0</formula>
    </cfRule>
  </conditionalFormatting>
  <conditionalFormatting sqref="AB6:AB18">
    <cfRule type="cellIs" priority="293" operator="lessThan" dxfId="1">
      <formula>0</formula>
    </cfRule>
    <cfRule type="cellIs" priority="294" operator="greaterThan" dxfId="0">
      <formula>0</formula>
    </cfRule>
  </conditionalFormatting>
  <conditionalFormatting sqref="W19">
    <cfRule type="cellIs" priority="286" operator="greaterThan" dxfId="0">
      <formula>0.8</formula>
    </cfRule>
    <cfRule type="cellIs" priority="287" operator="between" dxfId="26">
      <formula>0.51</formula>
      <formula>0.8</formula>
    </cfRule>
    <cfRule type="cellIs" priority="288" operator="lessThan" dxfId="1">
      <formula>0.5</formula>
    </cfRule>
  </conditionalFormatting>
  <conditionalFormatting sqref="X149">
    <cfRule type="cellIs" priority="285" operator="lessThan" dxfId="1">
      <formula>0</formula>
    </cfRule>
  </conditionalFormatting>
  <conditionalFormatting sqref="X162:X164">
    <cfRule type="cellIs" priority="284" operator="lessThan" dxfId="1">
      <formula>0</formula>
    </cfRule>
  </conditionalFormatting>
  <conditionalFormatting sqref="Y40">
    <cfRule type="cellIs" priority="282" operator="lessThan" dxfId="1">
      <formula>0</formula>
    </cfRule>
    <cfRule type="cellIs" priority="281" operator="greaterThan" dxfId="0">
      <formula>0</formula>
    </cfRule>
  </conditionalFormatting>
  <conditionalFormatting sqref="X40">
    <cfRule type="cellIs" priority="276" operator="lessThan" dxfId="1">
      <formula>0</formula>
    </cfRule>
    <cfRule type="cellIs" priority="275" operator="lessThan" dxfId="1">
      <formula>0</formula>
    </cfRule>
    <cfRule type="cellIs" priority="274" operator="lessThan" dxfId="1">
      <formula>0</formula>
    </cfRule>
    <cfRule type="cellIs" priority="273" operator="lessThan" dxfId="1">
      <formula>0</formula>
    </cfRule>
    <cfRule type="cellIs" priority="278" operator="lessThan" dxfId="1">
      <formula>0</formula>
    </cfRule>
    <cfRule type="cellIs" priority="277" operator="greaterThan" dxfId="0">
      <formula>0</formula>
    </cfRule>
    <cfRule type="cellIs" priority="272" operator="lessThan" dxfId="1">
      <formula>0</formula>
    </cfRule>
  </conditionalFormatting>
  <conditionalFormatting sqref="Z109:Z110">
    <cfRule type="cellIs" priority="270" operator="lessThan" dxfId="1">
      <formula>0</formula>
    </cfRule>
    <cfRule type="cellIs" priority="271" operator="greaterThan" dxfId="0">
      <formula>0</formula>
    </cfRule>
  </conditionalFormatting>
  <conditionalFormatting sqref="X167:X168">
    <cfRule type="cellIs" priority="269" operator="lessThan" dxfId="1">
      <formula>0</formula>
    </cfRule>
  </conditionalFormatting>
  <conditionalFormatting sqref="X169:X170">
    <cfRule type="cellIs" priority="268" operator="lessThan" dxfId="1">
      <formula>0</formula>
    </cfRule>
  </conditionalFormatting>
  <conditionalFormatting sqref="X172:X173">
    <cfRule type="cellIs" priority="267" operator="lessThan" dxfId="1">
      <formula>0</formula>
    </cfRule>
  </conditionalFormatting>
  <conditionalFormatting sqref="X37:X39">
    <cfRule type="cellIs" priority="264" operator="lessThan" dxfId="1">
      <formula>0</formula>
    </cfRule>
    <cfRule type="cellIs" priority="263" operator="lessThan" dxfId="1">
      <formula>0</formula>
    </cfRule>
    <cfRule type="cellIs" priority="262" operator="lessThan" dxfId="1">
      <formula>0</formula>
    </cfRule>
    <cfRule type="cellIs" priority="261" operator="lessThan" dxfId="1">
      <formula>0</formula>
    </cfRule>
    <cfRule type="cellIs" priority="266" operator="lessThan" dxfId="1">
      <formula>0</formula>
    </cfRule>
    <cfRule type="cellIs" priority="265" operator="greaterThan" dxfId="0">
      <formula>0</formula>
    </cfRule>
    <cfRule type="cellIs" priority="260" operator="lessThan" dxfId="1">
      <formula>0</formula>
    </cfRule>
  </conditionalFormatting>
  <conditionalFormatting sqref="Y37:Y39">
    <cfRule type="cellIs" priority="259" operator="lessThan" dxfId="1">
      <formula>0</formula>
    </cfRule>
    <cfRule type="cellIs" priority="258" operator="greaterThan" dxfId="0">
      <formula>0</formula>
    </cfRule>
  </conditionalFormatting>
  <conditionalFormatting sqref="K67:W78">
    <cfRule type="cellIs" priority="256" operator="lessThan" dxfId="1">
      <formula>0</formula>
    </cfRule>
    <cfRule type="cellIs" priority="257" operator="greaterThan" dxfId="0">
      <formula>0.1</formula>
    </cfRule>
  </conditionalFormatting>
  <conditionalFormatting sqref="K79">
    <cfRule type="cellIs" priority="254" operator="lessThan" dxfId="1">
      <formula>0</formula>
    </cfRule>
    <cfRule type="cellIs" priority="255" operator="greaterThan" dxfId="0">
      <formula>0.1</formula>
    </cfRule>
  </conditionalFormatting>
  <conditionalFormatting sqref="W67">
    <cfRule type="cellIs" priority="252" operator="lessThan" dxfId="1">
      <formula>0</formula>
    </cfRule>
    <cfRule type="cellIs" priority="253" operator="greaterThan" dxfId="0">
      <formula>0.1</formula>
    </cfRule>
  </conditionalFormatting>
  <conditionalFormatting sqref="L67:V70 L72:V74 L76:V78">
    <cfRule type="cellIs" priority="250" operator="lessThan" dxfId="1">
      <formula>0</formula>
    </cfRule>
    <cfRule type="cellIs" priority="251" operator="greaterThan" dxfId="0">
      <formula>0.1</formula>
    </cfRule>
  </conditionalFormatting>
  <conditionalFormatting sqref="K71:V71">
    <cfRule type="cellIs" priority="248" operator="lessThan" dxfId="1">
      <formula>0</formula>
    </cfRule>
    <cfRule type="cellIs" priority="249" operator="greaterThan" dxfId="0">
      <formula>0.1</formula>
    </cfRule>
    <cfRule type="cellIs" priority="246" operator="lessThan" dxfId="1">
      <formula>0</formula>
    </cfRule>
    <cfRule type="cellIs" priority="247" operator="greaterThan" dxfId="0">
      <formula>0.1</formula>
    </cfRule>
  </conditionalFormatting>
  <conditionalFormatting sqref="L71:V71">
    <cfRule type="cellIs" priority="244" operator="lessThan" dxfId="1">
      <formula>0</formula>
    </cfRule>
    <cfRule type="cellIs" priority="245" operator="greaterThan" dxfId="0">
      <formula>0.1</formula>
    </cfRule>
    <cfRule type="cellIs" priority="242" operator="lessThan" dxfId="1">
      <formula>0</formula>
    </cfRule>
    <cfRule type="cellIs" priority="243" operator="greaterThan" dxfId="0">
      <formula>0.1</formula>
    </cfRule>
  </conditionalFormatting>
  <conditionalFormatting sqref="L79:W79">
    <cfRule type="cellIs" priority="240" operator="lessThan" dxfId="1">
      <formula>0</formula>
    </cfRule>
    <cfRule type="cellIs" priority="241" operator="greaterThan" dxfId="0">
      <formula>0.1</formula>
    </cfRule>
  </conditionalFormatting>
  <conditionalFormatting sqref="Z42">
    <cfRule type="cellIs" priority="221" operator="lessThan" dxfId="1">
      <formula>0</formula>
    </cfRule>
    <cfRule type="cellIs" priority="220" operator="greaterThan" dxfId="0">
      <formula>0</formula>
    </cfRule>
  </conditionalFormatting>
  <conditionalFormatting sqref="X36">
    <cfRule type="cellIs" priority="206" operator="lessThan" dxfId="1">
      <formula>0</formula>
    </cfRule>
    <cfRule type="cellIs" priority="205" operator="lessThan" dxfId="1">
      <formula>0</formula>
    </cfRule>
    <cfRule type="cellIs" priority="204" operator="lessThan" dxfId="1">
      <formula>0</formula>
    </cfRule>
    <cfRule type="cellIs" priority="203" operator="lessThan" dxfId="1">
      <formula>0</formula>
    </cfRule>
    <cfRule type="cellIs" priority="208" operator="lessThan" dxfId="1">
      <formula>0</formula>
    </cfRule>
    <cfRule type="cellIs" priority="207" operator="greaterThan" dxfId="0">
      <formula>0</formula>
    </cfRule>
    <cfRule type="cellIs" priority="202" operator="lessThan" dxfId="1">
      <formula>0</formula>
    </cfRule>
  </conditionalFormatting>
  <conditionalFormatting sqref="Z7:Z18">
    <cfRule type="cellIs" priority="197" operator="lessThan" dxfId="1">
      <formula>0</formula>
    </cfRule>
    <cfRule type="cellIs" priority="196" operator="greaterThan" dxfId="0">
      <formula>0</formula>
    </cfRule>
  </conditionalFormatting>
  <conditionalFormatting sqref="K19:V19 K20:W20">
    <cfRule type="cellIs" priority="217" operator="greaterThan" dxfId="0">
      <formula>0.81</formula>
    </cfRule>
    <cfRule type="cellIs" priority="218" operator="between" dxfId="1036">
      <formula>0.301</formula>
      <formula>0.8</formula>
    </cfRule>
    <cfRule type="cellIs" priority="219" operator="lessThan" dxfId="1">
      <formula>0.3</formula>
    </cfRule>
  </conditionalFormatting>
  <conditionalFormatting sqref="K24:W24">
    <cfRule type="cellIs" priority="215" operator="lessThan" dxfId="1">
      <formula>0</formula>
    </cfRule>
    <cfRule type="cellIs" priority="216" operator="greaterThan" dxfId="0">
      <formula>0.0001</formula>
    </cfRule>
  </conditionalFormatting>
  <conditionalFormatting sqref="Q19">
    <cfRule type="cellIs" priority="212" operator="greaterThan" dxfId="0">
      <formula>0.75</formula>
    </cfRule>
    <cfRule type="cellIs" priority="213" operator="between" dxfId="1036">
      <formula>0.301</formula>
      <formula>0.7499</formula>
    </cfRule>
    <cfRule type="cellIs" priority="214" operator="lessThan" dxfId="1">
      <formula>0.3</formula>
    </cfRule>
  </conditionalFormatting>
  <conditionalFormatting sqref="Y42">
    <cfRule type="cellIs" priority="210" operator="lessThan" dxfId="1">
      <formula>0</formula>
    </cfRule>
    <cfRule type="cellIs" priority="211" operator="greaterThan" dxfId="0">
      <formula>0</formula>
    </cfRule>
  </conditionalFormatting>
  <conditionalFormatting sqref="X35">
    <cfRule type="cellIs" priority="189" operator="lessThan" dxfId="1">
      <formula>0</formula>
    </cfRule>
    <cfRule type="cellIs" priority="186" operator="lessThan" dxfId="1">
      <formula>0</formula>
    </cfRule>
    <cfRule type="cellIs" priority="185" operator="lessThan" dxfId="1">
      <formula>0</formula>
    </cfRule>
    <cfRule type="cellIs" priority="187" operator="lessThan" dxfId="1">
      <formula>0</formula>
    </cfRule>
    <cfRule type="cellIs" priority="184" operator="lessThan" dxfId="1">
      <formula>0</formula>
    </cfRule>
    <cfRule type="cellIs" priority="188" operator="greaterThan" dxfId="0">
      <formula>0</formula>
    </cfRule>
    <cfRule type="cellIs" priority="183" operator="lessThan" dxfId="1">
      <formula>0</formula>
    </cfRule>
  </conditionalFormatting>
  <conditionalFormatting sqref="X150:X159">
    <cfRule type="cellIs" priority="209" operator="lessThan" dxfId="1">
      <formula>0</formula>
    </cfRule>
  </conditionalFormatting>
  <conditionalFormatting sqref="Y36">
    <cfRule type="cellIs" priority="201" operator="lessThan" dxfId="1">
      <formula>0</formula>
    </cfRule>
    <cfRule type="cellIs" priority="200" operator="greaterThan" dxfId="0">
      <formula>0</formula>
    </cfRule>
  </conditionalFormatting>
  <conditionalFormatting sqref="X129:X136">
    <cfRule type="cellIs" priority="199" operator="lessThan" dxfId="1">
      <formula>0</formula>
    </cfRule>
  </conditionalFormatting>
  <conditionalFormatting sqref="K6:V17 K18:W18">
    <cfRule type="cellIs" priority="198" operator="lessThan" dxfId="1">
      <formula>0</formula>
    </cfRule>
  </conditionalFormatting>
  <conditionalFormatting sqref="K32:V41">
    <cfRule type="aboveAverage" priority="195" dxfId="1865"/>
    <cfRule type="aboveAverage" priority="190" dxfId="1865"/>
    <cfRule type="aboveAverage" priority="142" dxfId="1865"/>
    <cfRule type="aboveAverage" priority="141" dxfId="1865"/>
  </conditionalFormatting>
  <conditionalFormatting sqref="X67:X79">
    <cfRule type="cellIs" priority="191" operator="greaterThan" dxfId="1255">
      <formula>0</formula>
    </cfRule>
    <cfRule type="cellIs" priority="193" operator="lessThan" dxfId="1">
      <formula>0</formula>
    </cfRule>
    <cfRule type="cellIs" priority="192" operator="greaterThan" dxfId="0">
      <formula>0</formula>
    </cfRule>
  </conditionalFormatting>
  <conditionalFormatting sqref="Y35">
    <cfRule type="cellIs" priority="182" operator="lessThan" dxfId="1">
      <formula>0</formula>
    </cfRule>
    <cfRule type="cellIs" priority="181" operator="greaterThan" dxfId="0">
      <formula>0</formula>
    </cfRule>
  </conditionalFormatting>
  <conditionalFormatting sqref="L168:V168">
    <cfRule type="cellIs" priority="176" operator="lessThan" dxfId="1">
      <formula>0</formula>
    </cfRule>
  </conditionalFormatting>
  <conditionalFormatting sqref="K75:V75">
    <cfRule type="cellIs" priority="179" operator="lessThan" dxfId="1">
      <formula>0</formula>
    </cfRule>
    <cfRule type="cellIs" priority="180" operator="greaterThan" dxfId="0">
      <formula>0.1</formula>
    </cfRule>
  </conditionalFormatting>
  <conditionalFormatting sqref="K82:K93">
    <cfRule type="cellIs" priority="178" operator="lessThan" dxfId="1">
      <formula>0</formula>
    </cfRule>
  </conditionalFormatting>
  <conditionalFormatting sqref="L82:V82">
    <cfRule type="cellIs" priority="177" operator="lessThan" dxfId="1">
      <formula>0</formula>
    </cfRule>
  </conditionalFormatting>
  <conditionalFormatting sqref="Y19:Y23">
    <cfRule type="cellIs" priority="175" operator="lessThan" dxfId="1">
      <formula>0</formula>
    </cfRule>
    <cfRule type="cellIs" priority="174" operator="greaterThan" dxfId="0">
      <formula>0</formula>
    </cfRule>
  </conditionalFormatting>
  <conditionalFormatting sqref="X34">
    <cfRule type="cellIs" priority="163" operator="lessThan" dxfId="1">
      <formula>0</formula>
    </cfRule>
    <cfRule type="cellIs" priority="167" operator="lessThan" dxfId="1">
      <formula>0</formula>
    </cfRule>
    <cfRule type="cellIs" priority="166" operator="lessThan" dxfId="1">
      <formula>0</formula>
    </cfRule>
    <cfRule type="cellIs" priority="165" operator="lessThan" dxfId="1">
      <formula>0</formula>
    </cfRule>
    <cfRule type="cellIs" priority="164" operator="lessThan" dxfId="1">
      <formula>0</formula>
    </cfRule>
    <cfRule type="cellIs" priority="169" operator="lessThan" dxfId="1">
      <formula>0</formula>
    </cfRule>
    <cfRule type="cellIs" priority="168" operator="greaterThan" dxfId="0">
      <formula>0</formula>
    </cfRule>
  </conditionalFormatting>
  <conditionalFormatting sqref="Y7:Y18">
    <cfRule type="cellIs" priority="173" operator="lessThan" dxfId="1">
      <formula>0</formula>
    </cfRule>
    <cfRule type="cellIs" priority="172" operator="greaterThan" dxfId="0">
      <formula>0</formula>
    </cfRule>
  </conditionalFormatting>
  <conditionalFormatting sqref="W68:W78">
    <cfRule type="cellIs" priority="170" operator="lessThan" dxfId="1">
      <formula>0</formula>
    </cfRule>
    <cfRule type="cellIs" priority="171" operator="greaterThan" dxfId="0">
      <formula>0.1</formula>
    </cfRule>
  </conditionalFormatting>
  <conditionalFormatting sqref="Y34">
    <cfRule type="cellIs" priority="162" operator="lessThan" dxfId="1">
      <formula>0</formula>
    </cfRule>
    <cfRule type="cellIs" priority="161" operator="greaterThan" dxfId="0">
      <formula>0</formula>
    </cfRule>
  </conditionalFormatting>
  <conditionalFormatting sqref="K128:K136">
    <cfRule type="cellIs" priority="160" operator="lessThan" dxfId="1">
      <formula>0</formula>
    </cfRule>
  </conditionalFormatting>
  <conditionalFormatting sqref="L128:V128">
    <cfRule type="cellIs" priority="159" operator="lessThan" dxfId="1">
      <formula>0</formula>
    </cfRule>
  </conditionalFormatting>
  <conditionalFormatting sqref="K149:K158">
    <cfRule type="cellIs" priority="158" operator="lessThan" dxfId="1">
      <formula>0</formula>
    </cfRule>
  </conditionalFormatting>
  <conditionalFormatting sqref="L149:V149">
    <cfRule type="cellIs" priority="157" operator="lessThan" dxfId="1">
      <formula>0</formula>
    </cfRule>
  </conditionalFormatting>
  <conditionalFormatting sqref="E30">
    <cfRule type="cellIs" priority="156" operator="lessThan" dxfId="1">
      <formula>0</formula>
    </cfRule>
  </conditionalFormatting>
  <conditionalFormatting sqref="E29">
    <cfRule type="cellIs" priority="154" operator="lessThan" dxfId="1">
      <formula>0</formula>
    </cfRule>
  </conditionalFormatting>
  <conditionalFormatting sqref="S33">
    <cfRule type="aboveAverage" priority="153" dxfId="1865"/>
    <cfRule type="aboveAverage" priority="152" dxfId="1865"/>
  </conditionalFormatting>
  <conditionalFormatting sqref="T33">
    <cfRule type="aboveAverage" priority="151" dxfId="1865"/>
    <cfRule type="aboveAverage" priority="150" dxfId="1865"/>
  </conditionalFormatting>
  <conditionalFormatting sqref="U33">
    <cfRule type="aboveAverage" priority="149" dxfId="1865"/>
    <cfRule type="aboveAverage" priority="148" dxfId="1865"/>
    <cfRule type="aboveAverage" priority="147" dxfId="1865"/>
    <cfRule type="aboveAverage" priority="146" dxfId="1865"/>
  </conditionalFormatting>
  <conditionalFormatting sqref="V30:V33">
    <cfRule type="cellIs" priority="144" operator="lessThan" dxfId="1">
      <formula>0</formula>
    </cfRule>
  </conditionalFormatting>
  <conditionalFormatting sqref="E31">
    <cfRule type="cellIs" priority="143" operator="lessThan" dxfId="1">
      <formula>0</formula>
    </cfRule>
  </conditionalFormatting>
  <conditionalFormatting sqref="X30:X33">
    <cfRule type="cellIs" priority="134" operator="lessThan" dxfId="1">
      <formula>0</formula>
    </cfRule>
    <cfRule type="cellIs" priority="138" operator="lessThan" dxfId="1">
      <formula>0</formula>
    </cfRule>
    <cfRule type="cellIs" priority="137" operator="lessThan" dxfId="1">
      <formula>0</formula>
    </cfRule>
    <cfRule type="cellIs" priority="136" operator="lessThan" dxfId="1">
      <formula>0</formula>
    </cfRule>
    <cfRule type="cellIs" priority="135" operator="lessThan" dxfId="1">
      <formula>0</formula>
    </cfRule>
    <cfRule type="cellIs" priority="140" operator="lessThan" dxfId="1">
      <formula>0</formula>
    </cfRule>
    <cfRule type="cellIs" priority="139" operator="greaterThan" dxfId="0">
      <formula>0</formula>
    </cfRule>
  </conditionalFormatting>
  <conditionalFormatting sqref="L28:P29 V25:W25">
    <cfRule type="cellIs" priority="132" operator="lessThan" dxfId="1">
      <formula>0</formula>
    </cfRule>
  </conditionalFormatting>
  <conditionalFormatting sqref="V25:W25">
    <cfRule type="cellIs" priority="93" operator="greaterThan" dxfId="0">
      <formula>935</formula>
    </cfRule>
    <cfRule type="cellIs" priority="94" operator="lessThan" dxfId="1">
      <formula>935</formula>
    </cfRule>
    <cfRule type="cellIs" priority="131" operator="lessThan" dxfId="1">
      <formula>0</formula>
    </cfRule>
  </conditionalFormatting>
  <conditionalFormatting sqref="K22:W22 W23">
    <cfRule type="aboveAverage" priority="100" dxfId="1865"/>
    <cfRule type="cellIs" priority="97" operator="between" dxfId="2881">
      <formula>1601</formula>
      <formula>1800</formula>
    </cfRule>
  </conditionalFormatting>
  <conditionalFormatting sqref="W23">
    <cfRule type="aboveAverage" priority="99" dxfId="1865"/>
    <cfRule type="aboveAverage" priority="98" dxfId="1865"/>
  </conditionalFormatting>
  <conditionalFormatting sqref="K22:V22 W23">
    <cfRule type="cellIs" priority="95" operator="lessThan" dxfId="1">
      <formula>1600</formula>
    </cfRule>
    <cfRule type="cellIs" priority="96" operator="greaterThan" dxfId="0">
      <formula>1801</formula>
    </cfRule>
  </conditionalFormatting>
  <conditionalFormatting sqref="G6:G17">
    <cfRule type="cellIs" priority="90" operator="lessThan" dxfId="1">
      <formula>0.04</formula>
    </cfRule>
    <cfRule type="cellIs" priority="91" operator="between" dxfId="26">
      <formula>0.04</formula>
      <formula>0.09</formula>
    </cfRule>
    <cfRule type="cellIs" priority="92" operator="greaterThan" dxfId="0">
      <formula>10%</formula>
    </cfRule>
  </conditionalFormatting>
  <conditionalFormatting sqref="H6:H17">
    <cfRule type="cellIs" priority="87" operator="lessThan" dxfId="1">
      <formula>0.04</formula>
    </cfRule>
    <cfRule type="cellIs" priority="88" operator="between" dxfId="26">
      <formula>0.04</formula>
      <formula>0.09</formula>
    </cfRule>
    <cfRule type="cellIs" priority="89" operator="greaterThan" dxfId="0">
      <formula>10%</formula>
    </cfRule>
  </conditionalFormatting>
  <conditionalFormatting sqref="K31:V31">
    <cfRule type="aboveAverage" priority="86" dxfId="1865"/>
    <cfRule type="aboveAverage" priority="85" dxfId="1865"/>
    <cfRule type="aboveAverage" priority="84" dxfId="1865"/>
    <cfRule type="aboveAverage" priority="83" dxfId="1865"/>
  </conditionalFormatting>
  <conditionalFormatting sqref="D9">
    <cfRule type="cellIs" priority="80" operator="lessThan" dxfId="1">
      <formula>0</formula>
    </cfRule>
    <cfRule type="cellIs" priority="81" operator="greaterThan" dxfId="0">
      <formula>0.01</formula>
    </cfRule>
  </conditionalFormatting>
  <conditionalFormatting sqref="D5">
    <cfRule type="cellIs" priority="76" operator="greaterThan" dxfId="0">
      <formula>15.01</formula>
    </cfRule>
    <cfRule type="cellIs" priority="77" operator="lessThan" dxfId="1">
      <formula>15</formula>
    </cfRule>
  </conditionalFormatting>
  <conditionalFormatting sqref="E692:E693">
    <cfRule type="cellIs" priority="67" operator="lessThan" dxfId="1">
      <formula>0</formula>
    </cfRule>
  </conditionalFormatting>
  <conditionalFormatting sqref="K30:V30">
    <cfRule type="aboveAverage" priority="63" dxfId="1865"/>
    <cfRule type="aboveAverage" priority="62" dxfId="1865"/>
    <cfRule type="aboveAverage" priority="61" dxfId="1865"/>
    <cfRule type="aboveAverage" priority="60" dxfId="1865"/>
  </conditionalFormatting>
  <conditionalFormatting sqref="L83:U93">
    <cfRule type="cellIs" priority="59" operator="lessThan" dxfId="1">
      <formula>0</formula>
    </cfRule>
  </conditionalFormatting>
  <conditionalFormatting sqref="L129:U136">
    <cfRule type="cellIs" priority="58" operator="lessThan" dxfId="1">
      <formula>0</formula>
    </cfRule>
  </conditionalFormatting>
  <conditionalFormatting sqref="L150:U158">
    <cfRule type="cellIs" priority="57" operator="lessThan" dxfId="1">
      <formula>0</formula>
    </cfRule>
  </conditionalFormatting>
  <conditionalFormatting sqref="E687">
    <cfRule type="cellIs" priority="56" operator="lessThan" dxfId="1">
      <formula>0</formula>
    </cfRule>
  </conditionalFormatting>
  <conditionalFormatting sqref="E677:E678">
    <cfRule type="cellIs" priority="55" operator="lessThan" dxfId="1">
      <formula>0</formula>
    </cfRule>
  </conditionalFormatting>
  <conditionalFormatting sqref="E668:E669">
    <cfRule type="cellIs" priority="54" operator="lessThan" dxfId="1">
      <formula>0</formula>
    </cfRule>
  </conditionalFormatting>
  <conditionalFormatting sqref="E662:E663">
    <cfRule type="cellIs" priority="53" operator="lessThan" dxfId="1">
      <formula>0</formula>
    </cfRule>
  </conditionalFormatting>
  <conditionalFormatting sqref="E657">
    <cfRule type="cellIs" priority="52" operator="lessThan" dxfId="1">
      <formula>0</formula>
    </cfRule>
  </conditionalFormatting>
  <conditionalFormatting sqref="E652:E653">
    <cfRule type="cellIs" priority="51" operator="lessThan" dxfId="1">
      <formula>0</formula>
    </cfRule>
  </conditionalFormatting>
  <conditionalFormatting sqref="A145">
    <cfRule type="cellIs" priority="50" operator="lessThan" dxfId="1">
      <formula>0</formula>
    </cfRule>
  </conditionalFormatting>
  <conditionalFormatting sqref="E642">
    <cfRule type="cellIs" priority="49" operator="lessThan" dxfId="1">
      <formula>0</formula>
    </cfRule>
  </conditionalFormatting>
  <conditionalFormatting sqref="E145">
    <cfRule type="cellIs" priority="48" operator="lessThan" dxfId="1">
      <formula>0</formula>
    </cfRule>
  </conditionalFormatting>
  <conditionalFormatting sqref="D68">
    <cfRule type="cellIs" priority="43" operator="lessThan" dxfId="1">
      <formula>0</formula>
    </cfRule>
  </conditionalFormatting>
  <conditionalFormatting sqref="E627:E628">
    <cfRule type="cellIs" priority="42" operator="lessThan" dxfId="1">
      <formula>0</formula>
    </cfRule>
  </conditionalFormatting>
  <conditionalFormatting sqref="E623">
    <cfRule type="cellIs" priority="41" operator="lessThan" dxfId="1">
      <formula>0</formula>
    </cfRule>
  </conditionalFormatting>
  <conditionalFormatting sqref="F47:F63">
    <cfRule type="cellIs" priority="40" operator="lessThan" dxfId="1">
      <formula>0</formula>
    </cfRule>
  </conditionalFormatting>
  <conditionalFormatting sqref="D65:G65">
    <cfRule type="cellIs" priority="37" operator="lessThan" dxfId="1">
      <formula>0</formula>
    </cfRule>
  </conditionalFormatting>
  <conditionalFormatting sqref="E597">
    <cfRule type="cellIs" priority="35" operator="lessThan" dxfId="1">
      <formula>0</formula>
    </cfRule>
  </conditionalFormatting>
  <conditionalFormatting sqref="E547">
    <cfRule type="cellIs" priority="34" operator="lessThan" dxfId="1">
      <formula>0</formula>
    </cfRule>
  </conditionalFormatting>
  <conditionalFormatting sqref="E499:E500">
    <cfRule type="cellIs" priority="33" operator="lessThan" dxfId="1">
      <formula>0</formula>
    </cfRule>
  </conditionalFormatting>
  <conditionalFormatting sqref="E480">
    <cfRule type="cellIs" priority="32" operator="lessThan" dxfId="1">
      <formula>0</formula>
    </cfRule>
  </conditionalFormatting>
  <conditionalFormatting sqref="E423">
    <cfRule type="cellIs" priority="31" operator="lessThan" dxfId="1">
      <formula>0</formula>
    </cfRule>
  </conditionalFormatting>
  <conditionalFormatting sqref="E65">
    <cfRule type="cellIs" priority="30" operator="lessThan" dxfId="1">
      <formula>0</formula>
    </cfRule>
  </conditionalFormatting>
  <conditionalFormatting sqref="F65">
    <cfRule type="cellIs" priority="29" operator="lessThan" dxfId="1">
      <formula>0</formula>
    </cfRule>
  </conditionalFormatting>
  <conditionalFormatting sqref="G65">
    <cfRule type="cellIs" priority="28" operator="lessThan" dxfId="1">
      <formula>0</formula>
    </cfRule>
  </conditionalFormatting>
  <conditionalFormatting sqref="E63">
    <cfRule type="cellIs" priority="27" operator="lessThan" dxfId="1">
      <formula>0</formula>
    </cfRule>
  </conditionalFormatting>
  <conditionalFormatting sqref="E399">
    <cfRule type="cellIs" priority="26" operator="lessThan" dxfId="1">
      <formula>0</formula>
    </cfRule>
  </conditionalFormatting>
  <conditionalFormatting sqref="V83:V93">
    <cfRule type="cellIs" priority="25" operator="lessThan" dxfId="1">
      <formula>0</formula>
    </cfRule>
  </conditionalFormatting>
  <conditionalFormatting sqref="V129:V136">
    <cfRule type="cellIs" priority="24" operator="lessThan" dxfId="1">
      <formula>0</formula>
    </cfRule>
  </conditionalFormatting>
  <conditionalFormatting sqref="V150:V158">
    <cfRule type="cellIs" priority="23" operator="lessThan" dxfId="1">
      <formula>0</formula>
    </cfRule>
  </conditionalFormatting>
  <conditionalFormatting sqref="K51:W62">
    <cfRule type="cellIs" priority="21" operator="lessThan" dxfId="1">
      <formula>0</formula>
    </cfRule>
    <cfRule type="cellIs" priority="22" operator="greaterThan" dxfId="0">
      <formula>0.1</formula>
    </cfRule>
  </conditionalFormatting>
  <conditionalFormatting sqref="K63">
    <cfRule type="cellIs" priority="19" operator="lessThan" dxfId="1">
      <formula>0</formula>
    </cfRule>
    <cfRule type="cellIs" priority="20" operator="greaterThan" dxfId="0">
      <formula>0.1</formula>
    </cfRule>
  </conditionalFormatting>
  <conditionalFormatting sqref="W51">
    <cfRule type="cellIs" priority="17" operator="lessThan" dxfId="1">
      <formula>0</formula>
    </cfRule>
    <cfRule type="cellIs" priority="18" operator="greaterThan" dxfId="0">
      <formula>0.1</formula>
    </cfRule>
  </conditionalFormatting>
  <conditionalFormatting sqref="L51:V54 L52:N62 L56:V58 L60:V62">
    <cfRule type="cellIs" priority="15" operator="lessThan" dxfId="1">
      <formula>0</formula>
    </cfRule>
    <cfRule type="cellIs" priority="16" operator="greaterThan" dxfId="0">
      <formula>0.1</formula>
    </cfRule>
  </conditionalFormatting>
  <conditionalFormatting sqref="K55:V55">
    <cfRule type="cellIs" priority="13" operator="lessThan" dxfId="1">
      <formula>0</formula>
    </cfRule>
    <cfRule type="cellIs" priority="14" operator="greaterThan" dxfId="0">
      <formula>0.1</formula>
    </cfRule>
    <cfRule type="cellIs" priority="11" operator="lessThan" dxfId="1">
      <formula>0</formula>
    </cfRule>
    <cfRule type="cellIs" priority="12" operator="greaterThan" dxfId="0">
      <formula>0.1</formula>
    </cfRule>
  </conditionalFormatting>
  <conditionalFormatting sqref="L55:V55">
    <cfRule type="cellIs" priority="9" operator="lessThan" dxfId="1">
      <formula>0</formula>
    </cfRule>
    <cfRule type="cellIs" priority="10" operator="greaterThan" dxfId="0">
      <formula>0.1</formula>
    </cfRule>
    <cfRule type="cellIs" priority="7" operator="lessThan" dxfId="1">
      <formula>0</formula>
    </cfRule>
    <cfRule type="cellIs" priority="8" operator="greaterThan" dxfId="0">
      <formula>0.1</formula>
    </cfRule>
  </conditionalFormatting>
  <conditionalFormatting sqref="L63:W63">
    <cfRule type="cellIs" priority="5" operator="lessThan" dxfId="1">
      <formula>0</formula>
    </cfRule>
    <cfRule type="cellIs" priority="6" operator="greaterThan" dxfId="0">
      <formula>0.1</formula>
    </cfRule>
  </conditionalFormatting>
  <conditionalFormatting sqref="K59:V59">
    <cfRule type="cellIs" priority="3" operator="lessThan" dxfId="1">
      <formula>0</formula>
    </cfRule>
    <cfRule type="cellIs" priority="4" operator="greaterThan" dxfId="0">
      <formula>0.1</formula>
    </cfRule>
  </conditionalFormatting>
  <conditionalFormatting sqref="W52:W62">
    <cfRule type="cellIs" priority="1" operator="lessThan" dxfId="1">
      <formula>0</formula>
    </cfRule>
    <cfRule type="cellIs" priority="2" operator="greaterThan" dxfId="0">
      <formula>0.1</formula>
    </cfRule>
  </conditionalFormatting>
  <dataValidations count="4">
    <dataValidation sqref="C20:C27 C29:C32 C35:C39 C44 C46:C141" showDropDown="0" showInputMessage="1" showErrorMessage="1" allowBlank="1" type="list">
      <formula1>$I$4:$I$41</formula1>
    </dataValidation>
    <dataValidation sqref="C15:C19 C34 C694:C714 C717:C742 C744:C752 C754:C781 C783:C786 C789:C793 C795 C797:C798 C800:C822 C824:C858 C861:C872 C874:C903 C905:C957 C960:C994" showDropDown="0" showInputMessage="1" showErrorMessage="1" allowBlank="1" type="list">
      <formula1>$I$5:$I$44</formula1>
    </dataValidation>
    <dataValidation sqref="C209:C693" showDropDown="0" showInputMessage="1" showErrorMessage="1" allowBlank="1" type="list">
      <formula1>$I$6:$I$17</formula1>
    </dataValidation>
    <dataValidation sqref="I213:I693" showDropDown="0" showInputMessage="0" showErrorMessage="0" allowBlank="1" type="list">
      <formula1>=ProductList!$A$2:$A$100</formula1>
    </dataValidation>
  </dataValidations>
  <pageMargins left="0.25" right="0.25" top="0.75" bottom="0.75" header="0.3" footer="0.3"/>
  <pageSetup orientation="landscape" paperSize="9" scale="10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>
    <outlinePr summaryBelow="1" summaryRight="1"/>
    <pageSetUpPr fitToPage="1"/>
  </sheetPr>
  <dimension ref="A1:AJ513"/>
  <sheetViews>
    <sheetView showZeros="0" topLeftCell="A24" zoomScaleNormal="100" workbookViewId="0">
      <selection activeCell="I51" sqref="I51"/>
    </sheetView>
  </sheetViews>
  <sheetFormatPr baseColWidth="8" defaultColWidth="9.1328125" defaultRowHeight="12.75"/>
  <cols>
    <col width="9.46484375" bestFit="1" customWidth="1" style="1255" min="1" max="1"/>
    <col width="19.19921875" bestFit="1" customWidth="1" style="1255" min="2" max="2"/>
    <col width="26.86328125" bestFit="1" customWidth="1" style="1255" min="3" max="3"/>
    <col width="15.46484375" bestFit="1" customWidth="1" style="1255" min="4" max="4"/>
    <col width="11" bestFit="1" customWidth="1" style="1256" min="5" max="5"/>
    <col width="16.33203125" customWidth="1" style="1255" min="6" max="6"/>
    <col width="13.46484375" customWidth="1" style="1255" min="7" max="7"/>
    <col width="11.53125" customWidth="1" style="1255" min="8" max="8"/>
    <col width="30.1328125" bestFit="1" customWidth="1" style="1255" min="9" max="9"/>
    <col width="16.46484375" bestFit="1" customWidth="1" style="1255" min="10" max="10"/>
    <col width="8.86328125" customWidth="1" style="1255" min="11" max="11"/>
    <col width="7.46484375" bestFit="1" customWidth="1" style="1255" min="12" max="12"/>
    <col width="7.796875" customWidth="1" style="1255" min="13" max="13"/>
    <col width="7.46484375" customWidth="1" style="1255" min="14" max="14"/>
    <col width="7.796875" customWidth="1" style="1255" min="15" max="22"/>
    <col width="8.53125" customWidth="1" style="1255" min="23" max="23"/>
    <col width="12.1328125" bestFit="1" customWidth="1" style="1255" min="24" max="24"/>
    <col width="10.19921875" customWidth="1" style="1255" min="25" max="25"/>
    <col width="8.796875" customWidth="1" style="1255" min="26" max="26"/>
    <col width="11" customWidth="1" style="1255" min="27" max="27"/>
    <col width="12.1328125" customWidth="1" style="1255" min="28" max="28"/>
    <col width="3.1328125" customWidth="1" style="1255" min="29" max="29"/>
    <col width="13.33203125" customWidth="1" style="1255" min="30" max="31"/>
    <col width="12" bestFit="1" customWidth="1" style="1255" min="32" max="32"/>
    <col width="11.53125" bestFit="1" customWidth="1" style="1255" min="33" max="33"/>
    <col width="12" bestFit="1" customWidth="1" style="1255" min="34" max="34"/>
    <col width="9" bestFit="1" customWidth="1" style="1255" min="35" max="35"/>
    <col width="9.1328125" customWidth="1" style="1255" min="36" max="16384"/>
  </cols>
  <sheetData>
    <row r="1" ht="20.65" customHeight="1" s="1232">
      <c r="C1" s="1257">
        <f>NOW()</f>
        <v/>
      </c>
      <c r="D1" s="1258" t="n"/>
      <c r="I1" s="1259" t="inlineStr">
        <is>
          <t>2024 - Year 12</t>
        </is>
      </c>
      <c r="J1" s="1260" t="inlineStr">
        <is>
          <t>Covid Factor</t>
        </is>
      </c>
      <c r="K1" s="1261" t="n">
        <v>0</v>
      </c>
      <c r="L1" s="1261" t="n">
        <v>0</v>
      </c>
      <c r="M1" s="1261" t="n">
        <v>0</v>
      </c>
      <c r="N1" s="1261" t="n">
        <v>0</v>
      </c>
      <c r="O1" s="1261" t="n">
        <v>0</v>
      </c>
      <c r="P1" s="1261" t="n">
        <v>0</v>
      </c>
      <c r="Q1" s="1261" t="n">
        <v>0</v>
      </c>
      <c r="R1" s="1261" t="n">
        <v>0</v>
      </c>
      <c r="S1" s="1261" t="n">
        <v>0</v>
      </c>
      <c r="T1" s="1261" t="n">
        <v>0</v>
      </c>
      <c r="U1" s="1261" t="n">
        <v>0</v>
      </c>
      <c r="V1" s="1261" t="n">
        <v>0</v>
      </c>
      <c r="W1" s="1262">
        <f>SUM(K1:V1)</f>
        <v/>
      </c>
      <c r="AA1" s="1260" t="n"/>
    </row>
    <row r="2" ht="15" customHeight="1" s="1232">
      <c r="C2" s="1263" t="inlineStr">
        <is>
          <t>Working Days Left</t>
        </is>
      </c>
      <c r="D2" s="993">
        <f>NETWORKDAYS(TODAY(),EOMONTH(TODAY(),0))</f>
        <v/>
      </c>
      <c r="E2" s="1264" t="n"/>
      <c r="F2" s="1265" t="n"/>
      <c r="J2" s="1260" t="inlineStr">
        <is>
          <t>Weighting</t>
        </is>
      </c>
      <c r="K2" s="1266">
        <f>SUM(K42/$W42)</f>
        <v/>
      </c>
      <c r="L2" s="1266">
        <f>SUM(L42/$W42)</f>
        <v/>
      </c>
      <c r="M2" s="1266">
        <f>SUM(M42/$W42)</f>
        <v/>
      </c>
      <c r="N2" s="1266">
        <f>SUM(N42/$W42)</f>
        <v/>
      </c>
      <c r="O2" s="1266">
        <f>SUM(O42/$W42)</f>
        <v/>
      </c>
      <c r="P2" s="1266">
        <f>SUM(P42/$W42)</f>
        <v/>
      </c>
      <c r="Q2" s="1266">
        <f>SUM(Q42/$W42)</f>
        <v/>
      </c>
      <c r="R2" s="1266">
        <f>SUM(R42/$W42)</f>
        <v/>
      </c>
      <c r="S2" s="1266">
        <f>SUM(S42/$W42)</f>
        <v/>
      </c>
      <c r="T2" s="1266">
        <f>SUM(T42/$W42)</f>
        <v/>
      </c>
      <c r="U2" s="1266">
        <f>SUM(U42/$W42)</f>
        <v/>
      </c>
      <c r="V2" s="1266">
        <f>SUM(V42/$W42)</f>
        <v/>
      </c>
      <c r="W2" s="1267">
        <f>SUM(K2:V2)</f>
        <v/>
      </c>
      <c r="AD2" s="1268" t="inlineStr">
        <is>
          <t>FY</t>
        </is>
      </c>
      <c r="AE2" s="1268" t="n"/>
      <c r="AF2" s="1268" t="inlineStr">
        <is>
          <t>Total</t>
        </is>
      </c>
      <c r="AG2" s="1260" t="inlineStr">
        <is>
          <t>Apr to Dec</t>
        </is>
      </c>
      <c r="AH2" s="1260" t="inlineStr">
        <is>
          <t>Jan to Mar</t>
        </is>
      </c>
      <c r="AI2" s="1260" t="inlineStr">
        <is>
          <t>% Inc</t>
        </is>
      </c>
    </row>
    <row r="3" ht="26.25" customHeight="1" s="1232">
      <c r="C3" s="1263" t="inlineStr">
        <is>
          <t>Working Days gone</t>
        </is>
      </c>
      <c r="D3" s="993">
        <f>23-D2</f>
        <v/>
      </c>
      <c r="E3" s="1270" t="n"/>
      <c r="F3" s="1271" t="n"/>
      <c r="G3" s="1272" t="inlineStr">
        <is>
          <t>Gross Margin Share</t>
        </is>
      </c>
      <c r="H3" s="1272" t="inlineStr">
        <is>
          <t>Sales Share</t>
        </is>
      </c>
      <c r="I3" s="1250" t="n"/>
      <c r="J3" s="1251" t="inlineStr">
        <is>
          <t>Monthly Target</t>
        </is>
      </c>
      <c r="K3" s="737">
        <f>SUM(K2+K1)*$J19</f>
        <v/>
      </c>
      <c r="L3" s="737">
        <f>SUM(L2+L1)*$J19</f>
        <v/>
      </c>
      <c r="M3" s="737">
        <f>SUM(M2+M1)*$J19</f>
        <v/>
      </c>
      <c r="N3" s="737">
        <f>SUM(N2+N1)*$J19</f>
        <v/>
      </c>
      <c r="O3" s="737">
        <f>SUM(O2+O1)*$J19</f>
        <v/>
      </c>
      <c r="P3" s="737">
        <f>SUM(P2+P1)*$J19</f>
        <v/>
      </c>
      <c r="Q3" s="737">
        <f>SUM(Q2+Q1)*$J19</f>
        <v/>
      </c>
      <c r="R3" s="737">
        <f>SUM(R2+R1)*$J19</f>
        <v/>
      </c>
      <c r="S3" s="737">
        <f>SUM(S2+S1)*$J19</f>
        <v/>
      </c>
      <c r="T3" s="737">
        <f>SUM(T2+T1)*$J19</f>
        <v/>
      </c>
      <c r="U3" s="737">
        <f>SUM(U2+U1)*$J19</f>
        <v/>
      </c>
      <c r="V3" s="737">
        <f>SUM(V2+V1)*$J19</f>
        <v/>
      </c>
      <c r="W3" s="805">
        <f>SUM(K3:V3)</f>
        <v/>
      </c>
      <c r="AA3" s="1273" t="inlineStr">
        <is>
          <t>Month No'</t>
        </is>
      </c>
      <c r="AB3" s="820" t="n">
        <v>12</v>
      </c>
      <c r="AD3" s="1255" t="n">
        <v>0.9995056846267919</v>
      </c>
      <c r="AF3" s="1268" t="n"/>
    </row>
    <row r="4" ht="15" customHeight="1" s="1232">
      <c r="C4" s="1269" t="inlineStr">
        <is>
          <t>Average per day to date</t>
        </is>
      </c>
      <c r="D4" s="1065">
        <f>V18/D3</f>
        <v/>
      </c>
      <c r="E4" s="1270" t="n"/>
      <c r="F4" s="1271" t="n"/>
      <c r="I4" s="1250" t="n"/>
      <c r="J4" s="1251" t="inlineStr">
        <is>
          <t>Working Days</t>
        </is>
      </c>
      <c r="K4" s="737">
        <f>NETWORKDAYS(K5,EOMONTH(K5,0))</f>
        <v/>
      </c>
      <c r="L4" s="737">
        <f>NETWORKDAYS(L5,EOMONTH(L5,0))</f>
        <v/>
      </c>
      <c r="M4" s="737">
        <f>NETWORKDAYS(M5,EOMONTH(M5,0))</f>
        <v/>
      </c>
      <c r="N4" s="737">
        <f>NETWORKDAYS(N5,EOMONTH(N5,0))</f>
        <v/>
      </c>
      <c r="O4" s="737">
        <f>NETWORKDAYS(O5,EOMONTH(O5,0))</f>
        <v/>
      </c>
      <c r="P4" s="737">
        <f>NETWORKDAYS(P5,EOMONTH(P5,0))</f>
        <v/>
      </c>
      <c r="Q4" s="737">
        <f>NETWORKDAYS(Q5,EOMONTH(Q5,0))</f>
        <v/>
      </c>
      <c r="R4" s="737">
        <f>NETWORKDAYS(R5,EOMONTH(R5,0))</f>
        <v/>
      </c>
      <c r="S4" s="737">
        <f>NETWORKDAYS(S5,EOMONTH(S5,0))</f>
        <v/>
      </c>
      <c r="T4" s="737">
        <f>NETWORKDAYS(T5,EOMONTH(T5,0))</f>
        <v/>
      </c>
      <c r="U4" s="737">
        <f>NETWORKDAYS(U5,EOMONTH(U5,0))</f>
        <v/>
      </c>
      <c r="V4" s="737">
        <f>NETWORKDAYS(V5,EOMONTH(V5,0))</f>
        <v/>
      </c>
      <c r="W4" s="805" t="n"/>
      <c r="AF4" s="1268" t="n"/>
    </row>
    <row r="5" ht="15" customHeight="1" s="1232">
      <c r="C5" s="1263" t="inlineStr">
        <is>
          <t>Per hour</t>
        </is>
      </c>
      <c r="D5" s="1353">
        <f>D4/8</f>
        <v/>
      </c>
      <c r="E5" s="1270" t="n"/>
      <c r="F5" s="1274" t="n"/>
      <c r="I5" s="1275" t="inlineStr">
        <is>
          <t>Tuition Categories</t>
        </is>
      </c>
      <c r="J5" s="1276" t="inlineStr">
        <is>
          <t>Target</t>
        </is>
      </c>
      <c r="K5" s="1277" t="n">
        <v>45292</v>
      </c>
      <c r="L5" s="1277" t="n">
        <v>45323</v>
      </c>
      <c r="M5" s="1277" t="n">
        <v>45352</v>
      </c>
      <c r="N5" s="1277" t="n">
        <v>45383</v>
      </c>
      <c r="O5" s="1277" t="n">
        <v>45413</v>
      </c>
      <c r="P5" s="1277" t="n">
        <v>45444</v>
      </c>
      <c r="Q5" s="1277" t="n">
        <v>45474</v>
      </c>
      <c r="R5" s="1277" t="n">
        <v>45505</v>
      </c>
      <c r="S5" s="1277" t="n">
        <v>45536</v>
      </c>
      <c r="T5" s="1277" t="n">
        <v>45566</v>
      </c>
      <c r="U5" s="1277" t="n">
        <v>45597</v>
      </c>
      <c r="V5" s="1277" t="n">
        <v>45627</v>
      </c>
      <c r="W5" s="1278" t="inlineStr">
        <is>
          <t>Year</t>
        </is>
      </c>
      <c r="X5" s="1279" t="inlineStr">
        <is>
          <t>Current Var</t>
        </is>
      </c>
      <c r="Y5" s="1280" t="inlineStr">
        <is>
          <t>Var YTD</t>
        </is>
      </c>
      <c r="Z5" s="1281" t="inlineStr">
        <is>
          <t>% YTD</t>
        </is>
      </c>
      <c r="AA5" s="1279" t="inlineStr">
        <is>
          <t>YTD Targ</t>
        </is>
      </c>
      <c r="AB5" s="1260" t="inlineStr">
        <is>
          <t>Avg.PM</t>
        </is>
      </c>
      <c r="AD5" s="1282" t="inlineStr">
        <is>
          <t>23/24</t>
        </is>
      </c>
      <c r="AE5" s="1260" t="inlineStr">
        <is>
          <t>Year 11</t>
        </is>
      </c>
      <c r="AF5" s="1283">
        <f>AG5+AH5</f>
        <v/>
      </c>
      <c r="AG5" s="1284">
        <f>SUM(N30:V30)</f>
        <v/>
      </c>
      <c r="AH5" s="1284">
        <f>SUM(K18:M18)</f>
        <v/>
      </c>
      <c r="AI5" s="445">
        <f>SUM(AF5-AF6)/AF6</f>
        <v/>
      </c>
    </row>
    <row r="6" ht="15.4" customHeight="1" s="1232" thickBot="1">
      <c r="C6" s="1285" t="inlineStr">
        <is>
          <t>Remaining Additional</t>
        </is>
      </c>
      <c r="D6" s="1354">
        <f>D2*D4</f>
        <v/>
      </c>
      <c r="E6" s="1270" t="n"/>
      <c r="F6" s="1274" t="n"/>
      <c r="G6" s="445">
        <f>W112/$W$124</f>
        <v/>
      </c>
      <c r="H6" s="445">
        <f>W6/$W$18</f>
        <v/>
      </c>
      <c r="I6" s="1286" t="inlineStr">
        <is>
          <t>1. Courses/masterclasses</t>
        </is>
      </c>
      <c r="J6" s="431" t="n">
        <v>800</v>
      </c>
      <c r="K6" s="432">
        <f>SUMIFS($E$205:$E$513,$A$205:$A$513,"&gt;31/12/2023",$A$205:$A$513,"&lt;1/2/2024",$C$205:$C$513,$I6)</f>
        <v/>
      </c>
      <c r="L6" s="432">
        <f>SUMIFS($E$205:$E$513,$A$205:$A$513,"&gt;31/1/2024",$A$205:$A$513,"&lt;1/3/2024",$C$205:$C$513,$I6)</f>
        <v/>
      </c>
      <c r="M6" s="432">
        <f>SUMIFS($E$205:$E$513,$A$205:$A$513,"&gt;28/2/2024",$A$205:$A$513,"&lt;1/4/2024",$C$205:$C$513,$I6)</f>
        <v/>
      </c>
      <c r="N6" s="432">
        <f>SUMIFS($E$205:$E$513,$A$205:$A$513,"&gt;31/3/2024",$A$205:$A$513,"&lt;1/5/2024",$C$205:$C$513,$I6)</f>
        <v/>
      </c>
      <c r="O6" s="432">
        <f>SUMIFS($E$205:$E$513,$A$205:$A$513,"&gt;30/4/2024",$A$205:$A$513,"&lt;1/6/2024",$C$205:$C$513,$I6)</f>
        <v/>
      </c>
      <c r="P6" s="432">
        <f>SUMIFS($E$205:$E$513,$A$205:$A$513,"&gt;31/5/2024",$A$205:$A$513,"&lt;1/7/2024",$C$205:$C$513,$I6)</f>
        <v/>
      </c>
      <c r="Q6" s="432">
        <f>SUMIFS($E$205:$E$513,$A$205:$A$513,"&gt;30/6/2024",$A$205:$A$513,"&lt;1/8/2024",$C$205:$C$513,$I6)</f>
        <v/>
      </c>
      <c r="R6" s="432">
        <f>SUMIFS($E$205:$E$513,$A$205:$A$513,"&gt;31/7/2024",$A$205:$A$513,"&lt;1/9/2024",$C$205:$C$513,$I6)</f>
        <v/>
      </c>
      <c r="S6" s="432">
        <f>SUMIFS($E$205:$E$513,$A$205:$A$513,"&gt;31/8/2024",$A$205:$A$513,"&lt;1/10/2024",$C$205:$C$513,$I6)</f>
        <v/>
      </c>
      <c r="T6" s="432">
        <f>SUMIFS($E$205:$E$513,$A$205:$A$513,"&gt;30/9/2024",$A$205:$A$513,"&lt;1/11/2024",$C$205:$C$513,$I6)</f>
        <v/>
      </c>
      <c r="U6" s="432">
        <f>SUMIFS($E$205:$E$513,$A$205:$A$513,"&gt;31/10/2024",$A$205:$A$513,"&lt;1/12/2024",$C$205:$C$513,$I6)</f>
        <v/>
      </c>
      <c r="V6" s="432">
        <f>SUMIFS($E$205:$E$513,$A$205:$A$513,"&gt;30/11/2024",$A$205:$A$513,"&lt;1/1/2025",$C$205:$C$513,$I6)</f>
        <v/>
      </c>
      <c r="W6" s="431">
        <f>SUM(K6:V6)</f>
        <v/>
      </c>
      <c r="X6" s="432">
        <f>SUM(V6-(J6*12)*(V$2+V$1))</f>
        <v/>
      </c>
      <c r="Y6" s="432">
        <f>W6-AA6</f>
        <v/>
      </c>
      <c r="Z6" s="433">
        <f>Y6/AA6</f>
        <v/>
      </c>
      <c r="AA6" s="818">
        <f>SUM(J6*12)*((K$2+K$1+L$1+L$2+M$2+M$1+N$1+N$2+O$1+O$2+P$1+P$2+Q$1+Q$2+R$1+R$2+S$1+S$2+T$1+T$2+U$1+U$2+V$1+V$2))</f>
        <v/>
      </c>
      <c r="AB6" s="817">
        <f>W6/$AB$3</f>
        <v/>
      </c>
      <c r="AD6" s="1282" t="inlineStr">
        <is>
          <t>22/23</t>
        </is>
      </c>
      <c r="AE6" s="1287" t="inlineStr">
        <is>
          <t>Year 10</t>
        </is>
      </c>
      <c r="AF6" s="1283">
        <f>AG6+AH6</f>
        <v/>
      </c>
      <c r="AG6" s="1284">
        <f>SUM(N31:V31)</f>
        <v/>
      </c>
      <c r="AH6" s="1284">
        <f>SUM(K30:M30)</f>
        <v/>
      </c>
      <c r="AI6" s="445">
        <f>SUM(AF6-AF7)/AF7</f>
        <v/>
      </c>
    </row>
    <row r="7" ht="15.4" customHeight="1" s="1232" thickTop="1">
      <c r="C7" s="1263" t="n"/>
      <c r="D7" s="1353" t="n"/>
      <c r="E7" s="1270" t="n"/>
      <c r="F7" s="1274" t="n"/>
      <c r="G7" s="445">
        <f>W113/$W$124</f>
        <v/>
      </c>
      <c r="H7" s="445">
        <f>W7/$W$18</f>
        <v/>
      </c>
      <c r="I7" s="1286" t="inlineStr">
        <is>
          <t>2. Workshops Non Residential</t>
        </is>
      </c>
      <c r="J7" s="431" t="n">
        <v>1200</v>
      </c>
      <c r="K7" s="432">
        <f>SUMIFS($E$205:$E$513,$A$205:$A$513,"&gt;31/12/2023",$A$205:$A$513,"&lt;1/2/2024",$C$205:$C$513,$I7)</f>
        <v/>
      </c>
      <c r="L7" s="432">
        <f>SUMIFS($E$205:$E$513,$A$205:$A$513,"&gt;31/1/2024",$A$205:$A$513,"&lt;1/3/2024",$C$205:$C$513,$I7)</f>
        <v/>
      </c>
      <c r="M7" s="432">
        <f>SUMIFS($E$205:$E$513,$A$205:$A$513,"&gt;28/2/2024",$A$205:$A$513,"&lt;1/4/2024",$C$205:$C$513,$I7)</f>
        <v/>
      </c>
      <c r="N7" s="432">
        <f>SUMIFS($E$205:$E$513,$A$205:$A$513,"&gt;31/3/2024",$A$205:$A$513,"&lt;1/5/2024",$C$205:$C$513,$I7)</f>
        <v/>
      </c>
      <c r="O7" s="432">
        <f>SUMIFS($E$205:$E$513,$A$205:$A$513,"&gt;30/4/2024",$A$205:$A$513,"&lt;1/6/2024",$C$205:$C$513,$I7)</f>
        <v/>
      </c>
      <c r="P7" s="432">
        <f>SUMIFS($E$205:$E$513,$A$205:$A$513,"&gt;31/5/2024",$A$205:$A$513,"&lt;1/7/2024",$C$205:$C$513,$I7)</f>
        <v/>
      </c>
      <c r="Q7" s="432">
        <f>SUMIFS($E$205:$E$513,$A$205:$A$513,"&gt;30/6/2024",$A$205:$A$513,"&lt;1/8/2024",$C$205:$C$513,$I7)</f>
        <v/>
      </c>
      <c r="R7" s="432">
        <f>SUMIFS($E$205:$E$513,$A$205:$A$513,"&gt;31/7/2024",$A$205:$A$513,"&lt;1/9/2024",$C$205:$C$513,$I7)</f>
        <v/>
      </c>
      <c r="S7" s="432">
        <f>SUMIFS($E$205:$E$513,$A$205:$A$513,"&gt;31/8/2024",$A$205:$A$513,"&lt;1/10/2024",$C$205:$C$513,$I7)</f>
        <v/>
      </c>
      <c r="T7" s="432">
        <f>SUMIFS($E$205:$E$513,$A$205:$A$513,"&gt;30/9/2024",$A$205:$A$513,"&lt;1/11/2024",$C$205:$C$513,$I7)</f>
        <v/>
      </c>
      <c r="U7" s="432">
        <f>SUMIFS($E$205:$E$513,$A$205:$A$513,"&gt;31/10/2024",$A$205:$A$513,"&lt;1/12/2024",$C$205:$C$513,$I7)</f>
        <v/>
      </c>
      <c r="V7" s="432">
        <f>SUMIFS($E$205:$E$513,$A$205:$A$513,"&gt;30/11/2024",$A$205:$A$513,"&lt;1/1/2025",$C$205:$C$513,$I7)</f>
        <v/>
      </c>
      <c r="W7" s="431">
        <f>SUM(K7:V7)</f>
        <v/>
      </c>
      <c r="X7" s="432">
        <f>SUM(V7-(J7*12)*(V$2+V$1))</f>
        <v/>
      </c>
      <c r="Y7" s="432">
        <f>W7-AA7</f>
        <v/>
      </c>
      <c r="Z7" s="433">
        <f>Y7/AA7</f>
        <v/>
      </c>
      <c r="AA7" s="818">
        <f>SUM(J7*12)*((K$2+K$1+L$1+L$2+M$2+M$1+N$1+N$2+O$1+O$2+P$1+P$2+Q$1+Q$2+R$1+R$2+S$1+S$2+T$1+T$2+U$1+U$2+V$1+V$2))</f>
        <v/>
      </c>
      <c r="AB7" s="817">
        <f>W7/$AB$3</f>
        <v/>
      </c>
      <c r="AD7" s="1282" t="inlineStr">
        <is>
          <t>21/22</t>
        </is>
      </c>
      <c r="AE7" s="1287" t="inlineStr">
        <is>
          <t>Year 9 (Covid-19)</t>
        </is>
      </c>
      <c r="AF7" s="1283">
        <f>AG7+AH7</f>
        <v/>
      </c>
      <c r="AG7" s="1284">
        <f>SUM(N32:V32)</f>
        <v/>
      </c>
      <c r="AH7" s="1284">
        <f>SUM(K31:M31)</f>
        <v/>
      </c>
      <c r="AI7" s="445">
        <f>SUM(AF7-AF9)/AF9</f>
        <v/>
      </c>
    </row>
    <row r="8" ht="15.4" customHeight="1" s="1232" thickBot="1">
      <c r="C8" s="1288" t="inlineStr">
        <is>
          <t>Current Month Forecast</t>
        </is>
      </c>
      <c r="D8" s="1354">
        <f>V18+D6</f>
        <v/>
      </c>
      <c r="E8" s="1024" t="n"/>
      <c r="F8" s="1274" t="n"/>
      <c r="G8" s="445">
        <f>W114/$W$124</f>
        <v/>
      </c>
      <c r="H8" s="445">
        <f>W8/$W$18</f>
        <v/>
      </c>
      <c r="I8" s="1289" t="inlineStr">
        <is>
          <t>3. Workshops Residential</t>
        </is>
      </c>
      <c r="J8" s="431" t="n">
        <v>1400</v>
      </c>
      <c r="K8" s="432">
        <f>SUMIFS($E$205:$E$513,$A$205:$A$513,"&gt;31/12/2023",$A$205:$A$513,"&lt;1/2/2024",$C$205:$C$513,$I8)</f>
        <v/>
      </c>
      <c r="L8" s="432">
        <f>SUMIFS($E$205:$E$513,$A$205:$A$513,"&gt;31/1/2024",$A$205:$A$513,"&lt;1/3/2024",$C$205:$C$513,$I8)</f>
        <v/>
      </c>
      <c r="M8" s="432">
        <f>SUMIFS($E$205:$E$513,$A$205:$A$513,"&gt;28/2/2024",$A$205:$A$513,"&lt;1/4/2024",$C$205:$C$513,$I8)</f>
        <v/>
      </c>
      <c r="N8" s="432">
        <f>SUMIFS($E$205:$E$513,$A$205:$A$513,"&gt;31/3/2024",$A$205:$A$513,"&lt;1/5/2024",$C$205:$C$513,$I8)</f>
        <v/>
      </c>
      <c r="O8" s="432">
        <f>SUMIFS($E$205:$E$513,$A$205:$A$513,"&gt;30/4/2024",$A$205:$A$513,"&lt;1/6/2024",$C$205:$C$513,$I8)</f>
        <v/>
      </c>
      <c r="P8" s="432">
        <f>SUMIFS($E$205:$E$513,$A$205:$A$513,"&gt;31/5/2024",$A$205:$A$513,"&lt;1/7/2024",$C$205:$C$513,$I8)</f>
        <v/>
      </c>
      <c r="Q8" s="432">
        <f>SUMIFS($E$205:$E$513,$A$205:$A$513,"&gt;30/6/2024",$A$205:$A$513,"&lt;1/8/2024",$C$205:$C$513,$I8)</f>
        <v/>
      </c>
      <c r="R8" s="432">
        <f>SUMIFS($E$205:$E$513,$A$205:$A$513,"&gt;31/7/2024",$A$205:$A$513,"&lt;1/9/2024",$C$205:$C$513,$I8)</f>
        <v/>
      </c>
      <c r="S8" s="432">
        <f>SUMIFS($E$205:$E$513,$A$205:$A$513,"&gt;31/8/2024",$A$205:$A$513,"&lt;1/10/2024",$C$205:$C$513,$I8)</f>
        <v/>
      </c>
      <c r="T8" s="432">
        <f>SUMIFS($E$205:$E$513,$A$205:$A$513,"&gt;30/9/2024",$A$205:$A$513,"&lt;1/11/2024",$C$205:$C$513,$I8)</f>
        <v/>
      </c>
      <c r="U8" s="432">
        <f>SUMIFS($E$205:$E$513,$A$205:$A$513,"&gt;31/10/2024",$A$205:$A$513,"&lt;1/12/2024",$C$205:$C$513,$I8)</f>
        <v/>
      </c>
      <c r="V8" s="432">
        <f>SUMIFS($E$205:$E$513,$A$205:$A$513,"&gt;30/11/2024",$A$205:$A$513,"&lt;1/1/2025",$C$205:$C$513,$I8)</f>
        <v/>
      </c>
      <c r="W8" s="431">
        <f>SUM(K8:V8)</f>
        <v/>
      </c>
      <c r="X8" s="432">
        <f>SUM(V8-(J8*12)*(V$2+V$1))</f>
        <v/>
      </c>
      <c r="Y8" s="432">
        <f>W8-AA8</f>
        <v/>
      </c>
      <c r="Z8" s="433">
        <f>Y8/AA8</f>
        <v/>
      </c>
      <c r="AA8" s="818">
        <f>SUM(J8*12)*((K$2+K$1+L$1+L$2+M$2+M$1+N$1+N$2+O$1+O$2+P$1+P$2+Q$1+Q$2+R$1+R$2+S$1+S$2+T$1+T$2+U$1+U$2+V$1+V$2))</f>
        <v/>
      </c>
      <c r="AB8" s="817">
        <f>W8/$AB$3</f>
        <v/>
      </c>
      <c r="AD8" s="1282" t="n"/>
      <c r="AE8" s="1287" t="n"/>
      <c r="AF8" s="1283" t="n"/>
      <c r="AG8" s="1284" t="n"/>
      <c r="AH8" s="1284" t="n"/>
      <c r="AI8" s="445" t="n"/>
    </row>
    <row r="9" ht="15.4" customHeight="1" s="1232" thickTop="1">
      <c r="C9" s="1269" t="inlineStr">
        <is>
          <t>Shortfall</t>
        </is>
      </c>
      <c r="D9" s="993">
        <f>D8-U3</f>
        <v/>
      </c>
      <c r="E9" s="1024" t="n"/>
      <c r="F9" s="1274" t="n"/>
      <c r="G9" s="445">
        <f>W115/$W$124</f>
        <v/>
      </c>
      <c r="H9" s="445">
        <f>W9/$W$18</f>
        <v/>
      </c>
      <c r="I9" s="1290" t="inlineStr">
        <is>
          <t>4. Pick n Mix Inc</t>
        </is>
      </c>
      <c r="J9" s="431" t="n">
        <v>300</v>
      </c>
      <c r="K9" s="432">
        <f>SUMIFS($E$205:$E$513,$A$205:$A$513,"&gt;31/12/2023",$A$205:$A$513,"&lt;1/2/2024",$C$205:$C$513,$I9)</f>
        <v/>
      </c>
      <c r="L9" s="432">
        <f>SUMIFS($E$205:$E$513,$A$205:$A$513,"&gt;31/1/2024",$A$205:$A$513,"&lt;1/3/2024",$C$205:$C$513,$I9)</f>
        <v/>
      </c>
      <c r="M9" s="432">
        <f>SUMIFS($E$205:$E$513,$A$205:$A$513,"&gt;28/2/2024",$A$205:$A$513,"&lt;1/4/2024",$C$205:$C$513,$I9)</f>
        <v/>
      </c>
      <c r="N9" s="432">
        <f>SUMIFS($E$205:$E$513,$A$205:$A$513,"&gt;31/3/2024",$A$205:$A$513,"&lt;1/5/2024",$C$205:$C$513,$I9)</f>
        <v/>
      </c>
      <c r="O9" s="432">
        <f>SUMIFS($E$205:$E$513,$A$205:$A$513,"&gt;30/4/2024",$A$205:$A$513,"&lt;1/6/2024",$C$205:$C$513,$I9)</f>
        <v/>
      </c>
      <c r="P9" s="432">
        <f>SUMIFS($E$205:$E$513,$A$205:$A$513,"&gt;31/5/2024",$A$205:$A$513,"&lt;1/7/2024",$C$205:$C$513,$I9)</f>
        <v/>
      </c>
      <c r="Q9" s="432">
        <f>SUMIFS($E$205:$E$513,$A$205:$A$513,"&gt;30/6/2024",$A$205:$A$513,"&lt;1/8/2024",$C$205:$C$513,$I9)</f>
        <v/>
      </c>
      <c r="R9" s="432">
        <f>SUMIFS($E$205:$E$513,$A$205:$A$513,"&gt;31/7/2024",$A$205:$A$513,"&lt;1/9/2024",$C$205:$C$513,$I9)</f>
        <v/>
      </c>
      <c r="S9" s="432">
        <f>SUMIFS($E$205:$E$513,$A$205:$A$513,"&gt;31/8/2024",$A$205:$A$513,"&lt;1/10/2024",$C$205:$C$513,$I9)</f>
        <v/>
      </c>
      <c r="T9" s="432">
        <f>SUMIFS($E$205:$E$513,$A$205:$A$513,"&gt;30/9/2024",$A$205:$A$513,"&lt;1/11/2024",$C$205:$C$513,$I9)</f>
        <v/>
      </c>
      <c r="U9" s="432">
        <f>SUMIFS($E$205:$E$513,$A$205:$A$513,"&gt;31/10/2024",$A$205:$A$513,"&lt;1/12/2024",$C$205:$C$513,$I9)</f>
        <v/>
      </c>
      <c r="V9" s="432">
        <f>SUMIFS($E$205:$E$513,$A$205:$A$513,"&gt;30/11/2024",$A$205:$A$513,"&lt;1/1/2025",$C$205:$C$513,$I9)</f>
        <v/>
      </c>
      <c r="W9" s="431">
        <f>SUM(K9:V9)</f>
        <v/>
      </c>
      <c r="X9" s="432">
        <f>SUM(V9-(J9*12)*(V$2+V$1))</f>
        <v/>
      </c>
      <c r="Y9" s="432">
        <f>W9-AA9</f>
        <v/>
      </c>
      <c r="Z9" s="433">
        <f>Y9/AA9</f>
        <v/>
      </c>
      <c r="AA9" s="818">
        <f>SUM(J9*12)*((K$2+K$1+L$1+L$2+M$2+M$1+N$1+N$2+O$1+O$2+P$1+P$2+Q$1+Q$2+R$1+R$2+S$1+S$2+T$1+T$2+U$1+U$2+V$1+V$2))</f>
        <v/>
      </c>
      <c r="AB9" s="817">
        <f>W9/$AB$3</f>
        <v/>
      </c>
      <c r="AD9" s="1282" t="inlineStr">
        <is>
          <t>20/21</t>
        </is>
      </c>
      <c r="AE9" s="1287" t="inlineStr">
        <is>
          <t>Year 8 (Covid-19)</t>
        </is>
      </c>
      <c r="AF9" s="1283">
        <f>AG9+AH9</f>
        <v/>
      </c>
      <c r="AG9" s="1284">
        <f>SUM(N33:V33)</f>
        <v/>
      </c>
      <c r="AH9" s="1284">
        <f>SUM(K32:M32)</f>
        <v/>
      </c>
      <c r="AI9" s="445">
        <f>SUM(AF9-AF10)/AF10</f>
        <v/>
      </c>
    </row>
    <row r="10" ht="15" customHeight="1" s="1232">
      <c r="C10" s="1269" t="inlineStr">
        <is>
          <t>Forecast to Target</t>
        </is>
      </c>
      <c r="D10" s="994">
        <f>D8/U3</f>
        <v/>
      </c>
      <c r="E10" s="1270" t="n"/>
      <c r="F10" s="1274" t="n"/>
      <c r="G10" s="445">
        <f>W116/$W$124</f>
        <v/>
      </c>
      <c r="H10" s="445">
        <f>W10/$W$18</f>
        <v/>
      </c>
      <c r="I10" s="1290" t="inlineStr">
        <is>
          <t>5. Pick n Mix Out</t>
        </is>
      </c>
      <c r="J10" s="431">
        <f>-3000/12</f>
        <v/>
      </c>
      <c r="K10" s="432">
        <f>SUMIFS($E$205:$E$513,$A$205:$A$513,"&gt;31/12/2023",$A$205:$A$513,"&lt;1/2/2024",$C$205:$C$513,$I10)</f>
        <v/>
      </c>
      <c r="L10" s="432">
        <f>SUMIFS($E$205:$E$513,$A$205:$A$513,"&gt;31/1/2024",$A$205:$A$513,"&lt;1/3/2024",$C$205:$C$513,$I10)</f>
        <v/>
      </c>
      <c r="M10" s="432">
        <f>SUMIFS($E$205:$E$513,$A$205:$A$513,"&gt;28/2/2024",$A$205:$A$513,"&lt;1/4/2024",$C$205:$C$513,$I10)</f>
        <v/>
      </c>
      <c r="N10" s="432">
        <f>SUMIFS($E$205:$E$513,$A$205:$A$513,"&gt;31/3/2024",$A$205:$A$513,"&lt;1/5/2024",$C$205:$C$513,$I10)</f>
        <v/>
      </c>
      <c r="O10" s="432">
        <f>SUMIFS($E$205:$E$513,$A$205:$A$513,"&gt;30/4/2024",$A$205:$A$513,"&lt;1/6/2024",$C$205:$C$513,$I10)</f>
        <v/>
      </c>
      <c r="P10" s="432">
        <f>SUMIFS($E$205:$E$513,$A$205:$A$513,"&gt;31/5/2024",$A$205:$A$513,"&lt;1/7/2024",$C$205:$C$513,$I10)</f>
        <v/>
      </c>
      <c r="Q10" s="432">
        <f>SUMIFS($E$205:$E$513,$A$205:$A$513,"&gt;30/6/2024",$A$205:$A$513,"&lt;1/8/2024",$C$205:$C$513,$I10)</f>
        <v/>
      </c>
      <c r="R10" s="432">
        <f>SUMIFS($E$205:$E$513,$A$205:$A$513,"&gt;31/7/2024",$A$205:$A$513,"&lt;1/9/2024",$C$205:$C$513,$I10)</f>
        <v/>
      </c>
      <c r="S10" s="432">
        <f>SUMIFS($E$205:$E$513,$A$205:$A$513,"&gt;31/8/2024",$A$205:$A$513,"&lt;1/10/2024",$C$205:$C$513,$I10)</f>
        <v/>
      </c>
      <c r="T10" s="432">
        <f>SUMIFS($E$205:$E$513,$A$205:$A$513,"&gt;30/9/2024",$A$205:$A$513,"&lt;1/11/2024",$C$205:$C$513,$I10)</f>
        <v/>
      </c>
      <c r="U10" s="432">
        <f>SUMIFS($E$205:$E$513,$A$205:$A$513,"&gt;31/10/2024",$A$205:$A$513,"&lt;1/12/2024",$C$205:$C$513,$I10)</f>
        <v/>
      </c>
      <c r="V10" s="432">
        <f>SUMIFS($E$205:$E$513,$A$205:$A$513,"&gt;30/11/2024",$A$205:$A$513,"&lt;1/1/2025",$C$205:$C$513,$I10)</f>
        <v/>
      </c>
      <c r="W10" s="704">
        <f>SUM(K10:V10)</f>
        <v/>
      </c>
      <c r="X10" s="432">
        <f>SUM(V10-(J10*12)*(V$2+V$1))</f>
        <v/>
      </c>
      <c r="Y10" s="432">
        <f>W10-AA10</f>
        <v/>
      </c>
      <c r="Z10" s="433">
        <f>Y10/AA10</f>
        <v/>
      </c>
      <c r="AA10" s="818">
        <f>SUM(J10*12)*((K$2+K$1+L$1+L$2+M$2+M$1+N$1+N$2+O$1+O$2+P$1+P$2+Q$1+Q$2+R$1+R$2+S$1+S$2+T$1+T$2+U$1+U$2+V$1+V$2))</f>
        <v/>
      </c>
      <c r="AB10" s="817">
        <f>W10/$AB$3</f>
        <v/>
      </c>
      <c r="AD10" s="1282" t="inlineStr">
        <is>
          <t>19/20</t>
        </is>
      </c>
      <c r="AE10" s="1287" t="inlineStr">
        <is>
          <t>Year 7</t>
        </is>
      </c>
      <c r="AF10" s="1283">
        <f>AG10+AH10</f>
        <v/>
      </c>
      <c r="AG10" s="1284">
        <f>SUM(N34:V34)</f>
        <v/>
      </c>
      <c r="AH10" s="1284">
        <f>SUM(K33:M33)</f>
        <v/>
      </c>
      <c r="AI10" s="445">
        <f>SUM(AF10-AF11)/AF11</f>
        <v/>
      </c>
    </row>
    <row r="11" ht="13.9" customHeight="1" s="1232">
      <c r="B11" s="1258" t="n"/>
      <c r="D11" s="1291" t="n"/>
      <c r="E11" s="1270" t="n"/>
      <c r="F11" s="1291" t="n"/>
      <c r="G11" s="445">
        <f>W117/$W$124</f>
        <v/>
      </c>
      <c r="H11" s="445">
        <f>W11/$W$18</f>
        <v/>
      </c>
      <c r="I11" s="1290" t="inlineStr">
        <is>
          <t>6. Mentoring</t>
        </is>
      </c>
      <c r="J11" s="431" t="n">
        <v>80</v>
      </c>
      <c r="K11" s="432">
        <f>SUMIFS($E$205:$E$513,$A$205:$A$513,"&gt;31/12/2023",$A$205:$A$513,"&lt;1/2/2024",$C$205:$C$513,$I11)</f>
        <v/>
      </c>
      <c r="L11" s="432">
        <f>SUMIFS($E$205:$E$513,$A$205:$A$513,"&gt;31/1/2024",$A$205:$A$513,"&lt;1/3/2024",$C$205:$C$513,$I11)</f>
        <v/>
      </c>
      <c r="M11" s="432">
        <f>SUMIFS($E$205:$E$513,$A$205:$A$513,"&gt;28/2/2024",$A$205:$A$513,"&lt;1/4/2024",$C$205:$C$513,$I11)</f>
        <v/>
      </c>
      <c r="N11" s="432">
        <f>SUMIFS($E$205:$E$513,$A$205:$A$513,"&gt;31/3/2024",$A$205:$A$513,"&lt;1/5/2024",$C$205:$C$513,$I11)</f>
        <v/>
      </c>
      <c r="O11" s="432">
        <f>SUMIFS($E$205:$E$513,$A$205:$A$513,"&gt;30/4/2024",$A$205:$A$513,"&lt;1/6/2024",$C$205:$C$513,$I11)</f>
        <v/>
      </c>
      <c r="P11" s="432">
        <f>SUMIFS($E$205:$E$513,$A$205:$A$513,"&gt;31/5/2024",$A$205:$A$513,"&lt;1/7/2024",$C$205:$C$513,$I11)</f>
        <v/>
      </c>
      <c r="Q11" s="432">
        <f>SUMIFS($E$205:$E$513,$A$205:$A$513,"&gt;30/6/2024",$A$205:$A$513,"&lt;1/8/2024",$C$205:$C$513,$I11)</f>
        <v/>
      </c>
      <c r="R11" s="432">
        <f>SUMIFS($E$205:$E$513,$A$205:$A$513,"&gt;31/7/2024",$A$205:$A$513,"&lt;1/9/2024",$C$205:$C$513,$I11)</f>
        <v/>
      </c>
      <c r="S11" s="432">
        <f>SUMIFS($E$205:$E$513,$A$205:$A$513,"&gt;31/8/2024",$A$205:$A$513,"&lt;1/10/2024",$C$205:$C$513,$I11)</f>
        <v/>
      </c>
      <c r="T11" s="432">
        <f>SUMIFS($E$205:$E$513,$A$205:$A$513,"&gt;30/9/2024",$A$205:$A$513,"&lt;1/11/2024",$C$205:$C$513,$I11)</f>
        <v/>
      </c>
      <c r="U11" s="432">
        <f>SUMIFS($E$205:$E$513,$A$205:$A$513,"&gt;31/10/2024",$A$205:$A$513,"&lt;1/12/2024",$C$205:$C$513,$I11)</f>
        <v/>
      </c>
      <c r="V11" s="432">
        <f>SUMIFS($E$205:$E$513,$A$205:$A$513,"&gt;30/11/2024",$A$205:$A$513,"&lt;1/1/2025",$C$205:$C$513,$I11)</f>
        <v/>
      </c>
      <c r="W11" s="431">
        <f>SUM(K11:V11)</f>
        <v/>
      </c>
      <c r="X11" s="432">
        <f>SUM(V11-(J11*12)*(V$2+V$1))</f>
        <v/>
      </c>
      <c r="Y11" s="432">
        <f>W11-AA11</f>
        <v/>
      </c>
      <c r="Z11" s="433">
        <f>Y11/AA11</f>
        <v/>
      </c>
      <c r="AA11" s="818">
        <f>SUM(J11*12)*((K$2+K$1+L$1+L$2+M$2+M$1+N$1+N$2+O$1+O$2+P$1+P$2+Q$1+Q$2+R$1+R$2+S$1+S$2+T$1+T$2+U$1+U$2+V$1+V$2))</f>
        <v/>
      </c>
      <c r="AB11" s="817">
        <f>W11/$AB$3</f>
        <v/>
      </c>
      <c r="AD11" s="1282" t="inlineStr">
        <is>
          <t>18/19</t>
        </is>
      </c>
      <c r="AE11" s="1260" t="inlineStr">
        <is>
          <t>Year 6</t>
        </is>
      </c>
      <c r="AF11" s="1283">
        <f>AG11+AH11</f>
        <v/>
      </c>
      <c r="AG11" s="1284">
        <f>SUM(N35:V35)</f>
        <v/>
      </c>
      <c r="AH11" s="1284">
        <f>SUM(K34:M34)</f>
        <v/>
      </c>
      <c r="AI11" s="445">
        <f>SUM(AF11-AF12)/AF12</f>
        <v/>
      </c>
    </row>
    <row r="12" ht="13.9" customHeight="1" s="1232">
      <c r="B12" s="1258" t="n"/>
      <c r="D12" s="1292" t="n"/>
      <c r="E12" s="1293" t="n"/>
      <c r="F12" s="1260" t="n"/>
      <c r="G12" s="445">
        <f>W118/$W$124</f>
        <v/>
      </c>
      <c r="H12" s="445">
        <f>W12/$W$18</f>
        <v/>
      </c>
      <c r="I12" s="1289" t="inlineStr">
        <is>
          <t>7. 1-2-1</t>
        </is>
      </c>
      <c r="J12" s="431" t="n">
        <v>750</v>
      </c>
      <c r="K12" s="432">
        <f>SUMIFS($E$205:$E$513,$A$205:$A$513,"&gt;31/12/2023",$A$205:$A$513,"&lt;1/2/2024",$C$205:$C$513,$I12)</f>
        <v/>
      </c>
      <c r="L12" s="432">
        <f>SUMIFS($E$205:$E$513,$A$205:$A$513,"&gt;31/1/2024",$A$205:$A$513,"&lt;1/3/2024",$C$205:$C$513,$I12)</f>
        <v/>
      </c>
      <c r="M12" s="432">
        <f>SUMIFS($E$205:$E$513,$A$205:$A$513,"&gt;28/2/2024",$A$205:$A$513,"&lt;1/4/2024",$C$205:$C$513,$I12)</f>
        <v/>
      </c>
      <c r="N12" s="432">
        <f>SUMIFS($E$205:$E$513,$A$205:$A$513,"&gt;31/3/2024",$A$205:$A$513,"&lt;1/5/2024",$C$205:$C$513,$I12)</f>
        <v/>
      </c>
      <c r="O12" s="432">
        <f>SUMIFS($E$205:$E$513,$A$205:$A$513,"&gt;30/4/2024",$A$205:$A$513,"&lt;1/6/2024",$C$205:$C$513,$I12)</f>
        <v/>
      </c>
      <c r="P12" s="432">
        <f>SUMIFS($E$205:$E$513,$A$205:$A$513,"&gt;31/5/2024",$A$205:$A$513,"&lt;1/7/2024",$C$205:$C$513,$I12)</f>
        <v/>
      </c>
      <c r="Q12" s="432">
        <f>SUMIFS($E$205:$E$513,$A$205:$A$513,"&gt;30/6/2024",$A$205:$A$513,"&lt;1/8/2024",$C$205:$C$513,$I12)</f>
        <v/>
      </c>
      <c r="R12" s="432">
        <f>SUMIFS($E$205:$E$513,$A$205:$A$513,"&gt;31/7/2024",$A$205:$A$513,"&lt;1/9/2024",$C$205:$C$513,$I12)</f>
        <v/>
      </c>
      <c r="S12" s="432">
        <f>SUMIFS($E$205:$E$513,$A$205:$A$513,"&gt;31/8/2024",$A$205:$A$513,"&lt;1/10/2024",$C$205:$C$513,$I12)</f>
        <v/>
      </c>
      <c r="T12" s="432">
        <f>SUMIFS($E$205:$E$513,$A$205:$A$513,"&gt;30/9/2024",$A$205:$A$513,"&lt;1/11/2024",$C$205:$C$513,$I12)</f>
        <v/>
      </c>
      <c r="U12" s="432">
        <f>SUMIFS($E$205:$E$513,$A$205:$A$513,"&gt;31/10/2024",$A$205:$A$513,"&lt;1/12/2024",$C$205:$C$513,$I12)</f>
        <v/>
      </c>
      <c r="V12" s="432">
        <f>SUMIFS($E$205:$E$513,$A$205:$A$513,"&gt;30/11/2024",$A$205:$A$513,"&lt;1/1/2025",$C$205:$C$513,$I12)</f>
        <v/>
      </c>
      <c r="W12" s="431">
        <f>SUM(K12:V12)</f>
        <v/>
      </c>
      <c r="X12" s="432">
        <f>SUM(V12-(J12*12)*(V$2+V$1))</f>
        <v/>
      </c>
      <c r="Y12" s="432">
        <f>W12-AA12</f>
        <v/>
      </c>
      <c r="Z12" s="433">
        <f>Y12/AA12</f>
        <v/>
      </c>
      <c r="AA12" s="818">
        <f>SUM(J12*12)*((K$2+K$1+L$1+L$2+M$2+M$1+N$1+N$2+O$1+O$2+P$1+P$2+Q$1+Q$2+R$1+R$2+S$1+S$2+T$1+T$2+U$1+U$2+V$1+V$2))</f>
        <v/>
      </c>
      <c r="AB12" s="817">
        <f>W12/$AB$3</f>
        <v/>
      </c>
      <c r="AD12" s="1282" t="inlineStr">
        <is>
          <t>17/18</t>
        </is>
      </c>
      <c r="AE12" s="1260" t="inlineStr">
        <is>
          <t>Year 5</t>
        </is>
      </c>
      <c r="AF12" s="1283">
        <f>AG12+AH12</f>
        <v/>
      </c>
      <c r="AG12" s="1284">
        <f>SUM(N36:V36)</f>
        <v/>
      </c>
      <c r="AH12" s="1284">
        <f>SUM(K35:M35)</f>
        <v/>
      </c>
      <c r="AI12" s="445">
        <f>SUM(AF12-AF13)/AF13</f>
        <v/>
      </c>
    </row>
    <row r="13" ht="13.5" customHeight="1" s="1232" thickBot="1">
      <c r="B13" s="1258" t="n"/>
      <c r="C13" s="1260" t="inlineStr">
        <is>
          <t>Forecast old</t>
        </is>
      </c>
      <c r="D13" s="1354" t="n">
        <v>3623</v>
      </c>
      <c r="E13" s="1293" t="n"/>
      <c r="F13" s="1260" t="n"/>
      <c r="G13" s="445">
        <f>W119/$W$124</f>
        <v/>
      </c>
      <c r="H13" s="445">
        <f>W13/$W$18</f>
        <v/>
      </c>
      <c r="I13" s="1289" t="inlineStr">
        <is>
          <t>8. Gift Vouchers Inc</t>
        </is>
      </c>
      <c r="J13" s="431" t="n">
        <v>300</v>
      </c>
      <c r="K13" s="432">
        <f>SUMIFS($E$205:$E$513,$A$205:$A$513,"&gt;31/12/2023",$A$205:$A$513,"&lt;1/2/2024",$C$205:$C$513,$I13)</f>
        <v/>
      </c>
      <c r="L13" s="432">
        <f>SUMIFS($E$205:$E$513,$A$205:$A$513,"&gt;31/1/2024",$A$205:$A$513,"&lt;1/3/2024",$C$205:$C$513,$I13)</f>
        <v/>
      </c>
      <c r="M13" s="432">
        <f>SUMIFS($E$205:$E$513,$A$205:$A$513,"&gt;28/2/2024",$A$205:$A$513,"&lt;1/4/2024",$C$205:$C$513,$I13)</f>
        <v/>
      </c>
      <c r="N13" s="432">
        <f>SUMIFS($E$205:$E$513,$A$205:$A$513,"&gt;31/3/2024",$A$205:$A$513,"&lt;1/5/2024",$C$205:$C$513,$I13)</f>
        <v/>
      </c>
      <c r="O13" s="432">
        <f>SUMIFS($E$205:$E$513,$A$205:$A$513,"&gt;30/4/2024",$A$205:$A$513,"&lt;1/6/2024",$C$205:$C$513,$I13)</f>
        <v/>
      </c>
      <c r="P13" s="432">
        <f>SUMIFS($E$205:$E$513,$A$205:$A$513,"&gt;31/5/2024",$A$205:$A$513,"&lt;1/7/2024",$C$205:$C$513,$I13)</f>
        <v/>
      </c>
      <c r="Q13" s="432">
        <f>SUMIFS($E$205:$E$513,$A$205:$A$513,"&gt;30/6/2024",$A$205:$A$513,"&lt;1/8/2024",$C$205:$C$513,$I13)</f>
        <v/>
      </c>
      <c r="R13" s="432">
        <f>SUMIFS($E$205:$E$513,$A$205:$A$513,"&gt;31/7/2024",$A$205:$A$513,"&lt;1/9/2024",$C$205:$C$513,$I13)</f>
        <v/>
      </c>
      <c r="S13" s="432">
        <f>SUMIFS($E$205:$E$513,$A$205:$A$513,"&gt;31/8/2024",$A$205:$A$513,"&lt;1/10/2024",$C$205:$C$513,$I13)</f>
        <v/>
      </c>
      <c r="T13" s="432">
        <f>SUMIFS($E$205:$E$513,$A$205:$A$513,"&gt;30/9/2024",$A$205:$A$513,"&lt;1/11/2024",$C$205:$C$513,$I13)</f>
        <v/>
      </c>
      <c r="U13" s="432">
        <f>SUMIFS($E$205:$E$513,$A$205:$A$513,"&gt;31/10/2024",$A$205:$A$513,"&lt;1/12/2024",$C$205:$C$513,$I13)</f>
        <v/>
      </c>
      <c r="V13" s="432">
        <f>SUMIFS($E$205:$E$513,$A$205:$A$513,"&gt;30/11/2024",$A$205:$A$513,"&lt;1/1/2025",$C$205:$C$513,$I13)</f>
        <v/>
      </c>
      <c r="W13" s="431">
        <f>SUM(K13:V13)</f>
        <v/>
      </c>
      <c r="X13" s="432">
        <f>SUM(V13-(J13*12)*(V$2+V$1))</f>
        <v/>
      </c>
      <c r="Y13" s="432">
        <f>W13-AA13</f>
        <v/>
      </c>
      <c r="Z13" s="433">
        <f>Y13/AA13</f>
        <v/>
      </c>
      <c r="AA13" s="818">
        <f>SUM(J13*12)*((K$2+K$1+L$1+L$2+M$2+M$1+N$1+N$2+O$1+O$2+P$1+P$2+Q$1+Q$2+R$1+R$2+S$1+S$2+T$1+T$2+U$1+U$2+V$1+V$2))</f>
        <v/>
      </c>
      <c r="AB13" s="817">
        <f>W13/$AB$3</f>
        <v/>
      </c>
      <c r="AD13" s="1282" t="inlineStr">
        <is>
          <t>16/17</t>
        </is>
      </c>
      <c r="AE13" s="1287" t="inlineStr">
        <is>
          <t>Year 4 (surgery)</t>
        </is>
      </c>
      <c r="AF13" s="1283">
        <f>AG13+AH13</f>
        <v/>
      </c>
      <c r="AG13" s="1284">
        <f>SUM(N37:V37)</f>
        <v/>
      </c>
      <c r="AH13" s="1284">
        <f>SUM(K36:M36)</f>
        <v/>
      </c>
      <c r="AI13" s="445">
        <f>SUM(AF13-AF14)/AF14</f>
        <v/>
      </c>
    </row>
    <row r="14" ht="13.9" customHeight="1" s="1232" thickBot="1" thickTop="1">
      <c r="B14" s="1294" t="n"/>
      <c r="C14" s="1260" t="inlineStr">
        <is>
          <t>Diff</t>
        </is>
      </c>
      <c r="D14" s="1354">
        <f>D8-D13</f>
        <v/>
      </c>
      <c r="E14" s="1293" t="n"/>
      <c r="F14" s="1260" t="n"/>
      <c r="G14" s="445">
        <f>W120/$W$124</f>
        <v/>
      </c>
      <c r="H14" s="445">
        <f>W14/$W$18</f>
        <v/>
      </c>
      <c r="I14" s="1295" t="inlineStr">
        <is>
          <t>9. Gift Vouchers Out</t>
        </is>
      </c>
      <c r="J14" s="431" t="n">
        <v>-200</v>
      </c>
      <c r="K14" s="432">
        <f>SUMIFS($E$205:$E$513,$A$205:$A$513,"&gt;31/12/2023",$A$205:$A$513,"&lt;1/2/2024",$C$205:$C$513,$I14)</f>
        <v/>
      </c>
      <c r="L14" s="432">
        <f>SUMIFS($E$205:$E$513,$A$205:$A$513,"&gt;31/1/2024",$A$205:$A$513,"&lt;1/3/2024",$C$205:$C$513,$I14)</f>
        <v/>
      </c>
      <c r="M14" s="432">
        <f>SUMIFS($E$205:$E$513,$A$205:$A$513,"&gt;28/2/2024",$A$205:$A$513,"&lt;1/4/2024",$C$205:$C$513,$I14)</f>
        <v/>
      </c>
      <c r="N14" s="432">
        <f>SUMIFS($E$205:$E$513,$A$205:$A$513,"&gt;31/3/2024",$A$205:$A$513,"&lt;1/5/2024",$C$205:$C$513,$I14)</f>
        <v/>
      </c>
      <c r="O14" s="432">
        <f>SUMIFS($E$205:$E$513,$A$205:$A$513,"&gt;30/4/2024",$A$205:$A$513,"&lt;1/6/2024",$C$205:$C$513,$I14)</f>
        <v/>
      </c>
      <c r="P14" s="432">
        <f>SUMIFS($E$205:$E$513,$A$205:$A$513,"&gt;31/5/2024",$A$205:$A$513,"&lt;1/7/2024",$C$205:$C$513,$I14)</f>
        <v/>
      </c>
      <c r="Q14" s="432">
        <f>SUMIFS($E$205:$E$513,$A$205:$A$513,"&gt;30/6/2024",$A$205:$A$513,"&lt;1/8/2024",$C$205:$C$513,$I14)</f>
        <v/>
      </c>
      <c r="R14" s="432">
        <f>SUMIFS($E$205:$E$513,$A$205:$A$513,"&gt;31/7/2024",$A$205:$A$513,"&lt;1/9/2024",$C$205:$C$513,$I14)</f>
        <v/>
      </c>
      <c r="S14" s="432">
        <f>SUMIFS($E$205:$E$513,$A$205:$A$513,"&gt;31/8/2024",$A$205:$A$513,"&lt;1/10/2024",$C$205:$C$513,$I14)</f>
        <v/>
      </c>
      <c r="T14" s="432">
        <f>SUMIFS($E$205:$E$513,$A$205:$A$513,"&gt;30/9/2024",$A$205:$A$513,"&lt;1/11/2024",$C$205:$C$513,$I14)</f>
        <v/>
      </c>
      <c r="U14" s="432">
        <f>SUMIFS($E$205:$E$513,$A$205:$A$513,"&gt;31/10/2024",$A$205:$A$513,"&lt;1/12/2024",$C$205:$C$513,$I14)</f>
        <v/>
      </c>
      <c r="V14" s="432">
        <f>SUMIFS($E$205:$E$513,$A$205:$A$513,"&gt;30/11/2024",$A$205:$A$513,"&lt;1/1/2025",$C$205:$C$513,$I14)</f>
        <v/>
      </c>
      <c r="W14" s="431">
        <f>SUM(K14:V14)</f>
        <v/>
      </c>
      <c r="X14" s="432">
        <f>SUM(V14-(J14*12)*(V$2+V$1))</f>
        <v/>
      </c>
      <c r="Y14" s="432">
        <f>W14-AA14</f>
        <v/>
      </c>
      <c r="Z14" s="433">
        <f>Y14/AA14</f>
        <v/>
      </c>
      <c r="AA14" s="818">
        <f>SUM(J14*12)*((K$2+K$1+L$1+L$2+M$2+M$1+N$1+N$2+O$1+O$2+P$1+P$2+Q$1+Q$2+R$1+R$2+S$1+S$2+T$1+T$2+U$1+U$2+V$1+V$2))</f>
        <v/>
      </c>
      <c r="AB14" s="817">
        <f>W14/$AB$3</f>
        <v/>
      </c>
      <c r="AD14" s="1282" t="inlineStr">
        <is>
          <t>15/16</t>
        </is>
      </c>
      <c r="AE14" s="1260" t="inlineStr">
        <is>
          <t>Year 3</t>
        </is>
      </c>
      <c r="AF14" s="1283">
        <f>AG14+AH14</f>
        <v/>
      </c>
      <c r="AG14" s="1284">
        <f>SUM(N38:V38)</f>
        <v/>
      </c>
      <c r="AH14" s="1284">
        <f>SUM(K37:M37)</f>
        <v/>
      </c>
      <c r="AI14" s="445">
        <f>SUM(AF14-AF15)/AF15</f>
        <v/>
      </c>
    </row>
    <row r="15" ht="14.25" customHeight="1" s="1232" thickTop="1">
      <c r="B15" s="1294" t="n"/>
      <c r="C15" s="1294" t="n"/>
      <c r="D15" s="1292" t="n"/>
      <c r="E15" s="1293" t="n"/>
      <c r="F15" s="1260" t="n"/>
      <c r="G15" s="445">
        <f>W121/$W$124</f>
        <v/>
      </c>
      <c r="H15" s="445">
        <f>W15/$W$18</f>
        <v/>
      </c>
      <c r="I15" s="1295" t="inlineStr">
        <is>
          <t>10. Prints &amp; Royalties</t>
        </is>
      </c>
      <c r="J15" s="431" t="n">
        <v>175</v>
      </c>
      <c r="K15" s="432">
        <f>SUMIFS($E$205:$E$513,$A$205:$A$513,"&gt;31/12/2023",$A$205:$A$513,"&lt;1/2/2024",$C$205:$C$513,$I15)</f>
        <v/>
      </c>
      <c r="L15" s="432">
        <f>SUMIFS($E$205:$E$513,$A$205:$A$513,"&gt;31/1/2024",$A$205:$A$513,"&lt;1/3/2024",$C$205:$C$513,$I15)</f>
        <v/>
      </c>
      <c r="M15" s="432">
        <f>SUMIFS($E$205:$E$513,$A$205:$A$513,"&gt;28/2/2024",$A$205:$A$513,"&lt;1/4/2024",$C$205:$C$513,$I15)</f>
        <v/>
      </c>
      <c r="N15" s="432">
        <f>SUMIFS($E$205:$E$513,$A$205:$A$513,"&gt;31/3/2024",$A$205:$A$513,"&lt;1/5/2024",$C$205:$C$513,$I15)</f>
        <v/>
      </c>
      <c r="O15" s="432">
        <f>SUMIFS($E$205:$E$513,$A$205:$A$513,"&gt;30/4/2024",$A$205:$A$513,"&lt;1/6/2024",$C$205:$C$513,$I15)</f>
        <v/>
      </c>
      <c r="P15" s="432">
        <f>SUMIFS($E$205:$E$513,$A$205:$A$513,"&gt;31/5/2024",$A$205:$A$513,"&lt;1/7/2024",$C$205:$C$513,$I15)</f>
        <v/>
      </c>
      <c r="Q15" s="432">
        <f>SUMIFS($E$205:$E$513,$A$205:$A$513,"&gt;30/6/2024",$A$205:$A$513,"&lt;1/8/2024",$C$205:$C$513,$I15)</f>
        <v/>
      </c>
      <c r="R15" s="432">
        <f>SUMIFS($E$205:$E$513,$A$205:$A$513,"&gt;31/7/2024",$A$205:$A$513,"&lt;1/9/2024",$C$205:$C$513,$I15)</f>
        <v/>
      </c>
      <c r="S15" s="432">
        <f>SUMIFS($E$205:$E$513,$A$205:$A$513,"&gt;31/8/2024",$A$205:$A$513,"&lt;1/10/2024",$C$205:$C$513,$I15)</f>
        <v/>
      </c>
      <c r="T15" s="432">
        <f>SUMIFS($E$205:$E$513,$A$205:$A$513,"&gt;30/9/2024",$A$205:$A$513,"&lt;1/11/2024",$C$205:$C$513,$I15)</f>
        <v/>
      </c>
      <c r="U15" s="432">
        <f>SUMIFS($E$205:$E$513,$A$205:$A$513,"&gt;31/10/2024",$A$205:$A$513,"&lt;1/12/2024",$C$205:$C$513,$I15)</f>
        <v/>
      </c>
      <c r="V15" s="432">
        <f>SUMIFS($E$205:$E$513,$A$205:$A$513,"&gt;30/11/2024",$A$205:$A$513,"&lt;1/1/2025",$C$205:$C$513,$I15)</f>
        <v/>
      </c>
      <c r="W15" s="431">
        <f>SUM(K15:V15)</f>
        <v/>
      </c>
      <c r="X15" s="432">
        <f>SUM(V15-(J15*12)*(V$2+V$1))</f>
        <v/>
      </c>
      <c r="Y15" s="432">
        <f>W15-AA15</f>
        <v/>
      </c>
      <c r="Z15" s="433">
        <f>Y15/AA15</f>
        <v/>
      </c>
      <c r="AA15" s="818">
        <f>SUM(J15*12)*((K$2+K$1+L$1+L$2+M$2+M$1+N$1+N$2+O$1+O$2+P$1+P$2+Q$1+Q$2+R$1+R$2+S$1+S$2+T$1+T$2+U$1+U$2+V$1+V$2))</f>
        <v/>
      </c>
      <c r="AB15" s="817">
        <f>W15/$AB$3</f>
        <v/>
      </c>
      <c r="AD15" s="1282" t="inlineStr">
        <is>
          <t>14/15</t>
        </is>
      </c>
      <c r="AE15" s="1260" t="inlineStr">
        <is>
          <t>Year 2</t>
        </is>
      </c>
      <c r="AF15" s="1283">
        <f>AG15+AH15</f>
        <v/>
      </c>
      <c r="AG15" s="1284">
        <f>SUM(N39:V39)</f>
        <v/>
      </c>
      <c r="AH15" s="1284">
        <f>SUM(K38:M38)</f>
        <v/>
      </c>
      <c r="AI15" s="445" t="n"/>
    </row>
    <row r="16" ht="13.9" customHeight="1" s="1232">
      <c r="B16" s="1294" t="n"/>
      <c r="C16" s="1294" t="n"/>
      <c r="D16" s="1292" t="n"/>
      <c r="E16" s="1293" t="n"/>
      <c r="F16" s="1260" t="n"/>
      <c r="G16" s="445">
        <f>W122/$W$124</f>
        <v/>
      </c>
      <c r="H16" s="445">
        <f>W16/$W$18</f>
        <v/>
      </c>
      <c r="I16" s="1289" t="inlineStr">
        <is>
          <t>11 Commissions</t>
        </is>
      </c>
      <c r="J16" s="431" t="n">
        <v>400</v>
      </c>
      <c r="K16" s="432">
        <f>SUMIFS($E$205:$E$513,$A$205:$A$513,"&gt;31/12/2023",$A$205:$A$513,"&lt;1/2/2024",$C$205:$C$513,$I16)</f>
        <v/>
      </c>
      <c r="L16" s="432">
        <f>SUMIFS($E$205:$E$513,$A$205:$A$513,"&gt;31/1/2024",$A$205:$A$513,"&lt;1/3/2024",$C$205:$C$513,$I16)</f>
        <v/>
      </c>
      <c r="M16" s="432">
        <f>SUMIFS($E$205:$E$513,$A$205:$A$513,"&gt;28/2/2024",$A$205:$A$513,"&lt;1/4/2024",$C$205:$C$513,$I16)</f>
        <v/>
      </c>
      <c r="N16" s="432">
        <f>SUMIFS($E$205:$E$513,$A$205:$A$513,"&gt;31/3/2024",$A$205:$A$513,"&lt;1/5/2024",$C$205:$C$513,$I16)</f>
        <v/>
      </c>
      <c r="O16" s="432">
        <f>SUMIFS($E$205:$E$513,$A$205:$A$513,"&gt;30/4/2024",$A$205:$A$513,"&lt;1/6/2024",$C$205:$C$513,$I16)</f>
        <v/>
      </c>
      <c r="P16" s="432">
        <f>SUMIFS($E$205:$E$513,$A$205:$A$513,"&gt;31/5/2024",$A$205:$A$513,"&lt;1/7/2024",$C$205:$C$513,$I16)</f>
        <v/>
      </c>
      <c r="Q16" s="432">
        <f>SUMIFS($E$205:$E$513,$A$205:$A$513,"&gt;30/6/2024",$A$205:$A$513,"&lt;1/8/2024",$C$205:$C$513,$I16)</f>
        <v/>
      </c>
      <c r="R16" s="432">
        <f>SUMIFS($E$205:$E$513,$A$205:$A$513,"&gt;31/7/2024",$A$205:$A$513,"&lt;1/9/2024",$C$205:$C$513,$I16)</f>
        <v/>
      </c>
      <c r="S16" s="432">
        <f>SUMIFS($E$205:$E$513,$A$205:$A$513,"&gt;31/8/2024",$A$205:$A$513,"&lt;1/10/2024",$C$205:$C$513,$I16)</f>
        <v/>
      </c>
      <c r="T16" s="432">
        <f>SUMIFS($E$205:$E$513,$A$205:$A$513,"&gt;30/9/2024",$A$205:$A$513,"&lt;1/11/2024",$C$205:$C$513,$I16)</f>
        <v/>
      </c>
      <c r="U16" s="432">
        <f>SUMIFS($E$205:$E$513,$A$205:$A$513,"&gt;31/10/2024",$A$205:$A$513,"&lt;1/12/2024",$C$205:$C$513,$I16)</f>
        <v/>
      </c>
      <c r="V16" s="432">
        <f>SUMIFS($E$205:$E$513,$A$205:$A$513,"&gt;30/11/2024",$A$205:$A$513,"&lt;1/1/2025",$C$205:$C$513,$I16)</f>
        <v/>
      </c>
      <c r="W16" s="431">
        <f>SUM(K16:V16)</f>
        <v/>
      </c>
      <c r="X16" s="432">
        <f>SUM(V16-(J16*12)*(V$2+V$1))</f>
        <v/>
      </c>
      <c r="Y16" s="432">
        <f>W16-AA16</f>
        <v/>
      </c>
      <c r="Z16" s="433">
        <f>Y16/AA16</f>
        <v/>
      </c>
      <c r="AA16" s="818">
        <f>SUM(J16*12)*((K$2+K$1+L$1+L$2+M$2+M$1+N$1+N$2+O$1+O$2+P$1+P$2+Q$1+Q$2+R$1+R$2+S$1+S$2+T$1+T$2+U$1+U$2+V$1+V$2))</f>
        <v/>
      </c>
      <c r="AB16" s="817">
        <f>W16/$AB$3</f>
        <v/>
      </c>
      <c r="AD16" s="1282" t="inlineStr">
        <is>
          <t>13/14</t>
        </is>
      </c>
      <c r="AE16" s="1260" t="inlineStr">
        <is>
          <t>Year 1</t>
        </is>
      </c>
      <c r="AF16" s="1283">
        <f>AG16+AH16</f>
        <v/>
      </c>
      <c r="AG16" s="1284">
        <f>SUM(N40:V40)</f>
        <v/>
      </c>
      <c r="AH16" s="1284">
        <f>SUM(K39:M39)</f>
        <v/>
      </c>
    </row>
    <row r="17" ht="13.5" customHeight="1" s="1232">
      <c r="B17" s="1294" t="n"/>
      <c r="C17" s="1294" t="n"/>
      <c r="E17" s="1293" t="n">
        <v>0</v>
      </c>
      <c r="F17" s="1274" t="n"/>
      <c r="G17" s="445">
        <f>W123/$W$124</f>
        <v/>
      </c>
      <c r="H17" s="445">
        <f>W17/$W$18</f>
        <v/>
      </c>
      <c r="I17" s="1295" t="inlineStr">
        <is>
          <t>12. Other</t>
        </is>
      </c>
      <c r="J17" s="431" t="n">
        <v>45</v>
      </c>
      <c r="K17" s="432">
        <f>SUMIFS($E$205:$E$513,$A$205:$A$513,"&gt;31/12/2023",$A$205:$A$513,"&lt;1/2/2024",$C$205:$C$513,$I17)</f>
        <v/>
      </c>
      <c r="L17" s="432">
        <f>SUMIFS($E$205:$E$513,$A$205:$A$513,"&gt;31/1/2024",$A$205:$A$513,"&lt;1/3/2024",$C$205:$C$513,$I17)</f>
        <v/>
      </c>
      <c r="M17" s="432">
        <f>SUMIFS($E$205:$E$513,$A$205:$A$513,"&gt;28/2/2024",$A$205:$A$513,"&lt;1/4/2024",$C$205:$C$513,$I17)</f>
        <v/>
      </c>
      <c r="N17" s="432">
        <f>SUMIFS($E$205:$E$513,$A$205:$A$513,"&gt;31/3/2024",$A$205:$A$513,"&lt;1/5/2024",$C$205:$C$513,$I17)</f>
        <v/>
      </c>
      <c r="O17" s="432">
        <f>SUMIFS($E$205:$E$513,$A$205:$A$513,"&gt;30/4/2024",$A$205:$A$513,"&lt;1/6/2024",$C$205:$C$513,$I17)</f>
        <v/>
      </c>
      <c r="P17" s="432">
        <f>SUMIFS($E$205:$E$513,$A$205:$A$513,"&gt;31/5/2024",$A$205:$A$513,"&lt;1/7/2024",$C$205:$C$513,$I17)</f>
        <v/>
      </c>
      <c r="Q17" s="432">
        <f>SUMIFS($E$205:$E$513,$A$205:$A$513,"&gt;30/6/2024",$A$205:$A$513,"&lt;1/8/2024",$C$205:$C$513,$I17)</f>
        <v/>
      </c>
      <c r="R17" s="432">
        <f>SUMIFS($E$205:$E$513,$A$205:$A$513,"&gt;31/7/2024",$A$205:$A$513,"&lt;1/9/2024",$C$205:$C$513,$I17)</f>
        <v/>
      </c>
      <c r="S17" s="432">
        <f>SUMIFS($E$205:$E$513,$A$205:$A$513,"&gt;31/8/2024",$A$205:$A$513,"&lt;1/10/2024",$C$205:$C$513,$I17)</f>
        <v/>
      </c>
      <c r="T17" s="432">
        <f>SUMIFS($E$205:$E$513,$A$205:$A$513,"&gt;30/9/2024",$A$205:$A$513,"&lt;1/11/2024",$C$205:$C$513,$I17)</f>
        <v/>
      </c>
      <c r="U17" s="432">
        <f>SUMIFS($E$205:$E$513,$A$205:$A$513,"&gt;31/10/2024",$A$205:$A$513,"&lt;1/12/2024",$C$205:$C$513,$I17)</f>
        <v/>
      </c>
      <c r="V17" s="432">
        <f>SUMIFS($E$205:$E$513,$A$205:$A$513,"&gt;30/11/2024",$A$205:$A$513,"&lt;1/1/2025",$C$205:$C$513,$I17)</f>
        <v/>
      </c>
      <c r="W17" s="431">
        <f>SUM(K17:V17)</f>
        <v/>
      </c>
      <c r="X17" s="432">
        <f>SUM(V17-(J17*12)*(V$2+V$1))</f>
        <v/>
      </c>
      <c r="Y17" s="432">
        <f>W17-AA17</f>
        <v/>
      </c>
      <c r="Z17" s="433">
        <f>Y17/AA17</f>
        <v/>
      </c>
      <c r="AA17" s="818">
        <f>SUM(J17*12)*((K$2+K$1+L$1+L$2+M$2+M$1+N$1+N$2+O$1+O$2+P$1+P$2+Q$1+Q$2+R$1+R$2+S$1+S$2+T$1+T$2+U$1+U$2+V$1+V$2))</f>
        <v/>
      </c>
      <c r="AB17" s="817">
        <f>W17/$AB$3</f>
        <v/>
      </c>
    </row>
    <row r="18" ht="15.75" customHeight="1" s="1232" thickBot="1">
      <c r="B18" s="1271" t="n"/>
      <c r="C18" s="1271" t="n"/>
      <c r="E18" s="1296" t="n"/>
      <c r="F18" s="1297" t="n"/>
      <c r="G18" s="445">
        <f>W124/$W$124</f>
        <v/>
      </c>
      <c r="H18" s="445">
        <f>W18/$W$18</f>
        <v/>
      </c>
      <c r="I18" s="1298" t="inlineStr">
        <is>
          <t>Totals</t>
        </is>
      </c>
      <c r="J18" s="932">
        <f>SUM(J6:J17)</f>
        <v/>
      </c>
      <c r="K18" s="991">
        <f>SUM(K6:K17)</f>
        <v/>
      </c>
      <c r="L18" s="991">
        <f>SUM(L6:L17)</f>
        <v/>
      </c>
      <c r="M18" s="991">
        <f>SUM(M6:M17)</f>
        <v/>
      </c>
      <c r="N18" s="991">
        <f>SUM(N6:N17)</f>
        <v/>
      </c>
      <c r="O18" s="991">
        <f>SUM(O6:O17)</f>
        <v/>
      </c>
      <c r="P18" s="991">
        <f>SUM(P6:P17)</f>
        <v/>
      </c>
      <c r="Q18" s="991">
        <f>SUM(Q6:Q17)</f>
        <v/>
      </c>
      <c r="R18" s="991">
        <f>SUM(R6:R17)</f>
        <v/>
      </c>
      <c r="S18" s="991">
        <f>SUM(S6:S17)</f>
        <v/>
      </c>
      <c r="T18" s="991">
        <f>SUM(T6:T17)</f>
        <v/>
      </c>
      <c r="U18" s="991">
        <f>SUM(U6:U17)</f>
        <v/>
      </c>
      <c r="V18" s="991">
        <f>SUM(V6:V17)</f>
        <v/>
      </c>
      <c r="W18" s="991">
        <f>SUM(W6:W17)</f>
        <v/>
      </c>
      <c r="X18" s="432">
        <f>SUM(V18-(J18*12)*(V$2+V$1))</f>
        <v/>
      </c>
      <c r="Y18" s="824">
        <f>W18-AA18</f>
        <v/>
      </c>
      <c r="Z18" s="837">
        <f>Y18/AA18</f>
        <v/>
      </c>
      <c r="AA18" s="818">
        <f>SUM(J18*12)*((K$2+K$1+L$1+L$2+M$2+M$1+N$1+N$2+O$1+O$2+P$1+P$2+Q$1+Q$2+R$1+R$2+S$1+S$2+T$1+T$2+U$1+U$2+V$1+V$2))</f>
        <v/>
      </c>
      <c r="AB18" s="838">
        <f>W18/$AB$3</f>
        <v/>
      </c>
      <c r="AE18" s="1283">
        <f>AF18-W44</f>
        <v/>
      </c>
      <c r="AF18" s="1283">
        <f>SUM(AF5:AF16)</f>
        <v/>
      </c>
      <c r="AG18" s="1283">
        <f>SUM(AG5:AG16)</f>
        <v/>
      </c>
      <c r="AH18" s="1283">
        <f>SUM(AH5:AH16)</f>
        <v/>
      </c>
    </row>
    <row r="19" ht="13.9" customHeight="1" s="1232">
      <c r="B19" s="1271" t="n"/>
      <c r="C19" s="1271" t="n"/>
      <c r="D19" s="1292" t="n"/>
      <c r="E19" s="1296" t="n"/>
      <c r="F19" s="1297" t="n"/>
      <c r="I19" s="1268" t="inlineStr">
        <is>
          <t>Target</t>
        </is>
      </c>
      <c r="J19" s="1299">
        <f>J18*12</f>
        <v/>
      </c>
      <c r="K19" s="671">
        <f>K18/K3</f>
        <v/>
      </c>
      <c r="L19" s="671">
        <f>L18/L3</f>
        <v/>
      </c>
      <c r="M19" s="671">
        <f>M18/M3</f>
        <v/>
      </c>
      <c r="N19" s="671">
        <f>N18/N3</f>
        <v/>
      </c>
      <c r="O19" s="671">
        <f>O18/O3</f>
        <v/>
      </c>
      <c r="P19" s="671">
        <f>P18/P3</f>
        <v/>
      </c>
      <c r="Q19" s="671">
        <f>Q18/Q3</f>
        <v/>
      </c>
      <c r="R19" s="671">
        <f>R18/R3</f>
        <v/>
      </c>
      <c r="S19" s="671">
        <f>S18/S3</f>
        <v/>
      </c>
      <c r="T19" s="671">
        <f>T18/T3</f>
        <v/>
      </c>
      <c r="U19" s="671">
        <f>U18/U3</f>
        <v/>
      </c>
      <c r="V19" s="671">
        <f>V18/V3</f>
        <v/>
      </c>
      <c r="W19" s="671">
        <f>W18/AA18</f>
        <v/>
      </c>
      <c r="X19" s="583" t="n"/>
      <c r="Y19" s="836" t="n"/>
      <c r="AB19" s="445" t="n"/>
    </row>
    <row r="20" ht="15.75" customHeight="1" s="1232" thickBot="1">
      <c r="B20" s="1271" t="inlineStr">
        <is>
          <t>Tony Teague</t>
        </is>
      </c>
      <c r="C20" s="1271" t="inlineStr">
        <is>
          <t>Deals Won - Waiting £</t>
        </is>
      </c>
      <c r="D20" s="548" t="inlineStr">
        <is>
          <t>paid 250 deposit</t>
        </is>
      </c>
      <c r="E20" s="1296" t="n"/>
      <c r="F20" s="1297" t="inlineStr">
        <is>
          <t>Dingle / Ireland</t>
        </is>
      </c>
      <c r="I20" s="1300" t="inlineStr">
        <is>
          <t>GP</t>
        </is>
      </c>
      <c r="J20" s="1301" t="n"/>
      <c r="K20" s="976">
        <f>K124</f>
        <v/>
      </c>
      <c r="L20" s="976">
        <f>L124</f>
        <v/>
      </c>
      <c r="M20" s="976">
        <f>M124</f>
        <v/>
      </c>
      <c r="N20" s="976">
        <f>N124</f>
        <v/>
      </c>
      <c r="O20" s="976">
        <f>O124</f>
        <v/>
      </c>
      <c r="P20" s="976">
        <f>P124</f>
        <v/>
      </c>
      <c r="Q20" s="976">
        <f>Q124</f>
        <v/>
      </c>
      <c r="R20" s="976">
        <f>R124</f>
        <v/>
      </c>
      <c r="S20" s="976">
        <f>S124</f>
        <v/>
      </c>
      <c r="T20" s="976">
        <f>T124</f>
        <v/>
      </c>
      <c r="U20" s="976">
        <f>U124</f>
        <v/>
      </c>
      <c r="V20" s="976">
        <f>V124</f>
        <v/>
      </c>
      <c r="W20" s="977">
        <f>W124</f>
        <v/>
      </c>
      <c r="X20" s="583">
        <f>W20/AB3</f>
        <v/>
      </c>
      <c r="Y20" s="836" t="n"/>
      <c r="AB20" s="445" t="n"/>
      <c r="AD20" s="1304" t="inlineStr">
        <is>
          <t>Invoice Date</t>
        </is>
      </c>
      <c r="AE20" s="1304" t="n"/>
      <c r="AF20" s="1304" t="inlineStr">
        <is>
          <t>Employee</t>
        </is>
      </c>
      <c r="AG20" s="1304" t="inlineStr">
        <is>
          <t>Invoice Number</t>
        </is>
      </c>
      <c r="AH20" s="1304" t="inlineStr">
        <is>
          <t>ELS Voucher</t>
        </is>
      </c>
      <c r="AI20" s="1304" t="inlineStr">
        <is>
          <t>Amount</t>
        </is>
      </c>
      <c r="AJ20" s="1304" t="inlineStr">
        <is>
          <t>Event</t>
        </is>
      </c>
    </row>
    <row r="21" ht="13.9" customHeight="1" s="1232">
      <c r="B21" s="1271" t="n"/>
      <c r="C21" s="1271" t="n"/>
      <c r="D21" s="470" t="n"/>
      <c r="E21" s="1296" t="n"/>
      <c r="F21" s="1305" t="n"/>
      <c r="I21" s="1268" t="inlineStr">
        <is>
          <t>GP %</t>
        </is>
      </c>
      <c r="J21" s="1299" t="n"/>
      <c r="K21" s="924">
        <f>K20/K18</f>
        <v/>
      </c>
      <c r="L21" s="924">
        <f>L20/L18</f>
        <v/>
      </c>
      <c r="M21" s="924">
        <f>M20/M18</f>
        <v/>
      </c>
      <c r="N21" s="924">
        <f>N20/N18</f>
        <v/>
      </c>
      <c r="O21" s="924">
        <f>O20/O18</f>
        <v/>
      </c>
      <c r="P21" s="924">
        <f>P20/P18</f>
        <v/>
      </c>
      <c r="Q21" s="924">
        <f>Q20/Q18</f>
        <v/>
      </c>
      <c r="R21" s="924">
        <f>R20/R18</f>
        <v/>
      </c>
      <c r="S21" s="924">
        <f>S20/S18</f>
        <v/>
      </c>
      <c r="T21" s="924">
        <f>T20/T18</f>
        <v/>
      </c>
      <c r="U21" s="924">
        <f>U20/U18</f>
        <v/>
      </c>
      <c r="V21" s="924">
        <f>V20/V18</f>
        <v/>
      </c>
      <c r="W21" s="924">
        <f>W20/W18</f>
        <v/>
      </c>
      <c r="X21" s="583" t="n"/>
      <c r="Y21" s="836" t="n"/>
      <c r="AB21" s="445" t="n"/>
    </row>
    <row r="22" ht="14.25" customHeight="1" s="1232" thickBot="1">
      <c r="B22" s="1271" t="n"/>
      <c r="C22" s="1271" t="n"/>
      <c r="D22" s="548" t="n"/>
      <c r="E22" s="1296" t="n"/>
      <c r="F22" s="1297" t="n"/>
      <c r="I22" s="1306" t="inlineStr">
        <is>
          <t>Cash After Capital Repayment</t>
        </is>
      </c>
      <c r="J22" s="1307" t="n"/>
      <c r="K22" s="927">
        <f>SUM((K127+K128)*-25%)+(K127+K128)+(K129+K130+K131+K132+K133+K134+K135)</f>
        <v/>
      </c>
      <c r="L22" s="927">
        <f>SUM((L127+L128)*-25%)+(L127+L128)+(L129+L130+L131+L132+L133+L134+L135)</f>
        <v/>
      </c>
      <c r="M22" s="927">
        <f>SUM((M127+M128)*-25%)+(M127+M128)+(M129+M130+M131+M132+M133+M134+M135)</f>
        <v/>
      </c>
      <c r="N22" s="927">
        <f>SUM((N127+N128)*-25%)+(N127+N128)+(N129+N130+N131+N132+N133+N134+N135)</f>
        <v/>
      </c>
      <c r="O22" s="927">
        <f>SUM((O127+O128)*-25%)+(O127+O128)+(O129+O130+O131+O132+O133+O134+O135)</f>
        <v/>
      </c>
      <c r="P22" s="927">
        <f>SUM((P127+P128)*-25%)+(P127+P128)+(P129+P130+P131+P132+P133+P134+P135)</f>
        <v/>
      </c>
      <c r="Q22" s="927">
        <f>SUM((Q127+Q128)*-25%)+(Q127+Q128)+(Q129+Q130+Q131+Q132+Q133+Q134+Q135)</f>
        <v/>
      </c>
      <c r="R22" s="927">
        <f>SUM((R127+R128)*-25%)+(R127+R128)+(R129+R130+R131+R132+R133+R134+R135)</f>
        <v/>
      </c>
      <c r="S22" s="927">
        <f>SUM((S127+S128)*-25%)+(S127+S128)+(S129+S130+S131+S132+S133+S134+S135)</f>
        <v/>
      </c>
      <c r="T22" s="927">
        <f>SUM((T127+T128)*-25%)+(T127+T128)+(T129+T130+T131+T132+T133+T134+T135)</f>
        <v/>
      </c>
      <c r="U22" s="927">
        <f>SUM((U127+U128)*-25%)+(U127+U128)+(U129+U130+U131+U132+U133+U134+U135)</f>
        <v/>
      </c>
      <c r="V22" s="927">
        <f>SUM((V127+V128)*-25%)+(V127+V128)+(V129+V130+V131+V132+V133+V134+V135)</f>
        <v/>
      </c>
      <c r="W22" s="927">
        <f>SUM((W127+W128)*-30%)+(W127+W128)+(W129+W130+W131+W132+W133+W134+W135)</f>
        <v/>
      </c>
      <c r="X22" s="583">
        <f>W22/AB3</f>
        <v/>
      </c>
      <c r="Y22" s="836" t="n"/>
      <c r="AB22" s="445" t="n"/>
    </row>
    <row r="23" ht="13.9" customHeight="1" s="1232">
      <c r="B23" s="1271" t="inlineStr">
        <is>
          <t>Pixsy</t>
        </is>
      </c>
      <c r="C23" s="1271" t="inlineStr">
        <is>
          <t>Deals Won - Waiting £</t>
        </is>
      </c>
      <c r="D23" s="1282" t="n"/>
      <c r="E23" s="1296" t="n"/>
      <c r="F23" s="1297" t="n"/>
      <c r="I23" s="1308" t="inlineStr">
        <is>
          <t>Cash %</t>
        </is>
      </c>
      <c r="J23" s="1309" t="n"/>
      <c r="K23" s="931">
        <f>K22/K18</f>
        <v/>
      </c>
      <c r="L23" s="931">
        <f>L22/L18</f>
        <v/>
      </c>
      <c r="M23" s="931">
        <f>M22/M18</f>
        <v/>
      </c>
      <c r="N23" s="931">
        <f>N22/N18</f>
        <v/>
      </c>
      <c r="O23" s="931">
        <f>O22/O18</f>
        <v/>
      </c>
      <c r="P23" s="931">
        <f>P22/P18</f>
        <v/>
      </c>
      <c r="Q23" s="931">
        <f>Q22/Q18</f>
        <v/>
      </c>
      <c r="R23" s="931">
        <f>R22/R18</f>
        <v/>
      </c>
      <c r="S23" s="931">
        <f>S22/S18</f>
        <v/>
      </c>
      <c r="T23" s="931">
        <f>T22/T18</f>
        <v/>
      </c>
      <c r="U23" s="931">
        <f>U22/U18</f>
        <v/>
      </c>
      <c r="V23" s="931">
        <f>V22/V18</f>
        <v/>
      </c>
      <c r="W23" s="930">
        <f>W22/W18</f>
        <v/>
      </c>
      <c r="X23" s="583" t="n"/>
      <c r="Y23" s="836" t="n"/>
      <c r="AB23" s="445" t="n"/>
    </row>
    <row r="24" ht="13.9" customHeight="1" s="1232">
      <c r="B24" s="1271" t="n"/>
      <c r="C24" s="1271" t="n"/>
      <c r="D24" s="1260" t="n"/>
      <c r="E24" s="1296" t="n"/>
      <c r="F24" s="1297" t="n"/>
      <c r="I24" s="1310" t="inlineStr">
        <is>
          <t>Year on year Improvement %</t>
        </is>
      </c>
      <c r="J24" s="1311" t="inlineStr">
        <is>
          <t>2024 v 2023</t>
        </is>
      </c>
      <c r="K24" s="923">
        <f>IFERROR((K18-K30)/K30,0)</f>
        <v/>
      </c>
      <c r="L24" s="923">
        <f>IFERROR((L18-L30)/L30,0)</f>
        <v/>
      </c>
      <c r="M24" s="923">
        <f>IFERROR((M18-M30)/M30,0)</f>
        <v/>
      </c>
      <c r="N24" s="923">
        <f>IFERROR((N18-N30)/N30,0)</f>
        <v/>
      </c>
      <c r="O24" s="923">
        <f>IFERROR((O18-O30)/O30,0)</f>
        <v/>
      </c>
      <c r="P24" s="923">
        <f>IFERROR((P18-P30)/P30,0)</f>
        <v/>
      </c>
      <c r="Q24" s="923">
        <f>IFERROR((Q18-Q30)/Q30,0)</f>
        <v/>
      </c>
      <c r="R24" s="923">
        <f>IFERROR((R18-R30)/R30,0)</f>
        <v/>
      </c>
      <c r="S24" s="923">
        <f>IFERROR((S18-S30)/S30,0)</f>
        <v/>
      </c>
      <c r="T24" s="923">
        <f>IFERROR((T18-T30)/T30,0)</f>
        <v/>
      </c>
      <c r="U24" s="923">
        <f>IFERROR((U18-U30)/U30,0)</f>
        <v/>
      </c>
      <c r="V24" s="923">
        <f>IFERROR((V18-V30)/V30,0)</f>
        <v/>
      </c>
      <c r="W24" s="923">
        <f>IFERROR((W18-W30)/W30,0)</f>
        <v/>
      </c>
      <c r="X24" s="583" t="n"/>
      <c r="Y24" s="585" t="n"/>
      <c r="Z24" s="1260" t="inlineStr">
        <is>
          <t>Last 6 months Avg</t>
        </is>
      </c>
      <c r="AB24" s="821">
        <f>SUM(N18+O18+P18+Q18+M18+L18)/6</f>
        <v/>
      </c>
    </row>
    <row r="25" ht="13.9" customHeight="1" s="1232">
      <c r="B25" s="1271" t="n"/>
      <c r="C25" s="1271" t="n"/>
      <c r="D25" s="1260" t="n"/>
      <c r="E25" s="1296" t="n"/>
      <c r="F25" s="1297" t="n"/>
      <c r="I25" s="1310" t="n"/>
      <c r="J25" s="1299" t="n"/>
      <c r="U25" s="432" t="n">
        <v>2067</v>
      </c>
      <c r="V25" s="432">
        <f>V18-U25</f>
        <v/>
      </c>
      <c r="X25" s="583" t="n"/>
      <c r="Y25" s="585" t="n"/>
      <c r="Z25" s="1260" t="n"/>
      <c r="AB25" s="821" t="n"/>
    </row>
    <row r="26" ht="13.9" customHeight="1" s="1232">
      <c r="E26" s="1296" t="n"/>
      <c r="F26" s="1297" t="n"/>
      <c r="I26" s="1310" t="n"/>
      <c r="J26" s="1311" t="inlineStr">
        <is>
          <t>Hrly Rate (8hrs)</t>
        </is>
      </c>
      <c r="K26" s="1284">
        <f>SUM(K20/K4)/8</f>
        <v/>
      </c>
      <c r="L26" s="1284">
        <f>SUM(L20/L4)/8</f>
        <v/>
      </c>
      <c r="M26" s="1284">
        <f>SUM(M20/M4)/8</f>
        <v/>
      </c>
      <c r="N26" s="1284">
        <f>SUM(N20/N4)/8</f>
        <v/>
      </c>
      <c r="O26" s="1284">
        <f>SUM(O20/O4)/8</f>
        <v/>
      </c>
      <c r="P26" s="1284">
        <f>SUM(P20/P4)/8</f>
        <v/>
      </c>
      <c r="Q26" s="1284">
        <f>SUM(Q20/Q4)/8</f>
        <v/>
      </c>
      <c r="R26" s="1284">
        <f>SUM(R20/R4)/8</f>
        <v/>
      </c>
      <c r="S26" s="1284">
        <f>SUM(S20/S4)/8</f>
        <v/>
      </c>
      <c r="T26" s="1284">
        <f>SUM(T20/T4)/8</f>
        <v/>
      </c>
      <c r="U26" s="1284">
        <f>SUM(U20/U4)/8</f>
        <v/>
      </c>
      <c r="V26" s="1284">
        <f>SUM(V20/V4)/8</f>
        <v/>
      </c>
      <c r="W26" s="1312">
        <f>AVERAGE(K26:V26)</f>
        <v/>
      </c>
      <c r="X26" s="583" t="n"/>
      <c r="Y26" s="585" t="n"/>
      <c r="Z26" s="1260" t="n"/>
      <c r="AB26" s="821" t="n"/>
    </row>
    <row r="27" ht="13.9" customHeight="1" s="1232">
      <c r="B27" s="1271" t="inlineStr">
        <is>
          <t>Kase Affiliation</t>
        </is>
      </c>
      <c r="C27" s="1271" t="inlineStr">
        <is>
          <t>Deals Won - Waiting £</t>
        </is>
      </c>
      <c r="D27" s="470" t="n"/>
      <c r="E27" s="1296" t="n">
        <v>100</v>
      </c>
      <c r="F27" s="1260" t="inlineStr">
        <is>
          <t>Kase Commission</t>
        </is>
      </c>
      <c r="I27" s="1310" t="n"/>
      <c r="J27" s="1311" t="inlineStr">
        <is>
          <t>Daily Rate</t>
        </is>
      </c>
      <c r="K27" s="1284">
        <f>K20/K4</f>
        <v/>
      </c>
      <c r="L27" s="1284">
        <f>L20/L4</f>
        <v/>
      </c>
      <c r="M27" s="1284">
        <f>M20/M4</f>
        <v/>
      </c>
      <c r="N27" s="1284">
        <f>N20/N4</f>
        <v/>
      </c>
      <c r="O27" s="1284">
        <f>O20/O4</f>
        <v/>
      </c>
      <c r="P27" s="1284">
        <f>P20/P4</f>
        <v/>
      </c>
      <c r="Q27" s="1284">
        <f>Q20/Q4</f>
        <v/>
      </c>
      <c r="R27" s="1284">
        <f>R20/R4</f>
        <v/>
      </c>
      <c r="S27" s="1284">
        <f>S20/S4</f>
        <v/>
      </c>
      <c r="T27" s="1284">
        <f>T20/T4</f>
        <v/>
      </c>
      <c r="U27" s="1284">
        <f>U20/U4</f>
        <v/>
      </c>
      <c r="V27" s="1284">
        <f>V20/V4</f>
        <v/>
      </c>
      <c r="W27" s="1284">
        <f>AVERAGE(K27:V27)</f>
        <v/>
      </c>
      <c r="X27" s="583" t="n"/>
      <c r="Y27" s="585" t="n"/>
      <c r="Z27" s="1260" t="n"/>
      <c r="AB27" s="821" t="n"/>
    </row>
    <row r="28" ht="13.9" customHeight="1" s="1232">
      <c r="B28" s="1271" t="inlineStr">
        <is>
          <t>Partnerize</t>
        </is>
      </c>
      <c r="C28" s="1271" t="inlineStr">
        <is>
          <t>Deals Won - Waiting £</t>
        </is>
      </c>
      <c r="E28" s="1296" t="n">
        <v>15</v>
      </c>
      <c r="F28" s="1260" t="inlineStr">
        <is>
          <t>MPB Commission</t>
        </is>
      </c>
      <c r="I28" s="1310" t="n"/>
      <c r="J28" s="1299" t="n"/>
      <c r="L28" s="914" t="n"/>
      <c r="M28" s="914" t="n"/>
      <c r="N28" s="914" t="n"/>
      <c r="O28" s="914" t="n"/>
      <c r="P28" s="914" t="n"/>
      <c r="X28" s="583" t="n"/>
      <c r="Y28" s="585" t="n"/>
      <c r="Z28" s="1260" t="n"/>
      <c r="AB28" s="821" t="n"/>
    </row>
    <row r="29" ht="13.9" customHeight="1" s="1232">
      <c r="B29" s="1271" t="n"/>
      <c r="C29" s="1271" t="n"/>
      <c r="D29" s="548" t="n"/>
      <c r="E29" s="1296" t="n"/>
      <c r="F29" s="1297" t="n"/>
      <c r="I29" s="1310" t="n"/>
      <c r="J29" s="1299" t="n"/>
      <c r="M29" s="1260" t="inlineStr">
        <is>
          <t xml:space="preserve"> </t>
        </is>
      </c>
      <c r="N29" s="914" t="n"/>
      <c r="P29" s="914" t="n"/>
      <c r="Q29" s="914" t="n"/>
      <c r="R29" s="914" t="n"/>
      <c r="S29" s="914" t="n"/>
      <c r="T29" s="914" t="n"/>
      <c r="U29" s="914" t="n"/>
      <c r="V29" s="914" t="n"/>
      <c r="W29" s="432" t="n"/>
      <c r="Z29" s="1260" t="inlineStr">
        <is>
          <t>YTD YOY</t>
        </is>
      </c>
      <c r="AB29" s="821" t="n"/>
    </row>
    <row r="30" ht="13.9" customHeight="1" s="1232">
      <c r="B30" s="1271" t="n"/>
      <c r="C30" s="1271" t="n"/>
      <c r="E30" s="1296" t="n"/>
      <c r="F30" s="1260" t="n"/>
      <c r="I30" s="1313" t="inlineStr">
        <is>
          <t>2023</t>
        </is>
      </c>
      <c r="J30" s="1287" t="inlineStr">
        <is>
          <t>Year 11</t>
        </is>
      </c>
      <c r="K30" s="558" t="n">
        <v>5354.48</v>
      </c>
      <c r="L30" s="558" t="n">
        <v>2837.58</v>
      </c>
      <c r="M30" s="558" t="n">
        <v>7495.8</v>
      </c>
      <c r="N30" s="558" t="n">
        <v>3303.37</v>
      </c>
      <c r="O30" s="558" t="n">
        <v>3794.39</v>
      </c>
      <c r="P30" s="558" t="n">
        <v>2830.65</v>
      </c>
      <c r="Q30" s="558" t="n">
        <v>2809.28</v>
      </c>
      <c r="R30" s="558" t="n">
        <v>5912.62</v>
      </c>
      <c r="S30" s="558" t="n">
        <v>2568.6</v>
      </c>
      <c r="T30" s="558" t="n">
        <v>3215.39</v>
      </c>
      <c r="U30" s="558" t="n">
        <v>5022.6</v>
      </c>
      <c r="V30" s="558" t="n">
        <v>8252.059999999999</v>
      </c>
      <c r="W30" s="431">
        <f>SUM(K30:V30)</f>
        <v/>
      </c>
      <c r="X30" s="583">
        <f>W30-W31</f>
        <v/>
      </c>
      <c r="Y30" s="585">
        <f>X30/W31</f>
        <v/>
      </c>
      <c r="Z30" s="1260" t="n"/>
      <c r="AB30" s="821" t="n"/>
    </row>
    <row r="31" ht="13.15" customHeight="1" s="1232">
      <c r="I31" s="1313" t="inlineStr">
        <is>
          <t>2022</t>
        </is>
      </c>
      <c r="J31" s="1287" t="inlineStr">
        <is>
          <t>Year 10</t>
        </is>
      </c>
      <c r="K31" s="558" t="n">
        <v>18758.77</v>
      </c>
      <c r="L31" s="558" t="n">
        <v>3028.2</v>
      </c>
      <c r="M31" s="558" t="n">
        <v>5768.64</v>
      </c>
      <c r="N31" s="558" t="n">
        <v>7461.77</v>
      </c>
      <c r="O31" s="558" t="n">
        <v>5269.650000000001</v>
      </c>
      <c r="P31" s="558" t="n">
        <v>2223</v>
      </c>
      <c r="Q31" s="558" t="n">
        <v>2500.94</v>
      </c>
      <c r="R31" s="558" t="n">
        <v>2796.35</v>
      </c>
      <c r="S31" s="558" t="n">
        <v>3928.56</v>
      </c>
      <c r="T31" s="558" t="n">
        <v>2389</v>
      </c>
      <c r="U31" s="558" t="n">
        <v>3577.95</v>
      </c>
      <c r="V31" s="558" t="n">
        <v>3624.19</v>
      </c>
      <c r="W31" s="431">
        <f>SUM(K31:V31)</f>
        <v/>
      </c>
      <c r="X31" s="583">
        <f>W31-W32</f>
        <v/>
      </c>
      <c r="Y31" s="585">
        <f>X31/W32</f>
        <v/>
      </c>
      <c r="Z31" s="1260" t="n"/>
      <c r="AB31" s="821" t="n"/>
    </row>
    <row r="32" ht="13.9" customHeight="1" s="1232">
      <c r="B32" s="1271" t="inlineStr">
        <is>
          <t>Pure Photo</t>
        </is>
      </c>
      <c r="C32" s="1271" t="inlineStr">
        <is>
          <t>Deals Won - Waiting £</t>
        </is>
      </c>
      <c r="D32" s="470" t="n"/>
      <c r="E32" s="1296" t="n"/>
      <c r="F32" s="1297" t="n"/>
      <c r="I32" s="1313" t="inlineStr">
        <is>
          <t>2021</t>
        </is>
      </c>
      <c r="J32" s="1287" t="inlineStr">
        <is>
          <t>Year 9 (Covid-19)</t>
        </is>
      </c>
      <c r="K32" s="558" t="n">
        <v>1633</v>
      </c>
      <c r="L32" s="558" t="n">
        <v>3730.19</v>
      </c>
      <c r="M32" s="558" t="n">
        <v>18208.68</v>
      </c>
      <c r="N32" s="558" t="n">
        <v>3783</v>
      </c>
      <c r="O32" s="558" t="n">
        <v>3750.38</v>
      </c>
      <c r="P32" s="558" t="n">
        <v>4858.6</v>
      </c>
      <c r="Q32" s="558" t="n">
        <v>3785.35</v>
      </c>
      <c r="R32" s="558" t="n">
        <v>7391.76</v>
      </c>
      <c r="S32" s="558" t="n">
        <v>5355.23</v>
      </c>
      <c r="T32" s="558" t="n">
        <v>5201</v>
      </c>
      <c r="U32" s="558" t="n">
        <v>4340.02</v>
      </c>
      <c r="V32" s="558" t="n">
        <v>7628.76</v>
      </c>
      <c r="W32" s="431">
        <f>SUM(K32:V32)</f>
        <v/>
      </c>
      <c r="X32" s="583">
        <f>W32-W33</f>
        <v/>
      </c>
      <c r="Y32" s="585">
        <f>X32/W33</f>
        <v/>
      </c>
      <c r="Z32" s="1260" t="n"/>
      <c r="AB32" s="821" t="n"/>
    </row>
    <row r="33" ht="13.9" customHeight="1" s="1232">
      <c r="B33" s="1294" t="n"/>
      <c r="C33" s="1271" t="n"/>
      <c r="D33" s="470" t="n"/>
      <c r="E33" s="1296" t="n"/>
      <c r="F33" s="1297" t="n"/>
      <c r="I33" s="1313" t="inlineStr">
        <is>
          <t>2020</t>
        </is>
      </c>
      <c r="J33" s="1287" t="inlineStr">
        <is>
          <t>Year 8 (Covid-19)</t>
        </is>
      </c>
      <c r="K33" s="558" t="n">
        <v>7647.85</v>
      </c>
      <c r="L33" s="558" t="n">
        <v>5051.64</v>
      </c>
      <c r="M33" s="558" t="n">
        <v>4783.746923076923</v>
      </c>
      <c r="N33" s="558" t="n">
        <v>1598.35</v>
      </c>
      <c r="O33" s="558" t="n">
        <v>1786.66</v>
      </c>
      <c r="P33" s="558" t="n">
        <v>6854.62</v>
      </c>
      <c r="Q33" s="558" t="n">
        <v>2667</v>
      </c>
      <c r="R33" s="558" t="n">
        <v>11694.07</v>
      </c>
      <c r="S33" s="558" t="n">
        <v>4126.62</v>
      </c>
      <c r="T33" s="558" t="n">
        <v>2423.69</v>
      </c>
      <c r="U33" s="558" t="n">
        <v>3332.58</v>
      </c>
      <c r="V33" s="558" t="n">
        <v>3035.07</v>
      </c>
      <c r="W33" s="431">
        <f>SUM(K33:V33)</f>
        <v/>
      </c>
      <c r="X33" s="583">
        <f>W33-W34</f>
        <v/>
      </c>
      <c r="Y33" s="585">
        <f>X33/W34</f>
        <v/>
      </c>
      <c r="Z33" s="1260" t="n"/>
      <c r="AB33" s="821" t="n"/>
    </row>
    <row r="34" ht="13.9" customHeight="1" s="1232">
      <c r="B34" s="1271" t="inlineStr">
        <is>
          <t>Artfully Walls</t>
        </is>
      </c>
      <c r="C34" s="1271" t="inlineStr">
        <is>
          <t>Deals Won - Waiting £</t>
        </is>
      </c>
      <c r="D34" s="470" t="n"/>
      <c r="E34" s="1296" t="n"/>
      <c r="F34" s="1297" t="n"/>
      <c r="G34" s="1271" t="n"/>
      <c r="I34" s="1313" t="inlineStr">
        <is>
          <t>2019</t>
        </is>
      </c>
      <c r="J34" s="1287" t="inlineStr">
        <is>
          <t>Year 7</t>
        </is>
      </c>
      <c r="K34" s="558" t="n">
        <v>5891.07</v>
      </c>
      <c r="L34" s="558" t="n">
        <v>2739.5</v>
      </c>
      <c r="M34" s="558" t="n">
        <v>4414.5</v>
      </c>
      <c r="N34" s="558" t="n">
        <v>5147.5</v>
      </c>
      <c r="O34" s="558" t="n">
        <v>6878</v>
      </c>
      <c r="P34" s="558" t="n">
        <v>4875.34</v>
      </c>
      <c r="Q34" s="558" t="n">
        <v>5769.97</v>
      </c>
      <c r="R34" s="558" t="n">
        <v>7463.89</v>
      </c>
      <c r="S34" s="558" t="n">
        <v>6034.39</v>
      </c>
      <c r="T34" s="558" t="n">
        <v>4573.58</v>
      </c>
      <c r="U34" s="558" t="n">
        <v>5973.75</v>
      </c>
      <c r="V34" s="558" t="n">
        <v>5421.440000000001</v>
      </c>
      <c r="W34" s="431">
        <f>SUM(K34:V34)</f>
        <v/>
      </c>
      <c r="X34" s="583">
        <f>W34-W35</f>
        <v/>
      </c>
      <c r="Y34" s="585">
        <f>X34/W35</f>
        <v/>
      </c>
      <c r="Z34" s="1260" t="inlineStr">
        <is>
          <t>Previous 6 months Avg</t>
        </is>
      </c>
      <c r="AB34" s="821">
        <f>SUM(K30+L30+P30+O30+N30+M30)/6</f>
        <v/>
      </c>
    </row>
    <row r="35" ht="13.9" customHeight="1" s="1232">
      <c r="B35" s="1271" t="inlineStr">
        <is>
          <t>Peter Orton</t>
        </is>
      </c>
      <c r="C35" s="1271" t="inlineStr">
        <is>
          <t>Deals Won - Waiting £</t>
        </is>
      </c>
      <c r="D35" s="470" t="n"/>
      <c r="E35" s="1296" t="n">
        <v>0</v>
      </c>
      <c r="F35" s="1297" t="n">
        <v>45596</v>
      </c>
      <c r="I35" s="1313" t="inlineStr">
        <is>
          <t>2018</t>
        </is>
      </c>
      <c r="J35" s="1268" t="inlineStr">
        <is>
          <t>Year 6</t>
        </is>
      </c>
      <c r="K35" s="558" t="n">
        <v>8277.470000000001</v>
      </c>
      <c r="L35" s="558" t="n">
        <v>10607.11</v>
      </c>
      <c r="M35" s="558" t="n">
        <v>7155.05</v>
      </c>
      <c r="N35" s="558" t="n">
        <v>4371.015</v>
      </c>
      <c r="O35" s="558" t="n">
        <v>4002.63</v>
      </c>
      <c r="P35" s="558" t="n">
        <v>3243.6</v>
      </c>
      <c r="Q35" s="558" t="n">
        <v>2859.03</v>
      </c>
      <c r="R35" s="558" t="n">
        <v>4792.59</v>
      </c>
      <c r="S35" s="558" t="n">
        <v>6443.88</v>
      </c>
      <c r="T35" s="558" t="n">
        <v>3908.03</v>
      </c>
      <c r="U35" s="558" t="n">
        <v>8299.08</v>
      </c>
      <c r="V35" s="558" t="n">
        <v>4642.25</v>
      </c>
      <c r="W35" s="431">
        <f>SUM(K35:V35)</f>
        <v/>
      </c>
      <c r="X35" s="583">
        <f>W35-W36</f>
        <v/>
      </c>
      <c r="Y35" s="585">
        <f>X35/W36</f>
        <v/>
      </c>
      <c r="AB35" s="445">
        <f>SUM(AB24-AB34)/AB24</f>
        <v/>
      </c>
    </row>
    <row r="36" ht="15" customHeight="1" s="1232">
      <c r="C36" s="1271" t="n"/>
      <c r="D36" s="470" t="n"/>
      <c r="E36" s="1296" t="n"/>
      <c r="F36" s="1297" t="n"/>
      <c r="I36" s="1316" t="inlineStr">
        <is>
          <t>2017</t>
        </is>
      </c>
      <c r="J36" s="1268" t="inlineStr">
        <is>
          <t>Year 5</t>
        </is>
      </c>
      <c r="K36" s="558" t="n">
        <v>3203.5</v>
      </c>
      <c r="L36" s="558" t="n">
        <v>6685</v>
      </c>
      <c r="M36" s="558" t="n">
        <v>6242.83</v>
      </c>
      <c r="N36" s="558" t="n">
        <v>6063.17</v>
      </c>
      <c r="O36" s="558" t="n">
        <v>5851.71</v>
      </c>
      <c r="P36" s="558" t="n">
        <v>5479.93</v>
      </c>
      <c r="Q36" s="558" t="n">
        <v>3603.81</v>
      </c>
      <c r="R36" s="558" t="n">
        <v>4658.85</v>
      </c>
      <c r="S36" s="558" t="n">
        <v>10821.67</v>
      </c>
      <c r="T36" s="558" t="n">
        <v>9224.58</v>
      </c>
      <c r="U36" s="558" t="n">
        <v>10504.09</v>
      </c>
      <c r="V36" s="558" t="n">
        <v>4329.030000000001</v>
      </c>
      <c r="W36" s="431">
        <f>SUM(K36:V36)</f>
        <v/>
      </c>
      <c r="X36" s="583">
        <f>W36-W37</f>
        <v/>
      </c>
      <c r="Y36" s="585">
        <f>X36/W37</f>
        <v/>
      </c>
      <c r="AA36" s="1355" t="inlineStr">
        <is>
          <t>Forecast</t>
        </is>
      </c>
      <c r="AB36" s="1303">
        <f>SUM(K18:U18)++D8</f>
        <v/>
      </c>
    </row>
    <row r="37" ht="13.9" customHeight="1" s="1232">
      <c r="B37" s="1271" t="inlineStr">
        <is>
          <t>The Heart of a Garden</t>
        </is>
      </c>
      <c r="C37" s="1271" t="inlineStr">
        <is>
          <t>Deals Won - Waiting £</t>
        </is>
      </c>
      <c r="D37" s="548" t="n"/>
      <c r="E37" s="1296" t="n"/>
      <c r="F37" s="1297" t="inlineStr">
        <is>
          <t>Greeting Cards</t>
        </is>
      </c>
      <c r="I37" s="1316" t="inlineStr">
        <is>
          <t>2016</t>
        </is>
      </c>
      <c r="J37" s="1287" t="inlineStr">
        <is>
          <t>Year 4 (surgery)</t>
        </is>
      </c>
      <c r="K37" s="558" t="n">
        <v>4537</v>
      </c>
      <c r="L37" s="558">
        <f>4583-264</f>
        <v/>
      </c>
      <c r="M37" s="558">
        <f>3935-213</f>
        <v/>
      </c>
      <c r="N37" s="558">
        <f>4947-396</f>
        <v/>
      </c>
      <c r="O37" s="558">
        <f>3911-293</f>
        <v/>
      </c>
      <c r="P37" s="558">
        <f>2992-213</f>
        <v/>
      </c>
      <c r="Q37" s="558">
        <f>2927-218</f>
        <v/>
      </c>
      <c r="R37" s="558">
        <f>7466-213</f>
        <v/>
      </c>
      <c r="S37" s="558">
        <f>4218-425</f>
        <v/>
      </c>
      <c r="T37" s="558">
        <f>10697-213</f>
        <v/>
      </c>
      <c r="U37" s="558">
        <f>5081-213</f>
        <v/>
      </c>
      <c r="V37" s="558">
        <f>5220-213</f>
        <v/>
      </c>
      <c r="W37" s="431">
        <f>SUM(K37:V37)</f>
        <v/>
      </c>
      <c r="X37" s="583">
        <f>W37-W38</f>
        <v/>
      </c>
      <c r="Y37" s="585">
        <f>X37/W38</f>
        <v/>
      </c>
      <c r="Z37" s="445" t="n"/>
      <c r="AA37" s="771" t="n"/>
      <c r="AB37" s="803" t="n"/>
    </row>
    <row r="38" ht="13.9" customHeight="1" s="1232">
      <c r="B38" s="1356" t="n"/>
      <c r="C38" s="1357" t="n"/>
      <c r="D38" s="919" t="n"/>
      <c r="E38" s="1317" t="n"/>
      <c r="F38" s="1358" t="n"/>
      <c r="I38" s="1316" t="inlineStr">
        <is>
          <t>2015</t>
        </is>
      </c>
      <c r="J38" s="1260" t="inlineStr">
        <is>
          <t>Year 3</t>
        </is>
      </c>
      <c r="K38" s="558" t="n">
        <v>3710</v>
      </c>
      <c r="L38" s="558" t="n">
        <v>3750</v>
      </c>
      <c r="M38" s="558" t="n">
        <v>7113</v>
      </c>
      <c r="N38" s="558">
        <f>3928-213</f>
        <v/>
      </c>
      <c r="O38" s="558">
        <f>2501-213</f>
        <v/>
      </c>
      <c r="P38" s="558">
        <f>3468-213</f>
        <v/>
      </c>
      <c r="Q38" s="558">
        <f>1986-224</f>
        <v/>
      </c>
      <c r="R38" s="558">
        <f>4145-212</f>
        <v/>
      </c>
      <c r="S38" s="558">
        <f>8518-212</f>
        <v/>
      </c>
      <c r="T38" s="558">
        <f>5829-424</f>
        <v/>
      </c>
      <c r="U38" s="558">
        <f>3816-212</f>
        <v/>
      </c>
      <c r="V38" s="558">
        <f>12440-212</f>
        <v/>
      </c>
      <c r="W38" s="431">
        <f>SUM(K38:V38)</f>
        <v/>
      </c>
      <c r="X38" s="583">
        <f>W38-W39</f>
        <v/>
      </c>
      <c r="Y38" s="585">
        <f>X38/W39</f>
        <v/>
      </c>
      <c r="Z38" s="445" t="n"/>
      <c r="AA38" s="445" t="n"/>
      <c r="AB38" s="1260" t="inlineStr">
        <is>
          <t>.</t>
        </is>
      </c>
    </row>
    <row r="39" ht="13.9" customHeight="1" s="1232">
      <c r="B39" s="1271" t="inlineStr">
        <is>
          <t>Photocrowd</t>
        </is>
      </c>
      <c r="C39" s="1271" t="inlineStr">
        <is>
          <t>Deals Won - Waiting £</t>
        </is>
      </c>
      <c r="D39" s="548" t="n"/>
      <c r="E39" s="1296" t="n">
        <v>200</v>
      </c>
      <c r="F39" s="1297" t="inlineStr">
        <is>
          <t>Judging Fee</t>
        </is>
      </c>
      <c r="I39" s="1316" t="inlineStr">
        <is>
          <t>2014</t>
        </is>
      </c>
      <c r="J39" s="1260" t="inlineStr">
        <is>
          <t>Year 2</t>
        </is>
      </c>
      <c r="K39" s="558">
        <f>4439-1260</f>
        <v/>
      </c>
      <c r="L39" s="558">
        <f>3071-197</f>
        <v/>
      </c>
      <c r="M39" s="558">
        <f>4958-132</f>
        <v/>
      </c>
      <c r="N39" s="558">
        <f>3585-132</f>
        <v/>
      </c>
      <c r="O39" s="558">
        <f>5008-33</f>
        <v/>
      </c>
      <c r="P39" s="558" t="n">
        <v>3386</v>
      </c>
      <c r="Q39" s="558" t="n">
        <v>3633</v>
      </c>
      <c r="R39" s="558" t="n">
        <v>3855</v>
      </c>
      <c r="S39" s="558" t="n">
        <v>6440</v>
      </c>
      <c r="T39" s="558" t="n">
        <v>3536</v>
      </c>
      <c r="U39" s="558" t="n">
        <v>2851</v>
      </c>
      <c r="V39" s="558" t="n">
        <v>7614</v>
      </c>
      <c r="W39" s="431">
        <f>SUM(K39:V39)</f>
        <v/>
      </c>
      <c r="X39" s="583">
        <f>W39-W40</f>
        <v/>
      </c>
      <c r="Y39" s="585">
        <f>X39/W40</f>
        <v/>
      </c>
    </row>
    <row r="40" ht="13.9" customHeight="1" s="1232">
      <c r="B40" s="1357" t="n"/>
      <c r="C40" s="1357" t="n"/>
      <c r="D40" s="919" t="n"/>
      <c r="E40" s="1317" t="n"/>
      <c r="F40" s="1358" t="n"/>
      <c r="I40" s="1313" t="inlineStr">
        <is>
          <t>2013</t>
        </is>
      </c>
      <c r="J40" s="1260" t="inlineStr">
        <is>
          <t>Year 1</t>
        </is>
      </c>
      <c r="K40" s="558" t="n"/>
      <c r="L40" s="558" t="n"/>
      <c r="M40" s="558" t="n"/>
      <c r="N40" s="558" t="n"/>
      <c r="O40" s="558" t="n"/>
      <c r="P40" s="558" t="n"/>
      <c r="Q40" s="558" t="n"/>
      <c r="R40" s="558" t="n"/>
      <c r="S40" s="558" t="n"/>
      <c r="T40" s="558" t="n"/>
      <c r="U40" s="558">
        <f>3346-338</f>
        <v/>
      </c>
      <c r="V40" s="558">
        <f>6776-390</f>
        <v/>
      </c>
      <c r="W40" s="431">
        <f>SUM(K40:V40)</f>
        <v/>
      </c>
    </row>
    <row r="41" ht="13.9" customHeight="1" s="1232">
      <c r="B41" s="1271" t="inlineStr">
        <is>
          <t>Call of the Page</t>
        </is>
      </c>
      <c r="C41" s="1271" t="inlineStr">
        <is>
          <t>Deals Won - Waiting £</t>
        </is>
      </c>
      <c r="D41" s="470" t="n"/>
      <c r="E41" s="1296" t="n"/>
      <c r="F41" s="1297" t="inlineStr">
        <is>
          <t>Feedback time Sept</t>
        </is>
      </c>
      <c r="X41" s="1260" t="inlineStr">
        <is>
          <t>YoY +/-</t>
        </is>
      </c>
      <c r="Y41" s="688">
        <f>W18-K31-L31-M31-N31-O31-P31-Q31-R31-S31-T31-U31-V31</f>
        <v/>
      </c>
      <c r="Z41" s="839">
        <f>Y41/W18</f>
        <v/>
      </c>
    </row>
    <row r="42" ht="15" customHeight="1" s="1232">
      <c r="B42" s="1271" t="inlineStr">
        <is>
          <t>Outdoor Photographer</t>
        </is>
      </c>
      <c r="C42" s="1271" t="inlineStr">
        <is>
          <t>Deals Won - Waiting £</t>
        </is>
      </c>
      <c r="D42" s="470" t="n"/>
      <c r="E42" s="1296" t="n">
        <v>150</v>
      </c>
      <c r="F42" s="1297" t="n">
        <v>45617</v>
      </c>
      <c r="I42" s="1318" t="inlineStr">
        <is>
          <t>Leads In Progress</t>
        </is>
      </c>
      <c r="J42" s="448">
        <f>SUMIF($C2:E114,I42,$E2:$E82)</f>
        <v/>
      </c>
      <c r="K42" s="558">
        <f>AVERAGE(K30:K39)</f>
        <v/>
      </c>
      <c r="L42" s="558">
        <f>AVERAGE(L30:L39)</f>
        <v/>
      </c>
      <c r="M42" s="558">
        <f>AVERAGE(M30:M39)</f>
        <v/>
      </c>
      <c r="N42" s="558">
        <f>AVERAGE(N30:N39)</f>
        <v/>
      </c>
      <c r="O42" s="558">
        <f>AVERAGE(O30:O39)</f>
        <v/>
      </c>
      <c r="P42" s="558">
        <f>AVERAGE(P30:P39)</f>
        <v/>
      </c>
      <c r="Q42" s="558">
        <f>AVERAGE(Q30:Q39)</f>
        <v/>
      </c>
      <c r="R42" s="558">
        <f>AVERAGE(R30:R39)</f>
        <v/>
      </c>
      <c r="S42" s="558">
        <f>AVERAGE(S30:S39)</f>
        <v/>
      </c>
      <c r="T42" s="558">
        <f>AVERAGE(T30:T39)</f>
        <v/>
      </c>
      <c r="U42" s="558">
        <f>AVERAGE(U30:U39)</f>
        <v/>
      </c>
      <c r="V42" s="558">
        <f>AVERAGE(V30:V39)</f>
        <v/>
      </c>
      <c r="W42" s="449">
        <f>SUM(K42:V42)</f>
        <v/>
      </c>
      <c r="X42" s="449" t="inlineStr">
        <is>
          <t>Avg</t>
        </is>
      </c>
    </row>
    <row r="43" ht="15" customHeight="1" s="1232">
      <c r="B43" s="1271" t="n"/>
      <c r="C43" s="1271" t="n"/>
      <c r="D43" s="470" t="n"/>
      <c r="E43" s="1296" t="n"/>
      <c r="F43" s="1297" t="n"/>
      <c r="I43" s="1319" t="inlineStr">
        <is>
          <t>Deals Won - Waiting £</t>
        </is>
      </c>
      <c r="J43" s="451">
        <f>SUMIF($C18:D82,I43,$E18:$E82)</f>
        <v/>
      </c>
      <c r="L43" s="449" t="n"/>
      <c r="M43" s="449" t="n"/>
      <c r="N43" s="449" t="n"/>
      <c r="O43" s="449" t="n"/>
      <c r="P43" s="449" t="n"/>
      <c r="Q43" s="449" t="n"/>
      <c r="R43" s="449" t="n"/>
      <c r="S43" s="449" t="n"/>
      <c r="T43" s="449" t="n"/>
      <c r="U43" s="449" t="n"/>
      <c r="V43" s="449" t="n"/>
      <c r="W43" s="449" t="n"/>
      <c r="X43" s="449" t="n"/>
    </row>
    <row r="44" ht="15.4" customHeight="1" s="1232" thickBot="1">
      <c r="E44" s="1296" t="n"/>
      <c r="I44" s="1322" t="inlineStr">
        <is>
          <t xml:space="preserve">Total </t>
        </is>
      </c>
      <c r="J44" s="453">
        <f>SUM(J42:J43)</f>
        <v/>
      </c>
      <c r="K44" s="914" t="n"/>
      <c r="L44" s="914" t="n"/>
      <c r="M44" s="914" t="n"/>
      <c r="N44" s="914" t="n"/>
      <c r="O44" s="914" t="n"/>
      <c r="P44" s="914" t="n"/>
      <c r="Q44" s="914" t="n"/>
      <c r="R44" s="914" t="n"/>
      <c r="S44" s="914" t="n"/>
      <c r="T44" s="914" t="n"/>
      <c r="U44" s="1219" t="inlineStr">
        <is>
          <t>To Date - All Time</t>
        </is>
      </c>
      <c r="V44" s="1220" t="n"/>
      <c r="W44" s="688">
        <f>SUM(W30:W40)+W18</f>
        <v/>
      </c>
      <c r="X44" s="914" t="n"/>
    </row>
    <row r="45" ht="13.9" customHeight="1" s="1232" thickBot="1">
      <c r="B45" s="1271" t="inlineStr">
        <is>
          <t>Birkdale/Screwfix</t>
        </is>
      </c>
      <c r="C45" s="1271" t="inlineStr">
        <is>
          <t>Deals Won - Waiting £</t>
        </is>
      </c>
      <c r="E45" s="1296" t="n"/>
      <c r="J45" s="914" t="n"/>
      <c r="K45" s="914" t="n"/>
      <c r="L45" s="914" t="n"/>
      <c r="M45" s="914" t="n"/>
      <c r="N45" s="914" t="n"/>
      <c r="O45" s="914" t="n"/>
      <c r="P45" s="914" t="n"/>
      <c r="Q45" s="914" t="n"/>
      <c r="R45" s="914" t="n"/>
      <c r="S45" s="914" t="n"/>
      <c r="T45" s="914" t="n"/>
      <c r="U45" s="1219" t="inlineStr">
        <is>
          <t>Average Per Year</t>
        </is>
      </c>
      <c r="V45" s="1220" t="n"/>
      <c r="W45" s="558">
        <f>SUM(W30:W39)/10</f>
        <v/>
      </c>
      <c r="X45" s="914" t="n"/>
    </row>
    <row r="46" ht="13.9" customHeight="1" s="1232">
      <c r="E46" s="1296" t="n"/>
      <c r="G46" s="1271" t="n"/>
      <c r="I46" s="1327" t="inlineStr">
        <is>
          <t>YTD Actual</t>
        </is>
      </c>
      <c r="J46" s="456">
        <f>W18</f>
        <v/>
      </c>
      <c r="K46" s="914">
        <f>SUM(E205:E513)-J46</f>
        <v/>
      </c>
      <c r="L46" s="914" t="n"/>
      <c r="M46" s="914" t="n"/>
      <c r="N46" s="914" t="n"/>
      <c r="O46" s="914" t="n"/>
      <c r="P46" s="914" t="n"/>
      <c r="Q46" s="914" t="n"/>
      <c r="R46" s="914" t="n"/>
      <c r="S46" s="914" t="n"/>
      <c r="T46" s="914" t="n"/>
      <c r="U46" s="914" t="n"/>
      <c r="V46" s="914" t="n"/>
      <c r="W46" s="914" t="n"/>
      <c r="X46" s="914" t="n"/>
    </row>
    <row r="47" ht="14.25" customHeight="1" s="1232" thickBot="1">
      <c r="B47" s="1271" t="n"/>
      <c r="C47" s="1271" t="n"/>
      <c r="E47" s="1296" t="n"/>
      <c r="F47" s="1314" t="n"/>
      <c r="G47" s="1271" t="n"/>
      <c r="I47" s="1328" t="inlineStr">
        <is>
          <t>YTD Var to target</t>
        </is>
      </c>
      <c r="J47" s="458">
        <f>J46-AA18</f>
        <v/>
      </c>
      <c r="K47" s="914" t="n"/>
      <c r="L47" s="914" t="n"/>
      <c r="M47" s="914" t="n"/>
      <c r="N47" s="914" t="n"/>
      <c r="O47" s="914" t="n"/>
      <c r="P47" s="914" t="n"/>
      <c r="Q47" s="914" t="n"/>
      <c r="R47" s="914" t="n"/>
      <c r="S47" s="914" t="n"/>
      <c r="T47" s="914" t="n"/>
      <c r="U47" s="914" t="n"/>
      <c r="V47" s="914" t="n"/>
      <c r="W47" s="914" t="n"/>
      <c r="X47" s="914" t="n"/>
    </row>
    <row r="48" ht="13.5" customHeight="1" s="1232">
      <c r="C48" s="1271" t="n"/>
      <c r="D48" s="1260" t="n"/>
      <c r="E48" s="1296" t="n"/>
      <c r="F48" s="1314" t="n"/>
      <c r="G48" s="1271" t="n"/>
    </row>
    <row r="49" ht="13.5" customHeight="1" s="1232">
      <c r="C49" s="1271" t="n"/>
      <c r="D49" s="1260" t="n"/>
      <c r="E49" s="1296" t="n"/>
      <c r="F49" s="1314" t="n"/>
      <c r="G49" s="1297" t="n"/>
    </row>
    <row r="50" ht="13.9" customHeight="1" s="1232">
      <c r="B50" s="1260" t="n"/>
      <c r="C50" s="1271" t="n"/>
      <c r="D50" s="1260" t="n"/>
      <c r="E50" s="1296" t="n"/>
      <c r="F50" s="1314" t="n"/>
      <c r="G50" s="1297" t="n"/>
      <c r="I50" s="1329" t="inlineStr">
        <is>
          <t>JLR Anlsyis 2024</t>
        </is>
      </c>
      <c r="J50" s="1359" t="inlineStr">
        <is>
          <t>2024</t>
        </is>
      </c>
      <c r="K50" s="1331" t="inlineStr">
        <is>
          <t>Non JLR</t>
        </is>
      </c>
      <c r="L50" s="1331" t="inlineStr">
        <is>
          <t>JLR</t>
        </is>
      </c>
      <c r="M50" s="1331" t="inlineStr">
        <is>
          <t>TOTAL</t>
        </is>
      </c>
      <c r="N50" s="1331" t="inlineStr">
        <is>
          <t>Diff</t>
        </is>
      </c>
      <c r="O50" s="1332" t="n"/>
      <c r="P50" s="1332" t="n"/>
      <c r="Q50" s="1332" t="n"/>
      <c r="R50" s="1332" t="n"/>
      <c r="S50" s="1332" t="n"/>
      <c r="T50" s="1332" t="n"/>
      <c r="U50" s="1332" t="n"/>
      <c r="V50" s="1332" t="n"/>
      <c r="W50" s="1278" t="n"/>
    </row>
    <row r="51" ht="13.5" customHeight="1" s="1232">
      <c r="B51" s="1260" t="n"/>
      <c r="C51" s="1271" t="n"/>
      <c r="D51" s="1260" t="n"/>
      <c r="E51" s="1296" t="n"/>
      <c r="F51" s="1314" t="n"/>
      <c r="G51" s="1297" t="n"/>
      <c r="I51" s="1333" t="inlineStr">
        <is>
          <t>1. Courses/masterclasses</t>
        </is>
      </c>
      <c r="J51" s="431" t="n"/>
      <c r="K51" s="432">
        <f>SUMIFS($E$206:$E$696, $C$206:$C$696, $I51, $G$206:$G$696, "&lt;&gt;JLR")</f>
        <v/>
      </c>
      <c r="L51" s="432">
        <f>SUMIFS($E$206:$E$696, $C$206:$C$696, $I51, $G$206:$G$696, "JLR")</f>
        <v/>
      </c>
      <c r="M51" s="432">
        <f>K51+L51</f>
        <v/>
      </c>
      <c r="N51" s="432">
        <f>M51-W6</f>
        <v/>
      </c>
      <c r="O51" s="432" t="n"/>
      <c r="P51" s="432" t="n"/>
      <c r="Q51" s="432" t="n"/>
      <c r="R51" s="432" t="n"/>
      <c r="S51" s="432" t="n"/>
      <c r="T51" s="432" t="n"/>
      <c r="U51" s="432" t="n"/>
      <c r="V51" s="432" t="n"/>
      <c r="W51" s="432" t="n"/>
    </row>
    <row r="52" ht="13.5" customHeight="1" s="1232">
      <c r="B52" s="1271" t="n"/>
      <c r="C52" s="1271" t="n"/>
      <c r="D52" s="1260" t="n"/>
      <c r="E52" s="1296" t="n"/>
      <c r="F52" s="1314" t="n"/>
      <c r="G52" s="1297" t="n"/>
      <c r="I52" s="1333" t="inlineStr">
        <is>
          <t>2. Workshops Non Residential</t>
        </is>
      </c>
      <c r="J52" s="431" t="n"/>
      <c r="K52" s="432">
        <f>SUMIFS($E$206:$E$696, $C$206:$C$696, $I52, $G$206:$G$696, "&lt;&gt;JLR")</f>
        <v/>
      </c>
      <c r="L52" s="432">
        <f>SUMIFS($E$206:$E$696, $C$206:$C$696, $I52, $G$206:$G$696, "JLR")</f>
        <v/>
      </c>
      <c r="M52" s="432">
        <f>K52+L52</f>
        <v/>
      </c>
      <c r="N52" s="432">
        <f>M52-W7</f>
        <v/>
      </c>
      <c r="O52" s="432" t="n"/>
      <c r="P52" s="432" t="n"/>
      <c r="Q52" s="432" t="n"/>
      <c r="R52" s="432" t="n"/>
      <c r="S52" s="432" t="n"/>
      <c r="T52" s="432" t="n"/>
      <c r="U52" s="432" t="n"/>
      <c r="V52" s="432" t="n"/>
      <c r="W52" s="432" t="n"/>
    </row>
    <row r="53" ht="13.5" customHeight="1" s="1232">
      <c r="C53" s="1271" t="n"/>
      <c r="D53" s="1260" t="n"/>
      <c r="E53" s="1296" t="n"/>
      <c r="F53" s="1314" t="n"/>
      <c r="G53" s="1297" t="n"/>
      <c r="I53" s="1334" t="inlineStr">
        <is>
          <t>3. Workshops Residential</t>
        </is>
      </c>
      <c r="J53" s="431" t="n"/>
      <c r="K53" s="432">
        <f>SUMIFS($E$206:$E$696, $C$206:$C$696, $I53, $G$206:$G$696, "&lt;&gt;JLR")</f>
        <v/>
      </c>
      <c r="L53" s="432">
        <f>SUMIFS($E$206:$E$696, $C$206:$C$696, $I53, $G$206:$G$696, "JLR")</f>
        <v/>
      </c>
      <c r="M53" s="432">
        <f>K53+L53</f>
        <v/>
      </c>
      <c r="N53" s="432">
        <f>M53-W8</f>
        <v/>
      </c>
      <c r="O53" s="432" t="n"/>
      <c r="P53" s="432" t="n"/>
      <c r="Q53" s="432" t="n"/>
      <c r="R53" s="432" t="n"/>
      <c r="S53" s="432" t="n"/>
      <c r="T53" s="432" t="n"/>
      <c r="U53" s="432" t="n"/>
      <c r="V53" s="432" t="n"/>
      <c r="W53" s="432" t="n"/>
    </row>
    <row r="54" ht="13.5" customHeight="1" s="1232">
      <c r="E54" s="1296" t="n"/>
      <c r="I54" s="1333" t="inlineStr">
        <is>
          <t>4. Pick n Mix Inc</t>
        </is>
      </c>
      <c r="J54" s="431" t="n"/>
      <c r="K54" s="432">
        <f>SUMIFS($E$206:$E$696, $C$206:$C$696, $I54, $G$206:$G$696, "&lt;&gt;JLR")</f>
        <v/>
      </c>
      <c r="L54" s="432">
        <f>SUMIFS($E$206:$E$696, $C$206:$C$696, $I54, $G$206:$G$696, "JLR")</f>
        <v/>
      </c>
      <c r="M54" s="432">
        <f>K54+L54</f>
        <v/>
      </c>
      <c r="N54" s="432">
        <f>M54-W9</f>
        <v/>
      </c>
      <c r="O54" s="432" t="n"/>
      <c r="P54" s="432" t="n"/>
      <c r="Q54" s="432" t="n"/>
      <c r="R54" s="432" t="n"/>
      <c r="S54" s="432" t="n"/>
      <c r="T54" s="432" t="n"/>
      <c r="U54" s="432" t="n"/>
      <c r="V54" s="432" t="n"/>
      <c r="W54" s="432" t="n"/>
    </row>
    <row r="55" ht="13.5" customHeight="1" s="1232">
      <c r="E55" s="1296" t="n"/>
      <c r="G55" s="1282" t="n"/>
      <c r="I55" s="1333" t="inlineStr">
        <is>
          <t>5. Pick n Mix Out</t>
        </is>
      </c>
      <c r="J55" s="431" t="n"/>
      <c r="K55" s="432">
        <f>SUMIFS($E$206:$E$696, $C$206:$C$696, $I55, $G$206:$G$696, "&lt;&gt;JLR")</f>
        <v/>
      </c>
      <c r="L55" s="432">
        <f>SUMIFS($E$206:$E$696, $C$206:$C$696, $I55, $G$206:$G$696, "JLR")</f>
        <v/>
      </c>
      <c r="M55" s="432">
        <f>K55+L55</f>
        <v/>
      </c>
      <c r="N55" s="432">
        <f>M55-W10</f>
        <v/>
      </c>
      <c r="O55" s="432" t="n"/>
      <c r="P55" s="432" t="n"/>
      <c r="Q55" s="432" t="n"/>
      <c r="R55" s="432" t="n"/>
      <c r="S55" s="432" t="n"/>
      <c r="T55" s="432" t="n"/>
      <c r="U55" s="432" t="n"/>
      <c r="V55" s="432" t="n"/>
      <c r="W55" s="432" t="n"/>
    </row>
    <row r="56" ht="13.5" customHeight="1" s="1232">
      <c r="E56" s="1296" t="n"/>
      <c r="I56" s="1333" t="inlineStr">
        <is>
          <t>6. Mentoring</t>
        </is>
      </c>
      <c r="J56" s="431" t="n"/>
      <c r="K56" s="432">
        <f>SUMIFS($E$206:$E$696, $C$206:$C$696, $I56, $G$206:$G$696, "&lt;&gt;JLR")</f>
        <v/>
      </c>
      <c r="L56" s="432">
        <f>SUMIFS($E$206:$E$696, $C$206:$C$696, $I56, $G$206:$G$696, "JLR")</f>
        <v/>
      </c>
      <c r="M56" s="432">
        <f>K56+L56</f>
        <v/>
      </c>
      <c r="N56" s="432">
        <f>M56-W11</f>
        <v/>
      </c>
      <c r="O56" s="432" t="n"/>
      <c r="P56" s="432" t="n"/>
      <c r="Q56" s="432" t="n"/>
      <c r="R56" s="432" t="n"/>
      <c r="S56" s="432" t="n"/>
      <c r="T56" s="432" t="n"/>
      <c r="U56" s="432" t="n"/>
      <c r="V56" s="432" t="n"/>
      <c r="W56" s="432" t="n"/>
    </row>
    <row r="57" ht="13.5" customHeight="1" s="1232">
      <c r="E57" s="1296" t="n"/>
      <c r="G57" s="1282" t="n"/>
      <c r="I57" s="1334" t="inlineStr">
        <is>
          <t>7. 1-2-1</t>
        </is>
      </c>
      <c r="J57" s="431" t="n"/>
      <c r="K57" s="432">
        <f>SUMIFS($E$206:$E$696, $C$206:$C$696, $I57, $G$206:$G$696, "&lt;&gt;JLR")</f>
        <v/>
      </c>
      <c r="L57" s="432">
        <f>SUMIFS($E$206:$E$696, $C$206:$C$696, $I57, $G$206:$G$696, "JLR")</f>
        <v/>
      </c>
      <c r="M57" s="432">
        <f>K57+L57</f>
        <v/>
      </c>
      <c r="N57" s="432">
        <f>M57-W12</f>
        <v/>
      </c>
      <c r="O57" s="432" t="n"/>
      <c r="P57" s="432" t="n"/>
      <c r="Q57" s="432" t="n"/>
      <c r="R57" s="432" t="n"/>
      <c r="S57" s="432" t="n"/>
      <c r="T57" s="432" t="n"/>
      <c r="U57" s="432" t="n"/>
      <c r="V57" s="432" t="n"/>
      <c r="W57" s="432" t="n"/>
    </row>
    <row r="58" ht="13.5" customHeight="1" s="1232">
      <c r="E58" s="1296" t="n"/>
      <c r="I58" s="1334" t="inlineStr">
        <is>
          <t>8. Gift Vouchers Inc</t>
        </is>
      </c>
      <c r="J58" s="431" t="n"/>
      <c r="K58" s="432">
        <f>SUMIFS($E$206:$E$696, $C$206:$C$696, $I58, $G$206:$G$696, "&lt;&gt;JLR")</f>
        <v/>
      </c>
      <c r="L58" s="432">
        <f>SUMIFS($E$206:$E$696, $C$206:$C$696, $I58, $G$206:$G$696, "JLR")</f>
        <v/>
      </c>
      <c r="M58" s="432">
        <f>K58+L58</f>
        <v/>
      </c>
      <c r="N58" s="432">
        <f>M58-W13</f>
        <v/>
      </c>
      <c r="O58" s="432" t="n"/>
      <c r="P58" s="432" t="n"/>
      <c r="Q58" s="432" t="n"/>
      <c r="R58" s="432" t="n"/>
      <c r="S58" s="432" t="n"/>
      <c r="T58" s="432" t="n"/>
      <c r="U58" s="432" t="n"/>
      <c r="V58" s="432" t="n"/>
      <c r="W58" s="432" t="n"/>
    </row>
    <row r="59" ht="13.5" customHeight="1" s="1232">
      <c r="E59" s="1296" t="n"/>
      <c r="I59" s="1334" t="inlineStr">
        <is>
          <t>9. Gift Vouchers Out</t>
        </is>
      </c>
      <c r="J59" s="431" t="n"/>
      <c r="K59" s="432">
        <f>SUMIFS($E$206:$E$696, $C$206:$C$696, $I59, $G$206:$G$696, "&lt;&gt;JLR")</f>
        <v/>
      </c>
      <c r="L59" s="432">
        <f>SUMIFS($E$206:$E$696, $C$206:$C$696, $I59, $G$206:$G$696, "JLR")</f>
        <v/>
      </c>
      <c r="M59" s="432">
        <f>K59+L59</f>
        <v/>
      </c>
      <c r="N59" s="432">
        <f>M59-W14</f>
        <v/>
      </c>
      <c r="O59" s="432" t="n"/>
      <c r="P59" s="432" t="n"/>
      <c r="Q59" s="432" t="n"/>
      <c r="R59" s="432" t="n"/>
      <c r="S59" s="432" t="n"/>
      <c r="T59" s="432" t="n"/>
      <c r="U59" s="432" t="n"/>
      <c r="V59" s="432" t="n"/>
      <c r="W59" s="432" t="n"/>
    </row>
    <row r="60">
      <c r="I60" s="1334" t="inlineStr">
        <is>
          <t>10. Prints &amp; Royalties</t>
        </is>
      </c>
      <c r="J60" s="431" t="n"/>
      <c r="K60" s="432">
        <f>SUMIFS($E$206:$E$696, $C$206:$C$696, $I60, $G$206:$G$696, "&lt;&gt;JLR")</f>
        <v/>
      </c>
      <c r="L60" s="432">
        <f>SUMIFS($E$206:$E$696, $C$206:$C$696, $I60, $G$206:$G$696, "JLR")</f>
        <v/>
      </c>
      <c r="M60" s="432">
        <f>K60+L60</f>
        <v/>
      </c>
      <c r="N60" s="432">
        <f>M60-W15</f>
        <v/>
      </c>
      <c r="O60" s="432" t="n"/>
      <c r="P60" s="432" t="n"/>
      <c r="Q60" s="432" t="n"/>
      <c r="R60" s="432" t="n"/>
      <c r="S60" s="432" t="n"/>
      <c r="T60" s="432" t="n"/>
      <c r="U60" s="432" t="n"/>
      <c r="V60" s="432" t="n"/>
      <c r="W60" s="432" t="n"/>
    </row>
    <row r="61" ht="13.5" customHeight="1" s="1232">
      <c r="B61" s="1271" t="n"/>
      <c r="C61" s="1271" t="n"/>
      <c r="D61" s="470" t="n"/>
      <c r="E61" s="1296" t="n"/>
      <c r="F61" s="1297" t="n"/>
      <c r="I61" s="1334" t="inlineStr">
        <is>
          <t>11 Commissions</t>
        </is>
      </c>
      <c r="J61" s="431" t="n"/>
      <c r="K61" s="432">
        <f>SUMIFS($E$206:$E$696, $C$206:$C$696, $I61, $G$206:$G$696, "&lt;&gt;JLR")</f>
        <v/>
      </c>
      <c r="L61" s="432">
        <f>SUMIFS($E$206:$E$696, $C$206:$C$696, $I61, $G$206:$G$696, "JLR")</f>
        <v/>
      </c>
      <c r="M61" s="432">
        <f>K61+L61</f>
        <v/>
      </c>
      <c r="N61" s="432">
        <f>M61-W16</f>
        <v/>
      </c>
      <c r="O61" s="432" t="n"/>
      <c r="P61" s="432" t="n"/>
      <c r="Q61" s="432" t="n"/>
      <c r="R61" s="432" t="n"/>
      <c r="S61" s="432" t="n"/>
      <c r="T61" s="432" t="n"/>
      <c r="U61" s="432" t="n"/>
      <c r="V61" s="432" t="n"/>
      <c r="W61" s="432" t="n"/>
    </row>
    <row r="62" ht="13.9" customHeight="1" s="1232" thickBot="1">
      <c r="B62" s="1271" t="n"/>
      <c r="C62" s="1271" t="n"/>
      <c r="D62" s="470" t="n"/>
      <c r="E62" s="1296" t="n"/>
      <c r="F62" s="1271" t="n"/>
      <c r="I62" s="1295" t="inlineStr">
        <is>
          <t>12. Other</t>
        </is>
      </c>
      <c r="J62" s="431" t="n"/>
      <c r="K62" s="432">
        <f>SUMIFS($E$206:$E$696, $C$206:$C$696, $I62, $G$206:$G$696, "&lt;&gt;JLR")</f>
        <v/>
      </c>
      <c r="L62" s="432">
        <f>SUMIFS($E$206:$E$696, $C$206:$C$696, $I62, $G$206:$G$696, "JLR")</f>
        <v/>
      </c>
      <c r="M62" s="432">
        <f>K62+L62</f>
        <v/>
      </c>
      <c r="N62" s="432">
        <f>M62-W17</f>
        <v/>
      </c>
      <c r="O62" s="432" t="n"/>
      <c r="P62" s="432" t="n"/>
      <c r="Q62" s="432" t="n"/>
      <c r="R62" s="432" t="n"/>
      <c r="S62" s="432" t="n"/>
      <c r="T62" s="432" t="n"/>
      <c r="U62" s="432" t="n"/>
      <c r="V62" s="432" t="n"/>
      <c r="W62" s="432" t="n"/>
    </row>
    <row r="63" ht="13.9" customHeight="1" s="1232" thickBot="1" thickTop="1">
      <c r="B63" s="1268" t="n"/>
      <c r="E63" s="1360" t="n"/>
      <c r="F63" s="1321" t="n"/>
      <c r="G63" s="1321" t="n"/>
      <c r="I63" s="1335" t="inlineStr">
        <is>
          <t>Totals</t>
        </is>
      </c>
      <c r="J63" s="438" t="n"/>
      <c r="K63" s="587">
        <f>SUM(K51:K62)</f>
        <v/>
      </c>
      <c r="L63" s="587">
        <f>SUM(L51:L62)</f>
        <v/>
      </c>
      <c r="M63" s="587">
        <f>SUM(M51:M62)</f>
        <v/>
      </c>
      <c r="N63" s="587">
        <f>SUM(N51:N62)</f>
        <v/>
      </c>
      <c r="O63" s="587" t="n"/>
      <c r="P63" s="587" t="n"/>
      <c r="Q63" s="587" t="n"/>
      <c r="R63" s="587" t="n"/>
      <c r="S63" s="587" t="n"/>
      <c r="T63" s="587" t="n"/>
      <c r="U63" s="587" t="n"/>
      <c r="V63" s="587" t="n"/>
      <c r="W63" s="789" t="n"/>
    </row>
    <row r="64" ht="13.15" customHeight="1" s="1232" thickTop="1"/>
    <row r="65" ht="15" customHeight="1" s="1232">
      <c r="C65" s="1361" t="n"/>
      <c r="D65" s="947" t="n"/>
      <c r="E65" s="1362" t="n"/>
      <c r="F65" s="1363" t="n"/>
      <c r="G65" s="1361" t="n"/>
      <c r="I65" s="1336" t="inlineStr">
        <is>
          <t>Tuition Categories</t>
        </is>
      </c>
      <c r="J65" s="1330" t="inlineStr">
        <is>
          <t>Variance to 2023</t>
        </is>
      </c>
      <c r="K65" s="1332" t="inlineStr">
        <is>
          <t>Jan</t>
        </is>
      </c>
      <c r="L65" s="1332" t="inlineStr">
        <is>
          <t>Feb</t>
        </is>
      </c>
      <c r="M65" s="1332" t="inlineStr">
        <is>
          <t>Mar</t>
        </is>
      </c>
      <c r="N65" s="1332" t="inlineStr">
        <is>
          <t>Apr</t>
        </is>
      </c>
      <c r="O65" s="1332" t="inlineStr">
        <is>
          <t>May</t>
        </is>
      </c>
      <c r="P65" s="1332" t="inlineStr">
        <is>
          <t>Jun</t>
        </is>
      </c>
      <c r="Q65" s="1332" t="inlineStr">
        <is>
          <t>Jul</t>
        </is>
      </c>
      <c r="R65" s="1332" t="inlineStr">
        <is>
          <t>Aug</t>
        </is>
      </c>
      <c r="S65" s="1332" t="inlineStr">
        <is>
          <t>Sep</t>
        </is>
      </c>
      <c r="T65" s="1332" t="inlineStr">
        <is>
          <t>Oct</t>
        </is>
      </c>
      <c r="U65" s="1332" t="inlineStr">
        <is>
          <t>Nov</t>
        </is>
      </c>
      <c r="V65" s="1332" t="inlineStr">
        <is>
          <t>Dec</t>
        </is>
      </c>
      <c r="W65" s="1278" t="inlineStr">
        <is>
          <t>Year</t>
        </is>
      </c>
    </row>
    <row r="66" ht="13.5" customHeight="1" s="1232">
      <c r="C66" s="1361" t="n"/>
      <c r="D66" s="947" t="n"/>
      <c r="E66" s="1362" t="n"/>
      <c r="F66" s="1363" t="n"/>
      <c r="G66" s="1361" t="n"/>
      <c r="I66" s="1333" t="inlineStr">
        <is>
          <t>1. Courses/masterclasses</t>
        </is>
      </c>
      <c r="J66" s="431" t="n"/>
      <c r="K66" s="432">
        <f>K6-'Sales 2023'!K6</f>
        <v/>
      </c>
      <c r="L66" s="432">
        <f>L6-'Sales 2023'!L6</f>
        <v/>
      </c>
      <c r="M66" s="432">
        <f>M6-'Sales 2023'!M6</f>
        <v/>
      </c>
      <c r="N66" s="432">
        <f>N6-'Sales 2023'!N6</f>
        <v/>
      </c>
      <c r="O66" s="432">
        <f>O6-'Sales 2023'!O6</f>
        <v/>
      </c>
      <c r="P66" s="432">
        <f>P6-'Sales 2023'!P6</f>
        <v/>
      </c>
      <c r="Q66" s="432">
        <f>Q6-'Sales 2023'!Q6</f>
        <v/>
      </c>
      <c r="R66" s="432">
        <f>R6-'Sales 2023'!R6</f>
        <v/>
      </c>
      <c r="S66" s="432">
        <f>S6-'Sales 2023'!S6</f>
        <v/>
      </c>
      <c r="T66" s="432">
        <f>T6-'Sales 2023'!T6</f>
        <v/>
      </c>
      <c r="U66" s="432">
        <f>U6-'Sales 2023'!U6</f>
        <v/>
      </c>
      <c r="V66" s="432">
        <f>V6-'Sales 2023'!V6</f>
        <v/>
      </c>
      <c r="W66" s="432">
        <f>W6-'Sales 2023'!W6</f>
        <v/>
      </c>
      <c r="X66" s="445">
        <f>W66/'Sales 2023'!W6</f>
        <v/>
      </c>
    </row>
    <row r="67" ht="13.5" customHeight="1" s="1232">
      <c r="C67" s="1361" t="n"/>
      <c r="D67" s="947" t="n"/>
      <c r="E67" s="1362" t="n"/>
      <c r="F67" s="1363" t="n"/>
      <c r="G67" s="1361" t="n"/>
      <c r="I67" s="1333" t="inlineStr">
        <is>
          <t>2. Workshops Non Residential</t>
        </is>
      </c>
      <c r="J67" s="431" t="n"/>
      <c r="K67" s="432">
        <f>K7-'Sales 2023'!K7</f>
        <v/>
      </c>
      <c r="L67" s="432">
        <f>L7-'Sales 2023'!L7</f>
        <v/>
      </c>
      <c r="M67" s="432">
        <f>M7-'Sales 2023'!M7</f>
        <v/>
      </c>
      <c r="N67" s="432">
        <f>N7-'Sales 2023'!N7</f>
        <v/>
      </c>
      <c r="O67" s="432">
        <f>O7-'Sales 2023'!O7</f>
        <v/>
      </c>
      <c r="P67" s="432">
        <f>P7-'Sales 2023'!P7</f>
        <v/>
      </c>
      <c r="Q67" s="432">
        <f>Q7-'Sales 2023'!Q7</f>
        <v/>
      </c>
      <c r="R67" s="432">
        <f>R7-'Sales 2023'!R7</f>
        <v/>
      </c>
      <c r="S67" s="432">
        <f>S7-'Sales 2023'!S7</f>
        <v/>
      </c>
      <c r="T67" s="432">
        <f>T7-'Sales 2023'!T7</f>
        <v/>
      </c>
      <c r="U67" s="432">
        <f>U7-'Sales 2023'!U7</f>
        <v/>
      </c>
      <c r="V67" s="432">
        <f>V7-'Sales 2023'!V7</f>
        <v/>
      </c>
      <c r="W67" s="432">
        <f>W7-'Sales 2023'!W7</f>
        <v/>
      </c>
      <c r="X67" s="445">
        <f>W67/'Sales 2023'!W7</f>
        <v/>
      </c>
    </row>
    <row r="68" ht="13.5" customHeight="1" s="1232">
      <c r="C68" s="1361" t="n"/>
      <c r="D68" s="947" t="n"/>
      <c r="E68" s="1362" t="n"/>
      <c r="F68" s="1363" t="n"/>
      <c r="G68" s="1361" t="n"/>
      <c r="I68" s="1334" t="inlineStr">
        <is>
          <t>3. Workshops Residential</t>
        </is>
      </c>
      <c r="J68" s="431" t="n"/>
      <c r="K68" s="432">
        <f>K8-'Sales 2023'!K8</f>
        <v/>
      </c>
      <c r="L68" s="432">
        <f>L8-'Sales 2023'!L8</f>
        <v/>
      </c>
      <c r="M68" s="432">
        <f>M8-'Sales 2023'!M8</f>
        <v/>
      </c>
      <c r="N68" s="432">
        <f>N8-'Sales 2023'!N8</f>
        <v/>
      </c>
      <c r="O68" s="432">
        <f>O8-'Sales 2023'!O8</f>
        <v/>
      </c>
      <c r="P68" s="432">
        <f>P8-'Sales 2023'!P8</f>
        <v/>
      </c>
      <c r="Q68" s="432">
        <f>Q8-'Sales 2023'!Q8</f>
        <v/>
      </c>
      <c r="R68" s="432">
        <f>R8-'Sales 2023'!R8</f>
        <v/>
      </c>
      <c r="S68" s="432">
        <f>S8-'Sales 2023'!S8</f>
        <v/>
      </c>
      <c r="T68" s="432">
        <f>T8-'Sales 2023'!T8</f>
        <v/>
      </c>
      <c r="U68" s="432">
        <f>U8-'Sales 2023'!U8</f>
        <v/>
      </c>
      <c r="V68" s="432">
        <f>V8-'Sales 2023'!V8</f>
        <v/>
      </c>
      <c r="W68" s="432">
        <f>W8-'Sales 2023'!W8</f>
        <v/>
      </c>
      <c r="X68" s="445">
        <f>W68/'Sales 2023'!W8</f>
        <v/>
      </c>
    </row>
    <row r="69" ht="13.5" customHeight="1" s="1232">
      <c r="C69" s="1364" t="n"/>
      <c r="D69" s="954" t="n"/>
      <c r="E69" s="1365" t="n"/>
      <c r="F69" s="1366" t="n"/>
      <c r="G69" s="1361" t="n"/>
      <c r="I69" s="1333" t="inlineStr">
        <is>
          <t>4. Pick n Mix Inc</t>
        </is>
      </c>
      <c r="J69" s="431" t="n"/>
      <c r="K69" s="432">
        <f>K9-'Sales 2023'!K9</f>
        <v/>
      </c>
      <c r="L69" s="432">
        <f>L9-'Sales 2023'!L9</f>
        <v/>
      </c>
      <c r="M69" s="432">
        <f>M9-'Sales 2023'!M9</f>
        <v/>
      </c>
      <c r="N69" s="432">
        <f>N9-'Sales 2023'!N9</f>
        <v/>
      </c>
      <c r="O69" s="432">
        <f>O9-'Sales 2023'!O9</f>
        <v/>
      </c>
      <c r="P69" s="432">
        <f>P9-'Sales 2023'!P9</f>
        <v/>
      </c>
      <c r="Q69" s="432">
        <f>Q9-'Sales 2023'!Q9</f>
        <v/>
      </c>
      <c r="R69" s="432">
        <f>R9-'Sales 2023'!R9</f>
        <v/>
      </c>
      <c r="S69" s="432">
        <f>S9-'Sales 2023'!S9</f>
        <v/>
      </c>
      <c r="T69" s="432">
        <f>T9-'Sales 2023'!T9</f>
        <v/>
      </c>
      <c r="U69" s="432">
        <f>U9-'Sales 2023'!U9</f>
        <v/>
      </c>
      <c r="V69" s="432">
        <f>V9-'Sales 2023'!V9</f>
        <v/>
      </c>
      <c r="W69" s="432">
        <f>W9-'Sales 2023'!W9</f>
        <v/>
      </c>
      <c r="X69" s="445">
        <f>W69/'Sales 2023'!W8</f>
        <v/>
      </c>
    </row>
    <row r="70" ht="13.5" customHeight="1" s="1232">
      <c r="C70" s="1364" t="n"/>
      <c r="D70" s="954" t="n"/>
      <c r="E70" s="1365" t="n"/>
      <c r="F70" s="1366" t="n"/>
      <c r="G70" s="1361" t="n"/>
      <c r="I70" s="1333" t="inlineStr">
        <is>
          <t>5. Pick n Mix Out</t>
        </is>
      </c>
      <c r="J70" s="431" t="n"/>
      <c r="K70" s="432">
        <f>K10-'Sales 2023'!K10</f>
        <v/>
      </c>
      <c r="L70" s="432">
        <f>L10-'Sales 2023'!L10</f>
        <v/>
      </c>
      <c r="M70" s="432">
        <f>M10-'Sales 2023'!M10</f>
        <v/>
      </c>
      <c r="N70" s="432">
        <f>N10-'Sales 2023'!N10</f>
        <v/>
      </c>
      <c r="O70" s="432">
        <f>O10-'Sales 2023'!O10</f>
        <v/>
      </c>
      <c r="P70" s="432">
        <f>P10-'Sales 2023'!P10</f>
        <v/>
      </c>
      <c r="Q70" s="432">
        <f>Q10-'Sales 2023'!Q10</f>
        <v/>
      </c>
      <c r="R70" s="432">
        <f>R10-'Sales 2023'!R10</f>
        <v/>
      </c>
      <c r="S70" s="432">
        <f>S10-'Sales 2023'!S10</f>
        <v/>
      </c>
      <c r="T70" s="432">
        <f>T10-'Sales 2023'!T10</f>
        <v/>
      </c>
      <c r="U70" s="432">
        <f>U10-'Sales 2023'!U10</f>
        <v/>
      </c>
      <c r="V70" s="432">
        <f>V10-'Sales 2023'!V10</f>
        <v/>
      </c>
      <c r="W70" s="432">
        <f>W10-'Sales 2023'!W10</f>
        <v/>
      </c>
      <c r="X70" s="445">
        <f>W70/'Sales 2023'!W9</f>
        <v/>
      </c>
    </row>
    <row r="71">
      <c r="I71" s="1333" t="inlineStr">
        <is>
          <t>6. Mentoring</t>
        </is>
      </c>
      <c r="J71" s="431" t="n"/>
      <c r="K71" s="432">
        <f>K11-'Sales 2023'!K11</f>
        <v/>
      </c>
      <c r="L71" s="432">
        <f>L11-'Sales 2023'!L11</f>
        <v/>
      </c>
      <c r="M71" s="432">
        <f>M11-'Sales 2023'!M11</f>
        <v/>
      </c>
      <c r="N71" s="432">
        <f>N11-'Sales 2023'!N11</f>
        <v/>
      </c>
      <c r="O71" s="432">
        <f>O11-'Sales 2023'!O11</f>
        <v/>
      </c>
      <c r="P71" s="432">
        <f>P11-'Sales 2023'!P11</f>
        <v/>
      </c>
      <c r="Q71" s="432">
        <f>Q11-'Sales 2023'!Q11</f>
        <v/>
      </c>
      <c r="R71" s="432">
        <f>R11-'Sales 2023'!R11</f>
        <v/>
      </c>
      <c r="S71" s="432">
        <f>S11-'Sales 2023'!S11</f>
        <v/>
      </c>
      <c r="T71" s="432">
        <f>T11-'Sales 2023'!T11</f>
        <v/>
      </c>
      <c r="U71" s="432">
        <f>U11-'Sales 2023'!U11</f>
        <v/>
      </c>
      <c r="V71" s="432">
        <f>V11-'Sales 2023'!V11</f>
        <v/>
      </c>
      <c r="W71" s="432">
        <f>W11-'Sales 2023'!W11</f>
        <v/>
      </c>
      <c r="X71" s="445">
        <f>W71/'Sales 2023'!W10</f>
        <v/>
      </c>
    </row>
    <row r="72">
      <c r="I72" s="1334" t="inlineStr">
        <is>
          <t>7. 1-2-1</t>
        </is>
      </c>
      <c r="J72" s="431" t="n"/>
      <c r="K72" s="432">
        <f>K12-'Sales 2023'!K12</f>
        <v/>
      </c>
      <c r="L72" s="432">
        <f>L12-'Sales 2023'!L12</f>
        <v/>
      </c>
      <c r="M72" s="432">
        <f>M12-'Sales 2023'!M12</f>
        <v/>
      </c>
      <c r="N72" s="432">
        <f>N12-'Sales 2023'!N12</f>
        <v/>
      </c>
      <c r="O72" s="432">
        <f>O12-'Sales 2023'!O12</f>
        <v/>
      </c>
      <c r="P72" s="432">
        <f>P12-'Sales 2023'!P12</f>
        <v/>
      </c>
      <c r="Q72" s="432">
        <f>Q12-'Sales 2023'!Q12</f>
        <v/>
      </c>
      <c r="R72" s="432">
        <f>R12-'Sales 2023'!R12</f>
        <v/>
      </c>
      <c r="S72" s="432">
        <f>S12-'Sales 2023'!S12</f>
        <v/>
      </c>
      <c r="T72" s="432">
        <f>T12-'Sales 2023'!T12</f>
        <v/>
      </c>
      <c r="U72" s="432">
        <f>U12-'Sales 2023'!U12</f>
        <v/>
      </c>
      <c r="V72" s="432">
        <f>V12-'Sales 2023'!V12</f>
        <v/>
      </c>
      <c r="W72" s="432">
        <f>W12-'Sales 2023'!W12</f>
        <v/>
      </c>
      <c r="X72" s="445">
        <f>W72/'Sales 2023'!W11</f>
        <v/>
      </c>
    </row>
    <row r="73">
      <c r="I73" s="1334" t="inlineStr">
        <is>
          <t>8. Gift Vouchers Inc</t>
        </is>
      </c>
      <c r="J73" s="431" t="n"/>
      <c r="K73" s="432">
        <f>K13-'Sales 2023'!K13</f>
        <v/>
      </c>
      <c r="L73" s="432">
        <f>L13-'Sales 2023'!L13</f>
        <v/>
      </c>
      <c r="M73" s="432">
        <f>M13-'Sales 2023'!M13</f>
        <v/>
      </c>
      <c r="N73" s="432">
        <f>N13-'Sales 2023'!N13</f>
        <v/>
      </c>
      <c r="O73" s="432">
        <f>O13-'Sales 2023'!O13</f>
        <v/>
      </c>
      <c r="P73" s="432">
        <f>P13-'Sales 2023'!P13</f>
        <v/>
      </c>
      <c r="Q73" s="432">
        <f>Q13-'Sales 2023'!Q13</f>
        <v/>
      </c>
      <c r="R73" s="432">
        <f>R13-'Sales 2023'!R13</f>
        <v/>
      </c>
      <c r="S73" s="432">
        <f>S13-'Sales 2023'!S13</f>
        <v/>
      </c>
      <c r="T73" s="432">
        <f>T13-'Sales 2023'!T13</f>
        <v/>
      </c>
      <c r="U73" s="432">
        <f>U13-'Sales 2023'!U13</f>
        <v/>
      </c>
      <c r="V73" s="432">
        <f>V13-'Sales 2023'!V13</f>
        <v/>
      </c>
      <c r="W73" s="432">
        <f>W13-'Sales 2023'!W13</f>
        <v/>
      </c>
      <c r="X73" s="445">
        <f>W73/'Sales 2023'!W12</f>
        <v/>
      </c>
    </row>
    <row r="74">
      <c r="I74" s="1334" t="inlineStr">
        <is>
          <t>9. Gift Vouchers Out</t>
        </is>
      </c>
      <c r="J74" s="431" t="n"/>
      <c r="K74" s="432">
        <f>K14-'Sales 2023'!K14</f>
        <v/>
      </c>
      <c r="L74" s="432">
        <f>L14-'Sales 2023'!L14</f>
        <v/>
      </c>
      <c r="M74" s="432">
        <f>M14-'Sales 2023'!M14</f>
        <v/>
      </c>
      <c r="N74" s="432">
        <f>N14-'Sales 2023'!N14</f>
        <v/>
      </c>
      <c r="O74" s="432">
        <f>O14-'Sales 2023'!O14</f>
        <v/>
      </c>
      <c r="P74" s="432">
        <f>P14-'Sales 2023'!P14</f>
        <v/>
      </c>
      <c r="Q74" s="432">
        <f>Q14-'Sales 2023'!Q14</f>
        <v/>
      </c>
      <c r="R74" s="432">
        <f>R14-'Sales 2023'!R14</f>
        <v/>
      </c>
      <c r="S74" s="432">
        <f>S14-'Sales 2023'!S14</f>
        <v/>
      </c>
      <c r="T74" s="432">
        <f>T14-'Sales 2023'!T14</f>
        <v/>
      </c>
      <c r="U74" s="432">
        <f>U14-'Sales 2023'!U14</f>
        <v/>
      </c>
      <c r="V74" s="432">
        <f>V14-'Sales 2023'!V14</f>
        <v/>
      </c>
      <c r="W74" s="432">
        <f>W14-'Sales 2023'!W14</f>
        <v/>
      </c>
      <c r="X74" s="445">
        <f>W74/'Sales 2023'!W13</f>
        <v/>
      </c>
    </row>
    <row r="75">
      <c r="I75" s="1334" t="inlineStr">
        <is>
          <t>10. Prints &amp; Royalties</t>
        </is>
      </c>
      <c r="J75" s="431" t="n"/>
      <c r="K75" s="432">
        <f>K15-'Sales 2023'!K15</f>
        <v/>
      </c>
      <c r="L75" s="432">
        <f>L15-'Sales 2023'!L15</f>
        <v/>
      </c>
      <c r="M75" s="432">
        <f>M15-'Sales 2023'!M15</f>
        <v/>
      </c>
      <c r="N75" s="432">
        <f>N15-'Sales 2023'!N15</f>
        <v/>
      </c>
      <c r="O75" s="432">
        <f>O15-'Sales 2023'!O15</f>
        <v/>
      </c>
      <c r="P75" s="432">
        <f>P15-'Sales 2023'!P15</f>
        <v/>
      </c>
      <c r="Q75" s="432">
        <f>Q15-'Sales 2023'!Q15</f>
        <v/>
      </c>
      <c r="R75" s="432">
        <f>R15-'Sales 2023'!R15</f>
        <v/>
      </c>
      <c r="S75" s="432">
        <f>S15-'Sales 2023'!S15</f>
        <v/>
      </c>
      <c r="T75" s="432">
        <f>T15-'Sales 2023'!T15</f>
        <v/>
      </c>
      <c r="U75" s="432">
        <f>U15-'Sales 2023'!U15</f>
        <v/>
      </c>
      <c r="V75" s="432">
        <f>V15-'Sales 2023'!V15</f>
        <v/>
      </c>
      <c r="W75" s="432">
        <f>W15-'Sales 2023'!W15</f>
        <v/>
      </c>
      <c r="X75" s="445">
        <f>W75/'Sales 2023'!W14</f>
        <v/>
      </c>
    </row>
    <row r="76">
      <c r="I76" s="1334" t="inlineStr">
        <is>
          <t>11 Commissions</t>
        </is>
      </c>
      <c r="J76" s="431" t="n"/>
      <c r="K76" s="432">
        <f>K16-'Sales 2023'!K16</f>
        <v/>
      </c>
      <c r="L76" s="432">
        <f>L16-'Sales 2023'!L16</f>
        <v/>
      </c>
      <c r="M76" s="432">
        <f>M16-'Sales 2023'!M16</f>
        <v/>
      </c>
      <c r="N76" s="432">
        <f>N16-'Sales 2023'!N16</f>
        <v/>
      </c>
      <c r="O76" s="432">
        <f>O16-'Sales 2023'!O16</f>
        <v/>
      </c>
      <c r="P76" s="432">
        <f>P16-'Sales 2023'!P16</f>
        <v/>
      </c>
      <c r="Q76" s="432">
        <f>Q16-'Sales 2023'!Q16</f>
        <v/>
      </c>
      <c r="R76" s="432">
        <f>R16-'Sales 2023'!R16</f>
        <v/>
      </c>
      <c r="S76" s="432">
        <f>S16-'Sales 2023'!S16</f>
        <v/>
      </c>
      <c r="T76" s="432">
        <f>T16-'Sales 2023'!T16</f>
        <v/>
      </c>
      <c r="U76" s="432">
        <f>U16-'Sales 2023'!U16</f>
        <v/>
      </c>
      <c r="V76" s="432">
        <f>V16-'Sales 2023'!V16</f>
        <v/>
      </c>
      <c r="W76" s="432">
        <f>W16-'Sales 2023'!W16</f>
        <v/>
      </c>
      <c r="X76" s="445">
        <f>W76/'Sales 2023'!W15</f>
        <v/>
      </c>
    </row>
    <row r="77" ht="13.15" customHeight="1" s="1232" thickBot="1">
      <c r="I77" s="1334" t="inlineStr">
        <is>
          <t>12. Other</t>
        </is>
      </c>
      <c r="J77" s="431" t="n"/>
      <c r="K77" s="432">
        <f>K17-'Sales 2023'!K17</f>
        <v/>
      </c>
      <c r="L77" s="432">
        <f>L17-'Sales 2023'!L17</f>
        <v/>
      </c>
      <c r="M77" s="432">
        <f>M17-'Sales 2023'!M17</f>
        <v/>
      </c>
      <c r="N77" s="432">
        <f>N17-'Sales 2023'!N17</f>
        <v/>
      </c>
      <c r="O77" s="432">
        <f>O17-'Sales 2023'!O17</f>
        <v/>
      </c>
      <c r="P77" s="432">
        <f>P17-'Sales 2023'!P17</f>
        <v/>
      </c>
      <c r="Q77" s="432">
        <f>Q17-'Sales 2023'!Q17</f>
        <v/>
      </c>
      <c r="R77" s="432">
        <f>R17-'Sales 2023'!R17</f>
        <v/>
      </c>
      <c r="S77" s="432">
        <f>S17-'Sales 2023'!S17</f>
        <v/>
      </c>
      <c r="T77" s="432">
        <f>T17-'Sales 2023'!T17</f>
        <v/>
      </c>
      <c r="U77" s="432">
        <f>U17-'Sales 2023'!U17</f>
        <v/>
      </c>
      <c r="V77" s="432">
        <f>V17-'Sales 2023'!V17</f>
        <v/>
      </c>
      <c r="W77" s="432">
        <f>W17-'Sales 2023'!W17</f>
        <v/>
      </c>
      <c r="X77" s="445">
        <f>W77/'Sales 2023'!W16</f>
        <v/>
      </c>
    </row>
    <row r="78" ht="13.9" customHeight="1" s="1232" thickBot="1" thickTop="1">
      <c r="I78" s="1335" t="inlineStr">
        <is>
          <t>Totals</t>
        </is>
      </c>
      <c r="J78" s="438" t="n"/>
      <c r="K78" s="587">
        <f>SUM(K66:K77)</f>
        <v/>
      </c>
      <c r="L78" s="587">
        <f>SUM(L66:L77)</f>
        <v/>
      </c>
      <c r="M78" s="587">
        <f>SUM(M66:M77)</f>
        <v/>
      </c>
      <c r="N78" s="587">
        <f>SUM(N66:N77)</f>
        <v/>
      </c>
      <c r="O78" s="587">
        <f>SUM(O66:O77)</f>
        <v/>
      </c>
      <c r="P78" s="587">
        <f>SUM(P66:P77)</f>
        <v/>
      </c>
      <c r="Q78" s="587">
        <f>SUM(Q66:Q77)</f>
        <v/>
      </c>
      <c r="R78" s="587">
        <f>SUM(R66:R77)</f>
        <v/>
      </c>
      <c r="S78" s="587">
        <f>SUM(S66:S77)</f>
        <v/>
      </c>
      <c r="T78" s="587">
        <f>SUM(T66:T77)</f>
        <v/>
      </c>
      <c r="U78" s="587">
        <f>SUM(U66:U77)</f>
        <v/>
      </c>
      <c r="V78" s="587">
        <f>SUM(V66:V77)</f>
        <v/>
      </c>
      <c r="W78" s="789">
        <f>SUM(W66:W77)</f>
        <v/>
      </c>
      <c r="X78" s="445">
        <f>W78/'Sales 2023'!W17</f>
        <v/>
      </c>
    </row>
    <row r="79" ht="13.15" customHeight="1" s="1232" thickTop="1"/>
    <row r="80" ht="13.9" customHeight="1" s="1232">
      <c r="C80" s="1271" t="n"/>
      <c r="D80" s="1260" t="n"/>
      <c r="E80" s="1296" t="n"/>
      <c r="F80" s="1314" t="n"/>
      <c r="G80" s="1297" t="n"/>
      <c r="I80" s="1336" t="inlineStr">
        <is>
          <t>Tuition Categories</t>
        </is>
      </c>
      <c r="J80" s="1330" t="inlineStr">
        <is>
          <t>Units</t>
        </is>
      </c>
      <c r="K80" s="1332" t="inlineStr">
        <is>
          <t>Jan</t>
        </is>
      </c>
      <c r="L80" s="1332" t="inlineStr">
        <is>
          <t>Feb</t>
        </is>
      </c>
      <c r="M80" s="1332" t="inlineStr">
        <is>
          <t>Mar</t>
        </is>
      </c>
      <c r="N80" s="1332" t="inlineStr">
        <is>
          <t>Apr</t>
        </is>
      </c>
      <c r="O80" s="1332" t="inlineStr">
        <is>
          <t>May</t>
        </is>
      </c>
      <c r="P80" s="1332" t="inlineStr">
        <is>
          <t>Jun</t>
        </is>
      </c>
      <c r="Q80" s="1332" t="inlineStr">
        <is>
          <t>Jul</t>
        </is>
      </c>
      <c r="R80" s="1332" t="inlineStr">
        <is>
          <t>Aug</t>
        </is>
      </c>
      <c r="S80" s="1332" t="inlineStr">
        <is>
          <t>Sep</t>
        </is>
      </c>
      <c r="T80" s="1332" t="inlineStr">
        <is>
          <t>Oct</t>
        </is>
      </c>
      <c r="U80" s="1332" t="inlineStr">
        <is>
          <t>Nov</t>
        </is>
      </c>
      <c r="V80" s="1332" t="inlineStr">
        <is>
          <t>Dec</t>
        </is>
      </c>
      <c r="W80" s="1332" t="inlineStr">
        <is>
          <t>Year</t>
        </is>
      </c>
    </row>
    <row r="81">
      <c r="I81" s="1333" t="inlineStr">
        <is>
          <t>1. Courses/masterclasses</t>
        </is>
      </c>
      <c r="J81" s="431" t="n"/>
      <c r="K81" s="432">
        <f>COUNTIFS($A$205:$A$513,"&gt;31/12/2023",$A$205:$A$513,"&lt;1/2/2024",$C$205:$C$513,I81)</f>
        <v/>
      </c>
      <c r="L81" s="432">
        <f>COUNTIFS($A$205:$A$513,"&gt;31/1/2024",$A$205:$A$513,"&lt;1/3/2024",$C$205:$C$513,$I81)</f>
        <v/>
      </c>
      <c r="M81" s="432">
        <f>COUNTIFS($A$205:$A$513,"&gt;28/2/2024",$A$205:$A$513,"&lt;1/4/2024",$C$205:$C$513,$I81)</f>
        <v/>
      </c>
      <c r="N81" s="432">
        <f>COUNTIFS($A$205:$A$513,"&gt;31/3/2024",$A$205:$A$513,"&lt;1/5/2024",$C$205:$C$513,$I81)</f>
        <v/>
      </c>
      <c r="O81" s="432">
        <f>COUNTIFS($A$205:$A$513,"&gt;30/4/2024",$A$205:$A$513,"&lt;1/6/2024",$C$205:$C$513,$I81)</f>
        <v/>
      </c>
      <c r="P81" s="432">
        <f>COUNTIFS($A$205:$A$513,"&gt;31/5/2024",$A$205:$A$513,"&lt;1/7/2024",$C$205:$C$513,$I81)</f>
        <v/>
      </c>
      <c r="Q81" s="432">
        <f>COUNTIFS($A$205:$A$513,"&gt;30/6/2024",$A$205:$A$513,"&lt;1/8/2024",$C$205:$C$513,$I81)</f>
        <v/>
      </c>
      <c r="R81" s="432">
        <f>COUNTIFS($A$205:$A$513,"&gt;31/7/2024",$A$205:$A$513,"&lt;1/9/2024",$C$205:$C$513,$I81)</f>
        <v/>
      </c>
      <c r="S81" s="432">
        <f>COUNTIFS($A$205:$A$513,"&gt;31/8/2024",$A$205:$A$513,"&lt;1/10/2024",$C$205:$C$513,$I81)</f>
        <v/>
      </c>
      <c r="T81" s="432">
        <f>COUNTIFS($A$205:$A$513,"&gt;30/9/2024",$A$205:$A$513,"&lt;1/11/2024",$C$205:$C$513,$I81)</f>
        <v/>
      </c>
      <c r="U81" s="432">
        <f>COUNTIFS($A$205:$A$513,"&gt;31/10/2024",$A$205:$A$513,"&lt;1/12/2024",$C$205:$C$513,$I81)</f>
        <v/>
      </c>
      <c r="V81" s="432">
        <f>COUNTIFS($A$205:$A$513,"&gt;30/11/2024",$A$205:$A$513,"&lt;1/1/2025",$C$205:$C$513,$I81)</f>
        <v/>
      </c>
      <c r="W81" s="431">
        <f>SUM(K81:V81)</f>
        <v/>
      </c>
    </row>
    <row r="82">
      <c r="I82" s="1333" t="inlineStr">
        <is>
          <t>2. Workshops Non Residential</t>
        </is>
      </c>
      <c r="J82" s="431" t="n"/>
      <c r="K82" s="432">
        <f>COUNTIFS($A$205:$A$513,"&gt;31/12/2023",$A$205:$A$513,"&lt;1/2/2024",$C$205:$C$513,I82)</f>
        <v/>
      </c>
      <c r="L82" s="432">
        <f>COUNTIFS($A$205:$A$513,"&gt;31/1/2024",$A$205:$A$513,"&lt;1/3/2024",$C$205:$C$513,$I82)</f>
        <v/>
      </c>
      <c r="M82" s="432">
        <f>COUNTIFS($A$205:$A$513,"&gt;28/2/2024",$A$205:$A$513,"&lt;1/4/2024",$C$205:$C$513,$I82)</f>
        <v/>
      </c>
      <c r="N82" s="432">
        <f>COUNTIFS($A$205:$A$513,"&gt;31/3/2024",$A$205:$A$513,"&lt;1/5/2024",$C$205:$C$513,$I82)</f>
        <v/>
      </c>
      <c r="O82" s="432">
        <f>COUNTIFS($A$205:$A$513,"&gt;30/4/2024",$A$205:$A$513,"&lt;1/6/2024",$C$205:$C$513,$I82)</f>
        <v/>
      </c>
      <c r="P82" s="432">
        <f>COUNTIFS($A$205:$A$513,"&gt;31/5/2024",$A$205:$A$513,"&lt;1/7/2024",$C$205:$C$513,$I82)</f>
        <v/>
      </c>
      <c r="Q82" s="432">
        <f>COUNTIFS($A$205:$A$513,"&gt;30/6/2024",$A$205:$A$513,"&lt;1/8/2024",$C$205:$C$513,$I82)</f>
        <v/>
      </c>
      <c r="R82" s="432">
        <f>COUNTIFS($A$205:$A$513,"&gt;31/7/2024",$A$205:$A$513,"&lt;1/9/2024",$C$205:$C$513,$I82)</f>
        <v/>
      </c>
      <c r="S82" s="432">
        <f>COUNTIFS($A$205:$A$513,"&gt;31/8/2024",$A$205:$A$513,"&lt;1/10/2024",$C$205:$C$513,$I82)</f>
        <v/>
      </c>
      <c r="T82" s="432">
        <f>COUNTIFS($A$205:$A$513,"&gt;30/9/2024",$A$205:$A$513,"&lt;1/11/2024",$C$205:$C$513,$I82)</f>
        <v/>
      </c>
      <c r="U82" s="432">
        <f>COUNTIFS($A$205:$A$513,"&gt;31/10/2024",$A$205:$A$513,"&lt;1/12/2024",$C$205:$C$513,$I82)</f>
        <v/>
      </c>
      <c r="V82" s="432">
        <f>COUNTIFS($A$205:$A$513,"&gt;30/11/2024",$A$205:$A$513,"&lt;1/1/2025",$C$205:$C$513,$I82)</f>
        <v/>
      </c>
      <c r="W82" s="431">
        <f>SUM(K82:V82)</f>
        <v/>
      </c>
    </row>
    <row r="83">
      <c r="I83" s="1334" t="inlineStr">
        <is>
          <t>3. Workshops Residential</t>
        </is>
      </c>
      <c r="J83" s="431" t="n"/>
      <c r="K83" s="432">
        <f>COUNTIFS($A$205:$A$513,"&gt;31/12/2023",$A$205:$A$513,"&lt;1/2/2024",$C$205:$C$513,I83)</f>
        <v/>
      </c>
      <c r="L83" s="432">
        <f>COUNTIFS($A$205:$A$513,"&gt;31/1/2024",$A$205:$A$513,"&lt;1/3/2024",$C$205:$C$513,$I83)</f>
        <v/>
      </c>
      <c r="M83" s="432">
        <f>COUNTIFS($A$205:$A$513,"&gt;28/2/2024",$A$205:$A$513,"&lt;1/4/2024",$C$205:$C$513,$I83)</f>
        <v/>
      </c>
      <c r="N83" s="432">
        <f>COUNTIFS($A$205:$A$513,"&gt;31/3/2024",$A$205:$A$513,"&lt;1/5/2024",$C$205:$C$513,$I83)</f>
        <v/>
      </c>
      <c r="O83" s="432">
        <f>COUNTIFS($A$205:$A$513,"&gt;30/4/2024",$A$205:$A$513,"&lt;1/6/2024",$C$205:$C$513,$I83)</f>
        <v/>
      </c>
      <c r="P83" s="432">
        <f>COUNTIFS($A$205:$A$513,"&gt;31/5/2024",$A$205:$A$513,"&lt;1/7/2024",$C$205:$C$513,$I83)</f>
        <v/>
      </c>
      <c r="Q83" s="432">
        <f>COUNTIFS($A$205:$A$513,"&gt;30/6/2024",$A$205:$A$513,"&lt;1/8/2024",$C$205:$C$513,$I83)</f>
        <v/>
      </c>
      <c r="R83" s="432">
        <f>COUNTIFS($A$205:$A$513,"&gt;31/7/2024",$A$205:$A$513,"&lt;1/9/2024",$C$205:$C$513,$I83)</f>
        <v/>
      </c>
      <c r="S83" s="432">
        <f>COUNTIFS($A$205:$A$513,"&gt;31/8/2024",$A$205:$A$513,"&lt;1/10/2024",$C$205:$C$513,$I83)</f>
        <v/>
      </c>
      <c r="T83" s="432">
        <f>COUNTIFS($A$205:$A$513,"&gt;30/9/2024",$A$205:$A$513,"&lt;1/11/2024",$C$205:$C$513,$I83)</f>
        <v/>
      </c>
      <c r="U83" s="432">
        <f>COUNTIFS($A$205:$A$513,"&gt;31/10/2024",$A$205:$A$513,"&lt;1/12/2024",$C$205:$C$513,$I83)</f>
        <v/>
      </c>
      <c r="V83" s="432">
        <f>COUNTIFS($A$205:$A$513,"&gt;30/11/2024",$A$205:$A$513,"&lt;1/1/2025",$C$205:$C$513,$I83)</f>
        <v/>
      </c>
      <c r="W83" s="431">
        <f>SUM(K83:V83)</f>
        <v/>
      </c>
    </row>
    <row r="84">
      <c r="I84" s="1333" t="inlineStr">
        <is>
          <t>4. Pick n Mix Inc</t>
        </is>
      </c>
      <c r="J84" s="431" t="n"/>
      <c r="K84" s="432">
        <f>COUNTIFS($A$205:$A$513,"&gt;31/12/2023",$A$205:$A$513,"&lt;1/2/2024",$C$205:$C$513,I84)</f>
        <v/>
      </c>
      <c r="L84" s="432">
        <f>COUNTIFS($A$205:$A$513,"&gt;31/1/2024",$A$205:$A$513,"&lt;1/3/2024",$C$205:$C$513,$I84)</f>
        <v/>
      </c>
      <c r="M84" s="432">
        <f>COUNTIFS($A$205:$A$513,"&gt;28/2/2024",$A$205:$A$513,"&lt;1/4/2024",$C$205:$C$513,$I84)</f>
        <v/>
      </c>
      <c r="N84" s="432">
        <f>COUNTIFS($A$205:$A$513,"&gt;31/3/2024",$A$205:$A$513,"&lt;1/5/2024",$C$205:$C$513,$I84)</f>
        <v/>
      </c>
      <c r="O84" s="432">
        <f>COUNTIFS($A$205:$A$513,"&gt;30/4/2024",$A$205:$A$513,"&lt;1/6/2024",$C$205:$C$513,$I84)</f>
        <v/>
      </c>
      <c r="P84" s="432">
        <f>COUNTIFS($A$205:$A$513,"&gt;31/5/2024",$A$205:$A$513,"&lt;1/7/2024",$C$205:$C$513,$I84)</f>
        <v/>
      </c>
      <c r="Q84" s="432">
        <f>COUNTIFS($A$205:$A$513,"&gt;30/6/2024",$A$205:$A$513,"&lt;1/8/2024",$C$205:$C$513,$I84)</f>
        <v/>
      </c>
      <c r="R84" s="432">
        <f>COUNTIFS($A$205:$A$513,"&gt;31/7/2024",$A$205:$A$513,"&lt;1/9/2024",$C$205:$C$513,$I84)</f>
        <v/>
      </c>
      <c r="S84" s="432">
        <f>COUNTIFS($A$205:$A$513,"&gt;31/8/2024",$A$205:$A$513,"&lt;1/10/2024",$C$205:$C$513,$I84)</f>
        <v/>
      </c>
      <c r="T84" s="432">
        <f>COUNTIFS($A$205:$A$513,"&gt;30/9/2024",$A$205:$A$513,"&lt;1/11/2024",$C$205:$C$513,$I84)</f>
        <v/>
      </c>
      <c r="U84" s="432">
        <f>COUNTIFS($A$205:$A$513,"&gt;31/10/2024",$A$205:$A$513,"&lt;1/12/2024",$C$205:$C$513,$I84)</f>
        <v/>
      </c>
      <c r="V84" s="432">
        <f>COUNTIFS($A$205:$A$513,"&gt;30/11/2024",$A$205:$A$513,"&lt;1/1/2025",$C$205:$C$513,$I84)</f>
        <v/>
      </c>
      <c r="W84" s="431">
        <f>SUM(K84:V84)</f>
        <v/>
      </c>
    </row>
    <row r="85">
      <c r="I85" s="1333" t="inlineStr">
        <is>
          <t>5. Pick n Mix Out</t>
        </is>
      </c>
      <c r="J85" s="431" t="n"/>
      <c r="K85" s="432">
        <f>COUNTIFS($A$205:$A$513,"&gt;31/12/2023",$A$205:$A$513,"&lt;1/2/2024",$C$205:$C$513,I85)</f>
        <v/>
      </c>
      <c r="L85" s="432">
        <f>COUNTIFS($A$205:$A$513,"&gt;31/1/2024",$A$205:$A$513,"&lt;1/3/2024",$C$205:$C$513,$I85)</f>
        <v/>
      </c>
      <c r="M85" s="432">
        <f>COUNTIFS($A$205:$A$513,"&gt;28/2/2024",$A$205:$A$513,"&lt;1/4/2024",$C$205:$C$513,$I85)</f>
        <v/>
      </c>
      <c r="N85" s="432">
        <f>COUNTIFS($A$205:$A$513,"&gt;31/3/2024",$A$205:$A$513,"&lt;1/5/2024",$C$205:$C$513,$I85)</f>
        <v/>
      </c>
      <c r="O85" s="432">
        <f>COUNTIFS($A$205:$A$513,"&gt;30/4/2024",$A$205:$A$513,"&lt;1/6/2024",$C$205:$C$513,$I85)</f>
        <v/>
      </c>
      <c r="P85" s="432">
        <f>COUNTIFS($A$205:$A$513,"&gt;31/5/2024",$A$205:$A$513,"&lt;1/7/2024",$C$205:$C$513,$I85)</f>
        <v/>
      </c>
      <c r="Q85" s="432">
        <f>COUNTIFS($A$205:$A$513,"&gt;30/6/2024",$A$205:$A$513,"&lt;1/8/2024",$C$205:$C$513,$I85)</f>
        <v/>
      </c>
      <c r="R85" s="432">
        <f>COUNTIFS($A$205:$A$513,"&gt;31/7/2024",$A$205:$A$513,"&lt;1/9/2024",$C$205:$C$513,$I85)</f>
        <v/>
      </c>
      <c r="S85" s="432">
        <f>COUNTIFS($A$205:$A$513,"&gt;31/8/2024",$A$205:$A$513,"&lt;1/10/2024",$C$205:$C$513,$I85)</f>
        <v/>
      </c>
      <c r="T85" s="432">
        <f>COUNTIFS($A$205:$A$513,"&gt;30/9/2024",$A$205:$A$513,"&lt;1/11/2024",$C$205:$C$513,$I85)</f>
        <v/>
      </c>
      <c r="U85" s="432">
        <f>COUNTIFS($A$205:$A$513,"&gt;31/10/2024",$A$205:$A$513,"&lt;1/12/2024",$C$205:$C$513,$I85)</f>
        <v/>
      </c>
      <c r="V85" s="432">
        <f>COUNTIFS($A$205:$A$513,"&gt;30/11/2024",$A$205:$A$513,"&lt;1/1/2025",$C$205:$C$513,$I85)</f>
        <v/>
      </c>
      <c r="W85" s="431">
        <f>SUM(K85:V85)</f>
        <v/>
      </c>
    </row>
    <row r="86">
      <c r="I86" s="1333" t="inlineStr">
        <is>
          <t>6. Mentoring</t>
        </is>
      </c>
      <c r="J86" s="431" t="n"/>
      <c r="K86" s="432">
        <f>COUNTIFS($A$205:$A$513,"&gt;31/12/2023",$A$205:$A$513,"&lt;1/2/2024",$C$205:$C$513,I86)</f>
        <v/>
      </c>
      <c r="L86" s="432">
        <f>COUNTIFS($A$205:$A$513,"&gt;31/1/2024",$A$205:$A$513,"&lt;1/3/2024",$C$205:$C$513,$I86)</f>
        <v/>
      </c>
      <c r="M86" s="432">
        <f>COUNTIFS($A$205:$A$513,"&gt;28/2/2024",$A$205:$A$513,"&lt;1/4/2024",$C$205:$C$513,$I86)</f>
        <v/>
      </c>
      <c r="N86" s="432">
        <f>COUNTIFS($A$205:$A$513,"&gt;31/3/2024",$A$205:$A$513,"&lt;1/5/2024",$C$205:$C$513,$I86)</f>
        <v/>
      </c>
      <c r="O86" s="432">
        <f>COUNTIFS($A$205:$A$513,"&gt;30/4/2024",$A$205:$A$513,"&lt;1/6/2024",$C$205:$C$513,$I86)</f>
        <v/>
      </c>
      <c r="P86" s="432">
        <f>COUNTIFS($A$205:$A$513,"&gt;31/5/2024",$A$205:$A$513,"&lt;1/7/2024",$C$205:$C$513,$I86)</f>
        <v/>
      </c>
      <c r="Q86" s="432">
        <f>COUNTIFS($A$205:$A$513,"&gt;30/6/2024",$A$205:$A$513,"&lt;1/8/2024",$C$205:$C$513,$I86)</f>
        <v/>
      </c>
      <c r="R86" s="432">
        <f>COUNTIFS($A$205:$A$513,"&gt;31/7/2024",$A$205:$A$513,"&lt;1/9/2024",$C$205:$C$513,$I86)</f>
        <v/>
      </c>
      <c r="S86" s="432">
        <f>COUNTIFS($A$205:$A$513,"&gt;31/8/2024",$A$205:$A$513,"&lt;1/10/2024",$C$205:$C$513,$I86)</f>
        <v/>
      </c>
      <c r="T86" s="432">
        <f>COUNTIFS($A$205:$A$513,"&gt;30/9/2024",$A$205:$A$513,"&lt;1/11/2024",$C$205:$C$513,$I86)</f>
        <v/>
      </c>
      <c r="U86" s="432">
        <f>COUNTIFS($A$205:$A$513,"&gt;31/10/2024",$A$205:$A$513,"&lt;1/12/2024",$C$205:$C$513,$I86)</f>
        <v/>
      </c>
      <c r="V86" s="432">
        <f>COUNTIFS($A$205:$A$513,"&gt;30/11/2024",$A$205:$A$513,"&lt;1/1/2025",$C$205:$C$513,$I86)</f>
        <v/>
      </c>
      <c r="W86" s="431">
        <f>SUM(K86:V86)</f>
        <v/>
      </c>
    </row>
    <row r="87">
      <c r="I87" s="1334" t="inlineStr">
        <is>
          <t>7. 1-2-1</t>
        </is>
      </c>
      <c r="J87" s="431" t="n"/>
      <c r="K87" s="432">
        <f>COUNTIFS($A$205:$A$513,"&gt;31/12/2023",$A$205:$A$513,"&lt;1/2/2024",$C$205:$C$513,I87)</f>
        <v/>
      </c>
      <c r="L87" s="432">
        <f>COUNTIFS($A$205:$A$513,"&gt;31/1/2024",$A$205:$A$513,"&lt;1/3/2024",$C$205:$C$513,$I87)</f>
        <v/>
      </c>
      <c r="M87" s="432">
        <f>COUNTIFS($A$205:$A$513,"&gt;28/2/2024",$A$205:$A$513,"&lt;1/4/2024",$C$205:$C$513,$I87)</f>
        <v/>
      </c>
      <c r="N87" s="432">
        <f>COUNTIFS($A$205:$A$513,"&gt;31/3/2024",$A$205:$A$513,"&lt;1/5/2024",$C$205:$C$513,$I87)</f>
        <v/>
      </c>
      <c r="O87" s="432">
        <f>COUNTIFS($A$205:$A$513,"&gt;30/4/2024",$A$205:$A$513,"&lt;1/6/2024",$C$205:$C$513,$I87)</f>
        <v/>
      </c>
      <c r="P87" s="432">
        <f>COUNTIFS($A$205:$A$513,"&gt;31/5/2024",$A$205:$A$513,"&lt;1/7/2024",$C$205:$C$513,$I87)</f>
        <v/>
      </c>
      <c r="Q87" s="432">
        <f>COUNTIFS($A$205:$A$513,"&gt;30/6/2024",$A$205:$A$513,"&lt;1/8/2024",$C$205:$C$513,$I87)</f>
        <v/>
      </c>
      <c r="R87" s="432">
        <f>COUNTIFS($A$205:$A$513,"&gt;31/7/2024",$A$205:$A$513,"&lt;1/9/2024",$C$205:$C$513,$I87)</f>
        <v/>
      </c>
      <c r="S87" s="432">
        <f>COUNTIFS($A$205:$A$513,"&gt;31/8/2024",$A$205:$A$513,"&lt;1/10/2024",$C$205:$C$513,$I87)</f>
        <v/>
      </c>
      <c r="T87" s="432">
        <f>COUNTIFS($A$205:$A$513,"&gt;30/9/2024",$A$205:$A$513,"&lt;1/11/2024",$C$205:$C$513,$I87)</f>
        <v/>
      </c>
      <c r="U87" s="432">
        <f>COUNTIFS($A$205:$A$513,"&gt;31/10/2024",$A$205:$A$513,"&lt;1/12/2024",$C$205:$C$513,$I87)</f>
        <v/>
      </c>
      <c r="V87" s="432">
        <f>COUNTIFS($A$205:$A$513,"&gt;30/11/2024",$A$205:$A$513,"&lt;1/1/2025",$C$205:$C$513,$I87)</f>
        <v/>
      </c>
      <c r="W87" s="431">
        <f>SUM(K87:V87)</f>
        <v/>
      </c>
    </row>
    <row r="88">
      <c r="I88" s="1334" t="inlineStr">
        <is>
          <t>8. Gift Vouchers Inc</t>
        </is>
      </c>
      <c r="J88" s="431" t="n"/>
      <c r="K88" s="432">
        <f>COUNTIFS($A$205:$A$513,"&gt;31/12/2023",$A$205:$A$513,"&lt;1/2/2024",$C$205:$C$513,I88)</f>
        <v/>
      </c>
      <c r="L88" s="432">
        <f>COUNTIFS($A$205:$A$513,"&gt;31/1/2024",$A$205:$A$513,"&lt;1/3/2024",$C$205:$C$513,$I88)</f>
        <v/>
      </c>
      <c r="M88" s="432">
        <f>COUNTIFS($A$205:$A$513,"&gt;28/2/2024",$A$205:$A$513,"&lt;1/4/2024",$C$205:$C$513,$I88)</f>
        <v/>
      </c>
      <c r="N88" s="432">
        <f>COUNTIFS($A$205:$A$513,"&gt;31/3/2024",$A$205:$A$513,"&lt;1/5/2024",$C$205:$C$513,$I88)</f>
        <v/>
      </c>
      <c r="O88" s="432">
        <f>COUNTIFS($A$205:$A$513,"&gt;30/4/2024",$A$205:$A$513,"&lt;1/6/2024",$C$205:$C$513,$I88)</f>
        <v/>
      </c>
      <c r="P88" s="432">
        <f>COUNTIFS($A$205:$A$513,"&gt;31/5/2024",$A$205:$A$513,"&lt;1/7/2024",$C$205:$C$513,$I88)</f>
        <v/>
      </c>
      <c r="Q88" s="432">
        <f>COUNTIFS($A$205:$A$513,"&gt;30/6/2024",$A$205:$A$513,"&lt;1/8/2024",$C$205:$C$513,$I88)</f>
        <v/>
      </c>
      <c r="R88" s="432">
        <f>COUNTIFS($A$205:$A$513,"&gt;31/7/2024",$A$205:$A$513,"&lt;1/9/2024",$C$205:$C$513,$I88)</f>
        <v/>
      </c>
      <c r="S88" s="432">
        <f>COUNTIFS($A$205:$A$513,"&gt;31/8/2024",$A$205:$A$513,"&lt;1/10/2024",$C$205:$C$513,$I88)</f>
        <v/>
      </c>
      <c r="T88" s="432">
        <f>COUNTIFS($A$205:$A$513,"&gt;30/9/2024",$A$205:$A$513,"&lt;1/11/2024",$C$205:$C$513,$I88)</f>
        <v/>
      </c>
      <c r="U88" s="432">
        <f>COUNTIFS($A$205:$A$513,"&gt;31/10/2024",$A$205:$A$513,"&lt;1/12/2024",$C$205:$C$513,$I88)</f>
        <v/>
      </c>
      <c r="V88" s="432">
        <f>COUNTIFS($A$205:$A$513,"&gt;30/11/2024",$A$205:$A$513,"&lt;1/1/2025",$C$205:$C$513,$I88)</f>
        <v/>
      </c>
      <c r="W88" s="431">
        <f>SUM(K88:V88)</f>
        <v/>
      </c>
    </row>
    <row r="89">
      <c r="I89" s="1334" t="inlineStr">
        <is>
          <t>9. Gift Vouchers Out</t>
        </is>
      </c>
      <c r="J89" s="431" t="n"/>
      <c r="K89" s="432">
        <f>COUNTIFS($A$205:$A$513,"&gt;31/12/2023",$A$205:$A$513,"&lt;1/2/2024",$C$205:$C$513,I89)</f>
        <v/>
      </c>
      <c r="L89" s="432">
        <f>COUNTIFS($A$205:$A$513,"&gt;31/1/2024",$A$205:$A$513,"&lt;1/3/2024",$C$205:$C$513,$I89)</f>
        <v/>
      </c>
      <c r="M89" s="432">
        <f>COUNTIFS($A$205:$A$513,"&gt;28/2/2024",$A$205:$A$513,"&lt;1/4/2024",$C$205:$C$513,$I89)</f>
        <v/>
      </c>
      <c r="N89" s="432">
        <f>COUNTIFS($A$205:$A$513,"&gt;31/3/2024",$A$205:$A$513,"&lt;1/5/2024",$C$205:$C$513,$I89)</f>
        <v/>
      </c>
      <c r="O89" s="432">
        <f>COUNTIFS($A$205:$A$513,"&gt;30/4/2024",$A$205:$A$513,"&lt;1/6/2024",$C$205:$C$513,$I89)</f>
        <v/>
      </c>
      <c r="P89" s="432">
        <f>COUNTIFS($A$205:$A$513,"&gt;31/5/2024",$A$205:$A$513,"&lt;1/7/2024",$C$205:$C$513,$I89)</f>
        <v/>
      </c>
      <c r="Q89" s="432">
        <f>COUNTIFS($A$205:$A$513,"&gt;30/6/2024",$A$205:$A$513,"&lt;1/8/2024",$C$205:$C$513,$I89)</f>
        <v/>
      </c>
      <c r="R89" s="432">
        <f>COUNTIFS($A$205:$A$513,"&gt;31/7/2024",$A$205:$A$513,"&lt;1/9/2024",$C$205:$C$513,$I89)</f>
        <v/>
      </c>
      <c r="S89" s="432">
        <f>COUNTIFS($A$205:$A$513,"&gt;31/8/2024",$A$205:$A$513,"&lt;1/10/2024",$C$205:$C$513,$I89)</f>
        <v/>
      </c>
      <c r="T89" s="432">
        <f>COUNTIFS($A$205:$A$513,"&gt;30/9/2024",$A$205:$A$513,"&lt;1/11/2024",$C$205:$C$513,$I89)</f>
        <v/>
      </c>
      <c r="U89" s="432">
        <f>COUNTIFS($A$205:$A$513,"&gt;31/10/2024",$A$205:$A$513,"&lt;1/12/2024",$C$205:$C$513,$I89)</f>
        <v/>
      </c>
      <c r="V89" s="432">
        <f>COUNTIFS($A$205:$A$513,"&gt;30/11/2024",$A$205:$A$513,"&lt;1/1/2025",$C$205:$C$513,$I89)</f>
        <v/>
      </c>
      <c r="W89" s="431">
        <f>SUM(K89:V89)</f>
        <v/>
      </c>
    </row>
    <row r="90">
      <c r="I90" s="1334" t="inlineStr">
        <is>
          <t>10. Prints &amp; Royalties</t>
        </is>
      </c>
      <c r="J90" s="431" t="n"/>
      <c r="K90" s="432">
        <f>COUNTIFS($A$205:$A$513,"&gt;31/12/2023",$A$205:$A$513,"&lt;1/2/2024",$C$205:$C$513,I90)</f>
        <v/>
      </c>
      <c r="L90" s="432">
        <f>COUNTIFS($A$205:$A$513,"&gt;31/1/2024",$A$205:$A$513,"&lt;1/3/2024",$C$205:$C$513,$I90)</f>
        <v/>
      </c>
      <c r="M90" s="432">
        <f>COUNTIFS($A$205:$A$513,"&gt;28/2/2024",$A$205:$A$513,"&lt;1/4/2024",$C$205:$C$513,$I90)</f>
        <v/>
      </c>
      <c r="N90" s="432">
        <f>COUNTIFS($A$205:$A$513,"&gt;31/3/2024",$A$205:$A$513,"&lt;1/5/2024",$C$205:$C$513,$I90)</f>
        <v/>
      </c>
      <c r="O90" s="432">
        <f>COUNTIFS($A$205:$A$513,"&gt;30/4/2024",$A$205:$A$513,"&lt;1/6/2024",$C$205:$C$513,$I90)</f>
        <v/>
      </c>
      <c r="P90" s="432">
        <f>COUNTIFS($A$205:$A$513,"&gt;31/5/2024",$A$205:$A$513,"&lt;1/7/2024",$C$205:$C$513,$I90)</f>
        <v/>
      </c>
      <c r="Q90" s="432">
        <f>COUNTIFS($A$205:$A$513,"&gt;30/6/2024",$A$205:$A$513,"&lt;1/8/2024",$C$205:$C$513,$I90)</f>
        <v/>
      </c>
      <c r="R90" s="432">
        <f>COUNTIFS($A$205:$A$513,"&gt;31/7/2024",$A$205:$A$513,"&lt;1/9/2024",$C$205:$C$513,$I90)</f>
        <v/>
      </c>
      <c r="S90" s="432">
        <f>COUNTIFS($A$205:$A$513,"&gt;31/8/2024",$A$205:$A$513,"&lt;1/10/2024",$C$205:$C$513,$I90)</f>
        <v/>
      </c>
      <c r="T90" s="432">
        <f>COUNTIFS($A$205:$A$513,"&gt;30/9/2024",$A$205:$A$513,"&lt;1/11/2024",$C$205:$C$513,$I90)</f>
        <v/>
      </c>
      <c r="U90" s="432">
        <f>COUNTIFS($A$205:$A$513,"&gt;31/10/2024",$A$205:$A$513,"&lt;1/12/2024",$C$205:$C$513,$I90)</f>
        <v/>
      </c>
      <c r="V90" s="432">
        <f>COUNTIFS($A$205:$A$513,"&gt;30/11/2024",$A$205:$A$513,"&lt;1/1/2025",$C$205:$C$513,$I90)</f>
        <v/>
      </c>
      <c r="W90" s="431">
        <f>SUM(K90:V90)</f>
        <v/>
      </c>
    </row>
    <row r="91">
      <c r="I91" s="1334" t="inlineStr">
        <is>
          <t>11 Commissions</t>
        </is>
      </c>
      <c r="J91" s="431" t="n"/>
      <c r="K91" s="432">
        <f>COUNTIFS($A$205:$A$513,"&gt;31/12/2023",$A$205:$A$513,"&lt;1/2/2024",$C$205:$C$513,I91)</f>
        <v/>
      </c>
      <c r="L91" s="432">
        <f>COUNTIFS($A$205:$A$513,"&gt;31/1/2024",$A$205:$A$513,"&lt;1/3/2024",$C$205:$C$513,$I91)</f>
        <v/>
      </c>
      <c r="M91" s="432">
        <f>COUNTIFS($A$205:$A$513,"&gt;28/2/2024",$A$205:$A$513,"&lt;1/4/2024",$C$205:$C$513,$I91)</f>
        <v/>
      </c>
      <c r="N91" s="432">
        <f>COUNTIFS($A$205:$A$513,"&gt;31/3/2024",$A$205:$A$513,"&lt;1/5/2024",$C$205:$C$513,$I91)</f>
        <v/>
      </c>
      <c r="O91" s="432">
        <f>COUNTIFS($A$205:$A$513,"&gt;30/4/2024",$A$205:$A$513,"&lt;1/6/2024",$C$205:$C$513,$I91)</f>
        <v/>
      </c>
      <c r="P91" s="432">
        <f>COUNTIFS($A$205:$A$513,"&gt;31/5/2024",$A$205:$A$513,"&lt;1/7/2024",$C$205:$C$513,$I91)</f>
        <v/>
      </c>
      <c r="Q91" s="432">
        <f>COUNTIFS($A$205:$A$513,"&gt;30/6/2024",$A$205:$A$513,"&lt;1/8/2024",$C$205:$C$513,$I91)</f>
        <v/>
      </c>
      <c r="R91" s="432">
        <f>COUNTIFS($A$205:$A$513,"&gt;31/7/2024",$A$205:$A$513,"&lt;1/9/2024",$C$205:$C$513,$I91)</f>
        <v/>
      </c>
      <c r="S91" s="432">
        <f>COUNTIFS($A$205:$A$513,"&gt;31/8/2024",$A$205:$A$513,"&lt;1/10/2024",$C$205:$C$513,$I91)</f>
        <v/>
      </c>
      <c r="T91" s="432">
        <f>COUNTIFS($A$205:$A$513,"&gt;30/9/2024",$A$205:$A$513,"&lt;1/11/2024",$C$205:$C$513,$I91)</f>
        <v/>
      </c>
      <c r="U91" s="432">
        <f>COUNTIFS($A$205:$A$513,"&gt;31/10/2024",$A$205:$A$513,"&lt;1/12/2024",$C$205:$C$513,$I91)</f>
        <v/>
      </c>
      <c r="V91" s="432">
        <f>COUNTIFS($A$205:$A$513,"&gt;30/11/2024",$A$205:$A$513,"&lt;1/1/2025",$C$205:$C$513,$I91)</f>
        <v/>
      </c>
      <c r="W91" s="431">
        <f>SUM(K91:V91)</f>
        <v/>
      </c>
    </row>
    <row r="92">
      <c r="I92" s="1334" t="inlineStr">
        <is>
          <t>12. Other</t>
        </is>
      </c>
      <c r="J92" s="431" t="n"/>
      <c r="K92" s="432">
        <f>COUNTIFS($A$205:$A$513,"&gt;31/12/2023",$A$205:$A$513,"&lt;1/2/2024",$C$205:$C$513,I92)</f>
        <v/>
      </c>
      <c r="L92" s="432">
        <f>COUNTIFS($A$205:$A$513,"&gt;31/1/2024",$A$205:$A$513,"&lt;1/3/2024",$C$205:$C$513,$I92)</f>
        <v/>
      </c>
      <c r="M92" s="432">
        <f>COUNTIFS($A$205:$A$513,"&gt;28/2/2024",$A$205:$A$513,"&lt;1/4/2024",$C$205:$C$513,$I92)</f>
        <v/>
      </c>
      <c r="N92" s="432">
        <f>COUNTIFS($A$205:$A$513,"&gt;31/3/2024",$A$205:$A$513,"&lt;1/5/2024",$C$205:$C$513,$I92)</f>
        <v/>
      </c>
      <c r="O92" s="432">
        <f>COUNTIFS($A$205:$A$513,"&gt;30/4/2024",$A$205:$A$513,"&lt;1/6/2024",$C$205:$C$513,$I92)</f>
        <v/>
      </c>
      <c r="P92" s="432">
        <f>COUNTIFS($A$205:$A$513,"&gt;31/5/2024",$A$205:$A$513,"&lt;1/7/2024",$C$205:$C$513,$I92)</f>
        <v/>
      </c>
      <c r="Q92" s="432">
        <f>COUNTIFS($A$205:$A$513,"&gt;30/6/2024",$A$205:$A$513,"&lt;1/8/2024",$C$205:$C$513,$I92)</f>
        <v/>
      </c>
      <c r="R92" s="432">
        <f>COUNTIFS($A$205:$A$513,"&gt;31/7/2024",$A$205:$A$513,"&lt;1/9/2024",$C$205:$C$513,$I92)</f>
        <v/>
      </c>
      <c r="S92" s="432">
        <f>COUNTIFS($A$205:$A$513,"&gt;31/8/2024",$A$205:$A$513,"&lt;1/10/2024",$C$205:$C$513,$I92)</f>
        <v/>
      </c>
      <c r="T92" s="432">
        <f>COUNTIFS($A$205:$A$513,"&gt;30/9/2024",$A$205:$A$513,"&lt;1/11/2024",$C$205:$C$513,$I92)</f>
        <v/>
      </c>
      <c r="U92" s="432">
        <f>COUNTIFS($A$205:$A$513,"&gt;31/10/2024",$A$205:$A$513,"&lt;1/12/2024",$C$205:$C$513,$I92)</f>
        <v/>
      </c>
      <c r="V92" s="432">
        <f>COUNTIFS($A$205:$A$513,"&gt;30/11/2024",$A$205:$A$513,"&lt;1/1/2025",$C$205:$C$513,$I92)</f>
        <v/>
      </c>
      <c r="W92" s="431">
        <f>SUM(K92:V92)</f>
        <v/>
      </c>
    </row>
    <row r="93" ht="13.5" customHeight="1" s="1232" thickBot="1">
      <c r="I93" s="1339" t="inlineStr">
        <is>
          <t>Totals</t>
        </is>
      </c>
      <c r="J93" s="829" t="n"/>
      <c r="K93" s="915">
        <f>SUM(K81:K92)</f>
        <v/>
      </c>
      <c r="L93" s="915">
        <f>SUM(L81:L92)</f>
        <v/>
      </c>
      <c r="M93" s="915">
        <f>SUM(M81:M92)</f>
        <v/>
      </c>
      <c r="N93" s="915">
        <f>SUM(N81:N92)</f>
        <v/>
      </c>
      <c r="O93" s="915">
        <f>SUM(O81:O92)</f>
        <v/>
      </c>
      <c r="P93" s="915">
        <f>SUM(P81:P92)</f>
        <v/>
      </c>
      <c r="Q93" s="915">
        <f>SUM(Q81:Q92)</f>
        <v/>
      </c>
      <c r="R93" s="915">
        <f>SUM(R81:R92)</f>
        <v/>
      </c>
      <c r="S93" s="915">
        <f>SUM(S81:S92)</f>
        <v/>
      </c>
      <c r="T93" s="915">
        <f>SUM(T81:T92)</f>
        <v/>
      </c>
      <c r="U93" s="915">
        <f>SUM(U81:U92)</f>
        <v/>
      </c>
      <c r="V93" s="915">
        <f>SUM(V81:V92)</f>
        <v/>
      </c>
      <c r="W93" s="829">
        <f>SUM(W81:W92)</f>
        <v/>
      </c>
    </row>
    <row r="94" ht="13.15" customHeight="1" s="1232" thickTop="1"/>
    <row r="95" ht="13.15" customHeight="1" s="1232">
      <c r="I95" s="1336" t="inlineStr">
        <is>
          <t>Tuition Categories</t>
        </is>
      </c>
      <c r="J95" s="1330" t="inlineStr">
        <is>
          <t>Avg PPU</t>
        </is>
      </c>
      <c r="K95" s="1332" t="inlineStr">
        <is>
          <t>Jan</t>
        </is>
      </c>
      <c r="L95" s="1332" t="inlineStr">
        <is>
          <t>Feb</t>
        </is>
      </c>
      <c r="M95" s="1332" t="inlineStr">
        <is>
          <t>Mar</t>
        </is>
      </c>
      <c r="N95" s="1332" t="inlineStr">
        <is>
          <t>Apr</t>
        </is>
      </c>
      <c r="O95" s="1332" t="inlineStr">
        <is>
          <t>May</t>
        </is>
      </c>
      <c r="P95" s="1332" t="inlineStr">
        <is>
          <t>Jun</t>
        </is>
      </c>
      <c r="Q95" s="1332" t="inlineStr">
        <is>
          <t>Jul</t>
        </is>
      </c>
      <c r="R95" s="1332" t="inlineStr">
        <is>
          <t>Aug</t>
        </is>
      </c>
      <c r="S95" s="1332" t="inlineStr">
        <is>
          <t>Sep</t>
        </is>
      </c>
      <c r="T95" s="1332" t="inlineStr">
        <is>
          <t>Oct</t>
        </is>
      </c>
      <c r="U95" s="1332" t="inlineStr">
        <is>
          <t>Nov</t>
        </is>
      </c>
      <c r="V95" s="1332" t="inlineStr">
        <is>
          <t>Dec</t>
        </is>
      </c>
      <c r="W95" s="1332" t="inlineStr">
        <is>
          <t>Year</t>
        </is>
      </c>
    </row>
    <row r="96">
      <c r="I96" s="1333" t="inlineStr">
        <is>
          <t>1. Courses/masterclasses</t>
        </is>
      </c>
      <c r="J96" s="431" t="n"/>
      <c r="K96" s="432">
        <f>IFERROR(K6/K81,0)</f>
        <v/>
      </c>
      <c r="L96" s="432">
        <f>IFERROR(L6/L81,0)</f>
        <v/>
      </c>
      <c r="M96" s="432">
        <f>IFERROR(M6/M81,0)</f>
        <v/>
      </c>
      <c r="N96" s="432">
        <f>IFERROR(N6/N81,0)</f>
        <v/>
      </c>
      <c r="O96" s="432">
        <f>IFERROR(O6/O81,0)</f>
        <v/>
      </c>
      <c r="P96" s="432">
        <f>IFERROR(P6/P81,0)</f>
        <v/>
      </c>
      <c r="Q96" s="432">
        <f>IFERROR(Q6/Q81,0)</f>
        <v/>
      </c>
      <c r="R96" s="432">
        <f>IFERROR(R6/R81,0)</f>
        <v/>
      </c>
      <c r="S96" s="432">
        <f>IFERROR(S6/S81,0)</f>
        <v/>
      </c>
      <c r="T96" s="432">
        <f>IFERROR(T6/T81,0)</f>
        <v/>
      </c>
      <c r="U96" s="432">
        <f>IFERROR(U6/U81,0)</f>
        <v/>
      </c>
      <c r="V96" s="432">
        <f>IFERROR(V6/V81,0)</f>
        <v/>
      </c>
      <c r="W96" s="431">
        <f>IFERROR(W6/W81,0)</f>
        <v/>
      </c>
    </row>
    <row r="97">
      <c r="I97" s="1333" t="inlineStr">
        <is>
          <t>2. Workshops Non Residential</t>
        </is>
      </c>
      <c r="J97" s="431" t="n"/>
      <c r="K97" s="432">
        <f>IFERROR(K7/K82,0)</f>
        <v/>
      </c>
      <c r="L97" s="432">
        <f>IFERROR(L7/L82,0)</f>
        <v/>
      </c>
      <c r="M97" s="432">
        <f>IFERROR(M7/M82,0)</f>
        <v/>
      </c>
      <c r="N97" s="432">
        <f>IFERROR(N7/N82,0)</f>
        <v/>
      </c>
      <c r="O97" s="432">
        <f>IFERROR(O7/O82,0)</f>
        <v/>
      </c>
      <c r="P97" s="432">
        <f>IFERROR(P7/P82,0)</f>
        <v/>
      </c>
      <c r="Q97" s="432">
        <f>IFERROR(Q7/Q82,0)</f>
        <v/>
      </c>
      <c r="R97" s="432">
        <f>IFERROR(R7/R82,0)</f>
        <v/>
      </c>
      <c r="S97" s="432">
        <f>IFERROR(S7/S82,0)</f>
        <v/>
      </c>
      <c r="T97" s="432">
        <f>IFERROR(T7/T82,0)</f>
        <v/>
      </c>
      <c r="U97" s="432">
        <f>IFERROR(U7/U82,0)</f>
        <v/>
      </c>
      <c r="V97" s="432">
        <f>IFERROR(V7/V82,0)</f>
        <v/>
      </c>
      <c r="W97" s="431">
        <f>IFERROR(W7/W82,0)</f>
        <v/>
      </c>
    </row>
    <row r="98">
      <c r="I98" s="1334" t="inlineStr">
        <is>
          <t>3. Workshops Residential</t>
        </is>
      </c>
      <c r="J98" s="431" t="n"/>
      <c r="K98" s="432">
        <f>IFERROR(K8/K83,0)</f>
        <v/>
      </c>
      <c r="L98" s="432">
        <f>IFERROR(L8/L83,0)</f>
        <v/>
      </c>
      <c r="M98" s="432">
        <f>IFERROR(M8/M83,0)</f>
        <v/>
      </c>
      <c r="N98" s="432">
        <f>IFERROR(N8/N83,0)</f>
        <v/>
      </c>
      <c r="O98" s="432">
        <f>IFERROR(O8/O83,0)</f>
        <v/>
      </c>
      <c r="P98" s="432">
        <f>IFERROR(P8/P83,0)</f>
        <v/>
      </c>
      <c r="Q98" s="432">
        <f>IFERROR(Q8/Q83,0)</f>
        <v/>
      </c>
      <c r="R98" s="432">
        <f>IFERROR(R8/R83,0)</f>
        <v/>
      </c>
      <c r="S98" s="432">
        <f>IFERROR(S8/S83,0)</f>
        <v/>
      </c>
      <c r="T98" s="432">
        <f>IFERROR(T8/T83,0)</f>
        <v/>
      </c>
      <c r="U98" s="432">
        <f>IFERROR(U8/U83,0)</f>
        <v/>
      </c>
      <c r="V98" s="432">
        <f>IFERROR(V8/V83,0)</f>
        <v/>
      </c>
      <c r="W98" s="431">
        <f>IFERROR(W8/W83,0)</f>
        <v/>
      </c>
    </row>
    <row r="99">
      <c r="I99" s="1333" t="inlineStr">
        <is>
          <t>4. Pick n Mix Inc</t>
        </is>
      </c>
      <c r="J99" s="431" t="n"/>
      <c r="K99" s="432">
        <f>IFERROR(K9/K84,0)</f>
        <v/>
      </c>
      <c r="L99" s="432">
        <f>IFERROR(L9/L84,0)</f>
        <v/>
      </c>
      <c r="M99" s="432">
        <f>IFERROR(M9/M84,0)</f>
        <v/>
      </c>
      <c r="N99" s="432">
        <f>IFERROR(N9/N84,0)</f>
        <v/>
      </c>
      <c r="O99" s="432">
        <f>IFERROR(O9/O84,0)</f>
        <v/>
      </c>
      <c r="P99" s="432">
        <f>IFERROR(P9/P84,0)</f>
        <v/>
      </c>
      <c r="Q99" s="432">
        <f>IFERROR(Q9/Q84,0)</f>
        <v/>
      </c>
      <c r="R99" s="432">
        <f>IFERROR(R9/R84,0)</f>
        <v/>
      </c>
      <c r="S99" s="432">
        <f>IFERROR(S9/S84,0)</f>
        <v/>
      </c>
      <c r="T99" s="432">
        <f>IFERROR(T9/T84,0)</f>
        <v/>
      </c>
      <c r="U99" s="432">
        <f>IFERROR(U9/U84,0)</f>
        <v/>
      </c>
      <c r="V99" s="432">
        <f>IFERROR(V9/V84,0)</f>
        <v/>
      </c>
      <c r="W99" s="431">
        <f>IFERROR(W9/W84,0)</f>
        <v/>
      </c>
    </row>
    <row r="100">
      <c r="I100" s="1333" t="inlineStr">
        <is>
          <t>5. Pick n Mix Out</t>
        </is>
      </c>
      <c r="J100" s="431" t="n"/>
      <c r="K100" s="432">
        <f>IFERROR(K10/K85,0)</f>
        <v/>
      </c>
      <c r="L100" s="432">
        <f>IFERROR(L10/L85,0)</f>
        <v/>
      </c>
      <c r="M100" s="432">
        <f>IFERROR(M10/M85,0)</f>
        <v/>
      </c>
      <c r="N100" s="432">
        <f>IFERROR(N10/N85,0)</f>
        <v/>
      </c>
      <c r="O100" s="432">
        <f>IFERROR(O10/O85,0)</f>
        <v/>
      </c>
      <c r="P100" s="432">
        <f>IFERROR(P10/P85,0)</f>
        <v/>
      </c>
      <c r="Q100" s="432">
        <f>IFERROR(Q10/Q85,0)</f>
        <v/>
      </c>
      <c r="R100" s="432">
        <f>IFERROR(R10/R85,0)</f>
        <v/>
      </c>
      <c r="S100" s="432">
        <f>IFERROR(S10/S85,0)</f>
        <v/>
      </c>
      <c r="T100" s="432">
        <f>IFERROR(T10/T85,0)</f>
        <v/>
      </c>
      <c r="U100" s="432">
        <f>IFERROR(U10/U85,0)</f>
        <v/>
      </c>
      <c r="V100" s="432">
        <f>IFERROR(V10/V85,0)</f>
        <v/>
      </c>
      <c r="W100" s="431">
        <f>IFERROR(W10/W85,0)</f>
        <v/>
      </c>
    </row>
    <row r="101">
      <c r="I101" s="1333" t="inlineStr">
        <is>
          <t>6. Mentoring</t>
        </is>
      </c>
      <c r="J101" s="431" t="n"/>
      <c r="K101" s="432">
        <f>IFERROR(K11/K86,0)</f>
        <v/>
      </c>
      <c r="L101" s="432">
        <f>IFERROR(L11/L86,0)</f>
        <v/>
      </c>
      <c r="M101" s="432">
        <f>IFERROR(M11/M86,0)</f>
        <v/>
      </c>
      <c r="N101" s="432">
        <f>IFERROR(N11/N86,0)</f>
        <v/>
      </c>
      <c r="O101" s="432">
        <f>IFERROR(O11/O86,0)</f>
        <v/>
      </c>
      <c r="P101" s="432">
        <f>IFERROR(P11/P86,0)</f>
        <v/>
      </c>
      <c r="Q101" s="432">
        <f>IFERROR(Q11/Q86,0)</f>
        <v/>
      </c>
      <c r="R101" s="432">
        <f>IFERROR(R11/R86,0)</f>
        <v/>
      </c>
      <c r="S101" s="432">
        <f>IFERROR(S11/S86,0)</f>
        <v/>
      </c>
      <c r="T101" s="432">
        <f>IFERROR(T11/T86,0)</f>
        <v/>
      </c>
      <c r="U101" s="432">
        <f>IFERROR(U11/U86,0)</f>
        <v/>
      </c>
      <c r="V101" s="432">
        <f>IFERROR(V11/V86,0)</f>
        <v/>
      </c>
      <c r="W101" s="431">
        <f>IFERROR(W11/W86,0)</f>
        <v/>
      </c>
    </row>
    <row r="102">
      <c r="I102" s="1334" t="inlineStr">
        <is>
          <t>7. 1-2-1</t>
        </is>
      </c>
      <c r="J102" s="431" t="n"/>
      <c r="K102" s="432">
        <f>IFERROR(K12/K87,0)</f>
        <v/>
      </c>
      <c r="L102" s="432">
        <f>IFERROR(L12/L87,0)</f>
        <v/>
      </c>
      <c r="M102" s="432">
        <f>IFERROR(M12/M87,0)</f>
        <v/>
      </c>
      <c r="N102" s="432">
        <f>IFERROR(N12/N87,0)</f>
        <v/>
      </c>
      <c r="O102" s="432">
        <f>IFERROR(O12/O87,0)</f>
        <v/>
      </c>
      <c r="P102" s="432">
        <f>IFERROR(P12/P87,0)</f>
        <v/>
      </c>
      <c r="Q102" s="432">
        <f>IFERROR(Q12/Q87,0)</f>
        <v/>
      </c>
      <c r="R102" s="432">
        <f>IFERROR(R12/R87,0)</f>
        <v/>
      </c>
      <c r="S102" s="432">
        <f>IFERROR(S12/S87,0)</f>
        <v/>
      </c>
      <c r="T102" s="432">
        <f>IFERROR(T12/T87,0)</f>
        <v/>
      </c>
      <c r="U102" s="432">
        <f>IFERROR(U12/U87,0)</f>
        <v/>
      </c>
      <c r="V102" s="432">
        <f>IFERROR(V12/V87,0)</f>
        <v/>
      </c>
      <c r="W102" s="431">
        <f>IFERROR(W12/W87,0)</f>
        <v/>
      </c>
    </row>
    <row r="103">
      <c r="I103" s="1334" t="inlineStr">
        <is>
          <t>8. Gift Vouchers Inc</t>
        </is>
      </c>
      <c r="J103" s="431" t="n"/>
      <c r="K103" s="432">
        <f>IFERROR(K13/K88,0)</f>
        <v/>
      </c>
      <c r="L103" s="432">
        <f>IFERROR(L13/L88,0)</f>
        <v/>
      </c>
      <c r="M103" s="432">
        <f>IFERROR(M13/M88,0)</f>
        <v/>
      </c>
      <c r="N103" s="432">
        <f>IFERROR(N13/N88,0)</f>
        <v/>
      </c>
      <c r="O103" s="432">
        <f>IFERROR(O13/O88,0)</f>
        <v/>
      </c>
      <c r="P103" s="432">
        <f>IFERROR(P13/P88,0)</f>
        <v/>
      </c>
      <c r="Q103" s="432">
        <f>IFERROR(Q13/Q88,0)</f>
        <v/>
      </c>
      <c r="R103" s="432">
        <f>IFERROR(R13/R88,0)</f>
        <v/>
      </c>
      <c r="S103" s="432">
        <f>IFERROR(S13/S88,0)</f>
        <v/>
      </c>
      <c r="T103" s="432">
        <f>IFERROR(T13/T88,0)</f>
        <v/>
      </c>
      <c r="U103" s="432">
        <f>IFERROR(U13/U88,0)</f>
        <v/>
      </c>
      <c r="V103" s="432">
        <f>IFERROR(V13/V88,0)</f>
        <v/>
      </c>
      <c r="W103" s="431">
        <f>IFERROR(W13/W88,0)</f>
        <v/>
      </c>
    </row>
    <row r="104">
      <c r="I104" s="1334" t="inlineStr">
        <is>
          <t>9. Gift Vouchers Out</t>
        </is>
      </c>
      <c r="J104" s="431" t="n"/>
      <c r="K104" s="432">
        <f>IFERROR(K14/K89,0)</f>
        <v/>
      </c>
      <c r="L104" s="432">
        <f>IFERROR(L14/L89,0)</f>
        <v/>
      </c>
      <c r="M104" s="432">
        <f>IFERROR(M14/M89,0)</f>
        <v/>
      </c>
      <c r="N104" s="432">
        <f>IFERROR(N14/N89,0)</f>
        <v/>
      </c>
      <c r="O104" s="432">
        <f>IFERROR(O14/O89,0)</f>
        <v/>
      </c>
      <c r="P104" s="432">
        <f>IFERROR(P14/P89,0)</f>
        <v/>
      </c>
      <c r="Q104" s="432">
        <f>IFERROR(Q14/Q89,0)</f>
        <v/>
      </c>
      <c r="R104" s="432">
        <f>IFERROR(R14/R89,0)</f>
        <v/>
      </c>
      <c r="S104" s="432">
        <f>IFERROR(S14/S89,0)</f>
        <v/>
      </c>
      <c r="T104" s="432">
        <f>IFERROR(T14/T89,0)</f>
        <v/>
      </c>
      <c r="U104" s="432">
        <f>IFERROR(U14/U89,0)</f>
        <v/>
      </c>
      <c r="V104" s="432">
        <f>IFERROR(V14/V89,0)</f>
        <v/>
      </c>
      <c r="W104" s="431">
        <f>IFERROR(W14/W89,0)</f>
        <v/>
      </c>
    </row>
    <row r="105">
      <c r="I105" s="1334" t="inlineStr">
        <is>
          <t>10. Prints &amp; Royalties</t>
        </is>
      </c>
      <c r="J105" s="431" t="n"/>
      <c r="K105" s="432">
        <f>IFERROR(K15/K90,0)</f>
        <v/>
      </c>
      <c r="L105" s="432">
        <f>IFERROR(L15/L90,0)</f>
        <v/>
      </c>
      <c r="M105" s="432">
        <f>IFERROR(M15/M90,0)</f>
        <v/>
      </c>
      <c r="N105" s="432">
        <f>IFERROR(N15/N90,0)</f>
        <v/>
      </c>
      <c r="O105" s="432">
        <f>IFERROR(O15/O90,0)</f>
        <v/>
      </c>
      <c r="P105" s="432">
        <f>IFERROR(P15/P90,0)</f>
        <v/>
      </c>
      <c r="Q105" s="432">
        <f>IFERROR(Q15/Q90,0)</f>
        <v/>
      </c>
      <c r="R105" s="432">
        <f>IFERROR(R15/R90,0)</f>
        <v/>
      </c>
      <c r="S105" s="432">
        <f>IFERROR(S15/S90,0)</f>
        <v/>
      </c>
      <c r="T105" s="432">
        <f>IFERROR(T15/T90,0)</f>
        <v/>
      </c>
      <c r="U105" s="432">
        <f>IFERROR(U15/U90,0)</f>
        <v/>
      </c>
      <c r="V105" s="432">
        <f>IFERROR(V15/V90,0)</f>
        <v/>
      </c>
      <c r="W105" s="431">
        <f>IFERROR(W15/W90,0)</f>
        <v/>
      </c>
    </row>
    <row r="106">
      <c r="I106" s="1334" t="inlineStr">
        <is>
          <t>11 Commissions</t>
        </is>
      </c>
      <c r="J106" s="431" t="n"/>
      <c r="K106" s="432">
        <f>IFERROR(K16/K91,0)</f>
        <v/>
      </c>
      <c r="L106" s="432">
        <f>IFERROR(L16/L91,0)</f>
        <v/>
      </c>
      <c r="M106" s="432">
        <f>IFERROR(M16/M91,0)</f>
        <v/>
      </c>
      <c r="N106" s="432">
        <f>IFERROR(N16/N91,0)</f>
        <v/>
      </c>
      <c r="O106" s="432">
        <f>IFERROR(O16/O91,0)</f>
        <v/>
      </c>
      <c r="P106" s="432">
        <f>IFERROR(P16/P91,0)</f>
        <v/>
      </c>
      <c r="Q106" s="432">
        <f>IFERROR(Q16/Q91,0)</f>
        <v/>
      </c>
      <c r="R106" s="432">
        <f>IFERROR(R16/R91,0)</f>
        <v/>
      </c>
      <c r="S106" s="432">
        <f>IFERROR(S16/S91,0)</f>
        <v/>
      </c>
      <c r="T106" s="432">
        <f>IFERROR(T16/T91,0)</f>
        <v/>
      </c>
      <c r="U106" s="432">
        <f>IFERROR(U16/U91,0)</f>
        <v/>
      </c>
      <c r="V106" s="432">
        <f>IFERROR(V16/V91,0)</f>
        <v/>
      </c>
      <c r="W106" s="431">
        <f>IFERROR(W16/W91,0)</f>
        <v/>
      </c>
    </row>
    <row r="107">
      <c r="I107" s="1334" t="inlineStr">
        <is>
          <t>12. Other</t>
        </is>
      </c>
      <c r="J107" s="431" t="n"/>
      <c r="K107" s="432">
        <f>IFERROR(K17/K92,0)</f>
        <v/>
      </c>
      <c r="L107" s="432">
        <f>IFERROR(L17/L92,0)</f>
        <v/>
      </c>
      <c r="M107" s="432">
        <f>IFERROR(M17/M92,0)</f>
        <v/>
      </c>
      <c r="N107" s="432">
        <f>IFERROR(N17/N92,0)</f>
        <v/>
      </c>
      <c r="O107" s="432">
        <f>IFERROR(O17/O92,0)</f>
        <v/>
      </c>
      <c r="P107" s="432">
        <f>IFERROR(P17/P92,0)</f>
        <v/>
      </c>
      <c r="Q107" s="432">
        <f>IFERROR(Q17/Q92,0)</f>
        <v/>
      </c>
      <c r="R107" s="432">
        <f>IFERROR(R17/R92,0)</f>
        <v/>
      </c>
      <c r="S107" s="432">
        <f>IFERROR(S17/S92,0)</f>
        <v/>
      </c>
      <c r="T107" s="432">
        <f>IFERROR(T17/T92,0)</f>
        <v/>
      </c>
      <c r="U107" s="432">
        <f>IFERROR(U17/U92,0)</f>
        <v/>
      </c>
      <c r="V107" s="432">
        <f>IFERROR(V17/V92,0)</f>
        <v/>
      </c>
      <c r="W107" s="431">
        <f>IFERROR(W17/W92,0)</f>
        <v/>
      </c>
    </row>
    <row r="108" ht="13.5" customHeight="1" s="1232" thickBot="1">
      <c r="I108" s="1339" t="inlineStr">
        <is>
          <t>Totals</t>
        </is>
      </c>
      <c r="J108" s="829" t="n"/>
      <c r="K108" s="916">
        <f>IFERROR(K18/K93,0)</f>
        <v/>
      </c>
      <c r="L108" s="916">
        <f>IFERROR(L18/L93,0)</f>
        <v/>
      </c>
      <c r="M108" s="916">
        <f>IFERROR(M18/M93,0)</f>
        <v/>
      </c>
      <c r="N108" s="916">
        <f>IFERROR(N18/N93,0)</f>
        <v/>
      </c>
      <c r="O108" s="916">
        <f>IFERROR(O18/O93,0)</f>
        <v/>
      </c>
      <c r="P108" s="916">
        <f>IFERROR(P18/P93,0)</f>
        <v/>
      </c>
      <c r="Q108" s="916">
        <f>IFERROR(Q18/Q93,0)</f>
        <v/>
      </c>
      <c r="R108" s="916">
        <f>IFERROR(R18/R93,0)</f>
        <v/>
      </c>
      <c r="S108" s="916">
        <f>IFERROR(S18/S93,0)</f>
        <v/>
      </c>
      <c r="T108" s="916">
        <f>IFERROR(T18/T93,0)</f>
        <v/>
      </c>
      <c r="U108" s="916">
        <f>IFERROR(U18/U93,0)</f>
        <v/>
      </c>
      <c r="V108" s="916">
        <f>IFERROR(V18/V93,0)</f>
        <v/>
      </c>
      <c r="W108" s="829">
        <f>IFERROR(W18/W93,0)</f>
        <v/>
      </c>
      <c r="Y108" s="558" t="n"/>
      <c r="Z108" s="434" t="n"/>
    </row>
    <row r="109" ht="13.15" customHeight="1" s="1232" thickTop="1">
      <c r="Y109" s="558">
        <f>J124*12</f>
        <v/>
      </c>
      <c r="Z109" s="434">
        <f>W124-Y109</f>
        <v/>
      </c>
    </row>
    <row r="110"/>
    <row r="111" ht="13.15" customHeight="1" s="1232">
      <c r="I111" s="1336" t="inlineStr">
        <is>
          <t>Tuition Categories</t>
        </is>
      </c>
      <c r="J111" s="1330" t="inlineStr">
        <is>
          <t>GP Amount</t>
        </is>
      </c>
      <c r="K111" s="1332" t="inlineStr">
        <is>
          <t>Jan</t>
        </is>
      </c>
      <c r="L111" s="1332" t="inlineStr">
        <is>
          <t>Feb</t>
        </is>
      </c>
      <c r="M111" s="1332" t="inlineStr">
        <is>
          <t>Mar</t>
        </is>
      </c>
      <c r="N111" s="1332" t="inlineStr">
        <is>
          <t>Apr</t>
        </is>
      </c>
      <c r="O111" s="1332" t="inlineStr">
        <is>
          <t>May</t>
        </is>
      </c>
      <c r="P111" s="1332" t="inlineStr">
        <is>
          <t>Jun</t>
        </is>
      </c>
      <c r="Q111" s="1332" t="inlineStr">
        <is>
          <t>Jul</t>
        </is>
      </c>
      <c r="R111" s="1332" t="inlineStr">
        <is>
          <t>Aug</t>
        </is>
      </c>
      <c r="S111" s="1332" t="inlineStr">
        <is>
          <t>Sep</t>
        </is>
      </c>
      <c r="T111" s="1332" t="inlineStr">
        <is>
          <t>Oct</t>
        </is>
      </c>
      <c r="U111" s="1332" t="inlineStr">
        <is>
          <t>Nov</t>
        </is>
      </c>
      <c r="V111" s="1332" t="inlineStr">
        <is>
          <t>Dec</t>
        </is>
      </c>
      <c r="W111" s="1332" t="inlineStr">
        <is>
          <t>Year</t>
        </is>
      </c>
      <c r="Y111" s="1278" t="inlineStr">
        <is>
          <t>% YTD</t>
        </is>
      </c>
    </row>
    <row r="112">
      <c r="I112" s="1333" t="inlineStr">
        <is>
          <t>1. Courses/masterclasses</t>
        </is>
      </c>
      <c r="J112" s="839" t="n">
        <v>0.9</v>
      </c>
      <c r="K112" s="432">
        <f>K6*$J112</f>
        <v/>
      </c>
      <c r="L112" s="432">
        <f>L6*$J112</f>
        <v/>
      </c>
      <c r="M112" s="432">
        <f>M6*$J112</f>
        <v/>
      </c>
      <c r="N112" s="432">
        <f>N6*$J112</f>
        <v/>
      </c>
      <c r="O112" s="432">
        <f>O6*$J112</f>
        <v/>
      </c>
      <c r="P112" s="432">
        <f>P6*$J112</f>
        <v/>
      </c>
      <c r="Q112" s="432">
        <f>Q6*$J112</f>
        <v/>
      </c>
      <c r="R112" s="432">
        <f>R6*$J112</f>
        <v/>
      </c>
      <c r="S112" s="432">
        <f>S6*$J112</f>
        <v/>
      </c>
      <c r="T112" s="432">
        <f>T6*$J112</f>
        <v/>
      </c>
      <c r="U112" s="432">
        <f>U6*$J112</f>
        <v/>
      </c>
      <c r="V112" s="432">
        <f>V6*$J112</f>
        <v/>
      </c>
      <c r="W112" s="431">
        <f>SUM(K112:V112)</f>
        <v/>
      </c>
      <c r="Y112" s="460">
        <f>W127/W136</f>
        <v/>
      </c>
    </row>
    <row r="113">
      <c r="I113" s="1333" t="inlineStr">
        <is>
          <t>2. Workshops Non Residential</t>
        </is>
      </c>
      <c r="J113" s="839" t="n">
        <v>0.8</v>
      </c>
      <c r="K113" s="432">
        <f>K7*$J113</f>
        <v/>
      </c>
      <c r="L113" s="432">
        <f>L7*$J113</f>
        <v/>
      </c>
      <c r="M113" s="432">
        <f>M7*$J113</f>
        <v/>
      </c>
      <c r="N113" s="432">
        <f>N7*$J113</f>
        <v/>
      </c>
      <c r="O113" s="432">
        <f>O7*$J113</f>
        <v/>
      </c>
      <c r="P113" s="432">
        <f>P7*$J113</f>
        <v/>
      </c>
      <c r="Q113" s="432">
        <f>Q7*$J113</f>
        <v/>
      </c>
      <c r="R113" s="432">
        <f>R7*$J113</f>
        <v/>
      </c>
      <c r="S113" s="432">
        <f>S7*$J113</f>
        <v/>
      </c>
      <c r="T113" s="432">
        <f>T7*$J113</f>
        <v/>
      </c>
      <c r="U113" s="432">
        <f>U7*$J113</f>
        <v/>
      </c>
      <c r="V113" s="432">
        <f>V7*$J113</f>
        <v/>
      </c>
      <c r="W113" s="431">
        <f>SUM(K113:V113)</f>
        <v/>
      </c>
      <c r="Y113" s="460">
        <f>W128/W136</f>
        <v/>
      </c>
    </row>
    <row r="114">
      <c r="I114" s="1334" t="inlineStr">
        <is>
          <t>3. Workshops Residential</t>
        </is>
      </c>
      <c r="J114" s="839" t="n">
        <v>0.5</v>
      </c>
      <c r="K114" s="432">
        <f>K8*$J114</f>
        <v/>
      </c>
      <c r="L114" s="432">
        <f>L8*$J114</f>
        <v/>
      </c>
      <c r="M114" s="432">
        <f>M8*$J114</f>
        <v/>
      </c>
      <c r="N114" s="432">
        <f>N8*$J114</f>
        <v/>
      </c>
      <c r="O114" s="432">
        <f>O8*$J114</f>
        <v/>
      </c>
      <c r="P114" s="432">
        <f>P8*$J114</f>
        <v/>
      </c>
      <c r="Q114" s="432">
        <f>Q8*$J114</f>
        <v/>
      </c>
      <c r="R114" s="432">
        <f>R8*$J114</f>
        <v/>
      </c>
      <c r="S114" s="432">
        <f>S8*$J114</f>
        <v/>
      </c>
      <c r="T114" s="432">
        <f>T8*$J114</f>
        <v/>
      </c>
      <c r="U114" s="432">
        <f>U8*$J114</f>
        <v/>
      </c>
      <c r="V114" s="432">
        <f>V8*$J114</f>
        <v/>
      </c>
      <c r="W114" s="431">
        <f>SUM(K114:V114)</f>
        <v/>
      </c>
      <c r="Y114" s="460">
        <f>W129/W136</f>
        <v/>
      </c>
    </row>
    <row r="115">
      <c r="I115" s="1333" t="inlineStr">
        <is>
          <t>4. Pick n Mix Inc</t>
        </is>
      </c>
      <c r="J115" s="839" t="n">
        <v>0.5</v>
      </c>
      <c r="K115" s="432">
        <f>K9*$J115</f>
        <v/>
      </c>
      <c r="L115" s="432">
        <f>L9*$J115</f>
        <v/>
      </c>
      <c r="M115" s="432">
        <f>M9*$J115</f>
        <v/>
      </c>
      <c r="N115" s="432">
        <f>N9*$J115</f>
        <v/>
      </c>
      <c r="O115" s="432">
        <f>O9*$J115</f>
        <v/>
      </c>
      <c r="P115" s="432">
        <f>P9*$J115</f>
        <v/>
      </c>
      <c r="Q115" s="432">
        <f>Q9*$J115</f>
        <v/>
      </c>
      <c r="R115" s="432">
        <f>R9*$J115</f>
        <v/>
      </c>
      <c r="S115" s="432">
        <f>S9*$J115</f>
        <v/>
      </c>
      <c r="T115" s="432">
        <f>T9*$J115</f>
        <v/>
      </c>
      <c r="U115" s="432">
        <f>U9*$J115</f>
        <v/>
      </c>
      <c r="V115" s="432">
        <f>V9*$J115</f>
        <v/>
      </c>
      <c r="W115" s="431">
        <f>SUM(K115:V115)</f>
        <v/>
      </c>
      <c r="Y115" s="460">
        <f>W130/W136</f>
        <v/>
      </c>
    </row>
    <row r="116">
      <c r="I116" s="1333" t="inlineStr">
        <is>
          <t>5. Pick n Mix Out</t>
        </is>
      </c>
      <c r="J116" s="839" t="n">
        <v>0.45</v>
      </c>
      <c r="K116" s="432">
        <f>K10*$J116</f>
        <v/>
      </c>
      <c r="L116" s="432">
        <f>L10*$J116</f>
        <v/>
      </c>
      <c r="M116" s="432">
        <f>M10*$J116</f>
        <v/>
      </c>
      <c r="N116" s="432">
        <f>N10*$J116</f>
        <v/>
      </c>
      <c r="O116" s="432">
        <f>O10*$J116</f>
        <v/>
      </c>
      <c r="P116" s="432">
        <f>P10*$J116</f>
        <v/>
      </c>
      <c r="Q116" s="432">
        <f>Q10*$J116</f>
        <v/>
      </c>
      <c r="R116" s="432">
        <f>R10*$J116</f>
        <v/>
      </c>
      <c r="S116" s="432">
        <f>S10*$J116</f>
        <v/>
      </c>
      <c r="T116" s="432">
        <f>T10*$J116</f>
        <v/>
      </c>
      <c r="U116" s="432">
        <f>U10*$J116</f>
        <v/>
      </c>
      <c r="V116" s="432">
        <f>V10*$J116</f>
        <v/>
      </c>
      <c r="W116" s="431">
        <f>SUM(K116:V116)</f>
        <v/>
      </c>
      <c r="Y116" s="460">
        <f>W131/W136</f>
        <v/>
      </c>
    </row>
    <row r="117">
      <c r="I117" s="1333" t="inlineStr">
        <is>
          <t>6. Mentoring</t>
        </is>
      </c>
      <c r="J117" s="839" t="n">
        <v>0.95</v>
      </c>
      <c r="K117" s="432">
        <f>K11*$J117</f>
        <v/>
      </c>
      <c r="L117" s="432">
        <f>L11*$J117</f>
        <v/>
      </c>
      <c r="M117" s="432">
        <f>M11*$J117</f>
        <v/>
      </c>
      <c r="N117" s="432">
        <f>N11*$J117</f>
        <v/>
      </c>
      <c r="O117" s="432">
        <f>O11*$J117</f>
        <v/>
      </c>
      <c r="P117" s="432">
        <f>P11*$J117</f>
        <v/>
      </c>
      <c r="Q117" s="432">
        <f>Q11*$J117</f>
        <v/>
      </c>
      <c r="R117" s="432">
        <f>R11*$J117</f>
        <v/>
      </c>
      <c r="S117" s="432">
        <f>S11*$J117</f>
        <v/>
      </c>
      <c r="T117" s="432">
        <f>T11*$J117</f>
        <v/>
      </c>
      <c r="U117" s="432">
        <f>U11*$J117</f>
        <v/>
      </c>
      <c r="V117" s="432">
        <f>V11*$J117</f>
        <v/>
      </c>
      <c r="W117" s="431">
        <f>SUM(K117:V117)</f>
        <v/>
      </c>
      <c r="Y117" s="460">
        <f>W132/W136</f>
        <v/>
      </c>
    </row>
    <row r="118">
      <c r="I118" s="1334" t="inlineStr">
        <is>
          <t>7. 1-2-1</t>
        </is>
      </c>
      <c r="J118" s="839" t="n">
        <v>0.95</v>
      </c>
      <c r="K118" s="432">
        <f>K12*$J118</f>
        <v/>
      </c>
      <c r="L118" s="432">
        <f>L12*$J118</f>
        <v/>
      </c>
      <c r="M118" s="432">
        <f>M12*$J118</f>
        <v/>
      </c>
      <c r="N118" s="432">
        <f>N12*$J118</f>
        <v/>
      </c>
      <c r="O118" s="432">
        <f>O12*$J118</f>
        <v/>
      </c>
      <c r="P118" s="432">
        <f>P12*$J118</f>
        <v/>
      </c>
      <c r="Q118" s="432">
        <f>Q12*$J118</f>
        <v/>
      </c>
      <c r="R118" s="432">
        <f>R12*$J118</f>
        <v/>
      </c>
      <c r="S118" s="432">
        <f>S12*$J118</f>
        <v/>
      </c>
      <c r="T118" s="432">
        <f>T12*$J118</f>
        <v/>
      </c>
      <c r="U118" s="432">
        <f>U12*$J118</f>
        <v/>
      </c>
      <c r="V118" s="432">
        <f>V12*$J118</f>
        <v/>
      </c>
      <c r="W118" s="431">
        <f>SUM(K118:V118)</f>
        <v/>
      </c>
      <c r="Y118" s="460" t="n"/>
    </row>
    <row r="119">
      <c r="I119" s="1334" t="inlineStr">
        <is>
          <t>8. Gift Vouchers Inc</t>
        </is>
      </c>
      <c r="J119" s="839" t="n">
        <v>0.6</v>
      </c>
      <c r="K119" s="432">
        <f>K13*$J119</f>
        <v/>
      </c>
      <c r="L119" s="432">
        <f>L13*$J119</f>
        <v/>
      </c>
      <c r="M119" s="432">
        <f>M13*$J119</f>
        <v/>
      </c>
      <c r="N119" s="432">
        <f>N13*$J119</f>
        <v/>
      </c>
      <c r="O119" s="432">
        <f>O13*$J119</f>
        <v/>
      </c>
      <c r="P119" s="432">
        <f>P13*$J119</f>
        <v/>
      </c>
      <c r="Q119" s="432">
        <f>Q13*$J119</f>
        <v/>
      </c>
      <c r="R119" s="432">
        <f>R13*$J119</f>
        <v/>
      </c>
      <c r="S119" s="432">
        <f>S13*$J119</f>
        <v/>
      </c>
      <c r="T119" s="432">
        <f>T13*$J119</f>
        <v/>
      </c>
      <c r="U119" s="432">
        <f>U13*$J119</f>
        <v/>
      </c>
      <c r="V119" s="432">
        <f>V13*$J119</f>
        <v/>
      </c>
      <c r="W119" s="431">
        <f>SUM(K119:V119)</f>
        <v/>
      </c>
      <c r="Y119" s="460">
        <f>W134/W136</f>
        <v/>
      </c>
    </row>
    <row r="120">
      <c r="I120" s="1334" t="inlineStr">
        <is>
          <t>9. Gift Vouchers Out</t>
        </is>
      </c>
      <c r="J120" s="839" t="n">
        <v>0.5</v>
      </c>
      <c r="K120" s="432">
        <f>K14*$J120</f>
        <v/>
      </c>
      <c r="L120" s="432">
        <f>L14*$J120</f>
        <v/>
      </c>
      <c r="M120" s="432">
        <f>M14*$J120</f>
        <v/>
      </c>
      <c r="N120" s="432">
        <f>N14*$J120</f>
        <v/>
      </c>
      <c r="O120" s="432">
        <f>O14*$J120</f>
        <v/>
      </c>
      <c r="P120" s="432">
        <f>P14*$J120</f>
        <v/>
      </c>
      <c r="Q120" s="432">
        <f>Q14*$J120</f>
        <v/>
      </c>
      <c r="R120" s="432">
        <f>R14*$J120</f>
        <v/>
      </c>
      <c r="S120" s="432">
        <f>S14*$J120</f>
        <v/>
      </c>
      <c r="T120" s="432">
        <f>T14*$J120</f>
        <v/>
      </c>
      <c r="U120" s="432">
        <f>U14*$J120</f>
        <v/>
      </c>
      <c r="V120" s="432">
        <f>V14*$J120</f>
        <v/>
      </c>
      <c r="W120" s="431">
        <f>SUM(K120:V120)</f>
        <v/>
      </c>
      <c r="Y120" s="460">
        <f>W135/W136</f>
        <v/>
      </c>
    </row>
    <row r="121" ht="13.15" customHeight="1" s="1232">
      <c r="I121" s="1334" t="inlineStr">
        <is>
          <t>10. Prints &amp; Royalties</t>
        </is>
      </c>
      <c r="J121" s="839" t="n">
        <v>0.99</v>
      </c>
      <c r="K121" s="432">
        <f>K15*$J121</f>
        <v/>
      </c>
      <c r="L121" s="432">
        <f>L15*$J121</f>
        <v/>
      </c>
      <c r="M121" s="432">
        <f>M15*$J121</f>
        <v/>
      </c>
      <c r="N121" s="432">
        <f>N15*$J121</f>
        <v/>
      </c>
      <c r="O121" s="432">
        <f>O15*$J121</f>
        <v/>
      </c>
      <c r="P121" s="432">
        <f>P15*$J121</f>
        <v/>
      </c>
      <c r="Q121" s="432">
        <f>Q15*$J121</f>
        <v/>
      </c>
      <c r="R121" s="432">
        <f>R15*$J121</f>
        <v/>
      </c>
      <c r="S121" s="432">
        <f>S15*$J121</f>
        <v/>
      </c>
      <c r="T121" s="432">
        <f>T15*$J121</f>
        <v/>
      </c>
      <c r="U121" s="432">
        <f>U15*$J121</f>
        <v/>
      </c>
      <c r="V121" s="432">
        <f>V15*$J121</f>
        <v/>
      </c>
      <c r="W121" s="431">
        <f>SUM(K121:V121)</f>
        <v/>
      </c>
      <c r="Y121" s="466" t="n"/>
    </row>
    <row r="122">
      <c r="I122" s="1334" t="inlineStr">
        <is>
          <t>11 Commissions</t>
        </is>
      </c>
      <c r="J122" s="839" t="n">
        <v>0.9</v>
      </c>
      <c r="K122" s="432">
        <f>K16*$J122</f>
        <v/>
      </c>
      <c r="L122" s="432">
        <f>L16*$J122</f>
        <v/>
      </c>
      <c r="M122" s="432">
        <f>M16*$J122</f>
        <v/>
      </c>
      <c r="N122" s="432">
        <f>N16*$J122</f>
        <v/>
      </c>
      <c r="O122" s="432">
        <f>O16*$J122</f>
        <v/>
      </c>
      <c r="P122" s="432">
        <f>P16*$J122</f>
        <v/>
      </c>
      <c r="Q122" s="432">
        <f>Q16*$J122</f>
        <v/>
      </c>
      <c r="R122" s="432">
        <f>R16*$J122</f>
        <v/>
      </c>
      <c r="S122" s="432">
        <f>S16*$J122</f>
        <v/>
      </c>
      <c r="T122" s="432">
        <f>T16*$J122</f>
        <v/>
      </c>
      <c r="U122" s="432">
        <f>U16*$J122</f>
        <v/>
      </c>
      <c r="V122" s="432">
        <f>V16*$J122</f>
        <v/>
      </c>
      <c r="W122" s="431">
        <f>SUM(K122:V122)</f>
        <v/>
      </c>
    </row>
    <row r="123">
      <c r="I123" s="1334" t="inlineStr">
        <is>
          <t>12. Other</t>
        </is>
      </c>
      <c r="J123" s="839" t="n">
        <v>0.8</v>
      </c>
      <c r="K123" s="432">
        <f>K17*$J123</f>
        <v/>
      </c>
      <c r="L123" s="432">
        <f>L17*$J123</f>
        <v/>
      </c>
      <c r="M123" s="432">
        <f>M17*$J123</f>
        <v/>
      </c>
      <c r="N123" s="432">
        <f>N17*$J123</f>
        <v/>
      </c>
      <c r="O123" s="432">
        <f>O17*$J123</f>
        <v/>
      </c>
      <c r="P123" s="432">
        <f>P17*$J123</f>
        <v/>
      </c>
      <c r="Q123" s="432">
        <f>Q17*$J123</f>
        <v/>
      </c>
      <c r="R123" s="432">
        <f>R17*$J123</f>
        <v/>
      </c>
      <c r="S123" s="432">
        <f>S17*$J123</f>
        <v/>
      </c>
      <c r="T123" s="432">
        <f>T17*$J123</f>
        <v/>
      </c>
      <c r="U123" s="432">
        <f>U17*$J123</f>
        <v/>
      </c>
      <c r="V123" s="432">
        <f>V17*$J123</f>
        <v/>
      </c>
      <c r="W123" s="431">
        <f>SUM(K123:V123)</f>
        <v/>
      </c>
      <c r="X123" s="445" t="n"/>
    </row>
    <row r="124" ht="13.5" customHeight="1" s="1232" thickBot="1">
      <c r="I124" s="1340" t="inlineStr">
        <is>
          <t>Totals</t>
        </is>
      </c>
      <c r="J124" s="942">
        <f>W124/W18</f>
        <v/>
      </c>
      <c r="K124" s="917">
        <f>SUM(K112:K123)</f>
        <v/>
      </c>
      <c r="L124" s="917">
        <f>SUM(L112:L123)</f>
        <v/>
      </c>
      <c r="M124" s="917">
        <f>SUM(M112:M123)</f>
        <v/>
      </c>
      <c r="N124" s="917">
        <f>SUM(N112:N123)</f>
        <v/>
      </c>
      <c r="O124" s="917">
        <f>SUM(O112:O123)</f>
        <v/>
      </c>
      <c r="P124" s="917">
        <f>SUM(P112:P123)</f>
        <v/>
      </c>
      <c r="Q124" s="917">
        <f>SUM(Q112:Q123)</f>
        <v/>
      </c>
      <c r="R124" s="917">
        <f>SUM(R112:R123)</f>
        <v/>
      </c>
      <c r="S124" s="917">
        <f>SUM(S112:S123)</f>
        <v/>
      </c>
      <c r="T124" s="917">
        <f>SUM(T112:T123)</f>
        <v/>
      </c>
      <c r="U124" s="917">
        <f>SUM(U112:U123)</f>
        <v/>
      </c>
      <c r="V124" s="917">
        <f>SUM(V112:V123)</f>
        <v/>
      </c>
      <c r="W124" s="431">
        <f>SUM(K124:V124)</f>
        <v/>
      </c>
      <c r="X124" s="445">
        <f>IFERROR(W124/W18,0)</f>
        <v/>
      </c>
      <c r="Y124" s="466" t="n"/>
    </row>
    <row r="125" ht="13.15" customHeight="1" s="1232">
      <c r="K125" s="445">
        <f>K124/K18</f>
        <v/>
      </c>
      <c r="L125" s="445">
        <f>L124/L18</f>
        <v/>
      </c>
      <c r="M125" s="445">
        <f>M124/M18</f>
        <v/>
      </c>
      <c r="N125" s="445">
        <f>N124/N18</f>
        <v/>
      </c>
      <c r="O125" s="445">
        <f>O124/O18</f>
        <v/>
      </c>
      <c r="P125" s="445">
        <f>P124/P18</f>
        <v/>
      </c>
      <c r="Q125" s="445">
        <f>Q124/Q18</f>
        <v/>
      </c>
      <c r="R125" s="445">
        <f>R124/R18</f>
        <v/>
      </c>
      <c r="S125" s="445">
        <f>S124/S18</f>
        <v/>
      </c>
      <c r="T125" s="445">
        <f>T124/T18</f>
        <v/>
      </c>
      <c r="U125" s="445">
        <f>U124/U18</f>
        <v/>
      </c>
      <c r="V125" s="445">
        <f>V124/V18</f>
        <v/>
      </c>
      <c r="W125" s="445">
        <f>W124/W18</f>
        <v/>
      </c>
      <c r="Y125" s="466" t="n"/>
    </row>
    <row r="126" ht="13.15" customHeight="1" s="1232">
      <c r="I126" s="1341" t="inlineStr">
        <is>
          <t>Banking Source</t>
        </is>
      </c>
      <c r="K126" s="1332" t="inlineStr">
        <is>
          <t>Jan</t>
        </is>
      </c>
      <c r="L126" s="1332" t="inlineStr">
        <is>
          <t>Feb</t>
        </is>
      </c>
      <c r="M126" s="1332" t="inlineStr">
        <is>
          <t>Mar</t>
        </is>
      </c>
      <c r="N126" s="1332" t="inlineStr">
        <is>
          <t>Apr</t>
        </is>
      </c>
      <c r="O126" s="1332" t="inlineStr">
        <is>
          <t>May</t>
        </is>
      </c>
      <c r="P126" s="1332" t="inlineStr">
        <is>
          <t>Jun</t>
        </is>
      </c>
      <c r="Q126" s="1332" t="inlineStr">
        <is>
          <t>Jul</t>
        </is>
      </c>
      <c r="R126" s="1332" t="inlineStr">
        <is>
          <t>Aug</t>
        </is>
      </c>
      <c r="S126" s="1332" t="inlineStr">
        <is>
          <t>Sep</t>
        </is>
      </c>
      <c r="T126" s="1332" t="inlineStr">
        <is>
          <t>Oct</t>
        </is>
      </c>
      <c r="U126" s="1332" t="inlineStr">
        <is>
          <t>Nov</t>
        </is>
      </c>
      <c r="V126" s="1332" t="inlineStr">
        <is>
          <t>Dec</t>
        </is>
      </c>
      <c r="W126" s="1332" t="inlineStr">
        <is>
          <t>Year</t>
        </is>
      </c>
      <c r="X126" s="1278" t="inlineStr">
        <is>
          <t>Split</t>
        </is>
      </c>
      <c r="Y126" s="466" t="n"/>
    </row>
    <row r="127" ht="13.15" customHeight="1" s="1232">
      <c r="I127" s="1255" t="inlineStr">
        <is>
          <t>Stripe</t>
        </is>
      </c>
      <c r="K127" s="432">
        <f>SUMIFS($E$205:$E$513,$A$205:$A$513,"&gt;31/12/2023",$A$205:$A$513,"&lt;1/2/2024",$D$205:$D$513,$I127)</f>
        <v/>
      </c>
      <c r="L127" s="432">
        <f>SUMIFS($E$205:$E$513,$A$205:$A$513,"&gt;31/1/2024",$A$205:$A$513,"&lt;1/3/2024",$D$205:$D$513,$I127)</f>
        <v/>
      </c>
      <c r="M127" s="432">
        <f>SUMIFS($E$205:$E$513,$A$205:$A$513,"&gt;28/2/2024",$A$205:$A$513,"&lt;1/4/2024",$D$205:$D$513,$I127)</f>
        <v/>
      </c>
      <c r="N127" s="432">
        <f>SUMIFS($E$205:$E$513,$A$205:$A$513,"&gt;31/3/2024",$A$205:$A$513,"&lt;1/5/2024",$D$205:$D$513,$I127)</f>
        <v/>
      </c>
      <c r="O127" s="432">
        <f>SUMIFS($E$205:$E$513,$A$205:$A$513,"&gt;30/4/2024",$A$205:$A$513,"&lt;1/6/2024",$D$205:$D$513,$I127)</f>
        <v/>
      </c>
      <c r="P127" s="432">
        <f>SUMIFS($E$205:$E$513,$A$205:$A$513,"&gt;31/5/2024",$A$205:$A$513,"&lt;1/7/2024",$D$205:$D$513,$I127)</f>
        <v/>
      </c>
      <c r="Q127" s="432">
        <f>SUMIFS($E$205:$E$513,$A$205:$A$513,"&gt;30/6/2024",$A$205:$A$513,"&lt;1/8/2024",$D$205:$D$513,$I127)</f>
        <v/>
      </c>
      <c r="R127" s="432">
        <f>SUMIFS($E$205:$E$513,$A$205:$A$513,"&gt;31/7/2024",$A$205:$A$513,"&lt;1/9/2024",$D$205:$D$513,$I127)</f>
        <v/>
      </c>
      <c r="S127" s="432">
        <f>SUMIFS($E$205:$E$513,$A$205:$A$513,"&gt;31/8/2024",$A$205:$A$513,"&lt;1/10/2024",$D$205:$D$513,$I127)</f>
        <v/>
      </c>
      <c r="T127" s="432">
        <f>SUMIFS($E$205:$E$513,$A$205:$A$513,"&gt;30/9/2024",$A$205:$A$513,"&lt;1/11/2024",$D$205:$D$513,$I127)</f>
        <v/>
      </c>
      <c r="U127" s="432">
        <f>SUMIFS($E$205:$E$513,$A$205:$A$513,"&gt;31/10/2024",$A$205:$A$513,"&lt;1/12/2024",$D$205:$D$513,$I127)</f>
        <v/>
      </c>
      <c r="V127" s="432">
        <f>SUMIFS($E$205:$E$513,$A$205:$A$513,"&gt;30/11/2024",$A$205:$A$513,"&lt;1/1/2025",$D$205:$D$513,$I127)</f>
        <v/>
      </c>
      <c r="W127" s="432">
        <f>SUM(K127:V127)</f>
        <v/>
      </c>
      <c r="X127" s="460">
        <f>L127/$L$136</f>
        <v/>
      </c>
      <c r="Y127" s="466" t="n"/>
    </row>
    <row r="128" ht="13.15" customHeight="1" s="1232">
      <c r="I128" s="1255" t="inlineStr">
        <is>
          <t>PayPal</t>
        </is>
      </c>
      <c r="K128" s="432">
        <f>SUMIFS($E$205:$E$513,$A$205:$A$513,"&gt;31/12/2023",$A$205:$A$513,"&lt;1/2/2024",$D$205:$D$513,$I128)</f>
        <v/>
      </c>
      <c r="L128" s="432">
        <f>SUMIFS($E$205:$E$513,$A$205:$A$513,"&gt;31/1/2024",$A$205:$A$513,"&lt;1/3/2024",$D$205:$D$513,$I128)</f>
        <v/>
      </c>
      <c r="M128" s="432">
        <f>SUMIFS($E$205:$E$513,$A$205:$A$513,"&gt;28/2/2024",$A$205:$A$513,"&lt;1/4/2024",$D$205:$D$513,$I128)</f>
        <v/>
      </c>
      <c r="N128" s="432">
        <f>SUMIFS($E$205:$E$513,$A$205:$A$513,"&gt;31/3/2024",$A$205:$A$513,"&lt;1/5/2024",$D$205:$D$513,$I128)</f>
        <v/>
      </c>
      <c r="O128" s="432">
        <f>SUMIFS($E$205:$E$513,$A$205:$A$513,"&gt;30/4/2024",$A$205:$A$513,"&lt;1/6/2024",$D$205:$D$513,$I128)</f>
        <v/>
      </c>
      <c r="P128" s="432">
        <f>SUMIFS($E$205:$E$513,$A$205:$A$513,"&gt;31/5/2024",$A$205:$A$513,"&lt;1/7/2024",$D$205:$D$513,$I128)</f>
        <v/>
      </c>
      <c r="Q128" s="432">
        <f>SUMIFS($E$205:$E$513,$A$205:$A$513,"&gt;30/6/2024",$A$205:$A$513,"&lt;1/8/2024",$D$205:$D$513,$I128)</f>
        <v/>
      </c>
      <c r="R128" s="432">
        <f>SUMIFS($E$205:$E$513,$A$205:$A$513,"&gt;31/7/2024",$A$205:$A$513,"&lt;1/9/2024",$D$205:$D$513,$I128)</f>
        <v/>
      </c>
      <c r="S128" s="432">
        <f>SUMIFS($E$205:$E$513,$A$205:$A$513,"&gt;31/8/2024",$A$205:$A$513,"&lt;1/10/2024",$D$205:$D$513,$I128)</f>
        <v/>
      </c>
      <c r="T128" s="432">
        <f>SUMIFS($E$205:$E$513,$A$205:$A$513,"&gt;30/9/2024",$A$205:$A$513,"&lt;1/11/2024",$D$205:$D$513,$I128)</f>
        <v/>
      </c>
      <c r="U128" s="432">
        <f>SUMIFS($E$205:$E$513,$A$205:$A$513,"&gt;31/10/2024",$A$205:$A$513,"&lt;1/12/2024",$D$205:$D$513,$I128)</f>
        <v/>
      </c>
      <c r="V128" s="432">
        <f>SUMIFS($E$205:$E$513,$A$205:$A$513,"&gt;30/11/2024",$A$205:$A$513,"&lt;1/1/2025",$D$205:$D$513,$I128)</f>
        <v/>
      </c>
      <c r="W128" s="432">
        <f>SUM(K128:V128)</f>
        <v/>
      </c>
      <c r="X128" s="460">
        <f>L128/$L$136</f>
        <v/>
      </c>
      <c r="Y128" s="466" t="n"/>
    </row>
    <row r="129" ht="13.15" customHeight="1" s="1232">
      <c r="I129" s="1255" t="inlineStr">
        <is>
          <t>Various</t>
        </is>
      </c>
      <c r="K129" s="432">
        <f>SUMIFS($E$205:$E$513,$A$205:$A$513,"&gt;31/12/2023",$A$205:$A$513,"&lt;1/2/2024",$D$205:$D$513,$I129)</f>
        <v/>
      </c>
      <c r="L129" s="432">
        <f>SUMIFS($E$205:$E$513,$A$205:$A$513,"&gt;31/1/2024",$A$205:$A$513,"&lt;1/3/2024",$D$205:$D$513,$I129)</f>
        <v/>
      </c>
      <c r="M129" s="432">
        <f>SUMIFS($E$205:$E$513,$A$205:$A$513,"&gt;28/2/2024",$A$205:$A$513,"&lt;1/4/2024",$D$205:$D$513,$I129)</f>
        <v/>
      </c>
      <c r="N129" s="432">
        <f>SUMIFS($E$205:$E$513,$A$205:$A$513,"&gt;31/3/2024",$A$205:$A$513,"&lt;1/5/2024",$D$205:$D$513,$I129)</f>
        <v/>
      </c>
      <c r="O129" s="432">
        <f>SUMIFS($E$205:$E$513,$A$205:$A$513,"&gt;30/4/2024",$A$205:$A$513,"&lt;1/6/2024",$D$205:$D$513,$I129)</f>
        <v/>
      </c>
      <c r="P129" s="432">
        <f>SUMIFS($E$205:$E$513,$A$205:$A$513,"&gt;31/5/2024",$A$205:$A$513,"&lt;1/7/2024",$D$205:$D$513,$I129)</f>
        <v/>
      </c>
      <c r="Q129" s="432">
        <f>SUMIFS($E$205:$E$513,$A$205:$A$513,"&gt;30/6/2024",$A$205:$A$513,"&lt;1/8/2024",$D$205:$D$513,$I129)</f>
        <v/>
      </c>
      <c r="R129" s="432">
        <f>SUMIFS($E$205:$E$513,$A$205:$A$513,"&gt;31/7/2024",$A$205:$A$513,"&lt;1/9/2024",$D$205:$D$513,$I129)</f>
        <v/>
      </c>
      <c r="S129" s="432">
        <f>SUMIFS($E$205:$E$513,$A$205:$A$513,"&gt;31/8/2024",$A$205:$A$513,"&lt;1/10/2024",$D$205:$D$513,$I129)</f>
        <v/>
      </c>
      <c r="T129" s="432">
        <f>SUMIFS($E$205:$E$513,$A$205:$A$513,"&gt;30/9/2024",$A$205:$A$513,"&lt;1/11/2024",$D$205:$D$513,$I129)</f>
        <v/>
      </c>
      <c r="U129" s="432">
        <f>SUMIFS($E$205:$E$513,$A$205:$A$513,"&gt;31/10/2024",$A$205:$A$513,"&lt;1/12/2024",$D$205:$D$513,$I129)</f>
        <v/>
      </c>
      <c r="V129" s="432">
        <f>SUMIFS($E$205:$E$513,$A$205:$A$513,"&gt;30/11/2024",$A$205:$A$513,"&lt;1/1/2025",$D$205:$D$513,$I129)</f>
        <v/>
      </c>
      <c r="W129" s="432">
        <f>SUM(K129:V129)</f>
        <v/>
      </c>
      <c r="X129" s="460">
        <f>L129/$L$136</f>
        <v/>
      </c>
      <c r="Y129" s="466" t="n"/>
    </row>
    <row r="130">
      <c r="I130" s="1255" t="inlineStr">
        <is>
          <t>Bank</t>
        </is>
      </c>
      <c r="K130" s="432">
        <f>SUMIFS($E$205:$E$513,$A$205:$A$513,"&gt;31/12/2023",$A$205:$A$513,"&lt;1/2/2024",$D$205:$D$513,$I130)</f>
        <v/>
      </c>
      <c r="L130" s="432">
        <f>SUMIFS($E$205:$E$513,$A$205:$A$513,"&gt;31/1/2024",$A$205:$A$513,"&lt;1/3/2024",$D$205:$D$513,$I130)</f>
        <v/>
      </c>
      <c r="M130" s="432">
        <f>SUMIFS($E$205:$E$513,$A$205:$A$513,"&gt;28/2/2024",$A$205:$A$513,"&lt;1/4/2024",$D$205:$D$513,$I130)</f>
        <v/>
      </c>
      <c r="N130" s="432">
        <f>SUMIFS($E$205:$E$513,$A$205:$A$513,"&gt;31/3/2024",$A$205:$A$513,"&lt;1/5/2024",$D$205:$D$513,$I130)</f>
        <v/>
      </c>
      <c r="O130" s="432">
        <f>SUMIFS($E$205:$E$513,$A$205:$A$513,"&gt;30/4/2024",$A$205:$A$513,"&lt;1/6/2024",$D$205:$D$513,$I130)</f>
        <v/>
      </c>
      <c r="P130" s="432">
        <f>SUMIFS($E$205:$E$513,$A$205:$A$513,"&gt;31/5/2024",$A$205:$A$513,"&lt;1/7/2024",$D$205:$D$513,$I130)</f>
        <v/>
      </c>
      <c r="Q130" s="432">
        <f>SUMIFS($E$205:$E$513,$A$205:$A$513,"&gt;30/6/2024",$A$205:$A$513,"&lt;1/8/2024",$D$205:$D$513,$I130)</f>
        <v/>
      </c>
      <c r="R130" s="432">
        <f>SUMIFS($E$205:$E$513,$A$205:$A$513,"&gt;31/7/2024",$A$205:$A$513,"&lt;1/9/2024",$D$205:$D$513,$I130)</f>
        <v/>
      </c>
      <c r="S130" s="432">
        <f>SUMIFS($E$205:$E$513,$A$205:$A$513,"&gt;31/8/2024",$A$205:$A$513,"&lt;1/10/2024",$D$205:$D$513,$I130)</f>
        <v/>
      </c>
      <c r="T130" s="432">
        <f>SUMIFS($E$205:$E$513,$A$205:$A$513,"&gt;30/9/2024",$A$205:$A$513,"&lt;1/11/2024",$D$205:$D$513,$I130)</f>
        <v/>
      </c>
      <c r="U130" s="432">
        <f>SUMIFS($E$205:$E$513,$A$205:$A$513,"&gt;31/10/2024",$A$205:$A$513,"&lt;1/12/2024",$D$205:$D$513,$I130)</f>
        <v/>
      </c>
      <c r="V130" s="432">
        <f>SUMIFS($E$205:$E$513,$A$205:$A$513,"&gt;30/11/2024",$A$205:$A$513,"&lt;1/1/2025",$D$205:$D$513,$I130)</f>
        <v/>
      </c>
      <c r="W130" s="432">
        <f>SUM(K130:V130)</f>
        <v/>
      </c>
      <c r="X130" s="460">
        <f>L130/$L$136</f>
        <v/>
      </c>
    </row>
    <row r="131">
      <c r="I131" s="1255" t="inlineStr">
        <is>
          <t>Groupon</t>
        </is>
      </c>
      <c r="K131" s="432">
        <f>SUMIFS($E$205:$E$513,$A$205:$A$513,"&gt;31/12/2023",$A$205:$A$513,"&lt;1/2/2024",$D$205:$D$513,$I131)</f>
        <v/>
      </c>
      <c r="L131" s="432">
        <f>SUMIFS($E$205:$E$513,$A$205:$A$513,"&gt;31/1/2024",$A$205:$A$513,"&lt;1/3/2024",$D$205:$D$513,$I131)</f>
        <v/>
      </c>
      <c r="M131" s="432">
        <f>SUMIFS($E$205:$E$513,$A$205:$A$513,"&gt;28/2/2024",$A$205:$A$513,"&lt;1/4/2024",$D$205:$D$513,$I131)</f>
        <v/>
      </c>
      <c r="N131" s="432">
        <f>SUMIFS($E$205:$E$513,$A$205:$A$513,"&gt;31/3/2024",$A$205:$A$513,"&lt;1/5/2024",$D$205:$D$513,$I131)</f>
        <v/>
      </c>
      <c r="O131" s="432">
        <f>SUMIFS($E$205:$E$513,$A$205:$A$513,"&gt;30/4/2024",$A$205:$A$513,"&lt;1/6/2024",$D$205:$D$513,$I131)</f>
        <v/>
      </c>
      <c r="P131" s="432">
        <f>SUMIFS($E$205:$E$513,$A$205:$A$513,"&gt;31/5/2024",$A$205:$A$513,"&lt;1/7/2024",$D$205:$D$513,$I131)</f>
        <v/>
      </c>
      <c r="Q131" s="432">
        <f>SUMIFS($E$205:$E$513,$A$205:$A$513,"&gt;30/6/2024",$A$205:$A$513,"&lt;1/8/2024",$D$205:$D$513,$I131)</f>
        <v/>
      </c>
      <c r="R131" s="432">
        <f>SUMIFS($E$205:$E$513,$A$205:$A$513,"&gt;31/7/2024",$A$205:$A$513,"&lt;1/9/2024",$D$205:$D$513,$I131)</f>
        <v/>
      </c>
      <c r="S131" s="432">
        <f>SUMIFS($E$205:$E$513,$A$205:$A$513,"&gt;31/8/2024",$A$205:$A$513,"&lt;1/10/2024",$D$205:$D$513,$I131)</f>
        <v/>
      </c>
      <c r="T131" s="432">
        <f>SUMIFS($E$205:$E$513,$A$205:$A$513,"&gt;30/9/2024",$A$205:$A$513,"&lt;1/11/2024",$D$205:$D$513,$I131)</f>
        <v/>
      </c>
      <c r="U131" s="432">
        <f>SUMIFS($E$205:$E$513,$A$205:$A$513,"&gt;31/10/2024",$A$205:$A$513,"&lt;1/12/2024",$D$205:$D$513,$I131)</f>
        <v/>
      </c>
      <c r="V131" s="432">
        <f>SUMIFS($E$205:$E$513,$A$205:$A$513,"&gt;30/11/2024",$A$205:$A$513,"&lt;1/1/2025",$D$205:$D$513,$I131)</f>
        <v/>
      </c>
      <c r="W131" s="432">
        <f>SUM(K131:V131)</f>
        <v/>
      </c>
      <c r="X131" s="460">
        <f>L131/$L$136</f>
        <v/>
      </c>
    </row>
    <row r="132">
      <c r="I132" s="1255" t="inlineStr">
        <is>
          <t>Cash</t>
        </is>
      </c>
      <c r="K132" s="432">
        <f>SUMIFS($E$205:$E$513,$A$205:$A$513,"&gt;31/12/2023",$A$205:$A$513,"&lt;1/2/2024",$D$205:$D$513,$I132)</f>
        <v/>
      </c>
      <c r="L132" s="432">
        <f>SUMIFS($E$205:$E$513,$A$205:$A$513,"&gt;31/1/2024",$A$205:$A$513,"&lt;1/3/2024",$D$205:$D$513,$I132)</f>
        <v/>
      </c>
      <c r="M132" s="432">
        <f>SUMIFS($E$205:$E$513,$A$205:$A$513,"&gt;28/2/2024",$A$205:$A$513,"&lt;1/4/2024",$D$205:$D$513,$I132)</f>
        <v/>
      </c>
      <c r="N132" s="432">
        <f>SUMIFS($E$205:$E$513,$A$205:$A$513,"&gt;31/3/2024",$A$205:$A$513,"&lt;1/5/2024",$D$205:$D$513,$I132)</f>
        <v/>
      </c>
      <c r="O132" s="432">
        <f>SUMIFS($E$205:$E$513,$A$205:$A$513,"&gt;30/4/2024",$A$205:$A$513,"&lt;1/6/2024",$D$205:$D$513,$I132)</f>
        <v/>
      </c>
      <c r="P132" s="432">
        <f>SUMIFS($E$205:$E$513,$A$205:$A$513,"&gt;31/5/2024",$A$205:$A$513,"&lt;1/7/2024",$D$205:$D$513,$I132)</f>
        <v/>
      </c>
      <c r="Q132" s="432">
        <f>SUMIFS($E$205:$E$513,$A$205:$A$513,"&gt;30/6/2024",$A$205:$A$513,"&lt;1/8/2024",$D$205:$D$513,$I132)</f>
        <v/>
      </c>
      <c r="R132" s="432">
        <f>SUMIFS($E$205:$E$513,$A$205:$A$513,"&gt;31/7/2024",$A$205:$A$513,"&lt;1/9/2024",$D$205:$D$513,$I132)</f>
        <v/>
      </c>
      <c r="S132" s="432">
        <f>SUMIFS($E$205:$E$513,$A$205:$A$513,"&gt;31/8/2024",$A$205:$A$513,"&lt;1/10/2024",$D$205:$D$513,$I132)</f>
        <v/>
      </c>
      <c r="T132" s="432">
        <f>SUMIFS($E$205:$E$513,$A$205:$A$513,"&gt;30/9/2024",$A$205:$A$513,"&lt;1/11/2024",$D$205:$D$513,$I132)</f>
        <v/>
      </c>
      <c r="U132" s="432">
        <f>SUMIFS($E$205:$E$513,$A$205:$A$513,"&gt;31/10/2024",$A$205:$A$513,"&lt;1/12/2024",$D$205:$D$513,$I132)</f>
        <v/>
      </c>
      <c r="V132" s="432">
        <f>SUMIFS($E$205:$E$513,$A$205:$A$513,"&gt;30/11/2024",$A$205:$A$513,"&lt;1/1/2025",$D$205:$D$513,$I132)</f>
        <v/>
      </c>
      <c r="W132" s="432">
        <f>SUM(K132:V132)</f>
        <v/>
      </c>
      <c r="X132" s="460">
        <f>L132/$L$136</f>
        <v/>
      </c>
    </row>
    <row r="133">
      <c r="I133" s="1260" t="inlineStr">
        <is>
          <t>Gift Voucher Out</t>
        </is>
      </c>
      <c r="K133" s="432">
        <f>SUMIFS($E$205:$E$513,$A$205:$A$513,"&gt;31/12/2023",$A$205:$A$513,"&lt;1/2/2024",$D$205:$D$513,$I133)</f>
        <v/>
      </c>
      <c r="L133" s="432">
        <f>SUMIFS($E$205:$E$513,$A$205:$A$513,"&gt;31/1/2024",$A$205:$A$513,"&lt;1/3/2024",$D$205:$D$513,$I133)</f>
        <v/>
      </c>
      <c r="M133" s="432">
        <f>SUMIFS($E$205:$E$513,$A$205:$A$513,"&gt;28/2/2024",$A$205:$A$513,"&lt;1/4/2024",$D$205:$D$513,$I133)</f>
        <v/>
      </c>
      <c r="N133" s="432">
        <f>SUMIFS($E$205:$E$513,$A$205:$A$513,"&gt;31/3/2024",$A$205:$A$513,"&lt;1/5/2024",$D$205:$D$513,$I133)</f>
        <v/>
      </c>
      <c r="O133" s="432">
        <f>SUMIFS($E$205:$E$513,$A$205:$A$513,"&gt;30/4/2024",$A$205:$A$513,"&lt;1/6/2024",$D$205:$D$513,$I133)</f>
        <v/>
      </c>
      <c r="P133" s="432">
        <f>SUMIFS($E$205:$E$513,$A$205:$A$513,"&gt;31/5/2024",$A$205:$A$513,"&lt;1/7/2024",$D$205:$D$513,$I133)</f>
        <v/>
      </c>
      <c r="Q133" s="432">
        <f>SUMIFS($E$205:$E$513,$A$205:$A$513,"&gt;30/6/2024",$A$205:$A$513,"&lt;1/8/2024",$D$205:$D$513,$I133)</f>
        <v/>
      </c>
      <c r="R133" s="432">
        <f>SUMIFS($E$205:$E$513,$A$205:$A$513,"&gt;31/7/2024",$A$205:$A$513,"&lt;1/9/2024",$D$205:$D$513,$I133)</f>
        <v/>
      </c>
      <c r="S133" s="432">
        <f>SUMIFS($E$205:$E$513,$A$205:$A$513,"&gt;31/8/2024",$A$205:$A$513,"&lt;1/10/2024",$D$205:$D$513,$I133)</f>
        <v/>
      </c>
      <c r="T133" s="432">
        <f>SUMIFS($E$205:$E$513,$A$205:$A$513,"&gt;30/9/2024",$A$205:$A$513,"&lt;1/11/2024",$D$205:$D$513,$I133)</f>
        <v/>
      </c>
      <c r="U133" s="432">
        <f>SUMIFS($E$205:$E$513,$A$205:$A$513,"&gt;31/10/2024",$A$205:$A$513,"&lt;1/12/2024",$D$205:$D$513,$I133)</f>
        <v/>
      </c>
      <c r="V133" s="432">
        <f>SUMIFS($E$205:$E$513,$A$205:$A$513,"&gt;30/11/2024",$A$205:$A$513,"&lt;1/1/2025",$D$205:$D$513,$I133)</f>
        <v/>
      </c>
      <c r="W133" s="432">
        <f>SUM(K133:V133)</f>
        <v/>
      </c>
      <c r="X133" s="460" t="n"/>
    </row>
    <row r="134">
      <c r="I134" s="1260" t="inlineStr">
        <is>
          <t>PicknMix</t>
        </is>
      </c>
      <c r="K134" s="432">
        <f>SUMIFS($E$205:$E$513,$A$205:$A$513,"&gt;31/12/2023",$A$205:$A$513,"&lt;1/2/2024",$D$205:$D$513,$I134)</f>
        <v/>
      </c>
      <c r="L134" s="432">
        <f>SUMIFS($E$205:$E$513,$A$205:$A$513,"&gt;31/1/2024",$A$205:$A$513,"&lt;1/3/2024",$D$205:$D$513,$I134)</f>
        <v/>
      </c>
      <c r="M134" s="432">
        <f>SUMIFS($E$205:$E$513,$A$205:$A$513,"&gt;28/2/2024",$A$205:$A$513,"&lt;1/4/2024",$D$205:$D$513,$I134)</f>
        <v/>
      </c>
      <c r="N134" s="432">
        <f>SUMIFS($E$205:$E$513,$A$205:$A$513,"&gt;31/3/2024",$A$205:$A$513,"&lt;1/5/2024",$D$205:$D$513,$I134)</f>
        <v/>
      </c>
      <c r="O134" s="432">
        <f>SUMIFS($E$205:$E$513,$A$205:$A$513,"&gt;30/4/2024",$A$205:$A$513,"&lt;1/6/2024",$D$205:$D$513,$I134)</f>
        <v/>
      </c>
      <c r="P134" s="432">
        <f>SUMIFS($E$205:$E$513,$A$205:$A$513,"&gt;31/5/2024",$A$205:$A$513,"&lt;1/7/2024",$D$205:$D$513,$I134)</f>
        <v/>
      </c>
      <c r="Q134" s="432">
        <f>SUMIFS($E$205:$E$513,$A$205:$A$513,"&gt;30/6/2024",$A$205:$A$513,"&lt;1/8/2024",$D$205:$D$513,$I134)</f>
        <v/>
      </c>
      <c r="R134" s="432">
        <f>SUMIFS($E$205:$E$513,$A$205:$A$513,"&gt;31/7/2024",$A$205:$A$513,"&lt;1/9/2024",$D$205:$D$513,$I134)</f>
        <v/>
      </c>
      <c r="S134" s="432">
        <f>SUMIFS($E$205:$E$513,$A$205:$A$513,"&gt;31/8/2024",$A$205:$A$513,"&lt;1/10/2024",$D$205:$D$513,$I134)</f>
        <v/>
      </c>
      <c r="T134" s="432">
        <f>SUMIFS($E$205:$E$513,$A$205:$A$513,"&gt;30/9/2024",$A$205:$A$513,"&lt;1/11/2024",$D$205:$D$513,$I134)</f>
        <v/>
      </c>
      <c r="U134" s="432">
        <f>SUMIFS($E$205:$E$513,$A$205:$A$513,"&gt;31/10/2024",$A$205:$A$513,"&lt;1/12/2024",$D$205:$D$513,$I134)</f>
        <v/>
      </c>
      <c r="V134" s="432">
        <f>SUMIFS($E$205:$E$513,$A$205:$A$513,"&gt;30/11/2024",$A$205:$A$513,"&lt;1/1/2025",$D$205:$D$513,$I134)</f>
        <v/>
      </c>
      <c r="W134" s="432">
        <f>SUM(K134:V134)</f>
        <v/>
      </c>
      <c r="X134" s="460">
        <f>L134/$L$136</f>
        <v/>
      </c>
    </row>
    <row r="135">
      <c r="I135" s="1260" t="inlineStr">
        <is>
          <t>W-Pay</t>
        </is>
      </c>
      <c r="K135" s="432">
        <f>SUMIFS($E$205:$E$513,$A$205:$A$513,"&gt;31/12/2023",$A$205:$A$513,"&lt;1/2/2024",$D$205:$D$513,$I135)</f>
        <v/>
      </c>
      <c r="L135" s="432">
        <f>SUMIFS($E$205:$E$513,$A$205:$A$513,"&gt;31/1/2024",$A$205:$A$513,"&lt;1/3/2024",$D$205:$D$513,$I135)</f>
        <v/>
      </c>
      <c r="M135" s="432">
        <f>SUMIFS($E$205:$E$513,$A$205:$A$513,"&gt;28/2/2024",$A$205:$A$513,"&lt;1/4/2024",$D$205:$D$513,$I135)</f>
        <v/>
      </c>
      <c r="N135" s="432">
        <f>SUMIFS($E$205:$E$513,$A$205:$A$513,"&gt;31/3/2024",$A$205:$A$513,"&lt;1/5/2024",$D$205:$D$513,$I135)</f>
        <v/>
      </c>
      <c r="O135" s="432">
        <f>SUMIFS($E$205:$E$513,$A$205:$A$513,"&gt;30/4/2024",$A$205:$A$513,"&lt;1/6/2024",$D$205:$D$513,$I135)</f>
        <v/>
      </c>
      <c r="P135" s="432">
        <f>SUMIFS($E$205:$E$513,$A$205:$A$513,"&gt;31/5/2024",$A$205:$A$513,"&lt;1/7/2024",$D$205:$D$513,$I135)</f>
        <v/>
      </c>
      <c r="Q135" s="432">
        <f>SUMIFS($E$205:$E$513,$A$205:$A$513,"&gt;30/6/2024",$A$205:$A$513,"&lt;1/8/2024",$D$205:$D$513,$I135)</f>
        <v/>
      </c>
      <c r="R135" s="432">
        <f>SUMIFS($E$205:$E$513,$A$205:$A$513,"&gt;31/7/2024",$A$205:$A$513,"&lt;1/9/2024",$D$205:$D$513,$I135)</f>
        <v/>
      </c>
      <c r="S135" s="432">
        <f>SUMIFS($E$205:$E$513,$A$205:$A$513,"&gt;31/8/2024",$A$205:$A$513,"&lt;1/10/2024",$D$205:$D$513,$I135)</f>
        <v/>
      </c>
      <c r="T135" s="432">
        <f>SUMIFS($E$205:$E$513,$A$205:$A$513,"&gt;30/9/2024",$A$205:$A$513,"&lt;1/11/2024",$D$205:$D$513,$I135)</f>
        <v/>
      </c>
      <c r="U135" s="432">
        <f>SUMIFS($E$205:$E$513,$A$205:$A$513,"&gt;31/10/2024",$A$205:$A$513,"&lt;1/12/2024",$D$205:$D$513,$I135)</f>
        <v/>
      </c>
      <c r="V135" s="432">
        <f>SUMIFS($E$205:$E$513,$A$205:$A$513,"&gt;30/11/2024",$A$205:$A$513,"&lt;1/1/2025",$D$205:$D$513,$I135)</f>
        <v/>
      </c>
      <c r="W135" s="432">
        <f>SUM(K135:V135)</f>
        <v/>
      </c>
      <c r="X135" s="460">
        <f>L135/$L$136</f>
        <v/>
      </c>
    </row>
    <row r="136" ht="13.5" customHeight="1" s="1232" thickBot="1">
      <c r="I136" s="914" t="n"/>
      <c r="K136" s="801">
        <f>SUM(K127:K135)</f>
        <v/>
      </c>
      <c r="L136" s="801">
        <f>SUM(L127:L135)</f>
        <v/>
      </c>
      <c r="M136" s="801">
        <f>SUM(M127:M135)</f>
        <v/>
      </c>
      <c r="N136" s="801">
        <f>SUM(N127:N135)</f>
        <v/>
      </c>
      <c r="O136" s="801">
        <f>SUM(O127:O135)</f>
        <v/>
      </c>
      <c r="P136" s="801">
        <f>SUM(P127:P135)</f>
        <v/>
      </c>
      <c r="Q136" s="801">
        <f>SUM(Q127:Q135)</f>
        <v/>
      </c>
      <c r="R136" s="801">
        <f>SUM(R127:R135)</f>
        <v/>
      </c>
      <c r="S136" s="801">
        <f>SUM(S127:S135)</f>
        <v/>
      </c>
      <c r="T136" s="801">
        <f>SUM(T127:T135)</f>
        <v/>
      </c>
      <c r="U136" s="801">
        <f>SUM(U127:U135)</f>
        <v/>
      </c>
      <c r="V136" s="801">
        <f>SUM(V127:V135)</f>
        <v/>
      </c>
      <c r="W136" s="801">
        <f>SUM(W127:W135)</f>
        <v/>
      </c>
      <c r="X136" s="914" t="n"/>
    </row>
    <row r="137" ht="13.15" customHeight="1" s="1232" thickTop="1">
      <c r="I137" s="914" t="n"/>
      <c r="K137" s="434">
        <f>K136-K18</f>
        <v/>
      </c>
      <c r="L137" s="434">
        <f>L136-L18</f>
        <v/>
      </c>
      <c r="M137" s="434">
        <f>M136-M18</f>
        <v/>
      </c>
      <c r="N137" s="434">
        <f>N136-N18</f>
        <v/>
      </c>
      <c r="O137" s="434">
        <f>O136-O18</f>
        <v/>
      </c>
      <c r="P137" s="434">
        <f>P136-P18</f>
        <v/>
      </c>
      <c r="Q137" s="434">
        <f>Q136-Q18</f>
        <v/>
      </c>
      <c r="R137" s="434">
        <f>R136-R18</f>
        <v/>
      </c>
      <c r="S137" s="434">
        <f>S136-S18</f>
        <v/>
      </c>
      <c r="T137" s="434">
        <f>T136-T18</f>
        <v/>
      </c>
      <c r="U137" s="434">
        <f>U136-U18</f>
        <v/>
      </c>
      <c r="V137" s="434">
        <f>V136-V18</f>
        <v/>
      </c>
      <c r="W137" s="434">
        <f>W136-W18</f>
        <v/>
      </c>
      <c r="X137" s="914" t="n"/>
    </row>
    <row r="138" ht="13.15" customHeight="1" s="1232">
      <c r="I138" s="556" t="inlineStr">
        <is>
          <t>Payment Fees</t>
        </is>
      </c>
      <c r="K138" s="1332" t="inlineStr">
        <is>
          <t>Jan</t>
        </is>
      </c>
      <c r="L138" s="1332" t="inlineStr">
        <is>
          <t>Feb</t>
        </is>
      </c>
      <c r="M138" s="1332" t="inlineStr">
        <is>
          <t>Mar</t>
        </is>
      </c>
      <c r="N138" s="1332" t="inlineStr">
        <is>
          <t>Apr</t>
        </is>
      </c>
      <c r="O138" s="1332" t="inlineStr">
        <is>
          <t>May</t>
        </is>
      </c>
      <c r="P138" s="1332" t="inlineStr">
        <is>
          <t>Jun</t>
        </is>
      </c>
      <c r="Q138" s="1332" t="inlineStr">
        <is>
          <t>Jul</t>
        </is>
      </c>
      <c r="R138" s="1332" t="inlineStr">
        <is>
          <t>Aug</t>
        </is>
      </c>
      <c r="S138" s="1332" t="inlineStr">
        <is>
          <t>Sep</t>
        </is>
      </c>
      <c r="T138" s="1332" t="inlineStr">
        <is>
          <t>Oct</t>
        </is>
      </c>
      <c r="U138" s="1332" t="inlineStr">
        <is>
          <t>Nov</t>
        </is>
      </c>
      <c r="V138" s="1332" t="inlineStr">
        <is>
          <t>Dec</t>
        </is>
      </c>
      <c r="W138" s="1332" t="inlineStr">
        <is>
          <t>Year</t>
        </is>
      </c>
      <c r="X138" s="914" t="n"/>
    </row>
    <row r="139">
      <c r="I139" s="791" t="inlineStr">
        <is>
          <t>Stripe 1.5% +20p</t>
        </is>
      </c>
      <c r="J139" s="1342" t="n">
        <v>0.016</v>
      </c>
      <c r="K139" s="1261">
        <f>K127*$J139</f>
        <v/>
      </c>
      <c r="L139" s="1261">
        <f>L127*$J139</f>
        <v/>
      </c>
      <c r="M139" s="1261">
        <f>M127*$J139</f>
        <v/>
      </c>
      <c r="N139" s="1261">
        <f>N127*$J139</f>
        <v/>
      </c>
      <c r="O139" s="1261">
        <f>O127*$J139</f>
        <v/>
      </c>
      <c r="P139" s="1261">
        <f>P127*$J139</f>
        <v/>
      </c>
      <c r="Q139" s="1261">
        <f>Q127*$J139</f>
        <v/>
      </c>
      <c r="R139" s="1261">
        <f>R127*$J139</f>
        <v/>
      </c>
      <c r="S139" s="1261">
        <f>S127*$J139</f>
        <v/>
      </c>
      <c r="T139" s="1261">
        <f>T127*$J139</f>
        <v/>
      </c>
      <c r="U139" s="1261">
        <f>U127*$J139</f>
        <v/>
      </c>
      <c r="V139" s="1261">
        <f>V127*$J139</f>
        <v/>
      </c>
      <c r="W139" s="432">
        <f>SUM(K139:V139)</f>
        <v/>
      </c>
      <c r="X139" s="914" t="n"/>
    </row>
    <row r="140">
      <c r="I140" s="791" t="inlineStr">
        <is>
          <t>Paypal 2.90% + £0.30</t>
        </is>
      </c>
      <c r="K140" s="1261">
        <f>K128*3.5%</f>
        <v/>
      </c>
      <c r="L140" s="1261">
        <f>L128*3.5%</f>
        <v/>
      </c>
      <c r="M140" s="1261">
        <f>M128*3.5%</f>
        <v/>
      </c>
      <c r="N140" s="1261">
        <f>N128*3.5%</f>
        <v/>
      </c>
      <c r="O140" s="1261">
        <f>O128*3.5%</f>
        <v/>
      </c>
      <c r="P140" s="1261">
        <f>P128*3.5%</f>
        <v/>
      </c>
      <c r="Q140" s="1261">
        <f>Q128*3.5%</f>
        <v/>
      </c>
      <c r="R140" s="1261">
        <f>R128*3.5%</f>
        <v/>
      </c>
      <c r="S140" s="1261">
        <f>S128*3.5%</f>
        <v/>
      </c>
      <c r="T140" s="1261">
        <f>T128*3.5%</f>
        <v/>
      </c>
      <c r="U140" s="1261">
        <f>U128*3.5%</f>
        <v/>
      </c>
      <c r="V140" s="1261">
        <f>V128*3.5%</f>
        <v/>
      </c>
      <c r="W140" s="432">
        <f>SUM(K140:V140)</f>
        <v/>
      </c>
      <c r="X140" s="914" t="n"/>
    </row>
    <row r="141">
      <c r="I141" s="791" t="inlineStr">
        <is>
          <t>W-Pay</t>
        </is>
      </c>
      <c r="K141" s="1261">
        <f>K135*3.5%</f>
        <v/>
      </c>
      <c r="L141" s="1261">
        <f>L135*3.5%</f>
        <v/>
      </c>
      <c r="M141" s="1261">
        <f>M135*3.5%</f>
        <v/>
      </c>
      <c r="N141" s="1261">
        <f>N135*3.5%</f>
        <v/>
      </c>
      <c r="O141" s="1261">
        <f>O135*3.5%</f>
        <v/>
      </c>
      <c r="P141" s="1261">
        <f>P135*3.5%</f>
        <v/>
      </c>
      <c r="Q141" s="1261">
        <f>Q135*3.5%</f>
        <v/>
      </c>
      <c r="R141" s="1261">
        <f>R135*3.5%</f>
        <v/>
      </c>
      <c r="S141" s="1261">
        <f>S135*3.5%</f>
        <v/>
      </c>
      <c r="T141" s="1261">
        <f>T135*3.5%</f>
        <v/>
      </c>
      <c r="U141" s="1261">
        <f>U135*3.5%</f>
        <v/>
      </c>
      <c r="V141" s="1261">
        <f>V135*3.5%</f>
        <v/>
      </c>
      <c r="W141" s="586">
        <f>SUM(K141:V141)</f>
        <v/>
      </c>
      <c r="X141" s="914" t="n"/>
    </row>
    <row r="142" ht="13.5" customHeight="1" s="1232" thickBot="1">
      <c r="I142" s="822" t="inlineStr">
        <is>
          <t>Total Fees</t>
        </is>
      </c>
      <c r="J142" s="1343" t="n"/>
      <c r="K142" s="822">
        <f>SUM(K138:K141)</f>
        <v/>
      </c>
      <c r="L142" s="822">
        <f>SUM(L138:L141)</f>
        <v/>
      </c>
      <c r="M142" s="822">
        <f>SUM(M138:M141)</f>
        <v/>
      </c>
      <c r="N142" s="822">
        <f>SUM(N138:N141)</f>
        <v/>
      </c>
      <c r="O142" s="822">
        <f>SUM(O138:O141)</f>
        <v/>
      </c>
      <c r="P142" s="822">
        <f>SUM(P138:P141)</f>
        <v/>
      </c>
      <c r="Q142" s="822">
        <f>SUM(Q138:Q141)</f>
        <v/>
      </c>
      <c r="R142" s="822">
        <f>SUM(R138:R141)</f>
        <v/>
      </c>
      <c r="S142" s="822">
        <f>SUM(S138:S141)</f>
        <v/>
      </c>
      <c r="T142" s="822">
        <f>SUM(T138:T141)</f>
        <v/>
      </c>
      <c r="U142" s="822">
        <f>SUM(U138:U141)</f>
        <v/>
      </c>
      <c r="V142" s="822">
        <f>SUM(V138:V141)</f>
        <v/>
      </c>
      <c r="W142" s="824">
        <f>SUM(K142:V142)</f>
        <v/>
      </c>
      <c r="X142" s="914" t="n"/>
    </row>
    <row r="143" ht="13.15" customHeight="1" s="1232">
      <c r="I143" s="914" t="n"/>
      <c r="K143" s="914" t="n"/>
      <c r="L143" s="914" t="n"/>
      <c r="M143" s="914" t="n"/>
      <c r="N143" s="914" t="n"/>
      <c r="O143" s="914" t="n"/>
      <c r="P143" s="914" t="n"/>
      <c r="Q143" s="914" t="n"/>
      <c r="R143" s="914" t="n"/>
      <c r="S143" s="914" t="n"/>
      <c r="T143" s="914" t="n"/>
      <c r="U143" s="914" t="n"/>
      <c r="V143" s="914" t="n"/>
      <c r="W143" s="461">
        <f>SUM(K143:V143)</f>
        <v/>
      </c>
      <c r="X143" s="914" t="n"/>
      <c r="Y143" s="466" t="n"/>
    </row>
    <row r="144" ht="13.5" customHeight="1" s="1232" thickBot="1">
      <c r="I144" s="561" t="inlineStr">
        <is>
          <t>Net Payment</t>
        </is>
      </c>
      <c r="K144" s="801">
        <f>K136-K142</f>
        <v/>
      </c>
      <c r="L144" s="801">
        <f>L136-L142</f>
        <v/>
      </c>
      <c r="M144" s="801">
        <f>M136-M142</f>
        <v/>
      </c>
      <c r="N144" s="801">
        <f>N136-N142</f>
        <v/>
      </c>
      <c r="O144" s="801">
        <f>O136-O142</f>
        <v/>
      </c>
      <c r="P144" s="801">
        <f>P136-P142</f>
        <v/>
      </c>
      <c r="Q144" s="801">
        <f>Q136-Q142</f>
        <v/>
      </c>
      <c r="R144" s="801">
        <f>R136-R142</f>
        <v/>
      </c>
      <c r="S144" s="801">
        <f>S136-S142</f>
        <v/>
      </c>
      <c r="T144" s="801">
        <f>T136-T142</f>
        <v/>
      </c>
      <c r="U144" s="801">
        <f>U136-U142</f>
        <v/>
      </c>
      <c r="V144" s="801">
        <f>V136-V142</f>
        <v/>
      </c>
      <c r="W144" s="802">
        <f>SUM(K144:V144)</f>
        <v/>
      </c>
      <c r="X144" s="914" t="n"/>
    </row>
    <row r="145" ht="13.15" customHeight="1" s="1232" thickTop="1">
      <c r="I145" s="914" t="n"/>
      <c r="K145" s="914" t="n"/>
      <c r="L145" s="914" t="n"/>
      <c r="M145" s="914" t="n"/>
      <c r="N145" s="914" t="n"/>
      <c r="O145" s="914" t="n"/>
      <c r="P145" s="914" t="n"/>
      <c r="Q145" s="914" t="n"/>
      <c r="R145" s="914" t="n"/>
      <c r="S145" s="914" t="n"/>
      <c r="T145" s="914" t="n"/>
      <c r="U145" s="914" t="n"/>
      <c r="V145" s="914" t="n"/>
      <c r="W145" s="914" t="n"/>
      <c r="X145" s="914" t="n"/>
    </row>
    <row r="146">
      <c r="K146" s="914" t="n"/>
      <c r="L146" s="914" t="n"/>
      <c r="M146" s="914" t="n"/>
      <c r="N146" s="914" t="n"/>
      <c r="O146" s="914" t="n"/>
      <c r="P146" s="914" t="n"/>
      <c r="Q146" s="914" t="n"/>
      <c r="R146" s="914" t="n"/>
      <c r="S146" s="914" t="n"/>
      <c r="T146" s="914" t="n"/>
      <c r="U146" s="914" t="n"/>
      <c r="V146" s="914" t="n"/>
      <c r="W146" s="914" t="n"/>
      <c r="X146" s="914" t="n"/>
    </row>
    <row r="147" ht="13.15" customHeight="1" s="1232">
      <c r="I147" s="556" t="inlineStr">
        <is>
          <t>Booking source</t>
        </is>
      </c>
      <c r="K147" s="1332" t="inlineStr">
        <is>
          <t>Jan</t>
        </is>
      </c>
      <c r="L147" s="1332" t="inlineStr">
        <is>
          <t>Feb</t>
        </is>
      </c>
      <c r="M147" s="1332" t="inlineStr">
        <is>
          <t>Mar</t>
        </is>
      </c>
      <c r="N147" s="1332" t="inlineStr">
        <is>
          <t>Apr</t>
        </is>
      </c>
      <c r="O147" s="1332" t="inlineStr">
        <is>
          <t>May</t>
        </is>
      </c>
      <c r="P147" s="1332" t="inlineStr">
        <is>
          <t>Jun</t>
        </is>
      </c>
      <c r="Q147" s="1332" t="inlineStr">
        <is>
          <t>Jul</t>
        </is>
      </c>
      <c r="R147" s="1332" t="inlineStr">
        <is>
          <t>Aug</t>
        </is>
      </c>
      <c r="S147" s="1332" t="inlineStr">
        <is>
          <t>Sep</t>
        </is>
      </c>
      <c r="T147" s="1332" t="inlineStr">
        <is>
          <t>Oct</t>
        </is>
      </c>
      <c r="U147" s="1332" t="inlineStr">
        <is>
          <t>Nov</t>
        </is>
      </c>
      <c r="V147" s="1332" t="inlineStr">
        <is>
          <t>Dec</t>
        </is>
      </c>
      <c r="W147" s="1332" t="inlineStr">
        <is>
          <t>Year</t>
        </is>
      </c>
      <c r="X147" s="1278" t="inlineStr">
        <is>
          <t>Split</t>
        </is>
      </c>
    </row>
    <row r="148">
      <c r="I148" s="1255" t="inlineStr">
        <is>
          <t>Google</t>
        </is>
      </c>
      <c r="K148" s="432">
        <f>SUMIFS($E$205:$E$513,$A$205:$A$513,"&gt;31/12/2023",$A$205:$A$513,"&lt;1/2/2024",$G$205:$G$513,$I148)</f>
        <v/>
      </c>
      <c r="L148" s="432">
        <f>SUMIFS($E$205:$E$513,$A$205:$A$513,"&gt;31/1/2024",$A$205:$A$513,"&lt;1/3/2024",$G$205:$G$513,$I148)</f>
        <v/>
      </c>
      <c r="M148" s="432">
        <f>SUMIFS($E$205:$E$513,$A$205:$A$513,"&gt;28/2/2024",$A$205:$A$513,"&lt;1/4/2024",$G$205:$G$513,$I148)</f>
        <v/>
      </c>
      <c r="N148" s="432">
        <f>SUMIFS($E$205:$E$513,$A$205:$A$513,"&gt;31/3/2024",$A$205:$A$513,"&lt;1/5/2024",$G$205:$G$513,$I148)</f>
        <v/>
      </c>
      <c r="O148" s="432">
        <f>SUMIFS($E$205:$E$513,$A$205:$A$513,"&gt;30/4/2024",$A$205:$A$513,"&lt;1/6/2024",$G$205:$G$513,$I148)</f>
        <v/>
      </c>
      <c r="P148" s="432">
        <f>SUMIFS($E$205:$E$513,$A$205:$A$513,"&gt;31/5/2024",$A$205:$A$513,"&lt;1/7/2024",$G$205:$G$513,$I148)</f>
        <v/>
      </c>
      <c r="Q148" s="432">
        <f>SUMIFS($E$205:$E$513,$A$205:$A$513,"&gt;30/6/2024",$A$205:$A$513,"&lt;1/8/2024",$G$205:$G$513,$I148)</f>
        <v/>
      </c>
      <c r="R148" s="432">
        <f>SUMIFS($E$205:$E$513,$A$205:$A$513,"&gt;31/7/2024",$A$205:$A$513,"&lt;1/9/2024",$G$205:$G$513,$I148)</f>
        <v/>
      </c>
      <c r="S148" s="432">
        <f>SUMIFS($E$205:$E$513,$A$205:$A$513,"&gt;31/8/2024",$A$205:$A$513,"&lt;1/10/2024",$G$205:$G$513,$I148)</f>
        <v/>
      </c>
      <c r="T148" s="432">
        <f>SUMIFS($E$205:$E$513,$A$205:$A$513,"&gt;30/9/2024",$A$205:$A$513,"&lt;1/11/2024",$G$205:$G$513,$I148)</f>
        <v/>
      </c>
      <c r="U148" s="432">
        <f>SUMIFS($E$205:$E$513,$A$205:$A$513,"&gt;31/10/2024",$A$205:$A$513,"&lt;1/12/2024",$G$205:$G$513,$I148)</f>
        <v/>
      </c>
      <c r="V148" s="432">
        <f>SUMIFS($E$205:$E$513,$A$205:$A$513,"&gt;30/11/2024",$A$205:$A$513,"&lt;1/1/2025",$G$205:$G$513,$I148)</f>
        <v/>
      </c>
      <c r="W148" s="432">
        <f>SUM(K148:V148)</f>
        <v/>
      </c>
      <c r="X148" s="460">
        <f>IFERROR(W148/$W$158,0)</f>
        <v/>
      </c>
    </row>
    <row r="149">
      <c r="I149" s="1255" t="inlineStr">
        <is>
          <t>Existing</t>
        </is>
      </c>
      <c r="K149" s="432">
        <f>SUMIFS($E$205:$E$513,$A$205:$A$513,"&gt;31/12/2023",$A$205:$A$513,"&lt;1/2/2024",$G$205:$G$513,$I149)</f>
        <v/>
      </c>
      <c r="L149" s="432">
        <f>SUMIFS($E$205:$E$513,$A$205:$A$513,"&gt;31/1/2024",$A$205:$A$513,"&lt;1/3/2024",$G$205:$G$513,$I149)</f>
        <v/>
      </c>
      <c r="M149" s="432">
        <f>SUMIFS($E$205:$E$513,$A$205:$A$513,"&gt;28/2/2024",$A$205:$A$513,"&lt;1/4/2024",$G$205:$G$513,$I149)</f>
        <v/>
      </c>
      <c r="N149" s="432">
        <f>SUMIFS($E$205:$E$513,$A$205:$A$513,"&gt;31/3/2024",$A$205:$A$513,"&lt;1/5/2024",$G$205:$G$513,$I149)</f>
        <v/>
      </c>
      <c r="O149" s="432">
        <f>SUMIFS($E$205:$E$513,$A$205:$A$513,"&gt;30/4/2024",$A$205:$A$513,"&lt;1/6/2024",$G$205:$G$513,$I149)</f>
        <v/>
      </c>
      <c r="P149" s="432">
        <f>SUMIFS($E$205:$E$513,$A$205:$A$513,"&gt;31/5/2024",$A$205:$A$513,"&lt;1/7/2024",$G$205:$G$513,$I149)</f>
        <v/>
      </c>
      <c r="Q149" s="432">
        <f>SUMIFS($E$205:$E$513,$A$205:$A$513,"&gt;30/6/2024",$A$205:$A$513,"&lt;1/8/2024",$G$205:$G$513,$I149)</f>
        <v/>
      </c>
      <c r="R149" s="432">
        <f>SUMIFS($E$205:$E$513,$A$205:$A$513,"&gt;31/7/2024",$A$205:$A$513,"&lt;1/9/2024",$G$205:$G$513,$I149)</f>
        <v/>
      </c>
      <c r="S149" s="432">
        <f>SUMIFS($E$205:$E$513,$A$205:$A$513,"&gt;31/8/2024",$A$205:$A$513,"&lt;1/10/2024",$G$205:$G$513,$I149)</f>
        <v/>
      </c>
      <c r="T149" s="432">
        <f>SUMIFS($E$205:$E$513,$A$205:$A$513,"&gt;30/9/2024",$A$205:$A$513,"&lt;1/11/2024",$G$205:$G$513,$I149)</f>
        <v/>
      </c>
      <c r="U149" s="432">
        <f>SUMIFS($E$205:$E$513,$A$205:$A$513,"&gt;31/10/2024",$A$205:$A$513,"&lt;1/12/2024",$G$205:$G$513,$I149)</f>
        <v/>
      </c>
      <c r="V149" s="432">
        <f>SUMIFS($E$205:$E$513,$A$205:$A$513,"&gt;30/11/2024",$A$205:$A$513,"&lt;1/1/2025",$G$205:$G$513,$I149)</f>
        <v/>
      </c>
      <c r="W149" s="432">
        <f>SUM(K149:V149)</f>
        <v/>
      </c>
      <c r="X149" s="460">
        <f>IFERROR(W149/$W$158,0)</f>
        <v/>
      </c>
    </row>
    <row r="150">
      <c r="I150" s="1260" t="inlineStr">
        <is>
          <t>JLR</t>
        </is>
      </c>
      <c r="K150" s="432">
        <f>SUMIFS($E$205:$E$513,$A$205:$A$513,"&gt;31/12/2023",$A$205:$A$513,"&lt;1/2/2024",$G$205:$G$513,$I150)</f>
        <v/>
      </c>
      <c r="L150" s="432">
        <f>SUMIFS($E$205:$E$513,$A$205:$A$513,"&gt;31/1/2024",$A$205:$A$513,"&lt;1/3/2024",$G$205:$G$513,$I150)</f>
        <v/>
      </c>
      <c r="M150" s="432">
        <f>SUMIFS($E$205:$E$513,$A$205:$A$513,"&gt;28/2/2024",$A$205:$A$513,"&lt;1/4/2024",$G$205:$G$513,$I150)</f>
        <v/>
      </c>
      <c r="N150" s="432">
        <f>SUMIFS($E$205:$E$513,$A$205:$A$513,"&gt;31/3/2024",$A$205:$A$513,"&lt;1/5/2024",$G$205:$G$513,$I150)</f>
        <v/>
      </c>
      <c r="O150" s="432">
        <f>SUMIFS($E$205:$E$513,$A$205:$A$513,"&gt;30/4/2024",$A$205:$A$513,"&lt;1/6/2024",$G$205:$G$513,$I150)</f>
        <v/>
      </c>
      <c r="P150" s="432">
        <f>SUMIFS($E$205:$E$513,$A$205:$A$513,"&gt;31/5/2024",$A$205:$A$513,"&lt;1/7/2024",$G$205:$G$513,$I150)</f>
        <v/>
      </c>
      <c r="Q150" s="432">
        <f>SUMIFS($E$205:$E$513,$A$205:$A$513,"&gt;30/6/2024",$A$205:$A$513,"&lt;1/8/2024",$G$205:$G$513,$I150)</f>
        <v/>
      </c>
      <c r="R150" s="432">
        <f>SUMIFS($E$205:$E$513,$A$205:$A$513,"&gt;31/7/2024",$A$205:$A$513,"&lt;1/9/2024",$G$205:$G$513,$I150)</f>
        <v/>
      </c>
      <c r="S150" s="432">
        <f>SUMIFS($E$205:$E$513,$A$205:$A$513,"&gt;31/8/2024",$A$205:$A$513,"&lt;1/10/2024",$G$205:$G$513,$I150)</f>
        <v/>
      </c>
      <c r="T150" s="432">
        <f>SUMIFS($E$205:$E$513,$A$205:$A$513,"&gt;30/9/2024",$A$205:$A$513,"&lt;1/11/2024",$G$205:$G$513,$I150)</f>
        <v/>
      </c>
      <c r="U150" s="432">
        <f>SUMIFS($E$205:$E$513,$A$205:$A$513,"&gt;31/10/2024",$A$205:$A$513,"&lt;1/12/2024",$G$205:$G$513,$I150)</f>
        <v/>
      </c>
      <c r="V150" s="432">
        <f>SUMIFS($E$205:$E$513,$A$205:$A$513,"&gt;30/11/2024",$A$205:$A$513,"&lt;1/1/2025",$G$205:$G$513,$I150)</f>
        <v/>
      </c>
      <c r="W150" s="432">
        <f>SUM(K150:V150)</f>
        <v/>
      </c>
      <c r="X150" s="460">
        <f>IFERROR(W150/$W$158,0)</f>
        <v/>
      </c>
    </row>
    <row r="151">
      <c r="I151" s="1260" t="inlineStr">
        <is>
          <t>Referral</t>
        </is>
      </c>
      <c r="K151" s="432">
        <f>SUMIFS($E$205:$E$513,$A$205:$A$513,"&gt;31/12/2023",$A$205:$A$513,"&lt;1/2/2024",$G$205:$G$513,$I151)</f>
        <v/>
      </c>
      <c r="L151" s="432">
        <f>SUMIFS($E$205:$E$513,$A$205:$A$513,"&gt;31/1/2024",$A$205:$A$513,"&lt;1/3/2024",$G$205:$G$513,$I151)</f>
        <v/>
      </c>
      <c r="M151" s="432">
        <f>SUMIFS($E$205:$E$513,$A$205:$A$513,"&gt;28/2/2024",$A$205:$A$513,"&lt;1/4/2024",$G$205:$G$513,$I151)</f>
        <v/>
      </c>
      <c r="N151" s="432">
        <f>SUMIFS($E$205:$E$513,$A$205:$A$513,"&gt;31/3/2024",$A$205:$A$513,"&lt;1/5/2024",$G$205:$G$513,$I151)</f>
        <v/>
      </c>
      <c r="O151" s="432">
        <f>SUMIFS($E$205:$E$513,$A$205:$A$513,"&gt;30/4/2024",$A$205:$A$513,"&lt;1/6/2024",$G$205:$G$513,$I151)</f>
        <v/>
      </c>
      <c r="P151" s="432">
        <f>SUMIFS($E$205:$E$513,$A$205:$A$513,"&gt;31/5/2024",$A$205:$A$513,"&lt;1/7/2024",$G$205:$G$513,$I151)</f>
        <v/>
      </c>
      <c r="Q151" s="432">
        <f>SUMIFS($E$205:$E$513,$A$205:$A$513,"&gt;30/6/2024",$A$205:$A$513,"&lt;1/8/2024",$G$205:$G$513,$I151)</f>
        <v/>
      </c>
      <c r="R151" s="432">
        <f>SUMIFS($E$205:$E$513,$A$205:$A$513,"&gt;31/7/2024",$A$205:$A$513,"&lt;1/9/2024",$G$205:$G$513,$I151)</f>
        <v/>
      </c>
      <c r="S151" s="432">
        <f>SUMIFS($E$205:$E$513,$A$205:$A$513,"&gt;31/8/2024",$A$205:$A$513,"&lt;1/10/2024",$G$205:$G$513,$I151)</f>
        <v/>
      </c>
      <c r="T151" s="432">
        <f>SUMIFS($E$205:$E$513,$A$205:$A$513,"&gt;30/9/2024",$A$205:$A$513,"&lt;1/11/2024",$G$205:$G$513,$I151)</f>
        <v/>
      </c>
      <c r="U151" s="432">
        <f>SUMIFS($E$205:$E$513,$A$205:$A$513,"&gt;31/10/2024",$A$205:$A$513,"&lt;1/12/2024",$G$205:$G$513,$I151)</f>
        <v/>
      </c>
      <c r="V151" s="432">
        <f>SUMIFS($E$205:$E$513,$A$205:$A$513,"&gt;30/11/2024",$A$205:$A$513,"&lt;1/1/2025",$G$205:$G$513,$I151)</f>
        <v/>
      </c>
      <c r="W151" s="432">
        <f>SUM(K151:V151)</f>
        <v/>
      </c>
      <c r="X151" s="460">
        <f>IFERROR(W151/$W$158,0)</f>
        <v/>
      </c>
    </row>
    <row r="152">
      <c r="I152" s="1255" t="inlineStr">
        <is>
          <t>Batsford</t>
        </is>
      </c>
      <c r="K152" s="432">
        <f>SUMIFS($E$205:$E$513,$A$205:$A$513,"&gt;31/12/2023",$A$205:$A$513,"&lt;1/2/2024",$G$205:$G$513,$I152)</f>
        <v/>
      </c>
      <c r="L152" s="432">
        <f>SUMIFS($E$205:$E$513,$A$205:$A$513,"&gt;31/1/2024",$A$205:$A$513,"&lt;1/3/2024",$G$205:$G$513,$I152)</f>
        <v/>
      </c>
      <c r="M152" s="432">
        <f>SUMIFS($E$205:$E$513,$A$205:$A$513,"&gt;28/2/2024",$A$205:$A$513,"&lt;1/4/2024",$G$205:$G$513,$I152)</f>
        <v/>
      </c>
      <c r="N152" s="432">
        <f>SUMIFS($E$205:$E$513,$A$205:$A$513,"&gt;31/3/2024",$A$205:$A$513,"&lt;1/5/2024",$G$205:$G$513,$I152)</f>
        <v/>
      </c>
      <c r="O152" s="432">
        <f>SUMIFS($E$205:$E$513,$A$205:$A$513,"&gt;30/4/2024",$A$205:$A$513,"&lt;1/6/2024",$G$205:$G$513,$I152)</f>
        <v/>
      </c>
      <c r="P152" s="432">
        <f>SUMIFS($E$205:$E$513,$A$205:$A$513,"&gt;31/5/2024",$A$205:$A$513,"&lt;1/7/2024",$G$205:$G$513,$I152)</f>
        <v/>
      </c>
      <c r="Q152" s="432">
        <f>SUMIFS($E$205:$E$513,$A$205:$A$513,"&gt;30/6/2024",$A$205:$A$513,"&lt;1/8/2024",$G$205:$G$513,$I152)</f>
        <v/>
      </c>
      <c r="R152" s="432">
        <f>SUMIFS($E$205:$E$513,$A$205:$A$513,"&gt;31/7/2024",$A$205:$A$513,"&lt;1/9/2024",$G$205:$G$513,$I152)</f>
        <v/>
      </c>
      <c r="S152" s="432">
        <f>SUMIFS($E$205:$E$513,$A$205:$A$513,"&gt;31/8/2024",$A$205:$A$513,"&lt;1/10/2024",$G$205:$G$513,$I152)</f>
        <v/>
      </c>
      <c r="T152" s="432">
        <f>SUMIFS($E$205:$E$513,$A$205:$A$513,"&gt;30/9/2024",$A$205:$A$513,"&lt;1/11/2024",$G$205:$G$513,$I152)</f>
        <v/>
      </c>
      <c r="U152" s="432">
        <f>SUMIFS($E$205:$E$513,$A$205:$A$513,"&gt;31/10/2024",$A$205:$A$513,"&lt;1/12/2024",$G$205:$G$513,$I152)</f>
        <v/>
      </c>
      <c r="V152" s="432">
        <f>SUMIFS($E$205:$E$513,$A$205:$A$513,"&gt;30/11/2024",$A$205:$A$513,"&lt;1/1/2025",$G$205:$G$513,$I152)</f>
        <v/>
      </c>
      <c r="W152" s="432">
        <f>SUM(K152:V152)</f>
        <v/>
      </c>
      <c r="X152" s="460">
        <f>IFERROR(W152/$W$158,0)</f>
        <v/>
      </c>
    </row>
    <row r="153">
      <c r="I153" s="1260" t="inlineStr">
        <is>
          <t>Facebook</t>
        </is>
      </c>
      <c r="K153" s="432">
        <f>SUMIFS($E$205:$E$513,$A$205:$A$513,"&gt;31/12/2023",$A$205:$A$513,"&lt;1/2/2024",$G$205:$G$513,$I153)</f>
        <v/>
      </c>
      <c r="L153" s="432">
        <f>SUMIFS($E$205:$E$513,$A$205:$A$513,"&gt;31/1/2024",$A$205:$A$513,"&lt;1/3/2024",$G$205:$G$513,$I153)</f>
        <v/>
      </c>
      <c r="M153" s="432">
        <f>SUMIFS($E$205:$E$513,$A$205:$A$513,"&gt;28/2/2024",$A$205:$A$513,"&lt;1/4/2024",$G$205:$G$513,$I153)</f>
        <v/>
      </c>
      <c r="N153" s="432">
        <f>SUMIFS($E$205:$E$513,$A$205:$A$513,"&gt;31/3/2024",$A$205:$A$513,"&lt;1/5/2024",$G$205:$G$513,$I153)</f>
        <v/>
      </c>
      <c r="O153" s="432">
        <f>SUMIFS($E$205:$E$513,$A$205:$A$513,"&gt;30/4/2024",$A$205:$A$513,"&lt;1/6/2024",$G$205:$G$513,$I153)</f>
        <v/>
      </c>
      <c r="P153" s="432">
        <f>SUMIFS($E$205:$E$513,$A$205:$A$513,"&gt;31/5/2024",$A$205:$A$513,"&lt;1/7/2024",$G$205:$G$513,$I153)</f>
        <v/>
      </c>
      <c r="Q153" s="432">
        <f>SUMIFS($E$205:$E$513,$A$205:$A$513,"&gt;30/6/2024",$A$205:$A$513,"&lt;1/8/2024",$G$205:$G$513,$I153)</f>
        <v/>
      </c>
      <c r="R153" s="432">
        <f>SUMIFS($E$205:$E$513,$A$205:$A$513,"&gt;31/7/2024",$A$205:$A$513,"&lt;1/9/2024",$G$205:$G$513,$I153)</f>
        <v/>
      </c>
      <c r="S153" s="432">
        <f>SUMIFS($E$205:$E$513,$A$205:$A$513,"&gt;31/8/2024",$A$205:$A$513,"&lt;1/10/2024",$G$205:$G$513,$I153)</f>
        <v/>
      </c>
      <c r="T153" s="432">
        <f>SUMIFS($E$205:$E$513,$A$205:$A$513,"&gt;30/9/2024",$A$205:$A$513,"&lt;1/11/2024",$G$205:$G$513,$I153)</f>
        <v/>
      </c>
      <c r="U153" s="432">
        <f>SUMIFS($E$205:$E$513,$A$205:$A$513,"&gt;31/10/2024",$A$205:$A$513,"&lt;1/12/2024",$G$205:$G$513,$I153)</f>
        <v/>
      </c>
      <c r="V153" s="432">
        <f>SUMIFS($E$205:$E$513,$A$205:$A$513,"&gt;30/11/2024",$A$205:$A$513,"&lt;1/1/2025",$G$205:$G$513,$I153)</f>
        <v/>
      </c>
      <c r="W153" s="432">
        <f>SUM(K153:V153)</f>
        <v/>
      </c>
      <c r="X153" s="460">
        <f>IFERROR(W153/$W$158,0)</f>
        <v/>
      </c>
    </row>
    <row r="154">
      <c r="I154" s="1260" t="inlineStr">
        <is>
          <t>Pure Photo</t>
        </is>
      </c>
      <c r="K154" s="432">
        <f>SUMIFS($E$205:$E$513,$A$205:$A$513,"&gt;31/12/2023",$A$205:$A$513,"&lt;1/2/2024",$G$205:$G$513,$I154)</f>
        <v/>
      </c>
      <c r="L154" s="432">
        <f>SUMIFS($E$205:$E$513,$A$205:$A$513,"&gt;31/1/2024",$A$205:$A$513,"&lt;1/3/2024",$G$205:$G$513,$I154)</f>
        <v/>
      </c>
      <c r="M154" s="432">
        <f>SUMIFS($E$205:$E$513,$A$205:$A$513,"&gt;28/2/2024",$A$205:$A$513,"&lt;1/4/2024",$G$205:$G$513,$I154)</f>
        <v/>
      </c>
      <c r="N154" s="432">
        <f>SUMIFS($E$205:$E$513,$A$205:$A$513,"&gt;31/3/2024",$A$205:$A$513,"&lt;1/5/2024",$G$205:$G$513,$I154)</f>
        <v/>
      </c>
      <c r="O154" s="432">
        <f>SUMIFS($E$205:$E$513,$A$205:$A$513,"&gt;30/4/2024",$A$205:$A$513,"&lt;1/6/2024",$G$205:$G$513,$I154)</f>
        <v/>
      </c>
      <c r="P154" s="432">
        <f>SUMIFS($E$205:$E$513,$A$205:$A$513,"&gt;31/5/2024",$A$205:$A$513,"&lt;1/7/2024",$G$205:$G$513,$I154)</f>
        <v/>
      </c>
      <c r="Q154" s="432">
        <f>SUMIFS($E$205:$E$513,$A$205:$A$513,"&gt;30/6/2024",$A$205:$A$513,"&lt;1/8/2024",$G$205:$G$513,$I154)</f>
        <v/>
      </c>
      <c r="R154" s="432">
        <f>SUMIFS($E$205:$E$513,$A$205:$A$513,"&gt;31/7/2024",$A$205:$A$513,"&lt;1/9/2024",$G$205:$G$513,$I154)</f>
        <v/>
      </c>
      <c r="S154" s="432">
        <f>SUMIFS($E$205:$E$513,$A$205:$A$513,"&gt;31/8/2024",$A$205:$A$513,"&lt;1/10/2024",$G$205:$G$513,$I154)</f>
        <v/>
      </c>
      <c r="T154" s="432">
        <f>SUMIFS($E$205:$E$513,$A$205:$A$513,"&gt;30/9/2024",$A$205:$A$513,"&lt;1/11/2024",$G$205:$G$513,$I154)</f>
        <v/>
      </c>
      <c r="U154" s="432">
        <f>SUMIFS($E$205:$E$513,$A$205:$A$513,"&gt;31/10/2024",$A$205:$A$513,"&lt;1/12/2024",$G$205:$G$513,$I154)</f>
        <v/>
      </c>
      <c r="V154" s="432">
        <f>SUMIFS($E$205:$E$513,$A$205:$A$513,"&gt;30/11/2024",$A$205:$A$513,"&lt;1/1/2025",$G$205:$G$513,$I154)</f>
        <v/>
      </c>
      <c r="W154" s="432">
        <f>SUM(K154:V154)</f>
        <v/>
      </c>
      <c r="X154" s="460">
        <f>IFERROR(W154/$W$158,0)</f>
        <v/>
      </c>
    </row>
    <row r="155">
      <c r="I155" s="1260" t="inlineStr">
        <is>
          <t>Artfully Walls</t>
        </is>
      </c>
      <c r="K155" s="432">
        <f>SUMIFS($E$205:$E$513,$A$205:$A$513,"&gt;31/12/2023",$A$205:$A$513,"&lt;1/2/2024",$G$205:$G$513,$I155)</f>
        <v/>
      </c>
      <c r="L155" s="432">
        <f>SUMIFS($E$205:$E$513,$A$205:$A$513,"&gt;31/1/2024",$A$205:$A$513,"&lt;1/3/2024",$G$205:$G$513,$I155)</f>
        <v/>
      </c>
      <c r="M155" s="432">
        <f>SUMIFS($E$205:$E$513,$A$205:$A$513,"&gt;28/2/2024",$A$205:$A$513,"&lt;1/4/2024",$G$205:$G$513,$I155)</f>
        <v/>
      </c>
      <c r="N155" s="432">
        <f>SUMIFS($E$205:$E$513,$A$205:$A$513,"&gt;31/3/2024",$A$205:$A$513,"&lt;1/5/2024",$G$205:$G$513,$I155)</f>
        <v/>
      </c>
      <c r="O155" s="432">
        <f>SUMIFS($E$205:$E$513,$A$205:$A$513,"&gt;30/4/2024",$A$205:$A$513,"&lt;1/6/2024",$G$205:$G$513,$I155)</f>
        <v/>
      </c>
      <c r="P155" s="432">
        <f>SUMIFS($E$205:$E$513,$A$205:$A$513,"&gt;31/5/2024",$A$205:$A$513,"&lt;1/7/2024",$G$205:$G$513,$I155)</f>
        <v/>
      </c>
      <c r="Q155" s="432">
        <f>SUMIFS($E$205:$E$513,$A$205:$A$513,"&gt;30/6/2024",$A$205:$A$513,"&lt;1/8/2024",$G$205:$G$513,$I155)</f>
        <v/>
      </c>
      <c r="R155" s="432">
        <f>SUMIFS($E$205:$E$513,$A$205:$A$513,"&gt;31/7/2024",$A$205:$A$513,"&lt;1/9/2024",$G$205:$G$513,$I155)</f>
        <v/>
      </c>
      <c r="S155" s="432">
        <f>SUMIFS($E$205:$E$513,$A$205:$A$513,"&gt;31/8/2024",$A$205:$A$513,"&lt;1/10/2024",$G$205:$G$513,$I155)</f>
        <v/>
      </c>
      <c r="T155" s="432">
        <f>SUMIFS($E$205:$E$513,$A$205:$A$513,"&gt;30/9/2024",$A$205:$A$513,"&lt;1/11/2024",$G$205:$G$513,$I155)</f>
        <v/>
      </c>
      <c r="U155" s="432">
        <f>SUMIFS($E$205:$E$513,$A$205:$A$513,"&gt;31/10/2024",$A$205:$A$513,"&lt;1/12/2024",$G$205:$G$513,$I155)</f>
        <v/>
      </c>
      <c r="V155" s="432">
        <f>SUMIFS($E$205:$E$513,$A$205:$A$513,"&gt;30/11/2024",$A$205:$A$513,"&lt;1/1/2025",$G$205:$G$513,$I155)</f>
        <v/>
      </c>
      <c r="W155" s="432">
        <f>SUM(K155:V155)</f>
        <v/>
      </c>
      <c r="X155" s="460">
        <f>IFERROR(W155/$W$158,0)</f>
        <v/>
      </c>
    </row>
    <row r="156">
      <c r="I156" s="1260" t="inlineStr">
        <is>
          <t>Into the Blue</t>
        </is>
      </c>
      <c r="K156" s="432">
        <f>SUMIFS($E$205:$E$513,$A$205:$A$513,"&gt;31/12/2023",$A$205:$A$513,"&lt;1/2/2024",$G$205:$G$513,$I156)</f>
        <v/>
      </c>
      <c r="L156" s="432">
        <f>SUMIFS($E$205:$E$513,$A$205:$A$513,"&gt;31/1/2024",$A$205:$A$513,"&lt;1/3/2024",$G$205:$G$513,$I156)</f>
        <v/>
      </c>
      <c r="M156" s="432">
        <f>SUMIFS($E$205:$E$513,$A$205:$A$513,"&gt;28/2/2024",$A$205:$A$513,"&lt;1/4/2024",$G$205:$G$513,$I156)</f>
        <v/>
      </c>
      <c r="N156" s="432">
        <f>SUMIFS($E$205:$E$513,$A$205:$A$513,"&gt;31/3/2024",$A$205:$A$513,"&lt;1/5/2024",$G$205:$G$513,$I156)</f>
        <v/>
      </c>
      <c r="O156" s="432">
        <f>SUMIFS($E$205:$E$513,$A$205:$A$513,"&gt;30/4/2024",$A$205:$A$513,"&lt;1/6/2024",$G$205:$G$513,$I156)</f>
        <v/>
      </c>
      <c r="P156" s="432">
        <f>SUMIFS($E$205:$E$513,$A$205:$A$513,"&gt;31/5/2024",$A$205:$A$513,"&lt;1/7/2024",$G$205:$G$513,$I156)</f>
        <v/>
      </c>
      <c r="Q156" s="432">
        <f>SUMIFS($E$205:$E$513,$A$205:$A$513,"&gt;30/6/2024",$A$205:$A$513,"&lt;1/8/2024",$G$205:$G$513,$I156)</f>
        <v/>
      </c>
      <c r="R156" s="432">
        <f>SUMIFS($E$205:$E$513,$A$205:$A$513,"&gt;31/7/2024",$A$205:$A$513,"&lt;1/9/2024",$G$205:$G$513,$I156)</f>
        <v/>
      </c>
      <c r="S156" s="432">
        <f>SUMIFS($E$205:$E$513,$A$205:$A$513,"&gt;31/8/2024",$A$205:$A$513,"&lt;1/10/2024",$G$205:$G$513,$I156)</f>
        <v/>
      </c>
      <c r="T156" s="432">
        <f>SUMIFS($E$205:$E$513,$A$205:$A$513,"&gt;30/9/2024",$A$205:$A$513,"&lt;1/11/2024",$G$205:$G$513,$I156)</f>
        <v/>
      </c>
      <c r="U156" s="432">
        <f>SUMIFS($E$205:$E$513,$A$205:$A$513,"&gt;31/10/2024",$A$205:$A$513,"&lt;1/12/2024",$G$205:$G$513,$I156)</f>
        <v/>
      </c>
      <c r="V156" s="432">
        <f>SUMIFS($E$205:$E$513,$A$205:$A$513,"&gt;30/11/2024",$A$205:$A$513,"&lt;1/1/2025",$G$205:$G$513,$I156)</f>
        <v/>
      </c>
      <c r="W156" s="432">
        <f>SUM(K156:V156)</f>
        <v/>
      </c>
      <c r="X156" s="460">
        <f>IFERROR(W156/$W$158,0)</f>
        <v/>
      </c>
    </row>
    <row r="157">
      <c r="I157" s="1255" t="inlineStr">
        <is>
          <t>Other</t>
        </is>
      </c>
      <c r="K157" s="432">
        <f>SUMIFS($E$205:$E$513,$A$205:$A$513,"&gt;31/12/2023",$A$205:$A$513,"&lt;1/2/2024",$G$205:$G$513,$I157)</f>
        <v/>
      </c>
      <c r="L157" s="432">
        <f>SUMIFS($E$205:$E$513,$A$205:$A$513,"&gt;31/1/2024",$A$205:$A$513,"&lt;1/3/2024",$G$205:$G$513,$I157)</f>
        <v/>
      </c>
      <c r="M157" s="432">
        <f>SUMIFS($E$205:$E$513,$A$205:$A$513,"&gt;28/2/2024",$A$205:$A$513,"&lt;1/4/2024",$G$205:$G$513,$I157)</f>
        <v/>
      </c>
      <c r="N157" s="432">
        <f>SUMIFS($E$205:$E$513,$A$205:$A$513,"&gt;31/3/2024",$A$205:$A$513,"&lt;1/5/2024",$G$205:$G$513,$I157)</f>
        <v/>
      </c>
      <c r="O157" s="432">
        <f>SUMIFS($E$205:$E$513,$A$205:$A$513,"&gt;30/4/2024",$A$205:$A$513,"&lt;1/6/2024",$G$205:$G$513,$I157)</f>
        <v/>
      </c>
      <c r="P157" s="432">
        <f>SUMIFS($E$205:$E$513,$A$205:$A$513,"&gt;31/5/2024",$A$205:$A$513,"&lt;1/7/2024",$G$205:$G$513,$I157)</f>
        <v/>
      </c>
      <c r="Q157" s="432">
        <f>SUMIFS($E$205:$E$513,$A$205:$A$513,"&gt;30/6/2024",$A$205:$A$513,"&lt;1/8/2024",$G$205:$G$513,$I157)</f>
        <v/>
      </c>
      <c r="R157" s="432">
        <f>SUMIFS($E$205:$E$513,$A$205:$A$513,"&gt;31/7/2024",$A$205:$A$513,"&lt;1/9/2024",$G$205:$G$513,$I157)</f>
        <v/>
      </c>
      <c r="S157" s="432">
        <f>SUMIFS($E$205:$E$513,$A$205:$A$513,"&gt;31/8/2024",$A$205:$A$513,"&lt;1/10/2024",$G$205:$G$513,$I157)</f>
        <v/>
      </c>
      <c r="T157" s="432">
        <f>SUMIFS($E$205:$E$513,$A$205:$A$513,"&gt;30/9/2024",$A$205:$A$513,"&lt;1/11/2024",$G$205:$G$513,$I157)</f>
        <v/>
      </c>
      <c r="U157" s="432">
        <f>SUMIFS($E$205:$E$513,$A$205:$A$513,"&gt;31/10/2024",$A$205:$A$513,"&lt;1/12/2024",$G$205:$G$513,$I157)</f>
        <v/>
      </c>
      <c r="V157" s="432">
        <f>SUMIFS($E$205:$E$513,$A$205:$A$513,"&gt;30/11/2024",$A$205:$A$513,"&lt;1/1/2025",$G$205:$G$513,$I157)</f>
        <v/>
      </c>
      <c r="W157" s="432">
        <f>SUM(K157:V157)</f>
        <v/>
      </c>
      <c r="X157" s="460">
        <f>IFERROR(W157/$W$158,0)</f>
        <v/>
      </c>
    </row>
    <row r="158" ht="13.15" customHeight="1" s="1232">
      <c r="I158" s="914" t="n"/>
      <c r="K158" s="444">
        <f>SUM(K148:K157)</f>
        <v/>
      </c>
      <c r="L158" s="444">
        <f>SUM(L148:L157)</f>
        <v/>
      </c>
      <c r="M158" s="444">
        <f>SUM(M148:M157)</f>
        <v/>
      </c>
      <c r="N158" s="444">
        <f>SUM(N148:N157)</f>
        <v/>
      </c>
      <c r="O158" s="444">
        <f>SUM(O148:O157)</f>
        <v/>
      </c>
      <c r="P158" s="444">
        <f>SUM(P148:P157)</f>
        <v/>
      </c>
      <c r="Q158" s="444">
        <f>SUM(Q148:Q157)</f>
        <v/>
      </c>
      <c r="R158" s="444">
        <f>SUM(R148:R157)</f>
        <v/>
      </c>
      <c r="S158" s="444">
        <f>SUM(S148:S157)</f>
        <v/>
      </c>
      <c r="T158" s="444">
        <f>SUM(T148:T157)</f>
        <v/>
      </c>
      <c r="U158" s="444">
        <f>SUM(U148:U157)</f>
        <v/>
      </c>
      <c r="V158" s="444">
        <f>SUM(V148:V157)</f>
        <v/>
      </c>
      <c r="W158" s="444">
        <f>SUM(W148:W157)</f>
        <v/>
      </c>
      <c r="X158" s="460">
        <f>IFERROR(W158/$W$158,0)</f>
        <v/>
      </c>
    </row>
    <row r="159">
      <c r="J159" s="914" t="n"/>
      <c r="K159" s="914">
        <f>K136-K158</f>
        <v/>
      </c>
      <c r="L159" s="914">
        <f>L136-L158</f>
        <v/>
      </c>
      <c r="M159" s="914">
        <f>M136-M158</f>
        <v/>
      </c>
      <c r="N159" s="914">
        <f>N136-N158</f>
        <v/>
      </c>
      <c r="O159" s="914">
        <f>O136-O158</f>
        <v/>
      </c>
      <c r="P159" s="914">
        <f>P136-P158</f>
        <v/>
      </c>
      <c r="Q159" s="914">
        <f>Q136-Q158</f>
        <v/>
      </c>
      <c r="R159" s="914">
        <f>R136-R158</f>
        <v/>
      </c>
      <c r="S159" s="914">
        <f>S136-S158</f>
        <v/>
      </c>
      <c r="T159" s="914">
        <f>T136-T158</f>
        <v/>
      </c>
      <c r="U159" s="914">
        <f>U136-U158</f>
        <v/>
      </c>
      <c r="V159" s="914">
        <f>V136-V158</f>
        <v/>
      </c>
      <c r="W159" s="914">
        <f>W136-W158</f>
        <v/>
      </c>
      <c r="X159" s="914" t="n"/>
    </row>
    <row r="160" ht="13.15" customHeight="1" s="1232">
      <c r="I160" s="556" t="inlineStr">
        <is>
          <t>Booking source  £</t>
        </is>
      </c>
      <c r="K160" s="1332" t="inlineStr">
        <is>
          <t>Jan</t>
        </is>
      </c>
      <c r="L160" s="1332" t="inlineStr">
        <is>
          <t>Feb</t>
        </is>
      </c>
      <c r="M160" s="1332" t="inlineStr">
        <is>
          <t>Mar</t>
        </is>
      </c>
      <c r="N160" s="1332" t="inlineStr">
        <is>
          <t>Apr</t>
        </is>
      </c>
      <c r="O160" s="1332" t="inlineStr">
        <is>
          <t>May</t>
        </is>
      </c>
      <c r="P160" s="1332" t="inlineStr">
        <is>
          <t>Jun</t>
        </is>
      </c>
      <c r="Q160" s="1332" t="inlineStr">
        <is>
          <t>Jul</t>
        </is>
      </c>
      <c r="R160" s="1332" t="inlineStr">
        <is>
          <t>Aug</t>
        </is>
      </c>
      <c r="S160" s="1332" t="inlineStr">
        <is>
          <t>Sep</t>
        </is>
      </c>
      <c r="T160" s="1332" t="inlineStr">
        <is>
          <t>Oct</t>
        </is>
      </c>
      <c r="U160" s="1332" t="inlineStr">
        <is>
          <t>Nov</t>
        </is>
      </c>
      <c r="V160" s="1332" t="inlineStr">
        <is>
          <t>Dec</t>
        </is>
      </c>
      <c r="W160" s="1332" t="inlineStr">
        <is>
          <t>Year</t>
        </is>
      </c>
      <c r="X160" s="1278" t="inlineStr">
        <is>
          <t>Split</t>
        </is>
      </c>
    </row>
    <row r="161" ht="13.15" customHeight="1" s="1232">
      <c r="I161" s="444" t="inlineStr">
        <is>
          <t>New Clients</t>
        </is>
      </c>
      <c r="K161" s="914">
        <f>SUM(K158-K149)</f>
        <v/>
      </c>
      <c r="L161" s="914">
        <f>SUM(L158-L149)</f>
        <v/>
      </c>
      <c r="M161" s="914">
        <f>SUM(M158-M149)</f>
        <v/>
      </c>
      <c r="N161" s="914">
        <f>SUM(N158-N149)</f>
        <v/>
      </c>
      <c r="O161" s="914">
        <f>SUM(O158-O149)</f>
        <v/>
      </c>
      <c r="P161" s="914">
        <f>SUM(P158-P149)</f>
        <v/>
      </c>
      <c r="Q161" s="914">
        <f>SUM(Q158-Q149)</f>
        <v/>
      </c>
      <c r="R161" s="914">
        <f>SUM(R158-R149)</f>
        <v/>
      </c>
      <c r="S161" s="914">
        <f>SUM(S158-S149)</f>
        <v/>
      </c>
      <c r="T161" s="914">
        <f>SUM(T158-T149)</f>
        <v/>
      </c>
      <c r="U161" s="914">
        <f>SUM(U158-U149)</f>
        <v/>
      </c>
      <c r="V161" s="914">
        <f>SUM(V158-V149)</f>
        <v/>
      </c>
      <c r="W161" s="554">
        <f>SUM(K161:V161)</f>
        <v/>
      </c>
      <c r="X161" s="475">
        <f>W161/W163</f>
        <v/>
      </c>
    </row>
    <row r="162" ht="13.15" customHeight="1" s="1232">
      <c r="I162" s="444" t="inlineStr">
        <is>
          <t>Existing Clients</t>
        </is>
      </c>
      <c r="K162" s="914">
        <f>K149</f>
        <v/>
      </c>
      <c r="L162" s="914">
        <f>L149</f>
        <v/>
      </c>
      <c r="M162" s="914">
        <f>M149</f>
        <v/>
      </c>
      <c r="N162" s="914">
        <f>N149</f>
        <v/>
      </c>
      <c r="O162" s="914">
        <f>O149</f>
        <v/>
      </c>
      <c r="P162" s="914">
        <f>P149</f>
        <v/>
      </c>
      <c r="Q162" s="914">
        <f>Q149</f>
        <v/>
      </c>
      <c r="R162" s="914">
        <f>R149</f>
        <v/>
      </c>
      <c r="S162" s="914">
        <f>S149</f>
        <v/>
      </c>
      <c r="T162" s="914">
        <f>T149</f>
        <v/>
      </c>
      <c r="U162" s="914">
        <f>U149</f>
        <v/>
      </c>
      <c r="V162" s="914">
        <f>V149</f>
        <v/>
      </c>
      <c r="W162" s="562">
        <f>SUM(K162:V162)</f>
        <v/>
      </c>
      <c r="X162" s="475">
        <f>W162/W163</f>
        <v/>
      </c>
    </row>
    <row r="163" ht="13.15" customHeight="1" s="1232">
      <c r="I163" s="444" t="n"/>
      <c r="K163" s="563">
        <f>K161+K162</f>
        <v/>
      </c>
      <c r="L163" s="563">
        <f>L161+L162</f>
        <v/>
      </c>
      <c r="M163" s="563">
        <f>M161+M162</f>
        <v/>
      </c>
      <c r="N163" s="563">
        <f>N161+N162</f>
        <v/>
      </c>
      <c r="O163" s="563">
        <f>O161+O162</f>
        <v/>
      </c>
      <c r="P163" s="563">
        <f>P161+P162</f>
        <v/>
      </c>
      <c r="Q163" s="563">
        <f>Q161+Q162</f>
        <v/>
      </c>
      <c r="R163" s="563">
        <f>R161+R162</f>
        <v/>
      </c>
      <c r="S163" s="563">
        <f>S161+S162</f>
        <v/>
      </c>
      <c r="T163" s="563">
        <f>T161+T162</f>
        <v/>
      </c>
      <c r="U163" s="563">
        <f>U161+U162</f>
        <v/>
      </c>
      <c r="V163" s="563">
        <f>V161+V162</f>
        <v/>
      </c>
      <c r="W163" s="563">
        <f>W161+W162</f>
        <v/>
      </c>
      <c r="X163" s="564" t="n"/>
    </row>
    <row r="164">
      <c r="J164" s="914" t="n"/>
      <c r="K164" s="914" t="n"/>
      <c r="L164" s="914" t="n"/>
      <c r="M164" s="914" t="n"/>
      <c r="N164" s="914" t="n"/>
      <c r="O164" s="914" t="n"/>
      <c r="P164" s="914" t="n"/>
      <c r="Q164" s="914" t="n"/>
      <c r="R164" s="914" t="n"/>
      <c r="S164" s="914" t="n"/>
      <c r="T164" s="914" t="n"/>
      <c r="U164" s="914" t="n"/>
      <c r="V164" s="914" t="n"/>
      <c r="W164" s="914" t="n"/>
      <c r="X164" s="914" t="n"/>
    </row>
    <row r="165" ht="13.15" customHeight="1" s="1232">
      <c r="I165" s="556" t="inlineStr">
        <is>
          <t>Booking source  Units</t>
        </is>
      </c>
      <c r="K165" s="1332" t="inlineStr">
        <is>
          <t>Jan</t>
        </is>
      </c>
      <c r="L165" s="1332" t="inlineStr">
        <is>
          <t>Feb</t>
        </is>
      </c>
      <c r="M165" s="1332" t="inlineStr">
        <is>
          <t>Mar</t>
        </is>
      </c>
      <c r="N165" s="1332" t="inlineStr">
        <is>
          <t>Apr</t>
        </is>
      </c>
      <c r="O165" s="1332" t="inlineStr">
        <is>
          <t>May</t>
        </is>
      </c>
      <c r="P165" s="1332" t="inlineStr">
        <is>
          <t>Jun</t>
        </is>
      </c>
      <c r="Q165" s="1332" t="inlineStr">
        <is>
          <t>Jul</t>
        </is>
      </c>
      <c r="R165" s="1332" t="inlineStr">
        <is>
          <t>Aug</t>
        </is>
      </c>
      <c r="S165" s="1332" t="inlineStr">
        <is>
          <t>Sep</t>
        </is>
      </c>
      <c r="T165" s="1332" t="inlineStr">
        <is>
          <t>Oct</t>
        </is>
      </c>
      <c r="U165" s="1332" t="inlineStr">
        <is>
          <t>Nov</t>
        </is>
      </c>
      <c r="V165" s="1332" t="inlineStr">
        <is>
          <t>Dec</t>
        </is>
      </c>
      <c r="W165" s="1332" t="inlineStr">
        <is>
          <t>Year</t>
        </is>
      </c>
      <c r="X165" s="1278" t="inlineStr">
        <is>
          <t>Split</t>
        </is>
      </c>
    </row>
    <row r="166" ht="13.15" customHeight="1" s="1232">
      <c r="I166" s="444" t="inlineStr">
        <is>
          <t>New Clients</t>
        </is>
      </c>
      <c r="K166" s="914">
        <f>K93-K167</f>
        <v/>
      </c>
      <c r="L166" s="914">
        <f>L93-L167</f>
        <v/>
      </c>
      <c r="M166" s="914">
        <f>M93-M167</f>
        <v/>
      </c>
      <c r="N166" s="914">
        <f>N93-N167</f>
        <v/>
      </c>
      <c r="O166" s="914">
        <f>O93-O167</f>
        <v/>
      </c>
      <c r="P166" s="914">
        <f>P93-P167</f>
        <v/>
      </c>
      <c r="Q166" s="914">
        <f>Q93-Q167</f>
        <v/>
      </c>
      <c r="R166" s="914">
        <f>R93-R167</f>
        <v/>
      </c>
      <c r="S166" s="914">
        <f>S93-S167</f>
        <v/>
      </c>
      <c r="T166" s="914">
        <f>T93-T167</f>
        <v/>
      </c>
      <c r="U166" s="914">
        <f>U93-U167</f>
        <v/>
      </c>
      <c r="V166" s="914">
        <f>V93-V167</f>
        <v/>
      </c>
      <c r="W166" s="554">
        <f>SUM(K166:V166)</f>
        <v/>
      </c>
      <c r="X166" s="475">
        <f>W166/W168</f>
        <v/>
      </c>
    </row>
    <row r="167" ht="13.15" customHeight="1" s="1232">
      <c r="I167" s="561" t="inlineStr">
        <is>
          <t>Existing</t>
        </is>
      </c>
      <c r="K167" s="914">
        <f>COUNTIFS($A$205:$A$513,"&gt;31/12/2023",$A$205:$A$513,"&lt;1/2/2024",$G$205:$G$513,"Existing")</f>
        <v/>
      </c>
      <c r="L167" s="432">
        <f>COUNTIFS($A$205:$A$513,"&gt;31/1/2024",$A$205:$A$513,"&lt;1/3/2024",$G$205:$G$513,$I167)</f>
        <v/>
      </c>
      <c r="M167" s="432">
        <f>COUNTIFS($A$205:$A$513,"&gt;28/2/2024",$A$205:$A$513,"&lt;1/4/2024",$G$205:$G$513,$I167)</f>
        <v/>
      </c>
      <c r="N167" s="432">
        <f>COUNTIFS($A$205:$A$513,"&gt;31/3/2024",$A$205:$A$513,"&lt;1/5/2024",$G$205:$G$513,$I167)</f>
        <v/>
      </c>
      <c r="O167" s="432">
        <f>COUNTIFS($A$205:$A$513,"&gt;30/4/2024",$A$205:$A$513,"&lt;1/6/2024",$G$205:$G$513,$I167)</f>
        <v/>
      </c>
      <c r="P167" s="432">
        <f>COUNTIFS($A$205:$A$513,"&gt;31/5/2024",$A$205:$A$513,"&lt;1/7/2024",$G$205:$G$513,$I167)</f>
        <v/>
      </c>
      <c r="Q167" s="432">
        <f>COUNTIFS($A$205:$A$513,"&gt;30/6/2024",$A$205:$A$513,"&lt;1/8/2024",$G$205:$G$513,$I167)</f>
        <v/>
      </c>
      <c r="R167" s="432">
        <f>COUNTIFS($A$205:$A$513,"&gt;31/7/2024",$A$205:$A$513,"&lt;1/9/2024",$G$205:$G$513,$I167)</f>
        <v/>
      </c>
      <c r="S167" s="432">
        <f>COUNTIFS($A$205:$A$513,"&gt;31/8/2024",$A$205:$A$513,"&lt;1/10/2024",$G$205:$G$513,$I167)</f>
        <v/>
      </c>
      <c r="T167" s="432">
        <f>COUNTIFS($A$205:$A$513,"&gt;30/9/2024",$A$205:$A$513,"&lt;1/11/2024",$G$205:$G$513,$I167)</f>
        <v/>
      </c>
      <c r="U167" s="432">
        <f>COUNTIFS($A$205:$A$513,"&gt;31/10/2024",$A$205:$A$513,"&lt;1/12/2024",$G$205:$G$513,$I167)</f>
        <v/>
      </c>
      <c r="V167" s="432">
        <f>COUNTIFS($A$205:$A$513,"&gt;30/11/2024",$A$205:$A$513,"&lt;1/1/2024",$G$205:$G$513,$I167)</f>
        <v/>
      </c>
      <c r="W167" s="554">
        <f>SUM(K167:V167)</f>
        <v/>
      </c>
      <c r="X167" s="475">
        <f>W167/$W$168</f>
        <v/>
      </c>
    </row>
    <row r="168" ht="13.15" customHeight="1" s="1232">
      <c r="J168" s="914" t="n"/>
      <c r="K168" s="563">
        <f>K166+K167</f>
        <v/>
      </c>
      <c r="L168" s="563">
        <f>L166+L167</f>
        <v/>
      </c>
      <c r="M168" s="563">
        <f>M166+M167</f>
        <v/>
      </c>
      <c r="N168" s="563">
        <f>N166+N167</f>
        <v/>
      </c>
      <c r="O168" s="563">
        <f>O166+O167</f>
        <v/>
      </c>
      <c r="P168" s="563">
        <f>P166+P167</f>
        <v/>
      </c>
      <c r="Q168" s="563">
        <f>Q166+Q167</f>
        <v/>
      </c>
      <c r="R168" s="563">
        <f>R166+R167</f>
        <v/>
      </c>
      <c r="S168" s="563">
        <f>S166+S167</f>
        <v/>
      </c>
      <c r="T168" s="563">
        <f>T166+T167</f>
        <v/>
      </c>
      <c r="U168" s="563">
        <f>U166+U167</f>
        <v/>
      </c>
      <c r="V168" s="563">
        <f>V166+V167</f>
        <v/>
      </c>
      <c r="W168" s="563">
        <f>W166+W167</f>
        <v/>
      </c>
      <c r="X168" s="564" t="n"/>
    </row>
    <row r="169" ht="13.15" customHeight="1" s="1232">
      <c r="J169" s="914" t="n"/>
      <c r="K169" s="791">
        <f>K93-K168</f>
        <v/>
      </c>
      <c r="L169" s="791">
        <f>L93-L168</f>
        <v/>
      </c>
      <c r="M169" s="791">
        <f>M93-M168</f>
        <v/>
      </c>
      <c r="N169" s="791">
        <f>N93-N168</f>
        <v/>
      </c>
      <c r="O169" s="791">
        <f>O93-O168</f>
        <v/>
      </c>
      <c r="P169" s="791">
        <f>P93-P168</f>
        <v/>
      </c>
      <c r="Q169" s="791">
        <f>Q93-Q168</f>
        <v/>
      </c>
      <c r="R169" s="791">
        <f>R93-R168</f>
        <v/>
      </c>
      <c r="S169" s="791">
        <f>S93-S168</f>
        <v/>
      </c>
      <c r="T169" s="791">
        <f>T93-T168</f>
        <v/>
      </c>
      <c r="U169" s="791">
        <f>U93-U168</f>
        <v/>
      </c>
      <c r="V169" s="791">
        <f>V93-V168</f>
        <v/>
      </c>
      <c r="W169" s="791">
        <f>W93-W168</f>
        <v/>
      </c>
      <c r="X169" s="475" t="n"/>
    </row>
    <row r="170" ht="13.15" customHeight="1" s="1232">
      <c r="I170" s="556" t="inlineStr">
        <is>
          <t>Booking source  AVG PPU</t>
        </is>
      </c>
      <c r="K170" s="1332" t="inlineStr">
        <is>
          <t>Jan</t>
        </is>
      </c>
      <c r="L170" s="1332" t="inlineStr">
        <is>
          <t>Feb</t>
        </is>
      </c>
      <c r="M170" s="1332" t="inlineStr">
        <is>
          <t>Mar</t>
        </is>
      </c>
      <c r="N170" s="1332" t="inlineStr">
        <is>
          <t>Apr</t>
        </is>
      </c>
      <c r="O170" s="1332" t="inlineStr">
        <is>
          <t>May</t>
        </is>
      </c>
      <c r="P170" s="1332" t="inlineStr">
        <is>
          <t>Jun</t>
        </is>
      </c>
      <c r="Q170" s="1332" t="inlineStr">
        <is>
          <t>Jul</t>
        </is>
      </c>
      <c r="R170" s="1332" t="inlineStr">
        <is>
          <t>Aug</t>
        </is>
      </c>
      <c r="S170" s="1332" t="inlineStr">
        <is>
          <t>Sep</t>
        </is>
      </c>
      <c r="T170" s="1332" t="inlineStr">
        <is>
          <t>Oct</t>
        </is>
      </c>
      <c r="U170" s="1332" t="inlineStr">
        <is>
          <t>Nov</t>
        </is>
      </c>
      <c r="V170" s="1332" t="inlineStr">
        <is>
          <t>Dec</t>
        </is>
      </c>
      <c r="W170" s="1332" t="inlineStr">
        <is>
          <t>Year</t>
        </is>
      </c>
      <c r="X170" s="1278" t="inlineStr">
        <is>
          <t>Split</t>
        </is>
      </c>
    </row>
    <row r="171" ht="13.15" customHeight="1" s="1232">
      <c r="I171" s="444" t="inlineStr">
        <is>
          <t>New Clients</t>
        </is>
      </c>
      <c r="K171" s="914">
        <f>IFERROR(K161/K166,0)</f>
        <v/>
      </c>
      <c r="L171" s="914">
        <f>IFERROR(L161/L166,0)</f>
        <v/>
      </c>
      <c r="M171" s="914">
        <f>IFERROR(M161/M166,0)</f>
        <v/>
      </c>
      <c r="N171" s="914">
        <f>IFERROR(N161/N166,0)</f>
        <v/>
      </c>
      <c r="O171" s="914">
        <f>IFERROR(O161/O166,0)</f>
        <v/>
      </c>
      <c r="P171" s="914">
        <f>IFERROR(P161/P166,0)</f>
        <v/>
      </c>
      <c r="Q171" s="914">
        <f>IFERROR(Q161/Q166,0)</f>
        <v/>
      </c>
      <c r="R171" s="914">
        <f>IFERROR(R161/R166,0)</f>
        <v/>
      </c>
      <c r="S171" s="914">
        <f>IFERROR(S161/S166,0)</f>
        <v/>
      </c>
      <c r="T171" s="914">
        <f>IFERROR(T161/T166,0)</f>
        <v/>
      </c>
      <c r="U171" s="914">
        <f>IFERROR(U161/U166,0)</f>
        <v/>
      </c>
      <c r="V171" s="914">
        <f>IFERROR(V161/V166,0)</f>
        <v/>
      </c>
      <c r="W171" s="554">
        <f>AVERAGE(K171:V171)</f>
        <v/>
      </c>
      <c r="X171" s="475">
        <f>W171/W173</f>
        <v/>
      </c>
    </row>
    <row r="172" ht="13.15" customHeight="1" s="1232">
      <c r="I172" s="444" t="inlineStr">
        <is>
          <t>Existing Clients</t>
        </is>
      </c>
      <c r="K172" s="914">
        <f>IFERROR(K162/K167,0)</f>
        <v/>
      </c>
      <c r="L172" s="914">
        <f>IFERROR(L162/L167,0)</f>
        <v/>
      </c>
      <c r="M172" s="914">
        <f>IFERROR(M162/M167,0)</f>
        <v/>
      </c>
      <c r="N172" s="914">
        <f>IFERROR(N162/N167,0)</f>
        <v/>
      </c>
      <c r="O172" s="914">
        <f>IFERROR(O162/O167,0)</f>
        <v/>
      </c>
      <c r="P172" s="914">
        <f>IFERROR(P162/P167,0)</f>
        <v/>
      </c>
      <c r="Q172" s="914">
        <f>IFERROR(Q162/Q167,0)</f>
        <v/>
      </c>
      <c r="R172" s="914">
        <f>IFERROR(R162/R167,0)</f>
        <v/>
      </c>
      <c r="S172" s="914">
        <f>IFERROR(S162/S167,0)</f>
        <v/>
      </c>
      <c r="T172" s="914">
        <f>IFERROR(T162/T167,0)</f>
        <v/>
      </c>
      <c r="U172" s="914">
        <f>IFERROR(U162/U167,0)</f>
        <v/>
      </c>
      <c r="V172" s="914">
        <f>IFERROR(V162/V167,0)</f>
        <v/>
      </c>
      <c r="W172" s="554">
        <f>AVERAGE(K172:V172)</f>
        <v/>
      </c>
      <c r="X172" s="475">
        <f>W172/$W$173</f>
        <v/>
      </c>
    </row>
    <row r="173" ht="13.15" customHeight="1" s="1232">
      <c r="J173" s="914" t="n"/>
      <c r="K173" s="563">
        <f>K171+K172</f>
        <v/>
      </c>
      <c r="L173" s="563">
        <f>L171+L172</f>
        <v/>
      </c>
      <c r="M173" s="563">
        <f>M171+M172</f>
        <v/>
      </c>
      <c r="N173" s="563">
        <f>N171+N172</f>
        <v/>
      </c>
      <c r="O173" s="563">
        <f>O171+O172</f>
        <v/>
      </c>
      <c r="P173" s="563">
        <f>P171+P172</f>
        <v/>
      </c>
      <c r="Q173" s="563">
        <f>Q171+Q172</f>
        <v/>
      </c>
      <c r="R173" s="563">
        <f>R171+R172</f>
        <v/>
      </c>
      <c r="S173" s="563">
        <f>S171+S172</f>
        <v/>
      </c>
      <c r="T173" s="563">
        <f>T171+T172</f>
        <v/>
      </c>
      <c r="U173" s="563">
        <f>U171+U172</f>
        <v/>
      </c>
      <c r="V173" s="563">
        <f>V171+V172</f>
        <v/>
      </c>
      <c r="W173" s="563">
        <f>W171+W172</f>
        <v/>
      </c>
      <c r="X173" s="564" t="n"/>
    </row>
    <row r="174"/>
    <row r="175"/>
    <row r="176"/>
    <row r="177"/>
    <row r="178"/>
    <row r="179"/>
    <row r="180"/>
    <row r="181"/>
    <row r="182"/>
    <row r="183"/>
    <row r="184"/>
    <row r="185"/>
    <row r="186"/>
    <row r="187"/>
    <row r="188"/>
    <row r="189"/>
    <row r="190"/>
    <row r="191"/>
    <row r="192"/>
    <row r="193"/>
    <row r="194"/>
    <row r="195"/>
    <row r="196"/>
    <row r="197"/>
    <row r="198"/>
    <row r="199"/>
    <row r="200"/>
    <row r="201" ht="13.15" customHeight="1" s="1232">
      <c r="E201" s="605">
        <f>SUM(E205:E513)</f>
        <v/>
      </c>
    </row>
    <row r="202" ht="13.9" customHeight="1" s="1232">
      <c r="A202" s="1345" t="inlineStr">
        <is>
          <t>Date</t>
        </is>
      </c>
      <c r="B202" s="1346" t="inlineStr">
        <is>
          <t>Client</t>
        </is>
      </c>
      <c r="C202" s="1346" t="inlineStr">
        <is>
          <t>Category</t>
        </is>
      </c>
      <c r="D202" s="1346" t="inlineStr">
        <is>
          <t>Funding</t>
        </is>
      </c>
      <c r="E202" s="1347" t="inlineStr">
        <is>
          <t>Amount</t>
        </is>
      </c>
      <c r="F202" s="1346" t="inlineStr">
        <is>
          <t>Event</t>
        </is>
      </c>
      <c r="G202" s="1346" t="inlineStr">
        <is>
          <t>Source</t>
        </is>
      </c>
    </row>
    <row r="203"/>
    <row r="204"/>
    <row r="205" ht="13.5" customHeight="1" s="1232">
      <c r="A205" s="1348" t="n"/>
      <c r="B205" s="1349" t="n"/>
      <c r="C205" s="1350" t="n"/>
      <c r="D205" s="1349" t="n"/>
      <c r="E205" s="1351" t="n"/>
      <c r="F205" s="1349" t="n"/>
      <c r="G205" s="1349" t="n"/>
      <c r="I205" t="inlineStr">
        <is>
          <t>Canonical Product</t>
        </is>
      </c>
      <c r="J205" t="inlineStr">
        <is>
          <t>Landing Page URL</t>
        </is>
      </c>
    </row>
    <row r="206" ht="13.5" customHeight="1" s="1232">
      <c r="A206" s="1348" t="n">
        <v>45656</v>
      </c>
      <c r="B206" s="1349" t="inlineStr">
        <is>
          <t>Quentin Melhuish</t>
        </is>
      </c>
      <c r="C206" s="1350" t="inlineStr">
        <is>
          <t>12. Other</t>
        </is>
      </c>
      <c r="D206" s="1349" t="inlineStr">
        <is>
          <t>Stripe</t>
        </is>
      </c>
      <c r="E206" s="1351" t="n">
        <v>25</v>
      </c>
      <c r="F206" s="1349" t="inlineStr">
        <is>
          <t>E-Book Foundation</t>
        </is>
      </c>
      <c r="G206" s="1349" t="inlineStr">
        <is>
          <t>Existing</t>
        </is>
      </c>
      <c r="I206" t="inlineStr">
        <is>
          <t>Academy - Membership / eBook / Exams (historical bundle)</t>
        </is>
      </c>
      <c r="J206" t="inlineStr">
        <is>
          <t>https://www.alanranger.com/free-online-photography-course</t>
        </is>
      </c>
    </row>
    <row r="207" ht="13.5" customHeight="1" s="1232">
      <c r="A207" s="1348" t="n">
        <v>45655</v>
      </c>
      <c r="B207" s="1349" t="inlineStr">
        <is>
          <t>Matthew Minton</t>
        </is>
      </c>
      <c r="C207" s="1350" t="inlineStr">
        <is>
          <t>2. Workshops Non Residential</t>
        </is>
      </c>
      <c r="D207" s="1349" t="inlineStr">
        <is>
          <t>PayPal</t>
        </is>
      </c>
      <c r="E207" s="1351" t="n">
        <v>250</v>
      </c>
      <c r="F207" s="1349" t="inlineStr">
        <is>
          <t>Bluebells</t>
        </is>
      </c>
      <c r="G207" s="1349" t="inlineStr">
        <is>
          <t>Google</t>
        </is>
      </c>
      <c r="I207" t="inlineStr">
        <is>
          <t>BLUEBELL WOODLANDS Photography - Warks - 20 Apr- 30 Apr</t>
        </is>
      </c>
      <c r="J207" t="inlineStr">
        <is>
          <t>https://www.alanranger.com/one-day-landscape-photography-workshops</t>
        </is>
      </c>
    </row>
    <row r="208" ht="13.5" customHeight="1" s="1232">
      <c r="A208" s="1348" t="n">
        <v>45650</v>
      </c>
      <c r="B208" s="1349" t="inlineStr">
        <is>
          <t>Marilyn Milestone</t>
        </is>
      </c>
      <c r="C208" s="1350" t="inlineStr">
        <is>
          <t>8. Gift Vouchers Inc</t>
        </is>
      </c>
      <c r="D208" s="1349" t="inlineStr">
        <is>
          <t>Stripe</t>
        </is>
      </c>
      <c r="E208" s="1351" t="n">
        <v>300</v>
      </c>
      <c r="F208" s="1349" t="inlineStr">
        <is>
          <t>Digital Gift Card</t>
        </is>
      </c>
      <c r="G208" s="1349" t="inlineStr">
        <is>
          <t>Google</t>
        </is>
      </c>
      <c r="I208" t="inlineStr">
        <is>
          <t>Gift Voucher - Digital eCard</t>
        </is>
      </c>
      <c r="J208" t="inlineStr">
        <is>
          <t>https://www.alanranger.com/photography-gift-vouchers</t>
        </is>
      </c>
    </row>
    <row r="209" ht="13.5" customHeight="1" s="1232">
      <c r="A209" s="1348" t="n">
        <v>45648</v>
      </c>
      <c r="B209" s="1349" t="inlineStr">
        <is>
          <t>Michael Jaye</t>
        </is>
      </c>
      <c r="C209" s="1350" t="inlineStr">
        <is>
          <t>2. Workshops Non Residential</t>
        </is>
      </c>
      <c r="D209" s="1349" t="inlineStr">
        <is>
          <t>Stripe</t>
        </is>
      </c>
      <c r="E209" s="1351" t="n">
        <v>15</v>
      </c>
      <c r="F209" s="1349" t="inlineStr">
        <is>
          <t>Woodland Walk</t>
        </is>
      </c>
      <c r="G209" s="1349" t="inlineStr">
        <is>
          <t>Existing</t>
        </is>
      </c>
      <c r="I209" t="inlineStr">
        <is>
          <t>Woodland Photography Walk - Warwickshire (half-day low-cost)</t>
        </is>
      </c>
      <c r="J209" t="inlineStr">
        <is>
          <t>https://www.alanranger.com/landscape-photography-workshops</t>
        </is>
      </c>
    </row>
    <row r="210" ht="13.5" customHeight="1" s="1232">
      <c r="A210" s="1348" t="n">
        <v>45644</v>
      </c>
      <c r="B210" s="1349" t="inlineStr">
        <is>
          <t>Andrew Shelton</t>
        </is>
      </c>
      <c r="C210" s="1350" t="inlineStr">
        <is>
          <t>8. Gift Vouchers Inc</t>
        </is>
      </c>
      <c r="D210" s="1349" t="inlineStr">
        <is>
          <t>Stripe</t>
        </is>
      </c>
      <c r="E210" s="1351" t="n">
        <v>300</v>
      </c>
      <c r="F210" s="1349" t="inlineStr">
        <is>
          <t>Digital Gift Card</t>
        </is>
      </c>
      <c r="G210" s="1349" t="inlineStr">
        <is>
          <t>Google</t>
        </is>
      </c>
      <c r="I210" t="inlineStr">
        <is>
          <t>Gift Voucher - Digital eCard</t>
        </is>
      </c>
      <c r="J210" t="inlineStr">
        <is>
          <t>https://www.alanranger.com/photography-gift-vouchers</t>
        </is>
      </c>
    </row>
    <row r="211" ht="13.5" customHeight="1" s="1232">
      <c r="A211" s="1348" t="n">
        <v>45643</v>
      </c>
      <c r="B211" s="1349" t="inlineStr">
        <is>
          <t>PhotoCrwod</t>
        </is>
      </c>
      <c r="C211" s="1350" t="inlineStr">
        <is>
          <t>11 Commissions</t>
        </is>
      </c>
      <c r="D211" s="1349" t="inlineStr">
        <is>
          <t>Bank</t>
        </is>
      </c>
      <c r="E211" s="1351" t="n">
        <v>185</v>
      </c>
      <c r="F211" s="1349" t="inlineStr">
        <is>
          <t>Judging</t>
        </is>
      </c>
      <c r="G211" s="1349" t="inlineStr">
        <is>
          <t>Existing</t>
        </is>
      </c>
      <c r="I211" t="inlineStr">
        <is>
          <t>Commission - Editorial / Guest Blog / Judging</t>
        </is>
      </c>
      <c r="J211" t="inlineStr">
        <is>
          <t>https://www.alanranger.com/corporate-photography-training</t>
        </is>
      </c>
    </row>
    <row r="212" ht="13.5" customHeight="1" s="1232">
      <c r="A212" s="1348" t="n">
        <v>45641</v>
      </c>
      <c r="B212" s="1349" t="inlineStr">
        <is>
          <t>Shelly Soo</t>
        </is>
      </c>
      <c r="C212" s="1350" t="inlineStr">
        <is>
          <t>7. 1-2-1</t>
        </is>
      </c>
      <c r="D212" s="1349" t="inlineStr">
        <is>
          <t>Stripe</t>
        </is>
      </c>
      <c r="E212" s="1351" t="n">
        <v>50</v>
      </c>
      <c r="F212" s="1349" t="inlineStr">
        <is>
          <t>Zoom 1hr</t>
        </is>
      </c>
      <c r="G212" s="1349" t="inlineStr">
        <is>
          <t>Existing</t>
        </is>
      </c>
      <c r="I212" t="inlineStr">
        <is>
          <t>1-2-1 Single Session - 1hr Zoom</t>
        </is>
      </c>
      <c r="J212" t="inlineStr">
        <is>
          <t>https://www.alanranger.com/photography-lessons-online-121</t>
        </is>
      </c>
    </row>
    <row r="213" ht="13.5" customHeight="1" s="1232">
      <c r="A213" s="1348" t="n">
        <v>45642</v>
      </c>
      <c r="B213" s="1349" t="inlineStr">
        <is>
          <t>Caroline Jenner</t>
        </is>
      </c>
      <c r="C213" s="1350" t="inlineStr">
        <is>
          <t>2. Workshops Non Residential</t>
        </is>
      </c>
      <c r="D213" s="1349" t="inlineStr">
        <is>
          <t>PayPal</t>
        </is>
      </c>
      <c r="E213" s="1351" t="n">
        <v>125</v>
      </c>
      <c r="F213" s="1349" t="inlineStr">
        <is>
          <t>Bluebells</t>
        </is>
      </c>
      <c r="G213" s="1349" t="inlineStr">
        <is>
          <t>Google</t>
        </is>
      </c>
      <c r="I213" t="inlineStr">
        <is>
          <t>BLUEBELL WOODLANDS Photography - Warks - 20 Apr- 30 Apr</t>
        </is>
      </c>
      <c r="J213" t="inlineStr">
        <is>
          <t>https://www.alanranger.com/one-day-landscape-photography-workshops</t>
        </is>
      </c>
    </row>
    <row r="214" ht="13.5" customHeight="1" s="1232">
      <c r="A214" s="1348" t="n">
        <v>45634</v>
      </c>
      <c r="B214" s="1349" t="inlineStr">
        <is>
          <t>J S Smith</t>
        </is>
      </c>
      <c r="C214" s="1350" t="inlineStr">
        <is>
          <t>8. Gift Vouchers Inc</t>
        </is>
      </c>
      <c r="D214" s="1349" t="inlineStr">
        <is>
          <t>Stripe</t>
        </is>
      </c>
      <c r="E214" s="1351" t="n">
        <v>150</v>
      </c>
      <c r="F214" s="1349" t="inlineStr">
        <is>
          <t>Digital Gift Card</t>
        </is>
      </c>
      <c r="G214" s="1349" t="inlineStr">
        <is>
          <t>Google</t>
        </is>
      </c>
      <c r="I214" t="inlineStr">
        <is>
          <t>Gift Voucher - Digital eCard</t>
        </is>
      </c>
      <c r="J214" t="inlineStr">
        <is>
          <t>https://www.alanranger.com/photography-gift-vouchers</t>
        </is>
      </c>
    </row>
    <row r="215" ht="13.5" customHeight="1" s="1232">
      <c r="A215" s="1348" t="n">
        <v>45634</v>
      </c>
      <c r="B215" s="1349" t="inlineStr">
        <is>
          <t>Arpit Arora</t>
        </is>
      </c>
      <c r="C215" s="1350" t="inlineStr">
        <is>
          <t>11 Commissions</t>
        </is>
      </c>
      <c r="D215" s="1349" t="inlineStr">
        <is>
          <t>Stripe</t>
        </is>
      </c>
      <c r="E215" s="1351" t="n">
        <v>42</v>
      </c>
      <c r="F215" s="1349" t="inlineStr">
        <is>
          <t>Corporate Training</t>
        </is>
      </c>
      <c r="G215" s="1349" t="inlineStr">
        <is>
          <t>Existing</t>
        </is>
      </c>
      <c r="I215" t="inlineStr">
        <is>
          <t>Commission - Corporate / Staff Training</t>
        </is>
      </c>
      <c r="J215" t="inlineStr">
        <is>
          <t>https://www.alanranger.com/corporate-photography-training</t>
        </is>
      </c>
    </row>
    <row r="216" ht="13.5" customHeight="1" s="1232">
      <c r="A216" s="1348" t="n">
        <v>45633</v>
      </c>
      <c r="B216" s="1349" t="inlineStr">
        <is>
          <t>Arpit Arora</t>
        </is>
      </c>
      <c r="C216" s="1350" t="inlineStr">
        <is>
          <t>11 Commissions</t>
        </is>
      </c>
      <c r="D216" s="1349" t="inlineStr">
        <is>
          <t>Stripe</t>
        </is>
      </c>
      <c r="E216" s="1351" t="n">
        <v>350</v>
      </c>
      <c r="F216" s="1349" t="inlineStr">
        <is>
          <t>Corporate Training</t>
        </is>
      </c>
      <c r="G216" s="1349" t="inlineStr">
        <is>
          <t>Existing</t>
        </is>
      </c>
      <c r="I216" t="inlineStr">
        <is>
          <t>Commission - Corporate / Staff Training</t>
        </is>
      </c>
      <c r="J216" t="inlineStr">
        <is>
          <t>https://www.alanranger.com/corporate-photography-training</t>
        </is>
      </c>
    </row>
    <row r="217" ht="13.5" customHeight="1" s="1232">
      <c r="A217" s="1348" t="n">
        <v>45630</v>
      </c>
      <c r="B217" s="1349" t="inlineStr">
        <is>
          <t>Anne Ovens</t>
        </is>
      </c>
      <c r="C217" s="1350" t="inlineStr">
        <is>
          <t>7. 1-2-1</t>
        </is>
      </c>
      <c r="D217" s="1349" t="inlineStr">
        <is>
          <t>Stripe</t>
        </is>
      </c>
      <c r="E217" s="1351" t="n">
        <v>195</v>
      </c>
      <c r="F217" s="1349" t="inlineStr">
        <is>
          <t>3hr Location 1-2-1</t>
        </is>
      </c>
      <c r="G217" s="1349" t="inlineStr">
        <is>
          <t>Google</t>
        </is>
      </c>
      <c r="I217" t="inlineStr">
        <is>
          <t>1-2-1 Single Session - 2hr (Face-to-Face)</t>
        </is>
      </c>
      <c r="J217" t="inlineStr">
        <is>
          <t>https://www.alanranger.com/private-photography-lessons</t>
        </is>
      </c>
    </row>
    <row r="218" ht="13.5" customHeight="1" s="1232">
      <c r="A218" s="1348" t="n">
        <v>45630</v>
      </c>
      <c r="B218" s="1349" t="inlineStr">
        <is>
          <t>Asha Jutti</t>
        </is>
      </c>
      <c r="C218" s="1350" t="inlineStr">
        <is>
          <t>8. Gift Vouchers Inc</t>
        </is>
      </c>
      <c r="D218" s="1349" t="inlineStr">
        <is>
          <t>PayPal</t>
        </is>
      </c>
      <c r="E218" s="1351" t="n">
        <v>50</v>
      </c>
      <c r="F218" s="1349" t="inlineStr">
        <is>
          <t>Digital Gift Card</t>
        </is>
      </c>
      <c r="G218" s="1349" t="inlineStr">
        <is>
          <t>Google</t>
        </is>
      </c>
      <c r="I218" t="inlineStr">
        <is>
          <t>Gift Voucher - Digital eCard</t>
        </is>
      </c>
      <c r="J218" t="inlineStr">
        <is>
          <t>https://www.alanranger.com/photography-gift-vouchers</t>
        </is>
      </c>
    </row>
    <row r="219" ht="13.5" customHeight="1" s="1232">
      <c r="A219" s="1348" t="n">
        <v>45629</v>
      </c>
      <c r="B219" s="1349" t="inlineStr">
        <is>
          <t>Myra Little</t>
        </is>
      </c>
      <c r="C219" s="1350" t="inlineStr">
        <is>
          <t>7. 1-2-1</t>
        </is>
      </c>
      <c r="D219" s="1349" t="inlineStr">
        <is>
          <t>Stripe</t>
        </is>
      </c>
      <c r="E219" s="1351" t="n">
        <v>170</v>
      </c>
      <c r="F219" s="1349" t="inlineStr">
        <is>
          <t>Zoom 1-2-1s</t>
        </is>
      </c>
      <c r="G219" s="1349" t="inlineStr">
        <is>
          <t>Existing</t>
        </is>
      </c>
      <c r="I219" t="inlineStr">
        <is>
          <t>1-2-1 Package - 4 x 1hr Zoom</t>
        </is>
      </c>
      <c r="J219" t="inlineStr">
        <is>
          <t>https://www.alanranger.com/photography-lessons-online-121</t>
        </is>
      </c>
    </row>
    <row r="220" ht="13.5" customHeight="1" s="1232">
      <c r="A220" s="1348" t="n">
        <v>45628</v>
      </c>
      <c r="B220" s="1349" t="inlineStr">
        <is>
          <t>Chris Dunn</t>
        </is>
      </c>
      <c r="C220" s="1350" t="inlineStr">
        <is>
          <t>1. Courses/masterclasses</t>
        </is>
      </c>
      <c r="D220" s="1349" t="inlineStr">
        <is>
          <t>Stripe</t>
        </is>
      </c>
      <c r="E220" s="1351" t="n">
        <v>395</v>
      </c>
      <c r="F220" s="1349" t="inlineStr">
        <is>
          <t>RPS Course</t>
        </is>
      </c>
      <c r="G220" s="1349" t="inlineStr">
        <is>
          <t>Google</t>
        </is>
      </c>
      <c r="I220" t="inlineStr">
        <is>
          <t>RPS Mentoring Course (historical)</t>
        </is>
      </c>
      <c r="J220" t="inlineStr">
        <is>
          <t>https://www.alanranger.com/rps-courses-mentoring-distinctions</t>
        </is>
      </c>
    </row>
    <row r="221" ht="13.5" customHeight="1" s="1232">
      <c r="A221" s="1348" t="n">
        <v>45627</v>
      </c>
      <c r="B221" s="1349" t="inlineStr">
        <is>
          <t>Mentoring Subs</t>
        </is>
      </c>
      <c r="C221" s="1350" t="inlineStr">
        <is>
          <t>6. Mentoring</t>
        </is>
      </c>
      <c r="D221" s="1349" t="inlineStr">
        <is>
          <t>Stripe</t>
        </is>
      </c>
      <c r="E221" s="1351" t="n">
        <v>55</v>
      </c>
      <c r="F221" s="1349" t="inlineStr">
        <is>
          <t>Mentoring Subs</t>
        </is>
      </c>
      <c r="G221" s="1349" t="inlineStr">
        <is>
          <t>Existing</t>
        </is>
      </c>
      <c r="I221" t="inlineStr">
        <is>
          <t>Mentoring - Monthly Subscription</t>
        </is>
      </c>
      <c r="J221" t="inlineStr">
        <is>
          <t>https://www.alanranger.com/photography-mentoring-online-assignments</t>
        </is>
      </c>
    </row>
    <row r="222" ht="13.5" customHeight="1" s="1232">
      <c r="A222" s="1348" t="n"/>
      <c r="B222" s="1349" t="n"/>
      <c r="C222" s="1350" t="n"/>
      <c r="D222" s="1349" t="n"/>
      <c r="E222" s="1351" t="n"/>
      <c r="F222" s="1349" t="n"/>
      <c r="G222" s="1349" t="n"/>
    </row>
    <row r="223" ht="13.5" customHeight="1" s="1232">
      <c r="A223" s="1348" t="n">
        <v>45625</v>
      </c>
      <c r="B223" s="1349" t="inlineStr">
        <is>
          <t>Julie MacDonald</t>
        </is>
      </c>
      <c r="C223" s="1350" t="inlineStr">
        <is>
          <t>2. Workshops Non Residential</t>
        </is>
      </c>
      <c r="D223" s="1349" t="inlineStr">
        <is>
          <t>Stripe</t>
        </is>
      </c>
      <c r="E223" s="1351" t="n">
        <v>150</v>
      </c>
      <c r="F223" s="1349" t="inlineStr">
        <is>
          <t>Peak District</t>
        </is>
      </c>
      <c r="G223" s="1349" t="inlineStr">
        <is>
          <t>Google</t>
        </is>
      </c>
      <c r="I223" t="inlineStr">
        <is>
          <t>PEAK DISTRICT Photography Workshops - May, Oct and Nov</t>
        </is>
      </c>
      <c r="J223" t="inlineStr">
        <is>
          <t>https://www.alanranger.com/one-day-landscape-photography-workshops</t>
        </is>
      </c>
    </row>
    <row r="224" ht="13.5" customHeight="1" s="1232">
      <c r="A224" s="1348" t="n">
        <v>45624</v>
      </c>
      <c r="B224" s="1349" t="inlineStr">
        <is>
          <t>Shelly Soo</t>
        </is>
      </c>
      <c r="C224" s="1350" t="inlineStr">
        <is>
          <t>7. 1-2-1</t>
        </is>
      </c>
      <c r="D224" s="1349" t="inlineStr">
        <is>
          <t>Stripe</t>
        </is>
      </c>
      <c r="E224" s="1351" t="n">
        <v>95</v>
      </c>
      <c r="F224" s="1349" t="inlineStr">
        <is>
          <t>2hr Zoom 1-2-1</t>
        </is>
      </c>
      <c r="G224" s="1349" t="inlineStr">
        <is>
          <t>Existing</t>
        </is>
      </c>
      <c r="I224" t="inlineStr">
        <is>
          <t>1-2-1 Single Session - 1hr Zoom</t>
        </is>
      </c>
      <c r="J224" t="inlineStr">
        <is>
          <t>https://www.alanranger.com/photography-lessons-online-121</t>
        </is>
      </c>
    </row>
    <row r="225" ht="13.5" customHeight="1" s="1232">
      <c r="A225" s="1348" t="n">
        <v>45620</v>
      </c>
      <c r="B225" s="1349" t="inlineStr">
        <is>
          <t>Susan Dickman</t>
        </is>
      </c>
      <c r="C225" s="1350" t="inlineStr">
        <is>
          <t>7. 1-2-1</t>
        </is>
      </c>
      <c r="D225" s="1349" t="inlineStr">
        <is>
          <t>Stripe</t>
        </is>
      </c>
      <c r="E225" s="1351" t="n">
        <v>360</v>
      </c>
      <c r="F225" s="1349" t="inlineStr">
        <is>
          <t>4 x 2hr 1-2-1s</t>
        </is>
      </c>
      <c r="G225" s="1349" t="inlineStr">
        <is>
          <t>Existing</t>
        </is>
      </c>
      <c r="I225" t="inlineStr">
        <is>
          <t>1-2-1 Package - 4 x 2hr Face-to-Face (the GBP360 4-for-3)</t>
        </is>
      </c>
      <c r="J225" t="inlineStr">
        <is>
          <t>https://www.alanranger.com/private-photography-lessons</t>
        </is>
      </c>
    </row>
    <row r="226" ht="13.5" customHeight="1" s="1232">
      <c r="A226" s="1348" t="n">
        <v>45618</v>
      </c>
      <c r="B226" s="1349" t="inlineStr">
        <is>
          <t>John Gilmour</t>
        </is>
      </c>
      <c r="C226" s="1350" t="inlineStr">
        <is>
          <t>7. 1-2-1</t>
        </is>
      </c>
      <c r="D226" s="1349" t="inlineStr">
        <is>
          <t>Stripe</t>
        </is>
      </c>
      <c r="E226" s="1351" t="n">
        <v>360</v>
      </c>
      <c r="F226" s="1349" t="inlineStr">
        <is>
          <t>4 x 2hr 1-2-1s</t>
        </is>
      </c>
      <c r="G226" s="1349" t="inlineStr">
        <is>
          <t>Google</t>
        </is>
      </c>
      <c r="I226" t="inlineStr">
        <is>
          <t>1-2-1 Package - 4 x 2hr Face-to-Face (the GBP360 4-for-3)</t>
        </is>
      </c>
      <c r="J226" t="inlineStr">
        <is>
          <t>https://www.alanranger.com/private-photography-lessons</t>
        </is>
      </c>
    </row>
    <row r="227" ht="13.5" customHeight="1" s="1232">
      <c r="A227" s="1348" t="n">
        <v>45618</v>
      </c>
      <c r="B227" s="1349" t="inlineStr">
        <is>
          <t>John Gilmour</t>
        </is>
      </c>
      <c r="C227" s="1350" t="inlineStr">
        <is>
          <t>2. Workshops Non Residential</t>
        </is>
      </c>
      <c r="D227" s="1349" t="inlineStr">
        <is>
          <t>Stripe</t>
        </is>
      </c>
      <c r="E227" s="1351" t="n">
        <v>125</v>
      </c>
      <c r="F227" s="1349" t="inlineStr">
        <is>
          <t>Woodland Masterclass</t>
        </is>
      </c>
      <c r="G227" s="1349" t="inlineStr">
        <is>
          <t>Google</t>
        </is>
      </c>
      <c r="I227" t="inlineStr">
        <is>
          <t>The Secret of WOODLAND PHOTOGRAPHY- 1-Day Jan, Apr, Aug, Oct</t>
        </is>
      </c>
      <c r="J227" t="inlineStr">
        <is>
          <t>https://www.alanranger.com/one-day-landscape-photography-workshops</t>
        </is>
      </c>
    </row>
    <row r="228" ht="13.5" customHeight="1" s="1232">
      <c r="A228" s="1348" t="n">
        <v>45617</v>
      </c>
      <c r="B228" s="1349" t="inlineStr">
        <is>
          <t>Alison Morris</t>
        </is>
      </c>
      <c r="C228" s="1350" t="inlineStr">
        <is>
          <t>8. Gift Vouchers Inc</t>
        </is>
      </c>
      <c r="D228" s="1349" t="inlineStr">
        <is>
          <t>Stripe</t>
        </is>
      </c>
      <c r="E228" s="1351" t="n">
        <v>100</v>
      </c>
      <c r="F228" s="1349" t="inlineStr">
        <is>
          <t>Digital Gift Card</t>
        </is>
      </c>
      <c r="G228" s="1349" t="inlineStr">
        <is>
          <t>Google</t>
        </is>
      </c>
      <c r="I228" t="inlineStr">
        <is>
          <t>Gift Voucher - Digital eCard</t>
        </is>
      </c>
      <c r="J228" t="inlineStr">
        <is>
          <t>https://www.alanranger.com/photography-gift-vouchers</t>
        </is>
      </c>
    </row>
    <row r="229" ht="13.5" customHeight="1" s="1232">
      <c r="A229" s="1348" t="n">
        <v>45615</v>
      </c>
      <c r="B229" s="1349" t="inlineStr">
        <is>
          <t>Myra Little</t>
        </is>
      </c>
      <c r="C229" s="1350" t="inlineStr">
        <is>
          <t>6. Mentoring</t>
        </is>
      </c>
      <c r="D229" s="1349" t="inlineStr">
        <is>
          <t>Stripe</t>
        </is>
      </c>
      <c r="E229" s="1351" t="n">
        <v>15</v>
      </c>
      <c r="F229" s="1349" t="inlineStr">
        <is>
          <t>Monthly Mentoring</t>
        </is>
      </c>
      <c r="G229" s="1349" t="inlineStr">
        <is>
          <t>Existing</t>
        </is>
      </c>
      <c r="I229" t="inlineStr">
        <is>
          <t>Mentoring - Monthly Subscription</t>
        </is>
      </c>
      <c r="J229" t="inlineStr">
        <is>
          <t>https://www.alanranger.com/photography-mentoring-online-assignments</t>
        </is>
      </c>
    </row>
    <row r="230" ht="13.5" customHeight="1" s="1232">
      <c r="A230" s="1348" t="n">
        <v>45614</v>
      </c>
      <c r="B230" s="1349" t="inlineStr">
        <is>
          <t>Outdoor Photography</t>
        </is>
      </c>
      <c r="C230" s="1350" t="inlineStr">
        <is>
          <t>11 Commissions</t>
        </is>
      </c>
      <c r="D230" s="1349" t="inlineStr">
        <is>
          <t>Bank</t>
        </is>
      </c>
      <c r="E230" s="1351" t="n">
        <v>200</v>
      </c>
      <c r="F230" s="1349" t="inlineStr">
        <is>
          <t>Autumn Creative</t>
        </is>
      </c>
      <c r="G230" s="1349" t="inlineStr">
        <is>
          <t>Referral</t>
        </is>
      </c>
      <c r="I230" t="inlineStr">
        <is>
          <t>Commission - Editorial / Guest Blog / Judging</t>
        </is>
      </c>
      <c r="J230" t="inlineStr">
        <is>
          <t>https://www.alanranger.com/corporate-photography-training</t>
        </is>
      </c>
    </row>
    <row r="231" ht="13.5" customHeight="1" s="1232">
      <c r="A231" s="1348" t="n">
        <v>45609</v>
      </c>
      <c r="B231" s="1349" t="inlineStr">
        <is>
          <t>Liz Martin</t>
        </is>
      </c>
      <c r="C231" s="1350" t="inlineStr">
        <is>
          <t>7. 1-2-1</t>
        </is>
      </c>
      <c r="D231" s="1349" t="inlineStr">
        <is>
          <t>Stripe</t>
        </is>
      </c>
      <c r="E231" s="1351" t="n">
        <v>120</v>
      </c>
      <c r="F231" s="1349" t="inlineStr">
        <is>
          <t>1-2-1 F2F</t>
        </is>
      </c>
      <c r="G231" s="1349" t="inlineStr">
        <is>
          <t>Google</t>
        </is>
      </c>
      <c r="I231" t="inlineStr">
        <is>
          <t>1-2-1 Single Session - 1hr (Face-to-Face)</t>
        </is>
      </c>
      <c r="J231" t="inlineStr">
        <is>
          <t>https://www.alanranger.com/private-photography-lessons</t>
        </is>
      </c>
    </row>
    <row r="232" ht="13.5" customHeight="1" s="1232">
      <c r="A232" s="1348" t="n">
        <v>45607</v>
      </c>
      <c r="B232" s="1349" t="inlineStr">
        <is>
          <t xml:space="preserve">Arpit Arora </t>
        </is>
      </c>
      <c r="C232" s="1350" t="inlineStr">
        <is>
          <t>11 Commissions</t>
        </is>
      </c>
      <c r="D232" s="1349" t="inlineStr">
        <is>
          <t>Stripe</t>
        </is>
      </c>
      <c r="E232" s="1351" t="n">
        <v>42</v>
      </c>
      <c r="F232" s="1349" t="inlineStr">
        <is>
          <t>Travel Costs</t>
        </is>
      </c>
      <c r="G232" s="1349" t="inlineStr">
        <is>
          <t>Google</t>
        </is>
      </c>
      <c r="I232" t="inlineStr">
        <is>
          <t>Royalties &amp; Affiliate Income</t>
        </is>
      </c>
      <c r="J232" t="inlineStr">
        <is>
          <t>https://www.alanranger.com/fine-art-prints</t>
        </is>
      </c>
    </row>
    <row r="233" ht="13.5" customHeight="1" s="1232">
      <c r="A233" s="1348" t="n">
        <v>45607</v>
      </c>
      <c r="B233" s="1349" t="inlineStr">
        <is>
          <t xml:space="preserve">Arpit Arora </t>
        </is>
      </c>
      <c r="C233" s="1350" t="inlineStr">
        <is>
          <t>11 Commissions</t>
        </is>
      </c>
      <c r="D233" s="1349" t="inlineStr">
        <is>
          <t>Stripe</t>
        </is>
      </c>
      <c r="E233" s="1351" t="n">
        <v>350</v>
      </c>
      <c r="F233" s="1349" t="inlineStr">
        <is>
          <t>Corporate Training</t>
        </is>
      </c>
      <c r="G233" s="1349" t="inlineStr">
        <is>
          <t>Google</t>
        </is>
      </c>
      <c r="I233" t="inlineStr">
        <is>
          <t>Commission - Corporate / Staff Training</t>
        </is>
      </c>
      <c r="J233" t="inlineStr">
        <is>
          <t>https://www.alanranger.com/corporate-photography-training</t>
        </is>
      </c>
    </row>
    <row r="234" ht="13.5" customHeight="1" s="1232">
      <c r="A234" s="1348" t="n">
        <v>45604</v>
      </c>
      <c r="B234" s="1349" t="inlineStr">
        <is>
          <t>Ewa Nowak</t>
        </is>
      </c>
      <c r="C234" s="1350" t="inlineStr">
        <is>
          <t>1. Courses/masterclasses</t>
        </is>
      </c>
      <c r="D234" s="1349" t="inlineStr">
        <is>
          <t>Stripe</t>
        </is>
      </c>
      <c r="E234" s="1351" t="n">
        <v>250</v>
      </c>
      <c r="F234" s="1349" t="inlineStr">
        <is>
          <t>5wk Beginners</t>
        </is>
      </c>
      <c r="G234" s="1349" t="inlineStr">
        <is>
          <t>Google</t>
        </is>
      </c>
      <c r="I234" t="inlineStr">
        <is>
          <t>5 Week Beginners Photography Course (RETIRED format)</t>
        </is>
      </c>
      <c r="J234" t="inlineStr">
        <is>
          <t>https://www.alanranger.com/beginners-photography-classes</t>
        </is>
      </c>
    </row>
    <row r="235" ht="13.5" customHeight="1" s="1232">
      <c r="A235" s="1348" t="n">
        <v>45603</v>
      </c>
      <c r="B235" s="1349" t="inlineStr">
        <is>
          <t>Robert Blan</t>
        </is>
      </c>
      <c r="C235" s="1350" t="inlineStr">
        <is>
          <t>2. Workshops Non Residential</t>
        </is>
      </c>
      <c r="D235" s="1349" t="inlineStr">
        <is>
          <t>Bank</t>
        </is>
      </c>
      <c r="E235" s="1351" t="n">
        <v>79.2</v>
      </c>
      <c r="F235" s="1349" t="inlineStr">
        <is>
          <t>Peak District</t>
        </is>
      </c>
      <c r="G235" s="1349" t="inlineStr">
        <is>
          <t>Into the Blue</t>
        </is>
      </c>
      <c r="I235" t="inlineStr">
        <is>
          <t>PEAK DISTRICT Photography Workshops - May, Oct and Nov</t>
        </is>
      </c>
      <c r="J235" t="inlineStr">
        <is>
          <t>https://www.alanranger.com/one-day-landscape-photography-workshops</t>
        </is>
      </c>
    </row>
    <row r="236" ht="13.5" customHeight="1" s="1232">
      <c r="A236" s="1348" t="n">
        <v>45600</v>
      </c>
      <c r="B236" s="1349" t="inlineStr">
        <is>
          <t>Daniel Huntley</t>
        </is>
      </c>
      <c r="C236" s="1350" t="inlineStr">
        <is>
          <t>8. Gift Vouchers Inc</t>
        </is>
      </c>
      <c r="D236" s="1349" t="inlineStr">
        <is>
          <t>Stripe</t>
        </is>
      </c>
      <c r="E236" s="1351" t="n">
        <v>200</v>
      </c>
      <c r="F236" s="1349" t="inlineStr">
        <is>
          <t>Digital Gift Card</t>
        </is>
      </c>
      <c r="G236" s="1349" t="inlineStr">
        <is>
          <t>Google</t>
        </is>
      </c>
      <c r="I236" t="inlineStr">
        <is>
          <t>Gift Voucher - Digital eCard</t>
        </is>
      </c>
      <c r="J236" t="inlineStr">
        <is>
          <t>https://www.alanranger.com/photography-gift-vouchers</t>
        </is>
      </c>
    </row>
    <row r="237" ht="13.5" customHeight="1" s="1232">
      <c r="A237" s="1348" t="n">
        <v>45598</v>
      </c>
      <c r="B237" s="1349" t="inlineStr">
        <is>
          <t xml:space="preserve">Artfully Walls </t>
        </is>
      </c>
      <c r="C237" s="1350" t="inlineStr">
        <is>
          <t>10. Prints &amp; Royalties</t>
        </is>
      </c>
      <c r="D237" s="1349" t="inlineStr">
        <is>
          <t>PayPal</t>
        </is>
      </c>
      <c r="E237" s="1351" t="n">
        <v>11.62</v>
      </c>
      <c r="F237" s="1349" t="inlineStr">
        <is>
          <t xml:space="preserve">Artfully Walls </t>
        </is>
      </c>
      <c r="G237" s="1349" t="inlineStr">
        <is>
          <t>Existing</t>
        </is>
      </c>
      <c r="I237" t="inlineStr">
        <is>
          <t>Royalties &amp; Affiliate Income</t>
        </is>
      </c>
      <c r="J237" t="inlineStr">
        <is>
          <t>https://www.alanranger.com/fine-art-prints</t>
        </is>
      </c>
    </row>
    <row r="238" ht="13.5" customHeight="1" s="1232">
      <c r="A238" s="1348" t="n">
        <v>45597</v>
      </c>
      <c r="B238" s="1349" t="inlineStr">
        <is>
          <t>Peter Orton</t>
        </is>
      </c>
      <c r="C238" s="1350" t="inlineStr">
        <is>
          <t>7. 1-2-1</t>
        </is>
      </c>
      <c r="D238" s="1349" t="inlineStr">
        <is>
          <t>Bank</t>
        </is>
      </c>
      <c r="E238" s="1351" t="n">
        <v>1900</v>
      </c>
      <c r="F238" s="1349" t="inlineStr">
        <is>
          <t>Norfolk-Suffolk</t>
        </is>
      </c>
      <c r="G238" s="1349" t="inlineStr">
        <is>
          <t>Existing</t>
        </is>
      </c>
      <c r="I238" t="inlineStr">
        <is>
          <t>Commission - Commercial / Product Shoot</t>
        </is>
      </c>
      <c r="J238" t="inlineStr">
        <is>
          <t>https://www.alanranger.com/professional-commercial-photographer-coventry</t>
        </is>
      </c>
    </row>
    <row r="239" ht="13.5" customHeight="1" s="1232">
      <c r="A239" s="1348" t="n">
        <v>45597</v>
      </c>
      <c r="B239" s="1349" t="inlineStr">
        <is>
          <t>Myra Little</t>
        </is>
      </c>
      <c r="C239" s="1350" t="inlineStr">
        <is>
          <t>7. 1-2-1</t>
        </is>
      </c>
      <c r="D239" s="1349" t="inlineStr">
        <is>
          <t>Stripe</t>
        </is>
      </c>
      <c r="E239" s="1351" t="n">
        <v>170</v>
      </c>
      <c r="F239" s="1349" t="inlineStr">
        <is>
          <t>4 x 1hr 1-2-1s</t>
        </is>
      </c>
      <c r="G239" s="1349" t="inlineStr">
        <is>
          <t>Existing</t>
        </is>
      </c>
      <c r="I239" t="inlineStr">
        <is>
          <t>1-2-1 Package - 4 x 1hr Zoom</t>
        </is>
      </c>
      <c r="J239" t="inlineStr">
        <is>
          <t>https://www.alanranger.com/photography-lessons-online-121</t>
        </is>
      </c>
    </row>
    <row r="240" ht="13.5" customHeight="1" s="1232">
      <c r="A240" s="1348" t="n">
        <v>45597</v>
      </c>
      <c r="B240" s="1349" t="inlineStr">
        <is>
          <t>Pick n Mix Subs</t>
        </is>
      </c>
      <c r="C240" s="1350" t="inlineStr">
        <is>
          <t>4. Pick n Mix Inc</t>
        </is>
      </c>
      <c r="D240" s="1349" t="inlineStr">
        <is>
          <t>Stripe</t>
        </is>
      </c>
      <c r="E240" s="1351" t="n">
        <v>250</v>
      </c>
      <c r="F240" s="1349" t="inlineStr">
        <is>
          <t>Pick N Mix Payments</t>
        </is>
      </c>
      <c r="G240" s="1349" t="inlineStr">
        <is>
          <t>Existing</t>
        </is>
      </c>
      <c r="I240" t="inlineStr">
        <is>
          <t>Pick N Mix Payment Plan</t>
        </is>
      </c>
      <c r="J240" t="inlineStr">
        <is>
          <t>https://www.alanranger.com/photography-payment-plan</t>
        </is>
      </c>
    </row>
    <row r="241" ht="13.5" customHeight="1" s="1232">
      <c r="A241" s="1348" t="n">
        <v>45597</v>
      </c>
      <c r="B241" s="1349" t="inlineStr">
        <is>
          <t>Mentoring Subs</t>
        </is>
      </c>
      <c r="C241" s="1350" t="inlineStr">
        <is>
          <t>6. Mentoring</t>
        </is>
      </c>
      <c r="D241" s="1349" t="inlineStr">
        <is>
          <t>Stripe</t>
        </is>
      </c>
      <c r="E241" s="1351" t="n">
        <v>55</v>
      </c>
      <c r="F241" s="1349" t="inlineStr">
        <is>
          <t>Mentoring Subs</t>
        </is>
      </c>
      <c r="G241" s="1349" t="inlineStr">
        <is>
          <t>Existing</t>
        </is>
      </c>
      <c r="I241" t="inlineStr">
        <is>
          <t>Mentoring - Monthly Subscription</t>
        </is>
      </c>
      <c r="J241" t="inlineStr">
        <is>
          <t>https://www.alanranger.com/photography-mentoring-online-assignments</t>
        </is>
      </c>
    </row>
    <row r="242" ht="13.5" customHeight="1" s="1232">
      <c r="A242" s="1348" t="n"/>
      <c r="B242" s="1349" t="n"/>
      <c r="C242" s="1350" t="n"/>
      <c r="D242" s="1349" t="n"/>
      <c r="E242" s="1351" t="n"/>
      <c r="F242" s="1349" t="n"/>
      <c r="G242" s="1349" t="n"/>
    </row>
    <row r="243" ht="13.5" customHeight="1" s="1232">
      <c r="A243" s="1348" t="n">
        <v>45595</v>
      </c>
      <c r="B243" s="1349" t="inlineStr">
        <is>
          <t>Sarah Davis</t>
        </is>
      </c>
      <c r="C243" s="1350" t="inlineStr">
        <is>
          <t>2. Workshops Non Residential</t>
        </is>
      </c>
      <c r="D243" s="1349" t="inlineStr">
        <is>
          <t>Bank</t>
        </is>
      </c>
      <c r="E243" s="1351" t="n">
        <v>158.4</v>
      </c>
      <c r="F243" s="1349" t="inlineStr">
        <is>
          <t>Peak District</t>
        </is>
      </c>
      <c r="G243" s="1349" t="inlineStr">
        <is>
          <t>Into the Blue</t>
        </is>
      </c>
      <c r="I243" t="inlineStr">
        <is>
          <t>PEAK DISTRICT Photography Workshops - May, Oct and Nov</t>
        </is>
      </c>
      <c r="J243" t="inlineStr">
        <is>
          <t>https://www.alanranger.com/one-day-landscape-photography-workshops</t>
        </is>
      </c>
    </row>
    <row r="244" ht="13.5" customHeight="1" s="1232">
      <c r="A244" s="1348" t="n">
        <v>45595</v>
      </c>
      <c r="B244" s="1349" t="inlineStr">
        <is>
          <t>Neil Drinkwater</t>
        </is>
      </c>
      <c r="C244" s="1350" t="inlineStr">
        <is>
          <t>2. Workshops Non Residential</t>
        </is>
      </c>
      <c r="D244" s="1349" t="inlineStr">
        <is>
          <t>Bank</t>
        </is>
      </c>
      <c r="E244" s="1351" t="n">
        <v>120</v>
      </c>
      <c r="F244" s="1349" t="inlineStr">
        <is>
          <t>Peak District</t>
        </is>
      </c>
      <c r="G244" s="1349" t="inlineStr">
        <is>
          <t>Into the Blue</t>
        </is>
      </c>
      <c r="I244" t="inlineStr">
        <is>
          <t>PEAK DISTRICT Photography Workshops - May, Oct and Nov</t>
        </is>
      </c>
      <c r="J244" t="inlineStr">
        <is>
          <t>https://www.alanranger.com/one-day-landscape-photography-workshops</t>
        </is>
      </c>
    </row>
    <row r="245" ht="13.5" customHeight="1" s="1232">
      <c r="A245" s="1348" t="n">
        <v>45593</v>
      </c>
      <c r="B245" s="1349" t="inlineStr">
        <is>
          <t>Stephen Cantlay</t>
        </is>
      </c>
      <c r="C245" s="1350" t="inlineStr">
        <is>
          <t>3. Workshops Residential</t>
        </is>
      </c>
      <c r="D245" s="1349" t="inlineStr">
        <is>
          <t>Stripe</t>
        </is>
      </c>
      <c r="E245" s="1351" t="n">
        <v>895</v>
      </c>
      <c r="F245" s="1349" t="inlineStr">
        <is>
          <t>Hartland Quay</t>
        </is>
      </c>
      <c r="G245" s="1349" t="inlineStr">
        <is>
          <t>Google</t>
        </is>
      </c>
      <c r="I245" t="inlineStr">
        <is>
          <t>Landscape Photography DEVON Workshops - Various Dates</t>
        </is>
      </c>
      <c r="J245" t="inlineStr">
        <is>
          <t>https://www.alanranger.com/photography-workshops</t>
        </is>
      </c>
    </row>
    <row r="246" ht="13.5" customHeight="1" s="1232">
      <c r="A246" s="1348" t="n">
        <v>45590</v>
      </c>
      <c r="B246" s="1349" t="inlineStr">
        <is>
          <t>Kase</t>
        </is>
      </c>
      <c r="C246" s="1350" t="inlineStr">
        <is>
          <t>12. Other</t>
        </is>
      </c>
      <c r="D246" s="1349" t="inlineStr">
        <is>
          <t>Bank</t>
        </is>
      </c>
      <c r="E246" s="1351" t="n">
        <v>47.04</v>
      </c>
      <c r="F246" s="1349" t="inlineStr">
        <is>
          <t>Kase Affiliates</t>
        </is>
      </c>
      <c r="G246" s="1349" t="inlineStr">
        <is>
          <t>Existing</t>
        </is>
      </c>
      <c r="I246" t="inlineStr">
        <is>
          <t>Royalties &amp; Affiliate Income</t>
        </is>
      </c>
      <c r="J246" t="inlineStr">
        <is>
          <t>https://www.alanranger.com/fine-art-prints</t>
        </is>
      </c>
    </row>
    <row r="247" ht="13.5" customHeight="1" s="1232">
      <c r="A247" s="1348" t="n">
        <v>45591</v>
      </c>
      <c r="B247" s="1349" t="inlineStr">
        <is>
          <t>Kirsten Pearce</t>
        </is>
      </c>
      <c r="C247" s="1350" t="inlineStr">
        <is>
          <t>12. Other</t>
        </is>
      </c>
      <c r="D247" s="1349" t="inlineStr">
        <is>
          <t>Stripe</t>
        </is>
      </c>
      <c r="E247" s="1351" t="n">
        <v>30</v>
      </c>
      <c r="F247" s="1349" t="inlineStr">
        <is>
          <t>Sensor Clean</t>
        </is>
      </c>
      <c r="G247" s="1349" t="inlineStr">
        <is>
          <t>Existing</t>
        </is>
      </c>
      <c r="I247" t="inlineStr">
        <is>
          <t>Sensor Clean Service (historical)</t>
        </is>
      </c>
      <c r="J247" t="inlineStr">
        <is>
          <t>https://www.alanranger.com/photography-shop-services</t>
        </is>
      </c>
    </row>
    <row r="248" ht="13.5" customHeight="1" s="1232">
      <c r="A248" s="1348" t="n">
        <v>45591</v>
      </c>
      <c r="B248" s="1349" t="inlineStr">
        <is>
          <t>Lorna Saunders</t>
        </is>
      </c>
      <c r="C248" s="1350" t="inlineStr">
        <is>
          <t>2. Workshops Non Residential</t>
        </is>
      </c>
      <c r="D248" s="1349" t="inlineStr">
        <is>
          <t>Stripe</t>
        </is>
      </c>
      <c r="E248" s="1351" t="n">
        <v>99</v>
      </c>
      <c r="F248" s="1349" t="inlineStr">
        <is>
          <t>Batsford</t>
        </is>
      </c>
      <c r="G248" s="1349" t="inlineStr">
        <is>
          <t>Batsford</t>
        </is>
      </c>
      <c r="I248" t="inlineStr">
        <is>
          <t>Gift Voucher - Digital eCard</t>
        </is>
      </c>
      <c r="J248" t="inlineStr">
        <is>
          <t>https://www.alanranger.com/photography-gift-vouchers</t>
        </is>
      </c>
    </row>
    <row r="249" ht="13.5" customHeight="1" s="1232">
      <c r="A249" s="1348" t="n">
        <v>45589</v>
      </c>
      <c r="B249" s="1349" t="inlineStr">
        <is>
          <t>Jeremy Troth</t>
        </is>
      </c>
      <c r="C249" s="1350" t="inlineStr">
        <is>
          <t>2. Workshops Non Residential</t>
        </is>
      </c>
      <c r="D249" s="1349" t="inlineStr">
        <is>
          <t>Stripe</t>
        </is>
      </c>
      <c r="E249" s="1351" t="n">
        <v>19.9</v>
      </c>
      <c r="F249" s="1349" t="inlineStr">
        <is>
          <t>Woodland Walks</t>
        </is>
      </c>
      <c r="G249" s="1349" t="inlineStr">
        <is>
          <t>Existing</t>
        </is>
      </c>
      <c r="I249" t="inlineStr">
        <is>
          <t>Woodland Photography Walk - Warwickshire (half-day low-cost)</t>
        </is>
      </c>
      <c r="J249" t="inlineStr">
        <is>
          <t>https://www.alanranger.com/landscape-photography-workshops</t>
        </is>
      </c>
    </row>
    <row r="250" ht="13.5" customHeight="1" s="1232">
      <c r="A250" s="1348" t="n">
        <v>45588</v>
      </c>
      <c r="B250" s="1349" t="inlineStr">
        <is>
          <t>Julie Halstead</t>
        </is>
      </c>
      <c r="C250" s="1350" t="inlineStr">
        <is>
          <t>2. Workshops Non Residential</t>
        </is>
      </c>
      <c r="D250" s="1349" t="inlineStr">
        <is>
          <t>Stripe</t>
        </is>
      </c>
      <c r="E250" s="1351" t="n">
        <v>99</v>
      </c>
      <c r="F250" s="1349" t="inlineStr">
        <is>
          <t>Batsford</t>
        </is>
      </c>
      <c r="G250" s="1349" t="inlineStr">
        <is>
          <t>Batsford</t>
        </is>
      </c>
      <c r="I250" t="inlineStr">
        <is>
          <t>Gift Voucher - Digital eCard</t>
        </is>
      </c>
      <c r="J250" t="inlineStr">
        <is>
          <t>https://www.alanranger.com/photography-gift-vouchers</t>
        </is>
      </c>
    </row>
    <row r="251" ht="13.5" customHeight="1" s="1232">
      <c r="A251" s="1348" t="n">
        <v>45588</v>
      </c>
      <c r="B251" s="1349" t="inlineStr">
        <is>
          <t>Julie Halstead</t>
        </is>
      </c>
      <c r="C251" s="1350" t="inlineStr">
        <is>
          <t>2. Workshops Non Residential</t>
        </is>
      </c>
      <c r="D251" s="1349" t="inlineStr">
        <is>
          <t>Stripe</t>
        </is>
      </c>
      <c r="E251" s="1351" t="n">
        <v>125</v>
      </c>
      <c r="F251" s="1349" t="inlineStr">
        <is>
          <t>Blubells</t>
        </is>
      </c>
      <c r="G251" s="1349" t="inlineStr">
        <is>
          <t>Batsford</t>
        </is>
      </c>
      <c r="I251" t="inlineStr">
        <is>
          <t>BLUEBELL WOODLANDS Photography - Warks - 20 Apr- 30 Apr</t>
        </is>
      </c>
      <c r="J251" t="inlineStr">
        <is>
          <t>https://www.alanranger.com/one-day-landscape-photography-workshops</t>
        </is>
      </c>
    </row>
    <row r="252" ht="13.5" customHeight="1" s="1232">
      <c r="A252" s="1348" t="n">
        <v>45588</v>
      </c>
      <c r="B252" s="1349" t="inlineStr">
        <is>
          <t>Rebecca Bradley</t>
        </is>
      </c>
      <c r="C252" s="1350" t="inlineStr">
        <is>
          <t>1. Courses/masterclasses</t>
        </is>
      </c>
      <c r="D252" s="1349" t="inlineStr">
        <is>
          <t>Stripe</t>
        </is>
      </c>
      <c r="E252" s="1351" t="n">
        <v>250</v>
      </c>
      <c r="F252" s="1349" t="inlineStr">
        <is>
          <t>5wk Beginners</t>
        </is>
      </c>
      <c r="G252" s="1349" t="inlineStr">
        <is>
          <t>Google</t>
        </is>
      </c>
      <c r="I252" t="inlineStr">
        <is>
          <t>5 Week Beginners Photography Course (RETIRED format)</t>
        </is>
      </c>
      <c r="J252" t="inlineStr">
        <is>
          <t>https://www.alanranger.com/beginners-photography-classes</t>
        </is>
      </c>
    </row>
    <row r="253" ht="13.5" customHeight="1" s="1232">
      <c r="A253" s="1348" t="n">
        <v>45584</v>
      </c>
      <c r="B253" s="1349" t="inlineStr">
        <is>
          <t>jonathan ellis</t>
        </is>
      </c>
      <c r="C253" s="1350" t="inlineStr">
        <is>
          <t>6. Mentoring</t>
        </is>
      </c>
      <c r="D253" s="1349" t="inlineStr">
        <is>
          <t>Stripe</t>
        </is>
      </c>
      <c r="E253" s="1351" t="n">
        <v>15</v>
      </c>
      <c r="F253" s="1349" t="inlineStr">
        <is>
          <t>Monthly Mentoring</t>
        </is>
      </c>
      <c r="G253" s="1349" t="inlineStr">
        <is>
          <t>Existing</t>
        </is>
      </c>
      <c r="I253" t="inlineStr">
        <is>
          <t>Mentoring - Monthly Subscription</t>
        </is>
      </c>
      <c r="J253" t="inlineStr">
        <is>
          <t>https://www.alanranger.com/photography-mentoring-online-assignments</t>
        </is>
      </c>
    </row>
    <row r="254" ht="13.5" customHeight="1" s="1232">
      <c r="A254" s="1348" t="n">
        <v>45584</v>
      </c>
      <c r="B254" s="1349" t="inlineStr">
        <is>
          <t>Mark Hesford</t>
        </is>
      </c>
      <c r="C254" s="1350" t="inlineStr">
        <is>
          <t>8. Gift Vouchers Inc</t>
        </is>
      </c>
      <c r="D254" s="1349" t="inlineStr">
        <is>
          <t>Stripe</t>
        </is>
      </c>
      <c r="E254" s="1351" t="n">
        <v>10</v>
      </c>
      <c r="F254" s="1349" t="inlineStr">
        <is>
          <t>Digital Gift Card</t>
        </is>
      </c>
      <c r="G254" s="1349" t="inlineStr">
        <is>
          <t>Google</t>
        </is>
      </c>
      <c r="I254" t="inlineStr">
        <is>
          <t>Gift Voucher - Digital eCard</t>
        </is>
      </c>
      <c r="J254" t="inlineStr">
        <is>
          <t>https://www.alanranger.com/photography-gift-vouchers</t>
        </is>
      </c>
    </row>
    <row r="255" ht="13.5" customHeight="1" s="1232">
      <c r="A255" s="1348" t="n">
        <v>45584</v>
      </c>
      <c r="B255" s="1349" t="inlineStr">
        <is>
          <t>Mark Hesford</t>
        </is>
      </c>
      <c r="C255" s="1350" t="inlineStr">
        <is>
          <t>8. Gift Vouchers Inc</t>
        </is>
      </c>
      <c r="D255" s="1349" t="inlineStr">
        <is>
          <t>Stripe</t>
        </is>
      </c>
      <c r="E255" s="1351" t="n">
        <v>30</v>
      </c>
      <c r="F255" s="1349" t="inlineStr">
        <is>
          <t>Digital Gift Card</t>
        </is>
      </c>
      <c r="G255" s="1349" t="inlineStr">
        <is>
          <t>Google</t>
        </is>
      </c>
      <c r="I255" t="inlineStr">
        <is>
          <t>Gift Voucher - Digital eCard</t>
        </is>
      </c>
      <c r="J255" t="inlineStr">
        <is>
          <t>https://www.alanranger.com/photography-gift-vouchers</t>
        </is>
      </c>
    </row>
    <row r="256" ht="13.5" customHeight="1" s="1232">
      <c r="A256" s="1348" t="n">
        <v>45579</v>
      </c>
      <c r="B256" s="1349" t="inlineStr">
        <is>
          <t>JULIE PRICE</t>
        </is>
      </c>
      <c r="C256" s="1350" t="inlineStr">
        <is>
          <t>2. Workshops Non Residential</t>
        </is>
      </c>
      <c r="D256" s="1349" t="inlineStr">
        <is>
          <t>Stripe</t>
        </is>
      </c>
      <c r="E256" s="1351" t="n">
        <v>99</v>
      </c>
      <c r="F256" s="1349" t="inlineStr">
        <is>
          <t>Batsford</t>
        </is>
      </c>
      <c r="G256" s="1349" t="inlineStr">
        <is>
          <t>Batsford</t>
        </is>
      </c>
      <c r="I256" t="inlineStr">
        <is>
          <t>Gift Voucher - Digital eCard</t>
        </is>
      </c>
      <c r="J256" t="inlineStr">
        <is>
          <t>https://www.alanranger.com/photography-gift-vouchers</t>
        </is>
      </c>
    </row>
    <row r="257" ht="13.5" customHeight="1" s="1232">
      <c r="A257" s="1348" t="n">
        <v>45576</v>
      </c>
      <c r="B257" s="1349" t="inlineStr">
        <is>
          <t>Natalie Bacci-Evers</t>
        </is>
      </c>
      <c r="C257" s="1350" t="inlineStr">
        <is>
          <t>7. 1-2-1</t>
        </is>
      </c>
      <c r="D257" s="1349" t="inlineStr">
        <is>
          <t>Stripe</t>
        </is>
      </c>
      <c r="E257" s="1351" t="n">
        <v>120</v>
      </c>
      <c r="F257" s="1349" t="inlineStr">
        <is>
          <t>2hrs 1-2-1</t>
        </is>
      </c>
      <c r="G257" s="1349" t="inlineStr">
        <is>
          <t>Google</t>
        </is>
      </c>
      <c r="I257" t="inlineStr">
        <is>
          <t>1-2-1 Single Session - 2hr (Face-to-Face)</t>
        </is>
      </c>
      <c r="J257" t="inlineStr">
        <is>
          <t>https://www.alanranger.com/private-photography-lessons</t>
        </is>
      </c>
    </row>
    <row r="258" ht="13.5" customHeight="1" s="1232">
      <c r="A258" s="1348" t="n">
        <v>45574</v>
      </c>
      <c r="B258" s="1349" t="inlineStr">
        <is>
          <t>Paul Fuller</t>
        </is>
      </c>
      <c r="C258" s="1350" t="inlineStr">
        <is>
          <t>7. 1-2-1</t>
        </is>
      </c>
      <c r="D258" s="1349" t="inlineStr">
        <is>
          <t>Stripe</t>
        </is>
      </c>
      <c r="E258" s="1351" t="n">
        <v>25</v>
      </c>
      <c r="F258" s="1349" t="inlineStr">
        <is>
          <t>2hrs 1-2-1</t>
        </is>
      </c>
      <c r="G258" s="1349" t="inlineStr">
        <is>
          <t>Existing</t>
        </is>
      </c>
      <c r="I258" t="inlineStr">
        <is>
          <t>1-2-1 Single Session - 2hr (Face-to-Face)</t>
        </is>
      </c>
      <c r="J258" t="inlineStr">
        <is>
          <t>https://www.alanranger.com/private-photography-lessons</t>
        </is>
      </c>
    </row>
    <row r="259" ht="13.5" customHeight="1" s="1232">
      <c r="A259" s="1348" t="n">
        <v>45571</v>
      </c>
      <c r="B259" s="1349" t="inlineStr">
        <is>
          <t>Martin King-Turner</t>
        </is>
      </c>
      <c r="C259" s="1350" t="inlineStr">
        <is>
          <t>2. Workshops Non Residential</t>
        </is>
      </c>
      <c r="D259" s="1349" t="inlineStr">
        <is>
          <t>Stripe</t>
        </is>
      </c>
      <c r="E259" s="1351" t="n">
        <v>150</v>
      </c>
      <c r="F259" s="1349" t="inlineStr">
        <is>
          <t>Batsford</t>
        </is>
      </c>
      <c r="G259" s="1349" t="inlineStr">
        <is>
          <t>Batsford</t>
        </is>
      </c>
      <c r="I259" t="inlineStr">
        <is>
          <t>Gift Voucher - Digital eCard</t>
        </is>
      </c>
      <c r="J259" t="inlineStr">
        <is>
          <t>https://www.alanranger.com/photography-gift-vouchers</t>
        </is>
      </c>
    </row>
    <row r="260" ht="13.5" customHeight="1" s="1232">
      <c r="A260" s="1348" t="n">
        <v>45573</v>
      </c>
      <c r="B260" s="1349" t="inlineStr">
        <is>
          <t>Birkdale</t>
        </is>
      </c>
      <c r="C260" s="1350" t="inlineStr">
        <is>
          <t>11 Commissions</t>
        </is>
      </c>
      <c r="D260" s="1349" t="inlineStr">
        <is>
          <t>Bank</t>
        </is>
      </c>
      <c r="E260" s="1351" t="n">
        <v>5000</v>
      </c>
      <c r="F260" s="1349" t="inlineStr">
        <is>
          <t>Screfix Job</t>
        </is>
      </c>
      <c r="G260" s="1349" t="inlineStr">
        <is>
          <t>Google</t>
        </is>
      </c>
      <c r="I260" t="inlineStr">
        <is>
          <t>Commission - Commercial / Product Shoot</t>
        </is>
      </c>
      <c r="J260" t="inlineStr">
        <is>
          <t>https://www.alanranger.com/professional-commercial-photographer-coventry</t>
        </is>
      </c>
    </row>
    <row r="261" ht="13.5" customHeight="1" s="1232">
      <c r="A261" s="1348" t="n">
        <v>45570</v>
      </c>
      <c r="B261" s="1349" t="inlineStr">
        <is>
          <t>Tom McClure</t>
        </is>
      </c>
      <c r="C261" s="1350" t="inlineStr">
        <is>
          <t>2. Workshops Non Residential</t>
        </is>
      </c>
      <c r="D261" s="1349" t="inlineStr">
        <is>
          <t>Stripe</t>
        </is>
      </c>
      <c r="E261" s="1351" t="n">
        <v>50</v>
      </c>
      <c r="F261" s="1349" t="inlineStr">
        <is>
          <t>LE Kenilworth</t>
        </is>
      </c>
      <c r="G261" s="1349" t="inlineStr">
        <is>
          <t>Referral</t>
        </is>
      </c>
      <c r="I261" t="inlineStr">
        <is>
          <t>Long Exposure Photography Workshop KENILWORTH Sunset</t>
        </is>
      </c>
      <c r="J261" t="inlineStr">
        <is>
          <t>https://www.alanranger.com/landscape-photography-workshops</t>
        </is>
      </c>
    </row>
    <row r="262" ht="13.5" customHeight="1" s="1232">
      <c r="A262" s="1348" t="n">
        <v>45568</v>
      </c>
      <c r="B262" s="1349" t="inlineStr">
        <is>
          <t>Nikoleta Jorgo</t>
        </is>
      </c>
      <c r="C262" s="1350" t="inlineStr">
        <is>
          <t>7. 1-2-1</t>
        </is>
      </c>
      <c r="D262" s="1349" t="inlineStr">
        <is>
          <t>Stripe</t>
        </is>
      </c>
      <c r="E262" s="1351" t="n">
        <v>360</v>
      </c>
      <c r="F262" s="1349" t="inlineStr">
        <is>
          <t>4 x2hr 1-2-1s</t>
        </is>
      </c>
      <c r="G262" s="1349" t="inlineStr">
        <is>
          <t>Google</t>
        </is>
      </c>
      <c r="I262" t="inlineStr">
        <is>
          <t>1-2-1 Package - 4 x 2hr Face-to-Face (the GBP360 4-for-3)</t>
        </is>
      </c>
      <c r="J262" t="inlineStr">
        <is>
          <t>https://www.alanranger.com/private-photography-lessons</t>
        </is>
      </c>
    </row>
    <row r="263" ht="13.5" customHeight="1" s="1232">
      <c r="A263" s="1348" t="n">
        <v>45567</v>
      </c>
      <c r="B263" s="1349" t="inlineStr">
        <is>
          <t>Emily Hassan</t>
        </is>
      </c>
      <c r="C263" s="1350" t="inlineStr">
        <is>
          <t>2. Workshops Non Residential</t>
        </is>
      </c>
      <c r="D263" s="1349" t="inlineStr">
        <is>
          <t>Stripe</t>
        </is>
      </c>
      <c r="E263" s="1351" t="n">
        <v>15</v>
      </c>
      <c r="F263" s="1349" t="inlineStr">
        <is>
          <t>Woodland Walk</t>
        </is>
      </c>
      <c r="G263" s="1349" t="inlineStr">
        <is>
          <t>Google</t>
        </is>
      </c>
      <c r="I263" t="inlineStr">
        <is>
          <t>Woodland Photography Walk - Warwickshire (half-day low-cost)</t>
        </is>
      </c>
      <c r="J263" t="inlineStr">
        <is>
          <t>https://www.alanranger.com/landscape-photography-workshops</t>
        </is>
      </c>
    </row>
    <row r="264" ht="13.5" customHeight="1" s="1232">
      <c r="A264" s="1348" t="n">
        <v>45566</v>
      </c>
      <c r="B264" s="1349" t="inlineStr">
        <is>
          <t>Mentoring Subs</t>
        </is>
      </c>
      <c r="C264" s="1350" t="inlineStr">
        <is>
          <t>6. Mentoring</t>
        </is>
      </c>
      <c r="D264" s="1349" t="inlineStr">
        <is>
          <t>Stripe</t>
        </is>
      </c>
      <c r="E264" s="1351" t="n">
        <v>40</v>
      </c>
      <c r="F264" s="1349" t="inlineStr">
        <is>
          <t>Mentoring Subs</t>
        </is>
      </c>
      <c r="G264" s="1349" t="inlineStr">
        <is>
          <t>Existing</t>
        </is>
      </c>
      <c r="I264" t="inlineStr">
        <is>
          <t>Mentoring - Monthly Subscription</t>
        </is>
      </c>
      <c r="J264" t="inlineStr">
        <is>
          <t>https://www.alanranger.com/photography-mentoring-online-assignments</t>
        </is>
      </c>
    </row>
    <row r="265" ht="13.5" customHeight="1" s="1232">
      <c r="A265" s="1348" t="n"/>
      <c r="B265" s="1349" t="n"/>
      <c r="C265" s="1350" t="n"/>
      <c r="D265" s="1349" t="n"/>
      <c r="E265" s="1351" t="n"/>
      <c r="F265" s="1349" t="n"/>
      <c r="G265" s="1349" t="n"/>
    </row>
    <row r="266" ht="13.5" customHeight="1" s="1232">
      <c r="A266" s="1348" t="n">
        <v>45564</v>
      </c>
      <c r="B266" s="1349" t="inlineStr">
        <is>
          <t>Julietta Juras</t>
        </is>
      </c>
      <c r="C266" s="1350" t="inlineStr">
        <is>
          <t>2. Workshops Non Residential</t>
        </is>
      </c>
      <c r="D266" s="1349" t="inlineStr">
        <is>
          <t>Stripe</t>
        </is>
      </c>
      <c r="E266" s="1351" t="n">
        <v>60</v>
      </c>
      <c r="F266" s="1349" t="inlineStr">
        <is>
          <t>Abstract</t>
        </is>
      </c>
      <c r="G266" s="1349" t="inlineStr">
        <is>
          <t>Google</t>
        </is>
      </c>
      <c r="I266" t="inlineStr">
        <is>
          <t>MACRO Photography Workshops Warwickshire - Various</t>
        </is>
      </c>
      <c r="J266" t="inlineStr">
        <is>
          <t>https://www.alanranger.com/landscape-photography-workshops</t>
        </is>
      </c>
    </row>
    <row r="267" ht="13.5" customHeight="1" s="1232">
      <c r="A267" s="1348" t="n">
        <v>45561</v>
      </c>
      <c r="B267" s="1349" t="inlineStr">
        <is>
          <t>sarah owen</t>
        </is>
      </c>
      <c r="C267" s="1350" t="inlineStr">
        <is>
          <t>8. Gift Vouchers Inc</t>
        </is>
      </c>
      <c r="D267" s="1349" t="inlineStr">
        <is>
          <t>PayPal</t>
        </is>
      </c>
      <c r="E267" s="1351" t="n">
        <v>100</v>
      </c>
      <c r="F267" s="1349" t="inlineStr">
        <is>
          <t>Digital Gift Card</t>
        </is>
      </c>
      <c r="G267" s="1349" t="inlineStr">
        <is>
          <t>Google</t>
        </is>
      </c>
      <c r="I267" t="inlineStr">
        <is>
          <t>Gift Voucher - Digital eCard</t>
        </is>
      </c>
      <c r="J267" t="inlineStr">
        <is>
          <t>https://www.alanranger.com/photography-gift-vouchers</t>
        </is>
      </c>
    </row>
    <row r="268" ht="13.5" customHeight="1" s="1232">
      <c r="A268" s="1348" t="n">
        <v>45559</v>
      </c>
      <c r="B268" s="1349" t="inlineStr">
        <is>
          <t>Jacqueline Walsh</t>
        </is>
      </c>
      <c r="C268" s="1350" t="inlineStr">
        <is>
          <t>7. 1-2-1</t>
        </is>
      </c>
      <c r="D268" s="1349" t="inlineStr">
        <is>
          <t>PayPal</t>
        </is>
      </c>
      <c r="E268" s="1351" t="n">
        <v>360</v>
      </c>
      <c r="F268" s="1349" t="inlineStr">
        <is>
          <t>4 x 2hr 121s</t>
        </is>
      </c>
      <c r="G268" s="1349" t="inlineStr">
        <is>
          <t>Existing</t>
        </is>
      </c>
      <c r="I268" t="inlineStr">
        <is>
          <t>1-2-1 Package - 4 x 2hr Face-to-Face (the GBP360 4-for-3)</t>
        </is>
      </c>
      <c r="J268" t="inlineStr">
        <is>
          <t>https://www.alanranger.com/private-photography-lessons</t>
        </is>
      </c>
    </row>
    <row r="269" ht="13.5" customHeight="1" s="1232">
      <c r="A269" s="1348" t="n">
        <v>45559</v>
      </c>
      <c r="B269" s="1349" t="inlineStr">
        <is>
          <t>Artfully Walls</t>
        </is>
      </c>
      <c r="C269" s="1350" t="inlineStr">
        <is>
          <t>10. Prints &amp; Royalties</t>
        </is>
      </c>
      <c r="D269" s="1349" t="inlineStr">
        <is>
          <t>PayPal</t>
        </is>
      </c>
      <c r="E269" s="1351" t="n">
        <v>29.51</v>
      </c>
      <c r="F269" s="1349" t="inlineStr">
        <is>
          <t>Print sales</t>
        </is>
      </c>
      <c r="G269" s="1349" t="inlineStr">
        <is>
          <t>Artfully Walls</t>
        </is>
      </c>
      <c r="I269" t="inlineStr">
        <is>
          <t>Print Sale - Generic (historical)</t>
        </is>
      </c>
      <c r="J269" t="inlineStr">
        <is>
          <t>https://www.alanranger.com/fine-art-prints</t>
        </is>
      </c>
    </row>
    <row r="270" ht="13.5" customHeight="1" s="1232">
      <c r="A270" s="1348" t="n">
        <v>45558</v>
      </c>
      <c r="B270" s="1349" t="inlineStr">
        <is>
          <t>Laura Thomas</t>
        </is>
      </c>
      <c r="C270" s="1350" t="inlineStr">
        <is>
          <t>2. Workshops Non Residential</t>
        </is>
      </c>
      <c r="D270" s="1349" t="inlineStr">
        <is>
          <t>Stripe</t>
        </is>
      </c>
      <c r="E270" s="1351" t="n">
        <v>300</v>
      </c>
      <c r="F270" s="1349" t="inlineStr">
        <is>
          <t>Batsford</t>
        </is>
      </c>
      <c r="G270" s="1349" t="inlineStr">
        <is>
          <t>Google</t>
        </is>
      </c>
      <c r="I270" t="inlineStr">
        <is>
          <t>Gift Voucher - Digital eCard</t>
        </is>
      </c>
      <c r="J270" t="inlineStr">
        <is>
          <t>https://www.alanranger.com/photography-gift-vouchers</t>
        </is>
      </c>
    </row>
    <row r="271" ht="13.5" customHeight="1" s="1232">
      <c r="A271" s="1348" t="n">
        <v>45557</v>
      </c>
      <c r="B271" s="1349" t="inlineStr">
        <is>
          <t>Christine Booth</t>
        </is>
      </c>
      <c r="C271" s="1350" t="inlineStr">
        <is>
          <t>2. Workshops Non Residential</t>
        </is>
      </c>
      <c r="D271" s="1349" t="inlineStr">
        <is>
          <t>Stripe</t>
        </is>
      </c>
      <c r="E271" s="1351" t="n">
        <v>150</v>
      </c>
      <c r="F271" s="1349" t="inlineStr">
        <is>
          <t>Batsford</t>
        </is>
      </c>
      <c r="G271" s="1349" t="inlineStr">
        <is>
          <t>Batsford</t>
        </is>
      </c>
      <c r="I271" t="inlineStr">
        <is>
          <t>Gift Voucher - Digital eCard</t>
        </is>
      </c>
      <c r="J271" t="inlineStr">
        <is>
          <t>https://www.alanranger.com/photography-gift-vouchers</t>
        </is>
      </c>
    </row>
    <row r="272" ht="13.5" customHeight="1" s="1232">
      <c r="A272" s="1348" t="n">
        <v>45553</v>
      </c>
      <c r="B272" s="1349" t="inlineStr">
        <is>
          <t>neil barford</t>
        </is>
      </c>
      <c r="C272" s="1350" t="inlineStr">
        <is>
          <t>2. Workshops Non Residential</t>
        </is>
      </c>
      <c r="D272" s="1349" t="inlineStr">
        <is>
          <t>Stripe</t>
        </is>
      </c>
      <c r="E272" s="1351" t="n">
        <v>50</v>
      </c>
      <c r="F272" s="1349" t="inlineStr">
        <is>
          <t>Stratford</t>
        </is>
      </c>
      <c r="G272" s="1349" t="inlineStr">
        <is>
          <t>Existing</t>
        </is>
      </c>
      <c r="I272" t="inlineStr">
        <is>
          <t>Non-Residential Workshop - Generic (historical)</t>
        </is>
      </c>
      <c r="J272" t="inlineStr">
        <is>
          <t>https://www.alanranger.com/landscape-photography-workshops</t>
        </is>
      </c>
    </row>
    <row r="273" ht="13.5" customHeight="1" s="1232">
      <c r="A273" s="1348" t="n">
        <v>45552</v>
      </c>
      <c r="B273" s="1349" t="inlineStr">
        <is>
          <t>Tim Bawn</t>
        </is>
      </c>
      <c r="C273" s="1350" t="inlineStr">
        <is>
          <t>2. Workshops Non Residential</t>
        </is>
      </c>
      <c r="D273" s="1349" t="inlineStr">
        <is>
          <t>PayPal</t>
        </is>
      </c>
      <c r="E273" s="1351" t="n">
        <v>50</v>
      </c>
      <c r="F273" s="1349" t="inlineStr">
        <is>
          <t>Kenilworth</t>
        </is>
      </c>
      <c r="G273" s="1349" t="inlineStr">
        <is>
          <t>Google</t>
        </is>
      </c>
      <c r="I273" t="inlineStr">
        <is>
          <t>Long Exposure Photography Workshop KENILWORTH Sunset</t>
        </is>
      </c>
      <c r="J273" t="inlineStr">
        <is>
          <t>https://www.alanranger.com/landscape-photography-workshops</t>
        </is>
      </c>
    </row>
    <row r="274" ht="13.5" customHeight="1" s="1232">
      <c r="A274" s="1348" t="n">
        <v>45549</v>
      </c>
      <c r="B274" s="1349" t="inlineStr">
        <is>
          <t>Keir Tyson</t>
        </is>
      </c>
      <c r="C274" s="1350" t="inlineStr">
        <is>
          <t>2. Workshops Non Residential</t>
        </is>
      </c>
      <c r="D274" s="1349" t="inlineStr">
        <is>
          <t>PayPal</t>
        </is>
      </c>
      <c r="E274" s="1351" t="n">
        <v>50</v>
      </c>
      <c r="F274" s="1349" t="inlineStr">
        <is>
          <t>Kenilworth</t>
        </is>
      </c>
      <c r="G274" s="1349" t="inlineStr">
        <is>
          <t>Google</t>
        </is>
      </c>
      <c r="I274" t="inlineStr">
        <is>
          <t>Long Exposure Photography Workshop KENILWORTH Sunset</t>
        </is>
      </c>
      <c r="J274" t="inlineStr">
        <is>
          <t>https://www.alanranger.com/landscape-photography-workshops</t>
        </is>
      </c>
    </row>
    <row r="275" ht="13.5" customHeight="1" s="1232">
      <c r="A275" s="1348" t="n">
        <v>45547</v>
      </c>
      <c r="B275" s="1349" t="inlineStr">
        <is>
          <t>Jin Zhang</t>
        </is>
      </c>
      <c r="C275" s="1350" t="inlineStr">
        <is>
          <t>2. Workshops Non Residential</t>
        </is>
      </c>
      <c r="D275" s="1349" t="inlineStr">
        <is>
          <t>Stripe</t>
        </is>
      </c>
      <c r="E275" s="1351" t="n">
        <v>9.949999999999999</v>
      </c>
      <c r="F275" s="1349" t="inlineStr">
        <is>
          <t>Woodland Walk</t>
        </is>
      </c>
      <c r="G275" s="1349" t="inlineStr">
        <is>
          <t>Google</t>
        </is>
      </c>
      <c r="I275" t="inlineStr">
        <is>
          <t>Woodland Photography Walk - Warwickshire (half-day low-cost)</t>
        </is>
      </c>
      <c r="J275" t="inlineStr">
        <is>
          <t>https://www.alanranger.com/landscape-photography-workshops</t>
        </is>
      </c>
    </row>
    <row r="276" ht="13.5" customHeight="1" s="1232">
      <c r="A276" s="1348" t="n">
        <v>45547</v>
      </c>
      <c r="B276" s="1349" t="inlineStr">
        <is>
          <t>Shelly Soo</t>
        </is>
      </c>
      <c r="C276" s="1350" t="inlineStr">
        <is>
          <t>3. Workshops Residential</t>
        </is>
      </c>
      <c r="D276" s="1349" t="inlineStr">
        <is>
          <t>Stripe</t>
        </is>
      </c>
      <c r="E276" s="1351" t="n">
        <v>125</v>
      </c>
      <c r="F276" s="1349" t="inlineStr">
        <is>
          <t>Extra Night</t>
        </is>
      </c>
      <c r="G276" s="1349" t="inlineStr">
        <is>
          <t>Existing</t>
        </is>
      </c>
      <c r="I276" t="inlineStr">
        <is>
          <t>Residential Workshop - Add-on (Extra Night/B&amp;B)</t>
        </is>
      </c>
      <c r="J276" t="inlineStr">
        <is>
          <t>https://www.alanranger.com/photography-workshops</t>
        </is>
      </c>
    </row>
    <row r="277" ht="13.5" customHeight="1" s="1232">
      <c r="A277" s="1348" t="n">
        <v>45540</v>
      </c>
      <c r="B277" s="1349" t="inlineStr">
        <is>
          <t>Karen Rumsey</t>
        </is>
      </c>
      <c r="C277" s="1350" t="inlineStr">
        <is>
          <t>2. Workshops Non Residential</t>
        </is>
      </c>
      <c r="D277" s="1349" t="inlineStr">
        <is>
          <t>Stripe</t>
        </is>
      </c>
      <c r="E277" s="1351" t="n">
        <v>99</v>
      </c>
      <c r="F277" s="1349" t="inlineStr">
        <is>
          <t>Batsford</t>
        </is>
      </c>
      <c r="G277" s="1349" t="inlineStr">
        <is>
          <t>Batsford</t>
        </is>
      </c>
      <c r="I277" t="inlineStr">
        <is>
          <t>Gift Voucher - Digital eCard</t>
        </is>
      </c>
      <c r="J277" t="inlineStr">
        <is>
          <t>https://www.alanranger.com/photography-gift-vouchers</t>
        </is>
      </c>
    </row>
    <row r="278" ht="13.5" customHeight="1" s="1232">
      <c r="A278" s="1348" t="n">
        <v>45539</v>
      </c>
      <c r="B278" s="1349" t="inlineStr">
        <is>
          <t>Myra Little</t>
        </is>
      </c>
      <c r="C278" s="1350" t="inlineStr">
        <is>
          <t>7. 1-2-1</t>
        </is>
      </c>
      <c r="D278" s="1349" t="inlineStr">
        <is>
          <t>Stripe</t>
        </is>
      </c>
      <c r="E278" s="1351" t="n">
        <v>170</v>
      </c>
      <c r="F278" s="1349" t="inlineStr">
        <is>
          <t>4 1hr Zooms</t>
        </is>
      </c>
      <c r="G278" s="1349" t="inlineStr">
        <is>
          <t>Existing</t>
        </is>
      </c>
      <c r="I278" t="inlineStr">
        <is>
          <t>1-2-1 Package - 4 x 1hr Zoom</t>
        </is>
      </c>
      <c r="J278" t="inlineStr">
        <is>
          <t>https://www.alanranger.com/photography-lessons-online-121</t>
        </is>
      </c>
    </row>
    <row r="279" ht="13.5" customHeight="1" s="1232">
      <c r="A279" s="1348" t="n">
        <v>45539</v>
      </c>
      <c r="B279" s="1349" t="inlineStr">
        <is>
          <t>Shelly Soo</t>
        </is>
      </c>
      <c r="C279" s="1350" t="inlineStr">
        <is>
          <t>3. Workshops Residential</t>
        </is>
      </c>
      <c r="D279" s="1349" t="inlineStr">
        <is>
          <t>Stripe</t>
        </is>
      </c>
      <c r="E279" s="1351" t="n">
        <v>945</v>
      </c>
      <c r="F279" s="1349" t="inlineStr">
        <is>
          <t>Lake District</t>
        </is>
      </c>
      <c r="G279" s="1349" t="inlineStr">
        <is>
          <t>Google</t>
        </is>
      </c>
      <c r="I279" t="inlineStr">
        <is>
          <t>LAKE DISTRICT Photography Workshops - Jan - Mar - Sep - Nov</t>
        </is>
      </c>
      <c r="J279" t="inlineStr">
        <is>
          <t>https://www.alanranger.com/photography-workshops</t>
        </is>
      </c>
    </row>
    <row r="280" ht="13.5" customHeight="1" s="1232">
      <c r="A280" s="1348" t="n">
        <v>45539</v>
      </c>
      <c r="B280" s="1349" t="inlineStr">
        <is>
          <t>Shelly Soo</t>
        </is>
      </c>
      <c r="C280" s="1350" t="inlineStr">
        <is>
          <t>2. Workshops Non Residential</t>
        </is>
      </c>
      <c r="D280" s="1349" t="inlineStr">
        <is>
          <t>Stripe</t>
        </is>
      </c>
      <c r="E280" s="1351" t="n">
        <v>60</v>
      </c>
      <c r="F280" s="1349" t="inlineStr">
        <is>
          <t>Macro Workshop</t>
        </is>
      </c>
      <c r="G280" s="1349" t="inlineStr">
        <is>
          <t>Google</t>
        </is>
      </c>
      <c r="I280" t="inlineStr">
        <is>
          <t>MACRO Photography Workshops Warwickshire - Various</t>
        </is>
      </c>
      <c r="J280" t="inlineStr">
        <is>
          <t>https://www.alanranger.com/landscape-photography-workshops</t>
        </is>
      </c>
    </row>
    <row r="281" ht="13.5" customHeight="1" s="1232">
      <c r="A281" s="1348" t="n">
        <v>45539</v>
      </c>
      <c r="B281" s="1349" t="inlineStr">
        <is>
          <t>Sabina Badiani</t>
        </is>
      </c>
      <c r="C281" s="1350" t="inlineStr">
        <is>
          <t>2. Workshops Non Residential</t>
        </is>
      </c>
      <c r="D281" s="1349" t="inlineStr">
        <is>
          <t>Bank</t>
        </is>
      </c>
      <c r="E281" s="1351" t="n">
        <v>120</v>
      </c>
      <c r="F281" s="1349" t="inlineStr">
        <is>
          <t>Peak District May 2025</t>
        </is>
      </c>
      <c r="G281" s="1349" t="inlineStr">
        <is>
          <t>Into the Blue</t>
        </is>
      </c>
      <c r="I281" t="inlineStr">
        <is>
          <t>PEAK DISTRICT Photography Workshops - May, Oct and Nov</t>
        </is>
      </c>
      <c r="J281" t="inlineStr">
        <is>
          <t>https://www.alanranger.com/one-day-landscape-photography-workshops</t>
        </is>
      </c>
    </row>
    <row r="282" ht="13.5" customHeight="1" s="1232">
      <c r="A282" s="1348" t="n">
        <v>45539</v>
      </c>
      <c r="B282" s="1349" t="inlineStr">
        <is>
          <t>Myra Little</t>
        </is>
      </c>
      <c r="C282" s="1350" t="inlineStr">
        <is>
          <t>2. Workshops Non Residential</t>
        </is>
      </c>
      <c r="D282" s="1349" t="inlineStr">
        <is>
          <t>Stripe</t>
        </is>
      </c>
      <c r="E282" s="1351" t="n">
        <v>125</v>
      </c>
      <c r="F282" s="1349" t="inlineStr">
        <is>
          <t>Woodland Masterclass</t>
        </is>
      </c>
      <c r="G282" s="1349" t="inlineStr">
        <is>
          <t>Existing</t>
        </is>
      </c>
      <c r="I282" t="inlineStr">
        <is>
          <t>The Secret of WOODLAND PHOTOGRAPHY- 1-Day Jan, Apr, Aug, Oct</t>
        </is>
      </c>
      <c r="J282" t="inlineStr">
        <is>
          <t>https://www.alanranger.com/one-day-landscape-photography-workshops</t>
        </is>
      </c>
    </row>
    <row r="283" ht="13.5" customHeight="1" s="1232">
      <c r="A283" s="1348" t="n">
        <v>45537</v>
      </c>
      <c r="B283" s="1349" t="inlineStr">
        <is>
          <t>Susan Dickman</t>
        </is>
      </c>
      <c r="C283" s="1350" t="inlineStr">
        <is>
          <t>7. 1-2-1</t>
        </is>
      </c>
      <c r="D283" s="1349" t="inlineStr">
        <is>
          <t>Stripe</t>
        </is>
      </c>
      <c r="E283" s="1351" t="n">
        <v>360</v>
      </c>
      <c r="F283" s="1349" t="inlineStr">
        <is>
          <t>4 x 2hr 121s</t>
        </is>
      </c>
      <c r="G283" s="1349" t="inlineStr">
        <is>
          <t>Google</t>
        </is>
      </c>
      <c r="I283" t="inlineStr">
        <is>
          <t>1-2-1 Package - 4 x 2hr Face-to-Face (the GBP360 4-for-3)</t>
        </is>
      </c>
      <c r="J283" t="inlineStr">
        <is>
          <t>https://www.alanranger.com/private-photography-lessons</t>
        </is>
      </c>
    </row>
    <row r="284" ht="13.5" customHeight="1" s="1232">
      <c r="A284" s="1348" t="n">
        <v>45536</v>
      </c>
      <c r="B284" s="1349" t="inlineStr">
        <is>
          <t>Mentoring Subs</t>
        </is>
      </c>
      <c r="C284" s="1350" t="inlineStr">
        <is>
          <t>6. Mentoring</t>
        </is>
      </c>
      <c r="D284" s="1349" t="inlineStr">
        <is>
          <t>Stripe</t>
        </is>
      </c>
      <c r="E284" s="1351" t="n">
        <v>40</v>
      </c>
      <c r="F284" s="1349" t="inlineStr">
        <is>
          <t>Mentoring Subs</t>
        </is>
      </c>
      <c r="G284" s="1349" t="inlineStr">
        <is>
          <t>Existing</t>
        </is>
      </c>
      <c r="I284" t="inlineStr">
        <is>
          <t>Mentoring - Monthly Subscription</t>
        </is>
      </c>
      <c r="J284" t="inlineStr">
        <is>
          <t>https://www.alanranger.com/photography-mentoring-online-assignments</t>
        </is>
      </c>
    </row>
    <row r="285" ht="13.5" customHeight="1" s="1232">
      <c r="A285" s="1348" t="n"/>
      <c r="B285" s="1349" t="n"/>
      <c r="C285" s="1350" t="n"/>
      <c r="D285" s="1349" t="n"/>
      <c r="E285" s="1351" t="n"/>
      <c r="F285" s="1349" t="n"/>
      <c r="G285" s="1349" t="n"/>
    </row>
    <row r="286" ht="13.5" customHeight="1" s="1232">
      <c r="A286" s="1348" t="n">
        <v>45535</v>
      </c>
      <c r="B286" s="1349" t="inlineStr">
        <is>
          <t>Alison Gilbert</t>
        </is>
      </c>
      <c r="C286" s="1350" t="inlineStr">
        <is>
          <t>8. Gift Vouchers Inc</t>
        </is>
      </c>
      <c r="D286" s="1349" t="inlineStr">
        <is>
          <t>Gift Voucher Out</t>
        </is>
      </c>
      <c r="E286" s="1351" t="n">
        <v>-99</v>
      </c>
      <c r="F286" s="1349" t="inlineStr">
        <is>
          <t>Batsford</t>
        </is>
      </c>
      <c r="G286" s="1349" t="inlineStr">
        <is>
          <t>Google</t>
        </is>
      </c>
      <c r="I286" t="inlineStr">
        <is>
          <t>Gift Voucher - Digital eCard</t>
        </is>
      </c>
      <c r="J286" t="inlineStr">
        <is>
          <t>https://www.alanranger.com/photography-gift-vouchers</t>
        </is>
      </c>
    </row>
    <row r="287" ht="13.5" customHeight="1" s="1232">
      <c r="A287" s="1348" t="n">
        <v>45535</v>
      </c>
      <c r="B287" s="1349" t="inlineStr">
        <is>
          <t>Alison Gilbert</t>
        </is>
      </c>
      <c r="C287" s="1350" t="inlineStr">
        <is>
          <t>2. Workshops Non Residential</t>
        </is>
      </c>
      <c r="D287" s="1349" t="inlineStr">
        <is>
          <t>Gift Voucher Out</t>
        </is>
      </c>
      <c r="E287" s="1351" t="n">
        <v>99</v>
      </c>
      <c r="F287" s="1349" t="inlineStr">
        <is>
          <t>Batsford</t>
        </is>
      </c>
      <c r="G287" s="1349" t="inlineStr">
        <is>
          <t>Google</t>
        </is>
      </c>
      <c r="I287" t="inlineStr">
        <is>
          <t>Gift Voucher - Digital eCard</t>
        </is>
      </c>
      <c r="J287" t="inlineStr">
        <is>
          <t>https://www.alanranger.com/photography-gift-vouchers</t>
        </is>
      </c>
    </row>
    <row r="288" ht="13.5" customHeight="1" s="1232">
      <c r="A288" s="1348" t="n">
        <v>45535</v>
      </c>
      <c r="B288" s="1349" t="inlineStr">
        <is>
          <t>Cameron Holden</t>
        </is>
      </c>
      <c r="C288" s="1350" t="inlineStr">
        <is>
          <t>7. 1-2-1</t>
        </is>
      </c>
      <c r="D288" s="1349" t="inlineStr">
        <is>
          <t>Stripe</t>
        </is>
      </c>
      <c r="E288" s="1351" t="n">
        <v>360</v>
      </c>
      <c r="F288" s="1349" t="inlineStr">
        <is>
          <t>4 x 2hr 121s</t>
        </is>
      </c>
      <c r="G288" s="1349" t="inlineStr">
        <is>
          <t>Existing</t>
        </is>
      </c>
      <c r="I288" t="inlineStr">
        <is>
          <t>1-2-1 Package - 4 x 2hr Face-to-Face (the GBP360 4-for-3)</t>
        </is>
      </c>
      <c r="J288" t="inlineStr">
        <is>
          <t>https://www.alanranger.com/private-photography-lessons</t>
        </is>
      </c>
    </row>
    <row r="289" ht="13.5" customHeight="1" s="1232">
      <c r="A289" s="1348" t="n">
        <v>45531</v>
      </c>
      <c r="B289" s="1349" t="inlineStr">
        <is>
          <t>Ashleigh Bull</t>
        </is>
      </c>
      <c r="C289" s="1350" t="inlineStr">
        <is>
          <t>1. Courses/masterclasses</t>
        </is>
      </c>
      <c r="D289" s="1349" t="inlineStr">
        <is>
          <t>Stripe</t>
        </is>
      </c>
      <c r="E289" s="1351" t="n">
        <v>250</v>
      </c>
      <c r="F289" s="1349" t="inlineStr">
        <is>
          <t>5wk Beginners Course</t>
        </is>
      </c>
      <c r="G289" s="1349" t="inlineStr">
        <is>
          <t>Google</t>
        </is>
      </c>
      <c r="I289" t="inlineStr">
        <is>
          <t>5 Week Beginners Photography Course (RETIRED format)</t>
        </is>
      </c>
      <c r="J289" t="inlineStr">
        <is>
          <t>https://www.alanranger.com/beginners-photography-classes</t>
        </is>
      </c>
    </row>
    <row r="290" ht="13.5" customHeight="1" s="1232">
      <c r="A290" s="1348" t="n">
        <v>45531</v>
      </c>
      <c r="B290" s="1349" t="inlineStr">
        <is>
          <t>Kirsty Lilley</t>
        </is>
      </c>
      <c r="C290" s="1350" t="inlineStr">
        <is>
          <t>12. Other</t>
        </is>
      </c>
      <c r="D290" s="1349" t="inlineStr">
        <is>
          <t>Cash</t>
        </is>
      </c>
      <c r="E290" s="1351" t="n">
        <v>75</v>
      </c>
      <c r="F290" s="1349" t="inlineStr">
        <is>
          <t>Tripod</t>
        </is>
      </c>
      <c r="G290" s="1349" t="inlineStr">
        <is>
          <t>Existing</t>
        </is>
      </c>
      <c r="I290" t="inlineStr">
        <is>
          <t>Print Sale - Generic (historical)</t>
        </is>
      </c>
      <c r="J290" t="inlineStr">
        <is>
          <t>https://www.alanranger.com/fine-art-prints</t>
        </is>
      </c>
    </row>
    <row r="291" ht="13.5" customHeight="1" s="1232">
      <c r="A291" s="1348" t="n">
        <v>45531</v>
      </c>
      <c r="B291" s="1349" t="inlineStr">
        <is>
          <t>Louise Rickitt</t>
        </is>
      </c>
      <c r="C291" s="1350" t="inlineStr">
        <is>
          <t>10. Prints &amp; Royalties</t>
        </is>
      </c>
      <c r="D291" s="1349" t="inlineStr">
        <is>
          <t>Bank</t>
        </is>
      </c>
      <c r="E291" s="1351" t="n">
        <v>35</v>
      </c>
      <c r="F291" s="1349" t="inlineStr">
        <is>
          <t>Prints</t>
        </is>
      </c>
      <c r="G291" s="1349" t="inlineStr">
        <is>
          <t>Existing</t>
        </is>
      </c>
      <c r="I291" t="inlineStr">
        <is>
          <t>Print Sale - Generic (historical)</t>
        </is>
      </c>
      <c r="J291" t="inlineStr">
        <is>
          <t>https://www.alanranger.com/fine-art-prints</t>
        </is>
      </c>
    </row>
    <row r="292" ht="13.5" customHeight="1" s="1232">
      <c r="A292" s="1348" t="n">
        <v>45528</v>
      </c>
      <c r="B292" s="1349" t="inlineStr">
        <is>
          <t>Nick Barber</t>
        </is>
      </c>
      <c r="C292" s="1350" t="inlineStr">
        <is>
          <t>7. 1-2-1</t>
        </is>
      </c>
      <c r="D292" s="1349" t="inlineStr">
        <is>
          <t>Stripe</t>
        </is>
      </c>
      <c r="E292" s="1351" t="n">
        <v>50</v>
      </c>
      <c r="F292" s="1349" t="inlineStr">
        <is>
          <t>1-2-1 Zoom</t>
        </is>
      </c>
      <c r="G292" s="1349" t="inlineStr">
        <is>
          <t>Existing</t>
        </is>
      </c>
      <c r="I292" t="inlineStr">
        <is>
          <t>1-2-1 Single Session - 1hr Zoom</t>
        </is>
      </c>
      <c r="J292" t="inlineStr">
        <is>
          <t>https://www.alanranger.com/photography-lessons-online-121</t>
        </is>
      </c>
    </row>
    <row r="293" ht="13.5" customHeight="1" s="1232">
      <c r="A293" s="1348" t="n">
        <v>45530</v>
      </c>
      <c r="B293" s="1349" t="inlineStr">
        <is>
          <t>Harish Patel</t>
        </is>
      </c>
      <c r="C293" s="1350" t="inlineStr">
        <is>
          <t>2. Workshops Non Residential</t>
        </is>
      </c>
      <c r="D293" s="1349" t="inlineStr">
        <is>
          <t>PayPal</t>
        </is>
      </c>
      <c r="E293" s="1351" t="n">
        <v>90</v>
      </c>
      <c r="F293" s="1349" t="inlineStr">
        <is>
          <t>Secrets of Woodlands</t>
        </is>
      </c>
      <c r="G293" s="1349" t="inlineStr">
        <is>
          <t>Existing</t>
        </is>
      </c>
      <c r="I293" t="inlineStr">
        <is>
          <t>The Secret of WOODLAND PHOTOGRAPHY- 1-Day Jan, Apr, Aug, Oct</t>
        </is>
      </c>
      <c r="J293" t="inlineStr">
        <is>
          <t>https://www.alanranger.com/one-day-landscape-photography-workshops</t>
        </is>
      </c>
    </row>
    <row r="294" ht="13.5" customHeight="1" s="1232">
      <c r="A294" s="1348" t="n">
        <v>45531</v>
      </c>
      <c r="B294" s="1349" t="inlineStr">
        <is>
          <t>Graham Ibbetson</t>
        </is>
      </c>
      <c r="C294" s="1350" t="inlineStr">
        <is>
          <t>3. Workshops Residential</t>
        </is>
      </c>
      <c r="D294" s="1349" t="inlineStr">
        <is>
          <t>Bank</t>
        </is>
      </c>
      <c r="E294" s="1351" t="n">
        <v>180</v>
      </c>
      <c r="F294" s="1349" t="inlineStr">
        <is>
          <t>Norfolk extra night</t>
        </is>
      </c>
      <c r="G294" s="1349" t="inlineStr">
        <is>
          <t>Existing</t>
        </is>
      </c>
      <c r="I294" t="inlineStr">
        <is>
          <t>Residential Workshop - Add-on (Extra Night/B&amp;B)</t>
        </is>
      </c>
      <c r="J294" t="inlineStr">
        <is>
          <t>https://www.alanranger.com/photography-workshops</t>
        </is>
      </c>
    </row>
    <row r="295" ht="13.5" customHeight="1" s="1232">
      <c r="A295" s="1348" t="n">
        <v>45531</v>
      </c>
      <c r="B295" s="1349" t="inlineStr">
        <is>
          <t>Catherine Carlisle</t>
        </is>
      </c>
      <c r="C295" s="1350" t="inlineStr">
        <is>
          <t>2. Workshops Non Residential</t>
        </is>
      </c>
      <c r="D295" s="1349" t="inlineStr">
        <is>
          <t>Bank</t>
        </is>
      </c>
      <c r="E295" s="1351" t="n">
        <v>79.2</v>
      </c>
      <c r="F295" s="1349" t="inlineStr">
        <is>
          <t>Heathers</t>
        </is>
      </c>
      <c r="G295" s="1349" t="inlineStr">
        <is>
          <t>Into the Blue</t>
        </is>
      </c>
      <c r="I295" t="inlineStr">
        <is>
          <t>PEAK DISTRICT HEATHER Photography Workshops - 15-16 Aug</t>
        </is>
      </c>
      <c r="J295" t="inlineStr">
        <is>
          <t>https://www.alanranger.com/landscape-photography-workshops</t>
        </is>
      </c>
    </row>
    <row r="296" ht="13.5" customHeight="1" s="1232">
      <c r="A296" s="1348" t="n">
        <v>45525</v>
      </c>
      <c r="B296" s="1349" t="inlineStr">
        <is>
          <t>Sarah Meharg</t>
        </is>
      </c>
      <c r="C296" s="1350" t="inlineStr">
        <is>
          <t>1. Courses/masterclasses</t>
        </is>
      </c>
      <c r="D296" s="1349" t="inlineStr">
        <is>
          <t>PayPal</t>
        </is>
      </c>
      <c r="E296" s="1351" t="n">
        <v>250</v>
      </c>
      <c r="F296" s="1349" t="inlineStr">
        <is>
          <t>5wk Beginners Course</t>
        </is>
      </c>
      <c r="G296" s="1349" t="inlineStr">
        <is>
          <t>Google</t>
        </is>
      </c>
      <c r="I296" t="inlineStr">
        <is>
          <t>5 Week Beginners Photography Course (RETIRED format)</t>
        </is>
      </c>
      <c r="J296" t="inlineStr">
        <is>
          <t>https://www.alanranger.com/beginners-photography-classes</t>
        </is>
      </c>
    </row>
    <row r="297" ht="13.5" customHeight="1" s="1232">
      <c r="A297" s="1348" t="n">
        <v>45522</v>
      </c>
      <c r="B297" s="1349" t="inlineStr">
        <is>
          <t>Alison Woolley</t>
        </is>
      </c>
      <c r="C297" s="1350" t="inlineStr">
        <is>
          <t>2. Workshops Non Residential</t>
        </is>
      </c>
      <c r="D297" s="1349" t="inlineStr">
        <is>
          <t>Stripe</t>
        </is>
      </c>
      <c r="E297" s="1351" t="n">
        <v>99</v>
      </c>
      <c r="F297" s="1349" t="inlineStr">
        <is>
          <t>Batsford</t>
        </is>
      </c>
      <c r="G297" s="1349" t="inlineStr">
        <is>
          <t>Google</t>
        </is>
      </c>
      <c r="I297" t="inlineStr">
        <is>
          <t>Gift Voucher - Digital eCard</t>
        </is>
      </c>
      <c r="J297" t="inlineStr">
        <is>
          <t>https://www.alanranger.com/photography-gift-vouchers</t>
        </is>
      </c>
    </row>
    <row r="298" ht="13.5" customHeight="1" s="1232">
      <c r="A298" s="1348" t="n">
        <v>45520</v>
      </c>
      <c r="B298" s="1349" t="inlineStr">
        <is>
          <t>Sandra Dawkes</t>
        </is>
      </c>
      <c r="C298" s="1350" t="inlineStr">
        <is>
          <t>7. 1-2-1</t>
        </is>
      </c>
      <c r="D298" s="1349" t="inlineStr">
        <is>
          <t>Stripe</t>
        </is>
      </c>
      <c r="E298" s="1351" t="n">
        <v>360</v>
      </c>
      <c r="F298" s="1349" t="inlineStr">
        <is>
          <t>4 x 2hr 121s</t>
        </is>
      </c>
      <c r="G298" s="1349" t="inlineStr">
        <is>
          <t>Google</t>
        </is>
      </c>
      <c r="I298" t="inlineStr">
        <is>
          <t>1-2-1 Package - 4 x 2hr Face-to-Face (the GBP360 4-for-3)</t>
        </is>
      </c>
      <c r="J298" t="inlineStr">
        <is>
          <t>https://www.alanranger.com/private-photography-lessons</t>
        </is>
      </c>
    </row>
    <row r="299" ht="13.5" customHeight="1" s="1232">
      <c r="A299" s="1348" t="n">
        <v>45518</v>
      </c>
      <c r="B299" s="1349" t="inlineStr">
        <is>
          <t xml:space="preserve">Chris    </t>
        </is>
      </c>
      <c r="C299" s="1350" t="inlineStr">
        <is>
          <t>12. Other</t>
        </is>
      </c>
      <c r="D299" s="1349" t="inlineStr">
        <is>
          <t>Cash</t>
        </is>
      </c>
      <c r="E299" s="1351" t="n">
        <v>30</v>
      </c>
      <c r="F299" s="1349" t="inlineStr">
        <is>
          <t>Sensor Clean</t>
        </is>
      </c>
      <c r="G299" s="1349" t="inlineStr">
        <is>
          <t>Google</t>
        </is>
      </c>
      <c r="I299" t="inlineStr">
        <is>
          <t>Sensor Clean Service (historical)</t>
        </is>
      </c>
      <c r="J299" t="inlineStr">
        <is>
          <t>https://www.alanranger.com/photography-shop-services</t>
        </is>
      </c>
    </row>
    <row r="300" ht="13.5" customHeight="1" s="1232">
      <c r="A300" s="1348" t="n">
        <v>45518</v>
      </c>
      <c r="B300" s="1349" t="inlineStr">
        <is>
          <t>Photocrowd</t>
        </is>
      </c>
      <c r="C300" s="1350" t="inlineStr">
        <is>
          <t>11 Commissions</t>
        </is>
      </c>
      <c r="D300" s="1349" t="inlineStr">
        <is>
          <t>Bank</t>
        </is>
      </c>
      <c r="E300" s="1351" t="n">
        <v>245</v>
      </c>
      <c r="F300" s="1349" t="inlineStr">
        <is>
          <t>Judging Fees</t>
        </is>
      </c>
      <c r="G300" s="1349" t="inlineStr">
        <is>
          <t>Existing</t>
        </is>
      </c>
      <c r="I300" t="inlineStr">
        <is>
          <t>Commission - Editorial / Guest Blog / Judging</t>
        </is>
      </c>
      <c r="J300" t="inlineStr">
        <is>
          <t>https://www.alanranger.com/corporate-photography-training</t>
        </is>
      </c>
    </row>
    <row r="301" ht="13.5" customHeight="1" s="1232">
      <c r="A301" s="1348" t="n">
        <v>45517</v>
      </c>
      <c r="B301" s="1349" t="inlineStr">
        <is>
          <t>Artfully Walls</t>
        </is>
      </c>
      <c r="C301" s="1350" t="inlineStr">
        <is>
          <t>10. Prints &amp; Royalties</t>
        </is>
      </c>
      <c r="D301" s="1349" t="inlineStr">
        <is>
          <t>PayPal</t>
        </is>
      </c>
      <c r="E301" s="1351" t="n">
        <v>45.38</v>
      </c>
      <c r="F301" s="1349" t="inlineStr">
        <is>
          <t>Prints</t>
        </is>
      </c>
      <c r="G301" s="1349" t="inlineStr">
        <is>
          <t>Artfully Walls</t>
        </is>
      </c>
      <c r="I301" t="inlineStr">
        <is>
          <t>Print Sale - Generic (historical)</t>
        </is>
      </c>
      <c r="J301" t="inlineStr">
        <is>
          <t>https://www.alanranger.com/fine-art-prints</t>
        </is>
      </c>
    </row>
    <row r="302" ht="13.5" customHeight="1" s="1232">
      <c r="A302" s="1348" t="n">
        <v>45516</v>
      </c>
      <c r="B302" s="1349" t="inlineStr">
        <is>
          <t>Kirsty Lilley</t>
        </is>
      </c>
      <c r="C302" s="1350" t="inlineStr">
        <is>
          <t>7. 1-2-1</t>
        </is>
      </c>
      <c r="D302" s="1349" t="inlineStr">
        <is>
          <t>Stripe</t>
        </is>
      </c>
      <c r="E302" s="1351" t="n">
        <v>360</v>
      </c>
      <c r="F302" s="1349" t="inlineStr">
        <is>
          <t>4x2hr 121s</t>
        </is>
      </c>
      <c r="G302" s="1349" t="inlineStr">
        <is>
          <t>Existing</t>
        </is>
      </c>
      <c r="I302" t="inlineStr">
        <is>
          <t>1-2-1 Package - 4 x 2hr Face-to-Face (the GBP360 4-for-3)</t>
        </is>
      </c>
      <c r="J302" t="inlineStr">
        <is>
          <t>https://www.alanranger.com/private-photography-lessons</t>
        </is>
      </c>
    </row>
    <row r="303" ht="13.5" customHeight="1" s="1232">
      <c r="A303" s="1348" t="n">
        <v>45515</v>
      </c>
      <c r="B303" s="1349" t="inlineStr">
        <is>
          <t>Ross Harrison-Keefe</t>
        </is>
      </c>
      <c r="C303" s="1350" t="inlineStr">
        <is>
          <t>1. Courses/masterclasses</t>
        </is>
      </c>
      <c r="D303" s="1349" t="inlineStr">
        <is>
          <t>Stripe</t>
        </is>
      </c>
      <c r="E303" s="1351" t="n">
        <v>250</v>
      </c>
      <c r="F303" s="1349" t="inlineStr">
        <is>
          <t>5wk Beginners Course</t>
        </is>
      </c>
      <c r="G303" s="1349" t="inlineStr">
        <is>
          <t>Google</t>
        </is>
      </c>
      <c r="I303" t="inlineStr">
        <is>
          <t>5 Week Beginners Photography Course (RETIRED format)</t>
        </is>
      </c>
      <c r="J303" t="inlineStr">
        <is>
          <t>https://www.alanranger.com/beginners-photography-classes</t>
        </is>
      </c>
    </row>
    <row r="304" ht="13.5" customHeight="1" s="1232">
      <c r="A304" s="1348" t="n">
        <v>45513</v>
      </c>
      <c r="B304" s="1349" t="inlineStr">
        <is>
          <t>Joanne Galloway</t>
        </is>
      </c>
      <c r="C304" s="1350" t="inlineStr">
        <is>
          <t>6. Mentoring</t>
        </is>
      </c>
      <c r="D304" s="1349" t="inlineStr">
        <is>
          <t>Stripe</t>
        </is>
      </c>
      <c r="E304" s="1351" t="n">
        <v>200</v>
      </c>
      <c r="F304" s="1349" t="inlineStr">
        <is>
          <t>Annual Mentoring</t>
        </is>
      </c>
      <c r="G304" s="1349" t="inlineStr">
        <is>
          <t>Existing</t>
        </is>
      </c>
      <c r="I304" t="inlineStr">
        <is>
          <t>Mentoring - Monthly Subscription</t>
        </is>
      </c>
      <c r="J304" t="inlineStr">
        <is>
          <t>https://www.alanranger.com/photography-mentoring-online-assignments</t>
        </is>
      </c>
    </row>
    <row r="305" ht="13.5" customHeight="1" s="1232">
      <c r="A305" s="1348" t="n">
        <v>45511</v>
      </c>
      <c r="B305" s="1349" t="inlineStr">
        <is>
          <t>chris oliver</t>
        </is>
      </c>
      <c r="C305" s="1350" t="inlineStr">
        <is>
          <t>1. Courses/masterclasses</t>
        </is>
      </c>
      <c r="D305" s="1349" t="inlineStr">
        <is>
          <t>PayPal</t>
        </is>
      </c>
      <c r="E305" s="1351" t="n">
        <v>250</v>
      </c>
      <c r="F305" s="1349" t="inlineStr">
        <is>
          <t>5wk Beginners Course</t>
        </is>
      </c>
      <c r="G305" s="1349" t="inlineStr">
        <is>
          <t>Google</t>
        </is>
      </c>
      <c r="I305" t="inlineStr">
        <is>
          <t>5 Week Beginners Photography Course (RETIRED format)</t>
        </is>
      </c>
      <c r="J305" t="inlineStr">
        <is>
          <t>https://www.alanranger.com/beginners-photography-classes</t>
        </is>
      </c>
    </row>
    <row r="306" ht="13.5" customHeight="1" s="1232">
      <c r="A306" s="1348" t="n">
        <v>45508</v>
      </c>
      <c r="B306" s="1349" t="inlineStr">
        <is>
          <t>Ian Douglas</t>
        </is>
      </c>
      <c r="C306" s="1350" t="inlineStr">
        <is>
          <t>2. Workshops Non Residential</t>
        </is>
      </c>
      <c r="D306" s="1349" t="inlineStr">
        <is>
          <t>Stripe</t>
        </is>
      </c>
      <c r="E306" s="1351" t="n">
        <v>55</v>
      </c>
      <c r="F306" s="1349" t="inlineStr">
        <is>
          <t>Sezincote</t>
        </is>
      </c>
      <c r="G306" s="1349" t="inlineStr">
        <is>
          <t>Existing</t>
        </is>
      </c>
      <c r="I306" t="inlineStr">
        <is>
          <t>SEZINCOTE Garden Photography Workshop - Gloucs 29 May</t>
        </is>
      </c>
      <c r="J306" t="inlineStr">
        <is>
          <t>https://www.alanranger.com/landscape-photography-workshops</t>
        </is>
      </c>
    </row>
    <row r="307" ht="13.5" customHeight="1" s="1232">
      <c r="A307" s="1348" t="n">
        <v>45506</v>
      </c>
      <c r="B307" s="1349" t="inlineStr">
        <is>
          <t>Jason Fletcher</t>
        </is>
      </c>
      <c r="C307" s="1350" t="inlineStr">
        <is>
          <t>7. 1-2-1</t>
        </is>
      </c>
      <c r="D307" s="1349" t="inlineStr">
        <is>
          <t>Stripe</t>
        </is>
      </c>
      <c r="E307" s="1351" t="n">
        <v>65</v>
      </c>
      <c r="F307" s="1352" t="inlineStr">
        <is>
          <t>1-2-1</t>
        </is>
      </c>
      <c r="G307" s="1349" t="inlineStr">
        <is>
          <t>Existing</t>
        </is>
      </c>
      <c r="I307" t="inlineStr">
        <is>
          <t>1-2-1 Single Session - 1hr (Face-to-Face)</t>
        </is>
      </c>
      <c r="J307" t="inlineStr">
        <is>
          <t>https://www.alanranger.com/private-photography-lessons</t>
        </is>
      </c>
    </row>
    <row r="308" ht="13.5" customHeight="1" s="1232">
      <c r="A308" s="1348" t="n">
        <v>45506</v>
      </c>
      <c r="B308" s="1349" t="inlineStr">
        <is>
          <t>adrian thomas</t>
        </is>
      </c>
      <c r="C308" s="1350" t="inlineStr">
        <is>
          <t>2. Workshops Non Residential</t>
        </is>
      </c>
      <c r="D308" s="1349" t="inlineStr">
        <is>
          <t>Stripe</t>
        </is>
      </c>
      <c r="E308" s="1351" t="n">
        <v>55</v>
      </c>
      <c r="F308" s="1349" t="inlineStr">
        <is>
          <t>Sezincote</t>
        </is>
      </c>
      <c r="G308" s="1349" t="inlineStr">
        <is>
          <t>Google</t>
        </is>
      </c>
      <c r="I308" t="inlineStr">
        <is>
          <t>SEZINCOTE Garden Photography Workshop - Gloucs 29 May</t>
        </is>
      </c>
      <c r="J308" t="inlineStr">
        <is>
          <t>https://www.alanranger.com/landscape-photography-workshops</t>
        </is>
      </c>
    </row>
    <row r="309" ht="13.5" customHeight="1" s="1232">
      <c r="A309" s="1348" t="n">
        <v>45505</v>
      </c>
      <c r="B309" s="1349" t="inlineStr">
        <is>
          <t>Pick n Mix Subs</t>
        </is>
      </c>
      <c r="C309" s="1350" t="inlineStr">
        <is>
          <t>4. Pick n Mix Inc</t>
        </is>
      </c>
      <c r="D309" s="1349" t="inlineStr">
        <is>
          <t>Stripe</t>
        </is>
      </c>
      <c r="E309" s="1351" t="n">
        <v>250</v>
      </c>
      <c r="F309" s="1349" t="inlineStr">
        <is>
          <t>Pick N Mix Payments</t>
        </is>
      </c>
      <c r="G309" s="1349" t="inlineStr">
        <is>
          <t>Existing</t>
        </is>
      </c>
      <c r="I309" t="inlineStr">
        <is>
          <t>Pick N Mix Payment Plan</t>
        </is>
      </c>
      <c r="J309" t="inlineStr">
        <is>
          <t>https://www.alanranger.com/photography-payment-plan</t>
        </is>
      </c>
    </row>
    <row r="310" ht="13.5" customHeight="1" s="1232">
      <c r="A310" s="1348" t="n">
        <v>45505</v>
      </c>
      <c r="B310" s="1349" t="inlineStr">
        <is>
          <t>Mentoring Subs</t>
        </is>
      </c>
      <c r="C310" s="1350" t="inlineStr">
        <is>
          <t>6. Mentoring</t>
        </is>
      </c>
      <c r="D310" s="1349" t="inlineStr">
        <is>
          <t>Stripe</t>
        </is>
      </c>
      <c r="E310" s="1351" t="n">
        <v>40</v>
      </c>
      <c r="F310" s="1349" t="inlineStr">
        <is>
          <t>Mentoring Subs</t>
        </is>
      </c>
      <c r="G310" s="1349" t="inlineStr">
        <is>
          <t>Existing</t>
        </is>
      </c>
      <c r="I310" t="inlineStr">
        <is>
          <t>Mentoring - Monthly Subscription</t>
        </is>
      </c>
      <c r="J310" t="inlineStr">
        <is>
          <t>https://www.alanranger.com/photography-mentoring-online-assignments</t>
        </is>
      </c>
    </row>
    <row r="311" ht="13.5" customHeight="1" s="1232">
      <c r="A311" s="1348" t="n"/>
      <c r="B311" s="1349" t="n"/>
      <c r="C311" s="1350" t="n"/>
      <c r="D311" s="1349" t="n"/>
      <c r="E311" s="1351" t="n"/>
      <c r="F311" s="1349" t="n"/>
      <c r="G311" s="1349" t="n"/>
    </row>
    <row r="312" ht="13.5" customHeight="1" s="1232">
      <c r="A312" s="1348" t="n">
        <v>45504</v>
      </c>
      <c r="B312" s="1349" t="inlineStr">
        <is>
          <t>Paul Schoenfeld</t>
        </is>
      </c>
      <c r="C312" s="1350" t="inlineStr">
        <is>
          <t>7. 1-2-1</t>
        </is>
      </c>
      <c r="D312" s="1349" t="inlineStr">
        <is>
          <t>Stripe</t>
        </is>
      </c>
      <c r="E312" s="1351" t="n">
        <v>50</v>
      </c>
      <c r="F312" s="1349" t="inlineStr">
        <is>
          <t>Zoom 1hr</t>
        </is>
      </c>
      <c r="G312" s="1349" t="inlineStr">
        <is>
          <t>Google</t>
        </is>
      </c>
      <c r="I312" t="inlineStr">
        <is>
          <t>1-2-1 Single Session - 1hr Zoom</t>
        </is>
      </c>
      <c r="J312" t="inlineStr">
        <is>
          <t>https://www.alanranger.com/photography-lessons-online-121</t>
        </is>
      </c>
    </row>
    <row r="313" ht="13.5" customHeight="1" s="1232">
      <c r="A313" s="1348" t="n">
        <v>45504</v>
      </c>
      <c r="B313" s="1349" t="inlineStr">
        <is>
          <t>Peter Neil Mangan</t>
        </is>
      </c>
      <c r="C313" s="1350" t="inlineStr">
        <is>
          <t>11 Commissions</t>
        </is>
      </c>
      <c r="D313" s="1349" t="inlineStr">
        <is>
          <t>Stripe</t>
        </is>
      </c>
      <c r="E313" s="1351" t="n">
        <v>112.5</v>
      </c>
      <c r="F313" s="1349" t="inlineStr">
        <is>
          <t>Product Shoot</t>
        </is>
      </c>
      <c r="G313" s="1349" t="inlineStr">
        <is>
          <t>Existing</t>
        </is>
      </c>
      <c r="I313" t="inlineStr">
        <is>
          <t>Commission - Commercial / Product Shoot</t>
        </is>
      </c>
      <c r="J313" t="inlineStr">
        <is>
          <t>https://www.alanranger.com/professional-commercial-photographer-coventry</t>
        </is>
      </c>
    </row>
    <row r="314" ht="13.5" customHeight="1" s="1232">
      <c r="A314" s="1348" t="n">
        <v>45496</v>
      </c>
      <c r="B314" s="1349" t="inlineStr">
        <is>
          <t>TBA</t>
        </is>
      </c>
      <c r="C314" s="1350" t="inlineStr">
        <is>
          <t>12. Other</t>
        </is>
      </c>
      <c r="D314" s="1349" t="inlineStr">
        <is>
          <t>Cash</t>
        </is>
      </c>
      <c r="E314" s="1351" t="n">
        <v>30</v>
      </c>
      <c r="F314" s="1349" t="inlineStr">
        <is>
          <t>Sensor Clean</t>
        </is>
      </c>
      <c r="G314" s="1349" t="inlineStr">
        <is>
          <t>Google</t>
        </is>
      </c>
      <c r="I314" t="inlineStr">
        <is>
          <t>Sensor Clean Service (historical)</t>
        </is>
      </c>
      <c r="J314" t="inlineStr">
        <is>
          <t>https://www.alanranger.com/photography-shop-services</t>
        </is>
      </c>
    </row>
    <row r="315" ht="13.5" customHeight="1" s="1232">
      <c r="A315" s="1348" t="n">
        <v>45498</v>
      </c>
      <c r="B315" s="1349" t="inlineStr">
        <is>
          <t>Myra Little</t>
        </is>
      </c>
      <c r="C315" s="1350" t="inlineStr">
        <is>
          <t>1. Courses/masterclasses</t>
        </is>
      </c>
      <c r="D315" s="1349" t="inlineStr">
        <is>
          <t>Stripe</t>
        </is>
      </c>
      <c r="E315" s="1351" t="n">
        <v>395</v>
      </c>
      <c r="F315" s="1349" t="inlineStr">
        <is>
          <t>RPS</t>
        </is>
      </c>
      <c r="G315" s="1349" t="inlineStr">
        <is>
          <t>Google</t>
        </is>
      </c>
      <c r="I315" t="inlineStr">
        <is>
          <t>RPS Mentoring Course (historical)</t>
        </is>
      </c>
      <c r="J315" t="inlineStr">
        <is>
          <t>https://www.alanranger.com/rps-courses-mentoring-distinctions</t>
        </is>
      </c>
    </row>
    <row r="316" ht="13.5" customHeight="1" s="1232">
      <c r="A316" s="1348" t="n">
        <v>45495</v>
      </c>
      <c r="B316" s="1349" t="inlineStr">
        <is>
          <t>John Whitehouse</t>
        </is>
      </c>
      <c r="C316" s="1350" t="inlineStr">
        <is>
          <t>9. Gift Vouchers Out</t>
        </is>
      </c>
      <c r="D316" s="1349" t="inlineStr">
        <is>
          <t>Gift Voucher Out</t>
        </is>
      </c>
      <c r="E316" s="1351" t="n">
        <v>-100</v>
      </c>
      <c r="F316" s="1349" t="inlineStr">
        <is>
          <t>Bluebells</t>
        </is>
      </c>
      <c r="G316" s="1349" t="inlineStr">
        <is>
          <t>Existing</t>
        </is>
      </c>
      <c r="I316" t="inlineStr">
        <is>
          <t>Voucher/Plan Redemption - not a product sale</t>
        </is>
      </c>
      <c r="J316" t="inlineStr"/>
    </row>
    <row r="317" ht="13.5" customHeight="1" s="1232">
      <c r="A317" s="1348" t="n">
        <v>45495</v>
      </c>
      <c r="B317" s="1349" t="inlineStr">
        <is>
          <t>John Whitehouse</t>
        </is>
      </c>
      <c r="C317" s="1350" t="inlineStr">
        <is>
          <t>3. Workshops Residential</t>
        </is>
      </c>
      <c r="D317" s="1349" t="inlineStr">
        <is>
          <t>Gift Voucher Out</t>
        </is>
      </c>
      <c r="E317" s="1351" t="n">
        <v>100</v>
      </c>
      <c r="F317" s="1349" t="inlineStr">
        <is>
          <t>Bluebells</t>
        </is>
      </c>
      <c r="G317" s="1349" t="inlineStr">
        <is>
          <t>Existing</t>
        </is>
      </c>
      <c r="I317" t="inlineStr">
        <is>
          <t>BLUEBELL WOODLANDS Photography - Warks - 20 Apr- 30 Apr</t>
        </is>
      </c>
      <c r="J317" t="inlineStr">
        <is>
          <t>https://www.alanranger.com/one-day-landscape-photography-workshops</t>
        </is>
      </c>
    </row>
    <row r="318" ht="13.5" customHeight="1" s="1232">
      <c r="A318" s="1348" t="n">
        <v>45495</v>
      </c>
      <c r="B318" s="1349" t="inlineStr">
        <is>
          <t>John Whitehouse</t>
        </is>
      </c>
      <c r="C318" s="1350" t="inlineStr">
        <is>
          <t>3. Workshops Residential</t>
        </is>
      </c>
      <c r="D318" s="1349" t="inlineStr">
        <is>
          <t>Stripe</t>
        </is>
      </c>
      <c r="E318" s="1351" t="n">
        <v>75</v>
      </c>
      <c r="F318" s="1349" t="inlineStr">
        <is>
          <t>Bluebells</t>
        </is>
      </c>
      <c r="G318" s="1349" t="inlineStr">
        <is>
          <t>Existing</t>
        </is>
      </c>
      <c r="I318" t="inlineStr">
        <is>
          <t>BLUEBELL WOODLANDS Photography - Warks - 20 Apr- 30 Apr</t>
        </is>
      </c>
      <c r="J318" t="inlineStr">
        <is>
          <t>https://www.alanranger.com/one-day-landscape-photography-workshops</t>
        </is>
      </c>
    </row>
    <row r="319" ht="13.5" customHeight="1" s="1232">
      <c r="A319" s="1348" t="n">
        <v>45489</v>
      </c>
      <c r="B319" s="1349" t="inlineStr">
        <is>
          <t>Andrew Duke</t>
        </is>
      </c>
      <c r="C319" s="1350" t="inlineStr">
        <is>
          <t>12. Other</t>
        </is>
      </c>
      <c r="D319" s="1349" t="inlineStr">
        <is>
          <t>PayPal</t>
        </is>
      </c>
      <c r="E319" s="1351" t="n">
        <v>30</v>
      </c>
      <c r="F319" s="1349" t="inlineStr">
        <is>
          <t>Sensor Clean</t>
        </is>
      </c>
      <c r="G319" s="1349" t="inlineStr">
        <is>
          <t>Google</t>
        </is>
      </c>
      <c r="I319" t="inlineStr">
        <is>
          <t>Sensor Clean Service (historical)</t>
        </is>
      </c>
      <c r="J319" t="inlineStr">
        <is>
          <t>https://www.alanranger.com/photography-shop-services</t>
        </is>
      </c>
    </row>
    <row r="320" ht="13.5" customHeight="1" s="1232">
      <c r="A320" s="1348" t="n">
        <v>45489</v>
      </c>
      <c r="B320" s="1349" t="inlineStr">
        <is>
          <t>Wesley Fraser</t>
        </is>
      </c>
      <c r="C320" s="1350" t="inlineStr">
        <is>
          <t>9. Gift Vouchers Out</t>
        </is>
      </c>
      <c r="D320" s="1349" t="inlineStr">
        <is>
          <t>Gift Voucher Out</t>
        </is>
      </c>
      <c r="E320" s="1351" t="n">
        <v>-100</v>
      </c>
      <c r="F320" s="1349" t="inlineStr">
        <is>
          <t>Woodland Masterclass</t>
        </is>
      </c>
      <c r="G320" s="1349" t="inlineStr">
        <is>
          <t>Google</t>
        </is>
      </c>
      <c r="I320" t="inlineStr">
        <is>
          <t>Voucher/Plan Redemption - not a product sale</t>
        </is>
      </c>
      <c r="J320" t="inlineStr"/>
    </row>
    <row r="321" ht="13.5" customHeight="1" s="1232">
      <c r="A321" s="1348" t="n">
        <v>45489</v>
      </c>
      <c r="B321" s="1349" t="inlineStr">
        <is>
          <t>Wesley Fraser</t>
        </is>
      </c>
      <c r="C321" s="1350" t="inlineStr">
        <is>
          <t>3. Workshops Residential</t>
        </is>
      </c>
      <c r="D321" s="1349" t="inlineStr">
        <is>
          <t>Gift Voucher Out</t>
        </is>
      </c>
      <c r="E321" s="1351" t="n">
        <v>100</v>
      </c>
      <c r="F321" s="1349" t="inlineStr">
        <is>
          <t>Woodland Masterclass</t>
        </is>
      </c>
      <c r="G321" s="1349" t="inlineStr">
        <is>
          <t>Google</t>
        </is>
      </c>
      <c r="I321" t="inlineStr">
        <is>
          <t>The Secret of WOODLAND PHOTOGRAPHY- 1-Day Jan, Apr, Aug, Oct</t>
        </is>
      </c>
      <c r="J321" t="inlineStr">
        <is>
          <t>https://www.alanranger.com/one-day-landscape-photography-workshops</t>
        </is>
      </c>
    </row>
    <row r="322" ht="13.5" customHeight="1" s="1232">
      <c r="A322" s="1348" t="n">
        <v>45489</v>
      </c>
      <c r="B322" s="1349" t="inlineStr">
        <is>
          <t>Wesley Fraser</t>
        </is>
      </c>
      <c r="C322" s="1350" t="inlineStr">
        <is>
          <t>3. Workshops Residential</t>
        </is>
      </c>
      <c r="D322" s="1349" t="inlineStr">
        <is>
          <t>Stripe</t>
        </is>
      </c>
      <c r="E322" s="1351" t="n">
        <v>25</v>
      </c>
      <c r="F322" s="1349" t="inlineStr">
        <is>
          <t>Woodland Masterclass</t>
        </is>
      </c>
      <c r="G322" s="1349" t="inlineStr">
        <is>
          <t>Google</t>
        </is>
      </c>
      <c r="I322" t="inlineStr">
        <is>
          <t>The Secret of WOODLAND PHOTOGRAPHY- 1-Day Jan, Apr, Aug, Oct</t>
        </is>
      </c>
      <c r="J322" t="inlineStr">
        <is>
          <t>https://www.alanranger.com/one-day-landscape-photography-workshops</t>
        </is>
      </c>
    </row>
    <row r="323" ht="13.5" customHeight="1" s="1232">
      <c r="A323" s="1348" t="n">
        <v>45490</v>
      </c>
      <c r="B323" s="1349" t="inlineStr">
        <is>
          <t>Julia Brealey</t>
        </is>
      </c>
      <c r="C323" s="1350" t="inlineStr">
        <is>
          <t>7. 1-2-1</t>
        </is>
      </c>
      <c r="D323" s="1349" t="inlineStr">
        <is>
          <t>Stripe</t>
        </is>
      </c>
      <c r="E323" s="1351" t="n">
        <v>60</v>
      </c>
      <c r="F323" s="1349" t="inlineStr">
        <is>
          <t>2hr F2F</t>
        </is>
      </c>
      <c r="G323" s="1349" t="inlineStr">
        <is>
          <t>Google</t>
        </is>
      </c>
      <c r="I323" t="inlineStr">
        <is>
          <t>1-2-1 Single Session - 2hr (Face-to-Face)</t>
        </is>
      </c>
      <c r="J323" t="inlineStr">
        <is>
          <t>https://www.alanranger.com/private-photography-lessons</t>
        </is>
      </c>
    </row>
    <row r="324" ht="13.5" customHeight="1" s="1232">
      <c r="A324" s="1348" t="n">
        <v>45491</v>
      </c>
      <c r="B324" s="1349" t="inlineStr">
        <is>
          <t>Paul Schoenfeld</t>
        </is>
      </c>
      <c r="C324" s="1350" t="inlineStr">
        <is>
          <t>7. 1-2-1</t>
        </is>
      </c>
      <c r="D324" s="1349" t="inlineStr">
        <is>
          <t>Stripe</t>
        </is>
      </c>
      <c r="E324" s="1351" t="n">
        <v>50</v>
      </c>
      <c r="F324" s="1349" t="inlineStr">
        <is>
          <t>Zoom 1hr</t>
        </is>
      </c>
      <c r="G324" s="1349" t="inlineStr">
        <is>
          <t>Google</t>
        </is>
      </c>
      <c r="I324" t="inlineStr">
        <is>
          <t>1-2-1 Single Session - 1hr Zoom</t>
        </is>
      </c>
      <c r="J324" t="inlineStr">
        <is>
          <t>https://www.alanranger.com/photography-lessons-online-121</t>
        </is>
      </c>
    </row>
    <row r="325" ht="13.5" customHeight="1" s="1232">
      <c r="A325" s="1348" t="n">
        <v>45491</v>
      </c>
      <c r="B325" s="1349" t="inlineStr">
        <is>
          <t>Jason Fletcher</t>
        </is>
      </c>
      <c r="C325" s="1350" t="inlineStr">
        <is>
          <t>7. 1-2-1</t>
        </is>
      </c>
      <c r="D325" s="1349" t="inlineStr">
        <is>
          <t>Stripe</t>
        </is>
      </c>
      <c r="E325" s="1351" t="n">
        <v>65</v>
      </c>
      <c r="F325" s="1349" t="inlineStr">
        <is>
          <t>1hr F2F</t>
        </is>
      </c>
      <c r="G325" s="1349" t="inlineStr">
        <is>
          <t>Google</t>
        </is>
      </c>
      <c r="I325" t="inlineStr">
        <is>
          <t>1-2-1 Single Session - 1hr (Face-to-Face)</t>
        </is>
      </c>
      <c r="J325" t="inlineStr">
        <is>
          <t>https://www.alanranger.com/private-photography-lessons</t>
        </is>
      </c>
    </row>
    <row r="326" ht="13.5" customHeight="1" s="1232">
      <c r="A326" s="1348" t="n">
        <v>45491</v>
      </c>
      <c r="B326" s="1349" t="inlineStr">
        <is>
          <t>Ola Jovall</t>
        </is>
      </c>
      <c r="C326" s="1350" t="inlineStr">
        <is>
          <t>7. 1-2-1</t>
        </is>
      </c>
      <c r="D326" s="1349" t="inlineStr">
        <is>
          <t>Stripe</t>
        </is>
      </c>
      <c r="E326" s="1351" t="n">
        <v>50</v>
      </c>
      <c r="F326" s="1349" t="inlineStr">
        <is>
          <t>Zoom 1hr</t>
        </is>
      </c>
      <c r="G326" s="1349" t="inlineStr">
        <is>
          <t>Google</t>
        </is>
      </c>
      <c r="I326" t="inlineStr">
        <is>
          <t>1-2-1 Single Session - 1hr Zoom</t>
        </is>
      </c>
      <c r="J326" t="inlineStr">
        <is>
          <t>https://www.alanranger.com/photography-lessons-online-121</t>
        </is>
      </c>
    </row>
    <row r="327" ht="13.5" customHeight="1" s="1232">
      <c r="A327" s="1348" t="n">
        <v>45481</v>
      </c>
      <c r="B327" s="1349" t="inlineStr">
        <is>
          <t>Peter Neil Mangan</t>
        </is>
      </c>
      <c r="C327" s="1350" t="inlineStr">
        <is>
          <t>11 Commissions</t>
        </is>
      </c>
      <c r="D327" s="1349" t="inlineStr">
        <is>
          <t>Stripe</t>
        </is>
      </c>
      <c r="E327" s="1351" t="n">
        <v>150</v>
      </c>
      <c r="F327" s="1349" t="inlineStr">
        <is>
          <t>Product Shoot</t>
        </is>
      </c>
      <c r="G327" s="1349" t="inlineStr">
        <is>
          <t>Existing</t>
        </is>
      </c>
      <c r="I327" t="inlineStr">
        <is>
          <t>Commission - Commercial / Product Shoot</t>
        </is>
      </c>
      <c r="J327" t="inlineStr">
        <is>
          <t>https://www.alanranger.com/professional-commercial-photographer-coventry</t>
        </is>
      </c>
    </row>
    <row r="328" ht="13.5" customHeight="1" s="1232">
      <c r="A328" s="1348" t="n">
        <v>45474</v>
      </c>
      <c r="B328" s="1349" t="inlineStr">
        <is>
          <t>Peter Neil Mangan</t>
        </is>
      </c>
      <c r="C328" s="1350" t="inlineStr">
        <is>
          <t>11 Commissions</t>
        </is>
      </c>
      <c r="D328" s="1349" t="inlineStr">
        <is>
          <t>Stripe</t>
        </is>
      </c>
      <c r="E328" s="1351" t="n">
        <v>100</v>
      </c>
      <c r="F328" s="1349" t="inlineStr">
        <is>
          <t>Product Shoot</t>
        </is>
      </c>
      <c r="G328" s="1349" t="inlineStr">
        <is>
          <t>Google</t>
        </is>
      </c>
      <c r="I328" t="inlineStr">
        <is>
          <t>Commission - Commercial / Product Shoot</t>
        </is>
      </c>
      <c r="J328" t="inlineStr">
        <is>
          <t>https://www.alanranger.com/professional-commercial-photographer-coventry</t>
        </is>
      </c>
    </row>
    <row r="329" ht="13.5" customHeight="1" s="1232">
      <c r="A329" s="1348" t="n">
        <v>45474</v>
      </c>
      <c r="B329" s="1349" t="inlineStr">
        <is>
          <t>Mentoring Subs</t>
        </is>
      </c>
      <c r="C329" s="1350" t="inlineStr">
        <is>
          <t>6. Mentoring</t>
        </is>
      </c>
      <c r="D329" s="1349" t="inlineStr">
        <is>
          <t>Stripe</t>
        </is>
      </c>
      <c r="E329" s="1351" t="n">
        <v>80</v>
      </c>
      <c r="F329" s="1349" t="inlineStr">
        <is>
          <t>Mentoring Subs</t>
        </is>
      </c>
      <c r="G329" s="1349" t="inlineStr">
        <is>
          <t>Existing</t>
        </is>
      </c>
      <c r="I329" t="inlineStr">
        <is>
          <t>Mentoring - Monthly Subscription</t>
        </is>
      </c>
      <c r="J329" t="inlineStr">
        <is>
          <t>https://www.alanranger.com/photography-mentoring-online-assignments</t>
        </is>
      </c>
    </row>
    <row r="330" ht="13.5" customHeight="1" s="1232">
      <c r="A330" s="1348" t="n"/>
      <c r="B330" s="1349" t="n"/>
      <c r="C330" s="1350" t="n"/>
      <c r="D330" s="1349" t="n"/>
      <c r="E330" s="1351" t="n"/>
      <c r="F330" s="1349" t="n"/>
      <c r="G330" s="1349" t="n"/>
    </row>
    <row r="331" ht="13.5" customHeight="1" s="1232">
      <c r="A331" s="1348" t="n">
        <v>45472</v>
      </c>
      <c r="B331" s="1349" t="inlineStr">
        <is>
          <t>Jack Rollins</t>
        </is>
      </c>
      <c r="C331" s="1350" t="inlineStr">
        <is>
          <t>2. Workshops Non Residential</t>
        </is>
      </c>
      <c r="D331" s="1349" t="inlineStr">
        <is>
          <t>Gift Voucher Out</t>
        </is>
      </c>
      <c r="E331" s="1351" t="n">
        <v>99</v>
      </c>
      <c r="F331" s="1349" t="inlineStr">
        <is>
          <t>Batsford</t>
        </is>
      </c>
      <c r="G331" s="1349" t="inlineStr">
        <is>
          <t>Referral</t>
        </is>
      </c>
      <c r="I331" t="inlineStr">
        <is>
          <t>Gift Voucher - Digital eCard</t>
        </is>
      </c>
      <c r="J331" t="inlineStr">
        <is>
          <t>https://www.alanranger.com/photography-gift-vouchers</t>
        </is>
      </c>
    </row>
    <row r="332" ht="13.5" customHeight="1" s="1232">
      <c r="A332" s="1348" t="n">
        <v>45472</v>
      </c>
      <c r="B332" s="1349" t="inlineStr">
        <is>
          <t>Jack Rollins</t>
        </is>
      </c>
      <c r="C332" s="1350" t="inlineStr">
        <is>
          <t>9. Gift Vouchers Out</t>
        </is>
      </c>
      <c r="D332" s="1349" t="inlineStr">
        <is>
          <t>Gift Voucher Out</t>
        </is>
      </c>
      <c r="E332" s="1351" t="n">
        <v>-99</v>
      </c>
      <c r="F332" s="1349" t="inlineStr">
        <is>
          <t>Batsford</t>
        </is>
      </c>
      <c r="G332" s="1349" t="inlineStr">
        <is>
          <t>Referral</t>
        </is>
      </c>
      <c r="I332" t="inlineStr">
        <is>
          <t>Voucher/Plan Redemption - not a product sale</t>
        </is>
      </c>
      <c r="J332" t="inlineStr"/>
    </row>
    <row r="333" ht="13.5" customHeight="1" s="1232">
      <c r="A333" s="1348" t="n">
        <v>45470</v>
      </c>
      <c r="B333" s="1349" t="inlineStr">
        <is>
          <t>Cameron Holden</t>
        </is>
      </c>
      <c r="C333" s="1350" t="inlineStr">
        <is>
          <t>7. 1-2-1</t>
        </is>
      </c>
      <c r="D333" s="1349" t="inlineStr">
        <is>
          <t>Stripe</t>
        </is>
      </c>
      <c r="E333" s="1351" t="n">
        <v>65</v>
      </c>
      <c r="F333" s="1349" t="inlineStr">
        <is>
          <t>2hr F2F 121</t>
        </is>
      </c>
      <c r="G333" s="1349" t="inlineStr">
        <is>
          <t>Existing</t>
        </is>
      </c>
      <c r="I333" t="inlineStr">
        <is>
          <t>1-2-1 Single Session - 2hr (Face-to-Face)</t>
        </is>
      </c>
      <c r="J333" t="inlineStr">
        <is>
          <t>https://www.alanranger.com/private-photography-lessons</t>
        </is>
      </c>
    </row>
    <row r="334" ht="13.5" customHeight="1" s="1232">
      <c r="A334" s="1348" t="n">
        <v>45470</v>
      </c>
      <c r="B334" s="1349" t="inlineStr">
        <is>
          <t>Pixsy</t>
        </is>
      </c>
      <c r="C334" s="1350" t="inlineStr">
        <is>
          <t>10. Prints &amp; Royalties</t>
        </is>
      </c>
      <c r="D334" s="1349" t="inlineStr">
        <is>
          <t>Bank</t>
        </is>
      </c>
      <c r="E334" s="1351" t="n">
        <v>118.48</v>
      </c>
      <c r="F334" s="1349" t="inlineStr">
        <is>
          <t>Royalty</t>
        </is>
      </c>
      <c r="G334" s="1349" t="inlineStr">
        <is>
          <t>Other</t>
        </is>
      </c>
      <c r="I334" t="inlineStr">
        <is>
          <t>Royalties &amp; Affiliate Income</t>
        </is>
      </c>
      <c r="J334" t="inlineStr">
        <is>
          <t>https://www.alanranger.com/fine-art-prints</t>
        </is>
      </c>
    </row>
    <row r="335" ht="13.5" customHeight="1" s="1232">
      <c r="A335" s="1348" t="n">
        <v>45470</v>
      </c>
      <c r="B335" s="1349" t="inlineStr">
        <is>
          <t>Mandy Watts</t>
        </is>
      </c>
      <c r="C335" s="1350" t="inlineStr">
        <is>
          <t>2. Workshops Non Residential</t>
        </is>
      </c>
      <c r="D335" s="1349" t="inlineStr">
        <is>
          <t>Gift Voucher Out</t>
        </is>
      </c>
      <c r="E335" s="1351" t="n">
        <v>100</v>
      </c>
      <c r="F335" s="1349" t="inlineStr">
        <is>
          <t>Garden Workshop</t>
        </is>
      </c>
      <c r="G335" s="1349" t="inlineStr">
        <is>
          <t>Referral</t>
        </is>
      </c>
      <c r="I335" t="inlineStr">
        <is>
          <t>The Art of GARDEN PHOTOGRAPHY  - Coventry -  May and July</t>
        </is>
      </c>
      <c r="J335" t="inlineStr">
        <is>
          <t>https://www.alanranger.com/landscape-photography-workshops</t>
        </is>
      </c>
    </row>
    <row r="336" ht="13.5" customHeight="1" s="1232">
      <c r="A336" s="1348" t="n">
        <v>45470</v>
      </c>
      <c r="B336" s="1349" t="inlineStr">
        <is>
          <t>Mandy Watts</t>
        </is>
      </c>
      <c r="C336" s="1350" t="inlineStr">
        <is>
          <t>9. Gift Vouchers Out</t>
        </is>
      </c>
      <c r="D336" s="1349" t="inlineStr">
        <is>
          <t>Gift Voucher Out</t>
        </is>
      </c>
      <c r="E336" s="1351" t="n">
        <v>-100</v>
      </c>
      <c r="F336" s="1349" t="inlineStr">
        <is>
          <t>Garden Workshop</t>
        </is>
      </c>
      <c r="G336" s="1349" t="inlineStr">
        <is>
          <t>Referral</t>
        </is>
      </c>
      <c r="I336" t="inlineStr">
        <is>
          <t>Voucher/Plan Redemption - not a product sale</t>
        </is>
      </c>
      <c r="J336" t="inlineStr"/>
    </row>
    <row r="337" ht="13.5" customHeight="1" s="1232">
      <c r="A337" s="1348" t="n">
        <v>45470</v>
      </c>
      <c r="B337" s="1349" t="inlineStr">
        <is>
          <t>Mandy Watts</t>
        </is>
      </c>
      <c r="C337" s="1350" t="inlineStr">
        <is>
          <t>3. Workshops Residential</t>
        </is>
      </c>
      <c r="D337" s="1349" t="inlineStr">
        <is>
          <t>Stripe</t>
        </is>
      </c>
      <c r="E337" s="1351" t="n">
        <v>25</v>
      </c>
      <c r="F337" s="1349" t="inlineStr">
        <is>
          <t>Garden Workshop</t>
        </is>
      </c>
      <c r="G337" s="1349" t="inlineStr">
        <is>
          <t>Referral</t>
        </is>
      </c>
      <c r="I337" t="inlineStr">
        <is>
          <t>The Art of GARDEN PHOTOGRAPHY  - Coventry -  May and July</t>
        </is>
      </c>
      <c r="J337" t="inlineStr">
        <is>
          <t>https://www.alanranger.com/landscape-photography-workshops</t>
        </is>
      </c>
    </row>
    <row r="338" ht="13.5" customHeight="1" s="1232">
      <c r="A338" s="1348" t="n">
        <v>45462</v>
      </c>
      <c r="B338" s="1349" t="inlineStr">
        <is>
          <t>Natalie Green</t>
        </is>
      </c>
      <c r="C338" s="1350" t="inlineStr">
        <is>
          <t>8. Gift Vouchers Inc</t>
        </is>
      </c>
      <c r="D338" s="1349" t="inlineStr">
        <is>
          <t>Stripe</t>
        </is>
      </c>
      <c r="E338" s="1351" t="n">
        <v>100</v>
      </c>
      <c r="F338" s="1349" t="inlineStr">
        <is>
          <t>Digital Gift Card</t>
        </is>
      </c>
      <c r="G338" s="1349" t="inlineStr">
        <is>
          <t>Google</t>
        </is>
      </c>
      <c r="I338" t="inlineStr">
        <is>
          <t>Gift Voucher - Digital eCard</t>
        </is>
      </c>
      <c r="J338" t="inlineStr">
        <is>
          <t>https://www.alanranger.com/photography-gift-vouchers</t>
        </is>
      </c>
    </row>
    <row r="339" ht="13.5" customHeight="1" s="1232">
      <c r="A339" s="1348" t="n">
        <v>45458</v>
      </c>
      <c r="B339" s="1349" t="inlineStr">
        <is>
          <t>Sam Cooke</t>
        </is>
      </c>
      <c r="C339" s="1350" t="inlineStr">
        <is>
          <t>8. Gift Vouchers Inc</t>
        </is>
      </c>
      <c r="D339" s="1349" t="inlineStr">
        <is>
          <t>Stripe</t>
        </is>
      </c>
      <c r="E339" s="1351" t="n">
        <v>50</v>
      </c>
      <c r="F339" s="1349" t="inlineStr">
        <is>
          <t>Digital Gift Card</t>
        </is>
      </c>
      <c r="G339" s="1349" t="inlineStr">
        <is>
          <t>Google</t>
        </is>
      </c>
      <c r="I339" t="inlineStr">
        <is>
          <t>Gift Voucher - Digital eCard</t>
        </is>
      </c>
      <c r="J339" t="inlineStr">
        <is>
          <t>https://www.alanranger.com/photography-gift-vouchers</t>
        </is>
      </c>
    </row>
    <row r="340" ht="13.5" customHeight="1" s="1232">
      <c r="A340" s="1348" t="n">
        <v>45455</v>
      </c>
      <c r="B340" s="1349" t="inlineStr">
        <is>
          <t>Emma Reynolds</t>
        </is>
      </c>
      <c r="C340" s="1350" t="inlineStr">
        <is>
          <t>12. Other</t>
        </is>
      </c>
      <c r="D340" s="1349" t="inlineStr">
        <is>
          <t>PayPal</t>
        </is>
      </c>
      <c r="E340" s="1351" t="n">
        <v>40</v>
      </c>
      <c r="F340" s="1349" t="inlineStr">
        <is>
          <t>Sensor Clean</t>
        </is>
      </c>
      <c r="G340" s="1349" t="inlineStr">
        <is>
          <t>Google</t>
        </is>
      </c>
      <c r="I340" t="inlineStr">
        <is>
          <t>Sensor Clean Service (historical)</t>
        </is>
      </c>
      <c r="J340" t="inlineStr">
        <is>
          <t>https://www.alanranger.com/photography-shop-services</t>
        </is>
      </c>
    </row>
    <row r="341" ht="13.5" customHeight="1" s="1232">
      <c r="A341" s="1348" t="n">
        <v>45453</v>
      </c>
      <c r="B341" s="1349" t="inlineStr">
        <is>
          <t>Alex Frost</t>
        </is>
      </c>
      <c r="C341" s="1350" t="inlineStr">
        <is>
          <t>3. Workshops Residential</t>
        </is>
      </c>
      <c r="D341" s="1349" t="inlineStr">
        <is>
          <t>Stripe</t>
        </is>
      </c>
      <c r="E341" s="1351" t="n">
        <v>125</v>
      </c>
      <c r="F341" s="1349" t="inlineStr">
        <is>
          <t>Lake District</t>
        </is>
      </c>
      <c r="G341" s="1349" t="inlineStr">
        <is>
          <t>Google</t>
        </is>
      </c>
      <c r="I341" t="inlineStr">
        <is>
          <t>LAKE DISTRICT Photography Workshops - Jan - Mar - Sep - Nov</t>
        </is>
      </c>
      <c r="J341" t="inlineStr">
        <is>
          <t>https://www.alanranger.com/photography-workshops</t>
        </is>
      </c>
    </row>
    <row r="342" ht="13.5" customHeight="1" s="1232">
      <c r="A342" s="1348" t="n">
        <v>45453</v>
      </c>
      <c r="B342" s="1349" t="inlineStr">
        <is>
          <t>Alex Frost</t>
        </is>
      </c>
      <c r="C342" s="1350" t="inlineStr">
        <is>
          <t>3. Workshops Residential</t>
        </is>
      </c>
      <c r="D342" s="1349" t="inlineStr">
        <is>
          <t>Stripe</t>
        </is>
      </c>
      <c r="E342" s="1351" t="n">
        <v>945</v>
      </c>
      <c r="F342" s="1349" t="inlineStr">
        <is>
          <t>Lake District</t>
        </is>
      </c>
      <c r="G342" s="1349" t="inlineStr">
        <is>
          <t>Google</t>
        </is>
      </c>
      <c r="I342" t="inlineStr">
        <is>
          <t>LAKE DISTRICT Photography Workshops - Jan - Mar - Sep - Nov</t>
        </is>
      </c>
      <c r="J342" t="inlineStr">
        <is>
          <t>https://www.alanranger.com/photography-workshops</t>
        </is>
      </c>
    </row>
    <row r="343" ht="13.5" customHeight="1" s="1232">
      <c r="A343" s="1348" t="n">
        <v>45448</v>
      </c>
      <c r="B343" s="1349" t="inlineStr">
        <is>
          <t>Sonal Patel</t>
        </is>
      </c>
      <c r="C343" s="1350" t="inlineStr">
        <is>
          <t>2. Workshops Non Residential</t>
        </is>
      </c>
      <c r="D343" s="1349" t="inlineStr">
        <is>
          <t>PayPal</t>
        </is>
      </c>
      <c r="E343" s="1351" t="n">
        <v>35</v>
      </c>
      <c r="F343" s="1349" t="inlineStr">
        <is>
          <t>Garden Workshop</t>
        </is>
      </c>
      <c r="G343" s="1349" t="inlineStr">
        <is>
          <t>Google</t>
        </is>
      </c>
      <c r="I343" t="inlineStr">
        <is>
          <t>The Art of GARDEN PHOTOGRAPHY  - Coventry -  May and July</t>
        </is>
      </c>
      <c r="J343" t="inlineStr">
        <is>
          <t>https://www.alanranger.com/landscape-photography-workshops</t>
        </is>
      </c>
    </row>
    <row r="344" ht="13.5" customHeight="1" s="1232">
      <c r="A344" s="1348" t="n">
        <v>45445</v>
      </c>
      <c r="B344" s="1349" t="inlineStr">
        <is>
          <t>Judy Knights</t>
        </is>
      </c>
      <c r="C344" s="1350" t="inlineStr">
        <is>
          <t>3. Workshops Residential</t>
        </is>
      </c>
      <c r="D344" s="1349" t="inlineStr">
        <is>
          <t>Bank</t>
        </is>
      </c>
      <c r="E344" s="1351" t="n">
        <v>180</v>
      </c>
      <c r="F344" s="1349" t="inlineStr">
        <is>
          <t>Norfolk extra night</t>
        </is>
      </c>
      <c r="G344" s="1349" t="inlineStr">
        <is>
          <t>Existing</t>
        </is>
      </c>
      <c r="I344" t="inlineStr">
        <is>
          <t>Residential Workshop - Add-on (Extra Night/B&amp;B)</t>
        </is>
      </c>
      <c r="J344" t="inlineStr">
        <is>
          <t>https://www.alanranger.com/photography-workshops</t>
        </is>
      </c>
    </row>
    <row r="345" ht="13.5" customHeight="1" s="1232">
      <c r="A345" s="1348" t="n">
        <v>45444</v>
      </c>
      <c r="B345" s="1349" t="inlineStr">
        <is>
          <t>Kate Irwin</t>
        </is>
      </c>
      <c r="C345" s="1350" t="inlineStr">
        <is>
          <t>7. 1-2-1</t>
        </is>
      </c>
      <c r="D345" s="1349" t="inlineStr">
        <is>
          <t>Stripe</t>
        </is>
      </c>
      <c r="E345" s="1351" t="n">
        <v>360</v>
      </c>
      <c r="F345" s="1349" t="inlineStr">
        <is>
          <t>4 x 2hr 1-2-1s</t>
        </is>
      </c>
      <c r="G345" s="1349" t="inlineStr">
        <is>
          <t>Google</t>
        </is>
      </c>
      <c r="I345" t="inlineStr">
        <is>
          <t>1-2-1 Package - 4 x 2hr Face-to-Face (the GBP360 4-for-3)</t>
        </is>
      </c>
      <c r="J345" t="inlineStr">
        <is>
          <t>https://www.alanranger.com/private-photography-lessons</t>
        </is>
      </c>
    </row>
    <row r="346" ht="13.5" customHeight="1" s="1232">
      <c r="A346" s="1348" t="n">
        <v>45444</v>
      </c>
      <c r="B346" s="1349" t="inlineStr">
        <is>
          <t>Mentoring Subs</t>
        </is>
      </c>
      <c r="C346" s="1350" t="inlineStr">
        <is>
          <t>6. Mentoring</t>
        </is>
      </c>
      <c r="D346" s="1349" t="inlineStr">
        <is>
          <t>Stripe</t>
        </is>
      </c>
      <c r="E346" s="1351" t="n">
        <v>80</v>
      </c>
      <c r="F346" s="1349" t="inlineStr">
        <is>
          <t>Mentoring Subs</t>
        </is>
      </c>
      <c r="G346" s="1349" t="inlineStr">
        <is>
          <t>Existing</t>
        </is>
      </c>
      <c r="I346" t="inlineStr">
        <is>
          <t>Mentoring - Monthly Subscription</t>
        </is>
      </c>
      <c r="J346" t="inlineStr">
        <is>
          <t>https://www.alanranger.com/photography-mentoring-online-assignments</t>
        </is>
      </c>
    </row>
    <row r="347" ht="13.5" customHeight="1" s="1232">
      <c r="A347" s="1348" t="n"/>
      <c r="B347" s="1349" t="n"/>
      <c r="C347" s="1350" t="n"/>
      <c r="D347" s="1349" t="n"/>
      <c r="E347" s="1351" t="n"/>
      <c r="F347" s="1349" t="n"/>
      <c r="G347" s="1349" t="n"/>
    </row>
    <row r="348" ht="13.5" customHeight="1" s="1232">
      <c r="A348" s="1348" t="n">
        <v>45443</v>
      </c>
      <c r="B348" s="1349" t="inlineStr">
        <is>
          <t>Mark Bennett</t>
        </is>
      </c>
      <c r="C348" s="1350" t="inlineStr">
        <is>
          <t>12. Other</t>
        </is>
      </c>
      <c r="D348" s="1349" t="inlineStr">
        <is>
          <t>Stripe</t>
        </is>
      </c>
      <c r="E348" s="1351" t="n">
        <v>30</v>
      </c>
      <c r="F348" s="1349" t="inlineStr">
        <is>
          <t>Sensor Clean</t>
        </is>
      </c>
      <c r="G348" s="1349" t="inlineStr">
        <is>
          <t>Google</t>
        </is>
      </c>
      <c r="I348" t="inlineStr">
        <is>
          <t>Sensor Clean Service (historical)</t>
        </is>
      </c>
      <c r="J348" t="inlineStr">
        <is>
          <t>https://www.alanranger.com/photography-shop-services</t>
        </is>
      </c>
    </row>
    <row r="349" ht="13.5" customHeight="1" s="1232">
      <c r="A349" s="1348" t="n">
        <v>45440</v>
      </c>
      <c r="B349" s="1349" t="inlineStr">
        <is>
          <t>Kirsty Lilley</t>
        </is>
      </c>
      <c r="C349" s="1350" t="inlineStr">
        <is>
          <t>7. 1-2-1</t>
        </is>
      </c>
      <c r="D349" s="1349" t="inlineStr">
        <is>
          <t>Stripe</t>
        </is>
      </c>
      <c r="E349" s="1351" t="n">
        <v>360</v>
      </c>
      <c r="F349" s="1349" t="inlineStr">
        <is>
          <t>4 x 2hr 1-2-1</t>
        </is>
      </c>
      <c r="G349" s="1349" t="inlineStr">
        <is>
          <t>Google</t>
        </is>
      </c>
      <c r="I349" t="inlineStr">
        <is>
          <t>1-2-1 Package - 4 x 2hr Face-to-Face (the GBP360 4-for-3)</t>
        </is>
      </c>
      <c r="J349" t="inlineStr">
        <is>
          <t>https://www.alanranger.com/private-photography-lessons</t>
        </is>
      </c>
    </row>
    <row r="350" ht="13.5" customHeight="1" s="1232">
      <c r="A350" s="1348" t="n">
        <v>45435</v>
      </c>
      <c r="B350" s="1349" t="inlineStr">
        <is>
          <t>Adam Hudson</t>
        </is>
      </c>
      <c r="C350" s="1350" t="inlineStr">
        <is>
          <t>3. Workshops Residential</t>
        </is>
      </c>
      <c r="D350" s="1349" t="inlineStr">
        <is>
          <t>Stripe</t>
        </is>
      </c>
      <c r="E350" s="1351" t="n">
        <v>150</v>
      </c>
      <c r="F350" s="1349" t="inlineStr">
        <is>
          <t>Lavender</t>
        </is>
      </c>
      <c r="G350" s="1349" t="inlineStr">
        <is>
          <t>Existing</t>
        </is>
      </c>
      <c r="I350" t="inlineStr">
        <is>
          <t>LAVENDER FIELD Photography Workshop - Gloucestershire July</t>
        </is>
      </c>
      <c r="J350" t="inlineStr">
        <is>
          <t>https://www.alanranger.com/landscape-photography-workshops</t>
        </is>
      </c>
    </row>
    <row r="351" ht="13.5" customHeight="1" s="1232">
      <c r="A351" s="1348" t="n">
        <v>45435</v>
      </c>
      <c r="B351" s="1349" t="inlineStr">
        <is>
          <t>Adam Hudson</t>
        </is>
      </c>
      <c r="C351" s="1350" t="inlineStr">
        <is>
          <t>9. Gift Vouchers Out</t>
        </is>
      </c>
      <c r="D351" s="1349" t="inlineStr">
        <is>
          <t>Gift Voucher Out</t>
        </is>
      </c>
      <c r="E351" s="1351" t="n">
        <v>-50</v>
      </c>
      <c r="F351" s="1349" t="inlineStr">
        <is>
          <t>Lavender</t>
        </is>
      </c>
      <c r="G351" s="1349" t="inlineStr">
        <is>
          <t>Existing</t>
        </is>
      </c>
      <c r="I351" t="inlineStr">
        <is>
          <t>Voucher/Plan Redemption - not a product sale</t>
        </is>
      </c>
      <c r="J351" t="inlineStr"/>
    </row>
    <row r="352" ht="13.5" customHeight="1" s="1232">
      <c r="A352" s="1348" t="n">
        <v>45435</v>
      </c>
      <c r="B352" s="1349" t="inlineStr">
        <is>
          <t>fiaz bi</t>
        </is>
      </c>
      <c r="C352" s="1350" t="inlineStr">
        <is>
          <t>7. 1-2-1</t>
        </is>
      </c>
      <c r="D352" s="1349" t="inlineStr">
        <is>
          <t>Stripe</t>
        </is>
      </c>
      <c r="E352" s="1351" t="n">
        <v>85</v>
      </c>
      <c r="F352" s="1349" t="inlineStr">
        <is>
          <t>1hr 1-2-1</t>
        </is>
      </c>
      <c r="G352" s="1349" t="inlineStr">
        <is>
          <t>Google</t>
        </is>
      </c>
      <c r="I352" t="inlineStr">
        <is>
          <t>1-2-1 Single Session - 1hr (Face-to-Face)</t>
        </is>
      </c>
      <c r="J352" t="inlineStr">
        <is>
          <t>https://www.alanranger.com/private-photography-lessons</t>
        </is>
      </c>
    </row>
    <row r="353" ht="13.5" customHeight="1" s="1232">
      <c r="A353" s="1348" t="n">
        <v>45433</v>
      </c>
      <c r="B353" s="1349" t="inlineStr">
        <is>
          <t>Judy Knights</t>
        </is>
      </c>
      <c r="C353" s="1350" t="inlineStr">
        <is>
          <t>3. Workshops Residential</t>
        </is>
      </c>
      <c r="D353" s="1349" t="inlineStr">
        <is>
          <t>Stripe</t>
        </is>
      </c>
      <c r="E353" s="1351" t="n">
        <v>975</v>
      </c>
      <c r="F353" s="1349" t="inlineStr">
        <is>
          <t>Norfolk</t>
        </is>
      </c>
      <c r="G353" s="1349" t="inlineStr">
        <is>
          <t>Google</t>
        </is>
      </c>
      <c r="I353" t="inlineStr">
        <is>
          <t>Landscape Photography Workshop NORFOLK - Coastal 20 - 22 Nov</t>
        </is>
      </c>
      <c r="J353" t="inlineStr">
        <is>
          <t>https://www.alanranger.com/photography-workshops</t>
        </is>
      </c>
    </row>
    <row r="354" ht="13.5" customHeight="1" s="1232">
      <c r="A354" s="1348" t="n">
        <v>45433</v>
      </c>
      <c r="B354" s="1349" t="inlineStr">
        <is>
          <t>Artfully Walls</t>
        </is>
      </c>
      <c r="C354" s="1350" t="inlineStr">
        <is>
          <t>10. Prints &amp; Royalties</t>
        </is>
      </c>
      <c r="D354" s="1349" t="inlineStr">
        <is>
          <t>PayPal</t>
        </is>
      </c>
      <c r="E354" s="1351" t="n">
        <v>35.34</v>
      </c>
      <c r="F354" s="1349" t="inlineStr">
        <is>
          <t>Print Sales</t>
        </is>
      </c>
      <c r="G354" s="1349" t="inlineStr">
        <is>
          <t>Artfully Walls</t>
        </is>
      </c>
      <c r="I354" t="inlineStr">
        <is>
          <t>Print Sale - Generic (historical)</t>
        </is>
      </c>
      <c r="J354" t="inlineStr">
        <is>
          <t>https://www.alanranger.com/fine-art-prints</t>
        </is>
      </c>
    </row>
    <row r="355" ht="13.5" customHeight="1" s="1232">
      <c r="A355" s="1348" t="n">
        <v>45430</v>
      </c>
      <c r="B355" s="1349" t="inlineStr">
        <is>
          <t>Carolyn Haslam</t>
        </is>
      </c>
      <c r="C355" s="1350" t="inlineStr">
        <is>
          <t>2. Workshops Non Residential</t>
        </is>
      </c>
      <c r="D355" s="1349" t="inlineStr">
        <is>
          <t>Stripe</t>
        </is>
      </c>
      <c r="E355" s="1351" t="n">
        <v>110</v>
      </c>
      <c r="F355" s="1349" t="inlineStr">
        <is>
          <t>2 x Sezincote</t>
        </is>
      </c>
      <c r="G355" s="1349" t="inlineStr">
        <is>
          <t>Google</t>
        </is>
      </c>
      <c r="I355" t="inlineStr">
        <is>
          <t>SEZINCOTE Garden Photography Workshop - Gloucs 29 May</t>
        </is>
      </c>
      <c r="J355" t="inlineStr">
        <is>
          <t>https://www.alanranger.com/landscape-photography-workshops</t>
        </is>
      </c>
    </row>
    <row r="356" ht="13.5" customHeight="1" s="1232">
      <c r="A356" s="1348" t="n">
        <v>45426</v>
      </c>
      <c r="B356" s="1349" t="inlineStr">
        <is>
          <t>Claire Anderson</t>
        </is>
      </c>
      <c r="C356" s="1350" t="inlineStr">
        <is>
          <t>7. 1-2-1</t>
        </is>
      </c>
      <c r="D356" s="1349" t="inlineStr">
        <is>
          <t>Stripe</t>
        </is>
      </c>
      <c r="E356" s="1351" t="n">
        <v>360</v>
      </c>
      <c r="F356" s="1349" t="inlineStr">
        <is>
          <t>4x2hr 1-2-1s</t>
        </is>
      </c>
      <c r="G356" s="1349" t="inlineStr">
        <is>
          <t>Google</t>
        </is>
      </c>
      <c r="I356" t="inlineStr">
        <is>
          <t>1-2-1 Package - 4 x 2hr Face-to-Face (the GBP360 4-for-3)</t>
        </is>
      </c>
      <c r="J356" t="inlineStr">
        <is>
          <t>https://www.alanranger.com/private-photography-lessons</t>
        </is>
      </c>
    </row>
    <row r="357" ht="13.5" customHeight="1" s="1232">
      <c r="A357" s="1348" t="n">
        <v>45426</v>
      </c>
      <c r="B357" s="1349" t="inlineStr">
        <is>
          <t>neil barford</t>
        </is>
      </c>
      <c r="C357" s="1350" t="inlineStr">
        <is>
          <t>2. Workshops Non Residential</t>
        </is>
      </c>
      <c r="D357" s="1349" t="inlineStr">
        <is>
          <t>Stripe</t>
        </is>
      </c>
      <c r="E357" s="1351" t="n">
        <v>235</v>
      </c>
      <c r="F357" s="1349" t="inlineStr">
        <is>
          <t>Various</t>
        </is>
      </c>
      <c r="G357" s="1349" t="inlineStr">
        <is>
          <t>Google</t>
        </is>
      </c>
      <c r="I357" t="inlineStr">
        <is>
          <t>Non-Residential Workshop - Generic (historical)</t>
        </is>
      </c>
      <c r="J357" t="inlineStr">
        <is>
          <t>https://www.alanranger.com/landscape-photography-workshops</t>
        </is>
      </c>
    </row>
    <row r="358" ht="13.5" customHeight="1" s="1232">
      <c r="A358" s="1348" t="n">
        <v>45426</v>
      </c>
      <c r="B358" s="1349" t="inlineStr">
        <is>
          <t>Peter Orton</t>
        </is>
      </c>
      <c r="C358" s="1350" t="inlineStr">
        <is>
          <t>7. 1-2-1</t>
        </is>
      </c>
      <c r="D358" s="1349" t="inlineStr">
        <is>
          <t>Stripe</t>
        </is>
      </c>
      <c r="E358" s="1351" t="n">
        <v>170</v>
      </c>
      <c r="F358" s="1349" t="inlineStr">
        <is>
          <t>4 x 1hr 1-2-1</t>
        </is>
      </c>
      <c r="G358" s="1349" t="inlineStr">
        <is>
          <t>Google</t>
        </is>
      </c>
      <c r="I358" t="inlineStr">
        <is>
          <t>1-2-1 Package - 4 x 1hr Zoom</t>
        </is>
      </c>
      <c r="J358" t="inlineStr">
        <is>
          <t>https://www.alanranger.com/photography-lessons-online-121</t>
        </is>
      </c>
    </row>
    <row r="359" ht="13.5" customHeight="1" s="1232">
      <c r="A359" s="1348" t="n">
        <v>45421</v>
      </c>
      <c r="B359" s="1349" t="inlineStr">
        <is>
          <t>Joanne Galloway</t>
        </is>
      </c>
      <c r="C359" s="1350" t="inlineStr">
        <is>
          <t>5. Pick n Mix Out</t>
        </is>
      </c>
      <c r="D359" s="1349" t="inlineStr">
        <is>
          <t>PicknMix</t>
        </is>
      </c>
      <c r="E359" s="1351" t="n">
        <v>-96</v>
      </c>
      <c r="F359" s="1349" t="inlineStr">
        <is>
          <t>2hrs F2F 1-2-1</t>
        </is>
      </c>
      <c r="G359" s="1349" t="inlineStr">
        <is>
          <t>Existing</t>
        </is>
      </c>
      <c r="I359" t="inlineStr">
        <is>
          <t>Voucher/Plan Redemption - not a product sale</t>
        </is>
      </c>
      <c r="J359" t="inlineStr"/>
    </row>
    <row r="360" ht="13.5" customHeight="1" s="1232">
      <c r="A360" s="1348" t="n">
        <v>45421</v>
      </c>
      <c r="B360" s="1349" t="inlineStr">
        <is>
          <t>Joanne Galloway</t>
        </is>
      </c>
      <c r="C360" s="1350" t="inlineStr">
        <is>
          <t>7. 1-2-1</t>
        </is>
      </c>
      <c r="D360" s="1349" t="inlineStr">
        <is>
          <t>PicknMix</t>
        </is>
      </c>
      <c r="E360" s="1351" t="n">
        <v>96</v>
      </c>
      <c r="F360" s="1349" t="inlineStr">
        <is>
          <t>2hrs F2F 1-2-1</t>
        </is>
      </c>
      <c r="G360" s="1349" t="inlineStr">
        <is>
          <t>Existing</t>
        </is>
      </c>
      <c r="I360" t="inlineStr">
        <is>
          <t>1-2-1 Single Session - 2hr (Face-to-Face)</t>
        </is>
      </c>
      <c r="J360" t="inlineStr">
        <is>
          <t>https://www.alanranger.com/private-photography-lessons</t>
        </is>
      </c>
    </row>
    <row r="361" ht="13.5" customHeight="1" s="1232">
      <c r="A361" s="1348" t="n">
        <v>45421</v>
      </c>
      <c r="B361" s="1349" t="inlineStr">
        <is>
          <t>Joanne Galloway</t>
        </is>
      </c>
      <c r="C361" s="1350" t="inlineStr">
        <is>
          <t>5. Pick n Mix Out</t>
        </is>
      </c>
      <c r="D361" s="1349" t="inlineStr">
        <is>
          <t>PicknMix</t>
        </is>
      </c>
      <c r="E361" s="1351" t="n">
        <v>-96</v>
      </c>
      <c r="F361" s="1349" t="inlineStr">
        <is>
          <t>2hrs F2F 1-2-1</t>
        </is>
      </c>
      <c r="G361" s="1349" t="inlineStr">
        <is>
          <t>Existing</t>
        </is>
      </c>
      <c r="I361" t="inlineStr">
        <is>
          <t>Voucher/Plan Redemption - not a product sale</t>
        </is>
      </c>
      <c r="J361" t="inlineStr"/>
    </row>
    <row r="362" ht="13.5" customHeight="1" s="1232">
      <c r="A362" s="1348" t="n">
        <v>45421</v>
      </c>
      <c r="B362" s="1349" t="inlineStr">
        <is>
          <t>Joanne Galloway</t>
        </is>
      </c>
      <c r="C362" s="1350" t="inlineStr">
        <is>
          <t>7. 1-2-1</t>
        </is>
      </c>
      <c r="D362" s="1349" t="inlineStr">
        <is>
          <t>PicknMix</t>
        </is>
      </c>
      <c r="E362" s="1351" t="n">
        <v>96</v>
      </c>
      <c r="F362" s="1349" t="inlineStr">
        <is>
          <t>2hrs F2F 1-2-1</t>
        </is>
      </c>
      <c r="G362" s="1349" t="inlineStr">
        <is>
          <t>Existing</t>
        </is>
      </c>
      <c r="I362" t="inlineStr">
        <is>
          <t>1-2-1 Single Session - 2hr (Face-to-Face)</t>
        </is>
      </c>
      <c r="J362" t="inlineStr">
        <is>
          <t>https://www.alanranger.com/private-photography-lessons</t>
        </is>
      </c>
    </row>
    <row r="363" ht="13.5" customHeight="1" s="1232">
      <c r="A363" s="1348" t="n">
        <v>45419</v>
      </c>
      <c r="B363" s="1349" t="inlineStr">
        <is>
          <t>neil barford</t>
        </is>
      </c>
      <c r="C363" s="1350" t="inlineStr">
        <is>
          <t>3. Workshops Residential</t>
        </is>
      </c>
      <c r="D363" s="1349" t="inlineStr">
        <is>
          <t>Stripe</t>
        </is>
      </c>
      <c r="E363" s="1351" t="n">
        <v>825</v>
      </c>
      <c r="F363" s="1349" t="inlineStr">
        <is>
          <t>Gower</t>
        </is>
      </c>
      <c r="G363" s="1349" t="inlineStr">
        <is>
          <t>Google</t>
        </is>
      </c>
      <c r="I363" t="inlineStr">
        <is>
          <t>GOWER Landscape Photography Wales - 28 Aug - 30 Aug 2026</t>
        </is>
      </c>
      <c r="J363" t="inlineStr">
        <is>
          <t>https://www.alanranger.com/photography-workshops</t>
        </is>
      </c>
    </row>
    <row r="364" ht="13.5" customHeight="1" s="1232">
      <c r="A364" s="1348" t="n">
        <v>45419</v>
      </c>
      <c r="B364" s="1349" t="inlineStr">
        <is>
          <t>neil barford</t>
        </is>
      </c>
      <c r="C364" s="1350" t="inlineStr">
        <is>
          <t>2. Workshops Non Residential</t>
        </is>
      </c>
      <c r="D364" s="1349" t="inlineStr">
        <is>
          <t>Stripe</t>
        </is>
      </c>
      <c r="E364" s="1351" t="n">
        <v>150</v>
      </c>
      <c r="F364" s="1349" t="inlineStr">
        <is>
          <t>Peak District</t>
        </is>
      </c>
      <c r="G364" s="1349" t="inlineStr">
        <is>
          <t>Google</t>
        </is>
      </c>
      <c r="I364" t="inlineStr">
        <is>
          <t>PEAK DISTRICT Photography Workshops - May, Oct and Nov</t>
        </is>
      </c>
      <c r="J364" t="inlineStr">
        <is>
          <t>https://www.alanranger.com/one-day-landscape-photography-workshops</t>
        </is>
      </c>
    </row>
    <row r="365" ht="13.5" customHeight="1" s="1232">
      <c r="A365" s="1348" t="n">
        <v>45417</v>
      </c>
      <c r="B365" s="1349" t="inlineStr">
        <is>
          <t>Julia Brealey</t>
        </is>
      </c>
      <c r="C365" s="1350" t="inlineStr">
        <is>
          <t>1. Courses/masterclasses</t>
        </is>
      </c>
      <c r="D365" s="1349" t="inlineStr">
        <is>
          <t>Stripe</t>
        </is>
      </c>
      <c r="E365" s="1351" t="n">
        <v>500</v>
      </c>
      <c r="F365" s="1349" t="inlineStr">
        <is>
          <t>5wk Beginners</t>
        </is>
      </c>
      <c r="G365" s="1349" t="inlineStr">
        <is>
          <t>Google</t>
        </is>
      </c>
      <c r="I365" t="inlineStr">
        <is>
          <t>5 Week Beginners Photography Course (RETIRED format)</t>
        </is>
      </c>
      <c r="J365" t="inlineStr">
        <is>
          <t>https://www.alanranger.com/beginners-photography-classes</t>
        </is>
      </c>
    </row>
    <row r="366" ht="13.5" customHeight="1" s="1232">
      <c r="A366" s="1348" t="n">
        <v>45413</v>
      </c>
      <c r="B366" s="1349" t="inlineStr">
        <is>
          <t>Kiran Simplay</t>
        </is>
      </c>
      <c r="C366" s="1350" t="inlineStr">
        <is>
          <t>1. Courses/masterclasses</t>
        </is>
      </c>
      <c r="D366" s="1349" t="inlineStr">
        <is>
          <t>Stripe</t>
        </is>
      </c>
      <c r="E366" s="1351" t="n">
        <v>250</v>
      </c>
      <c r="F366" s="1349" t="inlineStr">
        <is>
          <t>5wk Beginners</t>
        </is>
      </c>
      <c r="G366" s="1349" t="inlineStr">
        <is>
          <t>Google</t>
        </is>
      </c>
      <c r="I366" t="inlineStr">
        <is>
          <t>5 Week Beginners Photography Course (RETIRED format)</t>
        </is>
      </c>
      <c r="J366" t="inlineStr">
        <is>
          <t>https://www.alanranger.com/beginners-photography-classes</t>
        </is>
      </c>
    </row>
    <row r="367" ht="13.5" customHeight="1" s="1232">
      <c r="A367" s="1348" t="n">
        <v>45413</v>
      </c>
      <c r="B367" s="1349" t="inlineStr">
        <is>
          <t>Pick n Mix Subs</t>
        </is>
      </c>
      <c r="C367" s="1350" t="inlineStr">
        <is>
          <t>4. Pick n Mix Inc</t>
        </is>
      </c>
      <c r="D367" s="1349" t="inlineStr">
        <is>
          <t>Stripe</t>
        </is>
      </c>
      <c r="E367" s="1351" t="n">
        <v>250</v>
      </c>
      <c r="F367" s="1349" t="inlineStr">
        <is>
          <t>Pick N Mix Payments</t>
        </is>
      </c>
      <c r="G367" s="1349" t="inlineStr">
        <is>
          <t>Existing</t>
        </is>
      </c>
      <c r="I367" t="inlineStr">
        <is>
          <t>Pick N Mix Payment Plan</t>
        </is>
      </c>
      <c r="J367" t="inlineStr">
        <is>
          <t>https://www.alanranger.com/photography-payment-plan</t>
        </is>
      </c>
    </row>
    <row r="368" ht="13.5" customHeight="1" s="1232">
      <c r="A368" s="1348" t="n">
        <v>45413</v>
      </c>
      <c r="B368" s="1349" t="inlineStr">
        <is>
          <t>Mentoring Subs</t>
        </is>
      </c>
      <c r="C368" s="1350" t="inlineStr">
        <is>
          <t>6. Mentoring</t>
        </is>
      </c>
      <c r="D368" s="1349" t="inlineStr">
        <is>
          <t>Stripe</t>
        </is>
      </c>
      <c r="E368" s="1351" t="n">
        <v>80</v>
      </c>
      <c r="F368" s="1349" t="inlineStr">
        <is>
          <t>Mentoring Subs</t>
        </is>
      </c>
      <c r="G368" s="1349" t="inlineStr">
        <is>
          <t>Existing</t>
        </is>
      </c>
      <c r="I368" t="inlineStr">
        <is>
          <t>Mentoring - Monthly Subscription</t>
        </is>
      </c>
      <c r="J368" t="inlineStr">
        <is>
          <t>https://www.alanranger.com/photography-mentoring-online-assignments</t>
        </is>
      </c>
    </row>
    <row r="369" ht="13.5" customHeight="1" s="1232">
      <c r="A369" s="1348" t="n"/>
      <c r="B369" s="1349" t="n"/>
      <c r="C369" s="1350" t="n"/>
      <c r="D369" s="1349" t="n"/>
      <c r="E369" s="1351" t="n"/>
      <c r="F369" s="1349" t="n"/>
      <c r="G369" s="1349" t="n"/>
    </row>
    <row r="370" ht="13.5" customHeight="1" s="1232">
      <c r="A370" s="1348" t="n">
        <v>45411</v>
      </c>
      <c r="B370" s="1349" t="inlineStr">
        <is>
          <t>Luke Spencer</t>
        </is>
      </c>
      <c r="C370" s="1350" t="inlineStr">
        <is>
          <t>12. Other</t>
        </is>
      </c>
      <c r="D370" s="1349" t="inlineStr">
        <is>
          <t>Stripe</t>
        </is>
      </c>
      <c r="E370" s="1351" t="n">
        <v>30</v>
      </c>
      <c r="F370" s="1349" t="inlineStr">
        <is>
          <t>Sensor Clean</t>
        </is>
      </c>
      <c r="G370" s="1349" t="inlineStr">
        <is>
          <t>Google</t>
        </is>
      </c>
      <c r="I370" t="inlineStr">
        <is>
          <t>Sensor Clean Service (historical)</t>
        </is>
      </c>
      <c r="J370" t="inlineStr">
        <is>
          <t>https://www.alanranger.com/photography-shop-services</t>
        </is>
      </c>
    </row>
    <row r="371" ht="13.5" customHeight="1" s="1232">
      <c r="A371" s="1348" t="n">
        <v>45407</v>
      </c>
      <c r="B371" s="1349" t="inlineStr">
        <is>
          <t>Elizabeth Baker</t>
        </is>
      </c>
      <c r="C371" s="1350" t="inlineStr">
        <is>
          <t>1. Courses/masterclasses</t>
        </is>
      </c>
      <c r="D371" s="1349" t="inlineStr">
        <is>
          <t>Stripe</t>
        </is>
      </c>
      <c r="E371" s="1351" t="n">
        <v>250</v>
      </c>
      <c r="F371" s="1349" t="inlineStr">
        <is>
          <t>5wk Beginners</t>
        </is>
      </c>
      <c r="G371" s="1349" t="inlineStr">
        <is>
          <t>Google</t>
        </is>
      </c>
      <c r="I371" t="inlineStr">
        <is>
          <t>5 Week Beginners Photography Course (RETIRED format)</t>
        </is>
      </c>
      <c r="J371" t="inlineStr">
        <is>
          <t>https://www.alanranger.com/beginners-photography-classes</t>
        </is>
      </c>
    </row>
    <row r="372" ht="13.5" customHeight="1" s="1232">
      <c r="A372" s="1348" t="n">
        <v>45407</v>
      </c>
      <c r="B372" s="1349" t="inlineStr">
        <is>
          <t>Climbing Trees</t>
        </is>
      </c>
      <c r="C372" s="1350" t="inlineStr">
        <is>
          <t>12. Other</t>
        </is>
      </c>
      <c r="D372" s="1349" t="inlineStr">
        <is>
          <t>Bank</t>
        </is>
      </c>
      <c r="E372" s="1351" t="n">
        <v>250</v>
      </c>
      <c r="F372" s="1349" t="inlineStr">
        <is>
          <t>Guest Blog</t>
        </is>
      </c>
      <c r="G372" s="1349" t="inlineStr">
        <is>
          <t>Google</t>
        </is>
      </c>
      <c r="I372" t="inlineStr">
        <is>
          <t>Commission - Editorial / Guest Blog / Judging</t>
        </is>
      </c>
      <c r="J372" t="inlineStr">
        <is>
          <t>https://www.alanranger.com/professional-commercial-photographer-coventry</t>
        </is>
      </c>
    </row>
    <row r="373" ht="13.5" customHeight="1" s="1232">
      <c r="A373" s="1348" t="n">
        <v>45406</v>
      </c>
      <c r="B373" s="1349" t="inlineStr">
        <is>
          <t>Graham Rousell</t>
        </is>
      </c>
      <c r="C373" s="1350" t="inlineStr">
        <is>
          <t>7. 1-2-1</t>
        </is>
      </c>
      <c r="D373" s="1349" t="inlineStr">
        <is>
          <t>Stripe</t>
        </is>
      </c>
      <c r="E373" s="1351" t="n">
        <v>65</v>
      </c>
      <c r="F373" s="1349" t="inlineStr">
        <is>
          <t>1hrs 1-2-1</t>
        </is>
      </c>
      <c r="G373" s="1349" t="inlineStr">
        <is>
          <t>Google</t>
        </is>
      </c>
      <c r="I373" t="inlineStr">
        <is>
          <t>1-2-1 Single Session - 1hr (Face-to-Face)</t>
        </is>
      </c>
      <c r="J373" t="inlineStr">
        <is>
          <t>https://www.alanranger.com/private-photography-lessons</t>
        </is>
      </c>
    </row>
    <row r="374" ht="13.5" customHeight="1" s="1232">
      <c r="A374" s="1348" t="n">
        <v>45405</v>
      </c>
      <c r="B374" s="1349" t="inlineStr">
        <is>
          <t>Steve Gibbons</t>
        </is>
      </c>
      <c r="C374" s="1350" t="inlineStr">
        <is>
          <t>7. 1-2-1</t>
        </is>
      </c>
      <c r="D374" s="1349" t="inlineStr">
        <is>
          <t>Stripe</t>
        </is>
      </c>
      <c r="E374" s="1351" t="n">
        <v>120</v>
      </c>
      <c r="F374" s="1349" t="inlineStr">
        <is>
          <t>2hrs 1-2-1</t>
        </is>
      </c>
      <c r="G374" s="1349" t="inlineStr">
        <is>
          <t>Google</t>
        </is>
      </c>
      <c r="I374" t="inlineStr">
        <is>
          <t>1-2-1 Single Session - 2hr (Face-to-Face)</t>
        </is>
      </c>
      <c r="J374" t="inlineStr">
        <is>
          <t>https://www.alanranger.com/private-photography-lessons</t>
        </is>
      </c>
    </row>
    <row r="375" ht="13.5" customHeight="1" s="1232">
      <c r="A375" s="1348" t="n">
        <v>45405</v>
      </c>
      <c r="B375" s="1349" t="inlineStr">
        <is>
          <t>Ann Barker</t>
        </is>
      </c>
      <c r="C375" s="1350" t="inlineStr">
        <is>
          <t>1. Courses/masterclasses</t>
        </is>
      </c>
      <c r="D375" s="1349" t="inlineStr">
        <is>
          <t>Stripe</t>
        </is>
      </c>
      <c r="E375" s="1351" t="n">
        <v>230</v>
      </c>
      <c r="F375" s="1349" t="inlineStr">
        <is>
          <t>Beginners Course</t>
        </is>
      </c>
      <c r="G375" s="1349" t="inlineStr">
        <is>
          <t>Google</t>
        </is>
      </c>
      <c r="I375" t="inlineStr">
        <is>
          <t>5 Week Beginners Photography Course (RETIRED format)</t>
        </is>
      </c>
      <c r="J375" t="inlineStr">
        <is>
          <t>https://www.alanranger.com/beginners-photography-classes</t>
        </is>
      </c>
    </row>
    <row r="376" ht="13.5" customHeight="1" s="1232">
      <c r="A376" s="1348" t="n">
        <v>45405</v>
      </c>
      <c r="B376" s="1349" t="inlineStr">
        <is>
          <t>johanna stansfield</t>
        </is>
      </c>
      <c r="C376" s="1350" t="inlineStr">
        <is>
          <t>2. Workshops Non Residential</t>
        </is>
      </c>
      <c r="D376" s="1349" t="inlineStr">
        <is>
          <t>Stripe</t>
        </is>
      </c>
      <c r="E376" s="1351" t="n">
        <v>35</v>
      </c>
      <c r="F376" s="1349" t="inlineStr">
        <is>
          <t>Garden Photography</t>
        </is>
      </c>
      <c r="G376" s="1349" t="inlineStr">
        <is>
          <t>Existing</t>
        </is>
      </c>
      <c r="I376" t="inlineStr">
        <is>
          <t>The Art of GARDEN PHOTOGRAPHY  - Coventry -  May and July</t>
        </is>
      </c>
      <c r="J376" t="inlineStr">
        <is>
          <t>https://www.alanranger.com/landscape-photography-workshops</t>
        </is>
      </c>
    </row>
    <row r="377" ht="13.5" customHeight="1" s="1232">
      <c r="A377" s="1348" t="n">
        <v>45403</v>
      </c>
      <c r="B377" s="1349" t="inlineStr">
        <is>
          <t>oliver walker</t>
        </is>
      </c>
      <c r="C377" s="1350" t="inlineStr">
        <is>
          <t>2. Workshops Non Residential</t>
        </is>
      </c>
      <c r="D377" s="1349" t="inlineStr">
        <is>
          <t>PayPal</t>
        </is>
      </c>
      <c r="E377" s="1351" t="n">
        <v>9.949999999999999</v>
      </c>
      <c r="F377" s="1349" t="inlineStr">
        <is>
          <t>Woodland Walk</t>
        </is>
      </c>
      <c r="G377" s="1349" t="inlineStr">
        <is>
          <t>Google</t>
        </is>
      </c>
      <c r="I377" t="inlineStr">
        <is>
          <t>Woodland Photography Walk - Warwickshire (half-day low-cost)</t>
        </is>
      </c>
      <c r="J377" t="inlineStr">
        <is>
          <t>https://www.alanranger.com/landscape-photography-workshops</t>
        </is>
      </c>
    </row>
    <row r="378" ht="13.5" customHeight="1" s="1232">
      <c r="A378" s="1348" t="n">
        <v>45402</v>
      </c>
      <c r="B378" s="1349" t="inlineStr">
        <is>
          <t>Abigail Haley</t>
        </is>
      </c>
      <c r="C378" s="1350" t="inlineStr">
        <is>
          <t>2. Workshops Non Residential</t>
        </is>
      </c>
      <c r="D378" s="1349" t="inlineStr">
        <is>
          <t>Stripe</t>
        </is>
      </c>
      <c r="E378" s="1351" t="n">
        <v>120</v>
      </c>
      <c r="F378" s="1349" t="inlineStr">
        <is>
          <t>2 Places Macro</t>
        </is>
      </c>
      <c r="G378" s="1349" t="inlineStr">
        <is>
          <t>Google</t>
        </is>
      </c>
      <c r="I378" t="inlineStr">
        <is>
          <t>MACRO Photography Workshops Warwickshire - Various</t>
        </is>
      </c>
      <c r="J378" t="inlineStr">
        <is>
          <t>https://www.alanranger.com/landscape-photography-workshops</t>
        </is>
      </c>
    </row>
    <row r="379" ht="13.5" customHeight="1" s="1232">
      <c r="A379" s="1348" t="n">
        <v>45401</v>
      </c>
      <c r="B379" s="1349" t="inlineStr">
        <is>
          <t>Narinder Sandhu</t>
        </is>
      </c>
      <c r="C379" s="1350" t="inlineStr">
        <is>
          <t>1. Courses/masterclasses</t>
        </is>
      </c>
      <c r="D379" s="1349" t="inlineStr">
        <is>
          <t>Stripe</t>
        </is>
      </c>
      <c r="E379" s="1351" t="n">
        <v>250</v>
      </c>
      <c r="F379" s="1349" t="inlineStr">
        <is>
          <t>5wk Beginners</t>
        </is>
      </c>
      <c r="G379" s="1349" t="inlineStr">
        <is>
          <t>Google</t>
        </is>
      </c>
      <c r="I379" t="inlineStr">
        <is>
          <t>5 Week Beginners Photography Course (RETIRED format)</t>
        </is>
      </c>
      <c r="J379" t="inlineStr">
        <is>
          <t>https://www.alanranger.com/beginners-photography-classes</t>
        </is>
      </c>
    </row>
    <row r="380" ht="13.5" customHeight="1" s="1232">
      <c r="A380" s="1348" t="n">
        <v>45398</v>
      </c>
      <c r="B380" s="1349" t="inlineStr">
        <is>
          <t>John Madigan</t>
        </is>
      </c>
      <c r="C380" s="1350" t="inlineStr">
        <is>
          <t>2. Workshops Non Residential</t>
        </is>
      </c>
      <c r="D380" s="1349" t="inlineStr">
        <is>
          <t>Stripe</t>
        </is>
      </c>
      <c r="E380" s="1351" t="n">
        <v>99</v>
      </c>
      <c r="F380" s="1349" t="inlineStr">
        <is>
          <t>Bluebells</t>
        </is>
      </c>
      <c r="G380" s="1349" t="inlineStr">
        <is>
          <t>Existing</t>
        </is>
      </c>
      <c r="I380" t="inlineStr">
        <is>
          <t>BLUEBELL WOODLANDS Photography - Warks - 20 Apr- 30 Apr</t>
        </is>
      </c>
      <c r="J380" t="inlineStr">
        <is>
          <t>https://www.alanranger.com/one-day-landscape-photography-workshops</t>
        </is>
      </c>
    </row>
    <row r="381" ht="13.5" customHeight="1" s="1232">
      <c r="A381" s="1348" t="n">
        <v>45398</v>
      </c>
      <c r="B381" s="1349" t="inlineStr">
        <is>
          <t>John Duncombe</t>
        </is>
      </c>
      <c r="C381" s="1350" t="inlineStr">
        <is>
          <t>2. Workshops Non Residential</t>
        </is>
      </c>
      <c r="D381" s="1349" t="inlineStr">
        <is>
          <t>Stripe</t>
        </is>
      </c>
      <c r="E381" s="1351" t="n">
        <v>150</v>
      </c>
      <c r="F381" s="1349" t="inlineStr">
        <is>
          <t>Bluebells</t>
        </is>
      </c>
      <c r="G381" s="1349" t="inlineStr">
        <is>
          <t>Existing</t>
        </is>
      </c>
      <c r="I381" t="inlineStr">
        <is>
          <t>BLUEBELL WOODLANDS Photography - Warks - 20 Apr- 30 Apr</t>
        </is>
      </c>
      <c r="J381" t="inlineStr">
        <is>
          <t>https://www.alanranger.com/one-day-landscape-photography-workshops</t>
        </is>
      </c>
    </row>
    <row r="382" ht="13.5" customHeight="1" s="1232">
      <c r="A382" s="1348" t="n">
        <v>45396</v>
      </c>
      <c r="B382" s="1349" t="inlineStr">
        <is>
          <t>Cameron Holden</t>
        </is>
      </c>
      <c r="C382" s="1350" t="inlineStr">
        <is>
          <t>1. Courses/masterclasses</t>
        </is>
      </c>
      <c r="D382" s="1349" t="inlineStr">
        <is>
          <t>Stripe</t>
        </is>
      </c>
      <c r="E382" s="1351" t="n">
        <v>250</v>
      </c>
      <c r="F382" s="1349" t="inlineStr">
        <is>
          <t>5wk Beginners</t>
        </is>
      </c>
      <c r="G382" s="1349" t="inlineStr">
        <is>
          <t>Existing</t>
        </is>
      </c>
      <c r="I382" t="inlineStr">
        <is>
          <t>5 Week Beginners Photography Course (RETIRED format)</t>
        </is>
      </c>
      <c r="J382" t="inlineStr">
        <is>
          <t>https://www.alanranger.com/beginners-photography-classes</t>
        </is>
      </c>
    </row>
    <row r="383" ht="13.5" customHeight="1" s="1232">
      <c r="A383" s="1348" t="n">
        <v>45396</v>
      </c>
      <c r="B383" s="1349" t="inlineStr">
        <is>
          <t>Janice Jordan</t>
        </is>
      </c>
      <c r="C383" s="1350" t="inlineStr">
        <is>
          <t>2. Workshops Non Residential</t>
        </is>
      </c>
      <c r="D383" s="1349" t="inlineStr">
        <is>
          <t>Stripe</t>
        </is>
      </c>
      <c r="E383" s="1351" t="n">
        <v>99</v>
      </c>
      <c r="F383" s="1349" t="inlineStr">
        <is>
          <t>Bluebells</t>
        </is>
      </c>
      <c r="G383" s="1349" t="inlineStr">
        <is>
          <t>Existing</t>
        </is>
      </c>
      <c r="I383" t="inlineStr">
        <is>
          <t>BLUEBELL WOODLANDS Photography - Warks - 20 Apr- 30 Apr</t>
        </is>
      </c>
      <c r="J383" t="inlineStr">
        <is>
          <t>https://www.alanranger.com/one-day-landscape-photography-workshops</t>
        </is>
      </c>
    </row>
    <row r="384" ht="13.5" customHeight="1" s="1232">
      <c r="A384" s="1348" t="n">
        <v>45394</v>
      </c>
      <c r="B384" s="1349" t="inlineStr">
        <is>
          <t>Lee Ann Higgins</t>
        </is>
      </c>
      <c r="C384" s="1350" t="inlineStr">
        <is>
          <t>2. Workshops Non Residential</t>
        </is>
      </c>
      <c r="D384" s="1349" t="inlineStr">
        <is>
          <t>PayPal</t>
        </is>
      </c>
      <c r="E384" s="1351" t="n">
        <v>74</v>
      </c>
      <c r="F384" s="1349" t="inlineStr">
        <is>
          <t>Bluebells</t>
        </is>
      </c>
      <c r="G384" s="1349" t="inlineStr">
        <is>
          <t>Existing</t>
        </is>
      </c>
      <c r="I384" t="inlineStr">
        <is>
          <t>BLUEBELL WOODLANDS Photography - Warks - 20 Apr- 30 Apr</t>
        </is>
      </c>
      <c r="J384" t="inlineStr">
        <is>
          <t>https://www.alanranger.com/one-day-landscape-photography-workshops</t>
        </is>
      </c>
    </row>
    <row r="385" ht="13.5" customHeight="1" s="1232">
      <c r="A385" s="1348" t="n">
        <v>45393</v>
      </c>
      <c r="B385" s="1349" t="inlineStr">
        <is>
          <t>Phillipa King</t>
        </is>
      </c>
      <c r="C385" s="1350" t="inlineStr">
        <is>
          <t>5. Pick n Mix Out</t>
        </is>
      </c>
      <c r="D385" s="1349" t="inlineStr">
        <is>
          <t>PicknMix</t>
        </is>
      </c>
      <c r="E385" s="1351" t="n">
        <v>-99</v>
      </c>
      <c r="F385" s="1349" t="inlineStr">
        <is>
          <t>Bluebells</t>
        </is>
      </c>
      <c r="G385" s="1349" t="inlineStr">
        <is>
          <t>Existing</t>
        </is>
      </c>
      <c r="I385" t="inlineStr">
        <is>
          <t>Voucher/Plan Redemption - not a product sale</t>
        </is>
      </c>
      <c r="J385" t="inlineStr"/>
    </row>
    <row r="386" ht="13.5" customHeight="1" s="1232">
      <c r="A386" s="1348" t="n">
        <v>45393</v>
      </c>
      <c r="B386" s="1349" t="inlineStr">
        <is>
          <t>Phillipa King</t>
        </is>
      </c>
      <c r="C386" s="1350" t="inlineStr">
        <is>
          <t>2. Workshops Non Residential</t>
        </is>
      </c>
      <c r="D386" s="1349" t="inlineStr">
        <is>
          <t>PicknMix</t>
        </is>
      </c>
      <c r="E386" s="1351" t="n">
        <v>99</v>
      </c>
      <c r="F386" s="1349" t="inlineStr">
        <is>
          <t>Bluebells</t>
        </is>
      </c>
      <c r="G386" s="1349" t="inlineStr">
        <is>
          <t>Existing</t>
        </is>
      </c>
      <c r="I386" t="inlineStr">
        <is>
          <t>BLUEBELL WOODLANDS Photography - Warks - 20 Apr- 30 Apr</t>
        </is>
      </c>
      <c r="J386" t="inlineStr">
        <is>
          <t>https://www.alanranger.com/one-day-landscape-photography-workshops</t>
        </is>
      </c>
    </row>
    <row r="387" ht="13.5" customHeight="1" s="1232">
      <c r="A387" s="1348" t="n">
        <v>45393</v>
      </c>
      <c r="B387" s="1349" t="inlineStr">
        <is>
          <t>Dave Pyta</t>
        </is>
      </c>
      <c r="C387" s="1350" t="inlineStr">
        <is>
          <t>5. Pick n Mix Out</t>
        </is>
      </c>
      <c r="D387" s="1349" t="inlineStr">
        <is>
          <t>PicknMix</t>
        </is>
      </c>
      <c r="E387" s="1351" t="n">
        <v>-99</v>
      </c>
      <c r="F387" s="1349" t="inlineStr">
        <is>
          <t>Bluebells</t>
        </is>
      </c>
      <c r="G387" s="1349" t="inlineStr">
        <is>
          <t>Existing</t>
        </is>
      </c>
      <c r="I387" t="inlineStr">
        <is>
          <t>Voucher/Plan Redemption - not a product sale</t>
        </is>
      </c>
      <c r="J387" t="inlineStr"/>
    </row>
    <row r="388" ht="13.5" customHeight="1" s="1232">
      <c r="A388" s="1348" t="n">
        <v>45393</v>
      </c>
      <c r="B388" s="1349" t="inlineStr">
        <is>
          <t>Dave Pyta</t>
        </is>
      </c>
      <c r="C388" s="1350" t="inlineStr">
        <is>
          <t>2. Workshops Non Residential</t>
        </is>
      </c>
      <c r="D388" s="1349" t="inlineStr">
        <is>
          <t>PicknMix</t>
        </is>
      </c>
      <c r="E388" s="1351" t="n">
        <v>99</v>
      </c>
      <c r="F388" s="1349" t="inlineStr">
        <is>
          <t>Bluebells</t>
        </is>
      </c>
      <c r="G388" s="1349" t="inlineStr">
        <is>
          <t>Existing</t>
        </is>
      </c>
      <c r="I388" t="inlineStr">
        <is>
          <t>BLUEBELL WOODLANDS Photography - Warks - 20 Apr- 30 Apr</t>
        </is>
      </c>
      <c r="J388" t="inlineStr">
        <is>
          <t>https://www.alanranger.com/one-day-landscape-photography-workshops</t>
        </is>
      </c>
    </row>
    <row r="389" ht="13.5" customHeight="1" s="1232">
      <c r="A389" s="1348" t="n">
        <v>45391</v>
      </c>
      <c r="B389" s="1349" t="inlineStr">
        <is>
          <t>Steve Paling</t>
        </is>
      </c>
      <c r="C389" s="1350" t="inlineStr">
        <is>
          <t>1. Courses/masterclasses</t>
        </is>
      </c>
      <c r="D389" s="1349" t="inlineStr">
        <is>
          <t>Stripe</t>
        </is>
      </c>
      <c r="E389" s="1351" t="n">
        <v>250</v>
      </c>
      <c r="F389" s="1349" t="inlineStr">
        <is>
          <t>5wk Beginners</t>
        </is>
      </c>
      <c r="G389" s="1349" t="inlineStr">
        <is>
          <t>Google</t>
        </is>
      </c>
      <c r="I389" t="inlineStr">
        <is>
          <t>5 Week Beginners Photography Course (RETIRED format)</t>
        </is>
      </c>
      <c r="J389" t="inlineStr">
        <is>
          <t>https://www.alanranger.com/beginners-photography-classes</t>
        </is>
      </c>
    </row>
    <row r="390" ht="13.5" customHeight="1" s="1232">
      <c r="A390" s="1348" t="n">
        <v>45391</v>
      </c>
      <c r="B390" s="1349" t="inlineStr">
        <is>
          <t>Ian Hope</t>
        </is>
      </c>
      <c r="C390" s="1350" t="inlineStr">
        <is>
          <t>2. Workshops Non Residential</t>
        </is>
      </c>
      <c r="D390" s="1349" t="inlineStr">
        <is>
          <t>Stripe</t>
        </is>
      </c>
      <c r="E390" s="1351" t="n">
        <v>99</v>
      </c>
      <c r="F390" s="1349" t="inlineStr">
        <is>
          <t>Bluebells</t>
        </is>
      </c>
      <c r="G390" s="1349" t="inlineStr">
        <is>
          <t>Existing</t>
        </is>
      </c>
      <c r="I390" t="inlineStr">
        <is>
          <t>BLUEBELL WOODLANDS Photography - Warks - 20 Apr- 30 Apr</t>
        </is>
      </c>
      <c r="J390" t="inlineStr">
        <is>
          <t>https://www.alanranger.com/one-day-landscape-photography-workshops</t>
        </is>
      </c>
    </row>
    <row r="391" ht="13.5" customHeight="1" s="1232">
      <c r="A391" s="1348" t="n">
        <v>45391</v>
      </c>
      <c r="B391" s="1349" t="inlineStr">
        <is>
          <t>Kurt Mueller</t>
        </is>
      </c>
      <c r="C391" s="1350" t="inlineStr">
        <is>
          <t>2. Workshops Non Residential</t>
        </is>
      </c>
      <c r="D391" s="1349" t="inlineStr">
        <is>
          <t>Stripe</t>
        </is>
      </c>
      <c r="E391" s="1351" t="n">
        <v>150</v>
      </c>
      <c r="F391" s="1349" t="inlineStr">
        <is>
          <t>Bluebells</t>
        </is>
      </c>
      <c r="G391" s="1349" t="inlineStr">
        <is>
          <t>Google</t>
        </is>
      </c>
      <c r="I391" t="inlineStr">
        <is>
          <t>BLUEBELL WOODLANDS Photography - Warks - 20 Apr- 30 Apr</t>
        </is>
      </c>
      <c r="J391" t="inlineStr">
        <is>
          <t>https://www.alanranger.com/one-day-landscape-photography-workshops</t>
        </is>
      </c>
    </row>
    <row r="392" ht="13.5" customHeight="1" s="1232">
      <c r="A392" s="1348" t="n">
        <v>45390</v>
      </c>
      <c r="B392" s="1349" t="inlineStr">
        <is>
          <t>adrian thomas</t>
        </is>
      </c>
      <c r="C392" s="1350" t="inlineStr">
        <is>
          <t>2. Workshops Non Residential</t>
        </is>
      </c>
      <c r="D392" s="1349" t="inlineStr">
        <is>
          <t>PayPal</t>
        </is>
      </c>
      <c r="E392" s="1351" t="n">
        <v>99</v>
      </c>
      <c r="F392" s="1349" t="inlineStr">
        <is>
          <t>Bluebells</t>
        </is>
      </c>
      <c r="G392" s="1349" t="inlineStr">
        <is>
          <t>Google</t>
        </is>
      </c>
      <c r="I392" t="inlineStr">
        <is>
          <t>BLUEBELL WOODLANDS Photography - Warks - 20 Apr- 30 Apr</t>
        </is>
      </c>
      <c r="J392" t="inlineStr">
        <is>
          <t>https://www.alanranger.com/one-day-landscape-photography-workshops</t>
        </is>
      </c>
    </row>
    <row r="393" ht="13.5" customHeight="1" s="1232">
      <c r="A393" s="1348" t="n">
        <v>45390</v>
      </c>
      <c r="B393" s="1349" t="inlineStr">
        <is>
          <t>Stephen Fitchett</t>
        </is>
      </c>
      <c r="C393" s="1350" t="inlineStr">
        <is>
          <t>2. Workshops Non Residential</t>
        </is>
      </c>
      <c r="D393" s="1349" t="inlineStr">
        <is>
          <t>Stripe</t>
        </is>
      </c>
      <c r="E393" s="1351" t="n">
        <v>99</v>
      </c>
      <c r="F393" s="1349" t="inlineStr">
        <is>
          <t>Bluebells</t>
        </is>
      </c>
      <c r="G393" s="1349" t="inlineStr">
        <is>
          <t>Existing</t>
        </is>
      </c>
      <c r="I393" t="inlineStr">
        <is>
          <t>BLUEBELL WOODLANDS Photography - Warks - 20 Apr- 30 Apr</t>
        </is>
      </c>
      <c r="J393" t="inlineStr">
        <is>
          <t>https://www.alanranger.com/one-day-landscape-photography-workshops</t>
        </is>
      </c>
    </row>
    <row r="394" ht="13.5" customHeight="1" s="1232">
      <c r="A394" s="1348" t="n">
        <v>45390</v>
      </c>
      <c r="B394" s="1349" t="inlineStr">
        <is>
          <t>Cathy Kibble</t>
        </is>
      </c>
      <c r="C394" s="1350" t="inlineStr">
        <is>
          <t>2. Workshops Non Residential</t>
        </is>
      </c>
      <c r="D394" s="1349" t="inlineStr">
        <is>
          <t>Bank</t>
        </is>
      </c>
      <c r="E394" s="1351" t="n">
        <v>100</v>
      </c>
      <c r="F394" s="1349" t="inlineStr">
        <is>
          <t>Bluebells</t>
        </is>
      </c>
      <c r="G394" s="1349" t="inlineStr">
        <is>
          <t>Into the Blue</t>
        </is>
      </c>
      <c r="I394" t="inlineStr">
        <is>
          <t>BLUEBELL WOODLANDS Photography - Warks - 20 Apr- 30 Apr</t>
        </is>
      </c>
      <c r="J394" t="inlineStr">
        <is>
          <t>https://www.alanranger.com/one-day-landscape-photography-workshops</t>
        </is>
      </c>
    </row>
    <row r="395" ht="13.5" customHeight="1" s="1232">
      <c r="A395" s="1348" t="n">
        <v>45390</v>
      </c>
      <c r="B395" s="1349" t="inlineStr">
        <is>
          <t xml:space="preserve">Annie Mitchell </t>
        </is>
      </c>
      <c r="C395" s="1350" t="inlineStr">
        <is>
          <t>2. Workshops Non Residential</t>
        </is>
      </c>
      <c r="D395" s="1349" t="inlineStr">
        <is>
          <t>Bank</t>
        </is>
      </c>
      <c r="E395" s="1351" t="n">
        <v>79.2</v>
      </c>
      <c r="F395" s="1349" t="inlineStr">
        <is>
          <t>Bluebells</t>
        </is>
      </c>
      <c r="G395" s="1349" t="inlineStr">
        <is>
          <t>Into the Blue</t>
        </is>
      </c>
      <c r="I395" t="inlineStr">
        <is>
          <t>BLUEBELL WOODLANDS Photography - Warks - 20 Apr- 30 Apr</t>
        </is>
      </c>
      <c r="J395" t="inlineStr">
        <is>
          <t>https://www.alanranger.com/one-day-landscape-photography-workshops</t>
        </is>
      </c>
    </row>
    <row r="396" ht="13.5" customHeight="1" s="1232">
      <c r="A396" s="1348" t="n">
        <v>45389</v>
      </c>
      <c r="B396" s="1349" t="inlineStr">
        <is>
          <t>Adrian Hickinbottom</t>
        </is>
      </c>
      <c r="C396" s="1350" t="inlineStr">
        <is>
          <t>1. Courses/masterclasses</t>
        </is>
      </c>
      <c r="D396" s="1349" t="inlineStr">
        <is>
          <t>Stripe</t>
        </is>
      </c>
      <c r="E396" s="1351" t="n">
        <v>125</v>
      </c>
      <c r="F396" s="1349" t="inlineStr">
        <is>
          <t>5wk Beginners</t>
        </is>
      </c>
      <c r="G396" s="1349" t="inlineStr">
        <is>
          <t>Google</t>
        </is>
      </c>
      <c r="I396" t="inlineStr">
        <is>
          <t>5 Week Beginners Photography Course (RETIRED format)</t>
        </is>
      </c>
      <c r="J396" t="inlineStr">
        <is>
          <t>https://www.alanranger.com/beginners-photography-classes</t>
        </is>
      </c>
    </row>
    <row r="397" ht="13.5" customHeight="1" s="1232">
      <c r="A397" s="1348" t="n">
        <v>45389</v>
      </c>
      <c r="B397" s="1349" t="inlineStr">
        <is>
          <t>Adrian Hickinbottom</t>
        </is>
      </c>
      <c r="C397" s="1350" t="inlineStr">
        <is>
          <t>1. Courses/masterclasses</t>
        </is>
      </c>
      <c r="D397" s="1349" t="inlineStr">
        <is>
          <t>Gift Voucher Out</t>
        </is>
      </c>
      <c r="E397" s="1351" t="n">
        <v>125</v>
      </c>
      <c r="F397" s="1349" t="inlineStr">
        <is>
          <t>5wk Beginners</t>
        </is>
      </c>
      <c r="G397" s="1349" t="inlineStr">
        <is>
          <t>Google</t>
        </is>
      </c>
      <c r="I397" t="inlineStr">
        <is>
          <t>5 Week Beginners Photography Course (RETIRED format)</t>
        </is>
      </c>
      <c r="J397" t="inlineStr">
        <is>
          <t>https://www.alanranger.com/beginners-photography-classes</t>
        </is>
      </c>
    </row>
    <row r="398" ht="13.5" customHeight="1" s="1232">
      <c r="A398" s="1348" t="n">
        <v>45389</v>
      </c>
      <c r="B398" s="1349" t="inlineStr">
        <is>
          <t>Adrian Hickinbottom</t>
        </is>
      </c>
      <c r="C398" s="1350" t="inlineStr">
        <is>
          <t>9. Gift Vouchers Out</t>
        </is>
      </c>
      <c r="D398" s="1349" t="inlineStr">
        <is>
          <t>Gift Voucher Out</t>
        </is>
      </c>
      <c r="E398" s="1351" t="n">
        <v>-125</v>
      </c>
      <c r="F398" s="1349" t="inlineStr">
        <is>
          <t>5wk Beginners</t>
        </is>
      </c>
      <c r="G398" s="1349" t="inlineStr">
        <is>
          <t>Google</t>
        </is>
      </c>
      <c r="I398" t="inlineStr">
        <is>
          <t>Voucher/Plan Redemption - not a product sale</t>
        </is>
      </c>
      <c r="J398" t="inlineStr"/>
    </row>
    <row r="399" ht="13.5" customHeight="1" s="1232">
      <c r="A399" s="1348" t="n">
        <v>45387</v>
      </c>
      <c r="B399" s="1349" t="inlineStr">
        <is>
          <t>Artfully Walls</t>
        </is>
      </c>
      <c r="C399" s="1350" t="inlineStr">
        <is>
          <t>10. Prints &amp; Royalties</t>
        </is>
      </c>
      <c r="D399" s="1349" t="inlineStr">
        <is>
          <t>PayPal</t>
        </is>
      </c>
      <c r="E399" s="1351" t="n">
        <v>11</v>
      </c>
      <c r="F399" s="1349" t="inlineStr">
        <is>
          <t>Royalties</t>
        </is>
      </c>
      <c r="G399" s="1349" t="inlineStr">
        <is>
          <t>Artfully Walls</t>
        </is>
      </c>
      <c r="I399" t="inlineStr">
        <is>
          <t>Royalties &amp; Affiliate Income</t>
        </is>
      </c>
      <c r="J399" t="inlineStr">
        <is>
          <t>https://www.alanranger.com/fine-art-prints</t>
        </is>
      </c>
    </row>
    <row r="400" ht="13.5" customHeight="1" s="1232">
      <c r="A400" s="1348" t="n">
        <v>45387</v>
      </c>
      <c r="B400" s="1349" t="inlineStr">
        <is>
          <t>Jimmy Concannon</t>
        </is>
      </c>
      <c r="C400" s="1350" t="inlineStr">
        <is>
          <t>7. 1-2-1</t>
        </is>
      </c>
      <c r="D400" s="1349" t="inlineStr">
        <is>
          <t>PayPal</t>
        </is>
      </c>
      <c r="E400" s="1351" t="n">
        <v>360</v>
      </c>
      <c r="F400" s="1352" t="inlineStr">
        <is>
          <t>1-2-1</t>
        </is>
      </c>
      <c r="G400" s="1349" t="inlineStr">
        <is>
          <t>Google</t>
        </is>
      </c>
      <c r="I400" t="inlineStr">
        <is>
          <t>1-2-1 Single Session - 1hr (Face-to-Face)</t>
        </is>
      </c>
      <c r="J400" t="inlineStr">
        <is>
          <t>https://www.alanranger.com/private-photography-lessons</t>
        </is>
      </c>
    </row>
    <row r="401" ht="13.5" customHeight="1" s="1232">
      <c r="A401" s="1348" t="n">
        <v>45387</v>
      </c>
      <c r="B401" s="1349" t="inlineStr">
        <is>
          <t>Michael Jaye</t>
        </is>
      </c>
      <c r="C401" s="1350" t="inlineStr">
        <is>
          <t>2. Workshops Non Residential</t>
        </is>
      </c>
      <c r="D401" s="1349" t="inlineStr">
        <is>
          <t>Stripe</t>
        </is>
      </c>
      <c r="E401" s="1351" t="n">
        <v>99</v>
      </c>
      <c r="F401" s="1349" t="inlineStr">
        <is>
          <t>Bluebells</t>
        </is>
      </c>
      <c r="G401" s="1349" t="inlineStr">
        <is>
          <t>Existing</t>
        </is>
      </c>
      <c r="I401" t="inlineStr">
        <is>
          <t>BLUEBELL WOODLANDS Photography - Warks - 20 Apr- 30 Apr</t>
        </is>
      </c>
      <c r="J401" t="inlineStr">
        <is>
          <t>https://www.alanranger.com/one-day-landscape-photography-workshops</t>
        </is>
      </c>
    </row>
    <row r="402" ht="13.5" customHeight="1" s="1232">
      <c r="A402" s="1348" t="n">
        <v>45387</v>
      </c>
      <c r="B402" s="1349" t="inlineStr">
        <is>
          <t>Pixsy</t>
        </is>
      </c>
      <c r="C402" s="1350" t="inlineStr">
        <is>
          <t>10. Prints &amp; Royalties</t>
        </is>
      </c>
      <c r="D402" s="1349" t="inlineStr">
        <is>
          <t>Bank</t>
        </is>
      </c>
      <c r="E402" s="1351" t="n">
        <v>441.19</v>
      </c>
      <c r="F402" s="1349" t="inlineStr">
        <is>
          <t>Royalties</t>
        </is>
      </c>
      <c r="G402" s="1349" t="inlineStr">
        <is>
          <t>Existing</t>
        </is>
      </c>
      <c r="I402" t="inlineStr">
        <is>
          <t>Royalties &amp; Affiliate Income</t>
        </is>
      </c>
      <c r="J402" t="inlineStr">
        <is>
          <t>https://www.alanranger.com/fine-art-prints</t>
        </is>
      </c>
    </row>
    <row r="403" ht="13.5" customHeight="1" s="1232">
      <c r="A403" s="1348" t="n">
        <v>45385</v>
      </c>
      <c r="B403" s="1349" t="inlineStr">
        <is>
          <t>Linda Newbery</t>
        </is>
      </c>
      <c r="C403" s="1350" t="inlineStr">
        <is>
          <t>2. Workshops Non Residential</t>
        </is>
      </c>
      <c r="D403" s="1349" t="inlineStr">
        <is>
          <t>Stripe</t>
        </is>
      </c>
      <c r="E403" s="1351" t="n">
        <v>60</v>
      </c>
      <c r="F403" s="1349" t="inlineStr">
        <is>
          <t>Macro</t>
        </is>
      </c>
      <c r="G403" s="1349" t="inlineStr">
        <is>
          <t>Existing</t>
        </is>
      </c>
      <c r="I403" t="inlineStr">
        <is>
          <t>MACRO Photography Workshops Warwickshire - Various</t>
        </is>
      </c>
      <c r="J403" t="inlineStr">
        <is>
          <t>https://www.alanranger.com/landscape-photography-workshops</t>
        </is>
      </c>
    </row>
    <row r="404" ht="13.5" customHeight="1" s="1232">
      <c r="A404" s="1348" t="n">
        <v>45384</v>
      </c>
      <c r="B404" s="1349" t="inlineStr">
        <is>
          <t>Dave Pyta</t>
        </is>
      </c>
      <c r="C404" s="1350" t="inlineStr">
        <is>
          <t>5. Pick n Mix Out</t>
        </is>
      </c>
      <c r="D404" s="1349" t="inlineStr">
        <is>
          <t>PicknMix</t>
        </is>
      </c>
      <c r="E404" s="1351" t="n">
        <v>-796</v>
      </c>
      <c r="F404" s="1349" t="inlineStr">
        <is>
          <t>Lake Distrct</t>
        </is>
      </c>
      <c r="G404" s="1349" t="inlineStr">
        <is>
          <t>Existing</t>
        </is>
      </c>
      <c r="I404" t="inlineStr">
        <is>
          <t>Voucher/Plan Redemption - not a product sale</t>
        </is>
      </c>
      <c r="J404" t="inlineStr"/>
    </row>
    <row r="405" ht="13.5" customHeight="1" s="1232">
      <c r="A405" s="1348" t="n">
        <v>45384</v>
      </c>
      <c r="B405" s="1349" t="inlineStr">
        <is>
          <t>Dave Pyta</t>
        </is>
      </c>
      <c r="C405" s="1350" t="inlineStr">
        <is>
          <t>3. Workshops Residential</t>
        </is>
      </c>
      <c r="D405" s="1349" t="inlineStr">
        <is>
          <t>PicknMix</t>
        </is>
      </c>
      <c r="E405" s="1351" t="n">
        <v>796</v>
      </c>
      <c r="F405" s="1349" t="inlineStr">
        <is>
          <t>Lake Distrct</t>
        </is>
      </c>
      <c r="G405" s="1349" t="inlineStr">
        <is>
          <t>Existing</t>
        </is>
      </c>
      <c r="I405" t="inlineStr">
        <is>
          <t>LAKE DISTRICT Photography Workshops - Jan - Mar - Sep - Nov</t>
        </is>
      </c>
      <c r="J405" t="inlineStr">
        <is>
          <t>https://www.alanranger.com/photography-workshops</t>
        </is>
      </c>
    </row>
    <row r="406" ht="13.5" customHeight="1" s="1232">
      <c r="A406" s="1348" t="n">
        <v>45384</v>
      </c>
      <c r="B406" s="1349" t="inlineStr">
        <is>
          <t>Dave Pyta</t>
        </is>
      </c>
      <c r="C406" s="1350" t="inlineStr">
        <is>
          <t>5. Pick n Mix Out</t>
        </is>
      </c>
      <c r="D406" s="1349" t="inlineStr">
        <is>
          <t>PicknMix</t>
        </is>
      </c>
      <c r="E406" s="1351" t="n">
        <v>-100</v>
      </c>
      <c r="F406" s="1349" t="inlineStr">
        <is>
          <t>Christmas Walk</t>
        </is>
      </c>
      <c r="G406" s="1349" t="inlineStr">
        <is>
          <t>Existing</t>
        </is>
      </c>
      <c r="I406" t="inlineStr">
        <is>
          <t>Voucher/Plan Redemption - not a product sale</t>
        </is>
      </c>
      <c r="J406" t="inlineStr"/>
    </row>
    <row r="407" ht="13.5" customHeight="1" s="1232">
      <c r="A407" s="1348" t="n">
        <v>45384</v>
      </c>
      <c r="B407" s="1349" t="inlineStr">
        <is>
          <t>Dave Pyta</t>
        </is>
      </c>
      <c r="C407" s="1350" t="inlineStr">
        <is>
          <t>2. Workshops Non Residential</t>
        </is>
      </c>
      <c r="D407" s="1349" t="inlineStr">
        <is>
          <t>PicknMix</t>
        </is>
      </c>
      <c r="E407" s="1351" t="n">
        <v>100</v>
      </c>
      <c r="F407" s="1349" t="inlineStr">
        <is>
          <t>Christmas Walk</t>
        </is>
      </c>
      <c r="G407" s="1349" t="inlineStr">
        <is>
          <t>Existing</t>
        </is>
      </c>
      <c r="I407" t="inlineStr">
        <is>
          <t>Christmas Photography Seasonal Workshops | Warwickshire</t>
        </is>
      </c>
      <c r="J407" t="inlineStr">
        <is>
          <t>https://www.alanranger.com/landscape-photography-workshops</t>
        </is>
      </c>
    </row>
    <row r="408" ht="13.5" customHeight="1" s="1232">
      <c r="A408" s="1348" t="n">
        <v>45384</v>
      </c>
      <c r="B408" s="1349" t="inlineStr">
        <is>
          <t>Phillipa King</t>
        </is>
      </c>
      <c r="C408" s="1350" t="inlineStr">
        <is>
          <t>5. Pick n Mix Out</t>
        </is>
      </c>
      <c r="D408" s="1349" t="inlineStr">
        <is>
          <t>PicknMix</t>
        </is>
      </c>
      <c r="E408" s="1351" t="n">
        <v>-796</v>
      </c>
      <c r="F408" s="1349" t="inlineStr">
        <is>
          <t>Lake Distrct</t>
        </is>
      </c>
      <c r="G408" s="1349" t="inlineStr">
        <is>
          <t>Existing</t>
        </is>
      </c>
      <c r="I408" t="inlineStr">
        <is>
          <t>Voucher/Plan Redemption - not a product sale</t>
        </is>
      </c>
      <c r="J408" t="inlineStr"/>
    </row>
    <row r="409" ht="13.5" customHeight="1" s="1232">
      <c r="A409" s="1348" t="n">
        <v>45384</v>
      </c>
      <c r="B409" s="1349" t="inlineStr">
        <is>
          <t>Phillipa King</t>
        </is>
      </c>
      <c r="C409" s="1350" t="inlineStr">
        <is>
          <t>3. Workshops Residential</t>
        </is>
      </c>
      <c r="D409" s="1349" t="inlineStr">
        <is>
          <t>PicknMix</t>
        </is>
      </c>
      <c r="E409" s="1351" t="n">
        <v>796</v>
      </c>
      <c r="F409" s="1349" t="inlineStr">
        <is>
          <t>Lake Distrct</t>
        </is>
      </c>
      <c r="G409" s="1349" t="inlineStr">
        <is>
          <t>Existing</t>
        </is>
      </c>
      <c r="I409" t="inlineStr">
        <is>
          <t>LAKE DISTRICT Photography Workshops - Jan - Mar - Sep - Nov</t>
        </is>
      </c>
      <c r="J409" t="inlineStr">
        <is>
          <t>https://www.alanranger.com/photography-workshops</t>
        </is>
      </c>
    </row>
    <row r="410" ht="13.5" customHeight="1" s="1232">
      <c r="A410" s="1348" t="n">
        <v>45384</v>
      </c>
      <c r="B410" s="1349" t="inlineStr">
        <is>
          <t>Phillipa King</t>
        </is>
      </c>
      <c r="C410" s="1350" t="inlineStr">
        <is>
          <t>5. Pick n Mix Out</t>
        </is>
      </c>
      <c r="D410" s="1349" t="inlineStr">
        <is>
          <t>PicknMix</t>
        </is>
      </c>
      <c r="E410" s="1351" t="n">
        <v>-100</v>
      </c>
      <c r="F410" s="1349" t="inlineStr">
        <is>
          <t>Christmas Walk</t>
        </is>
      </c>
      <c r="G410" s="1349" t="inlineStr">
        <is>
          <t>Existing</t>
        </is>
      </c>
      <c r="I410" t="inlineStr">
        <is>
          <t>Voucher/Plan Redemption - not a product sale</t>
        </is>
      </c>
      <c r="J410" t="inlineStr"/>
    </row>
    <row r="411" ht="13.5" customHeight="1" s="1232">
      <c r="A411" s="1348" t="n">
        <v>45384</v>
      </c>
      <c r="B411" s="1349" t="inlineStr">
        <is>
          <t>Phillipa King</t>
        </is>
      </c>
      <c r="C411" s="1350" t="inlineStr">
        <is>
          <t>2. Workshops Non Residential</t>
        </is>
      </c>
      <c r="D411" s="1349" t="inlineStr">
        <is>
          <t>PicknMix</t>
        </is>
      </c>
      <c r="E411" s="1351" t="n">
        <v>100</v>
      </c>
      <c r="F411" s="1349" t="inlineStr">
        <is>
          <t>Christmas Walk</t>
        </is>
      </c>
      <c r="G411" s="1349" t="inlineStr">
        <is>
          <t>Existing</t>
        </is>
      </c>
      <c r="I411" t="inlineStr">
        <is>
          <t>Christmas Photography Seasonal Workshops | Warwickshire</t>
        </is>
      </c>
      <c r="J411" t="inlineStr">
        <is>
          <t>https://www.alanranger.com/landscape-photography-workshops</t>
        </is>
      </c>
    </row>
    <row r="412" ht="13.5" customHeight="1" s="1232">
      <c r="A412" s="1348" t="n">
        <v>45384</v>
      </c>
      <c r="B412" s="1349" t="inlineStr">
        <is>
          <t>Stephen Frost</t>
        </is>
      </c>
      <c r="C412" s="1350" t="inlineStr">
        <is>
          <t>2. Workshops Non Residential</t>
        </is>
      </c>
      <c r="D412" s="1349" t="inlineStr">
        <is>
          <t>Bank</t>
        </is>
      </c>
      <c r="E412" s="1351" t="n">
        <v>79.2</v>
      </c>
      <c r="F412" s="1349" t="inlineStr">
        <is>
          <t>Bluebells</t>
        </is>
      </c>
      <c r="G412" s="1349" t="inlineStr">
        <is>
          <t>Into the Blue</t>
        </is>
      </c>
      <c r="I412" t="inlineStr">
        <is>
          <t>BLUEBELL WOODLANDS Photography - Warks - 20 Apr- 30 Apr</t>
        </is>
      </c>
      <c r="J412" t="inlineStr">
        <is>
          <t>https://www.alanranger.com/one-day-landscape-photography-workshops</t>
        </is>
      </c>
    </row>
    <row r="413" ht="13.5" customHeight="1" s="1232">
      <c r="A413" s="1348" t="n">
        <v>45383</v>
      </c>
      <c r="B413" s="1349" t="inlineStr">
        <is>
          <t>Graham Ibbetson</t>
        </is>
      </c>
      <c r="C413" s="1350" t="inlineStr">
        <is>
          <t>3. Workshops Residential</t>
        </is>
      </c>
      <c r="D413" s="1349" t="inlineStr">
        <is>
          <t>Stripe</t>
        </is>
      </c>
      <c r="E413" s="1351" t="n">
        <v>975</v>
      </c>
      <c r="F413" s="1349" t="inlineStr">
        <is>
          <t>Norfolk</t>
        </is>
      </c>
      <c r="G413" s="1349" t="inlineStr">
        <is>
          <t>Existing</t>
        </is>
      </c>
      <c r="I413" t="inlineStr">
        <is>
          <t>Landscape Photography Workshop NORFOLK - Coastal 20 - 22 Nov</t>
        </is>
      </c>
      <c r="J413" t="inlineStr">
        <is>
          <t>https://www.alanranger.com/photography-workshops</t>
        </is>
      </c>
    </row>
    <row r="414" ht="13.5" customHeight="1" s="1232">
      <c r="A414" s="1348" t="n">
        <v>45383</v>
      </c>
      <c r="B414" s="1349" t="inlineStr">
        <is>
          <t>Pick n Mix Subs</t>
        </is>
      </c>
      <c r="C414" s="1350" t="inlineStr">
        <is>
          <t>4. Pick n Mix Inc</t>
        </is>
      </c>
      <c r="D414" s="1349" t="inlineStr">
        <is>
          <t>Stripe</t>
        </is>
      </c>
      <c r="E414" s="1351" t="n">
        <v>250</v>
      </c>
      <c r="F414" s="1349" t="inlineStr">
        <is>
          <t>Pick N Mix Payments</t>
        </is>
      </c>
      <c r="G414" s="1349" t="inlineStr">
        <is>
          <t>Existing</t>
        </is>
      </c>
      <c r="I414" t="inlineStr">
        <is>
          <t>Pick N Mix Payment Plan</t>
        </is>
      </c>
      <c r="J414" t="inlineStr">
        <is>
          <t>https://www.alanranger.com/photography-payment-plan</t>
        </is>
      </c>
    </row>
    <row r="415" ht="13.5" customHeight="1" s="1232">
      <c r="A415" s="1348" t="n">
        <v>45383</v>
      </c>
      <c r="B415" s="1349" t="inlineStr">
        <is>
          <t>Mentoring Subs</t>
        </is>
      </c>
      <c r="C415" s="1350" t="inlineStr">
        <is>
          <t>6. Mentoring</t>
        </is>
      </c>
      <c r="D415" s="1349" t="inlineStr">
        <is>
          <t>Stripe</t>
        </is>
      </c>
      <c r="E415" s="1351" t="n">
        <v>80</v>
      </c>
      <c r="F415" s="1349" t="inlineStr">
        <is>
          <t>Mentoring Subs</t>
        </is>
      </c>
      <c r="G415" s="1349" t="inlineStr">
        <is>
          <t>Existing</t>
        </is>
      </c>
      <c r="I415" t="inlineStr">
        <is>
          <t>Mentoring - Monthly Subscription</t>
        </is>
      </c>
      <c r="J415" t="inlineStr">
        <is>
          <t>https://www.alanranger.com/photography-mentoring-online-assignments</t>
        </is>
      </c>
    </row>
    <row r="416" ht="13.5" customHeight="1" s="1232">
      <c r="A416" s="1348" t="n"/>
      <c r="B416" s="1349" t="n"/>
      <c r="C416" s="1350" t="n"/>
      <c r="D416" s="1349" t="n"/>
      <c r="E416" s="1351" t="n"/>
      <c r="F416" s="1349" t="n"/>
      <c r="G416" s="1349" t="n"/>
    </row>
    <row r="417" ht="13.5" customHeight="1" s="1232">
      <c r="A417" s="1348" t="n">
        <v>45380</v>
      </c>
      <c r="B417" s="1349" t="inlineStr">
        <is>
          <t>Cameron Holden</t>
        </is>
      </c>
      <c r="C417" s="1350" t="inlineStr">
        <is>
          <t>7. 1-2-1</t>
        </is>
      </c>
      <c r="D417" s="1349" t="inlineStr">
        <is>
          <t>Stripe</t>
        </is>
      </c>
      <c r="E417" s="1351" t="n">
        <v>65</v>
      </c>
      <c r="F417" s="1349" t="inlineStr">
        <is>
          <t>1hr F2F 1-2-1</t>
        </is>
      </c>
      <c r="G417" s="1349" t="inlineStr">
        <is>
          <t>Google</t>
        </is>
      </c>
      <c r="I417" t="inlineStr">
        <is>
          <t>1-2-1 Single Session - 1hr (Face-to-Face)</t>
        </is>
      </c>
      <c r="J417" t="inlineStr">
        <is>
          <t>https://www.alanranger.com/private-photography-lessons</t>
        </is>
      </c>
    </row>
    <row r="418" ht="13.5" customHeight="1" s="1232">
      <c r="A418" s="1348" t="n">
        <v>45380</v>
      </c>
      <c r="B418" s="1349" t="inlineStr">
        <is>
          <t>Joanne Galloway</t>
        </is>
      </c>
      <c r="C418" s="1350" t="inlineStr">
        <is>
          <t>5. Pick n Mix Out</t>
        </is>
      </c>
      <c r="D418" s="1349" t="inlineStr">
        <is>
          <t>PicknMix</t>
        </is>
      </c>
      <c r="E418" s="1351" t="n">
        <v>-150</v>
      </c>
      <c r="F418" s="1349" t="inlineStr">
        <is>
          <t>Bluebells</t>
        </is>
      </c>
      <c r="G418" s="1349" t="inlineStr">
        <is>
          <t>Existing</t>
        </is>
      </c>
      <c r="I418" t="inlineStr">
        <is>
          <t>Voucher/Plan Redemption - not a product sale</t>
        </is>
      </c>
      <c r="J418" t="inlineStr"/>
    </row>
    <row r="419" ht="13.5" customHeight="1" s="1232">
      <c r="A419" s="1348" t="n">
        <v>45380</v>
      </c>
      <c r="B419" s="1349" t="inlineStr">
        <is>
          <t>Joanne Galloway</t>
        </is>
      </c>
      <c r="C419" s="1350" t="inlineStr">
        <is>
          <t>2. Workshops Non Residential</t>
        </is>
      </c>
      <c r="D419" s="1349" t="inlineStr">
        <is>
          <t>PicknMix</t>
        </is>
      </c>
      <c r="E419" s="1351" t="n">
        <v>150</v>
      </c>
      <c r="F419" s="1349" t="inlineStr">
        <is>
          <t>Bluebells</t>
        </is>
      </c>
      <c r="G419" s="1349" t="inlineStr">
        <is>
          <t>Existing</t>
        </is>
      </c>
      <c r="I419" t="inlineStr">
        <is>
          <t>BLUEBELL WOODLANDS Photography - Warks - 20 Apr- 30 Apr</t>
        </is>
      </c>
      <c r="J419" t="inlineStr">
        <is>
          <t>https://www.alanranger.com/one-day-landscape-photography-workshops</t>
        </is>
      </c>
    </row>
    <row r="420" ht="13.5" customHeight="1" s="1232">
      <c r="A420" s="1348" t="n">
        <v>45378</v>
      </c>
      <c r="B420" s="1349" t="inlineStr">
        <is>
          <t>Huw Jones</t>
        </is>
      </c>
      <c r="C420" s="1350" t="inlineStr">
        <is>
          <t>2. Workshops Non Residential</t>
        </is>
      </c>
      <c r="D420" s="1349" t="inlineStr">
        <is>
          <t>Stripe</t>
        </is>
      </c>
      <c r="E420" s="1351" t="n">
        <v>150</v>
      </c>
      <c r="F420" s="1349" t="inlineStr">
        <is>
          <t>Bluebells</t>
        </is>
      </c>
      <c r="G420" s="1349" t="inlineStr">
        <is>
          <t>Existing</t>
        </is>
      </c>
      <c r="I420" t="inlineStr">
        <is>
          <t>BLUEBELL WOODLANDS Photography - Warks - 20 Apr- 30 Apr</t>
        </is>
      </c>
      <c r="J420" t="inlineStr">
        <is>
          <t>https://www.alanranger.com/one-day-landscape-photography-workshops</t>
        </is>
      </c>
    </row>
    <row r="421" ht="13.5" customHeight="1" s="1232">
      <c r="A421" s="1348" t="n">
        <v>45377</v>
      </c>
      <c r="B421" s="1349" t="inlineStr">
        <is>
          <t>Michael Charlton</t>
        </is>
      </c>
      <c r="C421" s="1350" t="inlineStr">
        <is>
          <t>2. Workshops Non Residential</t>
        </is>
      </c>
      <c r="D421" s="1349" t="inlineStr">
        <is>
          <t>PayPal</t>
        </is>
      </c>
      <c r="E421" s="1351" t="n">
        <v>99</v>
      </c>
      <c r="F421" s="1349" t="inlineStr">
        <is>
          <t>Bluebells</t>
        </is>
      </c>
      <c r="G421" s="1349" t="inlineStr">
        <is>
          <t>Existing</t>
        </is>
      </c>
      <c r="I421" t="inlineStr">
        <is>
          <t>BLUEBELL WOODLANDS Photography - Warks - 20 Apr- 30 Apr</t>
        </is>
      </c>
      <c r="J421" t="inlineStr">
        <is>
          <t>https://www.alanranger.com/one-day-landscape-photography-workshops</t>
        </is>
      </c>
    </row>
    <row r="422" ht="13.5" customHeight="1" s="1232">
      <c r="A422" s="1348" t="n">
        <v>45377</v>
      </c>
      <c r="B422" s="1349" t="inlineStr">
        <is>
          <t>Ian Douglas</t>
        </is>
      </c>
      <c r="C422" s="1350" t="inlineStr">
        <is>
          <t>2. Workshops Non Residential</t>
        </is>
      </c>
      <c r="D422" s="1349" t="inlineStr">
        <is>
          <t>Stripe</t>
        </is>
      </c>
      <c r="E422" s="1351" t="n">
        <v>99</v>
      </c>
      <c r="F422" s="1349" t="inlineStr">
        <is>
          <t>Bluebells</t>
        </is>
      </c>
      <c r="G422" s="1349" t="inlineStr">
        <is>
          <t>Existing</t>
        </is>
      </c>
      <c r="I422" t="inlineStr">
        <is>
          <t>BLUEBELL WOODLANDS Photography - Warks - 20 Apr- 30 Apr</t>
        </is>
      </c>
      <c r="J422" t="inlineStr">
        <is>
          <t>https://www.alanranger.com/one-day-landscape-photography-workshops</t>
        </is>
      </c>
    </row>
    <row r="423" ht="13.5" customHeight="1" s="1232">
      <c r="A423" s="1348" t="n">
        <v>45377</v>
      </c>
      <c r="B423" s="1349" t="inlineStr">
        <is>
          <t>Bhupinder Bansal</t>
        </is>
      </c>
      <c r="C423" s="1350" t="inlineStr">
        <is>
          <t>7. 1-2-1</t>
        </is>
      </c>
      <c r="D423" s="1349" t="inlineStr">
        <is>
          <t>Stripe</t>
        </is>
      </c>
      <c r="E423" s="1351" t="n">
        <v>360</v>
      </c>
      <c r="F423" s="1349" t="inlineStr">
        <is>
          <t>4 x 2hr 1-2-1 Lessons</t>
        </is>
      </c>
      <c r="G423" s="1349" t="inlineStr">
        <is>
          <t>Google</t>
        </is>
      </c>
      <c r="I423" t="inlineStr">
        <is>
          <t>1-2-1 Package - 4 x 2hr Face-to-Face (the GBP360 4-for-3)</t>
        </is>
      </c>
      <c r="J423" t="inlineStr">
        <is>
          <t>https://www.alanranger.com/private-photography-lessons</t>
        </is>
      </c>
    </row>
    <row r="424" ht="13.5" customHeight="1" s="1232">
      <c r="A424" s="1348" t="n">
        <v>45369</v>
      </c>
      <c r="B424" s="1349" t="inlineStr">
        <is>
          <t>Danielle Warwick</t>
        </is>
      </c>
      <c r="C424" s="1350" t="inlineStr">
        <is>
          <t>7. 1-2-1</t>
        </is>
      </c>
      <c r="D424" s="1349" t="inlineStr">
        <is>
          <t>Stripe</t>
        </is>
      </c>
      <c r="E424" s="1351" t="n">
        <v>360</v>
      </c>
      <c r="F424" s="1349" t="inlineStr">
        <is>
          <t>4 x 2hr 1-2-1 Lessons</t>
        </is>
      </c>
      <c r="G424" s="1349" t="inlineStr">
        <is>
          <t>Google</t>
        </is>
      </c>
      <c r="I424" t="inlineStr">
        <is>
          <t>1-2-1 Package - 4 x 2hr Face-to-Face (the GBP360 4-for-3)</t>
        </is>
      </c>
      <c r="J424" t="inlineStr">
        <is>
          <t>https://www.alanranger.com/private-photography-lessons</t>
        </is>
      </c>
    </row>
    <row r="425" ht="13.5" customHeight="1" s="1232">
      <c r="A425" s="1348" t="n">
        <v>45366</v>
      </c>
      <c r="B425" s="1349" t="inlineStr">
        <is>
          <t>Photocrowd</t>
        </is>
      </c>
      <c r="C425" s="1350" t="inlineStr">
        <is>
          <t>11 Commissions</t>
        </is>
      </c>
      <c r="D425" s="1349" t="inlineStr">
        <is>
          <t>Bank</t>
        </is>
      </c>
      <c r="E425" s="1351" t="n">
        <v>280</v>
      </c>
      <c r="F425" s="1349" t="inlineStr">
        <is>
          <t>Judging Fees</t>
        </is>
      </c>
      <c r="G425" s="1349" t="inlineStr">
        <is>
          <t>Existing</t>
        </is>
      </c>
      <c r="I425" t="inlineStr">
        <is>
          <t>Commission - Editorial / Guest Blog / Judging</t>
        </is>
      </c>
      <c r="J425" t="inlineStr">
        <is>
          <t>https://www.alanranger.com/corporate-photography-training</t>
        </is>
      </c>
    </row>
    <row r="426" ht="13.5" customHeight="1" s="1232">
      <c r="A426" s="1348" t="n">
        <v>45367</v>
      </c>
      <c r="B426" s="1349" t="inlineStr">
        <is>
          <t>Kirsten Pearce</t>
        </is>
      </c>
      <c r="C426" s="1350" t="inlineStr">
        <is>
          <t>5. Pick n Mix Out</t>
        </is>
      </c>
      <c r="D426" s="1349" t="inlineStr">
        <is>
          <t>PicknMix</t>
        </is>
      </c>
      <c r="E426" s="1351" t="n">
        <v>-825</v>
      </c>
      <c r="F426" s="1349" t="inlineStr">
        <is>
          <t>Gower</t>
        </is>
      </c>
      <c r="G426" s="1349" t="inlineStr">
        <is>
          <t>Existing</t>
        </is>
      </c>
      <c r="I426" t="inlineStr">
        <is>
          <t>Voucher/Plan Redemption - not a product sale</t>
        </is>
      </c>
      <c r="J426" t="inlineStr"/>
    </row>
    <row r="427" ht="13.5" customHeight="1" s="1232">
      <c r="A427" s="1348" t="n">
        <v>45367</v>
      </c>
      <c r="B427" s="1349" t="inlineStr">
        <is>
          <t>Kirsten Pearce</t>
        </is>
      </c>
      <c r="C427" s="1350" t="inlineStr">
        <is>
          <t>3. Workshops Residential</t>
        </is>
      </c>
      <c r="D427" s="1349" t="inlineStr">
        <is>
          <t>PicknMix</t>
        </is>
      </c>
      <c r="E427" s="1351" t="n">
        <v>825</v>
      </c>
      <c r="F427" s="1349" t="inlineStr">
        <is>
          <t>Gower</t>
        </is>
      </c>
      <c r="G427" s="1349" t="inlineStr">
        <is>
          <t>Existing</t>
        </is>
      </c>
      <c r="I427" t="inlineStr">
        <is>
          <t>GOWER Landscape Photography Wales - 28 Aug - 30 Aug 2026</t>
        </is>
      </c>
      <c r="J427" t="inlineStr">
        <is>
          <t>https://www.alanranger.com/photography-workshops</t>
        </is>
      </c>
    </row>
    <row r="428" ht="13.5" customHeight="1" s="1232">
      <c r="A428" s="1348" t="n">
        <v>45364</v>
      </c>
      <c r="B428" s="1349" t="inlineStr">
        <is>
          <t>mark godfrey</t>
        </is>
      </c>
      <c r="C428" s="1350" t="inlineStr">
        <is>
          <t>2. Workshops Non Residential</t>
        </is>
      </c>
      <c r="D428" s="1349" t="inlineStr">
        <is>
          <t>PayPal</t>
        </is>
      </c>
      <c r="E428" s="1351" t="n">
        <v>50</v>
      </c>
      <c r="F428" s="1349" t="inlineStr">
        <is>
          <t>Kenilworth LE</t>
        </is>
      </c>
      <c r="G428" s="1349" t="inlineStr">
        <is>
          <t>Existing</t>
        </is>
      </c>
      <c r="I428" t="inlineStr">
        <is>
          <t>Long Exposure Photography Workshop KENILWORTH Sunset</t>
        </is>
      </c>
      <c r="J428" t="inlineStr">
        <is>
          <t>https://www.alanranger.com/landscape-photography-workshops</t>
        </is>
      </c>
    </row>
    <row r="429" ht="13.5" customHeight="1" s="1232">
      <c r="A429" s="1348" t="n">
        <v>45364</v>
      </c>
      <c r="B429" s="1349" t="inlineStr">
        <is>
          <t>Jane Robb</t>
        </is>
      </c>
      <c r="C429" s="1350" t="inlineStr">
        <is>
          <t>7. 1-2-1</t>
        </is>
      </c>
      <c r="D429" s="1349" t="inlineStr">
        <is>
          <t>Stripe</t>
        </is>
      </c>
      <c r="E429" s="1351" t="n">
        <v>50</v>
      </c>
      <c r="F429" s="1349" t="inlineStr">
        <is>
          <t>Zoom 1hr</t>
        </is>
      </c>
      <c r="G429" s="1349" t="inlineStr">
        <is>
          <t>Existing</t>
        </is>
      </c>
      <c r="I429" t="inlineStr">
        <is>
          <t>1-2-1 Single Session - 1hr Zoom</t>
        </is>
      </c>
      <c r="J429" t="inlineStr">
        <is>
          <t>https://www.alanranger.com/photography-lessons-online-121</t>
        </is>
      </c>
    </row>
    <row r="430" ht="13.5" customHeight="1" s="1232">
      <c r="A430" s="1348" t="n">
        <v>45362</v>
      </c>
      <c r="B430" s="1349" t="inlineStr">
        <is>
          <t>Karl Graves</t>
        </is>
      </c>
      <c r="C430" s="1350" t="inlineStr">
        <is>
          <t>12. Other</t>
        </is>
      </c>
      <c r="D430" s="1349" t="inlineStr">
        <is>
          <t>Stripe</t>
        </is>
      </c>
      <c r="E430" s="1351" t="n">
        <v>30</v>
      </c>
      <c r="F430" s="1349" t="inlineStr">
        <is>
          <t>Sensor Clean</t>
        </is>
      </c>
      <c r="G430" s="1349" t="inlineStr">
        <is>
          <t>Google</t>
        </is>
      </c>
      <c r="I430" t="inlineStr">
        <is>
          <t>Sensor Clean Service (historical)</t>
        </is>
      </c>
      <c r="J430" t="inlineStr">
        <is>
          <t>https://www.alanranger.com/photography-shop-services</t>
        </is>
      </c>
    </row>
    <row r="431" ht="13.5" customHeight="1" s="1232">
      <c r="A431" s="1348" t="n">
        <v>45358</v>
      </c>
      <c r="B431" s="1349" t="inlineStr">
        <is>
          <t>Sanjay Kumar</t>
        </is>
      </c>
      <c r="C431" s="1350" t="inlineStr">
        <is>
          <t>2. Workshops Non Residential</t>
        </is>
      </c>
      <c r="D431" s="1349" t="inlineStr">
        <is>
          <t>Stripe</t>
        </is>
      </c>
      <c r="E431" s="1351" t="n">
        <v>24</v>
      </c>
      <c r="F431" s="1349" t="inlineStr">
        <is>
          <t>Bluebells</t>
        </is>
      </c>
      <c r="G431" s="1349" t="inlineStr">
        <is>
          <t>Existing</t>
        </is>
      </c>
      <c r="I431" t="inlineStr">
        <is>
          <t>BLUEBELL WOODLANDS Photography - Warks - 20 Apr- 30 Apr</t>
        </is>
      </c>
      <c r="J431" t="inlineStr">
        <is>
          <t>https://www.alanranger.com/one-day-landscape-photography-workshops</t>
        </is>
      </c>
    </row>
    <row r="432" ht="13.5" customHeight="1" s="1232">
      <c r="A432" s="1348" t="n">
        <v>45356</v>
      </c>
      <c r="B432" s="1349" t="inlineStr">
        <is>
          <t>Keith Newton</t>
        </is>
      </c>
      <c r="C432" s="1350" t="inlineStr">
        <is>
          <t>2. Workshops Non Residential</t>
        </is>
      </c>
      <c r="D432" s="1349" t="inlineStr">
        <is>
          <t>Gift Voucher Out</t>
        </is>
      </c>
      <c r="E432" s="1351" t="n">
        <v>38</v>
      </c>
      <c r="F432" s="1349" t="inlineStr">
        <is>
          <t>Architecture</t>
        </is>
      </c>
      <c r="G432" s="1349" t="inlineStr">
        <is>
          <t>Existing</t>
        </is>
      </c>
      <c r="I432" t="inlineStr">
        <is>
          <t>URBAN ARCHITECTURE Photography Workshops - Coventry 9 Sep</t>
        </is>
      </c>
      <c r="J432" t="inlineStr">
        <is>
          <t>https://www.alanranger.com/landscape-photography-workshops</t>
        </is>
      </c>
    </row>
    <row r="433" ht="13.5" customHeight="1" s="1232">
      <c r="A433" s="1348" t="n">
        <v>45356</v>
      </c>
      <c r="B433" s="1349" t="inlineStr">
        <is>
          <t>Keith Newton</t>
        </is>
      </c>
      <c r="C433" s="1350" t="inlineStr">
        <is>
          <t>9. Gift Vouchers Out</t>
        </is>
      </c>
      <c r="D433" s="1349" t="inlineStr">
        <is>
          <t>Gift Voucher Out</t>
        </is>
      </c>
      <c r="E433" s="1351" t="n">
        <v>-38</v>
      </c>
      <c r="F433" s="1349" t="inlineStr">
        <is>
          <t>Architecture</t>
        </is>
      </c>
      <c r="G433" s="1349" t="inlineStr">
        <is>
          <t>Existing</t>
        </is>
      </c>
      <c r="I433" t="inlineStr">
        <is>
          <t>Voucher/Plan Redemption - not a product sale</t>
        </is>
      </c>
      <c r="J433" t="inlineStr"/>
    </row>
    <row r="434" ht="13.5" customHeight="1" s="1232">
      <c r="A434" s="1348" t="n">
        <v>45356</v>
      </c>
      <c r="B434" s="1349" t="inlineStr">
        <is>
          <t>Keith Newton</t>
        </is>
      </c>
      <c r="C434" s="1350" t="inlineStr">
        <is>
          <t>2. Workshops Non Residential</t>
        </is>
      </c>
      <c r="D434" s="1349" t="inlineStr">
        <is>
          <t>Stripe</t>
        </is>
      </c>
      <c r="E434" s="1351" t="n">
        <v>12</v>
      </c>
      <c r="F434" s="1349" t="inlineStr">
        <is>
          <t>Architecture</t>
        </is>
      </c>
      <c r="G434" s="1349" t="inlineStr">
        <is>
          <t>Existing</t>
        </is>
      </c>
      <c r="I434" t="inlineStr">
        <is>
          <t>URBAN ARCHITECTURE Photography Workshops - Coventry 9 Sep</t>
        </is>
      </c>
      <c r="J434" t="inlineStr">
        <is>
          <t>https://www.alanranger.com/landscape-photography-workshops</t>
        </is>
      </c>
    </row>
    <row r="435" ht="13.5" customHeight="1" s="1232">
      <c r="A435" s="1348" t="n">
        <v>45356</v>
      </c>
      <c r="B435" s="1349" t="inlineStr">
        <is>
          <t>Carolyne Roe</t>
        </is>
      </c>
      <c r="C435" s="1350" t="inlineStr">
        <is>
          <t>2. Workshops Non Residential</t>
        </is>
      </c>
      <c r="D435" s="1349" t="inlineStr">
        <is>
          <t>PayPal</t>
        </is>
      </c>
      <c r="E435" s="1351" t="n">
        <v>50</v>
      </c>
      <c r="F435" s="1349" t="inlineStr">
        <is>
          <t>Balance for Peak District</t>
        </is>
      </c>
      <c r="G435" s="1349" t="inlineStr">
        <is>
          <t>Existing</t>
        </is>
      </c>
      <c r="I435" t="inlineStr">
        <is>
          <t>PEAK DISTRICT Photography Workshops - May, Oct and Nov</t>
        </is>
      </c>
      <c r="J435" t="inlineStr">
        <is>
          <t>https://www.alanranger.com/one-day-landscape-photography-workshops</t>
        </is>
      </c>
    </row>
    <row r="436" ht="13.5" customHeight="1" s="1232">
      <c r="A436" s="1348" t="n">
        <v>45355</v>
      </c>
      <c r="B436" s="1349" t="inlineStr">
        <is>
          <t>Artfully Walls</t>
        </is>
      </c>
      <c r="C436" s="1350" t="inlineStr">
        <is>
          <t>10. Prints &amp; Royalties</t>
        </is>
      </c>
      <c r="D436" s="1349" t="inlineStr">
        <is>
          <t>PayPal</t>
        </is>
      </c>
      <c r="E436" s="1351" t="n">
        <v>27.63</v>
      </c>
      <c r="F436" s="1349" t="inlineStr">
        <is>
          <t>Prints</t>
        </is>
      </c>
      <c r="G436" s="1349" t="inlineStr">
        <is>
          <t>Artfully Walls</t>
        </is>
      </c>
      <c r="I436" t="inlineStr">
        <is>
          <t>Print Sale - Generic (historical)</t>
        </is>
      </c>
      <c r="J436" t="inlineStr">
        <is>
          <t>https://www.alanranger.com/fine-art-prints</t>
        </is>
      </c>
    </row>
    <row r="437" ht="13.5" customHeight="1" s="1232">
      <c r="A437" s="1348" t="n">
        <v>45354</v>
      </c>
      <c r="B437" s="1349" t="inlineStr">
        <is>
          <t>Pyers Tucker</t>
        </is>
      </c>
      <c r="C437" s="1350" t="inlineStr">
        <is>
          <t>2. Workshops Non Residential</t>
        </is>
      </c>
      <c r="D437" s="1349" t="inlineStr">
        <is>
          <t>Stripe</t>
        </is>
      </c>
      <c r="E437" s="1351" t="n">
        <v>60</v>
      </c>
      <c r="F437" s="1349" t="inlineStr">
        <is>
          <t>Abstract</t>
        </is>
      </c>
      <c r="G437" s="1349" t="inlineStr">
        <is>
          <t>Google</t>
        </is>
      </c>
      <c r="I437" t="inlineStr">
        <is>
          <t>MACRO Photography Workshops Warwickshire - Various</t>
        </is>
      </c>
      <c r="J437" t="inlineStr">
        <is>
          <t>https://www.alanranger.com/landscape-photography-workshops</t>
        </is>
      </c>
    </row>
    <row r="438" ht="13.5" customHeight="1" s="1232">
      <c r="A438" s="1348" t="n">
        <v>45352</v>
      </c>
      <c r="B438" s="1349" t="inlineStr">
        <is>
          <t>Pick n Mix Subs</t>
        </is>
      </c>
      <c r="C438" s="1350" t="inlineStr">
        <is>
          <t>4. Pick n Mix Inc</t>
        </is>
      </c>
      <c r="D438" s="1349" t="inlineStr">
        <is>
          <t>Stripe</t>
        </is>
      </c>
      <c r="E438" s="1351" t="n">
        <v>50</v>
      </c>
      <c r="F438" s="1349" t="inlineStr">
        <is>
          <t>Pick N Mix Payments</t>
        </is>
      </c>
      <c r="G438" s="1349" t="inlineStr">
        <is>
          <t>Existing</t>
        </is>
      </c>
      <c r="I438" t="inlineStr">
        <is>
          <t>Pick N Mix Payment Plan</t>
        </is>
      </c>
      <c r="J438" t="inlineStr">
        <is>
          <t>https://www.alanranger.com/photography-payment-plan</t>
        </is>
      </c>
    </row>
    <row r="439" ht="13.5" customHeight="1" s="1232">
      <c r="A439" s="1348" t="n">
        <v>45352</v>
      </c>
      <c r="B439" s="1349" t="inlineStr">
        <is>
          <t>Mentoring Subs</t>
        </is>
      </c>
      <c r="C439" s="1350" t="inlineStr">
        <is>
          <t>6. Mentoring</t>
        </is>
      </c>
      <c r="D439" s="1349" t="inlineStr">
        <is>
          <t>Stripe</t>
        </is>
      </c>
      <c r="E439" s="1351" t="n">
        <v>100</v>
      </c>
      <c r="F439" s="1349" t="inlineStr">
        <is>
          <t>Mentoring Subs</t>
        </is>
      </c>
      <c r="G439" s="1349" t="inlineStr">
        <is>
          <t>Existing</t>
        </is>
      </c>
      <c r="I439" t="inlineStr">
        <is>
          <t>Mentoring - Monthly Subscription</t>
        </is>
      </c>
      <c r="J439" t="inlineStr">
        <is>
          <t>https://www.alanranger.com/photography-mentoring-online-assignments</t>
        </is>
      </c>
    </row>
    <row r="440" ht="13.5" customHeight="1" s="1232">
      <c r="A440" s="1348" t="n"/>
      <c r="B440" s="1349" t="n"/>
      <c r="C440" s="1350" t="n"/>
      <c r="D440" s="1349" t="n"/>
      <c r="E440" s="1351" t="n"/>
      <c r="F440" s="1349" t="n"/>
      <c r="G440" s="1349" t="n"/>
    </row>
    <row r="441" ht="13.5" customHeight="1" s="1232">
      <c r="A441" s="1348" t="n">
        <v>45346</v>
      </c>
      <c r="B441" s="1349" t="inlineStr">
        <is>
          <t>Martyn Alberry</t>
        </is>
      </c>
      <c r="C441" s="1350" t="inlineStr">
        <is>
          <t>6. Mentoring</t>
        </is>
      </c>
      <c r="D441" s="1349" t="inlineStr">
        <is>
          <t>Stripe</t>
        </is>
      </c>
      <c r="E441" s="1351" t="n">
        <v>20</v>
      </c>
      <c r="F441" s="1349" t="inlineStr">
        <is>
          <t>Mentoring Subs</t>
        </is>
      </c>
      <c r="G441" s="1349" t="inlineStr">
        <is>
          <t>Google</t>
        </is>
      </c>
      <c r="I441" t="inlineStr">
        <is>
          <t>Mentoring - Monthly Subscription</t>
        </is>
      </c>
      <c r="J441" t="inlineStr">
        <is>
          <t>https://www.alanranger.com/photography-mentoring-online-assignments</t>
        </is>
      </c>
    </row>
    <row r="442" ht="13.5" customHeight="1" s="1232">
      <c r="A442" s="1348" t="n">
        <v>45349</v>
      </c>
      <c r="B442" s="1349" t="inlineStr">
        <is>
          <t>Ian Slater</t>
        </is>
      </c>
      <c r="C442" s="1350" t="inlineStr">
        <is>
          <t>2. Workshops Non Residential</t>
        </is>
      </c>
      <c r="D442" s="1349" t="inlineStr">
        <is>
          <t>Stripe</t>
        </is>
      </c>
      <c r="E442" s="1351" t="n">
        <v>95</v>
      </c>
      <c r="F442" s="1349" t="inlineStr">
        <is>
          <t>Fairy Glen</t>
        </is>
      </c>
      <c r="G442" s="1349" t="inlineStr">
        <is>
          <t>Existing</t>
        </is>
      </c>
      <c r="I442" t="inlineStr">
        <is>
          <t>FAIRY GLEN and Fairy Falls Long Exposure Photography</t>
        </is>
      </c>
      <c r="J442" t="inlineStr">
        <is>
          <t>https://www.alanranger.com/landscape-photography-workshops</t>
        </is>
      </c>
    </row>
    <row r="443" ht="13.5" customHeight="1" s="1232">
      <c r="A443" s="1348" t="n">
        <v>45348</v>
      </c>
      <c r="B443" s="1349" t="inlineStr">
        <is>
          <t>johanna stansfield</t>
        </is>
      </c>
      <c r="C443" s="1350" t="inlineStr">
        <is>
          <t>2. Workshops Non Residential</t>
        </is>
      </c>
      <c r="D443" s="1349" t="inlineStr">
        <is>
          <t>Stripe</t>
        </is>
      </c>
      <c r="E443" s="1351" t="n">
        <v>50</v>
      </c>
      <c r="F443" s="1349" t="inlineStr">
        <is>
          <t>LE Kenilworth</t>
        </is>
      </c>
      <c r="G443" s="1349" t="inlineStr">
        <is>
          <t>Existing</t>
        </is>
      </c>
      <c r="I443" t="inlineStr">
        <is>
          <t>Long Exposure Photography Workshop KENILWORTH Sunset</t>
        </is>
      </c>
      <c r="J443" t="inlineStr">
        <is>
          <t>https://www.alanranger.com/landscape-photography-workshops</t>
        </is>
      </c>
    </row>
    <row r="444" ht="13.5" customHeight="1" s="1232">
      <c r="A444" s="1348" t="n">
        <v>45348</v>
      </c>
      <c r="B444" s="1349" t="inlineStr">
        <is>
          <t>Jeremy Troth</t>
        </is>
      </c>
      <c r="C444" s="1350" t="inlineStr">
        <is>
          <t>2. Workshops Non Residential</t>
        </is>
      </c>
      <c r="D444" s="1349" t="inlineStr">
        <is>
          <t>Stripe</t>
        </is>
      </c>
      <c r="E444" s="1351" t="n">
        <v>9.949999999999999</v>
      </c>
      <c r="F444" s="1349" t="inlineStr">
        <is>
          <t>Woodland Walk</t>
        </is>
      </c>
      <c r="G444" s="1349" t="inlineStr">
        <is>
          <t>Existing</t>
        </is>
      </c>
      <c r="I444" t="inlineStr">
        <is>
          <t>Woodland Photography Walk - Warwickshire (half-day low-cost)</t>
        </is>
      </c>
      <c r="J444" t="inlineStr">
        <is>
          <t>https://www.alanranger.com/landscape-photography-workshops</t>
        </is>
      </c>
    </row>
    <row r="445" ht="13.5" customHeight="1" s="1232">
      <c r="A445" s="1348" t="n">
        <v>45347</v>
      </c>
      <c r="B445" s="1349" t="inlineStr">
        <is>
          <t>Andrada Cirlan</t>
        </is>
      </c>
      <c r="C445" s="1350" t="inlineStr">
        <is>
          <t>6. Mentoring</t>
        </is>
      </c>
      <c r="D445" s="1349" t="inlineStr">
        <is>
          <t>Stripe</t>
        </is>
      </c>
      <c r="E445" s="1351" t="n">
        <v>20</v>
      </c>
      <c r="F445" s="1349" t="inlineStr">
        <is>
          <t>Monthly Mentoring</t>
        </is>
      </c>
      <c r="G445" s="1349" t="inlineStr">
        <is>
          <t>Google</t>
        </is>
      </c>
      <c r="I445" t="inlineStr">
        <is>
          <t>Mentoring - Monthly Subscription</t>
        </is>
      </c>
      <c r="J445" t="inlineStr">
        <is>
          <t>https://www.alanranger.com/photography-mentoring-online-assignments</t>
        </is>
      </c>
    </row>
    <row r="446" ht="13.5" customHeight="1" s="1232">
      <c r="A446" s="1348" t="n">
        <v>45345</v>
      </c>
      <c r="B446" s="1349" t="inlineStr">
        <is>
          <t>Louise Manning</t>
        </is>
      </c>
      <c r="C446" s="1350" t="inlineStr">
        <is>
          <t>2. Workshops Non Residential</t>
        </is>
      </c>
      <c r="D446" s="1349" t="inlineStr">
        <is>
          <t>PayPal</t>
        </is>
      </c>
      <c r="E446" s="1351" t="n">
        <v>120</v>
      </c>
      <c r="F446" s="1349" t="inlineStr">
        <is>
          <t>Macro</t>
        </is>
      </c>
      <c r="G446" s="1349" t="inlineStr">
        <is>
          <t>Google</t>
        </is>
      </c>
      <c r="I446" t="inlineStr">
        <is>
          <t>MACRO Photography Workshops Warwickshire - Various</t>
        </is>
      </c>
      <c r="J446" t="inlineStr">
        <is>
          <t>https://www.alanranger.com/landscape-photography-workshops</t>
        </is>
      </c>
    </row>
    <row r="447" ht="13.5" customHeight="1" s="1232">
      <c r="A447" s="1348" t="n">
        <v>45345</v>
      </c>
      <c r="B447" s="1349" t="inlineStr">
        <is>
          <t xml:space="preserve">Damien McCloud </t>
        </is>
      </c>
      <c r="C447" s="1350" t="inlineStr">
        <is>
          <t>3. Workshops Residential</t>
        </is>
      </c>
      <c r="D447" s="1349" t="inlineStr">
        <is>
          <t>Bank</t>
        </is>
      </c>
      <c r="E447" s="1351" t="n">
        <v>580</v>
      </c>
      <c r="F447" s="1349" t="inlineStr">
        <is>
          <t>Dorset</t>
        </is>
      </c>
      <c r="G447" s="1349" t="inlineStr">
        <is>
          <t>Into the Blue</t>
        </is>
      </c>
      <c r="I447" t="inlineStr">
        <is>
          <t>DORSET Landscape Photography Workshop Purbeck 25 - 27 Sep</t>
        </is>
      </c>
      <c r="J447" t="inlineStr">
        <is>
          <t>https://www.alanranger.com/photography-workshops</t>
        </is>
      </c>
    </row>
    <row r="448" ht="13.5" customHeight="1" s="1232">
      <c r="A448" s="1348" t="n">
        <v>45344</v>
      </c>
      <c r="B448" s="1349" t="inlineStr">
        <is>
          <t>Emoke Ispan</t>
        </is>
      </c>
      <c r="C448" s="1350" t="inlineStr">
        <is>
          <t>5. Pick n Mix Out</t>
        </is>
      </c>
      <c r="D448" s="1349" t="inlineStr">
        <is>
          <t>PicknMix</t>
        </is>
      </c>
      <c r="E448" s="1351" t="n">
        <v>-85.5</v>
      </c>
      <c r="F448" s="1349" t="inlineStr">
        <is>
          <t>Burnham</t>
        </is>
      </c>
      <c r="G448" s="1349" t="inlineStr">
        <is>
          <t>Existing</t>
        </is>
      </c>
      <c r="I448" t="inlineStr">
        <is>
          <t>Voucher/Plan Redemption - not a product sale</t>
        </is>
      </c>
      <c r="J448" t="inlineStr"/>
    </row>
    <row r="449" ht="13.5" customHeight="1" s="1232">
      <c r="A449" s="1348" t="n">
        <v>45344</v>
      </c>
      <c r="B449" s="1349" t="inlineStr">
        <is>
          <t>Emoke Ispan</t>
        </is>
      </c>
      <c r="C449" s="1350" t="inlineStr">
        <is>
          <t>2. Workshops Non Residential</t>
        </is>
      </c>
      <c r="D449" s="1349" t="inlineStr">
        <is>
          <t>PicknMix</t>
        </is>
      </c>
      <c r="E449" s="1351" t="n">
        <v>85.5</v>
      </c>
      <c r="F449" s="1349" t="inlineStr">
        <is>
          <t>Burnham</t>
        </is>
      </c>
      <c r="G449" s="1349" t="inlineStr">
        <is>
          <t>Existing</t>
        </is>
      </c>
      <c r="I449" t="inlineStr">
        <is>
          <t>BURNHAM ON SEA Long Exposure Photography Workshop 1 Aug</t>
        </is>
      </c>
      <c r="J449" t="inlineStr">
        <is>
          <t>https://www.alanranger.com/landscape-photography-workshops</t>
        </is>
      </c>
    </row>
    <row r="450" ht="13.5" customHeight="1" s="1232">
      <c r="A450" s="1348" t="n">
        <v>45344</v>
      </c>
      <c r="B450" s="1349" t="inlineStr">
        <is>
          <t>Emoke Ispan</t>
        </is>
      </c>
      <c r="C450" s="1350" t="inlineStr">
        <is>
          <t>5. Pick n Mix Out</t>
        </is>
      </c>
      <c r="D450" s="1349" t="inlineStr">
        <is>
          <t>PicknMix</t>
        </is>
      </c>
      <c r="E450" s="1351" t="n">
        <v>-50</v>
      </c>
      <c r="F450" s="1349" t="inlineStr">
        <is>
          <t>Urban</t>
        </is>
      </c>
      <c r="G450" s="1349" t="inlineStr">
        <is>
          <t>Existing</t>
        </is>
      </c>
      <c r="I450" t="inlineStr">
        <is>
          <t>Voucher/Plan Redemption - not a product sale</t>
        </is>
      </c>
      <c r="J450" t="inlineStr"/>
    </row>
    <row r="451" ht="13.5" customHeight="1" s="1232">
      <c r="A451" s="1348" t="n">
        <v>45344</v>
      </c>
      <c r="B451" s="1349" t="inlineStr">
        <is>
          <t>Emoke Ispan</t>
        </is>
      </c>
      <c r="C451" s="1350" t="inlineStr">
        <is>
          <t>2. Workshops Non Residential</t>
        </is>
      </c>
      <c r="D451" s="1349" t="inlineStr">
        <is>
          <t>PicknMix</t>
        </is>
      </c>
      <c r="E451" s="1351" t="n">
        <v>50</v>
      </c>
      <c r="F451" s="1349" t="inlineStr">
        <is>
          <t>Urban</t>
        </is>
      </c>
      <c r="G451" s="1349" t="inlineStr">
        <is>
          <t>Existing</t>
        </is>
      </c>
      <c r="I451" t="inlineStr">
        <is>
          <t>URBAN ARCHITECTURE Photography Workshops - Coventry 9 Sep</t>
        </is>
      </c>
      <c r="J451" t="inlineStr">
        <is>
          <t>https://www.alanranger.com/landscape-photography-workshops</t>
        </is>
      </c>
    </row>
    <row r="452" ht="13.5" customHeight="1" s="1232">
      <c r="A452" s="1348" t="n">
        <v>45344</v>
      </c>
      <c r="B452" s="1349" t="inlineStr">
        <is>
          <t>Emoke Ispan</t>
        </is>
      </c>
      <c r="C452" s="1350" t="inlineStr">
        <is>
          <t>5. Pick n Mix Out</t>
        </is>
      </c>
      <c r="D452" s="1349" t="inlineStr">
        <is>
          <t>PicknMix</t>
        </is>
      </c>
      <c r="E452" s="1351" t="n">
        <v>-99</v>
      </c>
      <c r="F452" s="1349" t="inlineStr">
        <is>
          <t>Bluebells</t>
        </is>
      </c>
      <c r="G452" s="1349" t="inlineStr">
        <is>
          <t>Existing</t>
        </is>
      </c>
      <c r="I452" t="inlineStr">
        <is>
          <t>Voucher/Plan Redemption - not a product sale</t>
        </is>
      </c>
      <c r="J452" t="inlineStr"/>
    </row>
    <row r="453" ht="13.5" customHeight="1" s="1232">
      <c r="A453" s="1348" t="n">
        <v>45344</v>
      </c>
      <c r="B453" s="1349" t="inlineStr">
        <is>
          <t>Emoke Ispan</t>
        </is>
      </c>
      <c r="C453" s="1350" t="inlineStr">
        <is>
          <t>2. Workshops Non Residential</t>
        </is>
      </c>
      <c r="D453" s="1349" t="inlineStr">
        <is>
          <t>PicknMix</t>
        </is>
      </c>
      <c r="E453" s="1351" t="n">
        <v>99</v>
      </c>
      <c r="F453" s="1349" t="inlineStr">
        <is>
          <t>Bluebells</t>
        </is>
      </c>
      <c r="G453" s="1349" t="inlineStr">
        <is>
          <t>Existing</t>
        </is>
      </c>
      <c r="I453" t="inlineStr">
        <is>
          <t>BLUEBELL WOODLANDS Photography - Warks - 20 Apr- 30 Apr</t>
        </is>
      </c>
      <c r="J453" t="inlineStr">
        <is>
          <t>https://www.alanranger.com/one-day-landscape-photography-workshops</t>
        </is>
      </c>
    </row>
    <row r="454" ht="13.5" customHeight="1" s="1232">
      <c r="A454" s="1348" t="n">
        <v>45344</v>
      </c>
      <c r="B454" s="1349" t="inlineStr">
        <is>
          <t>Alison Whitehead</t>
        </is>
      </c>
      <c r="C454" s="1350" t="inlineStr">
        <is>
          <t>7. 1-2-1</t>
        </is>
      </c>
      <c r="D454" s="1349" t="inlineStr">
        <is>
          <t>Stripe</t>
        </is>
      </c>
      <c r="E454" s="1351" t="n">
        <v>120</v>
      </c>
      <c r="F454" s="1349" t="inlineStr">
        <is>
          <t>2hr 1-2-1</t>
        </is>
      </c>
      <c r="G454" s="1349" t="inlineStr">
        <is>
          <t>Google</t>
        </is>
      </c>
      <c r="I454" t="inlineStr">
        <is>
          <t>1-2-1 Single Session - 2hr (Face-to-Face)</t>
        </is>
      </c>
      <c r="J454" t="inlineStr">
        <is>
          <t>https://www.alanranger.com/private-photography-lessons</t>
        </is>
      </c>
    </row>
    <row r="455" ht="13.5" customHeight="1" s="1232">
      <c r="A455" s="1348" t="n">
        <v>45338</v>
      </c>
      <c r="B455" s="1349" t="inlineStr">
        <is>
          <t>Adam Hudson</t>
        </is>
      </c>
      <c r="C455" s="1350" t="inlineStr">
        <is>
          <t>2. Workshops Non Residential</t>
        </is>
      </c>
      <c r="D455" s="1349" t="inlineStr">
        <is>
          <t>Gift Voucher Out</t>
        </is>
      </c>
      <c r="E455" s="1351" t="n">
        <v>50</v>
      </c>
      <c r="F455" s="1349" t="inlineStr">
        <is>
          <t>LE Kenilworth</t>
        </is>
      </c>
      <c r="G455" s="1349" t="inlineStr">
        <is>
          <t>Google</t>
        </is>
      </c>
      <c r="I455" t="inlineStr">
        <is>
          <t>Long Exposure Photography Workshop KENILWORTH Sunset</t>
        </is>
      </c>
      <c r="J455" t="inlineStr">
        <is>
          <t>https://www.alanranger.com/landscape-photography-workshops</t>
        </is>
      </c>
    </row>
    <row r="456" ht="13.5" customHeight="1" s="1232">
      <c r="A456" s="1348" t="n">
        <v>45338</v>
      </c>
      <c r="B456" s="1349" t="inlineStr">
        <is>
          <t>Adam Hudson</t>
        </is>
      </c>
      <c r="C456" s="1350" t="inlineStr">
        <is>
          <t>9. Gift Vouchers Out</t>
        </is>
      </c>
      <c r="D456" s="1349" t="inlineStr">
        <is>
          <t>Gift Voucher Out</t>
        </is>
      </c>
      <c r="E456" s="1351" t="n">
        <v>-50</v>
      </c>
      <c r="F456" s="1349" t="inlineStr">
        <is>
          <t>LE Kenilworth</t>
        </is>
      </c>
      <c r="G456" s="1349" t="inlineStr">
        <is>
          <t>Google</t>
        </is>
      </c>
      <c r="I456" t="inlineStr">
        <is>
          <t>Voucher/Plan Redemption - not a product sale</t>
        </is>
      </c>
      <c r="J456" t="inlineStr"/>
    </row>
    <row r="457" ht="13.5" customHeight="1" s="1232">
      <c r="A457" s="1348" t="n">
        <v>45341</v>
      </c>
      <c r="B457" s="1349" t="inlineStr">
        <is>
          <t>Helen Brattan</t>
        </is>
      </c>
      <c r="C457" s="1350" t="inlineStr">
        <is>
          <t>2. Workshops Non Residential</t>
        </is>
      </c>
      <c r="D457" s="1349" t="inlineStr">
        <is>
          <t>Stripe</t>
        </is>
      </c>
      <c r="E457" s="1351" t="n">
        <v>65</v>
      </c>
      <c r="F457" s="1349" t="inlineStr">
        <is>
          <t>Woodland Masterclass</t>
        </is>
      </c>
      <c r="G457" s="1349" t="inlineStr">
        <is>
          <t>Google</t>
        </is>
      </c>
      <c r="I457" t="inlineStr">
        <is>
          <t>The Secret of WOODLAND PHOTOGRAPHY- 1-Day Jan, Apr, Aug, Oct</t>
        </is>
      </c>
      <c r="J457" t="inlineStr">
        <is>
          <t>https://www.alanranger.com/one-day-landscape-photography-workshops</t>
        </is>
      </c>
    </row>
    <row r="458" ht="13.5" customHeight="1" s="1232">
      <c r="A458" s="1348" t="n">
        <v>45341</v>
      </c>
      <c r="B458" s="1349" t="inlineStr">
        <is>
          <t>Helen Brattan</t>
        </is>
      </c>
      <c r="C458" s="1350" t="inlineStr">
        <is>
          <t>2. Workshops Non Residential</t>
        </is>
      </c>
      <c r="D458" s="1349" t="inlineStr">
        <is>
          <t>Gift Voucher Out</t>
        </is>
      </c>
      <c r="E458" s="1351" t="n">
        <v>60</v>
      </c>
      <c r="F458" s="1349" t="inlineStr">
        <is>
          <t>Woodland Masterclass</t>
        </is>
      </c>
      <c r="G458" s="1349" t="inlineStr">
        <is>
          <t>Google</t>
        </is>
      </c>
      <c r="I458" t="inlineStr">
        <is>
          <t>The Secret of WOODLAND PHOTOGRAPHY- 1-Day Jan, Apr, Aug, Oct</t>
        </is>
      </c>
      <c r="J458" t="inlineStr">
        <is>
          <t>https://www.alanranger.com/one-day-landscape-photography-workshops</t>
        </is>
      </c>
    </row>
    <row r="459" ht="13.5" customHeight="1" s="1232">
      <c r="A459" s="1348" t="n">
        <v>45341</v>
      </c>
      <c r="B459" s="1349" t="inlineStr">
        <is>
          <t>Helen Brattan</t>
        </is>
      </c>
      <c r="C459" s="1350" t="inlineStr">
        <is>
          <t>9. Gift Vouchers Out</t>
        </is>
      </c>
      <c r="D459" s="1349" t="inlineStr">
        <is>
          <t>Gift Voucher Out</t>
        </is>
      </c>
      <c r="E459" s="1351" t="n">
        <v>-60</v>
      </c>
      <c r="F459" s="1349" t="inlineStr">
        <is>
          <t>Woodland Masterclass</t>
        </is>
      </c>
      <c r="G459" s="1349" t="inlineStr">
        <is>
          <t>Google</t>
        </is>
      </c>
      <c r="I459" t="inlineStr">
        <is>
          <t>Voucher/Plan Redemption - not a product sale</t>
        </is>
      </c>
      <c r="J459" t="inlineStr"/>
    </row>
    <row r="460" ht="13.5" customHeight="1" s="1232">
      <c r="A460" s="1348" t="n">
        <v>45337</v>
      </c>
      <c r="B460" s="1349" t="inlineStr">
        <is>
          <t>Angelika Schneider</t>
        </is>
      </c>
      <c r="C460" s="1350" t="inlineStr">
        <is>
          <t>2. Workshops Non Residential</t>
        </is>
      </c>
      <c r="D460" s="1349" t="inlineStr">
        <is>
          <t>Stripe</t>
        </is>
      </c>
      <c r="E460" s="1351" t="n">
        <v>9.949999999999999</v>
      </c>
      <c r="F460" s="1349" t="inlineStr">
        <is>
          <t>Woodland Walk</t>
        </is>
      </c>
      <c r="G460" s="1349" t="inlineStr">
        <is>
          <t>Existing</t>
        </is>
      </c>
      <c r="I460" t="inlineStr">
        <is>
          <t>Woodland Photography Walk - Warwickshire (half-day low-cost)</t>
        </is>
      </c>
      <c r="J460" t="inlineStr">
        <is>
          <t>https://www.alanranger.com/landscape-photography-workshops</t>
        </is>
      </c>
    </row>
    <row r="461" ht="13.5" customHeight="1" s="1232">
      <c r="A461" s="1348" t="n">
        <v>45337</v>
      </c>
      <c r="B461" s="1349" t="inlineStr">
        <is>
          <t>The Heart of a Garden</t>
        </is>
      </c>
      <c r="C461" s="1350" t="inlineStr">
        <is>
          <t>10. Prints &amp; Royalties</t>
        </is>
      </c>
      <c r="D461" s="1349" t="inlineStr">
        <is>
          <t>Bank</t>
        </is>
      </c>
      <c r="E461" s="1351" t="n">
        <v>115.68</v>
      </c>
      <c r="F461" s="1349" t="inlineStr">
        <is>
          <t>Cards</t>
        </is>
      </c>
      <c r="G461" s="1349" t="inlineStr">
        <is>
          <t>Other</t>
        </is>
      </c>
      <c r="I461" t="inlineStr">
        <is>
          <t>Print Sale - Generic (historical)</t>
        </is>
      </c>
      <c r="J461" t="inlineStr">
        <is>
          <t>https://www.alanranger.com/fine-art-prints</t>
        </is>
      </c>
    </row>
    <row r="462" ht="13.5" customHeight="1" s="1232">
      <c r="A462" s="1348" t="n">
        <v>45337</v>
      </c>
      <c r="B462" s="1349" t="inlineStr">
        <is>
          <t>Artfully Walls Ltd</t>
        </is>
      </c>
      <c r="C462" s="1350" t="inlineStr">
        <is>
          <t>10. Prints &amp; Royalties</t>
        </is>
      </c>
      <c r="D462" s="1349" t="inlineStr">
        <is>
          <t>PayPal</t>
        </is>
      </c>
      <c r="E462" s="1351" t="n">
        <v>15.52</v>
      </c>
      <c r="F462" s="1349" t="inlineStr">
        <is>
          <t>Prints</t>
        </is>
      </c>
      <c r="G462" s="1349" t="inlineStr">
        <is>
          <t>Artfully Walls</t>
        </is>
      </c>
      <c r="I462" t="inlineStr">
        <is>
          <t>Print Sale - Generic (historical)</t>
        </is>
      </c>
      <c r="J462" t="inlineStr">
        <is>
          <t>https://www.alanranger.com/fine-art-prints</t>
        </is>
      </c>
    </row>
    <row r="463" ht="13.5" customHeight="1" s="1232">
      <c r="A463" s="1348" t="n">
        <v>45337</v>
      </c>
      <c r="B463" s="1349" t="inlineStr">
        <is>
          <t>Steven Butler</t>
        </is>
      </c>
      <c r="C463" s="1350" t="inlineStr">
        <is>
          <t>1. Courses/masterclasses</t>
        </is>
      </c>
      <c r="D463" s="1349" t="inlineStr">
        <is>
          <t>Stripe</t>
        </is>
      </c>
      <c r="E463" s="1351" t="n">
        <v>60</v>
      </c>
      <c r="F463" s="1349" t="inlineStr">
        <is>
          <t>Get Off Auto</t>
        </is>
      </c>
      <c r="G463" s="1349" t="inlineStr">
        <is>
          <t>Google</t>
        </is>
      </c>
      <c r="I463" t="inlineStr">
        <is>
          <t>Get Off Auto Beginners Class (RETIRED)</t>
        </is>
      </c>
      <c r="J463" t="inlineStr">
        <is>
          <t>https://www.alanranger.com/beginners-photography-classes</t>
        </is>
      </c>
    </row>
    <row r="464" ht="13.5" customHeight="1" s="1232">
      <c r="A464" s="1348" t="n">
        <v>45334</v>
      </c>
      <c r="B464" s="1349" t="inlineStr">
        <is>
          <t>Edward Berrill</t>
        </is>
      </c>
      <c r="C464" s="1350" t="inlineStr">
        <is>
          <t>2. Workshops Non Residential</t>
        </is>
      </c>
      <c r="D464" s="1349" t="inlineStr">
        <is>
          <t>Gift Voucher Out</t>
        </is>
      </c>
      <c r="E464" s="1351" t="n">
        <v>99</v>
      </c>
      <c r="F464" s="1349" t="inlineStr">
        <is>
          <t>Bluebells</t>
        </is>
      </c>
      <c r="G464" s="1349" t="inlineStr">
        <is>
          <t>Google</t>
        </is>
      </c>
      <c r="I464" t="inlineStr">
        <is>
          <t>BLUEBELL WOODLANDS Photography - Warks - 20 Apr- 30 Apr</t>
        </is>
      </c>
      <c r="J464" t="inlineStr">
        <is>
          <t>https://www.alanranger.com/one-day-landscape-photography-workshops</t>
        </is>
      </c>
    </row>
    <row r="465" ht="13.5" customHeight="1" s="1232">
      <c r="A465" s="1348" t="n">
        <v>45334</v>
      </c>
      <c r="B465" s="1349" t="inlineStr">
        <is>
          <t>Edward Berrill</t>
        </is>
      </c>
      <c r="C465" s="1350" t="inlineStr">
        <is>
          <t>9. Gift Vouchers Out</t>
        </is>
      </c>
      <c r="D465" s="1349" t="inlineStr">
        <is>
          <t>Gift Voucher Out</t>
        </is>
      </c>
      <c r="E465" s="1351" t="n">
        <v>-99</v>
      </c>
      <c r="F465" s="1349" t="inlineStr">
        <is>
          <t>Bluebells</t>
        </is>
      </c>
      <c r="G465" s="1349" t="inlineStr">
        <is>
          <t>Google</t>
        </is>
      </c>
      <c r="I465" t="inlineStr">
        <is>
          <t>Voucher/Plan Redemption - not a product sale</t>
        </is>
      </c>
      <c r="J465" t="inlineStr"/>
    </row>
    <row r="466" ht="13.5" customHeight="1" s="1232">
      <c r="A466" s="1348" t="n">
        <v>45334</v>
      </c>
      <c r="B466" s="1349" t="inlineStr">
        <is>
          <t>James Evans</t>
        </is>
      </c>
      <c r="C466" s="1350" t="inlineStr">
        <is>
          <t>1. Courses/masterclasses</t>
        </is>
      </c>
      <c r="D466" s="1349" t="inlineStr">
        <is>
          <t>PayPal</t>
        </is>
      </c>
      <c r="E466" s="1351" t="n">
        <v>250</v>
      </c>
      <c r="F466" s="1349" t="inlineStr">
        <is>
          <t>5wk Beginners</t>
        </is>
      </c>
      <c r="G466" s="1349" t="inlineStr">
        <is>
          <t>Google</t>
        </is>
      </c>
      <c r="I466" t="inlineStr">
        <is>
          <t>5 Week Beginners Photography Course (RETIRED format)</t>
        </is>
      </c>
      <c r="J466" t="inlineStr">
        <is>
          <t>https://www.alanranger.com/beginners-photography-classes</t>
        </is>
      </c>
    </row>
    <row r="467" ht="13.5" customHeight="1" s="1232">
      <c r="A467" s="1348" t="n">
        <v>45334</v>
      </c>
      <c r="B467" s="1349" t="inlineStr">
        <is>
          <t>Susan Wallis</t>
        </is>
      </c>
      <c r="C467" s="1350" t="inlineStr">
        <is>
          <t>7. 1-2-1</t>
        </is>
      </c>
      <c r="D467" s="1349" t="inlineStr">
        <is>
          <t>Gift Voucher Out</t>
        </is>
      </c>
      <c r="E467" s="1351" t="n">
        <v>50</v>
      </c>
      <c r="F467" s="1349" t="inlineStr">
        <is>
          <t>Zoom 1hr</t>
        </is>
      </c>
      <c r="G467" s="1349" t="inlineStr">
        <is>
          <t>Existing</t>
        </is>
      </c>
      <c r="I467" t="inlineStr">
        <is>
          <t>1-2-1 Single Session - 1hr Zoom</t>
        </is>
      </c>
      <c r="J467" t="inlineStr">
        <is>
          <t>https://www.alanranger.com/photography-lessons-online-121</t>
        </is>
      </c>
    </row>
    <row r="468" ht="13.5" customHeight="1" s="1232">
      <c r="A468" s="1348" t="n">
        <v>45334</v>
      </c>
      <c r="B468" s="1349" t="inlineStr">
        <is>
          <t>Susan Wallis</t>
        </is>
      </c>
      <c r="C468" s="1350" t="inlineStr">
        <is>
          <t>9. Gift Vouchers Out</t>
        </is>
      </c>
      <c r="D468" s="1349" t="inlineStr">
        <is>
          <t>Gift Voucher Out</t>
        </is>
      </c>
      <c r="E468" s="1351" t="n">
        <v>-50</v>
      </c>
      <c r="F468" s="1349" t="inlineStr">
        <is>
          <t>Zoom 1hr</t>
        </is>
      </c>
      <c r="G468" s="1349" t="inlineStr">
        <is>
          <t>Existing</t>
        </is>
      </c>
      <c r="I468" t="inlineStr">
        <is>
          <t>Voucher/Plan Redemption - not a product sale</t>
        </is>
      </c>
      <c r="J468" t="inlineStr"/>
    </row>
    <row r="469" ht="13.5" customHeight="1" s="1232">
      <c r="A469" s="1348" t="n">
        <v>45331</v>
      </c>
      <c r="B469" s="1349" t="inlineStr">
        <is>
          <t>Jaquell Walker</t>
        </is>
      </c>
      <c r="C469" s="1350" t="inlineStr">
        <is>
          <t>2. Workshops Non Residential</t>
        </is>
      </c>
      <c r="D469" s="1349" t="inlineStr">
        <is>
          <t>Stripe</t>
        </is>
      </c>
      <c r="E469" s="1351" t="n">
        <v>95</v>
      </c>
      <c r="F469" s="1349" t="inlineStr">
        <is>
          <t>Peak District</t>
        </is>
      </c>
      <c r="G469" s="1349" t="inlineStr">
        <is>
          <t>Google</t>
        </is>
      </c>
      <c r="I469" t="inlineStr">
        <is>
          <t>PEAK DISTRICT Photography Workshops - May, Oct and Nov</t>
        </is>
      </c>
      <c r="J469" t="inlineStr">
        <is>
          <t>https://www.alanranger.com/one-day-landscape-photography-workshops</t>
        </is>
      </c>
    </row>
    <row r="470" ht="13.5" customHeight="1" s="1232">
      <c r="A470" s="1348" t="n">
        <v>45331</v>
      </c>
      <c r="B470" s="1349" t="inlineStr">
        <is>
          <t>David Orchard</t>
        </is>
      </c>
      <c r="C470" s="1350" t="inlineStr">
        <is>
          <t>2. Workshops Non Residential</t>
        </is>
      </c>
      <c r="D470" s="1349" t="inlineStr">
        <is>
          <t>Gift Voucher Out</t>
        </is>
      </c>
      <c r="E470" s="1351" t="n">
        <v>99</v>
      </c>
      <c r="F470" s="1349" t="inlineStr">
        <is>
          <t>Bluebells</t>
        </is>
      </c>
      <c r="G470" s="1349" t="inlineStr">
        <is>
          <t>Google</t>
        </is>
      </c>
      <c r="I470" t="inlineStr">
        <is>
          <t>BLUEBELL WOODLANDS Photography - Warks - 20 Apr- 30 Apr</t>
        </is>
      </c>
      <c r="J470" t="inlineStr">
        <is>
          <t>https://www.alanranger.com/one-day-landscape-photography-workshops</t>
        </is>
      </c>
    </row>
    <row r="471" ht="13.5" customHeight="1" s="1232">
      <c r="A471" s="1348" t="n">
        <v>45331</v>
      </c>
      <c r="B471" s="1349" t="inlineStr">
        <is>
          <t>David Orchard</t>
        </is>
      </c>
      <c r="C471" s="1350" t="inlineStr">
        <is>
          <t>9. Gift Vouchers Out</t>
        </is>
      </c>
      <c r="D471" s="1349" t="inlineStr">
        <is>
          <t>Gift Voucher Out</t>
        </is>
      </c>
      <c r="E471" s="1351" t="n">
        <v>-99</v>
      </c>
      <c r="F471" s="1349" t="inlineStr">
        <is>
          <t>Bluebells</t>
        </is>
      </c>
      <c r="G471" s="1349" t="inlineStr">
        <is>
          <t>Google</t>
        </is>
      </c>
      <c r="I471" t="inlineStr">
        <is>
          <t>Voucher/Plan Redemption - not a product sale</t>
        </is>
      </c>
      <c r="J471" t="inlineStr"/>
    </row>
    <row r="472" ht="13.5" customHeight="1" s="1232">
      <c r="A472" s="1348" t="n">
        <v>45331</v>
      </c>
      <c r="B472" s="1349" t="inlineStr">
        <is>
          <t>Jane Harris</t>
        </is>
      </c>
      <c r="C472" s="1350" t="inlineStr">
        <is>
          <t>2. Workshops Non Residential</t>
        </is>
      </c>
      <c r="D472" s="1349" t="inlineStr">
        <is>
          <t>Stripe</t>
        </is>
      </c>
      <c r="E472" s="1351" t="n">
        <v>198</v>
      </c>
      <c r="F472" s="1349" t="inlineStr">
        <is>
          <t>Bluebells</t>
        </is>
      </c>
      <c r="G472" s="1349" t="inlineStr">
        <is>
          <t>Google</t>
        </is>
      </c>
      <c r="I472" t="inlineStr">
        <is>
          <t>BLUEBELL WOODLANDS Photography - Warks - 20 Apr- 30 Apr</t>
        </is>
      </c>
      <c r="J472" t="inlineStr">
        <is>
          <t>https://www.alanranger.com/one-day-landscape-photography-workshops</t>
        </is>
      </c>
    </row>
    <row r="473" ht="13.5" customHeight="1" s="1232">
      <c r="A473" s="1348" t="n">
        <v>45330</v>
      </c>
      <c r="B473" s="1349" t="inlineStr">
        <is>
          <t>caroline howell</t>
        </is>
      </c>
      <c r="C473" s="1350" t="inlineStr">
        <is>
          <t>12. Other</t>
        </is>
      </c>
      <c r="D473" s="1349" t="inlineStr">
        <is>
          <t>PayPal</t>
        </is>
      </c>
      <c r="E473" s="1351" t="n">
        <v>25</v>
      </c>
      <c r="F473" s="1349" t="inlineStr">
        <is>
          <t xml:space="preserve">Sensor Clean </t>
        </is>
      </c>
      <c r="G473" s="1349" t="inlineStr">
        <is>
          <t>Google</t>
        </is>
      </c>
      <c r="I473" t="inlineStr">
        <is>
          <t>Sensor Clean Service (historical)</t>
        </is>
      </c>
      <c r="J473" t="inlineStr">
        <is>
          <t>https://www.alanranger.com/photography-shop-services</t>
        </is>
      </c>
    </row>
    <row r="474" ht="13.5" customHeight="1" s="1232">
      <c r="A474" s="1348" t="n">
        <v>45330</v>
      </c>
      <c r="B474" s="1349" t="inlineStr">
        <is>
          <t>Lois Falla</t>
        </is>
      </c>
      <c r="C474" s="1350" t="inlineStr">
        <is>
          <t>8. Gift Vouchers Inc</t>
        </is>
      </c>
      <c r="D474" s="1349" t="inlineStr">
        <is>
          <t>Stripe</t>
        </is>
      </c>
      <c r="E474" s="1351" t="n">
        <v>100</v>
      </c>
      <c r="F474" s="1349" t="inlineStr">
        <is>
          <t>Digital Gift Card</t>
        </is>
      </c>
      <c r="G474" s="1349" t="inlineStr">
        <is>
          <t>Google</t>
        </is>
      </c>
      <c r="I474" t="inlineStr">
        <is>
          <t>Gift Voucher - Digital eCard</t>
        </is>
      </c>
      <c r="J474" t="inlineStr">
        <is>
          <t>https://www.alanranger.com/photography-gift-vouchers</t>
        </is>
      </c>
    </row>
    <row r="475" ht="13.5" customHeight="1" s="1232">
      <c r="A475" s="1348" t="n">
        <v>45326</v>
      </c>
      <c r="B475" s="1349" t="inlineStr">
        <is>
          <t>Kelly Richardson</t>
        </is>
      </c>
      <c r="C475" s="1350" t="inlineStr">
        <is>
          <t>2. Workshops Non Residential</t>
        </is>
      </c>
      <c r="D475" s="1349" t="inlineStr">
        <is>
          <t>PayPal</t>
        </is>
      </c>
      <c r="E475" s="1351" t="n">
        <v>24</v>
      </c>
      <c r="F475" s="1349" t="inlineStr">
        <is>
          <t>Bluebells</t>
        </is>
      </c>
      <c r="G475" s="1349" t="inlineStr">
        <is>
          <t>Existing</t>
        </is>
      </c>
      <c r="I475" t="inlineStr">
        <is>
          <t>BLUEBELL WOODLANDS Photography - Warks - 20 Apr- 30 Apr</t>
        </is>
      </c>
      <c r="J475" t="inlineStr">
        <is>
          <t>https://www.alanranger.com/one-day-landscape-photography-workshops</t>
        </is>
      </c>
    </row>
    <row r="476" ht="13.5" customHeight="1" s="1232">
      <c r="A476" s="1348" t="n">
        <v>45326</v>
      </c>
      <c r="B476" s="1349" t="inlineStr">
        <is>
          <t>Cold Caller</t>
        </is>
      </c>
      <c r="C476" s="1350" t="inlineStr">
        <is>
          <t>12. Other</t>
        </is>
      </c>
      <c r="D476" s="1349" t="inlineStr">
        <is>
          <t>Cash</t>
        </is>
      </c>
      <c r="E476" s="1351" t="n">
        <v>80</v>
      </c>
      <c r="F476" s="1349" t="inlineStr">
        <is>
          <t>Sensor Clean x 3</t>
        </is>
      </c>
      <c r="G476" s="1349" t="inlineStr">
        <is>
          <t>Google</t>
        </is>
      </c>
      <c r="I476" t="inlineStr">
        <is>
          <t>Sensor Clean Service (historical)</t>
        </is>
      </c>
      <c r="J476" t="inlineStr">
        <is>
          <t>https://www.alanranger.com/photography-shop-services</t>
        </is>
      </c>
    </row>
    <row r="477" ht="13.5" customHeight="1" s="1232">
      <c r="A477" s="1348" t="n">
        <v>45323</v>
      </c>
      <c r="B477" s="1349" t="inlineStr">
        <is>
          <t>Raisa Zulfiqar</t>
        </is>
      </c>
      <c r="C477" s="1350" t="inlineStr">
        <is>
          <t>8. Gift Vouchers Inc</t>
        </is>
      </c>
      <c r="D477" s="1349" t="inlineStr">
        <is>
          <t>Stripe</t>
        </is>
      </c>
      <c r="E477" s="1351" t="n">
        <v>100</v>
      </c>
      <c r="F477" s="1349" t="inlineStr">
        <is>
          <t>Digital Gift Card</t>
        </is>
      </c>
      <c r="G477" s="1349" t="inlineStr">
        <is>
          <t>Google</t>
        </is>
      </c>
      <c r="I477" t="inlineStr">
        <is>
          <t>Gift Voucher - Digital eCard</t>
        </is>
      </c>
      <c r="J477" t="inlineStr">
        <is>
          <t>https://www.alanranger.com/photography-gift-vouchers</t>
        </is>
      </c>
    </row>
    <row r="478" ht="13.5" customHeight="1" s="1232">
      <c r="A478" s="1348" t="n">
        <v>45323</v>
      </c>
      <c r="B478" s="1349" t="inlineStr">
        <is>
          <t>Elizabeth Louer</t>
        </is>
      </c>
      <c r="C478" s="1350" t="inlineStr">
        <is>
          <t>3. Workshops Residential</t>
        </is>
      </c>
      <c r="D478" s="1349" t="inlineStr">
        <is>
          <t>PayPal</t>
        </is>
      </c>
      <c r="E478" s="1351" t="n">
        <v>795</v>
      </c>
      <c r="F478" s="1349" t="inlineStr">
        <is>
          <t>Dorset</t>
        </is>
      </c>
      <c r="G478" s="1349" t="inlineStr">
        <is>
          <t>Existing</t>
        </is>
      </c>
      <c r="I478" t="inlineStr">
        <is>
          <t>DORSET Landscape Photography Workshop Purbeck 25 - 27 Sep</t>
        </is>
      </c>
      <c r="J478" t="inlineStr">
        <is>
          <t>https://www.alanranger.com/photography-workshops</t>
        </is>
      </c>
    </row>
    <row r="479" ht="13.5" customHeight="1" s="1232">
      <c r="A479" s="1348" t="n">
        <v>45323</v>
      </c>
      <c r="B479" s="1349" t="inlineStr">
        <is>
          <t>Pick n Mix Subs</t>
        </is>
      </c>
      <c r="C479" s="1350" t="inlineStr">
        <is>
          <t>4. Pick n Mix Inc</t>
        </is>
      </c>
      <c r="D479" s="1349" t="inlineStr">
        <is>
          <t>Stripe</t>
        </is>
      </c>
      <c r="E479" s="1351" t="n">
        <v>50</v>
      </c>
      <c r="F479" s="1349" t="inlineStr">
        <is>
          <t>Pick N Mix Payments</t>
        </is>
      </c>
      <c r="G479" s="1349" t="inlineStr">
        <is>
          <t>Existing</t>
        </is>
      </c>
      <c r="I479" t="inlineStr">
        <is>
          <t>Pick N Mix Payment Plan</t>
        </is>
      </c>
      <c r="J479" t="inlineStr">
        <is>
          <t>https://www.alanranger.com/photography-payment-plan</t>
        </is>
      </c>
    </row>
    <row r="480" ht="13.5" customHeight="1" s="1232">
      <c r="A480" s="1348" t="n">
        <v>45323</v>
      </c>
      <c r="B480" s="1349" t="inlineStr">
        <is>
          <t>Mentoring Subs</t>
        </is>
      </c>
      <c r="C480" s="1350" t="inlineStr">
        <is>
          <t>6. Mentoring</t>
        </is>
      </c>
      <c r="D480" s="1349" t="inlineStr">
        <is>
          <t>Stripe</t>
        </is>
      </c>
      <c r="E480" s="1351" t="n">
        <v>80</v>
      </c>
      <c r="F480" s="1349" t="inlineStr">
        <is>
          <t>Mentoring Subs</t>
        </is>
      </c>
      <c r="G480" s="1349" t="inlineStr">
        <is>
          <t>Existing</t>
        </is>
      </c>
      <c r="I480" t="inlineStr">
        <is>
          <t>Mentoring - Monthly Subscription</t>
        </is>
      </c>
      <c r="J480" t="inlineStr">
        <is>
          <t>https://www.alanranger.com/photography-mentoring-online-assignments</t>
        </is>
      </c>
    </row>
    <row r="481" ht="13.5" customHeight="1" s="1232">
      <c r="A481" s="1348" t="n"/>
      <c r="B481" s="1349" t="n"/>
      <c r="C481" s="1350" t="n"/>
      <c r="D481" s="1349" t="n"/>
      <c r="E481" s="1351" t="n"/>
      <c r="F481" s="1349" t="n"/>
      <c r="G481" s="1349" t="n"/>
    </row>
    <row r="482" ht="13.5" customHeight="1" s="1232">
      <c r="A482" s="1348" t="n">
        <v>45320</v>
      </c>
      <c r="B482" s="1349" t="inlineStr">
        <is>
          <t>Andrada Cirlan</t>
        </is>
      </c>
      <c r="C482" s="1350" t="inlineStr">
        <is>
          <t>6. Mentoring</t>
        </is>
      </c>
      <c r="D482" s="1349" t="inlineStr">
        <is>
          <t>Stripe</t>
        </is>
      </c>
      <c r="E482" s="1351" t="n">
        <v>20</v>
      </c>
      <c r="F482" s="1349" t="inlineStr">
        <is>
          <t>Monthly Mentoring</t>
        </is>
      </c>
      <c r="G482" s="1349" t="inlineStr">
        <is>
          <t>Google</t>
        </is>
      </c>
      <c r="I482" t="inlineStr">
        <is>
          <t>Mentoring - Monthly Subscription</t>
        </is>
      </c>
      <c r="J482" t="inlineStr">
        <is>
          <t>https://www.alanranger.com/photography-mentoring-online-assignments</t>
        </is>
      </c>
    </row>
    <row r="483" ht="13.5" customHeight="1" s="1232">
      <c r="A483" s="1348" t="n">
        <v>45313</v>
      </c>
      <c r="B483" s="1349" t="inlineStr">
        <is>
          <t>Elizabeth Wiedenheft</t>
        </is>
      </c>
      <c r="C483" s="1350" t="inlineStr">
        <is>
          <t>8. Gift Vouchers Inc</t>
        </is>
      </c>
      <c r="D483" s="1349" t="inlineStr">
        <is>
          <t>Stripe</t>
        </is>
      </c>
      <c r="E483" s="1351" t="n">
        <v>100</v>
      </c>
      <c r="F483" s="1349" t="inlineStr">
        <is>
          <t>Digital Gift Card</t>
        </is>
      </c>
      <c r="G483" s="1349" t="inlineStr">
        <is>
          <t>Google</t>
        </is>
      </c>
      <c r="I483" t="inlineStr">
        <is>
          <t>Gift Voucher - Digital eCard</t>
        </is>
      </c>
      <c r="J483" t="inlineStr">
        <is>
          <t>https://www.alanranger.com/photography-gift-vouchers</t>
        </is>
      </c>
    </row>
    <row r="484" ht="13.5" customHeight="1" s="1232">
      <c r="A484" s="1348" t="n">
        <v>45306</v>
      </c>
      <c r="B484" s="1349" t="inlineStr">
        <is>
          <t>Angelika Schneider</t>
        </is>
      </c>
      <c r="C484" s="1350" t="inlineStr">
        <is>
          <t>2. Workshops Non Residential</t>
        </is>
      </c>
      <c r="D484" s="1349" t="inlineStr">
        <is>
          <t>Stripe</t>
        </is>
      </c>
      <c r="E484" s="1351" t="n">
        <v>125</v>
      </c>
      <c r="F484" s="1349" t="inlineStr">
        <is>
          <t>Woodland Masterclass</t>
        </is>
      </c>
      <c r="G484" s="1349" t="inlineStr">
        <is>
          <t>Google</t>
        </is>
      </c>
      <c r="I484" t="inlineStr">
        <is>
          <t>The Secret of WOODLAND PHOTOGRAPHY- 1-Day Jan, Apr, Aug, Oct</t>
        </is>
      </c>
      <c r="J484" t="inlineStr">
        <is>
          <t>https://www.alanranger.com/one-day-landscape-photography-workshops</t>
        </is>
      </c>
    </row>
    <row r="485" ht="13.5" customHeight="1" s="1232">
      <c r="A485" s="1348" t="n">
        <v>45306</v>
      </c>
      <c r="B485" s="1349" t="inlineStr">
        <is>
          <t>Ian Pocock</t>
        </is>
      </c>
      <c r="C485" s="1350" t="inlineStr">
        <is>
          <t>2. Workshops Non Residential</t>
        </is>
      </c>
      <c r="D485" s="1349" t="inlineStr">
        <is>
          <t>Gift Voucher Out</t>
        </is>
      </c>
      <c r="E485" s="1351" t="n">
        <v>150</v>
      </c>
      <c r="F485" s="1349" t="inlineStr">
        <is>
          <t>Peak District</t>
        </is>
      </c>
      <c r="G485" s="1349" t="inlineStr">
        <is>
          <t>Google</t>
        </is>
      </c>
      <c r="I485" t="inlineStr">
        <is>
          <t>PEAK DISTRICT Photography Workshops - May, Oct and Nov</t>
        </is>
      </c>
      <c r="J485" t="inlineStr">
        <is>
          <t>https://www.alanranger.com/one-day-landscape-photography-workshops</t>
        </is>
      </c>
    </row>
    <row r="486" ht="13.5" customHeight="1" s="1232">
      <c r="A486" s="1348" t="n">
        <v>45306</v>
      </c>
      <c r="B486" s="1349" t="inlineStr">
        <is>
          <t>Ian Pocock</t>
        </is>
      </c>
      <c r="C486" s="1350" t="inlineStr">
        <is>
          <t>9. Gift Vouchers Out</t>
        </is>
      </c>
      <c r="D486" s="1349" t="inlineStr">
        <is>
          <t>Gift Voucher Out</t>
        </is>
      </c>
      <c r="E486" s="1351" t="n">
        <v>-150</v>
      </c>
      <c r="F486" s="1349" t="inlineStr">
        <is>
          <t>Peak District</t>
        </is>
      </c>
      <c r="G486" s="1349" t="inlineStr">
        <is>
          <t>Google</t>
        </is>
      </c>
      <c r="I486" t="inlineStr">
        <is>
          <t>Voucher/Plan Redemption - not a product sale</t>
        </is>
      </c>
      <c r="J486" t="inlineStr"/>
    </row>
    <row r="487" ht="13.5" customHeight="1" s="1232">
      <c r="A487" s="1348" t="n">
        <v>45303</v>
      </c>
      <c r="B487" s="1349" t="inlineStr">
        <is>
          <t>mike murphy</t>
        </is>
      </c>
      <c r="C487" s="1350" t="inlineStr">
        <is>
          <t>12. Other</t>
        </is>
      </c>
      <c r="D487" s="1349" t="inlineStr">
        <is>
          <t>PayPal</t>
        </is>
      </c>
      <c r="E487" s="1351" t="n">
        <v>5</v>
      </c>
      <c r="F487" s="1349" t="inlineStr">
        <is>
          <t>Pocket Guides</t>
        </is>
      </c>
      <c r="G487" s="1349" t="inlineStr">
        <is>
          <t>Google</t>
        </is>
      </c>
      <c r="I487" t="inlineStr">
        <is>
          <t>Print Sale - Generic (historical)</t>
        </is>
      </c>
      <c r="J487" t="inlineStr">
        <is>
          <t>https://www.alanranger.com/fine-art-prints</t>
        </is>
      </c>
    </row>
    <row r="488" ht="13.5" customHeight="1" s="1232">
      <c r="A488" s="1348" t="n">
        <v>45302</v>
      </c>
      <c r="B488" s="1349" t="inlineStr">
        <is>
          <t>Linda Newbery</t>
        </is>
      </c>
      <c r="C488" s="1350" t="inlineStr">
        <is>
          <t>2. Workshops Non Residential</t>
        </is>
      </c>
      <c r="D488" s="1349" t="inlineStr">
        <is>
          <t>Stripe</t>
        </is>
      </c>
      <c r="E488" s="1351" t="n">
        <v>50</v>
      </c>
      <c r="F488" s="1349" t="inlineStr">
        <is>
          <t>Urban Architecture</t>
        </is>
      </c>
      <c r="G488" s="1349" t="inlineStr">
        <is>
          <t>Existing</t>
        </is>
      </c>
      <c r="I488" t="inlineStr">
        <is>
          <t>URBAN ARCHITECTURE Photography Workshops - Coventry 9 Sep</t>
        </is>
      </c>
      <c r="J488" t="inlineStr">
        <is>
          <t>https://www.alanranger.com/landscape-photography-workshops</t>
        </is>
      </c>
    </row>
    <row r="489" ht="13.5" customHeight="1" s="1232">
      <c r="A489" s="1348" t="n">
        <v>45301</v>
      </c>
      <c r="B489" s="1349" t="inlineStr">
        <is>
          <t>Penny Price</t>
        </is>
      </c>
      <c r="C489" s="1350" t="inlineStr">
        <is>
          <t>1. Courses/masterclasses</t>
        </is>
      </c>
      <c r="D489" s="1349" t="inlineStr">
        <is>
          <t>Stripe</t>
        </is>
      </c>
      <c r="E489" s="1351" t="n">
        <v>250</v>
      </c>
      <c r="F489" s="1349" t="inlineStr">
        <is>
          <t>Beginners Course</t>
        </is>
      </c>
      <c r="G489" s="1349" t="inlineStr">
        <is>
          <t>Google</t>
        </is>
      </c>
      <c r="I489" t="inlineStr">
        <is>
          <t>5 Week Beginners Photography Course (RETIRED format)</t>
        </is>
      </c>
      <c r="J489" t="inlineStr">
        <is>
          <t>https://www.alanranger.com/beginners-photography-classes</t>
        </is>
      </c>
    </row>
    <row r="490" ht="13.5" customHeight="1" s="1232">
      <c r="A490" s="1348" t="n">
        <v>45301</v>
      </c>
      <c r="B490" s="1349" t="inlineStr">
        <is>
          <t>Ken Thomas</t>
        </is>
      </c>
      <c r="C490" s="1350" t="inlineStr">
        <is>
          <t>2. Workshops Non Residential</t>
        </is>
      </c>
      <c r="D490" s="1349" t="inlineStr">
        <is>
          <t>Stripe</t>
        </is>
      </c>
      <c r="E490" s="1351" t="n">
        <v>150</v>
      </c>
      <c r="F490" s="1349" t="inlineStr">
        <is>
          <t>Peak District</t>
        </is>
      </c>
      <c r="G490" s="1349" t="inlineStr">
        <is>
          <t>Google</t>
        </is>
      </c>
      <c r="I490" t="inlineStr">
        <is>
          <t>PEAK DISTRICT Photography Workshops - May, Oct and Nov</t>
        </is>
      </c>
      <c r="J490" t="inlineStr">
        <is>
          <t>https://www.alanranger.com/one-day-landscape-photography-workshops</t>
        </is>
      </c>
    </row>
    <row r="491" ht="13.5" customHeight="1" s="1232">
      <c r="A491" s="1348" t="n">
        <v>45299</v>
      </c>
      <c r="B491" s="1349" t="inlineStr">
        <is>
          <t>Helen Ellis</t>
        </is>
      </c>
      <c r="C491" s="1350" t="inlineStr">
        <is>
          <t>2. Workshops Non Residential</t>
        </is>
      </c>
      <c r="D491" s="1349" t="inlineStr">
        <is>
          <t>Stripe</t>
        </is>
      </c>
      <c r="E491" s="1351" t="n">
        <v>150</v>
      </c>
      <c r="F491" s="1349" t="inlineStr">
        <is>
          <t>Peak District</t>
        </is>
      </c>
      <c r="G491" s="1349" t="inlineStr">
        <is>
          <t>Google</t>
        </is>
      </c>
      <c r="I491" t="inlineStr">
        <is>
          <t>PEAK DISTRICT Photography Workshops - May, Oct and Nov</t>
        </is>
      </c>
      <c r="J491" t="inlineStr">
        <is>
          <t>https://www.alanranger.com/one-day-landscape-photography-workshops</t>
        </is>
      </c>
    </row>
    <row r="492" ht="13.5" customHeight="1" s="1232">
      <c r="A492" s="1348" t="n">
        <v>45299</v>
      </c>
      <c r="B492" s="1349" t="inlineStr">
        <is>
          <t>Ray Phillpot</t>
        </is>
      </c>
      <c r="C492" s="1350" t="inlineStr">
        <is>
          <t>7. 1-2-1</t>
        </is>
      </c>
      <c r="D492" s="1349" t="inlineStr">
        <is>
          <t>Bank</t>
        </is>
      </c>
      <c r="E492" s="1351" t="n">
        <v>120</v>
      </c>
      <c r="F492" s="1349" t="inlineStr">
        <is>
          <t>Batsford</t>
        </is>
      </c>
      <c r="G492" s="1349" t="inlineStr">
        <is>
          <t>Existing</t>
        </is>
      </c>
      <c r="I492" t="inlineStr">
        <is>
          <t>Gift Voucher - Digital eCard</t>
        </is>
      </c>
      <c r="J492" t="inlineStr">
        <is>
          <t>https://www.alanranger.com/photography-gift-vouchers</t>
        </is>
      </c>
    </row>
    <row r="493" ht="13.5" customHeight="1" s="1232">
      <c r="A493" s="1348" t="n">
        <v>45296</v>
      </c>
      <c r="B493" s="1349" t="inlineStr">
        <is>
          <t>Lisa Fitter</t>
        </is>
      </c>
      <c r="C493" s="1350" t="inlineStr">
        <is>
          <t>2. Workshops Non Residential</t>
        </is>
      </c>
      <c r="D493" s="1349" t="inlineStr">
        <is>
          <t>Stripe</t>
        </is>
      </c>
      <c r="E493" s="1351" t="n">
        <v>12</v>
      </c>
      <c r="F493" s="1349" t="inlineStr">
        <is>
          <t>Hay Wood</t>
        </is>
      </c>
      <c r="G493" s="1349" t="inlineStr">
        <is>
          <t>Google</t>
        </is>
      </c>
      <c r="I493" t="inlineStr">
        <is>
          <t>Woodland Photography Walk - Warwickshire (half-day low-cost)</t>
        </is>
      </c>
      <c r="J493" t="inlineStr">
        <is>
          <t>https://www.alanranger.com/landscape-photography-workshops</t>
        </is>
      </c>
    </row>
    <row r="494" ht="13.5" customHeight="1" s="1232">
      <c r="A494" s="1348" t="n">
        <v>45294</v>
      </c>
      <c r="B494" s="1349" t="inlineStr">
        <is>
          <t>Lynette Bowker</t>
        </is>
      </c>
      <c r="C494" s="1350" t="inlineStr">
        <is>
          <t>7. 1-2-1</t>
        </is>
      </c>
      <c r="D494" s="1349" t="inlineStr">
        <is>
          <t>Stripe</t>
        </is>
      </c>
      <c r="E494" s="1351" t="n">
        <v>360</v>
      </c>
      <c r="F494" s="1349" t="inlineStr">
        <is>
          <t>4 x 2hr 1-2-1</t>
        </is>
      </c>
      <c r="G494" s="1349" t="inlineStr">
        <is>
          <t>Google</t>
        </is>
      </c>
      <c r="I494" t="inlineStr">
        <is>
          <t>1-2-1 Package - 4 x 2hr Face-to-Face (the GBP360 4-for-3)</t>
        </is>
      </c>
      <c r="J494" t="inlineStr">
        <is>
          <t>https://www.alanranger.com/private-photography-lessons</t>
        </is>
      </c>
    </row>
    <row r="495" ht="13.5" customHeight="1" s="1232">
      <c r="A495" s="1348" t="n">
        <v>45294</v>
      </c>
      <c r="B495" s="1349" t="inlineStr">
        <is>
          <t>Claire Morris</t>
        </is>
      </c>
      <c r="C495" s="1350" t="inlineStr">
        <is>
          <t>7. 1-2-1</t>
        </is>
      </c>
      <c r="D495" s="1349" t="inlineStr">
        <is>
          <t>Stripe</t>
        </is>
      </c>
      <c r="E495" s="1351" t="n">
        <v>65</v>
      </c>
      <c r="F495" s="1349" t="inlineStr">
        <is>
          <t>1hr 1-2-1 F2F</t>
        </is>
      </c>
      <c r="G495" s="1349" t="inlineStr">
        <is>
          <t>Google</t>
        </is>
      </c>
      <c r="I495" t="inlineStr">
        <is>
          <t>1-2-1 Single Session - 1hr (Face-to-Face)</t>
        </is>
      </c>
      <c r="J495" t="inlineStr">
        <is>
          <t>https://www.alanranger.com/private-photography-lessons</t>
        </is>
      </c>
    </row>
    <row r="496" ht="13.5" customHeight="1" s="1232">
      <c r="A496" s="1348" t="n">
        <v>45294</v>
      </c>
      <c r="B496" s="1349" t="inlineStr">
        <is>
          <t>susan wallis</t>
        </is>
      </c>
      <c r="C496" s="1350" t="inlineStr">
        <is>
          <t>7. 1-2-1</t>
        </is>
      </c>
      <c r="D496" s="1349" t="inlineStr">
        <is>
          <t>Gift Voucher Out</t>
        </is>
      </c>
      <c r="E496" s="1351" t="n">
        <v>50</v>
      </c>
      <c r="F496" s="1349" t="inlineStr">
        <is>
          <t>Zoom 1 Hr</t>
        </is>
      </c>
      <c r="G496" s="1349" t="inlineStr">
        <is>
          <t>Google</t>
        </is>
      </c>
      <c r="I496" t="inlineStr">
        <is>
          <t>1-2-1 Single Session - 1hr Zoom</t>
        </is>
      </c>
      <c r="J496" t="inlineStr">
        <is>
          <t>https://www.alanranger.com/photography-lessons-online-121</t>
        </is>
      </c>
    </row>
    <row r="497" ht="13.5" customHeight="1" s="1232">
      <c r="A497" s="1348" t="n">
        <v>45294</v>
      </c>
      <c r="B497" s="1349" t="inlineStr">
        <is>
          <t>susan wallis</t>
        </is>
      </c>
      <c r="C497" s="1350" t="inlineStr">
        <is>
          <t>9. Gift Vouchers Out</t>
        </is>
      </c>
      <c r="D497" s="1349" t="inlineStr">
        <is>
          <t>Gift Voucher Out</t>
        </is>
      </c>
      <c r="E497" s="1351" t="n">
        <v>-50</v>
      </c>
      <c r="F497" s="1349" t="inlineStr">
        <is>
          <t>Zoom 1 Hr</t>
        </is>
      </c>
      <c r="G497" s="1349" t="inlineStr">
        <is>
          <t>Google</t>
        </is>
      </c>
      <c r="I497" t="inlineStr">
        <is>
          <t>Voucher/Plan Redemption - not a product sale</t>
        </is>
      </c>
      <c r="J497" t="inlineStr"/>
    </row>
    <row r="498" ht="13.5" customHeight="1" s="1232">
      <c r="A498" s="1348" t="n">
        <v>45294</v>
      </c>
      <c r="B498" s="1349" t="inlineStr">
        <is>
          <t>Monika Wiszniewska</t>
        </is>
      </c>
      <c r="C498" s="1350" t="inlineStr">
        <is>
          <t>1. Courses/masterclasses</t>
        </is>
      </c>
      <c r="D498" s="1349" t="inlineStr">
        <is>
          <t>Stripe</t>
        </is>
      </c>
      <c r="E498" s="1351" t="n">
        <v>250</v>
      </c>
      <c r="F498" s="1349" t="inlineStr">
        <is>
          <t>LR Course</t>
        </is>
      </c>
      <c r="G498" s="1349" t="inlineStr">
        <is>
          <t>Google</t>
        </is>
      </c>
      <c r="I498" t="inlineStr">
        <is>
          <t>Lightroom Courses for Beginners Photo Editing - Coventry</t>
        </is>
      </c>
      <c r="J498" t="inlineStr">
        <is>
          <t>https://www.alanranger.com/photo-editing-course-coventry</t>
        </is>
      </c>
    </row>
    <row r="499" ht="13.5" customHeight="1" s="1232">
      <c r="A499" s="1348" t="n">
        <v>45293</v>
      </c>
      <c r="B499" s="1349" t="inlineStr">
        <is>
          <t>Narelle Hunter</t>
        </is>
      </c>
      <c r="C499" s="1350" t="inlineStr">
        <is>
          <t>2. Workshops Non Residential</t>
        </is>
      </c>
      <c r="D499" s="1349" t="inlineStr">
        <is>
          <t>Stripe</t>
        </is>
      </c>
      <c r="E499" s="1351" t="n">
        <v>60</v>
      </c>
      <c r="F499" s="1349" t="inlineStr">
        <is>
          <t>Macro</t>
        </is>
      </c>
      <c r="G499" s="1349" t="inlineStr">
        <is>
          <t>Google</t>
        </is>
      </c>
      <c r="I499" t="inlineStr">
        <is>
          <t>MACRO Photography Workshops Warwickshire - Various</t>
        </is>
      </c>
      <c r="J499" t="inlineStr">
        <is>
          <t>https://www.alanranger.com/landscape-photography-workshops</t>
        </is>
      </c>
    </row>
    <row r="500" ht="13.5" customHeight="1" s="1232">
      <c r="A500" s="1348" t="n">
        <v>45292</v>
      </c>
      <c r="B500" s="1349" t="inlineStr">
        <is>
          <t>Joanne Galloway</t>
        </is>
      </c>
      <c r="C500" s="1350" t="inlineStr">
        <is>
          <t>5. Pick n Mix Out</t>
        </is>
      </c>
      <c r="D500" s="1349" t="inlineStr">
        <is>
          <t>PicknMix</t>
        </is>
      </c>
      <c r="E500" s="1351" t="n">
        <v>-120</v>
      </c>
      <c r="F500" s="1349" t="inlineStr">
        <is>
          <t>Batsford</t>
        </is>
      </c>
      <c r="G500" s="1349" t="inlineStr">
        <is>
          <t>Existing</t>
        </is>
      </c>
      <c r="I500" t="inlineStr">
        <is>
          <t>Voucher/Plan Redemption - not a product sale</t>
        </is>
      </c>
      <c r="J500" t="inlineStr"/>
    </row>
    <row r="501" ht="13.5" customHeight="1" s="1232">
      <c r="A501" s="1348" t="n">
        <v>45292</v>
      </c>
      <c r="B501" s="1349" t="inlineStr">
        <is>
          <t>Joanne Galloway</t>
        </is>
      </c>
      <c r="C501" s="1350" t="inlineStr">
        <is>
          <t>2. Workshops Non Residential</t>
        </is>
      </c>
      <c r="D501" s="1349" t="inlineStr">
        <is>
          <t>PicknMix</t>
        </is>
      </c>
      <c r="E501" s="1351" t="n">
        <v>120</v>
      </c>
      <c r="F501" s="1349" t="inlineStr">
        <is>
          <t>Batsford</t>
        </is>
      </c>
      <c r="G501" s="1349" t="inlineStr">
        <is>
          <t>Existing</t>
        </is>
      </c>
      <c r="I501" t="inlineStr">
        <is>
          <t>Gift Voucher - Digital eCard</t>
        </is>
      </c>
      <c r="J501" t="inlineStr">
        <is>
          <t>https://www.alanranger.com/photography-gift-vouchers</t>
        </is>
      </c>
    </row>
    <row r="502" ht="13.5" customHeight="1" s="1232">
      <c r="A502" s="1348" t="n">
        <v>45292</v>
      </c>
      <c r="B502" s="1349" t="inlineStr">
        <is>
          <t>Joanne Galloway</t>
        </is>
      </c>
      <c r="C502" s="1350" t="inlineStr">
        <is>
          <t>5. Pick n Mix Out</t>
        </is>
      </c>
      <c r="D502" s="1349" t="inlineStr">
        <is>
          <t>PicknMix</t>
        </is>
      </c>
      <c r="E502" s="1351" t="n">
        <v>-525</v>
      </c>
      <c r="F502" s="1349" t="inlineStr">
        <is>
          <t>Poppies</t>
        </is>
      </c>
      <c r="G502" s="1349" t="inlineStr">
        <is>
          <t>Existing</t>
        </is>
      </c>
      <c r="I502" t="inlineStr">
        <is>
          <t>Voucher/Plan Redemption - not a product sale</t>
        </is>
      </c>
      <c r="J502" t="inlineStr"/>
    </row>
    <row r="503" ht="13.5" customHeight="1" s="1232">
      <c r="A503" s="1348" t="n">
        <v>45292</v>
      </c>
      <c r="B503" s="1349" t="inlineStr">
        <is>
          <t>Joanne Galloway</t>
        </is>
      </c>
      <c r="C503" s="1350" t="inlineStr">
        <is>
          <t>3. Workshops Residential</t>
        </is>
      </c>
      <c r="D503" s="1349" t="inlineStr">
        <is>
          <t>PicknMix</t>
        </is>
      </c>
      <c r="E503" s="1351" t="n">
        <v>525</v>
      </c>
      <c r="F503" s="1349" t="inlineStr">
        <is>
          <t>Poppies</t>
        </is>
      </c>
      <c r="G503" s="1349" t="inlineStr">
        <is>
          <t>Existing</t>
        </is>
      </c>
      <c r="I503" t="inlineStr">
        <is>
          <t>Poppy Fields Photography Workshops | Worcestershire</t>
        </is>
      </c>
      <c r="J503" t="inlineStr">
        <is>
          <t>https://www.alanranger.com/landscape-photography-workshops</t>
        </is>
      </c>
    </row>
    <row r="504" ht="13.5" customHeight="1" s="1232">
      <c r="A504" s="1348" t="n">
        <v>45292</v>
      </c>
      <c r="B504" s="1349" t="inlineStr">
        <is>
          <t>Joanne Galloway</t>
        </is>
      </c>
      <c r="C504" s="1350" t="inlineStr">
        <is>
          <t>5. Pick n Mix Out</t>
        </is>
      </c>
      <c r="D504" s="1349" t="inlineStr">
        <is>
          <t>PicknMix</t>
        </is>
      </c>
      <c r="E504" s="1351" t="n">
        <v>-76</v>
      </c>
      <c r="F504" s="1349" t="inlineStr">
        <is>
          <t>Poppies</t>
        </is>
      </c>
      <c r="G504" s="1349" t="inlineStr">
        <is>
          <t>Existing</t>
        </is>
      </c>
      <c r="I504" t="inlineStr">
        <is>
          <t>Voucher/Plan Redemption - not a product sale</t>
        </is>
      </c>
      <c r="J504" t="inlineStr"/>
    </row>
    <row r="505" ht="13.5" customHeight="1" s="1232">
      <c r="A505" s="1348" t="n">
        <v>45292</v>
      </c>
      <c r="B505" s="1349" t="inlineStr">
        <is>
          <t>Joanne Galloway</t>
        </is>
      </c>
      <c r="C505" s="1350" t="inlineStr">
        <is>
          <t>2. Workshops Non Residential</t>
        </is>
      </c>
      <c r="D505" s="1349" t="inlineStr">
        <is>
          <t>PicknMix</t>
        </is>
      </c>
      <c r="E505" s="1351" t="n">
        <v>76</v>
      </c>
      <c r="F505" s="1349" t="inlineStr">
        <is>
          <t>Poppies</t>
        </is>
      </c>
      <c r="G505" s="1349" t="inlineStr">
        <is>
          <t>Existing</t>
        </is>
      </c>
      <c r="I505" t="inlineStr">
        <is>
          <t>Poppy Fields Photography Workshops | Worcestershire</t>
        </is>
      </c>
      <c r="J505" t="inlineStr">
        <is>
          <t>https://www.alanranger.com/landscape-photography-workshops</t>
        </is>
      </c>
    </row>
    <row r="506" ht="13.5" customHeight="1" s="1232">
      <c r="A506" s="1348" t="n">
        <v>45292</v>
      </c>
      <c r="B506" s="1349" t="inlineStr">
        <is>
          <t>Joanne Galloway</t>
        </is>
      </c>
      <c r="C506" s="1350" t="inlineStr">
        <is>
          <t>5. Pick n Mix Out</t>
        </is>
      </c>
      <c r="D506" s="1349" t="inlineStr">
        <is>
          <t>PicknMix</t>
        </is>
      </c>
      <c r="E506" s="1351" t="n">
        <v>-52</v>
      </c>
      <c r="F506" s="1349" t="inlineStr">
        <is>
          <t>Cov Urban</t>
        </is>
      </c>
      <c r="G506" s="1349" t="inlineStr">
        <is>
          <t>Existing</t>
        </is>
      </c>
      <c r="I506" t="inlineStr">
        <is>
          <t>Voucher/Plan Redemption - not a product sale</t>
        </is>
      </c>
      <c r="J506" t="inlineStr"/>
    </row>
    <row r="507" ht="13.5" customHeight="1" s="1232">
      <c r="A507" s="1348" t="n">
        <v>45292</v>
      </c>
      <c r="B507" s="1349" t="inlineStr">
        <is>
          <t>Joanne Galloway</t>
        </is>
      </c>
      <c r="C507" s="1350" t="inlineStr">
        <is>
          <t>2. Workshops Non Residential</t>
        </is>
      </c>
      <c r="D507" s="1349" t="inlineStr">
        <is>
          <t>PicknMix</t>
        </is>
      </c>
      <c r="E507" s="1351" t="n">
        <v>52</v>
      </c>
      <c r="F507" s="1349" t="inlineStr">
        <is>
          <t>Cov Urban</t>
        </is>
      </c>
      <c r="G507" s="1349" t="inlineStr">
        <is>
          <t>Existing</t>
        </is>
      </c>
      <c r="I507" t="inlineStr">
        <is>
          <t>URBAN ARCHITECTURE Photography Workshops - Coventry 9 Sep</t>
        </is>
      </c>
      <c r="J507" t="inlineStr">
        <is>
          <t>https://www.alanranger.com/landscape-photography-workshops</t>
        </is>
      </c>
    </row>
    <row r="508" ht="13.5" customHeight="1" s="1232">
      <c r="A508" s="1348" t="n">
        <v>45292</v>
      </c>
      <c r="B508" s="1349" t="inlineStr">
        <is>
          <t>Joanne Galloway</t>
        </is>
      </c>
      <c r="C508" s="1350" t="inlineStr">
        <is>
          <t>5. Pick n Mix Out</t>
        </is>
      </c>
      <c r="D508" s="1349" t="inlineStr">
        <is>
          <t>PicknMix</t>
        </is>
      </c>
      <c r="E508" s="1351" t="n">
        <v>-64</v>
      </c>
      <c r="F508" s="1349" t="inlineStr">
        <is>
          <t>Clent Hills</t>
        </is>
      </c>
      <c r="G508" s="1349" t="inlineStr">
        <is>
          <t>Existing</t>
        </is>
      </c>
      <c r="I508" t="inlineStr">
        <is>
          <t>Voucher/Plan Redemption - not a product sale</t>
        </is>
      </c>
      <c r="J508" t="inlineStr"/>
    </row>
    <row r="509" ht="13.5" customHeight="1" s="1232">
      <c r="A509" s="1348" t="n">
        <v>45292</v>
      </c>
      <c r="B509" s="1349" t="inlineStr">
        <is>
          <t>Joanne Galloway</t>
        </is>
      </c>
      <c r="C509" s="1350" t="inlineStr">
        <is>
          <t>2. Workshops Non Residential</t>
        </is>
      </c>
      <c r="D509" s="1349" t="inlineStr">
        <is>
          <t>PicknMix</t>
        </is>
      </c>
      <c r="E509" s="1351" t="n">
        <v>64</v>
      </c>
      <c r="F509" s="1349" t="inlineStr">
        <is>
          <t>Clent Hills</t>
        </is>
      </c>
      <c r="G509" s="1349" t="inlineStr">
        <is>
          <t>Existing</t>
        </is>
      </c>
      <c r="I509" t="inlineStr">
        <is>
          <t>Non-Residential Workshop - Generic (historical)</t>
        </is>
      </c>
      <c r="J509" t="inlineStr">
        <is>
          <t>https://www.alanranger.com/landscape-photography-workshops</t>
        </is>
      </c>
    </row>
    <row r="510" ht="13.5" customHeight="1" s="1232">
      <c r="A510" s="1348" t="n">
        <v>45292</v>
      </c>
      <c r="B510" s="1349" t="inlineStr">
        <is>
          <t>Kelly Westwood</t>
        </is>
      </c>
      <c r="C510" s="1350" t="inlineStr">
        <is>
          <t>1. Courses/masterclasses</t>
        </is>
      </c>
      <c r="D510" s="1349" t="inlineStr">
        <is>
          <t>Stripe</t>
        </is>
      </c>
      <c r="E510" s="1351" t="n">
        <v>250</v>
      </c>
      <c r="F510" s="1349" t="inlineStr">
        <is>
          <t>LR Course</t>
        </is>
      </c>
      <c r="G510" s="1349" t="inlineStr">
        <is>
          <t>Existing</t>
        </is>
      </c>
      <c r="I510" t="inlineStr">
        <is>
          <t>Lightroom Courses for Beginners Photo Editing - Coventry</t>
        </is>
      </c>
      <c r="J510" t="inlineStr">
        <is>
          <t>https://www.alanranger.com/photo-editing-course-coventry</t>
        </is>
      </c>
    </row>
    <row r="511" ht="13.5" customHeight="1" s="1232">
      <c r="A511" s="1348" t="n">
        <v>45292</v>
      </c>
      <c r="B511" s="1349" t="inlineStr">
        <is>
          <t>Martin Vincent</t>
        </is>
      </c>
      <c r="C511" s="1350" t="inlineStr">
        <is>
          <t>2. Workshops Non Residential</t>
        </is>
      </c>
      <c r="D511" s="1349" t="inlineStr">
        <is>
          <t>PayPal</t>
        </is>
      </c>
      <c r="E511" s="1351" t="n">
        <v>95</v>
      </c>
      <c r="F511" s="1349" t="inlineStr">
        <is>
          <t>Fairy Glen</t>
        </is>
      </c>
      <c r="G511" s="1349" t="inlineStr">
        <is>
          <t>Existing</t>
        </is>
      </c>
      <c r="I511" t="inlineStr">
        <is>
          <t>FAIRY GLEN and Fairy Falls Long Exposure Photography</t>
        </is>
      </c>
      <c r="J511" t="inlineStr">
        <is>
          <t>https://www.alanranger.com/landscape-photography-workshops</t>
        </is>
      </c>
    </row>
    <row r="512" ht="13.5" customHeight="1" s="1232">
      <c r="A512" s="1348" t="n">
        <v>45292</v>
      </c>
      <c r="B512" s="1349" t="inlineStr">
        <is>
          <t>Pick n Mix Subs</t>
        </is>
      </c>
      <c r="C512" s="1350" t="inlineStr">
        <is>
          <t>4. Pick n Mix Inc</t>
        </is>
      </c>
      <c r="D512" s="1349" t="inlineStr">
        <is>
          <t>Stripe</t>
        </is>
      </c>
      <c r="E512" s="1351" t="n">
        <v>300</v>
      </c>
      <c r="F512" s="1349" t="inlineStr">
        <is>
          <t>Pick N Mix Payments</t>
        </is>
      </c>
      <c r="G512" s="1349" t="inlineStr">
        <is>
          <t>Existing</t>
        </is>
      </c>
      <c r="I512" t="inlineStr">
        <is>
          <t>Pick N Mix Payment Plan</t>
        </is>
      </c>
      <c r="J512" t="inlineStr">
        <is>
          <t>https://www.alanranger.com/photography-payment-plan</t>
        </is>
      </c>
    </row>
    <row r="513" ht="13.5" customHeight="1" s="1232">
      <c r="A513" s="1348" t="n">
        <v>45292</v>
      </c>
      <c r="B513" s="1349" t="inlineStr">
        <is>
          <t>Mentoring Subs</t>
        </is>
      </c>
      <c r="C513" s="1350" t="inlineStr">
        <is>
          <t>6. Mentoring</t>
        </is>
      </c>
      <c r="D513" s="1349" t="inlineStr">
        <is>
          <t>Stripe</t>
        </is>
      </c>
      <c r="E513" s="1351" t="n">
        <v>60</v>
      </c>
      <c r="F513" s="1349" t="inlineStr">
        <is>
          <t>Mentoring Subs</t>
        </is>
      </c>
      <c r="G513" s="1349" t="inlineStr">
        <is>
          <t>Existing</t>
        </is>
      </c>
      <c r="I513" t="inlineStr">
        <is>
          <t>Mentoring - Monthly Subscription</t>
        </is>
      </c>
      <c r="J513" t="inlineStr">
        <is>
          <t>https://www.alanranger.com/photography-mentoring-online-assignments</t>
        </is>
      </c>
    </row>
  </sheetData>
  <conditionalFormatting sqref="E2:E30 E33:E36 E42:E59 E61 E64:E70 E87:E91 E93 E97:E202 E205:E219 E222:E239 E242:E263 E265:E283 E285:E308 E311:E328 E330:E344 E347:E366 E369:E413 E416:E437 E440:E478 E481:E511 E514:E1048576 N29:N31 P29:V31 V174:V784 X6:X28 X44:X49 X127 X136:X146 X159 X164 X173 Y24:Y28 Y30:Y32">
    <cfRule type="cellIs" priority="287" operator="lessThan" dxfId="1">
      <formula>0</formula>
    </cfRule>
  </conditionalFormatting>
  <conditionalFormatting sqref="X42">
    <cfRule type="cellIs" priority="286" operator="lessThan" dxfId="1">
      <formula>0</formula>
    </cfRule>
  </conditionalFormatting>
  <conditionalFormatting sqref="X6:X18">
    <cfRule type="cellIs" priority="284" operator="lessThan" dxfId="1">
      <formula>0</formula>
    </cfRule>
    <cfRule type="cellIs" priority="282" operator="lessThan" dxfId="1">
      <formula>0</formula>
    </cfRule>
    <cfRule type="cellIs" priority="275" operator="lessThan" dxfId="1">
      <formula>0</formula>
    </cfRule>
    <cfRule type="cellIs" priority="272" operator="lessThan" dxfId="1">
      <formula>0</formula>
    </cfRule>
    <cfRule type="cellIs" priority="271" operator="lessThan" dxfId="1">
      <formula>0</formula>
    </cfRule>
    <cfRule type="cellIs" priority="270" operator="lessThan" dxfId="1">
      <formula>0</formula>
    </cfRule>
    <cfRule type="cellIs" priority="269" operator="lessThan" dxfId="1">
      <formula>0</formula>
    </cfRule>
    <cfRule type="cellIs" priority="263" operator="lessThan" dxfId="1">
      <formula>0</formula>
    </cfRule>
    <cfRule type="cellIs" priority="260" operator="lessThan" dxfId="1">
      <formula>0</formula>
    </cfRule>
    <cfRule type="cellIs" priority="259" operator="lessThan" dxfId="1">
      <formula>0</formula>
    </cfRule>
    <cfRule type="cellIs" priority="218" operator="lessThan" dxfId="1">
      <formula>0</formula>
    </cfRule>
    <cfRule type="cellIs" priority="217" operator="lessThan" dxfId="1">
      <formula>0</formula>
    </cfRule>
    <cfRule type="cellIs" priority="216" operator="lessThan" dxfId="1">
      <formula>0</formula>
    </cfRule>
    <cfRule type="cellIs" priority="215" operator="lessThan" dxfId="1">
      <formula>0</formula>
    </cfRule>
    <cfRule type="cellIs" priority="214" operator="lessThan" dxfId="1">
      <formula>0</formula>
    </cfRule>
    <cfRule type="cellIs" priority="213" operator="lessThan" dxfId="1">
      <formula>0</formula>
    </cfRule>
    <cfRule type="cellIs" priority="212" operator="lessThan" dxfId="1">
      <formula>0</formula>
    </cfRule>
    <cfRule type="cellIs" priority="211" operator="lessThan" dxfId="1">
      <formula>0</formula>
    </cfRule>
    <cfRule type="cellIs" priority="210" operator="lessThan" dxfId="1">
      <formula>0</formula>
    </cfRule>
    <cfRule type="cellIs" priority="209" operator="lessThan" dxfId="1">
      <formula>0</formula>
    </cfRule>
    <cfRule type="cellIs" priority="208" operator="lessThan" dxfId="1">
      <formula>0</formula>
    </cfRule>
    <cfRule type="cellIs" priority="207" operator="lessThan" dxfId="1">
      <formula>0</formula>
    </cfRule>
    <cfRule type="cellIs" priority="206" operator="lessThan" dxfId="1">
      <formula>0</formula>
    </cfRule>
    <cfRule type="cellIs" priority="205" operator="lessThan" dxfId="1">
      <formula>0</formula>
    </cfRule>
    <cfRule type="cellIs" priority="204" operator="lessThan" dxfId="1">
      <formula>0</formula>
    </cfRule>
    <cfRule type="cellIs" priority="203" operator="lessThan" dxfId="1">
      <formula>0</formula>
    </cfRule>
    <cfRule type="cellIs" priority="202" operator="lessThan" dxfId="1">
      <formula>0</formula>
    </cfRule>
    <cfRule type="cellIs" priority="201" operator="lessThan" dxfId="1">
      <formula>0</formula>
    </cfRule>
  </conditionalFormatting>
  <conditionalFormatting sqref="X43">
    <cfRule type="cellIs" priority="285" operator="lessThan" dxfId="1">
      <formula>0</formula>
    </cfRule>
  </conditionalFormatting>
  <conditionalFormatting sqref="X6:X28 Y24:Y28 Y30:Y32">
    <cfRule type="cellIs" priority="283" operator="greaterThan" dxfId="0">
      <formula>0</formula>
    </cfRule>
  </conditionalFormatting>
  <conditionalFormatting sqref="J47">
    <cfRule type="cellIs" priority="280" operator="greaterThan" dxfId="0">
      <formula>0</formula>
    </cfRule>
    <cfRule type="cellIs" priority="281" operator="lessThan" dxfId="1">
      <formula>0</formula>
    </cfRule>
  </conditionalFormatting>
  <conditionalFormatting sqref="Y6">
    <cfRule type="cellIs" priority="279" operator="lessThan" dxfId="1">
      <formula>0</formula>
    </cfRule>
    <cfRule type="cellIs" priority="278" operator="greaterThan" dxfId="0">
      <formula>0</formula>
    </cfRule>
  </conditionalFormatting>
  <conditionalFormatting sqref="Z6">
    <cfRule type="cellIs" priority="277" operator="lessThan" dxfId="1">
      <formula>0</formula>
    </cfRule>
    <cfRule type="cellIs" priority="276" operator="greaterThan" dxfId="0">
      <formula>0</formula>
    </cfRule>
  </conditionalFormatting>
  <conditionalFormatting sqref="AB6:AB18">
    <cfRule type="cellIs" priority="273" operator="lessThan" dxfId="1">
      <formula>0</formula>
    </cfRule>
    <cfRule type="cellIs" priority="274" operator="greaterThan" dxfId="0">
      <formula>0</formula>
    </cfRule>
  </conditionalFormatting>
  <conditionalFormatting sqref="W19">
    <cfRule type="cellIs" priority="266" operator="greaterThan" dxfId="0">
      <formula>0.8</formula>
    </cfRule>
    <cfRule type="cellIs" priority="267" operator="between" dxfId="26">
      <formula>0.51</formula>
      <formula>0.8</formula>
    </cfRule>
    <cfRule type="cellIs" priority="268" operator="lessThan" dxfId="1">
      <formula>0.5</formula>
    </cfRule>
  </conditionalFormatting>
  <conditionalFormatting sqref="X148">
    <cfRule type="cellIs" priority="265" operator="lessThan" dxfId="1">
      <formula>0</formula>
    </cfRule>
  </conditionalFormatting>
  <conditionalFormatting sqref="X161:X163">
    <cfRule type="cellIs" priority="264" operator="lessThan" dxfId="1">
      <formula>0</formula>
    </cfRule>
  </conditionalFormatting>
  <conditionalFormatting sqref="Y39">
    <cfRule type="cellIs" priority="262" operator="lessThan" dxfId="1">
      <formula>0</formula>
    </cfRule>
    <cfRule type="cellIs" priority="261" operator="greaterThan" dxfId="0">
      <formula>0</formula>
    </cfRule>
  </conditionalFormatting>
  <conditionalFormatting sqref="X39">
    <cfRule type="cellIs" priority="256" operator="lessThan" dxfId="1">
      <formula>0</formula>
    </cfRule>
    <cfRule type="cellIs" priority="255" operator="lessThan" dxfId="1">
      <formula>0</formula>
    </cfRule>
    <cfRule type="cellIs" priority="254" operator="lessThan" dxfId="1">
      <formula>0</formula>
    </cfRule>
    <cfRule type="cellIs" priority="253" operator="lessThan" dxfId="1">
      <formula>0</formula>
    </cfRule>
    <cfRule type="cellIs" priority="258" operator="lessThan" dxfId="1">
      <formula>0</formula>
    </cfRule>
    <cfRule type="cellIs" priority="257" operator="greaterThan" dxfId="0">
      <formula>0</formula>
    </cfRule>
    <cfRule type="cellIs" priority="252" operator="lessThan" dxfId="1">
      <formula>0</formula>
    </cfRule>
  </conditionalFormatting>
  <conditionalFormatting sqref="Z108:Z109">
    <cfRule type="cellIs" priority="250" operator="lessThan" dxfId="1">
      <formula>0</formula>
    </cfRule>
    <cfRule type="cellIs" priority="251" operator="greaterThan" dxfId="0">
      <formula>0</formula>
    </cfRule>
  </conditionalFormatting>
  <conditionalFormatting sqref="X166:X167">
    <cfRule type="cellIs" priority="249" operator="lessThan" dxfId="1">
      <formula>0</formula>
    </cfRule>
  </conditionalFormatting>
  <conditionalFormatting sqref="X168:X169">
    <cfRule type="cellIs" priority="248" operator="lessThan" dxfId="1">
      <formula>0</formula>
    </cfRule>
  </conditionalFormatting>
  <conditionalFormatting sqref="X171:X172">
    <cfRule type="cellIs" priority="247" operator="lessThan" dxfId="1">
      <formula>0</formula>
    </cfRule>
  </conditionalFormatting>
  <conditionalFormatting sqref="X36:X38">
    <cfRule type="cellIs" priority="244" operator="lessThan" dxfId="1">
      <formula>0</formula>
    </cfRule>
    <cfRule type="cellIs" priority="243" operator="lessThan" dxfId="1">
      <formula>0</formula>
    </cfRule>
    <cfRule type="cellIs" priority="242" operator="lessThan" dxfId="1">
      <formula>0</formula>
    </cfRule>
    <cfRule type="cellIs" priority="241" operator="lessThan" dxfId="1">
      <formula>0</formula>
    </cfRule>
    <cfRule type="cellIs" priority="246" operator="lessThan" dxfId="1">
      <formula>0</formula>
    </cfRule>
    <cfRule type="cellIs" priority="245" operator="greaterThan" dxfId="0">
      <formula>0</formula>
    </cfRule>
    <cfRule type="cellIs" priority="240" operator="lessThan" dxfId="1">
      <formula>0</formula>
    </cfRule>
  </conditionalFormatting>
  <conditionalFormatting sqref="Y36:Y38">
    <cfRule type="cellIs" priority="239" operator="lessThan" dxfId="1">
      <formula>0</formula>
    </cfRule>
    <cfRule type="cellIs" priority="238" operator="greaterThan" dxfId="0">
      <formula>0</formula>
    </cfRule>
  </conditionalFormatting>
  <conditionalFormatting sqref="K66:W77">
    <cfRule type="cellIs" priority="236" operator="lessThan" dxfId="1">
      <formula>0</formula>
    </cfRule>
    <cfRule type="cellIs" priority="237" operator="greaterThan" dxfId="0">
      <formula>0.1</formula>
    </cfRule>
  </conditionalFormatting>
  <conditionalFormatting sqref="K78">
    <cfRule type="cellIs" priority="234" operator="lessThan" dxfId="1">
      <formula>0</formula>
    </cfRule>
    <cfRule type="cellIs" priority="235" operator="greaterThan" dxfId="0">
      <formula>0.1</formula>
    </cfRule>
  </conditionalFormatting>
  <conditionalFormatting sqref="W66">
    <cfRule type="cellIs" priority="232" operator="lessThan" dxfId="1">
      <formula>0</formula>
    </cfRule>
    <cfRule type="cellIs" priority="233" operator="greaterThan" dxfId="0">
      <formula>0.1</formula>
    </cfRule>
  </conditionalFormatting>
  <conditionalFormatting sqref="L66:V69 L71:V73 L75:V77">
    <cfRule type="cellIs" priority="229" operator="lessThan" dxfId="1">
      <formula>0</formula>
    </cfRule>
    <cfRule type="cellIs" priority="230" operator="greaterThan" dxfId="0">
      <formula>0.1</formula>
    </cfRule>
  </conditionalFormatting>
  <conditionalFormatting sqref="K70:V70">
    <cfRule type="cellIs" priority="227" operator="lessThan" dxfId="1">
      <formula>0</formula>
    </cfRule>
    <cfRule type="cellIs" priority="228" operator="greaterThan" dxfId="0">
      <formula>0.1</formula>
    </cfRule>
    <cfRule type="cellIs" priority="225" operator="lessThan" dxfId="1">
      <formula>0</formula>
    </cfRule>
    <cfRule type="cellIs" priority="226" operator="greaterThan" dxfId="0">
      <formula>0.1</formula>
    </cfRule>
  </conditionalFormatting>
  <conditionalFormatting sqref="L70:V70">
    <cfRule type="cellIs" priority="223" operator="lessThan" dxfId="1">
      <formula>0</formula>
    </cfRule>
    <cfRule type="cellIs" priority="224" operator="greaterThan" dxfId="0">
      <formula>0.1</formula>
    </cfRule>
    <cfRule type="cellIs" priority="221" operator="lessThan" dxfId="1">
      <formula>0</formula>
    </cfRule>
    <cfRule type="cellIs" priority="222" operator="greaterThan" dxfId="0">
      <formula>0.1</formula>
    </cfRule>
  </conditionalFormatting>
  <conditionalFormatting sqref="L78:W78">
    <cfRule type="cellIs" priority="219" operator="lessThan" dxfId="1">
      <formula>0</formula>
    </cfRule>
    <cfRule type="cellIs" priority="220" operator="greaterThan" dxfId="0">
      <formula>0.1</formula>
    </cfRule>
  </conditionalFormatting>
  <conditionalFormatting sqref="Z41">
    <cfRule type="cellIs" priority="200" operator="lessThan" dxfId="1">
      <formula>0</formula>
    </cfRule>
    <cfRule type="cellIs" priority="199" operator="greaterThan" dxfId="0">
      <formula>0</formula>
    </cfRule>
  </conditionalFormatting>
  <conditionalFormatting sqref="X35">
    <cfRule type="cellIs" priority="185" operator="lessThan" dxfId="1">
      <formula>0</formula>
    </cfRule>
    <cfRule type="cellIs" priority="184" operator="lessThan" dxfId="1">
      <formula>0</formula>
    </cfRule>
    <cfRule type="cellIs" priority="183" operator="lessThan" dxfId="1">
      <formula>0</formula>
    </cfRule>
    <cfRule type="cellIs" priority="182" operator="lessThan" dxfId="1">
      <formula>0</formula>
    </cfRule>
    <cfRule type="cellIs" priority="187" operator="lessThan" dxfId="1">
      <formula>0</formula>
    </cfRule>
    <cfRule type="cellIs" priority="186" operator="greaterThan" dxfId="0">
      <formula>0</formula>
    </cfRule>
    <cfRule type="cellIs" priority="181" operator="lessThan" dxfId="1">
      <formula>0</formula>
    </cfRule>
  </conditionalFormatting>
  <conditionalFormatting sqref="Z7:Z18">
    <cfRule type="cellIs" priority="176" operator="lessThan" dxfId="1">
      <formula>0</formula>
    </cfRule>
    <cfRule type="cellIs" priority="175" operator="greaterThan" dxfId="0">
      <formula>0</formula>
    </cfRule>
  </conditionalFormatting>
  <conditionalFormatting sqref="K19:V19 K20:W20">
    <cfRule type="cellIs" priority="196" operator="greaterThan" dxfId="0">
      <formula>0.81</formula>
    </cfRule>
    <cfRule type="cellIs" priority="197" operator="between" dxfId="1036">
      <formula>0.301</formula>
      <formula>0.8</formula>
    </cfRule>
    <cfRule type="cellIs" priority="198" operator="lessThan" dxfId="1">
      <formula>0.3</formula>
    </cfRule>
  </conditionalFormatting>
  <conditionalFormatting sqref="K24:W24">
    <cfRule type="cellIs" priority="194" operator="lessThan" dxfId="1">
      <formula>0</formula>
    </cfRule>
    <cfRule type="cellIs" priority="195" operator="greaterThan" dxfId="0">
      <formula>0.0001</formula>
    </cfRule>
  </conditionalFormatting>
  <conditionalFormatting sqref="Q19">
    <cfRule type="cellIs" priority="191" operator="greaterThan" dxfId="0">
      <formula>0.75</formula>
    </cfRule>
    <cfRule type="cellIs" priority="192" operator="between" dxfId="1036">
      <formula>0.301</formula>
      <formula>0.7499</formula>
    </cfRule>
    <cfRule type="cellIs" priority="193" operator="lessThan" dxfId="1">
      <formula>0.3</formula>
    </cfRule>
  </conditionalFormatting>
  <conditionalFormatting sqref="Y41">
    <cfRule type="cellIs" priority="189" operator="lessThan" dxfId="1">
      <formula>0</formula>
    </cfRule>
    <cfRule type="cellIs" priority="190" operator="greaterThan" dxfId="0">
      <formula>0</formula>
    </cfRule>
  </conditionalFormatting>
  <conditionalFormatting sqref="X34">
    <cfRule type="cellIs" priority="168" operator="lessThan" dxfId="1">
      <formula>0</formula>
    </cfRule>
    <cfRule type="cellIs" priority="165" operator="lessThan" dxfId="1">
      <formula>0</formula>
    </cfRule>
    <cfRule type="cellIs" priority="164" operator="lessThan" dxfId="1">
      <formula>0</formula>
    </cfRule>
    <cfRule type="cellIs" priority="166" operator="lessThan" dxfId="1">
      <formula>0</formula>
    </cfRule>
    <cfRule type="cellIs" priority="163" operator="lessThan" dxfId="1">
      <formula>0</formula>
    </cfRule>
    <cfRule type="cellIs" priority="167" operator="greaterThan" dxfId="0">
      <formula>0</formula>
    </cfRule>
    <cfRule type="cellIs" priority="162" operator="lessThan" dxfId="1">
      <formula>0</formula>
    </cfRule>
  </conditionalFormatting>
  <conditionalFormatting sqref="X149:X158">
    <cfRule type="cellIs" priority="188" operator="lessThan" dxfId="1">
      <formula>0</formula>
    </cfRule>
  </conditionalFormatting>
  <conditionalFormatting sqref="Y35">
    <cfRule type="cellIs" priority="180" operator="lessThan" dxfId="1">
      <formula>0</formula>
    </cfRule>
    <cfRule type="cellIs" priority="179" operator="greaterThan" dxfId="0">
      <formula>0</formula>
    </cfRule>
  </conditionalFormatting>
  <conditionalFormatting sqref="X128:X135">
    <cfRule type="cellIs" priority="178" operator="lessThan" dxfId="1">
      <formula>0</formula>
    </cfRule>
  </conditionalFormatting>
  <conditionalFormatting sqref="K6:V17 K18:W18">
    <cfRule type="cellIs" priority="177" operator="lessThan" dxfId="1">
      <formula>0</formula>
    </cfRule>
  </conditionalFormatting>
  <conditionalFormatting sqref="K31:V40">
    <cfRule type="aboveAverage" priority="174" dxfId="1865"/>
    <cfRule type="aboveAverage" priority="169" dxfId="1865"/>
    <cfRule type="aboveAverage" priority="120" dxfId="1865"/>
    <cfRule type="aboveAverage" priority="119" dxfId="1865"/>
  </conditionalFormatting>
  <conditionalFormatting sqref="E84">
    <cfRule type="cellIs" priority="173" operator="lessThan" dxfId="1">
      <formula>0</formula>
    </cfRule>
  </conditionalFormatting>
  <conditionalFormatting sqref="X66:X78">
    <cfRule type="cellIs" priority="170" operator="greaterThan" dxfId="1255">
      <formula>0</formula>
    </cfRule>
    <cfRule type="cellIs" priority="172" operator="lessThan" dxfId="1">
      <formula>0</formula>
    </cfRule>
    <cfRule type="cellIs" priority="171" operator="greaterThan" dxfId="0">
      <formula>0</formula>
    </cfRule>
  </conditionalFormatting>
  <conditionalFormatting sqref="Y34">
    <cfRule type="cellIs" priority="161" operator="lessThan" dxfId="1">
      <formula>0</formula>
    </cfRule>
    <cfRule type="cellIs" priority="160" operator="greaterThan" dxfId="0">
      <formula>0</formula>
    </cfRule>
  </conditionalFormatting>
  <conditionalFormatting sqref="L167:V167">
    <cfRule type="cellIs" priority="155" operator="lessThan" dxfId="1">
      <formula>0</formula>
    </cfRule>
  </conditionalFormatting>
  <conditionalFormatting sqref="K74:V74">
    <cfRule type="cellIs" priority="158" operator="lessThan" dxfId="1">
      <formula>0</formula>
    </cfRule>
    <cfRule type="cellIs" priority="159" operator="greaterThan" dxfId="0">
      <formula>0.1</formula>
    </cfRule>
  </conditionalFormatting>
  <conditionalFormatting sqref="K81:K92">
    <cfRule type="cellIs" priority="157" operator="lessThan" dxfId="1">
      <formula>0</formula>
    </cfRule>
  </conditionalFormatting>
  <conditionalFormatting sqref="L81:V81">
    <cfRule type="cellIs" priority="156" operator="lessThan" dxfId="1">
      <formula>0</formula>
    </cfRule>
  </conditionalFormatting>
  <conditionalFormatting sqref="Y19:Y23">
    <cfRule type="cellIs" priority="154" operator="lessThan" dxfId="1">
      <formula>0</formula>
    </cfRule>
    <cfRule type="cellIs" priority="153" operator="greaterThan" dxfId="0">
      <formula>0</formula>
    </cfRule>
  </conditionalFormatting>
  <conditionalFormatting sqref="X33">
    <cfRule type="cellIs" priority="142" operator="lessThan" dxfId="1">
      <formula>0</formula>
    </cfRule>
    <cfRule type="cellIs" priority="146" operator="lessThan" dxfId="1">
      <formula>0</formula>
    </cfRule>
    <cfRule type="cellIs" priority="145" operator="lessThan" dxfId="1">
      <formula>0</formula>
    </cfRule>
    <cfRule type="cellIs" priority="144" operator="lessThan" dxfId="1">
      <formula>0</formula>
    </cfRule>
    <cfRule type="cellIs" priority="143" operator="lessThan" dxfId="1">
      <formula>0</formula>
    </cfRule>
    <cfRule type="cellIs" priority="148" operator="lessThan" dxfId="1">
      <formula>0</formula>
    </cfRule>
    <cfRule type="cellIs" priority="147" operator="greaterThan" dxfId="0">
      <formula>0</formula>
    </cfRule>
  </conditionalFormatting>
  <conditionalFormatting sqref="Y7:Y18">
    <cfRule type="cellIs" priority="152" operator="lessThan" dxfId="1">
      <formula>0</formula>
    </cfRule>
    <cfRule type="cellIs" priority="151" operator="greaterThan" dxfId="0">
      <formula>0</formula>
    </cfRule>
  </conditionalFormatting>
  <conditionalFormatting sqref="W67:W77">
    <cfRule type="cellIs" priority="149" operator="lessThan" dxfId="1">
      <formula>0</formula>
    </cfRule>
    <cfRule type="cellIs" priority="150" operator="greaterThan" dxfId="0">
      <formula>0.1</formula>
    </cfRule>
  </conditionalFormatting>
  <conditionalFormatting sqref="Y33">
    <cfRule type="cellIs" priority="141" operator="lessThan" dxfId="1">
      <formula>0</formula>
    </cfRule>
    <cfRule type="cellIs" priority="140" operator="greaterThan" dxfId="0">
      <formula>0</formula>
    </cfRule>
  </conditionalFormatting>
  <conditionalFormatting sqref="K127:K135">
    <cfRule type="cellIs" priority="139" operator="lessThan" dxfId="1">
      <formula>0</formula>
    </cfRule>
  </conditionalFormatting>
  <conditionalFormatting sqref="L127:V127">
    <cfRule type="cellIs" priority="138" operator="lessThan" dxfId="1">
      <formula>0</formula>
    </cfRule>
  </conditionalFormatting>
  <conditionalFormatting sqref="K148:K157">
    <cfRule type="cellIs" priority="137" operator="lessThan" dxfId="1">
      <formula>0</formula>
    </cfRule>
  </conditionalFormatting>
  <conditionalFormatting sqref="L148:V148">
    <cfRule type="cellIs" priority="136" operator="lessThan" dxfId="1">
      <formula>0</formula>
    </cfRule>
  </conditionalFormatting>
  <conditionalFormatting sqref="E39">
    <cfRule type="cellIs" priority="135" operator="lessThan" dxfId="1">
      <formula>0</formula>
    </cfRule>
  </conditionalFormatting>
  <conditionalFormatting sqref="E38">
    <cfRule type="cellIs" priority="133" operator="lessThan" dxfId="1">
      <formula>0</formula>
    </cfRule>
  </conditionalFormatting>
  <conditionalFormatting sqref="E37">
    <cfRule type="cellIs" priority="132" operator="lessThan" dxfId="1">
      <formula>0</formula>
    </cfRule>
  </conditionalFormatting>
  <conditionalFormatting sqref="S32">
    <cfRule type="aboveAverage" priority="131" dxfId="1865"/>
    <cfRule type="aboveAverage" priority="130" dxfId="1865"/>
  </conditionalFormatting>
  <conditionalFormatting sqref="T32">
    <cfRule type="aboveAverage" priority="129" dxfId="1865"/>
    <cfRule type="aboveAverage" priority="128" dxfId="1865"/>
  </conditionalFormatting>
  <conditionalFormatting sqref="U32">
    <cfRule type="aboveAverage" priority="127" dxfId="1865"/>
    <cfRule type="aboveAverage" priority="126" dxfId="1865"/>
    <cfRule type="aboveAverage" priority="125" dxfId="1865"/>
    <cfRule type="aboveAverage" priority="124" dxfId="1865"/>
  </conditionalFormatting>
  <conditionalFormatting sqref="W29">
    <cfRule type="cellIs" priority="123" operator="lessThan" dxfId="1">
      <formula>0</formula>
    </cfRule>
  </conditionalFormatting>
  <conditionalFormatting sqref="V29:V32">
    <cfRule type="cellIs" priority="122" operator="lessThan" dxfId="1">
      <formula>0</formula>
    </cfRule>
  </conditionalFormatting>
  <conditionalFormatting sqref="E41">
    <cfRule type="cellIs" priority="121" operator="lessThan" dxfId="1">
      <formula>0</formula>
    </cfRule>
  </conditionalFormatting>
  <conditionalFormatting sqref="X30:X32">
    <cfRule type="cellIs" priority="112" operator="lessThan" dxfId="1">
      <formula>0</formula>
    </cfRule>
    <cfRule type="cellIs" priority="116" operator="lessThan" dxfId="1">
      <formula>0</formula>
    </cfRule>
    <cfRule type="cellIs" priority="115" operator="lessThan" dxfId="1">
      <formula>0</formula>
    </cfRule>
    <cfRule type="cellIs" priority="114" operator="lessThan" dxfId="1">
      <formula>0</formula>
    </cfRule>
    <cfRule type="cellIs" priority="113" operator="lessThan" dxfId="1">
      <formula>0</formula>
    </cfRule>
    <cfRule type="cellIs" priority="118" operator="lessThan" dxfId="1">
      <formula>0</formula>
    </cfRule>
    <cfRule type="cellIs" priority="117" operator="greaterThan" dxfId="0">
      <formula>0</formula>
    </cfRule>
  </conditionalFormatting>
  <conditionalFormatting sqref="K149:K157">
    <cfRule type="cellIs" priority="109" operator="lessThan" dxfId="1">
      <formula>0</formula>
    </cfRule>
  </conditionalFormatting>
  <conditionalFormatting sqref="L28:P28 U25:V25">
    <cfRule type="cellIs" priority="107" operator="lessThan" dxfId="1">
      <formula>0</formula>
    </cfRule>
  </conditionalFormatting>
  <conditionalFormatting sqref="U25:V25">
    <cfRule type="cellIs" priority="60" operator="greaterThan" dxfId="0">
      <formula>935</formula>
    </cfRule>
    <cfRule type="cellIs" priority="61" operator="lessThan" dxfId="1">
      <formula>935</formula>
    </cfRule>
    <cfRule type="cellIs" priority="106" operator="lessThan" dxfId="1">
      <formula>0</formula>
    </cfRule>
  </conditionalFormatting>
  <conditionalFormatting sqref="L82:L92">
    <cfRule type="cellIs" priority="105" operator="lessThan" dxfId="1">
      <formula>0</formula>
    </cfRule>
  </conditionalFormatting>
  <conditionalFormatting sqref="M82:M92">
    <cfRule type="cellIs" priority="104" operator="lessThan" dxfId="1">
      <formula>0</formula>
    </cfRule>
  </conditionalFormatting>
  <conditionalFormatting sqref="N82:N92">
    <cfRule type="cellIs" priority="103" operator="lessThan" dxfId="1">
      <formula>0</formula>
    </cfRule>
  </conditionalFormatting>
  <conditionalFormatting sqref="O82:O92">
    <cfRule type="cellIs" priority="102" operator="lessThan" dxfId="1">
      <formula>0</formula>
    </cfRule>
  </conditionalFormatting>
  <conditionalFormatting sqref="P82:P92">
    <cfRule type="cellIs" priority="101" operator="lessThan" dxfId="1">
      <formula>0</formula>
    </cfRule>
  </conditionalFormatting>
  <conditionalFormatting sqref="Q82:Q92">
    <cfRule type="cellIs" priority="100" operator="lessThan" dxfId="1">
      <formula>0</formula>
    </cfRule>
  </conditionalFormatting>
  <conditionalFormatting sqref="R82:R92">
    <cfRule type="cellIs" priority="99" operator="lessThan" dxfId="1">
      <formula>0</formula>
    </cfRule>
  </conditionalFormatting>
  <conditionalFormatting sqref="S82:S92">
    <cfRule type="cellIs" priority="98" operator="lessThan" dxfId="1">
      <formula>0</formula>
    </cfRule>
  </conditionalFormatting>
  <conditionalFormatting sqref="T82:T92">
    <cfRule type="cellIs" priority="97" operator="lessThan" dxfId="1">
      <formula>0</formula>
    </cfRule>
  </conditionalFormatting>
  <conditionalFormatting sqref="U82:U92">
    <cfRule type="cellIs" priority="96" operator="lessThan" dxfId="1">
      <formula>0</formula>
    </cfRule>
  </conditionalFormatting>
  <conditionalFormatting sqref="L128:L135">
    <cfRule type="cellIs" priority="94" operator="lessThan" dxfId="1">
      <formula>0</formula>
    </cfRule>
  </conditionalFormatting>
  <conditionalFormatting sqref="M128:M135">
    <cfRule type="cellIs" priority="93" operator="lessThan" dxfId="1">
      <formula>0</formula>
    </cfRule>
  </conditionalFormatting>
  <conditionalFormatting sqref="N128:N135">
    <cfRule type="cellIs" priority="92" operator="lessThan" dxfId="1">
      <formula>0</formula>
    </cfRule>
  </conditionalFormatting>
  <conditionalFormatting sqref="O128:O135">
    <cfRule type="cellIs" priority="91" operator="lessThan" dxfId="1">
      <formula>0</formula>
    </cfRule>
  </conditionalFormatting>
  <conditionalFormatting sqref="P128:P135">
    <cfRule type="cellIs" priority="90" operator="lessThan" dxfId="1">
      <formula>0</formula>
    </cfRule>
  </conditionalFormatting>
  <conditionalFormatting sqref="Q128:Q135">
    <cfRule type="cellIs" priority="89" operator="lessThan" dxfId="1">
      <formula>0</formula>
    </cfRule>
  </conditionalFormatting>
  <conditionalFormatting sqref="R128:R135">
    <cfRule type="cellIs" priority="88" operator="lessThan" dxfId="1">
      <formula>0</formula>
    </cfRule>
  </conditionalFormatting>
  <conditionalFormatting sqref="S128:S135">
    <cfRule type="cellIs" priority="87" operator="lessThan" dxfId="1">
      <formula>0</formula>
    </cfRule>
  </conditionalFormatting>
  <conditionalFormatting sqref="T128:T135">
    <cfRule type="cellIs" priority="86" operator="lessThan" dxfId="1">
      <formula>0</formula>
    </cfRule>
  </conditionalFormatting>
  <conditionalFormatting sqref="U128:U135">
    <cfRule type="cellIs" priority="85" operator="lessThan" dxfId="1">
      <formula>0</formula>
    </cfRule>
  </conditionalFormatting>
  <conditionalFormatting sqref="L149:L157">
    <cfRule type="cellIs" priority="83" operator="lessThan" dxfId="1">
      <formula>0</formula>
    </cfRule>
  </conditionalFormatting>
  <conditionalFormatting sqref="M149:M157">
    <cfRule type="cellIs" priority="82" operator="lessThan" dxfId="1">
      <formula>0</formula>
    </cfRule>
  </conditionalFormatting>
  <conditionalFormatting sqref="N149:N157">
    <cfRule type="cellIs" priority="81" operator="lessThan" dxfId="1">
      <formula>0</formula>
    </cfRule>
  </conditionalFormatting>
  <conditionalFormatting sqref="O149:O157">
    <cfRule type="cellIs" priority="80" operator="lessThan" dxfId="1">
      <formula>0</formula>
    </cfRule>
  </conditionalFormatting>
  <conditionalFormatting sqref="P149:P157">
    <cfRule type="cellIs" priority="79" operator="lessThan" dxfId="1">
      <formula>0</formula>
    </cfRule>
  </conditionalFormatting>
  <conditionalFormatting sqref="Q149:Q157">
    <cfRule type="cellIs" priority="78" operator="lessThan" dxfId="1">
      <formula>0</formula>
    </cfRule>
  </conditionalFormatting>
  <conditionalFormatting sqref="R149:R157">
    <cfRule type="cellIs" priority="77" operator="lessThan" dxfId="1">
      <formula>0</formula>
    </cfRule>
  </conditionalFormatting>
  <conditionalFormatting sqref="S149:S157">
    <cfRule type="cellIs" priority="76" operator="lessThan" dxfId="1">
      <formula>0</formula>
    </cfRule>
  </conditionalFormatting>
  <conditionalFormatting sqref="T149:T157">
    <cfRule type="cellIs" priority="75" operator="lessThan" dxfId="1">
      <formula>0</formula>
    </cfRule>
  </conditionalFormatting>
  <conditionalFormatting sqref="U149:U157">
    <cfRule type="cellIs" priority="74" operator="lessThan" dxfId="1">
      <formula>0</formula>
    </cfRule>
  </conditionalFormatting>
  <conditionalFormatting sqref="K22:W22 W23">
    <cfRule type="aboveAverage" priority="67" dxfId="1865"/>
    <cfRule type="cellIs" priority="64" operator="between" dxfId="2881">
      <formula>1601</formula>
      <formula>1800</formula>
    </cfRule>
  </conditionalFormatting>
  <conditionalFormatting sqref="W23">
    <cfRule type="aboveAverage" priority="66" dxfId="1865"/>
    <cfRule type="aboveAverage" priority="65" dxfId="1865"/>
  </conditionalFormatting>
  <conditionalFormatting sqref="K22:V22 W23">
    <cfRule type="cellIs" priority="62" operator="lessThan" dxfId="1">
      <formula>1600</formula>
    </cfRule>
    <cfRule type="cellIs" priority="63" operator="greaterThan" dxfId="0">
      <formula>1801</formula>
    </cfRule>
  </conditionalFormatting>
  <conditionalFormatting sqref="G6:G17">
    <cfRule type="cellIs" priority="51" operator="lessThan" dxfId="1">
      <formula>0.04</formula>
    </cfRule>
    <cfRule type="cellIs" priority="52" operator="between" dxfId="26">
      <formula>0.04</formula>
      <formula>0.09</formula>
    </cfRule>
    <cfRule type="cellIs" priority="53" operator="greaterThan" dxfId="0">
      <formula>10%</formula>
    </cfRule>
  </conditionalFormatting>
  <conditionalFormatting sqref="H6:H17">
    <cfRule type="cellIs" priority="47" operator="lessThan" dxfId="1">
      <formula>0.04</formula>
    </cfRule>
    <cfRule type="cellIs" priority="48" operator="between" dxfId="26">
      <formula>0.04</formula>
      <formula>0.09</formula>
    </cfRule>
    <cfRule type="cellIs" priority="49" operator="greaterThan" dxfId="0">
      <formula>10%</formula>
    </cfRule>
  </conditionalFormatting>
  <conditionalFormatting sqref="K30:V30">
    <cfRule type="aboveAverage" priority="45" dxfId="1865"/>
    <cfRule type="aboveAverage" priority="44" dxfId="1865"/>
    <cfRule type="aboveAverage" priority="43" dxfId="1865"/>
    <cfRule type="aboveAverage" priority="42" dxfId="1865"/>
  </conditionalFormatting>
  <conditionalFormatting sqref="E512:E513">
    <cfRule type="cellIs" priority="41" operator="lessThan" dxfId="1">
      <formula>0</formula>
    </cfRule>
  </conditionalFormatting>
  <conditionalFormatting sqref="D9">
    <cfRule type="cellIs" priority="39" operator="lessThan" dxfId="1">
      <formula>0</formula>
    </cfRule>
    <cfRule type="cellIs" priority="40" operator="greaterThan" dxfId="0">
      <formula>0.01</formula>
    </cfRule>
  </conditionalFormatting>
  <conditionalFormatting sqref="E479:E480">
    <cfRule type="cellIs" priority="38" operator="lessThan" dxfId="1">
      <formula>0</formula>
    </cfRule>
  </conditionalFormatting>
  <conditionalFormatting sqref="E438:E439">
    <cfRule type="cellIs" priority="37" operator="lessThan" dxfId="1">
      <formula>0</formula>
    </cfRule>
  </conditionalFormatting>
  <conditionalFormatting sqref="D5">
    <cfRule type="cellIs" priority="35" operator="greaterThan" dxfId="0">
      <formula>15.01</formula>
    </cfRule>
    <cfRule type="cellIs" priority="36" operator="lessThan" dxfId="1">
      <formula>15</formula>
    </cfRule>
  </conditionalFormatting>
  <conditionalFormatting sqref="E414:E415">
    <cfRule type="cellIs" priority="34" operator="lessThan" dxfId="1">
      <formula>0</formula>
    </cfRule>
  </conditionalFormatting>
  <conditionalFormatting sqref="E367:E368">
    <cfRule type="cellIs" priority="33" operator="lessThan" dxfId="1">
      <formula>0</formula>
    </cfRule>
  </conditionalFormatting>
  <conditionalFormatting sqref="E345:E346">
    <cfRule type="cellIs" priority="32" operator="lessThan" dxfId="1">
      <formula>0</formula>
    </cfRule>
  </conditionalFormatting>
  <conditionalFormatting sqref="E329">
    <cfRule type="cellIs" priority="31" operator="lessThan" dxfId="1">
      <formula>0</formula>
    </cfRule>
  </conditionalFormatting>
  <conditionalFormatting sqref="E309:E310">
    <cfRule type="cellIs" priority="30" operator="lessThan" dxfId="1">
      <formula>0</formula>
    </cfRule>
  </conditionalFormatting>
  <conditionalFormatting sqref="E284">
    <cfRule type="cellIs" priority="29" operator="lessThan" dxfId="1">
      <formula>0</formula>
    </cfRule>
  </conditionalFormatting>
  <conditionalFormatting sqref="E264">
    <cfRule type="cellIs" priority="28" operator="lessThan" dxfId="1">
      <formula>0</formula>
    </cfRule>
  </conditionalFormatting>
  <conditionalFormatting sqref="E240:E241">
    <cfRule type="cellIs" priority="27" operator="lessThan" dxfId="1">
      <formula>0</formula>
    </cfRule>
  </conditionalFormatting>
  <conditionalFormatting sqref="E220:E221">
    <cfRule type="cellIs" priority="26" operator="lessThan" dxfId="1">
      <formula>0</formula>
    </cfRule>
  </conditionalFormatting>
  <conditionalFormatting sqref="V128:V135">
    <cfRule type="cellIs" priority="25" operator="lessThan" dxfId="1">
      <formula>0</formula>
    </cfRule>
  </conditionalFormatting>
  <conditionalFormatting sqref="V82:V92">
    <cfRule type="cellIs" priority="24" operator="lessThan" dxfId="1">
      <formula>0</formula>
    </cfRule>
  </conditionalFormatting>
  <conditionalFormatting sqref="V149:V157">
    <cfRule type="cellIs" priority="23" operator="lessThan" dxfId="1">
      <formula>0</formula>
    </cfRule>
  </conditionalFormatting>
  <conditionalFormatting sqref="K51:W62">
    <cfRule type="cellIs" priority="21" operator="lessThan" dxfId="1">
      <formula>0</formula>
    </cfRule>
    <cfRule type="cellIs" priority="22" operator="greaterThan" dxfId="0">
      <formula>0.1</formula>
    </cfRule>
  </conditionalFormatting>
  <conditionalFormatting sqref="K63">
    <cfRule type="cellIs" priority="19" operator="lessThan" dxfId="1">
      <formula>0</formula>
    </cfRule>
    <cfRule type="cellIs" priority="20" operator="greaterThan" dxfId="0">
      <formula>0.1</formula>
    </cfRule>
  </conditionalFormatting>
  <conditionalFormatting sqref="W51">
    <cfRule type="cellIs" priority="17" operator="lessThan" dxfId="1">
      <formula>0</formula>
    </cfRule>
    <cfRule type="cellIs" priority="18" operator="greaterThan" dxfId="0">
      <formula>0.1</formula>
    </cfRule>
  </conditionalFormatting>
  <conditionalFormatting sqref="L51:V54 L55:N55 L56:V58 L59:N59 L60:V62">
    <cfRule type="cellIs" priority="15" operator="lessThan" dxfId="1">
      <formula>0</formula>
    </cfRule>
    <cfRule type="cellIs" priority="16" operator="greaterThan" dxfId="0">
      <formula>0.1</formula>
    </cfRule>
  </conditionalFormatting>
  <conditionalFormatting sqref="K55:V55">
    <cfRule type="cellIs" priority="13" operator="lessThan" dxfId="1">
      <formula>0</formula>
    </cfRule>
    <cfRule type="cellIs" priority="14" operator="greaterThan" dxfId="0">
      <formula>0.1</formula>
    </cfRule>
    <cfRule type="cellIs" priority="11" operator="lessThan" dxfId="1">
      <formula>0</formula>
    </cfRule>
    <cfRule type="cellIs" priority="12" operator="greaterThan" dxfId="0">
      <formula>0.1</formula>
    </cfRule>
  </conditionalFormatting>
  <conditionalFormatting sqref="L55:V55">
    <cfRule type="cellIs" priority="9" operator="lessThan" dxfId="1">
      <formula>0</formula>
    </cfRule>
    <cfRule type="cellIs" priority="10" operator="greaterThan" dxfId="0">
      <formula>0.1</formula>
    </cfRule>
    <cfRule type="cellIs" priority="7" operator="lessThan" dxfId="1">
      <formula>0</formula>
    </cfRule>
    <cfRule type="cellIs" priority="8" operator="greaterThan" dxfId="0">
      <formula>0.1</formula>
    </cfRule>
  </conditionalFormatting>
  <conditionalFormatting sqref="L63:W63">
    <cfRule type="cellIs" priority="5" operator="lessThan" dxfId="1">
      <formula>0</formula>
    </cfRule>
    <cfRule type="cellIs" priority="6" operator="greaterThan" dxfId="0">
      <formula>0.1</formula>
    </cfRule>
  </conditionalFormatting>
  <conditionalFormatting sqref="K59:V59">
    <cfRule type="cellIs" priority="3" operator="lessThan" dxfId="1">
      <formula>0</formula>
    </cfRule>
    <cfRule type="cellIs" priority="4" operator="greaterThan" dxfId="0">
      <formula>0.1</formula>
    </cfRule>
  </conditionalFormatting>
  <conditionalFormatting sqref="W52:W62">
    <cfRule type="cellIs" priority="1" operator="lessThan" dxfId="1">
      <formula>0</formula>
    </cfRule>
    <cfRule type="cellIs" priority="2" operator="greaterThan" dxfId="0">
      <formula>0.1</formula>
    </cfRule>
  </conditionalFormatting>
  <dataValidations count="4">
    <dataValidation sqref="C15:C19 C33 C40 C84:C91 C510:C555 C562:C593 C596:C621 C623:C631 C633:C660 C662:C665 C668:C672 C674 C676:C677 C679:C701 C703:C737 C740:C751 C753:C782 C784:C836 C839:C873" showDropDown="0" showInputMessage="1" showErrorMessage="1" allowBlank="1" type="list">
      <formula1>$I$5:$I$43</formula1>
    </dataValidation>
    <dataValidation sqref="C20:C25 C27:C30 C32 C34:C35 C37:C39 C41:C43 C45 C47:C53 C61:C62 C64:C70 C80 C82:C83" showDropDown="0" showInputMessage="1" showErrorMessage="1" allowBlank="1" type="list">
      <formula1>$I$4:$I$40</formula1>
    </dataValidation>
    <dataValidation sqref="C205:C509" showDropDown="0" showInputMessage="1" showErrorMessage="1" allowBlank="1" type="list">
      <formula1>$I$6:$I$17</formula1>
    </dataValidation>
    <dataValidation sqref="I206:I513" showDropDown="0" showInputMessage="0" showErrorMessage="0" allowBlank="1" type="list">
      <formula1>=ProductList!$A$2:$A$100</formula1>
    </dataValidation>
  </dataValidations>
  <pageMargins left="0.25" right="0.25" top="0.75" bottom="0.75" header="0.3" footer="0.3"/>
  <pageSetup orientation="landscape" paperSize="9" scale="10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>
    <outlinePr summaryBelow="1" summaryRight="1"/>
    <pageSetUpPr fitToPage="1"/>
  </sheetPr>
  <dimension ref="A1:AJ566"/>
  <sheetViews>
    <sheetView showZeros="0" topLeftCell="A109" zoomScaleNormal="100" workbookViewId="0">
      <selection activeCell="K18" sqref="K18:V18"/>
    </sheetView>
  </sheetViews>
  <sheetFormatPr baseColWidth="8" defaultColWidth="9.1328125" defaultRowHeight="12.75"/>
  <cols>
    <col width="11" bestFit="1" customWidth="1" style="1255" min="1" max="1"/>
    <col width="19.46484375" customWidth="1" style="1255" min="2" max="2"/>
    <col width="22.46484375" customWidth="1" style="1255" min="3" max="3"/>
    <col width="21.46484375" customWidth="1" style="1255" min="4" max="4"/>
    <col width="11.86328125" customWidth="1" style="1256" min="5" max="5"/>
    <col width="16.33203125" customWidth="1" style="1255" min="6" max="6"/>
    <col width="13.46484375" customWidth="1" style="1255" min="7" max="7"/>
    <col width="11.53125" customWidth="1" style="1255" min="8" max="8"/>
    <col width="24.1328125" bestFit="1" customWidth="1" style="1255" min="9" max="9"/>
    <col width="16.46484375" bestFit="1" customWidth="1" style="1255" min="10" max="10"/>
    <col width="8.86328125" customWidth="1" style="1255" min="11" max="11"/>
    <col width="7.796875" customWidth="1" style="1255" min="12" max="13"/>
    <col width="7.46484375" customWidth="1" style="1255" min="14" max="14"/>
    <col width="7.796875" customWidth="1" style="1255" min="15" max="22"/>
    <col width="8.53125" customWidth="1" style="1255" min="23" max="23"/>
    <col width="12.1328125" bestFit="1" customWidth="1" style="1255" min="24" max="24"/>
    <col width="10.19921875" customWidth="1" style="1255" min="25" max="25"/>
    <col width="8.796875" customWidth="1" style="1255" min="26" max="26"/>
    <col width="11" customWidth="1" style="1255" min="27" max="27"/>
    <col width="10.46484375" customWidth="1" style="1255" min="28" max="28"/>
    <col width="3.1328125" customWidth="1" style="1255" min="29" max="29"/>
    <col width="13.33203125" customWidth="1" style="1255" min="30" max="31"/>
    <col width="12" bestFit="1" customWidth="1" style="1255" min="32" max="32"/>
    <col width="11.53125" bestFit="1" customWidth="1" style="1255" min="33" max="33"/>
    <col width="12" bestFit="1" customWidth="1" style="1255" min="34" max="34"/>
    <col width="9" bestFit="1" customWidth="1" style="1255" min="35" max="35"/>
    <col width="9.1328125" customWidth="1" style="1255" min="36" max="16384"/>
  </cols>
  <sheetData>
    <row r="1" ht="20.65" customHeight="1" s="1232">
      <c r="I1" s="1259" t="inlineStr">
        <is>
          <t>2023</t>
        </is>
      </c>
      <c r="J1" s="1260" t="inlineStr">
        <is>
          <t>Covid Factor</t>
        </is>
      </c>
      <c r="K1" s="1261" t="n">
        <v>0</v>
      </c>
      <c r="L1" s="1261" t="n">
        <v>0</v>
      </c>
      <c r="M1" s="1261" t="n">
        <v>0</v>
      </c>
      <c r="N1" s="1261" t="n">
        <v>0</v>
      </c>
      <c r="O1" s="1261" t="n">
        <v>0</v>
      </c>
      <c r="P1" s="1261" t="n">
        <v>0</v>
      </c>
      <c r="Q1" s="1261" t="n">
        <v>0</v>
      </c>
      <c r="R1" s="1261" t="n">
        <v>0</v>
      </c>
      <c r="S1" s="1261" t="n">
        <v>0</v>
      </c>
      <c r="T1" s="1261" t="n">
        <v>0</v>
      </c>
      <c r="U1" s="1261" t="n">
        <v>0</v>
      </c>
      <c r="V1" s="1261" t="n">
        <v>0</v>
      </c>
      <c r="W1" s="1262">
        <f>SUM(K1:V1)</f>
        <v/>
      </c>
    </row>
    <row r="2" ht="13.15" customHeight="1" s="1232">
      <c r="A2" s="1265" t="inlineStr">
        <is>
          <t>Date</t>
        </is>
      </c>
      <c r="B2" s="1265" t="n"/>
      <c r="C2" s="1265" t="n"/>
      <c r="D2" s="1265" t="n"/>
      <c r="E2" s="1264" t="n"/>
      <c r="F2" s="1265" t="n"/>
      <c r="J2" s="1260" t="inlineStr">
        <is>
          <t>Weighting</t>
        </is>
      </c>
      <c r="K2" s="1266">
        <f>SUM(K38/$W38)</f>
        <v/>
      </c>
      <c r="L2" s="1266">
        <f>SUM(L38/$W38)</f>
        <v/>
      </c>
      <c r="M2" s="1266">
        <f>SUM(M38/$W38)</f>
        <v/>
      </c>
      <c r="N2" s="1266">
        <f>SUM(N38/$W38)</f>
        <v/>
      </c>
      <c r="O2" s="1266">
        <f>SUM(O38/$W38)</f>
        <v/>
      </c>
      <c r="P2" s="1266">
        <f>SUM(P38/$W38)</f>
        <v/>
      </c>
      <c r="Q2" s="1266">
        <f>SUM(Q38/$W38)</f>
        <v/>
      </c>
      <c r="R2" s="1266">
        <f>SUM(R38/$W38)</f>
        <v/>
      </c>
      <c r="S2" s="1266">
        <f>SUM(S38/$W38)</f>
        <v/>
      </c>
      <c r="T2" s="1266">
        <f>SUM(T38/$W38)</f>
        <v/>
      </c>
      <c r="U2" s="1266">
        <f>SUM(U38/$W38)</f>
        <v/>
      </c>
      <c r="V2" s="1266">
        <f>SUM(V38/$W38)</f>
        <v/>
      </c>
      <c r="W2" s="1267">
        <f>SUM(K2:V2)</f>
        <v/>
      </c>
      <c r="AD2" s="1268" t="inlineStr">
        <is>
          <t>FY</t>
        </is>
      </c>
      <c r="AE2" s="1268" t="n"/>
      <c r="AF2" s="1268" t="inlineStr">
        <is>
          <t>Total</t>
        </is>
      </c>
      <c r="AG2" s="1260" t="inlineStr">
        <is>
          <t>Apr to Dec</t>
        </is>
      </c>
      <c r="AH2" s="1260" t="inlineStr">
        <is>
          <t>Jan to Mar</t>
        </is>
      </c>
      <c r="AI2" s="1260" t="inlineStr">
        <is>
          <t>% Inc</t>
        </is>
      </c>
    </row>
    <row r="3" ht="26.25" customHeight="1" s="1232">
      <c r="A3" s="1271" t="n"/>
      <c r="B3" s="1357" t="n"/>
      <c r="C3" s="1271" t="n"/>
      <c r="D3" s="1271" t="n"/>
      <c r="E3" s="1270" t="n"/>
      <c r="F3" s="1271" t="n"/>
      <c r="G3" s="1272" t="inlineStr">
        <is>
          <t>Gross Margin Share</t>
        </is>
      </c>
      <c r="H3" s="1272" t="inlineStr">
        <is>
          <t>Sales Share</t>
        </is>
      </c>
      <c r="I3" s="1250" t="n"/>
      <c r="J3" s="1251" t="inlineStr">
        <is>
          <t>Monthly Target</t>
        </is>
      </c>
      <c r="K3" s="737">
        <f>SUM(K2+K1)*$J19</f>
        <v/>
      </c>
      <c r="L3" s="737">
        <f>SUM(L2+L1)*$J19</f>
        <v/>
      </c>
      <c r="M3" s="737">
        <f>SUM(M2+M1)*$J19</f>
        <v/>
      </c>
      <c r="N3" s="737">
        <f>SUM(N2+N1)*$J19</f>
        <v/>
      </c>
      <c r="O3" s="737">
        <f>SUM(O2+O1)*$J19</f>
        <v/>
      </c>
      <c r="P3" s="737">
        <f>SUM(P2+P1)*$J19</f>
        <v/>
      </c>
      <c r="Q3" s="737">
        <f>SUM(Q2+Q1)*$J19</f>
        <v/>
      </c>
      <c r="R3" s="737">
        <f>SUM(R2+R1)*$J19</f>
        <v/>
      </c>
      <c r="S3" s="737">
        <f>SUM(S2+S1)*$J19</f>
        <v/>
      </c>
      <c r="T3" s="737">
        <f>SUM(T2+T1)*$J19</f>
        <v/>
      </c>
      <c r="U3" s="737">
        <f>SUM(U2+U1)*$J19</f>
        <v/>
      </c>
      <c r="V3" s="737">
        <f>SUM(V2+V1)*$J19</f>
        <v/>
      </c>
      <c r="W3" s="805">
        <f>SUM(K3:V3)</f>
        <v/>
      </c>
      <c r="AA3" s="1273" t="inlineStr">
        <is>
          <t>Month No'</t>
        </is>
      </c>
      <c r="AB3" s="820" t="n">
        <v>12</v>
      </c>
      <c r="AD3" s="1255" t="n">
        <v>0.9995056846267919</v>
      </c>
      <c r="AF3" s="1268" t="n"/>
    </row>
    <row r="4" ht="13.9" customHeight="1" s="1232">
      <c r="A4" s="1271" t="n"/>
      <c r="B4" s="1357" t="n"/>
      <c r="C4" s="1271" t="n"/>
      <c r="D4" s="1271" t="n"/>
      <c r="E4" s="1270" t="n"/>
      <c r="F4" s="1271" t="n"/>
      <c r="I4" s="1250" t="n"/>
      <c r="J4" s="1251" t="n"/>
      <c r="K4" s="737" t="n"/>
      <c r="L4" s="737" t="n"/>
      <c r="M4" s="737" t="n"/>
      <c r="N4" s="737" t="n"/>
      <c r="O4" s="737" t="n"/>
      <c r="P4" s="737" t="n"/>
      <c r="Q4" s="737" t="n"/>
      <c r="R4" s="737" t="n"/>
      <c r="S4" s="737" t="n"/>
      <c r="T4" s="737" t="n"/>
      <c r="U4" s="737" t="n"/>
      <c r="V4" s="737" t="n"/>
      <c r="W4" s="805" t="n"/>
      <c r="AF4" s="1268" t="n"/>
    </row>
    <row r="5" ht="13.9" customHeight="1" s="1232">
      <c r="A5" s="1292" t="n"/>
      <c r="B5" s="1294" t="n"/>
      <c r="C5" s="1294" t="n"/>
      <c r="D5" s="1274" t="n"/>
      <c r="E5" s="1270" t="n"/>
      <c r="F5" s="1274" t="n"/>
      <c r="I5" s="1336" t="inlineStr">
        <is>
          <t>Tuition Categories</t>
        </is>
      </c>
      <c r="J5" s="1276" t="inlineStr">
        <is>
          <t>Target</t>
        </is>
      </c>
      <c r="K5" s="1332" t="inlineStr">
        <is>
          <t>Jan</t>
        </is>
      </c>
      <c r="L5" s="1332" t="inlineStr">
        <is>
          <t>Feb</t>
        </is>
      </c>
      <c r="M5" s="1332" t="inlineStr">
        <is>
          <t>Mar</t>
        </is>
      </c>
      <c r="N5" s="1332" t="inlineStr">
        <is>
          <t>Apr</t>
        </is>
      </c>
      <c r="O5" s="1332" t="inlineStr">
        <is>
          <t>May</t>
        </is>
      </c>
      <c r="P5" s="1332" t="inlineStr">
        <is>
          <t>Jun</t>
        </is>
      </c>
      <c r="Q5" s="1332" t="inlineStr">
        <is>
          <t>Jul</t>
        </is>
      </c>
      <c r="R5" s="1332" t="inlineStr">
        <is>
          <t>Aug</t>
        </is>
      </c>
      <c r="S5" s="1332" t="inlineStr">
        <is>
          <t>Sep</t>
        </is>
      </c>
      <c r="T5" s="1332" t="inlineStr">
        <is>
          <t>Oct</t>
        </is>
      </c>
      <c r="U5" s="1332" t="inlineStr">
        <is>
          <t>Nov</t>
        </is>
      </c>
      <c r="V5" s="1332" t="inlineStr">
        <is>
          <t>Dec</t>
        </is>
      </c>
      <c r="W5" s="1278" t="inlineStr">
        <is>
          <t>Year</t>
        </is>
      </c>
      <c r="X5" s="1367" t="inlineStr">
        <is>
          <t>Current Var</t>
        </is>
      </c>
      <c r="Y5" s="1280" t="inlineStr">
        <is>
          <t>Var YTD</t>
        </is>
      </c>
      <c r="Z5" s="1281" t="inlineStr">
        <is>
          <t>% YTD</t>
        </is>
      </c>
      <c r="AA5" s="1279" t="inlineStr">
        <is>
          <t>YTD Targ</t>
        </is>
      </c>
      <c r="AB5" s="1260" t="inlineStr">
        <is>
          <t>Avg.PM</t>
        </is>
      </c>
      <c r="AD5" s="1282" t="inlineStr">
        <is>
          <t>23/24</t>
        </is>
      </c>
      <c r="AE5" s="1260" t="inlineStr">
        <is>
          <t>Year 11</t>
        </is>
      </c>
      <c r="AF5" s="1283">
        <f>AG5+AH5</f>
        <v/>
      </c>
      <c r="AG5" s="1284">
        <f>SUM(N18:V18)</f>
        <v/>
      </c>
      <c r="AH5" s="1284" t="n"/>
      <c r="AI5" s="445">
        <f>SUM(AF5-AF6)/AF6</f>
        <v/>
      </c>
    </row>
    <row r="6" ht="13.9" customHeight="1" s="1232">
      <c r="A6" s="1292" t="n"/>
      <c r="B6" s="1294" t="n"/>
      <c r="C6" s="1294" t="n"/>
      <c r="D6" s="1274" t="n"/>
      <c r="E6" s="1270" t="n"/>
      <c r="F6" s="1274" t="n"/>
      <c r="G6" s="445">
        <f>W93/$W$105</f>
        <v/>
      </c>
      <c r="H6" s="445">
        <f>W6/$W$18</f>
        <v/>
      </c>
      <c r="I6" s="1333" t="inlineStr">
        <is>
          <t>1. Courses/masterclasses</t>
        </is>
      </c>
      <c r="J6" s="431" t="n">
        <v>1000</v>
      </c>
      <c r="K6" s="432">
        <f>SUMIFS($E$164:$E$566,$A$164:$A$566,"&gt;31/12/2022",$A$164:$A$566,"&lt;1/2/2023",$C$164:$C$566,$I6)</f>
        <v/>
      </c>
      <c r="L6" s="432">
        <f>SUMIFS($E$164:$E$566,$A$164:$A$566,"&gt;31/1/2023",$A$164:$A$566,"&lt;1/3/2023",$C$164:$C$566,$I6)</f>
        <v/>
      </c>
      <c r="M6" s="432">
        <f>SUMIFS($E$164:$E$566,$A$164:$A$566,"&gt;28/2/2023",$A$164:$A$566,"&lt;1/4/2023",$C$164:$C$566,$I6)</f>
        <v/>
      </c>
      <c r="N6" s="432">
        <f>SUMIFS($E$164:$E$566,$A$164:$A$566,"&gt;31/3/2023",$A$164:$A$566,"&lt;1/5/2023",$C$164:$C$566,$I6)</f>
        <v/>
      </c>
      <c r="O6" s="432">
        <f>SUMIFS($E$164:$E$566,$A$164:$A$566,"&gt;30/4/2023",$A$164:$A$566,"&lt;1/6/2023",$C$164:$C$566,$I6)</f>
        <v/>
      </c>
      <c r="P6" s="432">
        <f>SUMIFS($E$164:$E$566,$A$164:$A$566,"&gt;31/5/2023",$A$164:$A$566,"&lt;1/7/2023",$C$164:$C$566,$I6)</f>
        <v/>
      </c>
      <c r="Q6" s="432">
        <f>SUMIFS($E$164:$E$566,$A$164:$A$566,"&gt;30/6/2023",$A$164:$A$566,"&lt;1/8/2023",$C$164:$C$566,$I6)</f>
        <v/>
      </c>
      <c r="R6" s="432">
        <f>SUMIFS($E$164:$E$566,$A$164:$A$566,"&gt;31/7/2023",$A$164:$A$566,"&lt;1/9/2023",$C$164:$C$566,$I6)</f>
        <v/>
      </c>
      <c r="S6" s="432">
        <f>SUMIFS($E$164:$E$566,$A$164:$A$566,"&gt;31/8/2023",$A$164:$A$566,"&lt;1/10/2023",$C$164:$C$566,$I6)</f>
        <v/>
      </c>
      <c r="T6" s="432">
        <f>SUMIFS($E$164:$E$566,$A$164:$A$566,"&gt;30/9/2023",$A$164:$A$566,"&lt;1/11/2023",$C$164:$C$566,$I6)</f>
        <v/>
      </c>
      <c r="U6" s="432">
        <f>SUMIFS($E$164:$E$566,$A$164:$A$566,"&gt;31/10/2023",$A$164:$A$566,"&lt;1/12/2023",$C$164:$C$566,$I6)</f>
        <v/>
      </c>
      <c r="V6" s="432">
        <f>SUMIFS($E$164:$E$566,$A$164:$A$566,"&gt;30/11/2023",$A$164:$A$566,"&lt;1/1/2024",$C$164:$C$566,$I6)</f>
        <v/>
      </c>
      <c r="W6" s="431">
        <f>SUM(K6:V6)</f>
        <v/>
      </c>
      <c r="X6" s="432">
        <f>SUM(U6-(J6*12)*(V$2+V$1))</f>
        <v/>
      </c>
      <c r="Y6" s="432">
        <f>W6-AA6</f>
        <v/>
      </c>
      <c r="Z6" s="433">
        <f>Y6/AA6</f>
        <v/>
      </c>
      <c r="AA6" s="818">
        <f>SUM(J6*12)*((K$2+K$1+L$1+L$2+M$2+M$1+N$2+N$1+O$1+O$2+P$1+P$2+Q$1+Q$2+R$2+R$1+S$1+S$2+T$1+T$2+U$1+U$2+V$1+V$2))</f>
        <v/>
      </c>
      <c r="AB6" s="817">
        <f>W6/$AB$3</f>
        <v/>
      </c>
      <c r="AD6" s="1282" t="inlineStr">
        <is>
          <t>22/23</t>
        </is>
      </c>
      <c r="AE6" s="1287" t="inlineStr">
        <is>
          <t>Year 10</t>
        </is>
      </c>
      <c r="AF6" s="1283">
        <f>AG6+AH6</f>
        <v/>
      </c>
      <c r="AG6" s="1284">
        <f>SUM(N27:V27)</f>
        <v/>
      </c>
      <c r="AH6" s="1284">
        <f>SUM(K18:M18)</f>
        <v/>
      </c>
      <c r="AI6" s="445">
        <f>SUM(AF6-AF7)/AF7</f>
        <v/>
      </c>
    </row>
    <row r="7" ht="13.9" customHeight="1" s="1232">
      <c r="A7" s="1291" t="n"/>
      <c r="B7" s="1291" t="n"/>
      <c r="C7" s="1291" t="n"/>
      <c r="D7" s="1274" t="n"/>
      <c r="E7" s="1270" t="n"/>
      <c r="F7" s="1274" t="n"/>
      <c r="G7" s="445">
        <f>W94/$W$105</f>
        <v/>
      </c>
      <c r="H7" s="445">
        <f>W7/$W$18</f>
        <v/>
      </c>
      <c r="I7" s="1333" t="inlineStr">
        <is>
          <t>2. Workshops</t>
        </is>
      </c>
      <c r="J7" s="431" t="n">
        <v>1000</v>
      </c>
      <c r="K7" s="432">
        <f>SUMIFS($E$164:$E$566,$A$164:$A$566,"&gt;31/12/2022",$A$164:$A$566,"&lt;1/2/2023",$C$164:$C$566,$I7)</f>
        <v/>
      </c>
      <c r="L7" s="432">
        <f>SUMIFS($E$164:$E$566,$A$164:$A$566,"&gt;31/1/2023",$A$164:$A$566,"&lt;1/3/2023",$C$164:$C$566,$I7)</f>
        <v/>
      </c>
      <c r="M7" s="432">
        <f>SUMIFS($E$164:$E$566,$A$164:$A$566,"&gt;28/2/2023",$A$164:$A$566,"&lt;1/4/2023",$C$164:$C$566,$I7)</f>
        <v/>
      </c>
      <c r="N7" s="432">
        <f>SUMIFS($E$164:$E$566,$A$164:$A$566,"&gt;31/3/2023",$A$164:$A$566,"&lt;1/5/2023",$C$164:$C$566,$I7)</f>
        <v/>
      </c>
      <c r="O7" s="432">
        <f>SUMIFS($E$164:$E$566,$A$164:$A$566,"&gt;30/4/2023",$A$164:$A$566,"&lt;1/6/2023",$C$164:$C$566,$I7)</f>
        <v/>
      </c>
      <c r="P7" s="432">
        <f>SUMIFS($E$164:$E$566,$A$164:$A$566,"&gt;31/5/2023",$A$164:$A$566,"&lt;1/7/2023",$C$164:$C$566,$I7)</f>
        <v/>
      </c>
      <c r="Q7" s="432">
        <f>SUMIFS($E$164:$E$566,$A$164:$A$566,"&gt;30/6/2023",$A$164:$A$566,"&lt;1/8/2023",$C$164:$C$566,$I7)</f>
        <v/>
      </c>
      <c r="R7" s="432">
        <f>SUMIFS($E$164:$E$566,$A$164:$A$566,"&gt;31/7/2023",$A$164:$A$566,"&lt;1/9/2023",$C$164:$C$566,$I7)</f>
        <v/>
      </c>
      <c r="S7" s="432">
        <f>SUMIFS($E$164:$E$566,$A$164:$A$566,"&gt;31/8/2023",$A$164:$A$566,"&lt;1/10/2023",$C$164:$C$566,$I7)</f>
        <v/>
      </c>
      <c r="T7" s="432">
        <f>SUMIFS($E$164:$E$566,$A$164:$A$566,"&gt;30/9/2023",$A$164:$A$566,"&lt;1/11/2023",$C$164:$C$566,$I7)</f>
        <v/>
      </c>
      <c r="U7" s="432">
        <f>SUMIFS($E$164:$E$566,$A$164:$A$566,"&gt;31/10/2023",$A$164:$A$566,"&lt;1/12/2023",$C$164:$C$566,$I7)</f>
        <v/>
      </c>
      <c r="V7" s="432">
        <f>SUMIFS($E$164:$E$566,$A$164:$A$566,"&gt;30/11/2023",$A$164:$A$566,"&lt;1/1/2024",$C$164:$C$566,$I7)</f>
        <v/>
      </c>
      <c r="W7" s="431">
        <f>SUM(K7:V7)</f>
        <v/>
      </c>
      <c r="X7" s="432">
        <f>SUM(U7-(J7*12)*(V$2+V$1))</f>
        <v/>
      </c>
      <c r="Y7" s="432">
        <f>W7-AA7</f>
        <v/>
      </c>
      <c r="Z7" s="433">
        <f>Y7/AA7</f>
        <v/>
      </c>
      <c r="AA7" s="818">
        <f>SUM(J7*12)*((K$2+K$1+L$1+L$2+M$2+M$1+N$2+N$1+O$1+O$2+P$1+P$2+Q$1+Q$2+R$2+R$1+S$1+S$2+T$1+T$2+U$1+U$2+V$1+V$2))</f>
        <v/>
      </c>
      <c r="AB7" s="817">
        <f>W7/$AB$3</f>
        <v/>
      </c>
      <c r="AD7" s="1282" t="inlineStr">
        <is>
          <t>21/22</t>
        </is>
      </c>
      <c r="AE7" s="1287" t="inlineStr">
        <is>
          <t>Year 9 (Covid-19)</t>
        </is>
      </c>
      <c r="AF7" s="1283">
        <f>AG7+AH7</f>
        <v/>
      </c>
      <c r="AG7" s="1284">
        <f>SUM(N28:V28)</f>
        <v/>
      </c>
      <c r="AH7" s="1284">
        <f>SUM(K27:M27)</f>
        <v/>
      </c>
      <c r="AI7" s="445">
        <f>SUM(AF7-AF9)/AF9</f>
        <v/>
      </c>
    </row>
    <row r="8" ht="13.9" customHeight="1" s="1232">
      <c r="A8" s="1291" t="n"/>
      <c r="B8" s="1291" t="n"/>
      <c r="C8" s="1291" t="n"/>
      <c r="D8" s="1274" t="n"/>
      <c r="E8" s="1270" t="n"/>
      <c r="F8" s="1274" t="n"/>
      <c r="G8" s="445">
        <f>W95/$W$105</f>
        <v/>
      </c>
      <c r="H8" s="445">
        <f>W8/$W$18</f>
        <v/>
      </c>
      <c r="I8" s="1334" t="inlineStr">
        <is>
          <t>-   Workshops Residential</t>
        </is>
      </c>
      <c r="J8" s="431" t="n">
        <v>1200</v>
      </c>
      <c r="K8" s="432">
        <f>SUMIFS($E$164:$E$566,$A$164:$A$566,"&gt;31/12/2022",$A$164:$A$566,"&lt;1/2/2023",$C$164:$C$566,$I8)</f>
        <v/>
      </c>
      <c r="L8" s="432">
        <f>SUMIFS($E$164:$E$566,$A$164:$A$566,"&gt;31/1/2023",$A$164:$A$566,"&lt;1/3/2023",$C$164:$C$566,$I8)</f>
        <v/>
      </c>
      <c r="M8" s="432">
        <f>SUMIFS($E$164:$E$566,$A$164:$A$566,"&gt;28/2/2023",$A$164:$A$566,"&lt;1/4/2023",$C$164:$C$566,$I8)</f>
        <v/>
      </c>
      <c r="N8" s="432">
        <f>SUMIFS($E$164:$E$566,$A$164:$A$566,"&gt;31/3/2023",$A$164:$A$566,"&lt;1/5/2023",$C$164:$C$566,$I8)</f>
        <v/>
      </c>
      <c r="O8" s="432">
        <f>SUMIFS($E$164:$E$566,$A$164:$A$566,"&gt;30/4/2023",$A$164:$A$566,"&lt;1/6/2023",$C$164:$C$566,$I8)</f>
        <v/>
      </c>
      <c r="P8" s="432">
        <f>SUMIFS($E$164:$E$566,$A$164:$A$566,"&gt;31/5/2023",$A$164:$A$566,"&lt;1/7/2023",$C$164:$C$566,$I8)</f>
        <v/>
      </c>
      <c r="Q8" s="432">
        <f>SUMIFS($E$164:$E$566,$A$164:$A$566,"&gt;30/6/2023",$A$164:$A$566,"&lt;1/8/2023",$C$164:$C$566,$I8)</f>
        <v/>
      </c>
      <c r="R8" s="432">
        <f>SUMIFS($E$164:$E$566,$A$164:$A$566,"&gt;31/7/2023",$A$164:$A$566,"&lt;1/9/2023",$C$164:$C$566,$I8)</f>
        <v/>
      </c>
      <c r="S8" s="432">
        <f>SUMIFS($E$164:$E$566,$A$164:$A$566,"&gt;31/8/2023",$A$164:$A$566,"&lt;1/10/2023",$C$164:$C$566,$I8)</f>
        <v/>
      </c>
      <c r="T8" s="432">
        <f>SUMIFS($E$164:$E$566,$A$164:$A$566,"&gt;30/9/2023",$A$164:$A$566,"&lt;1/11/2023",$C$164:$C$566,$I8)</f>
        <v/>
      </c>
      <c r="U8" s="432">
        <f>SUMIFS($E$164:$E$566,$A$164:$A$566,"&gt;31/10/2023",$A$164:$A$566,"&lt;1/12/2023",$C$164:$C$566,$I8)</f>
        <v/>
      </c>
      <c r="V8" s="432">
        <f>SUMIFS($E$164:$E$566,$A$164:$A$566,"&gt;30/11/2023",$A$164:$A$566,"&lt;1/1/2024",$C$164:$C$566,$I8)</f>
        <v/>
      </c>
      <c r="W8" s="431">
        <f>SUM(K8:V8)</f>
        <v/>
      </c>
      <c r="X8" s="432">
        <f>SUM(U8-(J8*12)*(V$2+V$1))</f>
        <v/>
      </c>
      <c r="Y8" s="432">
        <f>W8-AA8</f>
        <v/>
      </c>
      <c r="Z8" s="433">
        <f>Y8/AA8</f>
        <v/>
      </c>
      <c r="AA8" s="818">
        <f>SUM(J8*12)*((K$2+K$1+L$1+L$2+M$2+M$1+N$2+N$1+O$1+O$2+P$1+P$2+Q$1+Q$2+R$2+R$1+S$1+S$2+T$1+T$2+U$1+U$2+V$1+V$2))</f>
        <v/>
      </c>
      <c r="AB8" s="817">
        <f>W8/$AB$3</f>
        <v/>
      </c>
      <c r="AD8" s="1282" t="n"/>
      <c r="AE8" s="1287" t="n"/>
      <c r="AF8" s="1283" t="n"/>
      <c r="AG8" s="1284" t="n"/>
      <c r="AH8" s="1284" t="n"/>
      <c r="AI8" s="445" t="n"/>
    </row>
    <row r="9" ht="13.9" customHeight="1" s="1232">
      <c r="A9" s="1291" t="n"/>
      <c r="B9" s="1291" t="n"/>
      <c r="C9" s="1291" t="n"/>
      <c r="D9" s="1274" t="n"/>
      <c r="E9" s="1270" t="n"/>
      <c r="F9" s="1274" t="n"/>
      <c r="G9" s="445">
        <f>W96/$W$105</f>
        <v/>
      </c>
      <c r="H9" s="445">
        <f>W9/$W$18</f>
        <v/>
      </c>
      <c r="I9" s="1333" t="inlineStr">
        <is>
          <t>3. Pick n Mix Inc</t>
        </is>
      </c>
      <c r="J9" s="431">
        <f>3000/12</f>
        <v/>
      </c>
      <c r="K9" s="432">
        <f>SUMIFS($E$164:$E$566,$A$164:$A$566,"&gt;31/12/2022",$A$164:$A$566,"&lt;1/2/2023",$C$164:$C$566,$I9)</f>
        <v/>
      </c>
      <c r="L9" s="432">
        <f>SUMIFS($E$164:$E$566,$A$164:$A$566,"&gt;31/1/2023",$A$164:$A$566,"&lt;1/3/2023",$C$164:$C$566,$I9)</f>
        <v/>
      </c>
      <c r="M9" s="432">
        <f>SUMIFS($E$164:$E$566,$A$164:$A$566,"&gt;28/2/2023",$A$164:$A$566,"&lt;1/4/2023",$C$164:$C$566,$I9)</f>
        <v/>
      </c>
      <c r="N9" s="432">
        <f>SUMIFS($E$164:$E$566,$A$164:$A$566,"&gt;31/3/2023",$A$164:$A$566,"&lt;1/5/2023",$C$164:$C$566,$I9)</f>
        <v/>
      </c>
      <c r="O9" s="432">
        <f>SUMIFS($E$164:$E$566,$A$164:$A$566,"&gt;30/4/2023",$A$164:$A$566,"&lt;1/6/2023",$C$164:$C$566,$I9)</f>
        <v/>
      </c>
      <c r="P9" s="432">
        <f>SUMIFS($E$164:$E$566,$A$164:$A$566,"&gt;31/5/2023",$A$164:$A$566,"&lt;1/7/2023",$C$164:$C$566,$I9)</f>
        <v/>
      </c>
      <c r="Q9" s="432">
        <f>SUMIFS($E$164:$E$566,$A$164:$A$566,"&gt;30/6/2023",$A$164:$A$566,"&lt;1/8/2023",$C$164:$C$566,$I9)</f>
        <v/>
      </c>
      <c r="R9" s="432">
        <f>SUMIFS($E$164:$E$566,$A$164:$A$566,"&gt;31/7/2023",$A$164:$A$566,"&lt;1/9/2023",$C$164:$C$566,$I9)</f>
        <v/>
      </c>
      <c r="S9" s="432">
        <f>SUMIFS($E$164:$E$566,$A$164:$A$566,"&gt;31/8/2023",$A$164:$A$566,"&lt;1/10/2023",$C$164:$C$566,$I9)</f>
        <v/>
      </c>
      <c r="T9" s="432">
        <f>SUMIFS($E$164:$E$566,$A$164:$A$566,"&gt;30/9/2023",$A$164:$A$566,"&lt;1/11/2023",$C$164:$C$566,$I9)</f>
        <v/>
      </c>
      <c r="U9" s="432">
        <f>SUMIFS($E$164:$E$566,$A$164:$A$566,"&gt;31/10/2023",$A$164:$A$566,"&lt;1/12/2023",$C$164:$C$566,$I9)</f>
        <v/>
      </c>
      <c r="V9" s="432">
        <f>SUMIFS($E$164:$E$566,$A$164:$A$566,"&gt;30/11/2023",$A$164:$A$566,"&lt;1/1/2024",$C$164:$C$566,$I9)</f>
        <v/>
      </c>
      <c r="W9" s="431">
        <f>SUM(K9:V9)</f>
        <v/>
      </c>
      <c r="X9" s="432">
        <f>SUM(U9-(J9*12)*(V$2+V$1))</f>
        <v/>
      </c>
      <c r="Y9" s="432">
        <f>W9-AA9</f>
        <v/>
      </c>
      <c r="Z9" s="433">
        <f>Y9/AA9</f>
        <v/>
      </c>
      <c r="AA9" s="818">
        <f>SUM(J9*12)*((K$2+K$1+L$1+L$2+M$2+M$1+N$2+N$1+O$1+O$2+P$1+P$2+Q$1+Q$2+R$2+R$1+S$1+S$2+T$1+T$2+U$1+U$2+V$1+V$2))</f>
        <v/>
      </c>
      <c r="AB9" s="817">
        <f>W9/$AB$3</f>
        <v/>
      </c>
      <c r="AD9" s="1282" t="inlineStr">
        <is>
          <t>20/21</t>
        </is>
      </c>
      <c r="AE9" s="1287" t="inlineStr">
        <is>
          <t>Year 8 (Covid-19)</t>
        </is>
      </c>
      <c r="AF9" s="1283">
        <f>AG9+AH9</f>
        <v/>
      </c>
      <c r="AG9" s="1284">
        <f>SUM(N29:V29)</f>
        <v/>
      </c>
      <c r="AH9" s="1284">
        <f>SUM(K28:M28)</f>
        <v/>
      </c>
      <c r="AI9" s="445">
        <f>SUM(AF9-AF10)/AF10</f>
        <v/>
      </c>
    </row>
    <row r="10" ht="13.9" customHeight="1" s="1232">
      <c r="A10" s="1291" t="n"/>
      <c r="B10" s="1291" t="n"/>
      <c r="C10" s="1294" t="n"/>
      <c r="D10" s="1274" t="n"/>
      <c r="E10" s="1270" t="n"/>
      <c r="F10" s="1274" t="n"/>
      <c r="G10" s="445">
        <f>W97/$W$105</f>
        <v/>
      </c>
      <c r="H10" s="445">
        <f>W10/$W$18</f>
        <v/>
      </c>
      <c r="I10" s="1333" t="inlineStr">
        <is>
          <t>4. Pick n Mix Out</t>
        </is>
      </c>
      <c r="J10" s="431">
        <f>-3000/12</f>
        <v/>
      </c>
      <c r="K10" s="432">
        <f>SUMIFS($E$164:$E$566,$A$164:$A$566,"&gt;31/12/2022",$A$164:$A$566,"&lt;1/2/2023",$C$164:$C$566,$I10)</f>
        <v/>
      </c>
      <c r="L10" s="432">
        <f>SUMIFS($E$164:$E$566,$A$164:$A$566,"&gt;31/1/2023",$A$164:$A$566,"&lt;1/3/2023",$C$164:$C$566,$I10)</f>
        <v/>
      </c>
      <c r="M10" s="432">
        <f>SUMIFS($E$164:$E$566,$A$164:$A$566,"&gt;28/2/2023",$A$164:$A$566,"&lt;1/4/2023",$C$164:$C$566,$I10)</f>
        <v/>
      </c>
      <c r="N10" s="432">
        <f>SUMIFS($E$164:$E$566,$A$164:$A$566,"&gt;31/3/2023",$A$164:$A$566,"&lt;1/5/2023",$C$164:$C$566,$I10)</f>
        <v/>
      </c>
      <c r="O10" s="432">
        <f>SUMIFS($E$164:$E$566,$A$164:$A$566,"&gt;30/4/2023",$A$164:$A$566,"&lt;1/6/2023",$C$164:$C$566,$I10)</f>
        <v/>
      </c>
      <c r="P10" s="432">
        <f>SUMIFS($E$164:$E$566,$A$164:$A$566,"&gt;31/5/2023",$A$164:$A$566,"&lt;1/7/2023",$C$164:$C$566,$I10)</f>
        <v/>
      </c>
      <c r="Q10" s="432">
        <f>SUMIFS($E$164:$E$566,$A$164:$A$566,"&gt;30/6/2023",$A$164:$A$566,"&lt;1/8/2023",$C$164:$C$566,$I10)</f>
        <v/>
      </c>
      <c r="R10" s="432">
        <f>SUMIFS($E$164:$E$566,$A$164:$A$566,"&gt;31/7/2023",$A$164:$A$566,"&lt;1/9/2023",$C$164:$C$566,$I10)</f>
        <v/>
      </c>
      <c r="S10" s="432">
        <f>SUMIFS($E$164:$E$566,$A$164:$A$566,"&gt;31/8/2023",$A$164:$A$566,"&lt;1/10/2023",$C$164:$C$566,$I10)</f>
        <v/>
      </c>
      <c r="T10" s="432">
        <f>SUMIFS($E$164:$E$566,$A$164:$A$566,"&gt;30/9/2023",$A$164:$A$566,"&lt;1/11/2023",$C$164:$C$566,$I10)</f>
        <v/>
      </c>
      <c r="U10" s="432">
        <f>SUMIFS($E$164:$E$566,$A$164:$A$566,"&gt;31/10/2023",$A$164:$A$566,"&lt;1/12/2023",$C$164:$C$566,$I10)</f>
        <v/>
      </c>
      <c r="V10" s="432">
        <f>SUMIFS($E$164:$E$566,$A$164:$A$566,"&gt;30/11/2023",$A$164:$A$566,"&lt;1/1/2024",$C$164:$C$566,$I10)</f>
        <v/>
      </c>
      <c r="W10" s="704">
        <f>SUM(K10:V10)</f>
        <v/>
      </c>
      <c r="X10" s="432">
        <f>SUM(U10-(J10*12)*(V$2+V$1))</f>
        <v/>
      </c>
      <c r="Y10" s="432">
        <f>W10-AA10</f>
        <v/>
      </c>
      <c r="Z10" s="433">
        <f>Y10/AA10</f>
        <v/>
      </c>
      <c r="AA10" s="818">
        <f>SUM(J10*12)*((K$2+K$1+L$1+L$2+M$2+M$1+N$2+N$1+O$1+O$2+P$1+P$2+Q$1+Q$2+R$2+R$1+S$1+S$2+T$1+T$2+U$1+U$2+V$1+V$2))</f>
        <v/>
      </c>
      <c r="AB10" s="817">
        <f>W10/$AB$3</f>
        <v/>
      </c>
      <c r="AD10" s="1282" t="inlineStr">
        <is>
          <t>19/20</t>
        </is>
      </c>
      <c r="AE10" s="1287" t="inlineStr">
        <is>
          <t>Year 7</t>
        </is>
      </c>
      <c r="AF10" s="1283">
        <f>AG10+AH10</f>
        <v/>
      </c>
      <c r="AG10" s="1284">
        <f>SUM(N30:V30)</f>
        <v/>
      </c>
      <c r="AH10" s="1284">
        <f>SUM(K29:M29)</f>
        <v/>
      </c>
      <c r="AI10" s="445">
        <f>SUM(AF10-AF11)/AF11</f>
        <v/>
      </c>
    </row>
    <row r="11" ht="13.9" customHeight="1" s="1232">
      <c r="A11" s="1291" t="n"/>
      <c r="B11" s="1291" t="n"/>
      <c r="C11" s="1291" t="n"/>
      <c r="D11" s="1291" t="n"/>
      <c r="E11" s="1270" t="n"/>
      <c r="F11" s="1291" t="n"/>
      <c r="G11" s="445">
        <f>W98/$W$105</f>
        <v/>
      </c>
      <c r="H11" s="445">
        <f>W11/$W$18</f>
        <v/>
      </c>
      <c r="I11" s="1333" t="inlineStr">
        <is>
          <t>5. Mentoring</t>
        </is>
      </c>
      <c r="J11" s="431" t="n">
        <v>100</v>
      </c>
      <c r="K11" s="432">
        <f>SUMIFS($E$164:$E$566,$A$164:$A$566,"&gt;31/12/2022",$A$164:$A$566,"&lt;1/2/2023",$C$164:$C$566,$I11)</f>
        <v/>
      </c>
      <c r="L11" s="432">
        <f>SUMIFS($E$164:$E$566,$A$164:$A$566,"&gt;31/1/2023",$A$164:$A$566,"&lt;1/3/2023",$C$164:$C$566,$I11)</f>
        <v/>
      </c>
      <c r="M11" s="432">
        <f>SUMIFS($E$164:$E$566,$A$164:$A$566,"&gt;28/2/2023",$A$164:$A$566,"&lt;1/4/2023",$C$164:$C$566,$I11)</f>
        <v/>
      </c>
      <c r="N11" s="432">
        <f>SUMIFS($E$164:$E$566,$A$164:$A$566,"&gt;31/3/2023",$A$164:$A$566,"&lt;1/5/2023",$C$164:$C$566,$I11)</f>
        <v/>
      </c>
      <c r="O11" s="432">
        <f>SUMIFS($E$164:$E$566,$A$164:$A$566,"&gt;30/4/2023",$A$164:$A$566,"&lt;1/6/2023",$C$164:$C$566,$I11)</f>
        <v/>
      </c>
      <c r="P11" s="432">
        <f>SUMIFS($E$164:$E$566,$A$164:$A$566,"&gt;31/5/2023",$A$164:$A$566,"&lt;1/7/2023",$C$164:$C$566,$I11)</f>
        <v/>
      </c>
      <c r="Q11" s="432">
        <f>SUMIFS($E$164:$E$566,$A$164:$A$566,"&gt;30/6/2023",$A$164:$A$566,"&lt;1/8/2023",$C$164:$C$566,$I11)</f>
        <v/>
      </c>
      <c r="R11" s="432">
        <f>SUMIFS($E$164:$E$566,$A$164:$A$566,"&gt;31/7/2023",$A$164:$A$566,"&lt;1/9/2023",$C$164:$C$566,$I11)</f>
        <v/>
      </c>
      <c r="S11" s="432">
        <f>SUMIFS($E$164:$E$566,$A$164:$A$566,"&gt;31/8/2023",$A$164:$A$566,"&lt;1/10/2023",$C$164:$C$566,$I11)</f>
        <v/>
      </c>
      <c r="T11" s="432">
        <f>SUMIFS($E$164:$E$566,$A$164:$A$566,"&gt;30/9/2023",$A$164:$A$566,"&lt;1/11/2023",$C$164:$C$566,$I11)</f>
        <v/>
      </c>
      <c r="U11" s="432">
        <f>SUMIFS($E$164:$E$566,$A$164:$A$566,"&gt;31/10/2023",$A$164:$A$566,"&lt;1/12/2023",$C$164:$C$566,$I11)</f>
        <v/>
      </c>
      <c r="V11" s="432">
        <f>SUMIFS($E$164:$E$566,$A$164:$A$566,"&gt;30/11/2023",$A$164:$A$566,"&lt;1/1/2024",$C$164:$C$566,$I11)</f>
        <v/>
      </c>
      <c r="W11" s="431">
        <f>SUM(K11:V11)</f>
        <v/>
      </c>
      <c r="X11" s="432">
        <f>SUM(U11-(J11*12)*(V$2+V$1))</f>
        <v/>
      </c>
      <c r="Y11" s="432">
        <f>W11-AA11</f>
        <v/>
      </c>
      <c r="Z11" s="433">
        <f>Y11/AA11</f>
        <v/>
      </c>
      <c r="AA11" s="818">
        <f>SUM(J11*12)*((K$2+K$1+L$1+L$2+M$2+M$1+N$2+N$1+O$1+O$2+P$1+P$2+Q$1+Q$2+R$2+R$1+S$1+S$2+T$1+T$2+U$1+U$2+V$1+V$2))</f>
        <v/>
      </c>
      <c r="AB11" s="817">
        <f>W11/$AB$3</f>
        <v/>
      </c>
      <c r="AD11" s="1282" t="inlineStr">
        <is>
          <t>18/19</t>
        </is>
      </c>
      <c r="AE11" s="1260" t="inlineStr">
        <is>
          <t>Year 6</t>
        </is>
      </c>
      <c r="AF11" s="1283">
        <f>AG11+AH11</f>
        <v/>
      </c>
      <c r="AG11" s="1284">
        <f>SUM(N31:V31)</f>
        <v/>
      </c>
      <c r="AH11" s="1284">
        <f>SUM(K30:M30)</f>
        <v/>
      </c>
      <c r="AI11" s="445">
        <f>SUM(AF11-AF12)/AF12</f>
        <v/>
      </c>
    </row>
    <row r="12" ht="13.9" customHeight="1" s="1232">
      <c r="A12" s="1292" t="n"/>
      <c r="B12" s="1294" t="n"/>
      <c r="C12" s="1294" t="n"/>
      <c r="D12" s="1292" t="n"/>
      <c r="E12" s="1293" t="n"/>
      <c r="F12" s="1260" t="n"/>
      <c r="G12" s="445">
        <f>W99/$W$105</f>
        <v/>
      </c>
      <c r="H12" s="445">
        <f>W12/$W$18</f>
        <v/>
      </c>
      <c r="I12" s="1334" t="inlineStr">
        <is>
          <t>6. 1-2-1</t>
        </is>
      </c>
      <c r="J12" s="431">
        <f>12000/12</f>
        <v/>
      </c>
      <c r="K12" s="432">
        <f>SUMIFS($E$164:$E$566,$A$164:$A$566,"&gt;31/12/2022",$A$164:$A$566,"&lt;1/2/2023",$C$164:$C$566,$I12)</f>
        <v/>
      </c>
      <c r="L12" s="432">
        <f>SUMIFS($E$164:$E$566,$A$164:$A$566,"&gt;31/1/2023",$A$164:$A$566,"&lt;1/3/2023",$C$164:$C$566,$I12)</f>
        <v/>
      </c>
      <c r="M12" s="432">
        <f>SUMIFS($E$164:$E$566,$A$164:$A$566,"&gt;28/2/2023",$A$164:$A$566,"&lt;1/4/2023",$C$164:$C$566,$I12)</f>
        <v/>
      </c>
      <c r="N12" s="432">
        <f>SUMIFS($E$164:$E$566,$A$164:$A$566,"&gt;31/3/2023",$A$164:$A$566,"&lt;1/5/2023",$C$164:$C$566,$I12)</f>
        <v/>
      </c>
      <c r="O12" s="432">
        <f>SUMIFS($E$164:$E$566,$A$164:$A$566,"&gt;30/4/2023",$A$164:$A$566,"&lt;1/6/2023",$C$164:$C$566,$I12)</f>
        <v/>
      </c>
      <c r="P12" s="432">
        <f>SUMIFS($E$164:$E$566,$A$164:$A$566,"&gt;31/5/2023",$A$164:$A$566,"&lt;1/7/2023",$C$164:$C$566,$I12)</f>
        <v/>
      </c>
      <c r="Q12" s="432">
        <f>SUMIFS($E$164:$E$566,$A$164:$A$566,"&gt;30/6/2023",$A$164:$A$566,"&lt;1/8/2023",$C$164:$C$566,$I12)</f>
        <v/>
      </c>
      <c r="R12" s="432">
        <f>SUMIFS($E$164:$E$566,$A$164:$A$566,"&gt;31/7/2023",$A$164:$A$566,"&lt;1/9/2023",$C$164:$C$566,$I12)</f>
        <v/>
      </c>
      <c r="S12" s="432">
        <f>SUMIFS($E$164:$E$566,$A$164:$A$566,"&gt;31/8/2023",$A$164:$A$566,"&lt;1/10/2023",$C$164:$C$566,$I12)</f>
        <v/>
      </c>
      <c r="T12" s="432">
        <f>SUMIFS($E$164:$E$566,$A$164:$A$566,"&gt;30/9/2023",$A$164:$A$566,"&lt;1/11/2023",$C$164:$C$566,$I12)</f>
        <v/>
      </c>
      <c r="U12" s="432">
        <f>SUMIFS($E$164:$E$566,$A$164:$A$566,"&gt;31/10/2023",$A$164:$A$566,"&lt;1/12/2023",$C$164:$C$566,$I12)</f>
        <v/>
      </c>
      <c r="V12" s="432">
        <f>SUMIFS($E$164:$E$566,$A$164:$A$566,"&gt;30/11/2023",$A$164:$A$566,"&lt;1/1/2024",$C$164:$C$566,$I12)</f>
        <v/>
      </c>
      <c r="W12" s="431">
        <f>SUM(K12:V12)</f>
        <v/>
      </c>
      <c r="X12" s="432">
        <f>SUM(U12-(J12*12)*(V$2+V$1))</f>
        <v/>
      </c>
      <c r="Y12" s="432">
        <f>W12-AA12</f>
        <v/>
      </c>
      <c r="Z12" s="433">
        <f>Y12/AA12</f>
        <v/>
      </c>
      <c r="AA12" s="818">
        <f>SUM(J12*12)*((K$2+K$1+L$1+L$2+M$2+M$1+N$2+N$1+O$1+O$2+P$1+P$2+Q$1+Q$2+R$2+R$1+S$1+S$2+T$1+T$2+U$1+U$2+V$1+V$2))</f>
        <v/>
      </c>
      <c r="AB12" s="817">
        <f>W12/$AB$3</f>
        <v/>
      </c>
      <c r="AD12" s="1282" t="inlineStr">
        <is>
          <t>17/18</t>
        </is>
      </c>
      <c r="AE12" s="1260" t="inlineStr">
        <is>
          <t>Year 5</t>
        </is>
      </c>
      <c r="AF12" s="1283">
        <f>AG12+AH12</f>
        <v/>
      </c>
      <c r="AG12" s="1284">
        <f>SUM(N32:V32)</f>
        <v/>
      </c>
      <c r="AH12" s="1284">
        <f>SUM(K31:M31)</f>
        <v/>
      </c>
      <c r="AI12" s="445">
        <f>SUM(AF12-AF13)/AF13</f>
        <v/>
      </c>
    </row>
    <row r="13" ht="13.9" customHeight="1" s="1232">
      <c r="A13" s="1292" t="n"/>
      <c r="B13" s="1294" t="n"/>
      <c r="C13" s="1294" t="n"/>
      <c r="D13" s="1292" t="n"/>
      <c r="E13" s="1293" t="n"/>
      <c r="F13" s="1260" t="n"/>
      <c r="G13" s="445">
        <f>W100/$W$105</f>
        <v/>
      </c>
      <c r="H13" s="445">
        <f>W13/$W$18</f>
        <v/>
      </c>
      <c r="I13" s="1334" t="inlineStr">
        <is>
          <t>7. Gift Vouchers Inc</t>
        </is>
      </c>
      <c r="J13" s="431" t="n">
        <v>300</v>
      </c>
      <c r="K13" s="432">
        <f>SUMIFS($E$164:$E$566,$A$164:$A$566,"&gt;31/12/2022",$A$164:$A$566,"&lt;1/2/2023",$C$164:$C$566,$I13)</f>
        <v/>
      </c>
      <c r="L13" s="432">
        <f>SUMIFS($E$164:$E$566,$A$164:$A$566,"&gt;31/1/2023",$A$164:$A$566,"&lt;1/3/2023",$C$164:$C$566,$I13)</f>
        <v/>
      </c>
      <c r="M13" s="432">
        <f>SUMIFS($E$164:$E$566,$A$164:$A$566,"&gt;28/2/2023",$A$164:$A$566,"&lt;1/4/2023",$C$164:$C$566,$I13)</f>
        <v/>
      </c>
      <c r="N13" s="432">
        <f>SUMIFS($E$164:$E$566,$A$164:$A$566,"&gt;31/3/2023",$A$164:$A$566,"&lt;1/5/2023",$C$164:$C$566,$I13)</f>
        <v/>
      </c>
      <c r="O13" s="432">
        <f>SUMIFS($E$164:$E$566,$A$164:$A$566,"&gt;30/4/2023",$A$164:$A$566,"&lt;1/6/2023",$C$164:$C$566,$I13)</f>
        <v/>
      </c>
      <c r="P13" s="432">
        <f>SUMIFS($E$164:$E$566,$A$164:$A$566,"&gt;31/5/2023",$A$164:$A$566,"&lt;1/7/2023",$C$164:$C$566,$I13)</f>
        <v/>
      </c>
      <c r="Q13" s="432">
        <f>SUMIFS($E$164:$E$566,$A$164:$A$566,"&gt;30/6/2023",$A$164:$A$566,"&lt;1/8/2023",$C$164:$C$566,$I13)</f>
        <v/>
      </c>
      <c r="R13" s="432">
        <f>SUMIFS($E$164:$E$566,$A$164:$A$566,"&gt;31/7/2023",$A$164:$A$566,"&lt;1/9/2023",$C$164:$C$566,$I13)</f>
        <v/>
      </c>
      <c r="S13" s="432">
        <f>SUMIFS($E$164:$E$566,$A$164:$A$566,"&gt;31/8/2023",$A$164:$A$566,"&lt;1/10/2023",$C$164:$C$566,$I13)</f>
        <v/>
      </c>
      <c r="T13" s="432">
        <f>SUMIFS($E$164:$E$566,$A$164:$A$566,"&gt;30/9/2023",$A$164:$A$566,"&lt;1/11/2023",$C$164:$C$566,$I13)</f>
        <v/>
      </c>
      <c r="U13" s="432">
        <f>SUMIFS($E$164:$E$566,$A$164:$A$566,"&gt;31/10/2023",$A$164:$A$566,"&lt;1/12/2023",$C$164:$C$566,$I13)</f>
        <v/>
      </c>
      <c r="V13" s="432">
        <f>SUMIFS($E$164:$E$566,$A$164:$A$566,"&gt;30/11/2023",$A$164:$A$566,"&lt;1/1/2024",$C$164:$C$566,$I13)</f>
        <v/>
      </c>
      <c r="W13" s="431">
        <f>SUM(K13:V13)</f>
        <v/>
      </c>
      <c r="X13" s="432">
        <f>SUM(U13-(J13*12)*(V$2+V$1))</f>
        <v/>
      </c>
      <c r="Y13" s="432">
        <f>W13-AA13</f>
        <v/>
      </c>
      <c r="Z13" s="433">
        <f>Y13/AA13</f>
        <v/>
      </c>
      <c r="AA13" s="818">
        <f>SUM(J13*12)*((K$2+K$1+L$1+L$2+M$2+M$1+N$2+N$1+O$1+O$2+P$1+P$2+Q$1+Q$2+R$2+R$1+S$1+S$2+T$1+T$2+U$1+U$2+V$1+V$2))</f>
        <v/>
      </c>
      <c r="AB13" s="817">
        <f>W13/$AB$3</f>
        <v/>
      </c>
      <c r="AD13" s="1282" t="inlineStr">
        <is>
          <t>16/17</t>
        </is>
      </c>
      <c r="AE13" s="1287" t="inlineStr">
        <is>
          <t>Year 4 (surgery)</t>
        </is>
      </c>
      <c r="AF13" s="1283">
        <f>AG13+AH13</f>
        <v/>
      </c>
      <c r="AG13" s="1284">
        <f>SUM(N33:V33)</f>
        <v/>
      </c>
      <c r="AH13" s="1284">
        <f>SUM(K32:M32)</f>
        <v/>
      </c>
      <c r="AI13" s="445">
        <f>SUM(AF13-AF14)/AF14</f>
        <v/>
      </c>
    </row>
    <row r="14" ht="13.9" customHeight="1" s="1232">
      <c r="A14" s="1292" t="n"/>
      <c r="B14" s="1294" t="n"/>
      <c r="C14" s="1294" t="n"/>
      <c r="D14" s="1292" t="n"/>
      <c r="E14" s="1293" t="n"/>
      <c r="F14" s="1260" t="n"/>
      <c r="G14" s="445">
        <f>W101/$W$105</f>
        <v/>
      </c>
      <c r="H14" s="445">
        <f>W14/$W$18</f>
        <v/>
      </c>
      <c r="I14" s="1334" t="inlineStr">
        <is>
          <t>8. Gift Vouchers Out</t>
        </is>
      </c>
      <c r="J14" s="431" t="n">
        <v>-200</v>
      </c>
      <c r="K14" s="432">
        <f>SUMIFS($E$164:$E$566,$A$164:$A$566,"&gt;31/12/2022",$A$164:$A$566,"&lt;1/2/2023",$C$164:$C$566,$I14)</f>
        <v/>
      </c>
      <c r="L14" s="432">
        <f>SUMIFS($E$164:$E$566,$A$164:$A$566,"&gt;31/1/2023",$A$164:$A$566,"&lt;1/3/2023",$C$164:$C$566,$I14)</f>
        <v/>
      </c>
      <c r="M14" s="432">
        <f>SUMIFS($E$164:$E$566,$A$164:$A$566,"&gt;28/2/2023",$A$164:$A$566,"&lt;1/4/2023",$C$164:$C$566,$I14)</f>
        <v/>
      </c>
      <c r="N14" s="432">
        <f>SUMIFS($E$164:$E$566,$A$164:$A$566,"&gt;31/3/2023",$A$164:$A$566,"&lt;1/5/2023",$C$164:$C$566,$I14)</f>
        <v/>
      </c>
      <c r="O14" s="432">
        <f>SUMIFS($E$164:$E$566,$A$164:$A$566,"&gt;30/4/2023",$A$164:$A$566,"&lt;1/6/2023",$C$164:$C$566,$I14)</f>
        <v/>
      </c>
      <c r="P14" s="432">
        <f>SUMIFS($E$164:$E$566,$A$164:$A$566,"&gt;31/5/2023",$A$164:$A$566,"&lt;1/7/2023",$C$164:$C$566,$I14)</f>
        <v/>
      </c>
      <c r="Q14" s="432">
        <f>SUMIFS($E$164:$E$566,$A$164:$A$566,"&gt;30/6/2023",$A$164:$A$566,"&lt;1/8/2023",$C$164:$C$566,$I14)</f>
        <v/>
      </c>
      <c r="R14" s="432">
        <f>SUMIFS($E$164:$E$566,$A$164:$A$566,"&gt;31/7/2023",$A$164:$A$566,"&lt;1/9/2023",$C$164:$C$566,$I14)</f>
        <v/>
      </c>
      <c r="S14" s="432">
        <f>SUMIFS($E$164:$E$566,$A$164:$A$566,"&gt;31/8/2023",$A$164:$A$566,"&lt;1/10/2023",$C$164:$C$566,$I14)</f>
        <v/>
      </c>
      <c r="T14" s="432">
        <f>SUMIFS($E$164:$E$566,$A$164:$A$566,"&gt;30/9/2023",$A$164:$A$566,"&lt;1/11/2023",$C$164:$C$566,$I14)</f>
        <v/>
      </c>
      <c r="U14" s="432">
        <f>SUMIFS($E$164:$E$566,$A$164:$A$566,"&gt;31/10/2023",$A$164:$A$566,"&lt;1/12/2023",$C$164:$C$566,$I14)</f>
        <v/>
      </c>
      <c r="V14" s="432">
        <f>SUMIFS($E$164:$E$566,$A$164:$A$566,"&gt;30/11/2023",$A$164:$A$566,"&lt;1/1/2024",$C$164:$C$566,$I14)</f>
        <v/>
      </c>
      <c r="W14" s="431">
        <f>SUM(K14:V14)</f>
        <v/>
      </c>
      <c r="X14" s="432">
        <f>SUM(U14-(J14*12)*(V$2+V$1))</f>
        <v/>
      </c>
      <c r="Y14" s="432">
        <f>W14-AA14</f>
        <v/>
      </c>
      <c r="Z14" s="433">
        <f>Y14/AA14</f>
        <v/>
      </c>
      <c r="AA14" s="818">
        <f>SUM(J14*12)*((K$2+K$1+L$1+L$2+M$2+M$1+N$2+N$1+O$1+O$2+P$1+P$2+Q$1+Q$2+R$2+R$1+S$1+S$2+T$1+T$2+U$1+U$2+V$1+V$2))</f>
        <v/>
      </c>
      <c r="AB14" s="817">
        <f>W14/$AB$3</f>
        <v/>
      </c>
      <c r="AD14" s="1282" t="inlineStr">
        <is>
          <t>15/16</t>
        </is>
      </c>
      <c r="AE14" s="1260" t="inlineStr">
        <is>
          <t>Year 3</t>
        </is>
      </c>
      <c r="AF14" s="1283">
        <f>AG14+AH14</f>
        <v/>
      </c>
      <c r="AG14" s="1284">
        <f>SUM(N34:V34)</f>
        <v/>
      </c>
      <c r="AH14" s="1284">
        <f>SUM(K33:M33)</f>
        <v/>
      </c>
      <c r="AI14" s="445">
        <f>SUM(AF14-AF15)/AF15</f>
        <v/>
      </c>
    </row>
    <row r="15" ht="13.9" customHeight="1" s="1232">
      <c r="A15" s="1292" t="n"/>
      <c r="B15" s="1294" t="n"/>
      <c r="C15" s="1294" t="n"/>
      <c r="D15" s="1292" t="n"/>
      <c r="E15" s="1293" t="n"/>
      <c r="F15" s="1260" t="n"/>
      <c r="G15" s="445">
        <f>W102/$W$105</f>
        <v/>
      </c>
      <c r="H15" s="445">
        <f>W15/$W$18</f>
        <v/>
      </c>
      <c r="I15" s="1334" t="inlineStr">
        <is>
          <t>9. Prints &amp; Royalties</t>
        </is>
      </c>
      <c r="J15" s="431" t="n">
        <v>150</v>
      </c>
      <c r="K15" s="432">
        <f>SUMIFS($E$164:$E$566,$A$164:$A$566,"&gt;31/12/2022",$A$164:$A$566,"&lt;1/2/2023",$C$164:$C$566,$I15)</f>
        <v/>
      </c>
      <c r="L15" s="432">
        <f>SUMIFS($E$164:$E$566,$A$164:$A$566,"&gt;31/1/2023",$A$164:$A$566,"&lt;1/3/2023",$C$164:$C$566,$I15)</f>
        <v/>
      </c>
      <c r="M15" s="432">
        <f>SUMIFS($E$164:$E$566,$A$164:$A$566,"&gt;28/2/2023",$A$164:$A$566,"&lt;1/4/2023",$C$164:$C$566,$I15)</f>
        <v/>
      </c>
      <c r="N15" s="432">
        <f>SUMIFS($E$164:$E$566,$A$164:$A$566,"&gt;31/3/2023",$A$164:$A$566,"&lt;1/5/2023",$C$164:$C$566,$I15)</f>
        <v/>
      </c>
      <c r="O15" s="432">
        <f>SUMIFS($E$164:$E$566,$A$164:$A$566,"&gt;30/4/2023",$A$164:$A$566,"&lt;1/6/2023",$C$164:$C$566,$I15)</f>
        <v/>
      </c>
      <c r="P15" s="432">
        <f>SUMIFS($E$164:$E$566,$A$164:$A$566,"&gt;31/5/2023",$A$164:$A$566,"&lt;1/7/2023",$C$164:$C$566,$I15)</f>
        <v/>
      </c>
      <c r="Q15" s="432">
        <f>SUMIFS($E$164:$E$566,$A$164:$A$566,"&gt;30/6/2023",$A$164:$A$566,"&lt;1/8/2023",$C$164:$C$566,$I15)</f>
        <v/>
      </c>
      <c r="R15" s="432">
        <f>SUMIFS($E$164:$E$566,$A$164:$A$566,"&gt;31/7/2023",$A$164:$A$566,"&lt;1/9/2023",$C$164:$C$566,$I15)</f>
        <v/>
      </c>
      <c r="S15" s="432">
        <f>SUMIFS($E$164:$E$566,$A$164:$A$566,"&gt;31/8/2023",$A$164:$A$566,"&lt;1/10/2023",$C$164:$C$566,$I15)</f>
        <v/>
      </c>
      <c r="T15" s="432">
        <f>SUMIFS($E$164:$E$566,$A$164:$A$566,"&gt;30/9/2023",$A$164:$A$566,"&lt;1/11/2023",$C$164:$C$566,$I15)</f>
        <v/>
      </c>
      <c r="U15" s="432">
        <f>SUMIFS($E$164:$E$566,$A$164:$A$566,"&gt;31/10/2023",$A$164:$A$566,"&lt;1/12/2023",$C$164:$C$566,$I15)</f>
        <v/>
      </c>
      <c r="V15" s="432">
        <f>SUMIFS($E$164:$E$566,$A$164:$A$566,"&gt;30/11/2023",$A$164:$A$566,"&lt;1/1/2024",$C$164:$C$566,$I15)</f>
        <v/>
      </c>
      <c r="W15" s="431">
        <f>SUM(K15:V15)</f>
        <v/>
      </c>
      <c r="X15" s="432">
        <f>SUM(U15-(J15*12)*(V$2+V$1))</f>
        <v/>
      </c>
      <c r="Y15" s="432">
        <f>W15-AA15</f>
        <v/>
      </c>
      <c r="Z15" s="433">
        <f>Y15/AA15</f>
        <v/>
      </c>
      <c r="AA15" s="818">
        <f>SUM(J15*12)*((K$2+K$1+L$1+L$2+M$2+M$1+N$2+N$1+O$1+O$2+P$1+P$2+Q$1+Q$2+R$2+R$1+S$1+S$2+T$1+T$2+U$1+U$2+V$1+V$2))</f>
        <v/>
      </c>
      <c r="AB15" s="817">
        <f>W15/$AB$3</f>
        <v/>
      </c>
      <c r="AD15" s="1282" t="inlineStr">
        <is>
          <t>14/15</t>
        </is>
      </c>
      <c r="AE15" s="1260" t="inlineStr">
        <is>
          <t>Year 2</t>
        </is>
      </c>
      <c r="AF15" s="1283">
        <f>AG15+AH15</f>
        <v/>
      </c>
      <c r="AG15" s="1284">
        <f>SUM(N35:V35)</f>
        <v/>
      </c>
      <c r="AH15" s="1284">
        <f>SUM(K34:M34)</f>
        <v/>
      </c>
      <c r="AI15" s="445" t="n"/>
    </row>
    <row r="16" ht="13.9" customHeight="1" s="1232">
      <c r="A16" s="1292" t="n"/>
      <c r="B16" s="1294" t="n"/>
      <c r="C16" s="1294" t="n"/>
      <c r="D16" s="1292" t="n"/>
      <c r="E16" s="1293" t="n"/>
      <c r="F16" s="1260" t="n"/>
      <c r="G16" s="445">
        <f>W103/$W$105</f>
        <v/>
      </c>
      <c r="H16" s="445">
        <f>W16/$W$18</f>
        <v/>
      </c>
      <c r="I16" s="1334" t="inlineStr">
        <is>
          <t>10 Commissions</t>
        </is>
      </c>
      <c r="J16" s="431" t="n">
        <v>400</v>
      </c>
      <c r="K16" s="432">
        <f>SUMIFS($E$164:$E$566,$A$164:$A$566,"&gt;31/12/2022",$A$164:$A$566,"&lt;1/2/2023",$C$164:$C$566,$I16)</f>
        <v/>
      </c>
      <c r="L16" s="432">
        <f>SUMIFS($E$164:$E$566,$A$164:$A$566,"&gt;31/1/2023",$A$164:$A$566,"&lt;1/3/2023",$C$164:$C$566,$I16)</f>
        <v/>
      </c>
      <c r="M16" s="432">
        <f>SUMIFS($E$164:$E$566,$A$164:$A$566,"&gt;28/2/2023",$A$164:$A$566,"&lt;1/4/2023",$C$164:$C$566,$I16)</f>
        <v/>
      </c>
      <c r="N16" s="432">
        <f>SUMIFS($E$164:$E$566,$A$164:$A$566,"&gt;31/3/2023",$A$164:$A$566,"&lt;1/5/2023",$C$164:$C$566,$I16)</f>
        <v/>
      </c>
      <c r="O16" s="432">
        <f>SUMIFS($E$164:$E$566,$A$164:$A$566,"&gt;30/4/2023",$A$164:$A$566,"&lt;1/6/2023",$C$164:$C$566,$I16)</f>
        <v/>
      </c>
      <c r="P16" s="432">
        <f>SUMIFS($E$164:$E$566,$A$164:$A$566,"&gt;31/5/2023",$A$164:$A$566,"&lt;1/7/2023",$C$164:$C$566,$I16)</f>
        <v/>
      </c>
      <c r="Q16" s="432">
        <f>SUMIFS($E$164:$E$566,$A$164:$A$566,"&gt;30/6/2023",$A$164:$A$566,"&lt;1/8/2023",$C$164:$C$566,$I16)</f>
        <v/>
      </c>
      <c r="R16" s="432">
        <f>SUMIFS($E$164:$E$566,$A$164:$A$566,"&gt;31/7/2023",$A$164:$A$566,"&lt;1/9/2023",$C$164:$C$566,$I16)</f>
        <v/>
      </c>
      <c r="S16" s="432">
        <f>SUMIFS($E$164:$E$566,$A$164:$A$566,"&gt;31/8/2023",$A$164:$A$566,"&lt;1/10/2023",$C$164:$C$566,$I16)</f>
        <v/>
      </c>
      <c r="T16" s="432">
        <f>SUMIFS($E$164:$E$566,$A$164:$A$566,"&gt;30/9/2023",$A$164:$A$566,"&lt;1/11/2023",$C$164:$C$566,$I16)</f>
        <v/>
      </c>
      <c r="U16" s="432">
        <f>SUMIFS($E$164:$E$566,$A$164:$A$566,"&gt;31/10/2023",$A$164:$A$566,"&lt;1/12/2023",$C$164:$C$566,$I16)</f>
        <v/>
      </c>
      <c r="V16" s="432">
        <f>SUMIFS($E$164:$E$566,$A$164:$A$566,"&gt;30/11/2023",$A$164:$A$566,"&lt;1/1/2024",$C$164:$C$566,$I16)</f>
        <v/>
      </c>
      <c r="W16" s="431">
        <f>SUM(K16:V16)</f>
        <v/>
      </c>
      <c r="X16" s="432">
        <f>SUM(U16-(J16*12)*(V$2+V$1))</f>
        <v/>
      </c>
      <c r="Y16" s="432">
        <f>W16-AA16</f>
        <v/>
      </c>
      <c r="Z16" s="433">
        <f>Y16/AA16</f>
        <v/>
      </c>
      <c r="AA16" s="818">
        <f>SUM(J16*12)*((K$2+K$1+L$1+L$2+M$2+M$1+N$2+N$1+O$1+O$2+P$1+P$2+Q$1+Q$2+R$2+R$1+S$1+S$2+T$1+T$2+U$1+U$2+V$1+V$2))</f>
        <v/>
      </c>
      <c r="AB16" s="817">
        <f>W16/$AB$3</f>
        <v/>
      </c>
      <c r="AD16" s="1282" t="inlineStr">
        <is>
          <t>13/14</t>
        </is>
      </c>
      <c r="AE16" s="1260" t="inlineStr">
        <is>
          <t>Year 1</t>
        </is>
      </c>
      <c r="AF16" s="1283">
        <f>AG16+AH16</f>
        <v/>
      </c>
      <c r="AG16" s="1284">
        <f>SUM(N36:V36)</f>
        <v/>
      </c>
      <c r="AH16" s="1284">
        <f>SUM(K35:M35)</f>
        <v/>
      </c>
    </row>
    <row r="17" ht="13.5" customHeight="1" s="1232">
      <c r="B17" s="1294" t="n"/>
      <c r="C17" s="1294" t="n"/>
      <c r="E17" s="1293" t="n">
        <v>0</v>
      </c>
      <c r="F17" s="1274" t="n"/>
      <c r="G17" s="445">
        <f>W104/$W$105</f>
        <v/>
      </c>
      <c r="H17" s="445">
        <f>W17/$W$18</f>
        <v/>
      </c>
      <c r="I17" s="1334" t="inlineStr">
        <is>
          <t>11. Other</t>
        </is>
      </c>
      <c r="J17" s="431" t="n">
        <v>50</v>
      </c>
      <c r="K17" s="432">
        <f>SUMIFS($E$164:$E$566,$A$164:$A$566,"&gt;31/12/2022",$A$164:$A$566,"&lt;1/2/2023",$C$164:$C$566,$I17)</f>
        <v/>
      </c>
      <c r="L17" s="432">
        <f>SUMIFS($E$164:$E$566,$A$164:$A$566,"&gt;31/1/2023",$A$164:$A$566,"&lt;1/3/2023",$C$164:$C$566,$I17)</f>
        <v/>
      </c>
      <c r="M17" s="432">
        <f>SUMIFS($E$164:$E$566,$A$164:$A$566,"&gt;28/2/2023",$A$164:$A$566,"&lt;1/4/2023",$C$164:$C$566,$I17)</f>
        <v/>
      </c>
      <c r="N17" s="432">
        <f>SUMIFS($E$164:$E$566,$A$164:$A$566,"&gt;31/3/2023",$A$164:$A$566,"&lt;1/5/2023",$C$164:$C$566,$I17)</f>
        <v/>
      </c>
      <c r="O17" s="432">
        <f>SUMIFS($E$164:$E$566,$A$164:$A$566,"&gt;30/4/2023",$A$164:$A$566,"&lt;1/6/2023",$C$164:$C$566,$I17)</f>
        <v/>
      </c>
      <c r="P17" s="432">
        <f>SUMIFS($E$164:$E$566,$A$164:$A$566,"&gt;31/5/2023",$A$164:$A$566,"&lt;1/7/2023",$C$164:$C$566,$I17)</f>
        <v/>
      </c>
      <c r="Q17" s="432">
        <f>SUMIFS($E$164:$E$566,$A$164:$A$566,"&gt;30/6/2023",$A$164:$A$566,"&lt;1/8/2023",$C$164:$C$566,$I17)</f>
        <v/>
      </c>
      <c r="R17" s="432">
        <f>SUMIFS($E$164:$E$566,$A$164:$A$566,"&gt;31/7/2023",$A$164:$A$566,"&lt;1/9/2023",$C$164:$C$566,$I17)</f>
        <v/>
      </c>
      <c r="S17" s="432">
        <f>SUMIFS($E$164:$E$566,$A$164:$A$566,"&gt;31/8/2023",$A$164:$A$566,"&lt;1/10/2023",$C$164:$C$566,$I17)</f>
        <v/>
      </c>
      <c r="T17" s="432">
        <f>SUMIFS($E$164:$E$566,$A$164:$A$566,"&gt;30/9/2023",$A$164:$A$566,"&lt;1/11/2023",$C$164:$C$566,$I17)</f>
        <v/>
      </c>
      <c r="U17" s="432">
        <f>SUMIFS($E$164:$E$566,$A$164:$A$566,"&gt;31/10/2023",$A$164:$A$566,"&lt;1/12/2023",$C$164:$C$566,$I17)</f>
        <v/>
      </c>
      <c r="V17" s="432">
        <f>SUMIFS($E$164:$E$566,$A$164:$A$566,"&gt;30/11/2023",$A$164:$A$566,"&lt;1/1/2024",$C$164:$C$566,$I17)</f>
        <v/>
      </c>
      <c r="W17" s="431">
        <f>SUM(K17:V17)</f>
        <v/>
      </c>
      <c r="X17" s="432">
        <f>SUM(U17-(J17*12)*(V$2+V$1))</f>
        <v/>
      </c>
      <c r="Y17" s="432">
        <f>W17-AA17</f>
        <v/>
      </c>
      <c r="Z17" s="433">
        <f>Y17/AA17</f>
        <v/>
      </c>
      <c r="AA17" s="818">
        <f>SUM(J17*12)*((K$2+K$1+L$1+L$2+M$2+M$1+N$2+N$1+O$1+O$2+P$1+P$2+Q$1+Q$2+R$2+R$1+S$1+S$2+T$1+T$2+U$1+U$2+V$1+V$2))</f>
        <v/>
      </c>
      <c r="AB17" s="817">
        <f>W17/$AB$3</f>
        <v/>
      </c>
    </row>
    <row r="18" ht="15.75" customHeight="1" s="1232" thickBot="1">
      <c r="B18" s="1271" t="n"/>
      <c r="C18" s="1271" t="n"/>
      <c r="E18" s="1296" t="n"/>
      <c r="F18" s="1297" t="n"/>
      <c r="G18" s="445">
        <f>W105/$W$105</f>
        <v/>
      </c>
      <c r="H18" s="445">
        <f>W18/$W$18</f>
        <v/>
      </c>
      <c r="I18" s="1340" t="inlineStr">
        <is>
          <t>Totals</t>
        </is>
      </c>
      <c r="J18" s="932">
        <f>SUM(J6:J17)</f>
        <v/>
      </c>
      <c r="K18" s="933">
        <f>SUM(K6:K17)</f>
        <v/>
      </c>
      <c r="L18" s="933">
        <f>SUM(L6:L17)</f>
        <v/>
      </c>
      <c r="M18" s="933">
        <f>SUM(M6:M17)</f>
        <v/>
      </c>
      <c r="N18" s="933">
        <f>SUM(N6:N17)</f>
        <v/>
      </c>
      <c r="O18" s="933">
        <f>SUM(O6:O17)</f>
        <v/>
      </c>
      <c r="P18" s="933">
        <f>SUM(P6:P17)</f>
        <v/>
      </c>
      <c r="Q18" s="933">
        <f>SUM(Q6:Q17)</f>
        <v/>
      </c>
      <c r="R18" s="933">
        <f>SUM(R6:R17)</f>
        <v/>
      </c>
      <c r="S18" s="933">
        <f>SUM(S6:S17)</f>
        <v/>
      </c>
      <c r="T18" s="933">
        <f>SUM(T6:T17)</f>
        <v/>
      </c>
      <c r="U18" s="933">
        <f>SUM(U6:U17)</f>
        <v/>
      </c>
      <c r="V18" s="933">
        <f>SUM(V6:V17)</f>
        <v/>
      </c>
      <c r="W18" s="826">
        <f>SUM(W6:W17)</f>
        <v/>
      </c>
      <c r="X18" s="432">
        <f>SUM(U18-(J18*12)*(V$2+V$1))</f>
        <v/>
      </c>
      <c r="Y18" s="824">
        <f>W18-AA18</f>
        <v/>
      </c>
      <c r="Z18" s="837">
        <f>Y18/AA18</f>
        <v/>
      </c>
      <c r="AA18" s="818">
        <f>SUM(J18*12)*((K$2+K$1+L$1+L$2+M$2+M$1+N$2+N$1+O$1+O$2+P$1+P$2+Q$1+Q$2+R$2+R$1+S$1+S$2+T$1+T$2+U$1+U$2+V$1+V$2))</f>
        <v/>
      </c>
      <c r="AB18" s="838">
        <f>W18/$AB$3</f>
        <v/>
      </c>
      <c r="AE18" s="1283">
        <f>AF18-W40</f>
        <v/>
      </c>
      <c r="AF18" s="1283">
        <f>SUM(AF5:AF16)</f>
        <v/>
      </c>
      <c r="AG18" s="1283">
        <f>SUM(AG5:AG16)</f>
        <v/>
      </c>
      <c r="AH18" s="1283">
        <f>SUM(AH5:AH16)</f>
        <v/>
      </c>
    </row>
    <row r="19" ht="13.9" customHeight="1" s="1232">
      <c r="B19" s="1271" t="n"/>
      <c r="C19" s="1271" t="n"/>
      <c r="D19" s="1292" t="n"/>
      <c r="E19" s="1296" t="n"/>
      <c r="F19" s="1297" t="n"/>
      <c r="I19" s="1268" t="inlineStr">
        <is>
          <t>Target</t>
        </is>
      </c>
      <c r="J19" s="1299">
        <f>J18*12</f>
        <v/>
      </c>
      <c r="K19" s="671">
        <f>K18/K3</f>
        <v/>
      </c>
      <c r="L19" s="671">
        <f>L18/L3</f>
        <v/>
      </c>
      <c r="M19" s="671">
        <f>M18/M3</f>
        <v/>
      </c>
      <c r="N19" s="671">
        <f>N18/N3</f>
        <v/>
      </c>
      <c r="O19" s="671">
        <f>O18/O3</f>
        <v/>
      </c>
      <c r="P19" s="671">
        <f>P18/P3</f>
        <v/>
      </c>
      <c r="Q19" s="671">
        <f>Q18/Q3</f>
        <v/>
      </c>
      <c r="R19" s="671">
        <f>R18/R3</f>
        <v/>
      </c>
      <c r="S19" s="671">
        <f>S18/S3</f>
        <v/>
      </c>
      <c r="T19" s="671">
        <f>T18/T3</f>
        <v/>
      </c>
      <c r="U19" s="671">
        <f>U18/U3</f>
        <v/>
      </c>
      <c r="V19" s="671">
        <f>V18/V3</f>
        <v/>
      </c>
      <c r="W19" s="671">
        <f>W18/AA18</f>
        <v/>
      </c>
      <c r="X19" s="583" t="n"/>
      <c r="Y19" s="836" t="n"/>
      <c r="AB19" s="445" t="n"/>
    </row>
    <row r="20" ht="15.75" customHeight="1" s="1232" thickBot="1">
      <c r="B20" s="1271" t="n"/>
      <c r="C20" s="1271" t="n"/>
      <c r="D20" s="1292" t="n"/>
      <c r="E20" s="1368">
        <f>53337.25-W18</f>
        <v/>
      </c>
      <c r="I20" s="1300" t="inlineStr">
        <is>
          <t>GP</t>
        </is>
      </c>
      <c r="J20" s="1301" t="n"/>
      <c r="K20" s="976">
        <f>K105</f>
        <v/>
      </c>
      <c r="L20" s="976">
        <f>L105</f>
        <v/>
      </c>
      <c r="M20" s="976">
        <f>M105</f>
        <v/>
      </c>
      <c r="N20" s="976">
        <f>N105</f>
        <v/>
      </c>
      <c r="O20" s="976">
        <f>O105</f>
        <v/>
      </c>
      <c r="P20" s="976">
        <f>P105</f>
        <v/>
      </c>
      <c r="Q20" s="976">
        <f>Q105</f>
        <v/>
      </c>
      <c r="R20" s="976">
        <f>R105</f>
        <v/>
      </c>
      <c r="S20" s="976">
        <f>S105</f>
        <v/>
      </c>
      <c r="T20" s="976">
        <f>T105</f>
        <v/>
      </c>
      <c r="U20" s="976">
        <f>U105</f>
        <v/>
      </c>
      <c r="V20" s="976">
        <f>V105</f>
        <v/>
      </c>
      <c r="W20" s="977">
        <f>W105</f>
        <v/>
      </c>
      <c r="X20" s="583">
        <f>W20/AB3</f>
        <v/>
      </c>
      <c r="Y20" s="836" t="n"/>
      <c r="AB20" s="445" t="n"/>
      <c r="AD20" s="1304" t="inlineStr">
        <is>
          <t>Invoice Date</t>
        </is>
      </c>
      <c r="AE20" s="1304" t="n"/>
      <c r="AF20" s="1304" t="inlineStr">
        <is>
          <t>Employee</t>
        </is>
      </c>
      <c r="AG20" s="1304" t="inlineStr">
        <is>
          <t>Invoice Number</t>
        </is>
      </c>
      <c r="AH20" s="1304" t="inlineStr">
        <is>
          <t>ELS Voucher</t>
        </is>
      </c>
      <c r="AI20" s="1304" t="inlineStr">
        <is>
          <t>Amount</t>
        </is>
      </c>
      <c r="AJ20" s="1304" t="inlineStr">
        <is>
          <t>Event</t>
        </is>
      </c>
    </row>
    <row r="21" ht="13.9" customHeight="1" s="1232">
      <c r="B21" s="1291" t="n"/>
      <c r="C21" s="1291" t="n"/>
      <c r="D21" s="1292" t="n"/>
      <c r="E21" s="1369" t="n"/>
      <c r="F21" s="1370" t="n"/>
      <c r="I21" s="1268" t="inlineStr">
        <is>
          <t>GP %</t>
        </is>
      </c>
      <c r="J21" s="1299" t="n"/>
      <c r="K21" s="924">
        <f>K20/K18</f>
        <v/>
      </c>
      <c r="L21" s="924">
        <f>L20/L18</f>
        <v/>
      </c>
      <c r="M21" s="924">
        <f>M20/M18</f>
        <v/>
      </c>
      <c r="N21" s="924">
        <f>N20/N18</f>
        <v/>
      </c>
      <c r="O21" s="924">
        <f>O20/O18</f>
        <v/>
      </c>
      <c r="P21" s="924">
        <f>P20/P18</f>
        <v/>
      </c>
      <c r="Q21" s="924">
        <f>Q20/Q18</f>
        <v/>
      </c>
      <c r="R21" s="924">
        <f>R20/R18</f>
        <v/>
      </c>
      <c r="S21" s="924">
        <f>S20/S18</f>
        <v/>
      </c>
      <c r="T21" s="924">
        <f>T20/T18</f>
        <v/>
      </c>
      <c r="U21" s="924">
        <f>U20/U18</f>
        <v/>
      </c>
      <c r="V21" s="924">
        <f>V20/V18</f>
        <v/>
      </c>
      <c r="W21" s="924">
        <f>W20/W18</f>
        <v/>
      </c>
      <c r="X21" s="583" t="n"/>
      <c r="Y21" s="836" t="n"/>
      <c r="AB21" s="445" t="n"/>
    </row>
    <row r="22" ht="14.25" customHeight="1" s="1232" thickBot="1">
      <c r="B22" s="1291" t="n"/>
      <c r="C22" s="1291" t="n"/>
      <c r="D22" s="1292" t="n"/>
      <c r="E22" s="1369" t="n"/>
      <c r="F22" s="1370" t="n"/>
      <c r="I22" s="1306" t="inlineStr">
        <is>
          <t>Cash After Capital Repayment</t>
        </is>
      </c>
      <c r="J22" s="1307" t="n"/>
      <c r="K22" s="927">
        <f>SUM((K108+K109)*-25%)+(K108+K109)+(K110+K111+K112+K113+K114+K115+K116)</f>
        <v/>
      </c>
      <c r="L22" s="927">
        <f>SUM((L108+L109)*-25%)+(L108+L109)+(L110+L111+L112+L113+L114+L115+L116)</f>
        <v/>
      </c>
      <c r="M22" s="927">
        <f>SUM((M108+M109)*-25%)+(M108+M109)+(M110+M111+M112+M113+M114+M115+M116)</f>
        <v/>
      </c>
      <c r="N22" s="927">
        <f>SUM((N108+N109)*-25%)+(N108+N109)+(N110+N111+N112+N113+N114+N115+N116)</f>
        <v/>
      </c>
      <c r="O22" s="927">
        <f>SUM((O108+O109)*-25%)+(O108+O109)+(O110+O111+O112+O113+O114+O115+O116)</f>
        <v/>
      </c>
      <c r="P22" s="927">
        <f>SUM((P108+P109)*-25%)+(P108+P109)+(P110+P111+P112+P113+P114+P115+P116)</f>
        <v/>
      </c>
      <c r="Q22" s="927">
        <f>SUM((Q108+Q109)*-25%)+(Q108+Q109)+(Q110+Q111+Q112+Q113+Q114+Q115+Q116)</f>
        <v/>
      </c>
      <c r="R22" s="927">
        <f>SUM((R108+R109)*-25%)+(R108+R109)+(R110+R111+R112+R113+R114+R115+R116)</f>
        <v/>
      </c>
      <c r="S22" s="927">
        <f>SUM((S108+S109)*-25%)+(S108+S109)+(S110+S111+S112+S113+S114+S115+S116)</f>
        <v/>
      </c>
      <c r="T22" s="927">
        <f>SUM((T108+T109)*-25%)+(T108+T109)+(T110+T111+T112+T113+T114+T115+T116)</f>
        <v/>
      </c>
      <c r="U22" s="927">
        <f>SUM((U108+U109)*-25%)+(U108+U109)+(U110+U111+U112+U113+U114+U115+U116)</f>
        <v/>
      </c>
      <c r="V22" s="927">
        <f>SUM((V108+V109)*-25%)+(V108+V109)+(V110+V111+V112+V113+V114+V115+V116)</f>
        <v/>
      </c>
      <c r="W22" s="927">
        <f>SUM((W108+W109)*-30%)+(W108+W109)+(W110+W111+W112+W113+W114+W115+W116)</f>
        <v/>
      </c>
      <c r="X22" s="583">
        <f>W22/AB3</f>
        <v/>
      </c>
      <c r="Y22" s="836" t="n"/>
      <c r="AB22" s="445" t="n"/>
    </row>
    <row r="23" ht="13.9" customHeight="1" s="1232">
      <c r="B23" s="1291" t="inlineStr">
        <is>
          <t>Curtis</t>
        </is>
      </c>
      <c r="C23" s="1291" t="inlineStr">
        <is>
          <t>Leads In Progress</t>
        </is>
      </c>
      <c r="D23" s="1292" t="inlineStr">
        <is>
          <t>Lightroom</t>
        </is>
      </c>
      <c r="E23" s="1369" t="n">
        <v>250</v>
      </c>
      <c r="F23" s="1370" t="n">
        <v>45047</v>
      </c>
      <c r="I23" s="1308" t="inlineStr">
        <is>
          <t>Cash %</t>
        </is>
      </c>
      <c r="J23" s="1309" t="n"/>
      <c r="K23" s="931">
        <f>K22/K18</f>
        <v/>
      </c>
      <c r="L23" s="931">
        <f>L22/L18</f>
        <v/>
      </c>
      <c r="M23" s="931">
        <f>M22/M18</f>
        <v/>
      </c>
      <c r="N23" s="931">
        <f>N22/N18</f>
        <v/>
      </c>
      <c r="O23" s="931">
        <f>O22/O18</f>
        <v/>
      </c>
      <c r="P23" s="931">
        <f>P22/P18</f>
        <v/>
      </c>
      <c r="Q23" s="931">
        <f>Q22/Q18</f>
        <v/>
      </c>
      <c r="R23" s="931">
        <f>R22/R18</f>
        <v/>
      </c>
      <c r="S23" s="931">
        <f>S22/S18</f>
        <v/>
      </c>
      <c r="T23" s="931">
        <f>T22/T18</f>
        <v/>
      </c>
      <c r="U23" s="931">
        <f>U22/U18</f>
        <v/>
      </c>
      <c r="V23" s="931">
        <f>V22/V18</f>
        <v/>
      </c>
      <c r="W23" s="930">
        <f>W22/W18</f>
        <v/>
      </c>
      <c r="X23" s="583" t="n"/>
      <c r="Y23" s="836" t="n"/>
      <c r="AB23" s="445" t="n"/>
    </row>
    <row r="24" ht="13.9" customHeight="1" s="1232">
      <c r="B24" s="1291" t="n"/>
      <c r="C24" s="1291" t="n"/>
      <c r="D24" s="1292" t="n"/>
      <c r="E24" s="1371" t="n"/>
      <c r="F24" s="1370" t="n"/>
      <c r="I24" s="1310" t="inlineStr">
        <is>
          <t>Year on year Improvement %</t>
        </is>
      </c>
      <c r="J24" s="1311" t="inlineStr">
        <is>
          <t>2023 v 2022</t>
        </is>
      </c>
      <c r="K24" s="923">
        <f>IFERROR((K18-K27)/K27,0)</f>
        <v/>
      </c>
      <c r="L24" s="923">
        <f>IFERROR((L18-L27)/L27,0)</f>
        <v/>
      </c>
      <c r="M24" s="923">
        <f>IFERROR((M18-M27)/M27,0)</f>
        <v/>
      </c>
      <c r="N24" s="923">
        <f>IFERROR((N18-N27)/N27,0)</f>
        <v/>
      </c>
      <c r="O24" s="923">
        <f>IFERROR((O18-O27)/O27,0)</f>
        <v/>
      </c>
      <c r="P24" s="923">
        <f>IFERROR((P18-P27)/P27,0)</f>
        <v/>
      </c>
      <c r="Q24" s="923">
        <f>IFERROR((Q18-Q27)/Q27,0)</f>
        <v/>
      </c>
      <c r="R24" s="923">
        <f>IFERROR((R18-R27)/R27,0)</f>
        <v/>
      </c>
      <c r="S24" s="923">
        <f>IFERROR((S18-S27)/S27,0)</f>
        <v/>
      </c>
      <c r="T24" s="923">
        <f>IFERROR((T18-T27)/T27,0)</f>
        <v/>
      </c>
      <c r="U24" s="923">
        <f>IFERROR((U18-U27)/U27,0)</f>
        <v/>
      </c>
      <c r="V24" s="923">
        <f>IFERROR((V18-V27)/V27,0)</f>
        <v/>
      </c>
      <c r="W24" s="923">
        <f>IFERROR((W18-W27)/W27,0)</f>
        <v/>
      </c>
      <c r="X24" s="583" t="n"/>
      <c r="Y24" s="585" t="n"/>
      <c r="Z24" s="1260" t="inlineStr">
        <is>
          <t>Last 6 months Avg</t>
        </is>
      </c>
      <c r="AB24" s="821">
        <f>SUM(O18+P18+Q18+R18+S18+T18)/6</f>
        <v/>
      </c>
    </row>
    <row r="25" ht="13.9" customHeight="1" s="1232">
      <c r="B25" s="1291" t="n"/>
      <c r="C25" s="1291" t="n"/>
      <c r="D25" s="1292" t="n"/>
      <c r="E25" s="1371" t="n"/>
      <c r="F25" s="1370" t="n"/>
      <c r="I25" s="1310" t="n"/>
      <c r="J25" s="1299" t="n"/>
      <c r="V25" s="432" t="n">
        <v>4785</v>
      </c>
      <c r="W25" s="432">
        <f>V18-V25</f>
        <v/>
      </c>
      <c r="X25" s="583" t="n"/>
      <c r="Y25" s="585" t="n"/>
      <c r="Z25" s="1260" t="n"/>
      <c r="AB25" s="821" t="n"/>
    </row>
    <row r="26" ht="13.9" customHeight="1" s="1232">
      <c r="B26" s="1291" t="n"/>
      <c r="C26" s="1291" t="n"/>
      <c r="D26" s="1292" t="n"/>
      <c r="E26" s="1371" t="n"/>
      <c r="F26" s="1370" t="n"/>
      <c r="I26" s="1310" t="n"/>
      <c r="J26" s="1299" t="n"/>
      <c r="N26" s="914" t="n"/>
      <c r="P26" s="914" t="n"/>
      <c r="Q26" s="914" t="n"/>
      <c r="R26" s="914" t="n"/>
      <c r="S26" s="914" t="n"/>
      <c r="T26" s="914" t="n"/>
      <c r="U26" s="914" t="n"/>
      <c r="V26" s="914" t="n"/>
      <c r="W26" s="432" t="n"/>
      <c r="X26" s="583">
        <f t="array" ref="X26">SUM((K18:V18)-(K27:V27))</f>
        <v/>
      </c>
      <c r="Y26" s="585">
        <f>X26/W27</f>
        <v/>
      </c>
      <c r="Z26" s="1260" t="n"/>
      <c r="AB26" s="821" t="n"/>
    </row>
    <row r="27" ht="13.9" customHeight="1" s="1232">
      <c r="D27" s="1292" t="n"/>
      <c r="E27" s="1371" t="n"/>
      <c r="F27" s="1370" t="n"/>
      <c r="I27" s="1313" t="inlineStr">
        <is>
          <t>2022</t>
        </is>
      </c>
      <c r="J27" s="1287" t="inlineStr">
        <is>
          <t>Year 10</t>
        </is>
      </c>
      <c r="K27" s="558" t="n">
        <v>18758.77</v>
      </c>
      <c r="L27" s="558" t="n">
        <v>3028.2</v>
      </c>
      <c r="M27" s="558" t="n">
        <v>5768.64</v>
      </c>
      <c r="N27" s="558" t="n">
        <v>7461.77</v>
      </c>
      <c r="O27" s="558" t="n">
        <v>5269.650000000001</v>
      </c>
      <c r="P27" s="558" t="n">
        <v>2223</v>
      </c>
      <c r="Q27" s="558" t="n">
        <v>2500.94</v>
      </c>
      <c r="R27" s="558" t="n">
        <v>2796.35</v>
      </c>
      <c r="S27" s="558" t="n">
        <v>3928.56</v>
      </c>
      <c r="T27" s="558" t="n">
        <v>2389</v>
      </c>
      <c r="U27" s="558" t="n">
        <v>3577.95</v>
      </c>
      <c r="V27" s="558" t="n">
        <v>3624.19</v>
      </c>
      <c r="W27" s="431">
        <f>SUM(K27:V27)</f>
        <v/>
      </c>
      <c r="X27" s="583">
        <f>W27-W28</f>
        <v/>
      </c>
      <c r="Y27" s="585">
        <f>X27/W28</f>
        <v/>
      </c>
      <c r="Z27" s="1260" t="n"/>
      <c r="AB27" s="821" t="n"/>
    </row>
    <row r="28" ht="13.9" customHeight="1" s="1232">
      <c r="D28" s="1292" t="n"/>
      <c r="E28" s="1296" t="n"/>
      <c r="F28" s="1370" t="n"/>
      <c r="I28" s="1313" t="inlineStr">
        <is>
          <t>2021</t>
        </is>
      </c>
      <c r="J28" s="1287" t="inlineStr">
        <is>
          <t>Year 9 (Covid-19)</t>
        </is>
      </c>
      <c r="K28" s="558" t="n">
        <v>1633</v>
      </c>
      <c r="L28" s="558" t="n">
        <v>3730.19</v>
      </c>
      <c r="M28" s="558" t="n">
        <v>18208.68</v>
      </c>
      <c r="N28" s="558" t="n">
        <v>3783</v>
      </c>
      <c r="O28" s="558" t="n">
        <v>3750.38</v>
      </c>
      <c r="P28" s="558" t="n">
        <v>4858.6</v>
      </c>
      <c r="Q28" s="558" t="n">
        <v>3785.35</v>
      </c>
      <c r="R28" s="558" t="n">
        <v>7391.76</v>
      </c>
      <c r="S28" s="558" t="n">
        <v>5355.23</v>
      </c>
      <c r="T28" s="558" t="n">
        <v>5201</v>
      </c>
      <c r="U28" s="558" t="n">
        <v>4340.02</v>
      </c>
      <c r="V28" s="558" t="n">
        <v>7628.76</v>
      </c>
      <c r="W28" s="431">
        <f>SUM(K28:V28)</f>
        <v/>
      </c>
      <c r="X28" s="583">
        <f>W28-W29</f>
        <v/>
      </c>
      <c r="Y28" s="585">
        <f>X28/W29</f>
        <v/>
      </c>
      <c r="Z28" s="1260" t="n"/>
      <c r="AB28" s="821" t="n"/>
    </row>
    <row r="29" ht="13.9" customHeight="1" s="1232">
      <c r="D29" s="1292" t="n"/>
      <c r="E29" s="1296" t="n"/>
      <c r="I29" s="1313" t="inlineStr">
        <is>
          <t>2020</t>
        </is>
      </c>
      <c r="J29" s="1287" t="inlineStr">
        <is>
          <t>Year 8 (Covid-19)</t>
        </is>
      </c>
      <c r="K29" s="558" t="n">
        <v>7647.85</v>
      </c>
      <c r="L29" s="558" t="n">
        <v>5051.64</v>
      </c>
      <c r="M29" s="558" t="n">
        <v>4783.746923076923</v>
      </c>
      <c r="N29" s="558" t="n">
        <v>1598.35</v>
      </c>
      <c r="O29" s="558" t="n">
        <v>1786.66</v>
      </c>
      <c r="P29" s="558" t="n">
        <v>6854.62</v>
      </c>
      <c r="Q29" s="558" t="n">
        <v>2667</v>
      </c>
      <c r="R29" s="558" t="n">
        <v>11694.07</v>
      </c>
      <c r="S29" s="558" t="n">
        <v>4126.62</v>
      </c>
      <c r="T29" s="558" t="n">
        <v>2423.69</v>
      </c>
      <c r="U29" s="558" t="n">
        <v>3332.58</v>
      </c>
      <c r="V29" s="558" t="n">
        <v>3035.07</v>
      </c>
      <c r="W29" s="431">
        <f>SUM(K29:V29)</f>
        <v/>
      </c>
      <c r="X29" s="583">
        <f>W29-W30</f>
        <v/>
      </c>
      <c r="Y29" s="585">
        <f>X29/W30</f>
        <v/>
      </c>
      <c r="Z29" s="1260" t="n"/>
      <c r="AB29" s="821" t="n"/>
    </row>
    <row r="30" ht="13.9" customHeight="1" s="1232">
      <c r="B30" s="1271" t="n"/>
      <c r="C30" s="1271" t="n"/>
      <c r="D30" s="1292" t="n"/>
      <c r="E30" s="1296" t="n"/>
      <c r="F30" s="1297" t="n"/>
      <c r="G30" s="1271" t="n"/>
      <c r="I30" s="1313" t="inlineStr">
        <is>
          <t>2019</t>
        </is>
      </c>
      <c r="J30" s="1287" t="inlineStr">
        <is>
          <t>Year 7</t>
        </is>
      </c>
      <c r="K30" s="558" t="n">
        <v>5891.07</v>
      </c>
      <c r="L30" s="558" t="n">
        <v>2739.5</v>
      </c>
      <c r="M30" s="558" t="n">
        <v>4414.5</v>
      </c>
      <c r="N30" s="558" t="n">
        <v>5147.5</v>
      </c>
      <c r="O30" s="558" t="n">
        <v>6878</v>
      </c>
      <c r="P30" s="558" t="n">
        <v>4875.34</v>
      </c>
      <c r="Q30" s="558" t="n">
        <v>5769.97</v>
      </c>
      <c r="R30" s="558" t="n">
        <v>7463.89</v>
      </c>
      <c r="S30" s="558" t="n">
        <v>6034.39</v>
      </c>
      <c r="T30" s="558" t="n">
        <v>4573.58</v>
      </c>
      <c r="U30" s="558" t="n">
        <v>5973.75</v>
      </c>
      <c r="V30" s="558" t="n">
        <v>5421.440000000001</v>
      </c>
      <c r="W30" s="431">
        <f>SUM(K30:V30)</f>
        <v/>
      </c>
      <c r="X30" s="583">
        <f>W30-W31</f>
        <v/>
      </c>
      <c r="Y30" s="585">
        <f>X30/W31</f>
        <v/>
      </c>
      <c r="Z30" s="1260" t="inlineStr">
        <is>
          <t>Previous 6 months Avg</t>
        </is>
      </c>
      <c r="AB30" s="821">
        <f>SUM(U27+V27+K18+L18+M18+N18)/6</f>
        <v/>
      </c>
    </row>
    <row r="31" ht="13.9" customHeight="1" s="1232">
      <c r="B31" s="1271" t="n"/>
      <c r="C31" s="1271" t="n"/>
      <c r="E31" s="1296" t="n"/>
      <c r="F31" s="1297" t="n"/>
      <c r="I31" s="1313" t="inlineStr">
        <is>
          <t>2018</t>
        </is>
      </c>
      <c r="J31" s="1268" t="inlineStr">
        <is>
          <t>Year 6</t>
        </is>
      </c>
      <c r="K31" s="558" t="n">
        <v>8277.470000000001</v>
      </c>
      <c r="L31" s="558" t="n">
        <v>10607.11</v>
      </c>
      <c r="M31" s="558" t="n">
        <v>7155.05</v>
      </c>
      <c r="N31" s="558" t="n">
        <v>4371.015</v>
      </c>
      <c r="O31" s="558" t="n">
        <v>4002.63</v>
      </c>
      <c r="P31" s="558" t="n">
        <v>3243.6</v>
      </c>
      <c r="Q31" s="558" t="n">
        <v>2859.03</v>
      </c>
      <c r="R31" s="558" t="n">
        <v>4792.59</v>
      </c>
      <c r="S31" s="558" t="n">
        <v>6443.88</v>
      </c>
      <c r="T31" s="558" t="n">
        <v>3908.03</v>
      </c>
      <c r="U31" s="558" t="n">
        <v>8299.08</v>
      </c>
      <c r="V31" s="558" t="n">
        <v>4642.25</v>
      </c>
      <c r="W31" s="431">
        <f>SUM(K31:V31)</f>
        <v/>
      </c>
      <c r="X31" s="583">
        <f>W31-W32</f>
        <v/>
      </c>
      <c r="Y31" s="585">
        <f>X31/W32</f>
        <v/>
      </c>
      <c r="AB31" s="445">
        <f>SUM(AB24-AB30)/AB24</f>
        <v/>
      </c>
      <c r="AD31" s="470" t="n"/>
      <c r="AE31" s="470" t="n"/>
      <c r="AF31" s="1372" t="n"/>
      <c r="AG31" s="1372" t="n"/>
      <c r="AH31" s="472" t="n"/>
      <c r="AI31" s="472" t="n"/>
      <c r="AJ31" s="1373" t="n"/>
    </row>
    <row r="32" ht="15" customHeight="1" s="1232">
      <c r="B32" s="1271" t="n"/>
      <c r="C32" s="1271" t="n"/>
      <c r="D32" s="548" t="n"/>
      <c r="E32" s="1296" t="n"/>
      <c r="F32" s="1297" t="n"/>
      <c r="I32" s="1316" t="inlineStr">
        <is>
          <t>2017</t>
        </is>
      </c>
      <c r="J32" s="1268" t="inlineStr">
        <is>
          <t>Year 5</t>
        </is>
      </c>
      <c r="K32" s="558" t="n">
        <v>3203.5</v>
      </c>
      <c r="L32" s="558" t="n">
        <v>6685</v>
      </c>
      <c r="M32" s="558" t="n">
        <v>6242.83</v>
      </c>
      <c r="N32" s="558" t="n">
        <v>6063.17</v>
      </c>
      <c r="O32" s="558" t="n">
        <v>5851.71</v>
      </c>
      <c r="P32" s="558" t="n">
        <v>5479.93</v>
      </c>
      <c r="Q32" s="558" t="n">
        <v>3603.81</v>
      </c>
      <c r="R32" s="558" t="n">
        <v>4658.85</v>
      </c>
      <c r="S32" s="558" t="n">
        <v>10821.67</v>
      </c>
      <c r="T32" s="558" t="n">
        <v>9224.58</v>
      </c>
      <c r="U32" s="558" t="n">
        <v>10504.09</v>
      </c>
      <c r="V32" s="558" t="n">
        <v>4329.030000000001</v>
      </c>
      <c r="W32" s="431">
        <f>SUM(K32:V32)</f>
        <v/>
      </c>
      <c r="X32" s="583">
        <f>W32-W33</f>
        <v/>
      </c>
      <c r="Y32" s="585">
        <f>X32/W33</f>
        <v/>
      </c>
      <c r="AA32" s="1355" t="inlineStr">
        <is>
          <t>Forecast</t>
        </is>
      </c>
      <c r="AB32" s="1303">
        <f>SUM((12-AB3)*AB18)+W18</f>
        <v/>
      </c>
      <c r="AD32" s="470" t="n"/>
      <c r="AE32" s="470" t="n"/>
      <c r="AF32" s="1372" t="n"/>
      <c r="AG32" s="1372" t="n"/>
      <c r="AH32" s="472" t="n"/>
      <c r="AI32" s="472" t="n"/>
      <c r="AJ32" s="1373" t="n"/>
    </row>
    <row r="33" ht="13.9" customHeight="1" s="1232">
      <c r="B33" s="1271" t="n"/>
      <c r="C33" s="1271" t="n"/>
      <c r="E33" s="1296" t="n"/>
      <c r="F33" s="1297" t="n"/>
      <c r="I33" s="1316" t="inlineStr">
        <is>
          <t>2016</t>
        </is>
      </c>
      <c r="J33" s="1287" t="inlineStr">
        <is>
          <t>Year 4 (surgery)</t>
        </is>
      </c>
      <c r="K33" s="558" t="n">
        <v>4537</v>
      </c>
      <c r="L33" s="558">
        <f>4583-264</f>
        <v/>
      </c>
      <c r="M33" s="558">
        <f>3935-213</f>
        <v/>
      </c>
      <c r="N33" s="558">
        <f>4947-396</f>
        <v/>
      </c>
      <c r="O33" s="558">
        <f>3911-293</f>
        <v/>
      </c>
      <c r="P33" s="558">
        <f>2992-213</f>
        <v/>
      </c>
      <c r="Q33" s="558">
        <f>2927-218</f>
        <v/>
      </c>
      <c r="R33" s="558">
        <f>7466-213</f>
        <v/>
      </c>
      <c r="S33" s="558">
        <f>4218-425</f>
        <v/>
      </c>
      <c r="T33" s="558">
        <f>10697-213</f>
        <v/>
      </c>
      <c r="U33" s="558">
        <f>5081-213</f>
        <v/>
      </c>
      <c r="V33" s="558">
        <f>5220-213</f>
        <v/>
      </c>
      <c r="W33" s="431">
        <f>SUM(K33:V33)</f>
        <v/>
      </c>
      <c r="X33" s="583">
        <f>W33-W34</f>
        <v/>
      </c>
      <c r="Y33" s="585">
        <f>X33/W34</f>
        <v/>
      </c>
      <c r="Z33" s="445" t="n"/>
      <c r="AA33" s="771" t="n"/>
      <c r="AB33" s="803" t="n"/>
    </row>
    <row r="34" ht="13.9" customHeight="1" s="1232">
      <c r="B34" s="1271" t="inlineStr">
        <is>
          <t>Tony Teague</t>
        </is>
      </c>
      <c r="C34" s="1271" t="inlineStr">
        <is>
          <t>Deals Won - Waiting £</t>
        </is>
      </c>
      <c r="D34" s="548" t="inlineStr">
        <is>
          <t>paid 250 deposit</t>
        </is>
      </c>
      <c r="E34" s="1296" t="n"/>
      <c r="F34" s="1297" t="inlineStr">
        <is>
          <t>Dingle / Ireland</t>
        </is>
      </c>
      <c r="I34" s="1316" t="inlineStr">
        <is>
          <t>2015</t>
        </is>
      </c>
      <c r="J34" s="1260" t="inlineStr">
        <is>
          <t>Year 3</t>
        </is>
      </c>
      <c r="K34" s="558" t="n">
        <v>3710</v>
      </c>
      <c r="L34" s="558" t="n">
        <v>3750</v>
      </c>
      <c r="M34" s="558" t="n">
        <v>7113</v>
      </c>
      <c r="N34" s="558">
        <f>3928-213</f>
        <v/>
      </c>
      <c r="O34" s="558">
        <f>2501-213</f>
        <v/>
      </c>
      <c r="P34" s="558">
        <f>3468-213</f>
        <v/>
      </c>
      <c r="Q34" s="558">
        <f>1986-224</f>
        <v/>
      </c>
      <c r="R34" s="558">
        <f>4145-212</f>
        <v/>
      </c>
      <c r="S34" s="558">
        <f>8518-212</f>
        <v/>
      </c>
      <c r="T34" s="558">
        <f>5829-424</f>
        <v/>
      </c>
      <c r="U34" s="558">
        <f>3816-212</f>
        <v/>
      </c>
      <c r="V34" s="558">
        <f>12440-212</f>
        <v/>
      </c>
      <c r="W34" s="431">
        <f>SUM(K34:V34)</f>
        <v/>
      </c>
      <c r="X34" s="583">
        <f>W34-W35</f>
        <v/>
      </c>
      <c r="Y34" s="585">
        <f>X34/W35</f>
        <v/>
      </c>
      <c r="Z34" s="445" t="n"/>
      <c r="AA34" s="445" t="n"/>
      <c r="AB34" s="1260" t="inlineStr">
        <is>
          <t>.</t>
        </is>
      </c>
    </row>
    <row r="35" ht="13.9" customHeight="1" s="1232">
      <c r="B35" s="1271" t="n"/>
      <c r="C35" s="1271" t="n"/>
      <c r="D35" s="470" t="n"/>
      <c r="E35" s="1296" t="n"/>
      <c r="F35" s="1305" t="n"/>
      <c r="I35" s="1316" t="inlineStr">
        <is>
          <t>2014</t>
        </is>
      </c>
      <c r="J35" s="1260" t="inlineStr">
        <is>
          <t>Year 2</t>
        </is>
      </c>
      <c r="K35" s="558">
        <f>4439-1260</f>
        <v/>
      </c>
      <c r="L35" s="558">
        <f>3071-197</f>
        <v/>
      </c>
      <c r="M35" s="558">
        <f>4958-132</f>
        <v/>
      </c>
      <c r="N35" s="558">
        <f>3585-132</f>
        <v/>
      </c>
      <c r="O35" s="558">
        <f>5008-33</f>
        <v/>
      </c>
      <c r="P35" s="558" t="n">
        <v>3386</v>
      </c>
      <c r="Q35" s="558" t="n">
        <v>3633</v>
      </c>
      <c r="R35" s="558" t="n">
        <v>3855</v>
      </c>
      <c r="S35" s="558" t="n">
        <v>6440</v>
      </c>
      <c r="T35" s="558" t="n">
        <v>3536</v>
      </c>
      <c r="U35" s="558" t="n">
        <v>2851</v>
      </c>
      <c r="V35" s="558" t="n">
        <v>7614</v>
      </c>
      <c r="W35" s="431">
        <f>SUM(K35:V35)</f>
        <v/>
      </c>
      <c r="X35" s="583">
        <f>W35-W36</f>
        <v/>
      </c>
      <c r="Y35" s="585">
        <f>X35/W36</f>
        <v/>
      </c>
    </row>
    <row r="36" ht="13.9" customHeight="1" s="1232">
      <c r="B36" s="1271" t="inlineStr">
        <is>
          <t>Lonnie Morris</t>
        </is>
      </c>
      <c r="C36" s="1271" t="inlineStr">
        <is>
          <t>Deals Won - Waiting £</t>
        </is>
      </c>
      <c r="D36" s="548" t="n"/>
      <c r="E36" s="1296" t="n"/>
      <c r="F36" s="1297" t="n"/>
      <c r="I36" s="1313" t="inlineStr">
        <is>
          <t>2013</t>
        </is>
      </c>
      <c r="J36" s="1260" t="inlineStr">
        <is>
          <t>Year 1</t>
        </is>
      </c>
      <c r="K36" s="558" t="n"/>
      <c r="L36" s="558" t="n"/>
      <c r="M36" s="558" t="n"/>
      <c r="N36" s="558" t="n"/>
      <c r="O36" s="558" t="n"/>
      <c r="P36" s="558" t="n"/>
      <c r="Q36" s="558" t="n"/>
      <c r="R36" s="558" t="n"/>
      <c r="S36" s="558" t="n"/>
      <c r="T36" s="558" t="n"/>
      <c r="U36" s="558">
        <f>3346-338</f>
        <v/>
      </c>
      <c r="V36" s="558">
        <f>6776-390</f>
        <v/>
      </c>
      <c r="W36" s="431">
        <f>SUM(K36:V36)</f>
        <v/>
      </c>
    </row>
    <row r="37" ht="13.9" customHeight="1" s="1232">
      <c r="B37" s="1271" t="inlineStr">
        <is>
          <t>Pixsy</t>
        </is>
      </c>
      <c r="C37" s="1271" t="inlineStr">
        <is>
          <t>Deals Won - Waiting £</t>
        </is>
      </c>
      <c r="D37" s="1260" t="n"/>
      <c r="E37" s="1296" t="n"/>
      <c r="F37" s="1297" t="n"/>
      <c r="X37" s="1260" t="inlineStr">
        <is>
          <t>YoY +/-</t>
        </is>
      </c>
      <c r="Y37" s="688">
        <f>W18-K27-L27-M27-N27-O27-P27-Q27-R27-S27-T27-U27-V27</f>
        <v/>
      </c>
      <c r="Z37" s="839">
        <f>Y37/W18</f>
        <v/>
      </c>
    </row>
    <row r="38" ht="15" customHeight="1" s="1232">
      <c r="B38" s="1271" t="inlineStr">
        <is>
          <t>Pixsy</t>
        </is>
      </c>
      <c r="C38" s="1271" t="inlineStr">
        <is>
          <t>Deals Won - Waiting £</t>
        </is>
      </c>
      <c r="D38" s="1260" t="n"/>
      <c r="E38" s="1296" t="n"/>
      <c r="F38" s="1297" t="n"/>
      <c r="I38" s="1318" t="inlineStr">
        <is>
          <t>Leads In Progress</t>
        </is>
      </c>
      <c r="J38" s="448">
        <f>SUMIF($C2:E110,I38,$E2:$E78)</f>
        <v/>
      </c>
      <c r="K38" s="558">
        <f>AVERAGE(K27:K35)</f>
        <v/>
      </c>
      <c r="L38" s="558">
        <f>AVERAGE(L27:L35)</f>
        <v/>
      </c>
      <c r="M38" s="558">
        <f>AVERAGE(M27:M35)</f>
        <v/>
      </c>
      <c r="N38" s="558">
        <f>AVERAGE(N27:N35)</f>
        <v/>
      </c>
      <c r="O38" s="558">
        <f>AVERAGE(O27:O35)</f>
        <v/>
      </c>
      <c r="P38" s="558">
        <f>AVERAGE(P27:P35)</f>
        <v/>
      </c>
      <c r="Q38" s="558">
        <f>AVERAGE(Q27:Q35)</f>
        <v/>
      </c>
      <c r="R38" s="558">
        <f>AVERAGE(R27:R35)</f>
        <v/>
      </c>
      <c r="S38" s="558">
        <f>AVERAGE(S27:S35)</f>
        <v/>
      </c>
      <c r="T38" s="558">
        <f>AVERAGE(T27:T35)</f>
        <v/>
      </c>
      <c r="U38" s="558">
        <f>AVERAGE(U27:U35)</f>
        <v/>
      </c>
      <c r="V38" s="558">
        <f>AVERAGE(V27:V35)</f>
        <v/>
      </c>
      <c r="W38" s="449">
        <f>SUM(K38:V38)</f>
        <v/>
      </c>
      <c r="X38" s="449" t="inlineStr">
        <is>
          <t>Avg</t>
        </is>
      </c>
    </row>
    <row r="39" ht="15" customHeight="1" s="1232">
      <c r="B39" s="1271" t="inlineStr">
        <is>
          <t>Pixsy</t>
        </is>
      </c>
      <c r="C39" s="1271" t="inlineStr">
        <is>
          <t>Deals Won - Waiting £</t>
        </is>
      </c>
      <c r="D39" s="1260" t="n"/>
      <c r="E39" s="1296" t="n"/>
      <c r="F39" s="1297" t="n"/>
      <c r="I39" s="1319" t="inlineStr">
        <is>
          <t>Deals Won - Waiting £</t>
        </is>
      </c>
      <c r="J39" s="451">
        <f>SUMIF($C2:E78,I39,$E2:$E78)</f>
        <v/>
      </c>
      <c r="L39" s="449" t="n"/>
      <c r="M39" s="449" t="n"/>
      <c r="N39" s="449" t="n"/>
      <c r="O39" s="449" t="n"/>
      <c r="P39" s="449" t="n"/>
      <c r="Q39" s="449" t="n"/>
      <c r="R39" s="449" t="n"/>
      <c r="S39" s="449" t="n"/>
      <c r="T39" s="449" t="n"/>
      <c r="U39" s="449" t="n"/>
      <c r="V39" s="449" t="n"/>
      <c r="W39" s="449" t="n"/>
      <c r="X39" s="449" t="n"/>
    </row>
    <row r="40" ht="15.4" customHeight="1" s="1232" thickBot="1">
      <c r="E40" s="1296" t="n"/>
      <c r="F40" s="1297" t="n"/>
      <c r="I40" s="1322" t="inlineStr">
        <is>
          <t>Pipeline</t>
        </is>
      </c>
      <c r="J40" s="453">
        <f>SUM(J38:J39)</f>
        <v/>
      </c>
      <c r="K40" s="914" t="n"/>
      <c r="L40" s="914" t="n"/>
      <c r="M40" s="914" t="n"/>
      <c r="N40" s="914" t="n"/>
      <c r="O40" s="914" t="n"/>
      <c r="P40" s="914" t="n"/>
      <c r="Q40" s="914" t="n"/>
      <c r="R40" s="914" t="n"/>
      <c r="S40" s="914" t="n"/>
      <c r="T40" s="914" t="n"/>
      <c r="U40" s="1219" t="inlineStr">
        <is>
          <t>To Date - All Time</t>
        </is>
      </c>
      <c r="V40" s="1220" t="n"/>
      <c r="W40" s="688">
        <f>SUM(W27:W36)+W18</f>
        <v/>
      </c>
      <c r="X40" s="914" t="n"/>
    </row>
    <row r="41" ht="13.9" customHeight="1" s="1232" thickBot="1">
      <c r="B41" s="1271" t="inlineStr">
        <is>
          <t>Kase Affiliation</t>
        </is>
      </c>
      <c r="C41" s="1271" t="inlineStr">
        <is>
          <t>Deals Won - Waiting £</t>
        </is>
      </c>
      <c r="D41" s="470" t="n"/>
      <c r="E41" s="1296" t="n">
        <v>32.34</v>
      </c>
      <c r="F41" s="1260" t="inlineStr">
        <is>
          <t>Kase Commission</t>
        </is>
      </c>
      <c r="J41" s="914" t="n"/>
      <c r="K41" s="914" t="n"/>
      <c r="L41" s="914" t="n"/>
      <c r="M41" s="914" t="n"/>
      <c r="N41" s="914" t="n"/>
      <c r="O41" s="914" t="n"/>
      <c r="P41" s="914" t="n"/>
      <c r="Q41" s="914" t="n"/>
      <c r="R41" s="914" t="n"/>
      <c r="S41" s="914" t="n"/>
      <c r="T41" s="914" t="n"/>
      <c r="U41" s="1219" t="inlineStr">
        <is>
          <t>Average Per Year</t>
        </is>
      </c>
      <c r="V41" s="1220" t="n"/>
      <c r="W41" s="558">
        <f>SUM(W27:W35)/10</f>
        <v/>
      </c>
      <c r="X41" s="914" t="n"/>
    </row>
    <row r="42" ht="13.9" customHeight="1" s="1232">
      <c r="B42" s="1271" t="inlineStr">
        <is>
          <t>Partnerize</t>
        </is>
      </c>
      <c r="E42" s="1296" t="n">
        <v>15</v>
      </c>
      <c r="F42" s="1260" t="inlineStr">
        <is>
          <t>MPB Commission</t>
        </is>
      </c>
      <c r="I42" s="1327" t="inlineStr">
        <is>
          <t>YTD Actual</t>
        </is>
      </c>
      <c r="J42" s="456">
        <f>W18</f>
        <v/>
      </c>
      <c r="K42" s="914">
        <f>SUM(E164:E629)-J42</f>
        <v/>
      </c>
      <c r="L42" s="914" t="n"/>
      <c r="M42" s="914" t="n"/>
      <c r="N42" s="914" t="n"/>
      <c r="O42" s="914" t="n"/>
      <c r="P42" s="914" t="n"/>
      <c r="Q42" s="914" t="n"/>
      <c r="R42" s="914" t="n"/>
      <c r="S42" s="914" t="n"/>
      <c r="T42" s="914" t="n"/>
      <c r="U42" s="914" t="n"/>
      <c r="V42" s="914" t="n"/>
      <c r="W42" s="914" t="n"/>
      <c r="X42" s="914" t="n"/>
    </row>
    <row r="43" ht="14.25" customHeight="1" s="1232" thickBot="1">
      <c r="B43" s="1271" t="n"/>
      <c r="C43" s="1271" t="n"/>
      <c r="D43" s="548" t="n"/>
      <c r="E43" s="1296" t="n"/>
      <c r="F43" s="1297" t="n"/>
      <c r="I43" s="1328" t="inlineStr">
        <is>
          <t>YTD Var to target</t>
        </is>
      </c>
      <c r="J43" s="458">
        <f>J42-AA18</f>
        <v/>
      </c>
      <c r="K43" s="914" t="n"/>
      <c r="L43" s="914" t="n"/>
      <c r="M43" s="914" t="n"/>
      <c r="N43" s="914" t="n"/>
      <c r="O43" s="914" t="n"/>
      <c r="P43" s="914" t="n"/>
      <c r="Q43" s="914" t="n"/>
      <c r="R43" s="914" t="n"/>
      <c r="S43" s="914" t="n"/>
      <c r="T43" s="914" t="n"/>
      <c r="U43" s="914" t="n"/>
      <c r="V43" s="914" t="n"/>
      <c r="W43" s="914" t="n"/>
      <c r="X43" s="914" t="n"/>
    </row>
    <row r="44" ht="13.5" customHeight="1" s="1232">
      <c r="B44" s="1271" t="n"/>
      <c r="C44" s="1271" t="n"/>
      <c r="D44" s="1260" t="n"/>
      <c r="E44" s="1296" t="n"/>
      <c r="F44" s="1260" t="n"/>
      <c r="J44" s="914" t="n"/>
      <c r="K44" s="914" t="n"/>
      <c r="L44" s="914" t="n"/>
      <c r="M44" s="914" t="n"/>
      <c r="N44" s="914" t="n"/>
      <c r="O44" s="914" t="n"/>
      <c r="P44" s="914" t="n"/>
      <c r="Q44" s="914" t="n"/>
      <c r="R44" s="914" t="n"/>
      <c r="S44" s="914" t="n"/>
      <c r="T44" s="914" t="n"/>
      <c r="U44" s="914" t="n"/>
      <c r="V44" s="914" t="n"/>
      <c r="W44" s="914" t="n"/>
      <c r="X44" s="914" t="n"/>
    </row>
    <row r="45" ht="13.5" customHeight="1" s="1232">
      <c r="C45" s="1271" t="n"/>
      <c r="E45" s="1296" t="n"/>
      <c r="J45" s="914" t="n"/>
      <c r="K45" s="914" t="n"/>
      <c r="L45" s="914" t="n"/>
      <c r="M45" s="914" t="n"/>
      <c r="N45" s="914" t="n"/>
      <c r="O45" s="914" t="n"/>
      <c r="P45" s="914" t="n"/>
      <c r="Q45" s="914" t="n"/>
      <c r="R45" s="914" t="n"/>
      <c r="S45" s="914" t="n"/>
      <c r="T45" s="914" t="n"/>
      <c r="U45" s="914" t="n"/>
      <c r="V45" s="914" t="n"/>
      <c r="W45" s="914" t="n"/>
      <c r="X45" s="914" t="n"/>
    </row>
    <row r="46" ht="13.9" customHeight="1" s="1232">
      <c r="B46" s="1271" t="inlineStr">
        <is>
          <t>Pure Photo</t>
        </is>
      </c>
      <c r="C46" s="1271" t="inlineStr">
        <is>
          <t>Deals Won - Waiting £</t>
        </is>
      </c>
      <c r="D46" s="470" t="n"/>
      <c r="E46" s="1296" t="n"/>
      <c r="F46" s="1297" t="n"/>
      <c r="G46" s="1374" t="n"/>
      <c r="I46" s="1336" t="inlineStr">
        <is>
          <t>Tuition Categories</t>
        </is>
      </c>
      <c r="J46" s="1330" t="inlineStr">
        <is>
          <t>Variance to 2022</t>
        </is>
      </c>
      <c r="K46" s="1332" t="inlineStr">
        <is>
          <t>Jan</t>
        </is>
      </c>
      <c r="L46" s="1332" t="inlineStr">
        <is>
          <t>Feb</t>
        </is>
      </c>
      <c r="M46" s="1332" t="inlineStr">
        <is>
          <t>Mar</t>
        </is>
      </c>
      <c r="N46" s="1332" t="inlineStr">
        <is>
          <t>Apr</t>
        </is>
      </c>
      <c r="O46" s="1332" t="inlineStr">
        <is>
          <t>May</t>
        </is>
      </c>
      <c r="P46" s="1332" t="inlineStr">
        <is>
          <t>Jun</t>
        </is>
      </c>
      <c r="Q46" s="1332" t="inlineStr">
        <is>
          <t>Jul</t>
        </is>
      </c>
      <c r="R46" s="1332" t="inlineStr">
        <is>
          <t>Aug</t>
        </is>
      </c>
      <c r="S46" s="1332" t="inlineStr">
        <is>
          <t>Sep</t>
        </is>
      </c>
      <c r="T46" s="1332" t="inlineStr">
        <is>
          <t>Oct</t>
        </is>
      </c>
      <c r="U46" s="1332" t="inlineStr">
        <is>
          <t>Nov</t>
        </is>
      </c>
      <c r="V46" s="1332" t="inlineStr">
        <is>
          <t>Dec</t>
        </is>
      </c>
      <c r="W46" s="1278" t="inlineStr">
        <is>
          <t>Year</t>
        </is>
      </c>
    </row>
    <row r="47" ht="13.5" customHeight="1" s="1232">
      <c r="B47" s="1294" t="n"/>
      <c r="C47" s="1271" t="n"/>
      <c r="D47" s="470" t="n"/>
      <c r="E47" s="1296" t="n"/>
      <c r="F47" s="1297" t="n"/>
      <c r="G47" s="1374" t="n"/>
      <c r="I47" s="1333" t="inlineStr">
        <is>
          <t>1. Courses/masterclasses</t>
        </is>
      </c>
      <c r="J47" s="431" t="n"/>
      <c r="K47" s="432">
        <f>K6-'Sales 2022'!K6</f>
        <v/>
      </c>
      <c r="L47" s="432">
        <f>L6-'Sales 2022'!L6</f>
        <v/>
      </c>
      <c r="M47" s="432">
        <f>M6-'Sales 2022'!M6</f>
        <v/>
      </c>
      <c r="N47" s="432">
        <f>N6-'Sales 2022'!N6</f>
        <v/>
      </c>
      <c r="O47" s="432">
        <f>O6-'Sales 2022'!O6</f>
        <v/>
      </c>
      <c r="P47" s="432">
        <f>P6-'Sales 2022'!P6</f>
        <v/>
      </c>
      <c r="Q47" s="432">
        <f>Q6-'Sales 2022'!Q6</f>
        <v/>
      </c>
      <c r="R47" s="432">
        <f>R6-'Sales 2022'!R6</f>
        <v/>
      </c>
      <c r="S47" s="432">
        <f>S6-'Sales 2022'!S6</f>
        <v/>
      </c>
      <c r="T47" s="432">
        <f>T6-'Sales 2022'!T6</f>
        <v/>
      </c>
      <c r="U47" s="432">
        <f>U6-'Sales 2022'!U6</f>
        <v/>
      </c>
      <c r="V47" s="432">
        <f>V6-'Sales 2022'!V6</f>
        <v/>
      </c>
      <c r="W47" s="788">
        <f>SUM(K47:V47)</f>
        <v/>
      </c>
      <c r="X47" s="445">
        <f>W47/'Sales 2022'!W6</f>
        <v/>
      </c>
      <c r="Z47" s="445" t="n"/>
    </row>
    <row r="48" ht="13.5" customHeight="1" s="1232">
      <c r="B48" s="1271" t="inlineStr">
        <is>
          <t>Artfully Walls</t>
        </is>
      </c>
      <c r="C48" s="1271" t="inlineStr">
        <is>
          <t>Deals Won - Waiting £</t>
        </is>
      </c>
      <c r="D48" s="470" t="n"/>
      <c r="E48" s="1296" t="n"/>
      <c r="F48" s="1297" t="n"/>
      <c r="G48" s="1374" t="n"/>
      <c r="I48" s="1333" t="inlineStr">
        <is>
          <t>2. Workshops</t>
        </is>
      </c>
      <c r="J48" s="431" t="n"/>
      <c r="K48" s="432">
        <f>K7-'Sales 2022'!K7</f>
        <v/>
      </c>
      <c r="L48" s="432">
        <f>L7-'Sales 2022'!L7</f>
        <v/>
      </c>
      <c r="M48" s="432">
        <f>M7-'Sales 2022'!M7</f>
        <v/>
      </c>
      <c r="N48" s="432">
        <f>N7-'Sales 2022'!N7</f>
        <v/>
      </c>
      <c r="O48" s="432">
        <f>O7-'Sales 2022'!O7</f>
        <v/>
      </c>
      <c r="P48" s="432">
        <f>P7-'Sales 2022'!P7</f>
        <v/>
      </c>
      <c r="Q48" s="432">
        <f>Q7-'Sales 2022'!Q7</f>
        <v/>
      </c>
      <c r="R48" s="432">
        <f>R7-'Sales 2022'!R7</f>
        <v/>
      </c>
      <c r="S48" s="432">
        <f>S7-'Sales 2022'!S7</f>
        <v/>
      </c>
      <c r="T48" s="432">
        <f>T7-'Sales 2022'!T7</f>
        <v/>
      </c>
      <c r="U48" s="432">
        <f>U7-'Sales 2022'!U7</f>
        <v/>
      </c>
      <c r="V48" s="432">
        <f>V7-'Sales 2022'!V7</f>
        <v/>
      </c>
      <c r="W48" s="788">
        <f>SUM(K48:V48)</f>
        <v/>
      </c>
      <c r="X48" s="445">
        <f>W48/'Sales 2022'!W7</f>
        <v/>
      </c>
      <c r="Z48" s="445" t="n"/>
    </row>
    <row r="49" ht="13.5" customHeight="1" s="1232">
      <c r="B49" s="1271" t="n"/>
      <c r="C49" s="1271" t="n"/>
      <c r="D49" s="470" t="n"/>
      <c r="E49" s="1296" t="n"/>
      <c r="F49" s="1297" t="n"/>
      <c r="G49" s="1374" t="n"/>
      <c r="I49" s="1334" t="inlineStr">
        <is>
          <t>-   Workshops Residential</t>
        </is>
      </c>
      <c r="J49" s="431" t="n"/>
      <c r="K49" s="432">
        <f>K8</f>
        <v/>
      </c>
      <c r="L49" s="432">
        <f>L8</f>
        <v/>
      </c>
      <c r="M49" s="432">
        <f>M8</f>
        <v/>
      </c>
      <c r="N49" s="432">
        <f>N8</f>
        <v/>
      </c>
      <c r="O49" s="432">
        <f>O8</f>
        <v/>
      </c>
      <c r="P49" s="432">
        <f>P8</f>
        <v/>
      </c>
      <c r="Q49" s="432">
        <f>Q8</f>
        <v/>
      </c>
      <c r="R49" s="432">
        <f>R8</f>
        <v/>
      </c>
      <c r="S49" s="432">
        <f>S8</f>
        <v/>
      </c>
      <c r="T49" s="432">
        <f>T8</f>
        <v/>
      </c>
      <c r="U49" s="432">
        <f>U8</f>
        <v/>
      </c>
      <c r="V49" s="432">
        <f>V8</f>
        <v/>
      </c>
      <c r="W49" s="788">
        <f>SUM(K49:V49)</f>
        <v/>
      </c>
      <c r="X49" s="445">
        <f>W49/'Sales 2022'!W8</f>
        <v/>
      </c>
    </row>
    <row r="50" ht="13.5" customHeight="1" s="1232">
      <c r="C50" s="1271" t="n"/>
      <c r="D50" s="470" t="n"/>
      <c r="E50" s="1296" t="n"/>
      <c r="F50" s="1297" t="n"/>
      <c r="I50" s="1333" t="inlineStr">
        <is>
          <t>3. Pick n Mix Inc</t>
        </is>
      </c>
      <c r="J50" s="431" t="n"/>
      <c r="K50" s="432">
        <f>K9-'Sales 2022'!K8</f>
        <v/>
      </c>
      <c r="L50" s="432">
        <f>L9-'Sales 2022'!L8</f>
        <v/>
      </c>
      <c r="M50" s="432">
        <f>M9-'Sales 2022'!M8</f>
        <v/>
      </c>
      <c r="N50" s="432">
        <f>N9-'Sales 2022'!N8</f>
        <v/>
      </c>
      <c r="O50" s="432">
        <f>O9-'Sales 2022'!O8</f>
        <v/>
      </c>
      <c r="P50" s="432">
        <f>P9-'Sales 2022'!P8</f>
        <v/>
      </c>
      <c r="Q50" s="432">
        <f>Q9-'Sales 2022'!Q8</f>
        <v/>
      </c>
      <c r="R50" s="432">
        <f>R9-'Sales 2022'!R8</f>
        <v/>
      </c>
      <c r="S50" s="432">
        <f>S9-'Sales 2022'!S8</f>
        <v/>
      </c>
      <c r="T50" s="432">
        <f>T9-'Sales 2022'!T8</f>
        <v/>
      </c>
      <c r="U50" s="432">
        <f>U9-'Sales 2022'!U8</f>
        <v/>
      </c>
      <c r="V50" s="432">
        <f>V9-'Sales 2022'!V8</f>
        <v/>
      </c>
      <c r="W50" s="788">
        <f>SUM(K50:V50)</f>
        <v/>
      </c>
      <c r="X50" s="445">
        <f>W50/'Sales 2022'!W8</f>
        <v/>
      </c>
    </row>
    <row r="51" ht="13.5" customHeight="1" s="1232">
      <c r="B51" s="1271" t="inlineStr">
        <is>
          <t>The Heart of a Garden</t>
        </is>
      </c>
      <c r="C51" s="1271" t="inlineStr">
        <is>
          <t>Deals Won - Waiting £</t>
        </is>
      </c>
      <c r="D51" s="548" t="n"/>
      <c r="E51" s="1296" t="inlineStr">
        <is>
          <t>?</t>
        </is>
      </c>
      <c r="F51" s="1297" t="inlineStr">
        <is>
          <t>Greeting Cards</t>
        </is>
      </c>
      <c r="G51" s="1282" t="inlineStr">
        <is>
          <t>Jan 2024</t>
        </is>
      </c>
      <c r="I51" s="1333" t="inlineStr">
        <is>
          <t>4. Pick n Mix Out</t>
        </is>
      </c>
      <c r="J51" s="431" t="n"/>
      <c r="K51" s="432">
        <f>K10-'Sales 2022'!K9</f>
        <v/>
      </c>
      <c r="L51" s="432">
        <f>L10-'Sales 2022'!L9</f>
        <v/>
      </c>
      <c r="M51" s="432">
        <f>M10-'Sales 2022'!M9</f>
        <v/>
      </c>
      <c r="N51" s="432">
        <f>N10-'Sales 2022'!N9</f>
        <v/>
      </c>
      <c r="O51" s="432">
        <f>O10-'Sales 2022'!O9</f>
        <v/>
      </c>
      <c r="P51" s="432">
        <f>P10-'Sales 2022'!P9</f>
        <v/>
      </c>
      <c r="Q51" s="432">
        <f>Q10-'Sales 2022'!Q9</f>
        <v/>
      </c>
      <c r="R51" s="432">
        <f>R10-'Sales 2022'!R9</f>
        <v/>
      </c>
      <c r="S51" s="432">
        <f>S10-'Sales 2022'!S9</f>
        <v/>
      </c>
      <c r="T51" s="432">
        <f>T10-'Sales 2022'!T9</f>
        <v/>
      </c>
      <c r="U51" s="432">
        <f>U10-'Sales 2022'!U9</f>
        <v/>
      </c>
      <c r="V51" s="432">
        <f>V10-'Sales 2022'!V9</f>
        <v/>
      </c>
      <c r="W51" s="788">
        <f>SUM(K51:V51)</f>
        <v/>
      </c>
      <c r="X51" s="445">
        <f>W51/'Sales 2022'!W9</f>
        <v/>
      </c>
    </row>
    <row r="52" ht="13.9" customHeight="1" s="1232">
      <c r="B52" s="1356" t="n"/>
      <c r="C52" s="1357" t="n"/>
      <c r="D52" s="919" t="n"/>
      <c r="E52" s="1317" t="n"/>
      <c r="F52" s="1358" t="n"/>
      <c r="I52" s="1333" t="inlineStr">
        <is>
          <t>5. Mentoring</t>
        </is>
      </c>
      <c r="J52" s="431" t="n"/>
      <c r="K52" s="432">
        <f>K11-'Sales 2022'!K10</f>
        <v/>
      </c>
      <c r="L52" s="432">
        <f>L11-'Sales 2022'!L10</f>
        <v/>
      </c>
      <c r="M52" s="432">
        <f>M11-'Sales 2022'!M10</f>
        <v/>
      </c>
      <c r="N52" s="432">
        <f>N11-'Sales 2022'!N10</f>
        <v/>
      </c>
      <c r="O52" s="432">
        <f>O11-'Sales 2022'!O10</f>
        <v/>
      </c>
      <c r="P52" s="432">
        <f>P11-'Sales 2022'!P10</f>
        <v/>
      </c>
      <c r="Q52" s="432">
        <f>Q11-'Sales 2022'!Q10</f>
        <v/>
      </c>
      <c r="R52" s="432">
        <f>R11-'Sales 2022'!R10</f>
        <v/>
      </c>
      <c r="S52" s="432">
        <f>S11-'Sales 2022'!S10</f>
        <v/>
      </c>
      <c r="T52" s="432">
        <f>T11-'Sales 2022'!T10</f>
        <v/>
      </c>
      <c r="U52" s="432">
        <f>U11-'Sales 2022'!U10</f>
        <v/>
      </c>
      <c r="V52" s="432">
        <f>V11-'Sales 2022'!V10</f>
        <v/>
      </c>
      <c r="W52" s="788">
        <f>SUM(K52:V52)</f>
        <v/>
      </c>
      <c r="X52" s="445">
        <f>W52/'Sales 2022'!W10</f>
        <v/>
      </c>
    </row>
    <row r="53" ht="13.5" customHeight="1" s="1232">
      <c r="B53" s="1271" t="inlineStr">
        <is>
          <t>Photocrowd</t>
        </is>
      </c>
      <c r="C53" s="1271" t="inlineStr">
        <is>
          <t>Deals Won - Waiting £</t>
        </is>
      </c>
      <c r="D53" s="548" t="n"/>
      <c r="E53" s="1296" t="n">
        <v>150</v>
      </c>
      <c r="F53" s="1297" t="inlineStr">
        <is>
          <t>Judging Fee</t>
        </is>
      </c>
      <c r="G53" s="1282" t="inlineStr">
        <is>
          <t>Feb 2024</t>
        </is>
      </c>
      <c r="I53" s="1334" t="inlineStr">
        <is>
          <t>6. 1-2-1</t>
        </is>
      </c>
      <c r="J53" s="431" t="n"/>
      <c r="K53" s="432">
        <f>K12-'Sales 2022'!K11</f>
        <v/>
      </c>
      <c r="L53" s="432">
        <f>L12-'Sales 2022'!L11</f>
        <v/>
      </c>
      <c r="M53" s="432">
        <f>M12-'Sales 2022'!M11</f>
        <v/>
      </c>
      <c r="N53" s="432">
        <f>N12-'Sales 2022'!N11</f>
        <v/>
      </c>
      <c r="O53" s="432">
        <f>O12-'Sales 2022'!O11</f>
        <v/>
      </c>
      <c r="P53" s="432">
        <f>P12-'Sales 2022'!P11</f>
        <v/>
      </c>
      <c r="Q53" s="432">
        <f>Q12-'Sales 2022'!Q11</f>
        <v/>
      </c>
      <c r="R53" s="432">
        <f>R12-'Sales 2022'!R11</f>
        <v/>
      </c>
      <c r="S53" s="432">
        <f>S12-'Sales 2022'!S11</f>
        <v/>
      </c>
      <c r="T53" s="432">
        <f>T12-'Sales 2022'!T11</f>
        <v/>
      </c>
      <c r="U53" s="432">
        <f>U12-'Sales 2022'!U11</f>
        <v/>
      </c>
      <c r="V53" s="432">
        <f>V12-'Sales 2022'!V11</f>
        <v/>
      </c>
      <c r="W53" s="788">
        <f>SUM(K53:V53)</f>
        <v/>
      </c>
      <c r="X53" s="445">
        <f>W53/'Sales 2022'!W11</f>
        <v/>
      </c>
    </row>
    <row r="54" ht="13.9" customHeight="1" s="1232">
      <c r="B54" s="1357" t="n"/>
      <c r="C54" s="1357" t="n"/>
      <c r="D54" s="919" t="n"/>
      <c r="E54" s="1317" t="n"/>
      <c r="F54" s="1358" t="n"/>
      <c r="I54" s="1334" t="inlineStr">
        <is>
          <t>7. Gift Vouchers Inc</t>
        </is>
      </c>
      <c r="J54" s="431" t="n"/>
      <c r="K54" s="432">
        <f>K13-'Sales 2022'!K12</f>
        <v/>
      </c>
      <c r="L54" s="432">
        <f>L13-'Sales 2022'!L12</f>
        <v/>
      </c>
      <c r="M54" s="432">
        <f>M13-'Sales 2022'!M12</f>
        <v/>
      </c>
      <c r="N54" s="432">
        <f>N13-'Sales 2022'!N12</f>
        <v/>
      </c>
      <c r="O54" s="432">
        <f>O13-'Sales 2022'!O12</f>
        <v/>
      </c>
      <c r="P54" s="432">
        <f>P13-'Sales 2022'!P12</f>
        <v/>
      </c>
      <c r="Q54" s="432">
        <f>Q13-'Sales 2022'!Q12</f>
        <v/>
      </c>
      <c r="R54" s="432">
        <f>R13-'Sales 2022'!R12</f>
        <v/>
      </c>
      <c r="S54" s="432">
        <f>S13-'Sales 2022'!S12</f>
        <v/>
      </c>
      <c r="T54" s="432">
        <f>T13-'Sales 2022'!T12</f>
        <v/>
      </c>
      <c r="U54" s="432">
        <f>U13-'Sales 2022'!U12</f>
        <v/>
      </c>
      <c r="V54" s="432">
        <f>V13-'Sales 2022'!V12</f>
        <v/>
      </c>
      <c r="W54" s="788">
        <f>SUM(K54:V54)</f>
        <v/>
      </c>
      <c r="X54" s="445">
        <f>W54/'Sales 2022'!W12</f>
        <v/>
      </c>
    </row>
    <row r="55" ht="13.5" customHeight="1" s="1232">
      <c r="B55" s="1271" t="inlineStr">
        <is>
          <t>Call of the Page</t>
        </is>
      </c>
      <c r="C55" s="1271" t="inlineStr">
        <is>
          <t>Deals Won - Waiting £</t>
        </is>
      </c>
      <c r="D55" s="470" t="n"/>
      <c r="E55" s="1296" t="n"/>
      <c r="F55" s="1297" t="inlineStr">
        <is>
          <t>Feedback time Sept</t>
        </is>
      </c>
      <c r="I55" s="1334" t="inlineStr">
        <is>
          <t>8. Gift Vouchers Out</t>
        </is>
      </c>
      <c r="J55" s="431" t="n"/>
      <c r="K55" s="432">
        <f>K14-'Sales 2022'!K13</f>
        <v/>
      </c>
      <c r="L55" s="432">
        <f>L14-'Sales 2022'!L13</f>
        <v/>
      </c>
      <c r="M55" s="432">
        <f>M14-'Sales 2022'!M13</f>
        <v/>
      </c>
      <c r="N55" s="432">
        <f>N14-'Sales 2022'!N13</f>
        <v/>
      </c>
      <c r="O55" s="432">
        <f>O14-'Sales 2022'!O13</f>
        <v/>
      </c>
      <c r="P55" s="432">
        <f>P14-'Sales 2022'!P13</f>
        <v/>
      </c>
      <c r="Q55" s="432">
        <f>Q14-'Sales 2022'!Q13</f>
        <v/>
      </c>
      <c r="R55" s="432">
        <f>R14-'Sales 2022'!R13</f>
        <v/>
      </c>
      <c r="S55" s="432">
        <f>S14-'Sales 2022'!S13</f>
        <v/>
      </c>
      <c r="T55" s="432">
        <f>T14-'Sales 2022'!T13</f>
        <v/>
      </c>
      <c r="U55" s="432">
        <f>U14-'Sales 2022'!U13</f>
        <v/>
      </c>
      <c r="V55" s="432">
        <f>V14-'Sales 2022'!V13</f>
        <v/>
      </c>
      <c r="W55" s="788">
        <f>SUM(K55:V55)</f>
        <v/>
      </c>
      <c r="X55" s="445">
        <f>W55/'Sales 2022'!W13</f>
        <v/>
      </c>
    </row>
    <row r="56" ht="13.5" customHeight="1" s="1232">
      <c r="F56" s="1297" t="n"/>
      <c r="I56" s="1334" t="inlineStr">
        <is>
          <t>9. Prints &amp; Royalties</t>
        </is>
      </c>
      <c r="J56" s="431" t="n"/>
      <c r="K56" s="432">
        <f>K15-'Sales 2022'!K14</f>
        <v/>
      </c>
      <c r="L56" s="432">
        <f>L15-'Sales 2022'!L14</f>
        <v/>
      </c>
      <c r="M56" s="432">
        <f>M15-'Sales 2022'!M14</f>
        <v/>
      </c>
      <c r="N56" s="432">
        <f>N15-'Sales 2022'!N14</f>
        <v/>
      </c>
      <c r="O56" s="432">
        <f>O15-'Sales 2022'!O14</f>
        <v/>
      </c>
      <c r="P56" s="432">
        <f>P15-'Sales 2022'!P14</f>
        <v/>
      </c>
      <c r="Q56" s="432">
        <f>Q15-'Sales 2022'!Q14</f>
        <v/>
      </c>
      <c r="R56" s="432">
        <f>R15-'Sales 2022'!R14</f>
        <v/>
      </c>
      <c r="S56" s="432">
        <f>S15-'Sales 2022'!S14</f>
        <v/>
      </c>
      <c r="T56" s="432">
        <f>T15-'Sales 2022'!T14</f>
        <v/>
      </c>
      <c r="U56" s="432">
        <f>U15-'Sales 2022'!U14</f>
        <v/>
      </c>
      <c r="V56" s="432">
        <f>V15-'Sales 2022'!V14</f>
        <v/>
      </c>
      <c r="W56" s="788">
        <f>SUM(K56:V56)</f>
        <v/>
      </c>
      <c r="X56" s="445">
        <f>W56/'Sales 2022'!W14</f>
        <v/>
      </c>
    </row>
    <row r="57" ht="13.5" customHeight="1" s="1232">
      <c r="B57" s="1271" t="n"/>
      <c r="C57" s="1271" t="n"/>
      <c r="D57" s="470" t="n"/>
      <c r="E57" s="1296" t="n"/>
      <c r="I57" s="1334" t="inlineStr">
        <is>
          <t>10 Commissions</t>
        </is>
      </c>
      <c r="J57" s="431" t="n"/>
      <c r="K57" s="432">
        <f>K16-'Sales 2022'!K15</f>
        <v/>
      </c>
      <c r="L57" s="432">
        <f>L16-'Sales 2022'!L15</f>
        <v/>
      </c>
      <c r="M57" s="432">
        <f>M16-'Sales 2022'!M15</f>
        <v/>
      </c>
      <c r="N57" s="432">
        <f>N16-'Sales 2022'!N15</f>
        <v/>
      </c>
      <c r="O57" s="432">
        <f>O16-'Sales 2022'!O15</f>
        <v/>
      </c>
      <c r="P57" s="432">
        <f>P16-'Sales 2022'!P15</f>
        <v/>
      </c>
      <c r="Q57" s="432">
        <f>Q16-'Sales 2022'!Q15</f>
        <v/>
      </c>
      <c r="R57" s="432">
        <f>R16-'Sales 2022'!R15</f>
        <v/>
      </c>
      <c r="S57" s="432">
        <f>S16-'Sales 2022'!S15</f>
        <v/>
      </c>
      <c r="T57" s="432">
        <f>T16-'Sales 2022'!T15</f>
        <v/>
      </c>
      <c r="U57" s="432">
        <f>U16-'Sales 2022'!U15</f>
        <v/>
      </c>
      <c r="V57" s="432">
        <f>V16-'Sales 2022'!V15</f>
        <v/>
      </c>
      <c r="W57" s="788">
        <f>SUM(K57:V57)</f>
        <v/>
      </c>
      <c r="X57" s="445">
        <f>W57/'Sales 2022'!W15</f>
        <v/>
      </c>
    </row>
    <row r="58" ht="13.9" customHeight="1" s="1232" thickBot="1">
      <c r="B58" s="1271" t="n"/>
      <c r="C58" s="1271" t="n"/>
      <c r="D58" s="470" t="n"/>
      <c r="E58" s="1296" t="n"/>
      <c r="F58" s="1271" t="n"/>
      <c r="I58" s="1334" t="inlineStr">
        <is>
          <t>11. Other</t>
        </is>
      </c>
      <c r="J58" s="431" t="n"/>
      <c r="K58" s="432">
        <f>K17-'Sales 2022'!K16</f>
        <v/>
      </c>
      <c r="L58" s="432">
        <f>L17-'Sales 2022'!L16</f>
        <v/>
      </c>
      <c r="M58" s="432">
        <f>M17-'Sales 2022'!M16</f>
        <v/>
      </c>
      <c r="N58" s="432">
        <f>N17-'Sales 2022'!N16</f>
        <v/>
      </c>
      <c r="O58" s="432">
        <f>O17-'Sales 2022'!O16</f>
        <v/>
      </c>
      <c r="P58" s="432">
        <f>P17-'Sales 2022'!P16</f>
        <v/>
      </c>
      <c r="Q58" s="432">
        <f>Q17-'Sales 2022'!Q16</f>
        <v/>
      </c>
      <c r="R58" s="432">
        <f>R17-'Sales 2022'!R16</f>
        <v/>
      </c>
      <c r="S58" s="432">
        <f>S17-'Sales 2022'!S16</f>
        <v/>
      </c>
      <c r="T58" s="432">
        <f>T17-'Sales 2022'!T16</f>
        <v/>
      </c>
      <c r="U58" s="432">
        <f>U17-'Sales 2022'!U16</f>
        <v/>
      </c>
      <c r="V58" s="432">
        <f>V17-'Sales 2022'!V16</f>
        <v/>
      </c>
      <c r="W58" s="788">
        <f>SUM(K58:V58)</f>
        <v/>
      </c>
      <c r="X58" s="445">
        <f>W58/'Sales 2022'!W16</f>
        <v/>
      </c>
    </row>
    <row r="59" ht="13.9" customHeight="1" s="1232" thickBot="1" thickTop="1">
      <c r="E59" s="1360" t="inlineStr">
        <is>
          <t>Amount</t>
        </is>
      </c>
      <c r="F59" s="1321" t="inlineStr">
        <is>
          <t>Due Date</t>
        </is>
      </c>
      <c r="G59" s="1321" t="inlineStr">
        <is>
          <t>Invoice</t>
        </is>
      </c>
      <c r="H59" s="1321" t="inlineStr">
        <is>
          <t>Date</t>
        </is>
      </c>
      <c r="I59" s="1335" t="inlineStr">
        <is>
          <t>Totals</t>
        </is>
      </c>
      <c r="J59" s="438" t="n"/>
      <c r="K59" s="587">
        <f>SUM(K47:K58)</f>
        <v/>
      </c>
      <c r="L59" s="587">
        <f>SUM(L47:L58)</f>
        <v/>
      </c>
      <c r="M59" s="587">
        <f>SUM(M47:M58)</f>
        <v/>
      </c>
      <c r="N59" s="587">
        <f>SUM(N47:N58)</f>
        <v/>
      </c>
      <c r="O59" s="587">
        <f>SUM(O47:O58)</f>
        <v/>
      </c>
      <c r="P59" s="587">
        <f>SUM(P47:P58)</f>
        <v/>
      </c>
      <c r="Q59" s="587">
        <f>SUM(Q47:Q58)</f>
        <v/>
      </c>
      <c r="R59" s="587">
        <f>SUM(R47:R58)</f>
        <v/>
      </c>
      <c r="S59" s="587">
        <f>SUM(S47:S58)</f>
        <v/>
      </c>
      <c r="T59" s="587">
        <f>SUM(T47:T58)</f>
        <v/>
      </c>
      <c r="U59" s="587">
        <f>SUM(U47:U58)</f>
        <v/>
      </c>
      <c r="V59" s="587">
        <f>SUM(V47:V58)</f>
        <v/>
      </c>
      <c r="W59" s="789">
        <f>SUM(W47:W58)</f>
        <v/>
      </c>
      <c r="X59" s="445">
        <f>W59/'Sales 2022'!W17</f>
        <v/>
      </c>
    </row>
    <row r="60" ht="13.9" customHeight="1" s="1232" thickTop="1">
      <c r="B60" s="1361" t="inlineStr">
        <is>
          <t>Lindsey Mcqueen</t>
        </is>
      </c>
      <c r="C60" s="1361" t="inlineStr">
        <is>
          <t>Deals Won - Waiting £</t>
        </is>
      </c>
      <c r="D60" s="947" t="inlineStr">
        <is>
          <t>ELS - Photo Course</t>
        </is>
      </c>
      <c r="E60" s="1362" t="n">
        <v>200</v>
      </c>
      <c r="F60" s="1363" t="n">
        <v>45088</v>
      </c>
      <c r="G60" s="1361" t="inlineStr">
        <is>
          <t>20230313-02</t>
        </is>
      </c>
      <c r="H60" s="1375" t="n">
        <v>45013</v>
      </c>
    </row>
    <row r="61" ht="15" customHeight="1" s="1232">
      <c r="B61" s="1361" t="inlineStr">
        <is>
          <t>Dan Taylor</t>
        </is>
      </c>
      <c r="C61" s="1361" t="inlineStr">
        <is>
          <t>Deals Won - Waiting £</t>
        </is>
      </c>
      <c r="D61" s="947" t="inlineStr">
        <is>
          <t>ELS - Photo Course</t>
        </is>
      </c>
      <c r="E61" s="1362" t="n">
        <v>200</v>
      </c>
      <c r="F61" s="1363" t="n">
        <v>45088</v>
      </c>
      <c r="G61" s="1361" t="inlineStr">
        <is>
          <t>20230313-02</t>
        </is>
      </c>
      <c r="H61" s="1375" t="n">
        <v>44998</v>
      </c>
      <c r="I61" s="1336" t="inlineStr">
        <is>
          <t>Tuition Categories</t>
        </is>
      </c>
      <c r="J61" s="1330" t="inlineStr">
        <is>
          <t>Units</t>
        </is>
      </c>
      <c r="K61" s="1332" t="inlineStr">
        <is>
          <t>Jan</t>
        </is>
      </c>
      <c r="L61" s="1332" t="inlineStr">
        <is>
          <t>Feb</t>
        </is>
      </c>
      <c r="M61" s="1332" t="inlineStr">
        <is>
          <t>Mar</t>
        </is>
      </c>
      <c r="N61" s="1332" t="inlineStr">
        <is>
          <t>Apr</t>
        </is>
      </c>
      <c r="O61" s="1332" t="inlineStr">
        <is>
          <t>May</t>
        </is>
      </c>
      <c r="P61" s="1332" t="inlineStr">
        <is>
          <t>Jun</t>
        </is>
      </c>
      <c r="Q61" s="1332" t="inlineStr">
        <is>
          <t>Jul</t>
        </is>
      </c>
      <c r="R61" s="1332" t="inlineStr">
        <is>
          <t>Aug</t>
        </is>
      </c>
      <c r="S61" s="1332" t="inlineStr">
        <is>
          <t>Sep</t>
        </is>
      </c>
      <c r="T61" s="1332" t="inlineStr">
        <is>
          <t>Oct</t>
        </is>
      </c>
      <c r="U61" s="1332" t="inlineStr">
        <is>
          <t>Nov</t>
        </is>
      </c>
      <c r="V61" s="1332" t="inlineStr">
        <is>
          <t>Dec</t>
        </is>
      </c>
      <c r="W61" s="1332" t="inlineStr">
        <is>
          <t>Year</t>
        </is>
      </c>
    </row>
    <row r="62" ht="13.5" customHeight="1" s="1232">
      <c r="B62" s="1361" t="inlineStr">
        <is>
          <t>Narasimha Patnala</t>
        </is>
      </c>
      <c r="C62" s="1361" t="inlineStr">
        <is>
          <t>Deals Won - Waiting £</t>
        </is>
      </c>
      <c r="D62" s="947" t="inlineStr">
        <is>
          <t>ELS - Lr Course</t>
        </is>
      </c>
      <c r="E62" s="1362" t="n">
        <v>200</v>
      </c>
      <c r="F62" s="1363" t="n">
        <v>45103</v>
      </c>
      <c r="G62" s="1361" t="inlineStr">
        <is>
          <t>20230313-01</t>
        </is>
      </c>
      <c r="H62" s="1375" t="n">
        <v>44998</v>
      </c>
      <c r="I62" s="1333" t="inlineStr">
        <is>
          <t>1. Courses/masterclasses</t>
        </is>
      </c>
      <c r="J62" s="431" t="n"/>
      <c r="K62" s="432">
        <f>COUNTIFS($A$164:$A$566,"&gt;31/12/2022",$A$164:$A$566,"&lt;1/2/2023",$C$164:$C$566,I62)</f>
        <v/>
      </c>
      <c r="L62" s="432">
        <f>COUNTIFS($A$164:$A$566,"&gt;31/1/2023",$A$164:$A$566,"&lt;1/3/2023",$C$164:$C$566,$I62)</f>
        <v/>
      </c>
      <c r="M62" s="432">
        <f>COUNTIFS($A$164:$A$566,"&gt;28/2/2023",$A$164:$A$566,"&lt;1/4/2023",$C$164:$C$566,$I62)</f>
        <v/>
      </c>
      <c r="N62" s="432">
        <f>COUNTIFS($A$164:$A$566,"&gt;31/3/2023",$A$164:$A$566,"&lt;1/5/2023",$C$164:$C$566,$I62)</f>
        <v/>
      </c>
      <c r="O62" s="432">
        <f>COUNTIFS($A$164:$A$566,"&gt;30/4/2023",$A$164:$A$566,"&lt;1/6/2023",$C$164:$C$566,$I62)</f>
        <v/>
      </c>
      <c r="P62" s="432">
        <f>COUNTIFS($A$164:$A$566,"&gt;31/5/2023",$A$164:$A$566,"&lt;1/7/2023",$C$164:$C$566,$I62)</f>
        <v/>
      </c>
      <c r="Q62" s="432">
        <f>COUNTIFS($A$164:$A$566,"&gt;30/6/2023",$A$164:$A$566,"&lt;1/8/2023",$C$164:$C$566,$I62)</f>
        <v/>
      </c>
      <c r="R62" s="432">
        <f>COUNTIFS($A$164:$A$566,"&gt;31/7/2023",$A$164:$A$566,"&lt;1/9/2023",$C$164:$C$566,$I62)</f>
        <v/>
      </c>
      <c r="S62" s="432">
        <f>COUNTIFS($A$164:$A$566,"&gt;31/8/2023",$A$164:$A$566,"&lt;1/10/2023",$C$164:$C$566,$I62)</f>
        <v/>
      </c>
      <c r="T62" s="432">
        <f>COUNTIFS($A$164:$A$566,"&gt;30/9/2023",$A$164:$A$566,"&lt;1/11/2023",$C$164:$C$566,$I62)</f>
        <v/>
      </c>
      <c r="U62" s="432">
        <f>COUNTIFS($A$164:$A$566,"&gt;31/10/2023",$A$164:$A$566,"&lt;1/12/2023",$C$164:$C$566,$I62)</f>
        <v/>
      </c>
      <c r="V62" s="432">
        <f>COUNTIFS($A$164:$A$566,"&gt;30/11/2023",$A$164:$A$566,"&lt;1/1/2024",$C$164:$C$566,$I62)</f>
        <v/>
      </c>
      <c r="W62" s="431">
        <f>SUM(K62:V62)</f>
        <v/>
      </c>
    </row>
    <row r="63" ht="13.5" customHeight="1" s="1232">
      <c r="B63" s="1366" t="inlineStr">
        <is>
          <t>Phil Banks</t>
        </is>
      </c>
      <c r="C63" s="1361" t="inlineStr">
        <is>
          <t>Deals Won - Waiting £</t>
        </is>
      </c>
      <c r="D63" s="947" t="inlineStr">
        <is>
          <t>ELS - Photo Course</t>
        </is>
      </c>
      <c r="E63" s="1362" t="n">
        <v>200</v>
      </c>
      <c r="F63" s="1363" t="n">
        <v>45138</v>
      </c>
      <c r="G63" s="1361" t="inlineStr">
        <is>
          <t>20230502-01</t>
        </is>
      </c>
      <c r="H63" s="1375" t="n">
        <v>45048</v>
      </c>
      <c r="I63" s="1333" t="inlineStr">
        <is>
          <t>2. Workshops</t>
        </is>
      </c>
      <c r="J63" s="431" t="n"/>
      <c r="K63" s="432">
        <f>COUNTIFS($A$164:$A$566,"&gt;31/12/2022",$A$164:$A$566,"&lt;1/2/2023",$C$164:$C$566,I63)</f>
        <v/>
      </c>
      <c r="L63" s="432">
        <f>COUNTIFS($A$164:$A$566,"&gt;31/1/2023",$A$164:$A$566,"&lt;1/3/2023",$C$164:$C$566,$I63)</f>
        <v/>
      </c>
      <c r="M63" s="432">
        <f>COUNTIFS($A$164:$A$566,"&gt;28/2/2023",$A$164:$A$566,"&lt;1/4/2023",$C$164:$C$566,$I63)</f>
        <v/>
      </c>
      <c r="N63" s="432">
        <f>COUNTIFS($A$164:$A$566,"&gt;31/3/2023",$A$164:$A$566,"&lt;1/5/2023",$C$164:$C$566,$I63)</f>
        <v/>
      </c>
      <c r="O63" s="432">
        <f>COUNTIFS($A$164:$A$566,"&gt;30/4/2023",$A$164:$A$566,"&lt;1/6/2023",$C$164:$C$566,$I63)</f>
        <v/>
      </c>
      <c r="P63" s="432">
        <f>COUNTIFS($A$164:$A$566,"&gt;31/5/2023",$A$164:$A$566,"&lt;1/7/2023",$C$164:$C$566,$I63)</f>
        <v/>
      </c>
      <c r="Q63" s="432">
        <f>COUNTIFS($A$164:$A$566,"&gt;30/6/2023",$A$164:$A$566,"&lt;1/8/2023",$C$164:$C$566,$I63)</f>
        <v/>
      </c>
      <c r="R63" s="432">
        <f>COUNTIFS($A$164:$A$566,"&gt;31/7/2023",$A$164:$A$566,"&lt;1/9/2023",$C$164:$C$566,$I63)</f>
        <v/>
      </c>
      <c r="S63" s="432">
        <f>COUNTIFS($A$164:$A$566,"&gt;31/8/2023",$A$164:$A$566,"&lt;1/10/2023",$C$164:$C$566,$I63)</f>
        <v/>
      </c>
      <c r="T63" s="432">
        <f>COUNTIFS($A$164:$A$566,"&gt;30/9/2023",$A$164:$A$566,"&lt;1/11/2023",$C$164:$C$566,$I63)</f>
        <v/>
      </c>
      <c r="U63" s="432">
        <f>COUNTIFS($A$164:$A$566,"&gt;31/10/2023",$A$164:$A$566,"&lt;1/12/2023",$C$164:$C$566,$I63)</f>
        <v/>
      </c>
      <c r="V63" s="432">
        <f>COUNTIFS($A$164:$A$566,"&gt;30/11/2023",$A$164:$A$566,"&lt;1/1/2024",$C$164:$C$566,$I63)</f>
        <v/>
      </c>
      <c r="W63" s="431">
        <f>SUM(K63:V63)</f>
        <v/>
      </c>
    </row>
    <row r="64" ht="13.5" customHeight="1" s="1232">
      <c r="B64" s="1366" t="n"/>
      <c r="C64" s="1361" t="n"/>
      <c r="D64" s="947" t="n"/>
      <c r="E64" s="1362" t="n"/>
      <c r="F64" s="1363" t="n"/>
      <c r="G64" s="1361" t="n"/>
      <c r="H64" s="1375" t="n"/>
      <c r="I64" s="1334" t="inlineStr">
        <is>
          <t>-   Workshops Residential</t>
        </is>
      </c>
      <c r="J64" s="431" t="n"/>
      <c r="K64" s="432">
        <f>COUNTIFS($A$164:$A$566,"&gt;31/12/2022",$A$164:$A$566,"&lt;1/2/2023",$C$164:$C$566,I64)</f>
        <v/>
      </c>
      <c r="L64" s="432">
        <f>COUNTIFS($A$164:$A$566,"&gt;31/1/2023",$A$164:$A$566,"&lt;1/3/2023",$C$164:$C$566,$I64)</f>
        <v/>
      </c>
      <c r="M64" s="432">
        <f>COUNTIFS($A$164:$A$566,"&gt;28/2/2023",$A$164:$A$566,"&lt;1/4/2023",$C$164:$C$566,$I64)</f>
        <v/>
      </c>
      <c r="N64" s="432">
        <f>COUNTIFS($A$164:$A$566,"&gt;31/3/2023",$A$164:$A$566,"&lt;1/5/2023",$C$164:$C$566,$I64)</f>
        <v/>
      </c>
      <c r="O64" s="432">
        <f>COUNTIFS($A$164:$A$566,"&gt;30/4/2023",$A$164:$A$566,"&lt;1/6/2023",$C$164:$C$566,$I64)</f>
        <v/>
      </c>
      <c r="P64" s="432">
        <f>COUNTIFS($A$164:$A$566,"&gt;31/5/2023",$A$164:$A$566,"&lt;1/7/2023",$C$164:$C$566,$I64)</f>
        <v/>
      </c>
      <c r="Q64" s="432">
        <f>COUNTIFS($A$164:$A$566,"&gt;30/6/2023",$A$164:$A$566,"&lt;1/8/2023",$C$164:$C$566,$I64)</f>
        <v/>
      </c>
      <c r="R64" s="432">
        <f>COUNTIFS($A$164:$A$566,"&gt;31/7/2023",$A$164:$A$566,"&lt;1/9/2023",$C$164:$C$566,$I64)</f>
        <v/>
      </c>
      <c r="S64" s="432">
        <f>COUNTIFS($A$164:$A$566,"&gt;31/8/2023",$A$164:$A$566,"&lt;1/10/2023",$C$164:$C$566,$I64)</f>
        <v/>
      </c>
      <c r="T64" s="432">
        <f>COUNTIFS($A$164:$A$566,"&gt;30/9/2023",$A$164:$A$566,"&lt;1/11/2023",$C$164:$C$566,$I64)</f>
        <v/>
      </c>
      <c r="U64" s="432">
        <f>COUNTIFS($A$164:$A$566,"&gt;31/10/2023",$A$164:$A$566,"&lt;1/12/2023",$C$164:$C$566,$I64)</f>
        <v/>
      </c>
      <c r="V64" s="432">
        <f>COUNTIFS($A$164:$A$566,"&gt;30/11/2023",$A$164:$A$566,"&lt;1/1/2024",$C$164:$C$566,$I64)</f>
        <v/>
      </c>
      <c r="W64" s="431">
        <f>SUM(K64:V64)</f>
        <v/>
      </c>
    </row>
    <row r="65" ht="13.5" customHeight="1" s="1232">
      <c r="B65" s="1363" t="inlineStr">
        <is>
          <t>Michael Smith</t>
        </is>
      </c>
      <c r="C65" s="1364" t="inlineStr">
        <is>
          <t>Deals Won - Waiting £</t>
        </is>
      </c>
      <c r="D65" s="954" t="inlineStr">
        <is>
          <t>ELS - Padley Gorge</t>
        </is>
      </c>
      <c r="E65" s="1365" t="n">
        <v>125</v>
      </c>
      <c r="F65" s="1366" t="inlineStr">
        <is>
          <t>Due 13th Sep 2023</t>
        </is>
      </c>
      <c r="G65" s="1361" t="inlineStr">
        <is>
          <t>20230613-01</t>
        </is>
      </c>
      <c r="H65" s="1375" t="n">
        <v>45090</v>
      </c>
      <c r="I65" s="1333" t="inlineStr">
        <is>
          <t>3. Pick n Mix Inc</t>
        </is>
      </c>
      <c r="J65" s="431" t="n"/>
      <c r="K65" s="432">
        <f>COUNTIFS($A$164:$A$566,"&gt;31/12/2022",$A$164:$A$566,"&lt;1/2/2023",$C$164:$C$566,I65)</f>
        <v/>
      </c>
      <c r="L65" s="432">
        <f>COUNTIFS($A$164:$A$566,"&gt;31/1/2023",$A$164:$A$566,"&lt;1/3/2023",$C$164:$C$566,$I65)</f>
        <v/>
      </c>
      <c r="M65" s="432">
        <f>COUNTIFS($A$164:$A$566,"&gt;28/2/2023",$A$164:$A$566,"&lt;1/4/2023",$C$164:$C$566,$I65)</f>
        <v/>
      </c>
      <c r="N65" s="432">
        <f>COUNTIFS($A$164:$A$566,"&gt;31/3/2023",$A$164:$A$566,"&lt;1/5/2023",$C$164:$C$566,$I65)</f>
        <v/>
      </c>
      <c r="O65" s="432">
        <f>COUNTIFS($A$164:$A$566,"&gt;30/4/2023",$A$164:$A$566,"&lt;1/6/2023",$C$164:$C$566,$I65)</f>
        <v/>
      </c>
      <c r="P65" s="432">
        <f>COUNTIFS($A$164:$A$566,"&gt;31/5/2023",$A$164:$A$566,"&lt;1/7/2023",$C$164:$C$566,$I65)</f>
        <v/>
      </c>
      <c r="Q65" s="432">
        <f>COUNTIFS($A$164:$A$566,"&gt;30/6/2023",$A$164:$A$566,"&lt;1/8/2023",$C$164:$C$566,$I65)</f>
        <v/>
      </c>
      <c r="R65" s="432">
        <f>COUNTIFS($A$164:$A$566,"&gt;31/7/2023",$A$164:$A$566,"&lt;1/9/2023",$C$164:$C$566,$I65)</f>
        <v/>
      </c>
      <c r="S65" s="432">
        <f>COUNTIFS($A$164:$A$566,"&gt;31/8/2023",$A$164:$A$566,"&lt;1/10/2023",$C$164:$C$566,$I65)</f>
        <v/>
      </c>
      <c r="T65" s="432">
        <f>COUNTIFS($A$164:$A$566,"&gt;30/9/2023",$A$164:$A$566,"&lt;1/11/2023",$C$164:$C$566,$I65)</f>
        <v/>
      </c>
      <c r="U65" s="432">
        <f>COUNTIFS($A$164:$A$566,"&gt;31/10/2023",$A$164:$A$566,"&lt;1/12/2023",$C$164:$C$566,$I65)</f>
        <v/>
      </c>
      <c r="V65" s="432">
        <f>COUNTIFS($A$164:$A$566,"&gt;30/11/2023",$A$164:$A$566,"&lt;1/1/2024",$C$164:$C$566,$I65)</f>
        <v/>
      </c>
      <c r="W65" s="431">
        <f>SUM(K65:V65)</f>
        <v/>
      </c>
    </row>
    <row r="66" ht="13.5" customHeight="1" s="1232">
      <c r="B66" s="1363" t="inlineStr">
        <is>
          <t>Michael Smith</t>
        </is>
      </c>
      <c r="C66" s="1364" t="inlineStr">
        <is>
          <t>Deals Won - Waiting £</t>
        </is>
      </c>
      <c r="D66" s="954" t="inlineStr">
        <is>
          <t>Kenilworth LE</t>
        </is>
      </c>
      <c r="E66" s="1365" t="n">
        <v>50</v>
      </c>
      <c r="F66" s="1366" t="inlineStr">
        <is>
          <t>Due 14th Sep 2023</t>
        </is>
      </c>
      <c r="G66" s="1361" t="inlineStr">
        <is>
          <t>20230614-01</t>
        </is>
      </c>
      <c r="H66" s="1375" t="n">
        <v>45091</v>
      </c>
      <c r="I66" s="1333" t="inlineStr">
        <is>
          <t>4. Pick n Mix Out</t>
        </is>
      </c>
      <c r="J66" s="431" t="n"/>
      <c r="K66" s="432">
        <f>COUNTIFS($A$164:$A$566,"&gt;31/12/2022",$A$164:$A$566,"&lt;1/2/2023",$C$164:$C$566,I66)</f>
        <v/>
      </c>
      <c r="L66" s="432">
        <f>COUNTIFS($A$164:$A$566,"&gt;31/1/2023",$A$164:$A$566,"&lt;1/3/2023",$C$164:$C$566,$I66)</f>
        <v/>
      </c>
      <c r="M66" s="432">
        <f>COUNTIFS($A$164:$A$566,"&gt;28/2/2023",$A$164:$A$566,"&lt;1/4/2023",$C$164:$C$566,$I66)</f>
        <v/>
      </c>
      <c r="N66" s="432">
        <f>COUNTIFS($A$164:$A$566,"&gt;31/3/2023",$A$164:$A$566,"&lt;1/5/2023",$C$164:$C$566,$I66)</f>
        <v/>
      </c>
      <c r="O66" s="432">
        <f>COUNTIFS($A$164:$A$566,"&gt;30/4/2023",$A$164:$A$566,"&lt;1/6/2023",$C$164:$C$566,$I66)</f>
        <v/>
      </c>
      <c r="P66" s="432">
        <f>COUNTIFS($A$164:$A$566,"&gt;31/5/2023",$A$164:$A$566,"&lt;1/7/2023",$C$164:$C$566,$I66)</f>
        <v/>
      </c>
      <c r="Q66" s="432">
        <f>COUNTIFS($A$164:$A$566,"&gt;30/6/2023",$A$164:$A$566,"&lt;1/8/2023",$C$164:$C$566,$I66)</f>
        <v/>
      </c>
      <c r="R66" s="432">
        <f>COUNTIFS($A$164:$A$566,"&gt;31/7/2023",$A$164:$A$566,"&lt;1/9/2023",$C$164:$C$566,$I66)</f>
        <v/>
      </c>
      <c r="S66" s="432">
        <f>COUNTIFS($A$164:$A$566,"&gt;31/8/2023",$A$164:$A$566,"&lt;1/10/2023",$C$164:$C$566,$I66)</f>
        <v/>
      </c>
      <c r="T66" s="432">
        <f>COUNTIFS($A$164:$A$566,"&gt;30/9/2023",$A$164:$A$566,"&lt;1/11/2023",$C$164:$C$566,$I66)</f>
        <v/>
      </c>
      <c r="U66" s="432">
        <f>COUNTIFS($A$164:$A$566,"&gt;31/10/2023",$A$164:$A$566,"&lt;1/12/2023",$C$164:$C$566,$I66)</f>
        <v/>
      </c>
      <c r="V66" s="432">
        <f>COUNTIFS($A$164:$A$566,"&gt;30/11/2023",$A$164:$A$566,"&lt;1/1/2024",$C$164:$C$566,$I66)</f>
        <v/>
      </c>
      <c r="W66" s="431">
        <f>SUM(K66:V66)</f>
        <v/>
      </c>
    </row>
    <row r="67">
      <c r="I67" s="1333" t="inlineStr">
        <is>
          <t>5. Mentoring</t>
        </is>
      </c>
      <c r="J67" s="431" t="n"/>
      <c r="K67" s="432">
        <f>COUNTIFS($A$164:$A$566,"&gt;31/12/2022",$A$164:$A$566,"&lt;1/2/2023",$C$164:$C$566,I67)</f>
        <v/>
      </c>
      <c r="L67" s="432">
        <f>COUNTIFS($A$164:$A$566,"&gt;31/1/2023",$A$164:$A$566,"&lt;1/3/2023",$C$164:$C$566,$I67)</f>
        <v/>
      </c>
      <c r="M67" s="432">
        <f>COUNTIFS($A$164:$A$566,"&gt;28/2/2023",$A$164:$A$566,"&lt;1/4/2023",$C$164:$C$566,$I67)</f>
        <v/>
      </c>
      <c r="N67" s="432">
        <f>COUNTIFS($A$164:$A$566,"&gt;31/3/2023",$A$164:$A$566,"&lt;1/5/2023",$C$164:$C$566,$I67)</f>
        <v/>
      </c>
      <c r="O67" s="432">
        <f>COUNTIFS($A$164:$A$566,"&gt;30/4/2023",$A$164:$A$566,"&lt;1/6/2023",$C$164:$C$566,$I67)</f>
        <v/>
      </c>
      <c r="P67" s="432">
        <f>COUNTIFS($A$164:$A$566,"&gt;31/5/2023",$A$164:$A$566,"&lt;1/7/2023",$C$164:$C$566,$I67)</f>
        <v/>
      </c>
      <c r="Q67" s="432">
        <f>COUNTIFS($A$164:$A$566,"&gt;30/6/2023",$A$164:$A$566,"&lt;1/8/2023",$C$164:$C$566,$I67)</f>
        <v/>
      </c>
      <c r="R67" s="432">
        <f>COUNTIFS($A$164:$A$566,"&gt;31/7/2023",$A$164:$A$566,"&lt;1/9/2023",$C$164:$C$566,$I67)</f>
        <v/>
      </c>
      <c r="S67" s="432">
        <f>COUNTIFS($A$164:$A$566,"&gt;31/8/2023",$A$164:$A$566,"&lt;1/10/2023",$C$164:$C$566,$I67)</f>
        <v/>
      </c>
      <c r="T67" s="432">
        <f>COUNTIFS($A$164:$A$566,"&gt;30/9/2023",$A$164:$A$566,"&lt;1/11/2023",$C$164:$C$566,$I67)</f>
        <v/>
      </c>
      <c r="U67" s="432">
        <f>COUNTIFS($A$164:$A$566,"&gt;31/10/2023",$A$164:$A$566,"&lt;1/12/2023",$C$164:$C$566,$I67)</f>
        <v/>
      </c>
      <c r="V67" s="432">
        <f>COUNTIFS($A$164:$A$566,"&gt;30/11/2023",$A$164:$A$566,"&lt;1/1/2024",$C$164:$C$566,$I67)</f>
        <v/>
      </c>
      <c r="W67" s="431">
        <f>SUM(K67:V67)</f>
        <v/>
      </c>
    </row>
    <row r="68" ht="13.9" customHeight="1" s="1232">
      <c r="E68" s="1376">
        <f>SUM(E60:E67)</f>
        <v/>
      </c>
      <c r="G68" s="1271" t="n"/>
      <c r="I68" s="1334" t="inlineStr">
        <is>
          <t>6. 1-2-1</t>
        </is>
      </c>
      <c r="J68" s="431" t="n"/>
      <c r="K68" s="432">
        <f>COUNTIFS($A$164:$A$566,"&gt;31/12/2022",$A$164:$A$566,"&lt;1/2/2023",$C$164:$C$566,I68)</f>
        <v/>
      </c>
      <c r="L68" s="432">
        <f>COUNTIFS($A$164:$A$566,"&gt;31/1/2023",$A$164:$A$566,"&lt;1/3/2023",$C$164:$C$566,$I68)</f>
        <v/>
      </c>
      <c r="M68" s="432">
        <f>COUNTIFS($A$164:$A$566,"&gt;28/2/2023",$A$164:$A$566,"&lt;1/4/2023",$C$164:$C$566,$I68)</f>
        <v/>
      </c>
      <c r="N68" s="432">
        <f>COUNTIFS($A$164:$A$566,"&gt;31/3/2023",$A$164:$A$566,"&lt;1/5/2023",$C$164:$C$566,$I68)</f>
        <v/>
      </c>
      <c r="O68" s="432">
        <f>COUNTIFS($A$164:$A$566,"&gt;30/4/2023",$A$164:$A$566,"&lt;1/6/2023",$C$164:$C$566,$I68)</f>
        <v/>
      </c>
      <c r="P68" s="432">
        <f>COUNTIFS($A$164:$A$566,"&gt;31/5/2023",$A$164:$A$566,"&lt;1/7/2023",$C$164:$C$566,$I68)</f>
        <v/>
      </c>
      <c r="Q68" s="432">
        <f>COUNTIFS($A$164:$A$566,"&gt;30/6/2023",$A$164:$A$566,"&lt;1/8/2023",$C$164:$C$566,$I68)</f>
        <v/>
      </c>
      <c r="R68" s="432">
        <f>COUNTIFS($A$164:$A$566,"&gt;31/7/2023",$A$164:$A$566,"&lt;1/9/2023",$C$164:$C$566,$I68)</f>
        <v/>
      </c>
      <c r="S68" s="432">
        <f>COUNTIFS($A$164:$A$566,"&gt;31/8/2023",$A$164:$A$566,"&lt;1/10/2023",$C$164:$C$566,$I68)</f>
        <v/>
      </c>
      <c r="T68" s="432">
        <f>COUNTIFS($A$164:$A$566,"&gt;30/9/2023",$A$164:$A$566,"&lt;1/11/2023",$C$164:$C$566,$I68)</f>
        <v/>
      </c>
      <c r="U68" s="432">
        <f>COUNTIFS($A$164:$A$566,"&gt;31/10/2023",$A$164:$A$566,"&lt;1/12/2023",$C$164:$C$566,$I68)</f>
        <v/>
      </c>
      <c r="V68" s="432">
        <f>COUNTIFS($A$164:$A$566,"&gt;30/11/2023",$A$164:$A$566,"&lt;1/1/2024",$C$164:$C$566,$I68)</f>
        <v/>
      </c>
      <c r="W68" s="431">
        <f>SUM(K68:V68)</f>
        <v/>
      </c>
    </row>
    <row r="69" ht="13.5" customHeight="1" s="1232">
      <c r="B69" s="1314" t="n"/>
      <c r="E69" s="1377" t="n"/>
      <c r="F69" s="1314" t="n"/>
      <c r="G69" s="1271" t="n"/>
      <c r="I69" s="1334" t="inlineStr">
        <is>
          <t>7. Gift Vouchers Inc</t>
        </is>
      </c>
      <c r="J69" s="431" t="n"/>
      <c r="K69" s="432">
        <f>COUNTIFS($A$164:$A$566,"&gt;31/12/2022",$A$164:$A$566,"&lt;1/2/2023",$C$164:$C$566,I69)</f>
        <v/>
      </c>
      <c r="L69" s="432">
        <f>COUNTIFS($A$164:$A$566,"&gt;31/1/2023",$A$164:$A$566,"&lt;1/3/2023",$C$164:$C$566,$I69)</f>
        <v/>
      </c>
      <c r="M69" s="432">
        <f>COUNTIFS($A$164:$A$566,"&gt;28/2/2023",$A$164:$A$566,"&lt;1/4/2023",$C$164:$C$566,$I69)</f>
        <v/>
      </c>
      <c r="N69" s="432">
        <f>COUNTIFS($A$164:$A$566,"&gt;31/3/2023",$A$164:$A$566,"&lt;1/5/2023",$C$164:$C$566,$I69)</f>
        <v/>
      </c>
      <c r="O69" s="432">
        <f>COUNTIFS($A$164:$A$566,"&gt;30/4/2023",$A$164:$A$566,"&lt;1/6/2023",$C$164:$C$566,$I69)</f>
        <v/>
      </c>
      <c r="P69" s="432">
        <f>COUNTIFS($A$164:$A$566,"&gt;31/5/2023",$A$164:$A$566,"&lt;1/7/2023",$C$164:$C$566,$I69)</f>
        <v/>
      </c>
      <c r="Q69" s="432">
        <f>COUNTIFS($A$164:$A$566,"&gt;30/6/2023",$A$164:$A$566,"&lt;1/8/2023",$C$164:$C$566,$I69)</f>
        <v/>
      </c>
      <c r="R69" s="432">
        <f>COUNTIFS($A$164:$A$566,"&gt;31/7/2023",$A$164:$A$566,"&lt;1/9/2023",$C$164:$C$566,$I69)</f>
        <v/>
      </c>
      <c r="S69" s="432">
        <f>COUNTIFS($A$164:$A$566,"&gt;31/8/2023",$A$164:$A$566,"&lt;1/10/2023",$C$164:$C$566,$I69)</f>
        <v/>
      </c>
      <c r="T69" s="432">
        <f>COUNTIFS($A$164:$A$566,"&gt;30/9/2023",$A$164:$A$566,"&lt;1/11/2023",$C$164:$C$566,$I69)</f>
        <v/>
      </c>
      <c r="U69" s="432">
        <f>COUNTIFS($A$164:$A$566,"&gt;31/10/2023",$A$164:$A$566,"&lt;1/12/2023",$C$164:$C$566,$I69)</f>
        <v/>
      </c>
      <c r="V69" s="432">
        <f>COUNTIFS($A$164:$A$566,"&gt;30/11/2023",$A$164:$A$566,"&lt;1/1/2024",$C$164:$C$566,$I69)</f>
        <v/>
      </c>
      <c r="W69" s="431">
        <f>SUM(K69:V69)</f>
        <v/>
      </c>
    </row>
    <row r="70" ht="13.5" customHeight="1" s="1232">
      <c r="B70" s="1314" t="n"/>
      <c r="C70" s="1271" t="n"/>
      <c r="D70" s="1260" t="n"/>
      <c r="E70" s="1377" t="n"/>
      <c r="F70" s="1314" t="n"/>
      <c r="G70" s="1271" t="n"/>
      <c r="I70" s="1334" t="inlineStr">
        <is>
          <t>8. Gift Vouchers Out</t>
        </is>
      </c>
      <c r="J70" s="431" t="n"/>
      <c r="K70" s="432">
        <f>COUNTIFS($A$164:$A$566,"&gt;31/12/2022",$A$164:$A$566,"&lt;1/2/2023",$C$164:$C$566,I70)</f>
        <v/>
      </c>
      <c r="L70" s="432">
        <f>COUNTIFS($A$164:$A$566,"&gt;31/1/2023",$A$164:$A$566,"&lt;1/3/2023",$C$164:$C$566,$I70)</f>
        <v/>
      </c>
      <c r="M70" s="432">
        <f>COUNTIFS($A$164:$A$566,"&gt;28/2/2023",$A$164:$A$566,"&lt;1/4/2023",$C$164:$C$566,$I70)</f>
        <v/>
      </c>
      <c r="N70" s="432">
        <f>COUNTIFS($A$164:$A$566,"&gt;31/3/2023",$A$164:$A$566,"&lt;1/5/2023",$C$164:$C$566,$I70)</f>
        <v/>
      </c>
      <c r="O70" s="432">
        <f>COUNTIFS($A$164:$A$566,"&gt;30/4/2023",$A$164:$A$566,"&lt;1/6/2023",$C$164:$C$566,$I70)</f>
        <v/>
      </c>
      <c r="P70" s="432">
        <f>COUNTIFS($A$164:$A$566,"&gt;31/5/2023",$A$164:$A$566,"&lt;1/7/2023",$C$164:$C$566,$I70)</f>
        <v/>
      </c>
      <c r="Q70" s="432">
        <f>COUNTIFS($A$164:$A$566,"&gt;30/6/2023",$A$164:$A$566,"&lt;1/8/2023",$C$164:$C$566,$I70)</f>
        <v/>
      </c>
      <c r="R70" s="432">
        <f>COUNTIFS($A$164:$A$566,"&gt;31/7/2023",$A$164:$A$566,"&lt;1/9/2023",$C$164:$C$566,$I70)</f>
        <v/>
      </c>
      <c r="S70" s="432">
        <f>COUNTIFS($A$164:$A$566,"&gt;31/8/2023",$A$164:$A$566,"&lt;1/10/2023",$C$164:$C$566,$I70)</f>
        <v/>
      </c>
      <c r="T70" s="432">
        <f>COUNTIFS($A$164:$A$566,"&gt;30/9/2023",$A$164:$A$566,"&lt;1/11/2023",$C$164:$C$566,$I70)</f>
        <v/>
      </c>
      <c r="U70" s="432">
        <f>COUNTIFS($A$164:$A$566,"&gt;31/10/2023",$A$164:$A$566,"&lt;1/12/2023",$C$164:$C$566,$I70)</f>
        <v/>
      </c>
      <c r="V70" s="432">
        <f>COUNTIFS($A$164:$A$566,"&gt;30/11/2023",$A$164:$A$566,"&lt;1/1/2024",$C$164:$C$566,$I70)</f>
        <v/>
      </c>
      <c r="W70" s="431">
        <f>SUM(K70:V70)</f>
        <v/>
      </c>
    </row>
    <row r="71" ht="13.5" customHeight="1" s="1232">
      <c r="B71" s="1314" t="n"/>
      <c r="C71" s="1271" t="n"/>
      <c r="D71" s="1260" t="n"/>
      <c r="E71" s="1377" t="n"/>
      <c r="F71" s="1314" t="n"/>
      <c r="G71" s="1271" t="n"/>
      <c r="I71" s="1334" t="inlineStr">
        <is>
          <t>9. Prints &amp; Royalties</t>
        </is>
      </c>
      <c r="J71" s="431" t="n"/>
      <c r="K71" s="432">
        <f>COUNTIFS($A$164:$A$566,"&gt;31/12/2022",$A$164:$A$566,"&lt;1/2/2023",$C$164:$C$566,I71)</f>
        <v/>
      </c>
      <c r="L71" s="432">
        <f>COUNTIFS($A$164:$A$566,"&gt;31/1/2023",$A$164:$A$566,"&lt;1/3/2023",$C$164:$C$566,$I71)</f>
        <v/>
      </c>
      <c r="M71" s="432">
        <f>COUNTIFS($A$164:$A$566,"&gt;28/2/2023",$A$164:$A$566,"&lt;1/4/2023",$C$164:$C$566,$I71)</f>
        <v/>
      </c>
      <c r="N71" s="432">
        <f>COUNTIFS($A$164:$A$566,"&gt;31/3/2023",$A$164:$A$566,"&lt;1/5/2023",$C$164:$C$566,$I71)</f>
        <v/>
      </c>
      <c r="O71" s="432">
        <f>COUNTIFS($A$164:$A$566,"&gt;30/4/2023",$A$164:$A$566,"&lt;1/6/2023",$C$164:$C$566,$I71)</f>
        <v/>
      </c>
      <c r="P71" s="432">
        <f>COUNTIFS($A$164:$A$566,"&gt;31/5/2023",$A$164:$A$566,"&lt;1/7/2023",$C$164:$C$566,$I71)</f>
        <v/>
      </c>
      <c r="Q71" s="432">
        <f>COUNTIFS($A$164:$A$566,"&gt;30/6/2023",$A$164:$A$566,"&lt;1/8/2023",$C$164:$C$566,$I71)</f>
        <v/>
      </c>
      <c r="R71" s="432">
        <f>COUNTIFS($A$164:$A$566,"&gt;31/7/2023",$A$164:$A$566,"&lt;1/9/2023",$C$164:$C$566,$I71)</f>
        <v/>
      </c>
      <c r="S71" s="432">
        <f>COUNTIFS($A$164:$A$566,"&gt;31/8/2023",$A$164:$A$566,"&lt;1/10/2023",$C$164:$C$566,$I71)</f>
        <v/>
      </c>
      <c r="T71" s="432">
        <f>COUNTIFS($A$164:$A$566,"&gt;30/9/2023",$A$164:$A$566,"&lt;1/11/2023",$C$164:$C$566,$I71)</f>
        <v/>
      </c>
      <c r="U71" s="432">
        <f>COUNTIFS($A$164:$A$566,"&gt;31/10/2023",$A$164:$A$566,"&lt;1/12/2023",$C$164:$C$566,$I71)</f>
        <v/>
      </c>
      <c r="V71" s="432">
        <f>COUNTIFS($A$164:$A$566,"&gt;30/11/2023",$A$164:$A$566,"&lt;1/1/2024",$C$164:$C$566,$I71)</f>
        <v/>
      </c>
      <c r="W71" s="431">
        <f>SUM(K71:V71)</f>
        <v/>
      </c>
    </row>
    <row r="72" ht="13.5" customHeight="1" s="1232">
      <c r="B72" s="1314" t="n"/>
      <c r="E72" s="1377" t="n"/>
      <c r="F72" s="1314" t="n"/>
      <c r="G72" s="1271" t="n"/>
      <c r="I72" s="1334" t="inlineStr">
        <is>
          <t>10 Commissions</t>
        </is>
      </c>
      <c r="J72" s="431" t="n"/>
      <c r="K72" s="432">
        <f>COUNTIFS($A$164:$A$566,"&gt;31/12/2022",$A$164:$A$566,"&lt;1/2/2023",$C$164:$C$566,I72)</f>
        <v/>
      </c>
      <c r="L72" s="432">
        <f>COUNTIFS($A$164:$A$566,"&gt;31/1/2023",$A$164:$A$566,"&lt;1/3/2023",$C$164:$C$566,$I72)</f>
        <v/>
      </c>
      <c r="M72" s="432">
        <f>COUNTIFS($A$164:$A$566,"&gt;28/2/2023",$A$164:$A$566,"&lt;1/4/2023",$C$164:$C$566,$I72)</f>
        <v/>
      </c>
      <c r="N72" s="432">
        <f>COUNTIFS($A$164:$A$566,"&gt;31/3/2023",$A$164:$A$566,"&lt;1/5/2023",$C$164:$C$566,$I72)</f>
        <v/>
      </c>
      <c r="O72" s="432">
        <f>COUNTIFS($A$164:$A$566,"&gt;30/4/2023",$A$164:$A$566,"&lt;1/6/2023",$C$164:$C$566,$I72)</f>
        <v/>
      </c>
      <c r="P72" s="432">
        <f>COUNTIFS($A$164:$A$566,"&gt;31/5/2023",$A$164:$A$566,"&lt;1/7/2023",$C$164:$C$566,$I72)</f>
        <v/>
      </c>
      <c r="Q72" s="432">
        <f>COUNTIFS($A$164:$A$566,"&gt;30/6/2023",$A$164:$A$566,"&lt;1/8/2023",$C$164:$C$566,$I72)</f>
        <v/>
      </c>
      <c r="R72" s="432">
        <f>COUNTIFS($A$164:$A$566,"&gt;31/7/2023",$A$164:$A$566,"&lt;1/9/2023",$C$164:$C$566,$I72)</f>
        <v/>
      </c>
      <c r="S72" s="432">
        <f>COUNTIFS($A$164:$A$566,"&gt;31/8/2023",$A$164:$A$566,"&lt;1/10/2023",$C$164:$C$566,$I72)</f>
        <v/>
      </c>
      <c r="T72" s="432">
        <f>COUNTIFS($A$164:$A$566,"&gt;30/9/2023",$A$164:$A$566,"&lt;1/11/2023",$C$164:$C$566,$I72)</f>
        <v/>
      </c>
      <c r="U72" s="432">
        <f>COUNTIFS($A$164:$A$566,"&gt;31/10/2023",$A$164:$A$566,"&lt;1/12/2023",$C$164:$C$566,$I72)</f>
        <v/>
      </c>
      <c r="V72" s="432">
        <f>COUNTIFS($A$164:$A$566,"&gt;30/11/2023",$A$164:$A$566,"&lt;1/1/2024",$C$164:$C$566,$I72)</f>
        <v/>
      </c>
      <c r="W72" s="431">
        <f>SUM(K72:V72)</f>
        <v/>
      </c>
    </row>
    <row r="73">
      <c r="I73" s="1334" t="inlineStr">
        <is>
          <t>11. Other</t>
        </is>
      </c>
      <c r="J73" s="431" t="n"/>
      <c r="K73" s="432">
        <f>COUNTIFS($A$164:$A$566,"&gt;31/12/2022",$A$164:$A$566,"&lt;1/2/2023",$C$164:$C$566,I73)</f>
        <v/>
      </c>
      <c r="L73" s="432">
        <f>COUNTIFS($A$164:$A$566,"&gt;31/1/2023",$A$164:$A$566,"&lt;1/3/2023",$C$164:$C$566,$I73)</f>
        <v/>
      </c>
      <c r="M73" s="432">
        <f>COUNTIFS($A$164:$A$566,"&gt;28/2/2023",$A$164:$A$566,"&lt;1/4/2023",$C$164:$C$566,$I73)</f>
        <v/>
      </c>
      <c r="N73" s="432">
        <f>COUNTIFS($A$164:$A$566,"&gt;31/3/2023",$A$164:$A$566,"&lt;1/5/2023",$C$164:$C$566,$I73)</f>
        <v/>
      </c>
      <c r="O73" s="432">
        <f>COUNTIFS($A$164:$A$566,"&gt;30/4/2023",$A$164:$A$566,"&lt;1/6/2023",$C$164:$C$566,$I73)</f>
        <v/>
      </c>
      <c r="P73" s="432">
        <f>COUNTIFS($A$164:$A$566,"&gt;31/5/2023",$A$164:$A$566,"&lt;1/7/2023",$C$164:$C$566,$I73)</f>
        <v/>
      </c>
      <c r="Q73" s="432">
        <f>COUNTIFS($A$164:$A$566,"&gt;30/6/2023",$A$164:$A$566,"&lt;1/8/2023",$C$164:$C$566,$I73)</f>
        <v/>
      </c>
      <c r="R73" s="432">
        <f>COUNTIFS($A$164:$A$566,"&gt;31/7/2023",$A$164:$A$566,"&lt;1/9/2023",$C$164:$C$566,$I73)</f>
        <v/>
      </c>
      <c r="S73" s="432">
        <f>COUNTIFS($A$164:$A$566,"&gt;31/8/2023",$A$164:$A$566,"&lt;1/10/2023",$C$164:$C$566,$I73)</f>
        <v/>
      </c>
      <c r="T73" s="432">
        <f>COUNTIFS($A$164:$A$566,"&gt;30/9/2023",$A$164:$A$566,"&lt;1/11/2023",$C$164:$C$566,$I73)</f>
        <v/>
      </c>
      <c r="U73" s="432">
        <f>COUNTIFS($A$164:$A$566,"&gt;31/10/2023",$A$164:$A$566,"&lt;1/12/2023",$C$164:$C$566,$I73)</f>
        <v/>
      </c>
      <c r="V73" s="432">
        <f>COUNTIFS($A$164:$A$566,"&gt;30/11/2023",$A$164:$A$566,"&lt;1/1/2024",$C$164:$C$566,$I73)</f>
        <v/>
      </c>
      <c r="W73" s="431">
        <f>SUM(K73:V73)</f>
        <v/>
      </c>
    </row>
    <row r="74" ht="14.25" customHeight="1" s="1232" thickBot="1">
      <c r="B74" s="1314" t="n"/>
      <c r="C74" s="1271" t="n"/>
      <c r="D74" s="1260" t="n"/>
      <c r="E74" s="1296" t="n"/>
      <c r="F74" s="1314" t="n"/>
      <c r="G74" s="1297" t="n"/>
      <c r="I74" s="1339" t="inlineStr">
        <is>
          <t>Totals</t>
        </is>
      </c>
      <c r="J74" s="829" t="n"/>
      <c r="K74" s="915">
        <f>SUM(K62:K73)</f>
        <v/>
      </c>
      <c r="L74" s="915">
        <f>SUM(L62:L73)</f>
        <v/>
      </c>
      <c r="M74" s="915">
        <f>SUM(M62:M73)</f>
        <v/>
      </c>
      <c r="N74" s="915">
        <f>SUM(N62:N73)</f>
        <v/>
      </c>
      <c r="O74" s="915">
        <f>SUM(O62:O73)</f>
        <v/>
      </c>
      <c r="P74" s="915">
        <f>SUM(P62:P73)</f>
        <v/>
      </c>
      <c r="Q74" s="915">
        <f>SUM(Q62:Q73)</f>
        <v/>
      </c>
      <c r="R74" s="915">
        <f>SUM(R62:R73)</f>
        <v/>
      </c>
      <c r="S74" s="915">
        <f>SUM(S62:S73)</f>
        <v/>
      </c>
      <c r="T74" s="915">
        <f>SUM(T62:T73)</f>
        <v/>
      </c>
      <c r="U74" s="915">
        <f>SUM(U62:U73)</f>
        <v/>
      </c>
      <c r="V74" s="915">
        <f>SUM(V62:V73)</f>
        <v/>
      </c>
      <c r="W74" s="829">
        <f>SUM(W62:W73)</f>
        <v/>
      </c>
    </row>
    <row r="75" ht="13.9" customHeight="1" s="1232" thickTop="1">
      <c r="B75" s="1314" t="n"/>
      <c r="C75" s="1271" t="n"/>
      <c r="D75" s="1260" t="n"/>
      <c r="E75" s="1296" t="n"/>
      <c r="F75" s="1314" t="n"/>
      <c r="G75" s="1297" t="n"/>
    </row>
    <row r="76" ht="13.9" customHeight="1" s="1232">
      <c r="B76" s="1314" t="n"/>
      <c r="C76" s="1271" t="n"/>
      <c r="D76" s="1260" t="n"/>
      <c r="E76" s="1296" t="n"/>
      <c r="F76" s="1314" t="n"/>
      <c r="G76" s="1297" t="n"/>
      <c r="I76" s="1336" t="inlineStr">
        <is>
          <t>Tuition Categories</t>
        </is>
      </c>
      <c r="J76" s="1330" t="inlineStr">
        <is>
          <t>Avg PPU</t>
        </is>
      </c>
      <c r="K76" s="1332" t="inlineStr">
        <is>
          <t>Jan</t>
        </is>
      </c>
      <c r="L76" s="1332" t="inlineStr">
        <is>
          <t>Feb</t>
        </is>
      </c>
      <c r="M76" s="1332" t="inlineStr">
        <is>
          <t>Mar</t>
        </is>
      </c>
      <c r="N76" s="1332" t="inlineStr">
        <is>
          <t>Apr</t>
        </is>
      </c>
      <c r="O76" s="1332" t="inlineStr">
        <is>
          <t>May</t>
        </is>
      </c>
      <c r="P76" s="1332" t="inlineStr">
        <is>
          <t>Jun</t>
        </is>
      </c>
      <c r="Q76" s="1332" t="inlineStr">
        <is>
          <t>Jul</t>
        </is>
      </c>
      <c r="R76" s="1332" t="inlineStr">
        <is>
          <t>Aug</t>
        </is>
      </c>
      <c r="S76" s="1332" t="inlineStr">
        <is>
          <t>Sep</t>
        </is>
      </c>
      <c r="T76" s="1332" t="inlineStr">
        <is>
          <t>Oct</t>
        </is>
      </c>
      <c r="U76" s="1332" t="inlineStr">
        <is>
          <t>Nov</t>
        </is>
      </c>
      <c r="V76" s="1332" t="inlineStr">
        <is>
          <t>Dec</t>
        </is>
      </c>
      <c r="W76" s="1332" t="inlineStr">
        <is>
          <t>Year</t>
        </is>
      </c>
    </row>
    <row r="77" ht="13.5" customHeight="1" s="1232">
      <c r="G77" s="1271" t="n"/>
      <c r="I77" s="1333" t="inlineStr">
        <is>
          <t>1. Courses/masterclasses</t>
        </is>
      </c>
      <c r="J77" s="431" t="n"/>
      <c r="K77" s="432">
        <f>IFERROR(K6/K62,0)</f>
        <v/>
      </c>
      <c r="L77" s="432">
        <f>IFERROR(L6/L62,0)</f>
        <v/>
      </c>
      <c r="M77" s="432">
        <f>IFERROR(M6/M62,0)</f>
        <v/>
      </c>
      <c r="N77" s="432">
        <f>IFERROR(N6/N62,0)</f>
        <v/>
      </c>
      <c r="O77" s="432">
        <f>IFERROR(O6/O62,0)</f>
        <v/>
      </c>
      <c r="P77" s="432">
        <f>IFERROR(P6/P62,0)</f>
        <v/>
      </c>
      <c r="Q77" s="432">
        <f>IFERROR(Q6/Q62,0)</f>
        <v/>
      </c>
      <c r="R77" s="432">
        <f>IFERROR(R6/R62,0)</f>
        <v/>
      </c>
      <c r="S77" s="432">
        <f>IFERROR(S6/S62,0)</f>
        <v/>
      </c>
      <c r="T77" s="432">
        <f>IFERROR(T6/T62,0)</f>
        <v/>
      </c>
      <c r="U77" s="432">
        <f>IFERROR(U6/U62,0)</f>
        <v/>
      </c>
      <c r="V77" s="432">
        <f>IFERROR(V6/V62,0)</f>
        <v/>
      </c>
      <c r="W77" s="431">
        <f>IFERROR(W6/W62,0)</f>
        <v/>
      </c>
    </row>
    <row r="78" ht="13.5" customHeight="1" s="1232">
      <c r="B78" s="1314" t="n"/>
      <c r="C78" s="1271" t="n"/>
      <c r="D78" s="1260" t="n"/>
      <c r="E78" s="1296" t="n"/>
      <c r="F78" s="1314" t="n"/>
      <c r="G78" s="1297" t="n"/>
      <c r="I78" s="1333" t="inlineStr">
        <is>
          <t>2. Workshops</t>
        </is>
      </c>
      <c r="J78" s="431" t="n"/>
      <c r="K78" s="432">
        <f>IFERROR(K7/K63,0)</f>
        <v/>
      </c>
      <c r="L78" s="432">
        <f>IFERROR(L7/L63,0)</f>
        <v/>
      </c>
      <c r="M78" s="432">
        <f>IFERROR(M7/M63,0)</f>
        <v/>
      </c>
      <c r="N78" s="432">
        <f>IFERROR(N7/N63,0)</f>
        <v/>
      </c>
      <c r="O78" s="432">
        <f>IFERROR(O7/O63,0)</f>
        <v/>
      </c>
      <c r="P78" s="432">
        <f>IFERROR(P7/P63,0)</f>
        <v/>
      </c>
      <c r="Q78" s="432">
        <f>IFERROR(Q7/Q63,0)</f>
        <v/>
      </c>
      <c r="R78" s="432">
        <f>IFERROR(R7/R63,0)</f>
        <v/>
      </c>
      <c r="S78" s="432">
        <f>IFERROR(S7/S63,0)</f>
        <v/>
      </c>
      <c r="T78" s="432">
        <f>IFERROR(T7/T63,0)</f>
        <v/>
      </c>
      <c r="U78" s="432">
        <f>IFERROR(U7/U63,0)</f>
        <v/>
      </c>
      <c r="V78" s="432">
        <f>IFERROR(V7/V63,0)</f>
        <v/>
      </c>
      <c r="W78" s="431">
        <f>IFERROR(W7/W63,0)</f>
        <v/>
      </c>
    </row>
    <row r="79" ht="13.5" customHeight="1" s="1232">
      <c r="B79" s="1314" t="n"/>
      <c r="C79" s="1271" t="n"/>
      <c r="D79" s="1260" t="n"/>
      <c r="E79" s="1296" t="n"/>
      <c r="F79" s="1314" t="n"/>
      <c r="G79" s="1297" t="n"/>
      <c r="I79" s="1334" t="inlineStr">
        <is>
          <t>-   Workshops Residential</t>
        </is>
      </c>
      <c r="J79" s="431" t="n"/>
      <c r="K79" s="432">
        <f>IFERROR(K8/K64,0)</f>
        <v/>
      </c>
      <c r="L79" s="432">
        <f>IFERROR(L8/L64,0)</f>
        <v/>
      </c>
      <c r="M79" s="432">
        <f>IFERROR(M8/M64,0)</f>
        <v/>
      </c>
      <c r="N79" s="432">
        <f>IFERROR(N8/N64,0)</f>
        <v/>
      </c>
      <c r="O79" s="432">
        <f>IFERROR(O8/O64,0)</f>
        <v/>
      </c>
      <c r="P79" s="432">
        <f>IFERROR(P8/P64,0)</f>
        <v/>
      </c>
      <c r="Q79" s="432">
        <f>IFERROR(Q8/Q64,0)</f>
        <v/>
      </c>
      <c r="R79" s="432">
        <f>IFERROR(R8/R64,0)</f>
        <v/>
      </c>
      <c r="S79" s="432">
        <f>IFERROR(S8/S64,0)</f>
        <v/>
      </c>
      <c r="T79" s="432">
        <f>IFERROR(T8/T64,0)</f>
        <v/>
      </c>
      <c r="U79" s="432">
        <f>IFERROR(U8/U64,0)</f>
        <v/>
      </c>
      <c r="V79" s="432">
        <f>IFERROR(V8/V64,0)</f>
        <v/>
      </c>
      <c r="W79" s="431">
        <f>IFERROR(W8/W64,0)</f>
        <v/>
      </c>
    </row>
    <row r="80" ht="13.5" customHeight="1" s="1232">
      <c r="B80" s="1294" t="n"/>
      <c r="C80" s="1294" t="n"/>
      <c r="D80" s="1292" t="n"/>
      <c r="E80" s="1293" t="n"/>
      <c r="F80" s="1305" t="n"/>
      <c r="I80" s="1333" t="inlineStr">
        <is>
          <t>3. Pick n Mix Inc</t>
        </is>
      </c>
      <c r="J80" s="431" t="n"/>
      <c r="K80" s="432">
        <f>IFERROR(K9/K65,0)</f>
        <v/>
      </c>
      <c r="L80" s="432">
        <f>IFERROR(L9/L65,0)</f>
        <v/>
      </c>
      <c r="M80" s="432">
        <f>IFERROR(M9/M65,0)</f>
        <v/>
      </c>
      <c r="N80" s="432">
        <f>IFERROR(N9/N65,0)</f>
        <v/>
      </c>
      <c r="O80" s="432">
        <f>IFERROR(O9/O65,0)</f>
        <v/>
      </c>
      <c r="P80" s="432">
        <f>IFERROR(P9/P65,0)</f>
        <v/>
      </c>
      <c r="Q80" s="432">
        <f>IFERROR(Q9/Q65,0)</f>
        <v/>
      </c>
      <c r="R80" s="432">
        <f>IFERROR(R9/R65,0)</f>
        <v/>
      </c>
      <c r="S80" s="432">
        <f>IFERROR(S9/S65,0)</f>
        <v/>
      </c>
      <c r="T80" s="432">
        <f>IFERROR(T9/T65,0)</f>
        <v/>
      </c>
      <c r="U80" s="432">
        <f>IFERROR(U9/U65,0)</f>
        <v/>
      </c>
      <c r="V80" s="432">
        <f>IFERROR(V9/V65,0)</f>
        <v/>
      </c>
      <c r="W80" s="431">
        <f>IFERROR(W9/W65,0)</f>
        <v/>
      </c>
    </row>
    <row r="81">
      <c r="I81" s="1333" t="inlineStr">
        <is>
          <t>4. Pick n Mix Out</t>
        </is>
      </c>
      <c r="J81" s="431" t="n"/>
      <c r="K81" s="432">
        <f>IFERROR(K10/K66,0)</f>
        <v/>
      </c>
      <c r="L81" s="432">
        <f>IFERROR(L10/L66,0)</f>
        <v/>
      </c>
      <c r="M81" s="432">
        <f>IFERROR(M10/M66,0)</f>
        <v/>
      </c>
      <c r="N81" s="432">
        <f>IFERROR(N10/N66,0)</f>
        <v/>
      </c>
      <c r="O81" s="432">
        <f>IFERROR(O10/O66,0)</f>
        <v/>
      </c>
      <c r="P81" s="432">
        <f>IFERROR(P10/P66,0)</f>
        <v/>
      </c>
      <c r="Q81" s="432">
        <f>IFERROR(Q10/Q66,0)</f>
        <v/>
      </c>
      <c r="R81" s="432">
        <f>IFERROR(R10/R66,0)</f>
        <v/>
      </c>
      <c r="S81" s="432">
        <f>IFERROR(S10/S66,0)</f>
        <v/>
      </c>
      <c r="T81" s="432">
        <f>IFERROR(T10/T66,0)</f>
        <v/>
      </c>
      <c r="U81" s="432">
        <f>IFERROR(U10/U66,0)</f>
        <v/>
      </c>
      <c r="V81" s="432">
        <f>IFERROR(V10/V66,0)</f>
        <v/>
      </c>
      <c r="W81" s="431">
        <f>IFERROR(W10/W66,0)</f>
        <v/>
      </c>
    </row>
    <row r="82">
      <c r="I82" s="1333" t="inlineStr">
        <is>
          <t>5. Mentoring</t>
        </is>
      </c>
      <c r="J82" s="431" t="n"/>
      <c r="K82" s="432">
        <f>IFERROR(K11/K67,0)</f>
        <v/>
      </c>
      <c r="L82" s="432">
        <f>IFERROR(L11/L67,0)</f>
        <v/>
      </c>
      <c r="M82" s="432">
        <f>IFERROR(M11/M67,0)</f>
        <v/>
      </c>
      <c r="N82" s="432">
        <f>IFERROR(N11/N67,0)</f>
        <v/>
      </c>
      <c r="O82" s="432">
        <f>IFERROR(O11/O67,0)</f>
        <v/>
      </c>
      <c r="P82" s="432">
        <f>IFERROR(P11/P67,0)</f>
        <v/>
      </c>
      <c r="Q82" s="432">
        <f>IFERROR(Q11/Q67,0)</f>
        <v/>
      </c>
      <c r="R82" s="432">
        <f>IFERROR(R11/R67,0)</f>
        <v/>
      </c>
      <c r="S82" s="432">
        <f>IFERROR(S11/S67,0)</f>
        <v/>
      </c>
      <c r="T82" s="432">
        <f>IFERROR(T11/T67,0)</f>
        <v/>
      </c>
      <c r="U82" s="432">
        <f>IFERROR(U11/U67,0)</f>
        <v/>
      </c>
      <c r="V82" s="432">
        <f>IFERROR(V11/V67,0)</f>
        <v/>
      </c>
      <c r="W82" s="431">
        <f>IFERROR(W11/W67,0)</f>
        <v/>
      </c>
    </row>
    <row r="83">
      <c r="I83" s="1334" t="inlineStr">
        <is>
          <t>6. 1-2-1</t>
        </is>
      </c>
      <c r="J83" s="431" t="n"/>
      <c r="K83" s="432">
        <f>IFERROR(K12/K68,0)</f>
        <v/>
      </c>
      <c r="L83" s="432">
        <f>IFERROR(L12/L68,0)</f>
        <v/>
      </c>
      <c r="M83" s="432">
        <f>IFERROR(M12/M68,0)</f>
        <v/>
      </c>
      <c r="N83" s="432">
        <f>IFERROR(N12/N68,0)</f>
        <v/>
      </c>
      <c r="O83" s="432">
        <f>IFERROR(O12/O68,0)</f>
        <v/>
      </c>
      <c r="P83" s="432">
        <f>IFERROR(P12/P68,0)</f>
        <v/>
      </c>
      <c r="Q83" s="432">
        <f>IFERROR(Q12/Q68,0)</f>
        <v/>
      </c>
      <c r="R83" s="432">
        <f>IFERROR(R12/R68,0)</f>
        <v/>
      </c>
      <c r="S83" s="432">
        <f>IFERROR(S12/S68,0)</f>
        <v/>
      </c>
      <c r="T83" s="432">
        <f>IFERROR(T12/T68,0)</f>
        <v/>
      </c>
      <c r="U83" s="432">
        <f>IFERROR(U12/U68,0)</f>
        <v/>
      </c>
      <c r="V83" s="432">
        <f>IFERROR(V12/V68,0)</f>
        <v/>
      </c>
      <c r="W83" s="431">
        <f>IFERROR(W12/W68,0)</f>
        <v/>
      </c>
    </row>
    <row r="84">
      <c r="I84" s="1334" t="inlineStr">
        <is>
          <t>7. Gift Vouchers Inc</t>
        </is>
      </c>
      <c r="J84" s="431" t="n"/>
      <c r="K84" s="432">
        <f>IFERROR(K13/K69,0)</f>
        <v/>
      </c>
      <c r="L84" s="432">
        <f>IFERROR(L13/L69,0)</f>
        <v/>
      </c>
      <c r="M84" s="432">
        <f>IFERROR(M13/M69,0)</f>
        <v/>
      </c>
      <c r="N84" s="432">
        <f>IFERROR(N13/N69,0)</f>
        <v/>
      </c>
      <c r="O84" s="432">
        <f>IFERROR(O13/O69,0)</f>
        <v/>
      </c>
      <c r="P84" s="432">
        <f>IFERROR(P13/P69,0)</f>
        <v/>
      </c>
      <c r="Q84" s="432">
        <f>IFERROR(Q13/Q69,0)</f>
        <v/>
      </c>
      <c r="R84" s="432">
        <f>IFERROR(R13/R69,0)</f>
        <v/>
      </c>
      <c r="S84" s="432">
        <f>IFERROR(S13/S69,0)</f>
        <v/>
      </c>
      <c r="T84" s="432">
        <f>IFERROR(T13/T69,0)</f>
        <v/>
      </c>
      <c r="U84" s="432">
        <f>IFERROR(U13/U69,0)</f>
        <v/>
      </c>
      <c r="V84" s="432">
        <f>IFERROR(V13/V69,0)</f>
        <v/>
      </c>
      <c r="W84" s="431">
        <f>IFERROR(W13/W69,0)</f>
        <v/>
      </c>
    </row>
    <row r="85">
      <c r="I85" s="1334" t="inlineStr">
        <is>
          <t>8. Gift Vouchers Out</t>
        </is>
      </c>
      <c r="J85" s="431" t="n"/>
      <c r="K85" s="432">
        <f>IFERROR(K14/K70,0)</f>
        <v/>
      </c>
      <c r="L85" s="432">
        <f>IFERROR(L14/L70,0)</f>
        <v/>
      </c>
      <c r="M85" s="432">
        <f>IFERROR(M14/M70,0)</f>
        <v/>
      </c>
      <c r="N85" s="432">
        <f>IFERROR(N14/N70,0)</f>
        <v/>
      </c>
      <c r="O85" s="432">
        <f>IFERROR(O14/O70,0)</f>
        <v/>
      </c>
      <c r="P85" s="432">
        <f>IFERROR(P14/P70,0)</f>
        <v/>
      </c>
      <c r="Q85" s="432">
        <f>IFERROR(Q14/Q70,0)</f>
        <v/>
      </c>
      <c r="R85" s="432">
        <f>IFERROR(R14/R70,0)</f>
        <v/>
      </c>
      <c r="S85" s="432">
        <f>IFERROR(S14/S70,0)</f>
        <v/>
      </c>
      <c r="T85" s="432">
        <f>IFERROR(T14/T70,0)</f>
        <v/>
      </c>
      <c r="U85" s="432">
        <f>IFERROR(U14/U70,0)</f>
        <v/>
      </c>
      <c r="V85" s="432">
        <f>IFERROR(V14/V70,0)</f>
        <v/>
      </c>
      <c r="W85" s="431">
        <f>IFERROR(W14/W70,0)</f>
        <v/>
      </c>
    </row>
    <row r="86">
      <c r="I86" s="1334" t="inlineStr">
        <is>
          <t>9. Prints &amp; Royalties</t>
        </is>
      </c>
      <c r="J86" s="431" t="n"/>
      <c r="K86" s="432">
        <f>IFERROR(K15/K71,0)</f>
        <v/>
      </c>
      <c r="L86" s="432">
        <f>IFERROR(L15/L71,0)</f>
        <v/>
      </c>
      <c r="M86" s="432">
        <f>IFERROR(M15/M71,0)</f>
        <v/>
      </c>
      <c r="N86" s="432">
        <f>IFERROR(N15/N71,0)</f>
        <v/>
      </c>
      <c r="O86" s="432">
        <f>IFERROR(O15/O71,0)</f>
        <v/>
      </c>
      <c r="P86" s="432">
        <f>IFERROR(P15/P71,0)</f>
        <v/>
      </c>
      <c r="Q86" s="432">
        <f>IFERROR(Q15/Q71,0)</f>
        <v/>
      </c>
      <c r="R86" s="432">
        <f>IFERROR(R15/R71,0)</f>
        <v/>
      </c>
      <c r="S86" s="432">
        <f>IFERROR(S15/S71,0)</f>
        <v/>
      </c>
      <c r="T86" s="432">
        <f>IFERROR(T15/T71,0)</f>
        <v/>
      </c>
      <c r="U86" s="432">
        <f>IFERROR(U15/U71,0)</f>
        <v/>
      </c>
      <c r="V86" s="432">
        <f>IFERROR(V15/V71,0)</f>
        <v/>
      </c>
      <c r="W86" s="431">
        <f>IFERROR(W15/W71,0)</f>
        <v/>
      </c>
    </row>
    <row r="87">
      <c r="I87" s="1334" t="inlineStr">
        <is>
          <t>10 Commissions</t>
        </is>
      </c>
      <c r="J87" s="431" t="n"/>
      <c r="K87" s="432">
        <f>IFERROR(K16/K72,0)</f>
        <v/>
      </c>
      <c r="L87" s="432">
        <f>IFERROR(L16/L72,0)</f>
        <v/>
      </c>
      <c r="M87" s="432">
        <f>IFERROR(M16/M72,0)</f>
        <v/>
      </c>
      <c r="N87" s="432">
        <f>IFERROR(N16/N72,0)</f>
        <v/>
      </c>
      <c r="O87" s="432">
        <f>IFERROR(O16/O72,0)</f>
        <v/>
      </c>
      <c r="P87" s="432">
        <f>IFERROR(P16/P72,0)</f>
        <v/>
      </c>
      <c r="Q87" s="432">
        <f>IFERROR(Q16/Q72,0)</f>
        <v/>
      </c>
      <c r="R87" s="432">
        <f>IFERROR(R16/R72,0)</f>
        <v/>
      </c>
      <c r="S87" s="432">
        <f>IFERROR(S16/S72,0)</f>
        <v/>
      </c>
      <c r="T87" s="432">
        <f>IFERROR(T16/T72,0)</f>
        <v/>
      </c>
      <c r="U87" s="432">
        <f>IFERROR(U16/U72,0)</f>
        <v/>
      </c>
      <c r="V87" s="432">
        <f>IFERROR(V16/V72,0)</f>
        <v/>
      </c>
      <c r="W87" s="431">
        <f>IFERROR(W16/W72,0)</f>
        <v/>
      </c>
    </row>
    <row r="88">
      <c r="I88" s="1334" t="inlineStr">
        <is>
          <t>11. Other</t>
        </is>
      </c>
      <c r="J88" s="431" t="n"/>
      <c r="K88" s="432">
        <f>IFERROR(K17/K73,0)</f>
        <v/>
      </c>
      <c r="L88" s="432">
        <f>IFERROR(L17/L73,0)</f>
        <v/>
      </c>
      <c r="M88" s="432">
        <f>IFERROR(M17/M73,0)</f>
        <v/>
      </c>
      <c r="N88" s="432">
        <f>IFERROR(N17/N73,0)</f>
        <v/>
      </c>
      <c r="O88" s="432">
        <f>IFERROR(O17/O73,0)</f>
        <v/>
      </c>
      <c r="P88" s="432">
        <f>IFERROR(P17/P73,0)</f>
        <v/>
      </c>
      <c r="Q88" s="432">
        <f>IFERROR(Q17/Q73,0)</f>
        <v/>
      </c>
      <c r="R88" s="432">
        <f>IFERROR(R17/R73,0)</f>
        <v/>
      </c>
      <c r="S88" s="432">
        <f>IFERROR(S17/S73,0)</f>
        <v/>
      </c>
      <c r="T88" s="432">
        <f>IFERROR(T17/T73,0)</f>
        <v/>
      </c>
      <c r="U88" s="432">
        <f>IFERROR(U17/U73,0)</f>
        <v/>
      </c>
      <c r="V88" s="432">
        <f>IFERROR(V17/V73,0)</f>
        <v/>
      </c>
      <c r="W88" s="431">
        <f>IFERROR(W17/W73,0)</f>
        <v/>
      </c>
    </row>
    <row r="89" ht="13.5" customHeight="1" s="1232" thickBot="1">
      <c r="I89" s="1339" t="inlineStr">
        <is>
          <t>Totals</t>
        </is>
      </c>
      <c r="J89" s="829" t="n"/>
      <c r="K89" s="916">
        <f>IFERROR(K18/K74,0)</f>
        <v/>
      </c>
      <c r="L89" s="916">
        <f>IFERROR(L18/L74,0)</f>
        <v/>
      </c>
      <c r="M89" s="916">
        <f>IFERROR(M18/M74,0)</f>
        <v/>
      </c>
      <c r="N89" s="916">
        <f>IFERROR(N18/N74,0)</f>
        <v/>
      </c>
      <c r="O89" s="916">
        <f>IFERROR(O18/O74,0)</f>
        <v/>
      </c>
      <c r="P89" s="916">
        <f>IFERROR(P18/P74,0)</f>
        <v/>
      </c>
      <c r="Q89" s="916">
        <f>IFERROR(Q18/Q74,0)</f>
        <v/>
      </c>
      <c r="R89" s="916">
        <f>IFERROR(R18/R74,0)</f>
        <v/>
      </c>
      <c r="S89" s="916">
        <f>IFERROR(S18/S74,0)</f>
        <v/>
      </c>
      <c r="T89" s="916">
        <f>IFERROR(T18/T74,0)</f>
        <v/>
      </c>
      <c r="U89" s="916">
        <f>IFERROR(U18/U74,0)</f>
        <v/>
      </c>
      <c r="V89" s="916">
        <f>IFERROR(V18/V74,0)</f>
        <v/>
      </c>
      <c r="W89" s="829">
        <f>IFERROR(W18/W74,0)</f>
        <v/>
      </c>
    </row>
    <row r="90" ht="13.15" customHeight="1" s="1232" thickTop="1"/>
    <row r="92" ht="13.15" customHeight="1" s="1232">
      <c r="I92" s="1336" t="inlineStr">
        <is>
          <t>Tuition Categories</t>
        </is>
      </c>
      <c r="J92" s="1330" t="inlineStr">
        <is>
          <t>GP Amount</t>
        </is>
      </c>
      <c r="K92" s="1332" t="inlineStr">
        <is>
          <t>Jan</t>
        </is>
      </c>
      <c r="L92" s="1332" t="inlineStr">
        <is>
          <t>Feb</t>
        </is>
      </c>
      <c r="M92" s="1332" t="inlineStr">
        <is>
          <t>Mar</t>
        </is>
      </c>
      <c r="N92" s="1332" t="inlineStr">
        <is>
          <t>Apr</t>
        </is>
      </c>
      <c r="O92" s="1332" t="inlineStr">
        <is>
          <t>May</t>
        </is>
      </c>
      <c r="P92" s="1332" t="inlineStr">
        <is>
          <t>Jun</t>
        </is>
      </c>
      <c r="Q92" s="1332" t="inlineStr">
        <is>
          <t>Jul</t>
        </is>
      </c>
      <c r="R92" s="1332" t="inlineStr">
        <is>
          <t>Aug</t>
        </is>
      </c>
      <c r="S92" s="1332" t="inlineStr">
        <is>
          <t>Sep</t>
        </is>
      </c>
      <c r="T92" s="1332" t="inlineStr">
        <is>
          <t>Oct</t>
        </is>
      </c>
      <c r="U92" s="1332" t="inlineStr">
        <is>
          <t>Nov</t>
        </is>
      </c>
      <c r="V92" s="1332" t="inlineStr">
        <is>
          <t>Dec</t>
        </is>
      </c>
      <c r="W92" s="1332" t="inlineStr">
        <is>
          <t>Year</t>
        </is>
      </c>
    </row>
    <row r="93">
      <c r="I93" s="1333" t="inlineStr">
        <is>
          <t>1. Courses/masterclasses</t>
        </is>
      </c>
      <c r="J93" s="839" t="n">
        <v>0.9</v>
      </c>
      <c r="K93" s="432">
        <f>K6*$J93</f>
        <v/>
      </c>
      <c r="L93" s="432">
        <f>L6*$J93</f>
        <v/>
      </c>
      <c r="M93" s="432">
        <f>M6*$J93</f>
        <v/>
      </c>
      <c r="N93" s="432">
        <f>N6*$J93</f>
        <v/>
      </c>
      <c r="O93" s="432">
        <f>O6*$J93</f>
        <v/>
      </c>
      <c r="P93" s="432">
        <f>P6*$J93</f>
        <v/>
      </c>
      <c r="Q93" s="432">
        <f>Q6*$J93</f>
        <v/>
      </c>
      <c r="R93" s="432">
        <f>R6*$J93</f>
        <v/>
      </c>
      <c r="S93" s="432">
        <f>S6*$J93</f>
        <v/>
      </c>
      <c r="T93" s="432">
        <f>T6*$J93</f>
        <v/>
      </c>
      <c r="U93" s="432">
        <f>U6*$J93</f>
        <v/>
      </c>
      <c r="V93" s="432">
        <f>V6*$J93</f>
        <v/>
      </c>
      <c r="W93" s="431">
        <f>SUM(K93:V93)</f>
        <v/>
      </c>
    </row>
    <row r="94">
      <c r="I94" s="1333" t="inlineStr">
        <is>
          <t>2. Workshops</t>
        </is>
      </c>
      <c r="J94" s="839" t="n">
        <v>0.8</v>
      </c>
      <c r="K94" s="432">
        <f>K7*$J94</f>
        <v/>
      </c>
      <c r="L94" s="432">
        <f>L7*$J94</f>
        <v/>
      </c>
      <c r="M94" s="432">
        <f>M7*$J94</f>
        <v/>
      </c>
      <c r="N94" s="432">
        <f>N7*$J94</f>
        <v/>
      </c>
      <c r="O94" s="432">
        <f>O7*$J94</f>
        <v/>
      </c>
      <c r="P94" s="432">
        <f>P7*$J94</f>
        <v/>
      </c>
      <c r="Q94" s="432">
        <f>Q7*$J94</f>
        <v/>
      </c>
      <c r="R94" s="432">
        <f>R7*$J94</f>
        <v/>
      </c>
      <c r="S94" s="432">
        <f>S7*$J94</f>
        <v/>
      </c>
      <c r="T94" s="432">
        <f>T7*$J94</f>
        <v/>
      </c>
      <c r="U94" s="432">
        <f>U7*$J94</f>
        <v/>
      </c>
      <c r="V94" s="432">
        <f>V7*$J94</f>
        <v/>
      </c>
      <c r="W94" s="431">
        <f>SUM(K94:V94)</f>
        <v/>
      </c>
    </row>
    <row r="95">
      <c r="I95" s="1334" t="inlineStr">
        <is>
          <t>-   Workshops Residential</t>
        </is>
      </c>
      <c r="J95" s="839" t="n">
        <v>0.45</v>
      </c>
      <c r="K95" s="432">
        <f>K8*$J95</f>
        <v/>
      </c>
      <c r="L95" s="432">
        <f>L8*$J95</f>
        <v/>
      </c>
      <c r="M95" s="432">
        <f>M8*$J95</f>
        <v/>
      </c>
      <c r="N95" s="432">
        <f>N8*$J95</f>
        <v/>
      </c>
      <c r="O95" s="432">
        <f>O8*$J95</f>
        <v/>
      </c>
      <c r="P95" s="432">
        <f>P8*$J95</f>
        <v/>
      </c>
      <c r="Q95" s="432">
        <f>Q8*$J95</f>
        <v/>
      </c>
      <c r="R95" s="432">
        <f>R8*$J95</f>
        <v/>
      </c>
      <c r="S95" s="432">
        <f>S8*$J95</f>
        <v/>
      </c>
      <c r="T95" s="432">
        <f>T8*$J95</f>
        <v/>
      </c>
      <c r="U95" s="432">
        <f>U8*$J95</f>
        <v/>
      </c>
      <c r="V95" s="432">
        <f>V8*$J95</f>
        <v/>
      </c>
      <c r="W95" s="431">
        <f>SUM(K95:V95)</f>
        <v/>
      </c>
    </row>
    <row r="96">
      <c r="I96" s="1333" t="inlineStr">
        <is>
          <t>3. Pick n Mix Inc</t>
        </is>
      </c>
      <c r="J96" s="839" t="n">
        <v>0.6</v>
      </c>
      <c r="K96" s="432">
        <f>K9*$J96</f>
        <v/>
      </c>
      <c r="L96" s="432">
        <f>L9*$J96</f>
        <v/>
      </c>
      <c r="M96" s="432">
        <f>M9*$J96</f>
        <v/>
      </c>
      <c r="N96" s="432">
        <f>N9*$J96</f>
        <v/>
      </c>
      <c r="O96" s="432">
        <f>O9*$J96</f>
        <v/>
      </c>
      <c r="P96" s="432">
        <f>P9*$J96</f>
        <v/>
      </c>
      <c r="Q96" s="432">
        <f>Q9*$J96</f>
        <v/>
      </c>
      <c r="R96" s="432">
        <f>R9*$J96</f>
        <v/>
      </c>
      <c r="S96" s="432">
        <f>S9*$J96</f>
        <v/>
      </c>
      <c r="T96" s="432">
        <f>T9*$J96</f>
        <v/>
      </c>
      <c r="U96" s="432">
        <f>U9*$J96</f>
        <v/>
      </c>
      <c r="V96" s="432">
        <f>V9*$J96</f>
        <v/>
      </c>
      <c r="W96" s="431">
        <f>SUM(K96:V96)</f>
        <v/>
      </c>
    </row>
    <row r="97">
      <c r="I97" s="1333" t="inlineStr">
        <is>
          <t>4. Pick n Mix Out</t>
        </is>
      </c>
      <c r="J97" s="839" t="n">
        <v>0.6</v>
      </c>
      <c r="K97" s="432">
        <f>K10*$J97</f>
        <v/>
      </c>
      <c r="L97" s="432">
        <f>L10*$J97</f>
        <v/>
      </c>
      <c r="M97" s="432">
        <f>M10*$J97</f>
        <v/>
      </c>
      <c r="N97" s="432">
        <f>N10*$J97</f>
        <v/>
      </c>
      <c r="O97" s="432">
        <f>O10*$J97</f>
        <v/>
      </c>
      <c r="P97" s="432">
        <f>P10*$J97</f>
        <v/>
      </c>
      <c r="Q97" s="432">
        <f>Q10*$J97</f>
        <v/>
      </c>
      <c r="R97" s="432">
        <f>R10*$J97</f>
        <v/>
      </c>
      <c r="S97" s="432">
        <f>S10*$J97</f>
        <v/>
      </c>
      <c r="T97" s="432">
        <f>T10*$J97</f>
        <v/>
      </c>
      <c r="U97" s="432">
        <f>U10*$J97</f>
        <v/>
      </c>
      <c r="V97" s="432">
        <f>V10*$J97</f>
        <v/>
      </c>
      <c r="W97" s="431">
        <f>SUM(K97:V97)</f>
        <v/>
      </c>
    </row>
    <row r="98">
      <c r="I98" s="1333" t="inlineStr">
        <is>
          <t>5. Mentoring</t>
        </is>
      </c>
      <c r="J98" s="839" t="n">
        <v>0.95</v>
      </c>
      <c r="K98" s="432">
        <f>K11*$J98</f>
        <v/>
      </c>
      <c r="L98" s="432">
        <f>L11*$J98</f>
        <v/>
      </c>
      <c r="M98" s="432">
        <f>M11*$J98</f>
        <v/>
      </c>
      <c r="N98" s="432">
        <f>N11*$J98</f>
        <v/>
      </c>
      <c r="O98" s="432">
        <f>O11*$J98</f>
        <v/>
      </c>
      <c r="P98" s="432">
        <f>P11*$J98</f>
        <v/>
      </c>
      <c r="Q98" s="432">
        <f>Q11*$J98</f>
        <v/>
      </c>
      <c r="R98" s="432">
        <f>R11*$J98</f>
        <v/>
      </c>
      <c r="S98" s="432">
        <f>S11*$J98</f>
        <v/>
      </c>
      <c r="T98" s="432">
        <f>T11*$J98</f>
        <v/>
      </c>
      <c r="U98" s="432">
        <f>U11*$J98</f>
        <v/>
      </c>
      <c r="V98" s="432">
        <f>V11*$J98</f>
        <v/>
      </c>
      <c r="W98" s="431">
        <f>SUM(K98:V98)</f>
        <v/>
      </c>
    </row>
    <row r="99">
      <c r="I99" s="1334" t="inlineStr">
        <is>
          <t>6. 1-2-1</t>
        </is>
      </c>
      <c r="J99" s="839" t="n">
        <v>0.95</v>
      </c>
      <c r="K99" s="432">
        <f>K12*$J99</f>
        <v/>
      </c>
      <c r="L99" s="432">
        <f>L12*$J99</f>
        <v/>
      </c>
      <c r="M99" s="432">
        <f>M12*$J99</f>
        <v/>
      </c>
      <c r="N99" s="432">
        <f>N12*$J99</f>
        <v/>
      </c>
      <c r="O99" s="432">
        <f>O12*$J99</f>
        <v/>
      </c>
      <c r="P99" s="432">
        <f>P12*$J99</f>
        <v/>
      </c>
      <c r="Q99" s="432">
        <f>Q12*$J99</f>
        <v/>
      </c>
      <c r="R99" s="432">
        <f>R12*$J99</f>
        <v/>
      </c>
      <c r="S99" s="432">
        <f>S12*$J99</f>
        <v/>
      </c>
      <c r="T99" s="432">
        <f>T12*$J99</f>
        <v/>
      </c>
      <c r="U99" s="432">
        <f>U12*$J99</f>
        <v/>
      </c>
      <c r="V99" s="432">
        <f>V12*$J99</f>
        <v/>
      </c>
      <c r="W99" s="431">
        <f>SUM(K99:V99)</f>
        <v/>
      </c>
    </row>
    <row r="100">
      <c r="I100" s="1334" t="inlineStr">
        <is>
          <t>7. Gift Vouchers Inc</t>
        </is>
      </c>
      <c r="J100" s="839" t="n">
        <v>0.5</v>
      </c>
      <c r="K100" s="432">
        <f>K13*$J100</f>
        <v/>
      </c>
      <c r="L100" s="432">
        <f>L13*$J100</f>
        <v/>
      </c>
      <c r="M100" s="432">
        <f>M13*$J100</f>
        <v/>
      </c>
      <c r="N100" s="432">
        <f>N13*$J100</f>
        <v/>
      </c>
      <c r="O100" s="432">
        <f>O13*$J100</f>
        <v/>
      </c>
      <c r="P100" s="432">
        <f>P13*$J100</f>
        <v/>
      </c>
      <c r="Q100" s="432">
        <f>Q13*$J100</f>
        <v/>
      </c>
      <c r="R100" s="432">
        <f>R13*$J100</f>
        <v/>
      </c>
      <c r="S100" s="432">
        <f>S13*$J100</f>
        <v/>
      </c>
      <c r="T100" s="432">
        <f>T13*$J100</f>
        <v/>
      </c>
      <c r="U100" s="432">
        <f>U13*$J100</f>
        <v/>
      </c>
      <c r="V100" s="432">
        <f>V13*$J100</f>
        <v/>
      </c>
      <c r="W100" s="431">
        <f>SUM(K100:V100)</f>
        <v/>
      </c>
    </row>
    <row r="101">
      <c r="I101" s="1334" t="inlineStr">
        <is>
          <t>8. Gift Vouchers Out</t>
        </is>
      </c>
      <c r="J101" s="839" t="n">
        <v>0.5</v>
      </c>
      <c r="K101" s="432">
        <f>K14*$J101</f>
        <v/>
      </c>
      <c r="L101" s="432">
        <f>L14*$J101</f>
        <v/>
      </c>
      <c r="M101" s="432">
        <f>M14*$J101</f>
        <v/>
      </c>
      <c r="N101" s="432">
        <f>N14*$J101</f>
        <v/>
      </c>
      <c r="O101" s="432">
        <f>O14*$J101</f>
        <v/>
      </c>
      <c r="P101" s="432">
        <f>P14*$J101</f>
        <v/>
      </c>
      <c r="Q101" s="432">
        <f>Q14*$J101</f>
        <v/>
      </c>
      <c r="R101" s="432">
        <f>R14*$J101</f>
        <v/>
      </c>
      <c r="S101" s="432">
        <f>S14*$J101</f>
        <v/>
      </c>
      <c r="T101" s="432">
        <f>T14*$J101</f>
        <v/>
      </c>
      <c r="U101" s="432">
        <f>U14*$J101</f>
        <v/>
      </c>
      <c r="V101" s="432">
        <f>V14*$J101</f>
        <v/>
      </c>
      <c r="W101" s="431">
        <f>SUM(K101:V101)</f>
        <v/>
      </c>
    </row>
    <row r="102">
      <c r="I102" s="1334" t="inlineStr">
        <is>
          <t>9. Prints &amp; Royalties</t>
        </is>
      </c>
      <c r="J102" s="839" t="n">
        <v>0.99</v>
      </c>
      <c r="K102" s="432">
        <f>K15*$J102</f>
        <v/>
      </c>
      <c r="L102" s="432">
        <f>L15*$J102</f>
        <v/>
      </c>
      <c r="M102" s="432">
        <f>M15*$J102</f>
        <v/>
      </c>
      <c r="N102" s="432">
        <f>N15*$J102</f>
        <v/>
      </c>
      <c r="O102" s="432">
        <f>O15*$J102</f>
        <v/>
      </c>
      <c r="P102" s="432">
        <f>P15*$J102</f>
        <v/>
      </c>
      <c r="Q102" s="432">
        <f>Q15*$J102</f>
        <v/>
      </c>
      <c r="R102" s="432">
        <f>R15*$J102</f>
        <v/>
      </c>
      <c r="S102" s="432">
        <f>S15*$J102</f>
        <v/>
      </c>
      <c r="T102" s="432">
        <f>T15*$J102</f>
        <v/>
      </c>
      <c r="U102" s="432">
        <f>U15*$J102</f>
        <v/>
      </c>
      <c r="V102" s="432">
        <f>V15*$J102</f>
        <v/>
      </c>
      <c r="W102" s="431">
        <f>SUM(K102:V102)</f>
        <v/>
      </c>
    </row>
    <row r="103">
      <c r="I103" s="1334" t="inlineStr">
        <is>
          <t>10 Commissions</t>
        </is>
      </c>
      <c r="J103" s="839" t="n">
        <v>0.9</v>
      </c>
      <c r="K103" s="432">
        <f>K16*$J103</f>
        <v/>
      </c>
      <c r="L103" s="432">
        <f>L16*$J103</f>
        <v/>
      </c>
      <c r="M103" s="432">
        <f>M16*$J103</f>
        <v/>
      </c>
      <c r="N103" s="432">
        <f>N16*$J103</f>
        <v/>
      </c>
      <c r="O103" s="432">
        <f>O16*$J103</f>
        <v/>
      </c>
      <c r="P103" s="432">
        <f>P16*$J103</f>
        <v/>
      </c>
      <c r="Q103" s="432">
        <f>Q16*$J103</f>
        <v/>
      </c>
      <c r="R103" s="432">
        <f>R16*$J103</f>
        <v/>
      </c>
      <c r="S103" s="432">
        <f>S16*$J103</f>
        <v/>
      </c>
      <c r="T103" s="432">
        <f>T16*$J103</f>
        <v/>
      </c>
      <c r="U103" s="432">
        <f>U16*$J103</f>
        <v/>
      </c>
      <c r="V103" s="432">
        <f>V16*$J103</f>
        <v/>
      </c>
      <c r="W103" s="431">
        <f>SUM(K103:V103)</f>
        <v/>
      </c>
    </row>
    <row r="104">
      <c r="I104" s="1334" t="inlineStr">
        <is>
          <t>11. Other</t>
        </is>
      </c>
      <c r="J104" s="839" t="n">
        <v>0.8</v>
      </c>
      <c r="K104" s="432">
        <f>K17*$J104</f>
        <v/>
      </c>
      <c r="L104" s="432">
        <f>L17*$J104</f>
        <v/>
      </c>
      <c r="M104" s="432">
        <f>M17*$J104</f>
        <v/>
      </c>
      <c r="N104" s="432">
        <f>N17*$J104</f>
        <v/>
      </c>
      <c r="O104" s="432">
        <f>O17*$J104</f>
        <v/>
      </c>
      <c r="P104" s="432">
        <f>P17*$J104</f>
        <v/>
      </c>
      <c r="Q104" s="432">
        <f>Q17*$J104</f>
        <v/>
      </c>
      <c r="R104" s="432">
        <f>R17*$J104</f>
        <v/>
      </c>
      <c r="S104" s="432">
        <f>S17*$J104</f>
        <v/>
      </c>
      <c r="T104" s="432">
        <f>T17*$J104</f>
        <v/>
      </c>
      <c r="U104" s="432">
        <f>U17*$J104</f>
        <v/>
      </c>
      <c r="V104" s="432">
        <f>V17*$J104</f>
        <v/>
      </c>
      <c r="W104" s="431">
        <f>SUM(K104:V104)</f>
        <v/>
      </c>
      <c r="X104" s="445" t="n"/>
      <c r="Y104" s="558" t="n"/>
      <c r="Z104" s="434" t="n"/>
    </row>
    <row r="105" ht="13.5" customHeight="1" s="1232" thickBot="1">
      <c r="I105" s="1340" t="inlineStr">
        <is>
          <t>Totals</t>
        </is>
      </c>
      <c r="J105" s="942">
        <f>W105/W18</f>
        <v/>
      </c>
      <c r="K105" s="917">
        <f>SUM(K93:K104)</f>
        <v/>
      </c>
      <c r="L105" s="917">
        <f>SUM(L93:L104)</f>
        <v/>
      </c>
      <c r="M105" s="917">
        <f>SUM(M93:M104)</f>
        <v/>
      </c>
      <c r="N105" s="917">
        <f>SUM(N93:N104)</f>
        <v/>
      </c>
      <c r="O105" s="917">
        <f>SUM(O93:O104)</f>
        <v/>
      </c>
      <c r="P105" s="917">
        <f>SUM(P93:P104)</f>
        <v/>
      </c>
      <c r="Q105" s="917">
        <f>SUM(Q93:Q104)</f>
        <v/>
      </c>
      <c r="R105" s="917">
        <f>SUM(R93:R104)</f>
        <v/>
      </c>
      <c r="S105" s="917">
        <f>SUM(S93:S104)</f>
        <v/>
      </c>
      <c r="T105" s="917">
        <f>SUM(T93:T104)</f>
        <v/>
      </c>
      <c r="U105" s="917">
        <f>SUM(U93:U104)</f>
        <v/>
      </c>
      <c r="V105" s="917">
        <f>SUM(V93:V104)</f>
        <v/>
      </c>
      <c r="W105" s="431">
        <f>SUM(K105:V105)</f>
        <v/>
      </c>
      <c r="X105" s="445">
        <f>IFERROR(W105/W18,0)</f>
        <v/>
      </c>
      <c r="Y105" s="558">
        <f>J105*12</f>
        <v/>
      </c>
      <c r="Z105" s="434">
        <f>W105-Y105</f>
        <v/>
      </c>
    </row>
    <row r="106">
      <c r="K106" s="445">
        <f>K105/K18</f>
        <v/>
      </c>
      <c r="L106" s="445">
        <f>L105/L18</f>
        <v/>
      </c>
      <c r="M106" s="445">
        <f>M105/M18</f>
        <v/>
      </c>
      <c r="N106" s="445">
        <f>N105/N18</f>
        <v/>
      </c>
      <c r="O106" s="445">
        <f>O105/O18</f>
        <v/>
      </c>
      <c r="P106" s="445">
        <f>P105/P18</f>
        <v/>
      </c>
      <c r="Q106" s="445">
        <f>Q105/Q18</f>
        <v/>
      </c>
      <c r="R106" s="445">
        <f>R105/R18</f>
        <v/>
      </c>
      <c r="S106" s="445">
        <f>S105/S18</f>
        <v/>
      </c>
      <c r="T106" s="445">
        <f>T105/T18</f>
        <v/>
      </c>
      <c r="U106" s="445">
        <f>U105/U18</f>
        <v/>
      </c>
      <c r="V106" s="445">
        <f>V105/V18</f>
        <v/>
      </c>
      <c r="W106" s="445">
        <f>W105/W18</f>
        <v/>
      </c>
    </row>
    <row r="107" ht="13.15" customHeight="1" s="1232">
      <c r="I107" s="1341" t="inlineStr">
        <is>
          <t>Banking Source</t>
        </is>
      </c>
      <c r="K107" s="1332" t="inlineStr">
        <is>
          <t>Jan</t>
        </is>
      </c>
      <c r="L107" s="1332" t="inlineStr">
        <is>
          <t>Feb</t>
        </is>
      </c>
      <c r="M107" s="1332" t="inlineStr">
        <is>
          <t>Mar</t>
        </is>
      </c>
      <c r="N107" s="1332" t="inlineStr">
        <is>
          <t>Apr</t>
        </is>
      </c>
      <c r="O107" s="1332" t="inlineStr">
        <is>
          <t>May</t>
        </is>
      </c>
      <c r="P107" s="1332" t="inlineStr">
        <is>
          <t>Jun</t>
        </is>
      </c>
      <c r="Q107" s="1332" t="inlineStr">
        <is>
          <t>Jul</t>
        </is>
      </c>
      <c r="R107" s="1332" t="inlineStr">
        <is>
          <t>Aug</t>
        </is>
      </c>
      <c r="S107" s="1332" t="inlineStr">
        <is>
          <t>Sep</t>
        </is>
      </c>
      <c r="T107" s="1332" t="inlineStr">
        <is>
          <t>Oct</t>
        </is>
      </c>
      <c r="U107" s="1332" t="inlineStr">
        <is>
          <t>Nov</t>
        </is>
      </c>
      <c r="V107" s="1332" t="inlineStr">
        <is>
          <t>Dec</t>
        </is>
      </c>
      <c r="W107" s="1332" t="inlineStr">
        <is>
          <t>Year</t>
        </is>
      </c>
      <c r="X107" s="1278" t="inlineStr">
        <is>
          <t>Split</t>
        </is>
      </c>
      <c r="Y107" s="1278" t="inlineStr">
        <is>
          <t>% YTD</t>
        </is>
      </c>
    </row>
    <row r="108">
      <c r="I108" s="1255" t="inlineStr">
        <is>
          <t>Stripe</t>
        </is>
      </c>
      <c r="K108" s="432">
        <f>SUMIFS($E$164:$E$566,$A$164:$A$566,"&gt;31/12/2022",$A$164:$A$566,"&lt;1/2/2023",$D$164:$D$566,$I108)</f>
        <v/>
      </c>
      <c r="L108" s="432">
        <f>SUMIFS($E$164:$E$566,$A$164:$A$566,"&gt;31/1/2023",$A$164:$A$566,"&lt;1/3/2023",$D$164:$D$566,$I108)</f>
        <v/>
      </c>
      <c r="M108" s="432">
        <f>SUMIFS($E$164:$E$566,$A$164:$A$566,"&gt;28/2/2023",$A$164:$A$566,"&lt;1/4/2023",$D$164:$D$566,$I108)</f>
        <v/>
      </c>
      <c r="N108" s="432">
        <f>SUMIFS($E$164:$E$566,$A$164:$A$566,"&gt;31/3/2023",$A$164:$A$566,"&lt;1/5/2023",$D$164:$D$566,$I108)</f>
        <v/>
      </c>
      <c r="O108" s="432">
        <f>SUMIFS($E$164:$E$566,$A$164:$A$566,"&gt;30/4/2023",$A$164:$A$566,"&lt;1/6/2023",$D$164:$D$566,$I108)</f>
        <v/>
      </c>
      <c r="P108" s="432">
        <f>SUMIFS($E$164:$E$566,$A$164:$A$566,"&gt;31/5/2023",$A$164:$A$566,"&lt;1/7/2023",$D$164:$D$566,$I108)</f>
        <v/>
      </c>
      <c r="Q108" s="432">
        <f>SUMIFS($E$164:$E$566,$A$164:$A$566,"&gt;30/6/2023",$A$164:$A$566,"&lt;1/8/2023",$D$164:$D$566,$I108)</f>
        <v/>
      </c>
      <c r="R108" s="432">
        <f>SUMIFS($E$164:$E$566,$A$164:$A$566,"&gt;31/7/2023",$A$164:$A$566,"&lt;1/9/2023",$D$164:$D$566,$I108)</f>
        <v/>
      </c>
      <c r="S108" s="432">
        <f>SUMIFS($E$164:$E$566,$A$164:$A$566,"&gt;31/8/2023",$A$164:$A$566,"&lt;1/10/2023",$D$164:$D$566,$I108)</f>
        <v/>
      </c>
      <c r="T108" s="432">
        <f>SUMIFS($E$164:$E$566,$A$164:$A$566,"&gt;30/9/2023",$A$164:$A$566,"&lt;1/11/2023",$D$164:$D$566,$I108)</f>
        <v/>
      </c>
      <c r="U108" s="432">
        <f>SUMIFS($E$164:$E$566,$A$164:$A$566,"&gt;31/10/2023",$A$164:$A$566,"&lt;1/12/2023",$D$164:$D$566,$I108)</f>
        <v/>
      </c>
      <c r="V108" s="432">
        <f>SUMIFS($E$164:$E$566,$A$164:$A$566,"&gt;30/11/2023",$A$164:$A$566,"&lt;1/1/2024",$D$164:$D$566,$I108)</f>
        <v/>
      </c>
      <c r="W108" s="432">
        <f>SUM(K108:V108)</f>
        <v/>
      </c>
      <c r="X108" s="460">
        <f>L108/$L$117</f>
        <v/>
      </c>
      <c r="Y108" s="460">
        <f>W108/W117</f>
        <v/>
      </c>
    </row>
    <row r="109">
      <c r="I109" s="1255" t="inlineStr">
        <is>
          <t>PayPal</t>
        </is>
      </c>
      <c r="K109" s="432">
        <f>SUMIFS($E$164:$E$566,$A$164:$A$566,"&gt;31/12/2022",$A$164:$A$566,"&lt;1/2/2023",$D$164:$D$566,$I109)</f>
        <v/>
      </c>
      <c r="L109" s="432">
        <f>SUMIFS($E$164:$E$566,$A$164:$A$566,"&gt;31/1/2023",$A$164:$A$566,"&lt;1/3/2023",$D$164:$D$566,$I109)</f>
        <v/>
      </c>
      <c r="M109" s="432">
        <f>SUMIFS($E$164:$E$566,$A$164:$A$566,"&gt;28/2/2023",$A$164:$A$566,"&lt;1/4/2023",$D$164:$D$566,$I109)</f>
        <v/>
      </c>
      <c r="N109" s="432">
        <f>SUMIFS($E$164:$E$566,$A$164:$A$566,"&gt;31/3/2023",$A$164:$A$566,"&lt;1/5/2023",$D$164:$D$566,$I109)</f>
        <v/>
      </c>
      <c r="O109" s="432">
        <f>SUMIFS($E$164:$E$566,$A$164:$A$566,"&gt;30/4/2023",$A$164:$A$566,"&lt;1/6/2023",$D$164:$D$566,$I109)</f>
        <v/>
      </c>
      <c r="P109" s="432">
        <f>SUMIFS($E$164:$E$566,$A$164:$A$566,"&gt;31/5/2023",$A$164:$A$566,"&lt;1/7/2023",$D$164:$D$566,$I109)</f>
        <v/>
      </c>
      <c r="Q109" s="432">
        <f>SUMIFS($E$164:$E$566,$A$164:$A$566,"&gt;30/6/2023",$A$164:$A$566,"&lt;1/8/2023",$D$164:$D$566,$I109)</f>
        <v/>
      </c>
      <c r="R109" s="432">
        <f>SUMIFS($E$164:$E$566,$A$164:$A$566,"&gt;31/7/2023",$A$164:$A$566,"&lt;1/9/2023",$D$164:$D$566,$I109)</f>
        <v/>
      </c>
      <c r="S109" s="432">
        <f>SUMIFS($E$164:$E$566,$A$164:$A$566,"&gt;31/8/2023",$A$164:$A$566,"&lt;1/10/2023",$D$164:$D$566,$I109)</f>
        <v/>
      </c>
      <c r="T109" s="432">
        <f>SUMIFS($E$164:$E$566,$A$164:$A$566,"&gt;30/9/2023",$A$164:$A$566,"&lt;1/11/2023",$D$164:$D$566,$I109)</f>
        <v/>
      </c>
      <c r="U109" s="432">
        <f>SUMIFS($E$164:$E$566,$A$164:$A$566,"&gt;31/10/2023",$A$164:$A$566,"&lt;1/12/2023",$D$164:$D$566,$I109)</f>
        <v/>
      </c>
      <c r="V109" s="432">
        <f>SUMIFS($E$164:$E$566,$A$164:$A$566,"&gt;30/11/2023",$A$164:$A$566,"&lt;1/1/2024",$D$164:$D$566,$I109)</f>
        <v/>
      </c>
      <c r="W109" s="432">
        <f>SUM(K109:V109)</f>
        <v/>
      </c>
      <c r="X109" s="460">
        <f>L109/$L$117</f>
        <v/>
      </c>
      <c r="Y109" s="460">
        <f>W109/W117</f>
        <v/>
      </c>
    </row>
    <row r="110">
      <c r="I110" s="1255" t="inlineStr">
        <is>
          <t>Various</t>
        </is>
      </c>
      <c r="K110" s="432">
        <f>SUMIFS($E$164:$E$566,$A$164:$A$566,"&gt;31/12/2022",$A$164:$A$566,"&lt;1/2/2023",$D$164:$D$566,$I110)</f>
        <v/>
      </c>
      <c r="L110" s="432">
        <f>SUMIFS($E$164:$E$566,$A$164:$A$566,"&gt;31/1/2023",$A$164:$A$566,"&lt;1/3/2023",$D$164:$D$566,$I110)</f>
        <v/>
      </c>
      <c r="M110" s="432">
        <f>SUMIFS($E$164:$E$566,$A$164:$A$566,"&gt;28/2/2023",$A$164:$A$566,"&lt;1/4/2023",$D$164:$D$566,$I110)</f>
        <v/>
      </c>
      <c r="N110" s="432">
        <f>SUMIFS($E$164:$E$566,$A$164:$A$566,"&gt;31/3/2023",$A$164:$A$566,"&lt;1/5/2023",$D$164:$D$566,$I110)</f>
        <v/>
      </c>
      <c r="O110" s="432">
        <f>SUMIFS($E$164:$E$566,$A$164:$A$566,"&gt;30/4/2023",$A$164:$A$566,"&lt;1/6/2023",$D$164:$D$566,$I110)</f>
        <v/>
      </c>
      <c r="P110" s="432">
        <f>SUMIFS($E$164:$E$566,$A$164:$A$566,"&gt;31/5/2023",$A$164:$A$566,"&lt;1/7/2023",$D$164:$D$566,$I110)</f>
        <v/>
      </c>
      <c r="Q110" s="432">
        <f>SUMIFS($E$164:$E$566,$A$164:$A$566,"&gt;30/6/2023",$A$164:$A$566,"&lt;1/8/2023",$D$164:$D$566,$I110)</f>
        <v/>
      </c>
      <c r="R110" s="432">
        <f>SUMIFS($E$164:$E$566,$A$164:$A$566,"&gt;31/7/2023",$A$164:$A$566,"&lt;1/9/2023",$D$164:$D$566,$I110)</f>
        <v/>
      </c>
      <c r="S110" s="432">
        <f>SUMIFS($E$164:$E$566,$A$164:$A$566,"&gt;31/8/2023",$A$164:$A$566,"&lt;1/10/2023",$D$164:$D$566,$I110)</f>
        <v/>
      </c>
      <c r="T110" s="432">
        <f>SUMIFS($E$164:$E$566,$A$164:$A$566,"&gt;30/9/2023",$A$164:$A$566,"&lt;1/11/2023",$D$164:$D$566,$I110)</f>
        <v/>
      </c>
      <c r="U110" s="432">
        <f>SUMIFS($E$164:$E$566,$A$164:$A$566,"&gt;31/10/2023",$A$164:$A$566,"&lt;1/12/2023",$D$164:$D$566,$I110)</f>
        <v/>
      </c>
      <c r="V110" s="432">
        <f>SUMIFS($E$164:$E$566,$A$164:$A$566,"&gt;30/11/2023",$A$164:$A$566,"&lt;1/1/2024",$D$164:$D$566,$I110)</f>
        <v/>
      </c>
      <c r="W110" s="432">
        <f>SUM(K110:V110)</f>
        <v/>
      </c>
      <c r="X110" s="460">
        <f>L110/$L$117</f>
        <v/>
      </c>
      <c r="Y110" s="460">
        <f>W110/W117</f>
        <v/>
      </c>
    </row>
    <row r="111">
      <c r="I111" s="1255" t="inlineStr">
        <is>
          <t>Bank</t>
        </is>
      </c>
      <c r="K111" s="432">
        <f>SUMIFS($E$164:$E$566,$A$164:$A$566,"&gt;31/12/2022",$A$164:$A$566,"&lt;1/2/2023",$D$164:$D$566,$I111)</f>
        <v/>
      </c>
      <c r="L111" s="432">
        <f>SUMIFS($E$164:$E$566,$A$164:$A$566,"&gt;31/1/2023",$A$164:$A$566,"&lt;1/3/2023",$D$164:$D$566,$I111)</f>
        <v/>
      </c>
      <c r="M111" s="432">
        <f>SUMIFS($E$164:$E$566,$A$164:$A$566,"&gt;28/2/2023",$A$164:$A$566,"&lt;1/4/2023",$D$164:$D$566,$I111)</f>
        <v/>
      </c>
      <c r="N111" s="432">
        <f>SUMIFS($E$164:$E$566,$A$164:$A$566,"&gt;31/3/2023",$A$164:$A$566,"&lt;1/5/2023",$D$164:$D$566,$I111)</f>
        <v/>
      </c>
      <c r="O111" s="432">
        <f>SUMIFS($E$164:$E$566,$A$164:$A$566,"&gt;30/4/2023",$A$164:$A$566,"&lt;1/6/2023",$D$164:$D$566,$I111)</f>
        <v/>
      </c>
      <c r="P111" s="432">
        <f>SUMIFS($E$164:$E$566,$A$164:$A$566,"&gt;31/5/2023",$A$164:$A$566,"&lt;1/7/2023",$D$164:$D$566,$I111)</f>
        <v/>
      </c>
      <c r="Q111" s="432">
        <f>SUMIFS($E$164:$E$566,$A$164:$A$566,"&gt;30/6/2023",$A$164:$A$566,"&lt;1/8/2023",$D$164:$D$566,$I111)</f>
        <v/>
      </c>
      <c r="R111" s="432">
        <f>SUMIFS($E$164:$E$566,$A$164:$A$566,"&gt;31/7/2023",$A$164:$A$566,"&lt;1/9/2023",$D$164:$D$566,$I111)</f>
        <v/>
      </c>
      <c r="S111" s="432">
        <f>SUMIFS($E$164:$E$566,$A$164:$A$566,"&gt;31/8/2023",$A$164:$A$566,"&lt;1/10/2023",$D$164:$D$566,$I111)</f>
        <v/>
      </c>
      <c r="T111" s="432">
        <f>SUMIFS($E$164:$E$566,$A$164:$A$566,"&gt;30/9/2023",$A$164:$A$566,"&lt;1/11/2023",$D$164:$D$566,$I111)</f>
        <v/>
      </c>
      <c r="U111" s="432">
        <f>SUMIFS($E$164:$E$566,$A$164:$A$566,"&gt;31/10/2023",$A$164:$A$566,"&lt;1/12/2023",$D$164:$D$566,$I111)</f>
        <v/>
      </c>
      <c r="V111" s="432">
        <f>SUMIFS($E$164:$E$566,$A$164:$A$566,"&gt;30/11/2023",$A$164:$A$566,"&lt;1/1/2024",$D$164:$D$566,$I111)</f>
        <v/>
      </c>
      <c r="W111" s="432">
        <f>SUM(K111:V111)</f>
        <v/>
      </c>
      <c r="X111" s="460">
        <f>L111/$L$117</f>
        <v/>
      </c>
      <c r="Y111" s="460">
        <f>W111/W117</f>
        <v/>
      </c>
    </row>
    <row r="112">
      <c r="I112" s="1255" t="inlineStr">
        <is>
          <t>Groupon</t>
        </is>
      </c>
      <c r="K112" s="432">
        <f>SUMIFS($E$164:$E$566,$A$164:$A$566,"&gt;31/12/2022",$A$164:$A$566,"&lt;1/2/2023",$D$164:$D$566,$I112)</f>
        <v/>
      </c>
      <c r="L112" s="432">
        <f>SUMIFS($E$164:$E$566,$A$164:$A$566,"&gt;31/1/2023",$A$164:$A$566,"&lt;1/3/2023",$D$164:$D$566,$I112)</f>
        <v/>
      </c>
      <c r="M112" s="432">
        <f>SUMIFS($E$164:$E$566,$A$164:$A$566,"&gt;28/2/2023",$A$164:$A$566,"&lt;1/4/2023",$D$164:$D$566,$I112)</f>
        <v/>
      </c>
      <c r="N112" s="432">
        <f>SUMIFS($E$164:$E$566,$A$164:$A$566,"&gt;31/3/2023",$A$164:$A$566,"&lt;1/5/2023",$D$164:$D$566,$I112)</f>
        <v/>
      </c>
      <c r="O112" s="432">
        <f>SUMIFS($E$164:$E$566,$A$164:$A$566,"&gt;30/4/2023",$A$164:$A$566,"&lt;1/6/2023",$D$164:$D$566,$I112)</f>
        <v/>
      </c>
      <c r="P112" s="432">
        <f>SUMIFS($E$164:$E$566,$A$164:$A$566,"&gt;31/5/2023",$A$164:$A$566,"&lt;1/7/2023",$D$164:$D$566,$I112)</f>
        <v/>
      </c>
      <c r="Q112" s="432">
        <f>SUMIFS($E$164:$E$566,$A$164:$A$566,"&gt;30/6/2023",$A$164:$A$566,"&lt;1/8/2023",$D$164:$D$566,$I112)</f>
        <v/>
      </c>
      <c r="R112" s="432">
        <f>SUMIFS($E$164:$E$566,$A$164:$A$566,"&gt;31/7/2023",$A$164:$A$566,"&lt;1/9/2023",$D$164:$D$566,$I112)</f>
        <v/>
      </c>
      <c r="S112" s="432">
        <f>SUMIFS($E$164:$E$566,$A$164:$A$566,"&gt;31/8/2023",$A$164:$A$566,"&lt;1/10/2023",$D$164:$D$566,$I112)</f>
        <v/>
      </c>
      <c r="T112" s="432">
        <f>SUMIFS($E$164:$E$566,$A$164:$A$566,"&gt;30/9/2023",$A$164:$A$566,"&lt;1/11/2023",$D$164:$D$566,$I112)</f>
        <v/>
      </c>
      <c r="U112" s="432">
        <f>SUMIFS($E$164:$E$566,$A$164:$A$566,"&gt;31/10/2023",$A$164:$A$566,"&lt;1/12/2023",$D$164:$D$566,$I112)</f>
        <v/>
      </c>
      <c r="V112" s="432">
        <f>SUMIFS($E$164:$E$566,$A$164:$A$566,"&gt;30/11/2023",$A$164:$A$566,"&lt;1/1/2024",$D$164:$D$566,$I112)</f>
        <v/>
      </c>
      <c r="W112" s="432">
        <f>SUM(K112:V112)</f>
        <v/>
      </c>
      <c r="X112" s="460">
        <f>L112/$L$117</f>
        <v/>
      </c>
      <c r="Y112" s="460">
        <f>W112/W117</f>
        <v/>
      </c>
    </row>
    <row r="113">
      <c r="I113" s="1255" t="inlineStr">
        <is>
          <t>Cash</t>
        </is>
      </c>
      <c r="K113" s="432">
        <f>SUMIFS($E$164:$E$566,$A$164:$A$566,"&gt;31/12/2022",$A$164:$A$566,"&lt;1/2/2023",$D$164:$D$566,$I113)</f>
        <v/>
      </c>
      <c r="L113" s="432">
        <f>SUMIFS($E$164:$E$566,$A$164:$A$566,"&gt;31/1/2023",$A$164:$A$566,"&lt;1/3/2023",$D$164:$D$566,$I113)</f>
        <v/>
      </c>
      <c r="M113" s="432">
        <f>SUMIFS($E$164:$E$566,$A$164:$A$566,"&gt;28/2/2023",$A$164:$A$566,"&lt;1/4/2023",$D$164:$D$566,$I113)</f>
        <v/>
      </c>
      <c r="N113" s="432">
        <f>SUMIFS($E$164:$E$566,$A$164:$A$566,"&gt;31/3/2023",$A$164:$A$566,"&lt;1/5/2023",$D$164:$D$566,$I113)</f>
        <v/>
      </c>
      <c r="O113" s="432">
        <f>SUMIFS($E$164:$E$566,$A$164:$A$566,"&gt;30/4/2023",$A$164:$A$566,"&lt;1/6/2023",$D$164:$D$566,$I113)</f>
        <v/>
      </c>
      <c r="P113" s="432">
        <f>SUMIFS($E$164:$E$566,$A$164:$A$566,"&gt;31/5/2023",$A$164:$A$566,"&lt;1/7/2023",$D$164:$D$566,$I113)</f>
        <v/>
      </c>
      <c r="Q113" s="432">
        <f>SUMIFS($E$164:$E$566,$A$164:$A$566,"&gt;30/6/2023",$A$164:$A$566,"&lt;1/8/2023",$D$164:$D$566,$I113)</f>
        <v/>
      </c>
      <c r="R113" s="432">
        <f>SUMIFS($E$164:$E$566,$A$164:$A$566,"&gt;31/7/2023",$A$164:$A$566,"&lt;1/9/2023",$D$164:$D$566,$I113)</f>
        <v/>
      </c>
      <c r="S113" s="432">
        <f>SUMIFS($E$164:$E$566,$A$164:$A$566,"&gt;31/8/2023",$A$164:$A$566,"&lt;1/10/2023",$D$164:$D$566,$I113)</f>
        <v/>
      </c>
      <c r="T113" s="432">
        <f>SUMIFS($E$164:$E$566,$A$164:$A$566,"&gt;30/9/2023",$A$164:$A$566,"&lt;1/11/2023",$D$164:$D$566,$I113)</f>
        <v/>
      </c>
      <c r="U113" s="432">
        <f>SUMIFS($E$164:$E$566,$A$164:$A$566,"&gt;31/10/2023",$A$164:$A$566,"&lt;1/12/2023",$D$164:$D$566,$I113)</f>
        <v/>
      </c>
      <c r="V113" s="432">
        <f>SUMIFS($E$164:$E$566,$A$164:$A$566,"&gt;30/11/2023",$A$164:$A$566,"&lt;1/1/2024",$D$164:$D$566,$I113)</f>
        <v/>
      </c>
      <c r="W113" s="432">
        <f>SUM(K113:V113)</f>
        <v/>
      </c>
      <c r="X113" s="460">
        <f>L113/$L$117</f>
        <v/>
      </c>
      <c r="Y113" s="460">
        <f>W113/W117</f>
        <v/>
      </c>
    </row>
    <row r="114">
      <c r="I114" s="1260" t="inlineStr">
        <is>
          <t>Gift Voucher Out</t>
        </is>
      </c>
      <c r="K114" s="432">
        <f>SUMIFS($E$164:$E$566,$A$164:$A$566,"&gt;31/12/2022",$A$164:$A$566,"&lt;1/2/2023",$D$164:$D$566,$I114)</f>
        <v/>
      </c>
      <c r="L114" s="432">
        <f>SUMIFS($E$164:$E$566,$A$164:$A$566,"&gt;31/1/2023",$A$164:$A$566,"&lt;1/3/2023",$D$164:$D$566,$I114)</f>
        <v/>
      </c>
      <c r="M114" s="432">
        <f>SUMIFS($E$164:$E$566,$A$164:$A$566,"&gt;28/2/2023",$A$164:$A$566,"&lt;1/4/2023",$D$164:$D$566,$I114)</f>
        <v/>
      </c>
      <c r="N114" s="432">
        <f>SUMIFS($E$164:$E$566,$A$164:$A$566,"&gt;31/3/2023",$A$164:$A$566,"&lt;1/5/2023",$D$164:$D$566,$I114)</f>
        <v/>
      </c>
      <c r="O114" s="432">
        <f>SUMIFS($E$164:$E$566,$A$164:$A$566,"&gt;30/4/2023",$A$164:$A$566,"&lt;1/6/2023",$D$164:$D$566,$I114)</f>
        <v/>
      </c>
      <c r="P114" s="432">
        <f>SUMIFS($E$164:$E$566,$A$164:$A$566,"&gt;31/5/2023",$A$164:$A$566,"&lt;1/7/2023",$D$164:$D$566,$I114)</f>
        <v/>
      </c>
      <c r="Q114" s="432">
        <f>SUMIFS($E$164:$E$566,$A$164:$A$566,"&gt;30/6/2023",$A$164:$A$566,"&lt;1/8/2023",$D$164:$D$566,$I114)</f>
        <v/>
      </c>
      <c r="R114" s="432">
        <f>SUMIFS($E$164:$E$566,$A$164:$A$566,"&gt;31/7/2023",$A$164:$A$566,"&lt;1/9/2023",$D$164:$D$566,$I114)</f>
        <v/>
      </c>
      <c r="S114" s="432">
        <f>SUMIFS($E$164:$E$566,$A$164:$A$566,"&gt;31/8/2023",$A$164:$A$566,"&lt;1/10/2023",$D$164:$D$566,$I114)</f>
        <v/>
      </c>
      <c r="T114" s="432">
        <f>SUMIFS($E$164:$E$566,$A$164:$A$566,"&gt;30/9/2023",$A$164:$A$566,"&lt;1/11/2023",$D$164:$D$566,$I114)</f>
        <v/>
      </c>
      <c r="U114" s="432">
        <f>SUMIFS($E$164:$E$566,$A$164:$A$566,"&gt;31/10/2023",$A$164:$A$566,"&lt;1/12/2023",$D$164:$D$566,$I114)</f>
        <v/>
      </c>
      <c r="V114" s="432">
        <f>SUMIFS($E$164:$E$566,$A$164:$A$566,"&gt;30/11/2023",$A$164:$A$566,"&lt;1/1/2024",$D$164:$D$566,$I114)</f>
        <v/>
      </c>
      <c r="W114" s="432">
        <f>SUM(K114:V114)</f>
        <v/>
      </c>
      <c r="X114" s="460" t="n"/>
      <c r="Y114" s="460" t="n"/>
    </row>
    <row r="115">
      <c r="I115" s="1260" t="inlineStr">
        <is>
          <t>PicknMix</t>
        </is>
      </c>
      <c r="K115" s="432">
        <f>SUMIFS($E$164:$E$566,$A$164:$A$566,"&gt;31/12/2022",$A$164:$A$566,"&lt;1/2/2023",$D$164:$D$566,$I115)</f>
        <v/>
      </c>
      <c r="L115" s="432">
        <f>SUMIFS($E$164:$E$566,$A$164:$A$566,"&gt;31/1/2023",$A$164:$A$566,"&lt;1/3/2023",$D$164:$D$566,$I115)</f>
        <v/>
      </c>
      <c r="M115" s="432">
        <f>SUMIFS($E$164:$E$566,$A$164:$A$566,"&gt;28/2/2023",$A$164:$A$566,"&lt;1/4/2023",$D$164:$D$566,$I115)</f>
        <v/>
      </c>
      <c r="N115" s="432">
        <f>SUMIFS($E$164:$E$566,$A$164:$A$566,"&gt;31/3/2023",$A$164:$A$566,"&lt;1/5/2023",$D$164:$D$566,$I115)</f>
        <v/>
      </c>
      <c r="O115" s="432">
        <f>SUMIFS($E$164:$E$566,$A$164:$A$566,"&gt;30/4/2023",$A$164:$A$566,"&lt;1/6/2023",$D$164:$D$566,$I115)</f>
        <v/>
      </c>
      <c r="P115" s="432">
        <f>SUMIFS($E$164:$E$566,$A$164:$A$566,"&gt;31/5/2023",$A$164:$A$566,"&lt;1/7/2023",$D$164:$D$566,$I115)</f>
        <v/>
      </c>
      <c r="Q115" s="432">
        <f>SUMIFS($E$164:$E$566,$A$164:$A$566,"&gt;30/6/2023",$A$164:$A$566,"&lt;1/8/2023",$D$164:$D$566,$I115)</f>
        <v/>
      </c>
      <c r="R115" s="432">
        <f>SUMIFS($E$164:$E$566,$A$164:$A$566,"&gt;31/7/2023",$A$164:$A$566,"&lt;1/9/2023",$D$164:$D$566,$I115)</f>
        <v/>
      </c>
      <c r="S115" s="432">
        <f>SUMIFS($E$164:$E$566,$A$164:$A$566,"&gt;31/8/2023",$A$164:$A$566,"&lt;1/10/2023",$D$164:$D$566,$I115)</f>
        <v/>
      </c>
      <c r="T115" s="432">
        <f>SUMIFS($E$164:$E$566,$A$164:$A$566,"&gt;30/9/2023",$A$164:$A$566,"&lt;1/11/2023",$D$164:$D$566,$I115)</f>
        <v/>
      </c>
      <c r="U115" s="432">
        <f>SUMIFS($E$164:$E$566,$A$164:$A$566,"&gt;31/10/2023",$A$164:$A$566,"&lt;1/12/2023",$D$164:$D$566,$I115)</f>
        <v/>
      </c>
      <c r="V115" s="432">
        <f>SUMIFS($E$164:$E$566,$A$164:$A$566,"&gt;30/11/2023",$A$164:$A$566,"&lt;1/1/2024",$D$164:$D$566,$I115)</f>
        <v/>
      </c>
      <c r="W115" s="432">
        <f>SUM(K115:V115)</f>
        <v/>
      </c>
      <c r="X115" s="460">
        <f>L115/$L$117</f>
        <v/>
      </c>
      <c r="Y115" s="460">
        <f>W115/W117</f>
        <v/>
      </c>
    </row>
    <row r="116">
      <c r="I116" s="1260" t="inlineStr">
        <is>
          <t>W-Pay</t>
        </is>
      </c>
      <c r="K116" s="432">
        <f>SUMIFS($E$164:$E$566,$A$164:$A$566,"&gt;31/12/2022",$A$164:$A$566,"&lt;1/2/2023",$D$164:$D$566,$I116)</f>
        <v/>
      </c>
      <c r="L116" s="432">
        <f>SUMIFS($E$164:$E$566,$A$164:$A$566,"&gt;31/1/2023",$A$164:$A$566,"&lt;1/3/2023",$D$164:$D$566,$I116)</f>
        <v/>
      </c>
      <c r="M116" s="432">
        <f>SUMIFS($E$164:$E$566,$A$164:$A$566,"&gt;28/2/2023",$A$164:$A$566,"&lt;1/4/2023",$D$164:$D$566,$I116)</f>
        <v/>
      </c>
      <c r="N116" s="432">
        <f>SUMIFS($E$164:$E$566,$A$164:$A$566,"&gt;31/3/2023",$A$164:$A$566,"&lt;1/5/2023",$D$164:$D$566,$I116)</f>
        <v/>
      </c>
      <c r="O116" s="432">
        <f>SUMIFS($E$164:$E$566,$A$164:$A$566,"&gt;30/4/2023",$A$164:$A$566,"&lt;1/6/2023",$D$164:$D$566,$I116)</f>
        <v/>
      </c>
      <c r="P116" s="432">
        <f>SUMIFS($E$164:$E$566,$A$164:$A$566,"&gt;31/5/2023",$A$164:$A$566,"&lt;1/7/2023",$D$164:$D$566,$I116)</f>
        <v/>
      </c>
      <c r="Q116" s="432">
        <f>SUMIFS($E$164:$E$566,$A$164:$A$566,"&gt;30/6/2023",$A$164:$A$566,"&lt;1/8/2023",$D$164:$D$566,$I116)</f>
        <v/>
      </c>
      <c r="R116" s="432">
        <f>SUMIFS($E$164:$E$566,$A$164:$A$566,"&gt;31/7/2023",$A$164:$A$566,"&lt;1/9/2023",$D$164:$D$566,$I116)</f>
        <v/>
      </c>
      <c r="S116" s="432">
        <f>SUMIFS($E$164:$E$566,$A$164:$A$566,"&gt;31/8/2023",$A$164:$A$566,"&lt;1/10/2023",$D$164:$D$566,$I116)</f>
        <v/>
      </c>
      <c r="T116" s="432">
        <f>SUMIFS($E$164:$E$566,$A$164:$A$566,"&gt;30/9/2023",$A$164:$A$566,"&lt;1/11/2023",$D$164:$D$566,$I116)</f>
        <v/>
      </c>
      <c r="U116" s="432">
        <f>SUMIFS($E$164:$E$566,$A$164:$A$566,"&gt;31/10/2023",$A$164:$A$566,"&lt;1/12/2023",$D$164:$D$566,$I116)</f>
        <v/>
      </c>
      <c r="V116" s="432">
        <f>SUMIFS($E$164:$E$566,$A$164:$A$566,"&gt;30/11/2023",$A$164:$A$566,"&lt;1/1/2024",$D$164:$D$566,$I116)</f>
        <v/>
      </c>
      <c r="W116" s="432">
        <f>SUM(K116:V116)</f>
        <v/>
      </c>
      <c r="X116" s="460">
        <f>L116/$L$117</f>
        <v/>
      </c>
      <c r="Y116" s="460">
        <f>W116/W117</f>
        <v/>
      </c>
    </row>
    <row r="117" ht="13.5" customHeight="1" s="1232" thickBot="1">
      <c r="I117" s="914" t="n"/>
      <c r="K117" s="801">
        <f>SUM(K108:K116)</f>
        <v/>
      </c>
      <c r="L117" s="801">
        <f>SUM(L108:L116)</f>
        <v/>
      </c>
      <c r="M117" s="801">
        <f>SUM(M108:M116)</f>
        <v/>
      </c>
      <c r="N117" s="801">
        <f>SUM(N108:N116)</f>
        <v/>
      </c>
      <c r="O117" s="801">
        <f>SUM(O108:O116)</f>
        <v/>
      </c>
      <c r="P117" s="801">
        <f>SUM(P108:P116)</f>
        <v/>
      </c>
      <c r="Q117" s="801">
        <f>SUM(Q108:Q116)</f>
        <v/>
      </c>
      <c r="R117" s="801">
        <f>SUM(R108:R116)</f>
        <v/>
      </c>
      <c r="S117" s="801">
        <f>SUM(S108:S116)</f>
        <v/>
      </c>
      <c r="T117" s="801">
        <f>SUM(T108:T116)</f>
        <v/>
      </c>
      <c r="U117" s="801">
        <f>SUM(U108:U116)</f>
        <v/>
      </c>
      <c r="V117" s="801">
        <f>SUM(V108:V116)</f>
        <v/>
      </c>
      <c r="W117" s="801">
        <f>SUM(W108:W116)</f>
        <v/>
      </c>
      <c r="X117" s="914" t="n"/>
      <c r="Y117" s="466" t="n"/>
    </row>
    <row r="118" ht="13.15" customHeight="1" s="1232" thickTop="1">
      <c r="I118" s="914" t="n"/>
      <c r="K118" s="434">
        <f>K117-K18</f>
        <v/>
      </c>
      <c r="L118" s="434">
        <f>L117-L18</f>
        <v/>
      </c>
      <c r="M118" s="434">
        <f>M117-M18</f>
        <v/>
      </c>
      <c r="N118" s="434">
        <f>N117-N18</f>
        <v/>
      </c>
      <c r="O118" s="434">
        <f>O117-O18</f>
        <v/>
      </c>
      <c r="P118" s="434">
        <f>P117-P18</f>
        <v/>
      </c>
      <c r="Q118" s="434">
        <f>Q117-Q18</f>
        <v/>
      </c>
      <c r="R118" s="434">
        <f>R117-R18</f>
        <v/>
      </c>
      <c r="S118" s="434">
        <f>S117-S18</f>
        <v/>
      </c>
      <c r="T118" s="434">
        <f>T117-T18</f>
        <v/>
      </c>
      <c r="U118" s="434">
        <f>U117-U18</f>
        <v/>
      </c>
      <c r="V118" s="434">
        <f>V117-V18</f>
        <v/>
      </c>
      <c r="W118" s="434">
        <f>W117-W18</f>
        <v/>
      </c>
      <c r="X118" s="914" t="n"/>
    </row>
    <row r="119" ht="13.15" customHeight="1" s="1232">
      <c r="I119" s="556" t="inlineStr">
        <is>
          <t>Payment Fees</t>
        </is>
      </c>
      <c r="K119" s="1332" t="inlineStr">
        <is>
          <t>Jan</t>
        </is>
      </c>
      <c r="L119" s="1332" t="inlineStr">
        <is>
          <t>Feb</t>
        </is>
      </c>
      <c r="M119" s="1332" t="inlineStr">
        <is>
          <t>Mar</t>
        </is>
      </c>
      <c r="N119" s="1332" t="inlineStr">
        <is>
          <t>Apr</t>
        </is>
      </c>
      <c r="O119" s="1332" t="inlineStr">
        <is>
          <t>May</t>
        </is>
      </c>
      <c r="P119" s="1332" t="inlineStr">
        <is>
          <t>Jun</t>
        </is>
      </c>
      <c r="Q119" s="1332" t="inlineStr">
        <is>
          <t>Jul</t>
        </is>
      </c>
      <c r="R119" s="1332" t="inlineStr">
        <is>
          <t>Aug</t>
        </is>
      </c>
      <c r="S119" s="1332" t="inlineStr">
        <is>
          <t>Sep</t>
        </is>
      </c>
      <c r="T119" s="1332" t="inlineStr">
        <is>
          <t>Oct</t>
        </is>
      </c>
      <c r="U119" s="1332" t="inlineStr">
        <is>
          <t>Nov</t>
        </is>
      </c>
      <c r="V119" s="1332" t="inlineStr">
        <is>
          <t>Dec</t>
        </is>
      </c>
      <c r="W119" s="1332" t="inlineStr">
        <is>
          <t>Year</t>
        </is>
      </c>
      <c r="X119" s="914" t="n"/>
    </row>
    <row r="120" ht="13.15" customHeight="1" s="1232">
      <c r="I120" s="791" t="inlineStr">
        <is>
          <t>Stripe 1.8%</t>
        </is>
      </c>
      <c r="K120" s="1261">
        <f>K108*1.8%</f>
        <v/>
      </c>
      <c r="L120" s="1261">
        <f>L108*1.8%</f>
        <v/>
      </c>
      <c r="M120" s="1261">
        <f>M108*1.8%</f>
        <v/>
      </c>
      <c r="N120" s="1261">
        <f>N108*1.8%</f>
        <v/>
      </c>
      <c r="O120" s="1261">
        <f>O108*1.8%</f>
        <v/>
      </c>
      <c r="P120" s="1261">
        <f>P108*1.8%</f>
        <v/>
      </c>
      <c r="Q120" s="1261">
        <f>Q108*1.8%</f>
        <v/>
      </c>
      <c r="R120" s="1261">
        <f>R108*1.8%</f>
        <v/>
      </c>
      <c r="S120" s="1261">
        <f>S108*1.8%</f>
        <v/>
      </c>
      <c r="T120" s="1261">
        <f>T108*1.8%</f>
        <v/>
      </c>
      <c r="U120" s="1261">
        <f>U108*1.8%</f>
        <v/>
      </c>
      <c r="V120" s="1261">
        <f>V108*1.8%</f>
        <v/>
      </c>
      <c r="W120" s="432">
        <f>SUM(K120:V120)</f>
        <v/>
      </c>
      <c r="X120" s="914" t="n"/>
      <c r="Y120" s="466" t="n"/>
    </row>
    <row r="121" ht="13.15" customHeight="1" s="1232">
      <c r="I121" s="791" t="inlineStr">
        <is>
          <t>Paypal 2.90% + £0.30</t>
        </is>
      </c>
      <c r="K121" s="1261">
        <f>K109*3.5%</f>
        <v/>
      </c>
      <c r="L121" s="1261">
        <f>L109*3.5%</f>
        <v/>
      </c>
      <c r="M121" s="1261">
        <f>M109*3.5%</f>
        <v/>
      </c>
      <c r="N121" s="1261">
        <f>N109*3.5%</f>
        <v/>
      </c>
      <c r="O121" s="1261">
        <f>O109*3.5%</f>
        <v/>
      </c>
      <c r="P121" s="1261">
        <f>P109*3.5%</f>
        <v/>
      </c>
      <c r="Q121" s="1261">
        <f>Q109*3.5%</f>
        <v/>
      </c>
      <c r="R121" s="1261">
        <f>R109*3.5%</f>
        <v/>
      </c>
      <c r="S121" s="1261">
        <f>S109*3.5%</f>
        <v/>
      </c>
      <c r="T121" s="1261">
        <f>T109*3.5%</f>
        <v/>
      </c>
      <c r="U121" s="1261">
        <f>U109*3.5%</f>
        <v/>
      </c>
      <c r="V121" s="1261">
        <f>V109*3.5%</f>
        <v/>
      </c>
      <c r="W121" s="432">
        <f>SUM(K121:V121)</f>
        <v/>
      </c>
      <c r="X121" s="914" t="n"/>
      <c r="Y121" s="466" t="n"/>
    </row>
    <row r="122" ht="13.15" customHeight="1" s="1232">
      <c r="I122" s="791" t="inlineStr">
        <is>
          <t>W-Pay</t>
        </is>
      </c>
      <c r="K122" s="1261">
        <f>K116*3.5%</f>
        <v/>
      </c>
      <c r="L122" s="1261">
        <f>L116*3.5%</f>
        <v/>
      </c>
      <c r="M122" s="1261">
        <f>M116*3.5%</f>
        <v/>
      </c>
      <c r="N122" s="1261">
        <f>N116*3.5%</f>
        <v/>
      </c>
      <c r="O122" s="1261">
        <f>O116*3.5%</f>
        <v/>
      </c>
      <c r="P122" s="1261">
        <f>P116*3.5%</f>
        <v/>
      </c>
      <c r="Q122" s="1261">
        <f>Q116*3.5%</f>
        <v/>
      </c>
      <c r="R122" s="1261">
        <f>R116*3.5%</f>
        <v/>
      </c>
      <c r="S122" s="1261">
        <f>S116*3.5%</f>
        <v/>
      </c>
      <c r="T122" s="1261">
        <f>T116*3.5%</f>
        <v/>
      </c>
      <c r="U122" s="1261">
        <f>U116*3.5%</f>
        <v/>
      </c>
      <c r="V122" s="1261">
        <f>V116*3.5%</f>
        <v/>
      </c>
      <c r="W122" s="586">
        <f>SUM(K122:V122)</f>
        <v/>
      </c>
      <c r="X122" s="914" t="n"/>
      <c r="Y122" s="466" t="n"/>
    </row>
    <row r="123" ht="13.5" customHeight="1" s="1232" thickBot="1">
      <c r="I123" s="822" t="inlineStr">
        <is>
          <t>Total Fees</t>
        </is>
      </c>
      <c r="J123" s="1343" t="n"/>
      <c r="K123" s="822">
        <f>SUM(K119:K122)</f>
        <v/>
      </c>
      <c r="L123" s="822">
        <f>SUM(L119:L122)</f>
        <v/>
      </c>
      <c r="M123" s="822">
        <f>SUM(M119:M122)</f>
        <v/>
      </c>
      <c r="N123" s="822">
        <f>SUM(N119:N122)</f>
        <v/>
      </c>
      <c r="O123" s="822">
        <f>SUM(O119:O122)</f>
        <v/>
      </c>
      <c r="P123" s="822">
        <f>SUM(P119:P122)</f>
        <v/>
      </c>
      <c r="Q123" s="822">
        <f>SUM(Q119:Q122)</f>
        <v/>
      </c>
      <c r="R123" s="822">
        <f>SUM(R119:R122)</f>
        <v/>
      </c>
      <c r="S123" s="822">
        <f>SUM(S119:S122)</f>
        <v/>
      </c>
      <c r="T123" s="822">
        <f>SUM(T119:T122)</f>
        <v/>
      </c>
      <c r="U123" s="822">
        <f>SUM(U119:U122)</f>
        <v/>
      </c>
      <c r="V123" s="822">
        <f>SUM(V119:V122)</f>
        <v/>
      </c>
      <c r="W123" s="824">
        <f>SUM(K123:V123)</f>
        <v/>
      </c>
      <c r="X123" s="914" t="n"/>
      <c r="Y123" s="466" t="n"/>
    </row>
    <row r="124" ht="13.15" customHeight="1" s="1232">
      <c r="I124" s="914" t="n"/>
      <c r="K124" s="914" t="n"/>
      <c r="L124" s="914" t="n"/>
      <c r="M124" s="914" t="n"/>
      <c r="N124" s="914" t="n"/>
      <c r="O124" s="914" t="n"/>
      <c r="P124" s="914" t="n"/>
      <c r="Q124" s="914" t="n"/>
      <c r="R124" s="914" t="n"/>
      <c r="S124" s="914" t="n"/>
      <c r="T124" s="914" t="n"/>
      <c r="U124" s="914" t="n"/>
      <c r="V124" s="914" t="n"/>
      <c r="W124" s="461">
        <f>SUM(K124:V124)</f>
        <v/>
      </c>
      <c r="X124" s="914" t="n"/>
      <c r="Y124" s="466" t="n"/>
    </row>
    <row r="125" ht="13.5" customHeight="1" s="1232" thickBot="1">
      <c r="I125" s="561" t="inlineStr">
        <is>
          <t>Net Payment</t>
        </is>
      </c>
      <c r="K125" s="801">
        <f>K117-K123</f>
        <v/>
      </c>
      <c r="L125" s="801">
        <f>L117-L123</f>
        <v/>
      </c>
      <c r="M125" s="801">
        <f>M117-M123</f>
        <v/>
      </c>
      <c r="N125" s="801">
        <f>N117-N123</f>
        <v/>
      </c>
      <c r="O125" s="801">
        <f>O117-O123</f>
        <v/>
      </c>
      <c r="P125" s="801">
        <f>P117-P123</f>
        <v/>
      </c>
      <c r="Q125" s="801">
        <f>Q117-Q123</f>
        <v/>
      </c>
      <c r="R125" s="801">
        <f>R117-R123</f>
        <v/>
      </c>
      <c r="S125" s="801">
        <f>S117-S123</f>
        <v/>
      </c>
      <c r="T125" s="801">
        <f>T117-T123</f>
        <v/>
      </c>
      <c r="U125" s="801">
        <f>U117-U123</f>
        <v/>
      </c>
      <c r="V125" s="801">
        <f>V117-V123</f>
        <v/>
      </c>
      <c r="W125" s="802">
        <f>SUM(K125:V125)</f>
        <v/>
      </c>
      <c r="X125" s="914" t="n"/>
      <c r="Y125" s="466" t="n"/>
    </row>
    <row r="126" ht="13.15" customHeight="1" s="1232" thickTop="1">
      <c r="I126" s="914" t="n"/>
      <c r="K126" s="914" t="n"/>
      <c r="L126" s="914" t="n"/>
      <c r="M126" s="914" t="n"/>
      <c r="N126" s="914" t="n"/>
      <c r="O126" s="914" t="n"/>
      <c r="P126" s="914" t="n"/>
      <c r="Q126" s="914" t="n"/>
      <c r="R126" s="914" t="n"/>
      <c r="S126" s="914" t="n"/>
      <c r="T126" s="914" t="n"/>
      <c r="U126" s="914" t="n"/>
      <c r="V126" s="914" t="n"/>
      <c r="W126" s="914" t="n"/>
      <c r="X126" s="914" t="n"/>
    </row>
    <row r="127">
      <c r="K127" s="914" t="n"/>
      <c r="L127" s="914" t="n"/>
      <c r="M127" s="914" t="n"/>
      <c r="N127" s="914" t="n"/>
      <c r="O127" s="914" t="n"/>
      <c r="P127" s="914" t="n"/>
      <c r="Q127" s="914" t="n"/>
      <c r="R127" s="914" t="n"/>
      <c r="S127" s="914" t="n"/>
      <c r="T127" s="914" t="n"/>
      <c r="U127" s="914" t="n"/>
      <c r="V127" s="914" t="n"/>
      <c r="W127" s="914" t="n"/>
      <c r="X127" s="914" t="n"/>
    </row>
    <row r="128" ht="13.15" customHeight="1" s="1232">
      <c r="I128" s="556" t="inlineStr">
        <is>
          <t>Booking source</t>
        </is>
      </c>
      <c r="K128" s="1332" t="inlineStr">
        <is>
          <t>Jan</t>
        </is>
      </c>
      <c r="L128" s="1332" t="inlineStr">
        <is>
          <t>Feb</t>
        </is>
      </c>
      <c r="M128" s="1332" t="inlineStr">
        <is>
          <t>Mar</t>
        </is>
      </c>
      <c r="N128" s="1332" t="inlineStr">
        <is>
          <t>Apr</t>
        </is>
      </c>
      <c r="O128" s="1332" t="inlineStr">
        <is>
          <t>May</t>
        </is>
      </c>
      <c r="P128" s="1332" t="inlineStr">
        <is>
          <t>Jun</t>
        </is>
      </c>
      <c r="Q128" s="1332" t="inlineStr">
        <is>
          <t>Jul</t>
        </is>
      </c>
      <c r="R128" s="1332" t="inlineStr">
        <is>
          <t>Aug</t>
        </is>
      </c>
      <c r="S128" s="1332" t="inlineStr">
        <is>
          <t>Sep</t>
        </is>
      </c>
      <c r="T128" s="1332" t="inlineStr">
        <is>
          <t>Oct</t>
        </is>
      </c>
      <c r="U128" s="1332" t="inlineStr">
        <is>
          <t>Nov</t>
        </is>
      </c>
      <c r="V128" s="1332" t="inlineStr">
        <is>
          <t>Dec</t>
        </is>
      </c>
      <c r="W128" s="1332" t="inlineStr">
        <is>
          <t>Year</t>
        </is>
      </c>
      <c r="X128" s="1278" t="inlineStr">
        <is>
          <t>Split</t>
        </is>
      </c>
    </row>
    <row r="129">
      <c r="I129" s="1255" t="inlineStr">
        <is>
          <t>Google</t>
        </is>
      </c>
      <c r="K129" s="432">
        <f>SUMIFS($E$164:$E$566,$A$164:$A$566,"&gt;31/12/2022",$A$164:$A$566,"&lt;1/2/2023",$G$164:$G$566,$I129)</f>
        <v/>
      </c>
      <c r="L129" s="432">
        <f>SUMIFS($E$164:$E$566,$A$164:$A$566,"&gt;31/1/2023",$A$164:$A$566,"&lt;1/3/2023",$G$164:$G$566,$I129)</f>
        <v/>
      </c>
      <c r="M129" s="432">
        <f>SUMIFS($E$164:$E$566,$A$164:$A$566,"&gt;28/2/2023",$A$164:$A$566,"&lt;1/4/2023",$G$164:$G$566,$I129)</f>
        <v/>
      </c>
      <c r="N129" s="432">
        <f>SUMIFS($E$164:$E$566,$A$164:$A$566,"&gt;31/3/2023",$A$164:$A$566,"&lt;1/5/2023",$G$164:$G$566,$I129)</f>
        <v/>
      </c>
      <c r="O129" s="432">
        <f>SUMIFS($E$164:$E$566,$A$164:$A$566,"&gt;30/4/2023",$A$164:$A$566,"&lt;1/6/2023",$G$164:$G$566,$I129)</f>
        <v/>
      </c>
      <c r="P129" s="432">
        <f>SUMIFS($E$164:$E$566,$A$164:$A$566,"&gt;31/5/2023",$A$164:$A$566,"&lt;1/7/2023",$G$164:$G$566,$I129)</f>
        <v/>
      </c>
      <c r="Q129" s="432">
        <f>SUMIFS($E$164:$E$566,$A$164:$A$566,"&gt;30/6/2023",$A$164:$A$566,"&lt;1/8/2023",$G$164:$G$566,$I129)</f>
        <v/>
      </c>
      <c r="R129" s="432">
        <f>SUMIFS($E$164:$E$566,$A$164:$A$566,"&gt;31/7/2023",$A$164:$A$566,"&lt;1/9/2023",$G$164:$G$566,$I129)</f>
        <v/>
      </c>
      <c r="S129" s="432">
        <f>SUMIFS($E$164:$E$566,$A$164:$A$566,"&gt;31/8/2023",$A$164:$A$566,"&lt;1/10/2023",$G$164:$G$566,$I129)</f>
        <v/>
      </c>
      <c r="T129" s="432">
        <f>SUMIFS($E$164:$E$566,$A$164:$A$566,"&gt;30/9/2023",$A$164:$A$566,"&lt;1/11/2023",$G$164:$G$566,$I129)</f>
        <v/>
      </c>
      <c r="U129" s="432">
        <f>SUMIFS($E$164:$E$566,$A$164:$A$566,"&gt;31/10/2023",$A$164:$A$566,"&lt;1/12/2023",$G$164:$G$566,$I129)</f>
        <v/>
      </c>
      <c r="V129" s="432">
        <f>SUMIFS($E$164:$E$566,$A$164:$A$566,"&gt;30/11/2023",$A$164:$A$566,"&lt;1/1/2024",$G$164:$G$566,$I129)</f>
        <v/>
      </c>
      <c r="W129" s="432">
        <f>SUM(K129:V129)</f>
        <v/>
      </c>
      <c r="X129" s="460">
        <f>IFERROR(W129/$W$139,0)</f>
        <v/>
      </c>
    </row>
    <row r="130">
      <c r="I130" s="1255" t="inlineStr">
        <is>
          <t>Existing</t>
        </is>
      </c>
      <c r="K130" s="432">
        <f>SUMIFS($E$164:$E$566,$A$164:$A$566,"&gt;31/12/2022",$A$164:$A$566,"&lt;1/2/2023",$G$164:$G$566,$I130)</f>
        <v/>
      </c>
      <c r="L130" s="432">
        <f>SUMIFS($E$164:$E$566,$A$164:$A$566,"&gt;31/1/2023",$A$164:$A$566,"&lt;1/3/2023",$G$164:$G$566,$I130)</f>
        <v/>
      </c>
      <c r="M130" s="432">
        <f>SUMIFS($E$164:$E$566,$A$164:$A$566,"&gt;28/2/2023",$A$164:$A$566,"&lt;1/4/2023",$G$164:$G$566,$I130)</f>
        <v/>
      </c>
      <c r="N130" s="432">
        <f>SUMIFS($E$164:$E$566,$A$164:$A$566,"&gt;31/3/2023",$A$164:$A$566,"&lt;1/5/2023",$G$164:$G$566,$I130)</f>
        <v/>
      </c>
      <c r="O130" s="432">
        <f>SUMIFS($E$164:$E$566,$A$164:$A$566,"&gt;30/4/2023",$A$164:$A$566,"&lt;1/6/2023",$G$164:$G$566,$I130)</f>
        <v/>
      </c>
      <c r="P130" s="432">
        <f>SUMIFS($E$164:$E$566,$A$164:$A$566,"&gt;31/5/2023",$A$164:$A$566,"&lt;1/7/2023",$G$164:$G$566,$I130)</f>
        <v/>
      </c>
      <c r="Q130" s="432">
        <f>SUMIFS($E$164:$E$566,$A$164:$A$566,"&gt;30/6/2023",$A$164:$A$566,"&lt;1/8/2023",$G$164:$G$566,$I130)</f>
        <v/>
      </c>
      <c r="R130" s="432">
        <f>SUMIFS($E$164:$E$566,$A$164:$A$566,"&gt;31/7/2023",$A$164:$A$566,"&lt;1/9/2023",$G$164:$G$566,$I130)</f>
        <v/>
      </c>
      <c r="S130" s="432">
        <f>SUMIFS($E$164:$E$566,$A$164:$A$566,"&gt;31/8/2023",$A$164:$A$566,"&lt;1/10/2023",$G$164:$G$566,$I130)</f>
        <v/>
      </c>
      <c r="T130" s="432">
        <f>SUMIFS($E$164:$E$566,$A$164:$A$566,"&gt;30/9/2023",$A$164:$A$566,"&lt;1/11/2023",$G$164:$G$566,$I130)</f>
        <v/>
      </c>
      <c r="U130" s="432">
        <f>SUMIFS($E$164:$E$566,$A$164:$A$566,"&gt;31/10/2023",$A$164:$A$566,"&lt;1/12/2023",$G$164:$G$566,$I130)</f>
        <v/>
      </c>
      <c r="V130" s="432">
        <f>SUMIFS($E$164:$E$566,$A$164:$A$566,"&gt;30/11/2023",$A$164:$A$566,"&lt;1/1/2024",$G$164:$G$566,$I130)</f>
        <v/>
      </c>
      <c r="W130" s="432">
        <f>SUM(K130:V130)</f>
        <v/>
      </c>
      <c r="X130" s="460">
        <f>IFERROR(W130/$W$139,0)</f>
        <v/>
      </c>
    </row>
    <row r="131">
      <c r="I131" s="1255" t="inlineStr">
        <is>
          <t>ELS</t>
        </is>
      </c>
      <c r="K131" s="432">
        <f>SUMIFS($E$164:$E$566,$A$164:$A$566,"&gt;31/12/2022",$A$164:$A$566,"&lt;1/2/2023",$G$164:$G$566,$I131)</f>
        <v/>
      </c>
      <c r="L131" s="432">
        <f>SUMIFS($E$164:$E$566,$A$164:$A$566,"&gt;31/1/2023",$A$164:$A$566,"&lt;1/3/2023",$G$164:$G$566,$I131)</f>
        <v/>
      </c>
      <c r="M131" s="432">
        <f>SUMIFS($E$164:$E$566,$A$164:$A$566,"&gt;28/2/2023",$A$164:$A$566,"&lt;1/4/2023",$G$164:$G$566,$I131)</f>
        <v/>
      </c>
      <c r="N131" s="432">
        <f>SUMIFS($E$164:$E$566,$A$164:$A$566,"&gt;31/3/2023",$A$164:$A$566,"&lt;1/5/2023",$G$164:$G$566,$I131)</f>
        <v/>
      </c>
      <c r="O131" s="432">
        <f>SUMIFS($E$164:$E$566,$A$164:$A$566,"&gt;30/4/2023",$A$164:$A$566,"&lt;1/6/2023",$G$164:$G$566,$I131)</f>
        <v/>
      </c>
      <c r="P131" s="432">
        <f>SUMIFS($E$164:$E$566,$A$164:$A$566,"&gt;31/5/2023",$A$164:$A$566,"&lt;1/7/2023",$G$164:$G$566,$I131)</f>
        <v/>
      </c>
      <c r="Q131" s="432">
        <f>SUMIFS($E$164:$E$566,$A$164:$A$566,"&gt;30/6/2023",$A$164:$A$566,"&lt;1/8/2023",$G$164:$G$566,$I131)</f>
        <v/>
      </c>
      <c r="R131" s="432">
        <f>SUMIFS($E$164:$E$566,$A$164:$A$566,"&gt;31/7/2023",$A$164:$A$566,"&lt;1/9/2023",$G$164:$G$566,$I131)</f>
        <v/>
      </c>
      <c r="S131" s="432">
        <f>SUMIFS($E$164:$E$566,$A$164:$A$566,"&gt;31/8/2023",$A$164:$A$566,"&lt;1/10/2023",$G$164:$G$566,$I131)</f>
        <v/>
      </c>
      <c r="T131" s="432">
        <f>SUMIFS($E$164:$E$566,$A$164:$A$566,"&gt;30/9/2023",$A$164:$A$566,"&lt;1/11/2023",$G$164:$G$566,$I131)</f>
        <v/>
      </c>
      <c r="U131" s="432">
        <f>SUMIFS($E$164:$E$566,$A$164:$A$566,"&gt;31/10/2023",$A$164:$A$566,"&lt;1/12/2023",$G$164:$G$566,$I131)</f>
        <v/>
      </c>
      <c r="V131" s="432">
        <f>SUMIFS($E$164:$E$566,$A$164:$A$566,"&gt;30/11/2023",$A$164:$A$566,"&lt;1/1/2024",$G$164:$G$566,$I131)</f>
        <v/>
      </c>
      <c r="W131" s="432">
        <f>SUM(K131:V131)</f>
        <v/>
      </c>
      <c r="X131" s="460">
        <f>IFERROR(W131/$W$139,0)</f>
        <v/>
      </c>
    </row>
    <row r="132">
      <c r="I132" s="1260" t="inlineStr">
        <is>
          <t>Referral</t>
        </is>
      </c>
      <c r="K132" s="432">
        <f>SUMIFS($E$164:$E$566,$A$164:$A$566,"&gt;31/12/2022",$A$164:$A$566,"&lt;1/2/2023",$G$164:$G$566,$I132)</f>
        <v/>
      </c>
      <c r="L132" s="432">
        <f>SUMIFS($E$164:$E$566,$A$164:$A$566,"&gt;31/1/2023",$A$164:$A$566,"&lt;1/3/2023",$G$164:$G$566,$I132)</f>
        <v/>
      </c>
      <c r="M132" s="432">
        <f>SUMIFS($E$164:$E$566,$A$164:$A$566,"&gt;28/2/2023",$A$164:$A$566,"&lt;1/4/2023",$G$164:$G$566,$I132)</f>
        <v/>
      </c>
      <c r="N132" s="432">
        <f>SUMIFS($E$164:$E$566,$A$164:$A$566,"&gt;31/3/2023",$A$164:$A$566,"&lt;1/5/2023",$G$164:$G$566,$I132)</f>
        <v/>
      </c>
      <c r="O132" s="432">
        <f>SUMIFS($E$164:$E$566,$A$164:$A$566,"&gt;30/4/2023",$A$164:$A$566,"&lt;1/6/2023",$G$164:$G$566,$I132)</f>
        <v/>
      </c>
      <c r="P132" s="432">
        <f>SUMIFS($E$164:$E$566,$A$164:$A$566,"&gt;31/5/2023",$A$164:$A$566,"&lt;1/7/2023",$G$164:$G$566,$I132)</f>
        <v/>
      </c>
      <c r="Q132" s="432">
        <f>SUMIFS($E$164:$E$566,$A$164:$A$566,"&gt;30/6/2023",$A$164:$A$566,"&lt;1/8/2023",$G$164:$G$566,$I132)</f>
        <v/>
      </c>
      <c r="R132" s="432">
        <f>SUMIFS($E$164:$E$566,$A$164:$A$566,"&gt;31/7/2023",$A$164:$A$566,"&lt;1/9/2023",$G$164:$G$566,$I132)</f>
        <v/>
      </c>
      <c r="S132" s="432">
        <f>SUMIFS($E$164:$E$566,$A$164:$A$566,"&gt;31/8/2023",$A$164:$A$566,"&lt;1/10/2023",$G$164:$G$566,$I132)</f>
        <v/>
      </c>
      <c r="T132" s="432">
        <f>SUMIFS($E$164:$E$566,$A$164:$A$566,"&gt;30/9/2023",$A$164:$A$566,"&lt;1/11/2023",$G$164:$G$566,$I132)</f>
        <v/>
      </c>
      <c r="U132" s="432">
        <f>SUMIFS($E$164:$E$566,$A$164:$A$566,"&gt;31/10/2023",$A$164:$A$566,"&lt;1/12/2023",$G$164:$G$566,$I132)</f>
        <v/>
      </c>
      <c r="V132" s="432">
        <f>SUMIFS($E$164:$E$566,$A$164:$A$566,"&gt;30/11/2023",$A$164:$A$566,"&lt;1/1/2024",$G$164:$G$566,$I132)</f>
        <v/>
      </c>
      <c r="W132" s="432">
        <f>SUM(K132:V132)</f>
        <v/>
      </c>
      <c r="X132" s="460">
        <f>IFERROR(W132/$W$139,0)</f>
        <v/>
      </c>
    </row>
    <row r="133">
      <c r="I133" s="1255" t="inlineStr">
        <is>
          <t>Batsford</t>
        </is>
      </c>
      <c r="K133" s="432">
        <f>SUMIFS($E$164:$E$566,$A$164:$A$566,"&gt;31/12/2022",$A$164:$A$566,"&lt;1/2/2023",$G$164:$G$566,$I133)</f>
        <v/>
      </c>
      <c r="L133" s="432">
        <f>SUMIFS($E$164:$E$566,$A$164:$A$566,"&gt;31/1/2023",$A$164:$A$566,"&lt;1/3/2023",$G$164:$G$566,$I133)</f>
        <v/>
      </c>
      <c r="M133" s="432">
        <f>SUMIFS($E$164:$E$566,$A$164:$A$566,"&gt;28/2/2023",$A$164:$A$566,"&lt;1/4/2023",$G$164:$G$566,$I133)</f>
        <v/>
      </c>
      <c r="N133" s="432">
        <f>SUMIFS($E$164:$E$566,$A$164:$A$566,"&gt;31/3/2023",$A$164:$A$566,"&lt;1/5/2023",$G$164:$G$566,$I133)</f>
        <v/>
      </c>
      <c r="O133" s="432">
        <f>SUMIFS($E$164:$E$566,$A$164:$A$566,"&gt;30/4/2023",$A$164:$A$566,"&lt;1/6/2023",$G$164:$G$566,$I133)</f>
        <v/>
      </c>
      <c r="P133" s="432">
        <f>SUMIFS($E$164:$E$566,$A$164:$A$566,"&gt;31/5/2023",$A$164:$A$566,"&lt;1/7/2023",$G$164:$G$566,$I133)</f>
        <v/>
      </c>
      <c r="Q133" s="432">
        <f>SUMIFS($E$164:$E$566,$A$164:$A$566,"&gt;30/6/2023",$A$164:$A$566,"&lt;1/8/2023",$G$164:$G$566,$I133)</f>
        <v/>
      </c>
      <c r="R133" s="432">
        <f>SUMIFS($E$164:$E$566,$A$164:$A$566,"&gt;31/7/2023",$A$164:$A$566,"&lt;1/9/2023",$G$164:$G$566,$I133)</f>
        <v/>
      </c>
      <c r="S133" s="432">
        <f>SUMIFS($E$164:$E$566,$A$164:$A$566,"&gt;31/8/2023",$A$164:$A$566,"&lt;1/10/2023",$G$164:$G$566,$I133)</f>
        <v/>
      </c>
      <c r="T133" s="432">
        <f>SUMIFS($E$164:$E$566,$A$164:$A$566,"&gt;30/9/2023",$A$164:$A$566,"&lt;1/11/2023",$G$164:$G$566,$I133)</f>
        <v/>
      </c>
      <c r="U133" s="432">
        <f>SUMIFS($E$164:$E$566,$A$164:$A$566,"&gt;31/10/2023",$A$164:$A$566,"&lt;1/12/2023",$G$164:$G$566,$I133)</f>
        <v/>
      </c>
      <c r="V133" s="432">
        <f>SUMIFS($E$164:$E$566,$A$164:$A$566,"&gt;30/11/2023",$A$164:$A$566,"&lt;1/1/2024",$G$164:$G$566,$I133)</f>
        <v/>
      </c>
      <c r="W133" s="432">
        <f>SUM(K133:V133)</f>
        <v/>
      </c>
      <c r="X133" s="460">
        <f>IFERROR(W133/$W$139,0)</f>
        <v/>
      </c>
    </row>
    <row r="134">
      <c r="I134" s="1260" t="inlineStr">
        <is>
          <t>Facebook</t>
        </is>
      </c>
      <c r="K134" s="432">
        <f>SUMIFS($E$164:$E$566,$A$164:$A$566,"&gt;31/12/2022",$A$164:$A$566,"&lt;1/2/2023",$G$164:$G$566,$I134)</f>
        <v/>
      </c>
      <c r="L134" s="432">
        <f>SUMIFS($E$164:$E$566,$A$164:$A$566,"&gt;31/1/2023",$A$164:$A$566,"&lt;1/3/2023",$G$164:$G$566,$I134)</f>
        <v/>
      </c>
      <c r="M134" s="432">
        <f>SUMIFS($E$164:$E$566,$A$164:$A$566,"&gt;28/2/2023",$A$164:$A$566,"&lt;1/4/2023",$G$164:$G$566,$I134)</f>
        <v/>
      </c>
      <c r="N134" s="432">
        <f>SUMIFS($E$164:$E$566,$A$164:$A$566,"&gt;31/3/2023",$A$164:$A$566,"&lt;1/5/2023",$G$164:$G$566,$I134)</f>
        <v/>
      </c>
      <c r="O134" s="432">
        <f>SUMIFS($E$164:$E$566,$A$164:$A$566,"&gt;30/4/2023",$A$164:$A$566,"&lt;1/6/2023",$G$164:$G$566,$I134)</f>
        <v/>
      </c>
      <c r="P134" s="432">
        <f>SUMIFS($E$164:$E$566,$A$164:$A$566,"&gt;31/5/2023",$A$164:$A$566,"&lt;1/7/2023",$G$164:$G$566,$I134)</f>
        <v/>
      </c>
      <c r="Q134" s="432">
        <f>SUMIFS($E$164:$E$566,$A$164:$A$566,"&gt;30/6/2023",$A$164:$A$566,"&lt;1/8/2023",$G$164:$G$566,$I134)</f>
        <v/>
      </c>
      <c r="R134" s="432">
        <f>SUMIFS($E$164:$E$566,$A$164:$A$566,"&gt;31/7/2023",$A$164:$A$566,"&lt;1/9/2023",$G$164:$G$566,$I134)</f>
        <v/>
      </c>
      <c r="S134" s="432">
        <f>SUMIFS($E$164:$E$566,$A$164:$A$566,"&gt;31/8/2023",$A$164:$A$566,"&lt;1/10/2023",$G$164:$G$566,$I134)</f>
        <v/>
      </c>
      <c r="T134" s="432">
        <f>SUMIFS($E$164:$E$566,$A$164:$A$566,"&gt;30/9/2023",$A$164:$A$566,"&lt;1/11/2023",$G$164:$G$566,$I134)</f>
        <v/>
      </c>
      <c r="U134" s="432">
        <f>SUMIFS($E$164:$E$566,$A$164:$A$566,"&gt;31/10/2023",$A$164:$A$566,"&lt;1/12/2023",$G$164:$G$566,$I134)</f>
        <v/>
      </c>
      <c r="V134" s="432">
        <f>SUMIFS($E$164:$E$566,$A$164:$A$566,"&gt;30/11/2023",$A$164:$A$566,"&lt;1/1/2024",$G$164:$G$566,$I134)</f>
        <v/>
      </c>
      <c r="W134" s="432">
        <f>SUM(K134:V134)</f>
        <v/>
      </c>
      <c r="X134" s="460">
        <f>IFERROR(W134/$W$139,0)</f>
        <v/>
      </c>
    </row>
    <row r="135">
      <c r="I135" s="1260" t="inlineStr">
        <is>
          <t>Pure Photo</t>
        </is>
      </c>
      <c r="K135" s="432">
        <f>SUMIFS($E$164:$E$566,$A$164:$A$566,"&gt;31/12/2022",$A$164:$A$566,"&lt;1/2/2023",$G$164:$G$566,$I135)</f>
        <v/>
      </c>
      <c r="L135" s="432">
        <f>SUMIFS($E$164:$E$566,$A$164:$A$566,"&gt;31/1/2023",$A$164:$A$566,"&lt;1/3/2023",$G$164:$G$566,$I135)</f>
        <v/>
      </c>
      <c r="M135" s="432">
        <f>SUMIFS($E$164:$E$566,$A$164:$A$566,"&gt;28/2/2023",$A$164:$A$566,"&lt;1/4/2023",$G$164:$G$566,$I135)</f>
        <v/>
      </c>
      <c r="N135" s="432">
        <f>SUMIFS($E$164:$E$566,$A$164:$A$566,"&gt;31/3/2023",$A$164:$A$566,"&lt;1/5/2023",$G$164:$G$566,$I135)</f>
        <v/>
      </c>
      <c r="O135" s="432">
        <f>SUMIFS($E$164:$E$566,$A$164:$A$566,"&gt;30/4/2023",$A$164:$A$566,"&lt;1/6/2023",$G$164:$G$566,$I135)</f>
        <v/>
      </c>
      <c r="P135" s="432">
        <f>SUMIFS($E$164:$E$566,$A$164:$A$566,"&gt;31/5/2023",$A$164:$A$566,"&lt;1/7/2023",$G$164:$G$566,$I135)</f>
        <v/>
      </c>
      <c r="Q135" s="432">
        <f>SUMIFS($E$164:$E$566,$A$164:$A$566,"&gt;30/6/2023",$A$164:$A$566,"&lt;1/8/2023",$G$164:$G$566,$I135)</f>
        <v/>
      </c>
      <c r="R135" s="432">
        <f>SUMIFS($E$164:$E$566,$A$164:$A$566,"&gt;31/7/2023",$A$164:$A$566,"&lt;1/9/2023",$G$164:$G$566,$I135)</f>
        <v/>
      </c>
      <c r="S135" s="432">
        <f>SUMIFS($E$164:$E$566,$A$164:$A$566,"&gt;31/8/2023",$A$164:$A$566,"&lt;1/10/2023",$G$164:$G$566,$I135)</f>
        <v/>
      </c>
      <c r="T135" s="432">
        <f>SUMIFS($E$164:$E$566,$A$164:$A$566,"&gt;30/9/2023",$A$164:$A$566,"&lt;1/11/2023",$G$164:$G$566,$I135)</f>
        <v/>
      </c>
      <c r="U135" s="432">
        <f>SUMIFS($E$164:$E$566,$A$164:$A$566,"&gt;31/10/2023",$A$164:$A$566,"&lt;1/12/2023",$G$164:$G$566,$I135)</f>
        <v/>
      </c>
      <c r="V135" s="432">
        <f>SUMIFS($E$164:$E$566,$A$164:$A$566,"&gt;30/11/2023",$A$164:$A$566,"&lt;1/1/2024",$G$164:$G$566,$I135)</f>
        <v/>
      </c>
      <c r="W135" s="432">
        <f>SUM(K135:V135)</f>
        <v/>
      </c>
      <c r="X135" s="460">
        <f>IFERROR(W135/$W$139,0)</f>
        <v/>
      </c>
    </row>
    <row r="136">
      <c r="I136" s="1260" t="inlineStr">
        <is>
          <t>Artfully Walls</t>
        </is>
      </c>
      <c r="K136" s="432">
        <f>SUMIFS($E$164:$E$566,$A$164:$A$566,"&gt;31/12/2022",$A$164:$A$566,"&lt;1/2/2023",$G$164:$G$566,$I136)</f>
        <v/>
      </c>
      <c r="L136" s="432">
        <f>SUMIFS($E$164:$E$566,$A$164:$A$566,"&gt;31/1/2023",$A$164:$A$566,"&lt;1/3/2023",$G$164:$G$566,$I136)</f>
        <v/>
      </c>
      <c r="M136" s="432">
        <f>SUMIFS($E$164:$E$566,$A$164:$A$566,"&gt;28/2/2023",$A$164:$A$566,"&lt;1/4/2023",$G$164:$G$566,$I136)</f>
        <v/>
      </c>
      <c r="N136" s="432">
        <f>SUMIFS($E$164:$E$566,$A$164:$A$566,"&gt;31/3/2023",$A$164:$A$566,"&lt;1/5/2023",$G$164:$G$566,$I136)</f>
        <v/>
      </c>
      <c r="O136" s="432">
        <f>SUMIFS($E$164:$E$566,$A$164:$A$566,"&gt;30/4/2023",$A$164:$A$566,"&lt;1/6/2023",$G$164:$G$566,$I136)</f>
        <v/>
      </c>
      <c r="P136" s="432">
        <f>SUMIFS($E$164:$E$566,$A$164:$A$566,"&gt;31/5/2023",$A$164:$A$566,"&lt;1/7/2023",$G$164:$G$566,$I136)</f>
        <v/>
      </c>
      <c r="Q136" s="432">
        <f>SUMIFS($E$164:$E$566,$A$164:$A$566,"&gt;30/6/2023",$A$164:$A$566,"&lt;1/8/2023",$G$164:$G$566,$I136)</f>
        <v/>
      </c>
      <c r="R136" s="432">
        <f>SUMIFS($E$164:$E$566,$A$164:$A$566,"&gt;31/7/2023",$A$164:$A$566,"&lt;1/9/2023",$G$164:$G$566,$I136)</f>
        <v/>
      </c>
      <c r="S136" s="432">
        <f>SUMIFS($E$164:$E$566,$A$164:$A$566,"&gt;31/8/2023",$A$164:$A$566,"&lt;1/10/2023",$G$164:$G$566,$I136)</f>
        <v/>
      </c>
      <c r="T136" s="432">
        <f>SUMIFS($E$164:$E$566,$A$164:$A$566,"&gt;30/9/2023",$A$164:$A$566,"&lt;1/11/2023",$G$164:$G$566,$I136)</f>
        <v/>
      </c>
      <c r="U136" s="432">
        <f>SUMIFS($E$164:$E$566,$A$164:$A$566,"&gt;31/10/2023",$A$164:$A$566,"&lt;1/12/2023",$G$164:$G$566,$I136)</f>
        <v/>
      </c>
      <c r="V136" s="432">
        <f>SUMIFS($E$164:$E$566,$A$164:$A$566,"&gt;30/11/2023",$A$164:$A$566,"&lt;1/1/2024",$G$164:$G$566,$I136)</f>
        <v/>
      </c>
      <c r="W136" s="432">
        <f>SUM(K136:V136)</f>
        <v/>
      </c>
      <c r="X136" s="460">
        <f>IFERROR(W136/$W$139,0)</f>
        <v/>
      </c>
    </row>
    <row r="137">
      <c r="I137" s="1260" t="inlineStr">
        <is>
          <t>Into the Blue</t>
        </is>
      </c>
      <c r="K137" s="432">
        <f>SUMIFS($E$164:$E$566,$A$164:$A$566,"&gt;31/12/2022",$A$164:$A$566,"&lt;1/2/2023",$G$164:$G$566,$I137)</f>
        <v/>
      </c>
      <c r="L137" s="432">
        <f>SUMIFS($E$164:$E$566,$A$164:$A$566,"&gt;31/1/2023",$A$164:$A$566,"&lt;1/3/2023",$G$164:$G$566,$I137)</f>
        <v/>
      </c>
      <c r="M137" s="432">
        <f>SUMIFS($E$164:$E$566,$A$164:$A$566,"&gt;28/2/2023",$A$164:$A$566,"&lt;1/4/2023",$G$164:$G$566,$I137)</f>
        <v/>
      </c>
      <c r="N137" s="432">
        <f>SUMIFS($E$164:$E$566,$A$164:$A$566,"&gt;31/3/2023",$A$164:$A$566,"&lt;1/5/2023",$G$164:$G$566,$I137)</f>
        <v/>
      </c>
      <c r="O137" s="432">
        <f>SUMIFS($E$164:$E$566,$A$164:$A$566,"&gt;30/4/2023",$A$164:$A$566,"&lt;1/6/2023",$G$164:$G$566,$I137)</f>
        <v/>
      </c>
      <c r="P137" s="432">
        <f>SUMIFS($E$164:$E$566,$A$164:$A$566,"&gt;31/5/2023",$A$164:$A$566,"&lt;1/7/2023",$G$164:$G$566,$I137)</f>
        <v/>
      </c>
      <c r="Q137" s="432">
        <f>SUMIFS($E$164:$E$566,$A$164:$A$566,"&gt;30/6/2023",$A$164:$A$566,"&lt;1/8/2023",$G$164:$G$566,$I137)</f>
        <v/>
      </c>
      <c r="R137" s="432">
        <f>SUMIFS($E$164:$E$566,$A$164:$A$566,"&gt;31/7/2023",$A$164:$A$566,"&lt;1/9/2023",$G$164:$G$566,$I137)</f>
        <v/>
      </c>
      <c r="S137" s="432">
        <f>SUMIFS($E$164:$E$566,$A$164:$A$566,"&gt;31/8/2023",$A$164:$A$566,"&lt;1/10/2023",$G$164:$G$566,$I137)</f>
        <v/>
      </c>
      <c r="T137" s="432">
        <f>SUMIFS($E$164:$E$566,$A$164:$A$566,"&gt;30/9/2023",$A$164:$A$566,"&lt;1/11/2023",$G$164:$G$566,$I137)</f>
        <v/>
      </c>
      <c r="U137" s="432">
        <f>SUMIFS($E$164:$E$566,$A$164:$A$566,"&gt;31/10/2023",$A$164:$A$566,"&lt;1/12/2023",$G$164:$G$566,$I137)</f>
        <v/>
      </c>
      <c r="V137" s="432">
        <f>SUMIFS($E$164:$E$566,$A$164:$A$566,"&gt;30/11/2023",$A$164:$A$566,"&lt;1/1/2024",$G$164:$G$566,$I137)</f>
        <v/>
      </c>
      <c r="W137" s="432">
        <f>SUM(K137:V137)</f>
        <v/>
      </c>
      <c r="X137" s="460">
        <f>IFERROR(W137/$W$139,0)</f>
        <v/>
      </c>
    </row>
    <row r="138">
      <c r="I138" s="1255" t="inlineStr">
        <is>
          <t>Other</t>
        </is>
      </c>
      <c r="K138" s="432">
        <f>SUMIFS($E$164:$E$566,$A$164:$A$566,"&gt;31/12/2022",$A$164:$A$566,"&lt;1/2/2023",$G$164:$G$566,$I138)</f>
        <v/>
      </c>
      <c r="L138" s="432">
        <f>SUMIFS($E$164:$E$566,$A$164:$A$566,"&gt;31/1/2023",$A$164:$A$566,"&lt;1/3/2023",$G$164:$G$566,$I138)</f>
        <v/>
      </c>
      <c r="M138" s="432">
        <f>SUMIFS($E$164:$E$566,$A$164:$A$566,"&gt;28/2/2023",$A$164:$A$566,"&lt;1/4/2023",$G$164:$G$566,$I138)</f>
        <v/>
      </c>
      <c r="N138" s="432">
        <f>SUMIFS($E$164:$E$566,$A$164:$A$566,"&gt;31/3/2023",$A$164:$A$566,"&lt;1/5/2023",$G$164:$G$566,$I138)</f>
        <v/>
      </c>
      <c r="O138" s="432">
        <f>SUMIFS($E$164:$E$566,$A$164:$A$566,"&gt;30/4/2023",$A$164:$A$566,"&lt;1/6/2023",$G$164:$G$566,$I138)</f>
        <v/>
      </c>
      <c r="P138" s="432">
        <f>SUMIFS($E$164:$E$566,$A$164:$A$566,"&gt;31/5/2023",$A$164:$A$566,"&lt;1/7/2023",$G$164:$G$566,$I138)</f>
        <v/>
      </c>
      <c r="Q138" s="432">
        <f>SUMIFS($E$164:$E$566,$A$164:$A$566,"&gt;30/6/2023",$A$164:$A$566,"&lt;1/8/2023",$G$164:$G$566,$I138)</f>
        <v/>
      </c>
      <c r="R138" s="432">
        <f>SUMIFS($E$164:$E$566,$A$164:$A$566,"&gt;31/7/2023",$A$164:$A$566,"&lt;1/9/2023",$G$164:$G$566,$I138)</f>
        <v/>
      </c>
      <c r="S138" s="432">
        <f>SUMIFS($E$164:$E$566,$A$164:$A$566,"&gt;31/8/2023",$A$164:$A$566,"&lt;1/10/2023",$G$164:$G$566,$I138)</f>
        <v/>
      </c>
      <c r="T138" s="432">
        <f>SUMIFS($E$164:$E$566,$A$164:$A$566,"&gt;30/9/2023",$A$164:$A$566,"&lt;1/11/2023",$G$164:$G$566,$I138)</f>
        <v/>
      </c>
      <c r="U138" s="432">
        <f>SUMIFS($E$164:$E$566,$A$164:$A$566,"&gt;31/10/2023",$A$164:$A$566,"&lt;1/12/2023",$G$164:$G$566,$I138)</f>
        <v/>
      </c>
      <c r="V138" s="432">
        <f>SUMIFS($E$164:$E$566,$A$164:$A$566,"&gt;30/11/2023",$A$164:$A$566,"&lt;1/1/2024",$G$164:$G$566,$I138)</f>
        <v/>
      </c>
      <c r="W138" s="432">
        <f>SUM(K138:V138)</f>
        <v/>
      </c>
      <c r="X138" s="460">
        <f>IFERROR(W138/$W$139,0)</f>
        <v/>
      </c>
    </row>
    <row r="139" ht="13.15" customHeight="1" s="1232">
      <c r="I139" s="914" t="n"/>
      <c r="K139" s="444">
        <f>SUM(K129:K138)</f>
        <v/>
      </c>
      <c r="L139" s="444">
        <f>SUM(L129:L138)</f>
        <v/>
      </c>
      <c r="M139" s="444">
        <f>SUM(M129:M138)</f>
        <v/>
      </c>
      <c r="N139" s="444">
        <f>SUM(N129:N138)</f>
        <v/>
      </c>
      <c r="O139" s="444">
        <f>SUM(O129:O138)</f>
        <v/>
      </c>
      <c r="P139" s="444">
        <f>SUM(P129:P138)</f>
        <v/>
      </c>
      <c r="Q139" s="444">
        <f>SUM(Q129:Q138)</f>
        <v/>
      </c>
      <c r="R139" s="444">
        <f>SUM(R129:R138)</f>
        <v/>
      </c>
      <c r="S139" s="444">
        <f>SUM(S129:S138)</f>
        <v/>
      </c>
      <c r="T139" s="444">
        <f>SUM(T129:T138)</f>
        <v/>
      </c>
      <c r="U139" s="444">
        <f>SUM(U129:U138)</f>
        <v/>
      </c>
      <c r="V139" s="444">
        <f>SUM(V129:V138)</f>
        <v/>
      </c>
      <c r="W139" s="444">
        <f>SUM(W129:W138)</f>
        <v/>
      </c>
      <c r="X139" s="460">
        <f>IFERROR(W139/$W$139,0)</f>
        <v/>
      </c>
    </row>
    <row r="140">
      <c r="J140" s="914" t="n"/>
      <c r="K140" s="914">
        <f>K117-K139</f>
        <v/>
      </c>
      <c r="L140" s="914">
        <f>L117-L139</f>
        <v/>
      </c>
      <c r="M140" s="914">
        <f>M117-M139</f>
        <v/>
      </c>
      <c r="N140" s="914">
        <f>N117-N139</f>
        <v/>
      </c>
      <c r="O140" s="914">
        <f>O117-O139</f>
        <v/>
      </c>
      <c r="P140" s="914">
        <f>P117-P139</f>
        <v/>
      </c>
      <c r="Q140" s="914">
        <f>Q117-Q139</f>
        <v/>
      </c>
      <c r="R140" s="914">
        <f>R117-R139</f>
        <v/>
      </c>
      <c r="S140" s="914">
        <f>S117-S139</f>
        <v/>
      </c>
      <c r="T140" s="914">
        <f>T117-T139</f>
        <v/>
      </c>
      <c r="U140" s="914">
        <f>U117-U139</f>
        <v/>
      </c>
      <c r="V140" s="914">
        <f>V117-V139</f>
        <v/>
      </c>
      <c r="W140" s="914">
        <f>W117-W139</f>
        <v/>
      </c>
      <c r="X140" s="914" t="n"/>
    </row>
    <row r="141" ht="13.15" customHeight="1" s="1232">
      <c r="I141" s="556" t="inlineStr">
        <is>
          <t>Booking source  £</t>
        </is>
      </c>
      <c r="K141" s="1332" t="inlineStr">
        <is>
          <t>Jan</t>
        </is>
      </c>
      <c r="L141" s="1332" t="inlineStr">
        <is>
          <t>Feb</t>
        </is>
      </c>
      <c r="M141" s="1332" t="inlineStr">
        <is>
          <t>Mar</t>
        </is>
      </c>
      <c r="N141" s="1332" t="inlineStr">
        <is>
          <t>Apr</t>
        </is>
      </c>
      <c r="O141" s="1332" t="inlineStr">
        <is>
          <t>May</t>
        </is>
      </c>
      <c r="P141" s="1332" t="inlineStr">
        <is>
          <t>Jun</t>
        </is>
      </c>
      <c r="Q141" s="1332" t="inlineStr">
        <is>
          <t>Jul</t>
        </is>
      </c>
      <c r="R141" s="1332" t="inlineStr">
        <is>
          <t>Aug</t>
        </is>
      </c>
      <c r="S141" s="1332" t="inlineStr">
        <is>
          <t>Sep</t>
        </is>
      </c>
      <c r="T141" s="1332" t="inlineStr">
        <is>
          <t>Oct</t>
        </is>
      </c>
      <c r="U141" s="1332" t="inlineStr">
        <is>
          <t>Nov</t>
        </is>
      </c>
      <c r="V141" s="1332" t="inlineStr">
        <is>
          <t>Dec</t>
        </is>
      </c>
      <c r="W141" s="1332" t="inlineStr">
        <is>
          <t>Year</t>
        </is>
      </c>
      <c r="X141" s="1278" t="inlineStr">
        <is>
          <t>Split</t>
        </is>
      </c>
    </row>
    <row r="142" ht="13.15" customHeight="1" s="1232">
      <c r="I142" s="444" t="inlineStr">
        <is>
          <t>New Clients</t>
        </is>
      </c>
      <c r="K142" s="914">
        <f>SUM(K139-K130)</f>
        <v/>
      </c>
      <c r="L142" s="914">
        <f>SUM(L139-L130)</f>
        <v/>
      </c>
      <c r="M142" s="914">
        <f>SUM(M139-M130)</f>
        <v/>
      </c>
      <c r="N142" s="914">
        <f>SUM(N139-N130)</f>
        <v/>
      </c>
      <c r="O142" s="914">
        <f>SUM(O139-O130)</f>
        <v/>
      </c>
      <c r="P142" s="914">
        <f>SUM(P139-P130)</f>
        <v/>
      </c>
      <c r="Q142" s="914">
        <f>SUM(Q139-Q130)</f>
        <v/>
      </c>
      <c r="R142" s="914">
        <f>SUM(R139-R130)</f>
        <v/>
      </c>
      <c r="S142" s="914">
        <f>SUM(S139-S130)</f>
        <v/>
      </c>
      <c r="T142" s="914">
        <f>SUM(T139-T130)</f>
        <v/>
      </c>
      <c r="U142" s="914">
        <f>SUM(U139-U130)</f>
        <v/>
      </c>
      <c r="V142" s="914">
        <f>SUM(V139-V130)</f>
        <v/>
      </c>
      <c r="W142" s="554">
        <f>SUM(K142:V142)</f>
        <v/>
      </c>
      <c r="X142" s="475">
        <f>W142/W144</f>
        <v/>
      </c>
    </row>
    <row r="143" ht="13.15" customHeight="1" s="1232">
      <c r="I143" s="444" t="inlineStr">
        <is>
          <t>Existing Clients</t>
        </is>
      </c>
      <c r="K143" s="914">
        <f>K130</f>
        <v/>
      </c>
      <c r="L143" s="914">
        <f>L130</f>
        <v/>
      </c>
      <c r="M143" s="914">
        <f>M130</f>
        <v/>
      </c>
      <c r="N143" s="914">
        <f>N130</f>
        <v/>
      </c>
      <c r="O143" s="914">
        <f>O130</f>
        <v/>
      </c>
      <c r="P143" s="914">
        <f>P130</f>
        <v/>
      </c>
      <c r="Q143" s="914">
        <f>Q130</f>
        <v/>
      </c>
      <c r="R143" s="914">
        <f>R130</f>
        <v/>
      </c>
      <c r="S143" s="914">
        <f>S130</f>
        <v/>
      </c>
      <c r="T143" s="914">
        <f>T130</f>
        <v/>
      </c>
      <c r="U143" s="914">
        <f>U130</f>
        <v/>
      </c>
      <c r="V143" s="914">
        <f>V130</f>
        <v/>
      </c>
      <c r="W143" s="562">
        <f>SUM(K143:V143)</f>
        <v/>
      </c>
      <c r="X143" s="475">
        <f>W143/W144</f>
        <v/>
      </c>
    </row>
    <row r="144" ht="13.15" customHeight="1" s="1232">
      <c r="I144" s="444" t="n"/>
      <c r="K144" s="563">
        <f>K142+K143</f>
        <v/>
      </c>
      <c r="L144" s="563">
        <f>L142+L143</f>
        <v/>
      </c>
      <c r="M144" s="563">
        <f>M142+M143</f>
        <v/>
      </c>
      <c r="N144" s="563">
        <f>N142+N143</f>
        <v/>
      </c>
      <c r="O144" s="563">
        <f>O142+O143</f>
        <v/>
      </c>
      <c r="P144" s="563">
        <f>P142+P143</f>
        <v/>
      </c>
      <c r="Q144" s="563">
        <f>Q142+Q143</f>
        <v/>
      </c>
      <c r="R144" s="563">
        <f>R142+R143</f>
        <v/>
      </c>
      <c r="S144" s="563">
        <f>S142+S143</f>
        <v/>
      </c>
      <c r="T144" s="563">
        <f>T142+T143</f>
        <v/>
      </c>
      <c r="U144" s="563">
        <f>U142+U143</f>
        <v/>
      </c>
      <c r="V144" s="563">
        <f>V142+V143</f>
        <v/>
      </c>
      <c r="W144" s="563">
        <f>W142+W143</f>
        <v/>
      </c>
      <c r="X144" s="564" t="n"/>
    </row>
    <row r="146" ht="13.15" customHeight="1" s="1232">
      <c r="I146" s="556" t="inlineStr">
        <is>
          <t>Booking source  Units</t>
        </is>
      </c>
      <c r="K146" s="1332" t="inlineStr">
        <is>
          <t>Jan</t>
        </is>
      </c>
      <c r="L146" s="1332" t="inlineStr">
        <is>
          <t>Feb</t>
        </is>
      </c>
      <c r="M146" s="1332" t="inlineStr">
        <is>
          <t>Mar</t>
        </is>
      </c>
      <c r="N146" s="1332" t="inlineStr">
        <is>
          <t>Apr</t>
        </is>
      </c>
      <c r="O146" s="1332" t="inlineStr">
        <is>
          <t>May</t>
        </is>
      </c>
      <c r="P146" s="1332" t="inlineStr">
        <is>
          <t>Jun</t>
        </is>
      </c>
      <c r="Q146" s="1332" t="inlineStr">
        <is>
          <t>Jul</t>
        </is>
      </c>
      <c r="R146" s="1332" t="inlineStr">
        <is>
          <t>Aug</t>
        </is>
      </c>
      <c r="S146" s="1332" t="inlineStr">
        <is>
          <t>Sep</t>
        </is>
      </c>
      <c r="T146" s="1332" t="inlineStr">
        <is>
          <t>Oct</t>
        </is>
      </c>
      <c r="U146" s="1332" t="inlineStr">
        <is>
          <t>Nov</t>
        </is>
      </c>
      <c r="V146" s="1332" t="inlineStr">
        <is>
          <t>Dec</t>
        </is>
      </c>
      <c r="W146" s="1332" t="inlineStr">
        <is>
          <t>Year</t>
        </is>
      </c>
      <c r="X146" s="1278" t="inlineStr">
        <is>
          <t>Split</t>
        </is>
      </c>
    </row>
    <row r="147" ht="13.15" customHeight="1" s="1232">
      <c r="I147" s="444" t="inlineStr">
        <is>
          <t>New Clients</t>
        </is>
      </c>
      <c r="K147" s="914">
        <f>K74-K148</f>
        <v/>
      </c>
      <c r="L147" s="914">
        <f>L74-L148</f>
        <v/>
      </c>
      <c r="M147" s="914">
        <f>M74-M148</f>
        <v/>
      </c>
      <c r="N147" s="914">
        <f>N74-N148</f>
        <v/>
      </c>
      <c r="O147" s="914">
        <f>O74-O148</f>
        <v/>
      </c>
      <c r="P147" s="914">
        <f>P74-P148</f>
        <v/>
      </c>
      <c r="Q147" s="914">
        <f>Q74-Q148</f>
        <v/>
      </c>
      <c r="R147" s="914">
        <f>R74-R148</f>
        <v/>
      </c>
      <c r="S147" s="914">
        <f>S74-S148</f>
        <v/>
      </c>
      <c r="T147" s="914">
        <f>T74-T148</f>
        <v/>
      </c>
      <c r="U147" s="914">
        <f>U74-U148</f>
        <v/>
      </c>
      <c r="V147" s="914">
        <f>V74-V148</f>
        <v/>
      </c>
      <c r="W147" s="554">
        <f>SUM(K147:V147)</f>
        <v/>
      </c>
      <c r="X147" s="475">
        <f>W147/W149</f>
        <v/>
      </c>
    </row>
    <row r="148" ht="13.15" customHeight="1" s="1232">
      <c r="I148" s="561" t="inlineStr">
        <is>
          <t>Existing</t>
        </is>
      </c>
      <c r="K148" s="914">
        <f>COUNTIFS($A$164:$A$566,"&gt;31/12/2022",$A$164:$A$566,"&lt;1/2/2023",$G$164:$G$566,"Existing")</f>
        <v/>
      </c>
      <c r="L148" s="432">
        <f>COUNTIFS($A$164:$A$566,"&gt;31/1/2023",$A$164:$A$566,"&lt;1/3/2023",$G$164:$G$566,$I148)</f>
        <v/>
      </c>
      <c r="M148" s="432">
        <f>COUNTIFS($A$164:$A$566,"&gt;28/2/2023",$A$164:$A$566,"&lt;1/4/2023",$G$164:$G$566,$I148)</f>
        <v/>
      </c>
      <c r="N148" s="432">
        <f>COUNTIFS($A$164:$A$566,"&gt;31/3/2023",$A$164:$A$566,"&lt;1/5/2023",$G$164:$G$566,$I148)</f>
        <v/>
      </c>
      <c r="O148" s="432">
        <f>COUNTIFS($A$164:$A$566,"&gt;30/4/2023",$A$164:$A$566,"&lt;1/6/2023",$G$164:$G$566,$I148)</f>
        <v/>
      </c>
      <c r="P148" s="432">
        <f>COUNTIFS($A$164:$A$566,"&gt;31/5/2023",$A$164:$A$566,"&lt;1/7/2023",$G$164:$G$566,$I148)</f>
        <v/>
      </c>
      <c r="Q148" s="432">
        <f>COUNTIFS($A$164:$A$566,"&gt;30/6/2023",$A$164:$A$566,"&lt;1/8/2023",$G$164:$G$566,$I148)</f>
        <v/>
      </c>
      <c r="R148" s="432">
        <f>COUNTIFS($A$164:$A$566,"&gt;31/7/2023",$A$164:$A$566,"&lt;1/9/2023",$G$164:$G$566,$I148)</f>
        <v/>
      </c>
      <c r="S148" s="432">
        <f>COUNTIFS($A$164:$A$566,"&gt;31/8/2023",$A$164:$A$566,"&lt;1/10/2023",$G$164:$G$566,$I148)</f>
        <v/>
      </c>
      <c r="T148" s="432">
        <f>COUNTIFS($A$164:$A$566,"&gt;30/9/2023",$A$164:$A$566,"&lt;1/11/2023",$G$164:$G$566,$I148)</f>
        <v/>
      </c>
      <c r="U148" s="432">
        <f>COUNTIFS($A$164:$A$566,"&gt;31/10/2023",$A$164:$A$566,"&lt;1/12/2023",$G$164:$G$566,$I148)</f>
        <v/>
      </c>
      <c r="V148" s="432">
        <f>COUNTIFS($A$164:$A$566,"&gt;30/11/2023",$A$164:$A$566,"&lt;1/1/2024",$G$164:$G$566,$I148)</f>
        <v/>
      </c>
      <c r="W148" s="554">
        <f>SUM(K148:V148)</f>
        <v/>
      </c>
      <c r="X148" s="475">
        <f>W148/$W$149</f>
        <v/>
      </c>
    </row>
    <row r="149" ht="13.15" customHeight="1" s="1232">
      <c r="J149" s="914" t="n"/>
      <c r="K149" s="563">
        <f>K147+K148</f>
        <v/>
      </c>
      <c r="L149" s="563">
        <f>L147+L148</f>
        <v/>
      </c>
      <c r="M149" s="563">
        <f>M147+M148</f>
        <v/>
      </c>
      <c r="N149" s="563">
        <f>N147+N148</f>
        <v/>
      </c>
      <c r="O149" s="563">
        <f>O147+O148</f>
        <v/>
      </c>
      <c r="P149" s="563">
        <f>P147+P148</f>
        <v/>
      </c>
      <c r="Q149" s="563">
        <f>Q147+Q148</f>
        <v/>
      </c>
      <c r="R149" s="563">
        <f>R147+R148</f>
        <v/>
      </c>
      <c r="S149" s="563">
        <f>S147+S148</f>
        <v/>
      </c>
      <c r="T149" s="563">
        <f>T147+T148</f>
        <v/>
      </c>
      <c r="U149" s="563">
        <f>U147+U148</f>
        <v/>
      </c>
      <c r="V149" s="563">
        <f>V147+V148</f>
        <v/>
      </c>
      <c r="W149" s="563">
        <f>W147+W148</f>
        <v/>
      </c>
      <c r="X149" s="564" t="n"/>
    </row>
    <row r="150" ht="13.15" customHeight="1" s="1232">
      <c r="J150" s="914" t="n"/>
      <c r="K150" s="791">
        <f>K74-K149</f>
        <v/>
      </c>
      <c r="L150" s="791">
        <f>L74-L149</f>
        <v/>
      </c>
      <c r="M150" s="791">
        <f>M74-M149</f>
        <v/>
      </c>
      <c r="N150" s="791">
        <f>N74-N149</f>
        <v/>
      </c>
      <c r="O150" s="791">
        <f>O74-O149</f>
        <v/>
      </c>
      <c r="P150" s="791">
        <f>P74-P149</f>
        <v/>
      </c>
      <c r="Q150" s="791">
        <f>Q74-Q149</f>
        <v/>
      </c>
      <c r="R150" s="791">
        <f>R74-R149</f>
        <v/>
      </c>
      <c r="S150" s="791">
        <f>S74-S149</f>
        <v/>
      </c>
      <c r="T150" s="791">
        <f>T74-T149</f>
        <v/>
      </c>
      <c r="U150" s="791">
        <f>U74-U149</f>
        <v/>
      </c>
      <c r="V150" s="791">
        <f>V74-V149</f>
        <v/>
      </c>
      <c r="W150" s="791">
        <f>W74-W149</f>
        <v/>
      </c>
      <c r="X150" s="475" t="n"/>
    </row>
    <row r="151" ht="13.15" customHeight="1" s="1232">
      <c r="I151" s="556" t="inlineStr">
        <is>
          <t>Booking source  AVG PPU</t>
        </is>
      </c>
      <c r="K151" s="1332" t="inlineStr">
        <is>
          <t>Jan</t>
        </is>
      </c>
      <c r="L151" s="1332" t="inlineStr">
        <is>
          <t>Feb</t>
        </is>
      </c>
      <c r="M151" s="1332" t="inlineStr">
        <is>
          <t>Mar</t>
        </is>
      </c>
      <c r="N151" s="1332" t="inlineStr">
        <is>
          <t>Apr</t>
        </is>
      </c>
      <c r="O151" s="1332" t="inlineStr">
        <is>
          <t>May</t>
        </is>
      </c>
      <c r="P151" s="1332" t="inlineStr">
        <is>
          <t>Jun</t>
        </is>
      </c>
      <c r="Q151" s="1332" t="inlineStr">
        <is>
          <t>Jul</t>
        </is>
      </c>
      <c r="R151" s="1332" t="inlineStr">
        <is>
          <t>Aug</t>
        </is>
      </c>
      <c r="S151" s="1332" t="inlineStr">
        <is>
          <t>Sep</t>
        </is>
      </c>
      <c r="T151" s="1332" t="inlineStr">
        <is>
          <t>Oct</t>
        </is>
      </c>
      <c r="U151" s="1332" t="inlineStr">
        <is>
          <t>Nov</t>
        </is>
      </c>
      <c r="V151" s="1332" t="inlineStr">
        <is>
          <t>Dec</t>
        </is>
      </c>
      <c r="W151" s="1332" t="inlineStr">
        <is>
          <t>Year</t>
        </is>
      </c>
      <c r="X151" s="1278" t="inlineStr">
        <is>
          <t>Split</t>
        </is>
      </c>
    </row>
    <row r="152" ht="13.15" customHeight="1" s="1232">
      <c r="I152" s="444" t="inlineStr">
        <is>
          <t>New Clients</t>
        </is>
      </c>
      <c r="K152" s="914">
        <f>IFERROR(K142/K147,0)</f>
        <v/>
      </c>
      <c r="L152" s="914">
        <f>IFERROR(L142/L147,0)</f>
        <v/>
      </c>
      <c r="M152" s="914">
        <f>IFERROR(M142/M147,0)</f>
        <v/>
      </c>
      <c r="N152" s="914">
        <f>IFERROR(N142/N147,0)</f>
        <v/>
      </c>
      <c r="O152" s="914">
        <f>IFERROR(O142/O147,0)</f>
        <v/>
      </c>
      <c r="P152" s="914">
        <f>IFERROR(P142/P147,0)</f>
        <v/>
      </c>
      <c r="Q152" s="914">
        <f>IFERROR(Q142/Q147,0)</f>
        <v/>
      </c>
      <c r="R152" s="914">
        <f>IFERROR(R142/R147,0)</f>
        <v/>
      </c>
      <c r="S152" s="914">
        <f>IFERROR(S142/S147,0)</f>
        <v/>
      </c>
      <c r="T152" s="914">
        <f>IFERROR(T142/T147,0)</f>
        <v/>
      </c>
      <c r="U152" s="914">
        <f>IFERROR(U142/U147,0)</f>
        <v/>
      </c>
      <c r="V152" s="914">
        <f>IFERROR(V142/V147,0)</f>
        <v/>
      </c>
      <c r="W152" s="554">
        <f>AVERAGE(K152:V152)</f>
        <v/>
      </c>
      <c r="X152" s="475">
        <f>W152/W154</f>
        <v/>
      </c>
    </row>
    <row r="153" ht="13.15" customHeight="1" s="1232">
      <c r="I153" s="444" t="inlineStr">
        <is>
          <t>Existing Clients</t>
        </is>
      </c>
      <c r="K153" s="914">
        <f>IFERROR(K143/K148,0)</f>
        <v/>
      </c>
      <c r="L153" s="914">
        <f>IFERROR(L143/L148,0)</f>
        <v/>
      </c>
      <c r="M153" s="914">
        <f>IFERROR(M143/M148,0)</f>
        <v/>
      </c>
      <c r="N153" s="914">
        <f>IFERROR(N143/N148,0)</f>
        <v/>
      </c>
      <c r="O153" s="914">
        <f>IFERROR(O143/O148,0)</f>
        <v/>
      </c>
      <c r="P153" s="914">
        <f>IFERROR(P143/P148,0)</f>
        <v/>
      </c>
      <c r="Q153" s="914">
        <f>IFERROR(Q143/Q148,0)</f>
        <v/>
      </c>
      <c r="R153" s="914">
        <f>IFERROR(R143/R148,0)</f>
        <v/>
      </c>
      <c r="S153" s="914">
        <f>IFERROR(S143/S148,0)</f>
        <v/>
      </c>
      <c r="T153" s="914">
        <f>IFERROR(T143/T148,0)</f>
        <v/>
      </c>
      <c r="U153" s="914">
        <f>IFERROR(U143/U148,0)</f>
        <v/>
      </c>
      <c r="V153" s="914">
        <f>IFERROR(V143/V148,0)</f>
        <v/>
      </c>
      <c r="W153" s="554">
        <f>AVERAGE(K153:V153)</f>
        <v/>
      </c>
      <c r="X153" s="475">
        <f>W153/$W$154</f>
        <v/>
      </c>
    </row>
    <row r="154" ht="13.15" customHeight="1" s="1232">
      <c r="J154" s="914" t="n"/>
      <c r="K154" s="563">
        <f>K152+K153</f>
        <v/>
      </c>
      <c r="L154" s="563">
        <f>L152+L153</f>
        <v/>
      </c>
      <c r="M154" s="563">
        <f>M152+M153</f>
        <v/>
      </c>
      <c r="N154" s="563">
        <f>N152+N153</f>
        <v/>
      </c>
      <c r="O154" s="563">
        <f>O152+O153</f>
        <v/>
      </c>
      <c r="P154" s="563">
        <f>P152+P153</f>
        <v/>
      </c>
      <c r="Q154" s="563">
        <f>Q152+Q153</f>
        <v/>
      </c>
      <c r="R154" s="563">
        <f>R152+R153</f>
        <v/>
      </c>
      <c r="S154" s="563">
        <f>S152+S153</f>
        <v/>
      </c>
      <c r="T154" s="563">
        <f>T152+T153</f>
        <v/>
      </c>
      <c r="U154" s="563">
        <f>U152+U153</f>
        <v/>
      </c>
      <c r="V154" s="563">
        <f>V152+V153</f>
        <v/>
      </c>
      <c r="W154" s="563">
        <f>W152+W153</f>
        <v/>
      </c>
      <c r="X154" s="564" t="n"/>
    </row>
    <row r="161" ht="13.15" customHeight="1" s="1232">
      <c r="E161" s="605">
        <f>SUM(E164:E566)</f>
        <v/>
      </c>
    </row>
    <row r="162" ht="13.9" customHeight="1" s="1232">
      <c r="A162" s="1345" t="inlineStr">
        <is>
          <t>Date</t>
        </is>
      </c>
      <c r="B162" s="1346" t="inlineStr">
        <is>
          <t>Client</t>
        </is>
      </c>
      <c r="C162" s="1346" t="inlineStr">
        <is>
          <t>Category</t>
        </is>
      </c>
      <c r="D162" s="1346" t="inlineStr">
        <is>
          <t>Funding</t>
        </is>
      </c>
      <c r="E162" s="1347" t="inlineStr">
        <is>
          <t>Amount</t>
        </is>
      </c>
      <c r="F162" s="1346" t="inlineStr">
        <is>
          <t>Event</t>
        </is>
      </c>
      <c r="G162" s="1346" t="inlineStr">
        <is>
          <t>Source</t>
        </is>
      </c>
    </row>
    <row r="164" ht="13.5" customHeight="1" s="1232">
      <c r="A164" s="1348" t="n"/>
      <c r="B164" s="1349" t="n"/>
      <c r="C164" s="1350" t="n"/>
      <c r="D164" s="1349" t="n"/>
      <c r="E164" s="1351" t="n"/>
      <c r="F164" s="1349" t="n"/>
      <c r="G164" s="1349" t="n"/>
    </row>
    <row r="165" ht="13.5" customHeight="1" s="1232">
      <c r="A165" s="1348" t="n"/>
      <c r="B165" s="1349" t="n"/>
      <c r="C165" s="1350" t="n"/>
      <c r="D165" s="1349" t="n"/>
      <c r="E165" s="1351" t="n"/>
      <c r="F165" s="1349" t="n"/>
      <c r="G165" s="1349" t="n"/>
    </row>
    <row r="166" ht="13.5" customHeight="1" s="1232">
      <c r="A166" s="1348" t="n"/>
      <c r="B166" s="1349" t="n"/>
      <c r="C166" s="1350" t="n"/>
      <c r="D166" s="1349" t="n"/>
      <c r="E166" s="1351" t="n"/>
      <c r="F166" s="1349" t="n"/>
      <c r="G166" s="1349" t="n"/>
    </row>
    <row r="167" ht="13.5" customHeight="1" s="1232">
      <c r="A167" s="1348" t="n"/>
      <c r="B167" s="1349" t="n"/>
      <c r="C167" s="1350" t="n"/>
      <c r="D167" s="1349" t="n"/>
      <c r="E167" s="1351" t="n"/>
      <c r="F167" s="1349" t="n"/>
      <c r="G167" s="1349" t="n"/>
    </row>
    <row r="168" ht="13.5" customHeight="1" s="1232">
      <c r="A168" s="1348" t="n">
        <v>45290</v>
      </c>
      <c r="B168" s="1349" t="inlineStr">
        <is>
          <t>David Pyta</t>
        </is>
      </c>
      <c r="C168" s="1350" t="inlineStr">
        <is>
          <t>-   Workshops Residential</t>
        </is>
      </c>
      <c r="D168" s="1349" t="inlineStr">
        <is>
          <t>PicknMix</t>
        </is>
      </c>
      <c r="E168" s="1351" t="n">
        <v>636</v>
      </c>
      <c r="F168" s="1349" t="inlineStr">
        <is>
          <t>Dorset</t>
        </is>
      </c>
      <c r="G168" s="1349" t="inlineStr">
        <is>
          <t>Existing</t>
        </is>
      </c>
    </row>
    <row r="169" ht="13.5" customHeight="1" s="1232">
      <c r="A169" s="1348" t="n">
        <v>45290</v>
      </c>
      <c r="B169" s="1349" t="inlineStr">
        <is>
          <t>David Pyta</t>
        </is>
      </c>
      <c r="C169" s="1350" t="inlineStr">
        <is>
          <t>4. Pick n Mix Out</t>
        </is>
      </c>
      <c r="D169" s="1349" t="inlineStr">
        <is>
          <t>PicknMix</t>
        </is>
      </c>
      <c r="E169" s="1351" t="n">
        <v>-636</v>
      </c>
      <c r="F169" s="1349" t="inlineStr">
        <is>
          <t>Dorset</t>
        </is>
      </c>
      <c r="G169" s="1349" t="inlineStr">
        <is>
          <t>Existing</t>
        </is>
      </c>
    </row>
    <row r="170" ht="13.5" customHeight="1" s="1232">
      <c r="A170" s="1348" t="n">
        <v>45290</v>
      </c>
      <c r="B170" s="1349" t="inlineStr">
        <is>
          <t>Philippa King</t>
        </is>
      </c>
      <c r="C170" s="1350" t="inlineStr">
        <is>
          <t>-   Workshops Residential</t>
        </is>
      </c>
      <c r="D170" s="1349" t="inlineStr">
        <is>
          <t>PicknMix</t>
        </is>
      </c>
      <c r="E170" s="1351" t="n">
        <v>636</v>
      </c>
      <c r="F170" s="1349" t="inlineStr">
        <is>
          <t>Dorset</t>
        </is>
      </c>
      <c r="G170" s="1349" t="inlineStr">
        <is>
          <t>Existing</t>
        </is>
      </c>
    </row>
    <row r="171" ht="13.5" customHeight="1" s="1232">
      <c r="A171" s="1348" t="n">
        <v>45290</v>
      </c>
      <c r="B171" s="1349" t="inlineStr">
        <is>
          <t>Philippa King</t>
        </is>
      </c>
      <c r="C171" s="1350" t="inlineStr">
        <is>
          <t>4. Pick n Mix Out</t>
        </is>
      </c>
      <c r="D171" s="1349" t="inlineStr">
        <is>
          <t>PicknMix</t>
        </is>
      </c>
      <c r="E171" s="1351" t="n">
        <v>-636</v>
      </c>
      <c r="F171" s="1349" t="inlineStr">
        <is>
          <t>Dorset</t>
        </is>
      </c>
      <c r="G171" s="1349" t="inlineStr">
        <is>
          <t>Existing</t>
        </is>
      </c>
    </row>
    <row r="172" ht="13.5" customHeight="1" s="1232">
      <c r="A172" s="1348" t="n">
        <v>45290</v>
      </c>
      <c r="B172" s="1349" t="inlineStr">
        <is>
          <t>David Pyta</t>
        </is>
      </c>
      <c r="C172" s="1350" t="inlineStr">
        <is>
          <t>2. Workshops</t>
        </is>
      </c>
      <c r="D172" s="1349" t="inlineStr">
        <is>
          <t>PicknMix</t>
        </is>
      </c>
      <c r="E172" s="1351" t="n">
        <v>12</v>
      </c>
      <c r="F172" s="1349" t="inlineStr">
        <is>
          <t>Hay Wood</t>
        </is>
      </c>
      <c r="G172" s="1349" t="inlineStr">
        <is>
          <t>Existing</t>
        </is>
      </c>
    </row>
    <row r="173" ht="13.5" customHeight="1" s="1232">
      <c r="A173" s="1348" t="n">
        <v>45290</v>
      </c>
      <c r="B173" s="1349" t="inlineStr">
        <is>
          <t>David Pyta</t>
        </is>
      </c>
      <c r="C173" s="1350" t="inlineStr">
        <is>
          <t>4. Pick n Mix Out</t>
        </is>
      </c>
      <c r="D173" s="1349" t="inlineStr">
        <is>
          <t>PicknMix</t>
        </is>
      </c>
      <c r="E173" s="1351" t="n">
        <v>-12</v>
      </c>
      <c r="F173" s="1349" t="inlineStr">
        <is>
          <t>Hay Wood</t>
        </is>
      </c>
      <c r="G173" s="1349" t="inlineStr">
        <is>
          <t>Existing</t>
        </is>
      </c>
    </row>
    <row r="174" ht="13.5" customHeight="1" s="1232">
      <c r="A174" s="1348" t="n">
        <v>45290</v>
      </c>
      <c r="B174" s="1349" t="inlineStr">
        <is>
          <t>Philippa King</t>
        </is>
      </c>
      <c r="C174" s="1350" t="inlineStr">
        <is>
          <t>2. Workshops</t>
        </is>
      </c>
      <c r="D174" s="1349" t="inlineStr">
        <is>
          <t>PicknMix</t>
        </is>
      </c>
      <c r="E174" s="1351" t="n">
        <v>12</v>
      </c>
      <c r="F174" s="1349" t="inlineStr">
        <is>
          <t>Hay Wood</t>
        </is>
      </c>
      <c r="G174" s="1349" t="inlineStr">
        <is>
          <t>Existing</t>
        </is>
      </c>
    </row>
    <row r="175" ht="13.5" customHeight="1" s="1232">
      <c r="A175" s="1348" t="n">
        <v>45290</v>
      </c>
      <c r="B175" s="1349" t="inlineStr">
        <is>
          <t>Philippa King</t>
        </is>
      </c>
      <c r="C175" s="1350" t="inlineStr">
        <is>
          <t>4. Pick n Mix Out</t>
        </is>
      </c>
      <c r="D175" s="1349" t="inlineStr">
        <is>
          <t>PicknMix</t>
        </is>
      </c>
      <c r="E175" s="1351" t="n">
        <v>-12</v>
      </c>
      <c r="F175" s="1349" t="inlineStr">
        <is>
          <t>Hay Wood</t>
        </is>
      </c>
      <c r="G175" s="1349" t="inlineStr">
        <is>
          <t>Existing</t>
        </is>
      </c>
    </row>
    <row r="176" ht="13.5" customHeight="1" s="1232">
      <c r="A176" s="1348" t="n">
        <v>45290</v>
      </c>
      <c r="B176" s="1349" t="inlineStr">
        <is>
          <t>Don Marsh</t>
        </is>
      </c>
      <c r="C176" s="1350" t="inlineStr">
        <is>
          <t>6. 1-2-1</t>
        </is>
      </c>
      <c r="D176" s="1349" t="inlineStr">
        <is>
          <t>Gift Voucher Out</t>
        </is>
      </c>
      <c r="E176" s="1351" t="n">
        <v>50</v>
      </c>
      <c r="F176" s="1349" t="inlineStr">
        <is>
          <t>1-2-1 Jan 2024</t>
        </is>
      </c>
      <c r="G176" s="1349" t="inlineStr">
        <is>
          <t>Google</t>
        </is>
      </c>
    </row>
    <row r="177" ht="13.5" customHeight="1" s="1232">
      <c r="A177" s="1348" t="n">
        <v>45290</v>
      </c>
      <c r="B177" s="1349" t="inlineStr">
        <is>
          <t>Don Marsh</t>
        </is>
      </c>
      <c r="C177" s="1350" t="inlineStr">
        <is>
          <t>8. Gift Vouchers Out</t>
        </is>
      </c>
      <c r="D177" s="1349" t="inlineStr">
        <is>
          <t>Gift Voucher Out</t>
        </is>
      </c>
      <c r="E177" s="1351" t="n">
        <v>-50</v>
      </c>
      <c r="F177" s="1349" t="inlineStr">
        <is>
          <t>Digital Gift Card</t>
        </is>
      </c>
      <c r="G177" s="1349" t="inlineStr">
        <is>
          <t>Google</t>
        </is>
      </c>
    </row>
    <row r="178" ht="13.5" customHeight="1" s="1232">
      <c r="A178" s="1348" t="n">
        <v>45290</v>
      </c>
      <c r="B178" s="1349" t="inlineStr">
        <is>
          <t>David Ellis</t>
        </is>
      </c>
      <c r="C178" s="1350" t="inlineStr">
        <is>
          <t>6. 1-2-1</t>
        </is>
      </c>
      <c r="D178" s="1349" t="inlineStr">
        <is>
          <t>Stripe</t>
        </is>
      </c>
      <c r="E178" s="1351" t="n">
        <v>540</v>
      </c>
      <c r="F178" s="1349" t="inlineStr">
        <is>
          <t>Batsford 1-2-1</t>
        </is>
      </c>
      <c r="G178" s="1349" t="inlineStr">
        <is>
          <t>Google</t>
        </is>
      </c>
    </row>
    <row r="179" ht="13.5" customHeight="1" s="1232">
      <c r="A179" s="1348" t="n">
        <v>45284</v>
      </c>
      <c r="B179" s="1349" t="inlineStr">
        <is>
          <t>Christopher Round</t>
        </is>
      </c>
      <c r="C179" s="1350" t="inlineStr">
        <is>
          <t>2. Workshops</t>
        </is>
      </c>
      <c r="D179" s="1349" t="inlineStr">
        <is>
          <t>PayPal</t>
        </is>
      </c>
      <c r="E179" s="1351" t="n">
        <v>50</v>
      </c>
      <c r="F179" s="1349" t="inlineStr">
        <is>
          <t>LE Kenilworth</t>
        </is>
      </c>
      <c r="G179" s="1349" t="inlineStr">
        <is>
          <t>Google</t>
        </is>
      </c>
    </row>
    <row r="180" ht="13.5" customHeight="1" s="1232">
      <c r="A180" s="1348" t="n">
        <v>45283</v>
      </c>
      <c r="B180" s="1349" t="inlineStr">
        <is>
          <t>Alison Gilbert</t>
        </is>
      </c>
      <c r="C180" s="1350" t="inlineStr">
        <is>
          <t>7. Gift Vouchers Inc</t>
        </is>
      </c>
      <c r="D180" s="1349" t="inlineStr">
        <is>
          <t>PayPal</t>
        </is>
      </c>
      <c r="E180" s="1351" t="n">
        <v>100</v>
      </c>
      <c r="F180" s="1349" t="inlineStr">
        <is>
          <t>Digital Gift Card</t>
        </is>
      </c>
      <c r="G180" s="1349" t="inlineStr">
        <is>
          <t>Google</t>
        </is>
      </c>
    </row>
    <row r="181" ht="13.5" customHeight="1" s="1232">
      <c r="A181" s="1348" t="n">
        <v>45282</v>
      </c>
      <c r="B181" s="1349" t="inlineStr">
        <is>
          <t>Laura Cooper-Smith</t>
        </is>
      </c>
      <c r="C181" s="1350" t="inlineStr">
        <is>
          <t>2. Workshops</t>
        </is>
      </c>
      <c r="D181" s="1349" t="inlineStr">
        <is>
          <t>PayPal</t>
        </is>
      </c>
      <c r="E181" s="1351" t="n">
        <v>120</v>
      </c>
      <c r="F181" s="1349" t="inlineStr">
        <is>
          <t>Abstract Workshop</t>
        </is>
      </c>
      <c r="G181" s="1349" t="inlineStr">
        <is>
          <t>Google</t>
        </is>
      </c>
    </row>
    <row r="182" ht="13.5" customHeight="1" s="1232">
      <c r="A182" s="1348" t="n">
        <v>45281</v>
      </c>
      <c r="B182" s="1349" t="inlineStr">
        <is>
          <t>Martin Lancaster</t>
        </is>
      </c>
      <c r="C182" s="1350" t="inlineStr">
        <is>
          <t>-   Workshops Residential</t>
        </is>
      </c>
      <c r="D182" s="1349" t="inlineStr">
        <is>
          <t>Stripe</t>
        </is>
      </c>
      <c r="E182" s="1351" t="n">
        <v>995</v>
      </c>
      <c r="F182" s="1349" t="inlineStr">
        <is>
          <t>Lake District Marcg</t>
        </is>
      </c>
      <c r="G182" s="1349" t="inlineStr">
        <is>
          <t>Google</t>
        </is>
      </c>
    </row>
    <row r="183" ht="13.5" customHeight="1" s="1232">
      <c r="A183" s="1348" t="n">
        <v>45281</v>
      </c>
      <c r="B183" s="1349" t="inlineStr">
        <is>
          <t>Peter Humber</t>
        </is>
      </c>
      <c r="C183" s="1350" t="inlineStr">
        <is>
          <t>2. Workshops</t>
        </is>
      </c>
      <c r="D183" s="1349" t="inlineStr">
        <is>
          <t>Stripe</t>
        </is>
      </c>
      <c r="E183" s="1351" t="n">
        <v>125</v>
      </c>
      <c r="F183" s="1349" t="inlineStr">
        <is>
          <t>Woodland Masterclass</t>
        </is>
      </c>
      <c r="G183" s="1349" t="inlineStr">
        <is>
          <t>Google</t>
        </is>
      </c>
    </row>
    <row r="184" ht="13.5" customHeight="1" s="1232">
      <c r="A184" s="1348" t="n">
        <v>45279</v>
      </c>
      <c r="B184" s="1349" t="inlineStr">
        <is>
          <t>Michael Rowley</t>
        </is>
      </c>
      <c r="C184" s="1350" t="inlineStr">
        <is>
          <t>2. Workshops</t>
        </is>
      </c>
      <c r="D184" s="1349" t="inlineStr">
        <is>
          <t>Stripe</t>
        </is>
      </c>
      <c r="E184" s="1351" t="n">
        <v>12</v>
      </c>
      <c r="F184" s="1349" t="inlineStr">
        <is>
          <t>Woodland Walk</t>
        </is>
      </c>
      <c r="G184" s="1349" t="inlineStr">
        <is>
          <t>Google</t>
        </is>
      </c>
    </row>
    <row r="185" ht="13.5" customHeight="1" s="1232">
      <c r="A185" s="1348" t="n">
        <v>45279</v>
      </c>
      <c r="B185" s="1349" t="inlineStr">
        <is>
          <t>David Ellis</t>
        </is>
      </c>
      <c r="C185" s="1350" t="inlineStr">
        <is>
          <t>9. Prints &amp; Royalties</t>
        </is>
      </c>
      <c r="D185" s="1349" t="inlineStr">
        <is>
          <t>Bank</t>
        </is>
      </c>
      <c r="E185" s="1351" t="n">
        <v>200</v>
      </c>
      <c r="F185" s="1349" t="inlineStr">
        <is>
          <t>Fine Art Framed Print</t>
        </is>
      </c>
      <c r="G185" s="1349" t="inlineStr">
        <is>
          <t>Google</t>
        </is>
      </c>
    </row>
    <row r="186" ht="13.5" customHeight="1" s="1232">
      <c r="A186" s="1348" t="n">
        <v>45279</v>
      </c>
      <c r="B186" s="1349" t="inlineStr">
        <is>
          <t>sam hammond</t>
        </is>
      </c>
      <c r="C186" s="1350" t="inlineStr">
        <is>
          <t>7. Gift Vouchers Inc</t>
        </is>
      </c>
      <c r="D186" s="1349" t="inlineStr">
        <is>
          <t>Stripe</t>
        </is>
      </c>
      <c r="E186" s="1351" t="n">
        <v>100</v>
      </c>
      <c r="F186" s="1349" t="inlineStr">
        <is>
          <t>Digital Gift Card</t>
        </is>
      </c>
      <c r="G186" s="1349" t="inlineStr">
        <is>
          <t>Google</t>
        </is>
      </c>
    </row>
    <row r="187" ht="13.5" customHeight="1" s="1232">
      <c r="A187" s="1348" t="n">
        <v>45279</v>
      </c>
      <c r="B187" s="1349" t="inlineStr">
        <is>
          <t>GLENDA DEVEY</t>
        </is>
      </c>
      <c r="C187" s="1350" t="inlineStr">
        <is>
          <t>7. Gift Vouchers Inc</t>
        </is>
      </c>
      <c r="D187" s="1349" t="inlineStr">
        <is>
          <t>Stripe</t>
        </is>
      </c>
      <c r="E187" s="1351" t="n">
        <v>100</v>
      </c>
      <c r="F187" s="1349" t="inlineStr">
        <is>
          <t>Digital Gift Card</t>
        </is>
      </c>
      <c r="G187" s="1349" t="inlineStr">
        <is>
          <t>Google</t>
        </is>
      </c>
    </row>
    <row r="188" ht="13.5" customHeight="1" s="1232">
      <c r="A188" s="1348" t="n">
        <v>45278</v>
      </c>
      <c r="B188" s="1349" t="inlineStr">
        <is>
          <t>Graham Ibbetson</t>
        </is>
      </c>
      <c r="C188" s="1350" t="inlineStr">
        <is>
          <t>-   Workshops Residential</t>
        </is>
      </c>
      <c r="D188" s="1349" t="inlineStr">
        <is>
          <t>Stripe</t>
        </is>
      </c>
      <c r="E188" s="1351" t="n">
        <v>825</v>
      </c>
      <c r="F188" s="1349" t="inlineStr">
        <is>
          <t>Suffolk</t>
        </is>
      </c>
      <c r="G188" s="1349" t="inlineStr">
        <is>
          <t>Existing</t>
        </is>
      </c>
    </row>
    <row r="189" ht="13.5" customHeight="1" s="1232">
      <c r="A189" s="1348" t="n">
        <v>45277</v>
      </c>
      <c r="B189" s="1349" t="inlineStr">
        <is>
          <t>Kai Cott</t>
        </is>
      </c>
      <c r="C189" s="1350" t="inlineStr">
        <is>
          <t>7. Gift Vouchers Inc</t>
        </is>
      </c>
      <c r="D189" s="1349" t="inlineStr">
        <is>
          <t>Stripe</t>
        </is>
      </c>
      <c r="E189" s="1351" t="n">
        <v>50</v>
      </c>
      <c r="F189" s="1349" t="inlineStr">
        <is>
          <t>Digital Gift Card</t>
        </is>
      </c>
      <c r="G189" s="1349" t="inlineStr">
        <is>
          <t>Google</t>
        </is>
      </c>
    </row>
    <row r="190" ht="13.5" customHeight="1" s="1232">
      <c r="A190" s="1348" t="n">
        <v>45277</v>
      </c>
      <c r="B190" s="1349" t="inlineStr">
        <is>
          <t>Robert Gibson</t>
        </is>
      </c>
      <c r="C190" s="1350" t="inlineStr">
        <is>
          <t>1. Courses/masterclasses</t>
        </is>
      </c>
      <c r="D190" s="1349" t="inlineStr">
        <is>
          <t>Stripe</t>
        </is>
      </c>
      <c r="E190" s="1351" t="n">
        <v>250</v>
      </c>
      <c r="F190" s="1349" t="inlineStr">
        <is>
          <t>LR Course</t>
        </is>
      </c>
      <c r="G190" s="1349" t="inlineStr">
        <is>
          <t>Existing</t>
        </is>
      </c>
    </row>
    <row r="191" ht="13.5" customHeight="1" s="1232">
      <c r="A191" s="1348" t="n">
        <v>45275</v>
      </c>
      <c r="B191" s="1349" t="inlineStr">
        <is>
          <t>Ditty Dokter</t>
        </is>
      </c>
      <c r="C191" s="1350" t="inlineStr">
        <is>
          <t>7. Gift Vouchers Inc</t>
        </is>
      </c>
      <c r="D191" s="1349" t="inlineStr">
        <is>
          <t>Stripe</t>
        </is>
      </c>
      <c r="E191" s="1351" t="n">
        <v>50</v>
      </c>
      <c r="F191" s="1349" t="inlineStr">
        <is>
          <t>Digital Gift Card</t>
        </is>
      </c>
      <c r="G191" s="1349" t="inlineStr">
        <is>
          <t>Google</t>
        </is>
      </c>
    </row>
    <row r="192" ht="13.5" customHeight="1" s="1232">
      <c r="A192" s="1348" t="n">
        <v>45275</v>
      </c>
      <c r="B192" s="1349" t="inlineStr">
        <is>
          <t>Artfully Walls</t>
        </is>
      </c>
      <c r="C192" s="1350" t="inlineStr">
        <is>
          <t>9. Prints &amp; Royalties</t>
        </is>
      </c>
      <c r="D192" s="1349" t="inlineStr">
        <is>
          <t>PayPal</t>
        </is>
      </c>
      <c r="E192" s="1351" t="n">
        <v>26.06</v>
      </c>
      <c r="F192" s="1349" t="inlineStr">
        <is>
          <t>Artfully Walls</t>
        </is>
      </c>
      <c r="G192" s="1349" t="inlineStr">
        <is>
          <t>Artfully Walls</t>
        </is>
      </c>
    </row>
    <row r="193" ht="13.5" customHeight="1" s="1232">
      <c r="A193" s="1348" t="n">
        <v>45275</v>
      </c>
      <c r="B193" s="1349" t="inlineStr">
        <is>
          <t>Barbara Voules</t>
        </is>
      </c>
      <c r="C193" s="1350" t="inlineStr">
        <is>
          <t>6. 1-2-1</t>
        </is>
      </c>
      <c r="D193" s="1349" t="inlineStr">
        <is>
          <t>PayPal</t>
        </is>
      </c>
      <c r="E193" s="1351" t="n">
        <v>50</v>
      </c>
      <c r="F193" s="1352" t="inlineStr">
        <is>
          <t>1-2-1 Zoom</t>
        </is>
      </c>
      <c r="G193" s="1349" t="inlineStr">
        <is>
          <t>Existing</t>
        </is>
      </c>
    </row>
    <row r="194" ht="13.5" customHeight="1" s="1232">
      <c r="A194" s="1348" t="n">
        <v>45274</v>
      </c>
      <c r="B194" s="1349" t="inlineStr">
        <is>
          <t>Robert Gibson</t>
        </is>
      </c>
      <c r="C194" s="1350" t="inlineStr">
        <is>
          <t>5. Mentoring</t>
        </is>
      </c>
      <c r="D194" s="1349" t="inlineStr">
        <is>
          <t>Stripe</t>
        </is>
      </c>
      <c r="E194" s="1351" t="n">
        <v>200</v>
      </c>
      <c r="F194" s="1349" t="inlineStr">
        <is>
          <t>Mentoring Subs</t>
        </is>
      </c>
      <c r="G194" s="1349" t="inlineStr">
        <is>
          <t>Existing</t>
        </is>
      </c>
    </row>
    <row r="195" ht="13.5" customHeight="1" s="1232">
      <c r="A195" s="1348" t="n">
        <v>45274</v>
      </c>
      <c r="B195" s="1349" t="inlineStr">
        <is>
          <t>Kelly Westwood</t>
        </is>
      </c>
      <c r="C195" s="1350" t="inlineStr">
        <is>
          <t>5. Mentoring</t>
        </is>
      </c>
      <c r="D195" s="1349" t="inlineStr">
        <is>
          <t>Stripe</t>
        </is>
      </c>
      <c r="E195" s="1351" t="n">
        <v>20</v>
      </c>
      <c r="F195" s="1349" t="inlineStr">
        <is>
          <t>Mentoring Subs</t>
        </is>
      </c>
      <c r="G195" s="1349" t="inlineStr">
        <is>
          <t>Existing</t>
        </is>
      </c>
    </row>
    <row r="196" ht="13.5" customHeight="1" s="1232">
      <c r="A196" s="1348" t="n">
        <v>45272</v>
      </c>
      <c r="B196" s="1349" t="inlineStr">
        <is>
          <t>Artfully Walls</t>
        </is>
      </c>
      <c r="C196" s="1350" t="inlineStr">
        <is>
          <t>9. Prints &amp; Royalties</t>
        </is>
      </c>
      <c r="D196" s="1349" t="inlineStr">
        <is>
          <t>PayPal</t>
        </is>
      </c>
      <c r="E196" s="1351" t="n">
        <v>39</v>
      </c>
      <c r="F196" s="1349" t="inlineStr">
        <is>
          <t>Artfully Walls</t>
        </is>
      </c>
      <c r="G196" s="1349" t="inlineStr">
        <is>
          <t>Artfully Walls</t>
        </is>
      </c>
    </row>
    <row r="197" ht="13.5" customHeight="1" s="1232">
      <c r="A197" s="1348" t="n">
        <v>45270</v>
      </c>
      <c r="B197" s="1349" t="inlineStr">
        <is>
          <t>Resalve LTD</t>
        </is>
      </c>
      <c r="C197" s="1350" t="inlineStr">
        <is>
          <t>7. Gift Vouchers Inc</t>
        </is>
      </c>
      <c r="D197" s="1349" t="inlineStr">
        <is>
          <t>Stripe</t>
        </is>
      </c>
      <c r="E197" s="1351" t="n">
        <v>30</v>
      </c>
      <c r="F197" s="1349" t="inlineStr">
        <is>
          <t>Digital Gift Card</t>
        </is>
      </c>
      <c r="G197" s="1349" t="inlineStr">
        <is>
          <t>Google</t>
        </is>
      </c>
    </row>
    <row r="198" ht="13.5" customHeight="1" s="1232">
      <c r="A198" s="1348" t="n">
        <v>45269</v>
      </c>
      <c r="B198" s="1349" t="inlineStr">
        <is>
          <t>Philippa King</t>
        </is>
      </c>
      <c r="C198" s="1350" t="inlineStr">
        <is>
          <t>3. Pick n Mix Inc</t>
        </is>
      </c>
      <c r="D198" s="1349" t="inlineStr">
        <is>
          <t>Stripe</t>
        </is>
      </c>
      <c r="E198" s="1351" t="n">
        <v>1500</v>
      </c>
      <c r="F198" s="1349" t="inlineStr">
        <is>
          <t>Pick N Mix Payments</t>
        </is>
      </c>
      <c r="G198" s="1349" t="inlineStr">
        <is>
          <t>Existing</t>
        </is>
      </c>
    </row>
    <row r="199" ht="13.5" customHeight="1" s="1232">
      <c r="A199" s="1348" t="n">
        <v>45269</v>
      </c>
      <c r="B199" s="1349" t="inlineStr">
        <is>
          <t>David Pyta</t>
        </is>
      </c>
      <c r="C199" s="1350" t="inlineStr">
        <is>
          <t>3. Pick n Mix Inc</t>
        </is>
      </c>
      <c r="D199" s="1349" t="inlineStr">
        <is>
          <t>Stripe</t>
        </is>
      </c>
      <c r="E199" s="1351" t="n">
        <v>1500</v>
      </c>
      <c r="F199" s="1349" t="inlineStr">
        <is>
          <t>Pick N Mix Payments</t>
        </is>
      </c>
      <c r="G199" s="1349" t="inlineStr">
        <is>
          <t>Existing</t>
        </is>
      </c>
    </row>
    <row r="200" ht="13.5" customHeight="1" s="1232">
      <c r="A200" s="1348" t="n">
        <v>45269</v>
      </c>
      <c r="B200" s="1349" t="inlineStr">
        <is>
          <t>Helen Richmond</t>
        </is>
      </c>
      <c r="C200" s="1350" t="inlineStr">
        <is>
          <t>7. Gift Vouchers Inc</t>
        </is>
      </c>
      <c r="D200" s="1349" t="inlineStr">
        <is>
          <t>Stripe</t>
        </is>
      </c>
      <c r="E200" s="1351" t="n">
        <v>30</v>
      </c>
      <c r="F200" s="1349" t="inlineStr">
        <is>
          <t>Digital Gift Card</t>
        </is>
      </c>
      <c r="G200" s="1349" t="inlineStr">
        <is>
          <t>Google</t>
        </is>
      </c>
    </row>
    <row r="201" ht="13.5" customHeight="1" s="1232">
      <c r="A201" s="1348" t="n">
        <v>45269</v>
      </c>
      <c r="B201" s="1349" t="inlineStr">
        <is>
          <t>Helen Richmond</t>
        </is>
      </c>
      <c r="C201" s="1350" t="inlineStr">
        <is>
          <t>7. Gift Vouchers Inc</t>
        </is>
      </c>
      <c r="D201" s="1349" t="inlineStr">
        <is>
          <t>Stripe</t>
        </is>
      </c>
      <c r="E201" s="1351" t="n">
        <v>30</v>
      </c>
      <c r="F201" s="1349" t="inlineStr">
        <is>
          <t>Digital Gift Card</t>
        </is>
      </c>
      <c r="G201" s="1349" t="inlineStr">
        <is>
          <t>Google</t>
        </is>
      </c>
    </row>
    <row r="202" ht="13.5" customHeight="1" s="1232">
      <c r="A202" s="1348" t="n">
        <v>45265</v>
      </c>
      <c r="B202" s="1349" t="inlineStr">
        <is>
          <t>Dene Caple</t>
        </is>
      </c>
      <c r="C202" s="1350" t="inlineStr">
        <is>
          <t>5. Mentoring</t>
        </is>
      </c>
      <c r="D202" s="1349" t="inlineStr">
        <is>
          <t>Stripe</t>
        </is>
      </c>
      <c r="E202" s="1351" t="n">
        <v>20</v>
      </c>
      <c r="F202" s="1349" t="inlineStr">
        <is>
          <t>Pick N Mix Payments</t>
        </is>
      </c>
      <c r="G202" s="1349" t="inlineStr">
        <is>
          <t>Google</t>
        </is>
      </c>
    </row>
    <row r="203" ht="13.5" customHeight="1" s="1232">
      <c r="A203" s="1348" t="n">
        <v>45264</v>
      </c>
      <c r="B203" s="1349" t="inlineStr">
        <is>
          <t>Joanne Galloway</t>
        </is>
      </c>
      <c r="C203" s="1350" t="inlineStr">
        <is>
          <t>3. Pick n Mix Inc</t>
        </is>
      </c>
      <c r="D203" s="1349" t="inlineStr">
        <is>
          <t>Bank</t>
        </is>
      </c>
      <c r="E203" s="1351" t="n">
        <v>1200</v>
      </c>
      <c r="F203" s="1349" t="inlineStr">
        <is>
          <t>Pick N Mix Payments</t>
        </is>
      </c>
      <c r="G203" s="1349" t="inlineStr">
        <is>
          <t>Existing</t>
        </is>
      </c>
    </row>
    <row r="204" ht="13.5" customHeight="1" s="1232">
      <c r="A204" s="1348" t="n">
        <v>45261</v>
      </c>
      <c r="B204" s="1349" t="inlineStr">
        <is>
          <t>Pick n Mix Subs</t>
        </is>
      </c>
      <c r="C204" s="1350" t="inlineStr">
        <is>
          <t>3. Pick n Mix Inc</t>
        </is>
      </c>
      <c r="D204" s="1349" t="inlineStr">
        <is>
          <t>Various</t>
        </is>
      </c>
      <c r="E204" s="1351" t="n">
        <v>50</v>
      </c>
      <c r="F204" s="1349" t="inlineStr">
        <is>
          <t>Pick N Mix Payments</t>
        </is>
      </c>
      <c r="G204" s="1349" t="inlineStr">
        <is>
          <t>Existing</t>
        </is>
      </c>
    </row>
    <row r="205" ht="13.5" customHeight="1" s="1232">
      <c r="A205" s="1348" t="n">
        <v>45261</v>
      </c>
      <c r="B205" s="1349" t="inlineStr">
        <is>
          <t>Mentoring Subs</t>
        </is>
      </c>
      <c r="C205" s="1350" t="inlineStr">
        <is>
          <t>5. Mentoring</t>
        </is>
      </c>
      <c r="D205" s="1349" t="inlineStr">
        <is>
          <t>Various</t>
        </is>
      </c>
      <c r="E205" s="1351" t="n">
        <v>40</v>
      </c>
      <c r="F205" s="1349" t="inlineStr">
        <is>
          <t>Mentoring Subs</t>
        </is>
      </c>
      <c r="G205" s="1349" t="inlineStr">
        <is>
          <t>Existing</t>
        </is>
      </c>
    </row>
    <row r="206" ht="13.5" customHeight="1" s="1232">
      <c r="A206" s="1348" t="n"/>
      <c r="B206" s="1349" t="n"/>
      <c r="C206" s="1350" t="n"/>
      <c r="D206" s="1349" t="n"/>
      <c r="E206" s="1351" t="n"/>
      <c r="F206" s="1349" t="n"/>
      <c r="G206" s="1349" t="n"/>
    </row>
    <row r="207" ht="13.5" customHeight="1" s="1232">
      <c r="A207" s="1348" t="n">
        <v>45258</v>
      </c>
      <c r="B207" s="1349" t="inlineStr">
        <is>
          <t>Artfully Walls</t>
        </is>
      </c>
      <c r="C207" s="1350" t="inlineStr">
        <is>
          <t>9. Prints &amp; Royalties</t>
        </is>
      </c>
      <c r="D207" s="1349" t="inlineStr">
        <is>
          <t>PayPal</t>
        </is>
      </c>
      <c r="E207" s="1351" t="n">
        <v>9.09</v>
      </c>
      <c r="F207" s="1349" t="inlineStr">
        <is>
          <t>Artfully Walls</t>
        </is>
      </c>
      <c r="G207" s="1349" t="inlineStr">
        <is>
          <t>Artfully Walls</t>
        </is>
      </c>
    </row>
    <row r="208" ht="13.5" customHeight="1" s="1232">
      <c r="A208" s="1348" t="n">
        <v>45257</v>
      </c>
      <c r="B208" s="1349" t="inlineStr">
        <is>
          <t>Sophie Talbot</t>
        </is>
      </c>
      <c r="C208" s="1350" t="inlineStr">
        <is>
          <t>2. Workshops</t>
        </is>
      </c>
      <c r="D208" s="1349" t="inlineStr">
        <is>
          <t>Stripe</t>
        </is>
      </c>
      <c r="E208" s="1351" t="n">
        <v>100</v>
      </c>
      <c r="F208" s="1349" t="inlineStr">
        <is>
          <t>LE Kenilworth</t>
        </is>
      </c>
      <c r="G208" s="1349" t="inlineStr">
        <is>
          <t>Google</t>
        </is>
      </c>
    </row>
    <row r="209" ht="13.5" customHeight="1" s="1232">
      <c r="A209" s="1348" t="n">
        <v>45255</v>
      </c>
      <c r="B209" s="1349" t="inlineStr">
        <is>
          <t>Elaine O'Connor</t>
        </is>
      </c>
      <c r="C209" s="1350" t="inlineStr">
        <is>
          <t>2. Workshops</t>
        </is>
      </c>
      <c r="D209" s="1349" t="inlineStr">
        <is>
          <t>Stripe</t>
        </is>
      </c>
      <c r="E209" s="1351" t="n">
        <v>125</v>
      </c>
      <c r="F209" s="1349" t="inlineStr">
        <is>
          <t>Woodland Masterclass</t>
        </is>
      </c>
      <c r="G209" s="1349" t="inlineStr">
        <is>
          <t>Google</t>
        </is>
      </c>
    </row>
    <row r="210" ht="13.5" customHeight="1" s="1232">
      <c r="A210" s="1348" t="n">
        <v>45254</v>
      </c>
      <c r="B210" s="1349" t="inlineStr">
        <is>
          <t>Kase</t>
        </is>
      </c>
      <c r="C210" s="1350" t="inlineStr">
        <is>
          <t>11. Other</t>
        </is>
      </c>
      <c r="D210" s="1349" t="inlineStr">
        <is>
          <t>Bank</t>
        </is>
      </c>
      <c r="E210" s="1351" t="n">
        <v>20.18</v>
      </c>
      <c r="F210" s="1349" t="inlineStr">
        <is>
          <t>Kase Commission</t>
        </is>
      </c>
      <c r="G210" s="1349" t="inlineStr">
        <is>
          <t>Existing</t>
        </is>
      </c>
    </row>
    <row r="211" ht="13.5" customHeight="1" s="1232">
      <c r="A211" s="1348" t="n">
        <v>45254</v>
      </c>
      <c r="B211" s="1349" t="inlineStr">
        <is>
          <t>Caravan and Camping Club</t>
        </is>
      </c>
      <c r="C211" s="1350" t="inlineStr">
        <is>
          <t>10 Commissions</t>
        </is>
      </c>
      <c r="D211" s="1349" t="inlineStr">
        <is>
          <t>Bank</t>
        </is>
      </c>
      <c r="E211" s="1351" t="n">
        <v>990</v>
      </c>
      <c r="F211" s="1349" t="inlineStr">
        <is>
          <t>Staff Training</t>
        </is>
      </c>
      <c r="G211" s="1349" t="inlineStr">
        <is>
          <t>Google</t>
        </is>
      </c>
    </row>
    <row r="212" ht="13.5" customHeight="1" s="1232">
      <c r="A212" s="1348" t="n">
        <v>45254</v>
      </c>
      <c r="B212" s="1349" t="inlineStr">
        <is>
          <t>Crawford Patterson</t>
        </is>
      </c>
      <c r="C212" s="1350" t="inlineStr">
        <is>
          <t>-   Workshops Residential</t>
        </is>
      </c>
      <c r="D212" s="1349" t="inlineStr">
        <is>
          <t>Bank</t>
        </is>
      </c>
      <c r="E212" s="1351" t="n">
        <v>636</v>
      </c>
      <c r="F212" s="1349" t="inlineStr">
        <is>
          <t>Suffolk</t>
        </is>
      </c>
      <c r="G212" s="1349" t="inlineStr">
        <is>
          <t>Into the Blue</t>
        </is>
      </c>
    </row>
    <row r="213" ht="13.5" customHeight="1" s="1232">
      <c r="A213" s="1348" t="n">
        <v>45250</v>
      </c>
      <c r="B213" s="1349" t="inlineStr">
        <is>
          <t>Alan Coutts</t>
        </is>
      </c>
      <c r="C213" s="1350" t="inlineStr">
        <is>
          <t>6. 1-2-1</t>
        </is>
      </c>
      <c r="D213" s="1349" t="inlineStr">
        <is>
          <t>PayPal</t>
        </is>
      </c>
      <c r="E213" s="1351" t="n">
        <v>120</v>
      </c>
      <c r="F213" s="1352" t="inlineStr">
        <is>
          <t>1-2-1 F2F</t>
        </is>
      </c>
      <c r="G213" s="1349" t="inlineStr">
        <is>
          <t>Google</t>
        </is>
      </c>
    </row>
    <row r="214" ht="13.5" customHeight="1" s="1232">
      <c r="A214" s="1348" t="n">
        <v>45248</v>
      </c>
      <c r="B214" s="1349" t="inlineStr">
        <is>
          <t>Emma Marsh</t>
        </is>
      </c>
      <c r="C214" s="1350" t="inlineStr">
        <is>
          <t>7. Gift Vouchers Inc</t>
        </is>
      </c>
      <c r="D214" s="1349" t="inlineStr">
        <is>
          <t>Stripe</t>
        </is>
      </c>
      <c r="E214" s="1351" t="n">
        <v>75</v>
      </c>
      <c r="F214" s="1349" t="inlineStr">
        <is>
          <t>Digital Gift Card</t>
        </is>
      </c>
      <c r="G214" s="1349" t="inlineStr">
        <is>
          <t>Google</t>
        </is>
      </c>
    </row>
    <row r="215" ht="13.5" customHeight="1" s="1232">
      <c r="A215" s="1348" t="n">
        <v>45247</v>
      </c>
      <c r="B215" s="1349" t="inlineStr">
        <is>
          <t>Cheryl Phillpot</t>
        </is>
      </c>
      <c r="C215" s="1350" t="inlineStr">
        <is>
          <t>6. 1-2-1</t>
        </is>
      </c>
      <c r="D215" s="1349" t="inlineStr">
        <is>
          <t>Stripe</t>
        </is>
      </c>
      <c r="E215" s="1351" t="n">
        <v>50</v>
      </c>
      <c r="F215" s="1349" t="inlineStr">
        <is>
          <t>T&amp;E</t>
        </is>
      </c>
      <c r="G215" s="1349" t="inlineStr">
        <is>
          <t>Existing</t>
        </is>
      </c>
    </row>
    <row r="216" ht="13.5" customHeight="1" s="1232">
      <c r="A216" s="1348" t="n">
        <v>45247</v>
      </c>
      <c r="B216" s="1349" t="inlineStr">
        <is>
          <t>Artfully Walls</t>
        </is>
      </c>
      <c r="C216" s="1350" t="inlineStr">
        <is>
          <t>9. Prints &amp; Royalties</t>
        </is>
      </c>
      <c r="D216" s="1349" t="inlineStr">
        <is>
          <t>PayPal</t>
        </is>
      </c>
      <c r="E216" s="1351" t="n">
        <v>89.33</v>
      </c>
      <c r="F216" s="1349" t="inlineStr">
        <is>
          <t>Artfully Walls</t>
        </is>
      </c>
      <c r="G216" s="1349" t="inlineStr">
        <is>
          <t>Artfully Walls</t>
        </is>
      </c>
    </row>
    <row r="217" ht="13.5" customHeight="1" s="1232">
      <c r="A217" s="1348" t="n">
        <v>45244</v>
      </c>
      <c r="B217" s="1349" t="inlineStr">
        <is>
          <t>Graeme Dykes</t>
        </is>
      </c>
      <c r="C217" s="1350" t="inlineStr">
        <is>
          <t>7. Gift Vouchers Inc</t>
        </is>
      </c>
      <c r="D217" s="1349" t="inlineStr">
        <is>
          <t>Stripe</t>
        </is>
      </c>
      <c r="E217" s="1351" t="n">
        <v>800</v>
      </c>
      <c r="F217" s="1349" t="inlineStr">
        <is>
          <t>Digital Gift Card</t>
        </is>
      </c>
      <c r="G217" s="1349" t="inlineStr">
        <is>
          <t>Google</t>
        </is>
      </c>
    </row>
    <row r="218" ht="13.5" customHeight="1" s="1232">
      <c r="A218" s="1348" t="n">
        <v>45239</v>
      </c>
      <c r="B218" s="1349" t="inlineStr">
        <is>
          <t>Ian Hope</t>
        </is>
      </c>
      <c r="C218" s="1350" t="inlineStr">
        <is>
          <t>2. Workshops</t>
        </is>
      </c>
      <c r="D218" s="1349" t="inlineStr">
        <is>
          <t>Stripe</t>
        </is>
      </c>
      <c r="E218" s="1351" t="n">
        <v>50</v>
      </c>
      <c r="F218" s="1349" t="inlineStr">
        <is>
          <t>Batsford Extension</t>
        </is>
      </c>
      <c r="G218" s="1349" t="inlineStr">
        <is>
          <t>Existing</t>
        </is>
      </c>
    </row>
    <row r="219" ht="13.5" customHeight="1" s="1232">
      <c r="A219" s="1348" t="n">
        <v>45238</v>
      </c>
      <c r="B219" s="1349" t="inlineStr">
        <is>
          <t>Alison Horsfall</t>
        </is>
      </c>
      <c r="C219" s="1350" t="inlineStr">
        <is>
          <t>1. Courses/masterclasses</t>
        </is>
      </c>
      <c r="D219" s="1349" t="inlineStr">
        <is>
          <t>Stripe</t>
        </is>
      </c>
      <c r="E219" s="1351" t="n">
        <v>75</v>
      </c>
      <c r="F219" s="1349" t="inlineStr">
        <is>
          <t>Rebooking Course</t>
        </is>
      </c>
      <c r="G219" s="1349" t="inlineStr">
        <is>
          <t>Existing</t>
        </is>
      </c>
    </row>
    <row r="220" ht="13.5" customHeight="1" s="1232">
      <c r="A220" s="1348" t="n">
        <v>45237</v>
      </c>
      <c r="B220" s="1349" t="inlineStr">
        <is>
          <t>Alvin Roussel</t>
        </is>
      </c>
      <c r="C220" s="1350" t="inlineStr">
        <is>
          <t>2. Workshops</t>
        </is>
      </c>
      <c r="D220" s="1349" t="inlineStr">
        <is>
          <t>Stripe</t>
        </is>
      </c>
      <c r="E220" s="1351" t="n">
        <v>125</v>
      </c>
      <c r="F220" s="1349" t="inlineStr">
        <is>
          <t>Bluebells</t>
        </is>
      </c>
      <c r="G220" s="1349" t="inlineStr">
        <is>
          <t>Google</t>
        </is>
      </c>
    </row>
    <row r="221" ht="13.5" customHeight="1" s="1232">
      <c r="A221" s="1348" t="n">
        <v>45237</v>
      </c>
      <c r="B221" s="1349" t="inlineStr">
        <is>
          <t>Lucy gutteridge</t>
        </is>
      </c>
      <c r="C221" s="1350" t="inlineStr">
        <is>
          <t>2. Workshops</t>
        </is>
      </c>
      <c r="D221" s="1349" t="inlineStr">
        <is>
          <t>PayPal</t>
        </is>
      </c>
      <c r="E221" s="1351" t="n">
        <v>125</v>
      </c>
      <c r="F221" s="1349" t="inlineStr">
        <is>
          <t>Woodland Masterclass</t>
        </is>
      </c>
      <c r="G221" s="1349" t="inlineStr">
        <is>
          <t>Google</t>
        </is>
      </c>
    </row>
    <row r="222" ht="13.5" customHeight="1" s="1232">
      <c r="A222" s="1348" t="n">
        <v>45235</v>
      </c>
      <c r="B222" s="1349" t="inlineStr">
        <is>
          <t>Ambra Minoli</t>
        </is>
      </c>
      <c r="C222" s="1350" t="inlineStr">
        <is>
          <t>2. Workshops</t>
        </is>
      </c>
      <c r="D222" s="1349" t="inlineStr">
        <is>
          <t>PayPal</t>
        </is>
      </c>
      <c r="E222" s="1351" t="n">
        <v>125</v>
      </c>
      <c r="F222" s="1349" t="inlineStr">
        <is>
          <t>Woodland Masterclass</t>
        </is>
      </c>
      <c r="G222" s="1349" t="inlineStr">
        <is>
          <t>Existing</t>
        </is>
      </c>
    </row>
    <row r="223" ht="13.5" customHeight="1" s="1232">
      <c r="A223" s="1348" t="n">
        <v>45235</v>
      </c>
      <c r="B223" s="1349" t="inlineStr">
        <is>
          <t>Pamela Digby</t>
        </is>
      </c>
      <c r="C223" s="1350" t="inlineStr">
        <is>
          <t>-   Workshops Residential</t>
        </is>
      </c>
      <c r="D223" s="1349" t="inlineStr">
        <is>
          <t>Stripe</t>
        </is>
      </c>
      <c r="E223" s="1351" t="n">
        <v>191</v>
      </c>
      <c r="F223" s="1349" t="inlineStr">
        <is>
          <t>Suffolk extra B&amp;B x 2</t>
        </is>
      </c>
      <c r="G223" s="1349" t="inlineStr">
        <is>
          <t>Existing</t>
        </is>
      </c>
    </row>
    <row r="224" ht="13.5" customHeight="1" s="1232">
      <c r="A224" s="1348" t="n">
        <v>45233</v>
      </c>
      <c r="B224" s="1349" t="inlineStr">
        <is>
          <t>Pamela Digby</t>
        </is>
      </c>
      <c r="C224" s="1350" t="inlineStr">
        <is>
          <t>-   Workshops Residential</t>
        </is>
      </c>
      <c r="D224" s="1349" t="inlineStr">
        <is>
          <t>Stripe</t>
        </is>
      </c>
      <c r="E224" s="1351" t="n">
        <v>795</v>
      </c>
      <c r="F224" s="1349" t="inlineStr">
        <is>
          <t>Suffolk</t>
        </is>
      </c>
      <c r="G224" s="1349" t="inlineStr">
        <is>
          <t>Existing</t>
        </is>
      </c>
    </row>
    <row r="225" ht="13.5" customHeight="1" s="1232">
      <c r="A225" s="1348" t="n">
        <v>45232</v>
      </c>
      <c r="B225" s="1349" t="inlineStr">
        <is>
          <t>Bindu Felix</t>
        </is>
      </c>
      <c r="C225" s="1350" t="inlineStr">
        <is>
          <t>2. Workshops</t>
        </is>
      </c>
      <c r="D225" s="1349" t="inlineStr">
        <is>
          <t>PayPal</t>
        </is>
      </c>
      <c r="E225" s="1351" t="n">
        <v>12</v>
      </c>
      <c r="F225" s="1349" t="inlineStr">
        <is>
          <t>Woodland Walk</t>
        </is>
      </c>
      <c r="G225" s="1349" t="inlineStr">
        <is>
          <t>Google</t>
        </is>
      </c>
    </row>
    <row r="226" ht="13.5" customHeight="1" s="1232">
      <c r="A226" s="1348" t="n">
        <v>45231</v>
      </c>
      <c r="B226" s="1349" t="inlineStr">
        <is>
          <t>Cheryl Phillpot</t>
        </is>
      </c>
      <c r="C226" s="1350" t="inlineStr">
        <is>
          <t>6. 1-2-1</t>
        </is>
      </c>
      <c r="D226" s="1349" t="inlineStr">
        <is>
          <t>Gift Voucher Out</t>
        </is>
      </c>
      <c r="E226" s="1351" t="n">
        <v>250</v>
      </c>
      <c r="F226" s="1349" t="inlineStr">
        <is>
          <t>1-2-1 Jan 2024</t>
        </is>
      </c>
      <c r="G226" s="1349" t="inlineStr">
        <is>
          <t>Google</t>
        </is>
      </c>
    </row>
    <row r="227" ht="13.5" customHeight="1" s="1232">
      <c r="A227" s="1348" t="n">
        <v>45231</v>
      </c>
      <c r="B227" s="1349" t="inlineStr">
        <is>
          <t>Cheryl Phillpot</t>
        </is>
      </c>
      <c r="C227" s="1350" t="inlineStr">
        <is>
          <t>8. Gift Vouchers Out</t>
        </is>
      </c>
      <c r="D227" s="1349" t="inlineStr">
        <is>
          <t>Gift Voucher Out</t>
        </is>
      </c>
      <c r="E227" s="1351" t="n">
        <v>-250</v>
      </c>
      <c r="F227" s="1349" t="inlineStr">
        <is>
          <t>Digital Gift Card</t>
        </is>
      </c>
      <c r="G227" s="1349" t="inlineStr">
        <is>
          <t>Google</t>
        </is>
      </c>
    </row>
    <row r="228" ht="13.5" customHeight="1" s="1232">
      <c r="A228" s="1348" t="n">
        <v>45231</v>
      </c>
      <c r="B228" s="1349" t="inlineStr">
        <is>
          <t>Barbara Voules</t>
        </is>
      </c>
      <c r="C228" s="1350" t="inlineStr">
        <is>
          <t>6. 1-2-1</t>
        </is>
      </c>
      <c r="D228" s="1349" t="inlineStr">
        <is>
          <t>Stripe</t>
        </is>
      </c>
      <c r="E228" s="1351" t="n">
        <v>170</v>
      </c>
      <c r="F228" s="1349" t="inlineStr">
        <is>
          <t xml:space="preserve">4 x 1hr Zoom </t>
        </is>
      </c>
      <c r="G228" s="1349" t="inlineStr">
        <is>
          <t>Existing</t>
        </is>
      </c>
    </row>
    <row r="229" ht="13.5" customHeight="1" s="1232">
      <c r="A229" s="1348" t="n">
        <v>45231</v>
      </c>
      <c r="B229" s="1349" t="inlineStr">
        <is>
          <t>Cheryl Phillpot</t>
        </is>
      </c>
      <c r="C229" s="1350" t="inlineStr">
        <is>
          <t>7. Gift Vouchers Inc</t>
        </is>
      </c>
      <c r="D229" s="1349" t="inlineStr">
        <is>
          <t>Stripe</t>
        </is>
      </c>
      <c r="E229" s="1351" t="n">
        <v>250</v>
      </c>
      <c r="F229" s="1349" t="inlineStr">
        <is>
          <t>Digital Gift Card</t>
        </is>
      </c>
      <c r="G229" s="1349" t="inlineStr">
        <is>
          <t>Google</t>
        </is>
      </c>
    </row>
    <row r="230" ht="13.5" customHeight="1" s="1232">
      <c r="A230" s="1348" t="n">
        <v>45231</v>
      </c>
      <c r="B230" s="1349" t="inlineStr">
        <is>
          <t>Pick n Mix Subs</t>
        </is>
      </c>
      <c r="C230" s="1350" t="inlineStr">
        <is>
          <t>3. Pick n Mix Inc</t>
        </is>
      </c>
      <c r="D230" s="1349" t="inlineStr">
        <is>
          <t>Various</t>
        </is>
      </c>
      <c r="E230" s="1351" t="n">
        <v>50</v>
      </c>
      <c r="F230" s="1349" t="inlineStr">
        <is>
          <t>Pick N Mix Payments</t>
        </is>
      </c>
      <c r="G230" s="1349" t="inlineStr">
        <is>
          <t>Existing</t>
        </is>
      </c>
    </row>
    <row r="231" ht="13.5" customHeight="1" s="1232">
      <c r="A231" s="1348" t="n">
        <v>45231</v>
      </c>
      <c r="B231" s="1349" t="inlineStr">
        <is>
          <t>Mentoring Subs</t>
        </is>
      </c>
      <c r="C231" s="1350" t="inlineStr">
        <is>
          <t>5. Mentoring</t>
        </is>
      </c>
      <c r="D231" s="1349" t="inlineStr">
        <is>
          <t>Various</t>
        </is>
      </c>
      <c r="E231" s="1351" t="n">
        <v>40</v>
      </c>
      <c r="F231" s="1349" t="inlineStr">
        <is>
          <t>Mentoring Subs</t>
        </is>
      </c>
      <c r="G231" s="1349" t="inlineStr">
        <is>
          <t>Existing</t>
        </is>
      </c>
    </row>
    <row r="232" ht="13.5" customHeight="1" s="1232">
      <c r="A232" s="1348" t="n"/>
      <c r="B232" s="1349" t="n"/>
      <c r="C232" s="1350" t="n"/>
      <c r="D232" s="1349" t="n"/>
      <c r="E232" s="1351" t="n"/>
      <c r="F232" s="1349" t="n"/>
      <c r="G232" s="1349" t="n"/>
    </row>
    <row r="233" ht="13.5" customHeight="1" s="1232">
      <c r="A233" s="1348" t="n">
        <v>45223</v>
      </c>
      <c r="B233" s="1349" t="inlineStr">
        <is>
          <t>Martin Vincent</t>
        </is>
      </c>
      <c r="C233" s="1350" t="inlineStr">
        <is>
          <t>2. Workshops</t>
        </is>
      </c>
      <c r="D233" s="1349" t="inlineStr">
        <is>
          <t>PayPal</t>
        </is>
      </c>
      <c r="E233" s="1351" t="n">
        <v>50</v>
      </c>
      <c r="F233" s="1349" t="inlineStr">
        <is>
          <t>LE Kenilworth</t>
        </is>
      </c>
      <c r="G233" s="1349" t="inlineStr">
        <is>
          <t>Existing</t>
        </is>
      </c>
    </row>
    <row r="234" ht="13.5" customHeight="1" s="1232">
      <c r="A234" s="1348" t="n">
        <v>45226</v>
      </c>
      <c r="B234" s="1349" t="inlineStr">
        <is>
          <t>John Evans</t>
        </is>
      </c>
      <c r="C234" s="1350" t="inlineStr">
        <is>
          <t>6. 1-2-1</t>
        </is>
      </c>
      <c r="D234" s="1349" t="inlineStr">
        <is>
          <t>Stripe</t>
        </is>
      </c>
      <c r="E234" s="1351" t="n">
        <v>360</v>
      </c>
      <c r="F234" s="1349" t="inlineStr">
        <is>
          <t>4 x 2hr 1-2-1s</t>
        </is>
      </c>
      <c r="G234" s="1349" t="inlineStr">
        <is>
          <t>Google</t>
        </is>
      </c>
    </row>
    <row r="235" ht="13.5" customHeight="1" s="1232">
      <c r="A235" s="1348" t="n">
        <v>45224</v>
      </c>
      <c r="B235" s="1349" t="inlineStr">
        <is>
          <t>Kate Roberts</t>
        </is>
      </c>
      <c r="C235" s="1350" t="inlineStr">
        <is>
          <t>10 Commissions</t>
        </is>
      </c>
      <c r="D235" s="1349" t="inlineStr">
        <is>
          <t>Stripe</t>
        </is>
      </c>
      <c r="E235" s="1351" t="n">
        <v>150</v>
      </c>
      <c r="F235" s="1349" t="inlineStr">
        <is>
          <t>Artwork Commision</t>
        </is>
      </c>
      <c r="G235" s="1349" t="inlineStr">
        <is>
          <t>Google</t>
        </is>
      </c>
    </row>
    <row r="236" ht="13.5" customHeight="1" s="1232">
      <c r="A236" s="1348" t="n">
        <v>45224</v>
      </c>
      <c r="B236" s="1349" t="inlineStr">
        <is>
          <t>Trevor Blagg</t>
        </is>
      </c>
      <c r="C236" s="1350" t="inlineStr">
        <is>
          <t>1. Courses/masterclasses</t>
        </is>
      </c>
      <c r="D236" s="1349" t="inlineStr">
        <is>
          <t>Stripe</t>
        </is>
      </c>
      <c r="E236" s="1351" t="n">
        <v>250</v>
      </c>
      <c r="F236" s="1349" t="inlineStr">
        <is>
          <t>5wk Beginers Course</t>
        </is>
      </c>
      <c r="G236" s="1349" t="inlineStr">
        <is>
          <t>Google</t>
        </is>
      </c>
    </row>
    <row r="237" ht="13.5" customHeight="1" s="1232">
      <c r="A237" s="1348" t="n">
        <v>45222</v>
      </c>
      <c r="B237" s="1349" t="inlineStr">
        <is>
          <t>Keith Newton</t>
        </is>
      </c>
      <c r="C237" s="1350" t="inlineStr">
        <is>
          <t>2. Workshops</t>
        </is>
      </c>
      <c r="D237" s="1349" t="inlineStr">
        <is>
          <t>Gift Voucher Out</t>
        </is>
      </c>
      <c r="E237" s="1351" t="n">
        <v>12</v>
      </c>
      <c r="F237" s="1349" t="inlineStr">
        <is>
          <t>Woodland Walk</t>
        </is>
      </c>
      <c r="G237" s="1349" t="inlineStr">
        <is>
          <t>Existing</t>
        </is>
      </c>
    </row>
    <row r="238" ht="13.5" customHeight="1" s="1232">
      <c r="A238" s="1348" t="n">
        <v>45222</v>
      </c>
      <c r="B238" s="1349" t="inlineStr">
        <is>
          <t>Keith Newton</t>
        </is>
      </c>
      <c r="C238" s="1350" t="inlineStr">
        <is>
          <t>8. Gift Vouchers Out</t>
        </is>
      </c>
      <c r="D238" s="1349" t="inlineStr">
        <is>
          <t>Gift Voucher Out</t>
        </is>
      </c>
      <c r="E238" s="1351" t="n">
        <v>-12</v>
      </c>
      <c r="F238" s="1349" t="inlineStr">
        <is>
          <t>Woodland Walk</t>
        </is>
      </c>
      <c r="G238" s="1349" t="inlineStr">
        <is>
          <t>Existing</t>
        </is>
      </c>
    </row>
    <row r="239" ht="13.5" customHeight="1" s="1232">
      <c r="A239" s="1348" t="n">
        <v>45222</v>
      </c>
      <c r="B239" s="1349" t="inlineStr">
        <is>
          <t>Ambra Minoli</t>
        </is>
      </c>
      <c r="C239" s="1350" t="inlineStr">
        <is>
          <t>2. Workshops</t>
        </is>
      </c>
      <c r="D239" s="1349" t="inlineStr">
        <is>
          <t>PayPal</t>
        </is>
      </c>
      <c r="E239" s="1351" t="n">
        <v>12</v>
      </c>
      <c r="F239" s="1349" t="inlineStr">
        <is>
          <t>Woodland Walk</t>
        </is>
      </c>
      <c r="G239" s="1349" t="inlineStr">
        <is>
          <t>Google</t>
        </is>
      </c>
    </row>
    <row r="240" ht="13.5" customHeight="1" s="1232">
      <c r="A240" s="1348" t="n">
        <v>45218</v>
      </c>
      <c r="B240" s="1349" t="inlineStr">
        <is>
          <t>Kautext</t>
        </is>
      </c>
      <c r="C240" s="1350" t="inlineStr">
        <is>
          <t>10 Commissions</t>
        </is>
      </c>
      <c r="D240" s="1349" t="inlineStr">
        <is>
          <t>Bank</t>
        </is>
      </c>
      <c r="E240" s="1351" t="n">
        <v>295</v>
      </c>
      <c r="F240" s="1349" t="inlineStr">
        <is>
          <t>Head Shots</t>
        </is>
      </c>
      <c r="G240" s="1349" t="inlineStr">
        <is>
          <t>Existing</t>
        </is>
      </c>
    </row>
    <row r="241" ht="13.5" customHeight="1" s="1232">
      <c r="A241" s="1348" t="n">
        <v>45218</v>
      </c>
      <c r="B241" s="1349" t="inlineStr">
        <is>
          <t>Ian Hope</t>
        </is>
      </c>
      <c r="C241" s="1350" t="inlineStr">
        <is>
          <t>2. Workshops</t>
        </is>
      </c>
      <c r="D241" s="1349" t="inlineStr">
        <is>
          <t>Stripe</t>
        </is>
      </c>
      <c r="E241" s="1351" t="n">
        <v>99</v>
      </c>
      <c r="F241" s="1349" t="inlineStr">
        <is>
          <t>Batsford</t>
        </is>
      </c>
      <c r="G241" s="1349" t="inlineStr">
        <is>
          <t>Existing</t>
        </is>
      </c>
    </row>
    <row r="242" ht="13.5" customHeight="1" s="1232">
      <c r="A242" s="1348" t="n">
        <v>45218</v>
      </c>
      <c r="B242" s="1349" t="inlineStr">
        <is>
          <t>Astrid Ewing</t>
        </is>
      </c>
      <c r="C242" s="1350" t="inlineStr">
        <is>
          <t>2. Workshops</t>
        </is>
      </c>
      <c r="D242" s="1349" t="inlineStr">
        <is>
          <t>Stripe</t>
        </is>
      </c>
      <c r="E242" s="1351" t="n">
        <v>99</v>
      </c>
      <c r="F242" s="1349" t="inlineStr">
        <is>
          <t>Batsford</t>
        </is>
      </c>
      <c r="G242" s="1349" t="inlineStr">
        <is>
          <t>Batsford</t>
        </is>
      </c>
    </row>
    <row r="243" ht="13.5" customHeight="1" s="1232">
      <c r="A243" s="1348" t="n">
        <v>45218</v>
      </c>
      <c r="B243" s="1349" t="inlineStr">
        <is>
          <t>John Roe</t>
        </is>
      </c>
      <c r="C243" s="1350" t="inlineStr">
        <is>
          <t>2. Workshops</t>
        </is>
      </c>
      <c r="D243" s="1349" t="inlineStr">
        <is>
          <t>Bank</t>
        </is>
      </c>
      <c r="E243" s="1351" t="n">
        <v>140</v>
      </c>
      <c r="F243" s="1349" t="inlineStr">
        <is>
          <t>Padley Gorge</t>
        </is>
      </c>
      <c r="G243" s="1349" t="inlineStr">
        <is>
          <t>Into the Blue</t>
        </is>
      </c>
    </row>
    <row r="244" ht="13.5" customHeight="1" s="1232">
      <c r="A244" s="1348" t="n">
        <v>45218</v>
      </c>
      <c r="B244" s="1349" t="inlineStr">
        <is>
          <t>Dave Proctor</t>
        </is>
      </c>
      <c r="C244" s="1350" t="inlineStr">
        <is>
          <t>2. Workshops</t>
        </is>
      </c>
      <c r="D244" s="1349" t="inlineStr">
        <is>
          <t>Bank</t>
        </is>
      </c>
      <c r="E244" s="1351" t="n">
        <v>140</v>
      </c>
      <c r="F244" s="1349" t="inlineStr">
        <is>
          <t>Padley Gorge</t>
        </is>
      </c>
      <c r="G244" s="1349" t="inlineStr">
        <is>
          <t>Into the Blue</t>
        </is>
      </c>
    </row>
    <row r="245" ht="13.5" customHeight="1" s="1232">
      <c r="A245" s="1348" t="n">
        <v>45217</v>
      </c>
      <c r="B245" s="1349" t="inlineStr">
        <is>
          <t>Richard Hull</t>
        </is>
      </c>
      <c r="C245" s="1350" t="inlineStr">
        <is>
          <t>2. Workshops</t>
        </is>
      </c>
      <c r="D245" s="1349" t="inlineStr">
        <is>
          <t>PayPal</t>
        </is>
      </c>
      <c r="E245" s="1351" t="n">
        <v>99</v>
      </c>
      <c r="F245" s="1349" t="inlineStr">
        <is>
          <t>Batsford</t>
        </is>
      </c>
      <c r="G245" s="1349" t="inlineStr">
        <is>
          <t>Referral</t>
        </is>
      </c>
    </row>
    <row r="246" ht="13.5" customHeight="1" s="1232">
      <c r="A246" s="1348" t="n">
        <v>45214</v>
      </c>
      <c r="B246" s="1349" t="inlineStr">
        <is>
          <t>Pablo Quintario</t>
        </is>
      </c>
      <c r="C246" s="1350" t="inlineStr">
        <is>
          <t>2. Workshops</t>
        </is>
      </c>
      <c r="D246" s="1349" t="inlineStr">
        <is>
          <t>Stripe</t>
        </is>
      </c>
      <c r="E246" s="1351" t="n">
        <v>50</v>
      </c>
      <c r="F246" s="1349" t="inlineStr">
        <is>
          <t>LE Kenilworth</t>
        </is>
      </c>
      <c r="G246" s="1349" t="inlineStr">
        <is>
          <t>Facebook</t>
        </is>
      </c>
    </row>
    <row r="247" ht="13.5" customHeight="1" s="1232">
      <c r="A247" s="1348" t="n">
        <v>45213</v>
      </c>
      <c r="B247" s="1349" t="inlineStr">
        <is>
          <t>Nancy Borngraeber</t>
        </is>
      </c>
      <c r="C247" s="1350" t="inlineStr">
        <is>
          <t>2. Workshops</t>
        </is>
      </c>
      <c r="D247" s="1349" t="inlineStr">
        <is>
          <t>Stripe</t>
        </is>
      </c>
      <c r="E247" s="1351" t="n">
        <v>99</v>
      </c>
      <c r="F247" s="1349" t="inlineStr">
        <is>
          <t>Batsford</t>
        </is>
      </c>
      <c r="G247" s="1349" t="inlineStr">
        <is>
          <t>Google</t>
        </is>
      </c>
    </row>
    <row r="248" ht="13.5" customHeight="1" s="1232">
      <c r="A248" s="1348" t="n">
        <v>45211</v>
      </c>
      <c r="B248" s="1349" t="inlineStr">
        <is>
          <t>Angela Reid</t>
        </is>
      </c>
      <c r="C248" s="1350" t="inlineStr">
        <is>
          <t>2. Workshops</t>
        </is>
      </c>
      <c r="D248" s="1349" t="inlineStr">
        <is>
          <t>Stripe</t>
        </is>
      </c>
      <c r="E248" s="1351" t="n">
        <v>99</v>
      </c>
      <c r="F248" s="1349" t="inlineStr">
        <is>
          <t>Batsford</t>
        </is>
      </c>
      <c r="G248" s="1349" t="inlineStr">
        <is>
          <t>Google</t>
        </is>
      </c>
    </row>
    <row r="249" ht="13.5" customHeight="1" s="1232">
      <c r="A249" s="1348" t="n">
        <v>45211</v>
      </c>
      <c r="B249" s="1349" t="inlineStr">
        <is>
          <t>Louise Rickitt</t>
        </is>
      </c>
      <c r="C249" s="1350" t="inlineStr">
        <is>
          <t>9. Prints &amp; Royalties</t>
        </is>
      </c>
      <c r="D249" s="1349" t="inlineStr">
        <is>
          <t>Stripe</t>
        </is>
      </c>
      <c r="E249" s="1351" t="n">
        <v>35</v>
      </c>
      <c r="F249" s="1349" t="inlineStr">
        <is>
          <t>Amble Print</t>
        </is>
      </c>
      <c r="G249" s="1349" t="inlineStr">
        <is>
          <t>Google</t>
        </is>
      </c>
    </row>
    <row r="250" ht="13.5" customHeight="1" s="1232">
      <c r="A250" s="1348" t="n">
        <v>45210</v>
      </c>
      <c r="B250" s="1349" t="inlineStr">
        <is>
          <t>Emoke Ispan</t>
        </is>
      </c>
      <c r="C250" s="1350" t="inlineStr">
        <is>
          <t>2. Workshops</t>
        </is>
      </c>
      <c r="D250" s="1349" t="inlineStr">
        <is>
          <t>PicknMix</t>
        </is>
      </c>
      <c r="E250" s="1351" t="n">
        <v>67.5</v>
      </c>
      <c r="F250" s="1349" t="inlineStr">
        <is>
          <t>Stratford</t>
        </is>
      </c>
      <c r="G250" s="1349" t="inlineStr">
        <is>
          <t>Existing</t>
        </is>
      </c>
    </row>
    <row r="251" ht="13.5" customHeight="1" s="1232">
      <c r="A251" s="1348" t="n">
        <v>45210</v>
      </c>
      <c r="B251" s="1349" t="inlineStr">
        <is>
          <t>Emoke Ispan</t>
        </is>
      </c>
      <c r="C251" s="1350" t="inlineStr">
        <is>
          <t>4. Pick n Mix Out</t>
        </is>
      </c>
      <c r="D251" s="1349" t="inlineStr">
        <is>
          <t>PicknMix</t>
        </is>
      </c>
      <c r="E251" s="1351" t="n">
        <v>-67.5</v>
      </c>
      <c r="F251" s="1349" t="inlineStr">
        <is>
          <t>Stratford</t>
        </is>
      </c>
      <c r="G251" s="1349" t="inlineStr">
        <is>
          <t>Existing</t>
        </is>
      </c>
    </row>
    <row r="252" ht="13.5" customHeight="1" s="1232">
      <c r="A252" s="1348" t="n">
        <v>45209</v>
      </c>
      <c r="B252" s="1349" t="inlineStr">
        <is>
          <t>Chloe Stent</t>
        </is>
      </c>
      <c r="C252" s="1350" t="inlineStr">
        <is>
          <t>2. Workshops</t>
        </is>
      </c>
      <c r="D252" s="1349" t="inlineStr">
        <is>
          <t>Stripe</t>
        </is>
      </c>
      <c r="E252" s="1351" t="n">
        <v>50</v>
      </c>
      <c r="F252" s="1349" t="inlineStr">
        <is>
          <t>LE Kenilworth</t>
        </is>
      </c>
      <c r="G252" s="1349" t="inlineStr">
        <is>
          <t>Google</t>
        </is>
      </c>
    </row>
    <row r="253" ht="13.5" customHeight="1" s="1232">
      <c r="A253" s="1348" t="n">
        <v>45208</v>
      </c>
      <c r="B253" s="1349" t="inlineStr">
        <is>
          <t>John Madigan</t>
        </is>
      </c>
      <c r="C253" s="1350" t="inlineStr">
        <is>
          <t>2. Workshops</t>
        </is>
      </c>
      <c r="D253" s="1349" t="inlineStr">
        <is>
          <t>Stripe</t>
        </is>
      </c>
      <c r="E253" s="1351" t="n">
        <v>99</v>
      </c>
      <c r="F253" s="1349" t="inlineStr">
        <is>
          <t>Batsford</t>
        </is>
      </c>
      <c r="G253" s="1349" t="inlineStr">
        <is>
          <t>Google</t>
        </is>
      </c>
    </row>
    <row r="254" ht="13.5" customHeight="1" s="1232">
      <c r="A254" s="1348" t="n">
        <v>45206</v>
      </c>
      <c r="B254" s="1349" t="inlineStr">
        <is>
          <t>Sara Taylor</t>
        </is>
      </c>
      <c r="C254" s="1350" t="inlineStr">
        <is>
          <t>2. Workshops</t>
        </is>
      </c>
      <c r="D254" s="1349" t="inlineStr">
        <is>
          <t>PayPal</t>
        </is>
      </c>
      <c r="E254" s="1351" t="n">
        <v>12</v>
      </c>
      <c r="F254" s="1349" t="inlineStr">
        <is>
          <t>Woodland Walk</t>
        </is>
      </c>
      <c r="G254" s="1349" t="inlineStr">
        <is>
          <t>Existing</t>
        </is>
      </c>
    </row>
    <row r="255" ht="13.5" customHeight="1" s="1232">
      <c r="A255" s="1348" t="n">
        <v>45205</v>
      </c>
      <c r="B255" s="1349" t="inlineStr">
        <is>
          <t>Sara Taylor</t>
        </is>
      </c>
      <c r="C255" s="1350" t="inlineStr">
        <is>
          <t>2. Workshops</t>
        </is>
      </c>
      <c r="D255" s="1349" t="inlineStr">
        <is>
          <t>PayPal</t>
        </is>
      </c>
      <c r="E255" s="1351" t="n">
        <v>99</v>
      </c>
      <c r="F255" s="1349" t="inlineStr">
        <is>
          <t>Batsford</t>
        </is>
      </c>
      <c r="G255" s="1349" t="inlineStr">
        <is>
          <t>Facebook</t>
        </is>
      </c>
    </row>
    <row r="256" ht="13.5" customHeight="1" s="1232">
      <c r="A256" s="1348" t="n">
        <v>45205</v>
      </c>
      <c r="B256" s="1349" t="inlineStr">
        <is>
          <t>Kirsten Pearce</t>
        </is>
      </c>
      <c r="C256" s="1350" t="inlineStr">
        <is>
          <t>-   Workshops Residential</t>
        </is>
      </c>
      <c r="D256" s="1349" t="inlineStr">
        <is>
          <t>PicknMix</t>
        </is>
      </c>
      <c r="E256" s="1351" t="n">
        <v>550</v>
      </c>
      <c r="F256" s="1349" t="inlineStr">
        <is>
          <t>Dartmoor</t>
        </is>
      </c>
      <c r="G256" s="1349" t="inlineStr">
        <is>
          <t>Existing</t>
        </is>
      </c>
    </row>
    <row r="257" ht="13.5" customHeight="1" s="1232">
      <c r="A257" s="1348" t="n">
        <v>45205</v>
      </c>
      <c r="B257" s="1349" t="inlineStr">
        <is>
          <t>Kirsten Pearce</t>
        </is>
      </c>
      <c r="C257" s="1350" t="inlineStr">
        <is>
          <t>4. Pick n Mix Out</t>
        </is>
      </c>
      <c r="D257" s="1349" t="inlineStr">
        <is>
          <t>PicknMix</t>
        </is>
      </c>
      <c r="E257" s="1351" t="n">
        <v>-550</v>
      </c>
      <c r="F257" s="1349" t="inlineStr">
        <is>
          <t>Dartmoor</t>
        </is>
      </c>
      <c r="G257" s="1349" t="inlineStr">
        <is>
          <t>Existing</t>
        </is>
      </c>
    </row>
    <row r="258" ht="13.5" customHeight="1" s="1232">
      <c r="A258" s="1348" t="n">
        <v>45205</v>
      </c>
      <c r="B258" s="1349" t="inlineStr">
        <is>
          <t>Rebecca Keating</t>
        </is>
      </c>
      <c r="C258" s="1350" t="inlineStr">
        <is>
          <t>2. Workshops</t>
        </is>
      </c>
      <c r="D258" s="1349" t="inlineStr">
        <is>
          <t>Bank</t>
        </is>
      </c>
      <c r="E258" s="1351" t="n">
        <v>100</v>
      </c>
      <c r="F258" s="1349" t="inlineStr">
        <is>
          <t>Peak District</t>
        </is>
      </c>
      <c r="G258" s="1349" t="inlineStr">
        <is>
          <t>Into the Blue</t>
        </is>
      </c>
    </row>
    <row r="259" ht="13.5" customHeight="1" s="1232">
      <c r="A259" s="1348" t="n">
        <v>45205</v>
      </c>
      <c r="B259" s="1349" t="inlineStr">
        <is>
          <t>Trevor George</t>
        </is>
      </c>
      <c r="C259" s="1350" t="inlineStr">
        <is>
          <t>2. Workshops</t>
        </is>
      </c>
      <c r="D259" s="1349" t="inlineStr">
        <is>
          <t>Bank</t>
        </is>
      </c>
      <c r="E259" s="1351" t="n">
        <v>100</v>
      </c>
      <c r="F259" s="1349" t="inlineStr">
        <is>
          <t>Peak District</t>
        </is>
      </c>
      <c r="G259" s="1349" t="inlineStr">
        <is>
          <t>Into the Blue</t>
        </is>
      </c>
    </row>
    <row r="260" ht="13.5" customHeight="1" s="1232">
      <c r="A260" s="1348" t="n">
        <v>45204</v>
      </c>
      <c r="B260" s="1349" t="inlineStr">
        <is>
          <t>Martin Vincent</t>
        </is>
      </c>
      <c r="C260" s="1350" t="inlineStr">
        <is>
          <t>2. Workshops</t>
        </is>
      </c>
      <c r="D260" s="1349" t="inlineStr">
        <is>
          <t>Stripe</t>
        </is>
      </c>
      <c r="E260" s="1351" t="n">
        <v>150</v>
      </c>
      <c r="F260" s="1349" t="inlineStr">
        <is>
          <t>Batsford</t>
        </is>
      </c>
      <c r="G260" s="1349" t="inlineStr">
        <is>
          <t>Google</t>
        </is>
      </c>
    </row>
    <row r="261" ht="13.5" customHeight="1" s="1232">
      <c r="A261" s="1348" t="n">
        <v>45204</v>
      </c>
      <c r="B261" s="1349" t="inlineStr">
        <is>
          <t>Elizabeth Louer</t>
        </is>
      </c>
      <c r="C261" s="1350" t="inlineStr">
        <is>
          <t>2. Workshops</t>
        </is>
      </c>
      <c r="D261" s="1349" t="inlineStr">
        <is>
          <t>PayPal</t>
        </is>
      </c>
      <c r="E261" s="1351" t="n">
        <v>150</v>
      </c>
      <c r="F261" s="1349" t="inlineStr">
        <is>
          <t>Batsford</t>
        </is>
      </c>
      <c r="G261" s="1349" t="inlineStr">
        <is>
          <t>Existing</t>
        </is>
      </c>
    </row>
    <row r="262" ht="13.5" customHeight="1" s="1232">
      <c r="A262" s="1348" t="n">
        <v>45201</v>
      </c>
      <c r="B262" s="1349" t="inlineStr">
        <is>
          <t>Kase</t>
        </is>
      </c>
      <c r="C262" s="1350" t="inlineStr">
        <is>
          <t>11. Other</t>
        </is>
      </c>
      <c r="D262" s="1349" t="inlineStr">
        <is>
          <t>Bank</t>
        </is>
      </c>
      <c r="E262" s="1351" t="n">
        <v>39.39</v>
      </c>
      <c r="F262" s="1349" t="inlineStr">
        <is>
          <t>Kase Commission</t>
        </is>
      </c>
      <c r="G262" s="1349" t="inlineStr">
        <is>
          <t>Existing</t>
        </is>
      </c>
    </row>
    <row r="263" ht="13.5" customHeight="1" s="1232">
      <c r="A263" s="1348" t="n">
        <v>45201</v>
      </c>
      <c r="B263" s="1349" t="inlineStr">
        <is>
          <t>Ian Bray</t>
        </is>
      </c>
      <c r="C263" s="1350" t="inlineStr">
        <is>
          <t>2. Workshops</t>
        </is>
      </c>
      <c r="D263" s="1349" t="inlineStr">
        <is>
          <t>PayPal</t>
        </is>
      </c>
      <c r="E263" s="1351" t="n">
        <v>99</v>
      </c>
      <c r="F263" s="1349" t="inlineStr">
        <is>
          <t>Batsford</t>
        </is>
      </c>
      <c r="G263" s="1349" t="inlineStr">
        <is>
          <t>Google</t>
        </is>
      </c>
    </row>
    <row r="264" ht="13.5" customHeight="1" s="1232">
      <c r="A264" s="1348" t="n">
        <v>45200</v>
      </c>
      <c r="B264" s="1349" t="inlineStr">
        <is>
          <t>Pick n Mix Subs</t>
        </is>
      </c>
      <c r="C264" s="1350" t="inlineStr">
        <is>
          <t>3. Pick n Mix Inc</t>
        </is>
      </c>
      <c r="D264" s="1349" t="inlineStr">
        <is>
          <t>Various</t>
        </is>
      </c>
      <c r="E264" s="1351" t="n">
        <v>300</v>
      </c>
      <c r="F264" s="1349" t="inlineStr">
        <is>
          <t>Pick N Mix Payments</t>
        </is>
      </c>
      <c r="G264" s="1349" t="inlineStr">
        <is>
          <t>Existing</t>
        </is>
      </c>
    </row>
    <row r="265" ht="13.5" customHeight="1" s="1232">
      <c r="A265" s="1348" t="n">
        <v>45200</v>
      </c>
      <c r="B265" s="1349" t="inlineStr">
        <is>
          <t>Mentoring Subs</t>
        </is>
      </c>
      <c r="C265" s="1350" t="inlineStr">
        <is>
          <t>5. Mentoring</t>
        </is>
      </c>
      <c r="D265" s="1349" t="inlineStr">
        <is>
          <t>Various</t>
        </is>
      </c>
      <c r="E265" s="1351" t="n">
        <v>40</v>
      </c>
      <c r="F265" s="1349" t="inlineStr">
        <is>
          <t>Mentoring Subs</t>
        </is>
      </c>
      <c r="G265" s="1349" t="inlineStr">
        <is>
          <t>Existing</t>
        </is>
      </c>
    </row>
    <row r="266" ht="13.5" customHeight="1" s="1232">
      <c r="A266" s="1348" t="n"/>
      <c r="B266" s="1349" t="n"/>
      <c r="C266" s="1350" t="n"/>
      <c r="D266" s="1349" t="n"/>
      <c r="E266" s="1351" t="n"/>
      <c r="F266" s="1349" t="n"/>
      <c r="G266" s="1349" t="n"/>
    </row>
    <row r="267" ht="13.5" customHeight="1" s="1232">
      <c r="A267" s="1348" t="n">
        <v>45199</v>
      </c>
      <c r="B267" s="1349" t="inlineStr">
        <is>
          <t>Andrew Senior</t>
        </is>
      </c>
      <c r="C267" s="1350" t="inlineStr">
        <is>
          <t>2. Workshops</t>
        </is>
      </c>
      <c r="D267" s="1349" t="inlineStr">
        <is>
          <t>Stripe</t>
        </is>
      </c>
      <c r="E267" s="1351" t="n">
        <v>99</v>
      </c>
      <c r="F267" s="1349" t="inlineStr">
        <is>
          <t>Batsford</t>
        </is>
      </c>
      <c r="G267" s="1349" t="inlineStr">
        <is>
          <t>Existing</t>
        </is>
      </c>
    </row>
    <row r="268" ht="13.5" customHeight="1" s="1232">
      <c r="A268" s="1348" t="n">
        <v>45199</v>
      </c>
      <c r="B268" s="1349" t="inlineStr">
        <is>
          <t>Martin Janes</t>
        </is>
      </c>
      <c r="C268" s="1350" t="inlineStr">
        <is>
          <t>2. Workshops</t>
        </is>
      </c>
      <c r="D268" s="1349" t="inlineStr">
        <is>
          <t>Stripe</t>
        </is>
      </c>
      <c r="E268" s="1351" t="n">
        <v>74</v>
      </c>
      <c r="F268" s="1349" t="inlineStr">
        <is>
          <t>Batsford</t>
        </is>
      </c>
      <c r="G268" s="1349" t="inlineStr">
        <is>
          <t>Existing</t>
        </is>
      </c>
    </row>
    <row r="269" ht="13.5" customHeight="1" s="1232">
      <c r="A269" s="1348" t="n">
        <v>45198</v>
      </c>
      <c r="B269" s="1349" t="inlineStr">
        <is>
          <t>David Shepheard</t>
        </is>
      </c>
      <c r="C269" s="1350" t="inlineStr">
        <is>
          <t>6. 1-2-1</t>
        </is>
      </c>
      <c r="D269" s="1349" t="inlineStr">
        <is>
          <t>Gift Voucher Out</t>
        </is>
      </c>
      <c r="E269" s="1351" t="n">
        <v>250</v>
      </c>
      <c r="F269" s="1349" t="inlineStr">
        <is>
          <t>4 x 2hrs</t>
        </is>
      </c>
      <c r="G269" s="1349" t="inlineStr">
        <is>
          <t>Existing</t>
        </is>
      </c>
    </row>
    <row r="270" ht="13.5" customHeight="1" s="1232">
      <c r="A270" s="1348" t="n">
        <v>45198</v>
      </c>
      <c r="B270" s="1349" t="inlineStr">
        <is>
          <t>David Shepheard</t>
        </is>
      </c>
      <c r="C270" s="1350" t="inlineStr">
        <is>
          <t>8. Gift Vouchers Out</t>
        </is>
      </c>
      <c r="D270" s="1349" t="inlineStr">
        <is>
          <t>Gift Voucher Out</t>
        </is>
      </c>
      <c r="E270" s="1351" t="n">
        <v>-250</v>
      </c>
      <c r="F270" s="1349" t="inlineStr">
        <is>
          <t>4 x 2hrs</t>
        </is>
      </c>
      <c r="G270" s="1349" t="inlineStr">
        <is>
          <t>Existing</t>
        </is>
      </c>
    </row>
    <row r="271" ht="13.5" customHeight="1" s="1232">
      <c r="A271" s="1348" t="n">
        <v>45198</v>
      </c>
      <c r="B271" s="1349" t="inlineStr">
        <is>
          <t>David Shepheard</t>
        </is>
      </c>
      <c r="C271" s="1350" t="inlineStr">
        <is>
          <t>6. 1-2-1</t>
        </is>
      </c>
      <c r="D271" s="1349" t="inlineStr">
        <is>
          <t>Stripe</t>
        </is>
      </c>
      <c r="E271" s="1351" t="n">
        <v>110</v>
      </c>
      <c r="F271" s="1349" t="inlineStr">
        <is>
          <t>4 x 2hrs</t>
        </is>
      </c>
      <c r="G271" s="1349" t="inlineStr">
        <is>
          <t>Existing</t>
        </is>
      </c>
    </row>
    <row r="272" ht="13.5" customHeight="1" s="1232">
      <c r="A272" s="1348" t="n">
        <v>45197</v>
      </c>
      <c r="B272" s="1349" t="inlineStr">
        <is>
          <t>David Pyta</t>
        </is>
      </c>
      <c r="C272" s="1350" t="inlineStr">
        <is>
          <t>1. Courses/masterclasses</t>
        </is>
      </c>
      <c r="D272" s="1349" t="inlineStr">
        <is>
          <t>PayPal</t>
        </is>
      </c>
      <c r="E272" s="1351" t="n">
        <v>250</v>
      </c>
      <c r="F272" s="1349" t="inlineStr">
        <is>
          <t>LR Course</t>
        </is>
      </c>
      <c r="G272" s="1349" t="inlineStr">
        <is>
          <t>Existing</t>
        </is>
      </c>
    </row>
    <row r="273" ht="13.5" customHeight="1" s="1232">
      <c r="A273" s="1348" t="n">
        <v>45197</v>
      </c>
      <c r="B273" s="1349" t="inlineStr">
        <is>
          <t>Philippa King</t>
        </is>
      </c>
      <c r="C273" s="1350" t="inlineStr">
        <is>
          <t>1. Courses/masterclasses</t>
        </is>
      </c>
      <c r="D273" s="1349" t="inlineStr">
        <is>
          <t>Stripe</t>
        </is>
      </c>
      <c r="E273" s="1351">
        <f>250-70</f>
        <v/>
      </c>
      <c r="F273" s="1349" t="inlineStr">
        <is>
          <t>LR Course</t>
        </is>
      </c>
      <c r="G273" s="1349" t="inlineStr">
        <is>
          <t>Existing</t>
        </is>
      </c>
    </row>
    <row r="274" ht="13.5" customHeight="1" s="1232">
      <c r="A274" s="1348" t="n">
        <v>45197</v>
      </c>
      <c r="B274" s="1349" t="inlineStr">
        <is>
          <t>Philippa King</t>
        </is>
      </c>
      <c r="C274" s="1350" t="inlineStr">
        <is>
          <t>1. Courses/masterclasses</t>
        </is>
      </c>
      <c r="D274" s="1349" t="inlineStr">
        <is>
          <t>Stripe</t>
        </is>
      </c>
      <c r="E274" s="1351" t="n">
        <v>250</v>
      </c>
      <c r="F274" s="1349" t="inlineStr">
        <is>
          <t>Beginners Course</t>
        </is>
      </c>
      <c r="G274" s="1349" t="inlineStr">
        <is>
          <t>Existing</t>
        </is>
      </c>
    </row>
    <row r="275" ht="13.5" customHeight="1" s="1232">
      <c r="A275" s="1348" t="n">
        <v>45194</v>
      </c>
      <c r="B275" s="1349" t="inlineStr">
        <is>
          <t>Brandon Marsh</t>
        </is>
      </c>
      <c r="C275" s="1350" t="inlineStr">
        <is>
          <t>10 Commissions</t>
        </is>
      </c>
      <c r="D275" s="1349" t="inlineStr">
        <is>
          <t>Bank</t>
        </is>
      </c>
      <c r="E275" s="1351" t="n">
        <v>200</v>
      </c>
      <c r="F275" s="1349" t="inlineStr">
        <is>
          <t>Workshop</t>
        </is>
      </c>
      <c r="G275" s="1349" t="inlineStr">
        <is>
          <t>Existing</t>
        </is>
      </c>
    </row>
    <row r="276" ht="13.5" customHeight="1" s="1232">
      <c r="A276" s="1348" t="n">
        <v>45194</v>
      </c>
      <c r="B276" s="1349" t="inlineStr">
        <is>
          <t>Philippa King</t>
        </is>
      </c>
      <c r="C276" s="1350" t="inlineStr">
        <is>
          <t>11. Other</t>
        </is>
      </c>
      <c r="D276" s="1349" t="inlineStr">
        <is>
          <t>PayPal</t>
        </is>
      </c>
      <c r="E276" s="1351" t="n">
        <v>25</v>
      </c>
      <c r="F276" s="1349" t="inlineStr">
        <is>
          <t>Sensor Clean</t>
        </is>
      </c>
      <c r="G276" s="1349" t="inlineStr">
        <is>
          <t>Existing</t>
        </is>
      </c>
    </row>
    <row r="277" ht="13.5" customHeight="1" s="1232">
      <c r="A277" s="1348" t="n">
        <v>45194</v>
      </c>
      <c r="B277" s="1349" t="inlineStr">
        <is>
          <t>Philippa King</t>
        </is>
      </c>
      <c r="C277" s="1350" t="inlineStr">
        <is>
          <t>11. Other</t>
        </is>
      </c>
      <c r="D277" s="1349" t="inlineStr">
        <is>
          <t>PayPal</t>
        </is>
      </c>
      <c r="E277" s="1351" t="n">
        <v>25</v>
      </c>
      <c r="F277" s="1349" t="inlineStr">
        <is>
          <t>Sensor Clean</t>
        </is>
      </c>
      <c r="G277" s="1349" t="inlineStr">
        <is>
          <t>Existing</t>
        </is>
      </c>
    </row>
    <row r="278" ht="13.5" customHeight="1" s="1232">
      <c r="A278" s="1348" t="n">
        <v>45191</v>
      </c>
      <c r="B278" s="1349" t="inlineStr">
        <is>
          <t>Kelly Westwood</t>
        </is>
      </c>
      <c r="C278" s="1350" t="inlineStr">
        <is>
          <t>1. Courses/masterclasses</t>
        </is>
      </c>
      <c r="D278" s="1349" t="inlineStr">
        <is>
          <t>Stripe</t>
        </is>
      </c>
      <c r="E278" s="1351" t="n">
        <v>250</v>
      </c>
      <c r="F278" s="1349" t="inlineStr">
        <is>
          <t>Beginners Course</t>
        </is>
      </c>
      <c r="G278" s="1349" t="inlineStr">
        <is>
          <t>Google</t>
        </is>
      </c>
    </row>
    <row r="279" ht="13.5" customHeight="1" s="1232">
      <c r="A279" s="1348" t="n">
        <v>45186</v>
      </c>
      <c r="B279" s="1349" t="inlineStr">
        <is>
          <t>Clare Bennan</t>
        </is>
      </c>
      <c r="C279" s="1350" t="inlineStr">
        <is>
          <t>6. 1-2-1</t>
        </is>
      </c>
      <c r="D279" s="1349" t="inlineStr">
        <is>
          <t>Stripe</t>
        </is>
      </c>
      <c r="E279" s="1351" t="n">
        <v>50</v>
      </c>
      <c r="F279" s="1349" t="inlineStr">
        <is>
          <t>Zoom 1-2-1</t>
        </is>
      </c>
      <c r="G279" s="1349" t="inlineStr">
        <is>
          <t>Existing</t>
        </is>
      </c>
    </row>
    <row r="280" ht="13.5" customHeight="1" s="1232">
      <c r="A280" s="1348" t="n">
        <v>45186</v>
      </c>
      <c r="B280" s="1349" t="inlineStr">
        <is>
          <t>Andrew Shaw</t>
        </is>
      </c>
      <c r="C280" s="1350" t="inlineStr">
        <is>
          <t>-   Workshops Residential</t>
        </is>
      </c>
      <c r="D280" s="1349" t="inlineStr">
        <is>
          <t>Stripe</t>
        </is>
      </c>
      <c r="E280" s="1351" t="n">
        <v>725</v>
      </c>
      <c r="F280" s="1349" t="inlineStr">
        <is>
          <t>Yorkshire Dales</t>
        </is>
      </c>
      <c r="G280" s="1349" t="inlineStr">
        <is>
          <t>Google</t>
        </is>
      </c>
    </row>
    <row r="281" ht="13.5" customHeight="1" s="1232">
      <c r="A281" s="1348" t="n">
        <v>45180</v>
      </c>
      <c r="B281" s="1349" t="inlineStr">
        <is>
          <t>Anne Stack</t>
        </is>
      </c>
      <c r="C281" s="1350" t="inlineStr">
        <is>
          <t>7. Gift Vouchers Inc</t>
        </is>
      </c>
      <c r="D281" s="1349" t="inlineStr">
        <is>
          <t>Stripe</t>
        </is>
      </c>
      <c r="E281" s="1351" t="n">
        <v>150</v>
      </c>
      <c r="F281" s="1349" t="inlineStr">
        <is>
          <t>Digital Gift Card</t>
        </is>
      </c>
      <c r="G281" s="1349" t="inlineStr">
        <is>
          <t>Google</t>
        </is>
      </c>
    </row>
    <row r="282" ht="13.5" customHeight="1" s="1232">
      <c r="A282" s="1348" t="n">
        <v>45177</v>
      </c>
      <c r="B282" s="1349" t="inlineStr">
        <is>
          <t>shari wszalek</t>
        </is>
      </c>
      <c r="C282" s="1350" t="inlineStr">
        <is>
          <t>11. Other</t>
        </is>
      </c>
      <c r="D282" s="1349" t="inlineStr">
        <is>
          <t>Stripe</t>
        </is>
      </c>
      <c r="E282" s="1351" t="n">
        <v>21</v>
      </c>
      <c r="F282" s="1349" t="inlineStr">
        <is>
          <t>Viewing Frames</t>
        </is>
      </c>
      <c r="G282" s="1349" t="inlineStr">
        <is>
          <t>Google</t>
        </is>
      </c>
    </row>
    <row r="283" ht="13.5" customHeight="1" s="1232">
      <c r="A283" s="1348" t="n">
        <v>45177</v>
      </c>
      <c r="B283" s="1349" t="inlineStr">
        <is>
          <t>William Kenney-Herbert</t>
        </is>
      </c>
      <c r="C283" s="1350" t="inlineStr">
        <is>
          <t>6. 1-2-1</t>
        </is>
      </c>
      <c r="D283" s="1349" t="inlineStr">
        <is>
          <t>Stripe</t>
        </is>
      </c>
      <c r="E283" s="1351" t="n">
        <v>65</v>
      </c>
      <c r="F283" s="1349" t="inlineStr">
        <is>
          <t>1hr 1-2-1 F2F</t>
        </is>
      </c>
      <c r="G283" s="1349" t="inlineStr">
        <is>
          <t>Google</t>
        </is>
      </c>
    </row>
    <row r="284" ht="13.5" customHeight="1" s="1232">
      <c r="A284" s="1348" t="n">
        <v>45177</v>
      </c>
      <c r="B284" s="1349" t="inlineStr">
        <is>
          <t>Artfully Walls</t>
        </is>
      </c>
      <c r="C284" s="1350" t="inlineStr">
        <is>
          <t>9. Prints &amp; Royalties</t>
        </is>
      </c>
      <c r="D284" s="1349" t="inlineStr">
        <is>
          <t>PayPal</t>
        </is>
      </c>
      <c r="E284" s="1351" t="n">
        <v>24.6</v>
      </c>
      <c r="F284" s="1349" t="inlineStr">
        <is>
          <t>Print Sales</t>
        </is>
      </c>
      <c r="G284" s="1349" t="inlineStr">
        <is>
          <t>Artfully Walls</t>
        </is>
      </c>
    </row>
    <row r="285" ht="13.5" customHeight="1" s="1232">
      <c r="A285" s="1348" t="n">
        <v>45175</v>
      </c>
      <c r="B285" s="1349" t="inlineStr">
        <is>
          <t>Paul Fuller</t>
        </is>
      </c>
      <c r="C285" s="1350" t="inlineStr">
        <is>
          <t>1. Courses/masterclasses</t>
        </is>
      </c>
      <c r="D285" s="1349" t="inlineStr">
        <is>
          <t>Gift Voucher Out</t>
        </is>
      </c>
      <c r="E285" s="1351" t="n">
        <v>250</v>
      </c>
      <c r="F285" s="1349" t="inlineStr">
        <is>
          <t>5wk Beginners</t>
        </is>
      </c>
      <c r="G285" s="1349" t="inlineStr">
        <is>
          <t>Existing</t>
        </is>
      </c>
    </row>
    <row r="286" ht="13.5" customHeight="1" s="1232">
      <c r="A286" s="1348" t="n">
        <v>45175</v>
      </c>
      <c r="B286" s="1349" t="inlineStr">
        <is>
          <t>Paul Fuller</t>
        </is>
      </c>
      <c r="C286" s="1350" t="inlineStr">
        <is>
          <t>8. Gift Vouchers Out</t>
        </is>
      </c>
      <c r="D286" s="1349" t="inlineStr">
        <is>
          <t>Gift Voucher Out</t>
        </is>
      </c>
      <c r="E286" s="1351" t="n">
        <v>-250</v>
      </c>
      <c r="F286" s="1349" t="inlineStr">
        <is>
          <t>5wk Beginners</t>
        </is>
      </c>
      <c r="G286" s="1349" t="inlineStr">
        <is>
          <t>Existing</t>
        </is>
      </c>
    </row>
    <row r="287" ht="13.5" customHeight="1" s="1232">
      <c r="A287" s="1348" t="n">
        <v>45170</v>
      </c>
      <c r="B287" s="1349" t="inlineStr">
        <is>
          <t>Pick n Mix Subs</t>
        </is>
      </c>
      <c r="C287" s="1350" t="inlineStr">
        <is>
          <t>3. Pick n Mix Inc</t>
        </is>
      </c>
      <c r="D287" s="1349" t="inlineStr">
        <is>
          <t>Various</t>
        </is>
      </c>
      <c r="E287" s="1351" t="n">
        <v>50</v>
      </c>
      <c r="F287" s="1349" t="inlineStr">
        <is>
          <t>Pick N Mix Payments</t>
        </is>
      </c>
      <c r="G287" s="1349" t="inlineStr">
        <is>
          <t>Existing</t>
        </is>
      </c>
    </row>
    <row r="288" ht="13.5" customHeight="1" s="1232">
      <c r="A288" s="1348" t="n">
        <v>45170</v>
      </c>
      <c r="B288" s="1349" t="inlineStr">
        <is>
          <t>Mentoring Subs</t>
        </is>
      </c>
      <c r="C288" s="1350" t="inlineStr">
        <is>
          <t>5. Mentoring</t>
        </is>
      </c>
      <c r="D288" s="1349" t="inlineStr">
        <is>
          <t>Various</t>
        </is>
      </c>
      <c r="E288" s="1351" t="n">
        <v>20</v>
      </c>
      <c r="F288" s="1349" t="inlineStr">
        <is>
          <t>Mentoring Subs</t>
        </is>
      </c>
      <c r="G288" s="1349" t="inlineStr">
        <is>
          <t>Existing</t>
        </is>
      </c>
    </row>
    <row r="290" ht="13.5" customHeight="1" s="1232">
      <c r="A290" s="1348" t="n">
        <v>45168</v>
      </c>
      <c r="B290" s="1349" t="inlineStr">
        <is>
          <t>Victoria Rose</t>
        </is>
      </c>
      <c r="C290" s="1350" t="inlineStr">
        <is>
          <t>2. Workshops</t>
        </is>
      </c>
      <c r="D290" s="1349" t="inlineStr">
        <is>
          <t>Stripe</t>
        </is>
      </c>
      <c r="E290" s="1351" t="n">
        <v>12</v>
      </c>
      <c r="F290" s="1349" t="inlineStr">
        <is>
          <t>Woodland Walk</t>
        </is>
      </c>
      <c r="G290" s="1349" t="inlineStr">
        <is>
          <t>Google</t>
        </is>
      </c>
    </row>
    <row r="291" ht="13.5" customHeight="1" s="1232">
      <c r="A291" s="1348" t="n">
        <v>45167</v>
      </c>
      <c r="B291" s="1349" t="inlineStr">
        <is>
          <t>Hanna Claydon</t>
        </is>
      </c>
      <c r="C291" s="1350" t="inlineStr">
        <is>
          <t>2. Workshops</t>
        </is>
      </c>
      <c r="D291" s="1349" t="inlineStr">
        <is>
          <t>Stripe</t>
        </is>
      </c>
      <c r="E291" s="1351" t="n">
        <v>125</v>
      </c>
      <c r="F291" s="1349" t="inlineStr">
        <is>
          <t>Woodland Masterclass</t>
        </is>
      </c>
      <c r="G291" s="1349" t="inlineStr">
        <is>
          <t>Google</t>
        </is>
      </c>
    </row>
    <row r="292" ht="13.5" customHeight="1" s="1232">
      <c r="A292" s="1348" t="n">
        <v>45168</v>
      </c>
      <c r="B292" s="1349" t="inlineStr">
        <is>
          <t>Olive Group</t>
        </is>
      </c>
      <c r="C292" s="1350" t="inlineStr">
        <is>
          <t>1. Courses/masterclasses</t>
        </is>
      </c>
      <c r="D292" s="1349" t="inlineStr">
        <is>
          <t>Bank</t>
        </is>
      </c>
      <c r="E292" s="1351" t="n">
        <v>277.5</v>
      </c>
      <c r="F292" s="1349" t="inlineStr">
        <is>
          <t>Phil Banks</t>
        </is>
      </c>
      <c r="G292" s="1349" t="inlineStr">
        <is>
          <t>ELS</t>
        </is>
      </c>
    </row>
    <row r="293" ht="13.5" customHeight="1" s="1232">
      <c r="A293" s="1348" t="n">
        <v>45168</v>
      </c>
      <c r="B293" s="1349" t="inlineStr">
        <is>
          <t>Olive Group</t>
        </is>
      </c>
      <c r="C293" s="1350" t="inlineStr">
        <is>
          <t>2. Workshops</t>
        </is>
      </c>
      <c r="D293" s="1349" t="inlineStr">
        <is>
          <t>Bank</t>
        </is>
      </c>
      <c r="E293" s="1351" t="n">
        <v>175</v>
      </c>
      <c r="F293" s="1349" t="inlineStr">
        <is>
          <t>Michael Smith</t>
        </is>
      </c>
      <c r="G293" s="1349" t="inlineStr">
        <is>
          <t>ELS</t>
        </is>
      </c>
    </row>
    <row r="294" ht="13.5" customHeight="1" s="1232">
      <c r="A294" s="1348" t="n">
        <v>45164</v>
      </c>
      <c r="B294" s="1349" t="inlineStr">
        <is>
          <t>Stephen Taylor</t>
        </is>
      </c>
      <c r="C294" s="1350" t="inlineStr">
        <is>
          <t>2. Workshops</t>
        </is>
      </c>
      <c r="D294" s="1349" t="inlineStr">
        <is>
          <t>Stripe</t>
        </is>
      </c>
      <c r="E294" s="1351" t="n">
        <v>75</v>
      </c>
      <c r="F294" s="1349" t="inlineStr">
        <is>
          <t>Burnham</t>
        </is>
      </c>
      <c r="G294" s="1349" t="inlineStr">
        <is>
          <t>Google</t>
        </is>
      </c>
    </row>
    <row r="295" ht="13.5" customHeight="1" s="1232">
      <c r="A295" s="1348" t="n">
        <v>45163</v>
      </c>
      <c r="B295" s="1349" t="inlineStr">
        <is>
          <t>Caitlin Wilkie</t>
        </is>
      </c>
      <c r="C295" s="1350" t="inlineStr">
        <is>
          <t>2. Workshops</t>
        </is>
      </c>
      <c r="D295" s="1349" t="inlineStr">
        <is>
          <t>PayPal</t>
        </is>
      </c>
      <c r="E295" s="1351" t="n">
        <v>100</v>
      </c>
      <c r="F295" s="1349" t="inlineStr">
        <is>
          <t>Kenilworth LE</t>
        </is>
      </c>
      <c r="G295" s="1349" t="inlineStr">
        <is>
          <t>Google</t>
        </is>
      </c>
    </row>
    <row r="296" ht="13.5" customHeight="1" s="1232">
      <c r="A296" s="1348" t="n">
        <v>45165</v>
      </c>
      <c r="B296" s="1349" t="inlineStr">
        <is>
          <t>Keith</t>
        </is>
      </c>
      <c r="C296" s="1350" t="inlineStr">
        <is>
          <t>11. Other</t>
        </is>
      </c>
      <c r="D296" s="1349" t="inlineStr">
        <is>
          <t>Cash</t>
        </is>
      </c>
      <c r="E296" s="1351" t="n">
        <v>50</v>
      </c>
      <c r="F296" s="1349" t="inlineStr">
        <is>
          <t>Sensor Clean</t>
        </is>
      </c>
      <c r="G296" s="1349" t="inlineStr">
        <is>
          <t>Google</t>
        </is>
      </c>
    </row>
    <row r="297" ht="13.5" customHeight="1" s="1232">
      <c r="A297" s="1348" t="n">
        <v>45162</v>
      </c>
      <c r="B297" s="1349" t="inlineStr">
        <is>
          <t>Gareth Saunders</t>
        </is>
      </c>
      <c r="C297" s="1350" t="inlineStr">
        <is>
          <t>11. Other</t>
        </is>
      </c>
      <c r="D297" s="1349" t="inlineStr">
        <is>
          <t>Stripe</t>
        </is>
      </c>
      <c r="E297" s="1351" t="n">
        <v>25</v>
      </c>
      <c r="F297" s="1349" t="inlineStr">
        <is>
          <t>Sensor Clean</t>
        </is>
      </c>
      <c r="G297" s="1349" t="inlineStr">
        <is>
          <t>Google</t>
        </is>
      </c>
    </row>
    <row r="298" ht="13.5" customHeight="1" s="1232">
      <c r="A298" s="1348" t="n">
        <v>45161</v>
      </c>
      <c r="B298" s="1349" t="inlineStr">
        <is>
          <t>Peter Western</t>
        </is>
      </c>
      <c r="C298" s="1350" t="inlineStr">
        <is>
          <t>7. Gift Vouchers Inc</t>
        </is>
      </c>
      <c r="D298" s="1349" t="inlineStr">
        <is>
          <t>Stripe</t>
        </is>
      </c>
      <c r="E298" s="1351" t="n">
        <v>100</v>
      </c>
      <c r="F298" s="1349" t="inlineStr">
        <is>
          <t>Digital Gift Card</t>
        </is>
      </c>
      <c r="G298" s="1349" t="inlineStr">
        <is>
          <t>Google</t>
        </is>
      </c>
    </row>
    <row r="299" ht="13.5" customHeight="1" s="1232">
      <c r="A299" s="1348" t="n">
        <v>45155</v>
      </c>
      <c r="B299" s="1349" t="inlineStr">
        <is>
          <t xml:space="preserve">Scott Murley </t>
        </is>
      </c>
      <c r="C299" s="1350" t="inlineStr">
        <is>
          <t>6. 1-2-1</t>
        </is>
      </c>
      <c r="D299" s="1349" t="inlineStr">
        <is>
          <t>Stripe</t>
        </is>
      </c>
      <c r="E299" s="1351" t="n">
        <v>120</v>
      </c>
      <c r="F299" s="1349" t="inlineStr">
        <is>
          <t>2hrs 1-2-1</t>
        </is>
      </c>
      <c r="G299" s="1349" t="inlineStr">
        <is>
          <t>Existing</t>
        </is>
      </c>
    </row>
    <row r="300" ht="13.5" customHeight="1" s="1232">
      <c r="A300" s="1348" t="n">
        <v>45155</v>
      </c>
      <c r="B300" s="1349" t="inlineStr">
        <is>
          <t>Jane Robb</t>
        </is>
      </c>
      <c r="C300" s="1350" t="inlineStr">
        <is>
          <t>6. 1-2-1</t>
        </is>
      </c>
      <c r="D300" s="1349" t="inlineStr">
        <is>
          <t>Stripe</t>
        </is>
      </c>
      <c r="E300" s="1351" t="n">
        <v>50</v>
      </c>
      <c r="F300" s="1349" t="inlineStr">
        <is>
          <t>Zoom 1-2-1</t>
        </is>
      </c>
      <c r="G300" s="1349" t="inlineStr">
        <is>
          <t>Existing</t>
        </is>
      </c>
    </row>
    <row r="301" ht="13.5" customHeight="1" s="1232">
      <c r="A301" s="1348" t="n">
        <v>45154</v>
      </c>
      <c r="B301" s="1349" t="inlineStr">
        <is>
          <t>WWT</t>
        </is>
      </c>
      <c r="C301" s="1350" t="inlineStr">
        <is>
          <t>10 Commissions</t>
        </is>
      </c>
      <c r="D301" s="1349" t="inlineStr">
        <is>
          <t>Bank</t>
        </is>
      </c>
      <c r="E301" s="1351" t="n">
        <v>50</v>
      </c>
      <c r="F301" s="1349" t="inlineStr">
        <is>
          <t>Brandon Marsh</t>
        </is>
      </c>
      <c r="G301" s="1349" t="inlineStr">
        <is>
          <t>Referral</t>
        </is>
      </c>
    </row>
    <row r="302" ht="13.5" customHeight="1" s="1232">
      <c r="A302" s="1348" t="n">
        <v>45154</v>
      </c>
      <c r="B302" s="1349" t="inlineStr">
        <is>
          <t>Mike Charlton</t>
        </is>
      </c>
      <c r="C302" s="1350" t="inlineStr">
        <is>
          <t>2. Workshops</t>
        </is>
      </c>
      <c r="D302" s="1349" t="inlineStr">
        <is>
          <t>Bank</t>
        </is>
      </c>
      <c r="E302" s="1351" t="n">
        <v>50</v>
      </c>
      <c r="F302" s="1349" t="inlineStr">
        <is>
          <t>Peak District autumn</t>
        </is>
      </c>
      <c r="G302" s="1349" t="inlineStr">
        <is>
          <t>Existing</t>
        </is>
      </c>
    </row>
    <row r="303" ht="13.5" customHeight="1" s="1232">
      <c r="A303" s="1348" t="n">
        <v>45153</v>
      </c>
      <c r="B303" s="1349" t="inlineStr">
        <is>
          <t>Angela Archer</t>
        </is>
      </c>
      <c r="C303" s="1350" t="inlineStr">
        <is>
          <t>6. 1-2-1</t>
        </is>
      </c>
      <c r="D303" s="1349" t="inlineStr">
        <is>
          <t>Stripe</t>
        </is>
      </c>
      <c r="E303" s="1351" t="n">
        <v>360</v>
      </c>
      <c r="F303" s="1349" t="inlineStr">
        <is>
          <t>4x2hr 1-2-1s</t>
        </is>
      </c>
      <c r="G303" s="1349" t="inlineStr">
        <is>
          <t>Existing</t>
        </is>
      </c>
    </row>
    <row r="304" ht="13.5" customHeight="1" s="1232">
      <c r="A304" s="1348" t="n">
        <v>45152</v>
      </c>
      <c r="B304" s="1349" t="inlineStr">
        <is>
          <t>Photocrowd</t>
        </is>
      </c>
      <c r="C304" s="1350" t="inlineStr">
        <is>
          <t>10 Commissions</t>
        </is>
      </c>
      <c r="D304" s="1349" t="inlineStr">
        <is>
          <t>Bank</t>
        </is>
      </c>
      <c r="E304" s="1351" t="n">
        <v>125</v>
      </c>
      <c r="F304" s="1349" t="inlineStr">
        <is>
          <t>Judging Fees</t>
        </is>
      </c>
      <c r="G304" s="1349" t="inlineStr">
        <is>
          <t>Existing</t>
        </is>
      </c>
    </row>
    <row r="305" ht="13.5" customHeight="1" s="1232">
      <c r="A305" s="1348" t="n">
        <v>45149</v>
      </c>
      <c r="B305" s="1349" t="inlineStr">
        <is>
          <t>simon vaughan</t>
        </is>
      </c>
      <c r="C305" s="1350" t="inlineStr">
        <is>
          <t>2. Workshops</t>
        </is>
      </c>
      <c r="D305" s="1349" t="inlineStr">
        <is>
          <t>PayPal</t>
        </is>
      </c>
      <c r="E305" s="1351" t="n">
        <v>75</v>
      </c>
      <c r="F305" s="1349" t="inlineStr">
        <is>
          <t>Burnham</t>
        </is>
      </c>
      <c r="G305" s="1349" t="inlineStr">
        <is>
          <t>Google</t>
        </is>
      </c>
    </row>
    <row r="306" ht="13.5" customHeight="1" s="1232">
      <c r="A306" s="1348" t="n">
        <v>45149</v>
      </c>
      <c r="B306" s="1349" t="inlineStr">
        <is>
          <t>Clare Brannan</t>
        </is>
      </c>
      <c r="C306" s="1350" t="inlineStr">
        <is>
          <t>6. 1-2-1</t>
        </is>
      </c>
      <c r="D306" s="1349" t="inlineStr">
        <is>
          <t>Stripe</t>
        </is>
      </c>
      <c r="E306" s="1351" t="n">
        <v>95</v>
      </c>
      <c r="F306" s="1349" t="inlineStr">
        <is>
          <t>Zoom 2hr 1-2-1</t>
        </is>
      </c>
      <c r="G306" s="1349" t="inlineStr">
        <is>
          <t>Existing</t>
        </is>
      </c>
    </row>
    <row r="307" ht="13.5" customHeight="1" s="1232">
      <c r="A307" s="1348" t="n">
        <v>45148</v>
      </c>
      <c r="B307" s="1349" t="inlineStr">
        <is>
          <t>Lindsey Mcqueen</t>
        </is>
      </c>
      <c r="C307" s="1350" t="inlineStr">
        <is>
          <t>1. Courses/masterclasses</t>
        </is>
      </c>
      <c r="D307" s="1349" t="inlineStr">
        <is>
          <t>Bank</t>
        </is>
      </c>
      <c r="E307" s="1351" t="n">
        <v>200</v>
      </c>
      <c r="F307" s="1349" t="inlineStr">
        <is>
          <t>ELS - Photo Course</t>
        </is>
      </c>
      <c r="G307" s="1349" t="inlineStr">
        <is>
          <t>ELS</t>
        </is>
      </c>
    </row>
    <row r="308" ht="13.5" customHeight="1" s="1232">
      <c r="A308" s="1348" t="n">
        <v>45148</v>
      </c>
      <c r="B308" s="1349" t="inlineStr">
        <is>
          <t>Dan Taylor</t>
        </is>
      </c>
      <c r="C308" s="1350" t="inlineStr">
        <is>
          <t>1. Courses/masterclasses</t>
        </is>
      </c>
      <c r="D308" s="1349" t="inlineStr">
        <is>
          <t>Bank</t>
        </is>
      </c>
      <c r="E308" s="1351" t="n">
        <v>200</v>
      </c>
      <c r="F308" s="1349" t="inlineStr">
        <is>
          <t>ELS - Photo Course</t>
        </is>
      </c>
      <c r="G308" s="1349" t="inlineStr">
        <is>
          <t>ELS</t>
        </is>
      </c>
    </row>
    <row r="309" ht="13.5" customHeight="1" s="1232">
      <c r="A309" s="1348" t="n">
        <v>45148</v>
      </c>
      <c r="B309" s="1349" t="inlineStr">
        <is>
          <t>Narasimha Patnala</t>
        </is>
      </c>
      <c r="C309" s="1350" t="inlineStr">
        <is>
          <t>1. Courses/masterclasses</t>
        </is>
      </c>
      <c r="D309" s="1349" t="inlineStr">
        <is>
          <t>Bank</t>
        </is>
      </c>
      <c r="E309" s="1351" t="n">
        <v>200</v>
      </c>
      <c r="F309" s="1349" t="inlineStr">
        <is>
          <t>ELS - Lr Course</t>
        </is>
      </c>
      <c r="G309" s="1349" t="inlineStr">
        <is>
          <t>ELS</t>
        </is>
      </c>
    </row>
    <row r="310" ht="13.5" customHeight="1" s="1232">
      <c r="A310" s="1348" t="n">
        <v>45148</v>
      </c>
      <c r="B310" s="1349" t="inlineStr">
        <is>
          <t>Scott Murley</t>
        </is>
      </c>
      <c r="C310" s="1350" t="inlineStr">
        <is>
          <t>6. 1-2-1</t>
        </is>
      </c>
      <c r="D310" s="1349" t="inlineStr">
        <is>
          <t>Stripe</t>
        </is>
      </c>
      <c r="E310" s="1351" t="n">
        <v>120</v>
      </c>
      <c r="F310" s="1352" t="inlineStr">
        <is>
          <t>1-2-1 F2F</t>
        </is>
      </c>
      <c r="G310" s="1349" t="inlineStr">
        <is>
          <t>Google</t>
        </is>
      </c>
    </row>
    <row r="311" ht="13.5" customHeight="1" s="1232">
      <c r="A311" s="1348" t="n">
        <v>45147</v>
      </c>
      <c r="B311" s="1349" t="inlineStr">
        <is>
          <t>Artfully Walls</t>
        </is>
      </c>
      <c r="C311" s="1350" t="inlineStr">
        <is>
          <t>9. Prints &amp; Royalties</t>
        </is>
      </c>
      <c r="D311" s="1349" t="inlineStr">
        <is>
          <t>PayPal</t>
        </is>
      </c>
      <c r="E311" s="1351" t="n">
        <v>44.19</v>
      </c>
      <c r="F311" s="1349" t="inlineStr">
        <is>
          <t>Print Sales</t>
        </is>
      </c>
      <c r="G311" s="1349" t="inlineStr">
        <is>
          <t>Artfully Walls</t>
        </is>
      </c>
    </row>
    <row r="312" ht="13.5" customHeight="1" s="1232">
      <c r="A312" s="1348" t="n">
        <v>45145</v>
      </c>
      <c r="B312" s="1349" t="inlineStr">
        <is>
          <t>Robert Gibson</t>
        </is>
      </c>
      <c r="C312" s="1350" t="inlineStr">
        <is>
          <t>1. Courses/masterclasses</t>
        </is>
      </c>
      <c r="D312" s="1349" t="inlineStr">
        <is>
          <t>Stripe</t>
        </is>
      </c>
      <c r="E312" s="1351" t="n">
        <v>250</v>
      </c>
      <c r="F312" s="1349" t="inlineStr">
        <is>
          <t>5wk Beginners</t>
        </is>
      </c>
      <c r="G312" s="1349" t="inlineStr">
        <is>
          <t>Google</t>
        </is>
      </c>
    </row>
    <row r="313" ht="13.5" customHeight="1" s="1232">
      <c r="A313" s="1348" t="n">
        <v>45145</v>
      </c>
      <c r="B313" s="1349" t="inlineStr">
        <is>
          <t>John Wilson</t>
        </is>
      </c>
      <c r="C313" s="1350" t="inlineStr">
        <is>
          <t>2. Workshops</t>
        </is>
      </c>
      <c r="D313" s="1349" t="inlineStr">
        <is>
          <t>Stripe</t>
        </is>
      </c>
      <c r="E313" s="1351" t="n">
        <v>125</v>
      </c>
      <c r="F313" s="1349" t="inlineStr">
        <is>
          <t>Peak District Heather</t>
        </is>
      </c>
      <c r="G313" s="1349" t="inlineStr">
        <is>
          <t>Google</t>
        </is>
      </c>
    </row>
    <row r="314" ht="13.5" customHeight="1" s="1232">
      <c r="A314" s="1348" t="n">
        <v>45145</v>
      </c>
      <c r="B314" s="1349" t="inlineStr">
        <is>
          <t>Ian Hope</t>
        </is>
      </c>
      <c r="C314" s="1350" t="inlineStr">
        <is>
          <t>2. Workshops</t>
        </is>
      </c>
      <c r="D314" s="1349" t="inlineStr">
        <is>
          <t>Stripe</t>
        </is>
      </c>
      <c r="E314" s="1351" t="n">
        <v>50</v>
      </c>
      <c r="F314" s="1349" t="inlineStr">
        <is>
          <t>LE Kenilworth</t>
        </is>
      </c>
      <c r="G314" s="1349" t="inlineStr">
        <is>
          <t>Existing</t>
        </is>
      </c>
    </row>
    <row r="315" ht="13.5" customHeight="1" s="1232">
      <c r="A315" s="1348" t="n">
        <v>45144</v>
      </c>
      <c r="B315" s="1349" t="inlineStr">
        <is>
          <t>Alison Horsfall</t>
        </is>
      </c>
      <c r="C315" s="1350" t="inlineStr">
        <is>
          <t>1. Courses/masterclasses</t>
        </is>
      </c>
      <c r="D315" s="1349" t="inlineStr">
        <is>
          <t>Stripe</t>
        </is>
      </c>
      <c r="E315" s="1351" t="n">
        <v>250</v>
      </c>
      <c r="F315" s="1349" t="inlineStr">
        <is>
          <t>5wk Beginners</t>
        </is>
      </c>
      <c r="G315" s="1349" t="inlineStr">
        <is>
          <t>Google</t>
        </is>
      </c>
    </row>
    <row r="316" ht="13.5" customHeight="1" s="1232">
      <c r="A316" s="1348" t="n">
        <v>45144</v>
      </c>
      <c r="B316" s="1349" t="inlineStr">
        <is>
          <t>Hannah Lewis</t>
        </is>
      </c>
      <c r="C316" s="1350" t="inlineStr">
        <is>
          <t>2. Workshops</t>
        </is>
      </c>
      <c r="D316" s="1349" t="inlineStr">
        <is>
          <t>Stripe</t>
        </is>
      </c>
      <c r="E316" s="1351" t="n">
        <v>195</v>
      </c>
      <c r="F316" s="1349" t="inlineStr">
        <is>
          <t>Batsford</t>
        </is>
      </c>
      <c r="G316" s="1349" t="inlineStr">
        <is>
          <t>Google</t>
        </is>
      </c>
    </row>
    <row r="317" ht="13.5" customHeight="1" s="1232">
      <c r="A317" s="1348" t="n">
        <v>45143</v>
      </c>
      <c r="B317" s="1349" t="inlineStr">
        <is>
          <t>maryam yaghoubi</t>
        </is>
      </c>
      <c r="C317" s="1350" t="inlineStr">
        <is>
          <t>6. 1-2-1</t>
        </is>
      </c>
      <c r="D317" s="1349" t="inlineStr">
        <is>
          <t>Stripe</t>
        </is>
      </c>
      <c r="E317" s="1351" t="n">
        <v>70</v>
      </c>
      <c r="F317" s="1352" t="inlineStr">
        <is>
          <t>1-2-1 F2F</t>
        </is>
      </c>
      <c r="G317" s="1349" t="inlineStr">
        <is>
          <t>Google</t>
        </is>
      </c>
    </row>
    <row r="318" ht="13.5" customHeight="1" s="1232">
      <c r="A318" s="1348" t="n">
        <v>45142</v>
      </c>
      <c r="B318" s="1349" t="inlineStr">
        <is>
          <t>Kase</t>
        </is>
      </c>
      <c r="C318" s="1350" t="inlineStr">
        <is>
          <t>11. Other</t>
        </is>
      </c>
      <c r="D318" s="1349" t="inlineStr">
        <is>
          <t>Bank</t>
        </is>
      </c>
      <c r="E318" s="1351" t="n">
        <v>23.93</v>
      </c>
      <c r="F318" s="1349" t="inlineStr">
        <is>
          <t>Kase Commission</t>
        </is>
      </c>
      <c r="G318" s="1349" t="inlineStr">
        <is>
          <t>Existing</t>
        </is>
      </c>
    </row>
    <row r="319" ht="13.5" customHeight="1" s="1232">
      <c r="A319" s="1348" t="n">
        <v>45142</v>
      </c>
      <c r="B319" s="1349" t="inlineStr">
        <is>
          <t>Joanne Galloway</t>
        </is>
      </c>
      <c r="C319" s="1350" t="inlineStr">
        <is>
          <t>5. Mentoring</t>
        </is>
      </c>
      <c r="D319" s="1349" t="inlineStr">
        <is>
          <t>Stripe</t>
        </is>
      </c>
      <c r="E319" s="1351" t="n">
        <v>200</v>
      </c>
      <c r="F319" s="1349" t="inlineStr">
        <is>
          <t>Monthly Mentoring</t>
        </is>
      </c>
      <c r="G319" s="1349" t="inlineStr">
        <is>
          <t>Existing</t>
        </is>
      </c>
    </row>
    <row r="320" ht="13.5" customHeight="1" s="1232">
      <c r="A320" s="1348" t="n">
        <v>45140</v>
      </c>
      <c r="B320" s="1349" t="inlineStr">
        <is>
          <t>Julie Green</t>
        </is>
      </c>
      <c r="C320" s="1350" t="inlineStr">
        <is>
          <t>-   Workshops Residential</t>
        </is>
      </c>
      <c r="D320" s="1349" t="inlineStr">
        <is>
          <t>Stripe</t>
        </is>
      </c>
      <c r="E320" s="1351" t="n">
        <v>300</v>
      </c>
      <c r="F320" s="1349" t="inlineStr">
        <is>
          <t>Lake District - Thu</t>
        </is>
      </c>
      <c r="G320" s="1349" t="inlineStr">
        <is>
          <t>Google</t>
        </is>
      </c>
    </row>
    <row r="321" ht="13.5" customHeight="1" s="1232">
      <c r="A321" s="1348" t="n">
        <v>45140</v>
      </c>
      <c r="B321" s="1349" t="inlineStr">
        <is>
          <t>Julie Green</t>
        </is>
      </c>
      <c r="C321" s="1350" t="inlineStr">
        <is>
          <t>-   Workshops Residential</t>
        </is>
      </c>
      <c r="D321" s="1349" t="inlineStr">
        <is>
          <t>Stripe</t>
        </is>
      </c>
      <c r="E321" s="1351" t="n">
        <v>1750</v>
      </c>
      <c r="F321" s="1349" t="inlineStr">
        <is>
          <t>Lake District</t>
        </is>
      </c>
      <c r="G321" s="1349" t="inlineStr">
        <is>
          <t>Google</t>
        </is>
      </c>
    </row>
    <row r="322" ht="13.5" customHeight="1" s="1232">
      <c r="A322" s="1348" t="n">
        <v>45139</v>
      </c>
      <c r="B322" s="1349" t="inlineStr">
        <is>
          <t>Pick n Mix Subs</t>
        </is>
      </c>
      <c r="C322" s="1350" t="inlineStr">
        <is>
          <t>3. Pick n Mix Inc</t>
        </is>
      </c>
      <c r="D322" s="1349" t="inlineStr">
        <is>
          <t>Various</t>
        </is>
      </c>
      <c r="E322" s="1351" t="n">
        <v>50</v>
      </c>
      <c r="F322" s="1349" t="inlineStr">
        <is>
          <t>Pick N Mix Payments</t>
        </is>
      </c>
      <c r="G322" s="1349" t="inlineStr">
        <is>
          <t>Existing</t>
        </is>
      </c>
    </row>
    <row r="323" ht="13.5" customHeight="1" s="1232">
      <c r="A323" s="1348" t="n">
        <v>45139</v>
      </c>
      <c r="B323" s="1349" t="inlineStr">
        <is>
          <t>Mentoring Subs</t>
        </is>
      </c>
      <c r="C323" s="1350" t="inlineStr">
        <is>
          <t>5. Mentoring</t>
        </is>
      </c>
      <c r="D323" s="1349" t="inlineStr">
        <is>
          <t>Various</t>
        </is>
      </c>
      <c r="E323" s="1351" t="n">
        <v>20</v>
      </c>
      <c r="F323" s="1349" t="inlineStr">
        <is>
          <t>Mentoring Subs</t>
        </is>
      </c>
      <c r="G323" s="1349" t="inlineStr">
        <is>
          <t>Existing</t>
        </is>
      </c>
    </row>
    <row r="324" ht="13.5" customHeight="1" s="1232">
      <c r="A324" s="1348" t="n"/>
      <c r="B324" s="1349" t="n"/>
      <c r="C324" s="1350" t="n"/>
      <c r="D324" s="1349" t="n"/>
      <c r="E324" s="1351" t="n"/>
      <c r="F324" s="1349" t="n"/>
      <c r="G324" s="1349" t="n"/>
    </row>
    <row r="325" ht="13.5" customHeight="1" s="1232">
      <c r="A325" s="1348" t="n">
        <v>45138</v>
      </c>
      <c r="B325" s="1349" t="inlineStr">
        <is>
          <t>Ian Hope</t>
        </is>
      </c>
      <c r="C325" s="1350" t="inlineStr">
        <is>
          <t>2. Workshops</t>
        </is>
      </c>
      <c r="D325" s="1349" t="inlineStr">
        <is>
          <t>Stripe</t>
        </is>
      </c>
      <c r="E325" s="1351" t="n">
        <v>45</v>
      </c>
      <c r="F325" s="1349" t="inlineStr">
        <is>
          <t>Sezincote</t>
        </is>
      </c>
      <c r="G325" s="1349" t="inlineStr">
        <is>
          <t>Existing</t>
        </is>
      </c>
    </row>
    <row r="326" ht="13.5" customHeight="1" s="1232">
      <c r="A326" s="1348" t="n">
        <v>45138</v>
      </c>
      <c r="B326" s="1349" t="inlineStr">
        <is>
          <t>Kirsten Pearce</t>
        </is>
      </c>
      <c r="C326" s="1350" t="inlineStr">
        <is>
          <t>3. Pick n Mix Inc</t>
        </is>
      </c>
      <c r="D326" s="1349" t="inlineStr">
        <is>
          <t>Bank</t>
        </is>
      </c>
      <c r="E326" s="1351" t="n">
        <v>250</v>
      </c>
      <c r="F326" s="1349" t="inlineStr">
        <is>
          <t>PnM Qtrly Payment</t>
        </is>
      </c>
      <c r="G326" s="1349" t="inlineStr">
        <is>
          <t>Existing</t>
        </is>
      </c>
    </row>
    <row r="327" ht="13.5" customHeight="1" s="1232">
      <c r="A327" s="1348" t="n">
        <v>45137</v>
      </c>
      <c r="B327" s="1349" t="inlineStr">
        <is>
          <t>Karen Williams</t>
        </is>
      </c>
      <c r="C327" s="1350" t="inlineStr">
        <is>
          <t>2. Workshops</t>
        </is>
      </c>
      <c r="D327" s="1349" t="inlineStr">
        <is>
          <t>Stripe</t>
        </is>
      </c>
      <c r="E327" s="1351" t="n">
        <v>195</v>
      </c>
      <c r="F327" s="1349" t="inlineStr">
        <is>
          <t>Batsford</t>
        </is>
      </c>
      <c r="G327" s="1349" t="inlineStr">
        <is>
          <t>Existing</t>
        </is>
      </c>
    </row>
    <row r="328" ht="13.5" customHeight="1" s="1232">
      <c r="A328" s="1348" t="n">
        <v>45137</v>
      </c>
      <c r="B328" s="1349" t="inlineStr">
        <is>
          <t>Karen Williams</t>
        </is>
      </c>
      <c r="C328" s="1350" t="inlineStr">
        <is>
          <t>2. Workshops</t>
        </is>
      </c>
      <c r="D328" s="1349" t="inlineStr">
        <is>
          <t>Stripe</t>
        </is>
      </c>
      <c r="E328" s="1351" t="n">
        <v>45</v>
      </c>
      <c r="F328" s="1349" t="inlineStr">
        <is>
          <t>Sezincote</t>
        </is>
      </c>
      <c r="G328" s="1349" t="inlineStr">
        <is>
          <t>Google</t>
        </is>
      </c>
    </row>
    <row r="329" ht="13.5" customHeight="1" s="1232">
      <c r="A329" s="1348" t="n">
        <v>45137</v>
      </c>
      <c r="B329" s="1349" t="inlineStr">
        <is>
          <t>Ian Slater</t>
        </is>
      </c>
      <c r="C329" s="1350" t="inlineStr">
        <is>
          <t>6. 1-2-1</t>
        </is>
      </c>
      <c r="D329" s="1349" t="inlineStr">
        <is>
          <t>Stripe</t>
        </is>
      </c>
      <c r="E329" s="1351" t="n">
        <v>240</v>
      </c>
      <c r="F329" s="1349" t="inlineStr">
        <is>
          <t>6 x 1hr Zooms</t>
        </is>
      </c>
      <c r="G329" s="1349" t="inlineStr">
        <is>
          <t>Existing</t>
        </is>
      </c>
    </row>
    <row r="330" ht="13.5" customHeight="1" s="1232">
      <c r="A330" s="1348" t="n">
        <v>45132</v>
      </c>
      <c r="B330" s="1349" t="inlineStr">
        <is>
          <t>Kirsten Pearce</t>
        </is>
      </c>
      <c r="C330" s="1350" t="inlineStr">
        <is>
          <t>2. Workshops</t>
        </is>
      </c>
      <c r="D330" s="1349" t="inlineStr">
        <is>
          <t>PicknMix</t>
        </is>
      </c>
      <c r="E330" s="1351" t="n">
        <v>125</v>
      </c>
      <c r="F330" s="1349" t="inlineStr">
        <is>
          <t>Woodland Masterclass</t>
        </is>
      </c>
      <c r="G330" s="1349" t="inlineStr">
        <is>
          <t>Existing</t>
        </is>
      </c>
    </row>
    <row r="331" ht="13.5" customHeight="1" s="1232">
      <c r="A331" s="1348" t="n">
        <v>45132</v>
      </c>
      <c r="B331" s="1349" t="inlineStr">
        <is>
          <t>Kirsten Pearce</t>
        </is>
      </c>
      <c r="C331" s="1350" t="inlineStr">
        <is>
          <t>4. Pick n Mix Out</t>
        </is>
      </c>
      <c r="D331" s="1349" t="inlineStr">
        <is>
          <t>PicknMix</t>
        </is>
      </c>
      <c r="E331" s="1351" t="n">
        <v>-125</v>
      </c>
      <c r="F331" s="1349" t="inlineStr">
        <is>
          <t>Woodland Masterclass</t>
        </is>
      </c>
      <c r="G331" s="1349" t="inlineStr">
        <is>
          <t>Existing</t>
        </is>
      </c>
    </row>
    <row r="332" ht="13.5" customHeight="1" s="1232">
      <c r="A332" s="1348" t="n">
        <v>45133</v>
      </c>
      <c r="B332" s="1349" t="inlineStr">
        <is>
          <t>Jane Holmes</t>
        </is>
      </c>
      <c r="C332" s="1350" t="inlineStr">
        <is>
          <t>7. Gift Vouchers Inc</t>
        </is>
      </c>
      <c r="D332" s="1349" t="inlineStr">
        <is>
          <t>Stripe</t>
        </is>
      </c>
      <c r="E332" s="1351" t="n">
        <v>100</v>
      </c>
      <c r="F332" s="1349" t="inlineStr">
        <is>
          <t>Digital Gift Voucher</t>
        </is>
      </c>
      <c r="G332" s="1349" t="inlineStr">
        <is>
          <t>Google</t>
        </is>
      </c>
    </row>
    <row r="333" ht="13.5" customHeight="1" s="1232">
      <c r="A333" s="1348" t="n">
        <v>45129</v>
      </c>
      <c r="B333" s="1349" t="inlineStr">
        <is>
          <t>Carrie Wyatt</t>
        </is>
      </c>
      <c r="C333" s="1350" t="inlineStr">
        <is>
          <t>1. Courses/masterclasses</t>
        </is>
      </c>
      <c r="D333" s="1349" t="inlineStr">
        <is>
          <t>Stripe</t>
        </is>
      </c>
      <c r="E333" s="1351" t="n">
        <v>30</v>
      </c>
      <c r="F333" s="1349" t="inlineStr">
        <is>
          <t>Get Off Auto</t>
        </is>
      </c>
      <c r="G333" s="1349" t="inlineStr">
        <is>
          <t>Google</t>
        </is>
      </c>
    </row>
    <row r="334" ht="13.5" customHeight="1" s="1232">
      <c r="A334" s="1348" t="n">
        <v>45126</v>
      </c>
      <c r="B334" s="1349" t="inlineStr">
        <is>
          <t>Teresa Andrews</t>
        </is>
      </c>
      <c r="C334" s="1350" t="inlineStr">
        <is>
          <t>7. Gift Vouchers Inc</t>
        </is>
      </c>
      <c r="D334" s="1349" t="inlineStr">
        <is>
          <t>Stripe</t>
        </is>
      </c>
      <c r="E334" s="1351" t="n">
        <v>125</v>
      </c>
      <c r="F334" s="1349" t="inlineStr">
        <is>
          <t>Digital Gift Voucher</t>
        </is>
      </c>
      <c r="G334" s="1349" t="inlineStr">
        <is>
          <t>Google</t>
        </is>
      </c>
    </row>
    <row r="335" ht="13.5" customHeight="1" s="1232">
      <c r="A335" s="1348" t="n">
        <v>45125</v>
      </c>
      <c r="B335" s="1349" t="inlineStr">
        <is>
          <t>Paul Norris</t>
        </is>
      </c>
      <c r="C335" s="1350" t="inlineStr">
        <is>
          <t>2. Workshops</t>
        </is>
      </c>
      <c r="D335" s="1349" t="inlineStr">
        <is>
          <t>Stripe</t>
        </is>
      </c>
      <c r="E335" s="1351" t="n">
        <v>75</v>
      </c>
      <c r="F335" s="1349" t="inlineStr">
        <is>
          <t>Burnham</t>
        </is>
      </c>
      <c r="G335" s="1349" t="inlineStr">
        <is>
          <t>Google</t>
        </is>
      </c>
    </row>
    <row r="336" ht="13.5" customHeight="1" s="1232">
      <c r="A336" s="1348" t="n">
        <v>45128</v>
      </c>
      <c r="B336" s="1349" t="inlineStr">
        <is>
          <t>Mark Constable</t>
        </is>
      </c>
      <c r="C336" s="1350" t="inlineStr">
        <is>
          <t>2. Workshops</t>
        </is>
      </c>
      <c r="D336" s="1349" t="inlineStr">
        <is>
          <t>Bank</t>
        </is>
      </c>
      <c r="E336" s="1351" t="n">
        <v>75</v>
      </c>
      <c r="F336" s="1349" t="inlineStr">
        <is>
          <t>Batsford</t>
        </is>
      </c>
      <c r="G336" s="1349" t="inlineStr">
        <is>
          <t>Existing</t>
        </is>
      </c>
    </row>
    <row r="337" ht="13.5" customHeight="1" s="1232">
      <c r="A337" s="1348" t="n">
        <v>45121</v>
      </c>
      <c r="B337" s="1349" t="inlineStr">
        <is>
          <t>Anne Rowling</t>
        </is>
      </c>
      <c r="C337" s="1350" t="inlineStr">
        <is>
          <t>1. Courses/masterclasses</t>
        </is>
      </c>
      <c r="D337" s="1349" t="inlineStr">
        <is>
          <t>Bank</t>
        </is>
      </c>
      <c r="E337" s="1351" t="n">
        <v>250</v>
      </c>
      <c r="F337" s="1349" t="inlineStr">
        <is>
          <t>5wk Beginners Photo</t>
        </is>
      </c>
      <c r="G337" s="1349" t="inlineStr">
        <is>
          <t>Google</t>
        </is>
      </c>
    </row>
    <row r="338" ht="13.5" customHeight="1" s="1232">
      <c r="A338" s="1348" t="n">
        <v>45121</v>
      </c>
      <c r="B338" s="1349" t="inlineStr">
        <is>
          <t xml:space="preserve">Kenneth Hawkins </t>
        </is>
      </c>
      <c r="C338" s="1350" t="inlineStr">
        <is>
          <t>11. Other</t>
        </is>
      </c>
      <c r="D338" s="1349" t="inlineStr">
        <is>
          <t>Stripe</t>
        </is>
      </c>
      <c r="E338" s="1351" t="n">
        <v>25</v>
      </c>
      <c r="F338" s="1349" t="inlineStr">
        <is>
          <t>Sensor Clean</t>
        </is>
      </c>
      <c r="G338" s="1349" t="inlineStr">
        <is>
          <t>Google</t>
        </is>
      </c>
    </row>
    <row r="339" ht="13.5" customHeight="1" s="1232">
      <c r="A339" s="1348" t="n">
        <v>45120</v>
      </c>
      <c r="B339" s="1349" t="inlineStr">
        <is>
          <t>Barbara Voules</t>
        </is>
      </c>
      <c r="C339" s="1350" t="inlineStr">
        <is>
          <t>5. Mentoring</t>
        </is>
      </c>
      <c r="D339" s="1349" t="inlineStr">
        <is>
          <t>Stripe</t>
        </is>
      </c>
      <c r="E339" s="1351" t="n">
        <v>20</v>
      </c>
      <c r="F339" s="1349" t="inlineStr">
        <is>
          <t>Monthly Mentoring</t>
        </is>
      </c>
      <c r="G339" s="1349" t="inlineStr">
        <is>
          <t>Google</t>
        </is>
      </c>
    </row>
    <row r="340" ht="13.5" customHeight="1" s="1232">
      <c r="A340" s="1348" t="n">
        <v>45112</v>
      </c>
      <c r="B340" s="1349" t="inlineStr">
        <is>
          <t>Philip Kadiri</t>
        </is>
      </c>
      <c r="C340" s="1350" t="inlineStr">
        <is>
          <t>11. Other</t>
        </is>
      </c>
      <c r="D340" s="1349" t="inlineStr">
        <is>
          <t>PayPal</t>
        </is>
      </c>
      <c r="E340" s="1351" t="n">
        <v>25</v>
      </c>
      <c r="F340" s="1349" t="inlineStr">
        <is>
          <t>Sensor Clean</t>
        </is>
      </c>
      <c r="G340" s="1349" t="inlineStr">
        <is>
          <t>Google</t>
        </is>
      </c>
    </row>
    <row r="341" ht="13.5" customHeight="1" s="1232">
      <c r="A341" s="1348" t="n">
        <v>45112</v>
      </c>
      <c r="B341" s="1349" t="inlineStr">
        <is>
          <t>Emoke Ispan</t>
        </is>
      </c>
      <c r="C341" s="1350" t="inlineStr">
        <is>
          <t>2. Workshops</t>
        </is>
      </c>
      <c r="D341" s="1349" t="inlineStr">
        <is>
          <t>PicknMix</t>
        </is>
      </c>
      <c r="E341" s="1351" t="n">
        <v>35</v>
      </c>
      <c r="F341" s="1352" t="inlineStr">
        <is>
          <t>Garden Workshop</t>
        </is>
      </c>
      <c r="G341" s="1349" t="inlineStr">
        <is>
          <t>Existing</t>
        </is>
      </c>
    </row>
    <row r="342" ht="13.5" customHeight="1" s="1232">
      <c r="A342" s="1348" t="n">
        <v>45112</v>
      </c>
      <c r="B342" s="1349" t="inlineStr">
        <is>
          <t>Emoke Ispan</t>
        </is>
      </c>
      <c r="C342" s="1350" t="inlineStr">
        <is>
          <t>4. Pick n Mix Out</t>
        </is>
      </c>
      <c r="D342" s="1349" t="inlineStr">
        <is>
          <t>PicknMix</t>
        </is>
      </c>
      <c r="E342" s="1351" t="n">
        <v>-35</v>
      </c>
      <c r="F342" s="1352" t="inlineStr">
        <is>
          <t>Garden Workshop</t>
        </is>
      </c>
      <c r="G342" s="1349" t="inlineStr">
        <is>
          <t>Existing</t>
        </is>
      </c>
    </row>
    <row r="343" ht="13.5" customHeight="1" s="1232">
      <c r="A343" s="1348" t="n">
        <v>45111</v>
      </c>
      <c r="B343" s="1349" t="inlineStr">
        <is>
          <t>David Albone</t>
        </is>
      </c>
      <c r="C343" s="1350" t="inlineStr">
        <is>
          <t>11. Other</t>
        </is>
      </c>
      <c r="D343" s="1349" t="inlineStr">
        <is>
          <t>PayPal</t>
        </is>
      </c>
      <c r="E343" s="1351" t="n">
        <v>2</v>
      </c>
      <c r="F343" s="1349" t="inlineStr">
        <is>
          <t>Pocket Guide</t>
        </is>
      </c>
      <c r="G343" s="1349" t="inlineStr">
        <is>
          <t>Google</t>
        </is>
      </c>
    </row>
    <row r="344" ht="13.5" customHeight="1" s="1232">
      <c r="A344" s="1348" t="n">
        <v>45111</v>
      </c>
      <c r="B344" s="1349" t="inlineStr">
        <is>
          <t>Kase</t>
        </is>
      </c>
      <c r="C344" s="1350" t="inlineStr">
        <is>
          <t>11. Other</t>
        </is>
      </c>
      <c r="D344" s="1349" t="inlineStr">
        <is>
          <t>Bank</t>
        </is>
      </c>
      <c r="E344" s="1351" t="n">
        <v>32.44</v>
      </c>
      <c r="F344" s="1349" t="inlineStr">
        <is>
          <t>Kase Referrals</t>
        </is>
      </c>
      <c r="G344" s="1349" t="inlineStr">
        <is>
          <t>Other</t>
        </is>
      </c>
    </row>
    <row r="345" ht="13.5" customHeight="1" s="1232">
      <c r="A345" s="1348" t="n">
        <v>45110</v>
      </c>
      <c r="B345" s="1349" t="inlineStr">
        <is>
          <t>Artfully Walls</t>
        </is>
      </c>
      <c r="C345" s="1350" t="inlineStr">
        <is>
          <t>9. Prints &amp; Royalties</t>
        </is>
      </c>
      <c r="D345" s="1349" t="inlineStr">
        <is>
          <t>PayPal</t>
        </is>
      </c>
      <c r="E345" s="1351" t="n">
        <v>29.84</v>
      </c>
      <c r="F345" s="1349" t="inlineStr">
        <is>
          <t>Print Sales</t>
        </is>
      </c>
      <c r="G345" s="1349" t="inlineStr">
        <is>
          <t>Artfully Walls</t>
        </is>
      </c>
    </row>
    <row r="346" ht="13.5" customHeight="1" s="1232">
      <c r="A346" s="1348" t="n">
        <v>45110</v>
      </c>
      <c r="B346" s="1349" t="inlineStr">
        <is>
          <t>Clare Brannan</t>
        </is>
      </c>
      <c r="C346" s="1350" t="inlineStr">
        <is>
          <t>6. 1-2-1</t>
        </is>
      </c>
      <c r="D346" s="1349" t="inlineStr">
        <is>
          <t>Gift Voucher Out</t>
        </is>
      </c>
      <c r="E346" s="1351" t="n">
        <v>10</v>
      </c>
      <c r="F346" s="1349" t="inlineStr">
        <is>
          <t>Zoom - 1-2-1</t>
        </is>
      </c>
      <c r="G346" s="1349" t="inlineStr">
        <is>
          <t>Existing</t>
        </is>
      </c>
    </row>
    <row r="347" ht="13.5" customHeight="1" s="1232">
      <c r="A347" s="1348" t="n">
        <v>45110</v>
      </c>
      <c r="B347" s="1349" t="inlineStr">
        <is>
          <t>Clare Brannan</t>
        </is>
      </c>
      <c r="C347" s="1350" t="inlineStr">
        <is>
          <t>8. Gift Vouchers Out</t>
        </is>
      </c>
      <c r="D347" s="1349" t="inlineStr">
        <is>
          <t>Gift Voucher Out</t>
        </is>
      </c>
      <c r="E347" s="1351" t="n">
        <v>-10</v>
      </c>
      <c r="F347" s="1349" t="inlineStr">
        <is>
          <t>Zoom - 1-2-1</t>
        </is>
      </c>
      <c r="G347" s="1349" t="inlineStr">
        <is>
          <t>Existing</t>
        </is>
      </c>
    </row>
    <row r="348" ht="13.5" customHeight="1" s="1232">
      <c r="A348" s="1348" t="n">
        <v>45110</v>
      </c>
      <c r="B348" s="1349" t="inlineStr">
        <is>
          <t>Clare Brannan</t>
        </is>
      </c>
      <c r="C348" s="1350" t="inlineStr">
        <is>
          <t>6. 1-2-1</t>
        </is>
      </c>
      <c r="D348" s="1349" t="inlineStr">
        <is>
          <t>Stripe</t>
        </is>
      </c>
      <c r="E348" s="1351" t="n">
        <v>80</v>
      </c>
      <c r="F348" s="1349" t="inlineStr">
        <is>
          <t>Zoom - 1-2-1</t>
        </is>
      </c>
      <c r="G348" s="1349" t="inlineStr">
        <is>
          <t>Existing</t>
        </is>
      </c>
    </row>
    <row r="349" ht="13.5" customHeight="1" s="1232">
      <c r="A349" s="1348" t="n">
        <v>45110</v>
      </c>
      <c r="B349" s="1349" t="inlineStr">
        <is>
          <t>Linda Newbery</t>
        </is>
      </c>
      <c r="C349" s="1350" t="inlineStr">
        <is>
          <t>2. Workshops</t>
        </is>
      </c>
      <c r="D349" s="1349" t="inlineStr">
        <is>
          <t>Stripe</t>
        </is>
      </c>
      <c r="E349" s="1351" t="n">
        <v>45</v>
      </c>
      <c r="F349" s="1349" t="inlineStr">
        <is>
          <t>Sezincote</t>
        </is>
      </c>
      <c r="G349" s="1349" t="inlineStr">
        <is>
          <t>Existing</t>
        </is>
      </c>
    </row>
    <row r="350" ht="13.5" customHeight="1" s="1232">
      <c r="A350" s="1348" t="n">
        <v>45110</v>
      </c>
      <c r="B350" s="1349" t="inlineStr">
        <is>
          <t>Lonnie Morris</t>
        </is>
      </c>
      <c r="C350" s="1350" t="inlineStr">
        <is>
          <t>-   Workshops Residential</t>
        </is>
      </c>
      <c r="D350" s="1349" t="inlineStr">
        <is>
          <t>Bank</t>
        </is>
      </c>
      <c r="E350" s="1351" t="n">
        <v>695</v>
      </c>
      <c r="F350" s="1349" t="inlineStr">
        <is>
          <t>Gower</t>
        </is>
      </c>
      <c r="G350" s="1349" t="inlineStr">
        <is>
          <t>Existing</t>
        </is>
      </c>
    </row>
    <row r="351" ht="13.5" customHeight="1" s="1232">
      <c r="A351" s="1348" t="n">
        <v>45109</v>
      </c>
      <c r="B351" s="1349" t="inlineStr">
        <is>
          <t>Robert Mulley</t>
        </is>
      </c>
      <c r="C351" s="1350" t="inlineStr">
        <is>
          <t>6. 1-2-1</t>
        </is>
      </c>
      <c r="D351" s="1349" t="inlineStr">
        <is>
          <t>Stripe</t>
        </is>
      </c>
      <c r="E351" s="1351" t="n">
        <v>225</v>
      </c>
      <c r="F351" s="1349" t="inlineStr">
        <is>
          <t>4hr 1-2-1</t>
        </is>
      </c>
      <c r="G351" s="1349" t="inlineStr">
        <is>
          <t>Google</t>
        </is>
      </c>
    </row>
    <row r="352" ht="13.5" customHeight="1" s="1232">
      <c r="A352" s="1348" t="n">
        <v>45109</v>
      </c>
      <c r="B352" s="1349" t="inlineStr">
        <is>
          <t>Catherine Cott</t>
        </is>
      </c>
      <c r="C352" s="1350" t="inlineStr">
        <is>
          <t>2. Workshops</t>
        </is>
      </c>
      <c r="D352" s="1349" t="inlineStr">
        <is>
          <t>PayPal</t>
        </is>
      </c>
      <c r="E352" s="1351" t="n">
        <v>35</v>
      </c>
      <c r="F352" s="1349" t="inlineStr">
        <is>
          <t>Garden Workshop</t>
        </is>
      </c>
      <c r="G352" s="1349" t="inlineStr">
        <is>
          <t>Google</t>
        </is>
      </c>
    </row>
    <row r="353" ht="13.5" customHeight="1" s="1232">
      <c r="A353" s="1348" t="n">
        <v>45108</v>
      </c>
      <c r="B353" s="1349" t="inlineStr">
        <is>
          <t>Lynn Rushall</t>
        </is>
      </c>
      <c r="C353" s="1350" t="inlineStr">
        <is>
          <t>2. Workshops</t>
        </is>
      </c>
      <c r="D353" s="1349" t="inlineStr">
        <is>
          <t>PayPal</t>
        </is>
      </c>
      <c r="E353" s="1351" t="n">
        <v>95</v>
      </c>
      <c r="F353" s="1352" t="inlineStr">
        <is>
          <t>Secret Woodlands</t>
        </is>
      </c>
      <c r="G353" s="1349" t="inlineStr">
        <is>
          <t>Existing</t>
        </is>
      </c>
    </row>
    <row r="354" ht="13.5" customHeight="1" s="1232">
      <c r="A354" s="1348" t="n">
        <v>45108</v>
      </c>
      <c r="B354" s="1349" t="inlineStr">
        <is>
          <t>Pick n Mix Subs</t>
        </is>
      </c>
      <c r="C354" s="1350" t="inlineStr">
        <is>
          <t>3. Pick n Mix Inc</t>
        </is>
      </c>
      <c r="D354" s="1349" t="inlineStr">
        <is>
          <t>Various</t>
        </is>
      </c>
      <c r="E354" s="1351" t="n">
        <v>50</v>
      </c>
      <c r="F354" s="1349" t="inlineStr">
        <is>
          <t>Pick N Mix Payments</t>
        </is>
      </c>
      <c r="G354" s="1349" t="inlineStr">
        <is>
          <t>Existing</t>
        </is>
      </c>
    </row>
    <row r="355" ht="13.5" customHeight="1" s="1232">
      <c r="A355" s="1348" t="n">
        <v>45108</v>
      </c>
      <c r="B355" s="1349" t="inlineStr">
        <is>
          <t>Mentoring Subs</t>
        </is>
      </c>
      <c r="C355" s="1350" t="inlineStr">
        <is>
          <t>5. Mentoring</t>
        </is>
      </c>
      <c r="D355" s="1349" t="inlineStr">
        <is>
          <t>Various</t>
        </is>
      </c>
      <c r="E355" s="1351" t="n">
        <v>20</v>
      </c>
      <c r="F355" s="1349" t="inlineStr">
        <is>
          <t>Mentoring Subs</t>
        </is>
      </c>
      <c r="G355" s="1349" t="inlineStr">
        <is>
          <t>Existing</t>
        </is>
      </c>
    </row>
    <row r="356" ht="13.5" customHeight="1" s="1232">
      <c r="A356" s="1348" t="n"/>
      <c r="B356" s="1349" t="n"/>
      <c r="C356" s="1350" t="n"/>
      <c r="D356" s="1349" t="n"/>
      <c r="E356" s="1351" t="n"/>
      <c r="F356" s="1349" t="n"/>
      <c r="G356" s="1349" t="n"/>
    </row>
    <row r="357" ht="13.5" customHeight="1" s="1232">
      <c r="A357" s="1348" t="n">
        <v>45107</v>
      </c>
      <c r="B357" s="1349" t="inlineStr">
        <is>
          <t>Susan Malik</t>
        </is>
      </c>
      <c r="C357" s="1350" t="inlineStr">
        <is>
          <t>2. Workshops</t>
        </is>
      </c>
      <c r="D357" s="1349" t="inlineStr">
        <is>
          <t>Stripe</t>
        </is>
      </c>
      <c r="E357" s="1351" t="n">
        <v>50</v>
      </c>
      <c r="F357" s="1349" t="inlineStr">
        <is>
          <t>LE Workshop</t>
        </is>
      </c>
      <c r="G357" s="1349" t="inlineStr">
        <is>
          <t>Google</t>
        </is>
      </c>
    </row>
    <row r="358" ht="13.5" customHeight="1" s="1232">
      <c r="A358" s="1348" t="n">
        <v>45107</v>
      </c>
      <c r="B358" s="1349" t="inlineStr">
        <is>
          <t>Jacki Rosin</t>
        </is>
      </c>
      <c r="C358" s="1350" t="inlineStr">
        <is>
          <t>2. Workshops</t>
        </is>
      </c>
      <c r="D358" s="1349" t="inlineStr">
        <is>
          <t>Stripe</t>
        </is>
      </c>
      <c r="E358" s="1351" t="n">
        <v>95</v>
      </c>
      <c r="F358" s="1352" t="inlineStr">
        <is>
          <t>Secret Woodlands</t>
        </is>
      </c>
      <c r="G358" s="1349" t="inlineStr">
        <is>
          <t>Existing</t>
        </is>
      </c>
    </row>
    <row r="359" ht="13.5" customHeight="1" s="1232">
      <c r="A359" s="1348" t="n">
        <v>45107</v>
      </c>
      <c r="B359" s="1349" t="inlineStr">
        <is>
          <t>Nick Barber</t>
        </is>
      </c>
      <c r="C359" s="1350" t="inlineStr">
        <is>
          <t>2. Workshops</t>
        </is>
      </c>
      <c r="D359" s="1349" t="inlineStr">
        <is>
          <t>Stripe</t>
        </is>
      </c>
      <c r="E359" s="1351" t="n">
        <v>95</v>
      </c>
      <c r="F359" s="1352" t="inlineStr">
        <is>
          <t>Secret Woodlands</t>
        </is>
      </c>
      <c r="G359" s="1349" t="inlineStr">
        <is>
          <t>Existing</t>
        </is>
      </c>
    </row>
    <row r="360" ht="13.5" customHeight="1" s="1232">
      <c r="A360" s="1348" t="n">
        <v>45107</v>
      </c>
      <c r="B360" s="1349" t="inlineStr">
        <is>
          <t>CARL EDMONDS</t>
        </is>
      </c>
      <c r="C360" s="1350" t="inlineStr">
        <is>
          <t>10 Commissions</t>
        </is>
      </c>
      <c r="D360" s="1349" t="inlineStr">
        <is>
          <t>Stripe</t>
        </is>
      </c>
      <c r="E360" s="1351" t="n">
        <v>425</v>
      </c>
      <c r="F360" s="1349" t="inlineStr">
        <is>
          <t>Pocket Watch Training</t>
        </is>
      </c>
      <c r="G360" s="1349" t="inlineStr">
        <is>
          <t>Existing</t>
        </is>
      </c>
    </row>
    <row r="361" ht="13.5" customHeight="1" s="1232">
      <c r="A361" s="1348" t="n">
        <v>45107</v>
      </c>
      <c r="B361" s="1349" t="inlineStr">
        <is>
          <t>Joanne Galloway</t>
        </is>
      </c>
      <c r="C361" s="1350" t="inlineStr">
        <is>
          <t>2. Workshops</t>
        </is>
      </c>
      <c r="D361" s="1349" t="inlineStr">
        <is>
          <t>PicknMix</t>
        </is>
      </c>
      <c r="E361" s="1351" t="n">
        <v>95</v>
      </c>
      <c r="F361" s="1352" t="inlineStr">
        <is>
          <t>Secret Woodlands</t>
        </is>
      </c>
      <c r="G361" s="1349" t="inlineStr">
        <is>
          <t>Existing</t>
        </is>
      </c>
    </row>
    <row r="362" ht="13.5" customHeight="1" s="1232">
      <c r="A362" s="1348" t="n">
        <v>45107</v>
      </c>
      <c r="B362" s="1349" t="inlineStr">
        <is>
          <t>Joanne Galloway</t>
        </is>
      </c>
      <c r="C362" s="1350" t="inlineStr">
        <is>
          <t>4. Pick n Mix Out</t>
        </is>
      </c>
      <c r="D362" s="1349" t="inlineStr">
        <is>
          <t>PicknMix</t>
        </is>
      </c>
      <c r="E362" s="1351" t="n">
        <v>-95</v>
      </c>
      <c r="F362" s="1352" t="inlineStr">
        <is>
          <t>Secret Woodlands</t>
        </is>
      </c>
      <c r="G362" s="1349" t="inlineStr">
        <is>
          <t>Existing</t>
        </is>
      </c>
    </row>
    <row r="363" ht="13.5" customHeight="1" s="1232">
      <c r="A363" s="1348" t="n">
        <v>45106</v>
      </c>
      <c r="B363" s="1349" t="inlineStr">
        <is>
          <t>DAVID BARLOW</t>
        </is>
      </c>
      <c r="C363" s="1350" t="inlineStr">
        <is>
          <t>2. Workshops</t>
        </is>
      </c>
      <c r="D363" s="1349" t="inlineStr">
        <is>
          <t>Stripe</t>
        </is>
      </c>
      <c r="E363" s="1351" t="n">
        <v>12</v>
      </c>
      <c r="F363" s="1349" t="inlineStr">
        <is>
          <t>Woodland Walk</t>
        </is>
      </c>
      <c r="G363" s="1349" t="inlineStr">
        <is>
          <t>Google</t>
        </is>
      </c>
    </row>
    <row r="364" ht="13.5" customHeight="1" s="1232">
      <c r="A364" s="1348" t="n">
        <v>45104</v>
      </c>
      <c r="B364" s="1349" t="inlineStr">
        <is>
          <t>David Smith</t>
        </is>
      </c>
      <c r="C364" s="1350" t="inlineStr">
        <is>
          <t>2. Workshops</t>
        </is>
      </c>
      <c r="D364" s="1349" t="inlineStr">
        <is>
          <t>Stripe</t>
        </is>
      </c>
      <c r="E364" s="1351" t="n">
        <v>50</v>
      </c>
      <c r="F364" s="1349" t="inlineStr">
        <is>
          <t>Chesterton</t>
        </is>
      </c>
      <c r="G364" s="1349" t="inlineStr">
        <is>
          <t>Google</t>
        </is>
      </c>
    </row>
    <row r="365" ht="13.5" customHeight="1" s="1232">
      <c r="A365" s="1348" t="n">
        <v>45104</v>
      </c>
      <c r="B365" s="1349" t="inlineStr">
        <is>
          <t>Carl Edmonds</t>
        </is>
      </c>
      <c r="C365" s="1350" t="inlineStr">
        <is>
          <t>10 Commissions</t>
        </is>
      </c>
      <c r="D365" s="1349" t="inlineStr">
        <is>
          <t>Stripe</t>
        </is>
      </c>
      <c r="E365" s="1351" t="n">
        <v>95</v>
      </c>
      <c r="F365" s="1349" t="inlineStr">
        <is>
          <t>Pocket Watch Training</t>
        </is>
      </c>
      <c r="G365" s="1349" t="inlineStr">
        <is>
          <t>Google</t>
        </is>
      </c>
    </row>
    <row r="366" ht="13.5" customHeight="1" s="1232">
      <c r="A366" s="1348" t="n">
        <v>45103</v>
      </c>
      <c r="B366" s="1349" t="inlineStr">
        <is>
          <t>Andrew Senior</t>
        </is>
      </c>
      <c r="C366" s="1350" t="inlineStr">
        <is>
          <t>2. Workshops</t>
        </is>
      </c>
      <c r="D366" s="1349" t="inlineStr">
        <is>
          <t>Stripe</t>
        </is>
      </c>
      <c r="E366" s="1351" t="n">
        <v>95</v>
      </c>
      <c r="F366" s="1352" t="inlineStr">
        <is>
          <t>Secret Woodlands</t>
        </is>
      </c>
      <c r="G366" s="1349" t="inlineStr">
        <is>
          <t>Existing</t>
        </is>
      </c>
    </row>
    <row r="367" ht="13.5" customHeight="1" s="1232">
      <c r="A367" s="1348" t="n">
        <v>45103</v>
      </c>
      <c r="B367" s="1349" t="inlineStr">
        <is>
          <t>Martin Janes</t>
        </is>
      </c>
      <c r="C367" s="1350" t="inlineStr">
        <is>
          <t>2. Workshops</t>
        </is>
      </c>
      <c r="D367" s="1349" t="inlineStr">
        <is>
          <t>Stripe</t>
        </is>
      </c>
      <c r="E367" s="1351" t="n">
        <v>70</v>
      </c>
      <c r="F367" s="1352" t="inlineStr">
        <is>
          <t>Secret Woodlands</t>
        </is>
      </c>
      <c r="G367" s="1349" t="inlineStr">
        <is>
          <t>Existing</t>
        </is>
      </c>
    </row>
    <row r="368" ht="13.5" customHeight="1" s="1232">
      <c r="A368" s="1348" t="n">
        <v>45100</v>
      </c>
      <c r="B368" s="1349" t="inlineStr">
        <is>
          <t>Emoke Ispan</t>
        </is>
      </c>
      <c r="C368" s="1350" t="inlineStr">
        <is>
          <t>2. Workshops</t>
        </is>
      </c>
      <c r="D368" s="1349" t="inlineStr">
        <is>
          <t>PicknMix</t>
        </is>
      </c>
      <c r="E368" s="1351" t="n">
        <v>95</v>
      </c>
      <c r="F368" s="1352" t="inlineStr">
        <is>
          <t>Secret Woodlands</t>
        </is>
      </c>
      <c r="G368" s="1349" t="inlineStr">
        <is>
          <t>Existing</t>
        </is>
      </c>
    </row>
    <row r="369" ht="13.5" customHeight="1" s="1232">
      <c r="A369" s="1348" t="n">
        <v>45100</v>
      </c>
      <c r="B369" s="1349" t="inlineStr">
        <is>
          <t>Emoke Ispan</t>
        </is>
      </c>
      <c r="C369" s="1350" t="inlineStr">
        <is>
          <t>4. Pick n Mix Out</t>
        </is>
      </c>
      <c r="D369" s="1349" t="inlineStr">
        <is>
          <t>PicknMix</t>
        </is>
      </c>
      <c r="E369" s="1351" t="n">
        <v>-95</v>
      </c>
      <c r="F369" s="1352" t="inlineStr">
        <is>
          <t>Secret Woodlands</t>
        </is>
      </c>
      <c r="G369" s="1349" t="inlineStr">
        <is>
          <t>Existing</t>
        </is>
      </c>
    </row>
    <row r="370" ht="13.5" customHeight="1" s="1232">
      <c r="A370" s="1348" t="n">
        <v>45100</v>
      </c>
      <c r="B370" s="1349" t="inlineStr">
        <is>
          <t>Rebecca Lewis</t>
        </is>
      </c>
      <c r="C370" s="1350" t="inlineStr">
        <is>
          <t>6. 1-2-1</t>
        </is>
      </c>
      <c r="D370" s="1349" t="inlineStr">
        <is>
          <t>Bank</t>
        </is>
      </c>
      <c r="E370" s="1351" t="n">
        <v>50</v>
      </c>
      <c r="F370" s="1349" t="inlineStr">
        <is>
          <t>ELS - Zoom</t>
        </is>
      </c>
      <c r="G370" s="1349" t="inlineStr">
        <is>
          <t>ELS</t>
        </is>
      </c>
    </row>
    <row r="371" ht="13.5" customHeight="1" s="1232">
      <c r="A371" s="1348" t="n">
        <v>45099</v>
      </c>
      <c r="B371" s="1349" t="inlineStr">
        <is>
          <t>Ian Bolton</t>
        </is>
      </c>
      <c r="C371" s="1350" t="inlineStr">
        <is>
          <t>2. Workshops</t>
        </is>
      </c>
      <c r="D371" s="1349" t="inlineStr">
        <is>
          <t>Stripe</t>
        </is>
      </c>
      <c r="E371" s="1351" t="n">
        <v>95</v>
      </c>
      <c r="F371" s="1349" t="inlineStr">
        <is>
          <t>Secret Woodlands</t>
        </is>
      </c>
      <c r="G371" s="1349" t="inlineStr">
        <is>
          <t>Existing</t>
        </is>
      </c>
    </row>
    <row r="372" ht="13.5" customHeight="1" s="1232">
      <c r="A372" s="1348" t="n">
        <v>45099</v>
      </c>
      <c r="B372" s="1349" t="inlineStr">
        <is>
          <t>Michael Mackay</t>
        </is>
      </c>
      <c r="C372" s="1350" t="inlineStr">
        <is>
          <t>2. Workshops</t>
        </is>
      </c>
      <c r="D372" s="1349" t="inlineStr">
        <is>
          <t>Stripe</t>
        </is>
      </c>
      <c r="E372" s="1351" t="n">
        <v>95</v>
      </c>
      <c r="F372" s="1349" t="inlineStr">
        <is>
          <t>Secret Woodlands</t>
        </is>
      </c>
      <c r="G372" s="1349" t="inlineStr">
        <is>
          <t>Existing</t>
        </is>
      </c>
    </row>
    <row r="373" ht="13.5" customHeight="1" s="1232">
      <c r="A373" s="1348" t="n">
        <v>45094</v>
      </c>
      <c r="B373" s="1349" t="inlineStr">
        <is>
          <t>adrian harvey</t>
        </is>
      </c>
      <c r="C373" s="1350" t="inlineStr">
        <is>
          <t>2. Workshops</t>
        </is>
      </c>
      <c r="D373" s="1349" t="inlineStr">
        <is>
          <t>Stripe</t>
        </is>
      </c>
      <c r="E373" s="1351" t="n">
        <v>125</v>
      </c>
      <c r="F373" s="1349" t="inlineStr">
        <is>
          <t>Batsford</t>
        </is>
      </c>
      <c r="G373" s="1349" t="inlineStr">
        <is>
          <t>Google</t>
        </is>
      </c>
    </row>
    <row r="374" ht="13.5" customHeight="1" s="1232">
      <c r="A374" s="1348" t="n">
        <v>45093</v>
      </c>
      <c r="B374" s="1349" t="inlineStr">
        <is>
          <t>Susan Granton</t>
        </is>
      </c>
      <c r="C374" s="1350" t="inlineStr">
        <is>
          <t>2. Workshops</t>
        </is>
      </c>
      <c r="D374" s="1349" t="inlineStr">
        <is>
          <t>Stripe</t>
        </is>
      </c>
      <c r="E374" s="1351" t="n">
        <v>35</v>
      </c>
      <c r="F374" s="1349" t="inlineStr">
        <is>
          <t>Garden Workshop</t>
        </is>
      </c>
      <c r="G374" s="1349" t="inlineStr">
        <is>
          <t>Google</t>
        </is>
      </c>
    </row>
    <row r="375" ht="13.5" customHeight="1" s="1232">
      <c r="A375" s="1348" t="n">
        <v>45092</v>
      </c>
      <c r="B375" s="1349" t="inlineStr">
        <is>
          <t>Pixsy</t>
        </is>
      </c>
      <c r="C375" s="1350" t="inlineStr">
        <is>
          <t>9. Prints &amp; Royalties</t>
        </is>
      </c>
      <c r="D375" s="1349" t="inlineStr">
        <is>
          <t>Bank</t>
        </is>
      </c>
      <c r="E375" s="1351" t="n">
        <v>266.65</v>
      </c>
      <c r="F375" s="1349" t="inlineStr">
        <is>
          <t>Radiotimes</t>
        </is>
      </c>
      <c r="G375" s="1349" t="inlineStr">
        <is>
          <t>Existing</t>
        </is>
      </c>
    </row>
    <row r="376" ht="13.5" customHeight="1" s="1232">
      <c r="A376" s="1348" t="n">
        <v>45090</v>
      </c>
      <c r="B376" s="1349" t="inlineStr">
        <is>
          <t>Les Page</t>
        </is>
      </c>
      <c r="C376" s="1350" t="inlineStr">
        <is>
          <t>2. Workshops</t>
        </is>
      </c>
      <c r="D376" s="1349" t="inlineStr">
        <is>
          <t>PayPal</t>
        </is>
      </c>
      <c r="E376" s="1351" t="n">
        <v>75</v>
      </c>
      <c r="F376" s="1349" t="inlineStr">
        <is>
          <t>Lavender</t>
        </is>
      </c>
      <c r="G376" s="1349" t="inlineStr">
        <is>
          <t>Existing</t>
        </is>
      </c>
    </row>
    <row r="377" ht="13.5" customHeight="1" s="1232">
      <c r="A377" s="1348" t="n">
        <v>45089</v>
      </c>
      <c r="B377" s="1349" t="inlineStr">
        <is>
          <t>Adam Caga</t>
        </is>
      </c>
      <c r="C377" s="1350" t="inlineStr">
        <is>
          <t>2. Workshops</t>
        </is>
      </c>
      <c r="D377" s="1349" t="inlineStr">
        <is>
          <t>Stripe</t>
        </is>
      </c>
      <c r="E377" s="1351" t="n">
        <v>45</v>
      </c>
      <c r="F377" s="1349" t="inlineStr">
        <is>
          <t>Sezincote</t>
        </is>
      </c>
      <c r="G377" s="1349" t="inlineStr">
        <is>
          <t>Referral</t>
        </is>
      </c>
    </row>
    <row r="378" ht="13.5" customHeight="1" s="1232">
      <c r="A378" s="1348" t="n">
        <v>45089</v>
      </c>
      <c r="B378" s="1349" t="inlineStr">
        <is>
          <t>Lauren Grant</t>
        </is>
      </c>
      <c r="C378" s="1350" t="inlineStr">
        <is>
          <t>6. 1-2-1</t>
        </is>
      </c>
      <c r="D378" s="1349" t="inlineStr">
        <is>
          <t>Stripe</t>
        </is>
      </c>
      <c r="E378" s="1351" t="n">
        <v>170</v>
      </c>
      <c r="F378" s="1349" t="inlineStr">
        <is>
          <t>4 x 1hr Zoom</t>
        </is>
      </c>
      <c r="G378" s="1349" t="inlineStr">
        <is>
          <t>Existing</t>
        </is>
      </c>
    </row>
    <row r="379" ht="13.5" customHeight="1" s="1232">
      <c r="A379" s="1348" t="n">
        <v>45088</v>
      </c>
      <c r="B379" s="1349" t="inlineStr">
        <is>
          <t>jo guy</t>
        </is>
      </c>
      <c r="C379" s="1350" t="inlineStr">
        <is>
          <t>2. Workshops</t>
        </is>
      </c>
      <c r="D379" s="1349" t="inlineStr">
        <is>
          <t>Stripe</t>
        </is>
      </c>
      <c r="E379" s="1351" t="n">
        <v>45</v>
      </c>
      <c r="F379" s="1349" t="inlineStr">
        <is>
          <t>Sezincote</t>
        </is>
      </c>
      <c r="G379" s="1349" t="inlineStr">
        <is>
          <t>Google</t>
        </is>
      </c>
    </row>
    <row r="380" ht="13.5" customHeight="1" s="1232">
      <c r="A380" s="1348" t="n">
        <v>45088</v>
      </c>
      <c r="B380" s="1349" t="inlineStr">
        <is>
          <t>Angela Archer</t>
        </is>
      </c>
      <c r="C380" s="1350" t="inlineStr">
        <is>
          <t>6. 1-2-1</t>
        </is>
      </c>
      <c r="D380" s="1349" t="inlineStr">
        <is>
          <t>Stripe</t>
        </is>
      </c>
      <c r="E380" s="1351" t="n">
        <v>360</v>
      </c>
      <c r="F380" s="1349" t="inlineStr">
        <is>
          <t>4x2hr 1-2-1</t>
        </is>
      </c>
      <c r="G380" s="1349" t="inlineStr">
        <is>
          <t>Existing</t>
        </is>
      </c>
    </row>
    <row r="381" ht="13.5" customHeight="1" s="1232">
      <c r="A381" s="1348" t="n">
        <v>45087</v>
      </c>
      <c r="B381" s="1349" t="inlineStr">
        <is>
          <t>Mike Charlton</t>
        </is>
      </c>
      <c r="C381" s="1350" t="inlineStr">
        <is>
          <t>2. Workshops</t>
        </is>
      </c>
      <c r="D381" s="1349" t="inlineStr">
        <is>
          <t>Stripe</t>
        </is>
      </c>
      <c r="E381" s="1351" t="n">
        <v>125</v>
      </c>
      <c r="F381" s="1349" t="inlineStr">
        <is>
          <t>Peak District Heathers</t>
        </is>
      </c>
      <c r="G381" s="1349" t="inlineStr">
        <is>
          <t>Existing</t>
        </is>
      </c>
    </row>
    <row r="382" ht="13.5" customHeight="1" s="1232">
      <c r="A382" s="1348" t="n">
        <v>45086</v>
      </c>
      <c r="B382" s="1349" t="inlineStr">
        <is>
          <t>Sandra Dawkes</t>
        </is>
      </c>
      <c r="C382" s="1350" t="inlineStr">
        <is>
          <t>11. Other</t>
        </is>
      </c>
      <c r="D382" s="1349" t="inlineStr">
        <is>
          <t>PayPal</t>
        </is>
      </c>
      <c r="E382" s="1351" t="n">
        <v>2</v>
      </c>
      <c r="F382" s="1349" t="inlineStr">
        <is>
          <t>Pocket Guide</t>
        </is>
      </c>
      <c r="G382" s="1349" t="inlineStr">
        <is>
          <t>Google</t>
        </is>
      </c>
    </row>
    <row r="383" ht="13.5" customHeight="1" s="1232">
      <c r="A383" s="1348" t="n">
        <v>45085</v>
      </c>
      <c r="B383" s="1349" t="inlineStr">
        <is>
          <t>Kim Repton</t>
        </is>
      </c>
      <c r="C383" s="1350" t="inlineStr">
        <is>
          <t>2. Workshops</t>
        </is>
      </c>
      <c r="D383" s="1349" t="inlineStr">
        <is>
          <t>Stripe</t>
        </is>
      </c>
      <c r="E383" s="1351" t="n">
        <v>75</v>
      </c>
      <c r="F383" s="1349" t="inlineStr">
        <is>
          <t>Lavender</t>
        </is>
      </c>
      <c r="G383" s="1349" t="inlineStr">
        <is>
          <t>Google</t>
        </is>
      </c>
    </row>
    <row r="384" ht="13.5" customHeight="1" s="1232">
      <c r="A384" s="1348" t="n">
        <v>45083</v>
      </c>
      <c r="B384" s="1349" t="inlineStr">
        <is>
          <t>Demetris Eaton</t>
        </is>
      </c>
      <c r="C384" s="1350" t="inlineStr">
        <is>
          <t>6. 1-2-1</t>
        </is>
      </c>
      <c r="D384" s="1349" t="inlineStr">
        <is>
          <t>PayPal</t>
        </is>
      </c>
      <c r="E384" s="1351" t="n">
        <v>65</v>
      </c>
      <c r="F384" s="1349" t="inlineStr">
        <is>
          <t>F2F 1-2-1</t>
        </is>
      </c>
      <c r="G384" s="1349" t="inlineStr">
        <is>
          <t>Google</t>
        </is>
      </c>
    </row>
    <row r="385" ht="13.5" customHeight="1" s="1232">
      <c r="A385" s="1348" t="n">
        <v>45082</v>
      </c>
      <c r="B385" s="1349" t="inlineStr">
        <is>
          <t>Kelly Richardson</t>
        </is>
      </c>
      <c r="C385" s="1350" t="inlineStr">
        <is>
          <t>2. Workshops</t>
        </is>
      </c>
      <c r="D385" s="1349" t="inlineStr">
        <is>
          <t>PayPal</t>
        </is>
      </c>
      <c r="E385" s="1351" t="n">
        <v>75</v>
      </c>
      <c r="F385" s="1349" t="inlineStr">
        <is>
          <t>Lavender</t>
        </is>
      </c>
      <c r="G385" s="1349" t="inlineStr">
        <is>
          <t>Google</t>
        </is>
      </c>
    </row>
    <row r="386" ht="13.5" customHeight="1" s="1232">
      <c r="A386" s="1348" t="n">
        <v>45080</v>
      </c>
      <c r="B386" s="1349" t="inlineStr">
        <is>
          <t>Mark Constable</t>
        </is>
      </c>
      <c r="C386" s="1350" t="inlineStr">
        <is>
          <t>2. Workshops</t>
        </is>
      </c>
      <c r="D386" s="1349" t="inlineStr">
        <is>
          <t>Stripe</t>
        </is>
      </c>
      <c r="E386" s="1351" t="n">
        <v>50</v>
      </c>
      <c r="F386" s="1349" t="inlineStr">
        <is>
          <t>Lavender</t>
        </is>
      </c>
      <c r="G386" s="1349" t="inlineStr">
        <is>
          <t>Existing</t>
        </is>
      </c>
    </row>
    <row r="387" ht="13.5" customHeight="1" s="1232">
      <c r="A387" s="1348" t="n">
        <v>45080</v>
      </c>
      <c r="B387" s="1349" t="inlineStr">
        <is>
          <t>Keith Newton</t>
        </is>
      </c>
      <c r="C387" s="1350" t="inlineStr">
        <is>
          <t>2. Workshops</t>
        </is>
      </c>
      <c r="D387" s="1349" t="inlineStr">
        <is>
          <t>Gift Voucher Out</t>
        </is>
      </c>
      <c r="E387" s="1351" t="n">
        <v>60</v>
      </c>
      <c r="F387" s="1349" t="inlineStr">
        <is>
          <t>Peak District Heathers</t>
        </is>
      </c>
      <c r="G387" s="1349" t="inlineStr">
        <is>
          <t>Existing</t>
        </is>
      </c>
    </row>
    <row r="388" ht="13.5" customHeight="1" s="1232">
      <c r="A388" s="1348" t="n">
        <v>45080</v>
      </c>
      <c r="B388" s="1349" t="inlineStr">
        <is>
          <t>Keith Newton</t>
        </is>
      </c>
      <c r="C388" s="1350" t="inlineStr">
        <is>
          <t>8. Gift Vouchers Out</t>
        </is>
      </c>
      <c r="D388" s="1349" t="inlineStr">
        <is>
          <t>Gift Voucher Out</t>
        </is>
      </c>
      <c r="E388" s="1351" t="n">
        <v>-60</v>
      </c>
      <c r="F388" s="1349" t="inlineStr">
        <is>
          <t>Peak District Heathers</t>
        </is>
      </c>
      <c r="G388" s="1349" t="inlineStr">
        <is>
          <t>Existing</t>
        </is>
      </c>
    </row>
    <row r="389" ht="13.5" customHeight="1" s="1232">
      <c r="A389" s="1348" t="n">
        <v>45078</v>
      </c>
      <c r="B389" s="1349" t="inlineStr">
        <is>
          <t>Pick n Mix Subs</t>
        </is>
      </c>
      <c r="C389" s="1350" t="inlineStr">
        <is>
          <t>3. Pick n Mix Inc</t>
        </is>
      </c>
      <c r="D389" s="1349" t="inlineStr">
        <is>
          <t>Various</t>
        </is>
      </c>
      <c r="E389" s="1351" t="n">
        <v>50</v>
      </c>
      <c r="F389" s="1349" t="inlineStr">
        <is>
          <t>Pick N Mix Payments</t>
        </is>
      </c>
      <c r="G389" s="1349" t="inlineStr">
        <is>
          <t>Existing</t>
        </is>
      </c>
    </row>
    <row r="390" ht="13.5" customHeight="1" s="1232">
      <c r="A390" s="1348" t="n">
        <v>45078</v>
      </c>
      <c r="B390" s="1349" t="inlineStr">
        <is>
          <t>Mentoring Subs</t>
        </is>
      </c>
      <c r="C390" s="1350" t="inlineStr">
        <is>
          <t>5. Mentoring</t>
        </is>
      </c>
      <c r="D390" s="1349" t="inlineStr">
        <is>
          <t>Various</t>
        </is>
      </c>
      <c r="E390" s="1351" t="n">
        <v>40</v>
      </c>
      <c r="F390" s="1349" t="inlineStr">
        <is>
          <t>Mentoring Subs</t>
        </is>
      </c>
      <c r="G390" s="1349" t="inlineStr">
        <is>
          <t>Existing</t>
        </is>
      </c>
    </row>
    <row r="391" ht="13.5" customHeight="1" s="1232">
      <c r="A391" s="1348" t="n"/>
      <c r="B391" s="1349" t="n"/>
      <c r="C391" s="1350" t="n"/>
      <c r="D391" s="1349" t="n"/>
      <c r="E391" s="1351" t="n"/>
      <c r="F391" s="1349" t="n"/>
      <c r="G391" s="1349" t="n"/>
    </row>
    <row r="392" ht="13.5" customHeight="1" s="1232">
      <c r="A392" s="1348" t="n">
        <v>45077</v>
      </c>
      <c r="B392" s="1349" t="inlineStr">
        <is>
          <t>Pixsy</t>
        </is>
      </c>
      <c r="C392" s="1350" t="inlineStr">
        <is>
          <t>9. Prints &amp; Royalties</t>
        </is>
      </c>
      <c r="D392" s="1349" t="inlineStr">
        <is>
          <t>Bank</t>
        </is>
      </c>
      <c r="E392" s="1351" t="n">
        <v>759.39</v>
      </c>
      <c r="F392" s="1349" t="inlineStr">
        <is>
          <t>Pixsy 2 Cases</t>
        </is>
      </c>
      <c r="G392" s="1349" t="inlineStr">
        <is>
          <t>Other</t>
        </is>
      </c>
    </row>
    <row r="393" ht="13.5" customHeight="1" s="1232">
      <c r="A393" s="1348" t="n">
        <v>45077</v>
      </c>
      <c r="B393" s="1349" t="inlineStr">
        <is>
          <t>Emoke Ispan</t>
        </is>
      </c>
      <c r="C393" s="1350" t="inlineStr">
        <is>
          <t>3. Pick n Mix Inc</t>
        </is>
      </c>
      <c r="D393" s="1349" t="inlineStr">
        <is>
          <t>Stripe</t>
        </is>
      </c>
      <c r="E393" s="1351" t="n">
        <v>50</v>
      </c>
      <c r="F393" s="1349" t="inlineStr">
        <is>
          <t>Pick N Mix Payments</t>
        </is>
      </c>
      <c r="G393" s="1349" t="inlineStr">
        <is>
          <t>Existing</t>
        </is>
      </c>
    </row>
    <row r="394" ht="13.5" customHeight="1" s="1232">
      <c r="A394" s="1348" t="n">
        <v>45077</v>
      </c>
      <c r="B394" s="1349" t="inlineStr">
        <is>
          <t>Dave Proctor</t>
        </is>
      </c>
      <c r="C394" s="1350" t="inlineStr">
        <is>
          <t>2. Workshops</t>
        </is>
      </c>
      <c r="D394" s="1349" t="inlineStr">
        <is>
          <t>Gift Voucher Out</t>
        </is>
      </c>
      <c r="E394" s="1351" t="n">
        <v>125</v>
      </c>
      <c r="F394" s="1349" t="inlineStr">
        <is>
          <t>Peak District Heathers</t>
        </is>
      </c>
      <c r="G394" s="1349" t="inlineStr">
        <is>
          <t>Existing</t>
        </is>
      </c>
    </row>
    <row r="395" ht="13.5" customHeight="1" s="1232">
      <c r="A395" s="1348" t="n">
        <v>45077</v>
      </c>
      <c r="B395" s="1349" t="inlineStr">
        <is>
          <t>Dave Proctor</t>
        </is>
      </c>
      <c r="C395" s="1350" t="inlineStr">
        <is>
          <t>8. Gift Vouchers Out</t>
        </is>
      </c>
      <c r="D395" s="1349" t="inlineStr">
        <is>
          <t>Gift Voucher Out</t>
        </is>
      </c>
      <c r="E395" s="1351" t="n">
        <v>-125</v>
      </c>
      <c r="F395" s="1349" t="inlineStr">
        <is>
          <t>Peak District Heathers</t>
        </is>
      </c>
      <c r="G395" s="1349" t="inlineStr">
        <is>
          <t>Existing</t>
        </is>
      </c>
    </row>
    <row r="396" ht="13.5" customHeight="1" s="1232">
      <c r="A396" s="1348" t="n">
        <v>45075</v>
      </c>
      <c r="B396" s="1349" t="inlineStr">
        <is>
          <t>Nick Barber</t>
        </is>
      </c>
      <c r="C396" s="1350" t="inlineStr">
        <is>
          <t>6. 1-2-1</t>
        </is>
      </c>
      <c r="D396" s="1349" t="inlineStr">
        <is>
          <t>PayPal</t>
        </is>
      </c>
      <c r="E396" s="1351" t="n">
        <v>95</v>
      </c>
      <c r="F396" s="1349" t="inlineStr">
        <is>
          <t>Zoom 1-2-1</t>
        </is>
      </c>
      <c r="G396" s="1349" t="inlineStr">
        <is>
          <t>Existing</t>
        </is>
      </c>
    </row>
    <row r="397" ht="13.5" customHeight="1" s="1232">
      <c r="A397" s="1348" t="n">
        <v>45075</v>
      </c>
      <c r="B397" s="1349" t="inlineStr">
        <is>
          <t>Jo Galloway</t>
        </is>
      </c>
      <c r="C397" s="1350" t="inlineStr">
        <is>
          <t>6. 1-2-1</t>
        </is>
      </c>
      <c r="D397" s="1349" t="inlineStr">
        <is>
          <t>PicknMix</t>
        </is>
      </c>
      <c r="E397" s="1351" t="n">
        <v>96</v>
      </c>
      <c r="F397" s="1352" t="inlineStr">
        <is>
          <t>1-2-1</t>
        </is>
      </c>
      <c r="G397" s="1349" t="inlineStr">
        <is>
          <t>Existing</t>
        </is>
      </c>
    </row>
    <row r="398" ht="13.5" customHeight="1" s="1232">
      <c r="A398" s="1348" t="n">
        <v>45075</v>
      </c>
      <c r="B398" s="1349" t="inlineStr">
        <is>
          <t>Jo Galloway</t>
        </is>
      </c>
      <c r="C398" s="1350" t="inlineStr">
        <is>
          <t>4. Pick n Mix Out</t>
        </is>
      </c>
      <c r="D398" s="1349" t="inlineStr">
        <is>
          <t>PicknMix</t>
        </is>
      </c>
      <c r="E398" s="1351" t="n">
        <v>-96</v>
      </c>
      <c r="F398" s="1352" t="inlineStr">
        <is>
          <t>1-2-1</t>
        </is>
      </c>
      <c r="G398" s="1349" t="inlineStr">
        <is>
          <t>Existing</t>
        </is>
      </c>
    </row>
    <row r="399" ht="13.5" customHeight="1" s="1232">
      <c r="A399" s="1348" t="n">
        <v>45075</v>
      </c>
      <c r="B399" s="1349" t="inlineStr">
        <is>
          <t>anu kumar</t>
        </is>
      </c>
      <c r="C399" s="1350" t="inlineStr">
        <is>
          <t>2. Workshops</t>
        </is>
      </c>
      <c r="D399" s="1349" t="inlineStr">
        <is>
          <t>Stripe</t>
        </is>
      </c>
      <c r="E399" s="1351" t="n">
        <v>75</v>
      </c>
      <c r="F399" s="1349" t="inlineStr">
        <is>
          <t xml:space="preserve">Poppy Field Photography </t>
        </is>
      </c>
      <c r="G399" s="1349" t="inlineStr">
        <is>
          <t>Google</t>
        </is>
      </c>
    </row>
    <row r="400" ht="13.5" customHeight="1" s="1232">
      <c r="A400" s="1348" t="n">
        <v>45075</v>
      </c>
      <c r="B400" s="1349" t="inlineStr">
        <is>
          <t>Gemma Wright</t>
        </is>
      </c>
      <c r="C400" s="1350" t="inlineStr">
        <is>
          <t>11. Other</t>
        </is>
      </c>
      <c r="D400" s="1349" t="inlineStr">
        <is>
          <t>PayPal</t>
        </is>
      </c>
      <c r="E400" s="1351" t="n">
        <v>25</v>
      </c>
      <c r="F400" s="1349" t="inlineStr">
        <is>
          <t>Sensor Clean</t>
        </is>
      </c>
      <c r="G400" s="1349" t="inlineStr">
        <is>
          <t>Google</t>
        </is>
      </c>
    </row>
    <row r="401" ht="13.5" customHeight="1" s="1232">
      <c r="A401" s="1348" t="n">
        <v>45072</v>
      </c>
      <c r="B401" s="1349" t="inlineStr">
        <is>
          <t>Jane Robb</t>
        </is>
      </c>
      <c r="C401" s="1350" t="inlineStr">
        <is>
          <t>5. Mentoring</t>
        </is>
      </c>
      <c r="D401" s="1349" t="inlineStr">
        <is>
          <t>Stripe</t>
        </is>
      </c>
      <c r="E401" s="1351" t="n">
        <v>20</v>
      </c>
      <c r="F401" s="1349" t="inlineStr">
        <is>
          <t>Monthly Mentoring</t>
        </is>
      </c>
      <c r="G401" s="1349" t="inlineStr">
        <is>
          <t>Existing</t>
        </is>
      </c>
    </row>
    <row r="402" ht="13.5" customHeight="1" s="1232">
      <c r="A402" s="1348" t="n">
        <v>45070</v>
      </c>
      <c r="B402" s="1349" t="inlineStr">
        <is>
          <t>Gavin Louer/Patsy</t>
        </is>
      </c>
      <c r="C402" s="1350" t="inlineStr">
        <is>
          <t>-   Workshops Residential</t>
        </is>
      </c>
      <c r="D402" s="1349" t="inlineStr">
        <is>
          <t>Bank</t>
        </is>
      </c>
      <c r="E402" s="1351" t="n">
        <v>775</v>
      </c>
      <c r="F402" s="1349" t="inlineStr">
        <is>
          <t>Lake District</t>
        </is>
      </c>
      <c r="G402" s="1349" t="inlineStr">
        <is>
          <t>Existing</t>
        </is>
      </c>
    </row>
    <row r="403" ht="13.5" customHeight="1" s="1232">
      <c r="A403" s="1348" t="n">
        <v>45064</v>
      </c>
      <c r="B403" s="1349" t="inlineStr">
        <is>
          <t>Pixsy</t>
        </is>
      </c>
      <c r="C403" s="1350" t="inlineStr">
        <is>
          <t>9. Prints &amp; Royalties</t>
        </is>
      </c>
      <c r="D403" s="1349" t="inlineStr">
        <is>
          <t>Bank</t>
        </is>
      </c>
      <c r="E403" s="1351" t="n">
        <v>355</v>
      </c>
      <c r="F403" s="1349" t="inlineStr">
        <is>
          <t>Copyright</t>
        </is>
      </c>
      <c r="G403" s="1349" t="inlineStr">
        <is>
          <t>Existing</t>
        </is>
      </c>
    </row>
    <row r="404" ht="13.5" customHeight="1" s="1232">
      <c r="A404" s="1348" t="n">
        <v>45063</v>
      </c>
      <c r="B404" s="1349" t="inlineStr">
        <is>
          <t>Lauren Grant</t>
        </is>
      </c>
      <c r="C404" s="1350" t="inlineStr">
        <is>
          <t>6. 1-2-1</t>
        </is>
      </c>
      <c r="D404" s="1349" t="inlineStr">
        <is>
          <t>Stripe</t>
        </is>
      </c>
      <c r="E404" s="1351" t="n">
        <v>50</v>
      </c>
      <c r="F404" s="1349" t="inlineStr">
        <is>
          <t>Zoom 1-2-1</t>
        </is>
      </c>
      <c r="G404" s="1349" t="inlineStr">
        <is>
          <t>Google</t>
        </is>
      </c>
    </row>
    <row r="405" ht="13.5" customHeight="1" s="1232">
      <c r="A405" s="1348" t="n">
        <v>45062</v>
      </c>
      <c r="B405" s="1349" t="inlineStr">
        <is>
          <t>Jenny Norris</t>
        </is>
      </c>
      <c r="C405" s="1350" t="inlineStr">
        <is>
          <t>2. Workshops</t>
        </is>
      </c>
      <c r="D405" s="1349" t="inlineStr">
        <is>
          <t>Stripe</t>
        </is>
      </c>
      <c r="E405" s="1351" t="n">
        <v>75</v>
      </c>
      <c r="F405" s="1349" t="inlineStr">
        <is>
          <t>Burnham</t>
        </is>
      </c>
      <c r="G405" s="1349" t="inlineStr">
        <is>
          <t>Google</t>
        </is>
      </c>
    </row>
    <row r="406" ht="13.5" customHeight="1" s="1232">
      <c r="A406" s="1348" t="n">
        <v>45061</v>
      </c>
      <c r="B406" s="1349" t="inlineStr">
        <is>
          <t>Phil Banks</t>
        </is>
      </c>
      <c r="C406" s="1350" t="inlineStr">
        <is>
          <t>1. Courses/masterclasses</t>
        </is>
      </c>
      <c r="D406" s="1349" t="inlineStr">
        <is>
          <t>Bank</t>
        </is>
      </c>
      <c r="E406" s="1351" t="n">
        <v>50</v>
      </c>
      <c r="F406" s="1349" t="inlineStr">
        <is>
          <t>5wk Beginners Course</t>
        </is>
      </c>
      <c r="G406" s="1349" t="inlineStr">
        <is>
          <t>ELS</t>
        </is>
      </c>
    </row>
    <row r="407" ht="13.5" customHeight="1" s="1232">
      <c r="A407" s="1348" t="n">
        <v>45058</v>
      </c>
      <c r="B407" s="1349" t="inlineStr">
        <is>
          <t>Simon West</t>
        </is>
      </c>
      <c r="C407" s="1350" t="inlineStr">
        <is>
          <t>11. Other</t>
        </is>
      </c>
      <c r="D407" s="1349" t="inlineStr">
        <is>
          <t>PayPal</t>
        </is>
      </c>
      <c r="E407" s="1351" t="n">
        <v>4</v>
      </c>
      <c r="F407" s="1349" t="inlineStr">
        <is>
          <t>Pocket Guide</t>
        </is>
      </c>
      <c r="G407" s="1349" t="inlineStr">
        <is>
          <t>Google</t>
        </is>
      </c>
    </row>
    <row r="408" ht="13.5" customHeight="1" s="1232">
      <c r="A408" s="1348" t="n">
        <v>45057</v>
      </c>
      <c r="B408" s="1349" t="inlineStr">
        <is>
          <t>laura gosling</t>
        </is>
      </c>
      <c r="C408" s="1350" t="inlineStr">
        <is>
          <t>2. Workshops</t>
        </is>
      </c>
      <c r="D408" s="1349" t="inlineStr">
        <is>
          <t>PayPal</t>
        </is>
      </c>
      <c r="E408" s="1351" t="n">
        <v>149</v>
      </c>
      <c r="F408" s="1349" t="inlineStr">
        <is>
          <t>Various Workshops</t>
        </is>
      </c>
      <c r="G408" s="1349" t="inlineStr">
        <is>
          <t>Existing</t>
        </is>
      </c>
    </row>
    <row r="409" ht="13.5" customHeight="1" s="1232">
      <c r="A409" s="1348" t="n">
        <v>45057</v>
      </c>
      <c r="B409" s="1349" t="inlineStr">
        <is>
          <t>Lauren Grant</t>
        </is>
      </c>
      <c r="C409" s="1350" t="inlineStr">
        <is>
          <t>6. 1-2-1</t>
        </is>
      </c>
      <c r="D409" s="1349" t="inlineStr">
        <is>
          <t>PayPal</t>
        </is>
      </c>
      <c r="E409" s="1351" t="n">
        <v>50</v>
      </c>
      <c r="F409" s="1349" t="inlineStr">
        <is>
          <t>Zoom 1-2-1</t>
        </is>
      </c>
      <c r="G409" s="1349" t="inlineStr">
        <is>
          <t>Existing</t>
        </is>
      </c>
    </row>
    <row r="410" ht="13.5" customHeight="1" s="1232">
      <c r="A410" s="1348" t="n">
        <v>45055</v>
      </c>
      <c r="B410" s="1349" t="inlineStr">
        <is>
          <t>Chris Wardman</t>
        </is>
      </c>
      <c r="C410" s="1350" t="inlineStr">
        <is>
          <t>11. Other</t>
        </is>
      </c>
      <c r="D410" s="1349" t="inlineStr">
        <is>
          <t>Stripe</t>
        </is>
      </c>
      <c r="E410" s="1351" t="n">
        <v>2</v>
      </c>
      <c r="F410" s="1349" t="inlineStr">
        <is>
          <t>Pocket Guide</t>
        </is>
      </c>
      <c r="G410" s="1349" t="inlineStr">
        <is>
          <t>Google</t>
        </is>
      </c>
    </row>
    <row r="411" ht="13.5" customHeight="1" s="1232">
      <c r="A411" s="1348" t="n">
        <v>45055</v>
      </c>
      <c r="B411" s="1349" t="inlineStr">
        <is>
          <t>Lauren Grant</t>
        </is>
      </c>
      <c r="C411" s="1350" t="inlineStr">
        <is>
          <t>6. 1-2-1</t>
        </is>
      </c>
      <c r="D411" s="1349" t="inlineStr">
        <is>
          <t>PayPal</t>
        </is>
      </c>
      <c r="E411" s="1351" t="n">
        <v>50</v>
      </c>
      <c r="F411" s="1349" t="inlineStr">
        <is>
          <t>Zoom 1-2-1</t>
        </is>
      </c>
      <c r="G411" s="1349" t="inlineStr">
        <is>
          <t>Google</t>
        </is>
      </c>
    </row>
    <row r="412" ht="13.5" customHeight="1" s="1232">
      <c r="A412" s="1348" t="n">
        <v>45055</v>
      </c>
      <c r="B412" s="1349" t="inlineStr">
        <is>
          <t>Kautex</t>
        </is>
      </c>
      <c r="C412" s="1350" t="inlineStr">
        <is>
          <t>10 Commissions</t>
        </is>
      </c>
      <c r="D412" s="1349" t="inlineStr">
        <is>
          <t>Bank</t>
        </is>
      </c>
      <c r="E412" s="1351" t="n">
        <v>295</v>
      </c>
      <c r="F412" s="1349" t="inlineStr">
        <is>
          <t>Head Shots</t>
        </is>
      </c>
      <c r="G412" s="1349" t="inlineStr">
        <is>
          <t>Google</t>
        </is>
      </c>
    </row>
    <row r="413" ht="13.5" customHeight="1" s="1232">
      <c r="A413" s="1348" t="n">
        <v>45054</v>
      </c>
      <c r="B413" s="1349" t="inlineStr">
        <is>
          <t>Paul Kitteringham</t>
        </is>
      </c>
      <c r="C413" s="1350" t="inlineStr">
        <is>
          <t>7. Gift Vouchers Inc</t>
        </is>
      </c>
      <c r="D413" s="1349" t="inlineStr">
        <is>
          <t>Stripe</t>
        </is>
      </c>
      <c r="E413" s="1351" t="n">
        <v>300</v>
      </c>
      <c r="F413" s="1349" t="inlineStr">
        <is>
          <t>Digital Gift Card</t>
        </is>
      </c>
      <c r="G413" s="1349" t="inlineStr">
        <is>
          <t>Google</t>
        </is>
      </c>
    </row>
    <row r="414" ht="13.5" customHeight="1" s="1232">
      <c r="A414" s="1348" t="n">
        <v>45052</v>
      </c>
      <c r="B414" s="1349" t="inlineStr">
        <is>
          <t>David Pitt</t>
        </is>
      </c>
      <c r="C414" s="1350" t="inlineStr">
        <is>
          <t>1. Courses/masterclasses</t>
        </is>
      </c>
      <c r="D414" s="1349" t="inlineStr">
        <is>
          <t>Stripe</t>
        </is>
      </c>
      <c r="E414" s="1351" t="n">
        <v>250</v>
      </c>
      <c r="F414" s="1349" t="inlineStr">
        <is>
          <t>LR Course</t>
        </is>
      </c>
      <c r="G414" s="1349" t="inlineStr">
        <is>
          <t>Existing</t>
        </is>
      </c>
    </row>
    <row r="415" ht="13.5" customHeight="1" s="1232">
      <c r="A415" s="1348" t="n">
        <v>45051</v>
      </c>
      <c r="B415" s="1349" t="inlineStr">
        <is>
          <t>Mary Simpson</t>
        </is>
      </c>
      <c r="C415" s="1350" t="inlineStr">
        <is>
          <t>2. Workshops</t>
        </is>
      </c>
      <c r="D415" s="1349" t="inlineStr">
        <is>
          <t>PayPal</t>
        </is>
      </c>
      <c r="E415" s="1351" t="n">
        <v>75</v>
      </c>
      <c r="F415" s="1349" t="inlineStr">
        <is>
          <t>Burnham</t>
        </is>
      </c>
      <c r="G415" s="1349" t="inlineStr">
        <is>
          <t>Google</t>
        </is>
      </c>
    </row>
    <row r="416" ht="13.5" customHeight="1" s="1232">
      <c r="A416" s="1348" t="n">
        <v>45051</v>
      </c>
      <c r="B416" s="1349" t="inlineStr">
        <is>
          <t>Mary Simpson</t>
        </is>
      </c>
      <c r="C416" s="1350" t="inlineStr">
        <is>
          <t>2. Workshops</t>
        </is>
      </c>
      <c r="D416" s="1349" t="inlineStr">
        <is>
          <t>PayPal</t>
        </is>
      </c>
      <c r="E416" s="1351" t="n">
        <v>75</v>
      </c>
      <c r="F416" s="1349" t="inlineStr">
        <is>
          <t>Lavender</t>
        </is>
      </c>
      <c r="G416" s="1349" t="inlineStr">
        <is>
          <t>Google</t>
        </is>
      </c>
    </row>
    <row r="417" ht="13.5" customHeight="1" s="1232">
      <c r="A417" s="1348" t="n">
        <v>45049</v>
      </c>
      <c r="B417" s="1349" t="inlineStr">
        <is>
          <t>Joanne Galloway</t>
        </is>
      </c>
      <c r="C417" s="1350" t="inlineStr">
        <is>
          <t>2. Workshops</t>
        </is>
      </c>
      <c r="D417" s="1349" t="inlineStr">
        <is>
          <t>PicknMix</t>
        </is>
      </c>
      <c r="E417" s="1351" t="n">
        <v>156</v>
      </c>
      <c r="F417" s="1349" t="inlineStr">
        <is>
          <t>Batsford</t>
        </is>
      </c>
      <c r="G417" s="1349" t="inlineStr">
        <is>
          <t>Existing</t>
        </is>
      </c>
    </row>
    <row r="418" ht="13.5" customHeight="1" s="1232">
      <c r="A418" s="1348" t="n">
        <v>45049</v>
      </c>
      <c r="B418" s="1349" t="inlineStr">
        <is>
          <t>Joanne Galloway</t>
        </is>
      </c>
      <c r="C418" s="1350" t="inlineStr">
        <is>
          <t>4. Pick n Mix Out</t>
        </is>
      </c>
      <c r="D418" s="1349" t="inlineStr">
        <is>
          <t>PicknMix</t>
        </is>
      </c>
      <c r="E418" s="1351" t="n">
        <v>-156</v>
      </c>
      <c r="F418" s="1349" t="inlineStr">
        <is>
          <t>Batsford</t>
        </is>
      </c>
      <c r="G418" s="1349" t="inlineStr">
        <is>
          <t>Existing</t>
        </is>
      </c>
    </row>
    <row r="419" ht="13.5" customHeight="1" s="1232">
      <c r="A419" s="1348" t="n">
        <v>45049</v>
      </c>
      <c r="B419" s="1349" t="inlineStr">
        <is>
          <t>Joanne Galloway</t>
        </is>
      </c>
      <c r="C419" s="1350" t="inlineStr">
        <is>
          <t>2. Workshops</t>
        </is>
      </c>
      <c r="D419" s="1349" t="inlineStr">
        <is>
          <t>PicknMix</t>
        </is>
      </c>
      <c r="E419" s="1351" t="n">
        <v>140</v>
      </c>
      <c r="F419" s="1349" t="inlineStr">
        <is>
          <t>Peak District</t>
        </is>
      </c>
      <c r="G419" s="1349" t="inlineStr">
        <is>
          <t>Existing</t>
        </is>
      </c>
    </row>
    <row r="420" ht="13.5" customHeight="1" s="1232">
      <c r="A420" s="1348" t="n">
        <v>45049</v>
      </c>
      <c r="B420" s="1349" t="inlineStr">
        <is>
          <t>Joanne Galloway</t>
        </is>
      </c>
      <c r="C420" s="1350" t="inlineStr">
        <is>
          <t>4. Pick n Mix Out</t>
        </is>
      </c>
      <c r="D420" s="1349" t="inlineStr">
        <is>
          <t>PicknMix</t>
        </is>
      </c>
      <c r="E420" s="1351" t="n">
        <v>-140</v>
      </c>
      <c r="F420" s="1349" t="inlineStr">
        <is>
          <t>Peak District</t>
        </is>
      </c>
      <c r="G420" s="1349" t="inlineStr">
        <is>
          <t>Existing</t>
        </is>
      </c>
    </row>
    <row r="421" ht="13.5" customHeight="1" s="1232">
      <c r="A421" s="1348" t="n">
        <v>45049</v>
      </c>
      <c r="B421" s="1349" t="inlineStr">
        <is>
          <t>Joanne Galloway</t>
        </is>
      </c>
      <c r="C421" s="1350" t="inlineStr">
        <is>
          <t>2. Workshops</t>
        </is>
      </c>
      <c r="D421" s="1349" t="inlineStr">
        <is>
          <t>PicknMix</t>
        </is>
      </c>
      <c r="E421" s="1351" t="n">
        <v>75</v>
      </c>
      <c r="F421" s="1349" t="inlineStr">
        <is>
          <t xml:space="preserve">Chesterton Windmill Sunset </t>
        </is>
      </c>
      <c r="G421" s="1349" t="inlineStr">
        <is>
          <t>Existing</t>
        </is>
      </c>
    </row>
    <row r="422" ht="13.5" customHeight="1" s="1232">
      <c r="A422" s="1348" t="n">
        <v>45049</v>
      </c>
      <c r="B422" s="1349" t="inlineStr">
        <is>
          <t>Joanne Galloway</t>
        </is>
      </c>
      <c r="C422" s="1350" t="inlineStr">
        <is>
          <t>4. Pick n Mix Out</t>
        </is>
      </c>
      <c r="D422" s="1349" t="inlineStr">
        <is>
          <t>PicknMix</t>
        </is>
      </c>
      <c r="E422" s="1351" t="n">
        <v>-75</v>
      </c>
      <c r="F422" s="1349" t="inlineStr">
        <is>
          <t xml:space="preserve">Chesterton Windmill Sunset </t>
        </is>
      </c>
      <c r="G422" s="1349" t="inlineStr">
        <is>
          <t>Existing</t>
        </is>
      </c>
    </row>
    <row r="423" ht="13.5" customHeight="1" s="1232">
      <c r="A423" s="1348" t="n">
        <v>45049</v>
      </c>
      <c r="B423" s="1349" t="inlineStr">
        <is>
          <t>Joanne Galloway</t>
        </is>
      </c>
      <c r="C423" s="1350" t="inlineStr">
        <is>
          <t>2. Workshops</t>
        </is>
      </c>
      <c r="D423" s="1349" t="inlineStr">
        <is>
          <t>PicknMix</t>
        </is>
      </c>
      <c r="E423" s="1351" t="n">
        <v>75</v>
      </c>
      <c r="F423" s="1349" t="inlineStr">
        <is>
          <t xml:space="preserve">Poppy Field Photography </t>
        </is>
      </c>
      <c r="G423" s="1349" t="inlineStr">
        <is>
          <t>Existing</t>
        </is>
      </c>
    </row>
    <row r="424" ht="13.5" customHeight="1" s="1232">
      <c r="A424" s="1348" t="n">
        <v>45049</v>
      </c>
      <c r="B424" s="1349" t="inlineStr">
        <is>
          <t>Joanne Galloway</t>
        </is>
      </c>
      <c r="C424" s="1350" t="inlineStr">
        <is>
          <t>4. Pick n Mix Out</t>
        </is>
      </c>
      <c r="D424" s="1349" t="inlineStr">
        <is>
          <t>PicknMix</t>
        </is>
      </c>
      <c r="E424" s="1351" t="n">
        <v>-75</v>
      </c>
      <c r="F424" s="1349" t="inlineStr">
        <is>
          <t xml:space="preserve">Poppy Field Photography </t>
        </is>
      </c>
      <c r="G424" s="1349" t="inlineStr">
        <is>
          <t>Existing</t>
        </is>
      </c>
    </row>
    <row r="425" ht="13.5" customHeight="1" s="1232">
      <c r="A425" s="1348" t="n">
        <v>45049</v>
      </c>
      <c r="B425" s="1349" t="inlineStr">
        <is>
          <t>Joanne Galloway</t>
        </is>
      </c>
      <c r="C425" s="1350" t="inlineStr">
        <is>
          <t>2. Workshops</t>
        </is>
      </c>
      <c r="D425" s="1349" t="inlineStr">
        <is>
          <t>PicknMix</t>
        </is>
      </c>
      <c r="E425" s="1351" t="n">
        <v>45</v>
      </c>
      <c r="F425" s="1349" t="inlineStr">
        <is>
          <t xml:space="preserve">Sezincote Garden Photography </t>
        </is>
      </c>
      <c r="G425" s="1349" t="inlineStr">
        <is>
          <t>Existing</t>
        </is>
      </c>
    </row>
    <row r="426" ht="13.5" customHeight="1" s="1232">
      <c r="A426" s="1348" t="n">
        <v>45049</v>
      </c>
      <c r="B426" s="1349" t="inlineStr">
        <is>
          <t>Joanne Galloway</t>
        </is>
      </c>
      <c r="C426" s="1350" t="inlineStr">
        <is>
          <t>4. Pick n Mix Out</t>
        </is>
      </c>
      <c r="D426" s="1349" t="inlineStr">
        <is>
          <t>PicknMix</t>
        </is>
      </c>
      <c r="E426" s="1351" t="n">
        <v>-45</v>
      </c>
      <c r="F426" s="1349" t="inlineStr">
        <is>
          <t xml:space="preserve">Sezincote Garden Photography </t>
        </is>
      </c>
      <c r="G426" s="1349" t="inlineStr">
        <is>
          <t>Existing</t>
        </is>
      </c>
    </row>
    <row r="427" ht="13.5" customHeight="1" s="1232">
      <c r="A427" s="1348" t="n">
        <v>45048</v>
      </c>
      <c r="B427" s="1349" t="inlineStr">
        <is>
          <t>Lynne Proctor</t>
        </is>
      </c>
      <c r="C427" s="1350" t="inlineStr">
        <is>
          <t>7. Gift Vouchers Inc</t>
        </is>
      </c>
      <c r="D427" s="1349" t="inlineStr">
        <is>
          <t>Stripe</t>
        </is>
      </c>
      <c r="E427" s="1351" t="n">
        <v>125</v>
      </c>
      <c r="F427" s="1349" t="inlineStr">
        <is>
          <t>Digital Gift Card</t>
        </is>
      </c>
      <c r="G427" s="1349" t="inlineStr">
        <is>
          <t>Google</t>
        </is>
      </c>
    </row>
    <row r="428" ht="13.5" customHeight="1" s="1232">
      <c r="A428" s="1348" t="n">
        <v>45047</v>
      </c>
      <c r="B428" s="1349" t="inlineStr">
        <is>
          <t>Pick n Mix Subs</t>
        </is>
      </c>
      <c r="C428" s="1350" t="inlineStr">
        <is>
          <t>3. Pick n Mix Inc</t>
        </is>
      </c>
      <c r="D428" s="1349" t="inlineStr">
        <is>
          <t>Various</t>
        </is>
      </c>
      <c r="E428" s="1351" t="n">
        <v>50</v>
      </c>
      <c r="F428" s="1349" t="inlineStr">
        <is>
          <t>Pick N Mix Payments</t>
        </is>
      </c>
      <c r="G428" s="1349" t="inlineStr">
        <is>
          <t>Existing</t>
        </is>
      </c>
    </row>
    <row r="429" ht="13.5" customHeight="1" s="1232">
      <c r="A429" s="1348" t="n">
        <v>45047</v>
      </c>
      <c r="B429" s="1349" t="inlineStr">
        <is>
          <t>Mentoring Subs</t>
        </is>
      </c>
      <c r="C429" s="1350" t="inlineStr">
        <is>
          <t>5. Mentoring</t>
        </is>
      </c>
      <c r="D429" s="1349" t="inlineStr">
        <is>
          <t>Various</t>
        </is>
      </c>
      <c r="E429" s="1351" t="n">
        <v>40</v>
      </c>
      <c r="F429" s="1349" t="inlineStr">
        <is>
          <t>Mentoring Subs</t>
        </is>
      </c>
      <c r="G429" s="1349" t="inlineStr">
        <is>
          <t>Existing</t>
        </is>
      </c>
    </row>
    <row r="430" ht="13.5" customHeight="1" s="1232">
      <c r="A430" s="1348" t="n"/>
      <c r="B430" s="1349" t="n"/>
      <c r="C430" s="1350" t="n"/>
      <c r="D430" s="1349" t="n"/>
      <c r="E430" s="1351" t="n"/>
      <c r="F430" s="1349" t="n"/>
      <c r="G430" s="1349" t="n"/>
    </row>
    <row r="431" ht="13.5" customHeight="1" s="1232">
      <c r="A431" s="1348" t="n">
        <v>45043</v>
      </c>
      <c r="B431" s="1349" t="inlineStr">
        <is>
          <t>David Andringa</t>
        </is>
      </c>
      <c r="C431" s="1350" t="inlineStr">
        <is>
          <t>2. Workshops</t>
        </is>
      </c>
      <c r="D431" s="1349" t="inlineStr">
        <is>
          <t>Bank</t>
        </is>
      </c>
      <c r="E431" s="1351" t="n">
        <v>34</v>
      </c>
      <c r="F431" s="1349" t="inlineStr">
        <is>
          <t>Bluebells</t>
        </is>
      </c>
      <c r="G431" s="1349" t="inlineStr">
        <is>
          <t>Existing</t>
        </is>
      </c>
    </row>
    <row r="432" ht="13.5" customHeight="1" s="1232">
      <c r="A432" s="1348" t="n">
        <v>45043</v>
      </c>
      <c r="B432" s="1349" t="inlineStr">
        <is>
          <t>David Andringa</t>
        </is>
      </c>
      <c r="C432" s="1350" t="inlineStr">
        <is>
          <t>2. Workshops</t>
        </is>
      </c>
      <c r="D432" s="1349" t="inlineStr">
        <is>
          <t>PicknMix</t>
        </is>
      </c>
      <c r="E432" s="1351" t="n">
        <v>99</v>
      </c>
      <c r="F432" s="1349" t="inlineStr">
        <is>
          <t>Bluebells</t>
        </is>
      </c>
      <c r="G432" s="1349" t="inlineStr">
        <is>
          <t>Existing</t>
        </is>
      </c>
    </row>
    <row r="433" ht="13.5" customHeight="1" s="1232">
      <c r="A433" s="1348" t="n">
        <v>45043</v>
      </c>
      <c r="B433" s="1349" t="inlineStr">
        <is>
          <t>David Andringa</t>
        </is>
      </c>
      <c r="C433" s="1350" t="inlineStr">
        <is>
          <t>4. Pick n Mix Out</t>
        </is>
      </c>
      <c r="D433" s="1349" t="inlineStr">
        <is>
          <t>PicknMix</t>
        </is>
      </c>
      <c r="E433" s="1351" t="n">
        <v>-99</v>
      </c>
      <c r="F433" s="1349" t="inlineStr">
        <is>
          <t>Bluebells</t>
        </is>
      </c>
      <c r="G433" s="1349" t="inlineStr">
        <is>
          <t>Existing</t>
        </is>
      </c>
    </row>
    <row r="434" ht="13.5" customHeight="1" s="1232">
      <c r="A434" s="1348" t="n">
        <v>45040</v>
      </c>
      <c r="B434" s="1349" t="inlineStr">
        <is>
          <t>Michael Charlton</t>
        </is>
      </c>
      <c r="C434" s="1350" t="inlineStr">
        <is>
          <t>2. Workshops</t>
        </is>
      </c>
      <c r="D434" s="1349" t="inlineStr">
        <is>
          <t>Stripe</t>
        </is>
      </c>
      <c r="E434" s="1351" t="n">
        <v>75</v>
      </c>
      <c r="F434" s="1349" t="inlineStr">
        <is>
          <t>Poppy Fields</t>
        </is>
      </c>
      <c r="G434" s="1349" t="inlineStr">
        <is>
          <t>Google</t>
        </is>
      </c>
    </row>
    <row r="435" ht="13.5" customHeight="1" s="1232">
      <c r="A435" s="1348" t="n">
        <v>45039</v>
      </c>
      <c r="B435" s="1349" t="inlineStr">
        <is>
          <t>Artfully Walls</t>
        </is>
      </c>
      <c r="C435" s="1350" t="inlineStr">
        <is>
          <t>9. Prints &amp; Royalties</t>
        </is>
      </c>
      <c r="D435" s="1349" t="inlineStr">
        <is>
          <t>PayPal</t>
        </is>
      </c>
      <c r="E435" s="1351" t="n">
        <v>45.37</v>
      </c>
      <c r="F435" s="1349" t="inlineStr">
        <is>
          <t>Print Sales</t>
        </is>
      </c>
      <c r="G435" s="1349" t="inlineStr">
        <is>
          <t>Artfully Walls</t>
        </is>
      </c>
    </row>
    <row r="436" ht="13.5" customHeight="1" s="1232">
      <c r="A436" s="1348" t="n">
        <v>45038</v>
      </c>
      <c r="B436" s="1349" t="inlineStr">
        <is>
          <t>Curtis Orrill</t>
        </is>
      </c>
      <c r="C436" s="1350" t="inlineStr">
        <is>
          <t>2. Workshops</t>
        </is>
      </c>
      <c r="D436" s="1349" t="inlineStr">
        <is>
          <t>Stripe</t>
        </is>
      </c>
      <c r="E436" s="1351" t="n">
        <v>99</v>
      </c>
      <c r="F436" s="1349" t="inlineStr">
        <is>
          <t>Bluebells</t>
        </is>
      </c>
      <c r="G436" s="1349" t="inlineStr">
        <is>
          <t>Existing</t>
        </is>
      </c>
    </row>
    <row r="437" ht="13.5" customHeight="1" s="1232">
      <c r="A437" s="1348" t="n">
        <v>45037</v>
      </c>
      <c r="B437" s="1349" t="inlineStr">
        <is>
          <t>Rachael Smith</t>
        </is>
      </c>
      <c r="C437" s="1350" t="inlineStr">
        <is>
          <t>7. Gift Vouchers Inc</t>
        </is>
      </c>
      <c r="D437" s="1349" t="inlineStr">
        <is>
          <t>Stripe</t>
        </is>
      </c>
      <c r="E437" s="1351" t="n">
        <v>75</v>
      </c>
      <c r="F437" s="1349" t="inlineStr">
        <is>
          <t>Digital Gift Card</t>
        </is>
      </c>
      <c r="G437" s="1349" t="inlineStr">
        <is>
          <t>Google</t>
        </is>
      </c>
    </row>
    <row r="438" ht="13.5" customHeight="1" s="1232">
      <c r="A438" s="1348" t="n">
        <v>45033</v>
      </c>
      <c r="B438" s="1349" t="inlineStr">
        <is>
          <t>Emoke Ispan</t>
        </is>
      </c>
      <c r="C438" s="1350" t="inlineStr">
        <is>
          <t>1. Courses/masterclasses</t>
        </is>
      </c>
      <c r="D438" s="1349" t="inlineStr">
        <is>
          <t>PicknMix</t>
        </is>
      </c>
      <c r="E438" s="1351" t="n">
        <v>225</v>
      </c>
      <c r="F438" s="1349" t="inlineStr">
        <is>
          <t>Lightroom</t>
        </is>
      </c>
      <c r="G438" s="1349" t="inlineStr">
        <is>
          <t>Existing</t>
        </is>
      </c>
    </row>
    <row r="439" ht="13.5" customHeight="1" s="1232">
      <c r="A439" s="1348" t="n">
        <v>45033</v>
      </c>
      <c r="B439" s="1349" t="inlineStr">
        <is>
          <t>Emoke Ispan</t>
        </is>
      </c>
      <c r="C439" s="1350" t="inlineStr">
        <is>
          <t>4. Pick n Mix Out</t>
        </is>
      </c>
      <c r="D439" s="1349" t="inlineStr">
        <is>
          <t>PicknMix</t>
        </is>
      </c>
      <c r="E439" s="1351" t="n">
        <v>-225</v>
      </c>
      <c r="F439" s="1349" t="inlineStr">
        <is>
          <t>Lightroom</t>
        </is>
      </c>
      <c r="G439" s="1349" t="inlineStr">
        <is>
          <t>Existing</t>
        </is>
      </c>
    </row>
    <row r="440" ht="13.5" customHeight="1" s="1232">
      <c r="A440" s="1348" t="n">
        <v>45033</v>
      </c>
      <c r="B440" s="1349" t="inlineStr">
        <is>
          <t>Emoke Ispan</t>
        </is>
      </c>
      <c r="C440" s="1350" t="inlineStr">
        <is>
          <t>2. Workshops</t>
        </is>
      </c>
      <c r="D440" s="1349" t="inlineStr">
        <is>
          <t>PicknMix</t>
        </is>
      </c>
      <c r="E440" s="1351" t="n">
        <v>67.5</v>
      </c>
      <c r="F440" s="1349" t="inlineStr">
        <is>
          <t>Poppy Fields</t>
        </is>
      </c>
      <c r="G440" s="1349" t="inlineStr">
        <is>
          <t>Existing</t>
        </is>
      </c>
    </row>
    <row r="441" ht="13.5" customHeight="1" s="1232">
      <c r="A441" s="1348" t="n">
        <v>45033</v>
      </c>
      <c r="B441" s="1349" t="inlineStr">
        <is>
          <t>Emoke Ispan</t>
        </is>
      </c>
      <c r="C441" s="1350" t="inlineStr">
        <is>
          <t>4. Pick n Mix Out</t>
        </is>
      </c>
      <c r="D441" s="1349" t="inlineStr">
        <is>
          <t>PicknMix</t>
        </is>
      </c>
      <c r="E441" s="1351" t="n">
        <v>-67.5</v>
      </c>
      <c r="F441" s="1349" t="inlineStr">
        <is>
          <t>Poppy Fields</t>
        </is>
      </c>
      <c r="G441" s="1349" t="inlineStr">
        <is>
          <t>Existing</t>
        </is>
      </c>
    </row>
    <row r="442" ht="13.5" customHeight="1" s="1232">
      <c r="A442" s="1348" t="n">
        <v>45031</v>
      </c>
      <c r="B442" s="1349" t="inlineStr">
        <is>
          <t>Lee-Ann Higgins</t>
        </is>
      </c>
      <c r="C442" s="1350" t="inlineStr">
        <is>
          <t>2. Workshops</t>
        </is>
      </c>
      <c r="D442" s="1349" t="inlineStr">
        <is>
          <t>PayPal</t>
        </is>
      </c>
      <c r="E442" s="1351" t="n">
        <v>75</v>
      </c>
      <c r="F442" s="1349" t="inlineStr">
        <is>
          <t>Lavender</t>
        </is>
      </c>
      <c r="G442" s="1349" t="inlineStr">
        <is>
          <t>Google</t>
        </is>
      </c>
    </row>
    <row r="443" ht="13.5" customHeight="1" s="1232">
      <c r="A443" s="1348" t="n">
        <v>45031</v>
      </c>
      <c r="B443" s="1349" t="inlineStr">
        <is>
          <t>Lee-Ann Higgins</t>
        </is>
      </c>
      <c r="C443" s="1350" t="inlineStr">
        <is>
          <t>2. Workshops</t>
        </is>
      </c>
      <c r="D443" s="1349" t="inlineStr">
        <is>
          <t>PayPal</t>
        </is>
      </c>
      <c r="E443" s="1351" t="n">
        <v>75</v>
      </c>
      <c r="F443" s="1349" t="inlineStr">
        <is>
          <t>Poppy Fields</t>
        </is>
      </c>
      <c r="G443" s="1349" t="inlineStr">
        <is>
          <t>Google</t>
        </is>
      </c>
    </row>
    <row r="444" ht="13.5" customHeight="1" s="1232">
      <c r="A444" s="1348" t="n">
        <v>45030</v>
      </c>
      <c r="B444" s="1349" t="inlineStr">
        <is>
          <t>David Pyta</t>
        </is>
      </c>
      <c r="C444" s="1350" t="inlineStr">
        <is>
          <t>-   Workshops Residential</t>
        </is>
      </c>
      <c r="D444" s="1349" t="inlineStr">
        <is>
          <t>Bank</t>
        </is>
      </c>
      <c r="E444" s="1351" t="n">
        <v>155</v>
      </c>
      <c r="F444" s="1349" t="inlineStr">
        <is>
          <t>Lake District</t>
        </is>
      </c>
      <c r="G444" s="1349" t="inlineStr">
        <is>
          <t>Existing</t>
        </is>
      </c>
    </row>
    <row r="445" ht="13.5" customHeight="1" s="1232">
      <c r="A445" s="1348" t="n">
        <v>45028</v>
      </c>
      <c r="B445" s="1349" t="inlineStr">
        <is>
          <t>Tracey Ball</t>
        </is>
      </c>
      <c r="C445" s="1350" t="inlineStr">
        <is>
          <t>1. Courses/masterclasses</t>
        </is>
      </c>
      <c r="D445" s="1349" t="inlineStr">
        <is>
          <t>Stripe</t>
        </is>
      </c>
      <c r="E445" s="1351" t="n">
        <v>250</v>
      </c>
      <c r="F445" s="1349" t="inlineStr">
        <is>
          <t>5wk Beginners Course</t>
        </is>
      </c>
      <c r="G445" s="1349" t="inlineStr">
        <is>
          <t>Google</t>
        </is>
      </c>
    </row>
    <row r="446" ht="13.5" customHeight="1" s="1232">
      <c r="A446" s="1348" t="n">
        <v>45027</v>
      </c>
      <c r="B446" s="1349" t="inlineStr">
        <is>
          <t>Margaret Heaton</t>
        </is>
      </c>
      <c r="C446" s="1350" t="inlineStr">
        <is>
          <t>7. Gift Vouchers Inc</t>
        </is>
      </c>
      <c r="D446" s="1349" t="inlineStr">
        <is>
          <t>Stripe</t>
        </is>
      </c>
      <c r="E446" s="1351" t="n">
        <v>100</v>
      </c>
      <c r="F446" s="1349" t="inlineStr">
        <is>
          <t>Digital Gift Card</t>
        </is>
      </c>
      <c r="G446" s="1349" t="inlineStr">
        <is>
          <t>Google</t>
        </is>
      </c>
    </row>
    <row r="447" ht="13.5" customHeight="1" s="1232">
      <c r="A447" s="1348" t="n">
        <v>45027</v>
      </c>
      <c r="B447" s="1349" t="inlineStr">
        <is>
          <t>Jon Ford</t>
        </is>
      </c>
      <c r="C447" s="1350" t="inlineStr">
        <is>
          <t>1. Courses/masterclasses</t>
        </is>
      </c>
      <c r="D447" s="1349" t="inlineStr">
        <is>
          <t>PayPal</t>
        </is>
      </c>
      <c r="E447" s="1351" t="n">
        <v>250</v>
      </c>
      <c r="F447" s="1349" t="inlineStr">
        <is>
          <t>5wk Beginners Course</t>
        </is>
      </c>
      <c r="G447" s="1349" t="inlineStr">
        <is>
          <t>Google</t>
        </is>
      </c>
    </row>
    <row r="448" ht="13.5" customHeight="1" s="1232">
      <c r="A448" s="1348" t="n">
        <v>45027</v>
      </c>
      <c r="B448" s="1349" t="inlineStr">
        <is>
          <t>Charlotte McMillan</t>
        </is>
      </c>
      <c r="C448" s="1350" t="inlineStr">
        <is>
          <t>1. Courses/masterclasses</t>
        </is>
      </c>
      <c r="D448" s="1349" t="inlineStr">
        <is>
          <t>Stripe</t>
        </is>
      </c>
      <c r="E448" s="1351" t="n">
        <v>230</v>
      </c>
      <c r="F448" s="1349" t="inlineStr">
        <is>
          <t>4wk Extd Course</t>
        </is>
      </c>
      <c r="G448" s="1349" t="inlineStr">
        <is>
          <t>Existing</t>
        </is>
      </c>
    </row>
    <row r="449" ht="13.5" customHeight="1" s="1232">
      <c r="A449" s="1348" t="n">
        <v>45020</v>
      </c>
      <c r="B449" s="1349" t="inlineStr">
        <is>
          <t>David Pyta</t>
        </is>
      </c>
      <c r="C449" s="1350" t="inlineStr">
        <is>
          <t>-   Workshops Residential</t>
        </is>
      </c>
      <c r="D449" s="1349" t="inlineStr">
        <is>
          <t>Stripe</t>
        </is>
      </c>
      <c r="E449" s="1351" t="n">
        <v>1750</v>
      </c>
      <c r="F449" s="1349" t="inlineStr">
        <is>
          <t>Lake District</t>
        </is>
      </c>
      <c r="G449" s="1349" t="inlineStr">
        <is>
          <t>Existing</t>
        </is>
      </c>
    </row>
    <row r="450" ht="13.5" customHeight="1" s="1232">
      <c r="A450" s="1348" t="n">
        <v>45017</v>
      </c>
      <c r="B450" s="1349" t="inlineStr">
        <is>
          <t>Emoke Ispan</t>
        </is>
      </c>
      <c r="C450" s="1350" t="inlineStr">
        <is>
          <t>2. Workshops</t>
        </is>
      </c>
      <c r="D450" s="1349" t="inlineStr">
        <is>
          <t>PicknMix</t>
        </is>
      </c>
      <c r="E450" s="1351" t="n">
        <v>99</v>
      </c>
      <c r="F450" s="1349" t="inlineStr">
        <is>
          <t>Bluebells</t>
        </is>
      </c>
      <c r="G450" s="1349" t="inlineStr">
        <is>
          <t>Existing</t>
        </is>
      </c>
    </row>
    <row r="451" ht="13.5" customHeight="1" s="1232">
      <c r="A451" s="1348" t="n">
        <v>45017</v>
      </c>
      <c r="B451" s="1349" t="inlineStr">
        <is>
          <t>Emoke Ispan</t>
        </is>
      </c>
      <c r="C451" s="1350" t="inlineStr">
        <is>
          <t>4. Pick n Mix Out</t>
        </is>
      </c>
      <c r="D451" s="1349" t="inlineStr">
        <is>
          <t>PicknMix</t>
        </is>
      </c>
      <c r="E451" s="1351" t="n">
        <v>-99</v>
      </c>
      <c r="F451" s="1349" t="inlineStr">
        <is>
          <t>Bluebells</t>
        </is>
      </c>
      <c r="G451" s="1349" t="inlineStr">
        <is>
          <t>Existing</t>
        </is>
      </c>
    </row>
    <row r="452" ht="13.5" customHeight="1" s="1232">
      <c r="A452" s="1348" t="n">
        <v>45017</v>
      </c>
      <c r="B452" s="1349" t="inlineStr">
        <is>
          <t>Pick n Mix Subs</t>
        </is>
      </c>
      <c r="C452" s="1350" t="inlineStr">
        <is>
          <t>3. Pick n Mix Inc</t>
        </is>
      </c>
      <c r="D452" s="1349" t="inlineStr">
        <is>
          <t>Various</t>
        </is>
      </c>
      <c r="E452" s="1351" t="n">
        <v>50</v>
      </c>
      <c r="F452" s="1349" t="inlineStr">
        <is>
          <t>Pick N Mix Payments</t>
        </is>
      </c>
      <c r="G452" s="1349" t="inlineStr">
        <is>
          <t>Existing</t>
        </is>
      </c>
    </row>
    <row r="453" ht="13.5" customHeight="1" s="1232">
      <c r="A453" s="1348" t="n">
        <v>45017</v>
      </c>
      <c r="B453" s="1349" t="inlineStr">
        <is>
          <t>Mentoring Subs</t>
        </is>
      </c>
      <c r="C453" s="1350" t="inlineStr">
        <is>
          <t>5. Mentoring</t>
        </is>
      </c>
      <c r="D453" s="1349" t="inlineStr">
        <is>
          <t>Various</t>
        </is>
      </c>
      <c r="E453" s="1351" t="n">
        <v>40</v>
      </c>
      <c r="F453" s="1349" t="inlineStr">
        <is>
          <t>Mentoring Subs</t>
        </is>
      </c>
      <c r="G453" s="1349" t="inlineStr">
        <is>
          <t>Existing</t>
        </is>
      </c>
    </row>
    <row r="454" ht="13.5" customHeight="1" s="1232">
      <c r="A454" s="1348" t="n"/>
      <c r="B454" s="1349" t="n"/>
      <c r="C454" s="1350" t="n"/>
      <c r="D454" s="1349" t="n"/>
      <c r="E454" s="1351" t="n"/>
      <c r="F454" s="1349" t="n"/>
      <c r="G454" s="1349" t="n"/>
    </row>
    <row r="455" ht="13.5" customHeight="1" s="1232">
      <c r="A455" s="1348" t="n">
        <v>45016</v>
      </c>
      <c r="B455" s="1349" t="inlineStr">
        <is>
          <t>Clare Brannan</t>
        </is>
      </c>
      <c r="C455" s="1350" t="inlineStr">
        <is>
          <t>6. 1-2-1</t>
        </is>
      </c>
      <c r="D455" s="1349" t="inlineStr">
        <is>
          <t>Gift Voucher Out</t>
        </is>
      </c>
      <c r="E455" s="1351" t="n">
        <v>190</v>
      </c>
      <c r="F455" s="1349" t="inlineStr">
        <is>
          <t>1-2-1 Lesson Zoom</t>
        </is>
      </c>
      <c r="G455" s="1349" t="inlineStr">
        <is>
          <t>Google</t>
        </is>
      </c>
    </row>
    <row r="456" ht="13.5" customHeight="1" s="1232">
      <c r="A456" s="1348" t="n">
        <v>45016</v>
      </c>
      <c r="B456" s="1349" t="inlineStr">
        <is>
          <t>Clare Brannan</t>
        </is>
      </c>
      <c r="C456" s="1350" t="inlineStr">
        <is>
          <t>8. Gift Vouchers Out</t>
        </is>
      </c>
      <c r="D456" s="1349" t="inlineStr">
        <is>
          <t>Gift Voucher Out</t>
        </is>
      </c>
      <c r="E456" s="1351" t="n">
        <v>-190</v>
      </c>
      <c r="F456" s="1349" t="inlineStr">
        <is>
          <t>1-2-1 Lesson Zoom</t>
        </is>
      </c>
      <c r="G456" s="1349" t="inlineStr">
        <is>
          <t>Google</t>
        </is>
      </c>
    </row>
    <row r="457" ht="13.5" customHeight="1" s="1232">
      <c r="A457" s="1348" t="n">
        <v>45016</v>
      </c>
      <c r="B457" s="1349" t="inlineStr">
        <is>
          <t>Emoke Ispan</t>
        </is>
      </c>
      <c r="C457" s="1350" t="inlineStr">
        <is>
          <t>3. Pick n Mix Inc</t>
        </is>
      </c>
      <c r="D457" s="1349" t="inlineStr">
        <is>
          <t>Stripe</t>
        </is>
      </c>
      <c r="E457" s="1351" t="n">
        <v>50</v>
      </c>
      <c r="F457" s="1349" t="inlineStr">
        <is>
          <t>Pick N Mix Plan</t>
        </is>
      </c>
      <c r="G457" s="1349" t="inlineStr">
        <is>
          <t>Existing</t>
        </is>
      </c>
    </row>
    <row r="458" ht="13.5" customHeight="1" s="1232">
      <c r="A458" s="1348" t="n">
        <v>45016</v>
      </c>
      <c r="B458" s="1349" t="inlineStr">
        <is>
          <t>Julie Bellamy</t>
        </is>
      </c>
      <c r="C458" s="1350" t="inlineStr">
        <is>
          <t>2. Workshops</t>
        </is>
      </c>
      <c r="D458" s="1349" t="inlineStr">
        <is>
          <t>Stripe</t>
        </is>
      </c>
      <c r="E458" s="1351" t="n">
        <v>65</v>
      </c>
      <c r="F458" s="1349" t="inlineStr">
        <is>
          <t>LE Workshop</t>
        </is>
      </c>
      <c r="G458" s="1349" t="inlineStr">
        <is>
          <t>Google</t>
        </is>
      </c>
    </row>
    <row r="459" ht="13.5" customHeight="1" s="1232">
      <c r="A459" s="1348" t="n">
        <v>45016</v>
      </c>
      <c r="B459" s="1349" t="inlineStr">
        <is>
          <t>Derek Finnigan</t>
        </is>
      </c>
      <c r="C459" s="1350" t="inlineStr">
        <is>
          <t>-   Workshops Residential</t>
        </is>
      </c>
      <c r="D459" s="1349" t="inlineStr">
        <is>
          <t>Stripe</t>
        </is>
      </c>
      <c r="E459" s="1351" t="n">
        <v>775</v>
      </c>
      <c r="F459" s="1349" t="inlineStr">
        <is>
          <t>Anglesey</t>
        </is>
      </c>
      <c r="G459" s="1349" t="inlineStr">
        <is>
          <t>Google</t>
        </is>
      </c>
    </row>
    <row r="460" ht="13.5" customHeight="1" s="1232">
      <c r="A460" s="1348" t="n">
        <v>45016</v>
      </c>
      <c r="B460" s="1349" t="inlineStr">
        <is>
          <t>Derek Finnigan</t>
        </is>
      </c>
      <c r="C460" s="1350" t="inlineStr">
        <is>
          <t>2. Workshops</t>
        </is>
      </c>
      <c r="D460" s="1349" t="inlineStr">
        <is>
          <t>Stripe</t>
        </is>
      </c>
      <c r="E460" s="1351" t="n">
        <v>95</v>
      </c>
      <c r="F460" s="1349" t="inlineStr">
        <is>
          <t>Fairy Glen</t>
        </is>
      </c>
      <c r="G460" s="1349" t="inlineStr">
        <is>
          <t>Google</t>
        </is>
      </c>
    </row>
    <row r="461" ht="13.5" customHeight="1" s="1232">
      <c r="A461" s="1348" t="n">
        <v>45016</v>
      </c>
      <c r="B461" s="1349" t="inlineStr">
        <is>
          <t>Into the Blue</t>
        </is>
      </c>
      <c r="C461" s="1350" t="inlineStr">
        <is>
          <t>2. Workshops</t>
        </is>
      </c>
      <c r="D461" s="1349" t="inlineStr">
        <is>
          <t>Bank</t>
        </is>
      </c>
      <c r="E461" s="1351" t="n">
        <v>540</v>
      </c>
      <c r="F461" s="1349" t="inlineStr">
        <is>
          <t>27 &amp; 28 March Invoice</t>
        </is>
      </c>
      <c r="G461" s="1349" t="inlineStr">
        <is>
          <t>Into the Blue</t>
        </is>
      </c>
    </row>
    <row r="462" ht="13.5" customHeight="1" s="1232">
      <c r="A462" s="1348" t="n">
        <v>45014</v>
      </c>
      <c r="B462" s="1349" t="inlineStr">
        <is>
          <t>Sara Orsbourn</t>
        </is>
      </c>
      <c r="C462" s="1350" t="inlineStr">
        <is>
          <t>2. Workshops</t>
        </is>
      </c>
      <c r="D462" s="1349" t="inlineStr">
        <is>
          <t>PayPal</t>
        </is>
      </c>
      <c r="E462" s="1351" t="n">
        <v>99</v>
      </c>
      <c r="F462" s="1349" t="inlineStr">
        <is>
          <t>Bluebells</t>
        </is>
      </c>
      <c r="G462" s="1349" t="inlineStr">
        <is>
          <t>Existing</t>
        </is>
      </c>
    </row>
    <row r="463" ht="13.5" customHeight="1" s="1232">
      <c r="A463" s="1348" t="n">
        <v>45013</v>
      </c>
      <c r="B463" s="1349" t="inlineStr">
        <is>
          <t>Lindsey Mcqueen</t>
        </is>
      </c>
      <c r="C463" s="1350" t="inlineStr">
        <is>
          <t>1. Courses/masterclasses</t>
        </is>
      </c>
      <c r="D463" s="1349" t="inlineStr">
        <is>
          <t>Bank</t>
        </is>
      </c>
      <c r="E463" s="1351" t="n">
        <v>50</v>
      </c>
      <c r="F463" s="1349" t="inlineStr">
        <is>
          <t>5wk Photo Course</t>
        </is>
      </c>
      <c r="G463" s="1349" t="inlineStr">
        <is>
          <t>ELS</t>
        </is>
      </c>
    </row>
    <row r="464" ht="13.5" customHeight="1" s="1232">
      <c r="A464" s="1348" t="n">
        <v>45012</v>
      </c>
      <c r="B464" s="1349" t="inlineStr">
        <is>
          <t>Colin Capelle</t>
        </is>
      </c>
      <c r="C464" s="1350" t="inlineStr">
        <is>
          <t>-   Workshops Residential</t>
        </is>
      </c>
      <c r="D464" s="1349" t="inlineStr">
        <is>
          <t>Stripe</t>
        </is>
      </c>
      <c r="E464" s="1351" t="n">
        <v>575</v>
      </c>
      <c r="F464" s="1349" t="inlineStr">
        <is>
          <t>Snowdonia</t>
        </is>
      </c>
      <c r="G464" s="1349" t="inlineStr">
        <is>
          <t>Google</t>
        </is>
      </c>
    </row>
    <row r="465" ht="13.5" customHeight="1" s="1232">
      <c r="A465" s="1348" t="n">
        <v>45012</v>
      </c>
      <c r="B465" s="1349" t="inlineStr">
        <is>
          <t>Lee Gibson</t>
        </is>
      </c>
      <c r="C465" s="1350" t="inlineStr">
        <is>
          <t>2. Workshops</t>
        </is>
      </c>
      <c r="D465" s="1349" t="inlineStr">
        <is>
          <t>PayPal</t>
        </is>
      </c>
      <c r="E465" s="1351" t="n">
        <v>65</v>
      </c>
      <c r="F465" s="1349" t="inlineStr">
        <is>
          <t>LE Workshop</t>
        </is>
      </c>
      <c r="G465" s="1349" t="inlineStr">
        <is>
          <t>Google</t>
        </is>
      </c>
    </row>
    <row r="466" ht="13.5" customHeight="1" s="1232">
      <c r="A466" s="1348" t="n">
        <v>45011</v>
      </c>
      <c r="B466" s="1349" t="inlineStr">
        <is>
          <t>Michael Jaye</t>
        </is>
      </c>
      <c r="C466" s="1350" t="inlineStr">
        <is>
          <t>2. Workshops</t>
        </is>
      </c>
      <c r="D466" s="1349" t="inlineStr">
        <is>
          <t>Stripe</t>
        </is>
      </c>
      <c r="E466" s="1351" t="n">
        <v>65</v>
      </c>
      <c r="F466" s="1349" t="inlineStr">
        <is>
          <t>LE Workshop</t>
        </is>
      </c>
      <c r="G466" s="1349" t="inlineStr">
        <is>
          <t>Existing</t>
        </is>
      </c>
    </row>
    <row r="467" ht="13.5" customHeight="1" s="1232">
      <c r="A467" s="1348" t="n">
        <v>45010</v>
      </c>
      <c r="B467" s="1349" t="inlineStr">
        <is>
          <t>Ian Perry</t>
        </is>
      </c>
      <c r="C467" s="1350" t="inlineStr">
        <is>
          <t>11. Other</t>
        </is>
      </c>
      <c r="D467" s="1349" t="inlineStr">
        <is>
          <t>PayPal</t>
        </is>
      </c>
      <c r="E467" s="1351" t="n">
        <v>17</v>
      </c>
      <c r="F467" s="1349" t="inlineStr">
        <is>
          <t>Viewing Frames</t>
        </is>
      </c>
      <c r="G467" s="1349" t="inlineStr">
        <is>
          <t>Google</t>
        </is>
      </c>
    </row>
    <row r="468" ht="13.5" customHeight="1" s="1232">
      <c r="A468" s="1348" t="n">
        <v>45010</v>
      </c>
      <c r="B468" s="1349" t="inlineStr">
        <is>
          <t>Terri O'Sullivan</t>
        </is>
      </c>
      <c r="C468" s="1350" t="inlineStr">
        <is>
          <t>7. Gift Vouchers Inc</t>
        </is>
      </c>
      <c r="D468" s="1349" t="inlineStr">
        <is>
          <t>Stripe</t>
        </is>
      </c>
      <c r="E468" s="1351" t="n">
        <v>400</v>
      </c>
      <c r="F468" s="1349" t="inlineStr">
        <is>
          <t>Digital Gift Card</t>
        </is>
      </c>
      <c r="G468" s="1349" t="inlineStr">
        <is>
          <t>Google</t>
        </is>
      </c>
    </row>
    <row r="469" ht="13.5" customHeight="1" s="1232">
      <c r="A469" s="1348" t="n">
        <v>45009</v>
      </c>
      <c r="B469" s="1349" t="inlineStr">
        <is>
          <t>Elizabeth Stapley</t>
        </is>
      </c>
      <c r="C469" s="1350" t="inlineStr">
        <is>
          <t>7. Gift Vouchers Inc</t>
        </is>
      </c>
      <c r="D469" s="1349" t="inlineStr">
        <is>
          <t>Stripe</t>
        </is>
      </c>
      <c r="E469" s="1351" t="n">
        <v>100</v>
      </c>
      <c r="F469" s="1349" t="inlineStr">
        <is>
          <t>Digital Gift Card</t>
        </is>
      </c>
      <c r="G469" s="1349" t="inlineStr">
        <is>
          <t>Google</t>
        </is>
      </c>
    </row>
    <row r="470" ht="13.5" customHeight="1" s="1232">
      <c r="A470" s="1348" t="n">
        <v>45008</v>
      </c>
      <c r="B470" s="1349" t="inlineStr">
        <is>
          <t>Holly McDonnell</t>
        </is>
      </c>
      <c r="C470" s="1350" t="inlineStr">
        <is>
          <t>1. Courses/masterclasses</t>
        </is>
      </c>
      <c r="D470" s="1349" t="inlineStr">
        <is>
          <t>Bank</t>
        </is>
      </c>
      <c r="E470" s="1351" t="n">
        <v>58</v>
      </c>
      <c r="F470" s="1349" t="inlineStr">
        <is>
          <t>4wk Beginners Course</t>
        </is>
      </c>
      <c r="G470" s="1349" t="inlineStr">
        <is>
          <t>Existing</t>
        </is>
      </c>
    </row>
    <row r="471" ht="13.5" customHeight="1" s="1232">
      <c r="A471" s="1348" t="n">
        <v>45008</v>
      </c>
      <c r="B471" s="1349" t="inlineStr">
        <is>
          <t>Jo Manogue</t>
        </is>
      </c>
      <c r="C471" s="1350" t="inlineStr">
        <is>
          <t>2. Workshops</t>
        </is>
      </c>
      <c r="D471" s="1349" t="inlineStr">
        <is>
          <t>Bank</t>
        </is>
      </c>
      <c r="E471" s="1351" t="n">
        <v>50</v>
      </c>
      <c r="F471" s="1349" t="inlineStr">
        <is>
          <t>Peak District</t>
        </is>
      </c>
      <c r="G471" s="1349" t="inlineStr">
        <is>
          <t>Google</t>
        </is>
      </c>
    </row>
    <row r="472" ht="13.5" customHeight="1" s="1232">
      <c r="A472" s="1348" t="n">
        <v>45008</v>
      </c>
      <c r="B472" s="1349" t="inlineStr">
        <is>
          <t>Jo Manogue</t>
        </is>
      </c>
      <c r="C472" s="1350" t="inlineStr">
        <is>
          <t>2. Workshops</t>
        </is>
      </c>
      <c r="D472" s="1349" t="inlineStr">
        <is>
          <t>Stripe</t>
        </is>
      </c>
      <c r="E472" s="1351" t="n">
        <v>125</v>
      </c>
      <c r="F472" s="1349" t="inlineStr">
        <is>
          <t>Peak District</t>
        </is>
      </c>
      <c r="G472" s="1349" t="inlineStr">
        <is>
          <t>Google</t>
        </is>
      </c>
    </row>
    <row r="473" ht="13.5" customHeight="1" s="1232">
      <c r="A473" s="1348" t="n">
        <v>45008</v>
      </c>
      <c r="B473" s="1349" t="inlineStr">
        <is>
          <t>Partnerise</t>
        </is>
      </c>
      <c r="C473" s="1350" t="inlineStr">
        <is>
          <t>9. Prints &amp; Royalties</t>
        </is>
      </c>
      <c r="D473" s="1349" t="inlineStr">
        <is>
          <t>Bank</t>
        </is>
      </c>
      <c r="E473" s="1351" t="n">
        <v>28.46</v>
      </c>
      <c r="F473" s="1349" t="inlineStr">
        <is>
          <t>MPB Referrals</t>
        </is>
      </c>
      <c r="G473" s="1349" t="inlineStr">
        <is>
          <t>Existing</t>
        </is>
      </c>
    </row>
    <row r="474" ht="13.5" customHeight="1" s="1232">
      <c r="A474" s="1348" t="n">
        <v>45004</v>
      </c>
      <c r="B474" s="1349" t="inlineStr">
        <is>
          <t>Panayiota Touloupou</t>
        </is>
      </c>
      <c r="C474" s="1350" t="inlineStr">
        <is>
          <t>2. Workshops</t>
        </is>
      </c>
      <c r="D474" s="1349" t="inlineStr">
        <is>
          <t>Stripe</t>
        </is>
      </c>
      <c r="E474" s="1351" t="n">
        <v>198</v>
      </c>
      <c r="F474" s="1349" t="inlineStr">
        <is>
          <t>Bluebells</t>
        </is>
      </c>
      <c r="G474" s="1349" t="inlineStr">
        <is>
          <t>Existing</t>
        </is>
      </c>
    </row>
    <row r="475" ht="13.5" customHeight="1" s="1232">
      <c r="A475" s="1348" t="n">
        <v>45000</v>
      </c>
      <c r="B475" s="1349" t="inlineStr">
        <is>
          <t>Photocrowd</t>
        </is>
      </c>
      <c r="C475" s="1350" t="inlineStr">
        <is>
          <t>10 Commissions</t>
        </is>
      </c>
      <c r="D475" s="1349" t="inlineStr">
        <is>
          <t>Bank</t>
        </is>
      </c>
      <c r="E475" s="1351" t="n">
        <v>175</v>
      </c>
      <c r="F475" s="1349" t="inlineStr">
        <is>
          <t>Photo judging</t>
        </is>
      </c>
      <c r="G475" s="1349" t="inlineStr">
        <is>
          <t>Referral</t>
        </is>
      </c>
    </row>
    <row r="476" ht="13.5" customHeight="1" s="1232">
      <c r="A476" s="1348" t="n">
        <v>44999</v>
      </c>
      <c r="B476" s="1349" t="inlineStr">
        <is>
          <t>Gareth Lindop</t>
        </is>
      </c>
      <c r="C476" s="1350" t="inlineStr">
        <is>
          <t>2. Workshops</t>
        </is>
      </c>
      <c r="D476" s="1349" t="inlineStr">
        <is>
          <t>Stripe</t>
        </is>
      </c>
      <c r="E476" s="1351" t="n">
        <v>150</v>
      </c>
      <c r="F476" s="1349" t="inlineStr">
        <is>
          <t>Bluebells</t>
        </is>
      </c>
      <c r="G476" s="1349" t="inlineStr">
        <is>
          <t>Referral</t>
        </is>
      </c>
    </row>
    <row r="477" ht="13.5" customHeight="1" s="1232">
      <c r="A477" s="1348" t="n">
        <v>44999</v>
      </c>
      <c r="B477" s="1349" t="inlineStr">
        <is>
          <t>Heather Twomey</t>
        </is>
      </c>
      <c r="C477" s="1350" t="inlineStr">
        <is>
          <t>7. Gift Vouchers Inc</t>
        </is>
      </c>
      <c r="D477" s="1349" t="inlineStr">
        <is>
          <t>Stripe</t>
        </is>
      </c>
      <c r="E477" s="1351" t="n">
        <v>350</v>
      </c>
      <c r="F477" s="1349" t="inlineStr">
        <is>
          <t>Digital Gift Card</t>
        </is>
      </c>
      <c r="G477" s="1349" t="inlineStr">
        <is>
          <t>Google</t>
        </is>
      </c>
    </row>
    <row r="478" ht="13.5" customHeight="1" s="1232">
      <c r="A478" s="1348" t="n">
        <v>44999</v>
      </c>
      <c r="B478" s="1349" t="inlineStr">
        <is>
          <t>Holly McDonnell</t>
        </is>
      </c>
      <c r="C478" s="1350" t="inlineStr">
        <is>
          <t>1. Courses/masterclasses</t>
        </is>
      </c>
      <c r="D478" s="1349" t="inlineStr">
        <is>
          <t>Bank</t>
        </is>
      </c>
      <c r="E478" s="1351" t="n">
        <v>58</v>
      </c>
      <c r="F478" s="1349" t="inlineStr">
        <is>
          <t>4wk Beginners Course</t>
        </is>
      </c>
      <c r="G478" s="1349" t="inlineStr">
        <is>
          <t>Existing</t>
        </is>
      </c>
    </row>
    <row r="479" ht="13.5" customHeight="1" s="1232">
      <c r="A479" s="1348" t="n">
        <v>44998</v>
      </c>
      <c r="B479" s="1349" t="inlineStr">
        <is>
          <t>Narasimha Patnala</t>
        </is>
      </c>
      <c r="C479" s="1350" t="inlineStr">
        <is>
          <t>1. Courses/masterclasses</t>
        </is>
      </c>
      <c r="D479" s="1349" t="inlineStr">
        <is>
          <t>Bank</t>
        </is>
      </c>
      <c r="E479" s="1351" t="n">
        <v>50</v>
      </c>
      <c r="F479" s="1349" t="inlineStr">
        <is>
          <t>Beginners LR Course</t>
        </is>
      </c>
      <c r="G479" s="1349" t="inlineStr">
        <is>
          <t>ELS</t>
        </is>
      </c>
    </row>
    <row r="480" ht="13.5" customHeight="1" s="1232">
      <c r="A480" s="1348" t="n">
        <v>44998</v>
      </c>
      <c r="B480" s="1349" t="inlineStr">
        <is>
          <t>Dan Taylor</t>
        </is>
      </c>
      <c r="C480" s="1350" t="inlineStr">
        <is>
          <t>1. Courses/masterclasses</t>
        </is>
      </c>
      <c r="D480" s="1349" t="inlineStr">
        <is>
          <t>Bank</t>
        </is>
      </c>
      <c r="E480" s="1351" t="n">
        <v>50</v>
      </c>
      <c r="F480" s="1349" t="inlineStr">
        <is>
          <t>Beginners Course</t>
        </is>
      </c>
      <c r="G480" s="1349" t="inlineStr">
        <is>
          <t>ELS</t>
        </is>
      </c>
    </row>
    <row r="481" ht="13.5" customHeight="1" s="1232">
      <c r="A481" s="1348" t="n">
        <v>44996</v>
      </c>
      <c r="B481" s="1349" t="inlineStr">
        <is>
          <t>Ian Slater</t>
        </is>
      </c>
      <c r="C481" s="1350" t="inlineStr">
        <is>
          <t>1. Courses/masterclasses</t>
        </is>
      </c>
      <c r="D481" s="1349" t="inlineStr">
        <is>
          <t>Stripe</t>
        </is>
      </c>
      <c r="E481" s="1351" t="n">
        <v>395</v>
      </c>
      <c r="F481" s="1349" t="inlineStr">
        <is>
          <t>RPS Mentoring</t>
        </is>
      </c>
      <c r="G481" s="1349" t="inlineStr">
        <is>
          <t>Google</t>
        </is>
      </c>
    </row>
    <row r="482" ht="13.5" customHeight="1" s="1232">
      <c r="A482" s="1348" t="n">
        <v>44995</v>
      </c>
      <c r="B482" s="1349" t="inlineStr">
        <is>
          <t>Rebecca Newton</t>
        </is>
      </c>
      <c r="C482" s="1350" t="inlineStr">
        <is>
          <t>7. Gift Vouchers Inc</t>
        </is>
      </c>
      <c r="D482" s="1349" t="inlineStr">
        <is>
          <t>Stripe</t>
        </is>
      </c>
      <c r="E482" s="1351" t="n">
        <v>100</v>
      </c>
      <c r="F482" s="1349" t="inlineStr">
        <is>
          <t>Digital Gift Card</t>
        </is>
      </c>
      <c r="G482" s="1349" t="inlineStr">
        <is>
          <t>Google</t>
        </is>
      </c>
    </row>
    <row r="483" ht="13.5" customHeight="1" s="1232">
      <c r="A483" s="1348" t="n">
        <v>44994</v>
      </c>
      <c r="B483" s="1349" t="inlineStr">
        <is>
          <t>Justin Meaden</t>
        </is>
      </c>
      <c r="C483" s="1350" t="inlineStr">
        <is>
          <t>2. Workshops</t>
        </is>
      </c>
      <c r="D483" s="1349" t="inlineStr">
        <is>
          <t>PayPal</t>
        </is>
      </c>
      <c r="E483" s="1351" t="n">
        <v>50</v>
      </c>
      <c r="F483" s="1349" t="inlineStr">
        <is>
          <t>Bluebells</t>
        </is>
      </c>
      <c r="G483" s="1349" t="inlineStr">
        <is>
          <t>Existing</t>
        </is>
      </c>
    </row>
    <row r="484" ht="13.5" customHeight="1" s="1232">
      <c r="A484" s="1348" t="n">
        <v>44994</v>
      </c>
      <c r="B484" s="1349" t="inlineStr">
        <is>
          <t>Justin Meaden</t>
        </is>
      </c>
      <c r="C484" s="1350" t="inlineStr">
        <is>
          <t>2. Workshops</t>
        </is>
      </c>
      <c r="D484" s="1349" t="inlineStr">
        <is>
          <t>Gift Voucher Out</t>
        </is>
      </c>
      <c r="E484" s="1351" t="n">
        <v>100</v>
      </c>
      <c r="F484" s="1349" t="inlineStr">
        <is>
          <t>Bluebells</t>
        </is>
      </c>
      <c r="G484" s="1349" t="inlineStr">
        <is>
          <t>Existing</t>
        </is>
      </c>
    </row>
    <row r="485" ht="13.5" customHeight="1" s="1232">
      <c r="A485" s="1348" t="n">
        <v>44994</v>
      </c>
      <c r="B485" s="1349" t="inlineStr">
        <is>
          <t>Justin Meaden</t>
        </is>
      </c>
      <c r="C485" s="1350" t="inlineStr">
        <is>
          <t>8. Gift Vouchers Out</t>
        </is>
      </c>
      <c r="D485" s="1349" t="inlineStr">
        <is>
          <t>Gift Voucher Out</t>
        </is>
      </c>
      <c r="E485" s="1351" t="n">
        <v>-100</v>
      </c>
      <c r="F485" s="1349" t="inlineStr">
        <is>
          <t>Bluebells</t>
        </is>
      </c>
      <c r="G485" s="1349" t="inlineStr">
        <is>
          <t>Existing</t>
        </is>
      </c>
    </row>
    <row r="486" ht="13.5" customHeight="1" s="1232">
      <c r="A486" s="1348" t="n">
        <v>44994</v>
      </c>
      <c r="B486" s="1349" t="inlineStr">
        <is>
          <t>Mike Clare</t>
        </is>
      </c>
      <c r="C486" s="1350" t="inlineStr">
        <is>
          <t>2. Workshops</t>
        </is>
      </c>
      <c r="D486" s="1349" t="inlineStr">
        <is>
          <t>Stripe</t>
        </is>
      </c>
      <c r="E486" s="1351" t="n">
        <v>99</v>
      </c>
      <c r="F486" s="1349" t="inlineStr">
        <is>
          <t>Bluebells</t>
        </is>
      </c>
      <c r="G486" s="1349" t="inlineStr">
        <is>
          <t>Existing</t>
        </is>
      </c>
    </row>
    <row r="487" ht="13.5" customHeight="1" s="1232">
      <c r="A487" s="1348" t="n">
        <v>44994</v>
      </c>
      <c r="B487" s="1349" t="inlineStr">
        <is>
          <t>Gary Beggan</t>
        </is>
      </c>
      <c r="C487" s="1350" t="inlineStr">
        <is>
          <t>2. Workshops</t>
        </is>
      </c>
      <c r="D487" s="1349" t="inlineStr">
        <is>
          <t>Stripe</t>
        </is>
      </c>
      <c r="E487" s="1351" t="n">
        <v>99</v>
      </c>
      <c r="F487" s="1349" t="inlineStr">
        <is>
          <t>Bluebells</t>
        </is>
      </c>
      <c r="G487" s="1349" t="inlineStr">
        <is>
          <t>Facebook</t>
        </is>
      </c>
    </row>
    <row r="488" ht="13.5" customHeight="1" s="1232">
      <c r="A488" s="1348" t="n">
        <v>44994</v>
      </c>
      <c r="B488" s="1349" t="inlineStr">
        <is>
          <t>Karen Stapley</t>
        </is>
      </c>
      <c r="C488" s="1350" t="inlineStr">
        <is>
          <t>7. Gift Vouchers Inc</t>
        </is>
      </c>
      <c r="D488" s="1349" t="inlineStr">
        <is>
          <t>Stripe</t>
        </is>
      </c>
      <c r="E488" s="1351" t="n">
        <v>100</v>
      </c>
      <c r="F488" s="1349" t="inlineStr">
        <is>
          <t>Digital Gift Card</t>
        </is>
      </c>
      <c r="G488" s="1349" t="inlineStr">
        <is>
          <t>Google</t>
        </is>
      </c>
    </row>
    <row r="489" ht="13.5" customHeight="1" s="1232">
      <c r="A489" s="1348" t="n">
        <v>44994</v>
      </c>
      <c r="B489" s="1349" t="inlineStr">
        <is>
          <t>Holly McDonnell</t>
        </is>
      </c>
      <c r="C489" s="1350" t="inlineStr">
        <is>
          <t>1. Courses/masterclasses</t>
        </is>
      </c>
      <c r="D489" s="1349" t="inlineStr">
        <is>
          <t>Bank</t>
        </is>
      </c>
      <c r="E489" s="1351" t="n">
        <v>58</v>
      </c>
      <c r="F489" s="1349" t="inlineStr">
        <is>
          <t>4wk Beginners Course</t>
        </is>
      </c>
      <c r="G489" s="1349" t="inlineStr">
        <is>
          <t>Existing</t>
        </is>
      </c>
    </row>
    <row r="490" ht="13.5" customHeight="1" s="1232">
      <c r="A490" s="1348" t="n">
        <v>44993</v>
      </c>
      <c r="B490" s="1349" t="inlineStr">
        <is>
          <t>Jana Bauch</t>
        </is>
      </c>
      <c r="C490" s="1350" t="inlineStr">
        <is>
          <t>6. 1-2-1</t>
        </is>
      </c>
      <c r="D490" s="1349" t="inlineStr">
        <is>
          <t>Gift Voucher Out</t>
        </is>
      </c>
      <c r="E490" s="1351" t="n">
        <v>100</v>
      </c>
      <c r="F490" s="1349" t="inlineStr">
        <is>
          <t>2hrs 1-2-1</t>
        </is>
      </c>
      <c r="G490" s="1349" t="inlineStr">
        <is>
          <t>Existing</t>
        </is>
      </c>
    </row>
    <row r="491" ht="13.5" customHeight="1" s="1232">
      <c r="A491" s="1348" t="n">
        <v>44993</v>
      </c>
      <c r="B491" s="1349" t="inlineStr">
        <is>
          <t>Jana Bauch</t>
        </is>
      </c>
      <c r="C491" s="1350" t="inlineStr">
        <is>
          <t>8. Gift Vouchers Out</t>
        </is>
      </c>
      <c r="D491" s="1349" t="inlineStr">
        <is>
          <t>Gift Voucher Out</t>
        </is>
      </c>
      <c r="E491" s="1351" t="n">
        <v>-100</v>
      </c>
      <c r="F491" s="1349" t="inlineStr">
        <is>
          <t>2hrs 1-2-1</t>
        </is>
      </c>
      <c r="G491" s="1349" t="inlineStr">
        <is>
          <t>Existing</t>
        </is>
      </c>
    </row>
    <row r="492" ht="13.5" customHeight="1" s="1232">
      <c r="A492" s="1348" t="n">
        <v>44993</v>
      </c>
      <c r="B492" s="1349" t="inlineStr">
        <is>
          <t>Jana Bauch</t>
        </is>
      </c>
      <c r="C492" s="1350" t="inlineStr">
        <is>
          <t>6. 1-2-1</t>
        </is>
      </c>
      <c r="D492" s="1349" t="inlineStr">
        <is>
          <t>Stripe</t>
        </is>
      </c>
      <c r="E492" s="1351" t="n">
        <v>20</v>
      </c>
      <c r="F492" s="1349" t="inlineStr">
        <is>
          <t>2hrs 1-2-1 - 17/4</t>
        </is>
      </c>
      <c r="G492" s="1349" t="inlineStr">
        <is>
          <t>Existing</t>
        </is>
      </c>
    </row>
    <row r="493" ht="13.5" customHeight="1" s="1232">
      <c r="A493" s="1348" t="n">
        <v>44993</v>
      </c>
      <c r="B493" s="1349" t="inlineStr">
        <is>
          <t>David Smart</t>
        </is>
      </c>
      <c r="C493" s="1350" t="inlineStr">
        <is>
          <t>1. Courses/masterclasses</t>
        </is>
      </c>
      <c r="D493" s="1349" t="inlineStr">
        <is>
          <t>Stripe</t>
        </is>
      </c>
      <c r="E493" s="1351" t="n">
        <v>75</v>
      </c>
      <c r="F493" s="1349" t="inlineStr">
        <is>
          <t>Fee date change</t>
        </is>
      </c>
      <c r="G493" s="1349" t="inlineStr">
        <is>
          <t>Existing</t>
        </is>
      </c>
    </row>
    <row r="494" ht="13.5" customHeight="1" s="1232">
      <c r="A494" s="1348" t="n">
        <v>44993</v>
      </c>
      <c r="B494" s="1349" t="inlineStr">
        <is>
          <t>The Heart of a Garden</t>
        </is>
      </c>
      <c r="C494" s="1350" t="inlineStr">
        <is>
          <t>9. Prints &amp; Royalties</t>
        </is>
      </c>
      <c r="D494" s="1349" t="inlineStr">
        <is>
          <t>Bank</t>
        </is>
      </c>
      <c r="E494" s="1351" t="n">
        <v>78.84</v>
      </c>
      <c r="F494" s="1349" t="inlineStr">
        <is>
          <t>Card royalties</t>
        </is>
      </c>
      <c r="G494" s="1349" t="inlineStr">
        <is>
          <t>Existing</t>
        </is>
      </c>
    </row>
    <row r="495" ht="13.5" customHeight="1" s="1232">
      <c r="A495" s="1348" t="n">
        <v>44992</v>
      </c>
      <c r="B495" s="1349" t="inlineStr">
        <is>
          <t>Joanne Galloway</t>
        </is>
      </c>
      <c r="C495" s="1350" t="inlineStr">
        <is>
          <t>6. 1-2-1</t>
        </is>
      </c>
      <c r="D495" s="1349" t="inlineStr">
        <is>
          <t>PicknMix</t>
        </is>
      </c>
      <c r="E495" s="1351" t="n">
        <v>96</v>
      </c>
      <c r="F495" s="1352" t="inlineStr">
        <is>
          <t>121</t>
        </is>
      </c>
      <c r="G495" s="1349" t="inlineStr">
        <is>
          <t>Existing</t>
        </is>
      </c>
    </row>
    <row r="496" ht="13.5" customHeight="1" s="1232">
      <c r="A496" s="1348" t="n">
        <v>44992</v>
      </c>
      <c r="B496" s="1349" t="inlineStr">
        <is>
          <t>Joanne Galloway</t>
        </is>
      </c>
      <c r="C496" s="1350" t="inlineStr">
        <is>
          <t>6. 1-2-1</t>
        </is>
      </c>
      <c r="D496" s="1349" t="inlineStr">
        <is>
          <t>PicknMix</t>
        </is>
      </c>
      <c r="E496" s="1351" t="n">
        <v>96</v>
      </c>
      <c r="F496" s="1352" t="inlineStr">
        <is>
          <t>121</t>
        </is>
      </c>
      <c r="G496" s="1349" t="inlineStr">
        <is>
          <t>Existing</t>
        </is>
      </c>
    </row>
    <row r="497" ht="13.5" customHeight="1" s="1232">
      <c r="A497" s="1348" t="n">
        <v>44992</v>
      </c>
      <c r="B497" s="1349" t="inlineStr">
        <is>
          <t>Joanne Galloway</t>
        </is>
      </c>
      <c r="C497" s="1350" t="inlineStr">
        <is>
          <t>4. Pick n Mix Out</t>
        </is>
      </c>
      <c r="D497" s="1349" t="inlineStr">
        <is>
          <t>PicknMix</t>
        </is>
      </c>
      <c r="E497" s="1351" t="n">
        <v>-96</v>
      </c>
      <c r="F497" s="1352" t="inlineStr">
        <is>
          <t>121</t>
        </is>
      </c>
      <c r="G497" s="1349" t="inlineStr">
        <is>
          <t>Existing</t>
        </is>
      </c>
    </row>
    <row r="498" ht="13.5" customHeight="1" s="1232">
      <c r="A498" s="1348" t="n">
        <v>44992</v>
      </c>
      <c r="B498" s="1349" t="inlineStr">
        <is>
          <t>Joanne Galloway</t>
        </is>
      </c>
      <c r="C498" s="1350" t="inlineStr">
        <is>
          <t>4. Pick n Mix Out</t>
        </is>
      </c>
      <c r="D498" s="1349" t="inlineStr">
        <is>
          <t>PicknMix</t>
        </is>
      </c>
      <c r="E498" s="1351" t="n">
        <v>-96</v>
      </c>
      <c r="F498" s="1352" t="inlineStr">
        <is>
          <t>121</t>
        </is>
      </c>
      <c r="G498" s="1349" t="inlineStr">
        <is>
          <t>Existing</t>
        </is>
      </c>
    </row>
    <row r="499" ht="13.5" customHeight="1" s="1232">
      <c r="A499" s="1348" t="n">
        <v>44992</v>
      </c>
      <c r="B499" s="1349" t="inlineStr">
        <is>
          <t>Chinasearch</t>
        </is>
      </c>
      <c r="C499" s="1350" t="inlineStr">
        <is>
          <t>10 Commissions</t>
        </is>
      </c>
      <c r="D499" s="1349" t="inlineStr">
        <is>
          <t>PayPal</t>
        </is>
      </c>
      <c r="E499" s="1351" t="n">
        <v>100</v>
      </c>
      <c r="F499" s="1349" t="inlineStr">
        <is>
          <t>Consultancy</t>
        </is>
      </c>
      <c r="G499" s="1349" t="inlineStr">
        <is>
          <t>Google</t>
        </is>
      </c>
    </row>
    <row r="500" ht="13.5" customHeight="1" s="1232">
      <c r="A500" s="1348" t="n">
        <v>44991</v>
      </c>
      <c r="B500" s="1349" t="inlineStr">
        <is>
          <t>Daniel Osinski</t>
        </is>
      </c>
      <c r="C500" s="1350" t="inlineStr">
        <is>
          <t>5. Mentoring</t>
        </is>
      </c>
      <c r="D500" s="1349" t="inlineStr">
        <is>
          <t>Stripe</t>
        </is>
      </c>
      <c r="E500" s="1351" t="n">
        <v>20</v>
      </c>
      <c r="F500" s="1349" t="inlineStr">
        <is>
          <t>Monthly Mentoring</t>
        </is>
      </c>
      <c r="G500" s="1349" t="inlineStr">
        <is>
          <t>Google</t>
        </is>
      </c>
    </row>
    <row r="501" ht="13.5" customHeight="1" s="1232">
      <c r="A501" s="1348" t="n">
        <v>44990</v>
      </c>
      <c r="B501" s="1349" t="inlineStr">
        <is>
          <t>Frederique Gerard</t>
        </is>
      </c>
      <c r="C501" s="1350" t="inlineStr">
        <is>
          <t>1. Courses/masterclasses</t>
        </is>
      </c>
      <c r="D501" s="1349" t="inlineStr">
        <is>
          <t>Stripe</t>
        </is>
      </c>
      <c r="E501" s="1351" t="n">
        <v>30</v>
      </c>
      <c r="F501" s="1349" t="inlineStr">
        <is>
          <t>Get Off Auto</t>
        </is>
      </c>
      <c r="G501" s="1349" t="inlineStr">
        <is>
          <t>Google</t>
        </is>
      </c>
    </row>
    <row r="502" ht="13.5" customHeight="1" s="1232">
      <c r="A502" s="1348" t="n">
        <v>44989</v>
      </c>
      <c r="B502" s="1349" t="inlineStr">
        <is>
          <t>Gerald Lewis</t>
        </is>
      </c>
      <c r="C502" s="1350" t="inlineStr">
        <is>
          <t>2. Workshops</t>
        </is>
      </c>
      <c r="D502" s="1349" t="inlineStr">
        <is>
          <t>Stripe</t>
        </is>
      </c>
      <c r="E502" s="1351" t="n">
        <v>65</v>
      </c>
      <c r="F502" s="1349" t="inlineStr">
        <is>
          <t>Long Exposure</t>
        </is>
      </c>
      <c r="G502" s="1349" t="inlineStr">
        <is>
          <t>Google</t>
        </is>
      </c>
    </row>
    <row r="503" ht="13.5" customHeight="1" s="1232">
      <c r="A503" s="1348" t="n">
        <v>44989</v>
      </c>
      <c r="B503" s="1349" t="inlineStr">
        <is>
          <t>Holly McDonnell</t>
        </is>
      </c>
      <c r="C503" s="1350" t="inlineStr">
        <is>
          <t>1. Courses/masterclasses</t>
        </is>
      </c>
      <c r="D503" s="1349" t="inlineStr">
        <is>
          <t>Bank</t>
        </is>
      </c>
      <c r="E503" s="1351" t="n">
        <v>57.5</v>
      </c>
      <c r="F503" s="1349" t="inlineStr">
        <is>
          <t>4wk Beginners Course</t>
        </is>
      </c>
      <c r="G503" s="1349" t="inlineStr">
        <is>
          <t>Existing</t>
        </is>
      </c>
    </row>
    <row r="504" ht="13.5" customHeight="1" s="1232">
      <c r="A504" s="1348" t="n">
        <v>44989</v>
      </c>
      <c r="B504" s="1349" t="inlineStr">
        <is>
          <t>Paul Townsend</t>
        </is>
      </c>
      <c r="C504" s="1350" t="inlineStr">
        <is>
          <t>-   Workshops Residential</t>
        </is>
      </c>
      <c r="D504" s="1349" t="inlineStr">
        <is>
          <t>Bank</t>
        </is>
      </c>
      <c r="E504" s="1351" t="n">
        <v>130</v>
      </c>
      <c r="F504" s="1349" t="inlineStr">
        <is>
          <t>Dorset +1 Charge</t>
        </is>
      </c>
      <c r="G504" s="1349" t="inlineStr">
        <is>
          <t>Existing</t>
        </is>
      </c>
    </row>
    <row r="505" ht="13.5" customHeight="1" s="1232">
      <c r="A505" s="1348" t="n">
        <v>44988</v>
      </c>
      <c r="B505" s="1349" t="inlineStr">
        <is>
          <t>Peter Johnson</t>
        </is>
      </c>
      <c r="C505" s="1350" t="inlineStr">
        <is>
          <t>2. Workshops</t>
        </is>
      </c>
      <c r="D505" s="1349" t="inlineStr">
        <is>
          <t>PayPal</t>
        </is>
      </c>
      <c r="E505" s="1351" t="n">
        <v>175</v>
      </c>
      <c r="F505" s="1349" t="inlineStr">
        <is>
          <t>Bluebells</t>
        </is>
      </c>
      <c r="G505" s="1349" t="inlineStr">
        <is>
          <t>Existing</t>
        </is>
      </c>
    </row>
    <row r="506" ht="13.5" customHeight="1" s="1232">
      <c r="A506" s="1348" t="n">
        <v>44987</v>
      </c>
      <c r="B506" s="1349" t="inlineStr">
        <is>
          <t>Emoke Ispan</t>
        </is>
      </c>
      <c r="C506" s="1350" t="inlineStr">
        <is>
          <t>1. Courses/masterclasses</t>
        </is>
      </c>
      <c r="D506" s="1349" t="inlineStr">
        <is>
          <t>Stripe</t>
        </is>
      </c>
      <c r="E506" s="1351" t="n">
        <v>230</v>
      </c>
      <c r="F506" s="1349" t="inlineStr">
        <is>
          <t>4wk Beginners Course</t>
        </is>
      </c>
      <c r="G506" s="1349" t="inlineStr">
        <is>
          <t>Existing</t>
        </is>
      </c>
    </row>
    <row r="507" ht="13.5" customHeight="1" s="1232">
      <c r="A507" s="1348" t="n">
        <v>44987</v>
      </c>
      <c r="B507" s="1349" t="inlineStr">
        <is>
          <t>Paul Green</t>
        </is>
      </c>
      <c r="C507" s="1350" t="inlineStr">
        <is>
          <t>-   Workshops Residential</t>
        </is>
      </c>
      <c r="D507" s="1349" t="inlineStr">
        <is>
          <t>PayPal</t>
        </is>
      </c>
      <c r="E507" s="1351" t="n">
        <v>150</v>
      </c>
      <c r="F507" s="1349" t="inlineStr">
        <is>
          <t>Lake District</t>
        </is>
      </c>
      <c r="G507" s="1349" t="inlineStr">
        <is>
          <t>Google</t>
        </is>
      </c>
    </row>
    <row r="508" ht="13.5" customHeight="1" s="1232">
      <c r="A508" s="1348" t="n">
        <v>44987</v>
      </c>
      <c r="B508" s="1349" t="inlineStr">
        <is>
          <t>Paul Green</t>
        </is>
      </c>
      <c r="C508" s="1350" t="inlineStr">
        <is>
          <t>-   Workshops Residential</t>
        </is>
      </c>
      <c r="D508" s="1349" t="inlineStr">
        <is>
          <t>PayPal</t>
        </is>
      </c>
      <c r="E508" s="1351" t="n">
        <v>875</v>
      </c>
      <c r="F508" s="1349" t="inlineStr">
        <is>
          <t>Lake District</t>
        </is>
      </c>
      <c r="G508" s="1349" t="inlineStr">
        <is>
          <t>Google</t>
        </is>
      </c>
    </row>
    <row r="509" ht="13.5" customHeight="1" s="1232">
      <c r="A509" s="1348" t="n">
        <v>44986</v>
      </c>
      <c r="B509" s="1349" t="inlineStr">
        <is>
          <t>Nickie Wood</t>
        </is>
      </c>
      <c r="C509" s="1350" t="inlineStr">
        <is>
          <t>6. 1-2-1</t>
        </is>
      </c>
      <c r="D509" s="1349" t="inlineStr">
        <is>
          <t>Stripe</t>
        </is>
      </c>
      <c r="E509" s="1351" t="n">
        <v>360</v>
      </c>
      <c r="F509" s="1349" t="inlineStr">
        <is>
          <t>4 x 2hr 1-2-1s</t>
        </is>
      </c>
      <c r="G509" s="1349" t="inlineStr">
        <is>
          <t>Google</t>
        </is>
      </c>
    </row>
    <row r="510" ht="13.5" customHeight="1" s="1232">
      <c r="A510" s="1348" t="n">
        <v>44986</v>
      </c>
      <c r="B510" s="1349" t="inlineStr">
        <is>
          <t>Mentoring Subs</t>
        </is>
      </c>
      <c r="C510" s="1350" t="inlineStr">
        <is>
          <t>5. Mentoring</t>
        </is>
      </c>
      <c r="D510" s="1349" t="inlineStr">
        <is>
          <t>Various</t>
        </is>
      </c>
      <c r="E510" s="1351" t="n">
        <v>40</v>
      </c>
      <c r="F510" s="1349" t="inlineStr">
        <is>
          <t>Mentoring Subs</t>
        </is>
      </c>
      <c r="G510" s="1349" t="inlineStr">
        <is>
          <t>Existing</t>
        </is>
      </c>
    </row>
    <row r="511" ht="13.5" customHeight="1" s="1232">
      <c r="A511" s="1348" t="n"/>
      <c r="B511" s="1349" t="n"/>
      <c r="C511" s="1350" t="n"/>
      <c r="D511" s="1349" t="n"/>
      <c r="E511" s="1351" t="n"/>
      <c r="F511" s="1349" t="n"/>
      <c r="G511" s="1349" t="n"/>
    </row>
    <row r="512" ht="13.5" customHeight="1" s="1232">
      <c r="A512" s="1348" t="n">
        <v>44984</v>
      </c>
      <c r="B512" s="1349" t="inlineStr">
        <is>
          <t>Sophie Bates</t>
        </is>
      </c>
      <c r="C512" s="1350" t="inlineStr">
        <is>
          <t>6. 1-2-1</t>
        </is>
      </c>
      <c r="D512" s="1349" t="inlineStr">
        <is>
          <t>Stripe</t>
        </is>
      </c>
      <c r="E512" s="1351" t="n">
        <v>360</v>
      </c>
      <c r="F512" s="1349" t="inlineStr">
        <is>
          <t>4 x 2hr 1-2-1s</t>
        </is>
      </c>
      <c r="G512" s="1349" t="inlineStr">
        <is>
          <t>Google</t>
        </is>
      </c>
    </row>
    <row r="513" ht="13.5" customHeight="1" s="1232">
      <c r="A513" s="1348" t="n">
        <v>44980</v>
      </c>
      <c r="B513" s="1349" t="inlineStr">
        <is>
          <t>Joanne Galloway</t>
        </is>
      </c>
      <c r="C513" s="1350" t="inlineStr">
        <is>
          <t>11. Other</t>
        </is>
      </c>
      <c r="D513" s="1349" t="inlineStr">
        <is>
          <t>Stripe</t>
        </is>
      </c>
      <c r="E513" s="1351" t="n">
        <v>6</v>
      </c>
      <c r="F513" s="1349" t="inlineStr">
        <is>
          <t>Pocket Guides</t>
        </is>
      </c>
      <c r="G513" s="1349" t="inlineStr">
        <is>
          <t>Existing</t>
        </is>
      </c>
    </row>
    <row r="514" ht="13.5" customHeight="1" s="1232">
      <c r="A514" s="1348" t="n">
        <v>44980</v>
      </c>
      <c r="B514" s="1349" t="inlineStr">
        <is>
          <t>James Barton</t>
        </is>
      </c>
      <c r="C514" s="1350" t="inlineStr">
        <is>
          <t>2. Workshops</t>
        </is>
      </c>
      <c r="D514" s="1349" t="inlineStr">
        <is>
          <t>Stripe</t>
        </is>
      </c>
      <c r="E514" s="1351" t="n">
        <v>75</v>
      </c>
      <c r="F514" s="1349" t="inlineStr">
        <is>
          <t xml:space="preserve">Macro and Abstract </t>
        </is>
      </c>
      <c r="G514" s="1349" t="inlineStr">
        <is>
          <t>Google</t>
        </is>
      </c>
    </row>
    <row r="515" ht="13.5" customHeight="1" s="1232">
      <c r="A515" s="1348" t="n">
        <v>44980</v>
      </c>
      <c r="B515" s="1349" t="inlineStr">
        <is>
          <t>Artfully Walls</t>
        </is>
      </c>
      <c r="C515" s="1350" t="inlineStr">
        <is>
          <t>9. Prints &amp; Royalties</t>
        </is>
      </c>
      <c r="D515" s="1349" t="inlineStr">
        <is>
          <t>PayPal</t>
        </is>
      </c>
      <c r="E515" s="1351" t="n">
        <v>70.58</v>
      </c>
      <c r="F515" s="1349" t="inlineStr">
        <is>
          <t>Print Sales</t>
        </is>
      </c>
      <c r="G515" s="1349" t="inlineStr">
        <is>
          <t>Artfully Walls</t>
        </is>
      </c>
    </row>
    <row r="516" ht="13.5" customHeight="1" s="1232">
      <c r="A516" s="1348" t="n">
        <v>44979</v>
      </c>
      <c r="B516" s="1349" t="inlineStr">
        <is>
          <t>Emoke Ispan</t>
        </is>
      </c>
      <c r="C516" s="1350" t="inlineStr">
        <is>
          <t>1. Courses/masterclasses</t>
        </is>
      </c>
      <c r="D516" s="1349" t="inlineStr">
        <is>
          <t>Stripe</t>
        </is>
      </c>
      <c r="E516" s="1351" t="n">
        <v>30</v>
      </c>
      <c r="F516" s="1349" t="inlineStr">
        <is>
          <t>Get off Auto</t>
        </is>
      </c>
      <c r="G516" s="1349" t="inlineStr">
        <is>
          <t>Google</t>
        </is>
      </c>
    </row>
    <row r="517" ht="13.5" customHeight="1" s="1232">
      <c r="A517" s="1348" t="n">
        <v>44977</v>
      </c>
      <c r="B517" s="1349" t="inlineStr">
        <is>
          <t>Theresa Wong</t>
        </is>
      </c>
      <c r="C517" s="1350" t="inlineStr">
        <is>
          <t>2. Workshops</t>
        </is>
      </c>
      <c r="D517" s="1349" t="inlineStr">
        <is>
          <t>PayPal</t>
        </is>
      </c>
      <c r="E517" s="1351" t="n">
        <v>50</v>
      </c>
      <c r="F517" s="1349" t="inlineStr">
        <is>
          <t xml:space="preserve">Brandon Marsh Nature Reserve </t>
        </is>
      </c>
      <c r="G517" s="1349" t="inlineStr">
        <is>
          <t>Existing</t>
        </is>
      </c>
    </row>
    <row r="518" ht="13.5" customHeight="1" s="1232">
      <c r="A518" s="1348" t="n">
        <v>44976</v>
      </c>
      <c r="B518" s="1349" t="inlineStr">
        <is>
          <t>rebecca blunsom-washbrook</t>
        </is>
      </c>
      <c r="C518" s="1350" t="inlineStr">
        <is>
          <t>2. Workshops</t>
        </is>
      </c>
      <c r="D518" s="1349" t="inlineStr">
        <is>
          <t>Stripe</t>
        </is>
      </c>
      <c r="E518" s="1351" t="n">
        <v>50</v>
      </c>
      <c r="F518" s="1349" t="inlineStr">
        <is>
          <t xml:space="preserve">Brandon Marsh Nature Reserve </t>
        </is>
      </c>
      <c r="G518" s="1349" t="inlineStr">
        <is>
          <t>Existing</t>
        </is>
      </c>
    </row>
    <row r="519" ht="13.5" customHeight="1" s="1232">
      <c r="A519" s="1348" t="n">
        <v>44973</v>
      </c>
      <c r="B519" s="1349" t="inlineStr">
        <is>
          <t>Jack Greer</t>
        </is>
      </c>
      <c r="C519" s="1350" t="inlineStr">
        <is>
          <t>11. Other</t>
        </is>
      </c>
      <c r="D519" s="1349" t="inlineStr">
        <is>
          <t>Stripe</t>
        </is>
      </c>
      <c r="E519" s="1351" t="n">
        <v>25</v>
      </c>
      <c r="F519" s="1349" t="inlineStr">
        <is>
          <t>Sensor Clean</t>
        </is>
      </c>
      <c r="G519" s="1349" t="inlineStr">
        <is>
          <t>Existing</t>
        </is>
      </c>
    </row>
    <row r="520" ht="13.5" customHeight="1" s="1232">
      <c r="A520" s="1348" t="n">
        <v>44972</v>
      </c>
      <c r="B520" s="1349" t="inlineStr">
        <is>
          <t>Patrick Oleary</t>
        </is>
      </c>
      <c r="C520" s="1350" t="inlineStr">
        <is>
          <t>10 Commissions</t>
        </is>
      </c>
      <c r="D520" s="1349" t="inlineStr">
        <is>
          <t>Stripe</t>
        </is>
      </c>
      <c r="E520" s="1351" t="n">
        <v>150</v>
      </c>
      <c r="F520" s="1349" t="inlineStr">
        <is>
          <t>Property Commision</t>
        </is>
      </c>
      <c r="G520" s="1349" t="inlineStr">
        <is>
          <t>Google</t>
        </is>
      </c>
    </row>
    <row r="521" ht="13.5" customHeight="1" s="1232">
      <c r="A521" s="1348" t="n">
        <v>44970</v>
      </c>
      <c r="B521" s="1349" t="inlineStr">
        <is>
          <t>Hardeep Nagra</t>
        </is>
      </c>
      <c r="C521" s="1350" t="inlineStr">
        <is>
          <t>10 Commissions</t>
        </is>
      </c>
      <c r="D521" s="1349" t="inlineStr">
        <is>
          <t>Stripe</t>
        </is>
      </c>
      <c r="E521" s="1351" t="n">
        <v>150</v>
      </c>
      <c r="F521" s="1349" t="inlineStr">
        <is>
          <t>Property Commision</t>
        </is>
      </c>
      <c r="G521" s="1349" t="inlineStr">
        <is>
          <t>Google</t>
        </is>
      </c>
    </row>
    <row r="522" ht="12.75" customHeight="1" s="1232">
      <c r="A522" s="1348" t="n">
        <v>44969</v>
      </c>
      <c r="B522" s="1349" t="inlineStr">
        <is>
          <t>Richard Lionberger</t>
        </is>
      </c>
      <c r="C522" s="1350" t="inlineStr">
        <is>
          <t>11. Other</t>
        </is>
      </c>
      <c r="D522" s="1349" t="inlineStr">
        <is>
          <t>Stripe</t>
        </is>
      </c>
      <c r="E522" s="1351" t="n">
        <v>21</v>
      </c>
      <c r="F522" s="1349" t="inlineStr">
        <is>
          <t>Viewing Frames</t>
        </is>
      </c>
      <c r="G522" s="1349" t="inlineStr">
        <is>
          <t>Google</t>
        </is>
      </c>
    </row>
    <row r="523" ht="12.75" customHeight="1" s="1232">
      <c r="A523" s="1348" t="n">
        <v>44970</v>
      </c>
      <c r="B523" s="1349" t="inlineStr">
        <is>
          <t>Thomas Papanikolaou</t>
        </is>
      </c>
      <c r="C523" s="1350" t="inlineStr">
        <is>
          <t>1. Courses/masterclasses</t>
        </is>
      </c>
      <c r="D523" s="1349" t="inlineStr">
        <is>
          <t>Bank</t>
        </is>
      </c>
      <c r="E523" s="1351" t="n">
        <v>200</v>
      </c>
      <c r="F523" s="1349" t="inlineStr">
        <is>
          <t>ELS</t>
        </is>
      </c>
      <c r="G523" s="1349" t="inlineStr">
        <is>
          <t>ELS</t>
        </is>
      </c>
    </row>
    <row r="524" ht="12.75" customHeight="1" s="1232">
      <c r="A524" s="1348" t="n">
        <v>44961</v>
      </c>
      <c r="B524" s="1349" t="inlineStr">
        <is>
          <t>Joanne Galloway</t>
        </is>
      </c>
      <c r="C524" s="1350" t="inlineStr">
        <is>
          <t>4. Pick n Mix Out</t>
        </is>
      </c>
      <c r="D524" s="1349" t="inlineStr">
        <is>
          <t>PicknMix</t>
        </is>
      </c>
      <c r="E524" s="1351" t="n">
        <v>-475</v>
      </c>
      <c r="F524" s="1349" t="inlineStr">
        <is>
          <t>Workshops</t>
        </is>
      </c>
      <c r="G524" s="1349" t="inlineStr">
        <is>
          <t>Existing</t>
        </is>
      </c>
    </row>
    <row r="525" ht="12.75" customHeight="1" s="1232">
      <c r="A525" s="1348" t="n">
        <v>44961</v>
      </c>
      <c r="B525" s="1349" t="inlineStr">
        <is>
          <t>Joanne Galloway</t>
        </is>
      </c>
      <c r="C525" s="1350" t="inlineStr">
        <is>
          <t>2. Workshops</t>
        </is>
      </c>
      <c r="D525" s="1349" t="inlineStr">
        <is>
          <t>PicknMix</t>
        </is>
      </c>
      <c r="E525" s="1351" t="n">
        <v>65</v>
      </c>
      <c r="F525" s="1349" t="inlineStr">
        <is>
          <t xml:space="preserve">Long Exposure </t>
        </is>
      </c>
      <c r="G525" s="1349" t="inlineStr">
        <is>
          <t>Existing</t>
        </is>
      </c>
    </row>
    <row r="526" ht="12.75" customHeight="1" s="1232">
      <c r="A526" s="1348" t="n">
        <v>44961</v>
      </c>
      <c r="B526" s="1349" t="inlineStr">
        <is>
          <t>Joanne Galloway</t>
        </is>
      </c>
      <c r="C526" s="1350" t="inlineStr">
        <is>
          <t>2. Workshops</t>
        </is>
      </c>
      <c r="D526" s="1349" t="inlineStr">
        <is>
          <t>PicknMix</t>
        </is>
      </c>
      <c r="E526" s="1351" t="n">
        <v>125</v>
      </c>
      <c r="F526" s="1349" t="inlineStr">
        <is>
          <t xml:space="preserve">Cotswolds Landscape </t>
        </is>
      </c>
      <c r="G526" s="1349" t="inlineStr">
        <is>
          <t>Existing</t>
        </is>
      </c>
    </row>
    <row r="527" ht="13.5" customHeight="1" s="1232">
      <c r="A527" s="1348" t="n">
        <v>44961</v>
      </c>
      <c r="B527" s="1349" t="inlineStr">
        <is>
          <t>Joanne Galloway</t>
        </is>
      </c>
      <c r="C527" s="1350" t="inlineStr">
        <is>
          <t>2. Workshops</t>
        </is>
      </c>
      <c r="D527" s="1349" t="inlineStr">
        <is>
          <t>PicknMix</t>
        </is>
      </c>
      <c r="E527" s="1351" t="n">
        <v>35</v>
      </c>
      <c r="F527" s="1349" t="inlineStr">
        <is>
          <t xml:space="preserve">Garden Photography </t>
        </is>
      </c>
      <c r="G527" s="1349" t="inlineStr">
        <is>
          <t>Existing</t>
        </is>
      </c>
    </row>
    <row r="528" ht="13.5" customHeight="1" s="1232">
      <c r="A528" s="1348" t="n">
        <v>44961</v>
      </c>
      <c r="B528" s="1349" t="inlineStr">
        <is>
          <t>Joanne Galloway</t>
        </is>
      </c>
      <c r="C528" s="1350" t="inlineStr">
        <is>
          <t>2. Workshops</t>
        </is>
      </c>
      <c r="D528" s="1349" t="inlineStr">
        <is>
          <t>PicknMix</t>
        </is>
      </c>
      <c r="E528" s="1351" t="n">
        <v>125</v>
      </c>
      <c r="F528" s="1349" t="inlineStr">
        <is>
          <t xml:space="preserve">Bluebell Woodland </t>
        </is>
      </c>
      <c r="G528" s="1349" t="inlineStr">
        <is>
          <t>Existing</t>
        </is>
      </c>
    </row>
    <row r="529" ht="13.5" customHeight="1" s="1232">
      <c r="A529" s="1348" t="n">
        <v>44961</v>
      </c>
      <c r="B529" s="1349" t="inlineStr">
        <is>
          <t>Joanne Galloway</t>
        </is>
      </c>
      <c r="C529" s="1350" t="inlineStr">
        <is>
          <t>2. Workshops</t>
        </is>
      </c>
      <c r="D529" s="1349" t="inlineStr">
        <is>
          <t>PicknMix</t>
        </is>
      </c>
      <c r="E529" s="1351" t="n">
        <v>75</v>
      </c>
      <c r="F529" s="1349" t="inlineStr">
        <is>
          <t xml:space="preserve">Macro and Abstract </t>
        </is>
      </c>
      <c r="G529" s="1349" t="inlineStr">
        <is>
          <t>Existing</t>
        </is>
      </c>
    </row>
    <row r="530" ht="13.5" customHeight="1" s="1232">
      <c r="A530" s="1348" t="n">
        <v>44961</v>
      </c>
      <c r="B530" s="1349" t="inlineStr">
        <is>
          <t>Joanne Galloway</t>
        </is>
      </c>
      <c r="C530" s="1350" t="inlineStr">
        <is>
          <t>2. Workshops</t>
        </is>
      </c>
      <c r="D530" s="1349" t="inlineStr">
        <is>
          <t>PicknMix</t>
        </is>
      </c>
      <c r="E530" s="1351" t="n">
        <v>50</v>
      </c>
      <c r="F530" s="1349" t="inlineStr">
        <is>
          <t xml:space="preserve">Brandon Marsh Nature Reserve </t>
        </is>
      </c>
      <c r="G530" s="1349" t="inlineStr">
        <is>
          <t>Existing</t>
        </is>
      </c>
    </row>
    <row r="531" ht="13.5" customHeight="1" s="1232">
      <c r="A531" s="1348" t="n">
        <v>44960</v>
      </c>
      <c r="B531" s="1349" t="inlineStr">
        <is>
          <t>Joanne Galloway</t>
        </is>
      </c>
      <c r="C531" s="1350" t="inlineStr">
        <is>
          <t>3. Pick n Mix Inc</t>
        </is>
      </c>
      <c r="D531" s="1349" t="inlineStr">
        <is>
          <t>Bank</t>
        </is>
      </c>
      <c r="E531" s="1351" t="n">
        <v>1200</v>
      </c>
      <c r="F531" s="1349" t="inlineStr">
        <is>
          <t>Pick N Mix Plan</t>
        </is>
      </c>
      <c r="G531" s="1349" t="inlineStr">
        <is>
          <t>Existing</t>
        </is>
      </c>
    </row>
    <row r="532" ht="13.5" customHeight="1" s="1232">
      <c r="A532" s="1348" t="n">
        <v>44960</v>
      </c>
      <c r="B532" s="1349" t="inlineStr">
        <is>
          <t>Karen Morley</t>
        </is>
      </c>
      <c r="C532" s="1350" t="inlineStr">
        <is>
          <t>6. 1-2-1</t>
        </is>
      </c>
      <c r="D532" s="1349" t="inlineStr">
        <is>
          <t>PayPal</t>
        </is>
      </c>
      <c r="E532" s="1351" t="n">
        <v>360</v>
      </c>
      <c r="F532" s="1349" t="inlineStr">
        <is>
          <t>4 x 2hr 1-2-1s</t>
        </is>
      </c>
      <c r="G532" s="1349" t="inlineStr">
        <is>
          <t>Google</t>
        </is>
      </c>
    </row>
    <row r="533" ht="13.5" customHeight="1" s="1232">
      <c r="A533" s="1348" t="n">
        <v>44959</v>
      </c>
      <c r="B533" s="1349" t="inlineStr">
        <is>
          <t>Natalie Wallis</t>
        </is>
      </c>
      <c r="C533" s="1350" t="inlineStr">
        <is>
          <t>1. Courses/masterclasses</t>
        </is>
      </c>
      <c r="D533" s="1349" t="inlineStr">
        <is>
          <t>Stripe</t>
        </is>
      </c>
      <c r="E533" s="1351" t="n">
        <v>30</v>
      </c>
      <c r="F533" s="1349" t="inlineStr">
        <is>
          <t>Get off Auto</t>
        </is>
      </c>
      <c r="G533" s="1349" t="inlineStr">
        <is>
          <t>Google</t>
        </is>
      </c>
    </row>
    <row r="534" ht="13.5" customHeight="1" s="1232">
      <c r="A534" s="1348" t="n">
        <v>44958</v>
      </c>
      <c r="B534" s="1349" t="inlineStr">
        <is>
          <t>Mentoring Subs</t>
        </is>
      </c>
      <c r="C534" s="1350" t="inlineStr">
        <is>
          <t>5. Mentoring</t>
        </is>
      </c>
      <c r="D534" s="1349" t="inlineStr">
        <is>
          <t>Various</t>
        </is>
      </c>
      <c r="E534" s="1351" t="n">
        <v>60</v>
      </c>
      <c r="F534" s="1349" t="inlineStr">
        <is>
          <t>Mentoring Subs</t>
        </is>
      </c>
      <c r="G534" s="1349" t="inlineStr">
        <is>
          <t>Existing</t>
        </is>
      </c>
    </row>
    <row r="535" ht="13.5" customHeight="1" s="1232">
      <c r="A535" s="1348" t="n"/>
      <c r="B535" s="1349" t="n"/>
      <c r="C535" s="1350" t="n"/>
      <c r="D535" s="1349" t="n"/>
      <c r="E535" s="1351" t="n"/>
      <c r="F535" s="1349" t="n"/>
      <c r="G535" s="1349" t="n"/>
    </row>
    <row r="536" ht="13.5" customHeight="1" s="1232">
      <c r="A536" s="1348" t="n">
        <v>44957</v>
      </c>
      <c r="B536" s="1349" t="inlineStr">
        <is>
          <t>Andy Best</t>
        </is>
      </c>
      <c r="C536" s="1350" t="inlineStr">
        <is>
          <t>2. Workshops</t>
        </is>
      </c>
      <c r="D536" s="1349" t="inlineStr">
        <is>
          <t>Stripe</t>
        </is>
      </c>
      <c r="E536" s="1351" t="n">
        <v>125</v>
      </c>
      <c r="F536" s="1349" t="inlineStr">
        <is>
          <t>Cotswolds</t>
        </is>
      </c>
      <c r="G536" s="1349" t="inlineStr">
        <is>
          <t>Google</t>
        </is>
      </c>
    </row>
    <row r="537" ht="13.5" customHeight="1" s="1232">
      <c r="A537" s="1348" t="n">
        <v>44957</v>
      </c>
      <c r="B537" s="1349" t="inlineStr">
        <is>
          <t>Rebecca Blunsom</t>
        </is>
      </c>
      <c r="C537" s="1350" t="inlineStr">
        <is>
          <t>6. 1-2-1</t>
        </is>
      </c>
      <c r="D537" s="1349" t="inlineStr">
        <is>
          <t>Stripe</t>
        </is>
      </c>
      <c r="E537" s="1351" t="n">
        <v>120</v>
      </c>
      <c r="F537" s="1349" t="inlineStr">
        <is>
          <t>2hrs 1-2-1</t>
        </is>
      </c>
      <c r="G537" s="1349" t="inlineStr">
        <is>
          <t>Google</t>
        </is>
      </c>
    </row>
    <row r="538" ht="13.5" customHeight="1" s="1232">
      <c r="A538" s="1348" t="n">
        <v>44956</v>
      </c>
      <c r="B538" s="1349" t="inlineStr">
        <is>
          <t>Curtis Orrill</t>
        </is>
      </c>
      <c r="C538" s="1350" t="inlineStr">
        <is>
          <t>1. Courses/masterclasses</t>
        </is>
      </c>
      <c r="D538" s="1349" t="inlineStr">
        <is>
          <t>Stripe</t>
        </is>
      </c>
      <c r="E538" s="1351" t="n">
        <v>230</v>
      </c>
      <c r="F538" s="1349" t="inlineStr">
        <is>
          <t>4wk Extd Beginners</t>
        </is>
      </c>
      <c r="G538" s="1349" t="inlineStr">
        <is>
          <t>Existing</t>
        </is>
      </c>
    </row>
    <row r="539" ht="13.5" customHeight="1" s="1232">
      <c r="A539" s="1348" t="n">
        <v>44955</v>
      </c>
      <c r="B539" s="1349" t="inlineStr">
        <is>
          <t>Andy Knott</t>
        </is>
      </c>
      <c r="C539" s="1350" t="inlineStr">
        <is>
          <t>2. Workshops</t>
        </is>
      </c>
      <c r="D539" s="1349" t="inlineStr">
        <is>
          <t>PayPal</t>
        </is>
      </c>
      <c r="E539" s="1351" t="n">
        <v>125</v>
      </c>
      <c r="F539" s="1349" t="inlineStr">
        <is>
          <t>Bluebells</t>
        </is>
      </c>
      <c r="G539" s="1349" t="inlineStr">
        <is>
          <t>Google</t>
        </is>
      </c>
    </row>
    <row r="540" ht="13.5" customHeight="1" s="1232">
      <c r="A540" s="1348" t="n">
        <v>44951</v>
      </c>
      <c r="B540" s="1349" t="inlineStr">
        <is>
          <t>Johanna Stansfield</t>
        </is>
      </c>
      <c r="C540" s="1350" t="inlineStr">
        <is>
          <t>2. Workshops</t>
        </is>
      </c>
      <c r="D540" s="1349" t="inlineStr">
        <is>
          <t>Stripe</t>
        </is>
      </c>
      <c r="E540" s="1351" t="n">
        <v>50</v>
      </c>
      <c r="F540" s="1349" t="inlineStr">
        <is>
          <t>Brandon Marsh</t>
        </is>
      </c>
      <c r="G540" s="1349" t="inlineStr">
        <is>
          <t>Existing</t>
        </is>
      </c>
    </row>
    <row r="541" ht="13.5" customHeight="1" s="1232">
      <c r="A541" s="1348" t="n">
        <v>44951</v>
      </c>
      <c r="B541" s="1349" t="inlineStr">
        <is>
          <t>Mahmood Esmail</t>
        </is>
      </c>
      <c r="C541" s="1350" t="inlineStr">
        <is>
          <t>1. Courses/masterclasses</t>
        </is>
      </c>
      <c r="D541" s="1349" t="inlineStr">
        <is>
          <t>Stripe</t>
        </is>
      </c>
      <c r="E541" s="1351" t="n">
        <v>230</v>
      </c>
      <c r="F541" s="1349" t="inlineStr">
        <is>
          <t>4wk Extd Beginners</t>
        </is>
      </c>
      <c r="G541" s="1349" t="inlineStr">
        <is>
          <t>Existing</t>
        </is>
      </c>
    </row>
    <row r="542" ht="13.5" customHeight="1" s="1232">
      <c r="A542" s="1348" t="n">
        <v>44951</v>
      </c>
      <c r="B542" s="1349" t="inlineStr">
        <is>
          <t>Johanna Stansfield</t>
        </is>
      </c>
      <c r="C542" s="1350" t="inlineStr">
        <is>
          <t>2. Workshops</t>
        </is>
      </c>
      <c r="D542" s="1349" t="inlineStr">
        <is>
          <t>Stripe</t>
        </is>
      </c>
      <c r="E542" s="1351" t="n">
        <v>125</v>
      </c>
      <c r="F542" s="1349" t="inlineStr">
        <is>
          <t>Bluebells</t>
        </is>
      </c>
      <c r="G542" s="1349" t="inlineStr">
        <is>
          <t>Existing</t>
        </is>
      </c>
    </row>
    <row r="543" ht="13.5" customHeight="1" s="1232">
      <c r="A543" s="1348" t="n">
        <v>44950</v>
      </c>
      <c r="B543" s="1349" t="inlineStr">
        <is>
          <t>Andrew Mace</t>
        </is>
      </c>
      <c r="C543" s="1350" t="inlineStr">
        <is>
          <t>6. 1-2-1</t>
        </is>
      </c>
      <c r="D543" s="1349" t="inlineStr">
        <is>
          <t>Stripe</t>
        </is>
      </c>
      <c r="E543" s="1351" t="n">
        <v>70</v>
      </c>
      <c r="F543" s="1352" t="inlineStr">
        <is>
          <t>1-2-1</t>
        </is>
      </c>
      <c r="G543" s="1349" t="inlineStr">
        <is>
          <t>Existing</t>
        </is>
      </c>
    </row>
    <row r="544" ht="13.5" customHeight="1" s="1232">
      <c r="A544" s="1348" t="n">
        <v>44949</v>
      </c>
      <c r="B544" s="1349" t="inlineStr">
        <is>
          <t>David Ellis</t>
        </is>
      </c>
      <c r="C544" s="1350" t="inlineStr">
        <is>
          <t>-   Workshops Residential</t>
        </is>
      </c>
      <c r="D544" s="1349" t="inlineStr">
        <is>
          <t>PayPal</t>
        </is>
      </c>
      <c r="E544" s="1351" t="n">
        <v>150</v>
      </c>
      <c r="F544" s="1349" t="inlineStr">
        <is>
          <t>Lake District Extra Night</t>
        </is>
      </c>
      <c r="G544" s="1349" t="inlineStr">
        <is>
          <t>Existing</t>
        </is>
      </c>
    </row>
    <row r="545" ht="13.5" customHeight="1" s="1232">
      <c r="A545" s="1348" t="n">
        <v>44949</v>
      </c>
      <c r="B545" s="1349" t="inlineStr">
        <is>
          <t>Catherine Gough</t>
        </is>
      </c>
      <c r="C545" s="1350" t="inlineStr">
        <is>
          <t>2. Workshops</t>
        </is>
      </c>
      <c r="D545" s="1349" t="inlineStr">
        <is>
          <t>Stripe</t>
        </is>
      </c>
      <c r="E545" s="1351" t="n">
        <v>125</v>
      </c>
      <c r="F545" s="1349" t="inlineStr">
        <is>
          <t>Shropshire</t>
        </is>
      </c>
      <c r="G545" s="1349" t="inlineStr">
        <is>
          <t>Google</t>
        </is>
      </c>
    </row>
    <row r="546" ht="13.5" customHeight="1" s="1232">
      <c r="A546" s="1348" t="n">
        <v>44949</v>
      </c>
      <c r="B546" s="1349" t="inlineStr">
        <is>
          <t>Catherine Gough</t>
        </is>
      </c>
      <c r="C546" s="1350" t="inlineStr">
        <is>
          <t>2. Workshops</t>
        </is>
      </c>
      <c r="D546" s="1349" t="inlineStr">
        <is>
          <t>Stripe</t>
        </is>
      </c>
      <c r="E546" s="1351" t="n">
        <v>95</v>
      </c>
      <c r="F546" s="1349" t="inlineStr">
        <is>
          <t>Fairy Glen</t>
        </is>
      </c>
      <c r="G546" s="1349" t="inlineStr">
        <is>
          <t>Google</t>
        </is>
      </c>
    </row>
    <row r="547" ht="13.5" customHeight="1" s="1232">
      <c r="A547" s="1348" t="n">
        <v>44949</v>
      </c>
      <c r="B547" s="1349" t="inlineStr">
        <is>
          <t>Thomas Daniels</t>
        </is>
      </c>
      <c r="C547" s="1350" t="inlineStr">
        <is>
          <t>-   Workshops Residential</t>
        </is>
      </c>
      <c r="D547" s="1349" t="inlineStr">
        <is>
          <t>Bank</t>
        </is>
      </c>
      <c r="E547" s="1351" t="n">
        <v>335</v>
      </c>
      <c r="F547" s="1349" t="inlineStr">
        <is>
          <t>Lake District Mar</t>
        </is>
      </c>
      <c r="G547" s="1349" t="inlineStr">
        <is>
          <t>Existing</t>
        </is>
      </c>
    </row>
    <row r="548" ht="13.5" customHeight="1" s="1232">
      <c r="A548" s="1348" t="n">
        <v>44945</v>
      </c>
      <c r="B548" s="1349" t="inlineStr">
        <is>
          <t>Adobe</t>
        </is>
      </c>
      <c r="C548" s="1350" t="inlineStr">
        <is>
          <t>9. Prints &amp; Royalties</t>
        </is>
      </c>
      <c r="D548" s="1349" t="inlineStr">
        <is>
          <t>PayPal</t>
        </is>
      </c>
      <c r="E548" s="1351" t="n">
        <v>20.52</v>
      </c>
      <c r="F548" s="1349" t="inlineStr">
        <is>
          <t>Adobe Stock - Sales</t>
        </is>
      </c>
      <c r="G548" s="1349" t="inlineStr">
        <is>
          <t>Existing</t>
        </is>
      </c>
    </row>
    <row r="549" ht="13.5" customHeight="1" s="1232">
      <c r="A549" s="1348" t="n">
        <v>44944</v>
      </c>
      <c r="B549" s="1349" t="inlineStr">
        <is>
          <t>Anne Decker</t>
        </is>
      </c>
      <c r="C549" s="1350" t="inlineStr">
        <is>
          <t>2. Workshops</t>
        </is>
      </c>
      <c r="D549" s="1349" t="inlineStr">
        <is>
          <t>PayPal</t>
        </is>
      </c>
      <c r="E549" s="1351" t="n">
        <v>125</v>
      </c>
      <c r="F549" s="1349" t="inlineStr">
        <is>
          <t>Bluebells</t>
        </is>
      </c>
      <c r="G549" s="1349" t="inlineStr">
        <is>
          <t>Google</t>
        </is>
      </c>
    </row>
    <row r="550" ht="13.5" customHeight="1" s="1232">
      <c r="A550" s="1348" t="n">
        <v>44944</v>
      </c>
      <c r="B550" s="1349" t="inlineStr">
        <is>
          <t>Holly McDonnell</t>
        </is>
      </c>
      <c r="C550" s="1350" t="inlineStr">
        <is>
          <t>1. Courses/masterclasses</t>
        </is>
      </c>
      <c r="D550" s="1349" t="inlineStr">
        <is>
          <t>PayPal</t>
        </is>
      </c>
      <c r="E550" s="1351" t="n">
        <v>30</v>
      </c>
      <c r="F550" s="1349" t="inlineStr">
        <is>
          <t>Get Off Auto</t>
        </is>
      </c>
      <c r="G550" s="1349" t="inlineStr">
        <is>
          <t>Google</t>
        </is>
      </c>
    </row>
    <row r="551" ht="13.5" customHeight="1" s="1232">
      <c r="A551" s="1348" t="n">
        <v>44943</v>
      </c>
      <c r="B551" s="1349" t="inlineStr">
        <is>
          <t>Curtis Orrill</t>
        </is>
      </c>
      <c r="C551" s="1350" t="inlineStr">
        <is>
          <t>1. Courses/masterclasses</t>
        </is>
      </c>
      <c r="D551" s="1349" t="inlineStr">
        <is>
          <t>Stripe</t>
        </is>
      </c>
      <c r="E551" s="1351" t="n">
        <v>30</v>
      </c>
      <c r="F551" s="1349" t="inlineStr">
        <is>
          <t>Get Off Auto</t>
        </is>
      </c>
      <c r="G551" s="1349" t="inlineStr">
        <is>
          <t>Google</t>
        </is>
      </c>
    </row>
    <row r="552" ht="13.5" customHeight="1" s="1232">
      <c r="A552" s="1348" t="n">
        <v>44943</v>
      </c>
      <c r="B552" s="1349" t="inlineStr">
        <is>
          <t>Paul Porter</t>
        </is>
      </c>
      <c r="C552" s="1350" t="inlineStr">
        <is>
          <t>11. Other</t>
        </is>
      </c>
      <c r="D552" s="1349" t="inlineStr">
        <is>
          <t>PayPal</t>
        </is>
      </c>
      <c r="E552" s="1351" t="n">
        <v>21</v>
      </c>
      <c r="F552" s="1349" t="inlineStr">
        <is>
          <t>Viewing Frames</t>
        </is>
      </c>
      <c r="G552" s="1349" t="inlineStr">
        <is>
          <t>Google</t>
        </is>
      </c>
    </row>
    <row r="553" ht="13.5" customHeight="1" s="1232">
      <c r="A553" s="1348" t="n">
        <v>44942</v>
      </c>
      <c r="B553" s="1349" t="inlineStr">
        <is>
          <t>Martina Egeler</t>
        </is>
      </c>
      <c r="C553" s="1350" t="inlineStr">
        <is>
          <t>-   Workshops Residential</t>
        </is>
      </c>
      <c r="D553" s="1349" t="inlineStr">
        <is>
          <t>Stripe</t>
        </is>
      </c>
      <c r="E553" s="1351" t="n">
        <v>475</v>
      </c>
      <c r="F553" s="1349" t="inlineStr">
        <is>
          <t>Lake Vyrnwy</t>
        </is>
      </c>
      <c r="G553" s="1349" t="inlineStr">
        <is>
          <t>Google</t>
        </is>
      </c>
    </row>
    <row r="554" ht="13.5" customHeight="1" s="1232">
      <c r="A554" s="1348" t="n">
        <v>44941</v>
      </c>
      <c r="B554" s="1349" t="inlineStr">
        <is>
          <t>Paul Fields</t>
        </is>
      </c>
      <c r="C554" s="1350" t="inlineStr">
        <is>
          <t>11. Other</t>
        </is>
      </c>
      <c r="D554" s="1349" t="inlineStr">
        <is>
          <t>Stripe</t>
        </is>
      </c>
      <c r="E554" s="1351" t="n">
        <v>21</v>
      </c>
      <c r="F554" s="1349" t="inlineStr">
        <is>
          <t>Viewing Frames</t>
        </is>
      </c>
      <c r="G554" s="1349" t="inlineStr">
        <is>
          <t>Google</t>
        </is>
      </c>
    </row>
    <row r="555" ht="13.5" customHeight="1" s="1232">
      <c r="A555" s="1348" t="n">
        <v>44940</v>
      </c>
      <c r="B555" s="1349" t="inlineStr">
        <is>
          <t>Clifford Porter</t>
        </is>
      </c>
      <c r="C555" s="1350" t="inlineStr">
        <is>
          <t>-   Workshops Residential</t>
        </is>
      </c>
      <c r="D555" s="1349" t="inlineStr">
        <is>
          <t>Stripe</t>
        </is>
      </c>
      <c r="E555" s="1351" t="n">
        <v>475</v>
      </c>
      <c r="F555" s="1349" t="inlineStr">
        <is>
          <t>Lake Vyrnwy</t>
        </is>
      </c>
      <c r="G555" s="1349" t="inlineStr">
        <is>
          <t>Existing</t>
        </is>
      </c>
    </row>
    <row r="556" ht="13.5" customHeight="1" s="1232">
      <c r="A556" s="1348" t="n">
        <v>44938</v>
      </c>
      <c r="B556" s="1349" t="inlineStr">
        <is>
          <t>David Ellis</t>
        </is>
      </c>
      <c r="C556" s="1350" t="inlineStr">
        <is>
          <t>-   Workshops Residential</t>
        </is>
      </c>
      <c r="D556" s="1349" t="inlineStr">
        <is>
          <t>Stripe</t>
        </is>
      </c>
      <c r="E556" s="1351" t="n">
        <v>875</v>
      </c>
      <c r="F556" s="1349" t="inlineStr">
        <is>
          <t>Lake District Sep</t>
        </is>
      </c>
      <c r="G556" s="1349" t="inlineStr">
        <is>
          <t>Google</t>
        </is>
      </c>
    </row>
    <row r="557" ht="13.5" customHeight="1" s="1232">
      <c r="A557" s="1348" t="n">
        <v>44937</v>
      </c>
      <c r="B557" s="1349" t="inlineStr">
        <is>
          <t>Mahmood Esmail</t>
        </is>
      </c>
      <c r="C557" s="1350" t="inlineStr">
        <is>
          <t>1. Courses/masterclasses</t>
        </is>
      </c>
      <c r="D557" s="1349" t="inlineStr">
        <is>
          <t>Stripe</t>
        </is>
      </c>
      <c r="E557" s="1351" t="n">
        <v>30</v>
      </c>
      <c r="F557" s="1349" t="inlineStr">
        <is>
          <t>Get Off Auto</t>
        </is>
      </c>
      <c r="G557" s="1349" t="inlineStr">
        <is>
          <t>Google</t>
        </is>
      </c>
    </row>
    <row r="558" ht="13.5" customHeight="1" s="1232">
      <c r="A558" s="1348" t="n">
        <v>44936</v>
      </c>
      <c r="B558" s="1349" t="inlineStr">
        <is>
          <t>Joanne Galloway</t>
        </is>
      </c>
      <c r="C558" s="1350" t="inlineStr">
        <is>
          <t>1. Courses/masterclasses</t>
        </is>
      </c>
      <c r="D558" s="1349" t="inlineStr">
        <is>
          <t>Stripe</t>
        </is>
      </c>
      <c r="E558" s="1351" t="n">
        <v>250</v>
      </c>
      <c r="F558" s="1349" t="inlineStr">
        <is>
          <t>4wk Lightroom</t>
        </is>
      </c>
      <c r="G558" s="1349" t="inlineStr">
        <is>
          <t>Existing</t>
        </is>
      </c>
    </row>
    <row r="559" ht="13.5" customHeight="1" s="1232">
      <c r="A559" s="1348" t="n">
        <v>44936</v>
      </c>
      <c r="B559" s="1349" t="inlineStr">
        <is>
          <t>Glenn Hooper</t>
        </is>
      </c>
      <c r="C559" s="1350" t="inlineStr">
        <is>
          <t>1. Courses/masterclasses</t>
        </is>
      </c>
      <c r="D559" s="1349" t="inlineStr">
        <is>
          <t>Stripe</t>
        </is>
      </c>
      <c r="E559" s="1351" t="n">
        <v>230</v>
      </c>
      <c r="F559" s="1349" t="inlineStr">
        <is>
          <t>4wk Extd Beginners</t>
        </is>
      </c>
      <c r="G559" s="1349" t="inlineStr">
        <is>
          <t>Existing</t>
        </is>
      </c>
    </row>
    <row r="560" ht="13.5" customHeight="1" s="1232">
      <c r="A560" s="1348" t="n">
        <v>44932</v>
      </c>
      <c r="B560" s="1349" t="inlineStr">
        <is>
          <t>Nicky Mills</t>
        </is>
      </c>
      <c r="C560" s="1350" t="inlineStr">
        <is>
          <t>5. Mentoring</t>
        </is>
      </c>
      <c r="D560" s="1349" t="inlineStr">
        <is>
          <t>Stripe</t>
        </is>
      </c>
      <c r="E560" s="1351" t="n">
        <v>20</v>
      </c>
      <c r="F560" s="1349" t="inlineStr">
        <is>
          <t>Monthly Mentoring</t>
        </is>
      </c>
      <c r="G560" s="1349" t="inlineStr">
        <is>
          <t>Google</t>
        </is>
      </c>
    </row>
    <row r="561" ht="13.5" customHeight="1" s="1232">
      <c r="A561" s="1348" t="n">
        <v>44932</v>
      </c>
      <c r="B561" s="1349" t="inlineStr">
        <is>
          <t>Artfinder</t>
        </is>
      </c>
      <c r="C561" s="1350" t="inlineStr">
        <is>
          <t>9. Prints &amp; Royalties</t>
        </is>
      </c>
      <c r="D561" s="1349" t="inlineStr">
        <is>
          <t>Bank</t>
        </is>
      </c>
      <c r="E561" s="1351" t="n">
        <v>149.46</v>
      </c>
      <c r="F561" s="1349" t="inlineStr">
        <is>
          <t>Print Sales Artfinder</t>
        </is>
      </c>
      <c r="G561" s="1349" t="inlineStr">
        <is>
          <t>Existing</t>
        </is>
      </c>
    </row>
    <row r="562" ht="13.5" customHeight="1" s="1232">
      <c r="A562" s="1348" t="n">
        <v>44931</v>
      </c>
      <c r="B562" s="1349" t="inlineStr">
        <is>
          <t xml:space="preserve">Palanieappan Sirsabesan </t>
        </is>
      </c>
      <c r="C562" s="1350" t="inlineStr">
        <is>
          <t>10 Commissions</t>
        </is>
      </c>
      <c r="D562" s="1349" t="inlineStr">
        <is>
          <t>Stripe</t>
        </is>
      </c>
      <c r="E562" s="1351" t="n">
        <v>150</v>
      </c>
      <c r="F562" s="1349" t="inlineStr">
        <is>
          <t>Graduation</t>
        </is>
      </c>
      <c r="G562" s="1349" t="inlineStr">
        <is>
          <t>Google</t>
        </is>
      </c>
    </row>
    <row r="563" ht="13.5" customHeight="1" s="1232">
      <c r="A563" s="1348" t="n">
        <v>44930</v>
      </c>
      <c r="B563" s="1349" t="inlineStr">
        <is>
          <t>Coventry Motorcycle Co</t>
        </is>
      </c>
      <c r="C563" s="1350" t="inlineStr">
        <is>
          <t>10 Commissions</t>
        </is>
      </c>
      <c r="D563" s="1349" t="inlineStr">
        <is>
          <t>Cash</t>
        </is>
      </c>
      <c r="E563" s="1351" t="n">
        <v>150</v>
      </c>
      <c r="F563" s="1349" t="inlineStr">
        <is>
          <t>Training</t>
        </is>
      </c>
      <c r="G563" s="1349" t="inlineStr">
        <is>
          <t>Existing</t>
        </is>
      </c>
    </row>
    <row r="564" ht="13.5" customHeight="1" s="1232">
      <c r="A564" s="1348" t="n">
        <v>44930</v>
      </c>
      <c r="B564" s="1349" t="inlineStr">
        <is>
          <t>Yvonne Rawson</t>
        </is>
      </c>
      <c r="C564" s="1350" t="inlineStr">
        <is>
          <t>1. Courses/masterclasses</t>
        </is>
      </c>
      <c r="D564" s="1349" t="inlineStr">
        <is>
          <t>Stripe</t>
        </is>
      </c>
      <c r="E564" s="1351" t="n">
        <v>250</v>
      </c>
      <c r="F564" s="1349" t="inlineStr">
        <is>
          <t>Beginners Course</t>
        </is>
      </c>
      <c r="G564" s="1349" t="inlineStr">
        <is>
          <t>Google</t>
        </is>
      </c>
    </row>
    <row r="565" ht="13.5" customHeight="1" s="1232">
      <c r="A565" s="1348" t="n">
        <v>44929</v>
      </c>
      <c r="B565" s="1349" t="inlineStr">
        <is>
          <t>Sara Barsely</t>
        </is>
      </c>
      <c r="C565" s="1350" t="inlineStr">
        <is>
          <t>1. Courses/masterclasses</t>
        </is>
      </c>
      <c r="D565" s="1349" t="inlineStr">
        <is>
          <t>PayPal</t>
        </is>
      </c>
      <c r="E565" s="1351" t="n">
        <v>212.5</v>
      </c>
      <c r="F565" s="1349" t="inlineStr">
        <is>
          <t>LR Course</t>
        </is>
      </c>
      <c r="G565" s="1349" t="inlineStr">
        <is>
          <t>Existing</t>
        </is>
      </c>
    </row>
    <row r="566" ht="13.5" customHeight="1" s="1232">
      <c r="A566" s="1348" t="n">
        <v>44927</v>
      </c>
      <c r="B566" s="1349" t="inlineStr">
        <is>
          <t>Mentoring Subs</t>
        </is>
      </c>
      <c r="C566" s="1350" t="inlineStr">
        <is>
          <t>5. Mentoring</t>
        </is>
      </c>
      <c r="D566" s="1349" t="inlineStr">
        <is>
          <t>Various</t>
        </is>
      </c>
      <c r="E566" s="1351" t="n">
        <v>60</v>
      </c>
      <c r="F566" s="1349" t="inlineStr">
        <is>
          <t>Mentoring Subs</t>
        </is>
      </c>
      <c r="G566" s="1349" t="inlineStr">
        <is>
          <t>Existing</t>
        </is>
      </c>
    </row>
  </sheetData>
  <conditionalFormatting sqref="E2:E23 E31 E34:E44 E47:E50 E57 E60:E66 E69:E72 E83:E87 E89 E93:E162 E164:E203 E207:E229 E232:E263 E267:E286 E289:E321 E324:E353 E356:E388 E392:E427 E431:E451 E454:E489 E492:E509 E511:E533 E535:E552 E554 E567:E1048576 N26:N27 P26:V27 V155:V647 V649:V921 X6:X26 X40:X45 X108 X117:X127 X140 X145 X154 Y24:Y25">
    <cfRule type="cellIs" priority="331" operator="lessThan" dxfId="1">
      <formula>0</formula>
    </cfRule>
  </conditionalFormatting>
  <conditionalFormatting sqref="X38">
    <cfRule type="cellIs" priority="330" operator="lessThan" dxfId="1">
      <formula>0</formula>
    </cfRule>
  </conditionalFormatting>
  <conditionalFormatting sqref="X6:X18">
    <cfRule type="cellIs" priority="328" operator="lessThan" dxfId="1">
      <formula>0</formula>
    </cfRule>
    <cfRule type="cellIs" priority="326" operator="lessThan" dxfId="1">
      <formula>0</formula>
    </cfRule>
    <cfRule type="cellIs" priority="319" operator="lessThan" dxfId="1">
      <formula>0</formula>
    </cfRule>
    <cfRule type="cellIs" priority="316" operator="lessThan" dxfId="1">
      <formula>0</formula>
    </cfRule>
    <cfRule type="cellIs" priority="315" operator="lessThan" dxfId="1">
      <formula>0</formula>
    </cfRule>
    <cfRule type="cellIs" priority="314" operator="lessThan" dxfId="1">
      <formula>0</formula>
    </cfRule>
    <cfRule type="cellIs" priority="313" operator="lessThan" dxfId="1">
      <formula>0</formula>
    </cfRule>
    <cfRule type="cellIs" priority="307" operator="lessThan" dxfId="1">
      <formula>0</formula>
    </cfRule>
    <cfRule type="cellIs" priority="304" operator="lessThan" dxfId="1">
      <formula>0</formula>
    </cfRule>
    <cfRule type="cellIs" priority="303" operator="lessThan" dxfId="1">
      <formula>0</formula>
    </cfRule>
    <cfRule type="cellIs" priority="246" operator="lessThan" dxfId="1">
      <formula>0</formula>
    </cfRule>
    <cfRule type="cellIs" priority="245" operator="lessThan" dxfId="1">
      <formula>0</formula>
    </cfRule>
    <cfRule type="cellIs" priority="244" operator="lessThan" dxfId="1">
      <formula>0</formula>
    </cfRule>
    <cfRule type="cellIs" priority="243" operator="lessThan" dxfId="1">
      <formula>0</formula>
    </cfRule>
    <cfRule type="cellIs" priority="242" operator="lessThan" dxfId="1">
      <formula>0</formula>
    </cfRule>
    <cfRule type="cellIs" priority="241" operator="lessThan" dxfId="1">
      <formula>0</formula>
    </cfRule>
    <cfRule type="cellIs" priority="240" operator="lessThan" dxfId="1">
      <formula>0</formula>
    </cfRule>
    <cfRule type="cellIs" priority="239" operator="lessThan" dxfId="1">
      <formula>0</formula>
    </cfRule>
    <cfRule type="cellIs" priority="238" operator="lessThan" dxfId="1">
      <formula>0</formula>
    </cfRule>
    <cfRule type="cellIs" priority="237" operator="lessThan" dxfId="1">
      <formula>0</formula>
    </cfRule>
    <cfRule type="cellIs" priority="236" operator="lessThan" dxfId="1">
      <formula>0</formula>
    </cfRule>
    <cfRule type="cellIs" priority="235" operator="lessThan" dxfId="1">
      <formula>0</formula>
    </cfRule>
    <cfRule type="cellIs" priority="234" operator="lessThan" dxfId="1">
      <formula>0</formula>
    </cfRule>
    <cfRule type="cellIs" priority="233" operator="lessThan" dxfId="1">
      <formula>0</formula>
    </cfRule>
    <cfRule type="cellIs" priority="232" operator="lessThan" dxfId="1">
      <formula>0</formula>
    </cfRule>
    <cfRule type="cellIs" priority="231" operator="lessThan" dxfId="1">
      <formula>0</formula>
    </cfRule>
    <cfRule type="cellIs" priority="230" operator="lessThan" dxfId="1">
      <formula>0</formula>
    </cfRule>
    <cfRule type="cellIs" priority="229" operator="lessThan" dxfId="1">
      <formula>0</formula>
    </cfRule>
  </conditionalFormatting>
  <conditionalFormatting sqref="X39">
    <cfRule type="cellIs" priority="329" operator="lessThan" dxfId="1">
      <formula>0</formula>
    </cfRule>
  </conditionalFormatting>
  <conditionalFormatting sqref="X6:X26 Y24:Y25">
    <cfRule type="cellIs" priority="327" operator="greaterThan" dxfId="0">
      <formula>0</formula>
    </cfRule>
  </conditionalFormatting>
  <conditionalFormatting sqref="J43">
    <cfRule type="cellIs" priority="324" operator="greaterThan" dxfId="0">
      <formula>0</formula>
    </cfRule>
    <cfRule type="cellIs" priority="325" operator="lessThan" dxfId="1">
      <formula>0</formula>
    </cfRule>
  </conditionalFormatting>
  <conditionalFormatting sqref="Y6">
    <cfRule type="cellIs" priority="323" operator="lessThan" dxfId="1">
      <formula>0</formula>
    </cfRule>
    <cfRule type="cellIs" priority="322" operator="greaterThan" dxfId="0">
      <formula>0</formula>
    </cfRule>
  </conditionalFormatting>
  <conditionalFormatting sqref="Z6">
    <cfRule type="cellIs" priority="321" operator="lessThan" dxfId="1">
      <formula>0</formula>
    </cfRule>
    <cfRule type="cellIs" priority="320" operator="greaterThan" dxfId="0">
      <formula>0</formula>
    </cfRule>
  </conditionalFormatting>
  <conditionalFormatting sqref="AB6:AB18">
    <cfRule type="cellIs" priority="317" operator="lessThan" dxfId="1">
      <formula>0</formula>
    </cfRule>
    <cfRule type="cellIs" priority="318" operator="greaterThan" dxfId="0">
      <formula>0</formula>
    </cfRule>
  </conditionalFormatting>
  <conditionalFormatting sqref="W19">
    <cfRule type="cellIs" priority="310" operator="greaterThan" dxfId="0">
      <formula>0.8</formula>
    </cfRule>
    <cfRule type="cellIs" priority="311" operator="between" dxfId="26">
      <formula>0.51</formula>
      <formula>0.8</formula>
    </cfRule>
    <cfRule type="cellIs" priority="312" operator="lessThan" dxfId="1">
      <formula>0.5</formula>
    </cfRule>
  </conditionalFormatting>
  <conditionalFormatting sqref="X129">
    <cfRule type="cellIs" priority="309" operator="lessThan" dxfId="1">
      <formula>0</formula>
    </cfRule>
  </conditionalFormatting>
  <conditionalFormatting sqref="X142:X144">
    <cfRule type="cellIs" priority="308" operator="lessThan" dxfId="1">
      <formula>0</formula>
    </cfRule>
  </conditionalFormatting>
  <conditionalFormatting sqref="Y35">
    <cfRule type="cellIs" priority="306" operator="lessThan" dxfId="1">
      <formula>0</formula>
    </cfRule>
    <cfRule type="cellIs" priority="305" operator="greaterThan" dxfId="0">
      <formula>0</formula>
    </cfRule>
  </conditionalFormatting>
  <conditionalFormatting sqref="X35">
    <cfRule type="cellIs" priority="300" operator="lessThan" dxfId="1">
      <formula>0</formula>
    </cfRule>
    <cfRule type="cellIs" priority="299" operator="lessThan" dxfId="1">
      <formula>0</formula>
    </cfRule>
    <cfRule type="cellIs" priority="298" operator="lessThan" dxfId="1">
      <formula>0</formula>
    </cfRule>
    <cfRule type="cellIs" priority="297" operator="lessThan" dxfId="1">
      <formula>0</formula>
    </cfRule>
    <cfRule type="cellIs" priority="302" operator="lessThan" dxfId="1">
      <formula>0</formula>
    </cfRule>
    <cfRule type="cellIs" priority="301" operator="greaterThan" dxfId="0">
      <formula>0</formula>
    </cfRule>
    <cfRule type="cellIs" priority="296" operator="lessThan" dxfId="1">
      <formula>0</formula>
    </cfRule>
  </conditionalFormatting>
  <conditionalFormatting sqref="Z104:Z105">
    <cfRule type="cellIs" priority="294" operator="lessThan" dxfId="1">
      <formula>0</formula>
    </cfRule>
    <cfRule type="cellIs" priority="295" operator="greaterThan" dxfId="0">
      <formula>0</formula>
    </cfRule>
  </conditionalFormatting>
  <conditionalFormatting sqref="X147:X148">
    <cfRule type="cellIs" priority="293" operator="lessThan" dxfId="1">
      <formula>0</formula>
    </cfRule>
  </conditionalFormatting>
  <conditionalFormatting sqref="X149:X150">
    <cfRule type="cellIs" priority="292" operator="lessThan" dxfId="1">
      <formula>0</formula>
    </cfRule>
  </conditionalFormatting>
  <conditionalFormatting sqref="X152:X153">
    <cfRule type="cellIs" priority="291" operator="lessThan" dxfId="1">
      <formula>0</formula>
    </cfRule>
  </conditionalFormatting>
  <conditionalFormatting sqref="X32:X34">
    <cfRule type="cellIs" priority="288" operator="lessThan" dxfId="1">
      <formula>0</formula>
    </cfRule>
    <cfRule type="cellIs" priority="287" operator="lessThan" dxfId="1">
      <formula>0</formula>
    </cfRule>
    <cfRule type="cellIs" priority="286" operator="lessThan" dxfId="1">
      <formula>0</formula>
    </cfRule>
    <cfRule type="cellIs" priority="285" operator="lessThan" dxfId="1">
      <formula>0</formula>
    </cfRule>
    <cfRule type="cellIs" priority="290" operator="lessThan" dxfId="1">
      <formula>0</formula>
    </cfRule>
    <cfRule type="cellIs" priority="289" operator="greaterThan" dxfId="0">
      <formula>0</formula>
    </cfRule>
    <cfRule type="cellIs" priority="284" operator="lessThan" dxfId="1">
      <formula>0</formula>
    </cfRule>
  </conditionalFormatting>
  <conditionalFormatting sqref="Y32:Y34">
    <cfRule type="cellIs" priority="283" operator="lessThan" dxfId="1">
      <formula>0</formula>
    </cfRule>
    <cfRule type="cellIs" priority="282" operator="greaterThan" dxfId="0">
      <formula>0</formula>
    </cfRule>
  </conditionalFormatting>
  <conditionalFormatting sqref="K47:V58">
    <cfRule type="cellIs" priority="271" operator="lessThan" dxfId="1">
      <formula>0</formula>
    </cfRule>
    <cfRule type="cellIs" priority="272" operator="greaterThan" dxfId="0">
      <formula>0.1</formula>
    </cfRule>
  </conditionalFormatting>
  <conditionalFormatting sqref="K59">
    <cfRule type="cellIs" priority="269" operator="lessThan" dxfId="1">
      <formula>0</formula>
    </cfRule>
    <cfRule type="cellIs" priority="270" operator="greaterThan" dxfId="0">
      <formula>0.1</formula>
    </cfRule>
  </conditionalFormatting>
  <conditionalFormatting sqref="W47">
    <cfRule type="cellIs" priority="267" operator="lessThan" dxfId="1">
      <formula>0</formula>
    </cfRule>
    <cfRule type="cellIs" priority="268" operator="greaterThan" dxfId="0">
      <formula>0.1</formula>
    </cfRule>
  </conditionalFormatting>
  <conditionalFormatting sqref="E567:E585">
    <cfRule type="cellIs" priority="266" operator="lessThan" dxfId="1009">
      <formula>0</formula>
    </cfRule>
  </conditionalFormatting>
  <conditionalFormatting sqref="L47:V50 L52:V54 L56:V58">
    <cfRule type="cellIs" priority="264" operator="lessThan" dxfId="1">
      <formula>0</formula>
    </cfRule>
    <cfRule type="cellIs" priority="265" operator="greaterThan" dxfId="0">
      <formula>0.1</formula>
    </cfRule>
  </conditionalFormatting>
  <conditionalFormatting sqref="K51:V51">
    <cfRule type="cellIs" priority="262" operator="lessThan" dxfId="1">
      <formula>0</formula>
    </cfRule>
    <cfRule type="cellIs" priority="263" operator="greaterThan" dxfId="0">
      <formula>0.1</formula>
    </cfRule>
    <cfRule type="cellIs" priority="260" operator="lessThan" dxfId="1">
      <formula>0</formula>
    </cfRule>
    <cfRule type="cellIs" priority="261" operator="greaterThan" dxfId="0">
      <formula>0.1</formula>
    </cfRule>
  </conditionalFormatting>
  <conditionalFormatting sqref="L51:V51">
    <cfRule type="cellIs" priority="258" operator="lessThan" dxfId="1">
      <formula>0</formula>
    </cfRule>
    <cfRule type="cellIs" priority="259" operator="greaterThan" dxfId="0">
      <formula>0.1</formula>
    </cfRule>
    <cfRule type="cellIs" priority="256" operator="lessThan" dxfId="1">
      <formula>0</formula>
    </cfRule>
    <cfRule type="cellIs" priority="257" operator="greaterThan" dxfId="0">
      <formula>0.1</formula>
    </cfRule>
  </conditionalFormatting>
  <conditionalFormatting sqref="L59:W59">
    <cfRule type="cellIs" priority="254" operator="lessThan" dxfId="1">
      <formula>0</formula>
    </cfRule>
    <cfRule type="cellIs" priority="255" operator="greaterThan" dxfId="0">
      <formula>0.1</formula>
    </cfRule>
  </conditionalFormatting>
  <conditionalFormatting sqref="Z37">
    <cfRule type="cellIs" priority="226" operator="lessThan" dxfId="1">
      <formula>0</formula>
    </cfRule>
    <cfRule type="cellIs" priority="225" operator="greaterThan" dxfId="0">
      <formula>0</formula>
    </cfRule>
  </conditionalFormatting>
  <conditionalFormatting sqref="X31">
    <cfRule type="cellIs" priority="211" operator="lessThan" dxfId="1">
      <formula>0</formula>
    </cfRule>
    <cfRule type="cellIs" priority="210" operator="lessThan" dxfId="1">
      <formula>0</formula>
    </cfRule>
    <cfRule type="cellIs" priority="209" operator="lessThan" dxfId="1">
      <formula>0</formula>
    </cfRule>
    <cfRule type="cellIs" priority="208" operator="lessThan" dxfId="1">
      <formula>0</formula>
    </cfRule>
    <cfRule type="cellIs" priority="213" operator="lessThan" dxfId="1">
      <formula>0</formula>
    </cfRule>
    <cfRule type="cellIs" priority="212" operator="greaterThan" dxfId="0">
      <formula>0</formula>
    </cfRule>
    <cfRule type="cellIs" priority="207" operator="lessThan" dxfId="1">
      <formula>0</formula>
    </cfRule>
  </conditionalFormatting>
  <conditionalFormatting sqref="Z7:Z18">
    <cfRule type="cellIs" priority="202" operator="lessThan" dxfId="1">
      <formula>0</formula>
    </cfRule>
    <cfRule type="cellIs" priority="201" operator="greaterThan" dxfId="0">
      <formula>0</formula>
    </cfRule>
  </conditionalFormatting>
  <conditionalFormatting sqref="K19:V19 K20:W20">
    <cfRule type="cellIs" priority="222" operator="greaterThan" dxfId="0">
      <formula>0.81</formula>
    </cfRule>
    <cfRule type="cellIs" priority="223" operator="between" dxfId="1036">
      <formula>0.301</formula>
      <formula>0.8</formula>
    </cfRule>
    <cfRule type="cellIs" priority="224" operator="lessThan" dxfId="1">
      <formula>0.3</formula>
    </cfRule>
  </conditionalFormatting>
  <conditionalFormatting sqref="K24:W24">
    <cfRule type="cellIs" priority="220" operator="lessThan" dxfId="1">
      <formula>0</formula>
    </cfRule>
    <cfRule type="cellIs" priority="221" operator="greaterThan" dxfId="0">
      <formula>0.0001</formula>
    </cfRule>
  </conditionalFormatting>
  <conditionalFormatting sqref="Q19">
    <cfRule type="cellIs" priority="217" operator="greaterThan" dxfId="0">
      <formula>0.75</formula>
    </cfRule>
    <cfRule type="cellIs" priority="218" operator="between" dxfId="1036">
      <formula>0.301</formula>
      <formula>0.7499</formula>
    </cfRule>
    <cfRule type="cellIs" priority="219" operator="lessThan" dxfId="1">
      <formula>0.3</formula>
    </cfRule>
  </conditionalFormatting>
  <conditionalFormatting sqref="Y37">
    <cfRule type="cellIs" priority="215" operator="lessThan" dxfId="1">
      <formula>0</formula>
    </cfRule>
    <cfRule type="cellIs" priority="216" operator="greaterThan" dxfId="0">
      <formula>0</formula>
    </cfRule>
  </conditionalFormatting>
  <conditionalFormatting sqref="X30">
    <cfRule type="cellIs" priority="193" operator="lessThan" dxfId="1">
      <formula>0</formula>
    </cfRule>
    <cfRule type="cellIs" priority="190" operator="lessThan" dxfId="1">
      <formula>0</formula>
    </cfRule>
    <cfRule type="cellIs" priority="189" operator="lessThan" dxfId="1">
      <formula>0</formula>
    </cfRule>
    <cfRule type="cellIs" priority="191" operator="lessThan" dxfId="1">
      <formula>0</formula>
    </cfRule>
    <cfRule type="cellIs" priority="188" operator="lessThan" dxfId="1">
      <formula>0</formula>
    </cfRule>
    <cfRule type="cellIs" priority="192" operator="greaterThan" dxfId="0">
      <formula>0</formula>
    </cfRule>
    <cfRule type="cellIs" priority="187" operator="lessThan" dxfId="1">
      <formula>0</formula>
    </cfRule>
  </conditionalFormatting>
  <conditionalFormatting sqref="X130:X139">
    <cfRule type="cellIs" priority="214" operator="lessThan" dxfId="1">
      <formula>0</formula>
    </cfRule>
  </conditionalFormatting>
  <conditionalFormatting sqref="Y31">
    <cfRule type="cellIs" priority="206" operator="lessThan" dxfId="1">
      <formula>0</formula>
    </cfRule>
    <cfRule type="cellIs" priority="205" operator="greaterThan" dxfId="0">
      <formula>0</formula>
    </cfRule>
  </conditionalFormatting>
  <conditionalFormatting sqref="X109:X116">
    <cfRule type="cellIs" priority="204" operator="lessThan" dxfId="1">
      <formula>0</formula>
    </cfRule>
  </conditionalFormatting>
  <conditionalFormatting sqref="K6:V18">
    <cfRule type="cellIs" priority="203" operator="lessThan" dxfId="1">
      <formula>0</formula>
    </cfRule>
  </conditionalFormatting>
  <conditionalFormatting sqref="K27:V36">
    <cfRule type="aboveAverage" priority="200" dxfId="1865"/>
    <cfRule type="aboveAverage" priority="194" dxfId="1865"/>
    <cfRule type="aboveAverage" priority="138" dxfId="1865"/>
    <cfRule type="aboveAverage" priority="137" dxfId="1865"/>
  </conditionalFormatting>
  <conditionalFormatting sqref="E80">
    <cfRule type="cellIs" priority="198" operator="lessThan" dxfId="1">
      <formula>0</formula>
    </cfRule>
  </conditionalFormatting>
  <conditionalFormatting sqref="X47:X59">
    <cfRule type="cellIs" priority="195" operator="greaterThan" dxfId="1255">
      <formula>0</formula>
    </cfRule>
    <cfRule type="cellIs" priority="197" operator="lessThan" dxfId="1">
      <formula>0</formula>
    </cfRule>
    <cfRule type="cellIs" priority="196" operator="greaterThan" dxfId="0">
      <formula>0</formula>
    </cfRule>
  </conditionalFormatting>
  <conditionalFormatting sqref="Y30">
    <cfRule type="cellIs" priority="186" operator="lessThan" dxfId="1">
      <formula>0</formula>
    </cfRule>
    <cfRule type="cellIs" priority="185" operator="greaterThan" dxfId="0">
      <formula>0</formula>
    </cfRule>
  </conditionalFormatting>
  <conditionalFormatting sqref="L148:V148">
    <cfRule type="cellIs" priority="180" operator="lessThan" dxfId="1">
      <formula>0</formula>
    </cfRule>
  </conditionalFormatting>
  <conditionalFormatting sqref="K55:V55">
    <cfRule type="cellIs" priority="183" operator="lessThan" dxfId="1">
      <formula>0</formula>
    </cfRule>
    <cfRule type="cellIs" priority="184" operator="greaterThan" dxfId="0">
      <formula>0.1</formula>
    </cfRule>
  </conditionalFormatting>
  <conditionalFormatting sqref="K62:K73">
    <cfRule type="cellIs" priority="182" operator="lessThan" dxfId="1">
      <formula>0</formula>
    </cfRule>
  </conditionalFormatting>
  <conditionalFormatting sqref="L62:V62">
    <cfRule type="cellIs" priority="181" operator="lessThan" dxfId="1">
      <formula>0</formula>
    </cfRule>
  </conditionalFormatting>
  <conditionalFormatting sqref="Y19:Y23">
    <cfRule type="cellIs" priority="178" operator="lessThan" dxfId="1">
      <formula>0</formula>
    </cfRule>
    <cfRule type="cellIs" priority="177" operator="greaterThan" dxfId="0">
      <formula>0</formula>
    </cfRule>
  </conditionalFormatting>
  <conditionalFormatting sqref="X29">
    <cfRule type="cellIs" priority="165" operator="lessThan" dxfId="1">
      <formula>0</formula>
    </cfRule>
    <cfRule type="cellIs" priority="169" operator="lessThan" dxfId="1">
      <formula>0</formula>
    </cfRule>
    <cfRule type="cellIs" priority="168" operator="lessThan" dxfId="1">
      <formula>0</formula>
    </cfRule>
    <cfRule type="cellIs" priority="167" operator="lessThan" dxfId="1">
      <formula>0</formula>
    </cfRule>
    <cfRule type="cellIs" priority="166" operator="lessThan" dxfId="1">
      <formula>0</formula>
    </cfRule>
    <cfRule type="cellIs" priority="171" operator="lessThan" dxfId="1">
      <formula>0</formula>
    </cfRule>
    <cfRule type="cellIs" priority="170" operator="greaterThan" dxfId="0">
      <formula>0</formula>
    </cfRule>
  </conditionalFormatting>
  <conditionalFormatting sqref="Y7:Y18">
    <cfRule type="cellIs" priority="175" operator="lessThan" dxfId="1">
      <formula>0</formula>
    </cfRule>
    <cfRule type="cellIs" priority="174" operator="greaterThan" dxfId="0">
      <formula>0</formula>
    </cfRule>
  </conditionalFormatting>
  <conditionalFormatting sqref="W48:W58">
    <cfRule type="cellIs" priority="172" operator="lessThan" dxfId="1">
      <formula>0</formula>
    </cfRule>
    <cfRule type="cellIs" priority="173" operator="greaterThan" dxfId="0">
      <formula>0.1</formula>
    </cfRule>
  </conditionalFormatting>
  <conditionalFormatting sqref="Y29">
    <cfRule type="cellIs" priority="164" operator="lessThan" dxfId="1">
      <formula>0</formula>
    </cfRule>
    <cfRule type="cellIs" priority="163" operator="greaterThan" dxfId="0">
      <formula>0</formula>
    </cfRule>
  </conditionalFormatting>
  <conditionalFormatting sqref="K108:K116">
    <cfRule type="cellIs" priority="162" operator="lessThan" dxfId="1">
      <formula>0</formula>
    </cfRule>
  </conditionalFormatting>
  <conditionalFormatting sqref="L108:V108">
    <cfRule type="cellIs" priority="161" operator="lessThan" dxfId="1">
      <formula>0</formula>
    </cfRule>
  </conditionalFormatting>
  <conditionalFormatting sqref="K129:K138">
    <cfRule type="cellIs" priority="160" operator="lessThan" dxfId="1">
      <formula>0</formula>
    </cfRule>
  </conditionalFormatting>
  <conditionalFormatting sqref="L129:V129">
    <cfRule type="cellIs" priority="159" operator="lessThan" dxfId="1">
      <formula>0</formula>
    </cfRule>
  </conditionalFormatting>
  <conditionalFormatting sqref="E53">
    <cfRule type="cellIs" priority="158" operator="lessThan" dxfId="1">
      <formula>0</formula>
    </cfRule>
  </conditionalFormatting>
  <conditionalFormatting sqref="E32">
    <cfRule type="cellIs" priority="157" operator="lessThan" dxfId="1">
      <formula>0</formula>
    </cfRule>
  </conditionalFormatting>
  <conditionalFormatting sqref="E52">
    <cfRule type="cellIs" priority="156" operator="lessThan" dxfId="1">
      <formula>0</formula>
    </cfRule>
  </conditionalFormatting>
  <conditionalFormatting sqref="E51">
    <cfRule type="cellIs" priority="155" operator="lessThan" dxfId="1">
      <formula>0</formula>
    </cfRule>
  </conditionalFormatting>
  <conditionalFormatting sqref="S28">
    <cfRule type="aboveAverage" priority="149" dxfId="1865"/>
    <cfRule type="aboveAverage" priority="148" dxfId="1865"/>
  </conditionalFormatting>
  <conditionalFormatting sqref="T28">
    <cfRule type="aboveAverage" priority="147" dxfId="1865"/>
    <cfRule type="aboveAverage" priority="146" dxfId="1865"/>
  </conditionalFormatting>
  <conditionalFormatting sqref="U28">
    <cfRule type="aboveAverage" priority="145" dxfId="1865"/>
    <cfRule type="aboveAverage" priority="144" dxfId="1865"/>
    <cfRule type="aboveAverage" priority="143" dxfId="1865"/>
    <cfRule type="aboveAverage" priority="142" dxfId="1865"/>
  </conditionalFormatting>
  <conditionalFormatting sqref="W26">
    <cfRule type="cellIs" priority="141" operator="lessThan" dxfId="1">
      <formula>0</formula>
    </cfRule>
  </conditionalFormatting>
  <conditionalFormatting sqref="V26:V28">
    <cfRule type="cellIs" priority="140" operator="lessThan" dxfId="1">
      <formula>0</formula>
    </cfRule>
  </conditionalFormatting>
  <conditionalFormatting sqref="E55">
    <cfRule type="cellIs" priority="139" operator="lessThan" dxfId="1">
      <formula>0</formula>
    </cfRule>
  </conditionalFormatting>
  <conditionalFormatting sqref="X27:X28">
    <cfRule type="cellIs" priority="130" operator="lessThan" dxfId="1">
      <formula>0</formula>
    </cfRule>
    <cfRule type="cellIs" priority="134" operator="lessThan" dxfId="1">
      <formula>0</formula>
    </cfRule>
    <cfRule type="cellIs" priority="133" operator="lessThan" dxfId="1">
      <formula>0</formula>
    </cfRule>
    <cfRule type="cellIs" priority="132" operator="lessThan" dxfId="1">
      <formula>0</formula>
    </cfRule>
    <cfRule type="cellIs" priority="131" operator="lessThan" dxfId="1">
      <formula>0</formula>
    </cfRule>
    <cfRule type="cellIs" priority="136" operator="lessThan" dxfId="1">
      <formula>0</formula>
    </cfRule>
    <cfRule type="cellIs" priority="135" operator="greaterThan" dxfId="0">
      <formula>0</formula>
    </cfRule>
  </conditionalFormatting>
  <conditionalFormatting sqref="Y26:Y28">
    <cfRule type="cellIs" priority="129" operator="lessThan" dxfId="1">
      <formula>0</formula>
    </cfRule>
    <cfRule type="cellIs" priority="128" operator="greaterThan" dxfId="0">
      <formula>0</formula>
    </cfRule>
  </conditionalFormatting>
  <conditionalFormatting sqref="K130:K138">
    <cfRule type="cellIs" priority="103" operator="lessThan" dxfId="1">
      <formula>0</formula>
    </cfRule>
  </conditionalFormatting>
  <conditionalFormatting sqref="E555:E566">
    <cfRule type="cellIs" priority="70" operator="lessThan" dxfId="1">
      <formula>0</formula>
    </cfRule>
  </conditionalFormatting>
  <conditionalFormatting sqref="V25:W25">
    <cfRule type="cellIs" priority="69" operator="lessThan" dxfId="1">
      <formula>0</formula>
    </cfRule>
  </conditionalFormatting>
  <conditionalFormatting sqref="W25">
    <cfRule type="cellIs" priority="17" operator="greaterThan" dxfId="0">
      <formula>935</formula>
    </cfRule>
    <cfRule type="cellIs" priority="18" operator="lessThan" dxfId="1">
      <formula>935</formula>
    </cfRule>
    <cfRule type="cellIs" priority="68" operator="lessThan" dxfId="1">
      <formula>0</formula>
    </cfRule>
  </conditionalFormatting>
  <conditionalFormatting sqref="L63:L73">
    <cfRule type="cellIs" priority="67" operator="lessThan" dxfId="1">
      <formula>0</formula>
    </cfRule>
  </conditionalFormatting>
  <conditionalFormatting sqref="M63:M73">
    <cfRule type="cellIs" priority="66" operator="lessThan" dxfId="1">
      <formula>0</formula>
    </cfRule>
  </conditionalFormatting>
  <conditionalFormatting sqref="N63:N73">
    <cfRule type="cellIs" priority="65" operator="lessThan" dxfId="1">
      <formula>0</formula>
    </cfRule>
  </conditionalFormatting>
  <conditionalFormatting sqref="O63:O73">
    <cfRule type="cellIs" priority="64" operator="lessThan" dxfId="1">
      <formula>0</formula>
    </cfRule>
  </conditionalFormatting>
  <conditionalFormatting sqref="P63:P73">
    <cfRule type="cellIs" priority="63" operator="lessThan" dxfId="1">
      <formula>0</formula>
    </cfRule>
  </conditionalFormatting>
  <conditionalFormatting sqref="Q63:Q73">
    <cfRule type="cellIs" priority="62" operator="lessThan" dxfId="1">
      <formula>0</formula>
    </cfRule>
  </conditionalFormatting>
  <conditionalFormatting sqref="R63:R73">
    <cfRule type="cellIs" priority="61" operator="lessThan" dxfId="1">
      <formula>0</formula>
    </cfRule>
  </conditionalFormatting>
  <conditionalFormatting sqref="S63:S73">
    <cfRule type="cellIs" priority="60" operator="lessThan" dxfId="1">
      <formula>0</formula>
    </cfRule>
  </conditionalFormatting>
  <conditionalFormatting sqref="T63:T73">
    <cfRule type="cellIs" priority="59" operator="lessThan" dxfId="1">
      <formula>0</formula>
    </cfRule>
  </conditionalFormatting>
  <conditionalFormatting sqref="U63:U73">
    <cfRule type="cellIs" priority="58" operator="lessThan" dxfId="1">
      <formula>0</formula>
    </cfRule>
  </conditionalFormatting>
  <conditionalFormatting sqref="V63:V73">
    <cfRule type="cellIs" priority="57" operator="lessThan" dxfId="1">
      <formula>0</formula>
    </cfRule>
  </conditionalFormatting>
  <conditionalFormatting sqref="L109:L116">
    <cfRule type="cellIs" priority="56" operator="lessThan" dxfId="1">
      <formula>0</formula>
    </cfRule>
  </conditionalFormatting>
  <conditionalFormatting sqref="M109:M116">
    <cfRule type="cellIs" priority="55" operator="lessThan" dxfId="1">
      <formula>0</formula>
    </cfRule>
  </conditionalFormatting>
  <conditionalFormatting sqref="N109:N116">
    <cfRule type="cellIs" priority="54" operator="lessThan" dxfId="1">
      <formula>0</formula>
    </cfRule>
  </conditionalFormatting>
  <conditionalFormatting sqref="O109:O116">
    <cfRule type="cellIs" priority="53" operator="lessThan" dxfId="1">
      <formula>0</formula>
    </cfRule>
  </conditionalFormatting>
  <conditionalFormatting sqref="P109:P116">
    <cfRule type="cellIs" priority="52" operator="lessThan" dxfId="1">
      <formula>0</formula>
    </cfRule>
  </conditionalFormatting>
  <conditionalFormatting sqref="Q109:Q116">
    <cfRule type="cellIs" priority="51" operator="lessThan" dxfId="1">
      <formula>0</formula>
    </cfRule>
  </conditionalFormatting>
  <conditionalFormatting sqref="R109:R116">
    <cfRule type="cellIs" priority="50" operator="lessThan" dxfId="1">
      <formula>0</formula>
    </cfRule>
  </conditionalFormatting>
  <conditionalFormatting sqref="S109:S116">
    <cfRule type="cellIs" priority="49" operator="lessThan" dxfId="1">
      <formula>0</formula>
    </cfRule>
  </conditionalFormatting>
  <conditionalFormatting sqref="T109:T116">
    <cfRule type="cellIs" priority="48" operator="lessThan" dxfId="1">
      <formula>0</formula>
    </cfRule>
  </conditionalFormatting>
  <conditionalFormatting sqref="U109:U116">
    <cfRule type="cellIs" priority="47" operator="lessThan" dxfId="1">
      <formula>0</formula>
    </cfRule>
  </conditionalFormatting>
  <conditionalFormatting sqref="V109:V116">
    <cfRule type="cellIs" priority="46" operator="lessThan" dxfId="1">
      <formula>0</formula>
    </cfRule>
  </conditionalFormatting>
  <conditionalFormatting sqref="L130:L138">
    <cfRule type="cellIs" priority="45" operator="lessThan" dxfId="1">
      <formula>0</formula>
    </cfRule>
  </conditionalFormatting>
  <conditionalFormatting sqref="M130:M138">
    <cfRule type="cellIs" priority="44" operator="lessThan" dxfId="1">
      <formula>0</formula>
    </cfRule>
  </conditionalFormatting>
  <conditionalFormatting sqref="N130:N138">
    <cfRule type="cellIs" priority="43" operator="lessThan" dxfId="1">
      <formula>0</formula>
    </cfRule>
  </conditionalFormatting>
  <conditionalFormatting sqref="O130:O138">
    <cfRule type="cellIs" priority="42" operator="lessThan" dxfId="1">
      <formula>0</formula>
    </cfRule>
  </conditionalFormatting>
  <conditionalFormatting sqref="P130:P138">
    <cfRule type="cellIs" priority="41" operator="lessThan" dxfId="1">
      <formula>0</formula>
    </cfRule>
  </conditionalFormatting>
  <conditionalFormatting sqref="Q130:Q138">
    <cfRule type="cellIs" priority="40" operator="lessThan" dxfId="1">
      <formula>0</formula>
    </cfRule>
  </conditionalFormatting>
  <conditionalFormatting sqref="R130:R138">
    <cfRule type="cellIs" priority="39" operator="lessThan" dxfId="1">
      <formula>0</formula>
    </cfRule>
  </conditionalFormatting>
  <conditionalFormatting sqref="S130:S138">
    <cfRule type="cellIs" priority="38" operator="lessThan" dxfId="1">
      <formula>0</formula>
    </cfRule>
  </conditionalFormatting>
  <conditionalFormatting sqref="T130:T138">
    <cfRule type="cellIs" priority="37" operator="lessThan" dxfId="1">
      <formula>0</formula>
    </cfRule>
  </conditionalFormatting>
  <conditionalFormatting sqref="U130:U138">
    <cfRule type="cellIs" priority="36" operator="lessThan" dxfId="1">
      <formula>0</formula>
    </cfRule>
  </conditionalFormatting>
  <conditionalFormatting sqref="V130:V138">
    <cfRule type="cellIs" priority="35" operator="lessThan" dxfId="1">
      <formula>0</formula>
    </cfRule>
  </conditionalFormatting>
  <conditionalFormatting sqref="E553">
    <cfRule type="cellIs" priority="34" operator="lessThan" dxfId="1">
      <formula>0</formula>
    </cfRule>
  </conditionalFormatting>
  <conditionalFormatting sqref="E534">
    <cfRule type="cellIs" priority="33" operator="lessThan" dxfId="1">
      <formula>0</formula>
    </cfRule>
  </conditionalFormatting>
  <conditionalFormatting sqref="E510">
    <cfRule type="cellIs" priority="32" operator="lessThan" dxfId="1">
      <formula>0</formula>
    </cfRule>
  </conditionalFormatting>
  <conditionalFormatting sqref="E490:E491">
    <cfRule type="cellIs" priority="31" operator="lessThan" dxfId="1">
      <formula>0</formula>
    </cfRule>
  </conditionalFormatting>
  <conditionalFormatting sqref="E452:E453">
    <cfRule type="cellIs" priority="30" operator="lessThan" dxfId="1">
      <formula>0</formula>
    </cfRule>
  </conditionalFormatting>
  <conditionalFormatting sqref="K22:W22 W23">
    <cfRule type="aboveAverage" priority="28" dxfId="1865"/>
    <cfRule type="cellIs" priority="25" operator="between" dxfId="2881">
      <formula>2001</formula>
      <formula>2692</formula>
    </cfRule>
  </conditionalFormatting>
  <conditionalFormatting sqref="W23">
    <cfRule type="aboveAverage" priority="27" dxfId="1865"/>
    <cfRule type="aboveAverage" priority="26" dxfId="1865"/>
  </conditionalFormatting>
  <conditionalFormatting sqref="K22:V22 W23">
    <cfRule type="cellIs" priority="23" operator="lessThan" dxfId="1">
      <formula>2000</formula>
    </cfRule>
    <cfRule type="cellIs" priority="24" operator="greaterThan" dxfId="0">
      <formula>2693</formula>
    </cfRule>
  </conditionalFormatting>
  <conditionalFormatting sqref="E428:E430">
    <cfRule type="cellIs" priority="16" operator="lessThan" dxfId="1">
      <formula>0</formula>
    </cfRule>
  </conditionalFormatting>
  <conditionalFormatting sqref="E389:E391">
    <cfRule type="cellIs" priority="13" operator="lessThan" dxfId="1">
      <formula>0</formula>
    </cfRule>
  </conditionalFormatting>
  <conditionalFormatting sqref="E354:E355">
    <cfRule type="cellIs" priority="12" operator="lessThan" dxfId="1">
      <formula>0</formula>
    </cfRule>
  </conditionalFormatting>
  <conditionalFormatting sqref="E322:E323">
    <cfRule type="cellIs" priority="11" operator="lessThan" dxfId="1">
      <formula>0</formula>
    </cfRule>
  </conditionalFormatting>
  <conditionalFormatting sqref="E287:E288">
    <cfRule type="cellIs" priority="10" operator="lessThan" dxfId="1">
      <formula>0</formula>
    </cfRule>
  </conditionalFormatting>
  <conditionalFormatting sqref="E264:E266">
    <cfRule type="cellIs" priority="9" operator="lessThan" dxfId="1">
      <formula>0</formula>
    </cfRule>
  </conditionalFormatting>
  <conditionalFormatting sqref="G6:G17">
    <cfRule type="cellIs" priority="6" operator="lessThan" dxfId="1">
      <formula>0.04</formula>
    </cfRule>
    <cfRule type="cellIs" priority="7" operator="between" dxfId="26">
      <formula>0.04</formula>
      <formula>0.09</formula>
    </cfRule>
    <cfRule type="cellIs" priority="8" operator="greaterThan" dxfId="0">
      <formula>10%</formula>
    </cfRule>
  </conditionalFormatting>
  <conditionalFormatting sqref="E230:E231">
    <cfRule type="cellIs" priority="5" operator="lessThan" dxfId="1">
      <formula>0</formula>
    </cfRule>
  </conditionalFormatting>
  <conditionalFormatting sqref="H6:H17">
    <cfRule type="cellIs" priority="2" operator="lessThan" dxfId="1">
      <formula>0.04</formula>
    </cfRule>
    <cfRule type="cellIs" priority="3" operator="between" dxfId="26">
      <formula>0.04</formula>
      <formula>0.09</formula>
    </cfRule>
    <cfRule type="cellIs" priority="4" operator="greaterThan" dxfId="0">
      <formula>10%</formula>
    </cfRule>
  </conditionalFormatting>
  <conditionalFormatting sqref="E204:E206">
    <cfRule type="cellIs" priority="1" operator="lessThan" dxfId="1">
      <formula>0</formula>
    </cfRule>
  </conditionalFormatting>
  <dataValidations count="6">
    <dataValidation sqref="C30 C32:C39 C41 C43:C44 C46 C48:C49 C51:C53 C55 C57:C58 C60:C66 C70:C71 C74:C76 C78:C79" showDropDown="0" showInputMessage="1" showErrorMessage="1" allowBlank="1" type="list">
      <formula1>$I$4:$I$36</formula1>
    </dataValidation>
    <dataValidation sqref="C3:C26 C31 C47 C54 C80:C87 C567:C576 C578:C636 C639 C641:C696 C703:C734 C737:C762 C764:C772 C774:C801 C803:C806 C809:C813 C815 C817:C818 C820:C842 C844:C878 C881:C892 C894:C923 C925:C977 C980:C1014" showDropDown="0" showInputMessage="1" showErrorMessage="1" allowBlank="1" type="list">
      <formula1>$I$5:$I$39</formula1>
    </dataValidation>
    <dataValidation sqref="C167 C177 C210 C227 C237:C238 C262 C267:C286 C289:C321 C324:C329 C332:C340 C343:C348 C351 C356 C360 C365 C370:C388 C392:C395 C399:C414 C427 C434:C437 C442:C449 C454:C489 C493:C494 C499:C509 C511:C523 C525:C533 C535:C552 C554" showDropDown="0" showInputMessage="1" showErrorMessage="1" allowBlank="1" type="list">
      <formula1>$I$5:$I$38</formula1>
    </dataValidation>
    <dataValidation sqref="C266 C287:C288 C322:C323 C330:C331 C341:C342 C349:C350 C352:C355 C357:C359 C361:C364 C366:C369 C389:C391 C396:C398 C415:C426 C428:C433 C438:C441 C450:C453 C490:C492 C495:C498 C510 C524 C534 C553 C555:C566" showDropDown="0" showInputMessage="1" showErrorMessage="1" allowBlank="1" type="list">
      <formula1>$I$5:$I$36</formula1>
    </dataValidation>
    <dataValidation sqref="C241" showDropDown="0" showInputMessage="1" showErrorMessage="1" allowBlank="1" type="list">
      <formula1>$I$5:$I$17</formula1>
    </dataValidation>
    <dataValidation sqref="C164:C166 C168:C176 C178:C209 C211:C226 C228:C236 C239:C240 C242:C261 C263:C265" showDropDown="0" showInputMessage="1" showErrorMessage="1" allowBlank="1" type="list">
      <formula1>$I$5:$I$18</formula1>
    </dataValidation>
  </dataValidations>
  <pageMargins left="0.25" right="0.25" top="0.75" bottom="0.75" header="0.3" footer="0.3"/>
  <pageSetup orientation="landscape" paperSize="9" scale="10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>
    <outlinePr summaryBelow="1" summaryRight="1"/>
    <pageSetUpPr fitToPage="1"/>
  </sheetPr>
  <dimension ref="A1:AI480"/>
  <sheetViews>
    <sheetView showZeros="0" topLeftCell="A166" zoomScaleNormal="100" workbookViewId="0">
      <selection activeCell="B188" sqref="B188"/>
    </sheetView>
  </sheetViews>
  <sheetFormatPr baseColWidth="8" defaultColWidth="9.1328125" defaultRowHeight="12.75"/>
  <cols>
    <col width="11" bestFit="1" customWidth="1" style="1255" min="1" max="1"/>
    <col width="19.46484375" customWidth="1" style="1255" min="2" max="2"/>
    <col width="22.46484375" customWidth="1" style="1255" min="3" max="3"/>
    <col width="17.53125" customWidth="1" style="1255" min="4" max="4"/>
    <col width="11" bestFit="1" customWidth="1" style="1256" min="5" max="5"/>
    <col width="22.1328125" bestFit="1" customWidth="1" style="1255" min="6" max="6"/>
    <col width="15.796875" customWidth="1" style="1255" min="7" max="7"/>
    <col width="12.6640625" customWidth="1" style="1255" min="8" max="8"/>
    <col width="24.1328125" bestFit="1" customWidth="1" style="1255" min="9" max="9"/>
    <col width="17.53125" bestFit="1" customWidth="1" style="1255" min="10" max="10"/>
    <col width="8.86328125" customWidth="1" style="1255" min="11" max="11"/>
    <col width="7.796875" customWidth="1" style="1255" min="12" max="13"/>
    <col width="7.46484375" customWidth="1" style="1255" min="14" max="14"/>
    <col width="7.796875" customWidth="1" style="1255" min="15" max="22"/>
    <col width="8.53125" customWidth="1" style="1255" min="23" max="23"/>
    <col width="12.1328125" bestFit="1" customWidth="1" style="1255" min="24" max="24"/>
    <col width="10.19921875" customWidth="1" style="1255" min="25" max="25"/>
    <col width="7.86328125" bestFit="1" customWidth="1" style="1255" min="26" max="26"/>
    <col width="11" customWidth="1" style="1255" min="27" max="27"/>
    <col width="10.46484375" customWidth="1" style="1255" min="28" max="28"/>
    <col width="3.1328125" customWidth="1" style="1255" min="29" max="29"/>
    <col width="13.33203125" customWidth="1" style="1255" min="30" max="30"/>
    <col width="12" bestFit="1" customWidth="1" style="1255" min="31" max="31"/>
    <col width="11.53125" bestFit="1" customWidth="1" style="1255" min="32" max="32"/>
    <col width="12" bestFit="1" customWidth="1" style="1255" min="33" max="33"/>
    <col width="9" bestFit="1" customWidth="1" style="1255" min="34" max="34"/>
    <col width="9.1328125" customWidth="1" style="1255" min="35" max="16384"/>
  </cols>
  <sheetData>
    <row r="1">
      <c r="J1" s="1260" t="inlineStr">
        <is>
          <t>Covid Factor</t>
        </is>
      </c>
      <c r="K1" s="1261" t="n"/>
      <c r="L1" s="1261" t="n">
        <v>-0.02</v>
      </c>
      <c r="M1" s="1261" t="n">
        <v>-0.03</v>
      </c>
      <c r="N1" s="1261" t="n">
        <v>0.02</v>
      </c>
      <c r="O1" s="1261" t="n">
        <v>0.02</v>
      </c>
      <c r="P1" s="1261" t="n"/>
      <c r="Q1" s="1261" t="n"/>
      <c r="R1" s="1261" t="n"/>
      <c r="S1" s="1261" t="n"/>
      <c r="T1" s="1261" t="n"/>
      <c r="U1" s="1261" t="n"/>
      <c r="V1" s="1261" t="n">
        <v>0.01</v>
      </c>
      <c r="W1" s="1262">
        <f>SUM(K1:V1)</f>
        <v/>
      </c>
    </row>
    <row r="2" ht="13.15" customHeight="1" s="1232">
      <c r="A2" s="1265" t="inlineStr">
        <is>
          <t>Date</t>
        </is>
      </c>
      <c r="B2" s="1265" t="inlineStr">
        <is>
          <t>Name</t>
        </is>
      </c>
      <c r="C2" s="1265" t="inlineStr">
        <is>
          <t>Category</t>
        </is>
      </c>
      <c r="D2" s="1265" t="inlineStr">
        <is>
          <t>Source</t>
        </is>
      </c>
      <c r="E2" s="1264" t="inlineStr">
        <is>
          <t>Value</t>
        </is>
      </c>
      <c r="F2" s="1265" t="inlineStr">
        <is>
          <t xml:space="preserve">Fulfilled </t>
        </is>
      </c>
      <c r="J2" s="1260" t="inlineStr">
        <is>
          <t>Weighting</t>
        </is>
      </c>
      <c r="K2" s="1266">
        <f>SUM(K31/$W31)</f>
        <v/>
      </c>
      <c r="L2" s="1266">
        <f>SUM(L31/$W31)</f>
        <v/>
      </c>
      <c r="M2" s="1266">
        <f>SUM(M31/$W31)</f>
        <v/>
      </c>
      <c r="N2" s="1266">
        <f>SUM(N31/$W31)</f>
        <v/>
      </c>
      <c r="O2" s="1266">
        <f>SUM(O31/$W31)</f>
        <v/>
      </c>
      <c r="P2" s="1266">
        <f>SUM(P31/$W31)</f>
        <v/>
      </c>
      <c r="Q2" s="1266">
        <f>SUM(Q31/$W31)</f>
        <v/>
      </c>
      <c r="R2" s="1266">
        <f>SUM(R31/$W31)</f>
        <v/>
      </c>
      <c r="S2" s="1266">
        <f>SUM(S31/$W31)</f>
        <v/>
      </c>
      <c r="T2" s="1266">
        <f>SUM(T31/$W31)</f>
        <v/>
      </c>
      <c r="U2" s="1266">
        <f>SUM(U31/$W31)</f>
        <v/>
      </c>
      <c r="V2" s="1266">
        <f>SUM(V31/$W31)</f>
        <v/>
      </c>
      <c r="W2" s="1267">
        <f>SUM(K2:V2)</f>
        <v/>
      </c>
      <c r="AD2" s="1268" t="inlineStr">
        <is>
          <t>FY</t>
        </is>
      </c>
      <c r="AE2" s="1260" t="inlineStr">
        <is>
          <t>Total</t>
        </is>
      </c>
      <c r="AF2" s="1260" t="inlineStr">
        <is>
          <t>Apr to Dec</t>
        </is>
      </c>
      <c r="AG2" s="1260" t="inlineStr">
        <is>
          <t>Jan to Mar</t>
        </is>
      </c>
      <c r="AH2" s="1260" t="inlineStr">
        <is>
          <t>% Inc</t>
        </is>
      </c>
    </row>
    <row r="3" ht="13.9" customHeight="1" s="1232">
      <c r="A3" s="1271" t="n"/>
      <c r="B3" s="1357" t="n"/>
      <c r="C3" s="1271" t="n"/>
      <c r="D3" s="1271" t="n"/>
      <c r="E3" s="1270" t="n"/>
      <c r="F3" s="1271" t="n"/>
      <c r="I3" s="1250" t="n"/>
      <c r="J3" s="1251" t="inlineStr">
        <is>
          <t>Monthly Target</t>
        </is>
      </c>
      <c r="K3" s="737">
        <f>SUM(K2+K1)*$J18</f>
        <v/>
      </c>
      <c r="L3" s="737">
        <f>SUM(L2+L1)*$J18</f>
        <v/>
      </c>
      <c r="M3" s="737">
        <f>SUM(M2+M1)*$J18</f>
        <v/>
      </c>
      <c r="N3" s="737">
        <f>SUM(N2+N1)*$J18</f>
        <v/>
      </c>
      <c r="O3" s="737">
        <f>SUM(O2+O1)*$J18</f>
        <v/>
      </c>
      <c r="P3" s="737">
        <f>SUM(P2+P1)*$J18</f>
        <v/>
      </c>
      <c r="Q3" s="737">
        <f>SUM(Q2+Q1)*$J18</f>
        <v/>
      </c>
      <c r="R3" s="737">
        <f>SUM(R2+R1)*$J18</f>
        <v/>
      </c>
      <c r="S3" s="737">
        <f>SUM(S2+S1)*$J18</f>
        <v/>
      </c>
      <c r="T3" s="737">
        <f>SUM(T2+T1)*$J18</f>
        <v/>
      </c>
      <c r="U3" s="737">
        <f>SUM(U2+U1)*$J18</f>
        <v/>
      </c>
      <c r="V3" s="737">
        <f>SUM(V2+V1)*$J18</f>
        <v/>
      </c>
      <c r="W3" s="805">
        <f>SUM(K3:V3)</f>
        <v/>
      </c>
      <c r="AA3" s="1273" t="inlineStr">
        <is>
          <t>Month No'</t>
        </is>
      </c>
      <c r="AB3" s="820" t="n">
        <v>12</v>
      </c>
      <c r="AD3" s="1255" t="n">
        <v>0.9995056846267919</v>
      </c>
    </row>
    <row r="4" ht="13.9" customHeight="1" s="1232">
      <c r="A4" s="1271" t="n"/>
      <c r="B4" s="1357" t="n"/>
      <c r="C4" s="1271" t="n"/>
      <c r="D4" s="1271" t="n"/>
      <c r="E4" s="1270" t="n"/>
      <c r="F4" s="1271" t="n"/>
      <c r="I4" s="1250" t="n"/>
      <c r="J4" s="1251" t="n"/>
      <c r="K4" s="737" t="n"/>
      <c r="L4" s="737" t="n"/>
      <c r="M4" s="737" t="n"/>
      <c r="N4" s="737" t="n"/>
      <c r="O4" s="737" t="n"/>
      <c r="P4" s="737" t="n"/>
      <c r="Q4" s="737" t="n"/>
      <c r="R4" s="737" t="n"/>
      <c r="S4" s="737" t="n"/>
      <c r="T4" s="737" t="n"/>
      <c r="U4" s="737" t="n"/>
      <c r="V4" s="737" t="n"/>
      <c r="W4" s="805" t="n"/>
      <c r="AD4" s="1282" t="inlineStr">
        <is>
          <t>2022/23</t>
        </is>
      </c>
      <c r="AE4" s="1378">
        <f>AF4+AG4</f>
        <v/>
      </c>
      <c r="AF4" s="1284">
        <f>SUM(N17:V17)</f>
        <v/>
      </c>
      <c r="AG4" s="1284" t="n"/>
      <c r="AH4" s="445">
        <f>SUM(AE4-AE5)/AE5</f>
        <v/>
      </c>
    </row>
    <row r="5" ht="13.9" customHeight="1" s="1232">
      <c r="A5" s="1292" t="n"/>
      <c r="B5" s="1294" t="n"/>
      <c r="C5" s="1294" t="n"/>
      <c r="D5" s="1274" t="n"/>
      <c r="E5" s="1270" t="n"/>
      <c r="F5" s="1274" t="n"/>
      <c r="I5" s="1336" t="inlineStr">
        <is>
          <t>Tuition Categories</t>
        </is>
      </c>
      <c r="J5" s="1276" t="inlineStr">
        <is>
          <t>Target</t>
        </is>
      </c>
      <c r="K5" s="1332" t="inlineStr">
        <is>
          <t>Jan</t>
        </is>
      </c>
      <c r="L5" s="1332" t="inlineStr">
        <is>
          <t>Feb</t>
        </is>
      </c>
      <c r="M5" s="1332" t="inlineStr">
        <is>
          <t>Mar</t>
        </is>
      </c>
      <c r="N5" s="1332" t="inlineStr">
        <is>
          <t>Apr</t>
        </is>
      </c>
      <c r="O5" s="1332" t="inlineStr">
        <is>
          <t>May</t>
        </is>
      </c>
      <c r="P5" s="1332" t="inlineStr">
        <is>
          <t>Jun</t>
        </is>
      </c>
      <c r="Q5" s="1332" t="inlineStr">
        <is>
          <t>Jul</t>
        </is>
      </c>
      <c r="R5" s="1332" t="inlineStr">
        <is>
          <t>Aug</t>
        </is>
      </c>
      <c r="S5" s="1332" t="inlineStr">
        <is>
          <t>Sep</t>
        </is>
      </c>
      <c r="T5" s="1332" t="inlineStr">
        <is>
          <t>Oct</t>
        </is>
      </c>
      <c r="U5" s="1332" t="inlineStr">
        <is>
          <t>Nov</t>
        </is>
      </c>
      <c r="V5" s="1332" t="inlineStr">
        <is>
          <t>Dec</t>
        </is>
      </c>
      <c r="W5" s="1278" t="inlineStr">
        <is>
          <t>Year</t>
        </is>
      </c>
      <c r="X5" s="1367" t="inlineStr">
        <is>
          <t>Current Var</t>
        </is>
      </c>
      <c r="Y5" s="1280" t="inlineStr">
        <is>
          <t>Var YTD</t>
        </is>
      </c>
      <c r="Z5" s="1281" t="inlineStr">
        <is>
          <t>% YTD</t>
        </is>
      </c>
      <c r="AA5" s="1279" t="inlineStr">
        <is>
          <t>YTD Targ</t>
        </is>
      </c>
      <c r="AB5" s="1260" t="inlineStr">
        <is>
          <t>Avg.PM</t>
        </is>
      </c>
      <c r="AD5" s="1282" t="inlineStr">
        <is>
          <t>2020/21 Covid</t>
        </is>
      </c>
      <c r="AE5" s="1378">
        <f>AF5+AG5</f>
        <v/>
      </c>
      <c r="AF5" s="1284">
        <f>SUM(N21:V21)</f>
        <v/>
      </c>
      <c r="AG5" s="1284">
        <f>SUM(K17:M17)</f>
        <v/>
      </c>
      <c r="AH5" s="445">
        <f>SUM(AE5-AE6)/AE6</f>
        <v/>
      </c>
    </row>
    <row r="6" ht="13.5" customHeight="1" s="1232">
      <c r="A6" s="1292" t="n"/>
      <c r="B6" s="1294" t="n"/>
      <c r="C6" s="1294" t="n"/>
      <c r="D6" s="1274" t="n"/>
      <c r="E6" s="1270" t="n"/>
      <c r="F6" s="1274" t="n"/>
      <c r="I6" s="1333" t="inlineStr">
        <is>
          <t>1. Courses/masterclasses</t>
        </is>
      </c>
      <c r="J6" s="431" t="n">
        <v>600</v>
      </c>
      <c r="K6" s="432">
        <f>SUMIFS($E$154:$E$480,$A$154:$A$480,"&gt;31/12/2021",$A$154:$A$480,"&lt;1/2/2022",$C$154:$C$480,$I6)</f>
        <v/>
      </c>
      <c r="L6" s="432">
        <f>SUMIFS($E$154:$E$480,$A$154:$A$480,"&gt;31/1/2022",$A$154:$A$480,"&lt;1/3/2022",$C$154:$C$480,$I6)</f>
        <v/>
      </c>
      <c r="M6" s="432">
        <f>SUMIFS($E$154:$E$480,$A$154:$A$480,"&gt;28/2/2022",$A$154:$A$480,"&lt;1/4/2022",$C$154:$C$480,$I6)</f>
        <v/>
      </c>
      <c r="N6" s="432">
        <f>SUMIFS($E$154:$E$480,$A$154:$A$480,"&gt;31/3/2022",$A$154:$A$480,"&lt;1/5/2022",$C$154:$C$480,$I6)</f>
        <v/>
      </c>
      <c r="O6" s="432">
        <f>SUMIFS($E$154:$E$480,$A$154:$A$480,"&gt;30/4/2022",$A$154:$A$480,"&lt;1/6/2022",$C$154:$C$480,$I6)</f>
        <v/>
      </c>
      <c r="P6" s="432">
        <f>SUMIFS($E$154:$E$480,$A$154:$A$480,"&gt;31/5/2022",$A$154:$A$480,"&lt;1/7/2022",$C$154:$C$480,$I6)</f>
        <v/>
      </c>
      <c r="Q6" s="432">
        <f>SUMIFS($E$154:$E$480,$A$154:$A$480,"&gt;30/6/2022",$A$154:$A$480,"&lt;1/8/2022",$C$154:$C$480,$I6)</f>
        <v/>
      </c>
      <c r="R6" s="432">
        <f>SUMIFS($E$154:$E$480,$A$154:$A$480,"&gt;31/7/2022",$A$154:$A$480,"&lt;1/9/2022",$C$154:$C$480,$I6)</f>
        <v/>
      </c>
      <c r="S6" s="432">
        <f>SUMIFS($E$154:$E$480,$A$154:$A$480,"&gt;31/8/2022",$A$154:$A$480,"&lt;1/10/2022",$C$154:$C$480,$I6)</f>
        <v/>
      </c>
      <c r="T6" s="432">
        <f>SUMIFS($E$154:$E$480,$A$154:$A$480,"&gt;30/9/2022",$A$154:$A$480,"&lt;1/11/2022",$C$154:$C$480,$I6)</f>
        <v/>
      </c>
      <c r="U6" s="432">
        <f>SUMIFS($E$154:$E$480,$A$154:$A$480,"&gt;31/10/2022",$A$154:$A$480,"&lt;1/12/2022",$C$154:$C$480,$I6)</f>
        <v/>
      </c>
      <c r="V6" s="432">
        <f>SUMIFS($E$154:$E$480,$A$154:$A$480,"&gt;30/11/2022",$A$154:$A$480,"&lt;1/1/2023",$C$154:$C$480,$I6)</f>
        <v/>
      </c>
      <c r="W6" s="431">
        <f>SUM(K6:V6)</f>
        <v/>
      </c>
      <c r="X6" s="432">
        <f>SUM(V6-(J6*12)*(V$2+V$1))</f>
        <v/>
      </c>
      <c r="Y6" s="432">
        <f>W6-AA6</f>
        <v/>
      </c>
      <c r="Z6" s="433">
        <f>Y6/AA6</f>
        <v/>
      </c>
      <c r="AA6" s="818">
        <f>SUM(J6*12)*((K$2+K$1)+(L$2+L$1)+(M$2+M$1)+(N$2+N$1)+(O$2+O$1)+(P$2+P$1)+(Q$1+Q$2)+(R$1+R$2)+(S$2+S$1)+(T$2+T$1)+(U$2+U$1)+(V$2+V$1))</f>
        <v/>
      </c>
      <c r="AB6" s="817">
        <f>W6/$AB$3</f>
        <v/>
      </c>
      <c r="AD6" s="1282" t="inlineStr">
        <is>
          <t>2019/20</t>
        </is>
      </c>
      <c r="AE6" s="1378">
        <f>AF6+AG6</f>
        <v/>
      </c>
      <c r="AF6" s="1284">
        <f>SUM(N22:V22)</f>
        <v/>
      </c>
      <c r="AG6" s="1284">
        <f>SUM(K21:M21)</f>
        <v/>
      </c>
      <c r="AH6" s="445">
        <f>SUM(AE6-AE7)/AE7</f>
        <v/>
      </c>
    </row>
    <row r="7" ht="13.5" customHeight="1" s="1232">
      <c r="A7" s="1291" t="n"/>
      <c r="B7" s="1291" t="n"/>
      <c r="C7" s="1291" t="n"/>
      <c r="D7" s="1274" t="n"/>
      <c r="E7" s="1270" t="n"/>
      <c r="F7" s="1274" t="n"/>
      <c r="I7" s="1333" t="inlineStr">
        <is>
          <t>2. Workshops</t>
        </is>
      </c>
      <c r="J7" s="431">
        <f>30000/12</f>
        <v/>
      </c>
      <c r="K7" s="432">
        <f>SUMIFS($E$154:$E$480,$A$154:$A$480,"&gt;31/12/2021",$A$154:$A$480,"&lt;1/2/2022",$C$154:$C$480,$I7)</f>
        <v/>
      </c>
      <c r="L7" s="432">
        <f>SUMIFS($E$154:$E$480,$A$154:$A$480,"&gt;31/1/2022",$A$154:$A$480,"&lt;1/3/2022",$C$154:$C$480,$I7)</f>
        <v/>
      </c>
      <c r="M7" s="432">
        <f>SUMIFS($E$154:$E$480,$A$154:$A$480,"&gt;28/2/2022",$A$154:$A$480,"&lt;1/4/2022",$C$154:$C$480,$I7)</f>
        <v/>
      </c>
      <c r="N7" s="432">
        <f>SUMIFS($E$154:$E$480,$A$154:$A$480,"&gt;31/3/2022",$A$154:$A$480,"&lt;1/5/2022",$C$154:$C$480,$I7)</f>
        <v/>
      </c>
      <c r="O7" s="432">
        <f>SUMIFS($E$154:$E$480,$A$154:$A$480,"&gt;30/4/2022",$A$154:$A$480,"&lt;1/6/2022",$C$154:$C$480,$I7)</f>
        <v/>
      </c>
      <c r="P7" s="432">
        <f>SUMIFS($E$154:$E$480,$A$154:$A$480,"&gt;31/5/2022",$A$154:$A$480,"&lt;1/7/2022",$C$154:$C$480,$I7)</f>
        <v/>
      </c>
      <c r="Q7" s="432">
        <f>SUMIFS($E$154:$E$480,$A$154:$A$480,"&gt;30/6/2022",$A$154:$A$480,"&lt;1/8/2022",$C$154:$C$480,$I7)</f>
        <v/>
      </c>
      <c r="R7" s="432">
        <f>SUMIFS($E$154:$E$480,$A$154:$A$480,"&gt;31/7/2022",$A$154:$A$480,"&lt;1/9/2022",$C$154:$C$480,$I7)</f>
        <v/>
      </c>
      <c r="S7" s="432">
        <f>SUMIFS($E$154:$E$480,$A$154:$A$480,"&gt;31/8/2022",$A$154:$A$480,"&lt;1/10/2022",$C$154:$C$480,$I7)</f>
        <v/>
      </c>
      <c r="T7" s="432">
        <f>SUMIFS($E$154:$E$480,$A$154:$A$480,"&gt;30/9/2022",$A$154:$A$480,"&lt;1/11/2022",$C$154:$C$480,$I7)</f>
        <v/>
      </c>
      <c r="U7" s="432">
        <f>SUMIFS($E$154:$E$480,$A$154:$A$480,"&gt;31/10/2022",$A$154:$A$480,"&lt;1/12/2022",$C$154:$C$480,$I7)</f>
        <v/>
      </c>
      <c r="V7" s="432">
        <f>SUMIFS($E$154:$E$480,$A$154:$A$480,"&gt;30/11/2022",$A$154:$A$480,"&lt;1/1/2023",$C$154:$C$480,$I7)</f>
        <v/>
      </c>
      <c r="W7" s="431">
        <f>SUM(K7:V7)</f>
        <v/>
      </c>
      <c r="X7" s="432">
        <f>SUM(V7-(J7*12)*(V$2+V$1))</f>
        <v/>
      </c>
      <c r="Y7" s="432">
        <f>W7-AA7</f>
        <v/>
      </c>
      <c r="Z7" s="433">
        <f>Y7/AA7</f>
        <v/>
      </c>
      <c r="AA7" s="818">
        <f>SUM(J7*12)*((K$2+K$1)+(L$2+L$1)+(M$2+M$1)+(N$2+N$1)+(O$2+O$1)+(P$2+P$1)+(Q$1+Q$2)+(R$1+R$2)+(S$2+S$1)+(T$2+T$1)+(U$2+U$1)+(V$2+V$1))</f>
        <v/>
      </c>
      <c r="AB7" s="817">
        <f>W7/$AB$3</f>
        <v/>
      </c>
      <c r="AD7" s="1282" t="inlineStr">
        <is>
          <t>2018/19</t>
        </is>
      </c>
      <c r="AE7" s="1378">
        <f>AF7+AG7</f>
        <v/>
      </c>
      <c r="AF7" s="1284">
        <f>SUM(N23:V23)</f>
        <v/>
      </c>
      <c r="AG7" s="1284">
        <f>SUM(K22:M22)</f>
        <v/>
      </c>
      <c r="AH7" s="445">
        <f>SUM(AE7-AE8)/AE8</f>
        <v/>
      </c>
    </row>
    <row r="8" ht="13.5" customHeight="1" s="1232">
      <c r="A8" s="1291" t="n"/>
      <c r="B8" s="1291" t="n"/>
      <c r="C8" s="1291" t="n"/>
      <c r="D8" s="1274" t="n"/>
      <c r="E8" s="1270" t="n"/>
      <c r="F8" s="1274" t="n"/>
      <c r="I8" s="1333" t="inlineStr">
        <is>
          <t>3. Pick n Mix Inc</t>
        </is>
      </c>
      <c r="J8" s="431" t="n">
        <v>750</v>
      </c>
      <c r="K8" s="432">
        <f>SUMIFS($E$154:$E$480,$A$154:$A$480,"&gt;31/12/2021",$A$154:$A$480,"&lt;1/2/2022",$C$154:$C$480,$I8)</f>
        <v/>
      </c>
      <c r="L8" s="432">
        <f>SUMIFS($E$154:$E$480,$A$154:$A$480,"&gt;31/1/2022",$A$154:$A$480,"&lt;1/3/2022",$C$154:$C$480,$I8)</f>
        <v/>
      </c>
      <c r="M8" s="432">
        <f>SUMIFS($E$154:$E$480,$A$154:$A$480,"&gt;28/2/2022",$A$154:$A$480,"&lt;1/4/2022",$C$154:$C$480,$I8)</f>
        <v/>
      </c>
      <c r="N8" s="432">
        <f>SUMIFS($E$154:$E$480,$A$154:$A$480,"&gt;31/3/2022",$A$154:$A$480,"&lt;1/5/2022",$C$154:$C$480,$I8)</f>
        <v/>
      </c>
      <c r="O8" s="432">
        <f>SUMIFS($E$154:$E$480,$A$154:$A$480,"&gt;30/4/2022",$A$154:$A$480,"&lt;1/6/2022",$C$154:$C$480,$I8)</f>
        <v/>
      </c>
      <c r="P8" s="432">
        <f>SUMIFS($E$154:$E$480,$A$154:$A$480,"&gt;31/5/2022",$A$154:$A$480,"&lt;1/7/2022",$C$154:$C$480,$I8)</f>
        <v/>
      </c>
      <c r="Q8" s="432">
        <f>SUMIFS($E$154:$E$480,$A$154:$A$480,"&gt;30/6/2022",$A$154:$A$480,"&lt;1/8/2022",$C$154:$C$480,$I8)</f>
        <v/>
      </c>
      <c r="R8" s="432">
        <f>SUMIFS($E$154:$E$480,$A$154:$A$480,"&gt;31/7/2022",$A$154:$A$480,"&lt;1/9/2022",$C$154:$C$480,$I8)</f>
        <v/>
      </c>
      <c r="S8" s="432">
        <f>SUMIFS($E$154:$E$480,$A$154:$A$480,"&gt;31/8/2022",$A$154:$A$480,"&lt;1/10/2022",$C$154:$C$480,$I8)</f>
        <v/>
      </c>
      <c r="T8" s="432">
        <f>SUMIFS($E$154:$E$480,$A$154:$A$480,"&gt;30/9/2022",$A$154:$A$480,"&lt;1/11/2022",$C$154:$C$480,$I8)</f>
        <v/>
      </c>
      <c r="U8" s="432">
        <f>SUMIFS($E$154:$E$480,$A$154:$A$480,"&gt;31/10/2022",$A$154:$A$480,"&lt;1/12/2022",$C$154:$C$480,$I8)</f>
        <v/>
      </c>
      <c r="V8" s="432">
        <f>SUMIFS($E$154:$E$480,$A$154:$A$480,"&gt;30/11/2022",$A$154:$A$480,"&lt;1/1/2023",$C$154:$C$480,$I8)</f>
        <v/>
      </c>
      <c r="W8" s="431">
        <f>SUM(K8:V8)</f>
        <v/>
      </c>
      <c r="X8" s="432">
        <f>SUM(V8-(J8*12)*(V$2+V$1))</f>
        <v/>
      </c>
      <c r="Y8" s="432">
        <f>W8-AA8</f>
        <v/>
      </c>
      <c r="Z8" s="433">
        <f>Y8/AA8</f>
        <v/>
      </c>
      <c r="AA8" s="818">
        <f>SUM(J8*12)*((K$2+K$1)+(L$2+L$1)+(M$2+M$1)+(N$2+N$1)+(O$2+O$1)+(P$2+P$1)+(Q$1+Q$2)+(R$1+R$2)+(S$2+S$1)+(T$2+T$1)+(U$2+U$1)+(V$2+V$1))</f>
        <v/>
      </c>
      <c r="AB8" s="817">
        <f>W8/$AB$3</f>
        <v/>
      </c>
      <c r="AD8" s="1282" t="inlineStr">
        <is>
          <t>2017/18 Surgery</t>
        </is>
      </c>
      <c r="AE8" s="1378">
        <f>AF8+AG8</f>
        <v/>
      </c>
      <c r="AF8" s="1284">
        <f>SUM(N24:V24)</f>
        <v/>
      </c>
      <c r="AG8" s="1284">
        <f>SUM(K23:M23)</f>
        <v/>
      </c>
      <c r="AH8" s="445">
        <f>SUM(AE8-AE9)/AE9</f>
        <v/>
      </c>
    </row>
    <row r="9" ht="13.5" customHeight="1" s="1232">
      <c r="A9" s="1291" t="n"/>
      <c r="B9" s="1291" t="n"/>
      <c r="C9" s="1294" t="n"/>
      <c r="D9" s="1274" t="n"/>
      <c r="E9" s="1270" t="n"/>
      <c r="F9" s="1274" t="n"/>
      <c r="I9" s="1333" t="inlineStr">
        <is>
          <t>4. Pick n Mix Out</t>
        </is>
      </c>
      <c r="J9" s="431" t="n">
        <v>-750</v>
      </c>
      <c r="K9" s="432">
        <f>SUMIFS($E$154:$E$480,$A$154:$A$480,"&gt;31/12/2021",$A$154:$A$480,"&lt;1/2/2022",$C$154:$C$480,$I9)</f>
        <v/>
      </c>
      <c r="L9" s="432">
        <f>SUMIFS($E$154:$E$480,$A$154:$A$480,"&gt;31/1/2022",$A$154:$A$480,"&lt;1/3/2022",$C$154:$C$480,$I9)</f>
        <v/>
      </c>
      <c r="M9" s="432">
        <f>SUMIFS($E$154:$E$480,$A$154:$A$480,"&gt;28/2/2022",$A$154:$A$480,"&lt;1/4/2022",$C$154:$C$480,$I9)</f>
        <v/>
      </c>
      <c r="N9" s="432">
        <f>SUMIFS($E$154:$E$480,$A$154:$A$480,"&gt;31/3/2022",$A$154:$A$480,"&lt;1/5/2022",$C$154:$C$480,$I9)</f>
        <v/>
      </c>
      <c r="O9" s="432">
        <f>SUMIFS($E$154:$E$480,$A$154:$A$480,"&gt;30/4/2022",$A$154:$A$480,"&lt;1/6/2022",$C$154:$C$480,$I9)</f>
        <v/>
      </c>
      <c r="P9" s="432">
        <f>SUMIFS($E$154:$E$480,$A$154:$A$480,"&gt;31/5/2022",$A$154:$A$480,"&lt;1/7/2022",$C$154:$C$480,$I9)</f>
        <v/>
      </c>
      <c r="Q9" s="432">
        <f>SUMIFS($E$154:$E$480,$A$154:$A$480,"&gt;30/6/2022",$A$154:$A$480,"&lt;1/8/2022",$C$154:$C$480,$I9)</f>
        <v/>
      </c>
      <c r="R9" s="432">
        <f>SUMIFS($E$154:$E$480,$A$154:$A$480,"&gt;31/7/2022",$A$154:$A$480,"&lt;1/9/2022",$C$154:$C$480,$I9)</f>
        <v/>
      </c>
      <c r="S9" s="432">
        <f>SUMIFS($E$154:$E$480,$A$154:$A$480,"&gt;31/8/2022",$A$154:$A$480,"&lt;1/10/2022",$C$154:$C$480,$I9)</f>
        <v/>
      </c>
      <c r="T9" s="432">
        <f>SUMIFS($E$154:$E$480,$A$154:$A$480,"&gt;30/9/2022",$A$154:$A$480,"&lt;1/11/2022",$C$154:$C$480,$I9)</f>
        <v/>
      </c>
      <c r="U9" s="432">
        <f>SUMIFS($E$154:$E$480,$A$154:$A$480,"&gt;31/10/2022",$A$154:$A$480,"&lt;1/12/2022",$C$154:$C$480,$I9)</f>
        <v/>
      </c>
      <c r="V9" s="432">
        <f>SUMIFS($E$154:$E$480,$A$154:$A$480,"&gt;30/11/2022",$A$154:$A$480,"&lt;1/1/2023",$C$154:$C$480,$I9)</f>
        <v/>
      </c>
      <c r="W9" s="704">
        <f>SUM(K9:V9)</f>
        <v/>
      </c>
      <c r="X9" s="432">
        <f>SUM(V9-(J9*12)*(V$2+V$1))</f>
        <v/>
      </c>
      <c r="Y9" s="432">
        <f>W9-AA9</f>
        <v/>
      </c>
      <c r="Z9" s="433">
        <f>Y9/AA9</f>
        <v/>
      </c>
      <c r="AA9" s="818">
        <f>SUM(J9*12)*((K$2+K$1)+(L$2+L$1)+(M$2+M$1)+(N$2+N$1)+(O$2+O$1)+(P$2+P$1)+(Q$1+Q$2)+(R$1+R$2)+(S$2+S$1)+(T$2+T$1)+(U$2+U$1)+(V$2+V$1))</f>
        <v/>
      </c>
      <c r="AB9" s="817">
        <f>W9/$AB$3</f>
        <v/>
      </c>
      <c r="AD9" s="1282" t="inlineStr">
        <is>
          <t>2016/17</t>
        </is>
      </c>
      <c r="AE9" s="1378">
        <f>AF9+AG9</f>
        <v/>
      </c>
      <c r="AF9" s="1284">
        <f>SUM(N25:V25)</f>
        <v/>
      </c>
      <c r="AG9" s="1284">
        <f>SUM(K24:M24)</f>
        <v/>
      </c>
      <c r="AH9" s="445">
        <f>SUM(AE9-AE10)/AE10</f>
        <v/>
      </c>
    </row>
    <row r="10" ht="13.5" customHeight="1" s="1232">
      <c r="A10" s="1291" t="n"/>
      <c r="B10" s="1291" t="n"/>
      <c r="C10" s="1291" t="n"/>
      <c r="D10" s="1291" t="n"/>
      <c r="E10" s="1270" t="n"/>
      <c r="F10" s="1291" t="n"/>
      <c r="I10" s="1333" t="inlineStr">
        <is>
          <t>5. Mentoring</t>
        </is>
      </c>
      <c r="J10" s="431" t="n">
        <v>100</v>
      </c>
      <c r="K10" s="432">
        <f>SUMIFS($E$154:$E$480,$A$154:$A$480,"&gt;31/12/2021",$A$154:$A$480,"&lt;1/2/2022",$C$154:$C$480,$I10)</f>
        <v/>
      </c>
      <c r="L10" s="432">
        <f>SUMIFS($E$154:$E$480,$A$154:$A$480,"&gt;31/1/2022",$A$154:$A$480,"&lt;1/3/2022",$C$154:$C$480,$I10)</f>
        <v/>
      </c>
      <c r="M10" s="432">
        <f>SUMIFS($E$154:$E$480,$A$154:$A$480,"&gt;28/2/2022",$A$154:$A$480,"&lt;1/4/2022",$C$154:$C$480,$I10)</f>
        <v/>
      </c>
      <c r="N10" s="432">
        <f>SUMIFS($E$154:$E$480,$A$154:$A$480,"&gt;31/3/2022",$A$154:$A$480,"&lt;1/5/2022",$C$154:$C$480,$I10)</f>
        <v/>
      </c>
      <c r="O10" s="432">
        <f>SUMIFS($E$154:$E$480,$A$154:$A$480,"&gt;30/4/2022",$A$154:$A$480,"&lt;1/6/2022",$C$154:$C$480,$I10)</f>
        <v/>
      </c>
      <c r="P10" s="432">
        <f>SUMIFS($E$154:$E$480,$A$154:$A$480,"&gt;31/5/2022",$A$154:$A$480,"&lt;1/7/2022",$C$154:$C$480,$I10)</f>
        <v/>
      </c>
      <c r="Q10" s="432">
        <f>SUMIFS($E$154:$E$480,$A$154:$A$480,"&gt;30/6/2022",$A$154:$A$480,"&lt;1/8/2022",$C$154:$C$480,$I10)</f>
        <v/>
      </c>
      <c r="R10" s="432">
        <f>SUMIFS($E$154:$E$480,$A$154:$A$480,"&gt;31/7/2022",$A$154:$A$480,"&lt;1/9/2022",$C$154:$C$480,$I10)</f>
        <v/>
      </c>
      <c r="S10" s="432">
        <f>SUMIFS($E$154:$E$480,$A$154:$A$480,"&gt;31/8/2022",$A$154:$A$480,"&lt;1/10/2022",$C$154:$C$480,$I10)</f>
        <v/>
      </c>
      <c r="T10" s="432">
        <f>SUMIFS($E$154:$E$480,$A$154:$A$480,"&gt;30/9/2022",$A$154:$A$480,"&lt;1/11/2022",$C$154:$C$480,$I10)</f>
        <v/>
      </c>
      <c r="U10" s="432">
        <f>SUMIFS($E$154:$E$480,$A$154:$A$480,"&gt;31/10/2022",$A$154:$A$480,"&lt;1/12/2022",$C$154:$C$480,$I10)</f>
        <v/>
      </c>
      <c r="V10" s="432">
        <f>SUMIFS($E$154:$E$480,$A$154:$A$480,"&gt;30/11/2022",$A$154:$A$480,"&lt;1/1/2023",$C$154:$C$480,$I10)</f>
        <v/>
      </c>
      <c r="W10" s="431">
        <f>SUM(K10:V10)</f>
        <v/>
      </c>
      <c r="X10" s="432">
        <f>SUM(V10-(J10*12)*(V$2+V$1))</f>
        <v/>
      </c>
      <c r="Y10" s="432">
        <f>W10-AA10</f>
        <v/>
      </c>
      <c r="Z10" s="433">
        <f>Y10/AA10</f>
        <v/>
      </c>
      <c r="AA10" s="818">
        <f>SUM(J10*12)*((K$2+K$1)+(L$2+L$1)+(M$2+M$1)+(N$2+N$1)+(O$2+O$1)+(P$2+P$1)+(Q$1+Q$2)+(R$1+R$2)+(S$2+S$1)+(T$2+T$1)+(U$2+U$1)+(V$2+V$1))</f>
        <v/>
      </c>
      <c r="AB10" s="817">
        <f>W10/$AB$3</f>
        <v/>
      </c>
      <c r="AD10" s="1282" t="inlineStr">
        <is>
          <t>2015/16</t>
        </is>
      </c>
      <c r="AE10" s="1378">
        <f>AF10+AG10</f>
        <v/>
      </c>
      <c r="AF10" s="1284">
        <f>SUM(N26:V26)</f>
        <v/>
      </c>
      <c r="AG10" s="1284">
        <f>SUM(K25:M25)</f>
        <v/>
      </c>
      <c r="AH10" s="445">
        <f>SUM(AE10-AE11)/AE11</f>
        <v/>
      </c>
    </row>
    <row r="11" ht="13.5" customHeight="1" s="1232">
      <c r="A11" s="1292" t="n"/>
      <c r="B11" s="1294" t="n"/>
      <c r="C11" s="1294" t="n"/>
      <c r="D11" s="1292" t="n"/>
      <c r="E11" s="1293" t="n"/>
      <c r="F11" s="1260" t="n"/>
      <c r="I11" s="1334" t="inlineStr">
        <is>
          <t>6. 1-2-1</t>
        </is>
      </c>
      <c r="J11" s="431">
        <f>30000/12</f>
        <v/>
      </c>
      <c r="K11" s="432">
        <f>SUMIFS($E$154:$E$480,$A$154:$A$480,"&gt;31/12/2021",$A$154:$A$480,"&lt;1/2/2022",$C$154:$C$480,$I11)</f>
        <v/>
      </c>
      <c r="L11" s="432">
        <f>SUMIFS($E$154:$E$480,$A$154:$A$480,"&gt;31/1/2022",$A$154:$A$480,"&lt;1/3/2022",$C$154:$C$480,$I11)</f>
        <v/>
      </c>
      <c r="M11" s="432">
        <f>SUMIFS($E$154:$E$480,$A$154:$A$480,"&gt;28/2/2022",$A$154:$A$480,"&lt;1/4/2022",$C$154:$C$480,$I11)</f>
        <v/>
      </c>
      <c r="N11" s="432">
        <f>SUMIFS($E$154:$E$480,$A$154:$A$480,"&gt;31/3/2022",$A$154:$A$480,"&lt;1/5/2022",$C$154:$C$480,$I11)</f>
        <v/>
      </c>
      <c r="O11" s="432">
        <f>SUMIFS($E$154:$E$480,$A$154:$A$480,"&gt;30/4/2022",$A$154:$A$480,"&lt;1/6/2022",$C$154:$C$480,$I11)</f>
        <v/>
      </c>
      <c r="P11" s="432">
        <f>SUMIFS($E$154:$E$480,$A$154:$A$480,"&gt;31/5/2022",$A$154:$A$480,"&lt;1/7/2022",$C$154:$C$480,$I11)</f>
        <v/>
      </c>
      <c r="Q11" s="432">
        <f>SUMIFS($E$154:$E$480,$A$154:$A$480,"&gt;30/6/2022",$A$154:$A$480,"&lt;1/8/2022",$C$154:$C$480,$I11)</f>
        <v/>
      </c>
      <c r="R11" s="432">
        <f>SUMIFS($E$154:$E$480,$A$154:$A$480,"&gt;31/7/2022",$A$154:$A$480,"&lt;1/9/2022",$C$154:$C$480,$I11)</f>
        <v/>
      </c>
      <c r="S11" s="432">
        <f>SUMIFS($E$154:$E$480,$A$154:$A$480,"&gt;31/8/2022",$A$154:$A$480,"&lt;1/10/2022",$C$154:$C$480,$I11)</f>
        <v/>
      </c>
      <c r="T11" s="432">
        <f>SUMIFS($E$154:$E$480,$A$154:$A$480,"&gt;30/9/2022",$A$154:$A$480,"&lt;1/11/2022",$C$154:$C$480,$I11)</f>
        <v/>
      </c>
      <c r="U11" s="432">
        <f>SUMIFS($E$154:$E$480,$A$154:$A$480,"&gt;31/10/2022",$A$154:$A$480,"&lt;1/12/2022",$C$154:$C$480,$I11)</f>
        <v/>
      </c>
      <c r="V11" s="432">
        <f>SUMIFS($E$154:$E$480,$A$154:$A$480,"&gt;30/11/2022",$A$154:$A$480,"&lt;1/1/2023",$C$154:$C$480,$I11)</f>
        <v/>
      </c>
      <c r="W11" s="431">
        <f>SUM(K11:V11)</f>
        <v/>
      </c>
      <c r="X11" s="432">
        <f>SUM(V11-(J11*12)*(V$2+V$1))</f>
        <v/>
      </c>
      <c r="Y11" s="432">
        <f>W11-AA11</f>
        <v/>
      </c>
      <c r="Z11" s="433">
        <f>Y11/AA11</f>
        <v/>
      </c>
      <c r="AA11" s="818">
        <f>SUM(J11*12)*((K$2+K$1)+(L$2+L$1)+(M$2+M$1)+(N$2+N$1)+(O$2+O$1)+(P$2+P$1)+(Q$1+Q$2)+(R$1+R$2)+(S$2+S$1)+(T$2+T$1)+(U$2+U$1)+(V$2+V$1))</f>
        <v/>
      </c>
      <c r="AB11" s="817">
        <f>W11/$AB$3</f>
        <v/>
      </c>
      <c r="AD11" s="1282" t="inlineStr">
        <is>
          <t>2014/15</t>
        </is>
      </c>
      <c r="AE11" s="1378">
        <f>AF11+AG11</f>
        <v/>
      </c>
      <c r="AF11" s="1284">
        <f>SUM(N27:V27)</f>
        <v/>
      </c>
      <c r="AG11" s="1284">
        <f>SUM(K26:M26)</f>
        <v/>
      </c>
      <c r="AH11" s="445">
        <f>SUM(AE11-AE12)/AE12</f>
        <v/>
      </c>
    </row>
    <row r="12" ht="13.5" customHeight="1" s="1232">
      <c r="A12" s="1292" t="n"/>
      <c r="B12" s="1294" t="n"/>
      <c r="C12" s="1294" t="n"/>
      <c r="D12" s="1292" t="n"/>
      <c r="E12" s="1293" t="n"/>
      <c r="F12" s="1260" t="n"/>
      <c r="I12" s="1334" t="inlineStr">
        <is>
          <t>7. Gift Vouchers Inc</t>
        </is>
      </c>
      <c r="J12" s="431" t="n">
        <v>300</v>
      </c>
      <c r="K12" s="432">
        <f>SUMIFS($E$154:$E$480,$A$154:$A$480,"&gt;31/12/2021",$A$154:$A$480,"&lt;1/2/2022",$C$154:$C$480,$I12)</f>
        <v/>
      </c>
      <c r="L12" s="432">
        <f>SUMIFS($E$154:$E$480,$A$154:$A$480,"&gt;31/1/2022",$A$154:$A$480,"&lt;1/3/2022",$C$154:$C$480,$I12)</f>
        <v/>
      </c>
      <c r="M12" s="432">
        <f>SUMIFS($E$154:$E$480,$A$154:$A$480,"&gt;28/2/2022",$A$154:$A$480,"&lt;1/4/2022",$C$154:$C$480,$I12)</f>
        <v/>
      </c>
      <c r="N12" s="432">
        <f>SUMIFS($E$154:$E$480,$A$154:$A$480,"&gt;31/3/2022",$A$154:$A$480,"&lt;1/5/2022",$C$154:$C$480,$I12)</f>
        <v/>
      </c>
      <c r="O12" s="432">
        <f>SUMIFS($E$154:$E$480,$A$154:$A$480,"&gt;30/4/2022",$A$154:$A$480,"&lt;1/6/2022",$C$154:$C$480,$I12)</f>
        <v/>
      </c>
      <c r="P12" s="432">
        <f>SUMIFS($E$154:$E$480,$A$154:$A$480,"&gt;31/5/2022",$A$154:$A$480,"&lt;1/7/2022",$C$154:$C$480,$I12)</f>
        <v/>
      </c>
      <c r="Q12" s="432">
        <f>SUMIFS($E$154:$E$480,$A$154:$A$480,"&gt;30/6/2022",$A$154:$A$480,"&lt;1/8/2022",$C$154:$C$480,$I12)</f>
        <v/>
      </c>
      <c r="R12" s="432">
        <f>SUMIFS($E$154:$E$480,$A$154:$A$480,"&gt;31/7/2022",$A$154:$A$480,"&lt;1/9/2022",$C$154:$C$480,$I12)</f>
        <v/>
      </c>
      <c r="S12" s="432">
        <f>SUMIFS($E$154:$E$480,$A$154:$A$480,"&gt;31/8/2022",$A$154:$A$480,"&lt;1/10/2022",$C$154:$C$480,$I12)</f>
        <v/>
      </c>
      <c r="T12" s="432">
        <f>SUMIFS($E$154:$E$480,$A$154:$A$480,"&gt;30/9/2022",$A$154:$A$480,"&lt;1/11/2022",$C$154:$C$480,$I12)</f>
        <v/>
      </c>
      <c r="U12" s="432">
        <f>SUMIFS($E$154:$E$480,$A$154:$A$480,"&gt;31/10/2022",$A$154:$A$480,"&lt;1/12/2022",$C$154:$C$480,$I12)</f>
        <v/>
      </c>
      <c r="V12" s="432">
        <f>SUMIFS($E$154:$E$480,$A$154:$A$480,"&gt;30/11/2022",$A$154:$A$480,"&lt;1/1/2023",$C$154:$C$480,$I12)</f>
        <v/>
      </c>
      <c r="W12" s="431">
        <f>SUM(K12:V12)</f>
        <v/>
      </c>
      <c r="X12" s="432">
        <f>SUM(V12-(J12*12)*(V$2+V$1))</f>
        <v/>
      </c>
      <c r="Y12" s="432">
        <f>W12-AA12</f>
        <v/>
      </c>
      <c r="Z12" s="433">
        <f>Y12/AA12</f>
        <v/>
      </c>
      <c r="AA12" s="818">
        <f>SUM(J12*12)*((K$2+K$1)+(L$2+L$1)+(M$2+M$1)+(N$2+N$1)+(O$2+O$1)+(P$2+P$1)+(Q$1+Q$2)+(R$1+R$2)+(S$2+S$1)+(T$2+T$1)+(U$2+U$1)+(V$2+V$1))</f>
        <v/>
      </c>
      <c r="AB12" s="817">
        <f>W12/$AB$3</f>
        <v/>
      </c>
      <c r="AD12" s="1282" t="inlineStr">
        <is>
          <t>2013/14</t>
        </is>
      </c>
      <c r="AE12" s="1378">
        <f>AF12+AG12</f>
        <v/>
      </c>
      <c r="AF12" s="1284">
        <f>SUM(N28:V28)</f>
        <v/>
      </c>
      <c r="AG12" s="1284">
        <f>SUM(K27:M27)</f>
        <v/>
      </c>
      <c r="AH12" s="445" t="n"/>
    </row>
    <row r="13" ht="13.5" customHeight="1" s="1232">
      <c r="A13" s="1292" t="n"/>
      <c r="B13" s="1294" t="n"/>
      <c r="C13" s="1294" t="n"/>
      <c r="D13" s="1292" t="n"/>
      <c r="E13" s="1293" t="n"/>
      <c r="F13" s="1260" t="n"/>
      <c r="I13" s="1334" t="inlineStr">
        <is>
          <t>8. Gift Vouchers Out</t>
        </is>
      </c>
      <c r="J13" s="431" t="n">
        <v>-200</v>
      </c>
      <c r="K13" s="432">
        <f>SUMIFS($E$154:$E$480,$A$154:$A$480,"&gt;31/12/2021",$A$154:$A$480,"&lt;1/2/2022",$C$154:$C$480,$I13)</f>
        <v/>
      </c>
      <c r="L13" s="432">
        <f>SUMIFS($E$154:$E$480,$A$154:$A$480,"&gt;31/1/2022",$A$154:$A$480,"&lt;1/3/2022",$C$154:$C$480,$I13)</f>
        <v/>
      </c>
      <c r="M13" s="432">
        <f>SUMIFS($E$154:$E$480,$A$154:$A$480,"&gt;28/2/2022",$A$154:$A$480,"&lt;1/4/2022",$C$154:$C$480,$I13)</f>
        <v/>
      </c>
      <c r="N13" s="432">
        <f>SUMIFS($E$154:$E$480,$A$154:$A$480,"&gt;31/3/2022",$A$154:$A$480,"&lt;1/5/2022",$C$154:$C$480,$I13)</f>
        <v/>
      </c>
      <c r="O13" s="432">
        <f>SUMIFS($E$154:$E$480,$A$154:$A$480,"&gt;30/4/2022",$A$154:$A$480,"&lt;1/6/2022",$C$154:$C$480,$I13)</f>
        <v/>
      </c>
      <c r="P13" s="432">
        <f>SUMIFS($E$154:$E$480,$A$154:$A$480,"&gt;31/5/2022",$A$154:$A$480,"&lt;1/7/2022",$C$154:$C$480,$I13)</f>
        <v/>
      </c>
      <c r="Q13" s="432">
        <f>SUMIFS($E$154:$E$480,$A$154:$A$480,"&gt;30/6/2022",$A$154:$A$480,"&lt;1/8/2022",$C$154:$C$480,$I13)</f>
        <v/>
      </c>
      <c r="R13" s="432">
        <f>SUMIFS($E$154:$E$480,$A$154:$A$480,"&gt;31/7/2022",$A$154:$A$480,"&lt;1/9/2022",$C$154:$C$480,$I13)</f>
        <v/>
      </c>
      <c r="S13" s="432">
        <f>SUMIFS($E$154:$E$480,$A$154:$A$480,"&gt;31/8/2022",$A$154:$A$480,"&lt;1/10/2022",$C$154:$C$480,$I13)</f>
        <v/>
      </c>
      <c r="T13" s="432">
        <f>SUMIFS($E$154:$E$480,$A$154:$A$480,"&gt;30/9/2022",$A$154:$A$480,"&lt;1/11/2022",$C$154:$C$480,$I13)</f>
        <v/>
      </c>
      <c r="U13" s="432">
        <f>SUMIFS($E$154:$E$480,$A$154:$A$480,"&gt;31/10/2022",$A$154:$A$480,"&lt;1/12/2022",$C$154:$C$480,$I13)</f>
        <v/>
      </c>
      <c r="V13" s="432">
        <f>SUMIFS($E$154:$E$480,$A$154:$A$480,"&gt;30/11/2022",$A$154:$A$480,"&lt;1/1/2023",$C$154:$C$480,$I13)</f>
        <v/>
      </c>
      <c r="W13" s="431">
        <f>SUM(K13:V13)</f>
        <v/>
      </c>
      <c r="X13" s="432">
        <f>SUM(V13-(J13*12)*(V$2+V$1))</f>
        <v/>
      </c>
      <c r="Y13" s="432">
        <f>W13-AA13</f>
        <v/>
      </c>
      <c r="Z13" s="433">
        <f>Y13/AA13</f>
        <v/>
      </c>
      <c r="AA13" s="818">
        <f>SUM(J13*12)*((K$2+K$1)+(L$2+L$1)+(M$2+M$1)+(N$2+N$1)+(O$2+O$1)+(P$2+P$1)+(Q$1+Q$2)+(R$1+R$2)+(S$2+S$1)+(T$2+T$1)+(U$2+U$1)+(V$2+V$1))</f>
        <v/>
      </c>
      <c r="AB13" s="817">
        <f>W13/$AB$3</f>
        <v/>
      </c>
    </row>
    <row r="14" ht="13.5" customHeight="1" s="1232">
      <c r="A14" s="1292" t="n"/>
      <c r="B14" s="1294" t="n"/>
      <c r="C14" s="1294" t="n"/>
      <c r="D14" s="1292" t="n"/>
      <c r="E14" s="1293" t="n"/>
      <c r="F14" s="1260" t="n"/>
      <c r="I14" s="1334" t="inlineStr">
        <is>
          <t>9. Prints &amp; Royalties</t>
        </is>
      </c>
      <c r="J14" s="431" t="n">
        <v>225</v>
      </c>
      <c r="K14" s="432">
        <f>SUMIFS($E$154:$E$480,$A$154:$A$480,"&gt;31/12/2021",$A$154:$A$480,"&lt;1/2/2022",$C$154:$C$480,$I14)</f>
        <v/>
      </c>
      <c r="L14" s="432">
        <f>SUMIFS($E$154:$E$480,$A$154:$A$480,"&gt;31/1/2022",$A$154:$A$480,"&lt;1/3/2022",$C$154:$C$480,$I14)</f>
        <v/>
      </c>
      <c r="M14" s="432">
        <f>SUMIFS($E$154:$E$480,$A$154:$A$480,"&gt;28/2/2022",$A$154:$A$480,"&lt;1/4/2022",$C$154:$C$480,$I14)</f>
        <v/>
      </c>
      <c r="N14" s="432">
        <f>SUMIFS($E$154:$E$480,$A$154:$A$480,"&gt;31/3/2022",$A$154:$A$480,"&lt;1/5/2022",$C$154:$C$480,$I14)</f>
        <v/>
      </c>
      <c r="O14" s="432">
        <f>SUMIFS($E$154:$E$480,$A$154:$A$480,"&gt;30/4/2022",$A$154:$A$480,"&lt;1/6/2022",$C$154:$C$480,$I14)</f>
        <v/>
      </c>
      <c r="P14" s="432">
        <f>SUMIFS($E$154:$E$480,$A$154:$A$480,"&gt;31/5/2022",$A$154:$A$480,"&lt;1/7/2022",$C$154:$C$480,$I14)</f>
        <v/>
      </c>
      <c r="Q14" s="432">
        <f>SUMIFS($E$154:$E$480,$A$154:$A$480,"&gt;30/6/2022",$A$154:$A$480,"&lt;1/8/2022",$C$154:$C$480,$I14)</f>
        <v/>
      </c>
      <c r="R14" s="432">
        <f>SUMIFS($E$154:$E$480,$A$154:$A$480,"&gt;31/7/2022",$A$154:$A$480,"&lt;1/9/2022",$C$154:$C$480,$I14)</f>
        <v/>
      </c>
      <c r="S14" s="432">
        <f>SUMIFS($E$154:$E$480,$A$154:$A$480,"&gt;31/8/2022",$A$154:$A$480,"&lt;1/10/2022",$C$154:$C$480,$I14)</f>
        <v/>
      </c>
      <c r="T14" s="432">
        <f>SUMIFS($E$154:$E$480,$A$154:$A$480,"&gt;30/9/2022",$A$154:$A$480,"&lt;1/11/2022",$C$154:$C$480,$I14)</f>
        <v/>
      </c>
      <c r="U14" s="432">
        <f>SUMIFS($E$154:$E$480,$A$154:$A$480,"&gt;31/10/2022",$A$154:$A$480,"&lt;1/12/2022",$C$154:$C$480,$I14)</f>
        <v/>
      </c>
      <c r="V14" s="432">
        <f>SUMIFS($E$154:$E$480,$A$154:$A$480,"&gt;30/11/2022",$A$154:$A$480,"&lt;1/1/2023",$C$154:$C$480,$I14)</f>
        <v/>
      </c>
      <c r="W14" s="431">
        <f>SUM(K14:V14)</f>
        <v/>
      </c>
      <c r="X14" s="432">
        <f>SUM(V14-(J14*12)*(V$2+V$1))</f>
        <v/>
      </c>
      <c r="Y14" s="432">
        <f>W14-AA14</f>
        <v/>
      </c>
      <c r="Z14" s="433">
        <f>Y14/AA14</f>
        <v/>
      </c>
      <c r="AA14" s="818">
        <f>SUM(J14*12)*((K$2+K$1)+(L$2+L$1)+(M$2+M$1)+(N$2+N$1)+(O$2+O$1)+(P$2+P$1)+(Q$1+Q$2)+(R$1+R$2)+(S$2+S$1)+(T$2+T$1)+(U$2+U$1)+(V$2+V$1))</f>
        <v/>
      </c>
      <c r="AB14" s="817">
        <f>W14/$AB$3</f>
        <v/>
      </c>
    </row>
    <row r="15" ht="13.5" customHeight="1" s="1232">
      <c r="A15" s="1292" t="n"/>
      <c r="B15" s="1294" t="n"/>
      <c r="C15" s="1294" t="n"/>
      <c r="D15" s="1292" t="n"/>
      <c r="E15" s="1293" t="n"/>
      <c r="F15" s="1260" t="n"/>
      <c r="I15" s="1334" t="inlineStr">
        <is>
          <t>10 Commissions</t>
        </is>
      </c>
      <c r="J15" s="431" t="n">
        <v>200</v>
      </c>
      <c r="K15" s="432">
        <f>SUMIFS($E$154:$E$480,$A$154:$A$480,"&gt;31/12/2021",$A$154:$A$480,"&lt;1/2/2022",$C$154:$C$480,$I15)</f>
        <v/>
      </c>
      <c r="L15" s="432">
        <f>SUMIFS($E$154:$E$480,$A$154:$A$480,"&gt;31/1/2022",$A$154:$A$480,"&lt;1/3/2022",$C$154:$C$480,$I15)</f>
        <v/>
      </c>
      <c r="M15" s="432">
        <f>SUMIFS($E$154:$E$480,$A$154:$A$480,"&gt;28/2/2022",$A$154:$A$480,"&lt;1/4/2022",$C$154:$C$480,$I15)</f>
        <v/>
      </c>
      <c r="N15" s="432">
        <f>SUMIFS($E$154:$E$480,$A$154:$A$480,"&gt;31/3/2022",$A$154:$A$480,"&lt;1/5/2022",$C$154:$C$480,$I15)</f>
        <v/>
      </c>
      <c r="O15" s="432">
        <f>SUMIFS($E$154:$E$480,$A$154:$A$480,"&gt;30/4/2022",$A$154:$A$480,"&lt;1/6/2022",$C$154:$C$480,$I15)</f>
        <v/>
      </c>
      <c r="P15" s="432">
        <f>SUMIFS($E$154:$E$480,$A$154:$A$480,"&gt;31/5/2022",$A$154:$A$480,"&lt;1/7/2022",$C$154:$C$480,$I15)</f>
        <v/>
      </c>
      <c r="Q15" s="432">
        <f>SUMIFS($E$154:$E$480,$A$154:$A$480,"&gt;30/6/2022",$A$154:$A$480,"&lt;1/8/2022",$C$154:$C$480,$I15)</f>
        <v/>
      </c>
      <c r="R15" s="432">
        <f>SUMIFS($E$154:$E$480,$A$154:$A$480,"&gt;31/7/2022",$A$154:$A$480,"&lt;1/9/2022",$C$154:$C$480,$I15)</f>
        <v/>
      </c>
      <c r="S15" s="432">
        <f>SUMIFS($E$154:$E$480,$A$154:$A$480,"&gt;31/8/2022",$A$154:$A$480,"&lt;1/10/2022",$C$154:$C$480,$I15)</f>
        <v/>
      </c>
      <c r="T15" s="432">
        <f>SUMIFS($E$154:$E$480,$A$154:$A$480,"&gt;30/9/2022",$A$154:$A$480,"&lt;1/11/2022",$C$154:$C$480,$I15)</f>
        <v/>
      </c>
      <c r="U15" s="432">
        <f>SUMIFS($E$154:$E$480,$A$154:$A$480,"&gt;31/10/2022",$A$154:$A$480,"&lt;1/12/2022",$C$154:$C$480,$I15)</f>
        <v/>
      </c>
      <c r="V15" s="432">
        <f>SUMIFS($E$154:$E$480,$A$154:$A$480,"&gt;30/11/2022",$A$154:$A$480,"&lt;1/1/2023",$C$154:$C$480,$I15)</f>
        <v/>
      </c>
      <c r="W15" s="431">
        <f>SUM(K15:V15)</f>
        <v/>
      </c>
      <c r="X15" s="432">
        <f>SUM(V15-(J15*12)*(V$2+V$1))</f>
        <v/>
      </c>
      <c r="Y15" s="432">
        <f>W15-AA15</f>
        <v/>
      </c>
      <c r="Z15" s="433">
        <f>Y15/AA15</f>
        <v/>
      </c>
      <c r="AA15" s="818">
        <f>SUM(J15*12)*((K$2+K$1)+(L$2+L$1)+(M$2+M$1)+(N$2+N$1)+(O$2+O$1)+(P$2+P$1)+(Q$1+Q$2)+(R$1+R$2)+(S$2+S$1)+(T$2+T$1)+(U$2+U$1)+(V$2+V$1))</f>
        <v/>
      </c>
      <c r="AB15" s="817">
        <f>W15/$AB$3</f>
        <v/>
      </c>
    </row>
    <row r="16" ht="13.5" customHeight="1" s="1232">
      <c r="A16" s="1292" t="n"/>
      <c r="B16" s="1294" t="n"/>
      <c r="C16" s="1294" t="n"/>
      <c r="E16" s="1293" t="n">
        <v>0</v>
      </c>
      <c r="F16" s="1274" t="n"/>
      <c r="I16" s="1334" t="inlineStr">
        <is>
          <t>11. Other</t>
        </is>
      </c>
      <c r="J16" s="431" t="n">
        <v>25</v>
      </c>
      <c r="K16" s="432">
        <f>SUMIFS($E$154:$E$480,$A$154:$A$480,"&gt;31/12/2021",$A$154:$A$480,"&lt;1/2/2022",$C$154:$C$480,$I16)</f>
        <v/>
      </c>
      <c r="L16" s="432">
        <f>SUMIFS($E$154:$E$480,$A$154:$A$480,"&gt;31/1/2022",$A$154:$A$480,"&lt;1/3/2022",$C$154:$C$480,$I16)</f>
        <v/>
      </c>
      <c r="M16" s="432">
        <f>SUMIFS($E$154:$E$480,$A$154:$A$480,"&gt;28/2/2022",$A$154:$A$480,"&lt;1/4/2022",$C$154:$C$480,$I16)</f>
        <v/>
      </c>
      <c r="N16" s="432">
        <f>SUMIFS($E$154:$E$480,$A$154:$A$480,"&gt;31/3/2022",$A$154:$A$480,"&lt;1/5/2022",$C$154:$C$480,$I16)</f>
        <v/>
      </c>
      <c r="O16" s="432">
        <f>SUMIFS($E$154:$E$480,$A$154:$A$480,"&gt;30/4/2022",$A$154:$A$480,"&lt;1/6/2022",$C$154:$C$480,$I16)</f>
        <v/>
      </c>
      <c r="P16" s="432">
        <f>SUMIFS($E$154:$E$480,$A$154:$A$480,"&gt;31/5/2022",$A$154:$A$480,"&lt;1/7/2022",$C$154:$C$480,$I16)</f>
        <v/>
      </c>
      <c r="Q16" s="432">
        <f>SUMIFS($E$154:$E$480,$A$154:$A$480,"&gt;30/6/2022",$A$154:$A$480,"&lt;1/8/2022",$C$154:$C$480,$I16)</f>
        <v/>
      </c>
      <c r="R16" s="432">
        <f>SUMIFS($E$154:$E$480,$A$154:$A$480,"&gt;31/7/2022",$A$154:$A$480,"&lt;1/9/2022",$C$154:$C$480,$I16)</f>
        <v/>
      </c>
      <c r="S16" s="432">
        <f>SUMIFS($E$154:$E$480,$A$154:$A$480,"&gt;31/8/2022",$A$154:$A$480,"&lt;1/10/2022",$C$154:$C$480,$I16)</f>
        <v/>
      </c>
      <c r="T16" s="432">
        <f>SUMIFS($E$154:$E$480,$A$154:$A$480,"&gt;30/9/2022",$A$154:$A$480,"&lt;1/11/2022",$C$154:$C$480,$I16)</f>
        <v/>
      </c>
      <c r="U16" s="432">
        <f>SUMIFS($E$154:$E$480,$A$154:$A$480,"&gt;31/10/2022",$A$154:$A$480,"&lt;1/12/2022",$C$154:$C$480,$I16)</f>
        <v/>
      </c>
      <c r="V16" s="432">
        <f>SUMIFS($E$154:$E$480,$A$154:$A$480,"&gt;30/11/2022",$A$154:$A$480,"&lt;1/1/2023",$C$154:$C$480,$I16)</f>
        <v/>
      </c>
      <c r="W16" s="431">
        <f>SUM(K16:V16)</f>
        <v/>
      </c>
      <c r="X16" s="432">
        <f>SUM(V16-(J16*12)*(V$2+V$1))</f>
        <v/>
      </c>
      <c r="Y16" s="432">
        <f>W16-AA16</f>
        <v/>
      </c>
      <c r="Z16" s="433">
        <f>Y16/AA16</f>
        <v/>
      </c>
      <c r="AA16" s="818">
        <f>SUM(J16*12)*((K$2+K$1)+(L$2+L$1)+(M$2+M$1)+(N$2+N$1)+(O$2+O$1)+(P$2+P$1)+(Q$1+Q$2)+(R$1+R$2)+(S$2+S$1)+(T$2+T$1)+(U$2+U$1)+(V$2+V$1))</f>
        <v/>
      </c>
      <c r="AB16" s="817">
        <f>W16/$AB$3</f>
        <v/>
      </c>
    </row>
    <row r="17" ht="15.75" customHeight="1" s="1232" thickBot="1">
      <c r="B17" s="1271" t="n"/>
      <c r="C17" s="1271" t="n"/>
      <c r="E17" s="1296" t="n"/>
      <c r="F17" s="1297" t="n"/>
      <c r="I17" s="1335" t="inlineStr">
        <is>
          <t>Totals</t>
        </is>
      </c>
      <c r="J17" s="778">
        <f>SUM(J6:J16)</f>
        <v/>
      </c>
      <c r="K17" s="439">
        <f>SUM(K6:K16)</f>
        <v/>
      </c>
      <c r="L17" s="439">
        <f>SUM(L6:L16)</f>
        <v/>
      </c>
      <c r="M17" s="439">
        <f>SUM(M6:M16)</f>
        <v/>
      </c>
      <c r="N17" s="439">
        <f>SUM(N6:N16)</f>
        <v/>
      </c>
      <c r="O17" s="439">
        <f>SUM(O6:O16)</f>
        <v/>
      </c>
      <c r="P17" s="439">
        <f>SUM(P6:P16)</f>
        <v/>
      </c>
      <c r="Q17" s="439">
        <f>SUM(Q6:Q16)</f>
        <v/>
      </c>
      <c r="R17" s="439">
        <f>SUM(R6:R16)</f>
        <v/>
      </c>
      <c r="S17" s="439">
        <f>SUM(S6:S16)</f>
        <v/>
      </c>
      <c r="T17" s="439">
        <f>SUM(T6:T16)</f>
        <v/>
      </c>
      <c r="U17" s="439">
        <f>SUM(U6:U16)</f>
        <v/>
      </c>
      <c r="V17" s="439">
        <f>SUM(V6:V16)</f>
        <v/>
      </c>
      <c r="W17" s="438">
        <f>SUM(W6:W16)</f>
        <v/>
      </c>
      <c r="X17" s="432">
        <f>SUM(V17-(J17*12)*(V$2+V$1))</f>
        <v/>
      </c>
      <c r="Y17" s="824">
        <f>W17-AA17</f>
        <v/>
      </c>
      <c r="Z17" s="837">
        <f>Y17/AA17</f>
        <v/>
      </c>
      <c r="AA17" s="818">
        <f>SUM(J17*12)*((K$2+K$1)+(L$2+L$1)+(M$2+M$1)+(N$2+N$1)+(O$2+O$1)+(P$2+P$1)+(Q$1+Q$2)+(R$1+R$2)+(S$2+S$1)+(T$2+T$1)+(U$2+U$1)+(V$2+V$1))</f>
        <v/>
      </c>
      <c r="AB17" s="838">
        <f>W17/$AB$3</f>
        <v/>
      </c>
      <c r="AD17" s="1304" t="inlineStr">
        <is>
          <t>Invoice Date</t>
        </is>
      </c>
      <c r="AE17" s="1304" t="inlineStr">
        <is>
          <t>Employee</t>
        </is>
      </c>
      <c r="AF17" s="1304" t="inlineStr">
        <is>
          <t>Invoice Number</t>
        </is>
      </c>
      <c r="AG17" s="1304" t="inlineStr">
        <is>
          <t>ELS Voucher</t>
        </is>
      </c>
      <c r="AH17" s="1304" t="inlineStr">
        <is>
          <t>Amount</t>
        </is>
      </c>
      <c r="AI17" s="1304" t="inlineStr">
        <is>
          <t>Event</t>
        </is>
      </c>
    </row>
    <row r="18" ht="13.9" customHeight="1" s="1232">
      <c r="B18" s="1271" t="n"/>
      <c r="C18" s="1271" t="n"/>
      <c r="D18" s="1292" t="n"/>
      <c r="E18" s="1296" t="n"/>
      <c r="F18" s="1297" t="n"/>
      <c r="I18" s="1268" t="inlineStr">
        <is>
          <t>Target</t>
        </is>
      </c>
      <c r="J18" s="1299">
        <f>J17*12</f>
        <v/>
      </c>
      <c r="K18" s="671">
        <f>K17/K3</f>
        <v/>
      </c>
      <c r="L18" s="671">
        <f>L17/L3</f>
        <v/>
      </c>
      <c r="M18" s="671">
        <f>M17/M3</f>
        <v/>
      </c>
      <c r="N18" s="671">
        <f>N17/N3</f>
        <v/>
      </c>
      <c r="O18" s="671">
        <f>O17/O3</f>
        <v/>
      </c>
      <c r="P18" s="671">
        <f>P17/P3</f>
        <v/>
      </c>
      <c r="Q18" s="671">
        <f>Q17/Q3</f>
        <v/>
      </c>
      <c r="R18" s="671">
        <f>R17/R3</f>
        <v/>
      </c>
      <c r="S18" s="671">
        <f>S17/S3</f>
        <v/>
      </c>
      <c r="T18" s="671">
        <f>T17/T3</f>
        <v/>
      </c>
      <c r="U18" s="671">
        <f>U17/U3</f>
        <v/>
      </c>
      <c r="V18" s="671">
        <f>V17/V3</f>
        <v/>
      </c>
      <c r="W18" s="671">
        <f>W17/AA17</f>
        <v/>
      </c>
      <c r="X18" s="583" t="n"/>
      <c r="Y18" s="836" t="n"/>
      <c r="AB18" s="445" t="n"/>
    </row>
    <row r="19" ht="13.15" customHeight="1" s="1232">
      <c r="I19" s="1310" t="inlineStr">
        <is>
          <t>Year on year Improvement %</t>
        </is>
      </c>
      <c r="J19" s="1311" t="inlineStr">
        <is>
          <t>2022 v 2021</t>
        </is>
      </c>
      <c r="K19" s="878">
        <f>IFERROR((K17-K21)/K21,0)</f>
        <v/>
      </c>
      <c r="L19" s="878">
        <f>IFERROR((L17-L21)/L21,0)</f>
        <v/>
      </c>
      <c r="M19" s="878">
        <f>IFERROR((M17-M21)/M21,0)</f>
        <v/>
      </c>
      <c r="N19" s="878">
        <f>IFERROR((N17-N21)/N21,0)</f>
        <v/>
      </c>
      <c r="O19" s="878">
        <f>IFERROR((O17-O21)/O21,0)</f>
        <v/>
      </c>
      <c r="P19" s="878">
        <f>IFERROR((P17-P21)/P21,0)</f>
        <v/>
      </c>
      <c r="Q19" s="878">
        <f>IFERROR((Q17-Q21)/Q21,0)</f>
        <v/>
      </c>
      <c r="R19" s="878">
        <f>IFERROR((R17-R21)/R21,0)</f>
        <v/>
      </c>
      <c r="S19" s="878">
        <f>IFERROR((S17-S21)/S21,0)</f>
        <v/>
      </c>
      <c r="T19" s="878">
        <f>IFERROR((T17-T21)/T21,0)</f>
        <v/>
      </c>
      <c r="U19" s="878">
        <f>IFERROR((U17-U21)/U21,0)</f>
        <v/>
      </c>
      <c r="V19" s="878">
        <f>IFERROR((V17-V21)/V21,0)</f>
        <v/>
      </c>
      <c r="W19" s="878">
        <f>IFERROR((W17-W21)/W21,0)</f>
        <v/>
      </c>
      <c r="X19" s="583" t="n"/>
      <c r="Y19" s="585" t="n"/>
      <c r="Z19" s="1260" t="inlineStr">
        <is>
          <t>Last 6 months Avg</t>
        </is>
      </c>
      <c r="AB19" s="821">
        <f>SUM(+Q17+R17+S17+T17+U17+V17)/6</f>
        <v/>
      </c>
    </row>
    <row r="20" ht="13.15" customHeight="1" s="1232">
      <c r="I20" s="1310" t="n"/>
      <c r="J20" s="1299" t="n"/>
      <c r="N20" s="432" t="n"/>
      <c r="P20" s="432" t="n"/>
      <c r="Q20" s="432" t="n"/>
      <c r="R20" s="432" t="n"/>
      <c r="S20" s="432" t="n"/>
      <c r="T20" s="432" t="n"/>
      <c r="U20" s="432" t="n">
        <v>3345</v>
      </c>
      <c r="V20" s="432">
        <f>V17-U20</f>
        <v/>
      </c>
      <c r="W20" s="432" t="n"/>
      <c r="X20" s="583" t="n"/>
      <c r="Y20" s="585" t="n"/>
      <c r="Z20" s="1260" t="n"/>
      <c r="AB20" s="821" t="n"/>
    </row>
    <row r="21" ht="13.15" customHeight="1" s="1232">
      <c r="I21" s="1313" t="inlineStr">
        <is>
          <t>2021</t>
        </is>
      </c>
      <c r="J21" s="1287" t="inlineStr">
        <is>
          <t>Year 9 (Covid-19)</t>
        </is>
      </c>
      <c r="K21" s="558" t="n">
        <v>1633</v>
      </c>
      <c r="L21" s="558" t="n">
        <v>3730.19</v>
      </c>
      <c r="M21" s="558" t="n">
        <v>18208.68</v>
      </c>
      <c r="N21" s="558" t="n">
        <v>3783</v>
      </c>
      <c r="O21" s="558" t="n">
        <v>3750.38</v>
      </c>
      <c r="P21" s="558" t="n">
        <v>4858.6</v>
      </c>
      <c r="Q21" s="558" t="n">
        <v>3785.35</v>
      </c>
      <c r="R21" s="558" t="n">
        <v>7391.76</v>
      </c>
      <c r="S21" s="558" t="n">
        <v>5355.23</v>
      </c>
      <c r="T21" s="558" t="n">
        <v>5201</v>
      </c>
      <c r="U21" s="558" t="n">
        <v>4340.02</v>
      </c>
      <c r="V21" s="558" t="n">
        <v>7628.76</v>
      </c>
      <c r="W21" s="431">
        <f>SUM(K21:V21)</f>
        <v/>
      </c>
      <c r="X21" s="583">
        <f>W21-W22</f>
        <v/>
      </c>
      <c r="Y21" s="585">
        <f>X21/W22</f>
        <v/>
      </c>
      <c r="Z21" s="1260" t="n"/>
      <c r="AB21" s="821" t="n"/>
    </row>
    <row r="22" ht="13.15" customHeight="1" s="1232">
      <c r="I22" s="1313" t="inlineStr">
        <is>
          <t>2020</t>
        </is>
      </c>
      <c r="J22" s="1287" t="inlineStr">
        <is>
          <t>Year 8 (Covid-19)</t>
        </is>
      </c>
      <c r="K22" s="558" t="n">
        <v>7647.85</v>
      </c>
      <c r="L22" s="558" t="n">
        <v>5051.64</v>
      </c>
      <c r="M22" s="558" t="n">
        <v>4783.746923076923</v>
      </c>
      <c r="N22" s="558" t="n">
        <v>1598.35</v>
      </c>
      <c r="O22" s="558" t="n">
        <v>1786.66</v>
      </c>
      <c r="P22" s="558" t="n">
        <v>6854.62</v>
      </c>
      <c r="Q22" s="558" t="n">
        <v>2667</v>
      </c>
      <c r="R22" s="558" t="n">
        <v>11694.07</v>
      </c>
      <c r="S22" s="558" t="n">
        <v>4126.62</v>
      </c>
      <c r="T22" s="558" t="n">
        <v>2423.69</v>
      </c>
      <c r="U22" s="558" t="n">
        <v>3332.58</v>
      </c>
      <c r="V22" s="558" t="n">
        <v>3035.07</v>
      </c>
      <c r="W22" s="431">
        <f>SUM(K22:V22)</f>
        <v/>
      </c>
      <c r="X22" s="583">
        <f>W22-W23</f>
        <v/>
      </c>
      <c r="Y22" s="585">
        <f>X22/W23</f>
        <v/>
      </c>
      <c r="Z22" s="1260" t="n"/>
      <c r="AB22" s="821" t="n"/>
    </row>
    <row r="23" ht="13.9" customHeight="1" s="1232">
      <c r="B23" s="1271" t="n"/>
      <c r="C23" s="1271" t="n"/>
      <c r="E23" s="1296" t="n"/>
      <c r="F23" s="1297" t="n"/>
      <c r="G23" s="1271" t="n"/>
      <c r="I23" s="1313" t="inlineStr">
        <is>
          <t>2019</t>
        </is>
      </c>
      <c r="J23" s="1287" t="inlineStr">
        <is>
          <t>Year 7</t>
        </is>
      </c>
      <c r="K23" s="558" t="n">
        <v>5891.07</v>
      </c>
      <c r="L23" s="558" t="n">
        <v>2739.5</v>
      </c>
      <c r="M23" s="558" t="n">
        <v>4414.5</v>
      </c>
      <c r="N23" s="558" t="n">
        <v>5147.5</v>
      </c>
      <c r="O23" s="558" t="n">
        <v>6878</v>
      </c>
      <c r="P23" s="558" t="n">
        <v>4875.34</v>
      </c>
      <c r="Q23" s="558" t="n">
        <v>5769.97</v>
      </c>
      <c r="R23" s="558" t="n">
        <v>7463.89</v>
      </c>
      <c r="S23" s="558" t="n">
        <v>6034.39</v>
      </c>
      <c r="T23" s="558" t="n">
        <v>4573.58</v>
      </c>
      <c r="U23" s="558" t="n">
        <v>5973.75</v>
      </c>
      <c r="V23" s="558" t="n">
        <v>5421.440000000001</v>
      </c>
      <c r="W23" s="431">
        <f>SUM(K23:V23)</f>
        <v/>
      </c>
      <c r="X23" s="583">
        <f>W23-W24</f>
        <v/>
      </c>
      <c r="Y23" s="585">
        <f>X23/W24</f>
        <v/>
      </c>
      <c r="Z23" s="1260" t="inlineStr">
        <is>
          <t>Previous 6 months Avg</t>
        </is>
      </c>
      <c r="AB23" s="821">
        <f>SUM(K17+L17+M17+N17+O17+P17)/6</f>
        <v/>
      </c>
    </row>
    <row r="24" ht="13.9" customHeight="1" s="1232">
      <c r="B24" s="1271" t="n"/>
      <c r="C24" s="1271" t="n"/>
      <c r="E24" s="1296" t="n"/>
      <c r="F24" s="1297" t="n"/>
      <c r="I24" s="1313" t="inlineStr">
        <is>
          <t>2018</t>
        </is>
      </c>
      <c r="J24" s="1260" t="inlineStr">
        <is>
          <t>Year 6</t>
        </is>
      </c>
      <c r="K24" s="558" t="n">
        <v>8277.470000000001</v>
      </c>
      <c r="L24" s="558" t="n">
        <v>10607.11</v>
      </c>
      <c r="M24" s="558" t="n">
        <v>7155.05</v>
      </c>
      <c r="N24" s="558" t="n">
        <v>4371.015</v>
      </c>
      <c r="O24" s="558" t="n">
        <v>4002.63</v>
      </c>
      <c r="P24" s="558" t="n">
        <v>3243.6</v>
      </c>
      <c r="Q24" s="558" t="n">
        <v>2859.03</v>
      </c>
      <c r="R24" s="558" t="n">
        <v>4792.59</v>
      </c>
      <c r="S24" s="558" t="n">
        <v>6443.88</v>
      </c>
      <c r="T24" s="558" t="n">
        <v>3908.03</v>
      </c>
      <c r="U24" s="558" t="n">
        <v>8299.08</v>
      </c>
      <c r="V24" s="558" t="n">
        <v>4642.25</v>
      </c>
      <c r="W24" s="431">
        <f>SUM(K24:V24)</f>
        <v/>
      </c>
      <c r="X24" s="583">
        <f>W24-W25</f>
        <v/>
      </c>
      <c r="Y24" s="585">
        <f>X24/W25</f>
        <v/>
      </c>
      <c r="AB24" s="445">
        <f>SUM(AB19-AB23)/AB19</f>
        <v/>
      </c>
      <c r="AD24" s="470" t="n"/>
      <c r="AE24" s="1372" t="n"/>
      <c r="AF24" s="1372" t="n"/>
      <c r="AG24" s="472" t="n"/>
      <c r="AH24" s="472" t="n"/>
      <c r="AI24" s="1373" t="n"/>
    </row>
    <row r="25" ht="13.9" customHeight="1" s="1232">
      <c r="B25" s="1271" t="n"/>
      <c r="C25" s="1271" t="n"/>
      <c r="D25" s="1292" t="n"/>
      <c r="E25" s="1296" t="n"/>
      <c r="F25" s="1297" t="n"/>
      <c r="I25" s="1316" t="inlineStr">
        <is>
          <t>2017</t>
        </is>
      </c>
      <c r="J25" s="1260" t="inlineStr">
        <is>
          <t>Year 5</t>
        </is>
      </c>
      <c r="K25" s="558" t="n">
        <v>3203.5</v>
      </c>
      <c r="L25" s="558" t="n">
        <v>6685</v>
      </c>
      <c r="M25" s="558" t="n">
        <v>6242.83</v>
      </c>
      <c r="N25" s="558" t="n">
        <v>6063.17</v>
      </c>
      <c r="O25" s="558" t="n">
        <v>5851.71</v>
      </c>
      <c r="P25" s="558" t="n">
        <v>5479.93</v>
      </c>
      <c r="Q25" s="558" t="n">
        <v>3603.81</v>
      </c>
      <c r="R25" s="558" t="n">
        <v>4658.85</v>
      </c>
      <c r="S25" s="558" t="n">
        <v>10821.67</v>
      </c>
      <c r="T25" s="558" t="n">
        <v>9224.58</v>
      </c>
      <c r="U25" s="558" t="n">
        <v>10504.09</v>
      </c>
      <c r="V25" s="558" t="n">
        <v>4329.030000000001</v>
      </c>
      <c r="W25" s="431">
        <f>SUM(K25:V25)</f>
        <v/>
      </c>
      <c r="X25" s="583">
        <f>W25-W26</f>
        <v/>
      </c>
      <c r="Y25" s="585">
        <f>X25/W26</f>
        <v/>
      </c>
      <c r="AA25" s="1273" t="inlineStr">
        <is>
          <t>Forecast</t>
        </is>
      </c>
      <c r="AB25" s="1379">
        <f>SUM(W17)+(AB17*1)</f>
        <v/>
      </c>
      <c r="AD25" s="470" t="n"/>
      <c r="AE25" s="1372" t="n"/>
      <c r="AF25" s="1372" t="n"/>
      <c r="AG25" s="472" t="n"/>
      <c r="AH25" s="472" t="n"/>
      <c r="AI25" s="1373" t="n"/>
    </row>
    <row r="26" ht="13.9" customHeight="1" s="1232">
      <c r="B26" s="1271" t="n"/>
      <c r="C26" s="1271" t="n"/>
      <c r="E26" s="1296" t="n"/>
      <c r="F26" s="1297" t="n"/>
      <c r="I26" s="1316" t="inlineStr">
        <is>
          <t>2016</t>
        </is>
      </c>
      <c r="J26" s="1287" t="inlineStr">
        <is>
          <t>Year 4 (surgery)</t>
        </is>
      </c>
      <c r="K26" s="558" t="n">
        <v>4537</v>
      </c>
      <c r="L26" s="558">
        <f>4583-264</f>
        <v/>
      </c>
      <c r="M26" s="558">
        <f>3935-213</f>
        <v/>
      </c>
      <c r="N26" s="558">
        <f>4947-396</f>
        <v/>
      </c>
      <c r="O26" s="558">
        <f>3911-293</f>
        <v/>
      </c>
      <c r="P26" s="558">
        <f>2992-213</f>
        <v/>
      </c>
      <c r="Q26" s="558">
        <f>2927-218</f>
        <v/>
      </c>
      <c r="R26" s="558">
        <f>7466-213</f>
        <v/>
      </c>
      <c r="S26" s="558">
        <f>4218-425</f>
        <v/>
      </c>
      <c r="T26" s="558">
        <f>10697-213</f>
        <v/>
      </c>
      <c r="U26" s="558">
        <f>5081-213</f>
        <v/>
      </c>
      <c r="V26" s="558">
        <f>5220-213</f>
        <v/>
      </c>
      <c r="W26" s="431">
        <f>SUM(K26:V26)</f>
        <v/>
      </c>
      <c r="X26" s="583">
        <f>W26-W27</f>
        <v/>
      </c>
      <c r="Y26" s="585">
        <f>X26/W27</f>
        <v/>
      </c>
      <c r="Z26" s="445" t="n"/>
      <c r="AA26" s="771" t="n"/>
      <c r="AB26" s="803" t="n"/>
      <c r="AD26" s="470" t="n"/>
      <c r="AE26" s="1372" t="n"/>
      <c r="AF26" s="1372" t="n"/>
      <c r="AG26" s="472" t="n"/>
      <c r="AH26" s="472" t="n"/>
      <c r="AI26" s="1373" t="n"/>
    </row>
    <row r="27" ht="13.9" customHeight="1" s="1232">
      <c r="B27" s="1271" t="inlineStr">
        <is>
          <t>Tony Teague</t>
        </is>
      </c>
      <c r="C27" s="1271" t="inlineStr">
        <is>
          <t>Deals Won - Waiting £</t>
        </is>
      </c>
      <c r="D27" s="548" t="inlineStr">
        <is>
          <t>paid 250 deposit</t>
        </is>
      </c>
      <c r="E27" s="1296" t="n"/>
      <c r="F27" s="1297" t="inlineStr">
        <is>
          <t>Dingle / Ireland</t>
        </is>
      </c>
      <c r="I27" s="1316" t="inlineStr">
        <is>
          <t>2015</t>
        </is>
      </c>
      <c r="J27" s="1260" t="inlineStr">
        <is>
          <t>Year 3</t>
        </is>
      </c>
      <c r="K27" s="558" t="n">
        <v>3710</v>
      </c>
      <c r="L27" s="558" t="n">
        <v>3750</v>
      </c>
      <c r="M27" s="558" t="n">
        <v>7113</v>
      </c>
      <c r="N27" s="558">
        <f>3928-213</f>
        <v/>
      </c>
      <c r="O27" s="558">
        <f>2501-213</f>
        <v/>
      </c>
      <c r="P27" s="558">
        <f>3468-213</f>
        <v/>
      </c>
      <c r="Q27" s="558">
        <f>1986-224</f>
        <v/>
      </c>
      <c r="R27" s="558">
        <f>4145-212</f>
        <v/>
      </c>
      <c r="S27" s="558">
        <f>8518-212</f>
        <v/>
      </c>
      <c r="T27" s="558">
        <f>5829-424</f>
        <v/>
      </c>
      <c r="U27" s="558">
        <f>3816-212</f>
        <v/>
      </c>
      <c r="V27" s="558">
        <f>12440-212</f>
        <v/>
      </c>
      <c r="W27" s="431">
        <f>SUM(K27:V27)</f>
        <v/>
      </c>
      <c r="X27" s="583">
        <f>W27-W28</f>
        <v/>
      </c>
      <c r="Y27" s="585">
        <f>X27/W28</f>
        <v/>
      </c>
      <c r="Z27" s="445" t="n"/>
      <c r="AA27" s="445" t="n"/>
      <c r="AB27" s="1260" t="inlineStr">
        <is>
          <t>.</t>
        </is>
      </c>
      <c r="AD27" s="470" t="n"/>
      <c r="AE27" s="1372" t="n"/>
      <c r="AF27" s="1372" t="n"/>
      <c r="AG27" s="472" t="n"/>
      <c r="AH27" s="472" t="n"/>
      <c r="AI27" s="1373" t="n"/>
    </row>
    <row r="28" ht="13.9" customHeight="1" s="1232">
      <c r="B28" s="1271" t="n"/>
      <c r="C28" s="1271" t="n"/>
      <c r="D28" s="470" t="n"/>
      <c r="E28" s="1296" t="n"/>
      <c r="F28" s="1305" t="n"/>
      <c r="I28" s="1316" t="inlineStr">
        <is>
          <t>2014</t>
        </is>
      </c>
      <c r="J28" s="1260" t="inlineStr">
        <is>
          <t>Year 2</t>
        </is>
      </c>
      <c r="K28" s="558">
        <f>4439-1260</f>
        <v/>
      </c>
      <c r="L28" s="558">
        <f>3071-197</f>
        <v/>
      </c>
      <c r="M28" s="558">
        <f>4958-132</f>
        <v/>
      </c>
      <c r="N28" s="558">
        <f>3585-132</f>
        <v/>
      </c>
      <c r="O28" s="558">
        <f>5008-33</f>
        <v/>
      </c>
      <c r="P28" s="558" t="n">
        <v>3386</v>
      </c>
      <c r="Q28" s="558" t="n">
        <v>3633</v>
      </c>
      <c r="R28" s="558" t="n">
        <v>3855</v>
      </c>
      <c r="S28" s="558" t="n">
        <v>6440</v>
      </c>
      <c r="T28" s="558" t="n">
        <v>3536</v>
      </c>
      <c r="U28" s="558" t="n">
        <v>2851</v>
      </c>
      <c r="V28" s="558" t="n">
        <v>7614</v>
      </c>
      <c r="W28" s="431">
        <f>SUM(K28:V28)</f>
        <v/>
      </c>
      <c r="X28" s="583">
        <f>W28-W29</f>
        <v/>
      </c>
      <c r="Y28" s="585">
        <f>X28/W29</f>
        <v/>
      </c>
      <c r="AD28" s="470" t="n"/>
      <c r="AE28" s="1372" t="n"/>
      <c r="AF28" s="1372" t="n"/>
      <c r="AG28" s="472" t="n"/>
      <c r="AH28" s="472" t="n"/>
      <c r="AI28" s="1373" t="n"/>
    </row>
    <row r="29" ht="13.9" customHeight="1" s="1232">
      <c r="B29" s="1271" t="n"/>
      <c r="C29" s="1271" t="n"/>
      <c r="D29" s="548" t="n"/>
      <c r="E29" s="1296" t="n"/>
      <c r="F29" s="1297" t="n"/>
      <c r="I29" s="1313" t="inlineStr">
        <is>
          <t>2013</t>
        </is>
      </c>
      <c r="J29" s="1260" t="inlineStr">
        <is>
          <t>Year 1</t>
        </is>
      </c>
      <c r="K29" s="558" t="n"/>
      <c r="L29" s="558" t="n"/>
      <c r="M29" s="558" t="n"/>
      <c r="N29" s="558" t="n"/>
      <c r="O29" s="558" t="n"/>
      <c r="P29" s="558" t="n"/>
      <c r="Q29" s="558" t="n"/>
      <c r="R29" s="558" t="n"/>
      <c r="S29" s="558" t="n"/>
      <c r="T29" s="558" t="n"/>
      <c r="U29" s="558">
        <f>3346-338</f>
        <v/>
      </c>
      <c r="V29" s="558">
        <f>6776-390</f>
        <v/>
      </c>
      <c r="W29" s="431">
        <f>SUM(K29:V29)</f>
        <v/>
      </c>
      <c r="AD29" s="470" t="n"/>
      <c r="AE29" s="1372" t="n"/>
      <c r="AF29" s="1372" t="n"/>
      <c r="AG29" s="472" t="n"/>
      <c r="AH29" s="472" t="n"/>
      <c r="AI29" s="1373" t="n"/>
    </row>
    <row r="30" ht="13.9" customHeight="1" s="1232">
      <c r="B30" s="1271" t="inlineStr">
        <is>
          <t>Renata</t>
        </is>
      </c>
      <c r="C30" s="1271" t="inlineStr">
        <is>
          <t>Deals Won - Waiting £</t>
        </is>
      </c>
      <c r="E30" s="1296" t="n">
        <v>25</v>
      </c>
      <c r="F30" s="1297" t="inlineStr">
        <is>
          <t>Peak District</t>
        </is>
      </c>
      <c r="X30" s="1260" t="inlineStr">
        <is>
          <t>YoY +/-</t>
        </is>
      </c>
      <c r="Y30" s="688">
        <f>W17-K21-L21-M21-N21-O21-P21-Q21-R21-S21-T21-U21-V21</f>
        <v/>
      </c>
      <c r="Z30" s="839">
        <f>Y30/W17</f>
        <v/>
      </c>
      <c r="AD30" s="470" t="n"/>
      <c r="AE30" s="1372" t="n"/>
      <c r="AF30" s="1372" t="n"/>
      <c r="AG30" s="472" t="n"/>
      <c r="AH30" s="472" t="n"/>
      <c r="AI30" s="1373" t="n"/>
    </row>
    <row r="31" ht="15" customHeight="1" s="1232">
      <c r="I31" s="1318" t="inlineStr">
        <is>
          <t>Leads In Progress</t>
        </is>
      </c>
      <c r="J31" s="448">
        <f>SUMIF($C2:E99,I31,$E2:$E69)</f>
        <v/>
      </c>
      <c r="K31" s="558">
        <f>AVERAGE(K21:K28)</f>
        <v/>
      </c>
      <c r="L31" s="558">
        <f>AVERAGE(L21:L28)</f>
        <v/>
      </c>
      <c r="M31" s="558">
        <f>AVERAGE(M21:M28)</f>
        <v/>
      </c>
      <c r="N31" s="558">
        <f>AVERAGE(N21:N28)</f>
        <v/>
      </c>
      <c r="O31" s="558">
        <f>AVERAGE(O21:O28)</f>
        <v/>
      </c>
      <c r="P31" s="558">
        <f>AVERAGE(P21:P28)</f>
        <v/>
      </c>
      <c r="Q31" s="558">
        <f>AVERAGE(Q21:Q28)</f>
        <v/>
      </c>
      <c r="R31" s="558">
        <f>AVERAGE(R21:R28)</f>
        <v/>
      </c>
      <c r="S31" s="558">
        <f>AVERAGE(S21:S28)</f>
        <v/>
      </c>
      <c r="T31" s="558">
        <f>AVERAGE(T21:T28)</f>
        <v/>
      </c>
      <c r="U31" s="558">
        <f>AVERAGE(U21:U28)</f>
        <v/>
      </c>
      <c r="V31" s="558">
        <f>AVERAGE(V21:V28)</f>
        <v/>
      </c>
      <c r="W31" s="449">
        <f>SUM(K31:V31)</f>
        <v/>
      </c>
      <c r="X31" s="449" t="inlineStr">
        <is>
          <t>Avg</t>
        </is>
      </c>
      <c r="AD31" s="470" t="n"/>
      <c r="AE31" s="1372" t="n"/>
      <c r="AF31" s="1372" t="n"/>
      <c r="AG31" s="472" t="n"/>
      <c r="AH31" s="472" t="n"/>
      <c r="AI31" s="1373" t="n"/>
    </row>
    <row r="32" ht="15" customHeight="1" s="1232">
      <c r="B32" s="1271" t="inlineStr">
        <is>
          <t>Thomas Daniels</t>
        </is>
      </c>
      <c r="C32" s="1271" t="inlineStr">
        <is>
          <t>Deals Won - Waiting £</t>
        </is>
      </c>
      <c r="D32" s="548" t="inlineStr">
        <is>
          <t>Lake District Mar 2023</t>
        </is>
      </c>
      <c r="E32" s="1296" t="n">
        <v>200</v>
      </c>
      <c r="F32" s="1297" t="inlineStr">
        <is>
          <t>due 31 Jan 2023</t>
        </is>
      </c>
      <c r="I32" s="1319" t="inlineStr">
        <is>
          <t>Deals Won - Waiting £</t>
        </is>
      </c>
      <c r="J32" s="451">
        <f>SUMIF($C2:E69,I32,$E2:$E69)</f>
        <v/>
      </c>
      <c r="L32" s="449" t="n"/>
      <c r="M32" s="449" t="n"/>
      <c r="N32" s="449" t="n"/>
      <c r="O32" s="449" t="n"/>
      <c r="P32" s="449" t="n"/>
      <c r="Q32" s="449" t="n"/>
      <c r="R32" s="449" t="n"/>
      <c r="S32" s="449" t="n"/>
      <c r="T32" s="449" t="n"/>
      <c r="U32" s="449" t="n"/>
      <c r="V32" s="449" t="n"/>
      <c r="W32" s="449" t="n"/>
      <c r="X32" s="449" t="n"/>
      <c r="AD32" s="470" t="n"/>
      <c r="AE32" s="1372" t="n"/>
      <c r="AF32" s="1372" t="n"/>
      <c r="AG32" s="472" t="n"/>
      <c r="AH32" s="472" t="n"/>
      <c r="AI32" s="1373" t="n"/>
    </row>
    <row r="33" ht="15.4" customHeight="1" s="1232" thickBot="1">
      <c r="B33" s="1271" t="n"/>
      <c r="C33" s="1271" t="n"/>
      <c r="D33" s="470" t="n"/>
      <c r="E33" s="1296" t="n"/>
      <c r="F33" s="1297" t="n"/>
      <c r="I33" s="1322" t="inlineStr">
        <is>
          <t>Pipeline</t>
        </is>
      </c>
      <c r="J33" s="453">
        <f>SUM(J31:J32)</f>
        <v/>
      </c>
      <c r="K33" s="914" t="n"/>
      <c r="L33" s="914" t="n"/>
      <c r="M33" s="914" t="n"/>
      <c r="N33" s="914" t="n"/>
      <c r="O33" s="914" t="n"/>
      <c r="P33" s="914" t="n"/>
      <c r="Q33" s="914" t="n"/>
      <c r="R33" s="914" t="n"/>
      <c r="S33" s="914" t="n"/>
      <c r="T33" s="914" t="n"/>
      <c r="U33" s="1219" t="inlineStr">
        <is>
          <t>To Date - All Time</t>
        </is>
      </c>
      <c r="V33" s="1220" t="n"/>
      <c r="W33" s="688">
        <f>SUM(W21:W29)+W17</f>
        <v/>
      </c>
      <c r="X33" s="914" t="n"/>
    </row>
    <row r="34" ht="13.9" customHeight="1" s="1232" thickBot="1">
      <c r="B34" s="1271" t="n"/>
      <c r="C34" s="1271" t="n"/>
      <c r="D34" s="470" t="n"/>
      <c r="E34" s="1296" t="n"/>
      <c r="F34" s="1297" t="n"/>
      <c r="J34" s="914" t="n"/>
      <c r="K34" s="914" t="n"/>
      <c r="L34" s="914" t="n"/>
      <c r="M34" s="914" t="n"/>
      <c r="N34" s="914" t="n"/>
      <c r="O34" s="914" t="n"/>
      <c r="P34" s="914" t="n"/>
      <c r="Q34" s="914" t="n"/>
      <c r="R34" s="914" t="n"/>
      <c r="S34" s="914" t="n"/>
      <c r="T34" s="914" t="n"/>
      <c r="U34" s="1219" t="inlineStr">
        <is>
          <t>Average Per Year</t>
        </is>
      </c>
      <c r="V34" s="1220" t="n"/>
      <c r="W34" s="558">
        <f>SUM(W21:W28)/8</f>
        <v/>
      </c>
      <c r="X34" s="914" t="n"/>
    </row>
    <row r="35" ht="13.9" customHeight="1" s="1232">
      <c r="B35" s="1380" t="inlineStr">
        <is>
          <t>Thomas Papanikolaou</t>
        </is>
      </c>
      <c r="C35" s="1380" t="inlineStr">
        <is>
          <t>Deals Won - Waiting £</t>
        </is>
      </c>
      <c r="D35" s="909" t="inlineStr">
        <is>
          <t xml:space="preserve">ELS </t>
        </is>
      </c>
      <c r="E35" s="1381" t="n">
        <v>200</v>
      </c>
      <c r="F35" s="1382" t="inlineStr">
        <is>
          <t>due 5th Dec</t>
        </is>
      </c>
      <c r="I35" s="1327" t="inlineStr">
        <is>
          <t>YTD Actual</t>
        </is>
      </c>
      <c r="J35" s="456">
        <f>W17</f>
        <v/>
      </c>
      <c r="K35" s="914">
        <f>SUM(E154:E690)-J35</f>
        <v/>
      </c>
      <c r="L35" s="914" t="n"/>
      <c r="M35" s="914" t="n"/>
      <c r="N35" s="914" t="n"/>
      <c r="O35" s="914" t="n"/>
      <c r="P35" s="914" t="n"/>
      <c r="Q35" s="914" t="n"/>
      <c r="R35" s="914" t="n"/>
      <c r="S35" s="914" t="n"/>
      <c r="T35" s="914" t="n"/>
      <c r="U35" s="914" t="n"/>
      <c r="V35" s="914" t="n"/>
      <c r="W35" s="914" t="n"/>
      <c r="X35" s="914" t="n"/>
    </row>
    <row r="36" ht="14.25" customHeight="1" s="1232" thickBot="1">
      <c r="B36" s="1380" t="n"/>
      <c r="C36" s="1380" t="n"/>
      <c r="D36" s="909" t="n"/>
      <c r="E36" s="1381" t="n"/>
      <c r="F36" s="1382" t="n"/>
      <c r="I36" s="1328" t="inlineStr">
        <is>
          <t>YTD Var to target</t>
        </is>
      </c>
      <c r="J36" s="458">
        <f>J35-AA17</f>
        <v/>
      </c>
      <c r="K36" s="914" t="n"/>
      <c r="L36" s="914" t="n"/>
      <c r="M36" s="914" t="n"/>
      <c r="N36" s="914" t="n"/>
      <c r="O36" s="914" t="n"/>
      <c r="P36" s="914" t="n"/>
      <c r="Q36" s="914" t="n"/>
      <c r="R36" s="914" t="n"/>
      <c r="S36" s="914" t="n"/>
      <c r="T36" s="914" t="n"/>
      <c r="U36" s="914" t="n"/>
      <c r="V36" s="914" t="n"/>
      <c r="W36" s="914" t="n"/>
      <c r="X36" s="914" t="n"/>
    </row>
    <row r="37" ht="13.5" customHeight="1" s="1232">
      <c r="B37" s="1271" t="inlineStr">
        <is>
          <t>Gavin Louer/Patsy</t>
        </is>
      </c>
      <c r="C37" s="1271" t="inlineStr">
        <is>
          <t>Deals Won - Waiting £</t>
        </is>
      </c>
      <c r="D37" s="548" t="inlineStr">
        <is>
          <t>Lake District Sep 2023</t>
        </is>
      </c>
      <c r="E37" s="1296" t="n">
        <v>625</v>
      </c>
      <c r="F37" s="1297" t="inlineStr">
        <is>
          <t>Due 22nd June 2023</t>
        </is>
      </c>
      <c r="J37" s="914" t="n"/>
      <c r="K37" s="914" t="n"/>
      <c r="L37" s="914" t="n"/>
      <c r="M37" s="914" t="n"/>
      <c r="N37" s="914" t="n"/>
      <c r="O37" s="914" t="n"/>
      <c r="P37" s="914" t="n"/>
      <c r="Q37" s="914" t="n"/>
      <c r="R37" s="914" t="n"/>
      <c r="S37" s="914" t="n"/>
      <c r="T37" s="914" t="n"/>
      <c r="U37" s="914" t="n"/>
      <c r="V37" s="914" t="n"/>
      <c r="W37" s="914" t="n"/>
      <c r="X37" s="914" t="n"/>
    </row>
    <row r="38">
      <c r="J38" s="914" t="n"/>
      <c r="K38" s="914" t="n"/>
      <c r="L38" s="914" t="n"/>
      <c r="M38" s="914" t="n"/>
      <c r="N38" s="914" t="n"/>
      <c r="O38" s="914" t="n"/>
      <c r="P38" s="914" t="n"/>
      <c r="Q38" s="914" t="n"/>
      <c r="R38" s="914" t="n"/>
      <c r="S38" s="914" t="n"/>
      <c r="T38" s="914" t="n"/>
      <c r="U38" s="914" t="n"/>
      <c r="V38" s="914" t="n"/>
      <c r="W38" s="914" t="n"/>
      <c r="X38" s="914" t="n"/>
    </row>
    <row r="39" ht="13.9" customHeight="1" s="1232">
      <c r="B39" s="1271" t="inlineStr">
        <is>
          <t>Pure Photo</t>
        </is>
      </c>
      <c r="C39" s="1271" t="inlineStr">
        <is>
          <t>Deals Won - Waiting £</t>
        </is>
      </c>
      <c r="D39" s="470" t="n"/>
      <c r="E39" s="1296" t="n"/>
      <c r="F39" s="1297" t="n"/>
      <c r="G39" s="1374" t="n"/>
      <c r="I39" s="1336" t="inlineStr">
        <is>
          <t>Tuition Categories</t>
        </is>
      </c>
      <c r="J39" s="1330" t="inlineStr">
        <is>
          <t>Variance to 2021</t>
        </is>
      </c>
      <c r="K39" s="1332" t="inlineStr">
        <is>
          <t>Jan</t>
        </is>
      </c>
      <c r="L39" s="1332" t="inlineStr">
        <is>
          <t>Feb</t>
        </is>
      </c>
      <c r="M39" s="1332" t="inlineStr">
        <is>
          <t>Mar</t>
        </is>
      </c>
      <c r="N39" s="1332" t="inlineStr">
        <is>
          <t>Apr</t>
        </is>
      </c>
      <c r="O39" s="1332" t="inlineStr">
        <is>
          <t>May</t>
        </is>
      </c>
      <c r="P39" s="1332" t="inlineStr">
        <is>
          <t>Jun</t>
        </is>
      </c>
      <c r="Q39" s="1332" t="inlineStr">
        <is>
          <t>Jul</t>
        </is>
      </c>
      <c r="R39" s="1332" t="inlineStr">
        <is>
          <t>Aug</t>
        </is>
      </c>
      <c r="S39" s="1332" t="inlineStr">
        <is>
          <t>Sep</t>
        </is>
      </c>
      <c r="T39" s="1332" t="inlineStr">
        <is>
          <t>Oct</t>
        </is>
      </c>
      <c r="U39" s="1332" t="inlineStr">
        <is>
          <t>Nov</t>
        </is>
      </c>
      <c r="V39" s="1332" t="inlineStr">
        <is>
          <t>Dec</t>
        </is>
      </c>
      <c r="W39" s="1278" t="inlineStr">
        <is>
          <t>Year</t>
        </is>
      </c>
      <c r="Y39" s="1280" t="inlineStr">
        <is>
          <t>Var YTD</t>
        </is>
      </c>
    </row>
    <row r="40" ht="13.5" customHeight="1" s="1232">
      <c r="B40" s="1294" t="n"/>
      <c r="C40" s="1294" t="n"/>
      <c r="D40" s="470" t="n"/>
      <c r="E40" s="1296" t="n"/>
      <c r="F40" s="1297" t="n"/>
      <c r="G40" s="1374" t="n"/>
      <c r="I40" s="1333" t="inlineStr">
        <is>
          <t>1. Courses/masterclasses</t>
        </is>
      </c>
      <c r="J40" s="431" t="n"/>
      <c r="K40" s="432">
        <f>K6-'Sales 2021'!K6</f>
        <v/>
      </c>
      <c r="L40" s="432">
        <f>L6-'Sales 2021'!L6</f>
        <v/>
      </c>
      <c r="M40" s="432">
        <f>M6-'Sales 2021'!M6</f>
        <v/>
      </c>
      <c r="N40" s="432">
        <f>N6-'Sales 2021'!N6</f>
        <v/>
      </c>
      <c r="O40" s="432">
        <f>O6-'Sales 2021'!O6</f>
        <v/>
      </c>
      <c r="P40" s="432">
        <f>P6-'Sales 2021'!P6</f>
        <v/>
      </c>
      <c r="Q40" s="432">
        <f>Q6-'Sales 2021'!Q6</f>
        <v/>
      </c>
      <c r="R40" s="432">
        <f>R6-'Sales 2021'!R6</f>
        <v/>
      </c>
      <c r="S40" s="432">
        <f>S6-'Sales 2021'!S6</f>
        <v/>
      </c>
      <c r="T40" s="432">
        <f>T6-'Sales 2021'!T6</f>
        <v/>
      </c>
      <c r="U40" s="432">
        <f>U6-'Sales 2021'!U6</f>
        <v/>
      </c>
      <c r="V40" s="432">
        <f>V6-'Sales 2021'!V6</f>
        <v/>
      </c>
      <c r="W40" s="788">
        <f>SUM(K40:V40)</f>
        <v/>
      </c>
      <c r="X40" s="445">
        <f>W40/'Sales 2020'!W5</f>
        <v/>
      </c>
      <c r="Y40" s="790">
        <f>SUM(K40:P40)</f>
        <v/>
      </c>
      <c r="Z40" s="445" t="n"/>
    </row>
    <row r="41" ht="13.5" customHeight="1" s="1232">
      <c r="B41" s="1271" t="inlineStr">
        <is>
          <t>Artfully Walls</t>
        </is>
      </c>
      <c r="C41" s="1271" t="inlineStr">
        <is>
          <t>Deals Won - Waiting £</t>
        </is>
      </c>
      <c r="D41" s="470" t="n"/>
      <c r="E41" s="1296" t="n"/>
      <c r="F41" s="1297" t="n"/>
      <c r="G41" s="1374" t="n"/>
      <c r="I41" s="1333" t="inlineStr">
        <is>
          <t>2. Workshops</t>
        </is>
      </c>
      <c r="J41" s="431" t="n"/>
      <c r="K41" s="432">
        <f>K7-'Sales 2021'!K7</f>
        <v/>
      </c>
      <c r="L41" s="432">
        <f>L7-'Sales 2021'!L7</f>
        <v/>
      </c>
      <c r="M41" s="432">
        <f>M7-'Sales 2021'!M7</f>
        <v/>
      </c>
      <c r="N41" s="432">
        <f>N7-'Sales 2021'!N7</f>
        <v/>
      </c>
      <c r="O41" s="432">
        <f>O7-'Sales 2021'!O7</f>
        <v/>
      </c>
      <c r="P41" s="432">
        <f>P7-'Sales 2021'!P7</f>
        <v/>
      </c>
      <c r="Q41" s="432">
        <f>Q7-'Sales 2021'!Q7</f>
        <v/>
      </c>
      <c r="R41" s="432">
        <f>R7-'Sales 2021'!R7</f>
        <v/>
      </c>
      <c r="S41" s="432">
        <f>S7-'Sales 2021'!S7</f>
        <v/>
      </c>
      <c r="T41" s="432">
        <f>T7-'Sales 2021'!T7</f>
        <v/>
      </c>
      <c r="U41" s="432">
        <f>U7-'Sales 2021'!U7</f>
        <v/>
      </c>
      <c r="V41" s="432">
        <f>V7-'Sales 2021'!V7</f>
        <v/>
      </c>
      <c r="W41" s="788">
        <f>SUM(K41:V41)</f>
        <v/>
      </c>
      <c r="X41" s="445">
        <f>W41/'Sales 2020'!W6</f>
        <v/>
      </c>
      <c r="Y41" s="790">
        <f>SUM(K41:P41)</f>
        <v/>
      </c>
      <c r="Z41" s="445" t="n"/>
    </row>
    <row r="42" ht="13.5" customHeight="1" s="1232">
      <c r="D42" s="470" t="n"/>
      <c r="E42" s="1296" t="n"/>
      <c r="F42" s="1297" t="n"/>
      <c r="I42" s="1333" t="inlineStr">
        <is>
          <t>3. Pick n Mix Inc</t>
        </is>
      </c>
      <c r="J42" s="431" t="n"/>
      <c r="K42" s="432">
        <f>K8-'Sales 2021'!K8</f>
        <v/>
      </c>
      <c r="L42" s="432">
        <f>L8-'Sales 2021'!L8</f>
        <v/>
      </c>
      <c r="M42" s="432">
        <f>M8-'Sales 2021'!M8</f>
        <v/>
      </c>
      <c r="N42" s="432">
        <f>N8-'Sales 2021'!N8</f>
        <v/>
      </c>
      <c r="O42" s="432">
        <f>O8-'Sales 2021'!O8</f>
        <v/>
      </c>
      <c r="P42" s="432">
        <f>P8-'Sales 2021'!P8</f>
        <v/>
      </c>
      <c r="Q42" s="432">
        <f>Q8-'Sales 2021'!Q8</f>
        <v/>
      </c>
      <c r="R42" s="432">
        <f>R8-'Sales 2021'!R8</f>
        <v/>
      </c>
      <c r="S42" s="432">
        <f>S8-'Sales 2021'!S8</f>
        <v/>
      </c>
      <c r="T42" s="432">
        <f>T8-'Sales 2021'!T8</f>
        <v/>
      </c>
      <c r="U42" s="432">
        <f>U8-'Sales 2021'!U8</f>
        <v/>
      </c>
      <c r="V42" s="432">
        <f>V8-'Sales 2021'!V8</f>
        <v/>
      </c>
      <c r="W42" s="788">
        <f>SUM(K42:V42)</f>
        <v/>
      </c>
      <c r="X42" s="445">
        <f>W42/'Sales 2020'!W7</f>
        <v/>
      </c>
      <c r="Y42" s="790">
        <f>SUM(K42:P42)</f>
        <v/>
      </c>
      <c r="Z42" s="445" t="n"/>
    </row>
    <row r="43" ht="13.5" customHeight="1" s="1232">
      <c r="B43" s="1271" t="inlineStr">
        <is>
          <t>The Heart of a Garden</t>
        </is>
      </c>
      <c r="C43" s="1271" t="inlineStr">
        <is>
          <t>Deals Won - Waiting £</t>
        </is>
      </c>
      <c r="D43" s="470" t="n"/>
      <c r="E43" s="1296" t="n"/>
      <c r="F43" s="1297" t="inlineStr">
        <is>
          <t>Greeting Cards</t>
        </is>
      </c>
      <c r="I43" s="1333" t="inlineStr">
        <is>
          <t>4. Pick n Mix Out</t>
        </is>
      </c>
      <c r="J43" s="431" t="n"/>
      <c r="K43" s="432">
        <f>K9-'Sales 2021'!K9</f>
        <v/>
      </c>
      <c r="L43" s="432">
        <f>L9-'Sales 2021'!L9</f>
        <v/>
      </c>
      <c r="M43" s="432">
        <f>M9-'Sales 2021'!M9</f>
        <v/>
      </c>
      <c r="N43" s="432">
        <f>N9-'Sales 2021'!N9</f>
        <v/>
      </c>
      <c r="O43" s="432">
        <f>O9-'Sales 2021'!O9</f>
        <v/>
      </c>
      <c r="P43" s="432">
        <f>P9-'Sales 2021'!P9</f>
        <v/>
      </c>
      <c r="Q43" s="432">
        <f>Q9-'Sales 2021'!Q9</f>
        <v/>
      </c>
      <c r="R43" s="432">
        <f>R9-'Sales 2021'!R9</f>
        <v/>
      </c>
      <c r="S43" s="432">
        <f>S9-'Sales 2021'!S9</f>
        <v/>
      </c>
      <c r="T43" s="432">
        <f>T9-'Sales 2021'!T9</f>
        <v/>
      </c>
      <c r="U43" s="432">
        <f>U9-'Sales 2021'!U9</f>
        <v/>
      </c>
      <c r="V43" s="432">
        <f>V9-'Sales 2021'!V9</f>
        <v/>
      </c>
      <c r="W43" s="788">
        <f>SUM(K43:V43)</f>
        <v/>
      </c>
      <c r="X43" s="445">
        <f>W43/'Sales 2020'!W8</f>
        <v/>
      </c>
      <c r="Y43" s="790">
        <f>SUM(K43:P43)</f>
        <v/>
      </c>
      <c r="Z43" s="445" t="n"/>
    </row>
    <row r="44" ht="13.5" customHeight="1" s="1232">
      <c r="B44" s="1294" t="n"/>
      <c r="C44" s="1271" t="n"/>
      <c r="D44" s="470" t="n"/>
      <c r="E44" s="1296" t="n"/>
      <c r="F44" s="1297" t="n"/>
      <c r="I44" s="1333" t="inlineStr">
        <is>
          <t>5. Mentoring</t>
        </is>
      </c>
      <c r="J44" s="431" t="n"/>
      <c r="K44" s="432">
        <f>K10-'Sales 2021'!K10</f>
        <v/>
      </c>
      <c r="L44" s="432">
        <f>L10-'Sales 2021'!L10</f>
        <v/>
      </c>
      <c r="M44" s="432">
        <f>M10-'Sales 2021'!M10</f>
        <v/>
      </c>
      <c r="N44" s="432">
        <f>N10-'Sales 2021'!N10</f>
        <v/>
      </c>
      <c r="O44" s="432">
        <f>O10-'Sales 2021'!O10</f>
        <v/>
      </c>
      <c r="P44" s="432">
        <f>P10-'Sales 2021'!P10</f>
        <v/>
      </c>
      <c r="Q44" s="432">
        <f>Q10-'Sales 2021'!Q10</f>
        <v/>
      </c>
      <c r="R44" s="432">
        <f>R10-'Sales 2021'!R10</f>
        <v/>
      </c>
      <c r="S44" s="432">
        <f>S10-'Sales 2021'!S10</f>
        <v/>
      </c>
      <c r="T44" s="432">
        <f>T10-'Sales 2021'!T10</f>
        <v/>
      </c>
      <c r="U44" s="432">
        <f>U10-'Sales 2021'!U10</f>
        <v/>
      </c>
      <c r="V44" s="432">
        <f>V10-'Sales 2021'!V10</f>
        <v/>
      </c>
      <c r="W44" s="788">
        <f>SUM(K44:V44)</f>
        <v/>
      </c>
      <c r="X44" s="445">
        <f>W44/'Sales 2020'!W9</f>
        <v/>
      </c>
      <c r="Y44" s="790">
        <f>SUM(K44:P44)</f>
        <v/>
      </c>
      <c r="Z44" s="445" t="n"/>
    </row>
    <row r="45" ht="13.5" customHeight="1" s="1232">
      <c r="B45" s="1271" t="inlineStr">
        <is>
          <t>Photocrowd</t>
        </is>
      </c>
      <c r="C45" s="1271" t="inlineStr">
        <is>
          <t>Deals Won - Waiting £</t>
        </is>
      </c>
      <c r="D45" s="470" t="n"/>
      <c r="E45" s="1296" t="n">
        <v>175</v>
      </c>
      <c r="F45" s="1297" t="inlineStr">
        <is>
          <t>Judging</t>
        </is>
      </c>
      <c r="I45" s="1334" t="inlineStr">
        <is>
          <t>6. 1-2-1</t>
        </is>
      </c>
      <c r="J45" s="431" t="n"/>
      <c r="K45" s="432">
        <f>K11-'Sales 2021'!K11</f>
        <v/>
      </c>
      <c r="L45" s="432">
        <f>L11-'Sales 2021'!L11</f>
        <v/>
      </c>
      <c r="M45" s="432">
        <f>M11-'Sales 2021'!M11</f>
        <v/>
      </c>
      <c r="N45" s="432">
        <f>N11-'Sales 2021'!N11</f>
        <v/>
      </c>
      <c r="O45" s="432">
        <f>O11-'Sales 2021'!O11</f>
        <v/>
      </c>
      <c r="P45" s="432">
        <f>P11-'Sales 2021'!P11</f>
        <v/>
      </c>
      <c r="Q45" s="432">
        <f>Q11-'Sales 2021'!Q11</f>
        <v/>
      </c>
      <c r="R45" s="432">
        <f>R11-'Sales 2021'!R11</f>
        <v/>
      </c>
      <c r="S45" s="432">
        <f>S11-'Sales 2021'!S11</f>
        <v/>
      </c>
      <c r="T45" s="432">
        <f>T11-'Sales 2021'!T11</f>
        <v/>
      </c>
      <c r="U45" s="432">
        <f>U11-'Sales 2021'!U11</f>
        <v/>
      </c>
      <c r="V45" s="432">
        <f>V11-'Sales 2021'!V11</f>
        <v/>
      </c>
      <c r="W45" s="788">
        <f>SUM(K45:V45)</f>
        <v/>
      </c>
      <c r="X45" s="445">
        <f>W45/'Sales 2020'!W10</f>
        <v/>
      </c>
      <c r="Y45" s="790">
        <f>SUM(K45:P45)</f>
        <v/>
      </c>
      <c r="Z45" s="445" t="n"/>
    </row>
    <row r="46" ht="13.5" customHeight="1" s="1232">
      <c r="B46" s="1271" t="n"/>
      <c r="C46" s="1271" t="n"/>
      <c r="D46" s="470" t="n"/>
      <c r="E46" s="1296" t="n"/>
      <c r="F46" s="1297" t="n"/>
      <c r="I46" s="1334" t="inlineStr">
        <is>
          <t>7. Gift Vouchers Inc</t>
        </is>
      </c>
      <c r="J46" s="431" t="n"/>
      <c r="K46" s="432">
        <f>K12-'Sales 2021'!K12</f>
        <v/>
      </c>
      <c r="L46" s="432">
        <f>L12-'Sales 2021'!L12</f>
        <v/>
      </c>
      <c r="M46" s="432">
        <f>M12-'Sales 2021'!M12</f>
        <v/>
      </c>
      <c r="N46" s="432">
        <f>N12-'Sales 2021'!N12</f>
        <v/>
      </c>
      <c r="O46" s="432">
        <f>O12-'Sales 2021'!O12</f>
        <v/>
      </c>
      <c r="P46" s="432">
        <f>P12-'Sales 2021'!P12</f>
        <v/>
      </c>
      <c r="Q46" s="432">
        <f>Q12-'Sales 2021'!Q12</f>
        <v/>
      </c>
      <c r="R46" s="432">
        <f>R12-'Sales 2021'!R12</f>
        <v/>
      </c>
      <c r="S46" s="432">
        <f>S12-'Sales 2021'!S12</f>
        <v/>
      </c>
      <c r="T46" s="432">
        <f>T12-'Sales 2021'!T12</f>
        <v/>
      </c>
      <c r="U46" s="432">
        <f>U12-'Sales 2021'!U12</f>
        <v/>
      </c>
      <c r="V46" s="432">
        <f>V12-'Sales 2021'!V12</f>
        <v/>
      </c>
      <c r="W46" s="788">
        <f>SUM(K46:V46)</f>
        <v/>
      </c>
      <c r="X46" s="445">
        <f>W46/'Sales 2020'!W11</f>
        <v/>
      </c>
      <c r="Y46" s="790">
        <f>SUM(K46:P46)</f>
        <v/>
      </c>
      <c r="Z46" s="445" t="n"/>
    </row>
    <row r="47" ht="13.5" customHeight="1" s="1232">
      <c r="B47" s="1271" t="inlineStr">
        <is>
          <t>Call of the Page</t>
        </is>
      </c>
      <c r="C47" s="1271" t="inlineStr">
        <is>
          <t>Deals Won - Waiting £</t>
        </is>
      </c>
      <c r="D47" s="470" t="n"/>
      <c r="E47" s="1296" t="n"/>
      <c r="F47" s="1297" t="inlineStr">
        <is>
          <t>Feedback time Sept</t>
        </is>
      </c>
      <c r="I47" s="1334" t="inlineStr">
        <is>
          <t>8. Gift Vouchers Out</t>
        </is>
      </c>
      <c r="J47" s="431" t="n"/>
      <c r="K47" s="432">
        <f>K13-'Sales 2021'!K13</f>
        <v/>
      </c>
      <c r="L47" s="432">
        <f>L13-'Sales 2021'!L13</f>
        <v/>
      </c>
      <c r="M47" s="432">
        <f>M13-'Sales 2021'!M13</f>
        <v/>
      </c>
      <c r="N47" s="432">
        <f>N13-'Sales 2021'!N13</f>
        <v/>
      </c>
      <c r="O47" s="432">
        <f>O13-'Sales 2021'!O13</f>
        <v/>
      </c>
      <c r="P47" s="432">
        <f>P13-'Sales 2021'!P13</f>
        <v/>
      </c>
      <c r="Q47" s="432">
        <f>Q13-'Sales 2021'!Q13</f>
        <v/>
      </c>
      <c r="R47" s="432">
        <f>R13-'Sales 2021'!R13</f>
        <v/>
      </c>
      <c r="S47" s="432">
        <f>S13-'Sales 2021'!S13</f>
        <v/>
      </c>
      <c r="T47" s="432">
        <f>T13-'Sales 2021'!T13</f>
        <v/>
      </c>
      <c r="U47" s="432">
        <f>U13-'Sales 2021'!U13</f>
        <v/>
      </c>
      <c r="V47" s="432">
        <f>V13-'Sales 2021'!V13</f>
        <v/>
      </c>
      <c r="W47" s="788">
        <f>SUM(K47:V47)</f>
        <v/>
      </c>
      <c r="X47" s="445">
        <f>W47/'Sales 2020'!W12</f>
        <v/>
      </c>
      <c r="Y47" s="790">
        <f>SUM(K47:P47)</f>
        <v/>
      </c>
      <c r="Z47" s="445" t="n"/>
    </row>
    <row r="48" ht="13.5" customHeight="1" s="1232">
      <c r="B48" s="1271" t="n"/>
      <c r="C48" s="1271" t="n"/>
      <c r="D48" s="470" t="n"/>
      <c r="E48" s="1296" t="n"/>
      <c r="F48" s="1297" t="n"/>
      <c r="I48" s="1334" t="inlineStr">
        <is>
          <t>9. Prints &amp; Royalties</t>
        </is>
      </c>
      <c r="J48" s="431" t="n"/>
      <c r="K48" s="432">
        <f>K14-'Sales 2021'!K14</f>
        <v/>
      </c>
      <c r="L48" s="432">
        <f>L14-'Sales 2021'!L14</f>
        <v/>
      </c>
      <c r="M48" s="432">
        <f>M14-'Sales 2021'!M14</f>
        <v/>
      </c>
      <c r="N48" s="432">
        <f>N14-'Sales 2021'!N14</f>
        <v/>
      </c>
      <c r="O48" s="432">
        <f>O14-'Sales 2021'!O14</f>
        <v/>
      </c>
      <c r="P48" s="432">
        <f>P14-'Sales 2021'!P14</f>
        <v/>
      </c>
      <c r="Q48" s="432">
        <f>Q14-'Sales 2021'!Q14</f>
        <v/>
      </c>
      <c r="R48" s="432">
        <f>R14-'Sales 2021'!R14</f>
        <v/>
      </c>
      <c r="S48" s="432">
        <f>S14-'Sales 2021'!S14</f>
        <v/>
      </c>
      <c r="T48" s="432">
        <f>T14-'Sales 2021'!T14</f>
        <v/>
      </c>
      <c r="U48" s="432">
        <f>U14-'Sales 2021'!U14</f>
        <v/>
      </c>
      <c r="V48" s="432">
        <f>V14-'Sales 2021'!V14</f>
        <v/>
      </c>
      <c r="W48" s="788">
        <f>SUM(K48:V48)</f>
        <v/>
      </c>
      <c r="X48" s="445">
        <f>W48/'Sales 2020'!W13</f>
        <v/>
      </c>
      <c r="Y48" s="790">
        <f>SUM(K48:P48)</f>
        <v/>
      </c>
      <c r="Z48" s="445" t="n"/>
    </row>
    <row r="49" ht="13.5" customHeight="1" s="1232">
      <c r="B49" s="1271" t="inlineStr">
        <is>
          <t>Pixsy</t>
        </is>
      </c>
      <c r="C49" s="1271" t="inlineStr">
        <is>
          <t>Deals Won - Waiting £</t>
        </is>
      </c>
      <c r="D49" s="470" t="n"/>
      <c r="E49" s="1296" t="n"/>
      <c r="I49" s="1334" t="inlineStr">
        <is>
          <t>10 Commissions</t>
        </is>
      </c>
      <c r="J49" s="431" t="n"/>
      <c r="K49" s="432">
        <f>K15-'Sales 2021'!K15</f>
        <v/>
      </c>
      <c r="L49" s="432">
        <f>L15-'Sales 2021'!L15</f>
        <v/>
      </c>
      <c r="M49" s="432">
        <f>M15-'Sales 2021'!M15</f>
        <v/>
      </c>
      <c r="N49" s="432">
        <f>N15-'Sales 2021'!N15</f>
        <v/>
      </c>
      <c r="O49" s="432">
        <f>O15-'Sales 2021'!O15</f>
        <v/>
      </c>
      <c r="P49" s="432">
        <f>P15-'Sales 2021'!P15</f>
        <v/>
      </c>
      <c r="Q49" s="432">
        <f>Q15-'Sales 2021'!Q15</f>
        <v/>
      </c>
      <c r="R49" s="432">
        <f>R15-'Sales 2021'!R15</f>
        <v/>
      </c>
      <c r="S49" s="432">
        <f>S15-'Sales 2021'!S15</f>
        <v/>
      </c>
      <c r="T49" s="432">
        <f>T15-'Sales 2021'!T15</f>
        <v/>
      </c>
      <c r="U49" s="432">
        <f>U15-'Sales 2021'!U15</f>
        <v/>
      </c>
      <c r="V49" s="432">
        <f>V15-'Sales 2021'!V15</f>
        <v/>
      </c>
      <c r="W49" s="788">
        <f>SUM(K49:V49)</f>
        <v/>
      </c>
      <c r="X49" s="445">
        <f>W49/'Sales 2020'!W14</f>
        <v/>
      </c>
      <c r="Y49" s="790">
        <f>SUM(K49:P49)</f>
        <v/>
      </c>
    </row>
    <row r="50" ht="13.9" customHeight="1" s="1232" thickBot="1">
      <c r="B50" s="1271" t="n"/>
      <c r="C50" s="1271" t="n"/>
      <c r="D50" s="470" t="n"/>
      <c r="E50" s="1296" t="n"/>
      <c r="F50" s="1297" t="n"/>
      <c r="I50" s="1334" t="inlineStr">
        <is>
          <t>11. Other</t>
        </is>
      </c>
      <c r="J50" s="431" t="n"/>
      <c r="K50" s="432">
        <f>K16-'Sales 2021'!K16</f>
        <v/>
      </c>
      <c r="L50" s="432">
        <f>L16-'Sales 2021'!L16</f>
        <v/>
      </c>
      <c r="M50" s="432">
        <f>M16-'Sales 2021'!M16</f>
        <v/>
      </c>
      <c r="N50" s="432">
        <f>N16-'Sales 2021'!N16</f>
        <v/>
      </c>
      <c r="O50" s="432">
        <f>O16-'Sales 2021'!O16</f>
        <v/>
      </c>
      <c r="P50" s="432">
        <f>P16-'Sales 2021'!P16</f>
        <v/>
      </c>
      <c r="Q50" s="432">
        <f>Q16-'Sales 2021'!Q16</f>
        <v/>
      </c>
      <c r="R50" s="432">
        <f>R16-'Sales 2021'!R16</f>
        <v/>
      </c>
      <c r="S50" s="432">
        <f>S16-'Sales 2021'!S16</f>
        <v/>
      </c>
      <c r="T50" s="432">
        <f>T16-'Sales 2021'!T16</f>
        <v/>
      </c>
      <c r="U50" s="432">
        <f>U16-'Sales 2021'!U16</f>
        <v/>
      </c>
      <c r="V50" s="432">
        <f>V16-'Sales 2021'!V16</f>
        <v/>
      </c>
      <c r="W50" s="788">
        <f>SUM(K50:V50)</f>
        <v/>
      </c>
      <c r="X50" s="445">
        <f>W50/'Sales 2020'!W15</f>
        <v/>
      </c>
      <c r="Y50" s="790">
        <f>SUM(K50:P50)</f>
        <v/>
      </c>
    </row>
    <row r="51" ht="14.65" customHeight="1" s="1232" thickBot="1" thickTop="1">
      <c r="B51" s="1271" t="inlineStr">
        <is>
          <t>Andrew Mace</t>
        </is>
      </c>
      <c r="C51" s="1271" t="inlineStr">
        <is>
          <t>Deals Won - Waiting £</t>
        </is>
      </c>
      <c r="D51" s="548" t="inlineStr">
        <is>
          <t xml:space="preserve">Balance </t>
        </is>
      </c>
      <c r="E51" s="1296">
        <f>120-50</f>
        <v/>
      </c>
      <c r="F51" s="1271" t="inlineStr">
        <is>
          <t>1-2-1 6th Feb, due 15th Jan</t>
        </is>
      </c>
      <c r="I51" s="1335" t="inlineStr">
        <is>
          <t>Totals</t>
        </is>
      </c>
      <c r="J51" s="438" t="n"/>
      <c r="K51" s="587">
        <f>SUM(K40:K50)</f>
        <v/>
      </c>
      <c r="L51" s="587">
        <f>SUM(L40:L50)</f>
        <v/>
      </c>
      <c r="M51" s="587">
        <f>SUM(M40:M50)</f>
        <v/>
      </c>
      <c r="N51" s="587">
        <f>SUM(N40:N50)</f>
        <v/>
      </c>
      <c r="O51" s="587">
        <f>SUM(O40:O50)</f>
        <v/>
      </c>
      <c r="P51" s="587">
        <f>SUM(P40:P50)</f>
        <v/>
      </c>
      <c r="Q51" s="587">
        <f>SUM(Q40:Q50)</f>
        <v/>
      </c>
      <c r="R51" s="587">
        <f>SUM(R40:R50)</f>
        <v/>
      </c>
      <c r="S51" s="587">
        <f>SUM(S40:S50)</f>
        <v/>
      </c>
      <c r="T51" s="587">
        <f>SUM(T40:T50)</f>
        <v/>
      </c>
      <c r="U51" s="587">
        <f>SUM(U40:U50)</f>
        <v/>
      </c>
      <c r="V51" s="587">
        <f>SUM(V40:V50)</f>
        <v/>
      </c>
      <c r="W51" s="789">
        <f>SUM(W40:W50)</f>
        <v/>
      </c>
      <c r="X51" s="445">
        <f>W51/'Sales 2020'!W16</f>
        <v/>
      </c>
      <c r="Y51" s="790">
        <f>SUM(K51:P51)</f>
        <v/>
      </c>
    </row>
    <row r="52" ht="13.9" customHeight="1" s="1232" thickTop="1">
      <c r="B52" s="1271" t="n"/>
      <c r="C52" s="1271" t="n"/>
      <c r="D52" s="470" t="n"/>
      <c r="E52" s="1296" t="n"/>
      <c r="F52" s="1271" t="n"/>
      <c r="G52" s="1271" t="n"/>
    </row>
    <row r="53" ht="15" customHeight="1" s="1232">
      <c r="B53" s="1271" t="inlineStr">
        <is>
          <t>Sara Barsley</t>
        </is>
      </c>
      <c r="C53" s="1271" t="inlineStr">
        <is>
          <t>Deals Won - Waiting £</t>
        </is>
      </c>
      <c r="D53" s="548" t="inlineStr">
        <is>
          <t>Lightroom Course</t>
        </is>
      </c>
      <c r="E53" s="1296" t="n">
        <v>212.5</v>
      </c>
      <c r="F53" s="1260" t="inlineStr">
        <is>
          <t>Invoice Jan 2023</t>
        </is>
      </c>
      <c r="I53" s="1336" t="inlineStr">
        <is>
          <t>Tuition Categories</t>
        </is>
      </c>
      <c r="J53" s="1330" t="inlineStr">
        <is>
          <t>Units</t>
        </is>
      </c>
      <c r="K53" s="1332" t="inlineStr">
        <is>
          <t>Jan</t>
        </is>
      </c>
      <c r="L53" s="1332" t="inlineStr">
        <is>
          <t>Feb</t>
        </is>
      </c>
      <c r="M53" s="1332" t="inlineStr">
        <is>
          <t>Mar</t>
        </is>
      </c>
      <c r="N53" s="1332" t="inlineStr">
        <is>
          <t>Apr</t>
        </is>
      </c>
      <c r="O53" s="1332" t="inlineStr">
        <is>
          <t>May</t>
        </is>
      </c>
      <c r="P53" s="1332" t="inlineStr">
        <is>
          <t>Jun</t>
        </is>
      </c>
      <c r="Q53" s="1332" t="inlineStr">
        <is>
          <t>Jul</t>
        </is>
      </c>
      <c r="R53" s="1332" t="inlineStr">
        <is>
          <t>Aug</t>
        </is>
      </c>
      <c r="S53" s="1332" t="inlineStr">
        <is>
          <t>Sep</t>
        </is>
      </c>
      <c r="T53" s="1332" t="inlineStr">
        <is>
          <t>Oct</t>
        </is>
      </c>
      <c r="U53" s="1332" t="inlineStr">
        <is>
          <t>Nov</t>
        </is>
      </c>
      <c r="V53" s="1332" t="inlineStr">
        <is>
          <t>Dec</t>
        </is>
      </c>
      <c r="W53" s="1332" t="inlineStr">
        <is>
          <t>Year</t>
        </is>
      </c>
    </row>
    <row r="54" ht="13.5" customHeight="1" s="1232">
      <c r="D54" s="470" t="n"/>
      <c r="E54" s="1296" t="n"/>
      <c r="I54" s="1333" t="inlineStr">
        <is>
          <t>1. Courses/masterclasses</t>
        </is>
      </c>
      <c r="J54" s="431" t="n"/>
      <c r="K54" s="432">
        <f>COUNTIFS($A$154:$A$480,"&gt;31/12/2021",$A$154:$A$480,"&lt;1/2/2022",$C$154:$C$480,I54)</f>
        <v/>
      </c>
      <c r="L54" s="432">
        <f>COUNTIFS($A$154:$A$480,"&gt;31/1/2022",$A$154:$A$480,"&lt;1/3/2022",$C$154:$C$480,$I54)</f>
        <v/>
      </c>
      <c r="M54" s="432">
        <f>COUNTIFS($A$154:$A$480,"&gt;28/2/2022",$A$154:$A$480,"&lt;1/4/2022",$C$154:$C$480,$I54)</f>
        <v/>
      </c>
      <c r="N54" s="432">
        <f>COUNTIFS($A$154:$A$480,"&gt;31/3/2022",$A$154:$A$480,"&lt;1/5/2022",$C$154:$C$480,$I54)</f>
        <v/>
      </c>
      <c r="O54" s="432">
        <f>COUNTIFS($A$154:$A$480,"&gt;30/4/2022",$A$154:$A$480,"&lt;1/6/2022",$C$154:$C$480,$I54)</f>
        <v/>
      </c>
      <c r="P54" s="432">
        <f>COUNTIFS($A$154:$A$480,"&gt;31/5/2022",$A$154:$A$480,"&lt;1/7/2022",$C$154:$C$480,$I54)</f>
        <v/>
      </c>
      <c r="Q54" s="432">
        <f>COUNTIFS($A$154:$A$480,"&gt;30/6/2022",$A$154:$A$480,"&lt;1/8/2022",$C$154:$C$480,$I54)</f>
        <v/>
      </c>
      <c r="R54" s="432">
        <f>COUNTIFS($A$154:$A$480,"&gt;31/7/2022",$A$154:$A$480,"&lt;1/9/2022",$C$154:$C$480,$I54)</f>
        <v/>
      </c>
      <c r="S54" s="432">
        <f>COUNTIFS($A$154:$A$480,"&gt;31/8/2022",$A$154:$A$480,"&lt;1/10/2022",$C$154:$C$480,$I54)</f>
        <v/>
      </c>
      <c r="T54" s="432">
        <f>COUNTIFS($A$154:$A$480,"&gt;30/9/2022",$A$154:$A$480,"&lt;1/11/2022",$C$154:$C$480,$I54)</f>
        <v/>
      </c>
      <c r="U54" s="432">
        <f>COUNTIFS($A$154:$A$480,"&gt;31/10/2022",$A$154:$A$480,"&lt;1/12/2022",$C$154:$C$480,$I54)</f>
        <v/>
      </c>
      <c r="V54" s="432">
        <f>COUNTIFS($A$154:$A$480,"&gt;30/11/2022",$A$154:$A$480,"&lt;1/1/2023",$C$154:$C$480,$I54)</f>
        <v/>
      </c>
      <c r="W54" s="431">
        <f>SUM(K54:V54)</f>
        <v/>
      </c>
    </row>
    <row r="55" ht="13.5" customHeight="1" s="1232">
      <c r="B55" s="1314" t="inlineStr">
        <is>
          <t>Rebecca Lewis</t>
        </is>
      </c>
      <c r="C55" s="1271" t="inlineStr">
        <is>
          <t>Deals Won - Waiting £</t>
        </is>
      </c>
      <c r="D55" s="1249" t="inlineStr">
        <is>
          <t>ELS</t>
        </is>
      </c>
      <c r="E55" s="1296" t="n">
        <v>50</v>
      </c>
      <c r="F55" s="1314" t="inlineStr">
        <is>
          <t>Due 21st Mar 2023</t>
        </is>
      </c>
      <c r="G55" s="1271" t="n"/>
      <c r="I55" s="1333" t="inlineStr">
        <is>
          <t>2. Workshops</t>
        </is>
      </c>
      <c r="J55" s="431" t="n"/>
      <c r="K55" s="432">
        <f>COUNTIFS($A$154:$A$480,"&gt;31/12/2021",$A$154:$A$480,"&lt;1/2/2022",$C$154:$C$480,I55)</f>
        <v/>
      </c>
      <c r="L55" s="432">
        <f>COUNTIFS($A$154:$A$480,"&gt;31/1/2022",$A$154:$A$480,"&lt;1/3/2022",$C$154:$C$480,$I55)</f>
        <v/>
      </c>
      <c r="M55" s="432">
        <f>COUNTIFS($A$154:$A$480,"&gt;28/2/2022",$A$154:$A$480,"&lt;1/4/2022",$C$154:$C$480,$I55)</f>
        <v/>
      </c>
      <c r="N55" s="432">
        <f>COUNTIFS($A$154:$A$480,"&gt;31/3/2022",$A$154:$A$480,"&lt;1/5/2022",$C$154:$C$480,$I55)</f>
        <v/>
      </c>
      <c r="O55" s="432">
        <f>COUNTIFS($A$154:$A$480,"&gt;30/4/2022",$A$154:$A$480,"&lt;1/6/2022",$C$154:$C$480,$I55)</f>
        <v/>
      </c>
      <c r="P55" s="432">
        <f>COUNTIFS($A$154:$A$480,"&gt;31/5/2022",$A$154:$A$480,"&lt;1/7/2022",$C$154:$C$480,$I55)</f>
        <v/>
      </c>
      <c r="Q55" s="432">
        <f>COUNTIFS($A$154:$A$480,"&gt;30/6/2022",$A$154:$A$480,"&lt;1/8/2022",$C$154:$C$480,$I55)</f>
        <v/>
      </c>
      <c r="R55" s="432">
        <f>COUNTIFS($A$154:$A$480,"&gt;31/7/2022",$A$154:$A$480,"&lt;1/9/2022",$C$154:$C$480,$I55)</f>
        <v/>
      </c>
      <c r="S55" s="432">
        <f>COUNTIFS($A$154:$A$480,"&gt;31/8/2022",$A$154:$A$480,"&lt;1/10/2022",$C$154:$C$480,$I55)</f>
        <v/>
      </c>
      <c r="T55" s="432">
        <f>COUNTIFS($A$154:$A$480,"&gt;30/9/2022",$A$154:$A$480,"&lt;1/11/2022",$C$154:$C$480,$I55)</f>
        <v/>
      </c>
      <c r="U55" s="432">
        <f>COUNTIFS($A$154:$A$480,"&gt;31/10/2022",$A$154:$A$480,"&lt;1/12/2022",$C$154:$C$480,$I55)</f>
        <v/>
      </c>
      <c r="V55" s="432">
        <f>COUNTIFS($A$154:$A$480,"&gt;30/11/2022",$A$154:$A$480,"&lt;1/1/2023",$C$154:$C$480,$I55)</f>
        <v/>
      </c>
      <c r="W55" s="431">
        <f>SUM(K55:V55)</f>
        <v/>
      </c>
    </row>
    <row r="56" ht="13.5" customHeight="1" s="1232">
      <c r="B56" s="1314" t="n"/>
      <c r="C56" s="1271" t="n"/>
      <c r="D56" s="1249" t="n"/>
      <c r="E56" s="1296" t="n"/>
      <c r="F56" s="1314" t="n"/>
      <c r="I56" s="1333" t="inlineStr">
        <is>
          <t>3. Pick n Mix Inc</t>
        </is>
      </c>
      <c r="J56" s="431" t="n"/>
      <c r="K56" s="432">
        <f>COUNTIFS($A$154:$A$480,"&gt;31/12/2021",$A$154:$A$480,"&lt;1/2/2022",$C$154:$C$480,I56)</f>
        <v/>
      </c>
      <c r="L56" s="432">
        <f>COUNTIFS($A$154:$A$480,"&gt;31/1/2022",$A$154:$A$480,"&lt;1/3/2022",$C$154:$C$480,$I56)</f>
        <v/>
      </c>
      <c r="M56" s="432">
        <f>COUNTIFS($A$154:$A$480,"&gt;28/2/2022",$A$154:$A$480,"&lt;1/4/2022",$C$154:$C$480,$I56)</f>
        <v/>
      </c>
      <c r="N56" s="432">
        <f>COUNTIFS($A$154:$A$480,"&gt;31/3/2022",$A$154:$A$480,"&lt;1/5/2022",$C$154:$C$480,$I56)</f>
        <v/>
      </c>
      <c r="O56" s="432">
        <f>COUNTIFS($A$154:$A$480,"&gt;30/4/2022",$A$154:$A$480,"&lt;1/6/2022",$C$154:$C$480,$I56)</f>
        <v/>
      </c>
      <c r="P56" s="432">
        <f>COUNTIFS($A$154:$A$480,"&gt;31/5/2022",$A$154:$A$480,"&lt;1/7/2022",$C$154:$C$480,$I56)</f>
        <v/>
      </c>
      <c r="Q56" s="432">
        <f>COUNTIFS($A$154:$A$480,"&gt;30/6/2022",$A$154:$A$480,"&lt;1/8/2022",$C$154:$C$480,$I56)</f>
        <v/>
      </c>
      <c r="R56" s="432">
        <f>COUNTIFS($A$154:$A$480,"&gt;31/7/2022",$A$154:$A$480,"&lt;1/9/2022",$C$154:$C$480,$I56)</f>
        <v/>
      </c>
      <c r="S56" s="432">
        <f>COUNTIFS($A$154:$A$480,"&gt;31/8/2022",$A$154:$A$480,"&lt;1/10/2022",$C$154:$C$480,$I56)</f>
        <v/>
      </c>
      <c r="T56" s="432">
        <f>COUNTIFS($A$154:$A$480,"&gt;30/9/2022",$A$154:$A$480,"&lt;1/11/2022",$C$154:$C$480,$I56)</f>
        <v/>
      </c>
      <c r="U56" s="432">
        <f>COUNTIFS($A$154:$A$480,"&gt;31/10/2022",$A$154:$A$480,"&lt;1/12/2022",$C$154:$C$480,$I56)</f>
        <v/>
      </c>
      <c r="V56" s="432">
        <f>COUNTIFS($A$154:$A$480,"&gt;30/11/2022",$A$154:$A$480,"&lt;1/1/2023",$C$154:$C$480,$I56)</f>
        <v/>
      </c>
      <c r="W56" s="431">
        <f>SUM(K56:V56)</f>
        <v/>
      </c>
    </row>
    <row r="57" ht="13.5" customHeight="1" s="1232">
      <c r="B57" s="1294" t="inlineStr">
        <is>
          <t>Mark Constable</t>
        </is>
      </c>
      <c r="C57" s="1294" t="n"/>
      <c r="D57" s="1260" t="inlineStr">
        <is>
          <t>Into the blue</t>
        </is>
      </c>
      <c r="E57" s="1296" t="n">
        <v>140</v>
      </c>
      <c r="F57" s="1294" t="inlineStr">
        <is>
          <t>Due 27 March 2023</t>
        </is>
      </c>
      <c r="I57" s="1333" t="inlineStr">
        <is>
          <t>4. Pick n Mix Out</t>
        </is>
      </c>
      <c r="J57" s="431" t="n"/>
      <c r="K57" s="432">
        <f>COUNTIFS($A$154:$A$480,"&gt;31/12/2021",$A$154:$A$480,"&lt;1/2/2022",$C$154:$C$480,I57)</f>
        <v/>
      </c>
      <c r="L57" s="432">
        <f>COUNTIFS($A$154:$A$480,"&gt;31/1/2022",$A$154:$A$480,"&lt;1/3/2022",$C$154:$C$480,$I57)</f>
        <v/>
      </c>
      <c r="M57" s="432">
        <f>COUNTIFS($A$154:$A$480,"&gt;28/2/2022",$A$154:$A$480,"&lt;1/4/2022",$C$154:$C$480,$I57)</f>
        <v/>
      </c>
      <c r="N57" s="432">
        <f>COUNTIFS($A$154:$A$480,"&gt;31/3/2022",$A$154:$A$480,"&lt;1/5/2022",$C$154:$C$480,$I57)</f>
        <v/>
      </c>
      <c r="O57" s="432">
        <f>COUNTIFS($A$154:$A$480,"&gt;30/4/2022",$A$154:$A$480,"&lt;1/6/2022",$C$154:$C$480,$I57)</f>
        <v/>
      </c>
      <c r="P57" s="432">
        <f>COUNTIFS($A$154:$A$480,"&gt;31/5/2022",$A$154:$A$480,"&lt;1/7/2022",$C$154:$C$480,$I57)</f>
        <v/>
      </c>
      <c r="Q57" s="432">
        <f>COUNTIFS($A$154:$A$480,"&gt;30/6/2022",$A$154:$A$480,"&lt;1/8/2022",$C$154:$C$480,$I57)</f>
        <v/>
      </c>
      <c r="R57" s="432">
        <f>COUNTIFS($A$154:$A$480,"&gt;31/7/2022",$A$154:$A$480,"&lt;1/9/2022",$C$154:$C$480,$I57)</f>
        <v/>
      </c>
      <c r="S57" s="432">
        <f>COUNTIFS($A$154:$A$480,"&gt;31/8/2022",$A$154:$A$480,"&lt;1/10/2022",$C$154:$C$480,$I57)</f>
        <v/>
      </c>
      <c r="T57" s="432">
        <f>COUNTIFS($A$154:$A$480,"&gt;30/9/2022",$A$154:$A$480,"&lt;1/11/2022",$C$154:$C$480,$I57)</f>
        <v/>
      </c>
      <c r="U57" s="432">
        <f>COUNTIFS($A$154:$A$480,"&gt;31/10/2022",$A$154:$A$480,"&lt;1/12/2022",$C$154:$C$480,$I57)</f>
        <v/>
      </c>
      <c r="V57" s="432">
        <f>COUNTIFS($A$154:$A$480,"&gt;30/11/2022",$A$154:$A$480,"&lt;1/1/2023",$C$154:$C$480,$I57)</f>
        <v/>
      </c>
      <c r="W57" s="431">
        <f>SUM(K57:V57)</f>
        <v/>
      </c>
    </row>
    <row r="58" ht="13.5" customHeight="1" s="1232">
      <c r="E58" s="1296" t="n"/>
      <c r="I58" s="1333" t="inlineStr">
        <is>
          <t>5. Mentoring</t>
        </is>
      </c>
      <c r="J58" s="431" t="n"/>
      <c r="K58" s="432">
        <f>COUNTIFS($A$154:$A$480,"&gt;31/12/2021",$A$154:$A$480,"&lt;1/2/2022",$C$154:$C$480,I58)</f>
        <v/>
      </c>
      <c r="L58" s="432">
        <f>COUNTIFS($A$154:$A$480,"&gt;31/1/2022",$A$154:$A$480,"&lt;1/3/2022",$C$154:$C$480,$I58)</f>
        <v/>
      </c>
      <c r="M58" s="432">
        <f>COUNTIFS($A$154:$A$480,"&gt;28/2/2022",$A$154:$A$480,"&lt;1/4/2022",$C$154:$C$480,$I58)</f>
        <v/>
      </c>
      <c r="N58" s="432">
        <f>COUNTIFS($A$154:$A$480,"&gt;31/3/2022",$A$154:$A$480,"&lt;1/5/2022",$C$154:$C$480,$I58)</f>
        <v/>
      </c>
      <c r="O58" s="432">
        <f>COUNTIFS($A$154:$A$480,"&gt;30/4/2022",$A$154:$A$480,"&lt;1/6/2022",$C$154:$C$480,$I58)</f>
        <v/>
      </c>
      <c r="P58" s="432">
        <f>COUNTIFS($A$154:$A$480,"&gt;31/5/2022",$A$154:$A$480,"&lt;1/7/2022",$C$154:$C$480,$I58)</f>
        <v/>
      </c>
      <c r="Q58" s="432">
        <f>COUNTIFS($A$154:$A$480,"&gt;30/6/2022",$A$154:$A$480,"&lt;1/8/2022",$C$154:$C$480,$I58)</f>
        <v/>
      </c>
      <c r="R58" s="432">
        <f>COUNTIFS($A$154:$A$480,"&gt;31/7/2022",$A$154:$A$480,"&lt;1/9/2022",$C$154:$C$480,$I58)</f>
        <v/>
      </c>
      <c r="S58" s="432">
        <f>COUNTIFS($A$154:$A$480,"&gt;31/8/2022",$A$154:$A$480,"&lt;1/10/2022",$C$154:$C$480,$I58)</f>
        <v/>
      </c>
      <c r="T58" s="432">
        <f>COUNTIFS($A$154:$A$480,"&gt;30/9/2022",$A$154:$A$480,"&lt;1/11/2022",$C$154:$C$480,$I58)</f>
        <v/>
      </c>
      <c r="U58" s="432">
        <f>COUNTIFS($A$154:$A$480,"&gt;31/10/2022",$A$154:$A$480,"&lt;1/12/2022",$C$154:$C$480,$I58)</f>
        <v/>
      </c>
      <c r="V58" s="432">
        <f>COUNTIFS($A$154:$A$480,"&gt;30/11/2022",$A$154:$A$480,"&lt;1/1/2023",$C$154:$C$480,$I58)</f>
        <v/>
      </c>
      <c r="W58" s="431">
        <f>SUM(K58:V58)</f>
        <v/>
      </c>
    </row>
    <row r="59">
      <c r="I59" s="1334" t="inlineStr">
        <is>
          <t>6. 1-2-1</t>
        </is>
      </c>
      <c r="J59" s="431" t="n"/>
      <c r="K59" s="432">
        <f>COUNTIFS($A$154:$A$480,"&gt;31/12/2021",$A$154:$A$480,"&lt;1/2/2022",$C$154:$C$480,I59)</f>
        <v/>
      </c>
      <c r="L59" s="432">
        <f>COUNTIFS($A$154:$A$480,"&gt;31/1/2022",$A$154:$A$480,"&lt;1/3/2022",$C$154:$C$480,$I59)</f>
        <v/>
      </c>
      <c r="M59" s="432">
        <f>COUNTIFS($A$154:$A$480,"&gt;28/2/2022",$A$154:$A$480,"&lt;1/4/2022",$C$154:$C$480,$I59)</f>
        <v/>
      </c>
      <c r="N59" s="432">
        <f>COUNTIFS($A$154:$A$480,"&gt;31/3/2022",$A$154:$A$480,"&lt;1/5/2022",$C$154:$C$480,$I59)</f>
        <v/>
      </c>
      <c r="O59" s="432">
        <f>COUNTIFS($A$154:$A$480,"&gt;30/4/2022",$A$154:$A$480,"&lt;1/6/2022",$C$154:$C$480,$I59)</f>
        <v/>
      </c>
      <c r="P59" s="432">
        <f>COUNTIFS($A$154:$A$480,"&gt;31/5/2022",$A$154:$A$480,"&lt;1/7/2022",$C$154:$C$480,$I59)</f>
        <v/>
      </c>
      <c r="Q59" s="432">
        <f>COUNTIFS($A$154:$A$480,"&gt;30/6/2022",$A$154:$A$480,"&lt;1/8/2022",$C$154:$C$480,$I59)</f>
        <v/>
      </c>
      <c r="R59" s="432">
        <f>COUNTIFS($A$154:$A$480,"&gt;31/7/2022",$A$154:$A$480,"&lt;1/9/2022",$C$154:$C$480,$I59)</f>
        <v/>
      </c>
      <c r="S59" s="432">
        <f>COUNTIFS($A$154:$A$480,"&gt;31/8/2022",$A$154:$A$480,"&lt;1/10/2022",$C$154:$C$480,$I59)</f>
        <v/>
      </c>
      <c r="T59" s="432">
        <f>COUNTIFS($A$154:$A$480,"&gt;30/9/2022",$A$154:$A$480,"&lt;1/11/2022",$C$154:$C$480,$I59)</f>
        <v/>
      </c>
      <c r="U59" s="432">
        <f>COUNTIFS($A$154:$A$480,"&gt;31/10/2022",$A$154:$A$480,"&lt;1/12/2022",$C$154:$C$480,$I59)</f>
        <v/>
      </c>
      <c r="V59" s="432">
        <f>COUNTIFS($A$154:$A$480,"&gt;30/11/2022",$A$154:$A$480,"&lt;1/1/2023",$C$154:$C$480,$I59)</f>
        <v/>
      </c>
      <c r="W59" s="431">
        <f>SUM(K59:V59)</f>
        <v/>
      </c>
    </row>
    <row r="60">
      <c r="I60" s="1334" t="inlineStr">
        <is>
          <t>7. Gift Vouchers Inc</t>
        </is>
      </c>
      <c r="J60" s="431" t="n"/>
      <c r="K60" s="432">
        <f>COUNTIFS($A$154:$A$480,"&gt;31/12/2021",$A$154:$A$480,"&lt;1/2/2022",$C$154:$C$480,I60)</f>
        <v/>
      </c>
      <c r="L60" s="432">
        <f>COUNTIFS($A$154:$A$480,"&gt;31/1/2022",$A$154:$A$480,"&lt;1/3/2022",$C$154:$C$480,$I60)</f>
        <v/>
      </c>
      <c r="M60" s="432">
        <f>COUNTIFS($A$154:$A$480,"&gt;28/2/2022",$A$154:$A$480,"&lt;1/4/2022",$C$154:$C$480,$I60)</f>
        <v/>
      </c>
      <c r="N60" s="432">
        <f>COUNTIFS($A$154:$A$480,"&gt;31/3/2022",$A$154:$A$480,"&lt;1/5/2022",$C$154:$C$480,$I60)</f>
        <v/>
      </c>
      <c r="O60" s="432">
        <f>COUNTIFS($A$154:$A$480,"&gt;30/4/2022",$A$154:$A$480,"&lt;1/6/2022",$C$154:$C$480,$I60)</f>
        <v/>
      </c>
      <c r="P60" s="432">
        <f>COUNTIFS($A$154:$A$480,"&gt;31/5/2022",$A$154:$A$480,"&lt;1/7/2022",$C$154:$C$480,$I60)</f>
        <v/>
      </c>
      <c r="Q60" s="432">
        <f>COUNTIFS($A$154:$A$480,"&gt;30/6/2022",$A$154:$A$480,"&lt;1/8/2022",$C$154:$C$480,$I60)</f>
        <v/>
      </c>
      <c r="R60" s="432">
        <f>COUNTIFS($A$154:$A$480,"&gt;31/7/2022",$A$154:$A$480,"&lt;1/9/2022",$C$154:$C$480,$I60)</f>
        <v/>
      </c>
      <c r="S60" s="432">
        <f>COUNTIFS($A$154:$A$480,"&gt;31/8/2022",$A$154:$A$480,"&lt;1/10/2022",$C$154:$C$480,$I60)</f>
        <v/>
      </c>
      <c r="T60" s="432">
        <f>COUNTIFS($A$154:$A$480,"&gt;30/9/2022",$A$154:$A$480,"&lt;1/11/2022",$C$154:$C$480,$I60)</f>
        <v/>
      </c>
      <c r="U60" s="432">
        <f>COUNTIFS($A$154:$A$480,"&gt;31/10/2022",$A$154:$A$480,"&lt;1/12/2022",$C$154:$C$480,$I60)</f>
        <v/>
      </c>
      <c r="V60" s="432">
        <f>COUNTIFS($A$154:$A$480,"&gt;30/11/2022",$A$154:$A$480,"&lt;1/1/2023",$C$154:$C$480,$I60)</f>
        <v/>
      </c>
      <c r="W60" s="431">
        <f>SUM(K60:V60)</f>
        <v/>
      </c>
    </row>
    <row r="61">
      <c r="I61" s="1334" t="inlineStr">
        <is>
          <t>8. Gift Vouchers Out</t>
        </is>
      </c>
      <c r="J61" s="431" t="n"/>
      <c r="K61" s="432">
        <f>COUNTIFS($A$154:$A$480,"&gt;31/12/2021",$A$154:$A$480,"&lt;1/2/2022",$C$154:$C$480,I61)</f>
        <v/>
      </c>
      <c r="L61" s="432">
        <f>COUNTIFS($A$154:$A$480,"&gt;31/1/2022",$A$154:$A$480,"&lt;1/3/2022",$C$154:$C$480,$I61)</f>
        <v/>
      </c>
      <c r="M61" s="432">
        <f>COUNTIFS($A$154:$A$480,"&gt;28/2/2022",$A$154:$A$480,"&lt;1/4/2022",$C$154:$C$480,$I61)</f>
        <v/>
      </c>
      <c r="N61" s="432">
        <f>COUNTIFS($A$154:$A$480,"&gt;31/3/2022",$A$154:$A$480,"&lt;1/5/2022",$C$154:$C$480,$I61)</f>
        <v/>
      </c>
      <c r="O61" s="432">
        <f>COUNTIFS($A$154:$A$480,"&gt;30/4/2022",$A$154:$A$480,"&lt;1/6/2022",$C$154:$C$480,$I61)</f>
        <v/>
      </c>
      <c r="P61" s="432">
        <f>COUNTIFS($A$154:$A$480,"&gt;31/5/2022",$A$154:$A$480,"&lt;1/7/2022",$C$154:$C$480,$I61)</f>
        <v/>
      </c>
      <c r="Q61" s="432">
        <f>COUNTIFS($A$154:$A$480,"&gt;30/6/2022",$A$154:$A$480,"&lt;1/8/2022",$C$154:$C$480,$I61)</f>
        <v/>
      </c>
      <c r="R61" s="432">
        <f>COUNTIFS($A$154:$A$480,"&gt;31/7/2022",$A$154:$A$480,"&lt;1/9/2022",$C$154:$C$480,$I61)</f>
        <v/>
      </c>
      <c r="S61" s="432">
        <f>COUNTIFS($A$154:$A$480,"&gt;31/8/2022",$A$154:$A$480,"&lt;1/10/2022",$C$154:$C$480,$I61)</f>
        <v/>
      </c>
      <c r="T61" s="432">
        <f>COUNTIFS($A$154:$A$480,"&gt;30/9/2022",$A$154:$A$480,"&lt;1/11/2022",$C$154:$C$480,$I61)</f>
        <v/>
      </c>
      <c r="U61" s="432">
        <f>COUNTIFS($A$154:$A$480,"&gt;31/10/2022",$A$154:$A$480,"&lt;1/12/2022",$C$154:$C$480,$I61)</f>
        <v/>
      </c>
      <c r="V61" s="432">
        <f>COUNTIFS($A$154:$A$480,"&gt;30/11/2022",$A$154:$A$480,"&lt;1/1/2023",$C$154:$C$480,$I61)</f>
        <v/>
      </c>
      <c r="W61" s="431">
        <f>SUM(K61:V61)</f>
        <v/>
      </c>
    </row>
    <row r="62">
      <c r="I62" s="1334" t="inlineStr">
        <is>
          <t>9. Prints &amp; Royalties</t>
        </is>
      </c>
      <c r="J62" s="431" t="n"/>
      <c r="K62" s="432">
        <f>COUNTIFS($A$154:$A$480,"&gt;31/12/2021",$A$154:$A$480,"&lt;1/2/2022",$C$154:$C$480,I62)</f>
        <v/>
      </c>
      <c r="L62" s="432">
        <f>COUNTIFS($A$154:$A$480,"&gt;31/1/2022",$A$154:$A$480,"&lt;1/3/2022",$C$154:$C$480,$I62)</f>
        <v/>
      </c>
      <c r="M62" s="432">
        <f>COUNTIFS($A$154:$A$480,"&gt;28/2/2022",$A$154:$A$480,"&lt;1/4/2022",$C$154:$C$480,$I62)</f>
        <v/>
      </c>
      <c r="N62" s="432">
        <f>COUNTIFS($A$154:$A$480,"&gt;31/3/2022",$A$154:$A$480,"&lt;1/5/2022",$C$154:$C$480,$I62)</f>
        <v/>
      </c>
      <c r="O62" s="432">
        <f>COUNTIFS($A$154:$A$480,"&gt;30/4/2022",$A$154:$A$480,"&lt;1/6/2022",$C$154:$C$480,$I62)</f>
        <v/>
      </c>
      <c r="P62" s="432">
        <f>COUNTIFS($A$154:$A$480,"&gt;31/5/2022",$A$154:$A$480,"&lt;1/7/2022",$C$154:$C$480,$I62)</f>
        <v/>
      </c>
      <c r="Q62" s="432">
        <f>COUNTIFS($A$154:$A$480,"&gt;30/6/2022",$A$154:$A$480,"&lt;1/8/2022",$C$154:$C$480,$I62)</f>
        <v/>
      </c>
      <c r="R62" s="432">
        <f>COUNTIFS($A$154:$A$480,"&gt;31/7/2022",$A$154:$A$480,"&lt;1/9/2022",$C$154:$C$480,$I62)</f>
        <v/>
      </c>
      <c r="S62" s="432">
        <f>COUNTIFS($A$154:$A$480,"&gt;31/8/2022",$A$154:$A$480,"&lt;1/10/2022",$C$154:$C$480,$I62)</f>
        <v/>
      </c>
      <c r="T62" s="432">
        <f>COUNTIFS($A$154:$A$480,"&gt;30/9/2022",$A$154:$A$480,"&lt;1/11/2022",$C$154:$C$480,$I62)</f>
        <v/>
      </c>
      <c r="U62" s="432">
        <f>COUNTIFS($A$154:$A$480,"&gt;31/10/2022",$A$154:$A$480,"&lt;1/12/2022",$C$154:$C$480,$I62)</f>
        <v/>
      </c>
      <c r="V62" s="432">
        <f>COUNTIFS($A$154:$A$480,"&gt;30/11/2022",$A$154:$A$480,"&lt;1/1/2023",$C$154:$C$480,$I62)</f>
        <v/>
      </c>
      <c r="W62" s="431">
        <f>SUM(K62:V62)</f>
        <v/>
      </c>
    </row>
    <row r="63">
      <c r="I63" s="1334" t="inlineStr">
        <is>
          <t>10 Commissions</t>
        </is>
      </c>
      <c r="J63" s="431" t="n"/>
      <c r="K63" s="432">
        <f>COUNTIFS($A$154:$A$480,"&gt;31/12/2021",$A$154:$A$480,"&lt;1/2/2022",$C$154:$C$480,I63)</f>
        <v/>
      </c>
      <c r="L63" s="432">
        <f>COUNTIFS($A$154:$A$480,"&gt;31/1/2022",$A$154:$A$480,"&lt;1/3/2022",$C$154:$C$480,$I63)</f>
        <v/>
      </c>
      <c r="M63" s="432">
        <f>COUNTIFS($A$154:$A$480,"&gt;28/2/2022",$A$154:$A$480,"&lt;1/4/2022",$C$154:$C$480,$I63)</f>
        <v/>
      </c>
      <c r="N63" s="432">
        <f>COUNTIFS($A$154:$A$480,"&gt;31/3/2022",$A$154:$A$480,"&lt;1/5/2022",$C$154:$C$480,$I63)</f>
        <v/>
      </c>
      <c r="O63" s="432">
        <f>COUNTIFS($A$154:$A$480,"&gt;30/4/2022",$A$154:$A$480,"&lt;1/6/2022",$C$154:$C$480,$I63)</f>
        <v/>
      </c>
      <c r="P63" s="432">
        <f>COUNTIFS($A$154:$A$480,"&gt;31/5/2022",$A$154:$A$480,"&lt;1/7/2022",$C$154:$C$480,$I63)</f>
        <v/>
      </c>
      <c r="Q63" s="432">
        <f>COUNTIFS($A$154:$A$480,"&gt;30/6/2022",$A$154:$A$480,"&lt;1/8/2022",$C$154:$C$480,$I63)</f>
        <v/>
      </c>
      <c r="R63" s="432">
        <f>COUNTIFS($A$154:$A$480,"&gt;31/7/2022",$A$154:$A$480,"&lt;1/9/2022",$C$154:$C$480,$I63)</f>
        <v/>
      </c>
      <c r="S63" s="432">
        <f>COUNTIFS($A$154:$A$480,"&gt;31/8/2022",$A$154:$A$480,"&lt;1/10/2022",$C$154:$C$480,$I63)</f>
        <v/>
      </c>
      <c r="T63" s="432">
        <f>COUNTIFS($A$154:$A$480,"&gt;30/9/2022",$A$154:$A$480,"&lt;1/11/2022",$C$154:$C$480,$I63)</f>
        <v/>
      </c>
      <c r="U63" s="432">
        <f>COUNTIFS($A$154:$A$480,"&gt;31/10/2022",$A$154:$A$480,"&lt;1/12/2022",$C$154:$C$480,$I63)</f>
        <v/>
      </c>
      <c r="V63" s="432">
        <f>COUNTIFS($A$154:$A$480,"&gt;30/11/2022",$A$154:$A$480,"&lt;1/1/2023",$C$154:$C$480,$I63)</f>
        <v/>
      </c>
      <c r="W63" s="431">
        <f>SUM(K63:V63)</f>
        <v/>
      </c>
    </row>
    <row r="64">
      <c r="I64" s="1334" t="inlineStr">
        <is>
          <t>11. Other</t>
        </is>
      </c>
      <c r="J64" s="431" t="n"/>
      <c r="K64" s="432">
        <f>COUNTIFS($A$154:$A$480,"&gt;31/12/2021",$A$154:$A$480,"&lt;1/2/2022",$C$154:$C$480,I64)</f>
        <v/>
      </c>
      <c r="L64" s="432">
        <f>COUNTIFS($A$154:$A$480,"&gt;31/1/2022",$A$154:$A$480,"&lt;1/3/2022",$C$154:$C$480,$I64)</f>
        <v/>
      </c>
      <c r="M64" s="432">
        <f>COUNTIFS($A$154:$A$480,"&gt;28/2/2022",$A$154:$A$480,"&lt;1/4/2022",$C$154:$C$480,$I64)</f>
        <v/>
      </c>
      <c r="N64" s="432">
        <f>COUNTIFS($A$154:$A$480,"&gt;31/3/2022",$A$154:$A$480,"&lt;1/5/2022",$C$154:$C$480,$I64)</f>
        <v/>
      </c>
      <c r="O64" s="432">
        <f>COUNTIFS($A$154:$A$480,"&gt;30/4/2022",$A$154:$A$480,"&lt;1/6/2022",$C$154:$C$480,$I64)</f>
        <v/>
      </c>
      <c r="P64" s="432">
        <f>COUNTIFS($A$154:$A$480,"&gt;31/5/2022",$A$154:$A$480,"&lt;1/7/2022",$C$154:$C$480,$I64)</f>
        <v/>
      </c>
      <c r="Q64" s="432">
        <f>COUNTIFS($A$154:$A$480,"&gt;30/6/2022",$A$154:$A$480,"&lt;1/8/2022",$C$154:$C$480,$I64)</f>
        <v/>
      </c>
      <c r="R64" s="432">
        <f>COUNTIFS($A$154:$A$480,"&gt;31/7/2022",$A$154:$A$480,"&lt;1/9/2022",$C$154:$C$480,$I64)</f>
        <v/>
      </c>
      <c r="S64" s="432">
        <f>COUNTIFS($A$154:$A$480,"&gt;31/8/2022",$A$154:$A$480,"&lt;1/10/2022",$C$154:$C$480,$I64)</f>
        <v/>
      </c>
      <c r="T64" s="432">
        <f>COUNTIFS($A$154:$A$480,"&gt;30/9/2022",$A$154:$A$480,"&lt;1/11/2022",$C$154:$C$480,$I64)</f>
        <v/>
      </c>
      <c r="U64" s="432">
        <f>COUNTIFS($A$154:$A$480,"&gt;31/10/2022",$A$154:$A$480,"&lt;1/12/2022",$C$154:$C$480,$I64)</f>
        <v/>
      </c>
      <c r="V64" s="432">
        <f>COUNTIFS($A$154:$A$480,"&gt;30/11/2022",$A$154:$A$480,"&lt;1/1/2023",$C$154:$C$480,$I64)</f>
        <v/>
      </c>
      <c r="W64" s="431">
        <f>SUM(K64:V64)</f>
        <v/>
      </c>
    </row>
    <row r="65" ht="13.5" customHeight="1" s="1232" thickBot="1">
      <c r="I65" s="1339" t="inlineStr">
        <is>
          <t>Totals</t>
        </is>
      </c>
      <c r="J65" s="829" t="n"/>
      <c r="K65" s="830">
        <f>SUM(K54:K64)</f>
        <v/>
      </c>
      <c r="L65" s="830">
        <f>SUM(L54:L64)</f>
        <v/>
      </c>
      <c r="M65" s="830">
        <f>SUM(M54:M64)</f>
        <v/>
      </c>
      <c r="N65" s="830">
        <f>SUM(N54:N64)</f>
        <v/>
      </c>
      <c r="O65" s="830">
        <f>SUM(O54:O64)</f>
        <v/>
      </c>
      <c r="P65" s="830">
        <f>SUM(P54:P64)</f>
        <v/>
      </c>
      <c r="Q65" s="830">
        <f>SUM(Q54:Q64)</f>
        <v/>
      </c>
      <c r="R65" s="830">
        <f>SUM(R54:R64)</f>
        <v/>
      </c>
      <c r="S65" s="830">
        <f>SUM(S54:S64)</f>
        <v/>
      </c>
      <c r="T65" s="830">
        <f>SUM(T54:T64)</f>
        <v/>
      </c>
      <c r="U65" s="830">
        <f>SUM(U54:U64)</f>
        <v/>
      </c>
      <c r="V65" s="830">
        <f>SUM(V54:V64)</f>
        <v/>
      </c>
      <c r="W65" s="829">
        <f>SUM(W54:W64)</f>
        <v/>
      </c>
    </row>
    <row r="66" ht="13.15" customHeight="1" s="1232" thickTop="1"/>
    <row r="67" ht="13.15" customHeight="1" s="1232">
      <c r="I67" s="1336" t="inlineStr">
        <is>
          <t>Tuition Categories</t>
        </is>
      </c>
      <c r="J67" s="1330" t="inlineStr">
        <is>
          <t>Avg PPU</t>
        </is>
      </c>
      <c r="K67" s="1332" t="inlineStr">
        <is>
          <t>Jan</t>
        </is>
      </c>
      <c r="L67" s="1332" t="inlineStr">
        <is>
          <t>Feb</t>
        </is>
      </c>
      <c r="M67" s="1332" t="inlineStr">
        <is>
          <t>Mar</t>
        </is>
      </c>
      <c r="N67" s="1332" t="inlineStr">
        <is>
          <t>Apr</t>
        </is>
      </c>
      <c r="O67" s="1332" t="inlineStr">
        <is>
          <t>May</t>
        </is>
      </c>
      <c r="P67" s="1332" t="inlineStr">
        <is>
          <t>Jun</t>
        </is>
      </c>
      <c r="Q67" s="1332" t="inlineStr">
        <is>
          <t>Jul</t>
        </is>
      </c>
      <c r="R67" s="1332" t="inlineStr">
        <is>
          <t>Aug</t>
        </is>
      </c>
      <c r="S67" s="1332" t="inlineStr">
        <is>
          <t>Sep</t>
        </is>
      </c>
      <c r="T67" s="1332" t="inlineStr">
        <is>
          <t>Oct</t>
        </is>
      </c>
      <c r="U67" s="1332" t="inlineStr">
        <is>
          <t>Nov</t>
        </is>
      </c>
      <c r="V67" s="1332" t="inlineStr">
        <is>
          <t>Dec</t>
        </is>
      </c>
      <c r="W67" s="1332" t="inlineStr">
        <is>
          <t>Year</t>
        </is>
      </c>
    </row>
    <row r="68">
      <c r="I68" s="1333" t="inlineStr">
        <is>
          <t>1. Courses/masterclasses</t>
        </is>
      </c>
      <c r="J68" s="431" t="n"/>
      <c r="K68" s="432">
        <f>IFERROR(K6/K54,0)</f>
        <v/>
      </c>
      <c r="L68" s="432">
        <f>IFERROR(L6/L54,0)</f>
        <v/>
      </c>
      <c r="M68" s="432">
        <f>IFERROR(M6/M54,0)</f>
        <v/>
      </c>
      <c r="N68" s="432">
        <f>IFERROR(N6/N54,0)</f>
        <v/>
      </c>
      <c r="O68" s="432">
        <f>IFERROR(O6/O54,0)</f>
        <v/>
      </c>
      <c r="P68" s="432">
        <f>IFERROR(P6/P54,0)</f>
        <v/>
      </c>
      <c r="Q68" s="432">
        <f>IFERROR(Q6/Q54,0)</f>
        <v/>
      </c>
      <c r="R68" s="432">
        <f>IFERROR(R6/R54,0)</f>
        <v/>
      </c>
      <c r="S68" s="432">
        <f>IFERROR(S6/S54,0)</f>
        <v/>
      </c>
      <c r="T68" s="432">
        <f>IFERROR(T6/T54,0)</f>
        <v/>
      </c>
      <c r="U68" s="432">
        <f>IFERROR(U6/U54,0)</f>
        <v/>
      </c>
      <c r="V68" s="432">
        <f>IFERROR(V6/V54,0)</f>
        <v/>
      </c>
      <c r="W68" s="431">
        <f>IFERROR(W6/W54,0)</f>
        <v/>
      </c>
    </row>
    <row r="69">
      <c r="I69" s="1333" t="inlineStr">
        <is>
          <t>2. Workshops</t>
        </is>
      </c>
      <c r="J69" s="431" t="n"/>
      <c r="K69" s="432">
        <f>IFERROR(K7/K55,0)</f>
        <v/>
      </c>
      <c r="L69" s="432">
        <f>IFERROR(L7/L55,0)</f>
        <v/>
      </c>
      <c r="M69" s="432">
        <f>IFERROR(M7/M55,0)</f>
        <v/>
      </c>
      <c r="N69" s="432">
        <f>IFERROR(N7/N55,0)</f>
        <v/>
      </c>
      <c r="O69" s="432">
        <f>IFERROR(O7/O55,0)</f>
        <v/>
      </c>
      <c r="P69" s="432">
        <f>IFERROR(P7/P55,0)</f>
        <v/>
      </c>
      <c r="Q69" s="432">
        <f>IFERROR(Q7/Q55,0)</f>
        <v/>
      </c>
      <c r="R69" s="432">
        <f>IFERROR(R7/R55,0)</f>
        <v/>
      </c>
      <c r="S69" s="432">
        <f>IFERROR(S7/S55,0)</f>
        <v/>
      </c>
      <c r="T69" s="432">
        <f>IFERROR(T7/T55,0)</f>
        <v/>
      </c>
      <c r="U69" s="432">
        <f>IFERROR(U7/U55,0)</f>
        <v/>
      </c>
      <c r="V69" s="432">
        <f>IFERROR(V7/V55,0)</f>
        <v/>
      </c>
      <c r="W69" s="431">
        <f>IFERROR(W7/W55,0)</f>
        <v/>
      </c>
    </row>
    <row r="70">
      <c r="I70" s="1333" t="inlineStr">
        <is>
          <t>3. Pick n Mix Inc</t>
        </is>
      </c>
      <c r="J70" s="431" t="n"/>
      <c r="K70" s="432">
        <f>IFERROR(K8/K56,0)</f>
        <v/>
      </c>
      <c r="L70" s="432">
        <f>IFERROR(L8/L56,0)</f>
        <v/>
      </c>
      <c r="M70" s="432">
        <f>IFERROR(M8/M56,0)</f>
        <v/>
      </c>
      <c r="N70" s="432">
        <f>IFERROR(N8/N56,0)</f>
        <v/>
      </c>
      <c r="O70" s="432">
        <f>IFERROR(O8/O56,0)</f>
        <v/>
      </c>
      <c r="P70" s="432">
        <f>IFERROR(P8/P56,0)</f>
        <v/>
      </c>
      <c r="Q70" s="432">
        <f>IFERROR(Q8/Q56,0)</f>
        <v/>
      </c>
      <c r="R70" s="432">
        <f>IFERROR(R8/R56,0)</f>
        <v/>
      </c>
      <c r="S70" s="432">
        <f>IFERROR(S8/S56,0)</f>
        <v/>
      </c>
      <c r="T70" s="432">
        <f>IFERROR(T8/T56,0)</f>
        <v/>
      </c>
      <c r="U70" s="432">
        <f>IFERROR(U8/U56,0)</f>
        <v/>
      </c>
      <c r="V70" s="432">
        <f>IFERROR(V8/V56,0)</f>
        <v/>
      </c>
      <c r="W70" s="431">
        <f>IFERROR(W8/W56,0)</f>
        <v/>
      </c>
    </row>
    <row r="71">
      <c r="I71" s="1333" t="inlineStr">
        <is>
          <t>4. Pick n Mix Out</t>
        </is>
      </c>
      <c r="J71" s="431" t="n"/>
      <c r="K71" s="432">
        <f>IFERROR(K9/K57,0)</f>
        <v/>
      </c>
      <c r="L71" s="432">
        <f>IFERROR(L9/L57,0)</f>
        <v/>
      </c>
      <c r="M71" s="432">
        <f>IFERROR(M9/M57,0)</f>
        <v/>
      </c>
      <c r="N71" s="432">
        <f>IFERROR(N9/N57,0)</f>
        <v/>
      </c>
      <c r="O71" s="432">
        <f>IFERROR(O9/O57,0)</f>
        <v/>
      </c>
      <c r="P71" s="432">
        <f>IFERROR(P9/P57,0)</f>
        <v/>
      </c>
      <c r="Q71" s="432">
        <f>IFERROR(Q9/Q57,0)</f>
        <v/>
      </c>
      <c r="R71" s="432">
        <f>IFERROR(R9/R57,0)</f>
        <v/>
      </c>
      <c r="S71" s="432">
        <f>IFERROR(S9/S57,0)</f>
        <v/>
      </c>
      <c r="T71" s="432">
        <f>IFERROR(T9/T57,0)</f>
        <v/>
      </c>
      <c r="U71" s="432">
        <f>IFERROR(U9/U57,0)</f>
        <v/>
      </c>
      <c r="V71" s="432">
        <f>IFERROR(V9/V57,0)</f>
        <v/>
      </c>
      <c r="W71" s="431">
        <f>IFERROR(W9/W57,0)</f>
        <v/>
      </c>
    </row>
    <row r="72">
      <c r="I72" s="1333" t="inlineStr">
        <is>
          <t>5. Mentoring</t>
        </is>
      </c>
      <c r="J72" s="431" t="n"/>
      <c r="K72" s="432">
        <f>IFERROR(K10/K58,0)</f>
        <v/>
      </c>
      <c r="L72" s="432">
        <f>IFERROR(L10/L58,0)</f>
        <v/>
      </c>
      <c r="M72" s="432">
        <f>IFERROR(M10/M58,0)</f>
        <v/>
      </c>
      <c r="N72" s="432">
        <f>IFERROR(N10/N58,0)</f>
        <v/>
      </c>
      <c r="O72" s="432">
        <f>IFERROR(O10/O58,0)</f>
        <v/>
      </c>
      <c r="P72" s="432">
        <f>IFERROR(P10/P58,0)</f>
        <v/>
      </c>
      <c r="Q72" s="432">
        <f>IFERROR(Q10/Q58,0)</f>
        <v/>
      </c>
      <c r="R72" s="432">
        <f>IFERROR(R10/R58,0)</f>
        <v/>
      </c>
      <c r="S72" s="432">
        <f>IFERROR(S10/S58,0)</f>
        <v/>
      </c>
      <c r="T72" s="432">
        <f>IFERROR(T10/T58,0)</f>
        <v/>
      </c>
      <c r="U72" s="432">
        <f>IFERROR(U10/U58,0)</f>
        <v/>
      </c>
      <c r="V72" s="432">
        <f>IFERROR(V10/V58,0)</f>
        <v/>
      </c>
      <c r="W72" s="431">
        <f>IFERROR(W10/W58,0)</f>
        <v/>
      </c>
    </row>
    <row r="73">
      <c r="I73" s="1334" t="inlineStr">
        <is>
          <t>6. 1-2-1</t>
        </is>
      </c>
      <c r="J73" s="431" t="n"/>
      <c r="K73" s="432">
        <f>IFERROR(K11/K59,0)</f>
        <v/>
      </c>
      <c r="L73" s="432">
        <f>IFERROR(L11/L59,0)</f>
        <v/>
      </c>
      <c r="M73" s="432">
        <f>IFERROR(M11/M59,0)</f>
        <v/>
      </c>
      <c r="N73" s="432">
        <f>IFERROR(N11/N59,0)</f>
        <v/>
      </c>
      <c r="O73" s="432">
        <f>IFERROR(O11/O59,0)</f>
        <v/>
      </c>
      <c r="P73" s="432">
        <f>IFERROR(P11/P59,0)</f>
        <v/>
      </c>
      <c r="Q73" s="432">
        <f>IFERROR(Q11/Q59,0)</f>
        <v/>
      </c>
      <c r="R73" s="432">
        <f>IFERROR(R11/R59,0)</f>
        <v/>
      </c>
      <c r="S73" s="432">
        <f>IFERROR(S11/S59,0)</f>
        <v/>
      </c>
      <c r="T73" s="432">
        <f>IFERROR(T11/T59,0)</f>
        <v/>
      </c>
      <c r="U73" s="432">
        <f>IFERROR(U11/U59,0)</f>
        <v/>
      </c>
      <c r="V73" s="432">
        <f>IFERROR(V11/V59,0)</f>
        <v/>
      </c>
      <c r="W73" s="431">
        <f>IFERROR(W11/W59,0)</f>
        <v/>
      </c>
    </row>
    <row r="74">
      <c r="I74" s="1334" t="inlineStr">
        <is>
          <t>7. Gift Vouchers Inc</t>
        </is>
      </c>
      <c r="J74" s="431" t="n"/>
      <c r="K74" s="432">
        <f>IFERROR(K12/K60,0)</f>
        <v/>
      </c>
      <c r="L74" s="432">
        <f>IFERROR(L12/L60,0)</f>
        <v/>
      </c>
      <c r="M74" s="432">
        <f>IFERROR(M12/M60,0)</f>
        <v/>
      </c>
      <c r="N74" s="432">
        <f>IFERROR(N12/N60,0)</f>
        <v/>
      </c>
      <c r="O74" s="432">
        <f>IFERROR(O12/O60,0)</f>
        <v/>
      </c>
      <c r="P74" s="432">
        <f>IFERROR(P12/P60,0)</f>
        <v/>
      </c>
      <c r="Q74" s="432">
        <f>IFERROR(Q12/Q60,0)</f>
        <v/>
      </c>
      <c r="R74" s="432">
        <f>IFERROR(R12/R60,0)</f>
        <v/>
      </c>
      <c r="S74" s="432">
        <f>IFERROR(S12/S60,0)</f>
        <v/>
      </c>
      <c r="T74" s="432">
        <f>IFERROR(T12/T60,0)</f>
        <v/>
      </c>
      <c r="U74" s="432">
        <f>IFERROR(U12/U60,0)</f>
        <v/>
      </c>
      <c r="V74" s="432">
        <f>IFERROR(V12/V60,0)</f>
        <v/>
      </c>
      <c r="W74" s="431">
        <f>IFERROR(W12/W60,0)</f>
        <v/>
      </c>
    </row>
    <row r="75">
      <c r="I75" s="1334" t="inlineStr">
        <is>
          <t>8. Gift Vouchers Out</t>
        </is>
      </c>
      <c r="J75" s="431" t="n"/>
      <c r="K75" s="432">
        <f>IFERROR(K13/K61,0)</f>
        <v/>
      </c>
      <c r="L75" s="432">
        <f>IFERROR(L13/L61,0)</f>
        <v/>
      </c>
      <c r="M75" s="432">
        <f>IFERROR(M13/M61,0)</f>
        <v/>
      </c>
      <c r="N75" s="432">
        <f>IFERROR(N13/N61,0)</f>
        <v/>
      </c>
      <c r="O75" s="432">
        <f>IFERROR(O13/O61,0)</f>
        <v/>
      </c>
      <c r="P75" s="432">
        <f>IFERROR(P13/P61,0)</f>
        <v/>
      </c>
      <c r="Q75" s="432">
        <f>IFERROR(Q13/Q61,0)</f>
        <v/>
      </c>
      <c r="R75" s="432">
        <f>IFERROR(R13/R61,0)</f>
        <v/>
      </c>
      <c r="S75" s="432">
        <f>IFERROR(S13/S61,0)</f>
        <v/>
      </c>
      <c r="T75" s="432">
        <f>IFERROR(T13/T61,0)</f>
        <v/>
      </c>
      <c r="U75" s="432">
        <f>IFERROR(U13/U61,0)</f>
        <v/>
      </c>
      <c r="V75" s="432">
        <f>IFERROR(V13/V61,0)</f>
        <v/>
      </c>
      <c r="W75" s="431">
        <f>IFERROR(W13/W61,0)</f>
        <v/>
      </c>
    </row>
    <row r="76">
      <c r="I76" s="1334" t="inlineStr">
        <is>
          <t>9. Prints &amp; Royalties</t>
        </is>
      </c>
      <c r="J76" s="431" t="n"/>
      <c r="K76" s="432">
        <f>IFERROR(K14/K62,0)</f>
        <v/>
      </c>
      <c r="L76" s="432">
        <f>IFERROR(L14/L62,0)</f>
        <v/>
      </c>
      <c r="M76" s="432">
        <f>IFERROR(M14/M62,0)</f>
        <v/>
      </c>
      <c r="N76" s="432">
        <f>IFERROR(N14/N62,0)</f>
        <v/>
      </c>
      <c r="O76" s="432">
        <f>IFERROR(O14/O62,0)</f>
        <v/>
      </c>
      <c r="P76" s="432">
        <f>IFERROR(P14/P62,0)</f>
        <v/>
      </c>
      <c r="Q76" s="432">
        <f>IFERROR(Q14/Q62,0)</f>
        <v/>
      </c>
      <c r="R76" s="432">
        <f>IFERROR(R14/R62,0)</f>
        <v/>
      </c>
      <c r="S76" s="432">
        <f>IFERROR(S14/S62,0)</f>
        <v/>
      </c>
      <c r="T76" s="432">
        <f>IFERROR(T14/T62,0)</f>
        <v/>
      </c>
      <c r="U76" s="432">
        <f>IFERROR(U14/U62,0)</f>
        <v/>
      </c>
      <c r="V76" s="432">
        <f>IFERROR(V14/V62,0)</f>
        <v/>
      </c>
      <c r="W76" s="431">
        <f>IFERROR(W14/W62,0)</f>
        <v/>
      </c>
    </row>
    <row r="77">
      <c r="I77" s="1334" t="inlineStr">
        <is>
          <t>10 Commissions</t>
        </is>
      </c>
      <c r="J77" s="431" t="n"/>
      <c r="K77" s="432">
        <f>IFERROR(K15/K63,0)</f>
        <v/>
      </c>
      <c r="L77" s="432">
        <f>IFERROR(L15/L63,0)</f>
        <v/>
      </c>
      <c r="M77" s="432">
        <f>IFERROR(M15/M63,0)</f>
        <v/>
      </c>
      <c r="N77" s="432">
        <f>IFERROR(N15/N63,0)</f>
        <v/>
      </c>
      <c r="O77" s="432">
        <f>IFERROR(O15/O63,0)</f>
        <v/>
      </c>
      <c r="P77" s="432">
        <f>IFERROR(P15/P63,0)</f>
        <v/>
      </c>
      <c r="Q77" s="432">
        <f>IFERROR(Q15/Q63,0)</f>
        <v/>
      </c>
      <c r="R77" s="432">
        <f>IFERROR(R15/R63,0)</f>
        <v/>
      </c>
      <c r="S77" s="432">
        <f>IFERROR(S15/S63,0)</f>
        <v/>
      </c>
      <c r="T77" s="432">
        <f>IFERROR(T15/T63,0)</f>
        <v/>
      </c>
      <c r="U77" s="432">
        <f>IFERROR(U15/U63,0)</f>
        <v/>
      </c>
      <c r="V77" s="432">
        <f>IFERROR(V15/V63,0)</f>
        <v/>
      </c>
      <c r="W77" s="431">
        <f>IFERROR(W15/W63,0)</f>
        <v/>
      </c>
    </row>
    <row r="78">
      <c r="I78" s="1334" t="inlineStr">
        <is>
          <t>11. Other</t>
        </is>
      </c>
      <c r="J78" s="431" t="n"/>
      <c r="K78" s="432">
        <f>IFERROR(K16/K64,0)</f>
        <v/>
      </c>
      <c r="L78" s="432">
        <f>IFERROR(L16/L64,0)</f>
        <v/>
      </c>
      <c r="M78" s="432">
        <f>IFERROR(M16/M64,0)</f>
        <v/>
      </c>
      <c r="N78" s="432">
        <f>IFERROR(N16/N64,0)</f>
        <v/>
      </c>
      <c r="O78" s="432">
        <f>IFERROR(O16/O64,0)</f>
        <v/>
      </c>
      <c r="P78" s="432">
        <f>IFERROR(P16/P64,0)</f>
        <v/>
      </c>
      <c r="Q78" s="432">
        <f>IFERROR(Q16/Q64,0)</f>
        <v/>
      </c>
      <c r="R78" s="432">
        <f>IFERROR(R16/R64,0)</f>
        <v/>
      </c>
      <c r="S78" s="432">
        <f>IFERROR(S16/S64,0)</f>
        <v/>
      </c>
      <c r="T78" s="432">
        <f>IFERROR(T16/T64,0)</f>
        <v/>
      </c>
      <c r="U78" s="432">
        <f>IFERROR(U16/U64,0)</f>
        <v/>
      </c>
      <c r="V78" s="432">
        <f>IFERROR(V16/V64,0)</f>
        <v/>
      </c>
      <c r="W78" s="431">
        <f>IFERROR(W16/W64,0)</f>
        <v/>
      </c>
    </row>
    <row r="79" ht="13.5" customHeight="1" s="1232" thickBot="1">
      <c r="I79" s="1339" t="inlineStr">
        <is>
          <t>Totals</t>
        </is>
      </c>
      <c r="J79" s="829" t="n"/>
      <c r="K79" s="802">
        <f>IFERROR(K17/K65,0)</f>
        <v/>
      </c>
      <c r="L79" s="802">
        <f>IFERROR(L17/L65,0)</f>
        <v/>
      </c>
      <c r="M79" s="802">
        <f>IFERROR(M17/M65,0)</f>
        <v/>
      </c>
      <c r="N79" s="802">
        <f>IFERROR(N17/N65,0)</f>
        <v/>
      </c>
      <c r="O79" s="802">
        <f>IFERROR(O17/O65,0)</f>
        <v/>
      </c>
      <c r="P79" s="802">
        <f>IFERROR(P17/P65,0)</f>
        <v/>
      </c>
      <c r="Q79" s="802">
        <f>IFERROR(Q17/Q65,0)</f>
        <v/>
      </c>
      <c r="R79" s="802">
        <f>IFERROR(R17/R65,0)</f>
        <v/>
      </c>
      <c r="S79" s="802">
        <f>IFERROR(S17/S65,0)</f>
        <v/>
      </c>
      <c r="T79" s="802">
        <f>IFERROR(T17/T65,0)</f>
        <v/>
      </c>
      <c r="U79" s="802">
        <f>IFERROR(U17/U65,0)</f>
        <v/>
      </c>
      <c r="V79" s="802">
        <f>IFERROR(V17/V65,0)</f>
        <v/>
      </c>
      <c r="W79" s="829">
        <f>IFERROR(W17/W65,0)</f>
        <v/>
      </c>
    </row>
    <row r="82" ht="13.15" customHeight="1" s="1232">
      <c r="I82" s="1336" t="inlineStr">
        <is>
          <t>Tuition Categories</t>
        </is>
      </c>
      <c r="J82" s="1330" t="inlineStr">
        <is>
          <t>GP Target</t>
        </is>
      </c>
      <c r="K82" s="1332" t="inlineStr">
        <is>
          <t>Jan</t>
        </is>
      </c>
      <c r="L82" s="1332" t="inlineStr">
        <is>
          <t>Feb</t>
        </is>
      </c>
      <c r="M82" s="1332" t="inlineStr">
        <is>
          <t>Mar</t>
        </is>
      </c>
      <c r="N82" s="1332" t="inlineStr">
        <is>
          <t>Apr</t>
        </is>
      </c>
      <c r="O82" s="1332" t="inlineStr">
        <is>
          <t>May</t>
        </is>
      </c>
      <c r="P82" s="1332" t="inlineStr">
        <is>
          <t>Jun</t>
        </is>
      </c>
      <c r="Q82" s="1332" t="inlineStr">
        <is>
          <t>Jul</t>
        </is>
      </c>
      <c r="R82" s="1332" t="inlineStr">
        <is>
          <t>Aug</t>
        </is>
      </c>
      <c r="S82" s="1332" t="inlineStr">
        <is>
          <t>Sep</t>
        </is>
      </c>
      <c r="T82" s="1332" t="inlineStr">
        <is>
          <t>Oct</t>
        </is>
      </c>
      <c r="U82" s="1332" t="inlineStr">
        <is>
          <t>Nov</t>
        </is>
      </c>
      <c r="V82" s="1332" t="inlineStr">
        <is>
          <t>Dec</t>
        </is>
      </c>
      <c r="W82" s="1332" t="inlineStr">
        <is>
          <t>Year</t>
        </is>
      </c>
      <c r="X82" s="1273" t="inlineStr">
        <is>
          <t>GP %</t>
        </is>
      </c>
      <c r="Y82" s="1383" t="inlineStr">
        <is>
          <t>YTD Targ</t>
        </is>
      </c>
      <c r="Z82" s="1383" t="inlineStr">
        <is>
          <t>Var YTD</t>
        </is>
      </c>
    </row>
    <row r="83">
      <c r="I83" s="1333" t="inlineStr">
        <is>
          <t>1. Courses/masterclasses</t>
        </is>
      </c>
      <c r="J83" s="432">
        <f>J6*70%</f>
        <v/>
      </c>
      <c r="K83" s="432">
        <f>K6*70%</f>
        <v/>
      </c>
      <c r="L83" s="432">
        <f>L6*70%</f>
        <v/>
      </c>
      <c r="M83" s="432">
        <f>M6*70%</f>
        <v/>
      </c>
      <c r="N83" s="432">
        <f>N6*70%</f>
        <v/>
      </c>
      <c r="O83" s="432">
        <f>O6*70%</f>
        <v/>
      </c>
      <c r="P83" s="432">
        <f>P6*70%</f>
        <v/>
      </c>
      <c r="Q83" s="432">
        <f>Q6*70%</f>
        <v/>
      </c>
      <c r="R83" s="432">
        <f>R6*70%</f>
        <v/>
      </c>
      <c r="S83" s="432">
        <f>S6*70%</f>
        <v/>
      </c>
      <c r="T83" s="432">
        <f>T6*70%</f>
        <v/>
      </c>
      <c r="U83" s="432">
        <f>U6*70%</f>
        <v/>
      </c>
      <c r="V83" s="432">
        <f>V6*70%</f>
        <v/>
      </c>
      <c r="W83" s="431">
        <f>SUM(K83:V83)</f>
        <v/>
      </c>
      <c r="X83" s="445">
        <f>IFERROR(W83/W6,0)</f>
        <v/>
      </c>
      <c r="Y83" s="558">
        <f>J83*12</f>
        <v/>
      </c>
      <c r="Z83" s="434">
        <f>W83-Y83</f>
        <v/>
      </c>
    </row>
    <row r="84">
      <c r="I84" s="1333" t="inlineStr">
        <is>
          <t>2. Workshops</t>
        </is>
      </c>
      <c r="J84" s="432">
        <f>J7*60%</f>
        <v/>
      </c>
      <c r="K84" s="432">
        <f>K7*60%</f>
        <v/>
      </c>
      <c r="L84" s="432">
        <f>L7*60%</f>
        <v/>
      </c>
      <c r="M84" s="432">
        <f>M7*60%</f>
        <v/>
      </c>
      <c r="N84" s="432">
        <f>N7*60%</f>
        <v/>
      </c>
      <c r="O84" s="432">
        <f>O7*60%</f>
        <v/>
      </c>
      <c r="P84" s="432">
        <f>P7*60%</f>
        <v/>
      </c>
      <c r="Q84" s="432">
        <f>Q7*60%</f>
        <v/>
      </c>
      <c r="R84" s="432">
        <f>R7*60%</f>
        <v/>
      </c>
      <c r="S84" s="432">
        <f>S7*60%</f>
        <v/>
      </c>
      <c r="T84" s="432">
        <f>T7*60%</f>
        <v/>
      </c>
      <c r="U84" s="432">
        <f>U7*60%</f>
        <v/>
      </c>
      <c r="V84" s="432">
        <f>V7*60%</f>
        <v/>
      </c>
      <c r="W84" s="431">
        <f>SUM(K84:V84)</f>
        <v/>
      </c>
      <c r="X84" s="445">
        <f>IFERROR(W84/W7,0)</f>
        <v/>
      </c>
      <c r="Y84" s="558">
        <f>J84*12</f>
        <v/>
      </c>
      <c r="Z84" s="434">
        <f>W84-Y84</f>
        <v/>
      </c>
    </row>
    <row r="85">
      <c r="I85" s="1333" t="inlineStr">
        <is>
          <t>3. Pick n Mix Inc</t>
        </is>
      </c>
      <c r="J85" s="432">
        <f>J8*60%</f>
        <v/>
      </c>
      <c r="K85" s="432">
        <f>K8*60%</f>
        <v/>
      </c>
      <c r="L85" s="432">
        <f>L8*60%</f>
        <v/>
      </c>
      <c r="M85" s="432">
        <f>M8*60%</f>
        <v/>
      </c>
      <c r="N85" s="432">
        <f>N8*60%</f>
        <v/>
      </c>
      <c r="O85" s="432">
        <f>O8*60%</f>
        <v/>
      </c>
      <c r="P85" s="432">
        <f>P8*60%</f>
        <v/>
      </c>
      <c r="Q85" s="432">
        <f>Q8*60%</f>
        <v/>
      </c>
      <c r="R85" s="432">
        <f>R8*60%</f>
        <v/>
      </c>
      <c r="S85" s="432">
        <f>S8*60%</f>
        <v/>
      </c>
      <c r="T85" s="432">
        <f>T8*60%</f>
        <v/>
      </c>
      <c r="U85" s="432">
        <f>U8*60%</f>
        <v/>
      </c>
      <c r="V85" s="432">
        <f>V8*60%</f>
        <v/>
      </c>
      <c r="W85" s="431">
        <f>SUM(K85:V85)</f>
        <v/>
      </c>
      <c r="X85" s="445">
        <f>IFERROR(W85/W9,0)</f>
        <v/>
      </c>
      <c r="Y85" s="558">
        <f>J85*12</f>
        <v/>
      </c>
      <c r="Z85" s="434">
        <f>W85-Y85</f>
        <v/>
      </c>
    </row>
    <row r="86">
      <c r="I86" s="1333" t="inlineStr">
        <is>
          <t>4. Pick n Mix Out</t>
        </is>
      </c>
      <c r="J86" s="432">
        <f>J9*60%</f>
        <v/>
      </c>
      <c r="K86" s="432">
        <f>K9*60%</f>
        <v/>
      </c>
      <c r="L86" s="432">
        <f>L9*60%</f>
        <v/>
      </c>
      <c r="M86" s="432">
        <f>M9*60%</f>
        <v/>
      </c>
      <c r="N86" s="432">
        <f>N9*60%</f>
        <v/>
      </c>
      <c r="O86" s="432">
        <f>O9*60%</f>
        <v/>
      </c>
      <c r="P86" s="432">
        <f>P9*60%</f>
        <v/>
      </c>
      <c r="Q86" s="432">
        <f>Q9*60%</f>
        <v/>
      </c>
      <c r="R86" s="432">
        <f>R9*60%</f>
        <v/>
      </c>
      <c r="S86" s="432">
        <f>S9*60%</f>
        <v/>
      </c>
      <c r="T86" s="432">
        <f>T9*60%</f>
        <v/>
      </c>
      <c r="U86" s="432">
        <f>U9*60%</f>
        <v/>
      </c>
      <c r="V86" s="432">
        <f>V9*60%</f>
        <v/>
      </c>
      <c r="W86" s="431">
        <f>SUM(K86:V86)</f>
        <v/>
      </c>
      <c r="X86" s="445" t="n"/>
      <c r="Y86" s="558" t="n"/>
      <c r="Z86" s="434" t="n"/>
    </row>
    <row r="87">
      <c r="I87" s="1333" t="inlineStr">
        <is>
          <t>5. Mentoring</t>
        </is>
      </c>
      <c r="J87" s="432">
        <f>J10*75%</f>
        <v/>
      </c>
      <c r="K87" s="432">
        <f>K10*75%</f>
        <v/>
      </c>
      <c r="L87" s="432">
        <f>L10*75%</f>
        <v/>
      </c>
      <c r="M87" s="432">
        <f>M10*75%</f>
        <v/>
      </c>
      <c r="N87" s="432">
        <f>N10*75%</f>
        <v/>
      </c>
      <c r="O87" s="432">
        <f>O10*75%</f>
        <v/>
      </c>
      <c r="P87" s="432">
        <f>P10*75%</f>
        <v/>
      </c>
      <c r="Q87" s="432">
        <f>Q10*75%</f>
        <v/>
      </c>
      <c r="R87" s="432">
        <f>R10*75%</f>
        <v/>
      </c>
      <c r="S87" s="432">
        <f>S10*75%</f>
        <v/>
      </c>
      <c r="T87" s="432">
        <f>T10*75%</f>
        <v/>
      </c>
      <c r="U87" s="432">
        <f>U10*75%</f>
        <v/>
      </c>
      <c r="V87" s="432">
        <f>V10*75%</f>
        <v/>
      </c>
      <c r="W87" s="431">
        <f>SUM(K87:V87)</f>
        <v/>
      </c>
      <c r="X87" s="445">
        <f>IFERROR(W87/W10,0)</f>
        <v/>
      </c>
      <c r="Y87" s="558">
        <f>J87*12</f>
        <v/>
      </c>
      <c r="Z87" s="434">
        <f>W87-Y87</f>
        <v/>
      </c>
    </row>
    <row r="88">
      <c r="I88" s="1334" t="inlineStr">
        <is>
          <t>6. 1-2-1</t>
        </is>
      </c>
      <c r="J88" s="432">
        <f>J11*60%</f>
        <v/>
      </c>
      <c r="K88" s="432">
        <f>K11*60%</f>
        <v/>
      </c>
      <c r="L88" s="432">
        <f>L11*60%</f>
        <v/>
      </c>
      <c r="M88" s="432">
        <f>M11*60%</f>
        <v/>
      </c>
      <c r="N88" s="432">
        <f>N11*60%</f>
        <v/>
      </c>
      <c r="O88" s="432">
        <f>O11*60%</f>
        <v/>
      </c>
      <c r="P88" s="432">
        <f>P11*60%</f>
        <v/>
      </c>
      <c r="Q88" s="432">
        <f>Q11*60%</f>
        <v/>
      </c>
      <c r="R88" s="432">
        <f>R11*60%</f>
        <v/>
      </c>
      <c r="S88" s="432">
        <f>S11*60%</f>
        <v/>
      </c>
      <c r="T88" s="432">
        <f>T11*60%</f>
        <v/>
      </c>
      <c r="U88" s="432">
        <f>U11*60%</f>
        <v/>
      </c>
      <c r="V88" s="432">
        <f>V11*60%</f>
        <v/>
      </c>
      <c r="W88" s="431">
        <f>SUM(K88:V88)</f>
        <v/>
      </c>
      <c r="X88" s="445" t="n">
        <v>0.75</v>
      </c>
      <c r="Y88" s="558">
        <f>J88*12</f>
        <v/>
      </c>
      <c r="Z88" s="434">
        <f>W88-Y88</f>
        <v/>
      </c>
    </row>
    <row r="89">
      <c r="I89" s="1334" t="inlineStr">
        <is>
          <t>7. Gift Vouchers Inc</t>
        </is>
      </c>
      <c r="J89" s="432">
        <f>J12*60%</f>
        <v/>
      </c>
      <c r="K89" s="432">
        <f>K12*60%</f>
        <v/>
      </c>
      <c r="L89" s="432">
        <f>L12*60%</f>
        <v/>
      </c>
      <c r="M89" s="432">
        <f>M12*60%</f>
        <v/>
      </c>
      <c r="N89" s="432">
        <f>N12*60%</f>
        <v/>
      </c>
      <c r="O89" s="432">
        <f>O12*60%</f>
        <v/>
      </c>
      <c r="P89" s="432">
        <f>P12*60%</f>
        <v/>
      </c>
      <c r="Q89" s="432">
        <f>Q12*60%</f>
        <v/>
      </c>
      <c r="R89" s="432">
        <f>R12*60%</f>
        <v/>
      </c>
      <c r="S89" s="432">
        <f>S12*60%</f>
        <v/>
      </c>
      <c r="T89" s="432">
        <f>T12*60%</f>
        <v/>
      </c>
      <c r="U89" s="432">
        <f>U12*60%</f>
        <v/>
      </c>
      <c r="V89" s="432">
        <f>V12*60%</f>
        <v/>
      </c>
      <c r="W89" s="431">
        <f>SUM(K89:V89)</f>
        <v/>
      </c>
      <c r="X89" s="445">
        <f>IFERROR(W89/W16,0)</f>
        <v/>
      </c>
      <c r="Y89" s="558">
        <f>J89*12</f>
        <v/>
      </c>
      <c r="Z89" s="434">
        <f>W89-Y89</f>
        <v/>
      </c>
    </row>
    <row r="90">
      <c r="I90" s="1334" t="inlineStr">
        <is>
          <t>8. Gift Vouchers Out</t>
        </is>
      </c>
      <c r="J90" s="432">
        <f>J13*60%</f>
        <v/>
      </c>
      <c r="K90" s="432">
        <f>K13*60%</f>
        <v/>
      </c>
      <c r="L90" s="432">
        <f>L13*60%</f>
        <v/>
      </c>
      <c r="M90" s="432">
        <f>M13*60%</f>
        <v/>
      </c>
      <c r="N90" s="432">
        <f>N13*60%</f>
        <v/>
      </c>
      <c r="O90" s="432">
        <f>O13*60%</f>
        <v/>
      </c>
      <c r="P90" s="432">
        <f>P13*60%</f>
        <v/>
      </c>
      <c r="Q90" s="432">
        <f>Q13*60%</f>
        <v/>
      </c>
      <c r="R90" s="432">
        <f>R13*60%</f>
        <v/>
      </c>
      <c r="S90" s="432">
        <f>S13*60%</f>
        <v/>
      </c>
      <c r="T90" s="432">
        <f>T13*60%</f>
        <v/>
      </c>
      <c r="U90" s="432">
        <f>U13*60%</f>
        <v/>
      </c>
      <c r="V90" s="432">
        <f>V13*60%</f>
        <v/>
      </c>
      <c r="W90" s="431" t="n"/>
      <c r="X90" s="445" t="n"/>
      <c r="Y90" s="558" t="n"/>
      <c r="Z90" s="434" t="n"/>
    </row>
    <row r="91">
      <c r="I91" s="1334" t="inlineStr">
        <is>
          <t>9. Prints &amp; Royalties</t>
        </is>
      </c>
      <c r="J91" s="432">
        <f>J14*50%</f>
        <v/>
      </c>
      <c r="K91" s="432">
        <f>K14*50%</f>
        <v/>
      </c>
      <c r="L91" s="432">
        <f>L14*50%</f>
        <v/>
      </c>
      <c r="M91" s="432">
        <f>M14*50%</f>
        <v/>
      </c>
      <c r="N91" s="432">
        <f>N14*50%</f>
        <v/>
      </c>
      <c r="O91" s="432">
        <f>O14*50%</f>
        <v/>
      </c>
      <c r="P91" s="432">
        <f>P14*50%</f>
        <v/>
      </c>
      <c r="Q91" s="432">
        <f>Q14*50%</f>
        <v/>
      </c>
      <c r="R91" s="432">
        <f>R14*50%</f>
        <v/>
      </c>
      <c r="S91" s="432">
        <f>S14*50%</f>
        <v/>
      </c>
      <c r="T91" s="432">
        <f>T14*50%</f>
        <v/>
      </c>
      <c r="U91" s="432">
        <f>U14*50%</f>
        <v/>
      </c>
      <c r="V91" s="432">
        <f>V14*50%</f>
        <v/>
      </c>
      <c r="W91" s="431">
        <f>SUM(K91:V91)</f>
        <v/>
      </c>
      <c r="X91" s="445" t="n"/>
      <c r="Y91" s="558" t="n"/>
      <c r="Z91" s="434" t="n"/>
    </row>
    <row r="92">
      <c r="I92" s="1334" t="inlineStr">
        <is>
          <t>10 Commissions</t>
        </is>
      </c>
      <c r="J92" s="432">
        <f>J15*60%</f>
        <v/>
      </c>
      <c r="K92" s="432">
        <f>K15*60%</f>
        <v/>
      </c>
      <c r="L92" s="432">
        <f>L15*60%</f>
        <v/>
      </c>
      <c r="M92" s="432">
        <f>M15*60%</f>
        <v/>
      </c>
      <c r="N92" s="432">
        <f>N15*60%</f>
        <v/>
      </c>
      <c r="O92" s="432">
        <f>O15*60%</f>
        <v/>
      </c>
      <c r="P92" s="432">
        <f>P15*60%</f>
        <v/>
      </c>
      <c r="Q92" s="432">
        <f>Q15*60%</f>
        <v/>
      </c>
      <c r="R92" s="432">
        <f>R15*60%</f>
        <v/>
      </c>
      <c r="S92" s="432">
        <f>S15*60%</f>
        <v/>
      </c>
      <c r="T92" s="432">
        <f>T15*60%</f>
        <v/>
      </c>
      <c r="U92" s="432">
        <f>U15*60%</f>
        <v/>
      </c>
      <c r="V92" s="432">
        <f>V15*60%</f>
        <v/>
      </c>
      <c r="W92" s="431">
        <f>SUM(K92:V92)</f>
        <v/>
      </c>
      <c r="X92" s="445" t="n"/>
      <c r="Y92" s="558" t="n"/>
      <c r="Z92" s="434" t="n"/>
    </row>
    <row r="93">
      <c r="I93" s="1334" t="inlineStr">
        <is>
          <t>11. Other</t>
        </is>
      </c>
      <c r="J93" s="432">
        <f>J16*60%</f>
        <v/>
      </c>
      <c r="K93" s="432">
        <f>K16*60%</f>
        <v/>
      </c>
      <c r="L93" s="432">
        <f>L16*60%</f>
        <v/>
      </c>
      <c r="M93" s="432">
        <f>M16*60%</f>
        <v/>
      </c>
      <c r="N93" s="432">
        <f>N16*60%</f>
        <v/>
      </c>
      <c r="O93" s="432">
        <f>O16*60%</f>
        <v/>
      </c>
      <c r="P93" s="432">
        <f>P16*60%</f>
        <v/>
      </c>
      <c r="Q93" s="432">
        <f>Q16*60%</f>
        <v/>
      </c>
      <c r="R93" s="432">
        <f>R16*60%</f>
        <v/>
      </c>
      <c r="S93" s="432">
        <f>S16*60%</f>
        <v/>
      </c>
      <c r="T93" s="432">
        <f>T16*60%</f>
        <v/>
      </c>
      <c r="U93" s="432">
        <f>U16*60%</f>
        <v/>
      </c>
      <c r="V93" s="432">
        <f>V16*60%</f>
        <v/>
      </c>
      <c r="W93" s="431">
        <f>SUM(K93:V93)</f>
        <v/>
      </c>
      <c r="X93" s="445" t="n"/>
      <c r="Y93" s="558" t="n"/>
      <c r="Z93" s="434" t="n"/>
    </row>
    <row r="94" ht="13.5" customHeight="1" s="1232" thickBot="1">
      <c r="I94" s="1340" t="inlineStr">
        <is>
          <t>Totals</t>
        </is>
      </c>
      <c r="J94" s="826">
        <f>SUM(J83:J89)</f>
        <v/>
      </c>
      <c r="K94" s="827">
        <f>SUM(K83:K93)</f>
        <v/>
      </c>
      <c r="L94" s="827">
        <f>SUM(L83:L93)</f>
        <v/>
      </c>
      <c r="M94" s="827">
        <f>SUM(M83:M93)</f>
        <v/>
      </c>
      <c r="N94" s="827">
        <f>SUM(N83:N93)</f>
        <v/>
      </c>
      <c r="O94" s="827">
        <f>SUM(O83:O93)</f>
        <v/>
      </c>
      <c r="P94" s="827">
        <f>SUM(P83:P93)</f>
        <v/>
      </c>
      <c r="Q94" s="827">
        <f>SUM(Q83:Q93)</f>
        <v/>
      </c>
      <c r="R94" s="827">
        <f>SUM(R83:R93)</f>
        <v/>
      </c>
      <c r="S94" s="827">
        <f>SUM(S83:S93)</f>
        <v/>
      </c>
      <c r="T94" s="827">
        <f>SUM(T83:T93)</f>
        <v/>
      </c>
      <c r="U94" s="827">
        <f>SUM(U83:U93)</f>
        <v/>
      </c>
      <c r="V94" s="827">
        <f>SUM(V83:V93)</f>
        <v/>
      </c>
      <c r="W94" s="827">
        <f>SUM(W83:W93)</f>
        <v/>
      </c>
      <c r="X94" s="445">
        <f>IFERROR(W94/W17,0)</f>
        <v/>
      </c>
      <c r="Y94" s="558">
        <f>J94*12</f>
        <v/>
      </c>
      <c r="Z94" s="434">
        <f>W94-Y94</f>
        <v/>
      </c>
    </row>
    <row r="96" ht="13.15" customHeight="1" s="1232">
      <c r="I96" s="1341" t="inlineStr">
        <is>
          <t>Banking Source</t>
        </is>
      </c>
      <c r="K96" s="1332" t="inlineStr">
        <is>
          <t>Jan</t>
        </is>
      </c>
      <c r="L96" s="1332" t="inlineStr">
        <is>
          <t>Feb</t>
        </is>
      </c>
      <c r="M96" s="1332" t="inlineStr">
        <is>
          <t>Mar</t>
        </is>
      </c>
      <c r="N96" s="1332" t="inlineStr">
        <is>
          <t>Apr</t>
        </is>
      </c>
      <c r="O96" s="1332" t="inlineStr">
        <is>
          <t>May</t>
        </is>
      </c>
      <c r="P96" s="1332" t="inlineStr">
        <is>
          <t>Jun</t>
        </is>
      </c>
      <c r="Q96" s="1332" t="inlineStr">
        <is>
          <t>Jul</t>
        </is>
      </c>
      <c r="R96" s="1332" t="inlineStr">
        <is>
          <t>Aug</t>
        </is>
      </c>
      <c r="S96" s="1332" t="inlineStr">
        <is>
          <t>Sep</t>
        </is>
      </c>
      <c r="T96" s="1332" t="inlineStr">
        <is>
          <t>Oct</t>
        </is>
      </c>
      <c r="U96" s="1332" t="inlineStr">
        <is>
          <t>Nov</t>
        </is>
      </c>
      <c r="V96" s="1332" t="inlineStr">
        <is>
          <t>Dec</t>
        </is>
      </c>
      <c r="W96" s="1332" t="inlineStr">
        <is>
          <t>Year</t>
        </is>
      </c>
      <c r="X96" s="1278" t="inlineStr">
        <is>
          <t>Split</t>
        </is>
      </c>
      <c r="Y96" s="1278" t="inlineStr">
        <is>
          <t>% YTD</t>
        </is>
      </c>
    </row>
    <row r="97">
      <c r="I97" s="1255" t="inlineStr">
        <is>
          <t>Stripe</t>
        </is>
      </c>
      <c r="K97" s="432">
        <f>SUMIFS($E$154:$E$480,$A$154:$A$480,"&gt;31/12/2021",$A$154:$A$480,"&lt;1/2/2022",$D$154:$D$480,$I97)</f>
        <v/>
      </c>
      <c r="L97" s="432">
        <f>SUMIFS($E$154:$E$480,$A$154:$A$480,"&gt;31/1/2022",$A$154:$A$480,"&lt;1/3/2022",$D$154:$D$480,$I97)</f>
        <v/>
      </c>
      <c r="M97" s="432">
        <f>SUMIFS($E$154:$E$480,$A$154:$A$480,"&gt;28/2/2022",$A$154:$A$480,"&lt;1/4/2022",$D$154:$D$480,$I97)</f>
        <v/>
      </c>
      <c r="N97" s="432">
        <f>SUMIFS($E$154:$E$480,$A$154:$A$480,"&gt;31/3/2022",$A$154:$A$480,"&lt;1/5/2022",$D$154:$D$480,$I97)</f>
        <v/>
      </c>
      <c r="O97" s="432">
        <f>SUMIFS($E$154:$E$480,$A$154:$A$480,"&gt;30/4/2022",$A$154:$A$480,"&lt;1/6/2022",$D$154:$D$480,$I97)</f>
        <v/>
      </c>
      <c r="P97" s="432">
        <f>SUMIFS($E$154:$E$480,$A$154:$A$480,"&gt;31/5/2022",$A$154:$A$480,"&lt;1/7/2022",$D$154:$D$480,$I97)</f>
        <v/>
      </c>
      <c r="Q97" s="432">
        <f>SUMIFS($E$154:$E$480,$A$154:$A$480,"&gt;30/6/2022",$A$154:$A$480,"&lt;1/8/2022",$D$154:$D$480,$I97)</f>
        <v/>
      </c>
      <c r="R97" s="432">
        <f>SUMIFS($E$154:$E$480,$A$154:$A$480,"&gt;31/7/2022",$A$154:$A$480,"&lt;1/9/2022",$D$154:$D$480,$I97)</f>
        <v/>
      </c>
      <c r="S97" s="432">
        <f>SUMIFS($E$154:$E$480,$A$154:$A$480,"&gt;31/8/2022",$A$154:$A$480,"&lt;1/10/2022",$D$154:$D$480,$I97)</f>
        <v/>
      </c>
      <c r="T97" s="432">
        <f>SUMIFS($E$154:$E$480,$A$154:$A$480,"&gt;30/9/2022",$A$154:$A$480,"&lt;1/11/2022",$D$154:$D$480,$I97)</f>
        <v/>
      </c>
      <c r="U97" s="432">
        <f>SUMIFS($E$154:$E$480,$A$154:$A$480,"&gt;31/10/2022",$A$154:$A$480,"&lt;1/12/2022",$D$154:$D$480,$I97)</f>
        <v/>
      </c>
      <c r="V97" s="432">
        <f>SUMIFS($E$154:$E$480,$A$154:$A$480,"&gt;30/11/2022",$A$154:$A$480,"&lt;1/1/2023",$D$154:$D$480,$I97)</f>
        <v/>
      </c>
      <c r="W97" s="432">
        <f>SUM(K97:V97)</f>
        <v/>
      </c>
      <c r="X97" s="460">
        <f>L97/$L$106</f>
        <v/>
      </c>
      <c r="Y97" s="460">
        <f>W97/W106</f>
        <v/>
      </c>
    </row>
    <row r="98">
      <c r="I98" s="1255" t="inlineStr">
        <is>
          <t>PayPal</t>
        </is>
      </c>
      <c r="K98" s="432">
        <f>SUMIFS($E$154:$E$480,$A$154:$A$480,"&gt;31/12/2021",$A$154:$A$480,"&lt;1/2/2022",$D$154:$D$480,$I98)</f>
        <v/>
      </c>
      <c r="L98" s="432">
        <f>SUMIFS($E$154:$E$480,$A$154:$A$480,"&gt;31/1/2022",$A$154:$A$480,"&lt;1/3/2022",$D$154:$D$480,$I98)</f>
        <v/>
      </c>
      <c r="M98" s="432">
        <f>SUMIFS($E$154:$E$480,$A$154:$A$480,"&gt;28/2/2022",$A$154:$A$480,"&lt;1/4/2022",$D$154:$D$480,$I98)</f>
        <v/>
      </c>
      <c r="N98" s="432">
        <f>SUMIFS($E$154:$E$480,$A$154:$A$480,"&gt;31/3/2022",$A$154:$A$480,"&lt;1/5/2022",$D$154:$D$480,$I98)</f>
        <v/>
      </c>
      <c r="O98" s="432">
        <f>SUMIFS($E$154:$E$480,$A$154:$A$480,"&gt;30/4/2022",$A$154:$A$480,"&lt;1/6/2022",$D$154:$D$480,$I98)</f>
        <v/>
      </c>
      <c r="P98" s="432">
        <f>SUMIFS($E$154:$E$480,$A$154:$A$480,"&gt;31/5/2022",$A$154:$A$480,"&lt;1/7/2022",$D$154:$D$480,$I98)</f>
        <v/>
      </c>
      <c r="Q98" s="432">
        <f>SUMIFS($E$154:$E$480,$A$154:$A$480,"&gt;30/6/2022",$A$154:$A$480,"&lt;1/8/2022",$D$154:$D$480,$I98)</f>
        <v/>
      </c>
      <c r="R98" s="432">
        <f>SUMIFS($E$154:$E$480,$A$154:$A$480,"&gt;31/7/2022",$A$154:$A$480,"&lt;1/9/2022",$D$154:$D$480,$I98)</f>
        <v/>
      </c>
      <c r="S98" s="432">
        <f>SUMIFS($E$154:$E$480,$A$154:$A$480,"&gt;31/8/2022",$A$154:$A$480,"&lt;1/10/2022",$D$154:$D$480,$I98)</f>
        <v/>
      </c>
      <c r="T98" s="432">
        <f>SUMIFS($E$154:$E$480,$A$154:$A$480,"&gt;30/9/2022",$A$154:$A$480,"&lt;1/11/2022",$D$154:$D$480,$I98)</f>
        <v/>
      </c>
      <c r="U98" s="432">
        <f>SUMIFS($E$154:$E$480,$A$154:$A$480,"&gt;31/10/2022",$A$154:$A$480,"&lt;1/12/2022",$D$154:$D$480,$I98)</f>
        <v/>
      </c>
      <c r="V98" s="432">
        <f>SUMIFS($E$154:$E$480,$A$154:$A$480,"&gt;30/11/2022",$A$154:$A$480,"&lt;1/1/2023",$D$154:$D$480,$I98)</f>
        <v/>
      </c>
      <c r="W98" s="432">
        <f>SUM(K98:V98)</f>
        <v/>
      </c>
      <c r="X98" s="460">
        <f>L98/$L$106</f>
        <v/>
      </c>
      <c r="Y98" s="460">
        <f>W98/W106</f>
        <v/>
      </c>
    </row>
    <row r="99">
      <c r="I99" s="1255" t="inlineStr">
        <is>
          <t>Various</t>
        </is>
      </c>
      <c r="K99" s="432">
        <f>SUMIFS($E$154:$E$480,$A$154:$A$480,"&gt;31/12/2021",$A$154:$A$480,"&lt;1/2/2022",$D$154:$D$480,$I99)</f>
        <v/>
      </c>
      <c r="L99" s="432">
        <f>SUMIFS($E$154:$E$480,$A$154:$A$480,"&gt;31/1/2022",$A$154:$A$480,"&lt;1/3/2022",$D$154:$D$480,$I99)</f>
        <v/>
      </c>
      <c r="M99" s="432">
        <f>SUMIFS($E$154:$E$480,$A$154:$A$480,"&gt;28/2/2022",$A$154:$A$480,"&lt;1/4/2022",$D$154:$D$480,$I99)</f>
        <v/>
      </c>
      <c r="N99" s="432">
        <f>SUMIFS($E$154:$E$480,$A$154:$A$480,"&gt;31/3/2022",$A$154:$A$480,"&lt;1/5/2022",$D$154:$D$480,$I99)</f>
        <v/>
      </c>
      <c r="O99" s="432">
        <f>SUMIFS($E$154:$E$480,$A$154:$A$480,"&gt;30/4/2022",$A$154:$A$480,"&lt;1/6/2022",$D$154:$D$480,$I99)</f>
        <v/>
      </c>
      <c r="P99" s="432">
        <f>SUMIFS($E$154:$E$480,$A$154:$A$480,"&gt;31/5/2022",$A$154:$A$480,"&lt;1/7/2022",$D$154:$D$480,$I99)</f>
        <v/>
      </c>
      <c r="Q99" s="432">
        <f>SUMIFS($E$154:$E$480,$A$154:$A$480,"&gt;30/6/2022",$A$154:$A$480,"&lt;1/8/2022",$D$154:$D$480,$I99)</f>
        <v/>
      </c>
      <c r="R99" s="432">
        <f>SUMIFS($E$154:$E$480,$A$154:$A$480,"&gt;31/7/2022",$A$154:$A$480,"&lt;1/9/2022",$D$154:$D$480,$I99)</f>
        <v/>
      </c>
      <c r="S99" s="432">
        <f>SUMIFS($E$154:$E$480,$A$154:$A$480,"&gt;31/8/2022",$A$154:$A$480,"&lt;1/10/2022",$D$154:$D$480,$I99)</f>
        <v/>
      </c>
      <c r="T99" s="432">
        <f>SUMIFS($E$154:$E$480,$A$154:$A$480,"&gt;30/9/2022",$A$154:$A$480,"&lt;1/11/2022",$D$154:$D$480,$I99)</f>
        <v/>
      </c>
      <c r="U99" s="432">
        <f>SUMIFS($E$154:$E$480,$A$154:$A$480,"&gt;31/10/2022",$A$154:$A$480,"&lt;1/12/2022",$D$154:$D$480,$I99)</f>
        <v/>
      </c>
      <c r="V99" s="432">
        <f>SUMIFS($E$154:$E$480,$A$154:$A$480,"&gt;30/11/2022",$A$154:$A$480,"&lt;1/1/2023",$D$154:$D$480,$I99)</f>
        <v/>
      </c>
      <c r="W99" s="432">
        <f>SUM(K99:V99)</f>
        <v/>
      </c>
      <c r="X99" s="460">
        <f>L99/$L$106</f>
        <v/>
      </c>
      <c r="Y99" s="460">
        <f>W99/W106</f>
        <v/>
      </c>
    </row>
    <row r="100">
      <c r="I100" s="1255" t="inlineStr">
        <is>
          <t>Bank</t>
        </is>
      </c>
      <c r="K100" s="432">
        <f>SUMIFS($E$154:$E$480,$A$154:$A$480,"&gt;31/12/2021",$A$154:$A$480,"&lt;1/2/2022",$D$154:$D$480,$I100)</f>
        <v/>
      </c>
      <c r="L100" s="432">
        <f>SUMIFS($E$154:$E$480,$A$154:$A$480,"&gt;31/1/2022",$A$154:$A$480,"&lt;1/3/2022",$D$154:$D$480,$I100)</f>
        <v/>
      </c>
      <c r="M100" s="432">
        <f>SUMIFS($E$154:$E$480,$A$154:$A$480,"&gt;28/2/2022",$A$154:$A$480,"&lt;1/4/2022",$D$154:$D$480,$I100)</f>
        <v/>
      </c>
      <c r="N100" s="432">
        <f>SUMIFS($E$154:$E$480,$A$154:$A$480,"&gt;31/3/2022",$A$154:$A$480,"&lt;1/5/2022",$D$154:$D$480,$I100)</f>
        <v/>
      </c>
      <c r="O100" s="432">
        <f>SUMIFS($E$154:$E$480,$A$154:$A$480,"&gt;30/4/2022",$A$154:$A$480,"&lt;1/6/2022",$D$154:$D$480,$I100)</f>
        <v/>
      </c>
      <c r="P100" s="432">
        <f>SUMIFS($E$154:$E$480,$A$154:$A$480,"&gt;31/5/2022",$A$154:$A$480,"&lt;1/7/2022",$D$154:$D$480,$I100)</f>
        <v/>
      </c>
      <c r="Q100" s="432">
        <f>SUMIFS($E$154:$E$480,$A$154:$A$480,"&gt;30/6/2022",$A$154:$A$480,"&lt;1/8/2022",$D$154:$D$480,$I100)</f>
        <v/>
      </c>
      <c r="R100" s="432">
        <f>SUMIFS($E$154:$E$480,$A$154:$A$480,"&gt;31/7/2022",$A$154:$A$480,"&lt;1/9/2022",$D$154:$D$480,$I100)</f>
        <v/>
      </c>
      <c r="S100" s="432">
        <f>SUMIFS($E$154:$E$480,$A$154:$A$480,"&gt;31/8/2022",$A$154:$A$480,"&lt;1/10/2022",$D$154:$D$480,$I100)</f>
        <v/>
      </c>
      <c r="T100" s="432">
        <f>SUMIFS($E$154:$E$480,$A$154:$A$480,"&gt;30/9/2022",$A$154:$A$480,"&lt;1/11/2022",$D$154:$D$480,$I100)</f>
        <v/>
      </c>
      <c r="U100" s="432">
        <f>SUMIFS($E$154:$E$480,$A$154:$A$480,"&gt;31/10/2022",$A$154:$A$480,"&lt;1/12/2022",$D$154:$D$480,$I100)</f>
        <v/>
      </c>
      <c r="V100" s="432">
        <f>SUMIFS($E$154:$E$480,$A$154:$A$480,"&gt;30/11/2022",$A$154:$A$480,"&lt;1/1/2023",$D$154:$D$480,$I100)</f>
        <v/>
      </c>
      <c r="W100" s="432">
        <f>SUM(K100:V100)</f>
        <v/>
      </c>
      <c r="X100" s="460">
        <f>L100/$L$106</f>
        <v/>
      </c>
      <c r="Y100" s="460">
        <f>W100/W106</f>
        <v/>
      </c>
    </row>
    <row r="101">
      <c r="I101" s="1255" t="inlineStr">
        <is>
          <t>Groupon</t>
        </is>
      </c>
      <c r="K101" s="432">
        <f>SUMIFS($E$154:$E$480,$A$154:$A$480,"&gt;31/12/2021",$A$154:$A$480,"&lt;1/2/2022",$D$154:$D$480,$I101)</f>
        <v/>
      </c>
      <c r="L101" s="432">
        <f>SUMIFS($E$154:$E$480,$A$154:$A$480,"&gt;31/1/2022",$A$154:$A$480,"&lt;1/3/2022",$D$154:$D$480,$I101)</f>
        <v/>
      </c>
      <c r="M101" s="432">
        <f>SUMIFS($E$154:$E$480,$A$154:$A$480,"&gt;28/2/2022",$A$154:$A$480,"&lt;1/4/2022",$D$154:$D$480,$I101)</f>
        <v/>
      </c>
      <c r="N101" s="432">
        <f>SUMIFS($E$154:$E$480,$A$154:$A$480,"&gt;31/3/2022",$A$154:$A$480,"&lt;1/5/2022",$D$154:$D$480,$I101)</f>
        <v/>
      </c>
      <c r="O101" s="432">
        <f>SUMIFS($E$154:$E$480,$A$154:$A$480,"&gt;30/4/2022",$A$154:$A$480,"&lt;1/6/2022",$D$154:$D$480,$I101)</f>
        <v/>
      </c>
      <c r="P101" s="432">
        <f>SUMIFS($E$154:$E$480,$A$154:$A$480,"&gt;31/5/2022",$A$154:$A$480,"&lt;1/7/2022",$D$154:$D$480,$I101)</f>
        <v/>
      </c>
      <c r="Q101" s="432">
        <f>SUMIFS($E$154:$E$480,$A$154:$A$480,"&gt;30/6/2022",$A$154:$A$480,"&lt;1/8/2022",$D$154:$D$480,$I101)</f>
        <v/>
      </c>
      <c r="R101" s="432">
        <f>SUMIFS($E$154:$E$480,$A$154:$A$480,"&gt;31/7/2022",$A$154:$A$480,"&lt;1/9/2022",$D$154:$D$480,$I101)</f>
        <v/>
      </c>
      <c r="S101" s="432">
        <f>SUMIFS($E$154:$E$480,$A$154:$A$480,"&gt;31/8/2022",$A$154:$A$480,"&lt;1/10/2022",$D$154:$D$480,$I101)</f>
        <v/>
      </c>
      <c r="T101" s="432">
        <f>SUMIFS($E$154:$E$480,$A$154:$A$480,"&gt;30/9/2022",$A$154:$A$480,"&lt;1/11/2022",$D$154:$D$480,$I101)</f>
        <v/>
      </c>
      <c r="U101" s="432">
        <f>SUMIFS($E$154:$E$480,$A$154:$A$480,"&gt;31/10/2022",$A$154:$A$480,"&lt;1/12/2022",$D$154:$D$480,$I101)</f>
        <v/>
      </c>
      <c r="V101" s="432">
        <f>SUMIFS($E$154:$E$480,$A$154:$A$480,"&gt;30/11/2022",$A$154:$A$480,"&lt;1/1/2023",$D$154:$D$480,$I101)</f>
        <v/>
      </c>
      <c r="W101" s="432">
        <f>SUM(K101:V101)</f>
        <v/>
      </c>
      <c r="X101" s="460">
        <f>L101/$L$106</f>
        <v/>
      </c>
      <c r="Y101" s="460">
        <f>W101/W106</f>
        <v/>
      </c>
    </row>
    <row r="102">
      <c r="I102" s="1255" t="inlineStr">
        <is>
          <t>Cash</t>
        </is>
      </c>
      <c r="K102" s="432">
        <f>SUMIFS($E$154:$E$480,$A$154:$A$480,"&gt;31/12/2021",$A$154:$A$480,"&lt;1/2/2022",$D$154:$D$480,$I102)</f>
        <v/>
      </c>
      <c r="L102" s="432">
        <f>SUMIFS($E$154:$E$480,$A$154:$A$480,"&gt;31/1/2022",$A$154:$A$480,"&lt;1/3/2022",$D$154:$D$480,$I102)</f>
        <v/>
      </c>
      <c r="M102" s="432">
        <f>SUMIFS($E$154:$E$480,$A$154:$A$480,"&gt;28/2/2022",$A$154:$A$480,"&lt;1/4/2022",$D$154:$D$480,$I102)</f>
        <v/>
      </c>
      <c r="N102" s="432">
        <f>SUMIFS($E$154:$E$480,$A$154:$A$480,"&gt;31/3/2022",$A$154:$A$480,"&lt;1/5/2022",$D$154:$D$480,$I102)</f>
        <v/>
      </c>
      <c r="O102" s="432">
        <f>SUMIFS($E$154:$E$480,$A$154:$A$480,"&gt;30/4/2022",$A$154:$A$480,"&lt;1/6/2022",$D$154:$D$480,$I102)</f>
        <v/>
      </c>
      <c r="P102" s="432">
        <f>SUMIFS($E$154:$E$480,$A$154:$A$480,"&gt;31/5/2022",$A$154:$A$480,"&lt;1/7/2022",$D$154:$D$480,$I102)</f>
        <v/>
      </c>
      <c r="Q102" s="432">
        <f>SUMIFS($E$154:$E$480,$A$154:$A$480,"&gt;30/6/2022",$A$154:$A$480,"&lt;1/8/2022",$D$154:$D$480,$I102)</f>
        <v/>
      </c>
      <c r="R102" s="432">
        <f>SUMIFS($E$154:$E$480,$A$154:$A$480,"&gt;31/7/2022",$A$154:$A$480,"&lt;1/9/2022",$D$154:$D$480,$I102)</f>
        <v/>
      </c>
      <c r="S102" s="432">
        <f>SUMIFS($E$154:$E$480,$A$154:$A$480,"&gt;31/8/2022",$A$154:$A$480,"&lt;1/10/2022",$D$154:$D$480,$I102)</f>
        <v/>
      </c>
      <c r="T102" s="432">
        <f>SUMIFS($E$154:$E$480,$A$154:$A$480,"&gt;30/9/2022",$A$154:$A$480,"&lt;1/11/2022",$D$154:$D$480,$I102)</f>
        <v/>
      </c>
      <c r="U102" s="432">
        <f>SUMIFS($E$154:$E$480,$A$154:$A$480,"&gt;31/10/2022",$A$154:$A$480,"&lt;1/12/2022",$D$154:$D$480,$I102)</f>
        <v/>
      </c>
      <c r="V102" s="432">
        <f>SUMIFS($E$154:$E$480,$A$154:$A$480,"&gt;30/11/2022",$A$154:$A$480,"&lt;1/1/2023",$D$154:$D$480,$I102)</f>
        <v/>
      </c>
      <c r="W102" s="432">
        <f>SUM(K102:V102)</f>
        <v/>
      </c>
      <c r="X102" s="460">
        <f>L102/$L$106</f>
        <v/>
      </c>
      <c r="Y102" s="460">
        <f>W102/W106</f>
        <v/>
      </c>
    </row>
    <row r="103">
      <c r="I103" s="1260" t="inlineStr">
        <is>
          <t>Gift Voucher Out</t>
        </is>
      </c>
      <c r="K103" s="432">
        <f>SUMIFS($E$154:$E$480,$A$154:$A$480,"&gt;31/12/2021",$A$154:$A$480,"&lt;1/2/2022",$D$154:$D$480,$I103)</f>
        <v/>
      </c>
      <c r="L103" s="432">
        <f>SUMIFS($E$154:$E$480,$A$154:$A$480,"&gt;31/1/2022",$A$154:$A$480,"&lt;1/3/2022",$D$154:$D$480,$I103)</f>
        <v/>
      </c>
      <c r="M103" s="432">
        <f>SUMIFS($E$154:$E$480,$A$154:$A$480,"&gt;28/2/2022",$A$154:$A$480,"&lt;1/4/2022",$D$154:$D$480,$I103)</f>
        <v/>
      </c>
      <c r="N103" s="432">
        <f>SUMIFS($E$154:$E$480,$A$154:$A$480,"&gt;31/3/2022",$A$154:$A$480,"&lt;1/5/2022",$D$154:$D$480,$I103)</f>
        <v/>
      </c>
      <c r="O103" s="432">
        <f>SUMIFS($E$154:$E$480,$A$154:$A$480,"&gt;30/4/2022",$A$154:$A$480,"&lt;1/6/2022",$D$154:$D$480,$I103)</f>
        <v/>
      </c>
      <c r="P103" s="432">
        <f>SUMIFS($E$154:$E$480,$A$154:$A$480,"&gt;31/5/2022",$A$154:$A$480,"&lt;1/7/2022",$D$154:$D$480,$I103)</f>
        <v/>
      </c>
      <c r="Q103" s="432">
        <f>SUMIFS($E$154:$E$480,$A$154:$A$480,"&gt;30/6/2022",$A$154:$A$480,"&lt;1/8/2022",$D$154:$D$480,$I103)</f>
        <v/>
      </c>
      <c r="R103" s="432">
        <f>SUMIFS($E$154:$E$480,$A$154:$A$480,"&gt;31/7/2022",$A$154:$A$480,"&lt;1/9/2022",$D$154:$D$480,$I103)</f>
        <v/>
      </c>
      <c r="S103" s="432">
        <f>SUMIFS($E$154:$E$480,$A$154:$A$480,"&gt;31/8/2022",$A$154:$A$480,"&lt;1/10/2022",$D$154:$D$480,$I103)</f>
        <v/>
      </c>
      <c r="T103" s="432">
        <f>SUMIFS($E$154:$E$480,$A$154:$A$480,"&gt;30/9/2022",$A$154:$A$480,"&lt;1/11/2022",$D$154:$D$480,$I103)</f>
        <v/>
      </c>
      <c r="U103" s="432">
        <f>SUMIFS($E$154:$E$480,$A$154:$A$480,"&gt;31/10/2022",$A$154:$A$480,"&lt;1/12/2022",$D$154:$D$480,$I103)</f>
        <v/>
      </c>
      <c r="V103" s="432">
        <f>SUMIFS($E$154:$E$480,$A$154:$A$480,"&gt;30/11/2022",$A$154:$A$480,"&lt;1/1/2023",$D$154:$D$480,$I103)</f>
        <v/>
      </c>
      <c r="W103" s="432">
        <f>SUM(K103:V103)</f>
        <v/>
      </c>
      <c r="X103" s="460" t="n"/>
      <c r="Y103" s="460" t="n"/>
    </row>
    <row r="104">
      <c r="I104" s="1260" t="inlineStr">
        <is>
          <t>PicknMix</t>
        </is>
      </c>
      <c r="K104" s="432">
        <f>SUMIFS($E$154:$E$480,$A$154:$A$480,"&gt;31/12/2021",$A$154:$A$480,"&lt;1/2/2022",$D$154:$D$480,$I104)</f>
        <v/>
      </c>
      <c r="L104" s="432">
        <f>SUMIFS($E$154:$E$480,$A$154:$A$480,"&gt;31/1/2022",$A$154:$A$480,"&lt;1/3/2022",$D$154:$D$480,$I104)</f>
        <v/>
      </c>
      <c r="M104" s="432">
        <f>SUMIFS($E$154:$E$480,$A$154:$A$480,"&gt;28/2/2022",$A$154:$A$480,"&lt;1/4/2022",$D$154:$D$480,$I104)</f>
        <v/>
      </c>
      <c r="N104" s="432">
        <f>SUMIFS($E$154:$E$480,$A$154:$A$480,"&gt;31/3/2022",$A$154:$A$480,"&lt;1/5/2022",$D$154:$D$480,$I104)</f>
        <v/>
      </c>
      <c r="O104" s="432">
        <f>SUMIFS($E$154:$E$480,$A$154:$A$480,"&gt;30/4/2022",$A$154:$A$480,"&lt;1/6/2022",$D$154:$D$480,$I104)</f>
        <v/>
      </c>
      <c r="P104" s="432">
        <f>SUMIFS($E$154:$E$480,$A$154:$A$480,"&gt;31/5/2022",$A$154:$A$480,"&lt;1/7/2022",$D$154:$D$480,$I104)</f>
        <v/>
      </c>
      <c r="Q104" s="432">
        <f>SUMIFS($E$154:$E$480,$A$154:$A$480,"&gt;30/6/2022",$A$154:$A$480,"&lt;1/8/2022",$D$154:$D$480,$I104)</f>
        <v/>
      </c>
      <c r="R104" s="432">
        <f>SUMIFS($E$154:$E$480,$A$154:$A$480,"&gt;31/7/2022",$A$154:$A$480,"&lt;1/9/2022",$D$154:$D$480,$I104)</f>
        <v/>
      </c>
      <c r="S104" s="432">
        <f>SUMIFS($E$154:$E$480,$A$154:$A$480,"&gt;31/8/2022",$A$154:$A$480,"&lt;1/10/2022",$D$154:$D$480,$I104)</f>
        <v/>
      </c>
      <c r="T104" s="432">
        <f>SUMIFS($E$154:$E$480,$A$154:$A$480,"&gt;30/9/2022",$A$154:$A$480,"&lt;1/11/2022",$D$154:$D$480,$I104)</f>
        <v/>
      </c>
      <c r="U104" s="432">
        <f>SUMIFS($E$154:$E$480,$A$154:$A$480,"&gt;31/10/2022",$A$154:$A$480,"&lt;1/12/2022",$D$154:$D$480,$I104)</f>
        <v/>
      </c>
      <c r="V104" s="432">
        <f>SUMIFS($E$154:$E$480,$A$154:$A$480,"&gt;30/11/2022",$A$154:$A$480,"&lt;1/1/2023",$D$154:$D$480,$I104)</f>
        <v/>
      </c>
      <c r="W104" s="432">
        <f>SUM(K104:V104)</f>
        <v/>
      </c>
      <c r="X104" s="460">
        <f>L104/$L$106</f>
        <v/>
      </c>
      <c r="Y104" s="460">
        <f>W104/W106</f>
        <v/>
      </c>
    </row>
    <row r="105">
      <c r="I105" s="1260" t="inlineStr">
        <is>
          <t>W-Pay</t>
        </is>
      </c>
      <c r="K105" s="432">
        <f>SUMIFS($E$154:$E$480,$A$154:$A$480,"&gt;31/12/2021",$A$154:$A$480,"&lt;1/2/2022",$D$154:$D$480,$I105)</f>
        <v/>
      </c>
      <c r="L105" s="432">
        <f>SUMIFS($E$154:$E$480,$A$154:$A$480,"&gt;31/1/2022",$A$154:$A$480,"&lt;1/3/2022",$D$154:$D$480,$I105)</f>
        <v/>
      </c>
      <c r="M105" s="432">
        <f>SUMIFS($E$154:$E$480,$A$154:$A$480,"&gt;28/2/2022",$A$154:$A$480,"&lt;1/4/2022",$D$154:$D$480,$I105)</f>
        <v/>
      </c>
      <c r="N105" s="432">
        <f>SUMIFS($E$154:$E$480,$A$154:$A$480,"&gt;31/3/2022",$A$154:$A$480,"&lt;1/5/2022",$D$154:$D$480,$I105)</f>
        <v/>
      </c>
      <c r="O105" s="432">
        <f>SUMIFS($E$154:$E$480,$A$154:$A$480,"&gt;30/4/2022",$A$154:$A$480,"&lt;1/6/2022",$D$154:$D$480,$I105)</f>
        <v/>
      </c>
      <c r="P105" s="432">
        <f>SUMIFS($E$154:$E$480,$A$154:$A$480,"&gt;31/5/2022",$A$154:$A$480,"&lt;1/7/2022",$D$154:$D$480,$I105)</f>
        <v/>
      </c>
      <c r="Q105" s="432">
        <f>SUMIFS($E$154:$E$480,$A$154:$A$480,"&gt;30/6/2022",$A$154:$A$480,"&lt;1/8/2022",$D$154:$D$480,$I105)</f>
        <v/>
      </c>
      <c r="R105" s="432">
        <f>SUMIFS($E$154:$E$480,$A$154:$A$480,"&gt;31/7/2022",$A$154:$A$480,"&lt;1/9/2022",$D$154:$D$480,$I105)</f>
        <v/>
      </c>
      <c r="S105" s="432">
        <f>SUMIFS($E$154:$E$480,$A$154:$A$480,"&gt;31/8/2022",$A$154:$A$480,"&lt;1/10/2022",$D$154:$D$480,$I105)</f>
        <v/>
      </c>
      <c r="T105" s="432">
        <f>SUMIFS($E$154:$E$480,$A$154:$A$480,"&gt;30/9/2022",$A$154:$A$480,"&lt;1/11/2022",$D$154:$D$480,$I105)</f>
        <v/>
      </c>
      <c r="U105" s="432">
        <f>SUMIFS($E$154:$E$480,$A$154:$A$480,"&gt;31/10/2022",$A$154:$A$480,"&lt;1/12/2022",$D$154:$D$480,$I105)</f>
        <v/>
      </c>
      <c r="V105" s="432">
        <f>SUMIFS($E$154:$E$480,$A$154:$A$480,"&gt;30/11/2022",$A$154:$A$480,"&lt;1/1/2023",$D$154:$D$480,$I105)</f>
        <v/>
      </c>
      <c r="W105" s="432">
        <f>SUM(K105:V105)</f>
        <v/>
      </c>
      <c r="X105" s="460">
        <f>L105/$L$106</f>
        <v/>
      </c>
      <c r="Y105" s="460">
        <f>W105/W106</f>
        <v/>
      </c>
    </row>
    <row r="106" ht="13.5" customHeight="1" s="1232" thickBot="1">
      <c r="I106" s="914" t="n"/>
      <c r="K106" s="801">
        <f>SUM(K97:K105)</f>
        <v/>
      </c>
      <c r="L106" s="801">
        <f>SUM(L97:L105)</f>
        <v/>
      </c>
      <c r="M106" s="801">
        <f>SUM(M97:M105)</f>
        <v/>
      </c>
      <c r="N106" s="801">
        <f>SUM(N97:N105)</f>
        <v/>
      </c>
      <c r="O106" s="801">
        <f>SUM(O97:O105)</f>
        <v/>
      </c>
      <c r="P106" s="801">
        <f>SUM(P97:P105)</f>
        <v/>
      </c>
      <c r="Q106" s="801">
        <f>SUM(Q97:Q105)</f>
        <v/>
      </c>
      <c r="R106" s="801">
        <f>SUM(R97:R105)</f>
        <v/>
      </c>
      <c r="S106" s="801">
        <f>SUM(S97:S105)</f>
        <v/>
      </c>
      <c r="T106" s="801">
        <f>SUM(T97:T105)</f>
        <v/>
      </c>
      <c r="U106" s="801">
        <f>SUM(U97:U105)</f>
        <v/>
      </c>
      <c r="V106" s="801">
        <f>SUM(V97:V105)</f>
        <v/>
      </c>
      <c r="W106" s="801">
        <f>SUM(W97:W105)</f>
        <v/>
      </c>
      <c r="X106" s="914" t="n"/>
      <c r="Y106" s="466" t="n"/>
    </row>
    <row r="107" ht="13.15" customHeight="1" s="1232" thickTop="1">
      <c r="I107" s="914" t="n"/>
      <c r="K107" s="434">
        <f>K106-K17</f>
        <v/>
      </c>
      <c r="L107" s="434">
        <f>L106-L17</f>
        <v/>
      </c>
      <c r="M107" s="434">
        <f>M106-M17</f>
        <v/>
      </c>
      <c r="N107" s="434">
        <f>N106-N17</f>
        <v/>
      </c>
      <c r="O107" s="434">
        <f>O106-O17</f>
        <v/>
      </c>
      <c r="P107" s="434">
        <f>P106-P17</f>
        <v/>
      </c>
      <c r="Q107" s="434">
        <f>Q106-Q17</f>
        <v/>
      </c>
      <c r="R107" s="434">
        <f>R106-R17</f>
        <v/>
      </c>
      <c r="S107" s="434">
        <f>S106-S17</f>
        <v/>
      </c>
      <c r="T107" s="434" t="n"/>
      <c r="U107" s="434" t="n"/>
      <c r="V107" s="434" t="n"/>
      <c r="W107" s="434" t="n"/>
      <c r="X107" s="914" t="n"/>
    </row>
    <row r="108" ht="13.15" customHeight="1" s="1232">
      <c r="I108" s="556" t="inlineStr">
        <is>
          <t>Payment Fees</t>
        </is>
      </c>
      <c r="K108" s="1332" t="inlineStr">
        <is>
          <t>Jan</t>
        </is>
      </c>
      <c r="L108" s="1332" t="inlineStr">
        <is>
          <t>Feb</t>
        </is>
      </c>
      <c r="M108" s="1332" t="inlineStr">
        <is>
          <t>Mar</t>
        </is>
      </c>
      <c r="N108" s="1332" t="inlineStr">
        <is>
          <t>Apr</t>
        </is>
      </c>
      <c r="O108" s="1332" t="inlineStr">
        <is>
          <t>May</t>
        </is>
      </c>
      <c r="P108" s="1332" t="inlineStr">
        <is>
          <t>Jun</t>
        </is>
      </c>
      <c r="Q108" s="1332" t="inlineStr">
        <is>
          <t>Jul</t>
        </is>
      </c>
      <c r="R108" s="1332" t="inlineStr">
        <is>
          <t>Aug</t>
        </is>
      </c>
      <c r="S108" s="1332" t="inlineStr">
        <is>
          <t>Sep</t>
        </is>
      </c>
      <c r="T108" s="1332" t="inlineStr">
        <is>
          <t>Oct</t>
        </is>
      </c>
      <c r="U108" s="1332" t="inlineStr">
        <is>
          <t>Nov</t>
        </is>
      </c>
      <c r="V108" s="1332" t="inlineStr">
        <is>
          <t>Dec</t>
        </is>
      </c>
      <c r="W108" s="1332" t="inlineStr">
        <is>
          <t>Year</t>
        </is>
      </c>
      <c r="X108" s="914" t="n"/>
    </row>
    <row r="109" ht="13.15" customHeight="1" s="1232">
      <c r="I109" s="791" t="inlineStr">
        <is>
          <t>Stripe 1.8%</t>
        </is>
      </c>
      <c r="K109" s="914">
        <f>K97*1.8%</f>
        <v/>
      </c>
      <c r="L109" s="914">
        <f>L97*1.8%</f>
        <v/>
      </c>
      <c r="M109" s="914">
        <f>M97*1.8%</f>
        <v/>
      </c>
      <c r="N109" s="914">
        <f>N97*1.8%</f>
        <v/>
      </c>
      <c r="O109" s="914">
        <f>O97*1.8%</f>
        <v/>
      </c>
      <c r="P109" s="914">
        <f>P97*1.8%</f>
        <v/>
      </c>
      <c r="Q109" s="914">
        <f>Q97*1.8%</f>
        <v/>
      </c>
      <c r="R109" s="914">
        <f>R97*1.8%</f>
        <v/>
      </c>
      <c r="S109" s="914">
        <f>S97*1.8%</f>
        <v/>
      </c>
      <c r="T109" s="914">
        <f>T97*1.8%</f>
        <v/>
      </c>
      <c r="U109" s="914">
        <f>U97*1.8%</f>
        <v/>
      </c>
      <c r="V109" s="914">
        <f>V97*1.8%</f>
        <v/>
      </c>
      <c r="W109" s="432">
        <f>SUM(K109:V109)</f>
        <v/>
      </c>
      <c r="X109" s="914" t="n"/>
      <c r="Y109" s="466" t="n"/>
    </row>
    <row r="110" ht="13.15" customHeight="1" s="1232">
      <c r="I110" s="791" t="inlineStr">
        <is>
          <t>Paypal 2.90% + £0.30</t>
        </is>
      </c>
      <c r="K110" s="914">
        <f>K98*3.5%</f>
        <v/>
      </c>
      <c r="L110" s="914">
        <f>L98*3.5%</f>
        <v/>
      </c>
      <c r="M110" s="914">
        <f>M98*3.5%</f>
        <v/>
      </c>
      <c r="N110" s="914">
        <f>N98*3.5%</f>
        <v/>
      </c>
      <c r="O110" s="914">
        <f>O98*3.5%</f>
        <v/>
      </c>
      <c r="P110" s="914">
        <f>P98*3.5%</f>
        <v/>
      </c>
      <c r="Q110" s="914">
        <f>Q98*3.5%</f>
        <v/>
      </c>
      <c r="R110" s="914">
        <f>R98*3.5%</f>
        <v/>
      </c>
      <c r="S110" s="914">
        <f>S98*3.5%</f>
        <v/>
      </c>
      <c r="T110" s="914">
        <f>T98*3.5%</f>
        <v/>
      </c>
      <c r="U110" s="914">
        <f>U98*3.5%</f>
        <v/>
      </c>
      <c r="V110" s="914">
        <f>V98*3.5%</f>
        <v/>
      </c>
      <c r="W110" s="432">
        <f>SUM(K110:V110)</f>
        <v/>
      </c>
      <c r="X110" s="914" t="n"/>
      <c r="Y110" s="466" t="n"/>
    </row>
    <row r="111" ht="13.15" customHeight="1" s="1232">
      <c r="I111" s="791" t="inlineStr">
        <is>
          <t>W-Pay</t>
        </is>
      </c>
      <c r="K111" s="914">
        <f>K105*3.5%</f>
        <v/>
      </c>
      <c r="L111" s="914">
        <f>L105*3.5%</f>
        <v/>
      </c>
      <c r="M111" s="914">
        <f>M105*3.5%</f>
        <v/>
      </c>
      <c r="N111" s="914">
        <f>N105*3.5%</f>
        <v/>
      </c>
      <c r="O111" s="914">
        <f>O105*3.5%</f>
        <v/>
      </c>
      <c r="P111" s="914">
        <f>P105*3.5%</f>
        <v/>
      </c>
      <c r="Q111" s="914">
        <f>Q105*3.5%</f>
        <v/>
      </c>
      <c r="R111" s="914">
        <f>R105*3.5%</f>
        <v/>
      </c>
      <c r="S111" s="914">
        <f>S105*3.5%</f>
        <v/>
      </c>
      <c r="T111" s="914">
        <f>T105*3.5%</f>
        <v/>
      </c>
      <c r="U111" s="914">
        <f>U105*3.5%</f>
        <v/>
      </c>
      <c r="V111" s="914">
        <f>V105*3.5%</f>
        <v/>
      </c>
      <c r="W111" s="586">
        <f>SUM(K111:V111)</f>
        <v/>
      </c>
      <c r="X111" s="914" t="n"/>
      <c r="Y111" s="466" t="n"/>
    </row>
    <row r="112" ht="13.5" customHeight="1" s="1232" thickBot="1">
      <c r="I112" s="822" t="inlineStr">
        <is>
          <t>Total Fees</t>
        </is>
      </c>
      <c r="J112" s="1343" t="n"/>
      <c r="K112" s="822">
        <f>SUM(K108:K111)</f>
        <v/>
      </c>
      <c r="L112" s="822">
        <f>SUM(L108:L111)</f>
        <v/>
      </c>
      <c r="M112" s="822">
        <f>SUM(M108:M111)</f>
        <v/>
      </c>
      <c r="N112" s="822">
        <f>SUM(N108:N111)</f>
        <v/>
      </c>
      <c r="O112" s="822">
        <f>SUM(O108:O111)</f>
        <v/>
      </c>
      <c r="P112" s="822">
        <f>SUM(P108:P111)</f>
        <v/>
      </c>
      <c r="Q112" s="822">
        <f>SUM(Q108:Q111)</f>
        <v/>
      </c>
      <c r="R112" s="822">
        <f>SUM(R108:R111)</f>
        <v/>
      </c>
      <c r="S112" s="822">
        <f>SUM(S108:S111)</f>
        <v/>
      </c>
      <c r="T112" s="822">
        <f>SUM(T108:T111)</f>
        <v/>
      </c>
      <c r="U112" s="822">
        <f>SUM(U108:U111)</f>
        <v/>
      </c>
      <c r="V112" s="822">
        <f>SUM(V108:V111)</f>
        <v/>
      </c>
      <c r="W112" s="824">
        <f>SUM(K112:V112)</f>
        <v/>
      </c>
      <c r="X112" s="914" t="n"/>
      <c r="Y112" s="466" t="n"/>
    </row>
    <row r="113" ht="13.15" customHeight="1" s="1232">
      <c r="I113" s="914" t="n"/>
      <c r="K113" s="914" t="n"/>
      <c r="L113" s="914" t="n"/>
      <c r="M113" s="914" t="n"/>
      <c r="N113" s="914" t="n"/>
      <c r="O113" s="914" t="n"/>
      <c r="P113" s="914" t="n"/>
      <c r="Q113" s="914" t="n"/>
      <c r="R113" s="914" t="n"/>
      <c r="S113" s="914" t="n"/>
      <c r="T113" s="914" t="n"/>
      <c r="U113" s="914" t="n"/>
      <c r="V113" s="914" t="n"/>
      <c r="W113" s="461">
        <f>SUM(K113:V113)</f>
        <v/>
      </c>
      <c r="X113" s="914" t="n"/>
      <c r="Y113" s="466" t="n"/>
    </row>
    <row r="114" ht="13.5" customHeight="1" s="1232" thickBot="1">
      <c r="I114" s="561" t="inlineStr">
        <is>
          <t>Net Payment</t>
        </is>
      </c>
      <c r="K114" s="801">
        <f>K106-K112</f>
        <v/>
      </c>
      <c r="L114" s="801">
        <f>L106-L112</f>
        <v/>
      </c>
      <c r="M114" s="801">
        <f>M106-M112</f>
        <v/>
      </c>
      <c r="N114" s="801">
        <f>N106-N112</f>
        <v/>
      </c>
      <c r="O114" s="801">
        <f>O106-O112</f>
        <v/>
      </c>
      <c r="P114" s="801">
        <f>P106-P112</f>
        <v/>
      </c>
      <c r="Q114" s="801">
        <f>Q106-Q112</f>
        <v/>
      </c>
      <c r="R114" s="801">
        <f>R106-R112</f>
        <v/>
      </c>
      <c r="S114" s="801">
        <f>S106-S112</f>
        <v/>
      </c>
      <c r="T114" s="801">
        <f>T106-T112</f>
        <v/>
      </c>
      <c r="U114" s="801">
        <f>U106-U112</f>
        <v/>
      </c>
      <c r="V114" s="801">
        <f>V106-V112</f>
        <v/>
      </c>
      <c r="W114" s="802">
        <f>SUM(K114:V114)</f>
        <v/>
      </c>
      <c r="X114" s="914" t="n"/>
      <c r="Y114" s="466" t="n"/>
    </row>
    <row r="115" ht="13.15" customHeight="1" s="1232" thickTop="1">
      <c r="I115" s="914" t="n"/>
      <c r="K115" s="914" t="n"/>
      <c r="L115" s="914" t="n"/>
      <c r="M115" s="914" t="n"/>
      <c r="N115" s="914" t="n"/>
      <c r="O115" s="914" t="n"/>
      <c r="P115" s="914" t="n"/>
      <c r="Q115" s="914" t="n"/>
      <c r="R115" s="914" t="n"/>
      <c r="S115" s="914" t="n"/>
      <c r="T115" s="914" t="n"/>
      <c r="U115" s="914" t="n"/>
      <c r="V115" s="914" t="n"/>
      <c r="W115" s="914" t="n"/>
      <c r="X115" s="914" t="n"/>
    </row>
    <row r="116">
      <c r="K116" s="914" t="n"/>
      <c r="L116" s="914" t="n"/>
      <c r="M116" s="914" t="n"/>
      <c r="N116" s="914" t="n"/>
      <c r="O116" s="914" t="n"/>
      <c r="P116" s="914" t="n"/>
      <c r="Q116" s="914" t="n"/>
      <c r="R116" s="914" t="n"/>
      <c r="S116" s="914" t="n"/>
      <c r="T116" s="914" t="n"/>
      <c r="U116" s="914" t="n"/>
      <c r="V116" s="914" t="n"/>
      <c r="W116" s="914" t="n"/>
      <c r="X116" s="914" t="n"/>
    </row>
    <row r="117" ht="13.15" customHeight="1" s="1232">
      <c r="I117" s="556" t="inlineStr">
        <is>
          <t>Booking source</t>
        </is>
      </c>
      <c r="K117" s="1332" t="inlineStr">
        <is>
          <t>Jan</t>
        </is>
      </c>
      <c r="L117" s="1332" t="inlineStr">
        <is>
          <t>Feb</t>
        </is>
      </c>
      <c r="M117" s="1332" t="inlineStr">
        <is>
          <t>Mar</t>
        </is>
      </c>
      <c r="N117" s="1332" t="inlineStr">
        <is>
          <t>Apr</t>
        </is>
      </c>
      <c r="O117" s="1332" t="inlineStr">
        <is>
          <t>May</t>
        </is>
      </c>
      <c r="P117" s="1332" t="inlineStr">
        <is>
          <t>Jun</t>
        </is>
      </c>
      <c r="Q117" s="1332" t="inlineStr">
        <is>
          <t>Jul</t>
        </is>
      </c>
      <c r="R117" s="1332" t="inlineStr">
        <is>
          <t>Aug</t>
        </is>
      </c>
      <c r="S117" s="1332" t="inlineStr">
        <is>
          <t>Sep</t>
        </is>
      </c>
      <c r="T117" s="1332" t="inlineStr">
        <is>
          <t>Oct</t>
        </is>
      </c>
      <c r="U117" s="1332" t="inlineStr">
        <is>
          <t>Nov</t>
        </is>
      </c>
      <c r="V117" s="1332" t="inlineStr">
        <is>
          <t>Dec</t>
        </is>
      </c>
      <c r="W117" s="1332" t="inlineStr">
        <is>
          <t>Year</t>
        </is>
      </c>
      <c r="X117" s="1278" t="inlineStr">
        <is>
          <t>Split</t>
        </is>
      </c>
    </row>
    <row r="118">
      <c r="I118" s="1255" t="inlineStr">
        <is>
          <t>Google</t>
        </is>
      </c>
      <c r="K118" s="432">
        <f>SUMIFS($E$154:$E$480,$A$154:$A$480,"&gt;31/12/2021",$A$154:$A$480,"&lt;1/2/2022",$G$154:$G$480,$I118)</f>
        <v/>
      </c>
      <c r="L118" s="432">
        <f>SUMIFS($E$154:$E$480,$A$154:$A$480,"&gt;31/1/2022",$A$154:$A$480,"&lt;1/3/2022",$G$154:$G$480,$I118)</f>
        <v/>
      </c>
      <c r="M118" s="432">
        <f>SUMIFS($E$154:$E$480,$A$154:$A$480,"&gt;28/2/2022",$A$154:$A$480,"&lt;1/4/2022",$G$154:$G$480,$I118)</f>
        <v/>
      </c>
      <c r="N118" s="432">
        <f>SUMIFS($E$154:$E$480,$A$154:$A$480,"&gt;31/3/2022",$A$154:$A$480,"&lt;1/5/2022",$G$154:$G$480,$I118)</f>
        <v/>
      </c>
      <c r="O118" s="432">
        <f>SUMIFS($E$154:$E$480,$A$154:$A$480,"&gt;30/4/2022",$A$154:$A$480,"&lt;1/6/2022",$G$154:$G$480,$I118)</f>
        <v/>
      </c>
      <c r="P118" s="432">
        <f>SUMIFS($E$154:$E$480,$A$154:$A$480,"&gt;31/5/2022",$A$154:$A$480,"&lt;1/7/2022",$G$154:$G$480,$I118)</f>
        <v/>
      </c>
      <c r="Q118" s="432">
        <f>SUMIFS($E$154:$E$480,$A$154:$A$480,"&gt;30/6/2022",$A$154:$A$480,"&lt;1/8/2022",$G$154:$G$480,$I118)</f>
        <v/>
      </c>
      <c r="R118" s="432">
        <f>SUMIFS($E$154:$E$480,$A$154:$A$480,"&gt;31/7/2022",$A$154:$A$480,"&lt;1/9/2022",$G$154:$G$480,$I118)</f>
        <v/>
      </c>
      <c r="S118" s="432">
        <f>SUMIFS($E$154:$E$480,$A$154:$A$480,"&gt;31/8/2022",$A$154:$A$480,"&lt;1/10/2022",$G$154:$G$480,$I118)</f>
        <v/>
      </c>
      <c r="T118" s="432">
        <f>SUMIFS($E$154:$E$480,$A$154:$A$480,"&gt;30/9/2022",$A$154:$A$480,"&lt;1/11/2022",$G$154:$G$480,$I118)</f>
        <v/>
      </c>
      <c r="U118" s="432">
        <f>SUMIFS($E$154:$E$480,$A$154:$A$480,"&gt;31/10/2022",$A$154:$A$480,"&lt;1/12/2022",$G$154:$G$480,$I118)</f>
        <v/>
      </c>
      <c r="V118" s="432">
        <f>SUMIFS($E$154:$E$480,$A$154:$A$480,"&gt;30/11/2022",$A$154:$A$480,"&lt;1/1/2023",$G$154:$G$480,$I118)</f>
        <v/>
      </c>
      <c r="W118" s="432">
        <f>SUM(K118:V118)</f>
        <v/>
      </c>
      <c r="X118" s="460">
        <f>IFERROR(W118/$W$127,0)</f>
        <v/>
      </c>
    </row>
    <row r="119">
      <c r="I119" s="1255" t="inlineStr">
        <is>
          <t>Existing</t>
        </is>
      </c>
      <c r="K119" s="432">
        <f>SUMIFS($E$154:$E$480,$A$154:$A$480,"&gt;31/12/2021",$A$154:$A$480,"&lt;1/2/2022",$G$154:$G$480,$I119)</f>
        <v/>
      </c>
      <c r="L119" s="432">
        <f>SUMIFS($E$154:$E$480,$A$154:$A$480,"&gt;31/1/2022",$A$154:$A$480,"&lt;1/3/2022",$G$154:$G$480,$I119)</f>
        <v/>
      </c>
      <c r="M119" s="432">
        <f>SUMIFS($E$154:$E$480,$A$154:$A$480,"&gt;28/2/2022",$A$154:$A$480,"&lt;1/4/2022",$G$154:$G$480,$I119)</f>
        <v/>
      </c>
      <c r="N119" s="432">
        <f>SUMIFS($E$154:$E$480,$A$154:$A$480,"&gt;31/3/2022",$A$154:$A$480,"&lt;1/5/2022",$G$154:$G$480,$I119)</f>
        <v/>
      </c>
      <c r="O119" s="432">
        <f>SUMIFS($E$154:$E$480,$A$154:$A$480,"&gt;30/4/2022",$A$154:$A$480,"&lt;1/6/2022",$G$154:$G$480,$I119)</f>
        <v/>
      </c>
      <c r="P119" s="432">
        <f>SUMIFS($E$154:$E$480,$A$154:$A$480,"&gt;31/5/2022",$A$154:$A$480,"&lt;1/7/2022",$G$154:$G$480,$I119)</f>
        <v/>
      </c>
      <c r="Q119" s="432">
        <f>SUMIFS($E$154:$E$480,$A$154:$A$480,"&gt;30/6/2022",$A$154:$A$480,"&lt;1/8/2022",$G$154:$G$480,$I119)</f>
        <v/>
      </c>
      <c r="R119" s="432">
        <f>SUMIFS($E$154:$E$480,$A$154:$A$480,"&gt;31/7/2022",$A$154:$A$480,"&lt;1/9/2022",$G$154:$G$480,$I119)</f>
        <v/>
      </c>
      <c r="S119" s="432">
        <f>SUMIFS($E$154:$E$480,$A$154:$A$480,"&gt;31/8/2022",$A$154:$A$480,"&lt;1/10/2022",$G$154:$G$480,$I119)</f>
        <v/>
      </c>
      <c r="T119" s="432">
        <f>SUMIFS($E$154:$E$480,$A$154:$A$480,"&gt;30/9/2022",$A$154:$A$480,"&lt;1/11/2022",$G$154:$G$480,$I119)</f>
        <v/>
      </c>
      <c r="U119" s="432">
        <f>SUMIFS($E$154:$E$480,$A$154:$A$480,"&gt;31/10/2022",$A$154:$A$480,"&lt;1/12/2022",$G$154:$G$480,$I119)</f>
        <v/>
      </c>
      <c r="V119" s="432">
        <f>SUMIFS($E$154:$E$480,$A$154:$A$480,"&gt;30/11/2022",$A$154:$A$480,"&lt;1/1/2023",$G$154:$G$480,$I119)</f>
        <v/>
      </c>
      <c r="W119" s="432">
        <f>SUM(K119:V119)</f>
        <v/>
      </c>
      <c r="X119" s="460">
        <f>IFERROR(W119/$W$127,0)</f>
        <v/>
      </c>
    </row>
    <row r="120">
      <c r="I120" s="1255" t="inlineStr">
        <is>
          <t>ELS</t>
        </is>
      </c>
      <c r="K120" s="432">
        <f>SUMIFS($E$154:$E$480,$A$154:$A$480,"&gt;31/12/2021",$A$154:$A$480,"&lt;1/2/2022",$G$154:$G$480,$I120)</f>
        <v/>
      </c>
      <c r="L120" s="432">
        <f>SUMIFS($E$154:$E$480,$A$154:$A$480,"&gt;31/1/2022",$A$154:$A$480,"&lt;1/3/2022",$G$154:$G$480,$I120)</f>
        <v/>
      </c>
      <c r="M120" s="432">
        <f>SUMIFS($E$154:$E$480,$A$154:$A$480,"&gt;28/2/2022",$A$154:$A$480,"&lt;1/4/2022",$G$154:$G$480,$I120)</f>
        <v/>
      </c>
      <c r="N120" s="432">
        <f>SUMIFS($E$154:$E$480,$A$154:$A$480,"&gt;31/3/2022",$A$154:$A$480,"&lt;1/5/2022",$G$154:$G$480,$I120)</f>
        <v/>
      </c>
      <c r="O120" s="432">
        <f>SUMIFS($E$154:$E$480,$A$154:$A$480,"&gt;30/4/2022",$A$154:$A$480,"&lt;1/6/2022",$G$154:$G$480,$I120)</f>
        <v/>
      </c>
      <c r="P120" s="432">
        <f>SUMIFS($E$154:$E$480,$A$154:$A$480,"&gt;31/5/2022",$A$154:$A$480,"&lt;1/7/2022",$G$154:$G$480,$I120)</f>
        <v/>
      </c>
      <c r="Q120" s="432">
        <f>SUMIFS($E$154:$E$480,$A$154:$A$480,"&gt;30/6/2022",$A$154:$A$480,"&lt;1/8/2022",$G$154:$G$480,$I120)</f>
        <v/>
      </c>
      <c r="R120" s="432">
        <f>SUMIFS($E$154:$E$480,$A$154:$A$480,"&gt;31/7/2022",$A$154:$A$480,"&lt;1/9/2022",$G$154:$G$480,$I120)</f>
        <v/>
      </c>
      <c r="S120" s="432">
        <f>SUMIFS($E$154:$E$480,$A$154:$A$480,"&gt;31/8/2022",$A$154:$A$480,"&lt;1/10/2022",$G$154:$G$480,$I120)</f>
        <v/>
      </c>
      <c r="T120" s="432">
        <f>SUMIFS($E$154:$E$480,$A$154:$A$480,"&gt;30/9/2022",$A$154:$A$480,"&lt;1/11/2022",$G$154:$G$480,$I120)</f>
        <v/>
      </c>
      <c r="U120" s="432">
        <f>SUMIFS($E$154:$E$480,$A$154:$A$480,"&gt;31/10/2022",$A$154:$A$480,"&lt;1/12/2022",$G$154:$G$480,$I120)</f>
        <v/>
      </c>
      <c r="V120" s="432">
        <f>SUMIFS($E$154:$E$480,$A$154:$A$480,"&gt;30/11/2022",$A$154:$A$480,"&lt;1/1/2023",$G$154:$G$480,$I120)</f>
        <v/>
      </c>
      <c r="W120" s="432">
        <f>SUM(K120:V120)</f>
        <v/>
      </c>
      <c r="X120" s="460">
        <f>IFERROR(W120/$W$127,0)</f>
        <v/>
      </c>
    </row>
    <row r="121">
      <c r="I121" s="1260" t="inlineStr">
        <is>
          <t>Referral</t>
        </is>
      </c>
      <c r="K121" s="432">
        <f>SUMIFS($E$154:$E$480,$A$154:$A$480,"&gt;31/12/2021",$A$154:$A$480,"&lt;1/2/2022",$G$154:$G$480,$I121)</f>
        <v/>
      </c>
      <c r="L121" s="432">
        <f>SUMIFS($E$154:$E$480,$A$154:$A$480,"&gt;31/1/2022",$A$154:$A$480,"&lt;1/3/2022",$G$154:$G$480,$I121)</f>
        <v/>
      </c>
      <c r="M121" s="432">
        <f>SUMIFS($E$154:$E$480,$A$154:$A$480,"&gt;28/2/2022",$A$154:$A$480,"&lt;1/4/2022",$G$154:$G$480,$I121)</f>
        <v/>
      </c>
      <c r="N121" s="432">
        <f>SUMIFS($E$154:$E$480,$A$154:$A$480,"&gt;31/3/2022",$A$154:$A$480,"&lt;1/5/2022",$G$154:$G$480,$I121)</f>
        <v/>
      </c>
      <c r="O121" s="432">
        <f>SUMIFS($E$154:$E$480,$A$154:$A$480,"&gt;30/4/2022",$A$154:$A$480,"&lt;1/6/2022",$G$154:$G$480,$I121)</f>
        <v/>
      </c>
      <c r="P121" s="432">
        <f>SUMIFS($E$154:$E$480,$A$154:$A$480,"&gt;31/5/2022",$A$154:$A$480,"&lt;1/7/2022",$G$154:$G$480,$I121)</f>
        <v/>
      </c>
      <c r="Q121" s="432">
        <f>SUMIFS($E$154:$E$480,$A$154:$A$480,"&gt;30/6/2022",$A$154:$A$480,"&lt;1/8/2022",$G$154:$G$480,$I121)</f>
        <v/>
      </c>
      <c r="R121" s="432">
        <f>SUMIFS($E$154:$E$480,$A$154:$A$480,"&gt;31/7/2022",$A$154:$A$480,"&lt;1/9/2022",$G$154:$G$480,$I121)</f>
        <v/>
      </c>
      <c r="S121" s="432">
        <f>SUMIFS($E$154:$E$480,$A$154:$A$480,"&gt;31/8/2022",$A$154:$A$480,"&lt;1/10/2022",$G$154:$G$480,$I121)</f>
        <v/>
      </c>
      <c r="T121" s="432">
        <f>SUMIFS($E$154:$E$480,$A$154:$A$480,"&gt;30/9/2022",$A$154:$A$480,"&lt;1/11/2022",$G$154:$G$480,$I121)</f>
        <v/>
      </c>
      <c r="U121" s="432">
        <f>SUMIFS($E$154:$E$480,$A$154:$A$480,"&gt;31/10/2022",$A$154:$A$480,"&lt;1/12/2022",$G$154:$G$480,$I121)</f>
        <v/>
      </c>
      <c r="V121" s="432">
        <f>SUMIFS($E$154:$E$480,$A$154:$A$480,"&gt;30/11/2022",$A$154:$A$480,"&lt;1/1/2023",$G$154:$G$480,$I121)</f>
        <v/>
      </c>
      <c r="W121" s="432">
        <f>SUM(K121:V121)</f>
        <v/>
      </c>
      <c r="X121" s="460">
        <f>IFERROR(W121/$W$127,0)</f>
        <v/>
      </c>
    </row>
    <row r="122">
      <c r="I122" s="1255" t="inlineStr">
        <is>
          <t>Batsford</t>
        </is>
      </c>
      <c r="K122" s="432">
        <f>SUMIFS($E$154:$E$480,$A$154:$A$480,"&gt;31/12/2021",$A$154:$A$480,"&lt;1/2/2022",$G$154:$G$480,$I122)</f>
        <v/>
      </c>
      <c r="L122" s="432">
        <f>SUMIFS($E$154:$E$480,$A$154:$A$480,"&gt;31/1/2022",$A$154:$A$480,"&lt;1/3/2022",$G$154:$G$480,$I122)</f>
        <v/>
      </c>
      <c r="M122" s="432">
        <f>SUMIFS($E$154:$E$480,$A$154:$A$480,"&gt;28/2/2022",$A$154:$A$480,"&lt;1/4/2022",$G$154:$G$480,$I122)</f>
        <v/>
      </c>
      <c r="N122" s="432">
        <f>SUMIFS($E$154:$E$480,$A$154:$A$480,"&gt;31/3/2022",$A$154:$A$480,"&lt;1/5/2022",$G$154:$G$480,$I122)</f>
        <v/>
      </c>
      <c r="O122" s="432">
        <f>SUMIFS($E$154:$E$480,$A$154:$A$480,"&gt;30/4/2022",$A$154:$A$480,"&lt;1/6/2022",$G$154:$G$480,$I122)</f>
        <v/>
      </c>
      <c r="P122" s="432">
        <f>SUMIFS($E$154:$E$480,$A$154:$A$480,"&gt;31/5/2022",$A$154:$A$480,"&lt;1/7/2022",$G$154:$G$480,$I122)</f>
        <v/>
      </c>
      <c r="Q122" s="432">
        <f>SUMIFS($E$154:$E$480,$A$154:$A$480,"&gt;30/6/2022",$A$154:$A$480,"&lt;1/8/2022",$G$154:$G$480,$I122)</f>
        <v/>
      </c>
      <c r="R122" s="432">
        <f>SUMIFS($E$154:$E$480,$A$154:$A$480,"&gt;31/7/2022",$A$154:$A$480,"&lt;1/9/2022",$G$154:$G$480,$I122)</f>
        <v/>
      </c>
      <c r="S122" s="432">
        <f>SUMIFS($E$154:$E$480,$A$154:$A$480,"&gt;31/8/2022",$A$154:$A$480,"&lt;1/10/2022",$G$154:$G$480,$I122)</f>
        <v/>
      </c>
      <c r="T122" s="432">
        <f>SUMIFS($E$154:$E$480,$A$154:$A$480,"&gt;30/9/2022",$A$154:$A$480,"&lt;1/11/2022",$G$154:$G$480,$I122)</f>
        <v/>
      </c>
      <c r="U122" s="432">
        <f>SUMIFS($E$154:$E$480,$A$154:$A$480,"&gt;31/10/2022",$A$154:$A$480,"&lt;1/12/2022",$G$154:$G$480,$I122)</f>
        <v/>
      </c>
      <c r="V122" s="432">
        <f>SUMIFS($E$154:$E$480,$A$154:$A$480,"&gt;30/11/2022",$A$154:$A$480,"&lt;1/1/2023",$G$154:$G$480,$I122)</f>
        <v/>
      </c>
      <c r="W122" s="432">
        <f>SUM(K122:V122)</f>
        <v/>
      </c>
      <c r="X122" s="460">
        <f>IFERROR(W122/$W$127,0)</f>
        <v/>
      </c>
    </row>
    <row r="123">
      <c r="I123" s="1260" t="inlineStr">
        <is>
          <t>Facebook</t>
        </is>
      </c>
      <c r="K123" s="432">
        <f>SUMIFS($E$154:$E$480,$A$154:$A$480,"&gt;31/12/2021",$A$154:$A$480,"&lt;1/2/2022",$G$154:$G$480,$I123)</f>
        <v/>
      </c>
      <c r="L123" s="432">
        <f>SUMIFS($E$154:$E$480,$A$154:$A$480,"&gt;31/1/2022",$A$154:$A$480,"&lt;1/3/2022",$G$154:$G$480,$I123)</f>
        <v/>
      </c>
      <c r="M123" s="432">
        <f>SUMIFS($E$154:$E$480,$A$154:$A$480,"&gt;28/2/2022",$A$154:$A$480,"&lt;1/4/2022",$G$154:$G$480,$I123)</f>
        <v/>
      </c>
      <c r="N123" s="432">
        <f>SUMIFS($E$154:$E$480,$A$154:$A$480,"&gt;31/3/2022",$A$154:$A$480,"&lt;1/5/2022",$G$154:$G$480,$I123)</f>
        <v/>
      </c>
      <c r="O123" s="432">
        <f>SUMIFS($E$154:$E$480,$A$154:$A$480,"&gt;30/4/2022",$A$154:$A$480,"&lt;1/6/2022",$G$154:$G$480,$I123)</f>
        <v/>
      </c>
      <c r="P123" s="432">
        <f>SUMIFS($E$154:$E$480,$A$154:$A$480,"&gt;31/5/2022",$A$154:$A$480,"&lt;1/7/2022",$G$154:$G$480,$I123)</f>
        <v/>
      </c>
      <c r="Q123" s="432">
        <f>SUMIFS($E$154:$E$480,$A$154:$A$480,"&gt;30/6/2022",$A$154:$A$480,"&lt;1/8/2022",$G$154:$G$480,$I123)</f>
        <v/>
      </c>
      <c r="R123" s="432">
        <f>SUMIFS($E$154:$E$480,$A$154:$A$480,"&gt;31/7/2022",$A$154:$A$480,"&lt;1/9/2022",$G$154:$G$480,$I123)</f>
        <v/>
      </c>
      <c r="S123" s="432">
        <f>SUMIFS($E$154:$E$480,$A$154:$A$480,"&gt;31/8/2022",$A$154:$A$480,"&lt;1/10/2022",$G$154:$G$480,$I123)</f>
        <v/>
      </c>
      <c r="T123" s="432">
        <f>SUMIFS($E$154:$E$480,$A$154:$A$480,"&gt;30/9/2022",$A$154:$A$480,"&lt;1/11/2022",$G$154:$G$480,$I123)</f>
        <v/>
      </c>
      <c r="U123" s="432">
        <f>SUMIFS($E$154:$E$480,$A$154:$A$480,"&gt;31/10/2022",$A$154:$A$480,"&lt;1/12/2022",$G$154:$G$480,$I123)</f>
        <v/>
      </c>
      <c r="V123" s="432">
        <f>SUMIFS($E$154:$E$480,$A$154:$A$480,"&gt;30/11/2022",$A$154:$A$480,"&lt;1/1/2023",$G$154:$G$480,$I123)</f>
        <v/>
      </c>
      <c r="W123" s="432">
        <f>SUM(K123:V123)</f>
        <v/>
      </c>
      <c r="X123" s="460">
        <f>IFERROR(W123/$W$127,0)</f>
        <v/>
      </c>
    </row>
    <row r="124">
      <c r="I124" s="1260" t="inlineStr">
        <is>
          <t>Pure Photo</t>
        </is>
      </c>
      <c r="K124" s="432">
        <f>SUMIFS($E$154:$E$480,$A$154:$A$480,"&gt;31/12/2021",$A$154:$A$480,"&lt;1/2/2022",$G$154:$G$480,$I124)</f>
        <v/>
      </c>
      <c r="L124" s="432">
        <f>SUMIFS($E$154:$E$480,$A$154:$A$480,"&gt;31/1/2022",$A$154:$A$480,"&lt;1/3/2022",$G$154:$G$480,$I124)</f>
        <v/>
      </c>
      <c r="M124" s="432">
        <f>SUMIFS($E$154:$E$480,$A$154:$A$480,"&gt;28/2/2022",$A$154:$A$480,"&lt;1/4/2022",$G$154:$G$480,$I124)</f>
        <v/>
      </c>
      <c r="N124" s="432">
        <f>SUMIFS($E$154:$E$480,$A$154:$A$480,"&gt;31/3/2022",$A$154:$A$480,"&lt;1/5/2022",$G$154:$G$480,$I124)</f>
        <v/>
      </c>
      <c r="O124" s="432">
        <f>SUMIFS($E$154:$E$480,$A$154:$A$480,"&gt;30/4/2022",$A$154:$A$480,"&lt;1/6/2022",$G$154:$G$480,$I124)</f>
        <v/>
      </c>
      <c r="P124" s="432">
        <f>SUMIFS($E$154:$E$480,$A$154:$A$480,"&gt;31/5/2022",$A$154:$A$480,"&lt;1/7/2022",$G$154:$G$480,$I124)</f>
        <v/>
      </c>
      <c r="Q124" s="432">
        <f>SUMIFS($E$154:$E$480,$A$154:$A$480,"&gt;30/6/2022",$A$154:$A$480,"&lt;1/8/2022",$G$154:$G$480,$I124)</f>
        <v/>
      </c>
      <c r="R124" s="432">
        <f>SUMIFS($E$154:$E$480,$A$154:$A$480,"&gt;31/7/2022",$A$154:$A$480,"&lt;1/9/2022",$G$154:$G$480,$I124)</f>
        <v/>
      </c>
      <c r="S124" s="432">
        <f>SUMIFS($E$154:$E$480,$A$154:$A$480,"&gt;31/8/2022",$A$154:$A$480,"&lt;1/10/2022",$G$154:$G$480,$I124)</f>
        <v/>
      </c>
      <c r="T124" s="432">
        <f>SUMIFS($E$154:$E$480,$A$154:$A$480,"&gt;30/9/2022",$A$154:$A$480,"&lt;1/11/2022",$G$154:$G$480,$I124)</f>
        <v/>
      </c>
      <c r="U124" s="432">
        <f>SUMIFS($E$154:$E$480,$A$154:$A$480,"&gt;31/10/2022",$A$154:$A$480,"&lt;1/12/2022",$G$154:$G$480,$I124)</f>
        <v/>
      </c>
      <c r="V124" s="432">
        <f>SUMIFS($E$154:$E$480,$A$154:$A$480,"&gt;30/11/2022",$A$154:$A$480,"&lt;1/1/2023",$G$154:$G$480,$I124)</f>
        <v/>
      </c>
      <c r="W124" s="432">
        <f>SUM(K124:V124)</f>
        <v/>
      </c>
      <c r="X124" s="460">
        <f>IFERROR(W124/$W$127,0)</f>
        <v/>
      </c>
    </row>
    <row r="125">
      <c r="I125" s="1260" t="inlineStr">
        <is>
          <t>Artfully Walls</t>
        </is>
      </c>
      <c r="K125" s="432">
        <f>SUMIFS($E$154:$E$480,$A$154:$A$480,"&gt;31/12/2021",$A$154:$A$480,"&lt;1/2/2022",$G$154:$G$480,$I125)</f>
        <v/>
      </c>
      <c r="L125" s="432">
        <f>SUMIFS($E$154:$E$480,$A$154:$A$480,"&gt;31/1/2022",$A$154:$A$480,"&lt;1/3/2022",$G$154:$G$480,$I125)</f>
        <v/>
      </c>
      <c r="M125" s="432">
        <f>SUMIFS($E$154:$E$480,$A$154:$A$480,"&gt;28/2/2022",$A$154:$A$480,"&lt;1/4/2022",$G$154:$G$480,$I125)</f>
        <v/>
      </c>
      <c r="N125" s="432">
        <f>SUMIFS($E$154:$E$480,$A$154:$A$480,"&gt;31/3/2022",$A$154:$A$480,"&lt;1/5/2022",$G$154:$G$480,$I125)</f>
        <v/>
      </c>
      <c r="O125" s="432">
        <f>SUMIFS($E$154:$E$480,$A$154:$A$480,"&gt;30/4/2022",$A$154:$A$480,"&lt;1/6/2022",$G$154:$G$480,$I125)</f>
        <v/>
      </c>
      <c r="P125" s="432">
        <f>SUMIFS($E$154:$E$480,$A$154:$A$480,"&gt;31/5/2022",$A$154:$A$480,"&lt;1/7/2022",$G$154:$G$480,$I125)</f>
        <v/>
      </c>
      <c r="Q125" s="432">
        <f>SUMIFS($E$154:$E$480,$A$154:$A$480,"&gt;30/6/2022",$A$154:$A$480,"&lt;1/8/2022",$G$154:$G$480,$I125)</f>
        <v/>
      </c>
      <c r="R125" s="432">
        <f>SUMIFS($E$154:$E$480,$A$154:$A$480,"&gt;31/7/2022",$A$154:$A$480,"&lt;1/9/2022",$G$154:$G$480,$I125)</f>
        <v/>
      </c>
      <c r="S125" s="432">
        <f>SUMIFS($E$154:$E$480,$A$154:$A$480,"&gt;31/8/2022",$A$154:$A$480,"&lt;1/10/2022",$G$154:$G$480,$I125)</f>
        <v/>
      </c>
      <c r="T125" s="432">
        <f>SUMIFS($E$154:$E$480,$A$154:$A$480,"&gt;30/9/2022",$A$154:$A$480,"&lt;1/11/2022",$G$154:$G$480,$I125)</f>
        <v/>
      </c>
      <c r="U125" s="432">
        <f>SUMIFS($E$154:$E$480,$A$154:$A$480,"&gt;31/10/2022",$A$154:$A$480,"&lt;1/12/2022",$G$154:$G$480,$I125)</f>
        <v/>
      </c>
      <c r="V125" s="432">
        <f>SUMIFS($E$154:$E$480,$A$154:$A$480,"&gt;30/11/2022",$A$154:$A$480,"&lt;1/1/2023",$G$154:$G$480,$I125)</f>
        <v/>
      </c>
      <c r="W125" s="432">
        <f>SUM(K125:V125)</f>
        <v/>
      </c>
      <c r="X125" s="460">
        <f>IFERROR(W125/$W$127,0)</f>
        <v/>
      </c>
    </row>
    <row r="126">
      <c r="I126" s="1255" t="inlineStr">
        <is>
          <t>Other</t>
        </is>
      </c>
      <c r="K126" s="432">
        <f>SUMIFS($E$154:$E$480,$A$154:$A$480,"&gt;31/12/2021",$A$154:$A$480,"&lt;1/2/2022",$G$154:$G$480,$I126)</f>
        <v/>
      </c>
      <c r="L126" s="432">
        <f>SUMIFS($E$154:$E$480,$A$154:$A$480,"&gt;31/1/2022",$A$154:$A$480,"&lt;1/3/2022",$G$154:$G$480,$I126)</f>
        <v/>
      </c>
      <c r="M126" s="432">
        <f>SUMIFS($E$154:$E$480,$A$154:$A$480,"&gt;28/2/2022",$A$154:$A$480,"&lt;1/4/2022",$G$154:$G$480,$I126)</f>
        <v/>
      </c>
      <c r="N126" s="432">
        <f>SUMIFS($E$154:$E$480,$A$154:$A$480,"&gt;31/3/2022",$A$154:$A$480,"&lt;1/5/2022",$G$154:$G$480,$I126)</f>
        <v/>
      </c>
      <c r="O126" s="432">
        <f>SUMIFS($E$154:$E$480,$A$154:$A$480,"&gt;30/4/2022",$A$154:$A$480,"&lt;1/6/2022",$G$154:$G$480,$I126)</f>
        <v/>
      </c>
      <c r="P126" s="432">
        <f>SUMIFS($E$154:$E$480,$A$154:$A$480,"&gt;31/5/2022",$A$154:$A$480,"&lt;1/7/2022",$G$154:$G$480,$I126)</f>
        <v/>
      </c>
      <c r="Q126" s="432">
        <f>SUMIFS($E$154:$E$480,$A$154:$A$480,"&gt;30/6/2022",$A$154:$A$480,"&lt;1/8/2022",$G$154:$G$480,$I126)</f>
        <v/>
      </c>
      <c r="R126" s="432">
        <f>SUMIFS($E$154:$E$480,$A$154:$A$480,"&gt;31/7/2022",$A$154:$A$480,"&lt;1/9/2022",$G$154:$G$480,$I126)</f>
        <v/>
      </c>
      <c r="S126" s="432">
        <f>SUMIFS($E$154:$E$480,$A$154:$A$480,"&gt;31/8/2022",$A$154:$A$480,"&lt;1/10/2022",$G$154:$G$480,$I126)</f>
        <v/>
      </c>
      <c r="T126" s="432">
        <f>SUMIFS($E$154:$E$480,$A$154:$A$480,"&gt;30/9/2022",$A$154:$A$480,"&lt;1/11/2022",$G$154:$G$480,$I126)</f>
        <v/>
      </c>
      <c r="U126" s="432">
        <f>SUMIFS($E$154:$E$480,$A$154:$A$480,"&gt;31/10/2022",$A$154:$A$480,"&lt;1/12/2022",$G$154:$G$480,$I126)</f>
        <v/>
      </c>
      <c r="V126" s="432">
        <f>SUMIFS($E$154:$E$480,$A$154:$A$480,"&gt;30/11/2022",$A$154:$A$480,"&lt;1/1/2023",$G$154:$G$480,$I126)</f>
        <v/>
      </c>
      <c r="W126" s="432">
        <f>SUM(K126:V126)</f>
        <v/>
      </c>
      <c r="X126" s="460">
        <f>IFERROR(W126/$W$127,0)</f>
        <v/>
      </c>
    </row>
    <row r="127" ht="13.15" customHeight="1" s="1232">
      <c r="I127" s="914" t="n"/>
      <c r="K127" s="444">
        <f>SUM(K118:K126)</f>
        <v/>
      </c>
      <c r="L127" s="444">
        <f>SUM(L118:L126)</f>
        <v/>
      </c>
      <c r="M127" s="444">
        <f>SUM(M118:M126)</f>
        <v/>
      </c>
      <c r="N127" s="444">
        <f>SUM(N118:N126)</f>
        <v/>
      </c>
      <c r="O127" s="444">
        <f>SUM(O118:O126)</f>
        <v/>
      </c>
      <c r="P127" s="444">
        <f>SUM(P118:P126)</f>
        <v/>
      </c>
      <c r="Q127" s="444">
        <f>SUM(Q118:Q126)</f>
        <v/>
      </c>
      <c r="R127" s="444">
        <f>SUM(R118:R126)</f>
        <v/>
      </c>
      <c r="S127" s="444">
        <f>SUM(S118:S126)</f>
        <v/>
      </c>
      <c r="T127" s="444">
        <f>SUM(T118:T126)</f>
        <v/>
      </c>
      <c r="U127" s="444">
        <f>SUM(U118:U126)</f>
        <v/>
      </c>
      <c r="V127" s="444">
        <f>SUM(V118:V126)</f>
        <v/>
      </c>
      <c r="W127" s="444">
        <f>SUM(W118:W126)</f>
        <v/>
      </c>
      <c r="X127" s="460">
        <f>IFERROR(W127/$W$127,0)</f>
        <v/>
      </c>
      <c r="Y127" s="466" t="n"/>
    </row>
    <row r="128">
      <c r="J128" s="914" t="n"/>
      <c r="K128" s="914">
        <f>K106-K127</f>
        <v/>
      </c>
      <c r="L128" s="914">
        <f>L106-L127</f>
        <v/>
      </c>
      <c r="M128" s="914">
        <f>M106-M127</f>
        <v/>
      </c>
      <c r="N128" s="914">
        <f>N106-N127</f>
        <v/>
      </c>
      <c r="O128" s="914">
        <f>O106-O127</f>
        <v/>
      </c>
      <c r="P128" s="914">
        <f>P106-P127</f>
        <v/>
      </c>
      <c r="Q128" s="914">
        <f>Q106-Q127</f>
        <v/>
      </c>
      <c r="R128" s="914">
        <f>R106-R127</f>
        <v/>
      </c>
      <c r="S128" s="914">
        <f>S106-S127</f>
        <v/>
      </c>
      <c r="T128" s="914">
        <f>T106-T127</f>
        <v/>
      </c>
      <c r="U128" s="914">
        <f>U106-U127</f>
        <v/>
      </c>
      <c r="V128" s="914">
        <f>V106-V127</f>
        <v/>
      </c>
      <c r="W128" s="914">
        <f>W106-W127</f>
        <v/>
      </c>
      <c r="X128" s="914" t="n"/>
    </row>
    <row r="129" ht="13.15" customHeight="1" s="1232">
      <c r="I129" s="556" t="inlineStr">
        <is>
          <t>Booking source  £</t>
        </is>
      </c>
      <c r="K129" s="1332" t="inlineStr">
        <is>
          <t>Jan</t>
        </is>
      </c>
      <c r="L129" s="1332" t="inlineStr">
        <is>
          <t>Feb</t>
        </is>
      </c>
      <c r="M129" s="1332" t="inlineStr">
        <is>
          <t>Mar</t>
        </is>
      </c>
      <c r="N129" s="1332" t="inlineStr">
        <is>
          <t>Apr</t>
        </is>
      </c>
      <c r="O129" s="1332" t="inlineStr">
        <is>
          <t>May</t>
        </is>
      </c>
      <c r="P129" s="1332" t="inlineStr">
        <is>
          <t>Jun</t>
        </is>
      </c>
      <c r="Q129" s="1332" t="inlineStr">
        <is>
          <t>Jul</t>
        </is>
      </c>
      <c r="R129" s="1332" t="inlineStr">
        <is>
          <t>Aug</t>
        </is>
      </c>
      <c r="S129" s="1332" t="inlineStr">
        <is>
          <t>Sep</t>
        </is>
      </c>
      <c r="T129" s="1332" t="inlineStr">
        <is>
          <t>Oct</t>
        </is>
      </c>
      <c r="U129" s="1332" t="inlineStr">
        <is>
          <t>Nov</t>
        </is>
      </c>
      <c r="V129" s="1332" t="inlineStr">
        <is>
          <t>Dec</t>
        </is>
      </c>
      <c r="W129" s="1332" t="inlineStr">
        <is>
          <t>Year</t>
        </is>
      </c>
      <c r="X129" s="1278" t="inlineStr">
        <is>
          <t>Split</t>
        </is>
      </c>
    </row>
    <row r="130" ht="13.15" customHeight="1" s="1232">
      <c r="I130" s="444" t="inlineStr">
        <is>
          <t>New Clients</t>
        </is>
      </c>
      <c r="K130" s="914">
        <f>SUM(K127-K119)</f>
        <v/>
      </c>
      <c r="L130" s="914">
        <f>SUM(L127-L119)</f>
        <v/>
      </c>
      <c r="M130" s="914">
        <f>SUM(M127-M119)</f>
        <v/>
      </c>
      <c r="N130" s="914">
        <f>SUM(N127-N119)</f>
        <v/>
      </c>
      <c r="O130" s="914">
        <f>SUM(O127-O119)</f>
        <v/>
      </c>
      <c r="P130" s="914">
        <f>SUM(P127-P119)</f>
        <v/>
      </c>
      <c r="Q130" s="914">
        <f>SUM(Q127-Q119)</f>
        <v/>
      </c>
      <c r="R130" s="914">
        <f>SUM(R127-R119)</f>
        <v/>
      </c>
      <c r="S130" s="914">
        <f>SUM(S127-S119)</f>
        <v/>
      </c>
      <c r="T130" s="914">
        <f>SUM(T127-T119)</f>
        <v/>
      </c>
      <c r="U130" s="914">
        <f>SUM(U127-U119)</f>
        <v/>
      </c>
      <c r="V130" s="914">
        <f>SUM(V127-V119)</f>
        <v/>
      </c>
      <c r="W130" s="554">
        <f>SUM(K130:V130)</f>
        <v/>
      </c>
      <c r="X130" s="475">
        <f>W130/W132</f>
        <v/>
      </c>
    </row>
    <row r="131" ht="13.15" customHeight="1" s="1232">
      <c r="I131" s="444" t="inlineStr">
        <is>
          <t>Existing Clients</t>
        </is>
      </c>
      <c r="K131" s="914">
        <f>K119</f>
        <v/>
      </c>
      <c r="L131" s="914">
        <f>L119</f>
        <v/>
      </c>
      <c r="M131" s="914">
        <f>M119</f>
        <v/>
      </c>
      <c r="N131" s="914">
        <f>N119</f>
        <v/>
      </c>
      <c r="O131" s="914">
        <f>O119</f>
        <v/>
      </c>
      <c r="P131" s="914">
        <f>P119</f>
        <v/>
      </c>
      <c r="Q131" s="914">
        <f>Q119</f>
        <v/>
      </c>
      <c r="R131" s="914">
        <f>R119</f>
        <v/>
      </c>
      <c r="S131" s="914">
        <f>S119</f>
        <v/>
      </c>
      <c r="T131" s="914">
        <f>T119</f>
        <v/>
      </c>
      <c r="U131" s="914">
        <f>U119</f>
        <v/>
      </c>
      <c r="V131" s="914">
        <f>V119</f>
        <v/>
      </c>
      <c r="W131" s="562">
        <f>SUM(K131:V131)</f>
        <v/>
      </c>
      <c r="X131" s="475">
        <f>W131/W132</f>
        <v/>
      </c>
    </row>
    <row r="132" ht="13.15" customHeight="1" s="1232">
      <c r="I132" s="444" t="n"/>
      <c r="K132" s="563">
        <f>K130+K131</f>
        <v/>
      </c>
      <c r="L132" s="563">
        <f>L130+L131</f>
        <v/>
      </c>
      <c r="M132" s="563">
        <f>M130+M131</f>
        <v/>
      </c>
      <c r="N132" s="563">
        <f>N130+N131</f>
        <v/>
      </c>
      <c r="O132" s="563">
        <f>O130+O131</f>
        <v/>
      </c>
      <c r="P132" s="563">
        <f>P130+P131</f>
        <v/>
      </c>
      <c r="Q132" s="563">
        <f>Q130+Q131</f>
        <v/>
      </c>
      <c r="R132" s="563">
        <f>R130+R131</f>
        <v/>
      </c>
      <c r="S132" s="563">
        <f>S130+S131</f>
        <v/>
      </c>
      <c r="T132" s="563">
        <f>T130+T131</f>
        <v/>
      </c>
      <c r="U132" s="563">
        <f>U130+U131</f>
        <v/>
      </c>
      <c r="V132" s="563">
        <f>V130+V131</f>
        <v/>
      </c>
      <c r="W132" s="563">
        <f>W130+W131</f>
        <v/>
      </c>
      <c r="X132" s="564" t="n"/>
    </row>
    <row r="133">
      <c r="J133" s="914" t="n"/>
      <c r="K133" s="914" t="n"/>
      <c r="L133" s="914" t="n"/>
      <c r="M133" s="914" t="n"/>
      <c r="N133" s="914" t="n"/>
      <c r="O133" s="914" t="n"/>
      <c r="P133" s="914" t="n"/>
      <c r="Q133" s="914" t="n"/>
      <c r="R133" s="914" t="n"/>
      <c r="S133" s="914" t="n"/>
      <c r="T133" s="914" t="n"/>
      <c r="U133" s="914" t="n"/>
      <c r="V133" s="914" t="n"/>
      <c r="W133" s="914" t="n"/>
      <c r="X133" s="914" t="n"/>
    </row>
    <row r="134" ht="13.15" customHeight="1" s="1232">
      <c r="I134" s="556" t="inlineStr">
        <is>
          <t>Booking source  Units</t>
        </is>
      </c>
      <c r="K134" s="1332" t="inlineStr">
        <is>
          <t>Jan</t>
        </is>
      </c>
      <c r="L134" s="1332" t="inlineStr">
        <is>
          <t>Feb</t>
        </is>
      </c>
      <c r="M134" s="1332" t="inlineStr">
        <is>
          <t>Mar</t>
        </is>
      </c>
      <c r="N134" s="1332" t="inlineStr">
        <is>
          <t>Apr</t>
        </is>
      </c>
      <c r="O134" s="1332" t="inlineStr">
        <is>
          <t>May</t>
        </is>
      </c>
      <c r="P134" s="1332" t="inlineStr">
        <is>
          <t>Jun</t>
        </is>
      </c>
      <c r="Q134" s="1332" t="inlineStr">
        <is>
          <t>Jul</t>
        </is>
      </c>
      <c r="R134" s="1332" t="inlineStr">
        <is>
          <t>Aug</t>
        </is>
      </c>
      <c r="S134" s="1332" t="inlineStr">
        <is>
          <t>Sep</t>
        </is>
      </c>
      <c r="T134" s="1332" t="inlineStr">
        <is>
          <t>Oct</t>
        </is>
      </c>
      <c r="U134" s="1332" t="inlineStr">
        <is>
          <t>Nov</t>
        </is>
      </c>
      <c r="V134" s="1332" t="inlineStr">
        <is>
          <t>Dec</t>
        </is>
      </c>
      <c r="W134" s="1332" t="inlineStr">
        <is>
          <t>Year</t>
        </is>
      </c>
      <c r="X134" s="1278" t="inlineStr">
        <is>
          <t>Split</t>
        </is>
      </c>
    </row>
    <row r="135" ht="13.15" customHeight="1" s="1232">
      <c r="I135" s="444" t="inlineStr">
        <is>
          <t>New Clients</t>
        </is>
      </c>
      <c r="K135" s="914">
        <f>K65-K136</f>
        <v/>
      </c>
      <c r="L135" s="914">
        <f>L65-L136</f>
        <v/>
      </c>
      <c r="M135" s="914">
        <f>M65-M136</f>
        <v/>
      </c>
      <c r="N135" s="914">
        <f>N65-N136</f>
        <v/>
      </c>
      <c r="O135" s="914">
        <f>O65-O136</f>
        <v/>
      </c>
      <c r="P135" s="914">
        <f>P65-P136</f>
        <v/>
      </c>
      <c r="Q135" s="914">
        <f>Q65-Q136</f>
        <v/>
      </c>
      <c r="R135" s="914">
        <f>R65-R136</f>
        <v/>
      </c>
      <c r="S135" s="914">
        <f>S65-S136</f>
        <v/>
      </c>
      <c r="T135" s="914">
        <f>T65-T136</f>
        <v/>
      </c>
      <c r="U135" s="914">
        <f>U65-U136</f>
        <v/>
      </c>
      <c r="V135" s="914">
        <f>V65-V136</f>
        <v/>
      </c>
      <c r="W135" s="554">
        <f>SUM(K135:V135)</f>
        <v/>
      </c>
      <c r="X135" s="475">
        <f>W135/W137</f>
        <v/>
      </c>
    </row>
    <row r="136" ht="13.15" customHeight="1" s="1232">
      <c r="I136" s="561" t="inlineStr">
        <is>
          <t>Existing</t>
        </is>
      </c>
      <c r="K136" s="914">
        <f>COUNTIFS($A$154:$A$480,"&gt;31/12/2021",$A$154:$A$480,"&lt;1/2/2022",$G$154:$G$480,"Existing")</f>
        <v/>
      </c>
      <c r="L136" s="432">
        <f>COUNTIFS($A$154:$A$480,"&gt;31/1/2022",$A$154:$A$480,"&lt;1/3/2022",$G$154:$G$480,$I136)</f>
        <v/>
      </c>
      <c r="M136" s="432">
        <f>COUNTIFS($A$154:$A$480,"&gt;28/2/2022",$A$154:$A$480,"&lt;1/4/2022",$G$154:$G$480,$I136)</f>
        <v/>
      </c>
      <c r="N136" s="432">
        <f>COUNTIFS($A$154:$A$480,"&gt;31/3/2022",$A$154:$A$480,"&lt;1/5/2022",$G$154:$G$480,$I136)</f>
        <v/>
      </c>
      <c r="O136" s="432">
        <f>COUNTIFS($A$154:$A$480,"&gt;30/4/2022",$A$154:$A$480,"&lt;1/6/2022",$G$154:$G$480,$I136)</f>
        <v/>
      </c>
      <c r="P136" s="432">
        <f>COUNTIFS($A$154:$A$480,"&gt;31/5/2022",$A$154:$A$480,"&lt;1/7/2022",$G$154:$G$480,$I136)</f>
        <v/>
      </c>
      <c r="Q136" s="432">
        <f>COUNTIFS($A$154:$A$480,"&gt;30/6/2022",$A$154:$A$480,"&lt;1/8/2022",$G$154:$G$480,$I136)</f>
        <v/>
      </c>
      <c r="R136" s="432">
        <f>COUNTIFS($A$154:$A$480,"&gt;31/7/2022",$A$154:$A$480,"&lt;1/9/2022",$G$154:$G$480,$I136)</f>
        <v/>
      </c>
      <c r="S136" s="432">
        <f>COUNTIFS($A$154:$A$480,"&gt;31/8/2022",$A$154:$A$480,"&lt;1/10/2022",$G$154:$G$480,$I136)</f>
        <v/>
      </c>
      <c r="T136" s="432">
        <f>COUNTIFS($A$154:$A$480,"&gt;30/9/2022",$A$154:$A$480,"&lt;1/11/2022",$G$154:$G$480,$I136)</f>
        <v/>
      </c>
      <c r="U136" s="432">
        <f>COUNTIFS($A$154:$A$480,"&gt;31/10/2022",$A$154:$A$480,"&lt;1/12/2022",$G$154:$G$480,$I136)</f>
        <v/>
      </c>
      <c r="V136" s="432">
        <f>COUNTIFS($A$154:$A$480,"&gt;30/11/2022",$A$154:$A$480,"&lt;1/1/2023",$G$154:$G$480,$I136)</f>
        <v/>
      </c>
      <c r="W136" s="554">
        <f>SUM(K136:V136)</f>
        <v/>
      </c>
      <c r="X136" s="475">
        <f>W136/$W$137</f>
        <v/>
      </c>
    </row>
    <row r="137" ht="13.15" customHeight="1" s="1232">
      <c r="J137" s="914" t="n"/>
      <c r="K137" s="563">
        <f>K135+K136</f>
        <v/>
      </c>
      <c r="L137" s="563">
        <f>L135+L136</f>
        <v/>
      </c>
      <c r="M137" s="563">
        <f>M135+M136</f>
        <v/>
      </c>
      <c r="N137" s="563">
        <f>N135+N136</f>
        <v/>
      </c>
      <c r="O137" s="563">
        <f>O135+O136</f>
        <v/>
      </c>
      <c r="P137" s="563">
        <f>P135+P136</f>
        <v/>
      </c>
      <c r="Q137" s="563">
        <f>Q135+Q136</f>
        <v/>
      </c>
      <c r="R137" s="563">
        <f>R135+R136</f>
        <v/>
      </c>
      <c r="S137" s="563">
        <f>S135+S136</f>
        <v/>
      </c>
      <c r="T137" s="563">
        <f>T135+T136</f>
        <v/>
      </c>
      <c r="U137" s="563">
        <f>U135+U136</f>
        <v/>
      </c>
      <c r="V137" s="563">
        <f>V135+V136</f>
        <v/>
      </c>
      <c r="W137" s="563">
        <f>W135+W136</f>
        <v/>
      </c>
      <c r="X137" s="564" t="n"/>
    </row>
    <row r="138" ht="13.15" customHeight="1" s="1232">
      <c r="J138" s="914" t="n"/>
      <c r="K138" s="791">
        <f>K65-K137</f>
        <v/>
      </c>
      <c r="L138" s="791">
        <f>L65-L137</f>
        <v/>
      </c>
      <c r="M138" s="791">
        <f>M65-M137</f>
        <v/>
      </c>
      <c r="N138" s="791">
        <f>N65-N137</f>
        <v/>
      </c>
      <c r="O138" s="791">
        <f>O65-O137</f>
        <v/>
      </c>
      <c r="P138" s="791">
        <f>P65-P137</f>
        <v/>
      </c>
      <c r="Q138" s="791">
        <f>Q65-Q137</f>
        <v/>
      </c>
      <c r="R138" s="791">
        <f>R65-R137</f>
        <v/>
      </c>
      <c r="S138" s="791">
        <f>S65-S137</f>
        <v/>
      </c>
      <c r="T138" s="791">
        <f>T65-T137</f>
        <v/>
      </c>
      <c r="U138" s="791">
        <f>U65-U137</f>
        <v/>
      </c>
      <c r="V138" s="791">
        <f>V65-V137</f>
        <v/>
      </c>
      <c r="W138" s="791">
        <f>W65-W137</f>
        <v/>
      </c>
      <c r="X138" s="475" t="n"/>
    </row>
    <row r="139" ht="13.15" customHeight="1" s="1232">
      <c r="I139" s="556" t="inlineStr">
        <is>
          <t>Booking source  AVG PPU</t>
        </is>
      </c>
      <c r="K139" s="1332" t="inlineStr">
        <is>
          <t>Jan</t>
        </is>
      </c>
      <c r="L139" s="1332" t="inlineStr">
        <is>
          <t>Feb</t>
        </is>
      </c>
      <c r="M139" s="1332" t="inlineStr">
        <is>
          <t>Mar</t>
        </is>
      </c>
      <c r="N139" s="1332" t="inlineStr">
        <is>
          <t>Apr</t>
        </is>
      </c>
      <c r="O139" s="1332" t="inlineStr">
        <is>
          <t>May</t>
        </is>
      </c>
      <c r="P139" s="1332" t="inlineStr">
        <is>
          <t>Jun</t>
        </is>
      </c>
      <c r="Q139" s="1332" t="inlineStr">
        <is>
          <t>Jul</t>
        </is>
      </c>
      <c r="R139" s="1332" t="inlineStr">
        <is>
          <t>Aug</t>
        </is>
      </c>
      <c r="S139" s="1332" t="inlineStr">
        <is>
          <t>Sep</t>
        </is>
      </c>
      <c r="T139" s="1332" t="inlineStr">
        <is>
          <t>Oct</t>
        </is>
      </c>
      <c r="U139" s="1332" t="inlineStr">
        <is>
          <t>Nov</t>
        </is>
      </c>
      <c r="V139" s="1332" t="inlineStr">
        <is>
          <t>Dec</t>
        </is>
      </c>
      <c r="W139" s="1332" t="inlineStr">
        <is>
          <t>Year</t>
        </is>
      </c>
      <c r="X139" s="1278" t="inlineStr">
        <is>
          <t>Split</t>
        </is>
      </c>
    </row>
    <row r="140" ht="13.15" customHeight="1" s="1232">
      <c r="I140" s="444" t="inlineStr">
        <is>
          <t>New Clients</t>
        </is>
      </c>
      <c r="K140" s="914">
        <f>IFERROR(K130/K135,0)</f>
        <v/>
      </c>
      <c r="L140" s="914">
        <f>IFERROR(L130/L135,0)</f>
        <v/>
      </c>
      <c r="M140" s="914">
        <f>IFERROR(M130/M135,0)</f>
        <v/>
      </c>
      <c r="N140" s="914">
        <f>IFERROR(N130/N135,0)</f>
        <v/>
      </c>
      <c r="O140" s="914">
        <f>IFERROR(O130/O135,0)</f>
        <v/>
      </c>
      <c r="P140" s="914">
        <f>IFERROR(P130/P135,0)</f>
        <v/>
      </c>
      <c r="Q140" s="914">
        <f>IFERROR(Q130/Q135,0)</f>
        <v/>
      </c>
      <c r="R140" s="914">
        <f>IFERROR(R130/R135,0)</f>
        <v/>
      </c>
      <c r="S140" s="914">
        <f>IFERROR(S130/S135,0)</f>
        <v/>
      </c>
      <c r="T140" s="914">
        <f>IFERROR(T130/T135,0)</f>
        <v/>
      </c>
      <c r="U140" s="914">
        <f>IFERROR(U130/U135,0)</f>
        <v/>
      </c>
      <c r="V140" s="914">
        <f>IFERROR(V130/V135,0)</f>
        <v/>
      </c>
      <c r="W140" s="554">
        <f>AVERAGE(K140:V140)</f>
        <v/>
      </c>
      <c r="X140" s="475">
        <f>W140/W142</f>
        <v/>
      </c>
    </row>
    <row r="141" ht="13.15" customHeight="1" s="1232">
      <c r="I141" s="444" t="inlineStr">
        <is>
          <t>Existing Clients</t>
        </is>
      </c>
      <c r="K141" s="914">
        <f>IFERROR(K131/K136,0)</f>
        <v/>
      </c>
      <c r="L141" s="914">
        <f>IFERROR(L131/L136,0)</f>
        <v/>
      </c>
      <c r="M141" s="914">
        <f>IFERROR(M131/M136,0)</f>
        <v/>
      </c>
      <c r="N141" s="914">
        <f>IFERROR(N131/N136,0)</f>
        <v/>
      </c>
      <c r="O141" s="914">
        <f>IFERROR(O131/O136,0)</f>
        <v/>
      </c>
      <c r="P141" s="914">
        <f>IFERROR(P131/P136,0)</f>
        <v/>
      </c>
      <c r="Q141" s="914">
        <f>IFERROR(Q131/Q136,0)</f>
        <v/>
      </c>
      <c r="R141" s="914">
        <f>IFERROR(R131/R136,0)</f>
        <v/>
      </c>
      <c r="S141" s="914">
        <f>IFERROR(S131/S136,0)</f>
        <v/>
      </c>
      <c r="T141" s="914">
        <f>IFERROR(T131/T136,0)</f>
        <v/>
      </c>
      <c r="U141" s="914">
        <f>IFERROR(U131/U136,0)</f>
        <v/>
      </c>
      <c r="V141" s="914">
        <f>IFERROR(V131/V136,0)</f>
        <v/>
      </c>
      <c r="W141" s="554">
        <f>AVERAGE(K141:V141)</f>
        <v/>
      </c>
      <c r="X141" s="475">
        <f>W141/$W$142</f>
        <v/>
      </c>
    </row>
    <row r="142" ht="13.15" customHeight="1" s="1232">
      <c r="J142" s="914" t="n"/>
      <c r="K142" s="563">
        <f>K140+K141</f>
        <v/>
      </c>
      <c r="L142" s="563">
        <f>L140+L141</f>
        <v/>
      </c>
      <c r="M142" s="563">
        <f>M140+M141</f>
        <v/>
      </c>
      <c r="N142" s="563">
        <f>N140+N141</f>
        <v/>
      </c>
      <c r="O142" s="563">
        <f>O140+O141</f>
        <v/>
      </c>
      <c r="P142" s="563">
        <f>P140+P141</f>
        <v/>
      </c>
      <c r="Q142" s="563">
        <f>Q140+Q141</f>
        <v/>
      </c>
      <c r="R142" s="563">
        <f>R140+R141</f>
        <v/>
      </c>
      <c r="S142" s="563">
        <f>S140+S141</f>
        <v/>
      </c>
      <c r="T142" s="563">
        <f>T140+T141</f>
        <v/>
      </c>
      <c r="U142" s="563">
        <f>U140+U141</f>
        <v/>
      </c>
      <c r="V142" s="563">
        <f>V140+V141</f>
        <v/>
      </c>
      <c r="W142" s="563">
        <f>W140+W141</f>
        <v/>
      </c>
      <c r="X142" s="564" t="n"/>
    </row>
    <row r="149" ht="13.15" customHeight="1" s="1232">
      <c r="E149" s="605">
        <f>SUM(E154:E480)</f>
        <v/>
      </c>
    </row>
    <row r="150" ht="13.9" customHeight="1" s="1232">
      <c r="A150" s="1345" t="inlineStr">
        <is>
          <t>Date</t>
        </is>
      </c>
      <c r="B150" s="1346" t="inlineStr">
        <is>
          <t>Client</t>
        </is>
      </c>
      <c r="C150" s="1346" t="inlineStr">
        <is>
          <t>Category</t>
        </is>
      </c>
      <c r="D150" s="1346" t="inlineStr">
        <is>
          <t>Funding</t>
        </is>
      </c>
      <c r="E150" s="1347" t="inlineStr">
        <is>
          <t>Amount</t>
        </is>
      </c>
      <c r="F150" s="1346" t="inlineStr">
        <is>
          <t>Event</t>
        </is>
      </c>
      <c r="G150" s="1346" t="inlineStr">
        <is>
          <t>Source</t>
        </is>
      </c>
    </row>
    <row r="154" ht="13.5" customHeight="1" s="1232">
      <c r="A154" s="1348" t="n"/>
      <c r="B154" s="1349" t="n"/>
      <c r="C154" s="1350" t="n"/>
      <c r="D154" s="1349" t="n"/>
      <c r="E154" s="1351" t="n"/>
      <c r="F154" s="1349" t="n"/>
      <c r="G154" s="1349" t="n"/>
    </row>
    <row r="155" ht="13.5" customHeight="1" s="1232">
      <c r="A155" s="1348" t="n"/>
      <c r="B155" s="1349" t="n"/>
      <c r="C155" s="1350" t="n"/>
      <c r="D155" s="1349" t="n"/>
      <c r="E155" s="1351" t="n"/>
      <c r="F155" s="1349" t="n"/>
      <c r="G155" s="1349" t="n"/>
    </row>
    <row r="156" ht="13.5" customHeight="1" s="1232">
      <c r="A156" s="1348" t="n">
        <v>44925</v>
      </c>
      <c r="B156" s="1349" t="inlineStr">
        <is>
          <t>Tony Bain</t>
        </is>
      </c>
      <c r="C156" s="1350" t="inlineStr">
        <is>
          <t>11. Other</t>
        </is>
      </c>
      <c r="D156" s="1349" t="inlineStr">
        <is>
          <t>PayPal</t>
        </is>
      </c>
      <c r="E156" s="1351" t="n">
        <v>17</v>
      </c>
      <c r="F156" s="1349" t="inlineStr">
        <is>
          <t>Viewing Frames</t>
        </is>
      </c>
      <c r="G156" s="1349" t="inlineStr">
        <is>
          <t>Google</t>
        </is>
      </c>
    </row>
    <row r="157" ht="13.5" customHeight="1" s="1232">
      <c r="A157" s="1348" t="n">
        <v>44925</v>
      </c>
      <c r="B157" s="1349" t="inlineStr">
        <is>
          <t>Michael Jaye</t>
        </is>
      </c>
      <c r="C157" s="1350" t="inlineStr">
        <is>
          <t>2. Workshops</t>
        </is>
      </c>
      <c r="D157" s="1349" t="inlineStr">
        <is>
          <t>Stripe</t>
        </is>
      </c>
      <c r="E157" s="1351" t="n">
        <v>12</v>
      </c>
      <c r="F157" s="1349" t="inlineStr">
        <is>
          <t>Woodland Walk</t>
        </is>
      </c>
      <c r="G157" s="1349" t="inlineStr">
        <is>
          <t>Existing</t>
        </is>
      </c>
    </row>
    <row r="158" ht="13.5" customHeight="1" s="1232">
      <c r="A158" s="1348" t="n">
        <v>44925</v>
      </c>
      <c r="B158" s="1349" t="inlineStr">
        <is>
          <t>jo jones</t>
        </is>
      </c>
      <c r="C158" s="1350" t="inlineStr">
        <is>
          <t>1. Courses/masterclasses</t>
        </is>
      </c>
      <c r="D158" s="1349" t="inlineStr">
        <is>
          <t>Stripe</t>
        </is>
      </c>
      <c r="E158" s="1351" t="n">
        <v>250</v>
      </c>
      <c r="F158" s="1349" t="inlineStr">
        <is>
          <t>5wk Beginners Course</t>
        </is>
      </c>
      <c r="G158" s="1349" t="inlineStr">
        <is>
          <t>Google</t>
        </is>
      </c>
    </row>
    <row r="159" ht="13.5" customHeight="1" s="1232">
      <c r="A159" s="1348" t="n">
        <v>44916</v>
      </c>
      <c r="B159" s="1349" t="inlineStr">
        <is>
          <t>Louise Gill</t>
        </is>
      </c>
      <c r="C159" s="1350" t="inlineStr">
        <is>
          <t>2. Workshops</t>
        </is>
      </c>
      <c r="D159" s="1349" t="inlineStr">
        <is>
          <t>PayPal</t>
        </is>
      </c>
      <c r="E159" s="1351" t="n">
        <v>625</v>
      </c>
      <c r="F159" s="1349" t="inlineStr">
        <is>
          <t>Dorset</t>
        </is>
      </c>
      <c r="G159" s="1349" t="inlineStr">
        <is>
          <t>Google</t>
        </is>
      </c>
    </row>
    <row r="160" ht="13.5" customHeight="1" s="1232">
      <c r="A160" s="1348" t="n">
        <v>44913</v>
      </c>
      <c r="B160" s="1349" t="inlineStr">
        <is>
          <t>Andrew Mace</t>
        </is>
      </c>
      <c r="C160" s="1350" t="inlineStr">
        <is>
          <t>7. Gift Vouchers Inc</t>
        </is>
      </c>
      <c r="D160" s="1349" t="inlineStr">
        <is>
          <t>Stripe</t>
        </is>
      </c>
      <c r="E160" s="1351" t="n">
        <v>50</v>
      </c>
      <c r="F160" s="1349" t="inlineStr">
        <is>
          <t>Digital Gift Card</t>
        </is>
      </c>
      <c r="G160" s="1349" t="inlineStr">
        <is>
          <t>Google</t>
        </is>
      </c>
    </row>
    <row r="161" ht="13.5" customHeight="1" s="1232">
      <c r="A161" s="1348" t="n">
        <v>44911</v>
      </c>
      <c r="B161" s="1349" t="inlineStr">
        <is>
          <t>Elizabeth Ibbs</t>
        </is>
      </c>
      <c r="C161" s="1350" t="inlineStr">
        <is>
          <t>2. Workshops</t>
        </is>
      </c>
      <c r="D161" s="1349" t="inlineStr">
        <is>
          <t>Stripe</t>
        </is>
      </c>
      <c r="E161" s="1351" t="n">
        <v>130</v>
      </c>
      <c r="F161" s="1349" t="inlineStr">
        <is>
          <t>LE Kenilworth</t>
        </is>
      </c>
      <c r="G161" s="1349" t="inlineStr">
        <is>
          <t>Google</t>
        </is>
      </c>
    </row>
    <row r="162" ht="13.5" customHeight="1" s="1232">
      <c r="A162" s="1348" t="n">
        <v>44910</v>
      </c>
      <c r="B162" s="1349" t="inlineStr">
        <is>
          <t>stepphen cantlay</t>
        </is>
      </c>
      <c r="C162" s="1350" t="inlineStr">
        <is>
          <t>2. Workshops</t>
        </is>
      </c>
      <c r="D162" s="1349" t="inlineStr">
        <is>
          <t>Stripe</t>
        </is>
      </c>
      <c r="E162" s="1351" t="n">
        <v>775</v>
      </c>
      <c r="F162" s="1349" t="inlineStr">
        <is>
          <t>Anglesey</t>
        </is>
      </c>
      <c r="G162" s="1349" t="inlineStr">
        <is>
          <t>Google</t>
        </is>
      </c>
    </row>
    <row r="163" ht="13.5" customHeight="1" s="1232">
      <c r="A163" s="1348" t="n">
        <v>44909</v>
      </c>
      <c r="B163" s="1349" t="inlineStr">
        <is>
          <t>Helen Shepheard</t>
        </is>
      </c>
      <c r="C163" s="1350" t="inlineStr">
        <is>
          <t>7. Gift Vouchers Inc</t>
        </is>
      </c>
      <c r="D163" s="1349" t="inlineStr">
        <is>
          <t>Stripe</t>
        </is>
      </c>
      <c r="E163" s="1351" t="n">
        <v>250</v>
      </c>
      <c r="F163" s="1349" t="inlineStr">
        <is>
          <t>Digital Gift Card</t>
        </is>
      </c>
      <c r="G163" s="1349" t="inlineStr">
        <is>
          <t>Google</t>
        </is>
      </c>
    </row>
    <row r="164" ht="13.5" customHeight="1" s="1232">
      <c r="A164" s="1348" t="n">
        <v>44909</v>
      </c>
      <c r="B164" s="1349" t="inlineStr">
        <is>
          <t>Artfully Walls</t>
        </is>
      </c>
      <c r="C164" s="1350" t="inlineStr">
        <is>
          <t>9. Prints &amp; Royalties</t>
        </is>
      </c>
      <c r="D164" s="1349" t="inlineStr">
        <is>
          <t>PayPal</t>
        </is>
      </c>
      <c r="E164" s="1351" t="n">
        <v>80.95999999999999</v>
      </c>
      <c r="F164" s="1349" t="inlineStr">
        <is>
          <t>Print Sale</t>
        </is>
      </c>
      <c r="G164" s="1349" t="inlineStr">
        <is>
          <t>Artfully Walls</t>
        </is>
      </c>
    </row>
    <row r="165" ht="13.5" customHeight="1" s="1232">
      <c r="A165" s="1348" t="n">
        <v>44908</v>
      </c>
      <c r="B165" s="1349" t="inlineStr">
        <is>
          <t>Sarah Hisaund</t>
        </is>
      </c>
      <c r="C165" s="1350" t="inlineStr">
        <is>
          <t>2. Workshops</t>
        </is>
      </c>
      <c r="D165" s="1349" t="inlineStr">
        <is>
          <t>Stripe</t>
        </is>
      </c>
      <c r="E165" s="1351" t="n">
        <v>70</v>
      </c>
      <c r="F165" s="1349" t="inlineStr">
        <is>
          <t>Brandon Marsh</t>
        </is>
      </c>
      <c r="G165" s="1349" t="inlineStr">
        <is>
          <t>Google</t>
        </is>
      </c>
    </row>
    <row r="166" ht="13.5" customHeight="1" s="1232">
      <c r="A166" s="1348" t="n">
        <v>44907</v>
      </c>
      <c r="B166" s="1349" t="inlineStr">
        <is>
          <t>Dr John L Watts</t>
        </is>
      </c>
      <c r="C166" s="1350" t="inlineStr">
        <is>
          <t>7. Gift Vouchers Inc</t>
        </is>
      </c>
      <c r="D166" s="1349" t="inlineStr">
        <is>
          <t>Stripe</t>
        </is>
      </c>
      <c r="E166" s="1351" t="n">
        <v>100</v>
      </c>
      <c r="F166" s="1349" t="inlineStr">
        <is>
          <t>Digital Gift Card</t>
        </is>
      </c>
      <c r="G166" s="1349" t="inlineStr">
        <is>
          <t>Google</t>
        </is>
      </c>
    </row>
    <row r="167" ht="13.5" customHeight="1" s="1232">
      <c r="A167" s="1348" t="n">
        <v>44905</v>
      </c>
      <c r="B167" s="1349" t="inlineStr">
        <is>
          <t>Ashleigh Hargrave</t>
        </is>
      </c>
      <c r="C167" s="1350" t="inlineStr">
        <is>
          <t>2. Workshops</t>
        </is>
      </c>
      <c r="D167" s="1349" t="inlineStr">
        <is>
          <t>Stripe</t>
        </is>
      </c>
      <c r="E167" s="1351" t="n">
        <v>80.75</v>
      </c>
      <c r="F167" s="1349" t="inlineStr">
        <is>
          <t>Xmas Walk Lapworth</t>
        </is>
      </c>
      <c r="G167" s="1349" t="inlineStr">
        <is>
          <t>Google</t>
        </is>
      </c>
    </row>
    <row r="168" ht="13.5" customHeight="1" s="1232">
      <c r="A168" s="1348" t="n">
        <v>44904</v>
      </c>
      <c r="B168" s="1349" t="inlineStr">
        <is>
          <t>Sara Orsbourn</t>
        </is>
      </c>
      <c r="C168" s="1350" t="inlineStr">
        <is>
          <t>2. Workshops</t>
        </is>
      </c>
      <c r="D168" s="1349" t="inlineStr">
        <is>
          <t>PayPal</t>
        </is>
      </c>
      <c r="E168" s="1351" t="n">
        <v>119</v>
      </c>
      <c r="F168" s="1349" t="inlineStr">
        <is>
          <t>Macro and LE Workshop</t>
        </is>
      </c>
      <c r="G168" s="1349" t="inlineStr">
        <is>
          <t>Existing</t>
        </is>
      </c>
    </row>
    <row r="169" ht="13.5" customHeight="1" s="1232">
      <c r="A169" s="1348" t="n">
        <v>44904</v>
      </c>
      <c r="B169" s="1349" t="inlineStr">
        <is>
          <t>Julie Werrett</t>
        </is>
      </c>
      <c r="C169" s="1350" t="inlineStr">
        <is>
          <t>2. Workshops</t>
        </is>
      </c>
      <c r="D169" s="1349" t="inlineStr">
        <is>
          <t>Stripe</t>
        </is>
      </c>
      <c r="E169" s="1351" t="n">
        <v>59.5</v>
      </c>
      <c r="F169" s="1349" t="inlineStr">
        <is>
          <t>Macro Workshop</t>
        </is>
      </c>
      <c r="G169" s="1349" t="inlineStr">
        <is>
          <t>Google</t>
        </is>
      </c>
    </row>
    <row r="170" ht="13.5" customHeight="1" s="1232">
      <c r="A170" s="1348" t="n">
        <v>44903</v>
      </c>
      <c r="B170" s="1349" t="inlineStr">
        <is>
          <t>Paul Sice</t>
        </is>
      </c>
      <c r="C170" s="1350" t="inlineStr">
        <is>
          <t>9. Prints &amp; Royalties</t>
        </is>
      </c>
      <c r="D170" s="1349" t="inlineStr">
        <is>
          <t>Stripe</t>
        </is>
      </c>
      <c r="E170" s="1351" t="n">
        <v>138.86</v>
      </c>
      <c r="F170" s="1349" t="inlineStr">
        <is>
          <t>Hartland Print</t>
        </is>
      </c>
      <c r="G170" s="1349" t="inlineStr">
        <is>
          <t>Referral</t>
        </is>
      </c>
    </row>
    <row r="171" ht="13.5" customHeight="1" s="1232">
      <c r="A171" s="1348" t="n">
        <v>44903</v>
      </c>
      <c r="B171" s="1349" t="inlineStr">
        <is>
          <t>Terry Hanford</t>
        </is>
      </c>
      <c r="C171" s="1350" t="inlineStr">
        <is>
          <t>11. Other</t>
        </is>
      </c>
      <c r="D171" s="1349" t="inlineStr">
        <is>
          <t>PayPal</t>
        </is>
      </c>
      <c r="E171" s="1351" t="n">
        <v>21</v>
      </c>
      <c r="F171" s="1349" t="inlineStr">
        <is>
          <t>Viewing Frames</t>
        </is>
      </c>
      <c r="G171" s="1349" t="inlineStr">
        <is>
          <t>Google</t>
        </is>
      </c>
    </row>
    <row r="172" ht="13.5" customHeight="1" s="1232">
      <c r="A172" s="1348" t="n">
        <v>44903</v>
      </c>
      <c r="B172" s="1349" t="inlineStr">
        <is>
          <t xml:space="preserve">Wayne Farrington </t>
        </is>
      </c>
      <c r="C172" s="1350" t="inlineStr">
        <is>
          <t>10 Commissions</t>
        </is>
      </c>
      <c r="D172" s="1349" t="inlineStr">
        <is>
          <t>PayPal</t>
        </is>
      </c>
      <c r="E172" s="1351" t="n">
        <v>150</v>
      </c>
      <c r="F172" s="1349" t="inlineStr">
        <is>
          <t>Motorcycle Photo Training</t>
        </is>
      </c>
      <c r="G172" s="1349" t="inlineStr">
        <is>
          <t>Google</t>
        </is>
      </c>
    </row>
    <row r="173" ht="13.5" customHeight="1" s="1232">
      <c r="A173" s="1348" t="n">
        <v>44902</v>
      </c>
      <c r="B173" s="1349" t="inlineStr">
        <is>
          <t>Rose Conway</t>
        </is>
      </c>
      <c r="C173" s="1350" t="inlineStr">
        <is>
          <t>2. Workshops</t>
        </is>
      </c>
      <c r="D173" s="1349" t="inlineStr">
        <is>
          <t>Stripe</t>
        </is>
      </c>
      <c r="E173" s="1351" t="n">
        <v>12</v>
      </c>
      <c r="F173" s="1349" t="inlineStr">
        <is>
          <t>Woodland Walk</t>
        </is>
      </c>
      <c r="G173" s="1349" t="inlineStr">
        <is>
          <t>Existing</t>
        </is>
      </c>
    </row>
    <row r="174" ht="13.5" customHeight="1" s="1232">
      <c r="A174" s="1348" t="n">
        <v>44902</v>
      </c>
      <c r="B174" s="1349" t="inlineStr">
        <is>
          <t>Glenn Hooper</t>
        </is>
      </c>
      <c r="C174" s="1350" t="inlineStr">
        <is>
          <t>1. Courses/masterclasses</t>
        </is>
      </c>
      <c r="D174" s="1349" t="inlineStr">
        <is>
          <t>Stripe</t>
        </is>
      </c>
      <c r="E174" s="1351" t="n">
        <v>30</v>
      </c>
      <c r="F174" s="1349" t="inlineStr">
        <is>
          <t>Get Off Auto</t>
        </is>
      </c>
      <c r="G174" s="1349" t="inlineStr">
        <is>
          <t>Google</t>
        </is>
      </c>
    </row>
    <row r="175" ht="13.5" customHeight="1" s="1232">
      <c r="A175" s="1348" t="n">
        <v>44901</v>
      </c>
      <c r="B175" s="1349" t="inlineStr">
        <is>
          <t>Lonnie Morris</t>
        </is>
      </c>
      <c r="C175" s="1350" t="inlineStr">
        <is>
          <t>2. Workshops</t>
        </is>
      </c>
      <c r="D175" s="1349" t="inlineStr">
        <is>
          <t>Bank</t>
        </is>
      </c>
      <c r="E175" s="1351" t="n">
        <v>250</v>
      </c>
      <c r="F175" s="1349" t="inlineStr">
        <is>
          <t>Lake Vyrnwey</t>
        </is>
      </c>
      <c r="G175" s="1349" t="inlineStr">
        <is>
          <t>Existing</t>
        </is>
      </c>
    </row>
    <row r="176" ht="13.5" customHeight="1" s="1232">
      <c r="A176" s="1348" t="n">
        <v>44900</v>
      </c>
      <c r="B176" s="1349" t="inlineStr">
        <is>
          <t>David Marrott</t>
        </is>
      </c>
      <c r="C176" s="1350" t="inlineStr">
        <is>
          <t>2. Workshops</t>
        </is>
      </c>
      <c r="D176" s="1349" t="inlineStr">
        <is>
          <t>Stripe</t>
        </is>
      </c>
      <c r="E176" s="1351" t="n">
        <v>75</v>
      </c>
      <c r="F176" s="1349" t="inlineStr">
        <is>
          <t>Clent Hills</t>
        </is>
      </c>
      <c r="G176" s="1349" t="inlineStr">
        <is>
          <t>Google</t>
        </is>
      </c>
    </row>
    <row r="177" ht="13.5" customHeight="1" s="1232">
      <c r="A177" s="1348" t="n">
        <v>44897</v>
      </c>
      <c r="B177" s="1349" t="inlineStr">
        <is>
          <t>Gavin Louer</t>
        </is>
      </c>
      <c r="C177" s="1350" t="inlineStr">
        <is>
          <t>2. Workshops</t>
        </is>
      </c>
      <c r="D177" s="1349" t="inlineStr">
        <is>
          <t>Bank</t>
        </is>
      </c>
      <c r="E177" s="1351" t="n">
        <v>250</v>
      </c>
      <c r="F177" s="1349" t="inlineStr">
        <is>
          <t>Lake District - Sep 2023</t>
        </is>
      </c>
      <c r="G177" s="1349" t="inlineStr">
        <is>
          <t>Google</t>
        </is>
      </c>
    </row>
    <row r="178" ht="13.5" customHeight="1" s="1232">
      <c r="A178" s="1348" t="n">
        <v>44896</v>
      </c>
      <c r="B178" s="1349" t="inlineStr">
        <is>
          <t>Artfully Walls</t>
        </is>
      </c>
      <c r="C178" s="1350" t="inlineStr">
        <is>
          <t>9. Prints &amp; Royalties</t>
        </is>
      </c>
      <c r="D178" s="1349" t="inlineStr">
        <is>
          <t>PayPal</t>
        </is>
      </c>
      <c r="E178" s="1351" t="n">
        <v>18.12</v>
      </c>
      <c r="F178" s="1349" t="inlineStr">
        <is>
          <t>Print Sale</t>
        </is>
      </c>
      <c r="G178" s="1349" t="inlineStr">
        <is>
          <t>Artfully Walls</t>
        </is>
      </c>
    </row>
    <row r="179" ht="13.5" customHeight="1" s="1232">
      <c r="A179" s="1348" t="n">
        <v>44896</v>
      </c>
      <c r="B179" s="1349" t="inlineStr">
        <is>
          <t>Pick n Mix Subs</t>
        </is>
      </c>
      <c r="C179" s="1350" t="inlineStr">
        <is>
          <t>3. Pick n Mix Inc</t>
        </is>
      </c>
      <c r="D179" s="1349" t="inlineStr">
        <is>
          <t>Various</t>
        </is>
      </c>
      <c r="E179" s="1351" t="n">
        <v>0</v>
      </c>
      <c r="F179" s="1349" t="inlineStr">
        <is>
          <t>Pick N Mix Payments</t>
        </is>
      </c>
      <c r="G179" s="1349" t="inlineStr">
        <is>
          <t>Existing</t>
        </is>
      </c>
    </row>
    <row r="180" ht="13.5" customHeight="1" s="1232">
      <c r="A180" s="1348" t="n">
        <v>44896</v>
      </c>
      <c r="B180" s="1349" t="inlineStr">
        <is>
          <t>Mentoring Subs</t>
        </is>
      </c>
      <c r="C180" s="1350" t="inlineStr">
        <is>
          <t>5. Mentoring</t>
        </is>
      </c>
      <c r="D180" s="1349" t="inlineStr">
        <is>
          <t>Various</t>
        </is>
      </c>
      <c r="E180" s="1351" t="n">
        <v>60</v>
      </c>
      <c r="F180" s="1349" t="inlineStr">
        <is>
          <t>Mentoring Subs</t>
        </is>
      </c>
      <c r="G180" s="1349" t="inlineStr">
        <is>
          <t>Existing</t>
        </is>
      </c>
    </row>
    <row r="181" ht="13.5" customHeight="1" s="1232">
      <c r="A181" s="1348" t="n"/>
      <c r="B181" s="1349" t="n"/>
      <c r="C181" s="1350" t="n"/>
      <c r="D181" s="1349" t="n"/>
      <c r="E181" s="1351" t="n"/>
      <c r="F181" s="1349" t="n"/>
      <c r="G181" s="1349" t="n"/>
    </row>
    <row r="182" ht="13.5" customHeight="1" s="1232">
      <c r="A182" s="1348" t="n">
        <v>44889</v>
      </c>
      <c r="B182" s="1349" t="inlineStr">
        <is>
          <t>Gina Meaden</t>
        </is>
      </c>
      <c r="C182" s="1350" t="inlineStr">
        <is>
          <t>7. Gift Vouchers Inc</t>
        </is>
      </c>
      <c r="D182" s="1349" t="inlineStr">
        <is>
          <t>Stripe</t>
        </is>
      </c>
      <c r="E182" s="1351" t="n">
        <v>100</v>
      </c>
      <c r="F182" s="1349" t="inlineStr">
        <is>
          <t>Gift Card</t>
        </is>
      </c>
      <c r="G182" s="1349" t="inlineStr">
        <is>
          <t>Existing</t>
        </is>
      </c>
    </row>
    <row r="183" ht="13.5" customHeight="1" s="1232">
      <c r="A183" s="1348" t="n">
        <v>44881</v>
      </c>
      <c r="B183" s="1349" t="inlineStr">
        <is>
          <t>Raye Geater</t>
        </is>
      </c>
      <c r="C183" s="1350" t="inlineStr">
        <is>
          <t>2. Workshops</t>
        </is>
      </c>
      <c r="D183" s="1349" t="inlineStr">
        <is>
          <t>Stripe</t>
        </is>
      </c>
      <c r="E183" s="1351" t="n">
        <v>10.2</v>
      </c>
      <c r="F183" s="1349" t="inlineStr">
        <is>
          <t>Woodland Walk</t>
        </is>
      </c>
      <c r="G183" s="1349" t="inlineStr">
        <is>
          <t>Google</t>
        </is>
      </c>
    </row>
    <row r="184" ht="13.5" customHeight="1" s="1232">
      <c r="A184" s="1348" t="n">
        <v>44886</v>
      </c>
      <c r="B184" s="1349" t="inlineStr">
        <is>
          <t>Charles Gray</t>
        </is>
      </c>
      <c r="C184" s="1350" t="inlineStr">
        <is>
          <t>2. Workshops</t>
        </is>
      </c>
      <c r="D184" s="1349" t="inlineStr">
        <is>
          <t>Stripe</t>
        </is>
      </c>
      <c r="E184" s="1351" t="n">
        <v>70</v>
      </c>
      <c r="F184" s="1349" t="inlineStr">
        <is>
          <t>Christmas Leamington</t>
        </is>
      </c>
      <c r="G184" s="1349" t="inlineStr">
        <is>
          <t>Google</t>
        </is>
      </c>
    </row>
    <row r="185" ht="13.5" customHeight="1" s="1232">
      <c r="A185" s="1348" t="n">
        <v>44882</v>
      </c>
      <c r="B185" s="1349" t="inlineStr">
        <is>
          <t>Mark Nathan</t>
        </is>
      </c>
      <c r="C185" s="1350" t="inlineStr">
        <is>
          <t>1. Courses/masterclasses</t>
        </is>
      </c>
      <c r="D185" s="1349" t="inlineStr">
        <is>
          <t>PayPal</t>
        </is>
      </c>
      <c r="E185" s="1351" t="n">
        <v>75</v>
      </c>
      <c r="F185" s="1349" t="inlineStr">
        <is>
          <t>RPS Extended</t>
        </is>
      </c>
      <c r="G185" s="1349" t="inlineStr">
        <is>
          <t>Existing</t>
        </is>
      </c>
    </row>
    <row r="186" ht="13.5" customHeight="1" s="1232">
      <c r="A186" s="1348" t="n">
        <v>44880</v>
      </c>
      <c r="B186" s="1349" t="inlineStr">
        <is>
          <t>Nora Tacheva</t>
        </is>
      </c>
      <c r="C186" s="1350" t="inlineStr">
        <is>
          <t>2. Workshops</t>
        </is>
      </c>
      <c r="D186" s="1349" t="inlineStr">
        <is>
          <t>Stripe</t>
        </is>
      </c>
      <c r="E186" s="1351" t="n">
        <v>475</v>
      </c>
      <c r="F186" s="1349" t="inlineStr">
        <is>
          <t>Lake Vyrnwy</t>
        </is>
      </c>
      <c r="G186" s="1349" t="inlineStr">
        <is>
          <t>Google</t>
        </is>
      </c>
    </row>
    <row r="187" ht="13.5" customHeight="1" s="1232">
      <c r="A187" s="1348" t="n">
        <v>44879</v>
      </c>
      <c r="B187" s="1349" t="inlineStr">
        <is>
          <t>Kim Meadows</t>
        </is>
      </c>
      <c r="C187" s="1350" t="inlineStr">
        <is>
          <t>7. Gift Vouchers Inc</t>
        </is>
      </c>
      <c r="D187" s="1349" t="inlineStr">
        <is>
          <t>Stripe</t>
        </is>
      </c>
      <c r="E187" s="1351" t="n">
        <v>100</v>
      </c>
      <c r="F187" s="1349" t="inlineStr">
        <is>
          <t>Digital Gift Card</t>
        </is>
      </c>
      <c r="G187" s="1349" t="inlineStr">
        <is>
          <t>Google</t>
        </is>
      </c>
    </row>
    <row r="188" ht="13.5" customHeight="1" s="1232">
      <c r="A188" s="1348" t="n">
        <v>44878</v>
      </c>
      <c r="B188" s="1349" t="inlineStr">
        <is>
          <t>Ken Thomas</t>
        </is>
      </c>
      <c r="C188" s="1350" t="inlineStr">
        <is>
          <t>2. Workshops</t>
        </is>
      </c>
      <c r="D188" s="1349" t="inlineStr">
        <is>
          <t>PayPal</t>
        </is>
      </c>
      <c r="E188" s="1351" t="n">
        <v>150</v>
      </c>
      <c r="F188" s="1349" t="inlineStr">
        <is>
          <t>Batsford</t>
        </is>
      </c>
      <c r="G188" s="1349" t="inlineStr">
        <is>
          <t>Google</t>
        </is>
      </c>
    </row>
    <row r="189" ht="13.5" customHeight="1" s="1232">
      <c r="A189" s="1348" t="n">
        <v>44876</v>
      </c>
      <c r="B189" s="1349" t="inlineStr">
        <is>
          <t>Gary Franklin</t>
        </is>
      </c>
      <c r="C189" s="1350" t="inlineStr">
        <is>
          <t>2. Workshops</t>
        </is>
      </c>
      <c r="D189" s="1349" t="inlineStr">
        <is>
          <t>Gift Voucher Out</t>
        </is>
      </c>
      <c r="E189" s="1351" t="n">
        <v>150</v>
      </c>
      <c r="F189" s="1349" t="inlineStr">
        <is>
          <t>Bluebells</t>
        </is>
      </c>
      <c r="G189" s="1349" t="inlineStr">
        <is>
          <t>Referral</t>
        </is>
      </c>
    </row>
    <row r="190" ht="13.5" customHeight="1" s="1232">
      <c r="A190" s="1348" t="n">
        <v>44876</v>
      </c>
      <c r="B190" s="1349" t="inlineStr">
        <is>
          <t>Gary Franklin</t>
        </is>
      </c>
      <c r="C190" s="1350" t="inlineStr">
        <is>
          <t>8. Gift Vouchers Out</t>
        </is>
      </c>
      <c r="D190" s="1349" t="inlineStr">
        <is>
          <t>Gift Voucher Out</t>
        </is>
      </c>
      <c r="E190" s="1351" t="n">
        <v>-150</v>
      </c>
      <c r="F190" s="1349" t="inlineStr">
        <is>
          <t>Bluebells</t>
        </is>
      </c>
      <c r="G190" s="1349" t="inlineStr">
        <is>
          <t>Referral</t>
        </is>
      </c>
    </row>
    <row r="191" ht="13.5" customHeight="1" s="1232">
      <c r="A191" s="1348" t="n">
        <v>44873</v>
      </c>
      <c r="B191" s="1349" t="inlineStr">
        <is>
          <t>Julie Hughes</t>
        </is>
      </c>
      <c r="C191" s="1350" t="inlineStr">
        <is>
          <t>6. 1-2-1</t>
        </is>
      </c>
      <c r="D191" s="1349" t="inlineStr">
        <is>
          <t>PayPal</t>
        </is>
      </c>
      <c r="E191" s="1351" t="n">
        <v>120</v>
      </c>
      <c r="F191" s="1349" t="inlineStr">
        <is>
          <t>2hrs 1-2-1</t>
        </is>
      </c>
      <c r="G191" s="1349" t="inlineStr">
        <is>
          <t>Google</t>
        </is>
      </c>
    </row>
    <row r="192" ht="13.5" customHeight="1" s="1232">
      <c r="A192" s="1348" t="n">
        <v>44873</v>
      </c>
      <c r="B192" s="1349" t="inlineStr">
        <is>
          <t>kevin evans</t>
        </is>
      </c>
      <c r="C192" s="1350" t="inlineStr">
        <is>
          <t>2. Workshops</t>
        </is>
      </c>
      <c r="D192" s="1349" t="inlineStr">
        <is>
          <t>PayPal</t>
        </is>
      </c>
      <c r="E192" s="1351" t="n">
        <v>255</v>
      </c>
      <c r="F192" s="1349" t="inlineStr">
        <is>
          <t>2 x Christmas Walk</t>
        </is>
      </c>
      <c r="G192" s="1349" t="inlineStr">
        <is>
          <t>Google</t>
        </is>
      </c>
    </row>
    <row r="193" ht="13.5" customHeight="1" s="1232">
      <c r="A193" s="1348" t="n">
        <v>44873</v>
      </c>
      <c r="B193" s="1349" t="inlineStr">
        <is>
          <t xml:space="preserve">Catherine Davies </t>
        </is>
      </c>
      <c r="C193" s="1350" t="inlineStr">
        <is>
          <t>1. Courses/masterclasses</t>
        </is>
      </c>
      <c r="D193" s="1349" t="inlineStr">
        <is>
          <t>PayPal</t>
        </is>
      </c>
      <c r="E193" s="1351" t="n">
        <v>460</v>
      </c>
      <c r="F193" s="1349" t="inlineStr">
        <is>
          <t>4wk Extd Beginners Course</t>
        </is>
      </c>
      <c r="G193" s="1349" t="inlineStr">
        <is>
          <t>Existing</t>
        </is>
      </c>
    </row>
    <row r="194" ht="13.5" customHeight="1" s="1232">
      <c r="A194" s="1348" t="n">
        <v>44873</v>
      </c>
      <c r="B194" s="1349" t="inlineStr">
        <is>
          <t>David Smart</t>
        </is>
      </c>
      <c r="C194" s="1350" t="inlineStr">
        <is>
          <t>1. Courses/masterclasses</t>
        </is>
      </c>
      <c r="D194" s="1349" t="inlineStr">
        <is>
          <t>Stripe</t>
        </is>
      </c>
      <c r="E194" s="1351" t="n">
        <v>250</v>
      </c>
      <c r="F194" s="1349" t="inlineStr">
        <is>
          <t>5wk Beginners Course</t>
        </is>
      </c>
      <c r="G194" s="1349" t="inlineStr">
        <is>
          <t>Google</t>
        </is>
      </c>
    </row>
    <row r="195" ht="13.5" customHeight="1" s="1232">
      <c r="A195" s="1348" t="n">
        <v>44872</v>
      </c>
      <c r="B195" s="1349" t="inlineStr">
        <is>
          <t>Lonnie Morris</t>
        </is>
      </c>
      <c r="C195" s="1350" t="inlineStr">
        <is>
          <t>2. Workshops</t>
        </is>
      </c>
      <c r="D195" s="1349" t="inlineStr">
        <is>
          <t>PayPal</t>
        </is>
      </c>
      <c r="E195" s="1351" t="n">
        <v>675.75</v>
      </c>
      <c r="F195" s="1349" t="inlineStr">
        <is>
          <t>Gower</t>
        </is>
      </c>
      <c r="G195" s="1349" t="inlineStr">
        <is>
          <t>Existing</t>
        </is>
      </c>
    </row>
    <row r="196" ht="13.5" customHeight="1" s="1232">
      <c r="A196" s="1348" t="n">
        <v>44870</v>
      </c>
      <c r="B196" s="1349" t="inlineStr">
        <is>
          <t>Ann Hume</t>
        </is>
      </c>
      <c r="C196" s="1350" t="inlineStr">
        <is>
          <t>1. Courses/masterclasses</t>
        </is>
      </c>
      <c r="D196" s="1349" t="inlineStr">
        <is>
          <t>Stripe</t>
        </is>
      </c>
      <c r="E196" s="1351" t="n">
        <v>230</v>
      </c>
      <c r="F196" s="1349" t="inlineStr">
        <is>
          <t>4wk Extd Beginners Course</t>
        </is>
      </c>
      <c r="G196" s="1349" t="inlineStr">
        <is>
          <t>Existing</t>
        </is>
      </c>
    </row>
    <row r="197" ht="13.5" customHeight="1" s="1232">
      <c r="A197" s="1348" t="n">
        <v>44870</v>
      </c>
      <c r="B197" s="1349" t="inlineStr">
        <is>
          <t>Richard Patterson</t>
        </is>
      </c>
      <c r="C197" s="1350" t="inlineStr">
        <is>
          <t>11. Other</t>
        </is>
      </c>
      <c r="D197" s="1349" t="inlineStr">
        <is>
          <t>PayPal</t>
        </is>
      </c>
      <c r="E197" s="1351" t="n">
        <v>37</v>
      </c>
      <c r="F197" s="1349" t="inlineStr">
        <is>
          <t>Viewing Frames</t>
        </is>
      </c>
      <c r="G197" s="1349" t="inlineStr">
        <is>
          <t>Google</t>
        </is>
      </c>
    </row>
    <row r="198" ht="13.5" customHeight="1" s="1232">
      <c r="A198" s="1348" t="n">
        <v>44870</v>
      </c>
      <c r="B198" s="1349" t="inlineStr">
        <is>
          <t>Anne Watkinson</t>
        </is>
      </c>
      <c r="C198" s="1350" t="inlineStr">
        <is>
          <t>6. 1-2-1</t>
        </is>
      </c>
      <c r="D198" s="1349" t="inlineStr">
        <is>
          <t>Stripe</t>
        </is>
      </c>
      <c r="E198" s="1351" t="n">
        <v>360</v>
      </c>
      <c r="F198" s="1349" t="inlineStr">
        <is>
          <t>4 x 2hr 1-2-1s</t>
        </is>
      </c>
      <c r="G198" s="1349" t="inlineStr">
        <is>
          <t>Existing</t>
        </is>
      </c>
    </row>
    <row r="199" ht="13.5" customHeight="1" s="1232">
      <c r="A199" s="1348" t="n">
        <v>44868</v>
      </c>
      <c r="B199" s="1349" t="inlineStr">
        <is>
          <t>Stephen Fleming</t>
        </is>
      </c>
      <c r="C199" s="1350" t="inlineStr">
        <is>
          <t>2. Workshops</t>
        </is>
      </c>
      <c r="D199" s="1349" t="inlineStr">
        <is>
          <t>Gift Voucher Out</t>
        </is>
      </c>
      <c r="E199" s="1351" t="n">
        <v>150</v>
      </c>
      <c r="F199" s="1349" t="inlineStr">
        <is>
          <t>Bluebells</t>
        </is>
      </c>
      <c r="G199" s="1349" t="inlineStr">
        <is>
          <t>Referral</t>
        </is>
      </c>
    </row>
    <row r="200" ht="13.5" customHeight="1" s="1232">
      <c r="A200" s="1348" t="n">
        <v>44868</v>
      </c>
      <c r="B200" s="1349" t="inlineStr">
        <is>
          <t>Stephen Fleming</t>
        </is>
      </c>
      <c r="C200" s="1350" t="inlineStr">
        <is>
          <t>8. Gift Vouchers Out</t>
        </is>
      </c>
      <c r="D200" s="1349" t="inlineStr">
        <is>
          <t>Gift Voucher Out</t>
        </is>
      </c>
      <c r="E200" s="1351" t="n">
        <v>-150</v>
      </c>
      <c r="F200" s="1349" t="inlineStr">
        <is>
          <t>Bluebells</t>
        </is>
      </c>
      <c r="G200" s="1349" t="inlineStr">
        <is>
          <t>Referral</t>
        </is>
      </c>
    </row>
    <row r="201" ht="13.5" customHeight="1" s="1232">
      <c r="A201" s="1348" t="n">
        <v>44866</v>
      </c>
      <c r="B201" s="1349" t="inlineStr">
        <is>
          <t>Pick n Mix Subs</t>
        </is>
      </c>
      <c r="C201" s="1350" t="inlineStr">
        <is>
          <t>3. Pick n Mix Inc</t>
        </is>
      </c>
      <c r="D201" s="1349" t="inlineStr">
        <is>
          <t>Various</t>
        </is>
      </c>
      <c r="E201" s="1351" t="n">
        <v>150</v>
      </c>
      <c r="F201" s="1349" t="inlineStr">
        <is>
          <t>Pick N Mix Payments</t>
        </is>
      </c>
      <c r="G201" s="1349" t="inlineStr">
        <is>
          <t>Existing</t>
        </is>
      </c>
    </row>
    <row r="202" ht="13.5" customHeight="1" s="1232">
      <c r="A202" s="1348" t="n">
        <v>44866</v>
      </c>
      <c r="B202" s="1349" t="inlineStr">
        <is>
          <t>Mentoring Subs</t>
        </is>
      </c>
      <c r="C202" s="1350" t="inlineStr">
        <is>
          <t>5. Mentoring</t>
        </is>
      </c>
      <c r="D202" s="1349" t="inlineStr">
        <is>
          <t>Various</t>
        </is>
      </c>
      <c r="E202" s="1351" t="n">
        <v>60</v>
      </c>
      <c r="F202" s="1349" t="inlineStr">
        <is>
          <t>Mentoring Subs</t>
        </is>
      </c>
      <c r="G202" s="1349" t="inlineStr">
        <is>
          <t>Existing</t>
        </is>
      </c>
    </row>
    <row r="203" ht="13.5" customHeight="1" s="1232">
      <c r="A203" s="1348" t="n"/>
      <c r="B203" s="1349" t="n"/>
      <c r="C203" s="1350" t="n"/>
      <c r="D203" s="1349" t="n"/>
      <c r="E203" s="1351" t="n"/>
      <c r="F203" s="1349" t="n"/>
      <c r="G203" s="1349" t="n"/>
    </row>
    <row r="204" ht="13.5" customHeight="1" s="1232">
      <c r="A204" s="1348" t="n">
        <v>44865</v>
      </c>
      <c r="B204" s="1349" t="inlineStr">
        <is>
          <t xml:space="preserve">Renata </t>
        </is>
      </c>
      <c r="C204" s="1350" t="inlineStr">
        <is>
          <t>6. 1-2-1</t>
        </is>
      </c>
      <c r="D204" s="1349" t="inlineStr">
        <is>
          <t>Bank</t>
        </is>
      </c>
      <c r="E204" s="1351" t="n">
        <v>50</v>
      </c>
      <c r="F204" s="1349" t="inlineStr">
        <is>
          <t>1-2-1 Mentoring</t>
        </is>
      </c>
      <c r="G204" s="1349" t="inlineStr">
        <is>
          <t>Referral</t>
        </is>
      </c>
    </row>
    <row r="205" ht="13.5" customHeight="1" s="1232">
      <c r="A205" s="1348" t="n">
        <v>44860</v>
      </c>
      <c r="B205" s="1349" t="inlineStr">
        <is>
          <t>Janice Jordan</t>
        </is>
      </c>
      <c r="C205" s="1350" t="inlineStr">
        <is>
          <t>2. Workshops</t>
        </is>
      </c>
      <c r="D205" s="1349" t="inlineStr">
        <is>
          <t>Stripe</t>
        </is>
      </c>
      <c r="E205" s="1351" t="n">
        <v>75</v>
      </c>
      <c r="F205" s="1349" t="inlineStr">
        <is>
          <t>Fireworks</t>
        </is>
      </c>
      <c r="G205" s="1349" t="inlineStr">
        <is>
          <t>Existing</t>
        </is>
      </c>
    </row>
    <row r="206" ht="13.5" customHeight="1" s="1232">
      <c r="A206" s="1348" t="n">
        <v>44862</v>
      </c>
      <c r="B206" s="1349" t="inlineStr">
        <is>
          <t>ELS?</t>
        </is>
      </c>
      <c r="C206" s="1350" t="inlineStr">
        <is>
          <t>1. Courses/masterclasses</t>
        </is>
      </c>
      <c r="D206" s="1349" t="inlineStr">
        <is>
          <t>Bank</t>
        </is>
      </c>
      <c r="E206" s="1351" t="n">
        <v>200</v>
      </c>
      <c r="F206" s="1349" t="inlineStr">
        <is>
          <t>Not sure for whom</t>
        </is>
      </c>
      <c r="G206" s="1349" t="inlineStr">
        <is>
          <t>ELS</t>
        </is>
      </c>
    </row>
    <row r="207" ht="13.5" customHeight="1" s="1232">
      <c r="A207" s="1348" t="n">
        <v>44859</v>
      </c>
      <c r="B207" s="1349" t="inlineStr">
        <is>
          <t>Peter Johnson</t>
        </is>
      </c>
      <c r="C207" s="1350" t="inlineStr">
        <is>
          <t>1. Courses/masterclasses</t>
        </is>
      </c>
      <c r="D207" s="1349" t="inlineStr">
        <is>
          <t>PayPal</t>
        </is>
      </c>
      <c r="E207" s="1351" t="n">
        <v>395</v>
      </c>
      <c r="F207" s="1349" t="inlineStr">
        <is>
          <t>RPS Course</t>
        </is>
      </c>
      <c r="G207" s="1349" t="inlineStr">
        <is>
          <t>Google</t>
        </is>
      </c>
    </row>
    <row r="208" ht="13.5" customHeight="1" s="1232">
      <c r="A208" s="1348" t="n">
        <v>44858</v>
      </c>
      <c r="B208" s="1349" t="inlineStr">
        <is>
          <t>Eleanor Morris</t>
        </is>
      </c>
      <c r="C208" s="1350" t="inlineStr">
        <is>
          <t>2. Workshops</t>
        </is>
      </c>
      <c r="D208" s="1349" t="inlineStr">
        <is>
          <t>Stripe</t>
        </is>
      </c>
      <c r="E208" s="1351" t="n">
        <v>99</v>
      </c>
      <c r="F208" s="1349" t="inlineStr">
        <is>
          <t>Batsford</t>
        </is>
      </c>
      <c r="G208" s="1349" t="inlineStr">
        <is>
          <t>Batsford</t>
        </is>
      </c>
    </row>
    <row r="209" ht="13.5" customHeight="1" s="1232">
      <c r="A209" s="1348" t="n">
        <v>44858</v>
      </c>
      <c r="B209" s="1349" t="inlineStr">
        <is>
          <t>Richard Potts</t>
        </is>
      </c>
      <c r="C209" s="1350" t="inlineStr">
        <is>
          <t>6. 1-2-1</t>
        </is>
      </c>
      <c r="D209" s="1349" t="inlineStr">
        <is>
          <t>PayPal</t>
        </is>
      </c>
      <c r="E209" s="1351" t="n">
        <v>65</v>
      </c>
      <c r="F209" s="1349" t="inlineStr">
        <is>
          <t>1hr 1-2-1</t>
        </is>
      </c>
      <c r="G209" s="1349" t="inlineStr">
        <is>
          <t>Google</t>
        </is>
      </c>
    </row>
    <row r="210" ht="13.5" customHeight="1" s="1232">
      <c r="A210" s="1348" t="n">
        <v>44858</v>
      </c>
      <c r="B210" s="1349" t="inlineStr">
        <is>
          <t>John Flack</t>
        </is>
      </c>
      <c r="C210" s="1350" t="inlineStr">
        <is>
          <t>5. Mentoring</t>
        </is>
      </c>
      <c r="D210" s="1349" t="inlineStr">
        <is>
          <t>Stripe</t>
        </is>
      </c>
      <c r="E210" s="1351" t="n">
        <v>200</v>
      </c>
      <c r="F210" s="1349" t="inlineStr">
        <is>
          <t>Mentoring Subs</t>
        </is>
      </c>
      <c r="G210" s="1349" t="inlineStr">
        <is>
          <t>Existing</t>
        </is>
      </c>
    </row>
    <row r="211" ht="13.5" customHeight="1" s="1232">
      <c r="A211" s="1348" t="n">
        <v>44854</v>
      </c>
      <c r="B211" s="1349" t="inlineStr">
        <is>
          <t>alison treharne</t>
        </is>
      </c>
      <c r="C211" s="1350" t="inlineStr">
        <is>
          <t>6. 1-2-1</t>
        </is>
      </c>
      <c r="D211" s="1349" t="inlineStr">
        <is>
          <t>Gift Voucher Out</t>
        </is>
      </c>
      <c r="E211" s="1351" t="n">
        <v>120</v>
      </c>
      <c r="F211" s="1349" t="inlineStr">
        <is>
          <t>2hrs 1-2-1</t>
        </is>
      </c>
      <c r="G211" s="1349" t="inlineStr">
        <is>
          <t>Referral</t>
        </is>
      </c>
    </row>
    <row r="212" ht="13.5" customHeight="1" s="1232">
      <c r="A212" s="1348" t="n">
        <v>44854</v>
      </c>
      <c r="B212" s="1349" t="inlineStr">
        <is>
          <t>alison treharne</t>
        </is>
      </c>
      <c r="C212" s="1350" t="inlineStr">
        <is>
          <t>8. Gift Vouchers Out</t>
        </is>
      </c>
      <c r="D212" s="1349" t="inlineStr">
        <is>
          <t>Gift Voucher Out</t>
        </is>
      </c>
      <c r="E212" s="1351" t="n">
        <v>-120</v>
      </c>
      <c r="F212" s="1349" t="inlineStr">
        <is>
          <t>2hrs 1-2-1</t>
        </is>
      </c>
      <c r="G212" s="1349" t="inlineStr">
        <is>
          <t>Referral</t>
        </is>
      </c>
    </row>
    <row r="213" ht="13.5" customHeight="1" s="1232">
      <c r="A213" s="1348" t="n">
        <v>44853</v>
      </c>
      <c r="B213" s="1349" t="inlineStr">
        <is>
          <t>Call of the page</t>
        </is>
      </c>
      <c r="C213" s="1350" t="inlineStr">
        <is>
          <t>10 Commissions</t>
        </is>
      </c>
      <c r="D213" s="1349" t="inlineStr">
        <is>
          <t>Bank</t>
        </is>
      </c>
      <c r="E213" s="1351" t="n">
        <v>20</v>
      </c>
      <c r="F213" s="1349" t="inlineStr">
        <is>
          <t>Feedback</t>
        </is>
      </c>
      <c r="G213" s="1349" t="inlineStr">
        <is>
          <t>Existing</t>
        </is>
      </c>
    </row>
    <row r="214" ht="13.5" customHeight="1" s="1232">
      <c r="A214" s="1348" t="n">
        <v>44851</v>
      </c>
      <c r="B214" s="1349" t="inlineStr">
        <is>
          <t>Johanna Stansfield</t>
        </is>
      </c>
      <c r="C214" s="1350" t="inlineStr">
        <is>
          <t>5. Mentoring</t>
        </is>
      </c>
      <c r="D214" s="1349" t="inlineStr">
        <is>
          <t>Stripe</t>
        </is>
      </c>
      <c r="E214" s="1351" t="n">
        <v>20</v>
      </c>
      <c r="F214" s="1349" t="inlineStr">
        <is>
          <t>Mentoring Subs</t>
        </is>
      </c>
      <c r="G214" s="1349" t="inlineStr">
        <is>
          <t>Existing</t>
        </is>
      </c>
    </row>
    <row r="215" ht="13.5" customHeight="1" s="1232">
      <c r="A215" s="1348" t="n">
        <v>44851</v>
      </c>
      <c r="B215" s="1349" t="inlineStr">
        <is>
          <t>Johanna Stansfield</t>
        </is>
      </c>
      <c r="C215" s="1350" t="inlineStr">
        <is>
          <t>2. Workshops</t>
        </is>
      </c>
      <c r="D215" s="1349" t="inlineStr">
        <is>
          <t>Stripe</t>
        </is>
      </c>
      <c r="E215" s="1351" t="n">
        <v>150</v>
      </c>
      <c r="F215" s="1349" t="inlineStr">
        <is>
          <t>Batsford</t>
        </is>
      </c>
      <c r="G215" s="1349" t="inlineStr">
        <is>
          <t>Existing</t>
        </is>
      </c>
    </row>
    <row r="216" ht="13.5" customHeight="1" s="1232">
      <c r="A216" s="1348" t="n">
        <v>44848</v>
      </c>
      <c r="B216" s="1349" t="inlineStr">
        <is>
          <t>ELS?</t>
        </is>
      </c>
      <c r="C216" s="1350" t="inlineStr">
        <is>
          <t>1. Courses/masterclasses</t>
        </is>
      </c>
      <c r="D216" s="1349" t="inlineStr">
        <is>
          <t>Bank</t>
        </is>
      </c>
      <c r="E216" s="1351" t="n">
        <v>200</v>
      </c>
      <c r="F216" s="1349" t="inlineStr">
        <is>
          <t>Not sure for whom</t>
        </is>
      </c>
      <c r="G216" s="1349" t="inlineStr">
        <is>
          <t>ELS</t>
        </is>
      </c>
    </row>
    <row r="217" ht="13.5" customHeight="1" s="1232">
      <c r="A217" s="1348" t="n">
        <v>44848</v>
      </c>
      <c r="B217" s="1349" t="inlineStr">
        <is>
          <t>Kirsten Peake</t>
        </is>
      </c>
      <c r="C217" s="1350" t="inlineStr">
        <is>
          <t>11. Other</t>
        </is>
      </c>
      <c r="D217" s="1349" t="inlineStr">
        <is>
          <t>Stripe</t>
        </is>
      </c>
      <c r="E217" s="1351" t="n">
        <v>17</v>
      </c>
      <c r="F217" s="1349" t="inlineStr">
        <is>
          <t>Viewing Cards</t>
        </is>
      </c>
      <c r="G217" s="1349" t="inlineStr">
        <is>
          <t>Google</t>
        </is>
      </c>
    </row>
    <row r="218" ht="13.5" customHeight="1" s="1232">
      <c r="A218" s="1348" t="n">
        <v>44851</v>
      </c>
      <c r="B218" s="1349" t="inlineStr">
        <is>
          <t>Sara Orsbourn</t>
        </is>
      </c>
      <c r="C218" s="1350" t="inlineStr">
        <is>
          <t>1. Courses/masterclasses</t>
        </is>
      </c>
      <c r="D218" s="1349" t="inlineStr">
        <is>
          <t>PayPal</t>
        </is>
      </c>
      <c r="E218" s="1351" t="n">
        <v>230</v>
      </c>
      <c r="F218" s="1349" t="inlineStr">
        <is>
          <t>Beginners Course</t>
        </is>
      </c>
      <c r="G218" s="1349" t="inlineStr">
        <is>
          <t>Existing</t>
        </is>
      </c>
    </row>
    <row r="219" ht="13.5" customHeight="1" s="1232">
      <c r="A219" s="1348" t="n">
        <v>44846</v>
      </c>
      <c r="B219" s="1349" t="inlineStr">
        <is>
          <t>Claudine Menke</t>
        </is>
      </c>
      <c r="C219" s="1350" t="inlineStr">
        <is>
          <t>2. Workshops</t>
        </is>
      </c>
      <c r="D219" s="1349" t="inlineStr">
        <is>
          <t>Stripe</t>
        </is>
      </c>
      <c r="E219" s="1351" t="n">
        <v>99</v>
      </c>
      <c r="F219" s="1349" t="inlineStr">
        <is>
          <t>Batsford</t>
        </is>
      </c>
      <c r="G219" s="1349" t="inlineStr">
        <is>
          <t>Google</t>
        </is>
      </c>
    </row>
    <row r="220" ht="13.5" customHeight="1" s="1232">
      <c r="A220" s="1348" t="n">
        <v>44845</v>
      </c>
      <c r="B220" s="1349" t="inlineStr">
        <is>
          <t>Spencer Stephens</t>
        </is>
      </c>
      <c r="C220" s="1350" t="inlineStr">
        <is>
          <t>2. Workshops</t>
        </is>
      </c>
      <c r="D220" s="1349" t="inlineStr">
        <is>
          <t>Stripe</t>
        </is>
      </c>
      <c r="E220" s="1351" t="n">
        <v>99</v>
      </c>
      <c r="F220" s="1349" t="inlineStr">
        <is>
          <t>Batsford</t>
        </is>
      </c>
      <c r="G220" s="1349" t="inlineStr">
        <is>
          <t>Google</t>
        </is>
      </c>
    </row>
    <row r="221" ht="13.5" customHeight="1" s="1232">
      <c r="A221" s="1348" t="n">
        <v>44839</v>
      </c>
      <c r="B221" s="1349" t="inlineStr">
        <is>
          <t>Catherine Buffrey</t>
        </is>
      </c>
      <c r="C221" s="1350" t="inlineStr">
        <is>
          <t>1. Courses/masterclasses</t>
        </is>
      </c>
      <c r="D221" s="1349" t="inlineStr">
        <is>
          <t>Stripe</t>
        </is>
      </c>
      <c r="E221" s="1351" t="n">
        <v>250</v>
      </c>
      <c r="F221" s="1349" t="inlineStr">
        <is>
          <t>5wk Beginners Course</t>
        </is>
      </c>
      <c r="G221" s="1349" t="inlineStr">
        <is>
          <t>Google</t>
        </is>
      </c>
    </row>
    <row r="222" ht="13.5" customHeight="1" s="1232">
      <c r="A222" s="1348" t="n">
        <v>44836</v>
      </c>
      <c r="B222" s="1349" t="inlineStr">
        <is>
          <t>Ann Hume</t>
        </is>
      </c>
      <c r="C222" s="1350" t="inlineStr">
        <is>
          <t>1. Courses/masterclasses</t>
        </is>
      </c>
      <c r="D222" s="1349" t="inlineStr">
        <is>
          <t>Stripe</t>
        </is>
      </c>
      <c r="E222" s="1351" t="n">
        <v>30</v>
      </c>
      <c r="F222" s="1349" t="inlineStr">
        <is>
          <t>Get Of Auto</t>
        </is>
      </c>
      <c r="G222" s="1349" t="inlineStr">
        <is>
          <t>Google</t>
        </is>
      </c>
    </row>
    <row r="223" ht="13.5" customHeight="1" s="1232">
      <c r="A223" s="1348" t="n">
        <v>44835</v>
      </c>
      <c r="B223" s="1349" t="inlineStr">
        <is>
          <t>Pick n Mix Subs</t>
        </is>
      </c>
      <c r="C223" s="1350" t="inlineStr">
        <is>
          <t>3. Pick n Mix Inc</t>
        </is>
      </c>
      <c r="D223" s="1349" t="inlineStr">
        <is>
          <t>Various</t>
        </is>
      </c>
      <c r="E223" s="1351" t="n">
        <v>150</v>
      </c>
      <c r="F223" s="1349" t="inlineStr">
        <is>
          <t>Pick N Mix Payments</t>
        </is>
      </c>
      <c r="G223" s="1349" t="inlineStr">
        <is>
          <t>Existing</t>
        </is>
      </c>
    </row>
    <row r="224" ht="13.5" customHeight="1" s="1232">
      <c r="A224" s="1348" t="n">
        <v>44835</v>
      </c>
      <c r="B224" s="1349" t="inlineStr">
        <is>
          <t>Mentoring Subs</t>
        </is>
      </c>
      <c r="C224" s="1350" t="inlineStr">
        <is>
          <t>5. Mentoring</t>
        </is>
      </c>
      <c r="D224" s="1349" t="inlineStr">
        <is>
          <t>Various</t>
        </is>
      </c>
      <c r="E224" s="1351" t="n">
        <v>40</v>
      </c>
      <c r="F224" s="1349" t="inlineStr">
        <is>
          <t>Mentoring Subs</t>
        </is>
      </c>
      <c r="G224" s="1349" t="inlineStr">
        <is>
          <t>Existing</t>
        </is>
      </c>
    </row>
    <row r="226" ht="13.5" customHeight="1" s="1232">
      <c r="A226" s="1348" t="n">
        <v>44834</v>
      </c>
      <c r="B226" s="1349" t="inlineStr">
        <is>
          <t>Nancy Mack</t>
        </is>
      </c>
      <c r="C226" s="1350" t="inlineStr">
        <is>
          <t>11. Other</t>
        </is>
      </c>
      <c r="D226" s="1349" t="inlineStr">
        <is>
          <t>PayPal</t>
        </is>
      </c>
      <c r="E226" s="1351" t="n">
        <v>21</v>
      </c>
      <c r="F226" s="1349" t="inlineStr">
        <is>
          <t>Viewing Cards</t>
        </is>
      </c>
      <c r="G226" s="1349" t="inlineStr">
        <is>
          <t>Google</t>
        </is>
      </c>
    </row>
    <row r="227" ht="13.5" customHeight="1" s="1232">
      <c r="A227" s="1348" t="n">
        <v>44834</v>
      </c>
      <c r="B227" s="1349" t="inlineStr">
        <is>
          <t>Renata</t>
        </is>
      </c>
      <c r="C227" s="1350" t="inlineStr">
        <is>
          <t>6. 1-2-1</t>
        </is>
      </c>
      <c r="D227" s="1349" t="inlineStr">
        <is>
          <t>Bank</t>
        </is>
      </c>
      <c r="E227" s="1351" t="n">
        <v>50</v>
      </c>
      <c r="F227" s="1349" t="inlineStr">
        <is>
          <t>1-2-1 Mentoring</t>
        </is>
      </c>
      <c r="G227" s="1349" t="inlineStr">
        <is>
          <t>Referral</t>
        </is>
      </c>
    </row>
    <row r="228" ht="13.5" customHeight="1" s="1232">
      <c r="A228" s="1348" t="n">
        <v>44831</v>
      </c>
      <c r="B228" s="1349" t="inlineStr">
        <is>
          <t>Dana Davis</t>
        </is>
      </c>
      <c r="C228" s="1350" t="inlineStr">
        <is>
          <t>11. Other</t>
        </is>
      </c>
      <c r="D228" s="1349" t="inlineStr">
        <is>
          <t>Stripe</t>
        </is>
      </c>
      <c r="E228" s="1351" t="n">
        <v>37</v>
      </c>
      <c r="F228" s="1349" t="inlineStr">
        <is>
          <t>Viewing Cards</t>
        </is>
      </c>
      <c r="G228" s="1349" t="inlineStr">
        <is>
          <t>Google</t>
        </is>
      </c>
    </row>
    <row r="229" ht="13.5" customHeight="1" s="1232">
      <c r="A229" s="1348" t="n">
        <v>44831</v>
      </c>
      <c r="B229" s="1349" t="inlineStr">
        <is>
          <t>Victor Swainson</t>
        </is>
      </c>
      <c r="C229" s="1350" t="inlineStr">
        <is>
          <t>11. Other</t>
        </is>
      </c>
      <c r="D229" s="1349" t="inlineStr">
        <is>
          <t>Stripe</t>
        </is>
      </c>
      <c r="E229" s="1351" t="n">
        <v>2</v>
      </c>
      <c r="F229" s="1349" t="inlineStr">
        <is>
          <t>Pocket Guide</t>
        </is>
      </c>
      <c r="G229" s="1349" t="inlineStr">
        <is>
          <t>Google</t>
        </is>
      </c>
    </row>
    <row r="230" ht="13.5" customHeight="1" s="1232">
      <c r="A230" s="1348" t="n">
        <v>44831</v>
      </c>
      <c r="B230" s="1349" t="inlineStr">
        <is>
          <t>Margit Claudia Dr. Dr. Kollenda</t>
        </is>
      </c>
      <c r="C230" s="1350" t="inlineStr">
        <is>
          <t>2. Workshops</t>
        </is>
      </c>
      <c r="D230" s="1349" t="inlineStr">
        <is>
          <t>PayPal</t>
        </is>
      </c>
      <c r="E230" s="1351" t="n">
        <v>150</v>
      </c>
      <c r="F230" s="1349" t="inlineStr">
        <is>
          <t>Lake District Nov</t>
        </is>
      </c>
      <c r="G230" s="1349" t="inlineStr">
        <is>
          <t>Existing</t>
        </is>
      </c>
    </row>
    <row r="231" ht="13.5" customHeight="1" s="1232">
      <c r="A231" s="1348" t="n">
        <v>44831</v>
      </c>
      <c r="B231" s="1349" t="inlineStr">
        <is>
          <t>Artfully Walls</t>
        </is>
      </c>
      <c r="C231" s="1350" t="inlineStr">
        <is>
          <t>9. Prints &amp; Royalties</t>
        </is>
      </c>
      <c r="D231" s="1349" t="inlineStr">
        <is>
          <t>PayPal</t>
        </is>
      </c>
      <c r="E231" s="1351" t="n">
        <v>28.14</v>
      </c>
      <c r="F231" s="1349" t="inlineStr">
        <is>
          <t>Print Sale</t>
        </is>
      </c>
      <c r="G231" s="1349" t="inlineStr">
        <is>
          <t>Artfully Walls</t>
        </is>
      </c>
    </row>
    <row r="232" ht="13.5" customHeight="1" s="1232">
      <c r="A232" s="1348" t="n">
        <v>44828</v>
      </c>
      <c r="B232" s="1349" t="inlineStr">
        <is>
          <t>Chris Geary</t>
        </is>
      </c>
      <c r="C232" s="1350" t="inlineStr">
        <is>
          <t>7. Gift Vouchers Inc</t>
        </is>
      </c>
      <c r="D232" s="1349" t="inlineStr">
        <is>
          <t>Stripe</t>
        </is>
      </c>
      <c r="E232" s="1351" t="n">
        <v>150</v>
      </c>
      <c r="F232" s="1349" t="inlineStr">
        <is>
          <t>Digital Gift Card</t>
        </is>
      </c>
      <c r="G232" s="1349" t="inlineStr">
        <is>
          <t>Google</t>
        </is>
      </c>
    </row>
    <row r="233" ht="13.5" customHeight="1" s="1232">
      <c r="A233" s="1348" t="n">
        <v>44828</v>
      </c>
      <c r="B233" s="1349" t="inlineStr">
        <is>
          <t>Katie Warmington</t>
        </is>
      </c>
      <c r="C233" s="1350" t="inlineStr">
        <is>
          <t>2. Workshops</t>
        </is>
      </c>
      <c r="D233" s="1349" t="inlineStr">
        <is>
          <t>Stripe</t>
        </is>
      </c>
      <c r="E233" s="1351" t="n">
        <v>99</v>
      </c>
      <c r="F233" s="1349" t="inlineStr">
        <is>
          <t>Batsford</t>
        </is>
      </c>
      <c r="G233" s="1349" t="inlineStr">
        <is>
          <t>Google</t>
        </is>
      </c>
    </row>
    <row r="234" ht="13.5" customHeight="1" s="1232">
      <c r="A234" s="1348" t="n">
        <v>44824</v>
      </c>
      <c r="B234" s="1349" t="inlineStr">
        <is>
          <t>Call of the page</t>
        </is>
      </c>
      <c r="C234" s="1350" t="inlineStr">
        <is>
          <t>10 Commissions</t>
        </is>
      </c>
      <c r="D234" s="1349" t="inlineStr">
        <is>
          <t>Bank</t>
        </is>
      </c>
      <c r="E234" s="1351" t="n">
        <v>600</v>
      </c>
      <c r="F234" s="1349" t="inlineStr">
        <is>
          <t>Feedback</t>
        </is>
      </c>
      <c r="G234" s="1349" t="inlineStr">
        <is>
          <t>Existing</t>
        </is>
      </c>
    </row>
    <row r="235" ht="13.5" customHeight="1" s="1232">
      <c r="A235" s="1348" t="n">
        <v>44823</v>
      </c>
      <c r="B235" s="1349" t="inlineStr">
        <is>
          <t>Elliot Moore</t>
        </is>
      </c>
      <c r="C235" s="1350" t="inlineStr">
        <is>
          <t>2. Workshops</t>
        </is>
      </c>
      <c r="D235" s="1349" t="inlineStr">
        <is>
          <t>Gift Voucher Out</t>
        </is>
      </c>
      <c r="E235" s="1351" t="n">
        <v>50</v>
      </c>
      <c r="F235" s="1349" t="inlineStr">
        <is>
          <t>Peak District</t>
        </is>
      </c>
      <c r="G235" s="1349" t="inlineStr">
        <is>
          <t>Existing</t>
        </is>
      </c>
    </row>
    <row r="236" ht="13.5" customHeight="1" s="1232">
      <c r="A236" s="1348" t="n">
        <v>44823</v>
      </c>
      <c r="B236" s="1349" t="inlineStr">
        <is>
          <t>Elliot Moore</t>
        </is>
      </c>
      <c r="C236" s="1350" t="inlineStr">
        <is>
          <t>8. Gift Vouchers Out</t>
        </is>
      </c>
      <c r="D236" s="1349" t="inlineStr">
        <is>
          <t>Gift Voucher Out</t>
        </is>
      </c>
      <c r="E236" s="1351" t="n">
        <v>-50</v>
      </c>
      <c r="F236" s="1349" t="inlineStr">
        <is>
          <t>Peak District</t>
        </is>
      </c>
      <c r="G236" s="1349" t="inlineStr">
        <is>
          <t>Existing</t>
        </is>
      </c>
    </row>
    <row r="237" ht="13.5" customHeight="1" s="1232">
      <c r="A237" s="1348" t="n">
        <v>44823</v>
      </c>
      <c r="B237" s="1349" t="inlineStr">
        <is>
          <t>Elliot Moore</t>
        </is>
      </c>
      <c r="C237" s="1350" t="inlineStr">
        <is>
          <t>2. Workshops</t>
        </is>
      </c>
      <c r="D237" s="1349" t="inlineStr">
        <is>
          <t>Stripe</t>
        </is>
      </c>
      <c r="E237" s="1351" t="n">
        <v>45</v>
      </c>
      <c r="F237" s="1349" t="inlineStr">
        <is>
          <t>Peak District</t>
        </is>
      </c>
      <c r="G237" s="1349" t="inlineStr">
        <is>
          <t>Existing</t>
        </is>
      </c>
    </row>
    <row r="238" ht="13.5" customHeight="1" s="1232">
      <c r="A238" s="1348" t="n">
        <v>44823</v>
      </c>
      <c r="B238" s="1349" t="inlineStr">
        <is>
          <t>Margit Claudia Dr. Dr. Kollenda</t>
        </is>
      </c>
      <c r="C238" s="1350" t="inlineStr">
        <is>
          <t>2. Workshops</t>
        </is>
      </c>
      <c r="D238" s="1349" t="inlineStr">
        <is>
          <t>PayPal</t>
        </is>
      </c>
      <c r="E238" s="1351" t="n">
        <v>825</v>
      </c>
      <c r="F238" s="1349" t="inlineStr">
        <is>
          <t>Lake District Nov</t>
        </is>
      </c>
      <c r="G238" s="1349" t="inlineStr">
        <is>
          <t>Google</t>
        </is>
      </c>
    </row>
    <row r="239" ht="13.5" customHeight="1" s="1232">
      <c r="A239" s="1348" t="n">
        <v>44822</v>
      </c>
      <c r="B239" s="1349" t="inlineStr">
        <is>
          <t>Alan Davies</t>
        </is>
      </c>
      <c r="C239" s="1350" t="inlineStr">
        <is>
          <t>1. Courses/masterclasses</t>
        </is>
      </c>
      <c r="D239" s="1349" t="inlineStr">
        <is>
          <t>PayPal</t>
        </is>
      </c>
      <c r="E239" s="1351" t="n">
        <v>60</v>
      </c>
      <c r="F239" s="1349" t="inlineStr">
        <is>
          <t>Get Off Auto</t>
        </is>
      </c>
      <c r="G239" s="1349" t="inlineStr">
        <is>
          <t>Existing</t>
        </is>
      </c>
    </row>
    <row r="240" ht="13.5" customHeight="1" s="1232">
      <c r="A240" s="1348" t="n">
        <v>44820</v>
      </c>
      <c r="B240" s="1349" t="inlineStr">
        <is>
          <t>Pablo Quintario</t>
        </is>
      </c>
      <c r="C240" s="1350" t="inlineStr">
        <is>
          <t>2. Workshops</t>
        </is>
      </c>
      <c r="D240" s="1349" t="inlineStr">
        <is>
          <t>Stripe</t>
        </is>
      </c>
      <c r="E240" s="1351" t="n">
        <v>65</v>
      </c>
      <c r="F240" s="1349" t="inlineStr">
        <is>
          <t xml:space="preserve">Macro </t>
        </is>
      </c>
      <c r="G240" s="1349" t="inlineStr">
        <is>
          <t>Facebook</t>
        </is>
      </c>
    </row>
    <row r="241" ht="13.5" customHeight="1" s="1232">
      <c r="A241" s="1348" t="n">
        <v>44820</v>
      </c>
      <c r="B241" s="1349" t="inlineStr">
        <is>
          <t>Andy Henderson</t>
        </is>
      </c>
      <c r="C241" s="1350" t="inlineStr">
        <is>
          <t>2. Workshops</t>
        </is>
      </c>
      <c r="D241" s="1349" t="inlineStr">
        <is>
          <t>Stripe</t>
        </is>
      </c>
      <c r="E241" s="1351" t="n">
        <v>150</v>
      </c>
      <c r="F241" s="1349" t="inlineStr">
        <is>
          <t>Batsford</t>
        </is>
      </c>
      <c r="G241" s="1349" t="inlineStr">
        <is>
          <t>Google</t>
        </is>
      </c>
    </row>
    <row r="242" ht="13.5" customHeight="1" s="1232">
      <c r="A242" s="1348" t="n">
        <v>44820</v>
      </c>
      <c r="B242" s="1349" t="inlineStr">
        <is>
          <t>Steven Desrocher</t>
        </is>
      </c>
      <c r="C242" s="1350" t="inlineStr">
        <is>
          <t>11. Other</t>
        </is>
      </c>
      <c r="D242" s="1349" t="inlineStr">
        <is>
          <t>PayPal</t>
        </is>
      </c>
      <c r="E242" s="1351" t="n">
        <v>21</v>
      </c>
      <c r="F242" s="1349" t="inlineStr">
        <is>
          <t>Viewing Cards</t>
        </is>
      </c>
      <c r="G242" s="1349" t="inlineStr">
        <is>
          <t>Google</t>
        </is>
      </c>
    </row>
    <row r="243" ht="13.5" customHeight="1" s="1232">
      <c r="A243" s="1348" t="n">
        <v>44817</v>
      </c>
      <c r="B243" s="1349" t="inlineStr">
        <is>
          <t>David Andringa</t>
        </is>
      </c>
      <c r="C243" s="1350" t="inlineStr">
        <is>
          <t>2. Workshops</t>
        </is>
      </c>
      <c r="D243" s="1349" t="inlineStr">
        <is>
          <t>PicknMix</t>
        </is>
      </c>
      <c r="E243" s="1351" t="n">
        <v>135</v>
      </c>
      <c r="F243" s="1349" t="inlineStr">
        <is>
          <t>Peak District</t>
        </is>
      </c>
      <c r="G243" s="1349" t="inlineStr">
        <is>
          <t>Existing</t>
        </is>
      </c>
    </row>
    <row r="244" ht="13.5" customHeight="1" s="1232">
      <c r="A244" s="1348" t="n">
        <v>44817</v>
      </c>
      <c r="B244" s="1349" t="inlineStr">
        <is>
          <t>David Andringa</t>
        </is>
      </c>
      <c r="C244" s="1350" t="inlineStr">
        <is>
          <t>4. Pick n Mix Out</t>
        </is>
      </c>
      <c r="D244" s="1349" t="inlineStr">
        <is>
          <t>PicknMix</t>
        </is>
      </c>
      <c r="E244" s="1351" t="n">
        <v>-135</v>
      </c>
      <c r="F244" s="1349" t="inlineStr">
        <is>
          <t>Peak District</t>
        </is>
      </c>
      <c r="G244" s="1349" t="inlineStr">
        <is>
          <t>Existing</t>
        </is>
      </c>
    </row>
    <row r="245" ht="13.5" customHeight="1" s="1232">
      <c r="A245" s="1348" t="n">
        <v>44809</v>
      </c>
      <c r="B245" s="1349" t="inlineStr">
        <is>
          <t>Moira Townsend</t>
        </is>
      </c>
      <c r="C245" s="1350" t="inlineStr">
        <is>
          <t>2. Workshops</t>
        </is>
      </c>
      <c r="D245" s="1349" t="inlineStr">
        <is>
          <t>PayPal</t>
        </is>
      </c>
      <c r="E245" s="1351" t="n">
        <v>575</v>
      </c>
      <c r="F245" s="1349" t="inlineStr">
        <is>
          <t>Dorset</t>
        </is>
      </c>
      <c r="G245" s="1349" t="inlineStr">
        <is>
          <t>Google</t>
        </is>
      </c>
    </row>
    <row r="246" ht="13.5" customHeight="1" s="1232">
      <c r="A246" s="1348" t="n">
        <v>44807</v>
      </c>
      <c r="B246" s="1349" t="inlineStr">
        <is>
          <t>Steve Moffitt</t>
        </is>
      </c>
      <c r="C246" s="1350" t="inlineStr">
        <is>
          <t>1. Courses/masterclasses</t>
        </is>
      </c>
      <c r="D246" s="1349" t="inlineStr">
        <is>
          <t>Stripe</t>
        </is>
      </c>
      <c r="E246" s="1351" t="n">
        <v>212.5</v>
      </c>
      <c r="F246" s="1349" t="inlineStr">
        <is>
          <t>Beginners Course</t>
        </is>
      </c>
      <c r="G246" s="1349" t="inlineStr">
        <is>
          <t>Existing</t>
        </is>
      </c>
    </row>
    <row r="247" ht="13.5" customHeight="1" s="1232">
      <c r="A247" s="1348" t="n">
        <v>44807</v>
      </c>
      <c r="B247" s="1349" t="inlineStr">
        <is>
          <t>Artfully Walls</t>
        </is>
      </c>
      <c r="C247" s="1350" t="inlineStr">
        <is>
          <t>9. Prints &amp; Royalties</t>
        </is>
      </c>
      <c r="D247" s="1349" t="inlineStr">
        <is>
          <t>PayPal</t>
        </is>
      </c>
      <c r="E247" s="1351" t="n">
        <v>81.17</v>
      </c>
      <c r="F247" s="1349" t="inlineStr">
        <is>
          <t>Print Sale</t>
        </is>
      </c>
      <c r="G247" s="1349" t="inlineStr">
        <is>
          <t>Artfully Walls</t>
        </is>
      </c>
    </row>
    <row r="248" ht="13.5" customHeight="1" s="1232">
      <c r="A248" s="1348" t="n">
        <v>44806</v>
      </c>
      <c r="B248" s="1349" t="inlineStr">
        <is>
          <t>Spencer Stephens</t>
        </is>
      </c>
      <c r="C248" s="1350" t="inlineStr">
        <is>
          <t>1. Courses/masterclasses</t>
        </is>
      </c>
      <c r="D248" s="1349" t="inlineStr">
        <is>
          <t>Stripe</t>
        </is>
      </c>
      <c r="E248" s="1351" t="n">
        <v>30</v>
      </c>
      <c r="F248" s="1349" t="inlineStr">
        <is>
          <t>Get Off Auto</t>
        </is>
      </c>
      <c r="G248" s="1349" t="inlineStr">
        <is>
          <t>Google</t>
        </is>
      </c>
    </row>
    <row r="249" ht="13.5" customHeight="1" s="1232">
      <c r="A249" s="1348" t="n">
        <v>44805</v>
      </c>
      <c r="B249" s="1349" t="inlineStr">
        <is>
          <t>Alistair Willis</t>
        </is>
      </c>
      <c r="C249" s="1350" t="inlineStr">
        <is>
          <t>1. Courses/masterclasses</t>
        </is>
      </c>
      <c r="D249" s="1349" t="inlineStr">
        <is>
          <t>PayPal</t>
        </is>
      </c>
      <c r="E249" s="1351" t="n">
        <v>318.75</v>
      </c>
      <c r="F249" s="1349" t="inlineStr">
        <is>
          <t>RPS</t>
        </is>
      </c>
      <c r="G249" s="1349" t="inlineStr">
        <is>
          <t>Existing</t>
        </is>
      </c>
    </row>
    <row r="250" ht="13.5" customHeight="1" s="1232">
      <c r="A250" s="1348" t="n">
        <v>44805</v>
      </c>
      <c r="B250" s="1349" t="inlineStr">
        <is>
          <t>Norman Pillow</t>
        </is>
      </c>
      <c r="C250" s="1350" t="inlineStr">
        <is>
          <t>2. Workshops</t>
        </is>
      </c>
      <c r="D250" s="1349" t="inlineStr">
        <is>
          <t>Stripe</t>
        </is>
      </c>
      <c r="E250" s="1351" t="n">
        <v>198</v>
      </c>
      <c r="F250" s="1349" t="inlineStr">
        <is>
          <t>Batsford</t>
        </is>
      </c>
      <c r="G250" s="1349" t="inlineStr">
        <is>
          <t>Google</t>
        </is>
      </c>
    </row>
    <row r="251" ht="13.5" customHeight="1" s="1232">
      <c r="A251" s="1348" t="n">
        <v>44805</v>
      </c>
      <c r="B251" s="1349" t="inlineStr">
        <is>
          <t>Pick n Mix Subs</t>
        </is>
      </c>
      <c r="C251" s="1350" t="inlineStr">
        <is>
          <t>3. Pick n Mix Inc</t>
        </is>
      </c>
      <c r="D251" s="1349" t="inlineStr">
        <is>
          <t>Various</t>
        </is>
      </c>
      <c r="E251" s="1351" t="n">
        <v>150</v>
      </c>
      <c r="F251" s="1349" t="inlineStr">
        <is>
          <t>Pick N Mix Payments</t>
        </is>
      </c>
      <c r="G251" s="1349" t="inlineStr">
        <is>
          <t>Existing</t>
        </is>
      </c>
    </row>
    <row r="252" ht="13.5" customHeight="1" s="1232">
      <c r="A252" s="1348" t="n">
        <v>44805</v>
      </c>
      <c r="B252" s="1349" t="inlineStr">
        <is>
          <t>Mentoring Subs</t>
        </is>
      </c>
      <c r="C252" s="1350" t="inlineStr">
        <is>
          <t>5. Mentoring</t>
        </is>
      </c>
      <c r="D252" s="1349" t="inlineStr">
        <is>
          <t>Various</t>
        </is>
      </c>
      <c r="E252" s="1351" t="n">
        <v>60</v>
      </c>
      <c r="F252" s="1349" t="inlineStr">
        <is>
          <t>Mentoring Subs</t>
        </is>
      </c>
      <c r="G252" s="1349" t="inlineStr">
        <is>
          <t>Existing</t>
        </is>
      </c>
    </row>
    <row r="253" ht="13.5" customHeight="1" s="1232">
      <c r="A253" s="1348" t="n"/>
      <c r="B253" s="1349" t="n"/>
      <c r="C253" s="1350" t="n"/>
      <c r="D253" s="1349" t="n"/>
      <c r="E253" s="1351" t="n"/>
      <c r="F253" s="1349" t="n"/>
      <c r="G253" s="1349" t="n"/>
    </row>
    <row r="254" ht="13.5" customHeight="1" s="1232">
      <c r="A254" s="1348" t="n">
        <v>44804</v>
      </c>
      <c r="B254" s="1349" t="inlineStr">
        <is>
          <t>Charlotte Neeves</t>
        </is>
      </c>
      <c r="C254" s="1350" t="inlineStr">
        <is>
          <t>1. Courses/masterclasses</t>
        </is>
      </c>
      <c r="D254" s="1349" t="inlineStr">
        <is>
          <t>Stripe</t>
        </is>
      </c>
      <c r="E254" s="1351" t="n">
        <v>212.5</v>
      </c>
      <c r="F254" s="1349" t="inlineStr">
        <is>
          <t>Beginners Course</t>
        </is>
      </c>
      <c r="G254" s="1349" t="inlineStr">
        <is>
          <t>Google</t>
        </is>
      </c>
    </row>
    <row r="255" ht="13.5" customHeight="1" s="1232">
      <c r="A255" s="1348" t="n">
        <v>44802</v>
      </c>
      <c r="B255" s="1349" t="inlineStr">
        <is>
          <t>Laurence John</t>
        </is>
      </c>
      <c r="C255" s="1350" t="inlineStr">
        <is>
          <t>2. Workshops</t>
        </is>
      </c>
      <c r="D255" s="1349" t="inlineStr">
        <is>
          <t>PayPal</t>
        </is>
      </c>
      <c r="E255" s="1351" t="n">
        <v>150</v>
      </c>
      <c r="F255" s="1349" t="inlineStr">
        <is>
          <t>Batsford</t>
        </is>
      </c>
      <c r="G255" s="1349" t="inlineStr">
        <is>
          <t>Referral</t>
        </is>
      </c>
    </row>
    <row r="256" ht="13.5" customHeight="1" s="1232">
      <c r="A256" s="1348" t="n">
        <v>44802</v>
      </c>
      <c r="B256" s="1349" t="inlineStr">
        <is>
          <t>David Pitt</t>
        </is>
      </c>
      <c r="C256" s="1350" t="inlineStr">
        <is>
          <t>2. Workshops</t>
        </is>
      </c>
      <c r="D256" s="1349" t="inlineStr">
        <is>
          <t>PayPal</t>
        </is>
      </c>
      <c r="E256" s="1351" t="n">
        <v>84.15000000000001</v>
      </c>
      <c r="F256" s="1349" t="inlineStr">
        <is>
          <t>Batsford</t>
        </is>
      </c>
      <c r="G256" s="1349" t="inlineStr">
        <is>
          <t>Existing</t>
        </is>
      </c>
    </row>
    <row r="257" ht="13.5" customHeight="1" s="1232">
      <c r="A257" s="1348" t="n">
        <v>44802</v>
      </c>
      <c r="B257" s="1349" t="inlineStr">
        <is>
          <t>David Pitt</t>
        </is>
      </c>
      <c r="C257" s="1350" t="inlineStr">
        <is>
          <t>2. Workshops</t>
        </is>
      </c>
      <c r="D257" s="1349" t="inlineStr">
        <is>
          <t>PayPal</t>
        </is>
      </c>
      <c r="E257" s="1351" t="n">
        <v>55.25</v>
      </c>
      <c r="F257" s="1349" t="inlineStr">
        <is>
          <t>Macro &amp; Abstract</t>
        </is>
      </c>
      <c r="G257" s="1349" t="inlineStr">
        <is>
          <t>Existing</t>
        </is>
      </c>
    </row>
    <row r="258" ht="13.5" customHeight="1" s="1232">
      <c r="A258" s="1348" t="n">
        <v>44801</v>
      </c>
      <c r="B258" s="1349" t="inlineStr">
        <is>
          <t>David Pitt</t>
        </is>
      </c>
      <c r="C258" s="1350" t="inlineStr">
        <is>
          <t>2. Workshops</t>
        </is>
      </c>
      <c r="D258" s="1349" t="inlineStr">
        <is>
          <t>PayPal</t>
        </is>
      </c>
      <c r="E258" s="1351" t="n">
        <v>10.2</v>
      </c>
      <c r="F258" s="1349" t="inlineStr">
        <is>
          <t>Woodland Walk</t>
        </is>
      </c>
      <c r="G258" s="1349" t="inlineStr">
        <is>
          <t>Existing</t>
        </is>
      </c>
    </row>
    <row r="259" ht="13.5" customHeight="1" s="1232">
      <c r="A259" s="1348" t="n">
        <v>44800</v>
      </c>
      <c r="B259" s="1349" t="inlineStr">
        <is>
          <t>Linda Newbery</t>
        </is>
      </c>
      <c r="C259" s="1350" t="inlineStr">
        <is>
          <t>2. Workshops</t>
        </is>
      </c>
      <c r="D259" s="1349" t="inlineStr">
        <is>
          <t>Stripe</t>
        </is>
      </c>
      <c r="E259" s="1351" t="n">
        <v>55.25</v>
      </c>
      <c r="F259" s="1349" t="inlineStr">
        <is>
          <t>Christmas Sparkle</t>
        </is>
      </c>
      <c r="G259" s="1349" t="inlineStr">
        <is>
          <t>Existing</t>
        </is>
      </c>
    </row>
    <row r="260" ht="13.5" customHeight="1" s="1232">
      <c r="A260" s="1348" t="n">
        <v>44800</v>
      </c>
      <c r="B260" s="1349" t="inlineStr">
        <is>
          <t>Parvina Dean</t>
        </is>
      </c>
      <c r="C260" s="1350" t="inlineStr">
        <is>
          <t>2. Workshops</t>
        </is>
      </c>
      <c r="D260" s="1349" t="inlineStr">
        <is>
          <t>Stripe</t>
        </is>
      </c>
      <c r="E260" s="1351" t="n">
        <v>12</v>
      </c>
      <c r="F260" s="1349" t="inlineStr">
        <is>
          <t>Woodland Walk</t>
        </is>
      </c>
      <c r="G260" s="1349" t="inlineStr">
        <is>
          <t>Google</t>
        </is>
      </c>
    </row>
    <row r="261" ht="13.5" customHeight="1" s="1232">
      <c r="A261" s="1348" t="n">
        <v>44798</v>
      </c>
      <c r="B261" s="1349" t="inlineStr">
        <is>
          <t>Rick Budai</t>
        </is>
      </c>
      <c r="C261" s="1350" t="inlineStr">
        <is>
          <t>11. Other</t>
        </is>
      </c>
      <c r="D261" s="1349" t="inlineStr">
        <is>
          <t>Stripe</t>
        </is>
      </c>
      <c r="E261" s="1351" t="n">
        <v>21</v>
      </c>
      <c r="F261" s="1349" t="inlineStr">
        <is>
          <t>Viewing Cards</t>
        </is>
      </c>
      <c r="G261" s="1349" t="inlineStr">
        <is>
          <t>Google</t>
        </is>
      </c>
    </row>
    <row r="262" ht="13.5" customHeight="1" s="1232">
      <c r="A262" s="1348" t="n">
        <v>44798</v>
      </c>
      <c r="B262" s="1349" t="inlineStr">
        <is>
          <t>Peter Hagger</t>
        </is>
      </c>
      <c r="C262" s="1350" t="inlineStr">
        <is>
          <t>6. 1-2-1</t>
        </is>
      </c>
      <c r="D262" s="1349" t="inlineStr">
        <is>
          <t>Bank</t>
        </is>
      </c>
      <c r="E262" s="1351" t="n">
        <v>100</v>
      </c>
      <c r="F262" s="1349" t="inlineStr">
        <is>
          <t>RPS Support</t>
        </is>
      </c>
      <c r="G262" s="1349" t="inlineStr">
        <is>
          <t>Existing</t>
        </is>
      </c>
    </row>
    <row r="263" ht="13.5" customHeight="1" s="1232">
      <c r="A263" s="1348" t="n">
        <v>44798</v>
      </c>
      <c r="B263" s="1349" t="inlineStr">
        <is>
          <t>Chris Brown</t>
        </is>
      </c>
      <c r="C263" s="1350" t="inlineStr">
        <is>
          <t>6. 1-2-1</t>
        </is>
      </c>
      <c r="D263" s="1349" t="inlineStr">
        <is>
          <t>Stripe</t>
        </is>
      </c>
      <c r="E263" s="1351" t="n">
        <v>120</v>
      </c>
      <c r="F263" s="1349" t="inlineStr">
        <is>
          <t>2hr 1-2-1</t>
        </is>
      </c>
      <c r="G263" s="1349" t="inlineStr">
        <is>
          <t>Google</t>
        </is>
      </c>
    </row>
    <row r="264" ht="13.5" customHeight="1" s="1232">
      <c r="A264" s="1348" t="n">
        <v>44796</v>
      </c>
      <c r="B264" s="1349" t="inlineStr">
        <is>
          <t>Dan Gordon</t>
        </is>
      </c>
      <c r="C264" s="1350" t="inlineStr">
        <is>
          <t>2. Workshops</t>
        </is>
      </c>
      <c r="D264" s="1349" t="inlineStr">
        <is>
          <t>Stripe</t>
        </is>
      </c>
      <c r="E264" s="1351" t="n">
        <v>150</v>
      </c>
      <c r="F264" s="1349" t="inlineStr">
        <is>
          <t>Batsford</t>
        </is>
      </c>
      <c r="G264" s="1349" t="inlineStr">
        <is>
          <t>Google</t>
        </is>
      </c>
    </row>
    <row r="265" ht="13.5" customHeight="1" s="1232">
      <c r="A265" s="1348" t="n">
        <v>44796</v>
      </c>
      <c r="B265" s="1349" t="inlineStr">
        <is>
          <t>Michaela Darby</t>
        </is>
      </c>
      <c r="C265" s="1350" t="inlineStr">
        <is>
          <t>7. Gift Vouchers Inc</t>
        </is>
      </c>
      <c r="D265" s="1349" t="inlineStr">
        <is>
          <t>PayPal</t>
        </is>
      </c>
      <c r="E265" s="1351" t="n">
        <v>125</v>
      </c>
      <c r="F265" s="1349" t="inlineStr">
        <is>
          <t>Digital Gift Card</t>
        </is>
      </c>
      <c r="G265" s="1349" t="inlineStr">
        <is>
          <t>Google</t>
        </is>
      </c>
    </row>
    <row r="266" ht="13.5" customHeight="1" s="1232">
      <c r="A266" s="1348" t="n">
        <v>44795</v>
      </c>
      <c r="B266" s="1349" t="inlineStr">
        <is>
          <t>Joanne Galloway</t>
        </is>
      </c>
      <c r="C266" s="1350" t="inlineStr">
        <is>
          <t>1. Courses/masterclasses</t>
        </is>
      </c>
      <c r="D266" s="1349" t="inlineStr">
        <is>
          <t>Stripe</t>
        </is>
      </c>
      <c r="E266" s="1351" t="n">
        <v>175</v>
      </c>
      <c r="F266" s="1349" t="inlineStr">
        <is>
          <t>Beginners Course</t>
        </is>
      </c>
      <c r="G266" s="1349" t="inlineStr">
        <is>
          <t>Google</t>
        </is>
      </c>
    </row>
    <row r="267" ht="13.5" customHeight="1" s="1232">
      <c r="A267" s="1348" t="n">
        <v>44795</v>
      </c>
      <c r="B267" s="1349" t="inlineStr">
        <is>
          <t>Joanne Galloway</t>
        </is>
      </c>
      <c r="C267" s="1350" t="inlineStr">
        <is>
          <t>1. Courses/masterclasses</t>
        </is>
      </c>
      <c r="D267" s="1349" t="inlineStr">
        <is>
          <t>Gift Voucher Out</t>
        </is>
      </c>
      <c r="E267" s="1351" t="n">
        <v>75</v>
      </c>
      <c r="F267" s="1349" t="inlineStr">
        <is>
          <t>Beginners Course</t>
        </is>
      </c>
      <c r="G267" s="1349" t="inlineStr">
        <is>
          <t>Google</t>
        </is>
      </c>
    </row>
    <row r="268" ht="13.5" customHeight="1" s="1232">
      <c r="A268" s="1348" t="n">
        <v>44795</v>
      </c>
      <c r="B268" s="1349" t="inlineStr">
        <is>
          <t>Joanne Galloway</t>
        </is>
      </c>
      <c r="C268" s="1350" t="inlineStr">
        <is>
          <t>8. Gift Vouchers Out</t>
        </is>
      </c>
      <c r="D268" s="1349" t="inlineStr">
        <is>
          <t>Gift Voucher Out</t>
        </is>
      </c>
      <c r="E268" s="1351" t="n">
        <v>-75</v>
      </c>
      <c r="F268" s="1349" t="inlineStr">
        <is>
          <t>Beginners Course</t>
        </is>
      </c>
      <c r="G268" s="1349" t="inlineStr">
        <is>
          <t>Google</t>
        </is>
      </c>
    </row>
    <row r="269" ht="13.5" customHeight="1" s="1232">
      <c r="A269" s="1348" t="n">
        <v>44792</v>
      </c>
      <c r="B269" s="1349" t="inlineStr">
        <is>
          <t>Avi Garg</t>
        </is>
      </c>
      <c r="C269" s="1350" t="inlineStr">
        <is>
          <t>11. Other</t>
        </is>
      </c>
      <c r="D269" s="1349" t="inlineStr">
        <is>
          <t>PayPal</t>
        </is>
      </c>
      <c r="E269" s="1351" t="n">
        <v>21</v>
      </c>
      <c r="F269" s="1349" t="inlineStr">
        <is>
          <t>Viewing Cards</t>
        </is>
      </c>
      <c r="G269" s="1349" t="inlineStr">
        <is>
          <t>Google</t>
        </is>
      </c>
    </row>
    <row r="270" ht="13.5" customHeight="1" s="1232">
      <c r="A270" s="1348" t="n">
        <v>44795</v>
      </c>
      <c r="B270" s="1349" t="inlineStr">
        <is>
          <t>Ian Blake</t>
        </is>
      </c>
      <c r="C270" s="1350" t="inlineStr">
        <is>
          <t>2. Workshops</t>
        </is>
      </c>
      <c r="D270" s="1349" t="inlineStr">
        <is>
          <t>Bank</t>
        </is>
      </c>
      <c r="E270" s="1351" t="n">
        <v>575</v>
      </c>
      <c r="F270" s="1349" t="inlineStr">
        <is>
          <t>Suffolk Workshop</t>
        </is>
      </c>
      <c r="G270" s="1349" t="inlineStr">
        <is>
          <t>Existing</t>
        </is>
      </c>
    </row>
    <row r="271" ht="13.5" customHeight="1" s="1232">
      <c r="A271" s="1348" t="n">
        <v>44787</v>
      </c>
      <c r="B271" s="1349" t="inlineStr">
        <is>
          <t>Andrew Lumley</t>
        </is>
      </c>
      <c r="C271" s="1350" t="inlineStr">
        <is>
          <t>2. Workshops</t>
        </is>
      </c>
      <c r="D271" s="1349" t="inlineStr">
        <is>
          <t>Stripe</t>
        </is>
      </c>
      <c r="E271" s="1351" t="n">
        <v>250</v>
      </c>
      <c r="F271" s="1349" t="inlineStr">
        <is>
          <t>Beginners Course</t>
        </is>
      </c>
      <c r="G271" s="1349" t="inlineStr">
        <is>
          <t>Google</t>
        </is>
      </c>
    </row>
    <row r="272" ht="13.5" customHeight="1" s="1232">
      <c r="A272" s="1348" t="n">
        <v>44787</v>
      </c>
      <c r="B272" s="1349" t="inlineStr">
        <is>
          <t>Les Page</t>
        </is>
      </c>
      <c r="C272" s="1350" t="inlineStr">
        <is>
          <t>2. Workshops</t>
        </is>
      </c>
      <c r="D272" s="1349" t="inlineStr">
        <is>
          <t>Stripe</t>
        </is>
      </c>
      <c r="E272" s="1351" t="n">
        <v>75</v>
      </c>
      <c r="F272" s="1349" t="inlineStr">
        <is>
          <t>Heathers</t>
        </is>
      </c>
      <c r="G272" s="1349" t="inlineStr">
        <is>
          <t>Existing</t>
        </is>
      </c>
    </row>
    <row r="273" ht="13.5" customHeight="1" s="1232">
      <c r="A273" s="1348" t="n">
        <v>44776</v>
      </c>
      <c r="B273" s="1349" t="inlineStr">
        <is>
          <t>laura gosling</t>
        </is>
      </c>
      <c r="C273" s="1350" t="inlineStr">
        <is>
          <t>2. Workshops</t>
        </is>
      </c>
      <c r="D273" s="1349" t="inlineStr">
        <is>
          <t>PayPal</t>
        </is>
      </c>
      <c r="E273" s="1351" t="n">
        <v>150</v>
      </c>
      <c r="F273" s="1349" t="inlineStr">
        <is>
          <t>Batsford</t>
        </is>
      </c>
      <c r="G273" s="1349" t="inlineStr">
        <is>
          <t>Existing</t>
        </is>
      </c>
    </row>
    <row r="274" ht="13.5" customHeight="1" s="1232">
      <c r="A274" s="1348" t="n">
        <v>44776</v>
      </c>
      <c r="B274" s="1349" t="inlineStr">
        <is>
          <t>laura gosling</t>
        </is>
      </c>
      <c r="C274" s="1350" t="inlineStr">
        <is>
          <t>2. Workshops</t>
        </is>
      </c>
      <c r="D274" s="1349" t="inlineStr">
        <is>
          <t>PayPal</t>
        </is>
      </c>
      <c r="E274" s="1351" t="n">
        <v>95</v>
      </c>
      <c r="F274" s="1349" t="inlineStr">
        <is>
          <t>Peak District</t>
        </is>
      </c>
      <c r="G274" s="1349" t="inlineStr">
        <is>
          <t>Existing</t>
        </is>
      </c>
    </row>
    <row r="275" ht="13.5" customHeight="1" s="1232">
      <c r="A275" s="1348" t="n">
        <v>44774</v>
      </c>
      <c r="B275" s="1349" t="inlineStr">
        <is>
          <t>Roxana Godeanu</t>
        </is>
      </c>
      <c r="C275" s="1350" t="inlineStr">
        <is>
          <t>2. Workshops</t>
        </is>
      </c>
      <c r="D275" s="1349" t="inlineStr">
        <is>
          <t>Stripe</t>
        </is>
      </c>
      <c r="E275" s="1351" t="n">
        <v>150</v>
      </c>
      <c r="F275" s="1349" t="inlineStr">
        <is>
          <t>Batsford</t>
        </is>
      </c>
      <c r="G275" s="1349" t="inlineStr">
        <is>
          <t>Google</t>
        </is>
      </c>
    </row>
    <row r="276" ht="13.5" customHeight="1" s="1232">
      <c r="A276" s="1348" t="n">
        <v>44774</v>
      </c>
      <c r="B276" s="1349" t="inlineStr">
        <is>
          <t>Pick n Mix Subs</t>
        </is>
      </c>
      <c r="C276" s="1350" t="inlineStr">
        <is>
          <t>3. Pick n Mix Inc</t>
        </is>
      </c>
      <c r="D276" s="1349" t="inlineStr">
        <is>
          <t>Various</t>
        </is>
      </c>
      <c r="E276" s="1351" t="n">
        <v>150</v>
      </c>
      <c r="F276" s="1349" t="inlineStr">
        <is>
          <t>Pick N Mix Payments</t>
        </is>
      </c>
      <c r="G276" s="1349" t="inlineStr">
        <is>
          <t>Existing</t>
        </is>
      </c>
    </row>
    <row r="277" ht="13.5" customHeight="1" s="1232">
      <c r="A277" s="1348" t="n">
        <v>44774</v>
      </c>
      <c r="B277" s="1349" t="inlineStr">
        <is>
          <t>Mentoring Subs</t>
        </is>
      </c>
      <c r="C277" s="1350" t="inlineStr">
        <is>
          <t>5. Mentoring</t>
        </is>
      </c>
      <c r="D277" s="1349" t="inlineStr">
        <is>
          <t>Various</t>
        </is>
      </c>
      <c r="E277" s="1351" t="n">
        <v>60</v>
      </c>
      <c r="F277" s="1349" t="inlineStr">
        <is>
          <t>Mentoring Subs</t>
        </is>
      </c>
      <c r="G277" s="1349" t="inlineStr">
        <is>
          <t>Existing</t>
        </is>
      </c>
    </row>
    <row r="278" ht="13.5" customHeight="1" s="1232">
      <c r="A278" s="1348" t="n"/>
      <c r="B278" s="1349" t="n"/>
      <c r="C278" s="1350" t="n"/>
      <c r="D278" s="1349" t="n"/>
      <c r="E278" s="1351" t="n"/>
      <c r="F278" s="1349" t="n"/>
      <c r="G278" s="1349" t="n"/>
    </row>
    <row r="279" ht="13.5" customHeight="1" s="1232">
      <c r="A279" s="1348" t="n">
        <v>44768</v>
      </c>
      <c r="B279" s="1349" t="inlineStr">
        <is>
          <t>derek packwood</t>
        </is>
      </c>
      <c r="C279" s="1350" t="inlineStr">
        <is>
          <t>2. Workshops</t>
        </is>
      </c>
      <c r="D279" s="1349" t="inlineStr">
        <is>
          <t>PayPal</t>
        </is>
      </c>
      <c r="E279" s="1351" t="n">
        <v>49</v>
      </c>
      <c r="F279" s="1349" t="inlineStr">
        <is>
          <t>Batsford</t>
        </is>
      </c>
      <c r="G279" s="1349" t="inlineStr">
        <is>
          <t>Existing</t>
        </is>
      </c>
    </row>
    <row r="280" ht="13.5" customHeight="1" s="1232">
      <c r="A280" s="1348" t="n">
        <v>44766</v>
      </c>
      <c r="B280" s="1349" t="inlineStr">
        <is>
          <t>mark godfrey</t>
        </is>
      </c>
      <c r="C280" s="1350" t="inlineStr">
        <is>
          <t>2. Workshops</t>
        </is>
      </c>
      <c r="D280" s="1349" t="inlineStr">
        <is>
          <t>PayPal</t>
        </is>
      </c>
      <c r="E280" s="1351" t="n">
        <v>65</v>
      </c>
      <c r="F280" s="1349" t="inlineStr">
        <is>
          <t>Xmas Sparkle</t>
        </is>
      </c>
      <c r="G280" s="1349" t="inlineStr">
        <is>
          <t>Google</t>
        </is>
      </c>
    </row>
    <row r="281" ht="13.5" customHeight="1" s="1232">
      <c r="A281" s="1348" t="n">
        <v>44764</v>
      </c>
      <c r="B281" s="1349" t="inlineStr">
        <is>
          <t>Jane Robb</t>
        </is>
      </c>
      <c r="C281" s="1350" t="inlineStr">
        <is>
          <t>5. Mentoring</t>
        </is>
      </c>
      <c r="D281" s="1349" t="inlineStr">
        <is>
          <t>Stripe</t>
        </is>
      </c>
      <c r="E281" s="1351" t="n">
        <v>20</v>
      </c>
      <c r="F281" s="1349" t="inlineStr">
        <is>
          <t>Monthly Mentoring</t>
        </is>
      </c>
      <c r="G281" s="1349" t="inlineStr">
        <is>
          <t>Existing</t>
        </is>
      </c>
    </row>
    <row r="282" ht="13.5" customHeight="1" s="1232">
      <c r="A282" s="1348" t="n">
        <v>44760</v>
      </c>
      <c r="B282" s="1349" t="inlineStr">
        <is>
          <t>Sean Dewhurst</t>
        </is>
      </c>
      <c r="C282" s="1350" t="inlineStr">
        <is>
          <t>11. Other</t>
        </is>
      </c>
      <c r="D282" s="1349" t="inlineStr">
        <is>
          <t>PayPal</t>
        </is>
      </c>
      <c r="E282" s="1351" t="n">
        <v>17</v>
      </c>
      <c r="F282" s="1349" t="inlineStr">
        <is>
          <t>Viewing Frames</t>
        </is>
      </c>
      <c r="G282" s="1349" t="inlineStr">
        <is>
          <t>Google</t>
        </is>
      </c>
    </row>
    <row r="283" ht="13.5" customHeight="1" s="1232">
      <c r="A283" s="1348" t="n">
        <v>44761</v>
      </c>
      <c r="B283" s="1349" t="inlineStr">
        <is>
          <t>Jay Pattni</t>
        </is>
      </c>
      <c r="C283" s="1350" t="inlineStr">
        <is>
          <t>7. Gift Vouchers Inc</t>
        </is>
      </c>
      <c r="D283" s="1349" t="inlineStr">
        <is>
          <t>Stripe</t>
        </is>
      </c>
      <c r="E283" s="1351" t="n">
        <v>500</v>
      </c>
      <c r="F283" s="1349" t="inlineStr">
        <is>
          <t>Digital Gift Vouchers</t>
        </is>
      </c>
      <c r="G283" s="1349" t="inlineStr">
        <is>
          <t>Google</t>
        </is>
      </c>
    </row>
    <row r="284" ht="13.5" customHeight="1" s="1232">
      <c r="A284" s="1348" t="n">
        <v>44760</v>
      </c>
      <c r="B284" s="1349" t="inlineStr">
        <is>
          <t>Artfully Walls</t>
        </is>
      </c>
      <c r="C284" s="1350" t="inlineStr">
        <is>
          <t>9. Prints &amp; Royalties</t>
        </is>
      </c>
      <c r="D284" s="1349" t="inlineStr">
        <is>
          <t>PayPal</t>
        </is>
      </c>
      <c r="E284" s="1351" t="n">
        <v>25.71</v>
      </c>
      <c r="F284" s="1349" t="inlineStr">
        <is>
          <t>Print Sale</t>
        </is>
      </c>
      <c r="G284" s="1349" t="inlineStr">
        <is>
          <t>Artfully Walls</t>
        </is>
      </c>
    </row>
    <row r="285" ht="13.5" customHeight="1" s="1232">
      <c r="A285" s="1348" t="n">
        <v>44757</v>
      </c>
      <c r="B285" s="1349" t="inlineStr">
        <is>
          <t>Pure Photo</t>
        </is>
      </c>
      <c r="C285" s="1350" t="inlineStr">
        <is>
          <t>9. Prints &amp; Royalties</t>
        </is>
      </c>
      <c r="D285" s="1349" t="inlineStr">
        <is>
          <t>PayPal</t>
        </is>
      </c>
      <c r="E285" s="1351" t="n">
        <v>391.43</v>
      </c>
      <c r="F285" s="1349" t="inlineStr">
        <is>
          <t>Print Sale</t>
        </is>
      </c>
      <c r="G285" s="1349" t="inlineStr">
        <is>
          <t>Pure Photo</t>
        </is>
      </c>
    </row>
    <row r="286" ht="13.5" customHeight="1" s="1232">
      <c r="A286" s="1348" t="n">
        <v>44753</v>
      </c>
      <c r="B286" s="1349" t="inlineStr">
        <is>
          <t>Pichaya</t>
        </is>
      </c>
      <c r="C286" s="1350" t="inlineStr">
        <is>
          <t>10 Commissions</t>
        </is>
      </c>
      <c r="D286" s="1349" t="inlineStr">
        <is>
          <t>Bank</t>
        </is>
      </c>
      <c r="E286" s="1351" t="n">
        <v>175</v>
      </c>
      <c r="F286" s="1349" t="inlineStr">
        <is>
          <t>Graduation</t>
        </is>
      </c>
      <c r="G286" s="1349" t="inlineStr">
        <is>
          <t>Google</t>
        </is>
      </c>
    </row>
    <row r="287" ht="13.5" customHeight="1" s="1232">
      <c r="A287" s="1348" t="n">
        <v>44749</v>
      </c>
      <c r="B287" s="1349" t="inlineStr">
        <is>
          <t>Karen Clothier</t>
        </is>
      </c>
      <c r="C287" s="1350" t="inlineStr">
        <is>
          <t>6. 1-2-1</t>
        </is>
      </c>
      <c r="D287" s="1349" t="inlineStr">
        <is>
          <t>PayPal</t>
        </is>
      </c>
      <c r="E287" s="1351" t="n">
        <v>51.8</v>
      </c>
      <c r="F287" s="1349" t="inlineStr">
        <is>
          <t>Zoom 1hr</t>
        </is>
      </c>
      <c r="G287" s="1349" t="inlineStr">
        <is>
          <t>Existing</t>
        </is>
      </c>
    </row>
    <row r="288" ht="13.5" customHeight="1" s="1232">
      <c r="A288" s="1348" t="n">
        <v>44747</v>
      </c>
      <c r="B288" s="1349" t="inlineStr">
        <is>
          <t>James Margolis</t>
        </is>
      </c>
      <c r="C288" s="1350" t="inlineStr">
        <is>
          <t>11. Other</t>
        </is>
      </c>
      <c r="D288" s="1349" t="inlineStr">
        <is>
          <t>PayPal</t>
        </is>
      </c>
      <c r="E288" s="1351" t="n">
        <v>21</v>
      </c>
      <c r="F288" s="1349" t="inlineStr">
        <is>
          <t>Viewing Frames</t>
        </is>
      </c>
      <c r="G288" s="1349" t="inlineStr">
        <is>
          <t>Google</t>
        </is>
      </c>
    </row>
    <row r="289" ht="13.5" customHeight="1" s="1232">
      <c r="A289" s="1348" t="n">
        <v>44747</v>
      </c>
      <c r="B289" s="1349" t="inlineStr">
        <is>
          <t>Gary Watson</t>
        </is>
      </c>
      <c r="C289" s="1350" t="inlineStr">
        <is>
          <t>11. Other</t>
        </is>
      </c>
      <c r="D289" s="1349" t="inlineStr">
        <is>
          <t>Stripe</t>
        </is>
      </c>
      <c r="E289" s="1351" t="n">
        <v>30</v>
      </c>
      <c r="F289" s="1349" t="inlineStr">
        <is>
          <t>Sensor Clean</t>
        </is>
      </c>
      <c r="G289" s="1349" t="inlineStr">
        <is>
          <t>Google</t>
        </is>
      </c>
    </row>
    <row r="290" ht="13.5" customHeight="1" s="1232">
      <c r="A290" s="1348" t="n">
        <v>44748</v>
      </c>
      <c r="B290" s="1349" t="inlineStr">
        <is>
          <t>Nicholas Barber</t>
        </is>
      </c>
      <c r="C290" s="1350" t="inlineStr">
        <is>
          <t>2. Workshops</t>
        </is>
      </c>
      <c r="D290" s="1349" t="inlineStr">
        <is>
          <t>PayPal</t>
        </is>
      </c>
      <c r="E290" s="1351" t="n">
        <v>795</v>
      </c>
      <c r="F290" s="1349" t="inlineStr">
        <is>
          <t>Norfolk Workshop</t>
        </is>
      </c>
      <c r="G290" s="1349" t="inlineStr">
        <is>
          <t>Existing</t>
        </is>
      </c>
    </row>
    <row r="291" ht="13.5" customHeight="1" s="1232">
      <c r="A291" s="1348" t="n">
        <v>44747</v>
      </c>
      <c r="B291" s="1349" t="inlineStr">
        <is>
          <t>Rayudu Pasupuleti</t>
        </is>
      </c>
      <c r="C291" s="1350" t="inlineStr">
        <is>
          <t>1. Courses/masterclasses</t>
        </is>
      </c>
      <c r="D291" s="1349" t="inlineStr">
        <is>
          <t>Bank</t>
        </is>
      </c>
      <c r="E291" s="1351" t="n">
        <v>50</v>
      </c>
      <c r="F291" s="1349" t="inlineStr">
        <is>
          <t>Beginners Course</t>
        </is>
      </c>
      <c r="G291" s="1349" t="inlineStr">
        <is>
          <t>ELS</t>
        </is>
      </c>
    </row>
    <row r="292" ht="13.5" customHeight="1" s="1232">
      <c r="A292" s="1348" t="n">
        <v>44746</v>
      </c>
      <c r="B292" s="1349" t="inlineStr">
        <is>
          <t>Karen Clothier</t>
        </is>
      </c>
      <c r="C292" s="1350" t="inlineStr">
        <is>
          <t>6. 1-2-1</t>
        </is>
      </c>
      <c r="D292" s="1349" t="inlineStr">
        <is>
          <t>Stripe</t>
        </is>
      </c>
      <c r="E292" s="1351" t="n"/>
      <c r="F292" s="1349" t="inlineStr">
        <is>
          <t>Bank Transfer</t>
        </is>
      </c>
      <c r="G292" s="1349" t="inlineStr">
        <is>
          <t>Existing</t>
        </is>
      </c>
    </row>
    <row r="293" ht="13.5" customHeight="1" s="1232">
      <c r="A293" s="1348" t="n">
        <v>44743</v>
      </c>
      <c r="B293" s="1349" t="inlineStr">
        <is>
          <t>Pick n Mix Subs</t>
        </is>
      </c>
      <c r="C293" s="1350" t="inlineStr">
        <is>
          <t>3. Pick n Mix Inc</t>
        </is>
      </c>
      <c r="D293" s="1349" t="inlineStr">
        <is>
          <t>Various</t>
        </is>
      </c>
      <c r="E293" s="1351" t="n">
        <v>250</v>
      </c>
      <c r="F293" s="1349" t="inlineStr">
        <is>
          <t>Pick N Mix Payments</t>
        </is>
      </c>
      <c r="G293" s="1349" t="inlineStr">
        <is>
          <t>Existing</t>
        </is>
      </c>
    </row>
    <row r="294" ht="13.5" customHeight="1" s="1232">
      <c r="A294" s="1348" t="n">
        <v>44743</v>
      </c>
      <c r="B294" s="1349" t="inlineStr">
        <is>
          <t>Mentoring Subs</t>
        </is>
      </c>
      <c r="C294" s="1350" t="inlineStr">
        <is>
          <t>5. Mentoring</t>
        </is>
      </c>
      <c r="D294" s="1349" t="inlineStr">
        <is>
          <t>Various</t>
        </is>
      </c>
      <c r="E294" s="1351" t="n">
        <v>60</v>
      </c>
      <c r="F294" s="1349" t="inlineStr">
        <is>
          <t>Mentoring Subs</t>
        </is>
      </c>
      <c r="G294" s="1349" t="inlineStr">
        <is>
          <t>Existing</t>
        </is>
      </c>
    </row>
    <row r="295" ht="13.5" customHeight="1" s="1232">
      <c r="A295" s="1348" t="inlineStr">
        <is>
          <t xml:space="preserve"> </t>
        </is>
      </c>
      <c r="B295" s="1349" t="n"/>
      <c r="C295" s="1350" t="n"/>
      <c r="D295" s="1349" t="n"/>
      <c r="E295" s="1351" t="n"/>
      <c r="F295" s="1349" t="n"/>
      <c r="G295" s="1349" t="n"/>
    </row>
    <row r="296" ht="13.5" customHeight="1" s="1232">
      <c r="A296" s="1348" t="n">
        <v>44739</v>
      </c>
      <c r="B296" s="1349" t="inlineStr">
        <is>
          <t>Graham Cook</t>
        </is>
      </c>
      <c r="C296" s="1350" t="inlineStr">
        <is>
          <t>11. Other</t>
        </is>
      </c>
      <c r="D296" s="1349" t="inlineStr">
        <is>
          <t>PayPal</t>
        </is>
      </c>
      <c r="E296" s="1351" t="n">
        <v>6</v>
      </c>
      <c r="F296" s="1349" t="inlineStr">
        <is>
          <t>Pocket Guide</t>
        </is>
      </c>
      <c r="G296" s="1349" t="inlineStr">
        <is>
          <t>Google</t>
        </is>
      </c>
    </row>
    <row r="297" ht="13.5" customHeight="1" s="1232">
      <c r="A297" s="1348" t="n">
        <v>44740</v>
      </c>
      <c r="B297" s="1349" t="inlineStr">
        <is>
          <t>Karen Clothier</t>
        </is>
      </c>
      <c r="C297" s="1350" t="inlineStr">
        <is>
          <t>6. 1-2-1</t>
        </is>
      </c>
      <c r="D297" s="1349" t="inlineStr">
        <is>
          <t>Stripe</t>
        </is>
      </c>
      <c r="E297" s="1351" t="n"/>
      <c r="F297" s="1349" t="inlineStr">
        <is>
          <t>Bank Transfer</t>
        </is>
      </c>
      <c r="G297" s="1349" t="inlineStr">
        <is>
          <t>Existing</t>
        </is>
      </c>
    </row>
    <row r="298" ht="13.5" customHeight="1" s="1232">
      <c r="A298" s="1348" t="n">
        <v>44731</v>
      </c>
      <c r="B298" s="1349" t="inlineStr">
        <is>
          <t>Mark Godfrey</t>
        </is>
      </c>
      <c r="C298" s="1350" t="inlineStr">
        <is>
          <t>2. Workshops</t>
        </is>
      </c>
      <c r="D298" s="1349" t="inlineStr">
        <is>
          <t>PayPal</t>
        </is>
      </c>
      <c r="E298" s="1351" t="n">
        <v>35</v>
      </c>
      <c r="F298" s="1349" t="inlineStr">
        <is>
          <t>Garden Workshop</t>
        </is>
      </c>
      <c r="G298" s="1349" t="inlineStr">
        <is>
          <t>Google</t>
        </is>
      </c>
    </row>
    <row r="299" ht="13.5" customHeight="1" s="1232">
      <c r="A299" s="1348" t="n">
        <v>44728</v>
      </c>
      <c r="B299" s="1349" t="inlineStr">
        <is>
          <t>Chris Rhoades</t>
        </is>
      </c>
      <c r="C299" s="1350" t="inlineStr">
        <is>
          <t>2. Workshops</t>
        </is>
      </c>
      <c r="D299" s="1349" t="inlineStr">
        <is>
          <t>Stripe</t>
        </is>
      </c>
      <c r="E299" s="1351" t="n">
        <v>150</v>
      </c>
      <c r="F299" s="1349" t="inlineStr">
        <is>
          <t>Lake District</t>
        </is>
      </c>
      <c r="G299" s="1349" t="inlineStr">
        <is>
          <t>Google</t>
        </is>
      </c>
    </row>
    <row r="300" ht="13.5" customHeight="1" s="1232">
      <c r="A300" s="1348" t="n">
        <v>44728</v>
      </c>
      <c r="B300" s="1349" t="inlineStr">
        <is>
          <t>Chris Rhoades</t>
        </is>
      </c>
      <c r="C300" s="1350" t="inlineStr">
        <is>
          <t>2. Workshops</t>
        </is>
      </c>
      <c r="D300" s="1349" t="inlineStr">
        <is>
          <t>Stripe</t>
        </is>
      </c>
      <c r="E300" s="1351" t="n">
        <v>875</v>
      </c>
      <c r="F300" s="1349" t="inlineStr">
        <is>
          <t>Lake District</t>
        </is>
      </c>
      <c r="G300" s="1349" t="inlineStr">
        <is>
          <t>Google</t>
        </is>
      </c>
    </row>
    <row r="301" ht="13.5" customHeight="1" s="1232">
      <c r="A301" s="1348" t="n">
        <v>44726</v>
      </c>
      <c r="B301" s="1349" t="inlineStr">
        <is>
          <t>David Andringa</t>
        </is>
      </c>
      <c r="C301" s="1350" t="inlineStr">
        <is>
          <t>2. Workshops</t>
        </is>
      </c>
      <c r="D301" s="1349" t="inlineStr">
        <is>
          <t>PicknMix</t>
        </is>
      </c>
      <c r="E301" s="1351" t="n">
        <v>75</v>
      </c>
      <c r="F301" s="1349" t="inlineStr">
        <is>
          <t>Poppy Fields</t>
        </is>
      </c>
      <c r="G301" s="1349" t="inlineStr">
        <is>
          <t>Existing</t>
        </is>
      </c>
    </row>
    <row r="302" ht="13.5" customHeight="1" s="1232">
      <c r="A302" s="1348" t="n">
        <v>44726</v>
      </c>
      <c r="B302" s="1349" t="inlineStr">
        <is>
          <t>David Andringa</t>
        </is>
      </c>
      <c r="C302" s="1350" t="inlineStr">
        <is>
          <t>4. Pick n Mix Out</t>
        </is>
      </c>
      <c r="D302" s="1349" t="inlineStr">
        <is>
          <t>PicknMix</t>
        </is>
      </c>
      <c r="E302" s="1351" t="n">
        <v>-75</v>
      </c>
      <c r="F302" s="1349" t="inlineStr">
        <is>
          <t>Poppy Fields</t>
        </is>
      </c>
      <c r="G302" s="1349" t="inlineStr">
        <is>
          <t>Existing</t>
        </is>
      </c>
    </row>
    <row r="303" ht="13.5" customHeight="1" s="1232">
      <c r="A303" s="1348" t="n">
        <v>44726</v>
      </c>
      <c r="B303" s="1349" t="inlineStr">
        <is>
          <t>David Andringa</t>
        </is>
      </c>
      <c r="C303" s="1350" t="inlineStr">
        <is>
          <t>2. Workshops</t>
        </is>
      </c>
      <c r="D303" s="1349" t="inlineStr">
        <is>
          <t>PicknMix</t>
        </is>
      </c>
      <c r="E303" s="1351" t="n">
        <v>65</v>
      </c>
      <c r="F303" s="1349" t="inlineStr">
        <is>
          <t>Urban Architecture</t>
        </is>
      </c>
      <c r="G303" s="1349" t="inlineStr">
        <is>
          <t>Existing</t>
        </is>
      </c>
    </row>
    <row r="304" ht="13.5" customHeight="1" s="1232">
      <c r="A304" s="1348" t="n">
        <v>44726</v>
      </c>
      <c r="B304" s="1349" t="inlineStr">
        <is>
          <t>David Andringa</t>
        </is>
      </c>
      <c r="C304" s="1350" t="inlineStr">
        <is>
          <t>4. Pick n Mix Out</t>
        </is>
      </c>
      <c r="D304" s="1349" t="inlineStr">
        <is>
          <t>PicknMix</t>
        </is>
      </c>
      <c r="E304" s="1351" t="n">
        <v>-65</v>
      </c>
      <c r="F304" s="1349" t="inlineStr">
        <is>
          <t>Urban Architecture</t>
        </is>
      </c>
      <c r="G304" s="1349" t="inlineStr">
        <is>
          <t>Existing</t>
        </is>
      </c>
    </row>
    <row r="305" ht="13.5" customHeight="1" s="1232">
      <c r="A305" s="1348" t="n">
        <v>44723</v>
      </c>
      <c r="B305" s="1349" t="inlineStr">
        <is>
          <t>Rachel Roberts</t>
        </is>
      </c>
      <c r="C305" s="1350" t="inlineStr">
        <is>
          <t>6. 1-2-1</t>
        </is>
      </c>
      <c r="D305" s="1349" t="inlineStr">
        <is>
          <t>Stripe</t>
        </is>
      </c>
      <c r="E305" s="1351" t="n">
        <v>150</v>
      </c>
      <c r="F305" s="1349" t="inlineStr">
        <is>
          <t>1-2-1 2hrs F2F</t>
        </is>
      </c>
      <c r="G305" s="1349" t="inlineStr">
        <is>
          <t>Google</t>
        </is>
      </c>
    </row>
    <row r="306" ht="13.5" customHeight="1" s="1232">
      <c r="A306" s="1348" t="n">
        <v>44722</v>
      </c>
      <c r="B306" s="1349" t="inlineStr">
        <is>
          <t>George Letey</t>
        </is>
      </c>
      <c r="C306" s="1350" t="inlineStr">
        <is>
          <t>7. Gift Vouchers Inc</t>
        </is>
      </c>
      <c r="D306" s="1349" t="inlineStr">
        <is>
          <t>Stripe</t>
        </is>
      </c>
      <c r="E306" s="1351" t="n">
        <v>275</v>
      </c>
      <c r="F306" s="1349" t="inlineStr">
        <is>
          <t>Digital Gift Vouchers</t>
        </is>
      </c>
      <c r="G306" s="1349" t="inlineStr">
        <is>
          <t>Google</t>
        </is>
      </c>
    </row>
    <row r="307" ht="13.5" customHeight="1" s="1232">
      <c r="A307" s="1348" t="n">
        <v>44722</v>
      </c>
      <c r="B307" s="1349" t="inlineStr">
        <is>
          <t>Karen Clothier</t>
        </is>
      </c>
      <c r="C307" s="1350" t="inlineStr">
        <is>
          <t>6. 1-2-1</t>
        </is>
      </c>
      <c r="D307" s="1349" t="inlineStr">
        <is>
          <t>Stripe</t>
        </is>
      </c>
      <c r="E307" s="1351" t="n"/>
      <c r="F307" s="1349" t="inlineStr">
        <is>
          <t>Bank Transfer</t>
        </is>
      </c>
      <c r="G307" s="1349" t="inlineStr">
        <is>
          <t>Existing</t>
        </is>
      </c>
    </row>
    <row r="308" ht="13.5" customHeight="1" s="1232">
      <c r="A308" s="1348" t="n">
        <v>44721</v>
      </c>
      <c r="B308" s="1349" t="inlineStr">
        <is>
          <t>David Andringa</t>
        </is>
      </c>
      <c r="C308" s="1350" t="inlineStr">
        <is>
          <t>2. Workshops</t>
        </is>
      </c>
      <c r="D308" s="1349" t="inlineStr">
        <is>
          <t>PicknMix</t>
        </is>
      </c>
      <c r="E308" s="1351" t="n">
        <v>60</v>
      </c>
      <c r="F308" s="1349" t="inlineStr">
        <is>
          <t>Rollright Stones</t>
        </is>
      </c>
      <c r="G308" s="1349" t="inlineStr">
        <is>
          <t>Existing</t>
        </is>
      </c>
    </row>
    <row r="309" ht="13.5" customHeight="1" s="1232">
      <c r="A309" s="1348" t="n">
        <v>44721</v>
      </c>
      <c r="B309" s="1349" t="inlineStr">
        <is>
          <t>David Andringa</t>
        </is>
      </c>
      <c r="C309" s="1350" t="inlineStr">
        <is>
          <t>4. Pick n Mix Out</t>
        </is>
      </c>
      <c r="D309" s="1349" t="inlineStr">
        <is>
          <t>PicknMix</t>
        </is>
      </c>
      <c r="E309" s="1351" t="n">
        <v>-60</v>
      </c>
      <c r="F309" s="1349" t="inlineStr">
        <is>
          <t>Rollright Stones</t>
        </is>
      </c>
      <c r="G309" s="1349" t="inlineStr">
        <is>
          <t>Existing</t>
        </is>
      </c>
    </row>
    <row r="310" ht="13.5" customHeight="1" s="1232">
      <c r="A310" s="1348" t="n">
        <v>44720</v>
      </c>
      <c r="B310" s="1349" t="inlineStr">
        <is>
          <t>Max Dobres</t>
        </is>
      </c>
      <c r="C310" s="1350" t="inlineStr">
        <is>
          <t>6. 1-2-1</t>
        </is>
      </c>
      <c r="D310" s="1349" t="inlineStr">
        <is>
          <t>Stripe</t>
        </is>
      </c>
      <c r="E310" s="1351" t="n">
        <v>50</v>
      </c>
      <c r="F310" s="1349" t="inlineStr">
        <is>
          <t>Zoom 1hr</t>
        </is>
      </c>
      <c r="G310" s="1349" t="inlineStr">
        <is>
          <t>Existing</t>
        </is>
      </c>
    </row>
    <row r="311" ht="13.5" customHeight="1" s="1232">
      <c r="A311" s="1348" t="n">
        <v>44719</v>
      </c>
      <c r="B311" s="1349" t="inlineStr">
        <is>
          <t>Daniel Pearce</t>
        </is>
      </c>
      <c r="C311" s="1350" t="inlineStr">
        <is>
          <t>11. Other</t>
        </is>
      </c>
      <c r="D311" s="1349" t="inlineStr">
        <is>
          <t>Stripe</t>
        </is>
      </c>
      <c r="E311" s="1351" t="n">
        <v>17</v>
      </c>
      <c r="F311" s="1349" t="inlineStr">
        <is>
          <t>Viewing Cards</t>
        </is>
      </c>
      <c r="G311" s="1349" t="inlineStr">
        <is>
          <t>Google</t>
        </is>
      </c>
    </row>
    <row r="312" ht="13.5" customHeight="1" s="1232">
      <c r="A312" s="1348" t="n">
        <v>44718</v>
      </c>
      <c r="B312" s="1349" t="inlineStr">
        <is>
          <t>Jenny Reeves</t>
        </is>
      </c>
      <c r="C312" s="1350" t="inlineStr">
        <is>
          <t>7. Gift Vouchers Inc</t>
        </is>
      </c>
      <c r="D312" s="1349" t="inlineStr">
        <is>
          <t>Stripe</t>
        </is>
      </c>
      <c r="E312" s="1351" t="n">
        <v>75</v>
      </c>
      <c r="F312" s="1349" t="inlineStr">
        <is>
          <t>Digital Gift Vouchers</t>
        </is>
      </c>
      <c r="G312" s="1349" t="inlineStr">
        <is>
          <t>Google</t>
        </is>
      </c>
    </row>
    <row r="313" ht="13.5" customHeight="1" s="1232">
      <c r="A313" s="1348" t="n">
        <v>44718</v>
      </c>
      <c r="B313" s="1349" t="inlineStr">
        <is>
          <t>Sukhi McDonald</t>
        </is>
      </c>
      <c r="C313" s="1350" t="inlineStr">
        <is>
          <t>1. Courses/masterclasses</t>
        </is>
      </c>
      <c r="D313" s="1349" t="inlineStr">
        <is>
          <t>Stripe</t>
        </is>
      </c>
      <c r="E313" s="1351" t="n">
        <v>250</v>
      </c>
      <c r="F313" s="1349" t="inlineStr">
        <is>
          <t>5wk Beginners Course</t>
        </is>
      </c>
      <c r="G313" s="1349" t="inlineStr">
        <is>
          <t>Google</t>
        </is>
      </c>
    </row>
    <row r="314" ht="13.5" customHeight="1" s="1232">
      <c r="A314" s="1348" t="n">
        <v>44718</v>
      </c>
      <c r="B314" s="1349" t="inlineStr">
        <is>
          <t>Karen Clothier</t>
        </is>
      </c>
      <c r="C314" s="1350" t="inlineStr">
        <is>
          <t>6. 1-2-1</t>
        </is>
      </c>
      <c r="D314" s="1349" t="inlineStr">
        <is>
          <t>Stripe</t>
        </is>
      </c>
      <c r="E314" s="1351" t="n"/>
      <c r="F314" s="1349" t="inlineStr">
        <is>
          <t>Bank Transfer</t>
        </is>
      </c>
      <c r="G314" s="1349" t="inlineStr">
        <is>
          <t>Existing</t>
        </is>
      </c>
    </row>
    <row r="315" ht="13.5" customHeight="1" s="1232">
      <c r="A315" s="1348" t="n">
        <v>44714</v>
      </c>
      <c r="B315" s="1349" t="inlineStr">
        <is>
          <t>Nicki Stott</t>
        </is>
      </c>
      <c r="C315" s="1350" t="inlineStr">
        <is>
          <t>1. Courses/masterclasses</t>
        </is>
      </c>
      <c r="D315" s="1349" t="inlineStr">
        <is>
          <t>Stripe</t>
        </is>
      </c>
      <c r="E315" s="1351" t="n">
        <v>30</v>
      </c>
      <c r="F315" s="1349" t="inlineStr">
        <is>
          <t>Get Off Auto</t>
        </is>
      </c>
      <c r="G315" s="1349" t="inlineStr">
        <is>
          <t>Google</t>
        </is>
      </c>
    </row>
    <row r="316" ht="13.5" customHeight="1" s="1232">
      <c r="A316" s="1348" t="n">
        <v>44713</v>
      </c>
      <c r="B316" s="1349" t="inlineStr">
        <is>
          <t>Pick n Mix Subs</t>
        </is>
      </c>
      <c r="C316" s="1350" t="inlineStr">
        <is>
          <t>3. Pick n Mix Inc</t>
        </is>
      </c>
      <c r="D316" s="1349" t="inlineStr">
        <is>
          <t>Various</t>
        </is>
      </c>
      <c r="E316" s="1351" t="n">
        <v>250</v>
      </c>
      <c r="F316" s="1349" t="inlineStr">
        <is>
          <t>Pick N Mix Payments</t>
        </is>
      </c>
      <c r="G316" s="1349" t="inlineStr">
        <is>
          <t>Existing</t>
        </is>
      </c>
    </row>
    <row r="317" ht="13.5" customHeight="1" s="1232">
      <c r="A317" s="1348" t="n">
        <v>44713</v>
      </c>
      <c r="B317" s="1349" t="inlineStr">
        <is>
          <t>Mentoring Subs</t>
        </is>
      </c>
      <c r="C317" s="1350" t="inlineStr">
        <is>
          <t>5. Mentoring</t>
        </is>
      </c>
      <c r="D317" s="1349" t="inlineStr">
        <is>
          <t>Various</t>
        </is>
      </c>
      <c r="E317" s="1351" t="n">
        <v>60</v>
      </c>
      <c r="F317" s="1349" t="inlineStr">
        <is>
          <t>Mentoring Subs</t>
        </is>
      </c>
      <c r="G317" s="1349" t="inlineStr">
        <is>
          <t>Existing</t>
        </is>
      </c>
    </row>
    <row r="318" ht="13.5" customHeight="1" s="1232">
      <c r="A318" s="1348" t="n"/>
      <c r="B318" s="1349" t="n"/>
      <c r="C318" s="1350" t="n"/>
      <c r="D318" s="1349" t="n"/>
      <c r="E318" s="1351" t="n"/>
      <c r="F318" s="1349" t="n"/>
      <c r="G318" s="1349" t="n"/>
    </row>
    <row r="319" ht="13.5" customHeight="1" s="1232">
      <c r="A319" s="1348" t="n">
        <v>44712</v>
      </c>
      <c r="B319" s="1349" t="inlineStr">
        <is>
          <t>Keith Markillie</t>
        </is>
      </c>
      <c r="C319" s="1350" t="inlineStr">
        <is>
          <t>2. Workshops</t>
        </is>
      </c>
      <c r="D319" s="1349" t="inlineStr">
        <is>
          <t>Stripe</t>
        </is>
      </c>
      <c r="E319" s="1351" t="n">
        <v>150</v>
      </c>
      <c r="F319" s="1349" t="inlineStr">
        <is>
          <t>Peak District</t>
        </is>
      </c>
      <c r="G319" s="1349" t="inlineStr">
        <is>
          <t>Google</t>
        </is>
      </c>
    </row>
    <row r="320" ht="13.5" customHeight="1" s="1232">
      <c r="A320" s="1348" t="n">
        <v>44712</v>
      </c>
      <c r="B320" s="1349" t="inlineStr">
        <is>
          <t>Lonnie Morris</t>
        </is>
      </c>
      <c r="C320" s="1350" t="inlineStr">
        <is>
          <t>2. Workshops</t>
        </is>
      </c>
      <c r="D320" s="1349" t="inlineStr">
        <is>
          <t>PayPal</t>
        </is>
      </c>
      <c r="E320" s="1351" t="n">
        <v>250</v>
      </c>
      <c r="F320" s="1349" t="inlineStr">
        <is>
          <t>Gower</t>
        </is>
      </c>
      <c r="G320" s="1349" t="inlineStr">
        <is>
          <t>Existing</t>
        </is>
      </c>
    </row>
    <row r="321" ht="13.5" customHeight="1" s="1232">
      <c r="A321" s="1348" t="n">
        <v>44709</v>
      </c>
      <c r="B321" s="1349" t="inlineStr">
        <is>
          <t>STEPHEN MORTON</t>
        </is>
      </c>
      <c r="C321" s="1350" t="inlineStr">
        <is>
          <t>2. Workshops</t>
        </is>
      </c>
      <c r="D321" s="1349" t="inlineStr">
        <is>
          <t>PayPal</t>
        </is>
      </c>
      <c r="E321" s="1351" t="n">
        <v>50</v>
      </c>
      <c r="F321" s="1349" t="inlineStr">
        <is>
          <t>Macro Workshop</t>
        </is>
      </c>
      <c r="G321" s="1349" t="inlineStr">
        <is>
          <t>Google</t>
        </is>
      </c>
    </row>
    <row r="322" ht="13.5" customHeight="1" s="1232">
      <c r="A322" s="1348" t="n">
        <v>44708</v>
      </c>
      <c r="B322" s="1349" t="inlineStr">
        <is>
          <t>Hannah Grinnall</t>
        </is>
      </c>
      <c r="C322" s="1350" t="inlineStr">
        <is>
          <t>2. Workshops</t>
        </is>
      </c>
      <c r="D322" s="1349" t="inlineStr">
        <is>
          <t>Gift Voucher Out</t>
        </is>
      </c>
      <c r="E322" s="1351" t="n">
        <v>190</v>
      </c>
      <c r="F322" s="1349" t="inlineStr">
        <is>
          <t>Various Workshops</t>
        </is>
      </c>
      <c r="G322" s="1349" t="inlineStr">
        <is>
          <t>Existing</t>
        </is>
      </c>
    </row>
    <row r="323" ht="13.5" customHeight="1" s="1232">
      <c r="A323" s="1348" t="n">
        <v>44708</v>
      </c>
      <c r="B323" s="1349" t="inlineStr">
        <is>
          <t>Hannah Grinnall</t>
        </is>
      </c>
      <c r="C323" s="1350" t="inlineStr">
        <is>
          <t>8. Gift Vouchers Out</t>
        </is>
      </c>
      <c r="D323" s="1349" t="inlineStr">
        <is>
          <t>Gift Voucher Out</t>
        </is>
      </c>
      <c r="E323" s="1351" t="n">
        <v>-190</v>
      </c>
      <c r="F323" s="1349" t="inlineStr">
        <is>
          <t>Various Workshops</t>
        </is>
      </c>
      <c r="G323" s="1349" t="inlineStr">
        <is>
          <t>Existing</t>
        </is>
      </c>
    </row>
    <row r="324" ht="13.5" customHeight="1" s="1232">
      <c r="A324" s="1348" t="n">
        <v>44708</v>
      </c>
      <c r="B324" s="1349" t="inlineStr">
        <is>
          <t>Trevor Haw</t>
        </is>
      </c>
      <c r="C324" s="1350" t="inlineStr">
        <is>
          <t>2. Workshops</t>
        </is>
      </c>
      <c r="D324" s="1349" t="inlineStr">
        <is>
          <t>Stripe</t>
        </is>
      </c>
      <c r="E324" s="1351" t="n">
        <v>1004.26</v>
      </c>
      <c r="F324" s="1349" t="inlineStr">
        <is>
          <t>Norfolk x 2</t>
        </is>
      </c>
      <c r="G324" s="1349" t="inlineStr">
        <is>
          <t>Google</t>
        </is>
      </c>
    </row>
    <row r="325" ht="13.5" customHeight="1" s="1232">
      <c r="A325" s="1348" t="n">
        <v>44705</v>
      </c>
      <c r="B325" s="1349" t="inlineStr">
        <is>
          <t>Nigel Hall</t>
        </is>
      </c>
      <c r="C325" s="1350" t="inlineStr">
        <is>
          <t>11. Other</t>
        </is>
      </c>
      <c r="D325" s="1349" t="inlineStr">
        <is>
          <t>PayPal</t>
        </is>
      </c>
      <c r="E325" s="1351" t="n">
        <v>17</v>
      </c>
      <c r="F325" s="1349" t="inlineStr">
        <is>
          <t>Viewing Frames</t>
        </is>
      </c>
      <c r="G325" s="1349" t="inlineStr">
        <is>
          <t>Google</t>
        </is>
      </c>
    </row>
    <row r="326" ht="13.5" customHeight="1" s="1232">
      <c r="A326" s="1348" t="n">
        <v>44703</v>
      </c>
      <c r="B326" s="1349" t="inlineStr">
        <is>
          <t>Karen Block</t>
        </is>
      </c>
      <c r="C326" s="1350" t="inlineStr">
        <is>
          <t>2. Workshops</t>
        </is>
      </c>
      <c r="D326" s="1349" t="inlineStr">
        <is>
          <t>PayPal</t>
        </is>
      </c>
      <c r="E326" s="1351" t="n">
        <v>775</v>
      </c>
      <c r="F326" s="1349" t="inlineStr">
        <is>
          <t>Lake District</t>
        </is>
      </c>
      <c r="G326" s="1349" t="inlineStr">
        <is>
          <t>Google</t>
        </is>
      </c>
    </row>
    <row r="327" ht="13.5" customHeight="1" s="1232">
      <c r="A327" s="1348" t="n">
        <v>44703</v>
      </c>
      <c r="B327" s="1349" t="inlineStr">
        <is>
          <t>Karen Block</t>
        </is>
      </c>
      <c r="C327" s="1350" t="inlineStr">
        <is>
          <t>2. Workshops</t>
        </is>
      </c>
      <c r="D327" s="1349" t="inlineStr">
        <is>
          <t>PayPal</t>
        </is>
      </c>
      <c r="E327" s="1351" t="n">
        <v>120</v>
      </c>
      <c r="F327" s="1349" t="inlineStr">
        <is>
          <t>Extra Night Lake District</t>
        </is>
      </c>
      <c r="G327" s="1349" t="inlineStr">
        <is>
          <t>Google</t>
        </is>
      </c>
    </row>
    <row r="328" ht="13.5" customHeight="1" s="1232">
      <c r="A328" s="1348" t="n">
        <v>44700</v>
      </c>
      <c r="B328" s="1349" t="inlineStr">
        <is>
          <t>Terry Holton</t>
        </is>
      </c>
      <c r="C328" s="1350" t="inlineStr">
        <is>
          <t>6. 1-2-1</t>
        </is>
      </c>
      <c r="D328" s="1349" t="inlineStr">
        <is>
          <t>Stripe</t>
        </is>
      </c>
      <c r="E328" s="1351" t="n">
        <v>360</v>
      </c>
      <c r="F328" s="1349" t="inlineStr">
        <is>
          <t>4 x 2hr 1-2-1</t>
        </is>
      </c>
      <c r="G328" s="1349" t="inlineStr">
        <is>
          <t>Google</t>
        </is>
      </c>
    </row>
    <row r="329" ht="13.5" customHeight="1" s="1232">
      <c r="A329" s="1348" t="n">
        <v>44700</v>
      </c>
      <c r="B329" s="1349" t="inlineStr">
        <is>
          <t>Artfully Walls</t>
        </is>
      </c>
      <c r="C329" s="1350" t="inlineStr">
        <is>
          <t>9. Prints &amp; Royalties</t>
        </is>
      </c>
      <c r="D329" s="1349" t="inlineStr">
        <is>
          <t>PayPal</t>
        </is>
      </c>
      <c r="E329" s="1351" t="n">
        <v>36.74</v>
      </c>
      <c r="F329" s="1349" t="inlineStr">
        <is>
          <t>Print Royalties</t>
        </is>
      </c>
      <c r="G329" s="1349" t="inlineStr">
        <is>
          <t>Artfully Walls</t>
        </is>
      </c>
    </row>
    <row r="330" ht="13.5" customHeight="1" s="1232">
      <c r="A330" s="1348" t="n">
        <v>44700</v>
      </c>
      <c r="B330" s="1349" t="inlineStr">
        <is>
          <t>The Heart of a Garden</t>
        </is>
      </c>
      <c r="C330" s="1350" t="inlineStr">
        <is>
          <t>9. Prints &amp; Royalties</t>
        </is>
      </c>
      <c r="D330" s="1349" t="inlineStr">
        <is>
          <t>Bank</t>
        </is>
      </c>
      <c r="E330" s="1351" t="n">
        <v>114.3</v>
      </c>
      <c r="F330" s="1349" t="inlineStr">
        <is>
          <t>Greeting Cards</t>
        </is>
      </c>
      <c r="G330" s="1349" t="inlineStr">
        <is>
          <t>Other</t>
        </is>
      </c>
    </row>
    <row r="331" ht="13.5" customHeight="1" s="1232">
      <c r="A331" s="1348" t="n">
        <v>44698</v>
      </c>
      <c r="B331" s="1349" t="inlineStr">
        <is>
          <t>Karen Clothier</t>
        </is>
      </c>
      <c r="C331" s="1350" t="inlineStr">
        <is>
          <t>6. 1-2-1</t>
        </is>
      </c>
      <c r="D331" s="1349" t="inlineStr">
        <is>
          <t>PayPal</t>
        </is>
      </c>
      <c r="E331" s="1351" t="n">
        <v>77.55</v>
      </c>
      <c r="F331" s="1349" t="inlineStr">
        <is>
          <t>Zoom Session</t>
        </is>
      </c>
      <c r="G331" s="1349" t="inlineStr">
        <is>
          <t>Existing</t>
        </is>
      </c>
    </row>
    <row r="332" ht="13.5" customHeight="1" s="1232">
      <c r="A332" s="1348" t="n">
        <v>44698</v>
      </c>
      <c r="B332" s="1349" t="inlineStr">
        <is>
          <t>Karen Clothier</t>
        </is>
      </c>
      <c r="C332" s="1350" t="inlineStr">
        <is>
          <t>6. 1-2-1</t>
        </is>
      </c>
      <c r="D332" s="1349" t="inlineStr">
        <is>
          <t>PayPal</t>
        </is>
      </c>
      <c r="E332" s="1351" t="n">
        <v>51.8</v>
      </c>
      <c r="F332" s="1349" t="inlineStr">
        <is>
          <t>Zoom Session</t>
        </is>
      </c>
      <c r="G332" s="1349" t="inlineStr">
        <is>
          <t>Existing</t>
        </is>
      </c>
    </row>
    <row r="333" ht="13.5" customHeight="1" s="1232">
      <c r="A333" s="1348" t="n">
        <v>44697</v>
      </c>
      <c r="B333" s="1349" t="inlineStr">
        <is>
          <t>Natalie Fellows</t>
        </is>
      </c>
      <c r="C333" s="1350" t="inlineStr">
        <is>
          <t>2. Workshops</t>
        </is>
      </c>
      <c r="D333" s="1349" t="inlineStr">
        <is>
          <t>Stripe</t>
        </is>
      </c>
      <c r="E333" s="1351" t="n">
        <v>75</v>
      </c>
      <c r="F333" s="1349" t="inlineStr">
        <is>
          <t>Poppy Fields</t>
        </is>
      </c>
      <c r="G333" s="1349" t="inlineStr">
        <is>
          <t>Google</t>
        </is>
      </c>
    </row>
    <row r="334" ht="13.5" customHeight="1" s="1232">
      <c r="A334" s="1348" t="n">
        <v>44692</v>
      </c>
      <c r="B334" s="1349" t="inlineStr">
        <is>
          <t>Bianca Dodgen</t>
        </is>
      </c>
      <c r="C334" s="1350" t="inlineStr">
        <is>
          <t>2. Workshops</t>
        </is>
      </c>
      <c r="D334" s="1349" t="inlineStr">
        <is>
          <t>Bank</t>
        </is>
      </c>
      <c r="E334" s="1351" t="n">
        <v>85</v>
      </c>
      <c r="F334" s="1349" t="inlineStr">
        <is>
          <t>Double Occupancy</t>
        </is>
      </c>
      <c r="G334" s="1349" t="inlineStr">
        <is>
          <t>Existing</t>
        </is>
      </c>
    </row>
    <row r="335" ht="13.5" customHeight="1" s="1232">
      <c r="A335" s="1348" t="n">
        <v>44692</v>
      </c>
      <c r="B335" s="1349" t="inlineStr">
        <is>
          <t>Kai Jei</t>
        </is>
      </c>
      <c r="C335" s="1350" t="inlineStr">
        <is>
          <t>11. Other</t>
        </is>
      </c>
      <c r="D335" s="1349" t="inlineStr">
        <is>
          <t>PayPal</t>
        </is>
      </c>
      <c r="E335" s="1351" t="n">
        <v>21</v>
      </c>
      <c r="F335" s="1349" t="inlineStr">
        <is>
          <t>Viewing Frames</t>
        </is>
      </c>
      <c r="G335" s="1349" t="inlineStr">
        <is>
          <t>Google</t>
        </is>
      </c>
    </row>
    <row r="336" ht="13.5" customHeight="1" s="1232">
      <c r="A336" s="1348" t="n">
        <v>44692</v>
      </c>
      <c r="B336" s="1349" t="inlineStr">
        <is>
          <t>Rod Fram</t>
        </is>
      </c>
      <c r="C336" s="1350" t="inlineStr">
        <is>
          <t>6. 1-2-1</t>
        </is>
      </c>
      <c r="D336" s="1349" t="inlineStr">
        <is>
          <t>Stripe</t>
        </is>
      </c>
      <c r="E336" s="1351" t="n">
        <v>75</v>
      </c>
      <c r="F336" s="1349" t="inlineStr">
        <is>
          <t>1hr Zoom</t>
        </is>
      </c>
      <c r="G336" s="1349" t="inlineStr">
        <is>
          <t>Existing</t>
        </is>
      </c>
    </row>
    <row r="337" ht="13.5" customHeight="1" s="1232">
      <c r="A337" s="1348" t="n">
        <v>44692</v>
      </c>
      <c r="B337" s="1349" t="inlineStr">
        <is>
          <t>Rod Fram</t>
        </is>
      </c>
      <c r="C337" s="1350" t="inlineStr">
        <is>
          <t>6. 1-2-1</t>
        </is>
      </c>
      <c r="D337" s="1349" t="inlineStr">
        <is>
          <t>Stripe</t>
        </is>
      </c>
      <c r="E337" s="1351" t="n">
        <v>75</v>
      </c>
      <c r="F337" s="1349" t="inlineStr">
        <is>
          <t>1hr Zoom</t>
        </is>
      </c>
      <c r="G337" s="1349" t="inlineStr">
        <is>
          <t>Existing</t>
        </is>
      </c>
    </row>
    <row r="338" ht="13.5" customHeight="1" s="1232">
      <c r="A338" s="1348" t="n">
        <v>44692</v>
      </c>
      <c r="B338" s="1349" t="inlineStr">
        <is>
          <t>Rod Fram</t>
        </is>
      </c>
      <c r="C338" s="1350" t="inlineStr">
        <is>
          <t>6. 1-2-1</t>
        </is>
      </c>
      <c r="D338" s="1349" t="inlineStr">
        <is>
          <t>Stripe</t>
        </is>
      </c>
      <c r="E338" s="1351" t="n">
        <v>75</v>
      </c>
      <c r="F338" s="1349" t="inlineStr">
        <is>
          <t>1hr Zoom</t>
        </is>
      </c>
      <c r="G338" s="1349" t="inlineStr">
        <is>
          <t>Existing</t>
        </is>
      </c>
    </row>
    <row r="339" ht="13.5" customHeight="1" s="1232">
      <c r="A339" s="1348" t="n">
        <v>44692</v>
      </c>
      <c r="B339" s="1349" t="inlineStr">
        <is>
          <t>Jack Greer</t>
        </is>
      </c>
      <c r="C339" s="1350" t="inlineStr">
        <is>
          <t>1. Courses/masterclasses</t>
        </is>
      </c>
      <c r="D339" s="1349" t="inlineStr">
        <is>
          <t>Bank</t>
        </is>
      </c>
      <c r="E339" s="1351" t="n">
        <v>200</v>
      </c>
      <c r="F339" s="1349" t="inlineStr">
        <is>
          <t>5wk Beginners Course</t>
        </is>
      </c>
      <c r="G339" s="1349" t="inlineStr">
        <is>
          <t>ELS</t>
        </is>
      </c>
    </row>
    <row r="340" ht="13.5" customHeight="1" s="1232">
      <c r="A340" s="1348" t="n">
        <v>44692</v>
      </c>
      <c r="B340" s="1349" t="inlineStr">
        <is>
          <t xml:space="preserve">Balraj Malhi </t>
        </is>
      </c>
      <c r="C340" s="1350" t="inlineStr">
        <is>
          <t>1. Courses/masterclasses</t>
        </is>
      </c>
      <c r="D340" s="1349" t="inlineStr">
        <is>
          <t>Bank</t>
        </is>
      </c>
      <c r="E340" s="1351" t="n">
        <v>200</v>
      </c>
      <c r="F340" s="1349" t="inlineStr">
        <is>
          <t>5wk Beginners Course</t>
        </is>
      </c>
      <c r="G340" s="1349" t="inlineStr">
        <is>
          <t>ELS</t>
        </is>
      </c>
    </row>
    <row r="341" ht="13.5" customHeight="1" s="1232">
      <c r="A341" s="1348" t="n">
        <v>44690</v>
      </c>
      <c r="B341" s="1349" t="inlineStr">
        <is>
          <t>Jeremey Troth</t>
        </is>
      </c>
      <c r="C341" s="1350" t="inlineStr">
        <is>
          <t>2. Workshops</t>
        </is>
      </c>
      <c r="D341" s="1349" t="inlineStr">
        <is>
          <t>Bank</t>
        </is>
      </c>
      <c r="E341" s="1351" t="n">
        <v>945</v>
      </c>
      <c r="F341" s="1349" t="inlineStr">
        <is>
          <t>Norfolk and Lake District</t>
        </is>
      </c>
      <c r="G341" s="1349" t="inlineStr">
        <is>
          <t>Existing</t>
        </is>
      </c>
    </row>
    <row r="342" ht="13.5" customHeight="1" s="1232">
      <c r="A342" s="1348" t="n">
        <v>44689</v>
      </c>
      <c r="B342" s="1349" t="inlineStr">
        <is>
          <t>Jenny Ladbrooke</t>
        </is>
      </c>
      <c r="C342" s="1350" t="inlineStr">
        <is>
          <t>2. Workshops</t>
        </is>
      </c>
      <c r="D342" s="1349" t="inlineStr">
        <is>
          <t>Stripe</t>
        </is>
      </c>
      <c r="E342" s="1351" t="n">
        <v>-775</v>
      </c>
      <c r="F342" s="1349" t="inlineStr">
        <is>
          <t>Devon</t>
        </is>
      </c>
      <c r="G342" s="1349" t="inlineStr">
        <is>
          <t>Google</t>
        </is>
      </c>
    </row>
    <row r="343" ht="13.5" customHeight="1" s="1232">
      <c r="A343" s="1348" t="n">
        <v>44689</v>
      </c>
      <c r="B343" s="1349" t="inlineStr">
        <is>
          <t>Gabriela Goncalves</t>
        </is>
      </c>
      <c r="C343" s="1350" t="inlineStr">
        <is>
          <t>2. Workshops</t>
        </is>
      </c>
      <c r="D343" s="1349" t="inlineStr">
        <is>
          <t>PayPal</t>
        </is>
      </c>
      <c r="E343" s="1351" t="n">
        <v>625</v>
      </c>
      <c r="F343" s="1349" t="inlineStr">
        <is>
          <t>Snowdonia</t>
        </is>
      </c>
      <c r="G343" s="1349" t="inlineStr">
        <is>
          <t>Google</t>
        </is>
      </c>
    </row>
    <row r="344" ht="13.5" customHeight="1" s="1232">
      <c r="A344" s="1348" t="n">
        <v>44689</v>
      </c>
      <c r="B344" s="1349" t="inlineStr">
        <is>
          <t>David Harrison</t>
        </is>
      </c>
      <c r="C344" s="1350" t="inlineStr">
        <is>
          <t>11. Other</t>
        </is>
      </c>
      <c r="D344" s="1349" t="inlineStr">
        <is>
          <t>PayPal</t>
        </is>
      </c>
      <c r="E344" s="1351" t="n">
        <v>17</v>
      </c>
      <c r="F344" s="1349" t="inlineStr">
        <is>
          <t>Viewing Frames</t>
        </is>
      </c>
      <c r="G344" s="1349" t="inlineStr">
        <is>
          <t>Google</t>
        </is>
      </c>
    </row>
    <row r="345" ht="13.5" customHeight="1" s="1232">
      <c r="A345" s="1348" t="n">
        <v>44687</v>
      </c>
      <c r="B345" s="1349" t="inlineStr">
        <is>
          <t>Julia Marshall</t>
        </is>
      </c>
      <c r="C345" s="1350" t="inlineStr">
        <is>
          <t>2. Workshops</t>
        </is>
      </c>
      <c r="D345" s="1349" t="inlineStr">
        <is>
          <t>Stripe</t>
        </is>
      </c>
      <c r="E345" s="1351" t="n">
        <v>150</v>
      </c>
      <c r="F345" s="1349" t="inlineStr">
        <is>
          <t>2 x Heather Workshop</t>
        </is>
      </c>
      <c r="G345" s="1349" t="inlineStr">
        <is>
          <t>Google</t>
        </is>
      </c>
    </row>
    <row r="346" ht="13.5" customHeight="1" s="1232">
      <c r="A346" s="1348" t="n">
        <v>44687</v>
      </c>
      <c r="B346" s="1349" t="inlineStr">
        <is>
          <t>Alan Hindley</t>
        </is>
      </c>
      <c r="C346" s="1350" t="inlineStr">
        <is>
          <t>7. Gift Vouchers Inc</t>
        </is>
      </c>
      <c r="D346" s="1349" t="inlineStr">
        <is>
          <t>Stripe</t>
        </is>
      </c>
      <c r="E346" s="1351" t="n">
        <v>150</v>
      </c>
      <c r="F346" s="1349" t="inlineStr">
        <is>
          <t>Digital Gift Card</t>
        </is>
      </c>
      <c r="G346" s="1349" t="inlineStr">
        <is>
          <t>Google</t>
        </is>
      </c>
    </row>
    <row r="347" ht="13.5" customHeight="1" s="1232">
      <c r="A347" s="1348" t="n">
        <v>44682</v>
      </c>
      <c r="B347" s="1349" t="inlineStr">
        <is>
          <t>Linda Newbery</t>
        </is>
      </c>
      <c r="C347" s="1350" t="inlineStr">
        <is>
          <t>2. Workshops</t>
        </is>
      </c>
      <c r="D347" s="1349" t="inlineStr">
        <is>
          <t>Stripe</t>
        </is>
      </c>
      <c r="E347" s="1351" t="n">
        <v>35</v>
      </c>
      <c r="F347" s="1349" t="inlineStr">
        <is>
          <t>Garden Workshop</t>
        </is>
      </c>
      <c r="G347" s="1349" t="inlineStr">
        <is>
          <t>Existing</t>
        </is>
      </c>
    </row>
    <row r="348" ht="13.5" customHeight="1" s="1232">
      <c r="A348" s="1348" t="n">
        <v>44682</v>
      </c>
      <c r="B348" s="1349" t="inlineStr">
        <is>
          <t>Pick n Mix Subs</t>
        </is>
      </c>
      <c r="C348" s="1350" t="inlineStr">
        <is>
          <t>3. Pick n Mix Inc</t>
        </is>
      </c>
      <c r="D348" s="1349" t="inlineStr">
        <is>
          <t>Various</t>
        </is>
      </c>
      <c r="E348" s="1351" t="n">
        <v>250</v>
      </c>
      <c r="F348" s="1349" t="inlineStr">
        <is>
          <t>Pick N Mix Payments</t>
        </is>
      </c>
      <c r="G348" s="1349" t="inlineStr">
        <is>
          <t>Existing</t>
        </is>
      </c>
    </row>
    <row r="349" ht="13.5" customHeight="1" s="1232">
      <c r="A349" s="1348" t="n">
        <v>44682</v>
      </c>
      <c r="B349" s="1349" t="inlineStr">
        <is>
          <t>Mentoring Subs</t>
        </is>
      </c>
      <c r="C349" s="1350" t="inlineStr">
        <is>
          <t>5. Mentoring</t>
        </is>
      </c>
      <c r="D349" s="1349" t="inlineStr">
        <is>
          <t>Various</t>
        </is>
      </c>
      <c r="E349" s="1351" t="n">
        <v>60</v>
      </c>
      <c r="F349" s="1349" t="inlineStr">
        <is>
          <t>Mentoring Subs</t>
        </is>
      </c>
      <c r="G349" s="1349" t="inlineStr">
        <is>
          <t>Existing</t>
        </is>
      </c>
    </row>
    <row r="350" ht="13.5" customHeight="1" s="1232">
      <c r="A350" s="1348" t="n"/>
      <c r="B350" s="1349" t="n"/>
      <c r="C350" s="1350" t="n"/>
      <c r="D350" s="1349" t="n"/>
      <c r="E350" s="1351" t="n"/>
      <c r="F350" s="1349" t="n"/>
      <c r="G350" s="1349" t="n"/>
    </row>
    <row r="351" ht="13.5" customHeight="1" s="1232">
      <c r="A351" s="1348" t="n">
        <v>44680</v>
      </c>
      <c r="B351" s="1349" t="inlineStr">
        <is>
          <t>Rod Fram</t>
        </is>
      </c>
      <c r="C351" s="1350" t="inlineStr">
        <is>
          <t>6. 1-2-1</t>
        </is>
      </c>
      <c r="D351" s="1349" t="inlineStr">
        <is>
          <t>Stripe</t>
        </is>
      </c>
      <c r="E351" s="1351" t="n">
        <v>75</v>
      </c>
      <c r="F351" s="1349" t="inlineStr">
        <is>
          <t>Zoom 1hrs</t>
        </is>
      </c>
      <c r="G351" s="1349" t="inlineStr">
        <is>
          <t>Existing</t>
        </is>
      </c>
    </row>
    <row r="352" ht="13.5" customHeight="1" s="1232">
      <c r="A352" s="1348" t="n">
        <v>44680</v>
      </c>
      <c r="B352" s="1349" t="inlineStr">
        <is>
          <t>Rod Fram</t>
        </is>
      </c>
      <c r="C352" s="1350" t="inlineStr">
        <is>
          <t>6. 1-2-1</t>
        </is>
      </c>
      <c r="D352" s="1349" t="inlineStr">
        <is>
          <t>Stripe</t>
        </is>
      </c>
      <c r="E352" s="1351" t="n">
        <v>75</v>
      </c>
      <c r="F352" s="1349" t="inlineStr">
        <is>
          <t>Zoom 1hrs</t>
        </is>
      </c>
      <c r="G352" s="1349" t="inlineStr">
        <is>
          <t>Existing</t>
        </is>
      </c>
    </row>
    <row r="353" ht="13.5" customHeight="1" s="1232">
      <c r="A353" s="1348" t="n">
        <v>44679</v>
      </c>
      <c r="B353" s="1349" t="inlineStr">
        <is>
          <t>Laura Green</t>
        </is>
      </c>
      <c r="C353" s="1350" t="inlineStr">
        <is>
          <t>6. 1-2-1</t>
        </is>
      </c>
      <c r="D353" s="1349" t="inlineStr">
        <is>
          <t>Stripe</t>
        </is>
      </c>
      <c r="E353" s="1351" t="n">
        <v>225</v>
      </c>
      <c r="F353" s="1349" t="inlineStr">
        <is>
          <t>4hrs 1-2-1</t>
        </is>
      </c>
      <c r="G353" s="1349" t="inlineStr">
        <is>
          <t>Google</t>
        </is>
      </c>
    </row>
    <row r="354" ht="13.5" customHeight="1" s="1232">
      <c r="A354" s="1348" t="n">
        <v>44679</v>
      </c>
      <c r="B354" s="1349" t="inlineStr">
        <is>
          <t>Stephen Champion</t>
        </is>
      </c>
      <c r="C354" s="1350" t="inlineStr">
        <is>
          <t>1. Courses/masterclasses</t>
        </is>
      </c>
      <c r="D354" s="1349" t="inlineStr">
        <is>
          <t>Stripe</t>
        </is>
      </c>
      <c r="E354" s="1351" t="n">
        <v>395</v>
      </c>
      <c r="F354" s="1349" t="inlineStr">
        <is>
          <t>RPS Mentoring</t>
        </is>
      </c>
      <c r="G354" s="1349" t="inlineStr">
        <is>
          <t>Google</t>
        </is>
      </c>
    </row>
    <row r="355" ht="13.5" customHeight="1" s="1232">
      <c r="A355" s="1348" t="n">
        <v>44679</v>
      </c>
      <c r="B355" s="1349" t="inlineStr">
        <is>
          <t>David Andringa</t>
        </is>
      </c>
      <c r="C355" s="1350" t="inlineStr">
        <is>
          <t>2. Workshops</t>
        </is>
      </c>
      <c r="D355" s="1349" t="inlineStr">
        <is>
          <t>PicknMix</t>
        </is>
      </c>
      <c r="E355" s="1351" t="n">
        <v>50</v>
      </c>
      <c r="F355" s="1349" t="inlineStr">
        <is>
          <t>LE Workshop</t>
        </is>
      </c>
      <c r="G355" s="1349" t="inlineStr">
        <is>
          <t>Existing</t>
        </is>
      </c>
    </row>
    <row r="356" ht="13.5" customHeight="1" s="1232">
      <c r="A356" s="1348" t="n">
        <v>44679</v>
      </c>
      <c r="B356" s="1349" t="inlineStr">
        <is>
          <t>David Andringa</t>
        </is>
      </c>
      <c r="C356" s="1350" t="inlineStr">
        <is>
          <t>4. Pick n Mix Out</t>
        </is>
      </c>
      <c r="D356" s="1349" t="inlineStr">
        <is>
          <t>PicknMix</t>
        </is>
      </c>
      <c r="E356" s="1351" t="n">
        <v>-50</v>
      </c>
      <c r="F356" s="1349" t="inlineStr">
        <is>
          <t>LE Workshop</t>
        </is>
      </c>
      <c r="G356" s="1349" t="inlineStr">
        <is>
          <t>Existing</t>
        </is>
      </c>
    </row>
    <row r="357" ht="13.5" customHeight="1" s="1232">
      <c r="A357" s="1348" t="n">
        <v>44679</v>
      </c>
      <c r="B357" s="1349" t="inlineStr">
        <is>
          <t>Karen Clothier</t>
        </is>
      </c>
      <c r="C357" s="1350" t="inlineStr">
        <is>
          <t>6. 1-2-1</t>
        </is>
      </c>
      <c r="D357" s="1349" t="inlineStr">
        <is>
          <t>PayPal</t>
        </is>
      </c>
      <c r="E357" s="1351" t="n">
        <v>51.8</v>
      </c>
      <c r="F357" s="1349" t="inlineStr">
        <is>
          <t>Zoom 1hrs</t>
        </is>
      </c>
      <c r="G357" s="1349" t="inlineStr">
        <is>
          <t>Existing</t>
        </is>
      </c>
    </row>
    <row r="358" ht="13.5" customHeight="1" s="1232">
      <c r="A358" s="1348" t="n">
        <v>44678</v>
      </c>
      <c r="B358" s="1349" t="inlineStr">
        <is>
          <t>Rod Fram</t>
        </is>
      </c>
      <c r="C358" s="1350" t="inlineStr">
        <is>
          <t>6. 1-2-1</t>
        </is>
      </c>
      <c r="D358" s="1349" t="inlineStr">
        <is>
          <t>Stripe</t>
        </is>
      </c>
      <c r="E358" s="1351" t="n">
        <v>50</v>
      </c>
      <c r="F358" s="1349" t="inlineStr">
        <is>
          <t>Zoom 1hrs</t>
        </is>
      </c>
      <c r="G358" s="1349" t="inlineStr">
        <is>
          <t>Existing</t>
        </is>
      </c>
    </row>
    <row r="359" ht="13.5" customHeight="1" s="1232">
      <c r="A359" s="1348" t="n">
        <v>44678</v>
      </c>
      <c r="B359" s="1349" t="inlineStr">
        <is>
          <t>Chris Clarke</t>
        </is>
      </c>
      <c r="C359" s="1350" t="inlineStr">
        <is>
          <t>2. Workshops</t>
        </is>
      </c>
      <c r="D359" s="1349" t="inlineStr">
        <is>
          <t>Stripe</t>
        </is>
      </c>
      <c r="E359" s="1351" t="n">
        <v>50</v>
      </c>
      <c r="F359" s="1349" t="inlineStr">
        <is>
          <t>Urban Architecture</t>
        </is>
      </c>
      <c r="G359" s="1349" t="inlineStr">
        <is>
          <t>Google</t>
        </is>
      </c>
    </row>
    <row r="360" ht="13.5" customHeight="1" s="1232">
      <c r="A360" s="1348" t="n">
        <v>44678</v>
      </c>
      <c r="B360" s="1349" t="inlineStr">
        <is>
          <t>Sarah Billington</t>
        </is>
      </c>
      <c r="C360" s="1350" t="inlineStr">
        <is>
          <t>2. Workshops</t>
        </is>
      </c>
      <c r="D360" s="1349" t="inlineStr">
        <is>
          <t>Stripe</t>
        </is>
      </c>
      <c r="E360" s="1351" t="n">
        <v>12</v>
      </c>
      <c r="F360" s="1349" t="inlineStr">
        <is>
          <t>Woodland Walk</t>
        </is>
      </c>
      <c r="G360" s="1349" t="inlineStr">
        <is>
          <t>Existing</t>
        </is>
      </c>
    </row>
    <row r="361" ht="13.5" customHeight="1" s="1232">
      <c r="A361" s="1348" t="n">
        <v>44678</v>
      </c>
      <c r="B361" s="1349" t="inlineStr">
        <is>
          <t>Sara Barsley</t>
        </is>
      </c>
      <c r="C361" s="1350" t="inlineStr">
        <is>
          <t>1. Courses/masterclasses</t>
        </is>
      </c>
      <c r="D361" s="1349" t="inlineStr">
        <is>
          <t>PayPal</t>
        </is>
      </c>
      <c r="E361" s="1351" t="n">
        <v>30</v>
      </c>
      <c r="F361" s="1349" t="inlineStr">
        <is>
          <t>Get off auto</t>
        </is>
      </c>
      <c r="G361" s="1349" t="inlineStr">
        <is>
          <t>Google</t>
        </is>
      </c>
    </row>
    <row r="362" ht="13.5" customHeight="1" s="1232">
      <c r="A362" s="1348" t="n">
        <v>44678</v>
      </c>
      <c r="B362" s="1349" t="inlineStr">
        <is>
          <t>CHARLOTTE LAURENS</t>
        </is>
      </c>
      <c r="C362" s="1350" t="inlineStr">
        <is>
          <t>6. 1-2-1</t>
        </is>
      </c>
      <c r="D362" s="1349" t="inlineStr">
        <is>
          <t>Stripe</t>
        </is>
      </c>
      <c r="E362" s="1351" t="n">
        <v>225</v>
      </c>
      <c r="F362" s="1349" t="inlineStr">
        <is>
          <t>4hrs 1-2-1</t>
        </is>
      </c>
      <c r="G362" s="1349" t="inlineStr">
        <is>
          <t>Google</t>
        </is>
      </c>
    </row>
    <row r="363" ht="13.5" customHeight="1" s="1232">
      <c r="A363" s="1348" t="n">
        <v>44676</v>
      </c>
      <c r="B363" s="1349" t="inlineStr">
        <is>
          <t>Graham Rippon</t>
        </is>
      </c>
      <c r="C363" s="1350" t="inlineStr">
        <is>
          <t>11. Other</t>
        </is>
      </c>
      <c r="D363" s="1349" t="inlineStr">
        <is>
          <t>Stripe</t>
        </is>
      </c>
      <c r="E363" s="1351" t="n">
        <v>2</v>
      </c>
      <c r="F363" s="1349" t="inlineStr">
        <is>
          <t>Pocket Guides</t>
        </is>
      </c>
      <c r="G363" s="1349" t="inlineStr">
        <is>
          <t>Google</t>
        </is>
      </c>
    </row>
    <row r="364" ht="13.5" customHeight="1" s="1232">
      <c r="A364" s="1348" t="n">
        <v>44675</v>
      </c>
      <c r="B364" s="1349" t="inlineStr">
        <is>
          <t>Rebecca Guy</t>
        </is>
      </c>
      <c r="C364" s="1350" t="inlineStr">
        <is>
          <t>7. Gift Vouchers Inc</t>
        </is>
      </c>
      <c r="D364" s="1349" t="inlineStr">
        <is>
          <t>Stripe</t>
        </is>
      </c>
      <c r="E364" s="1351" t="n">
        <v>500</v>
      </c>
      <c r="F364" s="1349" t="inlineStr">
        <is>
          <t>Digital Gift Card</t>
        </is>
      </c>
      <c r="G364" s="1349" t="inlineStr">
        <is>
          <t>Google</t>
        </is>
      </c>
    </row>
    <row r="365" ht="13.5" customHeight="1" s="1232">
      <c r="A365" s="1348" t="n">
        <v>44675</v>
      </c>
      <c r="B365" s="1349" t="inlineStr">
        <is>
          <t>Johanna Stansfield</t>
        </is>
      </c>
      <c r="C365" s="1350" t="inlineStr">
        <is>
          <t>2. Workshops</t>
        </is>
      </c>
      <c r="D365" s="1349" t="inlineStr">
        <is>
          <t>Stripe</t>
        </is>
      </c>
      <c r="E365" s="1351" t="n">
        <v>75</v>
      </c>
      <c r="F365" s="1349" t="inlineStr">
        <is>
          <t>Poppy Fields</t>
        </is>
      </c>
      <c r="G365" s="1349" t="inlineStr">
        <is>
          <t>Existing</t>
        </is>
      </c>
    </row>
    <row r="366" ht="13.5" customHeight="1" s="1232">
      <c r="A366" s="1348" t="n">
        <v>44674</v>
      </c>
      <c r="B366" s="1349" t="inlineStr">
        <is>
          <t>Karen Clothier</t>
        </is>
      </c>
      <c r="C366" s="1350" t="inlineStr">
        <is>
          <t>10 Commissions</t>
        </is>
      </c>
      <c r="D366" s="1349" t="inlineStr">
        <is>
          <t>PayPal</t>
        </is>
      </c>
      <c r="E366" s="1351" t="n">
        <v>56</v>
      </c>
      <c r="F366" s="1349" t="inlineStr">
        <is>
          <t>Business Cards / Glasses</t>
        </is>
      </c>
      <c r="G366" s="1349" t="inlineStr">
        <is>
          <t>Existing</t>
        </is>
      </c>
    </row>
    <row r="367" ht="13.5" customHeight="1" s="1232">
      <c r="A367" s="1348" t="n">
        <v>44674</v>
      </c>
      <c r="B367" s="1349" t="inlineStr">
        <is>
          <t>Artfully Walls</t>
        </is>
      </c>
      <c r="C367" s="1350" t="inlineStr">
        <is>
          <t>9. Prints &amp; Royalties</t>
        </is>
      </c>
      <c r="D367" s="1349" t="inlineStr">
        <is>
          <t>PayPal</t>
        </is>
      </c>
      <c r="E367" s="1351" t="n">
        <v>41.7</v>
      </c>
      <c r="F367" s="1349" t="inlineStr">
        <is>
          <t>Print Sales</t>
        </is>
      </c>
      <c r="G367" s="1349" t="inlineStr">
        <is>
          <t>Artfully Walls</t>
        </is>
      </c>
    </row>
    <row r="368" ht="13.5" customHeight="1" s="1232">
      <c r="A368" s="1348" t="n">
        <v>44674</v>
      </c>
      <c r="B368" s="1349" t="inlineStr">
        <is>
          <t>Peter Pauwels</t>
        </is>
      </c>
      <c r="C368" s="1350" t="inlineStr">
        <is>
          <t>2. Workshops</t>
        </is>
      </c>
      <c r="D368" s="1349" t="inlineStr">
        <is>
          <t>Stripe</t>
        </is>
      </c>
      <c r="E368" s="1351" t="n">
        <v>125</v>
      </c>
      <c r="F368" s="1349" t="inlineStr">
        <is>
          <t>Bluebells</t>
        </is>
      </c>
      <c r="G368" s="1349" t="inlineStr">
        <is>
          <t>Google</t>
        </is>
      </c>
    </row>
    <row r="369" ht="13.5" customHeight="1" s="1232">
      <c r="A369" s="1348" t="n">
        <v>44673</v>
      </c>
      <c r="B369" s="1349" t="inlineStr">
        <is>
          <t>Mark Bryant</t>
        </is>
      </c>
      <c r="C369" s="1350" t="inlineStr">
        <is>
          <t>2. Workshops</t>
        </is>
      </c>
      <c r="D369" s="1349" t="inlineStr">
        <is>
          <t>PayPal</t>
        </is>
      </c>
      <c r="E369" s="1351" t="n">
        <v>175</v>
      </c>
      <c r="F369" s="1349" t="inlineStr">
        <is>
          <t>Bluebells</t>
        </is>
      </c>
      <c r="G369" s="1349" t="inlineStr">
        <is>
          <t>Google</t>
        </is>
      </c>
    </row>
    <row r="370" ht="13.5" customHeight="1" s="1232">
      <c r="A370" s="1348" t="n">
        <v>44672</v>
      </c>
      <c r="B370" s="1349" t="inlineStr">
        <is>
          <t>Bianca Dodgen</t>
        </is>
      </c>
      <c r="C370" s="1350" t="inlineStr">
        <is>
          <t>2. Workshops</t>
        </is>
      </c>
      <c r="D370" s="1349" t="inlineStr">
        <is>
          <t>Stripe</t>
        </is>
      </c>
      <c r="E370" s="1351" t="n">
        <v>550</v>
      </c>
      <c r="F370" s="1349" t="inlineStr">
        <is>
          <t>Anglesey</t>
        </is>
      </c>
      <c r="G370" s="1349" t="inlineStr">
        <is>
          <t>Google</t>
        </is>
      </c>
    </row>
    <row r="371" ht="13.5" customHeight="1" s="1232">
      <c r="A371" s="1348" t="n">
        <v>44671</v>
      </c>
      <c r="B371" s="1349" t="inlineStr">
        <is>
          <t>Suzie Cummins</t>
        </is>
      </c>
      <c r="C371" s="1350" t="inlineStr">
        <is>
          <t>1. Courses/masterclasses</t>
        </is>
      </c>
      <c r="D371" s="1349" t="inlineStr">
        <is>
          <t>Stripe</t>
        </is>
      </c>
      <c r="E371" s="1351" t="n">
        <v>250</v>
      </c>
      <c r="F371" s="1349" t="inlineStr">
        <is>
          <t>Beginners Course</t>
        </is>
      </c>
      <c r="G371" s="1349" t="inlineStr">
        <is>
          <t>Google</t>
        </is>
      </c>
    </row>
    <row r="372" ht="13.5" customHeight="1" s="1232">
      <c r="A372" s="1348" t="n">
        <v>44671</v>
      </c>
      <c r="B372" s="1349" t="inlineStr">
        <is>
          <t>Shanthi Sivanantham</t>
        </is>
      </c>
      <c r="C372" s="1350" t="inlineStr">
        <is>
          <t>2. Workshops</t>
        </is>
      </c>
      <c r="D372" s="1349" t="inlineStr">
        <is>
          <t>Stripe</t>
        </is>
      </c>
      <c r="E372" s="1351" t="n">
        <v>125</v>
      </c>
      <c r="F372" s="1349" t="inlineStr">
        <is>
          <t>Bluebells</t>
        </is>
      </c>
      <c r="G372" s="1349" t="inlineStr">
        <is>
          <t>Google</t>
        </is>
      </c>
    </row>
    <row r="373" ht="13.5" customHeight="1" s="1232">
      <c r="A373" s="1348" t="n">
        <v>44670</v>
      </c>
      <c r="B373" s="1349" t="inlineStr">
        <is>
          <t>Steven Wells</t>
        </is>
      </c>
      <c r="C373" s="1350" t="inlineStr">
        <is>
          <t>2. Workshops</t>
        </is>
      </c>
      <c r="D373" s="1349" t="inlineStr">
        <is>
          <t>Stripe</t>
        </is>
      </c>
      <c r="E373" s="1351" t="n">
        <v>75</v>
      </c>
      <c r="F373" s="1349" t="inlineStr">
        <is>
          <t>Poppies</t>
        </is>
      </c>
      <c r="G373" s="1349" t="inlineStr">
        <is>
          <t>Google</t>
        </is>
      </c>
    </row>
    <row r="374" ht="13.5" customHeight="1" s="1232">
      <c r="A374" s="1348" t="n">
        <v>44669</v>
      </c>
      <c r="B374" s="1349" t="inlineStr">
        <is>
          <t>joanne guy</t>
        </is>
      </c>
      <c r="C374" s="1350" t="inlineStr">
        <is>
          <t>2. Workshops</t>
        </is>
      </c>
      <c r="D374" s="1349" t="inlineStr">
        <is>
          <t>Stripe</t>
        </is>
      </c>
      <c r="E374" s="1351" t="n">
        <v>125</v>
      </c>
      <c r="F374" s="1349" t="inlineStr">
        <is>
          <t>Bluebells</t>
        </is>
      </c>
      <c r="G374" s="1349" t="inlineStr">
        <is>
          <t>Google</t>
        </is>
      </c>
    </row>
    <row r="375" ht="13.5" customHeight="1" s="1232">
      <c r="A375" s="1348" t="n">
        <v>44669</v>
      </c>
      <c r="B375" s="1349" t="inlineStr">
        <is>
          <t>Youssef El-Gingihy</t>
        </is>
      </c>
      <c r="C375" s="1350" t="inlineStr">
        <is>
          <t>7. Gift Vouchers Inc</t>
        </is>
      </c>
      <c r="D375" s="1349" t="inlineStr">
        <is>
          <t>Stripe</t>
        </is>
      </c>
      <c r="E375" s="1351" t="n">
        <v>100</v>
      </c>
      <c r="F375" s="1349" t="inlineStr">
        <is>
          <t>Digital Gift Card</t>
        </is>
      </c>
      <c r="G375" s="1349" t="inlineStr">
        <is>
          <t>Google</t>
        </is>
      </c>
    </row>
    <row r="376" ht="13.5" customHeight="1" s="1232">
      <c r="A376" s="1348" t="n">
        <v>44669</v>
      </c>
      <c r="B376" s="1349" t="inlineStr">
        <is>
          <t>stuart towse</t>
        </is>
      </c>
      <c r="C376" s="1350" t="inlineStr">
        <is>
          <t>11. Other</t>
        </is>
      </c>
      <c r="D376" s="1349" t="inlineStr">
        <is>
          <t>PayPal</t>
        </is>
      </c>
      <c r="E376" s="1351" t="n">
        <v>17</v>
      </c>
      <c r="F376" s="1349" t="inlineStr">
        <is>
          <t>Viewing Cards</t>
        </is>
      </c>
      <c r="G376" s="1349" t="inlineStr">
        <is>
          <t>Google</t>
        </is>
      </c>
    </row>
    <row r="377" ht="13.5" customHeight="1" s="1232">
      <c r="A377" s="1348" t="n">
        <v>44665</v>
      </c>
      <c r="B377" s="1349" t="inlineStr">
        <is>
          <t>Gary Beggan</t>
        </is>
      </c>
      <c r="C377" s="1350" t="inlineStr">
        <is>
          <t>2. Workshops</t>
        </is>
      </c>
      <c r="D377" s="1349" t="inlineStr">
        <is>
          <t>Stripe</t>
        </is>
      </c>
      <c r="E377" s="1351" t="n">
        <v>125</v>
      </c>
      <c r="F377" s="1349" t="inlineStr">
        <is>
          <t>Bluebells</t>
        </is>
      </c>
      <c r="G377" s="1349" t="inlineStr">
        <is>
          <t>Facebook</t>
        </is>
      </c>
    </row>
    <row r="378" ht="13.5" customHeight="1" s="1232">
      <c r="A378" s="1348" t="n">
        <v>44664</v>
      </c>
      <c r="B378" s="1349" t="inlineStr">
        <is>
          <t>Rod Fram</t>
        </is>
      </c>
      <c r="C378" s="1350" t="inlineStr">
        <is>
          <t>6. 1-2-1</t>
        </is>
      </c>
      <c r="D378" s="1349" t="inlineStr">
        <is>
          <t>Stripe</t>
        </is>
      </c>
      <c r="E378" s="1351" t="n">
        <v>95</v>
      </c>
      <c r="F378" s="1349" t="inlineStr">
        <is>
          <t>Zoom 2hrs</t>
        </is>
      </c>
      <c r="G378" s="1349" t="inlineStr">
        <is>
          <t>Existing</t>
        </is>
      </c>
    </row>
    <row r="379" ht="13.5" customHeight="1" s="1232">
      <c r="A379" s="1348" t="n">
        <v>44664</v>
      </c>
      <c r="B379" s="1349" t="inlineStr">
        <is>
          <t>Hetal Trivedi</t>
        </is>
      </c>
      <c r="C379" s="1350" t="inlineStr">
        <is>
          <t>2. Workshops</t>
        </is>
      </c>
      <c r="D379" s="1349" t="inlineStr">
        <is>
          <t>Stripe</t>
        </is>
      </c>
      <c r="E379" s="1351" t="n">
        <v>125</v>
      </c>
      <c r="F379" s="1349" t="inlineStr">
        <is>
          <t>Bluebells</t>
        </is>
      </c>
      <c r="G379" s="1349" t="inlineStr">
        <is>
          <t>Google</t>
        </is>
      </c>
    </row>
    <row r="380" ht="13.5" customHeight="1" s="1232">
      <c r="A380" s="1348" t="n">
        <v>44664</v>
      </c>
      <c r="B380" s="1349" t="inlineStr">
        <is>
          <t>Anne Di John</t>
        </is>
      </c>
      <c r="C380" s="1350" t="inlineStr">
        <is>
          <t>2. Workshops</t>
        </is>
      </c>
      <c r="D380" s="1349" t="inlineStr">
        <is>
          <t>Stripe</t>
        </is>
      </c>
      <c r="E380" s="1351" t="n">
        <v>175</v>
      </c>
      <c r="F380" s="1349" t="inlineStr">
        <is>
          <t>Bluebells</t>
        </is>
      </c>
      <c r="G380" s="1349" t="inlineStr">
        <is>
          <t>Facebook</t>
        </is>
      </c>
    </row>
    <row r="381" ht="13.5" customHeight="1" s="1232">
      <c r="A381" s="1348" t="n">
        <v>44663</v>
      </c>
      <c r="B381" s="1349" t="inlineStr">
        <is>
          <t>Helen Pattie</t>
        </is>
      </c>
      <c r="C381" s="1350" t="inlineStr">
        <is>
          <t>2. Workshops</t>
        </is>
      </c>
      <c r="D381" s="1349" t="inlineStr">
        <is>
          <t>PayPal</t>
        </is>
      </c>
      <c r="E381" s="1351" t="n">
        <v>152.95</v>
      </c>
      <c r="F381" s="1349" t="inlineStr">
        <is>
          <t>Lake District - Sep extra B&amp;B</t>
        </is>
      </c>
      <c r="G381" s="1349" t="inlineStr">
        <is>
          <t>Existing</t>
        </is>
      </c>
    </row>
    <row r="382" ht="13.5" customHeight="1" s="1232">
      <c r="A382" s="1348" t="n">
        <v>44662</v>
      </c>
      <c r="B382" s="1349" t="inlineStr">
        <is>
          <t>Jenny Ladbrooke</t>
        </is>
      </c>
      <c r="C382" s="1350" t="inlineStr">
        <is>
          <t>2. Workshops</t>
        </is>
      </c>
      <c r="D382" s="1349" t="inlineStr">
        <is>
          <t>Stripe</t>
        </is>
      </c>
      <c r="E382" s="1351" t="n">
        <v>775</v>
      </c>
      <c r="F382" s="1349" t="inlineStr">
        <is>
          <t>Devon</t>
        </is>
      </c>
      <c r="G382" s="1349" t="inlineStr">
        <is>
          <t>Google</t>
        </is>
      </c>
    </row>
    <row r="383" ht="13.5" customHeight="1" s="1232">
      <c r="A383" s="1348" t="n">
        <v>44658</v>
      </c>
      <c r="B383" s="1349" t="inlineStr">
        <is>
          <t>sue green</t>
        </is>
      </c>
      <c r="C383" s="1350" t="inlineStr">
        <is>
          <t>2. Workshops</t>
        </is>
      </c>
      <c r="D383" s="1349" t="inlineStr">
        <is>
          <t>Stripe</t>
        </is>
      </c>
      <c r="E383" s="1351" t="n">
        <v>125</v>
      </c>
      <c r="F383" s="1349" t="inlineStr">
        <is>
          <t>Bluebells</t>
        </is>
      </c>
      <c r="G383" s="1349" t="inlineStr">
        <is>
          <t>Facebook</t>
        </is>
      </c>
    </row>
    <row r="384" ht="13.5" customHeight="1" s="1232">
      <c r="A384" s="1348" t="n">
        <v>44658</v>
      </c>
      <c r="B384" s="1349" t="inlineStr">
        <is>
          <t>Helen Pattie</t>
        </is>
      </c>
      <c r="C384" s="1350" t="inlineStr">
        <is>
          <t>2. Workshops</t>
        </is>
      </c>
      <c r="D384" s="1349" t="inlineStr">
        <is>
          <t>PayPal</t>
        </is>
      </c>
      <c r="E384" s="1351" t="n">
        <v>1500</v>
      </c>
      <c r="F384" s="1349" t="inlineStr">
        <is>
          <t>Lake District - Sep</t>
        </is>
      </c>
      <c r="G384" s="1349" t="inlineStr">
        <is>
          <t>Google</t>
        </is>
      </c>
    </row>
    <row r="385" ht="13.5" customHeight="1" s="1232">
      <c r="A385" s="1348" t="n">
        <v>44656</v>
      </c>
      <c r="B385" s="1349" t="inlineStr">
        <is>
          <t>Anne Sedlatschek</t>
        </is>
      </c>
      <c r="C385" s="1350" t="inlineStr">
        <is>
          <t>11. Other</t>
        </is>
      </c>
      <c r="D385" s="1349" t="inlineStr">
        <is>
          <t>PayPal</t>
        </is>
      </c>
      <c r="E385" s="1351" t="n">
        <v>21</v>
      </c>
      <c r="F385" s="1349" t="inlineStr">
        <is>
          <t>Viewing Cards</t>
        </is>
      </c>
      <c r="G385" s="1349" t="inlineStr">
        <is>
          <t>Google</t>
        </is>
      </c>
    </row>
    <row r="386" ht="13.5" customHeight="1" s="1232">
      <c r="A386" s="1348" t="n">
        <v>44654</v>
      </c>
      <c r="B386" s="1349" t="inlineStr">
        <is>
          <t>Kirsten Pearce</t>
        </is>
      </c>
      <c r="C386" s="1350" t="inlineStr">
        <is>
          <t>3. Pick n Mix Inc</t>
        </is>
      </c>
      <c r="D386" s="1349" t="inlineStr">
        <is>
          <t>Bank</t>
        </is>
      </c>
      <c r="E386" s="1351" t="n">
        <v>291.5</v>
      </c>
      <c r="F386" s="1349" t="inlineStr">
        <is>
          <t>Final PickNMix Payment</t>
        </is>
      </c>
      <c r="G386" s="1349" t="inlineStr">
        <is>
          <t>Existing</t>
        </is>
      </c>
    </row>
    <row r="387" ht="13.5" customHeight="1" s="1232">
      <c r="A387" s="1348" t="n">
        <v>44653</v>
      </c>
      <c r="B387" s="1349" t="inlineStr">
        <is>
          <t>Richard Packwood</t>
        </is>
      </c>
      <c r="C387" s="1350" t="inlineStr">
        <is>
          <t>2. Workshops</t>
        </is>
      </c>
      <c r="D387" s="1349" t="inlineStr">
        <is>
          <t>Stripe</t>
        </is>
      </c>
      <c r="E387" s="1351" t="n">
        <v>175</v>
      </c>
      <c r="F387" s="1349" t="inlineStr">
        <is>
          <t>Bluebells</t>
        </is>
      </c>
      <c r="G387" s="1349" t="inlineStr">
        <is>
          <t>Google</t>
        </is>
      </c>
    </row>
    <row r="388" ht="13.5" customHeight="1" s="1232">
      <c r="A388" s="1348" t="n">
        <v>44653</v>
      </c>
      <c r="B388" s="1349" t="inlineStr">
        <is>
          <t>Artfully Walls</t>
        </is>
      </c>
      <c r="C388" s="1350" t="inlineStr">
        <is>
          <t>9. Prints &amp; Royalties</t>
        </is>
      </c>
      <c r="D388" s="1349" t="inlineStr">
        <is>
          <t>PayPal</t>
        </is>
      </c>
      <c r="E388" s="1351" t="n">
        <v>185.82</v>
      </c>
      <c r="F388" s="1349" t="inlineStr">
        <is>
          <t>Print Sales</t>
        </is>
      </c>
      <c r="G388" s="1349" t="inlineStr">
        <is>
          <t>Artfully Walls</t>
        </is>
      </c>
    </row>
    <row r="389" ht="13.5" customHeight="1" s="1232">
      <c r="A389" s="1348" t="n">
        <v>44652</v>
      </c>
      <c r="B389" s="1349" t="inlineStr">
        <is>
          <t>Pick n Mix Subs</t>
        </is>
      </c>
      <c r="C389" s="1350" t="inlineStr">
        <is>
          <t>3. Pick n Mix Inc</t>
        </is>
      </c>
      <c r="D389" s="1349" t="inlineStr">
        <is>
          <t>Various</t>
        </is>
      </c>
      <c r="E389" s="1351" t="n">
        <v>250</v>
      </c>
      <c r="F389" s="1349" t="inlineStr">
        <is>
          <t>Pick N Mix Payments</t>
        </is>
      </c>
      <c r="G389" s="1349" t="inlineStr">
        <is>
          <t>Existing</t>
        </is>
      </c>
    </row>
    <row r="390" ht="13.5" customHeight="1" s="1232">
      <c r="A390" s="1348" t="n">
        <v>44652</v>
      </c>
      <c r="B390" s="1349" t="inlineStr">
        <is>
          <t>Mentoring Subs</t>
        </is>
      </c>
      <c r="C390" s="1350" t="inlineStr">
        <is>
          <t>5. Mentoring</t>
        </is>
      </c>
      <c r="D390" s="1349" t="inlineStr">
        <is>
          <t>Various</t>
        </is>
      </c>
      <c r="E390" s="1351" t="n">
        <v>60</v>
      </c>
      <c r="F390" s="1349" t="inlineStr">
        <is>
          <t>Mentoring Subs</t>
        </is>
      </c>
      <c r="G390" s="1349" t="inlineStr">
        <is>
          <t>Existing</t>
        </is>
      </c>
    </row>
    <row r="391" ht="13.5" customHeight="1" s="1232">
      <c r="A391" s="1348" t="n"/>
      <c r="B391" s="1349" t="n"/>
      <c r="C391" s="1350" t="n"/>
      <c r="D391" s="1349" t="n"/>
      <c r="E391" s="1351" t="n"/>
      <c r="F391" s="1349" t="n"/>
      <c r="G391" s="1349" t="n"/>
    </row>
    <row r="392" ht="13.5" customHeight="1" s="1232">
      <c r="A392" s="1348" t="n">
        <v>44651</v>
      </c>
      <c r="B392" s="1349" t="inlineStr">
        <is>
          <t>Jane Wilson</t>
        </is>
      </c>
      <c r="C392" s="1350" t="inlineStr">
        <is>
          <t>2. Workshops</t>
        </is>
      </c>
      <c r="D392" s="1349" t="inlineStr">
        <is>
          <t>Stripe</t>
        </is>
      </c>
      <c r="E392" s="1351" t="n">
        <v>99</v>
      </c>
      <c r="F392" s="1349" t="inlineStr">
        <is>
          <t>Bluebells</t>
        </is>
      </c>
      <c r="G392" s="1349" t="inlineStr">
        <is>
          <t>Existing</t>
        </is>
      </c>
    </row>
    <row r="393" ht="13.5" customHeight="1" s="1232">
      <c r="A393" s="1348" t="n">
        <v>44650</v>
      </c>
      <c r="B393" s="1349" t="inlineStr">
        <is>
          <t>Rod Fram</t>
        </is>
      </c>
      <c r="C393" s="1350" t="inlineStr">
        <is>
          <t>6. 1-2-1</t>
        </is>
      </c>
      <c r="D393" s="1349" t="inlineStr">
        <is>
          <t>Stripe</t>
        </is>
      </c>
      <c r="E393" s="1351" t="n">
        <v>270</v>
      </c>
      <c r="F393" s="1349" t="inlineStr">
        <is>
          <t>Zoom 1-2-1 2hrs x 2</t>
        </is>
      </c>
      <c r="G393" s="1349" t="inlineStr">
        <is>
          <t>Google</t>
        </is>
      </c>
    </row>
    <row r="394" ht="13.5" customHeight="1" s="1232">
      <c r="A394" s="1348" t="n">
        <v>44650</v>
      </c>
      <c r="B394" s="1349" t="inlineStr">
        <is>
          <t>Mike Brown</t>
        </is>
      </c>
      <c r="C394" s="1350" t="inlineStr">
        <is>
          <t>11. Other</t>
        </is>
      </c>
      <c r="D394" s="1349" t="inlineStr">
        <is>
          <t>Stripe</t>
        </is>
      </c>
      <c r="E394" s="1351" t="n">
        <v>7</v>
      </c>
      <c r="F394" s="1349" t="inlineStr">
        <is>
          <t>Pocket Guides</t>
        </is>
      </c>
      <c r="G394" s="1349" t="inlineStr">
        <is>
          <t>Existing</t>
        </is>
      </c>
    </row>
    <row r="395" ht="13.5" customHeight="1" s="1232">
      <c r="A395" s="1348" t="n">
        <v>44649</v>
      </c>
      <c r="B395" s="1349" t="inlineStr">
        <is>
          <t>Dan Horrocks</t>
        </is>
      </c>
      <c r="C395" s="1350" t="inlineStr">
        <is>
          <t>2. Workshops</t>
        </is>
      </c>
      <c r="D395" s="1349" t="inlineStr">
        <is>
          <t>Stripe</t>
        </is>
      </c>
      <c r="E395" s="1351" t="n">
        <v>99</v>
      </c>
      <c r="F395" s="1349" t="inlineStr">
        <is>
          <t>Bluebells</t>
        </is>
      </c>
      <c r="G395" s="1349" t="inlineStr">
        <is>
          <t>Facebook</t>
        </is>
      </c>
    </row>
    <row r="396" ht="13.5" customHeight="1" s="1232">
      <c r="A396" s="1348" t="n">
        <v>44648</v>
      </c>
      <c r="B396" s="1349" t="inlineStr">
        <is>
          <t>Andrew Pearce</t>
        </is>
      </c>
      <c r="C396" s="1350" t="inlineStr">
        <is>
          <t>2. Workshops</t>
        </is>
      </c>
      <c r="D396" s="1349" t="inlineStr">
        <is>
          <t>Stripe</t>
        </is>
      </c>
      <c r="E396" s="1351" t="n">
        <v>198</v>
      </c>
      <c r="F396" s="1349" t="inlineStr">
        <is>
          <t>Bluebells</t>
        </is>
      </c>
      <c r="G396" s="1349" t="inlineStr">
        <is>
          <t>Google</t>
        </is>
      </c>
    </row>
    <row r="397" ht="13.5" customHeight="1" s="1232">
      <c r="A397" s="1348" t="n">
        <v>44648</v>
      </c>
      <c r="B397" s="1349" t="inlineStr">
        <is>
          <t>Karen Clothier</t>
        </is>
      </c>
      <c r="C397" s="1350" t="inlineStr">
        <is>
          <t>6. 1-2-1</t>
        </is>
      </c>
      <c r="D397" s="1349" t="inlineStr">
        <is>
          <t>Stripe</t>
        </is>
      </c>
      <c r="E397" s="1351" t="n"/>
      <c r="F397" s="1349" t="inlineStr">
        <is>
          <t>Bank Transfer</t>
        </is>
      </c>
      <c r="G397" s="1349" t="inlineStr">
        <is>
          <t>Existing</t>
        </is>
      </c>
    </row>
    <row r="398" ht="13.5" customHeight="1" s="1232">
      <c r="A398" s="1348" t="n">
        <v>44646</v>
      </c>
      <c r="B398" s="1349" t="inlineStr">
        <is>
          <t>Helen Sotheran</t>
        </is>
      </c>
      <c r="C398" s="1350" t="inlineStr">
        <is>
          <t>6. 1-2-1</t>
        </is>
      </c>
      <c r="D398" s="1349" t="inlineStr">
        <is>
          <t>PayPal</t>
        </is>
      </c>
      <c r="E398" s="1351" t="n">
        <v>25</v>
      </c>
      <c r="F398" s="1349" t="inlineStr">
        <is>
          <t>Sensor Clean</t>
        </is>
      </c>
      <c r="G398" s="1349" t="inlineStr">
        <is>
          <t>Existing</t>
        </is>
      </c>
    </row>
    <row r="399" ht="13.5" customHeight="1" s="1232">
      <c r="A399" s="1348" t="n">
        <v>44646</v>
      </c>
      <c r="B399" s="1349" t="inlineStr">
        <is>
          <t>Helen Sotheran</t>
        </is>
      </c>
      <c r="C399" s="1350" t="inlineStr">
        <is>
          <t>6. 1-2-1</t>
        </is>
      </c>
      <c r="D399" s="1349" t="inlineStr">
        <is>
          <t>PayPal</t>
        </is>
      </c>
      <c r="E399" s="1351" t="n">
        <v>65</v>
      </c>
      <c r="F399" s="1349" t="inlineStr">
        <is>
          <t>1hr 1-2-1</t>
        </is>
      </c>
      <c r="G399" s="1349" t="inlineStr">
        <is>
          <t>Existing</t>
        </is>
      </c>
    </row>
    <row r="400" ht="13.5" customHeight="1" s="1232">
      <c r="A400" s="1348" t="n">
        <v>44645</v>
      </c>
      <c r="B400" s="1349" t="inlineStr">
        <is>
          <t>Karen Clothier</t>
        </is>
      </c>
      <c r="C400" s="1350" t="inlineStr">
        <is>
          <t>6. 1-2-1</t>
        </is>
      </c>
      <c r="D400" s="1349" t="inlineStr">
        <is>
          <t>Stripe</t>
        </is>
      </c>
      <c r="E400" s="1351" t="n"/>
      <c r="F400" s="1349" t="inlineStr">
        <is>
          <t>Bank Transfer</t>
        </is>
      </c>
      <c r="G400" s="1349" t="inlineStr">
        <is>
          <t>Existing</t>
        </is>
      </c>
    </row>
    <row r="401" ht="13.5" customHeight="1" s="1232">
      <c r="A401" s="1348" t="n">
        <v>44639</v>
      </c>
      <c r="B401" s="1349" t="inlineStr">
        <is>
          <t>Nicholas Barber</t>
        </is>
      </c>
      <c r="C401" s="1350" t="inlineStr">
        <is>
          <t>2. Workshops</t>
        </is>
      </c>
      <c r="D401" s="1349" t="inlineStr">
        <is>
          <t>PayPal</t>
        </is>
      </c>
      <c r="E401" s="1351" t="n">
        <v>99</v>
      </c>
      <c r="F401" s="1349" t="inlineStr">
        <is>
          <t>Bluebells</t>
        </is>
      </c>
      <c r="G401" s="1349" t="inlineStr">
        <is>
          <t>Existing</t>
        </is>
      </c>
    </row>
    <row r="402" ht="13.5" customHeight="1" s="1232">
      <c r="A402" s="1348" t="n">
        <v>44637</v>
      </c>
      <c r="B402" s="1349" t="inlineStr">
        <is>
          <t>alex ellis</t>
        </is>
      </c>
      <c r="C402" s="1350" t="inlineStr">
        <is>
          <t>11. Other</t>
        </is>
      </c>
      <c r="D402" s="1349" t="inlineStr">
        <is>
          <t>Stripe</t>
        </is>
      </c>
      <c r="E402" s="1351" t="n">
        <v>17</v>
      </c>
      <c r="F402" s="1349" t="inlineStr">
        <is>
          <t>Viewing Cards</t>
        </is>
      </c>
      <c r="G402" s="1349" t="inlineStr">
        <is>
          <t>Google</t>
        </is>
      </c>
    </row>
    <row r="403" ht="13.5" customHeight="1" s="1232">
      <c r="A403" s="1348" t="n">
        <v>44637</v>
      </c>
      <c r="B403" s="1349" t="inlineStr">
        <is>
          <t>Artfinder</t>
        </is>
      </c>
      <c r="C403" s="1350" t="inlineStr">
        <is>
          <t>9. Prints &amp; Royalties</t>
        </is>
      </c>
      <c r="D403" s="1349" t="inlineStr">
        <is>
          <t>Bank</t>
        </is>
      </c>
      <c r="E403" s="1351" t="n">
        <v>106.19</v>
      </c>
      <c r="F403" s="1349" t="inlineStr">
        <is>
          <t>Print Sales</t>
        </is>
      </c>
      <c r="G403" s="1349" t="inlineStr">
        <is>
          <t>Existing</t>
        </is>
      </c>
    </row>
    <row r="404" ht="13.5" customHeight="1" s="1232">
      <c r="A404" s="1348" t="n">
        <v>44635</v>
      </c>
      <c r="B404" s="1349" t="inlineStr">
        <is>
          <t>Pure Photo</t>
        </is>
      </c>
      <c r="C404" s="1350" t="inlineStr">
        <is>
          <t>9. Prints &amp; Royalties</t>
        </is>
      </c>
      <c r="D404" s="1349" t="inlineStr">
        <is>
          <t>PayPal</t>
        </is>
      </c>
      <c r="E404" s="1351" t="n">
        <v>755.9</v>
      </c>
      <c r="F404" s="1349" t="inlineStr">
        <is>
          <t>Print Sales</t>
        </is>
      </c>
      <c r="G404" s="1349" t="inlineStr">
        <is>
          <t>Pure Photo</t>
        </is>
      </c>
    </row>
    <row r="405" ht="13.5" customHeight="1" s="1232">
      <c r="A405" s="1348" t="n">
        <v>44634</v>
      </c>
      <c r="B405" s="1349" t="inlineStr">
        <is>
          <t>Ruth Redmond-Cooper</t>
        </is>
      </c>
      <c r="C405" s="1350" t="inlineStr">
        <is>
          <t>2. Workshops</t>
        </is>
      </c>
      <c r="D405" s="1349" t="inlineStr">
        <is>
          <t>Stripe</t>
        </is>
      </c>
      <c r="E405" s="1351" t="n">
        <v>495</v>
      </c>
      <c r="F405" s="1349" t="inlineStr">
        <is>
          <t>Anglesey</t>
        </is>
      </c>
      <c r="G405" s="1349" t="inlineStr">
        <is>
          <t>Google</t>
        </is>
      </c>
    </row>
    <row r="406" ht="13.5" customHeight="1" s="1232">
      <c r="A406" s="1348" t="n">
        <v>44634</v>
      </c>
      <c r="B406" s="1349" t="inlineStr">
        <is>
          <t>Lonnie Morris</t>
        </is>
      </c>
      <c r="C406" s="1350" t="inlineStr">
        <is>
          <t>2. Workshops</t>
        </is>
      </c>
      <c r="D406" s="1349" t="inlineStr">
        <is>
          <t>PayPal</t>
        </is>
      </c>
      <c r="E406" s="1351" t="n">
        <v>495</v>
      </c>
      <c r="F406" s="1349" t="inlineStr">
        <is>
          <t>Anglesey</t>
        </is>
      </c>
      <c r="G406" s="1349" t="inlineStr">
        <is>
          <t>Google</t>
        </is>
      </c>
    </row>
    <row r="407" ht="13.5" customHeight="1" s="1232">
      <c r="A407" s="1348" t="n">
        <v>44628</v>
      </c>
      <c r="B407" s="1349" t="inlineStr">
        <is>
          <t>William Aylett</t>
        </is>
      </c>
      <c r="C407" s="1350" t="inlineStr">
        <is>
          <t>2. Workshops</t>
        </is>
      </c>
      <c r="D407" s="1349" t="inlineStr">
        <is>
          <t>PayPal</t>
        </is>
      </c>
      <c r="E407" s="1351" t="n">
        <v>115.05</v>
      </c>
      <c r="F407" s="1349" t="inlineStr">
        <is>
          <t>Extra night B&amp;B</t>
        </is>
      </c>
      <c r="G407" s="1349" t="inlineStr">
        <is>
          <t>Existing</t>
        </is>
      </c>
    </row>
    <row r="408" ht="13.5" customHeight="1" s="1232">
      <c r="A408" s="1348" t="n">
        <v>44627</v>
      </c>
      <c r="B408" s="1349" t="inlineStr">
        <is>
          <t>Alex Lavender</t>
        </is>
      </c>
      <c r="C408" s="1350" t="inlineStr">
        <is>
          <t>6. 1-2-1</t>
        </is>
      </c>
      <c r="D408" s="1349" t="inlineStr">
        <is>
          <t>Stripe</t>
        </is>
      </c>
      <c r="E408" s="1351" t="n">
        <v>25</v>
      </c>
      <c r="F408" s="1352" t="inlineStr">
        <is>
          <t>1-2-1 4hrs</t>
        </is>
      </c>
      <c r="G408" s="1349" t="inlineStr">
        <is>
          <t>Existing</t>
        </is>
      </c>
    </row>
    <row r="409" ht="13.5" customHeight="1" s="1232">
      <c r="A409" s="1348" t="n">
        <v>44627</v>
      </c>
      <c r="B409" s="1349" t="inlineStr">
        <is>
          <t>Alex Lavender</t>
        </is>
      </c>
      <c r="C409" s="1350" t="inlineStr">
        <is>
          <t>6. 1-2-1</t>
        </is>
      </c>
      <c r="D409" s="1349" t="inlineStr">
        <is>
          <t>Gift Voucher Out</t>
        </is>
      </c>
      <c r="E409" s="1351" t="n">
        <v>200</v>
      </c>
      <c r="F409" s="1352" t="inlineStr">
        <is>
          <t>1-2-1 4hrs</t>
        </is>
      </c>
      <c r="G409" s="1349" t="inlineStr">
        <is>
          <t>Existing</t>
        </is>
      </c>
    </row>
    <row r="410" ht="13.5" customHeight="1" s="1232">
      <c r="A410" s="1348" t="n">
        <v>44627</v>
      </c>
      <c r="B410" s="1349" t="inlineStr">
        <is>
          <t>Alex Lavender</t>
        </is>
      </c>
      <c r="C410" s="1350" t="inlineStr">
        <is>
          <t>8. Gift Vouchers Out</t>
        </is>
      </c>
      <c r="D410" s="1349" t="inlineStr">
        <is>
          <t>Gift Voucher Out</t>
        </is>
      </c>
      <c r="E410" s="1351" t="n">
        <v>-200</v>
      </c>
      <c r="F410" s="1352" t="inlineStr">
        <is>
          <t>1-2-1 4hrs</t>
        </is>
      </c>
      <c r="G410" s="1349" t="inlineStr">
        <is>
          <t>Existing</t>
        </is>
      </c>
    </row>
    <row r="411" ht="13.5" customHeight="1" s="1232">
      <c r="A411" s="1348" t="n">
        <v>44627</v>
      </c>
      <c r="B411" s="1349" t="inlineStr">
        <is>
          <t>Karen Clothier</t>
        </is>
      </c>
      <c r="C411" s="1350" t="inlineStr">
        <is>
          <t>6. 1-2-1</t>
        </is>
      </c>
      <c r="D411" s="1349" t="inlineStr">
        <is>
          <t>Stripe</t>
        </is>
      </c>
      <c r="E411" s="1351" t="n"/>
      <c r="F411" s="1349" t="inlineStr">
        <is>
          <t>Bank Transfer</t>
        </is>
      </c>
      <c r="G411" s="1349" t="inlineStr">
        <is>
          <t>Existing</t>
        </is>
      </c>
    </row>
    <row r="412" ht="13.5" customHeight="1" s="1232">
      <c r="A412" s="1348" t="n">
        <v>44625</v>
      </c>
      <c r="B412" s="1349" t="inlineStr">
        <is>
          <t>Karen Clothier</t>
        </is>
      </c>
      <c r="C412" s="1350" t="inlineStr">
        <is>
          <t>6. 1-2-1</t>
        </is>
      </c>
      <c r="D412" s="1349" t="inlineStr">
        <is>
          <t>Stripe</t>
        </is>
      </c>
      <c r="E412" s="1351" t="n">
        <v>1200</v>
      </c>
      <c r="F412" s="1349" t="inlineStr">
        <is>
          <t>Website Migration</t>
        </is>
      </c>
      <c r="G412" s="1349" t="inlineStr">
        <is>
          <t>Existing</t>
        </is>
      </c>
    </row>
    <row r="413" ht="13.5" customHeight="1" s="1232">
      <c r="A413" s="1348" t="n">
        <v>44625</v>
      </c>
      <c r="B413" s="1349" t="inlineStr">
        <is>
          <t>David Andringa</t>
        </is>
      </c>
      <c r="C413" s="1350" t="inlineStr">
        <is>
          <t>2. Workshops</t>
        </is>
      </c>
      <c r="D413" s="1349" t="inlineStr">
        <is>
          <t>PicknMix</t>
        </is>
      </c>
      <c r="E413" s="1351" t="n">
        <v>675</v>
      </c>
      <c r="F413" s="1349" t="inlineStr">
        <is>
          <t>Lake District</t>
        </is>
      </c>
      <c r="G413" s="1349" t="inlineStr">
        <is>
          <t>Existing</t>
        </is>
      </c>
    </row>
    <row r="414" ht="13.5" customHeight="1" s="1232">
      <c r="A414" s="1348" t="n">
        <v>44625</v>
      </c>
      <c r="B414" s="1349" t="inlineStr">
        <is>
          <t>David Andringa</t>
        </is>
      </c>
      <c r="C414" s="1350" t="inlineStr">
        <is>
          <t>4. Pick n Mix Out</t>
        </is>
      </c>
      <c r="D414" s="1349" t="inlineStr">
        <is>
          <t>PicknMix</t>
        </is>
      </c>
      <c r="E414" s="1351" t="n">
        <v>-675</v>
      </c>
      <c r="F414" s="1349" t="inlineStr">
        <is>
          <t>Lake District</t>
        </is>
      </c>
      <c r="G414" s="1349" t="inlineStr">
        <is>
          <t>Existing</t>
        </is>
      </c>
    </row>
    <row r="415" ht="13.5" customHeight="1" s="1232">
      <c r="A415" s="1348" t="n">
        <v>44621</v>
      </c>
      <c r="B415" s="1349" t="inlineStr">
        <is>
          <t>Call of the Page</t>
        </is>
      </c>
      <c r="C415" s="1350" t="inlineStr">
        <is>
          <t>10 Commissions</t>
        </is>
      </c>
      <c r="D415" s="1349" t="inlineStr">
        <is>
          <t>Bank</t>
        </is>
      </c>
      <c r="E415" s="1351" t="n">
        <v>1200</v>
      </c>
      <c r="F415" s="1349" t="inlineStr">
        <is>
          <t>Course Feedback</t>
        </is>
      </c>
      <c r="G415" s="1349" t="inlineStr">
        <is>
          <t>Existing</t>
        </is>
      </c>
    </row>
    <row r="416" ht="13.5" customHeight="1" s="1232">
      <c r="A416" s="1348" t="n">
        <v>44621</v>
      </c>
      <c r="B416" s="1349" t="inlineStr">
        <is>
          <t>Pick n Mix Subs</t>
        </is>
      </c>
      <c r="C416" s="1350" t="inlineStr">
        <is>
          <t>3. Pick n Mix Inc</t>
        </is>
      </c>
      <c r="D416" s="1349" t="inlineStr">
        <is>
          <t>Various</t>
        </is>
      </c>
      <c r="E416" s="1351" t="n">
        <v>437.5</v>
      </c>
      <c r="F416" s="1349" t="inlineStr">
        <is>
          <t>Pick N Mix Payments</t>
        </is>
      </c>
      <c r="G416" s="1349" t="inlineStr">
        <is>
          <t>Existing</t>
        </is>
      </c>
    </row>
    <row r="417" ht="13.5" customHeight="1" s="1232">
      <c r="A417" s="1348" t="n">
        <v>44621</v>
      </c>
      <c r="B417" s="1349" t="inlineStr">
        <is>
          <t>Mentoring Subs</t>
        </is>
      </c>
      <c r="C417" s="1350" t="inlineStr">
        <is>
          <t>5. Mentoring</t>
        </is>
      </c>
      <c r="D417" s="1349" t="inlineStr">
        <is>
          <t>Various</t>
        </is>
      </c>
      <c r="E417" s="1351" t="n">
        <v>60</v>
      </c>
      <c r="F417" s="1349" t="inlineStr">
        <is>
          <t>Mentoring Subs</t>
        </is>
      </c>
      <c r="G417" s="1349" t="inlineStr">
        <is>
          <t>Existing</t>
        </is>
      </c>
    </row>
    <row r="418" ht="13.5" customHeight="1" s="1232">
      <c r="A418" s="1348" t="n"/>
      <c r="B418" s="1349" t="n"/>
      <c r="C418" s="1350" t="n"/>
      <c r="D418" s="1349" t="n"/>
      <c r="E418" s="1351" t="n"/>
      <c r="F418" s="1349" t="n"/>
      <c r="G418" s="1349" t="n"/>
    </row>
    <row r="419" ht="13.5" customHeight="1" s="1232">
      <c r="A419" s="1348" t="n">
        <v>44620</v>
      </c>
      <c r="B419" s="1349" t="inlineStr">
        <is>
          <t>Odie Evans</t>
        </is>
      </c>
      <c r="C419" s="1350" t="inlineStr">
        <is>
          <t>2. Workshops</t>
        </is>
      </c>
      <c r="D419" s="1349" t="inlineStr">
        <is>
          <t>Stripe</t>
        </is>
      </c>
      <c r="E419" s="1351" t="n">
        <v>12</v>
      </c>
      <c r="F419" s="1349" t="inlineStr">
        <is>
          <t>Woodland Walk</t>
        </is>
      </c>
      <c r="G419" s="1349" t="inlineStr">
        <is>
          <t>Google</t>
        </is>
      </c>
    </row>
    <row r="420" ht="13.5" customHeight="1" s="1232">
      <c r="A420" s="1348" t="n">
        <v>44620</v>
      </c>
      <c r="B420" s="1349" t="inlineStr">
        <is>
          <t xml:space="preserve">Balraj Malhi </t>
        </is>
      </c>
      <c r="C420" s="1350" t="inlineStr">
        <is>
          <t>1. Courses/masterclasses</t>
        </is>
      </c>
      <c r="D420" s="1349" t="inlineStr">
        <is>
          <t>Bank</t>
        </is>
      </c>
      <c r="E420" s="1351" t="n">
        <v>50</v>
      </c>
      <c r="F420" s="1349" t="inlineStr">
        <is>
          <t>5wk Course</t>
        </is>
      </c>
      <c r="G420" s="1349" t="inlineStr">
        <is>
          <t>ELS</t>
        </is>
      </c>
    </row>
    <row r="421" ht="13.5" customHeight="1" s="1232">
      <c r="A421" s="1348" t="n">
        <v>44620</v>
      </c>
      <c r="B421" s="1349" t="inlineStr">
        <is>
          <t>Christopher Parker</t>
        </is>
      </c>
      <c r="C421" s="1350" t="inlineStr">
        <is>
          <t>2. Workshops</t>
        </is>
      </c>
      <c r="D421" s="1349" t="inlineStr">
        <is>
          <t>Stripe</t>
        </is>
      </c>
      <c r="E421" s="1351" t="n">
        <v>12</v>
      </c>
      <c r="F421" s="1349" t="inlineStr">
        <is>
          <t>Woodland Walk</t>
        </is>
      </c>
      <c r="G421" s="1349" t="inlineStr">
        <is>
          <t>Existing</t>
        </is>
      </c>
    </row>
    <row r="422" ht="13.5" customHeight="1" s="1232">
      <c r="A422" s="1348" t="n">
        <v>44620</v>
      </c>
      <c r="B422" s="1349" t="inlineStr">
        <is>
          <t>Emma Leech</t>
        </is>
      </c>
      <c r="C422" s="1350" t="inlineStr">
        <is>
          <t>2. Workshops</t>
        </is>
      </c>
      <c r="D422" s="1349" t="inlineStr">
        <is>
          <t>Stripe</t>
        </is>
      </c>
      <c r="E422" s="1351" t="n">
        <v>12</v>
      </c>
      <c r="F422" s="1349" t="inlineStr">
        <is>
          <t>Woodland Walk</t>
        </is>
      </c>
      <c r="G422" s="1349" t="inlineStr">
        <is>
          <t>Existing</t>
        </is>
      </c>
    </row>
    <row r="423" ht="13.5" customHeight="1" s="1232">
      <c r="A423" s="1348" t="n">
        <v>44618</v>
      </c>
      <c r="B423" s="1349" t="inlineStr">
        <is>
          <t>Patricia Knauff</t>
        </is>
      </c>
      <c r="C423" s="1350" t="inlineStr">
        <is>
          <t>7. Gift Vouchers Inc</t>
        </is>
      </c>
      <c r="D423" s="1349" t="inlineStr">
        <is>
          <t>Stripe</t>
        </is>
      </c>
      <c r="E423" s="1351" t="n">
        <v>200</v>
      </c>
      <c r="F423" s="1349" t="inlineStr">
        <is>
          <t>Digital Gift Card</t>
        </is>
      </c>
      <c r="G423" s="1349" t="inlineStr">
        <is>
          <t>Google</t>
        </is>
      </c>
    </row>
    <row r="424" ht="13.5" customHeight="1" s="1232">
      <c r="A424" s="1348" t="n">
        <v>44615</v>
      </c>
      <c r="B424" s="1349" t="inlineStr">
        <is>
          <t>Peter Hagger</t>
        </is>
      </c>
      <c r="C424" s="1350" t="inlineStr">
        <is>
          <t>6. 1-2-1</t>
        </is>
      </c>
      <c r="D424" s="1349" t="inlineStr">
        <is>
          <t>Stripe</t>
        </is>
      </c>
      <c r="E424" s="1351" t="n">
        <v>50</v>
      </c>
      <c r="F424" s="1349" t="inlineStr">
        <is>
          <t>RPS Mentoring</t>
        </is>
      </c>
      <c r="G424" s="1349" t="inlineStr">
        <is>
          <t>Existing</t>
        </is>
      </c>
    </row>
    <row r="425" ht="13.5" customHeight="1" s="1232">
      <c r="A425" s="1348" t="n">
        <v>44606</v>
      </c>
      <c r="B425" s="1349" t="inlineStr">
        <is>
          <t>Johanna Stansfield</t>
        </is>
      </c>
      <c r="C425" s="1350" t="inlineStr">
        <is>
          <t>2. Workshops</t>
        </is>
      </c>
      <c r="D425" s="1349" t="inlineStr">
        <is>
          <t>PicknMix</t>
        </is>
      </c>
      <c r="E425" s="1351" t="n">
        <v>125</v>
      </c>
      <c r="F425" s="1349" t="inlineStr">
        <is>
          <t>Bluebells</t>
        </is>
      </c>
      <c r="G425" s="1349" t="inlineStr">
        <is>
          <t>Existing</t>
        </is>
      </c>
    </row>
    <row r="426" ht="13.5" customHeight="1" s="1232">
      <c r="A426" s="1348" t="n">
        <v>44606</v>
      </c>
      <c r="B426" s="1349" t="inlineStr">
        <is>
          <t>Johanna Stansfield</t>
        </is>
      </c>
      <c r="C426" s="1350" t="inlineStr">
        <is>
          <t>4. Pick n Mix Out</t>
        </is>
      </c>
      <c r="D426" s="1349" t="inlineStr">
        <is>
          <t>PicknMix</t>
        </is>
      </c>
      <c r="E426" s="1351" t="n">
        <v>-125</v>
      </c>
      <c r="F426" s="1349" t="inlineStr">
        <is>
          <t>Bluebells</t>
        </is>
      </c>
      <c r="G426" s="1349" t="inlineStr">
        <is>
          <t>Existing</t>
        </is>
      </c>
    </row>
    <row r="427" ht="13.5" customHeight="1" s="1232">
      <c r="A427" s="1348" t="n">
        <v>44608</v>
      </c>
      <c r="B427" s="1349" t="inlineStr">
        <is>
          <t>Andrew Noden</t>
        </is>
      </c>
      <c r="C427" s="1350" t="inlineStr">
        <is>
          <t>11. Other</t>
        </is>
      </c>
      <c r="D427" s="1349" t="inlineStr">
        <is>
          <t>PayPal</t>
        </is>
      </c>
      <c r="E427" s="1351" t="n">
        <v>37</v>
      </c>
      <c r="F427" s="1349" t="inlineStr">
        <is>
          <t>Viewing Frames</t>
        </is>
      </c>
      <c r="G427" s="1349" t="inlineStr">
        <is>
          <t>Google</t>
        </is>
      </c>
    </row>
    <row r="428" ht="13.5" customHeight="1" s="1232">
      <c r="A428" s="1348" t="n">
        <v>44608</v>
      </c>
      <c r="B428" s="1349" t="inlineStr">
        <is>
          <t>Adam Dalton</t>
        </is>
      </c>
      <c r="C428" s="1350" t="inlineStr">
        <is>
          <t>2. Workshops</t>
        </is>
      </c>
      <c r="D428" s="1349" t="inlineStr">
        <is>
          <t>Stripe</t>
        </is>
      </c>
      <c r="E428" s="1351" t="n">
        <v>300</v>
      </c>
      <c r="F428" s="1349" t="inlineStr">
        <is>
          <t>Peak District x 2</t>
        </is>
      </c>
      <c r="G428" s="1349" t="inlineStr">
        <is>
          <t>Google</t>
        </is>
      </c>
    </row>
    <row r="429" ht="13.5" customHeight="1" s="1232">
      <c r="A429" s="1348" t="n">
        <v>44608</v>
      </c>
      <c r="B429" s="1349" t="inlineStr">
        <is>
          <t>Patricia Willis</t>
        </is>
      </c>
      <c r="C429" s="1350" t="inlineStr">
        <is>
          <t>11. Other</t>
        </is>
      </c>
      <c r="D429" s="1349" t="inlineStr">
        <is>
          <t>Stripe</t>
        </is>
      </c>
      <c r="E429" s="1351" t="n">
        <v>2</v>
      </c>
      <c r="F429" s="1349" t="inlineStr">
        <is>
          <t>Pocket Guides</t>
        </is>
      </c>
      <c r="G429" s="1349" t="inlineStr">
        <is>
          <t>Existing</t>
        </is>
      </c>
    </row>
    <row r="430" ht="13.5" customHeight="1" s="1232">
      <c r="A430" s="1348" t="n">
        <v>44608</v>
      </c>
      <c r="B430" s="1349" t="inlineStr">
        <is>
          <t>Tony Teague</t>
        </is>
      </c>
      <c r="C430" s="1350" t="inlineStr">
        <is>
          <t>6. 1-2-1</t>
        </is>
      </c>
      <c r="D430" s="1349" t="inlineStr">
        <is>
          <t>Stripe</t>
        </is>
      </c>
      <c r="E430" s="1351" t="n">
        <v>50</v>
      </c>
      <c r="F430" s="1349" t="inlineStr">
        <is>
          <t>Zoom 1hr 1-2-1</t>
        </is>
      </c>
      <c r="G430" s="1349" t="inlineStr">
        <is>
          <t>Existing</t>
        </is>
      </c>
    </row>
    <row r="431" ht="13.5" customHeight="1" s="1232">
      <c r="A431" s="1348" t="n">
        <v>44609</v>
      </c>
      <c r="B431" s="1349" t="inlineStr">
        <is>
          <t>Johanna Stansfield</t>
        </is>
      </c>
      <c r="C431" s="1350" t="inlineStr">
        <is>
          <t>1. Courses/masterclasses</t>
        </is>
      </c>
      <c r="D431" s="1349" t="inlineStr">
        <is>
          <t>Stripe</t>
        </is>
      </c>
      <c r="E431" s="1351" t="n">
        <v>250</v>
      </c>
      <c r="F431" s="1349" t="inlineStr">
        <is>
          <t>LR Course</t>
        </is>
      </c>
      <c r="G431" s="1349" t="inlineStr">
        <is>
          <t>Existing</t>
        </is>
      </c>
    </row>
    <row r="432" ht="13.5" customHeight="1" s="1232">
      <c r="A432" s="1348" t="n">
        <v>44614</v>
      </c>
      <c r="B432" s="1349" t="inlineStr">
        <is>
          <t>Tony Teague</t>
        </is>
      </c>
      <c r="C432" s="1350" t="inlineStr">
        <is>
          <t>6. 1-2-1</t>
        </is>
      </c>
      <c r="D432" s="1349" t="inlineStr">
        <is>
          <t>Stripe</t>
        </is>
      </c>
      <c r="E432" s="1351" t="n">
        <v>50</v>
      </c>
      <c r="F432" s="1349" t="inlineStr">
        <is>
          <t>Zoom 1hr 1-2-1</t>
        </is>
      </c>
      <c r="G432" s="1349" t="inlineStr">
        <is>
          <t>Existing</t>
        </is>
      </c>
    </row>
    <row r="433" ht="13.5" customHeight="1" s="1232">
      <c r="A433" s="1348" t="n">
        <v>44613</v>
      </c>
      <c r="B433" s="1349" t="inlineStr">
        <is>
          <t>Karen Clothier</t>
        </is>
      </c>
      <c r="C433" s="1350" t="inlineStr">
        <is>
          <t>6. 1-2-1</t>
        </is>
      </c>
      <c r="D433" s="1349" t="inlineStr">
        <is>
          <t>Stripe</t>
        </is>
      </c>
      <c r="E433" s="1351" t="n"/>
      <c r="F433" s="1349" t="inlineStr">
        <is>
          <t>Bank Transfer</t>
        </is>
      </c>
      <c r="G433" s="1349" t="inlineStr">
        <is>
          <t>Existing</t>
        </is>
      </c>
    </row>
    <row r="434" ht="13.5" customHeight="1" s="1232">
      <c r="A434" s="1348" t="n">
        <v>44605</v>
      </c>
      <c r="B434" s="1349" t="inlineStr">
        <is>
          <t>Nigel Doe</t>
        </is>
      </c>
      <c r="C434" s="1350" t="inlineStr">
        <is>
          <t>2. Workshops</t>
        </is>
      </c>
      <c r="D434" s="1349" t="inlineStr">
        <is>
          <t>Stripe</t>
        </is>
      </c>
      <c r="E434" s="1351" t="n">
        <v>95</v>
      </c>
      <c r="F434" s="1349" t="inlineStr">
        <is>
          <t>Clent Hills</t>
        </is>
      </c>
      <c r="G434" s="1349" t="inlineStr">
        <is>
          <t>Google</t>
        </is>
      </c>
    </row>
    <row r="435" ht="13.5" customHeight="1" s="1232">
      <c r="A435" s="1348" t="n">
        <v>44602</v>
      </c>
      <c r="B435" s="1349" t="inlineStr">
        <is>
          <t>Peter Hagger</t>
        </is>
      </c>
      <c r="C435" s="1350" t="inlineStr">
        <is>
          <t>6. 1-2-1</t>
        </is>
      </c>
      <c r="D435" s="1349" t="inlineStr">
        <is>
          <t>Stripe</t>
        </is>
      </c>
      <c r="E435" s="1351" t="n">
        <v>50</v>
      </c>
      <c r="F435" s="1349" t="inlineStr">
        <is>
          <t>RPS Mentoring</t>
        </is>
      </c>
      <c r="G435" s="1349" t="inlineStr">
        <is>
          <t>Existing</t>
        </is>
      </c>
    </row>
    <row r="436" ht="13.5" customHeight="1" s="1232">
      <c r="A436" s="1348" t="n">
        <v>44601</v>
      </c>
      <c r="B436" s="1349" t="inlineStr">
        <is>
          <t>Jane Robb</t>
        </is>
      </c>
      <c r="C436" s="1350" t="inlineStr">
        <is>
          <t>5. Mentoring</t>
        </is>
      </c>
      <c r="D436" s="1349" t="inlineStr">
        <is>
          <t>Stripe</t>
        </is>
      </c>
      <c r="E436" s="1351" t="n">
        <v>20</v>
      </c>
      <c r="F436" s="1349" t="inlineStr">
        <is>
          <t>Monthly Mentoring</t>
        </is>
      </c>
      <c r="G436" s="1349" t="inlineStr">
        <is>
          <t>Existing</t>
        </is>
      </c>
    </row>
    <row r="437" ht="13.5" customHeight="1" s="1232">
      <c r="A437" s="1348" t="n">
        <v>44600</v>
      </c>
      <c r="B437" s="1349" t="inlineStr">
        <is>
          <t>Neil Rimmington</t>
        </is>
      </c>
      <c r="C437" s="1350" t="inlineStr">
        <is>
          <t>2. Workshops</t>
        </is>
      </c>
      <c r="D437" s="1349" t="inlineStr">
        <is>
          <t>Stripe</t>
        </is>
      </c>
      <c r="E437" s="1351" t="n">
        <v>60</v>
      </c>
      <c r="F437" s="1349" t="inlineStr">
        <is>
          <t>Rollright Stones</t>
        </is>
      </c>
      <c r="G437" s="1349" t="inlineStr">
        <is>
          <t>Google</t>
        </is>
      </c>
    </row>
    <row r="438" ht="13.5" customHeight="1" s="1232">
      <c r="A438" s="1348" t="n">
        <v>44600</v>
      </c>
      <c r="B438" s="1349" t="inlineStr">
        <is>
          <t>Jens Kaus</t>
        </is>
      </c>
      <c r="C438" s="1350" t="inlineStr">
        <is>
          <t>6. 1-2-1</t>
        </is>
      </c>
      <c r="D438" s="1349" t="inlineStr">
        <is>
          <t>Stripe</t>
        </is>
      </c>
      <c r="E438" s="1351" t="n">
        <v>50</v>
      </c>
      <c r="F438" s="1349" t="inlineStr">
        <is>
          <t>1hr Zoom</t>
        </is>
      </c>
      <c r="G438" s="1349" t="inlineStr">
        <is>
          <t>Existing</t>
        </is>
      </c>
    </row>
    <row r="439" ht="13.5" customHeight="1" s="1232">
      <c r="A439" s="1348" t="n">
        <v>44600</v>
      </c>
      <c r="B439" s="1349" t="inlineStr">
        <is>
          <t>Priya Darshan Singh</t>
        </is>
      </c>
      <c r="C439" s="1350" t="inlineStr">
        <is>
          <t>11. Other</t>
        </is>
      </c>
      <c r="D439" s="1349" t="inlineStr">
        <is>
          <t>Stripe</t>
        </is>
      </c>
      <c r="E439" s="1351" t="n">
        <v>21</v>
      </c>
      <c r="F439" s="1349" t="inlineStr">
        <is>
          <t>Viewing Frames</t>
        </is>
      </c>
      <c r="G439" s="1349" t="inlineStr">
        <is>
          <t>Google</t>
        </is>
      </c>
    </row>
    <row r="440" ht="13.5" customHeight="1" s="1232">
      <c r="A440" s="1348" t="n">
        <v>44600</v>
      </c>
      <c r="B440" s="1349" t="inlineStr">
        <is>
          <t>Jeremy Troth</t>
        </is>
      </c>
      <c r="C440" s="1350" t="inlineStr">
        <is>
          <t>2. Workshops</t>
        </is>
      </c>
      <c r="D440" s="1349" t="inlineStr">
        <is>
          <t>Bank</t>
        </is>
      </c>
      <c r="E440" s="1351" t="n">
        <v>250</v>
      </c>
      <c r="F440" s="1349" t="inlineStr">
        <is>
          <t>Norfolk</t>
        </is>
      </c>
      <c r="G440" s="1349" t="inlineStr">
        <is>
          <t>Existing</t>
        </is>
      </c>
    </row>
    <row r="441" ht="13.5" customHeight="1" s="1232">
      <c r="A441" s="1348" t="n">
        <v>44600</v>
      </c>
      <c r="B441" s="1349" t="inlineStr">
        <is>
          <t>Jeremy Troth</t>
        </is>
      </c>
      <c r="C441" s="1350" t="inlineStr">
        <is>
          <t>2. Workshops</t>
        </is>
      </c>
      <c r="D441" s="1349" t="inlineStr">
        <is>
          <t>Bank</t>
        </is>
      </c>
      <c r="E441" s="1351" t="n">
        <v>250</v>
      </c>
      <c r="F441" s="1349" t="inlineStr">
        <is>
          <t>Lake District</t>
        </is>
      </c>
      <c r="G441" s="1349" t="inlineStr">
        <is>
          <t>Existing</t>
        </is>
      </c>
    </row>
    <row r="442" ht="13.5" customHeight="1" s="1232">
      <c r="A442" s="1348" t="n">
        <v>44598</v>
      </c>
      <c r="B442" s="1349" t="inlineStr">
        <is>
          <t>Karen Clothier</t>
        </is>
      </c>
      <c r="C442" s="1350" t="inlineStr">
        <is>
          <t>6. 1-2-1</t>
        </is>
      </c>
      <c r="D442" s="1349" t="inlineStr">
        <is>
          <t>Stripe</t>
        </is>
      </c>
      <c r="E442" s="1351" t="n"/>
      <c r="F442" s="1349" t="inlineStr">
        <is>
          <t>Bank Transfer</t>
        </is>
      </c>
      <c r="G442" s="1349" t="inlineStr">
        <is>
          <t>Existing</t>
        </is>
      </c>
    </row>
    <row r="443" ht="13.5" customHeight="1" s="1232">
      <c r="A443" s="1348" t="n">
        <v>44597</v>
      </c>
      <c r="B443" s="1349" t="inlineStr">
        <is>
          <t>Michael Jaye</t>
        </is>
      </c>
      <c r="C443" s="1350" t="inlineStr">
        <is>
          <t>2. Workshops</t>
        </is>
      </c>
      <c r="D443" s="1349" t="inlineStr">
        <is>
          <t>Stripe</t>
        </is>
      </c>
      <c r="E443" s="1351" t="n">
        <v>60</v>
      </c>
      <c r="F443" s="1349" t="inlineStr">
        <is>
          <t>Rollright Stones</t>
        </is>
      </c>
      <c r="G443" s="1349" t="inlineStr">
        <is>
          <t>Existing</t>
        </is>
      </c>
    </row>
    <row r="444" ht="13.5" customHeight="1" s="1232">
      <c r="A444" s="1348" t="n">
        <v>44597</v>
      </c>
      <c r="B444" s="1349" t="inlineStr">
        <is>
          <t>Jeremy Troth</t>
        </is>
      </c>
      <c r="C444" s="1350" t="inlineStr">
        <is>
          <t>2. Workshops</t>
        </is>
      </c>
      <c r="D444" s="1349" t="inlineStr">
        <is>
          <t>Stripe</t>
        </is>
      </c>
      <c r="E444" s="1351" t="n">
        <v>125</v>
      </c>
      <c r="F444" s="1349" t="inlineStr">
        <is>
          <t>Fairy Glen</t>
        </is>
      </c>
      <c r="G444" s="1349" t="inlineStr">
        <is>
          <t>Existing</t>
        </is>
      </c>
    </row>
    <row r="445" ht="13.5" customHeight="1" s="1232">
      <c r="A445" s="1348" t="n">
        <v>44596</v>
      </c>
      <c r="B445" s="1349" t="inlineStr">
        <is>
          <t>Huw Jones</t>
        </is>
      </c>
      <c r="C445" s="1350" t="inlineStr">
        <is>
          <t>2. Workshops</t>
        </is>
      </c>
      <c r="D445" s="1349" t="inlineStr">
        <is>
          <t>Stripe</t>
        </is>
      </c>
      <c r="E445" s="1351" t="n">
        <v>125</v>
      </c>
      <c r="F445" s="1349" t="inlineStr">
        <is>
          <t>Bluebells</t>
        </is>
      </c>
      <c r="G445" s="1349" t="inlineStr">
        <is>
          <t>Existing</t>
        </is>
      </c>
    </row>
    <row r="446" ht="13.5" customHeight="1" s="1232">
      <c r="A446" s="1348" t="n">
        <v>44595</v>
      </c>
      <c r="B446" s="1349" t="inlineStr">
        <is>
          <t>Jeremy Troth</t>
        </is>
      </c>
      <c r="C446" s="1350" t="inlineStr">
        <is>
          <t>2. Workshops</t>
        </is>
      </c>
      <c r="D446" s="1349" t="inlineStr">
        <is>
          <t>Gift Voucher Out</t>
        </is>
      </c>
      <c r="E446" s="1351" t="n">
        <v>30</v>
      </c>
      <c r="F446" s="1349" t="inlineStr">
        <is>
          <t>Anglesey</t>
        </is>
      </c>
      <c r="G446" s="1349" t="inlineStr">
        <is>
          <t>Existing</t>
        </is>
      </c>
    </row>
    <row r="447" ht="13.5" customHeight="1" s="1232">
      <c r="A447" s="1348" t="n">
        <v>44595</v>
      </c>
      <c r="B447" s="1349" t="inlineStr">
        <is>
          <t>Jeremy Troth</t>
        </is>
      </c>
      <c r="C447" s="1350" t="inlineStr">
        <is>
          <t>8. Gift Vouchers Out</t>
        </is>
      </c>
      <c r="D447" s="1349" t="inlineStr">
        <is>
          <t>Gift Voucher Out</t>
        </is>
      </c>
      <c r="E447" s="1351" t="n">
        <v>-30</v>
      </c>
      <c r="F447" s="1349" t="inlineStr">
        <is>
          <t>Anglesey</t>
        </is>
      </c>
      <c r="G447" s="1349" t="inlineStr">
        <is>
          <t>Existing</t>
        </is>
      </c>
    </row>
    <row r="448" ht="13.5" customHeight="1" s="1232">
      <c r="A448" s="1348" t="n">
        <v>44595</v>
      </c>
      <c r="B448" s="1349" t="inlineStr">
        <is>
          <t>Jeremy Troth</t>
        </is>
      </c>
      <c r="C448" s="1350" t="inlineStr">
        <is>
          <t>2. Workshops</t>
        </is>
      </c>
      <c r="D448" s="1349" t="inlineStr">
        <is>
          <t>Stripe</t>
        </is>
      </c>
      <c r="E448" s="1351" t="n">
        <v>465</v>
      </c>
      <c r="F448" s="1349" t="inlineStr">
        <is>
          <t>Anglesey</t>
        </is>
      </c>
      <c r="G448" s="1349" t="inlineStr">
        <is>
          <t>Existing</t>
        </is>
      </c>
    </row>
    <row r="449" ht="13.5" customHeight="1" s="1232">
      <c r="A449" s="1348" t="n">
        <v>44595</v>
      </c>
      <c r="B449" s="1349" t="inlineStr">
        <is>
          <t>Artfully Walls</t>
        </is>
      </c>
      <c r="C449" s="1350" t="inlineStr">
        <is>
          <t>9. Prints &amp; Royalties</t>
        </is>
      </c>
      <c r="D449" s="1349" t="inlineStr">
        <is>
          <t>PayPal</t>
        </is>
      </c>
      <c r="E449" s="1351" t="n">
        <v>82.2</v>
      </c>
      <c r="F449" s="1349" t="inlineStr">
        <is>
          <t>Print Sales</t>
        </is>
      </c>
      <c r="G449" s="1349" t="inlineStr">
        <is>
          <t>Artfully Walls</t>
        </is>
      </c>
    </row>
    <row r="450" ht="13.5" customHeight="1" s="1232">
      <c r="A450" s="1348" t="n">
        <v>44593</v>
      </c>
      <c r="B450" s="1349" t="inlineStr">
        <is>
          <t>Pick n Mix Subs</t>
        </is>
      </c>
      <c r="C450" s="1350" t="inlineStr">
        <is>
          <t>3. Pick n Mix Inc</t>
        </is>
      </c>
      <c r="D450" s="1349" t="inlineStr">
        <is>
          <t>Various</t>
        </is>
      </c>
      <c r="E450" s="1351" t="n">
        <v>250</v>
      </c>
      <c r="F450" s="1349" t="inlineStr">
        <is>
          <t>Pick N Mix Payments</t>
        </is>
      </c>
      <c r="G450" s="1349" t="inlineStr">
        <is>
          <t>Existing</t>
        </is>
      </c>
    </row>
    <row r="451" ht="13.5" customHeight="1" s="1232">
      <c r="A451" s="1348" t="n">
        <v>44593</v>
      </c>
      <c r="B451" s="1349" t="inlineStr">
        <is>
          <t>Mentoring Subs</t>
        </is>
      </c>
      <c r="C451" s="1350" t="inlineStr">
        <is>
          <t>5. Mentoring</t>
        </is>
      </c>
      <c r="D451" s="1349" t="inlineStr">
        <is>
          <t>Various</t>
        </is>
      </c>
      <c r="E451" s="1351" t="n">
        <v>100</v>
      </c>
      <c r="F451" s="1349" t="inlineStr">
        <is>
          <t>Mentoring Subs</t>
        </is>
      </c>
      <c r="G451" s="1349" t="inlineStr">
        <is>
          <t>Existing</t>
        </is>
      </c>
    </row>
    <row r="452" ht="13.5" customHeight="1" s="1232">
      <c r="A452" s="1348" t="n"/>
      <c r="B452" s="1349" t="n"/>
      <c r="C452" s="1350" t="n"/>
      <c r="D452" s="1349" t="n"/>
      <c r="E452" s="1351" t="n"/>
      <c r="F452" s="1349" t="n"/>
      <c r="G452" s="1349" t="n"/>
    </row>
    <row r="453" ht="13.5" customHeight="1" s="1232">
      <c r="A453" s="1348" t="n">
        <v>44589</v>
      </c>
      <c r="B453" s="1349" t="inlineStr">
        <is>
          <t>David Pitt</t>
        </is>
      </c>
      <c r="C453" s="1350" t="inlineStr">
        <is>
          <t>2. Workshops</t>
        </is>
      </c>
      <c r="D453" s="1349" t="inlineStr">
        <is>
          <t>Stripe</t>
        </is>
      </c>
      <c r="E453" s="1351" t="n">
        <v>50</v>
      </c>
      <c r="F453" s="1349" t="inlineStr">
        <is>
          <t>Long Exposure Kenilworth</t>
        </is>
      </c>
      <c r="G453" s="1349" t="inlineStr">
        <is>
          <t>Existing</t>
        </is>
      </c>
    </row>
    <row r="454" ht="13.5" customHeight="1" s="1232">
      <c r="A454" s="1348" t="n">
        <v>44589</v>
      </c>
      <c r="B454" s="1349" t="inlineStr">
        <is>
          <t>David Pitt</t>
        </is>
      </c>
      <c r="C454" s="1350" t="inlineStr">
        <is>
          <t>2. Workshops</t>
        </is>
      </c>
      <c r="D454" s="1349" t="inlineStr">
        <is>
          <t>Stripe</t>
        </is>
      </c>
      <c r="E454" s="1351" t="n">
        <v>125</v>
      </c>
      <c r="F454" s="1349" t="inlineStr">
        <is>
          <t>Bluebells</t>
        </is>
      </c>
      <c r="G454" s="1349" t="inlineStr">
        <is>
          <t>Existing</t>
        </is>
      </c>
    </row>
    <row r="455" ht="13.5" customHeight="1" s="1232">
      <c r="A455" s="1348" t="n">
        <v>44589</v>
      </c>
      <c r="B455" s="1349" t="inlineStr">
        <is>
          <t>David Pitt</t>
        </is>
      </c>
      <c r="C455" s="1350" t="inlineStr">
        <is>
          <t>2. Workshops</t>
        </is>
      </c>
      <c r="D455" s="1349" t="inlineStr">
        <is>
          <t>Stripe</t>
        </is>
      </c>
      <c r="E455" s="1351" t="n">
        <v>50</v>
      </c>
      <c r="F455" s="1349" t="inlineStr">
        <is>
          <t>Chesterton</t>
        </is>
      </c>
      <c r="G455" s="1349" t="inlineStr">
        <is>
          <t>Existing</t>
        </is>
      </c>
    </row>
    <row r="456" ht="13.5" customHeight="1" s="1232">
      <c r="A456" s="1348" t="n">
        <v>44585</v>
      </c>
      <c r="B456" s="1349" t="inlineStr">
        <is>
          <t>Karen Clothier</t>
        </is>
      </c>
      <c r="C456" s="1350" t="inlineStr">
        <is>
          <t>10 Commissions</t>
        </is>
      </c>
      <c r="D456" s="1349" t="inlineStr">
        <is>
          <t>PayPal</t>
        </is>
      </c>
      <c r="E456" s="1351" t="n">
        <v>46</v>
      </c>
      <c r="F456" s="1349" t="inlineStr">
        <is>
          <t>Business cards</t>
        </is>
      </c>
      <c r="G456" s="1349" t="inlineStr">
        <is>
          <t>Existing</t>
        </is>
      </c>
    </row>
    <row r="457" ht="13.5" customHeight="1" s="1232">
      <c r="A457" s="1348" t="n">
        <v>44585</v>
      </c>
      <c r="B457" s="1349" t="inlineStr">
        <is>
          <t>Nabeel Aladsani</t>
        </is>
      </c>
      <c r="C457" s="1350" t="inlineStr">
        <is>
          <t>6. 1-2-1</t>
        </is>
      </c>
      <c r="D457" s="1349" t="inlineStr">
        <is>
          <t>PayPal</t>
        </is>
      </c>
      <c r="E457" s="1351" t="n">
        <v>528</v>
      </c>
      <c r="F457" s="1349" t="inlineStr">
        <is>
          <t>10hrs Zoom 1-2-1</t>
        </is>
      </c>
      <c r="G457" s="1349" t="inlineStr">
        <is>
          <t>Google</t>
        </is>
      </c>
    </row>
    <row r="458" ht="13.5" customHeight="1" s="1232">
      <c r="A458" s="1348" t="n">
        <v>44585</v>
      </c>
      <c r="B458" s="1349" t="inlineStr">
        <is>
          <t>Ruby-Anne Birin</t>
        </is>
      </c>
      <c r="C458" s="1350" t="inlineStr">
        <is>
          <t>2. Workshops</t>
        </is>
      </c>
      <c r="D458" s="1349" t="inlineStr">
        <is>
          <t>Stripe</t>
        </is>
      </c>
      <c r="E458" s="1351" t="n">
        <v>475</v>
      </c>
      <c r="F458" s="1349" t="inlineStr">
        <is>
          <t>Wales</t>
        </is>
      </c>
      <c r="G458" s="1349" t="inlineStr">
        <is>
          <t>Existing</t>
        </is>
      </c>
    </row>
    <row r="459" ht="13.5" customHeight="1" s="1232">
      <c r="A459" s="1348" t="n">
        <v>44576</v>
      </c>
      <c r="B459" s="1349" t="inlineStr">
        <is>
          <t>Pure Photo</t>
        </is>
      </c>
      <c r="C459" s="1350" t="inlineStr">
        <is>
          <t>9. Prints &amp; Royalties</t>
        </is>
      </c>
      <c r="D459" s="1349" t="inlineStr">
        <is>
          <t>PayPal</t>
        </is>
      </c>
      <c r="E459" s="1351" t="n">
        <v>564.77</v>
      </c>
      <c r="F459" s="1349" t="inlineStr">
        <is>
          <t>Print Sales</t>
        </is>
      </c>
      <c r="G459" s="1349" t="inlineStr">
        <is>
          <t>Pure Photo</t>
        </is>
      </c>
    </row>
    <row r="460" ht="13.5" customHeight="1" s="1232">
      <c r="A460" s="1348" t="n">
        <v>44575</v>
      </c>
      <c r="B460" s="1349" t="inlineStr">
        <is>
          <t>Justina Prytula</t>
        </is>
      </c>
      <c r="C460" s="1350" t="inlineStr">
        <is>
          <t>6. 1-2-1</t>
        </is>
      </c>
      <c r="D460" s="1349" t="inlineStr">
        <is>
          <t>Stripe</t>
        </is>
      </c>
      <c r="E460" s="1351" t="n">
        <v>255</v>
      </c>
      <c r="F460" s="1349" t="inlineStr">
        <is>
          <t>3hrs 1-2-1 F2F</t>
        </is>
      </c>
      <c r="G460" s="1349" t="inlineStr">
        <is>
          <t>Existing</t>
        </is>
      </c>
    </row>
    <row r="461" ht="13.5" customHeight="1" s="1232">
      <c r="A461" s="1348" t="n">
        <v>44575</v>
      </c>
      <c r="B461" s="1349" t="inlineStr">
        <is>
          <t>Susan Dennison</t>
        </is>
      </c>
      <c r="C461" s="1350" t="inlineStr">
        <is>
          <t>11. Other</t>
        </is>
      </c>
      <c r="D461" s="1349" t="inlineStr">
        <is>
          <t>Stripe</t>
        </is>
      </c>
      <c r="E461" s="1351" t="n">
        <v>5</v>
      </c>
      <c r="F461" s="1349" t="inlineStr">
        <is>
          <t>Pocket Guides</t>
        </is>
      </c>
      <c r="G461" s="1349" t="inlineStr">
        <is>
          <t>Existing</t>
        </is>
      </c>
    </row>
    <row r="462" ht="13.5" customHeight="1" s="1232">
      <c r="A462" s="1348" t="n">
        <v>44573</v>
      </c>
      <c r="B462" s="1349" t="inlineStr">
        <is>
          <t>Tony Teague</t>
        </is>
      </c>
      <c r="C462" s="1350" t="inlineStr">
        <is>
          <t>6. 1-2-1</t>
        </is>
      </c>
      <c r="D462" s="1349" t="inlineStr">
        <is>
          <t>Stripe</t>
        </is>
      </c>
      <c r="E462" s="1351" t="n">
        <v>50</v>
      </c>
      <c r="F462" s="1349" t="inlineStr">
        <is>
          <t>Zoom 1hr 1-2-1</t>
        </is>
      </c>
      <c r="G462" s="1349" t="inlineStr">
        <is>
          <t>Existing</t>
        </is>
      </c>
    </row>
    <row r="463" ht="13.5" customHeight="1" s="1232">
      <c r="A463" s="1348" t="n">
        <v>44573</v>
      </c>
      <c r="B463" s="1349" t="inlineStr">
        <is>
          <t>Justina Prytula</t>
        </is>
      </c>
      <c r="C463" s="1350" t="inlineStr">
        <is>
          <t>2. Workshops</t>
        </is>
      </c>
      <c r="D463" s="1349" t="inlineStr">
        <is>
          <t>Stripe</t>
        </is>
      </c>
      <c r="E463" s="1351" t="n">
        <v>50</v>
      </c>
      <c r="F463" s="1349" t="inlineStr">
        <is>
          <t>Macro Workshop</t>
        </is>
      </c>
      <c r="G463" s="1349" t="inlineStr">
        <is>
          <t>Existing</t>
        </is>
      </c>
    </row>
    <row r="464" ht="13.5" customHeight="1" s="1232">
      <c r="A464" s="1348" t="n">
        <v>44573</v>
      </c>
      <c r="B464" s="1349" t="inlineStr">
        <is>
          <t>Scott Dance</t>
        </is>
      </c>
      <c r="C464" s="1350" t="inlineStr">
        <is>
          <t>2. Workshops</t>
        </is>
      </c>
      <c r="D464" s="1349" t="inlineStr">
        <is>
          <t>Stripe</t>
        </is>
      </c>
      <c r="E464" s="1351" t="n">
        <v>50</v>
      </c>
      <c r="F464" s="1349" t="inlineStr">
        <is>
          <t>Macro Workshop</t>
        </is>
      </c>
      <c r="G464" s="1349" t="inlineStr">
        <is>
          <t>Referral</t>
        </is>
      </c>
    </row>
    <row r="465" ht="13.5" customHeight="1" s="1232">
      <c r="A465" s="1348" t="n">
        <v>44571</v>
      </c>
      <c r="B465" s="1349" t="inlineStr">
        <is>
          <t>Matthew Payton</t>
        </is>
      </c>
      <c r="C465" s="1350" t="inlineStr">
        <is>
          <t>6. 1-2-1</t>
        </is>
      </c>
      <c r="D465" s="1349" t="inlineStr">
        <is>
          <t>PayPal</t>
        </is>
      </c>
      <c r="E465" s="1351" t="n">
        <v>360</v>
      </c>
      <c r="F465" s="1349" t="inlineStr">
        <is>
          <t>4 x 2hr 1-2-1s</t>
        </is>
      </c>
      <c r="G465" s="1349" t="inlineStr">
        <is>
          <t>Google</t>
        </is>
      </c>
    </row>
    <row r="466" ht="13.5" customHeight="1" s="1232">
      <c r="A466" s="1348" t="n">
        <v>44570</v>
      </c>
      <c r="B466" s="1348" t="inlineStr">
        <is>
          <t>Charles Stephens</t>
        </is>
      </c>
      <c r="C466" s="1350" t="inlineStr">
        <is>
          <t>11. Other</t>
        </is>
      </c>
      <c r="D466" s="1349" t="inlineStr">
        <is>
          <t>PayPal</t>
        </is>
      </c>
      <c r="E466" s="1351" t="n">
        <v>6</v>
      </c>
      <c r="F466" s="1349" t="inlineStr">
        <is>
          <t>Viewing Frames</t>
        </is>
      </c>
      <c r="G466" s="1349" t="inlineStr">
        <is>
          <t>Google</t>
        </is>
      </c>
    </row>
    <row r="467" ht="13.5" customHeight="1" s="1232">
      <c r="A467" s="1348" t="n">
        <v>44570</v>
      </c>
      <c r="B467" s="1348" t="inlineStr">
        <is>
          <t>Charles Stephens</t>
        </is>
      </c>
      <c r="C467" s="1350" t="inlineStr">
        <is>
          <t>11. Other</t>
        </is>
      </c>
      <c r="D467" s="1349" t="inlineStr">
        <is>
          <t>Stripe</t>
        </is>
      </c>
      <c r="E467" s="1351" t="n">
        <v>15</v>
      </c>
      <c r="F467" s="1349" t="inlineStr">
        <is>
          <t>Viewing Frames</t>
        </is>
      </c>
      <c r="G467" s="1349" t="inlineStr">
        <is>
          <t>Google</t>
        </is>
      </c>
    </row>
    <row r="468" ht="13.5" customHeight="1" s="1232">
      <c r="A468" s="1348" t="n">
        <v>44570</v>
      </c>
      <c r="B468" s="1349" t="inlineStr">
        <is>
          <t>Suraiyyah Jeewa</t>
        </is>
      </c>
      <c r="C468" s="1350" t="inlineStr">
        <is>
          <t>1. Courses/masterclasses</t>
        </is>
      </c>
      <c r="D468" s="1349" t="inlineStr">
        <is>
          <t>Stripe</t>
        </is>
      </c>
      <c r="E468" s="1351" t="n">
        <v>250</v>
      </c>
      <c r="F468" s="1349" t="inlineStr">
        <is>
          <t>5wk Photo Course</t>
        </is>
      </c>
      <c r="G468" s="1349" t="inlineStr">
        <is>
          <t>Google</t>
        </is>
      </c>
    </row>
    <row r="469" ht="13.5" customHeight="1" s="1232">
      <c r="A469" s="1348" t="n">
        <v>44567</v>
      </c>
      <c r="B469" s="1349" t="inlineStr">
        <is>
          <t>Robert Thomas</t>
        </is>
      </c>
      <c r="C469" s="1350" t="inlineStr">
        <is>
          <t>2. Workshops</t>
        </is>
      </c>
      <c r="D469" s="1349" t="inlineStr">
        <is>
          <t>Stripe</t>
        </is>
      </c>
      <c r="E469" s="1351" t="n">
        <v>50</v>
      </c>
      <c r="F469" s="1349" t="inlineStr">
        <is>
          <t>Kenilworth LE</t>
        </is>
      </c>
      <c r="G469" s="1349" t="inlineStr">
        <is>
          <t>Google</t>
        </is>
      </c>
    </row>
    <row r="470" ht="13.5" customHeight="1" s="1232">
      <c r="A470" s="1348" t="n">
        <v>44567</v>
      </c>
      <c r="B470" s="1349" t="inlineStr">
        <is>
          <t>Robert Thomas</t>
        </is>
      </c>
      <c r="C470" s="1350" t="inlineStr">
        <is>
          <t>2. Workshops</t>
        </is>
      </c>
      <c r="D470" s="1349" t="inlineStr">
        <is>
          <t>Stripe</t>
        </is>
      </c>
      <c r="E470" s="1351" t="n">
        <v>50</v>
      </c>
      <c r="F470" s="1349" t="inlineStr">
        <is>
          <t>Chesterton</t>
        </is>
      </c>
      <c r="G470" s="1349" t="inlineStr">
        <is>
          <t>Google</t>
        </is>
      </c>
    </row>
    <row r="471" ht="13.5" customHeight="1" s="1232">
      <c r="A471" s="1348" t="n">
        <v>44566</v>
      </c>
      <c r="B471" s="1349" t="inlineStr">
        <is>
          <t>Lesley Morris</t>
        </is>
      </c>
      <c r="C471" s="1350" t="inlineStr">
        <is>
          <t>2. Workshops</t>
        </is>
      </c>
      <c r="D471" s="1349" t="inlineStr">
        <is>
          <t>Stripe</t>
        </is>
      </c>
      <c r="E471" s="1351" t="n">
        <v>75</v>
      </c>
      <c r="F471" s="1349" t="inlineStr">
        <is>
          <t>Peak District Heathers</t>
        </is>
      </c>
      <c r="G471" s="1349" t="inlineStr">
        <is>
          <t>Existing</t>
        </is>
      </c>
    </row>
    <row r="472" ht="13.5" customHeight="1" s="1232">
      <c r="A472" s="1348" t="n">
        <v>44566</v>
      </c>
      <c r="B472" s="1349" t="inlineStr">
        <is>
          <t>Lesley Morris</t>
        </is>
      </c>
      <c r="C472" s="1350" t="inlineStr">
        <is>
          <t>2. Workshops</t>
        </is>
      </c>
      <c r="D472" s="1349" t="inlineStr">
        <is>
          <t>Stripe</t>
        </is>
      </c>
      <c r="E472" s="1351" t="n">
        <v>125</v>
      </c>
      <c r="F472" s="1349" t="inlineStr">
        <is>
          <t>Fairy Glen</t>
        </is>
      </c>
      <c r="G472" s="1349" t="inlineStr">
        <is>
          <t>Referral</t>
        </is>
      </c>
    </row>
    <row r="473" ht="13.5" customHeight="1" s="1232">
      <c r="A473" s="1348" t="n">
        <v>44566</v>
      </c>
      <c r="B473" s="1349" t="inlineStr">
        <is>
          <t>David Andringa</t>
        </is>
      </c>
      <c r="C473" s="1350" t="inlineStr">
        <is>
          <t>2. Workshops</t>
        </is>
      </c>
      <c r="D473" s="1349" t="inlineStr">
        <is>
          <t>PicknMix</t>
        </is>
      </c>
      <c r="E473" s="1351" t="n">
        <v>12</v>
      </c>
      <c r="F473" s="1349" t="inlineStr">
        <is>
          <t>Woodland Walks</t>
        </is>
      </c>
      <c r="G473" s="1349" t="inlineStr">
        <is>
          <t>Existing</t>
        </is>
      </c>
    </row>
    <row r="474" ht="13.5" customHeight="1" s="1232">
      <c r="A474" s="1348" t="n">
        <v>44566</v>
      </c>
      <c r="B474" s="1349" t="inlineStr">
        <is>
          <t>David Andringa</t>
        </is>
      </c>
      <c r="C474" s="1350" t="inlineStr">
        <is>
          <t>4. Pick n Mix Out</t>
        </is>
      </c>
      <c r="D474" s="1349" t="inlineStr">
        <is>
          <t>PicknMix</t>
        </is>
      </c>
      <c r="E474" s="1351" t="n">
        <v>-12</v>
      </c>
      <c r="F474" s="1349" t="inlineStr">
        <is>
          <t>Woodland Walks</t>
        </is>
      </c>
      <c r="G474" s="1349" t="inlineStr">
        <is>
          <t>Existing</t>
        </is>
      </c>
    </row>
    <row r="475" ht="13.5" customHeight="1" s="1232">
      <c r="A475" s="1348" t="n">
        <v>44566</v>
      </c>
      <c r="B475" s="1349" t="inlineStr">
        <is>
          <t>David Andringa</t>
        </is>
      </c>
      <c r="C475" s="1350" t="inlineStr">
        <is>
          <t>2. Workshops</t>
        </is>
      </c>
      <c r="D475" s="1349" t="inlineStr">
        <is>
          <t>PicknMix</t>
        </is>
      </c>
      <c r="E475" s="1351" t="n">
        <v>425</v>
      </c>
      <c r="F475" s="1349" t="inlineStr">
        <is>
          <t>Wales</t>
        </is>
      </c>
      <c r="G475" s="1349" t="inlineStr">
        <is>
          <t>Existing</t>
        </is>
      </c>
    </row>
    <row r="476" ht="13.5" customHeight="1" s="1232">
      <c r="A476" s="1348" t="n">
        <v>44566</v>
      </c>
      <c r="B476" s="1349" t="inlineStr">
        <is>
          <t>David Andringa</t>
        </is>
      </c>
      <c r="C476" s="1350" t="inlineStr">
        <is>
          <t>4. Pick n Mix Out</t>
        </is>
      </c>
      <c r="D476" s="1349" t="inlineStr">
        <is>
          <t>PicknMix</t>
        </is>
      </c>
      <c r="E476" s="1351" t="n">
        <v>-425</v>
      </c>
      <c r="F476" s="1349" t="inlineStr">
        <is>
          <t>Wales</t>
        </is>
      </c>
      <c r="G476" s="1349" t="inlineStr">
        <is>
          <t>Existing</t>
        </is>
      </c>
    </row>
    <row r="477" ht="13.5" customHeight="1" s="1232">
      <c r="A477" s="1348" t="n">
        <v>44562</v>
      </c>
      <c r="B477" s="1349" t="inlineStr">
        <is>
          <t>Pick n Mix Subs</t>
        </is>
      </c>
      <c r="C477" s="1350" t="inlineStr">
        <is>
          <t>3. Pick n Mix Inc</t>
        </is>
      </c>
      <c r="D477" s="1349" t="inlineStr">
        <is>
          <t>Various</t>
        </is>
      </c>
      <c r="E477" s="1351" t="n">
        <v>250</v>
      </c>
      <c r="F477" s="1349" t="inlineStr">
        <is>
          <t>Pick N Mix Payments</t>
        </is>
      </c>
      <c r="G477" s="1349" t="inlineStr">
        <is>
          <t>Existing</t>
        </is>
      </c>
    </row>
    <row r="478" ht="13.5" customHeight="1" s="1232">
      <c r="A478" s="1348" t="n">
        <v>44562</v>
      </c>
      <c r="B478" s="1349" t="inlineStr">
        <is>
          <t>Mentoring Subs</t>
        </is>
      </c>
      <c r="C478" s="1350" t="inlineStr">
        <is>
          <t>5. Mentoring</t>
        </is>
      </c>
      <c r="D478" s="1349" t="inlineStr">
        <is>
          <t>Various</t>
        </is>
      </c>
      <c r="E478" s="1351" t="n">
        <v>100</v>
      </c>
      <c r="F478" s="1349" t="inlineStr">
        <is>
          <t>Mentoring Subs</t>
        </is>
      </c>
      <c r="G478" s="1349" t="inlineStr">
        <is>
          <t>Existing</t>
        </is>
      </c>
    </row>
    <row r="479" ht="13.5" customHeight="1" s="1232">
      <c r="A479" s="1348" t="n">
        <v>44562</v>
      </c>
      <c r="B479" s="1349" t="inlineStr">
        <is>
          <t>Karen Clothier</t>
        </is>
      </c>
      <c r="C479" s="1350" t="inlineStr">
        <is>
          <t>6. 1-2-1</t>
        </is>
      </c>
      <c r="D479" s="1349" t="inlineStr">
        <is>
          <t>Stripe</t>
        </is>
      </c>
      <c r="E479" s="1351" t="n">
        <v>11</v>
      </c>
      <c r="F479" s="1349" t="inlineStr">
        <is>
          <t>Somerset</t>
        </is>
      </c>
      <c r="G479" s="1349" t="inlineStr">
        <is>
          <t>Existing</t>
        </is>
      </c>
    </row>
    <row r="480" ht="13.5" customHeight="1" s="1232">
      <c r="A480" s="1348" t="n">
        <v>44562</v>
      </c>
      <c r="B480" s="1349" t="inlineStr">
        <is>
          <t>Karen Clothier</t>
        </is>
      </c>
      <c r="C480" s="1350" t="inlineStr">
        <is>
          <t>6. 1-2-1</t>
        </is>
      </c>
      <c r="D480" s="1349" t="inlineStr">
        <is>
          <t>Stripe</t>
        </is>
      </c>
      <c r="E480" s="1351" t="n">
        <v>15218</v>
      </c>
      <c r="F480" s="1349" t="inlineStr">
        <is>
          <t>Somerset</t>
        </is>
      </c>
      <c r="G480" s="1349" t="inlineStr">
        <is>
          <t>Existing</t>
        </is>
      </c>
    </row>
  </sheetData>
  <conditionalFormatting sqref="E2:E18 E24 E29:E30 E32:E34 E40:E42 E49 E67:E68 E73:E77 E79 E83:E150 E154:E178 E181:E200 E203:E222 E225:E250 E253:E275 E278:E292 E295:E315 E320:E347 E350:E388 E391:E412 E415 E418:E424 E427:E449 E452 E455:E462 E464:E465 E467:E468 E470 E472 E475:E478 E480:E1048576 N20 P20:V20 V143:V559 V580:V708 V710:V982 X6:X17 X33:X38 X97 X106:X116 X128 X133 X142">
    <cfRule type="cellIs" priority="679" operator="lessThan" dxfId="1">
      <formula>0</formula>
    </cfRule>
  </conditionalFormatting>
  <conditionalFormatting sqref="X31">
    <cfRule type="cellIs" priority="678" operator="lessThan" dxfId="1">
      <formula>0</formula>
    </cfRule>
  </conditionalFormatting>
  <conditionalFormatting sqref="X6:X17">
    <cfRule type="cellIs" priority="676" operator="lessThan" dxfId="1">
      <formula>0</formula>
    </cfRule>
    <cfRule type="cellIs" priority="675" operator="greaterThan" dxfId="0">
      <formula>0</formula>
    </cfRule>
    <cfRule type="cellIs" priority="674" operator="lessThan" dxfId="1">
      <formula>0</formula>
    </cfRule>
    <cfRule type="cellIs" priority="667" operator="lessThan" dxfId="1">
      <formula>0</formula>
    </cfRule>
    <cfRule type="cellIs" priority="664" operator="lessThan" dxfId="1">
      <formula>0</formula>
    </cfRule>
    <cfRule type="cellIs" priority="663" operator="lessThan" dxfId="1">
      <formula>0</formula>
    </cfRule>
    <cfRule type="cellIs" priority="662" operator="lessThan" dxfId="1">
      <formula>0</formula>
    </cfRule>
    <cfRule type="cellIs" priority="661" operator="lessThan" dxfId="1">
      <formula>0</formula>
    </cfRule>
    <cfRule type="cellIs" priority="655" operator="lessThan" dxfId="1">
      <formula>0</formula>
    </cfRule>
    <cfRule type="cellIs" priority="652" operator="lessThan" dxfId="1">
      <formula>0</formula>
    </cfRule>
    <cfRule type="cellIs" priority="651" operator="lessThan" dxfId="1">
      <formula>0</formula>
    </cfRule>
    <cfRule type="cellIs" priority="594" operator="lessThan" dxfId="1">
      <formula>0</formula>
    </cfRule>
    <cfRule type="cellIs" priority="590" operator="lessThan" dxfId="1">
      <formula>0</formula>
    </cfRule>
    <cfRule type="cellIs" priority="589" operator="lessThan" dxfId="1">
      <formula>0</formula>
    </cfRule>
    <cfRule type="cellIs" priority="588" operator="lessThan" dxfId="1">
      <formula>0</formula>
    </cfRule>
    <cfRule type="cellIs" priority="587" operator="lessThan" dxfId="1">
      <formula>0</formula>
    </cfRule>
    <cfRule type="cellIs" priority="586" operator="lessThan" dxfId="1">
      <formula>0</formula>
    </cfRule>
    <cfRule type="cellIs" priority="585" operator="lessThan" dxfId="1">
      <formula>0</formula>
    </cfRule>
    <cfRule type="cellIs" priority="584" operator="lessThan" dxfId="1">
      <formula>0</formula>
    </cfRule>
    <cfRule type="cellIs" priority="583" operator="lessThan" dxfId="1">
      <formula>0</formula>
    </cfRule>
    <cfRule type="cellIs" priority="582" operator="lessThan" dxfId="1">
      <formula>0</formula>
    </cfRule>
    <cfRule type="cellIs" priority="581" operator="lessThan" dxfId="1">
      <formula>0</formula>
    </cfRule>
    <cfRule type="cellIs" priority="580" operator="lessThan" dxfId="1">
      <formula>0</formula>
    </cfRule>
    <cfRule type="cellIs" priority="579" operator="lessThan" dxfId="1">
      <formula>0</formula>
    </cfRule>
    <cfRule type="cellIs" priority="578" operator="lessThan" dxfId="1">
      <formula>0</formula>
    </cfRule>
    <cfRule type="cellIs" priority="577" operator="lessThan" dxfId="1">
      <formula>0</formula>
    </cfRule>
    <cfRule type="cellIs" priority="576" operator="lessThan" dxfId="1">
      <formula>0</formula>
    </cfRule>
    <cfRule type="cellIs" priority="575" operator="lessThan" dxfId="1">
      <formula>0</formula>
    </cfRule>
    <cfRule type="cellIs" priority="574" operator="lessThan" dxfId="1">
      <formula>0</formula>
    </cfRule>
  </conditionalFormatting>
  <conditionalFormatting sqref="X32">
    <cfRule type="cellIs" priority="677" operator="lessThan" dxfId="1">
      <formula>0</formula>
    </cfRule>
  </conditionalFormatting>
  <conditionalFormatting sqref="J36">
    <cfRule type="cellIs" priority="672" operator="greaterThan" dxfId="0">
      <formula>0</formula>
    </cfRule>
    <cfRule type="cellIs" priority="673" operator="lessThan" dxfId="1">
      <formula>0</formula>
    </cfRule>
  </conditionalFormatting>
  <conditionalFormatting sqref="Y6">
    <cfRule type="cellIs" priority="671" operator="lessThan" dxfId="1">
      <formula>0</formula>
    </cfRule>
    <cfRule type="cellIs" priority="670" operator="greaterThan" dxfId="0">
      <formula>0</formula>
    </cfRule>
  </conditionalFormatting>
  <conditionalFormatting sqref="Z6">
    <cfRule type="cellIs" priority="669" operator="lessThan" dxfId="1">
      <formula>0</formula>
    </cfRule>
    <cfRule type="cellIs" priority="668" operator="greaterThan" dxfId="0">
      <formula>0</formula>
    </cfRule>
  </conditionalFormatting>
  <conditionalFormatting sqref="AB6:AB17">
    <cfRule type="cellIs" priority="665" operator="lessThan" dxfId="1">
      <formula>0</formula>
    </cfRule>
    <cfRule type="cellIs" priority="666" operator="greaterThan" dxfId="0">
      <formula>0</formula>
    </cfRule>
  </conditionalFormatting>
  <conditionalFormatting sqref="W18">
    <cfRule type="cellIs" priority="658" operator="greaterThan" dxfId="0">
      <formula>0.8</formula>
    </cfRule>
    <cfRule type="cellIs" priority="659" operator="between" dxfId="26">
      <formula>0.51</formula>
      <formula>0.8</formula>
    </cfRule>
    <cfRule type="cellIs" priority="660" operator="lessThan" dxfId="1">
      <formula>0.5</formula>
    </cfRule>
  </conditionalFormatting>
  <conditionalFormatting sqref="X118">
    <cfRule type="cellIs" priority="657" operator="lessThan" dxfId="1">
      <formula>0</formula>
    </cfRule>
  </conditionalFormatting>
  <conditionalFormatting sqref="X130:X132">
    <cfRule type="cellIs" priority="656" operator="lessThan" dxfId="1">
      <formula>0</formula>
    </cfRule>
  </conditionalFormatting>
  <conditionalFormatting sqref="Y28">
    <cfRule type="cellIs" priority="654" operator="lessThan" dxfId="1">
      <formula>0</formula>
    </cfRule>
    <cfRule type="cellIs" priority="653" operator="greaterThan" dxfId="0">
      <formula>0</formula>
    </cfRule>
  </conditionalFormatting>
  <conditionalFormatting sqref="X28">
    <cfRule type="cellIs" priority="648" operator="lessThan" dxfId="1">
      <formula>0</formula>
    </cfRule>
    <cfRule type="cellIs" priority="647" operator="lessThan" dxfId="1">
      <formula>0</formula>
    </cfRule>
    <cfRule type="cellIs" priority="646" operator="lessThan" dxfId="1">
      <formula>0</formula>
    </cfRule>
    <cfRule type="cellIs" priority="645" operator="lessThan" dxfId="1">
      <formula>0</formula>
    </cfRule>
    <cfRule type="cellIs" priority="650" operator="lessThan" dxfId="1">
      <formula>0</formula>
    </cfRule>
    <cfRule type="cellIs" priority="649" operator="greaterThan" dxfId="0">
      <formula>0</formula>
    </cfRule>
    <cfRule type="cellIs" priority="644" operator="lessThan" dxfId="1">
      <formula>0</formula>
    </cfRule>
  </conditionalFormatting>
  <conditionalFormatting sqref="Z83:Z94">
    <cfRule type="cellIs" priority="642" operator="lessThan" dxfId="1">
      <formula>0</formula>
    </cfRule>
    <cfRule type="cellIs" priority="643" operator="greaterThan" dxfId="0">
      <formula>0</formula>
    </cfRule>
  </conditionalFormatting>
  <conditionalFormatting sqref="X135:X136">
    <cfRule type="cellIs" priority="641" operator="lessThan" dxfId="1">
      <formula>0</formula>
    </cfRule>
  </conditionalFormatting>
  <conditionalFormatting sqref="X137:X138">
    <cfRule type="cellIs" priority="640" operator="lessThan" dxfId="1">
      <formula>0</formula>
    </cfRule>
  </conditionalFormatting>
  <conditionalFormatting sqref="X140:X141">
    <cfRule type="cellIs" priority="639" operator="lessThan" dxfId="1">
      <formula>0</formula>
    </cfRule>
  </conditionalFormatting>
  <conditionalFormatting sqref="X18:X20">
    <cfRule type="cellIs" priority="625" operator="lessThan" dxfId="1">
      <formula>0</formula>
    </cfRule>
    <cfRule type="cellIs" priority="624" operator="lessThan" dxfId="1">
      <formula>0</formula>
    </cfRule>
    <cfRule type="cellIs" priority="623" operator="lessThan" dxfId="1">
      <formula>0</formula>
    </cfRule>
    <cfRule type="cellIs" priority="627" operator="lessThan" dxfId="1">
      <formula>0</formula>
    </cfRule>
    <cfRule type="cellIs" priority="626" operator="lessThan" dxfId="1">
      <formula>0</formula>
    </cfRule>
    <cfRule type="cellIs" priority="629" operator="lessThan" dxfId="1">
      <formula>0</formula>
    </cfRule>
    <cfRule type="cellIs" priority="628" operator="greaterThan" dxfId="0">
      <formula>0</formula>
    </cfRule>
  </conditionalFormatting>
  <conditionalFormatting sqref="Y19:Y20">
    <cfRule type="cellIs" priority="622" operator="lessThan" dxfId="1">
      <formula>0</formula>
    </cfRule>
    <cfRule type="cellIs" priority="621" operator="greaterThan" dxfId="0">
      <formula>0</formula>
    </cfRule>
  </conditionalFormatting>
  <conditionalFormatting sqref="X25:X27">
    <cfRule type="cellIs" priority="636" operator="lessThan" dxfId="1">
      <formula>0</formula>
    </cfRule>
    <cfRule type="cellIs" priority="635" operator="lessThan" dxfId="1">
      <formula>0</formula>
    </cfRule>
    <cfRule type="cellIs" priority="634" operator="lessThan" dxfId="1">
      <formula>0</formula>
    </cfRule>
    <cfRule type="cellIs" priority="633" operator="lessThan" dxfId="1">
      <formula>0</formula>
    </cfRule>
    <cfRule type="cellIs" priority="638" operator="lessThan" dxfId="1">
      <formula>0</formula>
    </cfRule>
    <cfRule type="cellIs" priority="637" operator="greaterThan" dxfId="0">
      <formula>0</formula>
    </cfRule>
    <cfRule type="cellIs" priority="632" operator="lessThan" dxfId="1">
      <formula>0</formula>
    </cfRule>
  </conditionalFormatting>
  <conditionalFormatting sqref="Y25:Y27">
    <cfRule type="cellIs" priority="631" operator="lessThan" dxfId="1">
      <formula>0</formula>
    </cfRule>
    <cfRule type="cellIs" priority="630" operator="greaterThan" dxfId="0">
      <formula>0</formula>
    </cfRule>
  </conditionalFormatting>
  <conditionalFormatting sqref="K40:V50">
    <cfRule type="cellIs" priority="619" operator="lessThan" dxfId="1">
      <formula>0</formula>
    </cfRule>
    <cfRule type="cellIs" priority="620" operator="greaterThan" dxfId="0">
      <formula>0.1</formula>
    </cfRule>
  </conditionalFormatting>
  <conditionalFormatting sqref="K51">
    <cfRule type="cellIs" priority="617" operator="lessThan" dxfId="1">
      <formula>0</formula>
    </cfRule>
    <cfRule type="cellIs" priority="618" operator="greaterThan" dxfId="0">
      <formula>0.1</formula>
    </cfRule>
  </conditionalFormatting>
  <conditionalFormatting sqref="W40">
    <cfRule type="cellIs" priority="615" operator="lessThan" dxfId="1">
      <formula>0</formula>
    </cfRule>
    <cfRule type="cellIs" priority="616" operator="greaterThan" dxfId="0">
      <formula>0.1</formula>
    </cfRule>
  </conditionalFormatting>
  <conditionalFormatting sqref="E481:E646">
    <cfRule type="cellIs" priority="614" operator="lessThan" dxfId="1009">
      <formula>0</formula>
    </cfRule>
  </conditionalFormatting>
  <conditionalFormatting sqref="L40:V42 L44:V46 L48:V50">
    <cfRule type="cellIs" priority="612" operator="lessThan" dxfId="1">
      <formula>0</formula>
    </cfRule>
    <cfRule type="cellIs" priority="613" operator="greaterThan" dxfId="0">
      <formula>0.1</formula>
    </cfRule>
  </conditionalFormatting>
  <conditionalFormatting sqref="K43">
    <cfRule type="cellIs" priority="610" operator="lessThan" dxfId="1">
      <formula>0</formula>
    </cfRule>
    <cfRule type="cellIs" priority="611" operator="greaterThan" dxfId="0">
      <formula>0.1</formula>
    </cfRule>
    <cfRule type="cellIs" priority="608" operator="lessThan" dxfId="1">
      <formula>0</formula>
    </cfRule>
    <cfRule type="cellIs" priority="609" operator="greaterThan" dxfId="0">
      <formula>0.1</formula>
    </cfRule>
  </conditionalFormatting>
  <conditionalFormatting sqref="L43:V43">
    <cfRule type="cellIs" priority="606" operator="lessThan" dxfId="1">
      <formula>0</formula>
    </cfRule>
    <cfRule type="cellIs" priority="607" operator="greaterThan" dxfId="0">
      <formula>0.1</formula>
    </cfRule>
    <cfRule type="cellIs" priority="604" operator="lessThan" dxfId="1">
      <formula>0</formula>
    </cfRule>
    <cfRule type="cellIs" priority="605" operator="greaterThan" dxfId="0">
      <formula>0.1</formula>
    </cfRule>
  </conditionalFormatting>
  <conditionalFormatting sqref="L51:W51">
    <cfRule type="cellIs" priority="602" operator="lessThan" dxfId="1">
      <formula>0</formula>
    </cfRule>
    <cfRule type="cellIs" priority="603" operator="greaterThan" dxfId="0">
      <formula>0.1</formula>
    </cfRule>
  </conditionalFormatting>
  <conditionalFormatting sqref="E538">
    <cfRule type="cellIs" priority="601" operator="lessThan" dxfId="1009">
      <formula>0</formula>
    </cfRule>
  </conditionalFormatting>
  <conditionalFormatting sqref="E528">
    <cfRule type="cellIs" priority="600" operator="lessThan" dxfId="1009">
      <formula>0</formula>
    </cfRule>
  </conditionalFormatting>
  <conditionalFormatting sqref="E525">
    <cfRule type="cellIs" priority="599" operator="lessThan" dxfId="1009">
      <formula>0</formula>
    </cfRule>
  </conditionalFormatting>
  <conditionalFormatting sqref="E516:E519">
    <cfRule type="cellIs" priority="598" operator="lessThan" dxfId="1009">
      <formula>0</formula>
    </cfRule>
  </conditionalFormatting>
  <conditionalFormatting sqref="E521:E523">
    <cfRule type="cellIs" priority="597" operator="lessThan" dxfId="1009">
      <formula>0</formula>
    </cfRule>
  </conditionalFormatting>
  <conditionalFormatting sqref="E489">
    <cfRule type="cellIs" priority="596" operator="lessThan" dxfId="1009">
      <formula>0</formula>
    </cfRule>
  </conditionalFormatting>
  <conditionalFormatting sqref="E482:E483">
    <cfRule type="cellIs" priority="595" operator="lessThan" dxfId="1009">
      <formula>0</formula>
    </cfRule>
  </conditionalFormatting>
  <conditionalFormatting sqref="Y40">
    <cfRule type="cellIs" priority="568" operator="lessThan" dxfId="1">
      <formula>0</formula>
    </cfRule>
    <cfRule type="cellIs" priority="567" operator="greaterThan" dxfId="0">
      <formula>0</formula>
    </cfRule>
  </conditionalFormatting>
  <conditionalFormatting sqref="Z30">
    <cfRule type="cellIs" priority="559" operator="lessThan" dxfId="1">
      <formula>0</formula>
    </cfRule>
    <cfRule type="cellIs" priority="558" operator="greaterThan" dxfId="0">
      <formula>0</formula>
    </cfRule>
  </conditionalFormatting>
  <conditionalFormatting sqref="X24">
    <cfRule type="cellIs" priority="513" operator="lessThan" dxfId="1">
      <formula>0</formula>
    </cfRule>
    <cfRule type="cellIs" priority="512" operator="lessThan" dxfId="1">
      <formula>0</formula>
    </cfRule>
    <cfRule type="cellIs" priority="511" operator="lessThan" dxfId="1">
      <formula>0</formula>
    </cfRule>
    <cfRule type="cellIs" priority="510" operator="lessThan" dxfId="1">
      <formula>0</formula>
    </cfRule>
    <cfRule type="cellIs" priority="515" operator="lessThan" dxfId="1">
      <formula>0</formula>
    </cfRule>
    <cfRule type="cellIs" priority="514" operator="greaterThan" dxfId="0">
      <formula>0</formula>
    </cfRule>
    <cfRule type="cellIs" priority="509" operator="lessThan" dxfId="1">
      <formula>0</formula>
    </cfRule>
  </conditionalFormatting>
  <conditionalFormatting sqref="Z7:Z17">
    <cfRule type="cellIs" priority="504" operator="lessThan" dxfId="1">
      <formula>0</formula>
    </cfRule>
    <cfRule type="cellIs" priority="503" operator="greaterThan" dxfId="0">
      <formula>0</formula>
    </cfRule>
  </conditionalFormatting>
  <conditionalFormatting sqref="K18:V18">
    <cfRule type="cellIs" priority="524" operator="greaterThan" dxfId="0">
      <formula>0.81</formula>
    </cfRule>
    <cfRule type="cellIs" priority="525" operator="between" dxfId="1036">
      <formula>0.301</formula>
      <formula>0.8</formula>
    </cfRule>
    <cfRule type="cellIs" priority="526" operator="lessThan" dxfId="1">
      <formula>0.3</formula>
    </cfRule>
  </conditionalFormatting>
  <conditionalFormatting sqref="K19:W19">
    <cfRule type="cellIs" priority="522" operator="lessThan" dxfId="1">
      <formula>0</formula>
    </cfRule>
    <cfRule type="cellIs" priority="523" operator="greaterThan" dxfId="0">
      <formula>0.0001</formula>
    </cfRule>
  </conditionalFormatting>
  <conditionalFormatting sqref="Q18">
    <cfRule type="cellIs" priority="519" operator="greaterThan" dxfId="0">
      <formula>0.75</formula>
    </cfRule>
    <cfRule type="cellIs" priority="520" operator="between" dxfId="1036">
      <formula>0.301</formula>
      <formula>0.7499</formula>
    </cfRule>
    <cfRule type="cellIs" priority="521" operator="lessThan" dxfId="1">
      <formula>0.3</formula>
    </cfRule>
  </conditionalFormatting>
  <conditionalFormatting sqref="Y30">
    <cfRule type="cellIs" priority="517" operator="lessThan" dxfId="1">
      <formula>0</formula>
    </cfRule>
    <cfRule type="cellIs" priority="518" operator="greaterThan" dxfId="0">
      <formula>0</formula>
    </cfRule>
  </conditionalFormatting>
  <conditionalFormatting sqref="X23">
    <cfRule type="cellIs" priority="494" operator="lessThan" dxfId="1">
      <formula>0</formula>
    </cfRule>
    <cfRule type="cellIs" priority="491" operator="lessThan" dxfId="1">
      <formula>0</formula>
    </cfRule>
    <cfRule type="cellIs" priority="490" operator="lessThan" dxfId="1">
      <formula>0</formula>
    </cfRule>
    <cfRule type="cellIs" priority="492" operator="lessThan" dxfId="1">
      <formula>0</formula>
    </cfRule>
    <cfRule type="cellIs" priority="489" operator="lessThan" dxfId="1">
      <formula>0</formula>
    </cfRule>
    <cfRule type="cellIs" priority="493" operator="greaterThan" dxfId="0">
      <formula>0</formula>
    </cfRule>
    <cfRule type="cellIs" priority="488" operator="lessThan" dxfId="1">
      <formula>0</formula>
    </cfRule>
  </conditionalFormatting>
  <conditionalFormatting sqref="X119:X127">
    <cfRule type="cellIs" priority="516" operator="lessThan" dxfId="1">
      <formula>0</formula>
    </cfRule>
  </conditionalFormatting>
  <conditionalFormatting sqref="Y24">
    <cfRule type="cellIs" priority="508" operator="lessThan" dxfId="1">
      <formula>0</formula>
    </cfRule>
    <cfRule type="cellIs" priority="507" operator="greaterThan" dxfId="0">
      <formula>0</formula>
    </cfRule>
  </conditionalFormatting>
  <conditionalFormatting sqref="X98:X105">
    <cfRule type="cellIs" priority="506" operator="lessThan" dxfId="1">
      <formula>0</formula>
    </cfRule>
  </conditionalFormatting>
  <conditionalFormatting sqref="K6:V17">
    <cfRule type="cellIs" priority="505" operator="lessThan" dxfId="1">
      <formula>0</formula>
    </cfRule>
  </conditionalFormatting>
  <conditionalFormatting sqref="K21:V29">
    <cfRule type="aboveAverage" priority="501" dxfId="1865"/>
    <cfRule type="aboveAverage" priority="495" dxfId="1865"/>
  </conditionalFormatting>
  <conditionalFormatting sqref="E69">
    <cfRule type="cellIs" priority="500" operator="lessThan" dxfId="1">
      <formula>0</formula>
    </cfRule>
  </conditionalFormatting>
  <conditionalFormatting sqref="E70">
    <cfRule type="cellIs" priority="499" operator="lessThan" dxfId="1">
      <formula>0</formula>
    </cfRule>
  </conditionalFormatting>
  <conditionalFormatting sqref="X40">
    <cfRule type="cellIs" priority="496" operator="greaterThan" dxfId="1255">
      <formula>0</formula>
    </cfRule>
    <cfRule type="cellIs" priority="498" operator="lessThan" dxfId="1">
      <formula>0</formula>
    </cfRule>
    <cfRule type="cellIs" priority="497" operator="greaterThan" dxfId="0">
      <formula>0</formula>
    </cfRule>
  </conditionalFormatting>
  <conditionalFormatting sqref="Y23">
    <cfRule type="cellIs" priority="487" operator="lessThan" dxfId="1">
      <formula>0</formula>
    </cfRule>
    <cfRule type="cellIs" priority="486" operator="greaterThan" dxfId="0">
      <formula>0</formula>
    </cfRule>
  </conditionalFormatting>
  <conditionalFormatting sqref="L136:V136">
    <cfRule type="cellIs" priority="480" operator="lessThan" dxfId="1">
      <formula>0</formula>
    </cfRule>
  </conditionalFormatting>
  <conditionalFormatting sqref="K47:V47">
    <cfRule type="cellIs" priority="484" operator="lessThan" dxfId="1">
      <formula>0</formula>
    </cfRule>
    <cfRule type="cellIs" priority="485" operator="greaterThan" dxfId="0">
      <formula>0.1</formula>
    </cfRule>
  </conditionalFormatting>
  <conditionalFormatting sqref="K54">
    <cfRule type="cellIs" priority="482" operator="lessThan" dxfId="1">
      <formula>0</formula>
    </cfRule>
  </conditionalFormatting>
  <conditionalFormatting sqref="L54:V54">
    <cfRule type="cellIs" priority="481" operator="lessThan" dxfId="1">
      <formula>0</formula>
    </cfRule>
  </conditionalFormatting>
  <conditionalFormatting sqref="E28">
    <cfRule type="cellIs" priority="479" operator="lessThan" dxfId="1">
      <formula>0</formula>
    </cfRule>
  </conditionalFormatting>
  <conditionalFormatting sqref="Y18">
    <cfRule type="cellIs" priority="478" operator="lessThan" dxfId="1">
      <formula>0</formula>
    </cfRule>
    <cfRule type="cellIs" priority="477" operator="greaterThan" dxfId="0">
      <formula>0</formula>
    </cfRule>
  </conditionalFormatting>
  <conditionalFormatting sqref="E35:E37">
    <cfRule type="cellIs" priority="476" operator="lessThan" dxfId="1">
      <formula>0</formula>
    </cfRule>
  </conditionalFormatting>
  <conditionalFormatting sqref="X22">
    <cfRule type="cellIs" priority="464" operator="lessThan" dxfId="1">
      <formula>0</formula>
    </cfRule>
    <cfRule type="cellIs" priority="468" operator="lessThan" dxfId="1">
      <formula>0</formula>
    </cfRule>
    <cfRule type="cellIs" priority="467" operator="lessThan" dxfId="1">
      <formula>0</formula>
    </cfRule>
    <cfRule type="cellIs" priority="466" operator="lessThan" dxfId="1">
      <formula>0</formula>
    </cfRule>
    <cfRule type="cellIs" priority="465" operator="lessThan" dxfId="1">
      <formula>0</formula>
    </cfRule>
    <cfRule type="cellIs" priority="470" operator="lessThan" dxfId="1">
      <formula>0</formula>
    </cfRule>
    <cfRule type="cellIs" priority="469" operator="greaterThan" dxfId="0">
      <formula>0</formula>
    </cfRule>
  </conditionalFormatting>
  <conditionalFormatting sqref="Y7:Y17">
    <cfRule type="cellIs" priority="474" operator="lessThan" dxfId="1">
      <formula>0</formula>
    </cfRule>
    <cfRule type="cellIs" priority="473" operator="greaterThan" dxfId="0">
      <formula>0</formula>
    </cfRule>
  </conditionalFormatting>
  <conditionalFormatting sqref="W41:W50">
    <cfRule type="cellIs" priority="471" operator="lessThan" dxfId="1">
      <formula>0</formula>
    </cfRule>
    <cfRule type="cellIs" priority="472" operator="greaterThan" dxfId="0">
      <formula>0.1</formula>
    </cfRule>
  </conditionalFormatting>
  <conditionalFormatting sqref="Y22">
    <cfRule type="cellIs" priority="463" operator="lessThan" dxfId="1">
      <formula>0</formula>
    </cfRule>
    <cfRule type="cellIs" priority="462" operator="greaterThan" dxfId="0">
      <formula>0</formula>
    </cfRule>
  </conditionalFormatting>
  <conditionalFormatting sqref="K97">
    <cfRule type="cellIs" priority="448" operator="lessThan" dxfId="1">
      <formula>0</formula>
    </cfRule>
  </conditionalFormatting>
  <conditionalFormatting sqref="L97:V97">
    <cfRule type="cellIs" priority="446" operator="lessThan" dxfId="1">
      <formula>0</formula>
    </cfRule>
  </conditionalFormatting>
  <conditionalFormatting sqref="K118:K126">
    <cfRule type="cellIs" priority="444" operator="lessThan" dxfId="1">
      <formula>0</formula>
    </cfRule>
  </conditionalFormatting>
  <conditionalFormatting sqref="L118:V118">
    <cfRule type="cellIs" priority="443" operator="lessThan" dxfId="1">
      <formula>0</formula>
    </cfRule>
  </conditionalFormatting>
  <conditionalFormatting sqref="E45">
    <cfRule type="cellIs" priority="419" operator="lessThan" dxfId="1">
      <formula>0</formula>
    </cfRule>
  </conditionalFormatting>
  <conditionalFormatting sqref="E25">
    <cfRule type="cellIs" priority="377" operator="lessThan" dxfId="1">
      <formula>0</formula>
    </cfRule>
  </conditionalFormatting>
  <conditionalFormatting sqref="E44">
    <cfRule type="cellIs" priority="335" operator="lessThan" dxfId="1">
      <formula>0</formula>
    </cfRule>
  </conditionalFormatting>
  <conditionalFormatting sqref="E43">
    <cfRule type="cellIs" priority="329" operator="lessThan" dxfId="1">
      <formula>0</formula>
    </cfRule>
  </conditionalFormatting>
  <conditionalFormatting sqref="X41:X51">
    <cfRule type="cellIs" priority="323" operator="greaterThan" dxfId="1255">
      <formula>0</formula>
    </cfRule>
    <cfRule type="cellIs" priority="325" operator="lessThan" dxfId="1">
      <formula>0</formula>
    </cfRule>
    <cfRule type="cellIs" priority="324" operator="greaterThan" dxfId="0">
      <formula>0</formula>
    </cfRule>
  </conditionalFormatting>
  <conditionalFormatting sqref="Y41:Y51">
    <cfRule type="cellIs" priority="322" operator="lessThan" dxfId="1">
      <formula>0</formula>
    </cfRule>
    <cfRule type="cellIs" priority="321" operator="greaterThan" dxfId="0">
      <formula>0</formula>
    </cfRule>
  </conditionalFormatting>
  <conditionalFormatting sqref="S21">
    <cfRule type="aboveAverage" priority="294" dxfId="1865"/>
    <cfRule type="aboveAverage" priority="293" dxfId="1865"/>
  </conditionalFormatting>
  <conditionalFormatting sqref="T21">
    <cfRule type="aboveAverage" priority="292" dxfId="1865"/>
    <cfRule type="aboveAverage" priority="291" dxfId="1865"/>
  </conditionalFormatting>
  <conditionalFormatting sqref="U21">
    <cfRule type="aboveAverage" priority="285" dxfId="1865"/>
    <cfRule type="aboveAverage" priority="284" dxfId="1865"/>
    <cfRule type="aboveAverage" priority="273" dxfId="1865"/>
    <cfRule type="aboveAverage" priority="272" dxfId="1865"/>
  </conditionalFormatting>
  <conditionalFormatting sqref="W20">
    <cfRule type="cellIs" priority="205" operator="lessThan" dxfId="1">
      <formula>0</formula>
    </cfRule>
  </conditionalFormatting>
  <conditionalFormatting sqref="V20:V21">
    <cfRule type="cellIs" priority="204" operator="lessThan" dxfId="1">
      <formula>0</formula>
    </cfRule>
  </conditionalFormatting>
  <conditionalFormatting sqref="E47">
    <cfRule type="cellIs" priority="201" operator="lessThan" dxfId="1">
      <formula>0</formula>
    </cfRule>
  </conditionalFormatting>
  <conditionalFormatting sqref="K21:R21">
    <cfRule type="aboveAverage" priority="192" dxfId="1865"/>
    <cfRule type="aboveAverage" priority="191" dxfId="1865"/>
  </conditionalFormatting>
  <conditionalFormatting sqref="X21">
    <cfRule type="cellIs" priority="184" operator="lessThan" dxfId="1">
      <formula>0</formula>
    </cfRule>
    <cfRule type="cellIs" priority="188" operator="lessThan" dxfId="1">
      <formula>0</formula>
    </cfRule>
    <cfRule type="cellIs" priority="187" operator="lessThan" dxfId="1">
      <formula>0</formula>
    </cfRule>
    <cfRule type="cellIs" priority="186" operator="lessThan" dxfId="1">
      <formula>0</formula>
    </cfRule>
    <cfRule type="cellIs" priority="185" operator="lessThan" dxfId="1">
      <formula>0</formula>
    </cfRule>
    <cfRule type="cellIs" priority="190" operator="lessThan" dxfId="1">
      <formula>0</formula>
    </cfRule>
    <cfRule type="cellIs" priority="189" operator="greaterThan" dxfId="0">
      <formula>0</formula>
    </cfRule>
  </conditionalFormatting>
  <conditionalFormatting sqref="Y21">
    <cfRule type="cellIs" priority="183" operator="lessThan" dxfId="1">
      <formula>0</formula>
    </cfRule>
    <cfRule type="cellIs" priority="182" operator="greaterThan" dxfId="0">
      <formula>0</formula>
    </cfRule>
  </conditionalFormatting>
  <conditionalFormatting sqref="K55:K64">
    <cfRule type="cellIs" priority="181" operator="lessThan" dxfId="1">
      <formula>0</formula>
    </cfRule>
  </conditionalFormatting>
  <conditionalFormatting sqref="L55:L64">
    <cfRule type="cellIs" priority="180" operator="lessThan" dxfId="1">
      <formula>0</formula>
    </cfRule>
  </conditionalFormatting>
  <conditionalFormatting sqref="M55:M64">
    <cfRule type="cellIs" priority="179" operator="lessThan" dxfId="1">
      <formula>0</formula>
    </cfRule>
  </conditionalFormatting>
  <conditionalFormatting sqref="N55:N64">
    <cfRule type="cellIs" priority="178" operator="lessThan" dxfId="1">
      <formula>0</formula>
    </cfRule>
  </conditionalFormatting>
  <conditionalFormatting sqref="O55:O64">
    <cfRule type="cellIs" priority="177" operator="lessThan" dxfId="1">
      <formula>0</formula>
    </cfRule>
  </conditionalFormatting>
  <conditionalFormatting sqref="P55:P64">
    <cfRule type="cellIs" priority="176" operator="lessThan" dxfId="1">
      <formula>0</formula>
    </cfRule>
  </conditionalFormatting>
  <conditionalFormatting sqref="Q55:Q64">
    <cfRule type="cellIs" priority="175" operator="lessThan" dxfId="1">
      <formula>0</formula>
    </cfRule>
  </conditionalFormatting>
  <conditionalFormatting sqref="R55:R64">
    <cfRule type="cellIs" priority="174" operator="lessThan" dxfId="1">
      <formula>0</formula>
    </cfRule>
  </conditionalFormatting>
  <conditionalFormatting sqref="S55:S64">
    <cfRule type="cellIs" priority="173" operator="lessThan" dxfId="1">
      <formula>0</formula>
    </cfRule>
  </conditionalFormatting>
  <conditionalFormatting sqref="T55:T64">
    <cfRule type="cellIs" priority="172" operator="lessThan" dxfId="1">
      <formula>0</formula>
    </cfRule>
  </conditionalFormatting>
  <conditionalFormatting sqref="U55:U64">
    <cfRule type="cellIs" priority="171" operator="lessThan" dxfId="1">
      <formula>0</formula>
    </cfRule>
  </conditionalFormatting>
  <conditionalFormatting sqref="V55:V64">
    <cfRule type="cellIs" priority="170" operator="lessThan" dxfId="1">
      <formula>0</formula>
    </cfRule>
  </conditionalFormatting>
  <conditionalFormatting sqref="K98:K105">
    <cfRule type="cellIs" priority="169" operator="lessThan" dxfId="1">
      <formula>0</formula>
    </cfRule>
  </conditionalFormatting>
  <conditionalFormatting sqref="L98:L105">
    <cfRule type="cellIs" priority="168" operator="lessThan" dxfId="1">
      <formula>0</formula>
    </cfRule>
  </conditionalFormatting>
  <conditionalFormatting sqref="M98:M105">
    <cfRule type="cellIs" priority="167" operator="lessThan" dxfId="1">
      <formula>0</formula>
    </cfRule>
  </conditionalFormatting>
  <conditionalFormatting sqref="N98:N105">
    <cfRule type="cellIs" priority="166" operator="lessThan" dxfId="1">
      <formula>0</formula>
    </cfRule>
  </conditionalFormatting>
  <conditionalFormatting sqref="O98:O105">
    <cfRule type="cellIs" priority="165" operator="lessThan" dxfId="1">
      <formula>0</formula>
    </cfRule>
  </conditionalFormatting>
  <conditionalFormatting sqref="P98:P105">
    <cfRule type="cellIs" priority="164" operator="lessThan" dxfId="1">
      <formula>0</formula>
    </cfRule>
  </conditionalFormatting>
  <conditionalFormatting sqref="Q98:Q105">
    <cfRule type="cellIs" priority="163" operator="lessThan" dxfId="1">
      <formula>0</formula>
    </cfRule>
  </conditionalFormatting>
  <conditionalFormatting sqref="R98:R105">
    <cfRule type="cellIs" priority="162" operator="lessThan" dxfId="1">
      <formula>0</formula>
    </cfRule>
  </conditionalFormatting>
  <conditionalFormatting sqref="S98:S105">
    <cfRule type="cellIs" priority="161" operator="lessThan" dxfId="1">
      <formula>0</formula>
    </cfRule>
  </conditionalFormatting>
  <conditionalFormatting sqref="T98:T105">
    <cfRule type="cellIs" priority="160" operator="lessThan" dxfId="1">
      <formula>0</formula>
    </cfRule>
  </conditionalFormatting>
  <conditionalFormatting sqref="U98:U105">
    <cfRule type="cellIs" priority="159" operator="lessThan" dxfId="1">
      <formula>0</formula>
    </cfRule>
  </conditionalFormatting>
  <conditionalFormatting sqref="V98:V105">
    <cfRule type="cellIs" priority="158" operator="lessThan" dxfId="1">
      <formula>0</formula>
    </cfRule>
  </conditionalFormatting>
  <conditionalFormatting sqref="K119:K126">
    <cfRule type="cellIs" priority="157" operator="lessThan" dxfId="1">
      <formula>0</formula>
    </cfRule>
  </conditionalFormatting>
  <conditionalFormatting sqref="L119:L126">
    <cfRule type="cellIs" priority="156" operator="lessThan" dxfId="1">
      <formula>0</formula>
    </cfRule>
  </conditionalFormatting>
  <conditionalFormatting sqref="M119:M126">
    <cfRule type="cellIs" priority="155" operator="lessThan" dxfId="1">
      <formula>0</formula>
    </cfRule>
  </conditionalFormatting>
  <conditionalFormatting sqref="N119:N126">
    <cfRule type="cellIs" priority="154" operator="lessThan" dxfId="1">
      <formula>0</formula>
    </cfRule>
  </conditionalFormatting>
  <conditionalFormatting sqref="O119:O126">
    <cfRule type="cellIs" priority="153" operator="lessThan" dxfId="1">
      <formula>0</formula>
    </cfRule>
  </conditionalFormatting>
  <conditionalFormatting sqref="P119:P126">
    <cfRule type="cellIs" priority="152" operator="lessThan" dxfId="1">
      <formula>0</formula>
    </cfRule>
  </conditionalFormatting>
  <conditionalFormatting sqref="Q119:Q126">
    <cfRule type="cellIs" priority="151" operator="lessThan" dxfId="1">
      <formula>0</formula>
    </cfRule>
  </conditionalFormatting>
  <conditionalFormatting sqref="R119:R126">
    <cfRule type="cellIs" priority="150" operator="lessThan" dxfId="1">
      <formula>0</formula>
    </cfRule>
  </conditionalFormatting>
  <conditionalFormatting sqref="S119:S126">
    <cfRule type="cellIs" priority="149" operator="lessThan" dxfId="1">
      <formula>0</formula>
    </cfRule>
  </conditionalFormatting>
  <conditionalFormatting sqref="T119:T126">
    <cfRule type="cellIs" priority="148" operator="lessThan" dxfId="1">
      <formula>0</formula>
    </cfRule>
  </conditionalFormatting>
  <conditionalFormatting sqref="U119:U126">
    <cfRule type="cellIs" priority="147" operator="lessThan" dxfId="1">
      <formula>0</formula>
    </cfRule>
  </conditionalFormatting>
  <conditionalFormatting sqref="V119:V126">
    <cfRule type="cellIs" priority="146" operator="lessThan" dxfId="1">
      <formula>0</formula>
    </cfRule>
  </conditionalFormatting>
  <conditionalFormatting sqref="E473:E474">
    <cfRule type="cellIs" priority="115" operator="lessThan" dxfId="1">
      <formula>0</formula>
    </cfRule>
  </conditionalFormatting>
  <conditionalFormatting sqref="E479">
    <cfRule type="cellIs" priority="114" operator="lessThan" dxfId="1">
      <formula>0</formula>
    </cfRule>
  </conditionalFormatting>
  <conditionalFormatting sqref="E471">
    <cfRule type="cellIs" priority="113" operator="lessThan" dxfId="1">
      <formula>0</formula>
    </cfRule>
  </conditionalFormatting>
  <conditionalFormatting sqref="E469">
    <cfRule type="cellIs" priority="112" operator="lessThan" dxfId="1">
      <formula>0</formula>
    </cfRule>
  </conditionalFormatting>
  <conditionalFormatting sqref="E466">
    <cfRule type="cellIs" priority="50" operator="lessThan" dxfId="1">
      <formula>0</formula>
    </cfRule>
  </conditionalFormatting>
  <conditionalFormatting sqref="E463">
    <cfRule type="cellIs" priority="49" operator="lessThan" dxfId="1">
      <formula>0</formula>
    </cfRule>
  </conditionalFormatting>
  <conditionalFormatting sqref="E454">
    <cfRule type="cellIs" priority="48" operator="lessThan" dxfId="1">
      <formula>0</formula>
    </cfRule>
  </conditionalFormatting>
  <conditionalFormatting sqref="E453">
    <cfRule type="cellIs" priority="47" operator="lessThan" dxfId="1">
      <formula>0</formula>
    </cfRule>
  </conditionalFormatting>
  <conditionalFormatting sqref="E450:E451">
    <cfRule type="cellIs" priority="46" operator="lessThan" dxfId="1">
      <formula>0</formula>
    </cfRule>
  </conditionalFormatting>
  <conditionalFormatting sqref="E425:E426">
    <cfRule type="cellIs" priority="12" operator="lessThan" dxfId="1">
      <formula>0</formula>
    </cfRule>
  </conditionalFormatting>
  <conditionalFormatting sqref="E416:E417">
    <cfRule type="cellIs" priority="11" operator="lessThan" dxfId="1">
      <formula>0</formula>
    </cfRule>
  </conditionalFormatting>
  <conditionalFormatting sqref="E413:E414">
    <cfRule type="cellIs" priority="10" operator="lessThan" dxfId="1">
      <formula>0</formula>
    </cfRule>
  </conditionalFormatting>
  <conditionalFormatting sqref="E389:E390">
    <cfRule type="cellIs" priority="9" operator="lessThan" dxfId="1">
      <formula>0</formula>
    </cfRule>
  </conditionalFormatting>
  <conditionalFormatting sqref="E348:E349">
    <cfRule type="cellIs" priority="8" operator="lessThan" dxfId="1">
      <formula>0</formula>
    </cfRule>
  </conditionalFormatting>
  <conditionalFormatting sqref="E316:E319">
    <cfRule type="cellIs" priority="7" operator="lessThan" dxfId="1">
      <formula>0</formula>
    </cfRule>
  </conditionalFormatting>
  <conditionalFormatting sqref="E293:E294">
    <cfRule type="cellIs" priority="6" operator="lessThan" dxfId="1">
      <formula>0</formula>
    </cfRule>
  </conditionalFormatting>
  <conditionalFormatting sqref="E276:E277">
    <cfRule type="cellIs" priority="5" operator="lessThan" dxfId="1">
      <formula>0</formula>
    </cfRule>
  </conditionalFormatting>
  <conditionalFormatting sqref="E251:E252">
    <cfRule type="cellIs" priority="4" operator="lessThan" dxfId="1">
      <formula>0</formula>
    </cfRule>
  </conditionalFormatting>
  <conditionalFormatting sqref="E223:E224">
    <cfRule type="cellIs" priority="3" operator="lessThan" dxfId="1">
      <formula>0</formula>
    </cfRule>
  </conditionalFormatting>
  <conditionalFormatting sqref="E201:E202">
    <cfRule type="cellIs" priority="2" operator="lessThan" dxfId="1">
      <formula>0</formula>
    </cfRule>
  </conditionalFormatting>
  <conditionalFormatting sqref="E179:E180">
    <cfRule type="cellIs" priority="1" operator="lessThan" dxfId="1">
      <formula>0</formula>
    </cfRule>
  </conditionalFormatting>
  <dataValidations count="3">
    <dataValidation sqref="C154:C483 C485:C554" showDropDown="0" showInputMessage="1" showErrorMessage="1" allowBlank="1" type="list">
      <formula1>$I$5:$I$31</formula1>
    </dataValidation>
    <dataValidation sqref="C3:C18 C24 C40 C46 C48 C50 C56:C57 C67:C68 C70:C77 C555:C590 C592:C637 C639:C697 C700 C702:C757 C764:C795 C798:C823 C825:C833 C835:C862 C864:C867 C870:C874 C876 C878:C879 C881:C903 C905:C939 C942:C953 C955:C984 C986:C1038 C1041:C1075" showDropDown="0" showInputMessage="1" showErrorMessage="1" allowBlank="1" type="list">
      <formula1>$I$5:$I$32</formula1>
    </dataValidation>
    <dataValidation sqref="C23 C25:C30 C32:C37 C39 C41 C43:C45 C47 C49 C51:C53 C55" showDropDown="0" showInputMessage="1" showErrorMessage="1" allowBlank="1" type="list">
      <formula1>$I$4:$I$29</formula1>
    </dataValidation>
  </dataValidations>
  <pageMargins left="0.25" right="0.25" top="0.75" bottom="0.75" header="0.3" footer="0.3"/>
  <pageSetup orientation="landscape" paperSize="9" scale="10"/>
</worksheet>
</file>

<file path=xl/worksheets/sheet11.xml><?xml version="1.0" encoding="utf-8"?>
<worksheet xmlns="http://schemas.openxmlformats.org/spreadsheetml/2006/main">
  <sheetPr>
    <outlinePr summaryBelow="1" summaryRight="1"/>
    <pageSetUpPr fitToPage="1"/>
  </sheetPr>
  <dimension ref="A1:AI635"/>
  <sheetViews>
    <sheetView showZeros="0" zoomScaleNormal="100" workbookViewId="0">
      <selection activeCell="V12" sqref="V12"/>
    </sheetView>
  </sheetViews>
  <sheetFormatPr baseColWidth="8" defaultColWidth="9.1328125" defaultRowHeight="12.75"/>
  <cols>
    <col width="11" bestFit="1" customWidth="1" style="1255" min="1" max="1"/>
    <col width="19.46484375" customWidth="1" style="1255" min="2" max="2"/>
    <col width="22.46484375" customWidth="1" style="1255" min="3" max="3"/>
    <col width="15.46484375" bestFit="1" customWidth="1" style="1255" min="4" max="4"/>
    <col width="11" bestFit="1" customWidth="1" style="1256" min="5" max="5"/>
    <col width="22.1328125" bestFit="1" customWidth="1" style="1255" min="6" max="6"/>
    <col width="15.796875" customWidth="1" style="1255" min="7" max="7"/>
    <col width="12.6640625" customWidth="1" style="1255" min="8" max="8"/>
    <col width="24.1328125" bestFit="1" customWidth="1" style="1255" min="9" max="9"/>
    <col width="17.53125" bestFit="1" customWidth="1" style="1255" min="10" max="10"/>
    <col width="8.86328125" customWidth="1" style="1255" min="11" max="11"/>
    <col width="7.796875" customWidth="1" style="1255" min="12" max="13"/>
    <col width="7.46484375" customWidth="1" style="1255" min="14" max="14"/>
    <col width="7.796875" customWidth="1" style="1255" min="15" max="22"/>
    <col width="8.53125" customWidth="1" style="1255" min="23" max="23"/>
    <col width="12.1328125" bestFit="1" customWidth="1" style="1255" min="24" max="24"/>
    <col width="10.19921875" customWidth="1" style="1255" min="25" max="25"/>
    <col width="7.86328125" bestFit="1" customWidth="1" style="1255" min="26" max="26"/>
    <col width="11" customWidth="1" style="1255" min="27" max="27"/>
    <col width="10.46484375" customWidth="1" style="1255" min="28" max="28"/>
    <col width="3.1328125" customWidth="1" style="1255" min="29" max="29"/>
    <col width="13.33203125" customWidth="1" style="1255" min="30" max="30"/>
    <col width="12" bestFit="1" customWidth="1" style="1255" min="31" max="31"/>
    <col width="11.53125" bestFit="1" customWidth="1" style="1255" min="32" max="32"/>
    <col width="12" bestFit="1" customWidth="1" style="1255" min="33" max="33"/>
    <col width="9" bestFit="1" customWidth="1" style="1255" min="34" max="34"/>
    <col width="9.1328125" customWidth="1" style="1255" min="35" max="16384"/>
  </cols>
  <sheetData>
    <row r="1">
      <c r="J1" s="1260" t="inlineStr">
        <is>
          <t>Covid Factor</t>
        </is>
      </c>
      <c r="K1" s="1261" t="n">
        <v>-0.045</v>
      </c>
      <c r="L1" s="1261" t="n">
        <v>-0.045</v>
      </c>
      <c r="M1" s="1261" t="n">
        <v>-0.02</v>
      </c>
      <c r="N1" s="1261" t="n">
        <v>0.01</v>
      </c>
      <c r="O1" s="1261" t="n">
        <v>0.01</v>
      </c>
      <c r="P1" s="1261" t="n">
        <v>0.01</v>
      </c>
      <c r="Q1" s="1261" t="n">
        <v>0.02</v>
      </c>
      <c r="R1" s="1261" t="n">
        <v>0.01</v>
      </c>
      <c r="S1" s="1261" t="n">
        <v>0.02</v>
      </c>
      <c r="T1" s="1261" t="n">
        <v>0.02</v>
      </c>
      <c r="U1" s="1261" t="n">
        <v>0.01</v>
      </c>
      <c r="V1" s="1261" t="n">
        <v>0</v>
      </c>
      <c r="W1" s="1262">
        <f>SUM(K1:V1)</f>
        <v/>
      </c>
    </row>
    <row r="2" ht="13.15" customHeight="1" s="1232">
      <c r="A2" s="1265" t="inlineStr">
        <is>
          <t>Date</t>
        </is>
      </c>
      <c r="B2" s="1265" t="inlineStr">
        <is>
          <t>Name</t>
        </is>
      </c>
      <c r="C2" s="1265" t="inlineStr">
        <is>
          <t>Category</t>
        </is>
      </c>
      <c r="D2" s="1265" t="inlineStr">
        <is>
          <t>Source</t>
        </is>
      </c>
      <c r="E2" s="1264" t="inlineStr">
        <is>
          <t>Value</t>
        </is>
      </c>
      <c r="F2" s="1265" t="inlineStr">
        <is>
          <t xml:space="preserve">Fulfilled </t>
        </is>
      </c>
      <c r="J2" s="1260" t="inlineStr">
        <is>
          <t>Weighting</t>
        </is>
      </c>
      <c r="K2" s="1266">
        <f>SUM(K30/$W30)</f>
        <v/>
      </c>
      <c r="L2" s="1266">
        <f>SUM(L30/$W30)</f>
        <v/>
      </c>
      <c r="M2" s="1266">
        <f>SUM(M30/$W30)</f>
        <v/>
      </c>
      <c r="N2" s="1266">
        <f>SUM(N30/$W30)</f>
        <v/>
      </c>
      <c r="O2" s="1266">
        <f>SUM(O30/$W30)</f>
        <v/>
      </c>
      <c r="P2" s="1266">
        <f>SUM(P30/$W30)</f>
        <v/>
      </c>
      <c r="Q2" s="1266">
        <f>SUM(Q30/$W30)</f>
        <v/>
      </c>
      <c r="R2" s="1266">
        <f>SUM(R30/$W30)</f>
        <v/>
      </c>
      <c r="S2" s="1266">
        <f>SUM(S30/$W30)</f>
        <v/>
      </c>
      <c r="T2" s="1266">
        <f>SUM(T30/$W30)</f>
        <v/>
      </c>
      <c r="U2" s="1266">
        <f>SUM(U30/$W30)</f>
        <v/>
      </c>
      <c r="V2" s="1266">
        <f>SUM(V30/$W30)</f>
        <v/>
      </c>
      <c r="W2" s="1267">
        <f>SUM(K2:V2)</f>
        <v/>
      </c>
      <c r="AD2" s="1268" t="inlineStr">
        <is>
          <t>FY</t>
        </is>
      </c>
      <c r="AE2" s="1260" t="inlineStr">
        <is>
          <t>Total</t>
        </is>
      </c>
      <c r="AF2" s="1260" t="inlineStr">
        <is>
          <t>Apr to Dec</t>
        </is>
      </c>
      <c r="AG2" s="1260" t="inlineStr">
        <is>
          <t>Jan to Mar</t>
        </is>
      </c>
      <c r="AH2" s="1260" t="inlineStr">
        <is>
          <t>% Inc</t>
        </is>
      </c>
    </row>
    <row r="3" ht="13.9" customHeight="1" s="1232">
      <c r="A3" s="1271" t="n"/>
      <c r="B3" s="1357" t="n"/>
      <c r="C3" s="1271" t="n"/>
      <c r="D3" s="1271" t="n"/>
      <c r="E3" s="1270" t="n"/>
      <c r="F3" s="1271" t="n"/>
      <c r="I3" s="1250" t="n"/>
      <c r="J3" s="1251" t="inlineStr">
        <is>
          <t>Monthly Target</t>
        </is>
      </c>
      <c r="K3" s="737">
        <f>SUM(K2+K1)*$J18</f>
        <v/>
      </c>
      <c r="L3" s="737">
        <f>SUM(L2+L1)*$J18</f>
        <v/>
      </c>
      <c r="M3" s="737">
        <f>SUM(M2+M1)*$J18</f>
        <v/>
      </c>
      <c r="N3" s="737">
        <f>SUM(N2+N1)*$J18</f>
        <v/>
      </c>
      <c r="O3" s="737">
        <f>SUM(O2+O1)*$J18</f>
        <v/>
      </c>
      <c r="P3" s="737">
        <f>SUM(P2+P1)*$J18</f>
        <v/>
      </c>
      <c r="Q3" s="737">
        <f>SUM(Q2+Q1)*$J18</f>
        <v/>
      </c>
      <c r="R3" s="737">
        <f>SUM(R2+R1)*$J18</f>
        <v/>
      </c>
      <c r="S3" s="737">
        <f>SUM(S2+S1)*$J18</f>
        <v/>
      </c>
      <c r="T3" s="737">
        <f>SUM(T2+T1)*$J18</f>
        <v/>
      </c>
      <c r="U3" s="737">
        <f>SUM(U2+U1)*$J18</f>
        <v/>
      </c>
      <c r="V3" s="737">
        <f>SUM(V2+V1)*$J18</f>
        <v/>
      </c>
      <c r="W3" s="805">
        <f>SUM(K3:V3)</f>
        <v/>
      </c>
      <c r="AA3" s="1273" t="inlineStr">
        <is>
          <t>Month No'</t>
        </is>
      </c>
      <c r="AB3" s="820" t="n">
        <v>12</v>
      </c>
    </row>
    <row r="4" ht="13.9" customHeight="1" s="1232">
      <c r="A4" s="1271" t="n"/>
      <c r="B4" s="1357" t="n"/>
      <c r="C4" s="1271" t="n"/>
      <c r="D4" s="1271" t="n"/>
      <c r="E4" s="1270" t="n"/>
      <c r="F4" s="1271" t="n"/>
      <c r="I4" s="1250" t="n"/>
      <c r="J4" s="1251" t="n"/>
      <c r="K4" s="737" t="n"/>
      <c r="L4" s="737" t="n"/>
      <c r="M4" s="737" t="n"/>
      <c r="N4" s="737" t="n"/>
      <c r="O4" s="737" t="n"/>
      <c r="P4" s="737" t="n"/>
      <c r="Q4" s="737" t="n"/>
      <c r="R4" s="737" t="n"/>
      <c r="S4" s="737" t="n"/>
      <c r="T4" s="737" t="n"/>
      <c r="U4" s="737" t="n"/>
      <c r="V4" s="737" t="n"/>
      <c r="W4" s="805" t="n"/>
      <c r="AD4" s="1282" t="inlineStr">
        <is>
          <t>2021/22 Covid</t>
        </is>
      </c>
      <c r="AE4" s="1378">
        <f>AF4+AG4</f>
        <v/>
      </c>
      <c r="AF4" s="1284">
        <f>SUM(N17:V17)</f>
        <v/>
      </c>
      <c r="AH4" s="445">
        <f>SUM(AE4-AE5)/AE5</f>
        <v/>
      </c>
    </row>
    <row r="5" ht="13.9" customHeight="1" s="1232">
      <c r="A5" s="1292" t="n"/>
      <c r="B5" s="1294" t="n"/>
      <c r="C5" s="1294" t="n"/>
      <c r="D5" s="1274" t="n"/>
      <c r="E5" s="1270" t="n"/>
      <c r="F5" s="1274" t="n"/>
      <c r="I5" s="1336" t="inlineStr">
        <is>
          <t>Tuition Categories</t>
        </is>
      </c>
      <c r="J5" s="1276" t="inlineStr">
        <is>
          <t>Target</t>
        </is>
      </c>
      <c r="K5" s="1332" t="inlineStr">
        <is>
          <t>Jan</t>
        </is>
      </c>
      <c r="L5" s="1332" t="inlineStr">
        <is>
          <t>Feb</t>
        </is>
      </c>
      <c r="M5" s="1332" t="inlineStr">
        <is>
          <t>Mar</t>
        </is>
      </c>
      <c r="N5" s="1332" t="inlineStr">
        <is>
          <t>Apr</t>
        </is>
      </c>
      <c r="O5" s="1332" t="inlineStr">
        <is>
          <t>May</t>
        </is>
      </c>
      <c r="P5" s="1332" t="inlineStr">
        <is>
          <t>Jun</t>
        </is>
      </c>
      <c r="Q5" s="1332" t="inlineStr">
        <is>
          <t>Jul</t>
        </is>
      </c>
      <c r="R5" s="1332" t="inlineStr">
        <is>
          <t>Aug</t>
        </is>
      </c>
      <c r="S5" s="1332" t="inlineStr">
        <is>
          <t>Sep</t>
        </is>
      </c>
      <c r="T5" s="1332" t="inlineStr">
        <is>
          <t>Oct</t>
        </is>
      </c>
      <c r="U5" s="1332" t="inlineStr">
        <is>
          <t>Nov</t>
        </is>
      </c>
      <c r="V5" s="1332" t="inlineStr">
        <is>
          <t>Dec</t>
        </is>
      </c>
      <c r="W5" s="1278" t="inlineStr">
        <is>
          <t>Year</t>
        </is>
      </c>
      <c r="X5" s="1367" t="inlineStr">
        <is>
          <t>Current Var</t>
        </is>
      </c>
      <c r="Y5" s="1280" t="inlineStr">
        <is>
          <t>Var YTD</t>
        </is>
      </c>
      <c r="Z5" s="1281" t="inlineStr">
        <is>
          <t>% YTD</t>
        </is>
      </c>
      <c r="AA5" s="1279" t="inlineStr">
        <is>
          <t>YTD Targ</t>
        </is>
      </c>
      <c r="AB5" s="1260" t="inlineStr">
        <is>
          <t>Avg.PM</t>
        </is>
      </c>
      <c r="AD5" s="1282" t="inlineStr">
        <is>
          <t>2020/21 Covid</t>
        </is>
      </c>
      <c r="AE5" s="1378">
        <f>AF5+AG5</f>
        <v/>
      </c>
      <c r="AF5" s="1284">
        <f>SUM(N21:V21)</f>
        <v/>
      </c>
      <c r="AG5" s="1284">
        <f>SUM(K17:M17)</f>
        <v/>
      </c>
      <c r="AH5" s="445">
        <f>SUM(AE5-AE6)/AE6</f>
        <v/>
      </c>
    </row>
    <row r="6" ht="13.5" customHeight="1" s="1232">
      <c r="A6" s="1292" t="n"/>
      <c r="B6" s="1294" t="n"/>
      <c r="C6" s="1294" t="n"/>
      <c r="D6" s="1274" t="n"/>
      <c r="E6" s="1270" t="n"/>
      <c r="F6" s="1274" t="n"/>
      <c r="I6" s="1333" t="inlineStr">
        <is>
          <t>1. Courses/masterclasses</t>
        </is>
      </c>
      <c r="J6" s="431" t="n">
        <v>750</v>
      </c>
      <c r="K6" s="432">
        <f>SUMIFS($E$150:$E$635,$A$150:$A$635,"&gt;31/12/2020",$A$150:$A$635,"&lt;1/2/2021",$C$150:$C$635,$I6)</f>
        <v/>
      </c>
      <c r="L6" s="432">
        <f>SUMIFS($E$150:$E$635,$A$150:$A$635,"&gt;31/1/2021",$A$150:$A$635,"&lt;1/3/2021",$C$150:$C$635,$I6)</f>
        <v/>
      </c>
      <c r="M6" s="432">
        <f>SUMIFS($E$150:$E$635,$A$150:$A$635,"&gt;28/2/2021",$A$150:$A$635,"&lt;1/4/2021",$C$150:$C$635,$I6)</f>
        <v/>
      </c>
      <c r="N6" s="432">
        <f>SUMIFS($E$150:$E$635,$A$150:$A$635,"&gt;31/3/2021",$A$150:$A$635,"&lt;1/5/2021",$C$150:$C$635,$I6)</f>
        <v/>
      </c>
      <c r="O6" s="432">
        <f>SUMIFS($E$150:$E$635,$A$150:$A$635,"&gt;30/4/2021",$A$150:$A$635,"&lt;1/6/2021",$C$150:$C$635,$I6)</f>
        <v/>
      </c>
      <c r="P6" s="432">
        <f>SUMIFS($E$150:$E$635,$A$150:$A$635,"&gt;31/5/2021",$A$150:$A$635,"&lt;1/7/2021",$C$150:$C$635,$I6)</f>
        <v/>
      </c>
      <c r="Q6" s="432">
        <f>SUMIFS($E$150:$E$635,$A$150:$A$635,"&gt;30/6/2021",$A$150:$A$635,"&lt;1/8/2021",$C$150:$C$635,$I6)</f>
        <v/>
      </c>
      <c r="R6" s="432">
        <f>SUMIFS($E$150:$E$635,$A$150:$A$635,"&gt;31/7/2021",$A$150:$A$635,"&lt;1/9/2021",$C$150:$C$635,$I6)</f>
        <v/>
      </c>
      <c r="S6" s="432">
        <f>SUMIFS($E$150:$E$635,$A$150:$A$635,"&gt;31/8/2021",$A$150:$A$635,"&lt;1/10/2021",$C$150:$C$635,$I6)</f>
        <v/>
      </c>
      <c r="T6" s="432">
        <f>SUMIFS($E$150:$E$635,$A$150:$A$635,"&gt;30/9/2021",$A$150:$A$635,"&lt;1/11/2021",$C$150:$C$635,$I6)</f>
        <v/>
      </c>
      <c r="U6" s="432">
        <f>SUMIFS($E$150:$E$635,$A$150:$A$635,"&gt;31/10/2021",$A$150:$A$635,"&lt;1/12/2021",$C$150:$C$635,$I6)</f>
        <v/>
      </c>
      <c r="V6" s="432">
        <f>SUMIFS($E$150:$E$635,$A$150:$A$635,"&gt;30/11/2021",$A$150:$A$635,"&lt;1/1/2022",$C$150:$C$635,$I6)</f>
        <v/>
      </c>
      <c r="W6" s="431">
        <f>SUM(K6:V6)</f>
        <v/>
      </c>
      <c r="X6" s="432">
        <f>SUM(V6-(J6*12)*(V$2+V$1))</f>
        <v/>
      </c>
      <c r="Y6" s="432">
        <f>W6-AA6</f>
        <v/>
      </c>
      <c r="Z6" s="433">
        <f>Y6/AA6</f>
        <v/>
      </c>
      <c r="AA6" s="818">
        <f>SUM(J6*12)*((K$2+K$1)+(L$2+L$1)+(M$2+M$1)+(N$2+N$1)+(O$1+O$2)+(P$2+P$1)+(Q$2+Q$1)+(R$2+R$1)+(S$2+S$1)+(T$2+T$1)+(U$2+U$1)+(V$2+V$1))</f>
        <v/>
      </c>
      <c r="AB6" s="817">
        <f>W6/$AB$3</f>
        <v/>
      </c>
      <c r="AD6" s="1282" t="inlineStr">
        <is>
          <t>2019/20</t>
        </is>
      </c>
      <c r="AE6" s="1378">
        <f>AF6+AG6</f>
        <v/>
      </c>
      <c r="AF6" s="1284">
        <f>SUM(N22:V22)</f>
        <v/>
      </c>
      <c r="AG6" s="1284">
        <f>SUM(K21:M21)</f>
        <v/>
      </c>
      <c r="AH6" s="445">
        <f>SUM(AE6-AE7)/AE7</f>
        <v/>
      </c>
    </row>
    <row r="7" ht="13.5" customHeight="1" s="1232">
      <c r="A7" s="1291" t="n"/>
      <c r="B7" s="1291" t="n"/>
      <c r="C7" s="1291" t="n"/>
      <c r="D7" s="1274" t="n"/>
      <c r="E7" s="1270" t="n"/>
      <c r="F7" s="1274" t="n"/>
      <c r="I7" s="1333" t="inlineStr">
        <is>
          <t>2. Workshops</t>
        </is>
      </c>
      <c r="J7" s="431" t="n">
        <v>2000</v>
      </c>
      <c r="K7" s="432">
        <f>SUMIFS($E$150:$E$635,$A$150:$A$635,"&gt;31/12/2020",$A$150:$A$635,"&lt;1/2/2021",$C$150:$C$635,$I7)</f>
        <v/>
      </c>
      <c r="L7" s="432">
        <f>SUMIFS($E$150:$E$635,$A$150:$A$635,"&gt;31/1/2021",$A$150:$A$635,"&lt;1/3/2021",$C$150:$C$635,$I7)</f>
        <v/>
      </c>
      <c r="M7" s="432">
        <f>SUMIFS($E$150:$E$635,$A$150:$A$635,"&gt;28/2/2021",$A$150:$A$635,"&lt;1/4/2021",$C$150:$C$635,$I7)</f>
        <v/>
      </c>
      <c r="N7" s="432">
        <f>SUMIFS($E$150:$E$635,$A$150:$A$635,"&gt;31/3/2021",$A$150:$A$635,"&lt;1/5/2021",$C$150:$C$635,$I7)</f>
        <v/>
      </c>
      <c r="O7" s="432">
        <f>SUMIFS($E$150:$E$635,$A$150:$A$635,"&gt;30/4/2021",$A$150:$A$635,"&lt;1/6/2021",$C$150:$C$635,$I7)</f>
        <v/>
      </c>
      <c r="P7" s="432">
        <f>SUMIFS($E$150:$E$635,$A$150:$A$635,"&gt;31/5/2021",$A$150:$A$635,"&lt;1/7/2021",$C$150:$C$635,$I7)</f>
        <v/>
      </c>
      <c r="Q7" s="432">
        <f>SUMIFS($E$150:$E$635,$A$150:$A$635,"&gt;30/6/2021",$A$150:$A$635,"&lt;1/8/2021",$C$150:$C$635,$I7)</f>
        <v/>
      </c>
      <c r="R7" s="432">
        <f>SUMIFS($E$150:$E$635,$A$150:$A$635,"&gt;31/7/2021",$A$150:$A$635,"&lt;1/9/2021",$C$150:$C$635,$I7)</f>
        <v/>
      </c>
      <c r="S7" s="432">
        <f>SUMIFS($E$150:$E$635,$A$150:$A$635,"&gt;31/8/2021",$A$150:$A$635,"&lt;1/10/2021",$C$150:$C$635,$I7)</f>
        <v/>
      </c>
      <c r="T7" s="432">
        <f>SUMIFS($E$150:$E$635,$A$150:$A$635,"&gt;30/9/2021",$A$150:$A$635,"&lt;1/11/2021",$C$150:$C$635,$I7)</f>
        <v/>
      </c>
      <c r="U7" s="432">
        <f>SUMIFS($E$150:$E$635,$A$150:$A$635,"&gt;31/10/2021",$A$150:$A$635,"&lt;1/12/2021",$C$150:$C$635,$I7)</f>
        <v/>
      </c>
      <c r="V7" s="432">
        <f>SUMIFS($E$150:$E$635,$A$150:$A$635,"&gt;30/11/2021",$A$150:$A$635,"&lt;1/1/2022",$C$150:$C$635,$I7)</f>
        <v/>
      </c>
      <c r="W7" s="431">
        <f>SUM(K7:V7)</f>
        <v/>
      </c>
      <c r="X7" s="432">
        <f>SUM(V7-(J7*12)*(V$2+V$1))</f>
        <v/>
      </c>
      <c r="Y7" s="432">
        <f>W7-AA7</f>
        <v/>
      </c>
      <c r="Z7" s="433">
        <f>Y7/AA7</f>
        <v/>
      </c>
      <c r="AA7" s="818">
        <f>SUM(J7*12)*((K$2+K$1)+(L$2+L$1)+(M$2+M$1)+(N$2+N$1)+(O$1+O$2)+(P$2+P$1)+(Q$2+Q$1)+(R$2+R$1)+(S$2+S$1)+(T$2+T$1)+(U$2+U$1)+(V$2+V$1))</f>
        <v/>
      </c>
      <c r="AB7" s="817">
        <f>W7/$AB$3</f>
        <v/>
      </c>
      <c r="AD7" s="1282" t="inlineStr">
        <is>
          <t>2018/19</t>
        </is>
      </c>
      <c r="AE7" s="1378">
        <f>AF7+AG7</f>
        <v/>
      </c>
      <c r="AF7" s="1284">
        <f>SUM(N22:V22)</f>
        <v/>
      </c>
      <c r="AG7" s="1284">
        <f>SUM(K22:M22)</f>
        <v/>
      </c>
      <c r="AH7" s="445">
        <f>SUM(AE7-AE8)/AE8</f>
        <v/>
      </c>
    </row>
    <row r="8" ht="13.5" customHeight="1" s="1232">
      <c r="A8" s="1291" t="n"/>
      <c r="B8" s="1291" t="n"/>
      <c r="C8" s="1291" t="n"/>
      <c r="D8" s="1274" t="n"/>
      <c r="E8" s="1270" t="n"/>
      <c r="F8" s="1274" t="n"/>
      <c r="I8" s="1333" t="inlineStr">
        <is>
          <t>3. Pick n Mix Inc</t>
        </is>
      </c>
      <c r="J8" s="431" t="n">
        <v>750</v>
      </c>
      <c r="K8" s="432">
        <f>SUMIFS($E$150:$E$635,$A$150:$A$635,"&gt;31/12/2020",$A$150:$A$635,"&lt;1/2/2021",$C$150:$C$635,$I8)</f>
        <v/>
      </c>
      <c r="L8" s="432">
        <f>SUMIFS($E$150:$E$635,$A$150:$A$635,"&gt;31/1/2021",$A$150:$A$635,"&lt;1/3/2021",$C$150:$C$635,$I8)</f>
        <v/>
      </c>
      <c r="M8" s="432">
        <f>SUMIFS($E$150:$E$635,$A$150:$A$635,"&gt;28/2/2021",$A$150:$A$635,"&lt;1/4/2021",$C$150:$C$635,$I8)</f>
        <v/>
      </c>
      <c r="N8" s="432">
        <f>SUMIFS($E$150:$E$635,$A$150:$A$635,"&gt;31/3/2021",$A$150:$A$635,"&lt;1/5/2021",$C$150:$C$635,$I8)</f>
        <v/>
      </c>
      <c r="O8" s="432">
        <f>SUMIFS($E$150:$E$635,$A$150:$A$635,"&gt;30/4/2021",$A$150:$A$635,"&lt;1/6/2021",$C$150:$C$635,$I8)</f>
        <v/>
      </c>
      <c r="P8" s="432">
        <f>SUMIFS($E$150:$E$635,$A$150:$A$635,"&gt;31/5/2021",$A$150:$A$635,"&lt;1/7/2021",$C$150:$C$635,$I8)</f>
        <v/>
      </c>
      <c r="Q8" s="432">
        <f>SUMIFS($E$150:$E$635,$A$150:$A$635,"&gt;30/6/2021",$A$150:$A$635,"&lt;1/8/2021",$C$150:$C$635,$I8)</f>
        <v/>
      </c>
      <c r="R8" s="432">
        <f>SUMIFS($E$150:$E$635,$A$150:$A$635,"&gt;31/7/2021",$A$150:$A$635,"&lt;1/9/2021",$C$150:$C$635,$I8)</f>
        <v/>
      </c>
      <c r="S8" s="432">
        <f>SUMIFS($E$150:$E$635,$A$150:$A$635,"&gt;31/8/2021",$A$150:$A$635,"&lt;1/10/2021",$C$150:$C$635,$I8)</f>
        <v/>
      </c>
      <c r="T8" s="432">
        <f>SUMIFS($E$150:$E$635,$A$150:$A$635,"&gt;30/9/2021",$A$150:$A$635,"&lt;1/11/2021",$C$150:$C$635,$I8)</f>
        <v/>
      </c>
      <c r="U8" s="432">
        <f>SUMIFS($E$150:$E$635,$A$150:$A$635,"&gt;31/10/2021",$A$150:$A$635,"&lt;1/12/2021",$C$150:$C$635,$I8)</f>
        <v/>
      </c>
      <c r="V8" s="432">
        <f>SUMIFS($E$150:$E$635,$A$150:$A$635,"&gt;30/11/2021",$A$150:$A$635,"&lt;1/1/2022",$C$150:$C$635,$I8)</f>
        <v/>
      </c>
      <c r="W8" s="431">
        <f>SUM(K8:V8)</f>
        <v/>
      </c>
      <c r="X8" s="432">
        <f>SUM(V8-(J8*12)*(V$2+V$1))</f>
        <v/>
      </c>
      <c r="Y8" s="432">
        <f>W8-AA8</f>
        <v/>
      </c>
      <c r="Z8" s="433">
        <f>Y8/AA8</f>
        <v/>
      </c>
      <c r="AA8" s="818">
        <f>SUM(J8*12)*((K$2+K$1)+(L$2+L$1)+(M$2+M$1)+(N$2+N$1)+(O$1+O$2)+(P$2+P$1)+(Q$2+Q$1)+(R$2+R$1)+(S$2+S$1)+(T$2+T$1)+(U$2+U$1)+(V$2+V$1))</f>
        <v/>
      </c>
      <c r="AB8" s="817">
        <f>W8/$AB$3</f>
        <v/>
      </c>
      <c r="AD8" s="1282" t="inlineStr">
        <is>
          <t>2017/18 Surgery</t>
        </is>
      </c>
      <c r="AE8" s="1378">
        <f>AF8+AG8</f>
        <v/>
      </c>
      <c r="AF8" s="1284">
        <f>SUM(N23:V23)</f>
        <v/>
      </c>
      <c r="AG8" s="1284">
        <f>SUM(K23:M23)</f>
        <v/>
      </c>
      <c r="AH8" s="445">
        <f>SUM(AE8-AE9)/AE9</f>
        <v/>
      </c>
    </row>
    <row r="9" ht="13.5" customHeight="1" s="1232">
      <c r="A9" s="1291" t="n"/>
      <c r="B9" s="1291" t="n"/>
      <c r="C9" s="1294" t="n"/>
      <c r="D9" s="1274" t="n"/>
      <c r="E9" s="1270" t="n"/>
      <c r="F9" s="1274" t="n"/>
      <c r="I9" s="1333" t="inlineStr">
        <is>
          <t>4. Pick n Mix Out</t>
        </is>
      </c>
      <c r="J9" s="431" t="n">
        <v>-750</v>
      </c>
      <c r="K9" s="432">
        <f>SUMIFS($E$150:$E$635,$A$150:$A$635,"&gt;31/12/2020",$A$150:$A$635,"&lt;1/2/2021",$C$150:$C$635,$I9)</f>
        <v/>
      </c>
      <c r="L9" s="432">
        <f>SUMIFS($E$150:$E$635,$A$150:$A$635,"&gt;31/1/2021",$A$150:$A$635,"&lt;1/3/2021",$C$150:$C$635,$I9)</f>
        <v/>
      </c>
      <c r="M9" s="432">
        <f>SUMIFS($E$150:$E$635,$A$150:$A$635,"&gt;28/2/2021",$A$150:$A$635,"&lt;1/4/2021",$C$150:$C$635,$I9)</f>
        <v/>
      </c>
      <c r="N9" s="432">
        <f>SUMIFS($E$150:$E$635,$A$150:$A$635,"&gt;31/3/2021",$A$150:$A$635,"&lt;1/5/2021",$C$150:$C$635,$I9)</f>
        <v/>
      </c>
      <c r="O9" s="432">
        <f>SUMIFS($E$150:$E$635,$A$150:$A$635,"&gt;30/4/2021",$A$150:$A$635,"&lt;1/6/2021",$C$150:$C$635,$I9)</f>
        <v/>
      </c>
      <c r="P9" s="432">
        <f>SUMIFS($E$150:$E$635,$A$150:$A$635,"&gt;31/5/2021",$A$150:$A$635,"&lt;1/7/2021",$C$150:$C$635,$I9)</f>
        <v/>
      </c>
      <c r="Q9" s="432">
        <f>SUMIFS($E$150:$E$635,$A$150:$A$635,"&gt;30/6/2021",$A$150:$A$635,"&lt;1/8/2021",$C$150:$C$635,$I9)</f>
        <v/>
      </c>
      <c r="R9" s="432">
        <f>SUMIFS($E$150:$E$635,$A$150:$A$635,"&gt;31/7/2021",$A$150:$A$635,"&lt;1/9/2021",$C$150:$C$635,$I9)</f>
        <v/>
      </c>
      <c r="S9" s="432">
        <f>SUMIFS($E$150:$E$635,$A$150:$A$635,"&gt;31/8/2021",$A$150:$A$635,"&lt;1/10/2021",$C$150:$C$635,$I9)</f>
        <v/>
      </c>
      <c r="T9" s="432">
        <f>SUMIFS($E$150:$E$635,$A$150:$A$635,"&gt;30/9/2021",$A$150:$A$635,"&lt;1/11/2021",$C$150:$C$635,$I9)</f>
        <v/>
      </c>
      <c r="U9" s="432">
        <f>SUMIFS($E$150:$E$635,$A$150:$A$635,"&gt;31/10/2021",$A$150:$A$635,"&lt;1/12/2021",$C$150:$C$635,$I9)</f>
        <v/>
      </c>
      <c r="V9" s="432">
        <f>SUMIFS($E$150:$E$635,$A$150:$A$635,"&gt;30/11/2021",$A$150:$A$635,"&lt;1/1/2022",$C$150:$C$635,$I9)</f>
        <v/>
      </c>
      <c r="W9" s="704">
        <f>SUM(K9:V9)</f>
        <v/>
      </c>
      <c r="X9" s="432">
        <f>SUM(V9-(J9*12)*(V$2+V$1))</f>
        <v/>
      </c>
      <c r="Y9" s="432">
        <f>W9-AA9</f>
        <v/>
      </c>
      <c r="Z9" s="433">
        <f>Y9/AA9</f>
        <v/>
      </c>
      <c r="AA9" s="818">
        <f>SUM(J9*12)*((K$2+K$1)+(L$2+L$1)+(M$2+M$1)+(N$2+N$1)+(O$1+O$2)+(P$2+P$1)+(Q$2+Q$1)+(R$2+R$1)+(S$2+S$1)+(T$2+T$1)+(U$2+U$1)+(V$2+V$1))</f>
        <v/>
      </c>
      <c r="AB9" s="817">
        <f>W9/$AB$3</f>
        <v/>
      </c>
      <c r="AD9" s="1282" t="inlineStr">
        <is>
          <t>2016/17</t>
        </is>
      </c>
      <c r="AE9" s="1378">
        <f>AF9+AG9</f>
        <v/>
      </c>
      <c r="AF9" s="1284">
        <f>SUM(N24:V24)</f>
        <v/>
      </c>
      <c r="AG9" s="1284">
        <f>SUM(K24:M24)</f>
        <v/>
      </c>
      <c r="AH9" s="445">
        <f>SUM(AE9-AE10)/AE10</f>
        <v/>
      </c>
    </row>
    <row r="10" ht="13.5" customHeight="1" s="1232">
      <c r="A10" s="1291" t="n"/>
      <c r="B10" s="1291" t="n"/>
      <c r="C10" s="1291" t="n"/>
      <c r="D10" s="1291" t="n"/>
      <c r="E10" s="1270" t="n"/>
      <c r="F10" s="1291" t="n"/>
      <c r="I10" s="1333" t="inlineStr">
        <is>
          <t>5. Mentoring</t>
        </is>
      </c>
      <c r="J10" s="431" t="n">
        <v>100</v>
      </c>
      <c r="K10" s="432">
        <f>SUMIFS($E$150:$E$635,$A$150:$A$635,"&gt;31/12/2020",$A$150:$A$635,"&lt;1/2/2021",$C$150:$C$635,$I10)</f>
        <v/>
      </c>
      <c r="L10" s="432">
        <f>SUMIFS($E$150:$E$635,$A$150:$A$635,"&gt;31/1/2021",$A$150:$A$635,"&lt;1/3/2021",$C$150:$C$635,$I10)</f>
        <v/>
      </c>
      <c r="M10" s="432">
        <f>SUMIFS($E$150:$E$635,$A$150:$A$635,"&gt;28/2/2021",$A$150:$A$635,"&lt;1/4/2021",$C$150:$C$635,$I10)</f>
        <v/>
      </c>
      <c r="N10" s="432">
        <f>SUMIFS($E$150:$E$635,$A$150:$A$635,"&gt;31/3/2021",$A$150:$A$635,"&lt;1/5/2021",$C$150:$C$635,$I10)</f>
        <v/>
      </c>
      <c r="O10" s="432">
        <f>SUMIFS($E$150:$E$635,$A$150:$A$635,"&gt;30/4/2021",$A$150:$A$635,"&lt;1/6/2021",$C$150:$C$635,$I10)</f>
        <v/>
      </c>
      <c r="P10" s="432">
        <f>SUMIFS($E$150:$E$635,$A$150:$A$635,"&gt;31/5/2021",$A$150:$A$635,"&lt;1/7/2021",$C$150:$C$635,$I10)</f>
        <v/>
      </c>
      <c r="Q10" s="432">
        <f>SUMIFS($E$150:$E$635,$A$150:$A$635,"&gt;30/6/2021",$A$150:$A$635,"&lt;1/8/2021",$C$150:$C$635,$I10)</f>
        <v/>
      </c>
      <c r="R10" s="432">
        <f>SUMIFS($E$150:$E$635,$A$150:$A$635,"&gt;31/7/2021",$A$150:$A$635,"&lt;1/9/2021",$C$150:$C$635,$I10)</f>
        <v/>
      </c>
      <c r="S10" s="432">
        <f>SUMIFS($E$150:$E$635,$A$150:$A$635,"&gt;31/8/2021",$A$150:$A$635,"&lt;1/10/2021",$C$150:$C$635,$I10)</f>
        <v/>
      </c>
      <c r="T10" s="432">
        <f>SUMIFS($E$150:$E$635,$A$150:$A$635,"&gt;30/9/2021",$A$150:$A$635,"&lt;1/11/2021",$C$150:$C$635,$I10)</f>
        <v/>
      </c>
      <c r="U10" s="432">
        <f>SUMIFS($E$150:$E$635,$A$150:$A$635,"&gt;31/10/2021",$A$150:$A$635,"&lt;1/12/2021",$C$150:$C$635,$I10)</f>
        <v/>
      </c>
      <c r="V10" s="432">
        <f>SUMIFS($E$150:$E$635,$A$150:$A$635,"&gt;30/11/2021",$A$150:$A$635,"&lt;1/1/2022",$C$150:$C$635,$I10)</f>
        <v/>
      </c>
      <c r="W10" s="431">
        <f>SUM(K10:V10)</f>
        <v/>
      </c>
      <c r="X10" s="432">
        <f>SUM(V10-(J10*12)*(V$2+V$1))</f>
        <v/>
      </c>
      <c r="Y10" s="432">
        <f>W10-AA10</f>
        <v/>
      </c>
      <c r="Z10" s="433">
        <f>Y10/AA10</f>
        <v/>
      </c>
      <c r="AA10" s="818">
        <f>SUM(J10*12)*((K$2+K$1)+(L$2+L$1)+(M$2+M$1)+(N$2+N$1)+(O$1+O$2)+(P$2+P$1)+(Q$2+Q$1)+(R$2+R$1)+(S$2+S$1)+(T$2+T$1)+(U$2+U$1)+(V$2+V$1))</f>
        <v/>
      </c>
      <c r="AB10" s="817">
        <f>W10/$AB$3</f>
        <v/>
      </c>
      <c r="AD10" s="1282" t="inlineStr">
        <is>
          <t>2015/16</t>
        </is>
      </c>
      <c r="AE10" s="1378">
        <f>AF10+AG10</f>
        <v/>
      </c>
      <c r="AF10" s="1284">
        <f>SUM(N25:V25)</f>
        <v/>
      </c>
      <c r="AG10" s="1284">
        <f>SUM(K25:M25)</f>
        <v/>
      </c>
      <c r="AH10" s="445">
        <f>SUM(AE10-AE11)/AE11</f>
        <v/>
      </c>
    </row>
    <row r="11" ht="13.5" customHeight="1" s="1232">
      <c r="A11" s="1292" t="n"/>
      <c r="B11" s="1294" t="n"/>
      <c r="C11" s="1294" t="n"/>
      <c r="D11" s="1292" t="n"/>
      <c r="E11" s="1293" t="n"/>
      <c r="F11" s="1260" t="n"/>
      <c r="I11" s="1334" t="inlineStr">
        <is>
          <t>6. 1-2-1</t>
        </is>
      </c>
      <c r="J11" s="431" t="n">
        <v>1750</v>
      </c>
      <c r="K11" s="432">
        <f>SUMIFS($E$150:$E$635,$A$150:$A$635,"&gt;31/12/2020",$A$150:$A$635,"&lt;1/2/2021",$C$150:$C$635,$I11)</f>
        <v/>
      </c>
      <c r="L11" s="432">
        <f>SUMIFS($E$150:$E$635,$A$150:$A$635,"&gt;31/1/2021",$A$150:$A$635,"&lt;1/3/2021",$C$150:$C$635,$I11)</f>
        <v/>
      </c>
      <c r="M11" s="432">
        <f>SUMIFS($E$150:$E$635,$A$150:$A$635,"&gt;28/2/2021",$A$150:$A$635,"&lt;1/4/2021",$C$150:$C$635,$I11)</f>
        <v/>
      </c>
      <c r="N11" s="432">
        <f>SUMIFS($E$150:$E$635,$A$150:$A$635,"&gt;31/3/2021",$A$150:$A$635,"&lt;1/5/2021",$C$150:$C$635,$I11)</f>
        <v/>
      </c>
      <c r="O11" s="432">
        <f>SUMIFS($E$150:$E$635,$A$150:$A$635,"&gt;30/4/2021",$A$150:$A$635,"&lt;1/6/2021",$C$150:$C$635,$I11)</f>
        <v/>
      </c>
      <c r="P11" s="432">
        <f>SUMIFS($E$150:$E$635,$A$150:$A$635,"&gt;31/5/2021",$A$150:$A$635,"&lt;1/7/2021",$C$150:$C$635,$I11)</f>
        <v/>
      </c>
      <c r="Q11" s="432">
        <f>SUMIFS($E$150:$E$635,$A$150:$A$635,"&gt;30/6/2021",$A$150:$A$635,"&lt;1/8/2021",$C$150:$C$635,$I11)</f>
        <v/>
      </c>
      <c r="R11" s="432">
        <f>SUMIFS($E$150:$E$635,$A$150:$A$635,"&gt;31/7/2021",$A$150:$A$635,"&lt;1/9/2021",$C$150:$C$635,$I11)</f>
        <v/>
      </c>
      <c r="S11" s="432">
        <f>SUMIFS($E$150:$E$635,$A$150:$A$635,"&gt;31/8/2021",$A$150:$A$635,"&lt;1/10/2021",$C$150:$C$635,$I11)</f>
        <v/>
      </c>
      <c r="T11" s="432">
        <f>SUMIFS($E$150:$E$635,$A$150:$A$635,"&gt;30/9/2021",$A$150:$A$635,"&lt;1/11/2021",$C$150:$C$635,$I11)</f>
        <v/>
      </c>
      <c r="U11" s="432">
        <f>SUMIFS($E$150:$E$635,$A$150:$A$635,"&gt;31/10/2021",$A$150:$A$635,"&lt;1/12/2021",$C$150:$C$635,$I11)</f>
        <v/>
      </c>
      <c r="V11" s="432">
        <f>SUMIFS($E$150:$E$635,$A$150:$A$635,"&gt;30/11/2021",$A$150:$A$635,"&lt;1/1/2022",$C$150:$C$635,$I11)</f>
        <v/>
      </c>
      <c r="W11" s="431">
        <f>SUM(K11:V11)</f>
        <v/>
      </c>
      <c r="X11" s="432">
        <f>SUM(V11-(J11*12)*(V$2+V$1))</f>
        <v/>
      </c>
      <c r="Y11" s="432">
        <f>W11-AA11</f>
        <v/>
      </c>
      <c r="Z11" s="433">
        <f>Y11/AA11</f>
        <v/>
      </c>
      <c r="AA11" s="818">
        <f>SUM(J11*12)*((K$2+K$1)+(L$2+L$1)+(M$2+M$1)+(N$2+N$1)+(O$1+O$2)+(P$2+P$1)+(Q$2+Q$1)+(R$2+R$1)+(S$2+S$1)+(T$2+T$1)+(U$2+U$1)+(V$2+V$1))</f>
        <v/>
      </c>
      <c r="AB11" s="817">
        <f>W11/$AB$3</f>
        <v/>
      </c>
      <c r="AD11" s="1282" t="inlineStr">
        <is>
          <t>2014/15</t>
        </is>
      </c>
      <c r="AE11" s="1378">
        <f>AF11+AG11</f>
        <v/>
      </c>
      <c r="AF11" s="1284">
        <f>SUM(N26:V26)</f>
        <v/>
      </c>
      <c r="AG11" s="1284">
        <f>SUM(K26:M26)</f>
        <v/>
      </c>
      <c r="AH11" s="445">
        <f>SUM(AE11-AE12)/AE12</f>
        <v/>
      </c>
    </row>
    <row r="12" ht="13.5" customHeight="1" s="1232">
      <c r="A12" s="1292" t="n"/>
      <c r="B12" s="1294" t="n"/>
      <c r="C12" s="1294" t="n"/>
      <c r="D12" s="1292" t="n"/>
      <c r="E12" s="1293" t="n"/>
      <c r="F12" s="1260" t="n"/>
      <c r="I12" s="1334" t="inlineStr">
        <is>
          <t>7. Gift Vouchers Inc</t>
        </is>
      </c>
      <c r="J12" s="431" t="n">
        <v>300</v>
      </c>
      <c r="K12" s="432">
        <f>SUMIFS($E$150:$E$635,$A$150:$A$635,"&gt;31/12/2020",$A$150:$A$635,"&lt;1/2/2021",$C$150:$C$635,$I12)</f>
        <v/>
      </c>
      <c r="L12" s="432">
        <f>SUMIFS($E$150:$E$635,$A$150:$A$635,"&gt;31/1/2021",$A$150:$A$635,"&lt;1/3/2021",$C$150:$C$635,$I12)</f>
        <v/>
      </c>
      <c r="M12" s="432">
        <f>SUMIFS($E$150:$E$635,$A$150:$A$635,"&gt;28/2/2021",$A$150:$A$635,"&lt;1/4/2021",$C$150:$C$635,$I12)</f>
        <v/>
      </c>
      <c r="N12" s="432">
        <f>SUMIFS($E$150:$E$635,$A$150:$A$635,"&gt;31/3/2021",$A$150:$A$635,"&lt;1/5/2021",$C$150:$C$635,$I12)</f>
        <v/>
      </c>
      <c r="O12" s="432">
        <f>SUMIFS($E$150:$E$635,$A$150:$A$635,"&gt;30/4/2021",$A$150:$A$635,"&lt;1/6/2021",$C$150:$C$635,$I12)</f>
        <v/>
      </c>
      <c r="P12" s="432">
        <f>SUMIFS($E$150:$E$635,$A$150:$A$635,"&gt;31/5/2021",$A$150:$A$635,"&lt;1/7/2021",$C$150:$C$635,$I12)</f>
        <v/>
      </c>
      <c r="Q12" s="432">
        <f>SUMIFS($E$150:$E$635,$A$150:$A$635,"&gt;30/6/2021",$A$150:$A$635,"&lt;1/8/2021",$C$150:$C$635,$I12)</f>
        <v/>
      </c>
      <c r="R12" s="432">
        <f>SUMIFS($E$150:$E$635,$A$150:$A$635,"&gt;31/7/2021",$A$150:$A$635,"&lt;1/9/2021",$C$150:$C$635,$I12)</f>
        <v/>
      </c>
      <c r="S12" s="432">
        <f>SUMIFS($E$150:$E$635,$A$150:$A$635,"&gt;31/8/2021",$A$150:$A$635,"&lt;1/10/2021",$C$150:$C$635,$I12)</f>
        <v/>
      </c>
      <c r="T12" s="432">
        <f>SUMIFS($E$150:$E$635,$A$150:$A$635,"&gt;30/9/2021",$A$150:$A$635,"&lt;1/11/2021",$C$150:$C$635,$I12)</f>
        <v/>
      </c>
      <c r="U12" s="432">
        <f>SUMIFS($E$150:$E$635,$A$150:$A$635,"&gt;31/10/2021",$A$150:$A$635,"&lt;1/12/2021",$C$150:$C$635,$I12)</f>
        <v/>
      </c>
      <c r="V12" s="432">
        <f>SUMIFS($E$150:$E$635,$A$150:$A$635,"&gt;30/11/2021",$A$150:$A$635,"&lt;1/1/2022",$C$150:$C$635,$I12)</f>
        <v/>
      </c>
      <c r="W12" s="431">
        <f>SUM(K12:V12)</f>
        <v/>
      </c>
      <c r="X12" s="432">
        <f>SUM(V12-(J12*12)*(V$2+V$1))</f>
        <v/>
      </c>
      <c r="Y12" s="432">
        <f>W12-AA12</f>
        <v/>
      </c>
      <c r="Z12" s="433">
        <f>Y12/AA12</f>
        <v/>
      </c>
      <c r="AA12" s="818">
        <f>SUM(J12*12)*((K$2+K$1)+(L$2+L$1)+(M$2+M$1)+(N$2+N$1)+(O$1+O$2)+(P$2+P$1)+(Q$2+Q$1)+(R$2+R$1)+(S$2+S$1)+(T$2+T$1)+(U$2+U$1)+(V$2+V$1))</f>
        <v/>
      </c>
      <c r="AB12" s="817">
        <f>W12/$AB$3</f>
        <v/>
      </c>
      <c r="AD12" s="1282" t="inlineStr">
        <is>
          <t>2013/14</t>
        </is>
      </c>
      <c r="AE12" s="1378">
        <f>AF12+AG12</f>
        <v/>
      </c>
      <c r="AF12" s="1284">
        <f>SUM(N27:V27)</f>
        <v/>
      </c>
      <c r="AG12" s="1284">
        <f>SUM(K27:M27)</f>
        <v/>
      </c>
      <c r="AH12" s="445" t="n"/>
    </row>
    <row r="13" ht="13.5" customHeight="1" s="1232">
      <c r="A13" s="1292" t="n"/>
      <c r="B13" s="1294" t="n"/>
      <c r="C13" s="1294" t="n"/>
      <c r="D13" s="1292" t="n"/>
      <c r="E13" s="1293" t="n"/>
      <c r="F13" s="1260" t="n"/>
      <c r="I13" s="1334" t="inlineStr">
        <is>
          <t>8. Gift Vouchers Out</t>
        </is>
      </c>
      <c r="J13" s="431" t="n">
        <v>-200</v>
      </c>
      <c r="K13" s="432">
        <f>SUMIFS($E$150:$E$635,$A$150:$A$635,"&gt;31/12/2020",$A$150:$A$635,"&lt;1/2/2021",$C$150:$C$635,$I13)</f>
        <v/>
      </c>
      <c r="L13" s="432">
        <f>SUMIFS($E$150:$E$635,$A$150:$A$635,"&gt;31/1/2021",$A$150:$A$635,"&lt;1/3/2021",$C$150:$C$635,$I13)</f>
        <v/>
      </c>
      <c r="M13" s="432">
        <f>SUMIFS($E$150:$E$635,$A$150:$A$635,"&gt;28/2/2021",$A$150:$A$635,"&lt;1/4/2021",$C$150:$C$635,$I13)</f>
        <v/>
      </c>
      <c r="N13" s="432">
        <f>SUMIFS($E$150:$E$635,$A$150:$A$635,"&gt;31/3/2021",$A$150:$A$635,"&lt;1/5/2021",$C$150:$C$635,$I13)</f>
        <v/>
      </c>
      <c r="O13" s="432">
        <f>SUMIFS($E$150:$E$635,$A$150:$A$635,"&gt;30/4/2021",$A$150:$A$635,"&lt;1/6/2021",$C$150:$C$635,$I13)</f>
        <v/>
      </c>
      <c r="P13" s="432">
        <f>SUMIFS($E$150:$E$635,$A$150:$A$635,"&gt;31/5/2021",$A$150:$A$635,"&lt;1/7/2021",$C$150:$C$635,$I13)</f>
        <v/>
      </c>
      <c r="Q13" s="432">
        <f>SUMIFS($E$150:$E$635,$A$150:$A$635,"&gt;30/6/2021",$A$150:$A$635,"&lt;1/8/2021",$C$150:$C$635,$I13)</f>
        <v/>
      </c>
      <c r="R13" s="432">
        <f>SUMIFS($E$150:$E$635,$A$150:$A$635,"&gt;31/7/2021",$A$150:$A$635,"&lt;1/9/2021",$C$150:$C$635,$I13)</f>
        <v/>
      </c>
      <c r="S13" s="432">
        <f>SUMIFS($E$150:$E$635,$A$150:$A$635,"&gt;31/8/2021",$A$150:$A$635,"&lt;1/10/2021",$C$150:$C$635,$I13)</f>
        <v/>
      </c>
      <c r="T13" s="432">
        <f>SUMIFS($E$150:$E$635,$A$150:$A$635,"&gt;30/9/2021",$A$150:$A$635,"&lt;1/11/2021",$C$150:$C$635,$I13)</f>
        <v/>
      </c>
      <c r="U13" s="432">
        <f>SUMIFS($E$150:$E$635,$A$150:$A$635,"&gt;31/10/2021",$A$150:$A$635,"&lt;1/12/2021",$C$150:$C$635,$I13)</f>
        <v/>
      </c>
      <c r="V13" s="432">
        <f>SUMIFS($E$150:$E$635,$A$150:$A$635,"&gt;30/11/2021",$A$150:$A$635,"&lt;1/1/2022",$C$150:$C$635,$I13)</f>
        <v/>
      </c>
      <c r="W13" s="431">
        <f>SUM(K13:V13)</f>
        <v/>
      </c>
      <c r="X13" s="432">
        <f>SUM(V13-(J13*12)*(V$2+V$1))</f>
        <v/>
      </c>
      <c r="Y13" s="432">
        <f>W13-AA13</f>
        <v/>
      </c>
      <c r="Z13" s="433">
        <f>Y13/AA13</f>
        <v/>
      </c>
      <c r="AA13" s="818">
        <f>SUM(J13*12)*((K$2+K$1)+(L$2+L$1)+(M$2+M$1)+(N$2+N$1)+(O$1+O$2)+(P$2+P$1)+(Q$2+Q$1)+(R$2+R$1)+(S$2+S$1)+(T$2+T$1)+(U$2+U$1)+(V$2+V$1))</f>
        <v/>
      </c>
      <c r="AB13" s="817">
        <f>W13/$AB$3</f>
        <v/>
      </c>
    </row>
    <row r="14" ht="13.5" customHeight="1" s="1232">
      <c r="A14" s="1292" t="n"/>
      <c r="B14" s="1294" t="n"/>
      <c r="C14" s="1294" t="n"/>
      <c r="D14" s="1292" t="n"/>
      <c r="E14" s="1293" t="n"/>
      <c r="F14" s="1260" t="n"/>
      <c r="I14" s="1334" t="inlineStr">
        <is>
          <t>9. Prints &amp; Royalties</t>
        </is>
      </c>
      <c r="J14" s="431">
        <f>3000/12</f>
        <v/>
      </c>
      <c r="K14" s="432">
        <f>SUMIFS($E$150:$E$635,$A$150:$A$635,"&gt;31/12/2020",$A$150:$A$635,"&lt;1/2/2021",$C$150:$C$635,$I14)</f>
        <v/>
      </c>
      <c r="L14" s="432">
        <f>SUMIFS($E$150:$E$635,$A$150:$A$635,"&gt;31/1/2021",$A$150:$A$635,"&lt;1/3/2021",$C$150:$C$635,$I14)</f>
        <v/>
      </c>
      <c r="M14" s="432">
        <f>SUMIFS($E$150:$E$635,$A$150:$A$635,"&gt;28/2/2021",$A$150:$A$635,"&lt;1/4/2021",$C$150:$C$635,$I14)</f>
        <v/>
      </c>
      <c r="N14" s="432">
        <f>SUMIFS($E$150:$E$635,$A$150:$A$635,"&gt;31/3/2021",$A$150:$A$635,"&lt;1/5/2021",$C$150:$C$635,$I14)</f>
        <v/>
      </c>
      <c r="O14" s="432">
        <f>SUMIFS($E$150:$E$635,$A$150:$A$635,"&gt;30/4/2021",$A$150:$A$635,"&lt;1/6/2021",$C$150:$C$635,$I14)</f>
        <v/>
      </c>
      <c r="P14" s="432">
        <f>SUMIFS($E$150:$E$635,$A$150:$A$635,"&gt;31/5/2021",$A$150:$A$635,"&lt;1/7/2021",$C$150:$C$635,$I14)</f>
        <v/>
      </c>
      <c r="Q14" s="432">
        <f>SUMIFS($E$150:$E$635,$A$150:$A$635,"&gt;30/6/2021",$A$150:$A$635,"&lt;1/8/2021",$C$150:$C$635,$I14)</f>
        <v/>
      </c>
      <c r="R14" s="432">
        <f>SUMIFS($E$150:$E$635,$A$150:$A$635,"&gt;31/7/2021",$A$150:$A$635,"&lt;1/9/2021",$C$150:$C$635,$I14)</f>
        <v/>
      </c>
      <c r="S14" s="432">
        <f>SUMIFS($E$150:$E$635,$A$150:$A$635,"&gt;31/8/2021",$A$150:$A$635,"&lt;1/10/2021",$C$150:$C$635,$I14)</f>
        <v/>
      </c>
      <c r="T14" s="432">
        <f>SUMIFS($E$150:$E$635,$A$150:$A$635,"&gt;30/9/2021",$A$150:$A$635,"&lt;1/11/2021",$C$150:$C$635,$I14)</f>
        <v/>
      </c>
      <c r="U14" s="432">
        <f>SUMIFS($E$150:$E$635,$A$150:$A$635,"&gt;31/10/2021",$A$150:$A$635,"&lt;1/12/2021",$C$150:$C$635,$I14)</f>
        <v/>
      </c>
      <c r="V14" s="432">
        <f>SUMIFS($E$150:$E$635,$A$150:$A$635,"&gt;30/11/2021",$A$150:$A$635,"&lt;1/1/2022",$C$150:$C$635,$I14)</f>
        <v/>
      </c>
      <c r="W14" s="431">
        <f>SUM(K14:V14)</f>
        <v/>
      </c>
      <c r="X14" s="432">
        <f>SUM(V14-(J14*12)*(V$2+V$1))</f>
        <v/>
      </c>
      <c r="Y14" s="432">
        <f>W14-AA14</f>
        <v/>
      </c>
      <c r="Z14" s="433">
        <f>Y14/AA14</f>
        <v/>
      </c>
      <c r="AA14" s="818">
        <f>SUM(J14*12)*((K$2+K$1)+(L$2+L$1)+(M$2+M$1)+(N$2+N$1)+(O$1+O$2)+(P$2+P$1)+(Q$2+Q$1)+(R$2+R$1)+(S$2+S$1)+(T$2+T$1)+(U$2+U$1)+(V$2+V$1))</f>
        <v/>
      </c>
      <c r="AB14" s="817">
        <f>W14/$AB$3</f>
        <v/>
      </c>
    </row>
    <row r="15" ht="13.5" customHeight="1" s="1232">
      <c r="A15" s="1292" t="n"/>
      <c r="B15" s="1294" t="n"/>
      <c r="C15" s="1294" t="n"/>
      <c r="D15" s="1292" t="n"/>
      <c r="E15" s="1293" t="n"/>
      <c r="F15" s="1260" t="n"/>
      <c r="I15" s="1334" t="inlineStr">
        <is>
          <t>10 Commissions</t>
        </is>
      </c>
      <c r="J15" s="431" t="n">
        <v>200</v>
      </c>
      <c r="K15" s="432">
        <f>SUMIFS($E$150:$E$635,$A$150:$A$635,"&gt;31/12/2020",$A$150:$A$635,"&lt;1/2/2021",$C$150:$C$635,$I15)</f>
        <v/>
      </c>
      <c r="L15" s="432">
        <f>SUMIFS($E$150:$E$635,$A$150:$A$635,"&gt;31/1/2021",$A$150:$A$635,"&lt;1/3/2021",$C$150:$C$635,$I15)</f>
        <v/>
      </c>
      <c r="M15" s="432">
        <f>SUMIFS($E$150:$E$635,$A$150:$A$635,"&gt;28/2/2021",$A$150:$A$635,"&lt;1/4/2021",$C$150:$C$635,$I15)</f>
        <v/>
      </c>
      <c r="N15" s="432">
        <f>SUMIFS($E$150:$E$635,$A$150:$A$635,"&gt;31/3/2021",$A$150:$A$635,"&lt;1/5/2021",$C$150:$C$635,$I15)</f>
        <v/>
      </c>
      <c r="O15" s="432">
        <f>SUMIFS($E$150:$E$635,$A$150:$A$635,"&gt;30/4/2021",$A$150:$A$635,"&lt;1/6/2021",$C$150:$C$635,$I15)</f>
        <v/>
      </c>
      <c r="P15" s="432">
        <f>SUMIFS($E$150:$E$635,$A$150:$A$635,"&gt;31/5/2021",$A$150:$A$635,"&lt;1/7/2021",$C$150:$C$635,$I15)</f>
        <v/>
      </c>
      <c r="Q15" s="432">
        <f>SUMIFS($E$150:$E$635,$A$150:$A$635,"&gt;30/6/2021",$A$150:$A$635,"&lt;1/8/2021",$C$150:$C$635,$I15)</f>
        <v/>
      </c>
      <c r="R15" s="432">
        <f>SUMIFS($E$150:$E$635,$A$150:$A$635,"&gt;31/7/2021",$A$150:$A$635,"&lt;1/9/2021",$C$150:$C$635,$I15)</f>
        <v/>
      </c>
      <c r="S15" s="432">
        <f>SUMIFS($E$150:$E$635,$A$150:$A$635,"&gt;31/8/2021",$A$150:$A$635,"&lt;1/10/2021",$C$150:$C$635,$I15)</f>
        <v/>
      </c>
      <c r="T15" s="432">
        <f>SUMIFS($E$150:$E$635,$A$150:$A$635,"&gt;30/9/2021",$A$150:$A$635,"&lt;1/11/2021",$C$150:$C$635,$I15)</f>
        <v/>
      </c>
      <c r="U15" s="432">
        <f>SUMIFS($E$150:$E$635,$A$150:$A$635,"&gt;31/10/2021",$A$150:$A$635,"&lt;1/12/2021",$C$150:$C$635,$I15)</f>
        <v/>
      </c>
      <c r="V15" s="432">
        <f>SUMIFS($E$150:$E$635,$A$150:$A$635,"&gt;30/11/2021",$A$150:$A$635,"&lt;1/1/2022",$C$150:$C$635,$I15)</f>
        <v/>
      </c>
      <c r="W15" s="431">
        <f>SUM(K15:V15)</f>
        <v/>
      </c>
      <c r="X15" s="432">
        <f>SUM(V15-(J15*12)*(V$2+V$1))</f>
        <v/>
      </c>
      <c r="Y15" s="432">
        <f>W15-AA15</f>
        <v/>
      </c>
      <c r="Z15" s="433">
        <f>Y15/AA15</f>
        <v/>
      </c>
      <c r="AA15" s="818">
        <f>SUM(J15*12)*((K$2+K$1)+(L$2+L$1)+(M$2+M$1)+(N$2+N$1)+(O$1+O$2)+(P$2+P$1)+(Q$2+Q$1)+(R$2+R$1)+(S$2+S$1)+(T$2+T$1)+(U$2+U$1)+(V$2+V$1))</f>
        <v/>
      </c>
      <c r="AB15" s="817">
        <f>W15/$AB$3</f>
        <v/>
      </c>
    </row>
    <row r="16" ht="13.5" customHeight="1" s="1232">
      <c r="A16" s="1292" t="n">
        <v>43647</v>
      </c>
      <c r="B16" s="1294" t="inlineStr">
        <is>
          <t>Bob Seaman</t>
        </is>
      </c>
      <c r="C16" s="1294" t="inlineStr">
        <is>
          <t>Leads In Progress</t>
        </is>
      </c>
      <c r="E16" s="1293" t="n">
        <v>0</v>
      </c>
      <c r="F16" s="1274" t="n"/>
      <c r="I16" s="1334" t="inlineStr">
        <is>
          <t>11. Other</t>
        </is>
      </c>
      <c r="J16" s="431" t="n">
        <v>50</v>
      </c>
      <c r="K16" s="432">
        <f>SUMIFS($E$150:$E$635,$A$150:$A$635,"&gt;31/12/2020",$A$150:$A$635,"&lt;1/2/2021",$C$150:$C$635,$I16)</f>
        <v/>
      </c>
      <c r="L16" s="432">
        <f>SUMIFS($E$150:$E$635,$A$150:$A$635,"&gt;31/1/2021",$A$150:$A$635,"&lt;1/3/2021",$C$150:$C$635,$I16)</f>
        <v/>
      </c>
      <c r="M16" s="432">
        <f>SUMIFS($E$150:$E$635,$A$150:$A$635,"&gt;28/2/2021",$A$150:$A$635,"&lt;1/4/2021",$C$150:$C$635,$I16)</f>
        <v/>
      </c>
      <c r="N16" s="432">
        <f>SUMIFS($E$150:$E$635,$A$150:$A$635,"&gt;31/3/2021",$A$150:$A$635,"&lt;1/5/2021",$C$150:$C$635,$I16)</f>
        <v/>
      </c>
      <c r="O16" s="432">
        <f>SUMIFS($E$150:$E$635,$A$150:$A$635,"&gt;30/4/2021",$A$150:$A$635,"&lt;1/6/2021",$C$150:$C$635,$I16)</f>
        <v/>
      </c>
      <c r="P16" s="432">
        <f>SUMIFS($E$150:$E$635,$A$150:$A$635,"&gt;31/5/2021",$A$150:$A$635,"&lt;1/7/2021",$C$150:$C$635,$I16)</f>
        <v/>
      </c>
      <c r="Q16" s="432">
        <f>SUMIFS($E$150:$E$635,$A$150:$A$635,"&gt;30/6/2021",$A$150:$A$635,"&lt;1/8/2021",$C$150:$C$635,$I16)</f>
        <v/>
      </c>
      <c r="R16" s="432">
        <f>SUMIFS($E$150:$E$635,$A$150:$A$635,"&gt;31/7/2021",$A$150:$A$635,"&lt;1/9/2021",$C$150:$C$635,$I16)</f>
        <v/>
      </c>
      <c r="S16" s="432">
        <f>SUMIFS($E$150:$E$635,$A$150:$A$635,"&gt;31/8/2021",$A$150:$A$635,"&lt;1/10/2021",$C$150:$C$635,$I16)</f>
        <v/>
      </c>
      <c r="T16" s="432">
        <f>SUMIFS($E$150:$E$635,$A$150:$A$635,"&gt;30/9/2021",$A$150:$A$635,"&lt;1/11/2021",$C$150:$C$635,$I16)</f>
        <v/>
      </c>
      <c r="U16" s="432">
        <f>SUMIFS($E$150:$E$635,$A$150:$A$635,"&gt;31/10/2021",$A$150:$A$635,"&lt;1/12/2021",$C$150:$C$635,$I16)</f>
        <v/>
      </c>
      <c r="V16" s="432">
        <f>SUMIFS($E$150:$E$635,$A$150:$A$635,"&gt;30/11/2021",$A$150:$A$635,"&lt;1/1/2022",$C$150:$C$635,$I16)</f>
        <v/>
      </c>
      <c r="W16" s="431">
        <f>SUM(K16:V16)</f>
        <v/>
      </c>
      <c r="X16" s="432">
        <f>SUM(V16-(J16*12)*(V$2+V$1))</f>
        <v/>
      </c>
      <c r="Y16" s="432">
        <f>W16-AA16</f>
        <v/>
      </c>
      <c r="Z16" s="433">
        <f>Y16/AA16</f>
        <v/>
      </c>
      <c r="AA16" s="818">
        <f>SUM(J16*12)*((K$2+K$1)+(L$2+L$1)+(M$2+M$1)+(N$2+N$1)+(O$1+O$2)+(P$2+P$1)+(Q$2+Q$1)+(R$2+R$1)+(S$2+S$1)+(T$2+T$1)+(U$2+U$1)+(V$2+V$1))</f>
        <v/>
      </c>
      <c r="AB16" s="817">
        <f>W16/$AB$3</f>
        <v/>
      </c>
    </row>
    <row r="17" ht="15.75" customHeight="1" s="1232" thickBot="1">
      <c r="B17" s="1271" t="n"/>
      <c r="C17" s="1271" t="n"/>
      <c r="E17" s="1296" t="n"/>
      <c r="F17" s="1297" t="n"/>
      <c r="I17" s="1335" t="inlineStr">
        <is>
          <t>Totals</t>
        </is>
      </c>
      <c r="J17" s="778">
        <f>SUM(J6:J16)</f>
        <v/>
      </c>
      <c r="K17" s="439">
        <f>SUM(K6:K16)</f>
        <v/>
      </c>
      <c r="L17" s="439">
        <f>SUM(L6:L16)</f>
        <v/>
      </c>
      <c r="M17" s="439">
        <f>SUM(M6:M16)</f>
        <v/>
      </c>
      <c r="N17" s="439">
        <f>SUM(N6:N16)</f>
        <v/>
      </c>
      <c r="O17" s="439">
        <f>SUM(O6:O16)</f>
        <v/>
      </c>
      <c r="P17" s="439">
        <f>SUM(P6:P16)</f>
        <v/>
      </c>
      <c r="Q17" s="439">
        <f>SUM(Q6:Q16)</f>
        <v/>
      </c>
      <c r="R17" s="439">
        <f>SUM(R6:R16)</f>
        <v/>
      </c>
      <c r="S17" s="439">
        <f>SUM(S6:S16)</f>
        <v/>
      </c>
      <c r="T17" s="439">
        <f>SUM(T6:T16)</f>
        <v/>
      </c>
      <c r="U17" s="439">
        <f>SUM(U6:U16)</f>
        <v/>
      </c>
      <c r="V17" s="439">
        <f>SUM(V6:V16)</f>
        <v/>
      </c>
      <c r="W17" s="438">
        <f>SUM(W6:W16)</f>
        <v/>
      </c>
      <c r="X17" s="432">
        <f>SUM(V17-(J17*12)*(V$2+V$1))</f>
        <v/>
      </c>
      <c r="Y17" s="824">
        <f>W17-AA17</f>
        <v/>
      </c>
      <c r="Z17" s="837">
        <f>Y17/AA17</f>
        <v/>
      </c>
      <c r="AA17" s="824">
        <f>SUM(AA6:AA16)</f>
        <v/>
      </c>
      <c r="AB17" s="838">
        <f>W17/$AB$3</f>
        <v/>
      </c>
      <c r="AD17" s="1304" t="inlineStr">
        <is>
          <t>Invoice Date</t>
        </is>
      </c>
      <c r="AE17" s="1304" t="inlineStr">
        <is>
          <t>Employee</t>
        </is>
      </c>
      <c r="AF17" s="1304" t="inlineStr">
        <is>
          <t>Invoice Number</t>
        </is>
      </c>
      <c r="AG17" s="1304" t="inlineStr">
        <is>
          <t>ELS Voucher</t>
        </is>
      </c>
      <c r="AH17" s="1304" t="inlineStr">
        <is>
          <t>Amount</t>
        </is>
      </c>
      <c r="AI17" s="1304" t="inlineStr">
        <is>
          <t>Event</t>
        </is>
      </c>
    </row>
    <row r="18" ht="13.9" customHeight="1" s="1232">
      <c r="B18" s="1271" t="n"/>
      <c r="C18" s="1271" t="n"/>
      <c r="D18" s="1292" t="n"/>
      <c r="E18" s="1296" t="n"/>
      <c r="F18" s="1297" t="n"/>
      <c r="I18" s="1268" t="inlineStr">
        <is>
          <t>Target</t>
        </is>
      </c>
      <c r="J18" s="1299">
        <f>J17*12</f>
        <v/>
      </c>
      <c r="K18" s="671">
        <f>K17/K3</f>
        <v/>
      </c>
      <c r="L18" s="671">
        <f>L17/L3</f>
        <v/>
      </c>
      <c r="M18" s="671">
        <f>M17/M3</f>
        <v/>
      </c>
      <c r="N18" s="671">
        <f>N17/N3</f>
        <v/>
      </c>
      <c r="O18" s="671">
        <f>O17/O3</f>
        <v/>
      </c>
      <c r="P18" s="671">
        <f>P17/P3</f>
        <v/>
      </c>
      <c r="Q18" s="671">
        <f>Q17/Q3</f>
        <v/>
      </c>
      <c r="R18" s="671">
        <f>R17/R3</f>
        <v/>
      </c>
      <c r="S18" s="671">
        <f>S17/S3</f>
        <v/>
      </c>
      <c r="T18" s="671">
        <f>T17/T3</f>
        <v/>
      </c>
      <c r="U18" s="671">
        <f>U17/U3</f>
        <v/>
      </c>
      <c r="V18" s="671">
        <f>V17/V3</f>
        <v/>
      </c>
      <c r="W18" s="671">
        <f>W17/AA17</f>
        <v/>
      </c>
      <c r="X18" s="583" t="n"/>
      <c r="Y18" s="836" t="n"/>
      <c r="AB18" s="445" t="n"/>
    </row>
    <row r="19" ht="13.15" customHeight="1" s="1232">
      <c r="I19" s="1310" t="inlineStr">
        <is>
          <t>Year on year Improvement %</t>
        </is>
      </c>
      <c r="J19" s="1311" t="inlineStr">
        <is>
          <t>2021 v 2020</t>
        </is>
      </c>
      <c r="K19" s="671">
        <f>IFERROR((K17-K21)/K21,0)</f>
        <v/>
      </c>
      <c r="L19" s="671">
        <f>IFERROR((L17-L21)/L21,0)</f>
        <v/>
      </c>
      <c r="M19" s="671">
        <f>IFERROR((M17-M21)/M21,0)</f>
        <v/>
      </c>
      <c r="N19" s="671">
        <f>IFERROR((N17-N21)/N21,0)</f>
        <v/>
      </c>
      <c r="O19" s="671">
        <f>IFERROR((O17-O21)/O21,0)</f>
        <v/>
      </c>
      <c r="P19" s="671">
        <f>IFERROR((P17-P21)/P21,0)</f>
        <v/>
      </c>
      <c r="Q19" s="671">
        <f>IFERROR((Q17-Q21)/Q21,0)</f>
        <v/>
      </c>
      <c r="R19" s="671">
        <f>IFERROR((R17-R21)/R21,0)</f>
        <v/>
      </c>
      <c r="S19" s="671">
        <f>IFERROR((S17-S21)/S21,0)</f>
        <v/>
      </c>
      <c r="T19" s="671">
        <f>IFERROR((T17-T21)/T21,0)</f>
        <v/>
      </c>
      <c r="U19" s="671">
        <f>IFERROR((U17-U21)/U21,0)</f>
        <v/>
      </c>
      <c r="V19" s="671">
        <f>IFERROR((V17-V21)/V21,0)</f>
        <v/>
      </c>
      <c r="W19" s="671">
        <f>IFERROR((W17-W21)/W21,0)</f>
        <v/>
      </c>
      <c r="X19" s="583" t="n"/>
      <c r="Y19" s="585" t="n"/>
      <c r="Z19" s="1260" t="inlineStr">
        <is>
          <t>Last 6 months Avg</t>
        </is>
      </c>
      <c r="AB19" s="821">
        <f>SUM(+Q17+R17+S17+T17+U17+V17)/6</f>
        <v/>
      </c>
    </row>
    <row r="20" ht="13.15" customHeight="1" s="1232">
      <c r="I20" s="1310" t="n"/>
      <c r="J20" s="1299" t="n"/>
      <c r="K20" s="671" t="n"/>
      <c r="L20" s="671" t="n"/>
      <c r="M20" s="671" t="n"/>
      <c r="N20" s="671" t="n"/>
      <c r="O20" s="671" t="n"/>
      <c r="P20" s="671" t="n"/>
      <c r="Q20" s="671" t="n"/>
      <c r="R20" s="671" t="n"/>
      <c r="S20" s="558" t="n"/>
      <c r="T20" s="558" t="n"/>
      <c r="U20" s="558" t="n"/>
      <c r="V20" s="432" t="n">
        <v>6729</v>
      </c>
      <c r="W20" s="432">
        <f>V17-V20</f>
        <v/>
      </c>
      <c r="X20" s="583" t="n"/>
      <c r="Y20" s="585" t="n"/>
      <c r="Z20" s="1260" t="n"/>
      <c r="AB20" s="821" t="n"/>
    </row>
    <row r="21" ht="13.15" customHeight="1" s="1232">
      <c r="I21" s="1313" t="inlineStr">
        <is>
          <t>2020</t>
        </is>
      </c>
      <c r="J21" s="1287" t="inlineStr">
        <is>
          <t>Year 8 (Covid-19)</t>
        </is>
      </c>
      <c r="K21" s="558" t="n">
        <v>7647.85</v>
      </c>
      <c r="L21" s="558" t="n">
        <v>5051.64</v>
      </c>
      <c r="M21" s="558" t="n">
        <v>4783.746923076923</v>
      </c>
      <c r="N21" s="558" t="n">
        <v>1598.35</v>
      </c>
      <c r="O21" s="558" t="n">
        <v>1786.66</v>
      </c>
      <c r="P21" s="558" t="n">
        <v>6854.62</v>
      </c>
      <c r="Q21" s="558" t="n">
        <v>2667</v>
      </c>
      <c r="R21" s="558" t="n">
        <v>11694.07</v>
      </c>
      <c r="S21" s="558" t="n">
        <v>4126.62</v>
      </c>
      <c r="T21" s="558" t="n">
        <v>2423.69</v>
      </c>
      <c r="U21" s="558" t="n">
        <v>3332.58</v>
      </c>
      <c r="V21" s="558" t="n">
        <v>3035.07</v>
      </c>
      <c r="W21" s="431">
        <f>SUM(K21:V21)</f>
        <v/>
      </c>
      <c r="X21" s="583">
        <f>W21-W22</f>
        <v/>
      </c>
      <c r="Y21" s="585">
        <f>X21/W22</f>
        <v/>
      </c>
      <c r="Z21" s="1260" t="n"/>
      <c r="AB21" s="821" t="n"/>
    </row>
    <row r="22" ht="13.9" customHeight="1" s="1232">
      <c r="B22" s="1271" t="n"/>
      <c r="C22" s="1271" t="n"/>
      <c r="E22" s="1296" t="n"/>
      <c r="F22" s="1297" t="n"/>
      <c r="G22" s="1271" t="n"/>
      <c r="I22" s="1313" t="inlineStr">
        <is>
          <t>2019</t>
        </is>
      </c>
      <c r="J22" s="1287" t="inlineStr">
        <is>
          <t>Year 7</t>
        </is>
      </c>
      <c r="K22" s="558" t="n">
        <v>5891.07</v>
      </c>
      <c r="L22" s="558" t="n">
        <v>2739.5</v>
      </c>
      <c r="M22" s="558" t="n">
        <v>4414.5</v>
      </c>
      <c r="N22" s="558" t="n">
        <v>5147.5</v>
      </c>
      <c r="O22" s="558" t="n">
        <v>6878</v>
      </c>
      <c r="P22" s="558" t="n">
        <v>4875.34</v>
      </c>
      <c r="Q22" s="558" t="n">
        <v>5769.97</v>
      </c>
      <c r="R22" s="558" t="n">
        <v>7463.89</v>
      </c>
      <c r="S22" s="558" t="n">
        <v>6034.39</v>
      </c>
      <c r="T22" s="558" t="n">
        <v>4573.58</v>
      </c>
      <c r="U22" s="558" t="n">
        <v>5973.75</v>
      </c>
      <c r="V22" s="558" t="n">
        <v>5421.440000000001</v>
      </c>
      <c r="W22" s="431">
        <f>SUM(K22:V22)</f>
        <v/>
      </c>
      <c r="X22" s="583">
        <f>W22-W23</f>
        <v/>
      </c>
      <c r="Y22" s="585">
        <f>X22/W23</f>
        <v/>
      </c>
      <c r="Z22" s="1260" t="inlineStr">
        <is>
          <t>Previous 6 months Avg</t>
        </is>
      </c>
      <c r="AB22" s="821">
        <f>SUM(K17+L17+M17+N17+O17+P17)/6</f>
        <v/>
      </c>
    </row>
    <row r="23" ht="13.9" customHeight="1" s="1232">
      <c r="B23" s="1271" t="n"/>
      <c r="C23" s="1271" t="n"/>
      <c r="E23" s="1296" t="n"/>
      <c r="F23" s="1297" t="n"/>
      <c r="I23" s="1313" t="inlineStr">
        <is>
          <t>2018</t>
        </is>
      </c>
      <c r="J23" s="1260" t="inlineStr">
        <is>
          <t>Year 6</t>
        </is>
      </c>
      <c r="K23" s="558" t="n">
        <v>8277.470000000001</v>
      </c>
      <c r="L23" s="558" t="n">
        <v>10607.11</v>
      </c>
      <c r="M23" s="558" t="n">
        <v>7155.05</v>
      </c>
      <c r="N23" s="558" t="n">
        <v>4371.015</v>
      </c>
      <c r="O23" s="558" t="n">
        <v>4002.63</v>
      </c>
      <c r="P23" s="558" t="n">
        <v>3243.6</v>
      </c>
      <c r="Q23" s="558" t="n">
        <v>2859.03</v>
      </c>
      <c r="R23" s="558" t="n">
        <v>4792.59</v>
      </c>
      <c r="S23" s="558" t="n">
        <v>6443.88</v>
      </c>
      <c r="T23" s="558" t="n">
        <v>3908.03</v>
      </c>
      <c r="U23" s="558" t="n">
        <v>8299.08</v>
      </c>
      <c r="V23" s="558" t="n">
        <v>4642.25</v>
      </c>
      <c r="W23" s="431">
        <f>SUM(K23:V23)</f>
        <v/>
      </c>
      <c r="X23" s="583">
        <f>W23-W24</f>
        <v/>
      </c>
      <c r="Y23" s="585">
        <f>X23/W24</f>
        <v/>
      </c>
      <c r="AB23" s="445">
        <f>SUM(AB19-AB22)/AB19</f>
        <v/>
      </c>
      <c r="AD23" s="470" t="n">
        <v>42937</v>
      </c>
      <c r="AE23" s="1372" t="inlineStr">
        <is>
          <t>Aikaterini Fotoglou - ELS</t>
        </is>
      </c>
      <c r="AF23" s="1372" t="inlineStr">
        <is>
          <t>20170721-1</t>
        </is>
      </c>
      <c r="AG23" s="472" t="n">
        <v>146746</v>
      </c>
      <c r="AH23" s="1384" t="n">
        <v>200</v>
      </c>
      <c r="AI23" s="1373" t="inlineStr">
        <is>
          <t>5wk Course</t>
        </is>
      </c>
    </row>
    <row r="24" ht="13.9" customHeight="1" s="1232">
      <c r="B24" s="1271" t="n"/>
      <c r="C24" s="1271" t="n"/>
      <c r="D24" s="1292" t="n"/>
      <c r="E24" s="1296" t="n"/>
      <c r="F24" s="1297" t="n"/>
      <c r="I24" s="1316" t="inlineStr">
        <is>
          <t>2017</t>
        </is>
      </c>
      <c r="J24" s="1260" t="inlineStr">
        <is>
          <t>Year 5</t>
        </is>
      </c>
      <c r="K24" s="558" t="n">
        <v>3203.5</v>
      </c>
      <c r="L24" s="558" t="n">
        <v>6685</v>
      </c>
      <c r="M24" s="558" t="n">
        <v>6242.83</v>
      </c>
      <c r="N24" s="558" t="n">
        <v>6063.17</v>
      </c>
      <c r="O24" s="558" t="n">
        <v>5851.71</v>
      </c>
      <c r="P24" s="558" t="n">
        <v>5479.93</v>
      </c>
      <c r="Q24" s="558" t="n">
        <v>3603.81</v>
      </c>
      <c r="R24" s="558" t="n">
        <v>4658.85</v>
      </c>
      <c r="S24" s="558" t="n">
        <v>10821.67</v>
      </c>
      <c r="T24" s="558" t="n">
        <v>9224.58</v>
      </c>
      <c r="U24" s="558" t="n">
        <v>10504.09</v>
      </c>
      <c r="V24" s="558" t="n">
        <v>4329.030000000001</v>
      </c>
      <c r="W24" s="431">
        <f>SUM(K24:V24)</f>
        <v/>
      </c>
      <c r="X24" s="583">
        <f>W24-W25</f>
        <v/>
      </c>
      <c r="Y24" s="585">
        <f>X24/W25</f>
        <v/>
      </c>
      <c r="AA24" s="1273" t="inlineStr">
        <is>
          <t>Forecast</t>
        </is>
      </c>
      <c r="AB24" s="1379">
        <f>SUM(K17:U17)+(AB17*1)</f>
        <v/>
      </c>
      <c r="AD24" s="470" t="n">
        <v>42941</v>
      </c>
      <c r="AE24" s="1372" t="inlineStr">
        <is>
          <t>Ran Tao - ELS</t>
        </is>
      </c>
      <c r="AF24" s="1372" t="inlineStr">
        <is>
          <t>20170725-1</t>
        </is>
      </c>
      <c r="AG24" s="472" t="n">
        <v>146833</v>
      </c>
      <c r="AH24" s="1384" t="n">
        <v>200</v>
      </c>
      <c r="AI24" s="1373" t="inlineStr">
        <is>
          <t>5wk Course</t>
        </is>
      </c>
    </row>
    <row r="25" ht="13.9" customHeight="1" s="1232">
      <c r="B25" s="1271" t="n"/>
      <c r="C25" s="1271" t="n"/>
      <c r="E25" s="1296" t="n"/>
      <c r="F25" s="1297" t="n"/>
      <c r="I25" s="1316" t="inlineStr">
        <is>
          <t>2016</t>
        </is>
      </c>
      <c r="J25" s="1287" t="inlineStr">
        <is>
          <t>Year 4 (surgery)</t>
        </is>
      </c>
      <c r="K25" s="558" t="n">
        <v>4537</v>
      </c>
      <c r="L25" s="558">
        <f>4583-264</f>
        <v/>
      </c>
      <c r="M25" s="558">
        <f>3935-213</f>
        <v/>
      </c>
      <c r="N25" s="558">
        <f>4947-396</f>
        <v/>
      </c>
      <c r="O25" s="558">
        <f>3911-293</f>
        <v/>
      </c>
      <c r="P25" s="558">
        <f>2992-213</f>
        <v/>
      </c>
      <c r="Q25" s="558">
        <f>2927-218</f>
        <v/>
      </c>
      <c r="R25" s="558">
        <f>7466-213</f>
        <v/>
      </c>
      <c r="S25" s="558">
        <f>4218-425</f>
        <v/>
      </c>
      <c r="T25" s="558">
        <f>10697-213</f>
        <v/>
      </c>
      <c r="U25" s="558">
        <f>5081-213</f>
        <v/>
      </c>
      <c r="V25" s="558">
        <f>5220-213</f>
        <v/>
      </c>
      <c r="W25" s="431">
        <f>SUM(K25:V25)</f>
        <v/>
      </c>
      <c r="X25" s="583">
        <f>W25-W26</f>
        <v/>
      </c>
      <c r="Y25" s="585">
        <f>X25/W26</f>
        <v/>
      </c>
      <c r="Z25" s="445" t="n"/>
      <c r="AA25" s="771" t="n"/>
      <c r="AB25" s="803" t="n"/>
      <c r="AD25" s="470" t="n">
        <v>42947</v>
      </c>
      <c r="AE25" s="1372" t="inlineStr">
        <is>
          <t>Stewart Twilton - ELS</t>
        </is>
      </c>
      <c r="AF25" s="1372" t="inlineStr">
        <is>
          <t>20170731-1</t>
        </is>
      </c>
      <c r="AG25" s="472" t="n">
        <v>146978</v>
      </c>
      <c r="AH25" s="1384" t="n">
        <v>135</v>
      </c>
      <c r="AI25" s="1373" t="inlineStr">
        <is>
          <t>Workshop</t>
        </is>
      </c>
    </row>
    <row r="26" ht="13.9" customHeight="1" s="1232">
      <c r="B26" s="1271" t="inlineStr">
        <is>
          <t>Tony Teague</t>
        </is>
      </c>
      <c r="C26" s="1271" t="inlineStr">
        <is>
          <t>Deals Won - Waiting £</t>
        </is>
      </c>
      <c r="E26" s="1296">
        <f>1195-250</f>
        <v/>
      </c>
      <c r="F26" s="1297" t="inlineStr">
        <is>
          <t>Dingle / Ireland</t>
        </is>
      </c>
      <c r="I26" s="1316" t="inlineStr">
        <is>
          <t>2015</t>
        </is>
      </c>
      <c r="J26" s="1260" t="inlineStr">
        <is>
          <t>Year 3</t>
        </is>
      </c>
      <c r="K26" s="558" t="n">
        <v>3710</v>
      </c>
      <c r="L26" s="558" t="n">
        <v>3750</v>
      </c>
      <c r="M26" s="558" t="n">
        <v>7113</v>
      </c>
      <c r="N26" s="558">
        <f>3928-213</f>
        <v/>
      </c>
      <c r="O26" s="558">
        <f>2501-213</f>
        <v/>
      </c>
      <c r="P26" s="558">
        <f>3468-213</f>
        <v/>
      </c>
      <c r="Q26" s="558">
        <f>1986-224</f>
        <v/>
      </c>
      <c r="R26" s="558">
        <f>4145-212</f>
        <v/>
      </c>
      <c r="S26" s="558">
        <f>8518-212</f>
        <v/>
      </c>
      <c r="T26" s="558">
        <f>5829-424</f>
        <v/>
      </c>
      <c r="U26" s="558">
        <f>3816-212</f>
        <v/>
      </c>
      <c r="V26" s="558">
        <f>12440-212</f>
        <v/>
      </c>
      <c r="W26" s="431">
        <f>SUM(K26:V26)</f>
        <v/>
      </c>
      <c r="X26" s="583">
        <f>W26-W27</f>
        <v/>
      </c>
      <c r="Y26" s="585">
        <f>X26/W27</f>
        <v/>
      </c>
      <c r="Z26" s="445" t="n"/>
      <c r="AA26" s="445" t="n"/>
      <c r="AB26" s="1260" t="inlineStr">
        <is>
          <t>.</t>
        </is>
      </c>
      <c r="AD26" s="470" t="n">
        <v>42969</v>
      </c>
      <c r="AE26" s="1372" t="inlineStr">
        <is>
          <t>Kim Robert - ELS</t>
        </is>
      </c>
      <c r="AF26" s="1372" t="inlineStr">
        <is>
          <t>20170822-1</t>
        </is>
      </c>
      <c r="AG26" s="472" t="n">
        <v>147703</v>
      </c>
      <c r="AH26" s="1384" t="n">
        <v>200</v>
      </c>
      <c r="AI26" s="1373" t="inlineStr">
        <is>
          <t>5wk Course</t>
        </is>
      </c>
    </row>
    <row r="27" ht="13.9" customHeight="1" s="1232">
      <c r="B27" s="1271" t="n"/>
      <c r="C27" s="1271" t="n"/>
      <c r="D27" s="1292" t="n"/>
      <c r="E27" s="1296" t="n"/>
      <c r="F27" s="1305" t="n"/>
      <c r="I27" s="1316" t="inlineStr">
        <is>
          <t>2014</t>
        </is>
      </c>
      <c r="J27" s="1260" t="inlineStr">
        <is>
          <t>Year 2</t>
        </is>
      </c>
      <c r="K27" s="558">
        <f>4439-1260</f>
        <v/>
      </c>
      <c r="L27" s="558">
        <f>3071-197</f>
        <v/>
      </c>
      <c r="M27" s="558">
        <f>4958-132</f>
        <v/>
      </c>
      <c r="N27" s="558">
        <f>3585-132</f>
        <v/>
      </c>
      <c r="O27" s="558">
        <f>5008-33</f>
        <v/>
      </c>
      <c r="P27" s="558" t="n">
        <v>3386</v>
      </c>
      <c r="Q27" s="558" t="n">
        <v>3633</v>
      </c>
      <c r="R27" s="558" t="n">
        <v>3855</v>
      </c>
      <c r="S27" s="558" t="n">
        <v>6440</v>
      </c>
      <c r="T27" s="558" t="n">
        <v>3536</v>
      </c>
      <c r="U27" s="558" t="n">
        <v>2851</v>
      </c>
      <c r="V27" s="558" t="n">
        <v>7614</v>
      </c>
      <c r="W27" s="431">
        <f>SUM(K27:V27)</f>
        <v/>
      </c>
      <c r="X27" s="583">
        <f>W27-W28</f>
        <v/>
      </c>
      <c r="Y27" s="585">
        <f>X27/W28</f>
        <v/>
      </c>
      <c r="AD27" s="470" t="n">
        <v>42970</v>
      </c>
      <c r="AE27" s="1372" t="inlineStr">
        <is>
          <t>Scott Bremner - ELS</t>
        </is>
      </c>
      <c r="AF27" s="1372" t="inlineStr">
        <is>
          <t>20170823-2</t>
        </is>
      </c>
      <c r="AG27" s="472" t="n">
        <v>147671</v>
      </c>
      <c r="AH27" s="1384" t="n">
        <v>200</v>
      </c>
      <c r="AI27" s="1373" t="inlineStr">
        <is>
          <t>5wk Course</t>
        </is>
      </c>
    </row>
    <row r="28" ht="13.9" customHeight="1" s="1232">
      <c r="B28" s="1271" t="inlineStr">
        <is>
          <t>Pure Photo</t>
        </is>
      </c>
      <c r="C28" s="1271" t="inlineStr">
        <is>
          <t>Deals Won - Waiting £</t>
        </is>
      </c>
      <c r="E28" s="1296">
        <f>850*0.7</f>
        <v/>
      </c>
      <c r="F28" s="1297" t="n"/>
      <c r="I28" s="1313" t="inlineStr">
        <is>
          <t>2013</t>
        </is>
      </c>
      <c r="J28" s="1260" t="inlineStr">
        <is>
          <t>Year 1</t>
        </is>
      </c>
      <c r="K28" s="558" t="n"/>
      <c r="L28" s="558" t="n"/>
      <c r="M28" s="558" t="n"/>
      <c r="N28" s="558" t="n"/>
      <c r="O28" s="558" t="n"/>
      <c r="P28" s="558" t="n"/>
      <c r="Q28" s="558" t="n"/>
      <c r="R28" s="558" t="n"/>
      <c r="S28" s="558" t="n"/>
      <c r="T28" s="558" t="n"/>
      <c r="U28" s="558">
        <f>3346-338</f>
        <v/>
      </c>
      <c r="V28" s="558">
        <f>6776-390</f>
        <v/>
      </c>
      <c r="W28" s="431">
        <f>SUM(K28:V28)</f>
        <v/>
      </c>
      <c r="AD28" s="470" t="n">
        <v>42970</v>
      </c>
      <c r="AE28" s="1372" t="inlineStr">
        <is>
          <t>Michael King - ELS</t>
        </is>
      </c>
      <c r="AF28" s="1372" t="inlineStr">
        <is>
          <t>20170823-1</t>
        </is>
      </c>
      <c r="AG28" s="472" t="n">
        <v>147844</v>
      </c>
      <c r="AH28" s="1384" t="n">
        <v>200</v>
      </c>
      <c r="AI28" s="1373" t="inlineStr">
        <is>
          <t>4wk Course</t>
        </is>
      </c>
    </row>
    <row r="29" ht="13.9" customHeight="1" s="1232">
      <c r="B29" s="1294" t="n"/>
      <c r="C29" s="1294" t="n"/>
      <c r="E29" s="1296" t="n"/>
      <c r="F29" s="1297" t="n"/>
      <c r="X29" s="1260" t="inlineStr">
        <is>
          <t>YoY +/-</t>
        </is>
      </c>
      <c r="Y29" s="688">
        <f>W17-K21-L21-M21-N21-O21-P21-Q21-R21-S21-T21-U21-V21</f>
        <v/>
      </c>
      <c r="Z29" s="839">
        <f>Y29/W17</f>
        <v/>
      </c>
      <c r="AD29" s="470" t="n">
        <v>42976</v>
      </c>
      <c r="AE29" s="1372" t="inlineStr">
        <is>
          <t>Thomas Lloyd -ELS</t>
        </is>
      </c>
      <c r="AF29" s="1372" t="inlineStr">
        <is>
          <t>20170829-1</t>
        </is>
      </c>
      <c r="AG29" s="472" t="n">
        <v>148062</v>
      </c>
      <c r="AH29" s="1384" t="n">
        <v>65</v>
      </c>
      <c r="AI29" s="1373" t="inlineStr">
        <is>
          <t>Workshop</t>
        </is>
      </c>
    </row>
    <row r="30" ht="15" customHeight="1" s="1232">
      <c r="B30" s="1271" t="inlineStr">
        <is>
          <t>Artfully Walls</t>
        </is>
      </c>
      <c r="C30" s="1271" t="inlineStr">
        <is>
          <t>Deals Won - Waiting £</t>
        </is>
      </c>
      <c r="E30" s="1296" t="n">
        <v>100</v>
      </c>
      <c r="F30" s="1297" t="n"/>
      <c r="I30" s="1318" t="inlineStr">
        <is>
          <t>Leads In Progress</t>
        </is>
      </c>
      <c r="J30" s="448">
        <f>SUMIF($C2:E98,I30,$E2:$E68)</f>
        <v/>
      </c>
      <c r="K30" s="558">
        <f>AVERAGE(K21:K27)</f>
        <v/>
      </c>
      <c r="L30" s="558">
        <f>AVERAGE(L21:L27)</f>
        <v/>
      </c>
      <c r="M30" s="558">
        <f>AVERAGE(M21:M27)</f>
        <v/>
      </c>
      <c r="N30" s="558">
        <f>AVERAGE(N21:N27)</f>
        <v/>
      </c>
      <c r="O30" s="558">
        <f>AVERAGE(O21:O27)</f>
        <v/>
      </c>
      <c r="P30" s="558">
        <f>AVERAGE(P21:P27)</f>
        <v/>
      </c>
      <c r="Q30" s="558">
        <f>AVERAGE(Q21:Q27)</f>
        <v/>
      </c>
      <c r="R30" s="558">
        <f>AVERAGE(R21:R27)</f>
        <v/>
      </c>
      <c r="S30" s="558">
        <f>AVERAGE(S21:S27)</f>
        <v/>
      </c>
      <c r="T30" s="558">
        <f>AVERAGE(T21:T27)</f>
        <v/>
      </c>
      <c r="U30" s="558">
        <f>AVERAGE(U21:U27)</f>
        <v/>
      </c>
      <c r="V30" s="558">
        <f>AVERAGE(V21:V27)</f>
        <v/>
      </c>
      <c r="W30" s="449">
        <f>SUM(K30:V30)</f>
        <v/>
      </c>
      <c r="X30" s="449" t="inlineStr">
        <is>
          <t>Avg</t>
        </is>
      </c>
      <c r="AD30" s="470" t="n">
        <v>42978</v>
      </c>
      <c r="AE30" s="1372" t="inlineStr">
        <is>
          <t>Jieyuan Wu - ELS</t>
        </is>
      </c>
      <c r="AF30" s="1372" t="inlineStr">
        <is>
          <t>20170831-4</t>
        </is>
      </c>
      <c r="AG30" s="472" t="n">
        <v>148222</v>
      </c>
      <c r="AH30" s="1384" t="n">
        <v>200</v>
      </c>
      <c r="AI30" s="1373" t="inlineStr">
        <is>
          <t>5wk Course</t>
        </is>
      </c>
    </row>
    <row r="31" ht="15" customHeight="1" s="1232">
      <c r="B31" s="1271" t="n"/>
      <c r="C31" s="1271" t="n"/>
      <c r="E31" s="1296" t="n"/>
      <c r="F31" s="1297" t="n"/>
      <c r="I31" s="1319" t="inlineStr">
        <is>
          <t>Deals Won - Waiting £</t>
        </is>
      </c>
      <c r="J31" s="451">
        <f>SUMIF($C2:E68,I31,$E2:$E68)</f>
        <v/>
      </c>
      <c r="L31" s="449" t="n"/>
      <c r="M31" s="449" t="n"/>
      <c r="N31" s="449" t="n"/>
      <c r="O31" s="449" t="n"/>
      <c r="P31" s="449" t="n"/>
      <c r="Q31" s="449" t="n"/>
      <c r="R31" s="449" t="n"/>
      <c r="S31" s="449" t="n"/>
      <c r="T31" s="449" t="n"/>
      <c r="U31" s="449" t="n"/>
      <c r="V31" s="449" t="n"/>
      <c r="W31" s="449" t="n"/>
      <c r="X31" s="449" t="n"/>
      <c r="AD31" s="470" t="n">
        <v>42978</v>
      </c>
      <c r="AE31" s="1372" t="inlineStr">
        <is>
          <t>Daniel Thomas - ELS</t>
        </is>
      </c>
      <c r="AF31" s="1372" t="inlineStr">
        <is>
          <t>20170831-1</t>
        </is>
      </c>
      <c r="AG31" s="472" t="n">
        <v>148235</v>
      </c>
      <c r="AH31" s="1384" t="n">
        <v>200</v>
      </c>
      <c r="AI31" s="1373" t="inlineStr">
        <is>
          <t>5wk Course</t>
        </is>
      </c>
    </row>
    <row r="32" ht="15.4" customHeight="1" s="1232" thickBot="1">
      <c r="B32" s="1271" t="n"/>
      <c r="C32" s="1271" t="n"/>
      <c r="D32" s="1292" t="n"/>
      <c r="E32" s="1296" t="n"/>
      <c r="F32" s="1297" t="n"/>
      <c r="I32" s="1322" t="inlineStr">
        <is>
          <t>Pipeline</t>
        </is>
      </c>
      <c r="J32" s="453">
        <f>SUM(J30:J31)</f>
        <v/>
      </c>
      <c r="K32" s="914" t="n"/>
      <c r="L32" s="914" t="n"/>
      <c r="M32" s="914" t="n"/>
      <c r="N32" s="914" t="n"/>
      <c r="O32" s="914" t="n"/>
      <c r="P32" s="914" t="n"/>
      <c r="Q32" s="914" t="n"/>
      <c r="R32" s="914" t="n"/>
      <c r="S32" s="914" t="n"/>
      <c r="T32" s="914" t="n"/>
      <c r="U32" s="1219" t="inlineStr">
        <is>
          <t>To Date - All Time</t>
        </is>
      </c>
      <c r="V32" s="1220" t="n"/>
      <c r="W32" s="688">
        <f>SUM(W21:W28)+W17</f>
        <v/>
      </c>
      <c r="X32" s="914" t="n"/>
      <c r="AD32" s="470" t="n">
        <v>42978</v>
      </c>
      <c r="AE32" s="1372" t="inlineStr">
        <is>
          <t>Paul Gardiner - ELS</t>
        </is>
      </c>
      <c r="AF32" s="1372" t="inlineStr">
        <is>
          <t>20170831-2</t>
        </is>
      </c>
      <c r="AG32" s="472" t="n">
        <v>148256</v>
      </c>
      <c r="AH32" s="1384" t="n">
        <v>41</v>
      </c>
      <c r="AI32" s="1373" t="inlineStr">
        <is>
          <t>Workshop</t>
        </is>
      </c>
    </row>
    <row r="33" ht="13.9" customHeight="1" s="1232" thickBot="1">
      <c r="B33" s="1271" t="n"/>
      <c r="C33" s="1271" t="n"/>
      <c r="D33" s="1292" t="n"/>
      <c r="E33" s="1296" t="n"/>
      <c r="F33" s="1297" t="n"/>
      <c r="J33" s="914" t="n"/>
      <c r="K33" s="914" t="n"/>
      <c r="L33" s="914" t="n"/>
      <c r="M33" s="914" t="n"/>
      <c r="N33" s="914" t="n"/>
      <c r="O33" s="914" t="n"/>
      <c r="P33" s="914" t="n"/>
      <c r="Q33" s="914" t="n"/>
      <c r="R33" s="914" t="n"/>
      <c r="S33" s="914" t="n"/>
      <c r="T33" s="914" t="n"/>
      <c r="U33" s="1219" t="inlineStr">
        <is>
          <t>Average Per Year</t>
        </is>
      </c>
      <c r="V33" s="1220" t="n"/>
      <c r="W33" s="558">
        <f>SUM(W21:W27)/7</f>
        <v/>
      </c>
      <c r="X33" s="914" t="n"/>
      <c r="AD33" s="470" t="n">
        <v>42982</v>
      </c>
      <c r="AE33" s="1372" t="inlineStr">
        <is>
          <t>Marius Ciobanu -ELS</t>
        </is>
      </c>
      <c r="AF33" s="1372" t="inlineStr">
        <is>
          <t>20170904-1</t>
        </is>
      </c>
      <c r="AG33" s="472" t="n">
        <v>148035</v>
      </c>
      <c r="AH33" s="1385" t="n">
        <v>200</v>
      </c>
      <c r="AI33" s="1373" t="inlineStr">
        <is>
          <t>5wk Course</t>
        </is>
      </c>
    </row>
    <row r="34" ht="13.9" customHeight="1" s="1232">
      <c r="B34" s="1271" t="inlineStr">
        <is>
          <t>Trevor Haw</t>
        </is>
      </c>
      <c r="C34" s="1271" t="inlineStr">
        <is>
          <t>Deals Won - Waiting £</t>
        </is>
      </c>
      <c r="E34" s="1296">
        <f>445*2</f>
        <v/>
      </c>
      <c r="F34" s="1297" t="inlineStr">
        <is>
          <t>Norfolk</t>
        </is>
      </c>
      <c r="I34" s="1327" t="inlineStr">
        <is>
          <t>YTD Actual</t>
        </is>
      </c>
      <c r="J34" s="456">
        <f>W17</f>
        <v/>
      </c>
      <c r="K34" s="914">
        <f>SUM(E150:E1078)-J34</f>
        <v/>
      </c>
      <c r="L34" s="914" t="n"/>
      <c r="M34" s="914" t="n"/>
      <c r="N34" s="914" t="n"/>
      <c r="O34" s="914" t="n"/>
      <c r="P34" s="914" t="n"/>
      <c r="Q34" s="914" t="n"/>
      <c r="R34" s="914" t="n"/>
      <c r="S34" s="914" t="n"/>
      <c r="T34" s="914" t="n"/>
      <c r="U34" s="914" t="n"/>
      <c r="V34" s="914" t="n"/>
      <c r="W34" s="914" t="n"/>
      <c r="X34" s="914" t="n"/>
      <c r="AD34" s="470" t="n">
        <v>42998</v>
      </c>
      <c r="AE34" s="1386" t="inlineStr">
        <is>
          <t>Aidan Bodeick</t>
        </is>
      </c>
      <c r="AF34" s="1372" t="inlineStr">
        <is>
          <t>20170920-1</t>
        </is>
      </c>
      <c r="AG34" s="472" t="inlineStr">
        <is>
          <t>149301</t>
        </is>
      </c>
      <c r="AH34" s="1385" t="n">
        <v>200</v>
      </c>
      <c r="AI34" s="1274" t="inlineStr">
        <is>
          <t>5wk Course</t>
        </is>
      </c>
    </row>
    <row r="35" ht="14.25" customHeight="1" s="1232" thickBot="1">
      <c r="B35" s="1271" t="n"/>
      <c r="C35" s="1271" t="n"/>
      <c r="D35" s="1292" t="n"/>
      <c r="E35" s="1296" t="n"/>
      <c r="F35" s="1297" t="n"/>
      <c r="I35" s="1328" t="inlineStr">
        <is>
          <t>YTD Var to target</t>
        </is>
      </c>
      <c r="J35" s="458">
        <f>J34-AA17</f>
        <v/>
      </c>
      <c r="K35" s="914" t="n"/>
      <c r="L35" s="914" t="n"/>
      <c r="M35" s="914" t="n"/>
      <c r="N35" s="914" t="n"/>
      <c r="O35" s="914" t="n"/>
      <c r="P35" s="914" t="n"/>
      <c r="Q35" s="914" t="n"/>
      <c r="R35" s="914" t="n"/>
      <c r="S35" s="914" t="n"/>
      <c r="T35" s="914" t="n"/>
      <c r="U35" s="914" t="n"/>
      <c r="V35" s="914" t="n"/>
      <c r="W35" s="914" t="n"/>
      <c r="X35" s="914" t="n"/>
      <c r="AD35" s="470" t="n">
        <v>42998</v>
      </c>
      <c r="AE35" s="1372" t="inlineStr">
        <is>
          <t>Marvin Epton</t>
        </is>
      </c>
      <c r="AF35" s="1372" t="inlineStr">
        <is>
          <t>20170920-2</t>
        </is>
      </c>
      <c r="AG35" s="472" t="inlineStr">
        <is>
          <t>149832</t>
        </is>
      </c>
      <c r="AH35" s="1385" t="n">
        <v>200</v>
      </c>
      <c r="AI35" s="1373" t="inlineStr">
        <is>
          <t>Photo Course</t>
        </is>
      </c>
    </row>
    <row r="36" ht="13.5" customHeight="1" s="1232">
      <c r="B36" s="1271" t="n"/>
      <c r="C36" s="1271" t="n"/>
      <c r="D36" s="1292" t="n"/>
      <c r="E36" s="1296" t="n"/>
      <c r="F36" s="1297" t="n"/>
      <c r="J36" s="914" t="n"/>
      <c r="K36" s="914" t="n"/>
      <c r="L36" s="914" t="n"/>
      <c r="M36" s="914" t="n"/>
      <c r="N36" s="914" t="n"/>
      <c r="O36" s="914" t="n"/>
      <c r="P36" s="914" t="n"/>
      <c r="Q36" s="914" t="n"/>
      <c r="R36" s="914" t="n"/>
      <c r="S36" s="914" t="n"/>
      <c r="T36" s="914" t="n"/>
      <c r="U36" s="914" t="n"/>
      <c r="V36" s="914" t="n"/>
      <c r="W36" s="914" t="n"/>
      <c r="X36" s="914" t="n"/>
      <c r="AD36" s="470" t="n">
        <v>43018</v>
      </c>
      <c r="AE36" s="1373" t="inlineStr">
        <is>
          <t>Robert Graham</t>
        </is>
      </c>
      <c r="AF36" s="1373" t="inlineStr">
        <is>
          <t>20171010-1</t>
        </is>
      </c>
      <c r="AG36" s="1387" t="inlineStr">
        <is>
          <t>151259</t>
        </is>
      </c>
      <c r="AH36" s="1385" t="n">
        <v>200</v>
      </c>
      <c r="AI36" s="1373" t="inlineStr">
        <is>
          <t>5wk Course</t>
        </is>
      </c>
    </row>
    <row r="37">
      <c r="J37" s="914" t="n"/>
      <c r="K37" s="914" t="n"/>
      <c r="L37" s="914" t="n"/>
      <c r="M37" s="914" t="n"/>
      <c r="N37" s="914" t="n"/>
      <c r="O37" s="914" t="n"/>
      <c r="P37" s="914" t="n"/>
      <c r="Q37" s="914" t="n"/>
      <c r="R37" s="914" t="n"/>
      <c r="S37" s="914" t="n"/>
      <c r="T37" s="914" t="n"/>
      <c r="U37" s="914" t="n"/>
      <c r="V37" s="914" t="n"/>
      <c r="W37" s="914" t="n"/>
      <c r="X37" s="914" t="n"/>
      <c r="AD37" s="470" t="n">
        <v>43018</v>
      </c>
      <c r="AE37" s="1373" t="inlineStr">
        <is>
          <t>Jonathan McCaughan  ELS</t>
        </is>
      </c>
      <c r="AF37" s="1373" t="inlineStr">
        <is>
          <t>20171010-2</t>
        </is>
      </c>
      <c r="AG37" s="1387" t="n"/>
      <c r="AH37" s="1388" t="n">
        <v>200</v>
      </c>
      <c r="AI37" s="1373" t="inlineStr">
        <is>
          <t>5wk Course</t>
        </is>
      </c>
    </row>
    <row r="38" ht="13.9" customHeight="1" s="1232">
      <c r="B38" s="1271" t="n"/>
      <c r="C38" s="1271" t="n"/>
      <c r="D38" s="1292" t="n"/>
      <c r="E38" s="1296" t="n"/>
      <c r="F38" s="1297" t="n"/>
      <c r="G38" s="1374" t="n"/>
      <c r="I38" s="1336" t="inlineStr">
        <is>
          <t>Tuition Categories</t>
        </is>
      </c>
      <c r="J38" s="1330" t="inlineStr">
        <is>
          <t>Variance to 2020</t>
        </is>
      </c>
      <c r="K38" s="1332" t="inlineStr">
        <is>
          <t>Jan</t>
        </is>
      </c>
      <c r="L38" s="1332" t="inlineStr">
        <is>
          <t>Feb</t>
        </is>
      </c>
      <c r="M38" s="1332" t="inlineStr">
        <is>
          <t>Mar</t>
        </is>
      </c>
      <c r="N38" s="1332" t="inlineStr">
        <is>
          <t>Apr</t>
        </is>
      </c>
      <c r="O38" s="1332" t="inlineStr">
        <is>
          <t>May</t>
        </is>
      </c>
      <c r="P38" s="1332" t="inlineStr">
        <is>
          <t>Jun</t>
        </is>
      </c>
      <c r="Q38" s="1332" t="inlineStr">
        <is>
          <t>Jul</t>
        </is>
      </c>
      <c r="R38" s="1332" t="inlineStr">
        <is>
          <t>Aug</t>
        </is>
      </c>
      <c r="S38" s="1332" t="inlineStr">
        <is>
          <t>Sep</t>
        </is>
      </c>
      <c r="T38" s="1332" t="inlineStr">
        <is>
          <t>Oct</t>
        </is>
      </c>
      <c r="U38" s="1332" t="inlineStr">
        <is>
          <t>Nov</t>
        </is>
      </c>
      <c r="V38" s="1332" t="inlineStr">
        <is>
          <t>Dec</t>
        </is>
      </c>
      <c r="W38" s="1278" t="inlineStr">
        <is>
          <t>Year</t>
        </is>
      </c>
      <c r="Y38" s="1280" t="inlineStr">
        <is>
          <t>Var YTD</t>
        </is>
      </c>
      <c r="AD38" s="470" t="n">
        <v>43018</v>
      </c>
      <c r="AE38" s="1373" t="inlineStr">
        <is>
          <t>Shen Xiang -ELS</t>
        </is>
      </c>
      <c r="AF38" s="1373" t="inlineStr">
        <is>
          <t>20171010-3</t>
        </is>
      </c>
      <c r="AG38" s="1387" t="n"/>
      <c r="AH38" s="1385" t="n">
        <v>200</v>
      </c>
      <c r="AI38" s="1373" t="inlineStr">
        <is>
          <t>5wk Course</t>
        </is>
      </c>
    </row>
    <row r="39" ht="13.5" customHeight="1" s="1232">
      <c r="B39" s="1271" t="n"/>
      <c r="C39" s="1271" t="n"/>
      <c r="D39" s="1292" t="n"/>
      <c r="E39" s="1296" t="n"/>
      <c r="F39" s="1297" t="n"/>
      <c r="G39" s="1374" t="n"/>
      <c r="I39" s="1333" t="inlineStr">
        <is>
          <t>1. Courses/masterclasses</t>
        </is>
      </c>
      <c r="J39" s="431" t="n"/>
      <c r="K39" s="432">
        <f>K6-'Sales 2020'!K5</f>
        <v/>
      </c>
      <c r="L39" s="432">
        <f>L6-'Sales 2020'!L5</f>
        <v/>
      </c>
      <c r="M39" s="432">
        <f>M6-'Sales 2020'!M5</f>
        <v/>
      </c>
      <c r="N39" s="432">
        <f>N6-'Sales 2020'!N5</f>
        <v/>
      </c>
      <c r="O39" s="432">
        <f>O6-'Sales 2020'!O5</f>
        <v/>
      </c>
      <c r="P39" s="432">
        <f>P6-'Sales 2020'!P5</f>
        <v/>
      </c>
      <c r="Q39" s="432">
        <f>Q6-'Sales 2020'!Q5</f>
        <v/>
      </c>
      <c r="R39" s="432">
        <f>R6-'Sales 2020'!R5</f>
        <v/>
      </c>
      <c r="S39" s="432">
        <f>S6-'Sales 2020'!S5</f>
        <v/>
      </c>
      <c r="T39" s="432">
        <f>T6-'Sales 2020'!T5</f>
        <v/>
      </c>
      <c r="U39" s="432">
        <f>U6-'Sales 2020'!U5</f>
        <v/>
      </c>
      <c r="V39" s="432">
        <f>V6-'Sales 2020'!V5</f>
        <v/>
      </c>
      <c r="W39" s="788">
        <f>SUM(K39:V39)</f>
        <v/>
      </c>
      <c r="X39" s="445">
        <f>W39/'Sales 2020'!W5</f>
        <v/>
      </c>
      <c r="Y39" s="790">
        <f>SUM(K39:P39)</f>
        <v/>
      </c>
      <c r="Z39" s="445" t="n"/>
      <c r="AD39" s="470" t="n">
        <v>43018</v>
      </c>
      <c r="AE39" s="1255" t="inlineStr">
        <is>
          <t>Seon Chang</t>
        </is>
      </c>
      <c r="AF39" s="1373" t="inlineStr">
        <is>
          <t>20171010-4</t>
        </is>
      </c>
      <c r="AG39" s="1387" t="inlineStr">
        <is>
          <t>149231</t>
        </is>
      </c>
      <c r="AH39" s="1385" t="n">
        <v>200</v>
      </c>
      <c r="AI39" s="1373" t="inlineStr">
        <is>
          <t>5wk Course</t>
        </is>
      </c>
    </row>
    <row r="40" ht="13.5" customHeight="1" s="1232">
      <c r="B40" s="1271" t="inlineStr">
        <is>
          <t>Pixsy</t>
        </is>
      </c>
      <c r="C40" s="1271" t="inlineStr">
        <is>
          <t>Deals Won - Waiting £</t>
        </is>
      </c>
      <c r="E40" s="1296" t="n"/>
      <c r="F40" s="1297" t="n"/>
      <c r="G40" s="1374" t="n"/>
      <c r="I40" s="1333" t="inlineStr">
        <is>
          <t>2. Workshops</t>
        </is>
      </c>
      <c r="J40" s="431" t="n"/>
      <c r="K40" s="432">
        <f>K7-'Sales 2020'!K6</f>
        <v/>
      </c>
      <c r="L40" s="432">
        <f>L7-'Sales 2020'!L6</f>
        <v/>
      </c>
      <c r="M40" s="432">
        <f>M7-'Sales 2020'!M6</f>
        <v/>
      </c>
      <c r="N40" s="432">
        <f>N7-'Sales 2020'!N6</f>
        <v/>
      </c>
      <c r="O40" s="432">
        <f>O7-'Sales 2020'!O6</f>
        <v/>
      </c>
      <c r="P40" s="432">
        <f>P7-'Sales 2020'!P6</f>
        <v/>
      </c>
      <c r="Q40" s="432">
        <f>Q7-'Sales 2020'!Q6</f>
        <v/>
      </c>
      <c r="R40" s="432">
        <f>R7-'Sales 2020'!R6</f>
        <v/>
      </c>
      <c r="S40" s="432">
        <f>S7-'Sales 2020'!S6</f>
        <v/>
      </c>
      <c r="T40" s="432">
        <f>T7-'Sales 2020'!T6</f>
        <v/>
      </c>
      <c r="U40" s="432">
        <f>U7-'Sales 2020'!U6</f>
        <v/>
      </c>
      <c r="V40" s="432">
        <f>V7-'Sales 2020'!V6</f>
        <v/>
      </c>
      <c r="W40" s="788">
        <f>SUM(K40:V40)</f>
        <v/>
      </c>
      <c r="X40" s="445">
        <f>W40/'Sales 2020'!W6</f>
        <v/>
      </c>
      <c r="Y40" s="790">
        <f>SUM(K40:P40)</f>
        <v/>
      </c>
      <c r="Z40" s="445" t="n"/>
      <c r="AD40" s="470" t="n">
        <v>43024</v>
      </c>
      <c r="AE40" s="1255" t="inlineStr">
        <is>
          <t>Ashwyn Dhir</t>
        </is>
      </c>
      <c r="AF40" s="1255" t="inlineStr">
        <is>
          <t>20171016-1</t>
        </is>
      </c>
      <c r="AG40" s="1387" t="inlineStr">
        <is>
          <t>150249</t>
        </is>
      </c>
      <c r="AH40" s="1385" t="n">
        <v>200</v>
      </c>
      <c r="AI40" s="1373" t="inlineStr">
        <is>
          <t>5wk Course</t>
        </is>
      </c>
    </row>
    <row r="41" ht="13.5" customHeight="1" s="1232">
      <c r="E41" s="1296" t="n"/>
      <c r="F41" s="1297" t="n"/>
      <c r="I41" s="1333" t="inlineStr">
        <is>
          <t>3. Pick n Mix Inc</t>
        </is>
      </c>
      <c r="J41" s="431" t="n"/>
      <c r="K41" s="432">
        <f>K8-'Sales 2020'!K7</f>
        <v/>
      </c>
      <c r="L41" s="432">
        <f>L8-'Sales 2020'!L7</f>
        <v/>
      </c>
      <c r="M41" s="432">
        <f>M8-'Sales 2020'!M7</f>
        <v/>
      </c>
      <c r="N41" s="432">
        <f>N8-'Sales 2020'!N7</f>
        <v/>
      </c>
      <c r="O41" s="432">
        <f>O8-'Sales 2020'!O7</f>
        <v/>
      </c>
      <c r="P41" s="432">
        <f>P8-'Sales 2020'!P7</f>
        <v/>
      </c>
      <c r="Q41" s="432">
        <f>Q8-'Sales 2020'!Q7</f>
        <v/>
      </c>
      <c r="R41" s="432">
        <f>R8-'Sales 2020'!R7</f>
        <v/>
      </c>
      <c r="S41" s="432">
        <f>S8-'Sales 2020'!S7</f>
        <v/>
      </c>
      <c r="T41" s="432">
        <f>T8-'Sales 2020'!T7</f>
        <v/>
      </c>
      <c r="U41" s="432">
        <f>U8-'Sales 2020'!U7</f>
        <v/>
      </c>
      <c r="V41" s="432">
        <f>V8-'Sales 2020'!V7</f>
        <v/>
      </c>
      <c r="W41" s="788">
        <f>SUM(K41:V41)</f>
        <v/>
      </c>
      <c r="X41" s="445">
        <f>W41/'Sales 2020'!W7</f>
        <v/>
      </c>
      <c r="Y41" s="790">
        <f>SUM(K41:P41)</f>
        <v/>
      </c>
      <c r="Z41" s="445" t="n"/>
      <c r="AD41" s="470" t="n">
        <v>43025</v>
      </c>
      <c r="AE41" s="1255" t="inlineStr">
        <is>
          <t xml:space="preserve">Richard Wardle </t>
        </is>
      </c>
      <c r="AF41" s="1255" t="inlineStr">
        <is>
          <t>20171017-1</t>
        </is>
      </c>
      <c r="AH41" s="1385" t="n">
        <v>200</v>
      </c>
      <c r="AI41" s="1255" t="inlineStr">
        <is>
          <t>Intermediates</t>
        </is>
      </c>
    </row>
    <row r="42" ht="13.5" customHeight="1" s="1232">
      <c r="B42" s="1271" t="inlineStr">
        <is>
          <t>The Heart of a Garden</t>
        </is>
      </c>
      <c r="C42" s="1271" t="inlineStr">
        <is>
          <t>Deals Won - Waiting £</t>
        </is>
      </c>
      <c r="D42" s="1292" t="n"/>
      <c r="E42" s="1296" t="n"/>
      <c r="F42" s="1297" t="n"/>
      <c r="I42" s="1333" t="inlineStr">
        <is>
          <t>4. Pick n Mix Out</t>
        </is>
      </c>
      <c r="J42" s="431" t="n"/>
      <c r="K42" s="432">
        <f>K9-'Sales 2020'!K8</f>
        <v/>
      </c>
      <c r="L42" s="432">
        <f>L9-'Sales 2020'!L8</f>
        <v/>
      </c>
      <c r="M42" s="432">
        <f>M9-'Sales 2020'!M8</f>
        <v/>
      </c>
      <c r="N42" s="432">
        <f>N9-'Sales 2020'!N8</f>
        <v/>
      </c>
      <c r="O42" s="432">
        <f>O9-'Sales 2020'!O8</f>
        <v/>
      </c>
      <c r="P42" s="432">
        <f>P9-'Sales 2020'!P8</f>
        <v/>
      </c>
      <c r="Q42" s="432">
        <f>Q9-'Sales 2020'!Q8</f>
        <v/>
      </c>
      <c r="R42" s="432">
        <f>R9-'Sales 2020'!R8</f>
        <v/>
      </c>
      <c r="S42" s="432">
        <f>S9-'Sales 2020'!S8</f>
        <v/>
      </c>
      <c r="T42" s="432">
        <f>T9-'Sales 2020'!T8</f>
        <v/>
      </c>
      <c r="U42" s="432">
        <f>U9-'Sales 2020'!U8</f>
        <v/>
      </c>
      <c r="V42" s="432">
        <f>V9-'Sales 2020'!V8</f>
        <v/>
      </c>
      <c r="W42" s="788">
        <f>SUM(K42:V42)</f>
        <v/>
      </c>
      <c r="X42" s="445">
        <f>W42/'Sales 2020'!W8</f>
        <v/>
      </c>
      <c r="Y42" s="790">
        <f>SUM(K42:P42)</f>
        <v/>
      </c>
      <c r="Z42" s="445" t="n"/>
      <c r="AD42" s="470" t="n">
        <v>43027</v>
      </c>
      <c r="AE42" s="1255" t="inlineStr">
        <is>
          <t>Helen Finch</t>
        </is>
      </c>
      <c r="AF42" s="1255" t="inlineStr">
        <is>
          <t>20171019-1</t>
        </is>
      </c>
      <c r="AG42" s="1389" t="inlineStr">
        <is>
          <t>149191</t>
        </is>
      </c>
      <c r="AH42" s="1385" t="n">
        <v>150</v>
      </c>
      <c r="AI42" s="1373" t="inlineStr">
        <is>
          <t>5wk Course</t>
        </is>
      </c>
    </row>
    <row r="43" ht="13.5" customHeight="1" s="1232">
      <c r="B43" s="1294" t="n"/>
      <c r="C43" s="1271" t="n"/>
      <c r="E43" s="1296" t="n"/>
      <c r="F43" s="1297" t="n"/>
      <c r="I43" s="1333" t="inlineStr">
        <is>
          <t>5. Mentoring</t>
        </is>
      </c>
      <c r="J43" s="431" t="n"/>
      <c r="K43" s="432">
        <f>K10-'Sales 2020'!K9</f>
        <v/>
      </c>
      <c r="L43" s="432">
        <f>L10-'Sales 2020'!L9</f>
        <v/>
      </c>
      <c r="M43" s="432">
        <f>M10-'Sales 2020'!M9</f>
        <v/>
      </c>
      <c r="N43" s="432">
        <f>N10-'Sales 2020'!N9</f>
        <v/>
      </c>
      <c r="O43" s="432">
        <f>O10-'Sales 2020'!O9</f>
        <v/>
      </c>
      <c r="P43" s="432">
        <f>P10-'Sales 2020'!P9</f>
        <v/>
      </c>
      <c r="Q43" s="432">
        <f>Q10-'Sales 2020'!Q9</f>
        <v/>
      </c>
      <c r="R43" s="432">
        <f>R10-'Sales 2020'!R9</f>
        <v/>
      </c>
      <c r="S43" s="432">
        <f>S10-'Sales 2020'!S9</f>
        <v/>
      </c>
      <c r="T43" s="432">
        <f>T10-'Sales 2020'!T9</f>
        <v/>
      </c>
      <c r="U43" s="432">
        <f>U10-'Sales 2020'!U9</f>
        <v/>
      </c>
      <c r="V43" s="432">
        <f>V10-'Sales 2020'!V9</f>
        <v/>
      </c>
      <c r="W43" s="788">
        <f>SUM(K43:V43)</f>
        <v/>
      </c>
      <c r="X43" s="445">
        <f>W43/'Sales 2020'!W9</f>
        <v/>
      </c>
      <c r="Y43" s="790">
        <f>SUM(K43:P43)</f>
        <v/>
      </c>
      <c r="Z43" s="445" t="n"/>
      <c r="AD43" s="470" t="n"/>
      <c r="AG43" s="1389" t="n"/>
      <c r="AH43" s="1385" t="n"/>
      <c r="AI43" s="1373" t="n"/>
    </row>
    <row r="44" ht="13.5" customHeight="1" s="1232">
      <c r="B44" s="1271" t="n"/>
      <c r="C44" s="1271" t="n"/>
      <c r="E44" s="1296" t="n"/>
      <c r="F44" s="1297" t="n"/>
      <c r="I44" s="1334" t="inlineStr">
        <is>
          <t>6. 1-2-1</t>
        </is>
      </c>
      <c r="J44" s="431" t="n"/>
      <c r="K44" s="432">
        <f>K11-'Sales 2020'!K10</f>
        <v/>
      </c>
      <c r="L44" s="432">
        <f>L11-'Sales 2020'!L10</f>
        <v/>
      </c>
      <c r="M44" s="432">
        <f>M11-'Sales 2020'!M10</f>
        <v/>
      </c>
      <c r="N44" s="432">
        <f>N11-'Sales 2020'!N10</f>
        <v/>
      </c>
      <c r="O44" s="432">
        <f>O11-'Sales 2020'!O10</f>
        <v/>
      </c>
      <c r="P44" s="432">
        <f>P11-'Sales 2020'!P10</f>
        <v/>
      </c>
      <c r="Q44" s="432">
        <f>Q11-'Sales 2020'!Q10</f>
        <v/>
      </c>
      <c r="R44" s="432">
        <f>R11-'Sales 2020'!R10</f>
        <v/>
      </c>
      <c r="S44" s="432">
        <f>S11-'Sales 2020'!S10</f>
        <v/>
      </c>
      <c r="T44" s="432">
        <f>T11-'Sales 2020'!T10</f>
        <v/>
      </c>
      <c r="U44" s="432">
        <f>U11-'Sales 2020'!U10</f>
        <v/>
      </c>
      <c r="V44" s="432">
        <f>V11-'Sales 2020'!V10</f>
        <v/>
      </c>
      <c r="W44" s="788">
        <f>SUM(K44:V44)</f>
        <v/>
      </c>
      <c r="X44" s="445">
        <f>W44/'Sales 2020'!W10</f>
        <v/>
      </c>
      <c r="Y44" s="790">
        <f>SUM(K44:P44)</f>
        <v/>
      </c>
      <c r="Z44" s="445" t="n"/>
      <c r="AD44" s="470" t="n">
        <v>43049</v>
      </c>
      <c r="AE44" s="1260" t="inlineStr">
        <is>
          <t>Jodie Child</t>
        </is>
      </c>
      <c r="AF44" s="1260" t="inlineStr">
        <is>
          <t>20171110-1</t>
        </is>
      </c>
      <c r="AG44" s="1282" t="inlineStr">
        <is>
          <t>150680</t>
        </is>
      </c>
      <c r="AH44" s="1385" t="n">
        <v>200</v>
      </c>
      <c r="AI44" s="1373" t="inlineStr">
        <is>
          <t>5wk Course</t>
        </is>
      </c>
    </row>
    <row r="45" ht="13.5" customHeight="1" s="1232">
      <c r="B45" s="1271" t="n"/>
      <c r="C45" s="1271" t="n"/>
      <c r="E45" s="1296" t="n"/>
      <c r="F45" s="1297" t="n"/>
      <c r="I45" s="1334" t="inlineStr">
        <is>
          <t>7. Gift Vouchers Inc</t>
        </is>
      </c>
      <c r="J45" s="431" t="n"/>
      <c r="K45" s="432">
        <f>K12-'Sales 2020'!K11</f>
        <v/>
      </c>
      <c r="L45" s="432">
        <f>L12-'Sales 2020'!L11</f>
        <v/>
      </c>
      <c r="M45" s="432">
        <f>M12-'Sales 2020'!M11</f>
        <v/>
      </c>
      <c r="N45" s="432">
        <f>N12-'Sales 2020'!N11</f>
        <v/>
      </c>
      <c r="O45" s="432">
        <f>O12-'Sales 2020'!O11</f>
        <v/>
      </c>
      <c r="P45" s="432">
        <f>P12-'Sales 2020'!P11</f>
        <v/>
      </c>
      <c r="Q45" s="432">
        <f>Q12-'Sales 2020'!Q11</f>
        <v/>
      </c>
      <c r="R45" s="432">
        <f>R12-'Sales 2020'!R11</f>
        <v/>
      </c>
      <c r="S45" s="432">
        <f>S12-'Sales 2020'!S11</f>
        <v/>
      </c>
      <c r="T45" s="432">
        <f>T12-'Sales 2020'!T11</f>
        <v/>
      </c>
      <c r="U45" s="432">
        <f>U12-'Sales 2020'!U11</f>
        <v/>
      </c>
      <c r="V45" s="432">
        <f>V12-'Sales 2020'!V11</f>
        <v/>
      </c>
      <c r="W45" s="788">
        <f>SUM(K45:V45)</f>
        <v/>
      </c>
      <c r="X45" s="445">
        <f>W45/'Sales 2020'!W11</f>
        <v/>
      </c>
      <c r="Y45" s="790">
        <f>SUM(K45:P45)</f>
        <v/>
      </c>
      <c r="Z45" s="445" t="n"/>
      <c r="AD45" s="470" t="n"/>
      <c r="AE45" s="1260" t="n"/>
      <c r="AF45" s="1260" t="n"/>
      <c r="AG45" s="1282" t="n"/>
      <c r="AH45" s="1385" t="n"/>
      <c r="AI45" s="1373" t="n"/>
    </row>
    <row r="46" ht="13.5" customHeight="1" s="1232">
      <c r="B46" s="1271" t="inlineStr">
        <is>
          <t>Julia</t>
        </is>
      </c>
      <c r="C46" s="1271" t="inlineStr">
        <is>
          <t>Deals Won - Waiting £</t>
        </is>
      </c>
      <c r="E46" s="1296" t="n">
        <v>360</v>
      </c>
      <c r="F46" s="1297" t="inlineStr">
        <is>
          <t>4 x 2hrs 1-2-1</t>
        </is>
      </c>
      <c r="I46" s="1334" t="inlineStr">
        <is>
          <t>8. Gift Vouchers Out</t>
        </is>
      </c>
      <c r="J46" s="431" t="n"/>
      <c r="K46" s="432">
        <f>K13-'Sales 2020'!K12</f>
        <v/>
      </c>
      <c r="L46" s="432">
        <f>L13-'Sales 2020'!L12</f>
        <v/>
      </c>
      <c r="M46" s="432">
        <f>M13-'Sales 2020'!M12</f>
        <v/>
      </c>
      <c r="N46" s="432">
        <f>N13-'Sales 2020'!N12</f>
        <v/>
      </c>
      <c r="O46" s="432">
        <f>O13-'Sales 2020'!O12</f>
        <v/>
      </c>
      <c r="P46" s="432">
        <f>P13-'Sales 2020'!P12</f>
        <v/>
      </c>
      <c r="Q46" s="432">
        <f>Q13-'Sales 2020'!Q12</f>
        <v/>
      </c>
      <c r="R46" s="432">
        <f>R13-'Sales 2020'!R12</f>
        <v/>
      </c>
      <c r="S46" s="432">
        <f>S13-'Sales 2020'!S12</f>
        <v/>
      </c>
      <c r="T46" s="432">
        <f>T13-'Sales 2020'!T12</f>
        <v/>
      </c>
      <c r="U46" s="432">
        <f>U13-'Sales 2020'!U12</f>
        <v/>
      </c>
      <c r="V46" s="432">
        <f>V13-'Sales 2020'!V12</f>
        <v/>
      </c>
      <c r="W46" s="788">
        <f>SUM(K46:V46)</f>
        <v/>
      </c>
      <c r="X46" s="445">
        <f>W46/'Sales 2020'!W12</f>
        <v/>
      </c>
      <c r="Y46" s="790">
        <f>SUM(K46:P46)</f>
        <v/>
      </c>
      <c r="Z46" s="445" t="n"/>
      <c r="AD46" s="470" t="n"/>
      <c r="AE46" s="1260" t="n"/>
      <c r="AF46" s="1260" t="n"/>
      <c r="AG46" s="1282" t="n"/>
      <c r="AH46" s="1385" t="n"/>
      <c r="AI46" s="1373" t="n"/>
    </row>
    <row r="47" ht="13.5" customHeight="1" s="1232">
      <c r="B47" s="1271" t="n"/>
      <c r="C47" s="1271" t="n"/>
      <c r="E47" s="1296" t="n"/>
      <c r="F47" s="1297" t="n"/>
      <c r="I47" s="1334" t="inlineStr">
        <is>
          <t>9. Prints &amp; Royalties</t>
        </is>
      </c>
      <c r="J47" s="431" t="n"/>
      <c r="K47" s="432">
        <f>K14-'Sales 2020'!K13</f>
        <v/>
      </c>
      <c r="L47" s="432">
        <f>L14-'Sales 2020'!L13</f>
        <v/>
      </c>
      <c r="M47" s="432">
        <f>M14-'Sales 2020'!M13</f>
        <v/>
      </c>
      <c r="N47" s="432">
        <f>N14-'Sales 2020'!N13</f>
        <v/>
      </c>
      <c r="O47" s="432">
        <f>O14-'Sales 2020'!O13</f>
        <v/>
      </c>
      <c r="P47" s="432">
        <f>P14-'Sales 2020'!P13</f>
        <v/>
      </c>
      <c r="Q47" s="432">
        <f>Q14-'Sales 2020'!Q13</f>
        <v/>
      </c>
      <c r="R47" s="432">
        <f>R14-'Sales 2020'!R13</f>
        <v/>
      </c>
      <c r="S47" s="432">
        <f>S14-'Sales 2020'!S13</f>
        <v/>
      </c>
      <c r="T47" s="432">
        <f>T14-'Sales 2020'!T13</f>
        <v/>
      </c>
      <c r="U47" s="432">
        <f>U14-'Sales 2020'!U13</f>
        <v/>
      </c>
      <c r="V47" s="432">
        <f>V14-'Sales 2020'!V13</f>
        <v/>
      </c>
      <c r="W47" s="788">
        <f>SUM(K47:V47)</f>
        <v/>
      </c>
      <c r="X47" s="445">
        <f>W47/'Sales 2020'!W13</f>
        <v/>
      </c>
      <c r="Y47" s="790">
        <f>SUM(K47:P47)</f>
        <v/>
      </c>
      <c r="Z47" s="445" t="n"/>
      <c r="AD47" s="470" t="n"/>
      <c r="AE47" s="1260" t="n"/>
      <c r="AF47" s="1260" t="n"/>
      <c r="AG47" s="1282" t="n"/>
      <c r="AH47" s="1385" t="n"/>
      <c r="AI47" s="1373" t="n"/>
    </row>
    <row r="48" ht="13.5" customHeight="1" s="1232">
      <c r="B48" s="1271" t="n"/>
      <c r="C48" s="1271" t="n"/>
      <c r="E48" s="1296" t="n"/>
      <c r="F48" s="1297" t="n"/>
      <c r="I48" s="1334" t="inlineStr">
        <is>
          <t>10 Commissions</t>
        </is>
      </c>
      <c r="J48" s="431" t="n"/>
      <c r="K48" s="432">
        <f>K15-'Sales 2020'!K14</f>
        <v/>
      </c>
      <c r="L48" s="432">
        <f>L15-'Sales 2020'!L14</f>
        <v/>
      </c>
      <c r="M48" s="432">
        <f>M15-'Sales 2020'!M14</f>
        <v/>
      </c>
      <c r="N48" s="432">
        <f>N15-'Sales 2020'!N14</f>
        <v/>
      </c>
      <c r="O48" s="432">
        <f>O15-'Sales 2020'!O14</f>
        <v/>
      </c>
      <c r="P48" s="432">
        <f>P15-'Sales 2020'!P14</f>
        <v/>
      </c>
      <c r="Q48" s="432">
        <f>Q15-'Sales 2020'!Q14</f>
        <v/>
      </c>
      <c r="R48" s="432">
        <f>R15-'Sales 2020'!R14</f>
        <v/>
      </c>
      <c r="S48" s="432">
        <f>S15-'Sales 2020'!S14</f>
        <v/>
      </c>
      <c r="T48" s="432">
        <f>T15-'Sales 2020'!T14</f>
        <v/>
      </c>
      <c r="U48" s="432">
        <f>U15-'Sales 2020'!U14</f>
        <v/>
      </c>
      <c r="V48" s="432">
        <f>V15-'Sales 2020'!V14</f>
        <v/>
      </c>
      <c r="W48" s="788">
        <f>SUM(K48:V48)</f>
        <v/>
      </c>
      <c r="X48" s="445">
        <f>W48/'Sales 2020'!W14</f>
        <v/>
      </c>
      <c r="Y48" s="790">
        <f>SUM(K48:P48)</f>
        <v/>
      </c>
      <c r="Z48" s="445" t="n"/>
      <c r="AD48" s="470" t="n"/>
      <c r="AE48" s="1260" t="n"/>
      <c r="AF48" s="1260" t="n"/>
      <c r="AG48" s="1282" t="n"/>
      <c r="AH48" s="1385" t="n"/>
      <c r="AI48" s="1373" t="n"/>
    </row>
    <row r="49" ht="13.15" customHeight="1" s="1232" thickBot="1">
      <c r="I49" s="1334" t="inlineStr">
        <is>
          <t>11. Other</t>
        </is>
      </c>
      <c r="J49" s="431" t="n"/>
      <c r="K49" s="432">
        <f>K16-'Sales 2020'!K15</f>
        <v/>
      </c>
      <c r="L49" s="432">
        <f>L16-'Sales 2020'!L15</f>
        <v/>
      </c>
      <c r="M49" s="432">
        <f>M16-'Sales 2020'!M15</f>
        <v/>
      </c>
      <c r="N49" s="432">
        <f>N16-'Sales 2020'!N15</f>
        <v/>
      </c>
      <c r="O49" s="432">
        <f>O16-'Sales 2020'!O15</f>
        <v/>
      </c>
      <c r="P49" s="432">
        <f>P16-'Sales 2020'!P15</f>
        <v/>
      </c>
      <c r="Q49" s="432">
        <f>Q16-'Sales 2020'!Q15</f>
        <v/>
      </c>
      <c r="R49" s="432">
        <f>R16-'Sales 2020'!R15</f>
        <v/>
      </c>
      <c r="S49" s="432">
        <f>S16-'Sales 2020'!S15</f>
        <v/>
      </c>
      <c r="T49" s="432">
        <f>T16-'Sales 2020'!T15</f>
        <v/>
      </c>
      <c r="U49" s="432">
        <f>U16-'Sales 2020'!U15</f>
        <v/>
      </c>
      <c r="V49" s="432">
        <f>V16-'Sales 2020'!V15</f>
        <v/>
      </c>
      <c r="W49" s="788">
        <f>SUM(K49:V49)</f>
        <v/>
      </c>
      <c r="X49" s="445">
        <f>W49/'Sales 2020'!W15</f>
        <v/>
      </c>
      <c r="Y49" s="790">
        <f>SUM(K49:P49)</f>
        <v/>
      </c>
      <c r="Z49" s="445" t="n"/>
      <c r="AD49" s="470" t="n">
        <v>43054</v>
      </c>
      <c r="AE49" s="1255" t="inlineStr">
        <is>
          <t>Sayed Nazir - ELS</t>
        </is>
      </c>
      <c r="AF49" s="1255" t="inlineStr">
        <is>
          <t>20171115-1</t>
        </is>
      </c>
      <c r="AG49" s="1282" t="inlineStr">
        <is>
          <t>220208</t>
        </is>
      </c>
      <c r="AH49" s="1385" t="n">
        <v>200</v>
      </c>
      <c r="AI49" s="1373" t="inlineStr">
        <is>
          <t>5wk Course</t>
        </is>
      </c>
    </row>
    <row r="50" ht="13.9" customHeight="1" s="1232" thickBot="1" thickTop="1">
      <c r="I50" s="1335" t="inlineStr">
        <is>
          <t>Totals</t>
        </is>
      </c>
      <c r="J50" s="438" t="n"/>
      <c r="K50" s="587">
        <f>SUM(K39:K49)</f>
        <v/>
      </c>
      <c r="L50" s="587">
        <f>SUM(L39:L49)</f>
        <v/>
      </c>
      <c r="M50" s="587">
        <f>SUM(M39:M49)</f>
        <v/>
      </c>
      <c r="N50" s="587">
        <f>SUM(N39:N49)</f>
        <v/>
      </c>
      <c r="O50" s="587">
        <f>SUM(O39:O49)</f>
        <v/>
      </c>
      <c r="P50" s="587">
        <f>SUM(P39:P49)</f>
        <v/>
      </c>
      <c r="Q50" s="587">
        <f>SUM(Q39:Q49)</f>
        <v/>
      </c>
      <c r="R50" s="587">
        <f>SUM(R39:R49)</f>
        <v/>
      </c>
      <c r="S50" s="587">
        <f>SUM(S39:S49)</f>
        <v/>
      </c>
      <c r="T50" s="587">
        <f>SUM(T39:T49)</f>
        <v/>
      </c>
      <c r="U50" s="587">
        <f>SUM(U39:U49)</f>
        <v/>
      </c>
      <c r="V50" s="587">
        <f>SUM(V39:V49)</f>
        <v/>
      </c>
      <c r="W50" s="789">
        <f>SUM(W39:W49)</f>
        <v/>
      </c>
      <c r="X50" s="445">
        <f>W50/'Sales 2020'!W16</f>
        <v/>
      </c>
      <c r="Y50" s="790">
        <f>SUM(K50:P50)</f>
        <v/>
      </c>
      <c r="Z50" s="445" t="n"/>
      <c r="AD50" s="470" t="n">
        <v>43057</v>
      </c>
      <c r="AE50" s="1260" t="inlineStr">
        <is>
          <t>Jonathan Mee - ELS</t>
        </is>
      </c>
      <c r="AF50" s="1260" t="inlineStr">
        <is>
          <t>20171118-1</t>
        </is>
      </c>
      <c r="AG50" s="1282" t="inlineStr">
        <is>
          <t>149563</t>
        </is>
      </c>
      <c r="AH50" s="1385" t="n">
        <v>135</v>
      </c>
      <c r="AI50" s="1260" t="inlineStr">
        <is>
          <t>TBA</t>
        </is>
      </c>
    </row>
    <row r="51" ht="13.15" customHeight="1" s="1232" thickTop="1">
      <c r="AD51" s="470" t="n">
        <v>43066</v>
      </c>
      <c r="AE51" s="1255" t="inlineStr">
        <is>
          <t>Philip Webster -ELS</t>
        </is>
      </c>
      <c r="AF51" s="1255" t="inlineStr">
        <is>
          <t>20171127-1</t>
        </is>
      </c>
      <c r="AG51" s="1282" t="inlineStr">
        <is>
          <t>151809</t>
        </is>
      </c>
      <c r="AH51" s="1385" t="n">
        <v>200</v>
      </c>
      <c r="AI51" s="1282" t="inlineStr">
        <is>
          <t>1-2-1 TBA</t>
        </is>
      </c>
    </row>
    <row r="52" ht="15" customHeight="1" s="1232">
      <c r="I52" s="1336" t="inlineStr">
        <is>
          <t>Tuition Categories</t>
        </is>
      </c>
      <c r="J52" s="1330" t="inlineStr">
        <is>
          <t>Units</t>
        </is>
      </c>
      <c r="K52" s="1332" t="inlineStr">
        <is>
          <t>Jan</t>
        </is>
      </c>
      <c r="L52" s="1332" t="inlineStr">
        <is>
          <t>Feb</t>
        </is>
      </c>
      <c r="M52" s="1332" t="inlineStr">
        <is>
          <t>Mar</t>
        </is>
      </c>
      <c r="N52" s="1332" t="inlineStr">
        <is>
          <t>Apr</t>
        </is>
      </c>
      <c r="O52" s="1332" t="inlineStr">
        <is>
          <t>May</t>
        </is>
      </c>
      <c r="P52" s="1332" t="inlineStr">
        <is>
          <t>Jun</t>
        </is>
      </c>
      <c r="Q52" s="1332" t="inlineStr">
        <is>
          <t>Jul</t>
        </is>
      </c>
      <c r="R52" s="1332" t="inlineStr">
        <is>
          <t>Aug</t>
        </is>
      </c>
      <c r="S52" s="1332" t="inlineStr">
        <is>
          <t>Sep</t>
        </is>
      </c>
      <c r="T52" s="1332" t="inlineStr">
        <is>
          <t>Oct</t>
        </is>
      </c>
      <c r="U52" s="1332" t="inlineStr">
        <is>
          <t>Nov</t>
        </is>
      </c>
      <c r="V52" s="1332" t="inlineStr">
        <is>
          <t>Dec</t>
        </is>
      </c>
      <c r="W52" s="1332" t="inlineStr">
        <is>
          <t>Year</t>
        </is>
      </c>
      <c r="AD52" s="470" t="n">
        <v>43066</v>
      </c>
      <c r="AE52" s="1255" t="inlineStr">
        <is>
          <t>James Braithwaite ELS</t>
        </is>
      </c>
      <c r="AF52" s="1255" t="inlineStr">
        <is>
          <t>20171127-2</t>
        </is>
      </c>
      <c r="AG52" s="1282" t="inlineStr">
        <is>
          <t>151176</t>
        </is>
      </c>
      <c r="AH52" s="1385" t="n">
        <v>150</v>
      </c>
      <c r="AI52" s="1260" t="inlineStr">
        <is>
          <t>Hartland Jan</t>
        </is>
      </c>
    </row>
    <row r="53">
      <c r="I53" s="1333" t="inlineStr">
        <is>
          <t>1. Courses/masterclasses</t>
        </is>
      </c>
      <c r="J53" s="431" t="n"/>
      <c r="K53" s="432">
        <f>COUNTIFS($A$150:$A$635,"&gt;31/12/2020",$A$150:$A$635,"&lt;1/2/2021",$C$150:$C$635,I53)</f>
        <v/>
      </c>
      <c r="L53" s="432">
        <f>COUNTIFS($A$150:$A$635,"&gt;31/1/2021",$A$150:$A$635,"&lt;1/3/2021",$C$150:$C$635,$I53)</f>
        <v/>
      </c>
      <c r="M53" s="432">
        <f>COUNTIFS($A$150:$A$635,"&gt;28/2/2021",$A$150:$A$635,"&lt;1/4/2021",$C$150:$C$635,$I53)</f>
        <v/>
      </c>
      <c r="N53" s="432">
        <f>COUNTIFS($A$150:$A$635,"&gt;31/3/2021",$A$150:$A$635,"&lt;1/5/2021",$C$150:$C$635,$I53)</f>
        <v/>
      </c>
      <c r="O53" s="432">
        <f>COUNTIFS($A$150:$A$635,"&gt;30/4/2021",$A$150:$A$635,"&lt;1/6/2021",$C$150:$C$635,$I53)</f>
        <v/>
      </c>
      <c r="P53" s="432">
        <f>COUNTIFS($A$150:$A$635,"&gt;31/5/2021",$A$150:$A$635,"&lt;1/7/2021",$C$150:$C$635,$I53)</f>
        <v/>
      </c>
      <c r="Q53" s="432">
        <f>COUNTIFS($A$150:$A$635,"&gt;30/6/2021",$A$150:$A$635,"&lt;1/8/2021",$C$150:$C$635,$I53)</f>
        <v/>
      </c>
      <c r="R53" s="432">
        <f>COUNTIFS($A$150:$A$635,"&gt;31/7/2021",$A$150:$A$635,"&lt;1/9/2021",$C$150:$C$635,$I53)</f>
        <v/>
      </c>
      <c r="S53" s="432">
        <f>COUNTIFS($A$150:$A$635,"&gt;31/8/2021",$A$150:$A$635,"&lt;1/10/2021",$C$150:$C$635,$I53)</f>
        <v/>
      </c>
      <c r="T53" s="432">
        <f>COUNTIFS($A$150:$A$635,"&gt;30/9/2021",$A$150:$A$635,"&lt;1/11/2021",$C$150:$C$635,$I53)</f>
        <v/>
      </c>
      <c r="U53" s="432">
        <f>COUNTIFS($A$150:$A$635,"&gt;31/10/2021",$A$150:$A$635,"&lt;1/12/2021",$C$150:$C$635,$I53)</f>
        <v/>
      </c>
      <c r="V53" s="432">
        <f>COUNTIFS($A$150:$A$635,"&gt;30/11/2021",$A$150:$A$635,"&lt;1/1/2022",$C$150:$C$635,$I53)</f>
        <v/>
      </c>
      <c r="W53" s="431">
        <f>SUM(K53:V53)</f>
        <v/>
      </c>
      <c r="AD53" s="470" t="n">
        <v>43066</v>
      </c>
      <c r="AE53" s="1255" t="inlineStr">
        <is>
          <t>Amundep Hothi - ELS</t>
        </is>
      </c>
      <c r="AF53" s="1260" t="inlineStr">
        <is>
          <t>20171127-3</t>
        </is>
      </c>
      <c r="AG53" s="1282" t="inlineStr">
        <is>
          <t>152835</t>
        </is>
      </c>
      <c r="AH53" s="1385" t="n">
        <v>200</v>
      </c>
      <c r="AI53" s="1373" t="inlineStr">
        <is>
          <t>5wk Course</t>
        </is>
      </c>
    </row>
    <row r="54">
      <c r="I54" s="1333" t="inlineStr">
        <is>
          <t>2. Workshops</t>
        </is>
      </c>
      <c r="J54" s="431" t="n"/>
      <c r="K54" s="432">
        <f>COUNTIFS($A$150:$A$635,"&gt;31/12/2020",$A$150:$A$635,"&lt;1/2/2021",$C$150:$C$635,I54)</f>
        <v/>
      </c>
      <c r="L54" s="432">
        <f>COUNTIFS($A$150:$A$635,"&gt;31/1/2021",$A$150:$A$635,"&lt;1/3/2021",$C$150:$C$635,$I54)</f>
        <v/>
      </c>
      <c r="M54" s="432">
        <f>COUNTIFS($A$150:$A$635,"&gt;28/2/2021",$A$150:$A$635,"&lt;1/4/2021",$C$150:$C$635,$I54)</f>
        <v/>
      </c>
      <c r="N54" s="432">
        <f>COUNTIFS($A$150:$A$635,"&gt;31/3/2021",$A$150:$A$635,"&lt;1/5/2021",$C$150:$C$635,$I54)</f>
        <v/>
      </c>
      <c r="O54" s="432">
        <f>COUNTIFS($A$150:$A$635,"&gt;30/4/2021",$A$150:$A$635,"&lt;1/6/2021",$C$150:$C$635,$I54)</f>
        <v/>
      </c>
      <c r="P54" s="432">
        <f>COUNTIFS($A$150:$A$635,"&gt;31/5/2021",$A$150:$A$635,"&lt;1/7/2021",$C$150:$C$635,$I54)</f>
        <v/>
      </c>
      <c r="Q54" s="432">
        <f>COUNTIFS($A$150:$A$635,"&gt;30/6/2021",$A$150:$A$635,"&lt;1/8/2021",$C$150:$C$635,$I54)</f>
        <v/>
      </c>
      <c r="R54" s="432">
        <f>COUNTIFS($A$150:$A$635,"&gt;31/7/2021",$A$150:$A$635,"&lt;1/9/2021",$C$150:$C$635,$I54)</f>
        <v/>
      </c>
      <c r="S54" s="432">
        <f>COUNTIFS($A$150:$A$635,"&gt;31/8/2021",$A$150:$A$635,"&lt;1/10/2021",$C$150:$C$635,$I54)</f>
        <v/>
      </c>
      <c r="T54" s="432">
        <f>COUNTIFS($A$150:$A$635,"&gt;30/9/2021",$A$150:$A$635,"&lt;1/11/2021",$C$150:$C$635,$I54)</f>
        <v/>
      </c>
      <c r="U54" s="432">
        <f>COUNTIFS($A$150:$A$635,"&gt;31/10/2021",$A$150:$A$635,"&lt;1/12/2021",$C$150:$C$635,$I54)</f>
        <v/>
      </c>
      <c r="V54" s="432">
        <f>COUNTIFS($A$150:$A$635,"&gt;30/11/2021",$A$150:$A$635,"&lt;1/1/2022",$C$150:$C$635,$I54)</f>
        <v/>
      </c>
      <c r="W54" s="431">
        <f>SUM(K54:V54)</f>
        <v/>
      </c>
      <c r="AD54" s="470" t="n">
        <v>43068</v>
      </c>
      <c r="AE54" s="1255" t="inlineStr">
        <is>
          <t>Preetha Luther - ELS</t>
        </is>
      </c>
      <c r="AF54" s="1255" t="inlineStr">
        <is>
          <t>20171129-1</t>
        </is>
      </c>
      <c r="AG54" s="1282" t="inlineStr">
        <is>
          <t>151289</t>
        </is>
      </c>
      <c r="AH54" s="1385" t="n">
        <v>200</v>
      </c>
      <c r="AI54" s="1260" t="inlineStr">
        <is>
          <t>5wk Course</t>
        </is>
      </c>
    </row>
    <row r="55">
      <c r="I55" s="1333" t="inlineStr">
        <is>
          <t>3. Pick n Mix Inc</t>
        </is>
      </c>
      <c r="J55" s="431" t="n"/>
      <c r="K55" s="432">
        <f>COUNTIFS($A$150:$A$635,"&gt;31/12/2020",$A$150:$A$635,"&lt;1/2/2021",$C$150:$C$635,I55)</f>
        <v/>
      </c>
      <c r="L55" s="432">
        <f>COUNTIFS($A$150:$A$635,"&gt;31/1/2021",$A$150:$A$635,"&lt;1/3/2021",$C$150:$C$635,$I55)</f>
        <v/>
      </c>
      <c r="M55" s="432">
        <f>COUNTIFS($A$150:$A$635,"&gt;28/2/2021",$A$150:$A$635,"&lt;1/4/2021",$C$150:$C$635,$I55)</f>
        <v/>
      </c>
      <c r="N55" s="432">
        <f>COUNTIFS($A$150:$A$635,"&gt;31/3/2021",$A$150:$A$635,"&lt;1/5/2021",$C$150:$C$635,$I55)</f>
        <v/>
      </c>
      <c r="O55" s="432">
        <f>COUNTIFS($A$150:$A$635,"&gt;30/4/2021",$A$150:$A$635,"&lt;1/6/2021",$C$150:$C$635,$I55)</f>
        <v/>
      </c>
      <c r="P55" s="432">
        <f>COUNTIFS($A$150:$A$635,"&gt;31/5/2021",$A$150:$A$635,"&lt;1/7/2021",$C$150:$C$635,$I55)</f>
        <v/>
      </c>
      <c r="Q55" s="432">
        <f>COUNTIFS($A$150:$A$635,"&gt;30/6/2021",$A$150:$A$635,"&lt;1/8/2021",$C$150:$C$635,$I55)</f>
        <v/>
      </c>
      <c r="R55" s="432">
        <f>COUNTIFS($A$150:$A$635,"&gt;31/7/2021",$A$150:$A$635,"&lt;1/9/2021",$C$150:$C$635,$I55)</f>
        <v/>
      </c>
      <c r="S55" s="432">
        <f>COUNTIFS($A$150:$A$635,"&gt;31/8/2021",$A$150:$A$635,"&lt;1/10/2021",$C$150:$C$635,$I55)</f>
        <v/>
      </c>
      <c r="T55" s="432">
        <f>COUNTIFS($A$150:$A$635,"&gt;30/9/2021",$A$150:$A$635,"&lt;1/11/2021",$C$150:$C$635,$I55)</f>
        <v/>
      </c>
      <c r="U55" s="432">
        <f>COUNTIFS($A$150:$A$635,"&gt;31/10/2021",$A$150:$A$635,"&lt;1/12/2021",$C$150:$C$635,$I55)</f>
        <v/>
      </c>
      <c r="V55" s="432">
        <f>COUNTIFS($A$150:$A$635,"&gt;30/11/2021",$A$150:$A$635,"&lt;1/1/2022",$C$150:$C$635,$I55)</f>
        <v/>
      </c>
      <c r="W55" s="431">
        <f>SUM(K55:V55)</f>
        <v/>
      </c>
      <c r="AD55" s="470" t="n"/>
      <c r="AG55" s="1282" t="n"/>
      <c r="AI55" s="1260" t="n"/>
    </row>
    <row r="56">
      <c r="I56" s="1333" t="inlineStr">
        <is>
          <t>4. Pick n Mix Out</t>
        </is>
      </c>
      <c r="J56" s="431" t="n"/>
      <c r="K56" s="432">
        <f>COUNTIFS($A$150:$A$635,"&gt;31/12/2020",$A$150:$A$635,"&lt;1/2/2021",$C$150:$C$635,I56)</f>
        <v/>
      </c>
      <c r="L56" s="432">
        <f>COUNTIFS($A$150:$A$635,"&gt;31/1/2021",$A$150:$A$635,"&lt;1/3/2021",$C$150:$C$635,$I56)</f>
        <v/>
      </c>
      <c r="M56" s="432">
        <f>COUNTIFS($A$150:$A$635,"&gt;28/2/2021",$A$150:$A$635,"&lt;1/4/2021",$C$150:$C$635,$I56)</f>
        <v/>
      </c>
      <c r="N56" s="432">
        <f>COUNTIFS($A$150:$A$635,"&gt;31/3/2021",$A$150:$A$635,"&lt;1/5/2021",$C$150:$C$635,$I56)</f>
        <v/>
      </c>
      <c r="O56" s="432">
        <f>COUNTIFS($A$150:$A$635,"&gt;30/4/2021",$A$150:$A$635,"&lt;1/6/2021",$C$150:$C$635,$I56)</f>
        <v/>
      </c>
      <c r="P56" s="432">
        <f>COUNTIFS($A$150:$A$635,"&gt;31/5/2021",$A$150:$A$635,"&lt;1/7/2021",$C$150:$C$635,$I56)</f>
        <v/>
      </c>
      <c r="Q56" s="432">
        <f>COUNTIFS($A$150:$A$635,"&gt;30/6/2021",$A$150:$A$635,"&lt;1/8/2021",$C$150:$C$635,$I56)</f>
        <v/>
      </c>
      <c r="R56" s="432">
        <f>COUNTIFS($A$150:$A$635,"&gt;31/7/2021",$A$150:$A$635,"&lt;1/9/2021",$C$150:$C$635,$I56)</f>
        <v/>
      </c>
      <c r="S56" s="432">
        <f>COUNTIFS($A$150:$A$635,"&gt;31/8/2021",$A$150:$A$635,"&lt;1/10/2021",$C$150:$C$635,$I56)</f>
        <v/>
      </c>
      <c r="T56" s="432">
        <f>COUNTIFS($A$150:$A$635,"&gt;30/9/2021",$A$150:$A$635,"&lt;1/11/2021",$C$150:$C$635,$I56)</f>
        <v/>
      </c>
      <c r="U56" s="432">
        <f>COUNTIFS($A$150:$A$635,"&gt;31/10/2021",$A$150:$A$635,"&lt;1/12/2021",$C$150:$C$635,$I56)</f>
        <v/>
      </c>
      <c r="V56" s="432">
        <f>COUNTIFS($A$150:$A$635,"&gt;30/11/2021",$A$150:$A$635,"&lt;1/1/2022",$C$150:$C$635,$I56)</f>
        <v/>
      </c>
      <c r="W56" s="431">
        <f>SUM(K56:V56)</f>
        <v/>
      </c>
      <c r="AD56" s="548" t="n">
        <v>43069</v>
      </c>
      <c r="AE56" s="1255" t="inlineStr">
        <is>
          <t>Hans Berg - ELS</t>
        </is>
      </c>
      <c r="AF56" s="1255" t="inlineStr">
        <is>
          <t>20171130-2</t>
        </is>
      </c>
      <c r="AG56" s="1282" t="inlineStr">
        <is>
          <t>149779</t>
        </is>
      </c>
      <c r="AH56" s="1385" t="n">
        <v>200</v>
      </c>
      <c r="AI56" s="1260" t="inlineStr">
        <is>
          <t>5wk Course</t>
        </is>
      </c>
    </row>
    <row r="57">
      <c r="I57" s="1333" t="inlineStr">
        <is>
          <t>5. Mentoring</t>
        </is>
      </c>
      <c r="J57" s="431" t="n"/>
      <c r="K57" s="432">
        <f>COUNTIFS($A$150:$A$635,"&gt;31/12/2020",$A$150:$A$635,"&lt;1/2/2021",$C$150:$C$635,I57)</f>
        <v/>
      </c>
      <c r="L57" s="432">
        <f>COUNTIFS($A$150:$A$635,"&gt;31/1/2021",$A$150:$A$635,"&lt;1/3/2021",$C$150:$C$635,$I57)</f>
        <v/>
      </c>
      <c r="M57" s="432">
        <f>COUNTIFS($A$150:$A$635,"&gt;28/2/2021",$A$150:$A$635,"&lt;1/4/2021",$C$150:$C$635,$I57)</f>
        <v/>
      </c>
      <c r="N57" s="432">
        <f>COUNTIFS($A$150:$A$635,"&gt;31/3/2021",$A$150:$A$635,"&lt;1/5/2021",$C$150:$C$635,$I57)</f>
        <v/>
      </c>
      <c r="O57" s="432">
        <f>COUNTIFS($A$150:$A$635,"&gt;30/4/2021",$A$150:$A$635,"&lt;1/6/2021",$C$150:$C$635,$I57)</f>
        <v/>
      </c>
      <c r="P57" s="432">
        <f>COUNTIFS($A$150:$A$635,"&gt;31/5/2021",$A$150:$A$635,"&lt;1/7/2021",$C$150:$C$635,$I57)</f>
        <v/>
      </c>
      <c r="Q57" s="432">
        <f>COUNTIFS($A$150:$A$635,"&gt;30/6/2021",$A$150:$A$635,"&lt;1/8/2021",$C$150:$C$635,$I57)</f>
        <v/>
      </c>
      <c r="R57" s="432">
        <f>COUNTIFS($A$150:$A$635,"&gt;31/7/2021",$A$150:$A$635,"&lt;1/9/2021",$C$150:$C$635,$I57)</f>
        <v/>
      </c>
      <c r="S57" s="432">
        <f>COUNTIFS($A$150:$A$635,"&gt;31/8/2021",$A$150:$A$635,"&lt;1/10/2021",$C$150:$C$635,$I57)</f>
        <v/>
      </c>
      <c r="T57" s="432">
        <f>COUNTIFS($A$150:$A$635,"&gt;30/9/2021",$A$150:$A$635,"&lt;1/11/2021",$C$150:$C$635,$I57)</f>
        <v/>
      </c>
      <c r="U57" s="432">
        <f>COUNTIFS($A$150:$A$635,"&gt;31/10/2021",$A$150:$A$635,"&lt;1/12/2021",$C$150:$C$635,$I57)</f>
        <v/>
      </c>
      <c r="V57" s="432">
        <f>COUNTIFS($A$150:$A$635,"&gt;30/11/2021",$A$150:$A$635,"&lt;1/1/2022",$C$150:$C$635,$I57)</f>
        <v/>
      </c>
      <c r="W57" s="431">
        <f>SUM(K57:V57)</f>
        <v/>
      </c>
      <c r="AD57" s="470" t="n">
        <v>43081</v>
      </c>
      <c r="AE57" s="1255" t="inlineStr">
        <is>
          <t>Scott Bremner</t>
        </is>
      </c>
      <c r="AF57" s="1260" t="inlineStr">
        <is>
          <t>20171212-1</t>
        </is>
      </c>
      <c r="AG57" s="1282" t="inlineStr">
        <is>
          <t>153282</t>
        </is>
      </c>
      <c r="AH57" s="1385" t="n">
        <v>200</v>
      </c>
      <c r="AI57" s="1274" t="inlineStr">
        <is>
          <t>LR Course</t>
        </is>
      </c>
    </row>
    <row r="58">
      <c r="I58" s="1334" t="inlineStr">
        <is>
          <t>6. 1-2-1</t>
        </is>
      </c>
      <c r="J58" s="431" t="n"/>
      <c r="K58" s="432">
        <f>COUNTIFS($A$150:$A$635,"&gt;31/12/2020",$A$150:$A$635,"&lt;1/2/2021",$C$150:$C$635,I58)</f>
        <v/>
      </c>
      <c r="L58" s="432">
        <f>COUNTIFS($A$150:$A$635,"&gt;31/1/2021",$A$150:$A$635,"&lt;1/3/2021",$C$150:$C$635,$I58)</f>
        <v/>
      </c>
      <c r="M58" s="432">
        <f>COUNTIFS($A$150:$A$635,"&gt;28/2/2021",$A$150:$A$635,"&lt;1/4/2021",$C$150:$C$635,$I58)</f>
        <v/>
      </c>
      <c r="N58" s="432">
        <f>COUNTIFS($A$150:$A$635,"&gt;31/3/2021",$A$150:$A$635,"&lt;1/5/2021",$C$150:$C$635,$I58)</f>
        <v/>
      </c>
      <c r="O58" s="432">
        <f>COUNTIFS($A$150:$A$635,"&gt;30/4/2021",$A$150:$A$635,"&lt;1/6/2021",$C$150:$C$635,$I58)</f>
        <v/>
      </c>
      <c r="P58" s="432">
        <f>COUNTIFS($A$150:$A$635,"&gt;31/5/2021",$A$150:$A$635,"&lt;1/7/2021",$C$150:$C$635,$I58)</f>
        <v/>
      </c>
      <c r="Q58" s="432">
        <f>COUNTIFS($A$150:$A$635,"&gt;30/6/2021",$A$150:$A$635,"&lt;1/8/2021",$C$150:$C$635,$I58)</f>
        <v/>
      </c>
      <c r="R58" s="432">
        <f>COUNTIFS($A$150:$A$635,"&gt;31/7/2021",$A$150:$A$635,"&lt;1/9/2021",$C$150:$C$635,$I58)</f>
        <v/>
      </c>
      <c r="S58" s="432">
        <f>COUNTIFS($A$150:$A$635,"&gt;31/8/2021",$A$150:$A$635,"&lt;1/10/2021",$C$150:$C$635,$I58)</f>
        <v/>
      </c>
      <c r="T58" s="432">
        <f>COUNTIFS($A$150:$A$635,"&gt;30/9/2021",$A$150:$A$635,"&lt;1/11/2021",$C$150:$C$635,$I58)</f>
        <v/>
      </c>
      <c r="U58" s="432">
        <f>COUNTIFS($A$150:$A$635,"&gt;31/10/2021",$A$150:$A$635,"&lt;1/12/2021",$C$150:$C$635,$I58)</f>
        <v/>
      </c>
      <c r="V58" s="432">
        <f>COUNTIFS($A$150:$A$635,"&gt;30/11/2021",$A$150:$A$635,"&lt;1/1/2022",$C$150:$C$635,$I58)</f>
        <v/>
      </c>
      <c r="W58" s="431">
        <f>SUM(K58:V58)</f>
        <v/>
      </c>
      <c r="AD58" s="470" t="n">
        <v>43090</v>
      </c>
      <c r="AE58" s="1260" t="inlineStr">
        <is>
          <t>Andrew D'Amico</t>
        </is>
      </c>
      <c r="AF58" s="1260" t="inlineStr">
        <is>
          <t>20171221-1</t>
        </is>
      </c>
      <c r="AG58" s="1282" t="inlineStr">
        <is>
          <t>153429</t>
        </is>
      </c>
      <c r="AH58" s="1385" t="n">
        <v>50</v>
      </c>
      <c r="AI58" s="1274" t="inlineStr">
        <is>
          <t>TBA</t>
        </is>
      </c>
    </row>
    <row r="59">
      <c r="I59" s="1334" t="inlineStr">
        <is>
          <t>7. Gift Vouchers Inc</t>
        </is>
      </c>
      <c r="J59" s="431" t="n"/>
      <c r="K59" s="432">
        <f>COUNTIFS($A$150:$A$635,"&gt;31/12/2020",$A$150:$A$635,"&lt;1/2/2021",$C$150:$C$635,I59)</f>
        <v/>
      </c>
      <c r="L59" s="432">
        <f>COUNTIFS($A$150:$A$635,"&gt;31/1/2021",$A$150:$A$635,"&lt;1/3/2021",$C$150:$C$635,$I59)</f>
        <v/>
      </c>
      <c r="M59" s="432">
        <f>COUNTIFS($A$150:$A$635,"&gt;28/2/2021",$A$150:$A$635,"&lt;1/4/2021",$C$150:$C$635,$I59)</f>
        <v/>
      </c>
      <c r="N59" s="432">
        <f>COUNTIFS($A$150:$A$635,"&gt;31/3/2021",$A$150:$A$635,"&lt;1/5/2021",$C$150:$C$635,$I59)</f>
        <v/>
      </c>
      <c r="O59" s="432">
        <f>COUNTIFS($A$150:$A$635,"&gt;30/4/2021",$A$150:$A$635,"&lt;1/6/2021",$C$150:$C$635,$I59)</f>
        <v/>
      </c>
      <c r="P59" s="432">
        <f>COUNTIFS($A$150:$A$635,"&gt;31/5/2021",$A$150:$A$635,"&lt;1/7/2021",$C$150:$C$635,$I59)</f>
        <v/>
      </c>
      <c r="Q59" s="432">
        <f>COUNTIFS($A$150:$A$635,"&gt;30/6/2021",$A$150:$A$635,"&lt;1/8/2021",$C$150:$C$635,$I59)</f>
        <v/>
      </c>
      <c r="R59" s="432">
        <f>COUNTIFS($A$150:$A$635,"&gt;31/7/2021",$A$150:$A$635,"&lt;1/9/2021",$C$150:$C$635,$I59)</f>
        <v/>
      </c>
      <c r="S59" s="432">
        <f>COUNTIFS($A$150:$A$635,"&gt;31/8/2021",$A$150:$A$635,"&lt;1/10/2021",$C$150:$C$635,$I59)</f>
        <v/>
      </c>
      <c r="T59" s="432">
        <f>COUNTIFS($A$150:$A$635,"&gt;30/9/2021",$A$150:$A$635,"&lt;1/11/2021",$C$150:$C$635,$I59)</f>
        <v/>
      </c>
      <c r="U59" s="432">
        <f>COUNTIFS($A$150:$A$635,"&gt;31/10/2021",$A$150:$A$635,"&lt;1/12/2021",$C$150:$C$635,$I59)</f>
        <v/>
      </c>
      <c r="V59" s="432">
        <f>COUNTIFS($A$150:$A$635,"&gt;30/11/2021",$A$150:$A$635,"&lt;1/1/2022",$C$150:$C$635,$I59)</f>
        <v/>
      </c>
      <c r="W59" s="431">
        <f>SUM(K59:V59)</f>
        <v/>
      </c>
      <c r="AD59" s="470" t="n"/>
      <c r="AE59" s="1260" t="n"/>
      <c r="AF59" s="1260" t="n"/>
      <c r="AG59" s="1282" t="n"/>
      <c r="AH59" s="1385" t="n"/>
      <c r="AI59" s="1274" t="n"/>
    </row>
    <row r="60">
      <c r="I60" s="1334" t="inlineStr">
        <is>
          <t>8. Gift Vouchers Out</t>
        </is>
      </c>
      <c r="J60" s="431" t="n"/>
      <c r="K60" s="432">
        <f>COUNTIFS($A$150:$A$635,"&gt;31/12/2020",$A$150:$A$635,"&lt;1/2/2021",$C$150:$C$635,I60)</f>
        <v/>
      </c>
      <c r="L60" s="432">
        <f>COUNTIFS($A$150:$A$635,"&gt;31/1/2021",$A$150:$A$635,"&lt;1/3/2021",$C$150:$C$635,$I60)</f>
        <v/>
      </c>
      <c r="M60" s="432">
        <f>COUNTIFS($A$150:$A$635,"&gt;28/2/2021",$A$150:$A$635,"&lt;1/4/2021",$C$150:$C$635,$I60)</f>
        <v/>
      </c>
      <c r="N60" s="432">
        <f>COUNTIFS($A$150:$A$635,"&gt;31/3/2021",$A$150:$A$635,"&lt;1/5/2021",$C$150:$C$635,$I60)</f>
        <v/>
      </c>
      <c r="O60" s="432">
        <f>COUNTIFS($A$150:$A$635,"&gt;30/4/2021",$A$150:$A$635,"&lt;1/6/2021",$C$150:$C$635,$I60)</f>
        <v/>
      </c>
      <c r="P60" s="432">
        <f>COUNTIFS($A$150:$A$635,"&gt;31/5/2021",$A$150:$A$635,"&lt;1/7/2021",$C$150:$C$635,$I60)</f>
        <v/>
      </c>
      <c r="Q60" s="432">
        <f>COUNTIFS($A$150:$A$635,"&gt;30/6/2021",$A$150:$A$635,"&lt;1/8/2021",$C$150:$C$635,$I60)</f>
        <v/>
      </c>
      <c r="R60" s="432">
        <f>COUNTIFS($A$150:$A$635,"&gt;31/7/2021",$A$150:$A$635,"&lt;1/9/2021",$C$150:$C$635,$I60)</f>
        <v/>
      </c>
      <c r="S60" s="432">
        <f>COUNTIFS($A$150:$A$635,"&gt;31/8/2021",$A$150:$A$635,"&lt;1/10/2021",$C$150:$C$635,$I60)</f>
        <v/>
      </c>
      <c r="T60" s="432">
        <f>COUNTIFS($A$150:$A$635,"&gt;30/9/2021",$A$150:$A$635,"&lt;1/11/2021",$C$150:$C$635,$I60)</f>
        <v/>
      </c>
      <c r="U60" s="432">
        <f>COUNTIFS($A$150:$A$635,"&gt;31/10/2021",$A$150:$A$635,"&lt;1/12/2021",$C$150:$C$635,$I60)</f>
        <v/>
      </c>
      <c r="V60" s="432">
        <f>COUNTIFS($A$150:$A$635,"&gt;30/11/2021",$A$150:$A$635,"&lt;1/1/2022",$C$150:$C$635,$I60)</f>
        <v/>
      </c>
      <c r="W60" s="431">
        <f>SUM(K60:V60)</f>
        <v/>
      </c>
      <c r="AD60" s="470" t="n"/>
      <c r="AE60" s="1260" t="n"/>
      <c r="AF60" s="1260" t="n"/>
      <c r="AG60" s="1282" t="n"/>
      <c r="AH60" s="1385" t="n"/>
      <c r="AI60" s="1274" t="n"/>
    </row>
    <row r="61">
      <c r="I61" s="1334" t="inlineStr">
        <is>
          <t>9. Prints &amp; Royalties</t>
        </is>
      </c>
      <c r="J61" s="431" t="n"/>
      <c r="K61" s="432">
        <f>COUNTIFS($A$150:$A$635,"&gt;31/12/2020",$A$150:$A$635,"&lt;1/2/2021",$C$150:$C$635,I61)</f>
        <v/>
      </c>
      <c r="L61" s="432">
        <f>COUNTIFS($A$150:$A$635,"&gt;31/1/2021",$A$150:$A$635,"&lt;1/3/2021",$C$150:$C$635,$I61)</f>
        <v/>
      </c>
      <c r="M61" s="432">
        <f>COUNTIFS($A$150:$A$635,"&gt;28/2/2021",$A$150:$A$635,"&lt;1/4/2021",$C$150:$C$635,$I61)</f>
        <v/>
      </c>
      <c r="N61" s="432">
        <f>COUNTIFS($A$150:$A$635,"&gt;31/3/2021",$A$150:$A$635,"&lt;1/5/2021",$C$150:$C$635,$I61)</f>
        <v/>
      </c>
      <c r="O61" s="432">
        <f>COUNTIFS($A$150:$A$635,"&gt;30/4/2021",$A$150:$A$635,"&lt;1/6/2021",$C$150:$C$635,$I61)</f>
        <v/>
      </c>
      <c r="P61" s="432">
        <f>COUNTIFS($A$150:$A$635,"&gt;31/5/2021",$A$150:$A$635,"&lt;1/7/2021",$C$150:$C$635,$I61)</f>
        <v/>
      </c>
      <c r="Q61" s="432">
        <f>COUNTIFS($A$150:$A$635,"&gt;30/6/2021",$A$150:$A$635,"&lt;1/8/2021",$C$150:$C$635,$I61)</f>
        <v/>
      </c>
      <c r="R61" s="432">
        <f>COUNTIFS($A$150:$A$635,"&gt;31/7/2021",$A$150:$A$635,"&lt;1/9/2021",$C$150:$C$635,$I61)</f>
        <v/>
      </c>
      <c r="S61" s="432">
        <f>COUNTIFS($A$150:$A$635,"&gt;31/8/2021",$A$150:$A$635,"&lt;1/10/2021",$C$150:$C$635,$I61)</f>
        <v/>
      </c>
      <c r="T61" s="432">
        <f>COUNTIFS($A$150:$A$635,"&gt;30/9/2021",$A$150:$A$635,"&lt;1/11/2021",$C$150:$C$635,$I61)</f>
        <v/>
      </c>
      <c r="U61" s="432">
        <f>COUNTIFS($A$150:$A$635,"&gt;31/10/2021",$A$150:$A$635,"&lt;1/12/2021",$C$150:$C$635,$I61)</f>
        <v/>
      </c>
      <c r="V61" s="432">
        <f>COUNTIFS($A$150:$A$635,"&gt;30/11/2021",$A$150:$A$635,"&lt;1/1/2022",$C$150:$C$635,$I61)</f>
        <v/>
      </c>
      <c r="W61" s="431">
        <f>SUM(K61:V61)</f>
        <v/>
      </c>
      <c r="AD61" s="470" t="n"/>
      <c r="AE61" s="1260" t="n"/>
      <c r="AF61" s="1260" t="n"/>
      <c r="AG61" s="1282" t="n"/>
      <c r="AH61" s="1385" t="n"/>
      <c r="AI61" s="1274" t="n"/>
    </row>
    <row r="62">
      <c r="I62" s="1334" t="inlineStr">
        <is>
          <t>10 Commissions</t>
        </is>
      </c>
      <c r="J62" s="431" t="n"/>
      <c r="K62" s="432">
        <f>COUNTIFS($A$150:$A$635,"&gt;31/12/2020",$A$150:$A$635,"&lt;1/2/2021",$C$150:$C$635,I62)</f>
        <v/>
      </c>
      <c r="L62" s="432">
        <f>COUNTIFS($A$150:$A$635,"&gt;31/1/2021",$A$150:$A$635,"&lt;1/3/2021",$C$150:$C$635,$I62)</f>
        <v/>
      </c>
      <c r="M62" s="432">
        <f>COUNTIFS($A$150:$A$635,"&gt;28/2/2021",$A$150:$A$635,"&lt;1/4/2021",$C$150:$C$635,$I62)</f>
        <v/>
      </c>
      <c r="N62" s="432">
        <f>COUNTIFS($A$150:$A$635,"&gt;31/3/2021",$A$150:$A$635,"&lt;1/5/2021",$C$150:$C$635,$I62)</f>
        <v/>
      </c>
      <c r="O62" s="432">
        <f>COUNTIFS($A$150:$A$635,"&gt;30/4/2021",$A$150:$A$635,"&lt;1/6/2021",$C$150:$C$635,$I62)</f>
        <v/>
      </c>
      <c r="P62" s="432">
        <f>COUNTIFS($A$150:$A$635,"&gt;31/5/2021",$A$150:$A$635,"&lt;1/7/2021",$C$150:$C$635,$I62)</f>
        <v/>
      </c>
      <c r="Q62" s="432">
        <f>COUNTIFS($A$150:$A$635,"&gt;30/6/2021",$A$150:$A$635,"&lt;1/8/2021",$C$150:$C$635,$I62)</f>
        <v/>
      </c>
      <c r="R62" s="432">
        <f>COUNTIFS($A$150:$A$635,"&gt;31/7/2021",$A$150:$A$635,"&lt;1/9/2021",$C$150:$C$635,$I62)</f>
        <v/>
      </c>
      <c r="S62" s="432">
        <f>COUNTIFS($A$150:$A$635,"&gt;31/8/2021",$A$150:$A$635,"&lt;1/10/2021",$C$150:$C$635,$I62)</f>
        <v/>
      </c>
      <c r="T62" s="432">
        <f>COUNTIFS($A$150:$A$635,"&gt;30/9/2021",$A$150:$A$635,"&lt;1/11/2021",$C$150:$C$635,$I62)</f>
        <v/>
      </c>
      <c r="U62" s="432">
        <f>COUNTIFS($A$150:$A$635,"&gt;31/10/2021",$A$150:$A$635,"&lt;1/12/2021",$C$150:$C$635,$I62)</f>
        <v/>
      </c>
      <c r="V62" s="432">
        <f>COUNTIFS($A$150:$A$635,"&gt;30/11/2021",$A$150:$A$635,"&lt;1/1/2022",$C$150:$C$635,$I62)</f>
        <v/>
      </c>
      <c r="W62" s="431">
        <f>SUM(K62:V62)</f>
        <v/>
      </c>
      <c r="AD62" s="470" t="n"/>
      <c r="AE62" s="1260" t="n"/>
      <c r="AF62" s="1260" t="n"/>
      <c r="AG62" s="1282" t="n"/>
      <c r="AH62" s="1385" t="n"/>
      <c r="AI62" s="1274" t="n"/>
    </row>
    <row r="63">
      <c r="I63" s="1334" t="inlineStr">
        <is>
          <t>11. Other</t>
        </is>
      </c>
      <c r="J63" s="431" t="n"/>
      <c r="K63" s="432">
        <f>COUNTIFS($A$150:$A$635,"&gt;31/12/2020",$A$150:$A$635,"&lt;1/2/2021",$C$150:$C$635,I63)</f>
        <v/>
      </c>
      <c r="L63" s="432">
        <f>COUNTIFS($A$150:$A$635,"&gt;31/1/2021",$A$150:$A$635,"&lt;1/3/2021",$C$150:$C$635,$I63)</f>
        <v/>
      </c>
      <c r="M63" s="432">
        <f>COUNTIFS($A$150:$A$635,"&gt;28/2/2021",$A$150:$A$635,"&lt;1/4/2021",$C$150:$C$635,$I63)</f>
        <v/>
      </c>
      <c r="N63" s="432">
        <f>COUNTIFS($A$150:$A$635,"&gt;31/3/2021",$A$150:$A$635,"&lt;1/5/2021",$C$150:$C$635,$I63)</f>
        <v/>
      </c>
      <c r="O63" s="432">
        <f>COUNTIFS($A$150:$A$635,"&gt;30/4/2021",$A$150:$A$635,"&lt;1/6/2021",$C$150:$C$635,$I63)</f>
        <v/>
      </c>
      <c r="P63" s="432">
        <f>COUNTIFS($A$150:$A$635,"&gt;31/5/2021",$A$150:$A$635,"&lt;1/7/2021",$C$150:$C$635,$I63)</f>
        <v/>
      </c>
      <c r="Q63" s="432">
        <f>COUNTIFS($A$150:$A$635,"&gt;30/6/2021",$A$150:$A$635,"&lt;1/8/2021",$C$150:$C$635,$I63)</f>
        <v/>
      </c>
      <c r="R63" s="432">
        <f>COUNTIFS($A$150:$A$635,"&gt;31/7/2021",$A$150:$A$635,"&lt;1/9/2021",$C$150:$C$635,$I63)</f>
        <v/>
      </c>
      <c r="S63" s="432">
        <f>COUNTIFS($A$150:$A$635,"&gt;31/8/2021",$A$150:$A$635,"&lt;1/10/2021",$C$150:$C$635,$I63)</f>
        <v/>
      </c>
      <c r="T63" s="432">
        <f>COUNTIFS($A$150:$A$635,"&gt;30/9/2021",$A$150:$A$635,"&lt;1/11/2021",$C$150:$C$635,$I63)</f>
        <v/>
      </c>
      <c r="U63" s="432">
        <f>COUNTIFS($A$150:$A$635,"&gt;31/10/2021",$A$150:$A$635,"&lt;1/12/2021",$C$150:$C$635,$I63)</f>
        <v/>
      </c>
      <c r="V63" s="432">
        <f>COUNTIFS($A$150:$A$635,"&gt;30/11/2021",$A$150:$A$635,"&lt;1/1/2022",$C$150:$C$635,$I63)</f>
        <v/>
      </c>
      <c r="W63" s="431">
        <f>SUM(K63:V63)</f>
        <v/>
      </c>
      <c r="AD63" s="470" t="n">
        <v>43091</v>
      </c>
      <c r="AE63" s="1260" t="inlineStr">
        <is>
          <t>Ian Blake</t>
        </is>
      </c>
      <c r="AF63" s="1260" t="inlineStr">
        <is>
          <t>20171222-1</t>
        </is>
      </c>
      <c r="AG63" s="1282" t="inlineStr">
        <is>
          <t>153440</t>
        </is>
      </c>
      <c r="AH63" s="1385" t="n">
        <v>200</v>
      </c>
      <c r="AI63" s="1274" t="inlineStr">
        <is>
          <t>Suffolk</t>
        </is>
      </c>
    </row>
    <row r="64" ht="13.5" customHeight="1" s="1232" thickBot="1">
      <c r="I64" s="1339" t="inlineStr">
        <is>
          <t>Totals</t>
        </is>
      </c>
      <c r="J64" s="829" t="n"/>
      <c r="K64" s="830">
        <f>SUM(K53:K63)</f>
        <v/>
      </c>
      <c r="L64" s="830">
        <f>SUM(L53:L63)</f>
        <v/>
      </c>
      <c r="M64" s="830">
        <f>SUM(M53:M63)</f>
        <v/>
      </c>
      <c r="N64" s="830">
        <f>SUM(N53:N63)</f>
        <v/>
      </c>
      <c r="O64" s="830">
        <f>SUM(O53:O63)</f>
        <v/>
      </c>
      <c r="P64" s="830">
        <f>SUM(P53:P63)</f>
        <v/>
      </c>
      <c r="Q64" s="830">
        <f>SUM(Q53:Q63)</f>
        <v/>
      </c>
      <c r="R64" s="830">
        <f>SUM(R53:R63)</f>
        <v/>
      </c>
      <c r="S64" s="830">
        <f>SUM(S53:S63)</f>
        <v/>
      </c>
      <c r="T64" s="830">
        <f>SUM(T53:T63)</f>
        <v/>
      </c>
      <c r="U64" s="830">
        <f>SUM(U53:U63)</f>
        <v/>
      </c>
      <c r="V64" s="830">
        <f>SUM(V53:V63)</f>
        <v/>
      </c>
      <c r="W64" s="829">
        <f>SUM(W53:W63)</f>
        <v/>
      </c>
      <c r="AD64" s="470" t="n">
        <v>43109</v>
      </c>
      <c r="AE64" s="1255" t="inlineStr">
        <is>
          <t>Iain Williams</t>
        </is>
      </c>
      <c r="AF64" s="1260" t="inlineStr">
        <is>
          <t>20180109-1</t>
        </is>
      </c>
      <c r="AG64" s="1282" t="inlineStr">
        <is>
          <t>153582</t>
        </is>
      </c>
      <c r="AH64" s="1385" t="n">
        <v>200</v>
      </c>
      <c r="AI64" s="1274" t="inlineStr">
        <is>
          <t>5wk Course</t>
        </is>
      </c>
    </row>
    <row r="65" ht="13.15" customHeight="1" s="1232" thickTop="1">
      <c r="AD65" s="470" t="n">
        <v>43116</v>
      </c>
      <c r="AE65" s="1255" t="inlineStr">
        <is>
          <t>Melissa Dickinson</t>
        </is>
      </c>
      <c r="AF65" s="1260" t="inlineStr">
        <is>
          <t>20180116-1</t>
        </is>
      </c>
      <c r="AG65" s="1282" t="inlineStr">
        <is>
          <t>153774</t>
        </is>
      </c>
      <c r="AH65" s="1385" t="n">
        <v>200</v>
      </c>
      <c r="AI65" s="1274" t="inlineStr">
        <is>
          <t>5wk Course</t>
        </is>
      </c>
    </row>
    <row r="66" ht="13.15" customHeight="1" s="1232">
      <c r="I66" s="1336" t="inlineStr">
        <is>
          <t>Tuition Categories</t>
        </is>
      </c>
      <c r="J66" s="1330" t="inlineStr">
        <is>
          <t>Avg PPU</t>
        </is>
      </c>
      <c r="K66" s="1332" t="inlineStr">
        <is>
          <t>Jan</t>
        </is>
      </c>
      <c r="L66" s="1332" t="inlineStr">
        <is>
          <t>Feb</t>
        </is>
      </c>
      <c r="M66" s="1332" t="inlineStr">
        <is>
          <t>Mar</t>
        </is>
      </c>
      <c r="N66" s="1332" t="inlineStr">
        <is>
          <t>Apr</t>
        </is>
      </c>
      <c r="O66" s="1332" t="inlineStr">
        <is>
          <t>May</t>
        </is>
      </c>
      <c r="P66" s="1332" t="inlineStr">
        <is>
          <t>Jun</t>
        </is>
      </c>
      <c r="Q66" s="1332" t="inlineStr">
        <is>
          <t>Jul</t>
        </is>
      </c>
      <c r="R66" s="1332" t="inlineStr">
        <is>
          <t>Aug</t>
        </is>
      </c>
      <c r="S66" s="1332" t="inlineStr">
        <is>
          <t>Sep</t>
        </is>
      </c>
      <c r="T66" s="1332" t="inlineStr">
        <is>
          <t>Oct</t>
        </is>
      </c>
      <c r="U66" s="1332" t="inlineStr">
        <is>
          <t>Nov</t>
        </is>
      </c>
      <c r="V66" s="1332" t="inlineStr">
        <is>
          <t>Dec</t>
        </is>
      </c>
      <c r="W66" s="1332" t="inlineStr">
        <is>
          <t>Year</t>
        </is>
      </c>
      <c r="AD66" s="470" t="n">
        <v>43129</v>
      </c>
      <c r="AE66" s="1260" t="inlineStr">
        <is>
          <t>Paul Gardiner</t>
        </is>
      </c>
      <c r="AF66" s="1260" t="inlineStr">
        <is>
          <t>201/0129-1</t>
        </is>
      </c>
      <c r="AG66" s="1282" t="inlineStr">
        <is>
          <t>CN</t>
        </is>
      </c>
      <c r="AH66" s="1390" t="n">
        <v>-159</v>
      </c>
      <c r="AI66" s="1373" t="n"/>
    </row>
    <row r="67">
      <c r="I67" s="1333" t="inlineStr">
        <is>
          <t>1. Courses/masterclasses</t>
        </is>
      </c>
      <c r="J67" s="431" t="n"/>
      <c r="K67" s="432">
        <f>IFERROR(K6/K53,0)</f>
        <v/>
      </c>
      <c r="L67" s="432">
        <f>IFERROR(L6/L53,0)</f>
        <v/>
      </c>
      <c r="M67" s="432">
        <f>IFERROR(M6/M53,0)</f>
        <v/>
      </c>
      <c r="N67" s="432">
        <f>IFERROR(N6/N53,0)</f>
        <v/>
      </c>
      <c r="O67" s="432">
        <f>IFERROR(O6/O53,0)</f>
        <v/>
      </c>
      <c r="P67" s="432">
        <f>IFERROR(P6/P53,0)</f>
        <v/>
      </c>
      <c r="Q67" s="432">
        <f>IFERROR(Q6/Q53,0)</f>
        <v/>
      </c>
      <c r="R67" s="432">
        <f>IFERROR(R6/R53,0)</f>
        <v/>
      </c>
      <c r="S67" s="432">
        <f>IFERROR(S6/S53,0)</f>
        <v/>
      </c>
      <c r="T67" s="432">
        <f>IFERROR(T6/T53,0)</f>
        <v/>
      </c>
      <c r="U67" s="432">
        <f>IFERROR(U6/U53,0)</f>
        <v/>
      </c>
      <c r="V67" s="432">
        <f>IFERROR(V6/V53,0)</f>
        <v/>
      </c>
      <c r="W67" s="431">
        <f>IFERROR(W6/W53,0)</f>
        <v/>
      </c>
      <c r="AD67" s="470" t="n">
        <v>43140</v>
      </c>
      <c r="AE67" s="1260" t="inlineStr">
        <is>
          <t>Daniel Thomas</t>
        </is>
      </c>
      <c r="AF67" s="1255" t="inlineStr">
        <is>
          <t>20180209-1</t>
        </is>
      </c>
      <c r="AG67" s="1282" t="inlineStr">
        <is>
          <t>154267</t>
        </is>
      </c>
      <c r="AH67" s="1385" t="n">
        <v>200</v>
      </c>
      <c r="AI67" s="1260" t="inlineStr">
        <is>
          <t>LR Course</t>
        </is>
      </c>
    </row>
    <row r="68">
      <c r="I68" s="1333" t="inlineStr">
        <is>
          <t>2. Workshops</t>
        </is>
      </c>
      <c r="J68" s="431" t="n"/>
      <c r="K68" s="432">
        <f>IFERROR(K7/K54,0)</f>
        <v/>
      </c>
      <c r="L68" s="432">
        <f>IFERROR(L7/L54,0)</f>
        <v/>
      </c>
      <c r="M68" s="432">
        <f>IFERROR(M7/M54,0)</f>
        <v/>
      </c>
      <c r="N68" s="432">
        <f>IFERROR(N7/N54,0)</f>
        <v/>
      </c>
      <c r="O68" s="432">
        <f>IFERROR(O7/O54,0)</f>
        <v/>
      </c>
      <c r="P68" s="432">
        <f>IFERROR(P7/P54,0)</f>
        <v/>
      </c>
      <c r="Q68" s="432">
        <f>IFERROR(Q7/Q54,0)</f>
        <v/>
      </c>
      <c r="R68" s="432">
        <f>IFERROR(R7/R54,0)</f>
        <v/>
      </c>
      <c r="S68" s="432">
        <f>IFERROR(S7/S54,0)</f>
        <v/>
      </c>
      <c r="T68" s="432">
        <f>IFERROR(T7/T54,0)</f>
        <v/>
      </c>
      <c r="U68" s="432">
        <f>IFERROR(U7/U54,0)</f>
        <v/>
      </c>
      <c r="V68" s="432">
        <f>IFERROR(V7/V54,0)</f>
        <v/>
      </c>
      <c r="W68" s="431">
        <f>IFERROR(W7/W54,0)</f>
        <v/>
      </c>
      <c r="AD68" s="470" t="n">
        <v>43144</v>
      </c>
      <c r="AE68" s="1255" t="inlineStr">
        <is>
          <t>Aidan Broderick</t>
        </is>
      </c>
      <c r="AF68" s="1255" t="inlineStr">
        <is>
          <t>20180213-1</t>
        </is>
      </c>
      <c r="AG68" s="1282" t="inlineStr">
        <is>
          <t>154338</t>
        </is>
      </c>
      <c r="AH68" s="1385" t="n">
        <v>200</v>
      </c>
      <c r="AI68" s="1260" t="inlineStr">
        <is>
          <t>LR Course</t>
        </is>
      </c>
    </row>
    <row r="69">
      <c r="I69" s="1333" t="inlineStr">
        <is>
          <t>3. Pick n Mix Inc</t>
        </is>
      </c>
      <c r="J69" s="431" t="n"/>
      <c r="K69" s="432">
        <f>IFERROR(K8/K55,0)</f>
        <v/>
      </c>
      <c r="L69" s="432">
        <f>IFERROR(L8/L55,0)</f>
        <v/>
      </c>
      <c r="M69" s="432">
        <f>IFERROR(M8/M55,0)</f>
        <v/>
      </c>
      <c r="N69" s="432">
        <f>IFERROR(N8/N55,0)</f>
        <v/>
      </c>
      <c r="O69" s="432">
        <f>IFERROR(O8/O55,0)</f>
        <v/>
      </c>
      <c r="P69" s="432">
        <f>IFERROR(P8/P55,0)</f>
        <v/>
      </c>
      <c r="Q69" s="432">
        <f>IFERROR(Q8/Q55,0)</f>
        <v/>
      </c>
      <c r="R69" s="432">
        <f>IFERROR(R8/R55,0)</f>
        <v/>
      </c>
      <c r="S69" s="432">
        <f>IFERROR(S8/S55,0)</f>
        <v/>
      </c>
      <c r="T69" s="432">
        <f>IFERROR(T8/T55,0)</f>
        <v/>
      </c>
      <c r="U69" s="432">
        <f>IFERROR(U8/U55,0)</f>
        <v/>
      </c>
      <c r="V69" s="432">
        <f>IFERROR(V8/V55,0)</f>
        <v/>
      </c>
      <c r="W69" s="431">
        <f>IFERROR(W8/W55,0)</f>
        <v/>
      </c>
      <c r="AD69" s="470" t="n">
        <v>43144</v>
      </c>
      <c r="AE69" s="1255" t="inlineStr">
        <is>
          <t>Sayed Nazir</t>
        </is>
      </c>
      <c r="AF69" s="1260" t="inlineStr">
        <is>
          <t>20180213-2</t>
        </is>
      </c>
      <c r="AG69" s="1282" t="inlineStr">
        <is>
          <t>154336</t>
        </is>
      </c>
      <c r="AH69" s="1385" t="n">
        <v>200</v>
      </c>
      <c r="AI69" s="1260" t="inlineStr">
        <is>
          <t>LR Course</t>
        </is>
      </c>
    </row>
    <row r="70">
      <c r="I70" s="1333" t="inlineStr">
        <is>
          <t>4. Pick n Mix Out</t>
        </is>
      </c>
      <c r="J70" s="431" t="n"/>
      <c r="K70" s="432">
        <f>IFERROR(K9/K56,0)</f>
        <v/>
      </c>
      <c r="L70" s="432">
        <f>IFERROR(L9/L56,0)</f>
        <v/>
      </c>
      <c r="M70" s="432">
        <f>IFERROR(M9/M56,0)</f>
        <v/>
      </c>
      <c r="N70" s="432">
        <f>IFERROR(N9/N56,0)</f>
        <v/>
      </c>
      <c r="O70" s="432">
        <f>IFERROR(O9/O56,0)</f>
        <v/>
      </c>
      <c r="P70" s="432">
        <f>IFERROR(P9/P56,0)</f>
        <v/>
      </c>
      <c r="Q70" s="432">
        <f>IFERROR(Q9/Q56,0)</f>
        <v/>
      </c>
      <c r="R70" s="432">
        <f>IFERROR(R9/R56,0)</f>
        <v/>
      </c>
      <c r="S70" s="432">
        <f>IFERROR(S9/S56,0)</f>
        <v/>
      </c>
      <c r="T70" s="432">
        <f>IFERROR(T9/T56,0)</f>
        <v/>
      </c>
      <c r="U70" s="432">
        <f>IFERROR(U9/U56,0)</f>
        <v/>
      </c>
      <c r="V70" s="432">
        <f>IFERROR(V9/V56,0)</f>
        <v/>
      </c>
      <c r="W70" s="431">
        <f>IFERROR(W9/W56,0)</f>
        <v/>
      </c>
      <c r="AD70" s="470" t="n">
        <v>43145</v>
      </c>
      <c r="AE70" s="1255" t="inlineStr">
        <is>
          <t>Ganesh Palani - ELS</t>
        </is>
      </c>
      <c r="AF70" s="1260" t="inlineStr">
        <is>
          <t>20180214-1</t>
        </is>
      </c>
      <c r="AG70" s="1282" t="inlineStr">
        <is>
          <t>154374</t>
        </is>
      </c>
      <c r="AH70" s="1385" t="n">
        <v>200</v>
      </c>
      <c r="AI70" s="1260" t="inlineStr">
        <is>
          <t>5wk Course</t>
        </is>
      </c>
    </row>
    <row r="71">
      <c r="I71" s="1333" t="inlineStr">
        <is>
          <t>5. Mentoring</t>
        </is>
      </c>
      <c r="J71" s="431" t="n"/>
      <c r="K71" s="432">
        <f>IFERROR(K10/K57,0)</f>
        <v/>
      </c>
      <c r="L71" s="432">
        <f>IFERROR(L10/L57,0)</f>
        <v/>
      </c>
      <c r="M71" s="432">
        <f>IFERROR(M10/M57,0)</f>
        <v/>
      </c>
      <c r="N71" s="432">
        <f>IFERROR(N10/N57,0)</f>
        <v/>
      </c>
      <c r="O71" s="432">
        <f>IFERROR(O10/O57,0)</f>
        <v/>
      </c>
      <c r="P71" s="432">
        <f>IFERROR(P10/P57,0)</f>
        <v/>
      </c>
      <c r="Q71" s="432">
        <f>IFERROR(Q10/Q57,0)</f>
        <v/>
      </c>
      <c r="R71" s="432">
        <f>IFERROR(R10/R57,0)</f>
        <v/>
      </c>
      <c r="S71" s="432">
        <f>IFERROR(S10/S57,0)</f>
        <v/>
      </c>
      <c r="T71" s="432">
        <f>IFERROR(T10/T57,0)</f>
        <v/>
      </c>
      <c r="U71" s="432">
        <f>IFERROR(U10/U57,0)</f>
        <v/>
      </c>
      <c r="V71" s="432">
        <f>IFERROR(V10/V57,0)</f>
        <v/>
      </c>
      <c r="W71" s="431">
        <f>IFERROR(W10/W57,0)</f>
        <v/>
      </c>
      <c r="AD71" s="470" t="n">
        <v>43151</v>
      </c>
      <c r="AE71" s="1260" t="inlineStr">
        <is>
          <t>Hans Berg</t>
        </is>
      </c>
      <c r="AF71" s="1255" t="inlineStr">
        <is>
          <t>20180220-1</t>
        </is>
      </c>
      <c r="AG71" s="1282" t="inlineStr">
        <is>
          <t>154156</t>
        </is>
      </c>
      <c r="AH71" s="1385" t="n">
        <v>200</v>
      </c>
      <c r="AI71" s="1260" t="inlineStr">
        <is>
          <t>LR Course</t>
        </is>
      </c>
    </row>
    <row r="72">
      <c r="I72" s="1334" t="inlineStr">
        <is>
          <t>6. 1-2-1</t>
        </is>
      </c>
      <c r="J72" s="431" t="n"/>
      <c r="K72" s="432">
        <f>IFERROR(K11/K58,0)</f>
        <v/>
      </c>
      <c r="L72" s="432">
        <f>IFERROR(L11/L58,0)</f>
        <v/>
      </c>
      <c r="M72" s="432">
        <f>IFERROR(M11/M58,0)</f>
        <v/>
      </c>
      <c r="N72" s="432">
        <f>IFERROR(N11/N58,0)</f>
        <v/>
      </c>
      <c r="O72" s="432">
        <f>IFERROR(O11/O58,0)</f>
        <v/>
      </c>
      <c r="P72" s="432">
        <f>IFERROR(P11/P58,0)</f>
        <v/>
      </c>
      <c r="Q72" s="432">
        <f>IFERROR(Q11/Q58,0)</f>
        <v/>
      </c>
      <c r="R72" s="432">
        <f>IFERROR(R11/R58,0)</f>
        <v/>
      </c>
      <c r="S72" s="432">
        <f>IFERROR(S11/S58,0)</f>
        <v/>
      </c>
      <c r="T72" s="432">
        <f>IFERROR(T11/T58,0)</f>
        <v/>
      </c>
      <c r="U72" s="432">
        <f>IFERROR(U11/U58,0)</f>
        <v/>
      </c>
      <c r="V72" s="432">
        <f>IFERROR(V11/V58,0)</f>
        <v/>
      </c>
      <c r="W72" s="431">
        <f>IFERROR(W11/W58,0)</f>
        <v/>
      </c>
      <c r="AD72" s="470" t="n">
        <v>43152</v>
      </c>
      <c r="AE72" s="1260" t="inlineStr">
        <is>
          <t>Helen Finch</t>
        </is>
      </c>
      <c r="AF72" s="1255" t="inlineStr">
        <is>
          <t>20180221-1</t>
        </is>
      </c>
      <c r="AG72" s="1282" t="inlineStr">
        <is>
          <t>154416</t>
        </is>
      </c>
      <c r="AH72" s="1385" t="n">
        <v>200</v>
      </c>
      <c r="AI72" s="1260" t="inlineStr">
        <is>
          <t>LR Course</t>
        </is>
      </c>
    </row>
    <row r="73">
      <c r="I73" s="1334" t="inlineStr">
        <is>
          <t>7. Gift Vouchers Inc</t>
        </is>
      </c>
      <c r="J73" s="431" t="n"/>
      <c r="K73" s="432">
        <f>IFERROR(K12/K59,0)</f>
        <v/>
      </c>
      <c r="L73" s="432">
        <f>IFERROR(L12/L59,0)</f>
        <v/>
      </c>
      <c r="M73" s="432">
        <f>IFERROR(M12/M59,0)</f>
        <v/>
      </c>
      <c r="N73" s="432">
        <f>IFERROR(N12/N59,0)</f>
        <v/>
      </c>
      <c r="O73" s="432">
        <f>IFERROR(O12/O59,0)</f>
        <v/>
      </c>
      <c r="P73" s="432">
        <f>IFERROR(P12/P59,0)</f>
        <v/>
      </c>
      <c r="Q73" s="432">
        <f>IFERROR(Q12/Q59,0)</f>
        <v/>
      </c>
      <c r="R73" s="432">
        <f>IFERROR(R12/R59,0)</f>
        <v/>
      </c>
      <c r="S73" s="432">
        <f>IFERROR(S12/S59,0)</f>
        <v/>
      </c>
      <c r="T73" s="432">
        <f>IFERROR(T12/T59,0)</f>
        <v/>
      </c>
      <c r="U73" s="432">
        <f>IFERROR(U12/U59,0)</f>
        <v/>
      </c>
      <c r="V73" s="432">
        <f>IFERROR(V12/V59,0)</f>
        <v/>
      </c>
      <c r="W73" s="431">
        <f>IFERROR(W12/W59,0)</f>
        <v/>
      </c>
      <c r="AD73" s="470" t="n"/>
      <c r="AE73" s="1260" t="n"/>
      <c r="AG73" s="1282" t="n"/>
      <c r="AH73" s="1385" t="n"/>
      <c r="AI73" s="1260" t="n"/>
    </row>
    <row r="74">
      <c r="I74" s="1334" t="inlineStr">
        <is>
          <t>8. Gift Vouchers Out</t>
        </is>
      </c>
      <c r="J74" s="431" t="n"/>
      <c r="K74" s="432">
        <f>IFERROR(K13/K60,0)</f>
        <v/>
      </c>
      <c r="L74" s="432">
        <f>IFERROR(L13/L60,0)</f>
        <v/>
      </c>
      <c r="M74" s="432">
        <f>IFERROR(M13/M60,0)</f>
        <v/>
      </c>
      <c r="N74" s="432">
        <f>IFERROR(N13/N60,0)</f>
        <v/>
      </c>
      <c r="O74" s="432">
        <f>IFERROR(O13/O60,0)</f>
        <v/>
      </c>
      <c r="P74" s="432">
        <f>IFERROR(P13/P60,0)</f>
        <v/>
      </c>
      <c r="Q74" s="432">
        <f>IFERROR(Q13/Q60,0)</f>
        <v/>
      </c>
      <c r="R74" s="432">
        <f>IFERROR(R13/R60,0)</f>
        <v/>
      </c>
      <c r="S74" s="432">
        <f>IFERROR(S13/S60,0)</f>
        <v/>
      </c>
      <c r="T74" s="432">
        <f>IFERROR(T13/T60,0)</f>
        <v/>
      </c>
      <c r="U74" s="432">
        <f>IFERROR(U13/U60,0)</f>
        <v/>
      </c>
      <c r="V74" s="432">
        <f>IFERROR(V13/V60,0)</f>
        <v/>
      </c>
      <c r="W74" s="431">
        <f>IFERROR(W13/W60,0)</f>
        <v/>
      </c>
      <c r="AD74" s="470" t="n"/>
      <c r="AE74" s="1260" t="n"/>
      <c r="AG74" s="1282" t="n"/>
      <c r="AH74" s="1385" t="n"/>
      <c r="AI74" s="1260" t="n"/>
    </row>
    <row r="75">
      <c r="I75" s="1334" t="inlineStr">
        <is>
          <t>9. Prints &amp; Royalties</t>
        </is>
      </c>
      <c r="J75" s="431" t="n"/>
      <c r="K75" s="432">
        <f>IFERROR(K14/K61,0)</f>
        <v/>
      </c>
      <c r="L75" s="432">
        <f>IFERROR(L14/L61,0)</f>
        <v/>
      </c>
      <c r="M75" s="432">
        <f>IFERROR(M14/M61,0)</f>
        <v/>
      </c>
      <c r="N75" s="432">
        <f>IFERROR(N14/N61,0)</f>
        <v/>
      </c>
      <c r="O75" s="432">
        <f>IFERROR(O14/O61,0)</f>
        <v/>
      </c>
      <c r="P75" s="432">
        <f>IFERROR(P14/P61,0)</f>
        <v/>
      </c>
      <c r="Q75" s="432">
        <f>IFERROR(Q14/Q61,0)</f>
        <v/>
      </c>
      <c r="R75" s="432">
        <f>IFERROR(R14/R61,0)</f>
        <v/>
      </c>
      <c r="S75" s="432">
        <f>IFERROR(S14/S61,0)</f>
        <v/>
      </c>
      <c r="T75" s="432">
        <f>IFERROR(T14/T61,0)</f>
        <v/>
      </c>
      <c r="U75" s="432">
        <f>IFERROR(U14/U61,0)</f>
        <v/>
      </c>
      <c r="V75" s="432">
        <f>IFERROR(V14/V61,0)</f>
        <v/>
      </c>
      <c r="W75" s="431">
        <f>IFERROR(W14/W61,0)</f>
        <v/>
      </c>
      <c r="AD75" s="470" t="n"/>
      <c r="AE75" s="1260" t="n"/>
      <c r="AG75" s="1282" t="n"/>
      <c r="AH75" s="1385" t="n"/>
      <c r="AI75" s="1260" t="n"/>
    </row>
    <row r="76">
      <c r="I76" s="1334" t="inlineStr">
        <is>
          <t>10 Commissions</t>
        </is>
      </c>
      <c r="J76" s="431" t="n"/>
      <c r="K76" s="432">
        <f>IFERROR(K15/K62,0)</f>
        <v/>
      </c>
      <c r="L76" s="432">
        <f>IFERROR(L15/L62,0)</f>
        <v/>
      </c>
      <c r="M76" s="432">
        <f>IFERROR(M15/M62,0)</f>
        <v/>
      </c>
      <c r="N76" s="432">
        <f>IFERROR(N15/N62,0)</f>
        <v/>
      </c>
      <c r="O76" s="432">
        <f>IFERROR(O15/O62,0)</f>
        <v/>
      </c>
      <c r="P76" s="432">
        <f>IFERROR(P15/P62,0)</f>
        <v/>
      </c>
      <c r="Q76" s="432">
        <f>IFERROR(Q15/Q62,0)</f>
        <v/>
      </c>
      <c r="R76" s="432">
        <f>IFERROR(R15/R62,0)</f>
        <v/>
      </c>
      <c r="S76" s="432">
        <f>IFERROR(S15/S62,0)</f>
        <v/>
      </c>
      <c r="T76" s="432">
        <f>IFERROR(T15/T62,0)</f>
        <v/>
      </c>
      <c r="U76" s="432">
        <f>IFERROR(U15/U62,0)</f>
        <v/>
      </c>
      <c r="V76" s="432">
        <f>IFERROR(V15/V62,0)</f>
        <v/>
      </c>
      <c r="W76" s="431">
        <f>IFERROR(W15/W62,0)</f>
        <v/>
      </c>
      <c r="AD76" s="470" t="n"/>
      <c r="AE76" s="1260" t="n"/>
      <c r="AG76" s="1282" t="n"/>
      <c r="AH76" s="1385" t="n"/>
      <c r="AI76" s="1260" t="n"/>
    </row>
    <row r="77">
      <c r="I77" s="1334" t="inlineStr">
        <is>
          <t>11. Other</t>
        </is>
      </c>
      <c r="J77" s="431" t="n"/>
      <c r="K77" s="432">
        <f>IFERROR(K16/K63,0)</f>
        <v/>
      </c>
      <c r="L77" s="432">
        <f>IFERROR(L16/L63,0)</f>
        <v/>
      </c>
      <c r="M77" s="432">
        <f>IFERROR(M16/M63,0)</f>
        <v/>
      </c>
      <c r="N77" s="432">
        <f>IFERROR(N16/N63,0)</f>
        <v/>
      </c>
      <c r="O77" s="432">
        <f>IFERROR(O16/O63,0)</f>
        <v/>
      </c>
      <c r="P77" s="432">
        <f>IFERROR(P16/P63,0)</f>
        <v/>
      </c>
      <c r="Q77" s="432">
        <f>IFERROR(Q16/Q63,0)</f>
        <v/>
      </c>
      <c r="R77" s="432">
        <f>IFERROR(R16/R63,0)</f>
        <v/>
      </c>
      <c r="S77" s="432">
        <f>IFERROR(S16/S63,0)</f>
        <v/>
      </c>
      <c r="T77" s="432">
        <f>IFERROR(T16/T63,0)</f>
        <v/>
      </c>
      <c r="U77" s="432">
        <f>IFERROR(U16/U63,0)</f>
        <v/>
      </c>
      <c r="V77" s="432">
        <f>IFERROR(V16/V63,0)</f>
        <v/>
      </c>
      <c r="W77" s="431">
        <f>IFERROR(W16/W63,0)</f>
        <v/>
      </c>
      <c r="AD77" s="470" t="n">
        <v>43152</v>
      </c>
      <c r="AE77" s="1255" t="inlineStr">
        <is>
          <t>Arjun Rawat - ELS</t>
        </is>
      </c>
      <c r="AF77" s="1255" t="inlineStr">
        <is>
          <t>20180221-2</t>
        </is>
      </c>
      <c r="AG77" s="1282" t="inlineStr">
        <is>
          <t>154510</t>
        </is>
      </c>
      <c r="AH77" s="1385" t="n">
        <v>200</v>
      </c>
      <c r="AI77" s="1260" t="inlineStr">
        <is>
          <t>5wk Course</t>
        </is>
      </c>
    </row>
    <row r="78" ht="13.5" customHeight="1" s="1232" thickBot="1">
      <c r="I78" s="1339" t="inlineStr">
        <is>
          <t>Totals</t>
        </is>
      </c>
      <c r="J78" s="829" t="n"/>
      <c r="K78" s="802">
        <f>IFERROR(K17/K64,0)</f>
        <v/>
      </c>
      <c r="L78" s="802">
        <f>IFERROR(L17/L64,0)</f>
        <v/>
      </c>
      <c r="M78" s="802">
        <f>IFERROR(M17/M64,0)</f>
        <v/>
      </c>
      <c r="N78" s="802">
        <f>IFERROR(N17/N64,0)</f>
        <v/>
      </c>
      <c r="O78" s="802">
        <f>IFERROR(O17/O64,0)</f>
        <v/>
      </c>
      <c r="P78" s="802">
        <f>IFERROR(P17/P64,0)</f>
        <v/>
      </c>
      <c r="Q78" s="802">
        <f>IFERROR(Q17/Q64,0)</f>
        <v/>
      </c>
      <c r="R78" s="802">
        <f>IFERROR(R17/R64,0)</f>
        <v/>
      </c>
      <c r="S78" s="802">
        <f>IFERROR(S17/S64,0)</f>
        <v/>
      </c>
      <c r="T78" s="802">
        <f>IFERROR(T17/T64,0)</f>
        <v/>
      </c>
      <c r="U78" s="802">
        <f>IFERROR(U17/U64,0)</f>
        <v/>
      </c>
      <c r="V78" s="802">
        <f>IFERROR(V17/V64,0)</f>
        <v/>
      </c>
      <c r="W78" s="829">
        <f>IFERROR(W17/W64,0)</f>
        <v/>
      </c>
      <c r="AD78" s="470" t="n">
        <v>43167</v>
      </c>
      <c r="AE78" s="1255" t="inlineStr">
        <is>
          <t>Helen Fawcett</t>
        </is>
      </c>
      <c r="AF78" s="1260" t="inlineStr">
        <is>
          <t>20180308-1</t>
        </is>
      </c>
      <c r="AG78" s="1282" t="inlineStr">
        <is>
          <t>154622</t>
        </is>
      </c>
      <c r="AH78" s="1385" t="n">
        <v>30</v>
      </c>
      <c r="AI78" s="1260" t="inlineStr">
        <is>
          <t>Intro Class</t>
        </is>
      </c>
    </row>
    <row r="79" ht="13.15" customHeight="1" s="1232" thickTop="1">
      <c r="AD79" s="470" t="n">
        <v>43190</v>
      </c>
      <c r="AE79" s="1260" t="inlineStr">
        <is>
          <t>Fances Pike</t>
        </is>
      </c>
      <c r="AF79" s="1260" t="inlineStr">
        <is>
          <t>20180331-1</t>
        </is>
      </c>
      <c r="AG79" s="1282" t="inlineStr">
        <is>
          <t>155146</t>
        </is>
      </c>
      <c r="AH79" s="1385" t="n">
        <v>125</v>
      </c>
      <c r="AI79" s="1260" t="inlineStr">
        <is>
          <t>Bluebell Worksh0p</t>
        </is>
      </c>
    </row>
    <row r="80">
      <c r="AD80" s="470" t="n">
        <v>43249</v>
      </c>
      <c r="AE80" s="1260" t="inlineStr">
        <is>
          <t>Steve Paling</t>
        </is>
      </c>
      <c r="AF80" s="1255" t="inlineStr">
        <is>
          <t>20180529-1</t>
        </is>
      </c>
      <c r="AG80" s="1282" t="inlineStr">
        <is>
          <t>155975</t>
        </is>
      </c>
      <c r="AH80" s="1385" t="n">
        <v>200</v>
      </c>
      <c r="AI80" s="1260" t="inlineStr">
        <is>
          <t>4wk Extended</t>
        </is>
      </c>
    </row>
    <row r="81" ht="13.15" customHeight="1" s="1232">
      <c r="I81" s="1336" t="inlineStr">
        <is>
          <t>Tuition Categories</t>
        </is>
      </c>
      <c r="J81" s="1330" t="inlineStr">
        <is>
          <t>GP Target</t>
        </is>
      </c>
      <c r="K81" s="1332" t="inlineStr">
        <is>
          <t>Jan</t>
        </is>
      </c>
      <c r="L81" s="1332" t="inlineStr">
        <is>
          <t>Feb</t>
        </is>
      </c>
      <c r="M81" s="1332" t="inlineStr">
        <is>
          <t>Mar</t>
        </is>
      </c>
      <c r="N81" s="1332" t="inlineStr">
        <is>
          <t>Apr</t>
        </is>
      </c>
      <c r="O81" s="1332" t="inlineStr">
        <is>
          <t>May</t>
        </is>
      </c>
      <c r="P81" s="1332" t="inlineStr">
        <is>
          <t>Jun</t>
        </is>
      </c>
      <c r="Q81" s="1332" t="inlineStr">
        <is>
          <t>Jul</t>
        </is>
      </c>
      <c r="R81" s="1332" t="inlineStr">
        <is>
          <t>Aug</t>
        </is>
      </c>
      <c r="S81" s="1332" t="inlineStr">
        <is>
          <t>Sep</t>
        </is>
      </c>
      <c r="T81" s="1332" t="inlineStr">
        <is>
          <t>Oct</t>
        </is>
      </c>
      <c r="U81" s="1332" t="inlineStr">
        <is>
          <t>Nov</t>
        </is>
      </c>
      <c r="V81" s="1332" t="inlineStr">
        <is>
          <t>Dec</t>
        </is>
      </c>
      <c r="W81" s="1332" t="inlineStr">
        <is>
          <t>Year</t>
        </is>
      </c>
      <c r="X81" s="1273" t="inlineStr">
        <is>
          <t>GP %</t>
        </is>
      </c>
      <c r="Y81" s="1383" t="inlineStr">
        <is>
          <t>YTD Targ</t>
        </is>
      </c>
      <c r="Z81" s="1383" t="inlineStr">
        <is>
          <t>Var YTD</t>
        </is>
      </c>
      <c r="AD81" s="470" t="n">
        <v>43343</v>
      </c>
      <c r="AE81" s="1260" t="inlineStr">
        <is>
          <t>Philip Webester</t>
        </is>
      </c>
      <c r="AF81" s="1255" t="inlineStr">
        <is>
          <t>20180831-1</t>
        </is>
      </c>
      <c r="AG81" s="1282" t="inlineStr">
        <is>
          <t>158831</t>
        </is>
      </c>
      <c r="AH81" s="1385" t="n">
        <v>200</v>
      </c>
      <c r="AI81" s="1260" t="inlineStr">
        <is>
          <t>Workshops</t>
        </is>
      </c>
    </row>
    <row r="82">
      <c r="I82" s="1333" t="inlineStr">
        <is>
          <t>1. Courses/masterclasses</t>
        </is>
      </c>
      <c r="J82" s="432">
        <f>J6*70%</f>
        <v/>
      </c>
      <c r="K82" s="432">
        <f>K6*70%</f>
        <v/>
      </c>
      <c r="L82" s="432">
        <f>L6*70%</f>
        <v/>
      </c>
      <c r="M82" s="432">
        <f>M6*70%</f>
        <v/>
      </c>
      <c r="N82" s="432">
        <f>N6*70%</f>
        <v/>
      </c>
      <c r="O82" s="432">
        <f>O6*70%</f>
        <v/>
      </c>
      <c r="P82" s="432">
        <f>P6*70%</f>
        <v/>
      </c>
      <c r="Q82" s="432">
        <f>Q6*70%</f>
        <v/>
      </c>
      <c r="R82" s="432">
        <f>R6*70%</f>
        <v/>
      </c>
      <c r="S82" s="432">
        <f>S6*70%</f>
        <v/>
      </c>
      <c r="T82" s="432">
        <f>T6*70%</f>
        <v/>
      </c>
      <c r="U82" s="432">
        <f>U6*70%</f>
        <v/>
      </c>
      <c r="V82" s="432">
        <f>V6*70%</f>
        <v/>
      </c>
      <c r="W82" s="431">
        <f>SUM(K82:V82)</f>
        <v/>
      </c>
      <c r="X82" s="445">
        <f>IFERROR(W82/W6,0)</f>
        <v/>
      </c>
      <c r="Y82" s="558">
        <f>J82*12</f>
        <v/>
      </c>
      <c r="Z82" s="434">
        <f>W82-Y82</f>
        <v/>
      </c>
      <c r="AD82" s="470" t="n">
        <v>43392</v>
      </c>
      <c r="AE82" s="1260" t="inlineStr">
        <is>
          <t>Dave McGuire</t>
        </is>
      </c>
      <c r="AF82" s="1255" t="inlineStr">
        <is>
          <t>201801019-1</t>
        </is>
      </c>
      <c r="AG82" s="1282" t="inlineStr">
        <is>
          <t>160273</t>
        </is>
      </c>
      <c r="AH82" s="1385" t="n">
        <v>200</v>
      </c>
      <c r="AI82" s="1260" t="inlineStr">
        <is>
          <t>Course</t>
        </is>
      </c>
    </row>
    <row r="83">
      <c r="I83" s="1333" t="inlineStr">
        <is>
          <t>2. Workshops</t>
        </is>
      </c>
      <c r="J83" s="432">
        <f>J7*60%</f>
        <v/>
      </c>
      <c r="K83" s="432">
        <f>K7*60%</f>
        <v/>
      </c>
      <c r="L83" s="432">
        <f>L7*60%</f>
        <v/>
      </c>
      <c r="M83" s="432">
        <f>M7*60%</f>
        <v/>
      </c>
      <c r="N83" s="432">
        <f>N7*60%</f>
        <v/>
      </c>
      <c r="O83" s="432">
        <f>O7*60%</f>
        <v/>
      </c>
      <c r="P83" s="432">
        <f>P7*60%</f>
        <v/>
      </c>
      <c r="Q83" s="432">
        <f>Q7*60%</f>
        <v/>
      </c>
      <c r="R83" s="432">
        <f>R7*60%</f>
        <v/>
      </c>
      <c r="S83" s="432">
        <f>S7*60%</f>
        <v/>
      </c>
      <c r="T83" s="432">
        <f>T7*60%</f>
        <v/>
      </c>
      <c r="U83" s="432">
        <f>U7*60%</f>
        <v/>
      </c>
      <c r="V83" s="432">
        <f>V7*60%</f>
        <v/>
      </c>
      <c r="W83" s="431">
        <f>SUM(K83:V83)</f>
        <v/>
      </c>
      <c r="X83" s="445">
        <f>IFERROR(W83/W7,0)</f>
        <v/>
      </c>
      <c r="Y83" s="558">
        <f>J83*12</f>
        <v/>
      </c>
      <c r="Z83" s="434">
        <f>W83-Y83</f>
        <v/>
      </c>
      <c r="AD83" s="470" t="n">
        <v>43424</v>
      </c>
      <c r="AE83" s="1260" t="inlineStr">
        <is>
          <t>Helen Finch/Sotheran</t>
        </is>
      </c>
      <c r="AF83" s="1255" t="inlineStr">
        <is>
          <t>20181120-1</t>
        </is>
      </c>
      <c r="AG83" s="1282" t="inlineStr">
        <is>
          <t>163853</t>
        </is>
      </c>
      <c r="AH83" s="1385" t="n">
        <v>250</v>
      </c>
      <c r="AI83" s="1260" t="inlineStr">
        <is>
          <t>Lvl 2 Photo Soli</t>
        </is>
      </c>
    </row>
    <row r="84">
      <c r="I84" s="1333" t="inlineStr">
        <is>
          <t>3. Pick n Mix Inc</t>
        </is>
      </c>
      <c r="J84" s="432">
        <f>J8*60%</f>
        <v/>
      </c>
      <c r="K84" s="432">
        <f>K8*60%</f>
        <v/>
      </c>
      <c r="L84" s="432">
        <f>L8*60%</f>
        <v/>
      </c>
      <c r="M84" s="432">
        <f>M8*60%</f>
        <v/>
      </c>
      <c r="N84" s="432">
        <f>N8*60%</f>
        <v/>
      </c>
      <c r="O84" s="432">
        <f>O8*60%</f>
        <v/>
      </c>
      <c r="P84" s="432">
        <f>P8*60%</f>
        <v/>
      </c>
      <c r="Q84" s="432">
        <f>Q8*60%</f>
        <v/>
      </c>
      <c r="R84" s="432">
        <f>R8*60%</f>
        <v/>
      </c>
      <c r="S84" s="432">
        <f>S8*60%</f>
        <v/>
      </c>
      <c r="T84" s="432">
        <f>T8*60%</f>
        <v/>
      </c>
      <c r="U84" s="432">
        <f>U8*60%</f>
        <v/>
      </c>
      <c r="V84" s="432">
        <f>V8*60%</f>
        <v/>
      </c>
      <c r="W84" s="431">
        <f>SUM(K84:V84)</f>
        <v/>
      </c>
      <c r="X84" s="445">
        <f>IFERROR(W84/W9,0)</f>
        <v/>
      </c>
      <c r="Y84" s="558">
        <f>J84*12</f>
        <v/>
      </c>
      <c r="Z84" s="434">
        <f>W84-Y84</f>
        <v/>
      </c>
      <c r="AD84" s="470" t="n">
        <v>43438</v>
      </c>
      <c r="AE84" s="1255" t="inlineStr">
        <is>
          <t>Harkesh Mehmi</t>
        </is>
      </c>
      <c r="AF84" s="1255" t="inlineStr">
        <is>
          <t>20181204-1</t>
        </is>
      </c>
      <c r="AG84" s="1282" t="inlineStr">
        <is>
          <t>161118</t>
        </is>
      </c>
      <c r="AH84" s="1255" t="n">
        <v>200</v>
      </c>
      <c r="AI84" s="1260" t="inlineStr">
        <is>
          <t>TBC</t>
        </is>
      </c>
    </row>
    <row r="85">
      <c r="I85" s="1333" t="inlineStr">
        <is>
          <t>4. Pick n Mix Out</t>
        </is>
      </c>
      <c r="J85" s="432">
        <f>J9*60%</f>
        <v/>
      </c>
      <c r="K85" s="432">
        <f>K9*60%</f>
        <v/>
      </c>
      <c r="L85" s="432">
        <f>L9*60%</f>
        <v/>
      </c>
      <c r="M85" s="432">
        <f>M9*60%</f>
        <v/>
      </c>
      <c r="N85" s="432">
        <f>N9*60%</f>
        <v/>
      </c>
      <c r="O85" s="432">
        <f>O9*60%</f>
        <v/>
      </c>
      <c r="P85" s="432">
        <f>P9*60%</f>
        <v/>
      </c>
      <c r="Q85" s="432">
        <f>Q9*60%</f>
        <v/>
      </c>
      <c r="R85" s="432">
        <f>R9*60%</f>
        <v/>
      </c>
      <c r="S85" s="432">
        <f>S9*60%</f>
        <v/>
      </c>
      <c r="T85" s="432">
        <f>T9*60%</f>
        <v/>
      </c>
      <c r="U85" s="432">
        <f>U9*60%</f>
        <v/>
      </c>
      <c r="V85" s="432">
        <f>V9*60%</f>
        <v/>
      </c>
      <c r="W85" s="431">
        <f>SUM(K85:V85)</f>
        <v/>
      </c>
      <c r="X85" s="445" t="n"/>
      <c r="Y85" s="558" t="n"/>
      <c r="Z85" s="434" t="n"/>
      <c r="AD85" s="470" t="n">
        <v>43507</v>
      </c>
      <c r="AE85" s="1255" t="inlineStr">
        <is>
          <t>Paul Millington</t>
        </is>
      </c>
      <c r="AF85" s="1260" t="inlineStr">
        <is>
          <t>20190211-1</t>
        </is>
      </c>
      <c r="AG85" s="1282" t="inlineStr">
        <is>
          <t>165649</t>
        </is>
      </c>
      <c r="AH85" s="1385" t="n">
        <v>250</v>
      </c>
      <c r="AI85" s="1260" t="inlineStr">
        <is>
          <t>4wk Beginners Course</t>
        </is>
      </c>
    </row>
    <row r="86">
      <c r="I86" s="1333" t="inlineStr">
        <is>
          <t>5. Mentoring</t>
        </is>
      </c>
      <c r="J86" s="432">
        <f>J10*75%</f>
        <v/>
      </c>
      <c r="K86" s="432">
        <f>K10*75%</f>
        <v/>
      </c>
      <c r="L86" s="432">
        <f>L10*75%</f>
        <v/>
      </c>
      <c r="M86" s="432">
        <f>M10*75%</f>
        <v/>
      </c>
      <c r="N86" s="432">
        <f>N10*75%</f>
        <v/>
      </c>
      <c r="O86" s="432">
        <f>O10*75%</f>
        <v/>
      </c>
      <c r="P86" s="432">
        <f>P10*75%</f>
        <v/>
      </c>
      <c r="Q86" s="432">
        <f>Q10*75%</f>
        <v/>
      </c>
      <c r="R86" s="432">
        <f>R10*75%</f>
        <v/>
      </c>
      <c r="S86" s="432">
        <f>S10*75%</f>
        <v/>
      </c>
      <c r="T86" s="432">
        <f>T10*75%</f>
        <v/>
      </c>
      <c r="U86" s="432">
        <f>U10*75%</f>
        <v/>
      </c>
      <c r="V86" s="432">
        <f>V10*75%</f>
        <v/>
      </c>
      <c r="W86" s="431">
        <f>SUM(K86:V86)</f>
        <v/>
      </c>
      <c r="X86" s="445">
        <f>IFERROR(W86/W10,0)</f>
        <v/>
      </c>
      <c r="Y86" s="558">
        <f>J86*12</f>
        <v/>
      </c>
      <c r="Z86" s="434">
        <f>W86-Y86</f>
        <v/>
      </c>
      <c r="AD86" s="470" t="n">
        <v>43560</v>
      </c>
      <c r="AE86" s="1255" t="inlineStr">
        <is>
          <t>Harkesh Mehmi</t>
        </is>
      </c>
      <c r="AF86" s="1260" t="inlineStr">
        <is>
          <t>20190405-1</t>
        </is>
      </c>
      <c r="AG86" s="1260" t="inlineStr">
        <is>
          <t>CN</t>
        </is>
      </c>
      <c r="AH86" s="1390" t="n">
        <v>-159</v>
      </c>
    </row>
    <row r="87">
      <c r="I87" s="1334" t="inlineStr">
        <is>
          <t>6. 1-2-1</t>
        </is>
      </c>
      <c r="J87" s="432">
        <f>J11*60%</f>
        <v/>
      </c>
      <c r="K87" s="432">
        <f>K11*60%</f>
        <v/>
      </c>
      <c r="L87" s="432">
        <f>L11*60%</f>
        <v/>
      </c>
      <c r="M87" s="432">
        <f>M11*60%</f>
        <v/>
      </c>
      <c r="N87" s="432">
        <f>N11*60%</f>
        <v/>
      </c>
      <c r="O87" s="432">
        <f>O11*60%</f>
        <v/>
      </c>
      <c r="P87" s="432">
        <f>P11*60%</f>
        <v/>
      </c>
      <c r="Q87" s="432">
        <f>Q11*60%</f>
        <v/>
      </c>
      <c r="R87" s="432">
        <f>R11*60%</f>
        <v/>
      </c>
      <c r="S87" s="432">
        <f>S11*60%</f>
        <v/>
      </c>
      <c r="T87" s="432">
        <f>T11*60%</f>
        <v/>
      </c>
      <c r="U87" s="432">
        <f>U11*60%</f>
        <v/>
      </c>
      <c r="V87" s="432">
        <f>V11*60%</f>
        <v/>
      </c>
      <c r="W87" s="431">
        <f>SUM(K87:V87)</f>
        <v/>
      </c>
      <c r="X87" s="445">
        <f>IFERROR(W87/W11,0)</f>
        <v/>
      </c>
      <c r="Y87" s="558">
        <f>J87*12</f>
        <v/>
      </c>
      <c r="Z87" s="434">
        <f>W87-Y87</f>
        <v/>
      </c>
      <c r="AD87" s="470" t="n">
        <v>43592</v>
      </c>
      <c r="AE87" s="1260" t="inlineStr">
        <is>
          <t>Ian Blake</t>
        </is>
      </c>
      <c r="AF87" s="1260" t="inlineStr">
        <is>
          <t>20190507-1</t>
        </is>
      </c>
      <c r="AG87" s="1282" t="inlineStr">
        <is>
          <t>167527</t>
        </is>
      </c>
      <c r="AH87" s="1385" t="n">
        <v>75</v>
      </c>
      <c r="AI87" s="1260" t="inlineStr">
        <is>
          <t>Fairy Glen</t>
        </is>
      </c>
    </row>
    <row r="88">
      <c r="I88" s="1334" t="inlineStr">
        <is>
          <t>7. Gift Vouchers Inc</t>
        </is>
      </c>
      <c r="J88" s="432">
        <f>J12*60%</f>
        <v/>
      </c>
      <c r="K88" s="432">
        <f>K12*60%</f>
        <v/>
      </c>
      <c r="L88" s="432">
        <f>L12*60%</f>
        <v/>
      </c>
      <c r="M88" s="432">
        <f>M12*60%</f>
        <v/>
      </c>
      <c r="N88" s="432">
        <f>N12*60%</f>
        <v/>
      </c>
      <c r="O88" s="432">
        <f>O12*60%</f>
        <v/>
      </c>
      <c r="P88" s="432">
        <f>P12*60%</f>
        <v/>
      </c>
      <c r="Q88" s="432">
        <f>Q12*60%</f>
        <v/>
      </c>
      <c r="R88" s="432">
        <f>R12*60%</f>
        <v/>
      </c>
      <c r="S88" s="432">
        <f>S12*60%</f>
        <v/>
      </c>
      <c r="T88" s="432">
        <f>T12*60%</f>
        <v/>
      </c>
      <c r="U88" s="432">
        <f>U12*60%</f>
        <v/>
      </c>
      <c r="V88" s="432">
        <f>V12*60%</f>
        <v/>
      </c>
      <c r="W88" s="431">
        <f>SUM(K88:V88)</f>
        <v/>
      </c>
      <c r="X88" s="445">
        <f>IFERROR(W88/W16,0)</f>
        <v/>
      </c>
      <c r="Y88" s="558">
        <f>J88*12</f>
        <v/>
      </c>
      <c r="Z88" s="434">
        <f>W88-Y88</f>
        <v/>
      </c>
      <c r="AD88" s="470" t="n">
        <v>43754</v>
      </c>
      <c r="AE88" s="1260" t="inlineStr">
        <is>
          <t>Scott Bremner</t>
        </is>
      </c>
      <c r="AF88" s="1255" t="inlineStr">
        <is>
          <t>20191016-1</t>
        </is>
      </c>
      <c r="AG88" s="1282" t="inlineStr">
        <is>
          <t>171860</t>
        </is>
      </c>
      <c r="AH88" s="1385" t="n">
        <v>100</v>
      </c>
      <c r="AI88" s="1260" t="inlineStr">
        <is>
          <t>TBA</t>
        </is>
      </c>
    </row>
    <row r="89">
      <c r="I89" s="1334" t="inlineStr">
        <is>
          <t>8. Gift Vouchers Out</t>
        </is>
      </c>
      <c r="J89" s="432">
        <f>J13*60%</f>
        <v/>
      </c>
      <c r="K89" s="432">
        <f>K13*60%</f>
        <v/>
      </c>
      <c r="L89" s="432">
        <f>L13*60%</f>
        <v/>
      </c>
      <c r="M89" s="432">
        <f>M13*60%</f>
        <v/>
      </c>
      <c r="N89" s="432">
        <f>N13*60%</f>
        <v/>
      </c>
      <c r="O89" s="432">
        <f>O13*60%</f>
        <v/>
      </c>
      <c r="P89" s="432">
        <f>P13*60%</f>
        <v/>
      </c>
      <c r="Q89" s="432">
        <f>Q13*60%</f>
        <v/>
      </c>
      <c r="R89" s="432">
        <f>R13*60%</f>
        <v/>
      </c>
      <c r="S89" s="432">
        <f>S13*60%</f>
        <v/>
      </c>
      <c r="T89" s="432">
        <f>T13*60%</f>
        <v/>
      </c>
      <c r="U89" s="432">
        <f>U13*60%</f>
        <v/>
      </c>
      <c r="V89" s="432">
        <f>V13*60%</f>
        <v/>
      </c>
      <c r="W89" s="431" t="n"/>
      <c r="X89" s="445" t="n"/>
      <c r="Y89" s="558" t="n"/>
      <c r="Z89" s="434" t="n"/>
      <c r="AD89" s="470" t="n"/>
      <c r="AE89" s="1260" t="n"/>
      <c r="AG89" s="1282" t="n"/>
      <c r="AH89" s="1385" t="n"/>
      <c r="AI89" s="1260" t="n"/>
    </row>
    <row r="90">
      <c r="I90" s="1334" t="inlineStr">
        <is>
          <t>9. Prints &amp; Royalties</t>
        </is>
      </c>
      <c r="J90" s="432">
        <f>J14*50%</f>
        <v/>
      </c>
      <c r="K90" s="432">
        <f>K14*50%</f>
        <v/>
      </c>
      <c r="L90" s="432">
        <f>L14*50%</f>
        <v/>
      </c>
      <c r="M90" s="432">
        <f>M14*50%</f>
        <v/>
      </c>
      <c r="N90" s="432">
        <f>N14*50%</f>
        <v/>
      </c>
      <c r="O90" s="432">
        <f>O14*50%</f>
        <v/>
      </c>
      <c r="P90" s="432">
        <f>P14*50%</f>
        <v/>
      </c>
      <c r="Q90" s="432">
        <f>Q14*50%</f>
        <v/>
      </c>
      <c r="R90" s="432">
        <f>R14*50%</f>
        <v/>
      </c>
      <c r="S90" s="432">
        <f>S14*50%</f>
        <v/>
      </c>
      <c r="T90" s="432">
        <f>T14*50%</f>
        <v/>
      </c>
      <c r="U90" s="432">
        <f>U14*50%</f>
        <v/>
      </c>
      <c r="V90" s="432">
        <f>V14*50%</f>
        <v/>
      </c>
      <c r="W90" s="431">
        <f>SUM(K90:V90)</f>
        <v/>
      </c>
      <c r="X90" s="445" t="n"/>
      <c r="Y90" s="558" t="n"/>
      <c r="Z90" s="434" t="n"/>
      <c r="AD90" s="470" t="n"/>
      <c r="AE90" s="1260" t="n"/>
      <c r="AG90" s="1282" t="n"/>
      <c r="AH90" s="1385" t="n"/>
      <c r="AI90" s="1260" t="n"/>
    </row>
    <row r="91">
      <c r="I91" s="1334" t="inlineStr">
        <is>
          <t>10 Commissions</t>
        </is>
      </c>
      <c r="J91" s="432">
        <f>J15*60%</f>
        <v/>
      </c>
      <c r="K91" s="432">
        <f>K15*60%</f>
        <v/>
      </c>
      <c r="L91" s="432">
        <f>L15*60%</f>
        <v/>
      </c>
      <c r="M91" s="432">
        <f>M15*60%</f>
        <v/>
      </c>
      <c r="N91" s="432">
        <f>N15*60%</f>
        <v/>
      </c>
      <c r="O91" s="432">
        <f>O15*60%</f>
        <v/>
      </c>
      <c r="P91" s="432">
        <f>P15*60%</f>
        <v/>
      </c>
      <c r="Q91" s="432">
        <f>Q15*60%</f>
        <v/>
      </c>
      <c r="R91" s="432">
        <f>R15*60%</f>
        <v/>
      </c>
      <c r="S91" s="432">
        <f>S15*60%</f>
        <v/>
      </c>
      <c r="T91" s="432">
        <f>T15*60%</f>
        <v/>
      </c>
      <c r="U91" s="432">
        <f>U15*60%</f>
        <v/>
      </c>
      <c r="V91" s="432">
        <f>V15*60%</f>
        <v/>
      </c>
      <c r="W91" s="431">
        <f>SUM(K91:V91)</f>
        <v/>
      </c>
      <c r="X91" s="445" t="n"/>
      <c r="Y91" s="558" t="n"/>
      <c r="Z91" s="434" t="n"/>
      <c r="AD91" s="470" t="n"/>
      <c r="AE91" s="1260" t="n"/>
      <c r="AG91" s="1282" t="n"/>
      <c r="AH91" s="1385" t="n"/>
      <c r="AI91" s="1260" t="n"/>
    </row>
    <row r="92">
      <c r="I92" s="1334" t="inlineStr">
        <is>
          <t>11. Other</t>
        </is>
      </c>
      <c r="J92" s="432">
        <f>J16*60%</f>
        <v/>
      </c>
      <c r="K92" s="432">
        <f>K16*60%</f>
        <v/>
      </c>
      <c r="L92" s="432">
        <f>L16*60%</f>
        <v/>
      </c>
      <c r="M92" s="432">
        <f>M16*60%</f>
        <v/>
      </c>
      <c r="N92" s="432">
        <f>N16*60%</f>
        <v/>
      </c>
      <c r="O92" s="432">
        <f>O16*60%</f>
        <v/>
      </c>
      <c r="P92" s="432">
        <f>P16*60%</f>
        <v/>
      </c>
      <c r="Q92" s="432">
        <f>Q16*60%</f>
        <v/>
      </c>
      <c r="R92" s="432">
        <f>R16*60%</f>
        <v/>
      </c>
      <c r="S92" s="432">
        <f>S16*60%</f>
        <v/>
      </c>
      <c r="T92" s="432">
        <f>T16*60%</f>
        <v/>
      </c>
      <c r="U92" s="432">
        <f>U16*60%</f>
        <v/>
      </c>
      <c r="V92" s="432">
        <f>V16*60%</f>
        <v/>
      </c>
      <c r="W92" s="431">
        <f>SUM(K92:V92)</f>
        <v/>
      </c>
      <c r="X92" s="445" t="n"/>
      <c r="Y92" s="558" t="n"/>
      <c r="Z92" s="434" t="n"/>
      <c r="AD92" s="470" t="n"/>
      <c r="AE92" s="1260" t="n"/>
      <c r="AG92" s="1282" t="n"/>
      <c r="AH92" s="1385" t="n"/>
      <c r="AI92" s="1260" t="n"/>
    </row>
    <row r="93" ht="13.5" customHeight="1" s="1232" thickBot="1">
      <c r="I93" s="1340" t="inlineStr">
        <is>
          <t>Totals</t>
        </is>
      </c>
      <c r="J93" s="826">
        <f>SUM(J82:J88)</f>
        <v/>
      </c>
      <c r="K93" s="827">
        <f>SUM(K82:K92)</f>
        <v/>
      </c>
      <c r="L93" s="827">
        <f>SUM(L82:L92)</f>
        <v/>
      </c>
      <c r="M93" s="827">
        <f>SUM(M82:M92)</f>
        <v/>
      </c>
      <c r="N93" s="827">
        <f>SUM(N82:N92)</f>
        <v/>
      </c>
      <c r="O93" s="827">
        <f>SUM(O82:O92)</f>
        <v/>
      </c>
      <c r="P93" s="827">
        <f>SUM(P82:P92)</f>
        <v/>
      </c>
      <c r="Q93" s="827">
        <f>SUM(Q82:Q92)</f>
        <v/>
      </c>
      <c r="R93" s="827">
        <f>SUM(R82:R92)</f>
        <v/>
      </c>
      <c r="S93" s="827">
        <f>SUM(S82:S92)</f>
        <v/>
      </c>
      <c r="T93" s="827">
        <f>SUM(T82:T92)</f>
        <v/>
      </c>
      <c r="U93" s="827">
        <f>SUM(U82:U92)</f>
        <v/>
      </c>
      <c r="V93" s="827">
        <f>SUM(V82:V92)</f>
        <v/>
      </c>
      <c r="W93" s="827">
        <f>SUM(W82:W92)</f>
        <v/>
      </c>
      <c r="X93" s="445">
        <f>IFERROR(W93/W17,0)</f>
        <v/>
      </c>
      <c r="Y93" s="558">
        <f>J93*12</f>
        <v/>
      </c>
      <c r="Z93" s="434">
        <f>W93-Y93</f>
        <v/>
      </c>
      <c r="AD93" s="470" t="n">
        <v>43759</v>
      </c>
      <c r="AE93" s="1260" t="inlineStr">
        <is>
          <t>Paul Wiles</t>
        </is>
      </c>
      <c r="AF93" s="1260" t="inlineStr">
        <is>
          <t>20191021-1</t>
        </is>
      </c>
      <c r="AG93" s="1282" t="inlineStr">
        <is>
          <t>171983</t>
        </is>
      </c>
      <c r="AH93" s="1385" t="n">
        <v>75</v>
      </c>
      <c r="AI93" s="1260" t="inlineStr">
        <is>
          <t>TBA</t>
        </is>
      </c>
    </row>
    <row r="94">
      <c r="AD94" s="470" t="n">
        <v>43762</v>
      </c>
      <c r="AE94" s="1255" t="inlineStr">
        <is>
          <t>David McGuire</t>
        </is>
      </c>
      <c r="AF94" s="1255" t="inlineStr">
        <is>
          <t>20191024-1</t>
        </is>
      </c>
      <c r="AG94" s="1282" t="inlineStr">
        <is>
          <t>172055</t>
        </is>
      </c>
      <c r="AH94" s="1385" t="n">
        <v>250</v>
      </c>
      <c r="AI94" s="1260" t="inlineStr">
        <is>
          <t>TBA</t>
        </is>
      </c>
    </row>
    <row r="95" ht="13.15" customHeight="1" s="1232">
      <c r="I95" s="1341" t="inlineStr">
        <is>
          <t>Banking Source</t>
        </is>
      </c>
      <c r="K95" s="1332" t="inlineStr">
        <is>
          <t>Jan</t>
        </is>
      </c>
      <c r="L95" s="1332" t="inlineStr">
        <is>
          <t>Feb</t>
        </is>
      </c>
      <c r="M95" s="1332" t="inlineStr">
        <is>
          <t>Mar</t>
        </is>
      </c>
      <c r="N95" s="1332" t="inlineStr">
        <is>
          <t>Apr</t>
        </is>
      </c>
      <c r="O95" s="1332" t="inlineStr">
        <is>
          <t>May</t>
        </is>
      </c>
      <c r="P95" s="1332" t="inlineStr">
        <is>
          <t>Jun</t>
        </is>
      </c>
      <c r="Q95" s="1332" t="inlineStr">
        <is>
          <t>Jul</t>
        </is>
      </c>
      <c r="R95" s="1332" t="inlineStr">
        <is>
          <t>Aug</t>
        </is>
      </c>
      <c r="S95" s="1332" t="inlineStr">
        <is>
          <t>Sep</t>
        </is>
      </c>
      <c r="T95" s="1332" t="inlineStr">
        <is>
          <t>Oct</t>
        </is>
      </c>
      <c r="U95" s="1332" t="inlineStr">
        <is>
          <t>Nov</t>
        </is>
      </c>
      <c r="V95" s="1332" t="inlineStr">
        <is>
          <t>Dec</t>
        </is>
      </c>
      <c r="W95" s="1332" t="inlineStr">
        <is>
          <t>Year</t>
        </is>
      </c>
      <c r="X95" s="1278" t="inlineStr">
        <is>
          <t>Split</t>
        </is>
      </c>
      <c r="Y95" s="1278" t="inlineStr">
        <is>
          <t>% YTD</t>
        </is>
      </c>
      <c r="AD95" s="470" t="n">
        <v>43769</v>
      </c>
      <c r="AE95" s="1260" t="inlineStr">
        <is>
          <t>Arthur Masters</t>
        </is>
      </c>
      <c r="AF95" s="1255" t="inlineStr">
        <is>
          <t>20191031-1</t>
        </is>
      </c>
      <c r="AG95" s="1282" t="inlineStr">
        <is>
          <t>174376</t>
        </is>
      </c>
      <c r="AH95" s="1385" t="n">
        <v>200</v>
      </c>
      <c r="AI95" s="1260" t="inlineStr">
        <is>
          <t>Jan</t>
        </is>
      </c>
    </row>
    <row r="96">
      <c r="I96" s="1255" t="inlineStr">
        <is>
          <t>Stripe</t>
        </is>
      </c>
      <c r="K96" s="432">
        <f>SUMIFS($E$150:$E$635,$A$150:$A$635,"&gt;31/12/2020",$A$150:$A$635,"&lt;1/2/2021",$D$150:$D$635,$I96)</f>
        <v/>
      </c>
      <c r="L96" s="432">
        <f>SUMIFS($E$150:$E$635,$A$150:$A$635,"&gt;31/1/2021",$A$150:$A$635,"&lt;1/3/2021",$D$150:$D$635,$I96)</f>
        <v/>
      </c>
      <c r="M96" s="432">
        <f>SUMIFS($E$150:$E$635,$A$150:$A$635,"&gt;28/2/2021",$A$150:$A$635,"&lt;1/4/2021",$D$150:$D$635,$I96)</f>
        <v/>
      </c>
      <c r="N96" s="432">
        <f>SUMIFS($E$150:$E$635,$A$150:$A$635,"&gt;31/3/2021",$A$150:$A$635,"&lt;1/5/2021",$D$150:$D$635,$I96)</f>
        <v/>
      </c>
      <c r="O96" s="432">
        <f>SUMIFS($E$150:$E$635,$A$150:$A$635,"&gt;30/4/2021",$A$150:$A$635,"&lt;1/6/2021",$D$150:$D$635,$I96)</f>
        <v/>
      </c>
      <c r="P96" s="432">
        <f>SUMIFS($E$150:$E$635,$A$150:$A$635,"&gt;31/5/2021",$A$150:$A$635,"&lt;1/7/2021",$D$150:$D$635,$I96)</f>
        <v/>
      </c>
      <c r="Q96" s="432">
        <f>SUMIFS($E$150:$E$635,$A$150:$A$635,"&gt;30/6/2021",$A$150:$A$635,"&lt;1/8/2021",$D$150:$D$635,$I96)</f>
        <v/>
      </c>
      <c r="R96" s="432">
        <f>SUMIFS($E$150:$E$635,$A$150:$A$635,"&gt;31/7/2021",$A$150:$A$635,"&lt;1/9/2021",$D$150:$D$635,$I96)</f>
        <v/>
      </c>
      <c r="S96" s="432">
        <f>SUMIFS($E$150:$E$635,$A$150:$A$635,"&gt;31/8/2021",$A$150:$A$635,"&lt;1/10/2021",$D$150:$D$635,$I96)</f>
        <v/>
      </c>
      <c r="T96" s="432">
        <f>SUMIFS($E$150:$E$635,$A$150:$A$635,"&gt;30/9/2021",$A$150:$A$635,"&lt;1/11/2021",$D$150:$D$635,$I96)</f>
        <v/>
      </c>
      <c r="U96" s="432">
        <f>SUMIFS($E$150:$E$635,$A$150:$A$635,"&gt;31/10/2021",$A$150:$A$635,"&lt;1/12/2021",$D$150:$D$635,$I96)</f>
        <v/>
      </c>
      <c r="V96" s="432">
        <f>SUMIFS($E$150:$E$635,$A$150:$A$635,"&gt;30/11/2021",$A$150:$A$635,"&lt;1/1/2022",$D$150:$D$635,$I96)</f>
        <v/>
      </c>
      <c r="W96" s="432">
        <f>SUM(K96:V96)</f>
        <v/>
      </c>
      <c r="X96" s="460">
        <f>L96/$L$105</f>
        <v/>
      </c>
      <c r="Y96" s="460">
        <f>W96/W105</f>
        <v/>
      </c>
      <c r="AD96" s="470" t="n">
        <v>43787</v>
      </c>
      <c r="AE96" s="1260" t="inlineStr">
        <is>
          <t>Adrian Willcock</t>
        </is>
      </c>
      <c r="AF96" s="1260" t="inlineStr">
        <is>
          <t>2019-1118-1</t>
        </is>
      </c>
      <c r="AG96" s="1282" t="inlineStr">
        <is>
          <t>172526</t>
        </is>
      </c>
      <c r="AH96" s="1385" t="n">
        <v>150</v>
      </c>
    </row>
    <row r="97">
      <c r="I97" s="1255" t="inlineStr">
        <is>
          <t>PayPal</t>
        </is>
      </c>
      <c r="K97" s="432">
        <f>SUMIFS($E$150:$E$635,$A$150:$A$635,"&gt;31/12/2020",$A$150:$A$635,"&lt;1/2/2021",$D$150:$D$635,$I97)</f>
        <v/>
      </c>
      <c r="L97" s="432">
        <f>SUMIFS($E$150:$E$635,$A$150:$A$635,"&gt;31/1/2021",$A$150:$A$635,"&lt;1/3/2021",$D$150:$D$635,$I97)</f>
        <v/>
      </c>
      <c r="M97" s="432">
        <f>SUMIFS($E$150:$E$635,$A$150:$A$635,"&gt;28/2/2021",$A$150:$A$635,"&lt;1/4/2021",$D$150:$D$635,$I97)</f>
        <v/>
      </c>
      <c r="N97" s="432">
        <f>SUMIFS($E$150:$E$635,$A$150:$A$635,"&gt;31/3/2021",$A$150:$A$635,"&lt;1/5/2021",$D$150:$D$635,$I97)</f>
        <v/>
      </c>
      <c r="O97" s="432">
        <f>SUMIFS($E$150:$E$635,$A$150:$A$635,"&gt;30/4/2021",$A$150:$A$635,"&lt;1/6/2021",$D$150:$D$635,$I97)</f>
        <v/>
      </c>
      <c r="P97" s="432">
        <f>SUMIFS($E$150:$E$635,$A$150:$A$635,"&gt;31/5/2021",$A$150:$A$635,"&lt;1/7/2021",$D$150:$D$635,$I97)</f>
        <v/>
      </c>
      <c r="Q97" s="432">
        <f>SUMIFS($E$150:$E$635,$A$150:$A$635,"&gt;30/6/2021",$A$150:$A$635,"&lt;1/8/2021",$D$150:$D$635,$I97)</f>
        <v/>
      </c>
      <c r="R97" s="432">
        <f>SUMIFS($E$150:$E$635,$A$150:$A$635,"&gt;31/7/2021",$A$150:$A$635,"&lt;1/9/2021",$D$150:$D$635,$I97)</f>
        <v/>
      </c>
      <c r="S97" s="432">
        <f>SUMIFS($E$150:$E$635,$A$150:$A$635,"&gt;31/8/2021",$A$150:$A$635,"&lt;1/10/2021",$D$150:$D$635,$I97)</f>
        <v/>
      </c>
      <c r="T97" s="432">
        <f>SUMIFS($E$150:$E$635,$A$150:$A$635,"&gt;30/9/2021",$A$150:$A$635,"&lt;1/11/2021",$D$150:$D$635,$I97)</f>
        <v/>
      </c>
      <c r="U97" s="432">
        <f>SUMIFS($E$150:$E$635,$A$150:$A$635,"&gt;31/10/2021",$A$150:$A$635,"&lt;1/12/2021",$D$150:$D$635,$I97)</f>
        <v/>
      </c>
      <c r="V97" s="432">
        <f>SUMIFS($E$150:$E$635,$A$150:$A$635,"&gt;30/11/2021",$A$150:$A$635,"&lt;1/1/2022",$D$150:$D$635,$I97)</f>
        <v/>
      </c>
      <c r="W97" s="432">
        <f>SUM(K97:V97)</f>
        <v/>
      </c>
      <c r="X97" s="460">
        <f>L97/$L$105</f>
        <v/>
      </c>
      <c r="Y97" s="460">
        <f>W97/W105</f>
        <v/>
      </c>
      <c r="AD97" s="470" t="n">
        <v>43865</v>
      </c>
      <c r="AE97" s="1260" t="inlineStr">
        <is>
          <t>Arthur Masters</t>
        </is>
      </c>
      <c r="AF97" s="1255" t="inlineStr">
        <is>
          <t>20200204-1</t>
        </is>
      </c>
      <c r="AG97" s="1282" t="inlineStr">
        <is>
          <t>176314</t>
        </is>
      </c>
      <c r="AH97" s="1385" t="n">
        <v>200</v>
      </c>
      <c r="AI97" s="1260" t="inlineStr">
        <is>
          <t>LR</t>
        </is>
      </c>
    </row>
    <row r="98">
      <c r="I98" s="1255" t="inlineStr">
        <is>
          <t>Various</t>
        </is>
      </c>
      <c r="K98" s="432">
        <f>SUMIFS($E$150:$E$635,$A$150:$A$635,"&gt;31/12/2020",$A$150:$A$635,"&lt;1/2/2021",$D$150:$D$635,$I98)</f>
        <v/>
      </c>
      <c r="L98" s="432">
        <f>SUMIFS($E$150:$E$635,$A$150:$A$635,"&gt;31/1/2021",$A$150:$A$635,"&lt;1/3/2021",$D$150:$D$635,$I98)</f>
        <v/>
      </c>
      <c r="M98" s="432">
        <f>SUMIFS($E$150:$E$635,$A$150:$A$635,"&gt;28/2/2021",$A$150:$A$635,"&lt;1/4/2021",$D$150:$D$635,$I98)</f>
        <v/>
      </c>
      <c r="N98" s="432">
        <f>SUMIFS($E$150:$E$635,$A$150:$A$635,"&gt;31/3/2021",$A$150:$A$635,"&lt;1/5/2021",$D$150:$D$635,$I98)</f>
        <v/>
      </c>
      <c r="O98" s="432">
        <f>SUMIFS($E$150:$E$635,$A$150:$A$635,"&gt;30/4/2021",$A$150:$A$635,"&lt;1/6/2021",$D$150:$D$635,$I98)</f>
        <v/>
      </c>
      <c r="P98" s="432">
        <f>SUMIFS($E$150:$E$635,$A$150:$A$635,"&gt;31/5/2021",$A$150:$A$635,"&lt;1/7/2021",$D$150:$D$635,$I98)</f>
        <v/>
      </c>
      <c r="Q98" s="432">
        <f>SUMIFS($E$150:$E$635,$A$150:$A$635,"&gt;30/6/2021",$A$150:$A$635,"&lt;1/8/2021",$D$150:$D$635,$I98)</f>
        <v/>
      </c>
      <c r="R98" s="432">
        <f>SUMIFS($E$150:$E$635,$A$150:$A$635,"&gt;31/7/2021",$A$150:$A$635,"&lt;1/9/2021",$D$150:$D$635,$I98)</f>
        <v/>
      </c>
      <c r="S98" s="432">
        <f>SUMIFS($E$150:$E$635,$A$150:$A$635,"&gt;31/8/2021",$A$150:$A$635,"&lt;1/10/2021",$D$150:$D$635,$I98)</f>
        <v/>
      </c>
      <c r="T98" s="432">
        <f>SUMIFS($E$150:$E$635,$A$150:$A$635,"&gt;30/9/2021",$A$150:$A$635,"&lt;1/11/2021",$D$150:$D$635,$I98)</f>
        <v/>
      </c>
      <c r="U98" s="432">
        <f>SUMIFS($E$150:$E$635,$A$150:$A$635,"&gt;31/10/2021",$A$150:$A$635,"&lt;1/12/2021",$D$150:$D$635,$I98)</f>
        <v/>
      </c>
      <c r="V98" s="432">
        <f>SUMIFS($E$150:$E$635,$A$150:$A$635,"&gt;30/11/2021",$A$150:$A$635,"&lt;1/1/2022",$D$150:$D$635,$I98)</f>
        <v/>
      </c>
      <c r="W98" s="432">
        <f>SUM(K98:V98)</f>
        <v/>
      </c>
      <c r="X98" s="460">
        <f>L98/$L$105</f>
        <v/>
      </c>
      <c r="Y98" s="460">
        <f>W98/W105</f>
        <v/>
      </c>
      <c r="AG98" s="1282" t="n"/>
    </row>
    <row r="99">
      <c r="I99" s="1255" t="inlineStr">
        <is>
          <t>Bank</t>
        </is>
      </c>
      <c r="K99" s="432">
        <f>SUMIFS($E$150:$E$635,$A$150:$A$635,"&gt;31/12/2020",$A$150:$A$635,"&lt;1/2/2021",$D$150:$D$635,$I99)</f>
        <v/>
      </c>
      <c r="L99" s="432">
        <f>SUMIFS($E$150:$E$635,$A$150:$A$635,"&gt;31/1/2021",$A$150:$A$635,"&lt;1/3/2021",$D$150:$D$635,$I99)</f>
        <v/>
      </c>
      <c r="M99" s="432">
        <f>SUMIFS($E$150:$E$635,$A$150:$A$635,"&gt;28/2/2021",$A$150:$A$635,"&lt;1/4/2021",$D$150:$D$635,$I99)</f>
        <v/>
      </c>
      <c r="N99" s="432">
        <f>SUMIFS($E$150:$E$635,$A$150:$A$635,"&gt;31/3/2021",$A$150:$A$635,"&lt;1/5/2021",$D$150:$D$635,$I99)</f>
        <v/>
      </c>
      <c r="O99" s="432">
        <f>SUMIFS($E$150:$E$635,$A$150:$A$635,"&gt;30/4/2021",$A$150:$A$635,"&lt;1/6/2021",$D$150:$D$635,$I99)</f>
        <v/>
      </c>
      <c r="P99" s="432">
        <f>SUMIFS($E$150:$E$635,$A$150:$A$635,"&gt;31/5/2021",$A$150:$A$635,"&lt;1/7/2021",$D$150:$D$635,$I99)</f>
        <v/>
      </c>
      <c r="Q99" s="432">
        <f>SUMIFS($E$150:$E$635,$A$150:$A$635,"&gt;30/6/2021",$A$150:$A$635,"&lt;1/8/2021",$D$150:$D$635,$I99)</f>
        <v/>
      </c>
      <c r="R99" s="432">
        <f>SUMIFS($E$150:$E$635,$A$150:$A$635,"&gt;31/7/2021",$A$150:$A$635,"&lt;1/9/2021",$D$150:$D$635,$I99)</f>
        <v/>
      </c>
      <c r="S99" s="432">
        <f>SUMIFS($E$150:$E$635,$A$150:$A$635,"&gt;31/8/2021",$A$150:$A$635,"&lt;1/10/2021",$D$150:$D$635,$I99)</f>
        <v/>
      </c>
      <c r="T99" s="432">
        <f>SUMIFS($E$150:$E$635,$A$150:$A$635,"&gt;30/9/2021",$A$150:$A$635,"&lt;1/11/2021",$D$150:$D$635,$I99)</f>
        <v/>
      </c>
      <c r="U99" s="432">
        <f>SUMIFS($E$150:$E$635,$A$150:$A$635,"&gt;31/10/2021",$A$150:$A$635,"&lt;1/12/2021",$D$150:$D$635,$I99)</f>
        <v/>
      </c>
      <c r="V99" s="432">
        <f>SUMIFS($E$150:$E$635,$A$150:$A$635,"&gt;30/11/2021",$A$150:$A$635,"&lt;1/1/2022",$D$150:$D$635,$I99)</f>
        <v/>
      </c>
      <c r="W99" s="432">
        <f>SUM(K99:V99)</f>
        <v/>
      </c>
      <c r="X99" s="460">
        <f>L99/$L$105</f>
        <v/>
      </c>
      <c r="Y99" s="460">
        <f>W99/W105</f>
        <v/>
      </c>
      <c r="AG99" s="1282" t="n"/>
    </row>
    <row r="100" ht="13.15" customHeight="1" s="1232">
      <c r="I100" s="1255" t="inlineStr">
        <is>
          <t>Groupon</t>
        </is>
      </c>
      <c r="K100" s="432">
        <f>SUMIFS($E$150:$E$635,$A$150:$A$635,"&gt;31/12/2020",$A$150:$A$635,"&lt;1/2/2021",$D$150:$D$635,$I100)</f>
        <v/>
      </c>
      <c r="L100" s="432">
        <f>SUMIFS($E$150:$E$635,$A$150:$A$635,"&gt;31/1/2021",$A$150:$A$635,"&lt;1/3/2021",$D$150:$D$635,$I100)</f>
        <v/>
      </c>
      <c r="M100" s="432">
        <f>SUMIFS($E$150:$E$635,$A$150:$A$635,"&gt;28/2/2021",$A$150:$A$635,"&lt;1/4/2021",$D$150:$D$635,$I100)</f>
        <v/>
      </c>
      <c r="N100" s="432">
        <f>SUMIFS($E$150:$E$635,$A$150:$A$635,"&gt;31/3/2021",$A$150:$A$635,"&lt;1/5/2021",$D$150:$D$635,$I100)</f>
        <v/>
      </c>
      <c r="O100" s="432">
        <f>SUMIFS($E$150:$E$635,$A$150:$A$635,"&gt;30/4/2021",$A$150:$A$635,"&lt;1/6/2021",$D$150:$D$635,$I100)</f>
        <v/>
      </c>
      <c r="P100" s="432">
        <f>SUMIFS($E$150:$E$635,$A$150:$A$635,"&gt;31/5/2021",$A$150:$A$635,"&lt;1/7/2021",$D$150:$D$635,$I100)</f>
        <v/>
      </c>
      <c r="Q100" s="432">
        <f>SUMIFS($E$150:$E$635,$A$150:$A$635,"&gt;30/6/2021",$A$150:$A$635,"&lt;1/8/2021",$D$150:$D$635,$I100)</f>
        <v/>
      </c>
      <c r="R100" s="432">
        <f>SUMIFS($E$150:$E$635,$A$150:$A$635,"&gt;31/7/2021",$A$150:$A$635,"&lt;1/9/2021",$D$150:$D$635,$I100)</f>
        <v/>
      </c>
      <c r="S100" s="432">
        <f>SUMIFS($E$150:$E$635,$A$150:$A$635,"&gt;31/8/2021",$A$150:$A$635,"&lt;1/10/2021",$D$150:$D$635,$I100)</f>
        <v/>
      </c>
      <c r="T100" s="432">
        <f>SUMIFS($E$150:$E$635,$A$150:$A$635,"&gt;30/9/2021",$A$150:$A$635,"&lt;1/11/2021",$D$150:$D$635,$I100)</f>
        <v/>
      </c>
      <c r="U100" s="432">
        <f>SUMIFS($E$150:$E$635,$A$150:$A$635,"&gt;31/10/2021",$A$150:$A$635,"&lt;1/12/2021",$D$150:$D$635,$I100)</f>
        <v/>
      </c>
      <c r="V100" s="432">
        <f>SUMIFS($E$150:$E$635,$A$150:$A$635,"&gt;30/11/2021",$A$150:$A$635,"&lt;1/1/2022",$D$150:$D$635,$I100)</f>
        <v/>
      </c>
      <c r="W100" s="432">
        <f>SUM(K100:V100)</f>
        <v/>
      </c>
      <c r="X100" s="460">
        <f>L100/$L$105</f>
        <v/>
      </c>
      <c r="Y100" s="460">
        <f>W100/W105</f>
        <v/>
      </c>
      <c r="AH100" s="1391">
        <f>SUM(AH18:AH99)</f>
        <v/>
      </c>
    </row>
    <row r="101">
      <c r="I101" s="1255" t="inlineStr">
        <is>
          <t>Cash</t>
        </is>
      </c>
      <c r="K101" s="432">
        <f>SUMIFS($E$150:$E$635,$A$150:$A$635,"&gt;31/12/2020",$A$150:$A$635,"&lt;1/2/2021",$D$150:$D$635,$I101)</f>
        <v/>
      </c>
      <c r="L101" s="432">
        <f>SUMIFS($E$150:$E$635,$A$150:$A$635,"&gt;31/1/2021",$A$150:$A$635,"&lt;1/3/2021",$D$150:$D$635,$I101)</f>
        <v/>
      </c>
      <c r="M101" s="432">
        <f>SUMIFS($E$150:$E$635,$A$150:$A$635,"&gt;28/2/2021",$A$150:$A$635,"&lt;1/4/2021",$D$150:$D$635,$I101)</f>
        <v/>
      </c>
      <c r="N101" s="432">
        <f>SUMIFS($E$150:$E$635,$A$150:$A$635,"&gt;31/3/2021",$A$150:$A$635,"&lt;1/5/2021",$D$150:$D$635,$I101)</f>
        <v/>
      </c>
      <c r="O101" s="432">
        <f>SUMIFS($E$150:$E$635,$A$150:$A$635,"&gt;30/4/2021",$A$150:$A$635,"&lt;1/6/2021",$D$150:$D$635,$I101)</f>
        <v/>
      </c>
      <c r="P101" s="432">
        <f>SUMIFS($E$150:$E$635,$A$150:$A$635,"&gt;31/5/2021",$A$150:$A$635,"&lt;1/7/2021",$D$150:$D$635,$I101)</f>
        <v/>
      </c>
      <c r="Q101" s="432">
        <f>SUMIFS($E$150:$E$635,$A$150:$A$635,"&gt;30/6/2021",$A$150:$A$635,"&lt;1/8/2021",$D$150:$D$635,$I101)</f>
        <v/>
      </c>
      <c r="R101" s="432">
        <f>SUMIFS($E$150:$E$635,$A$150:$A$635,"&gt;31/7/2021",$A$150:$A$635,"&lt;1/9/2021",$D$150:$D$635,$I101)</f>
        <v/>
      </c>
      <c r="S101" s="432">
        <f>SUMIFS($E$150:$E$635,$A$150:$A$635,"&gt;31/8/2021",$A$150:$A$635,"&lt;1/10/2021",$D$150:$D$635,$I101)</f>
        <v/>
      </c>
      <c r="T101" s="432">
        <f>SUMIFS($E$150:$E$635,$A$150:$A$635,"&gt;30/9/2021",$A$150:$A$635,"&lt;1/11/2021",$D$150:$D$635,$I101)</f>
        <v/>
      </c>
      <c r="U101" s="432">
        <f>SUMIFS($E$150:$E$635,$A$150:$A$635,"&gt;31/10/2021",$A$150:$A$635,"&lt;1/12/2021",$D$150:$D$635,$I101)</f>
        <v/>
      </c>
      <c r="V101" s="432">
        <f>SUMIFS($E$150:$E$635,$A$150:$A$635,"&gt;30/11/2021",$A$150:$A$635,"&lt;1/1/2022",$D$150:$D$635,$I101)</f>
        <v/>
      </c>
      <c r="W101" s="432">
        <f>SUM(K101:V101)</f>
        <v/>
      </c>
      <c r="X101" s="460">
        <f>L101/$L$105</f>
        <v/>
      </c>
      <c r="Y101" s="460">
        <f>W101/W105</f>
        <v/>
      </c>
    </row>
    <row r="102">
      <c r="I102" s="1260" t="inlineStr">
        <is>
          <t>Gift Voucher Out</t>
        </is>
      </c>
      <c r="K102" s="432">
        <f>SUMIFS($E$150:$E$635,$A$150:$A$635,"&gt;31/12/2020",$A$150:$A$635,"&lt;1/2/2021",$D$150:$D$635,$I102)</f>
        <v/>
      </c>
      <c r="L102" s="432">
        <f>SUMIFS($E$150:$E$635,$A$150:$A$635,"&gt;31/1/2021",$A$150:$A$635,"&lt;1/3/2021",$D$150:$D$635,$I102)</f>
        <v/>
      </c>
      <c r="M102" s="432">
        <f>SUMIFS($E$150:$E$635,$A$150:$A$635,"&gt;28/2/2021",$A$150:$A$635,"&lt;1/4/2021",$D$150:$D$635,$I102)</f>
        <v/>
      </c>
      <c r="N102" s="432">
        <f>SUMIFS($E$150:$E$635,$A$150:$A$635,"&gt;31/3/2021",$A$150:$A$635,"&lt;1/5/2021",$D$150:$D$635,$I102)</f>
        <v/>
      </c>
      <c r="O102" s="432">
        <f>SUMIFS($E$150:$E$635,$A$150:$A$635,"&gt;30/4/2021",$A$150:$A$635,"&lt;1/6/2021",$D$150:$D$635,$I102)</f>
        <v/>
      </c>
      <c r="P102" s="432">
        <f>SUMIFS($E$150:$E$635,$A$150:$A$635,"&gt;31/5/2021",$A$150:$A$635,"&lt;1/7/2021",$D$150:$D$635,$I102)</f>
        <v/>
      </c>
      <c r="Q102" s="432">
        <f>SUMIFS($E$150:$E$635,$A$150:$A$635,"&gt;30/6/2021",$A$150:$A$635,"&lt;1/8/2021",$D$150:$D$635,$I102)</f>
        <v/>
      </c>
      <c r="R102" s="432">
        <f>SUMIFS($E$150:$E$635,$A$150:$A$635,"&gt;31/7/2021",$A$150:$A$635,"&lt;1/9/2021",$D$150:$D$635,$I102)</f>
        <v/>
      </c>
      <c r="S102" s="432">
        <f>SUMIFS($E$150:$E$635,$A$150:$A$635,"&gt;31/8/2021",$A$150:$A$635,"&lt;1/10/2021",$D$150:$D$635,$I102)</f>
        <v/>
      </c>
      <c r="T102" s="432">
        <f>SUMIFS($E$150:$E$635,$A$150:$A$635,"&gt;30/9/2021",$A$150:$A$635,"&lt;1/11/2021",$D$150:$D$635,$I102)</f>
        <v/>
      </c>
      <c r="U102" s="432">
        <f>SUMIFS($E$150:$E$635,$A$150:$A$635,"&gt;31/10/2021",$A$150:$A$635,"&lt;1/12/2021",$D$150:$D$635,$I102)</f>
        <v/>
      </c>
      <c r="V102" s="432">
        <f>SUMIFS($E$150:$E$635,$A$150:$A$635,"&gt;30/11/2021",$A$150:$A$635,"&lt;1/1/2022",$D$150:$D$635,$I102)</f>
        <v/>
      </c>
      <c r="W102" s="432">
        <f>SUM(K102:V102)</f>
        <v/>
      </c>
      <c r="X102" s="460" t="n"/>
      <c r="Y102" s="460" t="n"/>
    </row>
    <row r="103">
      <c r="I103" s="1260" t="inlineStr">
        <is>
          <t>PicknMix</t>
        </is>
      </c>
      <c r="K103" s="432">
        <f>SUMIFS($E$150:$E$635,$A$150:$A$635,"&gt;31/12/2020",$A$150:$A$635,"&lt;1/2/2021",$D$150:$D$635,$I103)</f>
        <v/>
      </c>
      <c r="L103" s="432">
        <f>SUMIFS($E$150:$E$635,$A$150:$A$635,"&gt;31/1/2021",$A$150:$A$635,"&lt;1/3/2021",$D$150:$D$635,$I103)</f>
        <v/>
      </c>
      <c r="M103" s="432">
        <f>SUMIFS($E$150:$E$635,$A$150:$A$635,"&gt;28/2/2021",$A$150:$A$635,"&lt;1/4/2021",$D$150:$D$635,$I103)</f>
        <v/>
      </c>
      <c r="N103" s="432">
        <f>SUMIFS($E$150:$E$635,$A$150:$A$635,"&gt;31/3/2021",$A$150:$A$635,"&lt;1/5/2021",$D$150:$D$635,$I103)</f>
        <v/>
      </c>
      <c r="O103" s="432">
        <f>SUMIFS($E$150:$E$635,$A$150:$A$635,"&gt;30/4/2021",$A$150:$A$635,"&lt;1/6/2021",$D$150:$D$635,$I103)</f>
        <v/>
      </c>
      <c r="P103" s="432">
        <f>SUMIFS($E$150:$E$635,$A$150:$A$635,"&gt;31/5/2021",$A$150:$A$635,"&lt;1/7/2021",$D$150:$D$635,$I103)</f>
        <v/>
      </c>
      <c r="Q103" s="432">
        <f>SUMIFS($E$150:$E$635,$A$150:$A$635,"&gt;30/6/2021",$A$150:$A$635,"&lt;1/8/2021",$D$150:$D$635,$I103)</f>
        <v/>
      </c>
      <c r="R103" s="432">
        <f>SUMIFS($E$150:$E$635,$A$150:$A$635,"&gt;31/7/2021",$A$150:$A$635,"&lt;1/9/2021",$D$150:$D$635,$I103)</f>
        <v/>
      </c>
      <c r="S103" s="432">
        <f>SUMIFS($E$150:$E$635,$A$150:$A$635,"&gt;31/8/2021",$A$150:$A$635,"&lt;1/10/2021",$D$150:$D$635,$I103)</f>
        <v/>
      </c>
      <c r="T103" s="432">
        <f>SUMIFS($E$150:$E$635,$A$150:$A$635,"&gt;30/9/2021",$A$150:$A$635,"&lt;1/11/2021",$D$150:$D$635,$I103)</f>
        <v/>
      </c>
      <c r="U103" s="432">
        <f>SUMIFS($E$150:$E$635,$A$150:$A$635,"&gt;31/10/2021",$A$150:$A$635,"&lt;1/12/2021",$D$150:$D$635,$I103)</f>
        <v/>
      </c>
      <c r="V103" s="432">
        <f>SUMIFS($E$150:$E$635,$A$150:$A$635,"&gt;30/11/2021",$A$150:$A$635,"&lt;1/1/2022",$D$150:$D$635,$I103)</f>
        <v/>
      </c>
      <c r="W103" s="432">
        <f>SUM(K103:V103)</f>
        <v/>
      </c>
      <c r="X103" s="460">
        <f>L103/$L$105</f>
        <v/>
      </c>
      <c r="Y103" s="460">
        <f>W103/W105</f>
        <v/>
      </c>
    </row>
    <row r="104">
      <c r="I104" s="1260" t="inlineStr">
        <is>
          <t>W-Pay</t>
        </is>
      </c>
      <c r="K104" s="432">
        <f>SUMIFS($E$150:$E$635,$A$150:$A$635,"&gt;31/12/2020",$A$150:$A$635,"&lt;1/2/2021",$D$150:$D$635,$I104)</f>
        <v/>
      </c>
      <c r="L104" s="432">
        <f>SUMIFS($E$150:$E$635,$A$150:$A$635,"&gt;31/1/2021",$A$150:$A$635,"&lt;1/3/2021",$D$150:$D$635,$I104)</f>
        <v/>
      </c>
      <c r="M104" s="432">
        <f>SUMIFS($E$150:$E$635,$A$150:$A$635,"&gt;28/2/2021",$A$150:$A$635,"&lt;1/4/2021",$D$150:$D$635,$I104)</f>
        <v/>
      </c>
      <c r="N104" s="432">
        <f>SUMIFS($E$150:$E$635,$A$150:$A$635,"&gt;31/3/2021",$A$150:$A$635,"&lt;1/5/2021",$D$150:$D$635,$I104)</f>
        <v/>
      </c>
      <c r="O104" s="432">
        <f>SUMIFS($E$150:$E$635,$A$150:$A$635,"&gt;30/4/2021",$A$150:$A$635,"&lt;1/6/2021",$D$150:$D$635,$I104)</f>
        <v/>
      </c>
      <c r="P104" s="432">
        <f>SUMIFS($E$150:$E$635,$A$150:$A$635,"&gt;31/5/2021",$A$150:$A$635,"&lt;1/7/2021",$D$150:$D$635,$I104)</f>
        <v/>
      </c>
      <c r="Q104" s="432">
        <f>SUMIFS($E$150:$E$635,$A$150:$A$635,"&gt;30/6/2021",$A$150:$A$635,"&lt;1/8/2021",$D$150:$D$635,$I104)</f>
        <v/>
      </c>
      <c r="R104" s="432">
        <f>SUMIFS($E$150:$E$635,$A$150:$A$635,"&gt;31/7/2021",$A$150:$A$635,"&lt;1/9/2021",$D$150:$D$635,$I104)</f>
        <v/>
      </c>
      <c r="S104" s="432">
        <f>SUMIFS($E$150:$E$635,$A$150:$A$635,"&gt;31/8/2021",$A$150:$A$635,"&lt;1/10/2021",$D$150:$D$635,$I104)</f>
        <v/>
      </c>
      <c r="T104" s="432">
        <f>SUMIFS($E$150:$E$635,$A$150:$A$635,"&gt;30/9/2021",$A$150:$A$635,"&lt;1/11/2021",$D$150:$D$635,$I104)</f>
        <v/>
      </c>
      <c r="U104" s="432">
        <f>SUMIFS($E$150:$E$635,$A$150:$A$635,"&gt;31/10/2021",$A$150:$A$635,"&lt;1/12/2021",$D$150:$D$635,$I104)</f>
        <v/>
      </c>
      <c r="V104" s="432">
        <f>SUMIFS($E$150:$E$635,$A$150:$A$635,"&gt;30/11/2021",$A$150:$A$635,"&lt;1/1/2022",$D$150:$D$635,$I104)</f>
        <v/>
      </c>
      <c r="W104" s="432">
        <f>SUM(K104:V104)</f>
        <v/>
      </c>
      <c r="X104" s="460">
        <f>L104/$L$105</f>
        <v/>
      </c>
      <c r="Y104" s="460">
        <f>W104/W105</f>
        <v/>
      </c>
    </row>
    <row r="105" ht="13.5" customHeight="1" s="1232" thickBot="1">
      <c r="I105" s="914" t="n"/>
      <c r="K105" s="801">
        <f>SUM(K96:K104)</f>
        <v/>
      </c>
      <c r="L105" s="801">
        <f>SUM(L96:L104)</f>
        <v/>
      </c>
      <c r="M105" s="801">
        <f>SUM(M96:M104)</f>
        <v/>
      </c>
      <c r="N105" s="801">
        <f>SUM(N96:N104)</f>
        <v/>
      </c>
      <c r="O105" s="801">
        <f>SUM(O96:O104)</f>
        <v/>
      </c>
      <c r="P105" s="801">
        <f>SUM(P96:P104)</f>
        <v/>
      </c>
      <c r="Q105" s="801">
        <f>SUM(Q96:Q104)</f>
        <v/>
      </c>
      <c r="R105" s="801">
        <f>SUM(R96:R104)</f>
        <v/>
      </c>
      <c r="S105" s="801">
        <f>SUM(S96:S104)</f>
        <v/>
      </c>
      <c r="T105" s="801">
        <f>SUM(T96:T104)</f>
        <v/>
      </c>
      <c r="U105" s="801">
        <f>SUM(U96:U104)</f>
        <v/>
      </c>
      <c r="V105" s="801">
        <f>SUM(V96:V104)</f>
        <v/>
      </c>
      <c r="W105" s="801">
        <f>SUM(W96:W104)</f>
        <v/>
      </c>
      <c r="X105" s="914" t="n"/>
      <c r="Y105" s="466" t="n"/>
      <c r="AD105" s="470" t="n"/>
      <c r="AF105" s="1260" t="n"/>
      <c r="AG105" s="1282" t="n"/>
      <c r="AI105" s="1373" t="n"/>
    </row>
    <row r="106" ht="13.15" customHeight="1" s="1232" thickTop="1">
      <c r="I106" s="914" t="n"/>
      <c r="K106" s="434">
        <f>K105-K17</f>
        <v/>
      </c>
      <c r="L106" s="434">
        <f>L105-L17</f>
        <v/>
      </c>
      <c r="M106" s="434">
        <f>M105-M17</f>
        <v/>
      </c>
      <c r="N106" s="434">
        <f>N105-N17</f>
        <v/>
      </c>
      <c r="O106" s="434">
        <f>O105-O17</f>
        <v/>
      </c>
      <c r="P106" s="434">
        <f>P105-P17</f>
        <v/>
      </c>
      <c r="Q106" s="434">
        <f>Q105-Q17</f>
        <v/>
      </c>
      <c r="R106" s="434">
        <f>R105-R17</f>
        <v/>
      </c>
      <c r="S106" s="434">
        <f>S105-S17</f>
        <v/>
      </c>
      <c r="T106" s="434" t="n"/>
      <c r="U106" s="434" t="n"/>
      <c r="V106" s="434" t="n"/>
      <c r="W106" s="434" t="n"/>
      <c r="X106" s="914" t="n"/>
      <c r="AD106" s="470" t="n"/>
      <c r="AF106" s="1260" t="n"/>
      <c r="AG106" s="1282" t="n"/>
      <c r="AI106" s="1373" t="n"/>
    </row>
    <row r="107" ht="13.15" customHeight="1" s="1232">
      <c r="I107" s="556" t="inlineStr">
        <is>
          <t>Payment Fees</t>
        </is>
      </c>
      <c r="K107" s="1332" t="inlineStr">
        <is>
          <t>Jan</t>
        </is>
      </c>
      <c r="L107" s="1332" t="inlineStr">
        <is>
          <t>Feb</t>
        </is>
      </c>
      <c r="M107" s="1332" t="inlineStr">
        <is>
          <t>Mar</t>
        </is>
      </c>
      <c r="N107" s="1332" t="inlineStr">
        <is>
          <t>Apr</t>
        </is>
      </c>
      <c r="O107" s="1332" t="inlineStr">
        <is>
          <t>May</t>
        </is>
      </c>
      <c r="P107" s="1332" t="inlineStr">
        <is>
          <t>Jun</t>
        </is>
      </c>
      <c r="Q107" s="1332" t="inlineStr">
        <is>
          <t>Jul</t>
        </is>
      </c>
      <c r="R107" s="1332" t="inlineStr">
        <is>
          <t>Aug</t>
        </is>
      </c>
      <c r="S107" s="1332" t="inlineStr">
        <is>
          <t>Sep</t>
        </is>
      </c>
      <c r="T107" s="1332" t="inlineStr">
        <is>
          <t>Oct</t>
        </is>
      </c>
      <c r="U107" s="1332" t="inlineStr">
        <is>
          <t>Nov</t>
        </is>
      </c>
      <c r="V107" s="1332" t="inlineStr">
        <is>
          <t>Dec</t>
        </is>
      </c>
      <c r="W107" s="1332" t="inlineStr">
        <is>
          <t>Year</t>
        </is>
      </c>
      <c r="X107" s="914" t="n"/>
      <c r="AD107" s="470" t="n"/>
      <c r="AF107" s="1260" t="n"/>
      <c r="AG107" s="1282" t="n"/>
      <c r="AI107" s="1373" t="n"/>
    </row>
    <row r="108" ht="13.15" customHeight="1" s="1232">
      <c r="I108" s="791" t="inlineStr">
        <is>
          <t>Stripe 1.8%</t>
        </is>
      </c>
      <c r="K108" s="914">
        <f>K96*1.8%</f>
        <v/>
      </c>
      <c r="L108" s="914">
        <f>L96*1.8%</f>
        <v/>
      </c>
      <c r="M108" s="914">
        <f>M96*1.8%</f>
        <v/>
      </c>
      <c r="N108" s="914">
        <f>N96*1.8%</f>
        <v/>
      </c>
      <c r="O108" s="914">
        <f>O96*1.8%</f>
        <v/>
      </c>
      <c r="P108" s="914">
        <f>P96*1.8%</f>
        <v/>
      </c>
      <c r="Q108" s="914">
        <f>Q96*1.8%</f>
        <v/>
      </c>
      <c r="R108" s="914">
        <f>R96*1.8%</f>
        <v/>
      </c>
      <c r="S108" s="914">
        <f>S96*1.8%</f>
        <v/>
      </c>
      <c r="T108" s="914">
        <f>T96*1.8%</f>
        <v/>
      </c>
      <c r="U108" s="914">
        <f>U96*1.8%</f>
        <v/>
      </c>
      <c r="V108" s="914">
        <f>V96*1.8%</f>
        <v/>
      </c>
      <c r="W108" s="432">
        <f>SUM(K108:V108)</f>
        <v/>
      </c>
      <c r="X108" s="914" t="n"/>
      <c r="Y108" s="466" t="n"/>
      <c r="AD108" s="470" t="n"/>
      <c r="AF108" s="1260" t="n"/>
      <c r="AG108" s="1282" t="n"/>
      <c r="AI108" s="1373" t="n"/>
    </row>
    <row r="109" ht="13.15" customHeight="1" s="1232">
      <c r="I109" s="791" t="inlineStr">
        <is>
          <t>Paypal 2.90% + £0.30</t>
        </is>
      </c>
      <c r="K109" s="914">
        <f>K97*3.5%</f>
        <v/>
      </c>
      <c r="L109" s="914">
        <f>L97*3.5%</f>
        <v/>
      </c>
      <c r="M109" s="914">
        <f>M97*3.5%</f>
        <v/>
      </c>
      <c r="N109" s="914">
        <f>N97*3.5%</f>
        <v/>
      </c>
      <c r="O109" s="914">
        <f>O97*3.5%</f>
        <v/>
      </c>
      <c r="P109" s="914">
        <f>P97*3.5%</f>
        <v/>
      </c>
      <c r="Q109" s="914">
        <f>Q97*3.5%</f>
        <v/>
      </c>
      <c r="R109" s="914">
        <f>R97*3.5%</f>
        <v/>
      </c>
      <c r="S109" s="914">
        <f>S97*3.5%</f>
        <v/>
      </c>
      <c r="T109" s="914">
        <f>T97*3.5%</f>
        <v/>
      </c>
      <c r="U109" s="914">
        <f>U97*3.5%</f>
        <v/>
      </c>
      <c r="V109" s="914">
        <f>V97*3.5%</f>
        <v/>
      </c>
      <c r="W109" s="432">
        <f>SUM(K109:V109)</f>
        <v/>
      </c>
      <c r="X109" s="914" t="n"/>
      <c r="Y109" s="466" t="n"/>
      <c r="AD109" s="470" t="n"/>
      <c r="AF109" s="1260" t="n"/>
      <c r="AG109" s="1282" t="n"/>
      <c r="AI109" s="1373" t="n"/>
    </row>
    <row r="110" ht="13.15" customHeight="1" s="1232">
      <c r="I110" s="791" t="inlineStr">
        <is>
          <t>W-Pay</t>
        </is>
      </c>
      <c r="K110" s="914">
        <f>K104*3.5%</f>
        <v/>
      </c>
      <c r="L110" s="914">
        <f>L104*3.5%</f>
        <v/>
      </c>
      <c r="M110" s="914">
        <f>M104*3.5%</f>
        <v/>
      </c>
      <c r="N110" s="914">
        <f>N104*3.5%</f>
        <v/>
      </c>
      <c r="O110" s="914">
        <f>O104*3.5%</f>
        <v/>
      </c>
      <c r="P110" s="914">
        <f>P104*3.5%</f>
        <v/>
      </c>
      <c r="Q110" s="914">
        <f>Q104*3.5%</f>
        <v/>
      </c>
      <c r="R110" s="914">
        <f>R104*3.5%</f>
        <v/>
      </c>
      <c r="S110" s="914">
        <f>S104*3.5%</f>
        <v/>
      </c>
      <c r="T110" s="914">
        <f>T104*3.5%</f>
        <v/>
      </c>
      <c r="U110" s="914">
        <f>U104*3.5%</f>
        <v/>
      </c>
      <c r="V110" s="914">
        <f>V104*3.5%</f>
        <v/>
      </c>
      <c r="W110" s="586">
        <f>SUM(K110:V110)</f>
        <v/>
      </c>
      <c r="X110" s="914" t="n"/>
      <c r="Y110" s="466" t="n"/>
      <c r="AD110" s="470" t="n"/>
      <c r="AF110" s="1260" t="n"/>
      <c r="AG110" s="1282" t="n"/>
      <c r="AI110" s="1373" t="n"/>
    </row>
    <row r="111" ht="13.5" customHeight="1" s="1232" thickBot="1">
      <c r="I111" s="822" t="inlineStr">
        <is>
          <t>Total Fees</t>
        </is>
      </c>
      <c r="J111" s="1343" t="n"/>
      <c r="K111" s="822">
        <f>SUM(K107:K110)</f>
        <v/>
      </c>
      <c r="L111" s="822">
        <f>SUM(L107:L110)</f>
        <v/>
      </c>
      <c r="M111" s="822">
        <f>SUM(M107:M110)</f>
        <v/>
      </c>
      <c r="N111" s="822">
        <f>SUM(N107:N110)</f>
        <v/>
      </c>
      <c r="O111" s="822">
        <f>SUM(O107:O110)</f>
        <v/>
      </c>
      <c r="P111" s="822">
        <f>SUM(P107:P110)</f>
        <v/>
      </c>
      <c r="Q111" s="822">
        <f>SUM(Q107:Q110)</f>
        <v/>
      </c>
      <c r="R111" s="822">
        <f>SUM(R107:R110)</f>
        <v/>
      </c>
      <c r="S111" s="822">
        <f>SUM(S107:S110)</f>
        <v/>
      </c>
      <c r="T111" s="822">
        <f>SUM(T107:T110)</f>
        <v/>
      </c>
      <c r="U111" s="822">
        <f>SUM(U107:U110)</f>
        <v/>
      </c>
      <c r="V111" s="822">
        <f>SUM(V107:V110)</f>
        <v/>
      </c>
      <c r="W111" s="824">
        <f>SUM(K111:V111)</f>
        <v/>
      </c>
      <c r="X111" s="914" t="n"/>
      <c r="Y111" s="466" t="n"/>
      <c r="AD111" s="470" t="n"/>
      <c r="AF111" s="1260" t="n"/>
      <c r="AG111" s="1282" t="n"/>
      <c r="AI111" s="1373" t="n"/>
    </row>
    <row r="112" ht="13.15" customHeight="1" s="1232">
      <c r="I112" s="914" t="n"/>
      <c r="K112" s="914" t="n"/>
      <c r="L112" s="914" t="n"/>
      <c r="M112" s="914" t="n"/>
      <c r="N112" s="914" t="n"/>
      <c r="O112" s="914" t="n"/>
      <c r="P112" s="914" t="n"/>
      <c r="Q112" s="914" t="n"/>
      <c r="R112" s="914" t="n"/>
      <c r="S112" s="914" t="n"/>
      <c r="T112" s="914" t="n"/>
      <c r="U112" s="914" t="n"/>
      <c r="V112" s="914" t="n"/>
      <c r="W112" s="461">
        <f>SUM(K112:V112)</f>
        <v/>
      </c>
      <c r="X112" s="914" t="n"/>
      <c r="Y112" s="466" t="n"/>
      <c r="AD112" s="470" t="n"/>
      <c r="AF112" s="1260" t="n"/>
      <c r="AG112" s="1282" t="n"/>
      <c r="AI112" s="1373" t="n"/>
    </row>
    <row r="113" ht="13.5" customHeight="1" s="1232" thickBot="1">
      <c r="I113" s="561" t="inlineStr">
        <is>
          <t>Net Payment</t>
        </is>
      </c>
      <c r="K113" s="801">
        <f>K105-K111</f>
        <v/>
      </c>
      <c r="L113" s="801">
        <f>L105-L111</f>
        <v/>
      </c>
      <c r="M113" s="801">
        <f>M105-M111</f>
        <v/>
      </c>
      <c r="N113" s="801">
        <f>N105-N111</f>
        <v/>
      </c>
      <c r="O113" s="801">
        <f>O105-O111</f>
        <v/>
      </c>
      <c r="P113" s="801">
        <f>P105-P111</f>
        <v/>
      </c>
      <c r="Q113" s="801">
        <f>Q105-Q111</f>
        <v/>
      </c>
      <c r="R113" s="801">
        <f>R105-R111</f>
        <v/>
      </c>
      <c r="S113" s="801">
        <f>S105-S111</f>
        <v/>
      </c>
      <c r="T113" s="801">
        <f>T105-T111</f>
        <v/>
      </c>
      <c r="U113" s="801">
        <f>U105-U111</f>
        <v/>
      </c>
      <c r="V113" s="801">
        <f>V105-V111</f>
        <v/>
      </c>
      <c r="W113" s="802">
        <f>SUM(K113:V113)</f>
        <v/>
      </c>
      <c r="X113" s="914" t="n"/>
      <c r="Y113" s="466" t="n"/>
    </row>
    <row r="114" ht="13.15" customHeight="1" s="1232" thickTop="1">
      <c r="I114" s="914" t="n"/>
      <c r="K114" s="914" t="n"/>
      <c r="L114" s="914" t="n"/>
      <c r="M114" s="914" t="n"/>
      <c r="N114" s="914" t="n"/>
      <c r="O114" s="914" t="n"/>
      <c r="P114" s="914" t="n"/>
      <c r="Q114" s="914" t="n"/>
      <c r="R114" s="914" t="n"/>
      <c r="S114" s="914" t="n"/>
      <c r="T114" s="914" t="n"/>
      <c r="U114" s="914" t="n"/>
      <c r="V114" s="914" t="n"/>
      <c r="W114" s="914" t="n"/>
      <c r="X114" s="914" t="n"/>
    </row>
    <row r="115">
      <c r="K115" s="914" t="n"/>
      <c r="L115" s="914" t="n"/>
      <c r="M115" s="914" t="n"/>
      <c r="N115" s="914" t="n"/>
      <c r="O115" s="914" t="n"/>
      <c r="P115" s="914" t="n"/>
      <c r="Q115" s="914" t="n"/>
      <c r="R115" s="914" t="n"/>
      <c r="S115" s="914" t="n"/>
      <c r="T115" s="914" t="n"/>
      <c r="U115" s="914" t="n"/>
      <c r="V115" s="914" t="n"/>
      <c r="W115" s="914" t="n"/>
      <c r="X115" s="914" t="n"/>
    </row>
    <row r="116" ht="13.15" customHeight="1" s="1232">
      <c r="I116" s="556" t="inlineStr">
        <is>
          <t>Booking source</t>
        </is>
      </c>
      <c r="K116" s="1332" t="inlineStr">
        <is>
          <t>Jan</t>
        </is>
      </c>
      <c r="L116" s="1332" t="inlineStr">
        <is>
          <t>Feb</t>
        </is>
      </c>
      <c r="M116" s="1332" t="inlineStr">
        <is>
          <t>Mar</t>
        </is>
      </c>
      <c r="N116" s="1332" t="inlineStr">
        <is>
          <t>Apr</t>
        </is>
      </c>
      <c r="O116" s="1332" t="inlineStr">
        <is>
          <t>May</t>
        </is>
      </c>
      <c r="P116" s="1332" t="inlineStr">
        <is>
          <t>Jun</t>
        </is>
      </c>
      <c r="Q116" s="1332" t="inlineStr">
        <is>
          <t>Jul</t>
        </is>
      </c>
      <c r="R116" s="1332" t="inlineStr">
        <is>
          <t>Aug</t>
        </is>
      </c>
      <c r="S116" s="1332" t="inlineStr">
        <is>
          <t>Sep</t>
        </is>
      </c>
      <c r="T116" s="1332" t="inlineStr">
        <is>
          <t>Oct</t>
        </is>
      </c>
      <c r="U116" s="1332" t="inlineStr">
        <is>
          <t>Nov</t>
        </is>
      </c>
      <c r="V116" s="1332" t="inlineStr">
        <is>
          <t>Dec</t>
        </is>
      </c>
      <c r="W116" s="1332" t="inlineStr">
        <is>
          <t>Year</t>
        </is>
      </c>
      <c r="X116" s="1278" t="inlineStr">
        <is>
          <t>Split</t>
        </is>
      </c>
    </row>
    <row r="117">
      <c r="I117" s="1255" t="inlineStr">
        <is>
          <t>Google</t>
        </is>
      </c>
      <c r="K117" s="432">
        <f>SUMIFS($E$150:$E$635,$A$150:$A$635,"&gt;31/12/2020",$A$150:$A$635,"&lt;1/2/2021",$G$150:$G$635,$I117)</f>
        <v/>
      </c>
      <c r="L117" s="432">
        <f>SUMIFS($E$150:$E$635,$A$150:$A$635,"&gt;31/1/2021",$A$150:$A$635,"&lt;1/3/2021",$G$150:$G$635,$I117)</f>
        <v/>
      </c>
      <c r="M117" s="432">
        <f>SUMIFS($E$150:$E$635,$A$150:$A$635,"&gt;28/2/2021",$A$150:$A$635,"&lt;1/4/2021",$G$150:$G$635,$I117)</f>
        <v/>
      </c>
      <c r="N117" s="432">
        <f>SUMIFS($E$150:$E$635,$A$150:$A$635,"&gt;31/3/2021",$A$150:$A$635,"&lt;1/5/2021",$G$150:$G$635,$I117)</f>
        <v/>
      </c>
      <c r="O117" s="432">
        <f>SUMIFS($E$150:$E$635,$A$150:$A$635,"&gt;30/4/2021",$A$150:$A$635,"&lt;1/6/2021",$G$150:$G$635,$I117)</f>
        <v/>
      </c>
      <c r="P117" s="432">
        <f>SUMIFS($E$150:$E$635,$A$150:$A$635,"&gt;31/5/2021",$A$150:$A$635,"&lt;1/7/2021",$G$150:$G$635,$I117)</f>
        <v/>
      </c>
      <c r="Q117" s="432">
        <f>SUMIFS($E$150:$E$635,$A$150:$A$635,"&gt;30/6/2021",$A$150:$A$635,"&lt;1/8/2021",$G$150:$G$635,$I117)</f>
        <v/>
      </c>
      <c r="R117" s="432">
        <f>SUMIFS($E$150:$E$635,$A$150:$A$635,"&gt;31/7/2021",$A$150:$A$635,"&lt;1/9/2021",$G$150:$G$635,$I117)</f>
        <v/>
      </c>
      <c r="S117" s="432">
        <f>SUMIFS($E$150:$E$635,$A$150:$A$635,"&gt;31/8/2021",$A$150:$A$635,"&lt;1/10/2021",$G$150:$G$635,$I117)</f>
        <v/>
      </c>
      <c r="T117" s="432">
        <f>SUMIFS($E$150:$E$635,$A$150:$A$635,"&gt;30/9/2021",$A$150:$A$635,"&lt;1/11/2021",$G$150:$G$635,$I117)</f>
        <v/>
      </c>
      <c r="U117" s="432">
        <f>SUMIFS($E$150:$E$635,$A$150:$A$635,"&gt;31/10/2021",$A$150:$A$635,"&lt;1/12/2021",$G$150:$G$635,$I117)</f>
        <v/>
      </c>
      <c r="V117" s="432">
        <f>SUMIFS($E$150:$E$635,$A$150:$A$635,"&gt;30/11/2021",$A$150:$A$635,"&lt;1/1/2022",$G$150:$G$635,$I117)</f>
        <v/>
      </c>
      <c r="W117" s="432">
        <f>SUM(K117:V117)</f>
        <v/>
      </c>
      <c r="X117" s="460">
        <f>IFERROR(W117/$W$124,0)</f>
        <v/>
      </c>
    </row>
    <row r="118">
      <c r="I118" s="1255" t="inlineStr">
        <is>
          <t>Existing</t>
        </is>
      </c>
      <c r="K118" s="432">
        <f>SUMIFS($E$150:$E$635,$A$150:$A$635,"&gt;31/12/2020",$A$150:$A$635,"&lt;1/2/2021",$G$150:$G$635,$I118)</f>
        <v/>
      </c>
      <c r="L118" s="432">
        <f>SUMIFS($E$150:$E$635,$A$150:$A$635,"&gt;31/1/2021",$A$150:$A$635,"&lt;1/3/2021",$G$150:$G$635,$I118)</f>
        <v/>
      </c>
      <c r="M118" s="432">
        <f>SUMIFS($E$150:$E$635,$A$150:$A$635,"&gt;28/2/2021",$A$150:$A$635,"&lt;1/4/2021",$G$150:$G$635,$I118)</f>
        <v/>
      </c>
      <c r="N118" s="432">
        <f>SUMIFS($E$150:$E$635,$A$150:$A$635,"&gt;31/3/2021",$A$150:$A$635,"&lt;1/5/2021",$G$150:$G$635,$I118)</f>
        <v/>
      </c>
      <c r="O118" s="432">
        <f>SUMIFS($E$150:$E$635,$A$150:$A$635,"&gt;30/4/2021",$A$150:$A$635,"&lt;1/6/2021",$G$150:$G$635,$I118)</f>
        <v/>
      </c>
      <c r="P118" s="432">
        <f>SUMIFS($E$150:$E$635,$A$150:$A$635,"&gt;31/5/2021",$A$150:$A$635,"&lt;1/7/2021",$G$150:$G$635,$I118)</f>
        <v/>
      </c>
      <c r="Q118" s="432">
        <f>SUMIFS($E$150:$E$635,$A$150:$A$635,"&gt;30/6/2021",$A$150:$A$635,"&lt;1/8/2021",$G$150:$G$635,$I118)</f>
        <v/>
      </c>
      <c r="R118" s="432">
        <f>SUMIFS($E$150:$E$635,$A$150:$A$635,"&gt;31/7/2021",$A$150:$A$635,"&lt;1/9/2021",$G$150:$G$635,$I118)</f>
        <v/>
      </c>
      <c r="S118" s="432">
        <f>SUMIFS($E$150:$E$635,$A$150:$A$635,"&gt;31/8/2021",$A$150:$A$635,"&lt;1/10/2021",$G$150:$G$635,$I118)</f>
        <v/>
      </c>
      <c r="T118" s="432">
        <f>SUMIFS($E$150:$E$635,$A$150:$A$635,"&gt;30/9/2021",$A$150:$A$635,"&lt;1/11/2021",$G$150:$G$635,$I118)</f>
        <v/>
      </c>
      <c r="U118" s="432">
        <f>SUMIFS($E$150:$E$635,$A$150:$A$635,"&gt;31/10/2021",$A$150:$A$635,"&lt;1/12/2021",$G$150:$G$635,$I118)</f>
        <v/>
      </c>
      <c r="V118" s="432">
        <f>SUMIFS($E$150:$E$635,$A$150:$A$635,"&gt;30/11/2021",$A$150:$A$635,"&lt;1/1/2022",$G$150:$G$635,$I118)</f>
        <v/>
      </c>
      <c r="W118" s="432">
        <f>SUM(K118:V118)</f>
        <v/>
      </c>
      <c r="X118" s="460">
        <f>IFERROR(W118/$W$124,0)</f>
        <v/>
      </c>
    </row>
    <row r="119">
      <c r="I119" s="1255" t="inlineStr">
        <is>
          <t>ELS</t>
        </is>
      </c>
      <c r="K119" s="432">
        <f>SUMIFS($E$150:$E$635,$A$150:$A$635,"&gt;31/12/2020",$A$150:$A$635,"&lt;1/2/2021",$G$150:$G$635,$I119)</f>
        <v/>
      </c>
      <c r="L119" s="432">
        <f>SUMIFS($E$150:$E$635,$A$150:$A$635,"&gt;31/1/2021",$A$150:$A$635,"&lt;1/3/2021",$G$150:$G$635,$I119)</f>
        <v/>
      </c>
      <c r="M119" s="432">
        <f>SUMIFS($E$150:$E$635,$A$150:$A$635,"&gt;28/2/2021",$A$150:$A$635,"&lt;1/4/2021",$G$150:$G$635,$I119)</f>
        <v/>
      </c>
      <c r="N119" s="432">
        <f>SUMIFS($E$150:$E$635,$A$150:$A$635,"&gt;31/3/2021",$A$150:$A$635,"&lt;1/5/2021",$G$150:$G$635,$I119)</f>
        <v/>
      </c>
      <c r="O119" s="432">
        <f>SUMIFS($E$150:$E$635,$A$150:$A$635,"&gt;30/4/2021",$A$150:$A$635,"&lt;1/6/2021",$G$150:$G$635,$I119)</f>
        <v/>
      </c>
      <c r="P119" s="432">
        <f>SUMIFS($E$150:$E$635,$A$150:$A$635,"&gt;31/5/2021",$A$150:$A$635,"&lt;1/7/2021",$G$150:$G$635,$I119)</f>
        <v/>
      </c>
      <c r="Q119" s="432">
        <f>SUMIFS($E$150:$E$635,$A$150:$A$635,"&gt;30/6/2021",$A$150:$A$635,"&lt;1/8/2021",$G$150:$G$635,$I119)</f>
        <v/>
      </c>
      <c r="R119" s="432">
        <f>SUMIFS($E$150:$E$635,$A$150:$A$635,"&gt;31/7/2021",$A$150:$A$635,"&lt;1/9/2021",$G$150:$G$635,$I119)</f>
        <v/>
      </c>
      <c r="S119" s="432">
        <f>SUMIFS($E$150:$E$635,$A$150:$A$635,"&gt;31/8/2021",$A$150:$A$635,"&lt;1/10/2021",$G$150:$G$635,$I119)</f>
        <v/>
      </c>
      <c r="T119" s="432">
        <f>SUMIFS($E$150:$E$635,$A$150:$A$635,"&gt;30/9/2021",$A$150:$A$635,"&lt;1/11/2021",$G$150:$G$635,$I119)</f>
        <v/>
      </c>
      <c r="U119" s="432">
        <f>SUMIFS($E$150:$E$635,$A$150:$A$635,"&gt;31/10/2021",$A$150:$A$635,"&lt;1/12/2021",$G$150:$G$635,$I119)</f>
        <v/>
      </c>
      <c r="V119" s="432">
        <f>SUMIFS($E$150:$E$635,$A$150:$A$635,"&gt;30/11/2021",$A$150:$A$635,"&lt;1/1/2022",$G$150:$G$635,$I119)</f>
        <v/>
      </c>
      <c r="W119" s="432">
        <f>SUM(K119:V119)</f>
        <v/>
      </c>
      <c r="X119" s="460">
        <f>IFERROR(W119/$W$124,0)</f>
        <v/>
      </c>
    </row>
    <row r="120">
      <c r="I120" s="1260" t="inlineStr">
        <is>
          <t>Referral</t>
        </is>
      </c>
      <c r="K120" s="432">
        <f>SUMIFS($E$150:$E$635,$A$150:$A$635,"&gt;31/12/2020",$A$150:$A$635,"&lt;1/2/2021",$G$150:$G$635,$I120)</f>
        <v/>
      </c>
      <c r="L120" s="432">
        <f>SUMIFS($E$150:$E$635,$A$150:$A$635,"&gt;31/1/2021",$A$150:$A$635,"&lt;1/3/2021",$G$150:$G$635,$I120)</f>
        <v/>
      </c>
      <c r="M120" s="432">
        <f>SUMIFS($E$150:$E$635,$A$150:$A$635,"&gt;28/2/2021",$A$150:$A$635,"&lt;1/4/2021",$G$150:$G$635,$I120)</f>
        <v/>
      </c>
      <c r="N120" s="432">
        <f>SUMIFS($E$150:$E$635,$A$150:$A$635,"&gt;31/3/2021",$A$150:$A$635,"&lt;1/5/2021",$G$150:$G$635,$I120)</f>
        <v/>
      </c>
      <c r="O120" s="432">
        <f>SUMIFS($E$150:$E$635,$A$150:$A$635,"&gt;30/4/2021",$A$150:$A$635,"&lt;1/6/2021",$G$150:$G$635,$I120)</f>
        <v/>
      </c>
      <c r="P120" s="432">
        <f>SUMIFS($E$150:$E$635,$A$150:$A$635,"&gt;31/5/2021",$A$150:$A$635,"&lt;1/7/2021",$G$150:$G$635,$I120)</f>
        <v/>
      </c>
      <c r="Q120" s="432">
        <f>SUMIFS($E$150:$E$635,$A$150:$A$635,"&gt;30/6/2021",$A$150:$A$635,"&lt;1/8/2021",$G$150:$G$635,$I120)</f>
        <v/>
      </c>
      <c r="R120" s="432">
        <f>SUMIFS($E$150:$E$635,$A$150:$A$635,"&gt;31/7/2021",$A$150:$A$635,"&lt;1/9/2021",$G$150:$G$635,$I120)</f>
        <v/>
      </c>
      <c r="S120" s="432">
        <f>SUMIFS($E$150:$E$635,$A$150:$A$635,"&gt;31/8/2021",$A$150:$A$635,"&lt;1/10/2021",$G$150:$G$635,$I120)</f>
        <v/>
      </c>
      <c r="T120" s="432">
        <f>SUMIFS($E$150:$E$635,$A$150:$A$635,"&gt;30/9/2021",$A$150:$A$635,"&lt;1/11/2021",$G$150:$G$635,$I120)</f>
        <v/>
      </c>
      <c r="U120" s="432">
        <f>SUMIFS($E$150:$E$635,$A$150:$A$635,"&gt;31/10/2021",$A$150:$A$635,"&lt;1/12/2021",$G$150:$G$635,$I120)</f>
        <v/>
      </c>
      <c r="V120" s="432">
        <f>SUMIFS($E$150:$E$635,$A$150:$A$635,"&gt;30/11/2021",$A$150:$A$635,"&lt;1/1/2022",$G$150:$G$635,$I120)</f>
        <v/>
      </c>
      <c r="W120" s="432">
        <f>SUM(K120:V120)</f>
        <v/>
      </c>
      <c r="X120" s="460">
        <f>IFERROR(W120/$W$124,0)</f>
        <v/>
      </c>
    </row>
    <row r="121">
      <c r="I121" s="1255" t="inlineStr">
        <is>
          <t>Batsford</t>
        </is>
      </c>
      <c r="K121" s="432">
        <f>SUMIFS($E$150:$E$635,$A$150:$A$635,"&gt;31/12/2020",$A$150:$A$635,"&lt;1/2/2021",$G$150:$G$635,$I121)</f>
        <v/>
      </c>
      <c r="L121" s="432">
        <f>SUMIFS($E$150:$E$635,$A$150:$A$635,"&gt;31/1/2021",$A$150:$A$635,"&lt;1/3/2021",$G$150:$G$635,$I121)</f>
        <v/>
      </c>
      <c r="M121" s="432">
        <f>SUMIFS($E$150:$E$635,$A$150:$A$635,"&gt;28/2/2021",$A$150:$A$635,"&lt;1/4/2021",$G$150:$G$635,$I121)</f>
        <v/>
      </c>
      <c r="N121" s="432">
        <f>SUMIFS($E$150:$E$635,$A$150:$A$635,"&gt;31/3/2021",$A$150:$A$635,"&lt;1/5/2021",$G$150:$G$635,$I121)</f>
        <v/>
      </c>
      <c r="O121" s="432">
        <f>SUMIFS($E$150:$E$635,$A$150:$A$635,"&gt;30/4/2021",$A$150:$A$635,"&lt;1/6/2021",$G$150:$G$635,$I121)</f>
        <v/>
      </c>
      <c r="P121" s="432">
        <f>SUMIFS($E$150:$E$635,$A$150:$A$635,"&gt;31/5/2021",$A$150:$A$635,"&lt;1/7/2021",$G$150:$G$635,$I121)</f>
        <v/>
      </c>
      <c r="Q121" s="432">
        <f>SUMIFS($E$150:$E$635,$A$150:$A$635,"&gt;30/6/2021",$A$150:$A$635,"&lt;1/8/2021",$G$150:$G$635,$I121)</f>
        <v/>
      </c>
      <c r="R121" s="432">
        <f>SUMIFS($E$150:$E$635,$A$150:$A$635,"&gt;31/7/2021",$A$150:$A$635,"&lt;1/9/2021",$G$150:$G$635,$I121)</f>
        <v/>
      </c>
      <c r="S121" s="432">
        <f>SUMIFS($E$150:$E$635,$A$150:$A$635,"&gt;31/8/2021",$A$150:$A$635,"&lt;1/10/2021",$G$150:$G$635,$I121)</f>
        <v/>
      </c>
      <c r="T121" s="432">
        <f>SUMIFS($E$150:$E$635,$A$150:$A$635,"&gt;30/9/2021",$A$150:$A$635,"&lt;1/11/2021",$G$150:$G$635,$I121)</f>
        <v/>
      </c>
      <c r="U121" s="432">
        <f>SUMIFS($E$150:$E$635,$A$150:$A$635,"&gt;31/10/2021",$A$150:$A$635,"&lt;1/12/2021",$G$150:$G$635,$I121)</f>
        <v/>
      </c>
      <c r="V121" s="432">
        <f>SUMIFS($E$150:$E$635,$A$150:$A$635,"&gt;30/11/2021",$A$150:$A$635,"&lt;1/1/2022",$G$150:$G$635,$I121)</f>
        <v/>
      </c>
      <c r="W121" s="432">
        <f>SUM(K121:V121)</f>
        <v/>
      </c>
      <c r="X121" s="460">
        <f>IFERROR(W121/$W$124,0)</f>
        <v/>
      </c>
    </row>
    <row r="122">
      <c r="I122" s="1260" t="inlineStr">
        <is>
          <t>Facebook</t>
        </is>
      </c>
      <c r="K122" s="432">
        <f>SUMIFS($E$150:$E$635,$A$150:$A$635,"&gt;31/12/2020",$A$150:$A$635,"&lt;1/2/2021",$G$150:$G$635,$I122)</f>
        <v/>
      </c>
      <c r="L122" s="432">
        <f>SUMIFS($E$150:$E$635,$A$150:$A$635,"&gt;31/1/2021",$A$150:$A$635,"&lt;1/3/2021",$G$150:$G$635,$I122)</f>
        <v/>
      </c>
      <c r="M122" s="432">
        <f>SUMIFS($E$150:$E$635,$A$150:$A$635,"&gt;28/2/2021",$A$150:$A$635,"&lt;1/4/2021",$G$150:$G$635,$I122)</f>
        <v/>
      </c>
      <c r="N122" s="432">
        <f>SUMIFS($E$150:$E$635,$A$150:$A$635,"&gt;31/3/2021",$A$150:$A$635,"&lt;1/5/2021",$G$150:$G$635,$I122)</f>
        <v/>
      </c>
      <c r="O122" s="432">
        <f>SUMIFS($E$150:$E$635,$A$150:$A$635,"&gt;30/4/2021",$A$150:$A$635,"&lt;1/6/2021",$G$150:$G$635,$I122)</f>
        <v/>
      </c>
      <c r="P122" s="432">
        <f>SUMIFS($E$150:$E$635,$A$150:$A$635,"&gt;31/5/2021",$A$150:$A$635,"&lt;1/7/2021",$G$150:$G$635,$I122)</f>
        <v/>
      </c>
      <c r="Q122" s="432">
        <f>SUMIFS($E$150:$E$635,$A$150:$A$635,"&gt;30/6/2021",$A$150:$A$635,"&lt;1/8/2021",$G$150:$G$635,$I122)</f>
        <v/>
      </c>
      <c r="R122" s="432">
        <f>SUMIFS($E$150:$E$635,$A$150:$A$635,"&gt;31/7/2021",$A$150:$A$635,"&lt;1/9/2021",$G$150:$G$635,$I122)</f>
        <v/>
      </c>
      <c r="S122" s="432">
        <f>SUMIFS($E$150:$E$635,$A$150:$A$635,"&gt;31/8/2021",$A$150:$A$635,"&lt;1/10/2021",$G$150:$G$635,$I122)</f>
        <v/>
      </c>
      <c r="T122" s="432">
        <f>SUMIFS($E$150:$E$635,$A$150:$A$635,"&gt;30/9/2021",$A$150:$A$635,"&lt;1/11/2021",$G$150:$G$635,$I122)</f>
        <v/>
      </c>
      <c r="U122" s="432">
        <f>SUMIFS($E$150:$E$635,$A$150:$A$635,"&gt;31/10/2021",$A$150:$A$635,"&lt;1/12/2021",$G$150:$G$635,$I122)</f>
        <v/>
      </c>
      <c r="V122" s="432">
        <f>SUMIFS($E$150:$E$635,$A$150:$A$635,"&gt;30/11/2021",$A$150:$A$635,"&lt;1/1/2022",$G$150:$G$635,$I122)</f>
        <v/>
      </c>
      <c r="W122" s="432">
        <f>SUM(K122:V122)</f>
        <v/>
      </c>
      <c r="X122" s="460">
        <f>IFERROR(W122/$W$124,0)</f>
        <v/>
      </c>
    </row>
    <row r="123">
      <c r="I123" s="1255" t="inlineStr">
        <is>
          <t>Other</t>
        </is>
      </c>
      <c r="K123" s="432">
        <f>SUMIFS($E$150:$E$635,$A$150:$A$635,"&gt;31/12/2020",$A$150:$A$635,"&lt;1/2/2021",$G$150:$G$635,$I123)</f>
        <v/>
      </c>
      <c r="L123" s="432">
        <f>SUMIFS($E$150:$E$635,$A$150:$A$635,"&gt;31/1/2021",$A$150:$A$635,"&lt;1/3/2021",$G$150:$G$635,$I123)</f>
        <v/>
      </c>
      <c r="M123" s="432">
        <f>SUMIFS($E$150:$E$635,$A$150:$A$635,"&gt;28/2/2021",$A$150:$A$635,"&lt;1/4/2021",$G$150:$G$635,$I123)</f>
        <v/>
      </c>
      <c r="N123" s="432">
        <f>SUMIFS($E$150:$E$635,$A$150:$A$635,"&gt;31/3/2021",$A$150:$A$635,"&lt;1/5/2021",$G$150:$G$635,$I123)</f>
        <v/>
      </c>
      <c r="O123" s="432">
        <f>SUMIFS($E$150:$E$635,$A$150:$A$635,"&gt;30/4/2021",$A$150:$A$635,"&lt;1/6/2021",$G$150:$G$635,$I123)</f>
        <v/>
      </c>
      <c r="P123" s="432">
        <f>SUMIFS($E$150:$E$635,$A$150:$A$635,"&gt;31/5/2021",$A$150:$A$635,"&lt;1/7/2021",$G$150:$G$635,$I123)</f>
        <v/>
      </c>
      <c r="Q123" s="432">
        <f>SUMIFS($E$150:$E$635,$A$150:$A$635,"&gt;30/6/2021",$A$150:$A$635,"&lt;1/8/2021",$G$150:$G$635,$I123)</f>
        <v/>
      </c>
      <c r="R123" s="432">
        <f>SUMIFS($E$150:$E$635,$A$150:$A$635,"&gt;31/7/2021",$A$150:$A$635,"&lt;1/9/2021",$G$150:$G$635,$I123)</f>
        <v/>
      </c>
      <c r="S123" s="432">
        <f>SUMIFS($E$150:$E$635,$A$150:$A$635,"&gt;31/8/2021",$A$150:$A$635,"&lt;1/10/2021",$G$150:$G$635,$I123)</f>
        <v/>
      </c>
      <c r="T123" s="432">
        <f>SUMIFS($E$150:$E$635,$A$150:$A$635,"&gt;30/9/2021",$A$150:$A$635,"&lt;1/11/2021",$G$150:$G$635,$I123)</f>
        <v/>
      </c>
      <c r="U123" s="432">
        <f>SUMIFS($E$150:$E$635,$A$150:$A$635,"&gt;31/10/2021",$A$150:$A$635,"&lt;1/12/2021",$G$150:$G$635,$I123)</f>
        <v/>
      </c>
      <c r="V123" s="432">
        <f>SUMIFS($E$150:$E$635,$A$150:$A$635,"&gt;30/11/2021",$A$150:$A$635,"&lt;1/1/2022",$G$150:$G$635,$I123)</f>
        <v/>
      </c>
      <c r="W123" s="432">
        <f>SUM(K123:V123)</f>
        <v/>
      </c>
      <c r="X123" s="460">
        <f>IFERROR(W123/$W$124,0)</f>
        <v/>
      </c>
    </row>
    <row r="124" ht="13.15" customHeight="1" s="1232">
      <c r="I124" s="914" t="n"/>
      <c r="K124" s="444">
        <f>SUM(K117:K123)</f>
        <v/>
      </c>
      <c r="L124" s="444">
        <f>SUM(L117:L123)</f>
        <v/>
      </c>
      <c r="M124" s="444">
        <f>SUM(M117:M123)</f>
        <v/>
      </c>
      <c r="N124" s="444">
        <f>SUM(N117:N123)</f>
        <v/>
      </c>
      <c r="O124" s="444">
        <f>SUM(O117:O123)</f>
        <v/>
      </c>
      <c r="P124" s="444">
        <f>SUM(P117:P123)</f>
        <v/>
      </c>
      <c r="Q124" s="444">
        <f>SUM(Q117:Q123)</f>
        <v/>
      </c>
      <c r="R124" s="444">
        <f>SUM(R117:R123)</f>
        <v/>
      </c>
      <c r="S124" s="444">
        <f>SUM(S117:S123)</f>
        <v/>
      </c>
      <c r="T124" s="444">
        <f>SUM(T117:T123)</f>
        <v/>
      </c>
      <c r="U124" s="444">
        <f>SUM(U117:U123)</f>
        <v/>
      </c>
      <c r="V124" s="444">
        <f>SUM(V117:V123)</f>
        <v/>
      </c>
      <c r="W124" s="444">
        <f>SUM(W117:W123)</f>
        <v/>
      </c>
      <c r="X124" s="460">
        <f>IFERROR(W124/$W$124,0)</f>
        <v/>
      </c>
      <c r="Y124" s="466" t="n"/>
    </row>
    <row r="125">
      <c r="J125" s="914" t="n"/>
      <c r="K125" s="914">
        <f>K105-K124</f>
        <v/>
      </c>
      <c r="L125" s="914">
        <f>L105-L124</f>
        <v/>
      </c>
      <c r="M125" s="914">
        <f>M105-M124</f>
        <v/>
      </c>
      <c r="N125" s="914">
        <f>N105-N124</f>
        <v/>
      </c>
      <c r="O125" s="914">
        <f>O105-O124</f>
        <v/>
      </c>
      <c r="P125" s="914">
        <f>P105-P124</f>
        <v/>
      </c>
      <c r="Q125" s="914">
        <f>Q105-Q124</f>
        <v/>
      </c>
      <c r="R125" s="914">
        <f>R105-R124</f>
        <v/>
      </c>
      <c r="S125" s="914">
        <f>S105-S124</f>
        <v/>
      </c>
      <c r="T125" s="914">
        <f>T105-T124</f>
        <v/>
      </c>
      <c r="U125" s="914">
        <f>U105-U124</f>
        <v/>
      </c>
      <c r="V125" s="914">
        <f>V105-V124</f>
        <v/>
      </c>
      <c r="W125" s="914">
        <f>W105-W124</f>
        <v/>
      </c>
      <c r="X125" s="914" t="n"/>
    </row>
    <row r="126" ht="13.15" customHeight="1" s="1232">
      <c r="I126" s="556" t="inlineStr">
        <is>
          <t>Booking source  £</t>
        </is>
      </c>
      <c r="K126" s="1332" t="inlineStr">
        <is>
          <t>Jan</t>
        </is>
      </c>
      <c r="L126" s="1332" t="inlineStr">
        <is>
          <t>Feb</t>
        </is>
      </c>
      <c r="M126" s="1332" t="inlineStr">
        <is>
          <t>Mar</t>
        </is>
      </c>
      <c r="N126" s="1332" t="inlineStr">
        <is>
          <t>Apr</t>
        </is>
      </c>
      <c r="O126" s="1332" t="inlineStr">
        <is>
          <t>May</t>
        </is>
      </c>
      <c r="P126" s="1332" t="inlineStr">
        <is>
          <t>Jun</t>
        </is>
      </c>
      <c r="Q126" s="1332" t="inlineStr">
        <is>
          <t>Jul</t>
        </is>
      </c>
      <c r="R126" s="1332" t="inlineStr">
        <is>
          <t>Aug</t>
        </is>
      </c>
      <c r="S126" s="1332" t="inlineStr">
        <is>
          <t>Sep</t>
        </is>
      </c>
      <c r="T126" s="1332" t="inlineStr">
        <is>
          <t>Oct</t>
        </is>
      </c>
      <c r="U126" s="1332" t="inlineStr">
        <is>
          <t>Nov</t>
        </is>
      </c>
      <c r="V126" s="1332" t="inlineStr">
        <is>
          <t>Dec</t>
        </is>
      </c>
      <c r="W126" s="1332" t="inlineStr">
        <is>
          <t>Year</t>
        </is>
      </c>
      <c r="X126" s="1278" t="inlineStr">
        <is>
          <t>Split</t>
        </is>
      </c>
      <c r="Y126" s="1260" t="n"/>
    </row>
    <row r="127" ht="13.15" customHeight="1" s="1232">
      <c r="I127" s="444" t="inlineStr">
        <is>
          <t>New Clients</t>
        </is>
      </c>
      <c r="K127" s="914">
        <f>SUM(K124-K118)</f>
        <v/>
      </c>
      <c r="L127" s="914">
        <f>SUM(L124-L118)</f>
        <v/>
      </c>
      <c r="M127" s="914">
        <f>SUM(M124-M118)</f>
        <v/>
      </c>
      <c r="N127" s="914">
        <f>SUM(N124-N118)</f>
        <v/>
      </c>
      <c r="O127" s="914">
        <f>SUM(O124-O118)</f>
        <v/>
      </c>
      <c r="P127" s="914">
        <f>SUM(P124-P118)</f>
        <v/>
      </c>
      <c r="Q127" s="914">
        <f>SUM(Q124-Q118)</f>
        <v/>
      </c>
      <c r="R127" s="914">
        <f>SUM(R124-R118)</f>
        <v/>
      </c>
      <c r="S127" s="914">
        <f>SUM(S124-S118)</f>
        <v/>
      </c>
      <c r="T127" s="914">
        <f>SUM(T124-T118)</f>
        <v/>
      </c>
      <c r="U127" s="914">
        <f>SUM(U124-U118)</f>
        <v/>
      </c>
      <c r="V127" s="914">
        <f>SUM(V124-V118)</f>
        <v/>
      </c>
      <c r="W127" s="554">
        <f>SUM(K127:V127)</f>
        <v/>
      </c>
      <c r="X127" s="475">
        <f>W127/W129</f>
        <v/>
      </c>
      <c r="Y127" s="1260" t="n"/>
    </row>
    <row r="128" ht="13.15" customHeight="1" s="1232">
      <c r="I128" s="444" t="inlineStr">
        <is>
          <t>Existing Clients</t>
        </is>
      </c>
      <c r="K128" s="914">
        <f>K118</f>
        <v/>
      </c>
      <c r="L128" s="914">
        <f>L118</f>
        <v/>
      </c>
      <c r="M128" s="914">
        <f>M118</f>
        <v/>
      </c>
      <c r="N128" s="914">
        <f>N118</f>
        <v/>
      </c>
      <c r="O128" s="914">
        <f>O118</f>
        <v/>
      </c>
      <c r="P128" s="914">
        <f>P118</f>
        <v/>
      </c>
      <c r="Q128" s="914">
        <f>Q118</f>
        <v/>
      </c>
      <c r="R128" s="914">
        <f>R118</f>
        <v/>
      </c>
      <c r="S128" s="914">
        <f>S118</f>
        <v/>
      </c>
      <c r="T128" s="914">
        <f>T118</f>
        <v/>
      </c>
      <c r="U128" s="914">
        <f>U118</f>
        <v/>
      </c>
      <c r="V128" s="914">
        <f>V118</f>
        <v/>
      </c>
      <c r="W128" s="562">
        <f>SUM(K128:V128)</f>
        <v/>
      </c>
      <c r="X128" s="475">
        <f>W128/W129</f>
        <v/>
      </c>
      <c r="Y128" s="1260" t="n"/>
    </row>
    <row r="129" ht="13.15" customHeight="1" s="1232">
      <c r="I129" s="444" t="n"/>
      <c r="K129" s="563">
        <f>K127+K128</f>
        <v/>
      </c>
      <c r="L129" s="563">
        <f>L127+L128</f>
        <v/>
      </c>
      <c r="M129" s="563">
        <f>M127+M128</f>
        <v/>
      </c>
      <c r="N129" s="563">
        <f>N127+N128</f>
        <v/>
      </c>
      <c r="O129" s="563">
        <f>O127+O128</f>
        <v/>
      </c>
      <c r="P129" s="563">
        <f>P127+P128</f>
        <v/>
      </c>
      <c r="Q129" s="563">
        <f>Q127+Q128</f>
        <v/>
      </c>
      <c r="R129" s="563">
        <f>R127+R128</f>
        <v/>
      </c>
      <c r="S129" s="563">
        <f>S127+S128</f>
        <v/>
      </c>
      <c r="T129" s="563">
        <f>T127+T128</f>
        <v/>
      </c>
      <c r="U129" s="563">
        <f>U127+U128</f>
        <v/>
      </c>
      <c r="V129" s="563">
        <f>V127+V128</f>
        <v/>
      </c>
      <c r="W129" s="563">
        <f>W127+W128</f>
        <v/>
      </c>
      <c r="X129" s="564" t="n"/>
    </row>
    <row r="130">
      <c r="J130" s="914" t="n"/>
      <c r="K130" s="914" t="n"/>
      <c r="L130" s="914" t="n"/>
      <c r="M130" s="914" t="n"/>
      <c r="N130" s="914" t="n"/>
      <c r="O130" s="914" t="n"/>
      <c r="P130" s="914" t="n"/>
      <c r="Q130" s="914" t="n"/>
      <c r="R130" s="914" t="n"/>
      <c r="S130" s="914" t="n"/>
      <c r="T130" s="914" t="n"/>
      <c r="U130" s="914" t="n"/>
      <c r="V130" s="914" t="n"/>
      <c r="W130" s="914" t="n"/>
      <c r="X130" s="914" t="n"/>
    </row>
    <row r="131" ht="13.15" customHeight="1" s="1232">
      <c r="I131" s="556" t="inlineStr">
        <is>
          <t>Booking source  Units</t>
        </is>
      </c>
      <c r="K131" s="1332" t="inlineStr">
        <is>
          <t>Jan</t>
        </is>
      </c>
      <c r="L131" s="1332" t="inlineStr">
        <is>
          <t>Feb</t>
        </is>
      </c>
      <c r="M131" s="1332" t="inlineStr">
        <is>
          <t>Mar</t>
        </is>
      </c>
      <c r="N131" s="1332" t="inlineStr">
        <is>
          <t>Apr</t>
        </is>
      </c>
      <c r="O131" s="1332" t="inlineStr">
        <is>
          <t>May</t>
        </is>
      </c>
      <c r="P131" s="1332" t="inlineStr">
        <is>
          <t>Jun</t>
        </is>
      </c>
      <c r="Q131" s="1332" t="inlineStr">
        <is>
          <t>Jul</t>
        </is>
      </c>
      <c r="R131" s="1332" t="inlineStr">
        <is>
          <t>Aug</t>
        </is>
      </c>
      <c r="S131" s="1332" t="inlineStr">
        <is>
          <t>Sep</t>
        </is>
      </c>
      <c r="T131" s="1332" t="inlineStr">
        <is>
          <t>Oct</t>
        </is>
      </c>
      <c r="U131" s="1332" t="inlineStr">
        <is>
          <t>Nov</t>
        </is>
      </c>
      <c r="V131" s="1332" t="inlineStr">
        <is>
          <t>Dec</t>
        </is>
      </c>
      <c r="W131" s="1332" t="inlineStr">
        <is>
          <t>Year</t>
        </is>
      </c>
      <c r="X131" s="1278" t="inlineStr">
        <is>
          <t>Split</t>
        </is>
      </c>
    </row>
    <row r="132" ht="13.15" customHeight="1" s="1232">
      <c r="I132" s="444" t="inlineStr">
        <is>
          <t>New Clients</t>
        </is>
      </c>
      <c r="K132" s="914">
        <f>K64-K133</f>
        <v/>
      </c>
      <c r="L132" s="914">
        <f>L64-L133</f>
        <v/>
      </c>
      <c r="M132" s="914">
        <f>M64-M133</f>
        <v/>
      </c>
      <c r="N132" s="914">
        <f>N64-N133</f>
        <v/>
      </c>
      <c r="O132" s="914">
        <f>O64-O133</f>
        <v/>
      </c>
      <c r="P132" s="914">
        <f>P64-P133</f>
        <v/>
      </c>
      <c r="Q132" s="914">
        <f>Q64-Q133</f>
        <v/>
      </c>
      <c r="R132" s="914">
        <f>R64-R133</f>
        <v/>
      </c>
      <c r="S132" s="914">
        <f>S64-S133</f>
        <v/>
      </c>
      <c r="T132" s="914">
        <f>T64-T133</f>
        <v/>
      </c>
      <c r="U132" s="914">
        <f>U64-U133</f>
        <v/>
      </c>
      <c r="V132" s="914">
        <f>V64-V133</f>
        <v/>
      </c>
      <c r="W132" s="554">
        <f>SUM(K132:V132)</f>
        <v/>
      </c>
      <c r="X132" s="475">
        <f>W132/W134</f>
        <v/>
      </c>
    </row>
    <row r="133" ht="13.15" customHeight="1" s="1232">
      <c r="I133" s="561" t="inlineStr">
        <is>
          <t>Existing</t>
        </is>
      </c>
      <c r="K133" s="914">
        <f>COUNTIFS($A$150:$A$635,"&gt;31/12/2020",$A$150:$A$635,"&lt;1/2/2021",$G$150:$G$635,"Existing")</f>
        <v/>
      </c>
      <c r="L133" s="432">
        <f>COUNTIFS($A$150:$A$635,"&gt;31/1/2021",$A$150:$A$635,"&lt;1/3/2021",$G$150:$G$635,$I133)</f>
        <v/>
      </c>
      <c r="M133" s="432">
        <f>COUNTIFS($A$150:$A$635,"&gt;28/2/2021",$A$150:$A$635,"&lt;1/4/2021",$G$150:$G$635,$I133)</f>
        <v/>
      </c>
      <c r="N133" s="432">
        <f>COUNTIFS($A$150:$A$635,"&gt;31/3/2021",$A$150:$A$635,"&lt;1/5/2021",$G$150:$G$635,$I133)</f>
        <v/>
      </c>
      <c r="O133" s="432">
        <f>COUNTIFS($A$150:$A$635,"&gt;30/4/2021",$A$150:$A$635,"&lt;1/6/2021",$G$150:$G$635,$I133)</f>
        <v/>
      </c>
      <c r="P133" s="432">
        <f>COUNTIFS($A$150:$A$635,"&gt;31/5/2021",$A$150:$A$635,"&lt;1/7/2021",$G$150:$G$635,$I133)</f>
        <v/>
      </c>
      <c r="Q133" s="432">
        <f>COUNTIFS($A$150:$A$635,"&gt;30/6/2021",$A$150:$A$635,"&lt;1/8/2021",$G$150:$G$635,$I133)</f>
        <v/>
      </c>
      <c r="R133" s="432">
        <f>COUNTIFS($A$150:$A$635,"&gt;31/7/2021",$A$150:$A$635,"&lt;1/9/2021",$G$150:$G$635,$I133)</f>
        <v/>
      </c>
      <c r="S133" s="432">
        <f>COUNTIFS($A$150:$A$635,"&gt;31/8/2021",$A$150:$A$635,"&lt;1/10/2021",$G$150:$G$635,$I133)</f>
        <v/>
      </c>
      <c r="T133" s="432">
        <f>COUNTIFS($A$150:$A$635,"&gt;30/9/2021",$A$150:$A$635,"&lt;1/11/2021",$G$150:$G$635,$I133)</f>
        <v/>
      </c>
      <c r="U133" s="432">
        <f>COUNTIFS($A$150:$A$635,"&gt;31/10/2021",$A$150:$A$635,"&lt;1/12/2021",$G$150:$G$635,$I133)</f>
        <v/>
      </c>
      <c r="V133" s="432">
        <f>COUNTIFS($A$150:$A$635,"&gt;30/11/2021",$A$150:$A$635,"&lt;1/1/2022",$G$150:$G$635,$I133)</f>
        <v/>
      </c>
      <c r="W133" s="554">
        <f>SUM(K133:V133)</f>
        <v/>
      </c>
      <c r="X133" s="475">
        <f>W133/$W$134</f>
        <v/>
      </c>
    </row>
    <row r="134" ht="13.15" customHeight="1" s="1232">
      <c r="J134" s="914" t="n"/>
      <c r="K134" s="563">
        <f>K132+K133</f>
        <v/>
      </c>
      <c r="L134" s="563">
        <f>L132+L133</f>
        <v/>
      </c>
      <c r="M134" s="563">
        <f>M132+M133</f>
        <v/>
      </c>
      <c r="N134" s="563">
        <f>N132+N133</f>
        <v/>
      </c>
      <c r="O134" s="563">
        <f>O132+O133</f>
        <v/>
      </c>
      <c r="P134" s="563">
        <f>P132+P133</f>
        <v/>
      </c>
      <c r="Q134" s="563">
        <f>Q132+Q133</f>
        <v/>
      </c>
      <c r="R134" s="563">
        <f>R132+R133</f>
        <v/>
      </c>
      <c r="S134" s="563">
        <f>S132+S133</f>
        <v/>
      </c>
      <c r="T134" s="563">
        <f>T132+T133</f>
        <v/>
      </c>
      <c r="U134" s="563">
        <f>U132+U133</f>
        <v/>
      </c>
      <c r="V134" s="563">
        <f>V132+V133</f>
        <v/>
      </c>
      <c r="W134" s="563">
        <f>W132+W133</f>
        <v/>
      </c>
      <c r="X134" s="564" t="n"/>
    </row>
    <row r="135" ht="13.15" customHeight="1" s="1232">
      <c r="J135" s="914" t="n"/>
      <c r="K135" s="791">
        <f>K64-K134</f>
        <v/>
      </c>
      <c r="L135" s="791">
        <f>L64-L134</f>
        <v/>
      </c>
      <c r="M135" s="791">
        <f>M64-M134</f>
        <v/>
      </c>
      <c r="N135" s="791">
        <f>N64-N134</f>
        <v/>
      </c>
      <c r="O135" s="791">
        <f>O64-O134</f>
        <v/>
      </c>
      <c r="P135" s="791">
        <f>P64-P134</f>
        <v/>
      </c>
      <c r="Q135" s="791">
        <f>Q64-Q134</f>
        <v/>
      </c>
      <c r="R135" s="791">
        <f>R64-R134</f>
        <v/>
      </c>
      <c r="S135" s="791">
        <f>S64-S134</f>
        <v/>
      </c>
      <c r="T135" s="791">
        <f>T64-T134</f>
        <v/>
      </c>
      <c r="U135" s="791">
        <f>U64-U134</f>
        <v/>
      </c>
      <c r="V135" s="791">
        <f>V64-V134</f>
        <v/>
      </c>
      <c r="W135" s="791">
        <f>W64-W134</f>
        <v/>
      </c>
      <c r="X135" s="475" t="n"/>
    </row>
    <row r="136" ht="13.15" customHeight="1" s="1232">
      <c r="I136" s="556" t="inlineStr">
        <is>
          <t>Booking source  AVG PPU</t>
        </is>
      </c>
      <c r="K136" s="1332" t="inlineStr">
        <is>
          <t>Jan</t>
        </is>
      </c>
      <c r="L136" s="1332" t="inlineStr">
        <is>
          <t>Feb</t>
        </is>
      </c>
      <c r="M136" s="1332" t="inlineStr">
        <is>
          <t>Mar</t>
        </is>
      </c>
      <c r="N136" s="1332" t="inlineStr">
        <is>
          <t>Apr</t>
        </is>
      </c>
      <c r="O136" s="1332" t="inlineStr">
        <is>
          <t>May</t>
        </is>
      </c>
      <c r="P136" s="1332" t="inlineStr">
        <is>
          <t>Jun</t>
        </is>
      </c>
      <c r="Q136" s="1332" t="inlineStr">
        <is>
          <t>Jul</t>
        </is>
      </c>
      <c r="R136" s="1332" t="inlineStr">
        <is>
          <t>Aug</t>
        </is>
      </c>
      <c r="S136" s="1332" t="inlineStr">
        <is>
          <t>Sep</t>
        </is>
      </c>
      <c r="T136" s="1332" t="inlineStr">
        <is>
          <t>Oct</t>
        </is>
      </c>
      <c r="U136" s="1332" t="inlineStr">
        <is>
          <t>Nov</t>
        </is>
      </c>
      <c r="V136" s="1332" t="inlineStr">
        <is>
          <t>Dec</t>
        </is>
      </c>
      <c r="W136" s="1332" t="inlineStr">
        <is>
          <t>Year</t>
        </is>
      </c>
      <c r="X136" s="1278" t="inlineStr">
        <is>
          <t>Split</t>
        </is>
      </c>
    </row>
    <row r="137" ht="13.15" customHeight="1" s="1232">
      <c r="I137" s="444" t="inlineStr">
        <is>
          <t>New Clients</t>
        </is>
      </c>
      <c r="K137" s="914">
        <f>IFERROR(K127/K132,0)</f>
        <v/>
      </c>
      <c r="L137" s="914">
        <f>IFERROR(L127/L132,0)</f>
        <v/>
      </c>
      <c r="M137" s="914">
        <f>IFERROR(M127/M132,0)</f>
        <v/>
      </c>
      <c r="N137" s="914">
        <f>IFERROR(N127/N132,0)</f>
        <v/>
      </c>
      <c r="O137" s="914">
        <f>IFERROR(O127/O132,0)</f>
        <v/>
      </c>
      <c r="P137" s="914">
        <f>IFERROR(P127/P132,0)</f>
        <v/>
      </c>
      <c r="Q137" s="914">
        <f>IFERROR(Q127/Q132,0)</f>
        <v/>
      </c>
      <c r="R137" s="914">
        <f>IFERROR(R127/R132,0)</f>
        <v/>
      </c>
      <c r="S137" s="914">
        <f>IFERROR(S127/S132,0)</f>
        <v/>
      </c>
      <c r="T137" s="914">
        <f>IFERROR(T127/T132,0)</f>
        <v/>
      </c>
      <c r="U137" s="914">
        <f>IFERROR(U127/U132,0)</f>
        <v/>
      </c>
      <c r="V137" s="914">
        <f>IFERROR(V127/V132,0)</f>
        <v/>
      </c>
      <c r="W137" s="554">
        <f>AVERAGE(K137:V137)</f>
        <v/>
      </c>
      <c r="X137" s="475">
        <f>W137/W139</f>
        <v/>
      </c>
    </row>
    <row r="138" ht="13.15" customHeight="1" s="1232">
      <c r="I138" s="444" t="inlineStr">
        <is>
          <t>Existing Clients</t>
        </is>
      </c>
      <c r="K138" s="914">
        <f>IFERROR(K128/K133,0)</f>
        <v/>
      </c>
      <c r="L138" s="914">
        <f>IFERROR(L128/L133,0)</f>
        <v/>
      </c>
      <c r="M138" s="914">
        <f>IFERROR(M128/M133,0)</f>
        <v/>
      </c>
      <c r="N138" s="914">
        <f>IFERROR(N128/N133,0)</f>
        <v/>
      </c>
      <c r="O138" s="914">
        <f>IFERROR(O128/O133,0)</f>
        <v/>
      </c>
      <c r="P138" s="914">
        <f>IFERROR(P128/P133,0)</f>
        <v/>
      </c>
      <c r="Q138" s="914">
        <f>IFERROR(Q128/Q133,0)</f>
        <v/>
      </c>
      <c r="R138" s="914">
        <f>IFERROR(R128/R133,0)</f>
        <v/>
      </c>
      <c r="S138" s="914">
        <f>IFERROR(S128/S133,0)</f>
        <v/>
      </c>
      <c r="T138" s="914">
        <f>IFERROR(T128/T133,0)</f>
        <v/>
      </c>
      <c r="U138" s="914">
        <f>IFERROR(U128/U133,0)</f>
        <v/>
      </c>
      <c r="V138" s="914">
        <f>IFERROR(V128/V133,0)</f>
        <v/>
      </c>
      <c r="W138" s="554">
        <f>AVERAGE(K138:V138)</f>
        <v/>
      </c>
      <c r="X138" s="475">
        <f>W138/$W$139</f>
        <v/>
      </c>
    </row>
    <row r="139" ht="13.15" customHeight="1" s="1232">
      <c r="J139" s="914" t="n"/>
      <c r="K139" s="563">
        <f>K137+K138</f>
        <v/>
      </c>
      <c r="L139" s="563">
        <f>L137+L138</f>
        <v/>
      </c>
      <c r="M139" s="563">
        <f>M137+M138</f>
        <v/>
      </c>
      <c r="N139" s="563">
        <f>N137+N138</f>
        <v/>
      </c>
      <c r="O139" s="563">
        <f>O137+O138</f>
        <v/>
      </c>
      <c r="P139" s="563">
        <f>P137+P138</f>
        <v/>
      </c>
      <c r="Q139" s="563">
        <f>Q137+Q138</f>
        <v/>
      </c>
      <c r="R139" s="563">
        <f>R137+R138</f>
        <v/>
      </c>
      <c r="S139" s="563">
        <f>S137+S138</f>
        <v/>
      </c>
      <c r="T139" s="563">
        <f>T137+T138</f>
        <v/>
      </c>
      <c r="U139" s="563">
        <f>U137+U138</f>
        <v/>
      </c>
      <c r="V139" s="563">
        <f>V137+V138</f>
        <v/>
      </c>
      <c r="W139" s="563">
        <f>W137+W138</f>
        <v/>
      </c>
      <c r="X139" s="564" t="n"/>
    </row>
    <row r="146" ht="13.15" customHeight="1" s="1232">
      <c r="E146" s="605">
        <f>SUM(E150:E635)</f>
        <v/>
      </c>
    </row>
    <row r="147" ht="13.9" customHeight="1" s="1232">
      <c r="A147" s="1345" t="inlineStr">
        <is>
          <t>Date</t>
        </is>
      </c>
      <c r="B147" s="1346" t="inlineStr">
        <is>
          <t>Client</t>
        </is>
      </c>
      <c r="C147" s="1346" t="inlineStr">
        <is>
          <t>Category</t>
        </is>
      </c>
      <c r="D147" s="1346" t="inlineStr">
        <is>
          <t>Funding</t>
        </is>
      </c>
      <c r="E147" s="1347" t="inlineStr">
        <is>
          <t>Amount</t>
        </is>
      </c>
      <c r="F147" s="1346" t="inlineStr">
        <is>
          <t>Event</t>
        </is>
      </c>
      <c r="G147" s="1346" t="inlineStr">
        <is>
          <t>Source</t>
        </is>
      </c>
    </row>
    <row r="150" ht="13.5" customHeight="1" s="1232">
      <c r="A150" s="1348" t="n"/>
      <c r="B150" s="1349" t="n"/>
      <c r="C150" s="1350" t="n"/>
      <c r="D150" s="1349" t="n"/>
      <c r="E150" s="1351" t="n"/>
      <c r="F150" s="1349" t="n"/>
      <c r="G150" s="1349" t="n"/>
    </row>
    <row r="151" ht="13.5" customHeight="1" s="1232">
      <c r="A151" s="1348" t="n"/>
      <c r="B151" s="1349" t="n"/>
      <c r="C151" s="1350" t="n"/>
      <c r="D151" s="1349" t="n"/>
      <c r="E151" s="1351" t="n"/>
      <c r="F151" s="1349" t="n"/>
      <c r="G151" s="1349" t="n"/>
    </row>
    <row r="152" ht="13.5" customHeight="1" s="1232">
      <c r="A152" s="1348" t="n"/>
      <c r="B152" s="1349" t="n"/>
      <c r="C152" s="1350" t="n"/>
      <c r="D152" s="1349" t="n"/>
      <c r="E152" s="1351" t="n"/>
      <c r="F152" s="1349" t="n"/>
      <c r="G152" s="1349" t="n"/>
    </row>
    <row r="153" ht="13.5" customHeight="1" s="1232">
      <c r="A153" s="1348" t="n"/>
      <c r="B153" s="1349" t="n"/>
      <c r="C153" s="1350" t="n"/>
      <c r="D153" s="1349" t="n"/>
      <c r="E153" s="1351" t="n"/>
      <c r="F153" s="1349" t="n"/>
      <c r="G153" s="1349" t="n"/>
    </row>
    <row r="154" ht="13.5" customHeight="1" s="1232">
      <c r="A154" s="1348" t="n">
        <v>44561</v>
      </c>
      <c r="B154" s="1349" t="inlineStr">
        <is>
          <t>Fiona Clifford</t>
        </is>
      </c>
      <c r="C154" s="1350" t="inlineStr">
        <is>
          <t>2. Workshops</t>
        </is>
      </c>
      <c r="D154" s="1349" t="inlineStr">
        <is>
          <t>Stripe</t>
        </is>
      </c>
      <c r="E154" s="1351" t="n">
        <v>525</v>
      </c>
      <c r="F154" s="1349" t="inlineStr">
        <is>
          <t>Dorset</t>
        </is>
      </c>
      <c r="G154" s="1349" t="inlineStr">
        <is>
          <t>Google</t>
        </is>
      </c>
    </row>
    <row r="155" ht="13.5" customHeight="1" s="1232">
      <c r="A155" s="1348" t="n">
        <v>44558</v>
      </c>
      <c r="B155" s="1349" t="inlineStr">
        <is>
          <t>Michael Jaye</t>
        </is>
      </c>
      <c r="C155" s="1350" t="inlineStr">
        <is>
          <t>2. Workshops</t>
        </is>
      </c>
      <c r="D155" s="1349" t="inlineStr">
        <is>
          <t>Stripe</t>
        </is>
      </c>
      <c r="E155" s="1351" t="n">
        <v>12</v>
      </c>
      <c r="F155" s="1349" t="inlineStr">
        <is>
          <t>Woodland Walk</t>
        </is>
      </c>
      <c r="G155" s="1349" t="inlineStr">
        <is>
          <t>Existing</t>
        </is>
      </c>
    </row>
    <row r="156" ht="13.5" customHeight="1" s="1232">
      <c r="A156" s="1348" t="n">
        <v>44558</v>
      </c>
      <c r="B156" s="1349" t="inlineStr">
        <is>
          <t>Nicholas Barber</t>
        </is>
      </c>
      <c r="C156" s="1350" t="inlineStr">
        <is>
          <t>2. Workshops</t>
        </is>
      </c>
      <c r="D156" s="1349" t="inlineStr">
        <is>
          <t>PayPal</t>
        </is>
      </c>
      <c r="E156" s="1351" t="n">
        <v>12</v>
      </c>
      <c r="F156" s="1349" t="inlineStr">
        <is>
          <t>Woodland Walk</t>
        </is>
      </c>
      <c r="G156" s="1349" t="inlineStr">
        <is>
          <t>Existing</t>
        </is>
      </c>
    </row>
    <row r="157" ht="13.5" customHeight="1" s="1232">
      <c r="A157" s="1348" t="n">
        <v>44561</v>
      </c>
      <c r="B157" s="1349" t="inlineStr">
        <is>
          <t>Pixsy</t>
        </is>
      </c>
      <c r="C157" s="1350" t="inlineStr">
        <is>
          <t>9. Prints &amp; Royalties</t>
        </is>
      </c>
      <c r="D157" s="1349" t="inlineStr">
        <is>
          <t>PayPal</t>
        </is>
      </c>
      <c r="E157" s="1351" t="n">
        <v>75.95999999999999</v>
      </c>
      <c r="F157" s="1349" t="inlineStr">
        <is>
          <t>Copyright Payment</t>
        </is>
      </c>
      <c r="G157" s="1349" t="inlineStr">
        <is>
          <t>Existing</t>
        </is>
      </c>
    </row>
    <row r="158" ht="13.5" customHeight="1" s="1232">
      <c r="A158" s="1348" t="n">
        <v>44557</v>
      </c>
      <c r="B158" s="1349" t="inlineStr">
        <is>
          <t>Artfullywalls</t>
        </is>
      </c>
      <c r="C158" s="1350" t="inlineStr">
        <is>
          <t>9. Prints &amp; Royalties</t>
        </is>
      </c>
      <c r="D158" s="1349" t="inlineStr">
        <is>
          <t>PayPal</t>
        </is>
      </c>
      <c r="E158" s="1351" t="n">
        <v>200.8</v>
      </c>
      <c r="F158" s="1349" t="inlineStr">
        <is>
          <t>Print Sale</t>
        </is>
      </c>
      <c r="G158" s="1349" t="inlineStr">
        <is>
          <t>Existing</t>
        </is>
      </c>
    </row>
    <row r="159" ht="13.5" customHeight="1" s="1232">
      <c r="A159" s="1348" t="n">
        <v>44555</v>
      </c>
      <c r="B159" s="1349" t="inlineStr">
        <is>
          <t>Tim Hurst</t>
        </is>
      </c>
      <c r="C159" s="1350" t="inlineStr">
        <is>
          <t>6. 1-2-1</t>
        </is>
      </c>
      <c r="D159" s="1349" t="inlineStr">
        <is>
          <t>Stripe</t>
        </is>
      </c>
      <c r="E159" s="1351" t="n">
        <v>20</v>
      </c>
      <c r="F159" s="1352" t="inlineStr">
        <is>
          <t>1-2-1 2hrs</t>
        </is>
      </c>
      <c r="G159" s="1349" t="inlineStr">
        <is>
          <t>Existing</t>
        </is>
      </c>
    </row>
    <row r="160" ht="13.5" customHeight="1" s="1232">
      <c r="A160" s="1348" t="n">
        <v>44555</v>
      </c>
      <c r="B160" s="1349" t="inlineStr">
        <is>
          <t>Tim Hurst</t>
        </is>
      </c>
      <c r="C160" s="1350" t="inlineStr">
        <is>
          <t>6. 1-2-1</t>
        </is>
      </c>
      <c r="D160" s="1349" t="inlineStr">
        <is>
          <t>Gift Voucher Out</t>
        </is>
      </c>
      <c r="E160" s="1351" t="n">
        <v>100</v>
      </c>
      <c r="F160" s="1352" t="inlineStr">
        <is>
          <t>1-2-1 2hrs</t>
        </is>
      </c>
      <c r="G160" s="1349" t="inlineStr">
        <is>
          <t>Existing</t>
        </is>
      </c>
    </row>
    <row r="161" ht="13.5" customHeight="1" s="1232">
      <c r="A161" s="1348" t="n">
        <v>44555</v>
      </c>
      <c r="B161" s="1349" t="inlineStr">
        <is>
          <t>Tim Hurst</t>
        </is>
      </c>
      <c r="C161" s="1350" t="inlineStr">
        <is>
          <t>8. Gift Vouchers Out</t>
        </is>
      </c>
      <c r="D161" s="1349" t="inlineStr">
        <is>
          <t>Gift Voucher Out</t>
        </is>
      </c>
      <c r="E161" s="1351" t="n">
        <v>-100</v>
      </c>
      <c r="F161" s="1352" t="inlineStr">
        <is>
          <t>1-2-1 2hrs</t>
        </is>
      </c>
      <c r="G161" s="1349" t="inlineStr">
        <is>
          <t>Existing</t>
        </is>
      </c>
    </row>
    <row r="162" ht="13.5" customHeight="1" s="1232">
      <c r="A162" s="1348" t="n">
        <v>44555</v>
      </c>
      <c r="B162" s="1349" t="inlineStr">
        <is>
          <t>Rob Jervis</t>
        </is>
      </c>
      <c r="C162" s="1350" t="inlineStr">
        <is>
          <t>2. Workshops</t>
        </is>
      </c>
      <c r="D162" s="1349" t="inlineStr">
        <is>
          <t>Stripe</t>
        </is>
      </c>
      <c r="E162" s="1351" t="n">
        <v>24</v>
      </c>
      <c r="F162" s="1349" t="inlineStr">
        <is>
          <t>Woodland Walks x 2</t>
        </is>
      </c>
      <c r="G162" s="1349" t="inlineStr">
        <is>
          <t>Google</t>
        </is>
      </c>
    </row>
    <row r="163" ht="13.5" customHeight="1" s="1232">
      <c r="A163" s="1348" t="n">
        <v>44553</v>
      </c>
      <c r="B163" s="1349" t="inlineStr">
        <is>
          <t>Christopher Troth</t>
        </is>
      </c>
      <c r="C163" s="1350" t="inlineStr">
        <is>
          <t>7. Gift Vouchers Inc</t>
        </is>
      </c>
      <c r="D163" s="1349" t="inlineStr">
        <is>
          <t>PayPal</t>
        </is>
      </c>
      <c r="E163" s="1351" t="n">
        <v>30</v>
      </c>
      <c r="F163" s="1349" t="inlineStr">
        <is>
          <t>Digital Gift Card</t>
        </is>
      </c>
      <c r="G163" s="1349" t="inlineStr">
        <is>
          <t>Existing</t>
        </is>
      </c>
    </row>
    <row r="164" ht="13.5" customHeight="1" s="1232">
      <c r="A164" s="1348" t="n">
        <v>44552</v>
      </c>
      <c r="B164" s="1349" t="inlineStr">
        <is>
          <t>Karen Clothier</t>
        </is>
      </c>
      <c r="C164" s="1350" t="inlineStr">
        <is>
          <t>6. 1-2-1</t>
        </is>
      </c>
      <c r="D164" s="1349" t="inlineStr">
        <is>
          <t>Stripe</t>
        </is>
      </c>
      <c r="E164" s="1351" t="n">
        <v>50</v>
      </c>
      <c r="F164" s="1349" t="inlineStr">
        <is>
          <t>Website Build</t>
        </is>
      </c>
      <c r="G164" s="1349" t="inlineStr">
        <is>
          <t>Existing</t>
        </is>
      </c>
    </row>
    <row r="165" ht="13.5" customHeight="1" s="1232">
      <c r="A165" s="1348" t="n">
        <v>44552</v>
      </c>
      <c r="B165" s="1349" t="inlineStr">
        <is>
          <t>Greg Bailey</t>
        </is>
      </c>
      <c r="C165" s="1350" t="inlineStr">
        <is>
          <t>6. 1-2-1</t>
        </is>
      </c>
      <c r="D165" s="1349" t="inlineStr">
        <is>
          <t>Stripe</t>
        </is>
      </c>
      <c r="E165" s="1351" t="n">
        <v>50</v>
      </c>
      <c r="F165" s="1349" t="inlineStr">
        <is>
          <t>Zoom 1hr LR Migration</t>
        </is>
      </c>
      <c r="G165" s="1349" t="inlineStr">
        <is>
          <t>Google</t>
        </is>
      </c>
    </row>
    <row r="166" ht="13.5" customHeight="1" s="1232">
      <c r="A166" s="1348" t="n">
        <v>44550</v>
      </c>
      <c r="B166" s="1349" t="inlineStr">
        <is>
          <t>Jo Bailes</t>
        </is>
      </c>
      <c r="C166" s="1350" t="inlineStr">
        <is>
          <t>7. Gift Vouchers Inc</t>
        </is>
      </c>
      <c r="D166" s="1349" t="inlineStr">
        <is>
          <t>Stripe</t>
        </is>
      </c>
      <c r="E166" s="1351" t="n">
        <v>75</v>
      </c>
      <c r="F166" s="1349" t="inlineStr">
        <is>
          <t>Digital Gift Card</t>
        </is>
      </c>
      <c r="G166" s="1349" t="inlineStr">
        <is>
          <t>Google</t>
        </is>
      </c>
    </row>
    <row r="167" ht="13.5" customHeight="1" s="1232">
      <c r="A167" s="1348" t="n">
        <v>44550</v>
      </c>
      <c r="B167" s="1349" t="inlineStr">
        <is>
          <t>Jason Bunce</t>
        </is>
      </c>
      <c r="C167" s="1350" t="inlineStr">
        <is>
          <t>5. Mentoring</t>
        </is>
      </c>
      <c r="D167" s="1349" t="inlineStr">
        <is>
          <t>Stripe</t>
        </is>
      </c>
      <c r="E167" s="1351" t="n">
        <v>20</v>
      </c>
      <c r="F167" s="1349" t="inlineStr">
        <is>
          <t>Monthly Mentoring</t>
        </is>
      </c>
      <c r="G167" s="1349" t="inlineStr">
        <is>
          <t>Google</t>
        </is>
      </c>
    </row>
    <row r="168" ht="13.5" customHeight="1" s="1232">
      <c r="A168" s="1348" t="n">
        <v>44550</v>
      </c>
      <c r="B168" s="1349" t="inlineStr">
        <is>
          <t>Jeffry Bayliss</t>
        </is>
      </c>
      <c r="C168" s="1350" t="inlineStr">
        <is>
          <t>6. 1-2-1</t>
        </is>
      </c>
      <c r="D168" s="1349" t="inlineStr">
        <is>
          <t>Stripe</t>
        </is>
      </c>
      <c r="E168" s="1351" t="n">
        <v>360</v>
      </c>
      <c r="F168" s="1349" t="inlineStr">
        <is>
          <t>4 x 2hr 1-2-1's</t>
        </is>
      </c>
      <c r="G168" s="1349" t="inlineStr">
        <is>
          <t>Google</t>
        </is>
      </c>
    </row>
    <row r="169" ht="13.5" customHeight="1" s="1232">
      <c r="A169" s="1348" t="n">
        <v>44548</v>
      </c>
      <c r="B169" s="1349" t="inlineStr">
        <is>
          <t>Connor Moore</t>
        </is>
      </c>
      <c r="C169" s="1350" t="inlineStr">
        <is>
          <t>7. Gift Vouchers Inc</t>
        </is>
      </c>
      <c r="D169" s="1349" t="inlineStr">
        <is>
          <t>Stripe</t>
        </is>
      </c>
      <c r="E169" s="1351" t="n">
        <v>50</v>
      </c>
      <c r="F169" s="1349" t="inlineStr">
        <is>
          <t>Digital Gift Card</t>
        </is>
      </c>
      <c r="G169" s="1349" t="inlineStr">
        <is>
          <t>Google</t>
        </is>
      </c>
    </row>
    <row r="170" ht="13.5" customHeight="1" s="1232">
      <c r="A170" s="1348" t="n">
        <v>44547</v>
      </c>
      <c r="B170" s="1349" t="inlineStr">
        <is>
          <t>Jeremy Troth</t>
        </is>
      </c>
      <c r="C170" s="1350" t="inlineStr">
        <is>
          <t>2. Workshops</t>
        </is>
      </c>
      <c r="D170" s="1349" t="inlineStr">
        <is>
          <t>Bank</t>
        </is>
      </c>
      <c r="E170" s="1351" t="n">
        <v>80</v>
      </c>
      <c r="F170" s="1349" t="inlineStr">
        <is>
          <t>Woodland Walks 2022</t>
        </is>
      </c>
      <c r="G170" s="1349" t="inlineStr">
        <is>
          <t>Existing</t>
        </is>
      </c>
    </row>
    <row r="171" ht="13.5" customHeight="1" s="1232">
      <c r="A171" s="1348" t="n">
        <v>44547</v>
      </c>
      <c r="B171" s="1349" t="inlineStr">
        <is>
          <t>Daphne Press</t>
        </is>
      </c>
      <c r="C171" s="1350" t="inlineStr">
        <is>
          <t>7. Gift Vouchers Inc</t>
        </is>
      </c>
      <c r="D171" s="1349" t="inlineStr">
        <is>
          <t>Stripe</t>
        </is>
      </c>
      <c r="E171" s="1351" t="n">
        <v>600</v>
      </c>
      <c r="F171" s="1349" t="inlineStr">
        <is>
          <t>Digital Gift Card</t>
        </is>
      </c>
      <c r="G171" s="1349" t="inlineStr">
        <is>
          <t>Google</t>
        </is>
      </c>
    </row>
    <row r="172" ht="13.5" customHeight="1" s="1232">
      <c r="A172" s="1348" t="n">
        <v>44547</v>
      </c>
      <c r="B172" s="1349" t="inlineStr">
        <is>
          <t>Yvonne Sharman</t>
        </is>
      </c>
      <c r="C172" s="1350" t="inlineStr">
        <is>
          <t>6. 1-2-1</t>
        </is>
      </c>
      <c r="D172" s="1349" t="inlineStr">
        <is>
          <t>Stripe</t>
        </is>
      </c>
      <c r="E172" s="1351" t="n">
        <v>360</v>
      </c>
      <c r="F172" s="1349" t="inlineStr">
        <is>
          <t>4 x 2hr 1-2-1's</t>
        </is>
      </c>
      <c r="G172" s="1349" t="inlineStr">
        <is>
          <t>Google</t>
        </is>
      </c>
    </row>
    <row r="173" ht="13.5" customHeight="1" s="1232">
      <c r="A173" s="1348" t="n">
        <v>44546</v>
      </c>
      <c r="B173" s="1349" t="inlineStr">
        <is>
          <t>Julia Bowen</t>
        </is>
      </c>
      <c r="C173" s="1350" t="inlineStr">
        <is>
          <t>6. 1-2-1</t>
        </is>
      </c>
      <c r="D173" s="1349" t="inlineStr">
        <is>
          <t>Stripe</t>
        </is>
      </c>
      <c r="E173" s="1351" t="n">
        <v>55</v>
      </c>
      <c r="F173" s="1349" t="inlineStr">
        <is>
          <t>Zoom 1HR 1-2-1</t>
        </is>
      </c>
      <c r="G173" s="1349" t="inlineStr">
        <is>
          <t>Google</t>
        </is>
      </c>
    </row>
    <row r="174" ht="13.5" customHeight="1" s="1232">
      <c r="A174" s="1348" t="n">
        <v>44545</v>
      </c>
      <c r="B174" s="1349" t="inlineStr">
        <is>
          <t>Julia Bowen</t>
        </is>
      </c>
      <c r="C174" s="1350" t="inlineStr">
        <is>
          <t>6. 1-2-1</t>
        </is>
      </c>
      <c r="D174" s="1349" t="inlineStr">
        <is>
          <t>Stripe</t>
        </is>
      </c>
      <c r="E174" s="1351" t="n">
        <v>50</v>
      </c>
      <c r="F174" s="1349" t="inlineStr">
        <is>
          <t>Zoom 1hr LR Migration</t>
        </is>
      </c>
      <c r="G174" s="1349" t="inlineStr">
        <is>
          <t>Existing</t>
        </is>
      </c>
    </row>
    <row r="175" ht="13.5" customHeight="1" s="1232">
      <c r="A175" s="1348" t="n">
        <v>44545</v>
      </c>
      <c r="B175" s="1349" t="inlineStr">
        <is>
          <t>Pure Photo</t>
        </is>
      </c>
      <c r="C175" s="1350" t="inlineStr">
        <is>
          <t>9. Prints &amp; Royalties</t>
        </is>
      </c>
      <c r="D175" s="1349" t="inlineStr">
        <is>
          <t>PayPal</t>
        </is>
      </c>
      <c r="E175" s="1351" t="n">
        <v>622</v>
      </c>
      <c r="F175" s="1349" t="inlineStr">
        <is>
          <t>Print Sale</t>
        </is>
      </c>
      <c r="G175" s="1349" t="inlineStr">
        <is>
          <t>Existing</t>
        </is>
      </c>
    </row>
    <row r="176" ht="13.5" customHeight="1" s="1232">
      <c r="A176" s="1348" t="n">
        <v>44544</v>
      </c>
      <c r="B176" s="1349" t="inlineStr">
        <is>
          <t>Neil Wilson</t>
        </is>
      </c>
      <c r="C176" s="1350" t="inlineStr">
        <is>
          <t>11. Other</t>
        </is>
      </c>
      <c r="D176" s="1349" t="inlineStr">
        <is>
          <t>Stripe</t>
        </is>
      </c>
      <c r="E176" s="1351" t="n">
        <v>22</v>
      </c>
      <c r="F176" s="1349" t="inlineStr">
        <is>
          <t>Calendar</t>
        </is>
      </c>
      <c r="G176" s="1349" t="inlineStr">
        <is>
          <t>Google</t>
        </is>
      </c>
    </row>
    <row r="177" ht="13.5" customHeight="1" s="1232">
      <c r="A177" s="1348" t="n">
        <v>44544</v>
      </c>
      <c r="B177" s="1349" t="inlineStr">
        <is>
          <t>Scott Dance</t>
        </is>
      </c>
      <c r="C177" s="1350" t="inlineStr">
        <is>
          <t>6. 1-2-1</t>
        </is>
      </c>
      <c r="D177" s="1349" t="inlineStr">
        <is>
          <t>Stripe</t>
        </is>
      </c>
      <c r="E177" s="1351" t="n">
        <v>50</v>
      </c>
      <c r="F177" s="1349" t="inlineStr">
        <is>
          <t>Zoom 1hr RPS</t>
        </is>
      </c>
      <c r="G177" s="1349" t="inlineStr">
        <is>
          <t>Referral</t>
        </is>
      </c>
    </row>
    <row r="178" ht="13.5" customHeight="1" s="1232">
      <c r="A178" s="1348" t="n">
        <v>44544</v>
      </c>
      <c r="B178" s="1349" t="inlineStr">
        <is>
          <t>Nigel Baker</t>
        </is>
      </c>
      <c r="C178" s="1350" t="inlineStr">
        <is>
          <t>9. Prints &amp; Royalties</t>
        </is>
      </c>
      <c r="D178" s="1349" t="inlineStr">
        <is>
          <t>Stripe</t>
        </is>
      </c>
      <c r="E178" s="1351" t="n">
        <v>175</v>
      </c>
      <c r="F178" s="1349" t="inlineStr">
        <is>
          <t>Hartland Quay Print</t>
        </is>
      </c>
      <c r="G178" s="1349" t="inlineStr">
        <is>
          <t>Google</t>
        </is>
      </c>
    </row>
    <row r="179" ht="13.5" customHeight="1" s="1232">
      <c r="A179" s="1348" t="n">
        <v>44543</v>
      </c>
      <c r="B179" s="1349" t="inlineStr">
        <is>
          <t>Max Dobres</t>
        </is>
      </c>
      <c r="C179" s="1350" t="inlineStr">
        <is>
          <t>6. 1-2-1</t>
        </is>
      </c>
      <c r="D179" s="1349" t="inlineStr">
        <is>
          <t>Stripe</t>
        </is>
      </c>
      <c r="E179" s="1351" t="n">
        <v>50</v>
      </c>
      <c r="F179" s="1349" t="inlineStr">
        <is>
          <t>Zoom 1hr RPS</t>
        </is>
      </c>
      <c r="G179" s="1349" t="inlineStr">
        <is>
          <t>Existing</t>
        </is>
      </c>
    </row>
    <row r="180" ht="13.5" customHeight="1" s="1232">
      <c r="A180" s="1348" t="n">
        <v>44543</v>
      </c>
      <c r="B180" s="1349" t="inlineStr">
        <is>
          <t>Bill Aylett</t>
        </is>
      </c>
      <c r="C180" s="1350" t="inlineStr">
        <is>
          <t>2. Workshops</t>
        </is>
      </c>
      <c r="D180" s="1349" t="inlineStr">
        <is>
          <t>Stripe</t>
        </is>
      </c>
      <c r="E180" s="1351" t="n">
        <v>695</v>
      </c>
      <c r="F180" s="1349" t="inlineStr">
        <is>
          <t>Lake District Mar 2022</t>
        </is>
      </c>
      <c r="G180" s="1349" t="inlineStr">
        <is>
          <t>Google</t>
        </is>
      </c>
    </row>
    <row r="181" ht="13.5" customHeight="1" s="1232">
      <c r="A181" s="1348" t="n">
        <v>44542</v>
      </c>
      <c r="B181" s="1349" t="inlineStr">
        <is>
          <t>Karen Clothier</t>
        </is>
      </c>
      <c r="C181" s="1350" t="inlineStr">
        <is>
          <t>6. 1-2-1</t>
        </is>
      </c>
      <c r="D181" s="1349" t="inlineStr">
        <is>
          <t>Stripe</t>
        </is>
      </c>
      <c r="E181" s="1351" t="n">
        <v>850</v>
      </c>
      <c r="F181" s="1349" t="inlineStr">
        <is>
          <t>Website Build</t>
        </is>
      </c>
      <c r="G181" s="1349" t="inlineStr">
        <is>
          <t>Existing</t>
        </is>
      </c>
    </row>
    <row r="182" ht="13.5" customHeight="1" s="1232">
      <c r="A182" s="1348" t="n">
        <v>44540</v>
      </c>
      <c r="B182" s="1349" t="inlineStr">
        <is>
          <t>Jacki Rosin</t>
        </is>
      </c>
      <c r="C182" s="1350" t="inlineStr">
        <is>
          <t>6. 1-2-1</t>
        </is>
      </c>
      <c r="D182" s="1349" t="inlineStr">
        <is>
          <t>Stripe</t>
        </is>
      </c>
      <c r="E182" s="1351" t="n">
        <v>50</v>
      </c>
      <c r="F182" s="1349" t="inlineStr">
        <is>
          <t>Zoom 1hr RPS</t>
        </is>
      </c>
      <c r="G182" s="1349" t="inlineStr">
        <is>
          <t>Existing</t>
        </is>
      </c>
    </row>
    <row r="183" ht="13.5" customHeight="1" s="1232">
      <c r="A183" s="1348" t="n">
        <v>44540</v>
      </c>
      <c r="B183" s="1349" t="inlineStr">
        <is>
          <t>Lauren Taylor</t>
        </is>
      </c>
      <c r="C183" s="1350" t="inlineStr">
        <is>
          <t>2. Workshops</t>
        </is>
      </c>
      <c r="D183" s="1349" t="inlineStr">
        <is>
          <t>PayPal</t>
        </is>
      </c>
      <c r="E183" s="1351" t="n">
        <v>50</v>
      </c>
      <c r="F183" s="1349" t="inlineStr">
        <is>
          <t>Lake Vyrnwy Workshop</t>
        </is>
      </c>
      <c r="G183" s="1349" t="inlineStr">
        <is>
          <t>Google</t>
        </is>
      </c>
    </row>
    <row r="184" ht="13.5" customHeight="1" s="1232">
      <c r="A184" s="1348" t="n">
        <v>44540</v>
      </c>
      <c r="B184" s="1349" t="inlineStr">
        <is>
          <t>Lauren Taylor</t>
        </is>
      </c>
      <c r="C184" s="1350" t="inlineStr">
        <is>
          <t>2. Workshops</t>
        </is>
      </c>
      <c r="D184" s="1349" t="inlineStr">
        <is>
          <t>Stripe</t>
        </is>
      </c>
      <c r="E184" s="1351" t="n">
        <v>395</v>
      </c>
      <c r="F184" s="1349" t="inlineStr">
        <is>
          <t>Lake Vyrnwy Workshop</t>
        </is>
      </c>
      <c r="G184" s="1349" t="inlineStr">
        <is>
          <t>Google</t>
        </is>
      </c>
    </row>
    <row r="185" ht="13.5" customHeight="1" s="1232">
      <c r="A185" s="1348" t="n">
        <v>44540</v>
      </c>
      <c r="B185" s="1349" t="inlineStr">
        <is>
          <t>Sheila Ratcliffe</t>
        </is>
      </c>
      <c r="C185" s="1350" t="inlineStr">
        <is>
          <t>2. Workshops</t>
        </is>
      </c>
      <c r="D185" s="1349" t="inlineStr">
        <is>
          <t>Stripe</t>
        </is>
      </c>
      <c r="E185" s="1351" t="n">
        <v>150</v>
      </c>
      <c r="F185" s="1349" t="inlineStr">
        <is>
          <t>Peak District</t>
        </is>
      </c>
      <c r="G185" s="1349" t="inlineStr">
        <is>
          <t>Google</t>
        </is>
      </c>
    </row>
    <row r="186" ht="13.5" customHeight="1" s="1232">
      <c r="A186" s="1348" t="n">
        <v>44538</v>
      </c>
      <c r="B186" s="1349" t="inlineStr">
        <is>
          <t>Dave Spiers</t>
        </is>
      </c>
      <c r="C186" s="1350" t="inlineStr">
        <is>
          <t>7. Gift Vouchers Inc</t>
        </is>
      </c>
      <c r="D186" s="1349" t="inlineStr">
        <is>
          <t>Stripe</t>
        </is>
      </c>
      <c r="E186" s="1351" t="n">
        <v>100</v>
      </c>
      <c r="F186" s="1349" t="inlineStr">
        <is>
          <t>Digital Gift Card</t>
        </is>
      </c>
      <c r="G186" s="1349" t="inlineStr">
        <is>
          <t>Google</t>
        </is>
      </c>
    </row>
    <row r="187" ht="13.5" customHeight="1" s="1232">
      <c r="A187" s="1348" t="n">
        <v>44538</v>
      </c>
      <c r="B187" s="1349" t="inlineStr">
        <is>
          <t>Dave Spiers</t>
        </is>
      </c>
      <c r="C187" s="1350" t="inlineStr">
        <is>
          <t>7. Gift Vouchers Inc</t>
        </is>
      </c>
      <c r="D187" s="1349" t="inlineStr">
        <is>
          <t>Stripe</t>
        </is>
      </c>
      <c r="E187" s="1351" t="n">
        <v>100</v>
      </c>
      <c r="F187" s="1349" t="inlineStr">
        <is>
          <t>Digital Gift Card</t>
        </is>
      </c>
      <c r="G187" s="1349" t="inlineStr">
        <is>
          <t>Google</t>
        </is>
      </c>
    </row>
    <row r="188" ht="13.5" customHeight="1" s="1232">
      <c r="A188" s="1348" t="n">
        <v>44538</v>
      </c>
      <c r="B188" s="1349" t="inlineStr">
        <is>
          <t>Tony Teague</t>
        </is>
      </c>
      <c r="C188" s="1350" t="inlineStr">
        <is>
          <t>6. 1-2-1</t>
        </is>
      </c>
      <c r="D188" s="1349" t="inlineStr">
        <is>
          <t>Stripe</t>
        </is>
      </c>
      <c r="E188" s="1351" t="n">
        <v>50</v>
      </c>
      <c r="F188" s="1349" t="inlineStr">
        <is>
          <t>Zoom 1hr RPS</t>
        </is>
      </c>
      <c r="G188" s="1349" t="inlineStr">
        <is>
          <t>Existing</t>
        </is>
      </c>
    </row>
    <row r="189" ht="13.5" customHeight="1" s="1232">
      <c r="A189" s="1348" t="n">
        <v>44537</v>
      </c>
      <c r="B189" s="1349" t="inlineStr">
        <is>
          <t>Penelope Mckenna</t>
        </is>
      </c>
      <c r="C189" s="1350" t="inlineStr">
        <is>
          <t>1. Courses/masterclasses</t>
        </is>
      </c>
      <c r="D189" s="1349" t="inlineStr">
        <is>
          <t>Stripe</t>
        </is>
      </c>
      <c r="E189" s="1351" t="n">
        <v>250</v>
      </c>
      <c r="F189" s="1349" t="inlineStr">
        <is>
          <t>5wk Beginners Course</t>
        </is>
      </c>
      <c r="G189" s="1349" t="inlineStr">
        <is>
          <t>Google</t>
        </is>
      </c>
    </row>
    <row r="190" ht="13.5" customHeight="1" s="1232">
      <c r="A190" s="1348" t="n">
        <v>44536</v>
      </c>
      <c r="B190" s="1349" t="inlineStr">
        <is>
          <t>Kit Compton</t>
        </is>
      </c>
      <c r="C190" s="1350" t="inlineStr">
        <is>
          <t>2. Workshops</t>
        </is>
      </c>
      <c r="D190" s="1349" t="inlineStr">
        <is>
          <t>Stripe</t>
        </is>
      </c>
      <c r="E190" s="1351" t="n">
        <v>125</v>
      </c>
      <c r="F190" s="1349" t="inlineStr">
        <is>
          <t>Bluebell Workshop</t>
        </is>
      </c>
      <c r="G190" s="1349" t="inlineStr">
        <is>
          <t>Google</t>
        </is>
      </c>
    </row>
    <row r="191" ht="13.5" customHeight="1" s="1232">
      <c r="A191" s="1348" t="n">
        <v>44536</v>
      </c>
      <c r="B191" s="1349" t="inlineStr">
        <is>
          <t>Karen Clothier</t>
        </is>
      </c>
      <c r="C191" s="1350" t="inlineStr">
        <is>
          <t>6. 1-2-1</t>
        </is>
      </c>
      <c r="D191" s="1349" t="inlineStr">
        <is>
          <t>Stripe</t>
        </is>
      </c>
      <c r="E191" s="1351" t="n">
        <v>50</v>
      </c>
      <c r="F191" s="1349" t="inlineStr">
        <is>
          <t>1-2-1 Photo Website</t>
        </is>
      </c>
      <c r="G191" s="1349" t="inlineStr">
        <is>
          <t>Existing</t>
        </is>
      </c>
    </row>
    <row r="192" ht="13.5" customHeight="1" s="1232">
      <c r="A192" s="1348" t="n">
        <v>44535</v>
      </c>
      <c r="B192" s="1349" t="inlineStr">
        <is>
          <t>Graham French</t>
        </is>
      </c>
      <c r="C192" s="1350" t="inlineStr">
        <is>
          <t>8. Gift Vouchers Out</t>
        </is>
      </c>
      <c r="D192" s="1349" t="inlineStr">
        <is>
          <t>Gift Voucher Out</t>
        </is>
      </c>
      <c r="E192" s="1351" t="n">
        <v>-300</v>
      </c>
      <c r="F192" s="1349" t="inlineStr">
        <is>
          <t>Lake Vyrnwy Workshop</t>
        </is>
      </c>
      <c r="G192" s="1349" t="inlineStr">
        <is>
          <t>Existing</t>
        </is>
      </c>
    </row>
    <row r="193" ht="13.5" customHeight="1" s="1232">
      <c r="A193" s="1348" t="n">
        <v>44535</v>
      </c>
      <c r="B193" s="1349" t="inlineStr">
        <is>
          <t>Graham French</t>
        </is>
      </c>
      <c r="C193" s="1350" t="inlineStr">
        <is>
          <t>2. Workshops</t>
        </is>
      </c>
      <c r="D193" s="1349" t="inlineStr">
        <is>
          <t>Gift Voucher Out</t>
        </is>
      </c>
      <c r="E193" s="1351" t="n">
        <v>300</v>
      </c>
      <c r="F193" s="1349" t="inlineStr">
        <is>
          <t>Lake Vyrnwy Workshop</t>
        </is>
      </c>
      <c r="G193" s="1349" t="inlineStr">
        <is>
          <t>Existing</t>
        </is>
      </c>
    </row>
    <row r="194" ht="13.5" customHeight="1" s="1232">
      <c r="A194" s="1348" t="n">
        <v>44535</v>
      </c>
      <c r="B194" s="1349" t="inlineStr">
        <is>
          <t>Graham French</t>
        </is>
      </c>
      <c r="C194" s="1350" t="inlineStr">
        <is>
          <t>2. Workshops</t>
        </is>
      </c>
      <c r="D194" s="1349" t="inlineStr">
        <is>
          <t>PayPal</t>
        </is>
      </c>
      <c r="E194" s="1351" t="n">
        <v>95</v>
      </c>
      <c r="F194" s="1349" t="inlineStr">
        <is>
          <t>Lake Vyrnwy Workshop</t>
        </is>
      </c>
      <c r="G194" s="1349" t="inlineStr">
        <is>
          <t>Existing</t>
        </is>
      </c>
    </row>
    <row r="195" ht="13.5" customHeight="1" s="1232">
      <c r="A195" s="1348" t="n">
        <v>44534</v>
      </c>
      <c r="B195" s="1349" t="inlineStr">
        <is>
          <t xml:space="preserve">Ian Silverwood </t>
        </is>
      </c>
      <c r="C195" s="1350" t="inlineStr">
        <is>
          <t>6. 1-2-1</t>
        </is>
      </c>
      <c r="D195" s="1349" t="inlineStr">
        <is>
          <t>PayPal</t>
        </is>
      </c>
      <c r="E195" s="1351" t="n">
        <v>275</v>
      </c>
      <c r="F195" s="1349" t="inlineStr">
        <is>
          <t>4hrs 1-2-1 F2F</t>
        </is>
      </c>
      <c r="G195" s="1349" t="inlineStr">
        <is>
          <t>Google</t>
        </is>
      </c>
    </row>
    <row r="196" ht="13.5" customHeight="1" s="1232">
      <c r="A196" s="1348" t="n">
        <v>44531</v>
      </c>
      <c r="B196" s="1349" t="inlineStr">
        <is>
          <t>Karen Clothier</t>
        </is>
      </c>
      <c r="C196" s="1350" t="inlineStr">
        <is>
          <t>6. 1-2-1</t>
        </is>
      </c>
      <c r="D196" s="1349" t="inlineStr">
        <is>
          <t>Stripe</t>
        </is>
      </c>
      <c r="E196" s="1351" t="n">
        <v>100</v>
      </c>
      <c r="F196" s="1349" t="inlineStr">
        <is>
          <t>2 x Zoom Sessions</t>
        </is>
      </c>
      <c r="G196" s="1349" t="inlineStr">
        <is>
          <t>Existing</t>
        </is>
      </c>
    </row>
    <row r="197" ht="13.5" customHeight="1" s="1232">
      <c r="A197" s="1348" t="n">
        <v>44531</v>
      </c>
      <c r="B197" s="1349" t="inlineStr">
        <is>
          <t>Pick n Mix Subs</t>
        </is>
      </c>
      <c r="C197" s="1350" t="inlineStr">
        <is>
          <t>3. Pick n Mix Inc</t>
        </is>
      </c>
      <c r="D197" s="1349" t="inlineStr">
        <is>
          <t>Various</t>
        </is>
      </c>
      <c r="E197" s="1351" t="n">
        <v>625</v>
      </c>
      <c r="F197" s="1349" t="inlineStr">
        <is>
          <t>Pick N Mix Payments</t>
        </is>
      </c>
      <c r="G197" s="1349" t="inlineStr">
        <is>
          <t>Existing</t>
        </is>
      </c>
    </row>
    <row r="198" ht="13.5" customHeight="1" s="1232">
      <c r="A198" s="1348" t="n">
        <v>44531</v>
      </c>
      <c r="B198" s="1349" t="inlineStr">
        <is>
          <t>Mentoring Subs</t>
        </is>
      </c>
      <c r="C198" s="1350" t="inlineStr">
        <is>
          <t>5. Mentoring</t>
        </is>
      </c>
      <c r="D198" s="1350" t="inlineStr">
        <is>
          <t>Various</t>
        </is>
      </c>
      <c r="E198" s="1351" t="n">
        <v>100</v>
      </c>
      <c r="F198" s="1350" t="inlineStr">
        <is>
          <t>Mentoring Subs</t>
        </is>
      </c>
      <c r="G198" s="1350" t="inlineStr">
        <is>
          <t>Existing</t>
        </is>
      </c>
    </row>
    <row r="199" ht="13.5" customHeight="1" s="1232">
      <c r="A199" s="1348" t="n"/>
      <c r="B199" s="1349" t="n"/>
      <c r="C199" s="1350" t="n"/>
      <c r="D199" s="1349" t="n"/>
      <c r="E199" s="1351" t="n"/>
      <c r="F199" s="1349" t="n"/>
      <c r="G199" s="1349" t="n"/>
    </row>
    <row r="200" ht="13.5" customHeight="1" s="1232">
      <c r="A200" s="1348" t="n">
        <v>44530</v>
      </c>
      <c r="B200" s="1349" t="inlineStr">
        <is>
          <t>Carol Hughes</t>
        </is>
      </c>
      <c r="C200" s="1350" t="inlineStr">
        <is>
          <t>2. Workshops</t>
        </is>
      </c>
      <c r="D200" s="1349" t="inlineStr">
        <is>
          <t>Stripe</t>
        </is>
      </c>
      <c r="E200" s="1351" t="n">
        <v>12</v>
      </c>
      <c r="F200" s="1349" t="inlineStr">
        <is>
          <t>Woodland Walk</t>
        </is>
      </c>
      <c r="G200" s="1349" t="inlineStr">
        <is>
          <t>Google</t>
        </is>
      </c>
    </row>
    <row r="201" ht="13.5" customHeight="1" s="1232">
      <c r="A201" s="1348" t="n">
        <v>44524</v>
      </c>
      <c r="B201" s="1349" t="inlineStr">
        <is>
          <t>Pure Photo</t>
        </is>
      </c>
      <c r="C201" s="1350" t="inlineStr">
        <is>
          <t>9. Prints &amp; Royalties</t>
        </is>
      </c>
      <c r="D201" s="1349" t="inlineStr">
        <is>
          <t>PayPal</t>
        </is>
      </c>
      <c r="E201" s="1351" t="n">
        <v>494.04</v>
      </c>
      <c r="F201" s="1349" t="inlineStr">
        <is>
          <t>Print Sales</t>
        </is>
      </c>
      <c r="G201" s="1349" t="inlineStr">
        <is>
          <t>Existing</t>
        </is>
      </c>
    </row>
    <row r="202" ht="13.5" customHeight="1" s="1232">
      <c r="A202" s="1348" t="n">
        <v>44523</v>
      </c>
      <c r="B202" s="1349" t="inlineStr">
        <is>
          <t>Rosamund Sheppard</t>
        </is>
      </c>
      <c r="C202" s="1350" t="inlineStr">
        <is>
          <t>11. Other</t>
        </is>
      </c>
      <c r="D202" s="1349" t="inlineStr">
        <is>
          <t>PayPal</t>
        </is>
      </c>
      <c r="E202" s="1351" t="n">
        <v>22</v>
      </c>
      <c r="F202" s="1349" t="inlineStr">
        <is>
          <t>Calendar</t>
        </is>
      </c>
      <c r="G202" s="1349" t="inlineStr">
        <is>
          <t>Existing</t>
        </is>
      </c>
    </row>
    <row r="203" ht="13.5" customHeight="1" s="1232">
      <c r="A203" s="1348" t="n">
        <v>44522</v>
      </c>
      <c r="B203" s="1349" t="inlineStr">
        <is>
          <t>Karen Clothier</t>
        </is>
      </c>
      <c r="C203" s="1350" t="inlineStr">
        <is>
          <t>10 Commissions</t>
        </is>
      </c>
      <c r="D203" s="1349" t="inlineStr">
        <is>
          <t>Stripe</t>
        </is>
      </c>
      <c r="E203" s="1351">
        <f>3484-4.99-8.99-2294.15</f>
        <v/>
      </c>
      <c r="F203" s="1349" t="inlineStr">
        <is>
          <t>Website Build</t>
        </is>
      </c>
      <c r="G203" s="1349" t="inlineStr">
        <is>
          <t>Existing</t>
        </is>
      </c>
    </row>
    <row r="204" ht="13.5" customHeight="1" s="1232">
      <c r="A204" s="1348" t="n">
        <v>44522</v>
      </c>
      <c r="B204" s="1349" t="inlineStr">
        <is>
          <t>Rosalind Roberts</t>
        </is>
      </c>
      <c r="C204" s="1350" t="inlineStr">
        <is>
          <t>2. Workshops</t>
        </is>
      </c>
      <c r="D204" s="1349" t="inlineStr">
        <is>
          <t>Stripe</t>
        </is>
      </c>
      <c r="E204" s="1351" t="n">
        <v>12</v>
      </c>
      <c r="F204" s="1349" t="inlineStr">
        <is>
          <t>Woodland Walk</t>
        </is>
      </c>
      <c r="G204" s="1349" t="inlineStr">
        <is>
          <t>Google</t>
        </is>
      </c>
    </row>
    <row r="205" ht="13.5" customHeight="1" s="1232">
      <c r="A205" s="1348" t="n">
        <v>44522</v>
      </c>
      <c r="B205" s="1349" t="inlineStr">
        <is>
          <t>Jane Trotman</t>
        </is>
      </c>
      <c r="C205" s="1350" t="inlineStr">
        <is>
          <t>2. Workshops</t>
        </is>
      </c>
      <c r="D205" s="1349" t="inlineStr">
        <is>
          <t>Stripe</t>
        </is>
      </c>
      <c r="E205" s="1351" t="n">
        <v>525</v>
      </c>
      <c r="F205" s="1349" t="inlineStr">
        <is>
          <t>Dorset Coast Workshop</t>
        </is>
      </c>
      <c r="G205" s="1349" t="inlineStr">
        <is>
          <t>Google</t>
        </is>
      </c>
    </row>
    <row r="206" ht="13.5" customHeight="1" s="1232">
      <c r="A206" s="1348" t="n">
        <v>44521</v>
      </c>
      <c r="B206" s="1349" t="inlineStr">
        <is>
          <t>linda m burman</t>
        </is>
      </c>
      <c r="C206" s="1350" t="inlineStr">
        <is>
          <t>7. Gift Vouchers Inc</t>
        </is>
      </c>
      <c r="D206" s="1349" t="inlineStr">
        <is>
          <t>PayPal</t>
        </is>
      </c>
      <c r="E206" s="1351" t="n">
        <v>30</v>
      </c>
      <c r="F206" s="1349" t="inlineStr">
        <is>
          <t>Digital Gift Card</t>
        </is>
      </c>
      <c r="G206" s="1349" t="inlineStr">
        <is>
          <t>Google</t>
        </is>
      </c>
    </row>
    <row r="207" ht="13.5" customHeight="1" s="1232">
      <c r="A207" s="1348" t="n">
        <v>44517</v>
      </c>
      <c r="B207" s="1349" t="inlineStr">
        <is>
          <t>J Elmore</t>
        </is>
      </c>
      <c r="C207" s="1350" t="inlineStr">
        <is>
          <t>2. Workshops</t>
        </is>
      </c>
      <c r="D207" s="1349" t="inlineStr">
        <is>
          <t>Stripe</t>
        </is>
      </c>
      <c r="E207" s="1351" t="n">
        <v>100</v>
      </c>
      <c r="F207" s="1349" t="inlineStr">
        <is>
          <t>Stratford Xmas Lights</t>
        </is>
      </c>
      <c r="G207" s="1349" t="inlineStr">
        <is>
          <t>Existing</t>
        </is>
      </c>
    </row>
    <row r="208" ht="13.5" customHeight="1" s="1232">
      <c r="A208" s="1348" t="n">
        <v>44516</v>
      </c>
      <c r="B208" s="1349" t="inlineStr">
        <is>
          <t>Karen Clothier</t>
        </is>
      </c>
      <c r="C208" s="1350" t="inlineStr">
        <is>
          <t>10 Commissions</t>
        </is>
      </c>
      <c r="D208" s="1349" t="inlineStr">
        <is>
          <t>Stripe</t>
        </is>
      </c>
      <c r="E208" s="1351">
        <f>300-181.89</f>
        <v/>
      </c>
      <c r="F208" s="1349" t="inlineStr">
        <is>
          <t>Framed Prints x 3</t>
        </is>
      </c>
      <c r="G208" s="1349" t="inlineStr">
        <is>
          <t>Existing</t>
        </is>
      </c>
    </row>
    <row r="209" ht="13.5" customHeight="1" s="1232">
      <c r="A209" s="1348" t="n">
        <v>44516</v>
      </c>
      <c r="B209" s="1349" t="inlineStr">
        <is>
          <t>Karen Clothier</t>
        </is>
      </c>
      <c r="C209" s="1350" t="inlineStr">
        <is>
          <t>6. 1-2-1</t>
        </is>
      </c>
      <c r="D209" s="1349" t="inlineStr">
        <is>
          <t>Stripe</t>
        </is>
      </c>
      <c r="E209" s="1351">
        <f>300-182</f>
        <v/>
      </c>
      <c r="F209" s="1349" t="inlineStr">
        <is>
          <t>Framed Prints</t>
        </is>
      </c>
      <c r="G209" s="1349" t="inlineStr">
        <is>
          <t>Existing</t>
        </is>
      </c>
    </row>
    <row r="210" ht="13.5" customHeight="1" s="1232">
      <c r="A210" s="1348" t="n">
        <v>44515</v>
      </c>
      <c r="B210" s="1349" t="inlineStr">
        <is>
          <t>Johnathan Ellis</t>
        </is>
      </c>
      <c r="C210" s="1350" t="inlineStr">
        <is>
          <t>5. Mentoring</t>
        </is>
      </c>
      <c r="D210" s="1349" t="inlineStr">
        <is>
          <t>Stripe</t>
        </is>
      </c>
      <c r="E210" s="1351" t="n">
        <v>20</v>
      </c>
      <c r="F210" s="1349" t="inlineStr">
        <is>
          <t>Monhtly Mentoring</t>
        </is>
      </c>
      <c r="G210" s="1349" t="inlineStr">
        <is>
          <t>Existing</t>
        </is>
      </c>
    </row>
    <row r="211" ht="13.5" customHeight="1" s="1232">
      <c r="A211" s="1348" t="n">
        <v>44513</v>
      </c>
      <c r="B211" s="1349" t="inlineStr">
        <is>
          <t>David Andringa</t>
        </is>
      </c>
      <c r="C211" s="1350" t="inlineStr">
        <is>
          <t>3. Pick n Mix Inc</t>
        </is>
      </c>
      <c r="D211" s="1349" t="inlineStr">
        <is>
          <t>PayPal</t>
        </is>
      </c>
      <c r="E211" s="1351" t="n">
        <v>118</v>
      </c>
      <c r="F211" s="1349" t="inlineStr">
        <is>
          <t>Top up to Pick N Mix</t>
        </is>
      </c>
      <c r="G211" s="1349" t="inlineStr">
        <is>
          <t>Existing</t>
        </is>
      </c>
    </row>
    <row r="212" ht="13.5" customHeight="1" s="1232">
      <c r="A212" s="1348" t="n">
        <v>44511</v>
      </c>
      <c r="B212" s="1349" t="inlineStr">
        <is>
          <t>Jane Robb</t>
        </is>
      </c>
      <c r="C212" s="1350" t="inlineStr">
        <is>
          <t>5. Mentoring</t>
        </is>
      </c>
      <c r="D212" s="1349" t="inlineStr">
        <is>
          <t>Stripe</t>
        </is>
      </c>
      <c r="E212" s="1351" t="n">
        <v>20</v>
      </c>
      <c r="F212" s="1349" t="inlineStr">
        <is>
          <t>Monhtly Mentoring</t>
        </is>
      </c>
      <c r="G212" s="1349" t="inlineStr">
        <is>
          <t>Google</t>
        </is>
      </c>
    </row>
    <row r="213" ht="13.5" customHeight="1" s="1232">
      <c r="A213" s="1348" t="n">
        <v>44509</v>
      </c>
      <c r="B213" s="1349" t="inlineStr">
        <is>
          <t>Patricia Willis</t>
        </is>
      </c>
      <c r="C213" s="1350" t="inlineStr">
        <is>
          <t>5. Mentoring</t>
        </is>
      </c>
      <c r="D213" s="1349" t="inlineStr">
        <is>
          <t>Stripe</t>
        </is>
      </c>
      <c r="E213" s="1351" t="n">
        <v>20</v>
      </c>
      <c r="F213" s="1349" t="inlineStr">
        <is>
          <t>Monhtly Mentoring</t>
        </is>
      </c>
      <c r="G213" s="1349" t="inlineStr">
        <is>
          <t>Google</t>
        </is>
      </c>
    </row>
    <row r="214" ht="13.5" customHeight="1" s="1232">
      <c r="A214" s="1348" t="n">
        <v>44508</v>
      </c>
      <c r="B214" s="1349" t="inlineStr">
        <is>
          <t>Emlyn Samuel</t>
        </is>
      </c>
      <c r="C214" s="1350" t="inlineStr">
        <is>
          <t>2. Workshops</t>
        </is>
      </c>
      <c r="D214" s="1349" t="inlineStr">
        <is>
          <t>Stripe</t>
        </is>
      </c>
      <c r="E214" s="1351">
        <f>825-150</f>
        <v/>
      </c>
      <c r="F214" s="1349" t="inlineStr">
        <is>
          <t>Suffolk</t>
        </is>
      </c>
      <c r="G214" s="1349" t="inlineStr">
        <is>
          <t>Google</t>
        </is>
      </c>
    </row>
    <row r="215" ht="13.5" customHeight="1" s="1232">
      <c r="A215" s="1348" t="n">
        <v>44506</v>
      </c>
      <c r="B215" s="1349" t="inlineStr">
        <is>
          <t>Micaila Williams</t>
        </is>
      </c>
      <c r="C215" s="1350" t="inlineStr">
        <is>
          <t>2. Workshops</t>
        </is>
      </c>
      <c r="D215" s="1349" t="inlineStr">
        <is>
          <t>Stripe</t>
        </is>
      </c>
      <c r="E215" s="1351" t="n">
        <v>395</v>
      </c>
      <c r="F215" s="1349" t="inlineStr">
        <is>
          <t xml:space="preserve">Lake Vyrnwy and Pistyll Rhaeadr </t>
        </is>
      </c>
      <c r="G215" s="1349" t="inlineStr">
        <is>
          <t>Google</t>
        </is>
      </c>
    </row>
    <row r="216" ht="13.5" customHeight="1" s="1232">
      <c r="A216" s="1348" t="n">
        <v>44505</v>
      </c>
      <c r="B216" s="1349" t="inlineStr">
        <is>
          <t>David Andringa</t>
        </is>
      </c>
      <c r="C216" s="1350" t="inlineStr">
        <is>
          <t>6. 1-2-1</t>
        </is>
      </c>
      <c r="D216" s="1349" t="inlineStr">
        <is>
          <t>PicknMix</t>
        </is>
      </c>
      <c r="E216" s="1351" t="n">
        <v>225</v>
      </c>
      <c r="F216" s="1349" t="inlineStr">
        <is>
          <t>LR Course</t>
        </is>
      </c>
      <c r="G216" s="1349" t="inlineStr">
        <is>
          <t>Existing</t>
        </is>
      </c>
    </row>
    <row r="217" ht="13.5" customHeight="1" s="1232">
      <c r="A217" s="1348" t="n">
        <v>44505</v>
      </c>
      <c r="B217" s="1349" t="inlineStr">
        <is>
          <t>David Andringa</t>
        </is>
      </c>
      <c r="C217" s="1350" t="inlineStr">
        <is>
          <t>4. Pick n Mix Out</t>
        </is>
      </c>
      <c r="D217" s="1349" t="inlineStr">
        <is>
          <t>PicknMix</t>
        </is>
      </c>
      <c r="E217" s="1351" t="n">
        <v>-225</v>
      </c>
      <c r="F217" s="1349" t="inlineStr">
        <is>
          <t>LR Course</t>
        </is>
      </c>
      <c r="G217" s="1349" t="inlineStr">
        <is>
          <t>Existing</t>
        </is>
      </c>
    </row>
    <row r="218" ht="13.5" customHeight="1" s="1232">
      <c r="A218" s="1348" t="n">
        <v>44502</v>
      </c>
      <c r="B218" s="1349" t="inlineStr">
        <is>
          <t>Sheila Coughlan</t>
        </is>
      </c>
      <c r="C218" s="1350" t="inlineStr">
        <is>
          <t>6. 1-2-1</t>
        </is>
      </c>
      <c r="D218" s="1349" t="inlineStr">
        <is>
          <t>PayPal</t>
        </is>
      </c>
      <c r="E218" s="1351" t="n">
        <v>110</v>
      </c>
      <c r="F218" s="1349" t="inlineStr">
        <is>
          <t>2hrs 1-2-1 weekday</t>
        </is>
      </c>
      <c r="G218" s="1349" t="inlineStr">
        <is>
          <t>Existing</t>
        </is>
      </c>
    </row>
    <row r="219" ht="13.5" customHeight="1" s="1232">
      <c r="A219" s="1348" t="n">
        <v>44502</v>
      </c>
      <c r="B219" s="1349" t="inlineStr">
        <is>
          <t>Sheila Coughlan</t>
        </is>
      </c>
      <c r="C219" s="1350" t="inlineStr">
        <is>
          <t>6. 1-2-1</t>
        </is>
      </c>
      <c r="D219" s="1349" t="inlineStr">
        <is>
          <t>PayPal</t>
        </is>
      </c>
      <c r="E219" s="1351" t="n">
        <v>110</v>
      </c>
      <c r="F219" s="1349" t="inlineStr">
        <is>
          <t>2hrs 1-2-1 weekday</t>
        </is>
      </c>
      <c r="G219" s="1349" t="inlineStr">
        <is>
          <t>Existing</t>
        </is>
      </c>
    </row>
    <row r="220" ht="13.5" customHeight="1" s="1232">
      <c r="A220" s="1348" t="n">
        <v>44501</v>
      </c>
      <c r="B220" s="1349" t="inlineStr">
        <is>
          <t>Diane Haines</t>
        </is>
      </c>
      <c r="C220" s="1350" t="inlineStr">
        <is>
          <t>2. Workshops</t>
        </is>
      </c>
      <c r="D220" s="1349" t="inlineStr">
        <is>
          <t>Stripe</t>
        </is>
      </c>
      <c r="E220" s="1351" t="n">
        <v>50</v>
      </c>
      <c r="F220" s="1349" t="inlineStr">
        <is>
          <t>Xmas Workshop Stratford</t>
        </is>
      </c>
      <c r="G220" s="1349" t="inlineStr">
        <is>
          <t>Existing</t>
        </is>
      </c>
    </row>
    <row r="221" ht="13.5" customHeight="1" s="1232">
      <c r="A221" s="1348" t="n">
        <v>44501</v>
      </c>
      <c r="B221" s="1349" t="inlineStr">
        <is>
          <t>Pick n Mix Subs</t>
        </is>
      </c>
      <c r="C221" s="1350" t="inlineStr">
        <is>
          <t>3. Pick n Mix Inc</t>
        </is>
      </c>
      <c r="D221" s="1349" t="inlineStr">
        <is>
          <t>Various</t>
        </is>
      </c>
      <c r="E221" s="1351" t="n">
        <v>175</v>
      </c>
      <c r="F221" s="1349" t="inlineStr">
        <is>
          <t>Pick N Mix Payments</t>
        </is>
      </c>
      <c r="G221" s="1349" t="inlineStr">
        <is>
          <t>Existing</t>
        </is>
      </c>
    </row>
    <row r="222" ht="13.5" customHeight="1" s="1232">
      <c r="A222" s="1348" t="n">
        <v>44501</v>
      </c>
      <c r="B222" s="1349" t="inlineStr">
        <is>
          <t>Mentoring Subs</t>
        </is>
      </c>
      <c r="C222" s="1350" t="inlineStr">
        <is>
          <t>5. Mentoring</t>
        </is>
      </c>
      <c r="D222" s="1350" t="inlineStr">
        <is>
          <t>Various</t>
        </is>
      </c>
      <c r="E222" s="1351" t="n">
        <v>40</v>
      </c>
      <c r="F222" s="1350" t="inlineStr">
        <is>
          <t>Mentoring Subs</t>
        </is>
      </c>
      <c r="G222" s="1350" t="inlineStr">
        <is>
          <t>Existing</t>
        </is>
      </c>
    </row>
    <row r="223" ht="13.5" customHeight="1" s="1232">
      <c r="A223" s="1348" t="n"/>
      <c r="B223" s="1349" t="n"/>
      <c r="C223" s="1350" t="n"/>
      <c r="D223" s="1349" t="n"/>
      <c r="E223" s="1351" t="n"/>
      <c r="F223" s="1349" t="n"/>
      <c r="G223" s="1349" t="n"/>
    </row>
    <row r="224" ht="13.5" customHeight="1" s="1232">
      <c r="A224" s="1348" t="n">
        <v>44500</v>
      </c>
      <c r="B224" s="1349" t="inlineStr">
        <is>
          <t>Peter Jeans</t>
        </is>
      </c>
      <c r="C224" s="1350" t="inlineStr">
        <is>
          <t>2. Workshops</t>
        </is>
      </c>
      <c r="D224" s="1349" t="inlineStr">
        <is>
          <t>Stripe</t>
        </is>
      </c>
      <c r="E224" s="1351" t="n">
        <v>550</v>
      </c>
      <c r="F224" s="1349" t="inlineStr">
        <is>
          <t>Lake District</t>
        </is>
      </c>
      <c r="G224" s="1349" t="inlineStr">
        <is>
          <t>Existing</t>
        </is>
      </c>
    </row>
    <row r="225" ht="13.5" customHeight="1" s="1232">
      <c r="A225" s="1348" t="n">
        <v>44496</v>
      </c>
      <c r="B225" s="1349" t="inlineStr">
        <is>
          <t>Trevor Haw</t>
        </is>
      </c>
      <c r="C225" s="1350" t="inlineStr">
        <is>
          <t>2. Workshops</t>
        </is>
      </c>
      <c r="D225" s="1349" t="inlineStr">
        <is>
          <t>Gift Voucher Out</t>
        </is>
      </c>
      <c r="E225" s="1351" t="n">
        <v>500</v>
      </c>
      <c r="F225" s="1349" t="inlineStr">
        <is>
          <t>Norfolk</t>
        </is>
      </c>
      <c r="G225" s="1349" t="inlineStr">
        <is>
          <t>Google</t>
        </is>
      </c>
    </row>
    <row r="226" ht="13.5" customHeight="1" s="1232">
      <c r="A226" s="1348" t="n">
        <v>44496</v>
      </c>
      <c r="B226" s="1349" t="inlineStr">
        <is>
          <t>Trevor Haw</t>
        </is>
      </c>
      <c r="C226" s="1350" t="inlineStr">
        <is>
          <t>8. Gift Vouchers Out</t>
        </is>
      </c>
      <c r="D226" s="1349" t="inlineStr">
        <is>
          <t>Gift Voucher Out</t>
        </is>
      </c>
      <c r="E226" s="1351" t="n">
        <v>-500</v>
      </c>
      <c r="F226" s="1349" t="inlineStr">
        <is>
          <t>Norfolk</t>
        </is>
      </c>
      <c r="G226" s="1349" t="inlineStr">
        <is>
          <t>Google</t>
        </is>
      </c>
    </row>
    <row r="227" ht="13.5" customHeight="1" s="1232">
      <c r="A227" s="1348" t="n">
        <v>44496</v>
      </c>
      <c r="B227" s="1349" t="inlineStr">
        <is>
          <t>Trevor Haw</t>
        </is>
      </c>
      <c r="C227" s="1350" t="inlineStr">
        <is>
          <t>2. Workshops</t>
        </is>
      </c>
      <c r="D227" s="1349" t="inlineStr">
        <is>
          <t>Stripe</t>
        </is>
      </c>
      <c r="E227" s="1351" t="n">
        <v>-485</v>
      </c>
      <c r="F227" s="1349" t="inlineStr">
        <is>
          <t>Norfolk</t>
        </is>
      </c>
      <c r="G227" s="1349" t="inlineStr">
        <is>
          <t>Google</t>
        </is>
      </c>
    </row>
    <row r="228" ht="13.5" customHeight="1" s="1232">
      <c r="A228" s="1348" t="n">
        <v>44495</v>
      </c>
      <c r="B228" s="1349" t="inlineStr">
        <is>
          <t>Lesley Morris</t>
        </is>
      </c>
      <c r="C228" s="1350" t="inlineStr">
        <is>
          <t>11. Other</t>
        </is>
      </c>
      <c r="D228" s="1349" t="inlineStr">
        <is>
          <t>Stripe</t>
        </is>
      </c>
      <c r="E228" s="1351" t="n">
        <v>17</v>
      </c>
      <c r="F228" s="1349" t="inlineStr">
        <is>
          <t>Viewing Frames</t>
        </is>
      </c>
      <c r="G228" s="1349" t="inlineStr">
        <is>
          <t>Google</t>
        </is>
      </c>
    </row>
    <row r="229" ht="13.5" customHeight="1" s="1232">
      <c r="A229" s="1348" t="n">
        <v>44497</v>
      </c>
      <c r="B229" s="1349" t="inlineStr">
        <is>
          <t>Amanda Walker</t>
        </is>
      </c>
      <c r="C229" s="1350" t="inlineStr">
        <is>
          <t>2. Workshops</t>
        </is>
      </c>
      <c r="D229" s="1349" t="inlineStr">
        <is>
          <t>Stripe</t>
        </is>
      </c>
      <c r="E229" s="1351" t="n">
        <v>695</v>
      </c>
      <c r="F229" s="1349" t="inlineStr">
        <is>
          <t>Yorkshire Dales</t>
        </is>
      </c>
      <c r="G229" s="1349" t="inlineStr">
        <is>
          <t>Google</t>
        </is>
      </c>
    </row>
    <row r="230" ht="13.5" customHeight="1" s="1232">
      <c r="A230" s="1348" t="n">
        <v>44494</v>
      </c>
      <c r="B230" s="1349" t="inlineStr">
        <is>
          <t>Jackie Lea</t>
        </is>
      </c>
      <c r="C230" s="1350" t="inlineStr">
        <is>
          <t>2. Workshops</t>
        </is>
      </c>
      <c r="D230" s="1349" t="inlineStr">
        <is>
          <t>Stripe</t>
        </is>
      </c>
      <c r="E230" s="1351" t="n">
        <v>250</v>
      </c>
      <c r="F230" s="1349" t="inlineStr">
        <is>
          <t>Bluebells</t>
        </is>
      </c>
      <c r="G230" s="1349" t="inlineStr">
        <is>
          <t>Google</t>
        </is>
      </c>
    </row>
    <row r="231" ht="13.5" customHeight="1" s="1232">
      <c r="A231" s="1348" t="n">
        <v>44494</v>
      </c>
      <c r="B231" s="1349" t="inlineStr">
        <is>
          <t>Rachel Brown</t>
        </is>
      </c>
      <c r="C231" s="1350" t="inlineStr">
        <is>
          <t>2. Workshops</t>
        </is>
      </c>
      <c r="D231" s="1349" t="inlineStr">
        <is>
          <t>Stripe</t>
        </is>
      </c>
      <c r="E231" s="1351" t="n">
        <v>1390</v>
      </c>
      <c r="F231" s="1349" t="inlineStr">
        <is>
          <t>Lake District Jan 2022</t>
        </is>
      </c>
      <c r="G231" s="1349" t="inlineStr">
        <is>
          <t>Google</t>
        </is>
      </c>
    </row>
    <row r="232" ht="13.5" customHeight="1" s="1232">
      <c r="A232" s="1348" t="n">
        <v>44493</v>
      </c>
      <c r="B232" s="1349" t="inlineStr">
        <is>
          <t>John Flack</t>
        </is>
      </c>
      <c r="C232" s="1350" t="inlineStr">
        <is>
          <t>5. Mentoring</t>
        </is>
      </c>
      <c r="D232" s="1349" t="inlineStr">
        <is>
          <t>Stripe</t>
        </is>
      </c>
      <c r="E232" s="1351" t="n">
        <v>200</v>
      </c>
      <c r="F232" s="1349" t="inlineStr">
        <is>
          <t>Monthly Mentoring</t>
        </is>
      </c>
      <c r="G232" s="1349" t="inlineStr">
        <is>
          <t>Existing</t>
        </is>
      </c>
    </row>
    <row r="233" ht="13.5" customHeight="1" s="1232">
      <c r="A233" s="1348" t="n">
        <v>44492</v>
      </c>
      <c r="B233" s="1349" t="inlineStr">
        <is>
          <t>Jeffrey Elmore</t>
        </is>
      </c>
      <c r="C233" s="1350" t="inlineStr">
        <is>
          <t>2. Workshops</t>
        </is>
      </c>
      <c r="D233" s="1349" t="inlineStr">
        <is>
          <t>PayPal</t>
        </is>
      </c>
      <c r="E233" s="1351" t="n">
        <v>24</v>
      </c>
      <c r="F233" s="1349" t="inlineStr">
        <is>
          <t>Woodland Walks</t>
        </is>
      </c>
      <c r="G233" s="1349" t="inlineStr">
        <is>
          <t>Google</t>
        </is>
      </c>
    </row>
    <row r="234" ht="13.5" customHeight="1" s="1232">
      <c r="A234" s="1348" t="n">
        <v>44491</v>
      </c>
      <c r="B234" s="1349" t="inlineStr">
        <is>
          <t>Joyce Yeung</t>
        </is>
      </c>
      <c r="C234" s="1350" t="inlineStr">
        <is>
          <t>2. Workshops</t>
        </is>
      </c>
      <c r="D234" s="1349" t="inlineStr">
        <is>
          <t>Stripe</t>
        </is>
      </c>
      <c r="E234" s="1351" t="n">
        <v>198</v>
      </c>
      <c r="F234" s="1349" t="inlineStr">
        <is>
          <t>Batsford</t>
        </is>
      </c>
      <c r="G234" s="1349" t="inlineStr">
        <is>
          <t>Batsford</t>
        </is>
      </c>
    </row>
    <row r="235" ht="13.5" customHeight="1" s="1232">
      <c r="A235" s="1348" t="n">
        <v>44490</v>
      </c>
      <c r="B235" s="1349" t="inlineStr">
        <is>
          <t>Deborah Dann</t>
        </is>
      </c>
      <c r="C235" s="1350" t="inlineStr">
        <is>
          <t>1. Courses/masterclasses</t>
        </is>
      </c>
      <c r="D235" s="1349" t="inlineStr">
        <is>
          <t>PayPal</t>
        </is>
      </c>
      <c r="E235" s="1351" t="n">
        <v>250</v>
      </c>
      <c r="F235" s="1349" t="inlineStr">
        <is>
          <t>5wk Beginners Course</t>
        </is>
      </c>
      <c r="G235" s="1349" t="inlineStr">
        <is>
          <t>Google</t>
        </is>
      </c>
    </row>
    <row r="236" ht="13.5" customHeight="1" s="1232">
      <c r="A236" s="1348" t="n">
        <v>44490</v>
      </c>
      <c r="B236" s="1349" t="inlineStr">
        <is>
          <t>Dave Biddlecombe</t>
        </is>
      </c>
      <c r="C236" s="1350" t="inlineStr">
        <is>
          <t>11. Other</t>
        </is>
      </c>
      <c r="D236" s="1349" t="inlineStr">
        <is>
          <t>Stripe</t>
        </is>
      </c>
      <c r="E236" s="1351" t="n">
        <v>17</v>
      </c>
      <c r="F236" s="1349" t="inlineStr">
        <is>
          <t>Viewing Frames</t>
        </is>
      </c>
      <c r="G236" s="1349" t="inlineStr">
        <is>
          <t>Google</t>
        </is>
      </c>
    </row>
    <row r="237" ht="13.5" customHeight="1" s="1232">
      <c r="A237" s="1348" t="n">
        <v>44489</v>
      </c>
      <c r="B237" s="1349" t="inlineStr">
        <is>
          <t>Diane Haines</t>
        </is>
      </c>
      <c r="C237" s="1350" t="inlineStr">
        <is>
          <t>2. Workshops</t>
        </is>
      </c>
      <c r="D237" s="1349" t="inlineStr">
        <is>
          <t>Stripe</t>
        </is>
      </c>
      <c r="E237" s="1351" t="n">
        <v>99</v>
      </c>
      <c r="F237" s="1349" t="inlineStr">
        <is>
          <t>Batsford</t>
        </is>
      </c>
      <c r="G237" s="1349" t="inlineStr">
        <is>
          <t>Batsford</t>
        </is>
      </c>
    </row>
    <row r="238" ht="13.5" customHeight="1" s="1232">
      <c r="A238" s="1348" t="n">
        <v>44488</v>
      </c>
      <c r="B238" s="1349" t="inlineStr">
        <is>
          <t>Karen Skillings</t>
        </is>
      </c>
      <c r="C238" s="1350" t="inlineStr">
        <is>
          <t>2. Workshops</t>
        </is>
      </c>
      <c r="D238" s="1349" t="inlineStr">
        <is>
          <t>PayPal</t>
        </is>
      </c>
      <c r="E238" s="1351" t="n">
        <v>99</v>
      </c>
      <c r="F238" s="1349" t="inlineStr">
        <is>
          <t>Batsford</t>
        </is>
      </c>
      <c r="G238" s="1349" t="inlineStr">
        <is>
          <t>Existing</t>
        </is>
      </c>
    </row>
    <row r="239" ht="13.5" customHeight="1" s="1232">
      <c r="A239" s="1348" t="n">
        <v>44488</v>
      </c>
      <c r="B239" s="1349" t="inlineStr">
        <is>
          <t>Claire Hannis</t>
        </is>
      </c>
      <c r="C239" s="1350" t="inlineStr">
        <is>
          <t>2. Workshops</t>
        </is>
      </c>
      <c r="D239" s="1349" t="inlineStr">
        <is>
          <t>Stripe</t>
        </is>
      </c>
      <c r="E239" s="1351" t="n">
        <v>99</v>
      </c>
      <c r="F239" s="1349" t="inlineStr">
        <is>
          <t>Batsford</t>
        </is>
      </c>
      <c r="G239" s="1349" t="inlineStr">
        <is>
          <t>Existing</t>
        </is>
      </c>
    </row>
    <row r="240" ht="13.5" customHeight="1" s="1232">
      <c r="A240" s="1348" t="n">
        <v>44488</v>
      </c>
      <c r="B240" s="1349" t="inlineStr">
        <is>
          <t>Joanne Astle</t>
        </is>
      </c>
      <c r="C240" s="1350" t="inlineStr">
        <is>
          <t>6. 1-2-1</t>
        </is>
      </c>
      <c r="D240" s="1349" t="inlineStr">
        <is>
          <t>Stripe</t>
        </is>
      </c>
      <c r="E240" s="1351" t="n">
        <v>225</v>
      </c>
      <c r="F240" s="1349" t="inlineStr">
        <is>
          <t>4hr 1-2-1</t>
        </is>
      </c>
      <c r="G240" s="1349" t="inlineStr">
        <is>
          <t>Existing</t>
        </is>
      </c>
    </row>
    <row r="241" ht="13.5" customHeight="1" s="1232">
      <c r="A241" s="1348" t="n">
        <v>44488</v>
      </c>
      <c r="B241" s="1349" t="inlineStr">
        <is>
          <t>Theresa Wong</t>
        </is>
      </c>
      <c r="C241" s="1350" t="inlineStr">
        <is>
          <t>2. Workshops</t>
        </is>
      </c>
      <c r="D241" s="1349" t="inlineStr">
        <is>
          <t>PayPal</t>
        </is>
      </c>
      <c r="E241" s="1351" t="n">
        <v>99</v>
      </c>
      <c r="F241" s="1349" t="inlineStr">
        <is>
          <t>Batsford</t>
        </is>
      </c>
      <c r="G241" s="1349" t="inlineStr">
        <is>
          <t>Google</t>
        </is>
      </c>
    </row>
    <row r="242" ht="13.5" customHeight="1" s="1232">
      <c r="A242" s="1348" t="n">
        <v>44487</v>
      </c>
      <c r="B242" s="1349" t="inlineStr">
        <is>
          <t>Ian Hardwick</t>
        </is>
      </c>
      <c r="C242" s="1350" t="inlineStr">
        <is>
          <t>2. Workshops</t>
        </is>
      </c>
      <c r="D242" s="1349" t="inlineStr">
        <is>
          <t>Stripe</t>
        </is>
      </c>
      <c r="E242" s="1351" t="n">
        <v>99</v>
      </c>
      <c r="F242" s="1349" t="inlineStr">
        <is>
          <t>Batsford</t>
        </is>
      </c>
      <c r="G242" s="1349" t="inlineStr">
        <is>
          <t>Google</t>
        </is>
      </c>
    </row>
    <row r="243" ht="13.5" customHeight="1" s="1232">
      <c r="A243" s="1348" t="n">
        <v>44487</v>
      </c>
      <c r="B243" s="1349" t="inlineStr">
        <is>
          <t>Paul Goby</t>
        </is>
      </c>
      <c r="C243" s="1350" t="inlineStr">
        <is>
          <t>2. Workshops</t>
        </is>
      </c>
      <c r="D243" s="1349" t="inlineStr">
        <is>
          <t>Stripe</t>
        </is>
      </c>
      <c r="E243" s="1351" t="n">
        <v>99</v>
      </c>
      <c r="F243" s="1349" t="inlineStr">
        <is>
          <t>Batsford</t>
        </is>
      </c>
      <c r="G243" s="1349" t="inlineStr">
        <is>
          <t>Google</t>
        </is>
      </c>
    </row>
    <row r="244" ht="13.5" customHeight="1" s="1232">
      <c r="A244" s="1348" t="n">
        <v>44486</v>
      </c>
      <c r="B244" s="1349" t="inlineStr">
        <is>
          <t>David Andringa</t>
        </is>
      </c>
      <c r="C244" s="1350" t="inlineStr">
        <is>
          <t>2. Workshops</t>
        </is>
      </c>
      <c r="D244" s="1349" t="inlineStr">
        <is>
          <t>Stripe</t>
        </is>
      </c>
      <c r="E244" s="1351" t="n">
        <v>99</v>
      </c>
      <c r="F244" s="1349" t="inlineStr">
        <is>
          <t>Batsford</t>
        </is>
      </c>
      <c r="G244" s="1349" t="inlineStr">
        <is>
          <t>Existing</t>
        </is>
      </c>
    </row>
    <row r="245" ht="13.5" customHeight="1" s="1232">
      <c r="A245" s="1348" t="n">
        <v>44485</v>
      </c>
      <c r="B245" s="1349" t="inlineStr">
        <is>
          <t>Trevor Haw</t>
        </is>
      </c>
      <c r="C245" s="1350" t="inlineStr">
        <is>
          <t>2. Workshops</t>
        </is>
      </c>
      <c r="D245" s="1349" t="inlineStr">
        <is>
          <t>Stripe</t>
        </is>
      </c>
      <c r="E245" s="1351" t="n">
        <v>502</v>
      </c>
      <c r="F245" s="1349" t="inlineStr">
        <is>
          <t>Norfolk</t>
        </is>
      </c>
      <c r="G245" s="1349" t="inlineStr">
        <is>
          <t>Google</t>
        </is>
      </c>
    </row>
    <row r="246" ht="13.5" customHeight="1" s="1232">
      <c r="A246" s="1348" t="n">
        <v>44484</v>
      </c>
      <c r="B246" s="1349" t="inlineStr">
        <is>
          <t>Richard Waterworth</t>
        </is>
      </c>
      <c r="C246" s="1350" t="inlineStr">
        <is>
          <t>10 Commissions</t>
        </is>
      </c>
      <c r="D246" s="1349" t="inlineStr">
        <is>
          <t>PayPal</t>
        </is>
      </c>
      <c r="E246" s="1351" t="n">
        <v>150</v>
      </c>
      <c r="F246" s="1349" t="inlineStr">
        <is>
          <t>Commercial Shoot</t>
        </is>
      </c>
      <c r="G246" s="1349" t="inlineStr">
        <is>
          <t>Google</t>
        </is>
      </c>
    </row>
    <row r="247" ht="13.5" customHeight="1" s="1232">
      <c r="A247" s="1348" t="n">
        <v>44484</v>
      </c>
      <c r="B247" s="1349" t="inlineStr">
        <is>
          <t>Dan Balme</t>
        </is>
      </c>
      <c r="C247" s="1350" t="inlineStr">
        <is>
          <t>2. Workshops</t>
        </is>
      </c>
      <c r="D247" s="1349" t="inlineStr">
        <is>
          <t>Stripe</t>
        </is>
      </c>
      <c r="E247" s="1351" t="n">
        <v>50</v>
      </c>
      <c r="F247" s="1349" t="inlineStr">
        <is>
          <t>Macro and Abstract</t>
        </is>
      </c>
      <c r="G247" s="1349" t="inlineStr">
        <is>
          <t>Google</t>
        </is>
      </c>
    </row>
    <row r="248" ht="13.5" customHeight="1" s="1232">
      <c r="A248" s="1348" t="n">
        <v>44484</v>
      </c>
      <c r="B248" s="1349" t="inlineStr">
        <is>
          <t>Max Dobres</t>
        </is>
      </c>
      <c r="C248" s="1350" t="inlineStr">
        <is>
          <t>6. 1-2-1</t>
        </is>
      </c>
      <c r="D248" s="1349" t="inlineStr">
        <is>
          <t>PayPal</t>
        </is>
      </c>
      <c r="E248" s="1351" t="n">
        <v>50</v>
      </c>
      <c r="F248" s="1349" t="inlineStr">
        <is>
          <t>Zoom 1-2-1</t>
        </is>
      </c>
      <c r="G248" s="1349" t="inlineStr">
        <is>
          <t>Existing</t>
        </is>
      </c>
    </row>
    <row r="249" ht="13.5" customHeight="1" s="1232">
      <c r="A249" s="1348" t="n">
        <v>44476</v>
      </c>
      <c r="B249" s="1349" t="inlineStr">
        <is>
          <t>Anna Rokitowska</t>
        </is>
      </c>
      <c r="C249" s="1350" t="inlineStr">
        <is>
          <t>7. Gift Vouchers Inc</t>
        </is>
      </c>
      <c r="D249" s="1349" t="inlineStr">
        <is>
          <t>PayPal</t>
        </is>
      </c>
      <c r="E249" s="1351" t="n">
        <v>50</v>
      </c>
      <c r="F249" s="1349" t="inlineStr">
        <is>
          <t>Digital Gift Card</t>
        </is>
      </c>
      <c r="G249" s="1349" t="inlineStr">
        <is>
          <t>Existing</t>
        </is>
      </c>
    </row>
    <row r="250" ht="13.5" customHeight="1" s="1232">
      <c r="A250" s="1348" t="n">
        <v>44480</v>
      </c>
      <c r="B250" s="1349" t="inlineStr">
        <is>
          <t>linda smith</t>
        </is>
      </c>
      <c r="C250" s="1350" t="inlineStr">
        <is>
          <t>1. Courses/masterclasses</t>
        </is>
      </c>
      <c r="D250" s="1349" t="inlineStr">
        <is>
          <t>Stripe</t>
        </is>
      </c>
      <c r="E250" s="1351" t="n">
        <v>30</v>
      </c>
      <c r="F250" s="1349" t="inlineStr">
        <is>
          <t>Get Off Auto</t>
        </is>
      </c>
      <c r="G250" s="1349" t="inlineStr">
        <is>
          <t>Google</t>
        </is>
      </c>
    </row>
    <row r="251" ht="13.5" customHeight="1" s="1232">
      <c r="A251" s="1348" t="n">
        <v>44480</v>
      </c>
      <c r="B251" s="1349" t="inlineStr">
        <is>
          <t>Joanne Astle</t>
        </is>
      </c>
      <c r="C251" s="1350" t="inlineStr">
        <is>
          <t>1. Courses/masterclasses</t>
        </is>
      </c>
      <c r="D251" s="1349" t="inlineStr">
        <is>
          <t>Stripe</t>
        </is>
      </c>
      <c r="E251" s="1351" t="n">
        <v>30</v>
      </c>
      <c r="F251" s="1349" t="inlineStr">
        <is>
          <t>Get Off Auto</t>
        </is>
      </c>
      <c r="G251" s="1349" t="inlineStr">
        <is>
          <t>Google</t>
        </is>
      </c>
    </row>
    <row r="252" ht="13.5" customHeight="1" s="1232">
      <c r="A252" s="1348" t="n">
        <v>44474</v>
      </c>
      <c r="B252" s="1349" t="inlineStr">
        <is>
          <t>Johanna Stansfield</t>
        </is>
      </c>
      <c r="C252" s="1350" t="inlineStr">
        <is>
          <t>6. 1-2-1</t>
        </is>
      </c>
      <c r="D252" s="1349" t="inlineStr">
        <is>
          <t>PicknMix</t>
        </is>
      </c>
      <c r="E252" s="1351" t="n">
        <v>135</v>
      </c>
      <c r="F252" s="1349" t="inlineStr">
        <is>
          <t>2hr Evening/Wkend 1-2-1</t>
        </is>
      </c>
      <c r="G252" s="1349" t="inlineStr">
        <is>
          <t>Existing</t>
        </is>
      </c>
    </row>
    <row r="253" ht="13.5" customHeight="1" s="1232">
      <c r="A253" s="1348" t="n">
        <v>44474</v>
      </c>
      <c r="B253" s="1349" t="inlineStr">
        <is>
          <t>Johanna Stansfield</t>
        </is>
      </c>
      <c r="C253" s="1350" t="inlineStr">
        <is>
          <t>4. Pick n Mix Out</t>
        </is>
      </c>
      <c r="D253" s="1349" t="inlineStr">
        <is>
          <t>PicknMix</t>
        </is>
      </c>
      <c r="E253" s="1351" t="n">
        <v>-135</v>
      </c>
      <c r="F253" s="1349" t="inlineStr">
        <is>
          <t>2hr Evening/Wkend 1-2-1</t>
        </is>
      </c>
      <c r="G253" s="1349" t="inlineStr">
        <is>
          <t>Existing</t>
        </is>
      </c>
    </row>
    <row r="254" ht="13.5" customHeight="1" s="1232">
      <c r="A254" s="1348" t="n">
        <v>44470</v>
      </c>
      <c r="B254" s="1349" t="inlineStr">
        <is>
          <t>Pick n Mix Subs</t>
        </is>
      </c>
      <c r="C254" s="1350" t="inlineStr">
        <is>
          <t>3. Pick n Mix Inc</t>
        </is>
      </c>
      <c r="D254" s="1349" t="inlineStr">
        <is>
          <t>Various</t>
        </is>
      </c>
      <c r="E254" s="1351" t="n">
        <v>175</v>
      </c>
      <c r="F254" s="1349" t="inlineStr">
        <is>
          <t>Pick N Mix Payments</t>
        </is>
      </c>
      <c r="G254" s="1349" t="inlineStr">
        <is>
          <t>Existing</t>
        </is>
      </c>
    </row>
    <row r="255" ht="13.5" customHeight="1" s="1232">
      <c r="A255" s="1348" t="n">
        <v>44470</v>
      </c>
      <c r="B255" s="1349" t="inlineStr">
        <is>
          <t>Mentoring Subs</t>
        </is>
      </c>
      <c r="C255" s="1350" t="inlineStr">
        <is>
          <t>5. Mentoring</t>
        </is>
      </c>
      <c r="D255" s="1350" t="inlineStr">
        <is>
          <t>Various</t>
        </is>
      </c>
      <c r="E255" s="1351" t="n">
        <v>40</v>
      </c>
      <c r="F255" s="1350" t="inlineStr">
        <is>
          <t>Mentoring Subs</t>
        </is>
      </c>
      <c r="G255" s="1350" t="inlineStr">
        <is>
          <t>Existing</t>
        </is>
      </c>
    </row>
    <row r="256" ht="13.5" customHeight="1" s="1232">
      <c r="A256" s="1348" t="n">
        <v>44470</v>
      </c>
      <c r="B256" s="1349" t="inlineStr">
        <is>
          <t>David Pitt</t>
        </is>
      </c>
      <c r="C256" s="1350" t="inlineStr">
        <is>
          <t>2. Workshops</t>
        </is>
      </c>
      <c r="D256" s="1349" t="inlineStr">
        <is>
          <t>Stripe</t>
        </is>
      </c>
      <c r="E256" s="1351" t="n">
        <v>50</v>
      </c>
      <c r="F256" s="1349" t="inlineStr">
        <is>
          <t>Chesterton</t>
        </is>
      </c>
      <c r="G256" s="1349" t="inlineStr">
        <is>
          <t>Existing</t>
        </is>
      </c>
    </row>
    <row r="257" ht="13.5" customHeight="1" s="1232">
      <c r="A257" s="1348" t="n">
        <v>44470</v>
      </c>
      <c r="B257" s="1349" t="inlineStr">
        <is>
          <t>Christopher Box</t>
        </is>
      </c>
      <c r="C257" s="1350" t="inlineStr">
        <is>
          <t>2. Workshops</t>
        </is>
      </c>
      <c r="D257" s="1349" t="inlineStr">
        <is>
          <t>Stripe</t>
        </is>
      </c>
      <c r="E257" s="1351" t="n">
        <v>50</v>
      </c>
      <c r="F257" s="1349" t="inlineStr">
        <is>
          <t>Chesterton</t>
        </is>
      </c>
      <c r="G257" s="1349" t="inlineStr">
        <is>
          <t>Existing</t>
        </is>
      </c>
    </row>
    <row r="258" ht="13.5" customHeight="1" s="1232">
      <c r="A258" s="1348" t="n"/>
      <c r="B258" s="1349" t="n"/>
      <c r="C258" s="1350" t="n"/>
      <c r="D258" s="1349" t="n"/>
      <c r="E258" s="1351" t="n"/>
      <c r="F258" s="1349" t="n"/>
      <c r="G258" s="1349" t="n"/>
    </row>
    <row r="259" ht="13.5" customHeight="1" s="1232">
      <c r="A259" s="1348" t="n">
        <v>44469</v>
      </c>
      <c r="B259" s="1349" t="inlineStr">
        <is>
          <t>Jane Wilson</t>
        </is>
      </c>
      <c r="C259" s="1350" t="inlineStr">
        <is>
          <t>2. Workshops</t>
        </is>
      </c>
      <c r="D259" s="1349" t="inlineStr">
        <is>
          <t>Stripe</t>
        </is>
      </c>
      <c r="E259" s="1351" t="n">
        <v>99</v>
      </c>
      <c r="F259" s="1349" t="inlineStr">
        <is>
          <t>Batsford</t>
        </is>
      </c>
      <c r="G259" s="1349" t="inlineStr">
        <is>
          <t>Google</t>
        </is>
      </c>
    </row>
    <row r="260" ht="13.5" customHeight="1" s="1232">
      <c r="A260" s="1348" t="n">
        <v>44469</v>
      </c>
      <c r="B260" s="1349" t="inlineStr">
        <is>
          <t>Nick Forman</t>
        </is>
      </c>
      <c r="C260" s="1350" t="inlineStr">
        <is>
          <t>2. Workshops</t>
        </is>
      </c>
      <c r="D260" s="1349" t="inlineStr">
        <is>
          <t>PayPal</t>
        </is>
      </c>
      <c r="E260" s="1351" t="n">
        <v>99</v>
      </c>
      <c r="F260" s="1349" t="inlineStr">
        <is>
          <t>Batsford</t>
        </is>
      </c>
      <c r="G260" s="1349" t="inlineStr">
        <is>
          <t>Google</t>
        </is>
      </c>
    </row>
    <row r="261" ht="13.5" customHeight="1" s="1232">
      <c r="A261" s="1348" t="n">
        <v>44468</v>
      </c>
      <c r="B261" s="1349" t="inlineStr">
        <is>
          <t>Anne Rimmer</t>
        </is>
      </c>
      <c r="C261" s="1350" t="inlineStr">
        <is>
          <t>2. Workshops</t>
        </is>
      </c>
      <c r="D261" s="1349" t="inlineStr">
        <is>
          <t>Stripe</t>
        </is>
      </c>
      <c r="E261" s="1351" t="n">
        <v>150</v>
      </c>
      <c r="F261" s="1349" t="inlineStr">
        <is>
          <t>Batsford</t>
        </is>
      </c>
      <c r="G261" s="1349" t="inlineStr">
        <is>
          <t>Existing</t>
        </is>
      </c>
    </row>
    <row r="262" ht="13.5" customHeight="1" s="1232">
      <c r="A262" s="1348" t="n">
        <v>44468</v>
      </c>
      <c r="B262" s="1349" t="inlineStr">
        <is>
          <t>Kirsten Pearce</t>
        </is>
      </c>
      <c r="C262" s="1350" t="inlineStr">
        <is>
          <t>2. Workshops</t>
        </is>
      </c>
      <c r="D262" s="1349" t="inlineStr">
        <is>
          <t>PicknMix</t>
        </is>
      </c>
      <c r="E262" s="1351" t="n">
        <v>825</v>
      </c>
      <c r="F262" s="1349" t="inlineStr">
        <is>
          <t>Suffolk</t>
        </is>
      </c>
      <c r="G262" s="1349" t="inlineStr">
        <is>
          <t>Existing</t>
        </is>
      </c>
    </row>
    <row r="263" ht="13.5" customHeight="1" s="1232">
      <c r="A263" s="1348" t="n">
        <v>44468</v>
      </c>
      <c r="B263" s="1349" t="inlineStr">
        <is>
          <t>Kirsten Pearce</t>
        </is>
      </c>
      <c r="C263" s="1350" t="inlineStr">
        <is>
          <t>4. Pick n Mix Out</t>
        </is>
      </c>
      <c r="D263" s="1349" t="inlineStr">
        <is>
          <t>PicknMix</t>
        </is>
      </c>
      <c r="E263" s="1351" t="n">
        <v>-825</v>
      </c>
      <c r="F263" s="1349" t="inlineStr">
        <is>
          <t>Suffolk</t>
        </is>
      </c>
      <c r="G263" s="1349" t="inlineStr">
        <is>
          <t>Existing</t>
        </is>
      </c>
    </row>
    <row r="264" ht="13.5" customHeight="1" s="1232">
      <c r="A264" s="1348" t="n">
        <v>44462</v>
      </c>
      <c r="B264" s="1349" t="inlineStr">
        <is>
          <t>Aryfully Walls</t>
        </is>
      </c>
      <c r="C264" s="1350" t="inlineStr">
        <is>
          <t>9. Prints &amp; Royalties</t>
        </is>
      </c>
      <c r="D264" s="1349" t="inlineStr">
        <is>
          <t>PayPal</t>
        </is>
      </c>
      <c r="E264" s="1351" t="n">
        <v>66.03</v>
      </c>
      <c r="F264" s="1349" t="inlineStr">
        <is>
          <t>Print Sale</t>
        </is>
      </c>
      <c r="G264" s="1349" t="inlineStr">
        <is>
          <t>Existing</t>
        </is>
      </c>
    </row>
    <row r="265" ht="13.5" customHeight="1" s="1232">
      <c r="A265" s="1348" t="n">
        <v>44461</v>
      </c>
      <c r="B265" s="1349" t="inlineStr">
        <is>
          <t>Clifford Porter</t>
        </is>
      </c>
      <c r="C265" s="1350" t="inlineStr">
        <is>
          <t>2. Workshops</t>
        </is>
      </c>
      <c r="D265" s="1349" t="inlineStr">
        <is>
          <t>Stripe</t>
        </is>
      </c>
      <c r="E265" s="1351" t="n">
        <v>150</v>
      </c>
      <c r="F265" s="1349" t="inlineStr">
        <is>
          <t>Batsford</t>
        </is>
      </c>
      <c r="G265" s="1349" t="inlineStr">
        <is>
          <t>Facebook</t>
        </is>
      </c>
    </row>
    <row r="266" ht="13.5" customHeight="1" s="1232">
      <c r="A266" s="1348" t="n">
        <v>44461</v>
      </c>
      <c r="B266" s="1349" t="inlineStr">
        <is>
          <t>Shirley Lawton</t>
        </is>
      </c>
      <c r="C266" s="1350" t="inlineStr">
        <is>
          <t>2. Workshops</t>
        </is>
      </c>
      <c r="D266" s="1349" t="inlineStr">
        <is>
          <t>Stripe</t>
        </is>
      </c>
      <c r="E266" s="1351" t="n">
        <v>99</v>
      </c>
      <c r="F266" s="1349" t="inlineStr">
        <is>
          <t>Batsford</t>
        </is>
      </c>
      <c r="G266" s="1349" t="inlineStr">
        <is>
          <t>Facebook</t>
        </is>
      </c>
    </row>
    <row r="267" ht="13.5" customHeight="1" s="1232">
      <c r="A267" s="1348" t="n">
        <v>44460</v>
      </c>
      <c r="B267" s="1349" t="inlineStr">
        <is>
          <t>Jacqueline Walsh</t>
        </is>
      </c>
      <c r="C267" s="1350" t="inlineStr">
        <is>
          <t>2. Workshops</t>
        </is>
      </c>
      <c r="D267" s="1349" t="inlineStr">
        <is>
          <t>PayPal</t>
        </is>
      </c>
      <c r="E267" s="1351" t="n">
        <v>198</v>
      </c>
      <c r="F267" s="1349" t="inlineStr">
        <is>
          <t>Batsford</t>
        </is>
      </c>
      <c r="G267" s="1349" t="inlineStr">
        <is>
          <t>Existing</t>
        </is>
      </c>
    </row>
    <row r="268" ht="13.5" customHeight="1" s="1232">
      <c r="A268" s="1348" t="n">
        <v>44460</v>
      </c>
      <c r="B268" s="1349" t="inlineStr">
        <is>
          <t>Sofia Hyde</t>
        </is>
      </c>
      <c r="C268" s="1350" t="inlineStr">
        <is>
          <t>2. Workshops</t>
        </is>
      </c>
      <c r="D268" s="1349" t="inlineStr">
        <is>
          <t>Stripe</t>
        </is>
      </c>
      <c r="E268" s="1351" t="n">
        <v>12</v>
      </c>
      <c r="F268" s="1349" t="inlineStr">
        <is>
          <t>Woodland Walk</t>
        </is>
      </c>
      <c r="G268" s="1349" t="inlineStr">
        <is>
          <t>Google</t>
        </is>
      </c>
    </row>
    <row r="269" ht="13.5" customHeight="1" s="1232">
      <c r="A269" s="1348" t="n">
        <v>44460</v>
      </c>
      <c r="B269" s="1349" t="inlineStr">
        <is>
          <t>John Clare</t>
        </is>
      </c>
      <c r="C269" s="1350" t="inlineStr">
        <is>
          <t>2. Workshops</t>
        </is>
      </c>
      <c r="D269" s="1349" t="inlineStr">
        <is>
          <t>PayPal</t>
        </is>
      </c>
      <c r="E269" s="1351" t="n">
        <v>24</v>
      </c>
      <c r="F269" s="1349" t="inlineStr">
        <is>
          <t>Balance for Batsford and Macro</t>
        </is>
      </c>
      <c r="G269" s="1349" t="inlineStr">
        <is>
          <t>Existing</t>
        </is>
      </c>
    </row>
    <row r="270" ht="13.5" customHeight="1" s="1232">
      <c r="A270" s="1348" t="n">
        <v>44459</v>
      </c>
      <c r="B270" s="1349" t="inlineStr">
        <is>
          <t>GSS Architecture</t>
        </is>
      </c>
      <c r="C270" s="1350" t="inlineStr">
        <is>
          <t>10 Commissions</t>
        </is>
      </c>
      <c r="D270" s="1349" t="inlineStr">
        <is>
          <t>Bank</t>
        </is>
      </c>
      <c r="E270" s="1351" t="n">
        <v>500</v>
      </c>
      <c r="F270" s="1349" t="inlineStr">
        <is>
          <t>GSS Architecture Portraits</t>
        </is>
      </c>
      <c r="G270" s="1349" t="inlineStr">
        <is>
          <t>Google</t>
        </is>
      </c>
    </row>
    <row r="271" ht="13.5" customHeight="1" s="1232">
      <c r="A271" s="1348" t="n">
        <v>44458</v>
      </c>
      <c r="B271" s="1349" t="inlineStr">
        <is>
          <t>Mandy waters</t>
        </is>
      </c>
      <c r="C271" s="1350" t="inlineStr">
        <is>
          <t>2. Workshops</t>
        </is>
      </c>
      <c r="D271" s="1349" t="inlineStr">
        <is>
          <t>Stripe</t>
        </is>
      </c>
      <c r="E271" s="1351" t="n">
        <v>99</v>
      </c>
      <c r="F271" s="1349" t="inlineStr">
        <is>
          <t>Batsford</t>
        </is>
      </c>
      <c r="G271" s="1260" t="inlineStr">
        <is>
          <t>Referral</t>
        </is>
      </c>
    </row>
    <row r="272" ht="13.5" customHeight="1" s="1232">
      <c r="A272" s="1348" t="n">
        <v>44458</v>
      </c>
      <c r="B272" s="1349" t="inlineStr">
        <is>
          <t>David Andringa</t>
        </is>
      </c>
      <c r="C272" s="1350" t="inlineStr">
        <is>
          <t>2. Workshops</t>
        </is>
      </c>
      <c r="D272" s="1349" t="inlineStr">
        <is>
          <t>PicknMix</t>
        </is>
      </c>
      <c r="E272" s="1351" t="n">
        <v>99</v>
      </c>
      <c r="F272" s="1349" t="inlineStr">
        <is>
          <t>Batsford</t>
        </is>
      </c>
      <c r="G272" s="1349" t="inlineStr">
        <is>
          <t>Existing</t>
        </is>
      </c>
    </row>
    <row r="273" ht="13.5" customHeight="1" s="1232">
      <c r="A273" s="1348" t="n">
        <v>44458</v>
      </c>
      <c r="B273" s="1349" t="inlineStr">
        <is>
          <t>David Andringa</t>
        </is>
      </c>
      <c r="C273" s="1350" t="inlineStr">
        <is>
          <t>4. Pick n Mix Out</t>
        </is>
      </c>
      <c r="D273" s="1349" t="inlineStr">
        <is>
          <t>PicknMix</t>
        </is>
      </c>
      <c r="E273" s="1351" t="n">
        <v>-99</v>
      </c>
      <c r="F273" s="1349" t="inlineStr">
        <is>
          <t>Batsford</t>
        </is>
      </c>
      <c r="G273" s="1349" t="inlineStr">
        <is>
          <t>Existing</t>
        </is>
      </c>
    </row>
    <row r="274" ht="13.5" customHeight="1" s="1232">
      <c r="A274" s="1348" t="n">
        <v>44458</v>
      </c>
      <c r="B274" s="1349" t="inlineStr">
        <is>
          <t>Edward Hart</t>
        </is>
      </c>
      <c r="C274" s="1350" t="inlineStr">
        <is>
          <t>2. Workshops</t>
        </is>
      </c>
      <c r="D274" s="1349" t="inlineStr">
        <is>
          <t>Stripe</t>
        </is>
      </c>
      <c r="E274" s="1351" t="n">
        <v>150</v>
      </c>
      <c r="F274" s="1349" t="inlineStr">
        <is>
          <t>Batsford</t>
        </is>
      </c>
      <c r="G274" s="1349" t="inlineStr">
        <is>
          <t>Batsford</t>
        </is>
      </c>
    </row>
    <row r="275" ht="13.5" customHeight="1" s="1232">
      <c r="A275" s="1348" t="n">
        <v>44458</v>
      </c>
      <c r="B275" s="1349" t="inlineStr">
        <is>
          <t>Linda Newbery</t>
        </is>
      </c>
      <c r="C275" s="1350" t="inlineStr">
        <is>
          <t>2. Workshops</t>
        </is>
      </c>
      <c r="D275" s="1349" t="inlineStr">
        <is>
          <t>Stripe</t>
        </is>
      </c>
      <c r="E275" s="1351" t="n">
        <v>99</v>
      </c>
      <c r="F275" s="1349" t="inlineStr">
        <is>
          <t>Batsford</t>
        </is>
      </c>
      <c r="G275" s="1349" t="inlineStr">
        <is>
          <t>Batsford</t>
        </is>
      </c>
    </row>
    <row r="276" ht="13.5" customHeight="1" s="1232">
      <c r="A276" s="1348" t="n">
        <v>44455</v>
      </c>
      <c r="B276" s="1349" t="inlineStr">
        <is>
          <t>Karen L Skillings</t>
        </is>
      </c>
      <c r="C276" s="1350" t="inlineStr">
        <is>
          <t>1. Courses/masterclasses</t>
        </is>
      </c>
      <c r="D276" s="1349" t="inlineStr">
        <is>
          <t>PayPal</t>
        </is>
      </c>
      <c r="E276" s="1351" t="n">
        <v>250</v>
      </c>
      <c r="F276" s="1349" t="inlineStr">
        <is>
          <t>LR Beginners Course</t>
        </is>
      </c>
      <c r="G276" s="1349" t="inlineStr">
        <is>
          <t>Existing</t>
        </is>
      </c>
    </row>
    <row r="277" ht="13.5" customHeight="1" s="1232">
      <c r="A277" s="1348" t="n">
        <v>44456</v>
      </c>
      <c r="B277" s="1349" t="inlineStr">
        <is>
          <t>David Pitt</t>
        </is>
      </c>
      <c r="C277" s="1350" t="inlineStr">
        <is>
          <t>2. Workshops</t>
        </is>
      </c>
      <c r="D277" s="1349" t="inlineStr">
        <is>
          <t>Stripe</t>
        </is>
      </c>
      <c r="E277" s="1351" t="n">
        <v>12</v>
      </c>
      <c r="F277" s="1349" t="inlineStr">
        <is>
          <t>Woodland Walk</t>
        </is>
      </c>
      <c r="G277" s="1349" t="inlineStr">
        <is>
          <t>Existing</t>
        </is>
      </c>
    </row>
    <row r="278" ht="13.5" customHeight="1" s="1232">
      <c r="A278" s="1348" t="n">
        <v>44456</v>
      </c>
      <c r="B278" s="1349" t="inlineStr">
        <is>
          <t>Andrew Palmer</t>
        </is>
      </c>
      <c r="C278" s="1350" t="inlineStr">
        <is>
          <t>2. Workshops</t>
        </is>
      </c>
      <c r="D278" s="1349" t="inlineStr">
        <is>
          <t>Stripe</t>
        </is>
      </c>
      <c r="E278" s="1351" t="n">
        <v>198</v>
      </c>
      <c r="F278" s="1349" t="inlineStr">
        <is>
          <t>Batsford</t>
        </is>
      </c>
      <c r="G278" s="1349" t="inlineStr">
        <is>
          <t>Facebook</t>
        </is>
      </c>
    </row>
    <row r="279" ht="13.5" customHeight="1" s="1232">
      <c r="A279" s="1348" t="n">
        <v>44454</v>
      </c>
      <c r="B279" s="1349" t="inlineStr">
        <is>
          <t>Judy Niner</t>
        </is>
      </c>
      <c r="C279" s="1350" t="inlineStr">
        <is>
          <t>2. Workshops</t>
        </is>
      </c>
      <c r="D279" s="1349" t="inlineStr">
        <is>
          <t>PayPal</t>
        </is>
      </c>
      <c r="E279" s="1351" t="n">
        <v>12</v>
      </c>
      <c r="F279" s="1349" t="inlineStr">
        <is>
          <t>Woodland Walk</t>
        </is>
      </c>
      <c r="G279" s="1349" t="inlineStr">
        <is>
          <t>Existing</t>
        </is>
      </c>
    </row>
    <row r="280" ht="13.5" customHeight="1" s="1232">
      <c r="A280" s="1348" t="n">
        <v>44454</v>
      </c>
      <c r="B280" s="1349" t="inlineStr">
        <is>
          <t>Gillian Henderson</t>
        </is>
      </c>
      <c r="C280" s="1350" t="inlineStr">
        <is>
          <t>1. Courses/masterclasses</t>
        </is>
      </c>
      <c r="D280" s="1349" t="inlineStr">
        <is>
          <t>PayPal</t>
        </is>
      </c>
      <c r="E280" s="1351" t="n">
        <v>230</v>
      </c>
      <c r="F280" s="1349" t="inlineStr">
        <is>
          <t>4wk Photography Course</t>
        </is>
      </c>
      <c r="G280" s="1349" t="inlineStr">
        <is>
          <t>Google</t>
        </is>
      </c>
    </row>
    <row r="281" ht="13.5" customHeight="1" s="1232">
      <c r="A281" s="1348" t="n">
        <v>44452</v>
      </c>
      <c r="B281" s="1349" t="inlineStr">
        <is>
          <t>Philip Parsons</t>
        </is>
      </c>
      <c r="C281" s="1350" t="inlineStr">
        <is>
          <t>2. Workshops</t>
        </is>
      </c>
      <c r="D281" s="1349" t="inlineStr">
        <is>
          <t>Stripe</t>
        </is>
      </c>
      <c r="E281" s="1351" t="n">
        <v>300</v>
      </c>
      <c r="F281" s="1349" t="inlineStr">
        <is>
          <t>Batsford</t>
        </is>
      </c>
      <c r="G281" s="1349" t="inlineStr">
        <is>
          <t>Batsford</t>
        </is>
      </c>
    </row>
    <row r="282" ht="13.5" customHeight="1" s="1232">
      <c r="A282" s="1348" t="n">
        <v>44451</v>
      </c>
      <c r="B282" s="1349" t="inlineStr">
        <is>
          <t>Sian Pritchard</t>
        </is>
      </c>
      <c r="C282" s="1350" t="inlineStr">
        <is>
          <t>2. Workshops</t>
        </is>
      </c>
      <c r="D282" s="1349" t="inlineStr">
        <is>
          <t>Stripe</t>
        </is>
      </c>
      <c r="E282" s="1351" t="n">
        <v>150</v>
      </c>
      <c r="F282" s="1349" t="inlineStr">
        <is>
          <t>Peak District</t>
        </is>
      </c>
      <c r="G282" s="1349" t="inlineStr">
        <is>
          <t>Google</t>
        </is>
      </c>
    </row>
    <row r="283" ht="13.5" customHeight="1" s="1232">
      <c r="A283" s="1348" t="n">
        <v>44450</v>
      </c>
      <c r="B283" s="1349" t="inlineStr">
        <is>
          <t>Christopher Box</t>
        </is>
      </c>
      <c r="C283" s="1350" t="inlineStr">
        <is>
          <t>2. Workshops</t>
        </is>
      </c>
      <c r="D283" s="1349" t="inlineStr">
        <is>
          <t>Stripe</t>
        </is>
      </c>
      <c r="E283" s="1351" t="n">
        <v>150</v>
      </c>
      <c r="F283" s="1349" t="inlineStr">
        <is>
          <t>Batsford</t>
        </is>
      </c>
      <c r="G283" s="1349" t="inlineStr">
        <is>
          <t>Batsford</t>
        </is>
      </c>
    </row>
    <row r="284" ht="13.5" customHeight="1" s="1232">
      <c r="A284" s="1348" t="n">
        <v>44450</v>
      </c>
      <c r="B284" s="1349" t="inlineStr">
        <is>
          <t>Maxim Dobres</t>
        </is>
      </c>
      <c r="C284" s="1350" t="inlineStr">
        <is>
          <t>6. 1-2-1</t>
        </is>
      </c>
      <c r="D284" s="1349" t="inlineStr">
        <is>
          <t>Stripe</t>
        </is>
      </c>
      <c r="E284" s="1351" t="n">
        <v>35</v>
      </c>
      <c r="F284" s="1349" t="inlineStr">
        <is>
          <t>Zoom 1hr 1-2-1</t>
        </is>
      </c>
      <c r="G284" s="1349" t="inlineStr">
        <is>
          <t>Existing</t>
        </is>
      </c>
    </row>
    <row r="285" ht="13.5" customHeight="1" s="1232">
      <c r="A285" s="1348" t="n">
        <v>44450</v>
      </c>
      <c r="B285" s="1349" t="inlineStr">
        <is>
          <t>Rory Brown</t>
        </is>
      </c>
      <c r="C285" s="1350" t="inlineStr">
        <is>
          <t>2. Workshops</t>
        </is>
      </c>
      <c r="D285" s="1349" t="inlineStr">
        <is>
          <t>Stripe</t>
        </is>
      </c>
      <c r="E285" s="1351" t="n">
        <v>300</v>
      </c>
      <c r="F285" s="1349" t="inlineStr">
        <is>
          <t>Batsford</t>
        </is>
      </c>
      <c r="G285" s="1349" t="inlineStr">
        <is>
          <t>Google</t>
        </is>
      </c>
    </row>
    <row r="286" ht="13.5" customHeight="1" s="1232">
      <c r="A286" s="1348" t="n">
        <v>44449</v>
      </c>
      <c r="B286" s="1349" t="inlineStr">
        <is>
          <t>Max Dobres</t>
        </is>
      </c>
      <c r="C286" s="1350" t="inlineStr">
        <is>
          <t>1. Courses/masterclasses</t>
        </is>
      </c>
      <c r="D286" s="1349" t="inlineStr">
        <is>
          <t>Stripe</t>
        </is>
      </c>
      <c r="E286" s="1351" t="n">
        <v>150</v>
      </c>
      <c r="F286" s="1349" t="inlineStr">
        <is>
          <t>RPS Course</t>
        </is>
      </c>
      <c r="G286" s="1349" t="inlineStr">
        <is>
          <t>Google</t>
        </is>
      </c>
    </row>
    <row r="287" ht="13.5" customHeight="1" s="1232">
      <c r="A287" s="1348" t="n">
        <v>44449</v>
      </c>
      <c r="B287" s="1349" t="inlineStr">
        <is>
          <t>Rachael Gabriel</t>
        </is>
      </c>
      <c r="C287" s="1350" t="inlineStr">
        <is>
          <t>7. Gift Vouchers Inc</t>
        </is>
      </c>
      <c r="D287" s="1349" t="inlineStr">
        <is>
          <t>Stripe</t>
        </is>
      </c>
      <c r="E287" s="1351" t="n">
        <v>75</v>
      </c>
      <c r="F287" s="1349" t="inlineStr">
        <is>
          <t>Digital Gift Voucher</t>
        </is>
      </c>
      <c r="G287" s="1349" t="inlineStr">
        <is>
          <t>Google</t>
        </is>
      </c>
    </row>
    <row r="288" ht="13.5" customHeight="1" s="1232">
      <c r="A288" s="1348" t="n">
        <v>44448</v>
      </c>
      <c r="B288" s="1349" t="inlineStr">
        <is>
          <t>Hartland Quay Hotel</t>
        </is>
      </c>
      <c r="C288" s="1350" t="inlineStr">
        <is>
          <t>9. Prints &amp; Royalties</t>
        </is>
      </c>
      <c r="D288" s="1349" t="inlineStr">
        <is>
          <t>Bank</t>
        </is>
      </c>
      <c r="E288" s="1351" t="n">
        <v>159.2</v>
      </c>
      <c r="F288" s="1349" t="inlineStr">
        <is>
          <t>Print Sale</t>
        </is>
      </c>
      <c r="G288" s="1349" t="inlineStr">
        <is>
          <t>Existing</t>
        </is>
      </c>
    </row>
    <row r="289" ht="13.5" customHeight="1" s="1232">
      <c r="A289" s="1348" t="n">
        <v>44446</v>
      </c>
      <c r="B289" s="1349" t="inlineStr">
        <is>
          <t>Elaine Cash</t>
        </is>
      </c>
      <c r="C289" s="1350" t="inlineStr">
        <is>
          <t>2. Workshops</t>
        </is>
      </c>
      <c r="D289" s="1349" t="inlineStr">
        <is>
          <t>PayPal</t>
        </is>
      </c>
      <c r="E289" s="1351" t="n">
        <v>99</v>
      </c>
      <c r="F289" s="1349" t="inlineStr">
        <is>
          <t>Batsford</t>
        </is>
      </c>
      <c r="G289" s="1349" t="inlineStr">
        <is>
          <t>Google</t>
        </is>
      </c>
    </row>
    <row r="290" ht="13.5" customHeight="1" s="1232">
      <c r="A290" s="1348" t="n">
        <v>44446</v>
      </c>
      <c r="B290" s="1349" t="inlineStr">
        <is>
          <t>Rachel Davies</t>
        </is>
      </c>
      <c r="C290" s="1350" t="inlineStr">
        <is>
          <t>1. Courses/masterclasses</t>
        </is>
      </c>
      <c r="D290" s="1349" t="inlineStr">
        <is>
          <t>Stripe</t>
        </is>
      </c>
      <c r="E290" s="1351" t="n">
        <v>20</v>
      </c>
      <c r="F290" s="1349" t="inlineStr">
        <is>
          <t>Zoom Get Off Auti</t>
        </is>
      </c>
      <c r="G290" s="1349" t="inlineStr">
        <is>
          <t>Google</t>
        </is>
      </c>
    </row>
    <row r="291" ht="13.5" customHeight="1" s="1232">
      <c r="A291" s="1348" t="n">
        <v>44440</v>
      </c>
      <c r="B291" s="1349" t="inlineStr">
        <is>
          <t>Christine Simmonds</t>
        </is>
      </c>
      <c r="C291" s="1350" t="inlineStr">
        <is>
          <t>2. Workshops</t>
        </is>
      </c>
      <c r="D291" s="1349" t="inlineStr">
        <is>
          <t>PayPal</t>
        </is>
      </c>
      <c r="E291" s="1351" t="n">
        <v>35</v>
      </c>
      <c r="F291" s="1349" t="inlineStr">
        <is>
          <t>Garden Workshop</t>
        </is>
      </c>
      <c r="G291" s="1349" t="inlineStr">
        <is>
          <t>Google</t>
        </is>
      </c>
    </row>
    <row r="292" ht="13.5" customHeight="1" s="1232">
      <c r="A292" s="1348" t="n">
        <v>44440</v>
      </c>
      <c r="B292" s="1349" t="inlineStr">
        <is>
          <t>LC Chapman (David Bayley)</t>
        </is>
      </c>
      <c r="C292" s="1350" t="inlineStr">
        <is>
          <t>2. Workshops</t>
        </is>
      </c>
      <c r="D292" s="1349" t="inlineStr">
        <is>
          <t>Gift Voucher Out</t>
        </is>
      </c>
      <c r="E292" s="1351" t="n">
        <v>95</v>
      </c>
      <c r="F292" s="1349" t="inlineStr">
        <is>
          <t>Peak District</t>
        </is>
      </c>
      <c r="G292" s="1349" t="inlineStr">
        <is>
          <t>Existing</t>
        </is>
      </c>
    </row>
    <row r="293" ht="13.5" customHeight="1" s="1232">
      <c r="A293" s="1348" t="n">
        <v>44440</v>
      </c>
      <c r="B293" s="1349" t="inlineStr">
        <is>
          <t>LC Chapman (David Bayley)</t>
        </is>
      </c>
      <c r="C293" s="1350" t="inlineStr">
        <is>
          <t>8. Gift Vouchers Out</t>
        </is>
      </c>
      <c r="D293" s="1349" t="inlineStr">
        <is>
          <t>Gift Voucher Out</t>
        </is>
      </c>
      <c r="E293" s="1351" t="n">
        <v>-95</v>
      </c>
      <c r="F293" s="1349" t="inlineStr">
        <is>
          <t>Peak District</t>
        </is>
      </c>
      <c r="G293" s="1349" t="inlineStr">
        <is>
          <t>Existing</t>
        </is>
      </c>
    </row>
    <row r="294" ht="13.5" customHeight="1" s="1232">
      <c r="A294" s="1348" t="n">
        <v>44440</v>
      </c>
      <c r="B294" s="1349" t="inlineStr">
        <is>
          <t>Karen Sneddon</t>
        </is>
      </c>
      <c r="C294" s="1350" t="inlineStr">
        <is>
          <t>2. Workshops</t>
        </is>
      </c>
      <c r="D294" s="1349" t="inlineStr">
        <is>
          <t>Stripe</t>
        </is>
      </c>
      <c r="E294" s="1351" t="n">
        <v>150</v>
      </c>
      <c r="F294" s="1349" t="inlineStr">
        <is>
          <t>Macro &amp; Abstract x 3</t>
        </is>
      </c>
      <c r="G294" s="1349" t="inlineStr">
        <is>
          <t>Existing</t>
        </is>
      </c>
    </row>
    <row r="295" ht="13.5" customHeight="1" s="1232">
      <c r="A295" s="1348" t="n">
        <v>44440</v>
      </c>
      <c r="B295" s="1349" t="inlineStr">
        <is>
          <t>Peter Hannis</t>
        </is>
      </c>
      <c r="C295" s="1350" t="inlineStr">
        <is>
          <t>6. 1-2-1</t>
        </is>
      </c>
      <c r="D295" s="1349" t="inlineStr">
        <is>
          <t>Stripe</t>
        </is>
      </c>
      <c r="E295" s="1351" t="n">
        <v>360</v>
      </c>
      <c r="F295" s="1349" t="inlineStr">
        <is>
          <t>4 x 2hr 1-2-1 Lessons</t>
        </is>
      </c>
      <c r="G295" s="1349" t="inlineStr">
        <is>
          <t>Google</t>
        </is>
      </c>
    </row>
    <row r="296" ht="13.5" customHeight="1" s="1232">
      <c r="A296" s="1348" t="n">
        <v>44440</v>
      </c>
      <c r="B296" s="1349" t="inlineStr">
        <is>
          <t>Neil Evans</t>
        </is>
      </c>
      <c r="C296" s="1350" t="inlineStr">
        <is>
          <t>2. Workshops</t>
        </is>
      </c>
      <c r="D296" s="1349" t="inlineStr">
        <is>
          <t>Stripe</t>
        </is>
      </c>
      <c r="E296" s="1351" t="n">
        <v>50</v>
      </c>
      <c r="F296" s="1349" t="inlineStr">
        <is>
          <t>Macro &amp; Abstract</t>
        </is>
      </c>
      <c r="G296" s="1349" t="inlineStr">
        <is>
          <t>Existing</t>
        </is>
      </c>
    </row>
    <row r="297" ht="13.5" customHeight="1" s="1232">
      <c r="A297" s="1348" t="n">
        <v>44440</v>
      </c>
      <c r="B297" s="1349" t="inlineStr">
        <is>
          <t>Neil Evans</t>
        </is>
      </c>
      <c r="C297" s="1350" t="inlineStr">
        <is>
          <t>2. Workshops</t>
        </is>
      </c>
      <c r="D297" s="1349" t="inlineStr">
        <is>
          <t>Stripe</t>
        </is>
      </c>
      <c r="E297" s="1351" t="n">
        <v>50</v>
      </c>
      <c r="F297" s="1349" t="inlineStr">
        <is>
          <t>Chesterton</t>
        </is>
      </c>
      <c r="G297" s="1349" t="inlineStr">
        <is>
          <t>Existing</t>
        </is>
      </c>
    </row>
    <row r="298" ht="13.5" customHeight="1" s="1232">
      <c r="A298" s="1348" t="n">
        <v>44440</v>
      </c>
      <c r="B298" s="1349" t="inlineStr">
        <is>
          <t>Nick Barber</t>
        </is>
      </c>
      <c r="C298" s="1350" t="inlineStr">
        <is>
          <t>6. 1-2-1</t>
        </is>
      </c>
      <c r="D298" s="1349" t="inlineStr">
        <is>
          <t>PayPal</t>
        </is>
      </c>
      <c r="E298" s="1351" t="n">
        <v>130</v>
      </c>
      <c r="F298" s="1349" t="inlineStr">
        <is>
          <t>2 x 2hr 1-2-1 Zoom</t>
        </is>
      </c>
      <c r="G298" s="1349" t="inlineStr">
        <is>
          <t>Existing</t>
        </is>
      </c>
    </row>
    <row r="299" ht="13.5" customHeight="1" s="1232">
      <c r="A299" s="1348" t="n">
        <v>44440</v>
      </c>
      <c r="B299" s="1349" t="inlineStr">
        <is>
          <t>Nick Barber</t>
        </is>
      </c>
      <c r="C299" s="1350" t="inlineStr">
        <is>
          <t>6. 1-2-1</t>
        </is>
      </c>
      <c r="D299" s="1349" t="inlineStr">
        <is>
          <t>PayPal</t>
        </is>
      </c>
      <c r="E299" s="1351" t="n">
        <v>65</v>
      </c>
      <c r="F299" s="1349" t="inlineStr">
        <is>
          <t>2hr 1-2-1 Zoom</t>
        </is>
      </c>
      <c r="G299" s="1349" t="inlineStr">
        <is>
          <t>Existing</t>
        </is>
      </c>
    </row>
    <row r="300" ht="13.5" customHeight="1" s="1232">
      <c r="A300" s="1348" t="n">
        <v>44440</v>
      </c>
      <c r="B300" s="1349" t="inlineStr">
        <is>
          <t>Nick Barber</t>
        </is>
      </c>
      <c r="C300" s="1350" t="inlineStr">
        <is>
          <t>1. Courses/masterclasses</t>
        </is>
      </c>
      <c r="D300" s="1349" t="inlineStr">
        <is>
          <t>PayPal</t>
        </is>
      </c>
      <c r="E300" s="1351" t="n">
        <v>20</v>
      </c>
      <c r="F300" s="1349" t="inlineStr">
        <is>
          <t>Zoom Composition</t>
        </is>
      </c>
      <c r="G300" s="1349" t="inlineStr">
        <is>
          <t>Existing</t>
        </is>
      </c>
    </row>
    <row r="301" ht="13.5" customHeight="1" s="1232">
      <c r="A301" s="1348" t="n">
        <v>44440</v>
      </c>
      <c r="B301" s="1349" t="inlineStr">
        <is>
          <t>Pick n Mix Subs</t>
        </is>
      </c>
      <c r="C301" s="1350" t="inlineStr">
        <is>
          <t>3. Pick n Mix Inc</t>
        </is>
      </c>
      <c r="D301" s="1349" t="inlineStr">
        <is>
          <t>Various</t>
        </is>
      </c>
      <c r="E301" s="1351" t="n">
        <v>550</v>
      </c>
      <c r="F301" s="1349" t="inlineStr">
        <is>
          <t>Pick N Mix Payments</t>
        </is>
      </c>
      <c r="G301" s="1349" t="inlineStr">
        <is>
          <t>Existing</t>
        </is>
      </c>
    </row>
    <row r="302" ht="13.5" customHeight="1" s="1232">
      <c r="A302" s="1348" t="n">
        <v>44440</v>
      </c>
      <c r="B302" s="1349" t="inlineStr">
        <is>
          <t>Mentoring Subs</t>
        </is>
      </c>
      <c r="C302" s="1350" t="inlineStr">
        <is>
          <t>5. Mentoring</t>
        </is>
      </c>
      <c r="D302" s="1350" t="inlineStr">
        <is>
          <t>Various</t>
        </is>
      </c>
      <c r="E302" s="1351" t="n">
        <v>60</v>
      </c>
      <c r="F302" s="1350" t="inlineStr">
        <is>
          <t>Mentoring Subs</t>
        </is>
      </c>
      <c r="G302" s="1350" t="inlineStr">
        <is>
          <t>Existing</t>
        </is>
      </c>
    </row>
    <row r="305" ht="13.5" customHeight="1" s="1232">
      <c r="A305" s="1348" t="n">
        <v>44439</v>
      </c>
      <c r="B305" s="1349" t="inlineStr">
        <is>
          <t>Nick Barber</t>
        </is>
      </c>
      <c r="C305" s="1350" t="inlineStr">
        <is>
          <t>6. 1-2-1</t>
        </is>
      </c>
      <c r="D305" s="1349" t="inlineStr">
        <is>
          <t>PayPal</t>
        </is>
      </c>
      <c r="E305" s="1351" t="n">
        <v>65</v>
      </c>
      <c r="F305" s="1349" t="inlineStr">
        <is>
          <t>2hr 1-2-1 Zoom</t>
        </is>
      </c>
      <c r="G305" s="1349" t="inlineStr">
        <is>
          <t>Existing</t>
        </is>
      </c>
    </row>
    <row r="306" ht="13.5" customHeight="1" s="1232">
      <c r="A306" s="1348" t="n">
        <v>44438</v>
      </c>
      <c r="B306" s="1349" t="inlineStr">
        <is>
          <t>Alice Cooper</t>
        </is>
      </c>
      <c r="C306" s="1350" t="inlineStr">
        <is>
          <t>1. Courses/masterclasses</t>
        </is>
      </c>
      <c r="D306" s="1349" t="inlineStr">
        <is>
          <t>Stripe</t>
        </is>
      </c>
      <c r="E306" s="1351" t="n">
        <v>30</v>
      </c>
      <c r="F306" s="1349" t="inlineStr">
        <is>
          <t>Get Off Auto</t>
        </is>
      </c>
      <c r="G306" s="1349" t="inlineStr">
        <is>
          <t>Google</t>
        </is>
      </c>
    </row>
    <row r="307" ht="13.5" customHeight="1" s="1232">
      <c r="A307" s="1348" t="n">
        <v>44438</v>
      </c>
      <c r="B307" s="1349" t="inlineStr">
        <is>
          <t>Garry Mumford</t>
        </is>
      </c>
      <c r="C307" s="1350" t="inlineStr">
        <is>
          <t>2. Workshops</t>
        </is>
      </c>
      <c r="D307" s="1349" t="inlineStr">
        <is>
          <t>Stripe</t>
        </is>
      </c>
      <c r="E307" s="1351" t="n">
        <v>150</v>
      </c>
      <c r="F307" s="1349" t="inlineStr">
        <is>
          <t>Peak District</t>
        </is>
      </c>
      <c r="G307" s="1349" t="inlineStr">
        <is>
          <t>Google</t>
        </is>
      </c>
    </row>
    <row r="308" ht="13.5" customHeight="1" s="1232">
      <c r="A308" s="1348" t="n">
        <v>44438</v>
      </c>
      <c r="B308" s="1349" t="inlineStr">
        <is>
          <t>Anne Watkinson</t>
        </is>
      </c>
      <c r="C308" s="1350" t="inlineStr">
        <is>
          <t>6. 1-2-1</t>
        </is>
      </c>
      <c r="D308" s="1349" t="inlineStr">
        <is>
          <t>Stripe</t>
        </is>
      </c>
      <c r="E308" s="1351" t="n">
        <v>360</v>
      </c>
      <c r="F308" s="1349" t="inlineStr">
        <is>
          <t>5 x 2hr 1-2-1's Offer</t>
        </is>
      </c>
      <c r="G308" s="1349" t="inlineStr">
        <is>
          <t>Existing</t>
        </is>
      </c>
    </row>
    <row r="309" ht="13.5" customHeight="1" s="1232">
      <c r="A309" s="1348" t="n">
        <v>44435</v>
      </c>
      <c r="B309" s="1349" t="inlineStr">
        <is>
          <t>Helen Sotheran</t>
        </is>
      </c>
      <c r="C309" s="1350" t="inlineStr">
        <is>
          <t>2. Workshops</t>
        </is>
      </c>
      <c r="D309" s="1349" t="inlineStr">
        <is>
          <t>Stripe</t>
        </is>
      </c>
      <c r="E309" s="1351" t="n">
        <v>825</v>
      </c>
      <c r="F309" s="1349" t="inlineStr">
        <is>
          <t>Northumbria</t>
        </is>
      </c>
      <c r="G309" s="1349" t="inlineStr">
        <is>
          <t>Existing</t>
        </is>
      </c>
    </row>
    <row r="310" ht="13.5" customHeight="1" s="1232">
      <c r="A310" s="1348" t="n">
        <v>44434</v>
      </c>
      <c r="B310" s="1349" t="inlineStr">
        <is>
          <t>Oliver Gilbert</t>
        </is>
      </c>
      <c r="C310" s="1350" t="inlineStr">
        <is>
          <t>2. Workshops</t>
        </is>
      </c>
      <c r="D310" s="1349" t="inlineStr">
        <is>
          <t>Stripe</t>
        </is>
      </c>
      <c r="E310" s="1351" t="n">
        <v>99</v>
      </c>
      <c r="F310" s="1349" t="inlineStr">
        <is>
          <t>Batsford Workshop</t>
        </is>
      </c>
      <c r="G310" s="1349" t="inlineStr">
        <is>
          <t>Google</t>
        </is>
      </c>
    </row>
    <row r="311" ht="13.5" customHeight="1" s="1232">
      <c r="A311" s="1348" t="n">
        <v>44435</v>
      </c>
      <c r="B311" s="1349" t="inlineStr">
        <is>
          <t>Simon Harrison</t>
        </is>
      </c>
      <c r="C311" s="1350" t="inlineStr">
        <is>
          <t>2. Workshops</t>
        </is>
      </c>
      <c r="D311" s="1349" t="inlineStr">
        <is>
          <t>Stripe</t>
        </is>
      </c>
      <c r="E311" s="1351" t="n">
        <v>125</v>
      </c>
      <c r="F311" s="1349" t="inlineStr">
        <is>
          <t>Burnham Workshop</t>
        </is>
      </c>
      <c r="G311" s="1349" t="inlineStr">
        <is>
          <t>Existing</t>
        </is>
      </c>
    </row>
    <row r="312" ht="13.5" customHeight="1" s="1232">
      <c r="A312" s="1348" t="n">
        <v>44434</v>
      </c>
      <c r="B312" s="1349" t="inlineStr">
        <is>
          <t>Jeanette Waters</t>
        </is>
      </c>
      <c r="C312" s="1350" t="inlineStr">
        <is>
          <t>6. 1-2-1</t>
        </is>
      </c>
      <c r="D312" s="1349" t="inlineStr">
        <is>
          <t>Stripe</t>
        </is>
      </c>
      <c r="E312" s="1351" t="n">
        <v>35</v>
      </c>
      <c r="F312" s="1349" t="inlineStr">
        <is>
          <t>1hr Zoom 1-2-1</t>
        </is>
      </c>
      <c r="G312" s="1349" t="inlineStr">
        <is>
          <t>Google</t>
        </is>
      </c>
    </row>
    <row r="313" ht="13.5" customHeight="1" s="1232">
      <c r="A313" s="1348" t="n">
        <v>44434</v>
      </c>
      <c r="B313" s="1349" t="inlineStr">
        <is>
          <t>Harriet Bowley</t>
        </is>
      </c>
      <c r="C313" s="1350" t="inlineStr">
        <is>
          <t>2. Workshops</t>
        </is>
      </c>
      <c r="D313" s="1349" t="inlineStr">
        <is>
          <t>Gift Voucher Out</t>
        </is>
      </c>
      <c r="E313" s="1351" t="n">
        <v>250</v>
      </c>
      <c r="F313" s="1349" t="inlineStr">
        <is>
          <t>Lake District</t>
        </is>
      </c>
      <c r="G313" s="1349" t="inlineStr">
        <is>
          <t>Existing</t>
        </is>
      </c>
    </row>
    <row r="314" ht="13.5" customHeight="1" s="1232">
      <c r="A314" s="1348" t="n">
        <v>44434</v>
      </c>
      <c r="B314" s="1349" t="inlineStr">
        <is>
          <t>Harriet Bowley</t>
        </is>
      </c>
      <c r="C314" s="1350" t="inlineStr">
        <is>
          <t>8. Gift Vouchers Out</t>
        </is>
      </c>
      <c r="D314" s="1349" t="inlineStr">
        <is>
          <t>Gift Voucher Out</t>
        </is>
      </c>
      <c r="E314" s="1351" t="n">
        <v>-250</v>
      </c>
      <c r="F314" s="1349" t="inlineStr">
        <is>
          <t>Lake District</t>
        </is>
      </c>
      <c r="G314" s="1349" t="inlineStr">
        <is>
          <t>Existing</t>
        </is>
      </c>
    </row>
    <row r="315" ht="13.5" customHeight="1" s="1232">
      <c r="A315" s="1348" t="n">
        <v>44434</v>
      </c>
      <c r="B315" s="1349" t="inlineStr">
        <is>
          <t>Harriet Bowley</t>
        </is>
      </c>
      <c r="C315" s="1350" t="inlineStr">
        <is>
          <t>2. Workshops</t>
        </is>
      </c>
      <c r="D315" s="1349" t="inlineStr">
        <is>
          <t>Stripe</t>
        </is>
      </c>
      <c r="E315" s="1351" t="n">
        <v>500</v>
      </c>
      <c r="F315" s="1349" t="inlineStr">
        <is>
          <t>Lake District</t>
        </is>
      </c>
      <c r="G315" s="1349" t="inlineStr">
        <is>
          <t>Existing</t>
        </is>
      </c>
    </row>
    <row r="316" ht="13.5" customHeight="1" s="1232">
      <c r="A316" s="1348" t="n">
        <v>44434</v>
      </c>
      <c r="B316" s="1349" t="inlineStr">
        <is>
          <t>Martin Ormerod</t>
        </is>
      </c>
      <c r="C316" s="1350" t="inlineStr">
        <is>
          <t>2. Workshops</t>
        </is>
      </c>
      <c r="D316" s="1349" t="inlineStr">
        <is>
          <t>Stripe</t>
        </is>
      </c>
      <c r="E316" s="1351" t="n">
        <v>750</v>
      </c>
      <c r="F316" s="1349" t="inlineStr">
        <is>
          <t>Lake District</t>
        </is>
      </c>
      <c r="G316" s="1349" t="inlineStr">
        <is>
          <t>Existing</t>
        </is>
      </c>
    </row>
    <row r="317" ht="13.5" customHeight="1" s="1232">
      <c r="A317" s="1348" t="n">
        <v>44434</v>
      </c>
      <c r="B317" s="1349" t="inlineStr">
        <is>
          <t>James Parker</t>
        </is>
      </c>
      <c r="C317" s="1350" t="inlineStr">
        <is>
          <t>2. Workshops</t>
        </is>
      </c>
      <c r="D317" s="1349" t="inlineStr">
        <is>
          <t>Stripe</t>
        </is>
      </c>
      <c r="E317" s="1351" t="n">
        <v>750</v>
      </c>
      <c r="F317" s="1349" t="inlineStr">
        <is>
          <t>Lake District</t>
        </is>
      </c>
      <c r="G317" s="1349" t="inlineStr">
        <is>
          <t>Existing</t>
        </is>
      </c>
    </row>
    <row r="318" ht="13.5" customHeight="1" s="1232">
      <c r="A318" s="1348" t="n">
        <v>44433</v>
      </c>
      <c r="B318" s="1349" t="inlineStr">
        <is>
          <t xml:space="preserve">Jeanette Waters </t>
        </is>
      </c>
      <c r="C318" s="1350" t="inlineStr">
        <is>
          <t>6. 1-2-1</t>
        </is>
      </c>
      <c r="D318" s="1349" t="inlineStr">
        <is>
          <t>Stripe</t>
        </is>
      </c>
      <c r="E318" s="1351" t="n">
        <v>35</v>
      </c>
      <c r="F318" s="1349" t="inlineStr">
        <is>
          <t>1hr Zoom 1-2-1</t>
        </is>
      </c>
      <c r="G318" s="1349" t="inlineStr">
        <is>
          <t>Google</t>
        </is>
      </c>
    </row>
    <row r="319" ht="13.5" customHeight="1" s="1232">
      <c r="A319" s="1348" t="n">
        <v>44433</v>
      </c>
      <c r="B319" s="1349" t="inlineStr">
        <is>
          <t>Maria Iqbal</t>
        </is>
      </c>
      <c r="C319" s="1350" t="inlineStr">
        <is>
          <t>6. 1-2-1</t>
        </is>
      </c>
      <c r="D319" s="1349" t="inlineStr">
        <is>
          <t>Stripe</t>
        </is>
      </c>
      <c r="E319" s="1351" t="n">
        <v>360</v>
      </c>
      <c r="F319" s="1349" t="inlineStr">
        <is>
          <t>5 x 2hr 1-2-1's Offer</t>
        </is>
      </c>
      <c r="G319" s="1349" t="inlineStr">
        <is>
          <t>Google</t>
        </is>
      </c>
    </row>
    <row r="320" ht="13.5" customHeight="1" s="1232">
      <c r="A320" s="1348" t="n">
        <v>44433</v>
      </c>
      <c r="B320" s="1349" t="inlineStr">
        <is>
          <t>Pamela Digby</t>
        </is>
      </c>
      <c r="C320" s="1350" t="inlineStr">
        <is>
          <t>2. Workshops</t>
        </is>
      </c>
      <c r="D320" s="1349" t="inlineStr">
        <is>
          <t>Stripe</t>
        </is>
      </c>
      <c r="E320" s="1351" t="n">
        <v>12</v>
      </c>
      <c r="F320" s="1349" t="inlineStr">
        <is>
          <t>Woodland Walk</t>
        </is>
      </c>
      <c r="G320" s="1349" t="inlineStr">
        <is>
          <t>Google</t>
        </is>
      </c>
    </row>
    <row r="321" ht="13.5" customHeight="1" s="1232">
      <c r="A321" s="1348" t="n">
        <v>44432</v>
      </c>
      <c r="B321" s="1349" t="inlineStr">
        <is>
          <t>Stuart Hubbard</t>
        </is>
      </c>
      <c r="C321" s="1350" t="inlineStr">
        <is>
          <t>2. Workshops</t>
        </is>
      </c>
      <c r="D321" s="1349" t="inlineStr">
        <is>
          <t>Gift Voucher Out</t>
        </is>
      </c>
      <c r="E321" s="1351" t="n">
        <v>50</v>
      </c>
      <c r="F321" s="1349" t="inlineStr">
        <is>
          <t>Chesterton</t>
        </is>
      </c>
      <c r="G321" s="1349" t="inlineStr">
        <is>
          <t>Existing</t>
        </is>
      </c>
    </row>
    <row r="322" ht="13.5" customHeight="1" s="1232">
      <c r="A322" s="1348" t="n">
        <v>44432</v>
      </c>
      <c r="B322" s="1349" t="inlineStr">
        <is>
          <t>Stuart Hubbard</t>
        </is>
      </c>
      <c r="C322" s="1350" t="inlineStr">
        <is>
          <t>8. Gift Vouchers Out</t>
        </is>
      </c>
      <c r="D322" s="1349" t="inlineStr">
        <is>
          <t>Gift Voucher Out</t>
        </is>
      </c>
      <c r="E322" s="1351" t="n">
        <v>-50</v>
      </c>
      <c r="F322" s="1349" t="inlineStr">
        <is>
          <t>Chesterton</t>
        </is>
      </c>
      <c r="G322" s="1349" t="inlineStr">
        <is>
          <t>Existing</t>
        </is>
      </c>
    </row>
    <row r="323" ht="13.5" customHeight="1" s="1232">
      <c r="A323" s="1348" t="n">
        <v>44432</v>
      </c>
      <c r="B323" s="1349" t="inlineStr">
        <is>
          <t>Bruce Hammersley</t>
        </is>
      </c>
      <c r="C323" s="1350" t="inlineStr">
        <is>
          <t>2. Workshops</t>
        </is>
      </c>
      <c r="D323" s="1349" t="inlineStr">
        <is>
          <t>Bank</t>
        </is>
      </c>
      <c r="E323" s="1351" t="n">
        <v>600</v>
      </c>
      <c r="F323" s="1349" t="inlineStr">
        <is>
          <t>Batsford 4 places</t>
        </is>
      </c>
      <c r="G323" s="1349" t="inlineStr">
        <is>
          <t>Google</t>
        </is>
      </c>
    </row>
    <row r="324" ht="13.5" customHeight="1" s="1232">
      <c r="A324" s="1348" t="n">
        <v>44430</v>
      </c>
      <c r="B324" s="1349" t="inlineStr">
        <is>
          <t>Nigel Bailey</t>
        </is>
      </c>
      <c r="C324" s="1350" t="inlineStr">
        <is>
          <t>6. 1-2-1</t>
        </is>
      </c>
      <c r="D324" s="1349" t="inlineStr">
        <is>
          <t>Stripe</t>
        </is>
      </c>
      <c r="E324" s="1351" t="n">
        <v>5</v>
      </c>
      <c r="F324" s="1352" t="inlineStr">
        <is>
          <t>1-2-1 1hr</t>
        </is>
      </c>
      <c r="G324" s="1349" t="inlineStr">
        <is>
          <t>Existing</t>
        </is>
      </c>
    </row>
    <row r="325" ht="13.5" customHeight="1" s="1232">
      <c r="A325" s="1348" t="n">
        <v>44430</v>
      </c>
      <c r="B325" s="1349" t="inlineStr">
        <is>
          <t>Nigel Bailey</t>
        </is>
      </c>
      <c r="C325" s="1350" t="inlineStr">
        <is>
          <t>6. 1-2-1</t>
        </is>
      </c>
      <c r="D325" s="1349" t="inlineStr">
        <is>
          <t>Gift Voucher Out</t>
        </is>
      </c>
      <c r="E325" s="1351" t="n">
        <v>60</v>
      </c>
      <c r="F325" s="1352" t="inlineStr">
        <is>
          <t>1-2-1 1hr</t>
        </is>
      </c>
      <c r="G325" s="1349" t="inlineStr">
        <is>
          <t>Existing</t>
        </is>
      </c>
    </row>
    <row r="326" ht="13.5" customHeight="1" s="1232">
      <c r="A326" s="1348" t="n">
        <v>44430</v>
      </c>
      <c r="B326" s="1349" t="inlineStr">
        <is>
          <t>Nigel Bailey</t>
        </is>
      </c>
      <c r="C326" s="1350" t="inlineStr">
        <is>
          <t>8. Gift Vouchers Out</t>
        </is>
      </c>
      <c r="D326" s="1349" t="inlineStr">
        <is>
          <t>Gift Voucher Out</t>
        </is>
      </c>
      <c r="E326" s="1351" t="n">
        <v>-60</v>
      </c>
      <c r="F326" s="1352" t="inlineStr">
        <is>
          <t>1-2-1 1hr</t>
        </is>
      </c>
      <c r="G326" s="1349" t="inlineStr">
        <is>
          <t>Existing</t>
        </is>
      </c>
    </row>
    <row r="327" ht="13.5" customHeight="1" s="1232">
      <c r="A327" s="1348" t="n">
        <v>44427</v>
      </c>
      <c r="B327" s="1349" t="inlineStr">
        <is>
          <t>Tony Teague</t>
        </is>
      </c>
      <c r="C327" s="1350" t="inlineStr">
        <is>
          <t>2. Workshops</t>
        </is>
      </c>
      <c r="D327" s="1349" t="inlineStr">
        <is>
          <t>Stripe</t>
        </is>
      </c>
      <c r="E327" s="1351" t="n">
        <v>250</v>
      </c>
      <c r="F327" s="1349" t="inlineStr">
        <is>
          <t>Deposit for Ireland</t>
        </is>
      </c>
      <c r="G327" s="1349" t="inlineStr">
        <is>
          <t>Existing</t>
        </is>
      </c>
    </row>
    <row r="328" ht="13.5" customHeight="1" s="1232">
      <c r="A328" s="1348" t="n">
        <v>44425</v>
      </c>
      <c r="B328" s="1349" t="inlineStr">
        <is>
          <t>Gillian Henderson</t>
        </is>
      </c>
      <c r="C328" s="1350" t="inlineStr">
        <is>
          <t>1. Courses/masterclasses</t>
        </is>
      </c>
      <c r="D328" s="1349" t="inlineStr">
        <is>
          <t>PayPal</t>
        </is>
      </c>
      <c r="E328" s="1351" t="n">
        <v>30</v>
      </c>
      <c r="F328" s="1349" t="inlineStr">
        <is>
          <t>Get off Auto Kenilworth</t>
        </is>
      </c>
      <c r="G328" s="1349" t="inlineStr">
        <is>
          <t>Google</t>
        </is>
      </c>
    </row>
    <row r="329" ht="13.5" customHeight="1" s="1232">
      <c r="A329" s="1348" t="n">
        <v>44425</v>
      </c>
      <c r="B329" s="1349" t="inlineStr">
        <is>
          <t>Johanna Stansfield</t>
        </is>
      </c>
      <c r="C329" s="1350" t="inlineStr">
        <is>
          <t>4. Pick n Mix Out</t>
        </is>
      </c>
      <c r="D329" s="1349" t="inlineStr">
        <is>
          <t>PicknMix</t>
        </is>
      </c>
      <c r="E329" s="1351" t="n">
        <v>-20</v>
      </c>
      <c r="F329" s="1349" t="inlineStr">
        <is>
          <t>Filters &amp; Bracketing Zoom</t>
        </is>
      </c>
      <c r="G329" s="1349" t="inlineStr">
        <is>
          <t>Existing</t>
        </is>
      </c>
    </row>
    <row r="330" ht="13.5" customHeight="1" s="1232">
      <c r="A330" s="1348" t="n">
        <v>44425</v>
      </c>
      <c r="B330" s="1349" t="inlineStr">
        <is>
          <t>Johanna Stansfield</t>
        </is>
      </c>
      <c r="C330" s="1350" t="inlineStr">
        <is>
          <t>1. Courses/masterclasses</t>
        </is>
      </c>
      <c r="D330" s="1349" t="inlineStr">
        <is>
          <t>PicknMix</t>
        </is>
      </c>
      <c r="E330" s="1351" t="n">
        <v>20</v>
      </c>
      <c r="F330" s="1349" t="inlineStr">
        <is>
          <t>Filters &amp; Bracketing Zoom</t>
        </is>
      </c>
      <c r="G330" s="1349" t="inlineStr">
        <is>
          <t>Existing</t>
        </is>
      </c>
    </row>
    <row r="331" ht="13.5" customHeight="1" s="1232">
      <c r="A331" s="1348" t="n">
        <v>44424</v>
      </c>
      <c r="B331" s="1349" t="inlineStr">
        <is>
          <t>Janet Boulter</t>
        </is>
      </c>
      <c r="C331" s="1350" t="inlineStr">
        <is>
          <t>6. 1-2-1</t>
        </is>
      </c>
      <c r="D331" s="1349" t="inlineStr">
        <is>
          <t>PayPal</t>
        </is>
      </c>
      <c r="E331" s="1351" t="n">
        <v>360</v>
      </c>
      <c r="F331" s="1349" t="inlineStr">
        <is>
          <t>5 x 2hr 1-2-1's Offer</t>
        </is>
      </c>
      <c r="G331" s="1349" t="inlineStr">
        <is>
          <t>Existing</t>
        </is>
      </c>
    </row>
    <row r="332" ht="13.5" customHeight="1" s="1232">
      <c r="A332" s="1348" t="n">
        <v>44424</v>
      </c>
      <c r="B332" s="1349" t="inlineStr">
        <is>
          <t>Quentin Melhuish</t>
        </is>
      </c>
      <c r="C332" s="1350" t="inlineStr">
        <is>
          <t>6. 1-2-1</t>
        </is>
      </c>
      <c r="D332" s="1349" t="inlineStr">
        <is>
          <t>Stripe</t>
        </is>
      </c>
      <c r="E332" s="1351" t="n">
        <v>360</v>
      </c>
      <c r="F332" s="1349" t="inlineStr">
        <is>
          <t>5 x 2hr 1-2-1's Offer</t>
        </is>
      </c>
      <c r="G332" s="1349" t="inlineStr">
        <is>
          <t>Existing</t>
        </is>
      </c>
    </row>
    <row r="333" ht="13.5" customHeight="1" s="1232">
      <c r="A333" s="1348" t="n">
        <v>44423</v>
      </c>
      <c r="B333" s="1349" t="inlineStr">
        <is>
          <t>Catherine Whitehouse</t>
        </is>
      </c>
      <c r="C333" s="1350" t="inlineStr">
        <is>
          <t>2. Workshops</t>
        </is>
      </c>
      <c r="D333" s="1349" t="inlineStr">
        <is>
          <t>Stripe</t>
        </is>
      </c>
      <c r="E333" s="1351" t="n">
        <v>50</v>
      </c>
      <c r="F333" s="1349" t="inlineStr">
        <is>
          <t>Christmas Walk</t>
        </is>
      </c>
      <c r="G333" s="1349" t="inlineStr">
        <is>
          <t>Existing</t>
        </is>
      </c>
    </row>
    <row r="334" ht="13.5" customHeight="1" s="1232">
      <c r="A334" s="1348" t="n">
        <v>44422</v>
      </c>
      <c r="B334" s="1349" t="inlineStr">
        <is>
          <t>Johanna Stansfield</t>
        </is>
      </c>
      <c r="C334" s="1350" t="inlineStr">
        <is>
          <t>4. Pick n Mix Out</t>
        </is>
      </c>
      <c r="D334" s="1349" t="inlineStr">
        <is>
          <t>PicknMix</t>
        </is>
      </c>
      <c r="E334" s="1351" t="n">
        <v>-150</v>
      </c>
      <c r="F334" s="1349" t="inlineStr">
        <is>
          <t>Batsford</t>
        </is>
      </c>
      <c r="G334" s="1349" t="inlineStr">
        <is>
          <t>Existing</t>
        </is>
      </c>
    </row>
    <row r="335" ht="13.5" customHeight="1" s="1232">
      <c r="A335" s="1348" t="n">
        <v>44422</v>
      </c>
      <c r="B335" s="1349" t="inlineStr">
        <is>
          <t>Johanna Stansfield</t>
        </is>
      </c>
      <c r="C335" s="1350" t="inlineStr">
        <is>
          <t>2. Workshops</t>
        </is>
      </c>
      <c r="D335" s="1349" t="inlineStr">
        <is>
          <t>PicknMix</t>
        </is>
      </c>
      <c r="E335" s="1351" t="n">
        <v>150</v>
      </c>
      <c r="F335" s="1349" t="inlineStr">
        <is>
          <t>Batsford</t>
        </is>
      </c>
      <c r="G335" s="1349" t="inlineStr">
        <is>
          <t>Existing</t>
        </is>
      </c>
    </row>
    <row r="336" ht="13.5" customHeight="1" s="1232">
      <c r="A336" s="1348" t="n">
        <v>44422</v>
      </c>
      <c r="B336" s="1349" t="inlineStr">
        <is>
          <t>Johanna Stansfield</t>
        </is>
      </c>
      <c r="C336" s="1350" t="inlineStr">
        <is>
          <t>4. Pick n Mix Out</t>
        </is>
      </c>
      <c r="D336" s="1349" t="inlineStr">
        <is>
          <t>PicknMix</t>
        </is>
      </c>
      <c r="E336" s="1351" t="n">
        <v>-600</v>
      </c>
      <c r="F336" s="1349" t="inlineStr">
        <is>
          <t>Premium Mentoring</t>
        </is>
      </c>
      <c r="G336" s="1349" t="inlineStr">
        <is>
          <t>Existing</t>
        </is>
      </c>
    </row>
    <row r="337" ht="13.5" customHeight="1" s="1232">
      <c r="A337" s="1348" t="n">
        <v>44422</v>
      </c>
      <c r="B337" s="1349" t="inlineStr">
        <is>
          <t>Johanna Stansfield</t>
        </is>
      </c>
      <c r="C337" s="1350" t="inlineStr">
        <is>
          <t>5. Mentoring</t>
        </is>
      </c>
      <c r="D337" s="1349" t="inlineStr">
        <is>
          <t>PicknMix</t>
        </is>
      </c>
      <c r="E337" s="1351" t="n">
        <v>600</v>
      </c>
      <c r="F337" s="1349" t="inlineStr">
        <is>
          <t>Premium Mentoring</t>
        </is>
      </c>
      <c r="G337" s="1349" t="inlineStr">
        <is>
          <t>Existing</t>
        </is>
      </c>
    </row>
    <row r="338" ht="13.5" customHeight="1" s="1232">
      <c r="A338" s="1348" t="n">
        <v>44422</v>
      </c>
      <c r="B338" s="1349" t="inlineStr">
        <is>
          <t>Johanna Stansfield</t>
        </is>
      </c>
      <c r="C338" s="1350" t="inlineStr">
        <is>
          <t>4. Pick n Mix Out</t>
        </is>
      </c>
      <c r="D338" s="1349" t="inlineStr">
        <is>
          <t>PicknMix</t>
        </is>
      </c>
      <c r="E338" s="1351" t="n">
        <v>-50</v>
      </c>
      <c r="F338" s="1349" t="inlineStr">
        <is>
          <t>Chesterton</t>
        </is>
      </c>
      <c r="G338" s="1349" t="inlineStr">
        <is>
          <t>Existing</t>
        </is>
      </c>
    </row>
    <row r="339" ht="13.5" customHeight="1" s="1232">
      <c r="A339" s="1348" t="n">
        <v>44422</v>
      </c>
      <c r="B339" s="1349" t="inlineStr">
        <is>
          <t>Johanna Stansfield</t>
        </is>
      </c>
      <c r="C339" s="1350" t="inlineStr">
        <is>
          <t>2. Workshops</t>
        </is>
      </c>
      <c r="D339" s="1349" t="inlineStr">
        <is>
          <t>PicknMix</t>
        </is>
      </c>
      <c r="E339" s="1351" t="n">
        <v>50</v>
      </c>
      <c r="F339" s="1349" t="inlineStr">
        <is>
          <t>Chesterton</t>
        </is>
      </c>
      <c r="G339" s="1349" t="inlineStr">
        <is>
          <t>Existing</t>
        </is>
      </c>
    </row>
    <row r="340" ht="13.5" customHeight="1" s="1232">
      <c r="A340" s="1348" t="n">
        <v>44422</v>
      </c>
      <c r="B340" s="1349" t="inlineStr">
        <is>
          <t>Johanna Stansfield</t>
        </is>
      </c>
      <c r="C340" s="1350" t="inlineStr">
        <is>
          <t>4. Pick n Mix Out</t>
        </is>
      </c>
      <c r="D340" s="1349" t="inlineStr">
        <is>
          <t>PicknMix</t>
        </is>
      </c>
      <c r="E340" s="1351" t="n">
        <v>-50</v>
      </c>
      <c r="F340" s="1349" t="inlineStr">
        <is>
          <t>Christmas Walk</t>
        </is>
      </c>
      <c r="G340" s="1349" t="inlineStr">
        <is>
          <t>Existing</t>
        </is>
      </c>
    </row>
    <row r="341" ht="13.5" customHeight="1" s="1232">
      <c r="A341" s="1348" t="n">
        <v>44422</v>
      </c>
      <c r="B341" s="1349" t="inlineStr">
        <is>
          <t>Johanna Stansfield</t>
        </is>
      </c>
      <c r="C341" s="1350" t="inlineStr">
        <is>
          <t>2. Workshops</t>
        </is>
      </c>
      <c r="D341" s="1349" t="inlineStr">
        <is>
          <t>PicknMix</t>
        </is>
      </c>
      <c r="E341" s="1351" t="n">
        <v>50</v>
      </c>
      <c r="F341" s="1349" t="inlineStr">
        <is>
          <t>Christmas Walk</t>
        </is>
      </c>
      <c r="G341" s="1349" t="inlineStr">
        <is>
          <t>Existing</t>
        </is>
      </c>
    </row>
    <row r="342" ht="13.5" customHeight="1" s="1232">
      <c r="A342" s="1348" t="n">
        <v>44420</v>
      </c>
      <c r="B342" s="1349" t="inlineStr">
        <is>
          <t>Mark Nathan</t>
        </is>
      </c>
      <c r="C342" s="1350" t="inlineStr">
        <is>
          <t>1. Courses/masterclasses</t>
        </is>
      </c>
      <c r="D342" s="1349" t="inlineStr">
        <is>
          <t>PayPal</t>
        </is>
      </c>
      <c r="E342" s="1351" t="n">
        <v>395</v>
      </c>
      <c r="F342" s="1349" t="inlineStr">
        <is>
          <t>RPS Course</t>
        </is>
      </c>
      <c r="G342" s="1349" t="inlineStr">
        <is>
          <t>Google</t>
        </is>
      </c>
    </row>
    <row r="343" ht="13.5" customHeight="1" s="1232">
      <c r="A343" s="1348" t="n">
        <v>44418</v>
      </c>
      <c r="B343" s="1349" t="inlineStr">
        <is>
          <t>The Heart of a Garden</t>
        </is>
      </c>
      <c r="C343" s="1350" t="inlineStr">
        <is>
          <t>9. Prints &amp; Royalties</t>
        </is>
      </c>
      <c r="D343" s="1349" t="inlineStr">
        <is>
          <t>Bank</t>
        </is>
      </c>
      <c r="E343" s="1351" t="n">
        <v>86.76000000000001</v>
      </c>
      <c r="F343" s="1349" t="inlineStr">
        <is>
          <t>Greeting Card Commission</t>
        </is>
      </c>
      <c r="G343" s="1349" t="inlineStr">
        <is>
          <t>Existing</t>
        </is>
      </c>
    </row>
    <row r="344" ht="13.5" customHeight="1" s="1232">
      <c r="A344" s="1348" t="n">
        <v>44417</v>
      </c>
      <c r="B344" s="1349" t="inlineStr">
        <is>
          <t>Karen Hoy</t>
        </is>
      </c>
      <c r="C344" s="1350" t="inlineStr">
        <is>
          <t>1. Courses/masterclasses</t>
        </is>
      </c>
      <c r="D344" s="1349" t="inlineStr">
        <is>
          <t>Stripe</t>
        </is>
      </c>
      <c r="E344" s="1351" t="n">
        <v>20</v>
      </c>
      <c r="F344" s="1349" t="inlineStr">
        <is>
          <t>Composition Zoom</t>
        </is>
      </c>
      <c r="G344" s="1349" t="inlineStr">
        <is>
          <t>Existing</t>
        </is>
      </c>
    </row>
    <row r="345" ht="13.5" customHeight="1" s="1232">
      <c r="A345" s="1348" t="n">
        <v>44417</v>
      </c>
      <c r="B345" s="1349" t="inlineStr">
        <is>
          <t>Karen Hoy</t>
        </is>
      </c>
      <c r="C345" s="1350" t="inlineStr">
        <is>
          <t>1. Courses/masterclasses</t>
        </is>
      </c>
      <c r="D345" s="1349" t="inlineStr">
        <is>
          <t>Stripe</t>
        </is>
      </c>
      <c r="E345" s="1351" t="n">
        <v>20</v>
      </c>
      <c r="F345" s="1349" t="inlineStr">
        <is>
          <t>Camera Craft Zoom</t>
        </is>
      </c>
      <c r="G345" s="1349" t="inlineStr">
        <is>
          <t>Existing</t>
        </is>
      </c>
    </row>
    <row r="346" ht="13.5" customHeight="1" s="1232">
      <c r="A346" s="1348" t="n">
        <v>44416</v>
      </c>
      <c r="B346" s="1349" t="inlineStr">
        <is>
          <t>Karen Hoy</t>
        </is>
      </c>
      <c r="C346" s="1350" t="inlineStr">
        <is>
          <t>1. Courses/masterclasses</t>
        </is>
      </c>
      <c r="D346" s="1349" t="inlineStr">
        <is>
          <t>Stripe</t>
        </is>
      </c>
      <c r="E346" s="1351" t="n">
        <v>20</v>
      </c>
      <c r="F346" s="1349" t="inlineStr">
        <is>
          <t>Get Off Auto Zoom</t>
        </is>
      </c>
      <c r="G346" s="1349" t="inlineStr">
        <is>
          <t>Google</t>
        </is>
      </c>
    </row>
    <row r="347" ht="13.5" customHeight="1" s="1232">
      <c r="A347" s="1348" t="n">
        <v>44414</v>
      </c>
      <c r="B347" s="1349" t="inlineStr">
        <is>
          <t>Julie Nicholds</t>
        </is>
      </c>
      <c r="C347" s="1350" t="inlineStr">
        <is>
          <t>2. Workshops</t>
        </is>
      </c>
      <c r="D347" s="1349" t="inlineStr">
        <is>
          <t>PayPal</t>
        </is>
      </c>
      <c r="E347" s="1351" t="n">
        <v>99</v>
      </c>
      <c r="F347" s="1349" t="inlineStr">
        <is>
          <t>Batsford</t>
        </is>
      </c>
      <c r="G347" s="1349" t="inlineStr">
        <is>
          <t>Google</t>
        </is>
      </c>
    </row>
    <row r="348" ht="13.5" customHeight="1" s="1232">
      <c r="A348" s="1348" t="n">
        <v>44411</v>
      </c>
      <c r="B348" s="1349" t="inlineStr">
        <is>
          <t>Richard Jefferies</t>
        </is>
      </c>
      <c r="C348" s="1350" t="inlineStr">
        <is>
          <t>2. Workshops</t>
        </is>
      </c>
      <c r="D348" s="1349" t="inlineStr">
        <is>
          <t>Stripe</t>
        </is>
      </c>
      <c r="E348" s="1351" t="n">
        <v>125</v>
      </c>
      <c r="F348" s="1349" t="inlineStr">
        <is>
          <t>Burnham LE Sunset</t>
        </is>
      </c>
      <c r="G348" s="1349" t="inlineStr">
        <is>
          <t>Existing</t>
        </is>
      </c>
    </row>
    <row r="349" ht="13.5" customHeight="1" s="1232">
      <c r="A349" s="1348" t="n">
        <v>44410</v>
      </c>
      <c r="B349" s="1349" t="inlineStr">
        <is>
          <t>John Clare</t>
        </is>
      </c>
      <c r="C349" s="1350" t="inlineStr">
        <is>
          <t>2. Workshops</t>
        </is>
      </c>
      <c r="D349" s="1349" t="inlineStr">
        <is>
          <t>Stripe</t>
        </is>
      </c>
      <c r="E349" s="1351" t="n">
        <v>125</v>
      </c>
      <c r="F349" s="1349" t="inlineStr">
        <is>
          <t>Burnham LE Sunset</t>
        </is>
      </c>
      <c r="G349" s="1349" t="inlineStr">
        <is>
          <t>Existing</t>
        </is>
      </c>
    </row>
    <row r="350" ht="13.5" customHeight="1" s="1232">
      <c r="A350" s="1348" t="n">
        <v>44410</v>
      </c>
      <c r="B350" s="1349" t="inlineStr">
        <is>
          <t>John Clare</t>
        </is>
      </c>
      <c r="C350" s="1350" t="inlineStr">
        <is>
          <t>2. Workshops</t>
        </is>
      </c>
      <c r="D350" s="1349" t="inlineStr">
        <is>
          <t>Stripe</t>
        </is>
      </c>
      <c r="E350" s="1351" t="n">
        <v>125</v>
      </c>
      <c r="F350" s="1349" t="inlineStr">
        <is>
          <t>Burnham LE Sunrise</t>
        </is>
      </c>
      <c r="G350" s="1349" t="inlineStr">
        <is>
          <t>Existing</t>
        </is>
      </c>
    </row>
    <row r="351" ht="13.5" customHeight="1" s="1232">
      <c r="A351" s="1348" t="n">
        <v>44409</v>
      </c>
      <c r="B351" s="1349" t="inlineStr">
        <is>
          <t>Darren Lee</t>
        </is>
      </c>
      <c r="C351" s="1350" t="inlineStr">
        <is>
          <t>1. Courses/masterclasses</t>
        </is>
      </c>
      <c r="D351" s="1349" t="inlineStr">
        <is>
          <t>Stripe</t>
        </is>
      </c>
      <c r="E351" s="1351" t="n">
        <v>30</v>
      </c>
      <c r="F351" s="1349" t="inlineStr">
        <is>
          <t>Get off Auto Kenilworth</t>
        </is>
      </c>
      <c r="G351" s="1349" t="inlineStr">
        <is>
          <t>Google</t>
        </is>
      </c>
    </row>
    <row r="352" ht="13.5" customHeight="1" s="1232">
      <c r="A352" s="1348" t="n">
        <v>44409</v>
      </c>
      <c r="B352" s="1349" t="inlineStr">
        <is>
          <t>Kirsten Pearce</t>
        </is>
      </c>
      <c r="C352" s="1350" t="inlineStr">
        <is>
          <t>6. 1-2-1</t>
        </is>
      </c>
      <c r="D352" s="1349" t="inlineStr">
        <is>
          <t>Stripe</t>
        </is>
      </c>
      <c r="E352" s="1351" t="n">
        <v>360</v>
      </c>
      <c r="F352" s="1349" t="inlineStr">
        <is>
          <t>5 x 2hr 1-2-1's Offer</t>
        </is>
      </c>
      <c r="G352" s="1349" t="inlineStr">
        <is>
          <t>Existing</t>
        </is>
      </c>
    </row>
    <row r="353" ht="13.5" customHeight="1" s="1232">
      <c r="A353" s="1348" t="n">
        <v>44409</v>
      </c>
      <c r="B353" s="1349" t="inlineStr">
        <is>
          <t>Johanna Stansfield</t>
        </is>
      </c>
      <c r="C353" s="1350" t="inlineStr">
        <is>
          <t>3. Pick n Mix Inc</t>
        </is>
      </c>
      <c r="D353" s="1349" t="inlineStr">
        <is>
          <t>Stripe</t>
        </is>
      </c>
      <c r="E353" s="1351" t="n">
        <v>100</v>
      </c>
      <c r="F353" s="1349" t="inlineStr">
        <is>
          <t>New Pick N Mix Payment</t>
        </is>
      </c>
      <c r="G353" s="1349" t="inlineStr">
        <is>
          <t>Existing</t>
        </is>
      </c>
    </row>
    <row r="354" ht="13.5" customHeight="1" s="1232">
      <c r="A354" s="1348" t="n">
        <v>44409</v>
      </c>
      <c r="B354" s="1349" t="inlineStr">
        <is>
          <t>Pick n Mix Subs</t>
        </is>
      </c>
      <c r="C354" s="1350" t="inlineStr">
        <is>
          <t>3. Pick n Mix Inc</t>
        </is>
      </c>
      <c r="D354" s="1349" t="inlineStr">
        <is>
          <t>Various</t>
        </is>
      </c>
      <c r="E354" s="1351" t="n">
        <v>75</v>
      </c>
      <c r="F354" s="1349" t="inlineStr">
        <is>
          <t>Pick N Mix Payments</t>
        </is>
      </c>
      <c r="G354" s="1349" t="inlineStr">
        <is>
          <t>Existing</t>
        </is>
      </c>
    </row>
    <row r="355" ht="13.5" customHeight="1" s="1232">
      <c r="A355" s="1348" t="n">
        <v>44409</v>
      </c>
      <c r="B355" s="1349" t="inlineStr">
        <is>
          <t>Mentoring Subs</t>
        </is>
      </c>
      <c r="C355" s="1350" t="inlineStr">
        <is>
          <t>5. Mentoring</t>
        </is>
      </c>
      <c r="D355" s="1350" t="inlineStr">
        <is>
          <t>Various</t>
        </is>
      </c>
      <c r="E355" s="1351" t="n">
        <v>60</v>
      </c>
      <c r="F355" s="1350" t="inlineStr">
        <is>
          <t>Mentoring Subs</t>
        </is>
      </c>
      <c r="G355" s="1350" t="inlineStr">
        <is>
          <t>Existing</t>
        </is>
      </c>
    </row>
    <row r="356" ht="13.5" customHeight="1" s="1232">
      <c r="A356" s="1348" t="n"/>
      <c r="B356" s="1349" t="n"/>
      <c r="C356" s="1350" t="n"/>
      <c r="D356" s="1349" t="n"/>
      <c r="E356" s="1351" t="n"/>
      <c r="F356" s="1349" t="n"/>
      <c r="G356" s="1349" t="n"/>
    </row>
    <row r="357" ht="13.5" customHeight="1" s="1232">
      <c r="A357" s="1348" t="n">
        <v>44406</v>
      </c>
      <c r="B357" s="1349" t="inlineStr">
        <is>
          <t>Artfullywalls</t>
        </is>
      </c>
      <c r="C357" s="1350" t="inlineStr">
        <is>
          <t>9. Prints &amp; Royalties</t>
        </is>
      </c>
      <c r="D357" s="1349" t="inlineStr">
        <is>
          <t>PayPal</t>
        </is>
      </c>
      <c r="E357" s="1351" t="n">
        <v>31.35</v>
      </c>
      <c r="F357" s="1349" t="inlineStr">
        <is>
          <t>Print Royalties</t>
        </is>
      </c>
      <c r="G357" s="1349" t="inlineStr">
        <is>
          <t>Existing</t>
        </is>
      </c>
    </row>
    <row r="358" ht="13.5" customHeight="1" s="1232">
      <c r="A358" s="1348" t="n">
        <v>44405</v>
      </c>
      <c r="B358" s="1349" t="inlineStr">
        <is>
          <t>Justina Prytula</t>
        </is>
      </c>
      <c r="C358" s="1350" t="inlineStr">
        <is>
          <t>6. 1-2-1</t>
        </is>
      </c>
      <c r="D358" s="1349" t="inlineStr">
        <is>
          <t>Stripe</t>
        </is>
      </c>
      <c r="E358" s="1351" t="n">
        <v>65</v>
      </c>
      <c r="F358" s="1349" t="inlineStr">
        <is>
          <t>Zoom 1-2-1 2hr</t>
        </is>
      </c>
      <c r="G358" s="1349" t="inlineStr">
        <is>
          <t>Existing</t>
        </is>
      </c>
    </row>
    <row r="359" ht="13.5" customHeight="1" s="1232">
      <c r="A359" s="1348" t="n">
        <v>44401</v>
      </c>
      <c r="B359" s="1349" t="inlineStr">
        <is>
          <t>Sandra Williams</t>
        </is>
      </c>
      <c r="C359" s="1350" t="inlineStr">
        <is>
          <t>5. Mentoring</t>
        </is>
      </c>
      <c r="D359" s="1349" t="inlineStr">
        <is>
          <t>Stripe</t>
        </is>
      </c>
      <c r="E359" s="1351" t="n">
        <v>20</v>
      </c>
      <c r="F359" s="1349" t="inlineStr">
        <is>
          <t>Monthly Mentoring</t>
        </is>
      </c>
      <c r="G359" s="1349" t="inlineStr">
        <is>
          <t>Google</t>
        </is>
      </c>
    </row>
    <row r="360" ht="13.5" customHeight="1" s="1232">
      <c r="A360" s="1348" t="n">
        <v>44405</v>
      </c>
      <c r="B360" s="1349" t="inlineStr">
        <is>
          <t>Nick Barber</t>
        </is>
      </c>
      <c r="C360" s="1350" t="inlineStr">
        <is>
          <t>6. 1-2-1</t>
        </is>
      </c>
      <c r="D360" s="1349" t="inlineStr">
        <is>
          <t>PayPal</t>
        </is>
      </c>
      <c r="E360" s="1351" t="n">
        <v>85</v>
      </c>
      <c r="F360" s="1352" t="inlineStr">
        <is>
          <t>2hrs 1-2-1</t>
        </is>
      </c>
      <c r="G360" s="1349" t="inlineStr">
        <is>
          <t>Existing</t>
        </is>
      </c>
    </row>
    <row r="361" ht="13.5" customHeight="1" s="1232">
      <c r="A361" s="1348" t="n">
        <v>44405</v>
      </c>
      <c r="B361" s="1349" t="inlineStr">
        <is>
          <t>Nick Barber</t>
        </is>
      </c>
      <c r="C361" s="1350" t="inlineStr">
        <is>
          <t>6. 1-2-1</t>
        </is>
      </c>
      <c r="D361" s="1349" t="inlineStr">
        <is>
          <t>PayPal</t>
        </is>
      </c>
      <c r="E361" s="1351" t="n">
        <v>65</v>
      </c>
      <c r="F361" s="1349" t="inlineStr">
        <is>
          <t>Zoom 1-2-1 2hr</t>
        </is>
      </c>
      <c r="G361" s="1349" t="inlineStr">
        <is>
          <t>Existing</t>
        </is>
      </c>
    </row>
    <row r="362" ht="13.5" customHeight="1" s="1232">
      <c r="A362" s="1348" t="n">
        <v>44405</v>
      </c>
      <c r="B362" s="1349" t="inlineStr">
        <is>
          <t>Nick Barber</t>
        </is>
      </c>
      <c r="C362" s="1350" t="inlineStr">
        <is>
          <t>6. 1-2-1</t>
        </is>
      </c>
      <c r="D362" s="1349" t="inlineStr">
        <is>
          <t>PayPal</t>
        </is>
      </c>
      <c r="E362" s="1351" t="n">
        <v>35</v>
      </c>
      <c r="F362" s="1349" t="inlineStr">
        <is>
          <t>Zoom 1-2-1 1hr</t>
        </is>
      </c>
      <c r="G362" s="1349" t="inlineStr">
        <is>
          <t>Existing</t>
        </is>
      </c>
    </row>
    <row r="363" ht="13.5" customHeight="1" s="1232">
      <c r="A363" s="1348" t="n">
        <v>44405</v>
      </c>
      <c r="B363" s="1349" t="inlineStr">
        <is>
          <t>Nick Barber</t>
        </is>
      </c>
      <c r="C363" s="1350" t="inlineStr">
        <is>
          <t>6. 1-2-1</t>
        </is>
      </c>
      <c r="D363" s="1349" t="inlineStr">
        <is>
          <t>PayPal</t>
        </is>
      </c>
      <c r="E363" s="1351" t="n">
        <v>35</v>
      </c>
      <c r="F363" s="1349" t="inlineStr">
        <is>
          <t>Zoom 1-2-1 1hr</t>
        </is>
      </c>
      <c r="G363" s="1349" t="inlineStr">
        <is>
          <t>Existing</t>
        </is>
      </c>
    </row>
    <row r="364" ht="13.5" customHeight="1" s="1232">
      <c r="A364" s="1348" t="n">
        <v>44399</v>
      </c>
      <c r="B364" s="1349" t="inlineStr">
        <is>
          <t>Sharon Hunt</t>
        </is>
      </c>
      <c r="C364" s="1350" t="inlineStr">
        <is>
          <t>11. Other</t>
        </is>
      </c>
      <c r="D364" s="1349" t="inlineStr">
        <is>
          <t>Stripe</t>
        </is>
      </c>
      <c r="E364" s="1351" t="n">
        <v>17</v>
      </c>
      <c r="F364" s="1349" t="inlineStr">
        <is>
          <t>Viewing Frames</t>
        </is>
      </c>
      <c r="G364" s="1349" t="inlineStr">
        <is>
          <t>Existing</t>
        </is>
      </c>
    </row>
    <row r="365" ht="13.5" customHeight="1" s="1232">
      <c r="A365" s="1348" t="n">
        <v>44399</v>
      </c>
      <c r="B365" s="1349" t="inlineStr">
        <is>
          <t>John Armstrong</t>
        </is>
      </c>
      <c r="C365" s="1350" t="inlineStr">
        <is>
          <t>6. 1-2-1</t>
        </is>
      </c>
      <c r="D365" s="1349" t="inlineStr">
        <is>
          <t>Stripe</t>
        </is>
      </c>
      <c r="E365" s="1351" t="n">
        <v>120</v>
      </c>
      <c r="F365" s="1352" t="inlineStr">
        <is>
          <t>Face to Face 1-2-1</t>
        </is>
      </c>
      <c r="G365" s="1349" t="inlineStr">
        <is>
          <t>Google</t>
        </is>
      </c>
    </row>
    <row r="366" ht="13.5" customHeight="1" s="1232">
      <c r="A366" s="1348" t="n">
        <v>44398</v>
      </c>
      <c r="B366" s="1349" t="inlineStr">
        <is>
          <t>Kirsty Wilkins</t>
        </is>
      </c>
      <c r="C366" s="1350" t="inlineStr">
        <is>
          <t>1. Courses/masterclasses</t>
        </is>
      </c>
      <c r="D366" s="1349" t="inlineStr">
        <is>
          <t>Stripe</t>
        </is>
      </c>
      <c r="E366" s="1351" t="n">
        <v>30</v>
      </c>
      <c r="F366" s="1349" t="inlineStr">
        <is>
          <t>Get Off Auto</t>
        </is>
      </c>
      <c r="G366" s="1349" t="inlineStr">
        <is>
          <t>Google</t>
        </is>
      </c>
    </row>
    <row r="367" ht="13.5" customHeight="1" s="1232">
      <c r="A367" s="1348" t="n">
        <v>44397</v>
      </c>
      <c r="B367" s="1349" t="inlineStr">
        <is>
          <t>Kirsten Pearce</t>
        </is>
      </c>
      <c r="C367" s="1350" t="inlineStr">
        <is>
          <t>4. Pick n Mix Out</t>
        </is>
      </c>
      <c r="D367" s="1349" t="inlineStr">
        <is>
          <t>PicknMix</t>
        </is>
      </c>
      <c r="E367" s="1351" t="n">
        <v>-200</v>
      </c>
      <c r="F367" s="1349" t="inlineStr">
        <is>
          <t>RPS Extension</t>
        </is>
      </c>
      <c r="G367" s="1349" t="inlineStr">
        <is>
          <t>Existing</t>
        </is>
      </c>
    </row>
    <row r="368" ht="13.5" customHeight="1" s="1232">
      <c r="A368" s="1348" t="n">
        <v>44397</v>
      </c>
      <c r="B368" s="1349" t="inlineStr">
        <is>
          <t>Kirsten Pearce</t>
        </is>
      </c>
      <c r="C368" s="1350" t="inlineStr">
        <is>
          <t>1. Courses/masterclasses</t>
        </is>
      </c>
      <c r="D368" s="1349" t="inlineStr">
        <is>
          <t>PicknMix</t>
        </is>
      </c>
      <c r="E368" s="1351" t="n">
        <v>200</v>
      </c>
      <c r="F368" s="1349" t="inlineStr">
        <is>
          <t>RPS Extension</t>
        </is>
      </c>
      <c r="G368" s="1349" t="inlineStr">
        <is>
          <t>Existing</t>
        </is>
      </c>
    </row>
    <row r="369" ht="13.5" customHeight="1" s="1232">
      <c r="A369" s="1348" t="n">
        <v>44397</v>
      </c>
      <c r="B369" s="1349" t="inlineStr">
        <is>
          <t>Dominika Bartonova</t>
        </is>
      </c>
      <c r="C369" s="1350" t="inlineStr">
        <is>
          <t>1. Courses/masterclasses</t>
        </is>
      </c>
      <c r="D369" s="1349" t="inlineStr">
        <is>
          <t>PayPal</t>
        </is>
      </c>
      <c r="E369" s="1351" t="n">
        <v>20</v>
      </c>
      <c r="F369" s="1349" t="inlineStr">
        <is>
          <t>Zoom Get Off Auto</t>
        </is>
      </c>
      <c r="G369" s="1349" t="inlineStr">
        <is>
          <t>Google</t>
        </is>
      </c>
    </row>
    <row r="370" ht="13.5" customHeight="1" s="1232">
      <c r="A370" s="1348" t="n">
        <v>44395</v>
      </c>
      <c r="B370" s="1349" t="inlineStr">
        <is>
          <t>John Stock</t>
        </is>
      </c>
      <c r="C370" s="1350" t="inlineStr">
        <is>
          <t>2. Workshops</t>
        </is>
      </c>
      <c r="D370" s="1349" t="inlineStr">
        <is>
          <t>Gift Voucher Out</t>
        </is>
      </c>
      <c r="E370" s="1351" t="n">
        <v>150</v>
      </c>
      <c r="F370" s="1349" t="inlineStr">
        <is>
          <t>Peak District</t>
        </is>
      </c>
      <c r="G370" s="1349" t="inlineStr">
        <is>
          <t>Google</t>
        </is>
      </c>
    </row>
    <row r="371" ht="13.5" customHeight="1" s="1232">
      <c r="A371" s="1348" t="n">
        <v>44395</v>
      </c>
      <c r="B371" s="1349" t="inlineStr">
        <is>
          <t>John Stock</t>
        </is>
      </c>
      <c r="C371" s="1350" t="inlineStr">
        <is>
          <t>8. Gift Vouchers Out</t>
        </is>
      </c>
      <c r="D371" s="1349" t="inlineStr">
        <is>
          <t>Gift Voucher Out</t>
        </is>
      </c>
      <c r="E371" s="1351" t="n">
        <v>-150</v>
      </c>
      <c r="F371" s="1349" t="inlineStr">
        <is>
          <t>Peak District</t>
        </is>
      </c>
      <c r="G371" s="1349" t="inlineStr">
        <is>
          <t>Google</t>
        </is>
      </c>
    </row>
    <row r="372" ht="13.5" customHeight="1" s="1232">
      <c r="A372" s="1348" t="n">
        <v>44395</v>
      </c>
      <c r="B372" s="1349" t="inlineStr">
        <is>
          <t>John Stock</t>
        </is>
      </c>
      <c r="C372" s="1350" t="inlineStr">
        <is>
          <t>2. Workshops</t>
        </is>
      </c>
      <c r="D372" s="1349" t="inlineStr">
        <is>
          <t>Gift Voucher Out</t>
        </is>
      </c>
      <c r="E372" s="1351" t="n">
        <v>150</v>
      </c>
      <c r="F372" s="1349" t="inlineStr">
        <is>
          <t>Peak District</t>
        </is>
      </c>
      <c r="G372" s="1349" t="inlineStr">
        <is>
          <t>Google</t>
        </is>
      </c>
    </row>
    <row r="373" ht="13.5" customHeight="1" s="1232">
      <c r="A373" s="1348" t="n">
        <v>44395</v>
      </c>
      <c r="B373" s="1349" t="inlineStr">
        <is>
          <t>John Stock</t>
        </is>
      </c>
      <c r="C373" s="1350" t="inlineStr">
        <is>
          <t>8. Gift Vouchers Out</t>
        </is>
      </c>
      <c r="D373" s="1349" t="inlineStr">
        <is>
          <t>Gift Voucher Out</t>
        </is>
      </c>
      <c r="E373" s="1351" t="n">
        <v>-150</v>
      </c>
      <c r="F373" s="1349" t="inlineStr">
        <is>
          <t>Peak District</t>
        </is>
      </c>
      <c r="G373" s="1349" t="inlineStr">
        <is>
          <t>Google</t>
        </is>
      </c>
    </row>
    <row r="374" ht="13.5" customHeight="1" s="1232">
      <c r="A374" s="1348" t="n">
        <v>44395</v>
      </c>
      <c r="B374" s="1349" t="inlineStr">
        <is>
          <t>Jane Stuart</t>
        </is>
      </c>
      <c r="C374" s="1350" t="inlineStr">
        <is>
          <t>6. 1-2-1</t>
        </is>
      </c>
      <c r="D374" s="1349" t="inlineStr">
        <is>
          <t>Stripe</t>
        </is>
      </c>
      <c r="E374" s="1351" t="n">
        <v>120</v>
      </c>
      <c r="F374" s="1352" t="inlineStr">
        <is>
          <t>1-2-1 2hrs Weekday</t>
        </is>
      </c>
      <c r="G374" s="1349" t="inlineStr">
        <is>
          <t>Google</t>
        </is>
      </c>
    </row>
    <row r="375" ht="13.5" customHeight="1" s="1232">
      <c r="A375" s="1348" t="n">
        <v>44392</v>
      </c>
      <c r="B375" s="1349" t="inlineStr">
        <is>
          <t>Ester Riordan</t>
        </is>
      </c>
      <c r="C375" s="1350" t="inlineStr">
        <is>
          <t>2. Workshops</t>
        </is>
      </c>
      <c r="D375" s="1349" t="inlineStr">
        <is>
          <t>PayPal</t>
        </is>
      </c>
      <c r="E375" s="1351" t="n">
        <v>275</v>
      </c>
      <c r="F375" s="1349" t="inlineStr">
        <is>
          <t>Hartland Workshop</t>
        </is>
      </c>
      <c r="G375" s="1349" t="inlineStr">
        <is>
          <t>Existing</t>
        </is>
      </c>
    </row>
    <row r="376" ht="13.5" customHeight="1" s="1232">
      <c r="A376" s="1348" t="n">
        <v>44391</v>
      </c>
      <c r="B376" s="1349" t="inlineStr">
        <is>
          <t>Flick Haigh</t>
        </is>
      </c>
      <c r="C376" s="1350" t="inlineStr">
        <is>
          <t>6. 1-2-1</t>
        </is>
      </c>
      <c r="D376" s="1349" t="inlineStr">
        <is>
          <t>PayPal</t>
        </is>
      </c>
      <c r="E376" s="1351" t="n">
        <v>35</v>
      </c>
      <c r="F376" s="1349" t="inlineStr">
        <is>
          <t>Zoom 1-2-1 1hr</t>
        </is>
      </c>
      <c r="G376" s="1349" t="inlineStr">
        <is>
          <t>Google</t>
        </is>
      </c>
    </row>
    <row r="377" ht="13.5" customHeight="1" s="1232">
      <c r="A377" s="1348" t="n">
        <v>44389</v>
      </c>
      <c r="B377" s="1349" t="inlineStr">
        <is>
          <t>Ester Riordan</t>
        </is>
      </c>
      <c r="C377" s="1350" t="inlineStr">
        <is>
          <t>4. Pick n Mix Out</t>
        </is>
      </c>
      <c r="D377" s="1349" t="inlineStr">
        <is>
          <t>PicknMix</t>
        </is>
      </c>
      <c r="E377" s="1351" t="n">
        <v>-200</v>
      </c>
      <c r="F377" s="1349" t="inlineStr">
        <is>
          <t>Hartland Workshop</t>
        </is>
      </c>
      <c r="G377" s="1349" t="inlineStr">
        <is>
          <t>Existing</t>
        </is>
      </c>
    </row>
    <row r="378" ht="13.5" customHeight="1" s="1232">
      <c r="A378" s="1348" t="n">
        <v>44389</v>
      </c>
      <c r="B378" s="1349" t="inlineStr">
        <is>
          <t>Ester Riordan</t>
        </is>
      </c>
      <c r="C378" s="1350" t="inlineStr">
        <is>
          <t>2. Workshops</t>
        </is>
      </c>
      <c r="D378" s="1349" t="inlineStr">
        <is>
          <t>PicknMix</t>
        </is>
      </c>
      <c r="E378" s="1351" t="n">
        <v>200</v>
      </c>
      <c r="F378" s="1349" t="inlineStr">
        <is>
          <t>Hartland Workshop</t>
        </is>
      </c>
      <c r="G378" s="1349" t="inlineStr">
        <is>
          <t>Existing</t>
        </is>
      </c>
    </row>
    <row r="379" ht="13.5" customHeight="1" s="1232">
      <c r="A379" s="1348" t="n">
        <v>44389</v>
      </c>
      <c r="B379" s="1349" t="inlineStr">
        <is>
          <t>Jennifer Box</t>
        </is>
      </c>
      <c r="C379" s="1350" t="inlineStr">
        <is>
          <t>2. Workshops</t>
        </is>
      </c>
      <c r="D379" s="1349" t="inlineStr">
        <is>
          <t>PayPal</t>
        </is>
      </c>
      <c r="E379" s="1351" t="n">
        <v>475</v>
      </c>
      <c r="F379" s="1349" t="inlineStr">
        <is>
          <t>Hartland Workshop</t>
        </is>
      </c>
      <c r="G379" s="1349" t="inlineStr">
        <is>
          <t>Existing</t>
        </is>
      </c>
    </row>
    <row r="380" ht="13.5" customHeight="1" s="1232">
      <c r="A380" s="1348" t="n">
        <v>44389</v>
      </c>
      <c r="B380" s="1349" t="inlineStr">
        <is>
          <t>Philip Martin</t>
        </is>
      </c>
      <c r="C380" s="1350" t="inlineStr">
        <is>
          <t>2. Workshops</t>
        </is>
      </c>
      <c r="D380" s="1349" t="inlineStr">
        <is>
          <t>Stripe</t>
        </is>
      </c>
      <c r="E380" s="1351" t="n">
        <v>425</v>
      </c>
      <c r="F380" s="1349" t="inlineStr">
        <is>
          <t>Hartland Workshop</t>
        </is>
      </c>
      <c r="G380" s="1349" t="inlineStr">
        <is>
          <t>Existing</t>
        </is>
      </c>
    </row>
    <row r="381" ht="13.5" customHeight="1" s="1232">
      <c r="A381" s="1348" t="n">
        <v>44388</v>
      </c>
      <c r="B381" s="1349" t="inlineStr">
        <is>
          <t>Gavin Horrell</t>
        </is>
      </c>
      <c r="C381" s="1350" t="inlineStr">
        <is>
          <t>2. Workshops</t>
        </is>
      </c>
      <c r="D381" s="1349" t="inlineStr">
        <is>
          <t>Stripe</t>
        </is>
      </c>
      <c r="E381" s="1351" t="n">
        <v>475</v>
      </c>
      <c r="F381" s="1349" t="inlineStr">
        <is>
          <t>Dorset Workshop</t>
        </is>
      </c>
      <c r="G381" s="1349" t="inlineStr">
        <is>
          <t>Google</t>
        </is>
      </c>
    </row>
    <row r="382" ht="13.5" customHeight="1" s="1232">
      <c r="A382" s="1348" t="n">
        <v>44388</v>
      </c>
      <c r="B382" s="1349" t="inlineStr">
        <is>
          <t>Susan Johnson</t>
        </is>
      </c>
      <c r="C382" s="1350" t="inlineStr">
        <is>
          <t>2. Workshops</t>
        </is>
      </c>
      <c r="D382" s="1349" t="inlineStr">
        <is>
          <t>PayPal</t>
        </is>
      </c>
      <c r="E382" s="1351" t="n">
        <v>425</v>
      </c>
      <c r="F382" s="1349" t="inlineStr">
        <is>
          <t>Hartland Workshop</t>
        </is>
      </c>
      <c r="G382" s="1349" t="inlineStr">
        <is>
          <t>Google</t>
        </is>
      </c>
    </row>
    <row r="383" ht="13.5" customHeight="1" s="1232">
      <c r="A383" s="1348" t="n">
        <v>44387</v>
      </c>
      <c r="B383" s="1349" t="inlineStr">
        <is>
          <t>Andrew Harrison</t>
        </is>
      </c>
      <c r="C383" s="1350" t="inlineStr">
        <is>
          <t>11. Other</t>
        </is>
      </c>
      <c r="D383" s="1349" t="inlineStr">
        <is>
          <t>Stripe</t>
        </is>
      </c>
      <c r="E383" s="1351" t="n">
        <v>17</v>
      </c>
      <c r="F383" s="1349" t="inlineStr">
        <is>
          <t>Viewing Frames</t>
        </is>
      </c>
      <c r="G383" s="1349" t="inlineStr">
        <is>
          <t>Google</t>
        </is>
      </c>
    </row>
    <row r="384" ht="13.5" customHeight="1" s="1232">
      <c r="A384" s="1348" t="n">
        <v>44386</v>
      </c>
      <c r="B384" s="1349" t="inlineStr">
        <is>
          <t>Nick Barber</t>
        </is>
      </c>
      <c r="C384" s="1350" t="inlineStr">
        <is>
          <t>6. 1-2-1</t>
        </is>
      </c>
      <c r="D384" s="1349" t="inlineStr">
        <is>
          <t>PayPal</t>
        </is>
      </c>
      <c r="E384" s="1351" t="n">
        <v>35</v>
      </c>
      <c r="F384" s="1349" t="inlineStr">
        <is>
          <t>1hr Zoom 1-2-1</t>
        </is>
      </c>
      <c r="G384" s="1349" t="inlineStr">
        <is>
          <t>Existing</t>
        </is>
      </c>
    </row>
    <row r="385" ht="13.5" customHeight="1" s="1232">
      <c r="A385" s="1348" t="n">
        <v>44385</v>
      </c>
      <c r="B385" s="1349" t="inlineStr">
        <is>
          <t>stuart brown</t>
        </is>
      </c>
      <c r="C385" s="1350" t="inlineStr">
        <is>
          <t>2. Workshops</t>
        </is>
      </c>
      <c r="D385" s="1349" t="inlineStr">
        <is>
          <t>Stripe</t>
        </is>
      </c>
      <c r="E385" s="1351" t="n">
        <v>150</v>
      </c>
      <c r="F385" s="1349" t="inlineStr">
        <is>
          <t>Batsford</t>
        </is>
      </c>
      <c r="G385" s="1349" t="inlineStr">
        <is>
          <t>Google</t>
        </is>
      </c>
    </row>
    <row r="386" ht="13.5" customHeight="1" s="1232">
      <c r="A386" s="1348" t="n">
        <v>44385</v>
      </c>
      <c r="B386" s="1349" t="inlineStr">
        <is>
          <t>Karen Clothier</t>
        </is>
      </c>
      <c r="C386" s="1350" t="inlineStr">
        <is>
          <t>9. Prints &amp; Royalties</t>
        </is>
      </c>
      <c r="D386" s="1349" t="inlineStr">
        <is>
          <t>Stripe</t>
        </is>
      </c>
      <c r="E386" s="1351" t="n">
        <v>100</v>
      </c>
      <c r="F386" s="1349" t="inlineStr">
        <is>
          <t>Framed Print</t>
        </is>
      </c>
      <c r="G386" s="1349" t="inlineStr">
        <is>
          <t>Existing</t>
        </is>
      </c>
    </row>
    <row r="387" ht="13.5" customHeight="1" s="1232">
      <c r="A387" s="1348" t="n">
        <v>44384</v>
      </c>
      <c r="B387" s="1349" t="inlineStr">
        <is>
          <t>Richard Picton-Jones</t>
        </is>
      </c>
      <c r="C387" s="1350" t="inlineStr">
        <is>
          <t>11. Other</t>
        </is>
      </c>
      <c r="D387" s="1349" t="inlineStr">
        <is>
          <t>Stripe</t>
        </is>
      </c>
      <c r="E387" s="1351" t="n">
        <v>25</v>
      </c>
      <c r="F387" s="1349" t="inlineStr">
        <is>
          <t>Sensor Clean</t>
        </is>
      </c>
      <c r="G387" s="1349" t="inlineStr">
        <is>
          <t>Existing</t>
        </is>
      </c>
    </row>
    <row r="388" ht="13.5" customHeight="1" s="1232">
      <c r="A388" s="1348" t="n">
        <v>44384</v>
      </c>
      <c r="B388" s="1349" t="inlineStr">
        <is>
          <t>Ruby-Anne Birin</t>
        </is>
      </c>
      <c r="C388" s="1350" t="inlineStr">
        <is>
          <t>2. Workshops</t>
        </is>
      </c>
      <c r="D388" s="1349" t="inlineStr">
        <is>
          <t>Stripe</t>
        </is>
      </c>
      <c r="E388" s="1351" t="n">
        <v>475</v>
      </c>
      <c r="F388" s="1349" t="inlineStr">
        <is>
          <t>Dorset</t>
        </is>
      </c>
      <c r="G388" s="1349" t="inlineStr">
        <is>
          <t>Google</t>
        </is>
      </c>
    </row>
    <row r="389" ht="13.5" customHeight="1" s="1232">
      <c r="A389" s="1348" t="n">
        <v>44379</v>
      </c>
      <c r="B389" s="1349" t="inlineStr">
        <is>
          <t>David Andringa</t>
        </is>
      </c>
      <c r="C389" s="1350" t="inlineStr">
        <is>
          <t>4. Pick n Mix Out</t>
        </is>
      </c>
      <c r="D389" s="1349" t="inlineStr">
        <is>
          <t>PicknMix</t>
        </is>
      </c>
      <c r="E389" s="1351" t="n">
        <v>-35</v>
      </c>
      <c r="F389" s="1349" t="inlineStr">
        <is>
          <t>Zoom 1-2-1 1hr</t>
        </is>
      </c>
      <c r="G389" s="1349" t="inlineStr">
        <is>
          <t>Existing</t>
        </is>
      </c>
    </row>
    <row r="390" ht="13.5" customHeight="1" s="1232">
      <c r="A390" s="1348" t="n">
        <v>44379</v>
      </c>
      <c r="B390" s="1349" t="inlineStr">
        <is>
          <t>David Andringa</t>
        </is>
      </c>
      <c r="C390" s="1350" t="inlineStr">
        <is>
          <t>6. 1-2-1</t>
        </is>
      </c>
      <c r="D390" s="1349" t="inlineStr">
        <is>
          <t>PicknMix</t>
        </is>
      </c>
      <c r="E390" s="1351" t="n">
        <v>35</v>
      </c>
      <c r="F390" s="1349" t="inlineStr">
        <is>
          <t>Zoom 1-2-1 1hr</t>
        </is>
      </c>
      <c r="G390" s="1349" t="inlineStr">
        <is>
          <t>Existing</t>
        </is>
      </c>
    </row>
    <row r="391" ht="13.5" customHeight="1" s="1232">
      <c r="A391" s="1348" t="n">
        <v>44378</v>
      </c>
      <c r="B391" s="1349" t="inlineStr">
        <is>
          <t>Nick Barber</t>
        </is>
      </c>
      <c r="C391" s="1350" t="inlineStr">
        <is>
          <t>6. 1-2-1</t>
        </is>
      </c>
      <c r="D391" s="1349" t="inlineStr">
        <is>
          <t>PayPal</t>
        </is>
      </c>
      <c r="E391" s="1351" t="n">
        <v>35</v>
      </c>
      <c r="F391" s="1349" t="inlineStr">
        <is>
          <t>Zoom 1-2-1 1hr</t>
        </is>
      </c>
      <c r="G391" s="1349" t="inlineStr">
        <is>
          <t>Google</t>
        </is>
      </c>
    </row>
    <row r="392" ht="13.5" customHeight="1" s="1232">
      <c r="A392" s="1348" t="n">
        <v>44378</v>
      </c>
      <c r="B392" s="1349" t="inlineStr">
        <is>
          <t>Pick n Mix Subs</t>
        </is>
      </c>
      <c r="C392" s="1350" t="inlineStr">
        <is>
          <t>3. Pick n Mix Inc</t>
        </is>
      </c>
      <c r="D392" s="1349" t="inlineStr">
        <is>
          <t>Various</t>
        </is>
      </c>
      <c r="E392" s="1351" t="n">
        <v>75</v>
      </c>
      <c r="F392" s="1349" t="inlineStr">
        <is>
          <t>Pick N Mix Payments</t>
        </is>
      </c>
      <c r="G392" s="1349" t="inlineStr">
        <is>
          <t>Existing</t>
        </is>
      </c>
    </row>
    <row r="393" ht="13.5" customHeight="1" s="1232">
      <c r="A393" s="1348" t="n">
        <v>44378</v>
      </c>
      <c r="B393" s="1349" t="inlineStr">
        <is>
          <t>Mentoring Subs</t>
        </is>
      </c>
      <c r="C393" s="1350" t="inlineStr">
        <is>
          <t>5. Mentoring</t>
        </is>
      </c>
      <c r="D393" s="1350" t="inlineStr">
        <is>
          <t>Various</t>
        </is>
      </c>
      <c r="E393" s="1392" t="n">
        <v>120</v>
      </c>
      <c r="F393" s="1350" t="inlineStr">
        <is>
          <t>Mentoring Subs</t>
        </is>
      </c>
      <c r="G393" s="1350" t="inlineStr">
        <is>
          <t>Existing</t>
        </is>
      </c>
    </row>
    <row r="394" ht="13.5" customHeight="1" s="1232">
      <c r="A394" s="1348" t="n"/>
      <c r="B394" s="1349" t="n"/>
      <c r="C394" s="1350" t="n"/>
      <c r="D394" s="1349" t="n"/>
      <c r="E394" s="1351" t="n"/>
      <c r="F394" s="1349" t="n"/>
      <c r="G394" s="1349" t="n"/>
    </row>
    <row r="395" ht="13.5" customHeight="1" s="1232">
      <c r="A395" s="1348" t="n">
        <v>44375</v>
      </c>
      <c r="B395" s="1349" t="inlineStr">
        <is>
          <t>Ken Doyle</t>
        </is>
      </c>
      <c r="C395" s="1350" t="inlineStr">
        <is>
          <t>2. Workshops</t>
        </is>
      </c>
      <c r="D395" s="1349" t="inlineStr">
        <is>
          <t>PayPal</t>
        </is>
      </c>
      <c r="E395" s="1351" t="n">
        <v>125</v>
      </c>
      <c r="F395" s="1349" t="inlineStr">
        <is>
          <t>Bluebells</t>
        </is>
      </c>
      <c r="G395" s="1349" t="inlineStr">
        <is>
          <t>Google</t>
        </is>
      </c>
    </row>
    <row r="396" ht="13.5" customHeight="1" s="1232">
      <c r="A396" s="1348" t="n">
        <v>44373</v>
      </c>
      <c r="B396" s="1349" t="inlineStr">
        <is>
          <t>Trevor Davis</t>
        </is>
      </c>
      <c r="C396" s="1350" t="inlineStr">
        <is>
          <t>2. Workshops</t>
        </is>
      </c>
      <c r="D396" s="1349" t="inlineStr">
        <is>
          <t>PayPal</t>
        </is>
      </c>
      <c r="E396" s="1351" t="n">
        <v>150</v>
      </c>
      <c r="F396" s="1349" t="inlineStr">
        <is>
          <t>Peak District</t>
        </is>
      </c>
      <c r="G396" s="1349" t="inlineStr">
        <is>
          <t>Google</t>
        </is>
      </c>
    </row>
    <row r="397" ht="13.5" customHeight="1" s="1232">
      <c r="A397" s="1348" t="n">
        <v>44372</v>
      </c>
      <c r="B397" s="1349" t="inlineStr">
        <is>
          <t>Aqefa Malik</t>
        </is>
      </c>
      <c r="C397" s="1350" t="inlineStr">
        <is>
          <t>6. 1-2-1</t>
        </is>
      </c>
      <c r="D397" s="1349" t="inlineStr">
        <is>
          <t>Stripe</t>
        </is>
      </c>
      <c r="E397" s="1351" t="n">
        <v>360</v>
      </c>
      <c r="F397" s="1349" t="inlineStr">
        <is>
          <t>4 x 2hr 1-2-1</t>
        </is>
      </c>
      <c r="G397" s="1349" t="inlineStr">
        <is>
          <t>Referral</t>
        </is>
      </c>
    </row>
    <row r="398" ht="13.5" customHeight="1" s="1232">
      <c r="A398" s="1348" t="n">
        <v>44371</v>
      </c>
      <c r="B398" s="1349" t="inlineStr">
        <is>
          <t>Sandy Woods</t>
        </is>
      </c>
      <c r="C398" s="1350" t="inlineStr">
        <is>
          <t>5. Mentoring</t>
        </is>
      </c>
      <c r="D398" s="1349" t="inlineStr">
        <is>
          <t>Stripe</t>
        </is>
      </c>
      <c r="E398" s="1351" t="n">
        <v>20</v>
      </c>
      <c r="F398" s="1349" t="inlineStr">
        <is>
          <t>Monthly Mentoring</t>
        </is>
      </c>
      <c r="G398" s="1349" t="inlineStr">
        <is>
          <t>Google</t>
        </is>
      </c>
    </row>
    <row r="399" ht="13.5" customHeight="1" s="1232">
      <c r="A399" s="1348" t="n">
        <v>44371</v>
      </c>
      <c r="B399" s="1349" t="inlineStr">
        <is>
          <t>Justina Prytula</t>
        </is>
      </c>
      <c r="C399" s="1350" t="inlineStr">
        <is>
          <t>2. Workshops</t>
        </is>
      </c>
      <c r="D399" s="1349" t="inlineStr">
        <is>
          <t>Stripe</t>
        </is>
      </c>
      <c r="E399" s="1351" t="n">
        <v>475</v>
      </c>
      <c r="F399" s="1349" t="inlineStr">
        <is>
          <t>Dorset Workshop</t>
        </is>
      </c>
      <c r="G399" s="1349" t="inlineStr">
        <is>
          <t>Google</t>
        </is>
      </c>
    </row>
    <row r="400" ht="13.5" customHeight="1" s="1232">
      <c r="A400" s="1348" t="n">
        <v>44371</v>
      </c>
      <c r="B400" s="1349" t="inlineStr">
        <is>
          <t>Stacey Kania</t>
        </is>
      </c>
      <c r="C400" s="1350" t="inlineStr">
        <is>
          <t>6. 1-2-1</t>
        </is>
      </c>
      <c r="D400" s="1349" t="inlineStr">
        <is>
          <t>PayPal</t>
        </is>
      </c>
      <c r="E400" s="1351" t="n">
        <v>360</v>
      </c>
      <c r="F400" s="1349" t="inlineStr">
        <is>
          <t>4 x2hr 1-2-1 Lessons</t>
        </is>
      </c>
      <c r="G400" s="1349" t="inlineStr">
        <is>
          <t>Google</t>
        </is>
      </c>
    </row>
    <row r="401" ht="13.5" customHeight="1" s="1232">
      <c r="A401" s="1348" t="n">
        <v>44368</v>
      </c>
      <c r="B401" s="1349" t="inlineStr">
        <is>
          <t>Wendy Ching</t>
        </is>
      </c>
      <c r="C401" s="1350" t="inlineStr">
        <is>
          <t>6. 1-2-1</t>
        </is>
      </c>
      <c r="D401" s="1349" t="inlineStr">
        <is>
          <t>Stripe</t>
        </is>
      </c>
      <c r="E401" s="1351" t="n">
        <v>50</v>
      </c>
      <c r="F401" s="1349" t="inlineStr">
        <is>
          <t>Zoom 1-2-1</t>
        </is>
      </c>
      <c r="G401" s="1349" t="inlineStr">
        <is>
          <t>Google</t>
        </is>
      </c>
    </row>
    <row r="402" ht="13.5" customHeight="1" s="1232">
      <c r="A402" s="1348" t="n">
        <v>44368</v>
      </c>
      <c r="B402" s="1349" t="inlineStr">
        <is>
          <t>Wendy Ching</t>
        </is>
      </c>
      <c r="C402" s="1350" t="inlineStr">
        <is>
          <t>6. 1-2-1</t>
        </is>
      </c>
      <c r="D402" s="1349" t="inlineStr">
        <is>
          <t>Stripe</t>
        </is>
      </c>
      <c r="E402" s="1351" t="n">
        <v>35</v>
      </c>
      <c r="F402" s="1349" t="inlineStr">
        <is>
          <t>Zoom 1-2-1</t>
        </is>
      </c>
      <c r="G402" s="1349" t="inlineStr">
        <is>
          <t>Google</t>
        </is>
      </c>
    </row>
    <row r="403" ht="13.5" customHeight="1" s="1232">
      <c r="A403" s="1348" t="n">
        <v>44368</v>
      </c>
      <c r="B403" s="1349" t="inlineStr">
        <is>
          <t>Amanda Graham</t>
        </is>
      </c>
      <c r="C403" s="1350" t="inlineStr">
        <is>
          <t>2. Workshops</t>
        </is>
      </c>
      <c r="D403" s="1349" t="inlineStr">
        <is>
          <t>PayPal</t>
        </is>
      </c>
      <c r="E403" s="1351" t="n">
        <v>18</v>
      </c>
      <c r="F403" s="1349" t="inlineStr">
        <is>
          <t>Batsford &amp; pick n mix</t>
        </is>
      </c>
      <c r="G403" s="1349" t="inlineStr">
        <is>
          <t>Existing</t>
        </is>
      </c>
    </row>
    <row r="404" ht="13.5" customHeight="1" s="1232">
      <c r="A404" s="1348" t="n">
        <v>44366</v>
      </c>
      <c r="B404" s="1349" t="inlineStr">
        <is>
          <t>Artfully Walls</t>
        </is>
      </c>
      <c r="C404" s="1350" t="inlineStr">
        <is>
          <t>9. Prints &amp; Royalties</t>
        </is>
      </c>
      <c r="D404" s="1349" t="inlineStr">
        <is>
          <t>PayPal</t>
        </is>
      </c>
      <c r="E404" s="1351" t="n">
        <v>46.52</v>
      </c>
      <c r="F404" s="1349" t="inlineStr">
        <is>
          <t>Prints</t>
        </is>
      </c>
      <c r="G404" s="1349" t="inlineStr">
        <is>
          <t>Existing</t>
        </is>
      </c>
    </row>
    <row r="405" ht="13.5" customHeight="1" s="1232">
      <c r="A405" s="1348" t="n">
        <v>44363</v>
      </c>
      <c r="B405" s="1349" t="inlineStr">
        <is>
          <t>Satveer Dosanjh</t>
        </is>
      </c>
      <c r="C405" s="1350" t="inlineStr">
        <is>
          <t>2. Workshops</t>
        </is>
      </c>
      <c r="D405" s="1349" t="inlineStr">
        <is>
          <t>Stripe</t>
        </is>
      </c>
      <c r="E405" s="1351" t="n">
        <v>85</v>
      </c>
      <c r="F405" s="1349" t="inlineStr">
        <is>
          <t>Fairy Glen</t>
        </is>
      </c>
      <c r="G405" s="1349" t="inlineStr">
        <is>
          <t>Google</t>
        </is>
      </c>
    </row>
    <row r="406" ht="13.5" customHeight="1" s="1232">
      <c r="A406" s="1348" t="n">
        <v>44362</v>
      </c>
      <c r="B406" s="1349" t="inlineStr">
        <is>
          <t>Christopher Stacey</t>
        </is>
      </c>
      <c r="C406" s="1350" t="inlineStr">
        <is>
          <t>8. Gift Vouchers Out</t>
        </is>
      </c>
      <c r="D406" s="1349" t="inlineStr">
        <is>
          <t>Gift Voucher Out</t>
        </is>
      </c>
      <c r="E406" s="1351" t="n">
        <v>-65</v>
      </c>
      <c r="F406" s="1349" t="inlineStr">
        <is>
          <t xml:space="preserve">1hr 1-2-1 </t>
        </is>
      </c>
      <c r="G406" s="1349" t="inlineStr">
        <is>
          <t>Existing</t>
        </is>
      </c>
    </row>
    <row r="407" ht="13.5" customHeight="1" s="1232">
      <c r="A407" s="1348" t="n">
        <v>44362</v>
      </c>
      <c r="B407" s="1349" t="inlineStr">
        <is>
          <t>Christopher Stacey</t>
        </is>
      </c>
      <c r="C407" s="1350" t="inlineStr">
        <is>
          <t>6. 1-2-1</t>
        </is>
      </c>
      <c r="D407" s="1349" t="inlineStr">
        <is>
          <t>Gift Voucher Out</t>
        </is>
      </c>
      <c r="E407" s="1351" t="n">
        <v>65</v>
      </c>
      <c r="F407" s="1349" t="inlineStr">
        <is>
          <t xml:space="preserve">1hr 1-2-1 </t>
        </is>
      </c>
      <c r="G407" s="1349" t="inlineStr">
        <is>
          <t>Existing</t>
        </is>
      </c>
    </row>
    <row r="408" ht="13.5" customHeight="1" s="1232">
      <c r="A408" s="1348" t="n">
        <v>44362</v>
      </c>
      <c r="B408" s="1349" t="inlineStr">
        <is>
          <t>John Clare</t>
        </is>
      </c>
      <c r="C408" s="1350" t="inlineStr">
        <is>
          <t>2. Workshops</t>
        </is>
      </c>
      <c r="D408" s="1349" t="inlineStr">
        <is>
          <t>PayPal</t>
        </is>
      </c>
      <c r="E408" s="1351" t="n">
        <v>85</v>
      </c>
      <c r="F408" s="1349" t="inlineStr">
        <is>
          <t>Anglesey</t>
        </is>
      </c>
      <c r="G408" s="1349" t="inlineStr">
        <is>
          <t>Google</t>
        </is>
      </c>
    </row>
    <row r="409" ht="13.5" customHeight="1" s="1232">
      <c r="A409" s="1348" t="n">
        <v>44362</v>
      </c>
      <c r="B409" s="1349" t="inlineStr">
        <is>
          <t>John Clare</t>
        </is>
      </c>
      <c r="C409" s="1350" t="inlineStr">
        <is>
          <t>2. Workshops</t>
        </is>
      </c>
      <c r="D409" s="1349" t="inlineStr">
        <is>
          <t>Stripe</t>
        </is>
      </c>
      <c r="E409" s="1351" t="n">
        <v>400</v>
      </c>
      <c r="F409" s="1349" t="inlineStr">
        <is>
          <t>Anglesey</t>
        </is>
      </c>
      <c r="G409" s="1349" t="inlineStr">
        <is>
          <t>Google</t>
        </is>
      </c>
    </row>
    <row r="410" ht="13.5" customHeight="1" s="1232">
      <c r="A410" s="1348" t="n">
        <v>44362</v>
      </c>
      <c r="B410" s="1349" t="inlineStr">
        <is>
          <t>Pure Photo</t>
        </is>
      </c>
      <c r="C410" s="1350" t="inlineStr">
        <is>
          <t>9. Prints &amp; Royalties</t>
        </is>
      </c>
      <c r="D410" s="1349" t="inlineStr">
        <is>
          <t>PayPal</t>
        </is>
      </c>
      <c r="E410" s="1351" t="n">
        <v>1167.33</v>
      </c>
      <c r="F410" s="1349" t="inlineStr">
        <is>
          <t>2 Print Sales</t>
        </is>
      </c>
      <c r="G410" s="1349" t="inlineStr">
        <is>
          <t>Existing</t>
        </is>
      </c>
    </row>
    <row r="411" ht="13.5" customHeight="1" s="1232">
      <c r="A411" s="1348" t="n">
        <v>44356</v>
      </c>
      <c r="B411" s="1349" t="inlineStr">
        <is>
          <t>Jane Robinson</t>
        </is>
      </c>
      <c r="C411" s="1350" t="inlineStr">
        <is>
          <t>7. Gift Vouchers Inc</t>
        </is>
      </c>
      <c r="D411" s="1349" t="inlineStr">
        <is>
          <t>Stripe</t>
        </is>
      </c>
      <c r="E411" s="1351" t="n">
        <v>50</v>
      </c>
      <c r="F411" s="1349" t="inlineStr">
        <is>
          <t>Digital Gift Card</t>
        </is>
      </c>
      <c r="G411" s="1349" t="inlineStr">
        <is>
          <t>Google</t>
        </is>
      </c>
    </row>
    <row r="412" ht="13.5" customHeight="1" s="1232">
      <c r="A412" s="1348" t="n">
        <v>44354</v>
      </c>
      <c r="B412" s="1349" t="inlineStr">
        <is>
          <t>Sandy Andringa</t>
        </is>
      </c>
      <c r="C412" s="1350" t="inlineStr">
        <is>
          <t>11. Other</t>
        </is>
      </c>
      <c r="D412" s="1349" t="inlineStr">
        <is>
          <t>Stripe</t>
        </is>
      </c>
      <c r="E412" s="1351" t="n">
        <v>15</v>
      </c>
      <c r="F412" s="1349" t="inlineStr">
        <is>
          <t>Viewing Frames</t>
        </is>
      </c>
      <c r="G412" s="1349" t="inlineStr">
        <is>
          <t>Existing</t>
        </is>
      </c>
    </row>
    <row r="413" ht="13.5" customHeight="1" s="1232">
      <c r="A413" s="1348" t="n">
        <v>44353</v>
      </c>
      <c r="B413" s="1349" t="inlineStr">
        <is>
          <t>Marie Milwain</t>
        </is>
      </c>
      <c r="C413" s="1350" t="inlineStr">
        <is>
          <t>2. Workshops</t>
        </is>
      </c>
      <c r="D413" s="1349" t="inlineStr">
        <is>
          <t>Stripe</t>
        </is>
      </c>
      <c r="E413" s="1351" t="n">
        <v>150</v>
      </c>
      <c r="F413" s="1349" t="inlineStr">
        <is>
          <t>Batsford Autumn</t>
        </is>
      </c>
      <c r="G413" s="1349" t="inlineStr">
        <is>
          <t>Google</t>
        </is>
      </c>
    </row>
    <row r="414" ht="13.5" customHeight="1" s="1232">
      <c r="A414" s="1348" t="n">
        <v>44352</v>
      </c>
      <c r="B414" s="1349" t="inlineStr">
        <is>
          <t>Robert Darts</t>
        </is>
      </c>
      <c r="C414" s="1350" t="inlineStr">
        <is>
          <t>11. Other</t>
        </is>
      </c>
      <c r="D414" s="1349" t="inlineStr">
        <is>
          <t>PayPal</t>
        </is>
      </c>
      <c r="E414" s="1351" t="n">
        <v>15.5</v>
      </c>
      <c r="F414" s="1349" t="inlineStr">
        <is>
          <t>Viewing Frames</t>
        </is>
      </c>
      <c r="G414" s="1349" t="inlineStr">
        <is>
          <t>Google</t>
        </is>
      </c>
    </row>
    <row r="415" ht="13.5" customHeight="1" s="1232">
      <c r="A415" s="1348" t="n">
        <v>44351</v>
      </c>
      <c r="B415" s="1349" t="inlineStr">
        <is>
          <t>Rajinder Johal</t>
        </is>
      </c>
      <c r="C415" s="1350" t="inlineStr">
        <is>
          <t>2. Workshops</t>
        </is>
      </c>
      <c r="D415" s="1349" t="inlineStr">
        <is>
          <t>Stripe</t>
        </is>
      </c>
      <c r="E415" s="1351" t="n">
        <v>75</v>
      </c>
      <c r="F415" s="1349" t="inlineStr">
        <is>
          <t>Poppies</t>
        </is>
      </c>
      <c r="G415" s="1349" t="inlineStr">
        <is>
          <t>Google</t>
        </is>
      </c>
    </row>
    <row r="416" ht="13.5" customHeight="1" s="1232">
      <c r="A416" s="1348" t="n">
        <v>44351</v>
      </c>
      <c r="B416" s="1349" t="inlineStr">
        <is>
          <t>Lisa King</t>
        </is>
      </c>
      <c r="C416" s="1350" t="inlineStr">
        <is>
          <t>6. 1-2-1</t>
        </is>
      </c>
      <c r="D416" s="1349" t="inlineStr">
        <is>
          <t>PayPal</t>
        </is>
      </c>
      <c r="E416" s="1351" t="n">
        <v>616.25</v>
      </c>
      <c r="F416" s="1352" t="inlineStr">
        <is>
          <t>1-2-1 Norfolk</t>
        </is>
      </c>
      <c r="G416" s="1349" t="inlineStr">
        <is>
          <t>Google</t>
        </is>
      </c>
    </row>
    <row r="417" ht="13.5" customHeight="1" s="1232">
      <c r="A417" s="1348" t="n">
        <v>44349</v>
      </c>
      <c r="B417" s="1349" t="inlineStr">
        <is>
          <t>Sally Wallace</t>
        </is>
      </c>
      <c r="C417" s="1350" t="inlineStr">
        <is>
          <t>8. Gift Vouchers Out</t>
        </is>
      </c>
      <c r="D417" s="1349" t="inlineStr">
        <is>
          <t>Gift Voucher Out</t>
        </is>
      </c>
      <c r="E417" s="1351" t="n">
        <v>-350</v>
      </c>
      <c r="F417" s="1349" t="inlineStr">
        <is>
          <t>4 x 2hr 1-2-1</t>
        </is>
      </c>
      <c r="G417" s="1349" t="inlineStr">
        <is>
          <t>Existing</t>
        </is>
      </c>
    </row>
    <row r="418" ht="13.5" customHeight="1" s="1232">
      <c r="A418" s="1348" t="n">
        <v>44349</v>
      </c>
      <c r="B418" s="1349" t="inlineStr">
        <is>
          <t>Sally Wallace</t>
        </is>
      </c>
      <c r="C418" s="1350" t="inlineStr">
        <is>
          <t>6. 1-2-1</t>
        </is>
      </c>
      <c r="D418" s="1349" t="inlineStr">
        <is>
          <t>Gift Voucher Out</t>
        </is>
      </c>
      <c r="E418" s="1351" t="n">
        <v>350</v>
      </c>
      <c r="F418" s="1349" t="inlineStr">
        <is>
          <t>4 x 2hr 1-2-1</t>
        </is>
      </c>
      <c r="G418" s="1349" t="inlineStr">
        <is>
          <t>Existing</t>
        </is>
      </c>
    </row>
    <row r="419" ht="13.5" customHeight="1" s="1232">
      <c r="A419" s="1348" t="n">
        <v>44349</v>
      </c>
      <c r="B419" s="1349" t="inlineStr">
        <is>
          <t>Sally Wallace</t>
        </is>
      </c>
      <c r="C419" s="1350" t="inlineStr">
        <is>
          <t>6. 1-2-1</t>
        </is>
      </c>
      <c r="D419" s="1349" t="inlineStr">
        <is>
          <t>Stripe</t>
        </is>
      </c>
      <c r="E419" s="1351" t="n">
        <v>10</v>
      </c>
      <c r="F419" s="1349" t="inlineStr">
        <is>
          <t>4 x 2hr 1-2-1</t>
        </is>
      </c>
      <c r="G419" s="1349" t="inlineStr">
        <is>
          <t>Existing</t>
        </is>
      </c>
    </row>
    <row r="420" ht="13.5" customHeight="1" s="1232">
      <c r="A420" s="1348" t="n">
        <v>44349</v>
      </c>
      <c r="B420" s="1349" t="inlineStr">
        <is>
          <t>Christopher Stacey</t>
        </is>
      </c>
      <c r="C420" s="1350" t="inlineStr">
        <is>
          <t>8. Gift Vouchers Out</t>
        </is>
      </c>
      <c r="D420" s="1349" t="inlineStr">
        <is>
          <t>Gift Voucher Out</t>
        </is>
      </c>
      <c r="E420" s="1351" t="n">
        <v>-65</v>
      </c>
      <c r="F420" s="1349" t="inlineStr">
        <is>
          <t>1hr 1-2-1 (Skype)</t>
        </is>
      </c>
      <c r="G420" s="1349" t="inlineStr">
        <is>
          <t>Existing</t>
        </is>
      </c>
    </row>
    <row r="421" ht="13.5" customHeight="1" s="1232">
      <c r="A421" s="1348" t="n">
        <v>44349</v>
      </c>
      <c r="B421" s="1349" t="inlineStr">
        <is>
          <t>Christopher Stacey</t>
        </is>
      </c>
      <c r="C421" s="1350" t="inlineStr">
        <is>
          <t>6. 1-2-1</t>
        </is>
      </c>
      <c r="D421" s="1349" t="inlineStr">
        <is>
          <t>Gift Voucher Out</t>
        </is>
      </c>
      <c r="E421" s="1351" t="n">
        <v>65</v>
      </c>
      <c r="F421" s="1349" t="inlineStr">
        <is>
          <t>1hr 1-2-1 (Skype)</t>
        </is>
      </c>
      <c r="G421" s="1349" t="inlineStr">
        <is>
          <t>Existing</t>
        </is>
      </c>
    </row>
    <row r="422" ht="13.5" customHeight="1" s="1232">
      <c r="A422" s="1348" t="n">
        <v>44348</v>
      </c>
      <c r="B422" s="1349" t="inlineStr">
        <is>
          <t>Pick n Mix Subs</t>
        </is>
      </c>
      <c r="C422" s="1350" t="inlineStr">
        <is>
          <t>3. Pick n Mix Inc</t>
        </is>
      </c>
      <c r="D422" s="1349" t="inlineStr">
        <is>
          <t>Various</t>
        </is>
      </c>
      <c r="E422" s="1351" t="n">
        <v>450</v>
      </c>
      <c r="F422" s="1349" t="inlineStr">
        <is>
          <t>Pick N Mix Payments</t>
        </is>
      </c>
      <c r="G422" s="1349" t="inlineStr">
        <is>
          <t>Existing</t>
        </is>
      </c>
    </row>
    <row r="423" ht="13.5" customHeight="1" s="1232">
      <c r="A423" s="1348" t="n">
        <v>44348</v>
      </c>
      <c r="B423" s="1349" t="inlineStr">
        <is>
          <t>Mentoring Subs</t>
        </is>
      </c>
      <c r="C423" s="1350" t="inlineStr">
        <is>
          <t>5. Mentoring</t>
        </is>
      </c>
      <c r="D423" s="1350" t="inlineStr">
        <is>
          <t>Various</t>
        </is>
      </c>
      <c r="E423" s="1392" t="n">
        <v>100</v>
      </c>
      <c r="F423" s="1350" t="inlineStr">
        <is>
          <t>Mentoring Subs</t>
        </is>
      </c>
      <c r="G423" s="1350" t="inlineStr">
        <is>
          <t>Existing</t>
        </is>
      </c>
    </row>
    <row r="424" ht="13.5" customHeight="1" s="1232">
      <c r="A424" s="1348" t="n"/>
      <c r="B424" s="1349" t="n"/>
      <c r="C424" s="1350" t="n"/>
      <c r="D424" s="1349" t="n"/>
      <c r="E424" s="1351" t="n"/>
      <c r="F424" s="1349" t="n"/>
      <c r="G424" s="1349" t="n"/>
    </row>
    <row r="425" ht="13.5" customHeight="1" s="1232">
      <c r="A425" s="1348" t="n">
        <v>44346</v>
      </c>
      <c r="B425" s="1349" t="inlineStr">
        <is>
          <t>Roberta Strambini</t>
        </is>
      </c>
      <c r="C425" s="1350" t="inlineStr">
        <is>
          <t>5. Mentoring</t>
        </is>
      </c>
      <c r="D425" s="1349" t="inlineStr">
        <is>
          <t>Stripe</t>
        </is>
      </c>
      <c r="E425" s="1351" t="n">
        <v>20</v>
      </c>
      <c r="F425" s="1349" t="inlineStr">
        <is>
          <t>Monthly Mentoring</t>
        </is>
      </c>
      <c r="G425" s="1349" t="inlineStr">
        <is>
          <t>Google</t>
        </is>
      </c>
    </row>
    <row r="426" ht="13.5" customHeight="1" s="1232">
      <c r="A426" s="1348" t="n">
        <v>44345</v>
      </c>
      <c r="B426" s="1349" t="inlineStr">
        <is>
          <t>Artfully Walls</t>
        </is>
      </c>
      <c r="C426" s="1350" t="inlineStr">
        <is>
          <t>9. Prints &amp; Royalties</t>
        </is>
      </c>
      <c r="D426" s="1349" t="inlineStr">
        <is>
          <t>PayPal</t>
        </is>
      </c>
      <c r="E426" s="1351" t="n">
        <v>39.34</v>
      </c>
      <c r="F426" s="1349" t="inlineStr">
        <is>
          <t>Print Sales</t>
        </is>
      </c>
      <c r="G426" s="1349" t="inlineStr">
        <is>
          <t>Existing</t>
        </is>
      </c>
    </row>
    <row r="427" ht="13.5" customHeight="1" s="1232">
      <c r="A427" s="1348" t="n">
        <v>44344</v>
      </c>
      <c r="B427" s="1349" t="inlineStr">
        <is>
          <t>Diensen Pamben</t>
        </is>
      </c>
      <c r="C427" s="1350" t="inlineStr">
        <is>
          <t>6. 1-2-1</t>
        </is>
      </c>
      <c r="D427" s="1349" t="inlineStr">
        <is>
          <t>PayPal</t>
        </is>
      </c>
      <c r="E427" s="1351" t="n">
        <v>35</v>
      </c>
      <c r="F427" s="1349" t="inlineStr">
        <is>
          <t>Zoom 1hr 1-2-1</t>
        </is>
      </c>
      <c r="G427" s="1349" t="inlineStr">
        <is>
          <t>Google</t>
        </is>
      </c>
    </row>
    <row r="428" ht="13.5" customHeight="1" s="1232">
      <c r="A428" s="1348" t="n">
        <v>44343</v>
      </c>
      <c r="B428" s="1349" t="inlineStr">
        <is>
          <t>Candida Edwards</t>
        </is>
      </c>
      <c r="C428" s="1350" t="inlineStr">
        <is>
          <t>1. Courses/masterclasses</t>
        </is>
      </c>
      <c r="D428" s="1349" t="inlineStr">
        <is>
          <t>PayPal</t>
        </is>
      </c>
      <c r="E428" s="1351" t="n">
        <v>30</v>
      </c>
      <c r="F428" s="1349" t="inlineStr">
        <is>
          <t>Get Off Auto</t>
        </is>
      </c>
      <c r="G428" s="1349" t="inlineStr">
        <is>
          <t>Google</t>
        </is>
      </c>
    </row>
    <row r="429" ht="13.5" customHeight="1" s="1232">
      <c r="A429" s="1348" t="n">
        <v>44343</v>
      </c>
      <c r="B429" s="1349" t="inlineStr">
        <is>
          <t>Karen Clothier</t>
        </is>
      </c>
      <c r="C429" s="1350" t="inlineStr">
        <is>
          <t>9. Prints &amp; Royalties</t>
        </is>
      </c>
      <c r="D429" s="1349" t="inlineStr">
        <is>
          <t>Stripe</t>
        </is>
      </c>
      <c r="E429" s="1351" t="n">
        <v>285</v>
      </c>
      <c r="F429" s="1349" t="inlineStr">
        <is>
          <t>Framed Print</t>
        </is>
      </c>
      <c r="G429" s="1349" t="inlineStr">
        <is>
          <t>Existing</t>
        </is>
      </c>
    </row>
    <row r="430" ht="13.5" customHeight="1" s="1232">
      <c r="A430" s="1348" t="n">
        <v>44342</v>
      </c>
      <c r="B430" s="1349" t="inlineStr">
        <is>
          <t>Gary Hillyer</t>
        </is>
      </c>
      <c r="C430" s="1350" t="inlineStr">
        <is>
          <t>1. Courses/masterclasses</t>
        </is>
      </c>
      <c r="D430" s="1349" t="inlineStr">
        <is>
          <t>Stripe</t>
        </is>
      </c>
      <c r="E430" s="1351" t="n">
        <v>250</v>
      </c>
      <c r="F430" s="1349" t="inlineStr">
        <is>
          <t>Lightroom Course</t>
        </is>
      </c>
      <c r="G430" s="1349" t="inlineStr">
        <is>
          <t>Existing</t>
        </is>
      </c>
    </row>
    <row r="431" ht="13.5" customHeight="1" s="1232">
      <c r="A431" s="1348" t="n">
        <v>44342</v>
      </c>
      <c r="B431" s="1349" t="inlineStr">
        <is>
          <t>David Andringa</t>
        </is>
      </c>
      <c r="C431" s="1350" t="inlineStr">
        <is>
          <t>4. Pick n Mix Out</t>
        </is>
      </c>
      <c r="D431" s="1349" t="inlineStr">
        <is>
          <t>PicknMix</t>
        </is>
      </c>
      <c r="E431" s="1351" t="n">
        <v>-45</v>
      </c>
      <c r="F431" s="1349" t="inlineStr">
        <is>
          <t>Fairy Glen</t>
        </is>
      </c>
      <c r="G431" s="1349" t="inlineStr">
        <is>
          <t>Existing</t>
        </is>
      </c>
    </row>
    <row r="432" ht="13.5" customHeight="1" s="1232">
      <c r="A432" s="1348" t="n">
        <v>44342</v>
      </c>
      <c r="B432" s="1349" t="inlineStr">
        <is>
          <t>David Andringa</t>
        </is>
      </c>
      <c r="C432" s="1350" t="inlineStr">
        <is>
          <t>6. 1-2-1</t>
        </is>
      </c>
      <c r="D432" s="1349" t="inlineStr">
        <is>
          <t>PicknMix</t>
        </is>
      </c>
      <c r="E432" s="1351" t="n">
        <v>45</v>
      </c>
      <c r="F432" s="1349" t="inlineStr">
        <is>
          <t>Fairy Glen</t>
        </is>
      </c>
      <c r="G432" s="1349" t="inlineStr">
        <is>
          <t>Existing</t>
        </is>
      </c>
    </row>
    <row r="433" ht="13.5" customHeight="1" s="1232">
      <c r="A433" s="1348" t="n">
        <v>44338</v>
      </c>
      <c r="B433" s="1349" t="inlineStr">
        <is>
          <t>michaela puffett</t>
        </is>
      </c>
      <c r="C433" s="1350" t="inlineStr">
        <is>
          <t>6. 1-2-1</t>
        </is>
      </c>
      <c r="D433" s="1349" t="inlineStr">
        <is>
          <t>Stripe</t>
        </is>
      </c>
      <c r="E433" s="1351" t="n">
        <v>65</v>
      </c>
      <c r="F433" s="1349" t="inlineStr">
        <is>
          <t>1hr 1-2-1 Lesson</t>
        </is>
      </c>
      <c r="G433" s="1349" t="inlineStr">
        <is>
          <t>Existing</t>
        </is>
      </c>
    </row>
    <row r="434" ht="13.5" customHeight="1" s="1232">
      <c r="A434" s="1348" t="n">
        <v>44338</v>
      </c>
      <c r="B434" s="1349" t="inlineStr">
        <is>
          <t>Nisha Jha</t>
        </is>
      </c>
      <c r="C434" s="1350" t="inlineStr">
        <is>
          <t>6. 1-2-1</t>
        </is>
      </c>
      <c r="D434" s="1349" t="inlineStr">
        <is>
          <t>Stripe</t>
        </is>
      </c>
      <c r="E434" s="1351" t="n">
        <v>360</v>
      </c>
      <c r="F434" s="1349" t="inlineStr">
        <is>
          <t>4 x 2hr 1-2-1 Lessons</t>
        </is>
      </c>
      <c r="G434" s="1349" t="inlineStr">
        <is>
          <t>Google</t>
        </is>
      </c>
    </row>
    <row r="435" ht="13.5" customHeight="1" s="1232">
      <c r="A435" s="1348" t="n">
        <v>44338</v>
      </c>
      <c r="B435" s="1349" t="inlineStr">
        <is>
          <t>Janet Boulter</t>
        </is>
      </c>
      <c r="C435" s="1350" t="inlineStr">
        <is>
          <t>1. Courses/masterclasses</t>
        </is>
      </c>
      <c r="D435" s="1349" t="inlineStr">
        <is>
          <t>Stripe</t>
        </is>
      </c>
      <c r="E435" s="1351" t="n">
        <v>27.5</v>
      </c>
      <c r="F435" s="1349" t="inlineStr">
        <is>
          <t>Zoom - NIK 4</t>
        </is>
      </c>
      <c r="G435" s="1349" t="inlineStr">
        <is>
          <t>Existing</t>
        </is>
      </c>
    </row>
    <row r="436" ht="13.5" customHeight="1" s="1232">
      <c r="A436" s="1348" t="n">
        <v>44334</v>
      </c>
      <c r="B436" s="1349" t="inlineStr">
        <is>
          <t>Gary Hillyer</t>
        </is>
      </c>
      <c r="C436" s="1350" t="inlineStr">
        <is>
          <t>11. Other</t>
        </is>
      </c>
      <c r="D436" s="1349" t="inlineStr">
        <is>
          <t>Stripe</t>
        </is>
      </c>
      <c r="E436" s="1351" t="n">
        <v>17</v>
      </c>
      <c r="F436" s="1349" t="inlineStr">
        <is>
          <t>Viewing Frames</t>
        </is>
      </c>
      <c r="G436" s="1349" t="inlineStr">
        <is>
          <t>Existing</t>
        </is>
      </c>
    </row>
    <row r="437" ht="13.5" customHeight="1" s="1232">
      <c r="A437" s="1348" t="n">
        <v>44334</v>
      </c>
      <c r="B437" s="1349" t="inlineStr">
        <is>
          <t>Jan Tokar</t>
        </is>
      </c>
      <c r="C437" s="1350" t="inlineStr">
        <is>
          <t>10 Commissions</t>
        </is>
      </c>
      <c r="D437" s="1349" t="inlineStr">
        <is>
          <t>PayPal</t>
        </is>
      </c>
      <c r="E437" s="1351" t="n">
        <v>150</v>
      </c>
      <c r="F437" s="1349" t="inlineStr">
        <is>
          <t>Food Photos</t>
        </is>
      </c>
      <c r="G437" s="1349" t="inlineStr">
        <is>
          <t>Google</t>
        </is>
      </c>
    </row>
    <row r="438" ht="13.5" customHeight="1" s="1232">
      <c r="A438" s="1348" t="n">
        <v>44332</v>
      </c>
      <c r="B438" s="1349" t="inlineStr">
        <is>
          <t>Fred Cook</t>
        </is>
      </c>
      <c r="C438" s="1350" t="inlineStr">
        <is>
          <t>11. Other</t>
        </is>
      </c>
      <c r="D438" s="1349" t="inlineStr">
        <is>
          <t>PayPal</t>
        </is>
      </c>
      <c r="E438" s="1351" t="n">
        <v>16.6</v>
      </c>
      <c r="F438" s="1349" t="inlineStr">
        <is>
          <t>Viewing Frames</t>
        </is>
      </c>
      <c r="G438" s="1349" t="inlineStr">
        <is>
          <t>Existing</t>
        </is>
      </c>
    </row>
    <row r="439" ht="13.5" customHeight="1" s="1232">
      <c r="A439" s="1348" t="n">
        <v>44332</v>
      </c>
      <c r="B439" s="1349" t="inlineStr">
        <is>
          <t>Anne Rimmer</t>
        </is>
      </c>
      <c r="C439" s="1350" t="inlineStr">
        <is>
          <t>1. Courses/masterclasses</t>
        </is>
      </c>
      <c r="D439" s="1349" t="inlineStr">
        <is>
          <t>Stripe</t>
        </is>
      </c>
      <c r="E439" s="1351" t="n">
        <v>250</v>
      </c>
      <c r="F439" s="1349" t="inlineStr">
        <is>
          <t>5wk Beginners Photo Course</t>
        </is>
      </c>
      <c r="G439" s="1349" t="inlineStr">
        <is>
          <t>Google</t>
        </is>
      </c>
    </row>
    <row r="440" ht="13.5" customHeight="1" s="1232">
      <c r="A440" s="1348" t="n">
        <v>44331</v>
      </c>
      <c r="B440" s="1349" t="inlineStr">
        <is>
          <t>Nicholas Brooks</t>
        </is>
      </c>
      <c r="C440" s="1350" t="inlineStr">
        <is>
          <t>1. Courses/masterclasses</t>
        </is>
      </c>
      <c r="D440" s="1349" t="inlineStr">
        <is>
          <t>Stripe</t>
        </is>
      </c>
      <c r="E440" s="1351" t="n">
        <v>250</v>
      </c>
      <c r="F440" s="1349" t="inlineStr">
        <is>
          <t>5wk Beginners Photo Course</t>
        </is>
      </c>
      <c r="G440" s="1349" t="inlineStr">
        <is>
          <t>Google</t>
        </is>
      </c>
    </row>
    <row r="441" ht="13.5" customHeight="1" s="1232">
      <c r="A441" s="1348" t="n">
        <v>44330</v>
      </c>
      <c r="B441" s="1349" t="inlineStr">
        <is>
          <t>John Whitehouse</t>
        </is>
      </c>
      <c r="C441" s="1350" t="inlineStr">
        <is>
          <t>2. Workshops</t>
        </is>
      </c>
      <c r="D441" s="1349" t="inlineStr">
        <is>
          <t>Stripe</t>
        </is>
      </c>
      <c r="E441" s="1351" t="n">
        <v>84.15000000000001</v>
      </c>
      <c r="F441" s="1349" t="inlineStr">
        <is>
          <t>Batsford Autumn</t>
        </is>
      </c>
      <c r="G441" s="1349" t="inlineStr">
        <is>
          <t>Existing</t>
        </is>
      </c>
    </row>
    <row r="442" ht="13.5" customHeight="1" s="1232">
      <c r="A442" s="1348" t="n">
        <v>44329</v>
      </c>
      <c r="B442" s="1349" t="inlineStr">
        <is>
          <t>David Andringa</t>
        </is>
      </c>
      <c r="C442" s="1350" t="inlineStr">
        <is>
          <t>4. Pick n Mix Out</t>
        </is>
      </c>
      <c r="D442" s="1349" t="inlineStr">
        <is>
          <t>PicknMix</t>
        </is>
      </c>
      <c r="E442" s="1351" t="n">
        <v>-60</v>
      </c>
      <c r="F442" s="1349" t="inlineStr">
        <is>
          <t>Anglesey</t>
        </is>
      </c>
      <c r="G442" s="1349" t="inlineStr">
        <is>
          <t>Existing</t>
        </is>
      </c>
    </row>
    <row r="443" ht="13.5" customHeight="1" s="1232">
      <c r="A443" s="1348" t="n">
        <v>44329</v>
      </c>
      <c r="B443" s="1349" t="inlineStr">
        <is>
          <t>David Andringa</t>
        </is>
      </c>
      <c r="C443" s="1350" t="inlineStr">
        <is>
          <t>6. 1-2-1</t>
        </is>
      </c>
      <c r="D443" s="1349" t="inlineStr">
        <is>
          <t>PicknMix</t>
        </is>
      </c>
      <c r="E443" s="1351" t="n">
        <v>60</v>
      </c>
      <c r="F443" s="1349" t="inlineStr">
        <is>
          <t>Anglesey</t>
        </is>
      </c>
      <c r="G443" s="1349" t="inlineStr">
        <is>
          <t>Existing</t>
        </is>
      </c>
    </row>
    <row r="444" ht="13.5" customHeight="1" s="1232">
      <c r="A444" s="1348" t="n">
        <v>44328</v>
      </c>
      <c r="B444" s="1349" t="inlineStr">
        <is>
          <t>Maeving _ Sib</t>
        </is>
      </c>
      <c r="C444" s="1350" t="inlineStr">
        <is>
          <t>10 Commissions</t>
        </is>
      </c>
      <c r="D444" s="1349" t="inlineStr">
        <is>
          <t>PayPal</t>
        </is>
      </c>
      <c r="E444" s="1351" t="n">
        <v>165</v>
      </c>
      <c r="F444" s="1349" t="inlineStr">
        <is>
          <t>Team Photo</t>
        </is>
      </c>
      <c r="G444" s="1349" t="inlineStr">
        <is>
          <t>Google</t>
        </is>
      </c>
    </row>
    <row r="445" ht="13.5" customHeight="1" s="1232">
      <c r="A445" s="1348" t="n">
        <v>44325</v>
      </c>
      <c r="B445" s="1349" t="inlineStr">
        <is>
          <t>Mattia Tosi</t>
        </is>
      </c>
      <c r="C445" s="1350" t="inlineStr">
        <is>
          <t>6. 1-2-1</t>
        </is>
      </c>
      <c r="D445" s="1349" t="inlineStr">
        <is>
          <t>PayPal</t>
        </is>
      </c>
      <c r="E445" s="1351" t="n">
        <v>52.5</v>
      </c>
      <c r="F445" s="1349" t="inlineStr">
        <is>
          <t>Zoom sessions x 4 x hrs</t>
        </is>
      </c>
      <c r="G445" s="1349" t="inlineStr">
        <is>
          <t>Existing</t>
        </is>
      </c>
    </row>
    <row r="446" ht="13.5" customHeight="1" s="1232">
      <c r="A446" s="1348" t="n">
        <v>44324</v>
      </c>
      <c r="B446" s="1349" t="inlineStr">
        <is>
          <t>David Andringa</t>
        </is>
      </c>
      <c r="C446" s="1350" t="inlineStr">
        <is>
          <t>4. Pick n Mix Out</t>
        </is>
      </c>
      <c r="D446" s="1349" t="inlineStr">
        <is>
          <t>PicknMix</t>
        </is>
      </c>
      <c r="E446" s="1351" t="n">
        <v>-85</v>
      </c>
      <c r="F446" s="1349" t="inlineStr">
        <is>
          <t>Fairy Glen</t>
        </is>
      </c>
      <c r="G446" s="1349" t="inlineStr">
        <is>
          <t>Existing</t>
        </is>
      </c>
    </row>
    <row r="447" ht="13.5" customHeight="1" s="1232">
      <c r="A447" s="1348" t="n">
        <v>44324</v>
      </c>
      <c r="B447" s="1349" t="inlineStr">
        <is>
          <t>David Andringa</t>
        </is>
      </c>
      <c r="C447" s="1350" t="inlineStr">
        <is>
          <t>2. Workshops</t>
        </is>
      </c>
      <c r="D447" s="1349" t="inlineStr">
        <is>
          <t>PicknMix</t>
        </is>
      </c>
      <c r="E447" s="1351" t="n">
        <v>85</v>
      </c>
      <c r="F447" s="1349" t="inlineStr">
        <is>
          <t>Fairy Glen</t>
        </is>
      </c>
      <c r="G447" s="1349" t="inlineStr">
        <is>
          <t>Existing</t>
        </is>
      </c>
    </row>
    <row r="448" ht="13.5" customHeight="1" s="1232">
      <c r="A448" s="1348" t="n">
        <v>44324</v>
      </c>
      <c r="B448" s="1349" t="inlineStr">
        <is>
          <t>David Andringa</t>
        </is>
      </c>
      <c r="C448" s="1350" t="inlineStr">
        <is>
          <t>4. Pick n Mix Out</t>
        </is>
      </c>
      <c r="D448" s="1349" t="inlineStr">
        <is>
          <t>PicknMix</t>
        </is>
      </c>
      <c r="E448" s="1351" t="n">
        <v>-475</v>
      </c>
      <c r="F448" s="1349" t="inlineStr">
        <is>
          <t>Anglesey</t>
        </is>
      </c>
      <c r="G448" s="1349" t="inlineStr">
        <is>
          <t>Existing</t>
        </is>
      </c>
    </row>
    <row r="449" ht="13.5" customHeight="1" s="1232">
      <c r="A449" s="1348" t="n">
        <v>44324</v>
      </c>
      <c r="B449" s="1349" t="inlineStr">
        <is>
          <t>David Andringa</t>
        </is>
      </c>
      <c r="C449" s="1350" t="inlineStr">
        <is>
          <t>2. Workshops</t>
        </is>
      </c>
      <c r="D449" s="1349" t="inlineStr">
        <is>
          <t>PicknMix</t>
        </is>
      </c>
      <c r="E449" s="1351" t="n">
        <v>475</v>
      </c>
      <c r="F449" s="1349" t="inlineStr">
        <is>
          <t>Anglesey</t>
        </is>
      </c>
      <c r="G449" s="1349" t="inlineStr">
        <is>
          <t>Existing</t>
        </is>
      </c>
    </row>
    <row r="450" ht="13.5" customHeight="1" s="1232">
      <c r="A450" s="1348" t="n">
        <v>44324</v>
      </c>
      <c r="B450" s="1349" t="inlineStr">
        <is>
          <t>David Andringa</t>
        </is>
      </c>
      <c r="C450" s="1350" t="inlineStr">
        <is>
          <t>2. Workshops</t>
        </is>
      </c>
      <c r="D450" s="1349" t="inlineStr">
        <is>
          <t>Bank</t>
        </is>
      </c>
      <c r="E450" s="1351" t="n">
        <v>85</v>
      </c>
      <c r="F450" s="1349" t="inlineStr">
        <is>
          <t>Anglesey extra night B&amp;B</t>
        </is>
      </c>
      <c r="G450" s="1349" t="inlineStr">
        <is>
          <t>Existing</t>
        </is>
      </c>
    </row>
    <row r="451" ht="13.5" customHeight="1" s="1232">
      <c r="A451" s="1348" t="n">
        <v>44324</v>
      </c>
      <c r="B451" s="1349" t="inlineStr">
        <is>
          <t>Gillian Perry</t>
        </is>
      </c>
      <c r="C451" s="1350" t="inlineStr">
        <is>
          <t>2. Workshops</t>
        </is>
      </c>
      <c r="D451" s="1349" t="inlineStr">
        <is>
          <t>PayPal</t>
        </is>
      </c>
      <c r="E451" s="1351" t="n">
        <v>75</v>
      </c>
      <c r="F451" s="1349" t="inlineStr">
        <is>
          <t>Poppy Workshop</t>
        </is>
      </c>
      <c r="G451" s="1349" t="inlineStr">
        <is>
          <t>Existing</t>
        </is>
      </c>
    </row>
    <row r="452" ht="13.5" customHeight="1" s="1232">
      <c r="A452" s="1348" t="n">
        <v>44324</v>
      </c>
      <c r="B452" s="1349" t="inlineStr">
        <is>
          <t>Jonathan Ellis</t>
        </is>
      </c>
      <c r="C452" s="1350" t="inlineStr">
        <is>
          <t>2. Workshops</t>
        </is>
      </c>
      <c r="D452" s="1349" t="inlineStr">
        <is>
          <t>Stripe</t>
        </is>
      </c>
      <c r="E452" s="1351" t="n">
        <v>63.75</v>
      </c>
      <c r="F452" s="1349" t="inlineStr">
        <is>
          <t>Poppy Workshop</t>
        </is>
      </c>
      <c r="G452" s="1349" t="inlineStr">
        <is>
          <t>Existing</t>
        </is>
      </c>
    </row>
    <row r="453" ht="13.5" customHeight="1" s="1232">
      <c r="A453" s="1348" t="n">
        <v>44323</v>
      </c>
      <c r="B453" s="1349" t="inlineStr">
        <is>
          <t>Karen Clothier</t>
        </is>
      </c>
      <c r="C453" s="1350" t="inlineStr">
        <is>
          <t>6. 1-2-1</t>
        </is>
      </c>
      <c r="D453" s="1349" t="inlineStr">
        <is>
          <t>Stripe</t>
        </is>
      </c>
      <c r="E453" s="1351">
        <f>SUM(1700)-1008</f>
        <v/>
      </c>
      <c r="F453" s="1349" t="inlineStr">
        <is>
          <t>Framing &amp; Prints</t>
        </is>
      </c>
      <c r="G453" s="1349" t="inlineStr">
        <is>
          <t>Existing</t>
        </is>
      </c>
    </row>
    <row r="454" ht="13.5" customHeight="1" s="1232">
      <c r="A454" s="1348" t="n">
        <v>44323</v>
      </c>
      <c r="B454" s="1349" t="inlineStr">
        <is>
          <t xml:space="preserve">Nick DeCianti </t>
        </is>
      </c>
      <c r="C454" s="1350" t="inlineStr">
        <is>
          <t>6. 1-2-1</t>
        </is>
      </c>
      <c r="D454" s="1349" t="inlineStr">
        <is>
          <t>Stripe</t>
        </is>
      </c>
      <c r="E454" s="1351" t="n">
        <v>35</v>
      </c>
      <c r="F454" s="1349" t="inlineStr">
        <is>
          <t>Zoom - 1-2-1</t>
        </is>
      </c>
      <c r="G454" s="1349" t="inlineStr">
        <is>
          <t>Google</t>
        </is>
      </c>
    </row>
    <row r="455" ht="13.5" customHeight="1" s="1232">
      <c r="A455" s="1348" t="n">
        <v>44323</v>
      </c>
      <c r="B455" s="1349" t="inlineStr">
        <is>
          <t>David Andringa</t>
        </is>
      </c>
      <c r="C455" s="1350" t="inlineStr">
        <is>
          <t>3. Pick n Mix Inc</t>
        </is>
      </c>
      <c r="D455" s="1349" t="inlineStr">
        <is>
          <t>Stripe</t>
        </is>
      </c>
      <c r="E455" s="1351" t="n">
        <v>75</v>
      </c>
      <c r="F455" s="1349" t="inlineStr">
        <is>
          <t>Pick N Mix Plan</t>
        </is>
      </c>
      <c r="G455" s="1349" t="inlineStr">
        <is>
          <t>Existing</t>
        </is>
      </c>
    </row>
    <row r="456" ht="13.5" customHeight="1" s="1232">
      <c r="A456" s="1348" t="n">
        <v>44321</v>
      </c>
      <c r="B456" s="1349" t="inlineStr">
        <is>
          <t>Artfully Walls</t>
        </is>
      </c>
      <c r="C456" s="1350" t="inlineStr">
        <is>
          <t>9. Prints &amp; Royalties</t>
        </is>
      </c>
      <c r="D456" s="1349" t="inlineStr">
        <is>
          <t>PayPal</t>
        </is>
      </c>
      <c r="E456" s="1351" t="n">
        <v>65.54000000000001</v>
      </c>
      <c r="F456" s="1349" t="inlineStr">
        <is>
          <t>Print Sales</t>
        </is>
      </c>
      <c r="G456" s="1349" t="inlineStr">
        <is>
          <t>Existing</t>
        </is>
      </c>
    </row>
    <row r="457" ht="13.5" customHeight="1" s="1232">
      <c r="A457" s="1348" t="n">
        <v>44319</v>
      </c>
      <c r="B457" s="1349" t="inlineStr">
        <is>
          <t>Karen Skillings</t>
        </is>
      </c>
      <c r="C457" s="1350" t="inlineStr">
        <is>
          <t>1. Courses/masterclasses</t>
        </is>
      </c>
      <c r="D457" s="1349" t="inlineStr">
        <is>
          <t>PayPal</t>
        </is>
      </c>
      <c r="E457" s="1351" t="n">
        <v>225</v>
      </c>
      <c r="F457" s="1349" t="inlineStr">
        <is>
          <t>5wk Beginners Photo Course</t>
        </is>
      </c>
      <c r="G457" s="1349" t="inlineStr">
        <is>
          <t>Existing</t>
        </is>
      </c>
    </row>
    <row r="458" ht="13.5" customHeight="1" s="1232">
      <c r="A458" s="1348" t="n">
        <v>44319</v>
      </c>
      <c r="B458" s="1349" t="inlineStr">
        <is>
          <t>Michael Jaye</t>
        </is>
      </c>
      <c r="C458" s="1350" t="inlineStr">
        <is>
          <t>1. Courses/masterclasses</t>
        </is>
      </c>
      <c r="D458" s="1349" t="inlineStr">
        <is>
          <t>Stripe</t>
        </is>
      </c>
      <c r="E458" s="1351" t="n">
        <v>225</v>
      </c>
      <c r="F458" s="1349" t="inlineStr">
        <is>
          <t>5wk Beginners Photo Course</t>
        </is>
      </c>
      <c r="G458" s="1349" t="inlineStr">
        <is>
          <t>Existing</t>
        </is>
      </c>
    </row>
    <row r="459" ht="13.5" customHeight="1" s="1232">
      <c r="A459" s="1348" t="n">
        <v>44317</v>
      </c>
      <c r="B459" s="1349" t="inlineStr">
        <is>
          <t>John Wright</t>
        </is>
      </c>
      <c r="C459" s="1350" t="inlineStr">
        <is>
          <t>1. Courses/masterclasses</t>
        </is>
      </c>
      <c r="D459" s="1349" t="inlineStr">
        <is>
          <t>Stripe</t>
        </is>
      </c>
      <c r="E459" s="1351" t="n">
        <v>20</v>
      </c>
      <c r="F459" s="1349" t="inlineStr">
        <is>
          <t>Zoom - Get Off Auto</t>
        </is>
      </c>
      <c r="G459" s="1349" t="inlineStr">
        <is>
          <t>Google</t>
        </is>
      </c>
    </row>
    <row r="460" ht="13.5" customHeight="1" s="1232">
      <c r="A460" s="1348" t="n">
        <v>44317</v>
      </c>
      <c r="B460" s="1349" t="inlineStr">
        <is>
          <t>Mariya Ranger</t>
        </is>
      </c>
      <c r="C460" s="1350" t="inlineStr">
        <is>
          <t>2. Workshops</t>
        </is>
      </c>
      <c r="D460" s="1349" t="inlineStr">
        <is>
          <t>Stripe</t>
        </is>
      </c>
      <c r="E460" s="1351" t="n">
        <v>12</v>
      </c>
      <c r="F460" s="1349" t="inlineStr">
        <is>
          <t>Woodland Walk</t>
        </is>
      </c>
      <c r="G460" s="1349" t="inlineStr">
        <is>
          <t>Google</t>
        </is>
      </c>
    </row>
    <row r="461" ht="13.5" customHeight="1" s="1232">
      <c r="A461" s="1348" t="n">
        <v>44317</v>
      </c>
      <c r="B461" s="1349" t="inlineStr">
        <is>
          <t>Mentoring Subs</t>
        </is>
      </c>
      <c r="C461" s="1350" t="inlineStr">
        <is>
          <t>5. Mentoring</t>
        </is>
      </c>
      <c r="D461" s="1350" t="inlineStr">
        <is>
          <t>Various</t>
        </is>
      </c>
      <c r="E461" s="1392" t="n">
        <v>80</v>
      </c>
      <c r="F461" s="1350" t="inlineStr">
        <is>
          <t>Mentoring Subs</t>
        </is>
      </c>
      <c r="G461" s="1350" t="inlineStr">
        <is>
          <t>Existing</t>
        </is>
      </c>
    </row>
    <row r="462" ht="13.5" customHeight="1" s="1232">
      <c r="A462" s="1348" t="n"/>
      <c r="B462" s="1349" t="n"/>
      <c r="C462" s="1350" t="n"/>
      <c r="D462" s="1349" t="n"/>
      <c r="E462" s="1351" t="n"/>
      <c r="F462" s="1349" t="n"/>
      <c r="G462" s="1349" t="n"/>
    </row>
    <row r="463" ht="13.5" customHeight="1" s="1232">
      <c r="A463" s="1348" t="n">
        <v>44315</v>
      </c>
      <c r="B463" s="1349" t="inlineStr">
        <is>
          <t>Sara Wakil</t>
        </is>
      </c>
      <c r="C463" s="1350" t="inlineStr">
        <is>
          <t>6. 1-2-1</t>
        </is>
      </c>
      <c r="D463" s="1349" t="inlineStr">
        <is>
          <t>Bank</t>
        </is>
      </c>
      <c r="E463" s="1351" t="n">
        <v>670</v>
      </c>
      <c r="F463" s="1352" t="inlineStr">
        <is>
          <t>1-2-1 Anglesey</t>
        </is>
      </c>
      <c r="G463" s="1349" t="inlineStr">
        <is>
          <t>Existing</t>
        </is>
      </c>
    </row>
    <row r="464" ht="13.5" customHeight="1" s="1232">
      <c r="A464" s="1348" t="n">
        <v>44315</v>
      </c>
      <c r="B464" s="1349" t="inlineStr">
        <is>
          <t>John Frith</t>
        </is>
      </c>
      <c r="C464" s="1350" t="inlineStr">
        <is>
          <t>1. Courses/masterclasses</t>
        </is>
      </c>
      <c r="D464" s="1349" t="inlineStr">
        <is>
          <t>Stripe</t>
        </is>
      </c>
      <c r="E464" s="1351" t="n">
        <v>250</v>
      </c>
      <c r="F464" s="1349" t="inlineStr">
        <is>
          <t>Beginners Lightroom</t>
        </is>
      </c>
      <c r="G464" s="1349" t="inlineStr">
        <is>
          <t>Google</t>
        </is>
      </c>
    </row>
    <row r="465" ht="13.5" customHeight="1" s="1232">
      <c r="A465" s="1348" t="n">
        <v>44314</v>
      </c>
      <c r="B465" s="1349" t="inlineStr">
        <is>
          <t>Wayne Wheeler</t>
        </is>
      </c>
      <c r="C465" s="1350" t="inlineStr">
        <is>
          <t>6. 1-2-1</t>
        </is>
      </c>
      <c r="D465" s="1349" t="inlineStr">
        <is>
          <t>Stripe</t>
        </is>
      </c>
      <c r="E465" s="1351" t="n">
        <v>360</v>
      </c>
      <c r="F465" s="1349" t="inlineStr">
        <is>
          <t>4 x 2hrs 1-2-1 Tuition</t>
        </is>
      </c>
      <c r="G465" s="1349" t="inlineStr">
        <is>
          <t>Google</t>
        </is>
      </c>
    </row>
    <row r="466" ht="13.5" customHeight="1" s="1232">
      <c r="A466" s="1348" t="n">
        <v>44310</v>
      </c>
      <c r="B466" s="1349" t="inlineStr">
        <is>
          <t>Sophie Pickersgill</t>
        </is>
      </c>
      <c r="C466" s="1350" t="inlineStr">
        <is>
          <t>1. Courses/masterclasses</t>
        </is>
      </c>
      <c r="D466" s="1349" t="inlineStr">
        <is>
          <t>Stripe</t>
        </is>
      </c>
      <c r="E466" s="1351" t="n">
        <v>20</v>
      </c>
      <c r="F466" s="1349" t="inlineStr">
        <is>
          <t>Zoom - Camera Craft</t>
        </is>
      </c>
      <c r="G466" s="1349" t="inlineStr">
        <is>
          <t>Existing</t>
        </is>
      </c>
    </row>
    <row r="467" ht="13.5" customHeight="1" s="1232">
      <c r="A467" s="1348" t="n">
        <v>44305</v>
      </c>
      <c r="B467" s="1349" t="inlineStr">
        <is>
          <t>Sarah Billington</t>
        </is>
      </c>
      <c r="C467" s="1350" t="inlineStr">
        <is>
          <t>2. Workshops</t>
        </is>
      </c>
      <c r="D467" s="1349" t="inlineStr">
        <is>
          <t>Stripe</t>
        </is>
      </c>
      <c r="E467" s="1351" t="n">
        <v>99</v>
      </c>
      <c r="F467" s="1349" t="inlineStr">
        <is>
          <t>Bluebells Workshop</t>
        </is>
      </c>
      <c r="G467" s="1349" t="inlineStr">
        <is>
          <t>Google</t>
        </is>
      </c>
    </row>
    <row r="468" ht="13.5" customHeight="1" s="1232">
      <c r="A468" s="1348" t="n">
        <v>44303</v>
      </c>
      <c r="B468" s="1349" t="inlineStr">
        <is>
          <t>Asad Syed</t>
        </is>
      </c>
      <c r="C468" s="1350" t="inlineStr">
        <is>
          <t>2. Workshops</t>
        </is>
      </c>
      <c r="D468" s="1349" t="inlineStr">
        <is>
          <t>Stripe</t>
        </is>
      </c>
      <c r="E468" s="1351" t="n">
        <v>198</v>
      </c>
      <c r="F468" s="1349" t="inlineStr">
        <is>
          <t>Bluebells Workshop</t>
        </is>
      </c>
      <c r="G468" s="1349" t="inlineStr">
        <is>
          <t>Google</t>
        </is>
      </c>
    </row>
    <row r="469" ht="13.5" customHeight="1" s="1232">
      <c r="A469" s="1348" t="n">
        <v>44303</v>
      </c>
      <c r="B469" s="1349" t="inlineStr">
        <is>
          <t>Andrew Senior</t>
        </is>
      </c>
      <c r="C469" s="1350" t="inlineStr">
        <is>
          <t>2. Workshops</t>
        </is>
      </c>
      <c r="D469" s="1349" t="inlineStr">
        <is>
          <t>Stripe</t>
        </is>
      </c>
      <c r="E469" s="1351" t="n">
        <v>99</v>
      </c>
      <c r="F469" s="1349" t="inlineStr">
        <is>
          <t>Bluebells Workshop</t>
        </is>
      </c>
      <c r="G469" s="1349" t="inlineStr">
        <is>
          <t>Referral</t>
        </is>
      </c>
    </row>
    <row r="470" ht="13.5" customHeight="1" s="1232">
      <c r="A470" s="1348" t="n">
        <v>44301</v>
      </c>
      <c r="B470" s="1349" t="inlineStr">
        <is>
          <t>Sarah Neville</t>
        </is>
      </c>
      <c r="C470" s="1350" t="inlineStr">
        <is>
          <t>2. Workshops</t>
        </is>
      </c>
      <c r="D470" s="1349" t="inlineStr">
        <is>
          <t>PayPal</t>
        </is>
      </c>
      <c r="E470" s="1351" t="n">
        <v>99</v>
      </c>
      <c r="F470" s="1349" t="inlineStr">
        <is>
          <t>Bluebells Workshop</t>
        </is>
      </c>
      <c r="G470" s="1349" t="inlineStr">
        <is>
          <t>Existing</t>
        </is>
      </c>
    </row>
    <row r="471" ht="13.5" customHeight="1" s="1232">
      <c r="A471" s="1348" t="n">
        <v>44301</v>
      </c>
      <c r="B471" s="1349" t="inlineStr">
        <is>
          <t>Martin Janes</t>
        </is>
      </c>
      <c r="C471" s="1350" t="inlineStr">
        <is>
          <t>2. Workshops</t>
        </is>
      </c>
      <c r="D471" s="1349" t="inlineStr">
        <is>
          <t>Stripe</t>
        </is>
      </c>
      <c r="E471" s="1351" t="n">
        <v>99</v>
      </c>
      <c r="F471" s="1349" t="inlineStr">
        <is>
          <t>Bluebells Workshop</t>
        </is>
      </c>
      <c r="G471" s="1349" t="inlineStr">
        <is>
          <t>Facebook</t>
        </is>
      </c>
    </row>
    <row r="472" ht="13.5" customHeight="1" s="1232">
      <c r="A472" s="1348" t="n">
        <v>44300</v>
      </c>
      <c r="B472" s="1349" t="inlineStr">
        <is>
          <t>Sophie Pickersgill</t>
        </is>
      </c>
      <c r="C472" s="1350" t="inlineStr">
        <is>
          <t>1. Courses/masterclasses</t>
        </is>
      </c>
      <c r="D472" s="1349" t="inlineStr">
        <is>
          <t>Stripe</t>
        </is>
      </c>
      <c r="E472" s="1351" t="n">
        <v>20</v>
      </c>
      <c r="F472" s="1349" t="inlineStr">
        <is>
          <t>Zoom - Get Off Auto</t>
        </is>
      </c>
      <c r="G472" s="1349" t="inlineStr">
        <is>
          <t>Google</t>
        </is>
      </c>
    </row>
    <row r="473" ht="13.5" customHeight="1" s="1232">
      <c r="A473" s="1348" t="n">
        <v>44298</v>
      </c>
      <c r="B473" s="1349" t="inlineStr">
        <is>
          <t>Emma Leech</t>
        </is>
      </c>
      <c r="C473" s="1350" t="inlineStr">
        <is>
          <t>2. Workshops</t>
        </is>
      </c>
      <c r="D473" s="1349" t="inlineStr">
        <is>
          <t>Stripe</t>
        </is>
      </c>
      <c r="E473" s="1351" t="n">
        <v>99</v>
      </c>
      <c r="F473" s="1349" t="inlineStr">
        <is>
          <t>Bluebells Workshop</t>
        </is>
      </c>
      <c r="G473" s="1349" t="inlineStr">
        <is>
          <t>Existing</t>
        </is>
      </c>
    </row>
    <row r="474" ht="13.5" customHeight="1" s="1232">
      <c r="A474" s="1348" t="n">
        <v>44296</v>
      </c>
      <c r="B474" s="1349" t="inlineStr">
        <is>
          <t>Judy Niner</t>
        </is>
      </c>
      <c r="C474" s="1350" t="inlineStr">
        <is>
          <t>2. Workshops</t>
        </is>
      </c>
      <c r="D474" s="1349" t="inlineStr">
        <is>
          <t>PayPal</t>
        </is>
      </c>
      <c r="E474" s="1351" t="n">
        <v>99</v>
      </c>
      <c r="F474" s="1349" t="inlineStr">
        <is>
          <t>Bluebells Workshop</t>
        </is>
      </c>
      <c r="G474" s="1349" t="inlineStr">
        <is>
          <t>Existing</t>
        </is>
      </c>
    </row>
    <row r="475" ht="13.5" customHeight="1" s="1232">
      <c r="A475" s="1348" t="n">
        <v>44296</v>
      </c>
      <c r="B475" s="1349" t="inlineStr">
        <is>
          <t>Tony Teague</t>
        </is>
      </c>
      <c r="C475" s="1350" t="inlineStr">
        <is>
          <t>2. Workshops</t>
        </is>
      </c>
      <c r="D475" s="1349" t="inlineStr">
        <is>
          <t>Stripe</t>
        </is>
      </c>
      <c r="E475" s="1351" t="n">
        <v>99</v>
      </c>
      <c r="F475" s="1349" t="inlineStr">
        <is>
          <t>Bluebells Workshop</t>
        </is>
      </c>
      <c r="G475" s="1349" t="inlineStr">
        <is>
          <t>Existing</t>
        </is>
      </c>
    </row>
    <row r="476" ht="13.5" customHeight="1" s="1232">
      <c r="A476" s="1348" t="n">
        <v>44295</v>
      </c>
      <c r="B476" s="1349" t="inlineStr">
        <is>
          <t>Liz Clarkson</t>
        </is>
      </c>
      <c r="C476" s="1350" t="inlineStr">
        <is>
          <t>2. Workshops</t>
        </is>
      </c>
      <c r="D476" s="1349" t="inlineStr">
        <is>
          <t>Stripe</t>
        </is>
      </c>
      <c r="E476" s="1351" t="n">
        <v>99</v>
      </c>
      <c r="F476" s="1349" t="inlineStr">
        <is>
          <t>Bluebells Workshop</t>
        </is>
      </c>
      <c r="G476" s="1349" t="inlineStr">
        <is>
          <t>Google</t>
        </is>
      </c>
    </row>
    <row r="477" ht="13.5" customHeight="1" s="1232">
      <c r="A477" s="1348" t="n">
        <v>44293</v>
      </c>
      <c r="B477" s="1349" t="inlineStr">
        <is>
          <t>Alexander Tweddell</t>
        </is>
      </c>
      <c r="C477" s="1350" t="inlineStr">
        <is>
          <t>2. Workshops</t>
        </is>
      </c>
      <c r="D477" s="1349" t="inlineStr">
        <is>
          <t>PayPal</t>
        </is>
      </c>
      <c r="E477" s="1351" t="n">
        <v>12</v>
      </c>
      <c r="F477" s="1349" t="inlineStr">
        <is>
          <t>Woodland Walk</t>
        </is>
      </c>
      <c r="G477" s="1349" t="inlineStr">
        <is>
          <t>Google</t>
        </is>
      </c>
    </row>
    <row r="478" ht="13.5" customHeight="1" s="1232">
      <c r="A478" s="1348" t="n">
        <v>44293</v>
      </c>
      <c r="B478" s="1349" t="inlineStr">
        <is>
          <t>Con McHugh</t>
        </is>
      </c>
      <c r="C478" s="1350" t="inlineStr">
        <is>
          <t>2. Workshops</t>
        </is>
      </c>
      <c r="D478" s="1349" t="inlineStr">
        <is>
          <t>PicknMix</t>
        </is>
      </c>
      <c r="E478" s="1351" t="n">
        <v>12</v>
      </c>
      <c r="F478" s="1349" t="inlineStr">
        <is>
          <t>Woodland Walk</t>
        </is>
      </c>
      <c r="G478" s="1349" t="inlineStr">
        <is>
          <t>Existing</t>
        </is>
      </c>
    </row>
    <row r="479" ht="13.5" customHeight="1" s="1232">
      <c r="A479" s="1348" t="n">
        <v>44293</v>
      </c>
      <c r="B479" s="1349" t="inlineStr">
        <is>
          <t>Con McHugh</t>
        </is>
      </c>
      <c r="C479" s="1350" t="inlineStr">
        <is>
          <t>4. Pick n Mix Out</t>
        </is>
      </c>
      <c r="D479" s="1349" t="inlineStr">
        <is>
          <t>PicknMix</t>
        </is>
      </c>
      <c r="E479" s="1351" t="n">
        <v>-12</v>
      </c>
      <c r="F479" s="1349" t="inlineStr">
        <is>
          <t>Woodland Walk</t>
        </is>
      </c>
      <c r="G479" s="1349" t="inlineStr">
        <is>
          <t>Existing</t>
        </is>
      </c>
    </row>
    <row r="480" ht="13.5" customHeight="1" s="1232">
      <c r="A480" s="1348" t="n">
        <v>44292</v>
      </c>
      <c r="B480" s="1349" t="inlineStr">
        <is>
          <t>Alan Richardson</t>
        </is>
      </c>
      <c r="C480" s="1350" t="inlineStr">
        <is>
          <t>1. Courses/masterclasses</t>
        </is>
      </c>
      <c r="D480" s="1349" t="inlineStr">
        <is>
          <t>PayPal</t>
        </is>
      </c>
      <c r="E480" s="1351" t="n">
        <v>20</v>
      </c>
      <c r="F480" s="1349" t="inlineStr">
        <is>
          <t>Zoom - Get Off Auto</t>
        </is>
      </c>
      <c r="G480" s="1349" t="inlineStr">
        <is>
          <t>Google</t>
        </is>
      </c>
    </row>
    <row r="481" ht="13.5" customHeight="1" s="1232">
      <c r="A481" s="1348" t="n">
        <v>44291</v>
      </c>
      <c r="B481" s="1349" t="inlineStr">
        <is>
          <t>Emma Leech</t>
        </is>
      </c>
      <c r="C481" s="1350" t="inlineStr">
        <is>
          <t>1. Courses/masterclasses</t>
        </is>
      </c>
      <c r="D481" s="1349" t="inlineStr">
        <is>
          <t>Stripe</t>
        </is>
      </c>
      <c r="E481" s="1351" t="n">
        <v>20</v>
      </c>
      <c r="F481" s="1349" t="inlineStr">
        <is>
          <t>Zoom - Bracketing</t>
        </is>
      </c>
      <c r="G481" s="1349" t="inlineStr">
        <is>
          <t>Existing</t>
        </is>
      </c>
      <c r="H481" s="914" t="n"/>
    </row>
    <row r="482" ht="13.5" customHeight="1" s="1232">
      <c r="A482" s="1348" t="n">
        <v>44291</v>
      </c>
      <c r="B482" s="1349" t="inlineStr">
        <is>
          <t>Richard Jefferies</t>
        </is>
      </c>
      <c r="C482" s="1350" t="inlineStr">
        <is>
          <t>2. Workshops</t>
        </is>
      </c>
      <c r="D482" s="1349" t="inlineStr">
        <is>
          <t>Stripe</t>
        </is>
      </c>
      <c r="E482" s="1351" t="n">
        <v>50</v>
      </c>
      <c r="F482" s="1349" t="inlineStr">
        <is>
          <t>Chesterton</t>
        </is>
      </c>
      <c r="G482" s="1349" t="inlineStr">
        <is>
          <t>Existing</t>
        </is>
      </c>
      <c r="H482" s="914" t="n"/>
    </row>
    <row r="483" ht="13.5" customHeight="1" s="1232">
      <c r="A483" s="1348" t="n">
        <v>44291</v>
      </c>
      <c r="B483" s="1349" t="inlineStr">
        <is>
          <t>Sarah Pearce</t>
        </is>
      </c>
      <c r="C483" s="1350" t="inlineStr">
        <is>
          <t>2. Workshops</t>
        </is>
      </c>
      <c r="D483" s="1349" t="inlineStr">
        <is>
          <t>Stripe</t>
        </is>
      </c>
      <c r="E483" s="1351" t="n">
        <v>150</v>
      </c>
      <c r="F483" s="1349" t="inlineStr">
        <is>
          <t>Peak District</t>
        </is>
      </c>
      <c r="G483" s="1349" t="inlineStr">
        <is>
          <t>Google</t>
        </is>
      </c>
      <c r="H483" s="914" t="n"/>
    </row>
    <row r="484" ht="13.5" customHeight="1" s="1232">
      <c r="A484" s="1348" t="n">
        <v>44291</v>
      </c>
      <c r="B484" s="1349" t="inlineStr">
        <is>
          <t>Gill Tween</t>
        </is>
      </c>
      <c r="C484" s="1350" t="inlineStr">
        <is>
          <t>2. Workshops</t>
        </is>
      </c>
      <c r="D484" s="1349" t="inlineStr">
        <is>
          <t>PayPal</t>
        </is>
      </c>
      <c r="E484" s="1351" t="n">
        <v>50</v>
      </c>
      <c r="F484" s="1349" t="inlineStr">
        <is>
          <t>Bluebells Workshop</t>
        </is>
      </c>
      <c r="G484" s="1349" t="inlineStr">
        <is>
          <t>Existing</t>
        </is>
      </c>
      <c r="H484" s="914" t="n"/>
    </row>
    <row r="485" ht="13.5" customHeight="1" s="1232">
      <c r="A485" s="1348" t="n">
        <v>44290</v>
      </c>
      <c r="B485" s="1349" t="inlineStr">
        <is>
          <t>Kirsten Pearce</t>
        </is>
      </c>
      <c r="C485" s="1350" t="inlineStr">
        <is>
          <t>4. Pick n Mix Out</t>
        </is>
      </c>
      <c r="D485" s="1349" t="inlineStr">
        <is>
          <t>PicknMix</t>
        </is>
      </c>
      <c r="E485" s="1351" t="n">
        <v>-12</v>
      </c>
      <c r="F485" s="1349" t="inlineStr">
        <is>
          <t>Woodland Walk</t>
        </is>
      </c>
      <c r="G485" s="1349" t="inlineStr">
        <is>
          <t>Existing</t>
        </is>
      </c>
      <c r="H485" s="914" t="n"/>
    </row>
    <row r="486" ht="13.5" customHeight="1" s="1232">
      <c r="A486" s="1348" t="n">
        <v>44290</v>
      </c>
      <c r="B486" s="1349" t="inlineStr">
        <is>
          <t>Kirsten Pearce</t>
        </is>
      </c>
      <c r="C486" s="1350" t="inlineStr">
        <is>
          <t>2. Workshops</t>
        </is>
      </c>
      <c r="D486" s="1349" t="inlineStr">
        <is>
          <t>PicknMix</t>
        </is>
      </c>
      <c r="E486" s="1351" t="n">
        <v>12</v>
      </c>
      <c r="F486" s="1349" t="inlineStr">
        <is>
          <t>Woodland Walk</t>
        </is>
      </c>
      <c r="G486" s="1349" t="inlineStr">
        <is>
          <t>Existing</t>
        </is>
      </c>
      <c r="H486" s="914" t="n"/>
    </row>
    <row r="487" ht="13.5" customHeight="1" s="1232">
      <c r="A487" s="1348" t="n">
        <v>44289</v>
      </c>
      <c r="B487" s="1349" t="inlineStr">
        <is>
          <t>Laura Gosling</t>
        </is>
      </c>
      <c r="C487" s="1350" t="inlineStr">
        <is>
          <t>2. Workshops</t>
        </is>
      </c>
      <c r="D487" s="1349" t="inlineStr">
        <is>
          <t>Stripe</t>
        </is>
      </c>
      <c r="E487" s="1351" t="n">
        <v>475</v>
      </c>
      <c r="F487" s="1349" t="inlineStr">
        <is>
          <t>Dorset Workshop</t>
        </is>
      </c>
      <c r="G487" s="1349" t="inlineStr">
        <is>
          <t>Google</t>
        </is>
      </c>
      <c r="H487" s="914" t="n"/>
    </row>
    <row r="488" ht="13.5" customHeight="1" s="1232">
      <c r="A488" s="1348" t="n">
        <v>44289</v>
      </c>
      <c r="B488" s="1349" t="inlineStr">
        <is>
          <t>Janice Jordan</t>
        </is>
      </c>
      <c r="C488" s="1350" t="inlineStr">
        <is>
          <t>2. Workshops</t>
        </is>
      </c>
      <c r="D488" s="1349" t="inlineStr">
        <is>
          <t>Stripe</t>
        </is>
      </c>
      <c r="E488" s="1351" t="n">
        <v>12</v>
      </c>
      <c r="F488" s="1349" t="inlineStr">
        <is>
          <t>Woodland Photo Walk</t>
        </is>
      </c>
      <c r="G488" s="1349" t="inlineStr">
        <is>
          <t>Existing</t>
        </is>
      </c>
      <c r="H488" s="914" t="n"/>
    </row>
    <row r="489" ht="13.5" customHeight="1" s="1232">
      <c r="A489" s="1348" t="n">
        <v>44287</v>
      </c>
      <c r="B489" s="1349" t="inlineStr">
        <is>
          <t>Linda Neal</t>
        </is>
      </c>
      <c r="C489" s="1350" t="inlineStr">
        <is>
          <t>2. Workshops</t>
        </is>
      </c>
      <c r="D489" s="1349" t="inlineStr">
        <is>
          <t>Stripe</t>
        </is>
      </c>
      <c r="E489" s="1351" t="n">
        <v>99</v>
      </c>
      <c r="F489" s="1349" t="inlineStr">
        <is>
          <t>Bluebells Workshop</t>
        </is>
      </c>
      <c r="G489" s="1349" t="inlineStr">
        <is>
          <t>Google</t>
        </is>
      </c>
      <c r="H489" s="914" t="n"/>
    </row>
    <row r="490" ht="13.5" customHeight="1" s="1232">
      <c r="A490" s="1348" t="n">
        <v>44287</v>
      </c>
      <c r="B490" s="1349" t="inlineStr">
        <is>
          <t>Judith Fleming</t>
        </is>
      </c>
      <c r="C490" s="1350" t="inlineStr">
        <is>
          <t>7. Gift Vouchers Inc</t>
        </is>
      </c>
      <c r="D490" s="1349" t="inlineStr">
        <is>
          <t>Stripe</t>
        </is>
      </c>
      <c r="E490" s="1351" t="n">
        <v>25</v>
      </c>
      <c r="F490" s="1349" t="inlineStr">
        <is>
          <t>Digital Gift Card</t>
        </is>
      </c>
      <c r="G490" s="1349" t="inlineStr">
        <is>
          <t>Google</t>
        </is>
      </c>
      <c r="H490" s="914" t="n"/>
    </row>
    <row r="491" ht="13.5" customHeight="1" s="1232">
      <c r="A491" s="1348" t="n">
        <v>44287</v>
      </c>
      <c r="B491" s="1349" t="inlineStr">
        <is>
          <t>Sara Wakil</t>
        </is>
      </c>
      <c r="C491" s="1350" t="inlineStr">
        <is>
          <t>6. 1-2-1</t>
        </is>
      </c>
      <c r="D491" s="1349" t="inlineStr">
        <is>
          <t>PayPal</t>
        </is>
      </c>
      <c r="E491" s="1351" t="n">
        <v>480</v>
      </c>
      <c r="F491" s="1349" t="inlineStr">
        <is>
          <t>3 Days 1-2-1</t>
        </is>
      </c>
      <c r="G491" s="1349" t="inlineStr">
        <is>
          <t>Google</t>
        </is>
      </c>
      <c r="H491" s="914" t="n"/>
    </row>
    <row r="492" ht="13.5" customHeight="1" s="1232">
      <c r="A492" s="1348" t="n">
        <v>44287</v>
      </c>
      <c r="B492" s="1349" t="inlineStr">
        <is>
          <t>Mentoring Subs</t>
        </is>
      </c>
      <c r="C492" s="1350" t="inlineStr">
        <is>
          <t>5. Mentoring</t>
        </is>
      </c>
      <c r="D492" s="1350" t="inlineStr">
        <is>
          <t>Various</t>
        </is>
      </c>
      <c r="E492" s="1392" t="n">
        <v>80</v>
      </c>
      <c r="F492" s="1350" t="inlineStr">
        <is>
          <t>Mentoring Subs</t>
        </is>
      </c>
      <c r="G492" s="1350" t="inlineStr">
        <is>
          <t>Existing</t>
        </is>
      </c>
      <c r="H492" s="914" t="n"/>
    </row>
    <row r="493" ht="13.5" customHeight="1" s="1232">
      <c r="A493" s="1348" t="n"/>
      <c r="B493" s="1349" t="n"/>
      <c r="C493" s="1350" t="n"/>
      <c r="D493" s="1350" t="n"/>
      <c r="E493" s="1392" t="n"/>
      <c r="F493" s="1350" t="n"/>
      <c r="G493" s="1350" t="n"/>
      <c r="H493" s="914" t="n"/>
    </row>
    <row r="494" ht="13.5" customHeight="1" s="1232">
      <c r="A494" s="1348" t="n">
        <v>44285</v>
      </c>
      <c r="B494" s="1349" t="inlineStr">
        <is>
          <t>Balvinder Gill</t>
        </is>
      </c>
      <c r="C494" s="1350" t="inlineStr">
        <is>
          <t>2. Workshops</t>
        </is>
      </c>
      <c r="D494" s="1349" t="inlineStr">
        <is>
          <t>PayPal</t>
        </is>
      </c>
      <c r="E494" s="1351" t="n">
        <v>375</v>
      </c>
      <c r="F494" s="1349" t="inlineStr">
        <is>
          <t xml:space="preserve">Lake Vyrnwy and Pistyll Rhaeadr </t>
        </is>
      </c>
      <c r="G494" s="1349" t="inlineStr">
        <is>
          <t>Google</t>
        </is>
      </c>
      <c r="H494" s="914" t="n"/>
    </row>
    <row r="495" ht="13.5" customHeight="1" s="1232">
      <c r="A495" s="1348" t="n">
        <v>44285</v>
      </c>
      <c r="B495" s="1349" t="inlineStr">
        <is>
          <t>Janet Boulter</t>
        </is>
      </c>
      <c r="C495" s="1350" t="inlineStr">
        <is>
          <t>2. Workshops</t>
        </is>
      </c>
      <c r="D495" s="1349" t="inlineStr">
        <is>
          <t>Bank</t>
        </is>
      </c>
      <c r="E495" s="1351" t="n">
        <v>220</v>
      </c>
      <c r="F495" s="1349" t="inlineStr">
        <is>
          <t>Yorkshire Dales</t>
        </is>
      </c>
      <c r="G495" s="1349" t="inlineStr">
        <is>
          <t>Existing</t>
        </is>
      </c>
      <c r="H495" s="914" t="n"/>
    </row>
    <row r="496" ht="13.5" customHeight="1" s="1232">
      <c r="A496" s="1348" t="n">
        <v>44284</v>
      </c>
      <c r="B496" s="1349" t="inlineStr">
        <is>
          <t>Celia Pearce</t>
        </is>
      </c>
      <c r="C496" s="1350" t="inlineStr">
        <is>
          <t>7. Gift Vouchers Inc</t>
        </is>
      </c>
      <c r="D496" s="1349" t="inlineStr">
        <is>
          <t>PayPal</t>
        </is>
      </c>
      <c r="E496" s="1351" t="n">
        <v>50</v>
      </c>
      <c r="F496" s="1349" t="inlineStr">
        <is>
          <t>Digital Gift Card</t>
        </is>
      </c>
      <c r="G496" s="1349" t="inlineStr">
        <is>
          <t>Google</t>
        </is>
      </c>
      <c r="H496" s="914" t="n"/>
    </row>
    <row r="497" ht="13.5" customHeight="1" s="1232">
      <c r="A497" s="1348" t="n">
        <v>44284</v>
      </c>
      <c r="B497" s="1349" t="inlineStr">
        <is>
          <t>David Andringa</t>
        </is>
      </c>
      <c r="C497" s="1350" t="inlineStr">
        <is>
          <t>2. Workshops</t>
        </is>
      </c>
      <c r="D497" s="1349" t="inlineStr">
        <is>
          <t>Stripe</t>
        </is>
      </c>
      <c r="E497" s="1351" t="n">
        <v>50</v>
      </c>
      <c r="F497" s="1349" t="inlineStr">
        <is>
          <t>Chesterton Windmill</t>
        </is>
      </c>
      <c r="G497" s="1349" t="inlineStr">
        <is>
          <t>Existing</t>
        </is>
      </c>
      <c r="H497" s="914" t="n"/>
    </row>
    <row r="498" ht="13.5" customHeight="1" s="1232">
      <c r="A498" s="1348" t="n">
        <v>44284</v>
      </c>
      <c r="B498" s="1349" t="inlineStr">
        <is>
          <t>Artfully Walls</t>
        </is>
      </c>
      <c r="C498" s="1350" t="inlineStr">
        <is>
          <t>9. Prints &amp; Royalties</t>
        </is>
      </c>
      <c r="D498" s="1349" t="inlineStr">
        <is>
          <t>PayPal</t>
        </is>
      </c>
      <c r="E498" s="1351" t="n">
        <v>128.68</v>
      </c>
      <c r="F498" s="1349" t="inlineStr">
        <is>
          <t>Print Sales</t>
        </is>
      </c>
      <c r="G498" s="1349" t="inlineStr">
        <is>
          <t>Existing</t>
        </is>
      </c>
      <c r="H498" s="914" t="n"/>
    </row>
    <row r="499" ht="13.5" customHeight="1" s="1232">
      <c r="A499" s="1348" t="n">
        <v>44283</v>
      </c>
      <c r="B499" s="1349" t="inlineStr">
        <is>
          <t>Con McHugh</t>
        </is>
      </c>
      <c r="C499" s="1350" t="inlineStr">
        <is>
          <t>2. Workshops</t>
        </is>
      </c>
      <c r="D499" s="1349" t="inlineStr">
        <is>
          <t>PicknMix</t>
        </is>
      </c>
      <c r="E499" s="1351" t="n">
        <v>12</v>
      </c>
      <c r="F499" s="1349" t="inlineStr">
        <is>
          <t>Woodland Walk</t>
        </is>
      </c>
      <c r="G499" s="1349" t="inlineStr">
        <is>
          <t>Existing</t>
        </is>
      </c>
      <c r="H499" s="914" t="n"/>
    </row>
    <row r="500" ht="13.5" customHeight="1" s="1232">
      <c r="A500" s="1348" t="n">
        <v>44283</v>
      </c>
      <c r="B500" s="1349" t="inlineStr">
        <is>
          <t>Con McHugh</t>
        </is>
      </c>
      <c r="C500" s="1350" t="inlineStr">
        <is>
          <t>4. Pick n Mix Out</t>
        </is>
      </c>
      <c r="D500" s="1349" t="inlineStr">
        <is>
          <t>PicknMix</t>
        </is>
      </c>
      <c r="E500" s="1351" t="n">
        <v>-12</v>
      </c>
      <c r="F500" s="1349" t="inlineStr">
        <is>
          <t>Woodland Walk</t>
        </is>
      </c>
      <c r="G500" s="1349" t="inlineStr">
        <is>
          <t>Existing</t>
        </is>
      </c>
      <c r="H500" s="914" t="n"/>
    </row>
    <row r="501" ht="13.5" customHeight="1" s="1232">
      <c r="A501" s="1348" t="n">
        <v>44282</v>
      </c>
      <c r="B501" s="1349" t="inlineStr">
        <is>
          <t>David Andringa</t>
        </is>
      </c>
      <c r="C501" s="1350" t="inlineStr">
        <is>
          <t>1. Courses/masterclasses</t>
        </is>
      </c>
      <c r="D501" s="1349" t="inlineStr">
        <is>
          <t>Stripe</t>
        </is>
      </c>
      <c r="E501" s="1351" t="n">
        <v>17.5</v>
      </c>
      <c r="F501" s="1349" t="inlineStr">
        <is>
          <t>Zoom - Bracketing</t>
        </is>
      </c>
      <c r="G501" s="1349" t="inlineStr">
        <is>
          <t>Existing</t>
        </is>
      </c>
      <c r="H501" s="914" t="n"/>
    </row>
    <row r="502" ht="13.5" customHeight="1" s="1232">
      <c r="A502" s="1348" t="n">
        <v>44282</v>
      </c>
      <c r="B502" s="1349" t="inlineStr">
        <is>
          <t>Karen Skillings</t>
        </is>
      </c>
      <c r="C502" s="1350" t="inlineStr">
        <is>
          <t>1. Courses/masterclasses</t>
        </is>
      </c>
      <c r="D502" s="1349" t="inlineStr">
        <is>
          <t>PayPal</t>
        </is>
      </c>
      <c r="E502" s="1351" t="n">
        <v>17.5</v>
      </c>
      <c r="F502" s="1349" t="inlineStr">
        <is>
          <t>Zoom - Bracketing</t>
        </is>
      </c>
      <c r="G502" s="1349" t="inlineStr">
        <is>
          <t>Existing</t>
        </is>
      </c>
      <c r="H502" s="914" t="n"/>
    </row>
    <row r="503" ht="13.5" customHeight="1" s="1232">
      <c r="A503" s="1348" t="n">
        <v>44282</v>
      </c>
      <c r="B503" s="1349" t="inlineStr">
        <is>
          <t>Beverly Bottomley</t>
        </is>
      </c>
      <c r="C503" s="1350" t="inlineStr">
        <is>
          <t>2. Workshops</t>
        </is>
      </c>
      <c r="D503" s="1349" t="inlineStr">
        <is>
          <t>PayPal</t>
        </is>
      </c>
      <c r="E503" s="1351" t="n">
        <v>150</v>
      </c>
      <c r="F503" s="1349" t="inlineStr">
        <is>
          <t>Bluebells Workshop</t>
        </is>
      </c>
      <c r="G503" s="1349" t="inlineStr">
        <is>
          <t>Google</t>
        </is>
      </c>
      <c r="H503" s="914" t="n"/>
    </row>
    <row r="504" ht="13.5" customHeight="1" s="1232">
      <c r="A504" s="1348" t="n">
        <v>44281</v>
      </c>
      <c r="B504" s="1349" t="inlineStr">
        <is>
          <t>Sharon Hunt</t>
        </is>
      </c>
      <c r="C504" s="1350" t="inlineStr">
        <is>
          <t>1. Courses/masterclasses</t>
        </is>
      </c>
      <c r="D504" s="1349" t="inlineStr">
        <is>
          <t>Stripe</t>
        </is>
      </c>
      <c r="E504" s="1351" t="n">
        <v>395</v>
      </c>
      <c r="F504" s="1349" t="inlineStr">
        <is>
          <t>RPS Course</t>
        </is>
      </c>
      <c r="G504" s="1349" t="inlineStr">
        <is>
          <t>Google</t>
        </is>
      </c>
      <c r="H504" s="914" t="n"/>
    </row>
    <row r="505" ht="13.5" customHeight="1" s="1232">
      <c r="A505" s="1348" t="n">
        <v>44280</v>
      </c>
      <c r="B505" s="1349" t="inlineStr">
        <is>
          <t>Susie Johnston</t>
        </is>
      </c>
      <c r="C505" s="1350" t="inlineStr">
        <is>
          <t>1. Courses/masterclasses</t>
        </is>
      </c>
      <c r="D505" s="1349" t="inlineStr">
        <is>
          <t>Stripe</t>
        </is>
      </c>
      <c r="E505" s="1351" t="n">
        <v>20</v>
      </c>
      <c r="F505" s="1349" t="inlineStr">
        <is>
          <t>Zoom - Camera Craft</t>
        </is>
      </c>
      <c r="G505" s="1349" t="inlineStr">
        <is>
          <t>Existing</t>
        </is>
      </c>
      <c r="H505" s="914" t="n"/>
    </row>
    <row r="506" ht="13.5" customHeight="1" s="1232">
      <c r="A506" s="1348" t="n">
        <v>44280</v>
      </c>
      <c r="B506" s="1349" t="inlineStr">
        <is>
          <t>Con McHugh</t>
        </is>
      </c>
      <c r="C506" s="1350" t="inlineStr">
        <is>
          <t>2. Workshops</t>
        </is>
      </c>
      <c r="D506" s="1349" t="inlineStr">
        <is>
          <t>PicknMix</t>
        </is>
      </c>
      <c r="E506" s="1351" t="n">
        <v>99</v>
      </c>
      <c r="F506" s="1349" t="inlineStr">
        <is>
          <t>Bluebells Workshop</t>
        </is>
      </c>
      <c r="G506" s="1349" t="inlineStr">
        <is>
          <t>Existing</t>
        </is>
      </c>
      <c r="H506" s="914" t="n"/>
    </row>
    <row r="507" ht="13.5" customHeight="1" s="1232">
      <c r="A507" s="1348" t="n">
        <v>44280</v>
      </c>
      <c r="B507" s="1349" t="inlineStr">
        <is>
          <t>Con McHugh</t>
        </is>
      </c>
      <c r="C507" s="1350" t="inlineStr">
        <is>
          <t>4. Pick n Mix Out</t>
        </is>
      </c>
      <c r="D507" s="1349" t="inlineStr">
        <is>
          <t>PicknMix</t>
        </is>
      </c>
      <c r="E507" s="1351" t="n">
        <v>-99</v>
      </c>
      <c r="F507" s="1349" t="inlineStr">
        <is>
          <t>Bluebells Workshop</t>
        </is>
      </c>
      <c r="G507" s="1349" t="inlineStr">
        <is>
          <t>Existing</t>
        </is>
      </c>
      <c r="H507" s="914" t="n"/>
    </row>
    <row r="508" ht="13.5" customHeight="1" s="1232">
      <c r="A508" s="1348" t="n">
        <v>44278</v>
      </c>
      <c r="B508" s="1349" t="inlineStr">
        <is>
          <t>Catherine Githu</t>
        </is>
      </c>
      <c r="C508" s="1350" t="inlineStr">
        <is>
          <t>1. Courses/masterclasses</t>
        </is>
      </c>
      <c r="D508" s="1349" t="inlineStr">
        <is>
          <t>Stripe</t>
        </is>
      </c>
      <c r="E508" s="1351" t="n">
        <v>20</v>
      </c>
      <c r="F508" s="1349" t="inlineStr">
        <is>
          <t>Zoom - Composition</t>
        </is>
      </c>
      <c r="G508" s="1349" t="inlineStr">
        <is>
          <t>Existing</t>
        </is>
      </c>
      <c r="H508" s="914" t="n"/>
    </row>
    <row r="509" ht="13.5" customHeight="1" s="1232">
      <c r="A509" s="1348" t="n">
        <v>44278</v>
      </c>
      <c r="B509" s="1349" t="inlineStr">
        <is>
          <t>Lynne Gavin</t>
        </is>
      </c>
      <c r="C509" s="1350" t="inlineStr">
        <is>
          <t>2. Workshops</t>
        </is>
      </c>
      <c r="D509" s="1349" t="inlineStr">
        <is>
          <t>Bank</t>
        </is>
      </c>
      <c r="E509" s="1351" t="n">
        <v>390</v>
      </c>
      <c r="F509" s="1349" t="inlineStr">
        <is>
          <t>Lake District</t>
        </is>
      </c>
      <c r="G509" s="1349" t="inlineStr">
        <is>
          <t>Existing</t>
        </is>
      </c>
      <c r="H509" s="914" t="n"/>
    </row>
    <row r="510" ht="13.5" customHeight="1" s="1232">
      <c r="A510" s="1348" t="n">
        <v>44277</v>
      </c>
      <c r="B510" s="1349" t="inlineStr">
        <is>
          <t>Tony Teague</t>
        </is>
      </c>
      <c r="C510" s="1350" t="inlineStr">
        <is>
          <t>6. 1-2-1</t>
        </is>
      </c>
      <c r="D510" s="1349" t="inlineStr">
        <is>
          <t>Stripe</t>
        </is>
      </c>
      <c r="E510" s="1351" t="n">
        <v>35</v>
      </c>
      <c r="F510" s="1349" t="inlineStr">
        <is>
          <t>Zoom 1-2-1 1hr</t>
        </is>
      </c>
      <c r="G510" s="1349" t="inlineStr">
        <is>
          <t>Existing</t>
        </is>
      </c>
      <c r="H510" s="914" t="n"/>
    </row>
    <row r="511" ht="13.5" customHeight="1" s="1232">
      <c r="A511" s="1348" t="n">
        <v>44275</v>
      </c>
      <c r="B511" s="1349" t="inlineStr">
        <is>
          <t>Helen Finch</t>
        </is>
      </c>
      <c r="C511" s="1350" t="inlineStr">
        <is>
          <t>2. Workshops</t>
        </is>
      </c>
      <c r="D511" s="1349" t="inlineStr">
        <is>
          <t>PayPal</t>
        </is>
      </c>
      <c r="E511" s="1351" t="n">
        <v>50</v>
      </c>
      <c r="F511" s="1349" t="inlineStr">
        <is>
          <t>Long Exposure</t>
        </is>
      </c>
      <c r="G511" s="1349" t="inlineStr">
        <is>
          <t>Existing</t>
        </is>
      </c>
      <c r="H511" s="914" t="n"/>
    </row>
    <row r="512" ht="13.5" customHeight="1" s="1232">
      <c r="A512" s="1348" t="n">
        <v>44274</v>
      </c>
      <c r="B512" s="1349" t="inlineStr">
        <is>
          <t>Elaine Castleford</t>
        </is>
      </c>
      <c r="C512" s="1350" t="inlineStr">
        <is>
          <t>2. Workshops</t>
        </is>
      </c>
      <c r="D512" s="1349" t="inlineStr">
        <is>
          <t>PayPal</t>
        </is>
      </c>
      <c r="E512" s="1351" t="n">
        <v>24</v>
      </c>
      <c r="F512" s="1349" t="inlineStr">
        <is>
          <t>Bluebells Workshop</t>
        </is>
      </c>
      <c r="G512" s="1349" t="inlineStr">
        <is>
          <t>Existing</t>
        </is>
      </c>
      <c r="H512" s="914" t="n"/>
    </row>
    <row r="513" ht="13.5" customHeight="1" s="1232">
      <c r="A513" s="1348" t="n">
        <v>44273</v>
      </c>
      <c r="B513" s="1349" t="inlineStr">
        <is>
          <t>Colin Perry</t>
        </is>
      </c>
      <c r="C513" s="1350" t="inlineStr">
        <is>
          <t>2. Workshops</t>
        </is>
      </c>
      <c r="D513" s="1349" t="inlineStr">
        <is>
          <t>PayPal</t>
        </is>
      </c>
      <c r="E513" s="1351" t="n">
        <v>50</v>
      </c>
      <c r="F513" s="1349" t="inlineStr">
        <is>
          <t>Anglesey + Betsy Co-ed</t>
        </is>
      </c>
      <c r="G513" s="1349" t="inlineStr">
        <is>
          <t>Existing</t>
        </is>
      </c>
      <c r="H513" s="914" t="n"/>
    </row>
    <row r="514" ht="13.5" customHeight="1" s="1232">
      <c r="A514" s="1348" t="n">
        <v>44273</v>
      </c>
      <c r="B514" s="1349" t="inlineStr">
        <is>
          <t>Nina Martyres</t>
        </is>
      </c>
      <c r="C514" s="1350" t="inlineStr">
        <is>
          <t>2. Workshops</t>
        </is>
      </c>
      <c r="D514" s="1349" t="inlineStr">
        <is>
          <t>PayPal</t>
        </is>
      </c>
      <c r="E514" s="1351" t="n">
        <v>99</v>
      </c>
      <c r="F514" s="1349" t="inlineStr">
        <is>
          <t>Bluebells Workshop</t>
        </is>
      </c>
      <c r="G514" s="1349" t="inlineStr">
        <is>
          <t>Facebook</t>
        </is>
      </c>
      <c r="H514" s="914" t="n"/>
    </row>
    <row r="515" ht="13.5" customHeight="1" s="1232">
      <c r="A515" s="1348" t="n">
        <v>44272</v>
      </c>
      <c r="B515" s="1349" t="inlineStr">
        <is>
          <t>Sara Wakil</t>
        </is>
      </c>
      <c r="C515" s="1350" t="inlineStr">
        <is>
          <t>6. 1-2-1</t>
        </is>
      </c>
      <c r="D515" s="1349" t="inlineStr">
        <is>
          <t>PayPal</t>
        </is>
      </c>
      <c r="E515" s="1351" t="n">
        <v>500</v>
      </c>
      <c r="F515" s="1349" t="inlineStr">
        <is>
          <t>3 Days 1-2-1</t>
        </is>
      </c>
      <c r="G515" s="1349" t="inlineStr">
        <is>
          <t>Google</t>
        </is>
      </c>
      <c r="H515" s="914" t="n"/>
    </row>
    <row r="516" ht="13.5" customHeight="1" s="1232">
      <c r="A516" s="1348" t="n">
        <v>44272</v>
      </c>
      <c r="B516" s="1349" t="inlineStr">
        <is>
          <t>Judith Leaper</t>
        </is>
      </c>
      <c r="C516" s="1350" t="inlineStr">
        <is>
          <t>2. Workshops</t>
        </is>
      </c>
      <c r="D516" s="1349" t="inlineStr">
        <is>
          <t>Stripe</t>
        </is>
      </c>
      <c r="E516" s="1351" t="n">
        <v>198</v>
      </c>
      <c r="F516" s="1349" t="inlineStr">
        <is>
          <t>Bluebells Workshop</t>
        </is>
      </c>
      <c r="G516" s="1349" t="inlineStr">
        <is>
          <t>Facebook</t>
        </is>
      </c>
      <c r="H516" s="914" t="n"/>
    </row>
    <row r="517" ht="13.5" customHeight="1" s="1232">
      <c r="A517" s="1348" t="n">
        <v>44271</v>
      </c>
      <c r="B517" s="1349" t="inlineStr">
        <is>
          <t>Tony Teague</t>
        </is>
      </c>
      <c r="C517" s="1350" t="inlineStr">
        <is>
          <t>6. 1-2-1</t>
        </is>
      </c>
      <c r="D517" s="1349" t="inlineStr">
        <is>
          <t>Stripe</t>
        </is>
      </c>
      <c r="E517" s="1351" t="n">
        <v>35</v>
      </c>
      <c r="F517" s="1349" t="inlineStr">
        <is>
          <t>Zoom 1-2-1 1hr</t>
        </is>
      </c>
      <c r="G517" s="1349" t="inlineStr">
        <is>
          <t>Existing</t>
        </is>
      </c>
      <c r="H517" s="914" t="n"/>
    </row>
    <row r="518" ht="13.5" customHeight="1" s="1232">
      <c r="A518" s="1348" t="n">
        <v>44270</v>
      </c>
      <c r="B518" s="1349" t="inlineStr">
        <is>
          <t>Karen Skillings</t>
        </is>
      </c>
      <c r="C518" s="1350" t="inlineStr">
        <is>
          <t>2. Workshops</t>
        </is>
      </c>
      <c r="D518" s="1349" t="inlineStr">
        <is>
          <t>Stripe</t>
        </is>
      </c>
      <c r="E518" s="1351" t="n">
        <v>99</v>
      </c>
      <c r="F518" s="1349" t="inlineStr">
        <is>
          <t>Bluebells Workshop</t>
        </is>
      </c>
      <c r="G518" s="1349" t="inlineStr">
        <is>
          <t>Google</t>
        </is>
      </c>
      <c r="H518" s="914" t="n"/>
    </row>
    <row r="519" ht="13.5" customHeight="1" s="1232">
      <c r="A519" s="1348" t="n">
        <v>44270</v>
      </c>
      <c r="B519" s="1349" t="inlineStr">
        <is>
          <t>Dennis Jeffrey</t>
        </is>
      </c>
      <c r="C519" s="1350" t="inlineStr">
        <is>
          <t>6. 1-2-1</t>
        </is>
      </c>
      <c r="D519" s="1349" t="inlineStr">
        <is>
          <t>Stripe</t>
        </is>
      </c>
      <c r="E519" s="1351" t="n">
        <v>35</v>
      </c>
      <c r="F519" s="1349" t="inlineStr">
        <is>
          <t>Zoom 1-2-1 1hr</t>
        </is>
      </c>
      <c r="G519" s="1349" t="inlineStr">
        <is>
          <t>Existing</t>
        </is>
      </c>
      <c r="H519" s="914" t="n"/>
    </row>
    <row r="520" ht="13.5" customHeight="1" s="1232">
      <c r="A520" s="1348" t="n">
        <v>44269</v>
      </c>
      <c r="B520" s="1349" t="inlineStr">
        <is>
          <t>Roddy Maddocks</t>
        </is>
      </c>
      <c r="C520" s="1350" t="inlineStr">
        <is>
          <t>2. Workshops</t>
        </is>
      </c>
      <c r="D520" s="1349" t="inlineStr">
        <is>
          <t>Stripe</t>
        </is>
      </c>
      <c r="E520" s="1351" t="n">
        <v>50</v>
      </c>
      <c r="F520" s="1349" t="inlineStr">
        <is>
          <t>Chesterton Windmill</t>
        </is>
      </c>
      <c r="G520" s="1349" t="inlineStr">
        <is>
          <t>Existing</t>
        </is>
      </c>
      <c r="H520" s="914" t="n"/>
    </row>
    <row r="521" ht="13.5" customHeight="1" s="1232">
      <c r="A521" s="1348" t="n">
        <v>44268</v>
      </c>
      <c r="B521" s="1349" t="inlineStr">
        <is>
          <t>Janet Boulter</t>
        </is>
      </c>
      <c r="C521" s="1350" t="inlineStr">
        <is>
          <t>2. Workshops</t>
        </is>
      </c>
      <c r="D521" s="1349" t="inlineStr">
        <is>
          <t>Stripe</t>
        </is>
      </c>
      <c r="E521" s="1351" t="n">
        <v>475</v>
      </c>
      <c r="F521" s="1349" t="inlineStr">
        <is>
          <t>Yorkshire Dales</t>
        </is>
      </c>
      <c r="G521" s="1349" t="inlineStr">
        <is>
          <t>Existing</t>
        </is>
      </c>
      <c r="H521" s="914" t="n"/>
    </row>
    <row r="522" ht="13.5" customHeight="1" s="1232">
      <c r="A522" s="1348" t="n">
        <v>44268</v>
      </c>
      <c r="B522" s="1349" t="inlineStr">
        <is>
          <t>David Andringa</t>
        </is>
      </c>
      <c r="C522" s="1350" t="inlineStr">
        <is>
          <t>2. Workshops</t>
        </is>
      </c>
      <c r="D522" s="1349" t="inlineStr">
        <is>
          <t>Stripe</t>
        </is>
      </c>
      <c r="E522" s="1351" t="n">
        <v>99</v>
      </c>
      <c r="F522" s="1349" t="inlineStr">
        <is>
          <t>Bluebells Workshop</t>
        </is>
      </c>
      <c r="G522" s="1349" t="inlineStr">
        <is>
          <t>Existing</t>
        </is>
      </c>
      <c r="H522" s="914" t="n"/>
    </row>
    <row r="523" ht="13.5" customHeight="1" s="1232">
      <c r="A523" s="1348" t="n">
        <v>44267</v>
      </c>
      <c r="B523" s="1349" t="inlineStr">
        <is>
          <t>Anita Davies</t>
        </is>
      </c>
      <c r="C523" s="1350" t="inlineStr">
        <is>
          <t>1. Courses/masterclasses</t>
        </is>
      </c>
      <c r="D523" s="1349" t="inlineStr">
        <is>
          <t>Stripe</t>
        </is>
      </c>
      <c r="E523" s="1351" t="n">
        <v>20</v>
      </c>
      <c r="F523" s="1349" t="inlineStr">
        <is>
          <t>Zoom - Composition</t>
        </is>
      </c>
      <c r="G523" s="1349" t="inlineStr">
        <is>
          <t>Existing</t>
        </is>
      </c>
      <c r="H523" s="914" t="n"/>
    </row>
    <row r="524" ht="13.5" customHeight="1" s="1232">
      <c r="A524" s="1348" t="n">
        <v>44267</v>
      </c>
      <c r="B524" s="1349" t="inlineStr">
        <is>
          <t>Helen Finch</t>
        </is>
      </c>
      <c r="C524" s="1350" t="inlineStr">
        <is>
          <t>2. Workshops</t>
        </is>
      </c>
      <c r="D524" s="1349" t="inlineStr">
        <is>
          <t>PayPal</t>
        </is>
      </c>
      <c r="E524" s="1351" t="n">
        <v>75</v>
      </c>
      <c r="F524" s="1349" t="inlineStr">
        <is>
          <t>Poppy Fields</t>
        </is>
      </c>
      <c r="G524" s="1349" t="inlineStr">
        <is>
          <t>Existing</t>
        </is>
      </c>
      <c r="H524" s="914" t="n"/>
    </row>
    <row r="525" ht="13.5" customHeight="1" s="1232">
      <c r="A525" s="1348" t="n">
        <v>44266</v>
      </c>
      <c r="B525" s="1349" t="inlineStr">
        <is>
          <t>Janet Boulter</t>
        </is>
      </c>
      <c r="C525" s="1350" t="inlineStr">
        <is>
          <t>2. Workshops</t>
        </is>
      </c>
      <c r="D525" s="1349" t="inlineStr">
        <is>
          <t>Stripe</t>
        </is>
      </c>
      <c r="E525" s="1351" t="n">
        <v>75</v>
      </c>
      <c r="F525" s="1349" t="inlineStr">
        <is>
          <t>Poppy Fields</t>
        </is>
      </c>
      <c r="G525" s="1349" t="inlineStr">
        <is>
          <t>Existing</t>
        </is>
      </c>
      <c r="H525" s="914" t="n"/>
    </row>
    <row r="526" ht="13.5" customHeight="1" s="1232">
      <c r="A526" s="1348" t="n">
        <v>44265</v>
      </c>
      <c r="B526" s="1349" t="inlineStr">
        <is>
          <t>Dennis Jeffrey</t>
        </is>
      </c>
      <c r="C526" s="1350" t="inlineStr">
        <is>
          <t>6. 1-2-1</t>
        </is>
      </c>
      <c r="D526" s="1349" t="inlineStr">
        <is>
          <t>Stripe</t>
        </is>
      </c>
      <c r="E526" s="1351" t="n">
        <v>35</v>
      </c>
      <c r="F526" s="1349" t="inlineStr">
        <is>
          <t>Zoom 1-2-1 1hr</t>
        </is>
      </c>
      <c r="G526" s="1349" t="inlineStr">
        <is>
          <t>Existing</t>
        </is>
      </c>
      <c r="H526" s="914" t="n"/>
    </row>
    <row r="527" ht="13.5" customHeight="1" s="1232">
      <c r="A527" s="1348" t="n">
        <v>44265</v>
      </c>
      <c r="B527" s="1349" t="inlineStr">
        <is>
          <t>Peter Hagger</t>
        </is>
      </c>
      <c r="C527" s="1350" t="inlineStr">
        <is>
          <t>1. Courses/masterclasses</t>
        </is>
      </c>
      <c r="D527" s="1349" t="inlineStr">
        <is>
          <t>Stripe</t>
        </is>
      </c>
      <c r="E527" s="1351" t="n">
        <v>395</v>
      </c>
      <c r="F527" s="1349" t="inlineStr">
        <is>
          <t>RPS Course</t>
        </is>
      </c>
      <c r="G527" s="1349" t="inlineStr">
        <is>
          <t>Existing</t>
        </is>
      </c>
      <c r="H527" s="914" t="n"/>
    </row>
    <row r="528" ht="13.5" customHeight="1" s="1232">
      <c r="A528" s="1348" t="n">
        <v>44263</v>
      </c>
      <c r="B528" s="1349" t="inlineStr">
        <is>
          <t>John Duncombe</t>
        </is>
      </c>
      <c r="C528" s="1350" t="inlineStr">
        <is>
          <t>2. Workshops</t>
        </is>
      </c>
      <c r="D528" s="1349" t="inlineStr">
        <is>
          <t>PayPal</t>
        </is>
      </c>
      <c r="E528" s="1351" t="n">
        <v>99</v>
      </c>
      <c r="F528" s="1349" t="inlineStr">
        <is>
          <t>Bluebells Workshop</t>
        </is>
      </c>
      <c r="G528" s="1349" t="inlineStr">
        <is>
          <t>Existing</t>
        </is>
      </c>
      <c r="H528" s="914" t="n"/>
    </row>
    <row r="529" ht="13.5" customHeight="1" s="1232">
      <c r="A529" s="1348" t="n">
        <v>44263</v>
      </c>
      <c r="B529" s="1349" t="inlineStr">
        <is>
          <t>John Grant</t>
        </is>
      </c>
      <c r="C529" s="1350" t="inlineStr">
        <is>
          <t>2. Workshops</t>
        </is>
      </c>
      <c r="D529" s="1349" t="inlineStr">
        <is>
          <t>Stripe</t>
        </is>
      </c>
      <c r="E529" s="1351" t="n">
        <v>50</v>
      </c>
      <c r="F529" s="1349" t="inlineStr">
        <is>
          <t>Long Exposure</t>
        </is>
      </c>
      <c r="G529" s="1349" t="inlineStr">
        <is>
          <t>Existing</t>
        </is>
      </c>
      <c r="H529" s="914" t="n"/>
    </row>
    <row r="530" ht="13.5" customHeight="1" s="1232">
      <c r="A530" s="1348" t="n">
        <v>44262</v>
      </c>
      <c r="B530" s="1349" t="inlineStr">
        <is>
          <t>Janice Jordan</t>
        </is>
      </c>
      <c r="C530" s="1350" t="inlineStr">
        <is>
          <t>3. Pick n Mix Inc</t>
        </is>
      </c>
      <c r="D530" s="1349" t="inlineStr">
        <is>
          <t>Bank</t>
        </is>
      </c>
      <c r="E530" s="1351" t="n">
        <v>187.5</v>
      </c>
      <c r="F530" s="1349" t="inlineStr">
        <is>
          <t>Janice New PicknMix</t>
        </is>
      </c>
      <c r="G530" s="1349" t="inlineStr">
        <is>
          <t>Existing</t>
        </is>
      </c>
      <c r="H530" s="914" t="n"/>
    </row>
    <row r="531" ht="13.5" customHeight="1" s="1232">
      <c r="A531" s="1348" t="n">
        <v>44262</v>
      </c>
      <c r="B531" s="1349" t="inlineStr">
        <is>
          <t>Nicola Sawle</t>
        </is>
      </c>
      <c r="C531" s="1350" t="inlineStr">
        <is>
          <t>2. Workshops</t>
        </is>
      </c>
      <c r="D531" s="1349" t="inlineStr">
        <is>
          <t>PayPal</t>
        </is>
      </c>
      <c r="E531" s="1351" t="n">
        <v>99</v>
      </c>
      <c r="F531" s="1349" t="inlineStr">
        <is>
          <t>Bluebells Workshop</t>
        </is>
      </c>
      <c r="G531" s="1349" t="inlineStr">
        <is>
          <t>Facebook</t>
        </is>
      </c>
      <c r="H531" s="914" t="n"/>
    </row>
    <row r="532" ht="13.5" customHeight="1" s="1232">
      <c r="A532" s="1348" t="n">
        <v>44262</v>
      </c>
      <c r="B532" s="1349" t="inlineStr">
        <is>
          <t>Janice Jordan</t>
        </is>
      </c>
      <c r="C532" s="1350" t="inlineStr">
        <is>
          <t>2. Workshops</t>
        </is>
      </c>
      <c r="D532" s="1349" t="inlineStr">
        <is>
          <t>PicknMix</t>
        </is>
      </c>
      <c r="E532" s="1351" t="n">
        <v>498.75</v>
      </c>
      <c r="F532" s="1349" t="inlineStr">
        <is>
          <t>Yorkshire Dales</t>
        </is>
      </c>
      <c r="G532" s="1349" t="inlineStr">
        <is>
          <t>Existing</t>
        </is>
      </c>
      <c r="H532" s="914" t="n"/>
    </row>
    <row r="533" ht="13.5" customHeight="1" s="1232">
      <c r="A533" s="1348" t="n">
        <v>44262</v>
      </c>
      <c r="B533" s="1349" t="inlineStr">
        <is>
          <t>Janice Jordan</t>
        </is>
      </c>
      <c r="C533" s="1350" t="inlineStr">
        <is>
          <t>4. Pick n Mix Out</t>
        </is>
      </c>
      <c r="D533" s="1349" t="inlineStr">
        <is>
          <t>PicknMix</t>
        </is>
      </c>
      <c r="E533" s="1351" t="n">
        <v>-498.75</v>
      </c>
      <c r="F533" s="1349" t="inlineStr">
        <is>
          <t>Yorkshire Dales</t>
        </is>
      </c>
      <c r="G533" s="1349" t="inlineStr">
        <is>
          <t>Existing</t>
        </is>
      </c>
      <c r="H533" s="914" t="n"/>
    </row>
    <row r="534" ht="13.5" customHeight="1" s="1232">
      <c r="A534" s="1348" t="n">
        <v>44262</v>
      </c>
      <c r="B534" s="1349" t="inlineStr">
        <is>
          <t>Catherine Githu</t>
        </is>
      </c>
      <c r="C534" s="1350" t="inlineStr">
        <is>
          <t>1. Courses/masterclasses</t>
        </is>
      </c>
      <c r="D534" s="1349" t="inlineStr">
        <is>
          <t>Stripe</t>
        </is>
      </c>
      <c r="E534" s="1351" t="n">
        <v>20</v>
      </c>
      <c r="F534" s="1349" t="inlineStr">
        <is>
          <t>Zoom - Camera Craft</t>
        </is>
      </c>
      <c r="G534" s="1349" t="inlineStr">
        <is>
          <t>Existing</t>
        </is>
      </c>
      <c r="H534" s="914" t="n"/>
    </row>
    <row r="535" ht="13.5" customHeight="1" s="1232">
      <c r="A535" s="1348" t="n">
        <v>44262</v>
      </c>
      <c r="B535" s="1349" t="inlineStr">
        <is>
          <t>Sam Reid</t>
        </is>
      </c>
      <c r="C535" s="1350" t="inlineStr">
        <is>
          <t>2. Workshops</t>
        </is>
      </c>
      <c r="D535" s="1349" t="inlineStr">
        <is>
          <t>Various</t>
        </is>
      </c>
      <c r="E535" s="1351" t="n">
        <v>50</v>
      </c>
      <c r="F535" s="1349" t="inlineStr">
        <is>
          <t>Long Exposure</t>
        </is>
      </c>
      <c r="G535" s="1349" t="inlineStr">
        <is>
          <t>Existing</t>
        </is>
      </c>
      <c r="H535" s="914" t="n"/>
    </row>
    <row r="536" ht="13.5" customHeight="1" s="1232">
      <c r="A536" s="1348" t="n">
        <v>44262</v>
      </c>
      <c r="B536" s="1349" t="inlineStr">
        <is>
          <t>Sam Reid</t>
        </is>
      </c>
      <c r="C536" s="1350" t="inlineStr">
        <is>
          <t>2. Workshops</t>
        </is>
      </c>
      <c r="D536" s="1349" t="inlineStr">
        <is>
          <t>Various</t>
        </is>
      </c>
      <c r="E536" s="1351" t="n">
        <v>99</v>
      </c>
      <c r="F536" s="1349" t="inlineStr">
        <is>
          <t>Bluebells Workshop</t>
        </is>
      </c>
      <c r="G536" s="1349" t="inlineStr">
        <is>
          <t>Existing</t>
        </is>
      </c>
      <c r="H536" s="914" t="n"/>
    </row>
    <row r="537" ht="13.5" customHeight="1" s="1232">
      <c r="A537" s="1348" t="n">
        <v>44262</v>
      </c>
      <c r="B537" s="1349" t="inlineStr">
        <is>
          <t>Sam Reid</t>
        </is>
      </c>
      <c r="C537" s="1350" t="inlineStr">
        <is>
          <t>6. 1-2-1</t>
        </is>
      </c>
      <c r="D537" s="1349" t="inlineStr">
        <is>
          <t>Various</t>
        </is>
      </c>
      <c r="E537" s="1351">
        <f>-99-50</f>
        <v/>
      </c>
      <c r="F537" s="1349" t="inlineStr">
        <is>
          <t>Transfer from 1-2-1</t>
        </is>
      </c>
      <c r="G537" s="1349" t="inlineStr">
        <is>
          <t>Existing</t>
        </is>
      </c>
      <c r="H537" s="914" t="n"/>
    </row>
    <row r="538" ht="13.5" customHeight="1" s="1232">
      <c r="A538" s="1348" t="n">
        <v>44262</v>
      </c>
      <c r="B538" s="1349" t="inlineStr">
        <is>
          <t>Con McHugh</t>
        </is>
      </c>
      <c r="C538" s="1350" t="inlineStr">
        <is>
          <t>2. Workshops</t>
        </is>
      </c>
      <c r="D538" s="1349" t="inlineStr">
        <is>
          <t>PicknMix</t>
        </is>
      </c>
      <c r="E538" s="1351" t="n">
        <v>60</v>
      </c>
      <c r="F538" s="1349" t="inlineStr">
        <is>
          <t>Poppy Fields</t>
        </is>
      </c>
      <c r="G538" s="1349" t="inlineStr">
        <is>
          <t>Existing</t>
        </is>
      </c>
      <c r="H538" s="914" t="n"/>
    </row>
    <row r="539" ht="13.5" customHeight="1" s="1232">
      <c r="A539" s="1348" t="n">
        <v>44262</v>
      </c>
      <c r="B539" s="1349" t="inlineStr">
        <is>
          <t>Con McHugh</t>
        </is>
      </c>
      <c r="C539" s="1350" t="inlineStr">
        <is>
          <t>4. Pick n Mix Out</t>
        </is>
      </c>
      <c r="D539" s="1349" t="inlineStr">
        <is>
          <t>PicknMix</t>
        </is>
      </c>
      <c r="E539" s="1351" t="n">
        <v>-60</v>
      </c>
      <c r="F539" s="1349" t="inlineStr">
        <is>
          <t>Poppy Fields</t>
        </is>
      </c>
      <c r="G539" s="1349" t="inlineStr">
        <is>
          <t>Existing</t>
        </is>
      </c>
      <c r="H539" s="914" t="n"/>
    </row>
    <row r="540" ht="13.5" customHeight="1" s="1232">
      <c r="A540" s="1348" t="n">
        <v>44262</v>
      </c>
      <c r="B540" s="1349" t="inlineStr">
        <is>
          <t>Kirsten Pearce</t>
        </is>
      </c>
      <c r="C540" s="1350" t="inlineStr">
        <is>
          <t>2. Workshops</t>
        </is>
      </c>
      <c r="D540" s="1349" t="inlineStr">
        <is>
          <t>PicknMix</t>
        </is>
      </c>
      <c r="E540" s="1351" t="n">
        <v>498.75</v>
      </c>
      <c r="F540" s="1349" t="inlineStr">
        <is>
          <t>Yorkshire Dales</t>
        </is>
      </c>
      <c r="G540" s="1349" t="inlineStr">
        <is>
          <t>Existing</t>
        </is>
      </c>
      <c r="H540" s="914" t="n"/>
    </row>
    <row r="541" ht="13.5" customHeight="1" s="1232">
      <c r="A541" s="1348" t="n">
        <v>44262</v>
      </c>
      <c r="B541" s="1349" t="inlineStr">
        <is>
          <t>Kirsten Pearce</t>
        </is>
      </c>
      <c r="C541" s="1350" t="inlineStr">
        <is>
          <t>4. Pick n Mix Out</t>
        </is>
      </c>
      <c r="D541" s="1349" t="inlineStr">
        <is>
          <t>PicknMix</t>
        </is>
      </c>
      <c r="E541" s="1351" t="n">
        <v>-498.75</v>
      </c>
      <c r="F541" s="1349" t="inlineStr">
        <is>
          <t>Yorkshire Dales</t>
        </is>
      </c>
      <c r="G541" s="1349" t="inlineStr">
        <is>
          <t>Existing</t>
        </is>
      </c>
      <c r="H541" s="914" t="n"/>
    </row>
    <row r="542" ht="13.5" customHeight="1" s="1232">
      <c r="A542" s="1348" t="n">
        <v>44262</v>
      </c>
      <c r="B542" s="1349" t="inlineStr">
        <is>
          <t>Con McHugh</t>
        </is>
      </c>
      <c r="C542" s="1350" t="inlineStr">
        <is>
          <t>2. Workshops</t>
        </is>
      </c>
      <c r="D542" s="1349" t="inlineStr">
        <is>
          <t>PicknMix</t>
        </is>
      </c>
      <c r="E542" s="1351" t="n">
        <v>556</v>
      </c>
      <c r="F542" s="1349" t="inlineStr">
        <is>
          <t>Yorkshire Dales</t>
        </is>
      </c>
      <c r="G542" s="1349" t="inlineStr">
        <is>
          <t>Existing</t>
        </is>
      </c>
      <c r="H542" s="914" t="n"/>
    </row>
    <row r="543" ht="13.5" customHeight="1" s="1232">
      <c r="A543" s="1348" t="n">
        <v>44262</v>
      </c>
      <c r="B543" s="1349" t="inlineStr">
        <is>
          <t>Con McHugh</t>
        </is>
      </c>
      <c r="C543" s="1350" t="inlineStr">
        <is>
          <t>4. Pick n Mix Out</t>
        </is>
      </c>
      <c r="D543" s="1349" t="inlineStr">
        <is>
          <t>PicknMix</t>
        </is>
      </c>
      <c r="E543" s="1351" t="n">
        <v>-556</v>
      </c>
      <c r="F543" s="1349" t="inlineStr">
        <is>
          <t>Yorkshire Dales</t>
        </is>
      </c>
      <c r="G543" s="1349" t="inlineStr">
        <is>
          <t>Existing</t>
        </is>
      </c>
      <c r="H543" s="914" t="n"/>
    </row>
    <row r="544" ht="13.5" customHeight="1" s="1232">
      <c r="A544" s="1348" t="n">
        <v>44262</v>
      </c>
      <c r="B544" s="1349" t="inlineStr">
        <is>
          <t>Joyce James</t>
        </is>
      </c>
      <c r="C544" s="1350" t="inlineStr">
        <is>
          <t>2. Workshops</t>
        </is>
      </c>
      <c r="D544" s="1349" t="inlineStr">
        <is>
          <t>PicknMix</t>
        </is>
      </c>
      <c r="E544" s="1351" t="n">
        <v>556</v>
      </c>
      <c r="F544" s="1349" t="inlineStr">
        <is>
          <t>Yorkshire Dales</t>
        </is>
      </c>
      <c r="G544" s="1349" t="inlineStr">
        <is>
          <t>Existing</t>
        </is>
      </c>
      <c r="H544" s="914" t="n"/>
    </row>
    <row r="545" ht="13.5" customHeight="1" s="1232">
      <c r="A545" s="1348" t="n">
        <v>44262</v>
      </c>
      <c r="B545" s="1349" t="inlineStr">
        <is>
          <t>Joyce James</t>
        </is>
      </c>
      <c r="C545" s="1350" t="inlineStr">
        <is>
          <t>4. Pick n Mix Out</t>
        </is>
      </c>
      <c r="D545" s="1349" t="inlineStr">
        <is>
          <t>PicknMix</t>
        </is>
      </c>
      <c r="E545" s="1351" t="n">
        <v>-500</v>
      </c>
      <c r="F545" s="1349" t="inlineStr">
        <is>
          <t>Yorkshire Dales</t>
        </is>
      </c>
      <c r="G545" s="1349" t="inlineStr">
        <is>
          <t>Existing</t>
        </is>
      </c>
      <c r="H545" s="914" t="n"/>
    </row>
    <row r="546" ht="13.5" customHeight="1" s="1232">
      <c r="A546" s="1348" t="n">
        <v>44260</v>
      </c>
      <c r="B546" s="1349" t="inlineStr">
        <is>
          <t>Susie Johnston</t>
        </is>
      </c>
      <c r="C546" s="1350" t="inlineStr">
        <is>
          <t>1. Courses/masterclasses</t>
        </is>
      </c>
      <c r="D546" s="1349" t="inlineStr">
        <is>
          <t>Stripe</t>
        </is>
      </c>
      <c r="E546" s="1351" t="n">
        <v>20</v>
      </c>
      <c r="F546" s="1349" t="inlineStr">
        <is>
          <t>Zoom - Camera Craft</t>
        </is>
      </c>
      <c r="G546" s="1349" t="inlineStr">
        <is>
          <t>Existing</t>
        </is>
      </c>
      <c r="H546" s="914" t="n"/>
    </row>
    <row r="547" ht="13.5" customHeight="1" s="1232">
      <c r="A547" s="1348" t="n">
        <v>44260</v>
      </c>
      <c r="B547" s="1349" t="inlineStr">
        <is>
          <t>Colin Perry</t>
        </is>
      </c>
      <c r="C547" s="1350" t="inlineStr">
        <is>
          <t>2. Workshops</t>
        </is>
      </c>
      <c r="D547" s="1349" t="inlineStr">
        <is>
          <t>PayPal</t>
        </is>
      </c>
      <c r="E547" s="1351" t="n">
        <v>375</v>
      </c>
      <c r="F547" s="1349" t="inlineStr">
        <is>
          <t>Anglesey + Betsy Co-ed</t>
        </is>
      </c>
      <c r="G547" s="1349" t="inlineStr">
        <is>
          <t>Existing</t>
        </is>
      </c>
      <c r="H547" s="914" t="n"/>
    </row>
    <row r="548" ht="13.5" customHeight="1" s="1232">
      <c r="A548" s="1348" t="n">
        <v>44259</v>
      </c>
      <c r="B548" s="1349" t="inlineStr">
        <is>
          <t>Neil Partridge</t>
        </is>
      </c>
      <c r="C548" s="1350" t="inlineStr">
        <is>
          <t>2. Workshops</t>
        </is>
      </c>
      <c r="D548" s="1349" t="inlineStr">
        <is>
          <t>Stripe</t>
        </is>
      </c>
      <c r="E548" s="1351" t="n">
        <v>99</v>
      </c>
      <c r="F548" s="1349" t="inlineStr">
        <is>
          <t>Bluebells Workshop</t>
        </is>
      </c>
      <c r="G548" s="1349" t="inlineStr">
        <is>
          <t>Existing</t>
        </is>
      </c>
      <c r="H548" s="914" t="n"/>
    </row>
    <row r="549" ht="13.5" customHeight="1" s="1232">
      <c r="A549" s="1348" t="n">
        <v>44259</v>
      </c>
      <c r="B549" s="1349" t="inlineStr">
        <is>
          <t>Nadejda Williams</t>
        </is>
      </c>
      <c r="C549" s="1350" t="inlineStr">
        <is>
          <t>5. Mentoring</t>
        </is>
      </c>
      <c r="D549" s="1349" t="inlineStr">
        <is>
          <t>PayPal</t>
        </is>
      </c>
      <c r="E549" s="1351" t="n">
        <v>60</v>
      </c>
      <c r="F549" s="1349" t="inlineStr">
        <is>
          <t>3 Mentoring Assignments</t>
        </is>
      </c>
      <c r="G549" s="1349" t="inlineStr">
        <is>
          <t>Google</t>
        </is>
      </c>
      <c r="H549" s="914" t="n"/>
    </row>
    <row r="550" ht="13.5" customHeight="1" s="1232">
      <c r="A550" s="1348" t="n">
        <v>44256</v>
      </c>
      <c r="B550" s="1349" t="inlineStr">
        <is>
          <t>Stacey Hammond</t>
        </is>
      </c>
      <c r="C550" s="1350" t="inlineStr">
        <is>
          <t>1. Courses/masterclasses</t>
        </is>
      </c>
      <c r="D550" s="1349" t="inlineStr">
        <is>
          <t>PayPal</t>
        </is>
      </c>
      <c r="E550" s="1351" t="n">
        <v>20</v>
      </c>
      <c r="F550" s="1349" t="inlineStr">
        <is>
          <t>Zoom Composition</t>
        </is>
      </c>
      <c r="G550" s="1349" t="inlineStr">
        <is>
          <t>Referral</t>
        </is>
      </c>
      <c r="H550" s="914" t="n"/>
    </row>
    <row r="551" ht="13.5" customHeight="1" s="1232">
      <c r="A551" s="1348" t="n">
        <v>44256</v>
      </c>
      <c r="B551" s="1349" t="inlineStr">
        <is>
          <t>Maureen McFadden</t>
        </is>
      </c>
      <c r="C551" s="1350" t="inlineStr">
        <is>
          <t>1. Courses/masterclasses</t>
        </is>
      </c>
      <c r="D551" s="1349" t="inlineStr">
        <is>
          <t>PayPal</t>
        </is>
      </c>
      <c r="E551" s="1351" t="n">
        <v>20</v>
      </c>
      <c r="F551" s="1349" t="inlineStr">
        <is>
          <t>Zoom Composition</t>
        </is>
      </c>
      <c r="G551" s="1349" t="inlineStr">
        <is>
          <t>Referral</t>
        </is>
      </c>
      <c r="H551" s="914" t="n"/>
    </row>
    <row r="552" ht="13.5" customHeight="1" s="1232">
      <c r="A552" s="1348" t="n">
        <v>44256</v>
      </c>
      <c r="B552" s="1349" t="inlineStr">
        <is>
          <t>Stacey Hammond</t>
        </is>
      </c>
      <c r="C552" s="1350" t="inlineStr">
        <is>
          <t>1. Courses/masterclasses</t>
        </is>
      </c>
      <c r="D552" s="1349" t="inlineStr">
        <is>
          <t>PayPal</t>
        </is>
      </c>
      <c r="E552" s="1351" t="n">
        <v>20</v>
      </c>
      <c r="F552" s="1349" t="inlineStr">
        <is>
          <t>Zoom Camera Craft</t>
        </is>
      </c>
      <c r="G552" s="1349" t="inlineStr">
        <is>
          <t>Referral</t>
        </is>
      </c>
      <c r="H552" s="914" t="n"/>
    </row>
    <row r="553" ht="13.5" customHeight="1" s="1232">
      <c r="A553" s="1348" t="n">
        <v>44256</v>
      </c>
      <c r="B553" s="1349" t="inlineStr">
        <is>
          <t>Maureen McFadden</t>
        </is>
      </c>
      <c r="C553" s="1350" t="inlineStr">
        <is>
          <t>1. Courses/masterclasses</t>
        </is>
      </c>
      <c r="D553" s="1349" t="inlineStr">
        <is>
          <t>PayPal</t>
        </is>
      </c>
      <c r="E553" s="1351" t="n">
        <v>20</v>
      </c>
      <c r="F553" s="1349" t="inlineStr">
        <is>
          <t>Zoom Camera Craft</t>
        </is>
      </c>
      <c r="G553" s="1349" t="inlineStr">
        <is>
          <t>Referral</t>
        </is>
      </c>
      <c r="H553" s="914" t="n"/>
    </row>
    <row r="554" ht="13.5" customHeight="1" s="1232">
      <c r="A554" s="1348" t="n">
        <v>44256</v>
      </c>
      <c r="B554" s="1349" t="inlineStr">
        <is>
          <t>Stacey Hammond</t>
        </is>
      </c>
      <c r="C554" s="1350" t="inlineStr">
        <is>
          <t>1. Courses/masterclasses</t>
        </is>
      </c>
      <c r="D554" s="1349" t="inlineStr">
        <is>
          <t>PayPal</t>
        </is>
      </c>
      <c r="E554" s="1351" t="n">
        <v>20</v>
      </c>
      <c r="F554" s="1349" t="inlineStr">
        <is>
          <t>Zoom Get Off Auto</t>
        </is>
      </c>
      <c r="G554" s="1349" t="inlineStr">
        <is>
          <t>Referral</t>
        </is>
      </c>
      <c r="H554" s="914" t="n"/>
    </row>
    <row r="555" ht="13.5" customHeight="1" s="1232">
      <c r="A555" s="1348" t="n">
        <v>44256</v>
      </c>
      <c r="B555" s="1349" t="inlineStr">
        <is>
          <t>Maureen McFadden</t>
        </is>
      </c>
      <c r="C555" s="1350" t="inlineStr">
        <is>
          <t>1. Courses/masterclasses</t>
        </is>
      </c>
      <c r="D555" s="1349" t="inlineStr">
        <is>
          <t>PayPal</t>
        </is>
      </c>
      <c r="E555" s="1351" t="n">
        <v>20</v>
      </c>
      <c r="F555" s="1349" t="inlineStr">
        <is>
          <t>Zoom Get Off Auto</t>
        </is>
      </c>
      <c r="G555" s="1349" t="inlineStr">
        <is>
          <t>Referral</t>
        </is>
      </c>
      <c r="H555" s="914" t="n"/>
    </row>
    <row r="556" ht="13.5" customHeight="1" s="1232">
      <c r="A556" s="1348" t="n">
        <v>44256</v>
      </c>
      <c r="B556" s="1349" t="inlineStr">
        <is>
          <t>Stacey Hammond</t>
        </is>
      </c>
      <c r="C556" s="1350" t="inlineStr">
        <is>
          <t>2. Workshops</t>
        </is>
      </c>
      <c r="D556" s="1349" t="inlineStr">
        <is>
          <t>PayPal</t>
        </is>
      </c>
      <c r="E556" s="1351" t="n">
        <v>99</v>
      </c>
      <c r="F556" s="1349" t="inlineStr">
        <is>
          <t>Bluebells Workshop</t>
        </is>
      </c>
      <c r="G556" s="1349" t="inlineStr">
        <is>
          <t>Referral</t>
        </is>
      </c>
      <c r="H556" s="914" t="n"/>
    </row>
    <row r="557" ht="13.5" customHeight="1" s="1232">
      <c r="A557" s="1348" t="n">
        <v>44256</v>
      </c>
      <c r="B557" s="1349" t="inlineStr">
        <is>
          <t>Maureen McFadden</t>
        </is>
      </c>
      <c r="C557" s="1350" t="inlineStr">
        <is>
          <t>2. Workshops</t>
        </is>
      </c>
      <c r="D557" s="1349" t="inlineStr">
        <is>
          <t>PayPal</t>
        </is>
      </c>
      <c r="E557" s="1351" t="n">
        <v>99</v>
      </c>
      <c r="F557" s="1349" t="inlineStr">
        <is>
          <t>Bluebells Workshop</t>
        </is>
      </c>
      <c r="G557" s="1349" t="inlineStr">
        <is>
          <t>Referral</t>
        </is>
      </c>
      <c r="H557" s="914" t="n"/>
    </row>
    <row r="558" ht="13.5" customHeight="1" s="1232">
      <c r="A558" s="1348" t="n">
        <v>44256</v>
      </c>
      <c r="B558" s="1349" t="inlineStr">
        <is>
          <t>Karen Clothier</t>
        </is>
      </c>
      <c r="C558" s="1350" t="inlineStr">
        <is>
          <t>6. 1-2-1</t>
        </is>
      </c>
      <c r="D558" s="1349" t="inlineStr">
        <is>
          <t>Stripe</t>
        </is>
      </c>
      <c r="E558" s="1351" t="n">
        <v>12375</v>
      </c>
      <c r="F558" s="1349" t="inlineStr">
        <is>
          <t>1-2-1 Tuition for 2021</t>
        </is>
      </c>
      <c r="G558" s="1349" t="inlineStr">
        <is>
          <t>Existing</t>
        </is>
      </c>
      <c r="H558" s="914" t="n">
        <v>12375</v>
      </c>
    </row>
    <row r="559" ht="13.5" customHeight="1" s="1232">
      <c r="A559" s="1348" t="n">
        <v>44256</v>
      </c>
      <c r="B559" s="1349" t="inlineStr">
        <is>
          <t>Pick n Mix Subs</t>
        </is>
      </c>
      <c r="C559" s="1350" t="inlineStr">
        <is>
          <t>3. Pick n Mix Inc</t>
        </is>
      </c>
      <c r="D559" s="1349" t="inlineStr">
        <is>
          <t>Various</t>
        </is>
      </c>
      <c r="E559" s="1351" t="n">
        <v>187.5</v>
      </c>
      <c r="F559" s="1349" t="inlineStr">
        <is>
          <t>Pick N Mix Payments</t>
        </is>
      </c>
      <c r="G559" s="1349" t="inlineStr">
        <is>
          <t>Existing</t>
        </is>
      </c>
      <c r="H559" s="914" t="n"/>
    </row>
    <row r="560" ht="13.5" customHeight="1" s="1232">
      <c r="A560" s="1348" t="n">
        <v>44256</v>
      </c>
      <c r="B560" s="1349" t="inlineStr">
        <is>
          <t>Mentoring Subs</t>
        </is>
      </c>
      <c r="C560" s="1350" t="inlineStr">
        <is>
          <t>5. Mentoring</t>
        </is>
      </c>
      <c r="D560" s="1350" t="inlineStr">
        <is>
          <t>Various</t>
        </is>
      </c>
      <c r="E560" s="1392" t="n">
        <v>80</v>
      </c>
      <c r="F560" s="1350" t="inlineStr">
        <is>
          <t>Mentoring Subs</t>
        </is>
      </c>
      <c r="G560" s="1350" t="inlineStr">
        <is>
          <t>Existing</t>
        </is>
      </c>
      <c r="H560" s="914" t="n"/>
    </row>
    <row r="562" ht="13.5" customHeight="1" s="1232">
      <c r="A562" s="1348" t="n">
        <v>44255</v>
      </c>
      <c r="B562" s="1349" t="inlineStr">
        <is>
          <t>Rhian Hayes</t>
        </is>
      </c>
      <c r="C562" s="1350" t="inlineStr">
        <is>
          <t>1. Courses/masterclasses</t>
        </is>
      </c>
      <c r="D562" s="1349" t="inlineStr">
        <is>
          <t>PayPal</t>
        </is>
      </c>
      <c r="E562" s="1351" t="n">
        <v>20</v>
      </c>
      <c r="F562" s="1349" t="inlineStr">
        <is>
          <t>Zoom Getting Started LR</t>
        </is>
      </c>
      <c r="G562" s="1349" t="inlineStr">
        <is>
          <t>Existing</t>
        </is>
      </c>
    </row>
    <row r="563" ht="13.5" customHeight="1" s="1232">
      <c r="A563" s="1348" t="n">
        <v>44254</v>
      </c>
      <c r="B563" s="1349" t="inlineStr">
        <is>
          <t>Catherine Githu</t>
        </is>
      </c>
      <c r="C563" s="1350" t="inlineStr">
        <is>
          <t>1. Courses/masterclasses</t>
        </is>
      </c>
      <c r="D563" s="1349" t="inlineStr">
        <is>
          <t>Stripe</t>
        </is>
      </c>
      <c r="E563" s="1351" t="n">
        <v>20</v>
      </c>
      <c r="F563" s="1349" t="inlineStr">
        <is>
          <t>Zoom Get Off Auto</t>
        </is>
      </c>
      <c r="G563" s="1349" t="inlineStr">
        <is>
          <t>Google</t>
        </is>
      </c>
    </row>
    <row r="564" ht="13.5" customHeight="1" s="1232">
      <c r="A564" s="1348" t="n">
        <v>44254</v>
      </c>
      <c r="B564" s="1349" t="inlineStr">
        <is>
          <t>Susie Johnston</t>
        </is>
      </c>
      <c r="C564" s="1350" t="inlineStr">
        <is>
          <t>1. Courses/masterclasses</t>
        </is>
      </c>
      <c r="D564" s="1349" t="inlineStr">
        <is>
          <t>PayPal</t>
        </is>
      </c>
      <c r="E564" s="1351" t="n">
        <v>20</v>
      </c>
      <c r="F564" s="1349" t="inlineStr">
        <is>
          <t>Zoom Get Off Auto</t>
        </is>
      </c>
      <c r="G564" s="1349" t="inlineStr">
        <is>
          <t>Google</t>
        </is>
      </c>
    </row>
    <row r="565" ht="13.5" customHeight="1" s="1232">
      <c r="A565" s="1348" t="n">
        <v>44254</v>
      </c>
      <c r="B565" s="1349" t="inlineStr">
        <is>
          <t>Tony Teague</t>
        </is>
      </c>
      <c r="C565" s="1350" t="inlineStr">
        <is>
          <t>1. Courses/masterclasses</t>
        </is>
      </c>
      <c r="D565" s="1349" t="inlineStr">
        <is>
          <t>Stripe</t>
        </is>
      </c>
      <c r="E565" s="1351" t="n">
        <v>150</v>
      </c>
      <c r="F565" s="1349" t="inlineStr">
        <is>
          <t>1 Month Mini Project</t>
        </is>
      </c>
      <c r="G565" s="1349" t="inlineStr">
        <is>
          <t>Existing</t>
        </is>
      </c>
    </row>
    <row r="566" ht="13.5" customHeight="1" s="1232">
      <c r="A566" s="1348" t="n">
        <v>44253</v>
      </c>
      <c r="B566" s="1349" t="inlineStr">
        <is>
          <t>Janice Jordan</t>
        </is>
      </c>
      <c r="C566" s="1350" t="inlineStr">
        <is>
          <t>1. Courses/masterclasses</t>
        </is>
      </c>
      <c r="D566" s="1349" t="inlineStr">
        <is>
          <t>Stripe</t>
        </is>
      </c>
      <c r="E566" s="1351" t="n">
        <v>150</v>
      </c>
      <c r="F566" s="1349" t="inlineStr">
        <is>
          <t>1 Month Mini Project</t>
        </is>
      </c>
      <c r="G566" s="1349" t="inlineStr">
        <is>
          <t>Existing</t>
        </is>
      </c>
    </row>
    <row r="567" ht="13.5" customHeight="1" s="1232">
      <c r="A567" s="1348" t="n">
        <v>44252</v>
      </c>
      <c r="B567" s="1349" t="inlineStr">
        <is>
          <t>Karen Skillings</t>
        </is>
      </c>
      <c r="C567" s="1350" t="inlineStr">
        <is>
          <t>1. Courses/masterclasses</t>
        </is>
      </c>
      <c r="D567" s="1349" t="inlineStr">
        <is>
          <t>PayPal</t>
        </is>
      </c>
      <c r="E567" s="1351" t="n">
        <v>17.5</v>
      </c>
      <c r="F567" s="1349" t="inlineStr">
        <is>
          <t>Zoom Camera Composition</t>
        </is>
      </c>
      <c r="G567" s="1349" t="inlineStr">
        <is>
          <t>Existing</t>
        </is>
      </c>
    </row>
    <row r="568" ht="13.5" customHeight="1" s="1232">
      <c r="A568" s="1348" t="n">
        <v>44252</v>
      </c>
      <c r="B568" s="1349" t="inlineStr">
        <is>
          <t>Karen Skillings</t>
        </is>
      </c>
      <c r="C568" s="1350" t="inlineStr">
        <is>
          <t>1. Courses/masterclasses</t>
        </is>
      </c>
      <c r="D568" s="1349" t="inlineStr">
        <is>
          <t>PayPal</t>
        </is>
      </c>
      <c r="E568" s="1351" t="n">
        <v>17.5</v>
      </c>
      <c r="F568" s="1349" t="inlineStr">
        <is>
          <t>Zoom Camera Craft</t>
        </is>
      </c>
      <c r="G568" s="1349" t="inlineStr">
        <is>
          <t>Existing</t>
        </is>
      </c>
    </row>
    <row r="569" ht="13.5" customHeight="1" s="1232">
      <c r="A569" s="1348" t="n">
        <v>44252</v>
      </c>
      <c r="B569" s="1349" t="inlineStr">
        <is>
          <t>Kim Cunningham</t>
        </is>
      </c>
      <c r="C569" s="1350" t="inlineStr">
        <is>
          <t>1. Courses/masterclasses</t>
        </is>
      </c>
      <c r="D569" s="1349" t="inlineStr">
        <is>
          <t>PayPal</t>
        </is>
      </c>
      <c r="E569" s="1351" t="n">
        <v>17.5</v>
      </c>
      <c r="F569" s="1349" t="inlineStr">
        <is>
          <t>Zoom Get Off Auto</t>
        </is>
      </c>
      <c r="G569" s="1349" t="inlineStr">
        <is>
          <t>Google</t>
        </is>
      </c>
    </row>
    <row r="570" ht="13.5" customHeight="1" s="1232">
      <c r="A570" s="1348" t="n">
        <v>44252</v>
      </c>
      <c r="B570" s="1349" t="inlineStr">
        <is>
          <t>solange Omanyondo</t>
        </is>
      </c>
      <c r="C570" s="1350" t="inlineStr">
        <is>
          <t>7. Gift Vouchers Inc</t>
        </is>
      </c>
      <c r="D570" s="1349" t="inlineStr">
        <is>
          <t>Stripe</t>
        </is>
      </c>
      <c r="E570" s="1351" t="n">
        <v>50</v>
      </c>
      <c r="F570" s="1349" t="inlineStr">
        <is>
          <t>Digital Gift Card</t>
        </is>
      </c>
      <c r="G570" s="1349" t="inlineStr">
        <is>
          <t>Google</t>
        </is>
      </c>
    </row>
    <row r="571" ht="13.5" customHeight="1" s="1232">
      <c r="A571" s="1348" t="n">
        <v>44252</v>
      </c>
      <c r="B571" s="1349" t="inlineStr">
        <is>
          <t>Pixsy</t>
        </is>
      </c>
      <c r="C571" s="1350" t="inlineStr">
        <is>
          <t>9. Prints &amp; Royalties</t>
        </is>
      </c>
      <c r="D571" s="1349" t="inlineStr">
        <is>
          <t>PayPal</t>
        </is>
      </c>
      <c r="E571" s="1351" t="n">
        <v>294.8</v>
      </c>
      <c r="F571" s="1349" t="inlineStr">
        <is>
          <t>Copyright Claim</t>
        </is>
      </c>
      <c r="G571" s="1349" t="inlineStr">
        <is>
          <t>Existing</t>
        </is>
      </c>
    </row>
    <row r="572" ht="13.5" customHeight="1" s="1232">
      <c r="A572" s="1348" t="n">
        <v>44251</v>
      </c>
      <c r="B572" s="1349" t="inlineStr">
        <is>
          <t>Jonathan Ellis</t>
        </is>
      </c>
      <c r="C572" s="1350" t="inlineStr">
        <is>
          <t>2. Workshops</t>
        </is>
      </c>
      <c r="D572" s="1349" t="inlineStr">
        <is>
          <t>Stripe</t>
        </is>
      </c>
      <c r="E572" s="1351" t="n">
        <v>99</v>
      </c>
      <c r="F572" s="1349" t="inlineStr">
        <is>
          <t>Bluebell Workshop</t>
        </is>
      </c>
      <c r="G572" s="1349" t="inlineStr">
        <is>
          <t>Existing</t>
        </is>
      </c>
    </row>
    <row r="573" ht="13.5" customHeight="1" s="1232">
      <c r="A573" s="1348" t="n">
        <v>44251</v>
      </c>
      <c r="B573" s="1349" t="inlineStr">
        <is>
          <t xml:space="preserve">David Andringa </t>
        </is>
      </c>
      <c r="C573" s="1350" t="inlineStr">
        <is>
          <t>1. Courses/masterclasses</t>
        </is>
      </c>
      <c r="D573" s="1349" t="inlineStr">
        <is>
          <t>Stripe</t>
        </is>
      </c>
      <c r="E573" s="1351" t="n">
        <v>20</v>
      </c>
      <c r="F573" s="1349" t="inlineStr">
        <is>
          <t>Zoom B&amp;W</t>
        </is>
      </c>
      <c r="G573" s="1349" t="inlineStr">
        <is>
          <t>Existing</t>
        </is>
      </c>
    </row>
    <row r="574" ht="13.5" customHeight="1" s="1232">
      <c r="A574" s="1348" t="n">
        <v>44251</v>
      </c>
      <c r="B574" s="1349" t="inlineStr">
        <is>
          <t xml:space="preserve">David Andringa </t>
        </is>
      </c>
      <c r="C574" s="1350" t="inlineStr">
        <is>
          <t>1. Courses/masterclasses</t>
        </is>
      </c>
      <c r="D574" s="1349" t="inlineStr">
        <is>
          <t>Stripe</t>
        </is>
      </c>
      <c r="E574" s="1351" t="n">
        <v>20</v>
      </c>
      <c r="F574" s="1349" t="inlineStr">
        <is>
          <t>Zoom Getting Started LR</t>
        </is>
      </c>
      <c r="G574" s="1349" t="inlineStr">
        <is>
          <t>Existing</t>
        </is>
      </c>
    </row>
    <row r="575" ht="13.5" customHeight="1" s="1232">
      <c r="A575" s="1348" t="n">
        <v>44250</v>
      </c>
      <c r="B575" s="1349" t="inlineStr">
        <is>
          <t>Anita Davies</t>
        </is>
      </c>
      <c r="C575" s="1350" t="inlineStr">
        <is>
          <t>1. Courses/masterclasses</t>
        </is>
      </c>
      <c r="D575" s="1349" t="inlineStr">
        <is>
          <t>Stripe</t>
        </is>
      </c>
      <c r="E575" s="1351" t="n">
        <v>17.5</v>
      </c>
      <c r="F575" s="1349" t="inlineStr">
        <is>
          <t>Zoom Camera Craft</t>
        </is>
      </c>
      <c r="G575" s="1349" t="inlineStr">
        <is>
          <t>Existing</t>
        </is>
      </c>
    </row>
    <row r="576" ht="13.5" customHeight="1" s="1232">
      <c r="A576" s="1348" t="n">
        <v>44250</v>
      </c>
      <c r="B576" s="1349" t="inlineStr">
        <is>
          <t>Michael Jaye</t>
        </is>
      </c>
      <c r="C576" s="1350" t="inlineStr">
        <is>
          <t>2. Workshops</t>
        </is>
      </c>
      <c r="D576" s="1349" t="inlineStr">
        <is>
          <t>Stripe</t>
        </is>
      </c>
      <c r="E576" s="1351" t="n">
        <v>99</v>
      </c>
      <c r="F576" s="1349" t="inlineStr">
        <is>
          <t>Bluebell Workshop</t>
        </is>
      </c>
      <c r="G576" s="1349" t="inlineStr">
        <is>
          <t>Existing</t>
        </is>
      </c>
    </row>
    <row r="577" ht="13.5" customHeight="1" s="1232">
      <c r="A577" s="1348" t="n">
        <v>44249</v>
      </c>
      <c r="B577" s="1349" t="inlineStr">
        <is>
          <t>Karen Clothier</t>
        </is>
      </c>
      <c r="C577" s="1350" t="inlineStr">
        <is>
          <t>6. 1-2-1</t>
        </is>
      </c>
      <c r="D577" s="1349" t="inlineStr">
        <is>
          <t>PayPal</t>
        </is>
      </c>
      <c r="E577" s="1351" t="n">
        <v>750</v>
      </c>
      <c r="F577" s="1349" t="inlineStr">
        <is>
          <t>Zoom Classes</t>
        </is>
      </c>
      <c r="G577" s="1349" t="inlineStr">
        <is>
          <t>Existing</t>
        </is>
      </c>
    </row>
    <row r="578" ht="13.5" customHeight="1" s="1232">
      <c r="A578" s="1348" t="n">
        <v>44249</v>
      </c>
      <c r="B578" s="1349" t="inlineStr">
        <is>
          <t>Sam Reid</t>
        </is>
      </c>
      <c r="C578" s="1350" t="inlineStr">
        <is>
          <t>1. Courses/masterclasses</t>
        </is>
      </c>
      <c r="D578" s="1349" t="inlineStr">
        <is>
          <t>PayPal</t>
        </is>
      </c>
      <c r="E578" s="1351" t="n">
        <v>17.5</v>
      </c>
      <c r="F578" s="1349" t="inlineStr">
        <is>
          <t>Zoom Composition</t>
        </is>
      </c>
      <c r="G578" s="1349" t="inlineStr">
        <is>
          <t>Existing</t>
        </is>
      </c>
    </row>
    <row r="579" ht="13.5" customHeight="1" s="1232">
      <c r="A579" s="1348" t="n">
        <v>44247</v>
      </c>
      <c r="B579" s="1349" t="inlineStr">
        <is>
          <t>Lee Martin</t>
        </is>
      </c>
      <c r="C579" s="1350" t="inlineStr">
        <is>
          <t>6. 1-2-1</t>
        </is>
      </c>
      <c r="D579" s="1349" t="inlineStr">
        <is>
          <t>Stripe</t>
        </is>
      </c>
      <c r="E579" s="1351" t="n">
        <v>60</v>
      </c>
      <c r="F579" s="1349" t="inlineStr">
        <is>
          <t>Zooom 2hr 1-2-1</t>
        </is>
      </c>
      <c r="G579" s="1349" t="inlineStr">
        <is>
          <t>Existing</t>
        </is>
      </c>
    </row>
    <row r="580" ht="13.5" customHeight="1" s="1232">
      <c r="A580" s="1348" t="n">
        <v>44245</v>
      </c>
      <c r="B580" s="1349" t="inlineStr">
        <is>
          <t>Daren Baker</t>
        </is>
      </c>
      <c r="C580" s="1350" t="inlineStr">
        <is>
          <t>1. Courses/masterclasses</t>
        </is>
      </c>
      <c r="D580" s="1349" t="inlineStr">
        <is>
          <t>Stripe</t>
        </is>
      </c>
      <c r="E580" s="1351" t="n">
        <v>20</v>
      </c>
      <c r="F580" s="1349" t="inlineStr">
        <is>
          <t>Zoom Getting Started LR</t>
        </is>
      </c>
      <c r="G580" s="1349" t="inlineStr">
        <is>
          <t>Existing</t>
        </is>
      </c>
    </row>
    <row r="581" ht="13.5" customHeight="1" s="1232">
      <c r="A581" s="1348" t="n">
        <v>44245</v>
      </c>
      <c r="B581" s="1349" t="inlineStr">
        <is>
          <t>Daren Baker</t>
        </is>
      </c>
      <c r="C581" s="1350" t="inlineStr">
        <is>
          <t>1. Courses/masterclasses</t>
        </is>
      </c>
      <c r="D581" s="1349" t="inlineStr">
        <is>
          <t>Stripe</t>
        </is>
      </c>
      <c r="E581" s="1351" t="n">
        <v>20</v>
      </c>
      <c r="F581" s="1349" t="inlineStr">
        <is>
          <t>Zoom B&amp;W</t>
        </is>
      </c>
      <c r="G581" s="1349" t="inlineStr">
        <is>
          <t>Existing</t>
        </is>
      </c>
    </row>
    <row r="582" ht="13.5" customHeight="1" s="1232">
      <c r="A582" s="1348" t="n">
        <v>44245</v>
      </c>
      <c r="B582" s="1349" t="inlineStr">
        <is>
          <t>Daren Baker</t>
        </is>
      </c>
      <c r="C582" s="1350" t="inlineStr">
        <is>
          <t>1. Courses/masterclasses</t>
        </is>
      </c>
      <c r="D582" s="1349" t="inlineStr">
        <is>
          <t>Stripe</t>
        </is>
      </c>
      <c r="E582" s="1351" t="n">
        <v>17.5</v>
      </c>
      <c r="F582" s="1349" t="inlineStr">
        <is>
          <t>Zoom Bracketing &amp; Filters</t>
        </is>
      </c>
      <c r="G582" s="1349" t="inlineStr">
        <is>
          <t>Existing</t>
        </is>
      </c>
    </row>
    <row r="583" ht="13.5" customHeight="1" s="1232">
      <c r="A583" s="1348" t="n">
        <v>44245</v>
      </c>
      <c r="B583" s="1349" t="inlineStr">
        <is>
          <t xml:space="preserve">David Andringa </t>
        </is>
      </c>
      <c r="C583" s="1350" t="inlineStr">
        <is>
          <t>1. Courses/masterclasses</t>
        </is>
      </c>
      <c r="D583" s="1349" t="inlineStr">
        <is>
          <t>Stripe</t>
        </is>
      </c>
      <c r="E583" s="1351" t="n">
        <v>17.5</v>
      </c>
      <c r="F583" s="1349" t="inlineStr">
        <is>
          <t>Zoom Composition</t>
        </is>
      </c>
      <c r="G583" s="1349" t="inlineStr">
        <is>
          <t>Existing</t>
        </is>
      </c>
    </row>
    <row r="584" ht="13.5" customHeight="1" s="1232">
      <c r="A584" s="1348" t="n">
        <v>44245</v>
      </c>
      <c r="B584" s="1349" t="inlineStr">
        <is>
          <t>Karen Clothier</t>
        </is>
      </c>
      <c r="C584" s="1350" t="inlineStr">
        <is>
          <t>6. 1-2-1</t>
        </is>
      </c>
      <c r="D584" s="1349" t="inlineStr">
        <is>
          <t>PayPal</t>
        </is>
      </c>
      <c r="E584" s="1351" t="n">
        <v>17.5</v>
      </c>
      <c r="F584" s="1349" t="inlineStr">
        <is>
          <t>PC Support</t>
        </is>
      </c>
      <c r="G584" s="1349" t="inlineStr">
        <is>
          <t>Existing</t>
        </is>
      </c>
    </row>
    <row r="585" ht="13.5" customHeight="1" s="1232">
      <c r="A585" s="1348" t="n">
        <v>44244</v>
      </c>
      <c r="B585" s="1349" t="inlineStr">
        <is>
          <t>Emma Leech</t>
        </is>
      </c>
      <c r="C585" s="1350" t="inlineStr">
        <is>
          <t>1. Courses/masterclasses</t>
        </is>
      </c>
      <c r="D585" s="1349" t="inlineStr">
        <is>
          <t>PayPal</t>
        </is>
      </c>
      <c r="E585" s="1351" t="n">
        <v>17.5</v>
      </c>
      <c r="F585" s="1349" t="inlineStr">
        <is>
          <t>Zoom Composition</t>
        </is>
      </c>
      <c r="G585" s="1349" t="inlineStr">
        <is>
          <t>Existing</t>
        </is>
      </c>
    </row>
    <row r="586" ht="13.5" customHeight="1" s="1232">
      <c r="A586" s="1348" t="n">
        <v>44243</v>
      </c>
      <c r="B586" s="1349" t="inlineStr">
        <is>
          <t>Rhian Hayes</t>
        </is>
      </c>
      <c r="C586" s="1350" t="inlineStr">
        <is>
          <t>1. Courses/masterclasses</t>
        </is>
      </c>
      <c r="D586" s="1349" t="inlineStr">
        <is>
          <t>Stripe</t>
        </is>
      </c>
      <c r="E586" s="1351" t="n">
        <v>17.5</v>
      </c>
      <c r="F586" s="1349" t="inlineStr">
        <is>
          <t>Zoom Composition</t>
        </is>
      </c>
      <c r="G586" s="1349" t="inlineStr">
        <is>
          <t>Existing</t>
        </is>
      </c>
    </row>
    <row r="587" ht="13.5" customHeight="1" s="1232">
      <c r="A587" s="1348" t="n">
        <v>44243</v>
      </c>
      <c r="B587" s="1349" t="inlineStr">
        <is>
          <t>Karen Skillings</t>
        </is>
      </c>
      <c r="C587" s="1350" t="inlineStr">
        <is>
          <t>1. Courses/masterclasses</t>
        </is>
      </c>
      <c r="D587" s="1349" t="inlineStr">
        <is>
          <t>PayPal</t>
        </is>
      </c>
      <c r="E587" s="1351" t="n">
        <v>17.5</v>
      </c>
      <c r="F587" s="1349" t="inlineStr">
        <is>
          <t>Zoom Get Off Auto</t>
        </is>
      </c>
      <c r="G587" s="1349" t="inlineStr">
        <is>
          <t>Google</t>
        </is>
      </c>
    </row>
    <row r="588" ht="13.5" customHeight="1" s="1232">
      <c r="A588" s="1348" t="n">
        <v>44243</v>
      </c>
      <c r="B588" s="1349" t="inlineStr">
        <is>
          <t>Lynne Gavin</t>
        </is>
      </c>
      <c r="C588" s="1350" t="inlineStr">
        <is>
          <t>1. Courses/masterclasses</t>
        </is>
      </c>
      <c r="D588" s="1349" t="inlineStr">
        <is>
          <t>PayPal</t>
        </is>
      </c>
      <c r="E588" s="1351" t="n">
        <v>395</v>
      </c>
      <c r="F588" s="1349" t="inlineStr">
        <is>
          <t>RPS Course</t>
        </is>
      </c>
      <c r="G588" s="1349" t="inlineStr">
        <is>
          <t>Existing</t>
        </is>
      </c>
    </row>
    <row r="589" ht="13.5" customHeight="1" s="1232">
      <c r="A589" s="1348" t="n">
        <v>44241</v>
      </c>
      <c r="B589" s="1349" t="inlineStr">
        <is>
          <t>jacki rosin</t>
        </is>
      </c>
      <c r="C589" s="1350" t="inlineStr">
        <is>
          <t>1. Courses/masterclasses</t>
        </is>
      </c>
      <c r="D589" s="1349" t="inlineStr">
        <is>
          <t>Stripe</t>
        </is>
      </c>
      <c r="E589" s="1351" t="n">
        <v>150</v>
      </c>
      <c r="F589" s="1349" t="inlineStr">
        <is>
          <t>1 Month Mini Project</t>
        </is>
      </c>
      <c r="G589" s="1349" t="inlineStr">
        <is>
          <t>Existing</t>
        </is>
      </c>
    </row>
    <row r="590" ht="13.5" customHeight="1" s="1232">
      <c r="A590" s="1348" t="n">
        <v>44240</v>
      </c>
      <c r="B590" s="1349" t="inlineStr">
        <is>
          <t>John Whitehouse</t>
        </is>
      </c>
      <c r="C590" s="1350" t="inlineStr">
        <is>
          <t>8. Gift Vouchers Out</t>
        </is>
      </c>
      <c r="D590" s="1349" t="inlineStr">
        <is>
          <t>Gift Voucher Out</t>
        </is>
      </c>
      <c r="E590" s="1351" t="n">
        <v>-150</v>
      </c>
      <c r="F590" s="1349" t="inlineStr">
        <is>
          <t>Bluebell Workshop</t>
        </is>
      </c>
      <c r="G590" s="1349" t="inlineStr">
        <is>
          <t>Existing</t>
        </is>
      </c>
    </row>
    <row r="591" ht="13.5" customHeight="1" s="1232">
      <c r="A591" s="1348" t="n">
        <v>44240</v>
      </c>
      <c r="B591" s="1349" t="inlineStr">
        <is>
          <t>John Whitehouse</t>
        </is>
      </c>
      <c r="C591" s="1350" t="inlineStr">
        <is>
          <t>2. Workshops</t>
        </is>
      </c>
      <c r="D591" s="1349" t="inlineStr">
        <is>
          <t>Gift Voucher Out</t>
        </is>
      </c>
      <c r="E591" s="1351" t="n">
        <v>150</v>
      </c>
      <c r="F591" s="1349" t="inlineStr">
        <is>
          <t>Bluebell Workshop</t>
        </is>
      </c>
      <c r="G591" s="1349" t="inlineStr">
        <is>
          <t>Existing</t>
        </is>
      </c>
    </row>
    <row r="592" ht="13.5" customHeight="1" s="1232">
      <c r="A592" s="1348" t="n">
        <v>44239</v>
      </c>
      <c r="B592" s="1349" t="inlineStr">
        <is>
          <t>Heart Of Garden</t>
        </is>
      </c>
      <c r="C592" s="1350" t="inlineStr">
        <is>
          <t>9. Prints &amp; Royalties</t>
        </is>
      </c>
      <c r="D592" s="1349" t="inlineStr">
        <is>
          <t>Bank</t>
        </is>
      </c>
      <c r="E592" s="1351" t="n">
        <v>166.37</v>
      </c>
      <c r="F592" s="1349" t="inlineStr">
        <is>
          <t>Greeting Card Royalties</t>
        </is>
      </c>
      <c r="G592" s="1349" t="inlineStr">
        <is>
          <t>Existing</t>
        </is>
      </c>
    </row>
    <row r="593" ht="13.5" customHeight="1" s="1232">
      <c r="A593" s="1348" t="n">
        <v>44239</v>
      </c>
      <c r="B593" s="1349" t="inlineStr">
        <is>
          <t>Lee Martin</t>
        </is>
      </c>
      <c r="C593" s="1350" t="inlineStr">
        <is>
          <t>6. 1-2-1</t>
        </is>
      </c>
      <c r="D593" s="1349" t="inlineStr">
        <is>
          <t>Stripe</t>
        </is>
      </c>
      <c r="E593" s="1351" t="n">
        <v>60</v>
      </c>
      <c r="F593" s="1349" t="inlineStr">
        <is>
          <t>Zooom 2hr 1-2-1</t>
        </is>
      </c>
      <c r="G593" s="1349" t="inlineStr">
        <is>
          <t>Existing</t>
        </is>
      </c>
    </row>
    <row r="594" ht="13.5" customHeight="1" s="1232">
      <c r="A594" s="1348" t="n">
        <v>44239</v>
      </c>
      <c r="B594" s="1349" t="inlineStr">
        <is>
          <t>Pixsy</t>
        </is>
      </c>
      <c r="C594" s="1350" t="inlineStr">
        <is>
          <t>9. Prints &amp; Royalties</t>
        </is>
      </c>
      <c r="D594" s="1349" t="inlineStr">
        <is>
          <t>PayPal</t>
        </is>
      </c>
      <c r="E594" s="1351" t="n">
        <v>313.52</v>
      </c>
      <c r="F594" s="1349" t="inlineStr">
        <is>
          <t>Copyright Claim</t>
        </is>
      </c>
      <c r="G594" s="1349" t="inlineStr">
        <is>
          <t>Existing</t>
        </is>
      </c>
    </row>
    <row r="595" ht="13.5" customHeight="1" s="1232">
      <c r="A595" s="1348" t="n">
        <v>44238</v>
      </c>
      <c r="B595" s="1349" t="inlineStr">
        <is>
          <t>Kirsten Pearce</t>
        </is>
      </c>
      <c r="C595" s="1350" t="inlineStr">
        <is>
          <t>1. Courses/masterclasses</t>
        </is>
      </c>
      <c r="D595" s="1349" t="inlineStr">
        <is>
          <t>PayPal</t>
        </is>
      </c>
      <c r="E595" s="1351" t="n">
        <v>150</v>
      </c>
      <c r="F595" s="1349" t="inlineStr">
        <is>
          <t>1 Month Mini Project</t>
        </is>
      </c>
      <c r="G595" s="1349" t="inlineStr">
        <is>
          <t>Existing</t>
        </is>
      </c>
    </row>
    <row r="596" ht="13.5" customHeight="1" s="1232">
      <c r="A596" s="1348" t="n">
        <v>44238</v>
      </c>
      <c r="B596" s="1349" t="inlineStr">
        <is>
          <t>Anita davies</t>
        </is>
      </c>
      <c r="C596" s="1350" t="inlineStr">
        <is>
          <t>1. Courses/masterclasses</t>
        </is>
      </c>
      <c r="D596" s="1349" t="inlineStr">
        <is>
          <t>Stripe</t>
        </is>
      </c>
      <c r="E596" s="1351" t="n">
        <v>15</v>
      </c>
      <c r="F596" s="1349" t="inlineStr">
        <is>
          <t>Zoom Get Off Auto</t>
        </is>
      </c>
      <c r="G596" s="1349" t="inlineStr">
        <is>
          <t>Google</t>
        </is>
      </c>
    </row>
    <row r="597" ht="13.5" customHeight="1" s="1232">
      <c r="A597" s="1348" t="n">
        <v>44238</v>
      </c>
      <c r="B597" s="1349" t="inlineStr">
        <is>
          <t>Janet Boulter</t>
        </is>
      </c>
      <c r="C597" s="1350" t="inlineStr">
        <is>
          <t>1. Courses/masterclasses</t>
        </is>
      </c>
      <c r="D597" s="1349" t="inlineStr">
        <is>
          <t>PayPal</t>
        </is>
      </c>
      <c r="E597" s="1351" t="n">
        <v>150</v>
      </c>
      <c r="F597" s="1349" t="inlineStr">
        <is>
          <t>1 Month Mini Project</t>
        </is>
      </c>
      <c r="G597" s="1349" t="inlineStr">
        <is>
          <t>Existing</t>
        </is>
      </c>
    </row>
    <row r="598" ht="13.5" customHeight="1" s="1232">
      <c r="A598" s="1348" t="n">
        <v>44236</v>
      </c>
      <c r="B598" s="1349" t="inlineStr">
        <is>
          <t>Lynne Gavin</t>
        </is>
      </c>
      <c r="C598" s="1350" t="inlineStr">
        <is>
          <t>1. Courses/masterclasses</t>
        </is>
      </c>
      <c r="D598" s="1349" t="inlineStr">
        <is>
          <t>PayPal</t>
        </is>
      </c>
      <c r="E598" s="1351" t="n">
        <v>15</v>
      </c>
      <c r="F598" s="1349" t="inlineStr">
        <is>
          <t>Composition Zoom Class</t>
        </is>
      </c>
      <c r="G598" s="1349" t="inlineStr">
        <is>
          <t>Existing</t>
        </is>
      </c>
    </row>
    <row r="599" ht="13.5" customHeight="1" s="1232">
      <c r="A599" s="1348" t="n">
        <v>44236</v>
      </c>
      <c r="B599" s="1349" t="inlineStr">
        <is>
          <t>Lynne Gavin</t>
        </is>
      </c>
      <c r="C599" s="1350" t="inlineStr">
        <is>
          <t>1. Courses/masterclasses</t>
        </is>
      </c>
      <c r="D599" s="1349" t="inlineStr">
        <is>
          <t>PayPal</t>
        </is>
      </c>
      <c r="E599" s="1351" t="n">
        <v>17.5</v>
      </c>
      <c r="F599" s="1349" t="inlineStr">
        <is>
          <t>Monthly Photo Critique</t>
        </is>
      </c>
      <c r="G599" s="1349" t="inlineStr">
        <is>
          <t>Existing</t>
        </is>
      </c>
    </row>
    <row r="600" ht="13.5" customHeight="1" s="1232">
      <c r="A600" s="1348" t="n">
        <v>44236</v>
      </c>
      <c r="B600" s="1349" t="inlineStr">
        <is>
          <t>Lynne Gavin</t>
        </is>
      </c>
      <c r="C600" s="1350" t="inlineStr">
        <is>
          <t>1. Courses/masterclasses</t>
        </is>
      </c>
      <c r="D600" s="1349" t="inlineStr">
        <is>
          <t>PayPal</t>
        </is>
      </c>
      <c r="E600" s="1351" t="n">
        <v>17.5</v>
      </c>
      <c r="F600" s="1349" t="inlineStr">
        <is>
          <t>Monthly Photo Critique</t>
        </is>
      </c>
      <c r="G600" s="1349" t="inlineStr">
        <is>
          <t>Existing</t>
        </is>
      </c>
    </row>
    <row r="601" ht="13.5" customHeight="1" s="1232">
      <c r="A601" s="1348" t="n">
        <v>44233</v>
      </c>
      <c r="B601" s="1349" t="inlineStr">
        <is>
          <t>Kim Walton-Evans</t>
        </is>
      </c>
      <c r="C601" s="1350" t="inlineStr">
        <is>
          <t>2. Workshops</t>
        </is>
      </c>
      <c r="D601" s="1349" t="inlineStr">
        <is>
          <t>Stripe</t>
        </is>
      </c>
      <c r="E601" s="1351" t="n">
        <v>50</v>
      </c>
      <c r="F601" s="1349" t="inlineStr">
        <is>
          <t>Long Exposure Kenilworth</t>
        </is>
      </c>
      <c r="G601" s="1349" t="inlineStr">
        <is>
          <t>Google</t>
        </is>
      </c>
    </row>
    <row r="602" ht="13.5" customHeight="1" s="1232">
      <c r="A602" s="1348" t="n">
        <v>44232</v>
      </c>
      <c r="B602" s="1349" t="inlineStr">
        <is>
          <t>David Andringa</t>
        </is>
      </c>
      <c r="C602" s="1350" t="inlineStr">
        <is>
          <t>1. Courses/masterclasses</t>
        </is>
      </c>
      <c r="D602" s="1349" t="inlineStr">
        <is>
          <t>Stripe</t>
        </is>
      </c>
      <c r="E602" s="1351" t="n">
        <v>15</v>
      </c>
      <c r="F602" s="1349" t="inlineStr">
        <is>
          <t>Zoom Camera Craft</t>
        </is>
      </c>
      <c r="G602" s="1349" t="inlineStr">
        <is>
          <t>Existing</t>
        </is>
      </c>
    </row>
    <row r="603" ht="13.5" customHeight="1" s="1232">
      <c r="A603" s="1348" t="n">
        <v>44231</v>
      </c>
      <c r="B603" s="1349" t="inlineStr">
        <is>
          <t>Julie Walton-Evans</t>
        </is>
      </c>
      <c r="C603" s="1350" t="inlineStr">
        <is>
          <t>6. 1-2-1</t>
        </is>
      </c>
      <c r="D603" s="1349" t="inlineStr">
        <is>
          <t>Stripe</t>
        </is>
      </c>
      <c r="E603" s="1351" t="n">
        <v>60</v>
      </c>
      <c r="F603" s="1349" t="inlineStr">
        <is>
          <t>Zoom 2hr 1-2-1</t>
        </is>
      </c>
      <c r="G603" s="1349" t="inlineStr">
        <is>
          <t>Google</t>
        </is>
      </c>
    </row>
    <row r="604" ht="13.5" customHeight="1" s="1232">
      <c r="A604" s="1348" t="n">
        <v>44230</v>
      </c>
      <c r="B604" s="1349" t="inlineStr">
        <is>
          <t>Lee Martin</t>
        </is>
      </c>
      <c r="C604" s="1350" t="inlineStr">
        <is>
          <t>6. 1-2-1</t>
        </is>
      </c>
      <c r="D604" s="1349" t="inlineStr">
        <is>
          <t>Stripe</t>
        </is>
      </c>
      <c r="E604" s="1351" t="n">
        <v>60</v>
      </c>
      <c r="F604" s="1349" t="inlineStr">
        <is>
          <t>Zoom 2hr 1-2-1</t>
        </is>
      </c>
      <c r="G604" s="1349" t="inlineStr">
        <is>
          <t>Google</t>
        </is>
      </c>
    </row>
    <row r="605" ht="13.5" customHeight="1" s="1232">
      <c r="A605" s="1348" t="n">
        <v>44229</v>
      </c>
      <c r="B605" s="1349" t="inlineStr">
        <is>
          <t>Daren Baker</t>
        </is>
      </c>
      <c r="C605" s="1350" t="inlineStr">
        <is>
          <t>1. Courses/masterclasses</t>
        </is>
      </c>
      <c r="D605" s="1349" t="inlineStr">
        <is>
          <t>PayPal</t>
        </is>
      </c>
      <c r="E605" s="1351" t="n">
        <v>15</v>
      </c>
      <c r="F605" s="1349" t="inlineStr">
        <is>
          <t>Composition Zoom Class</t>
        </is>
      </c>
      <c r="G605" s="1349" t="inlineStr">
        <is>
          <t>Existing</t>
        </is>
      </c>
    </row>
    <row r="606" ht="13.5" customHeight="1" s="1232">
      <c r="A606" s="1348" t="n">
        <v>44229</v>
      </c>
      <c r="B606" s="1349" t="inlineStr">
        <is>
          <t>Megan Greene</t>
        </is>
      </c>
      <c r="C606" s="1350" t="inlineStr">
        <is>
          <t>1. Courses/masterclasses</t>
        </is>
      </c>
      <c r="D606" s="1349" t="inlineStr">
        <is>
          <t>PayPal</t>
        </is>
      </c>
      <c r="E606" s="1351" t="n">
        <v>15</v>
      </c>
      <c r="F606" s="1349" t="inlineStr">
        <is>
          <t>Composition Zoom Class</t>
        </is>
      </c>
      <c r="G606" s="1349" t="inlineStr">
        <is>
          <t>Existing</t>
        </is>
      </c>
    </row>
    <row r="607" ht="13.5" customHeight="1" s="1232">
      <c r="A607" s="1348" t="n">
        <v>44228</v>
      </c>
      <c r="B607" s="1349" t="inlineStr">
        <is>
          <t>Mentoring Subs</t>
        </is>
      </c>
      <c r="C607" s="1350" t="inlineStr">
        <is>
          <t>5. Mentoring</t>
        </is>
      </c>
      <c r="D607" s="1350" t="inlineStr">
        <is>
          <t>Various</t>
        </is>
      </c>
      <c r="E607" s="1392" t="n">
        <v>80</v>
      </c>
      <c r="F607" s="1350" t="inlineStr">
        <is>
          <t>Mentoring Subs</t>
        </is>
      </c>
      <c r="G607" s="1350" t="inlineStr">
        <is>
          <t>Existing</t>
        </is>
      </c>
    </row>
    <row r="609" ht="13.5" customHeight="1" s="1232">
      <c r="A609" s="1348" t="n">
        <v>44227</v>
      </c>
      <c r="B609" s="1349" t="inlineStr">
        <is>
          <t xml:space="preserve">Emma Leech </t>
        </is>
      </c>
      <c r="C609" s="1350" t="inlineStr">
        <is>
          <t>1. Courses/masterclasses</t>
        </is>
      </c>
      <c r="D609" s="1349" t="inlineStr">
        <is>
          <t>Stripe</t>
        </is>
      </c>
      <c r="E609" s="1351" t="n">
        <v>15</v>
      </c>
      <c r="F609" s="1349" t="inlineStr">
        <is>
          <t>Zoom Camera Craft</t>
        </is>
      </c>
      <c r="G609" s="1349" t="inlineStr">
        <is>
          <t>Existing</t>
        </is>
      </c>
    </row>
    <row r="610" ht="13.5" customHeight="1" s="1232">
      <c r="A610" s="1348" t="n">
        <v>44227</v>
      </c>
      <c r="B610" s="1349" t="inlineStr">
        <is>
          <t>Heather Audley</t>
        </is>
      </c>
      <c r="C610" s="1350" t="inlineStr">
        <is>
          <t>1. Courses/masterclasses</t>
        </is>
      </c>
      <c r="D610" s="1349" t="inlineStr">
        <is>
          <t>Stripe</t>
        </is>
      </c>
      <c r="E610" s="1351" t="n">
        <v>15</v>
      </c>
      <c r="F610" s="1349" t="inlineStr">
        <is>
          <t>Zoom Camera Craft</t>
        </is>
      </c>
      <c r="G610" s="1349" t="inlineStr">
        <is>
          <t>Existing</t>
        </is>
      </c>
    </row>
    <row r="611" ht="13.5" customHeight="1" s="1232">
      <c r="A611" s="1348" t="n">
        <v>44227</v>
      </c>
      <c r="B611" s="1349" t="inlineStr">
        <is>
          <t>Rhian Hayes</t>
        </is>
      </c>
      <c r="C611" s="1350" t="inlineStr">
        <is>
          <t>1. Courses/masterclasses</t>
        </is>
      </c>
      <c r="D611" s="1349" t="inlineStr">
        <is>
          <t>PayPal</t>
        </is>
      </c>
      <c r="E611" s="1351" t="n">
        <v>15</v>
      </c>
      <c r="F611" s="1349" t="inlineStr">
        <is>
          <t>Zoom Camera Craft</t>
        </is>
      </c>
      <c r="G611" s="1349" t="inlineStr">
        <is>
          <t>Existing</t>
        </is>
      </c>
    </row>
    <row r="612" ht="13.5" customHeight="1" s="1232">
      <c r="A612" s="1348" t="n">
        <v>44225</v>
      </c>
      <c r="B612" s="1349" t="inlineStr">
        <is>
          <t>Lynne Gavin</t>
        </is>
      </c>
      <c r="C612" s="1350" t="inlineStr">
        <is>
          <t>2. Workshops</t>
        </is>
      </c>
      <c r="D612" s="1349" t="inlineStr">
        <is>
          <t>PayPal</t>
        </is>
      </c>
      <c r="E612" s="1351" t="n">
        <v>99</v>
      </c>
      <c r="F612" s="1349" t="inlineStr">
        <is>
          <t>Bluebells</t>
        </is>
      </c>
      <c r="G612" s="1349" t="inlineStr">
        <is>
          <t>Existing</t>
        </is>
      </c>
    </row>
    <row r="613" ht="13.5" customHeight="1" s="1232">
      <c r="A613" s="1348" t="n">
        <v>44224</v>
      </c>
      <c r="B613" s="1349" t="inlineStr">
        <is>
          <t>Karen D’Agostino</t>
        </is>
      </c>
      <c r="C613" s="1350" t="inlineStr">
        <is>
          <t>6. 1-2-1</t>
        </is>
      </c>
      <c r="D613" s="1349" t="inlineStr">
        <is>
          <t>Stripe</t>
        </is>
      </c>
      <c r="E613" s="1351" t="n">
        <v>60</v>
      </c>
      <c r="F613" s="1349" t="inlineStr">
        <is>
          <t>Zoom 2hr 1-2-1</t>
        </is>
      </c>
      <c r="G613" s="1349" t="inlineStr">
        <is>
          <t>Google</t>
        </is>
      </c>
    </row>
    <row r="614" ht="13.5" customHeight="1" s="1232">
      <c r="A614" s="1348" t="n">
        <v>44221</v>
      </c>
      <c r="B614" s="1349" t="inlineStr">
        <is>
          <t>Daren Baker</t>
        </is>
      </c>
      <c r="C614" s="1350" t="inlineStr">
        <is>
          <t>1. Courses/masterclasses</t>
        </is>
      </c>
      <c r="D614" s="1349" t="inlineStr">
        <is>
          <t>PayPal</t>
        </is>
      </c>
      <c r="E614" s="1351" t="n">
        <v>15</v>
      </c>
      <c r="F614" s="1349" t="inlineStr">
        <is>
          <t>Zoom Camera Craft</t>
        </is>
      </c>
      <c r="G614" s="1349" t="inlineStr">
        <is>
          <t>Existing</t>
        </is>
      </c>
    </row>
    <row r="615" ht="13.5" customHeight="1" s="1232">
      <c r="A615" s="1348" t="n">
        <v>44222</v>
      </c>
      <c r="B615" s="1349" t="inlineStr">
        <is>
          <t>Lynne Gavin</t>
        </is>
      </c>
      <c r="C615" s="1350" t="inlineStr">
        <is>
          <t>6. 1-2-1</t>
        </is>
      </c>
      <c r="D615" s="1349" t="inlineStr">
        <is>
          <t>Bank</t>
        </is>
      </c>
      <c r="E615" s="1392" t="n">
        <v>300</v>
      </c>
      <c r="F615" s="1349" t="inlineStr">
        <is>
          <t>Zoom 2hr 1-2-1 x 5</t>
        </is>
      </c>
      <c r="G615" s="1349" t="inlineStr">
        <is>
          <t>Existing</t>
        </is>
      </c>
    </row>
    <row r="616" ht="13.5" customHeight="1" s="1232">
      <c r="A616" s="1348" t="n">
        <v>44219</v>
      </c>
      <c r="B616" s="1349" t="inlineStr">
        <is>
          <t>Daren Baker</t>
        </is>
      </c>
      <c r="C616" s="1350" t="inlineStr">
        <is>
          <t>1. Courses/masterclasses</t>
        </is>
      </c>
      <c r="D616" s="1349" t="inlineStr">
        <is>
          <t>Stripe</t>
        </is>
      </c>
      <c r="E616" s="1351" t="n">
        <v>15</v>
      </c>
      <c r="F616" s="1349" t="inlineStr">
        <is>
          <t>Get Off Auto</t>
        </is>
      </c>
      <c r="G616" s="1349" t="inlineStr">
        <is>
          <t>Google</t>
        </is>
      </c>
    </row>
    <row r="617" ht="13.5" customHeight="1" s="1232">
      <c r="A617" s="1348" t="n">
        <v>44217</v>
      </c>
      <c r="B617" s="1349" t="inlineStr">
        <is>
          <t>Megan Greene</t>
        </is>
      </c>
      <c r="C617" s="1350" t="inlineStr">
        <is>
          <t>1. Courses/masterclasses</t>
        </is>
      </c>
      <c r="D617" s="1349" t="inlineStr">
        <is>
          <t>Stripe</t>
        </is>
      </c>
      <c r="E617" s="1351" t="n">
        <v>15</v>
      </c>
      <c r="F617" s="1349" t="inlineStr">
        <is>
          <t>Zoom Camera Craft</t>
        </is>
      </c>
      <c r="G617" s="1349" t="inlineStr">
        <is>
          <t>Existing</t>
        </is>
      </c>
    </row>
    <row r="618" ht="13.5" customHeight="1" s="1232">
      <c r="A618" s="1348" t="n">
        <v>44216</v>
      </c>
      <c r="B618" s="1349" t="inlineStr">
        <is>
          <t>Neil Evans</t>
        </is>
      </c>
      <c r="C618" s="1350" t="inlineStr">
        <is>
          <t>2. Workshops</t>
        </is>
      </c>
      <c r="D618" s="1349" t="inlineStr">
        <is>
          <t>PayPal</t>
        </is>
      </c>
      <c r="E618" s="1351" t="n">
        <v>24</v>
      </c>
      <c r="F618" s="1349" t="inlineStr">
        <is>
          <t>Bluebells</t>
        </is>
      </c>
      <c r="G618" s="1349" t="inlineStr">
        <is>
          <t>Existing</t>
        </is>
      </c>
    </row>
    <row r="619" ht="13.5" customHeight="1" s="1232">
      <c r="A619" s="1348" t="n">
        <v>44216</v>
      </c>
      <c r="B619" s="1349" t="inlineStr">
        <is>
          <t>Kirsty Eydmann</t>
        </is>
      </c>
      <c r="C619" s="1350" t="inlineStr">
        <is>
          <t>1. Courses/masterclasses</t>
        </is>
      </c>
      <c r="D619" s="1349" t="inlineStr">
        <is>
          <t>Stripe</t>
        </is>
      </c>
      <c r="E619" s="1351" t="n">
        <v>15</v>
      </c>
      <c r="F619" s="1349" t="inlineStr">
        <is>
          <t>Get Off Auto</t>
        </is>
      </c>
      <c r="G619" s="1349" t="inlineStr">
        <is>
          <t>Google</t>
        </is>
      </c>
    </row>
    <row r="620" ht="13.5" customHeight="1" s="1232">
      <c r="A620" s="1348" t="n">
        <v>44216</v>
      </c>
      <c r="B620" s="1349" t="inlineStr">
        <is>
          <t xml:space="preserve">David Andringa </t>
        </is>
      </c>
      <c r="C620" s="1350" t="inlineStr">
        <is>
          <t>1. Courses/masterclasses</t>
        </is>
      </c>
      <c r="D620" s="1349" t="inlineStr">
        <is>
          <t>Stripe</t>
        </is>
      </c>
      <c r="E620" s="1351" t="n">
        <v>15</v>
      </c>
      <c r="F620" s="1349" t="inlineStr">
        <is>
          <t>Get Off Auto</t>
        </is>
      </c>
      <c r="G620" s="1349" t="inlineStr">
        <is>
          <t>Google</t>
        </is>
      </c>
    </row>
    <row r="621" ht="13.5" customHeight="1" s="1232">
      <c r="A621" s="1348" t="n">
        <v>44215</v>
      </c>
      <c r="B621" s="1349" t="inlineStr">
        <is>
          <t>Sarah Perkins</t>
        </is>
      </c>
      <c r="C621" s="1350" t="inlineStr">
        <is>
          <t>1. Courses/masterclasses</t>
        </is>
      </c>
      <c r="D621" s="1349" t="inlineStr">
        <is>
          <t>Stripe</t>
        </is>
      </c>
      <c r="E621" s="1351" t="n">
        <v>15</v>
      </c>
      <c r="F621" s="1349" t="inlineStr">
        <is>
          <t>Get Off Auto</t>
        </is>
      </c>
      <c r="G621" s="1349" t="inlineStr">
        <is>
          <t>Google</t>
        </is>
      </c>
    </row>
    <row r="622" ht="13.5" customHeight="1" s="1232">
      <c r="A622" s="1348" t="n">
        <v>44215</v>
      </c>
      <c r="B622" s="1349" t="inlineStr">
        <is>
          <t xml:space="preserve">LC Chapman </t>
        </is>
      </c>
      <c r="C622" s="1350" t="inlineStr">
        <is>
          <t>7. Gift Vouchers Inc</t>
        </is>
      </c>
      <c r="D622" s="1349" t="inlineStr">
        <is>
          <t>Stripe</t>
        </is>
      </c>
      <c r="E622" s="1351" t="n">
        <v>100</v>
      </c>
      <c r="F622" s="1349" t="inlineStr">
        <is>
          <t>Digital Gift Voucher</t>
        </is>
      </c>
      <c r="G622" s="1349" t="inlineStr">
        <is>
          <t>Google</t>
        </is>
      </c>
    </row>
    <row r="623" ht="13.5" customHeight="1" s="1232">
      <c r="A623" s="1348" t="n">
        <v>44215</v>
      </c>
      <c r="B623" s="1349" t="inlineStr">
        <is>
          <t>Janet Boulter</t>
        </is>
      </c>
      <c r="C623" s="1350" t="inlineStr">
        <is>
          <t>1. Courses/masterclasses</t>
        </is>
      </c>
      <c r="D623" s="1349" t="inlineStr">
        <is>
          <t>Stripe</t>
        </is>
      </c>
      <c r="E623" s="1351" t="n">
        <v>21</v>
      </c>
      <c r="F623" s="1349" t="inlineStr">
        <is>
          <t>Zoom Monthly Critique</t>
        </is>
      </c>
      <c r="G623" s="1349" t="inlineStr">
        <is>
          <t>Existing</t>
        </is>
      </c>
    </row>
    <row r="624" ht="13.5" customHeight="1" s="1232">
      <c r="A624" s="1348" t="n">
        <v>44214</v>
      </c>
      <c r="B624" s="1349" t="inlineStr">
        <is>
          <t>Emma Leech</t>
        </is>
      </c>
      <c r="C624" s="1350" t="inlineStr">
        <is>
          <t>1. Courses/masterclasses</t>
        </is>
      </c>
      <c r="D624" s="1349" t="inlineStr">
        <is>
          <t>Stripe</t>
        </is>
      </c>
      <c r="E624" s="1351" t="n">
        <v>15</v>
      </c>
      <c r="F624" s="1349" t="inlineStr">
        <is>
          <t>Get Off Auto</t>
        </is>
      </c>
      <c r="G624" s="1349" t="inlineStr">
        <is>
          <t>Google</t>
        </is>
      </c>
    </row>
    <row r="625" ht="13.5" customHeight="1" s="1232">
      <c r="A625" s="1348" t="n">
        <v>44212</v>
      </c>
      <c r="B625" s="1349" t="inlineStr">
        <is>
          <t>Lynne Gavin</t>
        </is>
      </c>
      <c r="C625" s="1350" t="inlineStr">
        <is>
          <t>6. 1-2-1</t>
        </is>
      </c>
      <c r="D625" s="1349" t="inlineStr">
        <is>
          <t>Bank</t>
        </is>
      </c>
      <c r="E625" s="1392" t="n">
        <v>300</v>
      </c>
      <c r="F625" s="1349" t="inlineStr">
        <is>
          <t>Zoom 2hr 1-2-1 x 5</t>
        </is>
      </c>
      <c r="G625" s="1349" t="inlineStr">
        <is>
          <t>Google</t>
        </is>
      </c>
    </row>
    <row r="626" ht="13.5" customHeight="1" s="1232">
      <c r="A626" s="1348" t="n">
        <v>44212</v>
      </c>
      <c r="B626" s="1349" t="inlineStr">
        <is>
          <t>Steven Rawson</t>
        </is>
      </c>
      <c r="C626" s="1350" t="inlineStr">
        <is>
          <t>6. 1-2-1</t>
        </is>
      </c>
      <c r="D626" s="1349" t="inlineStr">
        <is>
          <t>PayPal</t>
        </is>
      </c>
      <c r="E626" s="1351" t="n">
        <v>60</v>
      </c>
      <c r="F626" s="1349" t="inlineStr">
        <is>
          <t>Zoom 2hr 1-2-1</t>
        </is>
      </c>
      <c r="G626" s="1349" t="inlineStr">
        <is>
          <t>Existing</t>
        </is>
      </c>
    </row>
    <row r="627" ht="13.5" customHeight="1" s="1232">
      <c r="A627" s="1348" t="n">
        <v>44211</v>
      </c>
      <c r="B627" s="1349" t="inlineStr">
        <is>
          <t xml:space="preserve">Sam Reid </t>
        </is>
      </c>
      <c r="C627" s="1350" t="inlineStr">
        <is>
          <t>1. Courses/masterclasses</t>
        </is>
      </c>
      <c r="D627" s="1349" t="inlineStr">
        <is>
          <t>PayPal</t>
        </is>
      </c>
      <c r="E627" s="1351" t="n">
        <v>15</v>
      </c>
      <c r="F627" s="1349" t="inlineStr">
        <is>
          <t>Camera Craft - Zoom</t>
        </is>
      </c>
      <c r="G627" s="1349" t="inlineStr">
        <is>
          <t>Existing</t>
        </is>
      </c>
    </row>
    <row r="628" ht="13.5" customHeight="1" s="1232">
      <c r="A628" s="1348" t="n">
        <v>44209</v>
      </c>
      <c r="B628" s="1349" t="inlineStr">
        <is>
          <t>George Hughes</t>
        </is>
      </c>
      <c r="C628" s="1350" t="inlineStr">
        <is>
          <t>1. Courses/masterclasses</t>
        </is>
      </c>
      <c r="D628" s="1349" t="inlineStr">
        <is>
          <t>Bank</t>
        </is>
      </c>
      <c r="E628" s="1351" t="n">
        <v>70</v>
      </c>
      <c r="F628" s="1349" t="inlineStr">
        <is>
          <t>RPS Course Balance</t>
        </is>
      </c>
      <c r="G628" s="1349" t="inlineStr">
        <is>
          <t>Existing</t>
        </is>
      </c>
    </row>
    <row r="629" ht="13.5" customHeight="1" s="1232">
      <c r="A629" s="1348" t="n">
        <v>44205</v>
      </c>
      <c r="B629" s="1349" t="inlineStr">
        <is>
          <t xml:space="preserve">Sam Reid </t>
        </is>
      </c>
      <c r="C629" s="1350" t="inlineStr">
        <is>
          <t>1. Courses/masterclasses</t>
        </is>
      </c>
      <c r="D629" s="1349" t="inlineStr">
        <is>
          <t>Stripe</t>
        </is>
      </c>
      <c r="E629" s="1351" t="n">
        <v>15</v>
      </c>
      <c r="F629" s="1349" t="inlineStr">
        <is>
          <t>Zoom Get Off Auto</t>
        </is>
      </c>
      <c r="G629" s="1349" t="inlineStr">
        <is>
          <t>Existing</t>
        </is>
      </c>
    </row>
    <row r="630" ht="13.5" customHeight="1" s="1232">
      <c r="A630" s="1348" t="n">
        <v>44204</v>
      </c>
      <c r="B630" s="1349" t="inlineStr">
        <is>
          <t>Royston Lee</t>
        </is>
      </c>
      <c r="C630" s="1350" t="inlineStr">
        <is>
          <t>2. Workshops</t>
        </is>
      </c>
      <c r="D630" s="1349" t="inlineStr">
        <is>
          <t>Stripe</t>
        </is>
      </c>
      <c r="E630" s="1392" t="n">
        <v>99</v>
      </c>
      <c r="F630" s="1349" t="inlineStr">
        <is>
          <t>Bluebells</t>
        </is>
      </c>
      <c r="G630" s="1349" t="inlineStr">
        <is>
          <t>Existing</t>
        </is>
      </c>
    </row>
    <row r="631" ht="13.5" customHeight="1" s="1232">
      <c r="A631" s="1348" t="n">
        <v>44202</v>
      </c>
      <c r="B631" s="1349" t="inlineStr">
        <is>
          <t>Dennis Jeffrey</t>
        </is>
      </c>
      <c r="C631" s="1350" t="inlineStr">
        <is>
          <t>6. 1-2-1</t>
        </is>
      </c>
      <c r="D631" s="1349" t="inlineStr">
        <is>
          <t>Stripe</t>
        </is>
      </c>
      <c r="E631" s="1351" t="n">
        <v>35</v>
      </c>
      <c r="F631" s="1349" t="inlineStr">
        <is>
          <t>Zoom 1hr 1-2-1</t>
        </is>
      </c>
      <c r="G631" s="1349" t="inlineStr">
        <is>
          <t>Existing</t>
        </is>
      </c>
    </row>
    <row r="632" ht="13.5" customHeight="1" s="1232">
      <c r="A632" s="1348" t="n">
        <v>44200</v>
      </c>
      <c r="B632" s="1349" t="inlineStr">
        <is>
          <t>Doug D'Aubrey</t>
        </is>
      </c>
      <c r="C632" s="1350" t="inlineStr">
        <is>
          <t>2. Workshops</t>
        </is>
      </c>
      <c r="D632" s="1349" t="inlineStr">
        <is>
          <t>Stripe</t>
        </is>
      </c>
      <c r="E632" s="1351" t="n">
        <v>50</v>
      </c>
      <c r="F632" s="1349" t="inlineStr">
        <is>
          <t>Long Exposure</t>
        </is>
      </c>
      <c r="G632" s="1349" t="inlineStr">
        <is>
          <t>Google</t>
        </is>
      </c>
    </row>
    <row r="633" ht="13.5" customHeight="1" s="1232">
      <c r="A633" s="1348" t="n">
        <v>44197</v>
      </c>
      <c r="B633" s="1349" t="inlineStr">
        <is>
          <t>Rhian Hayes</t>
        </is>
      </c>
      <c r="C633" s="1350" t="inlineStr">
        <is>
          <t>2. Workshops</t>
        </is>
      </c>
      <c r="D633" s="1349" t="inlineStr">
        <is>
          <t>PayPal</t>
        </is>
      </c>
      <c r="E633" s="1351" t="n">
        <v>85</v>
      </c>
      <c r="F633" s="1349" t="inlineStr">
        <is>
          <t>Fairy Glen</t>
        </is>
      </c>
      <c r="G633" s="1349" t="inlineStr">
        <is>
          <t>Existing</t>
        </is>
      </c>
    </row>
    <row r="634" ht="13.5" customHeight="1" s="1232">
      <c r="A634" s="1348" t="n">
        <v>44197</v>
      </c>
      <c r="B634" s="1349" t="inlineStr">
        <is>
          <t>Pick n Mix Subs</t>
        </is>
      </c>
      <c r="C634" s="1350" t="inlineStr">
        <is>
          <t>3. Pick n Mix Inc</t>
        </is>
      </c>
      <c r="D634" s="1349" t="inlineStr">
        <is>
          <t>Various</t>
        </is>
      </c>
      <c r="E634" s="1351" t="n">
        <v>70</v>
      </c>
      <c r="F634" s="1349" t="inlineStr">
        <is>
          <t>Pick N Mix Payments</t>
        </is>
      </c>
      <c r="G634" s="1349" t="inlineStr">
        <is>
          <t>Existing</t>
        </is>
      </c>
    </row>
    <row r="635" ht="13.5" customHeight="1" s="1232">
      <c r="A635" s="1348" t="n">
        <v>44197</v>
      </c>
      <c r="B635" s="1349" t="inlineStr">
        <is>
          <t>Mentoring Subs</t>
        </is>
      </c>
      <c r="C635" s="1350" t="inlineStr">
        <is>
          <t>5. Mentoring</t>
        </is>
      </c>
      <c r="D635" s="1350" t="inlineStr">
        <is>
          <t>Various</t>
        </is>
      </c>
      <c r="E635" s="1392" t="n">
        <v>80</v>
      </c>
      <c r="F635" s="1350" t="inlineStr">
        <is>
          <t>Mentoring Subs</t>
        </is>
      </c>
      <c r="G635" s="1350" t="inlineStr">
        <is>
          <t>Existing</t>
        </is>
      </c>
    </row>
  </sheetData>
  <conditionalFormatting sqref="E2:E18 E23 E66:E67 E72:E76 E78 E82:E147 E150:E154 E156 E158 E160:E163 E167 E169:E176 E178:E182 E184:E187 E189:E192 E195:E196 E199:E211 E213:E215 E219:E220 E223:E226 E228:E236 E240 E244:E249 E251 E257:E271 E274:E281 E283:E291 E294:E295 E297 E305:E312 E317:E320 E323:E328 E366 E369 E372:E376 E379:E389 E394:E400 E402:E405 E409:E416 E419 E421 E424:E433 E436 E438:E439 E446:E449 E451:E455 E459:E460 E462:E465 E472:E473 E476 E480:E484 E488:E489 E494:E498 E501 E504 E509 E511 E513 E515 E521 E525:E531 E535:E538 E545:E549 E557:E558 E561 E569:E572 E575:E577 E583:E584 E587:E589 E592 E594 E598 E604 E608 E612:E613 E617 E622 E626:E632 E643:E1048576 V140:V947 V968:V1096 V1098:V1370 X6 X32:X37 X96 X105:X115 X125 X130 X139">
    <cfRule type="cellIs" priority="1036" operator="lessThan" dxfId="1">
      <formula>0</formula>
    </cfRule>
  </conditionalFormatting>
  <conditionalFormatting sqref="X30">
    <cfRule type="cellIs" priority="1035" operator="lessThan" dxfId="1">
      <formula>0</formula>
    </cfRule>
  </conditionalFormatting>
  <conditionalFormatting sqref="X6">
    <cfRule type="cellIs" priority="1033" operator="lessThan" dxfId="1">
      <formula>0</formula>
    </cfRule>
    <cfRule type="cellIs" priority="1031" operator="greaterThan" dxfId="0">
      <formula>0</formula>
    </cfRule>
    <cfRule type="cellIs" priority="1030" operator="lessThan" dxfId="1">
      <formula>0</formula>
    </cfRule>
    <cfRule type="cellIs" priority="1023" operator="lessThan" dxfId="1">
      <formula>0</formula>
    </cfRule>
    <cfRule type="cellIs" priority="1020" operator="lessThan" dxfId="1">
      <formula>0</formula>
    </cfRule>
    <cfRule type="cellIs" priority="1019" operator="lessThan" dxfId="1">
      <formula>0</formula>
    </cfRule>
    <cfRule type="cellIs" priority="1014" operator="lessThan" dxfId="1">
      <formula>0</formula>
    </cfRule>
    <cfRule type="cellIs" priority="1008" operator="lessThan" dxfId="1">
      <formula>0</formula>
    </cfRule>
    <cfRule type="cellIs" priority="1002" operator="lessThan" dxfId="1">
      <formula>0</formula>
    </cfRule>
    <cfRule type="cellIs" priority="993" operator="lessThan" dxfId="1">
      <formula>0</formula>
    </cfRule>
    <cfRule type="cellIs" priority="991" operator="lessThan" dxfId="1">
      <formula>0</formula>
    </cfRule>
    <cfRule type="cellIs" priority="934" operator="lessThan" dxfId="1">
      <formula>0</formula>
    </cfRule>
    <cfRule type="cellIs" priority="930" operator="lessThan" dxfId="1">
      <formula>0</formula>
    </cfRule>
    <cfRule type="cellIs" priority="929" operator="lessThan" dxfId="1">
      <formula>0</formula>
    </cfRule>
    <cfRule type="cellIs" priority="928" operator="lessThan" dxfId="1">
      <formula>0</formula>
    </cfRule>
    <cfRule type="cellIs" priority="927" operator="lessThan" dxfId="1">
      <formula>0</formula>
    </cfRule>
    <cfRule type="cellIs" priority="926" operator="lessThan" dxfId="1">
      <formula>0</formula>
    </cfRule>
    <cfRule type="cellIs" priority="925" operator="lessThan" dxfId="1">
      <formula>0</formula>
    </cfRule>
    <cfRule type="cellIs" priority="924" operator="lessThan" dxfId="1">
      <formula>0</formula>
    </cfRule>
    <cfRule type="cellIs" priority="923" operator="lessThan" dxfId="1">
      <formula>0</formula>
    </cfRule>
    <cfRule type="cellIs" priority="922" operator="lessThan" dxfId="1">
      <formula>0</formula>
    </cfRule>
    <cfRule type="cellIs" priority="921" operator="lessThan" dxfId="1">
      <formula>0</formula>
    </cfRule>
    <cfRule type="cellIs" priority="920" operator="lessThan" dxfId="1">
      <formula>0</formula>
    </cfRule>
    <cfRule type="cellIs" priority="919" operator="lessThan" dxfId="1">
      <formula>0</formula>
    </cfRule>
    <cfRule type="cellIs" priority="918" operator="lessThan" dxfId="1">
      <formula>0</formula>
    </cfRule>
    <cfRule type="cellIs" priority="917" operator="lessThan" dxfId="1">
      <formula>0</formula>
    </cfRule>
    <cfRule type="cellIs" priority="916" operator="lessThan" dxfId="1">
      <formula>0</formula>
    </cfRule>
    <cfRule type="cellIs" priority="915" operator="lessThan" dxfId="1">
      <formula>0</formula>
    </cfRule>
    <cfRule type="cellIs" priority="914" operator="lessThan" dxfId="1">
      <formula>0</formula>
    </cfRule>
  </conditionalFormatting>
  <conditionalFormatting sqref="X31">
    <cfRule type="cellIs" priority="1034" operator="lessThan" dxfId="1">
      <formula>0</formula>
    </cfRule>
  </conditionalFormatting>
  <conditionalFormatting sqref="J35">
    <cfRule type="cellIs" priority="1028" operator="greaterThan" dxfId="0">
      <formula>0</formula>
    </cfRule>
    <cfRule type="cellIs" priority="1029" operator="lessThan" dxfId="1">
      <formula>0</formula>
    </cfRule>
  </conditionalFormatting>
  <conditionalFormatting sqref="Y6">
    <cfRule type="cellIs" priority="1027" operator="lessThan" dxfId="1">
      <formula>0</formula>
    </cfRule>
    <cfRule type="cellIs" priority="1026" operator="greaterThan" dxfId="0">
      <formula>0</formula>
    </cfRule>
  </conditionalFormatting>
  <conditionalFormatting sqref="Z6">
    <cfRule type="cellIs" priority="1025" operator="lessThan" dxfId="1">
      <formula>0</formula>
    </cfRule>
    <cfRule type="cellIs" priority="1024" operator="greaterThan" dxfId="0">
      <formula>0</formula>
    </cfRule>
  </conditionalFormatting>
  <conditionalFormatting sqref="AB6:AB17">
    <cfRule type="cellIs" priority="1021" operator="lessThan" dxfId="1">
      <formula>0</formula>
    </cfRule>
    <cfRule type="cellIs" priority="1022" operator="greaterThan" dxfId="0">
      <formula>0</formula>
    </cfRule>
  </conditionalFormatting>
  <conditionalFormatting sqref="W18">
    <cfRule type="cellIs" priority="1005" operator="greaterThan" dxfId="0">
      <formula>0.8</formula>
    </cfRule>
    <cfRule type="cellIs" priority="1006" operator="between" dxfId="26">
      <formula>0.51</formula>
      <formula>0.8</formula>
    </cfRule>
    <cfRule type="cellIs" priority="1007" operator="lessThan" dxfId="1">
      <formula>0.5</formula>
    </cfRule>
  </conditionalFormatting>
  <conditionalFormatting sqref="X117">
    <cfRule type="cellIs" priority="1004" operator="lessThan" dxfId="1">
      <formula>0</formula>
    </cfRule>
  </conditionalFormatting>
  <conditionalFormatting sqref="X127:X129">
    <cfRule type="cellIs" priority="1003" operator="lessThan" dxfId="1">
      <formula>0</formula>
    </cfRule>
  </conditionalFormatting>
  <conditionalFormatting sqref="Y27">
    <cfRule type="cellIs" priority="995" operator="lessThan" dxfId="1">
      <formula>0</formula>
    </cfRule>
    <cfRule type="cellIs" priority="994" operator="greaterThan" dxfId="0">
      <formula>0</formula>
    </cfRule>
  </conditionalFormatting>
  <conditionalFormatting sqref="X27">
    <cfRule type="cellIs" priority="988" operator="lessThan" dxfId="1">
      <formula>0</formula>
    </cfRule>
    <cfRule type="cellIs" priority="987" operator="lessThan" dxfId="1">
      <formula>0</formula>
    </cfRule>
    <cfRule type="cellIs" priority="986" operator="lessThan" dxfId="1">
      <formula>0</formula>
    </cfRule>
    <cfRule type="cellIs" priority="985" operator="lessThan" dxfId="1">
      <formula>0</formula>
    </cfRule>
    <cfRule type="cellIs" priority="990" operator="lessThan" dxfId="1">
      <formula>0</formula>
    </cfRule>
    <cfRule type="cellIs" priority="989" operator="greaterThan" dxfId="0">
      <formula>0</formula>
    </cfRule>
    <cfRule type="cellIs" priority="984" operator="lessThan" dxfId="1">
      <formula>0</formula>
    </cfRule>
  </conditionalFormatting>
  <conditionalFormatting sqref="Z82:Z93">
    <cfRule type="cellIs" priority="982" operator="lessThan" dxfId="1">
      <formula>0</formula>
    </cfRule>
    <cfRule type="cellIs" priority="983" operator="greaterThan" dxfId="0">
      <formula>0</formula>
    </cfRule>
  </conditionalFormatting>
  <conditionalFormatting sqref="X132:X133">
    <cfRule type="cellIs" priority="981" operator="lessThan" dxfId="1">
      <formula>0</formula>
    </cfRule>
  </conditionalFormatting>
  <conditionalFormatting sqref="X134:X135">
    <cfRule type="cellIs" priority="980" operator="lessThan" dxfId="1">
      <formula>0</formula>
    </cfRule>
  </conditionalFormatting>
  <conditionalFormatting sqref="X137:X138">
    <cfRule type="cellIs" priority="979" operator="lessThan" dxfId="1">
      <formula>0</formula>
    </cfRule>
  </conditionalFormatting>
  <conditionalFormatting sqref="X18:X20">
    <cfRule type="cellIs" priority="965" operator="lessThan" dxfId="1">
      <formula>0</formula>
    </cfRule>
    <cfRule type="cellIs" priority="964" operator="lessThan" dxfId="1">
      <formula>0</formula>
    </cfRule>
    <cfRule type="cellIs" priority="963" operator="lessThan" dxfId="1">
      <formula>0</formula>
    </cfRule>
    <cfRule type="cellIs" priority="967" operator="lessThan" dxfId="1">
      <formula>0</formula>
    </cfRule>
    <cfRule type="cellIs" priority="966" operator="lessThan" dxfId="1">
      <formula>0</formula>
    </cfRule>
    <cfRule type="cellIs" priority="969" operator="lessThan" dxfId="1">
      <formula>0</formula>
    </cfRule>
    <cfRule type="cellIs" priority="968" operator="greaterThan" dxfId="0">
      <formula>0</formula>
    </cfRule>
  </conditionalFormatting>
  <conditionalFormatting sqref="Y19:Y20">
    <cfRule type="cellIs" priority="962" operator="lessThan" dxfId="1">
      <formula>0</formula>
    </cfRule>
    <cfRule type="cellIs" priority="961" operator="greaterThan" dxfId="0">
      <formula>0</formula>
    </cfRule>
  </conditionalFormatting>
  <conditionalFormatting sqref="X24:X26">
    <cfRule type="cellIs" priority="976" operator="lessThan" dxfId="1">
      <formula>0</formula>
    </cfRule>
    <cfRule type="cellIs" priority="975" operator="lessThan" dxfId="1">
      <formula>0</formula>
    </cfRule>
    <cfRule type="cellIs" priority="974" operator="lessThan" dxfId="1">
      <formula>0</formula>
    </cfRule>
    <cfRule type="cellIs" priority="973" operator="lessThan" dxfId="1">
      <formula>0</formula>
    </cfRule>
    <cfRule type="cellIs" priority="978" operator="lessThan" dxfId="1">
      <formula>0</formula>
    </cfRule>
    <cfRule type="cellIs" priority="977" operator="greaterThan" dxfId="0">
      <formula>0</formula>
    </cfRule>
    <cfRule type="cellIs" priority="972" operator="lessThan" dxfId="1">
      <formula>0</formula>
    </cfRule>
  </conditionalFormatting>
  <conditionalFormatting sqref="Y24:Y26">
    <cfRule type="cellIs" priority="971" operator="lessThan" dxfId="1">
      <formula>0</formula>
    </cfRule>
    <cfRule type="cellIs" priority="970" operator="greaterThan" dxfId="0">
      <formula>0</formula>
    </cfRule>
  </conditionalFormatting>
  <conditionalFormatting sqref="K39:V49">
    <cfRule type="cellIs" priority="959" operator="lessThan" dxfId="1">
      <formula>0</formula>
    </cfRule>
    <cfRule type="cellIs" priority="960" operator="greaterThan" dxfId="0">
      <formula>0.1</formula>
    </cfRule>
  </conditionalFormatting>
  <conditionalFormatting sqref="K50">
    <cfRule type="cellIs" priority="957" operator="lessThan" dxfId="1">
      <formula>0</formula>
    </cfRule>
    <cfRule type="cellIs" priority="958" operator="greaterThan" dxfId="0">
      <formula>0.1</formula>
    </cfRule>
  </conditionalFormatting>
  <conditionalFormatting sqref="W39">
    <cfRule type="cellIs" priority="955" operator="lessThan" dxfId="1">
      <formula>0</formula>
    </cfRule>
    <cfRule type="cellIs" priority="956" operator="greaterThan" dxfId="0">
      <formula>0.1</formula>
    </cfRule>
  </conditionalFormatting>
  <conditionalFormatting sqref="E903 E908 E912 E914:E915 E917:E925 E928:E963">
    <cfRule type="cellIs" priority="954" operator="lessThan" dxfId="1009">
      <formula>0</formula>
    </cfRule>
  </conditionalFormatting>
  <conditionalFormatting sqref="L39:V41 L43:V45 L47:V49">
    <cfRule type="cellIs" priority="952" operator="lessThan" dxfId="1">
      <formula>0</formula>
    </cfRule>
    <cfRule type="cellIs" priority="953" operator="greaterThan" dxfId="0">
      <formula>0.1</formula>
    </cfRule>
  </conditionalFormatting>
  <conditionalFormatting sqref="K42">
    <cfRule type="cellIs" priority="950" operator="lessThan" dxfId="1">
      <formula>0</formula>
    </cfRule>
    <cfRule type="cellIs" priority="951" operator="greaterThan" dxfId="0">
      <formula>0.1</formula>
    </cfRule>
    <cfRule type="cellIs" priority="948" operator="lessThan" dxfId="1">
      <formula>0</formula>
    </cfRule>
    <cfRule type="cellIs" priority="949" operator="greaterThan" dxfId="0">
      <formula>0.1</formula>
    </cfRule>
  </conditionalFormatting>
  <conditionalFormatting sqref="L42:V42">
    <cfRule type="cellIs" priority="946" operator="lessThan" dxfId="1">
      <formula>0</formula>
    </cfRule>
    <cfRule type="cellIs" priority="947" operator="greaterThan" dxfId="0">
      <formula>0.1</formula>
    </cfRule>
    <cfRule type="cellIs" priority="944" operator="lessThan" dxfId="1">
      <formula>0</formula>
    </cfRule>
    <cfRule type="cellIs" priority="945" operator="greaterThan" dxfId="0">
      <formula>0.1</formula>
    </cfRule>
  </conditionalFormatting>
  <conditionalFormatting sqref="L50:W50">
    <cfRule type="cellIs" priority="942" operator="lessThan" dxfId="1">
      <formula>0</formula>
    </cfRule>
    <cfRule type="cellIs" priority="943" operator="greaterThan" dxfId="0">
      <formula>0.1</formula>
    </cfRule>
  </conditionalFormatting>
  <conditionalFormatting sqref="E926">
    <cfRule type="cellIs" priority="941" operator="lessThan" dxfId="1009">
      <formula>0</formula>
    </cfRule>
  </conditionalFormatting>
  <conditionalFormatting sqref="E916">
    <cfRule type="cellIs" priority="940" operator="lessThan" dxfId="1009">
      <formula>0</formula>
    </cfRule>
  </conditionalFormatting>
  <conditionalFormatting sqref="E913">
    <cfRule type="cellIs" priority="939" operator="lessThan" dxfId="1009">
      <formula>0</formula>
    </cfRule>
  </conditionalFormatting>
  <conditionalFormatting sqref="E904:E907">
    <cfRule type="cellIs" priority="938" operator="lessThan" dxfId="1009">
      <formula>0</formula>
    </cfRule>
  </conditionalFormatting>
  <conditionalFormatting sqref="E909:E911">
    <cfRule type="cellIs" priority="937" operator="lessThan" dxfId="1009">
      <formula>0</formula>
    </cfRule>
  </conditionalFormatting>
  <conditionalFormatting sqref="E877">
    <cfRule type="cellIs" priority="936" operator="lessThan" dxfId="1009">
      <formula>0</formula>
    </cfRule>
  </conditionalFormatting>
  <conditionalFormatting sqref="E870:E871">
    <cfRule type="cellIs" priority="935" operator="lessThan" dxfId="1009">
      <formula>0</formula>
    </cfRule>
  </conditionalFormatting>
  <conditionalFormatting sqref="E815:E1034">
    <cfRule type="cellIs" priority="933" operator="lessThan" dxfId="1009">
      <formula>0</formula>
    </cfRule>
  </conditionalFormatting>
  <conditionalFormatting sqref="E796:E797">
    <cfRule type="cellIs" priority="932" operator="lessThan" dxfId="1009">
      <formula>0</formula>
    </cfRule>
    <cfRule type="cellIs" priority="931" operator="lessThan" dxfId="1009">
      <formula>0</formula>
    </cfRule>
  </conditionalFormatting>
  <conditionalFormatting sqref="E783">
    <cfRule type="cellIs" priority="913" operator="lessThan" dxfId="1009">
      <formula>0</formula>
    </cfRule>
  </conditionalFormatting>
  <conditionalFormatting sqref="E782">
    <cfRule type="cellIs" priority="912" operator="lessThan" dxfId="1009">
      <formula>0</formula>
    </cfRule>
  </conditionalFormatting>
  <conditionalFormatting sqref="E779">
    <cfRule type="cellIs" priority="911" operator="lessThan" dxfId="1009">
      <formula>0</formula>
    </cfRule>
    <cfRule type="cellIs" priority="910" operator="lessThan" dxfId="1009">
      <formula>0</formula>
    </cfRule>
  </conditionalFormatting>
  <conditionalFormatting sqref="E772">
    <cfRule type="cellIs" priority="909" operator="lessThan" dxfId="1009">
      <formula>0</formula>
    </cfRule>
  </conditionalFormatting>
  <conditionalFormatting sqref="Y39">
    <cfRule type="cellIs" priority="908" operator="lessThan" dxfId="1">
      <formula>0</formula>
    </cfRule>
    <cfRule type="cellIs" priority="907" operator="greaterThan" dxfId="0">
      <formula>0</formula>
    </cfRule>
  </conditionalFormatting>
  <conditionalFormatting sqref="E762">
    <cfRule type="cellIs" priority="906" operator="lessThan" dxfId="1009">
      <formula>0</formula>
    </cfRule>
    <cfRule type="cellIs" priority="905" operator="lessThan" dxfId="1009">
      <formula>0</formula>
    </cfRule>
  </conditionalFormatting>
  <conditionalFormatting sqref="E759:E761">
    <cfRule type="cellIs" priority="904" operator="lessThan" dxfId="1009">
      <formula>0</formula>
    </cfRule>
    <cfRule type="cellIs" priority="903" operator="lessThan" dxfId="1009">
      <formula>0</formula>
    </cfRule>
  </conditionalFormatting>
  <conditionalFormatting sqref="E746">
    <cfRule type="cellIs" priority="902" operator="lessThan" dxfId="1009">
      <formula>0</formula>
    </cfRule>
  </conditionalFormatting>
  <conditionalFormatting sqref="E739">
    <cfRule type="cellIs" priority="901" operator="lessThan" dxfId="1009">
      <formula>0</formula>
    </cfRule>
    <cfRule type="cellIs" priority="900" operator="lessThan" dxfId="1009">
      <formula>0</formula>
    </cfRule>
  </conditionalFormatting>
  <conditionalFormatting sqref="Z29">
    <cfRule type="cellIs" priority="899" operator="lessThan" dxfId="1">
      <formula>0</formula>
    </cfRule>
    <cfRule type="cellIs" priority="898" operator="greaterThan" dxfId="0">
      <formula>0</formula>
    </cfRule>
  </conditionalFormatting>
  <conditionalFormatting sqref="E732:E733">
    <cfRule type="cellIs" priority="897" operator="lessThan" dxfId="1009">
      <formula>0</formula>
    </cfRule>
    <cfRule type="cellIs" priority="896" operator="lessThan" dxfId="1009">
      <formula>0</formula>
    </cfRule>
  </conditionalFormatting>
  <conditionalFormatting sqref="E726">
    <cfRule type="cellIs" priority="894" operator="lessThan" dxfId="1009">
      <formula>0</formula>
    </cfRule>
  </conditionalFormatting>
  <conditionalFormatting sqref="E727">
    <cfRule type="cellIs" priority="893" operator="lessThan" dxfId="1009">
      <formula>0</formula>
    </cfRule>
  </conditionalFormatting>
  <conditionalFormatting sqref="E719">
    <cfRule type="cellIs" priority="892" operator="lessThan" dxfId="1009">
      <formula>0</formula>
    </cfRule>
  </conditionalFormatting>
  <conditionalFormatting sqref="E655:E657 E659:E665 E671:E675 E678 E681:E686 E694:E697 E700:E706 E708:E714 E717:E718 I653">
    <cfRule type="cellIs" priority="891" operator="lessThan" dxfId="1009">
      <formula>0</formula>
    </cfRule>
  </conditionalFormatting>
  <conditionalFormatting sqref="E716">
    <cfRule type="cellIs" priority="890" operator="lessThan" dxfId="1009">
      <formula>0</formula>
    </cfRule>
  </conditionalFormatting>
  <conditionalFormatting sqref="E715">
    <cfRule type="cellIs" priority="889" operator="lessThan" dxfId="1009">
      <formula>0</formula>
    </cfRule>
  </conditionalFormatting>
  <conditionalFormatting sqref="E707">
    <cfRule type="cellIs" priority="888" operator="lessThan" dxfId="1009">
      <formula>0</formula>
    </cfRule>
  </conditionalFormatting>
  <conditionalFormatting sqref="E699">
    <cfRule type="cellIs" priority="887" operator="lessThan" dxfId="1009">
      <formula>0</formula>
    </cfRule>
  </conditionalFormatting>
  <conditionalFormatting sqref="E698">
    <cfRule type="cellIs" priority="886" operator="lessThan" dxfId="1009">
      <formula>0</formula>
    </cfRule>
  </conditionalFormatting>
  <conditionalFormatting sqref="X23">
    <cfRule type="cellIs" priority="825" operator="lessThan" dxfId="1">
      <formula>0</formula>
    </cfRule>
    <cfRule type="cellIs" priority="824" operator="lessThan" dxfId="1">
      <formula>0</formula>
    </cfRule>
    <cfRule type="cellIs" priority="823" operator="lessThan" dxfId="1">
      <formula>0</formula>
    </cfRule>
    <cfRule type="cellIs" priority="822" operator="lessThan" dxfId="1">
      <formula>0</formula>
    </cfRule>
    <cfRule type="cellIs" priority="827" operator="lessThan" dxfId="1">
      <formula>0</formula>
    </cfRule>
    <cfRule type="cellIs" priority="826" operator="greaterThan" dxfId="0">
      <formula>0</formula>
    </cfRule>
    <cfRule type="cellIs" priority="821" operator="lessThan" dxfId="1">
      <formula>0</formula>
    </cfRule>
  </conditionalFormatting>
  <conditionalFormatting sqref="J692:J693">
    <cfRule type="cellIs" priority="883" operator="lessThan" dxfId="1009">
      <formula>0</formula>
    </cfRule>
    <cfRule type="cellIs" priority="882" operator="lessThan" dxfId="1009">
      <formula>0</formula>
    </cfRule>
  </conditionalFormatting>
  <conditionalFormatting sqref="J687:J691">
    <cfRule type="cellIs" priority="884" operator="lessThan" dxfId="1009">
      <formula>0</formula>
    </cfRule>
  </conditionalFormatting>
  <conditionalFormatting sqref="E687:E691">
    <cfRule type="cellIs" priority="881" operator="lessThan" dxfId="1009">
      <formula>0</formula>
    </cfRule>
  </conditionalFormatting>
  <conditionalFormatting sqref="E692:E693">
    <cfRule type="cellIs" priority="880" operator="lessThan" dxfId="1009">
      <formula>0</formula>
    </cfRule>
    <cfRule type="cellIs" priority="879" operator="lessThan" dxfId="1009">
      <formula>0</formula>
    </cfRule>
  </conditionalFormatting>
  <conditionalFormatting sqref="E679">
    <cfRule type="cellIs" priority="878" operator="lessThan" dxfId="1009">
      <formula>0</formula>
    </cfRule>
  </conditionalFormatting>
  <conditionalFormatting sqref="E677">
    <cfRule type="cellIs" priority="877" operator="lessThan" dxfId="1009">
      <formula>0</formula>
    </cfRule>
  </conditionalFormatting>
  <conditionalFormatting sqref="E676">
    <cfRule type="cellIs" priority="876" operator="lessThan" dxfId="1009">
      <formula>0</formula>
    </cfRule>
  </conditionalFormatting>
  <conditionalFormatting sqref="E670">
    <cfRule type="cellIs" priority="875" operator="lessThan" dxfId="1009">
      <formula>0</formula>
    </cfRule>
  </conditionalFormatting>
  <conditionalFormatting sqref="E669">
    <cfRule type="cellIs" priority="874" operator="lessThan" dxfId="1009">
      <formula>0</formula>
    </cfRule>
  </conditionalFormatting>
  <conditionalFormatting sqref="E668">
    <cfRule type="cellIs" priority="873" operator="lessThan" dxfId="1009">
      <formula>0</formula>
    </cfRule>
  </conditionalFormatting>
  <conditionalFormatting sqref="E666:E667">
    <cfRule type="cellIs" priority="872" operator="lessThan" dxfId="1009">
      <formula>0</formula>
    </cfRule>
  </conditionalFormatting>
  <conditionalFormatting sqref="E658">
    <cfRule type="cellIs" priority="871" operator="lessThan" dxfId="1009">
      <formula>0</formula>
    </cfRule>
  </conditionalFormatting>
  <conditionalFormatting sqref="Z7:Z17">
    <cfRule type="cellIs" priority="809" operator="lessThan" dxfId="1">
      <formula>0</formula>
    </cfRule>
    <cfRule type="cellIs" priority="808" operator="greaterThan" dxfId="0">
      <formula>0</formula>
    </cfRule>
  </conditionalFormatting>
  <conditionalFormatting sqref="I654:I655">
    <cfRule type="cellIs" priority="866" operator="lessThan" dxfId="1009">
      <formula>0</formula>
    </cfRule>
    <cfRule type="cellIs" priority="865" operator="lessThan" dxfId="1009">
      <formula>0</formula>
    </cfRule>
  </conditionalFormatting>
  <conditionalFormatting sqref="E652">
    <cfRule type="cellIs" priority="864" operator="lessThan" dxfId="1009">
      <formula>0</formula>
    </cfRule>
  </conditionalFormatting>
  <conditionalFormatting sqref="E653:E654">
    <cfRule type="cellIs" priority="863" operator="lessThan" dxfId="1009">
      <formula>0</formula>
    </cfRule>
    <cfRule type="cellIs" priority="862" operator="lessThan" dxfId="1009">
      <formula>0</formula>
    </cfRule>
  </conditionalFormatting>
  <conditionalFormatting sqref="E643:E644">
    <cfRule type="cellIs" priority="861" operator="lessThan" dxfId="1009">
      <formula>0</formula>
    </cfRule>
  </conditionalFormatting>
  <conditionalFormatting sqref="K18:V18">
    <cfRule type="cellIs" priority="858" operator="greaterThan" dxfId="0">
      <formula>0.81</formula>
    </cfRule>
    <cfRule type="cellIs" priority="859" operator="between" dxfId="1036">
      <formula>0.301</formula>
      <formula>0.8</formula>
    </cfRule>
    <cfRule type="cellIs" priority="860" operator="lessThan" dxfId="1">
      <formula>0.3</formula>
    </cfRule>
  </conditionalFormatting>
  <conditionalFormatting sqref="K19:W19 K20:R20">
    <cfRule type="cellIs" priority="856" operator="lessThan" dxfId="1">
      <formula>0</formula>
    </cfRule>
    <cfRule type="cellIs" priority="857" operator="greaterThan" dxfId="0">
      <formula>0.0001</formula>
    </cfRule>
  </conditionalFormatting>
  <conditionalFormatting sqref="Q18">
    <cfRule type="cellIs" priority="853" operator="greaterThan" dxfId="0">
      <formula>0.75</formula>
    </cfRule>
    <cfRule type="cellIs" priority="854" operator="between" dxfId="1036">
      <formula>0.301</formula>
      <formula>0.7499</formula>
    </cfRule>
    <cfRule type="cellIs" priority="855" operator="lessThan" dxfId="1">
      <formula>0.3</formula>
    </cfRule>
  </conditionalFormatting>
  <conditionalFormatting sqref="Y29">
    <cfRule type="cellIs" priority="848" operator="lessThan" dxfId="1">
      <formula>0</formula>
    </cfRule>
    <cfRule type="cellIs" priority="849" operator="greaterThan" dxfId="0">
      <formula>0</formula>
    </cfRule>
  </conditionalFormatting>
  <conditionalFormatting sqref="X22">
    <cfRule type="cellIs" priority="784" operator="lessThan" dxfId="1">
      <formula>0</formula>
    </cfRule>
    <cfRule type="cellIs" priority="781" operator="lessThan" dxfId="1">
      <formula>0</formula>
    </cfRule>
    <cfRule type="cellIs" priority="780" operator="lessThan" dxfId="1">
      <formula>0</formula>
    </cfRule>
    <cfRule type="cellIs" priority="782" operator="lessThan" dxfId="1">
      <formula>0</formula>
    </cfRule>
    <cfRule type="cellIs" priority="779" operator="lessThan" dxfId="1">
      <formula>0</formula>
    </cfRule>
    <cfRule type="cellIs" priority="783" operator="greaterThan" dxfId="0">
      <formula>0</formula>
    </cfRule>
    <cfRule type="cellIs" priority="778" operator="lessThan" dxfId="1">
      <formula>0</formula>
    </cfRule>
  </conditionalFormatting>
  <conditionalFormatting sqref="X118:X124">
    <cfRule type="cellIs" priority="833" operator="lessThan" dxfId="1">
      <formula>0</formula>
    </cfRule>
  </conditionalFormatting>
  <conditionalFormatting sqref="Y23">
    <cfRule type="cellIs" priority="820" operator="lessThan" dxfId="1">
      <formula>0</formula>
    </cfRule>
    <cfRule type="cellIs" priority="819" operator="greaterThan" dxfId="0">
      <formula>0</formula>
    </cfRule>
  </conditionalFormatting>
  <conditionalFormatting sqref="X97:X104">
    <cfRule type="cellIs" priority="812" operator="lessThan" dxfId="1">
      <formula>0</formula>
    </cfRule>
  </conditionalFormatting>
  <conditionalFormatting sqref="K6:V17">
    <cfRule type="cellIs" priority="811" operator="lessThan" dxfId="1">
      <formula>0</formula>
    </cfRule>
  </conditionalFormatting>
  <conditionalFormatting sqref="E56">
    <cfRule type="cellIs" priority="806" operator="lessThan" dxfId="1">
      <formula>0</formula>
    </cfRule>
  </conditionalFormatting>
  <conditionalFormatting sqref="K23:V28">
    <cfRule type="aboveAverage" priority="804" dxfId="1865"/>
  </conditionalFormatting>
  <conditionalFormatting sqref="E68">
    <cfRule type="cellIs" priority="798" operator="lessThan" dxfId="1">
      <formula>0</formula>
    </cfRule>
  </conditionalFormatting>
  <conditionalFormatting sqref="E69">
    <cfRule type="cellIs" priority="797" operator="lessThan" dxfId="1">
      <formula>0</formula>
    </cfRule>
  </conditionalFormatting>
  <conditionalFormatting sqref="X39">
    <cfRule type="cellIs" priority="786" operator="greaterThan" dxfId="1255">
      <formula>0</formula>
    </cfRule>
    <cfRule type="cellIs" priority="788" operator="lessThan" dxfId="1">
      <formula>0</formula>
    </cfRule>
    <cfRule type="cellIs" priority="787" operator="greaterThan" dxfId="0">
      <formula>0</formula>
    </cfRule>
  </conditionalFormatting>
  <conditionalFormatting sqref="K21:V28">
    <cfRule type="aboveAverage" priority="785" dxfId="1865"/>
  </conditionalFormatting>
  <conditionalFormatting sqref="Y22">
    <cfRule type="cellIs" priority="777" operator="lessThan" dxfId="1">
      <formula>0</formula>
    </cfRule>
    <cfRule type="cellIs" priority="776" operator="greaterThan" dxfId="0">
      <formula>0</formula>
    </cfRule>
  </conditionalFormatting>
  <conditionalFormatting sqref="L133:V133">
    <cfRule type="cellIs" priority="715" operator="lessThan" dxfId="1">
      <formula>0</formula>
    </cfRule>
  </conditionalFormatting>
  <conditionalFormatting sqref="K46:V46">
    <cfRule type="cellIs" priority="773" operator="lessThan" dxfId="1">
      <formula>0</formula>
    </cfRule>
    <cfRule type="cellIs" priority="774" operator="greaterThan" dxfId="0">
      <formula>0.1</formula>
    </cfRule>
  </conditionalFormatting>
  <conditionalFormatting sqref="E29:E34">
    <cfRule type="cellIs" priority="769" operator="lessThan" dxfId="1">
      <formula>0</formula>
    </cfRule>
  </conditionalFormatting>
  <conditionalFormatting sqref="K53">
    <cfRule type="cellIs" priority="759" operator="lessThan" dxfId="1">
      <formula>0</formula>
    </cfRule>
  </conditionalFormatting>
  <conditionalFormatting sqref="L53:V53">
    <cfRule type="cellIs" priority="756" operator="lessThan" dxfId="1">
      <formula>0</formula>
    </cfRule>
  </conditionalFormatting>
  <conditionalFormatting sqref="E27">
    <cfRule type="cellIs" priority="708" operator="lessThan" dxfId="1">
      <formula>0</formula>
    </cfRule>
  </conditionalFormatting>
  <conditionalFormatting sqref="Y18">
    <cfRule type="cellIs" priority="609" operator="lessThan" dxfId="1">
      <formula>0</formula>
    </cfRule>
    <cfRule type="cellIs" priority="608" operator="greaterThan" dxfId="0">
      <formula>0</formula>
    </cfRule>
  </conditionalFormatting>
  <conditionalFormatting sqref="E35">
    <cfRule type="cellIs" priority="567" operator="lessThan" dxfId="1">
      <formula>0</formula>
    </cfRule>
  </conditionalFormatting>
  <conditionalFormatting sqref="E36">
    <cfRule type="cellIs" priority="566" operator="lessThan" dxfId="1">
      <formula>0</formula>
    </cfRule>
  </conditionalFormatting>
  <conditionalFormatting sqref="X21">
    <cfRule type="cellIs" priority="480" operator="lessThan" dxfId="1">
      <formula>0</formula>
    </cfRule>
    <cfRule type="cellIs" priority="484" operator="lessThan" dxfId="1">
      <formula>0</formula>
    </cfRule>
    <cfRule type="cellIs" priority="483" operator="lessThan" dxfId="1">
      <formula>0</formula>
    </cfRule>
    <cfRule type="cellIs" priority="482" operator="lessThan" dxfId="1">
      <formula>0</formula>
    </cfRule>
    <cfRule type="cellIs" priority="481" operator="lessThan" dxfId="1">
      <formula>0</formula>
    </cfRule>
    <cfRule type="cellIs" priority="486" operator="lessThan" dxfId="1">
      <formula>0</formula>
    </cfRule>
    <cfRule type="cellIs" priority="485" operator="greaterThan" dxfId="0">
      <formula>0</formula>
    </cfRule>
  </conditionalFormatting>
  <conditionalFormatting sqref="Y7:Y17">
    <cfRule type="cellIs" priority="528" operator="lessThan" dxfId="1">
      <formula>0</formula>
    </cfRule>
    <cfRule type="cellIs" priority="527" operator="greaterThan" dxfId="0">
      <formula>0</formula>
    </cfRule>
  </conditionalFormatting>
  <conditionalFormatting sqref="M54:M63">
    <cfRule type="cellIs" priority="452" operator="lessThan" dxfId="1">
      <formula>0</formula>
    </cfRule>
  </conditionalFormatting>
  <conditionalFormatting sqref="W40:W49">
    <cfRule type="cellIs" priority="487" operator="lessThan" dxfId="1">
      <formula>0</formula>
    </cfRule>
    <cfRule type="cellIs" priority="488" operator="greaterThan" dxfId="0">
      <formula>0.1</formula>
    </cfRule>
  </conditionalFormatting>
  <conditionalFormatting sqref="Y21">
    <cfRule type="cellIs" priority="479" operator="lessThan" dxfId="1">
      <formula>0</formula>
    </cfRule>
    <cfRule type="cellIs" priority="478" operator="greaterThan" dxfId="0">
      <formula>0</formula>
    </cfRule>
  </conditionalFormatting>
  <conditionalFormatting sqref="E606">
    <cfRule type="cellIs" priority="417" operator="lessThan" dxfId="1">
      <formula>0</formula>
    </cfRule>
  </conditionalFormatting>
  <conditionalFormatting sqref="E605">
    <cfRule type="cellIs" priority="416" operator="lessThan" dxfId="1">
      <formula>0</formula>
    </cfRule>
  </conditionalFormatting>
  <conditionalFormatting sqref="E603">
    <cfRule type="cellIs" priority="415" operator="lessThan" dxfId="1">
      <formula>0</formula>
    </cfRule>
  </conditionalFormatting>
  <conditionalFormatting sqref="E624">
    <cfRule type="cellIs" priority="474" operator="lessThan" dxfId="1">
      <formula>0</formula>
    </cfRule>
  </conditionalFormatting>
  <conditionalFormatting sqref="E625:E633">
    <cfRule type="cellIs" priority="473" operator="lessThan" dxfId="1">
      <formula>0</formula>
    </cfRule>
  </conditionalFormatting>
  <conditionalFormatting sqref="K54:K63">
    <cfRule type="cellIs" priority="472" operator="lessThan" dxfId="1">
      <formula>0</formula>
    </cfRule>
  </conditionalFormatting>
  <conditionalFormatting sqref="L54:L63">
    <cfRule type="cellIs" priority="471" operator="lessThan" dxfId="1">
      <formula>0</formula>
    </cfRule>
  </conditionalFormatting>
  <conditionalFormatting sqref="P54:P63">
    <cfRule type="cellIs" priority="467" operator="lessThan" dxfId="1">
      <formula>0</formula>
    </cfRule>
  </conditionalFormatting>
  <conditionalFormatting sqref="N54:N63">
    <cfRule type="cellIs" priority="469" operator="lessThan" dxfId="1">
      <formula>0</formula>
    </cfRule>
  </conditionalFormatting>
  <conditionalFormatting sqref="O54:O63">
    <cfRule type="cellIs" priority="468" operator="lessThan" dxfId="1">
      <formula>0</formula>
    </cfRule>
  </conditionalFormatting>
  <conditionalFormatting sqref="Q54:Q63">
    <cfRule type="cellIs" priority="466" operator="lessThan" dxfId="1">
      <formula>0</formula>
    </cfRule>
  </conditionalFormatting>
  <conditionalFormatting sqref="R54:R63">
    <cfRule type="cellIs" priority="465" operator="lessThan" dxfId="1">
      <formula>0</formula>
    </cfRule>
  </conditionalFormatting>
  <conditionalFormatting sqref="S54:S63">
    <cfRule type="cellIs" priority="464" operator="lessThan" dxfId="1">
      <formula>0</formula>
    </cfRule>
  </conditionalFormatting>
  <conditionalFormatting sqref="T54:T63">
    <cfRule type="cellIs" priority="463" operator="lessThan" dxfId="1">
      <formula>0</formula>
    </cfRule>
  </conditionalFormatting>
  <conditionalFormatting sqref="U54:U63">
    <cfRule type="cellIs" priority="462" operator="lessThan" dxfId="1">
      <formula>0</formula>
    </cfRule>
  </conditionalFormatting>
  <conditionalFormatting sqref="V54:V63">
    <cfRule type="cellIs" priority="461" operator="lessThan" dxfId="1">
      <formula>0</formula>
    </cfRule>
  </conditionalFormatting>
  <conditionalFormatting sqref="K96">
    <cfRule type="cellIs" priority="460" operator="lessThan" dxfId="1">
      <formula>0</formula>
    </cfRule>
  </conditionalFormatting>
  <conditionalFormatting sqref="K97:K104">
    <cfRule type="cellIs" priority="459" operator="lessThan" dxfId="1">
      <formula>0</formula>
    </cfRule>
  </conditionalFormatting>
  <conditionalFormatting sqref="L96:V96">
    <cfRule type="cellIs" priority="458" operator="lessThan" dxfId="1">
      <formula>0</formula>
    </cfRule>
  </conditionalFormatting>
  <conditionalFormatting sqref="L97:L104 O97:V104">
    <cfRule type="cellIs" priority="457" operator="lessThan" dxfId="1">
      <formula>0</formula>
    </cfRule>
  </conditionalFormatting>
  <conditionalFormatting sqref="K117">
    <cfRule type="cellIs" priority="456" operator="lessThan" dxfId="1">
      <formula>0</formula>
    </cfRule>
  </conditionalFormatting>
  <conditionalFormatting sqref="L117:V117">
    <cfRule type="cellIs" priority="455" operator="lessThan" dxfId="1">
      <formula>0</formula>
    </cfRule>
  </conditionalFormatting>
  <conditionalFormatting sqref="K118:K123">
    <cfRule type="cellIs" priority="454" operator="lessThan" dxfId="1">
      <formula>0</formula>
    </cfRule>
  </conditionalFormatting>
  <conditionalFormatting sqref="L118:L123 N118:V123">
    <cfRule type="cellIs" priority="453" operator="lessThan" dxfId="1">
      <formula>0</formula>
    </cfRule>
  </conditionalFormatting>
  <conditionalFormatting sqref="M97:M104">
    <cfRule type="cellIs" priority="451" operator="lessThan" dxfId="1">
      <formula>0</formula>
    </cfRule>
  </conditionalFormatting>
  <conditionalFormatting sqref="M118:M123">
    <cfRule type="cellIs" priority="450" operator="lessThan" dxfId="1">
      <formula>0</formula>
    </cfRule>
  </conditionalFormatting>
  <conditionalFormatting sqref="N97:N104">
    <cfRule type="cellIs" priority="449" operator="lessThan" dxfId="1">
      <formula>0</formula>
    </cfRule>
  </conditionalFormatting>
  <conditionalFormatting sqref="E634">
    <cfRule type="cellIs" priority="448" operator="lessThan" dxfId="1">
      <formula>0</formula>
    </cfRule>
  </conditionalFormatting>
  <conditionalFormatting sqref="E635">
    <cfRule type="cellIs" priority="447" operator="lessThan" dxfId="1">
      <formula>0</formula>
    </cfRule>
  </conditionalFormatting>
  <conditionalFormatting sqref="E623">
    <cfRule type="cellIs" priority="446" operator="lessThan" dxfId="1">
      <formula>0</formula>
    </cfRule>
  </conditionalFormatting>
  <conditionalFormatting sqref="E621">
    <cfRule type="cellIs" priority="445" operator="lessThan" dxfId="1">
      <formula>0</formula>
    </cfRule>
  </conditionalFormatting>
  <conditionalFormatting sqref="E620">
    <cfRule type="cellIs" priority="444" operator="lessThan" dxfId="1">
      <formula>0</formula>
    </cfRule>
  </conditionalFormatting>
  <conditionalFormatting sqref="E619">
    <cfRule type="cellIs" priority="443" operator="lessThan" dxfId="1">
      <formula>0</formula>
    </cfRule>
  </conditionalFormatting>
  <conditionalFormatting sqref="E618">
    <cfRule type="cellIs" priority="442" operator="lessThan" dxfId="1">
      <formula>0</formula>
    </cfRule>
  </conditionalFormatting>
  <conditionalFormatting sqref="E616">
    <cfRule type="cellIs" priority="441" operator="lessThan" dxfId="1">
      <formula>0</formula>
    </cfRule>
  </conditionalFormatting>
  <conditionalFormatting sqref="E615">
    <cfRule type="cellIs" priority="438" operator="lessThan" dxfId="1">
      <formula>0</formula>
    </cfRule>
  </conditionalFormatting>
  <conditionalFormatting sqref="E614">
    <cfRule type="cellIs" priority="437" operator="lessThan" dxfId="1">
      <formula>0</formula>
    </cfRule>
  </conditionalFormatting>
  <conditionalFormatting sqref="E611">
    <cfRule type="cellIs" priority="436" operator="lessThan" dxfId="1">
      <formula>0</formula>
    </cfRule>
  </conditionalFormatting>
  <conditionalFormatting sqref="E610">
    <cfRule type="cellIs" priority="435" operator="lessThan" dxfId="1">
      <formula>0</formula>
    </cfRule>
  </conditionalFormatting>
  <conditionalFormatting sqref="E609">
    <cfRule type="cellIs" priority="434" operator="lessThan" dxfId="1">
      <formula>0</formula>
    </cfRule>
  </conditionalFormatting>
  <conditionalFormatting sqref="E607">
    <cfRule type="cellIs" priority="433" operator="lessThan" dxfId="1">
      <formula>0</formula>
    </cfRule>
  </conditionalFormatting>
  <conditionalFormatting sqref="E539:E540">
    <cfRule type="cellIs" priority="372" operator="lessThan" dxfId="1">
      <formula>0</formula>
    </cfRule>
  </conditionalFormatting>
  <conditionalFormatting sqref="E39:E41 E44">
    <cfRule type="cellIs" priority="413" operator="lessThan" dxfId="1">
      <formula>0</formula>
    </cfRule>
  </conditionalFormatting>
  <conditionalFormatting sqref="E602">
    <cfRule type="cellIs" priority="412" operator="lessThan" dxfId="1">
      <formula>0</formula>
    </cfRule>
  </conditionalFormatting>
  <conditionalFormatting sqref="E601">
    <cfRule type="cellIs" priority="411" operator="lessThan" dxfId="1">
      <formula>0</formula>
    </cfRule>
  </conditionalFormatting>
  <conditionalFormatting sqref="E600">
    <cfRule type="cellIs" priority="410" operator="lessThan" dxfId="1">
      <formula>0</formula>
    </cfRule>
  </conditionalFormatting>
  <conditionalFormatting sqref="E599">
    <cfRule type="cellIs" priority="409" operator="lessThan" dxfId="1">
      <formula>0</formula>
    </cfRule>
  </conditionalFormatting>
  <conditionalFormatting sqref="E597">
    <cfRule type="cellIs" priority="408" operator="lessThan" dxfId="1">
      <formula>0</formula>
    </cfRule>
  </conditionalFormatting>
  <conditionalFormatting sqref="E595">
    <cfRule type="cellIs" priority="406" operator="lessThan" dxfId="1">
      <formula>0</formula>
    </cfRule>
  </conditionalFormatting>
  <conditionalFormatting sqref="E596">
    <cfRule type="cellIs" priority="407" operator="lessThan" dxfId="1">
      <formula>0</formula>
    </cfRule>
  </conditionalFormatting>
  <conditionalFormatting sqref="E593">
    <cfRule type="cellIs" priority="405" operator="lessThan" dxfId="1">
      <formula>0</formula>
    </cfRule>
  </conditionalFormatting>
  <conditionalFormatting sqref="E591">
    <cfRule type="cellIs" priority="404" operator="lessThan" dxfId="1">
      <formula>0</formula>
    </cfRule>
  </conditionalFormatting>
  <conditionalFormatting sqref="E590">
    <cfRule type="cellIs" priority="403" operator="lessThan" dxfId="1">
      <formula>0</formula>
    </cfRule>
  </conditionalFormatting>
  <conditionalFormatting sqref="E38">
    <cfRule type="cellIs" priority="402" operator="lessThan" dxfId="1">
      <formula>0</formula>
    </cfRule>
  </conditionalFormatting>
  <conditionalFormatting sqref="E586">
    <cfRule type="cellIs" priority="401" operator="lessThan" dxfId="1">
      <formula>0</formula>
    </cfRule>
  </conditionalFormatting>
  <conditionalFormatting sqref="E585">
    <cfRule type="cellIs" priority="400" operator="lessThan" dxfId="1">
      <formula>0</formula>
    </cfRule>
  </conditionalFormatting>
  <conditionalFormatting sqref="E582">
    <cfRule type="cellIs" priority="399" operator="lessThan" dxfId="1">
      <formula>0</formula>
    </cfRule>
  </conditionalFormatting>
  <conditionalFormatting sqref="E581">
    <cfRule type="cellIs" priority="398" operator="lessThan" dxfId="1">
      <formula>0</formula>
    </cfRule>
  </conditionalFormatting>
  <conditionalFormatting sqref="E580">
    <cfRule type="cellIs" priority="397" operator="lessThan" dxfId="1">
      <formula>0</formula>
    </cfRule>
  </conditionalFormatting>
  <conditionalFormatting sqref="E579">
    <cfRule type="cellIs" priority="396" operator="lessThan" dxfId="1">
      <formula>0</formula>
    </cfRule>
  </conditionalFormatting>
  <conditionalFormatting sqref="E578">
    <cfRule type="cellIs" priority="395" operator="lessThan" dxfId="1">
      <formula>0</formula>
    </cfRule>
  </conditionalFormatting>
  <conditionalFormatting sqref="E574">
    <cfRule type="cellIs" priority="394" operator="lessThan" dxfId="1">
      <formula>0</formula>
    </cfRule>
  </conditionalFormatting>
  <conditionalFormatting sqref="E573">
    <cfRule type="cellIs" priority="393" operator="lessThan" dxfId="1">
      <formula>0</formula>
    </cfRule>
  </conditionalFormatting>
  <conditionalFormatting sqref="E568">
    <cfRule type="cellIs" priority="392" operator="lessThan" dxfId="1">
      <formula>0</formula>
    </cfRule>
  </conditionalFormatting>
  <conditionalFormatting sqref="E567">
    <cfRule type="cellIs" priority="391" operator="lessThan" dxfId="1">
      <formula>0</formula>
    </cfRule>
  </conditionalFormatting>
  <conditionalFormatting sqref="E566">
    <cfRule type="cellIs" priority="390" operator="lessThan" dxfId="1">
      <formula>0</formula>
    </cfRule>
  </conditionalFormatting>
  <conditionalFormatting sqref="E565">
    <cfRule type="cellIs" priority="389" operator="lessThan" dxfId="1">
      <formula>0</formula>
    </cfRule>
  </conditionalFormatting>
  <conditionalFormatting sqref="E564">
    <cfRule type="cellIs" priority="388" operator="lessThan" dxfId="1">
      <formula>0</formula>
    </cfRule>
  </conditionalFormatting>
  <conditionalFormatting sqref="E563">
    <cfRule type="cellIs" priority="387" operator="lessThan" dxfId="1">
      <formula>0</formula>
    </cfRule>
  </conditionalFormatting>
  <conditionalFormatting sqref="E562">
    <cfRule type="cellIs" priority="386" operator="lessThan" dxfId="1">
      <formula>0</formula>
    </cfRule>
  </conditionalFormatting>
  <conditionalFormatting sqref="E559">
    <cfRule type="cellIs" priority="385" operator="lessThan" dxfId="1">
      <formula>0</formula>
    </cfRule>
  </conditionalFormatting>
  <conditionalFormatting sqref="E560">
    <cfRule type="cellIs" priority="384" operator="lessThan" dxfId="1">
      <formula>0</formula>
    </cfRule>
  </conditionalFormatting>
  <conditionalFormatting sqref="E471">
    <cfRule type="cellIs" priority="323" operator="lessThan" dxfId="1">
      <formula>0</formula>
    </cfRule>
  </conditionalFormatting>
  <conditionalFormatting sqref="E470">
    <cfRule type="cellIs" priority="322" operator="lessThan" dxfId="1">
      <formula>0</formula>
    </cfRule>
  </conditionalFormatting>
  <conditionalFormatting sqref="E556">
    <cfRule type="cellIs" priority="381" operator="lessThan" dxfId="1">
      <formula>0</formula>
    </cfRule>
  </conditionalFormatting>
  <conditionalFormatting sqref="E555">
    <cfRule type="cellIs" priority="380" operator="lessThan" dxfId="1">
      <formula>0</formula>
    </cfRule>
  </conditionalFormatting>
  <conditionalFormatting sqref="E554">
    <cfRule type="cellIs" priority="379" operator="lessThan" dxfId="1">
      <formula>0</formula>
    </cfRule>
  </conditionalFormatting>
  <conditionalFormatting sqref="E553">
    <cfRule type="cellIs" priority="378" operator="lessThan" dxfId="1">
      <formula>0</formula>
    </cfRule>
  </conditionalFormatting>
  <conditionalFormatting sqref="E552">
    <cfRule type="cellIs" priority="377" operator="lessThan" dxfId="1">
      <formula>0</formula>
    </cfRule>
  </conditionalFormatting>
  <conditionalFormatting sqref="E551">
    <cfRule type="cellIs" priority="376" operator="lessThan" dxfId="1">
      <formula>0</formula>
    </cfRule>
  </conditionalFormatting>
  <conditionalFormatting sqref="E550">
    <cfRule type="cellIs" priority="375" operator="lessThan" dxfId="1">
      <formula>0</formula>
    </cfRule>
  </conditionalFormatting>
  <conditionalFormatting sqref="E543:E544">
    <cfRule type="cellIs" priority="374" operator="lessThan" dxfId="1">
      <formula>0</formula>
    </cfRule>
  </conditionalFormatting>
  <conditionalFormatting sqref="E541:E542">
    <cfRule type="cellIs" priority="373" operator="lessThan" dxfId="1">
      <formula>0</formula>
    </cfRule>
  </conditionalFormatting>
  <conditionalFormatting sqref="E534">
    <cfRule type="cellIs" priority="371" operator="lessThan" dxfId="1">
      <formula>0</formula>
    </cfRule>
  </conditionalFormatting>
  <conditionalFormatting sqref="E532:E533">
    <cfRule type="cellIs" priority="370" operator="lessThan" dxfId="1">
      <formula>0</formula>
    </cfRule>
  </conditionalFormatting>
  <conditionalFormatting sqref="E24">
    <cfRule type="cellIs" priority="369" operator="lessThan" dxfId="1">
      <formula>0</formula>
    </cfRule>
  </conditionalFormatting>
  <conditionalFormatting sqref="E524">
    <cfRule type="cellIs" priority="368" operator="lessThan" dxfId="1">
      <formula>0</formula>
    </cfRule>
  </conditionalFormatting>
  <conditionalFormatting sqref="E523">
    <cfRule type="cellIs" priority="367" operator="lessThan" dxfId="1">
      <formula>0</formula>
    </cfRule>
  </conditionalFormatting>
  <conditionalFormatting sqref="E522">
    <cfRule type="cellIs" priority="366" operator="lessThan" dxfId="1">
      <formula>0</formula>
    </cfRule>
  </conditionalFormatting>
  <conditionalFormatting sqref="E520">
    <cfRule type="cellIs" priority="365" operator="lessThan" dxfId="1">
      <formula>0</formula>
    </cfRule>
  </conditionalFormatting>
  <conditionalFormatting sqref="E519">
    <cfRule type="cellIs" priority="364" operator="lessThan" dxfId="1">
      <formula>0</formula>
    </cfRule>
  </conditionalFormatting>
  <conditionalFormatting sqref="E518">
    <cfRule type="cellIs" priority="363" operator="lessThan" dxfId="1">
      <formula>0</formula>
    </cfRule>
  </conditionalFormatting>
  <conditionalFormatting sqref="E517">
    <cfRule type="cellIs" priority="362" operator="lessThan" dxfId="1">
      <formula>0</formula>
    </cfRule>
  </conditionalFormatting>
  <conditionalFormatting sqref="E516">
    <cfRule type="cellIs" priority="361" operator="lessThan" dxfId="1">
      <formula>0</formula>
    </cfRule>
  </conditionalFormatting>
  <conditionalFormatting sqref="E514">
    <cfRule type="cellIs" priority="360" operator="lessThan" dxfId="1">
      <formula>0</formula>
    </cfRule>
  </conditionalFormatting>
  <conditionalFormatting sqref="E512">
    <cfRule type="cellIs" priority="359" operator="lessThan" dxfId="1">
      <formula>0</formula>
    </cfRule>
  </conditionalFormatting>
  <conditionalFormatting sqref="E510">
    <cfRule type="cellIs" priority="358" operator="lessThan" dxfId="1">
      <formula>0</formula>
    </cfRule>
  </conditionalFormatting>
  <conditionalFormatting sqref="E508">
    <cfRule type="cellIs" priority="357" operator="lessThan" dxfId="1">
      <formula>0</formula>
    </cfRule>
  </conditionalFormatting>
  <conditionalFormatting sqref="E506:E507">
    <cfRule type="cellIs" priority="356" operator="lessThan" dxfId="1">
      <formula>0</formula>
    </cfRule>
  </conditionalFormatting>
  <conditionalFormatting sqref="E505">
    <cfRule type="cellIs" priority="355" operator="lessThan" dxfId="1">
      <formula>0</formula>
    </cfRule>
  </conditionalFormatting>
  <conditionalFormatting sqref="E502:E503">
    <cfRule type="cellIs" priority="354" operator="lessThan" dxfId="1">
      <formula>0</formula>
    </cfRule>
  </conditionalFormatting>
  <conditionalFormatting sqref="E500">
    <cfRule type="cellIs" priority="353" operator="lessThan" dxfId="1">
      <formula>0</formula>
    </cfRule>
  </conditionalFormatting>
  <conditionalFormatting sqref="E499">
    <cfRule type="cellIs" priority="352" operator="lessThan" dxfId="1">
      <formula>0</formula>
    </cfRule>
  </conditionalFormatting>
  <conditionalFormatting sqref="E492:E493">
    <cfRule type="cellIs" priority="351" operator="lessThan" dxfId="1">
      <formula>0</formula>
    </cfRule>
  </conditionalFormatting>
  <conditionalFormatting sqref="E491">
    <cfRule type="cellIs" priority="350" operator="lessThan" dxfId="1">
      <formula>0</formula>
    </cfRule>
  </conditionalFormatting>
  <conditionalFormatting sqref="E408">
    <cfRule type="cellIs" priority="289" operator="lessThan" dxfId="1">
      <formula>0</formula>
    </cfRule>
  </conditionalFormatting>
  <conditionalFormatting sqref="E490">
    <cfRule type="cellIs" priority="332" operator="lessThan" dxfId="1">
      <formula>0</formula>
    </cfRule>
  </conditionalFormatting>
  <conditionalFormatting sqref="E487">
    <cfRule type="cellIs" priority="331" operator="lessThan" dxfId="1">
      <formula>0</formula>
    </cfRule>
  </conditionalFormatting>
  <conditionalFormatting sqref="E486">
    <cfRule type="cellIs" priority="330" operator="lessThan" dxfId="1">
      <formula>0</formula>
    </cfRule>
  </conditionalFormatting>
  <conditionalFormatting sqref="E485">
    <cfRule type="cellIs" priority="329" operator="lessThan" dxfId="1">
      <formula>0</formula>
    </cfRule>
  </conditionalFormatting>
  <conditionalFormatting sqref="E479">
    <cfRule type="cellIs" priority="328" operator="lessThan" dxfId="1">
      <formula>0</formula>
    </cfRule>
  </conditionalFormatting>
  <conditionalFormatting sqref="E478">
    <cfRule type="cellIs" priority="327" operator="lessThan" dxfId="1">
      <formula>0</formula>
    </cfRule>
  </conditionalFormatting>
  <conditionalFormatting sqref="E477">
    <cfRule type="cellIs" priority="326" operator="lessThan" dxfId="1">
      <formula>0</formula>
    </cfRule>
  </conditionalFormatting>
  <conditionalFormatting sqref="E475">
    <cfRule type="cellIs" priority="325" operator="lessThan" dxfId="1">
      <formula>0</formula>
    </cfRule>
  </conditionalFormatting>
  <conditionalFormatting sqref="E474">
    <cfRule type="cellIs" priority="324" operator="lessThan" dxfId="1">
      <formula>0</formula>
    </cfRule>
  </conditionalFormatting>
  <conditionalFormatting sqref="E469">
    <cfRule type="cellIs" priority="321" operator="lessThan" dxfId="1">
      <formula>0</formula>
    </cfRule>
  </conditionalFormatting>
  <conditionalFormatting sqref="E468">
    <cfRule type="cellIs" priority="320" operator="lessThan" dxfId="1">
      <formula>0</formula>
    </cfRule>
  </conditionalFormatting>
  <conditionalFormatting sqref="E467">
    <cfRule type="cellIs" priority="319" operator="lessThan" dxfId="1">
      <formula>0</formula>
    </cfRule>
  </conditionalFormatting>
  <conditionalFormatting sqref="E466">
    <cfRule type="cellIs" priority="318" operator="lessThan" dxfId="1">
      <formula>0</formula>
    </cfRule>
  </conditionalFormatting>
  <conditionalFormatting sqref="E461">
    <cfRule type="cellIs" priority="317" operator="lessThan" dxfId="1">
      <formula>0</formula>
    </cfRule>
  </conditionalFormatting>
  <conditionalFormatting sqref="E458">
    <cfRule type="cellIs" priority="315" operator="lessThan" dxfId="1">
      <formula>0</formula>
    </cfRule>
  </conditionalFormatting>
  <conditionalFormatting sqref="E457">
    <cfRule type="cellIs" priority="314" operator="lessThan" dxfId="1">
      <formula>0</formula>
    </cfRule>
  </conditionalFormatting>
  <conditionalFormatting sqref="E456">
    <cfRule type="cellIs" priority="313" operator="lessThan" dxfId="1">
      <formula>0</formula>
    </cfRule>
  </conditionalFormatting>
  <conditionalFormatting sqref="E440">
    <cfRule type="cellIs" priority="312" operator="lessThan" dxfId="1">
      <formula>0</formula>
    </cfRule>
  </conditionalFormatting>
  <conditionalFormatting sqref="E445">
    <cfRule type="cellIs" priority="311" operator="lessThan" dxfId="1">
      <formula>0</formula>
    </cfRule>
  </conditionalFormatting>
  <conditionalFormatting sqref="E437">
    <cfRule type="cellIs" priority="310" operator="lessThan" dxfId="1">
      <formula>0</formula>
    </cfRule>
  </conditionalFormatting>
  <conditionalFormatting sqref="E43">
    <cfRule type="cellIs" priority="309" operator="lessThan" dxfId="1">
      <formula>0</formula>
    </cfRule>
  </conditionalFormatting>
  <conditionalFormatting sqref="E435">
    <cfRule type="cellIs" priority="308" operator="lessThan" dxfId="1">
      <formula>0</formula>
    </cfRule>
  </conditionalFormatting>
  <conditionalFormatting sqref="E434">
    <cfRule type="cellIs" priority="307" operator="lessThan" dxfId="1">
      <formula>0</formula>
    </cfRule>
  </conditionalFormatting>
  <conditionalFormatting sqref="E422">
    <cfRule type="cellIs" priority="306" operator="lessThan" dxfId="1">
      <formula>0</formula>
    </cfRule>
  </conditionalFormatting>
  <conditionalFormatting sqref="E423">
    <cfRule type="cellIs" priority="305" operator="lessThan" dxfId="1">
      <formula>0</formula>
    </cfRule>
  </conditionalFormatting>
  <conditionalFormatting sqref="E329">
    <cfRule type="cellIs" priority="244" operator="lessThan" dxfId="1">
      <formula>0</formula>
    </cfRule>
  </conditionalFormatting>
  <conditionalFormatting sqref="E321:E322">
    <cfRule type="cellIs" priority="243" operator="lessThan" dxfId="1">
      <formula>0</formula>
    </cfRule>
  </conditionalFormatting>
  <conditionalFormatting sqref="E441:E444">
    <cfRule type="cellIs" priority="302" operator="lessThan" dxfId="1">
      <formula>0</formula>
    </cfRule>
  </conditionalFormatting>
  <conditionalFormatting sqref="E42">
    <cfRule type="cellIs" priority="301" operator="lessThan" dxfId="1">
      <formula>0</formula>
    </cfRule>
  </conditionalFormatting>
  <conditionalFormatting sqref="E420">
    <cfRule type="cellIs" priority="300" operator="lessThan" dxfId="1">
      <formula>0</formula>
    </cfRule>
  </conditionalFormatting>
  <conditionalFormatting sqref="E418">
    <cfRule type="cellIs" priority="297" operator="lessThan" dxfId="1">
      <formula>0</formula>
    </cfRule>
  </conditionalFormatting>
  <conditionalFormatting sqref="E417">
    <cfRule type="cellIs" priority="296" operator="lessThan" dxfId="1">
      <formula>0</formula>
    </cfRule>
  </conditionalFormatting>
  <conditionalFormatting sqref="X40:X50">
    <cfRule type="cellIs" priority="293" operator="greaterThan" dxfId="1255">
      <formula>0</formula>
    </cfRule>
    <cfRule type="cellIs" priority="295" operator="lessThan" dxfId="1">
      <formula>0</formula>
    </cfRule>
    <cfRule type="cellIs" priority="294" operator="greaterThan" dxfId="0">
      <formula>0</formula>
    </cfRule>
  </conditionalFormatting>
  <conditionalFormatting sqref="Y40:Y50">
    <cfRule type="cellIs" priority="292" operator="lessThan" dxfId="1">
      <formula>0</formula>
    </cfRule>
    <cfRule type="cellIs" priority="291" operator="greaterThan" dxfId="0">
      <formula>0</formula>
    </cfRule>
  </conditionalFormatting>
  <conditionalFormatting sqref="E450">
    <cfRule type="cellIs" priority="290" operator="lessThan" dxfId="1">
      <formula>0</formula>
    </cfRule>
  </conditionalFormatting>
  <conditionalFormatting sqref="E407">
    <cfRule type="cellIs" priority="288" operator="lessThan" dxfId="1">
      <formula>0</formula>
    </cfRule>
  </conditionalFormatting>
  <conditionalFormatting sqref="E406">
    <cfRule type="cellIs" priority="287" operator="lessThan" dxfId="1">
      <formula>0</formula>
    </cfRule>
  </conditionalFormatting>
  <conditionalFormatting sqref="E401">
    <cfRule type="cellIs" priority="286" operator="lessThan" dxfId="1">
      <formula>0</formula>
    </cfRule>
  </conditionalFormatting>
  <conditionalFormatting sqref="E392">
    <cfRule type="cellIs" priority="285" operator="lessThan" dxfId="1">
      <formula>0</formula>
    </cfRule>
  </conditionalFormatting>
  <conditionalFormatting sqref="E393">
    <cfRule type="cellIs" priority="284" operator="lessThan" dxfId="1">
      <formula>0</formula>
    </cfRule>
  </conditionalFormatting>
  <conditionalFormatting sqref="E390:E391">
    <cfRule type="cellIs" priority="266" operator="lessThan" dxfId="1">
      <formula>0</formula>
    </cfRule>
  </conditionalFormatting>
  <conditionalFormatting sqref="E377:E378">
    <cfRule type="cellIs" priority="264" operator="lessThan" dxfId="1">
      <formula>0</formula>
    </cfRule>
  </conditionalFormatting>
  <conditionalFormatting sqref="E370:E371">
    <cfRule type="cellIs" priority="263" operator="lessThan" dxfId="1">
      <formula>0</formula>
    </cfRule>
  </conditionalFormatting>
  <conditionalFormatting sqref="E367:E368">
    <cfRule type="cellIs" priority="262" operator="lessThan" dxfId="1">
      <formula>0</formula>
    </cfRule>
  </conditionalFormatting>
  <conditionalFormatting sqref="E365">
    <cfRule type="cellIs" priority="261" operator="lessThan" dxfId="1">
      <formula>0</formula>
    </cfRule>
  </conditionalFormatting>
  <conditionalFormatting sqref="E364">
    <cfRule type="cellIs" priority="260" operator="lessThan" dxfId="1">
      <formula>0</formula>
    </cfRule>
  </conditionalFormatting>
  <conditionalFormatting sqref="E330">
    <cfRule type="cellIs" priority="247" operator="lessThan" dxfId="1">
      <formula>0</formula>
    </cfRule>
  </conditionalFormatting>
  <conditionalFormatting sqref="E331:E363">
    <cfRule type="cellIs" priority="245" operator="lessThan" dxfId="1">
      <formula>0</formula>
    </cfRule>
  </conditionalFormatting>
  <conditionalFormatting sqref="E316">
    <cfRule type="cellIs" priority="242" operator="lessThan" dxfId="1">
      <formula>0</formula>
    </cfRule>
  </conditionalFormatting>
  <conditionalFormatting sqref="E315">
    <cfRule type="cellIs" priority="241" operator="lessThan" dxfId="1">
      <formula>0</formula>
    </cfRule>
  </conditionalFormatting>
  <conditionalFormatting sqref="E313:E314">
    <cfRule type="cellIs" priority="240" operator="lessThan" dxfId="1">
      <formula>0</formula>
    </cfRule>
  </conditionalFormatting>
  <conditionalFormatting sqref="E301:E304">
    <cfRule type="cellIs" priority="239" operator="lessThan" dxfId="1">
      <formula>0</formula>
    </cfRule>
  </conditionalFormatting>
  <conditionalFormatting sqref="AA17">
    <cfRule type="cellIs" priority="238" operator="lessThan" dxfId="1">
      <formula>0</formula>
    </cfRule>
    <cfRule type="cellIs" priority="237" operator="greaterThan" dxfId="0">
      <formula>0</formula>
    </cfRule>
  </conditionalFormatting>
  <conditionalFormatting sqref="E298:E300">
    <cfRule type="cellIs" priority="229" operator="lessThan" dxfId="1">
      <formula>0</formula>
    </cfRule>
  </conditionalFormatting>
  <conditionalFormatting sqref="E296">
    <cfRule type="cellIs" priority="228" operator="lessThan" dxfId="1">
      <formula>0</formula>
    </cfRule>
  </conditionalFormatting>
  <conditionalFormatting sqref="E292:E293">
    <cfRule type="cellIs" priority="227" operator="lessThan" dxfId="1">
      <formula>0</formula>
    </cfRule>
  </conditionalFormatting>
  <conditionalFormatting sqref="S20">
    <cfRule type="aboveAverage" priority="226" dxfId="1865"/>
    <cfRule type="aboveAverage" priority="225" dxfId="1865"/>
  </conditionalFormatting>
  <conditionalFormatting sqref="T20">
    <cfRule type="aboveAverage" priority="224" dxfId="1865"/>
    <cfRule type="aboveAverage" priority="223" dxfId="1865"/>
  </conditionalFormatting>
  <conditionalFormatting sqref="E282">
    <cfRule type="cellIs" priority="222" operator="lessThan" dxfId="1">
      <formula>0</formula>
    </cfRule>
  </conditionalFormatting>
  <conditionalFormatting sqref="E273">
    <cfRule type="cellIs" priority="221" operator="lessThan" dxfId="1">
      <formula>0</formula>
    </cfRule>
  </conditionalFormatting>
  <conditionalFormatting sqref="E272">
    <cfRule type="cellIs" priority="220" operator="lessThan" dxfId="1">
      <formula>0</formula>
    </cfRule>
  </conditionalFormatting>
  <conditionalFormatting sqref="E256">
    <cfRule type="cellIs" priority="219" operator="lessThan" dxfId="1">
      <formula>0</formula>
    </cfRule>
  </conditionalFormatting>
  <conditionalFormatting sqref="E254:E255">
    <cfRule type="cellIs" priority="218" operator="lessThan" dxfId="1">
      <formula>0</formula>
    </cfRule>
  </conditionalFormatting>
  <conditionalFormatting sqref="U20">
    <cfRule type="aboveAverage" priority="217" dxfId="1865"/>
    <cfRule type="aboveAverage" priority="216" dxfId="1865"/>
    <cfRule type="aboveAverage" priority="85" dxfId="1865"/>
    <cfRule type="aboveAverage" priority="84" dxfId="1865"/>
  </conditionalFormatting>
  <conditionalFormatting sqref="E252:E253">
    <cfRule type="cellIs" priority="155" operator="lessThan" dxfId="1">
      <formula>0</formula>
    </cfRule>
  </conditionalFormatting>
  <conditionalFormatting sqref="E250">
    <cfRule type="cellIs" priority="154" operator="lessThan" dxfId="1">
      <formula>0</formula>
    </cfRule>
  </conditionalFormatting>
  <conditionalFormatting sqref="E243">
    <cfRule type="cellIs" priority="153" operator="lessThan" dxfId="1">
      <formula>0</formula>
    </cfRule>
  </conditionalFormatting>
  <conditionalFormatting sqref="E242">
    <cfRule type="cellIs" priority="152" operator="lessThan" dxfId="1">
      <formula>0</formula>
    </cfRule>
  </conditionalFormatting>
  <conditionalFormatting sqref="E241">
    <cfRule type="cellIs" priority="151" operator="lessThan" dxfId="1">
      <formula>0</formula>
    </cfRule>
  </conditionalFormatting>
  <conditionalFormatting sqref="E239">
    <cfRule type="cellIs" priority="150" operator="lessThan" dxfId="1">
      <formula>0</formula>
    </cfRule>
  </conditionalFormatting>
  <conditionalFormatting sqref="E238">
    <cfRule type="cellIs" priority="149" operator="lessThan" dxfId="1">
      <formula>0</formula>
    </cfRule>
  </conditionalFormatting>
  <conditionalFormatting sqref="E237">
    <cfRule type="cellIs" priority="148" operator="lessThan" dxfId="1">
      <formula>0</formula>
    </cfRule>
  </conditionalFormatting>
  <conditionalFormatting sqref="E227">
    <cfRule type="cellIs" priority="147" operator="lessThan" dxfId="1">
      <formula>0</formula>
    </cfRule>
  </conditionalFormatting>
  <conditionalFormatting sqref="E221:E222">
    <cfRule type="cellIs" priority="146" operator="lessThan" dxfId="1">
      <formula>0</formula>
    </cfRule>
  </conditionalFormatting>
  <conditionalFormatting sqref="E218">
    <cfRule type="cellIs" priority="81" operator="lessThan" dxfId="1">
      <formula>0</formula>
    </cfRule>
  </conditionalFormatting>
  <conditionalFormatting sqref="E216:E217">
    <cfRule type="cellIs" priority="80" operator="lessThan" dxfId="1">
      <formula>0</formula>
    </cfRule>
  </conditionalFormatting>
  <conditionalFormatting sqref="E212">
    <cfRule type="cellIs" priority="79" operator="lessThan" dxfId="1">
      <formula>0</formula>
    </cfRule>
  </conditionalFormatting>
  <conditionalFormatting sqref="E197:E198">
    <cfRule type="cellIs" priority="78" operator="lessThan" dxfId="1">
      <formula>0</formula>
    </cfRule>
  </conditionalFormatting>
  <conditionalFormatting sqref="X7:X16">
    <cfRule type="cellIs" priority="77" operator="lessThan" dxfId="1">
      <formula>0</formula>
    </cfRule>
    <cfRule type="cellIs" priority="76" operator="lessThan" dxfId="1">
      <formula>0</formula>
    </cfRule>
    <cfRule type="cellIs" priority="75" operator="greaterThan" dxfId="0">
      <formula>0</formula>
    </cfRule>
    <cfRule type="cellIs" priority="74" operator="lessThan" dxfId="1">
      <formula>0</formula>
    </cfRule>
    <cfRule type="cellIs" priority="73" operator="lessThan" dxfId="1">
      <formula>0</formula>
    </cfRule>
    <cfRule type="cellIs" priority="72" operator="lessThan" dxfId="1">
      <formula>0</formula>
    </cfRule>
    <cfRule type="cellIs" priority="71" operator="lessThan" dxfId="1">
      <formula>0</formula>
    </cfRule>
    <cfRule type="cellIs" priority="70" operator="lessThan" dxfId="1">
      <formula>0</formula>
    </cfRule>
    <cfRule type="cellIs" priority="69" operator="lessThan" dxfId="1">
      <formula>0</formula>
    </cfRule>
    <cfRule type="cellIs" priority="68" operator="lessThan" dxfId="1">
      <formula>0</formula>
    </cfRule>
    <cfRule type="cellIs" priority="67" operator="lessThan" dxfId="1">
      <formula>0</formula>
    </cfRule>
    <cfRule type="cellIs" priority="66" operator="lessThan" dxfId="1">
      <formula>0</formula>
    </cfRule>
    <cfRule type="cellIs" priority="65" operator="lessThan" dxfId="1">
      <formula>0</formula>
    </cfRule>
    <cfRule type="cellIs" priority="64" operator="lessThan" dxfId="1">
      <formula>0</formula>
    </cfRule>
    <cfRule type="cellIs" priority="63" operator="lessThan" dxfId="1">
      <formula>0</formula>
    </cfRule>
    <cfRule type="cellIs" priority="62" operator="lessThan" dxfId="1">
      <formula>0</formula>
    </cfRule>
    <cfRule type="cellIs" priority="61" operator="lessThan" dxfId="1">
      <formula>0</formula>
    </cfRule>
    <cfRule type="cellIs" priority="60" operator="lessThan" dxfId="1">
      <formula>0</formula>
    </cfRule>
    <cfRule type="cellIs" priority="59" operator="lessThan" dxfId="1">
      <formula>0</formula>
    </cfRule>
    <cfRule type="cellIs" priority="58" operator="lessThan" dxfId="1">
      <formula>0</formula>
    </cfRule>
    <cfRule type="cellIs" priority="57" operator="lessThan" dxfId="1">
      <formula>0</formula>
    </cfRule>
    <cfRule type="cellIs" priority="56" operator="lessThan" dxfId="1">
      <formula>0</formula>
    </cfRule>
    <cfRule type="cellIs" priority="55" operator="lessThan" dxfId="1">
      <formula>0</formula>
    </cfRule>
    <cfRule type="cellIs" priority="54" operator="lessThan" dxfId="1">
      <formula>0</formula>
    </cfRule>
    <cfRule type="cellIs" priority="53" operator="lessThan" dxfId="1">
      <formula>0</formula>
    </cfRule>
    <cfRule type="cellIs" priority="52" operator="lessThan" dxfId="1">
      <formula>0</formula>
    </cfRule>
    <cfRule type="cellIs" priority="51" operator="lessThan" dxfId="1">
      <formula>0</formula>
    </cfRule>
    <cfRule type="cellIs" priority="50" operator="lessThan" dxfId="1">
      <formula>0</formula>
    </cfRule>
    <cfRule type="cellIs" priority="49" operator="lessThan" dxfId="1">
      <formula>0</formula>
    </cfRule>
    <cfRule type="cellIs" priority="48" operator="lessThan" dxfId="1">
      <formula>0</formula>
    </cfRule>
  </conditionalFormatting>
  <conditionalFormatting sqref="X17">
    <cfRule type="cellIs" priority="47" operator="lessThan" dxfId="1">
      <formula>0</formula>
    </cfRule>
    <cfRule type="cellIs" priority="46" operator="lessThan" dxfId="1">
      <formula>0</formula>
    </cfRule>
    <cfRule type="cellIs" priority="45" operator="greaterThan" dxfId="0">
      <formula>0</formula>
    </cfRule>
    <cfRule type="cellIs" priority="44" operator="lessThan" dxfId="1">
      <formula>0</formula>
    </cfRule>
    <cfRule type="cellIs" priority="43" operator="lessThan" dxfId="1">
      <formula>0</formula>
    </cfRule>
    <cfRule type="cellIs" priority="42" operator="lessThan" dxfId="1">
      <formula>0</formula>
    </cfRule>
    <cfRule type="cellIs" priority="41" operator="lessThan" dxfId="1">
      <formula>0</formula>
    </cfRule>
    <cfRule type="cellIs" priority="40" operator="lessThan" dxfId="1">
      <formula>0</formula>
    </cfRule>
    <cfRule type="cellIs" priority="39" operator="lessThan" dxfId="1">
      <formula>0</formula>
    </cfRule>
    <cfRule type="cellIs" priority="38" operator="lessThan" dxfId="1">
      <formula>0</formula>
    </cfRule>
    <cfRule type="cellIs" priority="37" operator="lessThan" dxfId="1">
      <formula>0</formula>
    </cfRule>
    <cfRule type="cellIs" priority="36" operator="lessThan" dxfId="1">
      <formula>0</formula>
    </cfRule>
    <cfRule type="cellIs" priority="35" operator="lessThan" dxfId="1">
      <formula>0</formula>
    </cfRule>
    <cfRule type="cellIs" priority="34" operator="lessThan" dxfId="1">
      <formula>0</formula>
    </cfRule>
    <cfRule type="cellIs" priority="33" operator="lessThan" dxfId="1">
      <formula>0</formula>
    </cfRule>
    <cfRule type="cellIs" priority="32" operator="lessThan" dxfId="1">
      <formula>0</formula>
    </cfRule>
    <cfRule type="cellIs" priority="31" operator="lessThan" dxfId="1">
      <formula>0</formula>
    </cfRule>
    <cfRule type="cellIs" priority="30" operator="lessThan" dxfId="1">
      <formula>0</formula>
    </cfRule>
    <cfRule type="cellIs" priority="29" operator="lessThan" dxfId="1">
      <formula>0</formula>
    </cfRule>
    <cfRule type="cellIs" priority="28" operator="lessThan" dxfId="1">
      <formula>0</formula>
    </cfRule>
    <cfRule type="cellIs" priority="27" operator="lessThan" dxfId="1">
      <formula>0</formula>
    </cfRule>
    <cfRule type="cellIs" priority="26" operator="lessThan" dxfId="1">
      <formula>0</formula>
    </cfRule>
    <cfRule type="cellIs" priority="25" operator="lessThan" dxfId="1">
      <formula>0</formula>
    </cfRule>
    <cfRule type="cellIs" priority="24" operator="lessThan" dxfId="1">
      <formula>0</formula>
    </cfRule>
    <cfRule type="cellIs" priority="23" operator="lessThan" dxfId="1">
      <formula>0</formula>
    </cfRule>
    <cfRule type="cellIs" priority="22" operator="lessThan" dxfId="1">
      <formula>0</formula>
    </cfRule>
    <cfRule type="cellIs" priority="21" operator="lessThan" dxfId="1">
      <formula>0</formula>
    </cfRule>
    <cfRule type="cellIs" priority="20" operator="lessThan" dxfId="1">
      <formula>0</formula>
    </cfRule>
    <cfRule type="cellIs" priority="19" operator="lessThan" dxfId="1">
      <formula>0</formula>
    </cfRule>
    <cfRule type="cellIs" priority="18" operator="lessThan" dxfId="1">
      <formula>0</formula>
    </cfRule>
  </conditionalFormatting>
  <conditionalFormatting sqref="E193">
    <cfRule type="cellIs" priority="17" operator="lessThan" dxfId="1">
      <formula>0</formula>
    </cfRule>
  </conditionalFormatting>
  <conditionalFormatting sqref="E194">
    <cfRule type="cellIs" priority="16" operator="lessThan" dxfId="1">
      <formula>0</formula>
    </cfRule>
  </conditionalFormatting>
  <conditionalFormatting sqref="W20">
    <cfRule type="cellIs" priority="13" operator="lessThan" dxfId="1">
      <formula>0</formula>
    </cfRule>
  </conditionalFormatting>
  <conditionalFormatting sqref="V20">
    <cfRule type="cellIs" priority="12" operator="lessThan" dxfId="1">
      <formula>0</formula>
    </cfRule>
  </conditionalFormatting>
  <conditionalFormatting sqref="E188">
    <cfRule type="cellIs" priority="11" operator="lessThan" dxfId="1">
      <formula>0</formula>
    </cfRule>
  </conditionalFormatting>
  <conditionalFormatting sqref="E183">
    <cfRule type="cellIs" priority="10" operator="lessThan" dxfId="1">
      <formula>0</formula>
    </cfRule>
  </conditionalFormatting>
  <conditionalFormatting sqref="E48">
    <cfRule type="cellIs" priority="9" operator="lessThan" dxfId="1">
      <formula>0</formula>
    </cfRule>
  </conditionalFormatting>
  <conditionalFormatting sqref="E177">
    <cfRule type="cellIs" priority="8" operator="lessThan" dxfId="1">
      <formula>0</formula>
    </cfRule>
  </conditionalFormatting>
  <conditionalFormatting sqref="E168">
    <cfRule type="cellIs" priority="7" operator="lessThan" dxfId="1">
      <formula>0</formula>
    </cfRule>
  </conditionalFormatting>
  <conditionalFormatting sqref="E166">
    <cfRule type="cellIs" priority="6" operator="lessThan" dxfId="1">
      <formula>0</formula>
    </cfRule>
  </conditionalFormatting>
  <conditionalFormatting sqref="E165">
    <cfRule type="cellIs" priority="5" operator="lessThan" dxfId="1">
      <formula>0</formula>
    </cfRule>
  </conditionalFormatting>
  <conditionalFormatting sqref="E164">
    <cfRule type="cellIs" priority="4" operator="lessThan" dxfId="1">
      <formula>0</formula>
    </cfRule>
  </conditionalFormatting>
  <conditionalFormatting sqref="E159">
    <cfRule type="cellIs" priority="3" operator="lessThan" dxfId="1">
      <formula>0</formula>
    </cfRule>
  </conditionalFormatting>
  <conditionalFormatting sqref="E157">
    <cfRule type="cellIs" priority="2" operator="lessThan" dxfId="1">
      <formula>0</formula>
    </cfRule>
  </conditionalFormatting>
  <conditionalFormatting sqref="E155">
    <cfRule type="cellIs" priority="1" operator="lessThan" dxfId="1">
      <formula>0</formula>
    </cfRule>
  </conditionalFormatting>
  <dataValidations count="3">
    <dataValidation sqref="C22 C24:C28 C30:C36 C38:C40 C42:C44 C46 C48 C197:C198 C221:C222 C254:C255 C301:C304 C354:C355 C392:C393 C422:C423 C461 C492:C493 C559:C560 C573:C574 C607 C615:C616 C618:C621 C623:C635" showDropDown="0" showInputMessage="1" showErrorMessage="1" allowBlank="1" type="list">
      <formula1>$I$4:$I$28</formula1>
    </dataValidation>
    <dataValidation sqref="C3:C18 C23 C29 C45 C47 C49:C51 C54:C56 C66:C67 C69:C76 C943:C978 C980:C1025 C1027:C1085 C1088 C1090:C1145 C1152:C1183 C1186:C1211 C1213:C1221 C1223:C1250 C1252:C1255 C1258:C1262 C1264 C1266:C1267 C1269:C1291 C1293:C1327 C1330:C1341 C1343:C1372 C1374:C1426 C1429:C1463" showDropDown="0" showInputMessage="1" showErrorMessage="1" allowBlank="1" type="list">
      <formula1>$I$5:$I$31</formula1>
    </dataValidation>
    <dataValidation sqref="C150:C196 C199:C220 C223:C253 C256:C300 C305:C353 C356:C391 C394:C421 C424:C460 C462:C491 C494:C558 C561:C572 C575:C606 C608:C615 C617 C622 C625:C632 C643:C654 C656:C693 C696:C733 C735:C797 C799:C871 C873:C942" showDropDown="0" showInputMessage="1" showErrorMessage="1" allowBlank="1" type="list">
      <formula1>$I$5:$I$30</formula1>
    </dataValidation>
  </dataValidations>
  <pageMargins left="0.25" right="0.25" top="0.75" bottom="0.75" header="0.3" footer="0.3"/>
  <pageSetup orientation="landscape" paperSize="9" scale="10"/>
</worksheet>
</file>

<file path=xl/worksheets/sheet12.xml><?xml version="1.0" encoding="utf-8"?>
<worksheet xmlns="http://schemas.openxmlformats.org/spreadsheetml/2006/main">
  <sheetPr>
    <outlinePr summaryBelow="1" summaryRight="1"/>
    <pageSetUpPr fitToPage="1"/>
  </sheetPr>
  <dimension ref="A1:AI587"/>
  <sheetViews>
    <sheetView showZeros="0" zoomScaleNormal="100" workbookViewId="0">
      <selection activeCell="V12" sqref="V12"/>
    </sheetView>
  </sheetViews>
  <sheetFormatPr baseColWidth="8" defaultColWidth="9.1328125" defaultRowHeight="12.75"/>
  <cols>
    <col width="11" bestFit="1" customWidth="1" style="1255" min="1" max="1"/>
    <col width="19.46484375" customWidth="1" style="1255" min="2" max="2"/>
    <col width="22.46484375" customWidth="1" style="1255" min="3" max="3"/>
    <col width="15.46484375" bestFit="1" customWidth="1" style="1255" min="4" max="4"/>
    <col width="10" bestFit="1" customWidth="1" style="1256" min="5" max="5"/>
    <col width="22.1328125" bestFit="1" customWidth="1" style="1255" min="6" max="6"/>
    <col width="15.796875" customWidth="1" style="1255" min="7" max="7"/>
    <col width="12.6640625" customWidth="1" style="1255" min="8" max="8"/>
    <col width="24.1328125" bestFit="1" customWidth="1" style="1255" min="9" max="9"/>
    <col width="17.53125" bestFit="1" customWidth="1" style="1255" min="10" max="10"/>
    <col width="8.86328125" customWidth="1" style="1255" min="11" max="11"/>
    <col width="7.796875" customWidth="1" style="1255" min="12" max="22"/>
    <col width="8.53125" customWidth="1" style="1255" min="23" max="23"/>
    <col width="12.1328125" bestFit="1" customWidth="1" style="1255" min="24" max="24"/>
    <col width="10.19921875" customWidth="1" style="1255" min="25" max="25"/>
    <col width="7.86328125" bestFit="1" customWidth="1" style="1255" min="26" max="26"/>
    <col width="11" customWidth="1" style="1255" min="27" max="27"/>
    <col width="10.46484375" customWidth="1" style="1255" min="28" max="28"/>
    <col width="3.1328125" customWidth="1" style="1255" min="29" max="29"/>
    <col width="13.33203125" customWidth="1" style="1255" min="30" max="30"/>
    <col width="12" bestFit="1" customWidth="1" style="1255" min="31" max="31"/>
    <col width="11.53125" bestFit="1" customWidth="1" style="1255" min="32" max="32"/>
    <col width="12" bestFit="1" customWidth="1" style="1255" min="33" max="33"/>
    <col width="9" bestFit="1" customWidth="1" style="1255" min="34" max="34"/>
    <col width="9.1328125" customWidth="1" style="1255" min="35" max="16384"/>
  </cols>
  <sheetData>
    <row r="1" ht="13.15" customHeight="1" s="1232">
      <c r="A1" s="1265" t="inlineStr">
        <is>
          <t>Date</t>
        </is>
      </c>
      <c r="B1" s="1265" t="inlineStr">
        <is>
          <t>Name</t>
        </is>
      </c>
      <c r="C1" s="1265" t="inlineStr">
        <is>
          <t>Category</t>
        </is>
      </c>
      <c r="D1" s="1265" t="inlineStr">
        <is>
          <t>Source</t>
        </is>
      </c>
      <c r="E1" s="1264" t="inlineStr">
        <is>
          <t>Value</t>
        </is>
      </c>
      <c r="F1" s="1265" t="inlineStr">
        <is>
          <t xml:space="preserve">Fulfilled </t>
        </is>
      </c>
      <c r="J1" s="1260" t="inlineStr">
        <is>
          <t>Weighting</t>
        </is>
      </c>
      <c r="K1" s="1266">
        <f>SUM(K27/$W27)</f>
        <v/>
      </c>
      <c r="L1" s="1266">
        <f>SUM(L27/$W27)</f>
        <v/>
      </c>
      <c r="M1" s="1266">
        <f>SUM(M27/$W27)</f>
        <v/>
      </c>
      <c r="N1" s="1266">
        <f>SUM(N27/$W27)</f>
        <v/>
      </c>
      <c r="O1" s="1266">
        <f>SUM(O27/$W27)</f>
        <v/>
      </c>
      <c r="P1" s="1266">
        <f>SUM(P27/$W27)</f>
        <v/>
      </c>
      <c r="Q1" s="1266">
        <f>SUM(Q27/$W27)</f>
        <v/>
      </c>
      <c r="R1" s="1266">
        <f>SUM(R27/$W27)</f>
        <v/>
      </c>
      <c r="S1" s="1266">
        <f>SUM(S27/$W27)</f>
        <v/>
      </c>
      <c r="T1" s="1266">
        <f>SUM(T27/$W27)</f>
        <v/>
      </c>
      <c r="U1" s="1266">
        <f>SUM(U27/$W27)</f>
        <v/>
      </c>
      <c r="V1" s="1266">
        <f>SUM(V27/$W27)</f>
        <v/>
      </c>
      <c r="W1" s="431">
        <f>SUM(K1:V1)</f>
        <v/>
      </c>
      <c r="AD1" s="1268" t="inlineStr">
        <is>
          <t>TY</t>
        </is>
      </c>
      <c r="AE1" s="1260" t="inlineStr">
        <is>
          <t>Total</t>
        </is>
      </c>
      <c r="AF1" s="1260" t="inlineStr">
        <is>
          <t>Apr to Dec</t>
        </is>
      </c>
      <c r="AG1" s="1260" t="inlineStr">
        <is>
          <t>Jan to Mar</t>
        </is>
      </c>
      <c r="AH1" s="1260" t="inlineStr">
        <is>
          <t>% Inc</t>
        </is>
      </c>
    </row>
    <row r="2" ht="13.9" customHeight="1" s="1232">
      <c r="A2" s="1271" t="n"/>
      <c r="B2" s="1357" t="n"/>
      <c r="C2" s="1271" t="n"/>
      <c r="D2" s="1271" t="n"/>
      <c r="E2" s="1270" t="n"/>
      <c r="F2" s="1271" t="n"/>
      <c r="I2" s="1250" t="n"/>
      <c r="J2" s="1251" t="inlineStr">
        <is>
          <t>Monthly Target</t>
        </is>
      </c>
      <c r="K2" s="737">
        <f>$J17*K1</f>
        <v/>
      </c>
      <c r="L2" s="737">
        <f>$J17*L1</f>
        <v/>
      </c>
      <c r="M2" s="737">
        <f>$J17*M1</f>
        <v/>
      </c>
      <c r="N2" s="737">
        <f>$J17*N1</f>
        <v/>
      </c>
      <c r="O2" s="737">
        <f>$J17*O1</f>
        <v/>
      </c>
      <c r="P2" s="737">
        <f>$J17*P1</f>
        <v/>
      </c>
      <c r="Q2" s="737">
        <f>$J17*Q1</f>
        <v/>
      </c>
      <c r="R2" s="737">
        <f>$J17*R1</f>
        <v/>
      </c>
      <c r="S2" s="737">
        <f>$J17*S1</f>
        <v/>
      </c>
      <c r="T2" s="737">
        <f>$J17*T1</f>
        <v/>
      </c>
      <c r="U2" s="737">
        <f>$J17*U1</f>
        <v/>
      </c>
      <c r="V2" s="737">
        <f>$J17*V1</f>
        <v/>
      </c>
      <c r="W2" s="805">
        <f>SUM(K2:V2)</f>
        <v/>
      </c>
      <c r="AA2" s="1273" t="inlineStr">
        <is>
          <t>Month No'</t>
        </is>
      </c>
      <c r="AB2" s="820" t="n">
        <v>12</v>
      </c>
      <c r="AD2" s="1282" t="inlineStr">
        <is>
          <t>2020/21</t>
        </is>
      </c>
      <c r="AE2" s="1378">
        <f>AF2+AG2</f>
        <v/>
      </c>
      <c r="AF2" s="1284">
        <f>SUM(N16:V16)</f>
        <v/>
      </c>
      <c r="AH2" s="445">
        <f>SUM(AF2-AF3)/AF2</f>
        <v/>
      </c>
    </row>
    <row r="3" ht="13.9" customHeight="1" s="1232">
      <c r="A3" s="1271" t="n"/>
      <c r="B3" s="1357" t="n"/>
      <c r="C3" s="1271" t="n"/>
      <c r="D3" s="1271" t="n"/>
      <c r="E3" s="1270" t="n"/>
      <c r="F3" s="1271" t="n"/>
      <c r="I3" s="1250" t="n"/>
      <c r="J3" s="1251" t="n"/>
      <c r="K3" s="737" t="n"/>
      <c r="L3" s="737" t="n"/>
      <c r="M3" s="737" t="n"/>
      <c r="N3" s="737" t="n"/>
      <c r="O3" s="737" t="n"/>
      <c r="P3" s="737" t="n"/>
      <c r="Q3" s="737" t="n"/>
      <c r="R3" s="737" t="n"/>
      <c r="S3" s="737" t="n"/>
      <c r="T3" s="737" t="n"/>
      <c r="U3" s="737" t="n"/>
      <c r="V3" s="737" t="n"/>
      <c r="W3" s="805" t="n"/>
      <c r="AD3" s="1282" t="inlineStr">
        <is>
          <t>2019/20</t>
        </is>
      </c>
      <c r="AE3" s="1378">
        <f>AF3+AG3</f>
        <v/>
      </c>
      <c r="AF3" s="1284">
        <f>SUM(N19:V19)</f>
        <v/>
      </c>
      <c r="AG3" s="1284">
        <f>SUM(K19:M19)</f>
        <v/>
      </c>
      <c r="AH3" s="445">
        <f>SUM(AF3-AF4)/AF3</f>
        <v/>
      </c>
    </row>
    <row r="4" ht="13.9" customHeight="1" s="1232">
      <c r="A4" s="1292" t="n"/>
      <c r="B4" s="1294" t="n"/>
      <c r="C4" s="1294" t="n"/>
      <c r="D4" s="1274" t="n"/>
      <c r="E4" s="1270" t="n"/>
      <c r="F4" s="1274" t="n"/>
      <c r="I4" s="1336" t="inlineStr">
        <is>
          <t>Tuition Categories</t>
        </is>
      </c>
      <c r="J4" s="1276" t="inlineStr">
        <is>
          <t>Target</t>
        </is>
      </c>
      <c r="K4" s="1332" t="inlineStr">
        <is>
          <t>Jan</t>
        </is>
      </c>
      <c r="L4" s="1332" t="inlineStr">
        <is>
          <t>Feb</t>
        </is>
      </c>
      <c r="M4" s="1332" t="inlineStr">
        <is>
          <t>Mar</t>
        </is>
      </c>
      <c r="N4" s="1332" t="inlineStr">
        <is>
          <t>Apr</t>
        </is>
      </c>
      <c r="O4" s="1332" t="inlineStr">
        <is>
          <t>May</t>
        </is>
      </c>
      <c r="P4" s="1332" t="inlineStr">
        <is>
          <t>Jun</t>
        </is>
      </c>
      <c r="Q4" s="1332" t="inlineStr">
        <is>
          <t>Jul</t>
        </is>
      </c>
      <c r="R4" s="1332" t="inlineStr">
        <is>
          <t>Aug</t>
        </is>
      </c>
      <c r="S4" s="1332" t="inlineStr">
        <is>
          <t>Sep</t>
        </is>
      </c>
      <c r="T4" s="1332" t="inlineStr">
        <is>
          <t>Oct</t>
        </is>
      </c>
      <c r="U4" s="1332" t="inlineStr">
        <is>
          <t>Nov</t>
        </is>
      </c>
      <c r="V4" s="1332" t="inlineStr">
        <is>
          <t>Dec</t>
        </is>
      </c>
      <c r="W4" s="1278" t="inlineStr">
        <is>
          <t>Year</t>
        </is>
      </c>
      <c r="X4" s="1367" t="inlineStr">
        <is>
          <t>Current Var</t>
        </is>
      </c>
      <c r="Y4" s="1280" t="inlineStr">
        <is>
          <t>Var YTD</t>
        </is>
      </c>
      <c r="Z4" s="1281" t="inlineStr">
        <is>
          <t>% YTD</t>
        </is>
      </c>
      <c r="AA4" s="1279" t="inlineStr">
        <is>
          <t>YTD Targ</t>
        </is>
      </c>
      <c r="AB4" s="1260" t="inlineStr">
        <is>
          <t>Avg.PM</t>
        </is>
      </c>
      <c r="AD4" s="1282" t="inlineStr">
        <is>
          <t>2018/19</t>
        </is>
      </c>
      <c r="AE4" s="1378">
        <f>AF4+AG4</f>
        <v/>
      </c>
      <c r="AF4" s="1284">
        <f>SUM(N20:V20)</f>
        <v/>
      </c>
      <c r="AG4" s="1284">
        <f>SUM(K19:M19)</f>
        <v/>
      </c>
      <c r="AH4" s="445">
        <f>SUM(AF4-AF5)/AF4</f>
        <v/>
      </c>
    </row>
    <row r="5" ht="13.5" customHeight="1" s="1232">
      <c r="A5" s="1292" t="n"/>
      <c r="B5" s="1294" t="n"/>
      <c r="C5" s="1294" t="n"/>
      <c r="D5" s="1274" t="n"/>
      <c r="E5" s="1270" t="n"/>
      <c r="F5" s="1274" t="n"/>
      <c r="I5" s="1333" t="inlineStr">
        <is>
          <t>1. Courses/masterclasses</t>
        </is>
      </c>
      <c r="J5" s="431" t="n">
        <v>1750</v>
      </c>
      <c r="K5" s="432">
        <f>SUMIFS($E$145:$E$587,$A$145:$A$587,"&gt;31/12/2019",$A$145:$A$587,"&lt;1/2/2020",$C$145:$C$587,$I5)</f>
        <v/>
      </c>
      <c r="L5" s="432">
        <f>SUMIFS($E$145:$E$587,$A$145:$A$587,"&gt;31/1/2020",$A$145:$A$587,"&lt;1/3/2020",$C$145:$C$587,$I5)</f>
        <v/>
      </c>
      <c r="M5" s="432">
        <f>SUMIFS($E$145:$E$587,$A$145:$A$587,"&gt;29/2/2020",$A$145:$A$587,"&lt;1/4/2020",$C$145:$C$587,$I5)</f>
        <v/>
      </c>
      <c r="N5" s="432">
        <f>SUMIFS($E$145:$E$587,$A$145:$A$587,"&gt;31/3/2020",$A$145:$A$587,"&lt;1/5/2020",$C$145:$C$587,$I5)</f>
        <v/>
      </c>
      <c r="O5" s="432">
        <f>SUMIFS($E$145:$E$587,$A$145:$A$587,"&gt;30/4/2020",$A$145:$A$587,"&lt;1/6/2020",$C$145:$C$587,$I5)</f>
        <v/>
      </c>
      <c r="P5" s="432">
        <f>SUMIFS($E$145:$E$587,$A$145:$A$587,"&gt;31/5/2020",$A$145:$A$587,"&lt;1/7/2020",$C$145:$C$587,$I5)</f>
        <v/>
      </c>
      <c r="Q5" s="432">
        <f>SUMIFS($E$145:$E$587,$A$145:$A$587,"&gt;30/6/2020",$A$145:$A$587,"&lt;1/8/2020",$C$145:$C$587,$I5)</f>
        <v/>
      </c>
      <c r="R5" s="432">
        <f>SUMIFS($E$145:$E$587,$A$145:$A$587,"&gt;31/7/2020",$A$145:$A$587,"&lt;1/9/2020",$C$145:$C$587,$I5)</f>
        <v/>
      </c>
      <c r="S5" s="432">
        <f>SUMIFS($E$145:$E$587,$A$145:$A$587,"&gt;31/8/2020",$A$145:$A$587,"&lt;1/10/2020",$C$145:$C$587,$I5)</f>
        <v/>
      </c>
      <c r="T5" s="432">
        <f>SUMIFS($E$145:$E$587,$A$145:$A$587,"&gt;30/9/2020",$A$145:$A$587,"&lt;1/11/2020",$C$145:$C$587,$I5)</f>
        <v/>
      </c>
      <c r="U5" s="432">
        <f>SUMIFS($E$145:$E$587,$A$145:$A$587,"&gt;31/10/2020",$A$145:$A$587,"&lt;1/12/2020",$C$145:$C$587,$I5)</f>
        <v/>
      </c>
      <c r="V5" s="432">
        <f>SUMIFS($E$145:$E$587,$A$145:$A$587,"&gt;30/11/2020",$A$145:$A$587,"&lt;1/1/2021",$C$145:$C$587,$I5)</f>
        <v/>
      </c>
      <c r="W5" s="431">
        <f>SUM(K5:V5)</f>
        <v/>
      </c>
      <c r="X5" s="432">
        <f>SUM(V5-(J5*12)*(V$1))</f>
        <v/>
      </c>
      <c r="Y5" s="432">
        <f>W5-AA5</f>
        <v/>
      </c>
      <c r="Z5" s="433">
        <f>Y5/AA5</f>
        <v/>
      </c>
      <c r="AA5" s="818">
        <f>SUM(J5*12)*(K$1+L$1+M$1+N$1+O$1+P$1+Q$1+R$1+S$1+T$1+U$1+V$1)</f>
        <v/>
      </c>
      <c r="AB5" s="817">
        <f>W5/$AB$2</f>
        <v/>
      </c>
      <c r="AD5" s="1282" t="inlineStr">
        <is>
          <t>2017/18</t>
        </is>
      </c>
      <c r="AE5" s="1378">
        <f>AF5+AG5</f>
        <v/>
      </c>
      <c r="AF5" s="1284">
        <f>SUM(N21:V21)</f>
        <v/>
      </c>
      <c r="AG5" s="1284">
        <f>SUM(K20:M20)</f>
        <v/>
      </c>
      <c r="AH5" s="445">
        <f>SUM(AF5-AF6)/AF5</f>
        <v/>
      </c>
    </row>
    <row r="6" ht="13.5" customHeight="1" s="1232">
      <c r="A6" s="1291" t="n"/>
      <c r="B6" s="1291" t="n"/>
      <c r="C6" s="1291" t="n"/>
      <c r="D6" s="1274" t="n"/>
      <c r="E6" s="1270" t="n"/>
      <c r="F6" s="1274" t="n"/>
      <c r="I6" s="1333" t="inlineStr">
        <is>
          <t>2. Workshops</t>
        </is>
      </c>
      <c r="J6" s="431" t="n">
        <v>2200</v>
      </c>
      <c r="K6" s="432">
        <f>SUMIFS(E$145:E$587,A$145:A$587,"&gt;31/12/2019",A$145:A$587,"&lt;1/2/2020",C$145:C$587,I6)</f>
        <v/>
      </c>
      <c r="L6" s="432">
        <f>SUMIFS($E$145:$E$587,$A$145:$A$587,"&gt;31/1/2020",$A$145:$A$587,"&lt;1/3/2020",$C$145:$C$587,$I6)</f>
        <v/>
      </c>
      <c r="M6" s="432">
        <f>SUMIFS($E$145:$E$587,$A$145:$A$587,"&gt;29/2/2020",$A$145:$A$587,"&lt;1/4/2020",$C$145:$C$587,$I6)</f>
        <v/>
      </c>
      <c r="N6" s="432">
        <f>SUMIFS($E$145:$E$587,$A$145:$A$587,"&gt;31/3/2020",$A$145:$A$587,"&lt;1/5/2020",$C$145:$C$587,$I6)</f>
        <v/>
      </c>
      <c r="O6" s="432">
        <f>SUMIFS($E$145:$E$587,$A$145:$A$587,"&gt;30/4/2020",$A$145:$A$587,"&lt;1/6/2020",$C$145:$C$587,$I6)</f>
        <v/>
      </c>
      <c r="P6" s="432">
        <f>SUMIFS($E$145:$E$587,$A$145:$A$587,"&gt;31/5/2020",$A$145:$A$587,"&lt;1/7/2020",$C$145:$C$587,$I6)</f>
        <v/>
      </c>
      <c r="Q6" s="432">
        <f>SUMIFS($E$145:$E$587,$A$145:$A$587,"&gt;30/6/2020",$A$145:$A$587,"&lt;1/8/2020",$C$145:$C$587,$I6)</f>
        <v/>
      </c>
      <c r="R6" s="432">
        <f>SUMIFS($E$145:$E$587,$A$145:$A$587,"&gt;31/7/2020",$A$145:$A$587,"&lt;1/9/2020",$C$145:$C$587,$I6)</f>
        <v/>
      </c>
      <c r="S6" s="432">
        <f>SUMIFS($E$145:$E$587,$A$145:$A$587,"&gt;31/8/2020",$A$145:$A$587,"&lt;1/10/2020",$C$145:$C$587,$I6)</f>
        <v/>
      </c>
      <c r="T6" s="432">
        <f>SUMIFS($E$145:$E$587,$A$145:$A$587,"&gt;30/9/2020",$A$145:$A$587,"&lt;1/11/2020",$C$145:$C$587,$I6)</f>
        <v/>
      </c>
      <c r="U6" s="432">
        <f>SUMIFS($E$145:$E$587,$A$145:$A$587,"&gt;31/10/2020",$A$145:$A$587,"&lt;1/12/2020",$C$145:$C$587,$I6)</f>
        <v/>
      </c>
      <c r="V6" s="432">
        <f>SUMIFS($E$145:$E$587,$A$145:$A$587,"&gt;30/11/2020",$A$145:$A$587,"&lt;1/1/2021",$C$145:$C$587,$I6)</f>
        <v/>
      </c>
      <c r="W6" s="431">
        <f>SUM(K6:V6)</f>
        <v/>
      </c>
      <c r="X6" s="432">
        <f>SUM(V6-(J6*12)*(V$1))</f>
        <v/>
      </c>
      <c r="Y6" s="432">
        <f>W6-AA6</f>
        <v/>
      </c>
      <c r="Z6" s="433">
        <f>Y6/AA6</f>
        <v/>
      </c>
      <c r="AA6" s="818">
        <f>SUM(J6*12)*(K$1+L$1+M$1+N$1+O$1+P$1+Q$1+R$1+S$1+T$1+U$1+V$1)</f>
        <v/>
      </c>
      <c r="AB6" s="817">
        <f>W6/$AB$2</f>
        <v/>
      </c>
      <c r="AD6" s="1282" t="inlineStr">
        <is>
          <t>2016/17</t>
        </is>
      </c>
      <c r="AE6" s="1378">
        <f>AF6+AG6</f>
        <v/>
      </c>
      <c r="AF6" s="1284">
        <f>SUM(N22:V22)</f>
        <v/>
      </c>
      <c r="AG6" s="1284">
        <f>SUM(K21:M21)</f>
        <v/>
      </c>
      <c r="AH6" s="445">
        <f>SUM(AF6-AF7)/AF6</f>
        <v/>
      </c>
    </row>
    <row r="7" ht="13.5" customHeight="1" s="1232">
      <c r="A7" s="1291" t="n"/>
      <c r="B7" s="1291" t="n"/>
      <c r="C7" s="1291" t="n"/>
      <c r="D7" s="1274" t="n"/>
      <c r="E7" s="1270" t="n"/>
      <c r="F7" s="1274" t="n"/>
      <c r="I7" s="1333" t="inlineStr">
        <is>
          <t>3. Pick n Mix Inc</t>
        </is>
      </c>
      <c r="J7" s="431" t="n">
        <v>750</v>
      </c>
      <c r="K7" s="432">
        <f>SUMIFS(E$145:E$587,A$145:A$587,"&gt;31/12/2019",A$145:A$587,"&lt;1/2/2020",C$145:C$587,I7)</f>
        <v/>
      </c>
      <c r="L7" s="432">
        <f>SUMIFS($E$145:$E$587,$A$145:$A$587,"&gt;31/1/2020",$A$145:$A$587,"&lt;1/3/2020",$C$145:$C$587,$I7)</f>
        <v/>
      </c>
      <c r="M7" s="432">
        <f>SUMIFS($E$145:$E$587,$A$145:$A$587,"&gt;29/2/2020",$A$145:$A$587,"&lt;1/4/2020",$C$145:$C$587,$I7)</f>
        <v/>
      </c>
      <c r="N7" s="432">
        <f>SUMIFS($E$145:$E$587,$A$145:$A$587,"&gt;31/3/2020",$A$145:$A$587,"&lt;1/5/2020",$C$145:$C$587,$I7)</f>
        <v/>
      </c>
      <c r="O7" s="432">
        <f>SUMIFS($E$145:$E$587,$A$145:$A$587,"&gt;30/4/2020",$A$145:$A$587,"&lt;1/6/2020",$C$145:$C$587,$I7)</f>
        <v/>
      </c>
      <c r="P7" s="432">
        <f>SUMIFS($E$145:$E$587,$A$145:$A$587,"&gt;31/5/2020",$A$145:$A$587,"&lt;1/7/2020",$C$145:$C$587,$I7)</f>
        <v/>
      </c>
      <c r="Q7" s="432">
        <f>SUMIFS($E$145:$E$587,$A$145:$A$587,"&gt;30/6/2020",$A$145:$A$587,"&lt;1/8/2020",$C$145:$C$587,$I7)</f>
        <v/>
      </c>
      <c r="R7" s="432">
        <f>SUMIFS($E$145:$E$587,$A$145:$A$587,"&gt;31/7/2020",$A$145:$A$587,"&lt;1/9/2020",$C$145:$C$587,$I7)</f>
        <v/>
      </c>
      <c r="S7" s="432">
        <f>SUMIFS($E$145:$E$587,$A$145:$A$587,"&gt;31/8/2020",$A$145:$A$587,"&lt;1/10/2020",$C$145:$C$587,$I7)</f>
        <v/>
      </c>
      <c r="T7" s="432">
        <f>SUMIFS($E$145:$E$587,$A$145:$A$587,"&gt;30/9/2020",$A$145:$A$587,"&lt;1/11/2020",$C$145:$C$587,$I7)</f>
        <v/>
      </c>
      <c r="U7" s="432">
        <f>SUMIFS($E$145:$E$587,$A$145:$A$587,"&gt;31/10/2020",$A$145:$A$587,"&lt;1/12/2020",$C$145:$C$587,$I7)</f>
        <v/>
      </c>
      <c r="V7" s="432">
        <f>SUMIFS($E$145:$E$587,$A$145:$A$587,"&gt;30/11/2020",$A$145:$A$587,"&lt;1/1/2021",$C$145:$C$587,$I7)</f>
        <v/>
      </c>
      <c r="W7" s="431">
        <f>SUM(K7:V7)</f>
        <v/>
      </c>
      <c r="X7" s="432">
        <f>SUM(V7-(J7*12)*(V$1))</f>
        <v/>
      </c>
      <c r="Y7" s="432">
        <f>W7-AA7</f>
        <v/>
      </c>
      <c r="Z7" s="433">
        <f>Y7/AA7</f>
        <v/>
      </c>
      <c r="AA7" s="818">
        <f>SUM(J7*12)*(K$1+L$1+M$1+N$1+O$1+P$1+Q$1+R$1+S$1+T$1+U$1+V$1)</f>
        <v/>
      </c>
      <c r="AB7" s="817">
        <f>W7/$AB$2</f>
        <v/>
      </c>
      <c r="AD7" s="1282" t="inlineStr">
        <is>
          <t>2015/16</t>
        </is>
      </c>
      <c r="AE7" s="1378">
        <f>AF7+AG7</f>
        <v/>
      </c>
      <c r="AF7" s="1284">
        <f>SUM(N23:V23)</f>
        <v/>
      </c>
      <c r="AG7" s="1284">
        <f>SUM(K22:M22)</f>
        <v/>
      </c>
      <c r="AH7" s="445">
        <f>SUM(AF7-AF8)/AF7</f>
        <v/>
      </c>
    </row>
    <row r="8" ht="13.5" customHeight="1" s="1232">
      <c r="A8" s="1291" t="n"/>
      <c r="B8" s="1291" t="n"/>
      <c r="C8" s="1294" t="n"/>
      <c r="D8" s="1274" t="n"/>
      <c r="E8" s="1270" t="n"/>
      <c r="F8" s="1274" t="n"/>
      <c r="I8" s="1333" t="inlineStr">
        <is>
          <t>4. Pick n Mix Out</t>
        </is>
      </c>
      <c r="J8" s="431" t="n">
        <v>-750</v>
      </c>
      <c r="K8" s="432">
        <f>SUMIFS(E$145:E$587,A$145:A$587,"&gt;31/12/2019",A$145:A$587,"&lt;1/2/2020",C$145:C$587,I8)</f>
        <v/>
      </c>
      <c r="L8" s="432">
        <f>SUMIFS($E$145:$E$587,$A$145:$A$587,"&gt;31/1/2020",$A$145:$A$587,"&lt;1/3/2020",$C$145:$C$587,$I8)</f>
        <v/>
      </c>
      <c r="M8" s="432">
        <f>SUMIFS($E$145:$E$587,$A$145:$A$587,"&gt;29/2/2020",$A$145:$A$587,"&lt;1/4/2020",$C$145:$C$587,$I8)</f>
        <v/>
      </c>
      <c r="N8" s="432">
        <f>SUMIFS($E$145:$E$587,$A$145:$A$587,"&gt;31/3/2020",$A$145:$A$587,"&lt;1/5/2020",$C$145:$C$587,$I8)</f>
        <v/>
      </c>
      <c r="O8" s="432">
        <f>SUMIFS($E$145:$E$587,$A$145:$A$587,"&gt;30/4/2020",$A$145:$A$587,"&lt;1/6/2020",$C$145:$C$587,$I8)</f>
        <v/>
      </c>
      <c r="P8" s="432">
        <f>SUMIFS($E$145:$E$587,$A$145:$A$587,"&gt;31/5/2020",$A$145:$A$587,"&lt;1/7/2020",$C$145:$C$587,$I8)</f>
        <v/>
      </c>
      <c r="Q8" s="432">
        <f>SUMIFS($E$145:$E$587,$A$145:$A$587,"&gt;30/6/2020",$A$145:$A$587,"&lt;1/8/2020",$C$145:$C$587,$I8)</f>
        <v/>
      </c>
      <c r="R8" s="432">
        <f>SUMIFS($E$145:$E$587,$A$145:$A$587,"&gt;31/7/2020",$A$145:$A$587,"&lt;1/9/2020",$C$145:$C$587,$I8)</f>
        <v/>
      </c>
      <c r="S8" s="432">
        <f>SUMIFS($E$145:$E$587,$A$145:$A$587,"&gt;31/8/2020",$A$145:$A$587,"&lt;1/10/2020",$C$145:$C$587,$I8)</f>
        <v/>
      </c>
      <c r="T8" s="432">
        <f>SUMIFS($E$145:$E$587,$A$145:$A$587,"&gt;30/9/2020",$A$145:$A$587,"&lt;1/11/2020",$C$145:$C$587,$I8)</f>
        <v/>
      </c>
      <c r="U8" s="432">
        <f>SUMIFS($E$145:$E$587,$A$145:$A$587,"&gt;31/10/2020",$A$145:$A$587,"&lt;1/12/2020",$C$145:$C$587,$I8)</f>
        <v/>
      </c>
      <c r="V8" s="432">
        <f>SUMIFS($E$145:$E$587,$A$145:$A$587,"&gt;30/11/2020",$A$145:$A$587,"&lt;1/1/2021",$C$145:$C$587,$I8)</f>
        <v/>
      </c>
      <c r="W8" s="704">
        <f>SUM(K8:V8)</f>
        <v/>
      </c>
      <c r="X8" s="432">
        <f>SUM(V8-(J8*12)*(V$1))</f>
        <v/>
      </c>
      <c r="Y8" s="432">
        <f>W8-AA8</f>
        <v/>
      </c>
      <c r="Z8" s="433">
        <f>Y8/AA8</f>
        <v/>
      </c>
      <c r="AA8" s="818">
        <f>SUM(J8*12)*(K$1+L$1+M$1+N$1+O$1+P$1+Q$1+R$1+S$1+T$1+U$1+V$1)</f>
        <v/>
      </c>
      <c r="AB8" s="817">
        <f>W8/$AB$2</f>
        <v/>
      </c>
      <c r="AD8" s="1282" t="inlineStr">
        <is>
          <t>2014/15</t>
        </is>
      </c>
      <c r="AE8" s="1378">
        <f>AF8+AG8</f>
        <v/>
      </c>
      <c r="AF8" s="1284">
        <f>SUM(N24:V24)</f>
        <v/>
      </c>
      <c r="AG8" s="1284">
        <f>SUM(K23:M23)</f>
        <v/>
      </c>
      <c r="AH8" s="445">
        <f>SUM(AF8-AF9)/AF8</f>
        <v/>
      </c>
    </row>
    <row r="9" ht="13.5" customHeight="1" s="1232">
      <c r="A9" s="1291" t="n"/>
      <c r="B9" s="1291" t="n"/>
      <c r="C9" s="1291" t="n"/>
      <c r="D9" s="1291" t="n"/>
      <c r="E9" s="1270" t="n"/>
      <c r="F9" s="1291" t="n"/>
      <c r="I9" s="1333" t="inlineStr">
        <is>
          <t>5. Mentoring</t>
        </is>
      </c>
      <c r="J9" s="431" t="n">
        <v>100</v>
      </c>
      <c r="K9" s="432">
        <f>SUMIFS(E$145:E$587,A$145:A$587,"&gt;31/12/2019",A$145:A$587,"&lt;1/2/2020",C$145:C$587,I9)</f>
        <v/>
      </c>
      <c r="L9" s="432">
        <f>SUMIFS($E$145:$E$587,$A$145:$A$587,"&gt;31/1/2020",$A$145:$A$587,"&lt;1/3/2020",$C$145:$C$587,$I9)</f>
        <v/>
      </c>
      <c r="M9" s="432">
        <f>SUMIFS($E$145:$E$587,$A$145:$A$587,"&gt;29/2/2020",$A$145:$A$587,"&lt;1/4/2020",$C$145:$C$587,$I9)</f>
        <v/>
      </c>
      <c r="N9" s="432">
        <f>SUMIFS($E$145:$E$587,$A$145:$A$587,"&gt;31/3/2020",$A$145:$A$587,"&lt;1/5/2020",$C$145:$C$587,$I9)</f>
        <v/>
      </c>
      <c r="O9" s="432">
        <f>SUMIFS($E$145:$E$587,$A$145:$A$587,"&gt;30/4/2020",$A$145:$A$587,"&lt;1/6/2020",$C$145:$C$587,$I9)</f>
        <v/>
      </c>
      <c r="P9" s="432">
        <f>SUMIFS($E$145:$E$587,$A$145:$A$587,"&gt;31/5/2020",$A$145:$A$587,"&lt;1/7/2020",$C$145:$C$587,$I9)</f>
        <v/>
      </c>
      <c r="Q9" s="432">
        <f>SUMIFS($E$145:$E$587,$A$145:$A$587,"&gt;30/6/2020",$A$145:$A$587,"&lt;1/8/2020",$C$145:$C$587,$I9)</f>
        <v/>
      </c>
      <c r="R9" s="432">
        <f>SUMIFS($E$145:$E$587,$A$145:$A$587,"&gt;31/7/2020",$A$145:$A$587,"&lt;1/9/2020",$C$145:$C$587,$I9)</f>
        <v/>
      </c>
      <c r="S9" s="432">
        <f>SUMIFS($E$145:$E$587,$A$145:$A$587,"&gt;31/8/2020",$A$145:$A$587,"&lt;1/10/2020",$C$145:$C$587,$I9)</f>
        <v/>
      </c>
      <c r="T9" s="432">
        <f>SUMIFS($E$145:$E$587,$A$145:$A$587,"&gt;30/9/2020",$A$145:$A$587,"&lt;1/11/2020",$C$145:$C$587,$I9)</f>
        <v/>
      </c>
      <c r="U9" s="432">
        <f>SUMIFS($E$145:$E$587,$A$145:$A$587,"&gt;31/10/2020",$A$145:$A$587,"&lt;1/12/2020",$C$145:$C$587,$I9)</f>
        <v/>
      </c>
      <c r="V9" s="432">
        <f>SUMIFS($E$145:$E$587,$A$145:$A$587,"&gt;30/11/2020",$A$145:$A$587,"&lt;1/1/2021",$C$145:$C$587,$I9)</f>
        <v/>
      </c>
      <c r="W9" s="431">
        <f>SUM(K9:V9)</f>
        <v/>
      </c>
      <c r="X9" s="432">
        <f>SUM(V9-(J9*12)*(V$1))</f>
        <v/>
      </c>
      <c r="Y9" s="432">
        <f>W9-AA9</f>
        <v/>
      </c>
      <c r="Z9" s="433">
        <f>Y9/AA9</f>
        <v/>
      </c>
      <c r="AA9" s="818">
        <f>SUM(J9*12)*(K$1+L$1+M$1+N$1+O$1+P$1+Q$1+R$1+S$1+T$1+U$1+V$1)</f>
        <v/>
      </c>
      <c r="AB9" s="817">
        <f>W9/$AB$2</f>
        <v/>
      </c>
      <c r="AD9" s="1282" t="inlineStr">
        <is>
          <t>2013/14</t>
        </is>
      </c>
      <c r="AE9" s="1378">
        <f>AF9+AG9</f>
        <v/>
      </c>
      <c r="AF9" s="1284">
        <f>SUM(N25:V25)</f>
        <v/>
      </c>
      <c r="AG9" s="1284">
        <f>SUM(K24:M24)</f>
        <v/>
      </c>
      <c r="AH9" s="445" t="n"/>
    </row>
    <row r="10" ht="13.5" customHeight="1" s="1232">
      <c r="A10" s="1292" t="n">
        <v>43605</v>
      </c>
      <c r="B10" s="1294" t="inlineStr">
        <is>
          <t>Grant Harbert</t>
        </is>
      </c>
      <c r="C10" s="1294" t="inlineStr">
        <is>
          <t>Leads In Progress</t>
        </is>
      </c>
      <c r="D10" s="1292" t="n">
        <v>43605</v>
      </c>
      <c r="E10" s="1293" t="n">
        <v>250</v>
      </c>
      <c r="F10" s="1260" t="inlineStr">
        <is>
          <t>Lightroom Course ?</t>
        </is>
      </c>
      <c r="I10" s="1334" t="inlineStr">
        <is>
          <t>6. 1-2-1</t>
        </is>
      </c>
      <c r="J10" s="431" t="n">
        <v>1000</v>
      </c>
      <c r="K10" s="432">
        <f>SUMIFS(E$145:E$587,A$145:A$587,"&gt;31/12/2019",A$145:A$587,"&lt;1/2/2020",C$145:C$587,I10)</f>
        <v/>
      </c>
      <c r="L10" s="432">
        <f>SUMIFS($E$145:$E$587,$A$145:$A$587,"&gt;31/1/2020",$A$145:$A$587,"&lt;1/3/2020",$C$145:$C$587,$I10)</f>
        <v/>
      </c>
      <c r="M10" s="432">
        <f>SUMIFS($E$145:$E$587,$A$145:$A$587,"&gt;29/2/2020",$A$145:$A$587,"&lt;1/4/2020",$C$145:$C$587,$I10)</f>
        <v/>
      </c>
      <c r="N10" s="432">
        <f>SUMIFS($E$145:$E$587,$A$145:$A$587,"&gt;31/3/2020",$A$145:$A$587,"&lt;1/5/2020",$C$145:$C$587,$I10)</f>
        <v/>
      </c>
      <c r="O10" s="432">
        <f>SUMIFS($E$145:$E$587,$A$145:$A$587,"&gt;30/4/2020",$A$145:$A$587,"&lt;1/6/2020",$C$145:$C$587,$I10)</f>
        <v/>
      </c>
      <c r="P10" s="432">
        <f>SUMIFS($E$145:$E$587,$A$145:$A$587,"&gt;31/5/2020",$A$145:$A$587,"&lt;1/7/2020",$C$145:$C$587,$I10)</f>
        <v/>
      </c>
      <c r="Q10" s="432">
        <f>SUMIFS($E$145:$E$587,$A$145:$A$587,"&gt;30/6/2020",$A$145:$A$587,"&lt;1/8/2020",$C$145:$C$587,$I10)</f>
        <v/>
      </c>
      <c r="R10" s="432">
        <f>SUMIFS($E$145:$E$587,$A$145:$A$587,"&gt;31/7/2020",$A$145:$A$587,"&lt;1/9/2020",$C$145:$C$587,$I10)</f>
        <v/>
      </c>
      <c r="S10" s="432">
        <f>SUMIFS($E$145:$E$587,$A$145:$A$587,"&gt;31/8/2020",$A$145:$A$587,"&lt;1/10/2020",$C$145:$C$587,$I10)</f>
        <v/>
      </c>
      <c r="T10" s="432">
        <f>SUMIFS($E$145:$E$587,$A$145:$A$587,"&gt;30/9/2020",$A$145:$A$587,"&lt;1/11/2020",$C$145:$C$587,$I10)</f>
        <v/>
      </c>
      <c r="U10" s="432">
        <f>SUMIFS($E$145:$E$587,$A$145:$A$587,"&gt;31/10/2020",$A$145:$A$587,"&lt;1/12/2020",$C$145:$C$587,$I10)</f>
        <v/>
      </c>
      <c r="V10" s="432">
        <f>SUMIFS($E$145:$E$587,$A$145:$A$587,"&gt;30/11/2020",$A$145:$A$587,"&lt;1/1/2021",$C$145:$C$587,$I10)</f>
        <v/>
      </c>
      <c r="W10" s="431">
        <f>SUM(K10:V10)</f>
        <v/>
      </c>
      <c r="X10" s="432">
        <f>SUM(V10-(J10*12)*(V$1))</f>
        <v/>
      </c>
      <c r="Y10" s="432">
        <f>W10-AA10</f>
        <v/>
      </c>
      <c r="Z10" s="433">
        <f>Y10/AA10</f>
        <v/>
      </c>
      <c r="AA10" s="818">
        <f>SUM(J10*12)*(K$1+L$1+M$1+N$1+O$1+P$1+Q$1+R$1+S$1+T$1+U$1+V$1)</f>
        <v/>
      </c>
      <c r="AB10" s="817">
        <f>W10/$AB$2</f>
        <v/>
      </c>
    </row>
    <row r="11" ht="13.5" customHeight="1" s="1232">
      <c r="A11" s="1292" t="n"/>
      <c r="B11" s="1294" t="n"/>
      <c r="C11" s="1294" t="n"/>
      <c r="D11" s="1292" t="n"/>
      <c r="E11" s="1293" t="n"/>
      <c r="F11" s="1260" t="n"/>
      <c r="I11" s="1334" t="inlineStr">
        <is>
          <t>7. Gift Vouchers Inc</t>
        </is>
      </c>
      <c r="J11" s="431" t="n">
        <v>200</v>
      </c>
      <c r="K11" s="432">
        <f>SUMIFS(E$145:E$587,A$145:A$587,"&gt;31/12/2019",A$145:A$587,"&lt;1/2/2020",C$145:C$587,I11)</f>
        <v/>
      </c>
      <c r="L11" s="432">
        <f>SUMIFS($E$145:$E$587,$A$145:$A$587,"&gt;31/1/2020",$A$145:$A$587,"&lt;1/3/2020",$C$145:$C$587,$I11)</f>
        <v/>
      </c>
      <c r="M11" s="432">
        <f>SUMIFS($E$145:$E$587,$A$145:$A$587,"&gt;29/2/2020",$A$145:$A$587,"&lt;1/4/2020",$C$145:$C$587,$I11)</f>
        <v/>
      </c>
      <c r="N11" s="432">
        <f>SUMIFS($E$145:$E$587,$A$145:$A$587,"&gt;31/3/2020",$A$145:$A$587,"&lt;1/5/2020",$C$145:$C$587,$I11)</f>
        <v/>
      </c>
      <c r="O11" s="432">
        <f>SUMIFS($E$145:$E$587,$A$145:$A$587,"&gt;30/4/2020",$A$145:$A$587,"&lt;1/6/2020",$C$145:$C$587,$I11)</f>
        <v/>
      </c>
      <c r="P11" s="432">
        <f>SUMIFS($E$145:$E$587,$A$145:$A$587,"&gt;31/5/2020",$A$145:$A$587,"&lt;1/7/2020",$C$145:$C$587,$I11)</f>
        <v/>
      </c>
      <c r="Q11" s="432">
        <f>SUMIFS($E$145:$E$587,$A$145:$A$587,"&gt;30/6/2020",$A$145:$A$587,"&lt;1/8/2020",$C$145:$C$587,$I11)</f>
        <v/>
      </c>
      <c r="R11" s="432">
        <f>SUMIFS($E$145:$E$587,$A$145:$A$587,"&gt;31/7/2020",$A$145:$A$587,"&lt;1/9/2020",$C$145:$C$587,$I11)</f>
        <v/>
      </c>
      <c r="S11" s="432">
        <f>SUMIFS($E$145:$E$587,$A$145:$A$587,"&gt;31/8/2020",$A$145:$A$587,"&lt;1/10/2020",$C$145:$C$587,$I11)</f>
        <v/>
      </c>
      <c r="T11" s="432">
        <f>SUMIFS($E$145:$E$587,$A$145:$A$587,"&gt;30/9/2020",$A$145:$A$587,"&lt;1/11/2020",$C$145:$C$587,$I11)</f>
        <v/>
      </c>
      <c r="U11" s="432">
        <f>SUMIFS($E$145:$E$587,$A$145:$A$587,"&gt;31/10/2020",$A$145:$A$587,"&lt;1/12/2020",$C$145:$C$587,$I11)</f>
        <v/>
      </c>
      <c r="V11" s="432">
        <f>SUMIFS($E$145:$E$587,$A$145:$A$587,"&gt;30/11/2020",$A$145:$A$587,"&lt;1/1/2021",$C$145:$C$587,$I11)</f>
        <v/>
      </c>
      <c r="W11" s="431">
        <f>SUM(K11:V11)</f>
        <v/>
      </c>
      <c r="X11" s="432">
        <f>SUM(V11-(J11*12)*(V$1))</f>
        <v/>
      </c>
      <c r="Y11" s="432">
        <f>W11-AA11</f>
        <v/>
      </c>
      <c r="Z11" s="433">
        <f>Y11/AA11</f>
        <v/>
      </c>
      <c r="AA11" s="818">
        <f>SUM(J11*12)*(K$1+L$1+M$1+N$1+O$1+P$1+Q$1+R$1+S$1+T$1+U$1+V$1)</f>
        <v/>
      </c>
      <c r="AB11" s="817">
        <f>W11/$AB$2</f>
        <v/>
      </c>
    </row>
    <row r="12" ht="13.5" customHeight="1" s="1232">
      <c r="A12" s="1292" t="n"/>
      <c r="B12" s="1294" t="n"/>
      <c r="C12" s="1294" t="n"/>
      <c r="D12" s="1292" t="n"/>
      <c r="E12" s="1293" t="n"/>
      <c r="F12" s="1260" t="n"/>
      <c r="I12" s="1334" t="inlineStr">
        <is>
          <t>8. Gift Vouchers Out</t>
        </is>
      </c>
      <c r="J12" s="431">
        <f>-2000/12</f>
        <v/>
      </c>
      <c r="K12" s="432">
        <f>SUMIFS(E$145:E$587,A$145:A$587,"&gt;31/12/2019",A$145:A$587,"&lt;1/2/2020",C$145:C$587,I12)</f>
        <v/>
      </c>
      <c r="L12" s="432">
        <f>SUMIFS($E$145:$E$587,$A$145:$A$587,"&gt;31/1/2020",$A$145:$A$587,"&lt;1/3/2020",$C$145:$C$587,$I12)</f>
        <v/>
      </c>
      <c r="M12" s="432">
        <f>SUMIFS($E$145:$E$587,$A$145:$A$587,"&gt;29/2/2020",$A$145:$A$587,"&lt;1/4/2020",$C$145:$C$587,$I12)</f>
        <v/>
      </c>
      <c r="N12" s="432">
        <f>SUMIFS($E$145:$E$587,$A$145:$A$587,"&gt;31/3/2020",$A$145:$A$587,"&lt;1/5/2020",$C$145:$C$587,$I12)</f>
        <v/>
      </c>
      <c r="O12" s="432">
        <f>SUMIFS($E$145:$E$587,$A$145:$A$587,"&gt;30/4/2020",$A$145:$A$587,"&lt;1/6/2020",$C$145:$C$587,$I12)</f>
        <v/>
      </c>
      <c r="P12" s="432">
        <f>SUMIFS($E$145:$E$587,$A$145:$A$587,"&gt;31/5/2020",$A$145:$A$587,"&lt;1/7/2020",$C$145:$C$587,$I12)</f>
        <v/>
      </c>
      <c r="Q12" s="432">
        <f>SUMIFS($E$145:$E$587,$A$145:$A$587,"&gt;30/6/2020",$A$145:$A$587,"&lt;1/8/2020",$C$145:$C$587,$I12)</f>
        <v/>
      </c>
      <c r="R12" s="432">
        <f>SUMIFS($E$145:$E$587,$A$145:$A$587,"&gt;31/7/2020",$A$145:$A$587,"&lt;1/9/2020",$C$145:$C$587,$I12)</f>
        <v/>
      </c>
      <c r="S12" s="432">
        <f>SUMIFS($E$145:$E$587,$A$145:$A$587,"&gt;31/8/2020",$A$145:$A$587,"&lt;1/10/2020",$C$145:$C$587,$I12)</f>
        <v/>
      </c>
      <c r="T12" s="432">
        <f>SUMIFS($E$145:$E$587,$A$145:$A$587,"&gt;30/9/2020",$A$145:$A$587,"&lt;1/11/2020",$C$145:$C$587,$I12)</f>
        <v/>
      </c>
      <c r="U12" s="432">
        <f>SUMIFS($E$145:$E$587,$A$145:$A$587,"&gt;31/10/2020",$A$145:$A$587,"&lt;1/12/2020",$C$145:$C$587,$I12)</f>
        <v/>
      </c>
      <c r="V12" s="432">
        <f>SUMIFS($E$145:$E$587,$A$145:$A$587,"&gt;30/11/2020",$A$145:$A$587,"&lt;1/1/2021",$C$145:$C$587,$I12)</f>
        <v/>
      </c>
      <c r="W12" s="431">
        <f>SUM(K12:V12)</f>
        <v/>
      </c>
      <c r="X12" s="432">
        <f>SUM(V12-(J12*12)*(V$1))</f>
        <v/>
      </c>
      <c r="Y12" s="432">
        <f>W12-AA12</f>
        <v/>
      </c>
      <c r="Z12" s="433">
        <f>Y12/AA12</f>
        <v/>
      </c>
      <c r="AA12" s="818">
        <f>SUM(J12*12)*(K$1+L$1+M$1+N$1+O$1+P$1+Q$1+R$1+S$1+T$1+U$1+V$1)</f>
        <v/>
      </c>
      <c r="AB12" s="817">
        <f>W12/$AB$2</f>
        <v/>
      </c>
    </row>
    <row r="13" ht="13.5" customHeight="1" s="1232">
      <c r="A13" s="1292" t="n">
        <v>43772</v>
      </c>
      <c r="B13" s="1294" t="inlineStr">
        <is>
          <t xml:space="preserve">Catherine Walne-Pennington </t>
        </is>
      </c>
      <c r="C13" s="1294" t="inlineStr">
        <is>
          <t>Leads In Progress</t>
        </is>
      </c>
      <c r="D13" s="1292" t="n"/>
      <c r="E13" s="1293" t="n">
        <v>500</v>
      </c>
      <c r="F13" s="1260" t="inlineStr">
        <is>
          <t>2 x Beginners Course</t>
        </is>
      </c>
      <c r="I13" s="1334" t="inlineStr">
        <is>
          <t>9. Prints &amp; Royalties</t>
        </is>
      </c>
      <c r="J13" s="431">
        <f>3000/12</f>
        <v/>
      </c>
      <c r="K13" s="432">
        <f>SUMIFS(E$145:E$587,A$145:A$587,"&gt;31/12/2019",A$145:A$587,"&lt;1/2/2020",C$145:C$587,I13)</f>
        <v/>
      </c>
      <c r="L13" s="432">
        <f>SUMIFS($E$145:$E$587,$A$145:$A$587,"&gt;31/1/2020",$A$145:$A$587,"&lt;1/3/2020",$C$145:$C$587,$I13)</f>
        <v/>
      </c>
      <c r="M13" s="432">
        <f>SUMIFS($E$145:$E$587,$A$145:$A$587,"&gt;29/2/2020",$A$145:$A$587,"&lt;1/4/2020",$C$145:$C$587,$I13)</f>
        <v/>
      </c>
      <c r="N13" s="432">
        <f>SUMIFS($E$145:$E$587,$A$145:$A$587,"&gt;31/3/2020",$A$145:$A$587,"&lt;1/5/2020",$C$145:$C$587,$I13)</f>
        <v/>
      </c>
      <c r="O13" s="432">
        <f>SUMIFS($E$145:$E$587,$A$145:$A$587,"&gt;30/4/2020",$A$145:$A$587,"&lt;1/6/2020",$C$145:$C$587,$I13)</f>
        <v/>
      </c>
      <c r="P13" s="432">
        <f>SUMIFS($E$145:$E$587,$A$145:$A$587,"&gt;31/5/2020",$A$145:$A$587,"&lt;1/7/2020",$C$145:$C$587,$I13)</f>
        <v/>
      </c>
      <c r="Q13" s="432">
        <f>SUMIFS($E$145:$E$587,$A$145:$A$587,"&gt;30/6/2020",$A$145:$A$587,"&lt;1/8/2020",$C$145:$C$587,$I13)</f>
        <v/>
      </c>
      <c r="R13" s="432">
        <f>SUMIFS($E$145:$E$587,$A$145:$A$587,"&gt;31/7/2020",$A$145:$A$587,"&lt;1/9/2020",$C$145:$C$587,$I13)</f>
        <v/>
      </c>
      <c r="S13" s="432">
        <f>SUMIFS($E$145:$E$587,$A$145:$A$587,"&gt;31/8/2020",$A$145:$A$587,"&lt;1/10/2020",$C$145:$C$587,$I13)</f>
        <v/>
      </c>
      <c r="T13" s="432">
        <f>SUMIFS($E$145:$E$587,$A$145:$A$587,"&gt;30/9/2020",$A$145:$A$587,"&lt;1/11/2020",$C$145:$C$587,$I13)</f>
        <v/>
      </c>
      <c r="U13" s="432">
        <f>SUMIFS($E$145:$E$587,$A$145:$A$587,"&gt;31/10/2020",$A$145:$A$587,"&lt;1/12/2020",$C$145:$C$587,$I13)</f>
        <v/>
      </c>
      <c r="V13" s="432">
        <f>SUMIFS($E$145:$E$587,$A$145:$A$587,"&gt;30/11/2020",$A$145:$A$587,"&lt;1/1/2021",$C$145:$C$587,$I13)</f>
        <v/>
      </c>
      <c r="W13" s="431">
        <f>SUM(K13:V13)</f>
        <v/>
      </c>
      <c r="X13" s="432">
        <f>SUM(V13-(J13*12)*(V$1))</f>
        <v/>
      </c>
      <c r="Y13" s="432">
        <f>W13-AA13</f>
        <v/>
      </c>
      <c r="Z13" s="433">
        <f>Y13/AA13</f>
        <v/>
      </c>
      <c r="AA13" s="818">
        <f>SUM(J13*12)*(K$1+L$1+M$1+N$1+O$1+P$1+Q$1+R$1+S$1+T$1+U$1+V$1)</f>
        <v/>
      </c>
      <c r="AB13" s="817">
        <f>W13/$AB$2</f>
        <v/>
      </c>
    </row>
    <row r="14" ht="13.5" customHeight="1" s="1232">
      <c r="A14" s="1292" t="n">
        <v>43768</v>
      </c>
      <c r="B14" s="1294" t="inlineStr">
        <is>
          <t>Adrian Platt</t>
        </is>
      </c>
      <c r="C14" s="1294" t="inlineStr">
        <is>
          <t>Leads In Progress</t>
        </is>
      </c>
      <c r="D14" s="1292" t="n">
        <v>43845</v>
      </c>
      <c r="E14" s="1293" t="n">
        <v>250</v>
      </c>
      <c r="F14" s="1260" t="inlineStr">
        <is>
          <t>Beginners Course</t>
        </is>
      </c>
      <c r="I14" s="1334" t="inlineStr">
        <is>
          <t>10 Commissions</t>
        </is>
      </c>
      <c r="J14" s="431">
        <f>1200/12</f>
        <v/>
      </c>
      <c r="K14" s="432">
        <f>SUMIFS(E$145:E$587,A$145:A$587,"&gt;31/12/2019",A$145:A$587,"&lt;1/2/2020",C$145:C$587,I14)</f>
        <v/>
      </c>
      <c r="L14" s="432">
        <f>SUMIFS($E$145:$E$587,$A$145:$A$587,"&gt;31/1/2020",$A$145:$A$587,"&lt;1/3/2020",$C$145:$C$587,$I14)</f>
        <v/>
      </c>
      <c r="M14" s="432">
        <f>SUMIFS($E$145:$E$587,$A$145:$A$587,"&gt;29/2/2020",$A$145:$A$587,"&lt;1/4/2020",$C$145:$C$587,$I14)</f>
        <v/>
      </c>
      <c r="N14" s="432">
        <f>SUMIFS($E$145:$E$587,$A$145:$A$587,"&gt;31/3/2020",$A$145:$A$587,"&lt;1/5/2020",$C$145:$C$587,$I14)</f>
        <v/>
      </c>
      <c r="O14" s="432">
        <f>SUMIFS($E$145:$E$587,$A$145:$A$587,"&gt;30/4/2020",$A$145:$A$587,"&lt;1/6/2020",$C$145:$C$587,$I14)</f>
        <v/>
      </c>
      <c r="P14" s="432">
        <f>SUMIFS($E$145:$E$587,$A$145:$A$587,"&gt;31/5/2020",$A$145:$A$587,"&lt;1/7/2020",$C$145:$C$587,$I14)</f>
        <v/>
      </c>
      <c r="Q14" s="432">
        <f>SUMIFS($E$145:$E$587,$A$145:$A$587,"&gt;30/6/2020",$A$145:$A$587,"&lt;1/8/2020",$C$145:$C$587,$I14)</f>
        <v/>
      </c>
      <c r="R14" s="432">
        <f>SUMIFS($E$145:$E$587,$A$145:$A$587,"&gt;31/7/2020",$A$145:$A$587,"&lt;1/9/2020",$C$145:$C$587,$I14)</f>
        <v/>
      </c>
      <c r="S14" s="432">
        <f>SUMIFS($E$145:$E$587,$A$145:$A$587,"&gt;31/8/2020",$A$145:$A$587,"&lt;1/10/2020",$C$145:$C$587,$I14)</f>
        <v/>
      </c>
      <c r="T14" s="432">
        <f>SUMIFS($E$145:$E$587,$A$145:$A$587,"&gt;30/9/2020",$A$145:$A$587,"&lt;1/11/2020",$C$145:$C$587,$I14)</f>
        <v/>
      </c>
      <c r="U14" s="432">
        <f>SUMIFS($E$145:$E$587,$A$145:$A$587,"&gt;31/10/2020",$A$145:$A$587,"&lt;1/12/2020",$C$145:$C$587,$I14)</f>
        <v/>
      </c>
      <c r="V14" s="432" t="n">
        <v>1</v>
      </c>
      <c r="W14" s="431">
        <f>SUM(K14:V14)</f>
        <v/>
      </c>
      <c r="X14" s="432">
        <f>SUM(V14-(J14*12)*(V$1))</f>
        <v/>
      </c>
      <c r="Y14" s="432">
        <f>W14-AA14</f>
        <v/>
      </c>
      <c r="Z14" s="433" t="n"/>
      <c r="AA14" s="818">
        <f>SUM(J14*12)*(K$1+L$1+M$1+N$1+O$1+P$1+Q$1+R$1+S$1+T$1+U$1+V$1)</f>
        <v/>
      </c>
      <c r="AB14" s="817">
        <f>W14/$AB$2</f>
        <v/>
      </c>
    </row>
    <row r="15" ht="13.5" customHeight="1" s="1232">
      <c r="A15" s="1292" t="n">
        <v>43647</v>
      </c>
      <c r="B15" s="1294" t="inlineStr">
        <is>
          <t>Bob Seaman</t>
        </is>
      </c>
      <c r="C15" s="1294" t="inlineStr">
        <is>
          <t>Leads In Progress</t>
        </is>
      </c>
      <c r="E15" s="1293" t="n">
        <v>0</v>
      </c>
      <c r="F15" s="1274" t="n"/>
      <c r="I15" s="1334" t="inlineStr">
        <is>
          <t>11. Other</t>
        </is>
      </c>
      <c r="J15" s="431" t="n">
        <v>50</v>
      </c>
      <c r="K15" s="432">
        <f>SUMIFS(E$145:E$587,A$145:A$587,"&gt;31/12/2019",A$145:A$587,"&lt;1/2/2020",C$145:C$587,I15)</f>
        <v/>
      </c>
      <c r="L15" s="432">
        <f>SUMIFS($E$145:$E$587,$A$145:$A$587,"&gt;31/1/2020",$A$145:$A$587,"&lt;1/3/2020",$C$145:$C$587,$I15)</f>
        <v/>
      </c>
      <c r="M15" s="432">
        <f>SUMIFS($E$145:$E$587,$A$145:$A$587,"&gt;29/2/2020",$A$145:$A$587,"&lt;1/4/2020",$C$145:$C$587,$I15)</f>
        <v/>
      </c>
      <c r="N15" s="432">
        <f>SUMIFS($E$145:$E$587,$A$145:$A$587,"&gt;31/3/2020",$A$145:$A$587,"&lt;1/5/2020",$C$145:$C$587,$I15)</f>
        <v/>
      </c>
      <c r="O15" s="432">
        <f>SUMIFS($E$145:$E$587,$A$145:$A$587,"&gt;30/4/2020",$A$145:$A$587,"&lt;1/6/2020",$C$145:$C$587,$I15)</f>
        <v/>
      </c>
      <c r="P15" s="432">
        <f>SUMIFS($E$145:$E$587,$A$145:$A$587,"&gt;31/5/2020",$A$145:$A$587,"&lt;1/7/2020",$C$145:$C$587,$I15)</f>
        <v/>
      </c>
      <c r="Q15" s="432">
        <f>SUMIFS($E$145:$E$587,$A$145:$A$587,"&gt;30/6/2020",$A$145:$A$587,"&lt;1/8/2020",$C$145:$C$587,$I15)</f>
        <v/>
      </c>
      <c r="R15" s="432">
        <f>SUMIFS($E$145:$E$587,$A$145:$A$587,"&gt;31/7/2020",$A$145:$A$587,"&lt;1/9/2020",$C$145:$C$587,$I15)</f>
        <v/>
      </c>
      <c r="S15" s="432">
        <f>SUMIFS($E$145:$E$587,$A$145:$A$587,"&gt;31/8/2020",$A$145:$A$587,"&lt;1/10/2020",$C$145:$C$587,$I15)</f>
        <v/>
      </c>
      <c r="T15" s="432">
        <f>SUMIFS($E$145:$E$587,$A$145:$A$587,"&gt;30/9/2020",$A$145:$A$587,"&lt;1/11/2020",$C$145:$C$587,$I15)</f>
        <v/>
      </c>
      <c r="U15" s="432">
        <f>SUMIFS($E$145:$E$587,$A$145:$A$587,"&gt;31/10/2020",$A$145:$A$587,"&lt;1/12/2020",$C$145:$C$587,$I15)</f>
        <v/>
      </c>
      <c r="V15" s="432">
        <f>SUMIFS($E$145:$E$587,$A$145:$A$587,"&gt;30/11/2020",$A$145:$A$587,"&lt;1/1/2021",$C$145:$C$587,$I15)</f>
        <v/>
      </c>
      <c r="W15" s="431">
        <f>SUM(K15:V15)</f>
        <v/>
      </c>
      <c r="X15" s="432">
        <f>SUM(V15-(J15*12)*(V$1))</f>
        <v/>
      </c>
      <c r="Y15" s="432">
        <f>W15-AA15</f>
        <v/>
      </c>
      <c r="Z15" s="433">
        <f>Y15/AA15</f>
        <v/>
      </c>
      <c r="AA15" s="818">
        <f>SUM(J15*12)*(K$1+L$1+M$1+N$1+O$1+P$1+Q$1+R$1+S$1+T$1+U$1+V$1)</f>
        <v/>
      </c>
      <c r="AB15" s="817">
        <f>W15/$AB$2</f>
        <v/>
      </c>
    </row>
    <row r="16" ht="15.75" customHeight="1" s="1232" thickBot="1">
      <c r="A16" s="1271" t="n"/>
      <c r="B16" s="1271" t="n"/>
      <c r="C16" s="1271" t="n"/>
      <c r="E16" s="1296" t="n"/>
      <c r="F16" s="1297" t="n"/>
      <c r="I16" s="1335" t="inlineStr">
        <is>
          <t>Totals</t>
        </is>
      </c>
      <c r="J16" s="778">
        <f>SUM(J5:J15)</f>
        <v/>
      </c>
      <c r="K16" s="439">
        <f>SUM(K5:K15)</f>
        <v/>
      </c>
      <c r="L16" s="439">
        <f>SUM(L5:L15)</f>
        <v/>
      </c>
      <c r="M16" s="439">
        <f>SUM(M5:M15)</f>
        <v/>
      </c>
      <c r="N16" s="439">
        <f>SUM(N5:N15)</f>
        <v/>
      </c>
      <c r="O16" s="439">
        <f>SUM(O5:O15)</f>
        <v/>
      </c>
      <c r="P16" s="439">
        <f>SUM(P5:P15)</f>
        <v/>
      </c>
      <c r="Q16" s="439">
        <f>SUM(Q5:Q15)</f>
        <v/>
      </c>
      <c r="R16" s="439">
        <f>SUM(R5:R15)</f>
        <v/>
      </c>
      <c r="S16" s="439">
        <f>SUM(S5:S15)</f>
        <v/>
      </c>
      <c r="T16" s="439">
        <f>SUM(T5:T15)</f>
        <v/>
      </c>
      <c r="U16" s="439">
        <f>SUM(U5:U15)</f>
        <v/>
      </c>
      <c r="V16" s="439">
        <f>SUM(V5:V15)</f>
        <v/>
      </c>
      <c r="W16" s="438">
        <f>SUM(W5:W15)</f>
        <v/>
      </c>
      <c r="X16" s="432">
        <f>SUM(V16-(J16*12)*(V$1))</f>
        <v/>
      </c>
      <c r="Y16" s="824">
        <f>W16-AA16</f>
        <v/>
      </c>
      <c r="Z16" s="837">
        <f>Y16/AA16</f>
        <v/>
      </c>
      <c r="AA16" s="818">
        <f>SUM(J16*12)*(K$1+L$1+M$1+N$1+O$1+P$1+Q$1+R$1+S$1+T$1+U$1+V$1)</f>
        <v/>
      </c>
      <c r="AB16" s="838">
        <f>W16/$AB$2</f>
        <v/>
      </c>
      <c r="AD16" s="1304" t="inlineStr">
        <is>
          <t>Invoice Date</t>
        </is>
      </c>
      <c r="AE16" s="1304" t="inlineStr">
        <is>
          <t>Employee</t>
        </is>
      </c>
      <c r="AF16" s="1304" t="inlineStr">
        <is>
          <t>Invoice Number</t>
        </is>
      </c>
      <c r="AG16" s="1304" t="inlineStr">
        <is>
          <t>ELS Voucher</t>
        </is>
      </c>
      <c r="AH16" s="1304" t="inlineStr">
        <is>
          <t>Amount</t>
        </is>
      </c>
      <c r="AI16" s="1304" t="inlineStr">
        <is>
          <t>Event</t>
        </is>
      </c>
    </row>
    <row r="17" ht="13.9" customHeight="1" s="1232">
      <c r="A17" s="1271" t="n"/>
      <c r="B17" s="1271" t="n"/>
      <c r="C17" s="1271" t="n"/>
      <c r="D17" s="1292" t="n"/>
      <c r="E17" s="1296" t="n"/>
      <c r="F17" s="1297" t="n"/>
      <c r="J17" s="1299">
        <f>J16*12</f>
        <v/>
      </c>
      <c r="K17" s="671">
        <f>K16/K2</f>
        <v/>
      </c>
      <c r="L17" s="671">
        <f>L16/L2</f>
        <v/>
      </c>
      <c r="M17" s="671">
        <f>M16/M2</f>
        <v/>
      </c>
      <c r="N17" s="671">
        <f>N16/N2</f>
        <v/>
      </c>
      <c r="O17" s="671">
        <f>O16/O2</f>
        <v/>
      </c>
      <c r="P17" s="671">
        <f>P16/P2</f>
        <v/>
      </c>
      <c r="Q17" s="671">
        <f>Q16/Q2</f>
        <v/>
      </c>
      <c r="R17" s="671">
        <f>R16/R2</f>
        <v/>
      </c>
      <c r="S17" s="671">
        <f>S16/S2</f>
        <v/>
      </c>
      <c r="T17" s="671">
        <f>T16/T2</f>
        <v/>
      </c>
      <c r="U17" s="671">
        <f>U16/U2</f>
        <v/>
      </c>
      <c r="V17" s="671">
        <f>V16/V2</f>
        <v/>
      </c>
      <c r="W17" s="671">
        <f>W16/AA16</f>
        <v/>
      </c>
      <c r="X17" s="583" t="n"/>
      <c r="Y17" s="836" t="n"/>
      <c r="AB17" s="445" t="n"/>
    </row>
    <row r="18" ht="13.9" customHeight="1" s="1232">
      <c r="A18" s="1292" t="n"/>
      <c r="J18" s="1299" t="n"/>
      <c r="K18" s="1299" t="n"/>
      <c r="L18" s="1299" t="n"/>
      <c r="M18" s="1299" t="n"/>
      <c r="N18" s="1299" t="n"/>
      <c r="O18" s="1299" t="n"/>
      <c r="P18" s="1299" t="n"/>
      <c r="Q18" s="1299" t="n"/>
      <c r="R18" s="1299" t="n"/>
      <c r="S18" s="1299" t="n"/>
      <c r="T18" s="1299" t="n"/>
      <c r="U18" s="1299" t="n"/>
      <c r="V18" s="1299" t="n"/>
      <c r="W18" s="1299" t="n"/>
      <c r="X18" s="583" t="n"/>
      <c r="Y18" s="585" t="n"/>
      <c r="Z18" s="1260" t="inlineStr">
        <is>
          <t>Last 6 months Avg</t>
        </is>
      </c>
      <c r="AB18" s="821">
        <f>SUM(P16+Q16+R16+S16+T16+U16)/6</f>
        <v/>
      </c>
    </row>
    <row r="19" ht="13.9" customHeight="1" s="1232">
      <c r="A19" s="1271" t="n">
        <v>43787</v>
      </c>
      <c r="B19" s="1271" t="inlineStr">
        <is>
          <t>Adrian Willcock - ELS</t>
        </is>
      </c>
      <c r="C19" s="1271" t="inlineStr">
        <is>
          <t>Deals Won - Waiting £</t>
        </is>
      </c>
      <c r="E19" s="1296" t="n">
        <v>100</v>
      </c>
      <c r="F19" s="1297" t="inlineStr">
        <is>
          <t>TBA - 5wk Course Adrian to Pay</t>
        </is>
      </c>
      <c r="G19" s="1271" t="n"/>
      <c r="I19" s="1313" t="inlineStr">
        <is>
          <t>2019</t>
        </is>
      </c>
      <c r="J19" s="1287" t="inlineStr">
        <is>
          <t>Year 7</t>
        </is>
      </c>
      <c r="K19" s="558" t="n">
        <v>5891.07</v>
      </c>
      <c r="L19" s="558" t="n">
        <v>2739.5</v>
      </c>
      <c r="M19" s="558" t="n">
        <v>4414.5</v>
      </c>
      <c r="N19" s="558" t="n">
        <v>5147.5</v>
      </c>
      <c r="O19" s="558" t="n">
        <v>6878</v>
      </c>
      <c r="P19" s="558" t="n">
        <v>4875.34</v>
      </c>
      <c r="Q19" s="558" t="n">
        <v>5769.97</v>
      </c>
      <c r="R19" s="558" t="n">
        <v>7463.89</v>
      </c>
      <c r="S19" s="558" t="n">
        <v>6034.39</v>
      </c>
      <c r="T19" s="558" t="n">
        <v>4573.58</v>
      </c>
      <c r="U19" s="558" t="n">
        <v>5973.75</v>
      </c>
      <c r="V19" s="558" t="n">
        <v>5421.440000000001</v>
      </c>
      <c r="W19" s="431">
        <f>SUM(K19:V19)</f>
        <v/>
      </c>
      <c r="X19" s="583">
        <f>W19-W20</f>
        <v/>
      </c>
      <c r="Y19" s="585">
        <f>X19/W20</f>
        <v/>
      </c>
      <c r="Z19" s="1260" t="inlineStr">
        <is>
          <t>Previous 6 months Avg</t>
        </is>
      </c>
      <c r="AB19" s="821">
        <f>SUM(K16+L16+M16+N16+O16+P16)/6</f>
        <v/>
      </c>
    </row>
    <row r="20" ht="13.9" customHeight="1" s="1232">
      <c r="A20" s="1271" t="n"/>
      <c r="B20" s="1271" t="n"/>
      <c r="C20" s="1271" t="n"/>
      <c r="E20" s="1296" t="n"/>
      <c r="F20" s="1297" t="n"/>
      <c r="I20" s="1313" t="inlineStr">
        <is>
          <t>2018</t>
        </is>
      </c>
      <c r="J20" s="1260" t="inlineStr">
        <is>
          <t>Year 6</t>
        </is>
      </c>
      <c r="K20" s="558" t="n">
        <v>8277.470000000001</v>
      </c>
      <c r="L20" s="558" t="n">
        <v>10607.11</v>
      </c>
      <c r="M20" s="558" t="n">
        <v>7155.05</v>
      </c>
      <c r="N20" s="558" t="n">
        <v>4371.015</v>
      </c>
      <c r="O20" s="558" t="n">
        <v>4002.63</v>
      </c>
      <c r="P20" s="558" t="n">
        <v>3243.6</v>
      </c>
      <c r="Q20" s="558" t="n">
        <v>2859.03</v>
      </c>
      <c r="R20" s="558" t="n">
        <v>4792.59</v>
      </c>
      <c r="S20" s="558" t="n">
        <v>6443.88</v>
      </c>
      <c r="T20" s="558" t="n">
        <v>3908.03</v>
      </c>
      <c r="U20" s="558" t="n">
        <v>8299.08</v>
      </c>
      <c r="V20" s="558" t="n">
        <v>4642.25</v>
      </c>
      <c r="W20" s="431">
        <f>SUM(K20:V20)</f>
        <v/>
      </c>
      <c r="X20" s="583">
        <f>W20-W21</f>
        <v/>
      </c>
      <c r="Y20" s="585">
        <f>X20/W21</f>
        <v/>
      </c>
      <c r="AB20" s="445">
        <f>SUM(AB18-AB19)/AB18</f>
        <v/>
      </c>
      <c r="AD20" s="470" t="n">
        <v>42937</v>
      </c>
      <c r="AE20" s="1372" t="inlineStr">
        <is>
          <t>Aikaterini Fotoglou - ELS</t>
        </is>
      </c>
      <c r="AF20" s="1372" t="inlineStr">
        <is>
          <t>20170721-1</t>
        </is>
      </c>
      <c r="AG20" s="472" t="n">
        <v>146746</v>
      </c>
      <c r="AH20" s="1384" t="n">
        <v>200</v>
      </c>
      <c r="AI20" s="1373" t="inlineStr">
        <is>
          <t>5wk Course</t>
        </is>
      </c>
    </row>
    <row r="21" ht="13.9" customHeight="1" s="1232">
      <c r="A21" s="1271" t="n"/>
      <c r="B21" s="1271" t="n"/>
      <c r="C21" s="1271" t="n"/>
      <c r="E21" s="1296" t="n"/>
      <c r="F21" s="1297" t="n"/>
      <c r="I21" s="1316" t="inlineStr">
        <is>
          <t>2017</t>
        </is>
      </c>
      <c r="J21" s="1260" t="inlineStr">
        <is>
          <t>Year 5</t>
        </is>
      </c>
      <c r="K21" s="558" t="n">
        <v>3203.5</v>
      </c>
      <c r="L21" s="558" t="n">
        <v>6685</v>
      </c>
      <c r="M21" s="558" t="n">
        <v>6242.83</v>
      </c>
      <c r="N21" s="558" t="n">
        <v>6063.17</v>
      </c>
      <c r="O21" s="558" t="n">
        <v>5851.71</v>
      </c>
      <c r="P21" s="558" t="n">
        <v>5479.93</v>
      </c>
      <c r="Q21" s="558" t="n">
        <v>3603.81</v>
      </c>
      <c r="R21" s="558" t="n">
        <v>4658.85</v>
      </c>
      <c r="S21" s="558" t="n">
        <v>10821.67</v>
      </c>
      <c r="T21" s="558" t="n">
        <v>9224.58</v>
      </c>
      <c r="U21" s="558" t="n">
        <v>10504.09</v>
      </c>
      <c r="V21" s="558" t="n">
        <v>4329.030000000001</v>
      </c>
      <c r="W21" s="431">
        <f>SUM(K21:V21)</f>
        <v/>
      </c>
      <c r="X21" s="583">
        <f>W21-W22</f>
        <v/>
      </c>
      <c r="Y21" s="585">
        <f>X21/W22</f>
        <v/>
      </c>
      <c r="AA21" s="1273" t="inlineStr">
        <is>
          <t>Forecast</t>
        </is>
      </c>
      <c r="AB21" s="1379">
        <f>SUM(K16:T16)+(AB16*2)</f>
        <v/>
      </c>
      <c r="AD21" s="470" t="n">
        <v>42941</v>
      </c>
      <c r="AE21" s="1372" t="inlineStr">
        <is>
          <t>Ran Tao - ELS</t>
        </is>
      </c>
      <c r="AF21" s="1372" t="inlineStr">
        <is>
          <t>20170725-1</t>
        </is>
      </c>
      <c r="AG21" s="472" t="n">
        <v>146833</v>
      </c>
      <c r="AH21" s="1384" t="n">
        <v>200</v>
      </c>
      <c r="AI21" s="1373" t="inlineStr">
        <is>
          <t>5wk Course</t>
        </is>
      </c>
    </row>
    <row r="22" ht="13.9" customHeight="1" s="1232">
      <c r="A22" s="1292" t="n"/>
      <c r="B22" s="1271" t="inlineStr">
        <is>
          <t>Geroge Hughes</t>
        </is>
      </c>
      <c r="C22" s="1271" t="n"/>
      <c r="E22" s="1296">
        <f>395-225-100</f>
        <v/>
      </c>
      <c r="F22" s="1297" t="inlineStr">
        <is>
          <t>RPS Course</t>
        </is>
      </c>
      <c r="I22" s="1316" t="inlineStr">
        <is>
          <t>2016</t>
        </is>
      </c>
      <c r="J22" s="1287" t="inlineStr">
        <is>
          <t>Year 4 (surgery)</t>
        </is>
      </c>
      <c r="K22" s="434" t="n">
        <v>4537</v>
      </c>
      <c r="L22" s="434">
        <f>4583-264</f>
        <v/>
      </c>
      <c r="M22" s="558">
        <f>3935-213</f>
        <v/>
      </c>
      <c r="N22" s="558">
        <f>4947-396</f>
        <v/>
      </c>
      <c r="O22" s="558">
        <f>3911-293</f>
        <v/>
      </c>
      <c r="P22" s="558">
        <f>2992-213</f>
        <v/>
      </c>
      <c r="Q22" s="558">
        <f>2927-218</f>
        <v/>
      </c>
      <c r="R22" s="558">
        <f>7466-213</f>
        <v/>
      </c>
      <c r="S22" s="558">
        <f>4218-425</f>
        <v/>
      </c>
      <c r="T22" s="558">
        <f>10697-213</f>
        <v/>
      </c>
      <c r="U22" s="558">
        <f>5081-213</f>
        <v/>
      </c>
      <c r="V22" s="558">
        <f>5220-213</f>
        <v/>
      </c>
      <c r="W22" s="431">
        <f>SUM(K22:V22)</f>
        <v/>
      </c>
      <c r="X22" s="583">
        <f>W22-W23</f>
        <v/>
      </c>
      <c r="Y22" s="585">
        <f>X22/W23</f>
        <v/>
      </c>
      <c r="Z22" s="445" t="n"/>
      <c r="AA22" s="771" t="n"/>
      <c r="AB22" s="803" t="n"/>
      <c r="AD22" s="470" t="n">
        <v>42947</v>
      </c>
      <c r="AE22" s="1372" t="inlineStr">
        <is>
          <t>Stewart Twilton - ELS</t>
        </is>
      </c>
      <c r="AF22" s="1372" t="inlineStr">
        <is>
          <t>20170731-1</t>
        </is>
      </c>
      <c r="AG22" s="472" t="n">
        <v>146978</v>
      </c>
      <c r="AH22" s="1384" t="n">
        <v>135</v>
      </c>
      <c r="AI22" s="1373" t="inlineStr">
        <is>
          <t>Workshop</t>
        </is>
      </c>
    </row>
    <row r="23" ht="14.25" customHeight="1" s="1232">
      <c r="A23" s="1292" t="n"/>
      <c r="B23" s="1294" t="n"/>
      <c r="C23" s="1294" t="n"/>
      <c r="E23" s="1293" t="n"/>
      <c r="F23" s="1305" t="n"/>
      <c r="I23" s="1316" t="inlineStr">
        <is>
          <t>2015</t>
        </is>
      </c>
      <c r="J23" s="1260" t="inlineStr">
        <is>
          <t>Year 3</t>
        </is>
      </c>
      <c r="K23" s="434" t="n">
        <v>3710</v>
      </c>
      <c r="L23" s="434" t="n">
        <v>3750</v>
      </c>
      <c r="M23" s="832" t="n">
        <v>7113</v>
      </c>
      <c r="N23" s="558">
        <f>3928-213</f>
        <v/>
      </c>
      <c r="O23" s="558">
        <f>2501-213</f>
        <v/>
      </c>
      <c r="P23" s="558">
        <f>3468-213</f>
        <v/>
      </c>
      <c r="Q23" s="558">
        <f>1986-224</f>
        <v/>
      </c>
      <c r="R23" s="558">
        <f>4145-212</f>
        <v/>
      </c>
      <c r="S23" s="558">
        <f>8518-212</f>
        <v/>
      </c>
      <c r="T23" s="558">
        <f>5829-424</f>
        <v/>
      </c>
      <c r="U23" s="558">
        <f>3816-212</f>
        <v/>
      </c>
      <c r="V23" s="558">
        <f>12440-212</f>
        <v/>
      </c>
      <c r="W23" s="431">
        <f>SUM(K23:V23)</f>
        <v/>
      </c>
      <c r="X23" s="583">
        <f>W23-W24</f>
        <v/>
      </c>
      <c r="Y23" s="585">
        <f>X23/W24</f>
        <v/>
      </c>
      <c r="Z23" s="445" t="n"/>
      <c r="AA23" s="445" t="n"/>
      <c r="AB23" s="1260" t="inlineStr">
        <is>
          <t>.</t>
        </is>
      </c>
      <c r="AD23" s="470" t="n">
        <v>42969</v>
      </c>
      <c r="AE23" s="1372" t="inlineStr">
        <is>
          <t>Kim Robert - ELS</t>
        </is>
      </c>
      <c r="AF23" s="1372" t="inlineStr">
        <is>
          <t>20170822-1</t>
        </is>
      </c>
      <c r="AG23" s="472" t="n">
        <v>147703</v>
      </c>
      <c r="AH23" s="1384" t="n">
        <v>200</v>
      </c>
      <c r="AI23" s="1373" t="inlineStr">
        <is>
          <t>5wk Course</t>
        </is>
      </c>
    </row>
    <row r="24" ht="13.9" customHeight="1" s="1232">
      <c r="A24" s="1292" t="n"/>
      <c r="B24" s="1271" t="n"/>
      <c r="C24" s="1271" t="n"/>
      <c r="D24" s="1292" t="n"/>
      <c r="E24" s="1296" t="n"/>
      <c r="F24" s="1305" t="n"/>
      <c r="I24" s="1316" t="inlineStr">
        <is>
          <t>2014</t>
        </is>
      </c>
      <c r="J24" s="1260" t="inlineStr">
        <is>
          <t>Year 2</t>
        </is>
      </c>
      <c r="K24" s="434">
        <f>4439-1260</f>
        <v/>
      </c>
      <c r="L24" s="434">
        <f>3071-197</f>
        <v/>
      </c>
      <c r="M24" s="558">
        <f>4958-132</f>
        <v/>
      </c>
      <c r="N24" s="558">
        <f>3585-132</f>
        <v/>
      </c>
      <c r="O24" s="558">
        <f>5008-33</f>
        <v/>
      </c>
      <c r="P24" s="558" t="n">
        <v>3386</v>
      </c>
      <c r="Q24" s="558" t="n">
        <v>3633</v>
      </c>
      <c r="R24" s="558" t="n">
        <v>3855</v>
      </c>
      <c r="S24" s="558" t="n">
        <v>6440</v>
      </c>
      <c r="T24" s="558" t="n">
        <v>3536</v>
      </c>
      <c r="U24" s="558" t="n">
        <v>2851</v>
      </c>
      <c r="V24" s="558" t="n">
        <v>7614</v>
      </c>
      <c r="W24" s="431">
        <f>SUM(K24:V24)</f>
        <v/>
      </c>
      <c r="X24" s="583">
        <f>W24-W25</f>
        <v/>
      </c>
      <c r="Y24" s="585">
        <f>X24/W25</f>
        <v/>
      </c>
      <c r="AD24" s="470" t="n">
        <v>42970</v>
      </c>
      <c r="AE24" s="1372" t="inlineStr">
        <is>
          <t>Scott Bremner - ELS</t>
        </is>
      </c>
      <c r="AF24" s="1372" t="inlineStr">
        <is>
          <t>20170823-2</t>
        </is>
      </c>
      <c r="AG24" s="472" t="n">
        <v>147671</v>
      </c>
      <c r="AH24" s="1384" t="n">
        <v>200</v>
      </c>
      <c r="AI24" s="1373" t="inlineStr">
        <is>
          <t>5wk Course</t>
        </is>
      </c>
    </row>
    <row r="25" ht="13.9" customHeight="1" s="1232">
      <c r="A25" s="1271" t="n"/>
      <c r="B25" s="1294" t="n"/>
      <c r="C25" s="1294" t="n"/>
      <c r="E25" s="1296" t="n"/>
      <c r="F25" s="1297" t="n"/>
      <c r="I25" s="1313" t="inlineStr">
        <is>
          <t>2013</t>
        </is>
      </c>
      <c r="J25" s="1260" t="inlineStr">
        <is>
          <t>Year 1</t>
        </is>
      </c>
      <c r="U25" s="558">
        <f>3346-338</f>
        <v/>
      </c>
      <c r="V25" s="558">
        <f>6776-390</f>
        <v/>
      </c>
      <c r="W25" s="431">
        <f>SUM(K25:V25)</f>
        <v/>
      </c>
      <c r="AD25" s="470" t="n">
        <v>42970</v>
      </c>
      <c r="AE25" s="1372" t="inlineStr">
        <is>
          <t>Michael King - ELS</t>
        </is>
      </c>
      <c r="AF25" s="1372" t="inlineStr">
        <is>
          <t>20170823-1</t>
        </is>
      </c>
      <c r="AG25" s="472" t="n">
        <v>147844</v>
      </c>
      <c r="AH25" s="1384" t="n">
        <v>200</v>
      </c>
      <c r="AI25" s="1373" t="inlineStr">
        <is>
          <t>4wk Course</t>
        </is>
      </c>
    </row>
    <row r="26" ht="13.9" customHeight="1" s="1232">
      <c r="A26" s="1271" t="n"/>
      <c r="B26" s="1294" t="inlineStr">
        <is>
          <t xml:space="preserve">Maria </t>
        </is>
      </c>
      <c r="C26" s="1294" t="inlineStr">
        <is>
          <t>Leads In Progress</t>
        </is>
      </c>
      <c r="E26" s="1296" t="n">
        <v>200</v>
      </c>
      <c r="F26" s="1297" t="inlineStr">
        <is>
          <t>Photo &amp; LR Courses</t>
        </is>
      </c>
      <c r="I26" s="1310" t="inlineStr">
        <is>
          <t>Year on year Improvement %</t>
        </is>
      </c>
      <c r="J26" s="1299" t="n"/>
      <c r="K26" s="671">
        <f>IFERROR((K16-K19)/K19,0)</f>
        <v/>
      </c>
      <c r="L26" s="671">
        <f>IFERROR((L16-L19)/L19,0)</f>
        <v/>
      </c>
      <c r="M26" s="671">
        <f>IFERROR((M16-M19)/M19,0)</f>
        <v/>
      </c>
      <c r="N26" s="671">
        <f>IFERROR((N16-N19)/N19,0)</f>
        <v/>
      </c>
      <c r="O26" s="671">
        <f>IFERROR((O16-O19)/O19,0)</f>
        <v/>
      </c>
      <c r="P26" s="671">
        <f>IFERROR((P16-P19)/P19,0)</f>
        <v/>
      </c>
      <c r="Q26" s="671">
        <f>IFERROR((Q16-Q19)/Q19,0)</f>
        <v/>
      </c>
      <c r="R26" s="671">
        <f>IFERROR((R16-R19)/R19,0)</f>
        <v/>
      </c>
      <c r="S26" s="671">
        <f>IFERROR((S16-S19)/S19,0)</f>
        <v/>
      </c>
      <c r="T26" s="671">
        <f>IFERROR((T16-T19)/T19,0)</f>
        <v/>
      </c>
      <c r="U26" s="671">
        <f>IFERROR((U16-U19)/U19,0)</f>
        <v/>
      </c>
      <c r="V26" s="671">
        <f>IFERROR((V16-V19)/V19,0)</f>
        <v/>
      </c>
      <c r="W26" s="671">
        <f>IFERROR((W16-W21)/W21,0)</f>
        <v/>
      </c>
      <c r="Y26" s="688">
        <f>W16-K19-L19-M19-N19-O19-P19-Q19-R19-S19-T19-U19-V19</f>
        <v/>
      </c>
      <c r="Z26" s="433">
        <f>Y26/(K19+L19+M19+N19+O19+P19+Q19+R19+S19+T19+U19+V19)</f>
        <v/>
      </c>
      <c r="AD26" s="470" t="n">
        <v>42976</v>
      </c>
      <c r="AE26" s="1372" t="inlineStr">
        <is>
          <t>Thomas Lloyd -ELS</t>
        </is>
      </c>
      <c r="AF26" s="1372" t="inlineStr">
        <is>
          <t>20170829-1</t>
        </is>
      </c>
      <c r="AG26" s="472" t="n">
        <v>148062</v>
      </c>
      <c r="AH26" s="1384" t="n">
        <v>65</v>
      </c>
      <c r="AI26" s="1373" t="inlineStr">
        <is>
          <t>Workshop</t>
        </is>
      </c>
    </row>
    <row r="27" ht="15" customHeight="1" s="1232">
      <c r="A27" s="1271" t="n"/>
      <c r="B27" s="1271" t="n"/>
      <c r="C27" s="1271" t="n"/>
      <c r="E27" s="1296" t="n"/>
      <c r="F27" s="1297" t="n"/>
      <c r="I27" s="1318" t="inlineStr">
        <is>
          <t>Leads In Progress</t>
        </is>
      </c>
      <c r="J27" s="448">
        <f>SUMIF($C1:E95,I27,$E1:$E65)</f>
        <v/>
      </c>
      <c r="K27" s="558">
        <f>AVERAGE(K19:K24)</f>
        <v/>
      </c>
      <c r="L27" s="558">
        <f>AVERAGE(L19:L24)</f>
        <v/>
      </c>
      <c r="M27" s="558">
        <f>AVERAGE(M19:M24)</f>
        <v/>
      </c>
      <c r="N27" s="558">
        <f>AVERAGE(N19:N24)</f>
        <v/>
      </c>
      <c r="O27" s="558">
        <f>AVERAGE(O19:O24)</f>
        <v/>
      </c>
      <c r="P27" s="558">
        <f>AVERAGE(P19:P24)</f>
        <v/>
      </c>
      <c r="Q27" s="558">
        <f>AVERAGE(Q19:Q24)</f>
        <v/>
      </c>
      <c r="R27" s="558">
        <f>AVERAGE(R19:R24)</f>
        <v/>
      </c>
      <c r="S27" s="558">
        <f>AVERAGE(S19:S24)</f>
        <v/>
      </c>
      <c r="T27" s="558">
        <f>AVERAGE(T19:T24)</f>
        <v/>
      </c>
      <c r="U27" s="558">
        <f>AVERAGE(U19:U24)</f>
        <v/>
      </c>
      <c r="V27" s="558">
        <f>AVERAGE(V19:V24)</f>
        <v/>
      </c>
      <c r="W27" s="449">
        <f>SUM(K27:V27)</f>
        <v/>
      </c>
      <c r="X27" s="449" t="inlineStr">
        <is>
          <t>Avg</t>
        </is>
      </c>
      <c r="AD27" s="470" t="n">
        <v>42978</v>
      </c>
      <c r="AE27" s="1372" t="inlineStr">
        <is>
          <t>Jieyuan Wu - ELS</t>
        </is>
      </c>
      <c r="AF27" s="1372" t="inlineStr">
        <is>
          <t>20170831-4</t>
        </is>
      </c>
      <c r="AG27" s="472" t="n">
        <v>148222</v>
      </c>
      <c r="AH27" s="1384" t="n">
        <v>200</v>
      </c>
      <c r="AI27" s="1373" t="inlineStr">
        <is>
          <t>5wk Course</t>
        </is>
      </c>
    </row>
    <row r="28" ht="15" customHeight="1" s="1232">
      <c r="A28" s="1271" t="n"/>
      <c r="B28" s="1271" t="n"/>
      <c r="C28" s="1271" t="n"/>
      <c r="E28" s="1296" t="n"/>
      <c r="F28" s="1297" t="n"/>
      <c r="I28" s="1319" t="inlineStr">
        <is>
          <t>Deals Won - Waiting £</t>
        </is>
      </c>
      <c r="J28" s="451">
        <f>SUMIF($C1:E65,I28,$E1:$E65)</f>
        <v/>
      </c>
      <c r="L28" s="449" t="n"/>
      <c r="M28" s="449" t="n"/>
      <c r="N28" s="449" t="n"/>
      <c r="O28" s="449" t="n"/>
      <c r="P28" s="449" t="n"/>
      <c r="Q28" s="449" t="n"/>
      <c r="R28" s="449" t="n"/>
      <c r="S28" s="449" t="n"/>
      <c r="T28" s="449" t="n"/>
      <c r="U28" s="449" t="n"/>
      <c r="V28" s="449" t="n"/>
      <c r="W28" s="449" t="n"/>
      <c r="X28" s="449" t="n"/>
      <c r="AD28" s="470" t="n">
        <v>42978</v>
      </c>
      <c r="AE28" s="1372" t="inlineStr">
        <is>
          <t>Daniel Thomas - ELS</t>
        </is>
      </c>
      <c r="AF28" s="1372" t="inlineStr">
        <is>
          <t>20170831-1</t>
        </is>
      </c>
      <c r="AG28" s="472" t="n">
        <v>148235</v>
      </c>
      <c r="AH28" s="1384" t="n">
        <v>200</v>
      </c>
      <c r="AI28" s="1373" t="inlineStr">
        <is>
          <t>5wk Course</t>
        </is>
      </c>
    </row>
    <row r="29" ht="15.4" customHeight="1" s="1232" thickBot="1">
      <c r="A29" s="1271" t="n"/>
      <c r="B29" s="1271" t="n"/>
      <c r="C29" s="1271" t="n"/>
      <c r="D29" s="1292" t="n"/>
      <c r="E29" s="1296" t="n"/>
      <c r="F29" s="1297" t="n"/>
      <c r="I29" s="1322" t="inlineStr">
        <is>
          <t>Pipeline</t>
        </is>
      </c>
      <c r="J29" s="453">
        <f>SUM(J27:J28)</f>
        <v/>
      </c>
      <c r="K29" s="914" t="n"/>
      <c r="L29" s="914" t="n"/>
      <c r="M29" s="914" t="n"/>
      <c r="N29" s="914" t="n"/>
      <c r="O29" s="914" t="n"/>
      <c r="P29" s="914" t="n"/>
      <c r="Q29" s="914" t="n"/>
      <c r="R29" s="914" t="n"/>
      <c r="S29" s="914" t="n"/>
      <c r="T29" s="914" t="n"/>
      <c r="U29" s="1219" t="inlineStr">
        <is>
          <t>To Date - All Time</t>
        </is>
      </c>
      <c r="V29" s="1220" t="n"/>
      <c r="W29" s="688">
        <f>SUM(W19:W24)+W16</f>
        <v/>
      </c>
      <c r="X29" s="914" t="n"/>
      <c r="AD29" s="470" t="n">
        <v>42978</v>
      </c>
      <c r="AE29" s="1372" t="inlineStr">
        <is>
          <t>Paul Gardiner - ELS</t>
        </is>
      </c>
      <c r="AF29" s="1372" t="inlineStr">
        <is>
          <t>20170831-2</t>
        </is>
      </c>
      <c r="AG29" s="472" t="n">
        <v>148256</v>
      </c>
      <c r="AH29" s="1384" t="n">
        <v>41</v>
      </c>
      <c r="AI29" s="1373" t="inlineStr">
        <is>
          <t>Workshop</t>
        </is>
      </c>
    </row>
    <row r="30" ht="13.9" customHeight="1" s="1232" thickBot="1">
      <c r="A30" s="1271" t="n"/>
      <c r="B30" s="1271" t="inlineStr">
        <is>
          <t>Colin Perry</t>
        </is>
      </c>
      <c r="C30" s="1271" t="inlineStr">
        <is>
          <t>Deals Won - Waiting £</t>
        </is>
      </c>
      <c r="D30" s="1292" t="n">
        <v>44259</v>
      </c>
      <c r="E30" s="1296" t="n">
        <v>175</v>
      </c>
      <c r="F30" s="1297" t="inlineStr">
        <is>
          <t>Dee Valley</t>
        </is>
      </c>
      <c r="J30" s="914" t="n"/>
      <c r="K30" s="914" t="n"/>
      <c r="L30" s="914" t="n"/>
      <c r="M30" s="914" t="n"/>
      <c r="N30" s="914" t="n"/>
      <c r="O30" s="914" t="n"/>
      <c r="P30" s="914" t="n"/>
      <c r="Q30" s="914" t="n"/>
      <c r="R30" s="914" t="n"/>
      <c r="S30" s="914" t="n"/>
      <c r="T30" s="914" t="n"/>
      <c r="U30" s="1219" t="inlineStr">
        <is>
          <t>Average Per Year</t>
        </is>
      </c>
      <c r="V30" s="1220" t="n"/>
      <c r="W30" s="558">
        <f>W29/6.5</f>
        <v/>
      </c>
      <c r="X30" s="914" t="n"/>
      <c r="AD30" s="470" t="n">
        <v>42982</v>
      </c>
      <c r="AE30" s="1372" t="inlineStr">
        <is>
          <t>Marius Ciobanu -ELS</t>
        </is>
      </c>
      <c r="AF30" s="1372" t="inlineStr">
        <is>
          <t>20170904-1</t>
        </is>
      </c>
      <c r="AG30" s="472" t="n">
        <v>148035</v>
      </c>
      <c r="AH30" s="1385" t="n">
        <v>200</v>
      </c>
      <c r="AI30" s="1373" t="inlineStr">
        <is>
          <t>5wk Course</t>
        </is>
      </c>
    </row>
    <row r="31" ht="13.9" customHeight="1" s="1232">
      <c r="A31" s="1271" t="n"/>
      <c r="B31" s="1271" t="n"/>
      <c r="C31" s="1271" t="n"/>
      <c r="E31" s="1296" t="n"/>
      <c r="F31" s="1297" t="n"/>
      <c r="I31" s="1327" t="inlineStr">
        <is>
          <t>YTD Actual</t>
        </is>
      </c>
      <c r="J31" s="456">
        <f>W16</f>
        <v/>
      </c>
      <c r="K31" s="914">
        <f>SUM(E145:E1266)-J31</f>
        <v/>
      </c>
      <c r="L31" s="914" t="n"/>
      <c r="M31" s="914" t="n"/>
      <c r="N31" s="914" t="n"/>
      <c r="O31" s="914" t="n"/>
      <c r="P31" s="914" t="n"/>
      <c r="Q31" s="914" t="n"/>
      <c r="R31" s="914" t="n"/>
      <c r="S31" s="914" t="n"/>
      <c r="T31" s="914" t="n"/>
      <c r="U31" s="914" t="n"/>
      <c r="V31" s="914" t="n"/>
      <c r="W31" s="914" t="n"/>
      <c r="X31" s="914" t="n"/>
      <c r="AD31" s="470" t="n">
        <v>42998</v>
      </c>
      <c r="AE31" s="1386" t="inlineStr">
        <is>
          <t>Aidan Bodeick</t>
        </is>
      </c>
      <c r="AF31" s="1372" t="inlineStr">
        <is>
          <t>20170920-1</t>
        </is>
      </c>
      <c r="AG31" s="472" t="inlineStr">
        <is>
          <t>149301</t>
        </is>
      </c>
      <c r="AH31" s="1385" t="n">
        <v>200</v>
      </c>
      <c r="AI31" s="1274" t="inlineStr">
        <is>
          <t>5wk Course</t>
        </is>
      </c>
    </row>
    <row r="32" ht="14.25" customHeight="1" s="1232" thickBot="1">
      <c r="A32" s="1292" t="n"/>
      <c r="B32" s="1271" t="n"/>
      <c r="C32" s="1271" t="n"/>
      <c r="D32" s="1292" t="n"/>
      <c r="E32" s="1296" t="n"/>
      <c r="F32" s="1297" t="n"/>
      <c r="I32" s="1328" t="inlineStr">
        <is>
          <t>YTD Var to target</t>
        </is>
      </c>
      <c r="J32" s="458">
        <f>J31-AA16</f>
        <v/>
      </c>
      <c r="K32" s="914" t="n"/>
      <c r="L32" s="914" t="n"/>
      <c r="M32" s="914" t="n"/>
      <c r="N32" s="914" t="n"/>
      <c r="O32" s="914" t="n"/>
      <c r="P32" s="914" t="n"/>
      <c r="Q32" s="914" t="n"/>
      <c r="R32" s="914" t="n"/>
      <c r="S32" s="914" t="n"/>
      <c r="T32" s="914" t="n"/>
      <c r="U32" s="914" t="n"/>
      <c r="V32" s="914" t="n">
        <v>2524</v>
      </c>
      <c r="W32" s="914">
        <f>V16-V32</f>
        <v/>
      </c>
      <c r="X32" s="914" t="n"/>
      <c r="AD32" s="470" t="n">
        <v>42998</v>
      </c>
      <c r="AE32" s="1372" t="inlineStr">
        <is>
          <t>Marvin Epton</t>
        </is>
      </c>
      <c r="AF32" s="1372" t="inlineStr">
        <is>
          <t>20170920-2</t>
        </is>
      </c>
      <c r="AG32" s="472" t="inlineStr">
        <is>
          <t>149832</t>
        </is>
      </c>
      <c r="AH32" s="1385" t="n">
        <v>200</v>
      </c>
      <c r="AI32" s="1373" t="inlineStr">
        <is>
          <t>Photo Course</t>
        </is>
      </c>
    </row>
    <row r="33">
      <c r="J33" s="914" t="n"/>
      <c r="K33" s="914" t="n"/>
      <c r="L33" s="914" t="n"/>
      <c r="M33" s="914" t="n"/>
      <c r="N33" s="914" t="n"/>
      <c r="O33" s="914" t="n"/>
      <c r="P33" s="914" t="n"/>
      <c r="Q33" s="914" t="n"/>
      <c r="R33" s="914" t="n"/>
      <c r="S33" s="914" t="n"/>
      <c r="T33" s="914" t="n"/>
      <c r="U33" s="914" t="n"/>
      <c r="V33" s="914" t="n"/>
      <c r="W33" s="914" t="n"/>
      <c r="X33" s="914" t="n"/>
      <c r="AD33" s="470" t="n">
        <v>43018</v>
      </c>
      <c r="AE33" s="1373" t="inlineStr">
        <is>
          <t>Robert Graham</t>
        </is>
      </c>
      <c r="AF33" s="1373" t="inlineStr">
        <is>
          <t>20171010-1</t>
        </is>
      </c>
      <c r="AG33" s="1387" t="inlineStr">
        <is>
          <t>151259</t>
        </is>
      </c>
      <c r="AH33" s="1385" t="n">
        <v>200</v>
      </c>
      <c r="AI33" s="1373" t="inlineStr">
        <is>
          <t>5wk Course</t>
        </is>
      </c>
    </row>
    <row r="34">
      <c r="J34" s="914" t="n"/>
      <c r="K34" s="914" t="n"/>
      <c r="L34" s="914" t="n"/>
      <c r="M34" s="914" t="n"/>
      <c r="N34" s="914" t="n"/>
      <c r="O34" s="914" t="n"/>
      <c r="P34" s="914" t="n"/>
      <c r="Q34" s="914" t="n"/>
      <c r="R34" s="914" t="n"/>
      <c r="S34" s="914" t="n"/>
      <c r="T34" s="914" t="n"/>
      <c r="U34" s="914" t="n"/>
      <c r="V34" s="914" t="n"/>
      <c r="W34" s="914" t="n"/>
      <c r="X34" s="914" t="n"/>
      <c r="AD34" s="470" t="n">
        <v>43018</v>
      </c>
      <c r="AE34" s="1373" t="inlineStr">
        <is>
          <t>Jonathan McCaughan  ELS</t>
        </is>
      </c>
      <c r="AF34" s="1373" t="inlineStr">
        <is>
          <t>20171010-2</t>
        </is>
      </c>
      <c r="AG34" s="1387" t="n"/>
      <c r="AH34" s="1388" t="n">
        <v>200</v>
      </c>
      <c r="AI34" s="1373" t="inlineStr">
        <is>
          <t>5wk Course</t>
        </is>
      </c>
    </row>
    <row r="35" ht="13.15" customHeight="1" s="1232">
      <c r="I35" s="1336" t="inlineStr">
        <is>
          <t>Tuition Categories</t>
        </is>
      </c>
      <c r="J35" s="1330" t="inlineStr">
        <is>
          <t>Variance to 2019</t>
        </is>
      </c>
      <c r="K35" s="1332" t="inlineStr">
        <is>
          <t>Jan</t>
        </is>
      </c>
      <c r="L35" s="1332" t="inlineStr">
        <is>
          <t>Feb</t>
        </is>
      </c>
      <c r="M35" s="1332" t="inlineStr">
        <is>
          <t>Mar</t>
        </is>
      </c>
      <c r="N35" s="1332" t="inlineStr">
        <is>
          <t>Apr</t>
        </is>
      </c>
      <c r="O35" s="1332" t="inlineStr">
        <is>
          <t>May</t>
        </is>
      </c>
      <c r="P35" s="1332" t="inlineStr">
        <is>
          <t>Jun</t>
        </is>
      </c>
      <c r="Q35" s="1332" t="inlineStr">
        <is>
          <t>Jul</t>
        </is>
      </c>
      <c r="R35" s="1332" t="inlineStr">
        <is>
          <t>Aug</t>
        </is>
      </c>
      <c r="S35" s="1332" t="inlineStr">
        <is>
          <t>Sep</t>
        </is>
      </c>
      <c r="T35" s="1332" t="inlineStr">
        <is>
          <t>Oct</t>
        </is>
      </c>
      <c r="U35" s="1332" t="inlineStr">
        <is>
          <t>Nov</t>
        </is>
      </c>
      <c r="V35" s="1332" t="inlineStr">
        <is>
          <t>Dec</t>
        </is>
      </c>
      <c r="W35" s="1278" t="inlineStr">
        <is>
          <t>Year</t>
        </is>
      </c>
      <c r="Y35" s="1280" t="inlineStr">
        <is>
          <t>Var YTD</t>
        </is>
      </c>
      <c r="AD35" s="470" t="n">
        <v>43018</v>
      </c>
      <c r="AE35" s="1373" t="inlineStr">
        <is>
          <t>Shen Xiang -ELS</t>
        </is>
      </c>
      <c r="AF35" s="1373" t="inlineStr">
        <is>
          <t>20171010-3</t>
        </is>
      </c>
      <c r="AG35" s="1387" t="n"/>
      <c r="AH35" s="1385" t="n">
        <v>200</v>
      </c>
      <c r="AI35" s="1373" t="inlineStr">
        <is>
          <t>5wk Course</t>
        </is>
      </c>
    </row>
    <row r="36">
      <c r="I36" s="1333" t="inlineStr">
        <is>
          <t>1. Courses/masterclasses</t>
        </is>
      </c>
      <c r="J36" s="431" t="n"/>
      <c r="K36" s="432">
        <f>K5-'Sales 2019'!K4</f>
        <v/>
      </c>
      <c r="L36" s="432">
        <f>L5-'Sales 2019'!L4</f>
        <v/>
      </c>
      <c r="M36" s="432">
        <f>M5-'Sales 2019'!M4</f>
        <v/>
      </c>
      <c r="N36" s="432">
        <f>N5-'Sales 2019'!N4</f>
        <v/>
      </c>
      <c r="O36" s="432">
        <f>O5-'Sales 2019'!O4</f>
        <v/>
      </c>
      <c r="P36" s="432">
        <f>P5-'Sales 2019'!P4</f>
        <v/>
      </c>
      <c r="Q36" s="432">
        <f>Q5-'Sales 2019'!Q4</f>
        <v/>
      </c>
      <c r="R36" s="432">
        <f>R5-'Sales 2019'!R4</f>
        <v/>
      </c>
      <c r="S36" s="432">
        <f>S5-'Sales 2019'!S4</f>
        <v/>
      </c>
      <c r="T36" s="432">
        <f>T5-'Sales 2019'!T4</f>
        <v/>
      </c>
      <c r="U36" s="432">
        <f>U5-'Sales 2019'!U4</f>
        <v/>
      </c>
      <c r="V36" s="432">
        <f>V5-'Sales 2019'!V4</f>
        <v/>
      </c>
      <c r="W36" s="788">
        <f>SUM(K36:V36)</f>
        <v/>
      </c>
      <c r="X36" s="445">
        <f>W36/'Sales 2019'!W4</f>
        <v/>
      </c>
      <c r="Y36" s="790">
        <f>SUM(K36:V36)</f>
        <v/>
      </c>
      <c r="Z36" s="445" t="n"/>
      <c r="AD36" s="470" t="n">
        <v>43018</v>
      </c>
      <c r="AE36" s="1255" t="inlineStr">
        <is>
          <t>Seon Chang</t>
        </is>
      </c>
      <c r="AF36" s="1373" t="inlineStr">
        <is>
          <t>20171010-4</t>
        </is>
      </c>
      <c r="AG36" s="1387" t="inlineStr">
        <is>
          <t>149231</t>
        </is>
      </c>
      <c r="AH36" s="1385" t="n">
        <v>200</v>
      </c>
      <c r="AI36" s="1373" t="inlineStr">
        <is>
          <t>5wk Course</t>
        </is>
      </c>
    </row>
    <row r="37">
      <c r="I37" s="1333" t="inlineStr">
        <is>
          <t>2. Workshops</t>
        </is>
      </c>
      <c r="J37" s="431" t="n"/>
      <c r="K37" s="432">
        <f>K6-'Sales 2019'!K5</f>
        <v/>
      </c>
      <c r="L37" s="432">
        <f>L6-'Sales 2019'!L5</f>
        <v/>
      </c>
      <c r="M37" s="432">
        <f>M6-'Sales 2019'!M5</f>
        <v/>
      </c>
      <c r="N37" s="432">
        <f>N6-'Sales 2019'!N5</f>
        <v/>
      </c>
      <c r="O37" s="432">
        <f>O6-'Sales 2019'!O5</f>
        <v/>
      </c>
      <c r="P37" s="432">
        <f>P6-'Sales 2019'!P5</f>
        <v/>
      </c>
      <c r="Q37" s="432">
        <f>Q6-'Sales 2019'!Q5</f>
        <v/>
      </c>
      <c r="R37" s="432">
        <f>R6-'Sales 2019'!R5</f>
        <v/>
      </c>
      <c r="S37" s="432">
        <f>S6-'Sales 2019'!S5</f>
        <v/>
      </c>
      <c r="T37" s="432">
        <f>T6-'Sales 2019'!T5</f>
        <v/>
      </c>
      <c r="U37" s="432">
        <f>U6-'Sales 2019'!U5</f>
        <v/>
      </c>
      <c r="V37" s="432">
        <f>V6-'Sales 2019'!V5</f>
        <v/>
      </c>
      <c r="W37" s="788">
        <f>SUM(K37:V37)</f>
        <v/>
      </c>
      <c r="X37" s="445">
        <f>W37/'Sales 2019'!W5</f>
        <v/>
      </c>
      <c r="Y37" s="790">
        <f>SUM(K37:V37)</f>
        <v/>
      </c>
      <c r="Z37" s="445" t="n"/>
      <c r="AD37" s="470" t="n">
        <v>43024</v>
      </c>
      <c r="AE37" s="1255" t="inlineStr">
        <is>
          <t>Ashwyn Dhir</t>
        </is>
      </c>
      <c r="AF37" s="1255" t="inlineStr">
        <is>
          <t>20171016-1</t>
        </is>
      </c>
      <c r="AG37" s="1387" t="inlineStr">
        <is>
          <t>150249</t>
        </is>
      </c>
      <c r="AH37" s="1385" t="n">
        <v>200</v>
      </c>
      <c r="AI37" s="1373" t="inlineStr">
        <is>
          <t>5wk Course</t>
        </is>
      </c>
    </row>
    <row r="38">
      <c r="I38" s="1333" t="inlineStr">
        <is>
          <t>3. Pick n Mix Inc</t>
        </is>
      </c>
      <c r="J38" s="431" t="n"/>
      <c r="K38" s="432">
        <f>K7-'Sales 2019'!K6</f>
        <v/>
      </c>
      <c r="L38" s="432">
        <f>L7-'Sales 2019'!L6</f>
        <v/>
      </c>
      <c r="M38" s="432">
        <f>M7-'Sales 2019'!M6</f>
        <v/>
      </c>
      <c r="N38" s="432">
        <f>N7-'Sales 2019'!N6</f>
        <v/>
      </c>
      <c r="O38" s="432">
        <f>O7-'Sales 2019'!O6</f>
        <v/>
      </c>
      <c r="P38" s="432">
        <f>P7-'Sales 2019'!P6</f>
        <v/>
      </c>
      <c r="Q38" s="432">
        <f>Q7-'Sales 2019'!Q6</f>
        <v/>
      </c>
      <c r="R38" s="432">
        <f>R7-'Sales 2019'!R6</f>
        <v/>
      </c>
      <c r="S38" s="432">
        <f>S7-'Sales 2019'!S6</f>
        <v/>
      </c>
      <c r="T38" s="432">
        <f>T7-'Sales 2019'!T6</f>
        <v/>
      </c>
      <c r="U38" s="432">
        <f>U7-'Sales 2019'!U6</f>
        <v/>
      </c>
      <c r="V38" s="432">
        <f>V7-'Sales 2019'!V6</f>
        <v/>
      </c>
      <c r="W38" s="788">
        <f>SUM(K38:V38)</f>
        <v/>
      </c>
      <c r="X38" s="445">
        <f>W38/'Sales 2019'!W6</f>
        <v/>
      </c>
      <c r="Y38" s="790">
        <f>SUM(K38:V38)</f>
        <v/>
      </c>
      <c r="Z38" s="445" t="n"/>
      <c r="AD38" s="470" t="n">
        <v>43025</v>
      </c>
      <c r="AE38" s="1255" t="inlineStr">
        <is>
          <t xml:space="preserve">Richard Wardle </t>
        </is>
      </c>
      <c r="AF38" s="1255" t="inlineStr">
        <is>
          <t>20171017-1</t>
        </is>
      </c>
      <c r="AH38" s="1385" t="n">
        <v>200</v>
      </c>
      <c r="AI38" s="1255" t="inlineStr">
        <is>
          <t>Intermediates</t>
        </is>
      </c>
    </row>
    <row r="39">
      <c r="I39" s="1333" t="inlineStr">
        <is>
          <t>4. Pick n Mix Out</t>
        </is>
      </c>
      <c r="J39" s="431" t="n"/>
      <c r="K39" s="432">
        <f>K8-'Sales 2019'!K7</f>
        <v/>
      </c>
      <c r="L39" s="432">
        <f>L8-'Sales 2019'!L7</f>
        <v/>
      </c>
      <c r="M39" s="432">
        <f>M8-'Sales 2019'!M7</f>
        <v/>
      </c>
      <c r="N39" s="432">
        <f>N8-'Sales 2019'!N7</f>
        <v/>
      </c>
      <c r="O39" s="432">
        <f>O8-'Sales 2019'!O7</f>
        <v/>
      </c>
      <c r="P39" s="432">
        <f>P8-'Sales 2019'!P7</f>
        <v/>
      </c>
      <c r="Q39" s="432">
        <f>Q8-'Sales 2019'!Q7</f>
        <v/>
      </c>
      <c r="R39" s="432">
        <f>R8-'Sales 2019'!R7</f>
        <v/>
      </c>
      <c r="S39" s="432">
        <f>S8-'Sales 2019'!S7</f>
        <v/>
      </c>
      <c r="T39" s="432">
        <f>T8-'Sales 2019'!T7</f>
        <v/>
      </c>
      <c r="U39" s="432">
        <f>U8-'Sales 2019'!U7</f>
        <v/>
      </c>
      <c r="V39" s="432">
        <f>V8-'Sales 2019'!V7</f>
        <v/>
      </c>
      <c r="W39" s="788">
        <f>SUM(K39:V39)</f>
        <v/>
      </c>
      <c r="X39" s="445">
        <f>W39/'Sales 2019'!W7</f>
        <v/>
      </c>
      <c r="Y39" s="790">
        <f>SUM(K39:V39)</f>
        <v/>
      </c>
      <c r="Z39" s="445" t="n"/>
      <c r="AD39" s="470" t="n">
        <v>43027</v>
      </c>
      <c r="AE39" s="1255" t="inlineStr">
        <is>
          <t>Helen Finch</t>
        </is>
      </c>
      <c r="AF39" s="1255" t="inlineStr">
        <is>
          <t>20171019-1</t>
        </is>
      </c>
      <c r="AG39" s="1389" t="inlineStr">
        <is>
          <t>149191</t>
        </is>
      </c>
      <c r="AH39" s="1385" t="n">
        <v>150</v>
      </c>
      <c r="AI39" s="1373" t="inlineStr">
        <is>
          <t>5wk Course</t>
        </is>
      </c>
    </row>
    <row r="40">
      <c r="I40" s="1333" t="inlineStr">
        <is>
          <t>5. Mentoring</t>
        </is>
      </c>
      <c r="J40" s="431" t="n"/>
      <c r="K40" s="432">
        <f>K9-'Sales 2019'!K8</f>
        <v/>
      </c>
      <c r="L40" s="432">
        <f>L9-'Sales 2019'!L8</f>
        <v/>
      </c>
      <c r="M40" s="432">
        <f>M9-'Sales 2019'!M8</f>
        <v/>
      </c>
      <c r="N40" s="432">
        <f>N9-'Sales 2019'!N8</f>
        <v/>
      </c>
      <c r="O40" s="432">
        <f>O9-'Sales 2019'!O8</f>
        <v/>
      </c>
      <c r="P40" s="432">
        <f>P9-'Sales 2019'!P8</f>
        <v/>
      </c>
      <c r="Q40" s="432">
        <f>Q9-'Sales 2019'!Q8</f>
        <v/>
      </c>
      <c r="R40" s="432">
        <f>R9-'Sales 2019'!R8</f>
        <v/>
      </c>
      <c r="S40" s="432">
        <f>S9-'Sales 2019'!S8</f>
        <v/>
      </c>
      <c r="T40" s="432">
        <f>T9-'Sales 2019'!T8</f>
        <v/>
      </c>
      <c r="U40" s="432">
        <f>U9-'Sales 2019'!U8</f>
        <v/>
      </c>
      <c r="V40" s="432">
        <f>V9-'Sales 2019'!V8</f>
        <v/>
      </c>
      <c r="W40" s="788">
        <f>SUM(K40:V40)</f>
        <v/>
      </c>
      <c r="X40" s="445">
        <f>W40/'Sales 2019'!W8</f>
        <v/>
      </c>
      <c r="Y40" s="790">
        <f>SUM(K40:V40)</f>
        <v/>
      </c>
      <c r="Z40" s="445" t="n"/>
      <c r="AD40" s="470" t="n"/>
      <c r="AG40" s="1389" t="n"/>
      <c r="AH40" s="1385" t="n"/>
      <c r="AI40" s="1373" t="n"/>
    </row>
    <row r="41">
      <c r="I41" s="1334" t="inlineStr">
        <is>
          <t>6. 1-2-1</t>
        </is>
      </c>
      <c r="J41" s="431" t="n"/>
      <c r="K41" s="432">
        <f>K10-'Sales 2019'!K9</f>
        <v/>
      </c>
      <c r="L41" s="432">
        <f>L10-'Sales 2019'!L9</f>
        <v/>
      </c>
      <c r="M41" s="432">
        <f>M10-'Sales 2019'!M9</f>
        <v/>
      </c>
      <c r="N41" s="432">
        <f>N10-'Sales 2019'!N9</f>
        <v/>
      </c>
      <c r="O41" s="432">
        <f>O10-'Sales 2019'!O9</f>
        <v/>
      </c>
      <c r="P41" s="432">
        <f>P10-'Sales 2019'!P9</f>
        <v/>
      </c>
      <c r="Q41" s="432">
        <f>Q10-'Sales 2019'!Q9</f>
        <v/>
      </c>
      <c r="R41" s="432">
        <f>R10-'Sales 2019'!R9</f>
        <v/>
      </c>
      <c r="S41" s="432">
        <f>S10-'Sales 2019'!S9</f>
        <v/>
      </c>
      <c r="T41" s="432">
        <f>T10-'Sales 2019'!T9</f>
        <v/>
      </c>
      <c r="U41" s="432">
        <f>U10-'Sales 2019'!U9</f>
        <v/>
      </c>
      <c r="V41" s="432">
        <f>V10-'Sales 2019'!V9</f>
        <v/>
      </c>
      <c r="W41" s="788">
        <f>SUM(K41:V41)</f>
        <v/>
      </c>
      <c r="X41" s="445">
        <f>W41/'Sales 2019'!W9</f>
        <v/>
      </c>
      <c r="Y41" s="790">
        <f>SUM(K41:V41)</f>
        <v/>
      </c>
      <c r="Z41" s="445" t="n"/>
      <c r="AD41" s="470" t="n">
        <v>43049</v>
      </c>
      <c r="AE41" s="1260" t="inlineStr">
        <is>
          <t>Jodie Child</t>
        </is>
      </c>
      <c r="AF41" s="1260" t="inlineStr">
        <is>
          <t>20171110-1</t>
        </is>
      </c>
      <c r="AG41" s="1282" t="inlineStr">
        <is>
          <t>150680</t>
        </is>
      </c>
      <c r="AH41" s="1385" t="n">
        <v>200</v>
      </c>
      <c r="AI41" s="1373" t="inlineStr">
        <is>
          <t>5wk Course</t>
        </is>
      </c>
    </row>
    <row r="42">
      <c r="I42" s="1334" t="inlineStr">
        <is>
          <t>7. Gift Vouchers Inc</t>
        </is>
      </c>
      <c r="J42" s="431" t="n"/>
      <c r="K42" s="432">
        <f>K11-'Sales 2019'!K10</f>
        <v/>
      </c>
      <c r="L42" s="432">
        <f>L11-'Sales 2019'!L10</f>
        <v/>
      </c>
      <c r="M42" s="432">
        <f>M11-'Sales 2019'!M10</f>
        <v/>
      </c>
      <c r="N42" s="432">
        <f>N11-'Sales 2019'!N10</f>
        <v/>
      </c>
      <c r="O42" s="432">
        <f>O11-'Sales 2019'!O10</f>
        <v/>
      </c>
      <c r="P42" s="432">
        <f>P11-'Sales 2019'!P10</f>
        <v/>
      </c>
      <c r="Q42" s="432">
        <f>Q11-'Sales 2019'!Q10</f>
        <v/>
      </c>
      <c r="R42" s="432">
        <f>R11-'Sales 2019'!R10</f>
        <v/>
      </c>
      <c r="S42" s="432">
        <f>S11-'Sales 2019'!S10</f>
        <v/>
      </c>
      <c r="T42" s="432">
        <f>T11-'Sales 2019'!T10</f>
        <v/>
      </c>
      <c r="U42" s="432">
        <f>U11-'Sales 2019'!U10</f>
        <v/>
      </c>
      <c r="V42" s="432">
        <f>V11-'Sales 2019'!V10</f>
        <v/>
      </c>
      <c r="W42" s="788">
        <f>SUM(K42:V42)</f>
        <v/>
      </c>
      <c r="X42" s="445">
        <f>W42/'Sales 2019'!W10</f>
        <v/>
      </c>
      <c r="Y42" s="790">
        <f>SUM(K42:V42)</f>
        <v/>
      </c>
      <c r="Z42" s="445" t="n"/>
      <c r="AD42" s="470" t="n"/>
      <c r="AE42" s="1260" t="n"/>
      <c r="AF42" s="1260" t="n"/>
      <c r="AG42" s="1282" t="n"/>
      <c r="AH42" s="1385" t="n"/>
      <c r="AI42" s="1373" t="n"/>
    </row>
    <row r="43">
      <c r="I43" s="1334" t="inlineStr">
        <is>
          <t>8. Gift Vouchers Out</t>
        </is>
      </c>
      <c r="J43" s="431" t="n"/>
      <c r="K43" s="432">
        <f>K12-'Sales 2019'!K11</f>
        <v/>
      </c>
      <c r="L43" s="432">
        <f>L12-'Sales 2019'!L11</f>
        <v/>
      </c>
      <c r="M43" s="432">
        <f>M12-'Sales 2019'!M11</f>
        <v/>
      </c>
      <c r="N43" s="432">
        <f>N12-'Sales 2019'!N11</f>
        <v/>
      </c>
      <c r="O43" s="432">
        <f>O12-'Sales 2019'!O11</f>
        <v/>
      </c>
      <c r="P43" s="432">
        <f>P12-'Sales 2019'!P11</f>
        <v/>
      </c>
      <c r="Q43" s="432">
        <f>Q12-'Sales 2019'!Q11</f>
        <v/>
      </c>
      <c r="R43" s="432">
        <f>R12-'Sales 2019'!R11</f>
        <v/>
      </c>
      <c r="S43" s="432">
        <f>S12-'Sales 2019'!S11</f>
        <v/>
      </c>
      <c r="T43" s="432">
        <f>T12-'Sales 2019'!T11</f>
        <v/>
      </c>
      <c r="U43" s="432">
        <f>U12-'Sales 2019'!U11</f>
        <v/>
      </c>
      <c r="V43" s="432">
        <f>V12-'Sales 2019'!V11</f>
        <v/>
      </c>
      <c r="W43" s="432">
        <f>W12-'Sales 2019'!W11</f>
        <v/>
      </c>
      <c r="X43" s="445">
        <f>W43/'Sales 2019'!W11</f>
        <v/>
      </c>
      <c r="Y43" s="790">
        <f>SUM(K43:V43)</f>
        <v/>
      </c>
      <c r="Z43" s="445" t="n"/>
      <c r="AD43" s="470" t="n"/>
      <c r="AE43" s="1260" t="n"/>
      <c r="AF43" s="1260" t="n"/>
      <c r="AG43" s="1282" t="n"/>
      <c r="AH43" s="1385" t="n"/>
      <c r="AI43" s="1373" t="n"/>
    </row>
    <row r="44">
      <c r="I44" s="1334" t="inlineStr">
        <is>
          <t>9. Prints &amp; Royalties</t>
        </is>
      </c>
      <c r="J44" s="431" t="n"/>
      <c r="K44" s="432">
        <f>K13-'Sales 2019'!K11</f>
        <v/>
      </c>
      <c r="L44" s="432">
        <f>L13-'Sales 2019'!L11</f>
        <v/>
      </c>
      <c r="M44" s="432">
        <f>M13-'Sales 2019'!M11</f>
        <v/>
      </c>
      <c r="N44" s="432">
        <f>N13-'Sales 2019'!N11</f>
        <v/>
      </c>
      <c r="O44" s="432">
        <f>O13-'Sales 2019'!O11</f>
        <v/>
      </c>
      <c r="P44" s="432">
        <f>P13-'Sales 2019'!P11</f>
        <v/>
      </c>
      <c r="Q44" s="432">
        <f>Q13-'Sales 2019'!Q11</f>
        <v/>
      </c>
      <c r="R44" s="432">
        <f>R13-'Sales 2019'!R11</f>
        <v/>
      </c>
      <c r="S44" s="432">
        <f>S13-'Sales 2019'!S11</f>
        <v/>
      </c>
      <c r="T44" s="432">
        <f>T13-'Sales 2019'!T11</f>
        <v/>
      </c>
      <c r="U44" s="432">
        <f>U13-'Sales 2019'!U11</f>
        <v/>
      </c>
      <c r="V44" s="432">
        <f>V13-'Sales 2019'!V11</f>
        <v/>
      </c>
      <c r="W44" s="788">
        <f>SUM(K44:V44)</f>
        <v/>
      </c>
      <c r="X44" s="445">
        <f>W44/'Sales 2019'!W11</f>
        <v/>
      </c>
      <c r="Y44" s="790">
        <f>SUM(K44:V44)</f>
        <v/>
      </c>
      <c r="Z44" s="445" t="n"/>
      <c r="AD44" s="470" t="n"/>
      <c r="AE44" s="1260" t="n"/>
      <c r="AF44" s="1260" t="n"/>
      <c r="AG44" s="1282" t="n"/>
      <c r="AH44" s="1385" t="n"/>
      <c r="AI44" s="1373" t="n"/>
    </row>
    <row r="45">
      <c r="I45" s="1334" t="inlineStr">
        <is>
          <t>10 Commissions</t>
        </is>
      </c>
      <c r="J45" s="431" t="n"/>
      <c r="K45" s="432">
        <f>K14-'Sales 2019'!K12</f>
        <v/>
      </c>
      <c r="L45" s="432">
        <f>L14-'Sales 2019'!L12</f>
        <v/>
      </c>
      <c r="M45" s="432">
        <f>M14-'Sales 2019'!M12</f>
        <v/>
      </c>
      <c r="N45" s="432">
        <f>N14-'Sales 2019'!N12</f>
        <v/>
      </c>
      <c r="O45" s="432">
        <f>O14-'Sales 2019'!O12</f>
        <v/>
      </c>
      <c r="P45" s="432">
        <f>P14-'Sales 2019'!P12</f>
        <v/>
      </c>
      <c r="Q45" s="432">
        <f>Q14-'Sales 2019'!Q12</f>
        <v/>
      </c>
      <c r="R45" s="432">
        <f>R14-'Sales 2019'!R12</f>
        <v/>
      </c>
      <c r="S45" s="432">
        <f>S14-'Sales 2019'!S12</f>
        <v/>
      </c>
      <c r="T45" s="432">
        <f>T14-'Sales 2019'!T12</f>
        <v/>
      </c>
      <c r="U45" s="432">
        <f>U14-'Sales 2019'!U12</f>
        <v/>
      </c>
      <c r="V45" s="432">
        <f>V14-'Sales 2019'!V12</f>
        <v/>
      </c>
      <c r="W45" s="788">
        <f>SUM(K45:V45)</f>
        <v/>
      </c>
      <c r="X45" s="445">
        <f>W45/'Sales 2019'!W12</f>
        <v/>
      </c>
      <c r="Y45" s="790">
        <f>SUM(K45:V45)</f>
        <v/>
      </c>
      <c r="Z45" s="445" t="n"/>
      <c r="AD45" s="470" t="n"/>
      <c r="AE45" s="1260" t="n"/>
      <c r="AF45" s="1260" t="n"/>
      <c r="AG45" s="1282" t="n"/>
      <c r="AH45" s="1385" t="n"/>
      <c r="AI45" s="1373" t="n"/>
    </row>
    <row r="46" ht="13.15" customHeight="1" s="1232" thickBot="1">
      <c r="I46" s="1334" t="inlineStr">
        <is>
          <t>11. Other</t>
        </is>
      </c>
      <c r="J46" s="431" t="n"/>
      <c r="K46" s="432">
        <f>K15-'Sales 2019'!K13</f>
        <v/>
      </c>
      <c r="L46" s="432">
        <f>L15-'Sales 2019'!L13</f>
        <v/>
      </c>
      <c r="M46" s="432">
        <f>M15-'Sales 2019'!M13</f>
        <v/>
      </c>
      <c r="N46" s="432">
        <f>N15-'Sales 2019'!N13</f>
        <v/>
      </c>
      <c r="O46" s="432">
        <f>O15-'Sales 2019'!O13</f>
        <v/>
      </c>
      <c r="P46" s="432">
        <f>P15-'Sales 2019'!P13</f>
        <v/>
      </c>
      <c r="Q46" s="432">
        <f>Q15-'Sales 2019'!Q13</f>
        <v/>
      </c>
      <c r="R46" s="432">
        <f>R15-'Sales 2019'!R13</f>
        <v/>
      </c>
      <c r="S46" s="432">
        <f>S15-'Sales 2019'!S13</f>
        <v/>
      </c>
      <c r="T46" s="432">
        <f>T15-'Sales 2019'!T13</f>
        <v/>
      </c>
      <c r="U46" s="432">
        <f>U15-'Sales 2019'!U13</f>
        <v/>
      </c>
      <c r="V46" s="432">
        <f>V15-'Sales 2019'!V13</f>
        <v/>
      </c>
      <c r="W46" s="788">
        <f>SUM(K46:V46)</f>
        <v/>
      </c>
      <c r="X46" s="445">
        <f>W46/'Sales 2019'!W13</f>
        <v/>
      </c>
      <c r="Y46" s="790">
        <f>SUM(K46:V46)</f>
        <v/>
      </c>
      <c r="Z46" s="445" t="n"/>
      <c r="AD46" s="470" t="n">
        <v>43054</v>
      </c>
      <c r="AE46" s="1255" t="inlineStr">
        <is>
          <t>Sayed Nazir - ELS</t>
        </is>
      </c>
      <c r="AF46" s="1255" t="inlineStr">
        <is>
          <t>20171115-1</t>
        </is>
      </c>
      <c r="AG46" s="1282" t="inlineStr">
        <is>
          <t>220208</t>
        </is>
      </c>
      <c r="AH46" s="1385" t="n">
        <v>200</v>
      </c>
      <c r="AI46" s="1373" t="inlineStr">
        <is>
          <t>5wk Course</t>
        </is>
      </c>
    </row>
    <row r="47" ht="13.9" customHeight="1" s="1232" thickBot="1" thickTop="1">
      <c r="I47" s="1335" t="inlineStr">
        <is>
          <t>Totals</t>
        </is>
      </c>
      <c r="J47" s="438" t="n"/>
      <c r="K47" s="587">
        <f>SUM(K36:K46)</f>
        <v/>
      </c>
      <c r="L47" s="587">
        <f>SUM(L36:L46)</f>
        <v/>
      </c>
      <c r="M47" s="587">
        <f>SUM(M36:M46)</f>
        <v/>
      </c>
      <c r="N47" s="587">
        <f>SUM(N36:N46)</f>
        <v/>
      </c>
      <c r="O47" s="587">
        <f>SUM(O36:O46)</f>
        <v/>
      </c>
      <c r="P47" s="587">
        <f>SUM(P36:P46)</f>
        <v/>
      </c>
      <c r="Q47" s="587">
        <f>SUM(Q36:Q46)</f>
        <v/>
      </c>
      <c r="R47" s="587">
        <f>SUM(R36:R46)</f>
        <v/>
      </c>
      <c r="S47" s="587">
        <f>SUM(S36:S46)</f>
        <v/>
      </c>
      <c r="T47" s="587">
        <f>SUM(T36:T46)</f>
        <v/>
      </c>
      <c r="U47" s="587">
        <f>SUM(U36:U46)</f>
        <v/>
      </c>
      <c r="V47" s="587">
        <f>SUM(V36:V46)</f>
        <v/>
      </c>
      <c r="W47" s="789">
        <f>SUM(W36:W46)</f>
        <v/>
      </c>
      <c r="X47" s="445">
        <f>W47/'Sales 2019'!W14</f>
        <v/>
      </c>
      <c r="Y47" s="790">
        <f>SUM(K47:V47)</f>
        <v/>
      </c>
      <c r="Z47" s="445" t="n"/>
      <c r="AD47" s="470" t="n">
        <v>43057</v>
      </c>
      <c r="AE47" s="1260" t="inlineStr">
        <is>
          <t>Jonathan Mee - ELS</t>
        </is>
      </c>
      <c r="AF47" s="1260" t="inlineStr">
        <is>
          <t>20171118-1</t>
        </is>
      </c>
      <c r="AG47" s="1282" t="inlineStr">
        <is>
          <t>149563</t>
        </is>
      </c>
      <c r="AH47" s="1385" t="n">
        <v>135</v>
      </c>
      <c r="AI47" s="1260" t="inlineStr">
        <is>
          <t>TBA</t>
        </is>
      </c>
    </row>
    <row r="48" ht="13.15" customHeight="1" s="1232" thickTop="1">
      <c r="AD48" s="470" t="n">
        <v>43066</v>
      </c>
      <c r="AE48" s="1255" t="inlineStr">
        <is>
          <t>Philip Webster -ELS</t>
        </is>
      </c>
      <c r="AF48" s="1255" t="inlineStr">
        <is>
          <t>20171127-1</t>
        </is>
      </c>
      <c r="AG48" s="1282" t="inlineStr">
        <is>
          <t>151809</t>
        </is>
      </c>
      <c r="AH48" s="1385" t="n">
        <v>200</v>
      </c>
      <c r="AI48" s="1282" t="inlineStr">
        <is>
          <t>1-2-1 TBA</t>
        </is>
      </c>
    </row>
    <row r="49" ht="15" customHeight="1" s="1232">
      <c r="I49" s="1336" t="inlineStr">
        <is>
          <t>Tuition Categories</t>
        </is>
      </c>
      <c r="J49" s="1330" t="inlineStr">
        <is>
          <t>Units</t>
        </is>
      </c>
      <c r="K49" s="1332" t="inlineStr">
        <is>
          <t>Jan</t>
        </is>
      </c>
      <c r="L49" s="1332" t="inlineStr">
        <is>
          <t>Feb</t>
        </is>
      </c>
      <c r="M49" s="1332" t="inlineStr">
        <is>
          <t>Mar</t>
        </is>
      </c>
      <c r="N49" s="1332" t="inlineStr">
        <is>
          <t>Apr</t>
        </is>
      </c>
      <c r="O49" s="1332" t="inlineStr">
        <is>
          <t>May</t>
        </is>
      </c>
      <c r="P49" s="1332" t="inlineStr">
        <is>
          <t>Jun</t>
        </is>
      </c>
      <c r="Q49" s="1332" t="inlineStr">
        <is>
          <t>Jul</t>
        </is>
      </c>
      <c r="R49" s="1332" t="inlineStr">
        <is>
          <t>Aug</t>
        </is>
      </c>
      <c r="S49" s="1332" t="inlineStr">
        <is>
          <t>Sep</t>
        </is>
      </c>
      <c r="T49" s="1332" t="inlineStr">
        <is>
          <t>Oct</t>
        </is>
      </c>
      <c r="U49" s="1332" t="inlineStr">
        <is>
          <t>Nov</t>
        </is>
      </c>
      <c r="V49" s="1332" t="inlineStr">
        <is>
          <t>Dec</t>
        </is>
      </c>
      <c r="W49" s="1332" t="inlineStr">
        <is>
          <t>Year</t>
        </is>
      </c>
      <c r="AD49" s="470" t="n">
        <v>43066</v>
      </c>
      <c r="AE49" s="1255" t="inlineStr">
        <is>
          <t>James Braithwaite ELS</t>
        </is>
      </c>
      <c r="AF49" s="1255" t="inlineStr">
        <is>
          <t>20171127-2</t>
        </is>
      </c>
      <c r="AG49" s="1282" t="inlineStr">
        <is>
          <t>151176</t>
        </is>
      </c>
      <c r="AH49" s="1385" t="n">
        <v>150</v>
      </c>
      <c r="AI49" s="1260" t="inlineStr">
        <is>
          <t>Hartland Jan</t>
        </is>
      </c>
    </row>
    <row r="50">
      <c r="I50" s="1333" t="inlineStr">
        <is>
          <t>1. Courses/masterclasses</t>
        </is>
      </c>
      <c r="J50" s="431" t="n"/>
      <c r="K50" s="432">
        <f>COUNTIFS($A$145:$A$587,"&gt;31/12/2019",$A$145:$A$587,"&lt;1/2/2020",$C$145:$C$587,I50)</f>
        <v/>
      </c>
      <c r="L50" s="432">
        <f>COUNTIFS($A$145:$A$587,"&gt;31/1/2020",$A$145:$A$587,"&lt;1/3/2020",$C$145:$C$587,$I50)</f>
        <v/>
      </c>
      <c r="M50" s="432">
        <f>COUNTIFS($A$145:$A$587,"&gt;29/2/2020",$A$145:$A$587,"&lt;1/4/2020",$C$145:$C$587,$I50)</f>
        <v/>
      </c>
      <c r="N50" s="432">
        <f>COUNTIFS($A$145:$A$587,"&gt;31/3/2020",$A$145:$A$587,"&lt;1/5/2020",$C$145:$C$587,$I50)</f>
        <v/>
      </c>
      <c r="O50" s="432">
        <f>COUNTIFS($A$145:$A$587,"&gt;30/4/2020",$A$145:$A$587,"&lt;1/6/2020",$C$145:$C$587,$I50)</f>
        <v/>
      </c>
      <c r="P50" s="432">
        <f>COUNTIFS($A$145:$A$587,"&gt;31/5/2020",$A$145:$A$587,"&lt;1/7/2020",$C$145:$C$587,$I50)</f>
        <v/>
      </c>
      <c r="Q50" s="432">
        <f>COUNTIFS($A$145:$A$587,"&gt;30/6/2020",$A$145:$A$587,"&lt;1/8/2020",$C$145:$C$587,$I50)</f>
        <v/>
      </c>
      <c r="R50" s="432">
        <f>COUNTIFS($A$145:$A$587,"&gt;31/7/2020",$A$145:$A$587,"&lt;1/9/2020",$C$145:$C$587,$I50)</f>
        <v/>
      </c>
      <c r="S50" s="432">
        <f>COUNTIFS($A$145:$A$587,"&gt;31/8/2020",$A$145:$A$587,"&lt;1/10/2020",$C$145:$C$587,$I50)</f>
        <v/>
      </c>
      <c r="T50" s="432">
        <f>COUNTIFS($A$145:$A$587,"&gt;30/9/2020",$A$145:$A$587,"&lt;1/11/2020",$C$145:$C$587,$I50)</f>
        <v/>
      </c>
      <c r="U50" s="432">
        <f>COUNTIFS($A$145:$A$587,"&gt;31/10/2020",$A$145:$A$587,"&lt;1/12/2020",$C$145:$C$587,$I50)</f>
        <v/>
      </c>
      <c r="V50" s="432">
        <f>COUNTIFS($A$145:$A$587,"&gt;30/11/2020",$A$145:$A$587,"&lt;1/1/2021",$C$145:$C$587,$I50)</f>
        <v/>
      </c>
      <c r="W50" s="431">
        <f>SUM(K50:V50)</f>
        <v/>
      </c>
      <c r="AD50" s="470" t="n">
        <v>43066</v>
      </c>
      <c r="AE50" s="1255" t="inlineStr">
        <is>
          <t>Amundep Hothi - ELS</t>
        </is>
      </c>
      <c r="AF50" s="1260" t="inlineStr">
        <is>
          <t>20171127-3</t>
        </is>
      </c>
      <c r="AG50" s="1282" t="inlineStr">
        <is>
          <t>152835</t>
        </is>
      </c>
      <c r="AH50" s="1385" t="n">
        <v>200</v>
      </c>
      <c r="AI50" s="1373" t="inlineStr">
        <is>
          <t>5wk Course</t>
        </is>
      </c>
    </row>
    <row r="51">
      <c r="I51" s="1333" t="inlineStr">
        <is>
          <t>2. Workshops</t>
        </is>
      </c>
      <c r="J51" s="431" t="n"/>
      <c r="K51" s="432">
        <f>COUNTIFS($A$145:$A$587,"&gt;31/12/2019",$A$145:$A$587,"&lt;1/2/2020",$C$145:$C$587,I51)</f>
        <v/>
      </c>
      <c r="L51" s="432">
        <f>COUNTIFS($A$145:$A$587,"&gt;31/1/2020",$A$145:$A$587,"&lt;1/3/2020",$C$145:$C$587,$I51)</f>
        <v/>
      </c>
      <c r="M51" s="432">
        <f>COUNTIFS($A$145:$A$587,"&gt;29/2/2020",$A$145:$A$587,"&lt;1/4/2020",$C$145:$C$587,$I51)</f>
        <v/>
      </c>
      <c r="N51" s="432">
        <f>COUNTIFS($A$145:$A$587,"&gt;31/3/2020",$A$145:$A$587,"&lt;1/5/2020",$C$145:$C$587,$I51)</f>
        <v/>
      </c>
      <c r="O51" s="432">
        <f>COUNTIFS($A$145:$A$587,"&gt;30/4/2020",$A$145:$A$587,"&lt;1/6/2020",$C$145:$C$587,$I51)</f>
        <v/>
      </c>
      <c r="P51" s="432">
        <f>COUNTIFS($A$145:$A$587,"&gt;31/5/2020",$A$145:$A$587,"&lt;1/7/2020",$C$145:$C$587,$I51)</f>
        <v/>
      </c>
      <c r="Q51" s="432">
        <f>COUNTIFS($A$145:$A$587,"&gt;30/6/2020",$A$145:$A$587,"&lt;1/8/2020",$C$145:$C$587,$I51)</f>
        <v/>
      </c>
      <c r="R51" s="432">
        <f>COUNTIFS($A$145:$A$587,"&gt;31/7/2020",$A$145:$A$587,"&lt;1/9/2020",$C$145:$C$587,$I51)</f>
        <v/>
      </c>
      <c r="S51" s="432">
        <f>COUNTIFS($A$145:$A$587,"&gt;31/8/2020",$A$145:$A$587,"&lt;1/10/2020",$C$145:$C$587,$I51)</f>
        <v/>
      </c>
      <c r="T51" s="432">
        <f>COUNTIFS($A$145:$A$587,"&gt;30/9/2020",$A$145:$A$587,"&lt;1/11/2020",$C$145:$C$587,$I51)</f>
        <v/>
      </c>
      <c r="U51" s="432">
        <f>COUNTIFS($A$145:$A$587,"&gt;31/10/2020",$A$145:$A$587,"&lt;1/12/2020",$C$145:$C$587,$I51)</f>
        <v/>
      </c>
      <c r="V51" s="432">
        <f>COUNTIFS($A$145:$A$587,"&gt;30/11/2020",$A$145:$A$587,"&lt;1/1/2021",$C$145:$C$587,$I51)</f>
        <v/>
      </c>
      <c r="W51" s="431">
        <f>SUM(K51:V51)</f>
        <v/>
      </c>
      <c r="AD51" s="470" t="n">
        <v>43068</v>
      </c>
      <c r="AE51" s="1255" t="inlineStr">
        <is>
          <t>Preetha Luther - ELS</t>
        </is>
      </c>
      <c r="AF51" s="1255" t="inlineStr">
        <is>
          <t>20171129-1</t>
        </is>
      </c>
      <c r="AG51" s="1282" t="inlineStr">
        <is>
          <t>151289</t>
        </is>
      </c>
      <c r="AH51" s="1385" t="n">
        <v>200</v>
      </c>
      <c r="AI51" s="1260" t="inlineStr">
        <is>
          <t>5wk Course</t>
        </is>
      </c>
    </row>
    <row r="52">
      <c r="I52" s="1333" t="inlineStr">
        <is>
          <t>3. Pick n Mix Inc</t>
        </is>
      </c>
      <c r="J52" s="431" t="n"/>
      <c r="K52" s="432">
        <f>COUNTIFS($A$145:$A$587,"&gt;31/12/2019",$A$145:$A$587,"&lt;1/2/2020",$C$145:$C$587,I52)</f>
        <v/>
      </c>
      <c r="L52" s="432">
        <f>COUNTIFS($A$145:$A$587,"&gt;31/1/2020",$A$145:$A$587,"&lt;1/3/2020",$C$145:$C$587,$I52)</f>
        <v/>
      </c>
      <c r="M52" s="432">
        <f>COUNTIFS($A$145:$A$587,"&gt;29/2/2020",$A$145:$A$587,"&lt;1/4/2020",$C$145:$C$587,$I52)</f>
        <v/>
      </c>
      <c r="N52" s="432">
        <f>COUNTIFS($A$145:$A$587,"&gt;31/3/2020",$A$145:$A$587,"&lt;1/5/2020",$C$145:$C$587,$I52)</f>
        <v/>
      </c>
      <c r="O52" s="432">
        <f>COUNTIFS($A$145:$A$587,"&gt;30/4/2020",$A$145:$A$587,"&lt;1/6/2020",$C$145:$C$587,$I52)</f>
        <v/>
      </c>
      <c r="P52" s="432">
        <f>COUNTIFS($A$145:$A$587,"&gt;31/5/2020",$A$145:$A$587,"&lt;1/7/2020",$C$145:$C$587,$I52)</f>
        <v/>
      </c>
      <c r="Q52" s="432">
        <f>COUNTIFS($A$145:$A$587,"&gt;30/6/2020",$A$145:$A$587,"&lt;1/8/2020",$C$145:$C$587,$I52)</f>
        <v/>
      </c>
      <c r="R52" s="432">
        <f>COUNTIFS($A$145:$A$587,"&gt;31/7/2020",$A$145:$A$587,"&lt;1/9/2020",$C$145:$C$587,$I52)</f>
        <v/>
      </c>
      <c r="S52" s="432">
        <f>COUNTIFS($A$145:$A$587,"&gt;31/8/2020",$A$145:$A$587,"&lt;1/10/2020",$C$145:$C$587,$I52)</f>
        <v/>
      </c>
      <c r="T52" s="432">
        <f>COUNTIFS($A$145:$A$587,"&gt;30/9/2020",$A$145:$A$587,"&lt;1/11/2020",$C$145:$C$587,$I52)</f>
        <v/>
      </c>
      <c r="U52" s="432">
        <f>COUNTIFS($A$145:$A$587,"&gt;31/10/2020",$A$145:$A$587,"&lt;1/12/2020",$C$145:$C$587,$I52)</f>
        <v/>
      </c>
      <c r="V52" s="432">
        <f>COUNTIFS($A$145:$A$587,"&gt;30/11/2020",$A$145:$A$587,"&lt;1/1/2021",$C$145:$C$587,$I52)</f>
        <v/>
      </c>
      <c r="W52" s="431">
        <f>SUM(K52:V52)</f>
        <v/>
      </c>
      <c r="AD52" s="470" t="n"/>
      <c r="AG52" s="1282" t="n"/>
      <c r="AI52" s="1260" t="n"/>
    </row>
    <row r="53">
      <c r="I53" s="1333" t="inlineStr">
        <is>
          <t>4. Pick n Mix Out</t>
        </is>
      </c>
      <c r="J53" s="431" t="n"/>
      <c r="K53" s="432">
        <f>COUNTIFS($A$145:$A$587,"&gt;31/12/2019",$A$145:$A$587,"&lt;1/2/2020",$C$145:$C$587,I53)</f>
        <v/>
      </c>
      <c r="L53" s="432">
        <f>COUNTIFS($A$145:$A$587,"&gt;31/1/2020",$A$145:$A$587,"&lt;1/3/2020",$C$145:$C$587,$I53)</f>
        <v/>
      </c>
      <c r="M53" s="432">
        <f>COUNTIFS($A$145:$A$587,"&gt;29/2/2020",$A$145:$A$587,"&lt;1/4/2020",$C$145:$C$587,$I53)</f>
        <v/>
      </c>
      <c r="N53" s="432">
        <f>COUNTIFS($A$145:$A$587,"&gt;31/3/2020",$A$145:$A$587,"&lt;1/5/2020",$C$145:$C$587,$I53)</f>
        <v/>
      </c>
      <c r="O53" s="432">
        <f>COUNTIFS($A$145:$A$587,"&gt;30/4/2020",$A$145:$A$587,"&lt;1/6/2020",$C$145:$C$587,$I53)</f>
        <v/>
      </c>
      <c r="P53" s="432">
        <f>COUNTIFS($A$145:$A$587,"&gt;31/5/2020",$A$145:$A$587,"&lt;1/7/2020",$C$145:$C$587,$I53)</f>
        <v/>
      </c>
      <c r="Q53" s="432">
        <f>COUNTIFS($A$145:$A$587,"&gt;30/6/2020",$A$145:$A$587,"&lt;1/8/2020",$C$145:$C$587,$I53)</f>
        <v/>
      </c>
      <c r="R53" s="432">
        <f>COUNTIFS($A$145:$A$587,"&gt;31/7/2020",$A$145:$A$587,"&lt;1/9/2020",$C$145:$C$587,$I53)</f>
        <v/>
      </c>
      <c r="S53" s="432">
        <f>COUNTIFS($A$145:$A$587,"&gt;31/8/2020",$A$145:$A$587,"&lt;1/10/2020",$C$145:$C$587,$I53)</f>
        <v/>
      </c>
      <c r="T53" s="432">
        <f>COUNTIFS($A$145:$A$587,"&gt;30/9/2020",$A$145:$A$587,"&lt;1/11/2020",$C$145:$C$587,$I53)</f>
        <v/>
      </c>
      <c r="U53" s="432">
        <f>COUNTIFS($A$145:$A$587,"&gt;31/10/2020",$A$145:$A$587,"&lt;1/12/2020",$C$145:$C$587,$I53)</f>
        <v/>
      </c>
      <c r="V53" s="432">
        <f>COUNTIFS($A$145:$A$587,"&gt;30/11/2020",$A$145:$A$587,"&lt;1/1/2021",$C$145:$C$587,$I53)</f>
        <v/>
      </c>
      <c r="W53" s="431">
        <f>SUM(K53:V53)</f>
        <v/>
      </c>
      <c r="AD53" s="548" t="n">
        <v>43069</v>
      </c>
      <c r="AE53" s="1255" t="inlineStr">
        <is>
          <t>Hans Berg - ELS</t>
        </is>
      </c>
      <c r="AF53" s="1255" t="inlineStr">
        <is>
          <t>20171130-2</t>
        </is>
      </c>
      <c r="AG53" s="1282" t="inlineStr">
        <is>
          <t>149779</t>
        </is>
      </c>
      <c r="AH53" s="1385" t="n">
        <v>200</v>
      </c>
      <c r="AI53" s="1260" t="inlineStr">
        <is>
          <t>5wk Course</t>
        </is>
      </c>
    </row>
    <row r="54">
      <c r="I54" s="1333" t="inlineStr">
        <is>
          <t>5. Mentoring</t>
        </is>
      </c>
      <c r="J54" s="431" t="n"/>
      <c r="K54" s="432">
        <f>COUNTIFS($A$145:$A$587,"&gt;31/12/2019",$A$145:$A$587,"&lt;1/2/2020",$C$145:$C$587,I54)</f>
        <v/>
      </c>
      <c r="L54" s="432">
        <f>COUNTIFS($A$145:$A$587,"&gt;31/1/2020",$A$145:$A$587,"&lt;1/3/2020",$C$145:$C$587,$I54)</f>
        <v/>
      </c>
      <c r="M54" s="432">
        <f>COUNTIFS($A$145:$A$587,"&gt;29/2/2020",$A$145:$A$587,"&lt;1/4/2020",$C$145:$C$587,$I54)</f>
        <v/>
      </c>
      <c r="N54" s="432">
        <f>COUNTIFS($A$145:$A$587,"&gt;31/3/2020",$A$145:$A$587,"&lt;1/5/2020",$C$145:$C$587,$I54)</f>
        <v/>
      </c>
      <c r="O54" s="432">
        <f>COUNTIFS($A$145:$A$587,"&gt;30/4/2020",$A$145:$A$587,"&lt;1/6/2020",$C$145:$C$587,$I54)</f>
        <v/>
      </c>
      <c r="P54" s="432">
        <f>COUNTIFS($A$145:$A$587,"&gt;31/5/2020",$A$145:$A$587,"&lt;1/7/2020",$C$145:$C$587,$I54)</f>
        <v/>
      </c>
      <c r="Q54" s="432">
        <f>COUNTIFS($A$145:$A$587,"&gt;30/6/2020",$A$145:$A$587,"&lt;1/8/2020",$C$145:$C$587,$I54)</f>
        <v/>
      </c>
      <c r="R54" s="432">
        <f>COUNTIFS($A$145:$A$587,"&gt;31/7/2020",$A$145:$A$587,"&lt;1/9/2020",$C$145:$C$587,$I54)</f>
        <v/>
      </c>
      <c r="S54" s="432">
        <f>COUNTIFS($A$145:$A$587,"&gt;31/8/2020",$A$145:$A$587,"&lt;1/10/2020",$C$145:$C$587,$I54)</f>
        <v/>
      </c>
      <c r="T54" s="432">
        <f>COUNTIFS($A$145:$A$587,"&gt;30/9/2020",$A$145:$A$587,"&lt;1/11/2020",$C$145:$C$587,$I54)</f>
        <v/>
      </c>
      <c r="U54" s="432">
        <f>COUNTIFS($A$145:$A$587,"&gt;31/10/2020",$A$145:$A$587,"&lt;1/12/2020",$C$145:$C$587,$I54)</f>
        <v/>
      </c>
      <c r="V54" s="432">
        <f>COUNTIFS($A$145:$A$587,"&gt;30/11/2020",$A$145:$A$587,"&lt;1/1/2021",$C$145:$C$587,$I54)</f>
        <v/>
      </c>
      <c r="W54" s="431">
        <f>SUM(K54:V54)</f>
        <v/>
      </c>
      <c r="AD54" s="470" t="n">
        <v>43081</v>
      </c>
      <c r="AE54" s="1255" t="inlineStr">
        <is>
          <t>Scott Bremner</t>
        </is>
      </c>
      <c r="AF54" s="1260" t="inlineStr">
        <is>
          <t>20171212-1</t>
        </is>
      </c>
      <c r="AG54" s="1282" t="inlineStr">
        <is>
          <t>153282</t>
        </is>
      </c>
      <c r="AH54" s="1385" t="n">
        <v>200</v>
      </c>
      <c r="AI54" s="1274" t="inlineStr">
        <is>
          <t>LR Course</t>
        </is>
      </c>
    </row>
    <row r="55">
      <c r="I55" s="1334" t="inlineStr">
        <is>
          <t>6. 1-2-1</t>
        </is>
      </c>
      <c r="J55" s="431" t="n"/>
      <c r="K55" s="432">
        <f>COUNTIFS($A$145:$A$587,"&gt;31/12/2019",$A$145:$A$587,"&lt;1/2/2020",$C$145:$C$587,I55)</f>
        <v/>
      </c>
      <c r="L55" s="432">
        <f>COUNTIFS($A$145:$A$587,"&gt;31/1/2020",$A$145:$A$587,"&lt;1/3/2020",$C$145:$C$587,$I55)</f>
        <v/>
      </c>
      <c r="M55" s="432">
        <f>COUNTIFS($A$145:$A$587,"&gt;29/2/2020",$A$145:$A$587,"&lt;1/4/2020",$C$145:$C$587,$I55)</f>
        <v/>
      </c>
      <c r="N55" s="432">
        <f>COUNTIFS($A$145:$A$587,"&gt;31/3/2020",$A$145:$A$587,"&lt;1/5/2020",$C$145:$C$587,$I55)</f>
        <v/>
      </c>
      <c r="O55" s="432">
        <f>COUNTIFS($A$145:$A$587,"&gt;30/4/2020",$A$145:$A$587,"&lt;1/6/2020",$C$145:$C$587,$I55)</f>
        <v/>
      </c>
      <c r="P55" s="432">
        <f>COUNTIFS($A$145:$A$587,"&gt;31/5/2020",$A$145:$A$587,"&lt;1/7/2020",$C$145:$C$587,$I55)</f>
        <v/>
      </c>
      <c r="Q55" s="432">
        <f>COUNTIFS($A$145:$A$587,"&gt;30/6/2020",$A$145:$A$587,"&lt;1/8/2020",$C$145:$C$587,$I55)</f>
        <v/>
      </c>
      <c r="R55" s="432">
        <f>COUNTIFS($A$145:$A$587,"&gt;31/7/2020",$A$145:$A$587,"&lt;1/9/2020",$C$145:$C$587,$I55)</f>
        <v/>
      </c>
      <c r="S55" s="432">
        <f>COUNTIFS($A$145:$A$587,"&gt;31/8/2020",$A$145:$A$587,"&lt;1/10/2020",$C$145:$C$587,$I55)</f>
        <v/>
      </c>
      <c r="T55" s="432">
        <f>COUNTIFS($A$145:$A$587,"&gt;30/9/2020",$A$145:$A$587,"&lt;1/11/2020",$C$145:$C$587,$I55)</f>
        <v/>
      </c>
      <c r="U55" s="432">
        <f>COUNTIFS($A$145:$A$587,"&gt;31/10/2020",$A$145:$A$587,"&lt;1/12/2020",$C$145:$C$587,$I55)</f>
        <v/>
      </c>
      <c r="V55" s="432">
        <f>COUNTIFS($A$145:$A$587,"&gt;30/11/2020",$A$145:$A$587,"&lt;1/1/2021",$C$145:$C$587,$I55)</f>
        <v/>
      </c>
      <c r="W55" s="431">
        <f>SUM(K55:V55)</f>
        <v/>
      </c>
      <c r="AD55" s="470" t="n">
        <v>43090</v>
      </c>
      <c r="AE55" s="1260" t="inlineStr">
        <is>
          <t>Andrew D'Amico</t>
        </is>
      </c>
      <c r="AF55" s="1260" t="inlineStr">
        <is>
          <t>20171221-1</t>
        </is>
      </c>
      <c r="AG55" s="1282" t="inlineStr">
        <is>
          <t>153429</t>
        </is>
      </c>
      <c r="AH55" s="1385" t="n">
        <v>50</v>
      </c>
      <c r="AI55" s="1274" t="inlineStr">
        <is>
          <t>TBA</t>
        </is>
      </c>
    </row>
    <row r="56">
      <c r="I56" s="1334" t="inlineStr">
        <is>
          <t>7. Gift Vouchers Inc</t>
        </is>
      </c>
      <c r="J56" s="431" t="n"/>
      <c r="K56" s="432">
        <f>COUNTIFS($A$145:$A$587,"&gt;31/12/2019",$A$145:$A$587,"&lt;1/2/2020",$C$145:$C$587,I56)</f>
        <v/>
      </c>
      <c r="L56" s="432">
        <f>COUNTIFS($A$145:$A$587,"&gt;31/1/2020",$A$145:$A$587,"&lt;1/3/2020",$C$145:$C$587,$I56)</f>
        <v/>
      </c>
      <c r="M56" s="432">
        <f>COUNTIFS($A$145:$A$587,"&gt;29/2/2020",$A$145:$A$587,"&lt;1/4/2020",$C$145:$C$587,$I56)</f>
        <v/>
      </c>
      <c r="N56" s="432">
        <f>COUNTIFS($A$145:$A$587,"&gt;31/3/2020",$A$145:$A$587,"&lt;1/5/2020",$C$145:$C$587,$I56)</f>
        <v/>
      </c>
      <c r="O56" s="432">
        <f>COUNTIFS($A$145:$A$587,"&gt;30/4/2020",$A$145:$A$587,"&lt;1/6/2020",$C$145:$C$587,$I56)</f>
        <v/>
      </c>
      <c r="P56" s="432">
        <f>COUNTIFS($A$145:$A$587,"&gt;31/5/2020",$A$145:$A$587,"&lt;1/7/2020",$C$145:$C$587,$I56)</f>
        <v/>
      </c>
      <c r="Q56" s="432">
        <f>COUNTIFS($A$145:$A$587,"&gt;30/6/2020",$A$145:$A$587,"&lt;1/8/2020",$C$145:$C$587,$I56)</f>
        <v/>
      </c>
      <c r="R56" s="432">
        <f>COUNTIFS($A$145:$A$587,"&gt;31/7/2020",$A$145:$A$587,"&lt;1/9/2020",$C$145:$C$587,$I56)</f>
        <v/>
      </c>
      <c r="S56" s="432">
        <f>COUNTIFS($A$145:$A$587,"&gt;31/8/2020",$A$145:$A$587,"&lt;1/10/2020",$C$145:$C$587,$I56)</f>
        <v/>
      </c>
      <c r="T56" s="432">
        <f>COUNTIFS($A$145:$A$587,"&gt;30/9/2020",$A$145:$A$587,"&lt;1/11/2020",$C$145:$C$587,$I56)</f>
        <v/>
      </c>
      <c r="U56" s="432">
        <f>COUNTIFS($A$145:$A$587,"&gt;31/10/2020",$A$145:$A$587,"&lt;1/12/2020",$C$145:$C$587,$I56)</f>
        <v/>
      </c>
      <c r="V56" s="432">
        <f>COUNTIFS($A$145:$A$587,"&gt;30/11/2020",$A$145:$A$587,"&lt;1/1/2021",$C$145:$C$587,$I56)</f>
        <v/>
      </c>
      <c r="W56" s="431">
        <f>SUM(K56:V56)</f>
        <v/>
      </c>
      <c r="AD56" s="470" t="n"/>
      <c r="AE56" s="1260" t="n"/>
      <c r="AF56" s="1260" t="n"/>
      <c r="AG56" s="1282" t="n"/>
      <c r="AH56" s="1385" t="n"/>
      <c r="AI56" s="1274" t="n"/>
    </row>
    <row r="57">
      <c r="I57" s="1334" t="inlineStr">
        <is>
          <t>8. Gift Vouchers Out</t>
        </is>
      </c>
      <c r="J57" s="431" t="n"/>
      <c r="K57" s="432">
        <f>COUNTIFS($A$145:$A$587,"&gt;31/12/2019",$A$145:$A$587,"&lt;1/2/2020",$C$145:$C$587,I57)</f>
        <v/>
      </c>
      <c r="L57" s="432">
        <f>COUNTIFS($A$145:$A$587,"&gt;31/1/2020",$A$145:$A$587,"&lt;1/3/2020",$C$145:$C$587,$I57)</f>
        <v/>
      </c>
      <c r="M57" s="432">
        <f>COUNTIFS($A$145:$A$587,"&gt;29/2/2020",$A$145:$A$587,"&lt;1/4/2020",$C$145:$C$587,$I57)</f>
        <v/>
      </c>
      <c r="N57" s="432">
        <f>COUNTIFS($A$145:$A$587,"&gt;31/3/2020",$A$145:$A$587,"&lt;1/5/2020",$C$145:$C$587,$I57)</f>
        <v/>
      </c>
      <c r="O57" s="432">
        <f>COUNTIFS($A$145:$A$587,"&gt;30/4/2020",$A$145:$A$587,"&lt;1/6/2020",$C$145:$C$587,$I57)</f>
        <v/>
      </c>
      <c r="P57" s="432">
        <f>COUNTIFS($A$145:$A$587,"&gt;31/5/2020",$A$145:$A$587,"&lt;1/7/2020",$C$145:$C$587,$I57)</f>
        <v/>
      </c>
      <c r="Q57" s="432">
        <f>COUNTIFS($A$145:$A$587,"&gt;30/6/2020",$A$145:$A$587,"&lt;1/8/2020",$C$145:$C$587,$I57)</f>
        <v/>
      </c>
      <c r="R57" s="432">
        <f>COUNTIFS($A$145:$A$587,"&gt;31/7/2020",$A$145:$A$587,"&lt;1/9/2020",$C$145:$C$587,$I57)</f>
        <v/>
      </c>
      <c r="S57" s="432">
        <f>COUNTIFS($A$145:$A$587,"&gt;31/8/2020",$A$145:$A$587,"&lt;1/10/2020",$C$145:$C$587,$I57)</f>
        <v/>
      </c>
      <c r="T57" s="432">
        <f>COUNTIFS($A$145:$A$587,"&gt;30/9/2020",$A$145:$A$587,"&lt;1/11/2020",$C$145:$C$587,$I57)</f>
        <v/>
      </c>
      <c r="U57" s="432">
        <f>COUNTIFS($A$145:$A$587,"&gt;31/10/2020",$A$145:$A$587,"&lt;1/12/2020",$C$145:$C$587,$I57)</f>
        <v/>
      </c>
      <c r="V57" s="432">
        <f>COUNTIFS($A$145:$A$587,"&gt;30/11/2020",$A$145:$A$587,"&lt;1/1/2021",$C$145:$C$587,$I57)</f>
        <v/>
      </c>
      <c r="W57" s="431">
        <f>SUM(K57:V57)</f>
        <v/>
      </c>
      <c r="AD57" s="470" t="n"/>
      <c r="AE57" s="1260" t="n"/>
      <c r="AF57" s="1260" t="n"/>
      <c r="AG57" s="1282" t="n"/>
      <c r="AH57" s="1385" t="n"/>
      <c r="AI57" s="1274" t="n"/>
    </row>
    <row r="58">
      <c r="I58" s="1334" t="inlineStr">
        <is>
          <t>9. Prints &amp; Royalties</t>
        </is>
      </c>
      <c r="J58" s="431" t="n"/>
      <c r="K58" s="432">
        <f>COUNTIFS($A$145:$A$587,"&gt;31/12/2019",$A$145:$A$587,"&lt;1/2/2020",$C$145:$C$587,I58)</f>
        <v/>
      </c>
      <c r="L58" s="432">
        <f>COUNTIFS($A$145:$A$587,"&gt;31/1/2020",$A$145:$A$587,"&lt;1/3/2020",$C$145:$C$587,$I58)</f>
        <v/>
      </c>
      <c r="M58" s="432">
        <f>COUNTIFS($A$145:$A$587,"&gt;29/2/2020",$A$145:$A$587,"&lt;1/4/2020",$C$145:$C$587,$I58)</f>
        <v/>
      </c>
      <c r="N58" s="432">
        <f>COUNTIFS($A$145:$A$587,"&gt;31/3/2020",$A$145:$A$587,"&lt;1/5/2020",$C$145:$C$587,$I58)</f>
        <v/>
      </c>
      <c r="O58" s="432">
        <f>COUNTIFS($A$145:$A$587,"&gt;30/4/2020",$A$145:$A$587,"&lt;1/6/2020",$C$145:$C$587,$I58)</f>
        <v/>
      </c>
      <c r="P58" s="432">
        <f>COUNTIFS($A$145:$A$587,"&gt;31/5/2020",$A$145:$A$587,"&lt;1/7/2020",$C$145:$C$587,$I58)</f>
        <v/>
      </c>
      <c r="Q58" s="432">
        <f>COUNTIFS($A$145:$A$587,"&gt;30/6/2020",$A$145:$A$587,"&lt;1/8/2020",$C$145:$C$587,$I58)</f>
        <v/>
      </c>
      <c r="R58" s="432">
        <f>COUNTIFS($A$145:$A$587,"&gt;31/7/2020",$A$145:$A$587,"&lt;1/9/2020",$C$145:$C$587,$I58)</f>
        <v/>
      </c>
      <c r="S58" s="432">
        <f>COUNTIFS($A$145:$A$587,"&gt;31/8/2020",$A$145:$A$587,"&lt;1/10/2020",$C$145:$C$587,$I58)</f>
        <v/>
      </c>
      <c r="T58" s="432">
        <f>COUNTIFS($A$145:$A$587,"&gt;30/9/2020",$A$145:$A$587,"&lt;1/11/2020",$C$145:$C$587,$I58)</f>
        <v/>
      </c>
      <c r="U58" s="432">
        <f>COUNTIFS($A$145:$A$587,"&gt;31/10/2020",$A$145:$A$587,"&lt;1/12/2020",$C$145:$C$587,$I58)</f>
        <v/>
      </c>
      <c r="V58" s="432">
        <f>COUNTIFS($A$145:$A$587,"&gt;30/11/2020",$A$145:$A$587,"&lt;1/1/2021",$C$145:$C$587,$I58)</f>
        <v/>
      </c>
      <c r="W58" s="431">
        <f>SUM(K58:V58)</f>
        <v/>
      </c>
      <c r="AD58" s="470" t="n"/>
      <c r="AE58" s="1260" t="n"/>
      <c r="AF58" s="1260" t="n"/>
      <c r="AG58" s="1282" t="n"/>
      <c r="AH58" s="1385" t="n"/>
      <c r="AI58" s="1274" t="n"/>
    </row>
    <row r="59">
      <c r="I59" s="1334" t="inlineStr">
        <is>
          <t>10 Commissions</t>
        </is>
      </c>
      <c r="J59" s="431" t="n"/>
      <c r="K59" s="432">
        <f>COUNTIFS($A$145:$A$587,"&gt;31/12/2019",$A$145:$A$587,"&lt;1/2/2020",$C$145:$C$587,I59)</f>
        <v/>
      </c>
      <c r="L59" s="432">
        <f>COUNTIFS($A$145:$A$587,"&gt;31/1/2020",$A$145:$A$587,"&lt;1/3/2020",$C$145:$C$587,$I59)</f>
        <v/>
      </c>
      <c r="M59" s="432">
        <f>COUNTIFS($A$145:$A$587,"&gt;29/2/2020",$A$145:$A$587,"&lt;1/4/2020",$C$145:$C$587,$I59)</f>
        <v/>
      </c>
      <c r="N59" s="432">
        <f>COUNTIFS($A$145:$A$587,"&gt;31/3/2020",$A$145:$A$587,"&lt;1/5/2020",$C$145:$C$587,$I59)</f>
        <v/>
      </c>
      <c r="O59" s="432">
        <f>COUNTIFS($A$145:$A$587,"&gt;30/4/2020",$A$145:$A$587,"&lt;1/6/2020",$C$145:$C$587,$I59)</f>
        <v/>
      </c>
      <c r="P59" s="432">
        <f>COUNTIFS($A$145:$A$587,"&gt;31/5/2020",$A$145:$A$587,"&lt;1/7/2020",$C$145:$C$587,$I59)</f>
        <v/>
      </c>
      <c r="Q59" s="432">
        <f>COUNTIFS($A$145:$A$587,"&gt;30/6/2020",$A$145:$A$587,"&lt;1/8/2020",$C$145:$C$587,$I59)</f>
        <v/>
      </c>
      <c r="R59" s="432">
        <f>COUNTIFS($A$145:$A$587,"&gt;31/7/2020",$A$145:$A$587,"&lt;1/9/2020",$C$145:$C$587,$I59)</f>
        <v/>
      </c>
      <c r="S59" s="432">
        <f>COUNTIFS($A$145:$A$587,"&gt;31/8/2020",$A$145:$A$587,"&lt;1/10/2020",$C$145:$C$587,$I59)</f>
        <v/>
      </c>
      <c r="T59" s="432">
        <f>COUNTIFS($A$145:$A$587,"&gt;30/9/2020",$A$145:$A$587,"&lt;1/11/2020",$C$145:$C$587,$I59)</f>
        <v/>
      </c>
      <c r="U59" s="432">
        <f>COUNTIFS($A$145:$A$587,"&gt;31/10/2020",$A$145:$A$587,"&lt;1/12/2020",$C$145:$C$587,$I59)</f>
        <v/>
      </c>
      <c r="V59" s="432">
        <f>COUNTIFS($A$145:$A$587,"&gt;30/11/2020",$A$145:$A$587,"&lt;1/1/2021",$C$145:$C$587,$I59)</f>
        <v/>
      </c>
      <c r="W59" s="431">
        <f>SUM(K59:V59)</f>
        <v/>
      </c>
      <c r="AD59" s="470" t="n"/>
      <c r="AE59" s="1260" t="n"/>
      <c r="AF59" s="1260" t="n"/>
      <c r="AG59" s="1282" t="n"/>
      <c r="AH59" s="1385" t="n"/>
      <c r="AI59" s="1274" t="n"/>
    </row>
    <row r="60">
      <c r="I60" s="1334" t="inlineStr">
        <is>
          <t>11. Other</t>
        </is>
      </c>
      <c r="J60" s="431" t="n"/>
      <c r="K60" s="432">
        <f>COUNTIFS($A$145:$A$587,"&gt;31/12/2019",$A$145:$A$587,"&lt;1/2/2020",$C$145:$C$587,I60)</f>
        <v/>
      </c>
      <c r="L60" s="432">
        <f>COUNTIFS($A$145:$A$587,"&gt;31/1/2020",$A$145:$A$587,"&lt;1/3/2020",$C$145:$C$587,$I60)</f>
        <v/>
      </c>
      <c r="M60" s="432">
        <f>COUNTIFS($A$145:$A$587,"&gt;29/2/2020",$A$145:$A$587,"&lt;1/4/2020",$C$145:$C$587,$I60)</f>
        <v/>
      </c>
      <c r="N60" s="432">
        <f>COUNTIFS($A$145:$A$587,"&gt;31/3/2020",$A$145:$A$587,"&lt;1/5/2020",$C$145:$C$587,$I60)</f>
        <v/>
      </c>
      <c r="O60" s="432">
        <f>COUNTIFS($A$145:$A$587,"&gt;30/4/2020",$A$145:$A$587,"&lt;1/6/2020",$C$145:$C$587,$I60)</f>
        <v/>
      </c>
      <c r="P60" s="432">
        <f>COUNTIFS($A$145:$A$587,"&gt;31/5/2020",$A$145:$A$587,"&lt;1/7/2020",$C$145:$C$587,$I60)</f>
        <v/>
      </c>
      <c r="Q60" s="432">
        <f>COUNTIFS($A$145:$A$587,"&gt;30/6/2020",$A$145:$A$587,"&lt;1/8/2020",$C$145:$C$587,$I60)</f>
        <v/>
      </c>
      <c r="R60" s="432">
        <f>COUNTIFS($A$145:$A$587,"&gt;31/7/2020",$A$145:$A$587,"&lt;1/9/2020",$C$145:$C$587,$I60)</f>
        <v/>
      </c>
      <c r="S60" s="432">
        <f>COUNTIFS($A$145:$A$587,"&gt;31/8/2020",$A$145:$A$587,"&lt;1/10/2020",$C$145:$C$587,$I60)</f>
        <v/>
      </c>
      <c r="T60" s="432">
        <f>COUNTIFS($A$145:$A$587,"&gt;30/9/2020",$A$145:$A$587,"&lt;1/11/2020",$C$145:$C$587,$I60)</f>
        <v/>
      </c>
      <c r="U60" s="432">
        <f>COUNTIFS($A$145:$A$587,"&gt;31/10/2020",$A$145:$A$587,"&lt;1/12/2020",$C$145:$C$587,$I60)</f>
        <v/>
      </c>
      <c r="V60" s="432">
        <f>COUNTIFS($A$145:$A$587,"&gt;30/11/2020",$A$145:$A$587,"&lt;1/1/2021",$C$145:$C$587,$I60)</f>
        <v/>
      </c>
      <c r="W60" s="431">
        <f>SUM(K60:V60)</f>
        <v/>
      </c>
      <c r="AD60" s="470" t="n">
        <v>43091</v>
      </c>
      <c r="AE60" s="1260" t="inlineStr">
        <is>
          <t>Ian Blake</t>
        </is>
      </c>
      <c r="AF60" s="1260" t="inlineStr">
        <is>
          <t>20171222-1</t>
        </is>
      </c>
      <c r="AG60" s="1282" t="inlineStr">
        <is>
          <t>153440</t>
        </is>
      </c>
      <c r="AH60" s="1385" t="n">
        <v>200</v>
      </c>
      <c r="AI60" s="1274" t="inlineStr">
        <is>
          <t>Suffolk</t>
        </is>
      </c>
    </row>
    <row r="61" ht="13.5" customHeight="1" s="1232" thickBot="1">
      <c r="I61" s="1339" t="inlineStr">
        <is>
          <t>Totals</t>
        </is>
      </c>
      <c r="J61" s="829" t="n"/>
      <c r="K61" s="830">
        <f>SUM(K50:K60)</f>
        <v/>
      </c>
      <c r="L61" s="830">
        <f>SUM(L50:L60)</f>
        <v/>
      </c>
      <c r="M61" s="830">
        <f>SUM(M50:M60)</f>
        <v/>
      </c>
      <c r="N61" s="830">
        <f>SUM(N50:N60)</f>
        <v/>
      </c>
      <c r="O61" s="830">
        <f>SUM(O50:O60)</f>
        <v/>
      </c>
      <c r="P61" s="830">
        <f>SUM(P50:P60)</f>
        <v/>
      </c>
      <c r="Q61" s="830">
        <f>SUM(Q50:Q60)</f>
        <v/>
      </c>
      <c r="R61" s="830">
        <f>SUM(R50:R60)</f>
        <v/>
      </c>
      <c r="S61" s="830">
        <f>SUM(S50:S60)</f>
        <v/>
      </c>
      <c r="T61" s="830">
        <f>SUM(T50:T60)</f>
        <v/>
      </c>
      <c r="U61" s="830">
        <f>SUM(U50:U60)</f>
        <v/>
      </c>
      <c r="V61" s="830">
        <f>SUM(V50:V60)</f>
        <v/>
      </c>
      <c r="W61" s="829">
        <f>SUM(W50:W60)</f>
        <v/>
      </c>
      <c r="AD61" s="470" t="n">
        <v>43109</v>
      </c>
      <c r="AE61" s="1255" t="inlineStr">
        <is>
          <t>Iain Williams</t>
        </is>
      </c>
      <c r="AF61" s="1260" t="inlineStr">
        <is>
          <t>20180109-1</t>
        </is>
      </c>
      <c r="AG61" s="1282" t="inlineStr">
        <is>
          <t>153582</t>
        </is>
      </c>
      <c r="AH61" s="1385" t="n">
        <v>200</v>
      </c>
      <c r="AI61" s="1274" t="inlineStr">
        <is>
          <t>5wk Course</t>
        </is>
      </c>
    </row>
    <row r="62" ht="13.15" customHeight="1" s="1232" thickTop="1">
      <c r="AD62" s="470" t="n">
        <v>43116</v>
      </c>
      <c r="AE62" s="1255" t="inlineStr">
        <is>
          <t>Melissa Dickinson</t>
        </is>
      </c>
      <c r="AF62" s="1260" t="inlineStr">
        <is>
          <t>20180116-1</t>
        </is>
      </c>
      <c r="AG62" s="1282" t="inlineStr">
        <is>
          <t>153774</t>
        </is>
      </c>
      <c r="AH62" s="1385" t="n">
        <v>200</v>
      </c>
      <c r="AI62" s="1274" t="inlineStr">
        <is>
          <t>5wk Course</t>
        </is>
      </c>
    </row>
    <row r="63" ht="13.15" customHeight="1" s="1232">
      <c r="I63" s="1336" t="inlineStr">
        <is>
          <t>Tuition Categories</t>
        </is>
      </c>
      <c r="J63" s="1330" t="inlineStr">
        <is>
          <t>Avg PPU</t>
        </is>
      </c>
      <c r="K63" s="1332" t="inlineStr">
        <is>
          <t>Jan</t>
        </is>
      </c>
      <c r="L63" s="1332" t="inlineStr">
        <is>
          <t>Feb</t>
        </is>
      </c>
      <c r="M63" s="1332" t="inlineStr">
        <is>
          <t>Mar</t>
        </is>
      </c>
      <c r="N63" s="1332" t="inlineStr">
        <is>
          <t>Apr</t>
        </is>
      </c>
      <c r="O63" s="1332" t="inlineStr">
        <is>
          <t>May</t>
        </is>
      </c>
      <c r="P63" s="1332" t="inlineStr">
        <is>
          <t>Jun</t>
        </is>
      </c>
      <c r="Q63" s="1332" t="inlineStr">
        <is>
          <t>Jul</t>
        </is>
      </c>
      <c r="R63" s="1332" t="inlineStr">
        <is>
          <t>Aug</t>
        </is>
      </c>
      <c r="S63" s="1332" t="inlineStr">
        <is>
          <t>Sep</t>
        </is>
      </c>
      <c r="T63" s="1332" t="inlineStr">
        <is>
          <t>Oct</t>
        </is>
      </c>
      <c r="U63" s="1332" t="inlineStr">
        <is>
          <t>Nov</t>
        </is>
      </c>
      <c r="V63" s="1332" t="inlineStr">
        <is>
          <t>Dec</t>
        </is>
      </c>
      <c r="W63" s="1332" t="inlineStr">
        <is>
          <t>Year</t>
        </is>
      </c>
      <c r="AD63" s="470" t="n">
        <v>43129</v>
      </c>
      <c r="AE63" s="1260" t="inlineStr">
        <is>
          <t>Paul Gardiner</t>
        </is>
      </c>
      <c r="AF63" s="1260" t="inlineStr">
        <is>
          <t>201/0129-1</t>
        </is>
      </c>
      <c r="AG63" s="1282" t="inlineStr">
        <is>
          <t>CN</t>
        </is>
      </c>
      <c r="AH63" s="1390" t="n">
        <v>-159</v>
      </c>
      <c r="AI63" s="1373" t="n"/>
    </row>
    <row r="64">
      <c r="I64" s="1333" t="inlineStr">
        <is>
          <t>1. Courses/masterclasses</t>
        </is>
      </c>
      <c r="J64" s="431" t="n"/>
      <c r="K64" s="432">
        <f>IFERROR(K5/K50,0)</f>
        <v/>
      </c>
      <c r="L64" s="432">
        <f>IFERROR(L5/L50,0)</f>
        <v/>
      </c>
      <c r="M64" s="432">
        <f>IFERROR(M5/M50,0)</f>
        <v/>
      </c>
      <c r="N64" s="432">
        <f>IFERROR(N5/N50,0)</f>
        <v/>
      </c>
      <c r="O64" s="432">
        <f>IFERROR(O5/O50,0)</f>
        <v/>
      </c>
      <c r="P64" s="432">
        <f>IFERROR(P5/P50,0)</f>
        <v/>
      </c>
      <c r="Q64" s="432">
        <f>IFERROR(Q5/Q50,0)</f>
        <v/>
      </c>
      <c r="R64" s="432">
        <f>IFERROR(R5/R50,0)</f>
        <v/>
      </c>
      <c r="S64" s="432">
        <f>IFERROR(S5/S50,0)</f>
        <v/>
      </c>
      <c r="T64" s="432">
        <f>IFERROR(T5/T50,0)</f>
        <v/>
      </c>
      <c r="U64" s="432">
        <f>IFERROR(U5/U50,0)</f>
        <v/>
      </c>
      <c r="V64" s="432">
        <f>IFERROR(V5/V50,0)</f>
        <v/>
      </c>
      <c r="W64" s="431">
        <f>IFERROR(W5/W50,0)</f>
        <v/>
      </c>
      <c r="AD64" s="470" t="n">
        <v>43140</v>
      </c>
      <c r="AE64" s="1260" t="inlineStr">
        <is>
          <t>Daniel Thomas</t>
        </is>
      </c>
      <c r="AF64" s="1255" t="inlineStr">
        <is>
          <t>20180209-1</t>
        </is>
      </c>
      <c r="AG64" s="1282" t="inlineStr">
        <is>
          <t>154267</t>
        </is>
      </c>
      <c r="AH64" s="1385" t="n">
        <v>200</v>
      </c>
      <c r="AI64" s="1260" t="inlineStr">
        <is>
          <t>LR Course</t>
        </is>
      </c>
    </row>
    <row r="65">
      <c r="I65" s="1333" t="inlineStr">
        <is>
          <t>2. Workshops</t>
        </is>
      </c>
      <c r="J65" s="431" t="n"/>
      <c r="K65" s="432">
        <f>IFERROR(K6/K51,0)</f>
        <v/>
      </c>
      <c r="L65" s="432">
        <f>IFERROR(L6/L51,0)</f>
        <v/>
      </c>
      <c r="M65" s="432">
        <f>IFERROR(M6/M51,0)</f>
        <v/>
      </c>
      <c r="N65" s="432">
        <f>IFERROR(N6/N51,0)</f>
        <v/>
      </c>
      <c r="O65" s="432">
        <f>IFERROR(O6/O51,0)</f>
        <v/>
      </c>
      <c r="P65" s="432">
        <f>IFERROR(P6/P51,0)</f>
        <v/>
      </c>
      <c r="Q65" s="432">
        <f>IFERROR(Q6/Q51,0)</f>
        <v/>
      </c>
      <c r="R65" s="432">
        <f>IFERROR(R6/R51,0)</f>
        <v/>
      </c>
      <c r="S65" s="432">
        <f>IFERROR(S6/S51,0)</f>
        <v/>
      </c>
      <c r="T65" s="432">
        <f>IFERROR(T6/T51,0)</f>
        <v/>
      </c>
      <c r="U65" s="432">
        <f>IFERROR(U6/U51,0)</f>
        <v/>
      </c>
      <c r="V65" s="432">
        <f>IFERROR(V6/V51,0)</f>
        <v/>
      </c>
      <c r="W65" s="431">
        <f>IFERROR(W6/W51,0)</f>
        <v/>
      </c>
      <c r="AD65" s="470" t="n">
        <v>43144</v>
      </c>
      <c r="AE65" s="1255" t="inlineStr">
        <is>
          <t>Aidan Broderick</t>
        </is>
      </c>
      <c r="AF65" s="1255" t="inlineStr">
        <is>
          <t>20180213-1</t>
        </is>
      </c>
      <c r="AG65" s="1282" t="inlineStr">
        <is>
          <t>154338</t>
        </is>
      </c>
      <c r="AH65" s="1385" t="n">
        <v>200</v>
      </c>
      <c r="AI65" s="1260" t="inlineStr">
        <is>
          <t>LR Course</t>
        </is>
      </c>
    </row>
    <row r="66">
      <c r="I66" s="1333" t="inlineStr">
        <is>
          <t>3. Pick n Mix Inc</t>
        </is>
      </c>
      <c r="J66" s="431" t="n"/>
      <c r="K66" s="432">
        <f>IFERROR(K7/K52,0)</f>
        <v/>
      </c>
      <c r="L66" s="432">
        <f>IFERROR(L7/L52,0)</f>
        <v/>
      </c>
      <c r="M66" s="432">
        <f>IFERROR(M7/M52,0)</f>
        <v/>
      </c>
      <c r="N66" s="432">
        <f>IFERROR(N7/N52,0)</f>
        <v/>
      </c>
      <c r="O66" s="432">
        <f>IFERROR(O7/O52,0)</f>
        <v/>
      </c>
      <c r="P66" s="432">
        <f>IFERROR(P7/P52,0)</f>
        <v/>
      </c>
      <c r="Q66" s="432">
        <f>IFERROR(Q7/Q52,0)</f>
        <v/>
      </c>
      <c r="R66" s="432">
        <f>IFERROR(R7/R52,0)</f>
        <v/>
      </c>
      <c r="S66" s="432">
        <f>IFERROR(S7/S52,0)</f>
        <v/>
      </c>
      <c r="T66" s="432">
        <f>IFERROR(T7/T52,0)</f>
        <v/>
      </c>
      <c r="U66" s="432">
        <f>IFERROR(U7/U52,0)</f>
        <v/>
      </c>
      <c r="V66" s="432">
        <f>IFERROR(V7/V52,0)</f>
        <v/>
      </c>
      <c r="W66" s="431">
        <f>IFERROR(W7/W52,0)</f>
        <v/>
      </c>
      <c r="AD66" s="470" t="n">
        <v>43144</v>
      </c>
      <c r="AE66" s="1255" t="inlineStr">
        <is>
          <t>Sayed Nazir</t>
        </is>
      </c>
      <c r="AF66" s="1260" t="inlineStr">
        <is>
          <t>20180213-2</t>
        </is>
      </c>
      <c r="AG66" s="1282" t="inlineStr">
        <is>
          <t>154336</t>
        </is>
      </c>
      <c r="AH66" s="1385" t="n">
        <v>200</v>
      </c>
      <c r="AI66" s="1260" t="inlineStr">
        <is>
          <t>LR Course</t>
        </is>
      </c>
    </row>
    <row r="67">
      <c r="I67" s="1333" t="inlineStr">
        <is>
          <t>4. Pick n Mix Out</t>
        </is>
      </c>
      <c r="J67" s="431" t="n"/>
      <c r="K67" s="432">
        <f>IFERROR(K8/K53,0)</f>
        <v/>
      </c>
      <c r="L67" s="432">
        <f>IFERROR(L8/L53,0)</f>
        <v/>
      </c>
      <c r="M67" s="432">
        <f>IFERROR(M8/M53,0)</f>
        <v/>
      </c>
      <c r="N67" s="432">
        <f>IFERROR(N8/N53,0)</f>
        <v/>
      </c>
      <c r="O67" s="432">
        <f>IFERROR(O8/O53,0)</f>
        <v/>
      </c>
      <c r="P67" s="432">
        <f>IFERROR(P8/P53,0)</f>
        <v/>
      </c>
      <c r="Q67" s="432">
        <f>IFERROR(Q8/Q53,0)</f>
        <v/>
      </c>
      <c r="R67" s="432">
        <f>IFERROR(R8/R53,0)</f>
        <v/>
      </c>
      <c r="S67" s="432">
        <f>IFERROR(S8/S53,0)</f>
        <v/>
      </c>
      <c r="T67" s="432">
        <f>IFERROR(T8/T53,0)</f>
        <v/>
      </c>
      <c r="U67" s="432">
        <f>IFERROR(U8/U53,0)</f>
        <v/>
      </c>
      <c r="V67" s="432">
        <f>IFERROR(V8/V53,0)</f>
        <v/>
      </c>
      <c r="W67" s="431">
        <f>IFERROR(W8/W53,0)</f>
        <v/>
      </c>
      <c r="AD67" s="470" t="n">
        <v>43145</v>
      </c>
      <c r="AE67" s="1255" t="inlineStr">
        <is>
          <t>Ganesh Palani - ELS</t>
        </is>
      </c>
      <c r="AF67" s="1260" t="inlineStr">
        <is>
          <t>20180214-1</t>
        </is>
      </c>
      <c r="AG67" s="1282" t="inlineStr">
        <is>
          <t>154374</t>
        </is>
      </c>
      <c r="AH67" s="1385" t="n">
        <v>200</v>
      </c>
      <c r="AI67" s="1260" t="inlineStr">
        <is>
          <t>5wk Course</t>
        </is>
      </c>
    </row>
    <row r="68">
      <c r="I68" s="1333" t="inlineStr">
        <is>
          <t>5. Mentoring</t>
        </is>
      </c>
      <c r="J68" s="431" t="n"/>
      <c r="K68" s="432">
        <f>IFERROR(K9/K54,0)</f>
        <v/>
      </c>
      <c r="L68" s="432">
        <f>IFERROR(L9/L54,0)</f>
        <v/>
      </c>
      <c r="M68" s="432">
        <f>IFERROR(M9/M54,0)</f>
        <v/>
      </c>
      <c r="N68" s="432">
        <f>IFERROR(N9/N54,0)</f>
        <v/>
      </c>
      <c r="O68" s="432">
        <f>IFERROR(O9/O54,0)</f>
        <v/>
      </c>
      <c r="P68" s="432">
        <f>IFERROR(P9/P54,0)</f>
        <v/>
      </c>
      <c r="Q68" s="432">
        <f>IFERROR(Q9/Q54,0)</f>
        <v/>
      </c>
      <c r="R68" s="432">
        <f>IFERROR(R9/R54,0)</f>
        <v/>
      </c>
      <c r="S68" s="432">
        <f>IFERROR(S9/S54,0)</f>
        <v/>
      </c>
      <c r="T68" s="432">
        <f>IFERROR(T9/T54,0)</f>
        <v/>
      </c>
      <c r="U68" s="432">
        <f>IFERROR(U9/U54,0)</f>
        <v/>
      </c>
      <c r="V68" s="432">
        <f>IFERROR(V9/V54,0)</f>
        <v/>
      </c>
      <c r="W68" s="431">
        <f>IFERROR(W9/W54,0)</f>
        <v/>
      </c>
      <c r="AD68" s="470" t="n">
        <v>43151</v>
      </c>
      <c r="AE68" s="1260" t="inlineStr">
        <is>
          <t>Hans Berg</t>
        </is>
      </c>
      <c r="AF68" s="1255" t="inlineStr">
        <is>
          <t>20180220-1</t>
        </is>
      </c>
      <c r="AG68" s="1282" t="inlineStr">
        <is>
          <t>154156</t>
        </is>
      </c>
      <c r="AH68" s="1385" t="n">
        <v>200</v>
      </c>
      <c r="AI68" s="1260" t="inlineStr">
        <is>
          <t>LR Course</t>
        </is>
      </c>
    </row>
    <row r="69">
      <c r="I69" s="1334" t="inlineStr">
        <is>
          <t>6. 1-2-1</t>
        </is>
      </c>
      <c r="J69" s="431" t="n"/>
      <c r="K69" s="432">
        <f>IFERROR(K10/K55,0)</f>
        <v/>
      </c>
      <c r="L69" s="432">
        <f>IFERROR(L10/L55,0)</f>
        <v/>
      </c>
      <c r="M69" s="432">
        <f>IFERROR(M10/M55,0)</f>
        <v/>
      </c>
      <c r="N69" s="432">
        <f>IFERROR(N10/N55,0)</f>
        <v/>
      </c>
      <c r="O69" s="432">
        <f>IFERROR(O10/O55,0)</f>
        <v/>
      </c>
      <c r="P69" s="432">
        <f>IFERROR(P10/P55,0)</f>
        <v/>
      </c>
      <c r="Q69" s="432">
        <f>IFERROR(Q10/Q55,0)</f>
        <v/>
      </c>
      <c r="R69" s="432">
        <f>IFERROR(R10/R55,0)</f>
        <v/>
      </c>
      <c r="S69" s="432">
        <f>IFERROR(S10/S55,0)</f>
        <v/>
      </c>
      <c r="T69" s="432">
        <f>IFERROR(T10/T55,0)</f>
        <v/>
      </c>
      <c r="U69" s="432">
        <f>IFERROR(U10/U55,0)</f>
        <v/>
      </c>
      <c r="V69" s="432">
        <f>IFERROR(V10/V55,0)</f>
        <v/>
      </c>
      <c r="W69" s="431">
        <f>IFERROR(W10/W55,0)</f>
        <v/>
      </c>
      <c r="AD69" s="470" t="n">
        <v>43152</v>
      </c>
      <c r="AE69" s="1260" t="inlineStr">
        <is>
          <t>Helen Finch</t>
        </is>
      </c>
      <c r="AF69" s="1255" t="inlineStr">
        <is>
          <t>20180221-1</t>
        </is>
      </c>
      <c r="AG69" s="1282" t="inlineStr">
        <is>
          <t>154416</t>
        </is>
      </c>
      <c r="AH69" s="1385" t="n">
        <v>200</v>
      </c>
      <c r="AI69" s="1260" t="inlineStr">
        <is>
          <t>LR Course</t>
        </is>
      </c>
    </row>
    <row r="70">
      <c r="I70" s="1334" t="inlineStr">
        <is>
          <t>7. Gift Vouchers Inc</t>
        </is>
      </c>
      <c r="J70" s="431" t="n"/>
      <c r="K70" s="432">
        <f>IFERROR(K11/K56,0)</f>
        <v/>
      </c>
      <c r="L70" s="432">
        <f>IFERROR(L11/L56,0)</f>
        <v/>
      </c>
      <c r="M70" s="432">
        <f>IFERROR(M11/M56,0)</f>
        <v/>
      </c>
      <c r="N70" s="432">
        <f>IFERROR(N11/N56,0)</f>
        <v/>
      </c>
      <c r="O70" s="432">
        <f>IFERROR(O11/O56,0)</f>
        <v/>
      </c>
      <c r="P70" s="432">
        <f>IFERROR(P11/P56,0)</f>
        <v/>
      </c>
      <c r="Q70" s="432">
        <f>IFERROR(Q11/Q56,0)</f>
        <v/>
      </c>
      <c r="R70" s="432">
        <f>IFERROR(R11/R56,0)</f>
        <v/>
      </c>
      <c r="S70" s="432">
        <f>IFERROR(S11/S56,0)</f>
        <v/>
      </c>
      <c r="T70" s="432">
        <f>IFERROR(T11/T56,0)</f>
        <v/>
      </c>
      <c r="U70" s="432">
        <f>IFERROR(U11/U56,0)</f>
        <v/>
      </c>
      <c r="V70" s="432">
        <f>IFERROR(V11/V56,0)</f>
        <v/>
      </c>
      <c r="W70" s="431">
        <f>IFERROR(W11/W56,0)</f>
        <v/>
      </c>
      <c r="AD70" s="470" t="n"/>
      <c r="AE70" s="1260" t="n"/>
      <c r="AG70" s="1282" t="n"/>
      <c r="AH70" s="1385" t="n"/>
      <c r="AI70" s="1260" t="n"/>
    </row>
    <row r="71">
      <c r="I71" s="1334" t="inlineStr">
        <is>
          <t>8. Gift Vouchers Out</t>
        </is>
      </c>
      <c r="J71" s="431" t="n"/>
      <c r="K71" s="432">
        <f>IFERROR(K12/K57,0)</f>
        <v/>
      </c>
      <c r="L71" s="432">
        <f>IFERROR(L12/L57,0)</f>
        <v/>
      </c>
      <c r="M71" s="432">
        <f>IFERROR(M12/M57,0)</f>
        <v/>
      </c>
      <c r="N71" s="432">
        <f>IFERROR(N12/N57,0)</f>
        <v/>
      </c>
      <c r="O71" s="432">
        <f>IFERROR(O12/O57,0)</f>
        <v/>
      </c>
      <c r="P71" s="432">
        <f>IFERROR(P12/P57,0)</f>
        <v/>
      </c>
      <c r="Q71" s="432">
        <f>IFERROR(Q12/Q57,0)</f>
        <v/>
      </c>
      <c r="R71" s="432">
        <f>IFERROR(R12/R57,0)</f>
        <v/>
      </c>
      <c r="S71" s="432">
        <f>IFERROR(S12/S57,0)</f>
        <v/>
      </c>
      <c r="T71" s="432">
        <f>IFERROR(T12/T57,0)</f>
        <v/>
      </c>
      <c r="U71" s="432">
        <f>IFERROR(U12/U57,0)</f>
        <v/>
      </c>
      <c r="V71" s="432">
        <f>IFERROR(V12/V57,0)</f>
        <v/>
      </c>
      <c r="W71" s="431">
        <f>IFERROR(W12/W57,0)</f>
        <v/>
      </c>
      <c r="AD71" s="470" t="n"/>
      <c r="AE71" s="1260" t="n"/>
      <c r="AG71" s="1282" t="n"/>
      <c r="AH71" s="1385" t="n"/>
      <c r="AI71" s="1260" t="n"/>
    </row>
    <row r="72">
      <c r="I72" s="1334" t="inlineStr">
        <is>
          <t>9. Prints &amp; Royalties</t>
        </is>
      </c>
      <c r="J72" s="431" t="n"/>
      <c r="K72" s="432">
        <f>IFERROR(K13/K58,0)</f>
        <v/>
      </c>
      <c r="L72" s="432">
        <f>IFERROR(L13/L58,0)</f>
        <v/>
      </c>
      <c r="M72" s="432">
        <f>IFERROR(M13/M58,0)</f>
        <v/>
      </c>
      <c r="N72" s="432">
        <f>IFERROR(N13/N58,0)</f>
        <v/>
      </c>
      <c r="O72" s="432">
        <f>IFERROR(O13/O58,0)</f>
        <v/>
      </c>
      <c r="P72" s="432">
        <f>IFERROR(P13/P58,0)</f>
        <v/>
      </c>
      <c r="Q72" s="432">
        <f>IFERROR(Q13/Q58,0)</f>
        <v/>
      </c>
      <c r="R72" s="432">
        <f>IFERROR(R13/R58,0)</f>
        <v/>
      </c>
      <c r="S72" s="432">
        <f>IFERROR(S13/S58,0)</f>
        <v/>
      </c>
      <c r="T72" s="432">
        <f>IFERROR(T13/T58,0)</f>
        <v/>
      </c>
      <c r="U72" s="432">
        <f>IFERROR(U13/U58,0)</f>
        <v/>
      </c>
      <c r="V72" s="432">
        <f>IFERROR(V13/V58,0)</f>
        <v/>
      </c>
      <c r="W72" s="431">
        <f>IFERROR(W13/W58,0)</f>
        <v/>
      </c>
      <c r="AD72" s="470" t="n"/>
      <c r="AE72" s="1260" t="n"/>
      <c r="AG72" s="1282" t="n"/>
      <c r="AH72" s="1385" t="n"/>
      <c r="AI72" s="1260" t="n"/>
    </row>
    <row r="73">
      <c r="I73" s="1334" t="inlineStr">
        <is>
          <t>10 Commissions</t>
        </is>
      </c>
      <c r="J73" s="431" t="n"/>
      <c r="K73" s="432">
        <f>IFERROR(K14/K59,0)</f>
        <v/>
      </c>
      <c r="L73" s="432">
        <f>IFERROR(L14/L59,0)</f>
        <v/>
      </c>
      <c r="M73" s="432">
        <f>IFERROR(M14/M59,0)</f>
        <v/>
      </c>
      <c r="N73" s="432">
        <f>IFERROR(N14/N59,0)</f>
        <v/>
      </c>
      <c r="O73" s="432">
        <f>IFERROR(O14/O59,0)</f>
        <v/>
      </c>
      <c r="P73" s="432">
        <f>IFERROR(P14/P59,0)</f>
        <v/>
      </c>
      <c r="Q73" s="432">
        <f>IFERROR(Q14/Q59,0)</f>
        <v/>
      </c>
      <c r="R73" s="432">
        <f>IFERROR(R14/R59,0)</f>
        <v/>
      </c>
      <c r="S73" s="432">
        <f>IFERROR(S14/S59,0)</f>
        <v/>
      </c>
      <c r="T73" s="432">
        <f>IFERROR(T14/T59,0)</f>
        <v/>
      </c>
      <c r="U73" s="432">
        <f>IFERROR(U14/U59,0)</f>
        <v/>
      </c>
      <c r="V73" s="432">
        <f>IFERROR(V14/V59,0)</f>
        <v/>
      </c>
      <c r="W73" s="431">
        <f>IFERROR(W14/W59,0)</f>
        <v/>
      </c>
      <c r="AD73" s="470" t="n"/>
      <c r="AE73" s="1260" t="n"/>
      <c r="AG73" s="1282" t="n"/>
      <c r="AH73" s="1385" t="n"/>
      <c r="AI73" s="1260" t="n"/>
    </row>
    <row r="74">
      <c r="I74" s="1334" t="inlineStr">
        <is>
          <t>11. Other</t>
        </is>
      </c>
      <c r="J74" s="431" t="n"/>
      <c r="K74" s="432">
        <f>IFERROR(K15/K60,0)</f>
        <v/>
      </c>
      <c r="L74" s="432">
        <f>IFERROR(L15/L60,0)</f>
        <v/>
      </c>
      <c r="M74" s="432">
        <f>IFERROR(M15/M60,0)</f>
        <v/>
      </c>
      <c r="N74" s="432">
        <f>IFERROR(N15/N60,0)</f>
        <v/>
      </c>
      <c r="O74" s="432">
        <f>IFERROR(O15/O60,0)</f>
        <v/>
      </c>
      <c r="P74" s="432">
        <f>IFERROR(P15/P60,0)</f>
        <v/>
      </c>
      <c r="Q74" s="432">
        <f>IFERROR(Q15/Q60,0)</f>
        <v/>
      </c>
      <c r="R74" s="432">
        <f>IFERROR(R15/R60,0)</f>
        <v/>
      </c>
      <c r="S74" s="432">
        <f>IFERROR(S15/S60,0)</f>
        <v/>
      </c>
      <c r="T74" s="432">
        <f>IFERROR(T15/T60,0)</f>
        <v/>
      </c>
      <c r="U74" s="432">
        <f>IFERROR(U15/U60,0)</f>
        <v/>
      </c>
      <c r="V74" s="432">
        <f>IFERROR(V15/V60,0)</f>
        <v/>
      </c>
      <c r="W74" s="431">
        <f>IFERROR(W15/W60,0)</f>
        <v/>
      </c>
      <c r="AD74" s="470" t="n">
        <v>43152</v>
      </c>
      <c r="AE74" s="1255" t="inlineStr">
        <is>
          <t>Arjun Rawat - ELS</t>
        </is>
      </c>
      <c r="AF74" s="1255" t="inlineStr">
        <is>
          <t>20180221-2</t>
        </is>
      </c>
      <c r="AG74" s="1282" t="inlineStr">
        <is>
          <t>154510</t>
        </is>
      </c>
      <c r="AH74" s="1385" t="n">
        <v>200</v>
      </c>
      <c r="AI74" s="1260" t="inlineStr">
        <is>
          <t>5wk Course</t>
        </is>
      </c>
    </row>
    <row r="75" ht="13.5" customHeight="1" s="1232" thickBot="1">
      <c r="I75" s="1339" t="inlineStr">
        <is>
          <t>Totals</t>
        </is>
      </c>
      <c r="J75" s="829" t="n"/>
      <c r="K75" s="802">
        <f>IFERROR(K16/K61,0)</f>
        <v/>
      </c>
      <c r="L75" s="802">
        <f>IFERROR(L16/L61,0)</f>
        <v/>
      </c>
      <c r="M75" s="802">
        <f>IFERROR(M16/M61,0)</f>
        <v/>
      </c>
      <c r="N75" s="802">
        <f>IFERROR(N16/N61,0)</f>
        <v/>
      </c>
      <c r="O75" s="802">
        <f>IFERROR(O16/O61,0)</f>
        <v/>
      </c>
      <c r="P75" s="802">
        <f>IFERROR(P16/P61,0)</f>
        <v/>
      </c>
      <c r="Q75" s="802">
        <f>IFERROR(Q16/Q61,0)</f>
        <v/>
      </c>
      <c r="R75" s="802">
        <f>IFERROR(R16/R61,0)</f>
        <v/>
      </c>
      <c r="S75" s="802">
        <f>IFERROR(S16/S61,0)</f>
        <v/>
      </c>
      <c r="T75" s="802">
        <f>IFERROR(T16/T61,0)</f>
        <v/>
      </c>
      <c r="U75" s="802">
        <f>IFERROR(U16/U61,0)</f>
        <v/>
      </c>
      <c r="V75" s="802">
        <f>IFERROR(V16/V61,0)</f>
        <v/>
      </c>
      <c r="W75" s="829">
        <f>IFERROR(W16/W61,0)</f>
        <v/>
      </c>
      <c r="AD75" s="470" t="n">
        <v>43167</v>
      </c>
      <c r="AE75" s="1255" t="inlineStr">
        <is>
          <t>Helen Fawcett</t>
        </is>
      </c>
      <c r="AF75" s="1260" t="inlineStr">
        <is>
          <t>20180308-1</t>
        </is>
      </c>
      <c r="AG75" s="1282" t="inlineStr">
        <is>
          <t>154622</t>
        </is>
      </c>
      <c r="AH75" s="1385" t="n">
        <v>30</v>
      </c>
      <c r="AI75" s="1260" t="inlineStr">
        <is>
          <t>Intro Class</t>
        </is>
      </c>
    </row>
    <row r="76" ht="13.15" customHeight="1" s="1232" thickTop="1">
      <c r="AD76" s="470" t="n">
        <v>43190</v>
      </c>
      <c r="AE76" s="1260" t="inlineStr">
        <is>
          <t>Fances Pike</t>
        </is>
      </c>
      <c r="AF76" s="1260" t="inlineStr">
        <is>
          <t>20180331-1</t>
        </is>
      </c>
      <c r="AG76" s="1282" t="inlineStr">
        <is>
          <t>155146</t>
        </is>
      </c>
      <c r="AH76" s="1385" t="n">
        <v>125</v>
      </c>
      <c r="AI76" s="1260" t="inlineStr">
        <is>
          <t>Bluebell Worksh0p</t>
        </is>
      </c>
    </row>
    <row r="77">
      <c r="AD77" s="470" t="n">
        <v>43249</v>
      </c>
      <c r="AE77" s="1260" t="inlineStr">
        <is>
          <t>Steve Paling</t>
        </is>
      </c>
      <c r="AF77" s="1255" t="inlineStr">
        <is>
          <t>20180529-1</t>
        </is>
      </c>
      <c r="AG77" s="1282" t="inlineStr">
        <is>
          <t>155975</t>
        </is>
      </c>
      <c r="AH77" s="1385" t="n">
        <v>200</v>
      </c>
      <c r="AI77" s="1260" t="inlineStr">
        <is>
          <t>4wk Extended</t>
        </is>
      </c>
    </row>
    <row r="78" ht="13.15" customHeight="1" s="1232">
      <c r="I78" s="1336" t="inlineStr">
        <is>
          <t>Tuition Categories</t>
        </is>
      </c>
      <c r="J78" s="1330" t="inlineStr">
        <is>
          <t>GP Target</t>
        </is>
      </c>
      <c r="K78" s="1332" t="inlineStr">
        <is>
          <t>Jan</t>
        </is>
      </c>
      <c r="L78" s="1332" t="inlineStr">
        <is>
          <t>Feb</t>
        </is>
      </c>
      <c r="M78" s="1332" t="inlineStr">
        <is>
          <t>Mar</t>
        </is>
      </c>
      <c r="N78" s="1332" t="inlineStr">
        <is>
          <t>Apr</t>
        </is>
      </c>
      <c r="O78" s="1332" t="inlineStr">
        <is>
          <t>May</t>
        </is>
      </c>
      <c r="P78" s="1332" t="inlineStr">
        <is>
          <t>Jun</t>
        </is>
      </c>
      <c r="Q78" s="1332" t="inlineStr">
        <is>
          <t>Jul</t>
        </is>
      </c>
      <c r="R78" s="1332" t="inlineStr">
        <is>
          <t>Aug</t>
        </is>
      </c>
      <c r="S78" s="1332" t="inlineStr">
        <is>
          <t>Sep</t>
        </is>
      </c>
      <c r="T78" s="1332" t="inlineStr">
        <is>
          <t>Oct</t>
        </is>
      </c>
      <c r="U78" s="1332" t="inlineStr">
        <is>
          <t>Nov</t>
        </is>
      </c>
      <c r="V78" s="1332" t="inlineStr">
        <is>
          <t>Dec</t>
        </is>
      </c>
      <c r="W78" s="1332" t="inlineStr">
        <is>
          <t>Year</t>
        </is>
      </c>
      <c r="X78" s="1273" t="inlineStr">
        <is>
          <t>GP %</t>
        </is>
      </c>
      <c r="Y78" s="1383" t="inlineStr">
        <is>
          <t>YTD Targ</t>
        </is>
      </c>
      <c r="Z78" s="1383" t="inlineStr">
        <is>
          <t>Var YTD</t>
        </is>
      </c>
      <c r="AD78" s="470" t="n">
        <v>43343</v>
      </c>
      <c r="AE78" s="1260" t="inlineStr">
        <is>
          <t>Philip Webester</t>
        </is>
      </c>
      <c r="AF78" s="1255" t="inlineStr">
        <is>
          <t>20180831-1</t>
        </is>
      </c>
      <c r="AG78" s="1282" t="inlineStr">
        <is>
          <t>158831</t>
        </is>
      </c>
      <c r="AH78" s="1385" t="n">
        <v>200</v>
      </c>
      <c r="AI78" s="1260" t="inlineStr">
        <is>
          <t>Workshops</t>
        </is>
      </c>
    </row>
    <row r="79">
      <c r="I79" s="1333" t="inlineStr">
        <is>
          <t>1. Courses/masterclasses</t>
        </is>
      </c>
      <c r="J79" s="432">
        <f>J5*70%</f>
        <v/>
      </c>
      <c r="K79" s="432">
        <f>K5*70%</f>
        <v/>
      </c>
      <c r="L79" s="432">
        <f>L5*70%</f>
        <v/>
      </c>
      <c r="M79" s="432">
        <f>M5*70%</f>
        <v/>
      </c>
      <c r="N79" s="432">
        <f>N5*70%</f>
        <v/>
      </c>
      <c r="O79" s="432">
        <f>O5*70%</f>
        <v/>
      </c>
      <c r="P79" s="432">
        <f>P5*70%</f>
        <v/>
      </c>
      <c r="Q79" s="432">
        <f>Q5*70%</f>
        <v/>
      </c>
      <c r="R79" s="432">
        <f>R5*70%</f>
        <v/>
      </c>
      <c r="S79" s="432">
        <f>S5*70%</f>
        <v/>
      </c>
      <c r="T79" s="432">
        <f>T5*70%</f>
        <v/>
      </c>
      <c r="U79" s="432">
        <f>U5*70%</f>
        <v/>
      </c>
      <c r="V79" s="432">
        <f>V5*70%</f>
        <v/>
      </c>
      <c r="W79" s="431">
        <f>SUM(K79:V79)</f>
        <v/>
      </c>
      <c r="X79" s="445">
        <f>IFERROR(W79/W5,0)</f>
        <v/>
      </c>
      <c r="Y79" s="558">
        <f>J79*12</f>
        <v/>
      </c>
      <c r="Z79" s="434">
        <f>W79-Y79</f>
        <v/>
      </c>
      <c r="AD79" s="470" t="n">
        <v>43392</v>
      </c>
      <c r="AE79" s="1260" t="inlineStr">
        <is>
          <t>Dave McGuire</t>
        </is>
      </c>
      <c r="AF79" s="1255" t="inlineStr">
        <is>
          <t>201801019-1</t>
        </is>
      </c>
      <c r="AG79" s="1282" t="inlineStr">
        <is>
          <t>160273</t>
        </is>
      </c>
      <c r="AH79" s="1385" t="n">
        <v>200</v>
      </c>
      <c r="AI79" s="1260" t="inlineStr">
        <is>
          <t>Course</t>
        </is>
      </c>
    </row>
    <row r="80">
      <c r="I80" s="1333" t="inlineStr">
        <is>
          <t>2. Workshops</t>
        </is>
      </c>
      <c r="J80" s="432">
        <f>J6*60%</f>
        <v/>
      </c>
      <c r="K80" s="432">
        <f>K6*60%</f>
        <v/>
      </c>
      <c r="L80" s="432">
        <f>L6*60%</f>
        <v/>
      </c>
      <c r="M80" s="432">
        <f>M6*60%</f>
        <v/>
      </c>
      <c r="N80" s="432">
        <f>N6*60%</f>
        <v/>
      </c>
      <c r="O80" s="432">
        <f>O6*60%</f>
        <v/>
      </c>
      <c r="P80" s="432">
        <f>P6*60%</f>
        <v/>
      </c>
      <c r="Q80" s="432">
        <f>Q6*60%</f>
        <v/>
      </c>
      <c r="R80" s="432">
        <f>R6*60%</f>
        <v/>
      </c>
      <c r="S80" s="432">
        <f>S6*60%</f>
        <v/>
      </c>
      <c r="T80" s="432">
        <f>T6*60%</f>
        <v/>
      </c>
      <c r="U80" s="432">
        <f>U6*60%</f>
        <v/>
      </c>
      <c r="V80" s="432">
        <f>V6*60%</f>
        <v/>
      </c>
      <c r="W80" s="431">
        <f>SUM(K80:V80)</f>
        <v/>
      </c>
      <c r="X80" s="445">
        <f>IFERROR(W80/W6,0)</f>
        <v/>
      </c>
      <c r="Y80" s="558">
        <f>J80*12</f>
        <v/>
      </c>
      <c r="Z80" s="434">
        <f>W80-Y80</f>
        <v/>
      </c>
      <c r="AD80" s="470" t="n">
        <v>43424</v>
      </c>
      <c r="AE80" s="1260" t="inlineStr">
        <is>
          <t>Helen Finch/Sotheran</t>
        </is>
      </c>
      <c r="AF80" s="1255" t="inlineStr">
        <is>
          <t>20181120-1</t>
        </is>
      </c>
      <c r="AG80" s="1282" t="inlineStr">
        <is>
          <t>163853</t>
        </is>
      </c>
      <c r="AH80" s="1385" t="n">
        <v>250</v>
      </c>
      <c r="AI80" s="1260" t="inlineStr">
        <is>
          <t>Lvl 2 Photo Soli</t>
        </is>
      </c>
    </row>
    <row r="81">
      <c r="I81" s="1333" t="inlineStr">
        <is>
          <t>3. Pick n Mix Inc</t>
        </is>
      </c>
      <c r="J81" s="432">
        <f>J7*60%</f>
        <v/>
      </c>
      <c r="K81" s="432">
        <f>K7*60%</f>
        <v/>
      </c>
      <c r="L81" s="432">
        <f>L7*60%</f>
        <v/>
      </c>
      <c r="M81" s="432">
        <f>M7*60%</f>
        <v/>
      </c>
      <c r="N81" s="432">
        <f>N7*60%</f>
        <v/>
      </c>
      <c r="O81" s="432">
        <f>O7*60%</f>
        <v/>
      </c>
      <c r="P81" s="432">
        <f>P7*60%</f>
        <v/>
      </c>
      <c r="Q81" s="432">
        <f>Q7*60%</f>
        <v/>
      </c>
      <c r="R81" s="432">
        <f>R7*60%</f>
        <v/>
      </c>
      <c r="S81" s="432">
        <f>S7*60%</f>
        <v/>
      </c>
      <c r="T81" s="432">
        <f>T7*60%</f>
        <v/>
      </c>
      <c r="U81" s="432">
        <f>U7*60%</f>
        <v/>
      </c>
      <c r="V81" s="432">
        <f>V7*60%</f>
        <v/>
      </c>
      <c r="W81" s="431">
        <f>SUM(K81:V81)</f>
        <v/>
      </c>
      <c r="X81" s="445">
        <f>IFERROR(W81/W8,0)</f>
        <v/>
      </c>
      <c r="Y81" s="558">
        <f>J81*12</f>
        <v/>
      </c>
      <c r="Z81" s="434">
        <f>W81-Y81</f>
        <v/>
      </c>
      <c r="AD81" s="470" t="n">
        <v>43438</v>
      </c>
      <c r="AE81" s="1255" t="inlineStr">
        <is>
          <t>Harkesh Mehmi</t>
        </is>
      </c>
      <c r="AF81" s="1255" t="inlineStr">
        <is>
          <t>20181204-1</t>
        </is>
      </c>
      <c r="AG81" s="1282" t="inlineStr">
        <is>
          <t>161118</t>
        </is>
      </c>
      <c r="AH81" s="1255" t="n">
        <v>200</v>
      </c>
      <c r="AI81" s="1260" t="inlineStr">
        <is>
          <t>TBC</t>
        </is>
      </c>
    </row>
    <row r="82">
      <c r="I82" s="1333" t="inlineStr">
        <is>
          <t>4. Pick n Mix Out</t>
        </is>
      </c>
      <c r="J82" s="432">
        <f>J8*60%</f>
        <v/>
      </c>
      <c r="K82" s="432">
        <f>K8*60%</f>
        <v/>
      </c>
      <c r="L82" s="432">
        <f>L8*60%</f>
        <v/>
      </c>
      <c r="M82" s="432">
        <f>M8*60%</f>
        <v/>
      </c>
      <c r="N82" s="432">
        <f>N8*60%</f>
        <v/>
      </c>
      <c r="O82" s="432">
        <f>O8*60%</f>
        <v/>
      </c>
      <c r="P82" s="432">
        <f>P8*60%</f>
        <v/>
      </c>
      <c r="Q82" s="432">
        <f>Q8*60%</f>
        <v/>
      </c>
      <c r="R82" s="432">
        <f>R8*60%</f>
        <v/>
      </c>
      <c r="S82" s="432">
        <f>S8*60%</f>
        <v/>
      </c>
      <c r="T82" s="432">
        <f>T8*60%</f>
        <v/>
      </c>
      <c r="U82" s="432">
        <f>U8*60%</f>
        <v/>
      </c>
      <c r="V82" s="432">
        <f>V8*60%</f>
        <v/>
      </c>
      <c r="W82" s="431">
        <f>SUM(K82:V82)</f>
        <v/>
      </c>
      <c r="X82" s="445" t="n"/>
      <c r="Y82" s="558" t="n"/>
      <c r="Z82" s="434" t="n"/>
      <c r="AD82" s="470" t="n">
        <v>43507</v>
      </c>
      <c r="AE82" s="1255" t="inlineStr">
        <is>
          <t>Paul Millington</t>
        </is>
      </c>
      <c r="AF82" s="1260" t="inlineStr">
        <is>
          <t>20190211-1</t>
        </is>
      </c>
      <c r="AG82" s="1282" t="inlineStr">
        <is>
          <t>165649</t>
        </is>
      </c>
      <c r="AH82" s="1385" t="n">
        <v>250</v>
      </c>
      <c r="AI82" s="1260" t="inlineStr">
        <is>
          <t>4wk Beginners Course</t>
        </is>
      </c>
    </row>
    <row r="83">
      <c r="I83" s="1333" t="inlineStr">
        <is>
          <t>5. Mentoring</t>
        </is>
      </c>
      <c r="J83" s="432">
        <f>J9*75%</f>
        <v/>
      </c>
      <c r="K83" s="432">
        <f>K9*75%</f>
        <v/>
      </c>
      <c r="L83" s="432">
        <f>L9*75%</f>
        <v/>
      </c>
      <c r="M83" s="432">
        <f>M9*75%</f>
        <v/>
      </c>
      <c r="N83" s="432">
        <f>N9*75%</f>
        <v/>
      </c>
      <c r="O83" s="432">
        <f>O9*75%</f>
        <v/>
      </c>
      <c r="P83" s="432">
        <f>P9*75%</f>
        <v/>
      </c>
      <c r="Q83" s="432">
        <f>Q9*75%</f>
        <v/>
      </c>
      <c r="R83" s="432">
        <f>R9*75%</f>
        <v/>
      </c>
      <c r="S83" s="432">
        <f>S9*75%</f>
        <v/>
      </c>
      <c r="T83" s="432">
        <f>T9*75%</f>
        <v/>
      </c>
      <c r="U83" s="432">
        <f>U9*75%</f>
        <v/>
      </c>
      <c r="V83" s="432">
        <f>V9*75%</f>
        <v/>
      </c>
      <c r="W83" s="431">
        <f>SUM(K83:V83)</f>
        <v/>
      </c>
      <c r="X83" s="445">
        <f>IFERROR(W83/W9,0)</f>
        <v/>
      </c>
      <c r="Y83" s="558">
        <f>J83*12</f>
        <v/>
      </c>
      <c r="Z83" s="434">
        <f>W83-Y83</f>
        <v/>
      </c>
      <c r="AD83" s="470" t="n">
        <v>43560</v>
      </c>
      <c r="AE83" s="1255" t="inlineStr">
        <is>
          <t>Harkesh Mehmi</t>
        </is>
      </c>
      <c r="AF83" s="1260" t="inlineStr">
        <is>
          <t>20190405-1</t>
        </is>
      </c>
      <c r="AG83" s="1260" t="inlineStr">
        <is>
          <t>CN</t>
        </is>
      </c>
      <c r="AH83" s="1390" t="n">
        <v>-159</v>
      </c>
    </row>
    <row r="84">
      <c r="I84" s="1334" t="inlineStr">
        <is>
          <t>6. 1-2-1</t>
        </is>
      </c>
      <c r="J84" s="432">
        <f>J10*60%</f>
        <v/>
      </c>
      <c r="K84" s="432">
        <f>K10*60%</f>
        <v/>
      </c>
      <c r="L84" s="432">
        <f>L10*60%</f>
        <v/>
      </c>
      <c r="M84" s="432">
        <f>M10*60%</f>
        <v/>
      </c>
      <c r="N84" s="432">
        <f>N10*60%</f>
        <v/>
      </c>
      <c r="O84" s="432">
        <f>O10*60%</f>
        <v/>
      </c>
      <c r="P84" s="432">
        <f>P10*60%</f>
        <v/>
      </c>
      <c r="Q84" s="432">
        <f>Q10*60%</f>
        <v/>
      </c>
      <c r="R84" s="432">
        <f>R10*60%</f>
        <v/>
      </c>
      <c r="S84" s="432">
        <f>S10*60%</f>
        <v/>
      </c>
      <c r="T84" s="432">
        <f>T10*60%</f>
        <v/>
      </c>
      <c r="U84" s="432">
        <f>U10*60%</f>
        <v/>
      </c>
      <c r="V84" s="432">
        <f>V10*60%</f>
        <v/>
      </c>
      <c r="W84" s="431">
        <f>SUM(K84:V84)</f>
        <v/>
      </c>
      <c r="X84" s="445">
        <f>IFERROR(W84/W10,0)</f>
        <v/>
      </c>
      <c r="Y84" s="558">
        <f>J84*12</f>
        <v/>
      </c>
      <c r="Z84" s="434">
        <f>W84-Y84</f>
        <v/>
      </c>
      <c r="AD84" s="470" t="n">
        <v>43592</v>
      </c>
      <c r="AE84" s="1260" t="inlineStr">
        <is>
          <t>Ian Blake</t>
        </is>
      </c>
      <c r="AF84" s="1260" t="inlineStr">
        <is>
          <t>20190507-1</t>
        </is>
      </c>
      <c r="AG84" s="1282" t="inlineStr">
        <is>
          <t>167527</t>
        </is>
      </c>
      <c r="AH84" s="1385" t="n">
        <v>75</v>
      </c>
      <c r="AI84" s="1260" t="inlineStr">
        <is>
          <t>Fairy Glen</t>
        </is>
      </c>
    </row>
    <row r="85">
      <c r="I85" s="1334" t="inlineStr">
        <is>
          <t>7. Gift Vouchers Inc</t>
        </is>
      </c>
      <c r="J85" s="432">
        <f>J11*60%</f>
        <v/>
      </c>
      <c r="K85" s="432">
        <f>K11*60%</f>
        <v/>
      </c>
      <c r="L85" s="432">
        <f>L11*60%</f>
        <v/>
      </c>
      <c r="M85" s="432">
        <f>M11*60%</f>
        <v/>
      </c>
      <c r="N85" s="432">
        <f>N11*60%</f>
        <v/>
      </c>
      <c r="O85" s="432">
        <f>O11*60%</f>
        <v/>
      </c>
      <c r="P85" s="432">
        <f>P11*60%</f>
        <v/>
      </c>
      <c r="Q85" s="432">
        <f>Q11*60%</f>
        <v/>
      </c>
      <c r="R85" s="432">
        <f>R11*60%</f>
        <v/>
      </c>
      <c r="S85" s="432">
        <f>S11*60%</f>
        <v/>
      </c>
      <c r="T85" s="432">
        <f>T11*60%</f>
        <v/>
      </c>
      <c r="U85" s="432">
        <f>U11*60%</f>
        <v/>
      </c>
      <c r="V85" s="432">
        <f>V11*60%</f>
        <v/>
      </c>
      <c r="W85" s="431">
        <f>SUM(K85:V85)</f>
        <v/>
      </c>
      <c r="X85" s="445">
        <f>IFERROR(W85/W15,0)</f>
        <v/>
      </c>
      <c r="Y85" s="558">
        <f>J85*12</f>
        <v/>
      </c>
      <c r="Z85" s="434">
        <f>W85-Y85</f>
        <v/>
      </c>
      <c r="AD85" s="470" t="n">
        <v>43754</v>
      </c>
      <c r="AE85" s="1260" t="inlineStr">
        <is>
          <t>Scott Bremner</t>
        </is>
      </c>
      <c r="AF85" s="1255" t="inlineStr">
        <is>
          <t>20191016-1</t>
        </is>
      </c>
      <c r="AG85" s="1282" t="inlineStr">
        <is>
          <t>171860</t>
        </is>
      </c>
      <c r="AH85" s="1385" t="n">
        <v>100</v>
      </c>
      <c r="AI85" s="1260" t="inlineStr">
        <is>
          <t>TBA</t>
        </is>
      </c>
    </row>
    <row r="86">
      <c r="I86" s="1334" t="inlineStr">
        <is>
          <t>8. Gift Vouchers Out</t>
        </is>
      </c>
      <c r="J86" s="432">
        <f>J12*60%</f>
        <v/>
      </c>
      <c r="K86" s="432">
        <f>K12*60%</f>
        <v/>
      </c>
      <c r="L86" s="432">
        <f>L12*60%</f>
        <v/>
      </c>
      <c r="M86" s="432">
        <f>M12*60%</f>
        <v/>
      </c>
      <c r="N86" s="432">
        <f>N12*60%</f>
        <v/>
      </c>
      <c r="O86" s="432">
        <f>O12*60%</f>
        <v/>
      </c>
      <c r="P86" s="432">
        <f>P12*60%</f>
        <v/>
      </c>
      <c r="Q86" s="432">
        <f>Q12*60%</f>
        <v/>
      </c>
      <c r="R86" s="432">
        <f>R12*60%</f>
        <v/>
      </c>
      <c r="S86" s="432">
        <f>S12*60%</f>
        <v/>
      </c>
      <c r="T86" s="432">
        <f>T12*60%</f>
        <v/>
      </c>
      <c r="U86" s="432">
        <f>U12*60%</f>
        <v/>
      </c>
      <c r="V86" s="432">
        <f>V12*60%</f>
        <v/>
      </c>
      <c r="W86" s="431" t="n"/>
      <c r="X86" s="445" t="n"/>
      <c r="Y86" s="558" t="n"/>
      <c r="Z86" s="434" t="n"/>
      <c r="AD86" s="470" t="n"/>
      <c r="AE86" s="1260" t="n"/>
      <c r="AG86" s="1282" t="n"/>
      <c r="AH86" s="1385" t="n"/>
      <c r="AI86" s="1260" t="n"/>
    </row>
    <row r="87">
      <c r="I87" s="1334" t="inlineStr">
        <is>
          <t>9. Prints &amp; Royalties</t>
        </is>
      </c>
      <c r="J87" s="432">
        <f>J13*50%</f>
        <v/>
      </c>
      <c r="K87" s="432">
        <f>K13*50%</f>
        <v/>
      </c>
      <c r="L87" s="432">
        <f>L13*50%</f>
        <v/>
      </c>
      <c r="M87" s="432">
        <f>M13*50%</f>
        <v/>
      </c>
      <c r="N87" s="432">
        <f>N13*50%</f>
        <v/>
      </c>
      <c r="O87" s="432">
        <f>O13*50%</f>
        <v/>
      </c>
      <c r="P87" s="432">
        <f>P13*50%</f>
        <v/>
      </c>
      <c r="Q87" s="432">
        <f>Q13*50%</f>
        <v/>
      </c>
      <c r="R87" s="432">
        <f>R13*50%</f>
        <v/>
      </c>
      <c r="S87" s="432">
        <f>S13*50%</f>
        <v/>
      </c>
      <c r="T87" s="432">
        <f>T13*50%</f>
        <v/>
      </c>
      <c r="U87" s="432">
        <f>U13*50%</f>
        <v/>
      </c>
      <c r="V87" s="432">
        <f>V13*50%</f>
        <v/>
      </c>
      <c r="W87" s="431">
        <f>SUM(K87:V87)</f>
        <v/>
      </c>
      <c r="X87" s="445" t="n"/>
      <c r="Y87" s="558" t="n"/>
      <c r="Z87" s="434" t="n"/>
      <c r="AD87" s="470" t="n"/>
      <c r="AE87" s="1260" t="n"/>
      <c r="AG87" s="1282" t="n"/>
      <c r="AH87" s="1385" t="n"/>
      <c r="AI87" s="1260" t="n"/>
    </row>
    <row r="88">
      <c r="I88" s="1334" t="inlineStr">
        <is>
          <t>10 Commissions</t>
        </is>
      </c>
      <c r="J88" s="432">
        <f>J14*60%</f>
        <v/>
      </c>
      <c r="K88" s="432">
        <f>K14*60%</f>
        <v/>
      </c>
      <c r="L88" s="432">
        <f>L14*60%</f>
        <v/>
      </c>
      <c r="M88" s="432">
        <f>M14*60%</f>
        <v/>
      </c>
      <c r="N88" s="432">
        <f>N14*60%</f>
        <v/>
      </c>
      <c r="O88" s="432">
        <f>O14*60%</f>
        <v/>
      </c>
      <c r="P88" s="432">
        <f>P14*60%</f>
        <v/>
      </c>
      <c r="Q88" s="432">
        <f>Q14*60%</f>
        <v/>
      </c>
      <c r="R88" s="432">
        <f>R14*60%</f>
        <v/>
      </c>
      <c r="S88" s="432">
        <f>S14*60%</f>
        <v/>
      </c>
      <c r="T88" s="432">
        <f>T14*60%</f>
        <v/>
      </c>
      <c r="U88" s="432">
        <f>U14*60%</f>
        <v/>
      </c>
      <c r="V88" s="432">
        <f>V14*60%</f>
        <v/>
      </c>
      <c r="W88" s="431">
        <f>SUM(K88:V88)</f>
        <v/>
      </c>
      <c r="X88" s="445" t="n"/>
      <c r="Y88" s="558" t="n"/>
      <c r="Z88" s="434" t="n"/>
      <c r="AD88" s="470" t="n"/>
      <c r="AE88" s="1260" t="n"/>
      <c r="AG88" s="1282" t="n"/>
      <c r="AH88" s="1385" t="n"/>
      <c r="AI88" s="1260" t="n"/>
    </row>
    <row r="89">
      <c r="I89" s="1334" t="inlineStr">
        <is>
          <t>11. Other</t>
        </is>
      </c>
      <c r="J89" s="432">
        <f>J15*60%</f>
        <v/>
      </c>
      <c r="K89" s="432">
        <f>K15*60%</f>
        <v/>
      </c>
      <c r="L89" s="432">
        <f>L15*60%</f>
        <v/>
      </c>
      <c r="M89" s="432">
        <f>M15*60%</f>
        <v/>
      </c>
      <c r="N89" s="432">
        <f>N15*60%</f>
        <v/>
      </c>
      <c r="O89" s="432">
        <f>O15*60%</f>
        <v/>
      </c>
      <c r="P89" s="432">
        <f>P15*60%</f>
        <v/>
      </c>
      <c r="Q89" s="432">
        <f>Q15*60%</f>
        <v/>
      </c>
      <c r="R89" s="432">
        <f>R15*60%</f>
        <v/>
      </c>
      <c r="S89" s="432">
        <f>S15*60%</f>
        <v/>
      </c>
      <c r="T89" s="432">
        <f>T15*60%</f>
        <v/>
      </c>
      <c r="U89" s="432">
        <f>U15*60%</f>
        <v/>
      </c>
      <c r="V89" s="432">
        <f>V15*60%</f>
        <v/>
      </c>
      <c r="W89" s="431">
        <f>SUM(K89:V89)</f>
        <v/>
      </c>
      <c r="X89" s="445" t="n"/>
      <c r="Y89" s="558" t="n"/>
      <c r="Z89" s="434" t="n"/>
      <c r="AD89" s="470" t="n"/>
      <c r="AE89" s="1260" t="n"/>
      <c r="AG89" s="1282" t="n"/>
      <c r="AH89" s="1385" t="n"/>
      <c r="AI89" s="1260" t="n"/>
    </row>
    <row r="90" ht="13.5" customHeight="1" s="1232" thickBot="1">
      <c r="I90" s="1340" t="inlineStr">
        <is>
          <t>Totals</t>
        </is>
      </c>
      <c r="J90" s="826">
        <f>SUM(J79:J85)</f>
        <v/>
      </c>
      <c r="K90" s="827">
        <f>SUM(K79:K89)</f>
        <v/>
      </c>
      <c r="L90" s="827">
        <f>SUM(L79:L89)</f>
        <v/>
      </c>
      <c r="M90" s="827">
        <f>SUM(M79:M89)</f>
        <v/>
      </c>
      <c r="N90" s="827">
        <f>SUM(N79:N89)</f>
        <v/>
      </c>
      <c r="O90" s="827">
        <f>SUM(O79:O89)</f>
        <v/>
      </c>
      <c r="P90" s="827">
        <f>SUM(P79:P89)</f>
        <v/>
      </c>
      <c r="Q90" s="827">
        <f>SUM(Q79:Q89)</f>
        <v/>
      </c>
      <c r="R90" s="827">
        <f>SUM(R79:R89)</f>
        <v/>
      </c>
      <c r="S90" s="827">
        <f>SUM(S79:S89)</f>
        <v/>
      </c>
      <c r="T90" s="827">
        <f>SUM(T79:T89)</f>
        <v/>
      </c>
      <c r="U90" s="827">
        <f>SUM(U79:U89)</f>
        <v/>
      </c>
      <c r="V90" s="827">
        <f>SUM(V79:V89)</f>
        <v/>
      </c>
      <c r="W90" s="827">
        <f>SUM(W79:W89)</f>
        <v/>
      </c>
      <c r="X90" s="445">
        <f>IFERROR(W90/W16,0)</f>
        <v/>
      </c>
      <c r="Y90" s="558">
        <f>J90*12</f>
        <v/>
      </c>
      <c r="Z90" s="434">
        <f>W90-Y90</f>
        <v/>
      </c>
      <c r="AD90" s="470" t="n">
        <v>43759</v>
      </c>
      <c r="AE90" s="1260" t="inlineStr">
        <is>
          <t>Paul Wiles</t>
        </is>
      </c>
      <c r="AF90" s="1260" t="inlineStr">
        <is>
          <t>20191021-1</t>
        </is>
      </c>
      <c r="AG90" s="1282" t="inlineStr">
        <is>
          <t>171983</t>
        </is>
      </c>
      <c r="AH90" s="1385" t="n">
        <v>75</v>
      </c>
      <c r="AI90" s="1260" t="inlineStr">
        <is>
          <t>TBA</t>
        </is>
      </c>
    </row>
    <row r="91">
      <c r="AD91" s="470" t="n">
        <v>43762</v>
      </c>
      <c r="AE91" s="1255" t="inlineStr">
        <is>
          <t>David McGuire</t>
        </is>
      </c>
      <c r="AF91" s="1255" t="inlineStr">
        <is>
          <t>20191024-1</t>
        </is>
      </c>
      <c r="AG91" s="1282" t="inlineStr">
        <is>
          <t>172055</t>
        </is>
      </c>
      <c r="AH91" s="1385" t="n">
        <v>250</v>
      </c>
      <c r="AI91" s="1260" t="inlineStr">
        <is>
          <t>TBA</t>
        </is>
      </c>
    </row>
    <row r="92" ht="13.15" customHeight="1" s="1232">
      <c r="I92" s="1341" t="inlineStr">
        <is>
          <t>Banking Source</t>
        </is>
      </c>
      <c r="K92" s="1332" t="inlineStr">
        <is>
          <t>Jan</t>
        </is>
      </c>
      <c r="L92" s="1332" t="inlineStr">
        <is>
          <t>Feb</t>
        </is>
      </c>
      <c r="M92" s="1332" t="inlineStr">
        <is>
          <t>Mar</t>
        </is>
      </c>
      <c r="N92" s="1332" t="inlineStr">
        <is>
          <t>Apr</t>
        </is>
      </c>
      <c r="O92" s="1332" t="inlineStr">
        <is>
          <t>May</t>
        </is>
      </c>
      <c r="P92" s="1332" t="inlineStr">
        <is>
          <t>Jun</t>
        </is>
      </c>
      <c r="Q92" s="1332" t="inlineStr">
        <is>
          <t>Jul</t>
        </is>
      </c>
      <c r="R92" s="1332" t="inlineStr">
        <is>
          <t>Aug</t>
        </is>
      </c>
      <c r="S92" s="1332" t="inlineStr">
        <is>
          <t>Sep</t>
        </is>
      </c>
      <c r="T92" s="1332" t="inlineStr">
        <is>
          <t>Oct</t>
        </is>
      </c>
      <c r="U92" s="1332" t="inlineStr">
        <is>
          <t>Nov</t>
        </is>
      </c>
      <c r="V92" s="1332" t="inlineStr">
        <is>
          <t>Dec</t>
        </is>
      </c>
      <c r="W92" s="1332" t="inlineStr">
        <is>
          <t>Year</t>
        </is>
      </c>
      <c r="X92" s="1278" t="inlineStr">
        <is>
          <t>Split</t>
        </is>
      </c>
      <c r="Y92" s="1278" t="inlineStr">
        <is>
          <t>% YTD</t>
        </is>
      </c>
      <c r="AD92" s="470" t="n">
        <v>43769</v>
      </c>
      <c r="AE92" s="1260" t="inlineStr">
        <is>
          <t>Arthur Masters</t>
        </is>
      </c>
      <c r="AF92" s="1255" t="inlineStr">
        <is>
          <t>20191031-1</t>
        </is>
      </c>
      <c r="AG92" s="1282" t="inlineStr">
        <is>
          <t>174376</t>
        </is>
      </c>
      <c r="AH92" s="1385" t="n">
        <v>200</v>
      </c>
      <c r="AI92" s="1260" t="inlineStr">
        <is>
          <t>Jan</t>
        </is>
      </c>
    </row>
    <row r="93">
      <c r="I93" s="1255" t="inlineStr">
        <is>
          <t>Stripe</t>
        </is>
      </c>
      <c r="K93" s="432">
        <f>SUMIFS($E$145:$E$587,$A$145:$A$587,"&gt;31/12/2019",$A$145:$A$587,"&lt;1/2/2020",$D$145:$D$587,$I93)</f>
        <v/>
      </c>
      <c r="L93" s="432">
        <f>SUMIFS($E$145:$E$587,$A$145:$A$587,"&gt;31/1/2020",$A$145:$A$587,"&lt;1/3/2020",$D$145:$D$587,$I93)</f>
        <v/>
      </c>
      <c r="M93" s="432">
        <f>SUMIFS($E$145:$E$587,$A$145:$A$587,"&gt;29/2/2020",$A$145:$A$587,"&lt;1/4/2020",$D$145:$D$587,$I93)</f>
        <v/>
      </c>
      <c r="N93" s="432">
        <f>SUMIFS($E$145:$E$587,$A$145:$A$587,"&gt;31/3/2020",$A$145:$A$587,"&lt;1/5/2020",$D$145:$D$587,$I93)</f>
        <v/>
      </c>
      <c r="O93" s="432">
        <f>SUMIFS($E$145:$E$587,$A$145:$A$587,"&gt;30/4/2020",$A$145:$A$587,"&lt;1/6/2020",$D$145:$D$587,$I93)</f>
        <v/>
      </c>
      <c r="P93" s="432">
        <f>SUMIFS($E$145:$E$587,$A$145:$A$587,"&gt;31/5/2020",$A$145:$A$587,"&lt;1/7/2020",$D$145:$D$587,$I93)</f>
        <v/>
      </c>
      <c r="Q93" s="432">
        <f>SUMIFS($E$145:$E$587,$A$145:$A$587,"&gt;30/6/2020",$A$145:$A$587,"&lt;1/8/2020",$D$145:$D$587,$I93)</f>
        <v/>
      </c>
      <c r="R93" s="432">
        <f>SUMIFS($E$145:$E$587,$A$145:$A$587,"&gt;31/7/2020",$A$145:$A$587,"&lt;1/9/2020",$D$145:$D$587,$I93)</f>
        <v/>
      </c>
      <c r="S93" s="432">
        <f>SUMIFS($E$145:$E$587,$A$145:$A$587,"&gt;31/8/2020",$A$145:$A$587,"&lt;1/10/2020",$D$145:$D$587,$I93)</f>
        <v/>
      </c>
      <c r="T93" s="432">
        <f>SUMIFS($E$145:$E$587,$A$145:$A$587,"&gt;30/9/2020",$A$145:$A$587,"&lt;1/11/2020",$D$145:$D$587,$I93)</f>
        <v/>
      </c>
      <c r="U93" s="432">
        <f>SUMIFS($E$145:$E$587,$A$145:$A$587,"&gt;31/10/2020",$A$145:$A$587,"&lt;1/12/2020",$D$145:$D$587,$I93)</f>
        <v/>
      </c>
      <c r="V93" s="432">
        <f>SUMIFS($E$145:$E$587,$A$145:$A$587,"&gt;30/11/2020",$A$145:$A$587,"&lt;1/1/2021",$D$145:$D$587,$I93)</f>
        <v/>
      </c>
      <c r="W93" s="432">
        <f>SUM(K93:V93)</f>
        <v/>
      </c>
      <c r="X93" s="460">
        <f>L93/$L$102</f>
        <v/>
      </c>
      <c r="Y93" s="460">
        <f>W93/W102</f>
        <v/>
      </c>
      <c r="AD93" s="470" t="n">
        <v>43787</v>
      </c>
      <c r="AE93" s="1260" t="inlineStr">
        <is>
          <t>Adrian Willcock</t>
        </is>
      </c>
      <c r="AF93" s="1260" t="inlineStr">
        <is>
          <t>2019-1118-1</t>
        </is>
      </c>
      <c r="AG93" s="1282" t="inlineStr">
        <is>
          <t>172526</t>
        </is>
      </c>
      <c r="AH93" s="1385" t="n">
        <v>150</v>
      </c>
    </row>
    <row r="94">
      <c r="I94" s="1255" t="inlineStr">
        <is>
          <t>PayPal</t>
        </is>
      </c>
      <c r="K94" s="432">
        <f>SUMIFS($E$145:$E$587,$A$145:$A$587,"&gt;31/12/2019",$A$145:$A$587,"&lt;1/2/2020",$D$145:$D$587,$I94)</f>
        <v/>
      </c>
      <c r="L94" s="432">
        <f>SUMIFS($E$145:$E$587,$A$145:$A$587,"&gt;31/1/2020",$A$145:$A$587,"&lt;1/3/2020",$D$145:$D$587,$I94)</f>
        <v/>
      </c>
      <c r="M94" s="432">
        <f>SUMIFS($E$145:$E$587,$A$145:$A$587,"&gt;29/2/2020",$A$145:$A$587,"&lt;1/4/2020",$D$145:$D$587,$I94)</f>
        <v/>
      </c>
      <c r="N94" s="432">
        <f>SUMIFS($E$145:$E$587,$A$145:$A$587,"&gt;31/3/2020",$A$145:$A$587,"&lt;1/5/2020",$D$145:$D$587,$I94)</f>
        <v/>
      </c>
      <c r="O94" s="432">
        <f>SUMIFS($E$145:$E$587,$A$145:$A$587,"&gt;30/4/2020",$A$145:$A$587,"&lt;1/6/2020",$D$145:$D$587,$I94)</f>
        <v/>
      </c>
      <c r="P94" s="432">
        <f>SUMIFS($E$145:$E$587,$A$145:$A$587,"&gt;31/5/2020",$A$145:$A$587,"&lt;1/7/2020",$D$145:$D$587,$I94)</f>
        <v/>
      </c>
      <c r="Q94" s="432">
        <f>SUMIFS($E$145:$E$587,$A$145:$A$587,"&gt;30/6/2020",$A$145:$A$587,"&lt;1/8/2020",$D$145:$D$587,$I94)</f>
        <v/>
      </c>
      <c r="R94" s="432">
        <f>SUMIFS($E$145:$E$587,$A$145:$A$587,"&gt;31/7/2020",$A$145:$A$587,"&lt;1/9/2020",$D$145:$D$587,$I94)</f>
        <v/>
      </c>
      <c r="S94" s="432">
        <f>SUMIFS($E$145:$E$587,$A$145:$A$587,"&gt;31/8/2020",$A$145:$A$587,"&lt;1/10/2020",$D$145:$D$587,$I94)</f>
        <v/>
      </c>
      <c r="T94" s="432">
        <f>SUMIFS($E$145:$E$587,$A$145:$A$587,"&gt;30/9/2020",$A$145:$A$587,"&lt;1/11/2020",$D$145:$D$587,$I94)</f>
        <v/>
      </c>
      <c r="U94" s="432">
        <f>SUMIFS($E$145:$E$587,$A$145:$A$587,"&gt;31/10/2020",$A$145:$A$587,"&lt;1/12/2020",$D$145:$D$587,$I94)</f>
        <v/>
      </c>
      <c r="V94" s="432">
        <f>SUMIFS($E$145:$E$587,$A$145:$A$587,"&gt;30/11/2020",$A$145:$A$587,"&lt;1/1/2021",$D$145:$D$587,$I94)</f>
        <v/>
      </c>
      <c r="W94" s="432">
        <f>SUM(K94:V94)</f>
        <v/>
      </c>
      <c r="X94" s="460">
        <f>L94/$L$102</f>
        <v/>
      </c>
      <c r="Y94" s="460">
        <f>W94/W102</f>
        <v/>
      </c>
      <c r="AD94" s="470" t="n">
        <v>43865</v>
      </c>
      <c r="AE94" s="1260" t="inlineStr">
        <is>
          <t>Arthur Masters</t>
        </is>
      </c>
      <c r="AF94" s="1255" t="inlineStr">
        <is>
          <t>20200204-1</t>
        </is>
      </c>
      <c r="AG94" s="1282" t="inlineStr">
        <is>
          <t>176314</t>
        </is>
      </c>
      <c r="AH94" s="1385" t="n">
        <v>200</v>
      </c>
      <c r="AI94" s="1260" t="inlineStr">
        <is>
          <t>LR</t>
        </is>
      </c>
    </row>
    <row r="95">
      <c r="I95" s="1255" t="inlineStr">
        <is>
          <t>Various</t>
        </is>
      </c>
      <c r="K95" s="432">
        <f>SUMIFS($E$145:$E$587,$A$145:$A$587,"&gt;31/12/2019",$A$145:$A$587,"&lt;1/2/2020",$D$145:$D$587,$I95)</f>
        <v/>
      </c>
      <c r="L95" s="432">
        <f>SUMIFS($E$145:$E$587,$A$145:$A$587,"&gt;31/1/2020",$A$145:$A$587,"&lt;1/3/2020",$D$145:$D$587,$I95)</f>
        <v/>
      </c>
      <c r="M95" s="432">
        <f>SUMIFS($E$145:$E$587,$A$145:$A$587,"&gt;29/2/2020",$A$145:$A$587,"&lt;1/4/2020",$D$145:$D$587,$I95)</f>
        <v/>
      </c>
      <c r="N95" s="432">
        <f>SUMIFS($E$145:$E$587,$A$145:$A$587,"&gt;31/3/2020",$A$145:$A$587,"&lt;1/5/2020",$D$145:$D$587,$I95)</f>
        <v/>
      </c>
      <c r="O95" s="432">
        <f>SUMIFS($E$145:$E$587,$A$145:$A$587,"&gt;30/4/2020",$A$145:$A$587,"&lt;1/6/2020",$D$145:$D$587,$I95)</f>
        <v/>
      </c>
      <c r="P95" s="432">
        <f>SUMIFS($E$145:$E$587,$A$145:$A$587,"&gt;31/5/2020",$A$145:$A$587,"&lt;1/7/2020",$D$145:$D$587,$I95)</f>
        <v/>
      </c>
      <c r="Q95" s="432">
        <f>SUMIFS($E$145:$E$587,$A$145:$A$587,"&gt;30/6/2020",$A$145:$A$587,"&lt;1/8/2020",$D$145:$D$587,$I95)</f>
        <v/>
      </c>
      <c r="R95" s="432">
        <f>SUMIFS($E$145:$E$587,$A$145:$A$587,"&gt;31/7/2020",$A$145:$A$587,"&lt;1/9/2020",$D$145:$D$587,$I95)</f>
        <v/>
      </c>
      <c r="S95" s="432">
        <f>SUMIFS($E$145:$E$587,$A$145:$A$587,"&gt;31/8/2020",$A$145:$A$587,"&lt;1/10/2020",$D$145:$D$587,$I95)</f>
        <v/>
      </c>
      <c r="T95" s="432">
        <f>SUMIFS($E$145:$E$587,$A$145:$A$587,"&gt;30/9/2020",$A$145:$A$587,"&lt;1/11/2020",$D$145:$D$587,$I95)</f>
        <v/>
      </c>
      <c r="U95" s="432">
        <f>SUMIFS($E$145:$E$587,$A$145:$A$587,"&gt;31/10/2020",$A$145:$A$587,"&lt;1/12/2020",$D$145:$D$587,$I95)</f>
        <v/>
      </c>
      <c r="V95" s="432">
        <f>SUMIFS($E$145:$E$587,$A$145:$A$587,"&gt;30/11/2020",$A$145:$A$587,"&lt;1/1/2021",$D$145:$D$587,$I95)</f>
        <v/>
      </c>
      <c r="W95" s="432">
        <f>SUM(K95:V95)</f>
        <v/>
      </c>
      <c r="X95" s="460">
        <f>L95/$L$102</f>
        <v/>
      </c>
      <c r="Y95" s="460">
        <f>W95/W102</f>
        <v/>
      </c>
      <c r="AG95" s="1282" t="n"/>
    </row>
    <row r="96">
      <c r="I96" s="1255" t="inlineStr">
        <is>
          <t>Bank</t>
        </is>
      </c>
      <c r="K96" s="432">
        <f>SUMIFS($E$145:$E$587,$A$145:$A$587,"&gt;31/12/2019",$A$145:$A$587,"&lt;1/2/2020",$D$145:$D$587,$I96)</f>
        <v/>
      </c>
      <c r="L96" s="432">
        <f>SUMIFS($E$145:$E$587,$A$145:$A$587,"&gt;31/1/2020",$A$145:$A$587,"&lt;1/3/2020",$D$145:$D$587,$I96)</f>
        <v/>
      </c>
      <c r="M96" s="432">
        <f>SUMIFS($E$145:$E$587,$A$145:$A$587,"&gt;29/2/2020",$A$145:$A$587,"&lt;1/4/2020",$D$145:$D$587,$I96)</f>
        <v/>
      </c>
      <c r="N96" s="432">
        <f>SUMIFS($E$145:$E$587,$A$145:$A$587,"&gt;31/3/2020",$A$145:$A$587,"&lt;1/5/2020",$D$145:$D$587,$I96)</f>
        <v/>
      </c>
      <c r="O96" s="432">
        <f>SUMIFS($E$145:$E$587,$A$145:$A$587,"&gt;30/4/2020",$A$145:$A$587,"&lt;1/6/2020",$D$145:$D$587,$I96)</f>
        <v/>
      </c>
      <c r="P96" s="432">
        <f>SUMIFS($E$145:$E$587,$A$145:$A$587,"&gt;31/5/2020",$A$145:$A$587,"&lt;1/7/2020",$D$145:$D$587,$I96)</f>
        <v/>
      </c>
      <c r="Q96" s="432">
        <f>SUMIFS($E$145:$E$587,$A$145:$A$587,"&gt;30/6/2020",$A$145:$A$587,"&lt;1/8/2020",$D$145:$D$587,$I96)</f>
        <v/>
      </c>
      <c r="R96" s="432">
        <f>SUMIFS($E$145:$E$587,$A$145:$A$587,"&gt;31/7/2020",$A$145:$A$587,"&lt;1/9/2020",$D$145:$D$587,$I96)</f>
        <v/>
      </c>
      <c r="S96" s="432">
        <f>SUMIFS($E$145:$E$587,$A$145:$A$587,"&gt;31/8/2020",$A$145:$A$587,"&lt;1/10/2020",$D$145:$D$587,$I96)</f>
        <v/>
      </c>
      <c r="T96" s="432">
        <f>SUMIFS($E$145:$E$587,$A$145:$A$587,"&gt;30/9/2020",$A$145:$A$587,"&lt;1/11/2020",$D$145:$D$587,$I96)</f>
        <v/>
      </c>
      <c r="U96" s="432">
        <f>SUMIFS($E$145:$E$587,$A$145:$A$587,"&gt;31/10/2020",$A$145:$A$587,"&lt;1/12/2020",$D$145:$D$587,$I96)</f>
        <v/>
      </c>
      <c r="V96" s="432">
        <f>SUMIFS($E$145:$E$587,$A$145:$A$587,"&gt;30/11/2020",$A$145:$A$587,"&lt;1/1/2021",$D$145:$D$587,$I96)</f>
        <v/>
      </c>
      <c r="W96" s="432">
        <f>SUM(K96:V96)</f>
        <v/>
      </c>
      <c r="X96" s="460">
        <f>L96/$L$102</f>
        <v/>
      </c>
      <c r="Y96" s="460">
        <f>W96/W102</f>
        <v/>
      </c>
      <c r="AG96" s="1282" t="n"/>
    </row>
    <row r="97" ht="13.15" customHeight="1" s="1232">
      <c r="I97" s="1255" t="inlineStr">
        <is>
          <t>Groupon</t>
        </is>
      </c>
      <c r="K97" s="432">
        <f>SUMIFS($E$145:$E$587,$A$145:$A$587,"&gt;31/12/2019",$A$145:$A$587,"&lt;1/2/2020",$D$145:$D$587,$I97)</f>
        <v/>
      </c>
      <c r="L97" s="432">
        <f>SUMIFS($E$145:$E$587,$A$145:$A$587,"&gt;31/1/2020",$A$145:$A$587,"&lt;1/3/2020",$D$145:$D$587,$I97)</f>
        <v/>
      </c>
      <c r="M97" s="432">
        <f>SUMIFS($E$145:$E$587,$A$145:$A$587,"&gt;29/2/2020",$A$145:$A$587,"&lt;1/4/2020",$D$145:$D$587,$I97)</f>
        <v/>
      </c>
      <c r="N97" s="432">
        <f>SUMIFS($E$145:$E$587,$A$145:$A$587,"&gt;31/3/2020",$A$145:$A$587,"&lt;1/5/2020",$D$145:$D$587,$I97)</f>
        <v/>
      </c>
      <c r="O97" s="432">
        <f>SUMIFS($E$145:$E$587,$A$145:$A$587,"&gt;30/4/2020",$A$145:$A$587,"&lt;1/6/2020",$D$145:$D$587,$I97)</f>
        <v/>
      </c>
      <c r="P97" s="432">
        <f>SUMIFS($E$145:$E$587,$A$145:$A$587,"&gt;31/5/2020",$A$145:$A$587,"&lt;1/7/2020",$D$145:$D$587,$I97)</f>
        <v/>
      </c>
      <c r="Q97" s="432">
        <f>SUMIFS($E$145:$E$587,$A$145:$A$587,"&gt;30/6/2020",$A$145:$A$587,"&lt;1/8/2020",$D$145:$D$587,$I97)</f>
        <v/>
      </c>
      <c r="R97" s="432">
        <f>SUMIFS($E$145:$E$587,$A$145:$A$587,"&gt;31/7/2020",$A$145:$A$587,"&lt;1/9/2020",$D$145:$D$587,$I97)</f>
        <v/>
      </c>
      <c r="S97" s="432">
        <f>SUMIFS($E$145:$E$587,$A$145:$A$587,"&gt;31/8/2020",$A$145:$A$587,"&lt;1/10/2020",$D$145:$D$587,$I97)</f>
        <v/>
      </c>
      <c r="T97" s="432">
        <f>SUMIFS($E$145:$E$587,$A$145:$A$587,"&gt;30/9/2020",$A$145:$A$587,"&lt;1/11/2020",$D$145:$D$587,$I97)</f>
        <v/>
      </c>
      <c r="U97" s="432">
        <f>SUMIFS($E$145:$E$587,$A$145:$A$587,"&gt;31/10/2020",$A$145:$A$587,"&lt;1/12/2020",$D$145:$D$587,$I97)</f>
        <v/>
      </c>
      <c r="V97" s="432">
        <f>SUMIFS($E$145:$E$587,$A$145:$A$587,"&gt;30/11/2020",$A$145:$A$587,"&lt;1/1/2021",$D$145:$D$587,$I97)</f>
        <v/>
      </c>
      <c r="W97" s="432">
        <f>SUM(K97:V97)</f>
        <v/>
      </c>
      <c r="X97" s="460">
        <f>L97/$L$102</f>
        <v/>
      </c>
      <c r="Y97" s="460">
        <f>W97/W102</f>
        <v/>
      </c>
      <c r="AH97" s="1391">
        <f>SUM(AH17:AH96)</f>
        <v/>
      </c>
    </row>
    <row r="98">
      <c r="I98" s="1255" t="inlineStr">
        <is>
          <t>Cash</t>
        </is>
      </c>
      <c r="K98" s="432">
        <f>SUMIFS($E$145:$E$587,$A$145:$A$587,"&gt;31/12/2019",$A$145:$A$587,"&lt;1/2/2020",$D$145:$D$587,$I98)</f>
        <v/>
      </c>
      <c r="L98" s="432">
        <f>SUMIFS($E$145:$E$587,$A$145:$A$587,"&gt;31/1/2020",$A$145:$A$587,"&lt;1/3/2020",$D$145:$D$587,$I98)</f>
        <v/>
      </c>
      <c r="M98" s="432">
        <f>SUMIFS($E$145:$E$587,$A$145:$A$587,"&gt;29/2/2020",$A$145:$A$587,"&lt;1/4/2020",$D$145:$D$587,$I98)</f>
        <v/>
      </c>
      <c r="N98" s="432">
        <f>SUMIFS($E$145:$E$587,$A$145:$A$587,"&gt;31/3/2020",$A$145:$A$587,"&lt;1/5/2020",$D$145:$D$587,$I98)</f>
        <v/>
      </c>
      <c r="O98" s="432">
        <f>SUMIFS($E$145:$E$587,$A$145:$A$587,"&gt;30/4/2020",$A$145:$A$587,"&lt;1/6/2020",$D$145:$D$587,$I98)</f>
        <v/>
      </c>
      <c r="P98" s="432">
        <f>SUMIFS($E$145:$E$587,$A$145:$A$587,"&gt;31/5/2020",$A$145:$A$587,"&lt;1/7/2020",$D$145:$D$587,$I98)</f>
        <v/>
      </c>
      <c r="Q98" s="432">
        <f>SUMIFS($E$145:$E$587,$A$145:$A$587,"&gt;30/6/2020",$A$145:$A$587,"&lt;1/8/2020",$D$145:$D$587,$I98)</f>
        <v/>
      </c>
      <c r="R98" s="432">
        <f>SUMIFS($E$145:$E$587,$A$145:$A$587,"&gt;31/7/2020",$A$145:$A$587,"&lt;1/9/2020",$D$145:$D$587,$I98)</f>
        <v/>
      </c>
      <c r="S98" s="432">
        <f>SUMIFS($E$145:$E$587,$A$145:$A$587,"&gt;31/8/2020",$A$145:$A$587,"&lt;1/10/2020",$D$145:$D$587,$I98)</f>
        <v/>
      </c>
      <c r="T98" s="432">
        <f>SUMIFS($E$145:$E$587,$A$145:$A$587,"&gt;30/9/2020",$A$145:$A$587,"&lt;1/11/2020",$D$145:$D$587,$I98)</f>
        <v/>
      </c>
      <c r="U98" s="432">
        <f>SUMIFS($E$145:$E$587,$A$145:$A$587,"&gt;31/10/2020",$A$145:$A$587,"&lt;1/12/2020",$D$145:$D$587,$I98)</f>
        <v/>
      </c>
      <c r="V98" s="432">
        <f>SUMIFS($E$145:$E$587,$A$145:$A$587,"&gt;30/11/2020",$A$145:$A$587,"&lt;1/1/2021",$D$145:$D$587,$I98)</f>
        <v/>
      </c>
      <c r="W98" s="432">
        <f>SUM(K98:V98)</f>
        <v/>
      </c>
      <c r="X98" s="460">
        <f>L98/$L$102</f>
        <v/>
      </c>
      <c r="Y98" s="460">
        <f>W98/W102</f>
        <v/>
      </c>
    </row>
    <row r="99">
      <c r="I99" s="1260" t="inlineStr">
        <is>
          <t>Gift Voucher Out</t>
        </is>
      </c>
      <c r="K99" s="432">
        <f>SUMIFS($E$145:$E$587,$A$145:$A$587,"&gt;31/12/2019",$A$145:$A$587,"&lt;1/2/2020",$D$145:$D$587,$I99)</f>
        <v/>
      </c>
      <c r="L99" s="432">
        <f>SUMIFS($E$145:$E$587,$A$145:$A$587,"&gt;31/1/2020",$A$145:$A$587,"&lt;1/3/2020",$D$145:$D$587,$I99)</f>
        <v/>
      </c>
      <c r="M99" s="432">
        <f>SUMIFS($E$145:$E$587,$A$145:$A$587,"&gt;29/2/2020",$A$145:$A$587,"&lt;1/4/2020",$D$145:$D$587,$I99)</f>
        <v/>
      </c>
      <c r="N99" s="432">
        <f>SUMIFS($E$145:$E$587,$A$145:$A$587,"&gt;31/3/2020",$A$145:$A$587,"&lt;1/5/2020",$D$145:$D$587,$I99)</f>
        <v/>
      </c>
      <c r="O99" s="432">
        <f>SUMIFS($E$145:$E$587,$A$145:$A$587,"&gt;30/4/2020",$A$145:$A$587,"&lt;1/6/2020",$D$145:$D$587,$I99)</f>
        <v/>
      </c>
      <c r="P99" s="432">
        <f>SUMIFS($E$145:$E$587,$A$145:$A$587,"&gt;31/5/2020",$A$145:$A$587,"&lt;1/7/2020",$D$145:$D$587,$I99)</f>
        <v/>
      </c>
      <c r="Q99" s="432">
        <f>SUMIFS($E$145:$E$587,$A$145:$A$587,"&gt;30/6/2020",$A$145:$A$587,"&lt;1/8/2020",$D$145:$D$587,$I99)</f>
        <v/>
      </c>
      <c r="R99" s="432">
        <f>SUMIFS($E$145:$E$587,$A$145:$A$587,"&gt;31/7/2020",$A$145:$A$587,"&lt;1/9/2020",$D$145:$D$587,$I99)</f>
        <v/>
      </c>
      <c r="S99" s="432">
        <f>SUMIFS($E$145:$E$587,$A$145:$A$587,"&gt;31/8/2020",$A$145:$A$587,"&lt;1/10/2020",$D$145:$D$587,$I99)</f>
        <v/>
      </c>
      <c r="T99" s="432">
        <f>SUMIFS($E$145:$E$587,$A$145:$A$587,"&gt;30/9/2020",$A$145:$A$587,"&lt;1/11/2020",$D$145:$D$587,$I99)</f>
        <v/>
      </c>
      <c r="U99" s="432">
        <f>SUMIFS($E$145:$E$587,$A$145:$A$587,"&gt;31/10/2020",$A$145:$A$587,"&lt;1/12/2020",$D$145:$D$587,$I99)</f>
        <v/>
      </c>
      <c r="V99" s="432">
        <f>SUMIFS($E$145:$E$587,$A$145:$A$587,"&gt;30/11/2020",$A$145:$A$587,"&lt;1/1/2021",$D$145:$D$587,$I99)</f>
        <v/>
      </c>
      <c r="W99" s="432">
        <f>SUM(K99:V99)</f>
        <v/>
      </c>
      <c r="X99" s="460" t="n"/>
      <c r="Y99" s="460" t="n"/>
    </row>
    <row r="100">
      <c r="I100" s="1260" t="inlineStr">
        <is>
          <t>PicknMix</t>
        </is>
      </c>
      <c r="K100" s="432">
        <f>SUMIFS($E$145:$E$587,$A$145:$A$587,"&gt;31/12/2019",$A$145:$A$587,"&lt;1/2/2020",$D$145:$D$587,$I100)</f>
        <v/>
      </c>
      <c r="L100" s="432">
        <f>SUMIFS($E$145:$E$587,$A$145:$A$587,"&gt;31/1/2020",$A$145:$A$587,"&lt;1/3/2020",$D$145:$D$587,$I100)</f>
        <v/>
      </c>
      <c r="M100" s="432">
        <f>SUMIFS($E$145:$E$587,$A$145:$A$587,"&gt;29/2/2020",$A$145:$A$587,"&lt;1/4/2020",$D$145:$D$587,$I100)</f>
        <v/>
      </c>
      <c r="N100" s="432">
        <f>SUMIFS($E$145:$E$587,$A$145:$A$587,"&gt;31/3/2020",$A$145:$A$587,"&lt;1/5/2020",$D$145:$D$587,$I100)</f>
        <v/>
      </c>
      <c r="O100" s="432">
        <f>SUMIFS($E$145:$E$587,$A$145:$A$587,"&gt;30/4/2020",$A$145:$A$587,"&lt;1/6/2020",$D$145:$D$587,$I100)</f>
        <v/>
      </c>
      <c r="P100" s="432">
        <f>SUMIFS($E$145:$E$587,$A$145:$A$587,"&gt;31/5/2020",$A$145:$A$587,"&lt;1/7/2020",$D$145:$D$587,$I100)</f>
        <v/>
      </c>
      <c r="Q100" s="432">
        <f>SUMIFS($E$145:$E$587,$A$145:$A$587,"&gt;30/6/2020",$A$145:$A$587,"&lt;1/8/2020",$D$145:$D$587,$I100)</f>
        <v/>
      </c>
      <c r="R100" s="432">
        <f>SUMIFS($E$145:$E$587,$A$145:$A$587,"&gt;31/7/2020",$A$145:$A$587,"&lt;1/9/2020",$D$145:$D$587,$I100)</f>
        <v/>
      </c>
      <c r="S100" s="432">
        <f>SUMIFS($E$145:$E$587,$A$145:$A$587,"&gt;31/8/2020",$A$145:$A$587,"&lt;1/10/2020",$D$145:$D$587,$I100)</f>
        <v/>
      </c>
      <c r="T100" s="432">
        <f>SUMIFS($E$145:$E$587,$A$145:$A$587,"&gt;30/9/2020",$A$145:$A$587,"&lt;1/11/2020",$D$145:$D$587,$I100)</f>
        <v/>
      </c>
      <c r="U100" s="432">
        <f>SUMIFS($E$145:$E$587,$A$145:$A$587,"&gt;31/10/2020",$A$145:$A$587,"&lt;1/12/2020",$D$145:$D$587,$I100)</f>
        <v/>
      </c>
      <c r="V100" s="432">
        <f>SUMIFS($E$145:$E$587,$A$145:$A$587,"&gt;30/11/2020",$A$145:$A$587,"&lt;1/1/2021",$D$145:$D$587,$I100)</f>
        <v/>
      </c>
      <c r="W100" s="432">
        <f>SUM(K100:V100)</f>
        <v/>
      </c>
      <c r="X100" s="460">
        <f>L100/$L$102</f>
        <v/>
      </c>
      <c r="Y100" s="460">
        <f>W100/W102</f>
        <v/>
      </c>
    </row>
    <row r="101">
      <c r="I101" s="1255" t="inlineStr">
        <is>
          <t>W-Play</t>
        </is>
      </c>
      <c r="K101" s="432">
        <f>SUMIFS($E$145:$E$587,$A$145:$A$587,"&gt;31/12/2019",$A$145:$A$587,"&lt;1/2/2020",$D$145:$D$587,$I101)</f>
        <v/>
      </c>
      <c r="L101" s="432">
        <f>SUMIFS($E$145:$E$587,$A$145:$A$587,"&gt;31/1/2020",$A$145:$A$587,"&lt;1/3/2020",$D$145:$D$587,$I101)</f>
        <v/>
      </c>
      <c r="M101" s="432">
        <f>SUMIFS($E$145:$E$587,$A$145:$A$587,"&gt;29/2/2020",$A$145:$A$587,"&lt;1/4/2020",$D$145:$D$587,$I101)</f>
        <v/>
      </c>
      <c r="N101" s="432">
        <f>SUMIFS($E$145:$E$587,$A$145:$A$587,"&gt;31/3/2020",$A$145:$A$587,"&lt;1/5/2020",$D$145:$D$587,$I101)</f>
        <v/>
      </c>
      <c r="O101" s="432">
        <f>SUMIFS($E$145:$E$587,$A$145:$A$587,"&gt;30/4/2020",$A$145:$A$587,"&lt;1/6/2020",$D$145:$D$587,$I101)</f>
        <v/>
      </c>
      <c r="P101" s="432">
        <f>SUMIFS($E$145:$E$587,$A$145:$A$587,"&gt;31/5/2020",$A$145:$A$587,"&lt;1/7/2020",$D$145:$D$587,$I101)</f>
        <v/>
      </c>
      <c r="Q101" s="432">
        <f>SUMIFS($E$145:$E$587,$A$145:$A$587,"&gt;30/6/2020",$A$145:$A$587,"&lt;1/8/2020",$D$145:$D$587,$I101)</f>
        <v/>
      </c>
      <c r="R101" s="432">
        <f>SUMIFS($E$145:$E$587,$A$145:$A$587,"&gt;31/7/2020",$A$145:$A$587,"&lt;1/9/2020",$D$145:$D$587,$I101)</f>
        <v/>
      </c>
      <c r="S101" s="432">
        <f>SUMIFS($E$145:$E$587,$A$145:$A$587,"&gt;31/8/2020",$A$145:$A$587,"&lt;1/10/2020",$D$145:$D$587,$I101)</f>
        <v/>
      </c>
      <c r="T101" s="432">
        <f>SUMIFS($E$145:$E$587,$A$145:$A$587,"&gt;30/9/2020",$A$145:$A$587,"&lt;1/11/2020",$D$145:$D$587,$I101)</f>
        <v/>
      </c>
      <c r="U101" s="432">
        <f>SUMIFS($E$145:$E$587,$A$145:$A$587,"&gt;31/10/2020",$A$145:$A$587,"&lt;1/12/2020",$D$145:$D$587,$I101)</f>
        <v/>
      </c>
      <c r="V101" s="432">
        <f>SUMIFS($E$145:$E$587,$A$145:$A$587,"&gt;30/11/2020",$A$145:$A$587,"&lt;1/1/2021",$D$145:$D$587,$I101)</f>
        <v/>
      </c>
      <c r="W101" s="432">
        <f>SUM(K101:V101)</f>
        <v/>
      </c>
      <c r="X101" s="460">
        <f>L101/$L$102</f>
        <v/>
      </c>
      <c r="Y101" s="460">
        <f>W101/W102</f>
        <v/>
      </c>
    </row>
    <row r="102" ht="13.5" customHeight="1" s="1232" thickBot="1">
      <c r="I102" s="914" t="n"/>
      <c r="K102" s="801">
        <f>SUM(K93:K101)</f>
        <v/>
      </c>
      <c r="L102" s="801">
        <f>SUM(L93:L101)</f>
        <v/>
      </c>
      <c r="M102" s="801">
        <f>SUM(M93:M101)</f>
        <v/>
      </c>
      <c r="N102" s="801">
        <f>SUM(N93:N101)</f>
        <v/>
      </c>
      <c r="O102" s="801">
        <f>SUM(O93:O101)</f>
        <v/>
      </c>
      <c r="P102" s="801">
        <f>SUM(P93:P101)</f>
        <v/>
      </c>
      <c r="Q102" s="801">
        <f>SUM(Q93:Q101)</f>
        <v/>
      </c>
      <c r="R102" s="801">
        <f>SUM(R93:R101)</f>
        <v/>
      </c>
      <c r="S102" s="801">
        <f>SUM(S93:S101)</f>
        <v/>
      </c>
      <c r="T102" s="801">
        <f>SUM(T93:T101)</f>
        <v/>
      </c>
      <c r="U102" s="801">
        <f>SUM(U93:U101)</f>
        <v/>
      </c>
      <c r="V102" s="801">
        <f>SUM(V93:V101)</f>
        <v/>
      </c>
      <c r="W102" s="801">
        <f>SUM(W93:W101)</f>
        <v/>
      </c>
      <c r="X102" s="914" t="n"/>
      <c r="Y102" s="466" t="n"/>
      <c r="AD102" s="470" t="n"/>
      <c r="AF102" s="1260" t="n"/>
      <c r="AG102" s="1282" t="n"/>
    </row>
    <row r="103" ht="13.15" customHeight="1" s="1232" thickTop="1">
      <c r="I103" s="914" t="n"/>
      <c r="K103" s="434">
        <f>K102-K16</f>
        <v/>
      </c>
      <c r="L103" s="434">
        <f>L102-L16</f>
        <v/>
      </c>
      <c r="M103" s="434">
        <f>M102-M16</f>
        <v/>
      </c>
      <c r="N103" s="434">
        <f>N102-N16</f>
        <v/>
      </c>
      <c r="O103" s="434">
        <f>O102-O16</f>
        <v/>
      </c>
      <c r="P103" s="434">
        <f>P102-P16</f>
        <v/>
      </c>
      <c r="Q103" s="434">
        <f>Q102-Q16</f>
        <v/>
      </c>
      <c r="R103" s="434">
        <f>R102-R16</f>
        <v/>
      </c>
      <c r="S103" s="434">
        <f>S102-S16</f>
        <v/>
      </c>
      <c r="T103" s="434" t="n"/>
      <c r="U103" s="434" t="n"/>
      <c r="V103" s="434" t="n"/>
      <c r="W103" s="434" t="n"/>
      <c r="X103" s="914" t="n"/>
      <c r="AD103" s="470" t="n"/>
      <c r="AF103" s="1260" t="n"/>
      <c r="AG103" s="1282" t="n"/>
    </row>
    <row r="104" ht="13.15" customHeight="1" s="1232">
      <c r="I104" s="556" t="inlineStr">
        <is>
          <t>Payment Fees</t>
        </is>
      </c>
      <c r="K104" s="1332" t="inlineStr">
        <is>
          <t>Jan</t>
        </is>
      </c>
      <c r="L104" s="1332" t="inlineStr">
        <is>
          <t>Feb</t>
        </is>
      </c>
      <c r="M104" s="1332" t="inlineStr">
        <is>
          <t>Mar</t>
        </is>
      </c>
      <c r="N104" s="1332" t="inlineStr">
        <is>
          <t>Apr</t>
        </is>
      </c>
      <c r="O104" s="1332" t="inlineStr">
        <is>
          <t>May</t>
        </is>
      </c>
      <c r="P104" s="1332" t="inlineStr">
        <is>
          <t>Jun</t>
        </is>
      </c>
      <c r="Q104" s="1332" t="inlineStr">
        <is>
          <t>Jul</t>
        </is>
      </c>
      <c r="R104" s="1332" t="inlineStr">
        <is>
          <t>Aug</t>
        </is>
      </c>
      <c r="S104" s="1332" t="inlineStr">
        <is>
          <t>Sep</t>
        </is>
      </c>
      <c r="T104" s="1332" t="inlineStr">
        <is>
          <t>Oct</t>
        </is>
      </c>
      <c r="U104" s="1332" t="inlineStr">
        <is>
          <t>Nov</t>
        </is>
      </c>
      <c r="V104" s="1332" t="inlineStr">
        <is>
          <t>Dec</t>
        </is>
      </c>
      <c r="W104" s="1332" t="inlineStr">
        <is>
          <t>Year</t>
        </is>
      </c>
      <c r="X104" s="914" t="n"/>
      <c r="AD104" s="470" t="n"/>
      <c r="AF104" s="1260" t="n"/>
      <c r="AG104" s="1282" t="n"/>
    </row>
    <row r="105" ht="13.15" customHeight="1" s="1232">
      <c r="I105" s="791" t="inlineStr">
        <is>
          <t>Stripe 1.8%</t>
        </is>
      </c>
      <c r="K105" s="914">
        <f>K93*1.8%</f>
        <v/>
      </c>
      <c r="L105" s="914">
        <f>L93*1.8%</f>
        <v/>
      </c>
      <c r="M105" s="914">
        <f>M93*1.8%</f>
        <v/>
      </c>
      <c r="N105" s="914">
        <f>N93*1.8%</f>
        <v/>
      </c>
      <c r="O105" s="914">
        <f>O93*1.8%</f>
        <v/>
      </c>
      <c r="P105" s="914">
        <f>P93*1.8%</f>
        <v/>
      </c>
      <c r="Q105" s="914">
        <f>Q93*1.8%</f>
        <v/>
      </c>
      <c r="R105" s="914">
        <f>R93*1.8%</f>
        <v/>
      </c>
      <c r="S105" s="914">
        <f>S93*1.8%</f>
        <v/>
      </c>
      <c r="T105" s="914">
        <f>T93*1.8%</f>
        <v/>
      </c>
      <c r="U105" s="914">
        <f>U93*1.8%</f>
        <v/>
      </c>
      <c r="V105" s="914">
        <f>V93*1.8%</f>
        <v/>
      </c>
      <c r="W105" s="432">
        <f>SUM(K105:V105)</f>
        <v/>
      </c>
      <c r="X105" s="914" t="n"/>
      <c r="Y105" s="466" t="n"/>
      <c r="AD105" s="470" t="n"/>
      <c r="AF105" s="1260" t="n"/>
      <c r="AG105" s="1282" t="n"/>
    </row>
    <row r="106" ht="13.15" customHeight="1" s="1232">
      <c r="I106" s="791" t="inlineStr">
        <is>
          <t>Paypal 2.90% + £0.30</t>
        </is>
      </c>
      <c r="K106" s="914">
        <f>K94*3.5%</f>
        <v/>
      </c>
      <c r="L106" s="914">
        <f>L94*3.5%</f>
        <v/>
      </c>
      <c r="M106" s="914">
        <f>M94*3.5%</f>
        <v/>
      </c>
      <c r="N106" s="914">
        <f>N94*3.5%</f>
        <v/>
      </c>
      <c r="O106" s="914">
        <f>O94*3.5%</f>
        <v/>
      </c>
      <c r="P106" s="914">
        <f>P94*3.5%</f>
        <v/>
      </c>
      <c r="Q106" s="914">
        <f>Q94*3.5%</f>
        <v/>
      </c>
      <c r="R106" s="914">
        <f>R94*3.5%</f>
        <v/>
      </c>
      <c r="S106" s="914">
        <f>S94*3.5%</f>
        <v/>
      </c>
      <c r="T106" s="914">
        <f>T94*3.5%</f>
        <v/>
      </c>
      <c r="U106" s="914">
        <f>U94*3.5%</f>
        <v/>
      </c>
      <c r="V106" s="914">
        <f>V94*3.5%</f>
        <v/>
      </c>
      <c r="W106" s="432">
        <f>SUM(K106:V106)</f>
        <v/>
      </c>
      <c r="X106" s="914" t="n"/>
      <c r="Y106" s="466" t="n"/>
      <c r="AD106" s="470" t="n"/>
      <c r="AF106" s="1260" t="n"/>
      <c r="AG106" s="1282" t="n"/>
    </row>
    <row r="107" ht="13.15" customHeight="1" s="1232">
      <c r="I107" s="914" t="inlineStr">
        <is>
          <t>W-Play</t>
        </is>
      </c>
      <c r="K107" s="914">
        <f>K101*3.5%</f>
        <v/>
      </c>
      <c r="L107" s="914">
        <f>L101*3.5%</f>
        <v/>
      </c>
      <c r="M107" s="914">
        <f>M101*3.5%</f>
        <v/>
      </c>
      <c r="N107" s="914">
        <f>N101*3.5%</f>
        <v/>
      </c>
      <c r="O107" s="914">
        <f>O101*3.5%</f>
        <v/>
      </c>
      <c r="P107" s="914">
        <f>P101*3.5%</f>
        <v/>
      </c>
      <c r="Q107" s="914">
        <f>Q101*3.5%</f>
        <v/>
      </c>
      <c r="R107" s="914">
        <f>R101*3.5%</f>
        <v/>
      </c>
      <c r="S107" s="914">
        <f>S101*3.5%</f>
        <v/>
      </c>
      <c r="T107" s="914">
        <f>T101*3.5%</f>
        <v/>
      </c>
      <c r="U107" s="914">
        <f>U101*3.5%</f>
        <v/>
      </c>
      <c r="V107" s="914">
        <f>V101*3.5%</f>
        <v/>
      </c>
      <c r="W107" s="586">
        <f>SUM(K107:V107)</f>
        <v/>
      </c>
      <c r="X107" s="914" t="n"/>
      <c r="Y107" s="466" t="n"/>
      <c r="AD107" s="470" t="n"/>
      <c r="AF107" s="1260" t="n"/>
      <c r="AG107" s="1282" t="n"/>
    </row>
    <row r="108" ht="13.5" customHeight="1" s="1232" thickBot="1">
      <c r="I108" s="822" t="inlineStr">
        <is>
          <t>Total Fees</t>
        </is>
      </c>
      <c r="J108" s="1343" t="n"/>
      <c r="K108" s="822">
        <f>SUM(K104:K107)</f>
        <v/>
      </c>
      <c r="L108" s="822">
        <f>SUM(L104:L107)</f>
        <v/>
      </c>
      <c r="M108" s="822">
        <f>SUM(M104:M107)</f>
        <v/>
      </c>
      <c r="N108" s="822">
        <f>SUM(N104:N107)</f>
        <v/>
      </c>
      <c r="O108" s="822">
        <f>SUM(O104:O107)</f>
        <v/>
      </c>
      <c r="P108" s="822">
        <f>SUM(P104:P107)</f>
        <v/>
      </c>
      <c r="Q108" s="822">
        <f>SUM(Q104:Q107)</f>
        <v/>
      </c>
      <c r="R108" s="822">
        <f>SUM(R104:R107)</f>
        <v/>
      </c>
      <c r="S108" s="822">
        <f>SUM(S104:S107)</f>
        <v/>
      </c>
      <c r="T108" s="822">
        <f>SUM(T104:T107)</f>
        <v/>
      </c>
      <c r="U108" s="822">
        <f>SUM(U104:U107)</f>
        <v/>
      </c>
      <c r="V108" s="822">
        <f>SUM(V104:V107)</f>
        <v/>
      </c>
      <c r="W108" s="824">
        <f>SUM(K108:V108)</f>
        <v/>
      </c>
      <c r="X108" s="914" t="n"/>
      <c r="Y108" s="466" t="n"/>
      <c r="AD108" s="470" t="n"/>
      <c r="AF108" s="1260" t="n"/>
      <c r="AG108" s="1282" t="n"/>
    </row>
    <row r="109" ht="13.15" customHeight="1" s="1232">
      <c r="I109" s="914" t="n"/>
      <c r="K109" s="914" t="n"/>
      <c r="L109" s="914" t="n"/>
      <c r="M109" s="914" t="n"/>
      <c r="N109" s="914" t="n"/>
      <c r="O109" s="914" t="n"/>
      <c r="P109" s="914" t="n"/>
      <c r="Q109" s="914" t="n"/>
      <c r="R109" s="914" t="n"/>
      <c r="S109" s="914" t="n"/>
      <c r="T109" s="914" t="n"/>
      <c r="U109" s="914" t="n"/>
      <c r="V109" s="914" t="n"/>
      <c r="W109" s="461">
        <f>SUM(K109:V109)</f>
        <v/>
      </c>
      <c r="X109" s="914" t="n"/>
      <c r="Y109" s="466" t="n"/>
      <c r="AD109" s="470" t="n"/>
      <c r="AF109" s="1260" t="n"/>
      <c r="AG109" s="1282" t="n"/>
    </row>
    <row r="110" ht="13.5" customHeight="1" s="1232" thickBot="1">
      <c r="I110" s="561" t="inlineStr">
        <is>
          <t>Net Payment</t>
        </is>
      </c>
      <c r="K110" s="801">
        <f>K102-K108</f>
        <v/>
      </c>
      <c r="L110" s="801">
        <f>L102-L108</f>
        <v/>
      </c>
      <c r="M110" s="801">
        <f>M102-M108</f>
        <v/>
      </c>
      <c r="N110" s="801">
        <f>N102-N108</f>
        <v/>
      </c>
      <c r="O110" s="801">
        <f>O102-O108</f>
        <v/>
      </c>
      <c r="P110" s="801">
        <f>P102-P108</f>
        <v/>
      </c>
      <c r="Q110" s="801">
        <f>Q102-Q108</f>
        <v/>
      </c>
      <c r="R110" s="801">
        <f>R102-R108</f>
        <v/>
      </c>
      <c r="S110" s="801">
        <f>S102-S108</f>
        <v/>
      </c>
      <c r="T110" s="801">
        <f>T102-T108</f>
        <v/>
      </c>
      <c r="U110" s="801">
        <f>U102-U108</f>
        <v/>
      </c>
      <c r="V110" s="801">
        <f>V102-V108</f>
        <v/>
      </c>
      <c r="W110" s="802">
        <f>SUM(K110:V110)</f>
        <v/>
      </c>
      <c r="X110" s="914" t="n"/>
      <c r="Y110" s="466" t="n"/>
      <c r="AD110" s="470" t="n"/>
      <c r="AF110" s="1260" t="n"/>
      <c r="AG110" s="1282" t="n"/>
    </row>
    <row r="113" ht="13.15" customHeight="1" s="1232">
      <c r="I113" s="556" t="inlineStr">
        <is>
          <t>Booking source</t>
        </is>
      </c>
      <c r="K113" s="1332" t="inlineStr">
        <is>
          <t>Jan</t>
        </is>
      </c>
      <c r="L113" s="1332" t="inlineStr">
        <is>
          <t>Feb</t>
        </is>
      </c>
      <c r="M113" s="1332" t="inlineStr">
        <is>
          <t>Mar</t>
        </is>
      </c>
      <c r="N113" s="1332" t="inlineStr">
        <is>
          <t>Apr</t>
        </is>
      </c>
      <c r="O113" s="1332" t="inlineStr">
        <is>
          <t>May</t>
        </is>
      </c>
      <c r="P113" s="1332" t="inlineStr">
        <is>
          <t>Jun</t>
        </is>
      </c>
      <c r="Q113" s="1332" t="inlineStr">
        <is>
          <t>Jul</t>
        </is>
      </c>
      <c r="R113" s="1332" t="inlineStr">
        <is>
          <t>Aug</t>
        </is>
      </c>
      <c r="S113" s="1332" t="inlineStr">
        <is>
          <t>Sep</t>
        </is>
      </c>
      <c r="T113" s="1332" t="inlineStr">
        <is>
          <t>Oct</t>
        </is>
      </c>
      <c r="U113" s="1332" t="inlineStr">
        <is>
          <t>Nov</t>
        </is>
      </c>
      <c r="V113" s="1332" t="inlineStr">
        <is>
          <t>Dec</t>
        </is>
      </c>
      <c r="W113" s="1332" t="inlineStr">
        <is>
          <t>Year</t>
        </is>
      </c>
      <c r="X113" s="1278" t="inlineStr">
        <is>
          <t>Split</t>
        </is>
      </c>
    </row>
    <row r="114">
      <c r="I114" s="1255" t="inlineStr">
        <is>
          <t>Google</t>
        </is>
      </c>
      <c r="K114" s="432">
        <f>SUMIFS($E$145:$E$587,$A$145:$A$587,"&gt;31/12/2019",$A$145:$A$587,"&lt;1/2/2020",$G$145:$G$587,$I114)</f>
        <v/>
      </c>
      <c r="L114" s="432">
        <f>SUMIFS($E$145:$E$587,$A$145:$A$587,"&gt;31/1/2020",$A$145:$A$587,"&lt;1/3/2020",$G$145:$G$587,$I114)</f>
        <v/>
      </c>
      <c r="M114" s="432">
        <f>SUMIFS($E$145:$E$587,$A$145:$A$587,"&gt;29/2/2020",$A$145:$A$587,"&lt;1/4/2020",$G$145:$G$587,$I114)</f>
        <v/>
      </c>
      <c r="N114" s="432">
        <f>SUMIFS($E$145:$E$587,$A$145:$A$587,"&gt;31/3/2020",$A$145:$A$587,"&lt;1/5/2020",$G$145:$G$587,$I114)</f>
        <v/>
      </c>
      <c r="O114" s="432">
        <f>SUMIFS($E$145:$E$587,$A$145:$A$587,"&gt;30/4/2020",$A$145:$A$587,"&lt;1/6/2020",$G$145:$G$587,$I114)</f>
        <v/>
      </c>
      <c r="P114" s="432">
        <f>SUMIFS($E$145:$E$587,$A$145:$A$587,"&gt;31/5/2020",$A$145:$A$587,"&lt;1/7/2020",$G$145:$G$587,$I114)</f>
        <v/>
      </c>
      <c r="Q114" s="432">
        <f>SUMIFS($E$145:$E$587,$A$145:$A$587,"&gt;30/6/2020",$A$145:$A$587,"&lt;1/8/2020",$G$145:$G$587,$I114)</f>
        <v/>
      </c>
      <c r="R114" s="432">
        <f>SUMIFS($E$145:$E$587,$A$145:$A$587,"&gt;31/7/2020",$A$145:$A$587,"&lt;1/9/2020",$G$145:$G$587,$I114)</f>
        <v/>
      </c>
      <c r="S114" s="432">
        <f>SUMIFS($E$145:$E$587,$A$145:$A$587,"&gt;31/8/2020",$A$145:$A$587,"&lt;1/10/2020",$G$145:$G$587,$I114)</f>
        <v/>
      </c>
      <c r="T114" s="432">
        <f>SUMIFS($E$145:$E$587,$A$145:$A$587,"&gt;30/9/2020",$A$145:$A$587,"&lt;1/11/2020",$G$145:$G$587,$I114)</f>
        <v/>
      </c>
      <c r="U114" s="432">
        <f>SUMIFS($E$145:$E$587,$A$145:$A$587,"&gt;31/10/2020",$A$145:$A$587,"&lt;1/12/2020",$G$145:$G$587,$I114)</f>
        <v/>
      </c>
      <c r="V114" s="432">
        <f>SUMIFS($E$145:$E$587,$A$145:$A$587,"&gt;30/11/2020",$A$145:$A$587,"&lt;1/1/2021",$G$145:$G$587,$I114)</f>
        <v/>
      </c>
      <c r="W114" s="432">
        <f>SUM(K114:V114)</f>
        <v/>
      </c>
      <c r="X114" s="460">
        <f>IFERROR(W114/$W$121,0)</f>
        <v/>
      </c>
    </row>
    <row r="115">
      <c r="I115" s="1255" t="inlineStr">
        <is>
          <t>Existing</t>
        </is>
      </c>
      <c r="K115" s="432">
        <f>SUMIFS($E$145:$E$587,$A$145:$A$587,"&gt;31/12/2019",$A$145:$A$587,"&lt;1/2/2020",$G$145:$G$587,$I115)</f>
        <v/>
      </c>
      <c r="L115" s="432">
        <f>SUMIFS($E$145:$E$587,$A$145:$A$587,"&gt;31/1/2020",$A$145:$A$587,"&lt;1/3/2020",$G$145:$G$587,$I115)</f>
        <v/>
      </c>
      <c r="M115" s="432">
        <f>SUMIFS($E$145:$E$587,$A$145:$A$587,"&gt;29/2/2020",$A$145:$A$587,"&lt;1/4/2020",$G$145:$G$587,$I115)</f>
        <v/>
      </c>
      <c r="N115" s="432">
        <f>SUMIFS($E$145:$E$587,$A$145:$A$587,"&gt;31/3/2020",$A$145:$A$587,"&lt;1/5/2020",$G$145:$G$587,$I115)</f>
        <v/>
      </c>
      <c r="O115" s="432">
        <f>SUMIFS($E$145:$E$587,$A$145:$A$587,"&gt;30/4/2020",$A$145:$A$587,"&lt;1/6/2020",$G$145:$G$587,$I115)</f>
        <v/>
      </c>
      <c r="P115" s="432">
        <f>SUMIFS($E$145:$E$587,$A$145:$A$587,"&gt;31/5/2020",$A$145:$A$587,"&lt;1/7/2020",$G$145:$G$587,$I115)</f>
        <v/>
      </c>
      <c r="Q115" s="432">
        <f>SUMIFS($E$145:$E$587,$A$145:$A$587,"&gt;30/6/2020",$A$145:$A$587,"&lt;1/8/2020",$G$145:$G$587,$I115)</f>
        <v/>
      </c>
      <c r="R115" s="432">
        <f>SUMIFS($E$145:$E$587,$A$145:$A$587,"&gt;31/7/2020",$A$145:$A$587,"&lt;1/9/2020",$G$145:$G$587,$I115)</f>
        <v/>
      </c>
      <c r="S115" s="432">
        <f>SUMIFS($E$145:$E$587,$A$145:$A$587,"&gt;31/8/2020",$A$145:$A$587,"&lt;1/10/2020",$G$145:$G$587,$I115)</f>
        <v/>
      </c>
      <c r="T115" s="432">
        <f>SUMIFS($E$145:$E$587,$A$145:$A$587,"&gt;30/9/2020",$A$145:$A$587,"&lt;1/11/2020",$G$145:$G$587,$I115)</f>
        <v/>
      </c>
      <c r="U115" s="432">
        <f>SUMIFS($E$145:$E$587,$A$145:$A$587,"&gt;31/10/2020",$A$145:$A$587,"&lt;1/12/2020",$G$145:$G$587,$I115)</f>
        <v/>
      </c>
      <c r="V115" s="432">
        <f>SUMIFS($E$145:$E$587,$A$145:$A$587,"&gt;30/11/2020",$A$145:$A$587,"&lt;1/1/2021",$G$145:$G$587,$I115)</f>
        <v/>
      </c>
      <c r="W115" s="432">
        <f>SUM(K115:V115)</f>
        <v/>
      </c>
      <c r="X115" s="460">
        <f>IFERROR(W115/$W$121,0)</f>
        <v/>
      </c>
    </row>
    <row r="116">
      <c r="I116" s="1255" t="inlineStr">
        <is>
          <t>ELS</t>
        </is>
      </c>
      <c r="K116" s="432">
        <f>SUMIFS($E$145:$E$587,$A$145:$A$587,"&gt;31/12/2019",$A$145:$A$587,"&lt;1/2/2020",$G$145:$G$587,$I116)</f>
        <v/>
      </c>
      <c r="L116" s="432">
        <f>SUMIFS($E$145:$E$587,$A$145:$A$587,"&gt;31/1/2020",$A$145:$A$587,"&lt;1/3/2020",$G$145:$G$587,$I116)</f>
        <v/>
      </c>
      <c r="M116" s="432">
        <f>SUMIFS($E$145:$E$587,$A$145:$A$587,"&gt;29/2/2020",$A$145:$A$587,"&lt;1/4/2020",$G$145:$G$587,$I116)</f>
        <v/>
      </c>
      <c r="N116" s="432">
        <f>SUMIFS($E$145:$E$587,$A$145:$A$587,"&gt;31/3/2020",$A$145:$A$587,"&lt;1/5/2020",$G$145:$G$587,$I116)</f>
        <v/>
      </c>
      <c r="O116" s="432">
        <f>SUMIFS($E$145:$E$587,$A$145:$A$587,"&gt;30/4/2020",$A$145:$A$587,"&lt;1/6/2020",$G$145:$G$587,$I116)</f>
        <v/>
      </c>
      <c r="P116" s="432">
        <f>SUMIFS($E$145:$E$587,$A$145:$A$587,"&gt;31/5/2020",$A$145:$A$587,"&lt;1/7/2020",$G$145:$G$587,$I116)</f>
        <v/>
      </c>
      <c r="Q116" s="432">
        <f>SUMIFS($E$145:$E$587,$A$145:$A$587,"&gt;30/6/2020",$A$145:$A$587,"&lt;1/8/2020",$G$145:$G$587,$I116)</f>
        <v/>
      </c>
      <c r="R116" s="432">
        <f>SUMIFS($E$145:$E$587,$A$145:$A$587,"&gt;31/7/2020",$A$145:$A$587,"&lt;1/9/2020",$G$145:$G$587,$I116)</f>
        <v/>
      </c>
      <c r="S116" s="432">
        <f>SUMIFS($E$145:$E$587,$A$145:$A$587,"&gt;31/8/2020",$A$145:$A$587,"&lt;1/10/2020",$G$145:$G$587,$I116)</f>
        <v/>
      </c>
      <c r="T116" s="432">
        <f>SUMIFS($E$145:$E$587,$A$145:$A$587,"&gt;30/9/2020",$A$145:$A$587,"&lt;1/11/2020",$G$145:$G$587,$I116)</f>
        <v/>
      </c>
      <c r="U116" s="432">
        <f>SUMIFS($E$145:$E$587,$A$145:$A$587,"&gt;31/10/2020",$A$145:$A$587,"&lt;1/12/2020",$G$145:$G$587,$I116)</f>
        <v/>
      </c>
      <c r="V116" s="432">
        <f>SUMIFS($E$145:$E$587,$A$145:$A$587,"&gt;30/11/2020",$A$145:$A$587,"&lt;1/1/2021",$G$145:$G$587,$I116)</f>
        <v/>
      </c>
      <c r="W116" s="432">
        <f>SUM(K116:V116)</f>
        <v/>
      </c>
      <c r="X116" s="460">
        <f>IFERROR(W116/$W$121,0)</f>
        <v/>
      </c>
    </row>
    <row r="117">
      <c r="I117" s="1255" t="inlineStr">
        <is>
          <t>Groupon</t>
        </is>
      </c>
      <c r="K117" s="432">
        <f>SUMIFS($E$145:$E$587,$A$145:$A$587,"&gt;31/12/2019",$A$145:$A$587,"&lt;1/2/2020",$G$145:$G$587,$I117)</f>
        <v/>
      </c>
      <c r="L117" s="432">
        <f>SUMIFS($E$145:$E$587,$A$145:$A$587,"&gt;31/1/2020",$A$145:$A$587,"&lt;1/3/2020",$G$145:$G$587,$I117)</f>
        <v/>
      </c>
      <c r="M117" s="432">
        <f>SUMIFS($E$145:$E$587,$A$145:$A$587,"&gt;29/2/2020",$A$145:$A$587,"&lt;1/4/2020",$G$145:$G$587,$I117)</f>
        <v/>
      </c>
      <c r="N117" s="432">
        <f>SUMIFS($E$145:$E$587,$A$145:$A$587,"&gt;31/3/2020",$A$145:$A$587,"&lt;1/5/2020",$G$145:$G$587,$I117)</f>
        <v/>
      </c>
      <c r="O117" s="432">
        <f>SUMIFS($E$145:$E$587,$A$145:$A$587,"&gt;30/4/2020",$A$145:$A$587,"&lt;1/6/2020",$G$145:$G$587,$I117)</f>
        <v/>
      </c>
      <c r="P117" s="432">
        <f>SUMIFS($E$145:$E$587,$A$145:$A$587,"&gt;31/5/2020",$A$145:$A$587,"&lt;1/7/2020",$G$145:$G$587,$I117)</f>
        <v/>
      </c>
      <c r="Q117" s="432">
        <f>SUMIFS($E$145:$E$587,$A$145:$A$587,"&gt;30/6/2020",$A$145:$A$587,"&lt;1/8/2020",$G$145:$G$587,$I117)</f>
        <v/>
      </c>
      <c r="R117" s="432">
        <f>SUMIFS($E$145:$E$587,$A$145:$A$587,"&gt;31/7/2020",$A$145:$A$587,"&lt;1/9/2020",$G$145:$G$587,$I117)</f>
        <v/>
      </c>
      <c r="S117" s="432">
        <f>SUMIFS($E$145:$E$587,$A$145:$A$587,"&gt;31/8/2020",$A$145:$A$587,"&lt;1/10/2020",$G$145:$G$587,$I117)</f>
        <v/>
      </c>
      <c r="T117" s="432">
        <f>SUMIFS($E$145:$E$587,$A$145:$A$587,"&gt;30/9/2020",$A$145:$A$587,"&lt;1/11/2020",$G$145:$G$587,$I117)</f>
        <v/>
      </c>
      <c r="U117" s="432">
        <f>SUMIFS($E$145:$E$587,$A$145:$A$587,"&gt;31/10/2020",$A$145:$A$587,"&lt;1/12/2020",$G$145:$G$587,$I117)</f>
        <v/>
      </c>
      <c r="V117" s="432">
        <f>SUMIFS($E$145:$E$587,$A$145:$A$587,"&gt;30/11/2020",$A$145:$A$587,"&lt;1/1/2021",$G$145:$G$587,$I117)</f>
        <v/>
      </c>
      <c r="W117" s="432">
        <f>SUM(K117:V117)</f>
        <v/>
      </c>
      <c r="X117" s="460">
        <f>IFERROR(W117/$W$121,0)</f>
        <v/>
      </c>
    </row>
    <row r="118">
      <c r="I118" s="1255" t="inlineStr">
        <is>
          <t>Batsford</t>
        </is>
      </c>
      <c r="K118" s="432">
        <f>SUMIFS($E$145:$E$587,$A$145:$A$587,"&gt;31/12/2019",$A$145:$A$587,"&lt;1/2/2020",$G$145:$G$587,$I118)</f>
        <v/>
      </c>
      <c r="L118" s="432">
        <f>SUMIFS($E$145:$E$587,$A$145:$A$587,"&gt;31/1/2020",$A$145:$A$587,"&lt;1/3/2020",$G$145:$G$587,$I118)</f>
        <v/>
      </c>
      <c r="M118" s="432">
        <f>SUMIFS($E$145:$E$587,$A$145:$A$587,"&gt;29/2/2020",$A$145:$A$587,"&lt;1/4/2020",$G$145:$G$587,$I118)</f>
        <v/>
      </c>
      <c r="N118" s="432">
        <f>SUMIFS($E$145:$E$587,$A$145:$A$587,"&gt;31/3/2020",$A$145:$A$587,"&lt;1/5/2020",$G$145:$G$587,$I118)</f>
        <v/>
      </c>
      <c r="O118" s="432">
        <f>SUMIFS($E$145:$E$587,$A$145:$A$587,"&gt;30/4/2020",$A$145:$A$587,"&lt;1/6/2020",$G$145:$G$587,$I118)</f>
        <v/>
      </c>
      <c r="P118" s="432">
        <f>SUMIFS($E$145:$E$587,$A$145:$A$587,"&gt;31/5/2020",$A$145:$A$587,"&lt;1/7/2020",$G$145:$G$587,$I118)</f>
        <v/>
      </c>
      <c r="Q118" s="432">
        <f>SUMIFS($E$145:$E$587,$A$145:$A$587,"&gt;30/6/2020",$A$145:$A$587,"&lt;1/8/2020",$G$145:$G$587,$I118)</f>
        <v/>
      </c>
      <c r="R118" s="432">
        <f>SUMIFS($E$145:$E$587,$A$145:$A$587,"&gt;31/7/2020",$A$145:$A$587,"&lt;1/9/2020",$G$145:$G$587,$I118)</f>
        <v/>
      </c>
      <c r="S118" s="432">
        <f>SUMIFS($E$145:$E$587,$A$145:$A$587,"&gt;31/8/2020",$A$145:$A$587,"&lt;1/10/2020",$G$145:$G$587,$I118)</f>
        <v/>
      </c>
      <c r="T118" s="432">
        <f>SUMIFS($E$145:$E$587,$A$145:$A$587,"&gt;30/9/2020",$A$145:$A$587,"&lt;1/11/2020",$G$145:$G$587,$I118)</f>
        <v/>
      </c>
      <c r="U118" s="432">
        <f>SUMIFS($E$145:$E$587,$A$145:$A$587,"&gt;31/10/2020",$A$145:$A$587,"&lt;1/12/2020",$G$145:$G$587,$I118)</f>
        <v/>
      </c>
      <c r="V118" s="432">
        <f>SUMIFS($E$145:$E$587,$A$145:$A$587,"&gt;30/11/2020",$A$145:$A$587,"&lt;1/1/2021",$G$145:$G$587,$I118)</f>
        <v/>
      </c>
      <c r="W118" s="432">
        <f>SUM(K118:V118)</f>
        <v/>
      </c>
      <c r="X118" s="460">
        <f>IFERROR(W118/$W$121,0)</f>
        <v/>
      </c>
    </row>
    <row r="119">
      <c r="I119" s="1260" t="inlineStr">
        <is>
          <t>Facebook</t>
        </is>
      </c>
      <c r="K119" s="432">
        <f>SUMIFS($E$145:$E$587,$A$145:$A$587,"&gt;31/12/2019",$A$145:$A$587,"&lt;1/2/2020",$G$145:$G$587,$I119)</f>
        <v/>
      </c>
      <c r="L119" s="432">
        <f>SUMIFS($E$145:$E$587,$A$145:$A$587,"&gt;31/1/2020",$A$145:$A$587,"&lt;1/3/2020",$G$145:$G$587,$I119)</f>
        <v/>
      </c>
      <c r="M119" s="432">
        <f>SUMIFS($E$145:$E$587,$A$145:$A$587,"&gt;29/2/2020",$A$145:$A$587,"&lt;1/4/2020",$G$145:$G$587,$I119)</f>
        <v/>
      </c>
      <c r="N119" s="432">
        <f>SUMIFS($E$145:$E$587,$A$145:$A$587,"&gt;31/3/2020",$A$145:$A$587,"&lt;1/5/2020",$G$145:$G$587,$I119)</f>
        <v/>
      </c>
      <c r="O119" s="432">
        <f>SUMIFS($E$145:$E$587,$A$145:$A$587,"&gt;30/4/2020",$A$145:$A$587,"&lt;1/6/2020",$G$145:$G$587,$I119)</f>
        <v/>
      </c>
      <c r="P119" s="432">
        <f>SUMIFS($E$145:$E$587,$A$145:$A$587,"&gt;31/5/2020",$A$145:$A$587,"&lt;1/7/2020",$G$145:$G$587,$I119)</f>
        <v/>
      </c>
      <c r="Q119" s="432">
        <f>SUMIFS($E$145:$E$587,$A$145:$A$587,"&gt;30/6/2020",$A$145:$A$587,"&lt;1/8/2020",$G$145:$G$587,$I119)</f>
        <v/>
      </c>
      <c r="R119" s="432">
        <f>SUMIFS($E$145:$E$587,$A$145:$A$587,"&gt;31/7/2020",$A$145:$A$587,"&lt;1/9/2020",$G$145:$G$587,$I119)</f>
        <v/>
      </c>
      <c r="S119" s="432">
        <f>SUMIFS($E$145:$E$587,$A$145:$A$587,"&gt;31/8/2020",$A$145:$A$587,"&lt;1/10/2020",$G$145:$G$587,$I119)</f>
        <v/>
      </c>
      <c r="T119" s="432">
        <f>SUMIFS($E$145:$E$587,$A$145:$A$587,"&gt;30/9/2020",$A$145:$A$587,"&lt;1/11/2020",$G$145:$G$587,$I119)</f>
        <v/>
      </c>
      <c r="U119" s="432">
        <f>SUMIFS($E$145:$E$587,$A$145:$A$587,"&gt;31/10/2020",$A$145:$A$587,"&lt;1/12/2020",$G$145:$G$587,$I119)</f>
        <v/>
      </c>
      <c r="V119" s="432">
        <f>SUMIFS($E$145:$E$587,$A$145:$A$587,"&gt;30/11/2020",$A$145:$A$587,"&lt;1/1/2021",$G$145:$G$587,$I119)</f>
        <v/>
      </c>
      <c r="W119" s="432">
        <f>SUM(K119:V119)</f>
        <v/>
      </c>
      <c r="X119" s="460">
        <f>IFERROR(W119/$W$121,0)</f>
        <v/>
      </c>
    </row>
    <row r="120">
      <c r="I120" s="1255" t="inlineStr">
        <is>
          <t>Other</t>
        </is>
      </c>
      <c r="K120" s="432">
        <f>SUMIFS($E$145:$E$587,$A$145:$A$587,"&gt;31/12/2019",$A$145:$A$587,"&lt;1/2/2020",$G$145:$G$587,$I120)</f>
        <v/>
      </c>
      <c r="L120" s="432">
        <f>SUMIFS($E$145:$E$587,$A$145:$A$587,"&gt;31/1/2020",$A$145:$A$587,"&lt;1/3/2020",$G$145:$G$587,$I120)</f>
        <v/>
      </c>
      <c r="M120" s="432">
        <f>SUMIFS($E$145:$E$587,$A$145:$A$587,"&gt;29/2/2020",$A$145:$A$587,"&lt;1/4/2020",$G$145:$G$587,$I120)</f>
        <v/>
      </c>
      <c r="N120" s="432">
        <f>SUMIFS($E$145:$E$587,$A$145:$A$587,"&gt;31/3/2020",$A$145:$A$587,"&lt;1/5/2020",$G$145:$G$587,$I120)</f>
        <v/>
      </c>
      <c r="O120" s="432">
        <f>SUMIFS($E$145:$E$587,$A$145:$A$587,"&gt;30/4/2020",$A$145:$A$587,"&lt;1/6/2020",$G$145:$G$587,$I120)</f>
        <v/>
      </c>
      <c r="P120" s="432">
        <f>SUMIFS($E$145:$E$587,$A$145:$A$587,"&gt;31/5/2020",$A$145:$A$587,"&lt;1/7/2020",$G$145:$G$587,$I120)</f>
        <v/>
      </c>
      <c r="Q120" s="432">
        <f>SUMIFS($E$145:$E$587,$A$145:$A$587,"&gt;30/6/2020",$A$145:$A$587,"&lt;1/8/2020",$G$145:$G$587,$I120)</f>
        <v/>
      </c>
      <c r="R120" s="432">
        <f>SUMIFS($E$145:$E$587,$A$145:$A$587,"&gt;31/7/2020",$A$145:$A$587,"&lt;1/9/2020",$G$145:$G$587,$I120)</f>
        <v/>
      </c>
      <c r="S120" s="432">
        <f>SUMIFS($E$145:$E$587,$A$145:$A$587,"&gt;31/8/2020",$A$145:$A$587,"&lt;1/10/2020",$G$145:$G$587,$I120)</f>
        <v/>
      </c>
      <c r="T120" s="432">
        <f>SUMIFS($E$145:$E$587,$A$145:$A$587,"&gt;30/9/2020",$A$145:$A$587,"&lt;1/11/2020",$G$145:$G$587,$I120)</f>
        <v/>
      </c>
      <c r="U120" s="432">
        <f>SUMIFS($E$145:$E$587,$A$145:$A$587,"&gt;31/10/2020",$A$145:$A$587,"&lt;1/12/2020",$G$145:$G$587,$I120)</f>
        <v/>
      </c>
      <c r="V120" s="432">
        <f>SUMIFS($E$145:$E$587,$A$145:$A$587,"&gt;30/11/2020",$A$145:$A$587,"&lt;1/1/2021",$G$145:$G$587,$I120)</f>
        <v/>
      </c>
      <c r="W120" s="432">
        <f>SUM(K120:V120)</f>
        <v/>
      </c>
      <c r="X120" s="460">
        <f>IFERROR(W120/$W$121,0)</f>
        <v/>
      </c>
    </row>
    <row r="121" ht="13.15" customHeight="1" s="1232">
      <c r="I121" s="914" t="n"/>
      <c r="K121" s="444">
        <f>SUM(K114:K120)</f>
        <v/>
      </c>
      <c r="L121" s="444">
        <f>SUM(L114:L120)</f>
        <v/>
      </c>
      <c r="M121" s="444">
        <f>SUM(M114:M120)</f>
        <v/>
      </c>
      <c r="N121" s="444">
        <f>SUM(N114:N120)</f>
        <v/>
      </c>
      <c r="O121" s="444">
        <f>SUM(O114:O120)</f>
        <v/>
      </c>
      <c r="P121" s="444">
        <f>SUM(P114:P120)</f>
        <v/>
      </c>
      <c r="Q121" s="444">
        <f>SUM(Q114:Q120)</f>
        <v/>
      </c>
      <c r="R121" s="444">
        <f>SUM(R114:R120)</f>
        <v/>
      </c>
      <c r="S121" s="444">
        <f>SUM(S114:S120)</f>
        <v/>
      </c>
      <c r="T121" s="444">
        <f>SUM(T114:T120)</f>
        <v/>
      </c>
      <c r="U121" s="444">
        <f>SUM(U114:U120)</f>
        <v/>
      </c>
      <c r="V121" s="444">
        <f>SUM(V114:V120)</f>
        <v/>
      </c>
      <c r="W121" s="444">
        <f>SUM(W114:W120)</f>
        <v/>
      </c>
      <c r="X121" s="460">
        <f>IFERROR(W121/$W$121,0)</f>
        <v/>
      </c>
    </row>
    <row r="122">
      <c r="J122" s="914" t="n"/>
      <c r="K122" s="914">
        <f>K102-K121</f>
        <v/>
      </c>
      <c r="L122" s="914">
        <f>L102-L121</f>
        <v/>
      </c>
      <c r="M122" s="914">
        <f>M102-M121</f>
        <v/>
      </c>
      <c r="N122" s="914">
        <f>N102-N121</f>
        <v/>
      </c>
      <c r="O122" s="914">
        <f>O102-O121</f>
        <v/>
      </c>
      <c r="P122" s="914">
        <f>P102-P121</f>
        <v/>
      </c>
      <c r="Q122" s="914">
        <f>Q102-Q121</f>
        <v/>
      </c>
      <c r="R122" s="914">
        <f>R102-R121</f>
        <v/>
      </c>
      <c r="S122" s="914">
        <f>S102-S121</f>
        <v/>
      </c>
      <c r="T122" s="914">
        <f>T102-T121</f>
        <v/>
      </c>
      <c r="U122" s="914">
        <f>U102-U121</f>
        <v/>
      </c>
      <c r="V122" s="914">
        <f>V102-V121</f>
        <v/>
      </c>
      <c r="W122" s="914">
        <f>W102-W121</f>
        <v/>
      </c>
      <c r="X122" s="914" t="n"/>
    </row>
    <row r="123" ht="13.15" customHeight="1" s="1232">
      <c r="I123" s="556" t="inlineStr">
        <is>
          <t>Booking source  £</t>
        </is>
      </c>
      <c r="K123" s="1332" t="inlineStr">
        <is>
          <t>Jan</t>
        </is>
      </c>
      <c r="L123" s="1332" t="inlineStr">
        <is>
          <t>Feb</t>
        </is>
      </c>
      <c r="M123" s="1332" t="inlineStr">
        <is>
          <t>Mar</t>
        </is>
      </c>
      <c r="N123" s="1332" t="inlineStr">
        <is>
          <t>Apr</t>
        </is>
      </c>
      <c r="O123" s="1332" t="inlineStr">
        <is>
          <t>May</t>
        </is>
      </c>
      <c r="P123" s="1332" t="inlineStr">
        <is>
          <t>Jun</t>
        </is>
      </c>
      <c r="Q123" s="1332" t="inlineStr">
        <is>
          <t>Jul</t>
        </is>
      </c>
      <c r="R123" s="1332" t="inlineStr">
        <is>
          <t>Aug</t>
        </is>
      </c>
      <c r="S123" s="1332" t="inlineStr">
        <is>
          <t>Sep</t>
        </is>
      </c>
      <c r="T123" s="1332" t="inlineStr">
        <is>
          <t>Oct</t>
        </is>
      </c>
      <c r="U123" s="1332" t="inlineStr">
        <is>
          <t>Nov</t>
        </is>
      </c>
      <c r="V123" s="1332" t="inlineStr">
        <is>
          <t>Dec</t>
        </is>
      </c>
      <c r="W123" s="1332" t="inlineStr">
        <is>
          <t>Year</t>
        </is>
      </c>
      <c r="X123" s="1278" t="inlineStr">
        <is>
          <t>Split</t>
        </is>
      </c>
    </row>
    <row r="124" ht="13.15" customHeight="1" s="1232">
      <c r="I124" s="444" t="inlineStr">
        <is>
          <t>New Clients</t>
        </is>
      </c>
      <c r="K124" s="914">
        <f>SUM(K121-K115)</f>
        <v/>
      </c>
      <c r="L124" s="914">
        <f>SUM(L121-L115)</f>
        <v/>
      </c>
      <c r="M124" s="914">
        <f>SUM(M121-M115)</f>
        <v/>
      </c>
      <c r="N124" s="914">
        <f>SUM(N121-N115)</f>
        <v/>
      </c>
      <c r="O124" s="914">
        <f>SUM(O121-O115)</f>
        <v/>
      </c>
      <c r="P124" s="914">
        <f>SUM(P121-P115)</f>
        <v/>
      </c>
      <c r="Q124" s="914">
        <f>SUM(Q121-Q115)</f>
        <v/>
      </c>
      <c r="R124" s="914">
        <f>SUM(R121-R115)</f>
        <v/>
      </c>
      <c r="S124" s="914">
        <f>SUM(S121-S115)</f>
        <v/>
      </c>
      <c r="T124" s="914">
        <f>SUM(T121-T115)</f>
        <v/>
      </c>
      <c r="U124" s="914">
        <f>SUM(U121-U115)</f>
        <v/>
      </c>
      <c r="V124" s="914">
        <f>SUM(V121-V115)</f>
        <v/>
      </c>
      <c r="W124" s="554">
        <f>SUM(K124:V124)</f>
        <v/>
      </c>
      <c r="X124" s="475">
        <f>W124/W126</f>
        <v/>
      </c>
    </row>
    <row r="125" ht="13.15" customHeight="1" s="1232">
      <c r="I125" s="444" t="inlineStr">
        <is>
          <t>Existing Clients</t>
        </is>
      </c>
      <c r="K125" s="914">
        <f>K115</f>
        <v/>
      </c>
      <c r="L125" s="914">
        <f>L115</f>
        <v/>
      </c>
      <c r="M125" s="914">
        <f>M115</f>
        <v/>
      </c>
      <c r="N125" s="914">
        <f>N115</f>
        <v/>
      </c>
      <c r="O125" s="914">
        <f>O115</f>
        <v/>
      </c>
      <c r="P125" s="914">
        <f>P115</f>
        <v/>
      </c>
      <c r="Q125" s="914">
        <f>Q115</f>
        <v/>
      </c>
      <c r="R125" s="914">
        <f>R115</f>
        <v/>
      </c>
      <c r="S125" s="914">
        <f>S115</f>
        <v/>
      </c>
      <c r="T125" s="914">
        <f>T115</f>
        <v/>
      </c>
      <c r="U125" s="914">
        <f>U115</f>
        <v/>
      </c>
      <c r="V125" s="914">
        <f>V115</f>
        <v/>
      </c>
      <c r="W125" s="562">
        <f>SUM(K125:V125)</f>
        <v/>
      </c>
      <c r="X125" s="475">
        <f>W125/W126</f>
        <v/>
      </c>
    </row>
    <row r="126" ht="13.15" customHeight="1" s="1232">
      <c r="I126" s="444" t="n"/>
      <c r="K126" s="563">
        <f>K124+K125</f>
        <v/>
      </c>
      <c r="L126" s="563">
        <f>L124+L125</f>
        <v/>
      </c>
      <c r="M126" s="563">
        <f>M124+M125</f>
        <v/>
      </c>
      <c r="N126" s="563">
        <f>N124+N125</f>
        <v/>
      </c>
      <c r="O126" s="563">
        <f>O124+O125</f>
        <v/>
      </c>
      <c r="P126" s="563">
        <f>P124+P125</f>
        <v/>
      </c>
      <c r="Q126" s="563">
        <f>Q124+Q125</f>
        <v/>
      </c>
      <c r="R126" s="563">
        <f>R124+R125</f>
        <v/>
      </c>
      <c r="S126" s="563">
        <f>S124+S125</f>
        <v/>
      </c>
      <c r="T126" s="563">
        <f>T124+T125</f>
        <v/>
      </c>
      <c r="U126" s="563">
        <f>U124+U125</f>
        <v/>
      </c>
      <c r="V126" s="563">
        <f>V124+V125</f>
        <v/>
      </c>
      <c r="W126" s="563">
        <f>W124+W125</f>
        <v/>
      </c>
      <c r="X126" s="564" t="n"/>
    </row>
    <row r="127">
      <c r="J127" s="914" t="n"/>
      <c r="K127" s="914" t="n"/>
      <c r="L127" s="914" t="n"/>
      <c r="M127" s="914" t="n"/>
      <c r="N127" s="914" t="n"/>
      <c r="O127" s="914" t="n"/>
      <c r="P127" s="914" t="n"/>
      <c r="Q127" s="914" t="n"/>
      <c r="R127" s="914" t="n"/>
      <c r="S127" s="914" t="n"/>
      <c r="T127" s="914" t="n"/>
      <c r="U127" s="914" t="n"/>
      <c r="V127" s="914" t="n"/>
      <c r="W127" s="914" t="n"/>
      <c r="X127" s="914" t="n"/>
    </row>
    <row r="128" ht="13.15" customHeight="1" s="1232">
      <c r="I128" s="556" t="inlineStr">
        <is>
          <t>Booking source  Units</t>
        </is>
      </c>
      <c r="K128" s="1332" t="inlineStr">
        <is>
          <t>Jan</t>
        </is>
      </c>
      <c r="L128" s="1332" t="inlineStr">
        <is>
          <t>Feb</t>
        </is>
      </c>
      <c r="M128" s="1332" t="inlineStr">
        <is>
          <t>Mar</t>
        </is>
      </c>
      <c r="N128" s="1332" t="inlineStr">
        <is>
          <t>Apr</t>
        </is>
      </c>
      <c r="O128" s="1332" t="inlineStr">
        <is>
          <t>May</t>
        </is>
      </c>
      <c r="P128" s="1332" t="inlineStr">
        <is>
          <t>Jun</t>
        </is>
      </c>
      <c r="Q128" s="1332" t="inlineStr">
        <is>
          <t>Jul</t>
        </is>
      </c>
      <c r="R128" s="1332" t="inlineStr">
        <is>
          <t>Aug</t>
        </is>
      </c>
      <c r="S128" s="1332" t="inlineStr">
        <is>
          <t>Sep</t>
        </is>
      </c>
      <c r="T128" s="1332" t="inlineStr">
        <is>
          <t>Oct</t>
        </is>
      </c>
      <c r="U128" s="1332" t="inlineStr">
        <is>
          <t>Nov</t>
        </is>
      </c>
      <c r="V128" s="1332" t="inlineStr">
        <is>
          <t>Dec</t>
        </is>
      </c>
      <c r="W128" s="1332" t="inlineStr">
        <is>
          <t>Year</t>
        </is>
      </c>
      <c r="X128" s="1278" t="inlineStr">
        <is>
          <t>Split</t>
        </is>
      </c>
    </row>
    <row r="129" ht="13.15" customHeight="1" s="1232">
      <c r="I129" s="444" t="inlineStr">
        <is>
          <t>New Clients</t>
        </is>
      </c>
      <c r="K129" s="914">
        <f>K61-K130</f>
        <v/>
      </c>
      <c r="L129" s="914">
        <f>L61-L130</f>
        <v/>
      </c>
      <c r="M129" s="914">
        <f>M61-M130</f>
        <v/>
      </c>
      <c r="N129" s="914">
        <f>N61-N130</f>
        <v/>
      </c>
      <c r="O129" s="914">
        <f>O61-O130</f>
        <v/>
      </c>
      <c r="P129" s="914">
        <f>P61-P130</f>
        <v/>
      </c>
      <c r="Q129" s="914">
        <f>Q61-Q130</f>
        <v/>
      </c>
      <c r="R129" s="914">
        <f>R61-R130</f>
        <v/>
      </c>
      <c r="S129" s="914">
        <f>S61-S130</f>
        <v/>
      </c>
      <c r="T129" s="914">
        <f>T61-T130</f>
        <v/>
      </c>
      <c r="U129" s="914">
        <f>U61-U130</f>
        <v/>
      </c>
      <c r="V129" s="914">
        <f>V61-V130</f>
        <v/>
      </c>
      <c r="W129" s="554">
        <f>SUM(K129:V129)</f>
        <v/>
      </c>
      <c r="X129" s="475">
        <f>W129/W131</f>
        <v/>
      </c>
    </row>
    <row r="130" ht="13.15" customHeight="1" s="1232">
      <c r="I130" s="561" t="inlineStr">
        <is>
          <t>Existing</t>
        </is>
      </c>
      <c r="K130" s="914">
        <f>COUNTIFS($A$145:$A$587,"&gt;31/12/2019",$A$145:$A$587,"&lt;1/2/2020",$G$145:$G$587,"existing")</f>
        <v/>
      </c>
      <c r="L130" s="432">
        <f>COUNTIFS($A$145:$A$587,"&gt;31/1/2020",$A$145:$A$587,"&lt;1/3/2020",$G$145:$G$587,$I130)</f>
        <v/>
      </c>
      <c r="M130" s="432">
        <f>COUNTIFS($A$145:$A$587,"&gt;29/2/2020",$A$145:$A$587,"&lt;1/4/2020",$G$145:$G$587,$I130)</f>
        <v/>
      </c>
      <c r="N130" s="432">
        <f>COUNTIFS($A$145:$A$587,"&gt;31/3/2020",$A$145:$A$587,"&lt;1/5/2020",$G$145:$G$587,$I130)</f>
        <v/>
      </c>
      <c r="O130" s="432">
        <f>COUNTIFS($A$145:$A$587,"&gt;30/4/2020",$A$145:$A$587,"&lt;1/6/2020",$G$145:$G$587,$I130)</f>
        <v/>
      </c>
      <c r="P130" s="432">
        <f>COUNTIFS($A$145:$A$587,"&gt;31/5/2020",$A$145:$A$587,"&lt;1/7/2020",$G$145:$G$587,$I130)</f>
        <v/>
      </c>
      <c r="Q130" s="432">
        <f>COUNTIFS($A$145:$A$587,"&gt;30/6/2020",$A$145:$A$587,"&lt;1/8/2020",$G$145:$G$587,$I130)</f>
        <v/>
      </c>
      <c r="R130" s="432">
        <f>COUNTIFS($A$145:$A$587,"&gt;31/7/2020",$A$145:$A$587,"&lt;1/9/2020",$G$145:$G$587,$I130)</f>
        <v/>
      </c>
      <c r="S130" s="432">
        <f>COUNTIFS($A$145:$A$587,"&gt;31/8/2020",$A$145:$A$587,"&lt;1/10/2020",$G$145:$G$587,$I130)</f>
        <v/>
      </c>
      <c r="T130" s="432">
        <f>COUNTIFS($A$145:$A$587,"&gt;30/9/2020",$A$145:$A$587,"&lt;1/11/2020",$G$145:$G$587,$I130)</f>
        <v/>
      </c>
      <c r="U130" s="432">
        <f>COUNTIFS($A$145:$A$587,"&gt;31/10/2020",$A$145:$A$587,"&lt;1/12/2020",$G$145:$G$587,$I130)</f>
        <v/>
      </c>
      <c r="V130" s="432">
        <f>COUNTIFS($A$145:$A$587,"&gt;30/11/2020",$A$145:$A$587,"&lt;1/1/2021",$G$145:$G$587,$I130)</f>
        <v/>
      </c>
      <c r="W130" s="554">
        <f>SUM(K130:V130)</f>
        <v/>
      </c>
      <c r="X130" s="475">
        <f>W130/$W$131</f>
        <v/>
      </c>
    </row>
    <row r="131" ht="13.15" customHeight="1" s="1232">
      <c r="J131" s="914" t="n"/>
      <c r="K131" s="563">
        <f>K129+K130</f>
        <v/>
      </c>
      <c r="L131" s="563">
        <f>L129+L130</f>
        <v/>
      </c>
      <c r="M131" s="563">
        <f>M129+M130</f>
        <v/>
      </c>
      <c r="N131" s="563">
        <f>N129+N130</f>
        <v/>
      </c>
      <c r="O131" s="563">
        <f>O129+O130</f>
        <v/>
      </c>
      <c r="P131" s="563">
        <f>P129+P130</f>
        <v/>
      </c>
      <c r="Q131" s="563">
        <f>Q129+Q130</f>
        <v/>
      </c>
      <c r="R131" s="563">
        <f>R129+R130</f>
        <v/>
      </c>
      <c r="S131" s="563">
        <f>S129+S130</f>
        <v/>
      </c>
      <c r="T131" s="563">
        <f>T129+T130</f>
        <v/>
      </c>
      <c r="U131" s="563">
        <f>U129+U130</f>
        <v/>
      </c>
      <c r="V131" s="563">
        <f>V129+V130</f>
        <v/>
      </c>
      <c r="W131" s="563">
        <f>W129+W130</f>
        <v/>
      </c>
      <c r="X131" s="564" t="n"/>
    </row>
    <row r="132" ht="13.15" customHeight="1" s="1232">
      <c r="J132" s="914" t="n"/>
      <c r="K132" s="791">
        <f>K61-K131</f>
        <v/>
      </c>
      <c r="L132" s="791">
        <f>L61-L131</f>
        <v/>
      </c>
      <c r="M132" s="791">
        <f>M61-M131</f>
        <v/>
      </c>
      <c r="N132" s="791">
        <f>N61-N131</f>
        <v/>
      </c>
      <c r="O132" s="791">
        <f>O61-O131</f>
        <v/>
      </c>
      <c r="P132" s="791">
        <f>P61-P131</f>
        <v/>
      </c>
      <c r="Q132" s="791">
        <f>Q61-Q131</f>
        <v/>
      </c>
      <c r="R132" s="791">
        <f>R61-R131</f>
        <v/>
      </c>
      <c r="S132" s="791">
        <f>S61-S131</f>
        <v/>
      </c>
      <c r="T132" s="791">
        <f>T61-T131</f>
        <v/>
      </c>
      <c r="U132" s="791">
        <f>U61-U131</f>
        <v/>
      </c>
      <c r="V132" s="791">
        <f>V61-V131</f>
        <v/>
      </c>
      <c r="W132" s="791">
        <f>W61-W131</f>
        <v/>
      </c>
      <c r="X132" s="475" t="n"/>
    </row>
    <row r="133" ht="13.15" customHeight="1" s="1232">
      <c r="I133" s="556" t="inlineStr">
        <is>
          <t>Booking source  AVG PPU</t>
        </is>
      </c>
      <c r="K133" s="1332" t="inlineStr">
        <is>
          <t>Jan</t>
        </is>
      </c>
      <c r="L133" s="1332" t="inlineStr">
        <is>
          <t>Feb</t>
        </is>
      </c>
      <c r="M133" s="1332" t="inlineStr">
        <is>
          <t>Mar</t>
        </is>
      </c>
      <c r="N133" s="1332" t="inlineStr">
        <is>
          <t>Apr</t>
        </is>
      </c>
      <c r="O133" s="1332" t="inlineStr">
        <is>
          <t>May</t>
        </is>
      </c>
      <c r="P133" s="1332" t="inlineStr">
        <is>
          <t>Jun</t>
        </is>
      </c>
      <c r="Q133" s="1332" t="inlineStr">
        <is>
          <t>Jul</t>
        </is>
      </c>
      <c r="R133" s="1332" t="inlineStr">
        <is>
          <t>Aug</t>
        </is>
      </c>
      <c r="S133" s="1332" t="inlineStr">
        <is>
          <t>Sep</t>
        </is>
      </c>
      <c r="T133" s="1332" t="inlineStr">
        <is>
          <t>Oct</t>
        </is>
      </c>
      <c r="U133" s="1332" t="inlineStr">
        <is>
          <t>Nov</t>
        </is>
      </c>
      <c r="V133" s="1332" t="inlineStr">
        <is>
          <t>Dec</t>
        </is>
      </c>
      <c r="W133" s="1332" t="inlineStr">
        <is>
          <t>Year</t>
        </is>
      </c>
      <c r="X133" s="1278" t="inlineStr">
        <is>
          <t>Split</t>
        </is>
      </c>
    </row>
    <row r="134" ht="13.15" customHeight="1" s="1232">
      <c r="I134" s="444" t="inlineStr">
        <is>
          <t>New Clients</t>
        </is>
      </c>
      <c r="K134" s="914">
        <f>IFERROR(K124/K129,0)</f>
        <v/>
      </c>
      <c r="L134" s="914">
        <f>IFERROR(L124/L129,0)</f>
        <v/>
      </c>
      <c r="M134" s="914">
        <f>IFERROR(M124/M129,0)</f>
        <v/>
      </c>
      <c r="N134" s="914">
        <f>IFERROR(N124/N129,0)</f>
        <v/>
      </c>
      <c r="O134" s="914">
        <f>IFERROR(O124/O129,0)</f>
        <v/>
      </c>
      <c r="P134" s="914">
        <f>IFERROR(P124/P129,0)</f>
        <v/>
      </c>
      <c r="Q134" s="914">
        <f>IFERROR(Q124/Q129,0)</f>
        <v/>
      </c>
      <c r="R134" s="914">
        <f>IFERROR(R124/R129,0)</f>
        <v/>
      </c>
      <c r="S134" s="914">
        <f>IFERROR(S124/S129,0)</f>
        <v/>
      </c>
      <c r="T134" s="914">
        <f>IFERROR(T124/T129,0)</f>
        <v/>
      </c>
      <c r="U134" s="914">
        <f>IFERROR(U124/U129,0)</f>
        <v/>
      </c>
      <c r="V134" s="914">
        <f>IFERROR(V124/V129,0)</f>
        <v/>
      </c>
      <c r="W134" s="554">
        <f>AVERAGE(K134:V134)</f>
        <v/>
      </c>
      <c r="X134" s="475">
        <f>W134/W136</f>
        <v/>
      </c>
    </row>
    <row r="135" ht="13.15" customHeight="1" s="1232">
      <c r="I135" s="444" t="inlineStr">
        <is>
          <t>Existing Clients</t>
        </is>
      </c>
      <c r="K135" s="914">
        <f>IFERROR(K125/K130,0)</f>
        <v/>
      </c>
      <c r="L135" s="914">
        <f>IFERROR(L125/L130,0)</f>
        <v/>
      </c>
      <c r="M135" s="914">
        <f>IFERROR(M125/M130,0)</f>
        <v/>
      </c>
      <c r="N135" s="914">
        <f>IFERROR(N125/N130,0)</f>
        <v/>
      </c>
      <c r="O135" s="914">
        <f>IFERROR(O125/O130,0)</f>
        <v/>
      </c>
      <c r="P135" s="914">
        <f>IFERROR(P125/P130,0)</f>
        <v/>
      </c>
      <c r="Q135" s="914">
        <f>IFERROR(Q125/Q130,0)</f>
        <v/>
      </c>
      <c r="R135" s="914">
        <f>IFERROR(R125/R130,0)</f>
        <v/>
      </c>
      <c r="S135" s="914">
        <f>IFERROR(S125/S130,0)</f>
        <v/>
      </c>
      <c r="T135" s="914">
        <f>IFERROR(T125/T130,0)</f>
        <v/>
      </c>
      <c r="U135" s="914">
        <f>IFERROR(U125/U130,0)</f>
        <v/>
      </c>
      <c r="V135" s="914">
        <f>IFERROR(V125/V130,0)</f>
        <v/>
      </c>
      <c r="W135" s="554">
        <f>AVERAGE(K135:V135)</f>
        <v/>
      </c>
      <c r="X135" s="475">
        <f>W135/$W$136</f>
        <v/>
      </c>
    </row>
    <row r="136" ht="13.15" customHeight="1" s="1232">
      <c r="J136" s="914" t="n"/>
      <c r="K136" s="563">
        <f>K134+K135</f>
        <v/>
      </c>
      <c r="L136" s="563">
        <f>L134+L135</f>
        <v/>
      </c>
      <c r="M136" s="563">
        <f>M134+M135</f>
        <v/>
      </c>
      <c r="N136" s="563">
        <f>N134+N135</f>
        <v/>
      </c>
      <c r="O136" s="563">
        <f>O134+O135</f>
        <v/>
      </c>
      <c r="P136" s="563">
        <f>P134+P135</f>
        <v/>
      </c>
      <c r="Q136" s="563">
        <f>Q134+Q135</f>
        <v/>
      </c>
      <c r="R136" s="563">
        <f>R134+R135</f>
        <v/>
      </c>
      <c r="S136" s="563">
        <f>S134+S135</f>
        <v/>
      </c>
      <c r="T136" s="563">
        <f>T134+T135</f>
        <v/>
      </c>
      <c r="U136" s="563">
        <f>U134+U135</f>
        <v/>
      </c>
      <c r="V136" s="563">
        <f>V134+V135</f>
        <v/>
      </c>
      <c r="W136" s="563">
        <f>W134+W135</f>
        <v/>
      </c>
      <c r="X136" s="564" t="n"/>
    </row>
    <row r="137">
      <c r="I137" s="914" t="n"/>
      <c r="J137" s="914" t="n"/>
      <c r="K137" s="914" t="n"/>
      <c r="L137" s="914" t="n"/>
      <c r="M137" s="914" t="n"/>
      <c r="N137" s="914" t="n"/>
      <c r="O137" s="914" t="n"/>
      <c r="P137" s="914" t="n"/>
      <c r="Q137" s="914" t="n"/>
      <c r="R137" s="914" t="n"/>
      <c r="S137" s="914" t="n"/>
      <c r="T137" s="914" t="n"/>
      <c r="U137" s="914" t="n"/>
      <c r="V137" s="914" t="n"/>
    </row>
    <row r="138">
      <c r="H138" s="914" t="n"/>
      <c r="I138" s="914" t="n"/>
      <c r="J138" s="914" t="n"/>
      <c r="K138" s="914" t="n"/>
      <c r="L138" s="914" t="n"/>
      <c r="M138" s="914" t="n"/>
      <c r="N138" s="914" t="n"/>
      <c r="O138" s="914" t="n"/>
      <c r="P138" s="914" t="n"/>
      <c r="Q138" s="914" t="n"/>
      <c r="R138" s="914" t="n"/>
      <c r="S138" s="914" t="n"/>
      <c r="T138" s="914" t="n"/>
      <c r="U138" s="914" t="n"/>
      <c r="V138" s="914" t="n"/>
    </row>
    <row r="139">
      <c r="H139" s="914" t="n"/>
      <c r="I139" s="914" t="n"/>
      <c r="J139" s="914" t="n"/>
      <c r="K139" s="914" t="n"/>
      <c r="L139" s="914" t="n"/>
      <c r="M139" s="914" t="n"/>
      <c r="N139" s="914" t="n"/>
      <c r="O139" s="914" t="n"/>
      <c r="P139" s="914" t="n"/>
      <c r="Q139" s="914" t="n"/>
      <c r="R139" s="914" t="n"/>
      <c r="S139" s="914" t="n"/>
      <c r="T139" s="914" t="n"/>
      <c r="U139" s="914" t="n"/>
      <c r="V139" s="914" t="n"/>
    </row>
    <row r="140">
      <c r="H140" s="914" t="n"/>
      <c r="I140" s="914" t="n"/>
      <c r="J140" s="914" t="n"/>
      <c r="K140" s="914" t="n"/>
      <c r="L140" s="914" t="n"/>
      <c r="M140" s="914" t="n"/>
      <c r="N140" s="914" t="n"/>
      <c r="O140" s="914" t="n"/>
      <c r="P140" s="914" t="n"/>
      <c r="Q140" s="914" t="n"/>
      <c r="R140" s="914" t="n"/>
      <c r="S140" s="914" t="n"/>
      <c r="T140" s="914" t="n"/>
      <c r="U140" s="914" t="n"/>
      <c r="V140" s="914" t="n"/>
    </row>
    <row r="141">
      <c r="H141" s="914" t="n"/>
      <c r="I141" s="914" t="n"/>
      <c r="J141" s="914" t="n"/>
      <c r="K141" s="914" t="n"/>
      <c r="L141" s="914" t="n"/>
      <c r="M141" s="914" t="n"/>
      <c r="N141" s="914" t="n"/>
      <c r="O141" s="914" t="n"/>
      <c r="P141" s="914" t="n"/>
      <c r="Q141" s="914" t="n"/>
      <c r="R141" s="914" t="n"/>
      <c r="S141" s="914" t="n"/>
      <c r="T141" s="914" t="n"/>
      <c r="U141" s="914" t="n"/>
      <c r="V141" s="914" t="n"/>
    </row>
    <row r="142">
      <c r="H142" s="914" t="n"/>
      <c r="I142" s="914" t="n"/>
      <c r="J142" s="914" t="n"/>
      <c r="K142" s="914" t="n"/>
      <c r="L142" s="914" t="n"/>
      <c r="M142" s="914" t="n"/>
      <c r="N142" s="914" t="n"/>
      <c r="O142" s="914" t="n"/>
      <c r="P142" s="914" t="n"/>
      <c r="Q142" s="914" t="n"/>
      <c r="R142" s="914" t="n"/>
      <c r="S142" s="914" t="n"/>
      <c r="T142" s="914" t="n"/>
      <c r="U142" s="914" t="n"/>
      <c r="V142" s="914" t="n"/>
    </row>
    <row r="143" ht="13.15" customHeight="1" s="1232">
      <c r="E143" s="605">
        <f>SUM(E145:E609)</f>
        <v/>
      </c>
      <c r="H143" s="914" t="n"/>
      <c r="I143" s="914" t="n"/>
      <c r="J143" s="914" t="n"/>
      <c r="K143" s="914" t="n"/>
      <c r="L143" s="914" t="n"/>
      <c r="M143" s="914" t="n"/>
      <c r="N143" s="914" t="n"/>
      <c r="O143" s="914" t="n"/>
      <c r="P143" s="914" t="n"/>
      <c r="Q143" s="914" t="n"/>
      <c r="R143" s="914" t="n"/>
      <c r="S143" s="914" t="n"/>
      <c r="T143" s="914" t="n"/>
      <c r="U143" s="914" t="n"/>
      <c r="V143" s="914" t="n"/>
    </row>
    <row r="144" ht="13.9" customHeight="1" s="1232">
      <c r="A144" s="1345" t="inlineStr">
        <is>
          <t>Date</t>
        </is>
      </c>
      <c r="B144" s="1346" t="inlineStr">
        <is>
          <t>Client</t>
        </is>
      </c>
      <c r="C144" s="1346" t="inlineStr">
        <is>
          <t>Category</t>
        </is>
      </c>
      <c r="D144" s="1346" t="inlineStr">
        <is>
          <t>Funding</t>
        </is>
      </c>
      <c r="E144" s="1347" t="inlineStr">
        <is>
          <t>Amount</t>
        </is>
      </c>
      <c r="F144" s="1346" t="inlineStr">
        <is>
          <t>Event</t>
        </is>
      </c>
      <c r="G144" s="1346" t="inlineStr">
        <is>
          <t>Source</t>
        </is>
      </c>
      <c r="H144" s="914" t="n"/>
      <c r="I144" s="914" t="n"/>
      <c r="J144" s="914" t="n"/>
      <c r="K144" s="914" t="n"/>
      <c r="L144" s="914" t="n"/>
      <c r="M144" s="914" t="n"/>
      <c r="N144" s="914" t="n"/>
      <c r="O144" s="914" t="n"/>
      <c r="P144" s="914" t="n"/>
      <c r="Q144" s="914" t="n"/>
      <c r="R144" s="914" t="n"/>
      <c r="S144" s="914" t="n"/>
      <c r="T144" s="914" t="n"/>
      <c r="U144" s="914" t="n"/>
      <c r="V144" s="914" t="n"/>
    </row>
    <row r="148" ht="13.5" customHeight="1" s="1232">
      <c r="A148" s="1393" t="n"/>
      <c r="B148" s="1260" t="n"/>
      <c r="D148" s="1260" t="n"/>
      <c r="E148" s="1394" t="inlineStr">
        <is>
          <t>reid</t>
        </is>
      </c>
      <c r="F148" s="1260" t="n"/>
      <c r="G148" s="1260" t="n"/>
    </row>
    <row r="149" ht="13.5" customHeight="1" s="1232">
      <c r="A149" s="1393" t="n"/>
      <c r="B149" s="1260" t="n"/>
      <c r="D149" s="1260" t="n"/>
      <c r="E149" s="1394" t="n"/>
      <c r="F149" s="1260" t="n"/>
      <c r="G149" s="1260" t="n"/>
    </row>
    <row r="150" ht="13.5" customHeight="1" s="1232">
      <c r="A150" s="1393" t="n"/>
      <c r="B150" s="1260" t="n"/>
      <c r="D150" s="1260" t="n"/>
      <c r="E150" s="1394" t="n"/>
      <c r="F150" s="1260" t="n"/>
      <c r="G150" s="1260" t="n"/>
    </row>
    <row r="151" ht="13.5" customHeight="1" s="1232">
      <c r="A151" s="1393" t="n"/>
      <c r="B151" s="1260" t="n"/>
      <c r="D151" s="1260" t="n"/>
      <c r="E151" s="1394" t="n"/>
      <c r="F151" s="1260" t="n"/>
      <c r="G151" s="1260" t="n"/>
    </row>
    <row r="152" ht="13.5" customHeight="1" s="1232">
      <c r="A152" s="1393" t="n">
        <v>44196</v>
      </c>
      <c r="B152" s="1260" t="inlineStr">
        <is>
          <t>A Ranger</t>
        </is>
      </c>
      <c r="C152" s="1255" t="inlineStr">
        <is>
          <t>1. Courses/masterclasses</t>
        </is>
      </c>
      <c r="D152" s="1260" t="inlineStr">
        <is>
          <t>Stripe</t>
        </is>
      </c>
      <c r="E152" s="1394" t="n">
        <v>17.5</v>
      </c>
      <c r="F152" s="1260" t="inlineStr">
        <is>
          <t>Zoom Webinar</t>
        </is>
      </c>
      <c r="G152" s="1260" t="inlineStr">
        <is>
          <t>Existing</t>
        </is>
      </c>
    </row>
    <row r="153" ht="13.5" customHeight="1" s="1232">
      <c r="A153" s="1393" t="n">
        <v>44193</v>
      </c>
      <c r="B153" s="1260" t="inlineStr">
        <is>
          <t>Justine Cope</t>
        </is>
      </c>
      <c r="C153" s="1255" t="inlineStr">
        <is>
          <t>2. Workshops</t>
        </is>
      </c>
      <c r="D153" s="1260" t="inlineStr">
        <is>
          <t>Stripe</t>
        </is>
      </c>
      <c r="E153" s="1394" t="n">
        <v>150</v>
      </c>
      <c r="F153" s="1260" t="inlineStr">
        <is>
          <t>Peak District</t>
        </is>
      </c>
      <c r="G153" s="1260" t="inlineStr">
        <is>
          <t>Google</t>
        </is>
      </c>
    </row>
    <row r="154" ht="13.5" customHeight="1" s="1232">
      <c r="A154" s="1393" t="n">
        <v>44193</v>
      </c>
      <c r="B154" s="1260" t="inlineStr">
        <is>
          <t>Gary Hillyer</t>
        </is>
      </c>
      <c r="C154" s="1255" t="inlineStr">
        <is>
          <t>1. Courses/masterclasses</t>
        </is>
      </c>
      <c r="D154" s="1260" t="inlineStr">
        <is>
          <t>Gift Voucher Out</t>
        </is>
      </c>
      <c r="E154" s="1394" t="n">
        <v>150</v>
      </c>
      <c r="F154" s="1260" t="inlineStr">
        <is>
          <t>5 week Beginners Course</t>
        </is>
      </c>
      <c r="G154" s="1260" t="inlineStr">
        <is>
          <t>Google</t>
        </is>
      </c>
    </row>
    <row r="155" ht="13.5" customHeight="1" s="1232">
      <c r="A155" s="1393" t="n">
        <v>44193</v>
      </c>
      <c r="B155" s="1260" t="inlineStr">
        <is>
          <t>Gary Hillyer</t>
        </is>
      </c>
      <c r="C155" s="1255" t="inlineStr">
        <is>
          <t>8. Gift Vouchers Out</t>
        </is>
      </c>
      <c r="D155" s="1260" t="inlineStr">
        <is>
          <t>Gift Voucher Out</t>
        </is>
      </c>
      <c r="E155" s="1394" t="n">
        <v>-150</v>
      </c>
      <c r="F155" s="1260" t="inlineStr">
        <is>
          <t>5 week Beginners Course</t>
        </is>
      </c>
      <c r="G155" s="1260" t="inlineStr">
        <is>
          <t>Google</t>
        </is>
      </c>
    </row>
    <row r="156" ht="13.5" customHeight="1" s="1232">
      <c r="A156" s="1393" t="n">
        <v>44193</v>
      </c>
      <c r="B156" s="1260" t="inlineStr">
        <is>
          <t>Gary Hillyer</t>
        </is>
      </c>
      <c r="C156" s="1255" t="inlineStr">
        <is>
          <t>1. Courses/masterclasses</t>
        </is>
      </c>
      <c r="D156" s="1260" t="inlineStr">
        <is>
          <t>Stripe</t>
        </is>
      </c>
      <c r="E156" s="1394" t="n">
        <v>100</v>
      </c>
      <c r="F156" s="1260" t="inlineStr">
        <is>
          <t>5 week Beginners Course</t>
        </is>
      </c>
      <c r="G156" s="1260" t="inlineStr">
        <is>
          <t>Google</t>
        </is>
      </c>
    </row>
    <row r="157" ht="13.5" customHeight="1" s="1232">
      <c r="A157" s="1393" t="n">
        <v>44192</v>
      </c>
      <c r="B157" s="1260" t="inlineStr">
        <is>
          <t>Artfully Walls</t>
        </is>
      </c>
      <c r="C157" s="1255" t="inlineStr">
        <is>
          <t>9. Prints &amp; Royalties</t>
        </is>
      </c>
      <c r="D157" s="1260" t="inlineStr">
        <is>
          <t>PayPal</t>
        </is>
      </c>
      <c r="E157" s="1394" t="n">
        <v>63.2</v>
      </c>
      <c r="F157" s="1260" t="inlineStr">
        <is>
          <t>Artfully Walls</t>
        </is>
      </c>
      <c r="G157" s="1260" t="inlineStr">
        <is>
          <t>Existing</t>
        </is>
      </c>
    </row>
    <row r="158" ht="13.5" customHeight="1" s="1232">
      <c r="A158" s="1393" t="n">
        <v>44189</v>
      </c>
      <c r="B158" s="1260" t="inlineStr">
        <is>
          <t>Pamela Stacey</t>
        </is>
      </c>
      <c r="C158" s="1255" t="inlineStr">
        <is>
          <t>7. Gift Vouchers Inc</t>
        </is>
      </c>
      <c r="D158" s="1260" t="inlineStr">
        <is>
          <t>Stripe</t>
        </is>
      </c>
      <c r="E158" s="1394" t="n">
        <v>150</v>
      </c>
      <c r="F158" s="1260" t="inlineStr">
        <is>
          <t>Digital Gift Voucher</t>
        </is>
      </c>
      <c r="G158" s="1260" t="inlineStr">
        <is>
          <t>Google</t>
        </is>
      </c>
    </row>
    <row r="159" ht="13.5" customHeight="1" s="1232">
      <c r="A159" s="1393" t="n">
        <v>44187</v>
      </c>
      <c r="B159" s="1260" t="inlineStr">
        <is>
          <t>Chris Dean</t>
        </is>
      </c>
      <c r="C159" s="1255" t="inlineStr">
        <is>
          <t>1. Courses/masterclasses</t>
        </is>
      </c>
      <c r="D159" s="1260" t="inlineStr">
        <is>
          <t>Stripe</t>
        </is>
      </c>
      <c r="E159" s="1394" t="n">
        <v>30</v>
      </c>
      <c r="F159" s="1260" t="inlineStr">
        <is>
          <t>Get Off Auto</t>
        </is>
      </c>
      <c r="G159" s="1260" t="inlineStr">
        <is>
          <t>Google</t>
        </is>
      </c>
    </row>
    <row r="160" ht="13.5" customHeight="1" s="1232">
      <c r="A160" s="1393" t="n">
        <v>44186</v>
      </c>
      <c r="B160" s="1260" t="inlineStr">
        <is>
          <t>Rhian Hayes</t>
        </is>
      </c>
      <c r="C160" s="1255" t="inlineStr">
        <is>
          <t>1. Courses/masterclasses</t>
        </is>
      </c>
      <c r="D160" s="1260" t="inlineStr">
        <is>
          <t>PayPal</t>
        </is>
      </c>
      <c r="E160" s="1394" t="n">
        <v>15</v>
      </c>
      <c r="F160" s="1260" t="inlineStr">
        <is>
          <t>Zoom Get Off Auto</t>
        </is>
      </c>
      <c r="G160" s="1260" t="inlineStr">
        <is>
          <t>Google</t>
        </is>
      </c>
    </row>
    <row r="161" ht="13.5" customHeight="1" s="1232">
      <c r="A161" s="1393" t="n">
        <v>44186</v>
      </c>
      <c r="B161" s="1260" t="inlineStr">
        <is>
          <t>Nadia Spence</t>
        </is>
      </c>
      <c r="C161" s="1255" t="inlineStr">
        <is>
          <t>7. Gift Vouchers Inc</t>
        </is>
      </c>
      <c r="D161" s="1260" t="inlineStr">
        <is>
          <t>Stripe</t>
        </is>
      </c>
      <c r="E161" s="1394" t="n">
        <v>100</v>
      </c>
      <c r="F161" s="1260" t="inlineStr">
        <is>
          <t>Digital Gift Voucher</t>
        </is>
      </c>
      <c r="G161" s="1260" t="inlineStr">
        <is>
          <t>Google</t>
        </is>
      </c>
    </row>
    <row r="162" ht="13.5" customHeight="1" s="1232">
      <c r="A162" s="1393" t="n">
        <v>44185</v>
      </c>
      <c r="B162" s="1260" t="inlineStr">
        <is>
          <t>Sharon Read</t>
        </is>
      </c>
      <c r="C162" s="1255" t="inlineStr">
        <is>
          <t>7. Gift Vouchers Inc</t>
        </is>
      </c>
      <c r="D162" s="1260" t="inlineStr">
        <is>
          <t>Stripe</t>
        </is>
      </c>
      <c r="E162" s="1394" t="n">
        <v>375</v>
      </c>
      <c r="F162" s="1260" t="inlineStr">
        <is>
          <t>4 x 2hrs 1-2-1</t>
        </is>
      </c>
      <c r="G162" s="1260" t="inlineStr">
        <is>
          <t>Google</t>
        </is>
      </c>
    </row>
    <row r="163" ht="13.5" customHeight="1" s="1232">
      <c r="A163" s="1393" t="n">
        <v>44184</v>
      </c>
      <c r="B163" s="1260" t="inlineStr">
        <is>
          <t xml:space="preserve">Matt Jarvis </t>
        </is>
      </c>
      <c r="C163" s="1255" t="inlineStr">
        <is>
          <t>6. 1-2-1</t>
        </is>
      </c>
      <c r="D163" s="1260" t="inlineStr">
        <is>
          <t>Stripe</t>
        </is>
      </c>
      <c r="E163" s="1394" t="n">
        <v>60</v>
      </c>
      <c r="F163" s="1260" t="inlineStr">
        <is>
          <t>2hrs Zoom 1-2-1</t>
        </is>
      </c>
      <c r="G163" s="1260" t="inlineStr">
        <is>
          <t>Google</t>
        </is>
      </c>
    </row>
    <row r="164" ht="13.5" customHeight="1" s="1232">
      <c r="A164" s="1393" t="n">
        <v>44183</v>
      </c>
      <c r="B164" s="1260" t="inlineStr">
        <is>
          <t>Pixsy</t>
        </is>
      </c>
      <c r="C164" s="1255" t="inlineStr">
        <is>
          <t>9. Prints &amp; Royalties</t>
        </is>
      </c>
      <c r="D164" s="1260" t="inlineStr">
        <is>
          <t>PayPal</t>
        </is>
      </c>
      <c r="E164" s="1394" t="n">
        <v>47.87</v>
      </c>
      <c r="F164" s="1260" t="inlineStr">
        <is>
          <t>Pixsy Case Payout</t>
        </is>
      </c>
      <c r="G164" s="1260" t="inlineStr">
        <is>
          <t>Existing</t>
        </is>
      </c>
    </row>
    <row r="165" ht="13.5" customHeight="1" s="1232">
      <c r="A165" s="1393" t="n">
        <v>44182</v>
      </c>
      <c r="B165" s="1260" t="inlineStr">
        <is>
          <t>RICAHRD JOHNSON</t>
        </is>
      </c>
      <c r="C165" s="1255" t="inlineStr">
        <is>
          <t>1. Courses/masterclasses</t>
        </is>
      </c>
      <c r="D165" s="1260" t="inlineStr">
        <is>
          <t>Stripe</t>
        </is>
      </c>
      <c r="E165" s="1394" t="n">
        <v>30</v>
      </c>
      <c r="F165" s="1260" t="inlineStr">
        <is>
          <t>Get Off Auto</t>
        </is>
      </c>
      <c r="G165" s="1260" t="inlineStr">
        <is>
          <t>Google</t>
        </is>
      </c>
    </row>
    <row r="166" ht="13.5" customHeight="1" s="1232">
      <c r="A166" s="1393" t="n">
        <v>44181</v>
      </c>
      <c r="B166" s="1260" t="inlineStr">
        <is>
          <t>Richard Stenson</t>
        </is>
      </c>
      <c r="C166" s="1255" t="inlineStr">
        <is>
          <t>2. Workshops</t>
        </is>
      </c>
      <c r="D166" s="1260" t="inlineStr">
        <is>
          <t>Stripe</t>
        </is>
      </c>
      <c r="E166" s="1394" t="n">
        <v>99</v>
      </c>
      <c r="F166" s="1260" t="inlineStr">
        <is>
          <t>Blubells Workshop</t>
        </is>
      </c>
      <c r="G166" s="1260" t="inlineStr">
        <is>
          <t>Google</t>
        </is>
      </c>
    </row>
    <row r="167" ht="13.5" customHeight="1" s="1232">
      <c r="A167" s="1393" t="n">
        <v>44180</v>
      </c>
      <c r="B167" s="1260" t="inlineStr">
        <is>
          <t>Sally Nixon</t>
        </is>
      </c>
      <c r="C167" s="1255" t="inlineStr">
        <is>
          <t>1. Courses/masterclasses</t>
        </is>
      </c>
      <c r="D167" s="1260" t="inlineStr">
        <is>
          <t>Stripe</t>
        </is>
      </c>
      <c r="E167" s="1394" t="n">
        <v>187.5</v>
      </c>
      <c r="F167" s="1260" t="inlineStr">
        <is>
          <t>4wk Lightroom Course</t>
        </is>
      </c>
      <c r="G167" s="1260" t="inlineStr">
        <is>
          <t>Existing</t>
        </is>
      </c>
    </row>
    <row r="168" ht="13.5" customHeight="1" s="1232">
      <c r="A168" s="1393" t="n">
        <v>44180</v>
      </c>
      <c r="B168" s="1260" t="inlineStr">
        <is>
          <t xml:space="preserve">Heather Audley </t>
        </is>
      </c>
      <c r="C168" s="1255" t="inlineStr">
        <is>
          <t>1. Courses/masterclasses</t>
        </is>
      </c>
      <c r="D168" s="1260" t="inlineStr">
        <is>
          <t>PayPal</t>
        </is>
      </c>
      <c r="E168" s="1394" t="n">
        <v>15</v>
      </c>
      <c r="F168" s="1260" t="inlineStr">
        <is>
          <t>Zoom Get Off Auto</t>
        </is>
      </c>
      <c r="G168" s="1260" t="inlineStr">
        <is>
          <t>Google</t>
        </is>
      </c>
    </row>
    <row r="169" ht="13.5" customHeight="1" s="1232">
      <c r="A169" s="1393" t="n">
        <v>44180</v>
      </c>
      <c r="B169" s="1260" t="inlineStr">
        <is>
          <t>Steven Rawson</t>
        </is>
      </c>
      <c r="C169" s="1255" t="inlineStr">
        <is>
          <t>6. 1-2-1</t>
        </is>
      </c>
      <c r="D169" s="1260" t="inlineStr">
        <is>
          <t>PayPal</t>
        </is>
      </c>
      <c r="E169" s="1394" t="n">
        <v>60</v>
      </c>
      <c r="F169" s="1260" t="inlineStr">
        <is>
          <t>Online 1-2-1</t>
        </is>
      </c>
      <c r="G169" s="1260" t="inlineStr">
        <is>
          <t>Existing</t>
        </is>
      </c>
    </row>
    <row r="170" ht="13.5" customHeight="1" s="1232">
      <c r="A170" s="1393" t="n">
        <v>44179</v>
      </c>
      <c r="B170" s="1260" t="inlineStr">
        <is>
          <t xml:space="preserve">Megan Greene </t>
        </is>
      </c>
      <c r="C170" s="1255" t="inlineStr">
        <is>
          <t>1. Courses/masterclasses</t>
        </is>
      </c>
      <c r="D170" s="1260" t="inlineStr">
        <is>
          <t>PayPal</t>
        </is>
      </c>
      <c r="E170" s="1394" t="n">
        <v>15</v>
      </c>
      <c r="F170" s="1260" t="inlineStr">
        <is>
          <t>Zoom Get Off Auto</t>
        </is>
      </c>
      <c r="G170" s="1260" t="inlineStr">
        <is>
          <t>Google</t>
        </is>
      </c>
    </row>
    <row r="171" ht="13.5" customHeight="1" s="1232">
      <c r="A171" s="1393" t="n">
        <v>44176</v>
      </c>
      <c r="B171" s="1260" t="inlineStr">
        <is>
          <t>Davina Haw</t>
        </is>
      </c>
      <c r="C171" s="1255" t="inlineStr">
        <is>
          <t>7. Gift Vouchers Inc</t>
        </is>
      </c>
      <c r="D171" s="1260" t="inlineStr">
        <is>
          <t>Stripe</t>
        </is>
      </c>
      <c r="E171" s="1394" t="n">
        <v>500</v>
      </c>
      <c r="F171" s="1260" t="inlineStr">
        <is>
          <t>Digital Gift Voucher</t>
        </is>
      </c>
      <c r="G171" s="1260" t="inlineStr">
        <is>
          <t>Google</t>
        </is>
      </c>
    </row>
    <row r="172" ht="13.5" customHeight="1" s="1232">
      <c r="A172" s="1393" t="n">
        <v>44175</v>
      </c>
      <c r="B172" s="1260" t="inlineStr">
        <is>
          <t>Helen Finch</t>
        </is>
      </c>
      <c r="C172" s="1255" t="inlineStr">
        <is>
          <t>1. Courses/masterclasses</t>
        </is>
      </c>
      <c r="D172" s="1260" t="inlineStr">
        <is>
          <t>PayPal</t>
        </is>
      </c>
      <c r="E172" s="1394" t="n">
        <v>17.5</v>
      </c>
      <c r="F172" s="1260" t="inlineStr">
        <is>
          <t>Zoom Webinar</t>
        </is>
      </c>
      <c r="G172" s="1260" t="inlineStr">
        <is>
          <t>Existing</t>
        </is>
      </c>
    </row>
    <row r="173" ht="13.5" customHeight="1" s="1232">
      <c r="A173" s="1393" t="n">
        <v>44175</v>
      </c>
      <c r="B173" s="1260" t="inlineStr">
        <is>
          <t>Lisa French</t>
        </is>
      </c>
      <c r="C173" s="1255" t="inlineStr">
        <is>
          <t>7. Gift Vouchers Inc</t>
        </is>
      </c>
      <c r="D173" s="1260" t="inlineStr">
        <is>
          <t>Stripe</t>
        </is>
      </c>
      <c r="E173" s="1394" t="n">
        <v>300</v>
      </c>
      <c r="F173" s="1260" t="inlineStr">
        <is>
          <t>Digital Gift Voucher</t>
        </is>
      </c>
      <c r="G173" s="1260" t="inlineStr">
        <is>
          <t>Google</t>
        </is>
      </c>
    </row>
    <row r="174" ht="13.5" customHeight="1" s="1232">
      <c r="A174" s="1393" t="n">
        <v>44174</v>
      </c>
      <c r="B174" s="1260" t="inlineStr">
        <is>
          <t>Steven Rawson</t>
        </is>
      </c>
      <c r="C174" s="1255" t="inlineStr">
        <is>
          <t>6. 1-2-1</t>
        </is>
      </c>
      <c r="D174" s="1260" t="inlineStr">
        <is>
          <t>PayPal</t>
        </is>
      </c>
      <c r="E174" s="1394" t="n">
        <v>60</v>
      </c>
      <c r="F174" s="1260" t="inlineStr">
        <is>
          <t>Online 1-2-1</t>
        </is>
      </c>
      <c r="G174" s="1260" t="inlineStr">
        <is>
          <t>Existing</t>
        </is>
      </c>
    </row>
    <row r="175" ht="13.5" customHeight="1" s="1232">
      <c r="A175" s="1393" t="n">
        <v>44173</v>
      </c>
      <c r="B175" s="1260" t="inlineStr">
        <is>
          <t>karen Hillyer</t>
        </is>
      </c>
      <c r="C175" s="1255" t="inlineStr">
        <is>
          <t>7. Gift Vouchers Inc</t>
        </is>
      </c>
      <c r="D175" s="1260" t="inlineStr">
        <is>
          <t>Stripe</t>
        </is>
      </c>
      <c r="E175" s="1394" t="n">
        <v>150</v>
      </c>
      <c r="F175" s="1260" t="inlineStr">
        <is>
          <t>Digital Gift Voucher</t>
        </is>
      </c>
      <c r="G175" s="1260" t="inlineStr">
        <is>
          <t>Google</t>
        </is>
      </c>
    </row>
    <row r="176" ht="13.5" customHeight="1" s="1232">
      <c r="A176" s="1393" t="n">
        <v>44168</v>
      </c>
      <c r="B176" s="1260" t="inlineStr">
        <is>
          <t xml:space="preserve">Sara Dogruca </t>
        </is>
      </c>
      <c r="C176" s="1255" t="inlineStr">
        <is>
          <t>6. 1-2-1</t>
        </is>
      </c>
      <c r="D176" s="1260" t="inlineStr">
        <is>
          <t>PayPal</t>
        </is>
      </c>
      <c r="E176" s="1394" t="n">
        <v>25</v>
      </c>
      <c r="F176" s="1260" t="inlineStr">
        <is>
          <t>Photo Editing</t>
        </is>
      </c>
      <c r="G176" s="1260" t="inlineStr">
        <is>
          <t>Existing</t>
        </is>
      </c>
    </row>
    <row r="177" ht="13.5" customHeight="1" s="1232">
      <c r="A177" s="1393" t="n">
        <v>44167</v>
      </c>
      <c r="B177" s="1260" t="inlineStr">
        <is>
          <t>Claire Broader</t>
        </is>
      </c>
      <c r="C177" s="1255" t="inlineStr">
        <is>
          <t>7. Gift Vouchers Inc</t>
        </is>
      </c>
      <c r="D177" s="1260" t="inlineStr">
        <is>
          <t>Stripe</t>
        </is>
      </c>
      <c r="E177" s="1394" t="n">
        <v>50</v>
      </c>
      <c r="F177" s="1260" t="inlineStr">
        <is>
          <t>Digital Gift Voucher</t>
        </is>
      </c>
      <c r="G177" s="1260" t="inlineStr">
        <is>
          <t>Google</t>
        </is>
      </c>
    </row>
    <row r="178" ht="13.5" customHeight="1" s="1232">
      <c r="A178" s="1393" t="n">
        <v>44167</v>
      </c>
      <c r="B178" s="1260" t="inlineStr">
        <is>
          <t>Catherine Whitehouse</t>
        </is>
      </c>
      <c r="C178" s="1255" t="inlineStr">
        <is>
          <t>7. Gift Vouchers Inc</t>
        </is>
      </c>
      <c r="D178" s="1260" t="inlineStr">
        <is>
          <t>Stripe</t>
        </is>
      </c>
      <c r="E178" s="1394" t="n">
        <v>150</v>
      </c>
      <c r="F178" s="1260" t="inlineStr">
        <is>
          <t>Digital Gift Voucher</t>
        </is>
      </c>
      <c r="G178" s="1260" t="inlineStr">
        <is>
          <t>Google</t>
        </is>
      </c>
    </row>
    <row r="179" ht="13.5" customHeight="1" s="1232">
      <c r="A179" s="1393" t="n">
        <v>44166</v>
      </c>
      <c r="B179" s="1260" t="inlineStr">
        <is>
          <t>Pick n Mix Subs</t>
        </is>
      </c>
      <c r="C179" s="1255" t="inlineStr">
        <is>
          <t>3. Pick n Mix Inc</t>
        </is>
      </c>
      <c r="D179" s="1260" t="inlineStr">
        <is>
          <t>Various</t>
        </is>
      </c>
      <c r="E179" s="1394" t="n">
        <v>187.5</v>
      </c>
      <c r="F179" s="1260" t="inlineStr">
        <is>
          <t>Pick N Mix Payments</t>
        </is>
      </c>
      <c r="G179" s="1260" t="inlineStr">
        <is>
          <t>Existing</t>
        </is>
      </c>
    </row>
    <row r="180" ht="13.5" customHeight="1" s="1232">
      <c r="A180" s="1393" t="n">
        <v>44166</v>
      </c>
      <c r="B180" s="1260" t="inlineStr">
        <is>
          <t>Mentoring Subs</t>
        </is>
      </c>
      <c r="C180" s="1255" t="inlineStr">
        <is>
          <t>5. Mentoring</t>
        </is>
      </c>
      <c r="D180" s="1255" t="inlineStr">
        <is>
          <t>Various</t>
        </is>
      </c>
      <c r="E180" s="1261" t="n">
        <v>80</v>
      </c>
      <c r="F180" s="1255" t="inlineStr">
        <is>
          <t>Mentoring Subs</t>
        </is>
      </c>
      <c r="G180" s="1255" t="inlineStr">
        <is>
          <t>Existing</t>
        </is>
      </c>
    </row>
    <row r="181" ht="13.5" customHeight="1" s="1232">
      <c r="A181" s="1393" t="n"/>
      <c r="B181" s="1260" t="n"/>
      <c r="D181" s="1260" t="n"/>
      <c r="E181" s="1394" t="n"/>
      <c r="F181" s="1260" t="n"/>
      <c r="G181" s="1260" t="n"/>
    </row>
    <row r="182" ht="13.5" customHeight="1" s="1232">
      <c r="A182" s="1393" t="n">
        <v>44165</v>
      </c>
      <c r="B182" s="1260" t="inlineStr">
        <is>
          <t>Mattia Tosi</t>
        </is>
      </c>
      <c r="C182" s="1255" t="inlineStr">
        <is>
          <t>1. Courses/masterclasses</t>
        </is>
      </c>
      <c r="D182" s="1260" t="inlineStr">
        <is>
          <t>PayPal</t>
        </is>
      </c>
      <c r="E182" s="1394" t="n">
        <v>187.5</v>
      </c>
      <c r="F182" s="1260" t="inlineStr">
        <is>
          <t>Lightroom Course</t>
        </is>
      </c>
      <c r="G182" s="1260" t="inlineStr">
        <is>
          <t>Existing</t>
        </is>
      </c>
    </row>
    <row r="183" ht="13.5" customHeight="1" s="1232">
      <c r="A183" s="1393" t="n">
        <v>44165</v>
      </c>
      <c r="B183" s="1260" t="inlineStr">
        <is>
          <t>Panayiota Touloupou</t>
        </is>
      </c>
      <c r="C183" s="1255" t="inlineStr">
        <is>
          <t>2. Workshops</t>
        </is>
      </c>
      <c r="D183" s="1260" t="inlineStr">
        <is>
          <t>PayPal</t>
        </is>
      </c>
      <c r="E183" s="1394" t="n">
        <v>600</v>
      </c>
      <c r="F183" s="1260" t="inlineStr">
        <is>
          <t>Anglesey Workshop</t>
        </is>
      </c>
      <c r="G183" s="1260" t="inlineStr">
        <is>
          <t>Existing</t>
        </is>
      </c>
    </row>
    <row r="184" ht="13.5" customHeight="1" s="1232">
      <c r="A184" s="1393" t="n">
        <v>44165</v>
      </c>
      <c r="B184" s="1260" t="inlineStr">
        <is>
          <t xml:space="preserve">Dennis Jeffrey </t>
        </is>
      </c>
      <c r="C184" s="1255" t="inlineStr">
        <is>
          <t>6. 1-2-1</t>
        </is>
      </c>
      <c r="D184" s="1260" t="inlineStr">
        <is>
          <t>Stripe</t>
        </is>
      </c>
      <c r="E184" s="1394" t="n">
        <v>35</v>
      </c>
      <c r="F184" s="1260" t="inlineStr">
        <is>
          <t>Online 1-2-1</t>
        </is>
      </c>
      <c r="G184" s="1260" t="inlineStr">
        <is>
          <t>Google</t>
        </is>
      </c>
    </row>
    <row r="185" ht="13.5" customHeight="1" s="1232">
      <c r="A185" s="1393" t="n">
        <v>44165</v>
      </c>
      <c r="B185" s="1260" t="inlineStr">
        <is>
          <t>Justin Meaden</t>
        </is>
      </c>
      <c r="C185" s="1255" t="inlineStr">
        <is>
          <t>6. 1-2-1</t>
        </is>
      </c>
      <c r="D185" s="1260" t="inlineStr">
        <is>
          <t>PayPal</t>
        </is>
      </c>
      <c r="E185" s="1394" t="n">
        <v>90</v>
      </c>
      <c r="F185" s="1260" t="inlineStr">
        <is>
          <t>Outdoor 1-2-1</t>
        </is>
      </c>
      <c r="G185" s="1260" t="inlineStr">
        <is>
          <t>Existing</t>
        </is>
      </c>
    </row>
    <row r="186" ht="13.5" customHeight="1" s="1232">
      <c r="A186" s="1393" t="n">
        <v>44165</v>
      </c>
      <c r="B186" s="1260" t="inlineStr">
        <is>
          <t xml:space="preserve">Sara Dogruca </t>
        </is>
      </c>
      <c r="C186" s="1255" t="inlineStr">
        <is>
          <t>6. 1-2-1</t>
        </is>
      </c>
      <c r="D186" s="1260" t="inlineStr">
        <is>
          <t>Stripe</t>
        </is>
      </c>
      <c r="E186" s="1394" t="n">
        <v>35</v>
      </c>
      <c r="F186" s="1260" t="inlineStr">
        <is>
          <t>Online 1-2-1</t>
        </is>
      </c>
      <c r="G186" s="1260" t="inlineStr">
        <is>
          <t>Google</t>
        </is>
      </c>
    </row>
    <row r="187" ht="13.5" customHeight="1" s="1232">
      <c r="A187" s="1393" t="n">
        <v>44165</v>
      </c>
      <c r="B187" s="1260" t="inlineStr">
        <is>
          <t>Jeremy Troth</t>
        </is>
      </c>
      <c r="C187" s="1255" t="inlineStr">
        <is>
          <t>2. Workshops</t>
        </is>
      </c>
      <c r="D187" s="1260" t="inlineStr">
        <is>
          <t>Bank</t>
        </is>
      </c>
      <c r="E187" s="1394" t="n">
        <v>80</v>
      </c>
      <c r="F187" s="1260" t="inlineStr">
        <is>
          <t>Woodland Walk</t>
        </is>
      </c>
      <c r="G187" s="1260" t="inlineStr">
        <is>
          <t>Existing</t>
        </is>
      </c>
    </row>
    <row r="188" ht="13.5" customHeight="1" s="1232">
      <c r="A188" s="1393" t="n">
        <v>44160</v>
      </c>
      <c r="B188" s="1260" t="inlineStr">
        <is>
          <t>Janet Biulter</t>
        </is>
      </c>
      <c r="C188" s="1255" t="inlineStr">
        <is>
          <t>1. Courses/masterclasses</t>
        </is>
      </c>
      <c r="D188" s="1260" t="inlineStr">
        <is>
          <t>Stripe</t>
        </is>
      </c>
      <c r="E188" s="1394" t="n">
        <v>19.25</v>
      </c>
      <c r="F188" s="1260" t="inlineStr">
        <is>
          <t>Zoom Webinar</t>
        </is>
      </c>
      <c r="G188" s="1260" t="inlineStr">
        <is>
          <t>Existing</t>
        </is>
      </c>
    </row>
    <row r="189" ht="13.5" customHeight="1" s="1232">
      <c r="A189" s="1393" t="n">
        <v>44162</v>
      </c>
      <c r="B189" s="1260" t="inlineStr">
        <is>
          <t>Jessica Friend</t>
        </is>
      </c>
      <c r="C189" s="1255" t="inlineStr">
        <is>
          <t>2. Workshops</t>
        </is>
      </c>
      <c r="D189" s="1260" t="inlineStr">
        <is>
          <t>PayPal</t>
        </is>
      </c>
      <c r="E189" s="1394" t="n">
        <v>24</v>
      </c>
      <c r="F189" s="1260" t="inlineStr">
        <is>
          <t>Woodland Walk</t>
        </is>
      </c>
      <c r="G189" s="1260" t="inlineStr">
        <is>
          <t>Google</t>
        </is>
      </c>
    </row>
    <row r="190" ht="13.5" customHeight="1" s="1232">
      <c r="A190" s="1393" t="n">
        <v>44158</v>
      </c>
      <c r="B190" s="1260" t="inlineStr">
        <is>
          <t>Sam Reid</t>
        </is>
      </c>
      <c r="C190" s="1255" t="inlineStr">
        <is>
          <t>2. Workshops</t>
        </is>
      </c>
      <c r="D190" s="1260" t="inlineStr">
        <is>
          <t>PayPal</t>
        </is>
      </c>
      <c r="E190" s="1394" t="n">
        <v>12</v>
      </c>
      <c r="F190" s="1260" t="inlineStr">
        <is>
          <t>Woodland Walk</t>
        </is>
      </c>
      <c r="G190" s="1260" t="inlineStr">
        <is>
          <t>Existing</t>
        </is>
      </c>
    </row>
    <row r="191" ht="13.5" customHeight="1" s="1232">
      <c r="A191" s="1393" t="n">
        <v>44158</v>
      </c>
      <c r="B191" s="1260" t="inlineStr">
        <is>
          <t>Mary Sefton</t>
        </is>
      </c>
      <c r="C191" s="1255" t="inlineStr">
        <is>
          <t>2. Workshops</t>
        </is>
      </c>
      <c r="D191" s="1260" t="inlineStr">
        <is>
          <t>Stripe</t>
        </is>
      </c>
      <c r="E191" s="1394" t="n">
        <v>150</v>
      </c>
      <c r="F191" s="1260" t="inlineStr">
        <is>
          <t>Bluebells</t>
        </is>
      </c>
      <c r="G191" s="1260" t="inlineStr">
        <is>
          <t>Google</t>
        </is>
      </c>
    </row>
    <row r="192" ht="13.5" customHeight="1" s="1232">
      <c r="A192" s="1393" t="n">
        <v>44158</v>
      </c>
      <c r="B192" s="1260" t="inlineStr">
        <is>
          <t>Greg Lomas</t>
        </is>
      </c>
      <c r="C192" s="1255" t="inlineStr">
        <is>
          <t>1. Courses/masterclasses</t>
        </is>
      </c>
      <c r="D192" s="1260" t="inlineStr">
        <is>
          <t>Stripe</t>
        </is>
      </c>
      <c r="E192" s="1394" t="n">
        <v>30</v>
      </c>
      <c r="F192" s="1260" t="inlineStr">
        <is>
          <t>Get Off Auto</t>
        </is>
      </c>
      <c r="G192" s="1260" t="inlineStr">
        <is>
          <t>Google</t>
        </is>
      </c>
    </row>
    <row r="193" ht="13.5" customHeight="1" s="1232">
      <c r="A193" s="1393" t="n">
        <v>44158</v>
      </c>
      <c r="B193" s="1260" t="inlineStr">
        <is>
          <t>Kate Stock</t>
        </is>
      </c>
      <c r="C193" s="1255" t="inlineStr">
        <is>
          <t>7. Gift Vouchers Inc</t>
        </is>
      </c>
      <c r="D193" s="1260" t="inlineStr">
        <is>
          <t>PayPal</t>
        </is>
      </c>
      <c r="E193" s="1394" t="n">
        <v>150</v>
      </c>
      <c r="F193" s="1260" t="inlineStr">
        <is>
          <t>Digital Gift Voucher</t>
        </is>
      </c>
      <c r="G193" s="1260" t="inlineStr">
        <is>
          <t>Google</t>
        </is>
      </c>
    </row>
    <row r="194" ht="13.5" customHeight="1" s="1232">
      <c r="A194" s="1393" t="n">
        <v>44159</v>
      </c>
      <c r="B194" s="1260" t="inlineStr">
        <is>
          <t>Artfully Walls</t>
        </is>
      </c>
      <c r="C194" s="1255" t="inlineStr">
        <is>
          <t>9. Prints &amp; Royalties</t>
        </is>
      </c>
      <c r="D194" s="1260" t="inlineStr">
        <is>
          <t>PayPal</t>
        </is>
      </c>
      <c r="E194" s="1394" t="n">
        <v>129.53</v>
      </c>
      <c r="F194" s="1260" t="inlineStr">
        <is>
          <t>Artfully Walls</t>
        </is>
      </c>
      <c r="G194" s="1260" t="inlineStr">
        <is>
          <t>Existing</t>
        </is>
      </c>
    </row>
    <row r="195" ht="13.5" customHeight="1" s="1232">
      <c r="A195" s="1393" t="n">
        <v>44156</v>
      </c>
      <c r="B195" s="1260" t="inlineStr">
        <is>
          <t>Sam Reid</t>
        </is>
      </c>
      <c r="C195" s="1255" t="inlineStr">
        <is>
          <t>6. 1-2-1</t>
        </is>
      </c>
      <c r="D195" s="1260" t="inlineStr">
        <is>
          <t>PayPal</t>
        </is>
      </c>
      <c r="E195" s="1394" t="n">
        <v>270</v>
      </c>
      <c r="F195" s="1260" t="inlineStr">
        <is>
          <t>4 x 2hr 1-2-1s</t>
        </is>
      </c>
      <c r="G195" s="1260" t="inlineStr">
        <is>
          <t>Existing</t>
        </is>
      </c>
    </row>
    <row r="196" ht="13.5" customHeight="1" s="1232">
      <c r="A196" s="1393" t="n">
        <v>44152</v>
      </c>
      <c r="B196" s="1260" t="inlineStr">
        <is>
          <t>Kate Stock</t>
        </is>
      </c>
      <c r="C196" s="1255" t="inlineStr">
        <is>
          <t>7. Gift Vouchers Inc</t>
        </is>
      </c>
      <c r="D196" s="1260" t="inlineStr">
        <is>
          <t>PayPal</t>
        </is>
      </c>
      <c r="E196" s="1394" t="n">
        <v>250</v>
      </c>
      <c r="F196" s="1260" t="inlineStr">
        <is>
          <t>Digital Gift Voucher</t>
        </is>
      </c>
      <c r="G196" s="1260" t="inlineStr">
        <is>
          <t>Google</t>
        </is>
      </c>
    </row>
    <row r="197" ht="13.5" customHeight="1" s="1232">
      <c r="A197" s="1393" t="n">
        <v>44152</v>
      </c>
      <c r="B197" s="1260" t="inlineStr">
        <is>
          <t>Kate Stock</t>
        </is>
      </c>
      <c r="C197" s="1255" t="inlineStr">
        <is>
          <t>7. Gift Vouchers Inc</t>
        </is>
      </c>
      <c r="D197" s="1260" t="inlineStr">
        <is>
          <t>PayPal</t>
        </is>
      </c>
      <c r="E197" s="1394" t="n">
        <v>100</v>
      </c>
      <c r="F197" s="1260" t="inlineStr">
        <is>
          <t>Digital Gift Voucher</t>
        </is>
      </c>
      <c r="G197" s="1260" t="inlineStr">
        <is>
          <t>Google</t>
        </is>
      </c>
    </row>
    <row r="198" ht="13.5" customHeight="1" s="1232">
      <c r="A198" s="1393" t="n">
        <v>44150</v>
      </c>
      <c r="B198" s="1260" t="inlineStr">
        <is>
          <t>John Ellis</t>
        </is>
      </c>
      <c r="C198" s="1255" t="inlineStr">
        <is>
          <t>11. Other</t>
        </is>
      </c>
      <c r="D198" s="1260" t="inlineStr">
        <is>
          <t>Stripe</t>
        </is>
      </c>
      <c r="E198" s="1394" t="n">
        <v>0.9</v>
      </c>
      <c r="F198" s="1260" t="inlineStr">
        <is>
          <t>Pocket Guides</t>
        </is>
      </c>
      <c r="G198" s="1260" t="inlineStr">
        <is>
          <t>Existing</t>
        </is>
      </c>
    </row>
    <row r="199" ht="13.5" customHeight="1" s="1232">
      <c r="A199" s="1393" t="n">
        <v>44149</v>
      </c>
      <c r="B199" s="1260" t="inlineStr">
        <is>
          <t>Joyce James</t>
        </is>
      </c>
      <c r="C199" s="1255" t="inlineStr">
        <is>
          <t>6. 1-2-1</t>
        </is>
      </c>
      <c r="D199" s="1260" t="inlineStr">
        <is>
          <t>Bank</t>
        </is>
      </c>
      <c r="E199" s="1394" t="n">
        <v>35</v>
      </c>
      <c r="F199" s="1260" t="inlineStr">
        <is>
          <t>Zoom 1-2-1</t>
        </is>
      </c>
      <c r="G199" s="1260" t="inlineStr">
        <is>
          <t>Existing</t>
        </is>
      </c>
    </row>
    <row r="200" ht="13.5" customHeight="1" s="1232">
      <c r="A200" s="1393" t="n">
        <v>44149</v>
      </c>
      <c r="B200" s="1260" t="inlineStr">
        <is>
          <t>Dennis Jeffrey</t>
        </is>
      </c>
      <c r="C200" s="1255" t="inlineStr">
        <is>
          <t>1. Courses/masterclasses</t>
        </is>
      </c>
      <c r="D200" s="1260" t="inlineStr">
        <is>
          <t>Stripe</t>
        </is>
      </c>
      <c r="E200" s="1394" t="n">
        <v>17.5</v>
      </c>
      <c r="F200" s="1260" t="inlineStr">
        <is>
          <t>Zoom Webinar</t>
        </is>
      </c>
      <c r="G200" s="1260" t="inlineStr">
        <is>
          <t>Existing</t>
        </is>
      </c>
    </row>
    <row r="201" ht="13.5" customHeight="1" s="1232">
      <c r="A201" s="1393" t="n">
        <v>44149</v>
      </c>
      <c r="B201" s="1260" t="inlineStr">
        <is>
          <t>Michaela Puffett</t>
        </is>
      </c>
      <c r="C201" s="1255" t="inlineStr">
        <is>
          <t>5. Mentoring</t>
        </is>
      </c>
      <c r="D201" s="1260" t="inlineStr">
        <is>
          <t>Stripe</t>
        </is>
      </c>
      <c r="E201" s="1394" t="n">
        <v>20</v>
      </c>
      <c r="F201" s="1260" t="inlineStr">
        <is>
          <t>Monthly Mentoring</t>
        </is>
      </c>
      <c r="G201" s="1260" t="inlineStr">
        <is>
          <t>Existing</t>
        </is>
      </c>
    </row>
    <row r="202" ht="13.5" customHeight="1" s="1232">
      <c r="A202" s="1393" t="n">
        <v>44146</v>
      </c>
      <c r="B202" s="1260" t="inlineStr">
        <is>
          <t>Karen Clothier</t>
        </is>
      </c>
      <c r="C202" s="1255" t="inlineStr">
        <is>
          <t>6. 1-2-1</t>
        </is>
      </c>
      <c r="D202" s="1260" t="inlineStr">
        <is>
          <t>PayPal</t>
        </is>
      </c>
      <c r="E202" s="1394" t="n">
        <v>70</v>
      </c>
      <c r="F202" s="1260" t="inlineStr">
        <is>
          <t>Support</t>
        </is>
      </c>
      <c r="G202" s="1260" t="inlineStr">
        <is>
          <t>Existing</t>
        </is>
      </c>
    </row>
    <row r="203" ht="13.5" customHeight="1" s="1232">
      <c r="A203" s="1393" t="n">
        <v>44145</v>
      </c>
      <c r="B203" s="1260" t="inlineStr">
        <is>
          <t>Sioda Adams</t>
        </is>
      </c>
      <c r="C203" s="1255" t="inlineStr">
        <is>
          <t>7. Gift Vouchers Inc</t>
        </is>
      </c>
      <c r="D203" s="1260" t="inlineStr">
        <is>
          <t>Stripe</t>
        </is>
      </c>
      <c r="E203" s="1394" t="n">
        <v>75</v>
      </c>
      <c r="F203" s="1260" t="inlineStr">
        <is>
          <t>Digital Gift Voucher</t>
        </is>
      </c>
      <c r="G203" s="1260" t="inlineStr">
        <is>
          <t>Google</t>
        </is>
      </c>
    </row>
    <row r="204" ht="13.5" customHeight="1" s="1232">
      <c r="A204" s="1393" t="n">
        <v>44145</v>
      </c>
      <c r="B204" s="1260" t="inlineStr">
        <is>
          <t>Ian Blake</t>
        </is>
      </c>
      <c r="C204" s="1255" t="inlineStr">
        <is>
          <t>1. Courses/masterclasses</t>
        </is>
      </c>
      <c r="D204" s="1260" t="inlineStr">
        <is>
          <t>Stripe</t>
        </is>
      </c>
      <c r="E204" s="1394" t="n">
        <v>17.5</v>
      </c>
      <c r="F204" s="1260" t="inlineStr">
        <is>
          <t>Zoom Webinar</t>
        </is>
      </c>
      <c r="G204" s="1260" t="inlineStr">
        <is>
          <t>Existing</t>
        </is>
      </c>
    </row>
    <row r="205" ht="13.5" customHeight="1" s="1232">
      <c r="A205" s="1393" t="n">
        <v>44145</v>
      </c>
      <c r="B205" s="1260" t="inlineStr">
        <is>
          <t>Ian Blake</t>
        </is>
      </c>
      <c r="C205" s="1255" t="inlineStr">
        <is>
          <t>1. Courses/masterclasses</t>
        </is>
      </c>
      <c r="D205" s="1260" t="inlineStr">
        <is>
          <t>Stripe</t>
        </is>
      </c>
      <c r="E205" s="1394" t="n">
        <v>17.5</v>
      </c>
      <c r="F205" s="1260" t="inlineStr">
        <is>
          <t>Zoom Webinar</t>
        </is>
      </c>
      <c r="G205" s="1260" t="inlineStr">
        <is>
          <t>Existing</t>
        </is>
      </c>
    </row>
    <row r="206" ht="13.5" customHeight="1" s="1232">
      <c r="A206" s="1393" t="n">
        <v>44144</v>
      </c>
      <c r="B206" s="1260" t="inlineStr">
        <is>
          <t>Daniel Carnio</t>
        </is>
      </c>
      <c r="C206" s="1255" t="inlineStr">
        <is>
          <t>6. 1-2-1</t>
        </is>
      </c>
      <c r="D206" s="1260" t="inlineStr">
        <is>
          <t>PayPal</t>
        </is>
      </c>
      <c r="E206" s="1394" t="n">
        <v>30</v>
      </c>
      <c r="F206" s="1260" t="inlineStr">
        <is>
          <t>1hr Online 1-2-1</t>
        </is>
      </c>
      <c r="G206" s="1260" t="inlineStr">
        <is>
          <t>Google</t>
        </is>
      </c>
    </row>
    <row r="207" ht="13.5" customHeight="1" s="1232">
      <c r="A207" s="1393" t="n">
        <v>44143</v>
      </c>
      <c r="B207" s="1260" t="inlineStr">
        <is>
          <t>Steven Rawson</t>
        </is>
      </c>
      <c r="C207" s="1255" t="inlineStr">
        <is>
          <t>6. 1-2-1</t>
        </is>
      </c>
      <c r="D207" s="1260" t="inlineStr">
        <is>
          <t>PayPal</t>
        </is>
      </c>
      <c r="E207" s="1394" t="n">
        <v>60</v>
      </c>
      <c r="F207" s="1260" t="inlineStr">
        <is>
          <t>2hr Online 1-2-1</t>
        </is>
      </c>
      <c r="G207" s="1260" t="inlineStr">
        <is>
          <t>Google</t>
        </is>
      </c>
    </row>
    <row r="208" ht="13.5" customHeight="1" s="1232">
      <c r="A208" s="1393" t="n">
        <v>44141</v>
      </c>
      <c r="B208" s="1260" t="inlineStr">
        <is>
          <t>Wendy Czogalik</t>
        </is>
      </c>
      <c r="C208" s="1255" t="inlineStr">
        <is>
          <t>7. Gift Vouchers Inc</t>
        </is>
      </c>
      <c r="D208" s="1260" t="inlineStr">
        <is>
          <t>Stripe</t>
        </is>
      </c>
      <c r="E208" s="1394" t="n">
        <v>5</v>
      </c>
      <c r="F208" s="1260" t="inlineStr">
        <is>
          <t>Digital Gift Voucher</t>
        </is>
      </c>
      <c r="G208" s="1260" t="inlineStr">
        <is>
          <t>Google</t>
        </is>
      </c>
    </row>
    <row r="209" ht="13.5" customHeight="1" s="1232">
      <c r="A209" s="1393" t="n">
        <v>44141</v>
      </c>
      <c r="B209" s="1260" t="inlineStr">
        <is>
          <t>Wendy Czogalik</t>
        </is>
      </c>
      <c r="C209" s="1255" t="inlineStr">
        <is>
          <t>7. Gift Vouchers Inc</t>
        </is>
      </c>
      <c r="D209" s="1260" t="inlineStr">
        <is>
          <t>Stripe</t>
        </is>
      </c>
      <c r="E209" s="1394" t="n">
        <v>30</v>
      </c>
      <c r="F209" s="1260" t="inlineStr">
        <is>
          <t>Digital Gift Voucher</t>
        </is>
      </c>
      <c r="G209" s="1260" t="inlineStr">
        <is>
          <t>Google</t>
        </is>
      </c>
    </row>
    <row r="210" ht="13.5" customHeight="1" s="1232">
      <c r="A210" s="1393" t="n">
        <v>44136</v>
      </c>
      <c r="B210" s="1260" t="inlineStr">
        <is>
          <t xml:space="preserve">Marian Dubovsky </t>
        </is>
      </c>
      <c r="C210" s="1255" t="inlineStr">
        <is>
          <t>11. Other</t>
        </is>
      </c>
      <c r="D210" s="1260" t="inlineStr">
        <is>
          <t>PayPal</t>
        </is>
      </c>
      <c r="E210" s="1394" t="n">
        <v>6.9</v>
      </c>
      <c r="F210" s="1260" t="inlineStr">
        <is>
          <t>Pocket Guides</t>
        </is>
      </c>
      <c r="G210" s="1260" t="inlineStr">
        <is>
          <t>Google</t>
        </is>
      </c>
    </row>
    <row r="211" ht="13.5" customHeight="1" s="1232">
      <c r="A211" s="1393" t="n">
        <v>44140</v>
      </c>
      <c r="B211" s="1260" t="inlineStr">
        <is>
          <t>Jacki Rosin</t>
        </is>
      </c>
      <c r="C211" s="1255" t="inlineStr">
        <is>
          <t>1. Courses/masterclasses</t>
        </is>
      </c>
      <c r="D211" s="1260" t="inlineStr">
        <is>
          <t>Stripe</t>
        </is>
      </c>
      <c r="E211" s="1394" t="n">
        <v>17.5</v>
      </c>
      <c r="F211" s="1260" t="inlineStr">
        <is>
          <t>Zoom Webinar</t>
        </is>
      </c>
      <c r="G211" s="1260" t="inlineStr">
        <is>
          <t>Existing</t>
        </is>
      </c>
    </row>
    <row r="212" ht="13.5" customHeight="1" s="1232">
      <c r="A212" s="1393" t="n">
        <v>44140</v>
      </c>
      <c r="B212" s="1260" t="inlineStr">
        <is>
          <t>Joyce James</t>
        </is>
      </c>
      <c r="C212" s="1255" t="inlineStr">
        <is>
          <t>1. Courses/masterclasses</t>
        </is>
      </c>
      <c r="D212" s="1260" t="inlineStr">
        <is>
          <t>PayPal</t>
        </is>
      </c>
      <c r="E212" s="1394" t="n">
        <v>17.5</v>
      </c>
      <c r="F212" s="1260" t="inlineStr">
        <is>
          <t>Zoom Webinar</t>
        </is>
      </c>
      <c r="G212" s="1260" t="inlineStr">
        <is>
          <t>Existing</t>
        </is>
      </c>
    </row>
    <row r="213" ht="13.5" customHeight="1" s="1232">
      <c r="A213" s="1393" t="n">
        <v>44138</v>
      </c>
      <c r="B213" s="1260" t="inlineStr">
        <is>
          <t>George Hughes</t>
        </is>
      </c>
      <c r="C213" s="1255" t="inlineStr">
        <is>
          <t>1. Courses/masterclasses</t>
        </is>
      </c>
      <c r="D213" s="1260" t="inlineStr">
        <is>
          <t>Bank</t>
        </is>
      </c>
      <c r="E213" s="1394" t="n">
        <v>225</v>
      </c>
      <c r="F213" s="1260" t="inlineStr">
        <is>
          <t>RPS Course</t>
        </is>
      </c>
      <c r="G213" s="1260" t="inlineStr">
        <is>
          <t>Existing</t>
        </is>
      </c>
    </row>
    <row r="214" ht="13.5" customHeight="1" s="1232">
      <c r="A214" s="1393" t="n">
        <v>44136</v>
      </c>
      <c r="B214" s="1260" t="inlineStr">
        <is>
          <t>Pick n Mix Subs</t>
        </is>
      </c>
      <c r="C214" s="1255" t="inlineStr">
        <is>
          <t>3. Pick n Mix Inc</t>
        </is>
      </c>
      <c r="D214" s="1260" t="inlineStr">
        <is>
          <t>Various</t>
        </is>
      </c>
      <c r="E214" s="1394" t="n">
        <v>465</v>
      </c>
      <c r="F214" s="1260" t="inlineStr">
        <is>
          <t>Pick N Mix Payments</t>
        </is>
      </c>
      <c r="G214" s="1260" t="inlineStr">
        <is>
          <t>Existing</t>
        </is>
      </c>
    </row>
    <row r="215" ht="13.5" customHeight="1" s="1232">
      <c r="A215" s="1393" t="n">
        <v>44136</v>
      </c>
      <c r="B215" s="1260" t="inlineStr">
        <is>
          <t>Mentoring Subs</t>
        </is>
      </c>
      <c r="C215" s="1255" t="inlineStr">
        <is>
          <t>5. Mentoring</t>
        </is>
      </c>
      <c r="D215" s="1255" t="inlineStr">
        <is>
          <t>Various</t>
        </is>
      </c>
      <c r="E215" s="1261" t="n">
        <v>60</v>
      </c>
      <c r="F215" s="1255" t="inlineStr">
        <is>
          <t>Mentoring Subs</t>
        </is>
      </c>
      <c r="G215" s="1255" t="inlineStr">
        <is>
          <t>Existing</t>
        </is>
      </c>
    </row>
    <row r="216" ht="13.5" customHeight="1" s="1232">
      <c r="A216" s="1393" t="n"/>
      <c r="B216" s="1260" t="n"/>
      <c r="D216" s="1260" t="n"/>
      <c r="E216" s="1394" t="n"/>
      <c r="F216" s="1260" t="n"/>
      <c r="G216" s="1260" t="n"/>
    </row>
    <row r="217" ht="13.5" customHeight="1" s="1232">
      <c r="A217" s="1393" t="n">
        <v>44135</v>
      </c>
      <c r="B217" s="1260" t="inlineStr">
        <is>
          <t>Jacqueline Walsh</t>
        </is>
      </c>
      <c r="C217" s="1255" t="inlineStr">
        <is>
          <t>2. Workshops</t>
        </is>
      </c>
      <c r="D217" s="1260" t="inlineStr">
        <is>
          <t>PayPal</t>
        </is>
      </c>
      <c r="E217" s="1394" t="n">
        <v>20</v>
      </c>
      <c r="F217" s="1260" t="inlineStr">
        <is>
          <t>Woodland Walk</t>
        </is>
      </c>
      <c r="G217" s="1260" t="inlineStr">
        <is>
          <t>Existing</t>
        </is>
      </c>
    </row>
    <row r="218" ht="13.5" customHeight="1" s="1232">
      <c r="A218" s="1393" t="n">
        <v>44132</v>
      </c>
      <c r="B218" s="1260" t="inlineStr">
        <is>
          <t>Husam Fakhry</t>
        </is>
      </c>
      <c r="C218" s="1255" t="inlineStr">
        <is>
          <t>5. Mentoring</t>
        </is>
      </c>
      <c r="D218" s="1260" t="inlineStr">
        <is>
          <t>Stripe</t>
        </is>
      </c>
      <c r="E218" s="1394" t="n">
        <v>20</v>
      </c>
      <c r="F218" s="1260" t="inlineStr">
        <is>
          <t>Monthly Mentoring</t>
        </is>
      </c>
      <c r="G218" s="1260" t="inlineStr">
        <is>
          <t>Existing</t>
        </is>
      </c>
    </row>
    <row r="219" ht="13.5" customHeight="1" s="1232">
      <c r="A219" s="1393" t="n">
        <v>44128</v>
      </c>
      <c r="B219" s="1260" t="inlineStr">
        <is>
          <t>John Flack</t>
        </is>
      </c>
      <c r="C219" s="1255" t="inlineStr">
        <is>
          <t>5. Mentoring</t>
        </is>
      </c>
      <c r="D219" s="1260" t="inlineStr">
        <is>
          <t>Stripe</t>
        </is>
      </c>
      <c r="E219" s="1394" t="n">
        <v>200</v>
      </c>
      <c r="F219" s="1260" t="inlineStr">
        <is>
          <t>Monthly Mentoring</t>
        </is>
      </c>
      <c r="G219" s="1260" t="inlineStr">
        <is>
          <t>Existing</t>
        </is>
      </c>
    </row>
    <row r="220" ht="13.5" customHeight="1" s="1232">
      <c r="A220" s="1393" t="n">
        <v>44125</v>
      </c>
      <c r="B220" s="1260" t="inlineStr">
        <is>
          <t>Robert Earl</t>
        </is>
      </c>
      <c r="C220" s="1255" t="inlineStr">
        <is>
          <t>2. Workshops</t>
        </is>
      </c>
      <c r="D220" s="1260" t="inlineStr">
        <is>
          <t>Gift Voucher Out</t>
        </is>
      </c>
      <c r="E220" s="1394" t="n">
        <v>150</v>
      </c>
      <c r="F220" s="1260" t="inlineStr">
        <is>
          <t>Batsford</t>
        </is>
      </c>
      <c r="G220" s="1260" t="inlineStr">
        <is>
          <t>Google</t>
        </is>
      </c>
    </row>
    <row r="221" ht="13.5" customHeight="1" s="1232">
      <c r="A221" s="1393" t="n">
        <v>44125</v>
      </c>
      <c r="B221" s="1260" t="inlineStr">
        <is>
          <t>Robert Earl</t>
        </is>
      </c>
      <c r="C221" s="1255" t="inlineStr">
        <is>
          <t>8. Gift Vouchers Out</t>
        </is>
      </c>
      <c r="D221" s="1260" t="inlineStr">
        <is>
          <t>Gift Voucher Out</t>
        </is>
      </c>
      <c r="E221" s="1394" t="n">
        <v>-150</v>
      </c>
      <c r="F221" s="1260" t="inlineStr">
        <is>
          <t>Batsford</t>
        </is>
      </c>
      <c r="G221" s="1260" t="inlineStr">
        <is>
          <t>Google</t>
        </is>
      </c>
    </row>
    <row r="222" ht="13.5" customHeight="1" s="1232">
      <c r="A222" s="1393" t="n">
        <v>44125</v>
      </c>
      <c r="B222" s="1260" t="inlineStr">
        <is>
          <t>Sian Humphreys</t>
        </is>
      </c>
      <c r="C222" s="1255" t="inlineStr">
        <is>
          <t>1. Courses/masterclasses</t>
        </is>
      </c>
      <c r="D222" s="1260" t="inlineStr">
        <is>
          <t>Stripe</t>
        </is>
      </c>
      <c r="E222" s="1394" t="n">
        <v>30</v>
      </c>
      <c r="F222" s="1260" t="inlineStr">
        <is>
          <t>Get Off Auto</t>
        </is>
      </c>
      <c r="G222" s="1260" t="inlineStr">
        <is>
          <t>Google</t>
        </is>
      </c>
    </row>
    <row r="223" ht="13.5" customHeight="1" s="1232">
      <c r="A223" s="1393" t="n">
        <v>44124</v>
      </c>
      <c r="B223" s="1260" t="inlineStr">
        <is>
          <t>Tony Teague</t>
        </is>
      </c>
      <c r="C223" s="1255" t="inlineStr">
        <is>
          <t>6. 1-2-1</t>
        </is>
      </c>
      <c r="D223" s="1260" t="inlineStr">
        <is>
          <t>Stripe</t>
        </is>
      </c>
      <c r="E223" s="1394" t="n">
        <v>35</v>
      </c>
      <c r="F223" s="1260" t="inlineStr">
        <is>
          <t>Zoom 1-2-1</t>
        </is>
      </c>
      <c r="G223" s="1260" t="inlineStr">
        <is>
          <t>Existing</t>
        </is>
      </c>
    </row>
    <row r="224" ht="13.5" customHeight="1" s="1232">
      <c r="A224" s="1393" t="n">
        <v>44124</v>
      </c>
      <c r="B224" s="1260" t="inlineStr">
        <is>
          <t>Keith Fryer</t>
        </is>
      </c>
      <c r="C224" s="1255" t="inlineStr">
        <is>
          <t>2. Workshops</t>
        </is>
      </c>
      <c r="D224" s="1260" t="inlineStr">
        <is>
          <t>PayPal</t>
        </is>
      </c>
      <c r="E224" s="1394" t="n">
        <v>25</v>
      </c>
      <c r="F224" s="1260" t="inlineStr">
        <is>
          <t>Batsford Rebookimg Fee</t>
        </is>
      </c>
      <c r="G224" s="1260" t="inlineStr">
        <is>
          <t>Existing</t>
        </is>
      </c>
    </row>
    <row r="225" ht="13.5" customHeight="1" s="1232">
      <c r="A225" s="1393" t="n">
        <v>44121</v>
      </c>
      <c r="B225" s="1260" t="inlineStr">
        <is>
          <t>Charles Ashton</t>
        </is>
      </c>
      <c r="C225" s="1255" t="inlineStr">
        <is>
          <t>2. Workshops</t>
        </is>
      </c>
      <c r="D225" s="1260" t="inlineStr">
        <is>
          <t>PayPal</t>
        </is>
      </c>
      <c r="E225" s="1394" t="n">
        <v>150</v>
      </c>
      <c r="F225" s="1260" t="inlineStr">
        <is>
          <t>Batsford</t>
        </is>
      </c>
      <c r="G225" s="1260" t="inlineStr">
        <is>
          <t>Google</t>
        </is>
      </c>
    </row>
    <row r="226" ht="13.5" customHeight="1" s="1232">
      <c r="A226" s="1393" t="n">
        <v>44121</v>
      </c>
      <c r="B226" s="1260" t="inlineStr">
        <is>
          <t>Neil Evans</t>
        </is>
      </c>
      <c r="C226" s="1255" t="inlineStr">
        <is>
          <t>2. Workshops</t>
        </is>
      </c>
      <c r="D226" s="1260" t="inlineStr">
        <is>
          <t>Stripe</t>
        </is>
      </c>
      <c r="E226" s="1394" t="n">
        <v>99</v>
      </c>
      <c r="F226" s="1260" t="inlineStr">
        <is>
          <t>Batsford</t>
        </is>
      </c>
      <c r="G226" s="1260" t="inlineStr">
        <is>
          <t>Existing</t>
        </is>
      </c>
    </row>
    <row r="227" ht="13.5" customHeight="1" s="1232">
      <c r="A227" s="1393" t="n">
        <v>44121</v>
      </c>
      <c r="B227" s="1260" t="inlineStr">
        <is>
          <t>Neil Evans</t>
        </is>
      </c>
      <c r="C227" s="1255" t="inlineStr">
        <is>
          <t>2. Workshops</t>
        </is>
      </c>
      <c r="D227" s="1260" t="inlineStr">
        <is>
          <t>Stripe</t>
        </is>
      </c>
      <c r="E227" s="1394" t="n">
        <v>75</v>
      </c>
      <c r="F227" s="1260" t="inlineStr">
        <is>
          <t>Fairy Glen</t>
        </is>
      </c>
      <c r="G227" s="1260" t="inlineStr">
        <is>
          <t>Existing</t>
        </is>
      </c>
    </row>
    <row r="228" ht="13.5" customHeight="1" s="1232">
      <c r="A228" s="1393" t="n">
        <v>44118</v>
      </c>
      <c r="B228" s="1260" t="inlineStr">
        <is>
          <t>Sarah Green</t>
        </is>
      </c>
      <c r="C228" s="1255" t="inlineStr">
        <is>
          <t>2. Workshops</t>
        </is>
      </c>
      <c r="D228" s="1260" t="inlineStr">
        <is>
          <t>Stripe</t>
        </is>
      </c>
      <c r="E228" s="1394" t="n">
        <v>99</v>
      </c>
      <c r="F228" s="1260" t="inlineStr">
        <is>
          <t>Batsford</t>
        </is>
      </c>
      <c r="G228" s="1260" t="inlineStr">
        <is>
          <t>Google</t>
        </is>
      </c>
    </row>
    <row r="229" ht="13.5" customHeight="1" s="1232">
      <c r="A229" s="1393" t="n">
        <v>44116</v>
      </c>
      <c r="B229" s="1260" t="inlineStr">
        <is>
          <t>Victoria Dovey</t>
        </is>
      </c>
      <c r="C229" s="1255" t="inlineStr">
        <is>
          <t>2. Workshops</t>
        </is>
      </c>
      <c r="D229" s="1260" t="inlineStr">
        <is>
          <t>Stripe</t>
        </is>
      </c>
      <c r="E229" s="1394" t="n">
        <v>150</v>
      </c>
      <c r="F229" s="1260" t="inlineStr">
        <is>
          <t>Batsford</t>
        </is>
      </c>
      <c r="G229" s="1260" t="inlineStr">
        <is>
          <t>Google</t>
        </is>
      </c>
    </row>
    <row r="230" ht="13.5" customHeight="1" s="1232">
      <c r="A230" s="1393" t="n">
        <v>44116</v>
      </c>
      <c r="B230" s="1260" t="inlineStr">
        <is>
          <t>Nick Brown</t>
        </is>
      </c>
      <c r="C230" s="1255" t="inlineStr">
        <is>
          <t>2. Workshops</t>
        </is>
      </c>
      <c r="D230" s="1260" t="inlineStr">
        <is>
          <t>Stripe</t>
        </is>
      </c>
      <c r="E230" s="1394" t="n">
        <v>99</v>
      </c>
      <c r="F230" s="1260" t="inlineStr">
        <is>
          <t>Batsford</t>
        </is>
      </c>
      <c r="G230" s="1260" t="inlineStr">
        <is>
          <t>Google</t>
        </is>
      </c>
    </row>
    <row r="231" ht="13.5" customHeight="1" s="1232">
      <c r="A231" s="1393" t="n">
        <v>44116</v>
      </c>
      <c r="B231" s="1260" t="inlineStr">
        <is>
          <t>Simon Harrison</t>
        </is>
      </c>
      <c r="C231" s="1255" t="inlineStr">
        <is>
          <t>2. Workshops</t>
        </is>
      </c>
      <c r="D231" s="1260" t="inlineStr">
        <is>
          <t>Stripe</t>
        </is>
      </c>
      <c r="E231" s="1394" t="n">
        <v>150</v>
      </c>
      <c r="F231" s="1260" t="inlineStr">
        <is>
          <t>Batsford</t>
        </is>
      </c>
      <c r="G231" s="1260" t="inlineStr">
        <is>
          <t>Batsford</t>
        </is>
      </c>
    </row>
    <row r="232" ht="13.5" customHeight="1" s="1232">
      <c r="A232" s="1393" t="n">
        <v>44115</v>
      </c>
      <c r="B232" s="1260" t="inlineStr">
        <is>
          <t>Artfully Walls</t>
        </is>
      </c>
      <c r="C232" s="1255" t="inlineStr">
        <is>
          <t>9. Prints &amp; Royalties</t>
        </is>
      </c>
      <c r="D232" s="1260" t="inlineStr">
        <is>
          <t>PayPal</t>
        </is>
      </c>
      <c r="E232" s="1394" t="n">
        <v>225.69</v>
      </c>
      <c r="F232" s="1260" t="inlineStr">
        <is>
          <t>Artfully Walls</t>
        </is>
      </c>
      <c r="G232" s="1260" t="inlineStr">
        <is>
          <t>Existing</t>
        </is>
      </c>
    </row>
    <row r="233" ht="13.5" customHeight="1" s="1232">
      <c r="A233" s="1393" t="n">
        <v>44114</v>
      </c>
      <c r="B233" s="1260" t="inlineStr">
        <is>
          <t>Neslihan Ozkan</t>
        </is>
      </c>
      <c r="C233" s="1255" t="inlineStr">
        <is>
          <t>2. Workshops</t>
        </is>
      </c>
      <c r="D233" s="1260" t="inlineStr">
        <is>
          <t>Stripe</t>
        </is>
      </c>
      <c r="E233" s="1394" t="n">
        <v>99</v>
      </c>
      <c r="F233" s="1260" t="inlineStr">
        <is>
          <t>Batsford</t>
        </is>
      </c>
      <c r="G233" s="1260" t="inlineStr">
        <is>
          <t>Batsford</t>
        </is>
      </c>
    </row>
    <row r="234" ht="13.5" customHeight="1" s="1232">
      <c r="A234" s="1393" t="n">
        <v>44111</v>
      </c>
      <c r="B234" s="1260" t="inlineStr">
        <is>
          <t>Lauren Lea</t>
        </is>
      </c>
      <c r="C234" s="1255" t="inlineStr">
        <is>
          <t>2. Workshops</t>
        </is>
      </c>
      <c r="D234" s="1260" t="inlineStr">
        <is>
          <t>Stripe</t>
        </is>
      </c>
      <c r="E234" s="1394" t="n">
        <v>20</v>
      </c>
      <c r="F234" s="1260" t="inlineStr">
        <is>
          <t>Woodland Walk</t>
        </is>
      </c>
      <c r="G234" s="1260" t="inlineStr">
        <is>
          <t>Existing</t>
        </is>
      </c>
    </row>
    <row r="235" ht="13.5" customHeight="1" s="1232">
      <c r="A235" s="1393" t="n">
        <v>44111</v>
      </c>
      <c r="B235" s="1260" t="inlineStr">
        <is>
          <t xml:space="preserve">Brian Kerley </t>
        </is>
      </c>
      <c r="C235" s="1255" t="inlineStr">
        <is>
          <t>2. Workshops</t>
        </is>
      </c>
      <c r="D235" s="1260" t="inlineStr">
        <is>
          <t>PayPal</t>
        </is>
      </c>
      <c r="E235" s="1394" t="n">
        <v>49</v>
      </c>
      <c r="F235" s="1260" t="inlineStr">
        <is>
          <t>Batsford</t>
        </is>
      </c>
      <c r="G235" s="1260" t="inlineStr">
        <is>
          <t>Existing</t>
        </is>
      </c>
    </row>
    <row r="236" ht="13.5" customHeight="1" s="1232">
      <c r="A236" s="1393" t="n">
        <v>44109</v>
      </c>
      <c r="B236" s="1260" t="inlineStr">
        <is>
          <t>dennis Jeffrey</t>
        </is>
      </c>
      <c r="C236" s="1255" t="inlineStr">
        <is>
          <t>6. 1-2-1</t>
        </is>
      </c>
      <c r="D236" s="1260" t="inlineStr">
        <is>
          <t>PayPal</t>
        </is>
      </c>
      <c r="E236" s="1394" t="n">
        <v>35</v>
      </c>
      <c r="F236" s="1260" t="inlineStr">
        <is>
          <t>online '1-2-1</t>
        </is>
      </c>
      <c r="G236" s="1260" t="inlineStr">
        <is>
          <t>Existing</t>
        </is>
      </c>
    </row>
    <row r="237" ht="13.5" customHeight="1" s="1232">
      <c r="A237" s="1393" t="n">
        <v>44108</v>
      </c>
      <c r="B237" s="1260" t="inlineStr">
        <is>
          <t>Simon Dunscombe</t>
        </is>
      </c>
      <c r="C237" s="1255" t="inlineStr">
        <is>
          <t>2. Workshops</t>
        </is>
      </c>
      <c r="D237" s="1260" t="inlineStr">
        <is>
          <t>PayPal</t>
        </is>
      </c>
      <c r="E237" s="1394" t="n">
        <v>99</v>
      </c>
      <c r="F237" s="1260" t="inlineStr">
        <is>
          <t>Batsford</t>
        </is>
      </c>
      <c r="G237" s="1260" t="inlineStr">
        <is>
          <t>Facebook</t>
        </is>
      </c>
    </row>
    <row r="238" ht="13.5" customHeight="1" s="1232">
      <c r="A238" s="1393" t="n">
        <v>44108</v>
      </c>
      <c r="B238" s="1260" t="inlineStr">
        <is>
          <t>Janet Boulter</t>
        </is>
      </c>
      <c r="C238" s="1255" t="inlineStr">
        <is>
          <t>2. Workshops</t>
        </is>
      </c>
      <c r="D238" s="1260" t="inlineStr">
        <is>
          <t>Stripe</t>
        </is>
      </c>
      <c r="E238" s="1394" t="n">
        <v>99</v>
      </c>
      <c r="F238" s="1260" t="inlineStr">
        <is>
          <t>Batsford</t>
        </is>
      </c>
      <c r="G238" s="1260" t="inlineStr">
        <is>
          <t>Existing</t>
        </is>
      </c>
    </row>
    <row r="239" ht="13.5" customHeight="1" s="1232">
      <c r="A239" s="1393" t="n">
        <v>44106</v>
      </c>
      <c r="B239" s="1260" t="inlineStr">
        <is>
          <t>Panayiota Touloupou</t>
        </is>
      </c>
      <c r="C239" s="1255" t="inlineStr">
        <is>
          <t>1. Courses/masterclasses</t>
        </is>
      </c>
      <c r="D239" s="1260" t="inlineStr">
        <is>
          <t>PayPal</t>
        </is>
      </c>
      <c r="E239" s="1394" t="n">
        <v>425</v>
      </c>
      <c r="F239" s="1260" t="inlineStr">
        <is>
          <t>5wk Beginners Course</t>
        </is>
      </c>
      <c r="G239" s="1260" t="inlineStr">
        <is>
          <t>Google</t>
        </is>
      </c>
    </row>
    <row r="240" ht="13.5" customHeight="1" s="1232">
      <c r="A240" s="1393" t="n">
        <v>44106</v>
      </c>
      <c r="B240" s="1260" t="inlineStr">
        <is>
          <t>Gillian Tween</t>
        </is>
      </c>
      <c r="C240" s="1255" t="inlineStr">
        <is>
          <t>1. Courses/masterclasses</t>
        </is>
      </c>
      <c r="D240" s="1260" t="inlineStr">
        <is>
          <t>Stripe</t>
        </is>
      </c>
      <c r="E240" s="1394" t="n">
        <v>30</v>
      </c>
      <c r="F240" s="1260" t="inlineStr">
        <is>
          <t>Get Off Auto</t>
        </is>
      </c>
      <c r="G240" s="1260" t="inlineStr">
        <is>
          <t>Existing</t>
        </is>
      </c>
    </row>
    <row r="241" ht="13.5" customHeight="1" s="1232">
      <c r="A241" s="1393" t="n">
        <v>44106</v>
      </c>
      <c r="B241" s="1260" t="inlineStr">
        <is>
          <t>Helen Finch</t>
        </is>
      </c>
      <c r="C241" s="1255" t="inlineStr">
        <is>
          <t>2. Workshops</t>
        </is>
      </c>
      <c r="D241" s="1260" t="inlineStr">
        <is>
          <t>PayPal</t>
        </is>
      </c>
      <c r="E241" s="1394" t="n">
        <v>150</v>
      </c>
      <c r="F241" s="1260" t="inlineStr">
        <is>
          <t>Batsford</t>
        </is>
      </c>
      <c r="G241" s="1260" t="inlineStr">
        <is>
          <t>Existing</t>
        </is>
      </c>
    </row>
    <row r="242" ht="13.5" customHeight="1" s="1232">
      <c r="A242" s="1393" t="n">
        <v>44106</v>
      </c>
      <c r="B242" s="1260" t="inlineStr">
        <is>
          <t>Gill Tween</t>
        </is>
      </c>
      <c r="C242" s="1255" t="inlineStr">
        <is>
          <t>2. Workshops</t>
        </is>
      </c>
      <c r="D242" s="1260" t="inlineStr">
        <is>
          <t>Gift Voucher Out</t>
        </is>
      </c>
      <c r="E242" s="1394" t="n">
        <v>150</v>
      </c>
      <c r="F242" s="1282" t="inlineStr">
        <is>
          <t>Batsford</t>
        </is>
      </c>
      <c r="G242" s="1260" t="inlineStr">
        <is>
          <t>Existing</t>
        </is>
      </c>
    </row>
    <row r="243" ht="13.5" customHeight="1" s="1232">
      <c r="A243" s="1393" t="n">
        <v>44106</v>
      </c>
      <c r="B243" s="1260" t="inlineStr">
        <is>
          <t>Gill Tween</t>
        </is>
      </c>
      <c r="C243" s="1255" t="inlineStr">
        <is>
          <t>8. Gift Vouchers Out</t>
        </is>
      </c>
      <c r="D243" s="1260" t="inlineStr">
        <is>
          <t>Gift Voucher Out</t>
        </is>
      </c>
      <c r="E243" s="1394" t="n">
        <v>-150</v>
      </c>
      <c r="F243" s="1282" t="inlineStr">
        <is>
          <t>Batsford</t>
        </is>
      </c>
      <c r="G243" s="1260" t="inlineStr">
        <is>
          <t>Existing</t>
        </is>
      </c>
    </row>
    <row r="244" ht="13.5" customHeight="1" s="1232">
      <c r="A244" s="1393" t="n">
        <v>44105</v>
      </c>
      <c r="B244" s="1260" t="inlineStr">
        <is>
          <t>Pick n Mix Subs</t>
        </is>
      </c>
      <c r="C244" s="1255" t="inlineStr">
        <is>
          <t>3. Pick n Mix Inc</t>
        </is>
      </c>
      <c r="D244" s="1260" t="inlineStr">
        <is>
          <t>Various</t>
        </is>
      </c>
      <c r="E244" s="1394" t="n">
        <v>0</v>
      </c>
      <c r="F244" s="1260" t="inlineStr">
        <is>
          <t>Pick N Mix Payments</t>
        </is>
      </c>
      <c r="G244" s="1260" t="inlineStr">
        <is>
          <t>Existing</t>
        </is>
      </c>
    </row>
    <row r="245" ht="13.5" customHeight="1" s="1232">
      <c r="A245" s="1393" t="n">
        <v>44105</v>
      </c>
      <c r="B245" s="1260" t="inlineStr">
        <is>
          <t>Mentoring Subs</t>
        </is>
      </c>
      <c r="C245" s="1255" t="inlineStr">
        <is>
          <t>5. Mentoring</t>
        </is>
      </c>
      <c r="D245" s="1255" t="inlineStr">
        <is>
          <t>Various</t>
        </is>
      </c>
      <c r="E245" s="1261" t="n">
        <v>40</v>
      </c>
      <c r="F245" s="1255" t="inlineStr">
        <is>
          <t>Mentoring Subs</t>
        </is>
      </c>
      <c r="G245" s="1255" t="inlineStr">
        <is>
          <t>Existing</t>
        </is>
      </c>
    </row>
    <row r="246" ht="13.5" customHeight="1" s="1232">
      <c r="A246" s="1393" t="n"/>
      <c r="B246" s="1260" t="n"/>
      <c r="D246" s="1260" t="n"/>
      <c r="E246" s="1394" t="n"/>
      <c r="F246" s="1260" t="n"/>
      <c r="G246" s="1260" t="n"/>
    </row>
    <row r="247" ht="13.5" customHeight="1" s="1232">
      <c r="A247" s="1393" t="n"/>
      <c r="B247" s="1260" t="n"/>
      <c r="D247" s="1260" t="n"/>
      <c r="E247" s="1394" t="n"/>
      <c r="F247" s="1260" t="n"/>
      <c r="G247" s="1260" t="n"/>
    </row>
    <row r="248" ht="13.5" customHeight="1" s="1232">
      <c r="A248" s="1393" t="n">
        <v>44102</v>
      </c>
      <c r="B248" s="1260" t="inlineStr">
        <is>
          <t>Lauren Macdonald</t>
        </is>
      </c>
      <c r="C248" s="1255" t="inlineStr">
        <is>
          <t>1. Courses/masterclasses</t>
        </is>
      </c>
      <c r="D248" s="1260" t="inlineStr">
        <is>
          <t>Stripe</t>
        </is>
      </c>
      <c r="E248" s="1394" t="n">
        <v>250</v>
      </c>
      <c r="F248" s="1260" t="inlineStr">
        <is>
          <t>5wk Course</t>
        </is>
      </c>
      <c r="G248" s="1260" t="inlineStr">
        <is>
          <t>Google</t>
        </is>
      </c>
    </row>
    <row r="249" ht="13.5" customHeight="1" s="1232">
      <c r="A249" s="1393" t="n">
        <v>44098</v>
      </c>
      <c r="B249" s="1260" t="inlineStr">
        <is>
          <t>marie-claire davies</t>
        </is>
      </c>
      <c r="C249" s="1255" t="inlineStr">
        <is>
          <t>2. Workshops</t>
        </is>
      </c>
      <c r="D249" s="1260" t="inlineStr">
        <is>
          <t>Stripe</t>
        </is>
      </c>
      <c r="E249" s="1394" t="n">
        <v>99</v>
      </c>
      <c r="F249" s="1260" t="inlineStr">
        <is>
          <t>Batsford</t>
        </is>
      </c>
      <c r="G249" s="1260" t="inlineStr">
        <is>
          <t>Batsford</t>
        </is>
      </c>
    </row>
    <row r="250" ht="13.5" customHeight="1" s="1232">
      <c r="A250" s="1393" t="n">
        <v>44098</v>
      </c>
      <c r="B250" s="1260" t="inlineStr">
        <is>
          <t>Helen Hughes</t>
        </is>
      </c>
      <c r="C250" s="1255" t="inlineStr">
        <is>
          <t>2. Workshops</t>
        </is>
      </c>
      <c r="D250" s="1260" t="inlineStr">
        <is>
          <t>Stripe</t>
        </is>
      </c>
      <c r="E250" s="1394" t="n">
        <v>190</v>
      </c>
      <c r="F250" s="1260" t="inlineStr">
        <is>
          <t>2 x Batsford</t>
        </is>
      </c>
      <c r="G250" s="1260" t="inlineStr">
        <is>
          <t>Batsford</t>
        </is>
      </c>
    </row>
    <row r="251" ht="13.5" customHeight="1" s="1232">
      <c r="A251" s="1393" t="n">
        <v>44094</v>
      </c>
      <c r="B251" s="1260" t="inlineStr">
        <is>
          <t>claudia windley</t>
        </is>
      </c>
      <c r="C251" s="1255" t="inlineStr">
        <is>
          <t>1. Courses/masterclasses</t>
        </is>
      </c>
      <c r="D251" s="1260" t="inlineStr">
        <is>
          <t>PayPal</t>
        </is>
      </c>
      <c r="E251" s="1394" t="n">
        <v>75</v>
      </c>
      <c r="F251" s="1260" t="inlineStr">
        <is>
          <t>Rebooking Fee Photo Course</t>
        </is>
      </c>
      <c r="G251" s="1260" t="inlineStr">
        <is>
          <t>Existing</t>
        </is>
      </c>
    </row>
    <row r="252" ht="13.5" customHeight="1" s="1232">
      <c r="A252" s="1393" t="n">
        <v>44093</v>
      </c>
      <c r="B252" s="1260" t="inlineStr">
        <is>
          <t>Sam Warner</t>
        </is>
      </c>
      <c r="C252" s="1255" t="inlineStr">
        <is>
          <t>2. Workshops</t>
        </is>
      </c>
      <c r="D252" s="1260" t="inlineStr">
        <is>
          <t>Stripe</t>
        </is>
      </c>
      <c r="E252" s="1394" t="n">
        <v>50</v>
      </c>
      <c r="F252" s="1260" t="inlineStr">
        <is>
          <t>Long Exposure Kenilworth</t>
        </is>
      </c>
      <c r="G252" s="1260" t="inlineStr">
        <is>
          <t>Google</t>
        </is>
      </c>
    </row>
    <row r="253" ht="13.5" customHeight="1" s="1232">
      <c r="A253" s="1393" t="n">
        <v>44092</v>
      </c>
      <c r="B253" s="1260" t="inlineStr">
        <is>
          <t>Sharon Miles</t>
        </is>
      </c>
      <c r="C253" s="1255" t="inlineStr">
        <is>
          <t>2. Workshops</t>
        </is>
      </c>
      <c r="D253" s="1260" t="inlineStr">
        <is>
          <t>PayPal</t>
        </is>
      </c>
      <c r="E253" s="1394" t="n">
        <v>150</v>
      </c>
      <c r="F253" s="1260" t="inlineStr">
        <is>
          <t>Batsford</t>
        </is>
      </c>
      <c r="G253" s="1260" t="inlineStr">
        <is>
          <t>Batsford</t>
        </is>
      </c>
    </row>
    <row r="254" ht="13.5" customHeight="1" s="1232">
      <c r="A254" s="1393" t="n">
        <v>44089</v>
      </c>
      <c r="B254" s="1260" t="inlineStr">
        <is>
          <t>Anja Smith</t>
        </is>
      </c>
      <c r="C254" s="1255" t="inlineStr">
        <is>
          <t>6. 1-2-1</t>
        </is>
      </c>
      <c r="D254" s="1260" t="inlineStr">
        <is>
          <t>Stripe</t>
        </is>
      </c>
      <c r="E254" s="1394" t="n">
        <v>120</v>
      </c>
      <c r="F254" s="1260" t="inlineStr">
        <is>
          <t>2hr 1-2-1</t>
        </is>
      </c>
      <c r="G254" s="1260" t="inlineStr">
        <is>
          <t>Google</t>
        </is>
      </c>
    </row>
    <row r="255" ht="13.5" customHeight="1" s="1232">
      <c r="A255" s="1393" t="n">
        <v>44089</v>
      </c>
      <c r="B255" s="1260" t="inlineStr">
        <is>
          <t>Keith Fryer</t>
        </is>
      </c>
      <c r="C255" s="1255" t="inlineStr">
        <is>
          <t>2. Workshops</t>
        </is>
      </c>
      <c r="D255" s="1260" t="inlineStr">
        <is>
          <t>Stripe</t>
        </is>
      </c>
      <c r="E255" s="1394" t="n">
        <v>99</v>
      </c>
      <c r="F255" s="1260" t="inlineStr">
        <is>
          <t>Batsford</t>
        </is>
      </c>
      <c r="G255" s="1260" t="inlineStr">
        <is>
          <t>Batsford</t>
        </is>
      </c>
    </row>
    <row r="256" ht="13.5" customHeight="1" s="1232">
      <c r="A256" s="1393" t="n">
        <v>44088</v>
      </c>
      <c r="B256" s="1260" t="inlineStr">
        <is>
          <t>Johanna Stansfield</t>
        </is>
      </c>
      <c r="C256" s="1255" t="inlineStr">
        <is>
          <t>5. Mentoring</t>
        </is>
      </c>
      <c r="D256" s="1260" t="inlineStr">
        <is>
          <t>Stripe</t>
        </is>
      </c>
      <c r="E256" s="1394" t="n">
        <v>600</v>
      </c>
      <c r="F256" s="1260" t="inlineStr">
        <is>
          <t>Premium Mentoring</t>
        </is>
      </c>
      <c r="G256" s="1260" t="inlineStr">
        <is>
          <t>Existing</t>
        </is>
      </c>
    </row>
    <row r="257" ht="13.5" customHeight="1" s="1232">
      <c r="A257" s="1393" t="n">
        <v>44085</v>
      </c>
      <c r="B257" s="1260" t="inlineStr">
        <is>
          <t>Pixsy</t>
        </is>
      </c>
      <c r="C257" s="1255" t="inlineStr">
        <is>
          <t>9. Prints &amp; Royalties</t>
        </is>
      </c>
      <c r="D257" s="1260" t="inlineStr">
        <is>
          <t>PayPal</t>
        </is>
      </c>
      <c r="E257" s="1394" t="n">
        <v>280.04</v>
      </c>
      <c r="F257" s="1260" t="inlineStr">
        <is>
          <t>Pixsy Case Payout</t>
        </is>
      </c>
      <c r="G257" s="1260" t="inlineStr">
        <is>
          <t>Existing</t>
        </is>
      </c>
    </row>
    <row r="258" ht="13.5" customHeight="1" s="1232">
      <c r="A258" s="1393" t="n">
        <v>44082</v>
      </c>
      <c r="B258" s="1260" t="inlineStr">
        <is>
          <t>Monica Vaness</t>
        </is>
      </c>
      <c r="C258" s="1255" t="inlineStr">
        <is>
          <t>6. 1-2-1</t>
        </is>
      </c>
      <c r="D258" s="1260" t="inlineStr">
        <is>
          <t>PayPal</t>
        </is>
      </c>
      <c r="E258" s="1394" t="n">
        <v>360</v>
      </c>
      <c r="F258" s="1260" t="inlineStr">
        <is>
          <t>4 x 2hr 1-2-1</t>
        </is>
      </c>
      <c r="G258" s="1260" t="inlineStr">
        <is>
          <t>Google</t>
        </is>
      </c>
    </row>
    <row r="259" ht="13.5" customHeight="1" s="1232">
      <c r="A259" s="1393" t="n">
        <v>44081</v>
      </c>
      <c r="B259" s="1260" t="inlineStr">
        <is>
          <t>Nigel Bailey</t>
        </is>
      </c>
      <c r="C259" s="1255" t="inlineStr">
        <is>
          <t>6. 1-2-1</t>
        </is>
      </c>
      <c r="D259" s="1260" t="inlineStr">
        <is>
          <t>Gift Voucher Out</t>
        </is>
      </c>
      <c r="E259" s="1394" t="n">
        <v>65</v>
      </c>
      <c r="F259" s="1282" t="inlineStr">
        <is>
          <t>1hr 1-2-1</t>
        </is>
      </c>
      <c r="G259" s="1260" t="inlineStr">
        <is>
          <t>Existing</t>
        </is>
      </c>
    </row>
    <row r="260" ht="13.5" customHeight="1" s="1232">
      <c r="A260" s="1393" t="n">
        <v>44081</v>
      </c>
      <c r="B260" s="1260" t="inlineStr">
        <is>
          <t>Nigel Bailey</t>
        </is>
      </c>
      <c r="C260" s="1255" t="inlineStr">
        <is>
          <t>8. Gift Vouchers Out</t>
        </is>
      </c>
      <c r="D260" s="1260" t="inlineStr">
        <is>
          <t>Gift Voucher Out</t>
        </is>
      </c>
      <c r="E260" s="1394" t="n">
        <v>-65</v>
      </c>
      <c r="F260" s="1282" t="inlineStr">
        <is>
          <t>1hr 1-2-1</t>
        </is>
      </c>
      <c r="G260" s="1260" t="inlineStr">
        <is>
          <t>Existing</t>
        </is>
      </c>
    </row>
    <row r="261" ht="13.5" customHeight="1" s="1232">
      <c r="A261" s="1393" t="n">
        <v>44080</v>
      </c>
      <c r="B261" s="1260" t="inlineStr">
        <is>
          <t>Janet Towers</t>
        </is>
      </c>
      <c r="C261" s="1255" t="inlineStr">
        <is>
          <t>2. Workshops</t>
        </is>
      </c>
      <c r="D261" s="1260" t="inlineStr">
        <is>
          <t>PayPal</t>
        </is>
      </c>
      <c r="E261" s="1394" t="n">
        <v>50</v>
      </c>
      <c r="F261" s="1260" t="inlineStr">
        <is>
          <t>Urban Architecture</t>
        </is>
      </c>
      <c r="G261" s="1260" t="inlineStr">
        <is>
          <t>Existing</t>
        </is>
      </c>
    </row>
    <row r="262" ht="13.5" customHeight="1" s="1232">
      <c r="A262" s="1393" t="n">
        <v>44078</v>
      </c>
      <c r="B262" s="1260" t="inlineStr">
        <is>
          <t>Pixsy</t>
        </is>
      </c>
      <c r="C262" s="1255" t="inlineStr">
        <is>
          <t>9. Prints &amp; Royalties</t>
        </is>
      </c>
      <c r="D262" s="1260" t="inlineStr">
        <is>
          <t>PayPal</t>
        </is>
      </c>
      <c r="E262" s="1394" t="n">
        <v>133.58</v>
      </c>
      <c r="F262" s="1260" t="inlineStr">
        <is>
          <t>Pixsy Case Payout</t>
        </is>
      </c>
      <c r="G262" s="1260" t="inlineStr">
        <is>
          <t>Existing</t>
        </is>
      </c>
    </row>
    <row r="263" ht="13.5" customHeight="1" s="1232">
      <c r="A263" s="1393" t="n">
        <v>44076</v>
      </c>
      <c r="B263" s="1260" t="inlineStr">
        <is>
          <t>Alan Harris</t>
        </is>
      </c>
      <c r="C263" s="1255" t="inlineStr">
        <is>
          <t>2. Workshops</t>
        </is>
      </c>
      <c r="D263" s="1260" t="inlineStr">
        <is>
          <t>Stripe</t>
        </is>
      </c>
      <c r="E263" s="1394" t="n">
        <v>675</v>
      </c>
      <c r="F263" s="1260" t="inlineStr">
        <is>
          <t>Norfolk</t>
        </is>
      </c>
      <c r="G263" s="1260" t="inlineStr">
        <is>
          <t>Google</t>
        </is>
      </c>
    </row>
    <row r="264" ht="13.5" customHeight="1" s="1232">
      <c r="A264" s="1393" t="n">
        <v>44075</v>
      </c>
      <c r="B264" s="1260" t="inlineStr">
        <is>
          <t>Brian Kerley</t>
        </is>
      </c>
      <c r="C264" s="1255" t="inlineStr">
        <is>
          <t>2. Workshops</t>
        </is>
      </c>
      <c r="D264" s="1260" t="inlineStr">
        <is>
          <t>Stripe</t>
        </is>
      </c>
      <c r="E264" s="1394" t="n">
        <v>50</v>
      </c>
      <c r="F264" s="1260" t="inlineStr">
        <is>
          <t>LE Workshop</t>
        </is>
      </c>
      <c r="G264" s="1260" t="inlineStr">
        <is>
          <t>Existing</t>
        </is>
      </c>
    </row>
    <row r="265" ht="13.5" customHeight="1" s="1232">
      <c r="A265" s="1393" t="n">
        <v>44075</v>
      </c>
      <c r="B265" s="1260" t="inlineStr">
        <is>
          <t>Nigel Plant</t>
        </is>
      </c>
      <c r="C265" s="1255" t="inlineStr">
        <is>
          <t>2. Workshops</t>
        </is>
      </c>
      <c r="D265" s="1260" t="inlineStr">
        <is>
          <t>Stripe</t>
        </is>
      </c>
      <c r="E265" s="1394" t="n">
        <v>675</v>
      </c>
      <c r="F265" s="1260" t="inlineStr">
        <is>
          <t>Norfolk</t>
        </is>
      </c>
      <c r="G265" s="1260" t="inlineStr">
        <is>
          <t>Google</t>
        </is>
      </c>
    </row>
    <row r="266" ht="13.5" customHeight="1" s="1232">
      <c r="A266" s="1393" t="n">
        <v>44075</v>
      </c>
      <c r="B266" s="1260" t="inlineStr">
        <is>
          <t>Kate Torrens</t>
        </is>
      </c>
      <c r="C266" s="1255" t="inlineStr">
        <is>
          <t>1. Courses/masterclasses</t>
        </is>
      </c>
      <c r="D266" s="1260" t="inlineStr">
        <is>
          <t>PayPal</t>
        </is>
      </c>
      <c r="E266" s="1394" t="n">
        <v>30</v>
      </c>
      <c r="F266" s="1260" t="inlineStr">
        <is>
          <t>Get Off Auto</t>
        </is>
      </c>
      <c r="G266" s="1260" t="inlineStr">
        <is>
          <t>Google</t>
        </is>
      </c>
    </row>
    <row r="267" ht="13.5" customHeight="1" s="1232">
      <c r="A267" s="1393" t="n">
        <v>44075</v>
      </c>
      <c r="B267" s="1260" t="inlineStr">
        <is>
          <t>Colin Perry</t>
        </is>
      </c>
      <c r="C267" s="1255" t="inlineStr">
        <is>
          <t>2. Workshops</t>
        </is>
      </c>
      <c r="D267" s="1260" t="inlineStr">
        <is>
          <t>PayPal</t>
        </is>
      </c>
      <c r="E267" s="1394" t="n">
        <v>200</v>
      </c>
      <c r="F267" s="1260" t="inlineStr">
        <is>
          <t>Deposit Dee Valley</t>
        </is>
      </c>
      <c r="G267" s="1260" t="inlineStr">
        <is>
          <t>Google</t>
        </is>
      </c>
    </row>
    <row r="268" ht="13.5" customHeight="1" s="1232">
      <c r="A268" s="1393" t="n">
        <v>44075</v>
      </c>
      <c r="B268" s="1260" t="inlineStr">
        <is>
          <t>Pick n Mix Subs</t>
        </is>
      </c>
      <c r="C268" s="1255" t="inlineStr">
        <is>
          <t>3. Pick n Mix Inc</t>
        </is>
      </c>
      <c r="D268" s="1260" t="inlineStr">
        <is>
          <t>Various</t>
        </is>
      </c>
      <c r="E268" s="1394" t="n">
        <v>0</v>
      </c>
      <c r="F268" s="1260" t="inlineStr">
        <is>
          <t>Pick N Mix Payments</t>
        </is>
      </c>
      <c r="G268" s="1260" t="inlineStr">
        <is>
          <t>Existing</t>
        </is>
      </c>
    </row>
    <row r="269" ht="13.5" customHeight="1" s="1232">
      <c r="A269" s="1393" t="n">
        <v>44075</v>
      </c>
      <c r="B269" s="1260" t="inlineStr">
        <is>
          <t>Mentoring Subs</t>
        </is>
      </c>
      <c r="C269" s="1255" t="inlineStr">
        <is>
          <t>5. Mentoring</t>
        </is>
      </c>
      <c r="D269" s="1255" t="inlineStr">
        <is>
          <t>Various</t>
        </is>
      </c>
      <c r="E269" s="1261" t="n">
        <v>40</v>
      </c>
      <c r="F269" s="1255" t="inlineStr">
        <is>
          <t>Mentoring Subs</t>
        </is>
      </c>
      <c r="G269" s="1255" t="inlineStr">
        <is>
          <t>Existing</t>
        </is>
      </c>
    </row>
    <row r="270" ht="13.5" customHeight="1" s="1232">
      <c r="A270" s="1393" t="n"/>
      <c r="B270" s="1260" t="n"/>
      <c r="D270" s="1260" t="n"/>
      <c r="E270" s="1394" t="n"/>
      <c r="F270" s="1260" t="n"/>
      <c r="G270" s="1260" t="n"/>
    </row>
    <row r="271" ht="13.5" customHeight="1" s="1232">
      <c r="A271" s="1393" t="n">
        <v>44072</v>
      </c>
      <c r="B271" s="1260" t="inlineStr">
        <is>
          <t>Emma Leech</t>
        </is>
      </c>
      <c r="C271" s="1255" t="inlineStr">
        <is>
          <t>6. 1-2-1</t>
        </is>
      </c>
      <c r="D271" s="1260" t="inlineStr">
        <is>
          <t>Stripe</t>
        </is>
      </c>
      <c r="E271" s="1394" t="n">
        <v>360</v>
      </c>
      <c r="F271" s="1260" t="inlineStr">
        <is>
          <t>4 x 2hr - 1-2-1's</t>
        </is>
      </c>
      <c r="G271" s="1260" t="inlineStr">
        <is>
          <t>Google</t>
        </is>
      </c>
    </row>
    <row r="272" ht="13.5" customHeight="1" s="1232">
      <c r="A272" s="1393" t="n">
        <v>44069</v>
      </c>
      <c r="B272" s="1260" t="inlineStr">
        <is>
          <t>Sarah Neville</t>
        </is>
      </c>
      <c r="C272" s="1255" t="inlineStr">
        <is>
          <t>2. Workshops</t>
        </is>
      </c>
      <c r="D272" s="1260" t="inlineStr">
        <is>
          <t>PayPal</t>
        </is>
      </c>
      <c r="E272" s="1394" t="n">
        <v>50</v>
      </c>
      <c r="F272" s="1260" t="inlineStr">
        <is>
          <t>Chesterton</t>
        </is>
      </c>
      <c r="G272" s="1260" t="inlineStr">
        <is>
          <t>Existing</t>
        </is>
      </c>
    </row>
    <row r="273" ht="13.5" customHeight="1" s="1232">
      <c r="A273" s="1393" t="n">
        <v>44070</v>
      </c>
      <c r="B273" s="1260" t="inlineStr">
        <is>
          <t>Dennis Jeffrey</t>
        </is>
      </c>
      <c r="C273" s="1255" t="inlineStr">
        <is>
          <t>6. 1-2-1</t>
        </is>
      </c>
      <c r="D273" s="1260" t="inlineStr">
        <is>
          <t>PayPal</t>
        </is>
      </c>
      <c r="E273" s="1394" t="n">
        <v>35</v>
      </c>
      <c r="F273" s="1260" t="inlineStr">
        <is>
          <t>Zoom 1-2-1</t>
        </is>
      </c>
      <c r="G273" s="1260" t="inlineStr">
        <is>
          <t>Existing</t>
        </is>
      </c>
    </row>
    <row r="274" ht="13.5" customHeight="1" s="1232">
      <c r="A274" s="1393" t="n">
        <v>44070</v>
      </c>
      <c r="B274" s="1260" t="inlineStr">
        <is>
          <t>Sue Wadham</t>
        </is>
      </c>
      <c r="C274" s="1255" t="inlineStr">
        <is>
          <t>2. Workshops</t>
        </is>
      </c>
      <c r="D274" s="1260" t="inlineStr">
        <is>
          <t>PayPal</t>
        </is>
      </c>
      <c r="E274" s="1394" t="n">
        <v>99</v>
      </c>
      <c r="F274" s="1260" t="inlineStr">
        <is>
          <t>Batsford</t>
        </is>
      </c>
      <c r="G274" s="1260" t="inlineStr">
        <is>
          <t>Existing</t>
        </is>
      </c>
    </row>
    <row r="275" ht="13.5" customHeight="1" s="1232">
      <c r="A275" s="1393" t="n">
        <v>44068</v>
      </c>
      <c r="B275" s="1260" t="inlineStr">
        <is>
          <t>Michael Jaye</t>
        </is>
      </c>
      <c r="C275" s="1255" t="inlineStr">
        <is>
          <t>2. Workshops</t>
        </is>
      </c>
      <c r="D275" s="1260" t="inlineStr">
        <is>
          <t>Stripe</t>
        </is>
      </c>
      <c r="E275" s="1394" t="n">
        <v>50</v>
      </c>
      <c r="F275" s="1260" t="inlineStr">
        <is>
          <t>Chesterton</t>
        </is>
      </c>
      <c r="G275" s="1260" t="inlineStr">
        <is>
          <t>Google</t>
        </is>
      </c>
    </row>
    <row r="276" ht="13.5" customHeight="1" s="1232">
      <c r="A276" s="1393" t="n">
        <v>44068</v>
      </c>
      <c r="B276" s="1260" t="inlineStr">
        <is>
          <t>Caroline Lamb</t>
        </is>
      </c>
      <c r="C276" s="1255" t="inlineStr">
        <is>
          <t>2. Workshops</t>
        </is>
      </c>
      <c r="D276" s="1260" t="inlineStr">
        <is>
          <t>Stripe</t>
        </is>
      </c>
      <c r="E276" s="1394" t="n">
        <v>99</v>
      </c>
      <c r="F276" s="1260" t="inlineStr">
        <is>
          <t>Batsford</t>
        </is>
      </c>
      <c r="G276" s="1260" t="inlineStr">
        <is>
          <t>Existing</t>
        </is>
      </c>
    </row>
    <row r="277" ht="13.5" customHeight="1" s="1232">
      <c r="A277" s="1393" t="n">
        <v>44068</v>
      </c>
      <c r="B277" s="1260" t="inlineStr">
        <is>
          <t>Con McHugh</t>
        </is>
      </c>
      <c r="C277" s="1255" t="inlineStr">
        <is>
          <t>6. 1-2-1</t>
        </is>
      </c>
      <c r="D277" s="1260" t="inlineStr">
        <is>
          <t>PayPal</t>
        </is>
      </c>
      <c r="E277" s="1394" t="n">
        <v>35</v>
      </c>
      <c r="F277" s="1260" t="inlineStr">
        <is>
          <t>Zoom 1-2-1</t>
        </is>
      </c>
      <c r="G277" s="1260" t="inlineStr">
        <is>
          <t>Existing</t>
        </is>
      </c>
    </row>
    <row r="278" ht="13.5" customHeight="1" s="1232">
      <c r="A278" s="1393" t="n">
        <v>44065</v>
      </c>
      <c r="B278" s="1260" t="inlineStr">
        <is>
          <t>J Avril Macpherson</t>
        </is>
      </c>
      <c r="C278" s="1255" t="inlineStr">
        <is>
          <t>9. Prints &amp; Royalties</t>
        </is>
      </c>
      <c r="D278" s="1260" t="inlineStr">
        <is>
          <t>Stripe</t>
        </is>
      </c>
      <c r="E278" s="1394" t="n">
        <v>50.57</v>
      </c>
      <c r="F278" s="1260" t="inlineStr">
        <is>
          <t>Print of Coventry</t>
        </is>
      </c>
      <c r="G278" s="1260" t="inlineStr">
        <is>
          <t>Google</t>
        </is>
      </c>
    </row>
    <row r="279" ht="13.5" customHeight="1" s="1232">
      <c r="A279" s="1393" t="n">
        <v>44055</v>
      </c>
      <c r="B279" s="1260" t="inlineStr">
        <is>
          <t>barrie foster</t>
        </is>
      </c>
      <c r="C279" s="1255" t="inlineStr">
        <is>
          <t>2. Workshops</t>
        </is>
      </c>
      <c r="D279" s="1260" t="inlineStr">
        <is>
          <t>PayPal</t>
        </is>
      </c>
      <c r="E279" s="1394" t="n">
        <v>10</v>
      </c>
      <c r="F279" s="1260" t="inlineStr">
        <is>
          <t>Woodlnd Walk</t>
        </is>
      </c>
      <c r="G279" s="1260" t="inlineStr">
        <is>
          <t>Google</t>
        </is>
      </c>
    </row>
    <row r="280" ht="13.5" customHeight="1" s="1232">
      <c r="A280" s="1393" t="n">
        <v>44062</v>
      </c>
      <c r="B280" s="1260" t="inlineStr">
        <is>
          <t>Artfully Walls</t>
        </is>
      </c>
      <c r="C280" s="1255" t="inlineStr">
        <is>
          <t>9. Prints &amp; Royalties</t>
        </is>
      </c>
      <c r="D280" s="1260" t="inlineStr">
        <is>
          <t>PayPal</t>
        </is>
      </c>
      <c r="E280" s="1394" t="n">
        <v>293</v>
      </c>
      <c r="F280" s="1260" t="inlineStr">
        <is>
          <t>Print Sales</t>
        </is>
      </c>
      <c r="G280" s="1260" t="inlineStr">
        <is>
          <t>Existing</t>
        </is>
      </c>
    </row>
    <row r="281" ht="13.5" customHeight="1" s="1232">
      <c r="A281" s="1393" t="n">
        <v>44055</v>
      </c>
      <c r="B281" s="1260" t="inlineStr">
        <is>
          <t>Lauren Lea</t>
        </is>
      </c>
      <c r="C281" s="1255" t="inlineStr">
        <is>
          <t>1. Courses/masterclasses</t>
        </is>
      </c>
      <c r="D281" s="1260" t="inlineStr">
        <is>
          <t>PayPal</t>
        </is>
      </c>
      <c r="E281" s="1394" t="n">
        <v>200</v>
      </c>
      <c r="F281" s="1260" t="inlineStr">
        <is>
          <t>Beginners Lightroom</t>
        </is>
      </c>
      <c r="G281" s="1260" t="inlineStr">
        <is>
          <t>Existing</t>
        </is>
      </c>
    </row>
    <row r="282" ht="13.5" customHeight="1" s="1232">
      <c r="A282" s="1393" t="n">
        <v>44055</v>
      </c>
      <c r="B282" s="1260" t="inlineStr">
        <is>
          <t>Claire Mcbrearty</t>
        </is>
      </c>
      <c r="C282" s="1255" t="inlineStr">
        <is>
          <t>1. Courses/masterclasses</t>
        </is>
      </c>
      <c r="D282" s="1260" t="inlineStr">
        <is>
          <t>PayPal</t>
        </is>
      </c>
      <c r="E282" s="1394" t="n">
        <v>200</v>
      </c>
      <c r="F282" s="1260" t="inlineStr">
        <is>
          <t>Beginners Lightroom</t>
        </is>
      </c>
      <c r="G282" s="1260" t="inlineStr">
        <is>
          <t>Existing</t>
        </is>
      </c>
    </row>
    <row r="283" ht="13.5" customHeight="1" s="1232">
      <c r="A283" s="1393" t="n">
        <v>44054</v>
      </c>
      <c r="B283" s="1260" t="inlineStr">
        <is>
          <t>Dennis Jeffries</t>
        </is>
      </c>
      <c r="C283" s="1255" t="inlineStr">
        <is>
          <t>6. 1-2-1</t>
        </is>
      </c>
      <c r="D283" s="1260" t="inlineStr">
        <is>
          <t>PayPal</t>
        </is>
      </c>
      <c r="E283" s="1394" t="n">
        <v>35</v>
      </c>
      <c r="F283" s="1260" t="inlineStr">
        <is>
          <t>Zoom 1-2-1</t>
        </is>
      </c>
      <c r="G283" s="1260" t="inlineStr">
        <is>
          <t>Existing</t>
        </is>
      </c>
    </row>
    <row r="284" ht="13.5" customHeight="1" s="1232">
      <c r="A284" s="1393" t="n">
        <v>44051</v>
      </c>
      <c r="B284" s="1260" t="inlineStr">
        <is>
          <t>Shirley Murray</t>
        </is>
      </c>
      <c r="C284" s="1255" t="inlineStr">
        <is>
          <t>1. Courses/masterclasses</t>
        </is>
      </c>
      <c r="D284" s="1260" t="inlineStr">
        <is>
          <t>Stripe</t>
        </is>
      </c>
      <c r="E284" s="1394" t="n">
        <v>250</v>
      </c>
      <c r="F284" s="1260" t="inlineStr">
        <is>
          <t>Beginners Course Kenilworth</t>
        </is>
      </c>
      <c r="G284" s="1260" t="inlineStr">
        <is>
          <t>Google</t>
        </is>
      </c>
    </row>
    <row r="285" ht="13.5" customHeight="1" s="1232">
      <c r="A285" s="1393" t="n">
        <v>44051</v>
      </c>
      <c r="B285" s="1260" t="inlineStr">
        <is>
          <t>Helen Finch</t>
        </is>
      </c>
      <c r="C285" s="1255" t="inlineStr">
        <is>
          <t>2. Workshops</t>
        </is>
      </c>
      <c r="D285" s="1260" t="inlineStr">
        <is>
          <t>PayPal</t>
        </is>
      </c>
      <c r="E285" s="1394" t="n">
        <v>400</v>
      </c>
      <c r="F285" s="1260" t="inlineStr">
        <is>
          <t>Anglesey</t>
        </is>
      </c>
      <c r="G285" s="1260" t="inlineStr">
        <is>
          <t>Existing</t>
        </is>
      </c>
    </row>
    <row r="286" ht="13.5" customHeight="1" s="1232">
      <c r="A286" s="1393" t="n">
        <v>44046</v>
      </c>
      <c r="B286" s="1260" t="inlineStr">
        <is>
          <t>Karen Clothier</t>
        </is>
      </c>
      <c r="C286" s="1255" t="inlineStr">
        <is>
          <t>6. 1-2-1</t>
        </is>
      </c>
      <c r="D286" s="1260" t="inlineStr">
        <is>
          <t>Bank</t>
        </is>
      </c>
      <c r="E286" s="1394" t="n">
        <v>8000</v>
      </c>
      <c r="F286" s="1282" t="inlineStr">
        <is>
          <t>1-2-1</t>
        </is>
      </c>
      <c r="G286" s="1260" t="inlineStr">
        <is>
          <t>Existing</t>
        </is>
      </c>
    </row>
    <row r="287" ht="13.5" customHeight="1" s="1232">
      <c r="A287" s="1393" t="n">
        <v>44046</v>
      </c>
      <c r="B287" s="1260" t="inlineStr">
        <is>
          <t>Neil Partridge</t>
        </is>
      </c>
      <c r="C287" s="1255" t="inlineStr">
        <is>
          <t>2. Workshops</t>
        </is>
      </c>
      <c r="D287" s="1260" t="inlineStr">
        <is>
          <t>Stripe</t>
        </is>
      </c>
      <c r="E287" s="1394" t="n">
        <v>400</v>
      </c>
      <c r="F287" s="1260" t="inlineStr">
        <is>
          <t>Anglesey</t>
        </is>
      </c>
      <c r="G287" s="1260" t="inlineStr">
        <is>
          <t>Google</t>
        </is>
      </c>
    </row>
    <row r="288" ht="13.5" customHeight="1" s="1232">
      <c r="A288" s="1393" t="n">
        <v>44046</v>
      </c>
      <c r="B288" s="1260" t="inlineStr">
        <is>
          <t>JANE BERRISFORD</t>
        </is>
      </c>
      <c r="C288" s="1255" t="inlineStr">
        <is>
          <t>2. Workshops</t>
        </is>
      </c>
      <c r="D288" s="1260" t="inlineStr">
        <is>
          <t>PayPal</t>
        </is>
      </c>
      <c r="E288" s="1394" t="n">
        <v>400</v>
      </c>
      <c r="F288" s="1260" t="inlineStr">
        <is>
          <t>Anglesey</t>
        </is>
      </c>
      <c r="G288" s="1260" t="inlineStr">
        <is>
          <t>Google</t>
        </is>
      </c>
    </row>
    <row r="289" ht="13.5" customHeight="1" s="1232">
      <c r="A289" s="1393" t="n">
        <v>44044</v>
      </c>
      <c r="B289" s="1260" t="inlineStr">
        <is>
          <t>Staffan Chave</t>
        </is>
      </c>
      <c r="C289" s="1255" t="inlineStr">
        <is>
          <t>4. Pick n Mix Out</t>
        </is>
      </c>
      <c r="D289" s="1260" t="inlineStr">
        <is>
          <t>PicknMix</t>
        </is>
      </c>
      <c r="E289" s="1394" t="n">
        <v>-800</v>
      </c>
      <c r="F289" s="1260" t="inlineStr">
        <is>
          <t>North Yorkshire</t>
        </is>
      </c>
      <c r="G289" s="1260" t="inlineStr">
        <is>
          <t>Existing</t>
        </is>
      </c>
    </row>
    <row r="290" ht="13.5" customHeight="1" s="1232">
      <c r="A290" s="1393" t="n">
        <v>44044</v>
      </c>
      <c r="B290" s="1260" t="inlineStr">
        <is>
          <t>Staffan Chave</t>
        </is>
      </c>
      <c r="C290" s="1255" t="inlineStr">
        <is>
          <t>2. Workshops</t>
        </is>
      </c>
      <c r="D290" s="1260" t="inlineStr">
        <is>
          <t>PicknMix</t>
        </is>
      </c>
      <c r="E290" s="1394" t="n">
        <v>800</v>
      </c>
      <c r="F290" s="1260" t="inlineStr">
        <is>
          <t>North Yorkshire</t>
        </is>
      </c>
      <c r="G290" s="1260" t="inlineStr">
        <is>
          <t>Existing</t>
        </is>
      </c>
    </row>
    <row r="291" ht="13.5" customHeight="1" s="1232">
      <c r="A291" s="1393" t="n">
        <v>44044</v>
      </c>
      <c r="B291" s="1260" t="inlineStr">
        <is>
          <t>Pick n Mix Subs</t>
        </is>
      </c>
      <c r="C291" s="1255" t="inlineStr">
        <is>
          <t>3. Pick n Mix Inc</t>
        </is>
      </c>
      <c r="D291" s="1260" t="inlineStr">
        <is>
          <t>Various</t>
        </is>
      </c>
      <c r="E291" s="1394" t="n">
        <v>687.5</v>
      </c>
      <c r="F291" s="1260" t="inlineStr">
        <is>
          <t>Pick N Mix Payments</t>
        </is>
      </c>
      <c r="G291" s="1260" t="inlineStr">
        <is>
          <t>Existing</t>
        </is>
      </c>
    </row>
    <row r="292" ht="13.5" customHeight="1" s="1232">
      <c r="A292" s="1393" t="n">
        <v>44044</v>
      </c>
      <c r="B292" s="1260" t="inlineStr">
        <is>
          <t>Mentoring Subs</t>
        </is>
      </c>
      <c r="C292" s="1255" t="inlineStr">
        <is>
          <t>5. Mentoring</t>
        </is>
      </c>
      <c r="D292" s="1255" t="inlineStr">
        <is>
          <t>Various</t>
        </is>
      </c>
      <c r="E292" s="1261" t="n">
        <v>40</v>
      </c>
      <c r="F292" s="1255" t="inlineStr">
        <is>
          <t>Mentoring Subs</t>
        </is>
      </c>
      <c r="G292" s="1255" t="inlineStr">
        <is>
          <t>Existing</t>
        </is>
      </c>
    </row>
    <row r="293" ht="13.5" customHeight="1" s="1232">
      <c r="A293" s="1393" t="n"/>
      <c r="B293" s="1260" t="n"/>
      <c r="D293" s="1260" t="n"/>
      <c r="E293" s="1394" t="n"/>
      <c r="F293" s="1260" t="n"/>
      <c r="G293" s="1260" t="n"/>
    </row>
    <row r="294" ht="13.5" customHeight="1" s="1232">
      <c r="A294" s="1393" t="n"/>
      <c r="B294" s="1260" t="n"/>
      <c r="D294" s="1260" t="n"/>
      <c r="E294" s="1394" t="n"/>
      <c r="F294" s="1260" t="n"/>
      <c r="G294" s="1260" t="n"/>
    </row>
    <row r="295" ht="13.5" customHeight="1" s="1232">
      <c r="A295" s="1393" t="n">
        <v>44040</v>
      </c>
      <c r="B295" s="1260" t="inlineStr">
        <is>
          <t>derek robbins</t>
        </is>
      </c>
      <c r="C295" s="1255" t="inlineStr">
        <is>
          <t>2. Workshops</t>
        </is>
      </c>
      <c r="D295" s="1260" t="inlineStr">
        <is>
          <t>PayPal</t>
        </is>
      </c>
      <c r="E295" s="1394" t="n">
        <v>10</v>
      </c>
      <c r="F295" s="1260" t="inlineStr">
        <is>
          <t>Woodland Walk</t>
        </is>
      </c>
      <c r="G295" s="1260" t="inlineStr">
        <is>
          <t>Existing</t>
        </is>
      </c>
    </row>
    <row r="296" ht="13.5" customHeight="1" s="1232">
      <c r="A296" s="1393" t="n">
        <v>44040</v>
      </c>
      <c r="B296" s="1260" t="inlineStr">
        <is>
          <t>Ian Mitchell</t>
        </is>
      </c>
      <c r="C296" s="1255" t="inlineStr">
        <is>
          <t>2. Workshops</t>
        </is>
      </c>
      <c r="D296" s="1260" t="inlineStr">
        <is>
          <t>Bank</t>
        </is>
      </c>
      <c r="E296" s="1394" t="n">
        <v>66</v>
      </c>
      <c r="F296" s="1260" t="inlineStr">
        <is>
          <t>Dorset Workshop</t>
        </is>
      </c>
      <c r="G296" s="1260" t="inlineStr">
        <is>
          <t>Existing</t>
        </is>
      </c>
    </row>
    <row r="297" ht="13.5" customHeight="1" s="1232">
      <c r="A297" s="1393" t="n">
        <v>44041</v>
      </c>
      <c r="B297" s="1260" t="inlineStr">
        <is>
          <t>Jacqueline Walsh</t>
        </is>
      </c>
      <c r="C297" s="1255" t="inlineStr">
        <is>
          <t>6. 1-2-1</t>
        </is>
      </c>
      <c r="D297" s="1260" t="inlineStr">
        <is>
          <t>PayPal</t>
        </is>
      </c>
      <c r="E297" s="1394" t="n">
        <v>360</v>
      </c>
      <c r="F297" s="1260" t="inlineStr">
        <is>
          <t>4 x2hr 1-2-1s</t>
        </is>
      </c>
      <c r="G297" s="1260" t="inlineStr">
        <is>
          <t>Google</t>
        </is>
      </c>
    </row>
    <row r="298" ht="13.5" customHeight="1" s="1232">
      <c r="A298" s="1393" t="n">
        <v>44038</v>
      </c>
      <c r="B298" s="1260" t="inlineStr">
        <is>
          <t>Peter Williams</t>
        </is>
      </c>
      <c r="C298" s="1255" t="inlineStr">
        <is>
          <t>2. Workshops</t>
        </is>
      </c>
      <c r="D298" s="1260" t="inlineStr">
        <is>
          <t>PayPal</t>
        </is>
      </c>
      <c r="E298" s="1394" t="n">
        <v>400</v>
      </c>
      <c r="F298" s="1260" t="inlineStr">
        <is>
          <t>Devon Workshop</t>
        </is>
      </c>
      <c r="G298" s="1260" t="inlineStr">
        <is>
          <t>Existing</t>
        </is>
      </c>
    </row>
    <row r="299" ht="13.5" customHeight="1" s="1232">
      <c r="A299" s="1393" t="n">
        <v>44035</v>
      </c>
      <c r="B299" s="1260" t="inlineStr">
        <is>
          <t>Michelle Arnott</t>
        </is>
      </c>
      <c r="C299" s="1255" t="inlineStr">
        <is>
          <t>1. Courses/masterclasses</t>
        </is>
      </c>
      <c r="D299" s="1260" t="inlineStr">
        <is>
          <t>PayPal</t>
        </is>
      </c>
      <c r="E299" s="1394" t="n">
        <v>250</v>
      </c>
      <c r="F299" s="1260" t="inlineStr">
        <is>
          <t>5wk Beginners Course</t>
        </is>
      </c>
      <c r="G299" s="1260" t="inlineStr">
        <is>
          <t>Google</t>
        </is>
      </c>
    </row>
    <row r="300" ht="13.5" customHeight="1" s="1232">
      <c r="A300" s="1393" t="n">
        <v>44034</v>
      </c>
      <c r="B300" s="1260" t="inlineStr">
        <is>
          <t>Ian Blake</t>
        </is>
      </c>
      <c r="C300" s="1255" t="inlineStr">
        <is>
          <t>2. Workshops</t>
        </is>
      </c>
      <c r="D300" s="1260" t="inlineStr">
        <is>
          <t>Bank</t>
        </is>
      </c>
      <c r="E300" s="1394" t="n">
        <v>66</v>
      </c>
      <c r="F300" s="1260" t="inlineStr">
        <is>
          <t>Dorset Workshop</t>
        </is>
      </c>
      <c r="G300" s="1260" t="inlineStr">
        <is>
          <t>Existing</t>
        </is>
      </c>
    </row>
    <row r="301" ht="13.5" customHeight="1" s="1232">
      <c r="A301" s="1393" t="n">
        <v>44034</v>
      </c>
      <c r="B301" s="1260" t="inlineStr">
        <is>
          <t>Sue Pankhurst</t>
        </is>
      </c>
      <c r="C301" s="1255" t="inlineStr">
        <is>
          <t>2. Workshops</t>
        </is>
      </c>
      <c r="D301" s="1260" t="inlineStr">
        <is>
          <t>Bank</t>
        </is>
      </c>
      <c r="E301" s="1394" t="n">
        <v>555</v>
      </c>
      <c r="F301" s="1260" t="inlineStr">
        <is>
          <t>Dorset Workshop</t>
        </is>
      </c>
      <c r="G301" s="1260" t="inlineStr">
        <is>
          <t>Google</t>
        </is>
      </c>
    </row>
    <row r="302" ht="13.5" customHeight="1" s="1232">
      <c r="A302" s="1393" t="n">
        <v>44032</v>
      </c>
      <c r="B302" s="1260" t="inlineStr">
        <is>
          <t>Tony Teague</t>
        </is>
      </c>
      <c r="C302" s="1255" t="inlineStr">
        <is>
          <t>2. Workshops</t>
        </is>
      </c>
      <c r="D302" s="1260" t="inlineStr">
        <is>
          <t>Stripe</t>
        </is>
      </c>
      <c r="E302" s="1394" t="n">
        <v>10</v>
      </c>
      <c r="F302" s="1260" t="inlineStr">
        <is>
          <t>Woodland Walk</t>
        </is>
      </c>
      <c r="G302" s="1260" t="inlineStr">
        <is>
          <t>Existing</t>
        </is>
      </c>
    </row>
    <row r="303" ht="13.5" customHeight="1" s="1232">
      <c r="A303" s="1393" t="n">
        <v>44030</v>
      </c>
      <c r="B303" s="1260" t="inlineStr">
        <is>
          <t>Ian Hope</t>
        </is>
      </c>
      <c r="C303" s="1255" t="inlineStr">
        <is>
          <t>2. Workshops</t>
        </is>
      </c>
      <c r="D303" s="1260" t="inlineStr">
        <is>
          <t>Stripe</t>
        </is>
      </c>
      <c r="E303" s="1394" t="n">
        <v>10</v>
      </c>
      <c r="F303" s="1260" t="inlineStr">
        <is>
          <t>Woodland Walk</t>
        </is>
      </c>
      <c r="G303" s="1260" t="inlineStr">
        <is>
          <t>Google</t>
        </is>
      </c>
    </row>
    <row r="304" ht="13.5" customHeight="1" s="1232">
      <c r="A304" s="1393" t="n">
        <v>44028</v>
      </c>
      <c r="B304" s="1260" t="inlineStr">
        <is>
          <t>Sally Nicon</t>
        </is>
      </c>
      <c r="C304" s="1255" t="inlineStr">
        <is>
          <t>1. Courses/masterclasses</t>
        </is>
      </c>
      <c r="D304" s="1260" t="inlineStr">
        <is>
          <t>Stripe</t>
        </is>
      </c>
      <c r="E304" s="1394" t="n">
        <v>250</v>
      </c>
      <c r="F304" s="1260" t="inlineStr">
        <is>
          <t>5wk Beginners Course</t>
        </is>
      </c>
      <c r="G304" s="1260" t="inlineStr">
        <is>
          <t>Google</t>
        </is>
      </c>
    </row>
    <row r="305" ht="13.5" customHeight="1" s="1232">
      <c r="A305" s="1393" t="n">
        <v>44020</v>
      </c>
      <c r="B305" s="1260" t="inlineStr">
        <is>
          <t>Dylan Montell</t>
        </is>
      </c>
      <c r="C305" s="1255" t="inlineStr">
        <is>
          <t>2. Workshops</t>
        </is>
      </c>
      <c r="D305" s="1260" t="inlineStr">
        <is>
          <t>Gift Voucher Out</t>
        </is>
      </c>
      <c r="E305" s="1394" t="n">
        <v>50</v>
      </c>
      <c r="F305" s="1260" t="inlineStr">
        <is>
          <t>Christmas Sparkle</t>
        </is>
      </c>
      <c r="G305" s="1260" t="inlineStr">
        <is>
          <t>Existing</t>
        </is>
      </c>
    </row>
    <row r="306" ht="13.5" customHeight="1" s="1232">
      <c r="A306" s="1393" t="n">
        <v>44020</v>
      </c>
      <c r="B306" s="1260" t="inlineStr">
        <is>
          <t>Dylan Montell</t>
        </is>
      </c>
      <c r="C306" s="1255" t="inlineStr">
        <is>
          <t>8. Gift Vouchers Out</t>
        </is>
      </c>
      <c r="D306" s="1260" t="inlineStr">
        <is>
          <t>Gift Voucher Out</t>
        </is>
      </c>
      <c r="E306" s="1394" t="n">
        <v>-50</v>
      </c>
      <c r="F306" s="1260" t="inlineStr">
        <is>
          <t>Christmas Sparkle</t>
        </is>
      </c>
      <c r="G306" s="1260" t="inlineStr">
        <is>
          <t>Existing</t>
        </is>
      </c>
    </row>
    <row r="307" ht="13.5" customHeight="1" s="1232">
      <c r="A307" s="1393" t="n">
        <v>44018</v>
      </c>
      <c r="B307" s="1260" t="inlineStr">
        <is>
          <t>Katherine Sibley</t>
        </is>
      </c>
      <c r="C307" s="1255" t="inlineStr">
        <is>
          <t>1. Courses/masterclasses</t>
        </is>
      </c>
      <c r="D307" s="1260" t="inlineStr">
        <is>
          <t>Stripe</t>
        </is>
      </c>
      <c r="E307" s="1394" t="n">
        <v>250</v>
      </c>
      <c r="F307" s="1260" t="inlineStr">
        <is>
          <t>5wk Beginners Course</t>
        </is>
      </c>
      <c r="G307" s="1260" t="inlineStr">
        <is>
          <t>Google</t>
        </is>
      </c>
    </row>
    <row r="308" ht="13.5" customHeight="1" s="1232">
      <c r="A308" s="1393" t="n">
        <v>44016</v>
      </c>
      <c r="B308" s="1260" t="inlineStr">
        <is>
          <t>John Grant</t>
        </is>
      </c>
      <c r="C308" s="1255" t="inlineStr">
        <is>
          <t>2. Workshops</t>
        </is>
      </c>
      <c r="D308" s="1260" t="inlineStr">
        <is>
          <t>Stripe</t>
        </is>
      </c>
      <c r="E308" s="1394" t="n">
        <v>10</v>
      </c>
      <c r="F308" s="1260" t="inlineStr">
        <is>
          <t>Woodland Walk</t>
        </is>
      </c>
      <c r="G308" s="1260" t="inlineStr">
        <is>
          <t>Existing</t>
        </is>
      </c>
    </row>
    <row r="309" ht="13.5" customHeight="1" s="1232">
      <c r="A309" s="1393" t="n">
        <v>44014</v>
      </c>
      <c r="B309" s="1260" t="inlineStr">
        <is>
          <t>Chris Parker</t>
        </is>
      </c>
      <c r="C309" s="1255" t="inlineStr">
        <is>
          <t>2. Workshops</t>
        </is>
      </c>
      <c r="D309" s="1260" t="inlineStr">
        <is>
          <t>PayPal</t>
        </is>
      </c>
      <c r="E309" s="1394" t="n">
        <v>10</v>
      </c>
      <c r="F309" s="1260" t="inlineStr">
        <is>
          <t>Woodland Walk</t>
        </is>
      </c>
      <c r="G309" s="1260" t="inlineStr">
        <is>
          <t>Existing</t>
        </is>
      </c>
    </row>
    <row r="310" ht="13.5" customHeight="1" s="1232">
      <c r="A310" s="1393" t="n">
        <v>44014</v>
      </c>
      <c r="B310" s="1260" t="inlineStr">
        <is>
          <t>adin hammond</t>
        </is>
      </c>
      <c r="C310" s="1255" t="inlineStr">
        <is>
          <t>6. 1-2-1</t>
        </is>
      </c>
      <c r="D310" s="1260" t="inlineStr">
        <is>
          <t>PayPal</t>
        </is>
      </c>
      <c r="E310" s="1394" t="n">
        <v>360</v>
      </c>
      <c r="F310" s="1260" t="inlineStr">
        <is>
          <t>4 x2hr 1-2-1s</t>
        </is>
      </c>
      <c r="G310" s="1260" t="inlineStr">
        <is>
          <t>Google</t>
        </is>
      </c>
    </row>
    <row r="311" ht="13.5" customHeight="1" s="1232">
      <c r="A311" s="1393" t="n">
        <v>44013</v>
      </c>
      <c r="B311" s="1260" t="inlineStr">
        <is>
          <t>Pick n Mix Subs</t>
        </is>
      </c>
      <c r="C311" s="1255" t="inlineStr">
        <is>
          <t>3. Pick n Mix Inc</t>
        </is>
      </c>
      <c r="D311" s="1260" t="inlineStr">
        <is>
          <t>Various</t>
        </is>
      </c>
      <c r="E311" s="1394" t="n">
        <v>0</v>
      </c>
      <c r="F311" s="1260" t="inlineStr">
        <is>
          <t>Pick N Mix Payments</t>
        </is>
      </c>
      <c r="G311" s="1260" t="inlineStr">
        <is>
          <t>Existing</t>
        </is>
      </c>
    </row>
    <row r="312" ht="13.5" customHeight="1" s="1232">
      <c r="A312" s="1393" t="n">
        <v>44013</v>
      </c>
      <c r="B312" s="1260" t="inlineStr">
        <is>
          <t>Mentoring Subs</t>
        </is>
      </c>
      <c r="C312" s="1255" t="inlineStr">
        <is>
          <t>5. Mentoring</t>
        </is>
      </c>
      <c r="D312" s="1255" t="inlineStr">
        <is>
          <t>Various</t>
        </is>
      </c>
      <c r="E312" s="1261" t="n">
        <v>60</v>
      </c>
      <c r="F312" s="1255" t="inlineStr">
        <is>
          <t>Mentoring Subs</t>
        </is>
      </c>
      <c r="G312" s="1255" t="inlineStr">
        <is>
          <t>Existing</t>
        </is>
      </c>
    </row>
    <row r="313" ht="13.5" customHeight="1" s="1232">
      <c r="A313" s="1393" t="n"/>
      <c r="B313" s="1260" t="n"/>
      <c r="D313" s="1260" t="n"/>
      <c r="E313" s="1394" t="n"/>
      <c r="F313" s="1260" t="n"/>
      <c r="G313" s="1260" t="n"/>
    </row>
    <row r="314" ht="13.5" customHeight="1" s="1232">
      <c r="A314" s="1393" t="n">
        <v>44011</v>
      </c>
      <c r="B314" s="1260" t="inlineStr">
        <is>
          <t>Kirsten Pearce</t>
        </is>
      </c>
      <c r="C314" s="1255" t="inlineStr">
        <is>
          <t>3. Pick n Mix Inc</t>
        </is>
      </c>
      <c r="D314" s="1260" t="inlineStr">
        <is>
          <t>Bank</t>
        </is>
      </c>
      <c r="E314" s="1394" t="n">
        <v>187.5</v>
      </c>
      <c r="F314" s="1260" t="inlineStr">
        <is>
          <t>Pick N Mix Payments</t>
        </is>
      </c>
      <c r="G314" s="1260" t="inlineStr">
        <is>
          <t>Existing</t>
        </is>
      </c>
    </row>
    <row r="315" ht="13.5" customHeight="1" s="1232">
      <c r="A315" s="1393" t="n">
        <v>44008</v>
      </c>
      <c r="B315" s="1260" t="inlineStr">
        <is>
          <t>Husna Pudussery</t>
        </is>
      </c>
      <c r="C315" s="1255" t="inlineStr">
        <is>
          <t>6. 1-2-1</t>
        </is>
      </c>
      <c r="D315" s="1260" t="inlineStr">
        <is>
          <t>Stripe</t>
        </is>
      </c>
      <c r="E315" s="1394" t="n">
        <v>65</v>
      </c>
      <c r="F315" s="1260" t="inlineStr">
        <is>
          <t>1-2-1 Outdoors</t>
        </is>
      </c>
      <c r="G315" s="1260" t="inlineStr">
        <is>
          <t>Google</t>
        </is>
      </c>
    </row>
    <row r="316" ht="13.5" customHeight="1" s="1232">
      <c r="A316" s="1393" t="n">
        <v>44008</v>
      </c>
      <c r="B316" s="1260" t="inlineStr">
        <is>
          <t>Lian Horan</t>
        </is>
      </c>
      <c r="C316" s="1255" t="inlineStr">
        <is>
          <t>3. Pick n Mix Inc</t>
        </is>
      </c>
      <c r="D316" s="1260" t="inlineStr">
        <is>
          <t>Bank</t>
        </is>
      </c>
      <c r="E316" s="1394" t="n">
        <v>218.75</v>
      </c>
      <c r="F316" s="1260" t="inlineStr">
        <is>
          <t>Pick N Mix Payments</t>
        </is>
      </c>
      <c r="G316" s="1260" t="inlineStr">
        <is>
          <t>Existing</t>
        </is>
      </c>
    </row>
    <row r="317" ht="13.5" customHeight="1" s="1232">
      <c r="A317" s="1393" t="n">
        <v>44008</v>
      </c>
      <c r="B317" s="1260" t="inlineStr">
        <is>
          <t>Ian Harrop</t>
        </is>
      </c>
      <c r="C317" s="1255" t="inlineStr">
        <is>
          <t>2. Workshops</t>
        </is>
      </c>
      <c r="D317" s="1260" t="inlineStr">
        <is>
          <t>Stripe</t>
        </is>
      </c>
      <c r="E317" s="1394" t="n">
        <v>50</v>
      </c>
      <c r="F317" s="1260" t="inlineStr">
        <is>
          <t>LE Night Workshop</t>
        </is>
      </c>
      <c r="G317" s="1260" t="inlineStr">
        <is>
          <t>Existing</t>
        </is>
      </c>
    </row>
    <row r="318" ht="13.5" customHeight="1" s="1232">
      <c r="A318" s="1393" t="n">
        <v>44008</v>
      </c>
      <c r="B318" s="1260" t="inlineStr">
        <is>
          <t>Joyce James</t>
        </is>
      </c>
      <c r="C318" s="1255" t="inlineStr">
        <is>
          <t>2. Workshops</t>
        </is>
      </c>
      <c r="D318" s="1260" t="inlineStr">
        <is>
          <t>PicknMix</t>
        </is>
      </c>
      <c r="E318" s="1394" t="n">
        <v>700</v>
      </c>
      <c r="F318" s="1260" t="inlineStr">
        <is>
          <t>North Yorkshire</t>
        </is>
      </c>
      <c r="G318" s="1260" t="inlineStr">
        <is>
          <t>Existing</t>
        </is>
      </c>
    </row>
    <row r="319" ht="13.5" customHeight="1" s="1232">
      <c r="A319" s="1393" t="n">
        <v>44008</v>
      </c>
      <c r="B319" s="1260" t="inlineStr">
        <is>
          <t>Kirsten  Pearce</t>
        </is>
      </c>
      <c r="C319" s="1255" t="inlineStr">
        <is>
          <t>2. Workshops</t>
        </is>
      </c>
      <c r="D319" s="1260" t="inlineStr">
        <is>
          <t>PicknMix</t>
        </is>
      </c>
      <c r="E319" s="1394" t="n">
        <v>743.75</v>
      </c>
      <c r="F319" s="1260" t="inlineStr">
        <is>
          <t>North Yorkshire</t>
        </is>
      </c>
      <c r="G319" s="1260" t="inlineStr">
        <is>
          <t>Existing</t>
        </is>
      </c>
    </row>
    <row r="320" ht="13.5" customHeight="1" s="1232">
      <c r="A320" s="1393" t="n">
        <v>44008</v>
      </c>
      <c r="B320" s="1260" t="inlineStr">
        <is>
          <t>Joyce James</t>
        </is>
      </c>
      <c r="C320" s="1255" t="inlineStr">
        <is>
          <t>4. Pick n Mix Out</t>
        </is>
      </c>
      <c r="D320" s="1260" t="inlineStr">
        <is>
          <t>PicknMix</t>
        </is>
      </c>
      <c r="E320" s="1394" t="n">
        <v>-700</v>
      </c>
      <c r="F320" s="1260" t="inlineStr">
        <is>
          <t>North Yorkshire</t>
        </is>
      </c>
      <c r="G320" s="1260" t="inlineStr">
        <is>
          <t>Existing</t>
        </is>
      </c>
    </row>
    <row r="321" ht="13.5" customHeight="1" s="1232">
      <c r="A321" s="1393" t="n">
        <v>44008</v>
      </c>
      <c r="B321" s="1260" t="inlineStr">
        <is>
          <t>Kirsten  Pearce</t>
        </is>
      </c>
      <c r="C321" s="1255" t="inlineStr">
        <is>
          <t>4. Pick n Mix Out</t>
        </is>
      </c>
      <c r="D321" s="1260" t="inlineStr">
        <is>
          <t>PicknMix</t>
        </is>
      </c>
      <c r="E321" s="1394" t="n">
        <v>-743.75</v>
      </c>
      <c r="F321" s="1260" t="inlineStr">
        <is>
          <t>North Yorkshire</t>
        </is>
      </c>
      <c r="G321" s="1260" t="inlineStr">
        <is>
          <t>Existing</t>
        </is>
      </c>
    </row>
    <row r="322" ht="13.5" customHeight="1" s="1232">
      <c r="A322" s="1393" t="n">
        <v>44008</v>
      </c>
      <c r="B322" s="1260" t="inlineStr">
        <is>
          <t>Joyce James</t>
        </is>
      </c>
      <c r="C322" s="1255" t="inlineStr">
        <is>
          <t>3. Pick n Mix Inc</t>
        </is>
      </c>
      <c r="D322" s="1260" t="inlineStr">
        <is>
          <t>Bank</t>
        </is>
      </c>
      <c r="E322" s="1394" t="n">
        <v>200</v>
      </c>
      <c r="F322" s="1260" t="inlineStr">
        <is>
          <t>Pick N Mix Payments</t>
        </is>
      </c>
      <c r="G322" s="1260" t="inlineStr">
        <is>
          <t>Existing</t>
        </is>
      </c>
    </row>
    <row r="323" ht="13.5" customHeight="1" s="1232">
      <c r="A323" s="1393" t="n">
        <v>44006</v>
      </c>
      <c r="B323" s="1260" t="inlineStr">
        <is>
          <t>Alison Taylor</t>
        </is>
      </c>
      <c r="C323" s="1255" t="inlineStr">
        <is>
          <t>2. Workshops</t>
        </is>
      </c>
      <c r="D323" s="1260" t="inlineStr">
        <is>
          <t>Bank</t>
        </is>
      </c>
      <c r="E323" s="1394" t="n">
        <v>75</v>
      </c>
      <c r="F323" s="1260" t="inlineStr">
        <is>
          <t>Dorset</t>
        </is>
      </c>
      <c r="G323" s="1260" t="inlineStr">
        <is>
          <t>Existing</t>
        </is>
      </c>
    </row>
    <row r="324" ht="13.5" customHeight="1" s="1232">
      <c r="A324" s="1393" t="n">
        <v>44004</v>
      </c>
      <c r="B324" s="1260" t="inlineStr">
        <is>
          <t>oluwakemi osunlana</t>
        </is>
      </c>
      <c r="C324" s="1255" t="inlineStr">
        <is>
          <t>6. 1-2-1</t>
        </is>
      </c>
      <c r="D324" s="1260" t="inlineStr">
        <is>
          <t>Stripe</t>
        </is>
      </c>
      <c r="E324" s="1394" t="n">
        <v>360</v>
      </c>
      <c r="F324" s="1260" t="inlineStr">
        <is>
          <t>4 x 2hr Lessons</t>
        </is>
      </c>
      <c r="G324" s="1260" t="inlineStr">
        <is>
          <t>Google</t>
        </is>
      </c>
    </row>
    <row r="325" ht="13.5" customHeight="1" s="1232">
      <c r="A325" s="1393" t="n">
        <v>44004</v>
      </c>
      <c r="B325" s="1260" t="inlineStr">
        <is>
          <t>Harriet Bowley</t>
        </is>
      </c>
      <c r="C325" s="1255" t="inlineStr">
        <is>
          <t>2. Workshops</t>
        </is>
      </c>
      <c r="D325" s="1260" t="inlineStr">
        <is>
          <t>Bank</t>
        </is>
      </c>
      <c r="E325" s="1394" t="n">
        <v>150</v>
      </c>
      <c r="F325" s="1260" t="inlineStr">
        <is>
          <t>LE Night Workshop</t>
        </is>
      </c>
      <c r="G325" s="1260" t="inlineStr">
        <is>
          <t>Existing</t>
        </is>
      </c>
    </row>
    <row r="326" ht="13.5" customHeight="1" s="1232">
      <c r="A326" s="1393" t="n">
        <v>44004</v>
      </c>
      <c r="B326" s="1260" t="inlineStr">
        <is>
          <t>Brian Kerley</t>
        </is>
      </c>
      <c r="C326" s="1255" t="inlineStr">
        <is>
          <t>6. 1-2-1</t>
        </is>
      </c>
      <c r="D326" s="1260" t="inlineStr">
        <is>
          <t>Stripe</t>
        </is>
      </c>
      <c r="E326" s="1394" t="n">
        <v>150</v>
      </c>
      <c r="F326" s="1260" t="inlineStr">
        <is>
          <t>1-2-1 Outdoors</t>
        </is>
      </c>
      <c r="G326" s="1260" t="inlineStr">
        <is>
          <t>Existing</t>
        </is>
      </c>
    </row>
    <row r="327" ht="13.5" customHeight="1" s="1232">
      <c r="A327" s="1393" t="n">
        <v>44004</v>
      </c>
      <c r="B327" s="1260" t="inlineStr">
        <is>
          <t>Georgina Thorley</t>
        </is>
      </c>
      <c r="C327" s="1255" t="inlineStr">
        <is>
          <t>6. 1-2-1</t>
        </is>
      </c>
      <c r="D327" s="1260" t="inlineStr">
        <is>
          <t>Bank</t>
        </is>
      </c>
      <c r="E327" s="1394" t="n">
        <v>60</v>
      </c>
      <c r="F327" s="1260" t="inlineStr">
        <is>
          <t>1-2-1 Location T&amp;E</t>
        </is>
      </c>
      <c r="G327" s="1260" t="inlineStr">
        <is>
          <t>Google</t>
        </is>
      </c>
    </row>
    <row r="328" ht="13.5" customHeight="1" s="1232">
      <c r="A328" s="1393" t="n">
        <v>44001</v>
      </c>
      <c r="B328" s="1260" t="inlineStr">
        <is>
          <t>jeanette wilson</t>
        </is>
      </c>
      <c r="C328" s="1255" t="inlineStr">
        <is>
          <t>2. Workshops</t>
        </is>
      </c>
      <c r="D328" s="1260" t="inlineStr">
        <is>
          <t>PayPal</t>
        </is>
      </c>
      <c r="E328" s="1394" t="n">
        <v>125</v>
      </c>
      <c r="F328" s="1260" t="inlineStr">
        <is>
          <t>Peak District</t>
        </is>
      </c>
      <c r="G328" s="1260" t="inlineStr">
        <is>
          <t>Google</t>
        </is>
      </c>
    </row>
    <row r="329" ht="13.5" customHeight="1" s="1232">
      <c r="A329" s="1393" t="n">
        <v>44000</v>
      </c>
      <c r="B329" s="1260" t="inlineStr">
        <is>
          <t>Odette Green</t>
        </is>
      </c>
      <c r="C329" s="1255" t="inlineStr">
        <is>
          <t>11. Other</t>
        </is>
      </c>
      <c r="D329" s="1260" t="inlineStr">
        <is>
          <t>Stripe</t>
        </is>
      </c>
      <c r="E329" s="1394" t="n">
        <v>2.7</v>
      </c>
      <c r="F329" s="1260" t="inlineStr">
        <is>
          <t>Pocket Guides</t>
        </is>
      </c>
      <c r="G329" s="1260" t="inlineStr">
        <is>
          <t>Existing</t>
        </is>
      </c>
    </row>
    <row r="330" ht="13.5" customHeight="1" s="1232">
      <c r="A330" s="1393" t="n">
        <v>43998</v>
      </c>
      <c r="B330" s="1260" t="inlineStr">
        <is>
          <t>Georgina Thorley</t>
        </is>
      </c>
      <c r="C330" s="1255" t="inlineStr">
        <is>
          <t>6. 1-2-1</t>
        </is>
      </c>
      <c r="D330" s="1260" t="inlineStr">
        <is>
          <t>Stripe</t>
        </is>
      </c>
      <c r="E330" s="1394" t="n">
        <v>120</v>
      </c>
      <c r="F330" s="1260" t="inlineStr">
        <is>
          <t>1-2-1 Location</t>
        </is>
      </c>
      <c r="G330" s="1260" t="inlineStr">
        <is>
          <t>Google</t>
        </is>
      </c>
    </row>
    <row r="331" ht="13.5" customHeight="1" s="1232">
      <c r="A331" s="1393" t="n">
        <v>43997</v>
      </c>
      <c r="B331" s="1260" t="inlineStr">
        <is>
          <t>Pure Photo</t>
        </is>
      </c>
      <c r="C331" s="1255" t="inlineStr">
        <is>
          <t>9. Prints &amp; Royalties</t>
        </is>
      </c>
      <c r="D331" s="1260" t="inlineStr">
        <is>
          <t>PayPal</t>
        </is>
      </c>
      <c r="E331" s="1394" t="n">
        <v>328.72</v>
      </c>
      <c r="F331" s="1260" t="inlineStr">
        <is>
          <t>Print Sale</t>
        </is>
      </c>
      <c r="G331" s="1260" t="inlineStr">
        <is>
          <t>Existing</t>
        </is>
      </c>
    </row>
    <row r="332" ht="13.5" customHeight="1" s="1232">
      <c r="A332" s="1393" t="n">
        <v>43996</v>
      </c>
      <c r="B332" s="1260" t="inlineStr">
        <is>
          <t xml:space="preserve">Ash Routen </t>
        </is>
      </c>
      <c r="C332" s="1255" t="inlineStr">
        <is>
          <t>6. 1-2-1</t>
        </is>
      </c>
      <c r="D332" s="1260" t="inlineStr">
        <is>
          <t>PayPal</t>
        </is>
      </c>
      <c r="E332" s="1394" t="n">
        <v>120</v>
      </c>
      <c r="F332" s="1260" t="inlineStr">
        <is>
          <t>1-2-1 Outdoors</t>
        </is>
      </c>
      <c r="G332" s="1260" t="inlineStr">
        <is>
          <t>Google</t>
        </is>
      </c>
    </row>
    <row r="333" ht="13.5" customHeight="1" s="1232">
      <c r="A333" s="1393" t="n">
        <v>43991</v>
      </c>
      <c r="B333" s="1260" t="inlineStr">
        <is>
          <t>Janet Boulter</t>
        </is>
      </c>
      <c r="C333" s="1255" t="inlineStr">
        <is>
          <t>1. Courses/masterclasses</t>
        </is>
      </c>
      <c r="D333" s="1260" t="inlineStr">
        <is>
          <t>PayPal</t>
        </is>
      </c>
      <c r="E333" s="1394" t="n">
        <v>6.5</v>
      </c>
      <c r="F333" s="1260" t="inlineStr">
        <is>
          <t>Webinar</t>
        </is>
      </c>
      <c r="G333" s="1260" t="inlineStr">
        <is>
          <t>Existing</t>
        </is>
      </c>
    </row>
    <row r="334" ht="13.5" customHeight="1" s="1232">
      <c r="A334" s="1393" t="n">
        <v>43991</v>
      </c>
      <c r="B334" s="1260" t="inlineStr">
        <is>
          <t>Tony Teague</t>
        </is>
      </c>
      <c r="C334" s="1255" t="inlineStr">
        <is>
          <t>1. Courses/masterclasses</t>
        </is>
      </c>
      <c r="D334" s="1260" t="inlineStr">
        <is>
          <t>PayPal</t>
        </is>
      </c>
      <c r="E334" s="1394" t="n">
        <v>6.5</v>
      </c>
      <c r="F334" s="1260" t="inlineStr">
        <is>
          <t>Webinar</t>
        </is>
      </c>
      <c r="G334" s="1260" t="inlineStr">
        <is>
          <t>Existing</t>
        </is>
      </c>
    </row>
    <row r="335" ht="13.5" customHeight="1" s="1232">
      <c r="A335" s="1393" t="n">
        <v>43990</v>
      </c>
      <c r="B335" s="1260" t="inlineStr">
        <is>
          <t>Andrew Thomson</t>
        </is>
      </c>
      <c r="C335" s="1255" t="inlineStr">
        <is>
          <t>1. Courses/masterclasses</t>
        </is>
      </c>
      <c r="D335" s="1260" t="inlineStr">
        <is>
          <t>PayPal</t>
        </is>
      </c>
      <c r="E335" s="1394" t="n">
        <v>6.5</v>
      </c>
      <c r="F335" s="1260" t="inlineStr">
        <is>
          <t>Webinar</t>
        </is>
      </c>
      <c r="G335" s="1260" t="inlineStr">
        <is>
          <t>Existing</t>
        </is>
      </c>
    </row>
    <row r="336" ht="13.5" customHeight="1" s="1232">
      <c r="A336" s="1393" t="n">
        <v>43988</v>
      </c>
      <c r="B336" s="1260" t="inlineStr">
        <is>
          <t>Ann Gribble</t>
        </is>
      </c>
      <c r="C336" s="1255" t="inlineStr">
        <is>
          <t>1. Courses/masterclasses</t>
        </is>
      </c>
      <c r="D336" s="1260" t="inlineStr">
        <is>
          <t>PayPal</t>
        </is>
      </c>
      <c r="E336" s="1394" t="n">
        <v>6.5</v>
      </c>
      <c r="F336" s="1260" t="inlineStr">
        <is>
          <t>Webinar</t>
        </is>
      </c>
      <c r="G336" s="1260" t="inlineStr">
        <is>
          <t>Existing</t>
        </is>
      </c>
    </row>
    <row r="337" ht="13.5" customHeight="1" s="1232">
      <c r="A337" s="1393" t="n">
        <v>43987</v>
      </c>
      <c r="B337" s="1260" t="inlineStr">
        <is>
          <t xml:space="preserve">John Grant </t>
        </is>
      </c>
      <c r="C337" s="1255" t="inlineStr">
        <is>
          <t>1. Courses/masterclasses</t>
        </is>
      </c>
      <c r="D337" s="1260" t="inlineStr">
        <is>
          <t>Stripe</t>
        </is>
      </c>
      <c r="E337" s="1394" t="n">
        <v>6.5</v>
      </c>
      <c r="F337" s="1260" t="inlineStr">
        <is>
          <t>Webinar</t>
        </is>
      </c>
      <c r="G337" s="1260" t="inlineStr">
        <is>
          <t>Existing</t>
        </is>
      </c>
    </row>
    <row r="338" ht="13.5" customHeight="1" s="1232">
      <c r="A338" s="1393" t="n">
        <v>43986</v>
      </c>
      <c r="B338" s="1260" t="inlineStr">
        <is>
          <t>Janet Boulter</t>
        </is>
      </c>
      <c r="C338" s="1255" t="inlineStr">
        <is>
          <t>1. Courses/masterclasses</t>
        </is>
      </c>
      <c r="D338" s="1260" t="inlineStr">
        <is>
          <t>Stripe</t>
        </is>
      </c>
      <c r="E338" s="1394" t="n">
        <v>8.699999999999999</v>
      </c>
      <c r="F338" s="1260" t="inlineStr">
        <is>
          <t>Webinar</t>
        </is>
      </c>
      <c r="G338" s="1260" t="inlineStr">
        <is>
          <t>Existing</t>
        </is>
      </c>
    </row>
    <row r="339" ht="13.5" customHeight="1" s="1232">
      <c r="A339" s="1393" t="n">
        <v>43986</v>
      </c>
      <c r="B339" s="1260" t="inlineStr">
        <is>
          <t>Graham Ibbetson</t>
        </is>
      </c>
      <c r="C339" s="1255" t="inlineStr">
        <is>
          <t>1. Courses/masterclasses</t>
        </is>
      </c>
      <c r="D339" s="1260" t="inlineStr">
        <is>
          <t>Stripe</t>
        </is>
      </c>
      <c r="E339" s="1394" t="n">
        <v>10</v>
      </c>
      <c r="F339" s="1260" t="inlineStr">
        <is>
          <t>Webinar</t>
        </is>
      </c>
      <c r="G339" s="1260" t="inlineStr">
        <is>
          <t>Existing</t>
        </is>
      </c>
    </row>
    <row r="340" ht="13.5" customHeight="1" s="1232">
      <c r="A340" s="1393" t="n">
        <v>43986</v>
      </c>
      <c r="B340" s="1260" t="inlineStr">
        <is>
          <t>Ian Harrop</t>
        </is>
      </c>
      <c r="C340" s="1255" t="inlineStr">
        <is>
          <t>1. Courses/masterclasses</t>
        </is>
      </c>
      <c r="D340" s="1260" t="inlineStr">
        <is>
          <t>PayPal</t>
        </is>
      </c>
      <c r="E340" s="1394" t="n">
        <v>6.5</v>
      </c>
      <c r="F340" s="1260" t="inlineStr">
        <is>
          <t>Webinar</t>
        </is>
      </c>
      <c r="G340" s="1260" t="inlineStr">
        <is>
          <t>Existing</t>
        </is>
      </c>
    </row>
    <row r="341" ht="13.5" customHeight="1" s="1232">
      <c r="A341" s="1393" t="n">
        <v>43986</v>
      </c>
      <c r="B341" s="1260" t="inlineStr">
        <is>
          <t>Roderick Maddocks</t>
        </is>
      </c>
      <c r="C341" s="1255" t="inlineStr">
        <is>
          <t>2. Workshops</t>
        </is>
      </c>
      <c r="D341" s="1260" t="inlineStr">
        <is>
          <t>PayPal</t>
        </is>
      </c>
      <c r="E341" s="1394" t="n">
        <v>50</v>
      </c>
      <c r="F341" s="1260" t="inlineStr">
        <is>
          <t>LE Night Workshop</t>
        </is>
      </c>
      <c r="G341" s="1260" t="inlineStr">
        <is>
          <t>Google</t>
        </is>
      </c>
    </row>
    <row r="342" ht="13.5" customHeight="1" s="1232">
      <c r="A342" s="1393" t="n">
        <v>43985</v>
      </c>
      <c r="B342" s="1260" t="inlineStr">
        <is>
          <t>Judy Niner</t>
        </is>
      </c>
      <c r="C342" s="1255" t="inlineStr">
        <is>
          <t>6. 1-2-1</t>
        </is>
      </c>
      <c r="D342" s="1260" t="inlineStr">
        <is>
          <t>PayPal</t>
        </is>
      </c>
      <c r="E342" s="1394" t="n">
        <v>60</v>
      </c>
      <c r="F342" s="1260" t="inlineStr">
        <is>
          <t>1-2-1 online</t>
        </is>
      </c>
      <c r="G342" s="1260" t="inlineStr">
        <is>
          <t>Existing</t>
        </is>
      </c>
    </row>
    <row r="343" ht="13.5" customHeight="1" s="1232">
      <c r="A343" s="1393" t="n">
        <v>43985</v>
      </c>
      <c r="B343" s="1260" t="inlineStr">
        <is>
          <t>Helen Sotheran</t>
        </is>
      </c>
      <c r="C343" s="1255" t="inlineStr">
        <is>
          <t>1. Courses/masterclasses</t>
        </is>
      </c>
      <c r="D343" s="1260" t="inlineStr">
        <is>
          <t>PayPal</t>
        </is>
      </c>
      <c r="E343" s="1394" t="n">
        <v>6.5</v>
      </c>
      <c r="F343" s="1260" t="inlineStr">
        <is>
          <t>Webinar</t>
        </is>
      </c>
      <c r="G343" s="1260" t="inlineStr">
        <is>
          <t>Existing</t>
        </is>
      </c>
    </row>
    <row r="344" ht="13.5" customHeight="1" s="1232">
      <c r="A344" s="1393" t="n">
        <v>43985</v>
      </c>
      <c r="B344" s="1260" t="inlineStr">
        <is>
          <t>Jack Rosin</t>
        </is>
      </c>
      <c r="C344" s="1255" t="inlineStr">
        <is>
          <t>1. Courses/masterclasses</t>
        </is>
      </c>
      <c r="D344" s="1260" t="inlineStr">
        <is>
          <t>Stripe</t>
        </is>
      </c>
      <c r="E344" s="1394" t="n">
        <v>6.5</v>
      </c>
      <c r="F344" s="1260" t="inlineStr">
        <is>
          <t>Webinar</t>
        </is>
      </c>
      <c r="G344" s="1260" t="inlineStr">
        <is>
          <t>Existing</t>
        </is>
      </c>
    </row>
    <row r="345" ht="13.5" customHeight="1" s="1232">
      <c r="A345" s="1393" t="n">
        <v>43985</v>
      </c>
      <c r="B345" s="1260" t="inlineStr">
        <is>
          <t>Joyce James</t>
        </is>
      </c>
      <c r="C345" s="1255" t="inlineStr">
        <is>
          <t>1. Courses/masterclasses</t>
        </is>
      </c>
      <c r="D345" s="1260" t="inlineStr">
        <is>
          <t>PayPal</t>
        </is>
      </c>
      <c r="E345" s="1394" t="n">
        <v>6.5</v>
      </c>
      <c r="F345" s="1260" t="inlineStr">
        <is>
          <t>Webinar</t>
        </is>
      </c>
      <c r="G345" s="1260" t="inlineStr">
        <is>
          <t>Existing</t>
        </is>
      </c>
    </row>
    <row r="346" ht="13.5" customHeight="1" s="1232">
      <c r="A346" s="1393" t="n">
        <v>43985</v>
      </c>
      <c r="B346" s="1260" t="inlineStr">
        <is>
          <t>Kirsten Pearce</t>
        </is>
      </c>
      <c r="C346" s="1255" t="inlineStr">
        <is>
          <t>1. Courses/masterclasses</t>
        </is>
      </c>
      <c r="D346" s="1260" t="inlineStr">
        <is>
          <t>PayPal</t>
        </is>
      </c>
      <c r="E346" s="1394" t="n">
        <v>6.5</v>
      </c>
      <c r="F346" s="1260" t="inlineStr">
        <is>
          <t>Webinar</t>
        </is>
      </c>
      <c r="G346" s="1260" t="inlineStr">
        <is>
          <t>Existing</t>
        </is>
      </c>
    </row>
    <row r="347" ht="13.5" customHeight="1" s="1232">
      <c r="A347" s="1393" t="n">
        <v>43985</v>
      </c>
      <c r="B347" s="1260" t="inlineStr">
        <is>
          <t>Dennis Jeffrey</t>
        </is>
      </c>
      <c r="C347" s="1255" t="inlineStr">
        <is>
          <t>6. 1-2-1</t>
        </is>
      </c>
      <c r="D347" s="1260" t="inlineStr">
        <is>
          <t>PayPal</t>
        </is>
      </c>
      <c r="E347" s="1394" t="n">
        <v>35</v>
      </c>
      <c r="F347" s="1260" t="inlineStr">
        <is>
          <t>1-2-1 online</t>
        </is>
      </c>
      <c r="G347" s="1260" t="inlineStr">
        <is>
          <t>Existing</t>
        </is>
      </c>
    </row>
    <row r="348" ht="13.5" customHeight="1" s="1232">
      <c r="A348" s="1393" t="n">
        <v>43985</v>
      </c>
      <c r="B348" s="1260" t="inlineStr">
        <is>
          <t>Dennis Jeffrey</t>
        </is>
      </c>
      <c r="C348" s="1255" t="inlineStr">
        <is>
          <t>1. Courses/masterclasses</t>
        </is>
      </c>
      <c r="D348" s="1260" t="inlineStr">
        <is>
          <t>PayPal</t>
        </is>
      </c>
      <c r="E348" s="1394" t="n">
        <v>6.5</v>
      </c>
      <c r="F348" s="1260" t="inlineStr">
        <is>
          <t>Webinar</t>
        </is>
      </c>
      <c r="G348" s="1260" t="inlineStr">
        <is>
          <t>Existing</t>
        </is>
      </c>
    </row>
    <row r="349" ht="13.5" customHeight="1" s="1232">
      <c r="A349" s="1393" t="n">
        <v>43984</v>
      </c>
      <c r="B349" s="1260" t="inlineStr">
        <is>
          <t>Odette Green</t>
        </is>
      </c>
      <c r="C349" s="1255" t="inlineStr">
        <is>
          <t>2. Workshops</t>
        </is>
      </c>
      <c r="D349" s="1260" t="inlineStr">
        <is>
          <t>Stripe</t>
        </is>
      </c>
      <c r="E349" s="1394" t="n">
        <v>100</v>
      </c>
      <c r="F349" s="1260" t="inlineStr">
        <is>
          <t>LE Night Workshop</t>
        </is>
      </c>
      <c r="G349" s="1260" t="inlineStr">
        <is>
          <t>Google</t>
        </is>
      </c>
    </row>
    <row r="350" ht="13.5" customHeight="1" s="1232">
      <c r="A350" s="1393" t="n">
        <v>43983</v>
      </c>
      <c r="B350" s="1260" t="inlineStr">
        <is>
          <t>Helen Sotheran</t>
        </is>
      </c>
      <c r="C350" s="1255" t="inlineStr">
        <is>
          <t>1. Courses/masterclasses</t>
        </is>
      </c>
      <c r="D350" s="1260" t="inlineStr">
        <is>
          <t>PayPal</t>
        </is>
      </c>
      <c r="E350" s="1394" t="n">
        <v>6.5</v>
      </c>
      <c r="F350" s="1260" t="inlineStr">
        <is>
          <t>Webinar</t>
        </is>
      </c>
      <c r="G350" s="1260" t="inlineStr">
        <is>
          <t>Existing</t>
        </is>
      </c>
    </row>
    <row r="351" ht="13.5" customHeight="1" s="1232">
      <c r="A351" s="1393" t="n">
        <v>43983</v>
      </c>
      <c r="B351" s="1260" t="inlineStr">
        <is>
          <t>Karen Clothier</t>
        </is>
      </c>
      <c r="C351" s="1255" t="inlineStr">
        <is>
          <t>6. 1-2-1</t>
        </is>
      </c>
      <c r="D351" s="1260" t="inlineStr">
        <is>
          <t>Bank</t>
        </is>
      </c>
      <c r="E351" s="1394" t="n">
        <v>4000</v>
      </c>
      <c r="F351" s="1282" t="inlineStr">
        <is>
          <t>1-2-1 Package</t>
        </is>
      </c>
      <c r="G351" s="1260" t="inlineStr">
        <is>
          <t>Google</t>
        </is>
      </c>
    </row>
    <row r="352" ht="13.5" customHeight="1" s="1232">
      <c r="A352" s="1393" t="n">
        <v>43983</v>
      </c>
      <c r="B352" s="1260" t="inlineStr">
        <is>
          <t>Dennis Jeffrey</t>
        </is>
      </c>
      <c r="C352" s="1255" t="inlineStr">
        <is>
          <t>1. Courses/masterclasses</t>
        </is>
      </c>
      <c r="D352" s="1260" t="inlineStr">
        <is>
          <t>Stripe</t>
        </is>
      </c>
      <c r="E352" s="1394" t="n">
        <v>6.5</v>
      </c>
      <c r="F352" s="1260" t="inlineStr">
        <is>
          <t>Webinar</t>
        </is>
      </c>
      <c r="G352" s="1260" t="inlineStr">
        <is>
          <t>Existing</t>
        </is>
      </c>
    </row>
    <row r="353" ht="13.5" customHeight="1" s="1232">
      <c r="A353" s="1393" t="n">
        <v>43983</v>
      </c>
      <c r="B353" s="1260" t="inlineStr">
        <is>
          <t>Pick n Mix June</t>
        </is>
      </c>
      <c r="C353" s="1255" t="inlineStr">
        <is>
          <t>3. Pick n Mix Inc</t>
        </is>
      </c>
      <c r="D353" s="1260" t="inlineStr">
        <is>
          <t>Various</t>
        </is>
      </c>
      <c r="E353" s="1394" t="n">
        <v>233.75</v>
      </c>
      <c r="F353" s="1260" t="inlineStr">
        <is>
          <t>Pick N Mix Payments</t>
        </is>
      </c>
      <c r="G353" s="1260" t="inlineStr">
        <is>
          <t>Existing</t>
        </is>
      </c>
    </row>
    <row r="354" ht="13.5" customHeight="1" s="1232">
      <c r="A354" s="1393" t="n">
        <v>43983</v>
      </c>
      <c r="B354" s="1260" t="inlineStr">
        <is>
          <t>Mentoring June</t>
        </is>
      </c>
      <c r="C354" s="1255" t="inlineStr">
        <is>
          <t>5. Mentoring</t>
        </is>
      </c>
      <c r="D354" s="1255" t="inlineStr">
        <is>
          <t>Various</t>
        </is>
      </c>
      <c r="E354" s="1261" t="n">
        <v>60</v>
      </c>
      <c r="F354" s="1255" t="inlineStr">
        <is>
          <t>Mentoring Subs</t>
        </is>
      </c>
      <c r="G354" s="1255" t="inlineStr">
        <is>
          <t>Existing</t>
        </is>
      </c>
    </row>
    <row r="355" ht="13.5" customHeight="1" s="1232">
      <c r="A355" s="1393" t="n"/>
      <c r="B355" s="1260" t="n"/>
      <c r="E355" s="1261" t="n"/>
    </row>
    <row r="356" ht="13.5" customHeight="1" s="1232">
      <c r="A356" s="1393" t="n">
        <v>43981</v>
      </c>
      <c r="B356" s="1260" t="inlineStr">
        <is>
          <t>Judy Niner</t>
        </is>
      </c>
      <c r="C356" s="1255" t="inlineStr">
        <is>
          <t>6. 1-2-1</t>
        </is>
      </c>
      <c r="D356" s="1260" t="inlineStr">
        <is>
          <t>PayPal</t>
        </is>
      </c>
      <c r="E356" s="1394" t="n">
        <v>60</v>
      </c>
      <c r="F356" s="1260" t="inlineStr">
        <is>
          <t>1-2-1 online</t>
        </is>
      </c>
      <c r="G356" s="1260" t="inlineStr">
        <is>
          <t>Existing</t>
        </is>
      </c>
    </row>
    <row r="357" ht="13.5" customHeight="1" s="1232">
      <c r="A357" s="1393" t="n">
        <v>43980</v>
      </c>
      <c r="B357" s="1260" t="inlineStr">
        <is>
          <t>Sean Bruen</t>
        </is>
      </c>
      <c r="C357" s="1255" t="inlineStr">
        <is>
          <t>6. 1-2-1</t>
        </is>
      </c>
      <c r="D357" s="1260" t="inlineStr">
        <is>
          <t>PayPal</t>
        </is>
      </c>
      <c r="E357" s="1394" t="n">
        <v>90</v>
      </c>
      <c r="F357" s="1260" t="inlineStr">
        <is>
          <t>1-2-1 online</t>
        </is>
      </c>
      <c r="G357" s="1260" t="inlineStr">
        <is>
          <t>Existing</t>
        </is>
      </c>
    </row>
    <row r="358" ht="13.5" customHeight="1" s="1232">
      <c r="A358" s="1393" t="n">
        <v>43979</v>
      </c>
      <c r="B358" s="1260" t="inlineStr">
        <is>
          <t>John Grant</t>
        </is>
      </c>
      <c r="C358" s="1255" t="inlineStr">
        <is>
          <t>1. Courses/masterclasses</t>
        </is>
      </c>
      <c r="D358" s="1260" t="inlineStr">
        <is>
          <t>Stripe</t>
        </is>
      </c>
      <c r="E358" s="1394" t="n">
        <v>7.8</v>
      </c>
      <c r="F358" s="1260" t="inlineStr">
        <is>
          <t>Webinar</t>
        </is>
      </c>
      <c r="G358" s="1260" t="inlineStr">
        <is>
          <t>Existing</t>
        </is>
      </c>
    </row>
    <row r="359" ht="13.5" customHeight="1" s="1232">
      <c r="A359" s="1393" t="n">
        <v>43975</v>
      </c>
      <c r="B359" s="1260" t="inlineStr">
        <is>
          <t>Mark Pemberton</t>
        </is>
      </c>
      <c r="C359" s="1255" t="inlineStr">
        <is>
          <t>11. Other</t>
        </is>
      </c>
      <c r="D359" s="1260" t="inlineStr">
        <is>
          <t>Stripe</t>
        </is>
      </c>
      <c r="E359" s="1394" t="n">
        <v>25</v>
      </c>
      <c r="F359" s="1260" t="inlineStr">
        <is>
          <t>Sensor Clean</t>
        </is>
      </c>
      <c r="G359" s="1260" t="inlineStr">
        <is>
          <t>Google</t>
        </is>
      </c>
    </row>
    <row r="360" ht="13.5" customHeight="1" s="1232">
      <c r="A360" s="1393" t="n">
        <v>43976</v>
      </c>
      <c r="B360" s="1260" t="inlineStr">
        <is>
          <t>Sean Bruen</t>
        </is>
      </c>
      <c r="C360" s="1255" t="inlineStr">
        <is>
          <t>6. 1-2-1</t>
        </is>
      </c>
      <c r="D360" s="1260" t="inlineStr">
        <is>
          <t>PayPal</t>
        </is>
      </c>
      <c r="E360" s="1394" t="n">
        <v>50</v>
      </c>
      <c r="F360" s="1260" t="inlineStr">
        <is>
          <t>1-2-1 online</t>
        </is>
      </c>
      <c r="G360" s="1260" t="inlineStr">
        <is>
          <t>Google</t>
        </is>
      </c>
    </row>
    <row r="361" ht="13.5" customHeight="1" s="1232">
      <c r="A361" s="1393" t="n">
        <v>43975</v>
      </c>
      <c r="B361" s="1260" t="inlineStr">
        <is>
          <t>Sean Bruen</t>
        </is>
      </c>
      <c r="C361" s="1255" t="inlineStr">
        <is>
          <t>6. 1-2-1</t>
        </is>
      </c>
      <c r="D361" s="1260" t="inlineStr">
        <is>
          <t>Stripe</t>
        </is>
      </c>
      <c r="E361" s="1394" t="n">
        <v>35</v>
      </c>
      <c r="F361" s="1260" t="inlineStr">
        <is>
          <t>1-2-1 online</t>
        </is>
      </c>
      <c r="G361" s="1260" t="inlineStr">
        <is>
          <t>Google</t>
        </is>
      </c>
    </row>
    <row r="362" ht="13.5" customHeight="1" s="1232">
      <c r="A362" s="1393" t="n">
        <v>43975</v>
      </c>
      <c r="B362" s="1260" t="inlineStr">
        <is>
          <t xml:space="preserve">Graham Giblett </t>
        </is>
      </c>
      <c r="C362" s="1255" t="inlineStr">
        <is>
          <t>1. Courses/masterclasses</t>
        </is>
      </c>
      <c r="D362" s="1260" t="inlineStr">
        <is>
          <t>Stripe</t>
        </is>
      </c>
      <c r="E362" s="1394" t="n">
        <v>6.5</v>
      </c>
      <c r="F362" s="1260" t="inlineStr">
        <is>
          <t>Webinar</t>
        </is>
      </c>
      <c r="G362" s="1260" t="inlineStr">
        <is>
          <t>Existing</t>
        </is>
      </c>
    </row>
    <row r="363" ht="13.5" customHeight="1" s="1232">
      <c r="A363" s="1393" t="n">
        <v>43975</v>
      </c>
      <c r="B363" s="1260" t="inlineStr">
        <is>
          <t>Helen Sotheran</t>
        </is>
      </c>
      <c r="C363" s="1255" t="inlineStr">
        <is>
          <t>6. 1-2-1</t>
        </is>
      </c>
      <c r="D363" s="1260" t="inlineStr">
        <is>
          <t>Bank</t>
        </is>
      </c>
      <c r="E363" s="1394" t="n">
        <v>120</v>
      </c>
      <c r="F363" s="1260" t="inlineStr">
        <is>
          <t>Outdoor Practical</t>
        </is>
      </c>
      <c r="G363" s="1260" t="inlineStr">
        <is>
          <t>Existing</t>
        </is>
      </c>
    </row>
    <row r="364" ht="13.5" customHeight="1" s="1232">
      <c r="A364" s="1393" t="n">
        <v>43968</v>
      </c>
      <c r="B364" s="1260" t="inlineStr">
        <is>
          <t>Janet Roberts</t>
        </is>
      </c>
      <c r="C364" s="1255" t="inlineStr">
        <is>
          <t>1. Courses/masterclasses</t>
        </is>
      </c>
      <c r="D364" s="1260" t="inlineStr">
        <is>
          <t>Stripe</t>
        </is>
      </c>
      <c r="E364" s="1394" t="n">
        <v>7.5</v>
      </c>
      <c r="F364" s="1260" t="inlineStr">
        <is>
          <t>Webinar</t>
        </is>
      </c>
      <c r="G364" s="1260" t="inlineStr">
        <is>
          <t>Existing</t>
        </is>
      </c>
    </row>
    <row r="365" ht="13.5" customHeight="1" s="1232">
      <c r="A365" s="1393" t="n">
        <v>43969</v>
      </c>
      <c r="B365" s="1260" t="inlineStr">
        <is>
          <t>Alistair Willis</t>
        </is>
      </c>
      <c r="C365" s="1255" t="inlineStr">
        <is>
          <t>6. 1-2-1</t>
        </is>
      </c>
      <c r="D365" s="1260" t="inlineStr">
        <is>
          <t>PayPal</t>
        </is>
      </c>
      <c r="E365" s="1394" t="n">
        <v>35</v>
      </c>
      <c r="F365" s="1260" t="inlineStr">
        <is>
          <t>1-2-1 online</t>
        </is>
      </c>
      <c r="G365" s="1260" t="inlineStr">
        <is>
          <t>Existing</t>
        </is>
      </c>
    </row>
    <row r="366" ht="13.5" customHeight="1" s="1232">
      <c r="A366" s="1393" t="n">
        <v>43965</v>
      </c>
      <c r="B366" s="1260" t="inlineStr">
        <is>
          <t>Anne Watkinson</t>
        </is>
      </c>
      <c r="C366" s="1255" t="inlineStr">
        <is>
          <t>6. 1-2-1</t>
        </is>
      </c>
      <c r="D366" s="1260" t="inlineStr">
        <is>
          <t>Bank</t>
        </is>
      </c>
      <c r="E366" s="1394" t="n">
        <v>100</v>
      </c>
      <c r="F366" s="1260" t="inlineStr">
        <is>
          <t>1-2-1 online</t>
        </is>
      </c>
      <c r="G366" s="1260" t="inlineStr">
        <is>
          <t>Existing</t>
        </is>
      </c>
    </row>
    <row r="367" ht="13.5" customHeight="1" s="1232">
      <c r="A367" s="1393" t="n">
        <v>43961</v>
      </c>
      <c r="B367" s="1260" t="inlineStr">
        <is>
          <t>Helen Sotheran</t>
        </is>
      </c>
      <c r="C367" s="1255" t="inlineStr">
        <is>
          <t>1. Courses/masterclasses</t>
        </is>
      </c>
      <c r="D367" s="1260" t="inlineStr">
        <is>
          <t>PayPal</t>
        </is>
      </c>
      <c r="E367" s="1394" t="n">
        <v>7.5</v>
      </c>
      <c r="F367" s="1260" t="inlineStr">
        <is>
          <t>Webinar</t>
        </is>
      </c>
      <c r="G367" s="1260" t="inlineStr">
        <is>
          <t>Existing</t>
        </is>
      </c>
    </row>
    <row r="368" ht="13.5" customHeight="1" s="1232">
      <c r="A368" s="1393" t="n">
        <v>43965</v>
      </c>
      <c r="B368" s="1260" t="inlineStr">
        <is>
          <t>Brian Kerley</t>
        </is>
      </c>
      <c r="C368" s="1255" t="inlineStr">
        <is>
          <t>6. 1-2-1</t>
        </is>
      </c>
      <c r="D368" s="1260" t="inlineStr">
        <is>
          <t>Stripe</t>
        </is>
      </c>
      <c r="E368" s="1394" t="n">
        <v>35</v>
      </c>
      <c r="F368" s="1260" t="inlineStr">
        <is>
          <t>1-2-1 online</t>
        </is>
      </c>
      <c r="G368" s="1260" t="inlineStr">
        <is>
          <t>Existing</t>
        </is>
      </c>
    </row>
    <row r="369" ht="13.5" customHeight="1" s="1232">
      <c r="A369" s="1393" t="n">
        <v>43960</v>
      </c>
      <c r="B369" s="1260" t="inlineStr">
        <is>
          <t>Artfully Walls</t>
        </is>
      </c>
      <c r="C369" s="1255" t="inlineStr">
        <is>
          <t>9. Prints &amp; Royalties</t>
        </is>
      </c>
      <c r="D369" s="1260" t="inlineStr">
        <is>
          <t>PayPal</t>
        </is>
      </c>
      <c r="E369" s="1394" t="n">
        <v>109.81</v>
      </c>
      <c r="F369" s="1260" t="inlineStr">
        <is>
          <t>Print Sales</t>
        </is>
      </c>
      <c r="G369" s="1260" t="inlineStr">
        <is>
          <t>Existing</t>
        </is>
      </c>
    </row>
    <row r="370" ht="13.5" customHeight="1" s="1232">
      <c r="A370" s="1393" t="n">
        <v>43959</v>
      </c>
      <c r="B370" s="1260" t="inlineStr">
        <is>
          <t>Pixsy</t>
        </is>
      </c>
      <c r="C370" s="1255" t="inlineStr">
        <is>
          <t>9. Prints &amp; Royalties</t>
        </is>
      </c>
      <c r="D370" s="1260" t="inlineStr">
        <is>
          <t>PayPal</t>
        </is>
      </c>
      <c r="E370" s="1394" t="n">
        <v>183.3</v>
      </c>
      <c r="F370" s="1260" t="inlineStr">
        <is>
          <t>Pixsy Case Payout</t>
        </is>
      </c>
      <c r="G370" s="1260" t="inlineStr">
        <is>
          <t>Existing</t>
        </is>
      </c>
    </row>
    <row r="371" ht="13.5" customHeight="1" s="1232">
      <c r="A371" s="1393" t="n">
        <v>43958</v>
      </c>
      <c r="B371" s="1260" t="inlineStr">
        <is>
          <t>Brian Kerley</t>
        </is>
      </c>
      <c r="C371" s="1255" t="inlineStr">
        <is>
          <t>6. 1-2-1</t>
        </is>
      </c>
      <c r="D371" s="1260" t="inlineStr">
        <is>
          <t>Stripe</t>
        </is>
      </c>
      <c r="E371" s="1394" t="n">
        <v>25</v>
      </c>
      <c r="F371" s="1260" t="inlineStr">
        <is>
          <t>1-2-1 online</t>
        </is>
      </c>
      <c r="G371" s="1260" t="inlineStr">
        <is>
          <t>Existing</t>
        </is>
      </c>
    </row>
    <row r="372" ht="13.5" customHeight="1" s="1232">
      <c r="A372" s="1393" t="n">
        <v>43958</v>
      </c>
      <c r="B372" s="1260" t="inlineStr">
        <is>
          <t>John Grant</t>
        </is>
      </c>
      <c r="C372" s="1255" t="inlineStr">
        <is>
          <t>1. Courses/masterclasses</t>
        </is>
      </c>
      <c r="D372" s="1260" t="inlineStr">
        <is>
          <t>Stripe</t>
        </is>
      </c>
      <c r="E372" s="1394" t="n">
        <v>9</v>
      </c>
      <c r="F372" s="1260" t="inlineStr">
        <is>
          <t>Webinar</t>
        </is>
      </c>
      <c r="G372" s="1260" t="inlineStr">
        <is>
          <t>Existing</t>
        </is>
      </c>
    </row>
    <row r="373" ht="13.5" customHeight="1" s="1232">
      <c r="A373" s="1393" t="n">
        <v>43957</v>
      </c>
      <c r="B373" s="1260" t="inlineStr">
        <is>
          <t>Jennifer Box</t>
        </is>
      </c>
      <c r="C373" s="1255" t="inlineStr">
        <is>
          <t>1. Courses/masterclasses</t>
        </is>
      </c>
      <c r="D373" s="1260" t="inlineStr">
        <is>
          <t>PayPal</t>
        </is>
      </c>
      <c r="E373" s="1394" t="n">
        <v>7.5</v>
      </c>
      <c r="F373" s="1260" t="inlineStr">
        <is>
          <t>Webinar</t>
        </is>
      </c>
      <c r="G373" s="1260" t="inlineStr">
        <is>
          <t>Existing</t>
        </is>
      </c>
    </row>
    <row r="374" ht="13.5" customHeight="1" s="1232">
      <c r="A374" s="1393" t="n">
        <v>43956</v>
      </c>
      <c r="B374" s="1260" t="inlineStr">
        <is>
          <t>Justine Meaden</t>
        </is>
      </c>
      <c r="C374" s="1255" t="inlineStr">
        <is>
          <t>1. Courses/masterclasses</t>
        </is>
      </c>
      <c r="D374" s="1260" t="inlineStr">
        <is>
          <t>PayPal</t>
        </is>
      </c>
      <c r="E374" s="1394" t="n">
        <v>7.5</v>
      </c>
      <c r="F374" s="1260" t="inlineStr">
        <is>
          <t>Webinar</t>
        </is>
      </c>
      <c r="G374" s="1260" t="inlineStr">
        <is>
          <t>Existing</t>
        </is>
      </c>
    </row>
    <row r="375" ht="13.5" customHeight="1" s="1232">
      <c r="A375" s="1393" t="n">
        <v>43956</v>
      </c>
      <c r="B375" s="1260" t="inlineStr">
        <is>
          <t>Justine Meaden</t>
        </is>
      </c>
      <c r="C375" s="1255" t="inlineStr">
        <is>
          <t>1. Courses/masterclasses</t>
        </is>
      </c>
      <c r="D375" s="1260" t="inlineStr">
        <is>
          <t>PayPal</t>
        </is>
      </c>
      <c r="E375" s="1394" t="n">
        <v>6.5</v>
      </c>
      <c r="F375" s="1260" t="inlineStr">
        <is>
          <t>Webinar</t>
        </is>
      </c>
      <c r="G375" s="1260" t="inlineStr">
        <is>
          <t>Existing</t>
        </is>
      </c>
    </row>
    <row r="376" ht="13.5" customHeight="1" s="1232">
      <c r="A376" s="1393" t="n">
        <v>43955</v>
      </c>
      <c r="B376" s="1260" t="inlineStr">
        <is>
          <t>Anne Watkinson</t>
        </is>
      </c>
      <c r="C376" s="1255" t="inlineStr">
        <is>
          <t>1. Courses/masterclasses</t>
        </is>
      </c>
      <c r="D376" s="1249" t="inlineStr">
        <is>
          <t>Stripe</t>
        </is>
      </c>
      <c r="E376" s="1394" t="n">
        <v>5</v>
      </c>
      <c r="F376" s="1260" t="inlineStr">
        <is>
          <t>Webinar</t>
        </is>
      </c>
      <c r="G376" s="1260" t="inlineStr">
        <is>
          <t>Existing</t>
        </is>
      </c>
    </row>
    <row r="377" ht="13.5" customHeight="1" s="1232">
      <c r="A377" s="1393" t="n">
        <v>43955</v>
      </c>
      <c r="B377" s="1260" t="inlineStr">
        <is>
          <t>Anne Watkinson</t>
        </is>
      </c>
      <c r="C377" s="1255" t="inlineStr">
        <is>
          <t>1. Courses/masterclasses</t>
        </is>
      </c>
      <c r="D377" s="1249" t="inlineStr">
        <is>
          <t>Stripe</t>
        </is>
      </c>
      <c r="E377" s="1394" t="n">
        <v>6.5</v>
      </c>
      <c r="F377" s="1260" t="inlineStr">
        <is>
          <t>Webinar</t>
        </is>
      </c>
      <c r="G377" s="1260" t="inlineStr">
        <is>
          <t>Existing</t>
        </is>
      </c>
    </row>
    <row r="378" ht="13.5" customHeight="1" s="1232">
      <c r="A378" s="1393" t="n">
        <v>43955</v>
      </c>
      <c r="B378" s="1260" t="inlineStr">
        <is>
          <t>Anne Watkinson</t>
        </is>
      </c>
      <c r="C378" s="1255" t="inlineStr">
        <is>
          <t>1. Courses/masterclasses</t>
        </is>
      </c>
      <c r="D378" s="1249" t="inlineStr">
        <is>
          <t>Stripe</t>
        </is>
      </c>
      <c r="E378" s="1394" t="n">
        <v>7.5</v>
      </c>
      <c r="F378" s="1260" t="inlineStr">
        <is>
          <t>Webinar</t>
        </is>
      </c>
      <c r="G378" s="1260" t="inlineStr">
        <is>
          <t>Existing</t>
        </is>
      </c>
    </row>
    <row r="379" ht="13.5" customHeight="1" s="1232">
      <c r="A379" s="1393" t="n">
        <v>43955</v>
      </c>
      <c r="B379" s="1260" t="inlineStr">
        <is>
          <t>Anne Watkinson</t>
        </is>
      </c>
      <c r="C379" s="1255" t="inlineStr">
        <is>
          <t>1. Courses/masterclasses</t>
        </is>
      </c>
      <c r="D379" s="1249" t="inlineStr">
        <is>
          <t>Stripe</t>
        </is>
      </c>
      <c r="E379" s="1394" t="n">
        <v>6</v>
      </c>
      <c r="F379" s="1260" t="inlineStr">
        <is>
          <t>Webinar</t>
        </is>
      </c>
      <c r="G379" s="1260" t="inlineStr">
        <is>
          <t>Existing</t>
        </is>
      </c>
    </row>
    <row r="380" ht="13.5" customHeight="1" s="1232">
      <c r="A380" s="1393" t="n">
        <v>43955</v>
      </c>
      <c r="B380" s="1260" t="inlineStr">
        <is>
          <t>Anne Watkinson</t>
        </is>
      </c>
      <c r="C380" s="1255" t="inlineStr">
        <is>
          <t>6. 1-2-1</t>
        </is>
      </c>
      <c r="D380" s="1260" t="inlineStr">
        <is>
          <t>Stripe</t>
        </is>
      </c>
      <c r="E380" s="1394" t="n">
        <v>25</v>
      </c>
      <c r="F380" s="1260" t="inlineStr">
        <is>
          <t>1-2-1 online</t>
        </is>
      </c>
      <c r="G380" s="1260" t="inlineStr">
        <is>
          <t>Existing</t>
        </is>
      </c>
    </row>
    <row r="381" ht="13.5" customHeight="1" s="1232">
      <c r="A381" s="1393" t="n">
        <v>43954</v>
      </c>
      <c r="B381" s="1260" t="inlineStr">
        <is>
          <t>Judy Niner</t>
        </is>
      </c>
      <c r="C381" s="1255" t="inlineStr">
        <is>
          <t>1. Courses/masterclasses</t>
        </is>
      </c>
      <c r="D381" s="1260" t="inlineStr">
        <is>
          <t>PayPal</t>
        </is>
      </c>
      <c r="E381" s="1394" t="n">
        <v>6.5</v>
      </c>
      <c r="F381" s="1260" t="inlineStr">
        <is>
          <t>Webinar</t>
        </is>
      </c>
      <c r="G381" s="1260" t="inlineStr">
        <is>
          <t>Existing</t>
        </is>
      </c>
    </row>
    <row r="382" ht="13.5" customHeight="1" s="1232">
      <c r="A382" s="1393" t="n">
        <v>43954</v>
      </c>
      <c r="B382" s="1260" t="inlineStr">
        <is>
          <t>Judy Niner</t>
        </is>
      </c>
      <c r="C382" s="1255" t="inlineStr">
        <is>
          <t>1. Courses/masterclasses</t>
        </is>
      </c>
      <c r="D382" s="1260" t="inlineStr">
        <is>
          <t>PayPal</t>
        </is>
      </c>
      <c r="E382" s="1394" t="n">
        <v>7.5</v>
      </c>
      <c r="F382" s="1260" t="inlineStr">
        <is>
          <t>Webinar</t>
        </is>
      </c>
      <c r="G382" s="1260" t="inlineStr">
        <is>
          <t>Existing</t>
        </is>
      </c>
    </row>
    <row r="383" ht="13.5" customHeight="1" s="1232">
      <c r="A383" s="1393" t="n">
        <v>43954</v>
      </c>
      <c r="B383" s="1260" t="inlineStr">
        <is>
          <t>Judy Niner</t>
        </is>
      </c>
      <c r="C383" s="1255" t="inlineStr">
        <is>
          <t>1. Courses/masterclasses</t>
        </is>
      </c>
      <c r="D383" s="1260" t="inlineStr">
        <is>
          <t>PayPal</t>
        </is>
      </c>
      <c r="E383" s="1394" t="n">
        <v>5</v>
      </c>
      <c r="F383" s="1260" t="inlineStr">
        <is>
          <t>Webinar</t>
        </is>
      </c>
      <c r="G383" s="1260" t="inlineStr">
        <is>
          <t>Existing</t>
        </is>
      </c>
    </row>
    <row r="384" ht="13.5" customHeight="1" s="1232">
      <c r="A384" s="1393" t="n">
        <v>43953</v>
      </c>
      <c r="B384" s="1260" t="inlineStr">
        <is>
          <t>Jacki Rosin</t>
        </is>
      </c>
      <c r="C384" s="1255" t="inlineStr">
        <is>
          <t>1. Courses/masterclasses</t>
        </is>
      </c>
      <c r="D384" s="1260" t="inlineStr">
        <is>
          <t>Stripe</t>
        </is>
      </c>
      <c r="E384" s="1394" t="n">
        <v>6</v>
      </c>
      <c r="F384" s="1260" t="inlineStr">
        <is>
          <t>Webinar</t>
        </is>
      </c>
      <c r="G384" s="1260" t="inlineStr">
        <is>
          <t>Existing</t>
        </is>
      </c>
    </row>
    <row r="385" ht="13.5" customHeight="1" s="1232">
      <c r="A385" s="1393" t="n">
        <v>43953</v>
      </c>
      <c r="B385" s="1260" t="inlineStr">
        <is>
          <t>Jacki Rosin</t>
        </is>
      </c>
      <c r="C385" s="1255" t="inlineStr">
        <is>
          <t>1. Courses/masterclasses</t>
        </is>
      </c>
      <c r="D385" s="1260" t="inlineStr">
        <is>
          <t>Stripe</t>
        </is>
      </c>
      <c r="E385" s="1394" t="n">
        <v>7.5</v>
      </c>
      <c r="F385" s="1260" t="inlineStr">
        <is>
          <t>Webinar</t>
        </is>
      </c>
      <c r="G385" s="1260" t="inlineStr">
        <is>
          <t>Existing</t>
        </is>
      </c>
    </row>
    <row r="386" ht="13.5" customHeight="1" s="1232">
      <c r="A386" s="1393" t="n">
        <v>43953</v>
      </c>
      <c r="B386" s="1260" t="inlineStr">
        <is>
          <t>Jo Heath</t>
        </is>
      </c>
      <c r="C386" s="1255" t="inlineStr">
        <is>
          <t>1. Courses/masterclasses</t>
        </is>
      </c>
      <c r="D386" s="1260" t="inlineStr">
        <is>
          <t>Stripe</t>
        </is>
      </c>
      <c r="E386" s="1394" t="n">
        <v>7.5</v>
      </c>
      <c r="F386" s="1260" t="inlineStr">
        <is>
          <t>Webinar</t>
        </is>
      </c>
      <c r="G386" s="1260" t="inlineStr">
        <is>
          <t>Existing</t>
        </is>
      </c>
    </row>
    <row r="387" ht="13.5" customHeight="1" s="1232">
      <c r="A387" s="1393" t="n">
        <v>43953</v>
      </c>
      <c r="B387" s="1260" t="inlineStr">
        <is>
          <t>Con McHugh</t>
        </is>
      </c>
      <c r="C387" s="1255" t="inlineStr">
        <is>
          <t>1. Courses/masterclasses</t>
        </is>
      </c>
      <c r="D387" s="1260" t="inlineStr">
        <is>
          <t>PayPal</t>
        </is>
      </c>
      <c r="E387" s="1394" t="n">
        <v>5</v>
      </c>
      <c r="F387" s="1260" t="inlineStr">
        <is>
          <t>Webinar</t>
        </is>
      </c>
      <c r="G387" s="1260" t="inlineStr">
        <is>
          <t>Existing</t>
        </is>
      </c>
    </row>
    <row r="388" ht="13.5" customHeight="1" s="1232">
      <c r="A388" s="1393" t="n">
        <v>43953</v>
      </c>
      <c r="B388" s="1260" t="inlineStr">
        <is>
          <t>Con McHugh</t>
        </is>
      </c>
      <c r="C388" s="1255" t="inlineStr">
        <is>
          <t>6. 1-2-1</t>
        </is>
      </c>
      <c r="D388" s="1260" t="inlineStr">
        <is>
          <t>PayPal</t>
        </is>
      </c>
      <c r="E388" s="1394" t="n">
        <v>25</v>
      </c>
      <c r="F388" s="1260" t="inlineStr">
        <is>
          <t>1-2-1 online</t>
        </is>
      </c>
      <c r="G388" s="1260" t="inlineStr">
        <is>
          <t>Existing</t>
        </is>
      </c>
    </row>
    <row r="389" ht="13.5" customHeight="1" s="1232">
      <c r="A389" s="1393" t="n">
        <v>43952</v>
      </c>
      <c r="B389" s="1260" t="inlineStr">
        <is>
          <t>Charlotte Isaac</t>
        </is>
      </c>
      <c r="C389" s="1255" t="inlineStr">
        <is>
          <t>7. Gift Vouchers Inc</t>
        </is>
      </c>
      <c r="D389" s="1260" t="inlineStr">
        <is>
          <t>Stripe</t>
        </is>
      </c>
      <c r="E389" s="1394" t="n">
        <v>125</v>
      </c>
      <c r="F389" s="1260" t="inlineStr">
        <is>
          <t>Digital Gift Card</t>
        </is>
      </c>
      <c r="G389" s="1260" t="inlineStr">
        <is>
          <t>Google</t>
        </is>
      </c>
    </row>
    <row r="390" ht="13.5" customHeight="1" s="1232">
      <c r="A390" s="1393" t="n">
        <v>43952</v>
      </c>
      <c r="B390" s="1260" t="inlineStr">
        <is>
          <t>Pick n Mix May</t>
        </is>
      </c>
      <c r="C390" s="1255" t="inlineStr">
        <is>
          <t>3. Pick n Mix Inc</t>
        </is>
      </c>
      <c r="D390" s="1260" t="inlineStr">
        <is>
          <t>Various</t>
        </is>
      </c>
      <c r="E390" s="1394" t="n">
        <v>533.75</v>
      </c>
      <c r="F390" s="1260" t="inlineStr">
        <is>
          <t>Pick N Mix Payments</t>
        </is>
      </c>
      <c r="G390" s="1260" t="inlineStr">
        <is>
          <t>Existing</t>
        </is>
      </c>
    </row>
    <row r="391" ht="13.5" customHeight="1" s="1232">
      <c r="A391" s="1393" t="n">
        <v>43952</v>
      </c>
      <c r="B391" s="1260" t="inlineStr">
        <is>
          <t>Mentoring May</t>
        </is>
      </c>
      <c r="C391" s="1255" t="inlineStr">
        <is>
          <t>5. Mentoring</t>
        </is>
      </c>
      <c r="D391" s="1255" t="inlineStr">
        <is>
          <t>Various</t>
        </is>
      </c>
      <c r="E391" s="1261" t="n">
        <v>80</v>
      </c>
      <c r="F391" s="1255" t="inlineStr">
        <is>
          <t>Mentoring Subs</t>
        </is>
      </c>
      <c r="G391" s="1255" t="inlineStr">
        <is>
          <t>Existing</t>
        </is>
      </c>
    </row>
    <row r="392" ht="13.5" customHeight="1" s="1232">
      <c r="A392" s="1393" t="n"/>
      <c r="B392" s="1260" t="n"/>
      <c r="D392" s="1260" t="n"/>
      <c r="E392" s="1394" t="n"/>
      <c r="F392" s="1260" t="n"/>
      <c r="G392" s="1260" t="n"/>
    </row>
    <row r="393" ht="13.5" customHeight="1" s="1232">
      <c r="A393" s="1393" t="n">
        <v>43951</v>
      </c>
      <c r="B393" s="1260" t="inlineStr">
        <is>
          <t>Janice Jordan</t>
        </is>
      </c>
      <c r="C393" s="1255" t="inlineStr">
        <is>
          <t>1. Courses/masterclasses</t>
        </is>
      </c>
      <c r="D393" s="1260" t="inlineStr">
        <is>
          <t>Stripe</t>
        </is>
      </c>
      <c r="E393" s="1394" t="n">
        <v>6.5</v>
      </c>
      <c r="F393" s="1260" t="inlineStr">
        <is>
          <t>Webinar</t>
        </is>
      </c>
      <c r="G393" s="1260" t="inlineStr">
        <is>
          <t>Existing</t>
        </is>
      </c>
    </row>
    <row r="394" ht="13.5" customHeight="1" s="1232">
      <c r="A394" s="1393" t="n">
        <v>43951</v>
      </c>
      <c r="B394" s="1260" t="inlineStr">
        <is>
          <t>Janice Jordan</t>
        </is>
      </c>
      <c r="C394" s="1255" t="inlineStr">
        <is>
          <t>1. Courses/masterclasses</t>
        </is>
      </c>
      <c r="D394" s="1260" t="inlineStr">
        <is>
          <t>Stripe</t>
        </is>
      </c>
      <c r="E394" s="1394" t="n">
        <v>5</v>
      </c>
      <c r="F394" s="1260" t="inlineStr">
        <is>
          <t>Webinar</t>
        </is>
      </c>
      <c r="G394" s="1260" t="inlineStr">
        <is>
          <t>Existing</t>
        </is>
      </c>
    </row>
    <row r="395" ht="13.5" customHeight="1" s="1232">
      <c r="A395" s="1393" t="n">
        <v>43951</v>
      </c>
      <c r="B395" s="1260" t="inlineStr">
        <is>
          <t>Jacki Rosin</t>
        </is>
      </c>
      <c r="C395" s="1255" t="inlineStr">
        <is>
          <t>1. Courses/masterclasses</t>
        </is>
      </c>
      <c r="D395" s="1260" t="inlineStr">
        <is>
          <t>Stripe</t>
        </is>
      </c>
      <c r="E395" s="1394" t="n">
        <v>6</v>
      </c>
      <c r="F395" s="1260" t="inlineStr">
        <is>
          <t>Webinar</t>
        </is>
      </c>
      <c r="G395" s="1260" t="inlineStr">
        <is>
          <t>Existing</t>
        </is>
      </c>
    </row>
    <row r="396" ht="13.5" customHeight="1" s="1232">
      <c r="A396" s="1393" t="n">
        <v>43949</v>
      </c>
      <c r="B396" s="1260" t="inlineStr">
        <is>
          <t>Brian Kerley</t>
        </is>
      </c>
      <c r="C396" s="1255" t="inlineStr">
        <is>
          <t>6. 1-2-1</t>
        </is>
      </c>
      <c r="D396" s="1260" t="inlineStr">
        <is>
          <t>Stripe</t>
        </is>
      </c>
      <c r="E396" s="1394" t="n">
        <v>25</v>
      </c>
      <c r="F396" s="1260" t="inlineStr">
        <is>
          <t>1-2-1 online</t>
        </is>
      </c>
      <c r="G396" s="1260" t="inlineStr">
        <is>
          <t>Google</t>
        </is>
      </c>
    </row>
    <row r="397" ht="13.5" customHeight="1" s="1232">
      <c r="A397" s="1393" t="n">
        <v>43949</v>
      </c>
      <c r="B397" s="1260" t="inlineStr">
        <is>
          <t>Jacqueline Jenkin</t>
        </is>
      </c>
      <c r="C397" s="1255" t="inlineStr">
        <is>
          <t>11. Other</t>
        </is>
      </c>
      <c r="D397" s="1260" t="inlineStr">
        <is>
          <t>Stripe</t>
        </is>
      </c>
      <c r="E397" s="1394" t="n">
        <v>2.1</v>
      </c>
      <c r="F397" s="1260" t="inlineStr">
        <is>
          <t>Pocket Guides</t>
        </is>
      </c>
      <c r="G397" s="1260" t="inlineStr">
        <is>
          <t>Google</t>
        </is>
      </c>
    </row>
    <row r="398" ht="13.5" customHeight="1" s="1232">
      <c r="A398" s="1393" t="n">
        <v>43948</v>
      </c>
      <c r="B398" s="1260" t="inlineStr">
        <is>
          <t>Con McHugh</t>
        </is>
      </c>
      <c r="C398" s="1255" t="inlineStr">
        <is>
          <t>1. Courses/masterclasses</t>
        </is>
      </c>
      <c r="D398" s="1260" t="inlineStr">
        <is>
          <t>PayPal</t>
        </is>
      </c>
      <c r="E398" s="1394" t="n">
        <v>5</v>
      </c>
      <c r="F398" s="1260" t="inlineStr">
        <is>
          <t>Webinar</t>
        </is>
      </c>
      <c r="G398" s="1260" t="inlineStr">
        <is>
          <t>Existing</t>
        </is>
      </c>
    </row>
    <row r="399" ht="13.5" customHeight="1" s="1232">
      <c r="A399" s="1393" t="n">
        <v>43943</v>
      </c>
      <c r="B399" s="1260" t="inlineStr">
        <is>
          <t>Joyce James</t>
        </is>
      </c>
      <c r="C399" s="1255" t="inlineStr">
        <is>
          <t>1. Courses/masterclasses</t>
        </is>
      </c>
      <c r="D399" s="1260" t="inlineStr">
        <is>
          <t>PayPal</t>
        </is>
      </c>
      <c r="E399" s="1394" t="n">
        <v>5</v>
      </c>
      <c r="F399" s="1260" t="inlineStr">
        <is>
          <t>Webinar</t>
        </is>
      </c>
      <c r="G399" s="1260" t="inlineStr">
        <is>
          <t>Existing</t>
        </is>
      </c>
    </row>
    <row r="400" ht="13.5" customHeight="1" s="1232">
      <c r="A400" s="1393" t="n">
        <v>43943</v>
      </c>
      <c r="B400" s="1260" t="inlineStr">
        <is>
          <t>Joyce James</t>
        </is>
      </c>
      <c r="C400" s="1255" t="inlineStr">
        <is>
          <t>1. Courses/masterclasses</t>
        </is>
      </c>
      <c r="D400" s="1260" t="inlineStr">
        <is>
          <t>PayPal</t>
        </is>
      </c>
      <c r="E400" s="1394" t="n">
        <v>5</v>
      </c>
      <c r="F400" s="1260" t="inlineStr">
        <is>
          <t>Webinar</t>
        </is>
      </c>
      <c r="G400" s="1260" t="inlineStr">
        <is>
          <t>Existing</t>
        </is>
      </c>
    </row>
    <row r="401" ht="13.5" customHeight="1" s="1232">
      <c r="A401" s="1393" t="n">
        <v>43942</v>
      </c>
      <c r="B401" s="1260" t="inlineStr">
        <is>
          <t>Chris Johnson</t>
        </is>
      </c>
      <c r="C401" s="1255" t="inlineStr">
        <is>
          <t>1. Courses/masterclasses</t>
        </is>
      </c>
      <c r="D401" s="1260" t="inlineStr">
        <is>
          <t>PayPal</t>
        </is>
      </c>
      <c r="E401" s="1394" t="n">
        <v>5</v>
      </c>
      <c r="F401" s="1260" t="inlineStr">
        <is>
          <t>Webinar</t>
        </is>
      </c>
      <c r="G401" s="1260" t="inlineStr">
        <is>
          <t>Existing</t>
        </is>
      </c>
    </row>
    <row r="402" ht="13.5" customHeight="1" s="1232">
      <c r="A402" s="1393" t="n">
        <v>43942</v>
      </c>
      <c r="B402" s="1260" t="inlineStr">
        <is>
          <t xml:space="preserve">Georgina Hughes </t>
        </is>
      </c>
      <c r="C402" s="1255" t="inlineStr">
        <is>
          <t>1. Courses/masterclasses</t>
        </is>
      </c>
      <c r="D402" s="1260" t="inlineStr">
        <is>
          <t>PayPal</t>
        </is>
      </c>
      <c r="E402" s="1394" t="n">
        <v>5</v>
      </c>
      <c r="F402" s="1260" t="inlineStr">
        <is>
          <t>Webinar</t>
        </is>
      </c>
      <c r="G402" s="1260" t="inlineStr">
        <is>
          <t>Existing</t>
        </is>
      </c>
    </row>
    <row r="403" ht="13.5" customHeight="1" s="1232">
      <c r="A403" s="1393" t="n">
        <v>43941</v>
      </c>
      <c r="B403" s="1260" t="inlineStr">
        <is>
          <t>Jacki Rosin</t>
        </is>
      </c>
      <c r="C403" s="1255" t="inlineStr">
        <is>
          <t>1. Courses/masterclasses</t>
        </is>
      </c>
      <c r="D403" s="1260" t="inlineStr">
        <is>
          <t>Stripe</t>
        </is>
      </c>
      <c r="E403" s="1394" t="n">
        <v>5</v>
      </c>
      <c r="F403" s="1260" t="inlineStr">
        <is>
          <t>Webinar</t>
        </is>
      </c>
      <c r="G403" s="1260" t="inlineStr">
        <is>
          <t>Existing</t>
        </is>
      </c>
    </row>
    <row r="404" ht="13.5" customHeight="1" s="1232">
      <c r="A404" s="1393" t="n">
        <v>43941</v>
      </c>
      <c r="B404" s="1260" t="inlineStr">
        <is>
          <t>Caroline Key</t>
        </is>
      </c>
      <c r="C404" s="1255" t="inlineStr">
        <is>
          <t>5. Mentoring</t>
        </is>
      </c>
      <c r="D404" s="1260" t="inlineStr">
        <is>
          <t>Stripe</t>
        </is>
      </c>
      <c r="E404" s="1394" t="n">
        <v>20</v>
      </c>
      <c r="F404" s="1260" t="inlineStr">
        <is>
          <t>Monthly Mentoring</t>
        </is>
      </c>
      <c r="G404" s="1260" t="inlineStr">
        <is>
          <t>Existing</t>
        </is>
      </c>
    </row>
    <row r="405" ht="13.5" customHeight="1" s="1232">
      <c r="A405" s="1393" t="n">
        <v>43940</v>
      </c>
      <c r="B405" s="1260" t="inlineStr">
        <is>
          <t>John Grant</t>
        </is>
      </c>
      <c r="C405" s="1255" t="inlineStr">
        <is>
          <t>1. Courses/masterclasses</t>
        </is>
      </c>
      <c r="D405" s="1260" t="inlineStr">
        <is>
          <t>Stripe</t>
        </is>
      </c>
      <c r="E405" s="1394" t="n">
        <v>6</v>
      </c>
      <c r="F405" s="1260" t="inlineStr">
        <is>
          <t>Webinar</t>
        </is>
      </c>
      <c r="G405" s="1260" t="inlineStr">
        <is>
          <t>Existing</t>
        </is>
      </c>
    </row>
    <row r="406" ht="13.5" customHeight="1" s="1232">
      <c r="A406" s="1393" t="n">
        <v>43940</v>
      </c>
      <c r="B406" s="1260" t="inlineStr">
        <is>
          <t>Christopher Burnard</t>
        </is>
      </c>
      <c r="C406" s="1255" t="inlineStr">
        <is>
          <t>6. 1-2-1</t>
        </is>
      </c>
      <c r="D406" s="1260" t="inlineStr">
        <is>
          <t>Stripe</t>
        </is>
      </c>
      <c r="E406" s="1394" t="n">
        <v>25</v>
      </c>
      <c r="F406" s="1260" t="inlineStr">
        <is>
          <t>1-2-1 online</t>
        </is>
      </c>
      <c r="G406" s="1260" t="inlineStr">
        <is>
          <t>Existing</t>
        </is>
      </c>
    </row>
    <row r="407" ht="13.5" customHeight="1" s="1232">
      <c r="A407" s="1393" t="n">
        <v>43940</v>
      </c>
      <c r="B407" s="1260" t="inlineStr">
        <is>
          <t>Christopher Burnard</t>
        </is>
      </c>
      <c r="C407" s="1255" t="inlineStr">
        <is>
          <t>6. 1-2-1</t>
        </is>
      </c>
      <c r="D407" s="1260" t="inlineStr">
        <is>
          <t>Stripe</t>
        </is>
      </c>
      <c r="E407" s="1394" t="n">
        <v>25</v>
      </c>
      <c r="F407" s="1260" t="inlineStr">
        <is>
          <t>1-2-1 online</t>
        </is>
      </c>
      <c r="G407" s="1260" t="inlineStr">
        <is>
          <t>Existing</t>
        </is>
      </c>
    </row>
    <row r="408" ht="13.5" customHeight="1" s="1232">
      <c r="A408" s="1393" t="n">
        <v>43940</v>
      </c>
      <c r="B408" s="1260" t="inlineStr">
        <is>
          <t>Christopher Burnard</t>
        </is>
      </c>
      <c r="C408" s="1255" t="inlineStr">
        <is>
          <t>6. 1-2-1</t>
        </is>
      </c>
      <c r="D408" s="1260" t="inlineStr">
        <is>
          <t>Stripe</t>
        </is>
      </c>
      <c r="E408" s="1394" t="n">
        <v>50</v>
      </c>
      <c r="F408" s="1260" t="inlineStr">
        <is>
          <t>1-2-1 online</t>
        </is>
      </c>
      <c r="G408" s="1260" t="inlineStr">
        <is>
          <t>Existing</t>
        </is>
      </c>
    </row>
    <row r="409" ht="13.5" customHeight="1" s="1232">
      <c r="A409" s="1393" t="n">
        <v>43939</v>
      </c>
      <c r="B409" s="1260" t="inlineStr">
        <is>
          <t>Stephen Fitchett</t>
        </is>
      </c>
      <c r="C409" s="1255" t="inlineStr">
        <is>
          <t>6. 1-2-1</t>
        </is>
      </c>
      <c r="D409" s="1260" t="inlineStr">
        <is>
          <t>PayPal</t>
        </is>
      </c>
      <c r="E409" s="1394" t="n">
        <v>50</v>
      </c>
      <c r="F409" s="1260" t="inlineStr">
        <is>
          <t>1-2-1 online</t>
        </is>
      </c>
      <c r="G409" s="1260" t="inlineStr">
        <is>
          <t>Existing</t>
        </is>
      </c>
    </row>
    <row r="410" ht="13.5" customHeight="1" s="1232">
      <c r="A410" s="1393" t="n">
        <v>43939</v>
      </c>
      <c r="B410" s="1260" t="inlineStr">
        <is>
          <t>Stephen Fitchett</t>
        </is>
      </c>
      <c r="C410" s="1255" t="inlineStr">
        <is>
          <t>1. Courses/masterclasses</t>
        </is>
      </c>
      <c r="D410" s="1260" t="inlineStr">
        <is>
          <t>PayPal</t>
        </is>
      </c>
      <c r="E410" s="1394" t="n">
        <v>10</v>
      </c>
      <c r="F410" s="1260" t="inlineStr">
        <is>
          <t>Webinar</t>
        </is>
      </c>
      <c r="G410" s="1260" t="inlineStr">
        <is>
          <t>Existing</t>
        </is>
      </c>
    </row>
    <row r="411" ht="13.5" customHeight="1" s="1232">
      <c r="A411" s="1393" t="n">
        <v>43938</v>
      </c>
      <c r="B411" s="1260" t="inlineStr">
        <is>
          <t xml:space="preserve">Ina Wilkening </t>
        </is>
      </c>
      <c r="C411" s="1255" t="inlineStr">
        <is>
          <t>1. Courses/masterclasses</t>
        </is>
      </c>
      <c r="D411" s="1260" t="inlineStr">
        <is>
          <t>PayPal</t>
        </is>
      </c>
      <c r="E411" s="1394" t="n">
        <v>10</v>
      </c>
      <c r="F411" s="1260" t="inlineStr">
        <is>
          <t>Webinar</t>
        </is>
      </c>
      <c r="G411" s="1260" t="inlineStr">
        <is>
          <t>Existing</t>
        </is>
      </c>
    </row>
    <row r="412" ht="13.5" customHeight="1" s="1232">
      <c r="A412" s="1393" t="n">
        <v>43938</v>
      </c>
      <c r="B412" s="1260" t="inlineStr">
        <is>
          <t>Con McHugh</t>
        </is>
      </c>
      <c r="C412" s="1255" t="inlineStr">
        <is>
          <t>1. Courses/masterclasses</t>
        </is>
      </c>
      <c r="D412" s="1260" t="inlineStr">
        <is>
          <t>PayPal</t>
        </is>
      </c>
      <c r="E412" s="1394" t="n">
        <v>10</v>
      </c>
      <c r="F412" s="1260" t="inlineStr">
        <is>
          <t>Webinar</t>
        </is>
      </c>
      <c r="G412" s="1260" t="inlineStr">
        <is>
          <t>Existing</t>
        </is>
      </c>
    </row>
    <row r="413" ht="13.5" customHeight="1" s="1232">
      <c r="A413" s="1393" t="n">
        <v>43938</v>
      </c>
      <c r="B413" s="1260" t="inlineStr">
        <is>
          <t>Con McHugh</t>
        </is>
      </c>
      <c r="C413" s="1255" t="inlineStr">
        <is>
          <t>1. Courses/masterclasses</t>
        </is>
      </c>
      <c r="D413" s="1260" t="inlineStr">
        <is>
          <t>PayPal</t>
        </is>
      </c>
      <c r="E413" s="1394" t="n">
        <v>5</v>
      </c>
      <c r="F413" s="1260" t="inlineStr">
        <is>
          <t>Webinar</t>
        </is>
      </c>
      <c r="G413" s="1260" t="inlineStr">
        <is>
          <t>Existing</t>
        </is>
      </c>
    </row>
    <row r="414" ht="13.5" customHeight="1" s="1232">
      <c r="A414" s="1393" t="n">
        <v>43937</v>
      </c>
      <c r="B414" s="1260" t="inlineStr">
        <is>
          <t>Stephen Fitchett</t>
        </is>
      </c>
      <c r="C414" s="1255" t="inlineStr">
        <is>
          <t>1. Courses/masterclasses</t>
        </is>
      </c>
      <c r="D414" s="1260" t="inlineStr">
        <is>
          <t>PayPal</t>
        </is>
      </c>
      <c r="E414" s="1394" t="n">
        <v>5</v>
      </c>
      <c r="F414" s="1260" t="inlineStr">
        <is>
          <t>Webinar</t>
        </is>
      </c>
      <c r="G414" s="1260" t="inlineStr">
        <is>
          <t>Existing</t>
        </is>
      </c>
    </row>
    <row r="415" ht="13.5" customHeight="1" s="1232">
      <c r="A415" s="1393" t="n">
        <v>43937</v>
      </c>
      <c r="B415" s="1260" t="inlineStr">
        <is>
          <t>Myhomeware</t>
        </is>
      </c>
      <c r="C415" s="1255" t="inlineStr">
        <is>
          <t>6. 1-2-1</t>
        </is>
      </c>
      <c r="D415" s="1260" t="inlineStr">
        <is>
          <t>Bank</t>
        </is>
      </c>
      <c r="E415" s="1394" t="n">
        <v>600</v>
      </c>
      <c r="F415" s="1260" t="inlineStr">
        <is>
          <t>Tuition for products</t>
        </is>
      </c>
      <c r="G415" s="1260" t="inlineStr">
        <is>
          <t>Google</t>
        </is>
      </c>
    </row>
    <row r="416" ht="13.5" customHeight="1" s="1232">
      <c r="A416" s="1393" t="n">
        <v>43936</v>
      </c>
      <c r="B416" s="1260" t="inlineStr">
        <is>
          <t>Helen Finch</t>
        </is>
      </c>
      <c r="C416" s="1255" t="inlineStr">
        <is>
          <t>1. Courses/masterclasses</t>
        </is>
      </c>
      <c r="D416" s="1260" t="inlineStr">
        <is>
          <t>PayPal</t>
        </is>
      </c>
      <c r="E416" s="1394" t="n">
        <v>5</v>
      </c>
      <c r="F416" s="1260" t="inlineStr">
        <is>
          <t>Webinar</t>
        </is>
      </c>
      <c r="G416" s="1260" t="inlineStr">
        <is>
          <t>Existing</t>
        </is>
      </c>
    </row>
    <row r="417" ht="13.5" customHeight="1" s="1232">
      <c r="A417" s="1393" t="n">
        <v>43936</v>
      </c>
      <c r="B417" s="1260" t="inlineStr">
        <is>
          <t>Huw Jones</t>
        </is>
      </c>
      <c r="C417" s="1255" t="inlineStr">
        <is>
          <t>1. Courses/masterclasses</t>
        </is>
      </c>
      <c r="D417" s="1260" t="inlineStr">
        <is>
          <t>Stripe</t>
        </is>
      </c>
      <c r="E417" s="1394" t="n">
        <v>5</v>
      </c>
      <c r="F417" s="1260" t="inlineStr">
        <is>
          <t>Webinar</t>
        </is>
      </c>
      <c r="G417" s="1260" t="inlineStr">
        <is>
          <t>Existing</t>
        </is>
      </c>
    </row>
    <row r="418" ht="13.5" customHeight="1" s="1232">
      <c r="A418" s="1393" t="n">
        <v>43935</v>
      </c>
      <c r="B418" s="1260" t="inlineStr">
        <is>
          <t>Laura Bailey</t>
        </is>
      </c>
      <c r="C418" s="1255" t="inlineStr">
        <is>
          <t>7. Gift Vouchers Inc</t>
        </is>
      </c>
      <c r="D418" s="1260" t="inlineStr">
        <is>
          <t>PayPal</t>
        </is>
      </c>
      <c r="E418" s="1394" t="n">
        <v>125</v>
      </c>
      <c r="F418" s="1260" t="inlineStr">
        <is>
          <t>Digital Gift Card</t>
        </is>
      </c>
      <c r="G418" s="1260" t="inlineStr">
        <is>
          <t>Google</t>
        </is>
      </c>
    </row>
    <row r="419" ht="13.5" customHeight="1" s="1232">
      <c r="A419" s="1393" t="n">
        <v>43935</v>
      </c>
      <c r="B419" s="1260" t="inlineStr">
        <is>
          <t>Janet Roberts</t>
        </is>
      </c>
      <c r="C419" s="1255" t="inlineStr">
        <is>
          <t>1. Courses/masterclasses</t>
        </is>
      </c>
      <c r="D419" s="1260" t="inlineStr">
        <is>
          <t>Stripe</t>
        </is>
      </c>
      <c r="E419" s="1394" t="n">
        <v>6</v>
      </c>
      <c r="F419" s="1260" t="inlineStr">
        <is>
          <t>Webinar</t>
        </is>
      </c>
      <c r="G419" s="1260" t="inlineStr">
        <is>
          <t>Existing</t>
        </is>
      </c>
    </row>
    <row r="420" ht="13.5" customHeight="1" s="1232">
      <c r="A420" s="1393" t="n">
        <v>43935</v>
      </c>
      <c r="B420" s="1260" t="inlineStr">
        <is>
          <t>Janet Roberts</t>
        </is>
      </c>
      <c r="C420" s="1255" t="inlineStr">
        <is>
          <t>1. Courses/masterclasses</t>
        </is>
      </c>
      <c r="D420" s="1260" t="inlineStr">
        <is>
          <t>Stripe</t>
        </is>
      </c>
      <c r="E420" s="1394" t="n">
        <v>6</v>
      </c>
      <c r="F420" s="1260" t="inlineStr">
        <is>
          <t>Webinar</t>
        </is>
      </c>
      <c r="G420" s="1260" t="inlineStr">
        <is>
          <t>Existing</t>
        </is>
      </c>
    </row>
    <row r="421" ht="13.5" customHeight="1" s="1232">
      <c r="A421" s="1393" t="n">
        <v>43934</v>
      </c>
      <c r="B421" s="1260" t="inlineStr">
        <is>
          <t>John Grant</t>
        </is>
      </c>
      <c r="C421" s="1255" t="inlineStr">
        <is>
          <t>1. Courses/masterclasses</t>
        </is>
      </c>
      <c r="D421" s="1260" t="inlineStr">
        <is>
          <t>Stripe</t>
        </is>
      </c>
      <c r="E421" s="1394" t="n">
        <v>6</v>
      </c>
      <c r="F421" s="1260" t="inlineStr">
        <is>
          <t>Webinar</t>
        </is>
      </c>
      <c r="G421" s="1260" t="inlineStr">
        <is>
          <t>Existing</t>
        </is>
      </c>
    </row>
    <row r="422" ht="13.5" customHeight="1" s="1232">
      <c r="A422" s="1393" t="n">
        <v>43934</v>
      </c>
      <c r="B422" s="1260" t="inlineStr">
        <is>
          <t>Janet Boulter</t>
        </is>
      </c>
      <c r="C422" s="1255" t="inlineStr">
        <is>
          <t>1. Courses/masterclasses</t>
        </is>
      </c>
      <c r="D422" s="1260" t="inlineStr">
        <is>
          <t>Stripe</t>
        </is>
      </c>
      <c r="E422" s="1394" t="n">
        <v>6</v>
      </c>
      <c r="F422" s="1260" t="inlineStr">
        <is>
          <t>Webinar</t>
        </is>
      </c>
      <c r="G422" s="1260" t="inlineStr">
        <is>
          <t>Existing</t>
        </is>
      </c>
    </row>
    <row r="423" ht="13.5" customHeight="1" s="1232">
      <c r="A423" s="1393" t="n">
        <v>43934</v>
      </c>
      <c r="B423" s="1260" t="inlineStr">
        <is>
          <t>Janet Boulter</t>
        </is>
      </c>
      <c r="C423" s="1255" t="inlineStr">
        <is>
          <t>1. Courses/masterclasses</t>
        </is>
      </c>
      <c r="D423" s="1260" t="inlineStr">
        <is>
          <t>Stripe</t>
        </is>
      </c>
      <c r="E423" s="1394" t="n">
        <v>6</v>
      </c>
      <c r="F423" s="1260" t="inlineStr">
        <is>
          <t>Webinar</t>
        </is>
      </c>
      <c r="G423" s="1260" t="inlineStr">
        <is>
          <t>Existing</t>
        </is>
      </c>
    </row>
    <row r="424" ht="13.5" customHeight="1" s="1232">
      <c r="A424" s="1393" t="n">
        <v>43933</v>
      </c>
      <c r="B424" s="1260" t="inlineStr">
        <is>
          <t>Robert Griffiths</t>
        </is>
      </c>
      <c r="C424" s="1255" t="inlineStr">
        <is>
          <t>6. 1-2-1</t>
        </is>
      </c>
      <c r="D424" s="1260" t="inlineStr">
        <is>
          <t>Stripe</t>
        </is>
      </c>
      <c r="E424" s="1394" t="n">
        <v>50</v>
      </c>
      <c r="F424" s="1260" t="inlineStr">
        <is>
          <t>1-2-1 online</t>
        </is>
      </c>
      <c r="G424" s="1260" t="inlineStr">
        <is>
          <t>Existing</t>
        </is>
      </c>
    </row>
    <row r="425" ht="13.5" customHeight="1" s="1232">
      <c r="A425" s="1393" t="n">
        <v>43933</v>
      </c>
      <c r="B425" s="1260" t="inlineStr">
        <is>
          <t>Tony Teague</t>
        </is>
      </c>
      <c r="C425" s="1255" t="inlineStr">
        <is>
          <t>1. Courses/masterclasses</t>
        </is>
      </c>
      <c r="D425" s="1260" t="inlineStr">
        <is>
          <t>Stripe</t>
        </is>
      </c>
      <c r="E425" s="1394" t="n">
        <v>5</v>
      </c>
      <c r="F425" s="1260" t="inlineStr">
        <is>
          <t>Webinar</t>
        </is>
      </c>
      <c r="G425" s="1260" t="inlineStr">
        <is>
          <t>Existing</t>
        </is>
      </c>
    </row>
    <row r="426" ht="13.5" customHeight="1" s="1232">
      <c r="A426" s="1393" t="n">
        <v>43931</v>
      </c>
      <c r="B426" s="1260" t="inlineStr">
        <is>
          <t xml:space="preserve">Ina Wilkening </t>
        </is>
      </c>
      <c r="C426" s="1255" t="inlineStr">
        <is>
          <t>1. Courses/masterclasses</t>
        </is>
      </c>
      <c r="D426" s="1260" t="inlineStr">
        <is>
          <t>PayPal</t>
        </is>
      </c>
      <c r="E426" s="1394" t="n">
        <v>5</v>
      </c>
      <c r="F426" s="1260" t="inlineStr">
        <is>
          <t>Webinar</t>
        </is>
      </c>
      <c r="G426" s="1260" t="inlineStr">
        <is>
          <t>Existing</t>
        </is>
      </c>
    </row>
    <row r="427" ht="13.5" customHeight="1" s="1232">
      <c r="A427" s="1393" t="n">
        <v>43929</v>
      </c>
      <c r="B427" s="1260" t="inlineStr">
        <is>
          <t>Ian Blake</t>
        </is>
      </c>
      <c r="C427" s="1255" t="inlineStr">
        <is>
          <t>1. Courses/masterclasses</t>
        </is>
      </c>
      <c r="D427" s="1260" t="inlineStr">
        <is>
          <t>Stripe</t>
        </is>
      </c>
      <c r="E427" s="1394" t="n">
        <v>6</v>
      </c>
      <c r="F427" s="1260" t="inlineStr">
        <is>
          <t>Webinar</t>
        </is>
      </c>
      <c r="G427" s="1260" t="inlineStr">
        <is>
          <t>Existing</t>
        </is>
      </c>
    </row>
    <row r="428" ht="13.5" customHeight="1" s="1232">
      <c r="A428" s="1393" t="n">
        <v>43928</v>
      </c>
      <c r="B428" s="1260" t="inlineStr">
        <is>
          <t>Joyce James</t>
        </is>
      </c>
      <c r="C428" s="1255" t="inlineStr">
        <is>
          <t>1. Courses/masterclasses</t>
        </is>
      </c>
      <c r="D428" s="1260" t="inlineStr">
        <is>
          <t>PayPal</t>
        </is>
      </c>
      <c r="E428" s="1394" t="n">
        <v>5</v>
      </c>
      <c r="F428" s="1260" t="inlineStr">
        <is>
          <t>Webinar</t>
        </is>
      </c>
      <c r="G428" s="1260" t="inlineStr">
        <is>
          <t>Existing</t>
        </is>
      </c>
    </row>
    <row r="429" ht="13.5" customHeight="1" s="1232">
      <c r="A429" s="1393" t="n">
        <v>43928</v>
      </c>
      <c r="B429" s="1260" t="inlineStr">
        <is>
          <t>Joyce James</t>
        </is>
      </c>
      <c r="C429" s="1255" t="inlineStr">
        <is>
          <t>1. Courses/masterclasses</t>
        </is>
      </c>
      <c r="D429" s="1260" t="inlineStr">
        <is>
          <t>PayPal</t>
        </is>
      </c>
      <c r="E429" s="1394" t="n">
        <v>5</v>
      </c>
      <c r="F429" s="1260" t="inlineStr">
        <is>
          <t>Webinar</t>
        </is>
      </c>
      <c r="G429" s="1260" t="inlineStr">
        <is>
          <t>Existing</t>
        </is>
      </c>
    </row>
    <row r="430" ht="13.5" customHeight="1" s="1232">
      <c r="A430" s="1393" t="n">
        <v>43927</v>
      </c>
      <c r="B430" s="1260" t="inlineStr">
        <is>
          <t>Dennis Jeffrey</t>
        </is>
      </c>
      <c r="C430" s="1255" t="inlineStr">
        <is>
          <t>1. Courses/masterclasses</t>
        </is>
      </c>
      <c r="D430" s="1260" t="inlineStr">
        <is>
          <t>Stripe</t>
        </is>
      </c>
      <c r="E430" s="1394" t="n">
        <v>5</v>
      </c>
      <c r="F430" s="1260" t="inlineStr">
        <is>
          <t>Webinar</t>
        </is>
      </c>
      <c r="G430" s="1260" t="inlineStr">
        <is>
          <t>Existing</t>
        </is>
      </c>
    </row>
    <row r="431" ht="13.5" customHeight="1" s="1232">
      <c r="A431" s="1393" t="n">
        <v>43927</v>
      </c>
      <c r="B431" s="1260" t="inlineStr">
        <is>
          <t>Sarah Perkins</t>
        </is>
      </c>
      <c r="C431" s="1255" t="inlineStr">
        <is>
          <t>1. Courses/masterclasses</t>
        </is>
      </c>
      <c r="D431" s="1260" t="inlineStr">
        <is>
          <t>Stripe</t>
        </is>
      </c>
      <c r="E431" s="1394" t="n">
        <v>5</v>
      </c>
      <c r="F431" s="1260" t="inlineStr">
        <is>
          <t>Webinar</t>
        </is>
      </c>
      <c r="G431" s="1260" t="inlineStr">
        <is>
          <t>Existing</t>
        </is>
      </c>
    </row>
    <row r="432" ht="13.5" customHeight="1" s="1232">
      <c r="A432" s="1393" t="n">
        <v>43927</v>
      </c>
      <c r="B432" s="1260" t="inlineStr">
        <is>
          <t>Ian Harrop</t>
        </is>
      </c>
      <c r="C432" s="1255" t="inlineStr">
        <is>
          <t>1. Courses/masterclasses</t>
        </is>
      </c>
      <c r="D432" s="1260" t="inlineStr">
        <is>
          <t>Stripe</t>
        </is>
      </c>
      <c r="E432" s="1394" t="n">
        <v>5</v>
      </c>
      <c r="F432" s="1260" t="inlineStr">
        <is>
          <t>Webinar</t>
        </is>
      </c>
      <c r="G432" s="1260" t="inlineStr">
        <is>
          <t>Existing</t>
        </is>
      </c>
    </row>
    <row r="433" ht="13.5" customHeight="1" s="1232">
      <c r="A433" s="1393" t="n">
        <v>43927</v>
      </c>
      <c r="B433" s="1260" t="inlineStr">
        <is>
          <t>John Grant</t>
        </is>
      </c>
      <c r="C433" s="1255" t="inlineStr">
        <is>
          <t>1. Courses/masterclasses</t>
        </is>
      </c>
      <c r="D433" s="1260" t="inlineStr">
        <is>
          <t>Stripe</t>
        </is>
      </c>
      <c r="E433" s="1394" t="n">
        <v>5</v>
      </c>
      <c r="F433" s="1260" t="inlineStr">
        <is>
          <t>Webinar</t>
        </is>
      </c>
      <c r="G433" s="1260" t="inlineStr">
        <is>
          <t>Existing</t>
        </is>
      </c>
    </row>
    <row r="434" ht="13.5" customHeight="1" s="1232">
      <c r="A434" s="1393" t="n">
        <v>43925</v>
      </c>
      <c r="B434" s="1260" t="inlineStr">
        <is>
          <t>Jacki Rosin</t>
        </is>
      </c>
      <c r="C434" s="1255" t="inlineStr">
        <is>
          <t>1. Courses/masterclasses</t>
        </is>
      </c>
      <c r="D434" s="1260" t="inlineStr">
        <is>
          <t>Stripe</t>
        </is>
      </c>
      <c r="E434" s="1394" t="n">
        <v>10</v>
      </c>
      <c r="F434" s="1260" t="inlineStr">
        <is>
          <t>Webinar</t>
        </is>
      </c>
      <c r="G434" s="1260" t="inlineStr">
        <is>
          <t>Existing</t>
        </is>
      </c>
    </row>
    <row r="435" ht="13.5" customHeight="1" s="1232">
      <c r="A435" s="1393" t="n">
        <v>43925</v>
      </c>
      <c r="B435" s="1260" t="inlineStr">
        <is>
          <t>Dennis Jeffrey</t>
        </is>
      </c>
      <c r="C435" s="1255" t="inlineStr">
        <is>
          <t>1. Courses/masterclasses</t>
        </is>
      </c>
      <c r="D435" s="1260" t="inlineStr">
        <is>
          <t>PayPal</t>
        </is>
      </c>
      <c r="E435" s="1394" t="n">
        <v>10</v>
      </c>
      <c r="F435" s="1260" t="inlineStr">
        <is>
          <t>Webinar</t>
        </is>
      </c>
      <c r="G435" s="1260" t="inlineStr">
        <is>
          <t>Existing</t>
        </is>
      </c>
    </row>
    <row r="436" ht="13.5" customHeight="1" s="1232">
      <c r="A436" s="1393" t="n">
        <v>43925</v>
      </c>
      <c r="B436" s="1260" t="inlineStr">
        <is>
          <t>Janet Boulter</t>
        </is>
      </c>
      <c r="C436" s="1255" t="inlineStr">
        <is>
          <t>1. Courses/masterclasses</t>
        </is>
      </c>
      <c r="D436" s="1260" t="inlineStr">
        <is>
          <t>Stripe</t>
        </is>
      </c>
      <c r="E436" s="1394" t="n">
        <v>10</v>
      </c>
      <c r="F436" s="1260" t="inlineStr">
        <is>
          <t>Webinar</t>
        </is>
      </c>
      <c r="G436" s="1260" t="inlineStr">
        <is>
          <t>Existing</t>
        </is>
      </c>
    </row>
    <row r="437" ht="13.5" customHeight="1" s="1232">
      <c r="A437" s="1393" t="n">
        <v>43925</v>
      </c>
      <c r="B437" s="1260" t="inlineStr">
        <is>
          <t>Janet Boulter</t>
        </is>
      </c>
      <c r="C437" s="1255" t="inlineStr">
        <is>
          <t>1. Courses/masterclasses</t>
        </is>
      </c>
      <c r="D437" s="1260" t="inlineStr">
        <is>
          <t>Stripe</t>
        </is>
      </c>
      <c r="E437" s="1394" t="n">
        <v>5</v>
      </c>
      <c r="F437" s="1260" t="inlineStr">
        <is>
          <t>Webinar</t>
        </is>
      </c>
      <c r="G437" s="1260" t="inlineStr">
        <is>
          <t>Existing</t>
        </is>
      </c>
    </row>
    <row r="438" ht="13.5" customHeight="1" s="1232">
      <c r="A438" s="1393" t="n">
        <v>43924</v>
      </c>
      <c r="B438" s="1260" t="inlineStr">
        <is>
          <t>Janet Roberts</t>
        </is>
      </c>
      <c r="C438" s="1255" t="inlineStr">
        <is>
          <t>1. Courses/masterclasses</t>
        </is>
      </c>
      <c r="D438" s="1260" t="inlineStr">
        <is>
          <t>Stripe</t>
        </is>
      </c>
      <c r="E438" s="1394" t="n">
        <v>12</v>
      </c>
      <c r="F438" s="1260" t="inlineStr">
        <is>
          <t>Webinar</t>
        </is>
      </c>
      <c r="G438" s="1260" t="inlineStr">
        <is>
          <t>Existing</t>
        </is>
      </c>
    </row>
    <row r="439" ht="13.5" customHeight="1" s="1232">
      <c r="A439" s="1393" t="n">
        <v>43924</v>
      </c>
      <c r="B439" s="1260" t="inlineStr">
        <is>
          <t>Janet Roberts</t>
        </is>
      </c>
      <c r="C439" s="1255" t="inlineStr">
        <is>
          <t>1. Courses/masterclasses</t>
        </is>
      </c>
      <c r="D439" s="1260" t="inlineStr">
        <is>
          <t>Stripe</t>
        </is>
      </c>
      <c r="E439" s="1394" t="n">
        <v>6</v>
      </c>
      <c r="F439" s="1260" t="inlineStr">
        <is>
          <t>Webinar</t>
        </is>
      </c>
      <c r="G439" s="1260" t="inlineStr">
        <is>
          <t>Existing</t>
        </is>
      </c>
    </row>
    <row r="440" ht="13.5" customHeight="1" s="1232">
      <c r="A440" s="1393" t="n">
        <v>43924</v>
      </c>
      <c r="B440" s="1260" t="inlineStr">
        <is>
          <t>Chris Johnson</t>
        </is>
      </c>
      <c r="C440" s="1255" t="inlineStr">
        <is>
          <t>1. Courses/masterclasses</t>
        </is>
      </c>
      <c r="D440" s="1260" t="inlineStr">
        <is>
          <t>PayPal</t>
        </is>
      </c>
      <c r="E440" s="1394" t="n">
        <v>10</v>
      </c>
      <c r="F440" s="1260" t="inlineStr">
        <is>
          <t>Webinar</t>
        </is>
      </c>
      <c r="G440" s="1260" t="inlineStr">
        <is>
          <t>Existing</t>
        </is>
      </c>
    </row>
    <row r="441" ht="13.5" customHeight="1" s="1232">
      <c r="A441" s="1393" t="n">
        <v>43924</v>
      </c>
      <c r="B441" s="1260" t="inlineStr">
        <is>
          <t>Tony Teague</t>
        </is>
      </c>
      <c r="C441" s="1255" t="inlineStr">
        <is>
          <t>1. Courses/masterclasses</t>
        </is>
      </c>
      <c r="D441" s="1260" t="inlineStr">
        <is>
          <t>PayPal</t>
        </is>
      </c>
      <c r="E441" s="1394" t="n">
        <v>10</v>
      </c>
      <c r="F441" s="1260" t="inlineStr">
        <is>
          <t>Webinar</t>
        </is>
      </c>
      <c r="G441" s="1260" t="inlineStr">
        <is>
          <t>Existing</t>
        </is>
      </c>
    </row>
    <row r="442" ht="13.5" customHeight="1" s="1232">
      <c r="A442" s="1393" t="n">
        <v>43923</v>
      </c>
      <c r="B442" s="1260" t="inlineStr">
        <is>
          <t>Chris Burnard</t>
        </is>
      </c>
      <c r="C442" s="1255" t="inlineStr">
        <is>
          <t>1. Courses/masterclasses</t>
        </is>
      </c>
      <c r="D442" s="1260" t="inlineStr">
        <is>
          <t>Stripe</t>
        </is>
      </c>
      <c r="E442" s="1394" t="n">
        <v>5</v>
      </c>
      <c r="F442" s="1260" t="inlineStr">
        <is>
          <t>Webinar</t>
        </is>
      </c>
      <c r="G442" s="1260" t="inlineStr">
        <is>
          <t>Existing</t>
        </is>
      </c>
    </row>
    <row r="443" ht="13.5" customHeight="1" s="1232">
      <c r="A443" s="1393" t="n">
        <v>43922</v>
      </c>
      <c r="B443" s="1260" t="inlineStr">
        <is>
          <t>Jacki Rosin</t>
        </is>
      </c>
      <c r="C443" s="1255" t="inlineStr">
        <is>
          <t>1. Courses/masterclasses</t>
        </is>
      </c>
      <c r="D443" s="1260" t="inlineStr">
        <is>
          <t>Stripe</t>
        </is>
      </c>
      <c r="E443" s="1394" t="n">
        <v>5</v>
      </c>
      <c r="F443" s="1260" t="inlineStr">
        <is>
          <t>Webinar</t>
        </is>
      </c>
      <c r="G443" s="1260" t="inlineStr">
        <is>
          <t>Existing</t>
        </is>
      </c>
    </row>
    <row r="444" ht="13.5" customHeight="1" s="1232">
      <c r="A444" s="1393" t="n">
        <v>43922</v>
      </c>
      <c r="B444" s="1260" t="inlineStr">
        <is>
          <t>Pick n Mix March</t>
        </is>
      </c>
      <c r="C444" s="1255" t="inlineStr">
        <is>
          <t>3. Pick n Mix Inc</t>
        </is>
      </c>
      <c r="D444" s="1260" t="inlineStr">
        <is>
          <t>Various</t>
        </is>
      </c>
      <c r="E444" s="1394" t="n">
        <v>283.75</v>
      </c>
      <c r="F444" s="1260" t="inlineStr">
        <is>
          <t>Pick N Mix Payments</t>
        </is>
      </c>
      <c r="G444" s="1260" t="inlineStr">
        <is>
          <t>Existing</t>
        </is>
      </c>
    </row>
    <row r="445" ht="13.5" customHeight="1" s="1232">
      <c r="A445" s="1393" t="n">
        <v>43922</v>
      </c>
      <c r="B445" s="1260" t="inlineStr">
        <is>
          <t>Mentoring March</t>
        </is>
      </c>
      <c r="C445" s="1255" t="inlineStr">
        <is>
          <t>5. Mentoring</t>
        </is>
      </c>
      <c r="D445" s="1255" t="inlineStr">
        <is>
          <t>Various</t>
        </is>
      </c>
      <c r="E445" s="1261" t="n">
        <v>80</v>
      </c>
      <c r="F445" s="1255" t="inlineStr">
        <is>
          <t>Mentoring Subs</t>
        </is>
      </c>
      <c r="G445" s="1255" t="inlineStr">
        <is>
          <t>Existing</t>
        </is>
      </c>
    </row>
    <row r="446" ht="13.5" customHeight="1" s="1232">
      <c r="A446" s="1393" t="n"/>
      <c r="B446" s="1260" t="n"/>
      <c r="D446" s="1260" t="n"/>
      <c r="E446" s="1394" t="n"/>
      <c r="F446" s="1260" t="n"/>
      <c r="G446" s="1260" t="n"/>
    </row>
    <row r="447" ht="13.5" customHeight="1" s="1232">
      <c r="A447" s="1393" t="n"/>
      <c r="B447" s="1260" t="n"/>
      <c r="D447" s="1260" t="n"/>
      <c r="E447" s="1394" t="n"/>
      <c r="F447" s="1260" t="n"/>
      <c r="G447" s="1260" t="n"/>
    </row>
    <row r="448" ht="13.5" customHeight="1" s="1232">
      <c r="A448" s="1393" t="n">
        <v>43921</v>
      </c>
      <c r="B448" s="1260" t="inlineStr">
        <is>
          <t>Ian Blake</t>
        </is>
      </c>
      <c r="C448" s="1255" t="inlineStr">
        <is>
          <t>1. Courses/masterclasses</t>
        </is>
      </c>
      <c r="D448" s="1260" t="inlineStr">
        <is>
          <t>Stripe</t>
        </is>
      </c>
      <c r="E448" s="1394" t="n">
        <v>6</v>
      </c>
      <c r="F448" s="1260" t="inlineStr">
        <is>
          <t>Webinar</t>
        </is>
      </c>
      <c r="G448" s="1260" t="inlineStr">
        <is>
          <t>Existing</t>
        </is>
      </c>
    </row>
    <row r="449" ht="13.5" customHeight="1" s="1232">
      <c r="A449" s="1393" t="n">
        <v>43921</v>
      </c>
      <c r="B449" s="1260" t="inlineStr">
        <is>
          <t>Helen Finch</t>
        </is>
      </c>
      <c r="C449" s="1255" t="inlineStr">
        <is>
          <t>1. Courses/masterclasses</t>
        </is>
      </c>
      <c r="D449" s="1260" t="inlineStr">
        <is>
          <t>Paypal</t>
        </is>
      </c>
      <c r="E449" s="1394" t="n">
        <v>5</v>
      </c>
      <c r="F449" s="1260" t="inlineStr">
        <is>
          <t>Webinar</t>
        </is>
      </c>
      <c r="G449" s="1260" t="inlineStr">
        <is>
          <t>Existing</t>
        </is>
      </c>
    </row>
    <row r="450" ht="13.5" customHeight="1" s="1232">
      <c r="A450" s="1393" t="n">
        <v>43921</v>
      </c>
      <c r="B450" s="1260" t="inlineStr">
        <is>
          <t>Helen Finch</t>
        </is>
      </c>
      <c r="C450" s="1255" t="inlineStr">
        <is>
          <t>1. Courses/masterclasses</t>
        </is>
      </c>
      <c r="D450" s="1260" t="inlineStr">
        <is>
          <t>Paypal</t>
        </is>
      </c>
      <c r="E450" s="1394" t="n">
        <v>10</v>
      </c>
      <c r="F450" s="1260" t="inlineStr">
        <is>
          <t>Webinar</t>
        </is>
      </c>
      <c r="G450" s="1260" t="inlineStr">
        <is>
          <t>Existing</t>
        </is>
      </c>
    </row>
    <row r="451" ht="13.5" customHeight="1" s="1232">
      <c r="A451" s="1393" t="n">
        <v>43921</v>
      </c>
      <c r="B451" s="1260" t="inlineStr">
        <is>
          <t>Con McHugh</t>
        </is>
      </c>
      <c r="C451" s="1255" t="inlineStr">
        <is>
          <t>3. Pick n Mix Inc</t>
        </is>
      </c>
      <c r="D451" s="1260" t="inlineStr">
        <is>
          <t>Bank</t>
        </is>
      </c>
      <c r="E451" s="1394" t="n">
        <v>500</v>
      </c>
      <c r="F451" s="1260" t="inlineStr">
        <is>
          <t>Pick N Mix Payments</t>
        </is>
      </c>
      <c r="G451" s="1260" t="inlineStr">
        <is>
          <t>Existing</t>
        </is>
      </c>
    </row>
    <row r="452" ht="13.5" customHeight="1" s="1232">
      <c r="A452" s="1393" t="n">
        <v>43920</v>
      </c>
      <c r="B452" s="1260" t="inlineStr">
        <is>
          <t>Dunstan Vavasour</t>
        </is>
      </c>
      <c r="C452" s="1255" t="inlineStr">
        <is>
          <t>1. Courses/masterclasses</t>
        </is>
      </c>
      <c r="D452" s="1260" t="inlineStr">
        <is>
          <t>Paypal</t>
        </is>
      </c>
      <c r="E452" s="1394" t="n">
        <v>5</v>
      </c>
      <c r="F452" s="1260" t="inlineStr">
        <is>
          <t>Webinar</t>
        </is>
      </c>
      <c r="G452" s="1260" t="inlineStr">
        <is>
          <t>Existing</t>
        </is>
      </c>
    </row>
    <row r="453" ht="13.5" customHeight="1" s="1232">
      <c r="A453" s="1393" t="n">
        <v>43920</v>
      </c>
      <c r="B453" s="1260" t="inlineStr">
        <is>
          <t>Kirsten  Pearce</t>
        </is>
      </c>
      <c r="C453" s="1255" t="inlineStr">
        <is>
          <t>1. Courses/masterclasses</t>
        </is>
      </c>
      <c r="D453" s="1260" t="inlineStr">
        <is>
          <t>Paypal</t>
        </is>
      </c>
      <c r="E453" s="1394" t="n">
        <v>5</v>
      </c>
      <c r="F453" s="1260" t="inlineStr">
        <is>
          <t>Webinar</t>
        </is>
      </c>
      <c r="G453" s="1260" t="inlineStr">
        <is>
          <t>Existing</t>
        </is>
      </c>
    </row>
    <row r="454" ht="13.5" customHeight="1" s="1232">
      <c r="A454" s="1393" t="n">
        <v>43920</v>
      </c>
      <c r="B454" s="1260" t="inlineStr">
        <is>
          <t>Kirsten  Pearce</t>
        </is>
      </c>
      <c r="C454" s="1255" t="inlineStr">
        <is>
          <t>1. Courses/masterclasses</t>
        </is>
      </c>
      <c r="D454" s="1260" t="inlineStr">
        <is>
          <t>Paypal</t>
        </is>
      </c>
      <c r="E454" s="1394" t="n">
        <v>10</v>
      </c>
      <c r="F454" s="1260" t="inlineStr">
        <is>
          <t>Webinar</t>
        </is>
      </c>
      <c r="G454" s="1260" t="inlineStr">
        <is>
          <t>Existing</t>
        </is>
      </c>
    </row>
    <row r="455" ht="13.5" customHeight="1" s="1232">
      <c r="A455" s="1393" t="n">
        <v>43920</v>
      </c>
      <c r="B455" s="1260" t="inlineStr">
        <is>
          <t>Ian Harrop</t>
        </is>
      </c>
      <c r="C455" s="1255" t="inlineStr">
        <is>
          <t>1. Courses/masterclasses</t>
        </is>
      </c>
      <c r="D455" s="1260" t="inlineStr">
        <is>
          <t>Paypal</t>
        </is>
      </c>
      <c r="E455" s="1394" t="n">
        <v>5</v>
      </c>
      <c r="F455" s="1260" t="inlineStr">
        <is>
          <t>Webinar</t>
        </is>
      </c>
      <c r="G455" s="1260" t="inlineStr">
        <is>
          <t>Existing</t>
        </is>
      </c>
    </row>
    <row r="456" ht="13.5" customHeight="1" s="1232">
      <c r="A456" s="1393" t="n">
        <v>43920</v>
      </c>
      <c r="B456" s="1260" t="inlineStr">
        <is>
          <t>Ian Harrop</t>
        </is>
      </c>
      <c r="C456" s="1255" t="inlineStr">
        <is>
          <t>1. Courses/masterclasses</t>
        </is>
      </c>
      <c r="D456" s="1260" t="inlineStr">
        <is>
          <t>Paypal</t>
        </is>
      </c>
      <c r="E456" s="1394" t="n">
        <v>10</v>
      </c>
      <c r="F456" s="1260" t="inlineStr">
        <is>
          <t>Webinar</t>
        </is>
      </c>
      <c r="G456" s="1260" t="inlineStr">
        <is>
          <t>Existing</t>
        </is>
      </c>
    </row>
    <row r="457" ht="13.5" customHeight="1" s="1232">
      <c r="A457" s="1393" t="n">
        <v>43920</v>
      </c>
      <c r="B457" s="1260" t="inlineStr">
        <is>
          <t>Dennis Jeffrey</t>
        </is>
      </c>
      <c r="C457" s="1255" t="inlineStr">
        <is>
          <t>1. Courses/masterclasses</t>
        </is>
      </c>
      <c r="D457" s="1260" t="inlineStr">
        <is>
          <t>Stripe</t>
        </is>
      </c>
      <c r="E457" s="1394" t="n">
        <v>5</v>
      </c>
      <c r="F457" s="1260" t="inlineStr">
        <is>
          <t>Webinar</t>
        </is>
      </c>
      <c r="G457" s="1260" t="inlineStr">
        <is>
          <t>Existing</t>
        </is>
      </c>
    </row>
    <row r="458" ht="13.5" customHeight="1" s="1232">
      <c r="A458" s="1393" t="n">
        <v>43920</v>
      </c>
      <c r="B458" s="1260" t="inlineStr">
        <is>
          <t>Joyce James</t>
        </is>
      </c>
      <c r="C458" s="1255" t="inlineStr">
        <is>
          <t>1. Courses/masterclasses</t>
        </is>
      </c>
      <c r="D458" s="1260" t="inlineStr">
        <is>
          <t>Paypal</t>
        </is>
      </c>
      <c r="E458" s="1394" t="n">
        <v>5</v>
      </c>
      <c r="F458" s="1260" t="inlineStr">
        <is>
          <t>Webinar</t>
        </is>
      </c>
      <c r="G458" s="1260" t="inlineStr">
        <is>
          <t>Existing</t>
        </is>
      </c>
    </row>
    <row r="459" ht="13.5" customHeight="1" s="1232">
      <c r="A459" s="1393" t="n">
        <v>43920</v>
      </c>
      <c r="B459" s="1260" t="inlineStr">
        <is>
          <t>Joyce James</t>
        </is>
      </c>
      <c r="C459" s="1255" t="inlineStr">
        <is>
          <t>1. Courses/masterclasses</t>
        </is>
      </c>
      <c r="D459" s="1260" t="inlineStr">
        <is>
          <t>Paypal</t>
        </is>
      </c>
      <c r="E459" s="1394" t="n">
        <v>10</v>
      </c>
      <c r="F459" s="1260" t="inlineStr">
        <is>
          <t>Webinar</t>
        </is>
      </c>
      <c r="G459" s="1260" t="inlineStr">
        <is>
          <t>Existing</t>
        </is>
      </c>
    </row>
    <row r="460" ht="13.5" customHeight="1" s="1232">
      <c r="A460" s="1393" t="n">
        <v>43919</v>
      </c>
      <c r="B460" s="1260" t="inlineStr">
        <is>
          <t>A J Seely</t>
        </is>
      </c>
      <c r="C460" s="1255" t="inlineStr">
        <is>
          <t>5. Mentoring</t>
        </is>
      </c>
      <c r="D460" s="1260" t="inlineStr">
        <is>
          <t>Stripe</t>
        </is>
      </c>
      <c r="E460" s="1394" t="n">
        <v>20</v>
      </c>
      <c r="F460" s="1260" t="inlineStr">
        <is>
          <t>Monthly Mentoring</t>
        </is>
      </c>
      <c r="G460" s="1260" t="inlineStr">
        <is>
          <t>Existing</t>
        </is>
      </c>
    </row>
    <row r="461" ht="13.5" customHeight="1" s="1232">
      <c r="A461" s="1393" t="n">
        <v>43919</v>
      </c>
      <c r="B461" s="1260" t="inlineStr">
        <is>
          <t>John Grant</t>
        </is>
      </c>
      <c r="C461" s="1255" t="inlineStr">
        <is>
          <t>7. Gift Vouchers Inc</t>
        </is>
      </c>
      <c r="D461" s="1260" t="inlineStr">
        <is>
          <t>Stripe</t>
        </is>
      </c>
      <c r="E461" s="1394" t="n">
        <v>50</v>
      </c>
      <c r="F461" s="1260" t="inlineStr">
        <is>
          <t>Digital Gift Card</t>
        </is>
      </c>
      <c r="G461" s="1260" t="inlineStr">
        <is>
          <t>Existing</t>
        </is>
      </c>
    </row>
    <row r="462" ht="13.5" customHeight="1" s="1232">
      <c r="A462" s="1393" t="n">
        <v>43918</v>
      </c>
      <c r="B462" s="1260" t="inlineStr">
        <is>
          <t>Helen Finch</t>
        </is>
      </c>
      <c r="C462" s="1255" t="inlineStr">
        <is>
          <t>7. Gift Vouchers Inc</t>
        </is>
      </c>
      <c r="D462" s="1260" t="inlineStr">
        <is>
          <t>Paypal</t>
        </is>
      </c>
      <c r="E462" s="1394" t="n">
        <v>100</v>
      </c>
      <c r="F462" s="1260" t="inlineStr">
        <is>
          <t>Digital Gift Card</t>
        </is>
      </c>
      <c r="G462" s="1260" t="inlineStr">
        <is>
          <t>Existing</t>
        </is>
      </c>
    </row>
    <row r="463" ht="13.5" customHeight="1" s="1232">
      <c r="A463" s="1393" t="n">
        <v>43918</v>
      </c>
      <c r="B463" s="1260" t="inlineStr">
        <is>
          <t>Christopher Burnard</t>
        </is>
      </c>
      <c r="C463" s="1255" t="inlineStr">
        <is>
          <t>7. Gift Vouchers Inc</t>
        </is>
      </c>
      <c r="D463" s="1260" t="inlineStr">
        <is>
          <t>Stripe</t>
        </is>
      </c>
      <c r="E463" s="1394" t="n">
        <v>200</v>
      </c>
      <c r="F463" s="1260" t="inlineStr">
        <is>
          <t>Digital Gift Card</t>
        </is>
      </c>
      <c r="G463" s="1260" t="inlineStr">
        <is>
          <t>Existing</t>
        </is>
      </c>
    </row>
    <row r="464" ht="13.5" customHeight="1" s="1232">
      <c r="A464" s="1393" t="n">
        <v>43918</v>
      </c>
      <c r="B464" s="1260" t="inlineStr">
        <is>
          <t>Jonathan Ellis</t>
        </is>
      </c>
      <c r="C464" s="1255" t="inlineStr">
        <is>
          <t>5. Mentoring</t>
        </is>
      </c>
      <c r="D464" s="1260" t="inlineStr">
        <is>
          <t>Stripe</t>
        </is>
      </c>
      <c r="E464" s="1394" t="n">
        <v>20</v>
      </c>
      <c r="F464" s="1260" t="inlineStr">
        <is>
          <t>Monthly Mentoring</t>
        </is>
      </c>
      <c r="G464" s="1260" t="inlineStr">
        <is>
          <t>Existing</t>
        </is>
      </c>
    </row>
    <row r="465" ht="13.5" customHeight="1" s="1232">
      <c r="A465" s="1393" t="n">
        <v>43918</v>
      </c>
      <c r="B465" s="1260" t="inlineStr">
        <is>
          <t>Roger Neal</t>
        </is>
      </c>
      <c r="C465" s="1255" t="inlineStr">
        <is>
          <t>7. Gift Vouchers Inc</t>
        </is>
      </c>
      <c r="D465" s="1260" t="inlineStr">
        <is>
          <t>Stripe</t>
        </is>
      </c>
      <c r="E465" s="1394" t="n">
        <v>100</v>
      </c>
      <c r="F465" s="1260" t="inlineStr">
        <is>
          <t>Digital Gift Card</t>
        </is>
      </c>
      <c r="G465" s="1260" t="inlineStr">
        <is>
          <t>Existing</t>
        </is>
      </c>
    </row>
    <row r="466" ht="13.5" customHeight="1" s="1232">
      <c r="A466" s="1393" t="n">
        <v>43915</v>
      </c>
      <c r="B466" s="1260" t="inlineStr">
        <is>
          <t>Janet Roberts</t>
        </is>
      </c>
      <c r="C466" s="1255" t="inlineStr">
        <is>
          <t>7. Gift Vouchers Inc</t>
        </is>
      </c>
      <c r="D466" s="1260" t="inlineStr">
        <is>
          <t>Stripe</t>
        </is>
      </c>
      <c r="E466" s="1394" t="n">
        <v>30</v>
      </c>
      <c r="F466" s="1260" t="inlineStr">
        <is>
          <t>Digital Gift Card</t>
        </is>
      </c>
      <c r="G466" s="1260" t="inlineStr">
        <is>
          <t>Existing</t>
        </is>
      </c>
    </row>
    <row r="467" ht="13.5" customHeight="1" s="1232">
      <c r="A467" s="1393" t="n">
        <v>43913</v>
      </c>
      <c r="B467" s="1260" t="inlineStr">
        <is>
          <t>Con McHugh</t>
        </is>
      </c>
      <c r="C467" s="1255" t="inlineStr">
        <is>
          <t>3. Pick n Mix Inc</t>
        </is>
      </c>
      <c r="D467" s="1260" t="inlineStr">
        <is>
          <t>Bank</t>
        </is>
      </c>
      <c r="E467" s="1394" t="n">
        <v>500</v>
      </c>
      <c r="F467" s="1260" t="inlineStr">
        <is>
          <t>Pick N Mix Payments</t>
        </is>
      </c>
      <c r="G467" s="1260" t="inlineStr">
        <is>
          <t>Existing</t>
        </is>
      </c>
    </row>
    <row r="468" ht="13.5" customHeight="1" s="1232">
      <c r="A468" s="1393" t="n">
        <v>43913</v>
      </c>
      <c r="B468" s="1260" t="inlineStr">
        <is>
          <t>Ina Wilkening</t>
        </is>
      </c>
      <c r="C468" s="1255" t="inlineStr">
        <is>
          <t>2. Workshops</t>
        </is>
      </c>
      <c r="D468" s="1260" t="inlineStr">
        <is>
          <t>Paypal</t>
        </is>
      </c>
      <c r="E468" s="1394" t="n">
        <v>10</v>
      </c>
      <c r="F468" s="1260" t="inlineStr">
        <is>
          <t>Woodland Walk</t>
        </is>
      </c>
      <c r="G468" s="1260" t="inlineStr">
        <is>
          <t>Existing</t>
        </is>
      </c>
    </row>
    <row r="469" ht="13.5" customHeight="1" s="1232">
      <c r="A469" s="1393" t="n">
        <v>43913</v>
      </c>
      <c r="B469" s="1260" t="inlineStr">
        <is>
          <t>Kirsten  Pearce</t>
        </is>
      </c>
      <c r="C469" s="1255" t="inlineStr">
        <is>
          <t>3. Pick n Mix Inc</t>
        </is>
      </c>
      <c r="D469" s="1260" t="inlineStr">
        <is>
          <t>Bank</t>
        </is>
      </c>
      <c r="E469" s="1394" t="n">
        <v>187.5</v>
      </c>
      <c r="F469" s="1260" t="inlineStr">
        <is>
          <t>Pick N Mix Payments</t>
        </is>
      </c>
      <c r="G469" s="1260" t="inlineStr">
        <is>
          <t>Existing</t>
        </is>
      </c>
    </row>
    <row r="470" ht="13.5" customHeight="1" s="1232">
      <c r="A470" s="1393" t="n">
        <v>43912</v>
      </c>
      <c r="B470" s="1260" t="inlineStr">
        <is>
          <t>Dennis Jeffrey</t>
        </is>
      </c>
      <c r="C470" s="1255" t="inlineStr">
        <is>
          <t>6. 1-2-1</t>
        </is>
      </c>
      <c r="D470" s="1260" t="inlineStr">
        <is>
          <t>Stripe</t>
        </is>
      </c>
      <c r="E470" s="1394" t="n">
        <v>50</v>
      </c>
      <c r="F470" s="1260" t="inlineStr">
        <is>
          <t>Online Tuition x 2</t>
        </is>
      </c>
      <c r="G470" s="1260" t="inlineStr">
        <is>
          <t>Existing</t>
        </is>
      </c>
    </row>
    <row r="471" ht="13.5" customHeight="1" s="1232">
      <c r="A471" s="1393" t="n">
        <v>43909</v>
      </c>
      <c r="B471" s="1260" t="inlineStr">
        <is>
          <t>Jonathan Ellis</t>
        </is>
      </c>
      <c r="C471" s="1255" t="inlineStr">
        <is>
          <t>2. Workshops</t>
        </is>
      </c>
      <c r="D471" s="1260" t="inlineStr">
        <is>
          <t>Stripe</t>
        </is>
      </c>
      <c r="E471" s="1394" t="n">
        <v>10</v>
      </c>
      <c r="F471" s="1260" t="inlineStr">
        <is>
          <t>Woodland Walk</t>
        </is>
      </c>
      <c r="G471" s="1260" t="inlineStr">
        <is>
          <t>Existing</t>
        </is>
      </c>
    </row>
    <row r="472" ht="13.5" customHeight="1" s="1232">
      <c r="A472" s="1393" t="n">
        <v>43910</v>
      </c>
      <c r="B472" s="1260" t="inlineStr">
        <is>
          <t>Joyce James</t>
        </is>
      </c>
      <c r="C472" s="1255" t="inlineStr">
        <is>
          <t>3. Pick n Mix Inc</t>
        </is>
      </c>
      <c r="D472" s="1260" t="inlineStr">
        <is>
          <t>Bank</t>
        </is>
      </c>
      <c r="E472" s="1394" t="n">
        <v>1000</v>
      </c>
      <c r="F472" s="1260" t="inlineStr">
        <is>
          <t>Pick N Mix Payments</t>
        </is>
      </c>
      <c r="G472" s="1260" t="inlineStr">
        <is>
          <t>Existing</t>
        </is>
      </c>
    </row>
    <row r="473" ht="13.5" customHeight="1" s="1232">
      <c r="A473" s="1393" t="n">
        <v>43901</v>
      </c>
      <c r="B473" s="1260" t="inlineStr">
        <is>
          <t>Jade Kew</t>
        </is>
      </c>
      <c r="C473" s="1255" t="inlineStr">
        <is>
          <t>1. Courses/masterclasses</t>
        </is>
      </c>
      <c r="D473" s="1260" t="inlineStr">
        <is>
          <t>Paypal</t>
        </is>
      </c>
      <c r="E473" s="1394" t="n">
        <v>30</v>
      </c>
      <c r="F473" s="1260" t="inlineStr">
        <is>
          <t>Get Off Auto</t>
        </is>
      </c>
      <c r="G473" s="1260" t="inlineStr">
        <is>
          <t>Google</t>
        </is>
      </c>
    </row>
    <row r="474" ht="13.5" customHeight="1" s="1232">
      <c r="A474" s="1393" t="n">
        <v>43901</v>
      </c>
      <c r="B474" s="1260" t="inlineStr">
        <is>
          <t>sam stacey</t>
        </is>
      </c>
      <c r="C474" s="1255" t="inlineStr">
        <is>
          <t>1. Courses/masterclasses</t>
        </is>
      </c>
      <c r="D474" s="1260" t="inlineStr">
        <is>
          <t>Stripe</t>
        </is>
      </c>
      <c r="E474" s="1394" t="n">
        <v>60</v>
      </c>
      <c r="F474" s="1260" t="inlineStr">
        <is>
          <t>Get Off Auto</t>
        </is>
      </c>
      <c r="G474" s="1260" t="inlineStr">
        <is>
          <t>Google</t>
        </is>
      </c>
    </row>
    <row r="475" ht="13.5" customHeight="1" s="1232">
      <c r="A475" s="1393" t="n">
        <v>43902</v>
      </c>
      <c r="B475" s="1260" t="inlineStr">
        <is>
          <t>James Hughes</t>
        </is>
      </c>
      <c r="C475" s="1255" t="inlineStr">
        <is>
          <t>11. Other</t>
        </is>
      </c>
      <c r="D475" s="1260" t="inlineStr">
        <is>
          <t>Stripe</t>
        </is>
      </c>
      <c r="E475" s="1394" t="n">
        <v>2.7</v>
      </c>
      <c r="F475" s="1260" t="inlineStr">
        <is>
          <t>Pocket Guides</t>
        </is>
      </c>
      <c r="G475" s="1260" t="inlineStr">
        <is>
          <t>Google</t>
        </is>
      </c>
    </row>
    <row r="476" ht="13.5" customHeight="1" s="1232">
      <c r="A476" s="1393" t="n">
        <v>43903</v>
      </c>
      <c r="B476" s="1260" t="inlineStr">
        <is>
          <t>Carol Hogg</t>
        </is>
      </c>
      <c r="C476" s="1255" t="inlineStr">
        <is>
          <t>2. Workshops</t>
        </is>
      </c>
      <c r="D476" s="1260" t="inlineStr">
        <is>
          <t>Stripe</t>
        </is>
      </c>
      <c r="E476" s="1394" t="n">
        <v>99</v>
      </c>
      <c r="F476" s="1260" t="inlineStr">
        <is>
          <t>Bluebells</t>
        </is>
      </c>
      <c r="G476" s="1260" t="inlineStr">
        <is>
          <t>Facebook</t>
        </is>
      </c>
    </row>
    <row r="477" ht="13.5" customHeight="1" s="1232">
      <c r="A477" s="1393" t="n">
        <v>43899</v>
      </c>
      <c r="B477" s="1260" t="inlineStr">
        <is>
          <t>HUMAYOUN KHAN</t>
        </is>
      </c>
      <c r="C477" s="1255" t="inlineStr">
        <is>
          <t>1. Courses/masterclasses</t>
        </is>
      </c>
      <c r="D477" s="1260" t="inlineStr">
        <is>
          <t>Paypal</t>
        </is>
      </c>
      <c r="E477" s="1394" t="n">
        <v>30</v>
      </c>
      <c r="F477" s="1260" t="inlineStr">
        <is>
          <t>Get Off Auto</t>
        </is>
      </c>
      <c r="G477" s="1260" t="inlineStr">
        <is>
          <t>Google</t>
        </is>
      </c>
    </row>
    <row r="478" ht="13.5" customHeight="1" s="1232">
      <c r="A478" s="1393" t="n">
        <v>43901</v>
      </c>
      <c r="B478" s="1260" t="inlineStr">
        <is>
          <t>Dylan Montell</t>
        </is>
      </c>
      <c r="C478" s="1255" t="inlineStr">
        <is>
          <t>2. Workshops</t>
        </is>
      </c>
      <c r="D478" s="1260" t="inlineStr">
        <is>
          <t>Gift Voucher Out</t>
        </is>
      </c>
      <c r="E478" s="1394" t="n">
        <v>60</v>
      </c>
      <c r="F478" s="1260" t="inlineStr">
        <is>
          <t>Chesterton</t>
        </is>
      </c>
      <c r="G478" s="1260" t="inlineStr">
        <is>
          <t>Google</t>
        </is>
      </c>
    </row>
    <row r="479" ht="13.5" customHeight="1" s="1232">
      <c r="A479" s="1393" t="n">
        <v>43901</v>
      </c>
      <c r="B479" s="1260" t="inlineStr">
        <is>
          <t>Dylan Montell</t>
        </is>
      </c>
      <c r="C479" s="1255" t="inlineStr">
        <is>
          <t>8. Gift Vouchers Out</t>
        </is>
      </c>
      <c r="D479" s="1260" t="inlineStr">
        <is>
          <t>Gift Voucher Out</t>
        </is>
      </c>
      <c r="E479" s="1394" t="n">
        <v>-60</v>
      </c>
      <c r="F479" s="1260" t="inlineStr">
        <is>
          <t>Chesterton</t>
        </is>
      </c>
      <c r="G479" s="1260" t="inlineStr">
        <is>
          <t>Google</t>
        </is>
      </c>
    </row>
    <row r="480" ht="13.5" customHeight="1" s="1232">
      <c r="A480" s="1393" t="n">
        <v>43901</v>
      </c>
      <c r="B480" s="1260" t="inlineStr">
        <is>
          <t>Dylan Montell</t>
        </is>
      </c>
      <c r="C480" s="1255" t="inlineStr">
        <is>
          <t>2. Workshops</t>
        </is>
      </c>
      <c r="D480" s="1260" t="inlineStr">
        <is>
          <t>Gift Voucher Out</t>
        </is>
      </c>
      <c r="E480" s="1394" t="n">
        <v>75</v>
      </c>
      <c r="F480" s="1260" t="inlineStr">
        <is>
          <t>Poppy Workshop</t>
        </is>
      </c>
      <c r="G480" s="1260" t="inlineStr">
        <is>
          <t>Google</t>
        </is>
      </c>
    </row>
    <row r="481" ht="13.5" customHeight="1" s="1232">
      <c r="A481" s="1393" t="n">
        <v>43901</v>
      </c>
      <c r="B481" s="1260" t="inlineStr">
        <is>
          <t>Dylan Montell</t>
        </is>
      </c>
      <c r="C481" s="1255" t="inlineStr">
        <is>
          <t>8. Gift Vouchers Out</t>
        </is>
      </c>
      <c r="D481" s="1260" t="inlineStr">
        <is>
          <t>Gift Voucher Out</t>
        </is>
      </c>
      <c r="E481" s="1394" t="n">
        <v>-75</v>
      </c>
      <c r="F481" s="1260" t="inlineStr">
        <is>
          <t>Poppy Workshop</t>
        </is>
      </c>
      <c r="G481" s="1260" t="inlineStr">
        <is>
          <t>Google</t>
        </is>
      </c>
    </row>
    <row r="482" ht="13.5" customHeight="1" s="1232">
      <c r="A482" s="1393" t="n">
        <v>43900</v>
      </c>
      <c r="B482" s="1260" t="inlineStr">
        <is>
          <t>Neil Evans</t>
        </is>
      </c>
      <c r="C482" s="1255" t="inlineStr">
        <is>
          <t>2. Workshops</t>
        </is>
      </c>
      <c r="D482" s="1260" t="inlineStr">
        <is>
          <t>Stripe</t>
        </is>
      </c>
      <c r="E482" s="1394" t="n">
        <v>99</v>
      </c>
      <c r="F482" s="1260" t="inlineStr">
        <is>
          <t>Bluebells</t>
        </is>
      </c>
      <c r="G482" s="1260" t="inlineStr">
        <is>
          <t>Existing</t>
        </is>
      </c>
    </row>
    <row r="483" ht="13.5" customHeight="1" s="1232">
      <c r="A483" s="1393" t="n">
        <v>43899</v>
      </c>
      <c r="B483" s="1260" t="inlineStr">
        <is>
          <t>Neil Smith</t>
        </is>
      </c>
      <c r="C483" s="1255" t="inlineStr">
        <is>
          <t>2. Workshops</t>
        </is>
      </c>
      <c r="D483" s="1260" t="inlineStr">
        <is>
          <t>Paypal</t>
        </is>
      </c>
      <c r="E483" s="1394" t="n">
        <v>198</v>
      </c>
      <c r="F483" s="1260" t="inlineStr">
        <is>
          <t>Peak District</t>
        </is>
      </c>
      <c r="G483" s="1260" t="inlineStr">
        <is>
          <t>Google</t>
        </is>
      </c>
    </row>
    <row r="484" ht="13.5" customHeight="1" s="1232">
      <c r="A484" s="1393" t="n">
        <v>43896</v>
      </c>
      <c r="B484" s="1260" t="inlineStr">
        <is>
          <t>Arthur Masters</t>
        </is>
      </c>
      <c r="C484" s="1255" t="inlineStr">
        <is>
          <t>1. Courses/masterclasses</t>
        </is>
      </c>
      <c r="D484" s="1260" t="inlineStr">
        <is>
          <t>Bank</t>
        </is>
      </c>
      <c r="E484" s="1394" t="n">
        <v>200</v>
      </c>
      <c r="F484" s="1260" t="inlineStr">
        <is>
          <t>LR Course</t>
        </is>
      </c>
      <c r="G484" s="1260" t="inlineStr">
        <is>
          <t>ELS</t>
        </is>
      </c>
    </row>
    <row r="485" ht="13.5" customHeight="1" s="1232">
      <c r="A485" s="1393" t="n">
        <v>43895</v>
      </c>
      <c r="B485" s="1260" t="inlineStr">
        <is>
          <t>Heart of Garden</t>
        </is>
      </c>
      <c r="C485" s="1255" t="inlineStr">
        <is>
          <t>9. Prints &amp; Royalties</t>
        </is>
      </c>
      <c r="D485" s="1260" t="inlineStr">
        <is>
          <t>Bank</t>
        </is>
      </c>
      <c r="E485" s="1394" t="n">
        <v>126.02</v>
      </c>
      <c r="F485" s="1260" t="inlineStr">
        <is>
          <t>Greeting Card Sales</t>
        </is>
      </c>
      <c r="G485" s="1260" t="inlineStr">
        <is>
          <t>Existing</t>
        </is>
      </c>
    </row>
    <row r="486" ht="13.5" customHeight="1" s="1232">
      <c r="A486" s="1393" t="n">
        <v>43895</v>
      </c>
      <c r="B486" s="1260" t="inlineStr">
        <is>
          <t>Artfully Walls</t>
        </is>
      </c>
      <c r="C486" s="1255" t="inlineStr">
        <is>
          <t>9. Prints &amp; Royalties</t>
        </is>
      </c>
      <c r="D486" s="1260" t="inlineStr">
        <is>
          <t>Paypal</t>
        </is>
      </c>
      <c r="E486" s="1394">
        <f>64.06/1.3</f>
        <v/>
      </c>
      <c r="F486" s="1260" t="inlineStr">
        <is>
          <t>Print Sales</t>
        </is>
      </c>
      <c r="G486" s="1260" t="inlineStr">
        <is>
          <t>Existing</t>
        </is>
      </c>
    </row>
    <row r="487" ht="13.5" customHeight="1" s="1232">
      <c r="A487" s="1393" t="n">
        <v>43893</v>
      </c>
      <c r="B487" s="1260" t="inlineStr">
        <is>
          <t>HR Tween</t>
        </is>
      </c>
      <c r="C487" s="1255" t="inlineStr">
        <is>
          <t>7. Gift Vouchers Inc</t>
        </is>
      </c>
      <c r="D487" s="1260" t="inlineStr">
        <is>
          <t>Paypal</t>
        </is>
      </c>
      <c r="E487" s="1394" t="n">
        <v>150</v>
      </c>
      <c r="F487" s="1260" t="inlineStr">
        <is>
          <t>Digital Gift Card</t>
        </is>
      </c>
      <c r="G487" s="1260" t="inlineStr">
        <is>
          <t>Google</t>
        </is>
      </c>
    </row>
    <row r="488" ht="13.5" customHeight="1" s="1232">
      <c r="A488" s="1393" t="n">
        <v>43893</v>
      </c>
      <c r="B488" s="1260" t="inlineStr">
        <is>
          <t>Hermon Mehari</t>
        </is>
      </c>
      <c r="C488" s="1255" t="inlineStr">
        <is>
          <t>1. Courses/masterclasses</t>
        </is>
      </c>
      <c r="D488" s="1260" t="inlineStr">
        <is>
          <t>Stripe</t>
        </is>
      </c>
      <c r="E488" s="1394" t="n">
        <v>250</v>
      </c>
      <c r="F488" s="1260" t="inlineStr">
        <is>
          <t>5wk Beginners</t>
        </is>
      </c>
      <c r="G488" s="1260" t="inlineStr">
        <is>
          <t>Google</t>
        </is>
      </c>
    </row>
    <row r="489" ht="13.5" customHeight="1" s="1232">
      <c r="A489" s="1393" t="n">
        <v>43892</v>
      </c>
      <c r="B489" s="1260" t="inlineStr">
        <is>
          <t>Joy Gale</t>
        </is>
      </c>
      <c r="C489" s="1255" t="inlineStr">
        <is>
          <t>7. Gift Vouchers Inc</t>
        </is>
      </c>
      <c r="D489" s="1260" t="inlineStr">
        <is>
          <t>Stripe</t>
        </is>
      </c>
      <c r="E489" s="1261" t="n">
        <v>25</v>
      </c>
      <c r="F489" s="1260" t="inlineStr">
        <is>
          <t>Digital Gift Card</t>
        </is>
      </c>
      <c r="G489" s="1260" t="inlineStr">
        <is>
          <t>Google</t>
        </is>
      </c>
    </row>
    <row r="490" ht="13.5" customHeight="1" s="1232">
      <c r="A490" s="1393" t="n">
        <v>43891</v>
      </c>
      <c r="B490" s="1260" t="inlineStr">
        <is>
          <t>Pick n Mix March</t>
        </is>
      </c>
      <c r="C490" s="1255" t="inlineStr">
        <is>
          <t>3. Pick n Mix Inc</t>
        </is>
      </c>
      <c r="D490" s="1260" t="inlineStr">
        <is>
          <t>Various</t>
        </is>
      </c>
      <c r="E490" s="1394" t="n">
        <v>571.25</v>
      </c>
      <c r="F490" s="1260" t="inlineStr">
        <is>
          <t>Pick N Mix Payments</t>
        </is>
      </c>
      <c r="G490" s="1260" t="inlineStr">
        <is>
          <t>Existing</t>
        </is>
      </c>
    </row>
    <row r="491" ht="13.5" customHeight="1" s="1232">
      <c r="A491" s="1393" t="n">
        <v>43891</v>
      </c>
      <c r="B491" s="1260" t="inlineStr">
        <is>
          <t>Mentoring March</t>
        </is>
      </c>
      <c r="C491" s="1255" t="inlineStr">
        <is>
          <t>5. Mentoring</t>
        </is>
      </c>
      <c r="D491" s="1255" t="inlineStr">
        <is>
          <t>Various</t>
        </is>
      </c>
      <c r="E491" s="1261" t="n">
        <v>40</v>
      </c>
      <c r="F491" s="1255" t="inlineStr">
        <is>
          <t>Mentoring Subs</t>
        </is>
      </c>
      <c r="G491" s="1255" t="inlineStr">
        <is>
          <t>Existing</t>
        </is>
      </c>
    </row>
    <row r="492" ht="13.5" customHeight="1" s="1232">
      <c r="A492" s="1393" t="n"/>
      <c r="B492" s="1260" t="n"/>
      <c r="D492" s="1260" t="n"/>
      <c r="E492" s="1394" t="n"/>
      <c r="F492" s="1260" t="n"/>
      <c r="G492" s="1260" t="n"/>
    </row>
    <row r="493" ht="13.5" customHeight="1" s="1232">
      <c r="A493" s="1393" t="n">
        <v>43889</v>
      </c>
      <c r="B493" s="1260" t="inlineStr">
        <is>
          <t>claudia windley</t>
        </is>
      </c>
      <c r="C493" s="1255" t="inlineStr">
        <is>
          <t>1. Courses/masterclasses</t>
        </is>
      </c>
      <c r="D493" s="1260" t="inlineStr">
        <is>
          <t>PayPal</t>
        </is>
      </c>
      <c r="E493" s="1394" t="n">
        <v>250</v>
      </c>
      <c r="F493" s="1260" t="inlineStr">
        <is>
          <t>5wk Beginners Course</t>
        </is>
      </c>
      <c r="G493" s="1260" t="inlineStr">
        <is>
          <t>Google</t>
        </is>
      </c>
    </row>
    <row r="494" ht="13.5" customHeight="1" s="1232">
      <c r="A494" s="1393" t="n">
        <v>43887</v>
      </c>
      <c r="B494" s="1260" t="inlineStr">
        <is>
          <t>Clare Louise</t>
        </is>
      </c>
      <c r="C494" s="1255" t="inlineStr">
        <is>
          <t>6. 1-2-1</t>
        </is>
      </c>
      <c r="D494" s="1260" t="inlineStr">
        <is>
          <t>PayPal</t>
        </is>
      </c>
      <c r="E494" s="1394" t="n">
        <v>65</v>
      </c>
      <c r="F494" s="1282" t="inlineStr">
        <is>
          <t>1-2-1</t>
        </is>
      </c>
      <c r="G494" s="1260" t="inlineStr">
        <is>
          <t>Google</t>
        </is>
      </c>
    </row>
    <row r="495" ht="13.5" customHeight="1" s="1232">
      <c r="A495" s="1393" t="n">
        <v>43886</v>
      </c>
      <c r="B495" s="1260" t="inlineStr">
        <is>
          <t>Catherine Wood</t>
        </is>
      </c>
      <c r="C495" s="1255" t="inlineStr">
        <is>
          <t>11. Other</t>
        </is>
      </c>
      <c r="D495" s="1260" t="inlineStr">
        <is>
          <t>PayPal</t>
        </is>
      </c>
      <c r="E495" s="1394" t="n">
        <v>25</v>
      </c>
      <c r="F495" s="1260" t="inlineStr">
        <is>
          <t>Sensor Clean</t>
        </is>
      </c>
      <c r="G495" s="1260" t="inlineStr">
        <is>
          <t>Existing</t>
        </is>
      </c>
    </row>
    <row r="496" ht="13.5" customHeight="1" s="1232">
      <c r="A496" s="1393" t="n">
        <v>43886</v>
      </c>
      <c r="B496" s="1260" t="inlineStr">
        <is>
          <t>Jean Dance</t>
        </is>
      </c>
      <c r="C496" s="1255" t="inlineStr">
        <is>
          <t>2. Workshops</t>
        </is>
      </c>
      <c r="D496" s="1260" t="inlineStr">
        <is>
          <t>Stripe</t>
        </is>
      </c>
      <c r="E496" s="1394" t="n">
        <v>10</v>
      </c>
      <c r="F496" s="1260" t="inlineStr">
        <is>
          <t>Woodland Walk</t>
        </is>
      </c>
      <c r="G496" s="1260" t="inlineStr">
        <is>
          <t>Existing</t>
        </is>
      </c>
    </row>
    <row r="497" ht="13.5" customHeight="1" s="1232">
      <c r="A497" s="1393" t="n">
        <v>43885</v>
      </c>
      <c r="B497" s="1260" t="inlineStr">
        <is>
          <t>Robert Earl</t>
        </is>
      </c>
      <c r="C497" s="1255" t="inlineStr">
        <is>
          <t>2. Workshops</t>
        </is>
      </c>
      <c r="D497" s="1260" t="inlineStr">
        <is>
          <t>Stripe</t>
        </is>
      </c>
      <c r="E497" s="1394" t="n">
        <v>10</v>
      </c>
      <c r="F497" s="1260" t="inlineStr">
        <is>
          <t>Woodland Walk</t>
        </is>
      </c>
      <c r="G497" s="1260" t="inlineStr">
        <is>
          <t>Google</t>
        </is>
      </c>
    </row>
    <row r="498" ht="13.5" customHeight="1" s="1232">
      <c r="A498" s="1393" t="n">
        <v>43884</v>
      </c>
      <c r="B498" s="1260" t="inlineStr">
        <is>
          <t>Ms D Davis</t>
        </is>
      </c>
      <c r="C498" s="1255" t="inlineStr">
        <is>
          <t>2. Workshops</t>
        </is>
      </c>
      <c r="D498" s="1260" t="inlineStr">
        <is>
          <t>PayPal</t>
        </is>
      </c>
      <c r="E498" s="1394" t="n">
        <v>20</v>
      </c>
      <c r="F498" s="1260" t="inlineStr">
        <is>
          <t>Dorset Workshop</t>
        </is>
      </c>
      <c r="G498" s="1260" t="inlineStr">
        <is>
          <t>Google</t>
        </is>
      </c>
    </row>
    <row r="499" ht="13.5" customHeight="1" s="1232">
      <c r="A499" s="1393" t="n">
        <v>43884</v>
      </c>
      <c r="B499" s="1260" t="inlineStr">
        <is>
          <t>Ms D Davis</t>
        </is>
      </c>
      <c r="C499" s="1255" t="inlineStr">
        <is>
          <t>2. Workshops</t>
        </is>
      </c>
      <c r="D499" s="1260" t="inlineStr">
        <is>
          <t>Gift Voucher Out</t>
        </is>
      </c>
      <c r="E499" s="1394" t="n">
        <v>475</v>
      </c>
      <c r="F499" s="1260" t="inlineStr">
        <is>
          <t>Dorset Workshop</t>
        </is>
      </c>
      <c r="G499" s="1260" t="inlineStr">
        <is>
          <t>Google</t>
        </is>
      </c>
    </row>
    <row r="500" ht="13.5" customHeight="1" s="1232">
      <c r="A500" s="1393" t="n">
        <v>43884</v>
      </c>
      <c r="B500" s="1260" t="inlineStr">
        <is>
          <t>Ms D Davis</t>
        </is>
      </c>
      <c r="C500" s="1255" t="inlineStr">
        <is>
          <t>8. Gift Vouchers Out</t>
        </is>
      </c>
      <c r="D500" s="1260" t="inlineStr">
        <is>
          <t>Gift Voucher Out</t>
        </is>
      </c>
      <c r="E500" s="1394" t="n">
        <v>-475</v>
      </c>
      <c r="F500" s="1260" t="inlineStr">
        <is>
          <t>Dorset Workshop</t>
        </is>
      </c>
      <c r="G500" s="1260" t="inlineStr">
        <is>
          <t>Google</t>
        </is>
      </c>
    </row>
    <row r="501" ht="13.5" customHeight="1" s="1232">
      <c r="A501" s="1393" t="n">
        <v>43884</v>
      </c>
      <c r="B501" s="1260" t="inlineStr">
        <is>
          <t>Janet Boulter</t>
        </is>
      </c>
      <c r="C501" s="1255" t="inlineStr">
        <is>
          <t>6. 1-2-1</t>
        </is>
      </c>
      <c r="D501" s="1260" t="inlineStr">
        <is>
          <t>Stripe</t>
        </is>
      </c>
      <c r="E501" s="1394" t="n">
        <v>360</v>
      </c>
      <c r="F501" s="1260" t="inlineStr">
        <is>
          <t>4 x2hr 1-2-1 Sessions</t>
        </is>
      </c>
      <c r="G501" s="1260" t="inlineStr">
        <is>
          <t>Existing</t>
        </is>
      </c>
    </row>
    <row r="502" ht="13.5" customHeight="1" s="1232">
      <c r="A502" s="1393" t="n">
        <v>43884</v>
      </c>
      <c r="B502" s="1260" t="inlineStr">
        <is>
          <t>Janet Boulter</t>
        </is>
      </c>
      <c r="C502" s="1255" t="inlineStr">
        <is>
          <t>2. Workshops</t>
        </is>
      </c>
      <c r="D502" s="1260" t="inlineStr">
        <is>
          <t>Stripe</t>
        </is>
      </c>
      <c r="E502" s="1394" t="n">
        <v>60</v>
      </c>
      <c r="F502" s="1260" t="inlineStr">
        <is>
          <t>Chesterton Workshop</t>
        </is>
      </c>
      <c r="G502" s="1260" t="inlineStr">
        <is>
          <t>Existing</t>
        </is>
      </c>
    </row>
    <row r="503" ht="13.5" customHeight="1" s="1232">
      <c r="A503" s="1393" t="n">
        <v>43882</v>
      </c>
      <c r="B503" s="1260" t="inlineStr">
        <is>
          <t>Bethan Lee</t>
        </is>
      </c>
      <c r="C503" s="1255" t="inlineStr">
        <is>
          <t>2. Workshops</t>
        </is>
      </c>
      <c r="D503" s="1260" t="inlineStr">
        <is>
          <t>Stripe</t>
        </is>
      </c>
      <c r="E503" s="1394" t="n">
        <v>99</v>
      </c>
      <c r="F503" s="1260" t="inlineStr">
        <is>
          <t>Bluebells</t>
        </is>
      </c>
      <c r="G503" s="1260" t="inlineStr">
        <is>
          <t>Facebook</t>
        </is>
      </c>
    </row>
    <row r="504" ht="13.5" customHeight="1" s="1232">
      <c r="A504" s="1393" t="n">
        <v>43880</v>
      </c>
      <c r="B504" s="1260" t="inlineStr">
        <is>
          <t>Adrian Willcock - ELS</t>
        </is>
      </c>
      <c r="C504" s="1255" t="inlineStr">
        <is>
          <t>1. Courses/masterclasses</t>
        </is>
      </c>
      <c r="D504" s="1260" t="inlineStr">
        <is>
          <t>Bank</t>
        </is>
      </c>
      <c r="E504" s="1394" t="n">
        <v>150</v>
      </c>
      <c r="F504" s="1260" t="inlineStr">
        <is>
          <t>Beginners Course</t>
        </is>
      </c>
      <c r="G504" s="1260" t="inlineStr">
        <is>
          <t>ELS</t>
        </is>
      </c>
    </row>
    <row r="505" ht="13.5" customHeight="1" s="1232">
      <c r="A505" s="1393" t="n">
        <v>43878</v>
      </c>
      <c r="B505" s="1260" t="inlineStr">
        <is>
          <t>Claire Mcbrearty</t>
        </is>
      </c>
      <c r="C505" s="1255" t="inlineStr">
        <is>
          <t>1. Courses/masterclasses</t>
        </is>
      </c>
      <c r="D505" s="1260" t="inlineStr">
        <is>
          <t>PayPal</t>
        </is>
      </c>
      <c r="E505" s="1394" t="n">
        <v>230</v>
      </c>
      <c r="F505" s="1260" t="inlineStr">
        <is>
          <t>4wk Beginners Course</t>
        </is>
      </c>
      <c r="G505" s="1260" t="inlineStr">
        <is>
          <t>Google</t>
        </is>
      </c>
    </row>
    <row r="506" ht="13.5" customHeight="1" s="1232">
      <c r="A506" s="1393" t="n">
        <v>43878</v>
      </c>
      <c r="B506" s="1260" t="inlineStr">
        <is>
          <t>Jennifer Loh</t>
        </is>
      </c>
      <c r="C506" s="1255" t="inlineStr">
        <is>
          <t>6. 1-2-1</t>
        </is>
      </c>
      <c r="D506" s="1260" t="inlineStr">
        <is>
          <t>PayPal</t>
        </is>
      </c>
      <c r="E506" s="1394" t="n">
        <v>360</v>
      </c>
      <c r="F506" s="1260" t="inlineStr">
        <is>
          <t>4 x2hr 1-2-1 Sessions</t>
        </is>
      </c>
      <c r="G506" s="1260" t="inlineStr">
        <is>
          <t>Google</t>
        </is>
      </c>
    </row>
    <row r="507" ht="13.5" customHeight="1" s="1232">
      <c r="A507" s="1393" t="n">
        <v>43875</v>
      </c>
      <c r="B507" s="1260" t="inlineStr">
        <is>
          <t>victoria mitchell</t>
        </is>
      </c>
      <c r="C507" s="1255" t="inlineStr">
        <is>
          <t>1. Courses/masterclasses</t>
        </is>
      </c>
      <c r="D507" s="1260" t="inlineStr">
        <is>
          <t>PayPal</t>
        </is>
      </c>
      <c r="E507" s="1394" t="n">
        <v>200</v>
      </c>
      <c r="F507" s="1260" t="inlineStr">
        <is>
          <t>Lightroom Course</t>
        </is>
      </c>
      <c r="G507" s="1260" t="inlineStr">
        <is>
          <t>Existing</t>
        </is>
      </c>
    </row>
    <row r="508" ht="13.5" customHeight="1" s="1232">
      <c r="A508" s="1393" t="n">
        <v>43874</v>
      </c>
      <c r="B508" s="1260" t="inlineStr">
        <is>
          <t>signe frei</t>
        </is>
      </c>
      <c r="C508" s="1255" t="inlineStr">
        <is>
          <t>2. Workshops</t>
        </is>
      </c>
      <c r="D508" s="1260" t="inlineStr">
        <is>
          <t>PayPal</t>
        </is>
      </c>
      <c r="E508" s="1394" t="n">
        <v>99</v>
      </c>
      <c r="F508" s="1260" t="inlineStr">
        <is>
          <t>Bluebells</t>
        </is>
      </c>
      <c r="G508" s="1260" t="inlineStr">
        <is>
          <t>Facebook</t>
        </is>
      </c>
    </row>
    <row r="509" ht="13.5" customHeight="1" s="1232">
      <c r="A509" s="1393" t="n">
        <v>43874</v>
      </c>
      <c r="B509" s="1260" t="inlineStr">
        <is>
          <t>Sheila Semple</t>
        </is>
      </c>
      <c r="C509" s="1255" t="inlineStr">
        <is>
          <t>2. Workshops</t>
        </is>
      </c>
      <c r="D509" s="1260" t="inlineStr">
        <is>
          <t>PayPal</t>
        </is>
      </c>
      <c r="E509" s="1394" t="n">
        <v>99</v>
      </c>
      <c r="F509" s="1260" t="inlineStr">
        <is>
          <t>Bluebells</t>
        </is>
      </c>
      <c r="G509" s="1260" t="inlineStr">
        <is>
          <t>Google</t>
        </is>
      </c>
    </row>
    <row r="510" ht="13.5" customHeight="1" s="1232">
      <c r="A510" s="1393" t="n">
        <v>43874</v>
      </c>
      <c r="B510" s="1260" t="inlineStr">
        <is>
          <t>Sarah Perkins</t>
        </is>
      </c>
      <c r="C510" s="1255" t="inlineStr">
        <is>
          <t>9. Prints &amp; Royalties</t>
        </is>
      </c>
      <c r="D510" s="1260" t="inlineStr">
        <is>
          <t>Stripe</t>
        </is>
      </c>
      <c r="E510" s="1394" t="n">
        <v>165</v>
      </c>
      <c r="F510" s="1260" t="inlineStr">
        <is>
          <t>Chesterton Print</t>
        </is>
      </c>
      <c r="G510" s="1260" t="inlineStr">
        <is>
          <t>Google</t>
        </is>
      </c>
    </row>
    <row r="511" ht="13.5" customHeight="1" s="1232">
      <c r="A511" s="1393" t="n">
        <v>43874</v>
      </c>
      <c r="B511" s="1260" t="inlineStr">
        <is>
          <t>Ian Harrop</t>
        </is>
      </c>
      <c r="C511" s="1255" t="inlineStr">
        <is>
          <t>2. Workshops</t>
        </is>
      </c>
      <c r="D511" s="1260" t="inlineStr">
        <is>
          <t>Stripe</t>
        </is>
      </c>
      <c r="E511" s="1394" t="n">
        <v>10</v>
      </c>
      <c r="F511" s="1260" t="inlineStr">
        <is>
          <t>Woodland Walk</t>
        </is>
      </c>
      <c r="G511" s="1260" t="inlineStr">
        <is>
          <t>Existing</t>
        </is>
      </c>
    </row>
    <row r="512" ht="13.5" customHeight="1" s="1232">
      <c r="A512" s="1393" t="n">
        <v>43874</v>
      </c>
      <c r="B512" s="1260" t="inlineStr">
        <is>
          <t>Albert Tonks</t>
        </is>
      </c>
      <c r="C512" s="1255" t="inlineStr">
        <is>
          <t>7. Gift Vouchers Inc</t>
        </is>
      </c>
      <c r="D512" s="1260" t="inlineStr">
        <is>
          <t>Stripe</t>
        </is>
      </c>
      <c r="E512" s="1394" t="n">
        <v>475</v>
      </c>
      <c r="F512" s="1260" t="inlineStr">
        <is>
          <t>Digital Gift Card</t>
        </is>
      </c>
      <c r="G512" s="1260" t="inlineStr">
        <is>
          <t>Google</t>
        </is>
      </c>
    </row>
    <row r="513" ht="13.5" customHeight="1" s="1232">
      <c r="A513" s="1393" t="n">
        <v>43872</v>
      </c>
      <c r="B513" s="1260" t="inlineStr">
        <is>
          <t>Sue Chambers</t>
        </is>
      </c>
      <c r="C513" s="1255" t="inlineStr">
        <is>
          <t>1. Courses/masterclasses</t>
        </is>
      </c>
      <c r="D513" s="1260" t="inlineStr">
        <is>
          <t>PayPal</t>
        </is>
      </c>
      <c r="E513" s="1394" t="n">
        <v>30</v>
      </c>
      <c r="F513" s="1260" t="inlineStr">
        <is>
          <t>Get Off Auto</t>
        </is>
      </c>
      <c r="G513" s="1260" t="inlineStr">
        <is>
          <t>Google</t>
        </is>
      </c>
    </row>
    <row r="514" ht="13.5" customHeight="1" s="1232">
      <c r="A514" s="1393" t="n">
        <v>43872</v>
      </c>
      <c r="B514" s="1260" t="inlineStr">
        <is>
          <t>Robert Ellis</t>
        </is>
      </c>
      <c r="C514" s="1255" t="inlineStr">
        <is>
          <t>2. Workshops</t>
        </is>
      </c>
      <c r="D514" s="1260" t="inlineStr">
        <is>
          <t>Stripe</t>
        </is>
      </c>
      <c r="E514" s="1394" t="n">
        <v>10</v>
      </c>
      <c r="F514" s="1260" t="inlineStr">
        <is>
          <t>Woodland Walk</t>
        </is>
      </c>
      <c r="G514" s="1260" t="inlineStr">
        <is>
          <t>Google</t>
        </is>
      </c>
    </row>
    <row r="515" ht="13.5" customHeight="1" s="1232">
      <c r="A515" s="1393" t="n">
        <v>43871</v>
      </c>
      <c r="B515" s="1260" t="inlineStr">
        <is>
          <t>Huw Jones</t>
        </is>
      </c>
      <c r="C515" s="1255" t="inlineStr">
        <is>
          <t>2. Workshops</t>
        </is>
      </c>
      <c r="D515" s="1260" t="inlineStr">
        <is>
          <t>Stripe</t>
        </is>
      </c>
      <c r="E515" s="1394" t="n">
        <v>745</v>
      </c>
      <c r="F515" s="1260" t="inlineStr">
        <is>
          <t>Lake District Nov</t>
        </is>
      </c>
      <c r="G515" s="1260" t="inlineStr">
        <is>
          <t>Existing</t>
        </is>
      </c>
    </row>
    <row r="516" ht="13.5" customHeight="1" s="1232">
      <c r="A516" s="1393" t="n">
        <v>43871</v>
      </c>
      <c r="B516" s="1260" t="inlineStr">
        <is>
          <t>Susan Young</t>
        </is>
      </c>
      <c r="C516" s="1255" t="inlineStr">
        <is>
          <t>2. Workshops</t>
        </is>
      </c>
      <c r="D516" s="1260" t="inlineStr">
        <is>
          <t>Stripe</t>
        </is>
      </c>
      <c r="E516" s="1394" t="n">
        <v>50</v>
      </c>
      <c r="F516" s="1260" t="inlineStr">
        <is>
          <t>LE Workshop March</t>
        </is>
      </c>
      <c r="G516" s="1260" t="inlineStr">
        <is>
          <t>Google</t>
        </is>
      </c>
    </row>
    <row r="517" ht="13.5" customHeight="1" s="1232">
      <c r="A517" s="1393" t="n">
        <v>43869</v>
      </c>
      <c r="B517" s="1260" t="inlineStr">
        <is>
          <t>Ester Riordan</t>
        </is>
      </c>
      <c r="C517" s="1255" t="inlineStr">
        <is>
          <t>2. Workshops</t>
        </is>
      </c>
      <c r="D517" s="1260" t="inlineStr">
        <is>
          <t>Stripe</t>
        </is>
      </c>
      <c r="E517" s="1394" t="n">
        <v>50</v>
      </c>
      <c r="F517" s="1260" t="inlineStr">
        <is>
          <t>LE Workshop March</t>
        </is>
      </c>
      <c r="G517" s="1260" t="inlineStr">
        <is>
          <t>Existing</t>
        </is>
      </c>
    </row>
    <row r="518" ht="13.5" customHeight="1" s="1232">
      <c r="A518" s="1393" t="n">
        <v>43866</v>
      </c>
      <c r="B518" s="1260" t="inlineStr">
        <is>
          <t xml:space="preserve">Maria Naeem </t>
        </is>
      </c>
      <c r="C518" s="1255" t="inlineStr">
        <is>
          <t>1. Courses/masterclasses</t>
        </is>
      </c>
      <c r="D518" s="1260" t="inlineStr">
        <is>
          <t>Stripe</t>
        </is>
      </c>
      <c r="E518" s="1394" t="n">
        <v>230</v>
      </c>
      <c r="F518" s="1260" t="inlineStr">
        <is>
          <t>4wk Beginners Course</t>
        </is>
      </c>
      <c r="G518" s="1260" t="inlineStr">
        <is>
          <t>Existing</t>
        </is>
      </c>
    </row>
    <row r="519" ht="13.5" customHeight="1" s="1232">
      <c r="A519" s="1393" t="n">
        <v>43866</v>
      </c>
      <c r="B519" s="1260" t="inlineStr">
        <is>
          <t>lauren lea</t>
        </is>
      </c>
      <c r="C519" s="1255" t="inlineStr">
        <is>
          <t>1. Courses/masterclasses</t>
        </is>
      </c>
      <c r="D519" s="1260" t="inlineStr">
        <is>
          <t>Bank</t>
        </is>
      </c>
      <c r="E519" s="1394" t="n">
        <v>200</v>
      </c>
      <c r="F519" s="1260" t="inlineStr">
        <is>
          <t>4wk Beginners Course</t>
        </is>
      </c>
      <c r="G519" s="1260" t="inlineStr">
        <is>
          <t>Existing</t>
        </is>
      </c>
    </row>
    <row r="520" ht="13.5" customHeight="1" s="1232">
      <c r="A520" s="1393" t="n">
        <v>43866</v>
      </c>
      <c r="B520" s="1260" t="inlineStr">
        <is>
          <t>Jayne Dalziel</t>
        </is>
      </c>
      <c r="C520" s="1255" t="inlineStr">
        <is>
          <t>2. Workshops</t>
        </is>
      </c>
      <c r="D520" s="1260" t="inlineStr">
        <is>
          <t>Stripe</t>
        </is>
      </c>
      <c r="E520" s="1394" t="n">
        <v>50</v>
      </c>
      <c r="F520" s="1260" t="inlineStr">
        <is>
          <t>LE Workshop March</t>
        </is>
      </c>
      <c r="G520" s="1260" t="inlineStr">
        <is>
          <t>Google</t>
        </is>
      </c>
    </row>
    <row r="521" ht="13.5" customHeight="1" s="1232">
      <c r="A521" s="1393" t="n">
        <v>43866</v>
      </c>
      <c r="B521" s="1260" t="inlineStr">
        <is>
          <t>Artfully Walls</t>
        </is>
      </c>
      <c r="C521" s="1255" t="inlineStr">
        <is>
          <t>9. Prints &amp; Royalties</t>
        </is>
      </c>
      <c r="D521" s="1260" t="inlineStr">
        <is>
          <t>PayPal</t>
        </is>
      </c>
      <c r="E521" s="1394" t="n">
        <v>86.89</v>
      </c>
      <c r="F521" s="1260" t="inlineStr">
        <is>
          <t>Print Sales</t>
        </is>
      </c>
      <c r="G521" s="1260" t="inlineStr">
        <is>
          <t>Existing</t>
        </is>
      </c>
    </row>
    <row r="522" ht="13.5" customHeight="1" s="1232">
      <c r="A522" s="1393" t="n">
        <v>43865</v>
      </c>
      <c r="B522" s="1260" t="inlineStr">
        <is>
          <t>Jonathan Ellis</t>
        </is>
      </c>
      <c r="C522" s="1255" t="inlineStr">
        <is>
          <t>2. Workshops</t>
        </is>
      </c>
      <c r="D522" s="1260" t="inlineStr">
        <is>
          <t>Stripe</t>
        </is>
      </c>
      <c r="E522" s="1394" t="n">
        <v>10</v>
      </c>
      <c r="F522" s="1260" t="inlineStr">
        <is>
          <t>Woodland Walk</t>
        </is>
      </c>
      <c r="G522" s="1260" t="inlineStr">
        <is>
          <t>Existing</t>
        </is>
      </c>
    </row>
    <row r="523" ht="13.5" customHeight="1" s="1232">
      <c r="A523" s="1393" t="n">
        <v>43865</v>
      </c>
      <c r="B523" s="1260" t="inlineStr">
        <is>
          <t>Michael Reveley</t>
        </is>
      </c>
      <c r="C523" s="1255" t="inlineStr">
        <is>
          <t>2. Workshops</t>
        </is>
      </c>
      <c r="D523" s="1260" t="inlineStr">
        <is>
          <t>Stripe</t>
        </is>
      </c>
      <c r="E523" s="1394" t="n">
        <v>99</v>
      </c>
      <c r="F523" s="1260" t="inlineStr">
        <is>
          <t>Bluebells</t>
        </is>
      </c>
      <c r="G523" s="1260" t="inlineStr">
        <is>
          <t>Existing</t>
        </is>
      </c>
    </row>
    <row r="524" ht="13.5" customHeight="1" s="1232">
      <c r="A524" s="1393" t="n">
        <v>43865</v>
      </c>
      <c r="B524" s="1260" t="inlineStr">
        <is>
          <t>Mahendra Dabhi</t>
        </is>
      </c>
      <c r="C524" s="1255" t="inlineStr">
        <is>
          <t>2. Workshops</t>
        </is>
      </c>
      <c r="D524" s="1260" t="inlineStr">
        <is>
          <t>Stripe</t>
        </is>
      </c>
      <c r="E524" s="1394" t="n">
        <v>10</v>
      </c>
      <c r="F524" s="1260" t="inlineStr">
        <is>
          <t>Woodland Walk</t>
        </is>
      </c>
      <c r="G524" s="1260" t="inlineStr">
        <is>
          <t>Existing</t>
        </is>
      </c>
    </row>
    <row r="525" ht="13.5" customHeight="1" s="1232">
      <c r="A525" s="1393" t="n">
        <v>43864</v>
      </c>
      <c r="B525" s="1260" t="inlineStr">
        <is>
          <t xml:space="preserve">Maria Naeem </t>
        </is>
      </c>
      <c r="C525" s="1255" t="inlineStr">
        <is>
          <t>1. Courses/masterclasses</t>
        </is>
      </c>
      <c r="D525" s="1260" t="inlineStr">
        <is>
          <t>Stripe</t>
        </is>
      </c>
      <c r="E525" s="1394" t="n">
        <v>30</v>
      </c>
      <c r="F525" s="1260" t="inlineStr">
        <is>
          <t>Get Off Auto</t>
        </is>
      </c>
      <c r="G525" s="1260" t="inlineStr">
        <is>
          <t>Facebook</t>
        </is>
      </c>
    </row>
    <row r="526" ht="13.5" customHeight="1" s="1232">
      <c r="A526" s="1393" t="n">
        <v>43864</v>
      </c>
      <c r="B526" s="1260" t="inlineStr">
        <is>
          <t>lauren lea</t>
        </is>
      </c>
      <c r="C526" s="1255" t="inlineStr">
        <is>
          <t>1. Courses/masterclasses</t>
        </is>
      </c>
      <c r="D526" s="1260" t="inlineStr">
        <is>
          <t>Stripe</t>
        </is>
      </c>
      <c r="E526" s="1394" t="n">
        <v>30</v>
      </c>
      <c r="F526" s="1260" t="inlineStr">
        <is>
          <t>Get Off Auto</t>
        </is>
      </c>
      <c r="G526" s="1260" t="inlineStr">
        <is>
          <t>Google</t>
        </is>
      </c>
    </row>
    <row r="527" ht="13.5" customHeight="1" s="1232">
      <c r="A527" s="1393" t="n">
        <v>43863</v>
      </c>
      <c r="B527" s="1260" t="inlineStr">
        <is>
          <t>Christopher Parker</t>
        </is>
      </c>
      <c r="C527" s="1255" t="inlineStr">
        <is>
          <t>2. Workshops</t>
        </is>
      </c>
      <c r="D527" s="1260" t="inlineStr">
        <is>
          <t>Stripe</t>
        </is>
      </c>
      <c r="E527" s="1394" t="n">
        <v>10</v>
      </c>
      <c r="F527" s="1260" t="inlineStr">
        <is>
          <t>Woodland Walk</t>
        </is>
      </c>
      <c r="G527" s="1260" t="inlineStr">
        <is>
          <t>Existing</t>
        </is>
      </c>
    </row>
    <row r="528" ht="13.5" customHeight="1" s="1232">
      <c r="A528" s="1393" t="n">
        <v>43862</v>
      </c>
      <c r="B528" s="1260" t="inlineStr">
        <is>
          <t>Janet Boulter</t>
        </is>
      </c>
      <c r="C528" s="1255" t="inlineStr">
        <is>
          <t>2. Workshops</t>
        </is>
      </c>
      <c r="D528" s="1260" t="inlineStr">
        <is>
          <t>Stripe</t>
        </is>
      </c>
      <c r="E528" s="1394" t="n">
        <v>50</v>
      </c>
      <c r="F528" s="1260" t="inlineStr">
        <is>
          <t>LE Workshop March</t>
        </is>
      </c>
      <c r="G528" s="1260" t="inlineStr">
        <is>
          <t>Existing</t>
        </is>
      </c>
    </row>
    <row r="529" ht="13.5" customHeight="1" s="1232">
      <c r="A529" s="1393" t="n">
        <v>43862</v>
      </c>
      <c r="B529" s="1260" t="inlineStr">
        <is>
          <t>Feb Pick N Mix</t>
        </is>
      </c>
      <c r="C529" s="1255" t="inlineStr">
        <is>
          <t>3. Pick n Mix Inc</t>
        </is>
      </c>
      <c r="D529" s="1260" t="inlineStr">
        <is>
          <t>Various</t>
        </is>
      </c>
      <c r="E529" s="1394" t="n">
        <v>633.75</v>
      </c>
      <c r="F529" s="1260" t="inlineStr">
        <is>
          <t>Pick N Mix Payments</t>
        </is>
      </c>
      <c r="G529" s="1260" t="inlineStr">
        <is>
          <t>Existing</t>
        </is>
      </c>
    </row>
    <row r="530" ht="13.5" customHeight="1" s="1232">
      <c r="A530" s="1393" t="n">
        <v>43862</v>
      </c>
      <c r="B530" s="1260" t="inlineStr">
        <is>
          <t>Feb Mentoring</t>
        </is>
      </c>
      <c r="C530" s="1255" t="inlineStr">
        <is>
          <t>5. Mentoring</t>
        </is>
      </c>
      <c r="D530" s="1255" t="inlineStr">
        <is>
          <t>Various</t>
        </is>
      </c>
      <c r="E530" s="1261" t="n">
        <v>40</v>
      </c>
      <c r="F530" s="1255" t="inlineStr">
        <is>
          <t>Mentoring Subs</t>
        </is>
      </c>
      <c r="G530" s="1255" t="inlineStr">
        <is>
          <t>Existing</t>
        </is>
      </c>
    </row>
    <row r="531" ht="13.5" customHeight="1" s="1232">
      <c r="A531" s="1393" t="n"/>
      <c r="B531" s="1260" t="n"/>
      <c r="D531" s="1260" t="n"/>
      <c r="E531" s="1394" t="n"/>
      <c r="F531" s="1260" t="n"/>
      <c r="G531" s="1260" t="n"/>
    </row>
    <row r="532" ht="13.5" customHeight="1" s="1232">
      <c r="A532" s="1393" t="n">
        <v>43861</v>
      </c>
      <c r="B532" s="1260" t="inlineStr">
        <is>
          <t>Quentin Melhuish</t>
        </is>
      </c>
      <c r="C532" s="1255" t="inlineStr">
        <is>
          <t>1. Courses/masterclasses</t>
        </is>
      </c>
      <c r="D532" s="1260" t="inlineStr">
        <is>
          <t>PayPal</t>
        </is>
      </c>
      <c r="E532" s="1394" t="n">
        <v>170</v>
      </c>
      <c r="F532" s="1260" t="inlineStr">
        <is>
          <t>4wk Lightroom Course</t>
        </is>
      </c>
      <c r="G532" s="1260" t="inlineStr">
        <is>
          <t>Existing</t>
        </is>
      </c>
    </row>
    <row r="533" ht="13.5" customHeight="1" s="1232">
      <c r="A533" s="1393" t="n">
        <v>43858</v>
      </c>
      <c r="B533" s="1260" t="inlineStr">
        <is>
          <t>Victoria Mitchell</t>
        </is>
      </c>
      <c r="C533" s="1255" t="inlineStr">
        <is>
          <t>1. Courses/masterclasses</t>
        </is>
      </c>
      <c r="D533" s="1260" t="inlineStr">
        <is>
          <t>Stripe</t>
        </is>
      </c>
      <c r="E533" s="1394" t="n">
        <v>230</v>
      </c>
      <c r="F533" s="1260" t="inlineStr">
        <is>
          <t>4wk Beginners Course</t>
        </is>
      </c>
      <c r="G533" s="1260" t="inlineStr">
        <is>
          <t>Google</t>
        </is>
      </c>
    </row>
    <row r="534" ht="13.5" customHeight="1" s="1232">
      <c r="A534" s="1393" t="n">
        <v>43856</v>
      </c>
      <c r="B534" s="1260" t="inlineStr">
        <is>
          <t>Judith Mounfield</t>
        </is>
      </c>
      <c r="C534" s="1255" t="inlineStr">
        <is>
          <t>7. Gift Vouchers Inc</t>
        </is>
      </c>
      <c r="D534" s="1260" t="inlineStr">
        <is>
          <t>Stripe</t>
        </is>
      </c>
      <c r="E534" s="1394" t="n">
        <v>200</v>
      </c>
      <c r="F534" s="1260" t="inlineStr">
        <is>
          <t>Digital Gift Card</t>
        </is>
      </c>
      <c r="G534" s="1260" t="inlineStr">
        <is>
          <t>Google</t>
        </is>
      </c>
    </row>
    <row r="535" ht="13.5" customHeight="1" s="1232">
      <c r="A535" s="1393" t="n">
        <v>43855</v>
      </c>
      <c r="B535" s="1260" t="inlineStr">
        <is>
          <t>Natalie Pouyiouros</t>
        </is>
      </c>
      <c r="C535" s="1255" t="inlineStr">
        <is>
          <t>2. Workshops</t>
        </is>
      </c>
      <c r="D535" s="1260" t="inlineStr">
        <is>
          <t>Stripe</t>
        </is>
      </c>
      <c r="E535" s="1394" t="n">
        <v>99</v>
      </c>
      <c r="F535" s="1260" t="inlineStr">
        <is>
          <t>Bluebell Woodlands</t>
        </is>
      </c>
      <c r="G535" s="1260" t="inlineStr">
        <is>
          <t>Google</t>
        </is>
      </c>
    </row>
    <row r="536" ht="13.5" customHeight="1" s="1232">
      <c r="A536" s="1393" t="n">
        <v>43854</v>
      </c>
      <c r="B536" s="1260" t="inlineStr">
        <is>
          <t>Mo Bradley</t>
        </is>
      </c>
      <c r="C536" s="1255" t="inlineStr">
        <is>
          <t>2. Workshops</t>
        </is>
      </c>
      <c r="D536" s="1260" t="inlineStr">
        <is>
          <t>PayPal</t>
        </is>
      </c>
      <c r="E536" s="1394" t="n">
        <v>50</v>
      </c>
      <c r="F536" s="1260" t="inlineStr">
        <is>
          <t>Architecture Workshop</t>
        </is>
      </c>
      <c r="G536" s="1260" t="inlineStr">
        <is>
          <t>Existing</t>
        </is>
      </c>
    </row>
    <row r="537" ht="13.5" customHeight="1" s="1232">
      <c r="A537" s="1393" t="n">
        <v>43852</v>
      </c>
      <c r="B537" s="1260" t="inlineStr">
        <is>
          <t>Janet Mills</t>
        </is>
      </c>
      <c r="C537" s="1255" t="inlineStr">
        <is>
          <t>2. Workshops</t>
        </is>
      </c>
      <c r="D537" s="1260" t="inlineStr">
        <is>
          <t>PayPal</t>
        </is>
      </c>
      <c r="E537" s="1394" t="n">
        <v>750</v>
      </c>
      <c r="F537" s="1260" t="inlineStr">
        <is>
          <t>Suffolk</t>
        </is>
      </c>
      <c r="G537" s="1260" t="inlineStr">
        <is>
          <t>Google</t>
        </is>
      </c>
    </row>
    <row r="538" ht="13.5" customHeight="1" s="1232">
      <c r="A538" s="1393" t="n">
        <v>43849</v>
      </c>
      <c r="B538" s="1260" t="inlineStr">
        <is>
          <t>Janice Jordan</t>
        </is>
      </c>
      <c r="C538" s="1255" t="inlineStr">
        <is>
          <t>2. Workshops</t>
        </is>
      </c>
      <c r="D538" s="1260" t="inlineStr">
        <is>
          <t>Stripe</t>
        </is>
      </c>
      <c r="E538" s="1394" t="n">
        <v>100</v>
      </c>
      <c r="F538" s="1260" t="inlineStr">
        <is>
          <t>Suffolk</t>
        </is>
      </c>
      <c r="G538" s="1260" t="inlineStr">
        <is>
          <t>Existing</t>
        </is>
      </c>
    </row>
    <row r="539" ht="13.5" customHeight="1" s="1232">
      <c r="A539" s="1393" t="n">
        <v>43849</v>
      </c>
      <c r="B539" s="1260" t="inlineStr">
        <is>
          <t>Janice Jordan</t>
        </is>
      </c>
      <c r="C539" s="1255" t="inlineStr">
        <is>
          <t>4. Pick n Mix Out</t>
        </is>
      </c>
      <c r="D539" s="1260" t="inlineStr">
        <is>
          <t>PicknMix</t>
        </is>
      </c>
      <c r="E539" s="1394" t="n">
        <v>-350</v>
      </c>
      <c r="F539" s="1260" t="inlineStr">
        <is>
          <t>Suffolk</t>
        </is>
      </c>
      <c r="G539" s="1260" t="inlineStr">
        <is>
          <t>Existing</t>
        </is>
      </c>
    </row>
    <row r="540" ht="13.5" customHeight="1" s="1232">
      <c r="A540" s="1393" t="n">
        <v>43849</v>
      </c>
      <c r="B540" s="1260" t="inlineStr">
        <is>
          <t>Janice Jordan</t>
        </is>
      </c>
      <c r="C540" s="1255" t="inlineStr">
        <is>
          <t>2. Workshops</t>
        </is>
      </c>
      <c r="D540" s="1260" t="inlineStr">
        <is>
          <t>PicknMix</t>
        </is>
      </c>
      <c r="E540" s="1394" t="n">
        <v>350</v>
      </c>
      <c r="F540" s="1260" t="inlineStr">
        <is>
          <t>Suffolk</t>
        </is>
      </c>
      <c r="G540" s="1260" t="inlineStr">
        <is>
          <t>Existing</t>
        </is>
      </c>
    </row>
    <row r="541" ht="13.5" customHeight="1" s="1232">
      <c r="A541" s="1393" t="n">
        <v>43849</v>
      </c>
      <c r="B541" s="1260" t="inlineStr">
        <is>
          <t>Janice Jordan</t>
        </is>
      </c>
      <c r="C541" s="1255" t="inlineStr">
        <is>
          <t>2. Workshops</t>
        </is>
      </c>
      <c r="D541" s="1260" t="inlineStr">
        <is>
          <t>Gift Voucher Out</t>
        </is>
      </c>
      <c r="E541" s="1394" t="n">
        <v>150</v>
      </c>
      <c r="F541" s="1260" t="inlineStr">
        <is>
          <t>Suffolk</t>
        </is>
      </c>
      <c r="G541" s="1260" t="inlineStr">
        <is>
          <t>Existing</t>
        </is>
      </c>
    </row>
    <row r="542" ht="13.5" customHeight="1" s="1232">
      <c r="A542" s="1393" t="n">
        <v>43849</v>
      </c>
      <c r="B542" s="1260" t="inlineStr">
        <is>
          <t>Janice Jordan</t>
        </is>
      </c>
      <c r="C542" s="1255" t="inlineStr">
        <is>
          <t>8. Gift Vouchers Out</t>
        </is>
      </c>
      <c r="D542" s="1260" t="inlineStr">
        <is>
          <t>Gift Voucher Out</t>
        </is>
      </c>
      <c r="E542" s="1394" t="n">
        <v>-150</v>
      </c>
      <c r="F542" s="1260" t="inlineStr">
        <is>
          <t>Suffolk</t>
        </is>
      </c>
      <c r="G542" s="1260" t="inlineStr">
        <is>
          <t>Existing</t>
        </is>
      </c>
    </row>
    <row r="543" ht="13.5" customHeight="1" s="1232">
      <c r="A543" s="1393" t="n">
        <v>43849</v>
      </c>
      <c r="B543" s="1260" t="inlineStr">
        <is>
          <t>Janice Jordan</t>
        </is>
      </c>
      <c r="C543" s="1255" t="inlineStr">
        <is>
          <t>7. Gift Vouchers Inc</t>
        </is>
      </c>
      <c r="D543" s="1260" t="inlineStr">
        <is>
          <t>Stripe</t>
        </is>
      </c>
      <c r="E543" s="1394" t="n">
        <v>100</v>
      </c>
      <c r="F543" s="1260" t="inlineStr">
        <is>
          <t>Digital Gift Card</t>
        </is>
      </c>
      <c r="G543" s="1260" t="inlineStr">
        <is>
          <t>Existing</t>
        </is>
      </c>
    </row>
    <row r="544" ht="13.5" customHeight="1" s="1232">
      <c r="A544" s="1393" t="n">
        <v>43849</v>
      </c>
      <c r="B544" s="1260" t="inlineStr">
        <is>
          <t>neil evans</t>
        </is>
      </c>
      <c r="C544" s="1255" t="inlineStr">
        <is>
          <t>6. 1-2-1</t>
        </is>
      </c>
      <c r="D544" s="1260" t="inlineStr">
        <is>
          <t>Stripe</t>
        </is>
      </c>
      <c r="E544" s="1394" t="n">
        <v>360</v>
      </c>
      <c r="F544" s="1260" t="inlineStr">
        <is>
          <t>4 x 2hr '1-2-1s</t>
        </is>
      </c>
      <c r="G544" s="1260" t="inlineStr">
        <is>
          <t>Existing</t>
        </is>
      </c>
    </row>
    <row r="545" ht="13.5" customHeight="1" s="1232">
      <c r="A545" s="1393" t="n">
        <v>43849</v>
      </c>
      <c r="B545" s="1260" t="inlineStr">
        <is>
          <t>Victoria Mitchell</t>
        </is>
      </c>
      <c r="C545" s="1255" t="inlineStr">
        <is>
          <t>1. Courses/masterclasses</t>
        </is>
      </c>
      <c r="D545" s="1260" t="inlineStr">
        <is>
          <t>Stripe</t>
        </is>
      </c>
      <c r="E545" s="1394" t="n">
        <v>30</v>
      </c>
      <c r="F545" s="1260" t="inlineStr">
        <is>
          <t>Get off Auto</t>
        </is>
      </c>
      <c r="G545" s="1260" t="inlineStr">
        <is>
          <t>Google</t>
        </is>
      </c>
    </row>
    <row r="546" ht="13.5" customHeight="1" s="1232">
      <c r="A546" s="1393" t="n">
        <v>43848</v>
      </c>
      <c r="B546" s="1260" t="inlineStr">
        <is>
          <t>Jonathan Ellis</t>
        </is>
      </c>
      <c r="C546" s="1255" t="inlineStr">
        <is>
          <t>2. Workshops</t>
        </is>
      </c>
      <c r="D546" s="1260" t="inlineStr">
        <is>
          <t>Stripe</t>
        </is>
      </c>
      <c r="E546" s="1394" t="n">
        <v>10</v>
      </c>
      <c r="F546" s="1260" t="inlineStr">
        <is>
          <t>Woodland Walk</t>
        </is>
      </c>
      <c r="G546" s="1260" t="inlineStr">
        <is>
          <t>Existing</t>
        </is>
      </c>
    </row>
    <row r="547" ht="13.5" customHeight="1" s="1232">
      <c r="A547" s="1393" t="n">
        <v>43848</v>
      </c>
      <c r="B547" s="1260" t="inlineStr">
        <is>
          <t>Meghan Mitchell</t>
        </is>
      </c>
      <c r="C547" s="1255" t="inlineStr">
        <is>
          <t>2. Workshops</t>
        </is>
      </c>
      <c r="D547" s="1260" t="inlineStr">
        <is>
          <t>Stripe</t>
        </is>
      </c>
      <c r="E547" s="1394" t="n">
        <v>495</v>
      </c>
      <c r="F547" s="1260" t="inlineStr">
        <is>
          <t>Dorset</t>
        </is>
      </c>
      <c r="G547" s="1260" t="inlineStr">
        <is>
          <t>Google</t>
        </is>
      </c>
    </row>
    <row r="548" ht="13.5" customHeight="1" s="1232">
      <c r="A548" s="1393" t="n">
        <v>43846</v>
      </c>
      <c r="B548" s="1260" t="inlineStr">
        <is>
          <t>Husam Fakhry</t>
        </is>
      </c>
      <c r="C548" s="1255" t="inlineStr">
        <is>
          <t>5. Mentoring</t>
        </is>
      </c>
      <c r="D548" s="1260" t="inlineStr">
        <is>
          <t>Stripe</t>
        </is>
      </c>
      <c r="E548" s="1394" t="n">
        <v>20</v>
      </c>
      <c r="F548" s="1260" t="inlineStr">
        <is>
          <t>Monthly Mentoring</t>
        </is>
      </c>
      <c r="G548" s="1260" t="inlineStr">
        <is>
          <t>Google</t>
        </is>
      </c>
    </row>
    <row r="549" ht="13.5" customHeight="1" s="1232">
      <c r="A549" s="1393" t="n">
        <v>43843</v>
      </c>
      <c r="B549" s="1260" t="inlineStr">
        <is>
          <t>Helen Sotheran</t>
        </is>
      </c>
      <c r="C549" s="1255" t="inlineStr">
        <is>
          <t>2. Workshops</t>
        </is>
      </c>
      <c r="D549" s="1260" t="inlineStr">
        <is>
          <t>Stripe</t>
        </is>
      </c>
      <c r="E549" s="1394" t="n">
        <v>100</v>
      </c>
      <c r="F549" s="1260" t="inlineStr">
        <is>
          <t>Urban Architecture</t>
        </is>
      </c>
      <c r="G549" s="1260" t="inlineStr">
        <is>
          <t>Existing</t>
        </is>
      </c>
    </row>
    <row r="550" ht="13.5" customHeight="1" s="1232">
      <c r="A550" s="1393" t="n">
        <v>43843</v>
      </c>
      <c r="B550" s="1260" t="inlineStr">
        <is>
          <t>MIKE CARROLL-ROBERTS</t>
        </is>
      </c>
      <c r="C550" s="1255" t="inlineStr">
        <is>
          <t>2. Workshops</t>
        </is>
      </c>
      <c r="D550" s="1260" t="inlineStr">
        <is>
          <t>Stripe</t>
        </is>
      </c>
      <c r="E550" s="1394" t="n">
        <v>10</v>
      </c>
      <c r="F550" s="1260" t="inlineStr">
        <is>
          <t>Woodland Walk</t>
        </is>
      </c>
      <c r="G550" s="1260" t="inlineStr">
        <is>
          <t>Existing</t>
        </is>
      </c>
    </row>
    <row r="551" ht="13.5" customHeight="1" s="1232">
      <c r="A551" s="1393" t="n">
        <v>43841</v>
      </c>
      <c r="B551" s="1260" t="inlineStr">
        <is>
          <t>Christine Harrop</t>
        </is>
      </c>
      <c r="C551" s="1255" t="inlineStr">
        <is>
          <t>6. 1-2-1</t>
        </is>
      </c>
      <c r="D551" s="1260" t="inlineStr">
        <is>
          <t>Stripe</t>
        </is>
      </c>
      <c r="E551" s="1394" t="n">
        <v>120</v>
      </c>
      <c r="F551" s="1282" t="inlineStr">
        <is>
          <t>1-2-1</t>
        </is>
      </c>
      <c r="G551" s="1260" t="inlineStr">
        <is>
          <t>Existing</t>
        </is>
      </c>
    </row>
    <row r="552" ht="13.5" customHeight="1" s="1232">
      <c r="A552" s="1393" t="n">
        <v>43841</v>
      </c>
      <c r="B552" s="1260" t="inlineStr">
        <is>
          <t>Royston Lee</t>
        </is>
      </c>
      <c r="C552" s="1255" t="inlineStr">
        <is>
          <t>2. Workshops</t>
        </is>
      </c>
      <c r="D552" s="1260" t="inlineStr">
        <is>
          <t>Stripe</t>
        </is>
      </c>
      <c r="E552" s="1394" t="n">
        <v>75</v>
      </c>
      <c r="F552" s="1260" t="inlineStr">
        <is>
          <t>Poppy Fields</t>
        </is>
      </c>
      <c r="G552" s="1260" t="inlineStr">
        <is>
          <t>Google</t>
        </is>
      </c>
    </row>
    <row r="553" ht="13.5" customHeight="1" s="1232">
      <c r="A553" s="1393" t="n">
        <v>43840</v>
      </c>
      <c r="B553" s="1260" t="inlineStr">
        <is>
          <t>Tony Teague</t>
        </is>
      </c>
      <c r="C553" s="1255" t="inlineStr">
        <is>
          <t>1. Courses/masterclasses</t>
        </is>
      </c>
      <c r="D553" s="1260" t="inlineStr">
        <is>
          <t>Stripe</t>
        </is>
      </c>
      <c r="E553" s="1394" t="n">
        <v>395</v>
      </c>
      <c r="F553" s="1260" t="inlineStr">
        <is>
          <t>RPS Course</t>
        </is>
      </c>
      <c r="G553" s="1260" t="inlineStr">
        <is>
          <t>Existing</t>
        </is>
      </c>
    </row>
    <row r="554" ht="13.5" customHeight="1" s="1232">
      <c r="A554" s="1393" t="n">
        <v>43840</v>
      </c>
      <c r="B554" s="1260" t="inlineStr">
        <is>
          <t>Dennis Jeffrey</t>
        </is>
      </c>
      <c r="C554" s="1255" t="inlineStr">
        <is>
          <t>6. 1-2-1</t>
        </is>
      </c>
      <c r="D554" s="1260" t="inlineStr">
        <is>
          <t>Stripe</t>
        </is>
      </c>
      <c r="E554" s="1394" t="n">
        <v>360</v>
      </c>
      <c r="F554" s="1260" t="inlineStr">
        <is>
          <t>4 x 2hr '1-2-1s</t>
        </is>
      </c>
      <c r="G554" s="1260" t="inlineStr">
        <is>
          <t>Existing</t>
        </is>
      </c>
    </row>
    <row r="555" ht="13.5" customHeight="1" s="1232">
      <c r="A555" s="1393" t="n">
        <v>43840</v>
      </c>
      <c r="B555" s="1260" t="inlineStr">
        <is>
          <t>Steffan Chase</t>
        </is>
      </c>
      <c r="C555" s="1255" t="inlineStr">
        <is>
          <t>6. 1-2-1</t>
        </is>
      </c>
      <c r="D555" s="1260" t="inlineStr">
        <is>
          <t>PicknMix</t>
        </is>
      </c>
      <c r="E555" s="1394" t="n">
        <v>58.5</v>
      </c>
      <c r="F555" s="1260" t="inlineStr">
        <is>
          <t>1hr '1'2'1'</t>
        </is>
      </c>
      <c r="G555" s="1260" t="inlineStr">
        <is>
          <t>Existing</t>
        </is>
      </c>
    </row>
    <row r="556" ht="13.5" customHeight="1" s="1232">
      <c r="A556" s="1393" t="n">
        <v>43840</v>
      </c>
      <c r="B556" s="1260" t="inlineStr">
        <is>
          <t>Steffan Chase</t>
        </is>
      </c>
      <c r="C556" s="1255" t="inlineStr">
        <is>
          <t>4. Pick n Mix Out</t>
        </is>
      </c>
      <c r="D556" s="1260" t="inlineStr">
        <is>
          <t>PicknMix</t>
        </is>
      </c>
      <c r="E556" s="1394" t="n">
        <v>-58.5</v>
      </c>
      <c r="F556" s="1260" t="inlineStr">
        <is>
          <t>1hr '1'2'1'</t>
        </is>
      </c>
      <c r="G556" s="1260" t="inlineStr">
        <is>
          <t>Existing</t>
        </is>
      </c>
    </row>
    <row r="557" ht="13.5" customHeight="1" s="1232">
      <c r="A557" s="1393" t="n">
        <v>43840</v>
      </c>
      <c r="B557" s="1260" t="inlineStr">
        <is>
          <t>Helen Sotheran</t>
        </is>
      </c>
      <c r="C557" s="1255" t="inlineStr">
        <is>
          <t>1. Courses/masterclasses</t>
        </is>
      </c>
      <c r="D557" s="1260" t="inlineStr">
        <is>
          <t>Stripe</t>
        </is>
      </c>
      <c r="E557" s="1394" t="n">
        <v>395</v>
      </c>
      <c r="F557" s="1260" t="inlineStr">
        <is>
          <t>RPS Course</t>
        </is>
      </c>
      <c r="G557" s="1260" t="inlineStr">
        <is>
          <t>Existing</t>
        </is>
      </c>
    </row>
    <row r="558" ht="13.5" customHeight="1" s="1232">
      <c r="A558" s="1393" t="n">
        <v>43840</v>
      </c>
      <c r="B558" s="1260" t="inlineStr">
        <is>
          <t>Anthony Nicholls</t>
        </is>
      </c>
      <c r="C558" s="1255" t="inlineStr">
        <is>
          <t>1. Courses/masterclasses</t>
        </is>
      </c>
      <c r="D558" s="1260" t="inlineStr">
        <is>
          <t>Stripe</t>
        </is>
      </c>
      <c r="E558" s="1394" t="n">
        <v>195</v>
      </c>
      <c r="F558" s="1260" t="inlineStr">
        <is>
          <t>Portraits Class</t>
        </is>
      </c>
      <c r="G558" s="1260" t="inlineStr">
        <is>
          <t>Existing</t>
        </is>
      </c>
    </row>
    <row r="559" ht="13.5" customHeight="1" s="1232">
      <c r="A559" s="1393" t="n">
        <v>43839</v>
      </c>
      <c r="B559" s="1260" t="inlineStr">
        <is>
          <t>Joy Allford</t>
        </is>
      </c>
      <c r="C559" s="1255" t="inlineStr">
        <is>
          <t>2. Workshops</t>
        </is>
      </c>
      <c r="D559" s="1260" t="inlineStr">
        <is>
          <t>Stripe</t>
        </is>
      </c>
      <c r="E559" s="1394" t="n">
        <v>60</v>
      </c>
      <c r="F559" s="1260" t="inlineStr">
        <is>
          <t>Macro</t>
        </is>
      </c>
      <c r="G559" s="1260" t="inlineStr">
        <is>
          <t>Facebook</t>
        </is>
      </c>
    </row>
    <row r="560" ht="13.5" customHeight="1" s="1232">
      <c r="A560" s="1393" t="n">
        <v>43839</v>
      </c>
      <c r="B560" s="1260" t="inlineStr">
        <is>
          <t>Anne Watkinson</t>
        </is>
      </c>
      <c r="C560" s="1255" t="inlineStr">
        <is>
          <t>2. Workshops</t>
        </is>
      </c>
      <c r="D560" s="1260" t="inlineStr">
        <is>
          <t>Bank</t>
        </is>
      </c>
      <c r="E560" s="1394" t="n">
        <v>795</v>
      </c>
      <c r="F560" s="1260" t="inlineStr">
        <is>
          <t>Ireland</t>
        </is>
      </c>
      <c r="G560" s="1260" t="inlineStr">
        <is>
          <t>Existing</t>
        </is>
      </c>
    </row>
    <row r="561" ht="13.5" customHeight="1" s="1232">
      <c r="A561" s="1393" t="n">
        <v>43838</v>
      </c>
      <c r="B561" s="1260" t="inlineStr">
        <is>
          <t>Jean Dance</t>
        </is>
      </c>
      <c r="C561" s="1255" t="inlineStr">
        <is>
          <t>2. Workshops</t>
        </is>
      </c>
      <c r="D561" s="1260" t="inlineStr">
        <is>
          <t>Stripe</t>
        </is>
      </c>
      <c r="E561" s="1394" t="n">
        <v>10</v>
      </c>
      <c r="F561" s="1260" t="inlineStr">
        <is>
          <t>Woodland Walk</t>
        </is>
      </c>
      <c r="G561" s="1260" t="inlineStr">
        <is>
          <t>Existing</t>
        </is>
      </c>
    </row>
    <row r="562" ht="13.5" customHeight="1" s="1232">
      <c r="A562" s="1393" t="n">
        <v>43838</v>
      </c>
      <c r="B562" s="1260" t="inlineStr">
        <is>
          <t>Molly Chenery</t>
        </is>
      </c>
      <c r="C562" s="1255" t="inlineStr">
        <is>
          <t>1. Courses/masterclasses</t>
        </is>
      </c>
      <c r="D562" s="1260" t="inlineStr">
        <is>
          <t>PayPal</t>
        </is>
      </c>
      <c r="E562" s="1394" t="n">
        <v>30</v>
      </c>
      <c r="F562" s="1260" t="inlineStr">
        <is>
          <t>Get off Auto</t>
        </is>
      </c>
      <c r="G562" s="1260" t="inlineStr">
        <is>
          <t>Google</t>
        </is>
      </c>
    </row>
    <row r="563" ht="13.5" customHeight="1" s="1232">
      <c r="A563" s="1393" t="n">
        <v>43838</v>
      </c>
      <c r="B563" s="1260" t="inlineStr">
        <is>
          <t>Bob Griffiths</t>
        </is>
      </c>
      <c r="C563" s="1255" t="inlineStr">
        <is>
          <t>1. Courses/masterclasses</t>
        </is>
      </c>
      <c r="D563" s="1260" t="inlineStr">
        <is>
          <t>Stripe</t>
        </is>
      </c>
      <c r="E563" s="1394" t="n">
        <v>395</v>
      </c>
      <c r="F563" s="1260" t="inlineStr">
        <is>
          <t>RPS Course</t>
        </is>
      </c>
      <c r="G563" s="1260" t="inlineStr">
        <is>
          <t>Existing</t>
        </is>
      </c>
    </row>
    <row r="564" ht="13.5" customHeight="1" s="1232">
      <c r="A564" s="1393" t="n">
        <v>43837</v>
      </c>
      <c r="B564" s="1260" t="inlineStr">
        <is>
          <t>Graham Ibbeston</t>
        </is>
      </c>
      <c r="C564" s="1255" t="inlineStr">
        <is>
          <t>2. Workshops</t>
        </is>
      </c>
      <c r="D564" s="1260" t="inlineStr">
        <is>
          <t>Bank</t>
        </is>
      </c>
      <c r="E564" s="1394" t="n">
        <v>120</v>
      </c>
      <c r="F564" s="1260" t="inlineStr">
        <is>
          <t>Hartland Quay</t>
        </is>
      </c>
      <c r="G564" s="1260" t="inlineStr">
        <is>
          <t>Existing</t>
        </is>
      </c>
    </row>
    <row r="565" ht="13.5" customHeight="1" s="1232">
      <c r="A565" s="1393" t="n">
        <v>43837</v>
      </c>
      <c r="B565" s="1260" t="inlineStr">
        <is>
          <t>Sian O'Neill</t>
        </is>
      </c>
      <c r="C565" s="1255" t="inlineStr">
        <is>
          <t>2. Workshops</t>
        </is>
      </c>
      <c r="D565" s="1260" t="inlineStr">
        <is>
          <t>Stripe</t>
        </is>
      </c>
      <c r="E565" s="1394" t="n">
        <v>99</v>
      </c>
      <c r="F565" s="1260" t="inlineStr">
        <is>
          <t>Batsford</t>
        </is>
      </c>
      <c r="G565" s="1260" t="inlineStr">
        <is>
          <t>Google</t>
        </is>
      </c>
    </row>
    <row r="566" ht="13.5" customHeight="1" s="1232">
      <c r="A566" s="1393" t="n">
        <v>43837</v>
      </c>
      <c r="B566" s="1260" t="inlineStr">
        <is>
          <t>Bob Griffiths</t>
        </is>
      </c>
      <c r="C566" s="1255" t="inlineStr">
        <is>
          <t>2. Workshops</t>
        </is>
      </c>
      <c r="D566" s="1260" t="inlineStr">
        <is>
          <t>Bank</t>
        </is>
      </c>
      <c r="E566" s="1394" t="n">
        <v>275</v>
      </c>
      <c r="F566" s="1260" t="inlineStr">
        <is>
          <t>Hartland Quay</t>
        </is>
      </c>
      <c r="G566" s="1260" t="inlineStr">
        <is>
          <t>Existing</t>
        </is>
      </c>
    </row>
    <row r="567" ht="13.5" customHeight="1" s="1232">
      <c r="A567" s="1393" t="n">
        <v>43836</v>
      </c>
      <c r="B567" s="1260" t="inlineStr">
        <is>
          <t>kamaljit mattu</t>
        </is>
      </c>
      <c r="C567" s="1255" t="inlineStr">
        <is>
          <t>4. Pick n Mix Out</t>
        </is>
      </c>
      <c r="D567" s="1260" t="inlineStr">
        <is>
          <t>PicknMix</t>
        </is>
      </c>
      <c r="E567" s="1394" t="n">
        <v>-96</v>
      </c>
      <c r="F567" s="1282" t="inlineStr">
        <is>
          <t>1-2-1</t>
        </is>
      </c>
      <c r="G567" s="1260" t="inlineStr">
        <is>
          <t>Existing</t>
        </is>
      </c>
    </row>
    <row r="568" ht="13.5" customHeight="1" s="1232">
      <c r="A568" s="1393" t="n">
        <v>43836</v>
      </c>
      <c r="B568" s="1260" t="inlineStr">
        <is>
          <t>kamaljit mattu</t>
        </is>
      </c>
      <c r="C568" s="1255" t="inlineStr">
        <is>
          <t>6. 1-2-1</t>
        </is>
      </c>
      <c r="D568" s="1260" t="inlineStr">
        <is>
          <t>PicknMix</t>
        </is>
      </c>
      <c r="E568" s="1394" t="n">
        <v>96</v>
      </c>
      <c r="F568" s="1282" t="inlineStr">
        <is>
          <t>1-2-1</t>
        </is>
      </c>
      <c r="G568" s="1260" t="inlineStr">
        <is>
          <t>Existing</t>
        </is>
      </c>
    </row>
    <row r="569" ht="13.5" customHeight="1" s="1232">
      <c r="A569" s="1393" t="n">
        <v>43836</v>
      </c>
      <c r="B569" s="1260" t="inlineStr">
        <is>
          <t>kamaljit mattu</t>
        </is>
      </c>
      <c r="C569" s="1255" t="inlineStr">
        <is>
          <t>4. Pick n Mix Out</t>
        </is>
      </c>
      <c r="D569" s="1260" t="inlineStr">
        <is>
          <t>PicknMix</t>
        </is>
      </c>
      <c r="E569" s="1394" t="n">
        <v>-156</v>
      </c>
      <c r="F569" s="1260" t="inlineStr">
        <is>
          <t>Portraits Class</t>
        </is>
      </c>
      <c r="G569" s="1260" t="inlineStr">
        <is>
          <t>Existing</t>
        </is>
      </c>
    </row>
    <row r="570" ht="13.5" customHeight="1" s="1232">
      <c r="A570" s="1393" t="n">
        <v>43836</v>
      </c>
      <c r="B570" s="1260" t="inlineStr">
        <is>
          <t>kamaljit mattu</t>
        </is>
      </c>
      <c r="C570" s="1255" t="inlineStr">
        <is>
          <t>1. Courses/masterclasses</t>
        </is>
      </c>
      <c r="D570" s="1260" t="inlineStr">
        <is>
          <t>PicknMix</t>
        </is>
      </c>
      <c r="E570" s="1394" t="n">
        <v>156</v>
      </c>
      <c r="F570" s="1260" t="inlineStr">
        <is>
          <t>Portraits Class</t>
        </is>
      </c>
      <c r="G570" s="1260" t="inlineStr">
        <is>
          <t>Existing</t>
        </is>
      </c>
    </row>
    <row r="571" ht="13.5" customHeight="1" s="1232">
      <c r="A571" s="1393" t="n">
        <v>43836</v>
      </c>
      <c r="B571" s="1260" t="inlineStr">
        <is>
          <t>gabrielle Smith</t>
        </is>
      </c>
      <c r="C571" s="1255" t="inlineStr">
        <is>
          <t>2. Workshops</t>
        </is>
      </c>
      <c r="D571" s="1260" t="inlineStr">
        <is>
          <t>Stripe</t>
        </is>
      </c>
      <c r="E571" s="1394" t="n">
        <v>10</v>
      </c>
      <c r="F571" s="1260" t="inlineStr">
        <is>
          <t>Woodland Walk</t>
        </is>
      </c>
      <c r="G571" s="1260" t="inlineStr">
        <is>
          <t>Existing</t>
        </is>
      </c>
    </row>
    <row r="572" ht="13.5" customHeight="1" s="1232">
      <c r="A572" s="1393" t="n">
        <v>43835</v>
      </c>
      <c r="B572" s="1260" t="inlineStr">
        <is>
          <t>Tony Teague</t>
        </is>
      </c>
      <c r="C572" s="1255" t="inlineStr">
        <is>
          <t>2. Workshops</t>
        </is>
      </c>
      <c r="D572" s="1260" t="inlineStr">
        <is>
          <t>Stripe</t>
        </is>
      </c>
      <c r="E572" s="1394" t="n">
        <v>10</v>
      </c>
      <c r="F572" s="1260" t="inlineStr">
        <is>
          <t>Woodland Walk</t>
        </is>
      </c>
      <c r="G572" s="1260" t="inlineStr">
        <is>
          <t>Google</t>
        </is>
      </c>
    </row>
    <row r="573" ht="13.5" customHeight="1" s="1232">
      <c r="A573" s="1393" t="n">
        <v>43835</v>
      </c>
      <c r="B573" s="1260" t="inlineStr">
        <is>
          <t>Tony Teague</t>
        </is>
      </c>
      <c r="C573" s="1255" t="inlineStr">
        <is>
          <t>6. 1-2-1</t>
        </is>
      </c>
      <c r="D573" s="1260" t="inlineStr">
        <is>
          <t>Stripe</t>
        </is>
      </c>
      <c r="E573" s="1394" t="n">
        <v>65</v>
      </c>
      <c r="F573" s="1282" t="inlineStr">
        <is>
          <t>1-2-1 1hr</t>
        </is>
      </c>
      <c r="G573" s="1260" t="inlineStr">
        <is>
          <t>Google</t>
        </is>
      </c>
    </row>
    <row r="574" ht="13.5" customHeight="1" s="1232">
      <c r="A574" s="1393" t="n">
        <v>43835</v>
      </c>
      <c r="B574" s="1260" t="inlineStr">
        <is>
          <t>Kirsten Pearce</t>
        </is>
      </c>
      <c r="C574" s="1255" t="inlineStr">
        <is>
          <t>4. Pick n Mix Out</t>
        </is>
      </c>
      <c r="D574" s="1260" t="inlineStr">
        <is>
          <t>PicknMix</t>
        </is>
      </c>
      <c r="E574" s="1394" t="n">
        <v>-428.6</v>
      </c>
      <c r="F574" s="1260" t="inlineStr">
        <is>
          <t>Hartland Quay</t>
        </is>
      </c>
      <c r="G574" s="1260" t="inlineStr">
        <is>
          <t>Existing</t>
        </is>
      </c>
    </row>
    <row r="575" ht="13.5" customHeight="1" s="1232">
      <c r="A575" s="1393" t="n">
        <v>43835</v>
      </c>
      <c r="B575" s="1260" t="inlineStr">
        <is>
          <t>Kirsten Pearce</t>
        </is>
      </c>
      <c r="C575" s="1255" t="inlineStr">
        <is>
          <t>2. Workshops</t>
        </is>
      </c>
      <c r="D575" s="1260" t="inlineStr">
        <is>
          <t>PicknMix</t>
        </is>
      </c>
      <c r="E575" s="1394" t="n">
        <v>428.6</v>
      </c>
      <c r="F575" s="1260" t="inlineStr">
        <is>
          <t>Hartland Quay</t>
        </is>
      </c>
      <c r="G575" s="1260" t="inlineStr">
        <is>
          <t>Existing</t>
        </is>
      </c>
    </row>
    <row r="576" ht="13.5" customHeight="1" s="1232">
      <c r="A576" s="1393" t="n">
        <v>43835</v>
      </c>
      <c r="B576" s="1260" t="inlineStr">
        <is>
          <t>Kirsten Pearce</t>
        </is>
      </c>
      <c r="C576" s="1255" t="inlineStr">
        <is>
          <t>3. Pick n Mix Inc</t>
        </is>
      </c>
      <c r="D576" s="1260" t="inlineStr">
        <is>
          <t>Bank</t>
        </is>
      </c>
      <c r="E576" s="1394" t="n">
        <v>203.6</v>
      </c>
      <c r="F576" s="1260" t="inlineStr">
        <is>
          <t>Hartland Quay</t>
        </is>
      </c>
      <c r="G576" s="1260" t="inlineStr">
        <is>
          <t>Existing</t>
        </is>
      </c>
    </row>
    <row r="577" ht="13.5" customHeight="1" s="1232">
      <c r="A577" s="1393" t="n">
        <v>43834</v>
      </c>
      <c r="B577" s="1260" t="inlineStr">
        <is>
          <t>Quentin Melhuish</t>
        </is>
      </c>
      <c r="C577" s="1255" t="inlineStr">
        <is>
          <t>1. Courses/masterclasses</t>
        </is>
      </c>
      <c r="D577" s="1260" t="inlineStr">
        <is>
          <t>Stripe</t>
        </is>
      </c>
      <c r="E577" s="1394" t="n">
        <v>250</v>
      </c>
      <c r="F577" s="1260" t="inlineStr">
        <is>
          <t>5wk Beginners Course</t>
        </is>
      </c>
      <c r="G577" s="1260" t="inlineStr">
        <is>
          <t>Google</t>
        </is>
      </c>
    </row>
    <row r="578" ht="13.5" customHeight="1" s="1232">
      <c r="A578" s="1393" t="n">
        <v>43832</v>
      </c>
      <c r="B578" s="1260" t="inlineStr">
        <is>
          <t>Ben Clarkson</t>
        </is>
      </c>
      <c r="C578" s="1255" t="inlineStr">
        <is>
          <t>1. Courses/masterclasses</t>
        </is>
      </c>
      <c r="D578" s="1260" t="inlineStr">
        <is>
          <t>Stripe</t>
        </is>
      </c>
      <c r="E578" s="1394" t="n">
        <v>30</v>
      </c>
      <c r="F578" s="1260" t="inlineStr">
        <is>
          <t>Get off Auto</t>
        </is>
      </c>
      <c r="G578" s="1260" t="inlineStr">
        <is>
          <t>Google</t>
        </is>
      </c>
    </row>
    <row r="579" ht="13.5" customHeight="1" s="1232">
      <c r="A579" s="1393" t="n">
        <v>43832</v>
      </c>
      <c r="B579" s="1260" t="inlineStr">
        <is>
          <t>Neil Evans</t>
        </is>
      </c>
      <c r="C579" s="1255" t="inlineStr">
        <is>
          <t>6. 1-2-1</t>
        </is>
      </c>
      <c r="D579" s="1260" t="inlineStr">
        <is>
          <t>Stripe</t>
        </is>
      </c>
      <c r="E579" s="1394" t="n">
        <v>120</v>
      </c>
      <c r="F579" s="1260" t="inlineStr">
        <is>
          <t>2hr '1-2-1 LR</t>
        </is>
      </c>
      <c r="G579" s="1260" t="inlineStr">
        <is>
          <t>Google</t>
        </is>
      </c>
    </row>
    <row r="580" ht="13.5" customHeight="1" s="1232">
      <c r="A580" s="1393" t="n">
        <v>43831</v>
      </c>
      <c r="B580" s="1260" t="inlineStr">
        <is>
          <t>Erika Thompson</t>
        </is>
      </c>
      <c r="C580" s="1255" t="inlineStr">
        <is>
          <t>2. Workshops</t>
        </is>
      </c>
      <c r="D580" s="1260" t="inlineStr">
        <is>
          <t>PayPal</t>
        </is>
      </c>
      <c r="E580" s="1394" t="n">
        <v>50</v>
      </c>
      <c r="F580" s="1260" t="inlineStr">
        <is>
          <t>Brandon Marsh</t>
        </is>
      </c>
      <c r="G580" s="1260" t="inlineStr">
        <is>
          <t>Google</t>
        </is>
      </c>
    </row>
    <row r="581" ht="13.5" customHeight="1" s="1232">
      <c r="A581" s="1393" t="n">
        <v>43831</v>
      </c>
      <c r="B581" s="1260" t="inlineStr">
        <is>
          <t>Helen Maddison</t>
        </is>
      </c>
      <c r="C581" s="1255" t="inlineStr">
        <is>
          <t>1. Courses/masterclasses</t>
        </is>
      </c>
      <c r="D581" s="1260" t="inlineStr">
        <is>
          <t>Stripe</t>
        </is>
      </c>
      <c r="E581" s="1394" t="n">
        <v>250</v>
      </c>
      <c r="F581" s="1260" t="inlineStr">
        <is>
          <t>5wk Beginners Course</t>
        </is>
      </c>
      <c r="G581" s="1260" t="inlineStr">
        <is>
          <t>Google</t>
        </is>
      </c>
    </row>
    <row r="582" ht="13.5" customHeight="1" s="1232">
      <c r="A582" s="1393" t="n">
        <v>43831</v>
      </c>
      <c r="B582" s="1260" t="inlineStr">
        <is>
          <t>Janice Jordan</t>
        </is>
      </c>
      <c r="C582" s="1255" t="inlineStr">
        <is>
          <t>2. Workshops</t>
        </is>
      </c>
      <c r="D582" s="1260" t="inlineStr">
        <is>
          <t>Gift Voucher Out</t>
        </is>
      </c>
      <c r="E582" s="1394" t="n">
        <v>50</v>
      </c>
      <c r="F582" s="1260" t="inlineStr">
        <is>
          <t>Architecture Workshop</t>
        </is>
      </c>
      <c r="G582" s="1260" t="inlineStr">
        <is>
          <t>Existing</t>
        </is>
      </c>
    </row>
    <row r="583" ht="13.5" customHeight="1" s="1232">
      <c r="A583" s="1393" t="n">
        <v>43831</v>
      </c>
      <c r="B583" s="1260" t="inlineStr">
        <is>
          <t>Janice Jordan</t>
        </is>
      </c>
      <c r="C583" s="1255" t="inlineStr">
        <is>
          <t>8. Gift Vouchers Out</t>
        </is>
      </c>
      <c r="D583" s="1260" t="inlineStr">
        <is>
          <t>Gift Voucher Out</t>
        </is>
      </c>
      <c r="E583" s="1394" t="n">
        <v>-50</v>
      </c>
      <c r="F583" s="1260" t="inlineStr">
        <is>
          <t>Architecture Workshop</t>
        </is>
      </c>
      <c r="G583" s="1260" t="inlineStr">
        <is>
          <t>Existing</t>
        </is>
      </c>
    </row>
    <row r="584" ht="13.5" customHeight="1" s="1232">
      <c r="A584" s="1393" t="n">
        <v>43831</v>
      </c>
      <c r="B584" s="1260" t="inlineStr">
        <is>
          <t>Kirsten Pearce</t>
        </is>
      </c>
      <c r="C584" s="1255" t="inlineStr">
        <is>
          <t>6. 1-2-1</t>
        </is>
      </c>
      <c r="D584" s="1260" t="inlineStr">
        <is>
          <t>PicknMix</t>
        </is>
      </c>
      <c r="E584" s="1394" t="n">
        <v>65</v>
      </c>
      <c r="F584" s="1282" t="inlineStr">
        <is>
          <t>1-2-1 1hr</t>
        </is>
      </c>
      <c r="G584" s="1260" t="inlineStr">
        <is>
          <t>Existing</t>
        </is>
      </c>
    </row>
    <row r="585" ht="13.5" customHeight="1" s="1232">
      <c r="A585" s="1393" t="n">
        <v>43831</v>
      </c>
      <c r="B585" s="1260" t="inlineStr">
        <is>
          <t>Kirsten Pearce</t>
        </is>
      </c>
      <c r="C585" s="1255" t="inlineStr">
        <is>
          <t>4. Pick n Mix Out</t>
        </is>
      </c>
      <c r="D585" s="1260" t="inlineStr">
        <is>
          <t>PicknMix</t>
        </is>
      </c>
      <c r="E585" s="1394" t="n">
        <v>-65</v>
      </c>
      <c r="F585" s="1282" t="inlineStr">
        <is>
          <t>1-2-1 1hr</t>
        </is>
      </c>
      <c r="G585" s="1260" t="inlineStr">
        <is>
          <t>Existing</t>
        </is>
      </c>
    </row>
    <row r="586" ht="13.5" customHeight="1" s="1232">
      <c r="A586" s="1393" t="n">
        <v>43831</v>
      </c>
      <c r="B586" s="1260" t="inlineStr">
        <is>
          <t>Jan Pick N Mix</t>
        </is>
      </c>
      <c r="C586" s="1255" t="inlineStr">
        <is>
          <t>3. Pick n Mix Inc</t>
        </is>
      </c>
      <c r="D586" s="1255" t="inlineStr">
        <is>
          <t>Various</t>
        </is>
      </c>
      <c r="E586" s="1261" t="n">
        <v>571.25</v>
      </c>
      <c r="F586" s="1255" t="inlineStr">
        <is>
          <t>Pick N Mix Payments</t>
        </is>
      </c>
      <c r="G586" s="1255" t="inlineStr">
        <is>
          <t>Existing</t>
        </is>
      </c>
    </row>
    <row r="587" ht="13.5" customHeight="1" s="1232">
      <c r="A587" s="1393" t="n">
        <v>43831</v>
      </c>
      <c r="B587" s="1260" t="inlineStr">
        <is>
          <t>Jan Mentoring</t>
        </is>
      </c>
      <c r="C587" s="1255" t="inlineStr">
        <is>
          <t>5. Mentoring</t>
        </is>
      </c>
      <c r="D587" s="1255" t="inlineStr">
        <is>
          <t>Various</t>
        </is>
      </c>
      <c r="E587" s="1261" t="n">
        <v>40</v>
      </c>
      <c r="F587" s="1255" t="inlineStr">
        <is>
          <t>Mentoring Subs</t>
        </is>
      </c>
      <c r="G587" s="1255" t="inlineStr">
        <is>
          <t>Existing</t>
        </is>
      </c>
    </row>
  </sheetData>
  <conditionalFormatting sqref="E1:E17 E20 E23 E34:E36 E63:E64 E69:E73 E75 E79:E151 E153 E156 E158:E159 E161:E163 E165:E167 E169:E170 E172:E173 E176:E177 E181:E183 E185:E188 E190:E192 E195 E197 E199:E202 E207 E209:E210 E212:E213 E216:E219 E222:E224 E231:E236 E239:E241 E246:E256 E258 E261 E264:E267 E270:E271 E273 E276:E279 E282:E286 E288 E293:E294 E300 E302:E305 E307:E310 E313:E326 E328:E331 E349 E351 E359 E361 E363 E370 E374:E383 E387:E389 E396:E398 E400 E402:E403 E411 E416 E419 E425 E428:E430 E442 E444 E447 E457 E459 E464:E466 E468:E477 E480:E489 E492:E515 E517:E520 E522:E523 E526:E529 E531:E538 E541:E552 E554:E566 E571:E1048576 V137:V1135 V1156:V1284 V1286:V1558 X5 X29:X34 X93 X102:X112 X122 X127 X136">
    <cfRule type="cellIs" priority="793" operator="lessThan" dxfId="1">
      <formula>0</formula>
    </cfRule>
  </conditionalFormatting>
  <conditionalFormatting sqref="X27">
    <cfRule type="cellIs" priority="792" operator="lessThan" dxfId="1">
      <formula>0</formula>
    </cfRule>
  </conditionalFormatting>
  <conditionalFormatting sqref="X5:X16">
    <cfRule type="cellIs" priority="790" operator="lessThan" dxfId="1">
      <formula>0</formula>
    </cfRule>
    <cfRule type="cellIs" priority="788" operator="greaterThan" dxfId="0">
      <formula>0</formula>
    </cfRule>
    <cfRule type="cellIs" priority="787" operator="lessThan" dxfId="1">
      <formula>0</formula>
    </cfRule>
    <cfRule type="cellIs" priority="780" operator="lessThan" dxfId="1">
      <formula>0</formula>
    </cfRule>
    <cfRule type="cellIs" priority="777" operator="lessThan" dxfId="1">
      <formula>0</formula>
    </cfRule>
    <cfRule type="cellIs" priority="776" operator="lessThan" dxfId="1">
      <formula>0</formula>
    </cfRule>
    <cfRule type="cellIs" priority="771" operator="lessThan" dxfId="1">
      <formula>0</formula>
    </cfRule>
    <cfRule type="cellIs" priority="765" operator="lessThan" dxfId="1">
      <formula>0</formula>
    </cfRule>
    <cfRule type="cellIs" priority="755" operator="lessThan" dxfId="1">
      <formula>0</formula>
    </cfRule>
    <cfRule type="cellIs" priority="746" operator="lessThan" dxfId="1">
      <formula>0</formula>
    </cfRule>
    <cfRule type="cellIs" priority="744" operator="lessThan" dxfId="1">
      <formula>0</formula>
    </cfRule>
    <cfRule type="cellIs" priority="685" operator="lessThan" dxfId="1">
      <formula>0</formula>
    </cfRule>
    <cfRule type="cellIs" priority="681" operator="lessThan" dxfId="1">
      <formula>0</formula>
    </cfRule>
    <cfRule type="cellIs" priority="680" operator="lessThan" dxfId="1">
      <formula>0</formula>
    </cfRule>
    <cfRule type="cellIs" priority="679" operator="lessThan" dxfId="1">
      <formula>0</formula>
    </cfRule>
    <cfRule type="cellIs" priority="678" operator="lessThan" dxfId="1">
      <formula>0</formula>
    </cfRule>
    <cfRule type="cellIs" priority="677" operator="lessThan" dxfId="1">
      <formula>0</formula>
    </cfRule>
    <cfRule type="cellIs" priority="676" operator="lessThan" dxfId="1">
      <formula>0</formula>
    </cfRule>
    <cfRule type="cellIs" priority="675" operator="lessThan" dxfId="1">
      <formula>0</formula>
    </cfRule>
    <cfRule type="cellIs" priority="674" operator="lessThan" dxfId="1">
      <formula>0</formula>
    </cfRule>
    <cfRule type="cellIs" priority="673" operator="lessThan" dxfId="1">
      <formula>0</formula>
    </cfRule>
    <cfRule type="cellIs" priority="672" operator="lessThan" dxfId="1">
      <formula>0</formula>
    </cfRule>
    <cfRule type="cellIs" priority="671" operator="lessThan" dxfId="1">
      <formula>0</formula>
    </cfRule>
    <cfRule type="cellIs" priority="670" operator="lessThan" dxfId="1">
      <formula>0</formula>
    </cfRule>
    <cfRule type="cellIs" priority="669" operator="lessThan" dxfId="1">
      <formula>0</formula>
    </cfRule>
    <cfRule type="cellIs" priority="668" operator="lessThan" dxfId="1">
      <formula>0</formula>
    </cfRule>
    <cfRule type="cellIs" priority="667" operator="lessThan" dxfId="1">
      <formula>0</formula>
    </cfRule>
    <cfRule type="cellIs" priority="666" operator="lessThan" dxfId="1">
      <formula>0</formula>
    </cfRule>
    <cfRule type="cellIs" priority="665" operator="lessThan" dxfId="1">
      <formula>0</formula>
    </cfRule>
  </conditionalFormatting>
  <conditionalFormatting sqref="X28">
    <cfRule type="cellIs" priority="791" operator="lessThan" dxfId="1">
      <formula>0</formula>
    </cfRule>
  </conditionalFormatting>
  <conditionalFormatting sqref="X16">
    <cfRule type="cellIs" priority="789" operator="lessThan" dxfId="1">
      <formula>0</formula>
    </cfRule>
    <cfRule type="cellIs" priority="775" operator="lessThan" dxfId="1">
      <formula>0</formula>
    </cfRule>
    <cfRule type="cellIs" priority="774" operator="lessThan" dxfId="1">
      <formula>0</formula>
    </cfRule>
    <cfRule type="cellIs" priority="773" operator="lessThan" dxfId="1">
      <formula>0</formula>
    </cfRule>
    <cfRule type="cellIs" priority="772" operator="lessThan" dxfId="1">
      <formula>0</formula>
    </cfRule>
    <cfRule type="cellIs" priority="770" operator="lessThan" dxfId="1">
      <formula>0</formula>
    </cfRule>
    <cfRule type="cellIs" priority="769" operator="lessThan" dxfId="1">
      <formula>0</formula>
    </cfRule>
    <cfRule type="cellIs" priority="768" operator="lessThan" dxfId="1">
      <formula>0</formula>
    </cfRule>
    <cfRule type="cellIs" priority="767" operator="lessThan" dxfId="1">
      <formula>0</formula>
    </cfRule>
    <cfRule type="cellIs" priority="766" operator="lessThan" dxfId="1">
      <formula>0</formula>
    </cfRule>
    <cfRule type="cellIs" priority="754" operator="lessThan" dxfId="1">
      <formula>0</formula>
    </cfRule>
    <cfRule type="cellIs" priority="753" operator="lessThan" dxfId="1">
      <formula>0</formula>
    </cfRule>
    <cfRule type="cellIs" priority="752" operator="lessThan" dxfId="1">
      <formula>0</formula>
    </cfRule>
    <cfRule type="cellIs" priority="751" operator="lessThan" dxfId="1">
      <formula>0</formula>
    </cfRule>
    <cfRule type="cellIs" priority="750" operator="lessThan" dxfId="1">
      <formula>0</formula>
    </cfRule>
    <cfRule type="cellIs" priority="749" operator="lessThan" dxfId="1">
      <formula>0</formula>
    </cfRule>
    <cfRule type="cellIs" priority="745" operator="lessThan" dxfId="1">
      <formula>0</formula>
    </cfRule>
    <cfRule type="cellIs" priority="619" operator="lessThan" dxfId="1">
      <formula>0</formula>
    </cfRule>
    <cfRule type="cellIs" priority="618" operator="lessThan" dxfId="1">
      <formula>0</formula>
    </cfRule>
    <cfRule type="cellIs" priority="590" operator="lessThan" dxfId="1">
      <formula>0</formula>
    </cfRule>
    <cfRule type="cellIs" priority="567" operator="lessThan" dxfId="1">
      <formula>0</formula>
    </cfRule>
    <cfRule type="cellIs" priority="566" operator="lessThan" dxfId="1">
      <formula>0</formula>
    </cfRule>
    <cfRule type="cellIs" priority="565" operator="lessThan" dxfId="1">
      <formula>0</formula>
    </cfRule>
    <cfRule type="cellIs" priority="564" operator="lessThan" dxfId="1">
      <formula>0</formula>
    </cfRule>
    <cfRule type="cellIs" priority="497" operator="lessThan" dxfId="1">
      <formula>0</formula>
    </cfRule>
    <cfRule type="cellIs" priority="496" operator="lessThan" dxfId="1">
      <formula>0</formula>
    </cfRule>
    <cfRule type="cellIs" priority="495" operator="lessThan" dxfId="1">
      <formula>0</formula>
    </cfRule>
    <cfRule type="cellIs" priority="494" operator="lessThan" dxfId="1">
      <formula>0</formula>
    </cfRule>
    <cfRule type="cellIs" priority="493" operator="lessThan" dxfId="1">
      <formula>0</formula>
    </cfRule>
    <cfRule type="cellIs" priority="153" operator="lessThan" dxfId="1">
      <formula>0</formula>
    </cfRule>
    <cfRule type="cellIs" priority="152" operator="lessThan" dxfId="1">
      <formula>0</formula>
    </cfRule>
    <cfRule type="cellIs" priority="151" operator="lessThan" dxfId="1">
      <formula>0</formula>
    </cfRule>
    <cfRule type="cellIs" priority="150" operator="lessThan" dxfId="1">
      <formula>0</formula>
    </cfRule>
    <cfRule type="cellIs" priority="149" operator="lessThan" dxfId="1">
      <formula>0</formula>
    </cfRule>
    <cfRule type="cellIs" priority="148" operator="lessThan" dxfId="1">
      <formula>0</formula>
    </cfRule>
    <cfRule type="cellIs" priority="147" operator="lessThan" dxfId="1">
      <formula>0</formula>
    </cfRule>
    <cfRule type="cellIs" priority="146" operator="lessThan" dxfId="1">
      <formula>0</formula>
    </cfRule>
    <cfRule type="cellIs" priority="145" operator="lessThan" dxfId="1">
      <formula>0</formula>
    </cfRule>
    <cfRule type="cellIs" priority="144" operator="lessThan" dxfId="1">
      <formula>0</formula>
    </cfRule>
    <cfRule type="cellIs" priority="51" operator="lessThan" dxfId="1">
      <formula>0</formula>
    </cfRule>
    <cfRule type="cellIs" priority="50" operator="lessThan" dxfId="1">
      <formula>0</formula>
    </cfRule>
    <cfRule type="cellIs" priority="49" operator="lessThan" dxfId="1">
      <formula>0</formula>
    </cfRule>
    <cfRule type="cellIs" priority="48" operator="lessThan" dxfId="1">
      <formula>0</formula>
    </cfRule>
    <cfRule type="cellIs" priority="47" operator="lessThan" dxfId="1">
      <formula>0</formula>
    </cfRule>
    <cfRule type="cellIs" priority="46" operator="lessThan" dxfId="1">
      <formula>0</formula>
    </cfRule>
    <cfRule type="cellIs" priority="45" operator="lessThan" dxfId="1">
      <formula>0</formula>
    </cfRule>
    <cfRule type="cellIs" priority="44" operator="lessThan" dxfId="1">
      <formula>0</formula>
    </cfRule>
    <cfRule type="cellIs" priority="43" operator="lessThan" dxfId="1">
      <formula>0</formula>
    </cfRule>
    <cfRule type="cellIs" priority="42" operator="lessThan" dxfId="1">
      <formula>0</formula>
    </cfRule>
    <cfRule type="cellIs" priority="41" operator="lessThan" dxfId="1">
      <formula>0</formula>
    </cfRule>
    <cfRule type="cellIs" priority="23" operator="lessThan" dxfId="1">
      <formula>0</formula>
    </cfRule>
    <cfRule type="cellIs" priority="22" operator="lessThan" dxfId="1">
      <formula>0</formula>
    </cfRule>
    <cfRule type="cellIs" priority="21" operator="lessThan" dxfId="1">
      <formula>0</formula>
    </cfRule>
    <cfRule type="cellIs" priority="20" operator="lessThan" dxfId="1">
      <formula>0</formula>
    </cfRule>
    <cfRule type="cellIs" priority="19" operator="lessThan" dxfId="1">
      <formula>0</formula>
    </cfRule>
    <cfRule type="cellIs" priority="18" operator="lessThan" dxfId="1">
      <formula>0</formula>
    </cfRule>
    <cfRule type="cellIs" priority="17" operator="lessThan" dxfId="1">
      <formula>0</formula>
    </cfRule>
    <cfRule type="cellIs" priority="16" operator="lessThan" dxfId="1">
      <formula>0</formula>
    </cfRule>
    <cfRule type="cellIs" priority="15" operator="lessThan" dxfId="1">
      <formula>0</formula>
    </cfRule>
    <cfRule type="cellIs" priority="14" operator="lessThan" dxfId="1">
      <formula>0</formula>
    </cfRule>
    <cfRule type="cellIs" priority="13" operator="lessThan" dxfId="1">
      <formula>0</formula>
    </cfRule>
    <cfRule type="cellIs" priority="12" operator="lessThan" dxfId="1">
      <formula>0</formula>
    </cfRule>
  </conditionalFormatting>
  <conditionalFormatting sqref="J32">
    <cfRule type="cellIs" priority="785" operator="greaterThan" dxfId="0">
      <formula>0</formula>
    </cfRule>
    <cfRule type="cellIs" priority="786" operator="lessThan" dxfId="1">
      <formula>0</formula>
    </cfRule>
  </conditionalFormatting>
  <conditionalFormatting sqref="Y5">
    <cfRule type="cellIs" priority="784" operator="lessThan" dxfId="1">
      <formula>0</formula>
    </cfRule>
    <cfRule type="cellIs" priority="783" operator="greaterThan" dxfId="0">
      <formula>0</formula>
    </cfRule>
  </conditionalFormatting>
  <conditionalFormatting sqref="Z5">
    <cfRule type="cellIs" priority="782" operator="lessThan" dxfId="1">
      <formula>0</formula>
    </cfRule>
    <cfRule type="cellIs" priority="781" operator="greaterThan" dxfId="0">
      <formula>0</formula>
    </cfRule>
  </conditionalFormatting>
  <conditionalFormatting sqref="AB5:AB16">
    <cfRule type="cellIs" priority="778" operator="lessThan" dxfId="1">
      <formula>0</formula>
    </cfRule>
    <cfRule type="cellIs" priority="779" operator="greaterThan" dxfId="0">
      <formula>0</formula>
    </cfRule>
  </conditionalFormatting>
  <conditionalFormatting sqref="W17">
    <cfRule type="cellIs" priority="760" operator="greaterThan" dxfId="0">
      <formula>0.8</formula>
    </cfRule>
    <cfRule type="cellIs" priority="761" operator="between" dxfId="26">
      <formula>0.51</formula>
      <formula>0.8</formula>
    </cfRule>
    <cfRule type="cellIs" priority="762" operator="lessThan" dxfId="1">
      <formula>0.5</formula>
    </cfRule>
  </conditionalFormatting>
  <conditionalFormatting sqref="X114">
    <cfRule type="cellIs" priority="759" operator="lessThan" dxfId="1">
      <formula>0</formula>
    </cfRule>
  </conditionalFormatting>
  <conditionalFormatting sqref="X124:X126">
    <cfRule type="cellIs" priority="758" operator="lessThan" dxfId="1">
      <formula>0</formula>
    </cfRule>
  </conditionalFormatting>
  <conditionalFormatting sqref="Y24">
    <cfRule type="cellIs" priority="748" operator="lessThan" dxfId="1">
      <formula>0</formula>
    </cfRule>
    <cfRule type="cellIs" priority="747" operator="greaterThan" dxfId="0">
      <formula>0</formula>
    </cfRule>
  </conditionalFormatting>
  <conditionalFormatting sqref="X24">
    <cfRule type="cellIs" priority="741" operator="lessThan" dxfId="1">
      <formula>0</formula>
    </cfRule>
    <cfRule type="cellIs" priority="740" operator="lessThan" dxfId="1">
      <formula>0</formula>
    </cfRule>
    <cfRule type="cellIs" priority="739" operator="lessThan" dxfId="1">
      <formula>0</formula>
    </cfRule>
    <cfRule type="cellIs" priority="738" operator="lessThan" dxfId="1">
      <formula>0</formula>
    </cfRule>
    <cfRule type="cellIs" priority="743" operator="lessThan" dxfId="1">
      <formula>0</formula>
    </cfRule>
    <cfRule type="cellIs" priority="742" operator="greaterThan" dxfId="0">
      <formula>0</formula>
    </cfRule>
    <cfRule type="cellIs" priority="737" operator="lessThan" dxfId="1">
      <formula>0</formula>
    </cfRule>
  </conditionalFormatting>
  <conditionalFormatting sqref="Z79:Z90">
    <cfRule type="cellIs" priority="735" operator="lessThan" dxfId="1">
      <formula>0</formula>
    </cfRule>
    <cfRule type="cellIs" priority="736" operator="greaterThan" dxfId="0">
      <formula>0</formula>
    </cfRule>
  </conditionalFormatting>
  <conditionalFormatting sqref="X129:X130">
    <cfRule type="cellIs" priority="734" operator="lessThan" dxfId="1">
      <formula>0</formula>
    </cfRule>
  </conditionalFormatting>
  <conditionalFormatting sqref="X131:X132">
    <cfRule type="cellIs" priority="733" operator="lessThan" dxfId="1">
      <formula>0</formula>
    </cfRule>
  </conditionalFormatting>
  <conditionalFormatting sqref="X134:X135">
    <cfRule type="cellIs" priority="732" operator="lessThan" dxfId="1">
      <formula>0</formula>
    </cfRule>
  </conditionalFormatting>
  <conditionalFormatting sqref="X17:X18">
    <cfRule type="cellIs" priority="718" operator="lessThan" dxfId="1">
      <formula>0</formula>
    </cfRule>
    <cfRule type="cellIs" priority="717" operator="lessThan" dxfId="1">
      <formula>0</formula>
    </cfRule>
    <cfRule type="cellIs" priority="716" operator="lessThan" dxfId="1">
      <formula>0</formula>
    </cfRule>
    <cfRule type="cellIs" priority="720" operator="lessThan" dxfId="1">
      <formula>0</formula>
    </cfRule>
    <cfRule type="cellIs" priority="719" operator="lessThan" dxfId="1">
      <formula>0</formula>
    </cfRule>
    <cfRule type="cellIs" priority="722" operator="lessThan" dxfId="1">
      <formula>0</formula>
    </cfRule>
    <cfRule type="cellIs" priority="721" operator="greaterThan" dxfId="0">
      <formula>0</formula>
    </cfRule>
  </conditionalFormatting>
  <conditionalFormatting sqref="Y18">
    <cfRule type="cellIs" priority="715" operator="lessThan" dxfId="1">
      <formula>0</formula>
    </cfRule>
    <cfRule type="cellIs" priority="714" operator="greaterThan" dxfId="0">
      <formula>0</formula>
    </cfRule>
  </conditionalFormatting>
  <conditionalFormatting sqref="X21:X23">
    <cfRule type="cellIs" priority="729" operator="lessThan" dxfId="1">
      <formula>0</formula>
    </cfRule>
    <cfRule type="cellIs" priority="728" operator="lessThan" dxfId="1">
      <formula>0</formula>
    </cfRule>
    <cfRule type="cellIs" priority="727" operator="lessThan" dxfId="1">
      <formula>0</formula>
    </cfRule>
    <cfRule type="cellIs" priority="726" operator="lessThan" dxfId="1">
      <formula>0</formula>
    </cfRule>
    <cfRule type="cellIs" priority="731" operator="lessThan" dxfId="1">
      <formula>0</formula>
    </cfRule>
    <cfRule type="cellIs" priority="730" operator="greaterThan" dxfId="0">
      <formula>0</formula>
    </cfRule>
    <cfRule type="cellIs" priority="725" operator="lessThan" dxfId="1">
      <formula>0</formula>
    </cfRule>
  </conditionalFormatting>
  <conditionalFormatting sqref="Y21:Y23">
    <cfRule type="cellIs" priority="724" operator="lessThan" dxfId="1">
      <formula>0</formula>
    </cfRule>
    <cfRule type="cellIs" priority="723" operator="greaterThan" dxfId="0">
      <formula>0</formula>
    </cfRule>
  </conditionalFormatting>
  <conditionalFormatting sqref="K36:V42 K44:V46">
    <cfRule type="cellIs" priority="712" operator="lessThan" dxfId="1">
      <formula>0</formula>
    </cfRule>
    <cfRule type="cellIs" priority="713" operator="greaterThan" dxfId="0">
      <formula>0.1</formula>
    </cfRule>
  </conditionalFormatting>
  <conditionalFormatting sqref="K47">
    <cfRule type="cellIs" priority="710" operator="lessThan" dxfId="1">
      <formula>0</formula>
    </cfRule>
    <cfRule type="cellIs" priority="711" operator="greaterThan" dxfId="0">
      <formula>0.1</formula>
    </cfRule>
  </conditionalFormatting>
  <conditionalFormatting sqref="W36:W42 W44:W46">
    <cfRule type="cellIs" priority="708" operator="lessThan" dxfId="1">
      <formula>0</formula>
    </cfRule>
    <cfRule type="cellIs" priority="709" operator="greaterThan" dxfId="0">
      <formula>0.1</formula>
    </cfRule>
  </conditionalFormatting>
  <conditionalFormatting sqref="E1091 E1096 E1100 E1102:E1103 E1105:E1113 E1116:E1151">
    <cfRule type="cellIs" priority="707" operator="lessThan" dxfId="1009">
      <formula>0</formula>
    </cfRule>
  </conditionalFormatting>
  <conditionalFormatting sqref="L36:V38 L40:V42 L44:V46">
    <cfRule type="cellIs" priority="705" operator="lessThan" dxfId="1">
      <formula>0</formula>
    </cfRule>
    <cfRule type="cellIs" priority="706" operator="greaterThan" dxfId="0">
      <formula>0.1</formula>
    </cfRule>
  </conditionalFormatting>
  <conditionalFormatting sqref="K39">
    <cfRule type="cellIs" priority="703" operator="lessThan" dxfId="1">
      <formula>0</formula>
    </cfRule>
    <cfRule type="cellIs" priority="704" operator="greaterThan" dxfId="0">
      <formula>0.1</formula>
    </cfRule>
    <cfRule type="cellIs" priority="701" operator="lessThan" dxfId="1">
      <formula>0</formula>
    </cfRule>
    <cfRule type="cellIs" priority="702" operator="greaterThan" dxfId="0">
      <formula>0.1</formula>
    </cfRule>
  </conditionalFormatting>
  <conditionalFormatting sqref="L39:V39">
    <cfRule type="cellIs" priority="699" operator="lessThan" dxfId="1">
      <formula>0</formula>
    </cfRule>
    <cfRule type="cellIs" priority="700" operator="greaterThan" dxfId="0">
      <formula>0.1</formula>
    </cfRule>
    <cfRule type="cellIs" priority="697" operator="lessThan" dxfId="1">
      <formula>0</formula>
    </cfRule>
    <cfRule type="cellIs" priority="698" operator="greaterThan" dxfId="0">
      <formula>0.1</formula>
    </cfRule>
  </conditionalFormatting>
  <conditionalFormatting sqref="L47:W47">
    <cfRule type="cellIs" priority="695" operator="lessThan" dxfId="1">
      <formula>0</formula>
    </cfRule>
    <cfRule type="cellIs" priority="696" operator="greaterThan" dxfId="0">
      <formula>0.1</formula>
    </cfRule>
  </conditionalFormatting>
  <conditionalFormatting sqref="E1114">
    <cfRule type="cellIs" priority="694" operator="lessThan" dxfId="1009">
      <formula>0</formula>
    </cfRule>
  </conditionalFormatting>
  <conditionalFormatting sqref="E1104">
    <cfRule type="cellIs" priority="691" operator="lessThan" dxfId="1009">
      <formula>0</formula>
    </cfRule>
  </conditionalFormatting>
  <conditionalFormatting sqref="E1101">
    <cfRule type="cellIs" priority="690" operator="lessThan" dxfId="1009">
      <formula>0</formula>
    </cfRule>
  </conditionalFormatting>
  <conditionalFormatting sqref="E1092:E1095">
    <cfRule type="cellIs" priority="689" operator="lessThan" dxfId="1009">
      <formula>0</formula>
    </cfRule>
  </conditionalFormatting>
  <conditionalFormatting sqref="E1097:E1099">
    <cfRule type="cellIs" priority="688" operator="lessThan" dxfId="1009">
      <formula>0</formula>
    </cfRule>
  </conditionalFormatting>
  <conditionalFormatting sqref="E1065">
    <cfRule type="cellIs" priority="687" operator="lessThan" dxfId="1009">
      <formula>0</formula>
    </cfRule>
  </conditionalFormatting>
  <conditionalFormatting sqref="E1058:E1059">
    <cfRule type="cellIs" priority="686" operator="lessThan" dxfId="1009">
      <formula>0</formula>
    </cfRule>
  </conditionalFormatting>
  <conditionalFormatting sqref="E1003:E1222">
    <cfRule type="cellIs" priority="684" operator="lessThan" dxfId="1009">
      <formula>0</formula>
    </cfRule>
  </conditionalFormatting>
  <conditionalFormatting sqref="E984:E985">
    <cfRule type="cellIs" priority="683" operator="lessThan" dxfId="1009">
      <formula>0</formula>
    </cfRule>
    <cfRule type="cellIs" priority="682" operator="lessThan" dxfId="1009">
      <formula>0</formula>
    </cfRule>
  </conditionalFormatting>
  <conditionalFormatting sqref="E971">
    <cfRule type="cellIs" priority="664" operator="lessThan" dxfId="1009">
      <formula>0</formula>
    </cfRule>
  </conditionalFormatting>
  <conditionalFormatting sqref="E970">
    <cfRule type="cellIs" priority="663" operator="lessThan" dxfId="1009">
      <formula>0</formula>
    </cfRule>
  </conditionalFormatting>
  <conditionalFormatting sqref="E967">
    <cfRule type="cellIs" priority="662" operator="lessThan" dxfId="1009">
      <formula>0</formula>
    </cfRule>
    <cfRule type="cellIs" priority="661" operator="lessThan" dxfId="1009">
      <formula>0</formula>
    </cfRule>
  </conditionalFormatting>
  <conditionalFormatting sqref="E960">
    <cfRule type="cellIs" priority="660" operator="lessThan" dxfId="1009">
      <formula>0</formula>
    </cfRule>
  </conditionalFormatting>
  <conditionalFormatting sqref="Y36:Y42 Y44:Y47">
    <cfRule type="cellIs" priority="659" operator="lessThan" dxfId="1">
      <formula>0</formula>
    </cfRule>
    <cfRule type="cellIs" priority="658" operator="greaterThan" dxfId="0">
      <formula>0</formula>
    </cfRule>
  </conditionalFormatting>
  <conditionalFormatting sqref="E950">
    <cfRule type="cellIs" priority="657" operator="lessThan" dxfId="1009">
      <formula>0</formula>
    </cfRule>
    <cfRule type="cellIs" priority="656" operator="lessThan" dxfId="1009">
      <formula>0</formula>
    </cfRule>
  </conditionalFormatting>
  <conditionalFormatting sqref="E947:E949">
    <cfRule type="cellIs" priority="655" operator="lessThan" dxfId="1009">
      <formula>0</formula>
    </cfRule>
    <cfRule type="cellIs" priority="654" operator="lessThan" dxfId="1009">
      <formula>0</formula>
    </cfRule>
  </conditionalFormatting>
  <conditionalFormatting sqref="E934">
    <cfRule type="cellIs" priority="653" operator="lessThan" dxfId="1009">
      <formula>0</formula>
    </cfRule>
  </conditionalFormatting>
  <conditionalFormatting sqref="E927">
    <cfRule type="cellIs" priority="652" operator="lessThan" dxfId="1009">
      <formula>0</formula>
    </cfRule>
    <cfRule type="cellIs" priority="651" operator="lessThan" dxfId="1009">
      <formula>0</formula>
    </cfRule>
  </conditionalFormatting>
  <conditionalFormatting sqref="Z26">
    <cfRule type="cellIs" priority="650" operator="lessThan" dxfId="1">
      <formula>0</formula>
    </cfRule>
    <cfRule type="cellIs" priority="649" operator="greaterThan" dxfId="0">
      <formula>0</formula>
    </cfRule>
  </conditionalFormatting>
  <conditionalFormatting sqref="E920:E921">
    <cfRule type="cellIs" priority="648" operator="lessThan" dxfId="1009">
      <formula>0</formula>
    </cfRule>
    <cfRule type="cellIs" priority="647" operator="lessThan" dxfId="1009">
      <formula>0</formula>
    </cfRule>
  </conditionalFormatting>
  <conditionalFormatting sqref="X6:X16">
    <cfRule type="cellIs" priority="646" operator="lessThan" dxfId="1">
      <formula>0</formula>
    </cfRule>
    <cfRule type="cellIs" priority="636" operator="lessThan" dxfId="1">
      <formula>0</formula>
    </cfRule>
    <cfRule type="cellIs" priority="601" operator="lessThan" dxfId="1">
      <formula>0</formula>
    </cfRule>
    <cfRule type="cellIs" priority="595" operator="lessThan" dxfId="1">
      <formula>0</formula>
    </cfRule>
    <cfRule type="cellIs" priority="592" operator="lessThan" dxfId="1">
      <formula>0</formula>
    </cfRule>
    <cfRule type="cellIs" priority="585" operator="lessThan" dxfId="1">
      <formula>0</formula>
    </cfRule>
    <cfRule type="cellIs" priority="583" operator="lessThan" dxfId="1">
      <formula>0</formula>
    </cfRule>
    <cfRule type="cellIs" priority="569" operator="lessThan" dxfId="1">
      <formula>0</formula>
    </cfRule>
    <cfRule type="cellIs" priority="557" operator="lessThan" dxfId="1">
      <formula>0</formula>
    </cfRule>
    <cfRule type="cellIs" priority="554" operator="lessThan" dxfId="1">
      <formula>0</formula>
    </cfRule>
    <cfRule type="cellIs" priority="547" operator="lessThan" dxfId="1">
      <formula>0</formula>
    </cfRule>
    <cfRule type="cellIs" priority="534" operator="lessThan" dxfId="1">
      <formula>0</formula>
    </cfRule>
    <cfRule type="cellIs" priority="525" operator="lessThan" dxfId="1">
      <formula>0</formula>
    </cfRule>
    <cfRule type="cellIs" priority="510" operator="lessThan" dxfId="1">
      <formula>0</formula>
    </cfRule>
    <cfRule type="cellIs" priority="486" operator="lessThan" dxfId="1">
      <formula>0</formula>
    </cfRule>
    <cfRule type="cellIs" priority="481" operator="lessThan" dxfId="1">
      <formula>0</formula>
    </cfRule>
    <cfRule type="cellIs" priority="449" operator="lessThan" dxfId="1">
      <formula>0</formula>
    </cfRule>
    <cfRule type="cellIs" priority="196" operator="lessThan" dxfId="1">
      <formula>0</formula>
    </cfRule>
    <cfRule type="cellIs" priority="124" operator="lessThan" dxfId="1">
      <formula>0</formula>
    </cfRule>
    <cfRule type="cellIs" priority="98" operator="lessThan" dxfId="1">
      <formula>0</formula>
    </cfRule>
    <cfRule type="cellIs" priority="87" operator="lessThan" dxfId="1">
      <formula>0</formula>
    </cfRule>
    <cfRule type="cellIs" priority="76" operator="lessThan" dxfId="1">
      <formula>0</formula>
    </cfRule>
    <cfRule type="cellIs" priority="68" operator="lessThan" dxfId="1">
      <formula>0</formula>
    </cfRule>
  </conditionalFormatting>
  <conditionalFormatting sqref="E914">
    <cfRule type="cellIs" priority="645" operator="lessThan" dxfId="1009">
      <formula>0</formula>
    </cfRule>
  </conditionalFormatting>
  <conditionalFormatting sqref="E915">
    <cfRule type="cellIs" priority="644" operator="lessThan" dxfId="1009">
      <formula>0</formula>
    </cfRule>
  </conditionalFormatting>
  <conditionalFormatting sqref="E907">
    <cfRule type="cellIs" priority="643" operator="lessThan" dxfId="1009">
      <formula>0</formula>
    </cfRule>
  </conditionalFormatting>
  <conditionalFormatting sqref="E843:E845 E847:E853 E859:E863 E866 E869:E874 E882:E885 E888:E894 E896:E902 E905:E906 I841">
    <cfRule type="cellIs" priority="642" operator="lessThan" dxfId="1009">
      <formula>0</formula>
    </cfRule>
  </conditionalFormatting>
  <conditionalFormatting sqref="E904">
    <cfRule type="cellIs" priority="641" operator="lessThan" dxfId="1009">
      <formula>0</formula>
    </cfRule>
  </conditionalFormatting>
  <conditionalFormatting sqref="E903">
    <cfRule type="cellIs" priority="640" operator="lessThan" dxfId="1009">
      <formula>0</formula>
    </cfRule>
  </conditionalFormatting>
  <conditionalFormatting sqref="E895">
    <cfRule type="cellIs" priority="639" operator="lessThan" dxfId="1009">
      <formula>0</formula>
    </cfRule>
  </conditionalFormatting>
  <conditionalFormatting sqref="E887">
    <cfRule type="cellIs" priority="638" operator="lessThan" dxfId="1009">
      <formula>0</formula>
    </cfRule>
  </conditionalFormatting>
  <conditionalFormatting sqref="E886">
    <cfRule type="cellIs" priority="637" operator="lessThan" dxfId="1009">
      <formula>0</formula>
    </cfRule>
  </conditionalFormatting>
  <conditionalFormatting sqref="J880:J881">
    <cfRule type="cellIs" priority="634" operator="lessThan" dxfId="1009">
      <formula>0</formula>
    </cfRule>
    <cfRule type="cellIs" priority="633" operator="lessThan" dxfId="1009">
      <formula>0</formula>
    </cfRule>
  </conditionalFormatting>
  <conditionalFormatting sqref="J875:J879">
    <cfRule type="cellIs" priority="635" operator="lessThan" dxfId="1009">
      <formula>0</formula>
    </cfRule>
  </conditionalFormatting>
  <conditionalFormatting sqref="E875:E879">
    <cfRule type="cellIs" priority="632" operator="lessThan" dxfId="1009">
      <formula>0</formula>
    </cfRule>
  </conditionalFormatting>
  <conditionalFormatting sqref="E880:E881">
    <cfRule type="cellIs" priority="631" operator="lessThan" dxfId="1009">
      <formula>0</formula>
    </cfRule>
    <cfRule type="cellIs" priority="630" operator="lessThan" dxfId="1009">
      <formula>0</formula>
    </cfRule>
  </conditionalFormatting>
  <conditionalFormatting sqref="E867">
    <cfRule type="cellIs" priority="629" operator="lessThan" dxfId="1009">
      <formula>0</formula>
    </cfRule>
  </conditionalFormatting>
  <conditionalFormatting sqref="E865">
    <cfRule type="cellIs" priority="628" operator="lessThan" dxfId="1009">
      <formula>0</formula>
    </cfRule>
  </conditionalFormatting>
  <conditionalFormatting sqref="E864">
    <cfRule type="cellIs" priority="627" operator="lessThan" dxfId="1009">
      <formula>0</formula>
    </cfRule>
  </conditionalFormatting>
  <conditionalFormatting sqref="E858">
    <cfRule type="cellIs" priority="626" operator="lessThan" dxfId="1009">
      <formula>0</formula>
    </cfRule>
  </conditionalFormatting>
  <conditionalFormatting sqref="E857">
    <cfRule type="cellIs" priority="625" operator="lessThan" dxfId="1009">
      <formula>0</formula>
    </cfRule>
  </conditionalFormatting>
  <conditionalFormatting sqref="E856">
    <cfRule type="cellIs" priority="624" operator="lessThan" dxfId="1009">
      <formula>0</formula>
    </cfRule>
  </conditionalFormatting>
  <conditionalFormatting sqref="E854:E855">
    <cfRule type="cellIs" priority="623" operator="lessThan" dxfId="1009">
      <formula>0</formula>
    </cfRule>
  </conditionalFormatting>
  <conditionalFormatting sqref="E846">
    <cfRule type="cellIs" priority="622" operator="lessThan" dxfId="1009">
      <formula>0</formula>
    </cfRule>
  </conditionalFormatting>
  <conditionalFormatting sqref="X6:X15">
    <cfRule type="cellIs" priority="621" operator="lessThan" dxfId="1">
      <formula>0</formula>
    </cfRule>
    <cfRule type="cellIs" priority="591" operator="lessThan" dxfId="1">
      <formula>0</formula>
    </cfRule>
    <cfRule type="cellIs" priority="568" operator="lessThan" dxfId="1">
      <formula>0</formula>
    </cfRule>
    <cfRule type="cellIs" priority="498" operator="lessThan" dxfId="1">
      <formula>0</formula>
    </cfRule>
    <cfRule type="cellIs" priority="432" operator="lessThan" dxfId="1">
      <formula>0</formula>
    </cfRule>
    <cfRule type="cellIs" priority="431" operator="lessThan" dxfId="1">
      <formula>0</formula>
    </cfRule>
    <cfRule type="cellIs" priority="227" operator="lessThan" dxfId="1">
      <formula>0</formula>
    </cfRule>
    <cfRule type="cellIs" priority="217" operator="lessThan" dxfId="1">
      <formula>0</formula>
    </cfRule>
    <cfRule type="cellIs" priority="154" operator="lessThan" dxfId="1">
      <formula>0</formula>
    </cfRule>
    <cfRule type="cellIs" priority="52" operator="lessThan" dxfId="1">
      <formula>0</formula>
    </cfRule>
    <cfRule type="cellIs" priority="24" operator="lessThan" dxfId="1">
      <formula>0</formula>
    </cfRule>
  </conditionalFormatting>
  <conditionalFormatting sqref="X15">
    <cfRule type="cellIs" priority="620" operator="lessThan" dxfId="1">
      <formula>0</formula>
    </cfRule>
  </conditionalFormatting>
  <conditionalFormatting sqref="I842:I843">
    <cfRule type="cellIs" priority="617" operator="lessThan" dxfId="1009">
      <formula>0</formula>
    </cfRule>
    <cfRule type="cellIs" priority="616" operator="lessThan" dxfId="1009">
      <formula>0</formula>
    </cfRule>
  </conditionalFormatting>
  <conditionalFormatting sqref="E840">
    <cfRule type="cellIs" priority="615" operator="lessThan" dxfId="1009">
      <formula>0</formula>
    </cfRule>
  </conditionalFormatting>
  <conditionalFormatting sqref="E841:E842">
    <cfRule type="cellIs" priority="614" operator="lessThan" dxfId="1009">
      <formula>0</formula>
    </cfRule>
    <cfRule type="cellIs" priority="613" operator="lessThan" dxfId="1009">
      <formula>0</formula>
    </cfRule>
  </conditionalFormatting>
  <conditionalFormatting sqref="E831:E832">
    <cfRule type="cellIs" priority="612" operator="lessThan" dxfId="1009">
      <formula>0</formula>
    </cfRule>
  </conditionalFormatting>
  <conditionalFormatting sqref="K17:V17">
    <cfRule type="cellIs" priority="609" operator="greaterThan" dxfId="0">
      <formula>0.81</formula>
    </cfRule>
    <cfRule type="cellIs" priority="610" operator="between" dxfId="1036">
      <formula>0.301</formula>
      <formula>0.8</formula>
    </cfRule>
    <cfRule type="cellIs" priority="611" operator="lessThan" dxfId="1">
      <formula>0.3</formula>
    </cfRule>
  </conditionalFormatting>
  <conditionalFormatting sqref="K26:W26">
    <cfRule type="cellIs" priority="607" operator="lessThan" dxfId="1">
      <formula>0</formula>
    </cfRule>
    <cfRule type="cellIs" priority="608" operator="greaterThan" dxfId="0">
      <formula>0.0001</formula>
    </cfRule>
  </conditionalFormatting>
  <conditionalFormatting sqref="Q17">
    <cfRule type="cellIs" priority="604" operator="greaterThan" dxfId="0">
      <formula>0.75</formula>
    </cfRule>
    <cfRule type="cellIs" priority="605" operator="between" dxfId="1036">
      <formula>0.301</formula>
      <formula>0.7499</formula>
    </cfRule>
    <cfRule type="cellIs" priority="606" operator="lessThan" dxfId="1">
      <formula>0.3</formula>
    </cfRule>
  </conditionalFormatting>
  <conditionalFormatting sqref="E812:E813">
    <cfRule type="cellIs" priority="603" operator="lessThan" dxfId="1009">
      <formula>0</formula>
    </cfRule>
    <cfRule type="cellIs" priority="602" operator="lessThan" dxfId="1009">
      <formula>0</formula>
    </cfRule>
  </conditionalFormatting>
  <conditionalFormatting sqref="Y26">
    <cfRule type="cellIs" priority="599" operator="lessThan" dxfId="1">
      <formula>0</formula>
    </cfRule>
    <cfRule type="cellIs" priority="600" operator="greaterThan" dxfId="0">
      <formula>0</formula>
    </cfRule>
  </conditionalFormatting>
  <conditionalFormatting sqref="E800">
    <cfRule type="cellIs" priority="598" operator="lessThan" dxfId="1009">
      <formula>0</formula>
    </cfRule>
  </conditionalFormatting>
  <conditionalFormatting sqref="E783:E784">
    <cfRule type="cellIs" priority="597" operator="lessThan" dxfId="1009">
      <formula>0</formula>
    </cfRule>
    <cfRule type="cellIs" priority="596" operator="lessThan" dxfId="1009">
      <formula>0</formula>
    </cfRule>
  </conditionalFormatting>
  <conditionalFormatting sqref="E748:E749">
    <cfRule type="cellIs" priority="594" operator="lessThan" dxfId="1009">
      <formula>0</formula>
    </cfRule>
    <cfRule type="cellIs" priority="593" operator="lessThan" dxfId="1009">
      <formula>0</formula>
    </cfRule>
  </conditionalFormatting>
  <conditionalFormatting sqref="E708:E709">
    <cfRule type="cellIs" priority="589" operator="lessThan" dxfId="1009">
      <formula>0</formula>
    </cfRule>
    <cfRule type="cellIs" priority="588" operator="lessThan" dxfId="1009">
      <formula>0</formula>
    </cfRule>
  </conditionalFormatting>
  <conditionalFormatting sqref="E671:E672">
    <cfRule type="cellIs" priority="587" operator="lessThan" dxfId="1009">
      <formula>0</formula>
    </cfRule>
    <cfRule type="cellIs" priority="586" operator="lessThan" dxfId="1009">
      <formula>0</formula>
    </cfRule>
  </conditionalFormatting>
  <conditionalFormatting sqref="X115:X121">
    <cfRule type="cellIs" priority="584" operator="lessThan" dxfId="1">
      <formula>0</formula>
    </cfRule>
  </conditionalFormatting>
  <conditionalFormatting sqref="E624:E625">
    <cfRule type="cellIs" priority="582" operator="lessThan" dxfId="1009">
      <formula>0</formula>
    </cfRule>
    <cfRule type="cellIs" priority="581" operator="lessThan" dxfId="1009">
      <formula>0</formula>
    </cfRule>
  </conditionalFormatting>
  <conditionalFormatting sqref="E586:E587">
    <cfRule type="cellIs" priority="580" operator="lessThan" dxfId="1009">
      <formula>0</formula>
    </cfRule>
    <cfRule type="cellIs" priority="579" operator="lessThan" dxfId="1009">
      <formula>0</formula>
    </cfRule>
  </conditionalFormatting>
  <conditionalFormatting sqref="X20">
    <cfRule type="cellIs" priority="576" operator="lessThan" dxfId="1">
      <formula>0</formula>
    </cfRule>
    <cfRule type="cellIs" priority="575" operator="lessThan" dxfId="1">
      <formula>0</formula>
    </cfRule>
    <cfRule type="cellIs" priority="574" operator="lessThan" dxfId="1">
      <formula>0</formula>
    </cfRule>
    <cfRule type="cellIs" priority="573" operator="lessThan" dxfId="1">
      <formula>0</formula>
    </cfRule>
    <cfRule type="cellIs" priority="578" operator="lessThan" dxfId="1">
      <formula>0</formula>
    </cfRule>
    <cfRule type="cellIs" priority="577" operator="greaterThan" dxfId="0">
      <formula>0</formula>
    </cfRule>
    <cfRule type="cellIs" priority="572" operator="lessThan" dxfId="1">
      <formula>0</formula>
    </cfRule>
  </conditionalFormatting>
  <conditionalFormatting sqref="Y20">
    <cfRule type="cellIs" priority="571" operator="lessThan" dxfId="1">
      <formula>0</formula>
    </cfRule>
    <cfRule type="cellIs" priority="570" operator="greaterThan" dxfId="0">
      <formula>0</formula>
    </cfRule>
  </conditionalFormatting>
  <conditionalFormatting sqref="X94:X101">
    <cfRule type="cellIs" priority="561" operator="lessThan" dxfId="1">
      <formula>0</formula>
    </cfRule>
  </conditionalFormatting>
  <conditionalFormatting sqref="K5:V16">
    <cfRule type="cellIs" priority="560" operator="lessThan" dxfId="1">
      <formula>0</formula>
    </cfRule>
  </conditionalFormatting>
  <conditionalFormatting sqref="Z6:Z16">
    <cfRule type="cellIs" priority="556" operator="lessThan" dxfId="1">
      <formula>0</formula>
    </cfRule>
    <cfRule type="cellIs" priority="555" operator="greaterThan" dxfId="0">
      <formula>0</formula>
    </cfRule>
  </conditionalFormatting>
  <conditionalFormatting sqref="E53">
    <cfRule type="cellIs" priority="551" operator="lessThan" dxfId="1">
      <formula>0</formula>
    </cfRule>
  </conditionalFormatting>
  <conditionalFormatting sqref="K20:V25">
    <cfRule type="aboveAverage" priority="546" dxfId="1865"/>
  </conditionalFormatting>
  <conditionalFormatting sqref="E40">
    <cfRule type="cellIs" priority="524" operator="lessThan" dxfId="1">
      <formula>0</formula>
    </cfRule>
  </conditionalFormatting>
  <conditionalFormatting sqref="E23">
    <cfRule type="cellIs" priority="523" operator="lessThan" dxfId="1">
      <formula>0</formula>
    </cfRule>
  </conditionalFormatting>
  <conditionalFormatting sqref="E65">
    <cfRule type="cellIs" priority="504" operator="lessThan" dxfId="1">
      <formula>0</formula>
    </cfRule>
  </conditionalFormatting>
  <conditionalFormatting sqref="E66">
    <cfRule type="cellIs" priority="502" operator="lessThan" dxfId="1">
      <formula>0</formula>
    </cfRule>
  </conditionalFormatting>
  <conditionalFormatting sqref="X36:X42 X44:X47">
    <cfRule type="cellIs" priority="478" operator="greaterThan" dxfId="1255">
      <formula>0</formula>
    </cfRule>
    <cfRule type="cellIs" priority="480" operator="lessThan" dxfId="1">
      <formula>0</formula>
    </cfRule>
    <cfRule type="cellIs" priority="479" operator="greaterThan" dxfId="0">
      <formula>0</formula>
    </cfRule>
  </conditionalFormatting>
  <conditionalFormatting sqref="K19:V19">
    <cfRule type="aboveAverage" priority="459" dxfId="1865"/>
  </conditionalFormatting>
  <conditionalFormatting sqref="X19">
    <cfRule type="cellIs" priority="456" operator="lessThan" dxfId="1">
      <formula>0</formula>
    </cfRule>
    <cfRule type="cellIs" priority="455" operator="lessThan" dxfId="1">
      <formula>0</formula>
    </cfRule>
    <cfRule type="cellIs" priority="454" operator="lessThan" dxfId="1">
      <formula>0</formula>
    </cfRule>
    <cfRule type="cellIs" priority="453" operator="lessThan" dxfId="1">
      <formula>0</formula>
    </cfRule>
    <cfRule type="cellIs" priority="458" operator="lessThan" dxfId="1">
      <formula>0</formula>
    </cfRule>
    <cfRule type="cellIs" priority="457" operator="greaterThan" dxfId="0">
      <formula>0</formula>
    </cfRule>
    <cfRule type="cellIs" priority="452" operator="lessThan" dxfId="1">
      <formula>0</formula>
    </cfRule>
  </conditionalFormatting>
  <conditionalFormatting sqref="Y19">
    <cfRule type="cellIs" priority="451" operator="lessThan" dxfId="1">
      <formula>0</formula>
    </cfRule>
    <cfRule type="cellIs" priority="450" operator="greaterThan" dxfId="0">
      <formula>0</formula>
    </cfRule>
  </conditionalFormatting>
  <conditionalFormatting sqref="K43:W43">
    <cfRule type="cellIs" priority="445" operator="lessThan" dxfId="1">
      <formula>0</formula>
    </cfRule>
    <cfRule type="cellIs" priority="446" operator="greaterThan" dxfId="0">
      <formula>0.1</formula>
    </cfRule>
  </conditionalFormatting>
  <conditionalFormatting sqref="E569:E570">
    <cfRule type="cellIs" priority="444" operator="lessThan" dxfId="1">
      <formula>0</formula>
    </cfRule>
  </conditionalFormatting>
  <conditionalFormatting sqref="E567:E568">
    <cfRule type="cellIs" priority="443" operator="lessThan" dxfId="1">
      <formula>0</formula>
    </cfRule>
  </conditionalFormatting>
  <conditionalFormatting sqref="E25">
    <cfRule type="cellIs" priority="442" operator="lessThan" dxfId="1">
      <formula>0</formula>
    </cfRule>
  </conditionalFormatting>
  <conditionalFormatting sqref="E26:E31">
    <cfRule type="cellIs" priority="440" operator="lessThan" dxfId="1">
      <formula>0</formula>
    </cfRule>
  </conditionalFormatting>
  <conditionalFormatting sqref="Y43">
    <cfRule type="cellIs" priority="439" operator="lessThan" dxfId="1">
      <formula>0</formula>
    </cfRule>
    <cfRule type="cellIs" priority="438" operator="greaterThan" dxfId="0">
      <formula>0</formula>
    </cfRule>
  </conditionalFormatting>
  <conditionalFormatting sqref="X43">
    <cfRule type="cellIs" priority="435" operator="greaterThan" dxfId="1255">
      <formula>0</formula>
    </cfRule>
    <cfRule type="cellIs" priority="437" operator="lessThan" dxfId="1">
      <formula>0</formula>
    </cfRule>
    <cfRule type="cellIs" priority="436" operator="greaterThan" dxfId="0">
      <formula>0</formula>
    </cfRule>
  </conditionalFormatting>
  <conditionalFormatting sqref="E553">
    <cfRule type="cellIs" priority="434" operator="lessThan" dxfId="1">
      <formula>0</formula>
    </cfRule>
  </conditionalFormatting>
  <conditionalFormatting sqref="E539:E540">
    <cfRule type="cellIs" priority="433" operator="lessThan" dxfId="1">
      <formula>0</formula>
    </cfRule>
  </conditionalFormatting>
  <conditionalFormatting sqref="K50">
    <cfRule type="cellIs" priority="276" operator="lessThan" dxfId="1">
      <formula>0</formula>
    </cfRule>
  </conditionalFormatting>
  <conditionalFormatting sqref="K51">
    <cfRule type="cellIs" priority="275" operator="lessThan" dxfId="1">
      <formula>0</formula>
    </cfRule>
  </conditionalFormatting>
  <conditionalFormatting sqref="K52:K60">
    <cfRule type="cellIs" priority="274" operator="lessThan" dxfId="1">
      <formula>0</formula>
    </cfRule>
  </conditionalFormatting>
  <conditionalFormatting sqref="L50:V50">
    <cfRule type="cellIs" priority="273" operator="lessThan" dxfId="1">
      <formula>0</formula>
    </cfRule>
  </conditionalFormatting>
  <conditionalFormatting sqref="L51:L60">
    <cfRule type="cellIs" priority="272" operator="lessThan" dxfId="1">
      <formula>0</formula>
    </cfRule>
  </conditionalFormatting>
  <conditionalFormatting sqref="M51:M60">
    <cfRule type="cellIs" priority="271" operator="lessThan" dxfId="1">
      <formula>0</formula>
    </cfRule>
  </conditionalFormatting>
  <conditionalFormatting sqref="N51:N60">
    <cfRule type="cellIs" priority="270" operator="lessThan" dxfId="1">
      <formula>0</formula>
    </cfRule>
  </conditionalFormatting>
  <conditionalFormatting sqref="O51:O60">
    <cfRule type="cellIs" priority="269" operator="lessThan" dxfId="1">
      <formula>0</formula>
    </cfRule>
  </conditionalFormatting>
  <conditionalFormatting sqref="P51:P60">
    <cfRule type="cellIs" priority="268" operator="lessThan" dxfId="1">
      <formula>0</formula>
    </cfRule>
  </conditionalFormatting>
  <conditionalFormatting sqref="Q51:Q60">
    <cfRule type="cellIs" priority="267" operator="lessThan" dxfId="1">
      <formula>0</formula>
    </cfRule>
  </conditionalFormatting>
  <conditionalFormatting sqref="R51:R60">
    <cfRule type="cellIs" priority="266" operator="lessThan" dxfId="1">
      <formula>0</formula>
    </cfRule>
  </conditionalFormatting>
  <conditionalFormatting sqref="S51:S60">
    <cfRule type="cellIs" priority="265" operator="lessThan" dxfId="1">
      <formula>0</formula>
    </cfRule>
  </conditionalFormatting>
  <conditionalFormatting sqref="T51:T60">
    <cfRule type="cellIs" priority="264" operator="lessThan" dxfId="1">
      <formula>0</formula>
    </cfRule>
  </conditionalFormatting>
  <conditionalFormatting sqref="U51:U60">
    <cfRule type="cellIs" priority="263" operator="lessThan" dxfId="1">
      <formula>0</formula>
    </cfRule>
  </conditionalFormatting>
  <conditionalFormatting sqref="V51:V60">
    <cfRule type="cellIs" priority="262" operator="lessThan" dxfId="1">
      <formula>0</formula>
    </cfRule>
  </conditionalFormatting>
  <conditionalFormatting sqref="K93">
    <cfRule type="cellIs" priority="261" operator="lessThan" dxfId="1">
      <formula>0</formula>
    </cfRule>
  </conditionalFormatting>
  <conditionalFormatting sqref="K94:K101">
    <cfRule type="cellIs" priority="260" operator="lessThan" dxfId="1">
      <formula>0</formula>
    </cfRule>
  </conditionalFormatting>
  <conditionalFormatting sqref="L93:V93">
    <cfRule type="cellIs" priority="259" operator="lessThan" dxfId="1">
      <formula>0</formula>
    </cfRule>
  </conditionalFormatting>
  <conditionalFormatting sqref="L94:L101">
    <cfRule type="cellIs" priority="258" operator="lessThan" dxfId="1">
      <formula>0</formula>
    </cfRule>
  </conditionalFormatting>
  <conditionalFormatting sqref="M94:M101">
    <cfRule type="cellIs" priority="257" operator="lessThan" dxfId="1">
      <formula>0</formula>
    </cfRule>
  </conditionalFormatting>
  <conditionalFormatting sqref="N94:N101">
    <cfRule type="cellIs" priority="256" operator="lessThan" dxfId="1">
      <formula>0</formula>
    </cfRule>
  </conditionalFormatting>
  <conditionalFormatting sqref="O94:O101">
    <cfRule type="cellIs" priority="255" operator="lessThan" dxfId="1">
      <formula>0</formula>
    </cfRule>
  </conditionalFormatting>
  <conditionalFormatting sqref="P94:P101">
    <cfRule type="cellIs" priority="254" operator="lessThan" dxfId="1">
      <formula>0</formula>
    </cfRule>
  </conditionalFormatting>
  <conditionalFormatting sqref="Q94:Q101">
    <cfRule type="cellIs" priority="253" operator="lessThan" dxfId="1">
      <formula>0</formula>
    </cfRule>
  </conditionalFormatting>
  <conditionalFormatting sqref="R94:R101">
    <cfRule type="cellIs" priority="252" operator="lessThan" dxfId="1">
      <formula>0</formula>
    </cfRule>
  </conditionalFormatting>
  <conditionalFormatting sqref="S94:S101">
    <cfRule type="cellIs" priority="251" operator="lessThan" dxfId="1">
      <formula>0</formula>
    </cfRule>
  </conditionalFormatting>
  <conditionalFormatting sqref="T94:T101">
    <cfRule type="cellIs" priority="250" operator="lessThan" dxfId="1">
      <formula>0</formula>
    </cfRule>
  </conditionalFormatting>
  <conditionalFormatting sqref="U94:U101">
    <cfRule type="cellIs" priority="249" operator="lessThan" dxfId="1">
      <formula>0</formula>
    </cfRule>
  </conditionalFormatting>
  <conditionalFormatting sqref="V94:V101">
    <cfRule type="cellIs" priority="248" operator="lessThan" dxfId="1">
      <formula>0</formula>
    </cfRule>
  </conditionalFormatting>
  <conditionalFormatting sqref="K115">
    <cfRule type="cellIs" priority="246" operator="lessThan" dxfId="1">
      <formula>0</formula>
    </cfRule>
  </conditionalFormatting>
  <conditionalFormatting sqref="K116:K120">
    <cfRule type="cellIs" priority="245" operator="lessThan" dxfId="1">
      <formula>0</formula>
    </cfRule>
  </conditionalFormatting>
  <conditionalFormatting sqref="K114">
    <cfRule type="cellIs" priority="244" operator="lessThan" dxfId="1">
      <formula>0</formula>
    </cfRule>
  </conditionalFormatting>
  <conditionalFormatting sqref="L114:V114">
    <cfRule type="cellIs" priority="243" operator="lessThan" dxfId="1">
      <formula>0</formula>
    </cfRule>
  </conditionalFormatting>
  <conditionalFormatting sqref="L115:L120">
    <cfRule type="cellIs" priority="242" operator="lessThan" dxfId="1">
      <formula>0</formula>
    </cfRule>
  </conditionalFormatting>
  <conditionalFormatting sqref="M115:M120">
    <cfRule type="cellIs" priority="241" operator="lessThan" dxfId="1">
      <formula>0</formula>
    </cfRule>
  </conditionalFormatting>
  <conditionalFormatting sqref="N115:N120">
    <cfRule type="cellIs" priority="240" operator="lessThan" dxfId="1">
      <formula>0</formula>
    </cfRule>
  </conditionalFormatting>
  <conditionalFormatting sqref="O115:O120">
    <cfRule type="cellIs" priority="239" operator="lessThan" dxfId="1">
      <formula>0</formula>
    </cfRule>
  </conditionalFormatting>
  <conditionalFormatting sqref="P115:P120">
    <cfRule type="cellIs" priority="238" operator="lessThan" dxfId="1">
      <formula>0</formula>
    </cfRule>
  </conditionalFormatting>
  <conditionalFormatting sqref="Q115:Q120">
    <cfRule type="cellIs" priority="237" operator="lessThan" dxfId="1">
      <formula>0</formula>
    </cfRule>
  </conditionalFormatting>
  <conditionalFormatting sqref="R115:R120">
    <cfRule type="cellIs" priority="236" operator="lessThan" dxfId="1">
      <formula>0</formula>
    </cfRule>
  </conditionalFormatting>
  <conditionalFormatting sqref="S115:S120">
    <cfRule type="cellIs" priority="235" operator="lessThan" dxfId="1">
      <formula>0</formula>
    </cfRule>
  </conditionalFormatting>
  <conditionalFormatting sqref="T115:T120">
    <cfRule type="cellIs" priority="234" operator="lessThan" dxfId="1">
      <formula>0</formula>
    </cfRule>
  </conditionalFormatting>
  <conditionalFormatting sqref="U115:U120">
    <cfRule type="cellIs" priority="233" operator="lessThan" dxfId="1">
      <formula>0</formula>
    </cfRule>
  </conditionalFormatting>
  <conditionalFormatting sqref="V115:V120">
    <cfRule type="cellIs" priority="232" operator="lessThan" dxfId="1">
      <formula>0</formula>
    </cfRule>
  </conditionalFormatting>
  <conditionalFormatting sqref="L130:V130">
    <cfRule type="cellIs" priority="231" operator="lessThan" dxfId="1">
      <formula>0</formula>
    </cfRule>
  </conditionalFormatting>
  <conditionalFormatting sqref="E530">
    <cfRule type="cellIs" priority="230" operator="lessThan" dxfId="1">
      <formula>0</formula>
    </cfRule>
    <cfRule type="cellIs" priority="229" operator="lessThan" dxfId="1009">
      <formula>0</formula>
    </cfRule>
    <cfRule type="cellIs" priority="228" operator="lessThan" dxfId="1009">
      <formula>0</formula>
    </cfRule>
  </conditionalFormatting>
  <conditionalFormatting sqref="E525">
    <cfRule type="cellIs" priority="226" operator="lessThan" dxfId="1">
      <formula>0</formula>
    </cfRule>
  </conditionalFormatting>
  <conditionalFormatting sqref="E524">
    <cfRule type="cellIs" priority="225" operator="lessThan" dxfId="1">
      <formula>0</formula>
    </cfRule>
  </conditionalFormatting>
  <conditionalFormatting sqref="E24">
    <cfRule type="cellIs" priority="224" operator="lessThan" dxfId="1">
      <formula>0</formula>
    </cfRule>
  </conditionalFormatting>
  <conditionalFormatting sqref="E521">
    <cfRule type="cellIs" priority="223" operator="lessThan" dxfId="1">
      <formula>0</formula>
    </cfRule>
  </conditionalFormatting>
  <conditionalFormatting sqref="E516">
    <cfRule type="cellIs" priority="222" operator="lessThan" dxfId="1">
      <formula>0</formula>
    </cfRule>
  </conditionalFormatting>
  <conditionalFormatting sqref="E489">
    <cfRule type="cellIs" priority="220" operator="lessThan" dxfId="1">
      <formula>0</formula>
    </cfRule>
    <cfRule type="cellIs" priority="219" operator="lessThan" dxfId="1009">
      <formula>0</formula>
    </cfRule>
    <cfRule type="cellIs" priority="218" operator="lessThan" dxfId="1009">
      <formula>0</formula>
    </cfRule>
  </conditionalFormatting>
  <conditionalFormatting sqref="E490:E491">
    <cfRule type="cellIs" priority="216" operator="lessThan" dxfId="1">
      <formula>0</formula>
    </cfRule>
  </conditionalFormatting>
  <conditionalFormatting sqref="E491">
    <cfRule type="cellIs" priority="215" operator="lessThan" dxfId="1">
      <formula>0</formula>
    </cfRule>
    <cfRule type="cellIs" priority="214" operator="lessThan" dxfId="1009">
      <formula>0</formula>
    </cfRule>
    <cfRule type="cellIs" priority="213" operator="lessThan" dxfId="1009">
      <formula>0</formula>
    </cfRule>
  </conditionalFormatting>
  <conditionalFormatting sqref="E478:E479">
    <cfRule type="cellIs" priority="212" operator="lessThan" dxfId="1">
      <formula>0</formula>
    </cfRule>
  </conditionalFormatting>
  <conditionalFormatting sqref="E467">
    <cfRule type="cellIs" priority="211" operator="lessThan" dxfId="1">
      <formula>0</formula>
    </cfRule>
  </conditionalFormatting>
  <conditionalFormatting sqref="E463">
    <cfRule type="cellIs" priority="210" operator="lessThan" dxfId="1">
      <formula>0</formula>
    </cfRule>
  </conditionalFormatting>
  <conditionalFormatting sqref="E462">
    <cfRule type="cellIs" priority="209" operator="lessThan" dxfId="1">
      <formula>0</formula>
    </cfRule>
  </conditionalFormatting>
  <conditionalFormatting sqref="E461">
    <cfRule type="cellIs" priority="208" operator="lessThan" dxfId="1">
      <formula>0</formula>
    </cfRule>
  </conditionalFormatting>
  <conditionalFormatting sqref="E460">
    <cfRule type="cellIs" priority="207" operator="lessThan" dxfId="1">
      <formula>0</formula>
    </cfRule>
  </conditionalFormatting>
  <conditionalFormatting sqref="E458">
    <cfRule type="cellIs" priority="206" operator="lessThan" dxfId="1">
      <formula>0</formula>
    </cfRule>
  </conditionalFormatting>
  <conditionalFormatting sqref="E456">
    <cfRule type="cellIs" priority="205" operator="lessThan" dxfId="1">
      <formula>0</formula>
    </cfRule>
  </conditionalFormatting>
  <conditionalFormatting sqref="E455">
    <cfRule type="cellIs" priority="204" operator="lessThan" dxfId="1">
      <formula>0</formula>
    </cfRule>
  </conditionalFormatting>
  <conditionalFormatting sqref="E454">
    <cfRule type="cellIs" priority="203" operator="lessThan" dxfId="1">
      <formula>0</formula>
    </cfRule>
  </conditionalFormatting>
  <conditionalFormatting sqref="E453">
    <cfRule type="cellIs" priority="202" operator="lessThan" dxfId="1">
      <formula>0</formula>
    </cfRule>
  </conditionalFormatting>
  <conditionalFormatting sqref="E452">
    <cfRule type="cellIs" priority="201" operator="lessThan" dxfId="1">
      <formula>0</formula>
    </cfRule>
  </conditionalFormatting>
  <conditionalFormatting sqref="E451">
    <cfRule type="cellIs" priority="200" operator="lessThan" dxfId="1">
      <formula>0</formula>
    </cfRule>
  </conditionalFormatting>
  <conditionalFormatting sqref="E450">
    <cfRule type="cellIs" priority="199" operator="lessThan" dxfId="1">
      <formula>0</formula>
    </cfRule>
  </conditionalFormatting>
  <conditionalFormatting sqref="E449">
    <cfRule type="cellIs" priority="198" operator="lessThan" dxfId="1">
      <formula>0</formula>
    </cfRule>
  </conditionalFormatting>
  <conditionalFormatting sqref="E448">
    <cfRule type="cellIs" priority="197" operator="lessThan" dxfId="1">
      <formula>0</formula>
    </cfRule>
  </conditionalFormatting>
  <conditionalFormatting sqref="E445:E446">
    <cfRule type="cellIs" priority="195" operator="lessThan" dxfId="1">
      <formula>0</formula>
    </cfRule>
  </conditionalFormatting>
  <conditionalFormatting sqref="E446">
    <cfRule type="cellIs" priority="194" operator="lessThan" dxfId="1">
      <formula>0</formula>
    </cfRule>
    <cfRule type="cellIs" priority="193" operator="lessThan" dxfId="1009">
      <formula>0</formula>
    </cfRule>
    <cfRule type="cellIs" priority="192" operator="lessThan" dxfId="1009">
      <formula>0</formula>
    </cfRule>
  </conditionalFormatting>
  <conditionalFormatting sqref="E443">
    <cfRule type="cellIs" priority="191" operator="lessThan" dxfId="1">
      <formula>0</formula>
    </cfRule>
  </conditionalFormatting>
  <conditionalFormatting sqref="E441">
    <cfRule type="cellIs" priority="190" operator="lessThan" dxfId="1">
      <formula>0</formula>
    </cfRule>
  </conditionalFormatting>
  <conditionalFormatting sqref="E440">
    <cfRule type="cellIs" priority="189" operator="lessThan" dxfId="1">
      <formula>0</formula>
    </cfRule>
  </conditionalFormatting>
  <conditionalFormatting sqref="E439">
    <cfRule type="cellIs" priority="188" operator="lessThan" dxfId="1">
      <formula>0</formula>
    </cfRule>
  </conditionalFormatting>
  <conditionalFormatting sqref="E438">
    <cfRule type="cellIs" priority="187" operator="lessThan" dxfId="1">
      <formula>0</formula>
    </cfRule>
  </conditionalFormatting>
  <conditionalFormatting sqref="E437">
    <cfRule type="cellIs" priority="186" operator="lessThan" dxfId="1">
      <formula>0</formula>
    </cfRule>
  </conditionalFormatting>
  <conditionalFormatting sqref="E436">
    <cfRule type="cellIs" priority="185" operator="lessThan" dxfId="1">
      <formula>0</formula>
    </cfRule>
  </conditionalFormatting>
  <conditionalFormatting sqref="E435">
    <cfRule type="cellIs" priority="184" operator="lessThan" dxfId="1">
      <formula>0</formula>
    </cfRule>
  </conditionalFormatting>
  <conditionalFormatting sqref="E434">
    <cfRule type="cellIs" priority="183" operator="lessThan" dxfId="1">
      <formula>0</formula>
    </cfRule>
  </conditionalFormatting>
  <conditionalFormatting sqref="E433">
    <cfRule type="cellIs" priority="182" operator="lessThan" dxfId="1">
      <formula>0</formula>
    </cfRule>
  </conditionalFormatting>
  <conditionalFormatting sqref="E431:E432">
    <cfRule type="cellIs" priority="181" operator="lessThan" dxfId="1">
      <formula>0</formula>
    </cfRule>
  </conditionalFormatting>
  <conditionalFormatting sqref="E427">
    <cfRule type="cellIs" priority="180" operator="lessThan" dxfId="1">
      <formula>0</formula>
    </cfRule>
  </conditionalFormatting>
  <conditionalFormatting sqref="E426">
    <cfRule type="cellIs" priority="179" operator="lessThan" dxfId="1">
      <formula>0</formula>
    </cfRule>
  </conditionalFormatting>
  <conditionalFormatting sqref="E423:E424">
    <cfRule type="cellIs" priority="178" operator="lessThan" dxfId="1">
      <formula>0</formula>
    </cfRule>
  </conditionalFormatting>
  <conditionalFormatting sqref="E422">
    <cfRule type="cellIs" priority="177" operator="lessThan" dxfId="1">
      <formula>0</formula>
    </cfRule>
  </conditionalFormatting>
  <conditionalFormatting sqref="E421">
    <cfRule type="cellIs" priority="176" operator="lessThan" dxfId="1">
      <formula>0</formula>
    </cfRule>
  </conditionalFormatting>
  <conditionalFormatting sqref="E420">
    <cfRule type="cellIs" priority="175" operator="lessThan" dxfId="1">
      <formula>0</formula>
    </cfRule>
  </conditionalFormatting>
  <conditionalFormatting sqref="E418">
    <cfRule type="cellIs" priority="174" operator="lessThan" dxfId="1">
      <formula>0</formula>
    </cfRule>
  </conditionalFormatting>
  <conditionalFormatting sqref="E417">
    <cfRule type="cellIs" priority="173" operator="lessThan" dxfId="1">
      <formula>0</formula>
    </cfRule>
  </conditionalFormatting>
  <conditionalFormatting sqref="E415">
    <cfRule type="cellIs" priority="172" operator="lessThan" dxfId="1">
      <formula>0</formula>
    </cfRule>
  </conditionalFormatting>
  <conditionalFormatting sqref="E413:E414">
    <cfRule type="cellIs" priority="171" operator="lessThan" dxfId="1">
      <formula>0</formula>
    </cfRule>
  </conditionalFormatting>
  <conditionalFormatting sqref="E412">
    <cfRule type="cellIs" priority="170" operator="lessThan" dxfId="1">
      <formula>0</formula>
    </cfRule>
  </conditionalFormatting>
  <conditionalFormatting sqref="E410">
    <cfRule type="cellIs" priority="169" operator="lessThan" dxfId="1">
      <formula>0</formula>
    </cfRule>
  </conditionalFormatting>
  <conditionalFormatting sqref="E409">
    <cfRule type="cellIs" priority="168" operator="lessThan" dxfId="1">
      <formula>0</formula>
    </cfRule>
  </conditionalFormatting>
  <conditionalFormatting sqref="E408">
    <cfRule type="cellIs" priority="167" operator="lessThan" dxfId="1">
      <formula>0</formula>
    </cfRule>
  </conditionalFormatting>
  <conditionalFormatting sqref="E407">
    <cfRule type="cellIs" priority="166" operator="lessThan" dxfId="1">
      <formula>0</formula>
    </cfRule>
  </conditionalFormatting>
  <conditionalFormatting sqref="E405:E406">
    <cfRule type="cellIs" priority="165" operator="lessThan" dxfId="1">
      <formula>0</formula>
    </cfRule>
  </conditionalFormatting>
  <conditionalFormatting sqref="E404">
    <cfRule type="cellIs" priority="164" operator="lessThan" dxfId="1">
      <formula>0</formula>
    </cfRule>
  </conditionalFormatting>
  <conditionalFormatting sqref="E401">
    <cfRule type="cellIs" priority="163" operator="lessThan" dxfId="1">
      <formula>0</formula>
    </cfRule>
  </conditionalFormatting>
  <conditionalFormatting sqref="E399">
    <cfRule type="cellIs" priority="162" operator="lessThan" dxfId="1">
      <formula>0</formula>
    </cfRule>
  </conditionalFormatting>
  <conditionalFormatting sqref="E395">
    <cfRule type="cellIs" priority="161" operator="lessThan" dxfId="1">
      <formula>0</formula>
    </cfRule>
  </conditionalFormatting>
  <conditionalFormatting sqref="E393:E394">
    <cfRule type="cellIs" priority="160" operator="lessThan" dxfId="1">
      <formula>0</formula>
    </cfRule>
  </conditionalFormatting>
  <conditionalFormatting sqref="E390">
    <cfRule type="cellIs" priority="159" operator="lessThan" dxfId="1">
      <formula>0</formula>
    </cfRule>
  </conditionalFormatting>
  <conditionalFormatting sqref="E391:E392">
    <cfRule type="cellIs" priority="158" operator="lessThan" dxfId="1">
      <formula>0</formula>
    </cfRule>
  </conditionalFormatting>
  <conditionalFormatting sqref="E392">
    <cfRule type="cellIs" priority="157" operator="lessThan" dxfId="1">
      <formula>0</formula>
    </cfRule>
    <cfRule type="cellIs" priority="156" operator="lessThan" dxfId="1009">
      <formula>0</formula>
    </cfRule>
    <cfRule type="cellIs" priority="155" operator="lessThan" dxfId="1009">
      <formula>0</formula>
    </cfRule>
  </conditionalFormatting>
  <conditionalFormatting sqref="E386">
    <cfRule type="cellIs" priority="143" operator="lessThan" dxfId="1">
      <formula>0</formula>
    </cfRule>
  </conditionalFormatting>
  <conditionalFormatting sqref="E385">
    <cfRule type="cellIs" priority="142" operator="lessThan" dxfId="1">
      <formula>0</formula>
    </cfRule>
  </conditionalFormatting>
  <conditionalFormatting sqref="E384">
    <cfRule type="cellIs" priority="141" operator="lessThan" dxfId="1">
      <formula>0</formula>
    </cfRule>
  </conditionalFormatting>
  <conditionalFormatting sqref="E373">
    <cfRule type="cellIs" priority="140" operator="lessThan" dxfId="1">
      <formula>0</formula>
    </cfRule>
  </conditionalFormatting>
  <conditionalFormatting sqref="E372">
    <cfRule type="cellIs" priority="139" operator="lessThan" dxfId="1">
      <formula>0</formula>
    </cfRule>
  </conditionalFormatting>
  <conditionalFormatting sqref="E371">
    <cfRule type="cellIs" priority="138" operator="lessThan" dxfId="1">
      <formula>0</formula>
    </cfRule>
  </conditionalFormatting>
  <conditionalFormatting sqref="E369">
    <cfRule type="cellIs" priority="137" operator="lessThan" dxfId="1">
      <formula>0</formula>
    </cfRule>
  </conditionalFormatting>
  <conditionalFormatting sqref="E368">
    <cfRule type="cellIs" priority="136" operator="lessThan" dxfId="1">
      <formula>0</formula>
    </cfRule>
  </conditionalFormatting>
  <conditionalFormatting sqref="E367">
    <cfRule type="cellIs" priority="135" operator="lessThan" dxfId="1">
      <formula>0</formula>
    </cfRule>
  </conditionalFormatting>
  <conditionalFormatting sqref="E366">
    <cfRule type="cellIs" priority="134" operator="lessThan" dxfId="1">
      <formula>0</formula>
    </cfRule>
  </conditionalFormatting>
  <conditionalFormatting sqref="E365">
    <cfRule type="cellIs" priority="133" operator="lessThan" dxfId="1">
      <formula>0</formula>
    </cfRule>
  </conditionalFormatting>
  <conditionalFormatting sqref="E364">
    <cfRule type="cellIs" priority="132" operator="lessThan" dxfId="1">
      <formula>0</formula>
    </cfRule>
  </conditionalFormatting>
  <conditionalFormatting sqref="E362">
    <cfRule type="cellIs" priority="131" operator="lessThan" dxfId="1">
      <formula>0</formula>
    </cfRule>
  </conditionalFormatting>
  <conditionalFormatting sqref="E360">
    <cfRule type="cellIs" priority="130" operator="lessThan" dxfId="1">
      <formula>0</formula>
    </cfRule>
  </conditionalFormatting>
  <conditionalFormatting sqref="E358">
    <cfRule type="cellIs" priority="129" operator="lessThan" dxfId="1">
      <formula>0</formula>
    </cfRule>
  </conditionalFormatting>
  <conditionalFormatting sqref="E357">
    <cfRule type="cellIs" priority="127" operator="lessThan" dxfId="1">
      <formula>0</formula>
    </cfRule>
  </conditionalFormatting>
  <conditionalFormatting sqref="E353">
    <cfRule type="cellIs" priority="126" operator="lessThan" dxfId="1">
      <formula>0</formula>
    </cfRule>
  </conditionalFormatting>
  <conditionalFormatting sqref="E354:E355">
    <cfRule type="cellIs" priority="125" operator="lessThan" dxfId="1">
      <formula>0</formula>
    </cfRule>
  </conditionalFormatting>
  <conditionalFormatting sqref="Y17">
    <cfRule type="cellIs" priority="123" operator="lessThan" dxfId="1">
      <formula>0</formula>
    </cfRule>
    <cfRule type="cellIs" priority="122" operator="greaterThan" dxfId="0">
      <formula>0</formula>
    </cfRule>
  </conditionalFormatting>
  <conditionalFormatting sqref="E352">
    <cfRule type="cellIs" priority="121" operator="lessThan" dxfId="1">
      <formula>0</formula>
    </cfRule>
  </conditionalFormatting>
  <conditionalFormatting sqref="E356">
    <cfRule type="cellIs" priority="120" operator="lessThan" dxfId="1">
      <formula>0</formula>
    </cfRule>
  </conditionalFormatting>
  <conditionalFormatting sqref="E350">
    <cfRule type="cellIs" priority="119" operator="lessThan" dxfId="1">
      <formula>0</formula>
    </cfRule>
  </conditionalFormatting>
  <conditionalFormatting sqref="E348">
    <cfRule type="cellIs" priority="118" operator="lessThan" dxfId="1">
      <formula>0</formula>
    </cfRule>
  </conditionalFormatting>
  <conditionalFormatting sqref="E342">
    <cfRule type="cellIs" priority="112" operator="lessThan" dxfId="1">
      <formula>0</formula>
    </cfRule>
  </conditionalFormatting>
  <conditionalFormatting sqref="E347">
    <cfRule type="cellIs" priority="116" operator="lessThan" dxfId="1">
      <formula>0</formula>
    </cfRule>
  </conditionalFormatting>
  <conditionalFormatting sqref="E346">
    <cfRule type="cellIs" priority="115" operator="lessThan" dxfId="1">
      <formula>0</formula>
    </cfRule>
  </conditionalFormatting>
  <conditionalFormatting sqref="E344:E345">
    <cfRule type="cellIs" priority="114" operator="lessThan" dxfId="1">
      <formula>0</formula>
    </cfRule>
  </conditionalFormatting>
  <conditionalFormatting sqref="E343">
    <cfRule type="cellIs" priority="113" operator="lessThan" dxfId="1">
      <formula>0</formula>
    </cfRule>
  </conditionalFormatting>
  <conditionalFormatting sqref="E341">
    <cfRule type="cellIs" priority="111" operator="lessThan" dxfId="1">
      <formula>0</formula>
    </cfRule>
  </conditionalFormatting>
  <conditionalFormatting sqref="E340">
    <cfRule type="cellIs" priority="110" operator="lessThan" dxfId="1">
      <formula>0</formula>
    </cfRule>
  </conditionalFormatting>
  <conditionalFormatting sqref="E339">
    <cfRule type="cellIs" priority="109" operator="lessThan" dxfId="1">
      <formula>0</formula>
    </cfRule>
  </conditionalFormatting>
  <conditionalFormatting sqref="E338">
    <cfRule type="cellIs" priority="108" operator="lessThan" dxfId="1">
      <formula>0</formula>
    </cfRule>
  </conditionalFormatting>
  <conditionalFormatting sqref="E337">
    <cfRule type="cellIs" priority="107" operator="lessThan" dxfId="1">
      <formula>0</formula>
    </cfRule>
  </conditionalFormatting>
  <conditionalFormatting sqref="E336">
    <cfRule type="cellIs" priority="106" operator="lessThan" dxfId="1">
      <formula>0</formula>
    </cfRule>
  </conditionalFormatting>
  <conditionalFormatting sqref="E335">
    <cfRule type="cellIs" priority="105" operator="lessThan" dxfId="1">
      <formula>0</formula>
    </cfRule>
  </conditionalFormatting>
  <conditionalFormatting sqref="E334">
    <cfRule type="cellIs" priority="104" operator="lessThan" dxfId="1">
      <formula>0</formula>
    </cfRule>
  </conditionalFormatting>
  <conditionalFormatting sqref="E333">
    <cfRule type="cellIs" priority="103" operator="lessThan" dxfId="1">
      <formula>0</formula>
    </cfRule>
  </conditionalFormatting>
  <conditionalFormatting sqref="E332">
    <cfRule type="cellIs" priority="102" operator="lessThan" dxfId="1">
      <formula>0</formula>
    </cfRule>
  </conditionalFormatting>
  <conditionalFormatting sqref="E327">
    <cfRule type="cellIs" priority="101" operator="lessThan" dxfId="1">
      <formula>0</formula>
    </cfRule>
  </conditionalFormatting>
  <conditionalFormatting sqref="E311">
    <cfRule type="cellIs" priority="100" operator="lessThan" dxfId="1">
      <formula>0</formula>
    </cfRule>
  </conditionalFormatting>
  <conditionalFormatting sqref="E312">
    <cfRule type="cellIs" priority="99" operator="lessThan" dxfId="1">
      <formula>0</formula>
    </cfRule>
  </conditionalFormatting>
  <conditionalFormatting sqref="E306">
    <cfRule type="cellIs" priority="97" operator="lessThan" dxfId="1">
      <formula>0</formula>
    </cfRule>
  </conditionalFormatting>
  <conditionalFormatting sqref="E301">
    <cfRule type="cellIs" priority="96" operator="lessThan" dxfId="1">
      <formula>0</formula>
    </cfRule>
  </conditionalFormatting>
  <conditionalFormatting sqref="E299">
    <cfRule type="cellIs" priority="95" operator="lessThan" dxfId="1">
      <formula>0</formula>
    </cfRule>
  </conditionalFormatting>
  <conditionalFormatting sqref="E298">
    <cfRule type="cellIs" priority="94" operator="lessThan" dxfId="1">
      <formula>0</formula>
    </cfRule>
  </conditionalFormatting>
  <conditionalFormatting sqref="E297">
    <cfRule type="cellIs" priority="93" operator="lessThan" dxfId="1">
      <formula>0</formula>
    </cfRule>
  </conditionalFormatting>
  <conditionalFormatting sqref="E296">
    <cfRule type="cellIs" priority="92" operator="lessThan" dxfId="1">
      <formula>0</formula>
    </cfRule>
  </conditionalFormatting>
  <conditionalFormatting sqref="E295">
    <cfRule type="cellIs" priority="91" operator="lessThan" dxfId="1">
      <formula>0</formula>
    </cfRule>
  </conditionalFormatting>
  <conditionalFormatting sqref="E291">
    <cfRule type="cellIs" priority="90" operator="lessThan" dxfId="1">
      <formula>0</formula>
    </cfRule>
  </conditionalFormatting>
  <conditionalFormatting sqref="E292">
    <cfRule type="cellIs" priority="89" operator="lessThan" dxfId="1">
      <formula>0</formula>
    </cfRule>
  </conditionalFormatting>
  <conditionalFormatting sqref="E289:E290">
    <cfRule type="cellIs" priority="88" operator="lessThan" dxfId="1">
      <formula>0</formula>
    </cfRule>
  </conditionalFormatting>
  <conditionalFormatting sqref="E287">
    <cfRule type="cellIs" priority="86" operator="lessThan" dxfId="1">
      <formula>0</formula>
    </cfRule>
  </conditionalFormatting>
  <conditionalFormatting sqref="E281">
    <cfRule type="cellIs" priority="85" operator="lessThan" dxfId="1">
      <formula>0</formula>
    </cfRule>
  </conditionalFormatting>
  <conditionalFormatting sqref="E280">
    <cfRule type="cellIs" priority="84" operator="lessThan" dxfId="1">
      <formula>0</formula>
    </cfRule>
  </conditionalFormatting>
  <conditionalFormatting sqref="E275">
    <cfRule type="cellIs" priority="83" operator="lessThan" dxfId="1">
      <formula>0</formula>
    </cfRule>
  </conditionalFormatting>
  <conditionalFormatting sqref="E274">
    <cfRule type="cellIs" priority="82" operator="lessThan" dxfId="1">
      <formula>0</formula>
    </cfRule>
  </conditionalFormatting>
  <conditionalFormatting sqref="E272">
    <cfRule type="cellIs" priority="81" operator="lessThan" dxfId="1">
      <formula>0</formula>
    </cfRule>
  </conditionalFormatting>
  <conditionalFormatting sqref="E32">
    <cfRule type="cellIs" priority="80" operator="lessThan" dxfId="1">
      <formula>0</formula>
    </cfRule>
  </conditionalFormatting>
  <conditionalFormatting sqref="E33">
    <cfRule type="cellIs" priority="79" operator="lessThan" dxfId="1">
      <formula>0</formula>
    </cfRule>
  </conditionalFormatting>
  <conditionalFormatting sqref="E268">
    <cfRule type="cellIs" priority="78" operator="lessThan" dxfId="1">
      <formula>0</formula>
    </cfRule>
  </conditionalFormatting>
  <conditionalFormatting sqref="E269">
    <cfRule type="cellIs" priority="77" operator="lessThan" dxfId="1">
      <formula>0</formula>
    </cfRule>
  </conditionalFormatting>
  <conditionalFormatting sqref="E263">
    <cfRule type="cellIs" priority="75" operator="lessThan" dxfId="1">
      <formula>0</formula>
    </cfRule>
  </conditionalFormatting>
  <conditionalFormatting sqref="E262">
    <cfRule type="cellIs" priority="74" operator="lessThan" dxfId="1">
      <formula>0</formula>
    </cfRule>
  </conditionalFormatting>
  <conditionalFormatting sqref="E259">
    <cfRule type="cellIs" priority="73" operator="lessThan" dxfId="1">
      <formula>0</formula>
    </cfRule>
  </conditionalFormatting>
  <conditionalFormatting sqref="E260">
    <cfRule type="cellIs" priority="72" operator="lessThan" dxfId="1">
      <formula>0</formula>
    </cfRule>
  </conditionalFormatting>
  <conditionalFormatting sqref="E257">
    <cfRule type="cellIs" priority="71" operator="lessThan" dxfId="1">
      <formula>0</formula>
    </cfRule>
  </conditionalFormatting>
  <conditionalFormatting sqref="E244">
    <cfRule type="cellIs" priority="70" operator="lessThan" dxfId="1">
      <formula>0</formula>
    </cfRule>
  </conditionalFormatting>
  <conditionalFormatting sqref="E245">
    <cfRule type="cellIs" priority="69" operator="lessThan" dxfId="1">
      <formula>0</formula>
    </cfRule>
  </conditionalFormatting>
  <conditionalFormatting sqref="E242">
    <cfRule type="cellIs" priority="67" operator="lessThan" dxfId="1">
      <formula>0</formula>
    </cfRule>
  </conditionalFormatting>
  <conditionalFormatting sqref="E243">
    <cfRule type="cellIs" priority="66" operator="lessThan" dxfId="1">
      <formula>0</formula>
    </cfRule>
  </conditionalFormatting>
  <conditionalFormatting sqref="E238">
    <cfRule type="cellIs" priority="65" operator="lessThan" dxfId="1">
      <formula>0</formula>
    </cfRule>
  </conditionalFormatting>
  <conditionalFormatting sqref="E237">
    <cfRule type="cellIs" priority="64" operator="lessThan" dxfId="1">
      <formula>0</formula>
    </cfRule>
  </conditionalFormatting>
  <conditionalFormatting sqref="E230">
    <cfRule type="cellIs" priority="63" operator="lessThan" dxfId="1">
      <formula>0</formula>
    </cfRule>
  </conditionalFormatting>
  <conditionalFormatting sqref="E229">
    <cfRule type="cellIs" priority="62" operator="lessThan" dxfId="1">
      <formula>0</formula>
    </cfRule>
  </conditionalFormatting>
  <conditionalFormatting sqref="E228">
    <cfRule type="cellIs" priority="61" operator="lessThan" dxfId="1">
      <formula>0</formula>
    </cfRule>
  </conditionalFormatting>
  <conditionalFormatting sqref="E227">
    <cfRule type="cellIs" priority="60" operator="lessThan" dxfId="1">
      <formula>0</formula>
    </cfRule>
  </conditionalFormatting>
  <conditionalFormatting sqref="E226">
    <cfRule type="cellIs" priority="59" operator="lessThan" dxfId="1">
      <formula>0</formula>
    </cfRule>
  </conditionalFormatting>
  <conditionalFormatting sqref="E225">
    <cfRule type="cellIs" priority="58" operator="lessThan" dxfId="1">
      <formula>0</formula>
    </cfRule>
  </conditionalFormatting>
  <conditionalFormatting sqref="E221">
    <cfRule type="cellIs" priority="55" operator="lessThan" dxfId="1">
      <formula>0</formula>
    </cfRule>
  </conditionalFormatting>
  <conditionalFormatting sqref="E220">
    <cfRule type="cellIs" priority="56" operator="lessThan" dxfId="1">
      <formula>0</formula>
    </cfRule>
  </conditionalFormatting>
  <conditionalFormatting sqref="E214">
    <cfRule type="cellIs" priority="54" operator="lessThan" dxfId="1">
      <formula>0</formula>
    </cfRule>
  </conditionalFormatting>
  <conditionalFormatting sqref="E215">
    <cfRule type="cellIs" priority="53" operator="lessThan" dxfId="1">
      <formula>0</formula>
    </cfRule>
  </conditionalFormatting>
  <conditionalFormatting sqref="Y6:Y16">
    <cfRule type="cellIs" priority="40" operator="lessThan" dxfId="1">
      <formula>0</formula>
    </cfRule>
    <cfRule type="cellIs" priority="39" operator="greaterThan" dxfId="0">
      <formula>0</formula>
    </cfRule>
  </conditionalFormatting>
  <conditionalFormatting sqref="E211">
    <cfRule type="cellIs" priority="38" operator="lessThan" dxfId="1">
      <formula>0</formula>
    </cfRule>
  </conditionalFormatting>
  <conditionalFormatting sqref="E208">
    <cfRule type="cellIs" priority="37" operator="lessThan" dxfId="1">
      <formula>0</formula>
    </cfRule>
  </conditionalFormatting>
  <conditionalFormatting sqref="E206">
    <cfRule type="cellIs" priority="36" operator="lessThan" dxfId="1">
      <formula>0</formula>
    </cfRule>
  </conditionalFormatting>
  <conditionalFormatting sqref="E205">
    <cfRule type="cellIs" priority="35" operator="lessThan" dxfId="1">
      <formula>0</formula>
    </cfRule>
  </conditionalFormatting>
  <conditionalFormatting sqref="E204">
    <cfRule type="cellIs" priority="34" operator="lessThan" dxfId="1">
      <formula>0</formula>
    </cfRule>
  </conditionalFormatting>
  <conditionalFormatting sqref="E203">
    <cfRule type="cellIs" priority="33" operator="lessThan" dxfId="1">
      <formula>0</formula>
    </cfRule>
  </conditionalFormatting>
  <conditionalFormatting sqref="E198">
    <cfRule type="cellIs" priority="32" operator="lessThan" dxfId="1">
      <formula>0</formula>
    </cfRule>
  </conditionalFormatting>
  <conditionalFormatting sqref="E196">
    <cfRule type="cellIs" priority="31" operator="lessThan" dxfId="1">
      <formula>0</formula>
    </cfRule>
  </conditionalFormatting>
  <conditionalFormatting sqref="E194">
    <cfRule type="cellIs" priority="30" operator="lessThan" dxfId="1">
      <formula>0</formula>
    </cfRule>
  </conditionalFormatting>
  <conditionalFormatting sqref="E193">
    <cfRule type="cellIs" priority="29" operator="lessThan" dxfId="1">
      <formula>0</formula>
    </cfRule>
  </conditionalFormatting>
  <conditionalFormatting sqref="E189">
    <cfRule type="cellIs" priority="28" operator="lessThan" dxfId="1">
      <formula>0</formula>
    </cfRule>
  </conditionalFormatting>
  <conditionalFormatting sqref="E184">
    <cfRule type="cellIs" priority="27" operator="lessThan" dxfId="1">
      <formula>0</formula>
    </cfRule>
  </conditionalFormatting>
  <conditionalFormatting sqref="E179">
    <cfRule type="cellIs" priority="26" operator="lessThan" dxfId="1">
      <formula>0</formula>
    </cfRule>
  </conditionalFormatting>
  <conditionalFormatting sqref="E180">
    <cfRule type="cellIs" priority="25" operator="lessThan" dxfId="1">
      <formula>0</formula>
    </cfRule>
  </conditionalFormatting>
  <conditionalFormatting sqref="E178">
    <cfRule type="cellIs" priority="11" operator="lessThan" dxfId="1">
      <formula>0</formula>
    </cfRule>
  </conditionalFormatting>
  <conditionalFormatting sqref="E175">
    <cfRule type="cellIs" priority="10" operator="lessThan" dxfId="1">
      <formula>0</formula>
    </cfRule>
  </conditionalFormatting>
  <conditionalFormatting sqref="E174">
    <cfRule type="cellIs" priority="9" operator="lessThan" dxfId="1">
      <formula>0</formula>
    </cfRule>
  </conditionalFormatting>
  <conditionalFormatting sqref="E171">
    <cfRule type="cellIs" priority="8" operator="lessThan" dxfId="1">
      <formula>0</formula>
    </cfRule>
  </conditionalFormatting>
  <conditionalFormatting sqref="E168">
    <cfRule type="cellIs" priority="7" operator="lessThan" dxfId="1">
      <formula>0</formula>
    </cfRule>
  </conditionalFormatting>
  <conditionalFormatting sqref="E164">
    <cfRule type="cellIs" priority="6" operator="lessThan" dxfId="1">
      <formula>0</formula>
    </cfRule>
  </conditionalFormatting>
  <conditionalFormatting sqref="E160">
    <cfRule type="cellIs" priority="5" operator="lessThan" dxfId="1">
      <formula>0</formula>
    </cfRule>
  </conditionalFormatting>
  <conditionalFormatting sqref="E157">
    <cfRule type="cellIs" priority="4" operator="lessThan" dxfId="1">
      <formula>0</formula>
    </cfRule>
  </conditionalFormatting>
  <conditionalFormatting sqref="E155">
    <cfRule type="cellIs" priority="2" operator="lessThan" dxfId="1">
      <formula>0</formula>
    </cfRule>
  </conditionalFormatting>
  <conditionalFormatting sqref="E154">
    <cfRule type="cellIs" priority="3" operator="lessThan" dxfId="1">
      <formula>0</formula>
    </cfRule>
  </conditionalFormatting>
  <conditionalFormatting sqref="E152">
    <cfRule type="cellIs" priority="1" operator="lessThan" dxfId="1">
      <formula>0</formula>
    </cfRule>
  </conditionalFormatting>
  <dataValidations count="4">
    <dataValidation sqref="C145:C519 C522:C587 C590:C625 C628:C672 C674:C709 C711:C749 C751:C784 C786:C813 C815:C842 C844:C881 C884:C921 C923:C985 C987:C1059 C1061:C1130" showDropDown="0" showInputMessage="1" showErrorMessage="1" allowBlank="1" type="list">
      <formula1>$I$4:$I$27</formula1>
    </dataValidation>
    <dataValidation sqref="C2:C17 C20 C23 C25:C27 C31 C34:C36 C40:C48 C51:C53 C63:C64 C66:C73 C1131:C1166 C1168:C1213 C1215:C1273 C1276 C1278:C1333 C1340:C1371 C1374:C1399 C1401:C1409 C1411:C1438 C1440:C1443 C1446:C1450 C1452 C1454:C1455 C1457:C1479 C1481:C1515 C1518:C1529 C1531:C1560 C1562:C1614 C1617:C1651" showDropDown="0" showInputMessage="1" showErrorMessage="1" allowBlank="1" type="list">
      <formula1>$I$4:$I$28</formula1>
    </dataValidation>
    <dataValidation sqref="C19 C21:C22 C24 C28:C30 C32:C33" showDropDown="0" showInputMessage="1" showErrorMessage="1" allowBlank="1" type="list">
      <formula1>$I$3:$I$26</formula1>
    </dataValidation>
    <dataValidation sqref="C520:C521" showDropDown="0" showInputMessage="1" showErrorMessage="1" allowBlank="1" type="list">
      <formula1>$I$3:$I$25</formula1>
    </dataValidation>
  </dataValidations>
  <pageMargins left="0.25" right="0.25" top="0.75" bottom="0.75" header="0.3" footer="0.3"/>
  <pageSetup orientation="landscape" paperSize="9" scale="10"/>
</worksheet>
</file>

<file path=xl/worksheets/sheet13.xml><?xml version="1.0" encoding="utf-8"?>
<worksheet xmlns="http://schemas.openxmlformats.org/spreadsheetml/2006/main">
  <sheetPr>
    <outlinePr summaryBelow="1" summaryRight="1"/>
    <pageSetUpPr fitToPage="1"/>
  </sheetPr>
  <dimension ref="A1:AI621"/>
  <sheetViews>
    <sheetView zoomScaleNormal="100" workbookViewId="0">
      <selection activeCell="V12" sqref="V12"/>
    </sheetView>
  </sheetViews>
  <sheetFormatPr baseColWidth="8" defaultColWidth="9.1328125" defaultRowHeight="12.75"/>
  <cols>
    <col width="11" bestFit="1" customWidth="1" style="1255" min="1" max="1"/>
    <col width="19.46484375" customWidth="1" style="1255" min="2" max="2"/>
    <col width="22.46484375" customWidth="1" style="1255" min="3" max="3"/>
    <col width="11.19921875" bestFit="1" customWidth="1" style="1255" min="4" max="4"/>
    <col width="10" bestFit="1" customWidth="1" style="1256" min="5" max="5"/>
    <col width="22.1328125" bestFit="1" customWidth="1" style="1255" min="6" max="6"/>
    <col width="15.796875" customWidth="1" style="1255" min="7" max="7"/>
    <col width="12.6640625" customWidth="1" style="1255" min="8" max="8"/>
    <col width="24.1328125" bestFit="1" customWidth="1" style="1255" min="9" max="9"/>
    <col width="17.53125" bestFit="1" customWidth="1" style="1255" min="10" max="10"/>
    <col width="7.796875" customWidth="1" style="1255" min="11" max="22"/>
    <col width="8.53125" customWidth="1" style="1255" min="23" max="23"/>
    <col width="10" bestFit="1" customWidth="1" style="1255" min="24" max="24"/>
    <col width="10.19921875" customWidth="1" style="1255" min="25" max="25"/>
    <col width="7.86328125" bestFit="1" customWidth="1" style="1255" min="26" max="26"/>
    <col width="9.1328125" customWidth="1" style="1255" min="27" max="27"/>
    <col width="10.46484375" customWidth="1" style="1255" min="28" max="28"/>
    <col width="3.1328125" customWidth="1" style="1255" min="29" max="29"/>
    <col width="13.33203125" customWidth="1" style="1255" min="30" max="30"/>
    <col width="12" bestFit="1" customWidth="1" style="1255" min="31" max="31"/>
    <col width="11.53125" bestFit="1" customWidth="1" style="1255" min="32" max="32"/>
    <col width="12" bestFit="1" customWidth="1" style="1255" min="33" max="33"/>
    <col width="9" bestFit="1" customWidth="1" style="1255" min="34" max="34"/>
    <col width="9.1328125" customWidth="1" style="1255" min="35" max="16384"/>
  </cols>
  <sheetData>
    <row r="1" ht="13.15" customHeight="1" s="1232">
      <c r="A1" s="1265" t="inlineStr">
        <is>
          <t>Date</t>
        </is>
      </c>
      <c r="B1" s="1265" t="inlineStr">
        <is>
          <t>Name</t>
        </is>
      </c>
      <c r="C1" s="1265" t="inlineStr">
        <is>
          <t>Category</t>
        </is>
      </c>
      <c r="D1" s="1265" t="inlineStr">
        <is>
          <t>Source</t>
        </is>
      </c>
      <c r="E1" s="1264" t="inlineStr">
        <is>
          <t>Value</t>
        </is>
      </c>
      <c r="F1" s="1265" t="inlineStr">
        <is>
          <t xml:space="preserve">Fulfilled </t>
        </is>
      </c>
      <c r="AD1" s="1268" t="inlineStr">
        <is>
          <t>TY</t>
        </is>
      </c>
      <c r="AE1" s="1260" t="inlineStr">
        <is>
          <t>Total</t>
        </is>
      </c>
      <c r="AF1" s="1260" t="inlineStr">
        <is>
          <t>Apr to Dec</t>
        </is>
      </c>
      <c r="AG1" s="1260" t="inlineStr">
        <is>
          <t>Jan to Mar</t>
        </is>
      </c>
      <c r="AH1" s="1260" t="inlineStr">
        <is>
          <t>% Inc</t>
        </is>
      </c>
    </row>
    <row r="2" ht="13.5" customHeight="1" s="1232">
      <c r="A2" s="1271" t="n"/>
      <c r="B2" s="1357" t="n"/>
      <c r="C2" s="1271" t="n"/>
      <c r="D2" s="1271" t="n"/>
      <c r="E2" s="1270" t="n"/>
      <c r="F2" s="1271" t="n"/>
      <c r="I2" s="1250" t="n"/>
      <c r="J2" s="1250" t="n"/>
      <c r="K2" s="1250" t="n"/>
      <c r="L2" s="1250" t="n"/>
      <c r="M2" s="1250" t="n"/>
      <c r="N2" s="1250" t="n"/>
      <c r="O2" s="1250" t="n"/>
      <c r="AD2" s="1282" t="inlineStr">
        <is>
          <t>2019/20</t>
        </is>
      </c>
      <c r="AE2" s="1378">
        <f>AF2+AG2</f>
        <v/>
      </c>
      <c r="AF2" s="1284">
        <f>SUM(N14:V14)</f>
        <v/>
      </c>
      <c r="AG2" s="1284" t="n"/>
      <c r="AH2" s="445">
        <f>SUM(AF2-AF3)/AF2</f>
        <v/>
      </c>
    </row>
    <row r="3" ht="13.9" customHeight="1" s="1232">
      <c r="A3" s="1292" t="n"/>
      <c r="B3" s="1294" t="n"/>
      <c r="C3" s="1294" t="n"/>
      <c r="D3" s="1274" t="n"/>
      <c r="E3" s="1270" t="n"/>
      <c r="F3" s="1274" t="n"/>
      <c r="I3" s="1336" t="inlineStr">
        <is>
          <t>Tuition Categories</t>
        </is>
      </c>
      <c r="J3" s="1276" t="inlineStr">
        <is>
          <t>Target</t>
        </is>
      </c>
      <c r="K3" s="1332" t="inlineStr">
        <is>
          <t>Jan</t>
        </is>
      </c>
      <c r="L3" s="1332" t="inlineStr">
        <is>
          <t>Feb</t>
        </is>
      </c>
      <c r="M3" s="1332" t="inlineStr">
        <is>
          <t>Mar</t>
        </is>
      </c>
      <c r="N3" s="1332" t="inlineStr">
        <is>
          <t>Apr</t>
        </is>
      </c>
      <c r="O3" s="1332" t="inlineStr">
        <is>
          <t>May</t>
        </is>
      </c>
      <c r="P3" s="1332" t="inlineStr">
        <is>
          <t>Jun</t>
        </is>
      </c>
      <c r="Q3" s="1332" t="inlineStr">
        <is>
          <t>Jul</t>
        </is>
      </c>
      <c r="R3" s="1332" t="inlineStr">
        <is>
          <t>Aug</t>
        </is>
      </c>
      <c r="S3" s="1332" t="inlineStr">
        <is>
          <t>Sep</t>
        </is>
      </c>
      <c r="T3" s="1332" t="inlineStr">
        <is>
          <t>Oct</t>
        </is>
      </c>
      <c r="U3" s="1332" t="inlineStr">
        <is>
          <t>Nov</t>
        </is>
      </c>
      <c r="V3" s="1332" t="inlineStr">
        <is>
          <t>Dec</t>
        </is>
      </c>
      <c r="W3" s="1278" t="inlineStr">
        <is>
          <t>Year</t>
        </is>
      </c>
      <c r="X3" s="1395" t="inlineStr">
        <is>
          <t>Var</t>
        </is>
      </c>
      <c r="Y3" s="1280" t="inlineStr">
        <is>
          <t>Var YTD</t>
        </is>
      </c>
      <c r="Z3" s="1281" t="inlineStr">
        <is>
          <t>% YTD</t>
        </is>
      </c>
      <c r="AA3" s="1255" t="inlineStr">
        <is>
          <t>YTD Targ</t>
        </is>
      </c>
      <c r="AB3" s="1255" t="inlineStr">
        <is>
          <t>A.PM</t>
        </is>
      </c>
      <c r="AD3" s="1282" t="inlineStr">
        <is>
          <t>2018/19</t>
        </is>
      </c>
      <c r="AE3" s="1378">
        <f>AF3+AG3</f>
        <v/>
      </c>
      <c r="AF3" s="1284">
        <f>SUM(N18:V18)</f>
        <v/>
      </c>
      <c r="AG3" s="1284">
        <f>SUM(K14:M14)</f>
        <v/>
      </c>
      <c r="AH3" s="445">
        <f>SUM(AF3-AF4)/AF3</f>
        <v/>
      </c>
    </row>
    <row r="4" ht="13.5" customHeight="1" s="1232">
      <c r="A4" s="1292" t="n"/>
      <c r="B4" s="1294" t="n"/>
      <c r="C4" s="1294" t="n"/>
      <c r="D4" s="1274" t="n"/>
      <c r="E4" s="1270" t="n"/>
      <c r="F4" s="1274" t="n"/>
      <c r="I4" s="1333" t="inlineStr">
        <is>
          <t>1. Courses/masterclasses</t>
        </is>
      </c>
      <c r="J4" s="431">
        <f>18000/12</f>
        <v/>
      </c>
      <c r="K4" s="432">
        <f>SUMIFS(E$583:E$621,C$583:C$621,I4)</f>
        <v/>
      </c>
      <c r="L4" s="432">
        <f>SUMIFS(E$536:E$582,C$536:C$582,I4)</f>
        <v/>
      </c>
      <c r="M4" s="432">
        <f>SUMIFS($E$486:$E$533,$C$486:$C$533,$I4)</f>
        <v/>
      </c>
      <c r="N4" s="432">
        <f>SUMIFS($E$425:$E$485,$C$425:$C$485,$I4)</f>
        <v/>
      </c>
      <c r="O4" s="432">
        <f>SUMIFS($E$389:$E$422,$C$389:$C$422,$I4)</f>
        <v/>
      </c>
      <c r="P4" s="432">
        <f>SUMIFS($E$357:$E$388,$C$357:$C$388,$I4)</f>
        <v/>
      </c>
      <c r="Q4" s="432">
        <f>SUMIFS($E$318:$E$355,$C$318:$C$355,$I4)</f>
        <v/>
      </c>
      <c r="R4" s="432">
        <f>SUMIFS($E$282:$E$316,$C$282:$C$316,$I4)</f>
        <v/>
      </c>
      <c r="S4" s="432">
        <f>SUMIFS($E$250:$E$279,$C$250:$C$279,$I4)</f>
        <v/>
      </c>
      <c r="T4" s="432">
        <f>SUMIFS($E$227:$E$248,$C$227:$C$248,$I4)</f>
        <v/>
      </c>
      <c r="U4" s="432">
        <f>SUMIFS($E$180:$E$225,$C$180:$C$225,$I4)</f>
        <v/>
      </c>
      <c r="V4" s="432">
        <f>SUMIFS($E$126:$E$179,$C$126:$C$179,$I4)</f>
        <v/>
      </c>
      <c r="W4" s="431">
        <f>SUM(K4:V4)</f>
        <v/>
      </c>
      <c r="X4" s="432">
        <f>U4-J4</f>
        <v/>
      </c>
      <c r="Y4" s="432">
        <f>W4-AA4</f>
        <v/>
      </c>
      <c r="Z4" s="433">
        <f>Y4/AA4</f>
        <v/>
      </c>
      <c r="AA4" s="434">
        <f>J4*12</f>
        <v/>
      </c>
      <c r="AB4" s="434">
        <f>W4/12</f>
        <v/>
      </c>
      <c r="AD4" s="1282" t="inlineStr">
        <is>
          <t>2017/18</t>
        </is>
      </c>
      <c r="AE4" s="1378">
        <f>AF4+AG4</f>
        <v/>
      </c>
      <c r="AF4" s="1284">
        <f>SUM(N19:V19)</f>
        <v/>
      </c>
      <c r="AG4" s="1284">
        <f>SUM(K18:M18)</f>
        <v/>
      </c>
      <c r="AH4" s="445">
        <f>SUM(AF4-AF5)/AF4</f>
        <v/>
      </c>
    </row>
    <row r="5" ht="13.5" customHeight="1" s="1232">
      <c r="A5" s="1291" t="n"/>
      <c r="B5" s="1291" t="n"/>
      <c r="C5" s="1291" t="n"/>
      <c r="D5" s="1274" t="n"/>
      <c r="E5" s="1270" t="n"/>
      <c r="F5" s="1274" t="n"/>
      <c r="I5" s="1333" t="inlineStr">
        <is>
          <t>2. Workshops</t>
        </is>
      </c>
      <c r="J5" s="431">
        <f>30000/12</f>
        <v/>
      </c>
      <c r="K5" s="432">
        <f>SUMIFS(E$583:E$621,C$583:C$621,I5)</f>
        <v/>
      </c>
      <c r="L5" s="432">
        <f>SUMIFS(E$536:E$582,C$536:C$582,I5)</f>
        <v/>
      </c>
      <c r="M5" s="432">
        <f>SUMIFS($E$486:$E$533,$C$486:$C$533,$I5)</f>
        <v/>
      </c>
      <c r="N5" s="432">
        <f>SUMIFS($E$425:$E$485,$C$425:$C$485,$I5)</f>
        <v/>
      </c>
      <c r="O5" s="432">
        <f>SUMIFS($E$389:$E$422,$C$389:$C$422,$I5)</f>
        <v/>
      </c>
      <c r="P5" s="432">
        <f>SUMIFS($E$357:$E$388,$C$357:$C$388,$I5)</f>
        <v/>
      </c>
      <c r="Q5" s="432">
        <f>SUMIFS($E$318:$E$355,$C$318:$C$355,$I5)</f>
        <v/>
      </c>
      <c r="R5" s="432">
        <f>SUMIFS($E$282:$E$316,$C$282:$C$316,$I5)</f>
        <v/>
      </c>
      <c r="S5" s="432">
        <f>SUMIFS($E$250:$E$279,$C$250:$C$279,$I5)</f>
        <v/>
      </c>
      <c r="T5" s="432">
        <f>SUMIFS($E$227:$E$248,$C$227:$C$248,$I5)</f>
        <v/>
      </c>
      <c r="U5" s="432">
        <f>SUMIFS($E$180:$E$225,$C$180:$C$225,$I5)</f>
        <v/>
      </c>
      <c r="V5" s="432">
        <f>SUMIFS($E$126:$E$179,$C$126:$C$179,$I5)</f>
        <v/>
      </c>
      <c r="W5" s="431">
        <f>SUM(K5:V5)</f>
        <v/>
      </c>
      <c r="X5" s="432">
        <f>U5-J5</f>
        <v/>
      </c>
      <c r="Y5" s="432">
        <f>W5-AA5</f>
        <v/>
      </c>
      <c r="Z5" s="433">
        <f>Y5/AA5</f>
        <v/>
      </c>
      <c r="AA5" s="434">
        <f>J5*12</f>
        <v/>
      </c>
      <c r="AB5" s="434">
        <f>W5/12</f>
        <v/>
      </c>
      <c r="AD5" s="1282" t="inlineStr">
        <is>
          <t>2016/17</t>
        </is>
      </c>
      <c r="AE5" s="1378">
        <f>AF5+AG5</f>
        <v/>
      </c>
      <c r="AF5" s="1284">
        <f>SUM(N20:V20)</f>
        <v/>
      </c>
      <c r="AG5" s="1284">
        <f>SUM(K19:M19)</f>
        <v/>
      </c>
      <c r="AH5" s="445">
        <f>SUM(AF5-AF6)/AF5</f>
        <v/>
      </c>
    </row>
    <row r="6" ht="13.5" customHeight="1" s="1232">
      <c r="A6" s="1291" t="n"/>
      <c r="B6" s="1291" t="n"/>
      <c r="C6" s="1291" t="n"/>
      <c r="D6" s="1274" t="n"/>
      <c r="E6" s="1270" t="n"/>
      <c r="F6" s="1274" t="n"/>
      <c r="I6" s="1333" t="inlineStr">
        <is>
          <t>3. Pick n Mix Inc</t>
        </is>
      </c>
      <c r="J6" s="431" t="n">
        <v>1200</v>
      </c>
      <c r="K6" s="432">
        <f>SUMIFS(E$583:E$621,C$583:C$621,I6)</f>
        <v/>
      </c>
      <c r="L6" s="432">
        <f>SUMIFS(E$536:E$582,C$536:C$582,I6)</f>
        <v/>
      </c>
      <c r="M6" s="432">
        <f>SUMIFS($E$486:$E$533,$C$486:$C$533,$I6)</f>
        <v/>
      </c>
      <c r="N6" s="432">
        <f>SUMIFS($E$425:$E$485,$C$425:$C$485,$I6)</f>
        <v/>
      </c>
      <c r="O6" s="432">
        <f>SUMIFS($E$389:$E$422,$C$389:$C$422,$I6)</f>
        <v/>
      </c>
      <c r="P6" s="432">
        <f>SUMIFS($E$357:$E$388,$C$357:$C$388,$I6)</f>
        <v/>
      </c>
      <c r="Q6" s="432">
        <f>SUMIFS($E$318:$E$355,$C$318:$C$355,$I6)</f>
        <v/>
      </c>
      <c r="R6" s="432">
        <f>SUMIFS($E$282:$E$316,$C$282:$C$316,$I6)</f>
        <v/>
      </c>
      <c r="S6" s="432">
        <f>SUMIFS($E$250:$E$279,$C$250:$C$279,$I6)</f>
        <v/>
      </c>
      <c r="T6" s="432">
        <f>SUMIFS($E$227:$E$248,$C$227:$C$248,$I6)</f>
        <v/>
      </c>
      <c r="U6" s="432">
        <f>SUMIFS($E$180:$E$225,$C$180:$C$225,$I6)</f>
        <v/>
      </c>
      <c r="V6" s="432">
        <f>SUMIFS($E$126:$E$179,$C$126:$C$179,$I6)</f>
        <v/>
      </c>
      <c r="W6" s="431">
        <f>SUM(K6:V6)</f>
        <v/>
      </c>
      <c r="X6" s="432">
        <f>U6-J6</f>
        <v/>
      </c>
      <c r="Y6" s="432">
        <f>W6-AA6</f>
        <v/>
      </c>
      <c r="Z6" s="433">
        <f>Y6/AA6</f>
        <v/>
      </c>
      <c r="AA6" s="434">
        <f>J6*12</f>
        <v/>
      </c>
      <c r="AB6" s="434">
        <f>W6/12</f>
        <v/>
      </c>
      <c r="AD6" s="1282" t="inlineStr">
        <is>
          <t>2015/16</t>
        </is>
      </c>
      <c r="AE6" s="1378">
        <f>AF6+AG6</f>
        <v/>
      </c>
      <c r="AF6" s="1284">
        <f>SUM(N21:V21)</f>
        <v/>
      </c>
      <c r="AG6" s="1284">
        <f>SUM(K20:M20)</f>
        <v/>
      </c>
      <c r="AH6" s="445">
        <f>SUM(AF6-AF7)/AF6</f>
        <v/>
      </c>
    </row>
    <row r="7" ht="13.5" customHeight="1" s="1232">
      <c r="A7" s="1291" t="n"/>
      <c r="B7" s="1291" t="n"/>
      <c r="C7" s="1294" t="n"/>
      <c r="D7" s="1274" t="n"/>
      <c r="E7" s="1270" t="n"/>
      <c r="F7" s="1274" t="n"/>
      <c r="I7" s="1333" t="inlineStr">
        <is>
          <t>4. Pick n Mix Out</t>
        </is>
      </c>
      <c r="J7" s="431" t="n">
        <v>-833</v>
      </c>
      <c r="K7" s="432">
        <f>SUMIFS(E$583:E$621,C$583:C$621,I7)</f>
        <v/>
      </c>
      <c r="L7" s="432">
        <f>SUMIFS(E$536:E$582,C$536:C$582,I7)</f>
        <v/>
      </c>
      <c r="M7" s="432">
        <f>SUMIFS($E$486:$E$533,$C$486:$C$533,$I7)</f>
        <v/>
      </c>
      <c r="N7" s="432">
        <f>SUMIFS($E$425:$E$485,$C$425:$C$485,$I7)</f>
        <v/>
      </c>
      <c r="O7" s="432">
        <f>SUMIFS($E$389:$E$422,$C$389:$C$422,$I7)</f>
        <v/>
      </c>
      <c r="P7" s="432">
        <f>SUMIFS($E$357:$E$388,$C$357:$C$388,$I7)</f>
        <v/>
      </c>
      <c r="Q7" s="432">
        <f>SUMIFS($E$318:$E$355,$C$318:$C$355,$I7)</f>
        <v/>
      </c>
      <c r="R7" s="432">
        <f>SUMIFS($E$282:$E$316,$C$282:$C$316,$I7)</f>
        <v/>
      </c>
      <c r="S7" s="432">
        <f>SUMIFS($E$250:$E$279,$C$250:$C$279,$I7)</f>
        <v/>
      </c>
      <c r="T7" s="432">
        <f>SUMIFS($E$227:$E$248,$C$227:$C$248,$I7)</f>
        <v/>
      </c>
      <c r="U7" s="432">
        <f>SUMIFS($E$180:$E$225,$C$180:$C$225,$I7)</f>
        <v/>
      </c>
      <c r="V7" s="432">
        <f>SUMIFS($E$126:$E$179,$C$126:$C$179,$I7)</f>
        <v/>
      </c>
      <c r="W7" s="704">
        <f>SUM(K7:V7)</f>
        <v/>
      </c>
      <c r="X7" s="432">
        <f>U7-J7</f>
        <v/>
      </c>
      <c r="Y7" s="432">
        <f>W7-AA7</f>
        <v/>
      </c>
      <c r="Z7" s="433">
        <f>Y7/AA7</f>
        <v/>
      </c>
      <c r="AA7" s="434">
        <f>J7*12</f>
        <v/>
      </c>
      <c r="AB7" s="434">
        <f>W7/12</f>
        <v/>
      </c>
      <c r="AD7" s="1282" t="inlineStr">
        <is>
          <t>2014/15</t>
        </is>
      </c>
      <c r="AE7" s="1378">
        <f>AF7+AG7</f>
        <v/>
      </c>
      <c r="AF7" s="1284">
        <f>SUM(N22:V22)</f>
        <v/>
      </c>
      <c r="AG7" s="1284">
        <f>SUM(K21:M21)</f>
        <v/>
      </c>
      <c r="AH7" s="445">
        <f>SUM(AF7-AF8)/AF7</f>
        <v/>
      </c>
    </row>
    <row r="8" ht="13.5" customHeight="1" s="1232">
      <c r="A8" s="1291" t="n">
        <v>43579</v>
      </c>
      <c r="B8" s="1291" t="inlineStr">
        <is>
          <t>Lynn McIlhone &lt;lmcilhone@blueyonder.co.uk&gt;</t>
        </is>
      </c>
      <c r="C8" s="1291" t="inlineStr">
        <is>
          <t>Leads In Progress</t>
        </is>
      </c>
      <c r="D8" s="1291" t="n"/>
      <c r="E8" s="1270" t="n">
        <v>99</v>
      </c>
      <c r="F8" s="1291" t="inlineStr">
        <is>
          <t>Bluebells 2020</t>
        </is>
      </c>
      <c r="I8" s="1333" t="inlineStr">
        <is>
          <t>5. Mentoring</t>
        </is>
      </c>
      <c r="J8" s="431" t="n">
        <v>100</v>
      </c>
      <c r="K8" s="432">
        <f>SUMIFS(E$583:E$621,C$583:C$621,I8)</f>
        <v/>
      </c>
      <c r="L8" s="432">
        <f>SUMIFS(E$536:E$582,C$536:C$582,I8)</f>
        <v/>
      </c>
      <c r="M8" s="432">
        <f>SUMIFS($E$486:$E$533,$C$486:$C$533,$I8)</f>
        <v/>
      </c>
      <c r="N8" s="432">
        <f>SUMIFS($E$425:$E$485,$C$425:$C$485,$I8)</f>
        <v/>
      </c>
      <c r="O8" s="432">
        <f>SUMIFS($E$389:$E$422,$C$389:$C$422,$I8)</f>
        <v/>
      </c>
      <c r="P8" s="432">
        <f>SUMIFS($E$357:$E$388,$C$357:$C$388,$I8)</f>
        <v/>
      </c>
      <c r="Q8" s="432">
        <f>SUMIFS($E$318:$E$355,$C$318:$C$355,$I8)</f>
        <v/>
      </c>
      <c r="R8" s="432">
        <f>SUMIFS($E$282:$E$316,$C$282:$C$316,$I8)</f>
        <v/>
      </c>
      <c r="S8" s="432">
        <f>SUMIFS($E$250:$E$279,$C$250:$C$279,$I8)</f>
        <v/>
      </c>
      <c r="T8" s="432">
        <f>SUMIFS($E$227:$E$248,$C$227:$C$248,$I8)</f>
        <v/>
      </c>
      <c r="U8" s="432">
        <f>SUMIFS($E$180:$E$225,$C$180:$C$225,$I8)</f>
        <v/>
      </c>
      <c r="V8" s="432">
        <f>SUMIFS($E$126:$E$179,$C$126:$C$179,$I8)</f>
        <v/>
      </c>
      <c r="W8" s="431">
        <f>SUM(K8:V8)</f>
        <v/>
      </c>
      <c r="X8" s="432">
        <f>U8-J8</f>
        <v/>
      </c>
      <c r="Y8" s="432">
        <f>W8-AA8</f>
        <v/>
      </c>
      <c r="Z8" s="433">
        <f>Y8/AA8</f>
        <v/>
      </c>
      <c r="AA8" s="434">
        <f>J8*12</f>
        <v/>
      </c>
      <c r="AB8" s="434">
        <f>W8/12</f>
        <v/>
      </c>
      <c r="AD8" s="1282" t="inlineStr">
        <is>
          <t>2013/14</t>
        </is>
      </c>
      <c r="AE8" s="1378">
        <f>AF8+AG8</f>
        <v/>
      </c>
      <c r="AF8" s="1284">
        <f>SUM(N23:V23)</f>
        <v/>
      </c>
      <c r="AG8" s="1284">
        <f>SUM(K22:M22)</f>
        <v/>
      </c>
      <c r="AH8" s="445" t="n"/>
    </row>
    <row r="9" ht="13.5" customHeight="1" s="1232">
      <c r="A9" s="1292" t="n"/>
      <c r="B9" s="1294" t="n"/>
      <c r="C9" s="1294" t="n"/>
      <c r="D9" s="1274" t="n"/>
      <c r="E9" s="1270" t="n"/>
      <c r="F9" s="1274" t="n"/>
      <c r="I9" s="1334" t="inlineStr">
        <is>
          <t>6. 1-2-1</t>
        </is>
      </c>
      <c r="J9" s="431">
        <f>10000/12</f>
        <v/>
      </c>
      <c r="K9" s="432">
        <f>SUMIFS(E$583:E$621,C$583:C$621,I9)</f>
        <v/>
      </c>
      <c r="L9" s="432">
        <f>SUMIFS(E$536:E$582,C$536:C$582,I9)</f>
        <v/>
      </c>
      <c r="M9" s="432">
        <f>SUMIFS($E$486:$E$533,$C$486:$C$533,$I9)</f>
        <v/>
      </c>
      <c r="N9" s="432">
        <f>SUMIFS($E$425:$E$485,$C$425:$C$485,$I9)</f>
        <v/>
      </c>
      <c r="O9" s="432">
        <f>SUMIFS($E$389:$E$422,$C$389:$C$422,$I9)</f>
        <v/>
      </c>
      <c r="P9" s="432">
        <f>SUMIFS($E$357:$E$388,$C$357:$C$388,$I9)</f>
        <v/>
      </c>
      <c r="Q9" s="432">
        <f>SUMIFS($E$318:$E$355,$C$318:$C$355,$I9)</f>
        <v/>
      </c>
      <c r="R9" s="432">
        <f>SUMIFS($E$282:$E$316,$C$282:$C$316,$I9)</f>
        <v/>
      </c>
      <c r="S9" s="432">
        <f>SUMIFS($E$250:$E$279,$C$250:$C$279,$I9)</f>
        <v/>
      </c>
      <c r="T9" s="432">
        <f>SUMIFS($E$227:$E$248,$C$227:$C$248,$I9)</f>
        <v/>
      </c>
      <c r="U9" s="432">
        <f>SUMIFS($E$180:$E$225,$C$180:$C$225,$I9)</f>
        <v/>
      </c>
      <c r="V9" s="432">
        <f>SUMIFS($E$126:$E$179,$C$126:$C$179,$I9)</f>
        <v/>
      </c>
      <c r="W9" s="431">
        <f>SUM(K9:V9)</f>
        <v/>
      </c>
      <c r="X9" s="432">
        <f>U9-J9</f>
        <v/>
      </c>
      <c r="Y9" s="432">
        <f>W9-AA9</f>
        <v/>
      </c>
      <c r="Z9" s="433">
        <f>Y9/AA9</f>
        <v/>
      </c>
      <c r="AA9" s="434">
        <f>J9*12</f>
        <v/>
      </c>
      <c r="AB9" s="434">
        <f>W9/12</f>
        <v/>
      </c>
    </row>
    <row r="10" ht="13.5" customHeight="1" s="1232">
      <c r="A10" s="1292" t="n"/>
      <c r="B10" s="1294" t="n"/>
      <c r="C10" s="1294" t="n"/>
      <c r="D10" s="1274" t="n"/>
      <c r="E10" s="1270" t="n"/>
      <c r="F10" s="1274" t="n"/>
      <c r="I10" s="1334" t="inlineStr">
        <is>
          <t>7. Gift Vouchers</t>
        </is>
      </c>
      <c r="J10" s="431">
        <f>2000/12</f>
        <v/>
      </c>
      <c r="K10" s="432">
        <f>SUMIFS(E$583:E$621,C$583:C$621,I10)</f>
        <v/>
      </c>
      <c r="L10" s="432">
        <f>SUMIFS(E$536:E$582,C$536:C$582,I10)</f>
        <v/>
      </c>
      <c r="M10" s="432">
        <f>SUMIFS($E$486:$E$533,$C$486:$C$533,$I10)</f>
        <v/>
      </c>
      <c r="N10" s="432">
        <f>SUMIFS($E$425:$E$485,$C$425:$C$485,$I10)</f>
        <v/>
      </c>
      <c r="O10" s="432">
        <f>SUMIFS($E$389:$E$422,$C$389:$C$422,$I10)</f>
        <v/>
      </c>
      <c r="P10" s="432">
        <f>SUMIFS($E$357:$E$388,$C$357:$C$388,$I10)</f>
        <v/>
      </c>
      <c r="Q10" s="432">
        <f>SUMIFS($E$318:$E$355,$C$318:$C$355,$I10)</f>
        <v/>
      </c>
      <c r="R10" s="432">
        <f>SUMIFS($E$282:$E$316,$C$282:$C$316,$I10)</f>
        <v/>
      </c>
      <c r="S10" s="432">
        <f>SUMIFS($E$250:$E$279,$C$250:$C$279,$I10)</f>
        <v/>
      </c>
      <c r="T10" s="432">
        <f>SUMIFS($E$227:$E$248,$C$227:$C$248,$I10)</f>
        <v/>
      </c>
      <c r="U10" s="432">
        <f>SUMIFS($E$180:$E$225,$C$180:$C$225,$I10)</f>
        <v/>
      </c>
      <c r="V10" s="432">
        <f>SUMIFS($E$126:$E$179,$C$126:$C$179,$I10)</f>
        <v/>
      </c>
      <c r="W10" s="431">
        <f>SUM(K10:V10)</f>
        <v/>
      </c>
      <c r="X10" s="432">
        <f>U10-J10</f>
        <v/>
      </c>
      <c r="Y10" s="432">
        <f>W10-AA10</f>
        <v/>
      </c>
      <c r="Z10" s="433">
        <f>Y10/AA10</f>
        <v/>
      </c>
      <c r="AA10" s="434">
        <f>J10*12</f>
        <v/>
      </c>
      <c r="AB10" s="434">
        <f>W10/12</f>
        <v/>
      </c>
    </row>
    <row r="11" ht="13.5" customHeight="1" s="1232">
      <c r="A11" s="1292" t="n"/>
      <c r="B11" s="1294" t="n"/>
      <c r="C11" s="1294" t="n"/>
      <c r="D11" s="1274" t="n"/>
      <c r="E11" s="1270" t="n"/>
      <c r="F11" s="1274" t="n"/>
      <c r="I11" s="1334" t="inlineStr">
        <is>
          <t>8. Prints &amp; Royalties</t>
        </is>
      </c>
      <c r="J11" s="431">
        <f>3000/12</f>
        <v/>
      </c>
      <c r="K11" s="432">
        <f>SUMIFS(E$583:E$621,C$583:C$621,I11)</f>
        <v/>
      </c>
      <c r="L11" s="432">
        <f>SUMIFS(E$536:E$582,C$536:C$582,I11)</f>
        <v/>
      </c>
      <c r="M11" s="432">
        <f>SUMIFS($E$486:$E$533,$C$486:$C$533,$I11)</f>
        <v/>
      </c>
      <c r="N11" s="432">
        <f>SUMIFS($E$425:$E$485,$C$425:$C$485,$I11)</f>
        <v/>
      </c>
      <c r="O11" s="432">
        <f>SUMIFS($E$389:$E$422,$C$389:$C$422,$I11)</f>
        <v/>
      </c>
      <c r="P11" s="432">
        <f>SUMIFS($E$357:$E$388,$C$357:$C$388,$I11)</f>
        <v/>
      </c>
      <c r="Q11" s="432">
        <f>SUMIFS($E$318:$E$355,$C$318:$C$355,$I11)</f>
        <v/>
      </c>
      <c r="R11" s="432">
        <f>SUMIFS($E$282:$E$316,$C$282:$C$316,$I11)</f>
        <v/>
      </c>
      <c r="S11" s="432">
        <f>SUMIFS($E$250:$E$279,$C$250:$C$279,$I11)</f>
        <v/>
      </c>
      <c r="T11" s="432">
        <f>SUMIFS($E$227:$E$248,$C$227:$C$248,$I11)</f>
        <v/>
      </c>
      <c r="U11" s="432">
        <f>SUMIFS($E$180:$E$225,$C$180:$C$225,$I11)</f>
        <v/>
      </c>
      <c r="V11" s="432">
        <f>SUMIFS($E$126:$E$179,$C$126:$C$179,$I11)</f>
        <v/>
      </c>
      <c r="W11" s="431">
        <f>SUM(K11:V11)</f>
        <v/>
      </c>
      <c r="X11" s="432">
        <f>U11-J11</f>
        <v/>
      </c>
      <c r="Y11" s="432">
        <f>W11-AA11</f>
        <v/>
      </c>
      <c r="Z11" s="433">
        <f>Y11/AA11</f>
        <v/>
      </c>
      <c r="AA11" s="434">
        <f>J11*12</f>
        <v/>
      </c>
      <c r="AB11" s="434">
        <f>W11/12</f>
        <v/>
      </c>
    </row>
    <row r="12" ht="13.5" customHeight="1" s="1232">
      <c r="A12" s="1292" t="n"/>
      <c r="B12" s="1294" t="n"/>
      <c r="C12" s="1294" t="n"/>
      <c r="D12" s="1274" t="n"/>
      <c r="E12" s="1270" t="n"/>
      <c r="F12" s="1274" t="n"/>
      <c r="I12" s="1334" t="inlineStr">
        <is>
          <t>9. Commissions</t>
        </is>
      </c>
      <c r="J12" s="431">
        <f>1200/12</f>
        <v/>
      </c>
      <c r="K12" s="432">
        <f>SUMIFS(E$583:E$621,C$583:C$621,I12)</f>
        <v/>
      </c>
      <c r="L12" s="432">
        <f>SUMIFS(E$536:E$582,C$536:C$582,I12)</f>
        <v/>
      </c>
      <c r="M12" s="432">
        <f>SUMIFS($E$486:$E$533,$C$486:$C$533,$I12)</f>
        <v/>
      </c>
      <c r="N12" s="432">
        <f>SUMIFS($E$425:$E$485,$C$425:$C$485,$I12)</f>
        <v/>
      </c>
      <c r="O12" s="432">
        <f>SUMIFS($E$389:$E$422,$C$389:$C$422,$I12)</f>
        <v/>
      </c>
      <c r="P12" s="432">
        <f>SUMIFS($E$357:$E$388,$C$357:$C$388,$I12)</f>
        <v/>
      </c>
      <c r="Q12" s="432">
        <f>SUMIFS($E$318:$E$355,$C$318:$C$355,$I12)</f>
        <v/>
      </c>
      <c r="R12" s="432">
        <f>SUMIFS($E$282:$E$316,$C$282:$C$316,$I12)</f>
        <v/>
      </c>
      <c r="S12" s="432">
        <f>SUMIFS($E$250:$E$279,$C$250:$C$279,$I12)</f>
        <v/>
      </c>
      <c r="T12" s="432">
        <f>SUMIFS($E$227:$E$248,$C$227:$C$248,$I12)</f>
        <v/>
      </c>
      <c r="U12" s="432">
        <f>SUMIFS($E$180:$E$225,$C$180:$C$225,$I12)</f>
        <v/>
      </c>
      <c r="V12" s="432">
        <f>SUMIFS($E$126:$E$179,$C$126:$C$179,$I12)</f>
        <v/>
      </c>
      <c r="W12" s="431">
        <f>SUM(K12:V12)</f>
        <v/>
      </c>
      <c r="X12" s="432" t="n"/>
      <c r="Y12" s="432" t="n"/>
      <c r="Z12" s="433" t="n"/>
      <c r="AA12" s="434" t="n"/>
      <c r="AB12" s="434">
        <f>W12/12</f>
        <v/>
      </c>
    </row>
    <row r="13" ht="13.5" customHeight="1" s="1232">
      <c r="I13" s="1334" t="inlineStr">
        <is>
          <t>10. Other</t>
        </is>
      </c>
      <c r="J13" s="431" t="n">
        <v>25</v>
      </c>
      <c r="K13" s="432">
        <f>SUMIFS(E$583:E$621,C$583:C$621,I13)</f>
        <v/>
      </c>
      <c r="L13" s="432">
        <f>SUMIFS(E$536:E$582,C$536:C$582,I13)</f>
        <v/>
      </c>
      <c r="M13" s="432">
        <f>SUMIFS($E$486:$E$533,$C$486:$C$533,$I13)</f>
        <v/>
      </c>
      <c r="N13" s="432">
        <f>SUMIFS($E$425:$E$485,$C$425:$C$485,$I13)</f>
        <v/>
      </c>
      <c r="O13" s="432">
        <f>SUMIFS($E$389:$E$422,$C$389:$C$422,$I13)</f>
        <v/>
      </c>
      <c r="P13" s="432">
        <f>SUMIFS($E$357:$E$388,$C$357:$C$388,$I13)</f>
        <v/>
      </c>
      <c r="Q13" s="432">
        <f>SUMIFS($E$318:$E$355,$C$318:$C$355,$I13)</f>
        <v/>
      </c>
      <c r="R13" s="432">
        <f>SUMIFS($E$282:$E$316,$C$282:$C$316,$I13)</f>
        <v/>
      </c>
      <c r="S13" s="432">
        <f>SUMIFS($E$250:$E$279,$C$250:$C$279,$I13)</f>
        <v/>
      </c>
      <c r="T13" s="432">
        <f>SUMIFS($E$227:$E$248,$C$227:$C$248,$I13)</f>
        <v/>
      </c>
      <c r="U13" s="432">
        <f>SUMIFS($E$180:$E$225,$C$180:$C$225,$I13)</f>
        <v/>
      </c>
      <c r="V13" s="432">
        <f>SUMIFS($E$126:$E$179,$C$126:$C$179,$I13)</f>
        <v/>
      </c>
      <c r="W13" s="431">
        <f>SUM(K13:V13)</f>
        <v/>
      </c>
      <c r="X13" s="432">
        <f>U13-J13</f>
        <v/>
      </c>
      <c r="Y13" s="432">
        <f>W13-AA13</f>
        <v/>
      </c>
      <c r="Z13" s="433">
        <f>Y13/AA13</f>
        <v/>
      </c>
      <c r="AA13" s="434">
        <f>J13*12</f>
        <v/>
      </c>
      <c r="AB13" s="434">
        <f>W13/12</f>
        <v/>
      </c>
    </row>
    <row r="14" ht="15.75" customHeight="1" s="1232">
      <c r="A14" s="1292" t="n"/>
      <c r="B14" s="1294" t="n"/>
      <c r="C14" s="1294" t="n"/>
      <c r="F14" s="1260" t="n"/>
      <c r="I14" s="1335" t="inlineStr">
        <is>
          <t>Totals</t>
        </is>
      </c>
      <c r="J14" s="778">
        <f>SUM(J4:J13)</f>
        <v/>
      </c>
      <c r="K14" s="439">
        <f>SUM(K4:K13)</f>
        <v/>
      </c>
      <c r="L14" s="439">
        <f>SUM(L4:L13)</f>
        <v/>
      </c>
      <c r="M14" s="439">
        <f>SUM(M4:M13)</f>
        <v/>
      </c>
      <c r="N14" s="439">
        <f>SUM(N4:N13)</f>
        <v/>
      </c>
      <c r="O14" s="439">
        <f>SUM(O4:O13)</f>
        <v/>
      </c>
      <c r="P14" s="439">
        <f>SUM(P4:P13)</f>
        <v/>
      </c>
      <c r="Q14" s="439">
        <f>SUM(Q4:Q13)</f>
        <v/>
      </c>
      <c r="R14" s="439">
        <f>SUM(R4:R13)</f>
        <v/>
      </c>
      <c r="S14" s="439">
        <f>SUM(S4:S13)</f>
        <v/>
      </c>
      <c r="T14" s="439">
        <f>SUM(T4:T13)</f>
        <v/>
      </c>
      <c r="U14" s="439">
        <f>SUM(U4:U13)</f>
        <v/>
      </c>
      <c r="V14" s="439">
        <f>SUM(V4:V13)</f>
        <v/>
      </c>
      <c r="W14" s="438">
        <f>SUM(W4:W13)</f>
        <v/>
      </c>
      <c r="X14" s="432">
        <f>U14-J14</f>
        <v/>
      </c>
      <c r="Y14" s="439">
        <f>W14-AA14</f>
        <v/>
      </c>
      <c r="Z14" s="433">
        <f>Y14/AA14</f>
        <v/>
      </c>
      <c r="AA14" s="434">
        <f>J14*12</f>
        <v/>
      </c>
      <c r="AB14" s="434">
        <f>W14/12</f>
        <v/>
      </c>
      <c r="AD14" s="1304" t="inlineStr">
        <is>
          <t>Invoice Date</t>
        </is>
      </c>
      <c r="AE14" s="1304" t="inlineStr">
        <is>
          <t>Employee</t>
        </is>
      </c>
      <c r="AF14" s="1304" t="inlineStr">
        <is>
          <t>Invoice Number</t>
        </is>
      </c>
      <c r="AG14" s="1304" t="inlineStr">
        <is>
          <t>ELS Voucher</t>
        </is>
      </c>
      <c r="AH14" s="1304" t="inlineStr">
        <is>
          <t>Amount</t>
        </is>
      </c>
      <c r="AI14" s="1304" t="inlineStr">
        <is>
          <t>Event</t>
        </is>
      </c>
    </row>
    <row r="15" ht="13.15" customHeight="1" s="1232">
      <c r="J15" s="1299">
        <f>J14*12</f>
        <v/>
      </c>
      <c r="K15" s="671">
        <f>K14/J14</f>
        <v/>
      </c>
      <c r="L15" s="671">
        <f>L14/J14</f>
        <v/>
      </c>
      <c r="M15" s="671">
        <f>M14/J14</f>
        <v/>
      </c>
      <c r="N15" s="671">
        <f>N14/J14</f>
        <v/>
      </c>
      <c r="O15" s="671">
        <f>O14/J14</f>
        <v/>
      </c>
      <c r="P15" s="671">
        <f>P14/J14</f>
        <v/>
      </c>
      <c r="Q15" s="671">
        <f>Q14/J14</f>
        <v/>
      </c>
      <c r="R15" s="671">
        <f>R14/J14</f>
        <v/>
      </c>
      <c r="S15" s="671">
        <f>S14/J14</f>
        <v/>
      </c>
      <c r="T15" s="671">
        <f>T14/J14</f>
        <v/>
      </c>
      <c r="U15" s="671">
        <f>U14/J14</f>
        <v/>
      </c>
      <c r="V15" s="671">
        <f>V14/J14</f>
        <v/>
      </c>
      <c r="W15" s="671">
        <f>W14/AA14</f>
        <v/>
      </c>
      <c r="X15" s="583">
        <f>W14-W18</f>
        <v/>
      </c>
      <c r="Y15" s="585">
        <f>X15/W19</f>
        <v/>
      </c>
      <c r="AB15" s="445" t="n"/>
    </row>
    <row r="17" ht="13.15" customHeight="1" s="1232">
      <c r="I17" s="1313" t="inlineStr">
        <is>
          <t>2019</t>
        </is>
      </c>
      <c r="J17" s="1287" t="inlineStr">
        <is>
          <t>Year 7</t>
        </is>
      </c>
      <c r="K17" s="558" t="n">
        <v>5891.07</v>
      </c>
      <c r="L17" s="558" t="n">
        <v>2739.5</v>
      </c>
      <c r="M17" s="558" t="n">
        <v>4414.5</v>
      </c>
      <c r="N17" s="558" t="n">
        <v>5147.5</v>
      </c>
      <c r="O17" s="558" t="n">
        <v>6878</v>
      </c>
      <c r="P17" s="558" t="n">
        <v>4875.34</v>
      </c>
      <c r="Q17" s="558" t="n">
        <v>5769.97</v>
      </c>
      <c r="R17" s="558" t="n">
        <v>7463.89</v>
      </c>
      <c r="S17" s="558" t="n">
        <v>6034.39</v>
      </c>
      <c r="T17" s="558" t="n">
        <v>4573.58</v>
      </c>
      <c r="U17" s="558" t="n">
        <v>5973.75</v>
      </c>
      <c r="V17" s="558" t="n">
        <v>5421.440000000001</v>
      </c>
      <c r="W17" s="431">
        <f>SUM(K17:V17)</f>
        <v/>
      </c>
      <c r="X17" s="583">
        <f>W17-W18</f>
        <v/>
      </c>
      <c r="Y17" s="585">
        <f>X17/W18</f>
        <v/>
      </c>
      <c r="AB17" s="445" t="n"/>
    </row>
    <row r="18" ht="13.9" customHeight="1" s="1232">
      <c r="I18" s="1313" t="inlineStr">
        <is>
          <t>2018</t>
        </is>
      </c>
      <c r="J18" s="1260" t="inlineStr">
        <is>
          <t>Year 6</t>
        </is>
      </c>
      <c r="K18" s="558" t="n">
        <v>8277.470000000001</v>
      </c>
      <c r="L18" s="558" t="n">
        <v>10607.11</v>
      </c>
      <c r="M18" s="558" t="n">
        <v>7155.05</v>
      </c>
      <c r="N18" s="558" t="n">
        <v>4371.015</v>
      </c>
      <c r="O18" s="558" t="n">
        <v>4002.63</v>
      </c>
      <c r="P18" s="558" t="n">
        <v>3243.6</v>
      </c>
      <c r="Q18" s="558" t="n">
        <v>2859.03</v>
      </c>
      <c r="R18" s="558" t="n">
        <v>4792.59</v>
      </c>
      <c r="S18" s="558" t="n">
        <v>6443.88</v>
      </c>
      <c r="T18" s="558" t="n">
        <v>3908.03</v>
      </c>
      <c r="U18" s="558" t="n">
        <v>8299.08</v>
      </c>
      <c r="V18" s="558" t="n">
        <v>4642.25</v>
      </c>
      <c r="W18" s="431">
        <f>SUM(K18:V18)</f>
        <v/>
      </c>
      <c r="X18" s="583">
        <f>W18-W19</f>
        <v/>
      </c>
      <c r="Y18" s="585">
        <f>X18/W19</f>
        <v/>
      </c>
      <c r="AD18" s="470" t="n">
        <v>42937</v>
      </c>
      <c r="AE18" s="1372" t="inlineStr">
        <is>
          <t>Aikaterini Fotoglou - ELS</t>
        </is>
      </c>
      <c r="AF18" s="1372" t="inlineStr">
        <is>
          <t>20170721-1</t>
        </is>
      </c>
      <c r="AG18" s="472" t="n">
        <v>146746</v>
      </c>
      <c r="AH18" s="1384" t="n">
        <v>200</v>
      </c>
      <c r="AI18" s="1373" t="inlineStr">
        <is>
          <t>5wk Course</t>
        </is>
      </c>
    </row>
    <row r="19" ht="13.9" customHeight="1" s="1232">
      <c r="A19" s="1291" t="n"/>
      <c r="B19" s="1291" t="n"/>
      <c r="C19" s="1291" t="n"/>
      <c r="D19" s="1396" t="n"/>
      <c r="E19" s="1371" t="n"/>
      <c r="F19" s="1274" t="n"/>
      <c r="I19" s="1316" t="inlineStr">
        <is>
          <t>2017</t>
        </is>
      </c>
      <c r="J19" s="1260" t="inlineStr">
        <is>
          <t>Year 5</t>
        </is>
      </c>
      <c r="K19" s="558" t="n">
        <v>3203.5</v>
      </c>
      <c r="L19" s="558" t="n">
        <v>6685</v>
      </c>
      <c r="M19" s="558" t="n">
        <v>6242.83</v>
      </c>
      <c r="N19" s="558" t="n">
        <v>6063.17</v>
      </c>
      <c r="O19" s="558" t="n">
        <v>5851.71</v>
      </c>
      <c r="P19" s="558" t="n">
        <v>5479.93</v>
      </c>
      <c r="Q19" s="558" t="n">
        <v>3603.81</v>
      </c>
      <c r="R19" s="558" t="n">
        <v>4658.85</v>
      </c>
      <c r="S19" s="558" t="n">
        <v>10821.67</v>
      </c>
      <c r="T19" s="558" t="n">
        <v>9224.58</v>
      </c>
      <c r="U19" s="558" t="n">
        <v>10504.09</v>
      </c>
      <c r="V19" s="558" t="n">
        <v>4329.030000000001</v>
      </c>
      <c r="W19" s="431">
        <f>SUM(K19:V19)</f>
        <v/>
      </c>
      <c r="X19" s="583">
        <f>W19-W20</f>
        <v/>
      </c>
      <c r="Y19" s="585">
        <f>X19/W20</f>
        <v/>
      </c>
      <c r="AA19" s="1273" t="inlineStr">
        <is>
          <t>Forecast</t>
        </is>
      </c>
      <c r="AB19" s="1397">
        <f>SUM(K14:V14)+(AB14*1)</f>
        <v/>
      </c>
      <c r="AD19" s="470" t="n">
        <v>42941</v>
      </c>
      <c r="AE19" s="1372" t="inlineStr">
        <is>
          <t>Ran Tao - ELS</t>
        </is>
      </c>
      <c r="AF19" s="1372" t="inlineStr">
        <is>
          <t>20170725-1</t>
        </is>
      </c>
      <c r="AG19" s="472" t="n">
        <v>146833</v>
      </c>
      <c r="AH19" s="1384" t="n">
        <v>200</v>
      </c>
      <c r="AI19" s="1373" t="inlineStr">
        <is>
          <t>5wk Course</t>
        </is>
      </c>
    </row>
    <row r="20" ht="13.9" customHeight="1" s="1232">
      <c r="A20" s="1271" t="n"/>
      <c r="B20" s="1292" t="n"/>
      <c r="C20" s="1294" t="n"/>
      <c r="D20" s="1260" t="n"/>
      <c r="E20" s="1293" t="n"/>
      <c r="F20" s="1294" t="n"/>
      <c r="I20" s="1316" t="inlineStr">
        <is>
          <t>2016</t>
        </is>
      </c>
      <c r="J20" s="1287" t="inlineStr">
        <is>
          <t>Year 4</t>
        </is>
      </c>
      <c r="K20" s="434" t="n">
        <v>4537</v>
      </c>
      <c r="L20" s="434">
        <f>4583-264</f>
        <v/>
      </c>
      <c r="M20" s="558">
        <f>3935-213</f>
        <v/>
      </c>
      <c r="N20" s="558">
        <f>4947-396</f>
        <v/>
      </c>
      <c r="O20" s="558">
        <f>3911-293</f>
        <v/>
      </c>
      <c r="P20" s="558">
        <f>2992-213</f>
        <v/>
      </c>
      <c r="Q20" s="558">
        <f>2927-218</f>
        <v/>
      </c>
      <c r="R20" s="558">
        <f>7466-213</f>
        <v/>
      </c>
      <c r="S20" s="558">
        <f>4218-425</f>
        <v/>
      </c>
      <c r="T20" s="558">
        <f>10697-213</f>
        <v/>
      </c>
      <c r="U20" s="558">
        <f>5081-213</f>
        <v/>
      </c>
      <c r="V20" s="558">
        <f>5220-213</f>
        <v/>
      </c>
      <c r="W20" s="431">
        <f>SUM(K20:V20)</f>
        <v/>
      </c>
      <c r="X20" s="583">
        <f>W20-W21</f>
        <v/>
      </c>
      <c r="Y20" s="585">
        <f>X20/W21</f>
        <v/>
      </c>
      <c r="Z20" s="445" t="n"/>
      <c r="AA20" s="771" t="inlineStr">
        <is>
          <t>Avg Forecast</t>
        </is>
      </c>
      <c r="AB20" s="1284">
        <f>W14+V25</f>
        <v/>
      </c>
      <c r="AD20" s="470" t="n">
        <v>42947</v>
      </c>
      <c r="AE20" s="1372" t="inlineStr">
        <is>
          <t>Stewart Twilton - ELS</t>
        </is>
      </c>
      <c r="AF20" s="1372" t="inlineStr">
        <is>
          <t>20170731-1</t>
        </is>
      </c>
      <c r="AG20" s="472" t="n">
        <v>146978</v>
      </c>
      <c r="AH20" s="1384" t="n">
        <v>135</v>
      </c>
      <c r="AI20" s="1373" t="inlineStr">
        <is>
          <t>Workshop</t>
        </is>
      </c>
    </row>
    <row r="21" ht="13.9" customHeight="1" s="1232">
      <c r="A21" s="1292" t="n"/>
      <c r="B21" s="1294" t="n"/>
      <c r="C21" s="1294" t="n"/>
      <c r="E21" s="1293" t="n"/>
      <c r="F21" s="1294" t="n"/>
      <c r="I21" s="1316" t="inlineStr">
        <is>
          <t>2015</t>
        </is>
      </c>
      <c r="J21" s="1260" t="inlineStr">
        <is>
          <t>Year 3</t>
        </is>
      </c>
      <c r="K21" s="434" t="n">
        <v>3710</v>
      </c>
      <c r="L21" s="434" t="n">
        <v>3750</v>
      </c>
      <c r="M21" s="558" t="n">
        <v>7113</v>
      </c>
      <c r="N21" s="558">
        <f>3928-213</f>
        <v/>
      </c>
      <c r="O21" s="558">
        <f>2501-213</f>
        <v/>
      </c>
      <c r="P21" s="558">
        <f>3468-213</f>
        <v/>
      </c>
      <c r="Q21" s="558">
        <f>1986-224</f>
        <v/>
      </c>
      <c r="R21" s="558">
        <f>4145-212</f>
        <v/>
      </c>
      <c r="S21" s="558">
        <f>8518-212</f>
        <v/>
      </c>
      <c r="T21" s="558">
        <f>5829-424</f>
        <v/>
      </c>
      <c r="U21" s="558">
        <f>3816-212</f>
        <v/>
      </c>
      <c r="V21" s="558">
        <f>12440-212</f>
        <v/>
      </c>
      <c r="W21" s="431">
        <f>SUM(K21:V21)</f>
        <v/>
      </c>
      <c r="X21" s="583">
        <f>W21-W22</f>
        <v/>
      </c>
      <c r="Y21" s="585">
        <f>X21/W22</f>
        <v/>
      </c>
      <c r="Z21" s="445" t="n"/>
      <c r="AA21" s="445" t="n"/>
      <c r="AD21" s="470" t="n">
        <v>42969</v>
      </c>
      <c r="AE21" s="1372" t="inlineStr">
        <is>
          <t>Kim Robert - ELS</t>
        </is>
      </c>
      <c r="AF21" s="1372" t="inlineStr">
        <is>
          <t>20170822-1</t>
        </is>
      </c>
      <c r="AG21" s="472" t="n">
        <v>147703</v>
      </c>
      <c r="AH21" s="1384" t="n">
        <v>200</v>
      </c>
      <c r="AI21" s="1373" t="inlineStr">
        <is>
          <t>5wk Course</t>
        </is>
      </c>
    </row>
    <row r="22" ht="13.9" customHeight="1" s="1232">
      <c r="A22" s="1292" t="n"/>
      <c r="B22" s="1294" t="n"/>
      <c r="C22" s="1294" t="n"/>
      <c r="D22" s="1292" t="n"/>
      <c r="E22" s="1293" t="n"/>
      <c r="F22" s="1305" t="n"/>
      <c r="I22" s="1316" t="inlineStr">
        <is>
          <t>2014</t>
        </is>
      </c>
      <c r="J22" s="1260" t="inlineStr">
        <is>
          <t>Year 2</t>
        </is>
      </c>
      <c r="K22" s="434">
        <f>4439-1260</f>
        <v/>
      </c>
      <c r="L22" s="434">
        <f>3071-197</f>
        <v/>
      </c>
      <c r="M22" s="558">
        <f>4958-132</f>
        <v/>
      </c>
      <c r="N22" s="558">
        <f>3585-132</f>
        <v/>
      </c>
      <c r="O22" s="558">
        <f>5008-33</f>
        <v/>
      </c>
      <c r="P22" s="558" t="n">
        <v>3386</v>
      </c>
      <c r="Q22" s="558" t="n">
        <v>3633</v>
      </c>
      <c r="R22" s="558" t="n">
        <v>3855</v>
      </c>
      <c r="S22" s="558" t="n">
        <v>6440</v>
      </c>
      <c r="T22" s="558" t="n">
        <v>3536</v>
      </c>
      <c r="U22" s="558" t="n">
        <v>2851</v>
      </c>
      <c r="V22" s="558" t="n">
        <v>7614</v>
      </c>
      <c r="W22" s="431">
        <f>SUM(K22:V22)</f>
        <v/>
      </c>
      <c r="X22" s="583">
        <f>W22-W23</f>
        <v/>
      </c>
      <c r="Y22" s="585">
        <f>X22/W23</f>
        <v/>
      </c>
      <c r="AD22" s="470" t="n">
        <v>42970</v>
      </c>
      <c r="AE22" s="1372" t="inlineStr">
        <is>
          <t>Scott Bremner - ELS</t>
        </is>
      </c>
      <c r="AF22" s="1372" t="inlineStr">
        <is>
          <t>20170823-2</t>
        </is>
      </c>
      <c r="AG22" s="472" t="n">
        <v>147671</v>
      </c>
      <c r="AH22" s="1384" t="n">
        <v>200</v>
      </c>
      <c r="AI22" s="1373" t="inlineStr">
        <is>
          <t>5wk Course</t>
        </is>
      </c>
    </row>
    <row r="23" ht="13.9" customHeight="1" s="1232">
      <c r="I23" s="1313" t="inlineStr">
        <is>
          <t>2013</t>
        </is>
      </c>
      <c r="J23" s="1260" t="inlineStr">
        <is>
          <t>Year 1</t>
        </is>
      </c>
      <c r="U23" s="558">
        <f>3346-338</f>
        <v/>
      </c>
      <c r="V23" s="558">
        <f>6776-390</f>
        <v/>
      </c>
      <c r="W23" s="431">
        <f>SUM(K23:V23)</f>
        <v/>
      </c>
      <c r="AD23" s="470" t="n">
        <v>42970</v>
      </c>
      <c r="AE23" s="1372" t="inlineStr">
        <is>
          <t>Michael King - ELS</t>
        </is>
      </c>
      <c r="AF23" s="1372" t="inlineStr">
        <is>
          <t>20170823-1</t>
        </is>
      </c>
      <c r="AG23" s="472" t="n">
        <v>147844</v>
      </c>
      <c r="AH23" s="1384" t="n">
        <v>200</v>
      </c>
      <c r="AI23" s="1373" t="inlineStr">
        <is>
          <t>4wk Course</t>
        </is>
      </c>
    </row>
    <row r="24" ht="13.9" customHeight="1" s="1232">
      <c r="A24" s="1292" t="n"/>
      <c r="B24" s="1294" t="n"/>
      <c r="C24" s="1294" t="n"/>
      <c r="E24" s="1293" t="n"/>
      <c r="F24" s="1260" t="n"/>
      <c r="I24" s="1310" t="inlineStr">
        <is>
          <t>Year on year Improvement %</t>
        </is>
      </c>
      <c r="J24" s="1299" t="n"/>
      <c r="K24" s="671">
        <f>IFERROR((K14-K17)/K17,0)</f>
        <v/>
      </c>
      <c r="L24" s="671">
        <f>IFERROR((L14-L17)/L17,0)</f>
        <v/>
      </c>
      <c r="M24" s="671">
        <f>IFERROR((M14-M17)/M17,0)</f>
        <v/>
      </c>
      <c r="N24" s="671">
        <f>IFERROR((N14-N17)/N17,0)</f>
        <v/>
      </c>
      <c r="O24" s="671">
        <f>IFERROR((O14-O17)/O17,0)</f>
        <v/>
      </c>
      <c r="P24" s="671">
        <f>IFERROR((P14-P17)/P17,0)</f>
        <v/>
      </c>
      <c r="Q24" s="671">
        <f>IFERROR((Q14-Q17)/Q17,0)</f>
        <v/>
      </c>
      <c r="R24" s="671">
        <f>IFERROR((R14-R17)/R17,0)</f>
        <v/>
      </c>
      <c r="S24" s="671">
        <f>IFERROR((S14-S17)/S17,0)</f>
        <v/>
      </c>
      <c r="T24" s="671">
        <f>IFERROR((T14-T17)/T17,0)</f>
        <v/>
      </c>
      <c r="U24" s="671">
        <f>IFERROR((U14-U17)/U17,0)</f>
        <v/>
      </c>
      <c r="V24" s="671">
        <f>IFERROR((V14-V17)/V17,0)</f>
        <v/>
      </c>
      <c r="W24" s="671">
        <f>IFERROR((W14-W19)/W19,0)</f>
        <v/>
      </c>
      <c r="Y24" s="688">
        <f>W14-K18-L18-M18-N18-O18-P18-Q18-R18-S18-T18-U18-V18</f>
        <v/>
      </c>
      <c r="Z24" s="433">
        <f>Y24/(K18+L18+M18+N18+O18+P18+Q18+R18+S18+T18+U18+V18)</f>
        <v/>
      </c>
      <c r="AD24" s="470" t="n">
        <v>42976</v>
      </c>
      <c r="AE24" s="1372" t="inlineStr">
        <is>
          <t>Thomas Lloyd -ELS</t>
        </is>
      </c>
      <c r="AF24" s="1372" t="inlineStr">
        <is>
          <t>20170829-1</t>
        </is>
      </c>
      <c r="AG24" s="472" t="n">
        <v>148062</v>
      </c>
      <c r="AH24" s="1384" t="n">
        <v>65</v>
      </c>
      <c r="AI24" s="1373" t="inlineStr">
        <is>
          <t>Workshop</t>
        </is>
      </c>
    </row>
    <row r="25" ht="15" customHeight="1" s="1232">
      <c r="A25" s="1292" t="n"/>
      <c r="B25" s="1294" t="n"/>
      <c r="C25" s="1294" t="n"/>
      <c r="D25" s="1292" t="n"/>
      <c r="E25" s="1293" t="n"/>
      <c r="F25" s="1294" t="n"/>
      <c r="I25" s="1318" t="inlineStr">
        <is>
          <t>Leads In Progress</t>
        </is>
      </c>
      <c r="J25" s="448">
        <f>SUMIF($C1:E77,I25,$E1:$E55)</f>
        <v/>
      </c>
      <c r="K25" s="558">
        <f>AVERAGE(K17:K22,K14)</f>
        <v/>
      </c>
      <c r="L25" s="558">
        <f>AVERAGE(L17:L22,L14)</f>
        <v/>
      </c>
      <c r="M25" s="558">
        <f>AVERAGE(M17:M22,M14)</f>
        <v/>
      </c>
      <c r="N25" s="558">
        <f>AVERAGE(N17:N22,N14)</f>
        <v/>
      </c>
      <c r="O25" s="558">
        <f>AVERAGE(O17:O22,O14)</f>
        <v/>
      </c>
      <c r="P25" s="558">
        <f>AVERAGE(P17:P22,P14)</f>
        <v/>
      </c>
      <c r="Q25" s="558">
        <f>AVERAGE(Q17:Q22,Q14)</f>
        <v/>
      </c>
      <c r="R25" s="558">
        <f>AVERAGE(R17:R22,R14)</f>
        <v/>
      </c>
      <c r="S25" s="558">
        <f>AVERAGE(S17:S22,S14)</f>
        <v/>
      </c>
      <c r="T25" s="558">
        <f>AVERAGE(T17:T22,T14)</f>
        <v/>
      </c>
      <c r="U25" s="558">
        <f>AVERAGE(U17:U22,U14)</f>
        <v/>
      </c>
      <c r="V25" s="558">
        <f>AVERAGE(V17:V22,V14)</f>
        <v/>
      </c>
      <c r="W25" s="449">
        <f>SUM(K25:V25)</f>
        <v/>
      </c>
      <c r="X25" s="449" t="inlineStr">
        <is>
          <t>Avg</t>
        </is>
      </c>
      <c r="AD25" s="470" t="n">
        <v>42978</v>
      </c>
      <c r="AE25" s="1372" t="inlineStr">
        <is>
          <t>Jieyuan Wu - ELS</t>
        </is>
      </c>
      <c r="AF25" s="1372" t="inlineStr">
        <is>
          <t>20170831-4</t>
        </is>
      </c>
      <c r="AG25" s="472" t="n">
        <v>148222</v>
      </c>
      <c r="AH25" s="1384" t="n">
        <v>200</v>
      </c>
      <c r="AI25" s="1373" t="inlineStr">
        <is>
          <t>5wk Course</t>
        </is>
      </c>
    </row>
    <row r="26" ht="15" customHeight="1" s="1232">
      <c r="A26" s="1292" t="n">
        <v>43605</v>
      </c>
      <c r="B26" s="1294" t="inlineStr">
        <is>
          <t>Grant Harbert</t>
        </is>
      </c>
      <c r="C26" s="1294" t="inlineStr">
        <is>
          <t>Leads In Progress</t>
        </is>
      </c>
      <c r="D26" s="1292" t="n">
        <v>43605</v>
      </c>
      <c r="E26" s="1293" t="n">
        <v>250</v>
      </c>
      <c r="F26" s="1260" t="inlineStr">
        <is>
          <t>Lightroom Course ?</t>
        </is>
      </c>
      <c r="I26" s="1319" t="inlineStr">
        <is>
          <t>Deals Won - Waiting £</t>
        </is>
      </c>
      <c r="J26" s="451">
        <f>SUMIF($C1:E55,I26,$E1:$E55)</f>
        <v/>
      </c>
      <c r="L26" s="449" t="n"/>
      <c r="M26" s="449" t="n"/>
      <c r="N26" s="449" t="n"/>
      <c r="O26" s="449" t="n"/>
      <c r="P26" s="449" t="n"/>
      <c r="Q26" s="449" t="n"/>
      <c r="R26" s="449" t="n"/>
      <c r="S26" s="449" t="n"/>
      <c r="T26" s="449" t="n"/>
      <c r="U26" s="449" t="n"/>
      <c r="V26" s="449" t="n"/>
      <c r="W26" s="449" t="n"/>
      <c r="X26" s="449" t="n"/>
      <c r="AD26" s="470" t="n">
        <v>42978</v>
      </c>
      <c r="AE26" s="1372" t="inlineStr">
        <is>
          <t>Daniel Thomas - ELS</t>
        </is>
      </c>
      <c r="AF26" s="1372" t="inlineStr">
        <is>
          <t>20170831-1</t>
        </is>
      </c>
      <c r="AG26" s="472" t="n">
        <v>148235</v>
      </c>
      <c r="AH26" s="1384" t="n">
        <v>200</v>
      </c>
      <c r="AI26" s="1373" t="inlineStr">
        <is>
          <t>5wk Course</t>
        </is>
      </c>
    </row>
    <row r="27" ht="15.4" customHeight="1" s="1232" thickBot="1">
      <c r="A27" s="1292" t="n"/>
      <c r="B27" s="1294" t="n"/>
      <c r="C27" s="1294" t="n"/>
      <c r="D27" s="1292" t="n"/>
      <c r="E27" s="1293" t="n"/>
      <c r="F27" s="1260" t="n"/>
      <c r="I27" s="1322" t="inlineStr">
        <is>
          <t>Pipeline</t>
        </is>
      </c>
      <c r="J27" s="453">
        <f>SUM(J25:J26)</f>
        <v/>
      </c>
      <c r="K27" s="914" t="n"/>
      <c r="L27" s="914" t="n"/>
      <c r="M27" s="914" t="n"/>
      <c r="N27" s="914" t="n"/>
      <c r="O27" s="914" t="n"/>
      <c r="P27" s="914" t="n"/>
      <c r="Q27" s="914" t="n"/>
      <c r="R27" s="914" t="n"/>
      <c r="S27" s="914" t="n"/>
      <c r="T27" s="914" t="n"/>
      <c r="U27" s="1219" t="inlineStr">
        <is>
          <t>To Date - All Time</t>
        </is>
      </c>
      <c r="V27" s="1220" t="n"/>
      <c r="W27" s="688">
        <f>SUM(W17:W23)+W14</f>
        <v/>
      </c>
      <c r="X27" s="914" t="n"/>
      <c r="AD27" s="470" t="n">
        <v>42978</v>
      </c>
      <c r="AE27" s="1372" t="inlineStr">
        <is>
          <t>Paul Gardiner - ELS</t>
        </is>
      </c>
      <c r="AF27" s="1372" t="inlineStr">
        <is>
          <t>20170831-2</t>
        </is>
      </c>
      <c r="AG27" s="472" t="n">
        <v>148256</v>
      </c>
      <c r="AH27" s="1384" t="n">
        <v>41</v>
      </c>
      <c r="AI27" s="1373" t="inlineStr">
        <is>
          <t>Workshop</t>
        </is>
      </c>
    </row>
    <row r="28" ht="13.9" customHeight="1" s="1232" thickBot="1">
      <c r="A28" s="1292" t="n">
        <v>43772</v>
      </c>
      <c r="B28" s="1294" t="inlineStr">
        <is>
          <t xml:space="preserve">Catherine Walne-Pennington </t>
        </is>
      </c>
      <c r="C28" s="1294" t="inlineStr">
        <is>
          <t>Leads In Progress</t>
        </is>
      </c>
      <c r="D28" s="1292" t="n"/>
      <c r="E28" s="1293" t="n">
        <v>500</v>
      </c>
      <c r="F28" s="1260" t="inlineStr">
        <is>
          <t>2 x Beginners Course</t>
        </is>
      </c>
      <c r="J28" s="914" t="n"/>
      <c r="K28" s="914" t="n"/>
      <c r="L28" s="914" t="n"/>
      <c r="M28" s="914" t="n"/>
      <c r="N28" s="914" t="n"/>
      <c r="O28" s="914" t="n"/>
      <c r="P28" s="914" t="n"/>
      <c r="Q28" s="914" t="n"/>
      <c r="R28" s="914" t="n"/>
      <c r="S28" s="914" t="n"/>
      <c r="T28" s="914" t="n"/>
      <c r="U28" s="1219" t="inlineStr">
        <is>
          <t>Average Per Year</t>
        </is>
      </c>
      <c r="V28" s="1220" t="n"/>
      <c r="W28" s="558">
        <f>W27/7</f>
        <v/>
      </c>
      <c r="X28" s="914" t="n"/>
      <c r="AD28" s="470" t="n">
        <v>42982</v>
      </c>
      <c r="AE28" s="1372" t="inlineStr">
        <is>
          <t>Marius Ciobanu -ELS</t>
        </is>
      </c>
      <c r="AF28" s="1372" t="inlineStr">
        <is>
          <t>20170904-1</t>
        </is>
      </c>
      <c r="AG28" s="472" t="n">
        <v>148035</v>
      </c>
      <c r="AH28" s="1385" t="n">
        <v>200</v>
      </c>
      <c r="AI28" s="1373" t="inlineStr">
        <is>
          <t>5wk Course</t>
        </is>
      </c>
    </row>
    <row r="29" ht="13.9" customHeight="1" s="1232">
      <c r="A29" s="1292" t="n">
        <v>43768</v>
      </c>
      <c r="B29" s="1294" t="inlineStr">
        <is>
          <t>Adrian Platt</t>
        </is>
      </c>
      <c r="C29" s="1294" t="inlineStr">
        <is>
          <t>Leads In Progress</t>
        </is>
      </c>
      <c r="D29" s="1292" t="n"/>
      <c r="E29" s="1293" t="n">
        <v>250</v>
      </c>
      <c r="F29" s="1260" t="inlineStr">
        <is>
          <t>Beginners Course</t>
        </is>
      </c>
      <c r="I29" s="1327" t="inlineStr">
        <is>
          <t>YTD Actual</t>
        </is>
      </c>
      <c r="J29" s="456">
        <f>W14</f>
        <v/>
      </c>
      <c r="K29" s="914">
        <f>SUM(E126:E1300)-J29</f>
        <v/>
      </c>
      <c r="L29" s="914" t="n"/>
      <c r="M29" s="914" t="n"/>
      <c r="N29" s="914" t="n"/>
      <c r="O29" s="914" t="n"/>
      <c r="P29" s="914" t="n"/>
      <c r="Q29" s="914" t="n"/>
      <c r="R29" s="914" t="n"/>
      <c r="S29" s="914" t="n"/>
      <c r="T29" s="914" t="n"/>
      <c r="U29" s="914" t="n"/>
      <c r="V29" s="914" t="n"/>
      <c r="W29" s="914" t="n"/>
      <c r="X29" s="914" t="n"/>
      <c r="AD29" s="470" t="n">
        <v>42998</v>
      </c>
      <c r="AE29" s="1386" t="inlineStr">
        <is>
          <t>Aidan Bodeick</t>
        </is>
      </c>
      <c r="AF29" s="1372" t="inlineStr">
        <is>
          <t>20170920-1</t>
        </is>
      </c>
      <c r="AG29" s="472" t="inlineStr">
        <is>
          <t>149301</t>
        </is>
      </c>
      <c r="AH29" s="1385" t="n">
        <v>200</v>
      </c>
      <c r="AI29" s="1274" t="inlineStr">
        <is>
          <t>5wk Course</t>
        </is>
      </c>
    </row>
    <row r="30" ht="14.25" customHeight="1" s="1232" thickBot="1">
      <c r="A30" s="1292" t="n"/>
      <c r="B30" s="1294" t="n"/>
      <c r="C30" s="1294" t="n"/>
      <c r="D30" s="1292" t="n"/>
      <c r="E30" s="1293" t="n"/>
      <c r="F30" s="1260" t="n"/>
      <c r="I30" s="1328" t="inlineStr">
        <is>
          <t>YTD Var to target</t>
        </is>
      </c>
      <c r="J30" s="458">
        <f>J29-AA14</f>
        <v/>
      </c>
      <c r="K30" s="914" t="n"/>
      <c r="L30" s="914" t="n"/>
      <c r="M30" s="914" t="n"/>
      <c r="N30" s="914" t="n"/>
      <c r="O30" s="914" t="n"/>
      <c r="P30" s="914" t="n"/>
      <c r="Q30" s="914" t="n"/>
      <c r="R30" s="914" t="n"/>
      <c r="S30" s="914" t="n"/>
      <c r="T30" s="914" t="n"/>
      <c r="U30" s="914" t="n"/>
      <c r="V30" s="914" t="n"/>
      <c r="W30" s="914" t="n"/>
      <c r="X30" s="914" t="n"/>
      <c r="AD30" s="470" t="n">
        <v>42998</v>
      </c>
      <c r="AE30" s="1372" t="inlineStr">
        <is>
          <t>Marvin Epton</t>
        </is>
      </c>
      <c r="AF30" s="1372" t="inlineStr">
        <is>
          <t>20170920-2</t>
        </is>
      </c>
      <c r="AG30" s="472" t="inlineStr">
        <is>
          <t>149832</t>
        </is>
      </c>
      <c r="AH30" s="1385" t="n">
        <v>200</v>
      </c>
      <c r="AI30" s="1373" t="inlineStr">
        <is>
          <t>Photo Course</t>
        </is>
      </c>
    </row>
    <row r="31" ht="13.5" customHeight="1" s="1232">
      <c r="A31" s="1292" t="n"/>
      <c r="B31" s="1294" t="n"/>
      <c r="C31" s="1294" t="n"/>
      <c r="E31" s="1293" t="n"/>
      <c r="F31" s="1274" t="n"/>
      <c r="J31" s="914" t="n"/>
      <c r="K31" s="914" t="n"/>
      <c r="L31" s="914" t="n"/>
      <c r="M31" s="914" t="n"/>
      <c r="N31" s="914" t="n"/>
      <c r="O31" s="914" t="n"/>
      <c r="P31" s="914" t="n"/>
      <c r="Q31" s="914" t="n"/>
      <c r="R31" s="914" t="n"/>
      <c r="S31" s="914" t="n"/>
      <c r="T31" s="914" t="n"/>
      <c r="U31" s="914" t="n"/>
      <c r="V31" s="914" t="n"/>
      <c r="W31" s="914" t="n"/>
      <c r="X31" s="914" t="n"/>
      <c r="AD31" s="470" t="n">
        <v>43018</v>
      </c>
      <c r="AE31" s="1373" t="inlineStr">
        <is>
          <t>Robert Graham</t>
        </is>
      </c>
      <c r="AF31" s="1373" t="inlineStr">
        <is>
          <t>20171010-1</t>
        </is>
      </c>
      <c r="AG31" s="1387" t="inlineStr">
        <is>
          <t>151259</t>
        </is>
      </c>
      <c r="AH31" s="1385" t="n">
        <v>200</v>
      </c>
      <c r="AI31" s="1373" t="inlineStr">
        <is>
          <t>5wk Course</t>
        </is>
      </c>
    </row>
    <row r="32" ht="13.5" customHeight="1" s="1232">
      <c r="A32" s="1292" t="n"/>
      <c r="B32" s="1294" t="n"/>
      <c r="C32" s="1294" t="n"/>
      <c r="E32" s="1293" t="n"/>
      <c r="F32" s="1274" t="n"/>
      <c r="J32" s="914" t="n"/>
      <c r="K32" s="914" t="n"/>
      <c r="L32" s="914" t="n"/>
      <c r="M32" s="914" t="n"/>
      <c r="N32" s="914" t="n"/>
      <c r="O32" s="914" t="n"/>
      <c r="P32" s="914" t="n"/>
      <c r="Q32" s="914" t="n"/>
      <c r="R32" s="914" t="n"/>
      <c r="S32" s="914" t="n"/>
      <c r="T32" s="914" t="n"/>
      <c r="U32" s="914" t="n"/>
      <c r="V32" s="914" t="n"/>
      <c r="W32" s="914" t="n"/>
      <c r="X32" s="914" t="n"/>
      <c r="AD32" s="470" t="n">
        <v>43018</v>
      </c>
      <c r="AE32" s="1373" t="inlineStr">
        <is>
          <t>Jonathan McCaughan  ELS</t>
        </is>
      </c>
      <c r="AF32" s="1373" t="inlineStr">
        <is>
          <t>20171010-2</t>
        </is>
      </c>
      <c r="AG32" s="1387" t="n"/>
      <c r="AH32" s="1388" t="n">
        <v>200</v>
      </c>
      <c r="AI32" s="1373" t="inlineStr">
        <is>
          <t>5wk Course</t>
        </is>
      </c>
    </row>
    <row r="33" ht="13.9" customHeight="1" s="1232">
      <c r="A33" s="1292" t="n"/>
      <c r="B33" s="1294" t="n"/>
      <c r="C33" s="1294" t="n"/>
      <c r="D33" s="1292" t="n"/>
      <c r="E33" s="1293" t="n"/>
      <c r="F33" s="1274" t="n"/>
      <c r="G33" s="1374" t="n"/>
      <c r="I33" s="1336" t="inlineStr">
        <is>
          <t>Tuition Categories</t>
        </is>
      </c>
      <c r="J33" s="1330" t="inlineStr">
        <is>
          <t>Variance to 2018</t>
        </is>
      </c>
      <c r="K33" s="1332" t="inlineStr">
        <is>
          <t>Jan</t>
        </is>
      </c>
      <c r="L33" s="1332" t="inlineStr">
        <is>
          <t>Feb</t>
        </is>
      </c>
      <c r="M33" s="1332" t="inlineStr">
        <is>
          <t>Mar</t>
        </is>
      </c>
      <c r="N33" s="1332" t="inlineStr">
        <is>
          <t>Apr</t>
        </is>
      </c>
      <c r="O33" s="1332" t="inlineStr">
        <is>
          <t>May</t>
        </is>
      </c>
      <c r="P33" s="1332" t="inlineStr">
        <is>
          <t>Jun</t>
        </is>
      </c>
      <c r="Q33" s="1332" t="inlineStr">
        <is>
          <t>Jul</t>
        </is>
      </c>
      <c r="R33" s="1332" t="inlineStr">
        <is>
          <t>Aug</t>
        </is>
      </c>
      <c r="S33" s="1332" t="inlineStr">
        <is>
          <t>Sep</t>
        </is>
      </c>
      <c r="T33" s="1332" t="inlineStr">
        <is>
          <t>Oct</t>
        </is>
      </c>
      <c r="U33" s="1332" t="inlineStr">
        <is>
          <t>Nov</t>
        </is>
      </c>
      <c r="V33" s="1332" t="inlineStr">
        <is>
          <t>Dec</t>
        </is>
      </c>
      <c r="W33" s="1278" t="inlineStr">
        <is>
          <t>Year</t>
        </is>
      </c>
      <c r="Y33" s="1280" t="inlineStr">
        <is>
          <t>Var YTD</t>
        </is>
      </c>
      <c r="AD33" s="470" t="n">
        <v>43018</v>
      </c>
      <c r="AE33" s="1373" t="inlineStr">
        <is>
          <t>Shen Xiang -ELS</t>
        </is>
      </c>
      <c r="AF33" s="1373" t="inlineStr">
        <is>
          <t>20171010-3</t>
        </is>
      </c>
      <c r="AG33" s="1387" t="n"/>
      <c r="AH33" s="1385" t="n">
        <v>200</v>
      </c>
      <c r="AI33" s="1373" t="inlineStr">
        <is>
          <t>5wk Course</t>
        </is>
      </c>
    </row>
    <row r="34" ht="13.5" customHeight="1" s="1232">
      <c r="A34" s="1292" t="n"/>
      <c r="B34" s="1294" t="n"/>
      <c r="C34" s="1294" t="n"/>
      <c r="E34" s="1293" t="n"/>
      <c r="F34" s="1274" t="n"/>
      <c r="G34" s="1374" t="n"/>
      <c r="I34" s="1333" t="inlineStr">
        <is>
          <t>1. Courses/masterclasses</t>
        </is>
      </c>
      <c r="J34" s="431" t="n"/>
      <c r="K34" s="432">
        <f>K4-'Sales 2018'!K4</f>
        <v/>
      </c>
      <c r="L34" s="432">
        <f>L4-'Sales 2018'!L4</f>
        <v/>
      </c>
      <c r="M34" s="432">
        <f>M4-'Sales 2018'!M4</f>
        <v/>
      </c>
      <c r="N34" s="432">
        <f>N4-'Sales 2018'!N4</f>
        <v/>
      </c>
      <c r="O34" s="432">
        <f>O4-'Sales 2018'!O4</f>
        <v/>
      </c>
      <c r="P34" s="432">
        <f>P4-'Sales 2018'!P4</f>
        <v/>
      </c>
      <c r="Q34" s="432">
        <f>Q4-'Sales 2018'!Q4</f>
        <v/>
      </c>
      <c r="R34" s="432">
        <f>R4-'Sales 2018'!R4</f>
        <v/>
      </c>
      <c r="S34" s="432">
        <f>S4-'Sales 2018'!S4</f>
        <v/>
      </c>
      <c r="T34" s="432">
        <f>T4-'Sales 2018'!T4</f>
        <v/>
      </c>
      <c r="U34" s="432">
        <f>U4-'Sales 2018'!U4</f>
        <v/>
      </c>
      <c r="V34" s="432">
        <f>V4-'Sales 2018'!V4</f>
        <v/>
      </c>
      <c r="W34" s="788">
        <f>SUM(K34:V34)</f>
        <v/>
      </c>
      <c r="X34" s="445">
        <f>W34/'Sales 2018'!W4</f>
        <v/>
      </c>
      <c r="Y34" s="790">
        <f>SUM(K34:V34)</f>
        <v/>
      </c>
      <c r="Z34" s="445" t="n"/>
      <c r="AD34" s="470" t="n">
        <v>43018</v>
      </c>
      <c r="AE34" s="1255" t="inlineStr">
        <is>
          <t>Seon Chang</t>
        </is>
      </c>
      <c r="AF34" s="1373" t="inlineStr">
        <is>
          <t>20171010-4</t>
        </is>
      </c>
      <c r="AG34" s="1387" t="inlineStr">
        <is>
          <t>149231</t>
        </is>
      </c>
      <c r="AH34" s="1385" t="n">
        <v>200</v>
      </c>
      <c r="AI34" s="1373" t="inlineStr">
        <is>
          <t>5wk Course</t>
        </is>
      </c>
    </row>
    <row r="35">
      <c r="G35" s="1374" t="n"/>
      <c r="I35" s="1333" t="inlineStr">
        <is>
          <t>2. Workshops</t>
        </is>
      </c>
      <c r="J35" s="431" t="n"/>
      <c r="K35" s="432">
        <f>K5-'Sales 2018'!K5</f>
        <v/>
      </c>
      <c r="L35" s="432">
        <f>L5-'Sales 2018'!L5</f>
        <v/>
      </c>
      <c r="M35" s="432">
        <f>M5-'Sales 2018'!M5</f>
        <v/>
      </c>
      <c r="N35" s="432">
        <f>N5-'Sales 2018'!N5</f>
        <v/>
      </c>
      <c r="O35" s="432">
        <f>O5-'Sales 2018'!O5</f>
        <v/>
      </c>
      <c r="P35" s="432">
        <f>P5-'Sales 2018'!P5</f>
        <v/>
      </c>
      <c r="Q35" s="432">
        <f>Q5-'Sales 2018'!Q5</f>
        <v/>
      </c>
      <c r="R35" s="432">
        <f>R5-'Sales 2018'!R5</f>
        <v/>
      </c>
      <c r="S35" s="432">
        <f>S5-'Sales 2018'!S5</f>
        <v/>
      </c>
      <c r="T35" s="432">
        <f>T5-'Sales 2018'!T5</f>
        <v/>
      </c>
      <c r="U35" s="432">
        <f>U5-'Sales 2018'!U5</f>
        <v/>
      </c>
      <c r="V35" s="432">
        <f>V5-'Sales 2018'!V5</f>
        <v/>
      </c>
      <c r="W35" s="788">
        <f>SUM(K35:V35)</f>
        <v/>
      </c>
      <c r="X35" s="445">
        <f>W35/'Sales 2018'!W5</f>
        <v/>
      </c>
      <c r="Y35" s="790">
        <f>SUM(K35:U35)</f>
        <v/>
      </c>
      <c r="Z35" s="445" t="n"/>
      <c r="AD35" s="470" t="n">
        <v>43024</v>
      </c>
      <c r="AE35" s="1255" t="inlineStr">
        <is>
          <t>Ashwyn Dhir</t>
        </is>
      </c>
      <c r="AF35" s="1255" t="inlineStr">
        <is>
          <t>20171016-1</t>
        </is>
      </c>
      <c r="AG35" s="1387" t="inlineStr">
        <is>
          <t>150249</t>
        </is>
      </c>
      <c r="AH35" s="1385" t="n">
        <v>200</v>
      </c>
      <c r="AI35" s="1373" t="inlineStr">
        <is>
          <t>5wk Course</t>
        </is>
      </c>
    </row>
    <row r="36">
      <c r="I36" s="1333" t="inlineStr">
        <is>
          <t>3. Pick n Mix Inc</t>
        </is>
      </c>
      <c r="J36" s="431" t="n"/>
      <c r="K36" s="432">
        <f>K6-'Sales 2018'!K6</f>
        <v/>
      </c>
      <c r="L36" s="432">
        <f>L6-'Sales 2018'!L6</f>
        <v/>
      </c>
      <c r="M36" s="432">
        <f>M6-'Sales 2018'!M6</f>
        <v/>
      </c>
      <c r="N36" s="432">
        <f>N6-'Sales 2018'!N6</f>
        <v/>
      </c>
      <c r="O36" s="432">
        <f>O6-'Sales 2018'!O6</f>
        <v/>
      </c>
      <c r="P36" s="432">
        <f>P6-'Sales 2018'!P6</f>
        <v/>
      </c>
      <c r="Q36" s="432">
        <f>Q6-'Sales 2018'!Q6</f>
        <v/>
      </c>
      <c r="R36" s="432">
        <f>R6-'Sales 2018'!R6</f>
        <v/>
      </c>
      <c r="S36" s="432">
        <f>S6-'Sales 2018'!S6</f>
        <v/>
      </c>
      <c r="T36" s="432">
        <f>T6-'Sales 2018'!T6</f>
        <v/>
      </c>
      <c r="U36" s="432">
        <f>U6-'Sales 2018'!U6</f>
        <v/>
      </c>
      <c r="V36" s="432">
        <f>V6-'Sales 2018'!V6</f>
        <v/>
      </c>
      <c r="W36" s="788">
        <f>SUM(K36:V36)</f>
        <v/>
      </c>
      <c r="X36" s="445">
        <f>W36/'Sales 2018'!W6</f>
        <v/>
      </c>
      <c r="Y36" s="790">
        <f>SUM(K36:U36)</f>
        <v/>
      </c>
      <c r="Z36" s="445" t="n"/>
      <c r="AD36" s="470" t="n">
        <v>43025</v>
      </c>
      <c r="AE36" s="1255" t="inlineStr">
        <is>
          <t xml:space="preserve">Richard Wardle </t>
        </is>
      </c>
      <c r="AF36" s="1255" t="inlineStr">
        <is>
          <t>20171017-1</t>
        </is>
      </c>
      <c r="AH36" s="1385" t="n">
        <v>200</v>
      </c>
      <c r="AI36" s="1255" t="inlineStr">
        <is>
          <t>Intermediates</t>
        </is>
      </c>
    </row>
    <row r="37" ht="13.5" customHeight="1" s="1232">
      <c r="A37" s="1292" t="n">
        <v>43647</v>
      </c>
      <c r="B37" s="1294" t="inlineStr">
        <is>
          <t>Bob Seaman</t>
        </is>
      </c>
      <c r="C37" s="1294" t="inlineStr">
        <is>
          <t>Leads In Progress</t>
        </is>
      </c>
      <c r="E37" s="1293" t="n">
        <v>995</v>
      </c>
      <c r="F37" s="1274" t="inlineStr">
        <is>
          <t>Dingle, Ireland</t>
        </is>
      </c>
      <c r="I37" s="1333" t="inlineStr">
        <is>
          <t>4. Pick n Mix Out</t>
        </is>
      </c>
      <c r="J37" s="431" t="n"/>
      <c r="K37" s="432">
        <f>K7-'Sales 2018'!K7</f>
        <v/>
      </c>
      <c r="L37" s="432">
        <f>L7-'Sales 2018'!L7</f>
        <v/>
      </c>
      <c r="M37" s="432">
        <f>M7-'Sales 2018'!M7</f>
        <v/>
      </c>
      <c r="N37" s="432">
        <f>N7-'Sales 2018'!N7</f>
        <v/>
      </c>
      <c r="O37" s="432">
        <f>O7-'Sales 2018'!O7</f>
        <v/>
      </c>
      <c r="P37" s="432">
        <f>P7-'Sales 2018'!P7</f>
        <v/>
      </c>
      <c r="Q37" s="432">
        <f>Q7-'Sales 2018'!Q7</f>
        <v/>
      </c>
      <c r="R37" s="432">
        <f>R7-'Sales 2018'!R7</f>
        <v/>
      </c>
      <c r="S37" s="432">
        <f>S7-'Sales 2018'!S7</f>
        <v/>
      </c>
      <c r="T37" s="432">
        <f>T7-'Sales 2018'!T7</f>
        <v/>
      </c>
      <c r="U37" s="432">
        <f>U7-'Sales 2018'!U7</f>
        <v/>
      </c>
      <c r="V37" s="432">
        <f>V7-'Sales 2018'!V7</f>
        <v/>
      </c>
      <c r="W37" s="788">
        <f>SUM(K37:V37)</f>
        <v/>
      </c>
      <c r="X37" s="445">
        <f>W37/'Sales 2018'!W7</f>
        <v/>
      </c>
      <c r="Y37" s="790">
        <f>SUM(K37:U37)</f>
        <v/>
      </c>
      <c r="Z37" s="445" t="n"/>
      <c r="AD37" s="470" t="n">
        <v>43027</v>
      </c>
      <c r="AE37" s="1255" t="inlineStr">
        <is>
          <t>Helen Finch</t>
        </is>
      </c>
      <c r="AF37" s="1255" t="inlineStr">
        <is>
          <t>20171019-1</t>
        </is>
      </c>
      <c r="AG37" s="1389" t="inlineStr">
        <is>
          <t>149191</t>
        </is>
      </c>
      <c r="AH37" s="1385" t="n">
        <v>150</v>
      </c>
      <c r="AI37" s="1373" t="inlineStr">
        <is>
          <t>5wk Course</t>
        </is>
      </c>
    </row>
    <row r="38" ht="13.5" customHeight="1" s="1232">
      <c r="A38" s="1292" t="n"/>
      <c r="B38" s="1294" t="n"/>
      <c r="C38" s="1294" t="n"/>
      <c r="E38" s="1293" t="n"/>
      <c r="F38" s="1294" t="n"/>
      <c r="I38" s="1333" t="inlineStr">
        <is>
          <t>5. Mentoring</t>
        </is>
      </c>
      <c r="J38" s="431" t="n"/>
      <c r="K38" s="432">
        <f>K8-'Sales 2018'!K8</f>
        <v/>
      </c>
      <c r="L38" s="432">
        <f>L8-'Sales 2018'!L8</f>
        <v/>
      </c>
      <c r="M38" s="432">
        <f>M8-'Sales 2018'!M8</f>
        <v/>
      </c>
      <c r="N38" s="432">
        <f>N8-'Sales 2018'!N8</f>
        <v/>
      </c>
      <c r="O38" s="432">
        <f>O8-'Sales 2018'!O8</f>
        <v/>
      </c>
      <c r="P38" s="432">
        <f>P8-'Sales 2018'!P8</f>
        <v/>
      </c>
      <c r="Q38" s="432">
        <f>Q8-'Sales 2018'!Q8</f>
        <v/>
      </c>
      <c r="R38" s="432">
        <f>R8-'Sales 2018'!R8</f>
        <v/>
      </c>
      <c r="S38" s="432">
        <f>S8-'Sales 2018'!S8</f>
        <v/>
      </c>
      <c r="T38" s="432">
        <f>T8-'Sales 2018'!T8</f>
        <v/>
      </c>
      <c r="U38" s="432">
        <f>U8-'Sales 2018'!U8</f>
        <v/>
      </c>
      <c r="V38" s="432">
        <f>V8-'Sales 2018'!V8</f>
        <v/>
      </c>
      <c r="W38" s="788">
        <f>SUM(K38:V38)</f>
        <v/>
      </c>
      <c r="X38" s="445">
        <f>W38/'Sales 2018'!W8</f>
        <v/>
      </c>
      <c r="Y38" s="790">
        <f>SUM(K38:U38)</f>
        <v/>
      </c>
      <c r="Z38" s="445" t="n"/>
      <c r="AD38" s="470" t="n"/>
      <c r="AG38" s="1389" t="n"/>
      <c r="AH38" s="1385" t="n"/>
      <c r="AI38" s="1373" t="n"/>
    </row>
    <row r="39" ht="13.5" customHeight="1" s="1232">
      <c r="A39" s="1271" t="n"/>
      <c r="B39" s="1271" t="n"/>
      <c r="C39" s="1271" t="n"/>
      <c r="E39" s="1296" t="n"/>
      <c r="F39" s="1297" t="n"/>
      <c r="I39" s="1334" t="inlineStr">
        <is>
          <t>6. 1-2-1</t>
        </is>
      </c>
      <c r="J39" s="431" t="n"/>
      <c r="K39" s="432">
        <f>K9-'Sales 2018'!K9</f>
        <v/>
      </c>
      <c r="L39" s="432">
        <f>L9-'Sales 2018'!L9</f>
        <v/>
      </c>
      <c r="M39" s="432">
        <f>M9-'Sales 2018'!M9</f>
        <v/>
      </c>
      <c r="N39" s="432">
        <f>N9-'Sales 2018'!N9</f>
        <v/>
      </c>
      <c r="O39" s="432">
        <f>O9-'Sales 2018'!O9</f>
        <v/>
      </c>
      <c r="P39" s="432">
        <f>P9-'Sales 2018'!P9</f>
        <v/>
      </c>
      <c r="Q39" s="432">
        <f>Q9-'Sales 2018'!Q9</f>
        <v/>
      </c>
      <c r="R39" s="432">
        <f>R9-'Sales 2018'!R9</f>
        <v/>
      </c>
      <c r="S39" s="432">
        <f>S9-'Sales 2018'!S9</f>
        <v/>
      </c>
      <c r="T39" s="432">
        <f>T9-'Sales 2018'!T9</f>
        <v/>
      </c>
      <c r="U39" s="432">
        <f>U9-'Sales 2018'!U9</f>
        <v/>
      </c>
      <c r="V39" s="432">
        <f>V9-'Sales 2018'!V9</f>
        <v/>
      </c>
      <c r="W39" s="788">
        <f>SUM(K39:V39)</f>
        <v/>
      </c>
      <c r="X39" s="445">
        <f>W39/'Sales 2018'!W9</f>
        <v/>
      </c>
      <c r="Y39" s="790">
        <f>SUM(K39:U39)</f>
        <v/>
      </c>
      <c r="Z39" s="445" t="n"/>
      <c r="AD39" s="470" t="n">
        <v>43049</v>
      </c>
      <c r="AE39" s="1260" t="inlineStr">
        <is>
          <t>Jodie Child</t>
        </is>
      </c>
      <c r="AF39" s="1260" t="inlineStr">
        <is>
          <t>20171110-1</t>
        </is>
      </c>
      <c r="AG39" s="1282" t="inlineStr">
        <is>
          <t>150680</t>
        </is>
      </c>
      <c r="AH39" s="1385" t="n">
        <v>200</v>
      </c>
      <c r="AI39" s="1373" t="inlineStr">
        <is>
          <t>5wk Course</t>
        </is>
      </c>
    </row>
    <row r="40" ht="13.9" customHeight="1" s="1232" thickBot="1">
      <c r="A40" s="1271" t="n"/>
      <c r="B40" s="1271" t="n"/>
      <c r="C40" s="1271" t="n"/>
      <c r="E40" s="1296" t="n"/>
      <c r="F40" s="1297" t="n"/>
      <c r="I40" s="1334" t="inlineStr">
        <is>
          <t>7. Other</t>
        </is>
      </c>
      <c r="J40" s="431" t="n"/>
      <c r="K40" s="432">
        <f>K13-'Sales 2018'!K10</f>
        <v/>
      </c>
      <c r="L40" s="432">
        <f>L13-'Sales 2018'!L10</f>
        <v/>
      </c>
      <c r="M40" s="432">
        <f>M13-'Sales 2018'!M10</f>
        <v/>
      </c>
      <c r="N40" s="432">
        <f>N13-'Sales 2018'!N10</f>
        <v/>
      </c>
      <c r="O40" s="432">
        <f>O13-'Sales 2018'!O10</f>
        <v/>
      </c>
      <c r="P40" s="432">
        <f>P13-'Sales 2018'!P10</f>
        <v/>
      </c>
      <c r="Q40" s="432">
        <f>Q13-'Sales 2018'!Q10</f>
        <v/>
      </c>
      <c r="R40" s="432">
        <f>R13-'Sales 2018'!R10</f>
        <v/>
      </c>
      <c r="S40" s="432">
        <f>S13-'Sales 2018'!S10</f>
        <v/>
      </c>
      <c r="T40" s="432">
        <f>T13-'Sales 2018'!T10</f>
        <v/>
      </c>
      <c r="U40" s="432">
        <f>U13-'Sales 2018'!U10</f>
        <v/>
      </c>
      <c r="V40" s="432">
        <f>V13-'Sales 2018'!V10</f>
        <v/>
      </c>
      <c r="W40" s="788">
        <f>SUM(K40:V40)</f>
        <v/>
      </c>
      <c r="X40" s="445">
        <f>W40/'Sales 2018'!W10</f>
        <v/>
      </c>
      <c r="Y40" s="790">
        <f>SUM(K40:U40)</f>
        <v/>
      </c>
      <c r="Z40" s="445" t="n"/>
      <c r="AD40" s="470" t="n">
        <v>43054</v>
      </c>
      <c r="AE40" s="1255" t="inlineStr">
        <is>
          <t>Sayed Nazir - ELS</t>
        </is>
      </c>
      <c r="AF40" s="1255" t="inlineStr">
        <is>
          <t>20171115-1</t>
        </is>
      </c>
      <c r="AG40" s="1282" t="inlineStr">
        <is>
          <t>220208</t>
        </is>
      </c>
      <c r="AH40" s="1385" t="n">
        <v>200</v>
      </c>
      <c r="AI40" s="1373" t="inlineStr">
        <is>
          <t>5wk Course</t>
        </is>
      </c>
    </row>
    <row r="41" ht="14.65" customHeight="1" s="1232" thickBot="1" thickTop="1">
      <c r="A41" s="1271" t="n"/>
      <c r="B41" s="1271" t="n"/>
      <c r="C41" s="1271" t="n"/>
      <c r="E41" s="1296" t="n"/>
      <c r="F41" s="1271" t="n"/>
      <c r="I41" s="1335" t="inlineStr">
        <is>
          <t>Totals</t>
        </is>
      </c>
      <c r="J41" s="438" t="n"/>
      <c r="K41" s="587">
        <f>SUM(K34:K40)</f>
        <v/>
      </c>
      <c r="L41" s="587">
        <f>SUM(L34:L40)</f>
        <v/>
      </c>
      <c r="M41" s="587">
        <f>SUM(M34:M40)</f>
        <v/>
      </c>
      <c r="N41" s="587">
        <f>SUM(N34:N40)</f>
        <v/>
      </c>
      <c r="O41" s="587">
        <f>SUM(O34:O40)</f>
        <v/>
      </c>
      <c r="P41" s="587">
        <f>SUM(P34:P40)</f>
        <v/>
      </c>
      <c r="Q41" s="587">
        <f>SUM(Q34:Q40)</f>
        <v/>
      </c>
      <c r="R41" s="587">
        <f>SUM(R34:R40)</f>
        <v/>
      </c>
      <c r="S41" s="587">
        <f>SUM(S34:S40)</f>
        <v/>
      </c>
      <c r="T41" s="587">
        <f>SUM(T34:T40)</f>
        <v/>
      </c>
      <c r="U41" s="587">
        <f>SUM(U34:U40)</f>
        <v/>
      </c>
      <c r="V41" s="587">
        <f>SUM(V34:V40)</f>
        <v/>
      </c>
      <c r="W41" s="789">
        <f>SUM(W34:W40)</f>
        <v/>
      </c>
      <c r="X41" s="445">
        <f>W41/'Sales 2018'!W11</f>
        <v/>
      </c>
      <c r="Y41" s="790">
        <f>SUM(K41:U41)</f>
        <v/>
      </c>
      <c r="Z41" s="445" t="n"/>
      <c r="AD41" s="470" t="n">
        <v>43057</v>
      </c>
      <c r="AE41" s="1260" t="inlineStr">
        <is>
          <t>Jonathan Mee - ELS</t>
        </is>
      </c>
      <c r="AF41" s="1260" t="inlineStr">
        <is>
          <t>20171118-1</t>
        </is>
      </c>
      <c r="AG41" s="1282" t="inlineStr">
        <is>
          <t>149563</t>
        </is>
      </c>
      <c r="AH41" s="1385" t="n">
        <v>135</v>
      </c>
      <c r="AI41" s="1260" t="inlineStr">
        <is>
          <t>TBA</t>
        </is>
      </c>
    </row>
    <row r="42" ht="13.9" customHeight="1" s="1232" thickTop="1">
      <c r="A42" s="1271" t="n"/>
      <c r="B42" s="1271" t="n"/>
      <c r="C42" s="1271" t="n"/>
      <c r="D42" s="1271" t="n"/>
      <c r="E42" s="1296" t="n"/>
      <c r="F42" s="1271" t="n"/>
      <c r="G42" s="1271" t="n"/>
      <c r="AD42" s="470" t="n">
        <v>43066</v>
      </c>
      <c r="AE42" s="1255" t="inlineStr">
        <is>
          <t>Philip Webster -ELS</t>
        </is>
      </c>
      <c r="AF42" s="1255" t="inlineStr">
        <is>
          <t>20171127-1</t>
        </is>
      </c>
      <c r="AG42" s="1282" t="inlineStr">
        <is>
          <t>151809</t>
        </is>
      </c>
      <c r="AH42" s="1385" t="n">
        <v>200</v>
      </c>
      <c r="AI42" s="1282" t="inlineStr">
        <is>
          <t>1-2-1 TBA</t>
        </is>
      </c>
    </row>
    <row r="43" ht="15" customHeight="1" s="1232">
      <c r="A43" s="1271" t="n">
        <v>43862</v>
      </c>
      <c r="B43" s="1271" t="inlineStr">
        <is>
          <t>Anne Watkinson</t>
        </is>
      </c>
      <c r="C43" s="1271" t="inlineStr">
        <is>
          <t>Deals Won - Waiting £</t>
        </is>
      </c>
      <c r="E43" s="1296" t="n">
        <v>795</v>
      </c>
      <c r="F43" s="1297" t="inlineStr">
        <is>
          <t>Dingle Ireland</t>
        </is>
      </c>
      <c r="I43" s="1336" t="inlineStr">
        <is>
          <t>Tuition Categories</t>
        </is>
      </c>
      <c r="J43" s="1330" t="inlineStr">
        <is>
          <t>Units</t>
        </is>
      </c>
      <c r="K43" s="1332" t="inlineStr">
        <is>
          <t>Jan</t>
        </is>
      </c>
      <c r="L43" s="1332" t="inlineStr">
        <is>
          <t>Feb</t>
        </is>
      </c>
      <c r="M43" s="1332" t="inlineStr">
        <is>
          <t>Mar</t>
        </is>
      </c>
      <c r="N43" s="1332" t="inlineStr">
        <is>
          <t>Apr</t>
        </is>
      </c>
      <c r="O43" s="1332" t="inlineStr">
        <is>
          <t>May</t>
        </is>
      </c>
      <c r="P43" s="1332" t="inlineStr">
        <is>
          <t>Jun</t>
        </is>
      </c>
      <c r="Q43" s="1332" t="inlineStr">
        <is>
          <t>Jul</t>
        </is>
      </c>
      <c r="R43" s="1332" t="inlineStr">
        <is>
          <t>Aug</t>
        </is>
      </c>
      <c r="S43" s="1332" t="inlineStr">
        <is>
          <t>Sep</t>
        </is>
      </c>
      <c r="T43" s="1332" t="inlineStr">
        <is>
          <t>Oct</t>
        </is>
      </c>
      <c r="U43" s="1332" t="inlineStr">
        <is>
          <t>Nov</t>
        </is>
      </c>
      <c r="V43" s="1332" t="inlineStr">
        <is>
          <t>Dec</t>
        </is>
      </c>
      <c r="W43" s="1332" t="inlineStr">
        <is>
          <t>Year</t>
        </is>
      </c>
      <c r="AD43" s="470" t="n">
        <v>43066</v>
      </c>
      <c r="AE43" s="1255" t="inlineStr">
        <is>
          <t>James Braithwaite ELS</t>
        </is>
      </c>
      <c r="AF43" s="1255" t="inlineStr">
        <is>
          <t>20171127-2</t>
        </is>
      </c>
      <c r="AG43" s="1282" t="inlineStr">
        <is>
          <t>151176</t>
        </is>
      </c>
      <c r="AH43" s="1385" t="n">
        <v>150</v>
      </c>
      <c r="AI43" s="1260" t="inlineStr">
        <is>
          <t>Hartland Jan</t>
        </is>
      </c>
    </row>
    <row r="44" ht="13.5" customHeight="1" s="1232">
      <c r="A44" s="1271" t="n">
        <v>43787</v>
      </c>
      <c r="B44" s="1271" t="inlineStr">
        <is>
          <t>Adrian Willcock - ELS</t>
        </is>
      </c>
      <c r="C44" s="1271" t="inlineStr">
        <is>
          <t>Deals Won - Waiting £</t>
        </is>
      </c>
      <c r="E44" s="1296" t="n">
        <v>150</v>
      </c>
      <c r="F44" s="1297" t="inlineStr">
        <is>
          <t>TBA - 5wk Course</t>
        </is>
      </c>
      <c r="I44" s="1333" t="inlineStr">
        <is>
          <t>1. Courses/masterclasses</t>
        </is>
      </c>
      <c r="J44" s="431" t="n"/>
      <c r="K44" s="432">
        <f>COUNTIF($C$583:$C$621,$I44)</f>
        <v/>
      </c>
      <c r="L44" s="432">
        <f>COUNTIF($C$536:$C$581,$I44)</f>
        <v/>
      </c>
      <c r="M44" s="432">
        <f>COUNTIF($C$486:$C$533,$I44)</f>
        <v/>
      </c>
      <c r="N44" s="432">
        <f>COUNTIF($C$425:$C$485,$I44)</f>
        <v/>
      </c>
      <c r="O44" s="432">
        <f>COUNTIF($C$389:$C$422,$I44)</f>
        <v/>
      </c>
      <c r="P44" s="432">
        <f>COUNTIF($C$357:$C$387,$I44)</f>
        <v/>
      </c>
      <c r="Q44" s="432">
        <f>COUNTIF($C$318:$C$355,$I44)</f>
        <v/>
      </c>
      <c r="R44" s="432">
        <f>COUNTIF($C$282:$C$316,$I44)</f>
        <v/>
      </c>
      <c r="S44" s="432">
        <f>COUNTIF($C$250:$C$280,$I44)</f>
        <v/>
      </c>
      <c r="T44" s="432">
        <f>COUNTIF($C$227:$C$247,$I44)</f>
        <v/>
      </c>
      <c r="U44" s="432">
        <f>COUNTIF($C$180:$C$225,$I44)</f>
        <v/>
      </c>
      <c r="V44" s="432">
        <f>COUNTIF($C$126:$C$179,$I44)</f>
        <v/>
      </c>
      <c r="W44" s="431">
        <f>SUM(K44:V44)</f>
        <v/>
      </c>
      <c r="AD44" s="470" t="n">
        <v>43066</v>
      </c>
      <c r="AE44" s="1255" t="inlineStr">
        <is>
          <t>Amundep Hothi - ELS</t>
        </is>
      </c>
      <c r="AF44" s="1260" t="inlineStr">
        <is>
          <t>20171127-3</t>
        </is>
      </c>
      <c r="AG44" s="1282" t="inlineStr">
        <is>
          <t>152835</t>
        </is>
      </c>
      <c r="AH44" s="1385" t="n">
        <v>200</v>
      </c>
      <c r="AI44" s="1373" t="inlineStr">
        <is>
          <t>5wk Course</t>
        </is>
      </c>
    </row>
    <row r="45" ht="13.5" customHeight="1" s="1232">
      <c r="A45" s="1271" t="n">
        <v>43787</v>
      </c>
      <c r="B45" s="1271" t="inlineStr">
        <is>
          <t>Adrian Willcock - ELS</t>
        </is>
      </c>
      <c r="C45" s="1271" t="inlineStr">
        <is>
          <t>Deals Won - Waiting £</t>
        </is>
      </c>
      <c r="E45" s="1296" t="n">
        <v>100</v>
      </c>
      <c r="F45" s="1297" t="inlineStr">
        <is>
          <t>TBA - 5wk Course Adrian to Pay</t>
        </is>
      </c>
      <c r="G45" s="1271" t="n"/>
      <c r="I45" s="1333" t="inlineStr">
        <is>
          <t>2. Workshops</t>
        </is>
      </c>
      <c r="J45" s="431" t="n"/>
      <c r="K45" s="432">
        <f>COUNTIF($C$583:$C$621,$I45)</f>
        <v/>
      </c>
      <c r="L45" s="432">
        <f>COUNTIF($C$536:$C$581,$I45)</f>
        <v/>
      </c>
      <c r="M45" s="432">
        <f>COUNTIF($C$486:$C$533,$I45)</f>
        <v/>
      </c>
      <c r="N45" s="432">
        <f>COUNTIF($C$425:$C$485,$I45)</f>
        <v/>
      </c>
      <c r="O45" s="432">
        <f>COUNTIF($C$389:$C$422,$I45)</f>
        <v/>
      </c>
      <c r="P45" s="432">
        <f>COUNTIF($C$357:$C$387,$I45)</f>
        <v/>
      </c>
      <c r="Q45" s="432">
        <f>COUNTIF($C$318:$C$355,$I45)</f>
        <v/>
      </c>
      <c r="R45" s="432">
        <f>COUNTIF($C$282:$C$316,$I45)</f>
        <v/>
      </c>
      <c r="S45" s="432">
        <f>COUNTIF($C$250:$C$280,$I45)</f>
        <v/>
      </c>
      <c r="T45" s="432">
        <f>COUNTIF($C$227:$C$247,$I45)</f>
        <v/>
      </c>
      <c r="U45" s="432">
        <f>COUNTIF($C$180:$C$225,$I45)</f>
        <v/>
      </c>
      <c r="V45" s="432">
        <f>COUNTIF($C$126:$C$179,$I45)</f>
        <v/>
      </c>
      <c r="W45" s="431">
        <f>SUM(K45:V45)</f>
        <v/>
      </c>
      <c r="AD45" s="470" t="n">
        <v>43068</v>
      </c>
      <c r="AE45" s="1255" t="inlineStr">
        <is>
          <t>Preetha Luther - ELS</t>
        </is>
      </c>
      <c r="AF45" s="1255" t="inlineStr">
        <is>
          <t>20171129-1</t>
        </is>
      </c>
      <c r="AG45" s="1282" t="inlineStr">
        <is>
          <t>151289</t>
        </is>
      </c>
      <c r="AH45" s="1385" t="n">
        <v>200</v>
      </c>
      <c r="AI45" s="1260" t="inlineStr">
        <is>
          <t>5wk Course</t>
        </is>
      </c>
    </row>
    <row r="46" ht="13.5" customHeight="1" s="1232">
      <c r="A46" s="1314" t="n"/>
      <c r="B46" s="1314" t="n"/>
      <c r="C46" s="1271" t="n"/>
      <c r="D46" s="1249" t="n"/>
      <c r="E46" s="1398" t="n"/>
      <c r="F46" s="1314" t="n"/>
      <c r="I46" s="1333" t="inlineStr">
        <is>
          <t>3. Pick n Mix Inc</t>
        </is>
      </c>
      <c r="J46" s="431" t="n"/>
      <c r="K46" s="432">
        <f>COUNTIF($C$583:$C$621,$I46)</f>
        <v/>
      </c>
      <c r="L46" s="432">
        <f>COUNTIF($C$536:$C$581,$I46)</f>
        <v/>
      </c>
      <c r="M46" s="432">
        <f>COUNTIF($C$486:$C$533,$I46)</f>
        <v/>
      </c>
      <c r="N46" s="432">
        <f>COUNTIF($C$425:$C$485,$I46)</f>
        <v/>
      </c>
      <c r="O46" s="432">
        <f>COUNTIF($C$389:$C$422,$I46)</f>
        <v/>
      </c>
      <c r="P46" s="432">
        <f>COUNTIF($C$357:$C$387,$I46)</f>
        <v/>
      </c>
      <c r="Q46" s="432">
        <f>COUNTIF($C$318:$C$355,$I46)</f>
        <v/>
      </c>
      <c r="R46" s="432">
        <f>COUNTIF($C$282:$C$316,$I46)</f>
        <v/>
      </c>
      <c r="S46" s="432">
        <f>COUNTIF($C$250:$C$280,$I46)</f>
        <v/>
      </c>
      <c r="T46" s="432">
        <f>COUNTIF($C$227:$C$247,$I46)</f>
        <v/>
      </c>
      <c r="U46" s="432">
        <f>COUNTIF($C$180:$C$225,$I46)</f>
        <v/>
      </c>
      <c r="V46" s="432">
        <f>COUNTIF($C$126:$C$179,$I46)</f>
        <v/>
      </c>
      <c r="W46" s="431">
        <f>SUM(K46:V46)</f>
        <v/>
      </c>
      <c r="AD46" s="470" t="n"/>
      <c r="AG46" s="1282" t="n"/>
      <c r="AI46" s="1260" t="n"/>
    </row>
    <row r="47" ht="13.5" customHeight="1" s="1232">
      <c r="A47" s="1292" t="n"/>
      <c r="B47" s="1294" t="n"/>
      <c r="C47" s="1294" t="n"/>
      <c r="E47" s="1293" t="n"/>
      <c r="F47" s="1294" t="n"/>
      <c r="I47" s="1333" t="inlineStr">
        <is>
          <t>4. Pick n Mix Out</t>
        </is>
      </c>
      <c r="J47" s="431" t="n"/>
      <c r="K47" s="432">
        <f>COUNTIF($C$583:$C$621,$I47)</f>
        <v/>
      </c>
      <c r="L47" s="432">
        <f>COUNTIF($C$536:$C$581,$I47)</f>
        <v/>
      </c>
      <c r="M47" s="432">
        <f>COUNTIF($C$486:$C$533,$I47)</f>
        <v/>
      </c>
      <c r="N47" s="432">
        <f>COUNTIF($C$425:$C$485,$I47)</f>
        <v/>
      </c>
      <c r="O47" s="432">
        <f>COUNTIF($C$389:$C$422,$I47)</f>
        <v/>
      </c>
      <c r="P47" s="432">
        <f>COUNTIF($C$357:$C$387,$I47)</f>
        <v/>
      </c>
      <c r="Q47" s="432">
        <f>COUNTIF($C$318:$C$355,$I47)</f>
        <v/>
      </c>
      <c r="R47" s="432">
        <f>COUNTIF($C$282:$C$316,$I47)</f>
        <v/>
      </c>
      <c r="S47" s="432">
        <f>COUNTIF($C$250:$C$280,$I47)</f>
        <v/>
      </c>
      <c r="T47" s="432">
        <f>COUNTIF($C$227:$C$247,$I47)</f>
        <v/>
      </c>
      <c r="U47" s="432">
        <f>COUNTIF($C$180:$C$225,$I47)</f>
        <v/>
      </c>
      <c r="V47" s="432">
        <f>COUNTIF($C$126:$C$179,$I47)</f>
        <v/>
      </c>
      <c r="W47" s="431">
        <f>SUM(K47:V47)</f>
        <v/>
      </c>
      <c r="AD47" s="548" t="n">
        <v>43069</v>
      </c>
      <c r="AE47" s="1255" t="inlineStr">
        <is>
          <t>Hans Berg - ELS</t>
        </is>
      </c>
      <c r="AF47" s="1255" t="inlineStr">
        <is>
          <t>20171130-2</t>
        </is>
      </c>
      <c r="AG47" s="1282" t="inlineStr">
        <is>
          <t>149779</t>
        </is>
      </c>
      <c r="AH47" s="1385" t="n">
        <v>200</v>
      </c>
      <c r="AI47" s="1260" t="inlineStr">
        <is>
          <t>5wk Course</t>
        </is>
      </c>
    </row>
    <row r="48" ht="13.5" customHeight="1" s="1232">
      <c r="A48" s="1292" t="n"/>
      <c r="B48" s="1294" t="inlineStr">
        <is>
          <t>John Perks</t>
        </is>
      </c>
      <c r="C48" s="1294" t="inlineStr">
        <is>
          <t>Leads In Progress</t>
        </is>
      </c>
      <c r="E48" s="1293">
        <f>395+250</f>
        <v/>
      </c>
      <c r="F48" s="1305" t="inlineStr">
        <is>
          <t>Lightroom and RPS</t>
        </is>
      </c>
      <c r="I48" s="1333" t="inlineStr">
        <is>
          <t>5. Mentoring</t>
        </is>
      </c>
      <c r="J48" s="431" t="n"/>
      <c r="K48" s="432">
        <f>COUNTIF($C$583:$C$621,$I48)</f>
        <v/>
      </c>
      <c r="L48" s="432">
        <f>COUNTIF($C$536:$C$581,$I48)</f>
        <v/>
      </c>
      <c r="M48" s="432">
        <f>COUNTIF($C$486:$C$533,$I48)</f>
        <v/>
      </c>
      <c r="N48" s="432">
        <f>COUNTIF($C$425:$C$485,$I48)</f>
        <v/>
      </c>
      <c r="O48" s="432">
        <f>COUNTIF($C$389:$C$422,$I48)</f>
        <v/>
      </c>
      <c r="P48" s="432">
        <f>COUNTIF($C$357:$C$387,$I48)</f>
        <v/>
      </c>
      <c r="Q48" s="432">
        <f>COUNTIF($C$318:$C$355,$I48)</f>
        <v/>
      </c>
      <c r="R48" s="432">
        <f>COUNTIF($C$282:$C$316,$I48)</f>
        <v/>
      </c>
      <c r="S48" s="432">
        <f>COUNTIF($C$250:$C$280,$I48)</f>
        <v/>
      </c>
      <c r="T48" s="432">
        <f>COUNTIF($C$227:$C$247,$I48)</f>
        <v/>
      </c>
      <c r="U48" s="432">
        <f>COUNTIF($C$180:$C$225,$I48)</f>
        <v/>
      </c>
      <c r="V48" s="432">
        <f>COUNTIF($C$126:$C$179,$I48)</f>
        <v/>
      </c>
      <c r="W48" s="431">
        <f>SUM(K48:V48)</f>
        <v/>
      </c>
      <c r="AD48" s="470" t="n">
        <v>43081</v>
      </c>
      <c r="AE48" s="1255" t="inlineStr">
        <is>
          <t>Scott Bremner</t>
        </is>
      </c>
      <c r="AF48" s="1260" t="inlineStr">
        <is>
          <t>20171212-1</t>
        </is>
      </c>
      <c r="AG48" s="1282" t="inlineStr">
        <is>
          <t>153282</t>
        </is>
      </c>
      <c r="AH48" s="1385" t="n">
        <v>200</v>
      </c>
      <c r="AI48" s="1274" t="inlineStr">
        <is>
          <t>LR Course</t>
        </is>
      </c>
    </row>
    <row r="49" ht="13.5" customHeight="1" s="1232">
      <c r="A49" s="1292" t="n"/>
      <c r="B49" s="1294" t="n"/>
      <c r="C49" s="1294" t="n"/>
      <c r="D49" s="1292" t="n"/>
      <c r="E49" s="1293" t="n"/>
      <c r="F49" s="1305" t="n"/>
      <c r="I49" s="1334" t="inlineStr">
        <is>
          <t>6. 1-2-1</t>
        </is>
      </c>
      <c r="J49" s="431" t="n"/>
      <c r="K49" s="432">
        <f>COUNTIF($C$583:$C$621,$I49)</f>
        <v/>
      </c>
      <c r="L49" s="432">
        <f>COUNTIF($C$536:$C$581,$I49)</f>
        <v/>
      </c>
      <c r="M49" s="432">
        <f>COUNTIF($C$486:$C$533,$I49)</f>
        <v/>
      </c>
      <c r="N49" s="432">
        <f>COUNTIF($C$425:$C$485,$I49)</f>
        <v/>
      </c>
      <c r="O49" s="432">
        <f>COUNTIF($C$389:$C$422,$I49)</f>
        <v/>
      </c>
      <c r="P49" s="432">
        <f>COUNTIF($C$357:$C$387,$I49)</f>
        <v/>
      </c>
      <c r="Q49" s="432">
        <f>COUNTIF($C$318:$C$355,$I49)</f>
        <v/>
      </c>
      <c r="R49" s="432">
        <f>COUNTIF($C$282:$C$316,$I49)</f>
        <v/>
      </c>
      <c r="S49" s="432">
        <f>COUNTIF($C$250:$C$280,$I49)</f>
        <v/>
      </c>
      <c r="T49" s="432">
        <f>COUNTIF($C$227:$C$247,$I49)</f>
        <v/>
      </c>
      <c r="U49" s="432">
        <f>COUNTIF($C$180:$C$225,$I49)</f>
        <v/>
      </c>
      <c r="V49" s="432">
        <f>COUNTIF($C$126:$C$179,$I49)</f>
        <v/>
      </c>
      <c r="W49" s="431">
        <f>SUM(K49:V49)</f>
        <v/>
      </c>
      <c r="AD49" s="470" t="n">
        <v>43090</v>
      </c>
      <c r="AE49" s="1260" t="inlineStr">
        <is>
          <t>Andrew D'Amico</t>
        </is>
      </c>
      <c r="AF49" s="1260" t="inlineStr">
        <is>
          <t>20171221-1</t>
        </is>
      </c>
      <c r="AG49" s="1282" t="inlineStr">
        <is>
          <t>153429</t>
        </is>
      </c>
      <c r="AH49" s="1385" t="n">
        <v>50</v>
      </c>
      <c r="AI49" s="1274" t="inlineStr">
        <is>
          <t>TBA</t>
        </is>
      </c>
    </row>
    <row r="50" ht="13.5" customHeight="1" s="1232">
      <c r="A50" s="1271" t="n"/>
      <c r="B50" s="1271" t="n"/>
      <c r="C50" s="1271" t="n"/>
      <c r="E50" s="1296" t="n"/>
      <c r="F50" s="1297" t="n"/>
      <c r="I50" s="1334" t="inlineStr">
        <is>
          <t>7. Other</t>
        </is>
      </c>
      <c r="J50" s="431" t="n"/>
      <c r="K50" s="432">
        <f>COUNTIF($C$583:$C$621,$I50)</f>
        <v/>
      </c>
      <c r="L50" s="432">
        <f>COUNTIF($C$536:$C$581,$I50)</f>
        <v/>
      </c>
      <c r="M50" s="432">
        <f>COUNTIF($C$486:$C$533,$I50)</f>
        <v/>
      </c>
      <c r="N50" s="432">
        <f>COUNTIF($C$425:$C$485,$I50)</f>
        <v/>
      </c>
      <c r="O50" s="432">
        <f>COUNTIF($C$389:$C$422,$I50)</f>
        <v/>
      </c>
      <c r="P50" s="432">
        <f>COUNTIF($C$357:$C$387,$I50)</f>
        <v/>
      </c>
      <c r="Q50" s="432">
        <f>COUNTIF($C$318:$C$355,$I50)</f>
        <v/>
      </c>
      <c r="R50" s="432">
        <f>COUNTIF($C$282:$C$316,$I50)</f>
        <v/>
      </c>
      <c r="S50" s="432">
        <f>COUNTIF($C$250:$C$280,$I50)</f>
        <v/>
      </c>
      <c r="T50" s="432">
        <f>COUNTIF($C$227:$C$247,$I50)</f>
        <v/>
      </c>
      <c r="U50" s="432">
        <f>COUNTIF($C$180:$C$225,$I50)</f>
        <v/>
      </c>
      <c r="V50" s="432">
        <f>COUNTIF($C$126:$C$179,$I50)</f>
        <v/>
      </c>
      <c r="W50" s="431">
        <f>SUM(K50:V50)</f>
        <v/>
      </c>
      <c r="AD50" s="470" t="n">
        <v>43091</v>
      </c>
      <c r="AE50" s="1260" t="inlineStr">
        <is>
          <t>Ian Blake</t>
        </is>
      </c>
      <c r="AF50" s="1260" t="inlineStr">
        <is>
          <t>20171222-1</t>
        </is>
      </c>
      <c r="AG50" s="1282" t="inlineStr">
        <is>
          <t>153440</t>
        </is>
      </c>
      <c r="AH50" s="1385" t="n">
        <v>200</v>
      </c>
      <c r="AI50" s="1274" t="inlineStr">
        <is>
          <t>Suffolk</t>
        </is>
      </c>
    </row>
    <row r="51" ht="13.9" customHeight="1" s="1232">
      <c r="A51" s="1292" t="n">
        <v>43689</v>
      </c>
      <c r="B51" s="1294" t="inlineStr">
        <is>
          <t>Mo Bradley</t>
        </is>
      </c>
      <c r="C51" s="1294" t="inlineStr">
        <is>
          <t>Leads In Progress</t>
        </is>
      </c>
      <c r="E51" s="1293" t="n">
        <v>995</v>
      </c>
      <c r="F51" s="1305" t="inlineStr">
        <is>
          <t>Dingle Ireland</t>
        </is>
      </c>
      <c r="I51" s="1335" t="inlineStr">
        <is>
          <t>Totals</t>
        </is>
      </c>
      <c r="J51" s="438" t="n"/>
      <c r="K51" s="439">
        <f>SUM(K44:K50)</f>
        <v/>
      </c>
      <c r="L51" s="439">
        <f>SUM(L44:L50)</f>
        <v/>
      </c>
      <c r="M51" s="439">
        <f>SUM(M44:M50)</f>
        <v/>
      </c>
      <c r="N51" s="439">
        <f>SUM(N44:N50)</f>
        <v/>
      </c>
      <c r="O51" s="439">
        <f>SUM(O44:O50)</f>
        <v/>
      </c>
      <c r="P51" s="439">
        <f>SUM(P44:P50)</f>
        <v/>
      </c>
      <c r="Q51" s="439">
        <f>SUM(Q44:Q50)</f>
        <v/>
      </c>
      <c r="R51" s="439">
        <f>SUM(R44:R50)</f>
        <v/>
      </c>
      <c r="S51" s="439">
        <f>SUM(S44:S50)</f>
        <v/>
      </c>
      <c r="T51" s="439">
        <f>SUM(T44:T50)</f>
        <v/>
      </c>
      <c r="U51" s="439">
        <f>SUM(U44:U50)</f>
        <v/>
      </c>
      <c r="V51" s="439">
        <f>SUM(V44:V50)</f>
        <v/>
      </c>
      <c r="W51" s="438">
        <f>SUM(W44:W50)</f>
        <v/>
      </c>
      <c r="AD51" s="470" t="n">
        <v>43109</v>
      </c>
      <c r="AE51" s="1255" t="inlineStr">
        <is>
          <t>Iain Williams</t>
        </is>
      </c>
      <c r="AF51" s="1260" t="inlineStr">
        <is>
          <t>20180109-1</t>
        </is>
      </c>
      <c r="AG51" s="1282" t="inlineStr">
        <is>
          <t>153582</t>
        </is>
      </c>
      <c r="AH51" s="1385" t="n">
        <v>200</v>
      </c>
      <c r="AI51" s="1274" t="inlineStr">
        <is>
          <t>5wk Course</t>
        </is>
      </c>
    </row>
    <row r="52" ht="13.5" customHeight="1" s="1232">
      <c r="A52" s="1292" t="n">
        <v>43686</v>
      </c>
      <c r="B52" s="1294" t="inlineStr">
        <is>
          <t>Gary Kirk &lt;gary.kirk@matherjamie.co.uk&gt;</t>
        </is>
      </c>
      <c r="C52" s="1294" t="inlineStr">
        <is>
          <t>Leads In Progress</t>
        </is>
      </c>
      <c r="E52" s="1293" t="n">
        <v>650</v>
      </c>
      <c r="F52" s="1305" t="inlineStr">
        <is>
          <t>Staff Training</t>
        </is>
      </c>
      <c r="AD52" s="470" t="n">
        <v>43116</v>
      </c>
      <c r="AE52" s="1255" t="inlineStr">
        <is>
          <t>Melissa Dickinson</t>
        </is>
      </c>
      <c r="AF52" s="1260" t="inlineStr">
        <is>
          <t>20180116-1</t>
        </is>
      </c>
      <c r="AG52" s="1282" t="inlineStr">
        <is>
          <t>153774</t>
        </is>
      </c>
      <c r="AH52" s="1385" t="n">
        <v>200</v>
      </c>
      <c r="AI52" s="1274" t="inlineStr">
        <is>
          <t>5wk Course</t>
        </is>
      </c>
    </row>
    <row r="53" ht="13.9" customHeight="1" s="1232">
      <c r="A53" s="1292" t="n"/>
      <c r="B53" s="1294" t="n"/>
      <c r="C53" s="1294" t="n"/>
      <c r="E53" s="1293" t="n"/>
      <c r="F53" s="1305" t="n"/>
      <c r="G53" s="1260" t="n"/>
      <c r="I53" s="1336" t="inlineStr">
        <is>
          <t>Tuition Categories</t>
        </is>
      </c>
      <c r="J53" s="1330" t="inlineStr">
        <is>
          <t>Avg PPU</t>
        </is>
      </c>
      <c r="K53" s="1332" t="inlineStr">
        <is>
          <t>Jan</t>
        </is>
      </c>
      <c r="L53" s="1332" t="inlineStr">
        <is>
          <t>Feb</t>
        </is>
      </c>
      <c r="M53" s="1332" t="inlineStr">
        <is>
          <t>Mar</t>
        </is>
      </c>
      <c r="N53" s="1332" t="inlineStr">
        <is>
          <t>Apr</t>
        </is>
      </c>
      <c r="O53" s="1332" t="inlineStr">
        <is>
          <t>May</t>
        </is>
      </c>
      <c r="P53" s="1332" t="inlineStr">
        <is>
          <t>Jun</t>
        </is>
      </c>
      <c r="Q53" s="1332" t="inlineStr">
        <is>
          <t>Jul</t>
        </is>
      </c>
      <c r="R53" s="1332" t="inlineStr">
        <is>
          <t>Aug</t>
        </is>
      </c>
      <c r="S53" s="1332" t="inlineStr">
        <is>
          <t>Sep</t>
        </is>
      </c>
      <c r="T53" s="1332" t="inlineStr">
        <is>
          <t>Oct</t>
        </is>
      </c>
      <c r="U53" s="1332" t="inlineStr">
        <is>
          <t>Nov</t>
        </is>
      </c>
      <c r="V53" s="1332" t="inlineStr">
        <is>
          <t>Dec</t>
        </is>
      </c>
      <c r="W53" s="1332" t="inlineStr">
        <is>
          <t>Year</t>
        </is>
      </c>
      <c r="AD53" s="470" t="n">
        <v>43129</v>
      </c>
      <c r="AE53" s="1260" t="inlineStr">
        <is>
          <t>Paul Gardiner</t>
        </is>
      </c>
      <c r="AF53" s="1260" t="inlineStr">
        <is>
          <t>201/0129-1</t>
        </is>
      </c>
      <c r="AG53" s="1282" t="inlineStr">
        <is>
          <t>CN</t>
        </is>
      </c>
      <c r="AH53" s="1390" t="n">
        <v>-159</v>
      </c>
      <c r="AI53" s="1373" t="n"/>
    </row>
    <row r="54" ht="13.5" customHeight="1" s="1232">
      <c r="A54" s="1292" t="n"/>
      <c r="B54" s="1294" t="n"/>
      <c r="C54" s="1294" t="n"/>
      <c r="D54" s="1260" t="n"/>
      <c r="E54" s="1270" t="n"/>
      <c r="F54" s="1305" t="n"/>
      <c r="I54" s="1333" t="inlineStr">
        <is>
          <t>1. Courses/masterclasses</t>
        </is>
      </c>
      <c r="J54" s="431" t="n"/>
      <c r="K54" s="432">
        <f>IFERROR(K4/K44,0)</f>
        <v/>
      </c>
      <c r="L54" s="432">
        <f>IFERROR(L4/L44,0)</f>
        <v/>
      </c>
      <c r="M54" s="432">
        <f>IFERROR(M4/M44,0)</f>
        <v/>
      </c>
      <c r="N54" s="432">
        <f>IFERROR(N4/N44,0)</f>
        <v/>
      </c>
      <c r="O54" s="432">
        <f>IFERROR(O4/O44,0)</f>
        <v/>
      </c>
      <c r="P54" s="432">
        <f>IFERROR(P4/P44,0)</f>
        <v/>
      </c>
      <c r="Q54" s="432">
        <f>IFERROR(Q4/Q44,0)</f>
        <v/>
      </c>
      <c r="R54" s="432">
        <f>IFERROR(R4/R44,0)</f>
        <v/>
      </c>
      <c r="S54" s="432">
        <f>IFERROR(S4/S44,0)</f>
        <v/>
      </c>
      <c r="T54" s="432">
        <f>IFERROR(T4/T44,0)</f>
        <v/>
      </c>
      <c r="U54" s="432">
        <f>IFERROR(U4/U44,0)</f>
        <v/>
      </c>
      <c r="V54" s="432">
        <f>IFERROR(V4/V44,0)</f>
        <v/>
      </c>
      <c r="W54" s="431">
        <f>IFERROR(W4/W44,0)</f>
        <v/>
      </c>
      <c r="AD54" s="470" t="n">
        <v>43140</v>
      </c>
      <c r="AE54" s="1260" t="inlineStr">
        <is>
          <t>Daniel Thomas</t>
        </is>
      </c>
      <c r="AF54" s="1255" t="inlineStr">
        <is>
          <t>20180209-1</t>
        </is>
      </c>
      <c r="AG54" s="1282" t="inlineStr">
        <is>
          <t>154267</t>
        </is>
      </c>
      <c r="AH54" s="1385" t="n">
        <v>200</v>
      </c>
      <c r="AI54" s="1260" t="inlineStr">
        <is>
          <t>LR Course</t>
        </is>
      </c>
    </row>
    <row r="55" ht="14.65" customHeight="1" s="1232">
      <c r="A55" s="1292" t="n"/>
      <c r="B55" s="1294" t="n"/>
      <c r="C55" s="1399" t="n"/>
      <c r="E55" s="1293" t="n"/>
      <c r="F55" s="1305" t="n"/>
      <c r="G55" s="1260" t="n"/>
      <c r="I55" s="1333" t="inlineStr">
        <is>
          <t>2. Workshops</t>
        </is>
      </c>
      <c r="J55" s="431" t="n"/>
      <c r="K55" s="432">
        <f>IFERROR(K5/K45,0)</f>
        <v/>
      </c>
      <c r="L55" s="432">
        <f>IFERROR(L5/L45,0)</f>
        <v/>
      </c>
      <c r="M55" s="432">
        <f>IFERROR(M5/M45,0)</f>
        <v/>
      </c>
      <c r="N55" s="432">
        <f>IFERROR(N5/N45,0)</f>
        <v/>
      </c>
      <c r="O55" s="432">
        <f>IFERROR(O5/O45,0)</f>
        <v/>
      </c>
      <c r="P55" s="432">
        <f>IFERROR(P5/P45,0)</f>
        <v/>
      </c>
      <c r="Q55" s="432">
        <f>IFERROR(Q5/Q45,0)</f>
        <v/>
      </c>
      <c r="R55" s="432">
        <f>IFERROR(R5/R45,0)</f>
        <v/>
      </c>
      <c r="S55" s="432">
        <f>IFERROR(S5/S45,0)</f>
        <v/>
      </c>
      <c r="T55" s="432">
        <f>IFERROR(T5/T45,0)</f>
        <v/>
      </c>
      <c r="U55" s="432">
        <f>IFERROR(U5/U45,0)</f>
        <v/>
      </c>
      <c r="V55" s="432">
        <f>IFERROR(V5/V45,0)</f>
        <v/>
      </c>
      <c r="W55" s="431">
        <f>IFERROR(W5/W45,0)</f>
        <v/>
      </c>
      <c r="AD55" s="470" t="n">
        <v>43144</v>
      </c>
      <c r="AE55" s="1255" t="inlineStr">
        <is>
          <t>Aidan Broderick</t>
        </is>
      </c>
      <c r="AF55" s="1255" t="inlineStr">
        <is>
          <t>20180213-1</t>
        </is>
      </c>
      <c r="AG55" s="1282" t="inlineStr">
        <is>
          <t>154338</t>
        </is>
      </c>
      <c r="AH55" s="1385" t="n">
        <v>200</v>
      </c>
      <c r="AI55" s="1260" t="inlineStr">
        <is>
          <t>LR Course</t>
        </is>
      </c>
    </row>
    <row r="56" ht="13.5" customHeight="1" s="1232">
      <c r="A56" s="1292" t="n"/>
      <c r="B56" s="1294" t="n"/>
      <c r="C56" s="1294" t="n"/>
      <c r="D56" s="1292" t="n"/>
      <c r="E56" s="1293" t="n"/>
      <c r="F56" s="1305" t="n"/>
      <c r="I56" s="1333" t="inlineStr">
        <is>
          <t>3. Pick n Mix Inc</t>
        </is>
      </c>
      <c r="J56" s="431" t="n"/>
      <c r="K56" s="432">
        <f>IFERROR(K6/K46,0)</f>
        <v/>
      </c>
      <c r="L56" s="432">
        <f>IFERROR(L6/L46,0)</f>
        <v/>
      </c>
      <c r="M56" s="432">
        <f>IFERROR(M6/M46,0)</f>
        <v/>
      </c>
      <c r="N56" s="432">
        <f>IFERROR(N6/N46,0)</f>
        <v/>
      </c>
      <c r="O56" s="432">
        <f>IFERROR(O6/O46,0)</f>
        <v/>
      </c>
      <c r="P56" s="432">
        <f>IFERROR(P6/P46,0)</f>
        <v/>
      </c>
      <c r="Q56" s="432">
        <f>IFERROR(Q6/Q46,0)</f>
        <v/>
      </c>
      <c r="R56" s="432">
        <f>IFERROR(R6/R46,0)</f>
        <v/>
      </c>
      <c r="S56" s="432">
        <f>IFERROR(S6/S46,0)</f>
        <v/>
      </c>
      <c r="T56" s="432">
        <f>IFERROR(T6/T46,0)</f>
        <v/>
      </c>
      <c r="U56" s="432">
        <f>IFERROR(U6/U46,0)</f>
        <v/>
      </c>
      <c r="V56" s="432">
        <f>IFERROR(V6/V46,0)</f>
        <v/>
      </c>
      <c r="W56" s="431">
        <f>IFERROR(W6/W46,0)</f>
        <v/>
      </c>
      <c r="AD56" s="470" t="n">
        <v>43144</v>
      </c>
      <c r="AE56" s="1255" t="inlineStr">
        <is>
          <t>Sayed Nazir</t>
        </is>
      </c>
      <c r="AF56" s="1260" t="inlineStr">
        <is>
          <t>20180213-2</t>
        </is>
      </c>
      <c r="AG56" s="1282" t="inlineStr">
        <is>
          <t>154336</t>
        </is>
      </c>
      <c r="AH56" s="1385" t="n">
        <v>200</v>
      </c>
      <c r="AI56" s="1260" t="inlineStr">
        <is>
          <t>LR Course</t>
        </is>
      </c>
    </row>
    <row r="57" ht="13.5" customHeight="1" s="1232">
      <c r="A57" s="1271" t="n"/>
      <c r="B57" s="1271" t="n"/>
      <c r="C57" s="1271" t="n"/>
      <c r="E57" s="1296" t="n"/>
      <c r="F57" s="1297" t="n"/>
      <c r="I57" s="1333" t="inlineStr">
        <is>
          <t>4. Pick n Mix Out</t>
        </is>
      </c>
      <c r="J57" s="431" t="n"/>
      <c r="K57" s="432">
        <f>IFERROR(K7/K47,0)</f>
        <v/>
      </c>
      <c r="L57" s="432">
        <f>IFERROR(L7/L47,0)</f>
        <v/>
      </c>
      <c r="M57" s="432">
        <f>IFERROR(M7/M47,0)</f>
        <v/>
      </c>
      <c r="N57" s="432">
        <f>IFERROR(N7/N47,0)</f>
        <v/>
      </c>
      <c r="O57" s="432">
        <f>IFERROR(O7/O47,0)</f>
        <v/>
      </c>
      <c r="P57" s="432">
        <f>IFERROR(P7/P47,0)</f>
        <v/>
      </c>
      <c r="Q57" s="432">
        <f>IFERROR(Q7/Q47,0)</f>
        <v/>
      </c>
      <c r="R57" s="432">
        <f>IFERROR(R7/R47,0)</f>
        <v/>
      </c>
      <c r="S57" s="432">
        <f>IFERROR(S7/S47,0)</f>
        <v/>
      </c>
      <c r="T57" s="432">
        <f>IFERROR(T7/T47,0)</f>
        <v/>
      </c>
      <c r="U57" s="432">
        <f>IFERROR(U7/U47,0)</f>
        <v/>
      </c>
      <c r="V57" s="432">
        <f>IFERROR(V7/V47,0)</f>
        <v/>
      </c>
      <c r="W57" s="431">
        <f>IFERROR(W7/W47,0)</f>
        <v/>
      </c>
      <c r="AD57" s="470" t="n">
        <v>43145</v>
      </c>
      <c r="AE57" s="1255" t="inlineStr">
        <is>
          <t>Ganesh Palani - ELS</t>
        </is>
      </c>
      <c r="AF57" s="1260" t="inlineStr">
        <is>
          <t>20180214-1</t>
        </is>
      </c>
      <c r="AG57" s="1282" t="inlineStr">
        <is>
          <t>154374</t>
        </is>
      </c>
      <c r="AH57" s="1385" t="n">
        <v>200</v>
      </c>
      <c r="AI57" s="1260" t="inlineStr">
        <is>
          <t>5wk Course</t>
        </is>
      </c>
    </row>
    <row r="58" ht="13.5" customHeight="1" s="1232">
      <c r="A58" s="1271" t="n"/>
      <c r="B58" s="1271" t="n"/>
      <c r="C58" s="1271" t="n"/>
      <c r="E58" s="1296" t="n"/>
      <c r="F58" s="1297" t="n"/>
      <c r="I58" s="1333" t="inlineStr">
        <is>
          <t>5. Mentoring</t>
        </is>
      </c>
      <c r="J58" s="431" t="n"/>
      <c r="K58" s="432">
        <f>IFERROR(K8/K48,0)</f>
        <v/>
      </c>
      <c r="L58" s="432">
        <f>IFERROR(L8/L48,0)</f>
        <v/>
      </c>
      <c r="M58" s="432">
        <f>IFERROR(M8/M48,0)</f>
        <v/>
      </c>
      <c r="N58" s="432">
        <f>IFERROR(N8/N48,0)</f>
        <v/>
      </c>
      <c r="O58" s="432">
        <f>IFERROR(O8/O48,0)</f>
        <v/>
      </c>
      <c r="P58" s="432">
        <f>IFERROR(P8/P48,0)</f>
        <v/>
      </c>
      <c r="Q58" s="432">
        <f>IFERROR(Q8/Q48,0)</f>
        <v/>
      </c>
      <c r="R58" s="432">
        <f>IFERROR(R8/R48,0)</f>
        <v/>
      </c>
      <c r="S58" s="432">
        <f>IFERROR(S8/S48,0)</f>
        <v/>
      </c>
      <c r="T58" s="432">
        <f>IFERROR(T8/T48,0)</f>
        <v/>
      </c>
      <c r="U58" s="432">
        <f>IFERROR(U8/U48,0)</f>
        <v/>
      </c>
      <c r="V58" s="432">
        <f>IFERROR(V8/V48,0)</f>
        <v/>
      </c>
      <c r="W58" s="431">
        <f>IFERROR(W8/W48,0)</f>
        <v/>
      </c>
      <c r="AD58" s="470" t="n">
        <v>43151</v>
      </c>
      <c r="AE58" s="1260" t="inlineStr">
        <is>
          <t>Hans Berg</t>
        </is>
      </c>
      <c r="AF58" s="1255" t="inlineStr">
        <is>
          <t>20180220-1</t>
        </is>
      </c>
      <c r="AG58" s="1282" t="inlineStr">
        <is>
          <t>154156</t>
        </is>
      </c>
      <c r="AH58" s="1385" t="n">
        <v>200</v>
      </c>
      <c r="AI58" s="1260" t="inlineStr">
        <is>
          <t>LR Course</t>
        </is>
      </c>
    </row>
    <row r="59" ht="13.5" customHeight="1" s="1232">
      <c r="A59" s="1292" t="n"/>
      <c r="B59" s="1294" t="n"/>
      <c r="C59" s="1294" t="n"/>
      <c r="E59" s="1293" t="n"/>
      <c r="F59" s="1260" t="n"/>
      <c r="I59" s="1334" t="inlineStr">
        <is>
          <t>6. 1-2-1</t>
        </is>
      </c>
      <c r="J59" s="431" t="n"/>
      <c r="K59" s="432">
        <f>IFERROR(K9/K49,0)</f>
        <v/>
      </c>
      <c r="L59" s="432">
        <f>IFERROR(L9/L49,0)</f>
        <v/>
      </c>
      <c r="M59" s="432">
        <f>IFERROR(M9/M49,0)</f>
        <v/>
      </c>
      <c r="N59" s="432">
        <f>IFERROR(N9/N49,0)</f>
        <v/>
      </c>
      <c r="O59" s="432">
        <f>IFERROR(O9/O49,0)</f>
        <v/>
      </c>
      <c r="P59" s="432">
        <f>IFERROR(P9/P49,0)</f>
        <v/>
      </c>
      <c r="Q59" s="432">
        <f>IFERROR(Q9/Q49,0)</f>
        <v/>
      </c>
      <c r="R59" s="432">
        <f>IFERROR(R9/R49,0)</f>
        <v/>
      </c>
      <c r="S59" s="432">
        <f>IFERROR(S9/S49,0)</f>
        <v/>
      </c>
      <c r="T59" s="432">
        <f>IFERROR(T9/T49,0)</f>
        <v/>
      </c>
      <c r="U59" s="432">
        <f>IFERROR(U9/U49,0)</f>
        <v/>
      </c>
      <c r="V59" s="432">
        <f>IFERROR(V9/V49,0)</f>
        <v/>
      </c>
      <c r="W59" s="431">
        <f>IFERROR(W9/W49,0)</f>
        <v/>
      </c>
      <c r="AD59" s="470" t="n">
        <v>43152</v>
      </c>
      <c r="AE59" s="1260" t="inlineStr">
        <is>
          <t>Helen Finch</t>
        </is>
      </c>
      <c r="AF59" s="1255" t="inlineStr">
        <is>
          <t>20180221-1</t>
        </is>
      </c>
      <c r="AG59" s="1282" t="inlineStr">
        <is>
          <t>154416</t>
        </is>
      </c>
      <c r="AH59" s="1385" t="n">
        <v>200</v>
      </c>
      <c r="AI59" s="1260" t="inlineStr">
        <is>
          <t>LR Course</t>
        </is>
      </c>
    </row>
    <row r="60">
      <c r="I60" s="1334" t="inlineStr">
        <is>
          <t>7. Other</t>
        </is>
      </c>
      <c r="J60" s="431" t="n"/>
      <c r="K60" s="432">
        <f>IFERROR(K13/K50,0)</f>
        <v/>
      </c>
      <c r="L60" s="432">
        <f>IFERROR(L13/L50,0)</f>
        <v/>
      </c>
      <c r="M60" s="432">
        <f>IFERROR(M13/M50,0)</f>
        <v/>
      </c>
      <c r="N60" s="432">
        <f>IFERROR(N13/N50,0)</f>
        <v/>
      </c>
      <c r="O60" s="432">
        <f>IFERROR(O13/O50,0)</f>
        <v/>
      </c>
      <c r="P60" s="432">
        <f>IFERROR(P13/P50,0)</f>
        <v/>
      </c>
      <c r="Q60" s="432">
        <f>IFERROR(Q13/Q50,0)</f>
        <v/>
      </c>
      <c r="R60" s="432">
        <f>IFERROR(R13/R50,0)</f>
        <v/>
      </c>
      <c r="S60" s="432">
        <f>IFERROR(S13/S50,0)</f>
        <v/>
      </c>
      <c r="T60" s="432">
        <f>IFERROR(T13/T50,0)</f>
        <v/>
      </c>
      <c r="U60" s="432">
        <f>IFERROR(U13/U50,0)</f>
        <v/>
      </c>
      <c r="V60" s="432">
        <f>IFERROR(V13/V50,0)</f>
        <v/>
      </c>
      <c r="W60" s="431">
        <f>IFERROR(W13/W50,0)</f>
        <v/>
      </c>
      <c r="AD60" s="470" t="n">
        <v>43152</v>
      </c>
      <c r="AE60" s="1255" t="inlineStr">
        <is>
          <t>Arjun Rawat - ELS</t>
        </is>
      </c>
      <c r="AF60" s="1255" t="inlineStr">
        <is>
          <t>20180221-2</t>
        </is>
      </c>
      <c r="AG60" s="1282" t="inlineStr">
        <is>
          <t>154510</t>
        </is>
      </c>
      <c r="AH60" s="1385" t="n">
        <v>200</v>
      </c>
      <c r="AI60" s="1260" t="inlineStr">
        <is>
          <t>5wk Course</t>
        </is>
      </c>
    </row>
    <row r="61" ht="13.9" customHeight="1" s="1232">
      <c r="A61" s="1292" t="n"/>
      <c r="B61" s="1294" t="n"/>
      <c r="C61" s="1294" t="n"/>
      <c r="E61" s="1293" t="n"/>
      <c r="I61" s="1335" t="inlineStr">
        <is>
          <t>Totals</t>
        </is>
      </c>
      <c r="J61" s="438" t="n"/>
      <c r="K61" s="554">
        <f>IFERROR(K14/K51,0)</f>
        <v/>
      </c>
      <c r="L61" s="554">
        <f>IFERROR(L14/L51,0)</f>
        <v/>
      </c>
      <c r="M61" s="554">
        <f>IFERROR(M14/M51,0)</f>
        <v/>
      </c>
      <c r="N61" s="554">
        <f>IFERROR(N14/N51,0)</f>
        <v/>
      </c>
      <c r="O61" s="554">
        <f>IFERROR(O14/O51,0)</f>
        <v/>
      </c>
      <c r="P61" s="554">
        <f>IFERROR(P14/P51,0)</f>
        <v/>
      </c>
      <c r="Q61" s="554">
        <f>IFERROR(Q14/Q51,0)</f>
        <v/>
      </c>
      <c r="R61" s="554">
        <f>IFERROR(R14/R51,0)</f>
        <v/>
      </c>
      <c r="S61" s="554">
        <f>IFERROR(S14/S51,0)</f>
        <v/>
      </c>
      <c r="T61" s="554">
        <f>IFERROR(T14/T51,0)</f>
        <v/>
      </c>
      <c r="U61" s="554">
        <f>IFERROR(U14/U51,0)</f>
        <v/>
      </c>
      <c r="V61" s="554">
        <f>IFERROR(V14/V51,0)</f>
        <v/>
      </c>
      <c r="W61" s="438">
        <f>IFERROR(W14/W51,0)</f>
        <v/>
      </c>
      <c r="AD61" s="470" t="n">
        <v>43167</v>
      </c>
      <c r="AE61" s="1255" t="inlineStr">
        <is>
          <t>Helen Fawcett</t>
        </is>
      </c>
      <c r="AF61" s="1260" t="inlineStr">
        <is>
          <t>20180308-1</t>
        </is>
      </c>
      <c r="AG61" s="1282" t="inlineStr">
        <is>
          <t>154622</t>
        </is>
      </c>
      <c r="AH61" s="1385" t="n">
        <v>30</v>
      </c>
      <c r="AI61" s="1260" t="inlineStr">
        <is>
          <t>Intro Class</t>
        </is>
      </c>
    </row>
    <row r="62">
      <c r="AD62" s="470" t="n">
        <v>43190</v>
      </c>
      <c r="AE62" s="1260" t="inlineStr">
        <is>
          <t>Fances Pike</t>
        </is>
      </c>
      <c r="AF62" s="1260" t="inlineStr">
        <is>
          <t>20180331-1</t>
        </is>
      </c>
      <c r="AG62" s="1282" t="inlineStr">
        <is>
          <t>155146</t>
        </is>
      </c>
      <c r="AH62" s="1385" t="n">
        <v>125</v>
      </c>
      <c r="AI62" s="1260" t="inlineStr">
        <is>
          <t>Bluebell Worksh0p</t>
        </is>
      </c>
    </row>
    <row r="63">
      <c r="AD63" s="470" t="n">
        <v>43249</v>
      </c>
      <c r="AE63" s="1260" t="inlineStr">
        <is>
          <t>Steve Paling</t>
        </is>
      </c>
      <c r="AF63" s="1255" t="inlineStr">
        <is>
          <t>20180529-1</t>
        </is>
      </c>
      <c r="AG63" s="1282" t="inlineStr">
        <is>
          <t>155975</t>
        </is>
      </c>
      <c r="AH63" s="1385" t="n">
        <v>200</v>
      </c>
      <c r="AI63" s="1260" t="inlineStr">
        <is>
          <t>4wk Extended</t>
        </is>
      </c>
    </row>
    <row r="64" ht="13.15" customHeight="1" s="1232">
      <c r="I64" s="1336" t="inlineStr">
        <is>
          <t>Tuition Categories</t>
        </is>
      </c>
      <c r="J64" s="1330" t="inlineStr">
        <is>
          <t>GP Target</t>
        </is>
      </c>
      <c r="K64" s="1332" t="inlineStr">
        <is>
          <t>Jan</t>
        </is>
      </c>
      <c r="L64" s="1332" t="inlineStr">
        <is>
          <t>Feb</t>
        </is>
      </c>
      <c r="M64" s="1332" t="inlineStr">
        <is>
          <t>Mar</t>
        </is>
      </c>
      <c r="N64" s="1332" t="inlineStr">
        <is>
          <t>Apr</t>
        </is>
      </c>
      <c r="O64" s="1332" t="inlineStr">
        <is>
          <t>May</t>
        </is>
      </c>
      <c r="P64" s="1332" t="inlineStr">
        <is>
          <t>Jun</t>
        </is>
      </c>
      <c r="Q64" s="1332" t="inlineStr">
        <is>
          <t>Jul</t>
        </is>
      </c>
      <c r="R64" s="1332" t="inlineStr">
        <is>
          <t>Aug</t>
        </is>
      </c>
      <c r="S64" s="1332" t="inlineStr">
        <is>
          <t>Sep</t>
        </is>
      </c>
      <c r="T64" s="1332" t="inlineStr">
        <is>
          <t>Oct</t>
        </is>
      </c>
      <c r="U64" s="1332" t="inlineStr">
        <is>
          <t>Nov</t>
        </is>
      </c>
      <c r="V64" s="1332" t="inlineStr">
        <is>
          <t>Dec</t>
        </is>
      </c>
      <c r="W64" s="1332" t="inlineStr">
        <is>
          <t>Year</t>
        </is>
      </c>
      <c r="X64" s="1273" t="inlineStr">
        <is>
          <t>GP %</t>
        </is>
      </c>
      <c r="Y64" s="1383" t="inlineStr">
        <is>
          <t>YTD Targ</t>
        </is>
      </c>
      <c r="Z64" s="1383" t="inlineStr">
        <is>
          <t>Var YTD</t>
        </is>
      </c>
      <c r="AD64" s="470" t="n">
        <v>43343</v>
      </c>
      <c r="AE64" s="1260" t="inlineStr">
        <is>
          <t>Philip Webester</t>
        </is>
      </c>
      <c r="AF64" s="1255" t="inlineStr">
        <is>
          <t>20180831-1</t>
        </is>
      </c>
      <c r="AG64" s="1282" t="inlineStr">
        <is>
          <t>158831</t>
        </is>
      </c>
      <c r="AH64" s="1385" t="n">
        <v>200</v>
      </c>
      <c r="AI64" s="1260" t="inlineStr">
        <is>
          <t>Workshops</t>
        </is>
      </c>
    </row>
    <row r="65">
      <c r="I65" s="1333" t="inlineStr">
        <is>
          <t>1. Courses/masterclasses</t>
        </is>
      </c>
      <c r="J65" s="432">
        <f>J4*60%</f>
        <v/>
      </c>
      <c r="K65" s="432">
        <f>K4*60%</f>
        <v/>
      </c>
      <c r="L65" s="432">
        <f>L4*60%</f>
        <v/>
      </c>
      <c r="M65" s="432">
        <f>M4*60%</f>
        <v/>
      </c>
      <c r="N65" s="432">
        <f>N4*60%</f>
        <v/>
      </c>
      <c r="O65" s="432">
        <f>O4*60%</f>
        <v/>
      </c>
      <c r="P65" s="432">
        <f>P4*60%</f>
        <v/>
      </c>
      <c r="Q65" s="432">
        <f>Q4*60%</f>
        <v/>
      </c>
      <c r="R65" s="432">
        <f>R4*60%</f>
        <v/>
      </c>
      <c r="S65" s="432">
        <f>S4*60%</f>
        <v/>
      </c>
      <c r="T65" s="432">
        <f>T4*60%</f>
        <v/>
      </c>
      <c r="U65" s="432">
        <f>U4*60%</f>
        <v/>
      </c>
      <c r="V65" s="432">
        <f>V4*60%</f>
        <v/>
      </c>
      <c r="W65" s="431">
        <f>SUM(K65:V65)</f>
        <v/>
      </c>
      <c r="X65" s="445">
        <f>IFERROR(W65/W4,0)</f>
        <v/>
      </c>
      <c r="Y65" s="558">
        <f>J65*12</f>
        <v/>
      </c>
      <c r="Z65" s="434">
        <f>W65-Y65</f>
        <v/>
      </c>
      <c r="AD65" s="470" t="n">
        <v>43392</v>
      </c>
      <c r="AE65" s="1260" t="inlineStr">
        <is>
          <t>Dave McGuire</t>
        </is>
      </c>
      <c r="AF65" s="1255" t="inlineStr">
        <is>
          <t>201801019-1</t>
        </is>
      </c>
      <c r="AG65" s="1282" t="inlineStr">
        <is>
          <t>160273</t>
        </is>
      </c>
      <c r="AH65" s="1385" t="n">
        <v>200</v>
      </c>
      <c r="AI65" s="1260" t="inlineStr">
        <is>
          <t>Course</t>
        </is>
      </c>
    </row>
    <row r="66">
      <c r="I66" s="1333" t="inlineStr">
        <is>
          <t>2. Workshops</t>
        </is>
      </c>
      <c r="J66" s="432">
        <f>J5*45%</f>
        <v/>
      </c>
      <c r="K66" s="432">
        <f>K5*60%</f>
        <v/>
      </c>
      <c r="L66" s="432">
        <f>L5*60%</f>
        <v/>
      </c>
      <c r="M66" s="432">
        <f>M5*60%</f>
        <v/>
      </c>
      <c r="N66" s="432">
        <f>N5*60%</f>
        <v/>
      </c>
      <c r="O66" s="432">
        <f>O5*60%</f>
        <v/>
      </c>
      <c r="P66" s="432">
        <f>P5*60%</f>
        <v/>
      </c>
      <c r="Q66" s="432">
        <f>Q5*60%</f>
        <v/>
      </c>
      <c r="R66" s="432">
        <f>R5*60%</f>
        <v/>
      </c>
      <c r="S66" s="432">
        <f>S5*60%</f>
        <v/>
      </c>
      <c r="T66" s="432">
        <f>T5*60%</f>
        <v/>
      </c>
      <c r="U66" s="432">
        <f>U5*60%</f>
        <v/>
      </c>
      <c r="V66" s="432">
        <f>V5*60%</f>
        <v/>
      </c>
      <c r="W66" s="431">
        <f>SUM(K66:V66)</f>
        <v/>
      </c>
      <c r="X66" s="445">
        <f>IFERROR(W66/W5,0)</f>
        <v/>
      </c>
      <c r="Y66" s="558">
        <f>J66*12</f>
        <v/>
      </c>
      <c r="Z66" s="434">
        <f>W66-Y66</f>
        <v/>
      </c>
      <c r="AD66" s="470" t="n">
        <v>43424</v>
      </c>
      <c r="AE66" s="1260" t="inlineStr">
        <is>
          <t>Helen Finch/Sotheran</t>
        </is>
      </c>
      <c r="AF66" s="1255" t="inlineStr">
        <is>
          <t>20181120-1</t>
        </is>
      </c>
      <c r="AG66" s="1282" t="inlineStr">
        <is>
          <t>163853</t>
        </is>
      </c>
      <c r="AH66" s="1385" t="n">
        <v>250</v>
      </c>
      <c r="AI66" s="1260" t="inlineStr">
        <is>
          <t>Lvl 2 Photo Soli</t>
        </is>
      </c>
    </row>
    <row r="67">
      <c r="I67" s="1333" t="inlineStr">
        <is>
          <t>3. Pick n Mix Inc</t>
        </is>
      </c>
      <c r="J67" s="432">
        <f>J6*40%</f>
        <v/>
      </c>
      <c r="K67" s="432">
        <f>K6*60%</f>
        <v/>
      </c>
      <c r="L67" s="432">
        <f>L6*60%</f>
        <v/>
      </c>
      <c r="M67" s="432">
        <f>M6*60%</f>
        <v/>
      </c>
      <c r="N67" s="432">
        <f>N6*60%</f>
        <v/>
      </c>
      <c r="O67" s="432">
        <f>O6*60%</f>
        <v/>
      </c>
      <c r="P67" s="432">
        <f>P6*60%</f>
        <v/>
      </c>
      <c r="Q67" s="432">
        <f>Q6*60%</f>
        <v/>
      </c>
      <c r="R67" s="432">
        <f>R6*60%</f>
        <v/>
      </c>
      <c r="S67" s="432">
        <f>S6*60%</f>
        <v/>
      </c>
      <c r="T67" s="432">
        <f>T6*60%</f>
        <v/>
      </c>
      <c r="U67" s="432">
        <f>U6*60%</f>
        <v/>
      </c>
      <c r="V67" s="432">
        <f>V6*60%</f>
        <v/>
      </c>
      <c r="W67" s="431">
        <f>SUM(K67:V67)</f>
        <v/>
      </c>
      <c r="X67" s="445">
        <f>IFERROR(W67/W7,0)</f>
        <v/>
      </c>
      <c r="Y67" s="558">
        <f>J67*12</f>
        <v/>
      </c>
      <c r="Z67" s="434">
        <f>W67-Y67</f>
        <v/>
      </c>
      <c r="AD67" s="470" t="n">
        <v>43438</v>
      </c>
      <c r="AE67" s="1255" t="inlineStr">
        <is>
          <t>Harkesh Mehmi</t>
        </is>
      </c>
      <c r="AF67" s="1255" t="inlineStr">
        <is>
          <t>20181204-1</t>
        </is>
      </c>
      <c r="AG67" s="1282" t="inlineStr">
        <is>
          <t>161118</t>
        </is>
      </c>
      <c r="AH67" s="1255" t="n">
        <v>200</v>
      </c>
      <c r="AI67" s="1260" t="inlineStr">
        <is>
          <t>TBC</t>
        </is>
      </c>
    </row>
    <row r="68">
      <c r="I68" s="1333" t="inlineStr">
        <is>
          <t>4. Pick n Mix Out</t>
        </is>
      </c>
      <c r="J68" s="432" t="n"/>
      <c r="K68" s="432">
        <f>K7*60%</f>
        <v/>
      </c>
      <c r="L68" s="432">
        <f>L7*60%</f>
        <v/>
      </c>
      <c r="M68" s="432">
        <f>M7*60%</f>
        <v/>
      </c>
      <c r="N68" s="432">
        <f>N7*60%</f>
        <v/>
      </c>
      <c r="O68" s="432">
        <f>O7*60%</f>
        <v/>
      </c>
      <c r="P68" s="432">
        <f>P7*60%</f>
        <v/>
      </c>
      <c r="Q68" s="432">
        <f>Q7*60%</f>
        <v/>
      </c>
      <c r="R68" s="432">
        <f>R7*60%</f>
        <v/>
      </c>
      <c r="S68" s="432">
        <f>S7*60%</f>
        <v/>
      </c>
      <c r="T68" s="432">
        <f>T7*60%</f>
        <v/>
      </c>
      <c r="U68" s="432">
        <f>U7*60%</f>
        <v/>
      </c>
      <c r="V68" s="432">
        <f>V7*60%</f>
        <v/>
      </c>
      <c r="W68" s="431">
        <f>SUM(K68:V68)</f>
        <v/>
      </c>
      <c r="X68" s="445" t="n"/>
      <c r="Y68" s="558" t="n"/>
      <c r="Z68" s="434" t="n"/>
      <c r="AD68" s="470" t="n">
        <v>43507</v>
      </c>
      <c r="AE68" s="1255" t="inlineStr">
        <is>
          <t>Paul Millington</t>
        </is>
      </c>
      <c r="AF68" s="1260" t="inlineStr">
        <is>
          <t>20190211-1</t>
        </is>
      </c>
      <c r="AG68" s="1282" t="inlineStr">
        <is>
          <t>165649</t>
        </is>
      </c>
      <c r="AH68" s="1385" t="n">
        <v>250</v>
      </c>
      <c r="AI68" s="1260" t="inlineStr">
        <is>
          <t>4wk Beginners Course</t>
        </is>
      </c>
    </row>
    <row r="69">
      <c r="I69" s="1333" t="inlineStr">
        <is>
          <t>5. Mentoring</t>
        </is>
      </c>
      <c r="J69" s="432">
        <f>J8*75%</f>
        <v/>
      </c>
      <c r="K69" s="432">
        <f>K8*60%</f>
        <v/>
      </c>
      <c r="L69" s="432">
        <f>L8*60%</f>
        <v/>
      </c>
      <c r="M69" s="432">
        <f>M8*60%</f>
        <v/>
      </c>
      <c r="N69" s="432">
        <f>N8*60%</f>
        <v/>
      </c>
      <c r="O69" s="432">
        <f>O8*60%</f>
        <v/>
      </c>
      <c r="P69" s="432">
        <f>P8*60%</f>
        <v/>
      </c>
      <c r="Q69" s="432">
        <f>Q8*60%</f>
        <v/>
      </c>
      <c r="R69" s="432">
        <f>R8*60%</f>
        <v/>
      </c>
      <c r="S69" s="432">
        <f>S8*60%</f>
        <v/>
      </c>
      <c r="T69" s="432">
        <f>T8*60%</f>
        <v/>
      </c>
      <c r="U69" s="432">
        <f>U8*60%</f>
        <v/>
      </c>
      <c r="V69" s="432">
        <f>V8*60%</f>
        <v/>
      </c>
      <c r="W69" s="431">
        <f>SUM(K69:V69)</f>
        <v/>
      </c>
      <c r="X69" s="445">
        <f>IFERROR(W69/W8,0)</f>
        <v/>
      </c>
      <c r="Y69" s="558">
        <f>J69*12</f>
        <v/>
      </c>
      <c r="Z69" s="434">
        <f>W69-Y69</f>
        <v/>
      </c>
      <c r="AD69" s="470" t="n">
        <v>43560</v>
      </c>
      <c r="AE69" s="1255" t="inlineStr">
        <is>
          <t>Harkesh Mehmi</t>
        </is>
      </c>
      <c r="AF69" s="1260" t="inlineStr">
        <is>
          <t>20190405-1</t>
        </is>
      </c>
      <c r="AG69" s="1260" t="inlineStr">
        <is>
          <t>CN</t>
        </is>
      </c>
      <c r="AH69" s="1390" t="n">
        <v>-159</v>
      </c>
    </row>
    <row r="70">
      <c r="I70" s="1334" t="inlineStr">
        <is>
          <t>6. 1-2-1</t>
        </is>
      </c>
      <c r="J70" s="432">
        <f>J9*75%</f>
        <v/>
      </c>
      <c r="K70" s="432">
        <f>K9*60%</f>
        <v/>
      </c>
      <c r="L70" s="432">
        <f>L9*60%</f>
        <v/>
      </c>
      <c r="M70" s="432">
        <f>M9*60%</f>
        <v/>
      </c>
      <c r="N70" s="432">
        <f>N9*60%</f>
        <v/>
      </c>
      <c r="O70" s="432">
        <f>O9*60%</f>
        <v/>
      </c>
      <c r="P70" s="432">
        <f>P9*60%</f>
        <v/>
      </c>
      <c r="Q70" s="432">
        <f>Q9*60%</f>
        <v/>
      </c>
      <c r="R70" s="432">
        <f>R9*60%</f>
        <v/>
      </c>
      <c r="S70" s="432">
        <f>S9*60%</f>
        <v/>
      </c>
      <c r="T70" s="432">
        <f>T9*60%</f>
        <v/>
      </c>
      <c r="U70" s="432">
        <f>U9*60%</f>
        <v/>
      </c>
      <c r="V70" s="432">
        <f>V9*60%</f>
        <v/>
      </c>
      <c r="W70" s="431">
        <f>SUM(K70:V70)</f>
        <v/>
      </c>
      <c r="X70" s="445">
        <f>IFERROR(W70/W9,0)</f>
        <v/>
      </c>
      <c r="Y70" s="558">
        <f>J70*12</f>
        <v/>
      </c>
      <c r="Z70" s="434">
        <f>W70-Y70</f>
        <v/>
      </c>
      <c r="AD70" s="470" t="n">
        <v>43592</v>
      </c>
      <c r="AE70" s="1260" t="inlineStr">
        <is>
          <t>Ian Blake</t>
        </is>
      </c>
      <c r="AF70" s="1260" t="inlineStr">
        <is>
          <t>20190507-1</t>
        </is>
      </c>
      <c r="AG70" s="1282" t="inlineStr">
        <is>
          <t>167527</t>
        </is>
      </c>
      <c r="AH70" s="1385" t="n">
        <v>75</v>
      </c>
      <c r="AI70" s="1260" t="inlineStr">
        <is>
          <t>Fairy Glen</t>
        </is>
      </c>
    </row>
    <row r="71">
      <c r="I71" s="1334" t="inlineStr">
        <is>
          <t>7. Other</t>
        </is>
      </c>
      <c r="J71" s="432">
        <f>J13*15%</f>
        <v/>
      </c>
      <c r="K71" s="432">
        <f>K13*60%</f>
        <v/>
      </c>
      <c r="L71" s="432">
        <f>L13*60%</f>
        <v/>
      </c>
      <c r="M71" s="432">
        <f>M13*60%</f>
        <v/>
      </c>
      <c r="N71" s="432">
        <f>N13*60%</f>
        <v/>
      </c>
      <c r="O71" s="432">
        <f>O13*60%</f>
        <v/>
      </c>
      <c r="P71" s="432">
        <f>P13*60%</f>
        <v/>
      </c>
      <c r="Q71" s="432">
        <f>Q13*60%</f>
        <v/>
      </c>
      <c r="R71" s="432">
        <f>R13*60%</f>
        <v/>
      </c>
      <c r="S71" s="432">
        <f>S13*60%</f>
        <v/>
      </c>
      <c r="T71" s="432">
        <f>T13*60%</f>
        <v/>
      </c>
      <c r="U71" s="432">
        <f>U13*60%</f>
        <v/>
      </c>
      <c r="V71" s="432">
        <f>V13*60%</f>
        <v/>
      </c>
      <c r="W71" s="431">
        <f>SUM(K71:V71)</f>
        <v/>
      </c>
      <c r="X71" s="445">
        <f>IFERROR(W71/W13,0)</f>
        <v/>
      </c>
      <c r="Y71" s="558">
        <f>J71*12</f>
        <v/>
      </c>
      <c r="Z71" s="434">
        <f>W71-Y71</f>
        <v/>
      </c>
      <c r="AD71" s="470" t="n">
        <v>43754</v>
      </c>
      <c r="AE71" s="1260" t="inlineStr">
        <is>
          <t>Scott Bremner</t>
        </is>
      </c>
      <c r="AF71" s="1255" t="inlineStr">
        <is>
          <t>20191016-1</t>
        </is>
      </c>
      <c r="AG71" s="1282" t="inlineStr">
        <is>
          <t>171860</t>
        </is>
      </c>
      <c r="AH71" s="1385" t="n">
        <v>100</v>
      </c>
      <c r="AI71" s="1260" t="inlineStr">
        <is>
          <t>TBA</t>
        </is>
      </c>
    </row>
    <row r="72" ht="13.15" customHeight="1" s="1232">
      <c r="I72" s="1335" t="inlineStr">
        <is>
          <t>Totals</t>
        </is>
      </c>
      <c r="J72" s="438">
        <f>SUM(J65:J71)</f>
        <v/>
      </c>
      <c r="K72" s="439">
        <f>SUM(K65:K71)</f>
        <v/>
      </c>
      <c r="L72" s="439">
        <f>SUM(L65:L71)</f>
        <v/>
      </c>
      <c r="M72" s="439">
        <f>SUM(M65:M71)</f>
        <v/>
      </c>
      <c r="N72" s="439">
        <f>SUM(N65:N71)</f>
        <v/>
      </c>
      <c r="O72" s="439">
        <f>SUM(O65:O71)</f>
        <v/>
      </c>
      <c r="P72" s="439">
        <f>SUM(P65:P71)</f>
        <v/>
      </c>
      <c r="Q72" s="439">
        <f>SUM(Q65:Q71)</f>
        <v/>
      </c>
      <c r="R72" s="439">
        <f>SUM(R65:R71)</f>
        <v/>
      </c>
      <c r="S72" s="439">
        <f>SUM(S65:S71)</f>
        <v/>
      </c>
      <c r="T72" s="439">
        <f>SUM(T65:T71)</f>
        <v/>
      </c>
      <c r="U72" s="439">
        <f>SUM(U65:U71)</f>
        <v/>
      </c>
      <c r="V72" s="439">
        <f>SUM(V65:V71)</f>
        <v/>
      </c>
      <c r="W72" s="438">
        <f>SUM(W65:W71)</f>
        <v/>
      </c>
      <c r="X72" s="445">
        <f>IFERROR(W72/W14,0)</f>
        <v/>
      </c>
      <c r="Y72" s="558">
        <f>J72*12</f>
        <v/>
      </c>
      <c r="Z72" s="434">
        <f>W72-Y72</f>
        <v/>
      </c>
      <c r="AD72" s="470" t="n">
        <v>43759</v>
      </c>
      <c r="AE72" s="1260" t="inlineStr">
        <is>
          <t>Paul Wiles</t>
        </is>
      </c>
      <c r="AF72" s="1260" t="inlineStr">
        <is>
          <t>20191021-1</t>
        </is>
      </c>
      <c r="AG72" s="1282" t="inlineStr">
        <is>
          <t>171983</t>
        </is>
      </c>
      <c r="AH72" s="1385" t="n">
        <v>75</v>
      </c>
      <c r="AI72" s="1260" t="inlineStr">
        <is>
          <t>TBA</t>
        </is>
      </c>
    </row>
    <row r="73">
      <c r="AD73" s="470" t="n">
        <v>43762</v>
      </c>
      <c r="AE73" s="1255" t="inlineStr">
        <is>
          <t>David McGuire</t>
        </is>
      </c>
      <c r="AF73" s="1255" t="inlineStr">
        <is>
          <t>20191024-1</t>
        </is>
      </c>
      <c r="AG73" s="1282" t="inlineStr">
        <is>
          <t>172055</t>
        </is>
      </c>
      <c r="AH73" s="1385" t="n">
        <v>250</v>
      </c>
      <c r="AI73" s="1260" t="inlineStr">
        <is>
          <t>TBA</t>
        </is>
      </c>
    </row>
    <row r="74" ht="13.15" customHeight="1" s="1232">
      <c r="I74" s="1341" t="inlineStr">
        <is>
          <t>Banking Source</t>
        </is>
      </c>
      <c r="K74" s="1332" t="inlineStr">
        <is>
          <t>Jan</t>
        </is>
      </c>
      <c r="L74" s="1332" t="inlineStr">
        <is>
          <t>Feb</t>
        </is>
      </c>
      <c r="M74" s="1332" t="inlineStr">
        <is>
          <t>Mar</t>
        </is>
      </c>
      <c r="N74" s="1332" t="inlineStr">
        <is>
          <t>Apr</t>
        </is>
      </c>
      <c r="O74" s="1332" t="inlineStr">
        <is>
          <t>May</t>
        </is>
      </c>
      <c r="P74" s="1332" t="inlineStr">
        <is>
          <t>Jun</t>
        </is>
      </c>
      <c r="Q74" s="1332" t="inlineStr">
        <is>
          <t>Jul</t>
        </is>
      </c>
      <c r="R74" s="1332" t="inlineStr">
        <is>
          <t>Aug</t>
        </is>
      </c>
      <c r="S74" s="1332" t="inlineStr">
        <is>
          <t>Sep</t>
        </is>
      </c>
      <c r="T74" s="1332" t="inlineStr">
        <is>
          <t>Oct</t>
        </is>
      </c>
      <c r="U74" s="1332" t="inlineStr">
        <is>
          <t>Nov</t>
        </is>
      </c>
      <c r="V74" s="1332" t="inlineStr">
        <is>
          <t>Dec</t>
        </is>
      </c>
      <c r="W74" s="1332" t="inlineStr">
        <is>
          <t>Year</t>
        </is>
      </c>
      <c r="X74" s="1278" t="inlineStr">
        <is>
          <t>Split</t>
        </is>
      </c>
      <c r="Y74" s="1278" t="inlineStr">
        <is>
          <t>% YTD</t>
        </is>
      </c>
      <c r="AD74" s="470" t="n">
        <v>43769</v>
      </c>
      <c r="AE74" s="1260" t="inlineStr">
        <is>
          <t>Arthur Masters</t>
        </is>
      </c>
      <c r="AF74" s="1255" t="inlineStr">
        <is>
          <t>20191031-1</t>
        </is>
      </c>
      <c r="AG74" s="1282" t="inlineStr">
        <is>
          <t>174376</t>
        </is>
      </c>
      <c r="AH74" s="1385" t="n">
        <v>200</v>
      </c>
      <c r="AI74" s="1260" t="inlineStr">
        <is>
          <t>Jan</t>
        </is>
      </c>
    </row>
    <row r="75">
      <c r="I75" s="1255" t="inlineStr">
        <is>
          <t>Stripe</t>
        </is>
      </c>
      <c r="K75" s="432">
        <f>SUMIF(D$583:$D$621,$I75,$E$583:$E$621)</f>
        <v/>
      </c>
      <c r="L75" s="432">
        <f>SUMIF($D$536:E$581,$I75,$E$536:$E$581)</f>
        <v/>
      </c>
      <c r="M75" s="432">
        <f>SUMIF($D$486:D$533,$I75,$E$486:$E$533)</f>
        <v/>
      </c>
      <c r="N75" s="432">
        <f>SUMIF($D$425:D$485,$I75,$E$425:$E$485)</f>
        <v/>
      </c>
      <c r="O75" s="432">
        <f>SUMIF($D$389:D$422,$I75,$E$389:$E$422)</f>
        <v/>
      </c>
      <c r="P75" s="432">
        <f>SUMIF($D$357:D$387,$I75,$E$357:$E$387)</f>
        <v/>
      </c>
      <c r="Q75" s="432">
        <f>SUMIF($D$318:E$355,$I75,$E$318:$E$355)</f>
        <v/>
      </c>
      <c r="R75" s="432">
        <f>SUMIF($D$282:F$315,$I75,$E$282:$E$315)</f>
        <v/>
      </c>
      <c r="S75" s="432">
        <f>SUMIF($D$250:G$280,$I75,$E$250:$E$280)</f>
        <v/>
      </c>
      <c r="T75" s="432">
        <f>SUMIF($D$227:G$247,$I75,$E$227:$E$247)</f>
        <v/>
      </c>
      <c r="U75" s="432">
        <f>SUMIF($D$180:E$225,$I75,$E$180:$E$225)</f>
        <v/>
      </c>
      <c r="V75" s="432">
        <f>SUMIF($D$126:E$179,$I75,$E$126:$E$179)</f>
        <v/>
      </c>
      <c r="W75" s="432">
        <f>SUM(K75:V75)</f>
        <v/>
      </c>
      <c r="X75" s="460">
        <f>L75/$L$83</f>
        <v/>
      </c>
      <c r="Y75" s="460">
        <f>W75/W83</f>
        <v/>
      </c>
      <c r="AD75" s="470" t="n">
        <v>43787</v>
      </c>
      <c r="AE75" s="1260" t="inlineStr">
        <is>
          <t>Adrian Willcock</t>
        </is>
      </c>
      <c r="AF75" s="1260" t="inlineStr">
        <is>
          <t>2019-1118-1</t>
        </is>
      </c>
      <c r="AG75" s="1282" t="inlineStr">
        <is>
          <t>172526</t>
        </is>
      </c>
      <c r="AH75" s="1255" t="n">
        <v>150</v>
      </c>
    </row>
    <row r="76">
      <c r="I76" s="1255" t="inlineStr">
        <is>
          <t>PayPal</t>
        </is>
      </c>
      <c r="K76" s="432">
        <f>SUMIF(D$583:$D$621,$I76,$E$583:$E$621)</f>
        <v/>
      </c>
      <c r="L76" s="432">
        <f>SUMIF($D$536:E$581,$I76,$E$536:$E$581)</f>
        <v/>
      </c>
      <c r="M76" s="432">
        <f>SUMIF($D$486:D$533,$I76,$E$486:$E$533)</f>
        <v/>
      </c>
      <c r="N76" s="432">
        <f>SUMIF($D$425:D$485,$I76,$E$425:$E$485)</f>
        <v/>
      </c>
      <c r="O76" s="432">
        <f>SUMIF($D$389:D$422,$I76,$E$389:$E$422)</f>
        <v/>
      </c>
      <c r="P76" s="432">
        <f>SUMIF($D$357:D$387,$I76,$E$357:$E$387)</f>
        <v/>
      </c>
      <c r="Q76" s="432">
        <f>SUMIF($D$318:E$355,$I76,$E$318:$E$355)</f>
        <v/>
      </c>
      <c r="R76" s="432">
        <f>SUMIF($D$282:F$315,$I76,$E$282:$E$315)</f>
        <v/>
      </c>
      <c r="S76" s="432">
        <f>SUMIF($D$250:G$280,$I76,$E$250:$E$280)</f>
        <v/>
      </c>
      <c r="T76" s="432">
        <f>SUMIF($D$227:G$247,$I76,$E$227:$E$247)</f>
        <v/>
      </c>
      <c r="U76" s="432">
        <f>SUMIF($D$180:E$225,$I76,$E$180:$E$225)</f>
        <v/>
      </c>
      <c r="V76" s="432">
        <f>SUMIF($D$126:E$179,$I76,$E$126:$E$179)</f>
        <v/>
      </c>
      <c r="W76" s="432">
        <f>SUM(K76:V76)</f>
        <v/>
      </c>
      <c r="X76" s="460">
        <f>L76/$L$83</f>
        <v/>
      </c>
      <c r="Y76" s="460">
        <f>W76/W83</f>
        <v/>
      </c>
    </row>
    <row r="77">
      <c r="I77" s="1255" t="inlineStr">
        <is>
          <t>Various</t>
        </is>
      </c>
      <c r="K77" s="432">
        <f>SUMIF(D$583:$D$621,$I77,$E$583:$E$621)</f>
        <v/>
      </c>
      <c r="L77" s="432">
        <f>SUMIF($D$536:E$581,$I77,$E$536:$E$581)</f>
        <v/>
      </c>
      <c r="M77" s="432">
        <f>SUMIF($D$486:D$533,$I77,$E$486:$E$533)</f>
        <v/>
      </c>
      <c r="N77" s="432">
        <f>SUMIF($D$425:D$485,$I77,$E$425:$E$485)</f>
        <v/>
      </c>
      <c r="O77" s="432">
        <f>SUMIF($D$389:D$422,$I77,$E$389:$E$422)</f>
        <v/>
      </c>
      <c r="P77" s="432">
        <f>SUMIF($D$357:D$387,$I77,$E$357:$E$387)</f>
        <v/>
      </c>
      <c r="Q77" s="432">
        <f>SUMIF($D$318:E$355,$I77,$E$318:$E$355)</f>
        <v/>
      </c>
      <c r="R77" s="432">
        <f>SUMIF($D$282:F$315,$I77,$E$282:$E$315)</f>
        <v/>
      </c>
      <c r="S77" s="432">
        <f>SUMIF($D$250:G$280,$I77,$E$250:$E$280)</f>
        <v/>
      </c>
      <c r="T77" s="432">
        <f>SUMIF($D$227:G$247,$I77,$E$227:$E$247)</f>
        <v/>
      </c>
      <c r="U77" s="432">
        <f>SUMIF($D$180:E$225,$I77,$E$180:$E$225)</f>
        <v/>
      </c>
      <c r="V77" s="432">
        <f>SUMIF($D$126:E$179,$I77,$E$126:$E$179)</f>
        <v/>
      </c>
      <c r="W77" s="432">
        <f>SUM(K77:V77)</f>
        <v/>
      </c>
      <c r="X77" s="460">
        <f>L77/$L$83</f>
        <v/>
      </c>
      <c r="Y77" s="460">
        <f>W77/W83</f>
        <v/>
      </c>
    </row>
    <row r="78">
      <c r="I78" s="1255" t="inlineStr">
        <is>
          <t>Bank</t>
        </is>
      </c>
      <c r="K78" s="432">
        <f>SUMIF(D$583:$D$621,$I78,$E$583:$E$621)</f>
        <v/>
      </c>
      <c r="L78" s="432">
        <f>SUMIF($D$536:E$581,$I78,$E$536:$E$581)</f>
        <v/>
      </c>
      <c r="M78" s="432">
        <f>SUMIF($D$486:D$533,$I78,$E$486:$E$533)</f>
        <v/>
      </c>
      <c r="N78" s="432">
        <f>SUMIF($D$425:D$485,$I78,$E$425:$E$485)</f>
        <v/>
      </c>
      <c r="O78" s="432">
        <f>SUMIF($D$389:D$422,$I78,$E$389:$E$422)</f>
        <v/>
      </c>
      <c r="P78" s="432">
        <f>SUMIF($D$357:D$387,$I78,$E$357:$E$387)</f>
        <v/>
      </c>
      <c r="Q78" s="432">
        <f>SUMIF($D$318:E$355,$I78,$E$318:$E$355)</f>
        <v/>
      </c>
      <c r="R78" s="432">
        <f>SUMIF($D$282:F$315,$I78,$E$282:$E$315)</f>
        <v/>
      </c>
      <c r="S78" s="432">
        <f>SUMIF($D$250:G$280,$I78,$E$250:$E$280)</f>
        <v/>
      </c>
      <c r="T78" s="432">
        <f>SUMIF($D$227:G$247,$I78,$E$227:$E$247)</f>
        <v/>
      </c>
      <c r="U78" s="432">
        <f>SUMIF($D$180:E$225,$I78,$E$180:$E$225)</f>
        <v/>
      </c>
      <c r="V78" s="432">
        <f>SUMIF($D$126:E$179,$I78,$E$126:$E$179)</f>
        <v/>
      </c>
      <c r="W78" s="432">
        <f>SUM(K78:V78)</f>
        <v/>
      </c>
      <c r="X78" s="460">
        <f>L78/$L$83</f>
        <v/>
      </c>
      <c r="Y78" s="460">
        <f>W78/W83</f>
        <v/>
      </c>
    </row>
    <row r="79" ht="13.15" customHeight="1" s="1232">
      <c r="I79" s="1255" t="inlineStr">
        <is>
          <t>Groupon</t>
        </is>
      </c>
      <c r="K79" s="432">
        <f>SUMIF(D$583:$D$621,$I79,$E$583:$E$621)</f>
        <v/>
      </c>
      <c r="L79" s="432">
        <f>SUMIF($D$536:E$581,$I79,$E$536:$E$581)</f>
        <v/>
      </c>
      <c r="M79" s="432">
        <f>SUMIF($D$486:D$533,$I79,$E$486:$E$533)</f>
        <v/>
      </c>
      <c r="N79" s="432">
        <f>SUMIF($D$425:D$485,$I79,$E$425:$E$485)</f>
        <v/>
      </c>
      <c r="O79" s="432">
        <f>SUMIF($D$389:D$422,$I79,$E$389:$E$422)</f>
        <v/>
      </c>
      <c r="P79" s="432">
        <f>SUMIF($D$357:D$387,$I79,$E$357:$E$387)</f>
        <v/>
      </c>
      <c r="Q79" s="432">
        <f>SUMIF($D$318:E$355,$I79,$E$318:$E$355)</f>
        <v/>
      </c>
      <c r="R79" s="432">
        <f>SUMIF($D$282:F$315,$I79,$E$282:$E$315)</f>
        <v/>
      </c>
      <c r="S79" s="432">
        <f>SUMIF($D$250:G$280,$I79,$E$250:$E$280)</f>
        <v/>
      </c>
      <c r="T79" s="432">
        <f>SUMIF($D$227:G$247,$I79,$E$227:$E$247)</f>
        <v/>
      </c>
      <c r="U79" s="432">
        <f>SUMIF($D$180:E$225,$I79,$E$180:$E$225)</f>
        <v/>
      </c>
      <c r="V79" s="432">
        <f>SUMIF($D$126:E$179,$I79,$E$126:$E$179)</f>
        <v/>
      </c>
      <c r="W79" s="432">
        <f>SUM(K79:V79)</f>
        <v/>
      </c>
      <c r="X79" s="460">
        <f>L79/$L$83</f>
        <v/>
      </c>
      <c r="Y79" s="460">
        <f>W79/W83</f>
        <v/>
      </c>
      <c r="AH79" s="1391">
        <f>SUM(AH15:AH78)</f>
        <v/>
      </c>
    </row>
    <row r="80">
      <c r="I80" s="1255" t="inlineStr">
        <is>
          <t>Cash</t>
        </is>
      </c>
      <c r="K80" s="432">
        <f>SUMIF(D$583:$D$621,$I80,$E$583:$E$621)</f>
        <v/>
      </c>
      <c r="L80" s="432">
        <f>SUMIF($D$536:E$581,$I80,$E$536:$E$581)</f>
        <v/>
      </c>
      <c r="M80" s="432">
        <f>SUMIF($D$486:D$533,$I80,$E$486:$E$533)</f>
        <v/>
      </c>
      <c r="N80" s="432">
        <f>SUMIF($D$425:D$485,$I80,$E$425:$E$485)</f>
        <v/>
      </c>
      <c r="O80" s="432">
        <f>SUMIF($D$389:D$422,$I80,$E$389:$E$422)</f>
        <v/>
      </c>
      <c r="P80" s="432">
        <f>SUMIF($D$357:D$387,$I80,$E$357:$E$387)</f>
        <v/>
      </c>
      <c r="Q80" s="432">
        <f>SUMIF($D$318:E$355,$I80,$E$318:$E$355)</f>
        <v/>
      </c>
      <c r="R80" s="432">
        <f>SUMIF($D$282:F$315,$I80,$E$282:$E$315)</f>
        <v/>
      </c>
      <c r="S80" s="432">
        <f>SUMIF($D$250:G$280,$I80,$E$250:$E$280)</f>
        <v/>
      </c>
      <c r="T80" s="432">
        <f>SUMIF($D$227:G$247,$I80,$E$227:$E$247)</f>
        <v/>
      </c>
      <c r="U80" s="432">
        <f>SUMIF($D$180:E$225,$I80,$E$180:$E$225)</f>
        <v/>
      </c>
      <c r="V80" s="432">
        <f>SUMIF($D$126:E$179,$I80,$E$126:$E$179)</f>
        <v/>
      </c>
      <c r="W80" s="432">
        <f>SUM(K80:V80)</f>
        <v/>
      </c>
      <c r="X80" s="460">
        <f>L80/$L$83</f>
        <v/>
      </c>
      <c r="Y80" s="460">
        <f>W80/W83</f>
        <v/>
      </c>
    </row>
    <row r="81">
      <c r="I81" s="1260" t="inlineStr">
        <is>
          <t>PicknMix</t>
        </is>
      </c>
      <c r="K81" s="432">
        <f>SUMIF(D$583:$D$621,$I81,$E$583:$E$621)</f>
        <v/>
      </c>
      <c r="L81" s="432">
        <f>SUMIF($D$536:E$581,$I81,$E$536:$E$581)</f>
        <v/>
      </c>
      <c r="M81" s="432">
        <f>SUMIF($D$486:D$533,$I81,$E$486:$E$533)</f>
        <v/>
      </c>
      <c r="N81" s="432">
        <f>SUMIF($D$425:D$485,$I81,$E$425:$E$485)</f>
        <v/>
      </c>
      <c r="O81" s="432">
        <f>SUMIF($D$389:D$422,$I81,$E$389:$E$422)</f>
        <v/>
      </c>
      <c r="P81" s="432">
        <f>SUMIF($D$357:D$387,$I81,$E$357:$E$387)</f>
        <v/>
      </c>
      <c r="Q81" s="432">
        <f>SUMIF($D$318:E$355,$I81,$E$318:$E$355)</f>
        <v/>
      </c>
      <c r="R81" s="432">
        <f>SUMIF($D$282:F$315,$I81,$E$282:$E$315)</f>
        <v/>
      </c>
      <c r="S81" s="432">
        <f>SUMIF($D$250:G$280,$I81,$E$250:$E$280)</f>
        <v/>
      </c>
      <c r="T81" s="432">
        <f>SUMIF($D$227:G$247,$I81,$E$227:$E$247)</f>
        <v/>
      </c>
      <c r="U81" s="432">
        <f>SUMIF($D$180:E$225,$I81,$E$180:$E$225)</f>
        <v/>
      </c>
      <c r="V81" s="432">
        <f>SUMIF($D$126:E$179,$I81,$E$126:$E$179)</f>
        <v/>
      </c>
      <c r="W81" s="432">
        <f>SUM(K81:V81)</f>
        <v/>
      </c>
      <c r="X81" s="460">
        <f>L81/$L$83</f>
        <v/>
      </c>
      <c r="Y81" s="460">
        <f>W81/W83</f>
        <v/>
      </c>
    </row>
    <row r="82">
      <c r="I82" s="1255" t="inlineStr">
        <is>
          <t>W-Play</t>
        </is>
      </c>
      <c r="K82" s="432">
        <f>SUMIF(D$583:$D$621,$I82,$E$583:$E$621)</f>
        <v/>
      </c>
      <c r="L82" s="432">
        <f>SUMIF($D$536:E$581,$I82,$E$536:$E$581)</f>
        <v/>
      </c>
      <c r="M82" s="432">
        <f>SUMIF($D$486:D$533,$I82,$E$486:$E$533)</f>
        <v/>
      </c>
      <c r="N82" s="432">
        <f>SUMIF($D$425:D$485,$I82,$E$425:$E$485)</f>
        <v/>
      </c>
      <c r="O82" s="432">
        <f>SUMIF($D$389:D$422,$I82,$E$389:$E$422)</f>
        <v/>
      </c>
      <c r="P82" s="432">
        <f>SUMIF($D$357:D$387,$I82,$E$357:$E$387)</f>
        <v/>
      </c>
      <c r="Q82" s="432">
        <f>SUMIF($D$318:E$355,$I82,$E$318:$E$355)</f>
        <v/>
      </c>
      <c r="R82" s="432">
        <f>SUMIF($D$282:F$315,$I82,$E$282:$E$315)</f>
        <v/>
      </c>
      <c r="S82" s="432">
        <f>SUMIF($D$250:G$280,$I82,$E$250:$E$280)</f>
        <v/>
      </c>
      <c r="T82" s="432">
        <f>SUMIF($D$227:G$247,$I82,$E$227:$E$247)</f>
        <v/>
      </c>
      <c r="U82" s="432">
        <f>SUMIF($D$180:E$225,$I82,$E$180:$E$225)</f>
        <v/>
      </c>
      <c r="V82" s="432">
        <f>SUMIF($D$126:E$179,$I82,$E$126:$E$179)</f>
        <v/>
      </c>
      <c r="W82" s="432">
        <f>SUM(K82:V82)</f>
        <v/>
      </c>
      <c r="X82" s="460">
        <f>L82/$L$83</f>
        <v/>
      </c>
      <c r="Y82" s="460">
        <f>W82/W83</f>
        <v/>
      </c>
    </row>
    <row r="83" ht="13.15" customHeight="1" s="1232">
      <c r="I83" s="914" t="n"/>
      <c r="K83" s="444">
        <f>SUM(K75:K82)</f>
        <v/>
      </c>
      <c r="L83" s="444">
        <f>SUM(L75:L82)</f>
        <v/>
      </c>
      <c r="M83" s="444">
        <f>SUM(M75:M82)</f>
        <v/>
      </c>
      <c r="N83" s="444">
        <f>SUM(N75:N82)</f>
        <v/>
      </c>
      <c r="O83" s="444">
        <f>SUM(O75:O82)</f>
        <v/>
      </c>
      <c r="P83" s="444">
        <f>SUM(P75:P82)</f>
        <v/>
      </c>
      <c r="Q83" s="444">
        <f>SUM(Q75:Q82)</f>
        <v/>
      </c>
      <c r="R83" s="444">
        <f>SUM(R75:R82)</f>
        <v/>
      </c>
      <c r="S83" s="444">
        <f>SUM(S75:S82)</f>
        <v/>
      </c>
      <c r="T83" s="444">
        <f>SUM(T75:T82)</f>
        <v/>
      </c>
      <c r="U83" s="444">
        <f>SUM(U75:U82)</f>
        <v/>
      </c>
      <c r="V83" s="444">
        <f>SUM(V75:V82)</f>
        <v/>
      </c>
      <c r="W83" s="444">
        <f>SUM(W75:W82)</f>
        <v/>
      </c>
      <c r="X83" s="914" t="n"/>
      <c r="Y83" s="466" t="n"/>
    </row>
    <row r="84">
      <c r="I84" s="914" t="n"/>
      <c r="K84" s="434">
        <f>K83-K14</f>
        <v/>
      </c>
      <c r="L84" s="434">
        <f>L83-L14</f>
        <v/>
      </c>
      <c r="M84" s="434">
        <f>M83-M14</f>
        <v/>
      </c>
      <c r="N84" s="434">
        <f>N83-N14</f>
        <v/>
      </c>
      <c r="O84" s="434">
        <f>O83-O14</f>
        <v/>
      </c>
      <c r="P84" s="434">
        <f>P83-P14</f>
        <v/>
      </c>
      <c r="Q84" s="434">
        <f>Q83-Q14</f>
        <v/>
      </c>
      <c r="R84" s="434">
        <f>R83-R14</f>
        <v/>
      </c>
      <c r="S84" s="434">
        <f>S83-S14</f>
        <v/>
      </c>
      <c r="T84" s="434" t="n"/>
      <c r="U84" s="434" t="n"/>
      <c r="V84" s="434" t="n"/>
      <c r="W84" s="434" t="n"/>
      <c r="X84" s="914" t="n"/>
    </row>
    <row r="85" ht="13.15" customHeight="1" s="1232">
      <c r="I85" s="556" t="inlineStr">
        <is>
          <t>Payment Fees</t>
        </is>
      </c>
      <c r="K85" s="914" t="n"/>
      <c r="L85" s="914" t="n"/>
      <c r="M85" s="914" t="n"/>
      <c r="N85" s="914" t="n"/>
      <c r="O85" s="914" t="n"/>
      <c r="P85" s="914" t="n"/>
      <c r="Q85" s="914" t="n"/>
      <c r="R85" s="914" t="n"/>
      <c r="S85" s="914" t="n"/>
      <c r="T85" s="914" t="n"/>
      <c r="U85" s="914" t="n"/>
      <c r="V85" s="914" t="n"/>
      <c r="W85" s="914" t="n"/>
      <c r="X85" s="914" t="n"/>
    </row>
    <row r="86" ht="13.15" customHeight="1" s="1232">
      <c r="I86" s="791" t="inlineStr">
        <is>
          <t>Stripe 1.8%</t>
        </is>
      </c>
      <c r="K86" s="914">
        <f>K75*1.8%</f>
        <v/>
      </c>
      <c r="L86" s="914">
        <f>L75*1.8%</f>
        <v/>
      </c>
      <c r="M86" s="914">
        <f>M75*1.8%</f>
        <v/>
      </c>
      <c r="N86" s="914">
        <f>N75*1.8%</f>
        <v/>
      </c>
      <c r="O86" s="914">
        <f>O75*1.8%</f>
        <v/>
      </c>
      <c r="P86" s="914">
        <f>P75*1.8%</f>
        <v/>
      </c>
      <c r="Q86" s="914">
        <f>Q75*1.8%</f>
        <v/>
      </c>
      <c r="R86" s="914">
        <f>R75*1.8%</f>
        <v/>
      </c>
      <c r="S86" s="914">
        <f>S75*1.8%</f>
        <v/>
      </c>
      <c r="T86" s="914">
        <f>T75*1.8%</f>
        <v/>
      </c>
      <c r="U86" s="914">
        <f>U75*1.8%</f>
        <v/>
      </c>
      <c r="V86" s="914">
        <f>V75*1.8%</f>
        <v/>
      </c>
      <c r="W86" s="432">
        <f>SUM(K86:V86)</f>
        <v/>
      </c>
      <c r="X86" s="914" t="n"/>
      <c r="Y86" s="466" t="n"/>
    </row>
    <row r="87" ht="13.15" customHeight="1" s="1232">
      <c r="I87" s="791" t="inlineStr">
        <is>
          <t>Paypal 2.90% + £0.30</t>
        </is>
      </c>
      <c r="K87" s="914">
        <f>K76*3.5%</f>
        <v/>
      </c>
      <c r="L87" s="914">
        <f>L76*3.5%</f>
        <v/>
      </c>
      <c r="M87" s="914">
        <f>M76*3.5%</f>
        <v/>
      </c>
      <c r="N87" s="914">
        <f>N76*3.5%</f>
        <v/>
      </c>
      <c r="O87" s="914">
        <f>O76*3.5%</f>
        <v/>
      </c>
      <c r="P87" s="914">
        <f>P76*3.5%</f>
        <v/>
      </c>
      <c r="Q87" s="914">
        <f>Q76*3.5%</f>
        <v/>
      </c>
      <c r="R87" s="914">
        <f>R76*3.5%</f>
        <v/>
      </c>
      <c r="S87" s="914">
        <f>S76*3.5%</f>
        <v/>
      </c>
      <c r="T87" s="914">
        <f>T76*3.5%</f>
        <v/>
      </c>
      <c r="U87" s="914">
        <f>U76*3.5%</f>
        <v/>
      </c>
      <c r="V87" s="914">
        <f>V76*3.5%</f>
        <v/>
      </c>
      <c r="W87" s="432">
        <f>SUM(K87:V87)</f>
        <v/>
      </c>
      <c r="X87" s="914" t="n"/>
      <c r="Y87" s="466" t="n"/>
    </row>
    <row r="88" ht="13.15" customHeight="1" s="1232">
      <c r="I88" s="914" t="inlineStr">
        <is>
          <t>W-Play</t>
        </is>
      </c>
      <c r="K88" s="914">
        <f>K82*3.5%</f>
        <v/>
      </c>
      <c r="L88" s="914">
        <f>L82*3.5%</f>
        <v/>
      </c>
      <c r="M88" s="914">
        <f>M82*3.5%</f>
        <v/>
      </c>
      <c r="N88" s="914">
        <f>N82*3.5%</f>
        <v/>
      </c>
      <c r="O88" s="914">
        <f>O82*3.5%</f>
        <v/>
      </c>
      <c r="P88" s="914">
        <f>P82*3.5%</f>
        <v/>
      </c>
      <c r="Q88" s="914">
        <f>Q82*3.5%</f>
        <v/>
      </c>
      <c r="R88" s="914">
        <f>R82*3.5%</f>
        <v/>
      </c>
      <c r="S88" s="914">
        <f>S82*3.5%</f>
        <v/>
      </c>
      <c r="T88" s="914">
        <f>T82*3.5%</f>
        <v/>
      </c>
      <c r="U88" s="914">
        <f>U82*3.5%</f>
        <v/>
      </c>
      <c r="V88" s="914">
        <f>V82*3.5%</f>
        <v/>
      </c>
      <c r="W88" s="432">
        <f>SUM(K88:V88)</f>
        <v/>
      </c>
      <c r="X88" s="914" t="n"/>
      <c r="Y88" s="466" t="n"/>
    </row>
    <row r="89" ht="13.15" customHeight="1" s="1232">
      <c r="I89" s="444" t="inlineStr">
        <is>
          <t>Total Fees</t>
        </is>
      </c>
      <c r="K89" s="444">
        <f>SUM(K85:K88)</f>
        <v/>
      </c>
      <c r="L89" s="444">
        <f>SUM(L85:L88)</f>
        <v/>
      </c>
      <c r="M89" s="444">
        <f>SUM(M85:M88)</f>
        <v/>
      </c>
      <c r="N89" s="444">
        <f>SUM(N85:N88)</f>
        <v/>
      </c>
      <c r="O89" s="444">
        <f>SUM(O85:O88)</f>
        <v/>
      </c>
      <c r="P89" s="444">
        <f>SUM(P85:P88)</f>
        <v/>
      </c>
      <c r="Q89" s="444">
        <f>SUM(Q85:Q88)</f>
        <v/>
      </c>
      <c r="R89" s="444">
        <f>SUM(R85:R88)</f>
        <v/>
      </c>
      <c r="S89" s="444">
        <f>SUM(S85:S88)</f>
        <v/>
      </c>
      <c r="T89" s="444">
        <f>SUM(T85:T88)</f>
        <v/>
      </c>
      <c r="U89" s="444">
        <f>SUM(U85:U88)</f>
        <v/>
      </c>
      <c r="V89" s="444">
        <f>SUM(V85:V88)</f>
        <v/>
      </c>
      <c r="W89" s="554">
        <f>SUM(K89:V89)</f>
        <v/>
      </c>
      <c r="X89" s="914" t="n"/>
      <c r="Y89" s="466" t="n"/>
    </row>
    <row r="90" ht="13.15" customHeight="1" s="1232">
      <c r="I90" s="914" t="n"/>
      <c r="K90" s="914" t="n"/>
      <c r="L90" s="914" t="n"/>
      <c r="M90" s="914" t="n"/>
      <c r="N90" s="914" t="n"/>
      <c r="O90" s="914" t="n"/>
      <c r="P90" s="914" t="n"/>
      <c r="Q90" s="914" t="n"/>
      <c r="R90" s="914" t="n"/>
      <c r="S90" s="914" t="n"/>
      <c r="T90" s="914" t="n"/>
      <c r="U90" s="914" t="n"/>
      <c r="V90" s="914" t="n"/>
      <c r="W90" s="432">
        <f>SUM(K90:V90)</f>
        <v/>
      </c>
      <c r="X90" s="914" t="n"/>
      <c r="Y90" s="466" t="n"/>
    </row>
    <row r="91" ht="13.15" customHeight="1" s="1232">
      <c r="I91" s="561" t="inlineStr">
        <is>
          <t>Net Payment</t>
        </is>
      </c>
      <c r="K91" s="444">
        <f>K83-K89</f>
        <v/>
      </c>
      <c r="L91" s="444">
        <f>L83-L89</f>
        <v/>
      </c>
      <c r="M91" s="444">
        <f>M83-M89</f>
        <v/>
      </c>
      <c r="N91" s="444">
        <f>N83-N89</f>
        <v/>
      </c>
      <c r="O91" s="444">
        <f>O83-O89</f>
        <v/>
      </c>
      <c r="P91" s="444">
        <f>P83-P89</f>
        <v/>
      </c>
      <c r="Q91" s="444">
        <f>Q83-Q89</f>
        <v/>
      </c>
      <c r="R91" s="444">
        <f>R83-R89</f>
        <v/>
      </c>
      <c r="S91" s="444">
        <f>S83-S89</f>
        <v/>
      </c>
      <c r="T91" s="444">
        <f>T83-T89</f>
        <v/>
      </c>
      <c r="U91" s="444">
        <f>U83-U89</f>
        <v/>
      </c>
      <c r="V91" s="444">
        <f>V83-V89</f>
        <v/>
      </c>
      <c r="W91" s="554">
        <f>SUM(K91:V91)</f>
        <v/>
      </c>
      <c r="X91" s="914" t="n"/>
      <c r="Y91" s="466" t="n"/>
    </row>
    <row r="92">
      <c r="I92" s="914" t="n"/>
      <c r="K92" s="914" t="n"/>
      <c r="L92" s="914" t="n"/>
      <c r="M92" s="914" t="n"/>
      <c r="N92" s="914" t="n"/>
      <c r="O92" s="914" t="n"/>
      <c r="P92" s="914" t="n"/>
      <c r="Q92" s="914" t="n"/>
      <c r="R92" s="914" t="n"/>
      <c r="S92" s="914" t="n"/>
      <c r="T92" s="914" t="n"/>
      <c r="U92" s="914" t="n"/>
      <c r="V92" s="914" t="n"/>
      <c r="W92" s="914" t="n"/>
      <c r="X92" s="914" t="n"/>
    </row>
    <row r="93">
      <c r="K93" s="914" t="n"/>
      <c r="L93" s="914" t="n"/>
      <c r="M93" s="914" t="n"/>
      <c r="N93" s="914" t="n"/>
      <c r="O93" s="914" t="n"/>
      <c r="P93" s="914" t="n"/>
      <c r="Q93" s="914" t="n"/>
      <c r="R93" s="914" t="n"/>
      <c r="S93" s="914" t="n"/>
      <c r="T93" s="914" t="n"/>
      <c r="U93" s="914" t="n"/>
      <c r="V93" s="914" t="n"/>
      <c r="W93" s="914" t="n"/>
      <c r="X93" s="914" t="n"/>
    </row>
    <row r="94" ht="13.15" customHeight="1" s="1232">
      <c r="I94" s="556" t="inlineStr">
        <is>
          <t>Booking source</t>
        </is>
      </c>
      <c r="K94" s="1332" t="inlineStr">
        <is>
          <t>Jan</t>
        </is>
      </c>
      <c r="L94" s="1332" t="inlineStr">
        <is>
          <t>Feb</t>
        </is>
      </c>
      <c r="M94" s="1332" t="inlineStr">
        <is>
          <t>Mar</t>
        </is>
      </c>
      <c r="N94" s="1332" t="inlineStr">
        <is>
          <t>Apr</t>
        </is>
      </c>
      <c r="O94" s="1332" t="inlineStr">
        <is>
          <t>May</t>
        </is>
      </c>
      <c r="P94" s="1332" t="inlineStr">
        <is>
          <t>Jun</t>
        </is>
      </c>
      <c r="Q94" s="1332" t="inlineStr">
        <is>
          <t>Jul</t>
        </is>
      </c>
      <c r="R94" s="1332" t="inlineStr">
        <is>
          <t>Aug</t>
        </is>
      </c>
      <c r="S94" s="1332" t="inlineStr">
        <is>
          <t>Sep</t>
        </is>
      </c>
      <c r="T94" s="1332" t="inlineStr">
        <is>
          <t>Oct</t>
        </is>
      </c>
      <c r="U94" s="1332" t="inlineStr">
        <is>
          <t>Nov</t>
        </is>
      </c>
      <c r="V94" s="1332" t="inlineStr">
        <is>
          <t>Dec</t>
        </is>
      </c>
      <c r="W94" s="1332" t="inlineStr">
        <is>
          <t>Year</t>
        </is>
      </c>
      <c r="X94" s="1278" t="inlineStr">
        <is>
          <t>Split</t>
        </is>
      </c>
    </row>
    <row r="95">
      <c r="I95" s="1255" t="inlineStr">
        <is>
          <t>Google</t>
        </is>
      </c>
      <c r="K95" s="432">
        <f>SUMIF($G$583:$G$621,$I95,$E$583:$E$621)</f>
        <v/>
      </c>
      <c r="L95" s="432">
        <f>SUMIF($G$536:$G$582,$I95,$E$536:$E$582)</f>
        <v/>
      </c>
      <c r="M95" s="432">
        <f>SUMIF($G$486:$G$533,$I95,$E$486:$E$533)</f>
        <v/>
      </c>
      <c r="N95" s="432">
        <f>SUMIF($G$425:$G$485,$I95,$E$425:$E$485)</f>
        <v/>
      </c>
      <c r="O95" s="432">
        <f>SUMIF($G$389:$G$422,$I95,$E$389:$E$422)</f>
        <v/>
      </c>
      <c r="P95" s="432">
        <f>SUMIF($G$357:$G$387,$I95,$E$357:$E$387)</f>
        <v/>
      </c>
      <c r="Q95" s="432">
        <f>SUMIF($G$318:$G$355,$I95,$E$318:$E$355)</f>
        <v/>
      </c>
      <c r="R95" s="432">
        <f>SUMIF($G$282:$G$316,$I95,$E$282:$E$316)</f>
        <v/>
      </c>
      <c r="S95" s="432">
        <f>SUMIF($G$250:$G$279,$I95,$E$250:$E$279)</f>
        <v/>
      </c>
      <c r="T95" s="432">
        <f>SUMIF($G$227:$G$247,$I95,$E$227:$E$247)</f>
        <v/>
      </c>
      <c r="U95" s="432">
        <f>SUMIF($G$180:$G$225,$I95,$E$180:$E$225)</f>
        <v/>
      </c>
      <c r="V95" s="432">
        <f>SUMIF($G$126:$G$179,$I95,$E$126:$E$179)</f>
        <v/>
      </c>
      <c r="W95" s="432">
        <f>SUM(K95:V95)</f>
        <v/>
      </c>
      <c r="X95" s="460">
        <f>IFERROR(W95/$W$102,0)</f>
        <v/>
      </c>
    </row>
    <row r="96">
      <c r="I96" s="1255" t="inlineStr">
        <is>
          <t>Existing</t>
        </is>
      </c>
      <c r="K96" s="432">
        <f>SUMIF($G$583:$G$621,$I96,$E$583:$E$621)</f>
        <v/>
      </c>
      <c r="L96" s="432">
        <f>SUMIF($G$536:$G$582,$I96,$E$536:$E$582)</f>
        <v/>
      </c>
      <c r="M96" s="432">
        <f>SUMIF($G$486:$G$533,$I96,$E$486:$E$533)</f>
        <v/>
      </c>
      <c r="N96" s="432">
        <f>SUMIF($G$425:$G$485,$I96,$E$425:$E$485)</f>
        <v/>
      </c>
      <c r="O96" s="432">
        <f>SUMIF($G$389:$G$422,$I96,$E$389:$E$422)</f>
        <v/>
      </c>
      <c r="P96" s="432">
        <f>SUMIF($G$357:$G$387,$I96,$E$357:$E$387)</f>
        <v/>
      </c>
      <c r="Q96" s="432">
        <f>SUMIF($G$318:$G$355,$I96,$E$318:$E$355)</f>
        <v/>
      </c>
      <c r="R96" s="432">
        <f>SUMIF($G$282:$G$316,$I96,$E$282:$E$316)</f>
        <v/>
      </c>
      <c r="S96" s="432">
        <f>SUMIF($G$250:$G$279,$I96,$E$250:$E$279)</f>
        <v/>
      </c>
      <c r="T96" s="432">
        <f>SUMIF($G$227:$G$247,$I96,$E$227:$E$247)</f>
        <v/>
      </c>
      <c r="U96" s="432">
        <f>SUMIF($G$180:$G$225,$I96,$E$180:$E$225)</f>
        <v/>
      </c>
      <c r="V96" s="432">
        <f>SUMIF($G$126:$G$179,$I96,$E$126:$E$179)</f>
        <v/>
      </c>
      <c r="W96" s="432">
        <f>SUM(K96:V96)</f>
        <v/>
      </c>
      <c r="X96" s="460">
        <f>IFERROR(W96/$W$102,0)</f>
        <v/>
      </c>
    </row>
    <row r="97">
      <c r="I97" s="1255" t="inlineStr">
        <is>
          <t>ELS</t>
        </is>
      </c>
      <c r="K97" s="432">
        <f>SUMIF($G$583:$G$621,$I97,$E$583:$E$621)</f>
        <v/>
      </c>
      <c r="L97" s="432">
        <f>SUMIF($G$536:$G$582,$I97,$E$536:$E$582)</f>
        <v/>
      </c>
      <c r="M97" s="432">
        <f>SUMIF($G$486:$G$533,$I97,$E$486:$E$533)</f>
        <v/>
      </c>
      <c r="N97" s="432">
        <f>SUMIF($G$425:$G$485,$I97,$E$425:$E$485)</f>
        <v/>
      </c>
      <c r="O97" s="432">
        <f>SUMIF($G$389:$G$422,$I97,$E$389:$E$422)</f>
        <v/>
      </c>
      <c r="P97" s="432">
        <f>SUMIF($G$357:$G$387,$I97,$E$357:$E$387)</f>
        <v/>
      </c>
      <c r="Q97" s="432">
        <f>SUMIF($G$318:$G$355,$I97,$E$318:$E$355)</f>
        <v/>
      </c>
      <c r="R97" s="432">
        <f>SUMIF($G$282:$G$316,$I97,$E$282:$E$316)</f>
        <v/>
      </c>
      <c r="S97" s="432">
        <f>SUMIF($G$250:$G$279,$I97,$E$250:$E$279)</f>
        <v/>
      </c>
      <c r="T97" s="432">
        <f>SUMIF($G$227:$G$247,$I97,$E$227:$E$247)</f>
        <v/>
      </c>
      <c r="U97" s="432">
        <f>SUMIF($G$180:$G$225,$I97,$E$180:$E$225)</f>
        <v/>
      </c>
      <c r="V97" s="432">
        <f>SUMIF($G$126:$G$179,$I97,$E$126:$E$179)</f>
        <v/>
      </c>
      <c r="W97" s="432">
        <f>SUM(K97:V97)</f>
        <v/>
      </c>
      <c r="X97" s="460">
        <f>IFERROR(W97/$W$102,0)</f>
        <v/>
      </c>
    </row>
    <row r="98">
      <c r="I98" s="1255" t="inlineStr">
        <is>
          <t>Groupon</t>
        </is>
      </c>
      <c r="K98" s="432">
        <f>SUMIF($G$583:$G$621,$I98,$E$583:$E$621)</f>
        <v/>
      </c>
      <c r="L98" s="432">
        <f>SUMIF($G$536:$G$582,$I98,$E$536:$E$582)</f>
        <v/>
      </c>
      <c r="M98" s="432">
        <f>SUMIF($G$486:$G$533,$I98,$E$486:$E$533)</f>
        <v/>
      </c>
      <c r="N98" s="432">
        <f>SUMIF($G$425:$G$485,$I98,$E$425:$E$485)</f>
        <v/>
      </c>
      <c r="O98" s="432">
        <f>SUMIF($G$389:$G$422,$I98,$E$389:$E$422)</f>
        <v/>
      </c>
      <c r="P98" s="432">
        <f>SUMIF($G$357:$G$387,$I98,$E$357:$E$387)</f>
        <v/>
      </c>
      <c r="Q98" s="432">
        <f>SUMIF($G$318:$G$355,$I98,$E$318:$E$355)</f>
        <v/>
      </c>
      <c r="R98" s="432">
        <f>SUMIF($G$282:$G$316,$I98,$E$282:$E$316)</f>
        <v/>
      </c>
      <c r="S98" s="432">
        <f>SUMIF($G$250:$G$279,$I98,$E$250:$E$279)</f>
        <v/>
      </c>
      <c r="T98" s="432">
        <f>SUMIF($G$227:$G$247,$I98,$E$227:$E$247)</f>
        <v/>
      </c>
      <c r="U98" s="432">
        <f>SUMIF($G$180:$G$225,$I98,$E$180:$E$225)</f>
        <v/>
      </c>
      <c r="V98" s="432">
        <f>SUMIF($G$126:$G$179,$I98,$E$126:$E$179)</f>
        <v/>
      </c>
      <c r="W98" s="432">
        <f>SUM(K98:V98)</f>
        <v/>
      </c>
      <c r="X98" s="460">
        <f>IFERROR(W98/$W$102,0)</f>
        <v/>
      </c>
    </row>
    <row r="99">
      <c r="I99" s="1255" t="inlineStr">
        <is>
          <t>Batsford</t>
        </is>
      </c>
      <c r="K99" s="432">
        <f>SUMIF($G$583:$G$621,$I99,$E$583:$E$621)</f>
        <v/>
      </c>
      <c r="L99" s="432">
        <f>SUMIF($G$536:$G$582,$I99,$E$536:$E$582)</f>
        <v/>
      </c>
      <c r="M99" s="432">
        <f>SUMIF($G$486:$G$533,$I99,$E$486:$E$533)</f>
        <v/>
      </c>
      <c r="N99" s="432">
        <f>SUMIF($G$425:$G$485,$I99,$E$425:$E$485)</f>
        <v/>
      </c>
      <c r="O99" s="432">
        <f>SUMIF($G$389:$G$422,$I99,$E$389:$E$422)</f>
        <v/>
      </c>
      <c r="P99" s="432">
        <f>SUMIF($G$357:$G$387,$I99,$E$357:$E$387)</f>
        <v/>
      </c>
      <c r="Q99" s="432">
        <f>SUMIF($G$318:$G$355,$I99,$E$318:$E$355)</f>
        <v/>
      </c>
      <c r="R99" s="432">
        <f>SUMIF($G$282:$G$316,$I99,$E$282:$E$316)</f>
        <v/>
      </c>
      <c r="S99" s="432">
        <f>SUMIF($G$250:$G$279,$I99,$E$250:$E$279)</f>
        <v/>
      </c>
      <c r="T99" s="432">
        <f>SUMIF($G$227:$G$247,$I99,$E$227:$E$247)</f>
        <v/>
      </c>
      <c r="U99" s="432">
        <f>SUMIF($G$180:$G$225,$I99,$E$180:$E$225)</f>
        <v/>
      </c>
      <c r="V99" s="432">
        <f>SUMIF($G$126:$G$179,$I99,$E$126:$E$179)</f>
        <v/>
      </c>
      <c r="W99" s="432">
        <f>SUM(K99:V99)</f>
        <v/>
      </c>
      <c r="X99" s="460">
        <f>IFERROR(W99/$W$102,0)</f>
        <v/>
      </c>
    </row>
    <row r="100">
      <c r="I100" s="1260" t="inlineStr">
        <is>
          <t>Facebook</t>
        </is>
      </c>
      <c r="K100" s="432">
        <f>SUMIF($G$583:$G$621,$I100,$E$583:$E$621)</f>
        <v/>
      </c>
      <c r="L100" s="432">
        <f>SUMIF($G$536:$G$582,$I100,$E$536:$E$582)</f>
        <v/>
      </c>
      <c r="M100" s="432">
        <f>SUMIF($G$486:$G$533,$I100,$E$486:$E$533)</f>
        <v/>
      </c>
      <c r="N100" s="432">
        <f>SUMIF($G$425:$G$485,$I100,$E$425:$E$485)</f>
        <v/>
      </c>
      <c r="O100" s="432">
        <f>SUMIF($G$389:$G$422,$I100,$E$389:$E$422)</f>
        <v/>
      </c>
      <c r="P100" s="432">
        <f>SUMIF($G$357:$G$387,$I100,$E$357:$E$387)</f>
        <v/>
      </c>
      <c r="Q100" s="432">
        <f>SUMIF($G$318:$G$355,$I100,$E$318:$E$355)</f>
        <v/>
      </c>
      <c r="R100" s="432">
        <f>SUMIF($G$282:$G$316,$I100,$E$282:$E$316)</f>
        <v/>
      </c>
      <c r="S100" s="432">
        <f>SUMIF($G$250:$G$279,$I100,$E$250:$E$279)</f>
        <v/>
      </c>
      <c r="T100" s="432">
        <f>SUMIF($G$227:$G$247,$I100,$E$227:$E$247)</f>
        <v/>
      </c>
      <c r="U100" s="432">
        <f>SUMIF($G$180:$G$225,$I100,$E$180:$E$225)</f>
        <v/>
      </c>
      <c r="V100" s="432">
        <f>SUMIF($G$126:$G$179,$I100,$E$126:$E$179)</f>
        <v/>
      </c>
      <c r="W100" s="432">
        <f>SUM(K100:V100)</f>
        <v/>
      </c>
      <c r="X100" s="460">
        <f>IFERROR(W100/$W$102,0)</f>
        <v/>
      </c>
    </row>
    <row r="101">
      <c r="I101" s="1255" t="inlineStr">
        <is>
          <t>Other</t>
        </is>
      </c>
      <c r="K101" s="432">
        <f>SUMIF($G$583:$G$621,$I101,$E$583:$E$621)</f>
        <v/>
      </c>
      <c r="L101" s="432">
        <f>SUMIF($G$536:$G$582,$I101,$E$536:$E$582)</f>
        <v/>
      </c>
      <c r="M101" s="432">
        <f>SUMIF($G$486:$G$533,$I101,$E$486:$E$533)</f>
        <v/>
      </c>
      <c r="N101" s="432">
        <f>SUMIF($G$425:$G$485,$I101,$E$425:$E$485)</f>
        <v/>
      </c>
      <c r="O101" s="432">
        <f>SUMIF($G$389:$G$422,$I101,$E$389:$E$422)</f>
        <v/>
      </c>
      <c r="P101" s="432">
        <f>SUMIF($G$357:$G$387,$I101,$E$357:$E$387)</f>
        <v/>
      </c>
      <c r="Q101" s="432">
        <f>SUMIF($G$318:$G$355,$I101,$E$318:$E$355)</f>
        <v/>
      </c>
      <c r="R101" s="432">
        <f>SUMIF($G$282:$G$316,$I101,$E$282:$E$316)</f>
        <v/>
      </c>
      <c r="S101" s="432">
        <f>SUMIF($G$250:$G$279,$I101,$E$250:$E$279)</f>
        <v/>
      </c>
      <c r="T101" s="432">
        <f>SUMIF($G$227:$G$247,$I101,$E$227:$E$247)</f>
        <v/>
      </c>
      <c r="U101" s="432">
        <f>SUMIF($G$180:$G$225,$I101,$E$180:$E$225)</f>
        <v/>
      </c>
      <c r="V101" s="432">
        <f>SUMIF($G$126:$G$179,$I101,$E$126:$E$179)</f>
        <v/>
      </c>
      <c r="W101" s="432">
        <f>SUM(K101:V101)</f>
        <v/>
      </c>
      <c r="X101" s="460">
        <f>IFERROR(W101/$W$102,0)</f>
        <v/>
      </c>
    </row>
    <row r="102" ht="13.15" customHeight="1" s="1232">
      <c r="I102" s="914" t="n"/>
      <c r="K102" s="444">
        <f>SUM(K95:K101)</f>
        <v/>
      </c>
      <c r="L102" s="444">
        <f>SUM(L95:L101)</f>
        <v/>
      </c>
      <c r="M102" s="444">
        <f>SUM(M95:M101)</f>
        <v/>
      </c>
      <c r="N102" s="444">
        <f>SUM(N95:N101)</f>
        <v/>
      </c>
      <c r="O102" s="444">
        <f>SUM(O95:O101)</f>
        <v/>
      </c>
      <c r="P102" s="444">
        <f>SUM(P95:P101)</f>
        <v/>
      </c>
      <c r="Q102" s="444">
        <f>SUM(Q95:Q101)</f>
        <v/>
      </c>
      <c r="R102" s="444">
        <f>SUM(R95:R101)</f>
        <v/>
      </c>
      <c r="S102" s="444">
        <f>SUM(S95:S101)</f>
        <v/>
      </c>
      <c r="T102" s="444">
        <f>SUM(T95:T101)</f>
        <v/>
      </c>
      <c r="U102" s="444">
        <f>SUM(U95:U101)</f>
        <v/>
      </c>
      <c r="V102" s="444">
        <f>SUM(V95:V101)</f>
        <v/>
      </c>
      <c r="W102" s="444">
        <f>SUM(W95:W101)</f>
        <v/>
      </c>
      <c r="X102" s="460">
        <f>IFERROR(W102/$W$102,0)</f>
        <v/>
      </c>
    </row>
    <row r="103">
      <c r="J103" s="914" t="n"/>
      <c r="K103" s="914">
        <f>K83-K102</f>
        <v/>
      </c>
      <c r="L103" s="914">
        <f>L83-L102</f>
        <v/>
      </c>
      <c r="M103" s="914">
        <f>M83-M102</f>
        <v/>
      </c>
      <c r="N103" s="914">
        <f>N83-N102</f>
        <v/>
      </c>
      <c r="O103" s="914">
        <f>O83-O102</f>
        <v/>
      </c>
      <c r="P103" s="914">
        <f>P83-P102</f>
        <v/>
      </c>
      <c r="Q103" s="914">
        <f>Q83-Q102</f>
        <v/>
      </c>
      <c r="R103" s="914">
        <f>R83-R102</f>
        <v/>
      </c>
      <c r="S103" s="914">
        <f>S83-S102</f>
        <v/>
      </c>
      <c r="T103" s="914">
        <f>T83-T102</f>
        <v/>
      </c>
      <c r="U103" s="914">
        <f>U83-U102</f>
        <v/>
      </c>
      <c r="V103" s="914">
        <f>V83-V102</f>
        <v/>
      </c>
      <c r="W103" s="914">
        <f>W83-W102</f>
        <v/>
      </c>
      <c r="X103" s="914" t="n"/>
    </row>
    <row r="104" ht="13.15" customHeight="1" s="1232">
      <c r="I104" s="556" t="inlineStr">
        <is>
          <t>Booking source  £</t>
        </is>
      </c>
      <c r="K104" s="1332" t="inlineStr">
        <is>
          <t>Jan</t>
        </is>
      </c>
      <c r="L104" s="1332" t="inlineStr">
        <is>
          <t>Feb</t>
        </is>
      </c>
      <c r="M104" s="1332" t="inlineStr">
        <is>
          <t>Mar</t>
        </is>
      </c>
      <c r="N104" s="1332" t="inlineStr">
        <is>
          <t>Apr</t>
        </is>
      </c>
      <c r="O104" s="1332" t="inlineStr">
        <is>
          <t>May</t>
        </is>
      </c>
      <c r="P104" s="1332" t="inlineStr">
        <is>
          <t>Jun</t>
        </is>
      </c>
      <c r="Q104" s="1332" t="inlineStr">
        <is>
          <t>Jul</t>
        </is>
      </c>
      <c r="R104" s="1332" t="inlineStr">
        <is>
          <t>Aug</t>
        </is>
      </c>
      <c r="S104" s="1332" t="inlineStr">
        <is>
          <t>Sep</t>
        </is>
      </c>
      <c r="T104" s="1332" t="inlineStr">
        <is>
          <t>Oct</t>
        </is>
      </c>
      <c r="U104" s="1332" t="inlineStr">
        <is>
          <t>Nov</t>
        </is>
      </c>
      <c r="V104" s="1332" t="inlineStr">
        <is>
          <t>Dec</t>
        </is>
      </c>
      <c r="W104" s="1332" t="inlineStr">
        <is>
          <t>Year</t>
        </is>
      </c>
      <c r="X104" s="1278" t="inlineStr">
        <is>
          <t>Split</t>
        </is>
      </c>
    </row>
    <row r="105" ht="13.15" customHeight="1" s="1232">
      <c r="I105" s="444" t="inlineStr">
        <is>
          <t>New Clients</t>
        </is>
      </c>
      <c r="K105" s="914">
        <f>SUM(K102-K96)</f>
        <v/>
      </c>
      <c r="L105" s="914">
        <f>SUM(L102-L96)</f>
        <v/>
      </c>
      <c r="M105" s="914">
        <f>SUM(M102-M96)</f>
        <v/>
      </c>
      <c r="N105" s="914">
        <f>SUM(N102-N96)</f>
        <v/>
      </c>
      <c r="O105" s="914">
        <f>SUM(O102-O96)</f>
        <v/>
      </c>
      <c r="P105" s="914">
        <f>SUM(P102-P96)</f>
        <v/>
      </c>
      <c r="Q105" s="914">
        <f>SUM(Q102-Q96)</f>
        <v/>
      </c>
      <c r="R105" s="914">
        <f>SUM(R102-R96)</f>
        <v/>
      </c>
      <c r="S105" s="914">
        <f>SUM(S102-S96)</f>
        <v/>
      </c>
      <c r="T105" s="914">
        <f>SUM(T102-T96)</f>
        <v/>
      </c>
      <c r="U105" s="914">
        <f>SUM(U102-U96)</f>
        <v/>
      </c>
      <c r="V105" s="914">
        <f>SUM(V102-V96)</f>
        <v/>
      </c>
      <c r="W105" s="554">
        <f>SUM(K105:V105)</f>
        <v/>
      </c>
      <c r="X105" s="475">
        <f>W105/W107</f>
        <v/>
      </c>
    </row>
    <row r="106" ht="13.15" customHeight="1" s="1232">
      <c r="I106" s="444" t="inlineStr">
        <is>
          <t>Existing Clients</t>
        </is>
      </c>
      <c r="K106" s="914">
        <f>K96</f>
        <v/>
      </c>
      <c r="L106" s="914">
        <f>L96</f>
        <v/>
      </c>
      <c r="M106" s="914">
        <f>M96</f>
        <v/>
      </c>
      <c r="N106" s="914">
        <f>N96</f>
        <v/>
      </c>
      <c r="O106" s="914">
        <f>O96</f>
        <v/>
      </c>
      <c r="P106" s="914">
        <f>P96</f>
        <v/>
      </c>
      <c r="Q106" s="914">
        <f>Q96</f>
        <v/>
      </c>
      <c r="R106" s="914">
        <f>R96</f>
        <v/>
      </c>
      <c r="S106" s="914">
        <f>S96</f>
        <v/>
      </c>
      <c r="T106" s="914">
        <f>T96</f>
        <v/>
      </c>
      <c r="U106" s="914">
        <f>U96</f>
        <v/>
      </c>
      <c r="V106" s="914">
        <f>V96</f>
        <v/>
      </c>
      <c r="W106" s="562">
        <f>SUM(K106:V106)</f>
        <v/>
      </c>
      <c r="X106" s="475">
        <f>W106/W107</f>
        <v/>
      </c>
    </row>
    <row r="107" ht="13.15" customHeight="1" s="1232">
      <c r="I107" s="444" t="n"/>
      <c r="K107" s="563">
        <f>K105+K106</f>
        <v/>
      </c>
      <c r="L107" s="563">
        <f>L105+L106</f>
        <v/>
      </c>
      <c r="M107" s="563">
        <f>M105+M106</f>
        <v/>
      </c>
      <c r="N107" s="563">
        <f>N105+N106</f>
        <v/>
      </c>
      <c r="O107" s="563">
        <f>O105+O106</f>
        <v/>
      </c>
      <c r="P107" s="563">
        <f>P105+P106</f>
        <v/>
      </c>
      <c r="Q107" s="563">
        <f>Q105+Q106</f>
        <v/>
      </c>
      <c r="R107" s="563">
        <f>R105+R106</f>
        <v/>
      </c>
      <c r="S107" s="563">
        <f>S105+S106</f>
        <v/>
      </c>
      <c r="T107" s="563">
        <f>T105+T106</f>
        <v/>
      </c>
      <c r="U107" s="563">
        <f>U105+U106</f>
        <v/>
      </c>
      <c r="V107" s="563">
        <f>V105+V106</f>
        <v/>
      </c>
      <c r="W107" s="563">
        <f>W105+W106</f>
        <v/>
      </c>
      <c r="X107" s="564" t="n"/>
    </row>
    <row r="108">
      <c r="J108" s="914" t="n"/>
      <c r="K108" s="914" t="n"/>
      <c r="L108" s="914" t="n"/>
      <c r="M108" s="914" t="n"/>
      <c r="N108" s="914" t="n"/>
      <c r="O108" s="914" t="n"/>
      <c r="P108" s="914" t="n"/>
      <c r="Q108" s="914" t="n"/>
      <c r="R108" s="914" t="n"/>
      <c r="S108" s="914" t="n"/>
      <c r="T108" s="914" t="n"/>
      <c r="U108" s="914" t="n"/>
      <c r="V108" s="914" t="n"/>
      <c r="W108" s="914" t="n"/>
      <c r="X108" s="914" t="n"/>
    </row>
    <row r="109" ht="13.15" customHeight="1" s="1232">
      <c r="I109" s="556" t="inlineStr">
        <is>
          <t>Booking source  Units</t>
        </is>
      </c>
      <c r="K109" s="1332" t="inlineStr">
        <is>
          <t>Jan</t>
        </is>
      </c>
      <c r="L109" s="1332" t="inlineStr">
        <is>
          <t>Feb</t>
        </is>
      </c>
      <c r="M109" s="1332" t="inlineStr">
        <is>
          <t>Mar</t>
        </is>
      </c>
      <c r="N109" s="1332" t="inlineStr">
        <is>
          <t>Apr</t>
        </is>
      </c>
      <c r="O109" s="1332" t="inlineStr">
        <is>
          <t>May</t>
        </is>
      </c>
      <c r="P109" s="1332" t="inlineStr">
        <is>
          <t>Jun</t>
        </is>
      </c>
      <c r="Q109" s="1332" t="inlineStr">
        <is>
          <t>Jul</t>
        </is>
      </c>
      <c r="R109" s="1332" t="inlineStr">
        <is>
          <t>Aug</t>
        </is>
      </c>
      <c r="S109" s="1332" t="inlineStr">
        <is>
          <t>Sep</t>
        </is>
      </c>
      <c r="T109" s="1332" t="inlineStr">
        <is>
          <t>Oct</t>
        </is>
      </c>
      <c r="U109" s="1332" t="inlineStr">
        <is>
          <t>Nov</t>
        </is>
      </c>
      <c r="V109" s="1332" t="inlineStr">
        <is>
          <t>Dec</t>
        </is>
      </c>
      <c r="W109" s="1332" t="inlineStr">
        <is>
          <t>Year</t>
        </is>
      </c>
      <c r="X109" s="1278" t="inlineStr">
        <is>
          <t>Split</t>
        </is>
      </c>
    </row>
    <row r="110" ht="13.15" customHeight="1" s="1232">
      <c r="I110" s="444" t="inlineStr">
        <is>
          <t>New Clients</t>
        </is>
      </c>
      <c r="K110" s="914">
        <f>COUNTA(G464:G621)-K111</f>
        <v/>
      </c>
      <c r="L110" s="914">
        <f>COUNTA(G536:G582)-L111</f>
        <v/>
      </c>
      <c r="M110" s="914">
        <f>COUNTA($G486:$G533)-M111</f>
        <v/>
      </c>
      <c r="N110" s="914">
        <f>COUNTA($G425:$G485)-N111</f>
        <v/>
      </c>
      <c r="O110" s="914">
        <f>COUNTA($G389:$G422)-O111</f>
        <v/>
      </c>
      <c r="P110" s="914">
        <f>COUNTA($G357:$G388)-P111</f>
        <v/>
      </c>
      <c r="Q110" s="914">
        <f>COUNTA($G318:$G355)-Q111</f>
        <v/>
      </c>
      <c r="R110" s="914">
        <f>COUNTA($G282:$G316)-R111</f>
        <v/>
      </c>
      <c r="S110" s="914">
        <f>COUNTA($G250:$G279)-S111</f>
        <v/>
      </c>
      <c r="T110" s="914">
        <f>COUNTA($G226:$G247)-T111</f>
        <v/>
      </c>
      <c r="U110" s="914">
        <f>COUNTA($G180:$G225)-U111</f>
        <v/>
      </c>
      <c r="V110" s="914">
        <f>COUNTA($G126:$G179)-V111</f>
        <v/>
      </c>
      <c r="W110" s="554">
        <f>SUM(K110:V110)</f>
        <v/>
      </c>
      <c r="X110" s="475">
        <f>W110/W112</f>
        <v/>
      </c>
    </row>
    <row r="111" ht="13.15" customHeight="1" s="1232">
      <c r="I111" s="444" t="inlineStr">
        <is>
          <t>Existing Clients</t>
        </is>
      </c>
      <c r="K111" s="914">
        <f>COUNTIF(G464:G621,"Existing")</f>
        <v/>
      </c>
      <c r="L111" s="914">
        <f>COUNTIF(G536:G581,"Existing")</f>
        <v/>
      </c>
      <c r="M111" s="914">
        <f>COUNTIF($G486:$G533,"Existing")</f>
        <v/>
      </c>
      <c r="N111" s="914">
        <f>COUNTIF($G425:$G485,"Existing")</f>
        <v/>
      </c>
      <c r="O111" s="914">
        <f>COUNTIF($G389:$G422,"Existing")</f>
        <v/>
      </c>
      <c r="P111" s="914">
        <f>COUNTIF($G357:$G388,"Existing")</f>
        <v/>
      </c>
      <c r="Q111" s="914">
        <f>COUNTIF($G318:$G355,"Existing")</f>
        <v/>
      </c>
      <c r="R111" s="914">
        <f>COUNTIF($G282:$G316,"Existing")</f>
        <v/>
      </c>
      <c r="S111" s="914">
        <f>COUNTIF($G250:$G280,"Existing")</f>
        <v/>
      </c>
      <c r="T111" s="914">
        <f>COUNTIF($G227:$G247,"Existing")</f>
        <v/>
      </c>
      <c r="U111" s="914">
        <f>COUNTIF($G180:$G225,"Existing")</f>
        <v/>
      </c>
      <c r="V111" s="914">
        <f>COUNTIF($G126:$G179,"Existing")</f>
        <v/>
      </c>
      <c r="W111" s="554">
        <f>SUM(K111:V111)</f>
        <v/>
      </c>
      <c r="X111" s="475">
        <f>W111/$W$112</f>
        <v/>
      </c>
    </row>
    <row r="112" ht="13.15" customHeight="1" s="1232">
      <c r="J112" s="914" t="n"/>
      <c r="K112" s="563">
        <f>K110+K111</f>
        <v/>
      </c>
      <c r="L112" s="563">
        <f>L110+L111</f>
        <v/>
      </c>
      <c r="M112" s="563">
        <f>M110+M111</f>
        <v/>
      </c>
      <c r="N112" s="563">
        <f>N110+N111</f>
        <v/>
      </c>
      <c r="O112" s="563">
        <f>O110+O111</f>
        <v/>
      </c>
      <c r="P112" s="563">
        <f>P110+P111</f>
        <v/>
      </c>
      <c r="Q112" s="563">
        <f>Q110+Q111</f>
        <v/>
      </c>
      <c r="R112" s="563">
        <f>R110+R111</f>
        <v/>
      </c>
      <c r="S112" s="563">
        <f>S110+S111</f>
        <v/>
      </c>
      <c r="T112" s="563">
        <f>T110+T111</f>
        <v/>
      </c>
      <c r="U112" s="563">
        <f>U110+U111</f>
        <v/>
      </c>
      <c r="V112" s="563">
        <f>V110+V111</f>
        <v/>
      </c>
      <c r="W112" s="563">
        <f>W110+W111</f>
        <v/>
      </c>
      <c r="X112" s="564" t="n"/>
    </row>
    <row r="114" ht="13.15" customHeight="1" s="1232">
      <c r="I114" s="556" t="inlineStr">
        <is>
          <t>Booking source  AVG PPU</t>
        </is>
      </c>
      <c r="K114" s="1332" t="inlineStr">
        <is>
          <t>Jan</t>
        </is>
      </c>
      <c r="L114" s="1332" t="inlineStr">
        <is>
          <t>Feb</t>
        </is>
      </c>
      <c r="M114" s="1332" t="inlineStr">
        <is>
          <t>Mar</t>
        </is>
      </c>
      <c r="N114" s="1332" t="inlineStr">
        <is>
          <t>Apr</t>
        </is>
      </c>
      <c r="O114" s="1332" t="inlineStr">
        <is>
          <t>May</t>
        </is>
      </c>
      <c r="P114" s="1332" t="inlineStr">
        <is>
          <t>Jun</t>
        </is>
      </c>
      <c r="Q114" s="1332" t="inlineStr">
        <is>
          <t>Jul</t>
        </is>
      </c>
      <c r="R114" s="1332" t="inlineStr">
        <is>
          <t>Aug</t>
        </is>
      </c>
      <c r="S114" s="1332" t="inlineStr">
        <is>
          <t>Sep</t>
        </is>
      </c>
      <c r="T114" s="1332" t="inlineStr">
        <is>
          <t>Oct</t>
        </is>
      </c>
      <c r="U114" s="1332" t="inlineStr">
        <is>
          <t>Nov</t>
        </is>
      </c>
      <c r="V114" s="1332" t="inlineStr">
        <is>
          <t>Dec</t>
        </is>
      </c>
      <c r="W114" s="1332" t="inlineStr">
        <is>
          <t>Year</t>
        </is>
      </c>
      <c r="X114" s="1278" t="inlineStr">
        <is>
          <t>Split</t>
        </is>
      </c>
    </row>
    <row r="115" ht="13.15" customHeight="1" s="1232">
      <c r="I115" s="444" t="inlineStr">
        <is>
          <t>New Clients</t>
        </is>
      </c>
      <c r="K115" s="914">
        <f>IFERROR(K105/K110,0)</f>
        <v/>
      </c>
      <c r="L115" s="914">
        <f>IFERROR(L105/L110,0)</f>
        <v/>
      </c>
      <c r="M115" s="914">
        <f>IFERROR(M105/M110,0)</f>
        <v/>
      </c>
      <c r="N115" s="914">
        <f>IFERROR(N105/N110,0)</f>
        <v/>
      </c>
      <c r="O115" s="914">
        <f>IFERROR(O105/O110,0)</f>
        <v/>
      </c>
      <c r="P115" s="914">
        <f>IFERROR(P105/P110,0)</f>
        <v/>
      </c>
      <c r="Q115" s="914">
        <f>IFERROR(Q105/Q110,0)</f>
        <v/>
      </c>
      <c r="R115" s="914">
        <f>IFERROR(R105/R110,0)</f>
        <v/>
      </c>
      <c r="S115" s="914">
        <f>IFERROR(S105/S110,0)</f>
        <v/>
      </c>
      <c r="T115" s="914">
        <f>IFERROR(T105/T110,0)</f>
        <v/>
      </c>
      <c r="U115" s="914">
        <f>IFERROR(U105/U110,0)</f>
        <v/>
      </c>
      <c r="V115" s="914">
        <f>IFERROR(V105/V110,0)</f>
        <v/>
      </c>
      <c r="W115" s="554">
        <f>AVERAGE(K115:V115)</f>
        <v/>
      </c>
      <c r="X115" s="475">
        <f>W115/W117</f>
        <v/>
      </c>
    </row>
    <row r="116" ht="13.15" customHeight="1" s="1232">
      <c r="I116" s="444" t="inlineStr">
        <is>
          <t>Existing Clients</t>
        </is>
      </c>
      <c r="K116" s="914">
        <f>IFERROR(K106/K111,0)</f>
        <v/>
      </c>
      <c r="L116" s="914">
        <f>IFERROR(L106/L111,0)</f>
        <v/>
      </c>
      <c r="M116" s="914">
        <f>IFERROR(M106/M111,0)</f>
        <v/>
      </c>
      <c r="N116" s="914">
        <f>IFERROR(N106/N111,0)</f>
        <v/>
      </c>
      <c r="O116" s="914">
        <f>IFERROR(O106/O111,0)</f>
        <v/>
      </c>
      <c r="P116" s="914">
        <f>IFERROR(P106/P111,0)</f>
        <v/>
      </c>
      <c r="Q116" s="914">
        <f>IFERROR(Q106/Q111,0)</f>
        <v/>
      </c>
      <c r="R116" s="914">
        <f>IFERROR(R106/R111,0)</f>
        <v/>
      </c>
      <c r="S116" s="914">
        <f>IFERROR(S106/S111,0)</f>
        <v/>
      </c>
      <c r="T116" s="914">
        <f>IFERROR(T106/T111,0)</f>
        <v/>
      </c>
      <c r="U116" s="914">
        <f>IFERROR(U106/U111,0)</f>
        <v/>
      </c>
      <c r="V116" s="914">
        <f>IFERROR(V106/V111,0)</f>
        <v/>
      </c>
      <c r="W116" s="554">
        <f>AVERAGE(K116:V116)</f>
        <v/>
      </c>
      <c r="X116" s="475">
        <f>W116/$W$117</f>
        <v/>
      </c>
    </row>
    <row r="117" ht="13.15" customHeight="1" s="1232">
      <c r="J117" s="914" t="n"/>
      <c r="K117" s="563">
        <f>K115+K116</f>
        <v/>
      </c>
      <c r="L117" s="563">
        <f>L115+L116</f>
        <v/>
      </c>
      <c r="M117" s="563">
        <f>M115+M116</f>
        <v/>
      </c>
      <c r="N117" s="563">
        <f>N115+N116</f>
        <v/>
      </c>
      <c r="O117" s="563">
        <f>O115+O116</f>
        <v/>
      </c>
      <c r="P117" s="563">
        <f>P115+P116</f>
        <v/>
      </c>
      <c r="Q117" s="563">
        <f>Q115+Q116</f>
        <v/>
      </c>
      <c r="R117" s="563">
        <f>R115+R116</f>
        <v/>
      </c>
      <c r="S117" s="563">
        <f>S115+S116</f>
        <v/>
      </c>
      <c r="T117" s="563">
        <f>T115+T116</f>
        <v/>
      </c>
      <c r="U117" s="563">
        <f>U115+U116</f>
        <v/>
      </c>
      <c r="V117" s="563">
        <f>V115+V116</f>
        <v/>
      </c>
      <c r="W117" s="563">
        <f>W115+W116</f>
        <v/>
      </c>
      <c r="X117" s="564" t="n"/>
    </row>
    <row r="118">
      <c r="I118" s="914" t="n"/>
      <c r="J118" s="914" t="n"/>
      <c r="K118" s="914" t="n"/>
      <c r="L118" s="914" t="n"/>
      <c r="M118" s="914" t="n"/>
      <c r="N118" s="914" t="n"/>
      <c r="O118" s="914" t="n"/>
      <c r="P118" s="914" t="n"/>
      <c r="Q118" s="914" t="n"/>
      <c r="R118" s="914" t="n"/>
      <c r="S118" s="914" t="n"/>
      <c r="T118" s="914" t="n"/>
      <c r="U118" s="914" t="n"/>
      <c r="V118" s="914" t="n"/>
    </row>
    <row r="119">
      <c r="H119" s="914" t="n"/>
      <c r="I119" s="914" t="n"/>
      <c r="J119" s="914" t="n"/>
      <c r="K119" s="914" t="n"/>
      <c r="L119" s="914" t="n"/>
      <c r="M119" s="914" t="n"/>
      <c r="N119" s="914" t="n"/>
      <c r="O119" s="914" t="n"/>
      <c r="P119" s="914" t="n"/>
      <c r="Q119" s="914" t="n"/>
      <c r="R119" s="914" t="n"/>
      <c r="S119" s="914" t="n"/>
      <c r="T119" s="914" t="n"/>
      <c r="U119" s="914" t="n"/>
      <c r="V119" s="914" t="n"/>
    </row>
    <row r="120">
      <c r="H120" s="914" t="n"/>
      <c r="I120" s="914" t="n"/>
      <c r="J120" s="914" t="n"/>
      <c r="K120" s="914" t="n"/>
      <c r="L120" s="914" t="n"/>
      <c r="M120" s="914" t="n"/>
      <c r="N120" s="914" t="n"/>
      <c r="O120" s="914" t="n"/>
      <c r="P120" s="914" t="n"/>
      <c r="Q120" s="914" t="n"/>
      <c r="R120" s="914" t="n"/>
      <c r="S120" s="914" t="n"/>
      <c r="T120" s="914" t="n"/>
      <c r="U120" s="914" t="n"/>
      <c r="V120" s="914" t="n"/>
    </row>
    <row r="121">
      <c r="H121" s="914" t="n"/>
      <c r="I121" s="914" t="n"/>
      <c r="J121" s="914" t="n"/>
      <c r="K121" s="914" t="n"/>
      <c r="L121" s="914" t="n"/>
      <c r="M121" s="914" t="n"/>
      <c r="N121" s="914" t="n"/>
      <c r="O121" s="914" t="n"/>
      <c r="P121" s="914" t="n"/>
      <c r="Q121" s="914" t="n"/>
      <c r="R121" s="914" t="n"/>
      <c r="S121" s="914" t="n"/>
      <c r="T121" s="914" t="n"/>
      <c r="U121" s="914" t="n"/>
      <c r="V121" s="914" t="n"/>
    </row>
    <row r="122">
      <c r="H122" s="914" t="n"/>
      <c r="I122" s="914" t="n"/>
      <c r="J122" s="914" t="n"/>
      <c r="K122" s="914" t="n"/>
      <c r="L122" s="914" t="n"/>
      <c r="M122" s="914" t="n"/>
      <c r="N122" s="914" t="n"/>
      <c r="O122" s="914" t="n"/>
      <c r="P122" s="914" t="n"/>
      <c r="Q122" s="914" t="n"/>
      <c r="R122" s="914" t="n"/>
      <c r="S122" s="914" t="n"/>
      <c r="T122" s="914" t="n"/>
      <c r="U122" s="914" t="n"/>
      <c r="V122" s="914" t="n"/>
    </row>
    <row r="123">
      <c r="H123" s="914" t="n"/>
      <c r="I123" s="914" t="n"/>
      <c r="J123" s="914" t="n"/>
      <c r="K123" s="914" t="n"/>
      <c r="L123" s="914" t="n"/>
      <c r="M123" s="914" t="n"/>
      <c r="N123" s="914" t="n"/>
      <c r="O123" s="914" t="n"/>
      <c r="P123" s="914" t="n"/>
      <c r="Q123" s="914" t="n"/>
      <c r="R123" s="914" t="n"/>
      <c r="S123" s="914" t="n"/>
      <c r="T123" s="914" t="n"/>
      <c r="U123" s="914" t="n"/>
      <c r="V123" s="914" t="n"/>
    </row>
    <row r="124" ht="13.15" customHeight="1" s="1232">
      <c r="E124" s="605">
        <f>SUM(E126:E643)</f>
        <v/>
      </c>
      <c r="H124" s="914" t="n"/>
      <c r="I124" s="914" t="n"/>
      <c r="J124" s="914" t="n"/>
      <c r="K124" s="914" t="n"/>
      <c r="L124" s="914" t="n"/>
      <c r="M124" s="914" t="n"/>
      <c r="N124" s="914" t="n"/>
      <c r="O124" s="914" t="n"/>
      <c r="P124" s="914" t="n"/>
      <c r="Q124" s="914" t="n"/>
      <c r="R124" s="914" t="n"/>
      <c r="S124" s="914" t="n"/>
      <c r="T124" s="914" t="n"/>
      <c r="U124" s="914" t="n"/>
      <c r="V124" s="914" t="n"/>
    </row>
    <row r="125" ht="13.9" customHeight="1" s="1232">
      <c r="A125" s="1345" t="inlineStr">
        <is>
          <t>Date</t>
        </is>
      </c>
      <c r="B125" s="1346" t="inlineStr">
        <is>
          <t>Client</t>
        </is>
      </c>
      <c r="C125" s="1346" t="inlineStr">
        <is>
          <t>Category</t>
        </is>
      </c>
      <c r="D125" s="1346" t="inlineStr">
        <is>
          <t>Funding</t>
        </is>
      </c>
      <c r="E125" s="1347" t="inlineStr">
        <is>
          <t>Amount</t>
        </is>
      </c>
      <c r="F125" s="1346" t="inlineStr">
        <is>
          <t>Event</t>
        </is>
      </c>
      <c r="G125" s="1346" t="inlineStr">
        <is>
          <t>Source</t>
        </is>
      </c>
      <c r="H125" s="914" t="n"/>
      <c r="I125" s="914" t="n"/>
      <c r="J125" s="914" t="n"/>
      <c r="K125" s="914" t="n"/>
      <c r="L125" s="914" t="n"/>
      <c r="M125" s="914" t="n"/>
      <c r="N125" s="914" t="n"/>
      <c r="O125" s="914" t="n"/>
      <c r="P125" s="914" t="n"/>
      <c r="Q125" s="914" t="n"/>
      <c r="R125" s="914" t="n"/>
      <c r="S125" s="914" t="n"/>
      <c r="T125" s="914" t="n"/>
      <c r="U125" s="914" t="n"/>
      <c r="V125" s="914" t="n"/>
    </row>
    <row r="133" ht="13.5" customHeight="1" s="1232">
      <c r="A133" s="1393" t="n">
        <v>43830</v>
      </c>
      <c r="B133" s="1260" t="inlineStr">
        <is>
          <t>Paul Inman</t>
        </is>
      </c>
      <c r="C133" s="1255" t="inlineStr">
        <is>
          <t>1. Courses/masterclasses</t>
        </is>
      </c>
      <c r="D133" s="1260" t="inlineStr">
        <is>
          <t>Stripe</t>
        </is>
      </c>
      <c r="E133" s="1394" t="n">
        <v>30</v>
      </c>
      <c r="F133" s="1260" t="inlineStr">
        <is>
          <t>Get off Auto</t>
        </is>
      </c>
      <c r="G133" s="1260" t="inlineStr">
        <is>
          <t>Google</t>
        </is>
      </c>
    </row>
    <row r="134" ht="13.5" customHeight="1" s="1232">
      <c r="A134" s="1393" t="n">
        <v>43830</v>
      </c>
      <c r="B134" s="1260" t="inlineStr">
        <is>
          <t>Artfully Walls</t>
        </is>
      </c>
      <c r="C134" s="1255" t="inlineStr">
        <is>
          <t>8. Prints &amp; Royalties</t>
        </is>
      </c>
      <c r="D134" s="1260" t="inlineStr">
        <is>
          <t>PayPal</t>
        </is>
      </c>
      <c r="E134" s="1394" t="n">
        <v>228.61</v>
      </c>
      <c r="F134" s="1260" t="inlineStr">
        <is>
          <t>Print Sales</t>
        </is>
      </c>
      <c r="G134" s="1260" t="inlineStr">
        <is>
          <t>Existing</t>
        </is>
      </c>
    </row>
    <row r="135" ht="13.5" customHeight="1" s="1232">
      <c r="A135" s="1393" t="n">
        <v>43829</v>
      </c>
      <c r="B135" s="1260" t="inlineStr">
        <is>
          <t>Melanie Radcliffe</t>
        </is>
      </c>
      <c r="C135" s="1255" t="inlineStr">
        <is>
          <t>2. Workshops</t>
        </is>
      </c>
      <c r="D135" s="1260" t="inlineStr">
        <is>
          <t>Stripe</t>
        </is>
      </c>
      <c r="E135" s="1394" t="n">
        <v>20</v>
      </c>
      <c r="F135" s="1260" t="inlineStr">
        <is>
          <t>Woodland Walk</t>
        </is>
      </c>
      <c r="G135" s="1260" t="inlineStr">
        <is>
          <t>Google</t>
        </is>
      </c>
    </row>
    <row r="136" ht="13.5" customHeight="1" s="1232">
      <c r="A136" s="1393" t="n">
        <v>43829</v>
      </c>
      <c r="B136" s="1260" t="inlineStr">
        <is>
          <t>Christine Harrop</t>
        </is>
      </c>
      <c r="C136" s="1255" t="inlineStr">
        <is>
          <t>6. 1-2-1</t>
        </is>
      </c>
      <c r="D136" s="1260" t="inlineStr">
        <is>
          <t>Stripe</t>
        </is>
      </c>
      <c r="E136" s="1394" t="n">
        <v>120</v>
      </c>
      <c r="F136" s="1282" t="inlineStr">
        <is>
          <t>1-2-1</t>
        </is>
      </c>
      <c r="G136" s="1260" t="inlineStr">
        <is>
          <t>Google</t>
        </is>
      </c>
    </row>
    <row r="137" ht="13.5" customHeight="1" s="1232">
      <c r="A137" s="1393" t="n">
        <v>43825</v>
      </c>
      <c r="B137" s="1260" t="inlineStr">
        <is>
          <t>Ian Harrop</t>
        </is>
      </c>
      <c r="C137" s="1255" t="inlineStr">
        <is>
          <t>2. Workshops</t>
        </is>
      </c>
      <c r="D137" s="1260" t="inlineStr">
        <is>
          <t>Stripe</t>
        </is>
      </c>
      <c r="E137" s="1394" t="n">
        <v>10</v>
      </c>
      <c r="F137" s="1260" t="inlineStr">
        <is>
          <t>Woodland Walk</t>
        </is>
      </c>
      <c r="G137" s="1260" t="inlineStr">
        <is>
          <t>Existing</t>
        </is>
      </c>
    </row>
    <row r="138" ht="13.5" customHeight="1" s="1232">
      <c r="A138" s="1393" t="n">
        <v>43823</v>
      </c>
      <c r="B138" s="1260" t="inlineStr">
        <is>
          <t>Grant Harbert</t>
        </is>
      </c>
      <c r="C138" s="1255" t="inlineStr">
        <is>
          <t>10. Other</t>
        </is>
      </c>
      <c r="D138" s="1260" t="inlineStr">
        <is>
          <t>PayPal</t>
        </is>
      </c>
      <c r="E138" s="1394" t="n">
        <v>0.9</v>
      </c>
      <c r="F138" s="1260" t="inlineStr">
        <is>
          <t>Pocket Guide</t>
        </is>
      </c>
      <c r="G138" s="1260" t="inlineStr">
        <is>
          <t>Existing</t>
        </is>
      </c>
    </row>
    <row r="139" ht="13.5" customHeight="1" s="1232">
      <c r="A139" s="1393" t="n">
        <v>43823</v>
      </c>
      <c r="B139" s="1260" t="inlineStr">
        <is>
          <t>Nicole de Jong</t>
        </is>
      </c>
      <c r="C139" s="1255" t="inlineStr">
        <is>
          <t>6. 1-2-1</t>
        </is>
      </c>
      <c r="D139" s="1260" t="inlineStr">
        <is>
          <t>PayPal</t>
        </is>
      </c>
      <c r="E139" s="1394" t="n">
        <v>65</v>
      </c>
      <c r="F139" s="1282" t="inlineStr">
        <is>
          <t>1-2-1</t>
        </is>
      </c>
      <c r="G139" s="1260" t="inlineStr">
        <is>
          <t>Google</t>
        </is>
      </c>
    </row>
    <row r="140" ht="13.5" customHeight="1" s="1232">
      <c r="A140" s="1393" t="n">
        <v>43823</v>
      </c>
      <c r="B140" s="1260" t="inlineStr">
        <is>
          <t>John Perks</t>
        </is>
      </c>
      <c r="C140" s="1255" t="inlineStr">
        <is>
          <t>6. 1-2-1</t>
        </is>
      </c>
      <c r="D140" s="1260" t="inlineStr">
        <is>
          <t>Stripe</t>
        </is>
      </c>
      <c r="E140" s="1394" t="n">
        <v>100</v>
      </c>
      <c r="F140" s="1282" t="inlineStr">
        <is>
          <t>1-2-1</t>
        </is>
      </c>
      <c r="G140" s="1260" t="inlineStr">
        <is>
          <t>Existing</t>
        </is>
      </c>
    </row>
    <row r="141" ht="13.5" customHeight="1" s="1232">
      <c r="A141" s="1393" t="n">
        <v>43822</v>
      </c>
      <c r="B141" s="1260" t="inlineStr">
        <is>
          <t>Clare Anderson</t>
        </is>
      </c>
      <c r="C141" s="1255" t="inlineStr">
        <is>
          <t>7. Gift Vouchers</t>
        </is>
      </c>
      <c r="D141" s="1260" t="inlineStr">
        <is>
          <t>PayPal</t>
        </is>
      </c>
      <c r="E141" s="1394" t="n">
        <v>200</v>
      </c>
      <c r="F141" s="1260" t="inlineStr">
        <is>
          <t>Digital Gift Card</t>
        </is>
      </c>
      <c r="G141" s="1260" t="inlineStr">
        <is>
          <t>Google</t>
        </is>
      </c>
    </row>
    <row r="142" ht="13.5" customHeight="1" s="1232">
      <c r="A142" s="1393" t="n">
        <v>43821</v>
      </c>
      <c r="B142" s="1260" t="inlineStr">
        <is>
          <t>Susan Gaffney</t>
        </is>
      </c>
      <c r="C142" s="1255" t="inlineStr">
        <is>
          <t>1. Courses/masterclasses</t>
        </is>
      </c>
      <c r="D142" s="1260" t="inlineStr">
        <is>
          <t>PayPal</t>
        </is>
      </c>
      <c r="E142" s="1394" t="n">
        <v>30</v>
      </c>
      <c r="F142" s="1260" t="inlineStr">
        <is>
          <t>Get off Auto</t>
        </is>
      </c>
      <c r="G142" s="1260" t="inlineStr">
        <is>
          <t>Google</t>
        </is>
      </c>
    </row>
    <row r="143" ht="13.5" customHeight="1" s="1232">
      <c r="A143" s="1393" t="n">
        <v>43820</v>
      </c>
      <c r="B143" s="1260" t="inlineStr">
        <is>
          <t>Janet Tucker</t>
        </is>
      </c>
      <c r="C143" s="1255" t="inlineStr">
        <is>
          <t>2. Workshops</t>
        </is>
      </c>
      <c r="D143" s="1260" t="inlineStr">
        <is>
          <t>Stripe</t>
        </is>
      </c>
      <c r="E143" s="1394" t="n">
        <v>99</v>
      </c>
      <c r="F143" s="1260" t="inlineStr">
        <is>
          <t>1 Day Workshop ?</t>
        </is>
      </c>
      <c r="G143" s="1260" t="inlineStr">
        <is>
          <t>Google</t>
        </is>
      </c>
    </row>
    <row r="144" ht="13.5" customHeight="1" s="1232">
      <c r="A144" s="1393" t="n">
        <v>43820</v>
      </c>
      <c r="B144" s="1260" t="inlineStr">
        <is>
          <t>Georgina Smith</t>
        </is>
      </c>
      <c r="C144" s="1255" t="inlineStr">
        <is>
          <t>2. Workshops</t>
        </is>
      </c>
      <c r="D144" s="1260" t="inlineStr">
        <is>
          <t>Stripe</t>
        </is>
      </c>
      <c r="E144" s="1394" t="n">
        <v>20</v>
      </c>
      <c r="F144" s="1260" t="inlineStr">
        <is>
          <t>Woodland Walk</t>
        </is>
      </c>
      <c r="G144" s="1260" t="inlineStr">
        <is>
          <t>Existing</t>
        </is>
      </c>
    </row>
    <row r="145" ht="13.5" customHeight="1" s="1232">
      <c r="A145" s="1393" t="n">
        <v>43820</v>
      </c>
      <c r="B145" s="1260" t="inlineStr">
        <is>
          <t>Peter Trend</t>
        </is>
      </c>
      <c r="C145" s="1255" t="inlineStr">
        <is>
          <t>1. Courses/masterclasses</t>
        </is>
      </c>
      <c r="D145" s="1260" t="inlineStr">
        <is>
          <t>Stripe</t>
        </is>
      </c>
      <c r="E145" s="1394" t="n">
        <v>250</v>
      </c>
      <c r="F145" s="1260" t="inlineStr">
        <is>
          <t>5wk Beginners Course</t>
        </is>
      </c>
      <c r="G145" s="1260" t="inlineStr">
        <is>
          <t>Google</t>
        </is>
      </c>
    </row>
    <row r="146" ht="13.5" customHeight="1" s="1232">
      <c r="A146" s="1393" t="n">
        <v>43819</v>
      </c>
      <c r="B146" s="1260" t="inlineStr">
        <is>
          <t>Pixsy Resolution</t>
        </is>
      </c>
      <c r="C146" s="1255" t="inlineStr">
        <is>
          <t>8. Prints &amp; Royalties</t>
        </is>
      </c>
      <c r="D146" s="1260" t="inlineStr">
        <is>
          <t>PayPal</t>
        </is>
      </c>
      <c r="E146" s="1394" t="n">
        <v>199.68</v>
      </c>
      <c r="F146" s="1260" t="inlineStr">
        <is>
          <t>Poppy Copyright</t>
        </is>
      </c>
      <c r="G146" s="1260" t="inlineStr">
        <is>
          <t>Existing</t>
        </is>
      </c>
    </row>
    <row r="147" ht="13.5" customHeight="1" s="1232">
      <c r="A147" s="1393" t="n">
        <v>43819</v>
      </c>
      <c r="B147" s="1260" t="inlineStr">
        <is>
          <t>Alia Fahmy</t>
        </is>
      </c>
      <c r="C147" s="1255" t="inlineStr">
        <is>
          <t>7. Gift Vouchers</t>
        </is>
      </c>
      <c r="D147" s="1260" t="inlineStr">
        <is>
          <t>Stripe</t>
        </is>
      </c>
      <c r="E147" s="1394" t="n">
        <v>100</v>
      </c>
      <c r="F147" s="1260" t="inlineStr">
        <is>
          <t>Digital Gift Card</t>
        </is>
      </c>
      <c r="G147" s="1260" t="inlineStr">
        <is>
          <t>Google</t>
        </is>
      </c>
    </row>
    <row r="148" ht="13.5" customHeight="1" s="1232">
      <c r="A148" s="1393" t="n">
        <v>43818</v>
      </c>
      <c r="B148" s="1260" t="inlineStr">
        <is>
          <t>James Morrell</t>
        </is>
      </c>
      <c r="C148" s="1255" t="inlineStr">
        <is>
          <t>7. Gift Vouchers</t>
        </is>
      </c>
      <c r="D148" s="1260" t="inlineStr">
        <is>
          <t>PayPal</t>
        </is>
      </c>
      <c r="E148" s="1394" t="n">
        <v>50</v>
      </c>
      <c r="F148" s="1260" t="inlineStr">
        <is>
          <t>Digital Gift Card</t>
        </is>
      </c>
      <c r="G148" s="1260" t="inlineStr">
        <is>
          <t>Google</t>
        </is>
      </c>
    </row>
    <row r="149" ht="13.5" customHeight="1" s="1232">
      <c r="A149" s="1393" t="n">
        <v>43818</v>
      </c>
      <c r="B149" s="1260" t="inlineStr">
        <is>
          <t>Nuria Alonso</t>
        </is>
      </c>
      <c r="C149" s="1255" t="inlineStr">
        <is>
          <t>6. 1-2-1</t>
        </is>
      </c>
      <c r="D149" s="1260" t="inlineStr">
        <is>
          <t>Stripe</t>
        </is>
      </c>
      <c r="E149" s="1394" t="n">
        <v>85</v>
      </c>
      <c r="F149" s="1282" t="inlineStr">
        <is>
          <t>1-2-1</t>
        </is>
      </c>
      <c r="G149" s="1260" t="inlineStr">
        <is>
          <t>Existing</t>
        </is>
      </c>
    </row>
    <row r="150" ht="13.5" customHeight="1" s="1232">
      <c r="A150" s="1393" t="n">
        <v>43817</v>
      </c>
      <c r="B150" s="1260" t="inlineStr">
        <is>
          <t>Peter Jordan</t>
        </is>
      </c>
      <c r="C150" s="1255" t="inlineStr">
        <is>
          <t>7. Gift Vouchers</t>
        </is>
      </c>
      <c r="D150" s="1260" t="inlineStr">
        <is>
          <t>Stripe</t>
        </is>
      </c>
      <c r="E150" s="1394" t="n">
        <v>50</v>
      </c>
      <c r="F150" s="1260" t="inlineStr">
        <is>
          <t>Digital Gift Card</t>
        </is>
      </c>
      <c r="G150" s="1260" t="inlineStr">
        <is>
          <t>Google</t>
        </is>
      </c>
    </row>
    <row r="151" ht="13.5" customHeight="1" s="1232">
      <c r="A151" s="1393" t="n">
        <v>43817</v>
      </c>
      <c r="B151" s="1260" t="inlineStr">
        <is>
          <t>Mandy Earl</t>
        </is>
      </c>
      <c r="C151" s="1255" t="inlineStr">
        <is>
          <t>7. Gift Vouchers</t>
        </is>
      </c>
      <c r="D151" s="1260" t="inlineStr">
        <is>
          <t>Stripe</t>
        </is>
      </c>
      <c r="E151" s="1394" t="n">
        <v>150</v>
      </c>
      <c r="F151" s="1260" t="inlineStr">
        <is>
          <t>Digital Gift Card</t>
        </is>
      </c>
      <c r="G151" s="1260" t="inlineStr">
        <is>
          <t>Google</t>
        </is>
      </c>
    </row>
    <row r="152" ht="13.5" customHeight="1" s="1232">
      <c r="A152" s="1393" t="n">
        <v>43816</v>
      </c>
      <c r="B152" s="1260" t="inlineStr">
        <is>
          <t>James Muldoon</t>
        </is>
      </c>
      <c r="C152" s="1255" t="inlineStr">
        <is>
          <t>2. Workshops</t>
        </is>
      </c>
      <c r="D152" s="1260" t="inlineStr">
        <is>
          <t>Stripe</t>
        </is>
      </c>
      <c r="E152" s="1394" t="n">
        <v>50</v>
      </c>
      <c r="F152" s="1260" t="inlineStr">
        <is>
          <t>?</t>
        </is>
      </c>
      <c r="G152" s="1260" t="inlineStr">
        <is>
          <t>Google</t>
        </is>
      </c>
    </row>
    <row r="153" ht="13.5" customHeight="1" s="1232">
      <c r="A153" s="1393" t="n">
        <v>43816</v>
      </c>
      <c r="B153" s="1260" t="inlineStr">
        <is>
          <t>James Muldoon</t>
        </is>
      </c>
      <c r="C153" s="1255" t="inlineStr">
        <is>
          <t>1. Courses/masterclasses</t>
        </is>
      </c>
      <c r="D153" s="1260" t="inlineStr">
        <is>
          <t>Stripe</t>
        </is>
      </c>
      <c r="E153" s="1394" t="n">
        <v>30</v>
      </c>
      <c r="F153" s="1260" t="inlineStr">
        <is>
          <t>Get off Auto</t>
        </is>
      </c>
      <c r="G153" s="1260" t="inlineStr">
        <is>
          <t>Google</t>
        </is>
      </c>
    </row>
    <row r="154" ht="13.5" customHeight="1" s="1232">
      <c r="A154" s="1393" t="n">
        <v>43816</v>
      </c>
      <c r="B154" s="1260" t="inlineStr">
        <is>
          <t>Ann Marie Howarth</t>
        </is>
      </c>
      <c r="C154" s="1255" t="inlineStr">
        <is>
          <t>7. Gift Vouchers</t>
        </is>
      </c>
      <c r="D154" s="1260" t="inlineStr">
        <is>
          <t>Stripe</t>
        </is>
      </c>
      <c r="E154" s="1394" t="n">
        <v>100</v>
      </c>
      <c r="F154" s="1260" t="inlineStr">
        <is>
          <t>Digital Gift Card</t>
        </is>
      </c>
      <c r="G154" s="1260" t="inlineStr">
        <is>
          <t>Google</t>
        </is>
      </c>
    </row>
    <row r="155" ht="13.5" customHeight="1" s="1232">
      <c r="A155" s="1393" t="n">
        <v>43816</v>
      </c>
      <c r="B155" s="1260" t="inlineStr">
        <is>
          <t>Elizabeth Kenny</t>
        </is>
      </c>
      <c r="C155" s="1255" t="inlineStr">
        <is>
          <t>7. Gift Vouchers</t>
        </is>
      </c>
      <c r="D155" s="1260" t="inlineStr">
        <is>
          <t>Stripe</t>
        </is>
      </c>
      <c r="E155" s="1394" t="n">
        <v>75</v>
      </c>
      <c r="F155" s="1260" t="inlineStr">
        <is>
          <t>Digital Gift Card</t>
        </is>
      </c>
      <c r="G155" s="1260" t="inlineStr">
        <is>
          <t>Google</t>
        </is>
      </c>
    </row>
    <row r="156" ht="13.5" customHeight="1" s="1232">
      <c r="A156" s="1393" t="n">
        <v>43816</v>
      </c>
      <c r="B156" s="1260" t="inlineStr">
        <is>
          <t>JUSTINA PRYTULA</t>
        </is>
      </c>
      <c r="C156" s="1255" t="inlineStr">
        <is>
          <t>2. Workshops</t>
        </is>
      </c>
      <c r="D156" s="1260" t="inlineStr">
        <is>
          <t>Stripe</t>
        </is>
      </c>
      <c r="E156" s="1394" t="n">
        <v>75</v>
      </c>
      <c r="F156" s="1260" t="inlineStr">
        <is>
          <t>Poppy Field Sunrise</t>
        </is>
      </c>
      <c r="G156" s="1260" t="inlineStr">
        <is>
          <t>Google</t>
        </is>
      </c>
    </row>
    <row r="157" ht="13.5" customHeight="1" s="1232">
      <c r="A157" s="1393" t="n">
        <v>43815</v>
      </c>
      <c r="B157" s="1260" t="inlineStr">
        <is>
          <t>Siobhan Hoyes</t>
        </is>
      </c>
      <c r="C157" s="1255" t="inlineStr">
        <is>
          <t>2. Workshops</t>
        </is>
      </c>
      <c r="D157" s="1260" t="inlineStr">
        <is>
          <t>Stripe</t>
        </is>
      </c>
      <c r="E157" s="1394" t="n">
        <v>99</v>
      </c>
      <c r="F157" s="1260" t="inlineStr">
        <is>
          <t>Bluebells</t>
        </is>
      </c>
      <c r="G157" s="1260" t="inlineStr">
        <is>
          <t>Google</t>
        </is>
      </c>
    </row>
    <row r="158" ht="13.5" customHeight="1" s="1232">
      <c r="A158" s="1393" t="n">
        <v>43815</v>
      </c>
      <c r="B158" s="1260" t="inlineStr">
        <is>
          <t>Siobhan Hoyes</t>
        </is>
      </c>
      <c r="C158" s="1255" t="inlineStr">
        <is>
          <t>2. Workshops</t>
        </is>
      </c>
      <c r="D158" s="1260" t="inlineStr">
        <is>
          <t>Stripe</t>
        </is>
      </c>
      <c r="E158" s="1394" t="n">
        <v>99</v>
      </c>
      <c r="F158" s="1260" t="inlineStr">
        <is>
          <t>Bluebells</t>
        </is>
      </c>
      <c r="G158" s="1260" t="inlineStr">
        <is>
          <t>Google</t>
        </is>
      </c>
    </row>
    <row r="159" ht="13.5" customHeight="1" s="1232">
      <c r="A159" s="1393" t="n">
        <v>43811</v>
      </c>
      <c r="B159" s="1260" t="inlineStr">
        <is>
          <t>Amanda Graham</t>
        </is>
      </c>
      <c r="C159" s="1255" t="inlineStr">
        <is>
          <t>2. Workshops</t>
        </is>
      </c>
      <c r="D159" s="1260" t="inlineStr">
        <is>
          <t>PicknMix</t>
        </is>
      </c>
      <c r="E159" s="1394" t="n">
        <v>50</v>
      </c>
      <c r="F159" s="1249" t="inlineStr">
        <is>
          <t xml:space="preserve">Sunflowers Sunrise </t>
        </is>
      </c>
      <c r="G159" s="1260" t="inlineStr">
        <is>
          <t>Existing</t>
        </is>
      </c>
    </row>
    <row r="160" ht="13.5" customHeight="1" s="1232">
      <c r="A160" s="1393" t="n">
        <v>43811</v>
      </c>
      <c r="B160" s="1260" t="inlineStr">
        <is>
          <t>Amanda Graham</t>
        </is>
      </c>
      <c r="C160" s="1255" t="inlineStr">
        <is>
          <t>4. Pick n Mix Out</t>
        </is>
      </c>
      <c r="D160" s="1260" t="inlineStr">
        <is>
          <t>PicknMix</t>
        </is>
      </c>
      <c r="E160" s="1394" t="n">
        <v>-50</v>
      </c>
      <c r="F160" s="1260" t="inlineStr">
        <is>
          <t>Sunflowers Sunrise</t>
        </is>
      </c>
      <c r="G160" s="1260" t="inlineStr">
        <is>
          <t>Existing</t>
        </is>
      </c>
    </row>
    <row r="161" ht="13.5" customHeight="1" s="1232">
      <c r="A161" s="1393" t="n">
        <v>43811</v>
      </c>
      <c r="B161" s="1260" t="inlineStr">
        <is>
          <t>Amanda Graham</t>
        </is>
      </c>
      <c r="C161" s="1255" t="inlineStr">
        <is>
          <t>2. Workshops</t>
        </is>
      </c>
      <c r="D161" s="1260" t="inlineStr">
        <is>
          <t>PicknMix</t>
        </is>
      </c>
      <c r="E161" s="1394" t="n">
        <v>67.5</v>
      </c>
      <c r="F161" s="1260" t="inlineStr">
        <is>
          <t>Poppy Field Sunrise</t>
        </is>
      </c>
      <c r="G161" s="1260" t="inlineStr">
        <is>
          <t>Existing</t>
        </is>
      </c>
    </row>
    <row r="162" ht="13.5" customHeight="1" s="1232">
      <c r="A162" s="1393" t="n">
        <v>43811</v>
      </c>
      <c r="B162" s="1260" t="inlineStr">
        <is>
          <t>Amanda Graham</t>
        </is>
      </c>
      <c r="C162" s="1255" t="inlineStr">
        <is>
          <t>4. Pick n Mix Out</t>
        </is>
      </c>
      <c r="D162" s="1260" t="inlineStr">
        <is>
          <t>PicknMix</t>
        </is>
      </c>
      <c r="E162" s="1394" t="n">
        <v>-67.5</v>
      </c>
      <c r="F162" s="1260" t="inlineStr">
        <is>
          <t>Poppy Field Sunrise</t>
        </is>
      </c>
      <c r="G162" s="1260" t="inlineStr">
        <is>
          <t>Existing</t>
        </is>
      </c>
    </row>
    <row r="163" ht="13.5" customHeight="1" s="1232">
      <c r="A163" s="1393" t="n">
        <v>43809</v>
      </c>
      <c r="B163" s="1260" t="inlineStr">
        <is>
          <t>andrew wallace</t>
        </is>
      </c>
      <c r="C163" s="1260" t="inlineStr">
        <is>
          <t>7. Gift Vouchers</t>
        </is>
      </c>
      <c r="D163" s="1260" t="inlineStr">
        <is>
          <t>Stripe</t>
        </is>
      </c>
      <c r="E163" s="1394" t="n">
        <v>350</v>
      </c>
      <c r="F163" s="1260" t="inlineStr">
        <is>
          <t>Digital Gift Card</t>
        </is>
      </c>
      <c r="G163" s="1260" t="inlineStr">
        <is>
          <t>Google</t>
        </is>
      </c>
    </row>
    <row r="164" ht="13.5" customHeight="1" s="1232">
      <c r="A164" s="1393" t="n">
        <v>43808</v>
      </c>
      <c r="B164" s="1260" t="inlineStr">
        <is>
          <t>charlie budd</t>
        </is>
      </c>
      <c r="C164" s="1260" t="inlineStr">
        <is>
          <t>2. Workshops</t>
        </is>
      </c>
      <c r="D164" s="1260" t="inlineStr">
        <is>
          <t>PayPal</t>
        </is>
      </c>
      <c r="E164" s="1394" t="n">
        <v>10</v>
      </c>
      <c r="F164" s="1260" t="inlineStr">
        <is>
          <t>Woodland Walk</t>
        </is>
      </c>
      <c r="G164" s="1260" t="inlineStr">
        <is>
          <t>Existing</t>
        </is>
      </c>
    </row>
    <row r="165" ht="13.5" customHeight="1" s="1232">
      <c r="A165" s="1393" t="n">
        <v>43807</v>
      </c>
      <c r="B165" s="1260" t="inlineStr">
        <is>
          <t>Sheila Grant</t>
        </is>
      </c>
      <c r="C165" s="1260" t="inlineStr">
        <is>
          <t>2. Workshops</t>
        </is>
      </c>
      <c r="D165" s="1260" t="inlineStr">
        <is>
          <t>Stripe</t>
        </is>
      </c>
      <c r="E165" s="1394" t="n">
        <v>65</v>
      </c>
      <c r="F165" s="1260" t="inlineStr">
        <is>
          <t>Christmas Photowalk</t>
        </is>
      </c>
      <c r="G165" s="1260" t="inlineStr">
        <is>
          <t>Existing</t>
        </is>
      </c>
    </row>
    <row r="166" ht="13.5" customHeight="1" s="1232">
      <c r="A166" s="1393" t="n">
        <v>43805</v>
      </c>
      <c r="B166" s="1260" t="inlineStr">
        <is>
          <t>J Puzey</t>
        </is>
      </c>
      <c r="C166" s="1260" t="inlineStr">
        <is>
          <t>2. Workshops</t>
        </is>
      </c>
      <c r="D166" s="1260" t="inlineStr">
        <is>
          <t>Stripe</t>
        </is>
      </c>
      <c r="E166" s="1394" t="n">
        <v>99</v>
      </c>
      <c r="F166" s="1260" t="inlineStr">
        <is>
          <t>2 x 2.hr workshops</t>
        </is>
      </c>
      <c r="G166" s="1260" t="inlineStr">
        <is>
          <t>Google</t>
        </is>
      </c>
    </row>
    <row r="167" ht="13.5" customHeight="1" s="1232">
      <c r="A167" s="1393" t="n">
        <v>43805</v>
      </c>
      <c r="B167" s="1260" t="inlineStr">
        <is>
          <t>Anne Watkinson</t>
        </is>
      </c>
      <c r="C167" s="1255" t="inlineStr">
        <is>
          <t>6. 1-2-1</t>
        </is>
      </c>
      <c r="D167" s="1260" t="inlineStr">
        <is>
          <t>Stripe</t>
        </is>
      </c>
      <c r="E167" s="1394" t="n">
        <v>360</v>
      </c>
      <c r="F167" s="1260" t="inlineStr">
        <is>
          <t>4 x 2hr 1-2-1's</t>
        </is>
      </c>
      <c r="G167" s="1260" t="inlineStr">
        <is>
          <t>Existing</t>
        </is>
      </c>
    </row>
    <row r="168" ht="13.5" customHeight="1" s="1232">
      <c r="A168" s="1393" t="n">
        <v>43803</v>
      </c>
      <c r="B168" s="1260" t="inlineStr">
        <is>
          <t>Will Carr</t>
        </is>
      </c>
      <c r="C168" s="1255" t="inlineStr">
        <is>
          <t>1. Courses/masterclasses</t>
        </is>
      </c>
      <c r="D168" s="1260" t="inlineStr">
        <is>
          <t>Stripe</t>
        </is>
      </c>
      <c r="E168" s="1394" t="n">
        <v>60</v>
      </c>
      <c r="F168" s="1260" t="inlineStr">
        <is>
          <t>Get off Auto</t>
        </is>
      </c>
      <c r="G168" s="1260" t="inlineStr">
        <is>
          <t>Google</t>
        </is>
      </c>
    </row>
    <row r="169" ht="13.5" customHeight="1" s="1232">
      <c r="A169" s="1393" t="n">
        <v>43805</v>
      </c>
      <c r="B169" s="1260" t="inlineStr">
        <is>
          <t>Ian Harrop</t>
        </is>
      </c>
      <c r="C169" s="1255" t="inlineStr">
        <is>
          <t>2. Workshops</t>
        </is>
      </c>
      <c r="D169" s="1260" t="inlineStr">
        <is>
          <t>Bank</t>
        </is>
      </c>
      <c r="E169" s="1394" t="n">
        <v>95</v>
      </c>
      <c r="F169" s="1260" t="inlineStr">
        <is>
          <t>Ireland</t>
        </is>
      </c>
      <c r="G169" s="1260" t="inlineStr">
        <is>
          <t>Existing</t>
        </is>
      </c>
    </row>
    <row r="170" ht="13.5" customHeight="1" s="1232">
      <c r="A170" s="1393" t="n">
        <v>43805</v>
      </c>
      <c r="B170" s="1260" t="inlineStr">
        <is>
          <t>Jeremy Troth</t>
        </is>
      </c>
      <c r="C170" s="1255" t="inlineStr">
        <is>
          <t>2. Workshops</t>
        </is>
      </c>
      <c r="D170" s="1260" t="inlineStr">
        <is>
          <t>Bank</t>
        </is>
      </c>
      <c r="E170" s="1394" t="n">
        <v>120</v>
      </c>
      <c r="F170" s="1260" t="inlineStr">
        <is>
          <t>Woodland Walk</t>
        </is>
      </c>
      <c r="G170" s="1260" t="inlineStr">
        <is>
          <t>Existing</t>
        </is>
      </c>
    </row>
    <row r="171" ht="13.5" customHeight="1" s="1232">
      <c r="A171" s="1393" t="n">
        <v>43801</v>
      </c>
      <c r="B171" s="1260" t="inlineStr">
        <is>
          <t>Joyce James</t>
        </is>
      </c>
      <c r="C171" s="1255" t="inlineStr">
        <is>
          <t>2. Workshops</t>
        </is>
      </c>
      <c r="D171" s="1260" t="inlineStr">
        <is>
          <t>Bank</t>
        </is>
      </c>
      <c r="E171" s="1394" t="n">
        <v>195</v>
      </c>
      <c r="F171" s="1260" t="inlineStr">
        <is>
          <t>Ireland</t>
        </is>
      </c>
      <c r="G171" s="1260" t="inlineStr">
        <is>
          <t>Existing</t>
        </is>
      </c>
    </row>
    <row r="172" ht="13.5" customHeight="1" s="1232">
      <c r="A172" s="1393" t="n">
        <v>43801</v>
      </c>
      <c r="B172" s="1260" t="inlineStr">
        <is>
          <t>Anne Watkinson</t>
        </is>
      </c>
      <c r="C172" s="1255" t="inlineStr">
        <is>
          <t>2. Workshops</t>
        </is>
      </c>
      <c r="D172" s="1260" t="inlineStr">
        <is>
          <t>Bank</t>
        </is>
      </c>
      <c r="E172" s="1394" t="n">
        <v>10</v>
      </c>
      <c r="F172" s="1260" t="inlineStr">
        <is>
          <t>Woodland Walk</t>
        </is>
      </c>
      <c r="G172" s="1260" t="inlineStr">
        <is>
          <t>Existing</t>
        </is>
      </c>
    </row>
    <row r="173" ht="13.5" customHeight="1" s="1232">
      <c r="A173" s="1393" t="n">
        <v>43801</v>
      </c>
      <c r="B173" s="1260" t="inlineStr">
        <is>
          <t>Anne Watkinson</t>
        </is>
      </c>
      <c r="C173" s="1255" t="inlineStr">
        <is>
          <t>2. Workshops</t>
        </is>
      </c>
      <c r="D173" s="1260" t="inlineStr">
        <is>
          <t>Bank</t>
        </is>
      </c>
      <c r="E173" s="1394" t="n">
        <v>95</v>
      </c>
      <c r="F173" s="1260" t="inlineStr">
        <is>
          <t>Ireland</t>
        </is>
      </c>
      <c r="G173" s="1260" t="inlineStr">
        <is>
          <t>Existing</t>
        </is>
      </c>
    </row>
    <row r="174" ht="13.5" customHeight="1" s="1232">
      <c r="A174" s="1393" t="n">
        <v>43801</v>
      </c>
      <c r="B174" s="1260" t="inlineStr">
        <is>
          <t>Bob Griffiths</t>
        </is>
      </c>
      <c r="C174" s="1255" t="inlineStr">
        <is>
          <t>2. Workshops</t>
        </is>
      </c>
      <c r="D174" s="1260" t="inlineStr">
        <is>
          <t>Bank</t>
        </is>
      </c>
      <c r="E174" s="1394" t="n">
        <v>695</v>
      </c>
      <c r="F174" s="1260" t="inlineStr">
        <is>
          <t>Ireland</t>
        </is>
      </c>
      <c r="G174" s="1260" t="inlineStr">
        <is>
          <t>Existing</t>
        </is>
      </c>
    </row>
    <row r="175" ht="13.5" customHeight="1" s="1232">
      <c r="A175" s="1393" t="n">
        <v>43800</v>
      </c>
      <c r="B175" s="1260" t="inlineStr">
        <is>
          <t>John Seely</t>
        </is>
      </c>
      <c r="C175" s="1255" t="inlineStr">
        <is>
          <t>9. Commissions</t>
        </is>
      </c>
      <c r="D175" s="1260" t="inlineStr">
        <is>
          <t>PayPal</t>
        </is>
      </c>
      <c r="E175" s="1394" t="n">
        <v>75</v>
      </c>
      <c r="F175" s="1260" t="inlineStr">
        <is>
          <t>Web Dev Support</t>
        </is>
      </c>
      <c r="G175" s="1260" t="inlineStr">
        <is>
          <t>Existing</t>
        </is>
      </c>
    </row>
    <row r="176" ht="13.5" customHeight="1" s="1232">
      <c r="A176" s="1393" t="n">
        <v>43800</v>
      </c>
      <c r="B176" s="1260" t="inlineStr">
        <is>
          <t>elizabeth avery</t>
        </is>
      </c>
      <c r="C176" s="1255" t="inlineStr">
        <is>
          <t>6. 1-2-1</t>
        </is>
      </c>
      <c r="D176" s="1260" t="inlineStr">
        <is>
          <t>Stripe</t>
        </is>
      </c>
      <c r="E176" s="1394" t="n">
        <v>225</v>
      </c>
      <c r="F176" s="1260" t="inlineStr">
        <is>
          <t>4hr 1-2-1</t>
        </is>
      </c>
      <c r="G176" s="1260" t="inlineStr">
        <is>
          <t>Google</t>
        </is>
      </c>
    </row>
    <row r="177" ht="13.5" customHeight="1" s="1232">
      <c r="A177" s="1393" t="n">
        <v>43800</v>
      </c>
      <c r="B177" s="1260" t="inlineStr">
        <is>
          <t>Dec Pick N Mix</t>
        </is>
      </c>
      <c r="C177" s="1255" t="inlineStr">
        <is>
          <t>3. Pick n Mix Inc</t>
        </is>
      </c>
      <c r="D177" s="1255" t="inlineStr">
        <is>
          <t>Various</t>
        </is>
      </c>
      <c r="E177" s="1394" t="n">
        <v>571.25</v>
      </c>
      <c r="F177" s="1255" t="inlineStr">
        <is>
          <t>Pick N Mix Payments</t>
        </is>
      </c>
      <c r="G177" s="1260" t="inlineStr">
        <is>
          <t>Existing</t>
        </is>
      </c>
    </row>
    <row r="178" ht="13.5" customHeight="1" s="1232">
      <c r="A178" s="1393" t="n">
        <v>43800</v>
      </c>
      <c r="B178" s="1260" t="inlineStr">
        <is>
          <t>Dec Mentoring</t>
        </is>
      </c>
      <c r="C178" s="1255" t="inlineStr">
        <is>
          <t>5. Mentoring</t>
        </is>
      </c>
      <c r="D178" s="1255" t="inlineStr">
        <is>
          <t>Various</t>
        </is>
      </c>
      <c r="E178" s="1394" t="n">
        <v>60</v>
      </c>
      <c r="F178" s="1255" t="inlineStr">
        <is>
          <t>Mentoring Subs</t>
        </is>
      </c>
      <c r="G178" s="1260" t="inlineStr">
        <is>
          <t>Existing</t>
        </is>
      </c>
    </row>
    <row r="179" ht="13.5" customHeight="1" s="1232">
      <c r="A179" s="1393" t="n"/>
      <c r="B179" s="1260" t="n"/>
      <c r="D179" s="1260" t="n"/>
      <c r="E179" s="1394" t="n"/>
      <c r="F179" s="1260" t="n"/>
      <c r="G179" s="1260" t="n"/>
    </row>
    <row r="180" ht="13.5" customHeight="1" s="1232">
      <c r="A180" s="1393" t="n">
        <v>43799</v>
      </c>
      <c r="B180" s="1260" t="inlineStr">
        <is>
          <t>Ian Blake</t>
        </is>
      </c>
      <c r="C180" s="1255" t="inlineStr">
        <is>
          <t>2. Workshops</t>
        </is>
      </c>
      <c r="D180" s="1260" t="inlineStr">
        <is>
          <t>Stripe</t>
        </is>
      </c>
      <c r="E180" s="1394" t="n">
        <v>275</v>
      </c>
      <c r="F180" s="1260" t="inlineStr">
        <is>
          <t>Dorset</t>
        </is>
      </c>
      <c r="G180" s="1260" t="inlineStr">
        <is>
          <t>Existing</t>
        </is>
      </c>
    </row>
    <row r="181" ht="13.5" customHeight="1" s="1232">
      <c r="A181" s="1393" t="n">
        <v>43799</v>
      </c>
      <c r="B181" s="1260" t="inlineStr">
        <is>
          <t>Ann Parker</t>
        </is>
      </c>
      <c r="C181" s="1255" t="inlineStr">
        <is>
          <t>2. Workshops</t>
        </is>
      </c>
      <c r="D181" s="1260" t="inlineStr">
        <is>
          <t>Stripe</t>
        </is>
      </c>
      <c r="E181" s="1394" t="n">
        <v>65</v>
      </c>
      <c r="F181" s="1260" t="inlineStr">
        <is>
          <t>Christmas Photowalk</t>
        </is>
      </c>
      <c r="G181" s="1260" t="inlineStr">
        <is>
          <t>Google</t>
        </is>
      </c>
    </row>
    <row r="182" ht="13.5" customHeight="1" s="1232">
      <c r="A182" s="1393" t="n">
        <v>43799</v>
      </c>
      <c r="B182" s="1260" t="inlineStr">
        <is>
          <t>Tony Humphreys</t>
        </is>
      </c>
      <c r="C182" s="1255" t="inlineStr">
        <is>
          <t>2. Workshops</t>
        </is>
      </c>
      <c r="D182" s="1260" t="inlineStr">
        <is>
          <t>Stripe</t>
        </is>
      </c>
      <c r="E182" s="1394" t="n">
        <v>675</v>
      </c>
      <c r="F182" s="1260" t="inlineStr">
        <is>
          <t>Lake District</t>
        </is>
      </c>
      <c r="G182" s="1260" t="inlineStr">
        <is>
          <t>Google</t>
        </is>
      </c>
    </row>
    <row r="183" ht="13.5" customHeight="1" s="1232">
      <c r="A183" s="1393" t="n">
        <v>43798</v>
      </c>
      <c r="B183" s="1260" t="inlineStr">
        <is>
          <t>Michael Reveley</t>
        </is>
      </c>
      <c r="C183" s="1255" t="inlineStr">
        <is>
          <t>2. Workshops</t>
        </is>
      </c>
      <c r="D183" s="1260" t="inlineStr">
        <is>
          <t>Stripe</t>
        </is>
      </c>
      <c r="E183" s="1394" t="n">
        <v>425</v>
      </c>
      <c r="F183" s="1260" t="inlineStr">
        <is>
          <t>Dorset</t>
        </is>
      </c>
      <c r="G183" s="1260" t="inlineStr">
        <is>
          <t>Existing</t>
        </is>
      </c>
    </row>
    <row r="184" ht="13.5" customHeight="1" s="1232">
      <c r="A184" s="1393" t="n">
        <v>43798</v>
      </c>
      <c r="B184" s="1260" t="inlineStr">
        <is>
          <t>Dave McGuire</t>
        </is>
      </c>
      <c r="C184" s="1255" t="inlineStr">
        <is>
          <t>6. 1-2-1</t>
        </is>
      </c>
      <c r="D184" s="1260" t="inlineStr">
        <is>
          <t>PayPal</t>
        </is>
      </c>
      <c r="E184" s="1394" t="n">
        <v>110</v>
      </c>
      <c r="F184" s="1260" t="inlineStr">
        <is>
          <t>4 x 1-2-1 Balance</t>
        </is>
      </c>
      <c r="G184" s="1260" t="inlineStr">
        <is>
          <t>Existing</t>
        </is>
      </c>
    </row>
    <row r="185" ht="13.5" customHeight="1" s="1232">
      <c r="A185" s="1393" t="n">
        <v>43796</v>
      </c>
      <c r="B185" s="1260" t="inlineStr">
        <is>
          <t>Sarah Yeo</t>
        </is>
      </c>
      <c r="C185" s="1255" t="inlineStr">
        <is>
          <t>2. Workshops</t>
        </is>
      </c>
      <c r="D185" s="1260" t="inlineStr">
        <is>
          <t>PayPal</t>
        </is>
      </c>
      <c r="E185" s="1394" t="n">
        <v>10</v>
      </c>
      <c r="F185" s="1260" t="inlineStr">
        <is>
          <t>Woodland Walk</t>
        </is>
      </c>
      <c r="G185" s="1260" t="inlineStr">
        <is>
          <t>Google</t>
        </is>
      </c>
    </row>
    <row r="186" ht="13.5" customHeight="1" s="1232">
      <c r="A186" s="1393" t="n">
        <v>43796</v>
      </c>
      <c r="B186" s="1260" t="inlineStr">
        <is>
          <t>Robert David Halliday</t>
        </is>
      </c>
      <c r="C186" s="1255" t="inlineStr">
        <is>
          <t>1. Courses/masterclasses</t>
        </is>
      </c>
      <c r="D186" s="1260" t="inlineStr">
        <is>
          <t>PayPal</t>
        </is>
      </c>
      <c r="E186" s="1394" t="n">
        <v>250</v>
      </c>
      <c r="F186" s="1260" t="inlineStr">
        <is>
          <t>Lightroom Course</t>
        </is>
      </c>
      <c r="G186" s="1260" t="inlineStr">
        <is>
          <t>Existing</t>
        </is>
      </c>
    </row>
    <row r="187" ht="13.5" customHeight="1" s="1232">
      <c r="A187" s="1393" t="n">
        <v>43796</v>
      </c>
      <c r="B187" s="1260" t="inlineStr">
        <is>
          <t>Graham Ibbetson</t>
        </is>
      </c>
      <c r="C187" s="1255" t="inlineStr">
        <is>
          <t>2. Workshops</t>
        </is>
      </c>
      <c r="D187" s="1260" t="inlineStr">
        <is>
          <t>Stripe</t>
        </is>
      </c>
      <c r="E187" s="1394" t="n">
        <v>675</v>
      </c>
      <c r="F187" s="1260" t="inlineStr">
        <is>
          <t>Dee Valley</t>
        </is>
      </c>
      <c r="G187" s="1260" t="inlineStr">
        <is>
          <t>Existing</t>
        </is>
      </c>
    </row>
    <row r="188" ht="13.5" customHeight="1" s="1232">
      <c r="A188" s="1393" t="n">
        <v>43796</v>
      </c>
      <c r="B188" s="1260" t="inlineStr">
        <is>
          <t>Lian Horan</t>
        </is>
      </c>
      <c r="C188" s="1255" t="inlineStr">
        <is>
          <t>1. Courses/masterclasses</t>
        </is>
      </c>
      <c r="D188" s="1260" t="inlineStr">
        <is>
          <t>PicknMix</t>
        </is>
      </c>
      <c r="E188" s="1394" t="n">
        <v>225</v>
      </c>
      <c r="F188" s="1260" t="inlineStr">
        <is>
          <t>Lightroom Course</t>
        </is>
      </c>
      <c r="G188" s="1260" t="inlineStr">
        <is>
          <t>Existing</t>
        </is>
      </c>
    </row>
    <row r="189" ht="13.5" customHeight="1" s="1232">
      <c r="A189" s="1393" t="n">
        <v>43796</v>
      </c>
      <c r="B189" s="1260" t="inlineStr">
        <is>
          <t>Lian Horan</t>
        </is>
      </c>
      <c r="C189" s="1255" t="inlineStr">
        <is>
          <t>4. Pick n Mix Out</t>
        </is>
      </c>
      <c r="D189" s="1260" t="inlineStr">
        <is>
          <t>PicknMix</t>
        </is>
      </c>
      <c r="E189" s="1394" t="n">
        <v>-225</v>
      </c>
      <c r="F189" s="1260" t="inlineStr">
        <is>
          <t>Lightroom Course</t>
        </is>
      </c>
      <c r="G189" s="1260" t="inlineStr">
        <is>
          <t>Existing</t>
        </is>
      </c>
    </row>
    <row r="190" ht="13.5" customHeight="1" s="1232">
      <c r="A190" s="1393" t="n">
        <v>43795</v>
      </c>
      <c r="B190" s="1260" t="inlineStr">
        <is>
          <t>Daran Millward</t>
        </is>
      </c>
      <c r="C190" s="1255" t="inlineStr">
        <is>
          <t>2. Workshops</t>
        </is>
      </c>
      <c r="D190" s="1260" t="inlineStr">
        <is>
          <t>Stripe</t>
        </is>
      </c>
      <c r="E190" s="1394" t="n">
        <v>75</v>
      </c>
      <c r="F190" s="1260" t="inlineStr">
        <is>
          <t>Poppy Fields</t>
        </is>
      </c>
      <c r="G190" s="1260" t="inlineStr">
        <is>
          <t>Google</t>
        </is>
      </c>
    </row>
    <row r="191" ht="13.5" customHeight="1" s="1232">
      <c r="A191" s="1393" t="n">
        <v>43795</v>
      </c>
      <c r="B191" s="1260" t="inlineStr">
        <is>
          <t>Daran Millward</t>
        </is>
      </c>
      <c r="C191" s="1255" t="inlineStr">
        <is>
          <t>2. Workshops</t>
        </is>
      </c>
      <c r="D191" s="1260" t="inlineStr">
        <is>
          <t>Stripe</t>
        </is>
      </c>
      <c r="E191" s="1394" t="n">
        <v>75</v>
      </c>
      <c r="F191" s="1260" t="inlineStr">
        <is>
          <t>Poppy Fields</t>
        </is>
      </c>
      <c r="G191" s="1260" t="inlineStr">
        <is>
          <t>Google</t>
        </is>
      </c>
    </row>
    <row r="192" ht="13.5" customHeight="1" s="1232">
      <c r="A192" s="1393" t="n">
        <v>43795</v>
      </c>
      <c r="B192" s="1260" t="inlineStr">
        <is>
          <t>Les Page</t>
        </is>
      </c>
      <c r="C192" s="1255" t="inlineStr">
        <is>
          <t>2. Workshops</t>
        </is>
      </c>
      <c r="D192" s="1260" t="inlineStr">
        <is>
          <t>Stripe</t>
        </is>
      </c>
      <c r="E192" s="1394" t="n">
        <v>150</v>
      </c>
      <c r="F192" s="1260" t="inlineStr">
        <is>
          <t>Poppy Fields</t>
        </is>
      </c>
      <c r="G192" s="1260" t="inlineStr">
        <is>
          <t>Google</t>
        </is>
      </c>
    </row>
    <row r="193" ht="13.5" customHeight="1" s="1232">
      <c r="A193" s="1393" t="n">
        <v>43795</v>
      </c>
      <c r="B193" s="1260" t="inlineStr">
        <is>
          <t>Jennifer Box</t>
        </is>
      </c>
      <c r="C193" s="1255" t="inlineStr">
        <is>
          <t>1. Courses/masterclasses</t>
        </is>
      </c>
      <c r="D193" s="1260" t="inlineStr">
        <is>
          <t>PicknMix</t>
        </is>
      </c>
      <c r="E193" s="1394" t="n">
        <v>225</v>
      </c>
      <c r="F193" s="1260" t="inlineStr">
        <is>
          <t>Lightroom Course</t>
        </is>
      </c>
      <c r="G193" s="1260" t="inlineStr">
        <is>
          <t>Existing</t>
        </is>
      </c>
    </row>
    <row r="194" ht="13.5" customHeight="1" s="1232">
      <c r="A194" s="1393" t="n">
        <v>43795</v>
      </c>
      <c r="B194" s="1260" t="inlineStr">
        <is>
          <t>Jennifer Box</t>
        </is>
      </c>
      <c r="C194" s="1255" t="inlineStr">
        <is>
          <t>4. Pick n Mix Out</t>
        </is>
      </c>
      <c r="D194" s="1260" t="inlineStr">
        <is>
          <t>PicknMix</t>
        </is>
      </c>
      <c r="E194" s="1394" t="n">
        <v>-225</v>
      </c>
      <c r="F194" s="1260" t="inlineStr">
        <is>
          <t>Lightroom Course</t>
        </is>
      </c>
      <c r="G194" s="1260" t="inlineStr">
        <is>
          <t>Existing</t>
        </is>
      </c>
    </row>
    <row r="195" ht="13.5" customHeight="1" s="1232">
      <c r="A195" s="1393" t="n">
        <v>43795</v>
      </c>
      <c r="B195" s="1260" t="inlineStr">
        <is>
          <t>Jennifer Box</t>
        </is>
      </c>
      <c r="C195" s="1255" t="inlineStr">
        <is>
          <t>6. 1-2-1</t>
        </is>
      </c>
      <c r="D195" s="1260" t="inlineStr">
        <is>
          <t>PicknMix</t>
        </is>
      </c>
      <c r="E195" s="1394" t="n">
        <v>58.5</v>
      </c>
      <c r="F195" s="1260" t="inlineStr">
        <is>
          <t>1hr 1-2-1</t>
        </is>
      </c>
      <c r="G195" s="1260" t="inlineStr">
        <is>
          <t>Existing</t>
        </is>
      </c>
    </row>
    <row r="196" ht="13.5" customHeight="1" s="1232">
      <c r="A196" s="1393" t="n">
        <v>43795</v>
      </c>
      <c r="B196" s="1260" t="inlineStr">
        <is>
          <t>Jennifer Box</t>
        </is>
      </c>
      <c r="C196" s="1255" t="inlineStr">
        <is>
          <t>4. Pick n Mix Out</t>
        </is>
      </c>
      <c r="D196" s="1260" t="inlineStr">
        <is>
          <t>PicknMix</t>
        </is>
      </c>
      <c r="E196" s="1394" t="n">
        <v>-58.5</v>
      </c>
      <c r="F196" s="1260" t="inlineStr">
        <is>
          <t>1hr 1-2-1</t>
        </is>
      </c>
      <c r="G196" s="1260" t="inlineStr">
        <is>
          <t>Existing</t>
        </is>
      </c>
    </row>
    <row r="197" ht="13.5" customHeight="1" s="1232">
      <c r="A197" s="1393" t="n">
        <v>43788</v>
      </c>
      <c r="B197" s="1260" t="inlineStr">
        <is>
          <t>Neil Best</t>
        </is>
      </c>
      <c r="C197" s="1255" t="inlineStr">
        <is>
          <t>2. Workshops</t>
        </is>
      </c>
      <c r="D197" s="1260" t="inlineStr">
        <is>
          <t>Stripe</t>
        </is>
      </c>
      <c r="E197" s="1394" t="n">
        <v>150</v>
      </c>
      <c r="F197" s="1260" t="inlineStr">
        <is>
          <t>Peak District - 1 Day</t>
        </is>
      </c>
      <c r="G197" s="1260" t="inlineStr">
        <is>
          <t>Google</t>
        </is>
      </c>
    </row>
    <row r="198" ht="13.5" customHeight="1" s="1232">
      <c r="A198" s="1393" t="n">
        <v>43788</v>
      </c>
      <c r="B198" s="1260" t="inlineStr">
        <is>
          <t>Lian Hora</t>
        </is>
      </c>
      <c r="C198" s="1255" t="inlineStr">
        <is>
          <t>1. Courses/masterclasses</t>
        </is>
      </c>
      <c r="D198" s="1260" t="inlineStr">
        <is>
          <t>PicknMix</t>
        </is>
      </c>
      <c r="E198" s="1394" t="n">
        <v>175.5</v>
      </c>
      <c r="F198" s="1260" t="inlineStr">
        <is>
          <t>Better Portraits Workshop</t>
        </is>
      </c>
      <c r="G198" s="1260" t="inlineStr">
        <is>
          <t>Existing</t>
        </is>
      </c>
    </row>
    <row r="199" ht="13.5" customHeight="1" s="1232">
      <c r="A199" s="1393" t="n">
        <v>43788</v>
      </c>
      <c r="B199" s="1260" t="inlineStr">
        <is>
          <t>Lian Hora</t>
        </is>
      </c>
      <c r="C199" s="1255" t="inlineStr">
        <is>
          <t>4. Pick n Mix Out</t>
        </is>
      </c>
      <c r="D199" s="1260" t="inlineStr">
        <is>
          <t>PicknMix</t>
        </is>
      </c>
      <c r="E199" s="1394" t="n">
        <v>-175.5</v>
      </c>
      <c r="F199" s="1260" t="inlineStr">
        <is>
          <t>Better Portraits Workshop</t>
        </is>
      </c>
      <c r="G199" s="1260" t="inlineStr">
        <is>
          <t>Existing</t>
        </is>
      </c>
    </row>
    <row r="200" ht="13.5" customHeight="1" s="1232">
      <c r="A200" s="1393" t="n">
        <v>43790</v>
      </c>
      <c r="B200" s="1260" t="inlineStr">
        <is>
          <t>Malcolm Richardson</t>
        </is>
      </c>
      <c r="C200" s="1255" t="inlineStr">
        <is>
          <t>2. Workshops</t>
        </is>
      </c>
      <c r="D200" s="1260" t="inlineStr">
        <is>
          <t>Stripe</t>
        </is>
      </c>
      <c r="E200" s="1394" t="n">
        <v>10</v>
      </c>
      <c r="F200" s="1260" t="inlineStr">
        <is>
          <t>Woodland Walk</t>
        </is>
      </c>
      <c r="G200" s="1260" t="inlineStr">
        <is>
          <t>Existing</t>
        </is>
      </c>
    </row>
    <row r="201" ht="13.5" customHeight="1" s="1232">
      <c r="A201" s="1393" t="n">
        <v>43793</v>
      </c>
      <c r="B201" s="1260" t="inlineStr">
        <is>
          <t>Michael McHugh</t>
        </is>
      </c>
      <c r="C201" s="1255" t="inlineStr">
        <is>
          <t>1. Courses/masterclasses</t>
        </is>
      </c>
      <c r="D201" s="1260" t="inlineStr">
        <is>
          <t>Stripe</t>
        </is>
      </c>
      <c r="E201" s="1394" t="n">
        <v>395</v>
      </c>
      <c r="F201" s="1260" t="inlineStr">
        <is>
          <t>RPS Course</t>
        </is>
      </c>
      <c r="G201" s="1260" t="inlineStr">
        <is>
          <t>Existing</t>
        </is>
      </c>
    </row>
    <row r="202" ht="13.5" customHeight="1" s="1232">
      <c r="A202" s="1393" t="n">
        <v>43786</v>
      </c>
      <c r="B202" s="1260" t="inlineStr">
        <is>
          <t>Steve Carroll</t>
        </is>
      </c>
      <c r="C202" s="1255" t="inlineStr">
        <is>
          <t>1. Courses/masterclasses</t>
        </is>
      </c>
      <c r="D202" s="1260" t="inlineStr">
        <is>
          <t>Stripe</t>
        </is>
      </c>
      <c r="E202" s="1394" t="n">
        <v>60</v>
      </c>
      <c r="F202" s="1260" t="inlineStr">
        <is>
          <t>Get Off Auto</t>
        </is>
      </c>
      <c r="G202" s="1260" t="inlineStr">
        <is>
          <t>Google</t>
        </is>
      </c>
    </row>
    <row r="203" ht="13.5" customHeight="1" s="1232">
      <c r="A203" s="1393" t="n">
        <v>43785</v>
      </c>
      <c r="B203" s="1260" t="inlineStr">
        <is>
          <t>Richard Picton-Jones</t>
        </is>
      </c>
      <c r="C203" s="1255" t="inlineStr">
        <is>
          <t>6. 1-2-1</t>
        </is>
      </c>
      <c r="D203" s="1260" t="inlineStr">
        <is>
          <t>PayPal</t>
        </is>
      </c>
      <c r="E203" s="1394" t="n">
        <v>210</v>
      </c>
      <c r="F203" s="1260" t="inlineStr">
        <is>
          <t>4 x 1-2-1</t>
        </is>
      </c>
      <c r="G203" s="1260" t="inlineStr">
        <is>
          <t>Existing</t>
        </is>
      </c>
    </row>
    <row r="204" ht="13.5" customHeight="1" s="1232">
      <c r="A204" s="1393" t="n">
        <v>43784</v>
      </c>
      <c r="B204" s="1260" t="inlineStr">
        <is>
          <t>Lian Hora</t>
        </is>
      </c>
      <c r="C204" s="1255" t="inlineStr">
        <is>
          <t>3. Pick n Mix Inc</t>
        </is>
      </c>
      <c r="D204" s="1260" t="inlineStr">
        <is>
          <t>Stripe</t>
        </is>
      </c>
      <c r="E204" s="1394" t="n">
        <v>43.75</v>
      </c>
      <c r="F204" s="1260" t="inlineStr">
        <is>
          <t>New Monthly PnM Plan</t>
        </is>
      </c>
      <c r="G204" s="1260" t="inlineStr">
        <is>
          <t>Existing</t>
        </is>
      </c>
    </row>
    <row r="205" ht="13.5" customHeight="1" s="1232">
      <c r="A205" s="1393" t="n">
        <v>43784</v>
      </c>
      <c r="B205" s="1260" t="inlineStr">
        <is>
          <t>Nuria Alonso</t>
        </is>
      </c>
      <c r="C205" s="1255" t="inlineStr">
        <is>
          <t>1. Courses/masterclasses</t>
        </is>
      </c>
      <c r="D205" s="1260" t="inlineStr">
        <is>
          <t>Stripe</t>
        </is>
      </c>
      <c r="E205" s="1394" t="n">
        <v>195</v>
      </c>
      <c r="F205" s="1260" t="inlineStr">
        <is>
          <t>Better Portraits Workshop</t>
        </is>
      </c>
      <c r="G205" s="1260" t="inlineStr">
        <is>
          <t>Existing</t>
        </is>
      </c>
    </row>
    <row r="206" ht="13.5" customHeight="1" s="1232">
      <c r="A206" s="1393" t="n">
        <v>43784</v>
      </c>
      <c r="B206" s="1260" t="inlineStr">
        <is>
          <t>Nuria Alonso</t>
        </is>
      </c>
      <c r="C206" s="1255" t="inlineStr">
        <is>
          <t>2. Workshops</t>
        </is>
      </c>
      <c r="D206" s="1260" t="inlineStr">
        <is>
          <t>Stripe</t>
        </is>
      </c>
      <c r="E206" s="1394" t="n">
        <v>50</v>
      </c>
      <c r="F206" s="1260" t="inlineStr">
        <is>
          <t>Stratford Xmas Sparkle</t>
        </is>
      </c>
      <c r="G206" s="1260" t="inlineStr">
        <is>
          <t>Existing</t>
        </is>
      </c>
    </row>
    <row r="207" ht="13.5" customHeight="1" s="1232">
      <c r="A207" s="1393" t="n">
        <v>43784</v>
      </c>
      <c r="B207" s="1260" t="inlineStr">
        <is>
          <t>Nuria Alonso</t>
        </is>
      </c>
      <c r="C207" s="1255" t="inlineStr">
        <is>
          <t>2. Workshops</t>
        </is>
      </c>
      <c r="D207" s="1260" t="inlineStr">
        <is>
          <t>Stripe</t>
        </is>
      </c>
      <c r="E207" s="1394" t="n">
        <v>10</v>
      </c>
      <c r="F207" s="1260" t="inlineStr">
        <is>
          <t>Woodland Walk</t>
        </is>
      </c>
      <c r="G207" s="1260" t="inlineStr">
        <is>
          <t>Existing</t>
        </is>
      </c>
    </row>
    <row r="208" ht="13.5" customHeight="1" s="1232">
      <c r="A208" s="1393" t="n">
        <v>43783</v>
      </c>
      <c r="B208" s="1260" t="inlineStr">
        <is>
          <t>Matt Weston</t>
        </is>
      </c>
      <c r="C208" s="1255" t="inlineStr">
        <is>
          <t>2. Workshops</t>
        </is>
      </c>
      <c r="D208" s="1260" t="inlineStr">
        <is>
          <t>PayPal</t>
        </is>
      </c>
      <c r="E208" s="1394" t="n">
        <v>100</v>
      </c>
      <c r="F208" s="1260" t="inlineStr">
        <is>
          <t>Christmas Photowalk</t>
        </is>
      </c>
      <c r="G208" s="1260" t="inlineStr">
        <is>
          <t>Google</t>
        </is>
      </c>
    </row>
    <row r="209" ht="13.5" customHeight="1" s="1232">
      <c r="A209" s="1393" t="n">
        <v>43783</v>
      </c>
      <c r="B209" s="1260" t="inlineStr">
        <is>
          <t>David McGuire ELS</t>
        </is>
      </c>
      <c r="C209" s="1255" t="inlineStr">
        <is>
          <t>6. 1-2-1</t>
        </is>
      </c>
      <c r="D209" s="1260" t="inlineStr">
        <is>
          <t>Bank</t>
        </is>
      </c>
      <c r="E209" s="1394" t="n">
        <v>250</v>
      </c>
      <c r="F209" s="1260" t="inlineStr">
        <is>
          <t>4 x 1-2-1</t>
        </is>
      </c>
      <c r="G209" s="1260" t="inlineStr">
        <is>
          <t>ELS</t>
        </is>
      </c>
    </row>
    <row r="210" ht="13.5" customHeight="1" s="1232">
      <c r="A210" s="1393" t="n">
        <v>43783</v>
      </c>
      <c r="B210" s="1260" t="inlineStr">
        <is>
          <t>Arthur Masters ELS</t>
        </is>
      </c>
      <c r="C210" s="1255" t="inlineStr">
        <is>
          <t>1. Courses/masterclasses</t>
        </is>
      </c>
      <c r="D210" s="1260" t="inlineStr">
        <is>
          <t>Bank</t>
        </is>
      </c>
      <c r="E210" s="1394" t="n">
        <v>200</v>
      </c>
      <c r="F210" s="1260" t="inlineStr">
        <is>
          <t>5wk Course</t>
        </is>
      </c>
      <c r="G210" s="1260" t="inlineStr">
        <is>
          <t>ELS</t>
        </is>
      </c>
    </row>
    <row r="211" ht="13.5" customHeight="1" s="1232">
      <c r="A211" s="1393" t="n">
        <v>43781</v>
      </c>
      <c r="B211" s="1260" t="inlineStr">
        <is>
          <t>Pete Rooney</t>
        </is>
      </c>
      <c r="C211" s="1255" t="inlineStr">
        <is>
          <t>2. Workshops</t>
        </is>
      </c>
      <c r="D211" s="1260" t="inlineStr">
        <is>
          <t>Stripe</t>
        </is>
      </c>
      <c r="E211" s="1394" t="n">
        <v>50</v>
      </c>
      <c r="F211" s="1260" t="inlineStr">
        <is>
          <t>Abstract &amp; Macro</t>
        </is>
      </c>
      <c r="G211" s="1260" t="inlineStr">
        <is>
          <t>Google</t>
        </is>
      </c>
    </row>
    <row r="212" ht="13.5" customHeight="1" s="1232">
      <c r="A212" s="1393" t="n">
        <v>43780</v>
      </c>
      <c r="B212" s="1260" t="inlineStr">
        <is>
          <t>Con McHugh</t>
        </is>
      </c>
      <c r="C212" s="1255" t="inlineStr">
        <is>
          <t>2. Workshops</t>
        </is>
      </c>
      <c r="D212" s="1260" t="inlineStr">
        <is>
          <t>PicknMix</t>
        </is>
      </c>
      <c r="E212" s="1394" t="n">
        <v>995</v>
      </c>
      <c r="F212" s="1249" t="inlineStr">
        <is>
          <t xml:space="preserve"> Dingle Ireland </t>
        </is>
      </c>
      <c r="G212" s="1260" t="inlineStr">
        <is>
          <t>Existing</t>
        </is>
      </c>
    </row>
    <row r="213" ht="13.5" customHeight="1" s="1232">
      <c r="A213" s="1393" t="n">
        <v>43780</v>
      </c>
      <c r="B213" s="1260" t="inlineStr">
        <is>
          <t>Con McHugh</t>
        </is>
      </c>
      <c r="C213" s="1255" t="inlineStr">
        <is>
          <t>4. Pick n Mix Out</t>
        </is>
      </c>
      <c r="D213" s="1260" t="inlineStr">
        <is>
          <t>PicknMix</t>
        </is>
      </c>
      <c r="E213" s="1394" t="n">
        <v>-995</v>
      </c>
      <c r="F213" s="1260" t="inlineStr">
        <is>
          <t>Dingle Ireland</t>
        </is>
      </c>
      <c r="G213" s="1260" t="inlineStr">
        <is>
          <t>Existing</t>
        </is>
      </c>
    </row>
    <row r="214" ht="13.5" customHeight="1" s="1232">
      <c r="A214" s="1393" t="n">
        <v>43775</v>
      </c>
      <c r="B214" s="1260" t="inlineStr">
        <is>
          <t>Caroline Key</t>
        </is>
      </c>
      <c r="C214" s="1255" t="inlineStr">
        <is>
          <t>2. Workshops</t>
        </is>
      </c>
      <c r="D214" s="1260" t="inlineStr">
        <is>
          <t>PayPal</t>
        </is>
      </c>
      <c r="E214" s="1394" t="n">
        <v>10</v>
      </c>
      <c r="F214" s="1260" t="inlineStr">
        <is>
          <t>Woodland Walk</t>
        </is>
      </c>
      <c r="G214" s="1260" t="inlineStr">
        <is>
          <t>Existing</t>
        </is>
      </c>
    </row>
    <row r="215" ht="13.5" customHeight="1" s="1232">
      <c r="A215" s="1393" t="n">
        <v>43774</v>
      </c>
      <c r="B215" s="1260" t="inlineStr">
        <is>
          <t>Ester Riordan</t>
        </is>
      </c>
      <c r="C215" s="1255" t="inlineStr">
        <is>
          <t>2. Workshops</t>
        </is>
      </c>
      <c r="D215" s="1260" t="inlineStr">
        <is>
          <t>Stripe</t>
        </is>
      </c>
      <c r="E215" s="1394" t="n">
        <v>50</v>
      </c>
      <c r="F215" s="1260" t="inlineStr">
        <is>
          <t>Abstract &amp; Macro</t>
        </is>
      </c>
      <c r="G215" s="1260" t="inlineStr">
        <is>
          <t>Existing</t>
        </is>
      </c>
    </row>
    <row r="216" ht="13.5" customHeight="1" s="1232">
      <c r="A216" s="1393" t="n">
        <v>43773</v>
      </c>
      <c r="B216" s="1260" t="inlineStr">
        <is>
          <t>Scott Bremner ELS</t>
        </is>
      </c>
      <c r="C216" s="1255" t="inlineStr">
        <is>
          <t>2. Workshops</t>
        </is>
      </c>
      <c r="D216" s="1260" t="inlineStr">
        <is>
          <t>Bank</t>
        </is>
      </c>
      <c r="E216" s="1394" t="n">
        <v>100</v>
      </c>
      <c r="F216" s="1260" t="inlineStr">
        <is>
          <t>Workshop TBA</t>
        </is>
      </c>
      <c r="G216" s="1260" t="inlineStr">
        <is>
          <t>ELS</t>
        </is>
      </c>
    </row>
    <row r="217" ht="13.5" customHeight="1" s="1232">
      <c r="A217" s="1393" t="n">
        <v>43773</v>
      </c>
      <c r="B217" s="1260" t="inlineStr">
        <is>
          <t>Paul Wiles ELS</t>
        </is>
      </c>
      <c r="C217" s="1255" t="inlineStr">
        <is>
          <t>2. Workshops</t>
        </is>
      </c>
      <c r="D217" s="1260" t="inlineStr">
        <is>
          <t>Bank</t>
        </is>
      </c>
      <c r="E217" s="1394" t="n">
        <v>75</v>
      </c>
      <c r="F217" s="1260" t="inlineStr">
        <is>
          <t>Workshop TBA</t>
        </is>
      </c>
      <c r="G217" s="1260" t="inlineStr">
        <is>
          <t>ELS</t>
        </is>
      </c>
    </row>
    <row r="218" ht="13.5" customHeight="1" s="1232">
      <c r="A218" s="1393" t="n">
        <v>43773</v>
      </c>
      <c r="B218" s="1260" t="inlineStr">
        <is>
          <t>Pauline Jordan</t>
        </is>
      </c>
      <c r="C218" s="1255" t="inlineStr">
        <is>
          <t>7. Gift Vouchers</t>
        </is>
      </c>
      <c r="D218" s="1260" t="inlineStr">
        <is>
          <t>Stripe</t>
        </is>
      </c>
      <c r="E218" s="1394" t="n">
        <v>50</v>
      </c>
      <c r="F218" s="1260" t="inlineStr">
        <is>
          <t>Digital Gift Card</t>
        </is>
      </c>
      <c r="G218" s="1260" t="inlineStr">
        <is>
          <t>Existing</t>
        </is>
      </c>
    </row>
    <row r="219" ht="13.5" customHeight="1" s="1232">
      <c r="A219" s="1393" t="n">
        <v>43773</v>
      </c>
      <c r="B219" s="1260" t="inlineStr">
        <is>
          <t>arthur masters</t>
        </is>
      </c>
      <c r="C219" s="1255" t="inlineStr">
        <is>
          <t>1. Courses/masterclasses</t>
        </is>
      </c>
      <c r="D219" s="1260" t="inlineStr">
        <is>
          <t>PayPal</t>
        </is>
      </c>
      <c r="E219" s="1394" t="n">
        <v>50</v>
      </c>
      <c r="F219" s="1260" t="inlineStr">
        <is>
          <t>5wk Course</t>
        </is>
      </c>
      <c r="G219" s="1260" t="inlineStr">
        <is>
          <t>ELS</t>
        </is>
      </c>
    </row>
    <row r="220" ht="13.5" customHeight="1" s="1232">
      <c r="A220" s="1393" t="n">
        <v>43772</v>
      </c>
      <c r="B220" s="1260" t="inlineStr">
        <is>
          <t>Janet Richards</t>
        </is>
      </c>
      <c r="C220" s="1255" t="inlineStr">
        <is>
          <t>1. Courses/masterclasses</t>
        </is>
      </c>
      <c r="D220" s="1260" t="inlineStr">
        <is>
          <t>Stripe</t>
        </is>
      </c>
      <c r="E220" s="1394" t="n">
        <v>30</v>
      </c>
      <c r="F220" s="1260" t="inlineStr">
        <is>
          <t>Get Off Auto</t>
        </is>
      </c>
      <c r="G220" s="1260" t="inlineStr">
        <is>
          <t>Google</t>
        </is>
      </c>
    </row>
    <row r="221" ht="13.5" customHeight="1" s="1232">
      <c r="A221" s="1393" t="n">
        <v>43772</v>
      </c>
      <c r="B221" s="1260" t="inlineStr">
        <is>
          <t>Janice Jordan</t>
        </is>
      </c>
      <c r="C221" s="1255" t="inlineStr">
        <is>
          <t>2. Workshops</t>
        </is>
      </c>
      <c r="D221" s="1260" t="inlineStr">
        <is>
          <t>Cash</t>
        </is>
      </c>
      <c r="E221" s="1394" t="n">
        <v>10</v>
      </c>
      <c r="F221" s="1260" t="inlineStr">
        <is>
          <t>Woodland Walk</t>
        </is>
      </c>
      <c r="G221" s="1260" t="inlineStr">
        <is>
          <t>Google</t>
        </is>
      </c>
    </row>
    <row r="222" ht="13.5" customHeight="1" s="1232">
      <c r="A222" s="1393" t="n">
        <v>43772</v>
      </c>
      <c r="B222" s="1260" t="inlineStr">
        <is>
          <t>John Grant</t>
        </is>
      </c>
      <c r="C222" s="1255" t="inlineStr">
        <is>
          <t>2. Workshops</t>
        </is>
      </c>
      <c r="D222" s="1260" t="inlineStr">
        <is>
          <t>Stripe</t>
        </is>
      </c>
      <c r="E222" s="1394" t="n">
        <v>10</v>
      </c>
      <c r="F222" s="1260" t="inlineStr">
        <is>
          <t>Woodland Walk</t>
        </is>
      </c>
      <c r="G222" s="1260" t="inlineStr">
        <is>
          <t>Google</t>
        </is>
      </c>
    </row>
    <row r="223" ht="13.5" customHeight="1" s="1232">
      <c r="A223" s="1393" t="n">
        <v>43770</v>
      </c>
      <c r="B223" s="1260" t="inlineStr">
        <is>
          <t>charlie budd</t>
        </is>
      </c>
      <c r="C223" s="1255" t="inlineStr">
        <is>
          <t>2. Workshops</t>
        </is>
      </c>
      <c r="D223" s="1260" t="inlineStr">
        <is>
          <t>PayPal</t>
        </is>
      </c>
      <c r="E223" s="1394" t="n">
        <v>10</v>
      </c>
      <c r="F223" s="1260" t="inlineStr">
        <is>
          <t>Woodland Walk</t>
        </is>
      </c>
      <c r="G223" s="1260" t="inlineStr">
        <is>
          <t>Google</t>
        </is>
      </c>
    </row>
    <row r="224" ht="13.5" customHeight="1" s="1232">
      <c r="A224" s="1393" t="n">
        <v>43770</v>
      </c>
      <c r="B224" s="1260" t="inlineStr">
        <is>
          <t>Nov Pick N Mix</t>
        </is>
      </c>
      <c r="C224" s="1255" t="inlineStr">
        <is>
          <t>3. Pick n Mix Inc</t>
        </is>
      </c>
      <c r="D224" s="1255" t="inlineStr">
        <is>
          <t>Various</t>
        </is>
      </c>
      <c r="E224" s="1261" t="n">
        <v>1010</v>
      </c>
      <c r="F224" s="1255" t="inlineStr">
        <is>
          <t>Pick N Mix Payments</t>
        </is>
      </c>
      <c r="G224" s="1260" t="inlineStr">
        <is>
          <t>Existing</t>
        </is>
      </c>
    </row>
    <row r="225" ht="13.5" customHeight="1" s="1232">
      <c r="A225" s="1393" t="n">
        <v>43770</v>
      </c>
      <c r="B225" s="1260" t="inlineStr">
        <is>
          <t>Nov Mentoring</t>
        </is>
      </c>
      <c r="C225" s="1255" t="inlineStr">
        <is>
          <t>5. Mentoring</t>
        </is>
      </c>
      <c r="D225" s="1255" t="inlineStr">
        <is>
          <t>Various</t>
        </is>
      </c>
      <c r="E225" s="1261" t="n">
        <v>60</v>
      </c>
      <c r="F225" s="1255" t="inlineStr">
        <is>
          <t>Mentoring Subs</t>
        </is>
      </c>
      <c r="G225" s="1260" t="inlineStr">
        <is>
          <t>Existing</t>
        </is>
      </c>
    </row>
    <row r="226" ht="13.5" customHeight="1" s="1232">
      <c r="A226" s="1393" t="n"/>
      <c r="B226" s="1260" t="n"/>
      <c r="D226" s="1260" t="n"/>
      <c r="E226" s="1394" t="n"/>
      <c r="F226" s="1260" t="n"/>
      <c r="G226" s="1260" t="n"/>
    </row>
    <row r="227" ht="13.5" customHeight="1" s="1232">
      <c r="A227" s="1393" t="n">
        <v>43768</v>
      </c>
      <c r="B227" s="1260" t="inlineStr">
        <is>
          <t>Abbie Watts</t>
        </is>
      </c>
      <c r="C227" s="1255" t="inlineStr">
        <is>
          <t>2. Workshops</t>
        </is>
      </c>
      <c r="D227" s="1260" t="inlineStr">
        <is>
          <t>Stripe</t>
        </is>
      </c>
      <c r="E227" s="1394" t="n">
        <v>10</v>
      </c>
      <c r="F227" s="1260" t="inlineStr">
        <is>
          <t>Woodland Walk</t>
        </is>
      </c>
      <c r="G227" s="1260" t="inlineStr">
        <is>
          <t>Google</t>
        </is>
      </c>
    </row>
    <row r="228" ht="13.5" customHeight="1" s="1232">
      <c r="A228" s="1393" t="n">
        <v>43767</v>
      </c>
      <c r="B228" s="1260" t="inlineStr">
        <is>
          <t>Daren Baker</t>
        </is>
      </c>
      <c r="C228" s="1255" t="inlineStr">
        <is>
          <t>1. Courses/masterclasses</t>
        </is>
      </c>
      <c r="D228" s="1260" t="inlineStr">
        <is>
          <t>Stripe</t>
        </is>
      </c>
      <c r="E228" s="1394" t="n">
        <v>99</v>
      </c>
      <c r="F228" s="1260" t="inlineStr">
        <is>
          <t>Online Beginners Course</t>
        </is>
      </c>
      <c r="G228" s="1260" t="inlineStr">
        <is>
          <t>Google</t>
        </is>
      </c>
    </row>
    <row r="229" ht="13.5" customHeight="1" s="1232">
      <c r="A229" s="1393" t="n">
        <v>43762</v>
      </c>
      <c r="B229" s="1260" t="inlineStr">
        <is>
          <t>John Flack</t>
        </is>
      </c>
      <c r="C229" s="1255" t="inlineStr">
        <is>
          <t>5. Mentoring</t>
        </is>
      </c>
      <c r="D229" s="1260" t="inlineStr">
        <is>
          <t>Stripe</t>
        </is>
      </c>
      <c r="E229" s="1394" t="n">
        <v>200</v>
      </c>
      <c r="F229" s="1260" t="inlineStr">
        <is>
          <t>Annual Mentoring</t>
        </is>
      </c>
      <c r="G229" s="1260" t="inlineStr">
        <is>
          <t>Google</t>
        </is>
      </c>
    </row>
    <row r="230" ht="13.5" customHeight="1" s="1232">
      <c r="A230" s="1393" t="n">
        <v>43757</v>
      </c>
      <c r="B230" s="1260" t="inlineStr">
        <is>
          <t>kamaljit mattu</t>
        </is>
      </c>
      <c r="C230" s="1255" t="inlineStr">
        <is>
          <t>1. Courses/masterclasses</t>
        </is>
      </c>
      <c r="D230" s="1260" t="inlineStr">
        <is>
          <t>Stripe</t>
        </is>
      </c>
      <c r="E230" s="1394" t="n">
        <v>250</v>
      </c>
      <c r="F230" s="1260" t="inlineStr">
        <is>
          <t>Beginners Lightroom Course</t>
        </is>
      </c>
      <c r="G230" s="1260" t="inlineStr">
        <is>
          <t>Existing</t>
        </is>
      </c>
    </row>
    <row r="231" ht="13.5" customHeight="1" s="1232">
      <c r="A231" s="1393" t="n">
        <v>43757</v>
      </c>
      <c r="B231" s="1260" t="inlineStr">
        <is>
          <t>David Green</t>
        </is>
      </c>
      <c r="C231" s="1255" t="inlineStr">
        <is>
          <t>1. Courses/masterclasses</t>
        </is>
      </c>
      <c r="D231" s="1260" t="inlineStr">
        <is>
          <t>Stripe</t>
        </is>
      </c>
      <c r="E231" s="1394" t="n">
        <v>30</v>
      </c>
      <c r="F231" s="1260" t="inlineStr">
        <is>
          <t>Get Off Auto</t>
        </is>
      </c>
      <c r="G231" s="1260" t="inlineStr">
        <is>
          <t>Google</t>
        </is>
      </c>
    </row>
    <row r="232" ht="13.5" customHeight="1" s="1232">
      <c r="A232" s="1393" t="n">
        <v>43755</v>
      </c>
      <c r="B232" s="1260" t="inlineStr">
        <is>
          <t>Claire Hughes</t>
        </is>
      </c>
      <c r="C232" s="1255" t="inlineStr">
        <is>
          <t>2. Workshops</t>
        </is>
      </c>
      <c r="D232" s="1260" t="inlineStr">
        <is>
          <t>Stripe</t>
        </is>
      </c>
      <c r="E232" s="1394" t="n">
        <v>150</v>
      </c>
      <c r="F232" s="1260" t="inlineStr">
        <is>
          <t>Autumn Batsford</t>
        </is>
      </c>
      <c r="G232" s="1260" t="inlineStr">
        <is>
          <t>Facebook</t>
        </is>
      </c>
    </row>
    <row r="233" ht="13.5" customHeight="1" s="1232">
      <c r="A233" s="1393" t="n">
        <v>43754</v>
      </c>
      <c r="B233" s="1260" t="inlineStr">
        <is>
          <t>Ricard Jeffries</t>
        </is>
      </c>
      <c r="C233" s="1255" t="inlineStr">
        <is>
          <t>2. Workshops</t>
        </is>
      </c>
      <c r="D233" s="1260" t="inlineStr">
        <is>
          <t>PayPal</t>
        </is>
      </c>
      <c r="E233" s="1394" t="n">
        <v>100</v>
      </c>
      <c r="F233" s="1260" t="inlineStr">
        <is>
          <t>Autumn Batsford</t>
        </is>
      </c>
      <c r="G233" s="1260" t="inlineStr">
        <is>
          <t>Existing</t>
        </is>
      </c>
    </row>
    <row r="234" ht="13.5" customHeight="1" s="1232">
      <c r="A234" s="1393" t="n">
        <v>43749</v>
      </c>
      <c r="B234" s="1260" t="inlineStr">
        <is>
          <t>Richard Peacey</t>
        </is>
      </c>
      <c r="C234" s="1255" t="inlineStr">
        <is>
          <t>2. Workshops</t>
        </is>
      </c>
      <c r="D234" s="1260" t="inlineStr">
        <is>
          <t>Stripe</t>
        </is>
      </c>
      <c r="E234" s="1394" t="n">
        <v>150</v>
      </c>
      <c r="F234" s="1260" t="inlineStr">
        <is>
          <t>Autumn Batsford</t>
        </is>
      </c>
      <c r="G234" s="1260" t="inlineStr">
        <is>
          <t>Facebook</t>
        </is>
      </c>
    </row>
    <row r="235" ht="13.5" customHeight="1" s="1232">
      <c r="A235" s="1393" t="n">
        <v>43749</v>
      </c>
      <c r="B235" s="1260" t="inlineStr">
        <is>
          <t>Ian Harrop</t>
        </is>
      </c>
      <c r="C235" s="1255" t="inlineStr">
        <is>
          <t>2. Workshops</t>
        </is>
      </c>
      <c r="D235" s="1260" t="inlineStr">
        <is>
          <t>Stripe</t>
        </is>
      </c>
      <c r="E235" s="1394" t="n">
        <v>995</v>
      </c>
      <c r="F235" s="1260" t="inlineStr">
        <is>
          <t>Dingle Ireland</t>
        </is>
      </c>
      <c r="G235" s="1260" t="inlineStr">
        <is>
          <t>Existing</t>
        </is>
      </c>
    </row>
    <row r="236" ht="13.5" customHeight="1" s="1232">
      <c r="A236" s="1393" t="n">
        <v>43747</v>
      </c>
      <c r="B236" s="1260" t="inlineStr">
        <is>
          <t>Johanna Stansfield</t>
        </is>
      </c>
      <c r="C236" s="1255" t="inlineStr">
        <is>
          <t>2. Workshops</t>
        </is>
      </c>
      <c r="D236" s="1260" t="inlineStr">
        <is>
          <t>Stripe</t>
        </is>
      </c>
      <c r="E236" s="1394" t="n">
        <v>99</v>
      </c>
      <c r="F236" s="1260" t="inlineStr">
        <is>
          <t>Autumn Batsford</t>
        </is>
      </c>
      <c r="G236" s="1260" t="inlineStr">
        <is>
          <t>Existing</t>
        </is>
      </c>
    </row>
    <row r="237" ht="13.5" customHeight="1" s="1232">
      <c r="A237" s="1393" t="n">
        <v>43747</v>
      </c>
      <c r="B237" s="1260" t="inlineStr">
        <is>
          <t>Sue Walkland</t>
        </is>
      </c>
      <c r="C237" s="1255" t="inlineStr">
        <is>
          <t>10. Other</t>
        </is>
      </c>
      <c r="D237" s="1260" t="inlineStr">
        <is>
          <t>Stripe</t>
        </is>
      </c>
      <c r="E237" s="1394" t="n">
        <v>4.5</v>
      </c>
      <c r="F237" s="1260" t="inlineStr">
        <is>
          <t>Pocket Guides</t>
        </is>
      </c>
      <c r="G237" s="1260" t="inlineStr">
        <is>
          <t>Existing</t>
        </is>
      </c>
    </row>
    <row r="238" ht="13.5" customHeight="1" s="1232">
      <c r="A238" s="1393" t="n">
        <v>43747</v>
      </c>
      <c r="B238" s="1260" t="inlineStr">
        <is>
          <t>Jennifer Box</t>
        </is>
      </c>
      <c r="C238" s="1255" t="inlineStr">
        <is>
          <t>10. Other</t>
        </is>
      </c>
      <c r="D238" s="1260" t="inlineStr">
        <is>
          <t>Stripe</t>
        </is>
      </c>
      <c r="E238" s="1394" t="n">
        <v>2.1</v>
      </c>
      <c r="F238" s="1260" t="inlineStr">
        <is>
          <t>Pocket Guides</t>
        </is>
      </c>
      <c r="G238" s="1260" t="inlineStr">
        <is>
          <t>Existing</t>
        </is>
      </c>
    </row>
    <row r="239" ht="13.5" customHeight="1" s="1232">
      <c r="A239" s="1393" t="n">
        <v>43745</v>
      </c>
      <c r="B239" s="1260" t="inlineStr">
        <is>
          <t>Diana Richards</t>
        </is>
      </c>
      <c r="C239" s="1255" t="inlineStr">
        <is>
          <t>6. 1-2-1</t>
        </is>
      </c>
      <c r="D239" s="1260" t="inlineStr">
        <is>
          <t>PayPal</t>
        </is>
      </c>
      <c r="E239" s="1394" t="n">
        <v>360</v>
      </c>
      <c r="F239" s="1260" t="inlineStr">
        <is>
          <t>4 x 2hr 1-2-1's</t>
        </is>
      </c>
      <c r="G239" s="1260" t="inlineStr">
        <is>
          <t>Existing</t>
        </is>
      </c>
    </row>
    <row r="240" ht="13.5" customHeight="1" s="1232">
      <c r="A240" s="1393" t="n">
        <v>43745</v>
      </c>
      <c r="B240" s="1260" t="inlineStr">
        <is>
          <t>Scott Bremner</t>
        </is>
      </c>
      <c r="C240" s="1255" t="inlineStr">
        <is>
          <t>2. Workshops</t>
        </is>
      </c>
      <c r="D240" s="1260" t="inlineStr">
        <is>
          <t>Stripe</t>
        </is>
      </c>
      <c r="E240" s="1394" t="n">
        <v>50</v>
      </c>
      <c r="F240" s="1260" t="inlineStr">
        <is>
          <t>Architecture Workshop</t>
        </is>
      </c>
      <c r="G240" s="1260" t="inlineStr">
        <is>
          <t>Existing</t>
        </is>
      </c>
    </row>
    <row r="241" ht="13.5" customHeight="1" s="1232">
      <c r="A241" s="1393" t="n">
        <v>43742</v>
      </c>
      <c r="B241" s="1260" t="inlineStr">
        <is>
          <t>David Cluley</t>
        </is>
      </c>
      <c r="C241" s="1255" t="inlineStr">
        <is>
          <t>2. Workshops</t>
        </is>
      </c>
      <c r="D241" s="1260" t="inlineStr">
        <is>
          <t>Stripe</t>
        </is>
      </c>
      <c r="E241" s="1394" t="n">
        <v>150</v>
      </c>
      <c r="F241" s="1260" t="inlineStr">
        <is>
          <t>Autumn Batsford</t>
        </is>
      </c>
      <c r="G241" s="1260" t="inlineStr">
        <is>
          <t>Facebook</t>
        </is>
      </c>
    </row>
    <row r="242" ht="13.5" customHeight="1" s="1232">
      <c r="A242" s="1393" t="n">
        <v>43744</v>
      </c>
      <c r="B242" s="1260" t="inlineStr">
        <is>
          <t>Alison Read</t>
        </is>
      </c>
      <c r="C242" s="1255" t="inlineStr">
        <is>
          <t>2. Workshops</t>
        </is>
      </c>
      <c r="D242" s="1260" t="inlineStr">
        <is>
          <t>PayPal</t>
        </is>
      </c>
      <c r="E242" s="1394" t="n">
        <v>99</v>
      </c>
      <c r="F242" s="1260" t="inlineStr">
        <is>
          <t>Autumn Batsford</t>
        </is>
      </c>
      <c r="G242" s="1260" t="inlineStr">
        <is>
          <t>Batsford</t>
        </is>
      </c>
    </row>
    <row r="243" ht="13.5" customHeight="1" s="1232">
      <c r="A243" s="1393" t="n">
        <v>43742</v>
      </c>
      <c r="B243" s="1260" t="inlineStr">
        <is>
          <t>TKC - Prints</t>
        </is>
      </c>
      <c r="C243" s="1255" t="inlineStr">
        <is>
          <t>8. Prints &amp; Royalties</t>
        </is>
      </c>
      <c r="D243" s="1260" t="inlineStr">
        <is>
          <t>Bank</t>
        </is>
      </c>
      <c r="E243" s="1394" t="n">
        <v>657.48</v>
      </c>
      <c r="F243" s="1260" t="inlineStr">
        <is>
          <t>8 Framed Prints</t>
        </is>
      </c>
      <c r="G243" s="1260" t="inlineStr">
        <is>
          <t>Existing</t>
        </is>
      </c>
    </row>
    <row r="244" ht="13.5" customHeight="1" s="1232">
      <c r="A244" s="1393" t="n">
        <v>43740</v>
      </c>
      <c r="B244" s="1260" t="inlineStr">
        <is>
          <t>Nuria Alonso</t>
        </is>
      </c>
      <c r="C244" s="1255" t="inlineStr">
        <is>
          <t>1. Courses/masterclasses</t>
        </is>
      </c>
      <c r="D244" s="1260" t="inlineStr">
        <is>
          <t>Stripe</t>
        </is>
      </c>
      <c r="E244" s="1394" t="n">
        <v>250</v>
      </c>
      <c r="F244" s="1260" t="inlineStr">
        <is>
          <t>Beginners Lightroom Course</t>
        </is>
      </c>
      <c r="G244" s="1260" t="inlineStr">
        <is>
          <t>Existing</t>
        </is>
      </c>
    </row>
    <row r="245" ht="13.5" customHeight="1" s="1232">
      <c r="A245" s="1393" t="n">
        <v>43740</v>
      </c>
      <c r="B245" s="1260" t="inlineStr">
        <is>
          <t>Trevor Withell</t>
        </is>
      </c>
      <c r="C245" s="1255" t="inlineStr">
        <is>
          <t>2. Workshops</t>
        </is>
      </c>
      <c r="D245" s="1260" t="inlineStr">
        <is>
          <t>Stripe</t>
        </is>
      </c>
      <c r="E245" s="1394" t="n">
        <v>150</v>
      </c>
      <c r="F245" s="1260" t="inlineStr">
        <is>
          <t>Autumn Batsford</t>
        </is>
      </c>
      <c r="G245" s="1260" t="inlineStr">
        <is>
          <t>Existing</t>
        </is>
      </c>
    </row>
    <row r="246" ht="13.5" customHeight="1" s="1232">
      <c r="A246" s="1393" t="n">
        <v>43739</v>
      </c>
      <c r="B246" s="1260" t="inlineStr">
        <is>
          <t>Oct Pick N Mix</t>
        </is>
      </c>
      <c r="C246" s="1255" t="inlineStr">
        <is>
          <t>3. Pick n Mix Inc</t>
        </is>
      </c>
      <c r="D246" s="1255" t="inlineStr">
        <is>
          <t>Various</t>
        </is>
      </c>
      <c r="E246" s="1261" t="n">
        <v>707.5</v>
      </c>
      <c r="F246" s="1255" t="inlineStr">
        <is>
          <t>Pick N Mix Payments</t>
        </is>
      </c>
      <c r="G246" s="1260" t="inlineStr">
        <is>
          <t>Existing</t>
        </is>
      </c>
    </row>
    <row r="247" ht="13.5" customHeight="1" s="1232">
      <c r="A247" s="1393" t="n">
        <v>43739</v>
      </c>
      <c r="B247" s="1260" t="inlineStr">
        <is>
          <t>Oct Mentoring</t>
        </is>
      </c>
      <c r="C247" s="1255" t="inlineStr">
        <is>
          <t>5. Mentoring</t>
        </is>
      </c>
      <c r="D247" s="1255" t="inlineStr">
        <is>
          <t>Various</t>
        </is>
      </c>
      <c r="E247" s="1261" t="n">
        <v>60</v>
      </c>
      <c r="F247" s="1255" t="inlineStr">
        <is>
          <t>Mentoring Subs</t>
        </is>
      </c>
      <c r="G247" s="1260" t="inlineStr">
        <is>
          <t>Existing</t>
        </is>
      </c>
    </row>
    <row r="248" ht="13.5" customHeight="1" s="1232">
      <c r="A248" s="1345" t="n"/>
      <c r="B248" s="1260" t="n"/>
      <c r="D248" s="1260" t="n"/>
      <c r="E248" s="1394" t="n"/>
      <c r="F248" s="1260" t="n"/>
      <c r="G248" s="1260" t="n"/>
    </row>
    <row r="249" ht="13.5" customHeight="1" s="1232">
      <c r="A249" s="1345" t="n"/>
      <c r="B249" s="1260" t="n"/>
      <c r="D249" s="1260" t="n"/>
      <c r="E249" s="1394" t="n"/>
      <c r="F249" s="1260" t="n"/>
      <c r="G249" s="1260" t="n"/>
    </row>
    <row r="250" ht="13.5" customHeight="1" s="1232">
      <c r="A250" s="1393" t="n">
        <v>43738</v>
      </c>
      <c r="B250" s="1260" t="inlineStr">
        <is>
          <t>Phil O'Grady</t>
        </is>
      </c>
      <c r="C250" s="1255" t="inlineStr">
        <is>
          <t>1. Courses/masterclasses</t>
        </is>
      </c>
      <c r="D250" s="1260" t="inlineStr">
        <is>
          <t>Stripe</t>
        </is>
      </c>
      <c r="E250" s="1394" t="n">
        <v>140</v>
      </c>
      <c r="F250" s="1260" t="inlineStr">
        <is>
          <t>Intermediates Photography</t>
        </is>
      </c>
      <c r="G250" s="1260" t="inlineStr">
        <is>
          <t>Existing</t>
        </is>
      </c>
    </row>
    <row r="251" ht="13.5" customHeight="1" s="1232">
      <c r="A251" s="1393" t="n">
        <v>43738</v>
      </c>
      <c r="B251" s="1260" t="inlineStr">
        <is>
          <t>Michael Payne</t>
        </is>
      </c>
      <c r="C251" s="1255" t="inlineStr">
        <is>
          <t>2. Workshops</t>
        </is>
      </c>
      <c r="D251" s="1260" t="inlineStr">
        <is>
          <t>Stripe</t>
        </is>
      </c>
      <c r="E251" s="1394" t="n">
        <v>150</v>
      </c>
      <c r="F251" s="1260" t="inlineStr">
        <is>
          <t>Batsford Autumn</t>
        </is>
      </c>
      <c r="G251" s="1260" t="inlineStr">
        <is>
          <t>Existing</t>
        </is>
      </c>
    </row>
    <row r="252" ht="13.5" customHeight="1" s="1232">
      <c r="A252" s="1393" t="n">
        <v>43738</v>
      </c>
      <c r="B252" s="1260" t="inlineStr">
        <is>
          <t>Iain Turnbull</t>
        </is>
      </c>
      <c r="C252" s="1255" t="inlineStr">
        <is>
          <t>2. Workshops</t>
        </is>
      </c>
      <c r="D252" s="1260" t="inlineStr">
        <is>
          <t>Stripe</t>
        </is>
      </c>
      <c r="E252" s="1394" t="n">
        <v>425</v>
      </c>
      <c r="F252" s="1260" t="inlineStr">
        <is>
          <t>Devon Aug 2020</t>
        </is>
      </c>
      <c r="G252" s="1260" t="inlineStr">
        <is>
          <t>Existing</t>
        </is>
      </c>
    </row>
    <row r="253" ht="13.5" customHeight="1" s="1232">
      <c r="A253" s="1393" t="n">
        <v>43738</v>
      </c>
      <c r="B253" s="1260" t="inlineStr">
        <is>
          <t>Iain Turnbull</t>
        </is>
      </c>
      <c r="C253" s="1255" t="inlineStr">
        <is>
          <t>7. Gift Vouchers</t>
        </is>
      </c>
      <c r="D253" s="1260" t="inlineStr">
        <is>
          <t>Stripe</t>
        </is>
      </c>
      <c r="E253" s="1394" t="n">
        <v>-425</v>
      </c>
      <c r="F253" s="1260" t="inlineStr">
        <is>
          <t>Gift Card Redemption</t>
        </is>
      </c>
      <c r="G253" s="1260" t="inlineStr">
        <is>
          <t>Existing</t>
        </is>
      </c>
    </row>
    <row r="254" ht="13.5" customHeight="1" s="1232">
      <c r="A254" s="1393" t="n">
        <v>43734</v>
      </c>
      <c r="B254" s="1260" t="inlineStr">
        <is>
          <t>Michael Revelery</t>
        </is>
      </c>
      <c r="C254" s="1255" t="inlineStr">
        <is>
          <t>6. 1-2-1</t>
        </is>
      </c>
      <c r="D254" s="1260" t="inlineStr">
        <is>
          <t>Cash</t>
        </is>
      </c>
      <c r="E254" s="1394" t="n">
        <v>200</v>
      </c>
      <c r="F254" s="1260" t="inlineStr">
        <is>
          <t>LR Mac Migration</t>
        </is>
      </c>
      <c r="G254" s="1260" t="inlineStr">
        <is>
          <t>Existing</t>
        </is>
      </c>
    </row>
    <row r="255" ht="13.5" customHeight="1" s="1232">
      <c r="A255" s="1393" t="n">
        <v>43737</v>
      </c>
      <c r="B255" s="1260" t="inlineStr">
        <is>
          <t>Maureen Bradley</t>
        </is>
      </c>
      <c r="C255" s="1255" t="inlineStr">
        <is>
          <t>6. 1-2-1</t>
        </is>
      </c>
      <c r="D255" s="1260" t="inlineStr">
        <is>
          <t>Stripe</t>
        </is>
      </c>
      <c r="E255" s="1394" t="n">
        <v>360</v>
      </c>
      <c r="F255" s="1260" t="inlineStr">
        <is>
          <t>4 x 2hr 1-2-1's</t>
        </is>
      </c>
      <c r="G255" s="1260" t="inlineStr">
        <is>
          <t>Existing</t>
        </is>
      </c>
    </row>
    <row r="256" ht="13.5" customHeight="1" s="1232">
      <c r="A256" s="1393" t="n">
        <v>43734</v>
      </c>
      <c r="B256" s="1260" t="inlineStr">
        <is>
          <t>Caroline Key</t>
        </is>
      </c>
      <c r="C256" s="1255" t="inlineStr">
        <is>
          <t>2. Workshops</t>
        </is>
      </c>
      <c r="D256" s="1260" t="inlineStr">
        <is>
          <t>PayPal</t>
        </is>
      </c>
      <c r="E256" s="1394" t="n">
        <v>10</v>
      </c>
      <c r="F256" s="1260" t="inlineStr">
        <is>
          <t>Woodland Walk</t>
        </is>
      </c>
      <c r="G256" s="1260" t="inlineStr">
        <is>
          <t>Existing</t>
        </is>
      </c>
    </row>
    <row r="257" ht="13.5" customHeight="1" s="1232">
      <c r="A257" s="1393" t="n">
        <v>43736</v>
      </c>
      <c r="B257" s="1260" t="inlineStr">
        <is>
          <t xml:space="preserve">Ester </t>
        </is>
      </c>
      <c r="C257" s="1255" t="inlineStr">
        <is>
          <t>2. Workshops</t>
        </is>
      </c>
      <c r="D257" s="1260" t="inlineStr">
        <is>
          <t>PayPal</t>
        </is>
      </c>
      <c r="E257" s="1394" t="n">
        <v>75</v>
      </c>
      <c r="F257" s="1260" t="inlineStr">
        <is>
          <t>Extra Night B&amp;B</t>
        </is>
      </c>
      <c r="G257" s="1260" t="inlineStr">
        <is>
          <t>Existing</t>
        </is>
      </c>
    </row>
    <row r="258" ht="13.5" customHeight="1" s="1232">
      <c r="A258" s="1393" t="n">
        <v>43736</v>
      </c>
      <c r="B258" s="1260" t="inlineStr">
        <is>
          <t>Jane</t>
        </is>
      </c>
      <c r="C258" s="1255" t="inlineStr">
        <is>
          <t>2. Workshops</t>
        </is>
      </c>
      <c r="D258" s="1260" t="inlineStr">
        <is>
          <t>PayPal</t>
        </is>
      </c>
      <c r="E258" s="1394" t="n">
        <v>75</v>
      </c>
      <c r="F258" s="1260" t="inlineStr">
        <is>
          <t>Extra Night B&amp;B</t>
        </is>
      </c>
      <c r="G258" s="1260" t="inlineStr">
        <is>
          <t>Existing</t>
        </is>
      </c>
    </row>
    <row r="259" ht="13.5" customHeight="1" s="1232">
      <c r="A259" s="1393" t="n">
        <v>43736</v>
      </c>
      <c r="B259" s="1260" t="inlineStr">
        <is>
          <t>Diana</t>
        </is>
      </c>
      <c r="C259" s="1255" t="inlineStr">
        <is>
          <t>2. Workshops</t>
        </is>
      </c>
      <c r="D259" s="1260" t="inlineStr">
        <is>
          <t>PayPal</t>
        </is>
      </c>
      <c r="E259" s="1394" t="n">
        <v>75</v>
      </c>
      <c r="F259" s="1260" t="inlineStr">
        <is>
          <t>Extra Night B&amp;B</t>
        </is>
      </c>
      <c r="G259" s="1260" t="inlineStr">
        <is>
          <t>Existing</t>
        </is>
      </c>
    </row>
    <row r="260" ht="13.5" customHeight="1" s="1232">
      <c r="A260" s="1393" t="n">
        <v>43730</v>
      </c>
      <c r="B260" s="1260" t="inlineStr">
        <is>
          <t>Artfully Walls</t>
        </is>
      </c>
      <c r="C260" s="1255" t="inlineStr">
        <is>
          <t>8. Prints &amp; Royalties</t>
        </is>
      </c>
      <c r="D260" s="1260" t="inlineStr">
        <is>
          <t>PayPal</t>
        </is>
      </c>
      <c r="E260" s="1394">
        <f>133.59+41.3</f>
        <v/>
      </c>
      <c r="F260" s="1260" t="inlineStr">
        <is>
          <t>Print Sales</t>
        </is>
      </c>
      <c r="G260" s="1260" t="inlineStr">
        <is>
          <t>Existing</t>
        </is>
      </c>
    </row>
    <row r="261" ht="13.5" customHeight="1" s="1232">
      <c r="A261" s="1393" t="n">
        <v>43727</v>
      </c>
      <c r="B261" s="1260" t="inlineStr">
        <is>
          <t>Janice Jordan</t>
        </is>
      </c>
      <c r="C261" s="1255" t="inlineStr">
        <is>
          <t>1. Courses/masterclasses</t>
        </is>
      </c>
      <c r="D261" s="1260" t="inlineStr">
        <is>
          <t>PicknMix</t>
        </is>
      </c>
      <c r="E261" s="1400" t="n">
        <v>335.75</v>
      </c>
      <c r="F261" s="1249" t="inlineStr">
        <is>
          <t>RPS Course</t>
        </is>
      </c>
      <c r="G261" s="1260" t="inlineStr">
        <is>
          <t>Existing</t>
        </is>
      </c>
    </row>
    <row r="262" ht="13.5" customHeight="1" s="1232">
      <c r="A262" s="1393" t="n">
        <v>43727</v>
      </c>
      <c r="B262" s="1260" t="inlineStr">
        <is>
          <t>Janice Jordan</t>
        </is>
      </c>
      <c r="C262" s="1255" t="inlineStr">
        <is>
          <t>4. Pick n Mix Out</t>
        </is>
      </c>
      <c r="D262" s="1260" t="inlineStr">
        <is>
          <t>PicknMix</t>
        </is>
      </c>
      <c r="E262" s="1401" t="n">
        <v>-335.75</v>
      </c>
      <c r="F262" s="1249" t="inlineStr">
        <is>
          <t>RPS Course</t>
        </is>
      </c>
      <c r="G262" s="1260" t="inlineStr">
        <is>
          <t>Existing</t>
        </is>
      </c>
    </row>
    <row r="263" ht="13.5" customHeight="1" s="1232">
      <c r="A263" s="1393" t="n">
        <v>43725</v>
      </c>
      <c r="B263" s="1260" t="inlineStr">
        <is>
          <t>amanda percival</t>
        </is>
      </c>
      <c r="C263" s="1255" t="inlineStr">
        <is>
          <t>6. 1-2-1</t>
        </is>
      </c>
      <c r="D263" s="1260" t="inlineStr">
        <is>
          <t>Stripe</t>
        </is>
      </c>
      <c r="E263" s="1394" t="n">
        <v>360</v>
      </c>
      <c r="F263" s="1260" t="inlineStr">
        <is>
          <t>4 x 2hr 1-2-1's</t>
        </is>
      </c>
      <c r="G263" s="1260" t="inlineStr">
        <is>
          <t>Google</t>
        </is>
      </c>
    </row>
    <row r="264" ht="13.5" customHeight="1" s="1232">
      <c r="A264" s="1393" t="n">
        <v>43720</v>
      </c>
      <c r="B264" s="1260" t="inlineStr">
        <is>
          <t>Anne Watkinson</t>
        </is>
      </c>
      <c r="C264" s="1255" t="inlineStr">
        <is>
          <t>1. Courses/masterclasses</t>
        </is>
      </c>
      <c r="D264" s="1260" t="inlineStr">
        <is>
          <t>Stripe</t>
        </is>
      </c>
      <c r="E264" s="1394" t="n">
        <v>495</v>
      </c>
      <c r="F264" s="1260" t="inlineStr">
        <is>
          <t>Intentions Course</t>
        </is>
      </c>
      <c r="G264" s="1260" t="inlineStr">
        <is>
          <t>Existing</t>
        </is>
      </c>
    </row>
    <row r="265" ht="13.5" customHeight="1" s="1232">
      <c r="A265" s="1393" t="n">
        <v>43719</v>
      </c>
      <c r="B265" s="1260" t="inlineStr">
        <is>
          <t>Jacqueline Harley</t>
        </is>
      </c>
      <c r="C265" s="1255" t="inlineStr">
        <is>
          <t>1. Courses/masterclasses</t>
        </is>
      </c>
      <c r="D265" s="1260" t="inlineStr">
        <is>
          <t>Stripe</t>
        </is>
      </c>
      <c r="E265" s="1394" t="n">
        <v>250</v>
      </c>
      <c r="F265" s="1260" t="inlineStr">
        <is>
          <t>5wk Beginners Course</t>
        </is>
      </c>
      <c r="G265" s="1260" t="inlineStr">
        <is>
          <t>Google</t>
        </is>
      </c>
    </row>
    <row r="266" ht="13.5" customHeight="1" s="1232">
      <c r="A266" s="1393" t="n">
        <v>43719</v>
      </c>
      <c r="B266" s="1260" t="inlineStr">
        <is>
          <t>pardeep atwal</t>
        </is>
      </c>
      <c r="C266" s="1255" t="inlineStr">
        <is>
          <t>7. Gift Vouchers</t>
        </is>
      </c>
      <c r="D266" s="1260" t="inlineStr">
        <is>
          <t>Stripe</t>
        </is>
      </c>
      <c r="E266" s="1394" t="n">
        <v>250</v>
      </c>
      <c r="F266" s="1260" t="inlineStr">
        <is>
          <t>Digital Gift Card</t>
        </is>
      </c>
      <c r="G266" s="1260" t="inlineStr">
        <is>
          <t>Google</t>
        </is>
      </c>
    </row>
    <row r="267" ht="13.5" customHeight="1" s="1232">
      <c r="A267" s="1393" t="n">
        <v>43718</v>
      </c>
      <c r="B267" s="1260" t="inlineStr">
        <is>
          <t>Amanda Graham</t>
        </is>
      </c>
      <c r="C267" s="1255" t="inlineStr">
        <is>
          <t>2. Workshops</t>
        </is>
      </c>
      <c r="D267" s="1260" t="inlineStr">
        <is>
          <t>PicknMix</t>
        </is>
      </c>
      <c r="E267" s="1400" t="n">
        <v>150</v>
      </c>
      <c r="F267" s="1249" t="inlineStr">
        <is>
          <t>Nant Mill 16 Nov</t>
        </is>
      </c>
      <c r="G267" s="1260" t="inlineStr">
        <is>
          <t>Existing</t>
        </is>
      </c>
    </row>
    <row r="268" ht="13.5" customHeight="1" s="1232">
      <c r="A268" s="1393" t="n">
        <v>43718</v>
      </c>
      <c r="B268" s="1260" t="inlineStr">
        <is>
          <t>Amanda Graham</t>
        </is>
      </c>
      <c r="C268" s="1255" t="inlineStr">
        <is>
          <t>4. Pick n Mix Out</t>
        </is>
      </c>
      <c r="D268" s="1260" t="inlineStr">
        <is>
          <t>PicknMix</t>
        </is>
      </c>
      <c r="E268" s="1401" t="n">
        <v>-150</v>
      </c>
      <c r="F268" s="1249" t="inlineStr">
        <is>
          <t>Nant Mill 16 Nov</t>
        </is>
      </c>
      <c r="G268" s="1260" t="inlineStr">
        <is>
          <t>Existing</t>
        </is>
      </c>
    </row>
    <row r="269" ht="13.5" customHeight="1" s="1232">
      <c r="A269" s="1393" t="n">
        <v>43717</v>
      </c>
      <c r="B269" s="1260" t="inlineStr">
        <is>
          <t>Christopher Burnard</t>
        </is>
      </c>
      <c r="C269" s="1255" t="inlineStr">
        <is>
          <t>6. 1-2-1</t>
        </is>
      </c>
      <c r="D269" s="1260" t="inlineStr">
        <is>
          <t>Stripe</t>
        </is>
      </c>
      <c r="E269" s="1394" t="n">
        <v>310</v>
      </c>
      <c r="F269" s="1260" t="inlineStr">
        <is>
          <t>4 x 2hr 1-2-1's</t>
        </is>
      </c>
      <c r="G269" s="1260" t="inlineStr">
        <is>
          <t>Google</t>
        </is>
      </c>
    </row>
    <row r="270" ht="13.5" customHeight="1" s="1232">
      <c r="A270" s="1393" t="n">
        <v>43716</v>
      </c>
      <c r="B270" s="1260" t="inlineStr">
        <is>
          <t>stephen meadows</t>
        </is>
      </c>
      <c r="C270" s="1255" t="inlineStr">
        <is>
          <t>2. Workshops</t>
        </is>
      </c>
      <c r="D270" s="1260" t="inlineStr">
        <is>
          <t>Stripe</t>
        </is>
      </c>
      <c r="E270" s="1394" t="n">
        <v>160</v>
      </c>
      <c r="F270" s="1260" t="inlineStr">
        <is>
          <t>Northumbria 1 day tuition</t>
        </is>
      </c>
      <c r="G270" s="1260" t="inlineStr">
        <is>
          <t>Google</t>
        </is>
      </c>
    </row>
    <row r="271" ht="13.5" customHeight="1" s="1232">
      <c r="A271" s="1393" t="n">
        <v>43716</v>
      </c>
      <c r="B271" s="1260" t="inlineStr">
        <is>
          <t>Janet Boulter</t>
        </is>
      </c>
      <c r="C271" s="1255" t="inlineStr">
        <is>
          <t>1. Courses/masterclasses</t>
        </is>
      </c>
      <c r="D271" s="1260" t="inlineStr">
        <is>
          <t>Stripe</t>
        </is>
      </c>
      <c r="E271" s="1394" t="n">
        <v>120</v>
      </c>
      <c r="F271" s="1260" t="inlineStr">
        <is>
          <t>2hrs '1-2-1</t>
        </is>
      </c>
      <c r="G271" s="1260" t="inlineStr">
        <is>
          <t>Existing</t>
        </is>
      </c>
    </row>
    <row r="272" ht="13.5" customHeight="1" s="1232">
      <c r="A272" s="1393" t="n">
        <v>43715</v>
      </c>
      <c r="B272" s="1260" t="inlineStr">
        <is>
          <t>Hannah Turnbull</t>
        </is>
      </c>
      <c r="C272" s="1255" t="inlineStr">
        <is>
          <t>7. Gift Vouchers</t>
        </is>
      </c>
      <c r="D272" s="1260" t="inlineStr">
        <is>
          <t>Stripe</t>
        </is>
      </c>
      <c r="E272" s="1394" t="n">
        <v>425</v>
      </c>
      <c r="F272" s="1260" t="inlineStr">
        <is>
          <t>Digital Gift Card</t>
        </is>
      </c>
      <c r="G272" s="1260" t="inlineStr">
        <is>
          <t>Google</t>
        </is>
      </c>
    </row>
    <row r="273" ht="13.5" customHeight="1" s="1232">
      <c r="A273" s="1393" t="n">
        <v>43713</v>
      </c>
      <c r="B273" s="1260" t="inlineStr">
        <is>
          <t>Georgina Smith</t>
        </is>
      </c>
      <c r="C273" s="1255" t="inlineStr">
        <is>
          <t>1. Courses/masterclasses</t>
        </is>
      </c>
      <c r="D273" s="1260" t="inlineStr">
        <is>
          <t>Stripe</t>
        </is>
      </c>
      <c r="E273" s="1394" t="n">
        <v>200</v>
      </c>
      <c r="F273" s="1260" t="inlineStr">
        <is>
          <t>4wk Beginners Photo Course</t>
        </is>
      </c>
      <c r="G273" s="1260" t="inlineStr">
        <is>
          <t>Google</t>
        </is>
      </c>
    </row>
    <row r="274" ht="13.5" customHeight="1" s="1232">
      <c r="A274" s="1393" t="n">
        <v>43712</v>
      </c>
      <c r="B274" s="1260" t="inlineStr">
        <is>
          <t>ester Riordan</t>
        </is>
      </c>
      <c r="C274" s="1255" t="inlineStr">
        <is>
          <t>2. Workshops</t>
        </is>
      </c>
      <c r="D274" s="1260" t="inlineStr">
        <is>
          <t>Stripe</t>
        </is>
      </c>
      <c r="E274" s="1394" t="n">
        <v>150</v>
      </c>
      <c r="F274" s="1260" t="inlineStr">
        <is>
          <t>Nant Mill 16 Nov</t>
        </is>
      </c>
      <c r="G274" s="1260" t="inlineStr">
        <is>
          <t>Existing</t>
        </is>
      </c>
    </row>
    <row r="275" ht="13.5" customHeight="1" s="1232">
      <c r="A275" s="1393" t="n">
        <v>43710</v>
      </c>
      <c r="B275" s="1260" t="inlineStr">
        <is>
          <t>Nuria Alonso</t>
        </is>
      </c>
      <c r="C275" s="1255" t="inlineStr">
        <is>
          <t>1. Courses/masterclasses</t>
        </is>
      </c>
      <c r="D275" s="1260" t="inlineStr">
        <is>
          <t>Stripe</t>
        </is>
      </c>
      <c r="E275" s="1394" t="n">
        <v>250</v>
      </c>
      <c r="F275" s="1260" t="inlineStr">
        <is>
          <t>5wk Beginners Course</t>
        </is>
      </c>
      <c r="G275" s="1260" t="inlineStr">
        <is>
          <t>Google</t>
        </is>
      </c>
    </row>
    <row r="276" ht="13.5" customHeight="1" s="1232">
      <c r="A276" s="1393" t="n">
        <v>43709</v>
      </c>
      <c r="B276" s="1260" t="inlineStr">
        <is>
          <t>Martine Parkes</t>
        </is>
      </c>
      <c r="C276" s="1255" t="inlineStr">
        <is>
          <t>6. 1-2-1</t>
        </is>
      </c>
      <c r="D276" s="1260" t="inlineStr">
        <is>
          <t>Stripe</t>
        </is>
      </c>
      <c r="E276" s="1394" t="n">
        <v>360</v>
      </c>
      <c r="F276" s="1260" t="inlineStr">
        <is>
          <t>4 x 2hr 1-2-1's</t>
        </is>
      </c>
      <c r="G276" s="1260" t="inlineStr">
        <is>
          <t>Google</t>
        </is>
      </c>
    </row>
    <row r="277" ht="13.5" customHeight="1" s="1232">
      <c r="A277" s="1393" t="n">
        <v>43709</v>
      </c>
      <c r="B277" s="1260" t="inlineStr">
        <is>
          <t>Joyce James</t>
        </is>
      </c>
      <c r="C277" s="1255" t="inlineStr">
        <is>
          <t>3. Pick n Mix Inc</t>
        </is>
      </c>
      <c r="D277" s="1260" t="inlineStr">
        <is>
          <t>Bank</t>
        </is>
      </c>
      <c r="E277" s="1394" t="n">
        <v>697</v>
      </c>
      <c r="F277" s="1260" t="inlineStr">
        <is>
          <t>Pick N Mix Payments</t>
        </is>
      </c>
      <c r="G277" s="1260" t="inlineStr">
        <is>
          <t>Existing</t>
        </is>
      </c>
    </row>
    <row r="278" ht="13.5" customHeight="1" s="1232">
      <c r="A278" s="1393" t="n">
        <v>43709</v>
      </c>
      <c r="B278" s="1260" t="inlineStr">
        <is>
          <t>Sep Pick N Mix</t>
        </is>
      </c>
      <c r="C278" s="1255" t="inlineStr">
        <is>
          <t>3. Pick n Mix Inc</t>
        </is>
      </c>
      <c r="D278" s="1255" t="inlineStr">
        <is>
          <t>Various</t>
        </is>
      </c>
      <c r="E278" s="1261" t="n">
        <v>707.5</v>
      </c>
      <c r="F278" s="1255" t="inlineStr">
        <is>
          <t>Pick N Mix Payments</t>
        </is>
      </c>
      <c r="G278" s="1260" t="inlineStr">
        <is>
          <t>Existing</t>
        </is>
      </c>
    </row>
    <row r="279" ht="13.5" customHeight="1" s="1232">
      <c r="A279" s="1393" t="n">
        <v>43709</v>
      </c>
      <c r="B279" s="1260" t="inlineStr">
        <is>
          <t>Sep Mentoring</t>
        </is>
      </c>
      <c r="C279" s="1255" t="inlineStr">
        <is>
          <t>5. Mentoring</t>
        </is>
      </c>
      <c r="D279" s="1255" t="inlineStr">
        <is>
          <t>Various</t>
        </is>
      </c>
      <c r="E279" s="1261" t="n">
        <v>40</v>
      </c>
      <c r="F279" s="1255" t="inlineStr">
        <is>
          <t>Mentoring Subs</t>
        </is>
      </c>
      <c r="G279" s="1260" t="inlineStr">
        <is>
          <t>Existing</t>
        </is>
      </c>
    </row>
    <row r="280" ht="13.5" customHeight="1" s="1232">
      <c r="A280" s="1393" t="n"/>
      <c r="B280" s="1260" t="n"/>
      <c r="E280" s="1261" t="n"/>
    </row>
    <row r="281" ht="13.5" customHeight="1" s="1232">
      <c r="A281" s="1393" t="n"/>
      <c r="B281" s="1260" t="n"/>
      <c r="C281" s="1260" t="n"/>
      <c r="D281" s="1260" t="n"/>
      <c r="E281" s="1394" t="n"/>
      <c r="F281" s="1260" t="n"/>
      <c r="G281" s="1260" t="n"/>
    </row>
    <row r="282" ht="13.5" customHeight="1" s="1232">
      <c r="A282" s="1393" t="n">
        <v>43707</v>
      </c>
      <c r="B282" s="1260" t="inlineStr">
        <is>
          <t>Kirsten Pearce</t>
        </is>
      </c>
      <c r="C282" s="1255" t="inlineStr">
        <is>
          <t>2. Workshops</t>
        </is>
      </c>
      <c r="D282" s="1260" t="inlineStr">
        <is>
          <t>PicknMix</t>
        </is>
      </c>
      <c r="E282" s="1400" t="n">
        <v>616.25</v>
      </c>
      <c r="F282" s="1249" t="inlineStr">
        <is>
          <t xml:space="preserve"> 5 week beginners course </t>
        </is>
      </c>
      <c r="G282" s="1260" t="inlineStr">
        <is>
          <t>Existing</t>
        </is>
      </c>
    </row>
    <row r="283" ht="13.5" customHeight="1" s="1232">
      <c r="A283" s="1393" t="n">
        <v>43707</v>
      </c>
      <c r="B283" s="1260" t="inlineStr">
        <is>
          <t>Kirsten Pearce</t>
        </is>
      </c>
      <c r="C283" s="1255" t="inlineStr">
        <is>
          <t>4. Pick n Mix Out</t>
        </is>
      </c>
      <c r="D283" s="1260" t="inlineStr">
        <is>
          <t>PicknMix</t>
        </is>
      </c>
      <c r="E283" s="1401" t="n">
        <v>-616.25</v>
      </c>
      <c r="F283" s="1249" t="inlineStr">
        <is>
          <t xml:space="preserve"> 5 week beginners course </t>
        </is>
      </c>
      <c r="G283" s="1260" t="inlineStr">
        <is>
          <t>Existing</t>
        </is>
      </c>
    </row>
    <row r="284" ht="13.5" customHeight="1" s="1232">
      <c r="A284" s="1393" t="n">
        <v>43707</v>
      </c>
      <c r="B284" s="1260" t="inlineStr">
        <is>
          <t>michaela corrin</t>
        </is>
      </c>
      <c r="C284" s="1255" t="inlineStr">
        <is>
          <t>1. Courses/masterclasses</t>
        </is>
      </c>
      <c r="D284" s="1260" t="inlineStr">
        <is>
          <t>PayPal</t>
        </is>
      </c>
      <c r="E284" s="1394" t="n">
        <v>200</v>
      </c>
      <c r="F284" s="1260" t="inlineStr">
        <is>
          <t>4wk Beginners Course</t>
        </is>
      </c>
      <c r="G284" s="1260" t="inlineStr">
        <is>
          <t>Existing</t>
        </is>
      </c>
    </row>
    <row r="285" ht="13.5" customHeight="1" s="1232">
      <c r="A285" s="1393" t="n">
        <v>43706</v>
      </c>
      <c r="B285" s="1260" t="inlineStr">
        <is>
          <t>Lian Horan</t>
        </is>
      </c>
      <c r="C285" s="1255" t="inlineStr">
        <is>
          <t>1. Courses/masterclasses</t>
        </is>
      </c>
      <c r="D285" s="1260" t="inlineStr">
        <is>
          <t>Stripe</t>
        </is>
      </c>
      <c r="E285" s="1394" t="n">
        <v>250</v>
      </c>
      <c r="F285" s="1260" t="inlineStr">
        <is>
          <t>5wk Beginners Course Sep</t>
        </is>
      </c>
      <c r="G285" s="1260" t="inlineStr">
        <is>
          <t>Google</t>
        </is>
      </c>
    </row>
    <row r="286" ht="13.5" customHeight="1" s="1232">
      <c r="A286" s="1393" t="n">
        <v>43705</v>
      </c>
      <c r="B286" s="1260" t="inlineStr">
        <is>
          <t>William Love</t>
        </is>
      </c>
      <c r="C286" s="1255" t="inlineStr">
        <is>
          <t>6. 1-2-1</t>
        </is>
      </c>
      <c r="D286" s="1260" t="inlineStr">
        <is>
          <t>Stripe</t>
        </is>
      </c>
      <c r="E286" s="1394" t="n">
        <v>360</v>
      </c>
      <c r="F286" s="1260" t="inlineStr">
        <is>
          <t>4 x 2hr 1-2-1's</t>
        </is>
      </c>
      <c r="G286" s="1260" t="inlineStr">
        <is>
          <t>Google</t>
        </is>
      </c>
    </row>
    <row r="287" ht="13.5" customHeight="1" s="1232">
      <c r="A287" s="1393" t="n">
        <v>43703</v>
      </c>
      <c r="B287" s="1260" t="inlineStr">
        <is>
          <t>Keiren Nicholls</t>
        </is>
      </c>
      <c r="C287" s="1255" t="inlineStr">
        <is>
          <t>2. Workshops</t>
        </is>
      </c>
      <c r="D287" s="1260" t="inlineStr">
        <is>
          <t>PayPal</t>
        </is>
      </c>
      <c r="E287" s="1394" t="n">
        <v>10</v>
      </c>
      <c r="F287" s="1260" t="inlineStr">
        <is>
          <t>Woodland Walk Nov</t>
        </is>
      </c>
      <c r="G287" s="1260" t="inlineStr">
        <is>
          <t>Google</t>
        </is>
      </c>
    </row>
    <row r="288" ht="13.5" customHeight="1" s="1232">
      <c r="A288" s="1393" t="n">
        <v>43703</v>
      </c>
      <c r="B288" s="1260" t="inlineStr">
        <is>
          <t>Julie Sharman</t>
        </is>
      </c>
      <c r="C288" s="1255" t="inlineStr">
        <is>
          <t>1. Courses/masterclasses</t>
        </is>
      </c>
      <c r="D288" s="1260" t="inlineStr">
        <is>
          <t>Stripe</t>
        </is>
      </c>
      <c r="E288" s="1394" t="n">
        <v>250</v>
      </c>
      <c r="F288" s="1260" t="inlineStr">
        <is>
          <t>5wk Beginners Course Oct</t>
        </is>
      </c>
      <c r="G288" s="1260" t="inlineStr">
        <is>
          <t>Google</t>
        </is>
      </c>
    </row>
    <row r="289" ht="13.5" customHeight="1" s="1232">
      <c r="A289" s="1393" t="n">
        <v>43704</v>
      </c>
      <c r="B289" s="1260" t="inlineStr">
        <is>
          <t>Alan Barth</t>
        </is>
      </c>
      <c r="C289" s="1255" t="inlineStr">
        <is>
          <t>10. Other</t>
        </is>
      </c>
      <c r="D289" s="1260" t="inlineStr">
        <is>
          <t>PayPal</t>
        </is>
      </c>
      <c r="E289" s="1394" t="n">
        <v>4.89</v>
      </c>
      <c r="F289" s="1260" t="inlineStr">
        <is>
          <t>Pocket Guide</t>
        </is>
      </c>
      <c r="G289" s="1260" t="inlineStr">
        <is>
          <t>Existing</t>
        </is>
      </c>
    </row>
    <row r="290" ht="13.5" customHeight="1" s="1232">
      <c r="A290" s="1393" t="n">
        <v>43702</v>
      </c>
      <c r="B290" s="1260" t="inlineStr">
        <is>
          <t>Alan Barth</t>
        </is>
      </c>
      <c r="C290" s="1255" t="inlineStr">
        <is>
          <t>2. Workshops</t>
        </is>
      </c>
      <c r="D290" s="1260" t="inlineStr">
        <is>
          <t>Stripe</t>
        </is>
      </c>
      <c r="E290" s="1394" t="n">
        <v>425</v>
      </c>
      <c r="F290" s="1260" t="inlineStr">
        <is>
          <t>Yorkshire Dales</t>
        </is>
      </c>
      <c r="G290" s="1260" t="inlineStr">
        <is>
          <t>Google</t>
        </is>
      </c>
    </row>
    <row r="291" ht="13.5" customHeight="1" s="1232">
      <c r="A291" s="1393" t="n">
        <v>43698</v>
      </c>
      <c r="B291" s="1260" t="inlineStr">
        <is>
          <t>kamaljit mattu</t>
        </is>
      </c>
      <c r="C291" s="1255" t="inlineStr">
        <is>
          <t>1. Courses/masterclasses</t>
        </is>
      </c>
      <c r="D291" s="1260" t="inlineStr">
        <is>
          <t>PicknMix</t>
        </is>
      </c>
      <c r="E291" s="1400" t="n">
        <v>200</v>
      </c>
      <c r="F291" s="1249" t="inlineStr">
        <is>
          <t>5 week beginners course</t>
        </is>
      </c>
      <c r="G291" s="1260" t="inlineStr">
        <is>
          <t>Existing</t>
        </is>
      </c>
    </row>
    <row r="292" ht="13.5" customHeight="1" s="1232">
      <c r="A292" s="1393" t="n">
        <v>43698</v>
      </c>
      <c r="B292" s="1260" t="inlineStr">
        <is>
          <t>kamaljit mattu</t>
        </is>
      </c>
      <c r="C292" s="1255" t="inlineStr">
        <is>
          <t>4. Pick n Mix Out</t>
        </is>
      </c>
      <c r="D292" s="1260" t="inlineStr">
        <is>
          <t>PicknMix</t>
        </is>
      </c>
      <c r="E292" s="1401" t="n">
        <v>-200</v>
      </c>
      <c r="F292" s="1249" t="inlineStr">
        <is>
          <t>5 week beginners course</t>
        </is>
      </c>
      <c r="G292" s="1260" t="inlineStr">
        <is>
          <t>Existing</t>
        </is>
      </c>
    </row>
    <row r="293" ht="13.5" customHeight="1" s="1232">
      <c r="A293" s="1393" t="n">
        <v>43698</v>
      </c>
      <c r="B293" s="1260" t="inlineStr">
        <is>
          <t>Maureen Bradley</t>
        </is>
      </c>
      <c r="C293" s="1255" t="inlineStr">
        <is>
          <t>2. Workshops</t>
        </is>
      </c>
      <c r="D293" s="1260" t="inlineStr">
        <is>
          <t>PayPal</t>
        </is>
      </c>
      <c r="E293" s="1394" t="n">
        <v>250</v>
      </c>
      <c r="F293" s="1260" t="inlineStr">
        <is>
          <t>Batsford Autumn</t>
        </is>
      </c>
      <c r="G293" s="1260" t="inlineStr">
        <is>
          <t>Existing</t>
        </is>
      </c>
    </row>
    <row r="294" ht="13.5" customHeight="1" s="1232">
      <c r="A294" s="1393" t="n">
        <v>43698</v>
      </c>
      <c r="B294" s="1260" t="inlineStr">
        <is>
          <t>Georgina Smith</t>
        </is>
      </c>
      <c r="C294" s="1255" t="inlineStr">
        <is>
          <t>1. Courses/masterclasses</t>
        </is>
      </c>
      <c r="D294" s="1260" t="inlineStr">
        <is>
          <t>PayPal</t>
        </is>
      </c>
      <c r="E294" s="1394" t="n">
        <v>30</v>
      </c>
      <c r="F294" s="1260" t="inlineStr">
        <is>
          <t>Get Off Auto</t>
        </is>
      </c>
      <c r="G294" s="1260" t="inlineStr">
        <is>
          <t>Existing</t>
        </is>
      </c>
    </row>
    <row r="295" ht="14.25" customHeight="1" s="1232">
      <c r="A295" s="1393" t="n">
        <v>43697</v>
      </c>
      <c r="B295" s="1260" t="inlineStr">
        <is>
          <t>Norman Lowe</t>
        </is>
      </c>
      <c r="C295" s="1255" t="inlineStr">
        <is>
          <t>2. Workshops</t>
        </is>
      </c>
      <c r="D295" s="1260" t="inlineStr">
        <is>
          <t>Stripe</t>
        </is>
      </c>
      <c r="E295" s="1394" t="n">
        <v>50</v>
      </c>
      <c r="F295" s="1260" t="inlineStr">
        <is>
          <t>Sunflowers Workshop</t>
        </is>
      </c>
      <c r="G295" s="1260" t="inlineStr">
        <is>
          <t>Existing</t>
        </is>
      </c>
    </row>
    <row r="296" ht="14.25" customHeight="1" s="1232">
      <c r="A296" s="1393" t="n">
        <v>43696</v>
      </c>
      <c r="B296" s="1260" t="inlineStr">
        <is>
          <t>Alistair Willis</t>
        </is>
      </c>
      <c r="C296" s="1255" t="inlineStr">
        <is>
          <t>1. Courses/masterclasses</t>
        </is>
      </c>
      <c r="D296" s="1260" t="inlineStr">
        <is>
          <t>PayPal</t>
        </is>
      </c>
      <c r="E296" s="1394" t="n">
        <v>495</v>
      </c>
      <c r="F296" s="1260" t="inlineStr">
        <is>
          <t>Intentiosn Course</t>
        </is>
      </c>
      <c r="G296" s="1260" t="inlineStr">
        <is>
          <t>Existing</t>
        </is>
      </c>
    </row>
    <row r="297" ht="14.25" customHeight="1" s="1232">
      <c r="A297" s="1393" t="n">
        <v>43696</v>
      </c>
      <c r="B297" s="1260" t="inlineStr">
        <is>
          <t>Dennis Jeffrey</t>
        </is>
      </c>
      <c r="C297" s="1255" t="inlineStr">
        <is>
          <t>2. Workshops</t>
        </is>
      </c>
      <c r="D297" s="1260" t="inlineStr">
        <is>
          <t>Stripe</t>
        </is>
      </c>
      <c r="E297" s="1394" t="n">
        <v>725</v>
      </c>
      <c r="F297" s="1260" t="inlineStr">
        <is>
          <t>Lake District Nov</t>
        </is>
      </c>
      <c r="G297" s="1260" t="inlineStr">
        <is>
          <t>Existing</t>
        </is>
      </c>
    </row>
    <row r="298" ht="14.25" customHeight="1" s="1232">
      <c r="A298" s="1393" t="n">
        <v>43695</v>
      </c>
      <c r="B298" s="1260" t="inlineStr">
        <is>
          <t>Jeff Hargreaves</t>
        </is>
      </c>
      <c r="C298" s="1255" t="inlineStr">
        <is>
          <t>2. Workshops</t>
        </is>
      </c>
      <c r="D298" s="1260" t="inlineStr">
        <is>
          <t>Stripe</t>
        </is>
      </c>
      <c r="E298" s="1394" t="n">
        <v>475</v>
      </c>
      <c r="F298" s="1260" t="inlineStr">
        <is>
          <t>Hartland Quay</t>
        </is>
      </c>
      <c r="G298" s="1260" t="inlineStr">
        <is>
          <t>Google</t>
        </is>
      </c>
    </row>
    <row r="299" ht="14.25" customHeight="1" s="1232">
      <c r="A299" s="1393" t="n">
        <v>43694</v>
      </c>
      <c r="B299" s="1260" t="inlineStr">
        <is>
          <t>kamaljit mattu</t>
        </is>
      </c>
      <c r="C299" s="1255" t="inlineStr">
        <is>
          <t>3. Pick n Mix Inc</t>
        </is>
      </c>
      <c r="D299" s="1260" t="inlineStr">
        <is>
          <t>Stripe</t>
        </is>
      </c>
      <c r="E299" s="1394" t="n">
        <v>1500</v>
      </c>
      <c r="F299" s="1260" t="inlineStr">
        <is>
          <t>New Pick N Mix Plan</t>
        </is>
      </c>
      <c r="G299" s="1260" t="inlineStr">
        <is>
          <t>Google</t>
        </is>
      </c>
    </row>
    <row r="300" ht="14.25" customHeight="1" s="1232">
      <c r="A300" s="1393" t="n">
        <v>43693</v>
      </c>
      <c r="B300" s="1260" t="inlineStr">
        <is>
          <t>Jane Sahaslan</t>
        </is>
      </c>
      <c r="C300" s="1255" t="inlineStr">
        <is>
          <t>2. Workshops</t>
        </is>
      </c>
      <c r="D300" s="1260" t="inlineStr">
        <is>
          <t>Stripe</t>
        </is>
      </c>
      <c r="E300" s="1394" t="n">
        <v>50</v>
      </c>
      <c r="F300" s="1260" t="inlineStr">
        <is>
          <t>Abstract &amp; Macro</t>
        </is>
      </c>
      <c r="G300" s="1260" t="inlineStr">
        <is>
          <t>Existing</t>
        </is>
      </c>
    </row>
    <row r="301" ht="14.25" customHeight="1" s="1232">
      <c r="A301" s="1393" t="n">
        <v>43693</v>
      </c>
      <c r="B301" s="1260" t="inlineStr">
        <is>
          <t>Jane Sahaslan</t>
        </is>
      </c>
      <c r="C301" s="1255" t="inlineStr">
        <is>
          <t>2. Workshops</t>
        </is>
      </c>
      <c r="D301" s="1260" t="inlineStr">
        <is>
          <t>Stripe</t>
        </is>
      </c>
      <c r="E301" s="1394" t="n">
        <v>50</v>
      </c>
      <c r="F301" s="1260" t="inlineStr">
        <is>
          <t>Sunflowers</t>
        </is>
      </c>
      <c r="G301" s="1260" t="inlineStr">
        <is>
          <t>Existing</t>
        </is>
      </c>
    </row>
    <row r="302" ht="14.25" customHeight="1" s="1232">
      <c r="A302" s="1393" t="n">
        <v>43690</v>
      </c>
      <c r="B302" s="1260" t="inlineStr">
        <is>
          <t>Janice Jordan</t>
        </is>
      </c>
      <c r="C302" s="1255" t="inlineStr">
        <is>
          <t>2. Workshops</t>
        </is>
      </c>
      <c r="D302" s="1260" t="inlineStr">
        <is>
          <t>Stripe</t>
        </is>
      </c>
      <c r="E302" s="1394" t="n">
        <v>99</v>
      </c>
      <c r="F302" s="1260" t="inlineStr">
        <is>
          <t>Peak District Heathers</t>
        </is>
      </c>
      <c r="G302" s="1260" t="inlineStr">
        <is>
          <t>Existing</t>
        </is>
      </c>
    </row>
    <row r="303" ht="14.25" customHeight="1" s="1232">
      <c r="A303" s="1393" t="n">
        <v>43689</v>
      </c>
      <c r="B303" s="1260" t="inlineStr">
        <is>
          <t>Richard A Jefferies</t>
        </is>
      </c>
      <c r="C303" s="1255" t="inlineStr">
        <is>
          <t>2. Workshops</t>
        </is>
      </c>
      <c r="D303" s="1260" t="inlineStr">
        <is>
          <t>PayPal</t>
        </is>
      </c>
      <c r="E303" s="1394" t="n">
        <v>50</v>
      </c>
      <c r="F303" s="1260" t="inlineStr">
        <is>
          <t>Chesterton</t>
        </is>
      </c>
      <c r="G303" s="1260" t="inlineStr">
        <is>
          <t>Existing</t>
        </is>
      </c>
    </row>
    <row r="304" ht="14.25" customHeight="1" s="1232">
      <c r="A304" s="1393" t="n">
        <v>43687</v>
      </c>
      <c r="B304" s="1260" t="inlineStr">
        <is>
          <t>Zoe Todd</t>
        </is>
      </c>
      <c r="C304" s="1255" t="inlineStr">
        <is>
          <t>2. Workshops</t>
        </is>
      </c>
      <c r="D304" s="1260" t="inlineStr">
        <is>
          <t>Stripe</t>
        </is>
      </c>
      <c r="E304" s="1394" t="n">
        <v>100</v>
      </c>
      <c r="F304" s="1260" t="inlineStr">
        <is>
          <t>Batsford autumn</t>
        </is>
      </c>
      <c r="G304" s="1260" t="inlineStr">
        <is>
          <t>Batsford</t>
        </is>
      </c>
    </row>
    <row r="305" ht="14.25" customHeight="1" s="1232">
      <c r="A305" s="1393" t="n">
        <v>43682</v>
      </c>
      <c r="B305" s="1260" t="inlineStr">
        <is>
          <t>Nadine Pratt</t>
        </is>
      </c>
      <c r="C305" s="1255" t="inlineStr">
        <is>
          <t>6. 1-2-1</t>
        </is>
      </c>
      <c r="D305" s="1260" t="inlineStr">
        <is>
          <t>PicknMix</t>
        </is>
      </c>
      <c r="E305" s="1394" t="n">
        <v>120</v>
      </c>
      <c r="F305" s="1282" t="inlineStr">
        <is>
          <t>1-2-1</t>
        </is>
      </c>
      <c r="G305" s="1260" t="inlineStr">
        <is>
          <t>Existing</t>
        </is>
      </c>
    </row>
    <row r="306" ht="14.25" customHeight="1" s="1232">
      <c r="A306" s="1393" t="n">
        <v>43682</v>
      </c>
      <c r="B306" s="1260" t="inlineStr">
        <is>
          <t>Nadine Pratt</t>
        </is>
      </c>
      <c r="C306" s="1260" t="inlineStr">
        <is>
          <t>4. Pick n Mix Out</t>
        </is>
      </c>
      <c r="D306" s="1260" t="inlineStr">
        <is>
          <t>PicknMix</t>
        </is>
      </c>
      <c r="E306" s="1394" t="n">
        <v>-120</v>
      </c>
      <c r="F306" s="1282" t="inlineStr">
        <is>
          <t>1-2-1</t>
        </is>
      </c>
      <c r="G306" s="1260" t="inlineStr">
        <is>
          <t>Existing</t>
        </is>
      </c>
    </row>
    <row r="307" ht="14.25" customHeight="1" s="1232">
      <c r="A307" s="1393" t="n">
        <v>43681</v>
      </c>
      <c r="B307" s="1260" t="inlineStr">
        <is>
          <t>Michaela Puffett</t>
        </is>
      </c>
      <c r="C307" s="1255" t="inlineStr">
        <is>
          <t>1. Courses/masterclasses</t>
        </is>
      </c>
      <c r="D307" s="1260" t="inlineStr">
        <is>
          <t>Stripe</t>
        </is>
      </c>
      <c r="E307" s="1394" t="n">
        <v>30</v>
      </c>
      <c r="F307" s="1260" t="inlineStr">
        <is>
          <t>Get Off Auto</t>
        </is>
      </c>
      <c r="G307" s="1260" t="inlineStr">
        <is>
          <t>Google</t>
        </is>
      </c>
    </row>
    <row r="308" ht="14.25" customHeight="1" s="1232">
      <c r="A308" s="1393" t="n">
        <v>43681</v>
      </c>
      <c r="B308" s="1260" t="inlineStr">
        <is>
          <t>w Anthony</t>
        </is>
      </c>
      <c r="C308" s="1255" t="inlineStr">
        <is>
          <t>2. Workshops</t>
        </is>
      </c>
      <c r="D308" s="1260" t="inlineStr">
        <is>
          <t>PayPal</t>
        </is>
      </c>
      <c r="E308" s="1394" t="n">
        <v>10</v>
      </c>
      <c r="F308" s="1260" t="inlineStr">
        <is>
          <t>Woodland Walk Sep</t>
        </is>
      </c>
      <c r="G308" s="1260" t="inlineStr">
        <is>
          <t>Existing</t>
        </is>
      </c>
    </row>
    <row r="309" ht="14.25" customHeight="1" s="1232">
      <c r="A309" s="1393" t="n">
        <v>43681</v>
      </c>
      <c r="B309" s="1260" t="inlineStr">
        <is>
          <t>Zoe Todd</t>
        </is>
      </c>
      <c r="C309" s="1255" t="inlineStr">
        <is>
          <t>2. Workshops</t>
        </is>
      </c>
      <c r="D309" s="1260" t="inlineStr">
        <is>
          <t>Stripe</t>
        </is>
      </c>
      <c r="E309" s="1394" t="n">
        <v>100</v>
      </c>
      <c r="F309" s="1260" t="inlineStr">
        <is>
          <t>Batsford</t>
        </is>
      </c>
      <c r="G309" s="1260" t="inlineStr">
        <is>
          <t>Batsford</t>
        </is>
      </c>
    </row>
    <row r="310" ht="14.25" customHeight="1" s="1232">
      <c r="A310" s="1393" t="n">
        <v>43681</v>
      </c>
      <c r="B310" s="1260" t="inlineStr">
        <is>
          <t>Maureen Bradley</t>
        </is>
      </c>
      <c r="C310" s="1255" t="inlineStr">
        <is>
          <t>2. Workshops</t>
        </is>
      </c>
      <c r="D310" s="1260" t="inlineStr">
        <is>
          <t>PayPal</t>
        </is>
      </c>
      <c r="E310" s="1394" t="n">
        <v>700</v>
      </c>
      <c r="F310" s="1260" t="inlineStr">
        <is>
          <t>Northumbria</t>
        </is>
      </c>
      <c r="G310" s="1260" t="inlineStr">
        <is>
          <t>Existing</t>
        </is>
      </c>
    </row>
    <row r="311" ht="14.25" customHeight="1" s="1232">
      <c r="A311" s="1393" t="n">
        <v>43679</v>
      </c>
      <c r="B311" s="1260" t="inlineStr">
        <is>
          <t>Janice Jordan</t>
        </is>
      </c>
      <c r="C311" s="1255" t="inlineStr">
        <is>
          <t>2. Workshops</t>
        </is>
      </c>
      <c r="D311" s="1260" t="inlineStr">
        <is>
          <t>PicknMix</t>
        </is>
      </c>
      <c r="E311" s="1394" t="n">
        <v>503.75</v>
      </c>
      <c r="F311" s="1260" t="inlineStr">
        <is>
          <t>Anglesey</t>
        </is>
      </c>
      <c r="G311" s="1260" t="inlineStr">
        <is>
          <t>Existing</t>
        </is>
      </c>
    </row>
    <row r="312" ht="13.5" customHeight="1" s="1232">
      <c r="A312" s="1393" t="n">
        <v>43679</v>
      </c>
      <c r="B312" s="1260" t="inlineStr">
        <is>
          <t>Janice Jordan</t>
        </is>
      </c>
      <c r="C312" s="1260" t="inlineStr">
        <is>
          <t>4. Pick n Mix Out</t>
        </is>
      </c>
      <c r="D312" s="1260" t="inlineStr">
        <is>
          <t>PicknMix</t>
        </is>
      </c>
      <c r="E312" s="1394" t="n">
        <v>-503.75</v>
      </c>
      <c r="F312" s="1260" t="inlineStr">
        <is>
          <t>Anglesey</t>
        </is>
      </c>
      <c r="G312" s="1260" t="inlineStr">
        <is>
          <t>Existing</t>
        </is>
      </c>
    </row>
    <row r="313" ht="13.5" customHeight="1" s="1232">
      <c r="A313" s="1393" t="n">
        <v>43678</v>
      </c>
      <c r="B313" s="1260" t="inlineStr">
        <is>
          <t>Hannah Dixon</t>
        </is>
      </c>
      <c r="C313" s="1255" t="inlineStr">
        <is>
          <t>1. Courses/masterclasses</t>
        </is>
      </c>
      <c r="D313" s="1260" t="inlineStr">
        <is>
          <t>Gift Card</t>
        </is>
      </c>
      <c r="E313" s="1394" t="n">
        <v>0</v>
      </c>
      <c r="F313" s="1260" t="inlineStr">
        <is>
          <t>Get Offr Auto</t>
        </is>
      </c>
      <c r="G313" s="1260" t="inlineStr">
        <is>
          <t>Google</t>
        </is>
      </c>
    </row>
    <row r="314" ht="13.5" customHeight="1" s="1232">
      <c r="A314" s="1393" t="n">
        <v>43678</v>
      </c>
      <c r="B314" s="1260" t="inlineStr">
        <is>
          <t>Aug Pick N Mix</t>
        </is>
      </c>
      <c r="C314" s="1255" t="inlineStr">
        <is>
          <t>3. Pick n Mix Inc</t>
        </is>
      </c>
      <c r="D314" s="1255" t="inlineStr">
        <is>
          <t>Various</t>
        </is>
      </c>
      <c r="E314" s="1261" t="n">
        <v>1190</v>
      </c>
      <c r="F314" s="1255" t="inlineStr">
        <is>
          <t>Pick N Mix Payments</t>
        </is>
      </c>
      <c r="G314" s="1255" t="inlineStr">
        <is>
          <t>Existing</t>
        </is>
      </c>
    </row>
    <row r="315" ht="13.5" customHeight="1" s="1232">
      <c r="A315" s="1393" t="n">
        <v>43678</v>
      </c>
      <c r="B315" s="1260" t="inlineStr">
        <is>
          <t>Aug Mentoring</t>
        </is>
      </c>
      <c r="C315" s="1255" t="inlineStr">
        <is>
          <t>5. Mentoring</t>
        </is>
      </c>
      <c r="D315" s="1255" t="inlineStr">
        <is>
          <t>Various</t>
        </is>
      </c>
      <c r="E315" s="1261" t="n">
        <v>60</v>
      </c>
      <c r="F315" s="1255" t="inlineStr">
        <is>
          <t>Mentoring Subs</t>
        </is>
      </c>
      <c r="G315" s="1255" t="inlineStr">
        <is>
          <t>Existing</t>
        </is>
      </c>
    </row>
    <row r="316" ht="13.5" customHeight="1" s="1232">
      <c r="A316" s="1393" t="n"/>
      <c r="B316" s="1260" t="n"/>
      <c r="C316" s="1260" t="n"/>
      <c r="D316" s="1260" t="n"/>
      <c r="E316" s="1394" t="n"/>
      <c r="F316" s="1260" t="n"/>
      <c r="G316" s="1260" t="n"/>
    </row>
    <row r="317" ht="13.5" customHeight="1" s="1232">
      <c r="A317" s="1393" t="n"/>
      <c r="B317" s="1260" t="n"/>
      <c r="C317" s="1260" t="n"/>
      <c r="D317" s="1260" t="n"/>
      <c r="E317" s="1394" t="n"/>
      <c r="F317" s="1260" t="n"/>
      <c r="G317" s="1260" t="n"/>
    </row>
    <row r="318" ht="13.5" customHeight="1" s="1232">
      <c r="A318" s="1393" t="n">
        <v>43677</v>
      </c>
      <c r="B318" s="1260" t="inlineStr">
        <is>
          <t>Charlotte Farthing</t>
        </is>
      </c>
      <c r="C318" s="1255" t="inlineStr">
        <is>
          <t>1. Courses/masterclasses</t>
        </is>
      </c>
      <c r="D318" s="1260" t="inlineStr">
        <is>
          <t>PayPal</t>
        </is>
      </c>
      <c r="E318" s="1394" t="n">
        <v>30</v>
      </c>
      <c r="F318" s="1260" t="inlineStr">
        <is>
          <t>Intro Class</t>
        </is>
      </c>
      <c r="G318" s="1260" t="inlineStr">
        <is>
          <t>Google</t>
        </is>
      </c>
    </row>
    <row r="319" ht="13.5" customHeight="1" s="1232">
      <c r="A319" s="1393" t="n">
        <v>43677</v>
      </c>
      <c r="B319" s="1260" t="inlineStr">
        <is>
          <t>Mary MacDonald</t>
        </is>
      </c>
      <c r="C319" s="1255" t="inlineStr">
        <is>
          <t>1. Courses/masterclasses</t>
        </is>
      </c>
      <c r="D319" s="1260" t="inlineStr">
        <is>
          <t>Stripe</t>
        </is>
      </c>
      <c r="E319" s="1394" t="n">
        <v>30</v>
      </c>
      <c r="F319" s="1260" t="inlineStr">
        <is>
          <t>Intro Class</t>
        </is>
      </c>
      <c r="G319" s="1260" t="inlineStr">
        <is>
          <t>Google</t>
        </is>
      </c>
    </row>
    <row r="320" ht="13.5" customHeight="1" s="1232">
      <c r="A320" s="1393" t="n">
        <v>43675</v>
      </c>
      <c r="B320" s="1260" t="inlineStr">
        <is>
          <t>Elwyn Coombes</t>
        </is>
      </c>
      <c r="C320" s="1255" t="inlineStr">
        <is>
          <t>2. Workshops</t>
        </is>
      </c>
      <c r="D320" s="1260" t="inlineStr">
        <is>
          <t>Stripe</t>
        </is>
      </c>
      <c r="E320" s="1394" t="n">
        <v>99</v>
      </c>
      <c r="F320" s="1260" t="inlineStr">
        <is>
          <t>Batsford Macro</t>
        </is>
      </c>
      <c r="G320" s="1260" t="inlineStr">
        <is>
          <t>Google</t>
        </is>
      </c>
    </row>
    <row r="321" ht="13.5" customHeight="1" s="1232">
      <c r="A321" s="1393" t="n">
        <v>43673</v>
      </c>
      <c r="B321" s="1260" t="inlineStr">
        <is>
          <t>Pixsy Image Resolution</t>
        </is>
      </c>
      <c r="C321" s="1255" t="inlineStr">
        <is>
          <t>8. Prints &amp; Royalties</t>
        </is>
      </c>
      <c r="D321" s="1260" t="inlineStr">
        <is>
          <t>PayPal</t>
        </is>
      </c>
      <c r="E321" s="1394" t="n">
        <v>122.98</v>
      </c>
      <c r="F321" s="1260" t="inlineStr">
        <is>
          <t>Poppy Copyright</t>
        </is>
      </c>
      <c r="G321" s="1260" t="inlineStr">
        <is>
          <t>Existing</t>
        </is>
      </c>
    </row>
    <row r="322" ht="13.5" customHeight="1" s="1232">
      <c r="A322" s="1393" t="n">
        <v>43671</v>
      </c>
      <c r="B322" s="1260" t="inlineStr">
        <is>
          <t>Zita Balogh</t>
        </is>
      </c>
      <c r="C322" s="1255" t="inlineStr">
        <is>
          <t>6. 1-2-1</t>
        </is>
      </c>
      <c r="D322" s="1260" t="inlineStr">
        <is>
          <t>Stripe</t>
        </is>
      </c>
      <c r="E322" s="1394" t="n">
        <v>395</v>
      </c>
      <c r="F322" s="1260" t="inlineStr">
        <is>
          <t>1-2-1 Session</t>
        </is>
      </c>
      <c r="G322" s="1260" t="inlineStr">
        <is>
          <t>Google</t>
        </is>
      </c>
    </row>
    <row r="323" ht="13.5" customHeight="1" s="1232">
      <c r="A323" s="1393" t="n">
        <v>43668</v>
      </c>
      <c r="B323" s="1260" t="inlineStr">
        <is>
          <t>Emma Moxon</t>
        </is>
      </c>
      <c r="C323" s="1255" t="inlineStr">
        <is>
          <t>6. 1-2-1</t>
        </is>
      </c>
      <c r="D323" s="1260" t="inlineStr">
        <is>
          <t>PicknMix</t>
        </is>
      </c>
      <c r="E323" s="1394" t="n">
        <v>120</v>
      </c>
      <c r="F323" s="1260" t="inlineStr">
        <is>
          <t>1-2-1 Session</t>
        </is>
      </c>
      <c r="G323" s="1260" t="inlineStr">
        <is>
          <t>Existing</t>
        </is>
      </c>
    </row>
    <row r="324" ht="13.5" customHeight="1" s="1232">
      <c r="A324" s="1393" t="n">
        <v>43668</v>
      </c>
      <c r="B324" s="1260" t="inlineStr">
        <is>
          <t>Emma Moxon</t>
        </is>
      </c>
      <c r="C324" s="1260" t="inlineStr">
        <is>
          <t>4. Pick n Mix Out</t>
        </is>
      </c>
      <c r="D324" s="1260" t="inlineStr">
        <is>
          <t>PicknMix</t>
        </is>
      </c>
      <c r="E324" s="1394" t="n">
        <v>-120</v>
      </c>
      <c r="F324" s="1260" t="inlineStr">
        <is>
          <t>1-2-1 Session</t>
        </is>
      </c>
      <c r="G324" s="1260" t="inlineStr">
        <is>
          <t>Existing</t>
        </is>
      </c>
    </row>
    <row r="325" ht="13.5" customHeight="1" s="1232">
      <c r="A325" s="1393" t="n">
        <v>43667</v>
      </c>
      <c r="B325" s="1260" t="inlineStr">
        <is>
          <t>Dennis Jeffrey</t>
        </is>
      </c>
      <c r="C325" s="1255" t="inlineStr">
        <is>
          <t>2. Workshops</t>
        </is>
      </c>
      <c r="D325" s="1260" t="inlineStr">
        <is>
          <t>Stripe</t>
        </is>
      </c>
      <c r="E325" s="1394" t="n">
        <v>50</v>
      </c>
      <c r="F325" s="1260" t="inlineStr">
        <is>
          <t>Sunflowers</t>
        </is>
      </c>
      <c r="G325" s="1260" t="inlineStr">
        <is>
          <t>Existing</t>
        </is>
      </c>
    </row>
    <row r="326" ht="13.5" customHeight="1" s="1232">
      <c r="A326" s="1393" t="n">
        <v>43665</v>
      </c>
      <c r="B326" s="1260" t="inlineStr">
        <is>
          <t>Anne Watkinson</t>
        </is>
      </c>
      <c r="C326" s="1255" t="inlineStr">
        <is>
          <t>2. Workshops</t>
        </is>
      </c>
      <c r="D326" s="1260" t="inlineStr">
        <is>
          <t>Stripe</t>
        </is>
      </c>
      <c r="E326" s="1394" t="n">
        <v>10</v>
      </c>
      <c r="F326" s="1260" t="inlineStr">
        <is>
          <t>Woodland Walk</t>
        </is>
      </c>
      <c r="G326" s="1260" t="inlineStr">
        <is>
          <t>Existing</t>
        </is>
      </c>
    </row>
    <row r="327" ht="13.5" customHeight="1" s="1232">
      <c r="A327" s="1393" t="n">
        <v>43665</v>
      </c>
      <c r="B327" s="1260" t="inlineStr">
        <is>
          <t>Dreams Joinery</t>
        </is>
      </c>
      <c r="C327" s="1255" t="inlineStr">
        <is>
          <t>6. 1-2-1</t>
        </is>
      </c>
      <c r="D327" s="1260" t="inlineStr">
        <is>
          <t>Cash</t>
        </is>
      </c>
      <c r="E327" s="1394" t="n">
        <v>70</v>
      </c>
      <c r="F327" s="1282" t="inlineStr">
        <is>
          <t>1-2-1</t>
        </is>
      </c>
      <c r="G327" s="1260" t="inlineStr">
        <is>
          <t>Google</t>
        </is>
      </c>
    </row>
    <row r="328" ht="13.5" customHeight="1" s="1232">
      <c r="A328" s="1393" t="n">
        <v>43665</v>
      </c>
      <c r="B328" s="1260" t="inlineStr">
        <is>
          <t>Robert Hull</t>
        </is>
      </c>
      <c r="C328" s="1255" t="inlineStr">
        <is>
          <t>1. Courses/masterclasses</t>
        </is>
      </c>
      <c r="D328" s="1260" t="inlineStr">
        <is>
          <t>PicknMix</t>
        </is>
      </c>
      <c r="E328" s="1394" t="n">
        <v>420.75</v>
      </c>
      <c r="F328" s="1260" t="inlineStr">
        <is>
          <t>Intermediates Intentions</t>
        </is>
      </c>
      <c r="G328" s="1260" t="inlineStr">
        <is>
          <t>Existing</t>
        </is>
      </c>
    </row>
    <row r="329" ht="13.5" customHeight="1" s="1232">
      <c r="A329" s="1393" t="n">
        <v>43665</v>
      </c>
      <c r="B329" s="1260" t="inlineStr">
        <is>
          <t>Robert Hull</t>
        </is>
      </c>
      <c r="C329" s="1255" t="inlineStr">
        <is>
          <t>1. Courses/masterclasses</t>
        </is>
      </c>
      <c r="D329" s="1260" t="inlineStr">
        <is>
          <t>PicknMix</t>
        </is>
      </c>
      <c r="E329" s="1394" t="n">
        <v>233.75</v>
      </c>
      <c r="F329" s="1260" t="inlineStr">
        <is>
          <t>Intermediates LR</t>
        </is>
      </c>
      <c r="G329" s="1260" t="inlineStr">
        <is>
          <t>Existing</t>
        </is>
      </c>
    </row>
    <row r="330" ht="13.5" customHeight="1" s="1232">
      <c r="A330" s="1393" t="n">
        <v>43665</v>
      </c>
      <c r="B330" s="1260" t="inlineStr">
        <is>
          <t>Robert Hull</t>
        </is>
      </c>
      <c r="C330" s="1260" t="inlineStr">
        <is>
          <t>4. Pick n Mix Out</t>
        </is>
      </c>
      <c r="D330" s="1260" t="inlineStr">
        <is>
          <t>PicknMix</t>
        </is>
      </c>
      <c r="E330" s="1394" t="n">
        <v>-420.75</v>
      </c>
      <c r="F330" s="1260" t="inlineStr">
        <is>
          <t>1-2-1 Session</t>
        </is>
      </c>
      <c r="G330" s="1260" t="inlineStr">
        <is>
          <t>Existing</t>
        </is>
      </c>
    </row>
    <row r="331" ht="13.5" customHeight="1" s="1232">
      <c r="A331" s="1393" t="n">
        <v>43665</v>
      </c>
      <c r="B331" s="1260" t="inlineStr">
        <is>
          <t>Robert Hull</t>
        </is>
      </c>
      <c r="C331" s="1260" t="inlineStr">
        <is>
          <t>4. Pick n Mix Out</t>
        </is>
      </c>
      <c r="D331" s="1260" t="inlineStr">
        <is>
          <t>PicknMix</t>
        </is>
      </c>
      <c r="E331" s="1394" t="n">
        <v>-233.75</v>
      </c>
      <c r="F331" s="1260" t="inlineStr">
        <is>
          <t>1-2-1 Session</t>
        </is>
      </c>
      <c r="G331" s="1260" t="inlineStr">
        <is>
          <t>Existing</t>
        </is>
      </c>
    </row>
    <row r="332" ht="13.5" customHeight="1" s="1232">
      <c r="A332" s="1393" t="n">
        <v>43665</v>
      </c>
      <c r="B332" s="1260" t="inlineStr">
        <is>
          <t>Robert Hull</t>
        </is>
      </c>
      <c r="C332" s="1255" t="inlineStr">
        <is>
          <t>3. Pick n Mix Inc</t>
        </is>
      </c>
      <c r="D332" s="1260" t="inlineStr">
        <is>
          <t>Stripe</t>
        </is>
      </c>
      <c r="E332" s="1394" t="n">
        <v>300</v>
      </c>
      <c r="F332" s="1260" t="inlineStr">
        <is>
          <t>Qtrly Pick N Mix Plan</t>
        </is>
      </c>
      <c r="G332" s="1260" t="inlineStr">
        <is>
          <t>Existing</t>
        </is>
      </c>
    </row>
    <row r="333" ht="13.5" customHeight="1" s="1232">
      <c r="A333" s="1393" t="n">
        <v>43664</v>
      </c>
      <c r="B333" s="1260" t="inlineStr">
        <is>
          <t>The Heart of a Garden</t>
        </is>
      </c>
      <c r="C333" s="1255" t="inlineStr">
        <is>
          <t>8. Prints &amp; Royalties</t>
        </is>
      </c>
      <c r="D333" s="1260" t="inlineStr">
        <is>
          <t>Bank</t>
        </is>
      </c>
      <c r="E333" s="1394" t="n">
        <v>342.47</v>
      </c>
      <c r="F333" s="1260" t="inlineStr">
        <is>
          <t>Print Sales</t>
        </is>
      </c>
      <c r="G333" s="1260" t="inlineStr">
        <is>
          <t>Existing</t>
        </is>
      </c>
    </row>
    <row r="334" ht="13.5" customHeight="1" s="1232">
      <c r="A334" s="1393" t="n">
        <v>43664</v>
      </c>
      <c r="B334" s="1260" t="inlineStr">
        <is>
          <t>Artfully Walls</t>
        </is>
      </c>
      <c r="C334" s="1255" t="inlineStr">
        <is>
          <t>8. Prints &amp; Royalties</t>
        </is>
      </c>
      <c r="D334" s="1260" t="inlineStr">
        <is>
          <t>Bank</t>
        </is>
      </c>
      <c r="E334" s="1394" t="n">
        <v>658.05</v>
      </c>
      <c r="F334" s="1260" t="inlineStr">
        <is>
          <t>Print Sales</t>
        </is>
      </c>
      <c r="G334" s="1260" t="inlineStr">
        <is>
          <t>Existing</t>
        </is>
      </c>
    </row>
    <row r="335" ht="13.5" customHeight="1" s="1232">
      <c r="A335" s="1393" t="n">
        <v>43663</v>
      </c>
      <c r="B335" s="1260" t="inlineStr">
        <is>
          <t>Annika Öhman</t>
        </is>
      </c>
      <c r="C335" s="1255" t="inlineStr">
        <is>
          <t>5. Mentoring</t>
        </is>
      </c>
      <c r="D335" s="1260" t="inlineStr">
        <is>
          <t>Stripe</t>
        </is>
      </c>
      <c r="E335" s="1394" t="n">
        <v>20</v>
      </c>
      <c r="F335" s="1260" t="inlineStr">
        <is>
          <t>Monthly Mentoring</t>
        </is>
      </c>
      <c r="G335" s="1260" t="inlineStr">
        <is>
          <t>Google</t>
        </is>
      </c>
    </row>
    <row r="336" ht="13.5" customHeight="1" s="1232">
      <c r="A336" s="1393" t="n">
        <v>43662</v>
      </c>
      <c r="B336" s="1260" t="inlineStr">
        <is>
          <t>Dreams Joinery</t>
        </is>
      </c>
      <c r="C336" s="1255" t="inlineStr">
        <is>
          <t>6. 1-2-1</t>
        </is>
      </c>
      <c r="D336" s="1260" t="inlineStr">
        <is>
          <t>PayPal</t>
        </is>
      </c>
      <c r="E336" s="1394" t="n">
        <v>50</v>
      </c>
      <c r="F336" s="1282" t="inlineStr">
        <is>
          <t>1-2-1</t>
        </is>
      </c>
      <c r="G336" s="1260" t="inlineStr">
        <is>
          <t>Google</t>
        </is>
      </c>
    </row>
    <row r="337" ht="13.5" customHeight="1" s="1232">
      <c r="A337" s="1393" t="n">
        <v>43661</v>
      </c>
      <c r="B337" s="1260" t="inlineStr">
        <is>
          <t>Ester Riordan</t>
        </is>
      </c>
      <c r="C337" s="1255" t="inlineStr">
        <is>
          <t>3. Pick n Mix Inc</t>
        </is>
      </c>
      <c r="D337" s="1260" t="inlineStr">
        <is>
          <t>Bank</t>
        </is>
      </c>
      <c r="E337" s="1394" t="n">
        <v>25</v>
      </c>
      <c r="F337" s="1260" t="inlineStr">
        <is>
          <t>Top Up SO</t>
        </is>
      </c>
      <c r="G337" s="1260" t="inlineStr">
        <is>
          <t>Existing</t>
        </is>
      </c>
    </row>
    <row r="338" ht="13.5" customHeight="1" s="1232">
      <c r="A338" s="1393" t="n">
        <v>43659</v>
      </c>
      <c r="B338" s="1260" t="inlineStr">
        <is>
          <t>Pixsy Image Resolution</t>
        </is>
      </c>
      <c r="C338" s="1255" t="inlineStr">
        <is>
          <t>8. Prints &amp; Royalties</t>
        </is>
      </c>
      <c r="D338" s="1260" t="inlineStr">
        <is>
          <t>Bank</t>
        </is>
      </c>
      <c r="E338" s="1394" t="n">
        <v>120.9</v>
      </c>
      <c r="F338" s="1260" t="inlineStr">
        <is>
          <t>Poppy Copyright</t>
        </is>
      </c>
      <c r="G338" s="1260" t="inlineStr">
        <is>
          <t>Existing</t>
        </is>
      </c>
    </row>
    <row r="339" ht="13.5" customHeight="1" s="1232">
      <c r="A339" s="1393" t="n">
        <v>43658</v>
      </c>
      <c r="B339" s="1260" t="inlineStr">
        <is>
          <t xml:space="preserve">Caroline Temple </t>
        </is>
      </c>
      <c r="C339" s="1255" t="inlineStr">
        <is>
          <t>2. Workshops</t>
        </is>
      </c>
      <c r="D339" s="1260" t="inlineStr">
        <is>
          <t>Bank</t>
        </is>
      </c>
      <c r="E339" s="1394" t="n">
        <v>600</v>
      </c>
      <c r="F339" s="1260" t="inlineStr">
        <is>
          <t>Maco Workshop</t>
        </is>
      </c>
      <c r="G339" s="1260" t="inlineStr">
        <is>
          <t>Google</t>
        </is>
      </c>
    </row>
    <row r="340" ht="13.5" customHeight="1" s="1232">
      <c r="A340" s="1393" t="n">
        <v>43655</v>
      </c>
      <c r="B340" s="1260" t="inlineStr">
        <is>
          <t>Les Page</t>
        </is>
      </c>
      <c r="C340" s="1255" t="inlineStr">
        <is>
          <t>10. Other</t>
        </is>
      </c>
      <c r="D340" s="1260" t="inlineStr">
        <is>
          <t>Stripe</t>
        </is>
      </c>
      <c r="E340" s="1394" t="n">
        <v>14.07</v>
      </c>
      <c r="F340" s="1260" t="inlineStr">
        <is>
          <t>Pocket Guides</t>
        </is>
      </c>
      <c r="G340" s="1260" t="inlineStr">
        <is>
          <t>Google</t>
        </is>
      </c>
    </row>
    <row r="341" ht="13.5" customHeight="1" s="1232">
      <c r="A341" s="1393" t="n">
        <v>43654</v>
      </c>
      <c r="B341" s="1260" t="inlineStr">
        <is>
          <t>Emma Moxon</t>
        </is>
      </c>
      <c r="C341" s="1255" t="inlineStr">
        <is>
          <t>6. 1-2-1</t>
        </is>
      </c>
      <c r="D341" s="1260" t="inlineStr">
        <is>
          <t>PicknMix</t>
        </is>
      </c>
      <c r="E341" s="1394" t="n">
        <v>120</v>
      </c>
      <c r="F341" s="1260" t="inlineStr">
        <is>
          <t>1-2-1 Session</t>
        </is>
      </c>
      <c r="G341" s="1260" t="inlineStr">
        <is>
          <t>Existing</t>
        </is>
      </c>
    </row>
    <row r="342" ht="13.5" customHeight="1" s="1232">
      <c r="A342" s="1393" t="n">
        <v>43654</v>
      </c>
      <c r="B342" s="1260" t="inlineStr">
        <is>
          <t>Emma Moxon</t>
        </is>
      </c>
      <c r="C342" s="1255" t="inlineStr">
        <is>
          <t>6. 1-2-1</t>
        </is>
      </c>
      <c r="D342" s="1260" t="inlineStr">
        <is>
          <t>PicknMix</t>
        </is>
      </c>
      <c r="E342" s="1394" t="n">
        <v>160</v>
      </c>
      <c r="F342" s="1260" t="inlineStr">
        <is>
          <t>1-2-1 Session</t>
        </is>
      </c>
      <c r="G342" s="1260" t="inlineStr">
        <is>
          <t>Existing</t>
        </is>
      </c>
    </row>
    <row r="343" ht="13.5" customHeight="1" s="1232">
      <c r="A343" s="1393" t="n">
        <v>43654</v>
      </c>
      <c r="B343" s="1260" t="inlineStr">
        <is>
          <t>Emma Moxon</t>
        </is>
      </c>
      <c r="C343" s="1260" t="inlineStr">
        <is>
          <t>4. Pick n Mix Out</t>
        </is>
      </c>
      <c r="D343" s="1260" t="inlineStr">
        <is>
          <t>PicknMix</t>
        </is>
      </c>
      <c r="E343" s="1394" t="n">
        <v>-120</v>
      </c>
      <c r="F343" s="1260" t="inlineStr">
        <is>
          <t>1-2-1 Session</t>
        </is>
      </c>
      <c r="G343" s="1260" t="inlineStr">
        <is>
          <t>Existing</t>
        </is>
      </c>
    </row>
    <row r="344" ht="13.5" customHeight="1" s="1232">
      <c r="A344" s="1393" t="n">
        <v>43654</v>
      </c>
      <c r="B344" s="1260" t="inlineStr">
        <is>
          <t>Emma Moxon</t>
        </is>
      </c>
      <c r="C344" s="1260" t="inlineStr">
        <is>
          <t>4. Pick n Mix Out</t>
        </is>
      </c>
      <c r="D344" s="1260" t="inlineStr">
        <is>
          <t>PicknMix</t>
        </is>
      </c>
      <c r="E344" s="1394" t="n">
        <v>-160</v>
      </c>
      <c r="F344" s="1260" t="inlineStr">
        <is>
          <t>1-2-1 Session</t>
        </is>
      </c>
      <c r="G344" s="1260" t="inlineStr">
        <is>
          <t>Existing</t>
        </is>
      </c>
    </row>
    <row r="345" ht="13.5" customHeight="1" s="1232">
      <c r="A345" s="1393" t="n">
        <v>43654</v>
      </c>
      <c r="B345" s="1260" t="inlineStr">
        <is>
          <t>Jean Dance</t>
        </is>
      </c>
      <c r="C345" s="1255" t="inlineStr">
        <is>
          <t>6. 1-2-1</t>
        </is>
      </c>
      <c r="D345" s="1260" t="inlineStr">
        <is>
          <t>PayPal</t>
        </is>
      </c>
      <c r="E345" s="1394" t="n">
        <v>65</v>
      </c>
      <c r="F345" s="1260" t="inlineStr">
        <is>
          <t>Lightroom Tuition</t>
        </is>
      </c>
      <c r="G345" s="1260" t="inlineStr">
        <is>
          <t>Existing</t>
        </is>
      </c>
    </row>
    <row r="346" ht="13.5" customHeight="1" s="1232">
      <c r="A346" s="1393" t="n">
        <v>43653</v>
      </c>
      <c r="B346" s="1260" t="inlineStr">
        <is>
          <t>Emma Moxon</t>
        </is>
      </c>
      <c r="C346" s="1255" t="inlineStr">
        <is>
          <t>5. Mentoring</t>
        </is>
      </c>
      <c r="D346" s="1260" t="inlineStr">
        <is>
          <t>Stripe</t>
        </is>
      </c>
      <c r="E346" s="1394" t="n">
        <v>60</v>
      </c>
      <c r="F346" s="1260" t="inlineStr">
        <is>
          <t>Premium Mentoring</t>
        </is>
      </c>
      <c r="G346" s="1260" t="inlineStr">
        <is>
          <t>Existing</t>
        </is>
      </c>
    </row>
    <row r="347" ht="13.5" customHeight="1" s="1232">
      <c r="A347" s="1393" t="n">
        <v>43653</v>
      </c>
      <c r="B347" s="1260" t="inlineStr">
        <is>
          <t>Emma Moxon</t>
        </is>
      </c>
      <c r="C347" s="1255" t="inlineStr">
        <is>
          <t>3. Pick n Mix Inc</t>
        </is>
      </c>
      <c r="D347" s="1260" t="inlineStr">
        <is>
          <t>Stripe</t>
        </is>
      </c>
      <c r="E347" s="1394" t="n">
        <v>120</v>
      </c>
      <c r="F347" s="1260" t="inlineStr">
        <is>
          <t>New Pick n Mix Plan</t>
        </is>
      </c>
      <c r="G347" s="1260" t="inlineStr">
        <is>
          <t>Existing</t>
        </is>
      </c>
    </row>
    <row r="348" ht="13.5" customHeight="1" s="1232">
      <c r="A348" s="1393" t="n">
        <v>43651</v>
      </c>
      <c r="B348" s="1260" t="inlineStr">
        <is>
          <t>Anne Watkinson</t>
        </is>
      </c>
      <c r="C348" s="1255" t="inlineStr">
        <is>
          <t>2. Workshops</t>
        </is>
      </c>
      <c r="D348" s="1260" t="inlineStr">
        <is>
          <t>Bank</t>
        </is>
      </c>
      <c r="E348" s="1394" t="n">
        <v>200</v>
      </c>
      <c r="F348" s="1260" t="inlineStr">
        <is>
          <t>Dingle - Ireland</t>
        </is>
      </c>
      <c r="G348" s="1260" t="inlineStr">
        <is>
          <t>Existing</t>
        </is>
      </c>
    </row>
    <row r="349" ht="13.5" customHeight="1" s="1232">
      <c r="A349" s="1393" t="n">
        <v>43651</v>
      </c>
      <c r="B349" s="1260" t="inlineStr">
        <is>
          <t>Emma Moxon</t>
        </is>
      </c>
      <c r="C349" s="1255" t="inlineStr">
        <is>
          <t>6. 1-2-1</t>
        </is>
      </c>
      <c r="D349" s="1260" t="inlineStr">
        <is>
          <t>Stripe</t>
        </is>
      </c>
      <c r="E349" s="1394" t="n">
        <v>85</v>
      </c>
      <c r="F349" s="1282" t="inlineStr">
        <is>
          <t>1-2-1 Staffan</t>
        </is>
      </c>
      <c r="G349" s="1260" t="inlineStr">
        <is>
          <t>Google</t>
        </is>
      </c>
    </row>
    <row r="350" ht="13.5" customHeight="1" s="1232">
      <c r="A350" s="1393" t="n">
        <v>43650</v>
      </c>
      <c r="B350" s="1260" t="inlineStr">
        <is>
          <t>Richard Picton-Jones</t>
        </is>
      </c>
      <c r="C350" s="1255" t="inlineStr">
        <is>
          <t>1. Courses/masterclasses</t>
        </is>
      </c>
      <c r="D350" s="1260" t="inlineStr">
        <is>
          <t>PayPal</t>
        </is>
      </c>
      <c r="E350" s="1394" t="n">
        <v>200</v>
      </c>
      <c r="F350" s="1260" t="inlineStr">
        <is>
          <t>Lightroom Course</t>
        </is>
      </c>
      <c r="G350" s="1260" t="inlineStr">
        <is>
          <t>Existing</t>
        </is>
      </c>
    </row>
    <row r="351" ht="13.5" customHeight="1" s="1232">
      <c r="A351" s="1393" t="n">
        <v>43649</v>
      </c>
      <c r="B351" s="1260" t="inlineStr">
        <is>
          <t>Mo Bradley</t>
        </is>
      </c>
      <c r="C351" s="1255" t="inlineStr">
        <is>
          <t>2. Workshops</t>
        </is>
      </c>
      <c r="D351" s="1260" t="inlineStr">
        <is>
          <t>PayPal</t>
        </is>
      </c>
      <c r="E351" s="1394" t="n">
        <v>750</v>
      </c>
      <c r="F351" s="1260" t="inlineStr">
        <is>
          <t>Northumberland</t>
        </is>
      </c>
      <c r="G351" s="1260" t="inlineStr">
        <is>
          <t>Existing</t>
        </is>
      </c>
    </row>
    <row r="352" ht="13.5" customHeight="1" s="1232">
      <c r="A352" s="1393" t="n">
        <v>43649</v>
      </c>
      <c r="B352" s="1260" t="inlineStr">
        <is>
          <t>Mo Bradley</t>
        </is>
      </c>
      <c r="C352" s="1255" t="inlineStr">
        <is>
          <t>6. 1-2-1</t>
        </is>
      </c>
      <c r="D352" s="1260" t="inlineStr">
        <is>
          <t>PayPal</t>
        </is>
      </c>
      <c r="E352" s="1394" t="n">
        <v>360</v>
      </c>
      <c r="F352" s="1260" t="inlineStr">
        <is>
          <t>Lightroom Tuition</t>
        </is>
      </c>
      <c r="G352" s="1260" t="inlineStr">
        <is>
          <t>Existing</t>
        </is>
      </c>
    </row>
    <row r="353" ht="13.5" customHeight="1" s="1232">
      <c r="A353" s="1393" t="n">
        <v>43648</v>
      </c>
      <c r="B353" s="1260" t="inlineStr">
        <is>
          <t>Jean Dance</t>
        </is>
      </c>
      <c r="C353" s="1255" t="inlineStr">
        <is>
          <t>6. 1-2-1</t>
        </is>
      </c>
      <c r="D353" s="1260" t="inlineStr">
        <is>
          <t>PayPal</t>
        </is>
      </c>
      <c r="E353" s="1394" t="n">
        <v>120</v>
      </c>
      <c r="F353" s="1260" t="inlineStr">
        <is>
          <t>Lightroom Tuition</t>
        </is>
      </c>
      <c r="G353" s="1260" t="inlineStr">
        <is>
          <t>Existing</t>
        </is>
      </c>
    </row>
    <row r="354" ht="13.5" customHeight="1" s="1232">
      <c r="A354" s="1393" t="n">
        <v>43647</v>
      </c>
      <c r="B354" s="1260" t="inlineStr">
        <is>
          <t>July Pick N Mix</t>
        </is>
      </c>
      <c r="C354" s="1255" t="inlineStr">
        <is>
          <t>3. Pick n Mix Inc</t>
        </is>
      </c>
      <c r="D354" s="1255" t="inlineStr">
        <is>
          <t>Various</t>
        </is>
      </c>
      <c r="E354" s="1261" t="n">
        <v>812.5</v>
      </c>
      <c r="F354" s="1255" t="inlineStr">
        <is>
          <t>Pick N Mix Payments</t>
        </is>
      </c>
      <c r="G354" s="1255" t="inlineStr">
        <is>
          <t>Existing</t>
        </is>
      </c>
    </row>
    <row r="355" ht="13.5" customHeight="1" s="1232">
      <c r="A355" s="1393" t="n">
        <v>43647</v>
      </c>
      <c r="B355" s="1260" t="inlineStr">
        <is>
          <t>July Mentoring</t>
        </is>
      </c>
      <c r="C355" s="1255" t="inlineStr">
        <is>
          <t>5. Mentoring</t>
        </is>
      </c>
      <c r="D355" s="1255" t="inlineStr">
        <is>
          <t>Various</t>
        </is>
      </c>
      <c r="E355" s="1261" t="n">
        <v>60</v>
      </c>
      <c r="F355" s="1255" t="inlineStr">
        <is>
          <t>Mentoring Subs</t>
        </is>
      </c>
      <c r="G355" s="1255" t="inlineStr">
        <is>
          <t>Existing</t>
        </is>
      </c>
    </row>
    <row r="356" ht="13.5" customHeight="1" s="1232">
      <c r="A356" s="1393" t="n"/>
      <c r="B356" s="1260" t="n"/>
      <c r="C356" s="1260" t="n"/>
      <c r="D356" s="1260" t="n"/>
      <c r="E356" s="1394" t="n"/>
      <c r="F356" s="1260" t="n"/>
      <c r="G356" s="1260" t="n"/>
    </row>
    <row r="357" ht="13.5" customHeight="1" s="1232">
      <c r="A357" s="1393" t="n">
        <v>43643</v>
      </c>
      <c r="B357" s="1260" t="inlineStr">
        <is>
          <t>Anthony Nicholls</t>
        </is>
      </c>
      <c r="C357" s="1402" t="inlineStr">
        <is>
          <t>2. Workshops</t>
        </is>
      </c>
      <c r="D357" s="1260" t="inlineStr">
        <is>
          <t>Stripe</t>
        </is>
      </c>
      <c r="E357" s="1394" t="n">
        <v>60</v>
      </c>
      <c r="F357" s="1260" t="inlineStr">
        <is>
          <t>Lake District Workshop</t>
        </is>
      </c>
      <c r="G357" s="1260" t="inlineStr">
        <is>
          <t>Existing</t>
        </is>
      </c>
    </row>
    <row r="358" ht="13.5" customHeight="1" s="1232">
      <c r="A358" s="1403" t="n">
        <v>43644</v>
      </c>
      <c r="B358" s="1402" t="inlineStr">
        <is>
          <t>Maureen Bradley</t>
        </is>
      </c>
      <c r="C358" s="1402" t="inlineStr">
        <is>
          <t>2. Workshops</t>
        </is>
      </c>
      <c r="D358" s="1402" t="inlineStr">
        <is>
          <t>PayPal</t>
        </is>
      </c>
      <c r="E358" s="1404" t="n">
        <v>100</v>
      </c>
      <c r="F358" s="1402" t="inlineStr">
        <is>
          <t>Anglesey Extra Night</t>
        </is>
      </c>
      <c r="G358" s="1402" t="inlineStr">
        <is>
          <t>Existing</t>
        </is>
      </c>
    </row>
    <row r="359" ht="13.5" customHeight="1" s="1232">
      <c r="A359" s="1403" t="n">
        <v>43644</v>
      </c>
      <c r="B359" s="1402" t="inlineStr">
        <is>
          <t>Sheila Coughlan</t>
        </is>
      </c>
      <c r="C359" s="1402" t="inlineStr">
        <is>
          <t>1. Courses/masterclasses</t>
        </is>
      </c>
      <c r="D359" s="1402" t="inlineStr">
        <is>
          <t>PayPal</t>
        </is>
      </c>
      <c r="E359" s="1404" t="n">
        <v>120</v>
      </c>
      <c r="F359" s="1405" t="inlineStr">
        <is>
          <t>1-2-1</t>
        </is>
      </c>
      <c r="G359" s="1402" t="inlineStr">
        <is>
          <t>Existing</t>
        </is>
      </c>
    </row>
    <row r="360" ht="13.5" customHeight="1" s="1232">
      <c r="A360" s="1403" t="n">
        <v>43644</v>
      </c>
      <c r="B360" s="1402" t="inlineStr">
        <is>
          <t>Rosy Hopkins</t>
        </is>
      </c>
      <c r="C360" s="1402" t="inlineStr">
        <is>
          <t>2. Workshops</t>
        </is>
      </c>
      <c r="D360" s="1402" t="inlineStr">
        <is>
          <t>Stripe</t>
        </is>
      </c>
      <c r="E360" s="1404" t="n">
        <v>150</v>
      </c>
      <c r="F360" s="1402" t="inlineStr">
        <is>
          <t>Burnham</t>
        </is>
      </c>
      <c r="G360" s="1402" t="inlineStr">
        <is>
          <t>Google</t>
        </is>
      </c>
    </row>
    <row r="361" ht="13.5" customHeight="1" s="1232">
      <c r="A361" s="1393" t="n">
        <v>43640</v>
      </c>
      <c r="B361" s="1260" t="inlineStr">
        <is>
          <t>Ian Blake ELS</t>
        </is>
      </c>
      <c r="C361" s="1260" t="inlineStr">
        <is>
          <t>2. Workshops</t>
        </is>
      </c>
      <c r="D361" s="1260" t="inlineStr">
        <is>
          <t>PayPal</t>
        </is>
      </c>
      <c r="E361" s="1394" t="n">
        <v>100</v>
      </c>
      <c r="F361" s="1260" t="inlineStr">
        <is>
          <t>Extra Night B&amp;B Anglesey</t>
        </is>
      </c>
      <c r="G361" s="1260" t="inlineStr">
        <is>
          <t>Existing</t>
        </is>
      </c>
    </row>
    <row r="362" ht="13.5" customHeight="1" s="1232">
      <c r="A362" s="1393" t="n">
        <v>43640</v>
      </c>
      <c r="B362" s="1260" t="inlineStr">
        <is>
          <t>Frank Lovett</t>
        </is>
      </c>
      <c r="C362" s="1260" t="inlineStr">
        <is>
          <t>1. Courses/masterclasses</t>
        </is>
      </c>
      <c r="D362" s="1260" t="inlineStr">
        <is>
          <t>Stripe</t>
        </is>
      </c>
      <c r="E362" s="1394" t="n">
        <v>395</v>
      </c>
      <c r="F362" s="1260" t="inlineStr">
        <is>
          <t>RPS Course</t>
        </is>
      </c>
      <c r="G362" s="1260" t="inlineStr">
        <is>
          <t>Existing</t>
        </is>
      </c>
    </row>
    <row r="363" ht="13.5" customHeight="1" s="1232">
      <c r="A363" s="1393" t="n">
        <v>43633</v>
      </c>
      <c r="B363" s="1260" t="inlineStr">
        <is>
          <t>Kirsten Pearce</t>
        </is>
      </c>
      <c r="C363" s="1260" t="inlineStr">
        <is>
          <t>4. Pick n Mix Out</t>
        </is>
      </c>
      <c r="D363" s="1260" t="inlineStr">
        <is>
          <t>PicknMix</t>
        </is>
      </c>
      <c r="E363" s="1394" t="n">
        <v>-50</v>
      </c>
      <c r="F363" s="1260" t="inlineStr">
        <is>
          <t>Sunflower sunrise</t>
        </is>
      </c>
      <c r="G363" s="1260" t="inlineStr">
        <is>
          <t>Existing</t>
        </is>
      </c>
    </row>
    <row r="364" ht="13.5" customHeight="1" s="1232">
      <c r="A364" s="1393" t="n">
        <v>43633</v>
      </c>
      <c r="B364" s="1260" t="inlineStr">
        <is>
          <t>Kirsten Pearce</t>
        </is>
      </c>
      <c r="C364" s="1260" t="inlineStr">
        <is>
          <t>2. Workshops</t>
        </is>
      </c>
      <c r="D364" s="1260" t="inlineStr">
        <is>
          <t>PicknMix</t>
        </is>
      </c>
      <c r="E364" s="1394" t="n">
        <v>50</v>
      </c>
      <c r="F364" s="1260" t="inlineStr">
        <is>
          <t>Sunflower sunrise</t>
        </is>
      </c>
      <c r="G364" s="1260" t="inlineStr">
        <is>
          <t>Existing</t>
        </is>
      </c>
    </row>
    <row r="365" ht="13.5" customHeight="1" s="1232">
      <c r="A365" s="1393" t="n">
        <v>43633</v>
      </c>
      <c r="B365" s="1260" t="inlineStr">
        <is>
          <t>Kirsten Pearce</t>
        </is>
      </c>
      <c r="C365" s="1260" t="inlineStr">
        <is>
          <t>4. Pick n Mix Out</t>
        </is>
      </c>
      <c r="D365" s="1260" t="inlineStr">
        <is>
          <t>PicknMix</t>
        </is>
      </c>
      <c r="E365" s="1394" t="n">
        <v>-99</v>
      </c>
      <c r="F365" s="1260" t="inlineStr">
        <is>
          <t>Peak Dist Sunset</t>
        </is>
      </c>
      <c r="G365" s="1260" t="inlineStr">
        <is>
          <t>Existing</t>
        </is>
      </c>
    </row>
    <row r="366" ht="13.5" customHeight="1" s="1232">
      <c r="A366" s="1393" t="n">
        <v>43633</v>
      </c>
      <c r="B366" s="1260" t="inlineStr">
        <is>
          <t>Kirsten Pearce</t>
        </is>
      </c>
      <c r="C366" s="1260" t="inlineStr">
        <is>
          <t>2. Workshops</t>
        </is>
      </c>
      <c r="D366" s="1260" t="inlineStr">
        <is>
          <t>PicknMix</t>
        </is>
      </c>
      <c r="E366" s="1394" t="n">
        <v>99</v>
      </c>
      <c r="F366" s="1260" t="inlineStr">
        <is>
          <t>Peak Dist Sunset</t>
        </is>
      </c>
      <c r="G366" s="1260" t="inlineStr">
        <is>
          <t>Existing</t>
        </is>
      </c>
    </row>
    <row r="367" ht="13.5" customHeight="1" s="1232">
      <c r="A367" s="1393" t="n">
        <v>43633</v>
      </c>
      <c r="B367" s="1260" t="inlineStr">
        <is>
          <t>Kirsten Pearce</t>
        </is>
      </c>
      <c r="C367" s="1260" t="inlineStr">
        <is>
          <t>4. Pick n Mix Out</t>
        </is>
      </c>
      <c r="D367" s="1260" t="inlineStr">
        <is>
          <t>PicknMix</t>
        </is>
      </c>
      <c r="E367" s="1394" t="n">
        <v>-175</v>
      </c>
      <c r="F367" s="1260" t="inlineStr">
        <is>
          <t>Lavender Sunset/Sunrise</t>
        </is>
      </c>
      <c r="G367" s="1260" t="inlineStr">
        <is>
          <t>Existing</t>
        </is>
      </c>
    </row>
    <row r="368" ht="13.5" customHeight="1" s="1232">
      <c r="A368" s="1393" t="n">
        <v>43633</v>
      </c>
      <c r="B368" s="1260" t="inlineStr">
        <is>
          <t>Kirsten Pearce</t>
        </is>
      </c>
      <c r="C368" s="1260" t="inlineStr">
        <is>
          <t>2. Workshops</t>
        </is>
      </c>
      <c r="D368" s="1260" t="inlineStr">
        <is>
          <t>PicknMix</t>
        </is>
      </c>
      <c r="E368" s="1394" t="n">
        <v>175</v>
      </c>
      <c r="F368" s="1260" t="inlineStr">
        <is>
          <t>Lavender Sunset/Sunrise</t>
        </is>
      </c>
      <c r="G368" s="1260" t="inlineStr">
        <is>
          <t>Existing</t>
        </is>
      </c>
    </row>
    <row r="369" ht="13.5" customHeight="1" s="1232">
      <c r="A369" s="1393" t="n">
        <v>43630</v>
      </c>
      <c r="B369" s="1260" t="inlineStr">
        <is>
          <t>Neill Smith</t>
        </is>
      </c>
      <c r="C369" s="1260" t="inlineStr">
        <is>
          <t>6. 1-2-1</t>
        </is>
      </c>
      <c r="D369" s="1260" t="inlineStr">
        <is>
          <t>Stripe</t>
        </is>
      </c>
      <c r="E369" s="1394" t="n">
        <v>130</v>
      </c>
      <c r="F369" s="1282" t="inlineStr">
        <is>
          <t>1-2-1 Tuition</t>
        </is>
      </c>
      <c r="G369" s="1260" t="inlineStr">
        <is>
          <t>Google</t>
        </is>
      </c>
    </row>
    <row r="370" ht="13.5" customHeight="1" s="1232">
      <c r="A370" s="1393" t="n">
        <v>43630</v>
      </c>
      <c r="B370" s="1260" t="inlineStr">
        <is>
          <t>Sheila Coughlan</t>
        </is>
      </c>
      <c r="C370" s="1260" t="inlineStr">
        <is>
          <t>6. 1-2-1</t>
        </is>
      </c>
      <c r="D370" s="1260" t="inlineStr">
        <is>
          <t>PayPal</t>
        </is>
      </c>
      <c r="E370" s="1394" t="n">
        <v>195</v>
      </c>
      <c r="F370" s="1282" t="inlineStr">
        <is>
          <t>1-2-1 Tuition</t>
        </is>
      </c>
      <c r="G370" s="1260" t="inlineStr">
        <is>
          <t>Google</t>
        </is>
      </c>
    </row>
    <row r="371" ht="13.5" customHeight="1" s="1232">
      <c r="A371" s="1393" t="n">
        <v>43630</v>
      </c>
      <c r="B371" s="1255" t="inlineStr">
        <is>
          <t>Maureen Bradley</t>
        </is>
      </c>
      <c r="C371" s="1260" t="inlineStr">
        <is>
          <t>2. Workshops</t>
        </is>
      </c>
      <c r="D371" s="1260" t="inlineStr">
        <is>
          <t>Stripe</t>
        </is>
      </c>
      <c r="E371" s="1256" t="n">
        <v>950</v>
      </c>
      <c r="F371" s="1260" t="inlineStr">
        <is>
          <t>Anglesey x 2 Places</t>
        </is>
      </c>
      <c r="G371" s="1260" t="inlineStr">
        <is>
          <t>Existing</t>
        </is>
      </c>
    </row>
    <row r="372" ht="13.5" customHeight="1" s="1232">
      <c r="A372" s="1393" t="n">
        <v>43630</v>
      </c>
      <c r="B372" s="1255" t="inlineStr">
        <is>
          <t>Maureen Bradley</t>
        </is>
      </c>
      <c r="C372" s="1260" t="inlineStr">
        <is>
          <t>2. Workshops</t>
        </is>
      </c>
      <c r="D372" s="1260" t="inlineStr">
        <is>
          <t>Stripe</t>
        </is>
      </c>
      <c r="E372" s="1256" t="n">
        <v>150</v>
      </c>
      <c r="F372" s="1260" t="inlineStr">
        <is>
          <t>Fairy Glen x 2 Places</t>
        </is>
      </c>
      <c r="G372" s="1260" t="inlineStr">
        <is>
          <t>Existing</t>
        </is>
      </c>
    </row>
    <row r="373" ht="13.5" customHeight="1" s="1232">
      <c r="A373" s="1393" t="n">
        <v>43629</v>
      </c>
      <c r="B373" s="1260" t="inlineStr">
        <is>
          <t>Laura Beales</t>
        </is>
      </c>
      <c r="C373" s="1260" t="inlineStr">
        <is>
          <t>8. Prints &amp; Royalties</t>
        </is>
      </c>
      <c r="D373" s="1260" t="inlineStr">
        <is>
          <t>PayPal</t>
        </is>
      </c>
      <c r="E373" s="1394" t="n">
        <v>26.34</v>
      </c>
      <c r="F373" s="1260" t="inlineStr">
        <is>
          <t>Zenfolio Prints</t>
        </is>
      </c>
      <c r="G373" s="1260" t="inlineStr">
        <is>
          <t>Existing</t>
        </is>
      </c>
    </row>
    <row r="374" ht="13.5" customHeight="1" s="1232">
      <c r="A374" s="1393" t="n">
        <v>43629</v>
      </c>
      <c r="B374" s="1260" t="inlineStr">
        <is>
          <t>Johanna Stanssfield</t>
        </is>
      </c>
      <c r="C374" s="1260" t="inlineStr">
        <is>
          <t>5. Mentoring</t>
        </is>
      </c>
      <c r="D374" s="1260" t="inlineStr">
        <is>
          <t>Stripe</t>
        </is>
      </c>
      <c r="E374" s="1394" t="n">
        <v>60</v>
      </c>
      <c r="F374" s="1260" t="inlineStr">
        <is>
          <t>Premium Mentoring</t>
        </is>
      </c>
      <c r="G374" s="1260" t="inlineStr">
        <is>
          <t>Existing</t>
        </is>
      </c>
    </row>
    <row r="375" ht="13.5" customHeight="1" s="1232">
      <c r="A375" s="1393" t="n">
        <v>43627</v>
      </c>
      <c r="B375" s="1260" t="inlineStr">
        <is>
          <t>Ian Blake ELS</t>
        </is>
      </c>
      <c r="C375" s="1260" t="inlineStr">
        <is>
          <t>2. Workshops</t>
        </is>
      </c>
      <c r="D375" s="1260" t="inlineStr">
        <is>
          <t>Bank</t>
        </is>
      </c>
      <c r="E375" s="1394" t="n">
        <v>75</v>
      </c>
      <c r="F375" s="1260" t="inlineStr">
        <is>
          <t>Fairy Glen</t>
        </is>
      </c>
      <c r="G375" s="1260" t="inlineStr">
        <is>
          <t>Existing</t>
        </is>
      </c>
    </row>
    <row r="376" ht="13.5" customHeight="1" s="1232">
      <c r="A376" s="1393" t="n">
        <v>43623</v>
      </c>
      <c r="B376" s="1260" t="inlineStr">
        <is>
          <t>Alan Cross</t>
        </is>
      </c>
      <c r="C376" s="1260" t="inlineStr">
        <is>
          <t>6. 1-2-1</t>
        </is>
      </c>
      <c r="D376" s="1260" t="inlineStr">
        <is>
          <t>Cash</t>
        </is>
      </c>
      <c r="E376" s="1394" t="n">
        <v>400</v>
      </c>
      <c r="F376" s="1260" t="inlineStr">
        <is>
          <t>PC Support</t>
        </is>
      </c>
      <c r="G376" s="1260" t="inlineStr">
        <is>
          <t>Existing</t>
        </is>
      </c>
    </row>
    <row r="377" ht="13.5" customHeight="1" s="1232">
      <c r="A377" s="1393" t="n">
        <v>43622</v>
      </c>
      <c r="B377" s="1260" t="inlineStr">
        <is>
          <t>James Parker</t>
        </is>
      </c>
      <c r="C377" s="1260" t="inlineStr">
        <is>
          <t>2. Workshops</t>
        </is>
      </c>
      <c r="D377" s="1260" t="inlineStr">
        <is>
          <t>PayPal</t>
        </is>
      </c>
      <c r="E377" s="1394" t="n">
        <v>150</v>
      </c>
      <c r="F377" s="1260" t="inlineStr">
        <is>
          <t>Poppy Fields</t>
        </is>
      </c>
      <c r="G377" s="1260" t="inlineStr">
        <is>
          <t>Google</t>
        </is>
      </c>
    </row>
    <row r="378" ht="13.5" customHeight="1" s="1232">
      <c r="A378" s="1393" t="n">
        <v>43622</v>
      </c>
      <c r="B378" s="1260" t="inlineStr">
        <is>
          <t>Sheree Kennedy</t>
        </is>
      </c>
      <c r="C378" s="1260" t="inlineStr">
        <is>
          <t>2. Workshops</t>
        </is>
      </c>
      <c r="D378" s="1260" t="inlineStr">
        <is>
          <t>PayPal</t>
        </is>
      </c>
      <c r="E378" s="1394" t="n">
        <v>75</v>
      </c>
      <c r="F378" s="1260" t="inlineStr">
        <is>
          <t>Poppy Fields</t>
        </is>
      </c>
      <c r="G378" s="1260" t="inlineStr">
        <is>
          <t>Existing</t>
        </is>
      </c>
    </row>
    <row r="379" ht="13.5" customHeight="1" s="1232">
      <c r="A379" s="1393" t="n">
        <v>43622</v>
      </c>
      <c r="B379" s="1260" t="inlineStr">
        <is>
          <t>Debbie Lynne</t>
        </is>
      </c>
      <c r="C379" s="1260" t="inlineStr">
        <is>
          <t>9. Commissions</t>
        </is>
      </c>
      <c r="D379" s="1260" t="inlineStr">
        <is>
          <t>Stripe</t>
        </is>
      </c>
      <c r="E379" s="1394" t="n">
        <v>50</v>
      </c>
      <c r="F379" s="1260" t="inlineStr">
        <is>
          <t>Portrait Shoot</t>
        </is>
      </c>
      <c r="G379" s="1260" t="inlineStr">
        <is>
          <t>Google</t>
        </is>
      </c>
    </row>
    <row r="380" ht="13.5" customHeight="1" s="1232">
      <c r="A380" s="1393" t="n">
        <v>43621</v>
      </c>
      <c r="B380" s="1260" t="inlineStr">
        <is>
          <t>Richard Picton-Jones</t>
        </is>
      </c>
      <c r="C380" s="1260" t="inlineStr">
        <is>
          <t>1. Courses/masterclasses</t>
        </is>
      </c>
      <c r="D380" s="1260" t="inlineStr">
        <is>
          <t>Stripe</t>
        </is>
      </c>
      <c r="E380" s="1394" t="n">
        <v>200</v>
      </c>
      <c r="F380" s="1260" t="inlineStr">
        <is>
          <t>4wk Extended Course</t>
        </is>
      </c>
      <c r="G380" s="1260" t="inlineStr">
        <is>
          <t>Existing</t>
        </is>
      </c>
    </row>
    <row r="381" ht="13.5" customHeight="1" s="1232">
      <c r="A381" s="1393" t="n">
        <v>43621</v>
      </c>
      <c r="B381" s="1260" t="inlineStr">
        <is>
          <t>Ester Riordan</t>
        </is>
      </c>
      <c r="C381" s="1260" t="inlineStr">
        <is>
          <t>2. Workshops</t>
        </is>
      </c>
      <c r="D381" s="1260" t="inlineStr">
        <is>
          <t>Stripe</t>
        </is>
      </c>
      <c r="E381" s="1394" t="n">
        <v>75</v>
      </c>
      <c r="F381" s="1260" t="inlineStr">
        <is>
          <t>Poppy Fields</t>
        </is>
      </c>
      <c r="G381" s="1260" t="inlineStr">
        <is>
          <t>Existing</t>
        </is>
      </c>
    </row>
    <row r="382" ht="13.5" customHeight="1" s="1232">
      <c r="A382" s="1393" t="n">
        <v>43619</v>
      </c>
      <c r="B382" s="1260" t="inlineStr">
        <is>
          <t>jodie Munn</t>
        </is>
      </c>
      <c r="C382" s="1260" t="inlineStr">
        <is>
          <t>1. Courses/masterclasses</t>
        </is>
      </c>
      <c r="D382" s="1260" t="inlineStr">
        <is>
          <t>Stripe</t>
        </is>
      </c>
      <c r="E382" s="1394" t="n">
        <v>75</v>
      </c>
      <c r="F382" s="1260" t="inlineStr">
        <is>
          <t>5 Wk Beginners Course</t>
        </is>
      </c>
      <c r="G382" s="1260" t="inlineStr">
        <is>
          <t>Existing</t>
        </is>
      </c>
    </row>
    <row r="383" ht="13.5" customHeight="1" s="1232">
      <c r="A383" s="1393" t="n">
        <v>43618</v>
      </c>
      <c r="B383" s="1260" t="inlineStr">
        <is>
          <t>Mariola Machelska</t>
        </is>
      </c>
      <c r="C383" s="1260" t="inlineStr">
        <is>
          <t>2. Workshops</t>
        </is>
      </c>
      <c r="D383" s="1260" t="inlineStr">
        <is>
          <t>PayPal</t>
        </is>
      </c>
      <c r="E383" s="1394" t="n">
        <v>99</v>
      </c>
      <c r="F383" s="1260" t="inlineStr">
        <is>
          <t>Burnham</t>
        </is>
      </c>
      <c r="G383" s="1260" t="inlineStr">
        <is>
          <t>Google</t>
        </is>
      </c>
    </row>
    <row r="384" ht="13.5" customHeight="1" s="1232">
      <c r="A384" s="1393" t="n">
        <v>43618</v>
      </c>
      <c r="B384" s="1260" t="inlineStr">
        <is>
          <t>Robert Thomas</t>
        </is>
      </c>
      <c r="C384" s="1260" t="inlineStr">
        <is>
          <t>2. Workshops</t>
        </is>
      </c>
      <c r="D384" s="1260" t="inlineStr">
        <is>
          <t>Stripe</t>
        </is>
      </c>
      <c r="E384" s="1394" t="n">
        <v>75</v>
      </c>
      <c r="F384" s="1260" t="inlineStr">
        <is>
          <t>Poppy Fields</t>
        </is>
      </c>
      <c r="G384" s="1260" t="inlineStr">
        <is>
          <t>Facebook</t>
        </is>
      </c>
    </row>
    <row r="385" ht="13.5" customHeight="1" s="1232">
      <c r="A385" s="1393" t="n">
        <v>43618</v>
      </c>
      <c r="B385" s="1260" t="inlineStr">
        <is>
          <t>Adriana Wills</t>
        </is>
      </c>
      <c r="C385" s="1260" t="inlineStr">
        <is>
          <t>2. Workshops</t>
        </is>
      </c>
      <c r="D385" s="1260" t="inlineStr">
        <is>
          <t>PayPal</t>
        </is>
      </c>
      <c r="E385" s="1394" t="n">
        <v>75</v>
      </c>
      <c r="F385" s="1260" t="inlineStr">
        <is>
          <t>Poppy Fields</t>
        </is>
      </c>
      <c r="G385" s="1260" t="inlineStr">
        <is>
          <t>Facebook</t>
        </is>
      </c>
    </row>
    <row r="386" ht="13.5" customHeight="1" s="1232">
      <c r="A386" s="1393" t="n">
        <v>43617</v>
      </c>
      <c r="B386" s="1260" t="inlineStr">
        <is>
          <t>June Pick N Mix</t>
        </is>
      </c>
      <c r="C386" s="1255" t="inlineStr">
        <is>
          <t>3. Pick n Mix Inc</t>
        </is>
      </c>
      <c r="D386" s="1255" t="inlineStr">
        <is>
          <t>Various</t>
        </is>
      </c>
      <c r="E386" s="1261" t="n">
        <v>1030</v>
      </c>
      <c r="F386" s="1255" t="inlineStr">
        <is>
          <t>Pick N Mix Payments</t>
        </is>
      </c>
      <c r="G386" s="1255" t="inlineStr">
        <is>
          <t>Existing</t>
        </is>
      </c>
    </row>
    <row r="387" ht="13.5" customHeight="1" s="1232">
      <c r="A387" s="1393" t="n">
        <v>43617</v>
      </c>
      <c r="B387" s="1260" t="inlineStr">
        <is>
          <t>JuneMentoring</t>
        </is>
      </c>
      <c r="C387" s="1255" t="inlineStr">
        <is>
          <t>5. Mentoring</t>
        </is>
      </c>
      <c r="D387" s="1255" t="inlineStr">
        <is>
          <t>Various</t>
        </is>
      </c>
      <c r="E387" s="1261" t="n">
        <v>60</v>
      </c>
      <c r="F387" s="1255" t="inlineStr">
        <is>
          <t>Mentoring Subs</t>
        </is>
      </c>
      <c r="G387" s="1255" t="inlineStr">
        <is>
          <t>Existing</t>
        </is>
      </c>
    </row>
    <row r="388" ht="13.5" customHeight="1" s="1232">
      <c r="A388" s="1393" t="n"/>
      <c r="B388" s="1260" t="n"/>
      <c r="C388" s="1260" t="n"/>
      <c r="D388" s="1260" t="n"/>
      <c r="E388" s="1394" t="n"/>
      <c r="F388" s="1260" t="n"/>
      <c r="G388" s="1260" t="n"/>
    </row>
    <row r="389" ht="13.5" customHeight="1" s="1232">
      <c r="A389" s="1393" t="n">
        <v>43615</v>
      </c>
      <c r="B389" s="1260" t="inlineStr">
        <is>
          <t>Richard Picton-Jones</t>
        </is>
      </c>
      <c r="C389" s="1260" t="inlineStr">
        <is>
          <t>1. Courses/masterclasses</t>
        </is>
      </c>
      <c r="D389" s="1260" t="inlineStr">
        <is>
          <t>PayPal</t>
        </is>
      </c>
      <c r="E389" s="1394" t="n">
        <v>20</v>
      </c>
      <c r="F389" s="1260" t="inlineStr">
        <is>
          <t>Get Off Auto</t>
        </is>
      </c>
      <c r="G389" s="1260" t="inlineStr">
        <is>
          <t>Google</t>
        </is>
      </c>
    </row>
    <row r="390" ht="13.5" customHeight="1" s="1232">
      <c r="A390" s="1393" t="n">
        <v>43614</v>
      </c>
      <c r="B390" s="1260" t="inlineStr">
        <is>
          <t>chris brain</t>
        </is>
      </c>
      <c r="C390" s="1260" t="inlineStr">
        <is>
          <t>2. Workshops</t>
        </is>
      </c>
      <c r="D390" s="1260" t="inlineStr">
        <is>
          <t>PayPal</t>
        </is>
      </c>
      <c r="E390" s="1394" t="n">
        <v>75</v>
      </c>
      <c r="F390" s="1260" t="inlineStr">
        <is>
          <t>Poppy Fields</t>
        </is>
      </c>
      <c r="G390" s="1260" t="inlineStr">
        <is>
          <t>Existing</t>
        </is>
      </c>
    </row>
    <row r="391" ht="13.5" customHeight="1" s="1232">
      <c r="A391" s="1393" t="n">
        <v>43613</v>
      </c>
      <c r="B391" s="1260" t="inlineStr">
        <is>
          <t>Rachel Carson</t>
        </is>
      </c>
      <c r="C391" s="1260" t="inlineStr">
        <is>
          <t>2. Workshops</t>
        </is>
      </c>
      <c r="D391" s="1260" t="inlineStr">
        <is>
          <t>Stripe</t>
        </is>
      </c>
      <c r="E391" s="1394" t="n">
        <v>10</v>
      </c>
      <c r="F391" s="1260" t="inlineStr">
        <is>
          <t>Woodland Walk</t>
        </is>
      </c>
      <c r="G391" s="1260" t="inlineStr">
        <is>
          <t>Existing</t>
        </is>
      </c>
    </row>
    <row r="392" ht="13.5" customHeight="1" s="1232">
      <c r="A392" s="1393" t="n">
        <v>43614</v>
      </c>
      <c r="B392" s="1260" t="inlineStr">
        <is>
          <t>Vincenzo Albano</t>
        </is>
      </c>
      <c r="C392" s="1260" t="inlineStr">
        <is>
          <t>1. Courses/masterclasses</t>
        </is>
      </c>
      <c r="D392" s="1260" t="inlineStr">
        <is>
          <t>PayPal</t>
        </is>
      </c>
      <c r="E392" s="1394" t="n">
        <v>395</v>
      </c>
      <c r="F392" s="1260" t="inlineStr">
        <is>
          <t>RPS Course</t>
        </is>
      </c>
      <c r="G392" s="1260" t="inlineStr">
        <is>
          <t>Google</t>
        </is>
      </c>
    </row>
    <row r="393" ht="13.5" customHeight="1" s="1232">
      <c r="A393" s="1393" t="n">
        <v>43613</v>
      </c>
      <c r="B393" s="1260" t="inlineStr">
        <is>
          <t>Anne Watkinson</t>
        </is>
      </c>
      <c r="C393" s="1260" t="inlineStr">
        <is>
          <t>2. Workshops</t>
        </is>
      </c>
      <c r="D393" s="1260" t="inlineStr">
        <is>
          <t>Stripe</t>
        </is>
      </c>
      <c r="E393" s="1394" t="n">
        <v>10</v>
      </c>
      <c r="F393" s="1260" t="inlineStr">
        <is>
          <t>Woodland Walk</t>
        </is>
      </c>
      <c r="G393" s="1260" t="inlineStr">
        <is>
          <t>Existing</t>
        </is>
      </c>
    </row>
    <row r="394" ht="13.5" customHeight="1" s="1232">
      <c r="A394" s="1393" t="n">
        <v>43612</v>
      </c>
      <c r="B394" s="1260" t="inlineStr">
        <is>
          <t>Norman Lowe</t>
        </is>
      </c>
      <c r="C394" s="1260" t="inlineStr">
        <is>
          <t>2. Workshops</t>
        </is>
      </c>
      <c r="D394" s="1260" t="inlineStr">
        <is>
          <t>Stripe</t>
        </is>
      </c>
      <c r="E394" s="1394" t="n">
        <v>75</v>
      </c>
      <c r="F394" s="1260" t="inlineStr">
        <is>
          <t>Poppies</t>
        </is>
      </c>
      <c r="G394" s="1260" t="inlineStr">
        <is>
          <t>Google</t>
        </is>
      </c>
    </row>
    <row r="395" ht="13.5" customHeight="1" s="1232">
      <c r="A395" s="1393" t="n">
        <v>43612</v>
      </c>
      <c r="B395" s="1260" t="inlineStr">
        <is>
          <t>Janet Mills</t>
        </is>
      </c>
      <c r="C395" s="1260" t="inlineStr">
        <is>
          <t>2. Workshops</t>
        </is>
      </c>
      <c r="D395" s="1260" t="inlineStr">
        <is>
          <t>PayPal</t>
        </is>
      </c>
      <c r="E395" s="1394" t="n">
        <v>75</v>
      </c>
      <c r="F395" s="1260" t="inlineStr">
        <is>
          <t>Poppies</t>
        </is>
      </c>
      <c r="G395" s="1260" t="inlineStr">
        <is>
          <t>Existing</t>
        </is>
      </c>
    </row>
    <row r="396" ht="13.5" customHeight="1" s="1232">
      <c r="A396" s="1393" t="n">
        <v>43611</v>
      </c>
      <c r="B396" s="1260" t="inlineStr">
        <is>
          <t>Magdalena Osojca</t>
        </is>
      </c>
      <c r="C396" s="1260" t="inlineStr">
        <is>
          <t>2. Workshops</t>
        </is>
      </c>
      <c r="D396" s="1260" t="inlineStr">
        <is>
          <t>Stripe</t>
        </is>
      </c>
      <c r="E396" s="1394" t="n">
        <v>75</v>
      </c>
      <c r="F396" s="1260" t="inlineStr">
        <is>
          <t>Poppies</t>
        </is>
      </c>
      <c r="G396" s="1260" t="inlineStr">
        <is>
          <t>Facebook</t>
        </is>
      </c>
    </row>
    <row r="397" ht="13.5" customHeight="1" s="1232">
      <c r="A397" s="1393" t="n">
        <v>43608</v>
      </c>
      <c r="B397" s="1260" t="inlineStr">
        <is>
          <t>Nadine Pratt</t>
        </is>
      </c>
      <c r="C397" s="1260" t="inlineStr">
        <is>
          <t>2. Workshops</t>
        </is>
      </c>
      <c r="D397" s="1260" t="inlineStr">
        <is>
          <t>PicknMix</t>
        </is>
      </c>
      <c r="E397" s="1394" t="n">
        <v>119</v>
      </c>
      <c r="F397" s="1260" t="inlineStr">
        <is>
          <t>Various</t>
        </is>
      </c>
      <c r="G397" s="1260" t="inlineStr">
        <is>
          <t>Existing</t>
        </is>
      </c>
    </row>
    <row r="398" ht="13.5" customHeight="1" s="1232">
      <c r="A398" s="1393" t="n">
        <v>43608</v>
      </c>
      <c r="B398" s="1260" t="inlineStr">
        <is>
          <t>Nadine Pratt</t>
        </is>
      </c>
      <c r="C398" s="1260" t="inlineStr">
        <is>
          <t>4. Pick n Mix Out</t>
        </is>
      </c>
      <c r="D398" s="1260" t="inlineStr">
        <is>
          <t>PicknMix</t>
        </is>
      </c>
      <c r="E398" s="1394" t="n">
        <v>-119</v>
      </c>
      <c r="F398" s="1260" t="inlineStr">
        <is>
          <t>Various</t>
        </is>
      </c>
      <c r="G398" s="1260" t="inlineStr">
        <is>
          <t>Existing</t>
        </is>
      </c>
    </row>
    <row r="399" ht="13.5" customHeight="1" s="1232">
      <c r="A399" s="1393" t="n">
        <v>43607</v>
      </c>
      <c r="B399" s="1260" t="inlineStr">
        <is>
          <t>Alex Sampson</t>
        </is>
      </c>
      <c r="C399" s="1260" t="inlineStr">
        <is>
          <t>6. 1-2-1</t>
        </is>
      </c>
      <c r="D399" s="1260" t="inlineStr">
        <is>
          <t>Stripe</t>
        </is>
      </c>
      <c r="E399" s="1394" t="n">
        <v>100</v>
      </c>
      <c r="F399" s="1282" t="inlineStr">
        <is>
          <t>1-2-1</t>
        </is>
      </c>
      <c r="G399" s="1260" t="inlineStr">
        <is>
          <t>Google</t>
        </is>
      </c>
    </row>
    <row r="400" ht="13.5" customHeight="1" s="1232">
      <c r="A400" s="1393" t="n">
        <v>43607</v>
      </c>
      <c r="B400" s="1260" t="inlineStr">
        <is>
          <t>Madelaine Davies</t>
        </is>
      </c>
      <c r="C400" s="1260" t="inlineStr">
        <is>
          <t>7. Gift Vouchers</t>
        </is>
      </c>
      <c r="D400" s="1260" t="inlineStr">
        <is>
          <t>Stripe</t>
        </is>
      </c>
      <c r="E400" s="1394" t="n">
        <v>30</v>
      </c>
      <c r="F400" s="1260" t="inlineStr">
        <is>
          <t>Digital Gift Card</t>
        </is>
      </c>
      <c r="G400" s="1260" t="inlineStr">
        <is>
          <t>Google</t>
        </is>
      </c>
    </row>
    <row r="401" ht="13.5" customHeight="1" s="1232">
      <c r="A401" s="1393" t="n">
        <v>43605</v>
      </c>
      <c r="B401" s="1260" t="inlineStr">
        <is>
          <t>Anurita De</t>
        </is>
      </c>
      <c r="C401" s="1260" t="inlineStr">
        <is>
          <t>2. Workshops</t>
        </is>
      </c>
      <c r="D401" s="1260" t="inlineStr">
        <is>
          <t>PayPal</t>
        </is>
      </c>
      <c r="E401" s="1394" t="n">
        <v>75</v>
      </c>
      <c r="F401" s="1260" t="inlineStr">
        <is>
          <t>Poppy Fields</t>
        </is>
      </c>
      <c r="G401" s="1260" t="inlineStr">
        <is>
          <t>Google</t>
        </is>
      </c>
    </row>
    <row r="402" ht="13.5" customHeight="1" s="1232">
      <c r="A402" s="1393" t="n">
        <v>43605</v>
      </c>
      <c r="B402" s="1260" t="inlineStr">
        <is>
          <t>Joyce James</t>
        </is>
      </c>
      <c r="C402" s="1260" t="inlineStr">
        <is>
          <t>2. Workshops</t>
        </is>
      </c>
      <c r="D402" s="1260" t="inlineStr">
        <is>
          <t>PicknMix</t>
        </is>
      </c>
      <c r="E402" s="1394" t="n">
        <v>960</v>
      </c>
      <c r="F402" s="1260" t="inlineStr">
        <is>
          <t>Dingle - Ireland</t>
        </is>
      </c>
      <c r="G402" s="1260" t="inlineStr">
        <is>
          <t>Existing</t>
        </is>
      </c>
    </row>
    <row r="403" ht="13.5" customHeight="1" s="1232">
      <c r="A403" s="1393" t="n">
        <v>43605</v>
      </c>
      <c r="B403" s="1260" t="inlineStr">
        <is>
          <t>Joyce James</t>
        </is>
      </c>
      <c r="C403" s="1260" t="inlineStr">
        <is>
          <t>4. Pick n Mix Out</t>
        </is>
      </c>
      <c r="D403" s="1260" t="inlineStr">
        <is>
          <t>PicknMix</t>
        </is>
      </c>
      <c r="E403" s="1394" t="n">
        <v>-960</v>
      </c>
      <c r="F403" s="1260" t="inlineStr">
        <is>
          <t>Dingle - Ireland</t>
        </is>
      </c>
      <c r="G403" s="1260" t="inlineStr">
        <is>
          <t>Existing</t>
        </is>
      </c>
    </row>
    <row r="404" ht="13.5" customHeight="1" s="1232">
      <c r="A404" s="1393" t="n">
        <v>43604</v>
      </c>
      <c r="B404" s="1260" t="inlineStr">
        <is>
          <t>Frederick Stubbs</t>
        </is>
      </c>
      <c r="C404" s="1260" t="inlineStr">
        <is>
          <t>2. Workshops</t>
        </is>
      </c>
      <c r="D404" s="1260" t="inlineStr">
        <is>
          <t>Stripe</t>
        </is>
      </c>
      <c r="E404" s="1394" t="n">
        <v>475</v>
      </c>
      <c r="F404" s="1260" t="inlineStr">
        <is>
          <t>Suffolk</t>
        </is>
      </c>
      <c r="G404" s="1260" t="inlineStr">
        <is>
          <t>Existing</t>
        </is>
      </c>
    </row>
    <row r="405" ht="13.5" customHeight="1" s="1232">
      <c r="A405" s="1393" t="n">
        <v>43602</v>
      </c>
      <c r="B405" s="1260" t="inlineStr">
        <is>
          <t>Martin Ormerod</t>
        </is>
      </c>
      <c r="C405" s="1260" t="inlineStr">
        <is>
          <t>2. Workshops</t>
        </is>
      </c>
      <c r="D405" s="1260" t="inlineStr">
        <is>
          <t>Stripe</t>
        </is>
      </c>
      <c r="E405" s="1394" t="n">
        <v>725</v>
      </c>
      <c r="F405" s="1260" t="inlineStr">
        <is>
          <t>Norfolk</t>
        </is>
      </c>
      <c r="G405" s="1260" t="inlineStr">
        <is>
          <t>Google</t>
        </is>
      </c>
    </row>
    <row r="406" ht="13.5" customHeight="1" s="1232">
      <c r="A406" s="1393" t="n">
        <v>43602</v>
      </c>
      <c r="B406" s="1260" t="inlineStr">
        <is>
          <t>Sarah Neville</t>
        </is>
      </c>
      <c r="C406" s="1260" t="inlineStr">
        <is>
          <t>2. Workshops</t>
        </is>
      </c>
      <c r="D406" s="1260" t="inlineStr">
        <is>
          <t>PayPal</t>
        </is>
      </c>
      <c r="E406" s="1394" t="n">
        <v>75</v>
      </c>
      <c r="F406" s="1260" t="inlineStr">
        <is>
          <t>Poppy Fields</t>
        </is>
      </c>
      <c r="G406" s="1260" t="inlineStr">
        <is>
          <t>Facebook</t>
        </is>
      </c>
    </row>
    <row r="407" ht="13.5" customHeight="1" s="1232">
      <c r="A407" s="1393" t="n">
        <v>43602</v>
      </c>
      <c r="B407" s="1260" t="inlineStr">
        <is>
          <t>Peter Hagger</t>
        </is>
      </c>
      <c r="C407" s="1260" t="inlineStr">
        <is>
          <t>2. Workshops</t>
        </is>
      </c>
      <c r="D407" s="1260" t="inlineStr">
        <is>
          <t>Stripe</t>
        </is>
      </c>
      <c r="E407" s="1394" t="n">
        <v>725</v>
      </c>
      <c r="F407" s="1260" t="inlineStr">
        <is>
          <t>Norfolk</t>
        </is>
      </c>
      <c r="G407" s="1260" t="inlineStr">
        <is>
          <t>Existing</t>
        </is>
      </c>
    </row>
    <row r="408" ht="13.5" customHeight="1" s="1232">
      <c r="A408" s="1393" t="n">
        <v>43602</v>
      </c>
      <c r="B408" s="1260" t="inlineStr">
        <is>
          <t>david kearns</t>
        </is>
      </c>
      <c r="C408" s="1260" t="inlineStr">
        <is>
          <t>1. Courses/masterclasses</t>
        </is>
      </c>
      <c r="D408" s="1260" t="inlineStr">
        <is>
          <t>Stripe</t>
        </is>
      </c>
      <c r="E408" s="1394" t="n">
        <v>20</v>
      </c>
      <c r="F408" s="1260" t="inlineStr">
        <is>
          <t>Get Off Auto</t>
        </is>
      </c>
      <c r="G408" s="1260" t="inlineStr">
        <is>
          <t>Google</t>
        </is>
      </c>
    </row>
    <row r="409" ht="13.5" customHeight="1" s="1232">
      <c r="A409" s="1393" t="n">
        <v>43601</v>
      </c>
      <c r="B409" s="1260" t="inlineStr">
        <is>
          <t>MAHENDRA DABHI</t>
        </is>
      </c>
      <c r="C409" s="1260" t="inlineStr">
        <is>
          <t>2. Workshops</t>
        </is>
      </c>
      <c r="D409" s="1260" t="inlineStr">
        <is>
          <t>Stripe</t>
        </is>
      </c>
      <c r="E409" s="1394" t="n">
        <v>10</v>
      </c>
      <c r="F409" s="1260" t="inlineStr">
        <is>
          <t>Woodland Walk</t>
        </is>
      </c>
      <c r="G409" s="1260" t="inlineStr">
        <is>
          <t>Existing</t>
        </is>
      </c>
    </row>
    <row r="410" ht="13.5" customHeight="1" s="1232">
      <c r="A410" s="1393" t="n">
        <v>43599</v>
      </c>
      <c r="B410" s="1260" t="inlineStr">
        <is>
          <t>Anne Watkinson</t>
        </is>
      </c>
      <c r="C410" s="1260" t="inlineStr">
        <is>
          <t>6. 1-2-1</t>
        </is>
      </c>
      <c r="D410" s="1260" t="inlineStr">
        <is>
          <t>Bank</t>
        </is>
      </c>
      <c r="E410" s="1394" t="n">
        <v>235</v>
      </c>
      <c r="F410" s="1282" t="inlineStr">
        <is>
          <t>121's on LR</t>
        </is>
      </c>
      <c r="G410" s="1260" t="inlineStr">
        <is>
          <t>Existing</t>
        </is>
      </c>
    </row>
    <row r="411" ht="13.5" customHeight="1" s="1232">
      <c r="A411" s="1393" t="n">
        <v>43599</v>
      </c>
      <c r="B411" s="1260" t="inlineStr">
        <is>
          <t>Harriet Bowley</t>
        </is>
      </c>
      <c r="C411" s="1260" t="inlineStr">
        <is>
          <t>2. Workshops</t>
        </is>
      </c>
      <c r="D411" s="1260" t="inlineStr">
        <is>
          <t>PayPal</t>
        </is>
      </c>
      <c r="E411" s="1394" t="n">
        <v>675</v>
      </c>
      <c r="F411" s="1260" t="inlineStr">
        <is>
          <t>Norfolk</t>
        </is>
      </c>
      <c r="G411" s="1260" t="inlineStr">
        <is>
          <t>Existing</t>
        </is>
      </c>
    </row>
    <row r="412" ht="13.5" customHeight="1" s="1232">
      <c r="A412" s="1393" t="n">
        <v>43599</v>
      </c>
      <c r="B412" s="1260" t="inlineStr">
        <is>
          <t>James Parker</t>
        </is>
      </c>
      <c r="C412" s="1260" t="inlineStr">
        <is>
          <t>2. Workshops</t>
        </is>
      </c>
      <c r="D412" s="1260" t="inlineStr">
        <is>
          <t>PayPal</t>
        </is>
      </c>
      <c r="E412" s="1394" t="n">
        <v>675</v>
      </c>
      <c r="F412" s="1260" t="inlineStr">
        <is>
          <t>Norfolk</t>
        </is>
      </c>
      <c r="G412" s="1260" t="inlineStr">
        <is>
          <t>Google</t>
        </is>
      </c>
    </row>
    <row r="413" ht="13.5" customHeight="1" s="1232">
      <c r="A413" s="1393" t="n">
        <v>43593</v>
      </c>
      <c r="B413" s="1260" t="inlineStr">
        <is>
          <t>Laura Davies</t>
        </is>
      </c>
      <c r="C413" s="1260" t="inlineStr">
        <is>
          <t>2. Workshops</t>
        </is>
      </c>
      <c r="D413" s="1260" t="inlineStr">
        <is>
          <t>Stripe</t>
        </is>
      </c>
      <c r="E413" s="1394" t="n">
        <v>75</v>
      </c>
      <c r="F413" s="1260" t="inlineStr">
        <is>
          <t>Poppies</t>
        </is>
      </c>
      <c r="G413" s="1260" t="inlineStr">
        <is>
          <t>Google</t>
        </is>
      </c>
    </row>
    <row r="414" ht="13.5" customHeight="1" s="1232">
      <c r="A414" s="1393" t="n">
        <v>43592</v>
      </c>
      <c r="B414" s="1260" t="inlineStr">
        <is>
          <t>Marilyn Peddle</t>
        </is>
      </c>
      <c r="C414" s="1260" t="inlineStr">
        <is>
          <t>2. Workshops</t>
        </is>
      </c>
      <c r="D414" s="1260" t="inlineStr">
        <is>
          <t>PayPal</t>
        </is>
      </c>
      <c r="E414" s="1394" t="n">
        <v>99</v>
      </c>
      <c r="F414" s="1260" t="inlineStr">
        <is>
          <t>Lavendar Shoot</t>
        </is>
      </c>
      <c r="G414" s="1260" t="inlineStr">
        <is>
          <t>Google</t>
        </is>
      </c>
    </row>
    <row r="415" ht="13.5" customHeight="1" s="1232">
      <c r="A415" s="1393" t="n">
        <v>43590</v>
      </c>
      <c r="B415" s="1260" t="inlineStr">
        <is>
          <t>David Shemilt</t>
        </is>
      </c>
      <c r="C415" s="1260" t="inlineStr">
        <is>
          <t>1. Courses/masterclasses</t>
        </is>
      </c>
      <c r="D415" s="1260" t="inlineStr">
        <is>
          <t>PayPal</t>
        </is>
      </c>
      <c r="E415" s="1394" t="n">
        <v>20</v>
      </c>
      <c r="F415" s="1260" t="inlineStr">
        <is>
          <t>Get Off Auto</t>
        </is>
      </c>
      <c r="G415" s="1260" t="inlineStr">
        <is>
          <t>Google</t>
        </is>
      </c>
    </row>
    <row r="416" ht="13.5" customHeight="1" s="1232">
      <c r="A416" s="1393" t="n">
        <v>43588</v>
      </c>
      <c r="B416" s="1260" t="inlineStr">
        <is>
          <t>Alan Cross</t>
        </is>
      </c>
      <c r="C416" s="1260" t="inlineStr">
        <is>
          <t>6. 1-2-1</t>
        </is>
      </c>
      <c r="D416" s="1260" t="inlineStr">
        <is>
          <t>Stripe</t>
        </is>
      </c>
      <c r="E416" s="1394" t="n">
        <v>360</v>
      </c>
      <c r="F416" s="1260" t="inlineStr">
        <is>
          <t>4 x 2hr 1-2-1 Sessions</t>
        </is>
      </c>
      <c r="G416" s="1260" t="inlineStr">
        <is>
          <t>Existing</t>
        </is>
      </c>
    </row>
    <row r="417" ht="13.5" customHeight="1" s="1232">
      <c r="A417" s="1393" t="n">
        <v>43588</v>
      </c>
      <c r="B417" s="1260" t="inlineStr">
        <is>
          <t>Maureen Bradley</t>
        </is>
      </c>
      <c r="C417" s="1260" t="inlineStr">
        <is>
          <t>1. Courses/masterclasses</t>
        </is>
      </c>
      <c r="D417" s="1260" t="inlineStr">
        <is>
          <t>Stripe</t>
        </is>
      </c>
      <c r="E417" s="1394" t="n">
        <v>400</v>
      </c>
      <c r="F417" s="1260" t="inlineStr">
        <is>
          <t>Beginners Course Soli</t>
        </is>
      </c>
      <c r="G417" s="1260" t="inlineStr">
        <is>
          <t>Existing</t>
        </is>
      </c>
    </row>
    <row r="418" ht="13.5" customHeight="1" s="1232">
      <c r="A418" s="1393" t="n">
        <v>38386</v>
      </c>
      <c r="B418" s="1260" t="inlineStr">
        <is>
          <t>James C Gibbs</t>
        </is>
      </c>
      <c r="C418" s="1260" t="inlineStr">
        <is>
          <t>2. Workshops</t>
        </is>
      </c>
      <c r="D418" s="1260" t="inlineStr">
        <is>
          <t>Stripe</t>
        </is>
      </c>
      <c r="E418" s="1394" t="n">
        <v>99</v>
      </c>
      <c r="F418" s="1260" t="inlineStr">
        <is>
          <t>Batsford Macro</t>
        </is>
      </c>
      <c r="G418" s="1260" t="inlineStr">
        <is>
          <t>Batsford</t>
        </is>
      </c>
    </row>
    <row r="419" ht="13.5" customHeight="1" s="1232">
      <c r="A419" s="1393" t="n">
        <v>43587</v>
      </c>
      <c r="B419" s="1260" t="inlineStr">
        <is>
          <t>Janice Jordan</t>
        </is>
      </c>
      <c r="C419" s="1260" t="inlineStr">
        <is>
          <t>2. Workshops</t>
        </is>
      </c>
      <c r="D419" s="1260" t="inlineStr">
        <is>
          <t>Bank</t>
        </is>
      </c>
      <c r="E419" s="1394" t="n">
        <v>10</v>
      </c>
      <c r="F419" s="1260" t="inlineStr">
        <is>
          <t>Woodland Walk</t>
        </is>
      </c>
      <c r="G419" s="1260" t="inlineStr">
        <is>
          <t>Existing</t>
        </is>
      </c>
    </row>
    <row r="420" ht="13.5" customHeight="1" s="1232">
      <c r="A420" s="1393" t="n">
        <v>43587</v>
      </c>
      <c r="B420" s="1260" t="inlineStr">
        <is>
          <t>Lesley-Ann Collins</t>
        </is>
      </c>
      <c r="C420" s="1260" t="inlineStr">
        <is>
          <t>2. Workshops</t>
        </is>
      </c>
      <c r="D420" s="1260" t="inlineStr">
        <is>
          <t>PayPal</t>
        </is>
      </c>
      <c r="E420" s="1394" t="n">
        <v>75</v>
      </c>
      <c r="F420" s="1260" t="inlineStr">
        <is>
          <t>Poppy Fields</t>
        </is>
      </c>
      <c r="G420" s="1260" t="inlineStr">
        <is>
          <t>Google</t>
        </is>
      </c>
    </row>
    <row r="421" ht="13.5" customHeight="1" s="1232">
      <c r="A421" s="1393" t="n">
        <v>43586</v>
      </c>
      <c r="B421" s="1260" t="inlineStr">
        <is>
          <t>May Pick N Mix</t>
        </is>
      </c>
      <c r="C421" s="1255" t="inlineStr">
        <is>
          <t>3. Pick n Mix Inc</t>
        </is>
      </c>
      <c r="D421" s="1255" t="inlineStr">
        <is>
          <t>Various</t>
        </is>
      </c>
      <c r="E421" s="1261" t="n">
        <v>1105</v>
      </c>
      <c r="F421" s="1255" t="inlineStr">
        <is>
          <t>Pick N Mix Payments</t>
        </is>
      </c>
      <c r="G421" s="1255" t="inlineStr">
        <is>
          <t>Existing</t>
        </is>
      </c>
    </row>
    <row r="422" ht="13.5" customHeight="1" s="1232">
      <c r="A422" s="1393" t="n">
        <v>43586</v>
      </c>
      <c r="B422" s="1260" t="inlineStr">
        <is>
          <t>May Mentoring</t>
        </is>
      </c>
      <c r="C422" s="1255" t="inlineStr">
        <is>
          <t>5. Mentoring</t>
        </is>
      </c>
      <c r="D422" s="1255" t="inlineStr">
        <is>
          <t>Various</t>
        </is>
      </c>
      <c r="E422" s="1261" t="n">
        <v>80</v>
      </c>
      <c r="F422" s="1255" t="inlineStr">
        <is>
          <t>Mentoring Subs</t>
        </is>
      </c>
      <c r="G422" s="1255" t="inlineStr">
        <is>
          <t>Existing</t>
        </is>
      </c>
    </row>
    <row r="423" ht="13.5" customHeight="1" s="1232">
      <c r="A423" s="1393" t="n"/>
      <c r="B423" s="1260" t="n"/>
      <c r="C423" s="1260" t="n"/>
      <c r="D423" s="1260" t="n"/>
      <c r="E423" s="1394" t="n"/>
      <c r="F423" s="1260" t="n"/>
      <c r="G423" s="1260" t="n"/>
    </row>
    <row r="424" ht="13.5" customHeight="1" s="1232">
      <c r="A424" s="1393" t="n"/>
      <c r="B424" s="1260" t="n"/>
      <c r="C424" s="1260" t="n"/>
      <c r="D424" s="1260" t="n"/>
      <c r="E424" s="1394" t="n"/>
      <c r="F424" s="1260" t="n"/>
      <c r="G424" s="1260" t="n"/>
    </row>
    <row r="425" ht="13.5" customHeight="1" s="1232">
      <c r="A425" s="1393" t="n">
        <v>43585</v>
      </c>
      <c r="B425" s="1260" t="inlineStr">
        <is>
          <t>Maureen Bradley</t>
        </is>
      </c>
      <c r="C425" s="1260" t="inlineStr">
        <is>
          <t>6. 1-2-1</t>
        </is>
      </c>
      <c r="D425" s="1260" t="inlineStr">
        <is>
          <t>PayPal</t>
        </is>
      </c>
      <c r="E425" s="1394" t="n">
        <v>195</v>
      </c>
      <c r="F425" s="1282" t="inlineStr">
        <is>
          <t>1-2-1</t>
        </is>
      </c>
      <c r="G425" s="1260" t="inlineStr">
        <is>
          <t>Facebook</t>
        </is>
      </c>
    </row>
    <row r="426" ht="13.5" customHeight="1" s="1232">
      <c r="A426" s="1393" t="n">
        <v>43585</v>
      </c>
      <c r="B426" s="1260" t="inlineStr">
        <is>
          <t>Heather Powell</t>
        </is>
      </c>
      <c r="C426" s="1260" t="inlineStr">
        <is>
          <t>1. Courses/masterclasses</t>
        </is>
      </c>
      <c r="D426" s="1260" t="inlineStr">
        <is>
          <t>PicknMix</t>
        </is>
      </c>
      <c r="E426" s="1394" t="n">
        <v>250</v>
      </c>
      <c r="F426" s="1260" t="inlineStr">
        <is>
          <t>Lightroom Course Ext</t>
        </is>
      </c>
      <c r="G426" s="1260" t="inlineStr">
        <is>
          <t>Existing</t>
        </is>
      </c>
    </row>
    <row r="427" ht="13.5" customHeight="1" s="1232">
      <c r="A427" s="1393" t="n">
        <v>43585</v>
      </c>
      <c r="B427" s="1260" t="inlineStr">
        <is>
          <t>Heather Powell</t>
        </is>
      </c>
      <c r="C427" s="1260" t="inlineStr">
        <is>
          <t>4. Pick n Mix Out</t>
        </is>
      </c>
      <c r="D427" s="1260" t="inlineStr">
        <is>
          <t>PicknMix</t>
        </is>
      </c>
      <c r="E427" s="1394" t="n">
        <v>-250</v>
      </c>
      <c r="F427" s="1260" t="inlineStr">
        <is>
          <t>Lightroom Course Ext</t>
        </is>
      </c>
      <c r="G427" s="1260" t="inlineStr">
        <is>
          <t>Existing</t>
        </is>
      </c>
    </row>
    <row r="428" ht="13.5" customHeight="1" s="1232">
      <c r="A428" s="1393" t="n">
        <v>43585</v>
      </c>
      <c r="B428" s="1260" t="inlineStr">
        <is>
          <t>Francis Peckham</t>
        </is>
      </c>
      <c r="C428" s="1260" t="inlineStr">
        <is>
          <t>6. 1-2-1</t>
        </is>
      </c>
      <c r="D428" s="1260" t="inlineStr">
        <is>
          <t>Stripe</t>
        </is>
      </c>
      <c r="E428" s="1394" t="n">
        <v>65</v>
      </c>
      <c r="F428" s="1282" t="inlineStr">
        <is>
          <t>1-2-1</t>
        </is>
      </c>
      <c r="G428" s="1260" t="inlineStr">
        <is>
          <t>Existing</t>
        </is>
      </c>
    </row>
    <row r="429" ht="13.5" customHeight="1" s="1232">
      <c r="A429" s="1393" t="n">
        <v>43585</v>
      </c>
      <c r="B429" s="1260" t="inlineStr">
        <is>
          <t>Francis Peckham</t>
        </is>
      </c>
      <c r="C429" s="1260" t="inlineStr">
        <is>
          <t>2. Workshops</t>
        </is>
      </c>
      <c r="D429" s="1260" t="inlineStr">
        <is>
          <t>Stripe</t>
        </is>
      </c>
      <c r="E429" s="1394" t="n">
        <v>75</v>
      </c>
      <c r="F429" s="1260" t="inlineStr">
        <is>
          <t>Poppy Fields</t>
        </is>
      </c>
      <c r="G429" s="1260" t="inlineStr">
        <is>
          <t>Existing</t>
        </is>
      </c>
    </row>
    <row r="430" ht="13.5" customHeight="1" s="1232">
      <c r="A430" s="1393" t="n">
        <v>43584</v>
      </c>
      <c r="B430" s="1260" t="inlineStr">
        <is>
          <t>Chris Parker</t>
        </is>
      </c>
      <c r="C430" s="1260" t="inlineStr">
        <is>
          <t>2. Workshops</t>
        </is>
      </c>
      <c r="D430" s="1260" t="inlineStr">
        <is>
          <t>Stripe</t>
        </is>
      </c>
      <c r="E430" s="1394" t="n">
        <v>20</v>
      </c>
      <c r="F430" s="1260" t="inlineStr">
        <is>
          <t>Woodland Walk</t>
        </is>
      </c>
      <c r="G430" s="1260" t="inlineStr">
        <is>
          <t>Existing</t>
        </is>
      </c>
    </row>
    <row r="431" ht="13.5" customHeight="1" s="1232">
      <c r="A431" s="1393" t="n">
        <v>43584</v>
      </c>
      <c r="B431" s="1260" t="inlineStr">
        <is>
          <t>Jason Bevis</t>
        </is>
      </c>
      <c r="C431" s="1260" t="inlineStr">
        <is>
          <t>7. Gift Vouchers</t>
        </is>
      </c>
      <c r="D431" s="1260" t="inlineStr">
        <is>
          <t>Stripe</t>
        </is>
      </c>
      <c r="E431" s="1394" t="n">
        <v>30</v>
      </c>
      <c r="F431" s="1260" t="inlineStr">
        <is>
          <t>Digital Gift Card</t>
        </is>
      </c>
      <c r="G431" s="1260" t="inlineStr">
        <is>
          <t>Google</t>
        </is>
      </c>
    </row>
    <row r="432" ht="13.5" customHeight="1" s="1232">
      <c r="A432" s="1393" t="n">
        <v>43583</v>
      </c>
      <c r="B432" s="1260" t="inlineStr">
        <is>
          <t>Ashleigh Hayes</t>
        </is>
      </c>
      <c r="C432" s="1260" t="inlineStr">
        <is>
          <t>1. Courses/masterclasses</t>
        </is>
      </c>
      <c r="D432" s="1260" t="inlineStr">
        <is>
          <t>PayPal</t>
        </is>
      </c>
      <c r="E432" s="1394" t="n">
        <v>250</v>
      </c>
      <c r="F432" s="1260" t="inlineStr">
        <is>
          <t>5 wk Beginners Course</t>
        </is>
      </c>
      <c r="G432" s="1260" t="inlineStr">
        <is>
          <t>Existing</t>
        </is>
      </c>
    </row>
    <row r="433" ht="13.5" customHeight="1" s="1232">
      <c r="A433" s="1393" t="n">
        <v>43581</v>
      </c>
      <c r="B433" s="1260" t="inlineStr">
        <is>
          <t>Toby Phillips</t>
        </is>
      </c>
      <c r="C433" s="1260" t="inlineStr">
        <is>
          <t>1. Courses/masterclasses</t>
        </is>
      </c>
      <c r="D433" s="1260" t="inlineStr">
        <is>
          <t>Stripe</t>
        </is>
      </c>
      <c r="E433" s="1394" t="n">
        <v>250</v>
      </c>
      <c r="F433" s="1260" t="inlineStr">
        <is>
          <t>LR Course Soli</t>
        </is>
      </c>
      <c r="G433" s="1260" t="inlineStr">
        <is>
          <t>Existing</t>
        </is>
      </c>
    </row>
    <row r="434" ht="13.5" customHeight="1" s="1232">
      <c r="A434" s="1393" t="n">
        <v>43580</v>
      </c>
      <c r="B434" s="1260" t="inlineStr">
        <is>
          <t>Diana Richards</t>
        </is>
      </c>
      <c r="C434" s="1260" t="inlineStr">
        <is>
          <t>2. Workshops</t>
        </is>
      </c>
      <c r="D434" s="1260" t="inlineStr">
        <is>
          <t>PayPal</t>
        </is>
      </c>
      <c r="E434" s="1394" t="n">
        <v>99</v>
      </c>
      <c r="F434" s="1260" t="inlineStr">
        <is>
          <t>Bluebells</t>
        </is>
      </c>
      <c r="G434" s="1260" t="inlineStr">
        <is>
          <t>Existing</t>
        </is>
      </c>
    </row>
    <row r="435" ht="13.5" customHeight="1" s="1232">
      <c r="A435" s="1393" t="n">
        <v>43580</v>
      </c>
      <c r="B435" s="1260" t="inlineStr">
        <is>
          <t>Janice Jordan</t>
        </is>
      </c>
      <c r="C435" s="1260" t="inlineStr">
        <is>
          <t>2. Workshops</t>
        </is>
      </c>
      <c r="D435" s="1260" t="inlineStr">
        <is>
          <t>Bank</t>
        </is>
      </c>
      <c r="E435" s="1394" t="n">
        <v>99</v>
      </c>
      <c r="F435" s="1260" t="inlineStr">
        <is>
          <t>Bluebells</t>
        </is>
      </c>
      <c r="G435" s="1260" t="inlineStr">
        <is>
          <t>Existing</t>
        </is>
      </c>
    </row>
    <row r="436" ht="13.5" customHeight="1" s="1232">
      <c r="A436" s="1393" t="n">
        <v>43580</v>
      </c>
      <c r="B436" s="1260" t="inlineStr">
        <is>
          <t>Darren Isaac</t>
        </is>
      </c>
      <c r="C436" s="1260" t="inlineStr">
        <is>
          <t>2. Workshops</t>
        </is>
      </c>
      <c r="D436" s="1260" t="inlineStr">
        <is>
          <t>Stripe</t>
        </is>
      </c>
      <c r="E436" s="1394" t="n">
        <v>198</v>
      </c>
      <c r="F436" s="1260" t="inlineStr">
        <is>
          <t>Burnham Sunset</t>
        </is>
      </c>
      <c r="G436" s="1260" t="inlineStr">
        <is>
          <t>Google</t>
        </is>
      </c>
    </row>
    <row r="437" ht="13.5" customHeight="1" s="1232">
      <c r="A437" s="1393" t="n">
        <v>43579</v>
      </c>
      <c r="B437" s="1260" t="inlineStr">
        <is>
          <t>James Lynch</t>
        </is>
      </c>
      <c r="C437" s="1260" t="inlineStr">
        <is>
          <t>2. Workshops</t>
        </is>
      </c>
      <c r="D437" s="1260" t="inlineStr">
        <is>
          <t>PicknMix</t>
        </is>
      </c>
      <c r="E437" s="1394" t="n">
        <v>63.75</v>
      </c>
      <c r="F437" s="1260" t="inlineStr">
        <is>
          <t>LR Course Soli</t>
        </is>
      </c>
      <c r="G437" s="1260" t="inlineStr">
        <is>
          <t>Existing</t>
        </is>
      </c>
    </row>
    <row r="438" ht="13.5" customHeight="1" s="1232">
      <c r="A438" s="1393" t="n">
        <v>43579</v>
      </c>
      <c r="B438" s="1260" t="inlineStr">
        <is>
          <t>James Lynch</t>
        </is>
      </c>
      <c r="C438" s="1260" t="inlineStr">
        <is>
          <t>4. Pick n Mix Out</t>
        </is>
      </c>
      <c r="D438" s="1260" t="inlineStr">
        <is>
          <t>PicknMix</t>
        </is>
      </c>
      <c r="E438" s="1394" t="n">
        <v>-63.75</v>
      </c>
      <c r="F438" s="1260" t="inlineStr">
        <is>
          <t>LR Course Soli</t>
        </is>
      </c>
      <c r="G438" s="1260" t="inlineStr">
        <is>
          <t>Existing</t>
        </is>
      </c>
    </row>
    <row r="439" ht="13.5" customHeight="1" s="1232">
      <c r="A439" s="1393" t="n">
        <v>43579</v>
      </c>
      <c r="B439" s="1260" t="inlineStr">
        <is>
          <t>James Lynch</t>
        </is>
      </c>
      <c r="C439" s="1260" t="inlineStr">
        <is>
          <t>1. Courses/masterclasses</t>
        </is>
      </c>
      <c r="D439" s="1260" t="inlineStr">
        <is>
          <t>PicknMix</t>
        </is>
      </c>
      <c r="E439" s="1394" t="n">
        <v>212.5</v>
      </c>
      <c r="F439" s="1260" t="inlineStr">
        <is>
          <t>LR Course Soli</t>
        </is>
      </c>
      <c r="G439" s="1260" t="inlineStr">
        <is>
          <t>Existing</t>
        </is>
      </c>
    </row>
    <row r="440" ht="13.5" customHeight="1" s="1232">
      <c r="A440" s="1393" t="n">
        <v>43579</v>
      </c>
      <c r="B440" s="1260" t="inlineStr">
        <is>
          <t>James Lynch</t>
        </is>
      </c>
      <c r="C440" s="1260" t="inlineStr">
        <is>
          <t>4. Pick n Mix Out</t>
        </is>
      </c>
      <c r="D440" s="1260" t="inlineStr">
        <is>
          <t>PicknMix</t>
        </is>
      </c>
      <c r="E440" s="1394" t="n">
        <v>-212.5</v>
      </c>
      <c r="F440" s="1260" t="inlineStr">
        <is>
          <t>LR Course Soli</t>
        </is>
      </c>
      <c r="G440" s="1260" t="inlineStr">
        <is>
          <t>Existing</t>
        </is>
      </c>
    </row>
    <row r="441" ht="13.5" customHeight="1" s="1232">
      <c r="A441" s="1393" t="n">
        <v>43578</v>
      </c>
      <c r="B441" s="1260" t="inlineStr">
        <is>
          <t>James Lynch</t>
        </is>
      </c>
      <c r="C441" s="1260" t="inlineStr">
        <is>
          <t>3. Pick n Mix Inc</t>
        </is>
      </c>
      <c r="D441" s="1260" t="inlineStr">
        <is>
          <t>Stripe</t>
        </is>
      </c>
      <c r="E441" s="1394" t="n">
        <v>187.5</v>
      </c>
      <c r="F441" s="1260" t="inlineStr">
        <is>
          <t>New PnM Plan</t>
        </is>
      </c>
      <c r="G441" s="1260" t="inlineStr">
        <is>
          <t>Existing</t>
        </is>
      </c>
    </row>
    <row r="442" ht="13.5" customHeight="1" s="1232">
      <c r="A442" s="1393" t="n">
        <v>43577</v>
      </c>
      <c r="B442" s="1260" t="inlineStr">
        <is>
          <t>Emma Fellows</t>
        </is>
      </c>
      <c r="C442" s="1260" t="inlineStr">
        <is>
          <t>1. Courses/masterclasses</t>
        </is>
      </c>
      <c r="D442" s="1260" t="inlineStr">
        <is>
          <t>PayPal</t>
        </is>
      </c>
      <c r="E442" s="1394" t="n">
        <v>250</v>
      </c>
      <c r="F442" s="1260" t="inlineStr">
        <is>
          <t>5 wk Beginners Course</t>
        </is>
      </c>
      <c r="G442" s="1260" t="inlineStr">
        <is>
          <t>Google</t>
        </is>
      </c>
    </row>
    <row r="443" ht="13.5" customHeight="1" s="1232">
      <c r="A443" s="1393" t="n">
        <v>43574</v>
      </c>
      <c r="B443" s="1260" t="inlineStr">
        <is>
          <t>Amelia</t>
        </is>
      </c>
      <c r="C443" s="1260" t="inlineStr">
        <is>
          <t>1. Courses/masterclasses</t>
        </is>
      </c>
      <c r="D443" s="1260" t="inlineStr">
        <is>
          <t>Stripe</t>
        </is>
      </c>
      <c r="E443" s="1394" t="n">
        <v>250</v>
      </c>
      <c r="F443" s="1260" t="inlineStr">
        <is>
          <t>5 wk Beginners Course</t>
        </is>
      </c>
      <c r="G443" s="1260" t="inlineStr">
        <is>
          <t>Google</t>
        </is>
      </c>
    </row>
    <row r="444" ht="13.5" customHeight="1" s="1232">
      <c r="A444" s="1393" t="n">
        <v>43573</v>
      </c>
      <c r="B444" s="1260" t="inlineStr">
        <is>
          <t>Janice Jordan</t>
        </is>
      </c>
      <c r="C444" s="1260" t="inlineStr">
        <is>
          <t>2. Workshops</t>
        </is>
      </c>
      <c r="D444" s="1260" t="inlineStr">
        <is>
          <t>PicknMix</t>
        </is>
      </c>
      <c r="E444" s="1394" t="n">
        <v>403.75</v>
      </c>
      <c r="F444" s="1260" t="inlineStr">
        <is>
          <t>Hartland Quay</t>
        </is>
      </c>
      <c r="G444" s="1260" t="inlineStr">
        <is>
          <t>Existing</t>
        </is>
      </c>
    </row>
    <row r="445" ht="13.5" customHeight="1" s="1232">
      <c r="A445" s="1393" t="n">
        <v>43573</v>
      </c>
      <c r="B445" s="1260" t="inlineStr">
        <is>
          <t>Janice Jordan</t>
        </is>
      </c>
      <c r="C445" s="1260" t="inlineStr">
        <is>
          <t>4. Pick n Mix Out</t>
        </is>
      </c>
      <c r="D445" s="1260" t="inlineStr">
        <is>
          <t>PicknMix</t>
        </is>
      </c>
      <c r="E445" s="1394" t="n">
        <v>-403.75</v>
      </c>
      <c r="F445" s="1260" t="inlineStr">
        <is>
          <t>Hartland Quay</t>
        </is>
      </c>
      <c r="G445" s="1260" t="inlineStr">
        <is>
          <t>Existing</t>
        </is>
      </c>
    </row>
    <row r="446" ht="13.5" customHeight="1" s="1232">
      <c r="A446" s="1393" t="n">
        <v>43572</v>
      </c>
      <c r="B446" s="1260" t="inlineStr">
        <is>
          <t>Glenys Seal</t>
        </is>
      </c>
      <c r="C446" s="1260" t="inlineStr">
        <is>
          <t>1. Courses/masterclasses</t>
        </is>
      </c>
      <c r="D446" s="1260" t="inlineStr">
        <is>
          <t>Stripe</t>
        </is>
      </c>
      <c r="E446" s="1394" t="n">
        <v>250</v>
      </c>
      <c r="F446" s="1260" t="inlineStr">
        <is>
          <t>Beginners Photo Batsford</t>
        </is>
      </c>
      <c r="G446" s="1260" t="inlineStr">
        <is>
          <t>Batsford</t>
        </is>
      </c>
    </row>
    <row r="447" ht="13.5" customHeight="1" s="1232">
      <c r="A447" s="1393" t="n">
        <v>43572</v>
      </c>
      <c r="B447" s="1260" t="inlineStr">
        <is>
          <t>Michele Harrison</t>
        </is>
      </c>
      <c r="C447" s="1260" t="inlineStr">
        <is>
          <t>1. Courses/masterclasses</t>
        </is>
      </c>
      <c r="D447" s="1260" t="inlineStr">
        <is>
          <t>Stripe</t>
        </is>
      </c>
      <c r="E447" s="1394" t="n">
        <v>250</v>
      </c>
      <c r="F447" s="1260" t="inlineStr">
        <is>
          <t>Beginners Lightroom</t>
        </is>
      </c>
      <c r="G447" s="1260" t="inlineStr">
        <is>
          <t>Existing</t>
        </is>
      </c>
    </row>
    <row r="448" ht="13.5" customHeight="1" s="1232">
      <c r="A448" s="1393" t="n">
        <v>43571</v>
      </c>
      <c r="B448" s="1260" t="inlineStr">
        <is>
          <t>Diana Woodhouse</t>
        </is>
      </c>
      <c r="C448" s="1260" t="inlineStr">
        <is>
          <t>2. Workshops</t>
        </is>
      </c>
      <c r="D448" s="1260" t="inlineStr">
        <is>
          <t>Stripe</t>
        </is>
      </c>
      <c r="E448" s="1394" t="n">
        <v>100</v>
      </c>
      <c r="F448" s="1260" t="inlineStr">
        <is>
          <t>Bluebells</t>
        </is>
      </c>
      <c r="G448" s="1260" t="inlineStr">
        <is>
          <t>Existing</t>
        </is>
      </c>
    </row>
    <row r="449" ht="13.5" customHeight="1" s="1232">
      <c r="A449" s="1393" t="n">
        <v>43571</v>
      </c>
      <c r="B449" s="1260" t="inlineStr">
        <is>
          <t>ESTER RIORDAN</t>
        </is>
      </c>
      <c r="C449" s="1260" t="inlineStr">
        <is>
          <t>2. Workshops</t>
        </is>
      </c>
      <c r="D449" s="1260" t="inlineStr">
        <is>
          <t>Cash</t>
        </is>
      </c>
      <c r="E449" s="1394" t="n">
        <v>99</v>
      </c>
      <c r="F449" s="1260" t="inlineStr">
        <is>
          <t>Bluebells</t>
        </is>
      </c>
      <c r="G449" s="1260" t="inlineStr">
        <is>
          <t>Existing</t>
        </is>
      </c>
    </row>
    <row r="450" ht="13.5" customHeight="1" s="1232">
      <c r="A450" s="1393" t="n">
        <v>43571</v>
      </c>
      <c r="B450" s="1260" t="inlineStr">
        <is>
          <t>ESTER RIORDAN</t>
        </is>
      </c>
      <c r="C450" s="1260" t="inlineStr">
        <is>
          <t>6. 1-2-1</t>
        </is>
      </c>
      <c r="D450" s="1260" t="inlineStr">
        <is>
          <t>PicknMix</t>
        </is>
      </c>
      <c r="E450" s="1394" t="n">
        <v>360</v>
      </c>
      <c r="F450" s="1260" t="inlineStr">
        <is>
          <t>4 for 3 - 1-2-1 Lessons</t>
        </is>
      </c>
      <c r="G450" s="1260" t="inlineStr">
        <is>
          <t>Existing</t>
        </is>
      </c>
    </row>
    <row r="451" ht="13.5" customHeight="1" s="1232">
      <c r="A451" s="1393" t="n">
        <v>43571</v>
      </c>
      <c r="B451" s="1260" t="inlineStr">
        <is>
          <t>ESTER RIORDAN</t>
        </is>
      </c>
      <c r="C451" s="1260" t="inlineStr">
        <is>
          <t>4. Pick n Mix Out</t>
        </is>
      </c>
      <c r="D451" s="1260" t="inlineStr">
        <is>
          <t>PicknMix</t>
        </is>
      </c>
      <c r="E451" s="1394" t="n">
        <v>-360</v>
      </c>
      <c r="F451" s="1260" t="inlineStr">
        <is>
          <t>4 for 3 - 1-2-1 Lessons</t>
        </is>
      </c>
      <c r="G451" s="1260" t="inlineStr">
        <is>
          <t>Existing</t>
        </is>
      </c>
    </row>
    <row r="452" ht="13.5" customHeight="1" s="1232">
      <c r="A452" s="1393" t="n">
        <v>43570</v>
      </c>
      <c r="B452" s="1260" t="inlineStr">
        <is>
          <t>John Perks</t>
        </is>
      </c>
      <c r="C452" s="1260" t="inlineStr">
        <is>
          <t>6. 1-2-1</t>
        </is>
      </c>
      <c r="D452" s="1260" t="inlineStr">
        <is>
          <t>Stripe</t>
        </is>
      </c>
      <c r="E452" s="1394" t="n">
        <v>360</v>
      </c>
      <c r="F452" s="1260" t="inlineStr">
        <is>
          <t>4 for 3 - 1-2-1 Lessons</t>
        </is>
      </c>
      <c r="G452" s="1260" t="inlineStr">
        <is>
          <t>Google</t>
        </is>
      </c>
    </row>
    <row r="453" ht="13.5" customHeight="1" s="1232">
      <c r="A453" s="1393" t="n">
        <v>43568</v>
      </c>
      <c r="B453" s="1260" t="inlineStr">
        <is>
          <t>Sarah Sharland</t>
        </is>
      </c>
      <c r="C453" s="1260" t="inlineStr">
        <is>
          <t>2. Workshops</t>
        </is>
      </c>
      <c r="D453" s="1260" t="inlineStr">
        <is>
          <t>Stripe</t>
        </is>
      </c>
      <c r="E453" s="1394" t="n">
        <v>10</v>
      </c>
      <c r="F453" s="1260" t="inlineStr">
        <is>
          <t>Woodland Walk</t>
        </is>
      </c>
      <c r="G453" s="1260" t="inlineStr">
        <is>
          <t>Google</t>
        </is>
      </c>
    </row>
    <row r="454" ht="13.5" customHeight="1" s="1232">
      <c r="A454" s="1393" t="n">
        <v>43568</v>
      </c>
      <c r="B454" s="1260" t="inlineStr">
        <is>
          <t>Wendy Anthony</t>
        </is>
      </c>
      <c r="C454" s="1260" t="inlineStr">
        <is>
          <t>2. Workshops</t>
        </is>
      </c>
      <c r="D454" s="1260" t="inlineStr">
        <is>
          <t>PayPal</t>
        </is>
      </c>
      <c r="E454" s="1394" t="n">
        <v>20</v>
      </c>
      <c r="F454" s="1260" t="inlineStr">
        <is>
          <t>Woodland Walk</t>
        </is>
      </c>
      <c r="G454" s="1260" t="inlineStr">
        <is>
          <t>Existing</t>
        </is>
      </c>
    </row>
    <row r="455" ht="13.5" customHeight="1" s="1232">
      <c r="A455" s="1393" t="n">
        <v>43568</v>
      </c>
      <c r="B455" s="1255" t="inlineStr">
        <is>
          <t>Yousef Alyamani</t>
        </is>
      </c>
      <c r="C455" s="1260" t="inlineStr">
        <is>
          <t>5. Mentoring</t>
        </is>
      </c>
      <c r="D455" s="1260" t="inlineStr">
        <is>
          <t>Stripe</t>
        </is>
      </c>
      <c r="E455" s="1256" t="n">
        <v>20</v>
      </c>
      <c r="F455" s="1260" t="inlineStr">
        <is>
          <t>Monthly Mentoring</t>
        </is>
      </c>
      <c r="G455" s="1260" t="inlineStr">
        <is>
          <t>Google</t>
        </is>
      </c>
    </row>
    <row r="456" ht="13.5" customHeight="1" s="1232">
      <c r="A456" s="1393" t="n">
        <v>43567</v>
      </c>
      <c r="B456" s="1260" t="inlineStr">
        <is>
          <t>Francis Peckham</t>
        </is>
      </c>
      <c r="C456" s="1260" t="inlineStr">
        <is>
          <t>2. Workshops</t>
        </is>
      </c>
      <c r="D456" s="1260" t="inlineStr">
        <is>
          <t>Stripe</t>
        </is>
      </c>
      <c r="E456" s="1394" t="n">
        <v>99</v>
      </c>
      <c r="F456" s="1260" t="inlineStr">
        <is>
          <t>Bluebells</t>
        </is>
      </c>
      <c r="G456" s="1260" t="inlineStr">
        <is>
          <t>Existing</t>
        </is>
      </c>
    </row>
    <row r="457" ht="13.5" customHeight="1" s="1232">
      <c r="A457" s="1393" t="n">
        <v>43566</v>
      </c>
      <c r="B457" s="1260" t="inlineStr">
        <is>
          <t>Diana Woodhouse</t>
        </is>
      </c>
      <c r="C457" s="1260" t="inlineStr">
        <is>
          <t>2. Workshops</t>
        </is>
      </c>
      <c r="D457" s="1260" t="inlineStr">
        <is>
          <t>Stripe</t>
        </is>
      </c>
      <c r="E457" s="1394" t="n">
        <v>50</v>
      </c>
      <c r="F457" s="1260" t="inlineStr">
        <is>
          <t>Chetserton Windmill Shoots</t>
        </is>
      </c>
      <c r="G457" s="1260" t="inlineStr">
        <is>
          <t>Existing</t>
        </is>
      </c>
    </row>
    <row r="458" ht="13.5" customHeight="1" s="1232">
      <c r="A458" s="1393" t="n">
        <v>43566</v>
      </c>
      <c r="B458" s="1260" t="inlineStr">
        <is>
          <t>ESTER RIORDAN</t>
        </is>
      </c>
      <c r="C458" s="1260" t="inlineStr">
        <is>
          <t>2. Workshops</t>
        </is>
      </c>
      <c r="D458" s="1260" t="inlineStr">
        <is>
          <t>PicknMix</t>
        </is>
      </c>
      <c r="E458" s="1394" t="n">
        <v>67.5</v>
      </c>
      <c r="F458" s="1260" t="inlineStr">
        <is>
          <t>Chetserton Windmill Shoots</t>
        </is>
      </c>
      <c r="G458" s="1260" t="inlineStr">
        <is>
          <t>Existing</t>
        </is>
      </c>
    </row>
    <row r="459" ht="13.5" customHeight="1" s="1232">
      <c r="A459" s="1393" t="n">
        <v>43566</v>
      </c>
      <c r="B459" s="1260" t="inlineStr">
        <is>
          <t>ESTER RIORDAN</t>
        </is>
      </c>
      <c r="C459" s="1260" t="inlineStr">
        <is>
          <t>4. Pick n Mix Out</t>
        </is>
      </c>
      <c r="D459" s="1260" t="inlineStr">
        <is>
          <t>PicknMix</t>
        </is>
      </c>
      <c r="E459" s="1394" t="n">
        <v>-67.5</v>
      </c>
      <c r="F459" s="1260" t="inlineStr">
        <is>
          <t>Chetserton Windmill Shoots</t>
        </is>
      </c>
      <c r="G459" s="1260" t="inlineStr">
        <is>
          <t>Existing</t>
        </is>
      </c>
    </row>
    <row r="460" ht="13.5" customHeight="1" s="1232">
      <c r="A460" s="1393" t="n">
        <v>43565</v>
      </c>
      <c r="B460" s="1260" t="inlineStr">
        <is>
          <t>Jane Martindale</t>
        </is>
      </c>
      <c r="C460" s="1260" t="inlineStr">
        <is>
          <t>7. Gift Vouchers</t>
        </is>
      </c>
      <c r="D460" s="1260" t="inlineStr">
        <is>
          <t>Stripe</t>
        </is>
      </c>
      <c r="E460" s="1394" t="n">
        <v>100</v>
      </c>
      <c r="F460" s="1260" t="inlineStr">
        <is>
          <t>Digital Gift Card</t>
        </is>
      </c>
      <c r="G460" s="1260" t="inlineStr">
        <is>
          <t>Google</t>
        </is>
      </c>
    </row>
    <row r="461" ht="13.5" customHeight="1" s="1232">
      <c r="A461" s="1393" t="n">
        <v>43564</v>
      </c>
      <c r="B461" s="1260" t="inlineStr">
        <is>
          <t>Matthew Ismail</t>
        </is>
      </c>
      <c r="C461" s="1260" t="inlineStr">
        <is>
          <t>2. Workshops</t>
        </is>
      </c>
      <c r="D461" s="1260" t="inlineStr">
        <is>
          <t>Stripe</t>
        </is>
      </c>
      <c r="E461" s="1394" t="n">
        <v>99</v>
      </c>
      <c r="F461" s="1260" t="inlineStr">
        <is>
          <t>Batsford Composition Class</t>
        </is>
      </c>
      <c r="G461" s="1260" t="inlineStr">
        <is>
          <t>Google</t>
        </is>
      </c>
    </row>
    <row r="462" ht="13.5" customHeight="1" s="1232">
      <c r="A462" s="1393" t="n">
        <v>43563</v>
      </c>
      <c r="B462" s="1260" t="inlineStr">
        <is>
          <t>Robert David Halliday</t>
        </is>
      </c>
      <c r="C462" s="1260" t="inlineStr">
        <is>
          <t>1. Courses/masterclasses</t>
        </is>
      </c>
      <c r="D462" s="1260" t="inlineStr">
        <is>
          <t>PayPal</t>
        </is>
      </c>
      <c r="E462" s="1394" t="n">
        <v>50</v>
      </c>
      <c r="F462" s="1260" t="inlineStr">
        <is>
          <t>Lightroom Introduction</t>
        </is>
      </c>
      <c r="G462" s="1260" t="inlineStr">
        <is>
          <t>Google</t>
        </is>
      </c>
    </row>
    <row r="463" ht="13.5" customHeight="1" s="1232">
      <c r="A463" s="1393" t="n">
        <v>43561</v>
      </c>
      <c r="B463" s="1260" t="inlineStr">
        <is>
          <t>Frank Lovett</t>
        </is>
      </c>
      <c r="C463" s="1260" t="inlineStr">
        <is>
          <t>2. Workshops</t>
        </is>
      </c>
      <c r="D463" s="1260" t="inlineStr">
        <is>
          <t>Stripe</t>
        </is>
      </c>
      <c r="E463" s="1394" t="n">
        <v>99</v>
      </c>
      <c r="F463" s="1260" t="inlineStr">
        <is>
          <t>Bluebells</t>
        </is>
      </c>
      <c r="G463" s="1260" t="inlineStr">
        <is>
          <t>Existing</t>
        </is>
      </c>
    </row>
    <row r="464" ht="13.5" customHeight="1" s="1232">
      <c r="A464" s="1393" t="n">
        <v>43561</v>
      </c>
      <c r="B464" s="1260" t="inlineStr">
        <is>
          <t>Jennifer Bpx</t>
        </is>
      </c>
      <c r="C464" s="1260" t="inlineStr">
        <is>
          <t>1. Courses/masterclasses</t>
        </is>
      </c>
      <c r="D464" s="1260" t="inlineStr">
        <is>
          <t>PicknMix</t>
        </is>
      </c>
      <c r="E464" s="1394" t="n">
        <v>45</v>
      </c>
      <c r="F464" s="1260" t="inlineStr">
        <is>
          <t>Lightroom Introduction</t>
        </is>
      </c>
      <c r="G464" s="1260" t="inlineStr">
        <is>
          <t>Existing</t>
        </is>
      </c>
    </row>
    <row r="465" ht="13.5" customHeight="1" s="1232">
      <c r="A465" s="1393" t="n">
        <v>43561</v>
      </c>
      <c r="B465" s="1260" t="inlineStr">
        <is>
          <t>Jennifer Bpx</t>
        </is>
      </c>
      <c r="C465" s="1260" t="inlineStr">
        <is>
          <t>4. Pick n Mix Out</t>
        </is>
      </c>
      <c r="D465" s="1260" t="inlineStr">
        <is>
          <t>PicknMix</t>
        </is>
      </c>
      <c r="E465" s="1394" t="n">
        <v>-45</v>
      </c>
      <c r="F465" s="1260" t="inlineStr">
        <is>
          <t>Lightroom Introduction</t>
        </is>
      </c>
      <c r="G465" s="1260" t="inlineStr">
        <is>
          <t>Existing</t>
        </is>
      </c>
    </row>
    <row r="466" ht="13.5" customHeight="1" s="1232">
      <c r="A466" s="1393" t="n">
        <v>43561</v>
      </c>
      <c r="B466" s="1260" t="inlineStr">
        <is>
          <t>Steve Cole</t>
        </is>
      </c>
      <c r="C466" s="1260" t="inlineStr">
        <is>
          <t>1. Courses/masterclasses</t>
        </is>
      </c>
      <c r="D466" s="1260" t="inlineStr">
        <is>
          <t>Stripe</t>
        </is>
      </c>
      <c r="E466" s="1394" t="n">
        <v>80</v>
      </c>
      <c r="F466" s="1260" t="inlineStr">
        <is>
          <t>Lightroom Introduction</t>
        </is>
      </c>
      <c r="G466" s="1260" t="inlineStr">
        <is>
          <t>Existing</t>
        </is>
      </c>
    </row>
    <row r="467" ht="13.5" customHeight="1" s="1232">
      <c r="A467" s="1393" t="n">
        <v>43560</v>
      </c>
      <c r="B467" s="1260" t="inlineStr">
        <is>
          <t>Fiona Brown</t>
        </is>
      </c>
      <c r="C467" s="1260" t="inlineStr">
        <is>
          <t>2. Workshops</t>
        </is>
      </c>
      <c r="D467" s="1260" t="inlineStr">
        <is>
          <t>PicknMix</t>
        </is>
      </c>
      <c r="E467" s="1394" t="n">
        <v>112.5</v>
      </c>
      <c r="F467" s="1260" t="inlineStr">
        <is>
          <t>Bluebells</t>
        </is>
      </c>
      <c r="G467" s="1260" t="inlineStr">
        <is>
          <t>Existing</t>
        </is>
      </c>
    </row>
    <row r="468" ht="13.5" customHeight="1" s="1232">
      <c r="A468" s="1393" t="n">
        <v>43560</v>
      </c>
      <c r="B468" s="1260" t="inlineStr">
        <is>
          <t>Fiona Brown</t>
        </is>
      </c>
      <c r="C468" s="1260" t="inlineStr">
        <is>
          <t>4. Pick n Mix Out</t>
        </is>
      </c>
      <c r="D468" s="1260" t="inlineStr">
        <is>
          <t>PicknMix</t>
        </is>
      </c>
      <c r="E468" s="1394" t="n">
        <v>-112.5</v>
      </c>
      <c r="F468" s="1260" t="inlineStr">
        <is>
          <t>Bluebells</t>
        </is>
      </c>
      <c r="G468" s="1260" t="inlineStr">
        <is>
          <t>Existing</t>
        </is>
      </c>
    </row>
    <row r="469" ht="13.5" customHeight="1" s="1232">
      <c r="A469" s="1393" t="n">
        <v>43560</v>
      </c>
      <c r="B469" s="1260" t="inlineStr">
        <is>
          <t>Tina Cox</t>
        </is>
      </c>
      <c r="C469" s="1260" t="inlineStr">
        <is>
          <t>2. Workshops</t>
        </is>
      </c>
      <c r="D469" s="1260" t="inlineStr">
        <is>
          <t>PayPal</t>
        </is>
      </c>
      <c r="E469" s="1394" t="n">
        <v>125</v>
      </c>
      <c r="F469" s="1260" t="inlineStr">
        <is>
          <t>Bluebells</t>
        </is>
      </c>
      <c r="G469" s="1260" t="inlineStr">
        <is>
          <t>Facebook</t>
        </is>
      </c>
    </row>
    <row r="470" ht="13.5" customHeight="1" s="1232">
      <c r="A470" s="1393" t="n">
        <v>43559</v>
      </c>
      <c r="B470" s="1260" t="inlineStr">
        <is>
          <t>Catherine Wood</t>
        </is>
      </c>
      <c r="C470" s="1260" t="inlineStr">
        <is>
          <t>1. Courses/masterclasses</t>
        </is>
      </c>
      <c r="D470" s="1260" t="inlineStr">
        <is>
          <t>PayPal</t>
        </is>
      </c>
      <c r="E470" s="1394" t="n">
        <v>50</v>
      </c>
      <c r="F470" s="1260" t="inlineStr">
        <is>
          <t>Lightroom Course Ext</t>
        </is>
      </c>
      <c r="G470" s="1260" t="inlineStr">
        <is>
          <t>Existing</t>
        </is>
      </c>
    </row>
    <row r="471" ht="13.5" customHeight="1" s="1232">
      <c r="A471" s="1393" t="n">
        <v>43559</v>
      </c>
      <c r="B471" s="1260" t="inlineStr">
        <is>
          <t>John Grant</t>
        </is>
      </c>
      <c r="C471" s="1260" t="inlineStr">
        <is>
          <t>10. Other</t>
        </is>
      </c>
      <c r="D471" s="1260" t="inlineStr">
        <is>
          <t>Stripe</t>
        </is>
      </c>
      <c r="E471" s="1394" t="n">
        <v>35</v>
      </c>
      <c r="F471" s="1260" t="inlineStr">
        <is>
          <t>Sensor Clean</t>
        </is>
      </c>
      <c r="G471" s="1260" t="inlineStr">
        <is>
          <t>Existing</t>
        </is>
      </c>
    </row>
    <row r="472" ht="13.5" customHeight="1" s="1232">
      <c r="A472" s="1393" t="n">
        <v>43559</v>
      </c>
      <c r="B472" s="1260" t="inlineStr">
        <is>
          <t>ESTER RIORDAN</t>
        </is>
      </c>
      <c r="C472" s="1260" t="inlineStr">
        <is>
          <t>1. Courses/masterclasses</t>
        </is>
      </c>
      <c r="D472" s="1260" t="inlineStr">
        <is>
          <t>PicknMix</t>
        </is>
      </c>
      <c r="E472" s="1394" t="n">
        <v>355.5</v>
      </c>
      <c r="F472" s="1260" t="inlineStr">
        <is>
          <t>RPS Course</t>
        </is>
      </c>
      <c r="G472" s="1260" t="inlineStr">
        <is>
          <t>Existing</t>
        </is>
      </c>
    </row>
    <row r="473" ht="13.5" customHeight="1" s="1232">
      <c r="A473" s="1393" t="n">
        <v>43559</v>
      </c>
      <c r="B473" s="1260" t="inlineStr">
        <is>
          <t>ESTER RIORDAN</t>
        </is>
      </c>
      <c r="C473" s="1260" t="inlineStr">
        <is>
          <t>4. Pick n Mix Out</t>
        </is>
      </c>
      <c r="D473" s="1260" t="inlineStr">
        <is>
          <t>PicknMix</t>
        </is>
      </c>
      <c r="E473" s="1394" t="n">
        <v>-355.5</v>
      </c>
      <c r="F473" s="1260" t="inlineStr">
        <is>
          <t>RPS Course</t>
        </is>
      </c>
      <c r="G473" s="1260" t="inlineStr">
        <is>
          <t>Existing</t>
        </is>
      </c>
    </row>
    <row r="474" ht="13.5" customHeight="1" s="1232">
      <c r="A474" s="1393" t="n">
        <v>43558</v>
      </c>
      <c r="B474" s="1260" t="inlineStr">
        <is>
          <t>Ruth Hawkins</t>
        </is>
      </c>
      <c r="C474" s="1260" t="inlineStr">
        <is>
          <t>2. Workshops</t>
        </is>
      </c>
      <c r="D474" s="1260" t="inlineStr">
        <is>
          <t>Stripe</t>
        </is>
      </c>
      <c r="E474" s="1394" t="n">
        <v>99</v>
      </c>
      <c r="F474" s="1260" t="inlineStr">
        <is>
          <t>Batsford Composition Class</t>
        </is>
      </c>
      <c r="G474" s="1260" t="inlineStr">
        <is>
          <t>Google</t>
        </is>
      </c>
    </row>
    <row r="475" ht="13.5" customHeight="1" s="1232">
      <c r="A475" s="1393" t="n">
        <v>43558</v>
      </c>
      <c r="B475" s="1260" t="inlineStr">
        <is>
          <t>Celia Pearce</t>
        </is>
      </c>
      <c r="C475" s="1260" t="inlineStr">
        <is>
          <t>7. Gift Vouchers</t>
        </is>
      </c>
      <c r="D475" s="1260" t="inlineStr">
        <is>
          <t>PayPal</t>
        </is>
      </c>
      <c r="E475" s="1394" t="n">
        <v>50</v>
      </c>
      <c r="F475" s="1260" t="inlineStr">
        <is>
          <t>Digital Gift Card</t>
        </is>
      </c>
      <c r="G475" s="1260" t="inlineStr">
        <is>
          <t>Google</t>
        </is>
      </c>
    </row>
    <row r="476" ht="13.5" customHeight="1" s="1232">
      <c r="A476" s="1393" t="n">
        <v>43557</v>
      </c>
      <c r="B476" s="1260" t="inlineStr">
        <is>
          <t>Helen sotheran</t>
        </is>
      </c>
      <c r="C476" s="1260" t="inlineStr">
        <is>
          <t>2. Workshops</t>
        </is>
      </c>
      <c r="D476" s="1260" t="inlineStr">
        <is>
          <t>Stripe</t>
        </is>
      </c>
      <c r="E476" s="1394" t="n">
        <v>99</v>
      </c>
      <c r="F476" s="1260" t="inlineStr">
        <is>
          <t>Bluebells</t>
        </is>
      </c>
      <c r="G476" s="1260" t="inlineStr">
        <is>
          <t>Existing</t>
        </is>
      </c>
    </row>
    <row r="477" ht="13.5" customHeight="1" s="1232">
      <c r="A477" s="1393" t="n">
        <v>43557</v>
      </c>
      <c r="B477" s="1260" t="inlineStr">
        <is>
          <t>Frank Lovett</t>
        </is>
      </c>
      <c r="C477" s="1255" t="inlineStr">
        <is>
          <t>5. Mentoring</t>
        </is>
      </c>
      <c r="D477" s="1260" t="inlineStr">
        <is>
          <t>Stripe</t>
        </is>
      </c>
      <c r="E477" s="1394" t="n">
        <v>20</v>
      </c>
      <c r="F477" s="1260" t="inlineStr">
        <is>
          <t>Monthly Mentoring</t>
        </is>
      </c>
      <c r="G477" s="1260" t="inlineStr">
        <is>
          <t>Google</t>
        </is>
      </c>
    </row>
    <row r="478" ht="13.5" customHeight="1" s="1232">
      <c r="A478" s="1393" t="n">
        <v>43557</v>
      </c>
      <c r="B478" s="1260" t="inlineStr">
        <is>
          <t>ESTER RIORDAN</t>
        </is>
      </c>
      <c r="C478" s="1255" t="inlineStr">
        <is>
          <t>3. Pick n Mix Inc</t>
        </is>
      </c>
      <c r="D478" s="1260" t="inlineStr">
        <is>
          <t>Stripe</t>
        </is>
      </c>
      <c r="E478" s="1394" t="n">
        <v>75</v>
      </c>
      <c r="F478" s="1260" t="inlineStr">
        <is>
          <t>PickNMix Plan</t>
        </is>
      </c>
      <c r="G478" s="1260" t="inlineStr">
        <is>
          <t>Existing</t>
        </is>
      </c>
    </row>
    <row r="479" ht="13.5" customHeight="1" s="1232">
      <c r="A479" s="1393" t="n">
        <v>43556</v>
      </c>
      <c r="B479" s="1260" t="inlineStr">
        <is>
          <t>Jeremy Troth</t>
        </is>
      </c>
      <c r="C479" s="1260" t="inlineStr">
        <is>
          <t>2. Workshops</t>
        </is>
      </c>
      <c r="D479" s="1260" t="inlineStr">
        <is>
          <t>Bank</t>
        </is>
      </c>
      <c r="E479" s="1394" t="n">
        <v>225</v>
      </c>
      <c r="F479" s="1260" t="inlineStr">
        <is>
          <t>Anglesey</t>
        </is>
      </c>
      <c r="G479" s="1260" t="inlineStr">
        <is>
          <t>Existing</t>
        </is>
      </c>
    </row>
    <row r="480" ht="13.5" customHeight="1" s="1232">
      <c r="A480" s="1393" t="n">
        <v>43556</v>
      </c>
      <c r="B480" s="1260" t="inlineStr">
        <is>
          <t>Francis Peckham</t>
        </is>
      </c>
      <c r="C480" s="1260" t="inlineStr">
        <is>
          <t>6. 1-2-1</t>
        </is>
      </c>
      <c r="D480" s="1260" t="inlineStr">
        <is>
          <t>Stripe</t>
        </is>
      </c>
      <c r="E480" s="1394" t="n">
        <v>65</v>
      </c>
      <c r="F480" s="1282" t="inlineStr">
        <is>
          <t>1-2-1</t>
        </is>
      </c>
      <c r="G480" s="1260" t="inlineStr">
        <is>
          <t>Existing</t>
        </is>
      </c>
    </row>
    <row r="481" ht="13.5" customHeight="1" s="1232">
      <c r="A481" s="1393" t="n">
        <v>43556</v>
      </c>
      <c r="B481" s="1260" t="inlineStr">
        <is>
          <t>Chris Parker</t>
        </is>
      </c>
      <c r="C481" s="1260" t="inlineStr">
        <is>
          <t>2. Workshops</t>
        </is>
      </c>
      <c r="D481" s="1260" t="inlineStr">
        <is>
          <t>Cash</t>
        </is>
      </c>
      <c r="E481" s="1394" t="n">
        <v>10</v>
      </c>
      <c r="F481" s="1260" t="inlineStr">
        <is>
          <t>Woodland Walk</t>
        </is>
      </c>
      <c r="G481" s="1260" t="inlineStr">
        <is>
          <t>Existing</t>
        </is>
      </c>
    </row>
    <row r="482" ht="13.5" customHeight="1" s="1232">
      <c r="A482" s="1393" t="n">
        <v>43556</v>
      </c>
      <c r="B482" s="1260" t="inlineStr">
        <is>
          <t>Apr Pick N Mix</t>
        </is>
      </c>
      <c r="C482" s="1255" t="inlineStr">
        <is>
          <t>3. Pick n Mix Inc</t>
        </is>
      </c>
      <c r="D482" s="1255" t="inlineStr">
        <is>
          <t>Various</t>
        </is>
      </c>
      <c r="E482" s="1261" t="n">
        <v>580</v>
      </c>
      <c r="F482" s="1255" t="inlineStr">
        <is>
          <t>Pick N Mix Payments</t>
        </is>
      </c>
      <c r="G482" s="1255" t="inlineStr">
        <is>
          <t>Existing</t>
        </is>
      </c>
    </row>
    <row r="483" ht="13.5" customHeight="1" s="1232">
      <c r="A483" s="1393" t="n">
        <v>43556</v>
      </c>
      <c r="B483" s="1260" t="inlineStr">
        <is>
          <t>Apr Mentoring</t>
        </is>
      </c>
      <c r="C483" s="1255" t="inlineStr">
        <is>
          <t>5. Mentoring</t>
        </is>
      </c>
      <c r="D483" s="1255" t="inlineStr">
        <is>
          <t>Various</t>
        </is>
      </c>
      <c r="E483" s="1261" t="n">
        <v>60</v>
      </c>
      <c r="F483" s="1255" t="inlineStr">
        <is>
          <t>Mentoring Subs</t>
        </is>
      </c>
      <c r="G483" s="1255" t="inlineStr">
        <is>
          <t>Existing</t>
        </is>
      </c>
    </row>
    <row r="484" ht="13.5" customHeight="1" s="1232">
      <c r="A484" s="1393" t="n"/>
      <c r="B484" s="1260" t="n"/>
      <c r="C484" s="1260" t="n"/>
      <c r="D484" s="1260" t="n"/>
      <c r="E484" s="1394" t="n"/>
      <c r="F484" s="1260" t="n"/>
      <c r="G484" s="1260" t="n"/>
    </row>
    <row r="485" ht="13.5" customHeight="1" s="1232">
      <c r="A485" s="1393" t="n"/>
      <c r="B485" s="1260" t="n"/>
      <c r="C485" s="1260" t="n"/>
      <c r="D485" s="1260" t="n"/>
      <c r="E485" s="1394" t="n"/>
      <c r="F485" s="1260" t="n"/>
      <c r="G485" s="1260" t="n"/>
    </row>
    <row r="486" ht="13.5" customHeight="1" s="1232">
      <c r="A486" s="1393" t="n">
        <v>43554</v>
      </c>
      <c r="B486" s="1260" t="inlineStr">
        <is>
          <t>William Shearer</t>
        </is>
      </c>
      <c r="C486" s="1260" t="inlineStr">
        <is>
          <t>2. Workshops</t>
        </is>
      </c>
      <c r="D486" s="1260" t="inlineStr">
        <is>
          <t>Stripe</t>
        </is>
      </c>
      <c r="E486" s="1394" t="n">
        <v>99</v>
      </c>
      <c r="F486" s="1260" t="inlineStr">
        <is>
          <t>Bluebells</t>
        </is>
      </c>
      <c r="G486" s="1260" t="inlineStr">
        <is>
          <t>Existing</t>
        </is>
      </c>
    </row>
    <row r="487" ht="13.5" customHeight="1" s="1232">
      <c r="A487" s="1393" t="n">
        <v>43554</v>
      </c>
      <c r="B487" s="1260" t="inlineStr">
        <is>
          <t>Joanna Heath</t>
        </is>
      </c>
      <c r="C487" s="1260" t="inlineStr">
        <is>
          <t>2. Workshops</t>
        </is>
      </c>
      <c r="D487" s="1260" t="inlineStr">
        <is>
          <t>Stripe</t>
        </is>
      </c>
      <c r="E487" s="1394" t="n">
        <v>50</v>
      </c>
      <c r="F487" s="1260" t="inlineStr">
        <is>
          <t xml:space="preserve">2.5hrs Betws y coed </t>
        </is>
      </c>
      <c r="G487" s="1260" t="inlineStr">
        <is>
          <t>Facebook</t>
        </is>
      </c>
    </row>
    <row r="488" ht="13.5" customHeight="1" s="1232">
      <c r="A488" s="1393" t="n">
        <v>43554</v>
      </c>
      <c r="B488" s="1260" t="inlineStr">
        <is>
          <t>Joanna Heath</t>
        </is>
      </c>
      <c r="C488" s="1260" t="inlineStr">
        <is>
          <t>2. Workshops</t>
        </is>
      </c>
      <c r="D488" s="1260" t="inlineStr">
        <is>
          <t>Stripe</t>
        </is>
      </c>
      <c r="E488" s="1394" t="n">
        <v>99</v>
      </c>
      <c r="F488" s="1260" t="inlineStr">
        <is>
          <t>Bluebells</t>
        </is>
      </c>
      <c r="G488" s="1260" t="inlineStr">
        <is>
          <t>Facebook</t>
        </is>
      </c>
    </row>
    <row r="489" ht="13.5" customHeight="1" s="1232">
      <c r="A489" s="1393" t="n">
        <v>43549</v>
      </c>
      <c r="B489" s="1260" t="inlineStr">
        <is>
          <t>Amanda Graham</t>
        </is>
      </c>
      <c r="C489" s="1260" t="inlineStr">
        <is>
          <t>2. Workshops</t>
        </is>
      </c>
      <c r="D489" s="1260" t="inlineStr">
        <is>
          <t>PicknMix</t>
        </is>
      </c>
      <c r="E489" s="1394" t="n">
        <v>112.5</v>
      </c>
      <c r="F489" s="1260" t="inlineStr">
        <is>
          <t>Fairy Glen</t>
        </is>
      </c>
      <c r="G489" s="1260" t="inlineStr">
        <is>
          <t>Existing</t>
        </is>
      </c>
    </row>
    <row r="490" ht="13.5" customHeight="1" s="1232">
      <c r="A490" s="1393" t="n">
        <v>43549</v>
      </c>
      <c r="B490" s="1260" t="inlineStr">
        <is>
          <t>Amanda Graham</t>
        </is>
      </c>
      <c r="C490" s="1260" t="inlineStr">
        <is>
          <t>4. Pick n Mix Out</t>
        </is>
      </c>
      <c r="D490" s="1260" t="inlineStr">
        <is>
          <t>PicknMix</t>
        </is>
      </c>
      <c r="E490" s="1394" t="n">
        <v>-112.5</v>
      </c>
      <c r="F490" s="1260" t="inlineStr">
        <is>
          <t>Fairy Glen</t>
        </is>
      </c>
      <c r="G490" s="1260" t="inlineStr">
        <is>
          <t>Existing</t>
        </is>
      </c>
    </row>
    <row r="491" ht="13.5" customHeight="1" s="1232">
      <c r="A491" s="1393" t="n">
        <v>43549</v>
      </c>
      <c r="B491" s="1260" t="inlineStr">
        <is>
          <t>Amanda Graham</t>
        </is>
      </c>
      <c r="C491" s="1260" t="inlineStr">
        <is>
          <t>2. Workshops</t>
        </is>
      </c>
      <c r="D491" s="1260" t="inlineStr">
        <is>
          <t>PicknMix</t>
        </is>
      </c>
      <c r="E491" s="1394" t="n">
        <v>427.5</v>
      </c>
      <c r="F491" s="1260" t="inlineStr">
        <is>
          <t>Hartland Quay</t>
        </is>
      </c>
      <c r="G491" s="1260" t="inlineStr">
        <is>
          <t>Existing</t>
        </is>
      </c>
    </row>
    <row r="492" ht="13.5" customHeight="1" s="1232">
      <c r="A492" s="1393" t="n">
        <v>43549</v>
      </c>
      <c r="B492" s="1260" t="inlineStr">
        <is>
          <t>Amanda Graham</t>
        </is>
      </c>
      <c r="C492" s="1260" t="inlineStr">
        <is>
          <t>4. Pick n Mix Out</t>
        </is>
      </c>
      <c r="D492" s="1260" t="inlineStr">
        <is>
          <t>PicknMix</t>
        </is>
      </c>
      <c r="E492" s="1394" t="n">
        <v>-427.5</v>
      </c>
      <c r="F492" s="1260" t="inlineStr">
        <is>
          <t>Hartland Quay</t>
        </is>
      </c>
      <c r="G492" s="1260" t="inlineStr">
        <is>
          <t>Existing</t>
        </is>
      </c>
    </row>
    <row r="493" ht="13.5" customHeight="1" s="1232">
      <c r="A493" s="1393" t="n">
        <v>43547</v>
      </c>
      <c r="B493" s="1260" t="inlineStr">
        <is>
          <t>Andrew Ham</t>
        </is>
      </c>
      <c r="C493" s="1260" t="inlineStr">
        <is>
          <t>2. Workshops</t>
        </is>
      </c>
      <c r="D493" s="1260" t="inlineStr">
        <is>
          <t>Stripe</t>
        </is>
      </c>
      <c r="E493" s="1394" t="n">
        <v>99</v>
      </c>
      <c r="F493" s="1260" t="inlineStr">
        <is>
          <t>Bluebells</t>
        </is>
      </c>
      <c r="G493" s="1260" t="inlineStr">
        <is>
          <t>Facebook</t>
        </is>
      </c>
    </row>
    <row r="494" ht="13.5" customHeight="1" s="1232">
      <c r="A494" s="1393" t="n">
        <v>43546</v>
      </c>
      <c r="B494" s="1260" t="inlineStr">
        <is>
          <t>Helen Hughes</t>
        </is>
      </c>
      <c r="C494" s="1260" t="inlineStr">
        <is>
          <t>1. Courses/masterclasses</t>
        </is>
      </c>
      <c r="D494" s="1260" t="inlineStr">
        <is>
          <t>Stripe</t>
        </is>
      </c>
      <c r="E494" s="1394" t="n">
        <v>30</v>
      </c>
      <c r="F494" s="1260" t="inlineStr">
        <is>
          <t>Get off Auto</t>
        </is>
      </c>
      <c r="G494" s="1260" t="inlineStr">
        <is>
          <t>Google</t>
        </is>
      </c>
    </row>
    <row r="495" ht="13.5" customHeight="1" s="1232">
      <c r="A495" s="1393" t="n">
        <v>43546</v>
      </c>
      <c r="B495" s="1260" t="inlineStr">
        <is>
          <t>Fiona Adams</t>
        </is>
      </c>
      <c r="C495" s="1260" t="inlineStr">
        <is>
          <t>2. Workshops</t>
        </is>
      </c>
      <c r="D495" s="1260" t="inlineStr">
        <is>
          <t>PayPal</t>
        </is>
      </c>
      <c r="E495" s="1394" t="n">
        <v>50</v>
      </c>
      <c r="F495" s="1260" t="inlineStr">
        <is>
          <t>Coventry Urban</t>
        </is>
      </c>
      <c r="G495" s="1260" t="inlineStr">
        <is>
          <t>Existing</t>
        </is>
      </c>
    </row>
    <row r="496" ht="13.5" customHeight="1" s="1232">
      <c r="A496" s="1393" t="n">
        <v>43545</v>
      </c>
      <c r="B496" s="1260" t="inlineStr">
        <is>
          <t>Michele Harrison</t>
        </is>
      </c>
      <c r="C496" s="1260" t="inlineStr">
        <is>
          <t>1. Courses/masterclasses</t>
        </is>
      </c>
      <c r="D496" s="1260" t="inlineStr">
        <is>
          <t>Stripe</t>
        </is>
      </c>
      <c r="E496" s="1394" t="n">
        <v>230</v>
      </c>
      <c r="F496" s="1260" t="inlineStr">
        <is>
          <t>Beginners Photo Soli</t>
        </is>
      </c>
      <c r="G496" s="1260" t="inlineStr">
        <is>
          <t>Existing</t>
        </is>
      </c>
    </row>
    <row r="497" ht="13.5" customHeight="1" s="1232">
      <c r="A497" s="1393" t="n">
        <v>43545</v>
      </c>
      <c r="B497" s="1260" t="inlineStr">
        <is>
          <t>Louise Cowlishaw</t>
        </is>
      </c>
      <c r="C497" s="1260" t="inlineStr">
        <is>
          <t>2. Workshops</t>
        </is>
      </c>
      <c r="D497" s="1260" t="inlineStr">
        <is>
          <t>Stripe</t>
        </is>
      </c>
      <c r="E497" s="1394" t="n">
        <v>125</v>
      </c>
      <c r="F497" s="1260" t="inlineStr">
        <is>
          <t>Hartland Quay</t>
        </is>
      </c>
      <c r="G497" s="1260" t="inlineStr">
        <is>
          <t>Google</t>
        </is>
      </c>
    </row>
    <row r="498" ht="13.5" customHeight="1" s="1232">
      <c r="A498" s="1393" t="n">
        <v>43545</v>
      </c>
      <c r="B498" s="1260" t="inlineStr">
        <is>
          <t>Janie Chapman</t>
        </is>
      </c>
      <c r="C498" s="1260" t="inlineStr">
        <is>
          <t>6. 1-2-1</t>
        </is>
      </c>
      <c r="D498" s="1260" t="inlineStr">
        <is>
          <t>Stripe</t>
        </is>
      </c>
      <c r="E498" s="1394" t="n">
        <v>360</v>
      </c>
      <c r="F498" s="1282" t="inlineStr">
        <is>
          <t>1-2-1 LR</t>
        </is>
      </c>
      <c r="G498" s="1260" t="inlineStr">
        <is>
          <t>Existing</t>
        </is>
      </c>
    </row>
    <row r="499" ht="13.5" customHeight="1" s="1232">
      <c r="A499" s="1393" t="n">
        <v>43545</v>
      </c>
      <c r="B499" s="1260" t="inlineStr">
        <is>
          <t>Paul Millington</t>
        </is>
      </c>
      <c r="C499" s="1260" t="inlineStr">
        <is>
          <t>1. Courses/masterclasses</t>
        </is>
      </c>
      <c r="D499" s="1260" t="inlineStr">
        <is>
          <t>Bank</t>
        </is>
      </c>
      <c r="E499" s="1394" t="n">
        <v>250</v>
      </c>
      <c r="F499" s="1260" t="inlineStr">
        <is>
          <t>Beginners Photo Soli</t>
        </is>
      </c>
      <c r="G499" s="1260" t="inlineStr">
        <is>
          <t>ELS</t>
        </is>
      </c>
    </row>
    <row r="500" ht="13.5" customHeight="1" s="1232">
      <c r="A500" s="1393" t="n">
        <v>43543</v>
      </c>
      <c r="B500" s="1255" t="inlineStr">
        <is>
          <t>Toby Phillips</t>
        </is>
      </c>
      <c r="C500" s="1260" t="inlineStr">
        <is>
          <t>1. Courses/masterclasses</t>
        </is>
      </c>
      <c r="D500" s="1260" t="inlineStr">
        <is>
          <t>Stripe</t>
        </is>
      </c>
      <c r="E500" s="1394" t="n">
        <v>250</v>
      </c>
      <c r="F500" s="1260" t="inlineStr">
        <is>
          <t>Beginners Photo Soli</t>
        </is>
      </c>
      <c r="G500" s="1260" t="inlineStr">
        <is>
          <t>Existing</t>
        </is>
      </c>
    </row>
    <row r="501" ht="13.5" customHeight="1" s="1232">
      <c r="A501" s="1393" t="n">
        <v>43543</v>
      </c>
      <c r="B501" s="1260" t="inlineStr">
        <is>
          <t>Julie Dean</t>
        </is>
      </c>
      <c r="C501" s="1260" t="inlineStr">
        <is>
          <t>2. Workshops</t>
        </is>
      </c>
      <c r="D501" s="1260" t="inlineStr">
        <is>
          <t>PayPal</t>
        </is>
      </c>
      <c r="E501" s="1394" t="n">
        <v>75</v>
      </c>
      <c r="F501" s="1260" t="inlineStr">
        <is>
          <t>Bluebells</t>
        </is>
      </c>
      <c r="G501" s="1260" t="inlineStr">
        <is>
          <t>Facebook</t>
        </is>
      </c>
    </row>
    <row r="502" ht="13.5" customHeight="1" s="1232">
      <c r="A502" s="1393" t="n">
        <v>43543</v>
      </c>
      <c r="B502" s="1260" t="inlineStr">
        <is>
          <t>Michele Harrison</t>
        </is>
      </c>
      <c r="C502" s="1260" t="inlineStr">
        <is>
          <t>1. Courses/masterclasses</t>
        </is>
      </c>
      <c r="D502" s="1260" t="inlineStr">
        <is>
          <t>Cash</t>
        </is>
      </c>
      <c r="E502" s="1394" t="n">
        <v>20</v>
      </c>
      <c r="F502" s="1260" t="inlineStr">
        <is>
          <t>Beginners Photo Soli</t>
        </is>
      </c>
      <c r="G502" s="1260" t="inlineStr">
        <is>
          <t>Existing</t>
        </is>
      </c>
    </row>
    <row r="503" ht="13.5" customHeight="1" s="1232">
      <c r="A503" s="1393" t="n">
        <v>43543</v>
      </c>
      <c r="B503" s="1260" t="inlineStr">
        <is>
          <t>James Lynch</t>
        </is>
      </c>
      <c r="C503" s="1260" t="inlineStr">
        <is>
          <t>1. Courses/masterclasses</t>
        </is>
      </c>
      <c r="D503" s="1260" t="inlineStr">
        <is>
          <t>Stripe</t>
        </is>
      </c>
      <c r="E503" s="1394" t="n">
        <v>250</v>
      </c>
      <c r="F503" s="1260" t="inlineStr">
        <is>
          <t>Beginners Photo Soli</t>
        </is>
      </c>
      <c r="G503" s="1260" t="inlineStr">
        <is>
          <t>Existing</t>
        </is>
      </c>
    </row>
    <row r="504" ht="13.5" customHeight="1" s="1232">
      <c r="A504" s="1393" t="n">
        <v>43542</v>
      </c>
      <c r="B504" s="1260" t="inlineStr">
        <is>
          <t>John Grant</t>
        </is>
      </c>
      <c r="C504" s="1260" t="inlineStr">
        <is>
          <t>2. Workshops</t>
        </is>
      </c>
      <c r="D504" s="1260" t="inlineStr">
        <is>
          <t>Stripe</t>
        </is>
      </c>
      <c r="E504" s="1394" t="n">
        <v>50</v>
      </c>
      <c r="F504" s="1260" t="inlineStr">
        <is>
          <t>Coventry Urban</t>
        </is>
      </c>
      <c r="G504" s="1260" t="inlineStr">
        <is>
          <t>Existing</t>
        </is>
      </c>
    </row>
    <row r="505" ht="13.5" customHeight="1" s="1232">
      <c r="A505" s="1393" t="n">
        <v>43541</v>
      </c>
      <c r="B505" s="1260" t="inlineStr">
        <is>
          <t>Melanie Smith</t>
        </is>
      </c>
      <c r="C505" s="1260" t="inlineStr">
        <is>
          <t>2. Workshops</t>
        </is>
      </c>
      <c r="D505" s="1260" t="inlineStr">
        <is>
          <t>Stripe</t>
        </is>
      </c>
      <c r="E505" s="1394" t="n">
        <v>75</v>
      </c>
      <c r="F505" s="1260" t="inlineStr">
        <is>
          <t>Bluebells</t>
        </is>
      </c>
      <c r="G505" s="1260" t="inlineStr">
        <is>
          <t>Facebook</t>
        </is>
      </c>
    </row>
    <row r="506" ht="13.5" customHeight="1" s="1232">
      <c r="A506" s="1393" t="n">
        <v>43541</v>
      </c>
      <c r="B506" s="1260" t="inlineStr">
        <is>
          <t>Norman Lowe</t>
        </is>
      </c>
      <c r="C506" s="1260" t="inlineStr">
        <is>
          <t>2. Workshops</t>
        </is>
      </c>
      <c r="D506" s="1260" t="inlineStr">
        <is>
          <t>PayPal</t>
        </is>
      </c>
      <c r="E506" s="1394" t="n">
        <v>62.5</v>
      </c>
      <c r="F506" s="1260" t="inlineStr">
        <is>
          <t>Bluebells</t>
        </is>
      </c>
      <c r="G506" s="1260" t="inlineStr">
        <is>
          <t>Facebook</t>
        </is>
      </c>
    </row>
    <row r="507" ht="13.5" customHeight="1" s="1232">
      <c r="A507" s="1393" t="n">
        <v>43540</v>
      </c>
      <c r="B507" s="1260" t="inlineStr">
        <is>
          <t>ESTER RIORDAN</t>
        </is>
      </c>
      <c r="C507" s="1260" t="inlineStr">
        <is>
          <t>2. Workshops</t>
        </is>
      </c>
      <c r="D507" s="1260" t="inlineStr">
        <is>
          <t>Stripe</t>
        </is>
      </c>
      <c r="E507" s="1394" t="n">
        <v>50</v>
      </c>
      <c r="F507" s="1260" t="inlineStr">
        <is>
          <t>Coventry Urban</t>
        </is>
      </c>
      <c r="G507" s="1260" t="inlineStr">
        <is>
          <t>Existing</t>
        </is>
      </c>
    </row>
    <row r="508" ht="13.5" customHeight="1" s="1232">
      <c r="A508" s="1393" t="n">
        <v>43539</v>
      </c>
      <c r="B508" s="1260" t="inlineStr">
        <is>
          <t>Harkesh Mehmi</t>
        </is>
      </c>
      <c r="C508" s="1260" t="inlineStr">
        <is>
          <t>1. Courses/masterclasses</t>
        </is>
      </c>
      <c r="D508" s="1260" t="inlineStr">
        <is>
          <t>Bank</t>
        </is>
      </c>
      <c r="E508" s="1394" t="n">
        <v>200</v>
      </c>
      <c r="F508" s="1260" t="inlineStr">
        <is>
          <t>Beginners Photo Soli</t>
        </is>
      </c>
      <c r="G508" s="1260" t="inlineStr">
        <is>
          <t>ELS</t>
        </is>
      </c>
    </row>
    <row r="509" ht="13.5" customHeight="1" s="1232">
      <c r="A509" s="1393" t="n">
        <v>43539</v>
      </c>
      <c r="B509" s="1260" t="inlineStr">
        <is>
          <t>Jennifer Williams</t>
        </is>
      </c>
      <c r="C509" s="1260" t="inlineStr">
        <is>
          <t>2. Workshops</t>
        </is>
      </c>
      <c r="D509" s="1260" t="inlineStr">
        <is>
          <t>Stripe</t>
        </is>
      </c>
      <c r="E509" s="1394" t="n">
        <v>62.5</v>
      </c>
      <c r="F509" s="1260" t="inlineStr">
        <is>
          <t>Bluebells</t>
        </is>
      </c>
      <c r="G509" s="1260" t="inlineStr">
        <is>
          <t>Facebook</t>
        </is>
      </c>
    </row>
    <row r="510" ht="13.5" customHeight="1" s="1232">
      <c r="A510" s="1393" t="n">
        <v>43539</v>
      </c>
      <c r="B510" s="1260" t="inlineStr">
        <is>
          <t>John Duncombe</t>
        </is>
      </c>
      <c r="C510" s="1260" t="inlineStr">
        <is>
          <t>2. Workshops</t>
        </is>
      </c>
      <c r="D510" s="1260" t="inlineStr">
        <is>
          <t>PayPal</t>
        </is>
      </c>
      <c r="E510" s="1394" t="n">
        <v>62.5</v>
      </c>
      <c r="F510" s="1260" t="inlineStr">
        <is>
          <t>Bluebells</t>
        </is>
      </c>
      <c r="G510" s="1260" t="inlineStr">
        <is>
          <t>Existing</t>
        </is>
      </c>
    </row>
    <row r="511" ht="13.5" customHeight="1" s="1232">
      <c r="A511" s="1393" t="n">
        <v>43539</v>
      </c>
      <c r="B511" s="1260" t="inlineStr">
        <is>
          <t>Graham Ibbetson</t>
        </is>
      </c>
      <c r="C511" s="1260" t="inlineStr">
        <is>
          <t>2. Workshops</t>
        </is>
      </c>
      <c r="D511" s="1260" t="inlineStr">
        <is>
          <t>Stripe</t>
        </is>
      </c>
      <c r="E511" s="1394" t="n">
        <v>62.5</v>
      </c>
      <c r="F511" s="1260" t="inlineStr">
        <is>
          <t>Bluebells</t>
        </is>
      </c>
      <c r="G511" s="1260" t="inlineStr">
        <is>
          <t>Existing</t>
        </is>
      </c>
    </row>
    <row r="512" ht="13.5" customHeight="1" s="1232">
      <c r="A512" s="1393" t="n">
        <v>43538</v>
      </c>
      <c r="B512" s="1260" t="inlineStr">
        <is>
          <t>Alistair Willis</t>
        </is>
      </c>
      <c r="C512" s="1260" t="inlineStr">
        <is>
          <t>2. Workshops</t>
        </is>
      </c>
      <c r="D512" s="1260" t="inlineStr">
        <is>
          <t>PayPal</t>
        </is>
      </c>
      <c r="E512" s="1394" t="n">
        <v>50</v>
      </c>
      <c r="F512" s="1260" t="inlineStr">
        <is>
          <t>Coventry Urban</t>
        </is>
      </c>
      <c r="G512" s="1260" t="inlineStr">
        <is>
          <t>Existing</t>
        </is>
      </c>
    </row>
    <row r="513" ht="13.5" customHeight="1" s="1232">
      <c r="A513" s="1393" t="n">
        <v>43538</v>
      </c>
      <c r="B513" s="1260" t="inlineStr">
        <is>
          <t>Elaine Castleford</t>
        </is>
      </c>
      <c r="C513" s="1260" t="inlineStr">
        <is>
          <t>2. Workshops</t>
        </is>
      </c>
      <c r="D513" s="1260" t="inlineStr">
        <is>
          <t>Stripe</t>
        </is>
      </c>
      <c r="E513" s="1394" t="n">
        <v>10</v>
      </c>
      <c r="F513" s="1260" t="inlineStr">
        <is>
          <t>Woodland Workshop</t>
        </is>
      </c>
      <c r="G513" s="1260" t="inlineStr">
        <is>
          <t>Google</t>
        </is>
      </c>
    </row>
    <row r="514" ht="13.5" customHeight="1" s="1232">
      <c r="A514" s="1393" t="n">
        <v>43538</v>
      </c>
      <c r="B514" s="1260" t="inlineStr">
        <is>
          <t>John Grant</t>
        </is>
      </c>
      <c r="C514" s="1260" t="inlineStr">
        <is>
          <t>2. Workshops</t>
        </is>
      </c>
      <c r="D514" s="1260" t="inlineStr">
        <is>
          <t>Stripe</t>
        </is>
      </c>
      <c r="E514" s="1394" t="n">
        <v>50</v>
      </c>
      <c r="F514" s="1260" t="inlineStr">
        <is>
          <t>Chesterton Sunset</t>
        </is>
      </c>
      <c r="G514" s="1260" t="inlineStr">
        <is>
          <t>Existing</t>
        </is>
      </c>
    </row>
    <row r="515" ht="13.5" customHeight="1" s="1232">
      <c r="A515" s="1393" t="n">
        <v>43538</v>
      </c>
      <c r="B515" s="1260" t="inlineStr">
        <is>
          <t>John Grant</t>
        </is>
      </c>
      <c r="C515" s="1260" t="inlineStr">
        <is>
          <t>2. Workshops</t>
        </is>
      </c>
      <c r="D515" s="1260" t="inlineStr">
        <is>
          <t>Stripe</t>
        </is>
      </c>
      <c r="E515" s="1394" t="n">
        <v>62.5</v>
      </c>
      <c r="F515" s="1260" t="inlineStr">
        <is>
          <t>Bluebells</t>
        </is>
      </c>
      <c r="G515" s="1260" t="inlineStr">
        <is>
          <t>Existing</t>
        </is>
      </c>
    </row>
    <row r="516" ht="13.5" customHeight="1" s="1232">
      <c r="A516" s="1393" t="n">
        <v>43537</v>
      </c>
      <c r="B516" s="1260" t="inlineStr">
        <is>
          <t>Helen Southeran</t>
        </is>
      </c>
      <c r="C516" s="1260" t="inlineStr">
        <is>
          <t>6. 1-2-1</t>
        </is>
      </c>
      <c r="D516" s="1260" t="inlineStr">
        <is>
          <t>Bank</t>
        </is>
      </c>
      <c r="E516" s="1394" t="n">
        <v>220</v>
      </c>
      <c r="F516" s="1282" t="inlineStr">
        <is>
          <t>1-2-1s and Workshops</t>
        </is>
      </c>
      <c r="G516" s="1260" t="inlineStr">
        <is>
          <t>Existing</t>
        </is>
      </c>
    </row>
    <row r="517" ht="13.5" customHeight="1" s="1232">
      <c r="A517" s="1393" t="n">
        <v>43537</v>
      </c>
      <c r="B517" s="1260" t="inlineStr">
        <is>
          <t>Vetrotech Saint Gobain</t>
        </is>
      </c>
      <c r="C517" s="1260" t="inlineStr">
        <is>
          <t>9. Commissions</t>
        </is>
      </c>
      <c r="D517" s="1260" t="inlineStr">
        <is>
          <t>Bank</t>
        </is>
      </c>
      <c r="E517" s="1394" t="n">
        <v>300</v>
      </c>
      <c r="F517" s="1260" t="inlineStr">
        <is>
          <t>Commercial Shoot</t>
        </is>
      </c>
      <c r="G517" s="1260" t="inlineStr">
        <is>
          <t>Google</t>
        </is>
      </c>
    </row>
    <row r="518" ht="13.5" customHeight="1" s="1232">
      <c r="A518" s="1393" t="n">
        <v>43537</v>
      </c>
      <c r="B518" s="1260" t="inlineStr">
        <is>
          <t>Ina Wilkening</t>
        </is>
      </c>
      <c r="C518" s="1260" t="inlineStr">
        <is>
          <t>2. Workshops</t>
        </is>
      </c>
      <c r="D518" s="1260" t="inlineStr">
        <is>
          <t>Stripe</t>
        </is>
      </c>
      <c r="E518" s="1394" t="n">
        <v>62.5</v>
      </c>
      <c r="F518" s="1260" t="inlineStr">
        <is>
          <t>Bluebells</t>
        </is>
      </c>
      <c r="G518" s="1260" t="inlineStr">
        <is>
          <t>Existing</t>
        </is>
      </c>
    </row>
    <row r="519" ht="13.5" customHeight="1" s="1232">
      <c r="A519" s="1393" t="n">
        <v>43536</v>
      </c>
      <c r="B519" s="1260" t="inlineStr">
        <is>
          <t>stuart bourne</t>
        </is>
      </c>
      <c r="C519" s="1260" t="inlineStr">
        <is>
          <t>1. Courses/masterclasses</t>
        </is>
      </c>
      <c r="D519" s="1260" t="inlineStr">
        <is>
          <t>PayPal</t>
        </is>
      </c>
      <c r="E519" s="1394" t="n">
        <v>30</v>
      </c>
      <c r="F519" s="1260" t="inlineStr">
        <is>
          <t>Intro Class Solihull</t>
        </is>
      </c>
      <c r="G519" s="1260" t="inlineStr">
        <is>
          <t>Google</t>
        </is>
      </c>
    </row>
    <row r="520" ht="13.5" customHeight="1" s="1232">
      <c r="A520" s="1393" t="n">
        <v>43535</v>
      </c>
      <c r="B520" s="1260" t="inlineStr">
        <is>
          <t>Toby Phillips</t>
        </is>
      </c>
      <c r="C520" s="1260" t="inlineStr">
        <is>
          <t>1. Courses/masterclasses</t>
        </is>
      </c>
      <c r="D520" s="1260" t="inlineStr">
        <is>
          <t>Stripe</t>
        </is>
      </c>
      <c r="E520" s="1394" t="n">
        <v>30</v>
      </c>
      <c r="F520" s="1260" t="inlineStr">
        <is>
          <t>Intro Class Solihull</t>
        </is>
      </c>
      <c r="G520" s="1260" t="inlineStr">
        <is>
          <t>Google</t>
        </is>
      </c>
    </row>
    <row r="521" ht="13.5" customHeight="1" s="1232">
      <c r="A521" s="1393" t="n">
        <v>43535</v>
      </c>
      <c r="B521" s="1260" t="inlineStr">
        <is>
          <t>Caroline Key</t>
        </is>
      </c>
      <c r="C521" s="1260" t="inlineStr">
        <is>
          <t>1. Courses/masterclasses</t>
        </is>
      </c>
      <c r="D521" s="1260" t="inlineStr">
        <is>
          <t>Stripe</t>
        </is>
      </c>
      <c r="E521" s="1394" t="n">
        <v>60</v>
      </c>
      <c r="F521" s="1260" t="inlineStr">
        <is>
          <t>Intro Class Solihull</t>
        </is>
      </c>
      <c r="G521" s="1260" t="inlineStr">
        <is>
          <t>Existing</t>
        </is>
      </c>
    </row>
    <row r="522" ht="13.5" customHeight="1" s="1232">
      <c r="A522" s="1393" t="n">
        <v>43534</v>
      </c>
      <c r="B522" s="1260" t="inlineStr">
        <is>
          <t>Ivaylo Yorgov</t>
        </is>
      </c>
      <c r="C522" s="1260" t="inlineStr">
        <is>
          <t>5. Mentoring</t>
        </is>
      </c>
      <c r="D522" s="1260" t="inlineStr">
        <is>
          <t>Stripe</t>
        </is>
      </c>
      <c r="E522" s="1394" t="n">
        <v>20</v>
      </c>
      <c r="F522" s="1260" t="inlineStr">
        <is>
          <t>Monthly Mentoring</t>
        </is>
      </c>
      <c r="G522" s="1260" t="inlineStr">
        <is>
          <t>Google</t>
        </is>
      </c>
    </row>
    <row r="523" ht="13.5" customHeight="1" s="1232">
      <c r="A523" s="1393" t="n">
        <v>43533</v>
      </c>
      <c r="B523" s="1260" t="inlineStr">
        <is>
          <t>james lynch</t>
        </is>
      </c>
      <c r="C523" s="1260" t="inlineStr">
        <is>
          <t>1. Courses/masterclasses</t>
        </is>
      </c>
      <c r="D523" s="1260" t="inlineStr">
        <is>
          <t>PayPal</t>
        </is>
      </c>
      <c r="E523" s="1394" t="n">
        <v>30</v>
      </c>
      <c r="F523" s="1260" t="inlineStr">
        <is>
          <t>Intro Class Solihull</t>
        </is>
      </c>
      <c r="G523" s="1260" t="inlineStr">
        <is>
          <t>Google</t>
        </is>
      </c>
    </row>
    <row r="524" ht="13.5" customHeight="1" s="1232">
      <c r="A524" s="1393" t="n">
        <v>43530</v>
      </c>
      <c r="B524" s="1260" t="inlineStr">
        <is>
          <t>Michele Harrison</t>
        </is>
      </c>
      <c r="C524" s="1260" t="inlineStr">
        <is>
          <t>1. Courses/masterclasses</t>
        </is>
      </c>
      <c r="D524" s="1260" t="inlineStr">
        <is>
          <t>Stripe</t>
        </is>
      </c>
      <c r="E524" s="1394" t="n">
        <v>30</v>
      </c>
      <c r="F524" s="1260" t="inlineStr">
        <is>
          <t>Intro Class Solihull</t>
        </is>
      </c>
      <c r="G524" s="1260" t="inlineStr">
        <is>
          <t>Google</t>
        </is>
      </c>
    </row>
    <row r="525" ht="13.5" customHeight="1" s="1232">
      <c r="A525" s="1393" t="n">
        <v>43528</v>
      </c>
      <c r="B525" s="1260" t="inlineStr">
        <is>
          <t>Ina Wilkening</t>
        </is>
      </c>
      <c r="C525" s="1260" t="inlineStr">
        <is>
          <t>5. Mentoring</t>
        </is>
      </c>
      <c r="D525" s="1260" t="inlineStr">
        <is>
          <t>Stripe</t>
        </is>
      </c>
      <c r="E525" s="1394" t="n">
        <v>20</v>
      </c>
      <c r="F525" s="1260" t="inlineStr">
        <is>
          <t>Monthly Mentoring</t>
        </is>
      </c>
      <c r="G525" s="1260" t="inlineStr">
        <is>
          <t>Existing</t>
        </is>
      </c>
    </row>
    <row r="526" ht="13.5" customHeight="1" s="1232">
      <c r="A526" s="1393" t="n">
        <v>43528</v>
      </c>
      <c r="B526" s="1260" t="inlineStr">
        <is>
          <t>Fiona Brown</t>
        </is>
      </c>
      <c r="C526" s="1260" t="inlineStr">
        <is>
          <t>1. Courses/masterclasses</t>
        </is>
      </c>
      <c r="D526" s="1260" t="inlineStr">
        <is>
          <t>PicknMix</t>
        </is>
      </c>
      <c r="E526" s="1394" t="n">
        <v>225</v>
      </c>
      <c r="F526" s="1260" t="inlineStr">
        <is>
          <t>Beginners lightroom</t>
        </is>
      </c>
      <c r="G526" s="1260" t="inlineStr">
        <is>
          <t>Existing</t>
        </is>
      </c>
    </row>
    <row r="527" ht="13.5" customHeight="1" s="1232">
      <c r="A527" s="1393" t="n">
        <v>43528</v>
      </c>
      <c r="B527" s="1260" t="inlineStr">
        <is>
          <t>Fiona Brown</t>
        </is>
      </c>
      <c r="C527" s="1260" t="inlineStr">
        <is>
          <t>4. Pick n Mix Out</t>
        </is>
      </c>
      <c r="D527" s="1260" t="inlineStr">
        <is>
          <t>PicknMix</t>
        </is>
      </c>
      <c r="E527" s="1394" t="n">
        <v>-225</v>
      </c>
      <c r="F527" s="1260" t="inlineStr">
        <is>
          <t>Beginners lightroom</t>
        </is>
      </c>
      <c r="G527" s="1260" t="inlineStr">
        <is>
          <t>Existing</t>
        </is>
      </c>
    </row>
    <row r="528" ht="13.5" customHeight="1" s="1232">
      <c r="A528" s="1393" t="n">
        <v>43528</v>
      </c>
      <c r="B528" s="1260" t="inlineStr">
        <is>
          <t>Fiona Brown</t>
        </is>
      </c>
      <c r="C528" s="1260" t="inlineStr">
        <is>
          <t>2. Workshops</t>
        </is>
      </c>
      <c r="D528" s="1260" t="inlineStr">
        <is>
          <t>PicknMix</t>
        </is>
      </c>
      <c r="E528" s="1394" t="n">
        <v>67.5</v>
      </c>
      <c r="F528" s="1260" t="inlineStr">
        <is>
          <t>Woodland Workshop</t>
        </is>
      </c>
      <c r="G528" s="1260" t="inlineStr">
        <is>
          <t>Existing</t>
        </is>
      </c>
    </row>
    <row r="529" ht="13.5" customHeight="1" s="1232">
      <c r="A529" s="1393" t="n">
        <v>43528</v>
      </c>
      <c r="B529" s="1260" t="inlineStr">
        <is>
          <t>Fiona Brown</t>
        </is>
      </c>
      <c r="C529" s="1260" t="inlineStr">
        <is>
          <t>4. Pick n Mix Out</t>
        </is>
      </c>
      <c r="D529" s="1260" t="inlineStr">
        <is>
          <t>PicknMix</t>
        </is>
      </c>
      <c r="E529" s="1394" t="n">
        <v>-67.5</v>
      </c>
      <c r="F529" s="1260" t="inlineStr">
        <is>
          <t>Woodland Workshop</t>
        </is>
      </c>
      <c r="G529" s="1260" t="inlineStr">
        <is>
          <t>Existing</t>
        </is>
      </c>
    </row>
    <row r="530" ht="13.5" customHeight="1" s="1232">
      <c r="A530" s="1393" t="n">
        <v>43528</v>
      </c>
      <c r="B530" s="1260" t="inlineStr">
        <is>
          <t>Fiona Brown</t>
        </is>
      </c>
      <c r="C530" s="1260" t="inlineStr">
        <is>
          <t>2. Workshops</t>
        </is>
      </c>
      <c r="D530" s="1260" t="inlineStr">
        <is>
          <t>PicknMix</t>
        </is>
      </c>
      <c r="E530" s="1394" t="n">
        <v>67.5</v>
      </c>
      <c r="F530" s="1260" t="inlineStr">
        <is>
          <t>Chesterton Sunset</t>
        </is>
      </c>
      <c r="G530" s="1260" t="inlineStr">
        <is>
          <t>Existing</t>
        </is>
      </c>
    </row>
    <row r="531" ht="13.5" customHeight="1" s="1232">
      <c r="A531" s="1393" t="n">
        <v>43528</v>
      </c>
      <c r="B531" s="1260" t="inlineStr">
        <is>
          <t>Fiona Brown</t>
        </is>
      </c>
      <c r="C531" s="1260" t="inlineStr">
        <is>
          <t>4. Pick n Mix Out</t>
        </is>
      </c>
      <c r="D531" s="1260" t="inlineStr">
        <is>
          <t>PicknMix</t>
        </is>
      </c>
      <c r="E531" s="1394" t="n">
        <v>-67.5</v>
      </c>
      <c r="F531" s="1260" t="inlineStr">
        <is>
          <t>Chesterton Sunset</t>
        </is>
      </c>
      <c r="G531" s="1260" t="inlineStr">
        <is>
          <t>Existing</t>
        </is>
      </c>
    </row>
    <row r="532" ht="13.5" customHeight="1" s="1232">
      <c r="A532" s="1393" t="n">
        <v>43525</v>
      </c>
      <c r="B532" s="1260" t="inlineStr">
        <is>
          <t>Mar Pick N Mix</t>
        </is>
      </c>
      <c r="C532" s="1255" t="inlineStr">
        <is>
          <t>3. Pick n Mix Inc</t>
        </is>
      </c>
      <c r="D532" s="1255" t="inlineStr">
        <is>
          <t>Various</t>
        </is>
      </c>
      <c r="E532" s="1261">
        <f>995-187.5</f>
        <v/>
      </c>
      <c r="F532" s="1255" t="inlineStr">
        <is>
          <t>Pick N Mix Payments</t>
        </is>
      </c>
      <c r="G532" s="1255" t="inlineStr">
        <is>
          <t>Existing</t>
        </is>
      </c>
    </row>
    <row r="533" ht="13.5" customHeight="1" s="1232">
      <c r="A533" s="1393" t="n">
        <v>43525</v>
      </c>
      <c r="B533" s="1260" t="inlineStr">
        <is>
          <t>Mar Mentoring</t>
        </is>
      </c>
      <c r="C533" s="1255" t="inlineStr">
        <is>
          <t>5. Mentoring</t>
        </is>
      </c>
      <c r="D533" s="1255" t="inlineStr">
        <is>
          <t>Various</t>
        </is>
      </c>
      <c r="E533" s="1261" t="n">
        <v>20</v>
      </c>
      <c r="F533" s="1255" t="inlineStr">
        <is>
          <t>Mentoring Subs</t>
        </is>
      </c>
      <c r="G533" s="1255" t="inlineStr">
        <is>
          <t>Existing</t>
        </is>
      </c>
    </row>
    <row r="534" ht="13.5" customHeight="1" s="1232">
      <c r="A534" s="1393" t="n"/>
      <c r="B534" s="1260" t="n"/>
      <c r="C534" s="1260" t="n"/>
      <c r="D534" s="1260" t="n"/>
      <c r="E534" s="1394" t="n"/>
      <c r="F534" s="1260" t="n"/>
      <c r="G534" s="1260" t="n"/>
    </row>
    <row r="535" ht="13.5" customHeight="1" s="1232">
      <c r="A535" s="1393" t="n"/>
      <c r="B535" s="1260" t="n"/>
      <c r="C535" s="1260" t="n"/>
      <c r="D535" s="1260" t="n"/>
      <c r="E535" s="1394" t="n"/>
      <c r="F535" s="1260" t="n"/>
      <c r="G535" s="1260" t="n"/>
    </row>
    <row r="536" ht="13.5" customHeight="1" s="1232">
      <c r="A536" s="1393" t="n">
        <v>43524</v>
      </c>
      <c r="B536" s="1260" t="inlineStr">
        <is>
          <t>Kirsten Pearce</t>
        </is>
      </c>
      <c r="C536" s="1255" t="inlineStr">
        <is>
          <t>3. Pick n Mix Inc</t>
        </is>
      </c>
      <c r="D536" s="1260" t="inlineStr">
        <is>
          <t>Bank</t>
        </is>
      </c>
      <c r="E536" s="1394" t="n">
        <v>187.5</v>
      </c>
      <c r="F536" s="1260" t="inlineStr">
        <is>
          <t>Qtrly Payment</t>
        </is>
      </c>
      <c r="G536" s="1260" t="inlineStr">
        <is>
          <t>Existing</t>
        </is>
      </c>
    </row>
    <row r="537" ht="13.5" customHeight="1" s="1232">
      <c r="A537" s="1393" t="n">
        <v>43524</v>
      </c>
      <c r="B537" s="1255" t="inlineStr">
        <is>
          <t>Lynn Bowring</t>
        </is>
      </c>
      <c r="C537" s="1260" t="inlineStr">
        <is>
          <t>2. Workshops</t>
        </is>
      </c>
      <c r="D537" s="1260" t="inlineStr">
        <is>
          <t>Stripe</t>
        </is>
      </c>
      <c r="E537" s="1256" t="n">
        <v>99</v>
      </c>
      <c r="F537" s="1282" t="inlineStr">
        <is>
          <t>Bluebells</t>
        </is>
      </c>
      <c r="G537" s="1260" t="inlineStr">
        <is>
          <t>Existing</t>
        </is>
      </c>
    </row>
    <row r="538" ht="13.5" customHeight="1" s="1232">
      <c r="A538" s="1393" t="n">
        <v>43523</v>
      </c>
      <c r="B538" s="1260" t="inlineStr">
        <is>
          <t>Robert Hull</t>
        </is>
      </c>
      <c r="C538" s="1260" t="inlineStr">
        <is>
          <t>2. Workshops</t>
        </is>
      </c>
      <c r="D538" s="1260" t="inlineStr">
        <is>
          <t>PayPal</t>
        </is>
      </c>
      <c r="E538" s="1394" t="n">
        <v>69</v>
      </c>
      <c r="F538" s="1282" t="inlineStr">
        <is>
          <t>Bluebells</t>
        </is>
      </c>
      <c r="G538" s="1260" t="inlineStr">
        <is>
          <t>Existing</t>
        </is>
      </c>
    </row>
    <row r="539" ht="13.5" customHeight="1" s="1232">
      <c r="A539" s="1393" t="n">
        <v>43522</v>
      </c>
      <c r="B539" s="1260" t="inlineStr">
        <is>
          <t>Jennifer Box</t>
        </is>
      </c>
      <c r="C539" s="1260" t="inlineStr">
        <is>
          <t>1. Courses/masterclasses</t>
        </is>
      </c>
      <c r="D539" s="1260" t="inlineStr">
        <is>
          <t>PicknMix</t>
        </is>
      </c>
      <c r="E539" s="1394" t="n">
        <v>45</v>
      </c>
      <c r="F539" s="1282" t="inlineStr">
        <is>
          <t>Creative Editing</t>
        </is>
      </c>
      <c r="G539" s="1260" t="inlineStr">
        <is>
          <t>Existing</t>
        </is>
      </c>
    </row>
    <row r="540" ht="13.5" customHeight="1" s="1232">
      <c r="A540" s="1393" t="n">
        <v>43522</v>
      </c>
      <c r="B540" s="1260" t="inlineStr">
        <is>
          <t>Jennifer Box</t>
        </is>
      </c>
      <c r="C540" s="1260" t="inlineStr">
        <is>
          <t>4. Pick n Mix Out</t>
        </is>
      </c>
      <c r="D540" s="1260" t="inlineStr">
        <is>
          <t>PicknMix</t>
        </is>
      </c>
      <c r="E540" s="1394" t="n">
        <v>-45</v>
      </c>
      <c r="F540" s="1282" t="inlineStr">
        <is>
          <t>Creative Editing</t>
        </is>
      </c>
      <c r="G540" s="1260" t="inlineStr">
        <is>
          <t>Existing</t>
        </is>
      </c>
    </row>
    <row r="541" ht="13.5" customHeight="1" s="1232">
      <c r="A541" s="1393" t="n">
        <v>43522</v>
      </c>
      <c r="B541" s="1260" t="inlineStr">
        <is>
          <t>Anne Watkinson</t>
        </is>
      </c>
      <c r="C541" s="1260" t="inlineStr">
        <is>
          <t>2. Workshops</t>
        </is>
      </c>
      <c r="D541" s="1260" t="inlineStr">
        <is>
          <t>PicknMix</t>
        </is>
      </c>
      <c r="E541" s="1394" t="n">
        <v>15</v>
      </c>
      <c r="F541" s="1282" t="inlineStr">
        <is>
          <t>Batsford Macro Class</t>
        </is>
      </c>
      <c r="G541" s="1260" t="inlineStr">
        <is>
          <t>Existing</t>
        </is>
      </c>
    </row>
    <row r="542" ht="13.5" customHeight="1" s="1232">
      <c r="A542" s="1393" t="n">
        <v>43522</v>
      </c>
      <c r="B542" s="1260" t="inlineStr">
        <is>
          <t>Anne Watkinson</t>
        </is>
      </c>
      <c r="C542" s="1260" t="inlineStr">
        <is>
          <t>4. Pick n Mix Out</t>
        </is>
      </c>
      <c r="D542" s="1260" t="inlineStr">
        <is>
          <t>PicknMix</t>
        </is>
      </c>
      <c r="E542" s="1394" t="n">
        <v>-15</v>
      </c>
      <c r="F542" s="1282" t="inlineStr">
        <is>
          <t>Batsford Macro Class</t>
        </is>
      </c>
      <c r="G542" s="1260" t="inlineStr">
        <is>
          <t>Existing</t>
        </is>
      </c>
    </row>
    <row r="543" ht="13.5" customHeight="1" s="1232">
      <c r="A543" s="1393" t="n">
        <v>43522</v>
      </c>
      <c r="B543" s="1260" t="inlineStr">
        <is>
          <t>Jennifer Box</t>
        </is>
      </c>
      <c r="C543" s="1260" t="inlineStr">
        <is>
          <t>2. Workshops</t>
        </is>
      </c>
      <c r="D543" s="1260" t="inlineStr">
        <is>
          <t>PicknMix</t>
        </is>
      </c>
      <c r="E543" s="1394" t="n">
        <v>89.09999999999999</v>
      </c>
      <c r="F543" s="1282" t="inlineStr">
        <is>
          <t>Batsford Macro Class</t>
        </is>
      </c>
      <c r="G543" s="1260" t="inlineStr">
        <is>
          <t>Existing</t>
        </is>
      </c>
    </row>
    <row r="544" ht="13.5" customHeight="1" s="1232">
      <c r="A544" s="1393" t="n">
        <v>43522</v>
      </c>
      <c r="B544" s="1260" t="inlineStr">
        <is>
          <t>Jennifer Box</t>
        </is>
      </c>
      <c r="C544" s="1260" t="inlineStr">
        <is>
          <t>4. Pick n Mix Out</t>
        </is>
      </c>
      <c r="D544" s="1260" t="inlineStr">
        <is>
          <t>PicknMix</t>
        </is>
      </c>
      <c r="E544" s="1394" t="n">
        <v>-89.09999999999999</v>
      </c>
      <c r="F544" s="1282" t="inlineStr">
        <is>
          <t>Batsford Macro Class</t>
        </is>
      </c>
      <c r="G544" s="1260" t="inlineStr">
        <is>
          <t>Existing</t>
        </is>
      </c>
    </row>
    <row r="545" ht="13.5" customHeight="1" s="1232">
      <c r="A545" s="1393" t="n">
        <v>43521</v>
      </c>
      <c r="B545" s="1260" t="inlineStr">
        <is>
          <t>Marija Sakalauskaite</t>
        </is>
      </c>
      <c r="C545" s="1260" t="inlineStr">
        <is>
          <t>10. Other</t>
        </is>
      </c>
      <c r="D545" s="1260" t="inlineStr">
        <is>
          <t>Stripe</t>
        </is>
      </c>
      <c r="E545" s="1394" t="n">
        <v>35</v>
      </c>
      <c r="F545" s="1260" t="inlineStr">
        <is>
          <t>Sensor Clean</t>
        </is>
      </c>
      <c r="G545" s="1260" t="inlineStr">
        <is>
          <t>Existing</t>
        </is>
      </c>
    </row>
    <row r="546" ht="13.5" customHeight="1" s="1232">
      <c r="A546" s="1393" t="n">
        <v>43521</v>
      </c>
      <c r="B546" s="1260" t="inlineStr">
        <is>
          <t>Greg Smart</t>
        </is>
      </c>
      <c r="C546" s="1260" t="inlineStr">
        <is>
          <t>2. Workshops</t>
        </is>
      </c>
      <c r="D546" s="1260" t="inlineStr">
        <is>
          <t>Stripe</t>
        </is>
      </c>
      <c r="E546" s="1394" t="n">
        <v>50</v>
      </c>
      <c r="F546" s="1260" t="inlineStr">
        <is>
          <t>Bluebells 27th Apr</t>
        </is>
      </c>
      <c r="G546" s="1260" t="inlineStr">
        <is>
          <t>Existing</t>
        </is>
      </c>
    </row>
    <row r="547" ht="13.5" customHeight="1" s="1232">
      <c r="A547" s="1393" t="n">
        <v>43520</v>
      </c>
      <c r="B547" s="1260" t="inlineStr">
        <is>
          <t>Jeremy Troth</t>
        </is>
      </c>
      <c r="C547" s="1260" t="inlineStr">
        <is>
          <t>2. Workshops</t>
        </is>
      </c>
      <c r="D547" s="1260" t="inlineStr">
        <is>
          <t>Stripe</t>
        </is>
      </c>
      <c r="E547" s="1394" t="n">
        <v>100</v>
      </c>
      <c r="F547" s="1260" t="inlineStr">
        <is>
          <t>Anglesey Aug</t>
        </is>
      </c>
      <c r="G547" s="1260" t="inlineStr">
        <is>
          <t>Existing</t>
        </is>
      </c>
    </row>
    <row r="548" ht="13.5" customHeight="1" s="1232">
      <c r="A548" s="1393" t="n">
        <v>43520</v>
      </c>
      <c r="B548" s="1260" t="inlineStr">
        <is>
          <t>Greg Smart</t>
        </is>
      </c>
      <c r="C548" s="1260" t="inlineStr">
        <is>
          <t>2. Workshops</t>
        </is>
      </c>
      <c r="D548" s="1260" t="inlineStr">
        <is>
          <t>Stripe</t>
        </is>
      </c>
      <c r="E548" s="1394" t="n">
        <v>99</v>
      </c>
      <c r="F548" s="1260" t="inlineStr">
        <is>
          <t>Bluebells 27th Apr</t>
        </is>
      </c>
      <c r="G548" s="1260" t="inlineStr">
        <is>
          <t>Existing</t>
        </is>
      </c>
    </row>
    <row r="549" ht="13.5" customHeight="1" s="1232">
      <c r="A549" s="1393" t="n">
        <v>43520</v>
      </c>
      <c r="B549" s="1260" t="inlineStr">
        <is>
          <t>Janet Boulter</t>
        </is>
      </c>
      <c r="C549" s="1260" t="inlineStr">
        <is>
          <t>1. Courses/masterclasses</t>
        </is>
      </c>
      <c r="D549" s="1260" t="inlineStr">
        <is>
          <t>Stripe</t>
        </is>
      </c>
      <c r="E549" s="1394" t="n">
        <v>175</v>
      </c>
      <c r="F549" s="1260" t="inlineStr">
        <is>
          <t>RPS Extension</t>
        </is>
      </c>
      <c r="G549" s="1260" t="inlineStr">
        <is>
          <t>Existing</t>
        </is>
      </c>
    </row>
    <row r="550" ht="13.5" customHeight="1" s="1232">
      <c r="A550" s="1393" t="n">
        <v>43516</v>
      </c>
      <c r="B550" s="1260" t="inlineStr">
        <is>
          <t>Nadine Pratt</t>
        </is>
      </c>
      <c r="C550" s="1260" t="inlineStr">
        <is>
          <t>2. Workshops</t>
        </is>
      </c>
      <c r="D550" s="1260" t="inlineStr">
        <is>
          <t>PicknMix</t>
        </is>
      </c>
      <c r="E550" s="1394" t="n">
        <v>112.5</v>
      </c>
      <c r="F550" s="1260" t="inlineStr">
        <is>
          <t>Bluebells 1st May</t>
        </is>
      </c>
      <c r="G550" s="1260" t="inlineStr">
        <is>
          <t>Existing</t>
        </is>
      </c>
    </row>
    <row r="551" ht="13.5" customHeight="1" s="1232">
      <c r="A551" s="1393" t="n">
        <v>43516</v>
      </c>
      <c r="B551" s="1260" t="inlineStr">
        <is>
          <t>Nadine Pratt</t>
        </is>
      </c>
      <c r="C551" s="1260" t="inlineStr">
        <is>
          <t>4. Pick n Mix Out</t>
        </is>
      </c>
      <c r="D551" s="1260" t="inlineStr">
        <is>
          <t>PicknMix</t>
        </is>
      </c>
      <c r="E551" s="1394" t="n">
        <v>-112.5</v>
      </c>
      <c r="F551" s="1260" t="inlineStr">
        <is>
          <t>Bluebells 1st May</t>
        </is>
      </c>
      <c r="G551" s="1260" t="inlineStr">
        <is>
          <t>Existing</t>
        </is>
      </c>
    </row>
    <row r="552" ht="13.5" customHeight="1" s="1232">
      <c r="A552" s="1393" t="n">
        <v>43516</v>
      </c>
      <c r="B552" s="1260" t="inlineStr">
        <is>
          <t>Nadine Pratt</t>
        </is>
      </c>
      <c r="C552" s="1260" t="inlineStr">
        <is>
          <t>1. Courses/masterclasses</t>
        </is>
      </c>
      <c r="D552" s="1260" t="inlineStr">
        <is>
          <t>PicknMix</t>
        </is>
      </c>
      <c r="E552" s="1394" t="n">
        <v>225</v>
      </c>
      <c r="F552" s="1260" t="inlineStr">
        <is>
          <t>4wk Course Kenilworth</t>
        </is>
      </c>
      <c r="G552" s="1260" t="inlineStr">
        <is>
          <t>Existing</t>
        </is>
      </c>
    </row>
    <row r="553" ht="13.5" customHeight="1" s="1232">
      <c r="A553" s="1393" t="n">
        <v>43516</v>
      </c>
      <c r="B553" s="1260" t="inlineStr">
        <is>
          <t>Nadine Pratt</t>
        </is>
      </c>
      <c r="C553" s="1260" t="inlineStr">
        <is>
          <t>4. Pick n Mix Out</t>
        </is>
      </c>
      <c r="D553" s="1260" t="inlineStr">
        <is>
          <t>PicknMix</t>
        </is>
      </c>
      <c r="E553" s="1394" t="n">
        <v>-225</v>
      </c>
      <c r="F553" s="1260" t="inlineStr">
        <is>
          <t>4wk Course Kenilworth</t>
        </is>
      </c>
      <c r="G553" s="1260" t="inlineStr">
        <is>
          <t>Existing</t>
        </is>
      </c>
    </row>
    <row r="554" ht="13.5" customHeight="1" s="1232">
      <c r="A554" s="1393" t="n">
        <v>43518</v>
      </c>
      <c r="B554" s="1260" t="inlineStr">
        <is>
          <t>Jennifer Box</t>
        </is>
      </c>
      <c r="C554" s="1260" t="inlineStr">
        <is>
          <t>6. 1-2-1</t>
        </is>
      </c>
      <c r="D554" s="1260" t="inlineStr">
        <is>
          <t>PicknMix</t>
        </is>
      </c>
      <c r="E554" s="1394" t="n">
        <v>65</v>
      </c>
      <c r="F554" s="1282" t="inlineStr">
        <is>
          <t>1-2-1</t>
        </is>
      </c>
      <c r="G554" s="1260" t="inlineStr">
        <is>
          <t>Existing</t>
        </is>
      </c>
    </row>
    <row r="555" ht="13.5" customHeight="1" s="1232">
      <c r="A555" s="1393" t="n">
        <v>43518</v>
      </c>
      <c r="B555" s="1260" t="inlineStr">
        <is>
          <t>Jennifer Box</t>
        </is>
      </c>
      <c r="C555" s="1260" t="inlineStr">
        <is>
          <t>4. Pick n Mix Out</t>
        </is>
      </c>
      <c r="D555" s="1260" t="inlineStr">
        <is>
          <t>PicknMix</t>
        </is>
      </c>
      <c r="E555" s="1394" t="n">
        <v>-65</v>
      </c>
      <c r="F555" s="1282" t="inlineStr">
        <is>
          <t>1-2-1</t>
        </is>
      </c>
      <c r="G555" s="1260" t="inlineStr">
        <is>
          <t>Existing</t>
        </is>
      </c>
    </row>
    <row r="556" ht="13.5" customHeight="1" s="1232">
      <c r="A556" s="1393" t="n">
        <v>43518</v>
      </c>
      <c r="B556" s="1260" t="inlineStr">
        <is>
          <t>Jacki Rosin</t>
        </is>
      </c>
      <c r="C556" s="1260" t="inlineStr">
        <is>
          <t>1. Courses/masterclasses</t>
        </is>
      </c>
      <c r="D556" s="1260" t="inlineStr">
        <is>
          <t>Bank</t>
        </is>
      </c>
      <c r="E556" s="1394" t="n">
        <v>150</v>
      </c>
      <c r="F556" s="1260" t="inlineStr">
        <is>
          <t>RPS Extension</t>
        </is>
      </c>
      <c r="G556" s="1260" t="inlineStr">
        <is>
          <t>Existing</t>
        </is>
      </c>
    </row>
    <row r="557" ht="13.5" customHeight="1" s="1232">
      <c r="A557" s="1393" t="n">
        <v>43514</v>
      </c>
      <c r="B557" s="1260" t="inlineStr">
        <is>
          <t>Caroline Key</t>
        </is>
      </c>
      <c r="C557" s="1260" t="inlineStr">
        <is>
          <t>1. Courses/masterclasses</t>
        </is>
      </c>
      <c r="D557" s="1260" t="inlineStr">
        <is>
          <t>PayPal</t>
        </is>
      </c>
      <c r="E557" s="1394" t="n">
        <v>150</v>
      </c>
      <c r="F557" s="1260" t="inlineStr">
        <is>
          <t>Macro Masterclass</t>
        </is>
      </c>
      <c r="G557" s="1260" t="inlineStr">
        <is>
          <t>Google</t>
        </is>
      </c>
    </row>
    <row r="558" ht="13.5" customHeight="1" s="1232">
      <c r="A558" s="1393" t="n">
        <v>43514</v>
      </c>
      <c r="B558" s="1260" t="inlineStr">
        <is>
          <t>Ina Riesel</t>
        </is>
      </c>
      <c r="C558" s="1260" t="inlineStr">
        <is>
          <t>2. Workshops</t>
        </is>
      </c>
      <c r="D558" s="1260" t="inlineStr">
        <is>
          <t>PayPal</t>
        </is>
      </c>
      <c r="E558" s="1394" t="n">
        <v>75</v>
      </c>
      <c r="F558" s="1260" t="inlineStr">
        <is>
          <t>Fairy Glen - 9th Aug</t>
        </is>
      </c>
      <c r="G558" s="1260" t="inlineStr">
        <is>
          <t>Google</t>
        </is>
      </c>
    </row>
    <row r="559" ht="13.5" customHeight="1" s="1232">
      <c r="A559" s="1393" t="n">
        <v>43513</v>
      </c>
      <c r="B559" s="1260" t="inlineStr">
        <is>
          <t>Steven Butler</t>
        </is>
      </c>
      <c r="C559" s="1260" t="inlineStr">
        <is>
          <t>1. Courses/masterclasses</t>
        </is>
      </c>
      <c r="D559" s="1260" t="inlineStr">
        <is>
          <t>Stripe</t>
        </is>
      </c>
      <c r="E559" s="1394" t="n">
        <v>30</v>
      </c>
      <c r="F559" s="1260" t="inlineStr">
        <is>
          <t>Intro Class Kenilowrth</t>
        </is>
      </c>
      <c r="G559" s="1260" t="inlineStr">
        <is>
          <t>Google</t>
        </is>
      </c>
    </row>
    <row r="560" ht="13.5" customHeight="1" s="1232">
      <c r="A560" s="1393" t="n">
        <v>43510</v>
      </c>
      <c r="B560" s="1260" t="inlineStr">
        <is>
          <t>Anne Watkinson</t>
        </is>
      </c>
      <c r="C560" s="1260" t="inlineStr">
        <is>
          <t>1. Courses/masterclasses</t>
        </is>
      </c>
      <c r="D560" s="1260" t="inlineStr">
        <is>
          <t>PicknMix</t>
        </is>
      </c>
      <c r="E560" s="1394" t="n">
        <v>150</v>
      </c>
      <c r="F560" s="1260" t="inlineStr">
        <is>
          <t>RPS Extension</t>
        </is>
      </c>
      <c r="G560" s="1260" t="inlineStr">
        <is>
          <t>Existing</t>
        </is>
      </c>
    </row>
    <row r="561" ht="13.5" customHeight="1" s="1232">
      <c r="A561" s="1393" t="n">
        <v>43510</v>
      </c>
      <c r="B561" s="1260" t="inlineStr">
        <is>
          <t>Anne Watkinson</t>
        </is>
      </c>
      <c r="C561" s="1260" t="inlineStr">
        <is>
          <t>4. Pick n Mix Out</t>
        </is>
      </c>
      <c r="D561" s="1260" t="inlineStr">
        <is>
          <t>PicknMix</t>
        </is>
      </c>
      <c r="E561" s="1394" t="n">
        <v>-150</v>
      </c>
      <c r="F561" s="1260" t="inlineStr">
        <is>
          <t>RPS Extension</t>
        </is>
      </c>
      <c r="G561" s="1260" t="inlineStr">
        <is>
          <t>Existing</t>
        </is>
      </c>
    </row>
    <row r="562" ht="13.5" customHeight="1" s="1232">
      <c r="A562" s="1393" t="n">
        <v>43510</v>
      </c>
      <c r="B562" s="1260" t="inlineStr">
        <is>
          <t>Anne Watkinson</t>
        </is>
      </c>
      <c r="C562" s="1260" t="inlineStr">
        <is>
          <t>2. Workshops</t>
        </is>
      </c>
      <c r="D562" s="1260" t="inlineStr">
        <is>
          <t>PicknMix</t>
        </is>
      </c>
      <c r="E562" s="1394" t="n">
        <v>510</v>
      </c>
      <c r="F562" s="1260" t="inlineStr">
        <is>
          <t>Wales</t>
        </is>
      </c>
      <c r="G562" s="1260" t="inlineStr">
        <is>
          <t>Existing</t>
        </is>
      </c>
    </row>
    <row r="563" ht="13.5" customHeight="1" s="1232">
      <c r="A563" s="1393" t="n">
        <v>43510</v>
      </c>
      <c r="B563" s="1260" t="inlineStr">
        <is>
          <t>Anne Watkinson</t>
        </is>
      </c>
      <c r="C563" s="1260" t="inlineStr">
        <is>
          <t>4. Pick n Mix Out</t>
        </is>
      </c>
      <c r="D563" s="1260" t="inlineStr">
        <is>
          <t>PicknMix</t>
        </is>
      </c>
      <c r="E563" s="1394" t="n">
        <v>-510</v>
      </c>
      <c r="F563" s="1260" t="inlineStr">
        <is>
          <t>Wales</t>
        </is>
      </c>
      <c r="G563" s="1260" t="inlineStr">
        <is>
          <t>Existing</t>
        </is>
      </c>
    </row>
    <row r="564" ht="13.5" customHeight="1" s="1232">
      <c r="A564" s="1393" t="n">
        <v>43510</v>
      </c>
      <c r="B564" s="1260" t="inlineStr">
        <is>
          <t>Anne Watkinson</t>
        </is>
      </c>
      <c r="C564" s="1255" t="inlineStr">
        <is>
          <t>3. Pick n Mix Inc</t>
        </is>
      </c>
      <c r="D564" s="1260" t="inlineStr">
        <is>
          <t>Bank</t>
        </is>
      </c>
      <c r="E564" s="1394" t="n">
        <v>200</v>
      </c>
      <c r="F564" s="1260" t="inlineStr">
        <is>
          <t>New Plan</t>
        </is>
      </c>
      <c r="G564" s="1260" t="inlineStr">
        <is>
          <t>Existing</t>
        </is>
      </c>
    </row>
    <row r="565" ht="13.5" customHeight="1" s="1232">
      <c r="A565" s="1393" t="n">
        <v>43509</v>
      </c>
      <c r="B565" s="1260" t="inlineStr">
        <is>
          <t>Linda Kooner</t>
        </is>
      </c>
      <c r="C565" s="1260" t="inlineStr">
        <is>
          <t>1. Courses/masterclasses</t>
        </is>
      </c>
      <c r="D565" s="1260" t="inlineStr">
        <is>
          <t>Stripe</t>
        </is>
      </c>
      <c r="E565" s="1394" t="n">
        <v>30</v>
      </c>
      <c r="F565" s="1260" t="inlineStr">
        <is>
          <t>Intro Class Kenilowrth</t>
        </is>
      </c>
      <c r="G565" s="1260" t="inlineStr">
        <is>
          <t>Google</t>
        </is>
      </c>
    </row>
    <row r="566" ht="13.5" customHeight="1" s="1232">
      <c r="A566" s="1393" t="n">
        <v>43509</v>
      </c>
      <c r="B566" s="1260" t="inlineStr">
        <is>
          <t>John Stubbs</t>
        </is>
      </c>
      <c r="C566" s="1260" t="inlineStr">
        <is>
          <t>5. Mentoring</t>
        </is>
      </c>
      <c r="D566" s="1260" t="inlineStr">
        <is>
          <t>PayPal</t>
        </is>
      </c>
      <c r="E566" s="1394" t="n">
        <v>200</v>
      </c>
      <c r="F566" s="1260" t="inlineStr">
        <is>
          <t>Annual Mentoring Plan</t>
        </is>
      </c>
      <c r="G566" s="1260" t="inlineStr">
        <is>
          <t>Existing</t>
        </is>
      </c>
    </row>
    <row r="567" ht="13.5" customHeight="1" s="1232">
      <c r="A567" s="1393" t="n">
        <v>43508</v>
      </c>
      <c r="B567" s="1260" t="inlineStr">
        <is>
          <t>Heather Powell</t>
        </is>
      </c>
      <c r="C567" s="1260" t="inlineStr">
        <is>
          <t>1. Courses/masterclasses</t>
        </is>
      </c>
      <c r="D567" s="1260" t="inlineStr">
        <is>
          <t>PicknMix</t>
        </is>
      </c>
      <c r="E567" s="1394" t="n">
        <v>250</v>
      </c>
      <c r="F567" s="1260" t="inlineStr">
        <is>
          <t>Lightroom Course</t>
        </is>
      </c>
      <c r="G567" s="1260" t="inlineStr">
        <is>
          <t>Existing</t>
        </is>
      </c>
    </row>
    <row r="568" ht="13.5" customHeight="1" s="1232">
      <c r="A568" s="1393" t="n">
        <v>43508</v>
      </c>
      <c r="B568" s="1260" t="inlineStr">
        <is>
          <t>Heather Powell</t>
        </is>
      </c>
      <c r="C568" s="1260" t="inlineStr">
        <is>
          <t>4. Pick n Mix Out</t>
        </is>
      </c>
      <c r="D568" s="1260" t="inlineStr">
        <is>
          <t>PicknMix</t>
        </is>
      </c>
      <c r="E568" s="1394" t="n">
        <v>-250</v>
      </c>
      <c r="F568" s="1260" t="inlineStr">
        <is>
          <t>Lightroom Course</t>
        </is>
      </c>
      <c r="G568" s="1260" t="inlineStr">
        <is>
          <t>Existing</t>
        </is>
      </c>
    </row>
    <row r="569" ht="13.5" customHeight="1" s="1232">
      <c r="A569" s="1393" t="n">
        <v>43508</v>
      </c>
      <c r="B569" s="1260" t="inlineStr">
        <is>
          <t>Grant Harbert</t>
        </is>
      </c>
      <c r="C569" s="1260" t="inlineStr">
        <is>
          <t>1. Courses/masterclasses</t>
        </is>
      </c>
      <c r="D569" s="1260" t="inlineStr">
        <is>
          <t>Stripe</t>
        </is>
      </c>
      <c r="E569" s="1394" t="n">
        <v>150</v>
      </c>
      <c r="F569" s="1260" t="inlineStr">
        <is>
          <t>4wk Course Solihull</t>
        </is>
      </c>
      <c r="G569" s="1260" t="inlineStr">
        <is>
          <t>Existing</t>
        </is>
      </c>
    </row>
    <row r="570" ht="13.5" customHeight="1" s="1232">
      <c r="A570" s="1393" t="n">
        <v>43508</v>
      </c>
      <c r="B570" s="1260" t="inlineStr">
        <is>
          <t>Joy Allford</t>
        </is>
      </c>
      <c r="C570" s="1260" t="inlineStr">
        <is>
          <t>2. Workshops</t>
        </is>
      </c>
      <c r="D570" s="1260" t="inlineStr">
        <is>
          <t>Stripe</t>
        </is>
      </c>
      <c r="E570" s="1394" t="n">
        <v>10</v>
      </c>
      <c r="F570" s="1260" t="inlineStr">
        <is>
          <t>Woodland Walk</t>
        </is>
      </c>
      <c r="G570" s="1260" t="inlineStr">
        <is>
          <t>Google</t>
        </is>
      </c>
    </row>
    <row r="571" ht="13.5" customHeight="1" s="1232">
      <c r="A571" s="1393" t="n">
        <v>43508</v>
      </c>
      <c r="B571" s="1260" t="inlineStr">
        <is>
          <t>Helen Sotheran</t>
        </is>
      </c>
      <c r="C571" s="1260" t="inlineStr">
        <is>
          <t>2. Workshops</t>
        </is>
      </c>
      <c r="D571" s="1260" t="inlineStr">
        <is>
          <t>Stripe</t>
        </is>
      </c>
      <c r="E571" s="1394" t="n">
        <v>10</v>
      </c>
      <c r="F571" s="1260" t="inlineStr">
        <is>
          <t>Woodland Walk</t>
        </is>
      </c>
      <c r="G571" s="1260" t="inlineStr">
        <is>
          <t>Existing</t>
        </is>
      </c>
    </row>
    <row r="572" ht="13.5" customHeight="1" s="1232">
      <c r="A572" s="1393" t="n">
        <v>43506</v>
      </c>
      <c r="B572" s="1260" t="inlineStr">
        <is>
          <t>Anne Watkinson</t>
        </is>
      </c>
      <c r="C572" s="1260" t="inlineStr">
        <is>
          <t>2. Workshops</t>
        </is>
      </c>
      <c r="D572" s="1260" t="inlineStr">
        <is>
          <t>Stripe</t>
        </is>
      </c>
      <c r="E572" s="1394" t="n">
        <v>10</v>
      </c>
      <c r="F572" s="1260" t="inlineStr">
        <is>
          <t>Woodland Walk</t>
        </is>
      </c>
      <c r="G572" s="1260" t="inlineStr">
        <is>
          <t>Existing</t>
        </is>
      </c>
    </row>
    <row r="573" ht="13.5" customHeight="1" s="1232">
      <c r="A573" s="1393" t="n">
        <v>43500</v>
      </c>
      <c r="B573" s="1260" t="inlineStr">
        <is>
          <t>Ina Wilkening</t>
        </is>
      </c>
      <c r="C573" s="1260" t="inlineStr">
        <is>
          <t>5. Mentoring</t>
        </is>
      </c>
      <c r="D573" s="1260" t="inlineStr">
        <is>
          <t>Stripe</t>
        </is>
      </c>
      <c r="E573" s="1394" t="n">
        <v>20</v>
      </c>
      <c r="F573" s="1260" t="inlineStr">
        <is>
          <t>Monthly Mentoring</t>
        </is>
      </c>
      <c r="G573" s="1260" t="inlineStr">
        <is>
          <t>Existing</t>
        </is>
      </c>
    </row>
    <row r="574" ht="13.5" customHeight="1" s="1232">
      <c r="A574" s="1393" t="n">
        <v>43499</v>
      </c>
      <c r="B574" s="1260" t="inlineStr">
        <is>
          <t>Neil Partridge</t>
        </is>
      </c>
      <c r="C574" s="1260" t="inlineStr">
        <is>
          <t>2. Workshops</t>
        </is>
      </c>
      <c r="D574" s="1260" t="inlineStr">
        <is>
          <t>PayPal</t>
        </is>
      </c>
      <c r="E574" s="1394" t="n">
        <v>20</v>
      </c>
      <c r="F574" s="1260" t="inlineStr">
        <is>
          <t>Woodland Walk</t>
        </is>
      </c>
      <c r="G574" s="1260" t="inlineStr">
        <is>
          <t>Google</t>
        </is>
      </c>
    </row>
    <row r="575" ht="13.5" customHeight="1" s="1232">
      <c r="A575" s="1393" t="n">
        <v>43499</v>
      </c>
      <c r="B575" s="1260" t="inlineStr">
        <is>
          <t>Heather Powell</t>
        </is>
      </c>
      <c r="C575" s="1260" t="inlineStr">
        <is>
          <t>2. Workshops</t>
        </is>
      </c>
      <c r="D575" s="1260" t="inlineStr">
        <is>
          <t>PicknMix</t>
        </is>
      </c>
      <c r="E575" s="1394" t="n">
        <v>10</v>
      </c>
      <c r="F575" s="1260" t="inlineStr">
        <is>
          <t>Woodland Walk</t>
        </is>
      </c>
      <c r="G575" s="1260" t="inlineStr">
        <is>
          <t>Existing</t>
        </is>
      </c>
    </row>
    <row r="576" ht="13.5" customHeight="1" s="1232">
      <c r="A576" s="1393" t="n">
        <v>43499</v>
      </c>
      <c r="B576" s="1260" t="inlineStr">
        <is>
          <t>Heather Powell</t>
        </is>
      </c>
      <c r="C576" s="1260" t="inlineStr">
        <is>
          <t>4. Pick n Mix Out</t>
        </is>
      </c>
      <c r="D576" s="1260" t="inlineStr">
        <is>
          <t>PicknMix</t>
        </is>
      </c>
      <c r="E576" s="1394" t="n">
        <v>-10</v>
      </c>
      <c r="F576" s="1260" t="inlineStr">
        <is>
          <t>Woodland Walk</t>
        </is>
      </c>
      <c r="G576" s="1260" t="inlineStr">
        <is>
          <t>Existing</t>
        </is>
      </c>
    </row>
    <row r="577" ht="13.5" customHeight="1" s="1232">
      <c r="A577" s="1393" t="n">
        <v>43499</v>
      </c>
      <c r="B577" s="1260" t="inlineStr">
        <is>
          <t>Helen Sotheran</t>
        </is>
      </c>
      <c r="C577" s="1260" t="inlineStr">
        <is>
          <t>2. Workshops</t>
        </is>
      </c>
      <c r="D577" s="1260" t="inlineStr">
        <is>
          <t>Stripe</t>
        </is>
      </c>
      <c r="E577" s="1394" t="n">
        <v>10</v>
      </c>
      <c r="F577" s="1260" t="inlineStr">
        <is>
          <t>Woodland Walk</t>
        </is>
      </c>
      <c r="G577" s="1260" t="inlineStr">
        <is>
          <t>Existing</t>
        </is>
      </c>
    </row>
    <row r="578" ht="13.5" customHeight="1" s="1232">
      <c r="A578" s="1393" t="n">
        <v>43498</v>
      </c>
      <c r="B578" s="1260" t="inlineStr">
        <is>
          <t>Jeremy Troth</t>
        </is>
      </c>
      <c r="C578" s="1260" t="inlineStr">
        <is>
          <t>2. Workshops</t>
        </is>
      </c>
      <c r="D578" s="1260" t="inlineStr">
        <is>
          <t>Stripe</t>
        </is>
      </c>
      <c r="E578" s="1394" t="n">
        <v>10</v>
      </c>
      <c r="F578" s="1260" t="inlineStr">
        <is>
          <t>Woodland Walk</t>
        </is>
      </c>
      <c r="G578" s="1260" t="inlineStr">
        <is>
          <t>Existing</t>
        </is>
      </c>
    </row>
    <row r="579" ht="13.5" customHeight="1" s="1232">
      <c r="A579" s="1393" t="n">
        <v>43497</v>
      </c>
      <c r="B579" s="1260" t="inlineStr">
        <is>
          <t>Heather Powell</t>
        </is>
      </c>
      <c r="C579" s="1255" t="inlineStr">
        <is>
          <t>3. Pick n Mix Inc</t>
        </is>
      </c>
      <c r="D579" s="1260" t="inlineStr">
        <is>
          <t>Bank</t>
        </is>
      </c>
      <c r="E579" s="1394" t="n">
        <v>250</v>
      </c>
      <c r="F579" s="1260" t="inlineStr">
        <is>
          <t>New Plan</t>
        </is>
      </c>
      <c r="G579" s="1260" t="inlineStr">
        <is>
          <t>Existing</t>
        </is>
      </c>
    </row>
    <row r="580" ht="13.5" customHeight="1" s="1232">
      <c r="A580" s="1393" t="n">
        <v>43497</v>
      </c>
      <c r="B580" s="1260" t="inlineStr">
        <is>
          <t>Feb Pick N Mix</t>
        </is>
      </c>
      <c r="C580" s="1255" t="inlineStr">
        <is>
          <t>3. Pick n Mix Inc</t>
        </is>
      </c>
      <c r="D580" s="1255" t="inlineStr">
        <is>
          <t>Various</t>
        </is>
      </c>
      <c r="E580" s="1261">
        <f>830-250</f>
        <v/>
      </c>
      <c r="F580" s="1255" t="inlineStr">
        <is>
          <t>Pick N Mix Payments</t>
        </is>
      </c>
      <c r="G580" s="1255" t="inlineStr">
        <is>
          <t>Existing</t>
        </is>
      </c>
    </row>
    <row r="581" ht="13.5" customHeight="1" s="1232">
      <c r="A581" s="1393" t="n">
        <v>43497</v>
      </c>
      <c r="B581" s="1260" t="inlineStr">
        <is>
          <t>Feb Mentoring</t>
        </is>
      </c>
      <c r="C581" s="1255" t="inlineStr">
        <is>
          <t>5. Mentoring</t>
        </is>
      </c>
      <c r="D581" s="1255" t="inlineStr">
        <is>
          <t>Various</t>
        </is>
      </c>
      <c r="E581" s="1261" t="n">
        <v>20</v>
      </c>
      <c r="F581" s="1255" t="inlineStr">
        <is>
          <t>Mentoring Subs</t>
        </is>
      </c>
      <c r="G581" s="1255" t="inlineStr">
        <is>
          <t>Existing</t>
        </is>
      </c>
    </row>
    <row r="582" ht="13.5" customHeight="1" s="1232">
      <c r="A582" s="1393" t="n"/>
      <c r="B582" s="1260" t="n"/>
      <c r="C582" s="1260" t="n"/>
      <c r="D582" s="1260" t="n"/>
      <c r="E582" s="1394" t="n"/>
      <c r="F582" s="1260" t="n"/>
      <c r="G582" s="1260" t="n"/>
    </row>
    <row r="583" ht="13.5" customHeight="1" s="1232">
      <c r="A583" s="1393" t="n">
        <v>43496</v>
      </c>
      <c r="B583" s="1260" t="inlineStr">
        <is>
          <t>Jo Rogers</t>
        </is>
      </c>
      <c r="C583" s="1260" t="inlineStr">
        <is>
          <t>2. Workshops</t>
        </is>
      </c>
      <c r="D583" s="1260" t="inlineStr">
        <is>
          <t>PayPal</t>
        </is>
      </c>
      <c r="E583" s="1394" t="n">
        <v>10</v>
      </c>
      <c r="F583" s="1260" t="inlineStr">
        <is>
          <t>Woodland Walk</t>
        </is>
      </c>
      <c r="G583" s="1260" t="inlineStr">
        <is>
          <t>Existing</t>
        </is>
      </c>
    </row>
    <row r="584" ht="13.5" customHeight="1" s="1232">
      <c r="A584" s="1393" t="n">
        <v>43495</v>
      </c>
      <c r="B584" s="1260" t="inlineStr">
        <is>
          <t>David Howell</t>
        </is>
      </c>
      <c r="C584" s="1255" t="inlineStr">
        <is>
          <t>1. Courses/masterclasses</t>
        </is>
      </c>
      <c r="D584" s="1260" t="inlineStr">
        <is>
          <t>Various</t>
        </is>
      </c>
      <c r="E584" s="1394" t="n">
        <v>0</v>
      </c>
      <c r="F584" s="1260" t="inlineStr">
        <is>
          <t>Intro Class - Gift Voucher</t>
        </is>
      </c>
      <c r="G584" s="1260" t="inlineStr">
        <is>
          <t>Google</t>
        </is>
      </c>
    </row>
    <row r="585" ht="13.5" customHeight="1" s="1232">
      <c r="A585" s="1393" t="n">
        <v>43495</v>
      </c>
      <c r="B585" s="1260" t="inlineStr">
        <is>
          <t>Diana Saville</t>
        </is>
      </c>
      <c r="C585" s="1260" t="inlineStr">
        <is>
          <t>2. Workshops</t>
        </is>
      </c>
      <c r="D585" s="1260" t="inlineStr">
        <is>
          <t>Bank</t>
        </is>
      </c>
      <c r="E585" s="1394" t="n">
        <v>595</v>
      </c>
      <c r="F585" s="1260" t="inlineStr">
        <is>
          <t>Suffolk</t>
        </is>
      </c>
      <c r="G585" s="1260" t="inlineStr">
        <is>
          <t>Existing</t>
        </is>
      </c>
    </row>
    <row r="586" ht="13.5" customHeight="1" s="1232">
      <c r="A586" s="1393" t="n">
        <v>43495</v>
      </c>
      <c r="B586" s="1260" t="inlineStr">
        <is>
          <t>Dalice Trost</t>
        </is>
      </c>
      <c r="C586" s="1260" t="inlineStr">
        <is>
          <t>2. Workshops</t>
        </is>
      </c>
      <c r="D586" s="1260" t="inlineStr">
        <is>
          <t>Bank</t>
        </is>
      </c>
      <c r="E586" s="1394" t="n">
        <v>515</v>
      </c>
      <c r="F586" s="1260" t="inlineStr">
        <is>
          <t>Dee Valley Wales</t>
        </is>
      </c>
      <c r="G586" s="1260" t="inlineStr">
        <is>
          <t>Existing</t>
        </is>
      </c>
    </row>
    <row r="587" ht="13.5" customHeight="1" s="1232">
      <c r="A587" s="1393" t="n">
        <v>43494</v>
      </c>
      <c r="B587" s="1260" t="inlineStr">
        <is>
          <t>Janice Jordan</t>
        </is>
      </c>
      <c r="C587" s="1260" t="inlineStr">
        <is>
          <t>2. Workshops</t>
        </is>
      </c>
      <c r="D587" s="1260" t="inlineStr">
        <is>
          <t>PicknMix</t>
        </is>
      </c>
      <c r="E587" s="1394" t="n">
        <v>400</v>
      </c>
      <c r="F587" s="1260" t="inlineStr">
        <is>
          <t>Dee Valley Wales</t>
        </is>
      </c>
      <c r="G587" s="1260" t="inlineStr">
        <is>
          <t>Existing</t>
        </is>
      </c>
    </row>
    <row r="588" ht="13.5" customHeight="1" s="1232">
      <c r="A588" s="1393" t="n">
        <v>43494</v>
      </c>
      <c r="B588" s="1260" t="inlineStr">
        <is>
          <t>Janice Jordan</t>
        </is>
      </c>
      <c r="C588" s="1260" t="inlineStr">
        <is>
          <t>4. Pick n Mix Out</t>
        </is>
      </c>
      <c r="D588" s="1260" t="inlineStr">
        <is>
          <t>PicknMix</t>
        </is>
      </c>
      <c r="E588" s="1394" t="n">
        <v>-400</v>
      </c>
      <c r="F588" s="1260" t="inlineStr">
        <is>
          <t>Dee Valley Wales</t>
        </is>
      </c>
      <c r="G588" s="1260" t="inlineStr">
        <is>
          <t>Existing</t>
        </is>
      </c>
    </row>
    <row r="589" ht="13.5" customHeight="1" s="1232">
      <c r="A589" s="1393" t="n">
        <v>43493</v>
      </c>
      <c r="B589" s="1260" t="inlineStr">
        <is>
          <t>Ina Wilkening</t>
        </is>
      </c>
      <c r="C589" s="1255" t="inlineStr">
        <is>
          <t>1. Courses/masterclasses</t>
        </is>
      </c>
      <c r="D589" s="1260" t="inlineStr">
        <is>
          <t>Stripe</t>
        </is>
      </c>
      <c r="E589" s="1394" t="n">
        <v>50</v>
      </c>
      <c r="F589" s="1260" t="inlineStr">
        <is>
          <t>Masterclass</t>
        </is>
      </c>
      <c r="G589" s="1260" t="inlineStr">
        <is>
          <t>Existing</t>
        </is>
      </c>
    </row>
    <row r="590" ht="13.5" customHeight="1" s="1232">
      <c r="A590" s="1393" t="n">
        <v>43492</v>
      </c>
      <c r="B590" s="1260" t="inlineStr">
        <is>
          <t>Madeleine Clark</t>
        </is>
      </c>
      <c r="C590" s="1260" t="inlineStr">
        <is>
          <t>2. Workshops</t>
        </is>
      </c>
      <c r="D590" s="1260" t="inlineStr">
        <is>
          <t>Stripe</t>
        </is>
      </c>
      <c r="E590" s="1394" t="n">
        <v>70</v>
      </c>
      <c r="F590" s="1260" t="inlineStr">
        <is>
          <t>Woodland Walks and Sunset</t>
        </is>
      </c>
      <c r="G590" s="1260" t="inlineStr">
        <is>
          <t>Existing</t>
        </is>
      </c>
    </row>
    <row r="591" ht="13.5" customHeight="1" s="1232">
      <c r="A591" s="1393" t="n">
        <v>43490</v>
      </c>
      <c r="B591" s="1260" t="inlineStr">
        <is>
          <t>Nadine Pratt</t>
        </is>
      </c>
      <c r="C591" s="1260" t="inlineStr">
        <is>
          <t>2. Workshops</t>
        </is>
      </c>
      <c r="D591" s="1260" t="inlineStr">
        <is>
          <t>PicknMix</t>
        </is>
      </c>
      <c r="E591" s="1394" t="n">
        <v>10</v>
      </c>
      <c r="F591" s="1260" t="inlineStr">
        <is>
          <t>Woodland Walk</t>
        </is>
      </c>
      <c r="G591" s="1260" t="inlineStr">
        <is>
          <t>Existing</t>
        </is>
      </c>
    </row>
    <row r="592" ht="13.5" customHeight="1" s="1232">
      <c r="A592" s="1393" t="n">
        <v>43490</v>
      </c>
      <c r="B592" s="1260" t="inlineStr">
        <is>
          <t>Nadine Pratt</t>
        </is>
      </c>
      <c r="C592" s="1260" t="inlineStr">
        <is>
          <t>4. Pick n Mix Out</t>
        </is>
      </c>
      <c r="D592" s="1260" t="inlineStr">
        <is>
          <t>PicknMix</t>
        </is>
      </c>
      <c r="E592" s="1394" t="n">
        <v>-10</v>
      </c>
      <c r="F592" s="1260" t="inlineStr">
        <is>
          <t>Woodland Walk</t>
        </is>
      </c>
      <c r="G592" s="1260" t="inlineStr">
        <is>
          <t>Existing</t>
        </is>
      </c>
    </row>
    <row r="593" ht="13.5" customHeight="1" s="1232">
      <c r="A593" s="1393" t="n">
        <v>43490</v>
      </c>
      <c r="B593" s="1260" t="inlineStr">
        <is>
          <t>Nadine Pratt</t>
        </is>
      </c>
      <c r="C593" s="1260" t="inlineStr">
        <is>
          <t>2. Workshops</t>
        </is>
      </c>
      <c r="D593" s="1260" t="inlineStr">
        <is>
          <t>PicknMix</t>
        </is>
      </c>
      <c r="E593" s="1394" t="n">
        <v>99</v>
      </c>
      <c r="F593" s="1260" t="inlineStr">
        <is>
          <t>Batsford Macro Class</t>
        </is>
      </c>
      <c r="G593" s="1260" t="inlineStr">
        <is>
          <t>Existing</t>
        </is>
      </c>
    </row>
    <row r="594" ht="13.5" customHeight="1" s="1232">
      <c r="A594" s="1393" t="n">
        <v>43490</v>
      </c>
      <c r="B594" s="1260" t="inlineStr">
        <is>
          <t>Nadine Pratt</t>
        </is>
      </c>
      <c r="C594" s="1260" t="inlineStr">
        <is>
          <t>4. Pick n Mix Out</t>
        </is>
      </c>
      <c r="D594" s="1260" t="inlineStr">
        <is>
          <t>PicknMix</t>
        </is>
      </c>
      <c r="E594" s="1394" t="n">
        <v>-99</v>
      </c>
      <c r="F594" s="1260" t="inlineStr">
        <is>
          <t>Batsford Macro Class</t>
        </is>
      </c>
      <c r="G594" s="1260" t="inlineStr">
        <is>
          <t>Existing</t>
        </is>
      </c>
    </row>
    <row r="595" ht="13.5" customHeight="1" s="1232">
      <c r="A595" s="1393" t="n">
        <v>43490</v>
      </c>
      <c r="B595" s="1260" t="inlineStr">
        <is>
          <t>Federico Botta</t>
        </is>
      </c>
      <c r="C595" s="1255" t="inlineStr">
        <is>
          <t>1. Courses/masterclasses</t>
        </is>
      </c>
      <c r="D595" s="1260" t="inlineStr">
        <is>
          <t>Stripe</t>
        </is>
      </c>
      <c r="E595" s="1394" t="n">
        <v>30</v>
      </c>
      <c r="F595" s="1260" t="inlineStr">
        <is>
          <t>Intro Class</t>
        </is>
      </c>
      <c r="G595" s="1260" t="inlineStr">
        <is>
          <t>Google</t>
        </is>
      </c>
    </row>
    <row r="596" ht="13.5" customHeight="1" s="1232">
      <c r="A596" s="1393" t="n">
        <v>43490</v>
      </c>
      <c r="B596" s="1260" t="inlineStr">
        <is>
          <t>peter williams</t>
        </is>
      </c>
      <c r="C596" s="1255" t="inlineStr">
        <is>
          <t>2. Workshops</t>
        </is>
      </c>
      <c r="D596" s="1260" t="inlineStr">
        <is>
          <t>PayPal</t>
        </is>
      </c>
      <c r="E596" s="1394" t="n">
        <v>475</v>
      </c>
      <c r="F596" s="1260" t="inlineStr">
        <is>
          <t>Anglesey (switched to Dee Valley)</t>
        </is>
      </c>
      <c r="G596" s="1260" t="inlineStr">
        <is>
          <t>Google</t>
        </is>
      </c>
    </row>
    <row r="597" ht="13.5" customHeight="1" s="1232">
      <c r="A597" s="1393" t="n">
        <v>43490</v>
      </c>
      <c r="B597" s="1260" t="inlineStr">
        <is>
          <t>Jennifer Box</t>
        </is>
      </c>
      <c r="C597" s="1260" t="inlineStr">
        <is>
          <t>3. Pick n Mix Inc</t>
        </is>
      </c>
      <c r="D597" s="1260" t="inlineStr">
        <is>
          <t>Cash</t>
        </is>
      </c>
      <c r="E597" s="1394" t="n">
        <v>525</v>
      </c>
      <c r="F597" s="1260" t="inlineStr">
        <is>
          <t>New PnM Plan</t>
        </is>
      </c>
      <c r="G597" s="1260" t="inlineStr">
        <is>
          <t>Existing</t>
        </is>
      </c>
    </row>
    <row r="598" ht="13.5" customHeight="1" s="1232">
      <c r="A598" s="1393" t="n">
        <v>43489</v>
      </c>
      <c r="B598" s="1260" t="inlineStr">
        <is>
          <t>Dalice Trost</t>
        </is>
      </c>
      <c r="C598" s="1255" t="inlineStr">
        <is>
          <t>2. Workshops</t>
        </is>
      </c>
      <c r="D598" s="1260" t="inlineStr">
        <is>
          <t>Bank</t>
        </is>
      </c>
      <c r="E598" s="1394" t="n">
        <v>755</v>
      </c>
      <c r="F598" s="1260" t="inlineStr">
        <is>
          <t>Suffolk</t>
        </is>
      </c>
      <c r="G598" s="1260" t="inlineStr">
        <is>
          <t>Google</t>
        </is>
      </c>
    </row>
    <row r="599" ht="13.5" customHeight="1" s="1232">
      <c r="A599" s="1393" t="n">
        <v>43489</v>
      </c>
      <c r="B599" s="1260" t="inlineStr">
        <is>
          <t>Colleen Abell</t>
        </is>
      </c>
      <c r="C599" s="1255" t="inlineStr">
        <is>
          <t>1. Courses/masterclasses</t>
        </is>
      </c>
      <c r="D599" s="1260" t="inlineStr">
        <is>
          <t>Bank</t>
        </is>
      </c>
      <c r="E599" s="1394" t="n">
        <v>250</v>
      </c>
      <c r="F599" s="1260" t="inlineStr">
        <is>
          <t>Beginners Course</t>
        </is>
      </c>
      <c r="G599" s="1260" t="inlineStr">
        <is>
          <t>Existing</t>
        </is>
      </c>
    </row>
    <row r="600" ht="13.5" customHeight="1" s="1232">
      <c r="A600" s="1393" t="n">
        <v>43482</v>
      </c>
      <c r="B600" s="1260" t="inlineStr">
        <is>
          <t>Helen Sotheran</t>
        </is>
      </c>
      <c r="C600" s="1255" t="inlineStr">
        <is>
          <t>6. 1-2-1</t>
        </is>
      </c>
      <c r="D600" s="1260" t="inlineStr">
        <is>
          <t>Bank</t>
        </is>
      </c>
      <c r="E600" s="1394" t="n">
        <v>250</v>
      </c>
      <c r="F600" s="1260" t="inlineStr">
        <is>
          <t>Photo Lvl 2 Course</t>
        </is>
      </c>
      <c r="G600" s="1260" t="inlineStr">
        <is>
          <t>ELS</t>
        </is>
      </c>
    </row>
    <row r="601" ht="13.5" customHeight="1" s="1232">
      <c r="A601" s="1393" t="n">
        <v>43477</v>
      </c>
      <c r="B601" s="1260" t="inlineStr">
        <is>
          <t>Catherine Wood</t>
        </is>
      </c>
      <c r="C601" s="1255" t="inlineStr">
        <is>
          <t>2. Workshops</t>
        </is>
      </c>
      <c r="D601" s="1260" t="inlineStr">
        <is>
          <t>PayPal</t>
        </is>
      </c>
      <c r="E601" s="1394" t="n">
        <v>10</v>
      </c>
      <c r="F601" s="1260" t="inlineStr">
        <is>
          <t>Woodland Walk</t>
        </is>
      </c>
      <c r="G601" s="1260" t="inlineStr">
        <is>
          <t>Existing</t>
        </is>
      </c>
    </row>
    <row r="602" ht="13.5" customHeight="1" s="1232">
      <c r="A602" s="1393" t="n">
        <v>43476</v>
      </c>
      <c r="B602" s="1260" t="inlineStr">
        <is>
          <t>Heather Powell</t>
        </is>
      </c>
      <c r="C602" s="1255" t="inlineStr">
        <is>
          <t>1. Courses/masterclasses</t>
        </is>
      </c>
      <c r="D602" s="1260" t="inlineStr">
        <is>
          <t>PayPal</t>
        </is>
      </c>
      <c r="E602" s="1394" t="n">
        <v>250</v>
      </c>
      <c r="F602" s="1260" t="inlineStr">
        <is>
          <t>4wk Beginners Course</t>
        </is>
      </c>
      <c r="G602" s="1260" t="inlineStr">
        <is>
          <t>Google</t>
        </is>
      </c>
    </row>
    <row r="603" ht="13.5" customHeight="1" s="1232">
      <c r="A603" s="1393" t="n">
        <v>43474</v>
      </c>
      <c r="B603" s="1260" t="inlineStr">
        <is>
          <t>Amanda Graham</t>
        </is>
      </c>
      <c r="C603" s="1260" t="inlineStr">
        <is>
          <t>4. Pick n Mix Out</t>
        </is>
      </c>
      <c r="D603" s="1260" t="inlineStr">
        <is>
          <t>PicknMix</t>
        </is>
      </c>
      <c r="E603" s="1394" t="n">
        <v>-427.5</v>
      </c>
      <c r="F603" s="1260" t="inlineStr">
        <is>
          <t>Snowdonia</t>
        </is>
      </c>
      <c r="G603" s="1260" t="inlineStr">
        <is>
          <t>Existing</t>
        </is>
      </c>
    </row>
    <row r="604" ht="13.5" customHeight="1" s="1232">
      <c r="A604" s="1393" t="n">
        <v>43474</v>
      </c>
      <c r="B604" s="1260" t="inlineStr">
        <is>
          <t>Amanda Graham</t>
        </is>
      </c>
      <c r="C604" s="1255" t="inlineStr">
        <is>
          <t>2. Workshops</t>
        </is>
      </c>
      <c r="D604" s="1260" t="inlineStr">
        <is>
          <t>PicknMix</t>
        </is>
      </c>
      <c r="E604" s="1394" t="n">
        <v>427.5</v>
      </c>
      <c r="F604" s="1260" t="inlineStr">
        <is>
          <t>Snowdonia</t>
        </is>
      </c>
      <c r="G604" s="1260" t="inlineStr">
        <is>
          <t>Existing</t>
        </is>
      </c>
    </row>
    <row r="605" ht="13.5" customHeight="1" s="1232">
      <c r="A605" s="1393" t="n">
        <v>43474</v>
      </c>
      <c r="B605" s="1260" t="inlineStr">
        <is>
          <t>Vanessa Lindley</t>
        </is>
      </c>
      <c r="C605" s="1255" t="inlineStr">
        <is>
          <t>1. Courses/masterclasses</t>
        </is>
      </c>
      <c r="D605" s="1260" t="inlineStr">
        <is>
          <t>Stripe</t>
        </is>
      </c>
      <c r="E605" s="1394" t="n">
        <v>250</v>
      </c>
      <c r="F605" s="1260" t="inlineStr">
        <is>
          <t>4wk Beginners Course</t>
        </is>
      </c>
      <c r="G605" s="1260" t="inlineStr">
        <is>
          <t>Existing</t>
        </is>
      </c>
    </row>
    <row r="606" ht="13.5" customHeight="1" s="1232">
      <c r="A606" s="1393" t="n">
        <v>43474</v>
      </c>
      <c r="B606" s="1260" t="inlineStr">
        <is>
          <t>Grant Harbert</t>
        </is>
      </c>
      <c r="C606" s="1255" t="inlineStr">
        <is>
          <t>1. Courses/masterclasses</t>
        </is>
      </c>
      <c r="D606" s="1260" t="inlineStr">
        <is>
          <t>Stripe</t>
        </is>
      </c>
      <c r="E606" s="1394" t="n">
        <v>100</v>
      </c>
      <c r="F606" s="1260" t="inlineStr">
        <is>
          <t>4wk Beginners Course</t>
        </is>
      </c>
      <c r="G606" s="1260" t="inlineStr">
        <is>
          <t>Existing</t>
        </is>
      </c>
    </row>
    <row r="607" ht="13.5" customHeight="1" s="1232">
      <c r="A607" s="1393" t="n">
        <v>43474</v>
      </c>
      <c r="B607" s="1260" t="inlineStr">
        <is>
          <t>Diana Saville</t>
        </is>
      </c>
      <c r="C607" s="1255" t="inlineStr">
        <is>
          <t>1. Courses/masterclasses</t>
        </is>
      </c>
      <c r="D607" s="1260" t="inlineStr">
        <is>
          <t>Stripe</t>
        </is>
      </c>
      <c r="E607" s="1394" t="n">
        <v>395</v>
      </c>
      <c r="F607" s="1260" t="inlineStr">
        <is>
          <t>RPS Group</t>
        </is>
      </c>
      <c r="G607" s="1260" t="inlineStr">
        <is>
          <t>Google</t>
        </is>
      </c>
    </row>
    <row r="608" ht="13.5" customHeight="1" s="1232">
      <c r="A608" s="1393" t="n">
        <v>43473</v>
      </c>
      <c r="B608" s="1260" t="inlineStr">
        <is>
          <t>Vanessa Lindley</t>
        </is>
      </c>
      <c r="C608" s="1255" t="inlineStr">
        <is>
          <t>1. Courses/masterclasses</t>
        </is>
      </c>
      <c r="D608" s="1260" t="inlineStr">
        <is>
          <t>Stripe</t>
        </is>
      </c>
      <c r="E608" s="1394" t="n">
        <v>30</v>
      </c>
      <c r="F608" s="1260" t="inlineStr">
        <is>
          <t>Intro Class</t>
        </is>
      </c>
      <c r="G608" s="1260" t="inlineStr">
        <is>
          <t>Google</t>
        </is>
      </c>
    </row>
    <row r="609" ht="13.5" customHeight="1" s="1232">
      <c r="A609" s="1393" t="n">
        <v>43473</v>
      </c>
      <c r="B609" s="1260" t="inlineStr">
        <is>
          <t>Mrs J Longthorn</t>
        </is>
      </c>
      <c r="C609" s="1255" t="inlineStr">
        <is>
          <t>2. Workshops</t>
        </is>
      </c>
      <c r="D609" s="1260" t="inlineStr">
        <is>
          <t>Stripe</t>
        </is>
      </c>
      <c r="E609" s="1394" t="n">
        <v>10</v>
      </c>
      <c r="F609" s="1260" t="inlineStr">
        <is>
          <t>Woodland Walk</t>
        </is>
      </c>
      <c r="G609" s="1260" t="inlineStr">
        <is>
          <t>Existing</t>
        </is>
      </c>
    </row>
    <row r="610" ht="13.5" customHeight="1" s="1232">
      <c r="A610" s="1393" t="n">
        <v>43472</v>
      </c>
      <c r="B610" s="1260" t="inlineStr">
        <is>
          <t>Chris Parker</t>
        </is>
      </c>
      <c r="C610" s="1255" t="inlineStr">
        <is>
          <t>2. Workshops</t>
        </is>
      </c>
      <c r="D610" s="1260" t="inlineStr">
        <is>
          <t>Cash</t>
        </is>
      </c>
      <c r="E610" s="1394" t="n">
        <v>10</v>
      </c>
      <c r="F610" s="1260" t="inlineStr">
        <is>
          <t>Woodland Walk</t>
        </is>
      </c>
      <c r="G610" s="1260" t="inlineStr">
        <is>
          <t>Existing</t>
        </is>
      </c>
    </row>
    <row r="611" ht="13.5" customHeight="1" s="1232">
      <c r="A611" s="1393" t="n">
        <v>43472</v>
      </c>
      <c r="B611" s="1260" t="inlineStr">
        <is>
          <t>kenneth cheung</t>
        </is>
      </c>
      <c r="C611" s="1255" t="inlineStr">
        <is>
          <t>6. 1-2-1</t>
        </is>
      </c>
      <c r="D611" s="1260" t="inlineStr">
        <is>
          <t>Stripe</t>
        </is>
      </c>
      <c r="E611" s="1394" t="n">
        <v>395</v>
      </c>
      <c r="F611" s="1260" t="inlineStr">
        <is>
          <t>Ken, Warwick, Chesterton</t>
        </is>
      </c>
      <c r="G611" s="1260" t="inlineStr">
        <is>
          <t>Google</t>
        </is>
      </c>
    </row>
    <row r="612" ht="13.5" customHeight="1" s="1232">
      <c r="A612" s="1393" t="n">
        <v>43472</v>
      </c>
      <c r="B612" s="1260" t="inlineStr">
        <is>
          <t>Siobhan O'Donnell</t>
        </is>
      </c>
      <c r="C612" s="1255" t="inlineStr">
        <is>
          <t>1. Courses/masterclasses</t>
        </is>
      </c>
      <c r="D612" s="1260" t="inlineStr">
        <is>
          <t>Stripe</t>
        </is>
      </c>
      <c r="E612" s="1394" t="n">
        <v>30</v>
      </c>
      <c r="F612" s="1260" t="inlineStr">
        <is>
          <t>Intro Class</t>
        </is>
      </c>
      <c r="G612" s="1260" t="inlineStr">
        <is>
          <t>Google</t>
        </is>
      </c>
    </row>
    <row r="613" ht="13.5" customHeight="1" s="1232">
      <c r="A613" s="1393" t="n">
        <v>43472</v>
      </c>
      <c r="B613" s="1260" t="inlineStr">
        <is>
          <t>Sharron Hill</t>
        </is>
      </c>
      <c r="C613" s="1255" t="inlineStr">
        <is>
          <t>2. Workshops</t>
        </is>
      </c>
      <c r="D613" s="1260" t="inlineStr">
        <is>
          <t>Stripe</t>
        </is>
      </c>
      <c r="E613" s="1394" t="n">
        <v>150</v>
      </c>
      <c r="F613" s="1260" t="inlineStr">
        <is>
          <t>Poppies and Sunflowers</t>
        </is>
      </c>
      <c r="G613" s="1260" t="inlineStr">
        <is>
          <t>Existing</t>
        </is>
      </c>
    </row>
    <row r="614" ht="13.5" customHeight="1" s="1232">
      <c r="A614" s="1393" t="n">
        <v>43472</v>
      </c>
      <c r="B614" s="1260" t="inlineStr">
        <is>
          <t>Helen Sotheran</t>
        </is>
      </c>
      <c r="C614" s="1255" t="inlineStr">
        <is>
          <t>2. Workshops</t>
        </is>
      </c>
      <c r="D614" s="1260" t="inlineStr">
        <is>
          <t>Stripe</t>
        </is>
      </c>
      <c r="E614" s="1394" t="n">
        <v>20</v>
      </c>
      <c r="F614" s="1260" t="inlineStr">
        <is>
          <t>Woodland Walk</t>
        </is>
      </c>
      <c r="G614" s="1260" t="inlineStr">
        <is>
          <t>Existing</t>
        </is>
      </c>
    </row>
    <row r="615" ht="13.5" customHeight="1" s="1232">
      <c r="A615" s="1393" t="n">
        <v>43472</v>
      </c>
      <c r="B615" s="1260" t="inlineStr">
        <is>
          <t>diana saville</t>
        </is>
      </c>
      <c r="C615" s="1255" t="inlineStr">
        <is>
          <t>2. Workshops</t>
        </is>
      </c>
      <c r="D615" s="1260" t="inlineStr">
        <is>
          <t>Stripe</t>
        </is>
      </c>
      <c r="E615" s="1394" t="n">
        <v>20</v>
      </c>
      <c r="F615" s="1260" t="inlineStr">
        <is>
          <t>Woodland Walk</t>
        </is>
      </c>
      <c r="G615" s="1260" t="inlineStr">
        <is>
          <t>Google</t>
        </is>
      </c>
    </row>
    <row r="616" ht="13.5" customHeight="1" s="1232">
      <c r="A616" s="1393" t="n">
        <v>43471</v>
      </c>
      <c r="B616" s="1260" t="inlineStr">
        <is>
          <t>Jo Rogers</t>
        </is>
      </c>
      <c r="C616" s="1255" t="inlineStr">
        <is>
          <t>2. Workshops</t>
        </is>
      </c>
      <c r="D616" s="1260" t="inlineStr">
        <is>
          <t>PayPal</t>
        </is>
      </c>
      <c r="E616" s="1394" t="n">
        <v>10</v>
      </c>
      <c r="F616" s="1260" t="inlineStr">
        <is>
          <t>Woodland Walk</t>
        </is>
      </c>
      <c r="G616" s="1260" t="inlineStr">
        <is>
          <t>Existing</t>
        </is>
      </c>
    </row>
    <row r="617" ht="13.5" customHeight="1" s="1232">
      <c r="A617" s="1393" t="n">
        <v>43469</v>
      </c>
      <c r="B617" s="1260" t="inlineStr">
        <is>
          <t>Anne Watkinson</t>
        </is>
      </c>
      <c r="C617" s="1255" t="inlineStr">
        <is>
          <t>2. Workshops</t>
        </is>
      </c>
      <c r="D617" s="1260" t="inlineStr">
        <is>
          <t>Stripe</t>
        </is>
      </c>
      <c r="E617" s="1394" t="n">
        <v>10</v>
      </c>
      <c r="F617" s="1260" t="inlineStr">
        <is>
          <t>Woodland Walk</t>
        </is>
      </c>
      <c r="G617" s="1260" t="inlineStr">
        <is>
          <t>Existing</t>
        </is>
      </c>
    </row>
    <row r="618" ht="13.5" customHeight="1" s="1232">
      <c r="A618" s="1393" t="n">
        <v>43468</v>
      </c>
      <c r="B618" s="1260" t="inlineStr">
        <is>
          <t>Donna Cowley</t>
        </is>
      </c>
      <c r="C618" s="1255" t="inlineStr">
        <is>
          <t>1. Courses/masterclasses</t>
        </is>
      </c>
      <c r="D618" s="1260" t="inlineStr">
        <is>
          <t>Various</t>
        </is>
      </c>
      <c r="E618" s="1394" t="n">
        <v>0</v>
      </c>
      <c r="F618" s="1260" t="inlineStr">
        <is>
          <t>Intro Class - Gift Voucher</t>
        </is>
      </c>
      <c r="G618" s="1260" t="inlineStr">
        <is>
          <t>Google</t>
        </is>
      </c>
    </row>
    <row r="619" ht="13.5" customHeight="1" s="1232">
      <c r="A619" s="1393" t="n">
        <v>43467</v>
      </c>
      <c r="B619" s="1260" t="inlineStr">
        <is>
          <t>Janie Chapman</t>
        </is>
      </c>
      <c r="C619" s="1255" t="inlineStr">
        <is>
          <t>2. Workshops</t>
        </is>
      </c>
      <c r="D619" s="1260" t="inlineStr">
        <is>
          <t>Stripe</t>
        </is>
      </c>
      <c r="E619" s="1394" t="n">
        <v>10</v>
      </c>
      <c r="F619" s="1260" t="inlineStr">
        <is>
          <t>Woodland Walk</t>
        </is>
      </c>
      <c r="G619" s="1260" t="inlineStr">
        <is>
          <t>Existing</t>
        </is>
      </c>
    </row>
    <row r="620" ht="13.5" customHeight="1" s="1232">
      <c r="A620" s="1393" t="n">
        <v>43466</v>
      </c>
      <c r="B620" s="1260" t="inlineStr">
        <is>
          <t>Jan Pick N Mix</t>
        </is>
      </c>
      <c r="C620" s="1255" t="inlineStr">
        <is>
          <t>3. Pick n Mix Inc</t>
        </is>
      </c>
      <c r="D620" s="1255" t="inlineStr">
        <is>
          <t>Various</t>
        </is>
      </c>
      <c r="E620" s="1261" t="n">
        <v>626.0700000000001</v>
      </c>
      <c r="F620" s="1255" t="inlineStr">
        <is>
          <t>Pick N Mix Payments</t>
        </is>
      </c>
      <c r="G620" s="1255" t="inlineStr">
        <is>
          <t>Existing</t>
        </is>
      </c>
    </row>
    <row r="621" ht="13.5" customHeight="1" s="1232">
      <c r="A621" s="1393" t="n">
        <v>43466</v>
      </c>
      <c r="B621" s="1260" t="inlineStr">
        <is>
          <t>Jan Mentoring</t>
        </is>
      </c>
      <c r="C621" s="1255" t="inlineStr">
        <is>
          <t>5. Mentoring</t>
        </is>
      </c>
      <c r="D621" s="1255" t="inlineStr">
        <is>
          <t>Various</t>
        </is>
      </c>
      <c r="E621" s="1261" t="n">
        <v>40</v>
      </c>
      <c r="F621" s="1255" t="inlineStr">
        <is>
          <t>Mentoring Subs</t>
        </is>
      </c>
      <c r="G621" s="1255" t="inlineStr">
        <is>
          <t>Existing</t>
        </is>
      </c>
    </row>
  </sheetData>
  <conditionalFormatting sqref="E1:E12 E14:E34 E37 E51:E54 E59 E61 E65:E142 E144:E145 E149 E153 E155 E157:E158 E163:E166 E276:E277 E281 E285:E290 E293:E299 E301:E304 E307:E310 E313 E316:E317 E319:E320 E322 E325:E326 E328:E329 E332:E342 E346:E353 E356:E362 E367:E370 E373:E377 V118:V1169 V1190:V1318 V1320:V1592 X4 X27:X32 X75 X83:X93 X103 X108 X117">
    <cfRule type="cellIs" priority="345" operator="lessThan" dxfId="1">
      <formula>0</formula>
    </cfRule>
  </conditionalFormatting>
  <conditionalFormatting sqref="X25">
    <cfRule type="cellIs" priority="344" operator="lessThan" dxfId="1">
      <formula>0</formula>
    </cfRule>
  </conditionalFormatting>
  <conditionalFormatting sqref="X4:X14">
    <cfRule type="cellIs" priority="342" operator="lessThan" dxfId="1">
      <formula>0</formula>
    </cfRule>
    <cfRule type="cellIs" priority="340" operator="greaterThan" dxfId="0">
      <formula>0</formula>
    </cfRule>
    <cfRule type="cellIs" priority="339" operator="lessThan" dxfId="1">
      <formula>0</formula>
    </cfRule>
    <cfRule type="cellIs" priority="332" operator="lessThan" dxfId="1">
      <formula>0</formula>
    </cfRule>
    <cfRule type="cellIs" priority="329" operator="lessThan" dxfId="1">
      <formula>0</formula>
    </cfRule>
    <cfRule type="cellIs" priority="328" operator="lessThan" dxfId="1">
      <formula>0</formula>
    </cfRule>
    <cfRule type="cellIs" priority="323" operator="lessThan" dxfId="1">
      <formula>0</formula>
    </cfRule>
    <cfRule type="cellIs" priority="317" operator="lessThan" dxfId="1">
      <formula>0</formula>
    </cfRule>
    <cfRule type="cellIs" priority="307" operator="lessThan" dxfId="1">
      <formula>0</formula>
    </cfRule>
    <cfRule type="cellIs" priority="298" operator="lessThan" dxfId="1">
      <formula>0</formula>
    </cfRule>
    <cfRule type="cellIs" priority="296" operator="lessThan" dxfId="1">
      <formula>0</formula>
    </cfRule>
    <cfRule type="cellIs" priority="237" operator="lessThan" dxfId="1">
      <formula>0</formula>
    </cfRule>
    <cfRule type="cellIs" priority="233" operator="lessThan" dxfId="1">
      <formula>0</formula>
    </cfRule>
    <cfRule type="cellIs" priority="232" operator="lessThan" dxfId="1">
      <formula>0</formula>
    </cfRule>
    <cfRule type="cellIs" priority="231" operator="lessThan" dxfId="1">
      <formula>0</formula>
    </cfRule>
    <cfRule type="cellIs" priority="230" operator="lessThan" dxfId="1">
      <formula>0</formula>
    </cfRule>
    <cfRule type="cellIs" priority="229" operator="lessThan" dxfId="1">
      <formula>0</formula>
    </cfRule>
    <cfRule type="cellIs" priority="228" operator="lessThan" dxfId="1">
      <formula>0</formula>
    </cfRule>
    <cfRule type="cellIs" priority="227" operator="lessThan" dxfId="1">
      <formula>0</formula>
    </cfRule>
    <cfRule type="cellIs" priority="226" operator="lessThan" dxfId="1">
      <formula>0</formula>
    </cfRule>
    <cfRule type="cellIs" priority="225" operator="lessThan" dxfId="1">
      <formula>0</formula>
    </cfRule>
    <cfRule type="cellIs" priority="224" operator="lessThan" dxfId="1">
      <formula>0</formula>
    </cfRule>
    <cfRule type="cellIs" priority="223" operator="lessThan" dxfId="1">
      <formula>0</formula>
    </cfRule>
    <cfRule type="cellIs" priority="222" operator="lessThan" dxfId="1">
      <formula>0</formula>
    </cfRule>
    <cfRule type="cellIs" priority="221" operator="lessThan" dxfId="1">
      <formula>0</formula>
    </cfRule>
    <cfRule type="cellIs" priority="220" operator="lessThan" dxfId="1">
      <formula>0</formula>
    </cfRule>
    <cfRule type="cellIs" priority="219" operator="lessThan" dxfId="1">
      <formula>0</formula>
    </cfRule>
    <cfRule type="cellIs" priority="218" operator="lessThan" dxfId="1">
      <formula>0</formula>
    </cfRule>
    <cfRule type="cellIs" priority="217" operator="lessThan" dxfId="1">
      <formula>0</formula>
    </cfRule>
  </conditionalFormatting>
  <conditionalFormatting sqref="X26">
    <cfRule type="cellIs" priority="343" operator="lessThan" dxfId="1">
      <formula>0</formula>
    </cfRule>
  </conditionalFormatting>
  <conditionalFormatting sqref="X14">
    <cfRule type="cellIs" priority="341" operator="lessThan" dxfId="1">
      <formula>0</formula>
    </cfRule>
    <cfRule type="cellIs" priority="327" operator="lessThan" dxfId="1">
      <formula>0</formula>
    </cfRule>
    <cfRule type="cellIs" priority="326" operator="lessThan" dxfId="1">
      <formula>0</formula>
    </cfRule>
    <cfRule type="cellIs" priority="325" operator="lessThan" dxfId="1">
      <formula>0</formula>
    </cfRule>
    <cfRule type="cellIs" priority="324" operator="lessThan" dxfId="1">
      <formula>0</formula>
    </cfRule>
    <cfRule type="cellIs" priority="322" operator="lessThan" dxfId="1">
      <formula>0</formula>
    </cfRule>
    <cfRule type="cellIs" priority="321" operator="lessThan" dxfId="1">
      <formula>0</formula>
    </cfRule>
    <cfRule type="cellIs" priority="320" operator="lessThan" dxfId="1">
      <formula>0</formula>
    </cfRule>
    <cfRule type="cellIs" priority="319" operator="lessThan" dxfId="1">
      <formula>0</formula>
    </cfRule>
    <cfRule type="cellIs" priority="318" operator="lessThan" dxfId="1">
      <formula>0</formula>
    </cfRule>
    <cfRule type="cellIs" priority="306" operator="lessThan" dxfId="1">
      <formula>0</formula>
    </cfRule>
    <cfRule type="cellIs" priority="305" operator="lessThan" dxfId="1">
      <formula>0</formula>
    </cfRule>
    <cfRule type="cellIs" priority="304" operator="lessThan" dxfId="1">
      <formula>0</formula>
    </cfRule>
    <cfRule type="cellIs" priority="303" operator="lessThan" dxfId="1">
      <formula>0</formula>
    </cfRule>
    <cfRule type="cellIs" priority="302" operator="lessThan" dxfId="1">
      <formula>0</formula>
    </cfRule>
    <cfRule type="cellIs" priority="301" operator="lessThan" dxfId="1">
      <formula>0</formula>
    </cfRule>
    <cfRule type="cellIs" priority="297" operator="lessThan" dxfId="1">
      <formula>0</formula>
    </cfRule>
    <cfRule type="cellIs" priority="171" operator="lessThan" dxfId="1">
      <formula>0</formula>
    </cfRule>
    <cfRule type="cellIs" priority="170" operator="lessThan" dxfId="1">
      <formula>0</formula>
    </cfRule>
    <cfRule type="cellIs" priority="142" operator="lessThan" dxfId="1">
      <formula>0</formula>
    </cfRule>
    <cfRule type="cellIs" priority="119" operator="lessThan" dxfId="1">
      <formula>0</formula>
    </cfRule>
    <cfRule type="cellIs" priority="118" operator="lessThan" dxfId="1">
      <formula>0</formula>
    </cfRule>
    <cfRule type="cellIs" priority="117" operator="lessThan" dxfId="1">
      <formula>0</formula>
    </cfRule>
    <cfRule type="cellIs" priority="116" operator="lessThan" dxfId="1">
      <formula>0</formula>
    </cfRule>
    <cfRule type="cellIs" priority="49" operator="lessThan" dxfId="1">
      <formula>0</formula>
    </cfRule>
    <cfRule type="cellIs" priority="48" operator="lessThan" dxfId="1">
      <formula>0</formula>
    </cfRule>
    <cfRule type="cellIs" priority="47" operator="lessThan" dxfId="1">
      <formula>0</formula>
    </cfRule>
    <cfRule type="cellIs" priority="46" operator="lessThan" dxfId="1">
      <formula>0</formula>
    </cfRule>
    <cfRule type="cellIs" priority="45" operator="lessThan" dxfId="1">
      <formula>0</formula>
    </cfRule>
  </conditionalFormatting>
  <conditionalFormatting sqref="J30">
    <cfRule type="cellIs" priority="337" operator="greaterThan" dxfId="0">
      <formula>0</formula>
    </cfRule>
    <cfRule type="cellIs" priority="338" operator="lessThan" dxfId="1">
      <formula>0</formula>
    </cfRule>
  </conditionalFormatting>
  <conditionalFormatting sqref="Y4">
    <cfRule type="cellIs" priority="336" operator="lessThan" dxfId="1">
      <formula>0</formula>
    </cfRule>
    <cfRule type="cellIs" priority="335" operator="greaterThan" dxfId="0">
      <formula>0</formula>
    </cfRule>
  </conditionalFormatting>
  <conditionalFormatting sqref="Z4">
    <cfRule type="cellIs" priority="334" operator="lessThan" dxfId="1">
      <formula>0</formula>
    </cfRule>
    <cfRule type="cellIs" priority="333" operator="greaterThan" dxfId="0">
      <formula>0</formula>
    </cfRule>
  </conditionalFormatting>
  <conditionalFormatting sqref="AB4:AB14">
    <cfRule type="cellIs" priority="330" operator="lessThan" dxfId="1">
      <formula>0</formula>
    </cfRule>
    <cfRule type="cellIs" priority="331" operator="greaterThan" dxfId="0">
      <formula>0</formula>
    </cfRule>
  </conditionalFormatting>
  <conditionalFormatting sqref="Y14">
    <cfRule type="cellIs" priority="316" operator="lessThan" dxfId="1">
      <formula>0</formula>
    </cfRule>
    <cfRule type="cellIs" priority="315" operator="greaterThan" dxfId="0">
      <formula>0</formula>
    </cfRule>
  </conditionalFormatting>
  <conditionalFormatting sqref="W15">
    <cfRule type="cellIs" priority="312" operator="greaterThan" dxfId="0">
      <formula>0.8</formula>
    </cfRule>
    <cfRule type="cellIs" priority="313" operator="between" dxfId="26">
      <formula>0.51</formula>
      <formula>0.8</formula>
    </cfRule>
    <cfRule type="cellIs" priority="314" operator="lessThan" dxfId="1">
      <formula>0.5</formula>
    </cfRule>
  </conditionalFormatting>
  <conditionalFormatting sqref="X95">
    <cfRule type="cellIs" priority="311" operator="lessThan" dxfId="1">
      <formula>0</formula>
    </cfRule>
  </conditionalFormatting>
  <conditionalFormatting sqref="X105:X107">
    <cfRule type="cellIs" priority="310" operator="lessThan" dxfId="1">
      <formula>0</formula>
    </cfRule>
  </conditionalFormatting>
  <conditionalFormatting sqref="Y5 Y7:Y13">
    <cfRule type="cellIs" priority="309" operator="lessThan" dxfId="1">
      <formula>0</formula>
    </cfRule>
    <cfRule type="cellIs" priority="308" operator="greaterThan" dxfId="0">
      <formula>0</formula>
    </cfRule>
  </conditionalFormatting>
  <conditionalFormatting sqref="Y22">
    <cfRule type="cellIs" priority="300" operator="lessThan" dxfId="1">
      <formula>0</formula>
    </cfRule>
    <cfRule type="cellIs" priority="299" operator="greaterThan" dxfId="0">
      <formula>0</formula>
    </cfRule>
  </conditionalFormatting>
  <conditionalFormatting sqref="X22">
    <cfRule type="cellIs" priority="293" operator="lessThan" dxfId="1">
      <formula>0</formula>
    </cfRule>
    <cfRule type="cellIs" priority="292" operator="lessThan" dxfId="1">
      <formula>0</formula>
    </cfRule>
    <cfRule type="cellIs" priority="291" operator="lessThan" dxfId="1">
      <formula>0</formula>
    </cfRule>
    <cfRule type="cellIs" priority="290" operator="lessThan" dxfId="1">
      <formula>0</formula>
    </cfRule>
    <cfRule type="cellIs" priority="295" operator="lessThan" dxfId="1">
      <formula>0</formula>
    </cfRule>
    <cfRule type="cellIs" priority="294" operator="greaterThan" dxfId="0">
      <formula>0</formula>
    </cfRule>
    <cfRule type="cellIs" priority="289" operator="lessThan" dxfId="1">
      <formula>0</formula>
    </cfRule>
  </conditionalFormatting>
  <conditionalFormatting sqref="Z65:Z72">
    <cfRule type="cellIs" priority="287" operator="lessThan" dxfId="1">
      <formula>0</formula>
    </cfRule>
    <cfRule type="cellIs" priority="288" operator="greaterThan" dxfId="0">
      <formula>0</formula>
    </cfRule>
  </conditionalFormatting>
  <conditionalFormatting sqref="X110:X111">
    <cfRule type="cellIs" priority="286" operator="lessThan" dxfId="1">
      <formula>0</formula>
    </cfRule>
  </conditionalFormatting>
  <conditionalFormatting sqref="X112:X113">
    <cfRule type="cellIs" priority="285" operator="lessThan" dxfId="1">
      <formula>0</formula>
    </cfRule>
  </conditionalFormatting>
  <conditionalFormatting sqref="X115:X116">
    <cfRule type="cellIs" priority="284" operator="lessThan" dxfId="1">
      <formula>0</formula>
    </cfRule>
  </conditionalFormatting>
  <conditionalFormatting sqref="X15:X16">
    <cfRule type="cellIs" priority="270" operator="lessThan" dxfId="1">
      <formula>0</formula>
    </cfRule>
    <cfRule type="cellIs" priority="269" operator="lessThan" dxfId="1">
      <formula>0</formula>
    </cfRule>
    <cfRule type="cellIs" priority="268" operator="lessThan" dxfId="1">
      <formula>0</formula>
    </cfRule>
    <cfRule type="cellIs" priority="272" operator="lessThan" dxfId="1">
      <formula>0</formula>
    </cfRule>
    <cfRule type="cellIs" priority="271" operator="lessThan" dxfId="1">
      <formula>0</formula>
    </cfRule>
    <cfRule type="cellIs" priority="274" operator="lessThan" dxfId="1">
      <formula>0</formula>
    </cfRule>
    <cfRule type="cellIs" priority="273" operator="greaterThan" dxfId="0">
      <formula>0</formula>
    </cfRule>
  </conditionalFormatting>
  <conditionalFormatting sqref="Y15:Y16">
    <cfRule type="cellIs" priority="267" operator="lessThan" dxfId="1">
      <formula>0</formula>
    </cfRule>
    <cfRule type="cellIs" priority="266" operator="greaterThan" dxfId="0">
      <formula>0</formula>
    </cfRule>
  </conditionalFormatting>
  <conditionalFormatting sqref="X19:X21">
    <cfRule type="cellIs" priority="281" operator="lessThan" dxfId="1">
      <formula>0</formula>
    </cfRule>
    <cfRule type="cellIs" priority="280" operator="lessThan" dxfId="1">
      <formula>0</formula>
    </cfRule>
    <cfRule type="cellIs" priority="279" operator="lessThan" dxfId="1">
      <formula>0</formula>
    </cfRule>
    <cfRule type="cellIs" priority="278" operator="lessThan" dxfId="1">
      <formula>0</formula>
    </cfRule>
    <cfRule type="cellIs" priority="283" operator="lessThan" dxfId="1">
      <formula>0</formula>
    </cfRule>
    <cfRule type="cellIs" priority="282" operator="greaterThan" dxfId="0">
      <formula>0</formula>
    </cfRule>
    <cfRule type="cellIs" priority="277" operator="lessThan" dxfId="1">
      <formula>0</formula>
    </cfRule>
  </conditionalFormatting>
  <conditionalFormatting sqref="Y19:Y21">
    <cfRule type="cellIs" priority="276" operator="lessThan" dxfId="1">
      <formula>0</formula>
    </cfRule>
    <cfRule type="cellIs" priority="275" operator="greaterThan" dxfId="0">
      <formula>0</formula>
    </cfRule>
  </conditionalFormatting>
  <conditionalFormatting sqref="K34:V40">
    <cfRule type="cellIs" priority="264" operator="lessThan" dxfId="1">
      <formula>0</formula>
    </cfRule>
    <cfRule type="cellIs" priority="265" operator="greaterThan" dxfId="0">
      <formula>0.1</formula>
    </cfRule>
  </conditionalFormatting>
  <conditionalFormatting sqref="K41">
    <cfRule type="cellIs" priority="262" operator="lessThan" dxfId="1">
      <formula>0</formula>
    </cfRule>
    <cfRule type="cellIs" priority="263" operator="greaterThan" dxfId="0">
      <formula>0.1</formula>
    </cfRule>
  </conditionalFormatting>
  <conditionalFormatting sqref="W34:W40">
    <cfRule type="cellIs" priority="260" operator="lessThan" dxfId="1">
      <formula>0</formula>
    </cfRule>
    <cfRule type="cellIs" priority="261" operator="greaterThan" dxfId="0">
      <formula>0.1</formula>
    </cfRule>
  </conditionalFormatting>
  <conditionalFormatting sqref="E1125 E1130 E1134 E1136:E1137 E1139:E1147 E1150:E1185">
    <cfRule type="cellIs" priority="259" operator="lessThan" dxfId="1009">
      <formula>0</formula>
    </cfRule>
  </conditionalFormatting>
  <conditionalFormatting sqref="L34:V36 L38:V40">
    <cfRule type="cellIs" priority="257" operator="lessThan" dxfId="1">
      <formula>0</formula>
    </cfRule>
    <cfRule type="cellIs" priority="258" operator="greaterThan" dxfId="0">
      <formula>0.1</formula>
    </cfRule>
  </conditionalFormatting>
  <conditionalFormatting sqref="K37">
    <cfRule type="cellIs" priority="255" operator="lessThan" dxfId="1">
      <formula>0</formula>
    </cfRule>
    <cfRule type="cellIs" priority="256" operator="greaterThan" dxfId="0">
      <formula>0.1</formula>
    </cfRule>
    <cfRule type="cellIs" priority="253" operator="lessThan" dxfId="1">
      <formula>0</formula>
    </cfRule>
    <cfRule type="cellIs" priority="254" operator="greaterThan" dxfId="0">
      <formula>0.1</formula>
    </cfRule>
  </conditionalFormatting>
  <conditionalFormatting sqref="L37:V37">
    <cfRule type="cellIs" priority="251" operator="lessThan" dxfId="1">
      <formula>0</formula>
    </cfRule>
    <cfRule type="cellIs" priority="252" operator="greaterThan" dxfId="0">
      <formula>0.1</formula>
    </cfRule>
    <cfRule type="cellIs" priority="249" operator="lessThan" dxfId="1">
      <formula>0</formula>
    </cfRule>
    <cfRule type="cellIs" priority="250" operator="greaterThan" dxfId="0">
      <formula>0.1</formula>
    </cfRule>
  </conditionalFormatting>
  <conditionalFormatting sqref="L41:W41">
    <cfRule type="cellIs" priority="247" operator="lessThan" dxfId="1">
      <formula>0</formula>
    </cfRule>
    <cfRule type="cellIs" priority="248" operator="greaterThan" dxfId="0">
      <formula>0.1</formula>
    </cfRule>
  </conditionalFormatting>
  <conditionalFormatting sqref="E1148">
    <cfRule type="cellIs" priority="246" operator="lessThan" dxfId="1009">
      <formula>0</formula>
    </cfRule>
  </conditionalFormatting>
  <conditionalFormatting sqref="Y6">
    <cfRule type="cellIs" priority="245" operator="lessThan" dxfId="1">
      <formula>0</formula>
    </cfRule>
    <cfRule type="cellIs" priority="244" operator="greaterThan" dxfId="0">
      <formula>0</formula>
    </cfRule>
  </conditionalFormatting>
  <conditionalFormatting sqref="E1138">
    <cfRule type="cellIs" priority="243" operator="lessThan" dxfId="1009">
      <formula>0</formula>
    </cfRule>
  </conditionalFormatting>
  <conditionalFormatting sqref="E1135">
    <cfRule type="cellIs" priority="242" operator="lessThan" dxfId="1009">
      <formula>0</formula>
    </cfRule>
  </conditionalFormatting>
  <conditionalFormatting sqref="E1126:E1129">
    <cfRule type="cellIs" priority="241" operator="lessThan" dxfId="1009">
      <formula>0</formula>
    </cfRule>
  </conditionalFormatting>
  <conditionalFormatting sqref="E1131:E1133">
    <cfRule type="cellIs" priority="240" operator="lessThan" dxfId="1009">
      <formula>0</formula>
    </cfRule>
  </conditionalFormatting>
  <conditionalFormatting sqref="E1099">
    <cfRule type="cellIs" priority="239" operator="lessThan" dxfId="1009">
      <formula>0</formula>
    </cfRule>
  </conditionalFormatting>
  <conditionalFormatting sqref="E1092:E1093">
    <cfRule type="cellIs" priority="238" operator="lessThan" dxfId="1009">
      <formula>0</formula>
    </cfRule>
  </conditionalFormatting>
  <conditionalFormatting sqref="E1037:E1256">
    <cfRule type="cellIs" priority="236" operator="lessThan" dxfId="1009">
      <formula>0</formula>
    </cfRule>
  </conditionalFormatting>
  <conditionalFormatting sqref="E1018:E1019">
    <cfRule type="cellIs" priority="235" operator="lessThan" dxfId="1009">
      <formula>0</formula>
    </cfRule>
    <cfRule type="cellIs" priority="234" operator="lessThan" dxfId="1009">
      <formula>0</formula>
    </cfRule>
  </conditionalFormatting>
  <conditionalFormatting sqref="E1005">
    <cfRule type="cellIs" priority="216" operator="lessThan" dxfId="1009">
      <formula>0</formula>
    </cfRule>
  </conditionalFormatting>
  <conditionalFormatting sqref="E1004">
    <cfRule type="cellIs" priority="215" operator="lessThan" dxfId="1009">
      <formula>0</formula>
    </cfRule>
  </conditionalFormatting>
  <conditionalFormatting sqref="E1001">
    <cfRule type="cellIs" priority="214" operator="lessThan" dxfId="1009">
      <formula>0</formula>
    </cfRule>
    <cfRule type="cellIs" priority="213" operator="lessThan" dxfId="1009">
      <formula>0</formula>
    </cfRule>
  </conditionalFormatting>
  <conditionalFormatting sqref="E994">
    <cfRule type="cellIs" priority="212" operator="lessThan" dxfId="1009">
      <formula>0</formula>
    </cfRule>
  </conditionalFormatting>
  <conditionalFormatting sqref="Y34:Y41">
    <cfRule type="cellIs" priority="211" operator="lessThan" dxfId="1">
      <formula>0</formula>
    </cfRule>
    <cfRule type="cellIs" priority="210" operator="greaterThan" dxfId="0">
      <formula>0</formula>
    </cfRule>
  </conditionalFormatting>
  <conditionalFormatting sqref="E984">
    <cfRule type="cellIs" priority="209" operator="lessThan" dxfId="1009">
      <formula>0</formula>
    </cfRule>
    <cfRule type="cellIs" priority="208" operator="lessThan" dxfId="1009">
      <formula>0</formula>
    </cfRule>
  </conditionalFormatting>
  <conditionalFormatting sqref="E981:E983">
    <cfRule type="cellIs" priority="207" operator="lessThan" dxfId="1009">
      <formula>0</formula>
    </cfRule>
    <cfRule type="cellIs" priority="206" operator="lessThan" dxfId="1009">
      <formula>0</formula>
    </cfRule>
  </conditionalFormatting>
  <conditionalFormatting sqref="E968">
    <cfRule type="cellIs" priority="205" operator="lessThan" dxfId="1009">
      <formula>0</formula>
    </cfRule>
  </conditionalFormatting>
  <conditionalFormatting sqref="E961">
    <cfRule type="cellIs" priority="204" operator="lessThan" dxfId="1009">
      <formula>0</formula>
    </cfRule>
    <cfRule type="cellIs" priority="203" operator="lessThan" dxfId="1009">
      <formula>0</formula>
    </cfRule>
  </conditionalFormatting>
  <conditionalFormatting sqref="Z24">
    <cfRule type="cellIs" priority="202" operator="lessThan" dxfId="1">
      <formula>0</formula>
    </cfRule>
    <cfRule type="cellIs" priority="201" operator="greaterThan" dxfId="0">
      <formula>0</formula>
    </cfRule>
  </conditionalFormatting>
  <conditionalFormatting sqref="E954:E955">
    <cfRule type="cellIs" priority="200" operator="lessThan" dxfId="1009">
      <formula>0</formula>
    </cfRule>
    <cfRule type="cellIs" priority="199" operator="lessThan" dxfId="1009">
      <formula>0</formula>
    </cfRule>
  </conditionalFormatting>
  <conditionalFormatting sqref="X5:X14">
    <cfRule type="cellIs" priority="198" operator="lessThan" dxfId="1">
      <formula>0</formula>
    </cfRule>
    <cfRule type="cellIs" priority="188" operator="lessThan" dxfId="1">
      <formula>0</formula>
    </cfRule>
    <cfRule type="cellIs" priority="153" operator="lessThan" dxfId="1">
      <formula>0</formula>
    </cfRule>
    <cfRule type="cellIs" priority="147" operator="lessThan" dxfId="1">
      <formula>0</formula>
    </cfRule>
    <cfRule type="cellIs" priority="144" operator="lessThan" dxfId="1">
      <formula>0</formula>
    </cfRule>
    <cfRule type="cellIs" priority="137" operator="lessThan" dxfId="1">
      <formula>0</formula>
    </cfRule>
    <cfRule type="cellIs" priority="135" operator="lessThan" dxfId="1">
      <formula>0</formula>
    </cfRule>
    <cfRule type="cellIs" priority="121" operator="lessThan" dxfId="1">
      <formula>0</formula>
    </cfRule>
    <cfRule type="cellIs" priority="109" operator="lessThan" dxfId="1">
      <formula>0</formula>
    </cfRule>
    <cfRule type="cellIs" priority="106" operator="lessThan" dxfId="1">
      <formula>0</formula>
    </cfRule>
    <cfRule type="cellIs" priority="99" operator="lessThan" dxfId="1">
      <formula>0</formula>
    </cfRule>
    <cfRule type="cellIs" priority="86" operator="lessThan" dxfId="1">
      <formula>0</formula>
    </cfRule>
    <cfRule type="cellIs" priority="77" operator="lessThan" dxfId="1">
      <formula>0</formula>
    </cfRule>
    <cfRule type="cellIs" priority="62" operator="lessThan" dxfId="1">
      <formula>0</formula>
    </cfRule>
    <cfRule type="cellIs" priority="38" operator="lessThan" dxfId="1">
      <formula>0</formula>
    </cfRule>
    <cfRule type="cellIs" priority="33" operator="lessThan" dxfId="1">
      <formula>0</formula>
    </cfRule>
  </conditionalFormatting>
  <conditionalFormatting sqref="E948">
    <cfRule type="cellIs" priority="197" operator="lessThan" dxfId="1009">
      <formula>0</formula>
    </cfRule>
  </conditionalFormatting>
  <conditionalFormatting sqref="E949">
    <cfRule type="cellIs" priority="196" operator="lessThan" dxfId="1009">
      <formula>0</formula>
    </cfRule>
  </conditionalFormatting>
  <conditionalFormatting sqref="E941">
    <cfRule type="cellIs" priority="195" operator="lessThan" dxfId="1009">
      <formula>0</formula>
    </cfRule>
  </conditionalFormatting>
  <conditionalFormatting sqref="E877:E879 E881:E887 E893:E897 E900 E903:E908 E916:E919 E922:E928 E930:E936 E939:E940 I875">
    <cfRule type="cellIs" priority="194" operator="lessThan" dxfId="1009">
      <formula>0</formula>
    </cfRule>
  </conditionalFormatting>
  <conditionalFormatting sqref="E938">
    <cfRule type="cellIs" priority="193" operator="lessThan" dxfId="1009">
      <formula>0</formula>
    </cfRule>
  </conditionalFormatting>
  <conditionalFormatting sqref="E937">
    <cfRule type="cellIs" priority="192" operator="lessThan" dxfId="1009">
      <formula>0</formula>
    </cfRule>
  </conditionalFormatting>
  <conditionalFormatting sqref="E929">
    <cfRule type="cellIs" priority="191" operator="lessThan" dxfId="1009">
      <formula>0</formula>
    </cfRule>
  </conditionalFormatting>
  <conditionalFormatting sqref="E921">
    <cfRule type="cellIs" priority="190" operator="lessThan" dxfId="1009">
      <formula>0</formula>
    </cfRule>
  </conditionalFormatting>
  <conditionalFormatting sqref="E920">
    <cfRule type="cellIs" priority="189" operator="lessThan" dxfId="1009">
      <formula>0</formula>
    </cfRule>
  </conditionalFormatting>
  <conditionalFormatting sqref="J914:J915">
    <cfRule type="cellIs" priority="186" operator="lessThan" dxfId="1009">
      <formula>0</formula>
    </cfRule>
    <cfRule type="cellIs" priority="185" operator="lessThan" dxfId="1009">
      <formula>0</formula>
    </cfRule>
  </conditionalFormatting>
  <conditionalFormatting sqref="J909:J913">
    <cfRule type="cellIs" priority="187" operator="lessThan" dxfId="1009">
      <formula>0</formula>
    </cfRule>
  </conditionalFormatting>
  <conditionalFormatting sqref="E909:E913">
    <cfRule type="cellIs" priority="184" operator="lessThan" dxfId="1009">
      <formula>0</formula>
    </cfRule>
  </conditionalFormatting>
  <conditionalFormatting sqref="E914:E915">
    <cfRule type="cellIs" priority="183" operator="lessThan" dxfId="1009">
      <formula>0</formula>
    </cfRule>
    <cfRule type="cellIs" priority="182" operator="lessThan" dxfId="1009">
      <formula>0</formula>
    </cfRule>
  </conditionalFormatting>
  <conditionalFormatting sqref="E901">
    <cfRule type="cellIs" priority="181" operator="lessThan" dxfId="1009">
      <formula>0</formula>
    </cfRule>
  </conditionalFormatting>
  <conditionalFormatting sqref="E899">
    <cfRule type="cellIs" priority="180" operator="lessThan" dxfId="1009">
      <formula>0</formula>
    </cfRule>
  </conditionalFormatting>
  <conditionalFormatting sqref="E898">
    <cfRule type="cellIs" priority="179" operator="lessThan" dxfId="1009">
      <formula>0</formula>
    </cfRule>
  </conditionalFormatting>
  <conditionalFormatting sqref="E892">
    <cfRule type="cellIs" priority="178" operator="lessThan" dxfId="1009">
      <formula>0</formula>
    </cfRule>
  </conditionalFormatting>
  <conditionalFormatting sqref="E891">
    <cfRule type="cellIs" priority="177" operator="lessThan" dxfId="1009">
      <formula>0</formula>
    </cfRule>
  </conditionalFormatting>
  <conditionalFormatting sqref="E890">
    <cfRule type="cellIs" priority="176" operator="lessThan" dxfId="1009">
      <formula>0</formula>
    </cfRule>
  </conditionalFormatting>
  <conditionalFormatting sqref="E888:E889">
    <cfRule type="cellIs" priority="175" operator="lessThan" dxfId="1009">
      <formula>0</formula>
    </cfRule>
  </conditionalFormatting>
  <conditionalFormatting sqref="E880">
    <cfRule type="cellIs" priority="174" operator="lessThan" dxfId="1009">
      <formula>0</formula>
    </cfRule>
  </conditionalFormatting>
  <conditionalFormatting sqref="X5:X13">
    <cfRule type="cellIs" priority="173" operator="lessThan" dxfId="1">
      <formula>0</formula>
    </cfRule>
    <cfRule type="cellIs" priority="143" operator="lessThan" dxfId="1">
      <formula>0</formula>
    </cfRule>
    <cfRule type="cellIs" priority="120" operator="lessThan" dxfId="1">
      <formula>0</formula>
    </cfRule>
    <cfRule type="cellIs" priority="50" operator="lessThan" dxfId="1">
      <formula>0</formula>
    </cfRule>
  </conditionalFormatting>
  <conditionalFormatting sqref="X13">
    <cfRule type="cellIs" priority="172" operator="lessThan" dxfId="1">
      <formula>0</formula>
    </cfRule>
  </conditionalFormatting>
  <conditionalFormatting sqref="I876:I877">
    <cfRule type="cellIs" priority="169" operator="lessThan" dxfId="1009">
      <formula>0</formula>
    </cfRule>
    <cfRule type="cellIs" priority="168" operator="lessThan" dxfId="1009">
      <formula>0</formula>
    </cfRule>
  </conditionalFormatting>
  <conditionalFormatting sqref="E874">
    <cfRule type="cellIs" priority="167" operator="lessThan" dxfId="1009">
      <formula>0</formula>
    </cfRule>
  </conditionalFormatting>
  <conditionalFormatting sqref="E875:E876">
    <cfRule type="cellIs" priority="166" operator="lessThan" dxfId="1009">
      <formula>0</formula>
    </cfRule>
    <cfRule type="cellIs" priority="165" operator="lessThan" dxfId="1009">
      <formula>0</formula>
    </cfRule>
  </conditionalFormatting>
  <conditionalFormatting sqref="E865:E866">
    <cfRule type="cellIs" priority="164" operator="lessThan" dxfId="1009">
      <formula>0</formula>
    </cfRule>
  </conditionalFormatting>
  <conditionalFormatting sqref="K15:V15">
    <cfRule type="cellIs" priority="161" operator="greaterThan" dxfId="0">
      <formula>0.81</formula>
    </cfRule>
    <cfRule type="cellIs" priority="162" operator="between" dxfId="1036">
      <formula>0.301</formula>
      <formula>0.8</formula>
    </cfRule>
    <cfRule type="cellIs" priority="163" operator="lessThan" dxfId="1">
      <formula>0.3</formula>
    </cfRule>
  </conditionalFormatting>
  <conditionalFormatting sqref="K24:W24">
    <cfRule type="cellIs" priority="159" operator="lessThan" dxfId="1">
      <formula>0</formula>
    </cfRule>
    <cfRule type="cellIs" priority="160" operator="greaterThan" dxfId="0">
      <formula>0.0001</formula>
    </cfRule>
  </conditionalFormatting>
  <conditionalFormatting sqref="Q15">
    <cfRule type="cellIs" priority="156" operator="greaterThan" dxfId="0">
      <formula>0.75</formula>
    </cfRule>
    <cfRule type="cellIs" priority="157" operator="between" dxfId="1036">
      <formula>0.301</formula>
      <formula>0.7499</formula>
    </cfRule>
    <cfRule type="cellIs" priority="158" operator="lessThan" dxfId="1">
      <formula>0.3</formula>
    </cfRule>
  </conditionalFormatting>
  <conditionalFormatting sqref="E846:E847">
    <cfRule type="cellIs" priority="155" operator="lessThan" dxfId="1009">
      <formula>0</formula>
    </cfRule>
    <cfRule type="cellIs" priority="154" operator="lessThan" dxfId="1009">
      <formula>0</formula>
    </cfRule>
  </conditionalFormatting>
  <conditionalFormatting sqref="Y24">
    <cfRule type="cellIs" priority="151" operator="lessThan" dxfId="1">
      <formula>0</formula>
    </cfRule>
    <cfRule type="cellIs" priority="152" operator="greaterThan" dxfId="0">
      <formula>0</formula>
    </cfRule>
  </conditionalFormatting>
  <conditionalFormatting sqref="E834">
    <cfRule type="cellIs" priority="150" operator="lessThan" dxfId="1009">
      <formula>0</formula>
    </cfRule>
  </conditionalFormatting>
  <conditionalFormatting sqref="E817:E818">
    <cfRule type="cellIs" priority="149" operator="lessThan" dxfId="1009">
      <formula>0</formula>
    </cfRule>
    <cfRule type="cellIs" priority="148" operator="lessThan" dxfId="1009">
      <formula>0</formula>
    </cfRule>
  </conditionalFormatting>
  <conditionalFormatting sqref="E782:E783">
    <cfRule type="cellIs" priority="146" operator="lessThan" dxfId="1009">
      <formula>0</formula>
    </cfRule>
    <cfRule type="cellIs" priority="145" operator="lessThan" dxfId="1009">
      <formula>0</formula>
    </cfRule>
  </conditionalFormatting>
  <conditionalFormatting sqref="E742:E743">
    <cfRule type="cellIs" priority="141" operator="lessThan" dxfId="1009">
      <formula>0</formula>
    </cfRule>
    <cfRule type="cellIs" priority="140" operator="lessThan" dxfId="1009">
      <formula>0</formula>
    </cfRule>
  </conditionalFormatting>
  <conditionalFormatting sqref="E705:E706">
    <cfRule type="cellIs" priority="139" operator="lessThan" dxfId="1009">
      <formula>0</formula>
    </cfRule>
    <cfRule type="cellIs" priority="138" operator="lessThan" dxfId="1009">
      <formula>0</formula>
    </cfRule>
  </conditionalFormatting>
  <conditionalFormatting sqref="X96:X102">
    <cfRule type="cellIs" priority="136" operator="lessThan" dxfId="1">
      <formula>0</formula>
    </cfRule>
  </conditionalFormatting>
  <conditionalFormatting sqref="E658:E659">
    <cfRule type="cellIs" priority="134" operator="lessThan" dxfId="1009">
      <formula>0</formula>
    </cfRule>
    <cfRule type="cellIs" priority="133" operator="lessThan" dxfId="1009">
      <formula>0</formula>
    </cfRule>
  </conditionalFormatting>
  <conditionalFormatting sqref="E620:E621">
    <cfRule type="cellIs" priority="132" operator="lessThan" dxfId="1009">
      <formula>0</formula>
    </cfRule>
    <cfRule type="cellIs" priority="131" operator="lessThan" dxfId="1009">
      <formula>0</formula>
    </cfRule>
  </conditionalFormatting>
  <conditionalFormatting sqref="X18">
    <cfRule type="cellIs" priority="128" operator="lessThan" dxfId="1">
      <formula>0</formula>
    </cfRule>
    <cfRule type="cellIs" priority="127" operator="lessThan" dxfId="1">
      <formula>0</formula>
    </cfRule>
    <cfRule type="cellIs" priority="126" operator="lessThan" dxfId="1">
      <formula>0</formula>
    </cfRule>
    <cfRule type="cellIs" priority="125" operator="lessThan" dxfId="1">
      <formula>0</formula>
    </cfRule>
    <cfRule type="cellIs" priority="130" operator="lessThan" dxfId="1">
      <formula>0</formula>
    </cfRule>
    <cfRule type="cellIs" priority="129" operator="greaterThan" dxfId="0">
      <formula>0</formula>
    </cfRule>
    <cfRule type="cellIs" priority="124" operator="lessThan" dxfId="1">
      <formula>0</formula>
    </cfRule>
  </conditionalFormatting>
  <conditionalFormatting sqref="Y18">
    <cfRule type="cellIs" priority="123" operator="lessThan" dxfId="1">
      <formula>0</formula>
    </cfRule>
    <cfRule type="cellIs" priority="122" operator="greaterThan" dxfId="0">
      <formula>0</formula>
    </cfRule>
  </conditionalFormatting>
  <conditionalFormatting sqref="E580:E581">
    <cfRule type="cellIs" priority="115" operator="lessThan" dxfId="1009">
      <formula>0</formula>
    </cfRule>
    <cfRule type="cellIs" priority="114" operator="lessThan" dxfId="1009">
      <formula>0</formula>
    </cfRule>
  </conditionalFormatting>
  <conditionalFormatting sqref="X76:X82">
    <cfRule type="cellIs" priority="113" operator="lessThan" dxfId="1">
      <formula>0</formula>
    </cfRule>
  </conditionalFormatting>
  <conditionalFormatting sqref="K4:V14">
    <cfRule type="cellIs" priority="112" operator="lessThan" dxfId="1">
      <formula>0</formula>
    </cfRule>
  </conditionalFormatting>
  <conditionalFormatting sqref="E532:E533">
    <cfRule type="cellIs" priority="111" operator="lessThan" dxfId="1009">
      <formula>0</formula>
    </cfRule>
    <cfRule type="cellIs" priority="110" operator="lessThan" dxfId="1009">
      <formula>0</formula>
    </cfRule>
  </conditionalFormatting>
  <conditionalFormatting sqref="Z5:Z14">
    <cfRule type="cellIs" priority="108" operator="lessThan" dxfId="1">
      <formula>0</formula>
    </cfRule>
    <cfRule type="cellIs" priority="107" operator="greaterThan" dxfId="0">
      <formula>0</formula>
    </cfRule>
  </conditionalFormatting>
  <conditionalFormatting sqref="E482:E483">
    <cfRule type="cellIs" priority="105" operator="lessThan" dxfId="1009">
      <formula>0</formula>
    </cfRule>
    <cfRule type="cellIs" priority="104" operator="lessThan" dxfId="1009">
      <formula>0</formula>
    </cfRule>
  </conditionalFormatting>
  <conditionalFormatting sqref="E47 E49 E399:E404 E406:E409 E412:E420 E423:E1048576">
    <cfRule type="cellIs" priority="103" operator="lessThan" dxfId="1">
      <formula>0</formula>
    </cfRule>
  </conditionalFormatting>
  <conditionalFormatting sqref="E421:E422">
    <cfRule type="cellIs" priority="102" operator="lessThan" dxfId="1009">
      <formula>0</formula>
    </cfRule>
    <cfRule type="cellIs" priority="101" operator="lessThan" dxfId="1009">
      <formula>0</formula>
    </cfRule>
    <cfRule type="cellIs" priority="100" operator="lessThan" dxfId="1">
      <formula>0</formula>
    </cfRule>
  </conditionalFormatting>
  <conditionalFormatting sqref="K18:V23">
    <cfRule type="aboveAverage" priority="98" dxfId="1234"/>
  </conditionalFormatting>
  <conditionalFormatting sqref="E411">
    <cfRule type="cellIs" priority="97" operator="lessThan" dxfId="1">
      <formula>0</formula>
    </cfRule>
  </conditionalFormatting>
  <conditionalFormatting sqref="E410">
    <cfRule type="cellIs" priority="96" operator="lessThan" dxfId="1">
      <formula>0</formula>
    </cfRule>
  </conditionalFormatting>
  <conditionalFormatting sqref="E405">
    <cfRule type="cellIs" priority="95" operator="lessThan" dxfId="1">
      <formula>0</formula>
    </cfRule>
  </conditionalFormatting>
  <conditionalFormatting sqref="E397:E398">
    <cfRule type="cellIs" priority="94" operator="lessThan" dxfId="1">
      <formula>0</formula>
    </cfRule>
  </conditionalFormatting>
  <conditionalFormatting sqref="E379:E383 E388:E389 E392:E394 E396">
    <cfRule type="cellIs" priority="93" operator="lessThan" dxfId="1">
      <formula>0</formula>
    </cfRule>
  </conditionalFormatting>
  <conditionalFormatting sqref="E395">
    <cfRule type="cellIs" priority="92" operator="lessThan" dxfId="1">
      <formula>0</formula>
    </cfRule>
  </conditionalFormatting>
  <conditionalFormatting sqref="E391">
    <cfRule type="cellIs" priority="91" operator="lessThan" dxfId="1">
      <formula>0</formula>
    </cfRule>
  </conditionalFormatting>
  <conditionalFormatting sqref="E390">
    <cfRule type="cellIs" priority="90" operator="lessThan" dxfId="1">
      <formula>0</formula>
    </cfRule>
  </conditionalFormatting>
  <conditionalFormatting sqref="E386:E387">
    <cfRule type="cellIs" priority="89" operator="lessThan" dxfId="1009">
      <formula>0</formula>
    </cfRule>
    <cfRule type="cellIs" priority="88" operator="lessThan" dxfId="1009">
      <formula>0</formula>
    </cfRule>
    <cfRule type="cellIs" priority="87" operator="lessThan" dxfId="1">
      <formula>0</formula>
    </cfRule>
  </conditionalFormatting>
  <conditionalFormatting sqref="E385">
    <cfRule type="cellIs" priority="85" operator="lessThan" dxfId="1">
      <formula>0</formula>
    </cfRule>
  </conditionalFormatting>
  <conditionalFormatting sqref="E384">
    <cfRule type="cellIs" priority="84" operator="lessThan" dxfId="1">
      <formula>0</formula>
    </cfRule>
  </conditionalFormatting>
  <conditionalFormatting sqref="E378">
    <cfRule type="cellIs" priority="83" operator="lessThan" dxfId="1">
      <formula>0</formula>
    </cfRule>
  </conditionalFormatting>
  <conditionalFormatting sqref="E365:E366">
    <cfRule type="cellIs" priority="82" operator="lessThan" dxfId="1">
      <formula>0</formula>
    </cfRule>
  </conditionalFormatting>
  <conditionalFormatting sqref="E363:E364">
    <cfRule type="cellIs" priority="81" operator="lessThan" dxfId="1">
      <formula>0</formula>
    </cfRule>
  </conditionalFormatting>
  <conditionalFormatting sqref="E354:E355">
    <cfRule type="cellIs" priority="80" operator="lessThan" dxfId="1009">
      <formula>0</formula>
    </cfRule>
    <cfRule type="cellIs" priority="79" operator="lessThan" dxfId="1009">
      <formula>0</formula>
    </cfRule>
    <cfRule type="cellIs" priority="78" operator="lessThan" dxfId="1">
      <formula>0</formula>
    </cfRule>
  </conditionalFormatting>
  <conditionalFormatting sqref="E38">
    <cfRule type="cellIs" priority="76" operator="lessThan" dxfId="1">
      <formula>0</formula>
    </cfRule>
  </conditionalFormatting>
  <conditionalFormatting sqref="E48">
    <cfRule type="cellIs" priority="75" operator="lessThan" dxfId="1">
      <formula>0</formula>
    </cfRule>
  </conditionalFormatting>
  <conditionalFormatting sqref="E345">
    <cfRule type="cellIs" priority="74" operator="lessThan" dxfId="1">
      <formula>0</formula>
    </cfRule>
  </conditionalFormatting>
  <conditionalFormatting sqref="E344">
    <cfRule type="cellIs" priority="73" operator="lessThan" dxfId="1">
      <formula>0</formula>
    </cfRule>
  </conditionalFormatting>
  <conditionalFormatting sqref="E343">
    <cfRule type="cellIs" priority="72" operator="lessThan" dxfId="1">
      <formula>0</formula>
    </cfRule>
  </conditionalFormatting>
  <conditionalFormatting sqref="E331">
    <cfRule type="cellIs" priority="71" operator="lessThan" dxfId="1">
      <formula>0</formula>
    </cfRule>
  </conditionalFormatting>
  <conditionalFormatting sqref="E330">
    <cfRule type="cellIs" priority="70" operator="lessThan" dxfId="1">
      <formula>0</formula>
    </cfRule>
  </conditionalFormatting>
  <conditionalFormatting sqref="E323">
    <cfRule type="cellIs" priority="69" operator="lessThan" dxfId="1">
      <formula>0</formula>
    </cfRule>
  </conditionalFormatting>
  <conditionalFormatting sqref="E324">
    <cfRule type="cellIs" priority="68" operator="lessThan" dxfId="1">
      <formula>0</formula>
    </cfRule>
  </conditionalFormatting>
  <conditionalFormatting sqref="E321">
    <cfRule type="cellIs" priority="67" operator="lessThan" dxfId="1">
      <formula>0</formula>
    </cfRule>
  </conditionalFormatting>
  <conditionalFormatting sqref="E318">
    <cfRule type="cellIs" priority="66" operator="lessThan" dxfId="1">
      <formula>0</formula>
    </cfRule>
  </conditionalFormatting>
  <conditionalFormatting sqref="E314:E315">
    <cfRule type="cellIs" priority="65" operator="lessThan" dxfId="1009">
      <formula>0</formula>
    </cfRule>
    <cfRule type="cellIs" priority="64" operator="lessThan" dxfId="1009">
      <formula>0</formula>
    </cfRule>
    <cfRule type="cellIs" priority="63" operator="lessThan" dxfId="1">
      <formula>0</formula>
    </cfRule>
  </conditionalFormatting>
  <conditionalFormatting sqref="E327">
    <cfRule type="cellIs" priority="61" operator="lessThan" dxfId="1">
      <formula>0</formula>
    </cfRule>
  </conditionalFormatting>
  <conditionalFormatting sqref="E311">
    <cfRule type="cellIs" priority="60" operator="lessThan" dxfId="1">
      <formula>0</formula>
    </cfRule>
  </conditionalFormatting>
  <conditionalFormatting sqref="E312">
    <cfRule type="cellIs" priority="59" operator="lessThan" dxfId="1">
      <formula>0</formula>
    </cfRule>
  </conditionalFormatting>
  <conditionalFormatting sqref="E305">
    <cfRule type="cellIs" priority="58" operator="lessThan" dxfId="1">
      <formula>0</formula>
    </cfRule>
  </conditionalFormatting>
  <conditionalFormatting sqref="E306">
    <cfRule type="cellIs" priority="57" operator="lessThan" dxfId="1">
      <formula>0</formula>
    </cfRule>
  </conditionalFormatting>
  <conditionalFormatting sqref="E55">
    <cfRule type="cellIs" priority="56" operator="lessThan" dxfId="1">
      <formula>0</formula>
    </cfRule>
  </conditionalFormatting>
  <conditionalFormatting sqref="E300">
    <cfRule type="cellIs" priority="55" operator="lessThan" dxfId="1">
      <formula>0</formula>
    </cfRule>
  </conditionalFormatting>
  <conditionalFormatting sqref="E56">
    <cfRule type="cellIs" priority="54" operator="lessThan" dxfId="1">
      <formula>0</formula>
    </cfRule>
  </conditionalFormatting>
  <conditionalFormatting sqref="E278:E280">
    <cfRule type="cellIs" priority="53" operator="lessThan" dxfId="1009">
      <formula>0</formula>
    </cfRule>
    <cfRule type="cellIs" priority="52" operator="lessThan" dxfId="1009">
      <formula>0</formula>
    </cfRule>
    <cfRule type="cellIs" priority="51" operator="lessThan" dxfId="1">
      <formula>0</formula>
    </cfRule>
  </conditionalFormatting>
  <conditionalFormatting sqref="E284">
    <cfRule type="cellIs" priority="44" operator="lessThan" dxfId="1">
      <formula>0</formula>
    </cfRule>
  </conditionalFormatting>
  <conditionalFormatting sqref="E167:E171 E173:E187 E192 E195:E204 E207:E222 E226:E236 E238:E245 E248:E251 E253:E260 E263:E266 E269:E275">
    <cfRule type="cellIs" priority="43" operator="lessThan" dxfId="1">
      <formula>0</formula>
    </cfRule>
  </conditionalFormatting>
  <conditionalFormatting sqref="E252">
    <cfRule type="cellIs" priority="42" operator="lessThan" dxfId="1">
      <formula>0</formula>
    </cfRule>
  </conditionalFormatting>
  <conditionalFormatting sqref="E246:E247">
    <cfRule type="cellIs" priority="41" operator="lessThan" dxfId="1009">
      <formula>0</formula>
    </cfRule>
    <cfRule type="cellIs" priority="40" operator="lessThan" dxfId="1009">
      <formula>0</formula>
    </cfRule>
    <cfRule type="cellIs" priority="39" operator="lessThan" dxfId="1">
      <formula>0</formula>
    </cfRule>
  </conditionalFormatting>
  <conditionalFormatting sqref="E237">
    <cfRule type="cellIs" priority="37" operator="lessThan" dxfId="1">
      <formula>0</formula>
    </cfRule>
  </conditionalFormatting>
  <conditionalFormatting sqref="E224:E225">
    <cfRule type="cellIs" priority="36" operator="lessThan" dxfId="1009">
      <formula>0</formula>
    </cfRule>
    <cfRule type="cellIs" priority="35" operator="lessThan" dxfId="1009">
      <formula>0</formula>
    </cfRule>
    <cfRule type="cellIs" priority="34" operator="lessThan" dxfId="1">
      <formula>0</formula>
    </cfRule>
  </conditionalFormatting>
  <conditionalFormatting sqref="X34:X41">
    <cfRule type="cellIs" priority="30" operator="greaterThan" dxfId="1255">
      <formula>0</formula>
    </cfRule>
    <cfRule type="cellIs" priority="32" operator="lessThan" dxfId="1">
      <formula>0</formula>
    </cfRule>
    <cfRule type="cellIs" priority="31" operator="greaterThan" dxfId="0">
      <formula>0</formula>
    </cfRule>
  </conditionalFormatting>
  <conditionalFormatting sqref="E223">
    <cfRule type="cellIs" priority="29" operator="lessThan" dxfId="1">
      <formula>0</formula>
    </cfRule>
  </conditionalFormatting>
  <conditionalFormatting sqref="E206">
    <cfRule type="cellIs" priority="28" operator="lessThan" dxfId="1">
      <formula>0</formula>
    </cfRule>
  </conditionalFormatting>
  <conditionalFormatting sqref="E205">
    <cfRule type="cellIs" priority="27" operator="lessThan" dxfId="1">
      <formula>0</formula>
    </cfRule>
  </conditionalFormatting>
  <conditionalFormatting sqref="E193:E194">
    <cfRule type="cellIs" priority="26" operator="lessThan" dxfId="1">
      <formula>0</formula>
    </cfRule>
  </conditionalFormatting>
  <conditionalFormatting sqref="E190:E191">
    <cfRule type="cellIs" priority="25" operator="lessThan" dxfId="1">
      <formula>0</formula>
    </cfRule>
  </conditionalFormatting>
  <conditionalFormatting sqref="E188:E189">
    <cfRule type="cellIs" priority="24" operator="lessThan" dxfId="1">
      <formula>0</formula>
    </cfRule>
  </conditionalFormatting>
  <conditionalFormatting sqref="E172">
    <cfRule type="cellIs" priority="23" operator="lessThan" dxfId="1">
      <formula>0</formula>
    </cfRule>
  </conditionalFormatting>
  <conditionalFormatting sqref="E161:E162">
    <cfRule type="cellIs" priority="22" operator="lessThan" dxfId="1">
      <formula>0</formula>
    </cfRule>
  </conditionalFormatting>
  <conditionalFormatting sqref="E159:E160">
    <cfRule type="cellIs" priority="21" operator="lessThan" dxfId="1">
      <formula>0</formula>
    </cfRule>
  </conditionalFormatting>
  <conditionalFormatting sqref="E156">
    <cfRule type="cellIs" priority="20" operator="lessThan" dxfId="1">
      <formula>0</formula>
    </cfRule>
  </conditionalFormatting>
  <conditionalFormatting sqref="E154">
    <cfRule type="cellIs" priority="19" operator="lessThan" dxfId="1">
      <formula>0</formula>
    </cfRule>
  </conditionalFormatting>
  <conditionalFormatting sqref="E152">
    <cfRule type="cellIs" priority="18" operator="lessThan" dxfId="1">
      <formula>0</formula>
    </cfRule>
  </conditionalFormatting>
  <conditionalFormatting sqref="E151">
    <cfRule type="cellIs" priority="17" operator="lessThan" dxfId="1">
      <formula>0</formula>
    </cfRule>
  </conditionalFormatting>
  <conditionalFormatting sqref="E150">
    <cfRule type="cellIs" priority="16" operator="lessThan" dxfId="1">
      <formula>0</formula>
    </cfRule>
  </conditionalFormatting>
  <conditionalFormatting sqref="E148">
    <cfRule type="cellIs" priority="15" operator="lessThan" dxfId="1">
      <formula>0</formula>
    </cfRule>
  </conditionalFormatting>
  <conditionalFormatting sqref="E147">
    <cfRule type="cellIs" priority="14" operator="lessThan" dxfId="1">
      <formula>0</formula>
    </cfRule>
  </conditionalFormatting>
  <conditionalFormatting sqref="E146">
    <cfRule type="cellIs" priority="13" operator="lessThan" dxfId="1">
      <formula>0</formula>
    </cfRule>
  </conditionalFormatting>
  <conditionalFormatting sqref="E143">
    <cfRule type="cellIs" priority="12" operator="lessThan" dxfId="1">
      <formula>0</formula>
    </cfRule>
  </conditionalFormatting>
  <conditionalFormatting sqref="K17:V17">
    <cfRule type="aboveAverage" priority="10" dxfId="1234"/>
  </conditionalFormatting>
  <conditionalFormatting sqref="X17">
    <cfRule type="cellIs" priority="7" operator="lessThan" dxfId="1">
      <formula>0</formula>
    </cfRule>
    <cfRule type="cellIs" priority="6" operator="lessThan" dxfId="1">
      <formula>0</formula>
    </cfRule>
    <cfRule type="cellIs" priority="5" operator="lessThan" dxfId="1">
      <formula>0</formula>
    </cfRule>
    <cfRule type="cellIs" priority="4" operator="lessThan" dxfId="1">
      <formula>0</formula>
    </cfRule>
    <cfRule type="cellIs" priority="9" operator="lessThan" dxfId="1">
      <formula>0</formula>
    </cfRule>
    <cfRule type="cellIs" priority="8" operator="greaterThan" dxfId="0">
      <formula>0</formula>
    </cfRule>
    <cfRule type="cellIs" priority="3" operator="lessThan" dxfId="1">
      <formula>0</formula>
    </cfRule>
  </conditionalFormatting>
  <conditionalFormatting sqref="Y17">
    <cfRule type="cellIs" priority="2" operator="lessThan" dxfId="1">
      <formula>0</formula>
    </cfRule>
    <cfRule type="cellIs" priority="1" operator="greaterThan" dxfId="0">
      <formula>0</formula>
    </cfRule>
  </conditionalFormatting>
  <dataValidations count="2">
    <dataValidation sqref="C2:C12 C14 C20:C22 C24:C34 C37:C54 C56:C59 C1165:C1200 C1202:C1247 C1249:C1307 C1310 C1312:C1367 C1374:C1405 C1408:C1433 C1435:C1443 C1445:C1472 C1474:C1477 C1480:C1484 C1486 C1488:C1489 C1491:C1513 C1515:C1549 C1552:C1563 C1565:C1594 C1596:C1648 C1651:C1685" showDropDown="0" showInputMessage="1" showErrorMessage="1" allowBlank="1" type="list">
      <formula1>$I$3:$I$26</formula1>
    </dataValidation>
    <dataValidation sqref="C133:C247 C250:C280 C282:C315 C318:C355 C357:C387 C389:C422 C425:C483 C486:C533 C536:C581 C583:C603 C605:C621 C624:C659 C662:C706 C708:C743 C745:C783 C785:C818 C820:C847 C849:C876 C878:C915 C918:C955 C957:C1019 C1021:C1093 C1095:C1164" showDropDown="0" showInputMessage="1" showErrorMessage="1" allowBlank="1" type="list">
      <formula1>$I$3:$I$25</formula1>
    </dataValidation>
  </dataValidations>
  <pageMargins left="0.25" right="0.25" top="0.75" bottom="0.75" header="0.3" footer="0.3"/>
  <pageSetup orientation="landscape" paperSize="9" scale="10"/>
</worksheet>
</file>

<file path=xl/worksheets/sheet14.xml><?xml version="1.0" encoding="utf-8"?>
<worksheet xmlns="http://schemas.openxmlformats.org/spreadsheetml/2006/main">
  <sheetPr>
    <outlinePr summaryBelow="1" summaryRight="1"/>
    <pageSetUpPr/>
  </sheetPr>
  <dimension ref="A3:AE63"/>
  <sheetViews>
    <sheetView workbookViewId="0">
      <selection activeCell="V12" sqref="V12"/>
    </sheetView>
  </sheetViews>
  <sheetFormatPr baseColWidth="8" defaultColWidth="9.1328125" defaultRowHeight="12.75"/>
  <cols>
    <col width="23.19921875" bestFit="1" customWidth="1" style="568" min="1" max="1"/>
    <col width="17.53125" bestFit="1" customWidth="1" style="568" min="2" max="2"/>
    <col width="7.19921875" customWidth="1" style="571" min="3" max="14"/>
    <col width="12.33203125" bestFit="1" customWidth="1" style="571" min="15" max="15"/>
    <col width="12.19921875" customWidth="1" style="568" min="16" max="16"/>
    <col width="9.1328125" customWidth="1" style="568" min="17" max="16384"/>
  </cols>
  <sheetData>
    <row r="3">
      <c r="A3" s="573" t="inlineStr">
        <is>
          <t>Sum of Categories</t>
        </is>
      </c>
      <c r="B3" s="573" t="inlineStr">
        <is>
          <t>Column Labels</t>
        </is>
      </c>
      <c r="C3" s="575" t="n"/>
      <c r="D3" s="575" t="n"/>
      <c r="E3" s="575" t="n"/>
      <c r="F3" s="575" t="n"/>
      <c r="G3" s="575" t="n"/>
      <c r="H3" s="575" t="n"/>
      <c r="I3" s="575" t="n"/>
      <c r="J3" s="575" t="n"/>
      <c r="K3" s="575" t="n"/>
      <c r="L3" s="575" t="n"/>
      <c r="M3" s="575" t="n"/>
      <c r="N3" s="575" t="n"/>
      <c r="O3" s="575" t="n"/>
    </row>
    <row r="4">
      <c r="A4" s="573" t="inlineStr">
        <is>
          <t>Row Labels</t>
        </is>
      </c>
      <c r="B4" s="572" t="inlineStr">
        <is>
          <t>&lt;01/01/2018</t>
        </is>
      </c>
      <c r="C4" s="575" t="inlineStr">
        <is>
          <t>Jan</t>
        </is>
      </c>
      <c r="D4" s="575" t="inlineStr">
        <is>
          <t>Feb</t>
        </is>
      </c>
      <c r="E4" s="575" t="inlineStr">
        <is>
          <t>Mar</t>
        </is>
      </c>
      <c r="F4" s="575" t="inlineStr">
        <is>
          <t>Apr</t>
        </is>
      </c>
      <c r="G4" s="575" t="inlineStr">
        <is>
          <t>May</t>
        </is>
      </c>
      <c r="H4" s="575" t="inlineStr">
        <is>
          <t>Jun</t>
        </is>
      </c>
      <c r="I4" s="575" t="inlineStr">
        <is>
          <t>Jul</t>
        </is>
      </c>
      <c r="J4" s="575" t="inlineStr">
        <is>
          <t>Aug</t>
        </is>
      </c>
      <c r="K4" s="575" t="inlineStr">
        <is>
          <t>Sep</t>
        </is>
      </c>
      <c r="L4" s="575" t="inlineStr">
        <is>
          <t>Oct</t>
        </is>
      </c>
      <c r="M4" s="575" t="inlineStr">
        <is>
          <t>Nov</t>
        </is>
      </c>
      <c r="N4" s="575" t="inlineStr">
        <is>
          <t>Dec</t>
        </is>
      </c>
      <c r="O4" s="575" t="inlineStr">
        <is>
          <t>Grand Total</t>
        </is>
      </c>
    </row>
    <row r="5">
      <c r="A5" s="574" t="inlineStr">
        <is>
          <t>1. Courses/masterclasses</t>
        </is>
      </c>
      <c r="B5" s="572" t="n"/>
      <c r="C5" s="575" t="n">
        <v>4539.75</v>
      </c>
      <c r="D5" s="575" t="n">
        <v>6681</v>
      </c>
      <c r="E5" s="575" t="n">
        <v>2483.35</v>
      </c>
      <c r="F5" s="575" t="n">
        <v>1449</v>
      </c>
      <c r="G5" s="575" t="n">
        <v>254</v>
      </c>
      <c r="H5" s="575" t="n">
        <v>1182</v>
      </c>
      <c r="I5" s="575" t="n">
        <v>1327</v>
      </c>
      <c r="J5" s="575" t="n">
        <v>792</v>
      </c>
      <c r="K5" s="575" t="n">
        <v>1251.75</v>
      </c>
      <c r="L5" s="575" t="n">
        <v>490</v>
      </c>
      <c r="M5" s="575" t="n">
        <v>2736.5</v>
      </c>
      <c r="N5" s="575" t="n">
        <v>853</v>
      </c>
      <c r="O5" s="575" t="n">
        <v>24039.35</v>
      </c>
    </row>
    <row r="6">
      <c r="A6" s="574" t="inlineStr">
        <is>
          <t>2. Workshops</t>
        </is>
      </c>
      <c r="B6" s="572" t="n"/>
      <c r="C6" s="575" t="n">
        <v>2581.900000000001</v>
      </c>
      <c r="D6" s="575" t="n">
        <v>3247</v>
      </c>
      <c r="E6" s="575" t="n">
        <v>3992.5</v>
      </c>
      <c r="F6" s="575" t="n">
        <v>3575</v>
      </c>
      <c r="G6" s="575" t="n">
        <v>2800</v>
      </c>
      <c r="H6" s="575" t="n">
        <v>890</v>
      </c>
      <c r="I6" s="575" t="n">
        <v>702.5</v>
      </c>
      <c r="J6" s="575" t="n">
        <v>2505</v>
      </c>
      <c r="K6" s="575" t="n">
        <v>3761</v>
      </c>
      <c r="L6" s="575" t="n">
        <v>2635</v>
      </c>
      <c r="M6" s="575" t="n">
        <v>3550.55</v>
      </c>
      <c r="N6" s="575" t="n">
        <v>1880</v>
      </c>
      <c r="O6" s="575" t="n">
        <v>32120.45</v>
      </c>
    </row>
    <row r="7">
      <c r="A7" s="574" t="inlineStr">
        <is>
          <t>3. Pick n Mix Inc</t>
        </is>
      </c>
      <c r="B7" s="572" t="n"/>
      <c r="C7" s="575" t="n">
        <v>207.61</v>
      </c>
      <c r="D7" s="575" t="n">
        <v>487.37</v>
      </c>
      <c r="E7" s="575" t="n">
        <v>268</v>
      </c>
      <c r="F7" s="575" t="n">
        <v>1093.63</v>
      </c>
      <c r="G7" s="575" t="n">
        <v>93.63</v>
      </c>
      <c r="H7" s="575" t="n">
        <v>348.63</v>
      </c>
      <c r="I7" s="575" t="n">
        <v>643.63</v>
      </c>
      <c r="J7" s="575" t="n">
        <v>793.13</v>
      </c>
      <c r="K7" s="575" t="n">
        <v>868.63</v>
      </c>
      <c r="L7" s="575" t="n">
        <v>493.63</v>
      </c>
      <c r="M7" s="575" t="n">
        <v>1361.13</v>
      </c>
      <c r="N7" s="575" t="n">
        <v>861.13</v>
      </c>
      <c r="O7" s="575" t="n">
        <v>7520.150000000001</v>
      </c>
    </row>
    <row r="8">
      <c r="A8" s="574" t="inlineStr">
        <is>
          <t>4. Pick n Mix Out</t>
        </is>
      </c>
      <c r="B8" s="572" t="n"/>
      <c r="C8" s="575" t="n">
        <v>-443.25</v>
      </c>
      <c r="D8" s="575" t="n">
        <v>-451</v>
      </c>
      <c r="E8" s="575" t="n">
        <v>-885</v>
      </c>
      <c r="F8" s="575" t="n">
        <v>-1896</v>
      </c>
      <c r="G8" s="575" t="n">
        <v>-725</v>
      </c>
      <c r="H8" s="575" t="n"/>
      <c r="I8" s="575" t="n">
        <v>-357.5</v>
      </c>
      <c r="J8" s="575" t="n"/>
      <c r="K8" s="575" t="n"/>
      <c r="L8" s="575" t="n"/>
      <c r="M8" s="575" t="n">
        <v>-471</v>
      </c>
      <c r="N8" s="575" t="n">
        <v>-112.5</v>
      </c>
      <c r="O8" s="575" t="n">
        <v>-5341.25</v>
      </c>
    </row>
    <row r="9">
      <c r="A9" s="574" t="inlineStr">
        <is>
          <t>5. Mentoring</t>
        </is>
      </c>
      <c r="B9" s="572" t="n"/>
      <c r="C9" s="575" t="n">
        <v>60</v>
      </c>
      <c r="D9" s="575" t="n">
        <v>280</v>
      </c>
      <c r="E9" s="575" t="n">
        <v>80</v>
      </c>
      <c r="F9" s="575" t="n">
        <v>80</v>
      </c>
      <c r="G9" s="575" t="n">
        <v>120</v>
      </c>
      <c r="H9" s="575" t="n">
        <v>80</v>
      </c>
      <c r="I9" s="575" t="n">
        <v>80</v>
      </c>
      <c r="J9" s="575" t="n">
        <v>280</v>
      </c>
      <c r="K9" s="575" t="n">
        <v>60</v>
      </c>
      <c r="L9" s="575" t="n">
        <v>40</v>
      </c>
      <c r="M9" s="575" t="n">
        <v>40</v>
      </c>
      <c r="N9" s="575" t="n">
        <v>40</v>
      </c>
      <c r="O9" s="575" t="n">
        <v>1240</v>
      </c>
    </row>
    <row r="10">
      <c r="A10" s="574" t="inlineStr">
        <is>
          <t>6. 1-2-1</t>
        </is>
      </c>
      <c r="B10" s="572" t="n"/>
      <c r="C10" s="575" t="n">
        <v>460</v>
      </c>
      <c r="D10" s="575" t="n">
        <v>185</v>
      </c>
      <c r="E10" s="575" t="n">
        <v>120</v>
      </c>
      <c r="F10" s="575" t="n">
        <v>65</v>
      </c>
      <c r="G10" s="575" t="n">
        <v>510</v>
      </c>
      <c r="H10" s="575" t="n">
        <v>240</v>
      </c>
      <c r="I10" s="575" t="n">
        <v>454</v>
      </c>
      <c r="J10" s="575" t="n">
        <v>322</v>
      </c>
      <c r="K10" s="575" t="n">
        <v>480</v>
      </c>
      <c r="L10" s="575" t="n">
        <v>240</v>
      </c>
      <c r="M10" s="575" t="n">
        <v>750</v>
      </c>
      <c r="N10" s="575" t="n">
        <v>360</v>
      </c>
      <c r="O10" s="575" t="n">
        <v>4186</v>
      </c>
    </row>
    <row r="11">
      <c r="A11" s="574" t="inlineStr">
        <is>
          <t>7. Other</t>
        </is>
      </c>
      <c r="B11" s="572" t="n"/>
      <c r="C11" s="575" t="n">
        <v>871.46</v>
      </c>
      <c r="D11" s="575" t="n">
        <v>177.74</v>
      </c>
      <c r="E11" s="575" t="n">
        <v>1096.2</v>
      </c>
      <c r="F11" s="575" t="n">
        <v>4.385</v>
      </c>
      <c r="G11" s="575" t="n">
        <v>950</v>
      </c>
      <c r="H11" s="575" t="n">
        <v>502.97</v>
      </c>
      <c r="I11" s="575" t="n">
        <v>9.4</v>
      </c>
      <c r="J11" s="575" t="n">
        <v>100.46</v>
      </c>
      <c r="K11" s="575" t="n">
        <v>22.5</v>
      </c>
      <c r="L11" s="575" t="n">
        <v>9.4</v>
      </c>
      <c r="M11" s="575" t="n">
        <v>331.9</v>
      </c>
      <c r="N11" s="575" t="n">
        <v>760.62</v>
      </c>
      <c r="O11" s="575" t="n">
        <v>4837.035000000001</v>
      </c>
    </row>
    <row r="12">
      <c r="A12" s="574" t="inlineStr">
        <is>
          <t>(blank)</t>
        </is>
      </c>
      <c r="B12" s="572" t="n"/>
      <c r="C12" s="575" t="n"/>
      <c r="D12" s="575" t="n"/>
      <c r="E12" s="575" t="n"/>
      <c r="F12" s="575" t="n"/>
      <c r="G12" s="575" t="n"/>
      <c r="H12" s="575" t="n"/>
      <c r="I12" s="575" t="n"/>
      <c r="J12" s="575" t="n"/>
      <c r="K12" s="575" t="n"/>
      <c r="L12" s="575" t="n"/>
      <c r="M12" s="575" t="n"/>
      <c r="N12" s="575" t="n"/>
      <c r="O12" s="575" t="n"/>
    </row>
    <row r="13">
      <c r="A13" s="574" t="inlineStr">
        <is>
          <t>Grand Total</t>
        </is>
      </c>
      <c r="B13" s="572" t="n"/>
      <c r="C13" s="575" t="n">
        <v>8277.470000000001</v>
      </c>
      <c r="D13" s="575" t="n">
        <v>10607.11</v>
      </c>
      <c r="E13" s="575" t="n">
        <v>7155.05</v>
      </c>
      <c r="F13" s="575" t="n">
        <v>4371.015</v>
      </c>
      <c r="G13" s="575" t="n">
        <v>4002.63</v>
      </c>
      <c r="H13" s="575" t="n">
        <v>3243.6</v>
      </c>
      <c r="I13" s="575" t="n">
        <v>2859.03</v>
      </c>
      <c r="J13" s="575" t="n">
        <v>4792.59</v>
      </c>
      <c r="K13" s="575" t="n">
        <v>6443.88</v>
      </c>
      <c r="L13" s="575" t="n">
        <v>3908.03</v>
      </c>
      <c r="M13" s="575" t="n">
        <v>8299.08</v>
      </c>
      <c r="N13" s="575" t="n">
        <v>4642.25</v>
      </c>
      <c r="O13" s="575" t="n">
        <v>68601.735</v>
      </c>
    </row>
    <row r="16">
      <c r="A16" s="573" t="inlineStr">
        <is>
          <t>Sum of Amount</t>
        </is>
      </c>
      <c r="B16" s="573" t="inlineStr">
        <is>
          <t>Column Labels</t>
        </is>
      </c>
      <c r="C16" s="575" t="n"/>
      <c r="D16" s="575" t="n"/>
      <c r="E16" s="575" t="n"/>
      <c r="F16" s="575" t="n"/>
      <c r="G16" s="575" t="n"/>
      <c r="H16" s="575" t="n"/>
      <c r="I16" s="575" t="n"/>
      <c r="J16" s="575" t="n"/>
      <c r="K16" s="575" t="n"/>
      <c r="L16" s="575" t="n"/>
      <c r="M16" s="575" t="n"/>
      <c r="N16" s="575" t="n"/>
      <c r="O16" s="575" t="n"/>
    </row>
    <row r="17">
      <c r="A17" s="573" t="inlineStr">
        <is>
          <t>Row Labels</t>
        </is>
      </c>
      <c r="B17" s="572" t="inlineStr">
        <is>
          <t>&lt;01/01/2018</t>
        </is>
      </c>
      <c r="C17" s="575" t="inlineStr">
        <is>
          <t>Jan</t>
        </is>
      </c>
      <c r="D17" s="575" t="inlineStr">
        <is>
          <t>Feb</t>
        </is>
      </c>
      <c r="E17" s="575" t="inlineStr">
        <is>
          <t>Mar</t>
        </is>
      </c>
      <c r="F17" s="575" t="inlineStr">
        <is>
          <t>Apr</t>
        </is>
      </c>
      <c r="G17" s="575" t="inlineStr">
        <is>
          <t>May</t>
        </is>
      </c>
      <c r="H17" s="575" t="inlineStr">
        <is>
          <t>Jun</t>
        </is>
      </c>
      <c r="I17" s="575" t="inlineStr">
        <is>
          <t>Jul</t>
        </is>
      </c>
      <c r="J17" s="575" t="inlineStr">
        <is>
          <t>Aug</t>
        </is>
      </c>
      <c r="K17" s="575" t="inlineStr">
        <is>
          <t>Sep</t>
        </is>
      </c>
      <c r="L17" s="575" t="inlineStr">
        <is>
          <t>Oct</t>
        </is>
      </c>
      <c r="M17" s="575" t="inlineStr">
        <is>
          <t>Nov</t>
        </is>
      </c>
      <c r="N17" s="575" t="inlineStr">
        <is>
          <t>Dec</t>
        </is>
      </c>
      <c r="O17" s="575" t="inlineStr">
        <is>
          <t>Grand Total</t>
        </is>
      </c>
    </row>
    <row r="18">
      <c r="A18" s="574" t="inlineStr">
        <is>
          <t>Existing</t>
        </is>
      </c>
      <c r="B18" s="572" t="n"/>
      <c r="C18" s="575" t="n">
        <v>3918.010000000001</v>
      </c>
      <c r="D18" s="575" t="n">
        <v>6095.77</v>
      </c>
      <c r="E18" s="575" t="n">
        <v>3088</v>
      </c>
      <c r="F18" s="575" t="n">
        <v>2493.63</v>
      </c>
      <c r="G18" s="575" t="n">
        <v>633.63</v>
      </c>
      <c r="H18" s="575" t="n">
        <v>1991.99</v>
      </c>
      <c r="I18" s="575" t="n">
        <v>1177.63</v>
      </c>
      <c r="J18" s="575" t="n">
        <v>3683.99</v>
      </c>
      <c r="K18" s="575" t="n">
        <v>3730.13</v>
      </c>
      <c r="L18" s="575" t="n">
        <v>1362.63</v>
      </c>
      <c r="M18" s="575" t="n">
        <v>7455.43</v>
      </c>
      <c r="N18" s="575" t="n">
        <v>2243.63</v>
      </c>
      <c r="O18" s="575" t="n">
        <v>37874.47</v>
      </c>
    </row>
    <row r="19">
      <c r="A19" s="574" t="inlineStr">
        <is>
          <t>Google</t>
        </is>
      </c>
      <c r="B19" s="572" t="n"/>
      <c r="C19" s="575" t="n">
        <v>1880</v>
      </c>
      <c r="D19" s="575" t="n">
        <v>1830</v>
      </c>
      <c r="E19" s="575" t="n">
        <v>1764.85</v>
      </c>
      <c r="F19" s="575" t="n">
        <v>929.385</v>
      </c>
      <c r="G19" s="575" t="n">
        <v>2205</v>
      </c>
      <c r="H19" s="575" t="n">
        <v>719.61</v>
      </c>
      <c r="I19" s="575" t="n">
        <v>1474.4</v>
      </c>
      <c r="J19" s="575" t="n">
        <v>932.6</v>
      </c>
      <c r="K19" s="575" t="n">
        <v>1451.5</v>
      </c>
      <c r="L19" s="575" t="n">
        <v>1212.4</v>
      </c>
      <c r="M19" s="575" t="n">
        <v>780.65</v>
      </c>
      <c r="N19" s="575" t="n">
        <v>2155</v>
      </c>
      <c r="O19" s="575" t="n">
        <v>17335.395</v>
      </c>
    </row>
    <row r="20">
      <c r="A20" s="574" t="inlineStr">
        <is>
          <t>ELS</t>
        </is>
      </c>
      <c r="B20" s="572" t="n"/>
      <c r="C20" s="575" t="n">
        <v>1560</v>
      </c>
      <c r="D20" s="575" t="n">
        <v>1125</v>
      </c>
      <c r="E20" s="575" t="n">
        <v>1200</v>
      </c>
      <c r="F20" s="575" t="n">
        <v>230</v>
      </c>
      <c r="G20" s="575" t="n">
        <v>170</v>
      </c>
      <c r="H20" s="575" t="n">
        <v>200</v>
      </c>
      <c r="I20" s="575" t="n"/>
      <c r="J20" s="575" t="n"/>
      <c r="K20" s="575" t="n">
        <v>200</v>
      </c>
      <c r="L20" s="575" t="n">
        <v>50</v>
      </c>
      <c r="M20" s="575" t="n">
        <v>20</v>
      </c>
      <c r="N20" s="575" t="n">
        <v>200</v>
      </c>
      <c r="O20" s="575" t="n">
        <v>4955</v>
      </c>
    </row>
    <row r="21">
      <c r="A21" s="574" t="inlineStr">
        <is>
          <t>Other</t>
        </is>
      </c>
      <c r="B21" s="572" t="n"/>
      <c r="C21" s="575" t="n">
        <v>581.46</v>
      </c>
      <c r="D21" s="575" t="n">
        <v>138.34</v>
      </c>
      <c r="E21" s="575" t="n">
        <v>421.2</v>
      </c>
      <c r="F21" s="575" t="n"/>
      <c r="G21" s="575" t="n"/>
      <c r="H21" s="575" t="n"/>
      <c r="I21" s="575" t="n"/>
      <c r="J21" s="575" t="n"/>
      <c r="K21" s="575" t="n"/>
      <c r="L21" s="575" t="n"/>
      <c r="M21" s="575" t="n"/>
      <c r="N21" s="575" t="n"/>
      <c r="O21" s="575" t="n">
        <v>1141</v>
      </c>
    </row>
    <row r="22">
      <c r="A22" s="574" t="inlineStr">
        <is>
          <t>Facebook</t>
        </is>
      </c>
      <c r="B22" s="572" t="n"/>
      <c r="C22" s="575" t="n">
        <v>175</v>
      </c>
      <c r="D22" s="575" t="n">
        <v>1220</v>
      </c>
      <c r="E22" s="575" t="n">
        <v>400</v>
      </c>
      <c r="F22" s="575" t="n">
        <v>575</v>
      </c>
      <c r="G22" s="575" t="n">
        <v>825</v>
      </c>
      <c r="H22" s="575" t="n">
        <v>215</v>
      </c>
      <c r="I22" s="575" t="n"/>
      <c r="J22" s="575" t="n">
        <v>30</v>
      </c>
      <c r="K22" s="575" t="n">
        <v>361.5</v>
      </c>
      <c r="L22" s="575" t="n">
        <v>824</v>
      </c>
      <c r="M22" s="575" t="n">
        <v>30</v>
      </c>
      <c r="N22" s="575" t="n">
        <v>30.62</v>
      </c>
      <c r="O22" s="575" t="n">
        <v>4686.12</v>
      </c>
      <c r="T22" s="685" t="inlineStr">
        <is>
          <t>Jan</t>
        </is>
      </c>
      <c r="U22" s="685" t="inlineStr">
        <is>
          <t>Feb</t>
        </is>
      </c>
      <c r="V22" s="685" t="inlineStr">
        <is>
          <t>Mar</t>
        </is>
      </c>
      <c r="W22" s="685" t="inlineStr">
        <is>
          <t>Apr</t>
        </is>
      </c>
      <c r="X22" s="685" t="inlineStr">
        <is>
          <t>May</t>
        </is>
      </c>
      <c r="Y22" s="685" t="inlineStr">
        <is>
          <t>Jun</t>
        </is>
      </c>
      <c r="Z22" s="685" t="inlineStr">
        <is>
          <t>Jul</t>
        </is>
      </c>
      <c r="AA22" s="685" t="inlineStr">
        <is>
          <t>Aug</t>
        </is>
      </c>
      <c r="AB22" s="685" t="inlineStr">
        <is>
          <t>Sep</t>
        </is>
      </c>
      <c r="AC22" s="685" t="inlineStr">
        <is>
          <t>Oct</t>
        </is>
      </c>
      <c r="AD22" s="685" t="inlineStr">
        <is>
          <t>Nov</t>
        </is>
      </c>
      <c r="AE22" s="685" t="inlineStr">
        <is>
          <t>Dec</t>
        </is>
      </c>
    </row>
    <row r="23">
      <c r="A23" s="574" t="inlineStr">
        <is>
          <t>Groupon</t>
        </is>
      </c>
      <c r="B23" s="572" t="n"/>
      <c r="C23" s="575" t="n">
        <v>104</v>
      </c>
      <c r="D23" s="575" t="n">
        <v>65</v>
      </c>
      <c r="E23" s="575" t="n">
        <v>26</v>
      </c>
      <c r="F23" s="575" t="n">
        <v>13</v>
      </c>
      <c r="G23" s="575" t="n">
        <v>104</v>
      </c>
      <c r="H23" s="575" t="n">
        <v>52</v>
      </c>
      <c r="I23" s="575" t="n">
        <v>52</v>
      </c>
      <c r="J23" s="575" t="n">
        <v>26</v>
      </c>
      <c r="K23" s="575" t="n">
        <v>13</v>
      </c>
      <c r="L23" s="575" t="n"/>
      <c r="M23" s="575" t="n">
        <v>13</v>
      </c>
      <c r="N23" s="575" t="n">
        <v>13</v>
      </c>
      <c r="O23" s="575" t="n">
        <v>481</v>
      </c>
      <c r="R23" s="684" t="inlineStr">
        <is>
          <t>2019</t>
        </is>
      </c>
    </row>
    <row r="24">
      <c r="A24" s="574" t="inlineStr">
        <is>
          <t>Batsford</t>
        </is>
      </c>
      <c r="B24" s="572" t="n"/>
      <c r="C24" s="575" t="n">
        <v>59</v>
      </c>
      <c r="D24" s="575" t="n">
        <v>133</v>
      </c>
      <c r="E24" s="575" t="n">
        <v>255</v>
      </c>
      <c r="F24" s="575" t="n">
        <v>130</v>
      </c>
      <c r="G24" s="575" t="n">
        <v>65</v>
      </c>
      <c r="H24" s="575" t="n">
        <v>65</v>
      </c>
      <c r="I24" s="575" t="n">
        <v>155</v>
      </c>
      <c r="J24" s="575" t="n">
        <v>120</v>
      </c>
      <c r="K24" s="575" t="n">
        <v>687.75</v>
      </c>
      <c r="L24" s="575" t="n">
        <v>459</v>
      </c>
      <c r="M24" s="575" t="n"/>
      <c r="N24" s="575" t="n"/>
      <c r="O24" s="575" t="n">
        <v>2128.75</v>
      </c>
      <c r="R24" s="684" t="inlineStr">
        <is>
          <t>2018</t>
        </is>
      </c>
      <c r="S24" s="576" t="inlineStr">
        <is>
          <t>Year 6</t>
        </is>
      </c>
      <c r="T24" s="568" t="n">
        <v>8277.470000000001</v>
      </c>
      <c r="U24" s="568" t="n">
        <v>10607.11</v>
      </c>
      <c r="V24" s="568" t="n">
        <v>7155.05</v>
      </c>
      <c r="W24" s="568" t="n">
        <v>4371.015</v>
      </c>
      <c r="X24" s="568" t="n">
        <v>4002.63</v>
      </c>
      <c r="Y24" s="568" t="n">
        <v>3243.6</v>
      </c>
      <c r="Z24" s="568" t="n">
        <v>2859.03</v>
      </c>
      <c r="AA24" s="568" t="n">
        <v>4792.59</v>
      </c>
      <c r="AB24" s="568" t="n">
        <v>6443.88</v>
      </c>
      <c r="AC24" s="568">
        <f>'Sales 2018'!T11</f>
        <v/>
      </c>
      <c r="AD24" s="568">
        <f>'Sales 2018'!U11</f>
        <v/>
      </c>
      <c r="AE24" s="568">
        <f>'Sales 2018'!V11</f>
        <v/>
      </c>
    </row>
    <row r="25">
      <c r="A25" s="574" t="inlineStr">
        <is>
          <t>(blank)</t>
        </is>
      </c>
      <c r="B25" s="572" t="n"/>
      <c r="C25" s="575" t="n"/>
      <c r="D25" s="575" t="n"/>
      <c r="E25" s="575" t="n"/>
      <c r="F25" s="575" t="n"/>
      <c r="G25" s="575" t="n"/>
      <c r="H25" s="575" t="n"/>
      <c r="I25" s="575" t="n"/>
      <c r="J25" s="575" t="n"/>
      <c r="K25" s="575" t="n"/>
      <c r="L25" s="575" t="n"/>
      <c r="M25" s="575" t="n"/>
      <c r="N25" s="575" t="n"/>
      <c r="O25" s="575" t="n"/>
      <c r="R25" s="568" t="inlineStr">
        <is>
          <t>2017</t>
        </is>
      </c>
      <c r="S25" s="568" t="inlineStr">
        <is>
          <t>Year 5</t>
        </is>
      </c>
      <c r="T25" s="568" t="n">
        <v>3203.5</v>
      </c>
      <c r="U25" s="568" t="n">
        <v>6685</v>
      </c>
      <c r="V25" s="568" t="n">
        <v>6242.83</v>
      </c>
      <c r="W25" s="568" t="n">
        <v>6063.17</v>
      </c>
      <c r="X25" s="568" t="n">
        <v>5851.71</v>
      </c>
      <c r="Y25" s="568" t="n">
        <v>5479.93</v>
      </c>
      <c r="Z25" s="568" t="n">
        <v>3603.81</v>
      </c>
      <c r="AA25" s="568" t="n">
        <v>4658.85</v>
      </c>
      <c r="AB25" s="568" t="n">
        <v>10821.67</v>
      </c>
      <c r="AC25" s="568" t="n">
        <v>9224.58</v>
      </c>
      <c r="AD25" s="568" t="n">
        <v>10504.09</v>
      </c>
      <c r="AE25" s="568" t="n">
        <v>4329.030000000001</v>
      </c>
    </row>
    <row r="26">
      <c r="A26" s="574" t="inlineStr">
        <is>
          <t>Grand Total</t>
        </is>
      </c>
      <c r="B26" s="572" t="n"/>
      <c r="C26" s="575" t="n">
        <v>8277.470000000001</v>
      </c>
      <c r="D26" s="575" t="n">
        <v>10607.11</v>
      </c>
      <c r="E26" s="575" t="n">
        <v>7155.05</v>
      </c>
      <c r="F26" s="575" t="n">
        <v>4371.015</v>
      </c>
      <c r="G26" s="575" t="n">
        <v>4002.63</v>
      </c>
      <c r="H26" s="575" t="n">
        <v>3243.6</v>
      </c>
      <c r="I26" s="575" t="n">
        <v>2859.03</v>
      </c>
      <c r="J26" s="575" t="n">
        <v>4792.59</v>
      </c>
      <c r="K26" s="575" t="n">
        <v>6443.88</v>
      </c>
      <c r="L26" s="575" t="n">
        <v>3908.03</v>
      </c>
      <c r="M26" s="575" t="n">
        <v>8299.08</v>
      </c>
      <c r="N26" s="575" t="n">
        <v>4642.25</v>
      </c>
      <c r="O26" s="575" t="n">
        <v>68601.735</v>
      </c>
      <c r="R26" s="568" t="inlineStr">
        <is>
          <t>2016</t>
        </is>
      </c>
      <c r="S26" s="568" t="inlineStr">
        <is>
          <t>Year 4</t>
        </is>
      </c>
      <c r="T26" s="568" t="n">
        <v>4537</v>
      </c>
      <c r="U26" s="568" t="n">
        <v>4319</v>
      </c>
      <c r="V26" s="568" t="n">
        <v>3722</v>
      </c>
      <c r="W26" s="568" t="n">
        <v>4551</v>
      </c>
      <c r="X26" s="568" t="n">
        <v>3618</v>
      </c>
      <c r="Y26" s="568" t="n">
        <v>2779</v>
      </c>
      <c r="Z26" s="568" t="n">
        <v>2709</v>
      </c>
      <c r="AA26" s="568" t="n">
        <v>7253</v>
      </c>
      <c r="AB26" s="568" t="n">
        <v>3793</v>
      </c>
      <c r="AC26" s="568" t="n">
        <v>10484</v>
      </c>
      <c r="AD26" s="568" t="n">
        <v>4868</v>
      </c>
      <c r="AE26" s="568" t="n">
        <v>5007</v>
      </c>
    </row>
    <row r="27">
      <c r="R27" s="568" t="inlineStr">
        <is>
          <t>2015</t>
        </is>
      </c>
      <c r="S27" s="568" t="inlineStr">
        <is>
          <t>Year 3</t>
        </is>
      </c>
      <c r="T27" s="568" t="n">
        <v>3710</v>
      </c>
      <c r="U27" s="568" t="n">
        <v>3750</v>
      </c>
      <c r="V27" s="568" t="n">
        <v>7113</v>
      </c>
      <c r="W27" s="568" t="n">
        <v>3715</v>
      </c>
      <c r="X27" s="568" t="n">
        <v>2288</v>
      </c>
      <c r="Y27" s="568" t="n">
        <v>3255</v>
      </c>
      <c r="Z27" s="568" t="n">
        <v>1762</v>
      </c>
      <c r="AA27" s="568" t="n">
        <v>3933</v>
      </c>
      <c r="AB27" s="568" t="n">
        <v>8306</v>
      </c>
      <c r="AC27" s="568" t="n">
        <v>5405</v>
      </c>
      <c r="AD27" s="568" t="n">
        <v>3604</v>
      </c>
      <c r="AE27" s="568" t="n">
        <v>12228</v>
      </c>
    </row>
    <row r="28">
      <c r="R28" s="568" t="inlineStr">
        <is>
          <t>2014</t>
        </is>
      </c>
      <c r="S28" s="568" t="inlineStr">
        <is>
          <t>Year 2</t>
        </is>
      </c>
      <c r="T28" s="568" t="n">
        <v>3179</v>
      </c>
      <c r="U28" s="568" t="n">
        <v>2874</v>
      </c>
      <c r="V28" s="568" t="n">
        <v>4826</v>
      </c>
      <c r="W28" s="568" t="n">
        <v>3453</v>
      </c>
      <c r="X28" s="568" t="n">
        <v>4975</v>
      </c>
      <c r="Y28" s="568" t="n">
        <v>3386</v>
      </c>
      <c r="Z28" s="568" t="n">
        <v>3633</v>
      </c>
      <c r="AA28" s="568" t="n">
        <v>3855</v>
      </c>
      <c r="AB28" s="568" t="n">
        <v>6440</v>
      </c>
      <c r="AC28" s="568" t="n">
        <v>3536</v>
      </c>
      <c r="AD28" s="568" t="n">
        <v>2851</v>
      </c>
      <c r="AE28" s="568" t="n">
        <v>7614</v>
      </c>
    </row>
    <row r="29">
      <c r="R29" s="568" t="inlineStr">
        <is>
          <t>2013</t>
        </is>
      </c>
      <c r="S29" s="568" t="inlineStr">
        <is>
          <t>Year 1</t>
        </is>
      </c>
      <c r="AD29" s="568" t="n">
        <v>3008</v>
      </c>
      <c r="AE29" s="568" t="n">
        <v>6386</v>
      </c>
    </row>
    <row r="31">
      <c r="A31" s="573" t="inlineStr">
        <is>
          <t>Sum of Amount</t>
        </is>
      </c>
      <c r="B31" s="573" t="inlineStr">
        <is>
          <t>Column Labels</t>
        </is>
      </c>
      <c r="C31" s="575" t="n"/>
      <c r="D31" s="575" t="n"/>
      <c r="E31" s="575" t="n"/>
      <c r="F31" s="575" t="n"/>
      <c r="G31" s="575" t="n"/>
      <c r="H31" s="575" t="n"/>
      <c r="I31" s="575" t="n"/>
      <c r="J31" s="575" t="n"/>
      <c r="K31" s="575" t="n"/>
      <c r="L31" s="575" t="n"/>
      <c r="M31" s="575" t="n"/>
      <c r="N31" s="575" t="n"/>
      <c r="O31" s="575" t="n"/>
    </row>
    <row r="32">
      <c r="A32" s="573" t="inlineStr">
        <is>
          <t>Row Labels</t>
        </is>
      </c>
      <c r="B32" s="572" t="inlineStr">
        <is>
          <t>&lt;01/01/2018</t>
        </is>
      </c>
      <c r="C32" s="575" t="inlineStr">
        <is>
          <t>Jan</t>
        </is>
      </c>
      <c r="D32" s="575" t="inlineStr">
        <is>
          <t>Feb</t>
        </is>
      </c>
      <c r="E32" s="575" t="inlineStr">
        <is>
          <t>Mar</t>
        </is>
      </c>
      <c r="F32" s="575" t="inlineStr">
        <is>
          <t>Apr</t>
        </is>
      </c>
      <c r="G32" s="575" t="inlineStr">
        <is>
          <t>May</t>
        </is>
      </c>
      <c r="H32" s="575" t="inlineStr">
        <is>
          <t>Jun</t>
        </is>
      </c>
      <c r="I32" s="575" t="inlineStr">
        <is>
          <t>Jul</t>
        </is>
      </c>
      <c r="J32" s="575" t="inlineStr">
        <is>
          <t>Aug</t>
        </is>
      </c>
      <c r="K32" s="575" t="inlineStr">
        <is>
          <t>Sep</t>
        </is>
      </c>
      <c r="L32" s="575" t="inlineStr">
        <is>
          <t>Oct</t>
        </is>
      </c>
      <c r="M32" s="575" t="inlineStr">
        <is>
          <t>Nov</t>
        </is>
      </c>
      <c r="N32" s="575" t="inlineStr">
        <is>
          <t>Dec</t>
        </is>
      </c>
      <c r="O32" s="575" t="inlineStr">
        <is>
          <t>Grand Total</t>
        </is>
      </c>
    </row>
    <row r="33">
      <c r="A33" s="574" t="inlineStr">
        <is>
          <t>Stripe</t>
        </is>
      </c>
      <c r="B33" s="572" t="n"/>
      <c r="C33" s="575" t="n">
        <v>4553.5</v>
      </c>
      <c r="D33" s="575" t="n">
        <v>5242</v>
      </c>
      <c r="E33" s="575" t="n">
        <v>2289.85</v>
      </c>
      <c r="F33" s="575" t="n">
        <v>1900</v>
      </c>
      <c r="G33" s="575" t="n">
        <v>1520</v>
      </c>
      <c r="H33" s="575" t="n">
        <v>1760</v>
      </c>
      <c r="I33" s="575" t="n">
        <v>793</v>
      </c>
      <c r="J33" s="575" t="n">
        <v>1364.86</v>
      </c>
      <c r="K33" s="575" t="n">
        <v>2363</v>
      </c>
      <c r="L33" s="575" t="n">
        <v>1895</v>
      </c>
      <c r="M33" s="575" t="n">
        <v>4074.65</v>
      </c>
      <c r="N33" s="575" t="n">
        <v>1304.37</v>
      </c>
      <c r="O33" s="575" t="n">
        <v>29060.23</v>
      </c>
    </row>
    <row r="34">
      <c r="A34" s="574" t="inlineStr">
        <is>
          <t>Bank</t>
        </is>
      </c>
      <c r="B34" s="572" t="n"/>
      <c r="C34" s="575" t="n">
        <v>2695.06</v>
      </c>
      <c r="D34" s="575" t="n">
        <v>2244.47</v>
      </c>
      <c r="E34" s="575" t="n">
        <v>3696.2</v>
      </c>
      <c r="F34" s="575" t="n">
        <v>1243</v>
      </c>
      <c r="G34" s="575" t="n">
        <v>1699</v>
      </c>
      <c r="H34" s="575" t="n">
        <v>830.75</v>
      </c>
      <c r="I34" s="575" t="n">
        <v>1758</v>
      </c>
      <c r="J34" s="575" t="n">
        <v>2561.5</v>
      </c>
      <c r="K34" s="575" t="n">
        <v>650.5</v>
      </c>
      <c r="L34" s="575" t="n">
        <v>230</v>
      </c>
      <c r="M34" s="575" t="n">
        <v>933</v>
      </c>
      <c r="N34" s="575" t="n">
        <v>948</v>
      </c>
      <c r="O34" s="575" t="n">
        <v>19489.48</v>
      </c>
    </row>
    <row r="35">
      <c r="A35" s="574" t="inlineStr">
        <is>
          <t>Paypal</t>
        </is>
      </c>
      <c r="B35" s="572" t="n"/>
      <c r="C35" s="575" t="n">
        <v>696.8</v>
      </c>
      <c r="D35" s="575" t="n">
        <v>2574.4</v>
      </c>
      <c r="E35" s="575" t="n">
        <v>710</v>
      </c>
      <c r="F35" s="575" t="n">
        <v>864.385</v>
      </c>
      <c r="G35" s="575" t="n">
        <v>590</v>
      </c>
      <c r="H35" s="575" t="n">
        <v>224.22</v>
      </c>
      <c r="I35" s="575" t="n">
        <v>154.4</v>
      </c>
      <c r="J35" s="575" t="n">
        <v>542.6</v>
      </c>
      <c r="K35" s="575" t="n">
        <v>2709.25</v>
      </c>
      <c r="L35" s="575" t="n">
        <v>1099.4</v>
      </c>
      <c r="M35" s="575" t="n">
        <v>2570.3</v>
      </c>
      <c r="N35" s="575" t="n">
        <v>273.75</v>
      </c>
      <c r="O35" s="575" t="n">
        <v>13009.505</v>
      </c>
    </row>
    <row r="36">
      <c r="A36" s="574" t="inlineStr">
        <is>
          <t>Various</t>
        </is>
      </c>
      <c r="B36" s="572" t="n"/>
      <c r="C36" s="575" t="n">
        <v>228.11</v>
      </c>
      <c r="D36" s="575" t="n">
        <v>481.24</v>
      </c>
      <c r="E36" s="575" t="n">
        <v>308</v>
      </c>
      <c r="F36" s="575" t="n">
        <v>173.63</v>
      </c>
      <c r="G36" s="575" t="n">
        <v>193.63</v>
      </c>
      <c r="H36" s="575" t="n">
        <v>428.63</v>
      </c>
      <c r="I36" s="575" t="n">
        <v>153.63</v>
      </c>
      <c r="J36" s="575" t="n">
        <v>173.63</v>
      </c>
      <c r="K36" s="575" t="n">
        <v>721.13</v>
      </c>
      <c r="L36" s="575" t="n">
        <v>533.63</v>
      </c>
      <c r="M36" s="575" t="n">
        <v>721.13</v>
      </c>
      <c r="N36" s="575" t="n">
        <v>901.13</v>
      </c>
      <c r="O36" s="575" t="n">
        <v>5017.52</v>
      </c>
    </row>
    <row r="37">
      <c r="A37" s="574" t="inlineStr">
        <is>
          <t>Groupon</t>
        </is>
      </c>
      <c r="B37" s="572" t="n"/>
      <c r="C37" s="575" t="n">
        <v>104</v>
      </c>
      <c r="D37" s="575" t="n">
        <v>65</v>
      </c>
      <c r="E37" s="575" t="n">
        <v>26</v>
      </c>
      <c r="F37" s="575" t="n"/>
      <c r="G37" s="575" t="n"/>
      <c r="H37" s="575" t="n"/>
      <c r="I37" s="575" t="n"/>
      <c r="J37" s="575" t="n"/>
      <c r="K37" s="575" t="n"/>
      <c r="L37" s="575" t="n"/>
      <c r="M37" s="575" t="n"/>
      <c r="N37" s="575" t="n"/>
      <c r="O37" s="575" t="n">
        <v>195</v>
      </c>
    </row>
    <row r="38">
      <c r="A38" s="574" t="inlineStr">
        <is>
          <t>W-Play</t>
        </is>
      </c>
      <c r="B38" s="572" t="n"/>
      <c r="C38" s="575" t="n"/>
      <c r="D38" s="575" t="n"/>
      <c r="E38" s="575" t="n">
        <v>125</v>
      </c>
      <c r="F38" s="575" t="n">
        <v>190</v>
      </c>
      <c r="G38" s="575" t="n"/>
      <c r="H38" s="575" t="n"/>
      <c r="I38" s="575" t="n"/>
      <c r="J38" s="575" t="n">
        <v>100</v>
      </c>
      <c r="K38" s="575" t="n"/>
      <c r="L38" s="575" t="n">
        <v>150</v>
      </c>
      <c r="M38" s="575" t="n"/>
      <c r="N38" s="575" t="n">
        <v>1215</v>
      </c>
      <c r="O38" s="575" t="n">
        <v>1780</v>
      </c>
    </row>
    <row r="39">
      <c r="A39" s="574" t="inlineStr">
        <is>
          <t>Cash</t>
        </is>
      </c>
      <c r="B39" s="572" t="n"/>
      <c r="C39" s="575" t="n"/>
      <c r="D39" s="575" t="n"/>
      <c r="E39" s="575" t="n"/>
      <c r="F39" s="575" t="n"/>
      <c r="G39" s="575" t="n"/>
      <c r="H39" s="575" t="n"/>
      <c r="I39" s="575" t="n"/>
      <c r="J39" s="575" t="n">
        <v>50</v>
      </c>
      <c r="K39" s="575" t="n"/>
      <c r="L39" s="575" t="n"/>
      <c r="M39" s="575" t="n"/>
      <c r="N39" s="575" t="n"/>
      <c r="O39" s="575" t="n">
        <v>50</v>
      </c>
    </row>
    <row r="40">
      <c r="A40" s="574" t="inlineStr">
        <is>
          <t>(blank)</t>
        </is>
      </c>
      <c r="B40" s="572" t="n"/>
      <c r="C40" s="575" t="n"/>
      <c r="D40" s="575" t="n"/>
      <c r="E40" s="575" t="n"/>
      <c r="F40" s="575" t="n"/>
      <c r="G40" s="575" t="n"/>
      <c r="H40" s="575" t="n"/>
      <c r="I40" s="575" t="n"/>
      <c r="J40" s="575" t="n"/>
      <c r="K40" s="575" t="n"/>
      <c r="L40" s="575" t="n"/>
      <c r="M40" s="575" t="n"/>
      <c r="N40" s="575" t="n"/>
      <c r="O40" s="575" t="n"/>
    </row>
    <row r="41">
      <c r="A41" s="574" t="inlineStr">
        <is>
          <t>PicknMix</t>
        </is>
      </c>
      <c r="B41" s="572" t="n"/>
      <c r="C41" s="575" t="n">
        <v>0</v>
      </c>
      <c r="D41" s="575" t="n">
        <v>0</v>
      </c>
      <c r="E41" s="575" t="n">
        <v>0</v>
      </c>
      <c r="F41" s="575" t="n">
        <v>0</v>
      </c>
      <c r="G41" s="575" t="n">
        <v>0</v>
      </c>
      <c r="H41" s="575" t="n"/>
      <c r="I41" s="575" t="n">
        <v>0</v>
      </c>
      <c r="J41" s="575" t="n"/>
      <c r="K41" s="575" t="n"/>
      <c r="L41" s="575" t="n"/>
      <c r="M41" s="575" t="n">
        <v>0</v>
      </c>
      <c r="N41" s="575" t="n">
        <v>0</v>
      </c>
      <c r="O41" s="575" t="n">
        <v>0</v>
      </c>
    </row>
    <row r="42">
      <c r="A42" s="574" t="inlineStr">
        <is>
          <t>Grand Total</t>
        </is>
      </c>
      <c r="B42" s="572" t="n"/>
      <c r="C42" s="575" t="n">
        <v>8277.470000000001</v>
      </c>
      <c r="D42" s="575" t="n">
        <v>10607.11</v>
      </c>
      <c r="E42" s="575" t="n">
        <v>7155.049999999999</v>
      </c>
      <c r="F42" s="575" t="n">
        <v>4371.015</v>
      </c>
      <c r="G42" s="575" t="n">
        <v>4002.63</v>
      </c>
      <c r="H42" s="575" t="n">
        <v>3243.6</v>
      </c>
      <c r="I42" s="575" t="n">
        <v>2859.03</v>
      </c>
      <c r="J42" s="575" t="n">
        <v>4792.59</v>
      </c>
      <c r="K42" s="575" t="n">
        <v>6443.88</v>
      </c>
      <c r="L42" s="575" t="n">
        <v>3908.03</v>
      </c>
      <c r="M42" s="575" t="n">
        <v>8299.08</v>
      </c>
      <c r="N42" s="575" t="n">
        <v>4642.25</v>
      </c>
      <c r="O42" s="575" t="n">
        <v>68601.735</v>
      </c>
    </row>
    <row r="44">
      <c r="A44" s="573" t="inlineStr">
        <is>
          <t>Count of Amount</t>
        </is>
      </c>
      <c r="B44" s="573" t="inlineStr">
        <is>
          <t>Column Labels</t>
        </is>
      </c>
      <c r="C44" s="575" t="n"/>
      <c r="D44" s="575" t="n"/>
      <c r="E44" s="575" t="n"/>
      <c r="F44" s="575" t="n"/>
      <c r="G44" s="575" t="n"/>
      <c r="H44" s="575" t="n"/>
      <c r="I44" s="575" t="n"/>
      <c r="J44" s="575" t="n"/>
      <c r="K44" s="575" t="n"/>
      <c r="L44" s="575" t="n"/>
      <c r="M44" s="575" t="n"/>
      <c r="N44" s="575" t="n"/>
      <c r="O44" s="575" t="n"/>
    </row>
    <row r="45">
      <c r="A45" s="573" t="inlineStr">
        <is>
          <t>Row Labels</t>
        </is>
      </c>
      <c r="B45" s="572" t="inlineStr">
        <is>
          <t>&lt;01/01/2018</t>
        </is>
      </c>
      <c r="C45" s="575" t="inlineStr">
        <is>
          <t>Jan</t>
        </is>
      </c>
      <c r="D45" s="575" t="inlineStr">
        <is>
          <t>Feb</t>
        </is>
      </c>
      <c r="E45" s="575" t="inlineStr">
        <is>
          <t>Mar</t>
        </is>
      </c>
      <c r="F45" s="575" t="inlineStr">
        <is>
          <t>Apr</t>
        </is>
      </c>
      <c r="G45" s="575" t="inlineStr">
        <is>
          <t>May</t>
        </is>
      </c>
      <c r="H45" s="575" t="inlineStr">
        <is>
          <t>Jun</t>
        </is>
      </c>
      <c r="I45" s="575" t="inlineStr">
        <is>
          <t>Jul</t>
        </is>
      </c>
      <c r="J45" s="575" t="inlineStr">
        <is>
          <t>Aug</t>
        </is>
      </c>
      <c r="K45" s="575" t="inlineStr">
        <is>
          <t>Sep</t>
        </is>
      </c>
      <c r="L45" s="575" t="inlineStr">
        <is>
          <t>Oct</t>
        </is>
      </c>
      <c r="M45" s="575" t="inlineStr">
        <is>
          <t>Nov</t>
        </is>
      </c>
      <c r="N45" s="575" t="inlineStr">
        <is>
          <t>Dec</t>
        </is>
      </c>
      <c r="O45" s="575" t="inlineStr">
        <is>
          <t>Grand Total</t>
        </is>
      </c>
    </row>
    <row r="46">
      <c r="A46" s="574" t="inlineStr">
        <is>
          <t>1. Courses/masterclasses</t>
        </is>
      </c>
      <c r="B46" s="572" t="n"/>
      <c r="C46" s="575" t="n">
        <v>37</v>
      </c>
      <c r="D46" s="575" t="n">
        <v>39</v>
      </c>
      <c r="E46" s="575" t="n">
        <v>21</v>
      </c>
      <c r="F46" s="575" t="n">
        <v>13</v>
      </c>
      <c r="G46" s="575" t="n">
        <v>13</v>
      </c>
      <c r="H46" s="575" t="n">
        <v>10</v>
      </c>
      <c r="I46" s="575" t="n">
        <v>8</v>
      </c>
      <c r="J46" s="575" t="n">
        <v>12</v>
      </c>
      <c r="K46" s="575" t="n">
        <v>11</v>
      </c>
      <c r="L46" s="575" t="n">
        <v>7</v>
      </c>
      <c r="M46" s="575" t="n">
        <v>18</v>
      </c>
      <c r="N46" s="575" t="n">
        <v>9</v>
      </c>
      <c r="O46" s="575" t="n">
        <v>198</v>
      </c>
    </row>
    <row r="47">
      <c r="A47" s="574" t="inlineStr">
        <is>
          <t>2. Workshops</t>
        </is>
      </c>
      <c r="B47" s="572" t="n"/>
      <c r="C47" s="575" t="n">
        <v>17</v>
      </c>
      <c r="D47" s="575" t="n">
        <v>22</v>
      </c>
      <c r="E47" s="575" t="n">
        <v>20</v>
      </c>
      <c r="F47" s="575" t="n">
        <v>18</v>
      </c>
      <c r="G47" s="575" t="n">
        <v>17</v>
      </c>
      <c r="H47" s="575" t="n">
        <v>10</v>
      </c>
      <c r="I47" s="575" t="n">
        <v>10</v>
      </c>
      <c r="J47" s="575" t="n">
        <v>10</v>
      </c>
      <c r="K47" s="575" t="n">
        <v>21</v>
      </c>
      <c r="L47" s="575" t="n">
        <v>24</v>
      </c>
      <c r="M47" s="575" t="n">
        <v>12</v>
      </c>
      <c r="N47" s="575" t="n">
        <v>10</v>
      </c>
      <c r="O47" s="575" t="n">
        <v>191</v>
      </c>
    </row>
    <row r="48">
      <c r="A48" s="574" t="inlineStr">
        <is>
          <t>3. Pick n Mix Inc</t>
        </is>
      </c>
      <c r="B48" s="572" t="n"/>
      <c r="C48" s="575" t="n">
        <v>2</v>
      </c>
      <c r="D48" s="575" t="n">
        <v>2</v>
      </c>
      <c r="E48" s="575" t="n">
        <v>1</v>
      </c>
      <c r="F48" s="575" t="n">
        <v>2</v>
      </c>
      <c r="G48" s="575" t="n">
        <v>1</v>
      </c>
      <c r="H48" s="575" t="n">
        <v>1</v>
      </c>
      <c r="I48" s="575" t="n">
        <v>3</v>
      </c>
      <c r="J48" s="575" t="n">
        <v>4</v>
      </c>
      <c r="K48" s="575" t="n">
        <v>2</v>
      </c>
      <c r="L48" s="575" t="n">
        <v>1</v>
      </c>
      <c r="M48" s="575" t="n">
        <v>4</v>
      </c>
      <c r="N48" s="575" t="n">
        <v>1</v>
      </c>
      <c r="O48" s="575" t="n">
        <v>24</v>
      </c>
    </row>
    <row r="49">
      <c r="A49" s="574" t="inlineStr">
        <is>
          <t>4. Pick n Mix Out</t>
        </is>
      </c>
      <c r="B49" s="572" t="n"/>
      <c r="C49" s="575" t="n">
        <v>3</v>
      </c>
      <c r="D49" s="575" t="n">
        <v>1</v>
      </c>
      <c r="E49" s="575" t="n">
        <v>3</v>
      </c>
      <c r="F49" s="575" t="n">
        <v>2</v>
      </c>
      <c r="G49" s="575" t="n">
        <v>1</v>
      </c>
      <c r="H49" s="575" t="n"/>
      <c r="I49" s="575" t="n">
        <v>1</v>
      </c>
      <c r="J49" s="575" t="n"/>
      <c r="K49" s="575" t="n"/>
      <c r="L49" s="575" t="n"/>
      <c r="M49" s="575" t="n">
        <v>2</v>
      </c>
      <c r="N49" s="575" t="n">
        <v>1</v>
      </c>
      <c r="O49" s="575" t="n">
        <v>14</v>
      </c>
    </row>
    <row r="50">
      <c r="A50" s="574" t="inlineStr">
        <is>
          <t>5. Mentoring</t>
        </is>
      </c>
      <c r="B50" s="572" t="n"/>
      <c r="C50" s="575" t="n">
        <v>1</v>
      </c>
      <c r="D50" s="575" t="n">
        <v>4</v>
      </c>
      <c r="E50" s="575" t="n">
        <v>3</v>
      </c>
      <c r="F50" s="575" t="n">
        <v>1</v>
      </c>
      <c r="G50" s="575" t="n">
        <v>2</v>
      </c>
      <c r="H50" s="575" t="n">
        <v>1</v>
      </c>
      <c r="I50" s="575" t="n">
        <v>2</v>
      </c>
      <c r="J50" s="575" t="n">
        <v>2</v>
      </c>
      <c r="K50" s="575" t="n">
        <v>2</v>
      </c>
      <c r="L50" s="575" t="n">
        <v>1</v>
      </c>
      <c r="M50" s="575" t="n">
        <v>1</v>
      </c>
      <c r="N50" s="575" t="n">
        <v>1</v>
      </c>
      <c r="O50" s="575" t="n">
        <v>21</v>
      </c>
    </row>
    <row r="51">
      <c r="A51" s="574" t="inlineStr">
        <is>
          <t>6. 1-2-1</t>
        </is>
      </c>
      <c r="B51" s="572" t="n"/>
      <c r="C51" s="575" t="n">
        <v>3</v>
      </c>
      <c r="D51" s="575" t="n">
        <v>2</v>
      </c>
      <c r="E51" s="575" t="n">
        <v>1</v>
      </c>
      <c r="F51" s="575" t="n">
        <v>1</v>
      </c>
      <c r="G51" s="575" t="n">
        <v>3</v>
      </c>
      <c r="H51" s="575" t="n">
        <v>2</v>
      </c>
      <c r="I51" s="575" t="n">
        <v>3</v>
      </c>
      <c r="J51" s="575" t="n">
        <v>3</v>
      </c>
      <c r="K51" s="575" t="n">
        <v>2</v>
      </c>
      <c r="L51" s="575" t="n">
        <v>2</v>
      </c>
      <c r="M51" s="575" t="n">
        <v>4</v>
      </c>
      <c r="N51" s="575" t="n">
        <v>1</v>
      </c>
      <c r="O51" s="575" t="n">
        <v>27</v>
      </c>
    </row>
    <row r="52">
      <c r="A52" s="574" t="inlineStr">
        <is>
          <t>7. Other</t>
        </is>
      </c>
      <c r="B52" s="572" t="n"/>
      <c r="C52" s="575" t="n">
        <v>7</v>
      </c>
      <c r="D52" s="575" t="n">
        <v>3</v>
      </c>
      <c r="E52" s="575" t="n">
        <v>14</v>
      </c>
      <c r="F52" s="575" t="n">
        <v>1</v>
      </c>
      <c r="G52" s="575" t="n">
        <v>1</v>
      </c>
      <c r="H52" s="575" t="n">
        <v>4</v>
      </c>
      <c r="I52" s="575" t="n">
        <v>1</v>
      </c>
      <c r="J52" s="575" t="n">
        <v>3</v>
      </c>
      <c r="K52" s="575" t="n">
        <v>1</v>
      </c>
      <c r="L52" s="575" t="n">
        <v>1</v>
      </c>
      <c r="M52" s="575" t="n">
        <v>4</v>
      </c>
      <c r="N52" s="575" t="n">
        <v>12</v>
      </c>
      <c r="O52" s="575" t="n">
        <v>52</v>
      </c>
    </row>
    <row r="53">
      <c r="A53" s="574" t="inlineStr">
        <is>
          <t>(blank)</t>
        </is>
      </c>
      <c r="B53" s="572" t="n"/>
      <c r="C53" s="575" t="n"/>
      <c r="D53" s="575" t="n"/>
      <c r="E53" s="575" t="n"/>
      <c r="F53" s="575" t="n"/>
      <c r="G53" s="575" t="n"/>
      <c r="H53" s="575" t="n"/>
      <c r="I53" s="575" t="n"/>
      <c r="J53" s="575" t="n"/>
      <c r="K53" s="575" t="n"/>
      <c r="L53" s="575" t="n"/>
      <c r="M53" s="575" t="n"/>
      <c r="N53" s="575" t="n"/>
      <c r="O53" s="575" t="n"/>
    </row>
    <row r="54">
      <c r="A54" s="574" t="inlineStr">
        <is>
          <t>Grand Total</t>
        </is>
      </c>
      <c r="B54" s="572" t="n"/>
      <c r="C54" s="575" t="n">
        <v>70</v>
      </c>
      <c r="D54" s="575" t="n">
        <v>73</v>
      </c>
      <c r="E54" s="575" t="n">
        <v>63</v>
      </c>
      <c r="F54" s="575" t="n">
        <v>38</v>
      </c>
      <c r="G54" s="575" t="n">
        <v>38</v>
      </c>
      <c r="H54" s="575" t="n">
        <v>28</v>
      </c>
      <c r="I54" s="575" t="n">
        <v>28</v>
      </c>
      <c r="J54" s="575" t="n">
        <v>34</v>
      </c>
      <c r="K54" s="575" t="n">
        <v>39</v>
      </c>
      <c r="L54" s="575" t="n">
        <v>36</v>
      </c>
      <c r="M54" s="575" t="n">
        <v>45</v>
      </c>
      <c r="N54" s="575" t="n">
        <v>35</v>
      </c>
      <c r="O54" s="575" t="n">
        <v>527</v>
      </c>
    </row>
    <row r="56">
      <c r="A56" s="1250" t="n"/>
      <c r="B56" s="1250" t="n"/>
      <c r="C56" s="1250" t="n"/>
      <c r="D56" s="1250" t="n"/>
      <c r="E56" s="1250" t="n"/>
      <c r="F56" s="1250" t="n"/>
      <c r="G56" s="1250" t="n"/>
      <c r="H56" s="1250" t="n"/>
      <c r="I56" s="1250" t="n"/>
      <c r="J56" s="1250" t="n"/>
      <c r="K56" s="1250" t="n"/>
      <c r="L56" s="1250" t="n"/>
      <c r="M56" s="1250" t="n"/>
      <c r="N56" s="1250" t="n"/>
      <c r="O56" s="1250" t="n"/>
    </row>
    <row r="57">
      <c r="A57" s="570" t="inlineStr">
        <is>
          <t>courses/masterclasses</t>
        </is>
      </c>
      <c r="B57" s="1250" t="n"/>
      <c r="C57" s="1250">
        <f>GETPIVOTDATA("Amount",$A$3,"Category","courses/masterclasses","Months",1)/GETPIVOTDATA("Amount",$A$44,"Category","courses/masterclasses","Months",1)</f>
        <v/>
      </c>
      <c r="D57" s="1250">
        <f>GETPIVOTDATA("Amount",$A$3,"Category","courses/masterclasses","Months",2)/GETPIVOTDATA("Amount",$A$44,"Category","courses/masterclasses","Months",2)</f>
        <v/>
      </c>
      <c r="E57" s="1250" t="n"/>
      <c r="F57" s="1250" t="n">
        <v>84.63636363636364</v>
      </c>
      <c r="G57" s="1250" t="n">
        <v>135.7777777777778</v>
      </c>
      <c r="H57" s="1250" t="n"/>
      <c r="I57" s="1250" t="n"/>
      <c r="J57" s="1250" t="n"/>
      <c r="K57" s="1250" t="n"/>
      <c r="L57" s="1250" t="n"/>
      <c r="M57" s="1250" t="n"/>
      <c r="N57" s="1250" t="n"/>
      <c r="O57" s="1250" t="n"/>
    </row>
    <row r="58">
      <c r="A58" s="570" t="inlineStr">
        <is>
          <t>workshops</t>
        </is>
      </c>
      <c r="B58" s="1250" t="n"/>
      <c r="C58" s="1250">
        <f>GETPIVOTDATA("Amount",$A$3,"Category","workshops","Months",1)/GETPIVOTDATA("Amount",$A$44,"Category","workshops","Months",1)</f>
        <v/>
      </c>
      <c r="D58" s="1250">
        <f>GETPIVOTDATA("Amount",$A$3,"Category","workshops","Months",2)/GETPIVOTDATA("Amount",$A$44,"Category","workshops","Months",2)</f>
        <v/>
      </c>
      <c r="E58" s="1250" t="n"/>
      <c r="F58" s="1250" t="n">
        <v>103.125</v>
      </c>
      <c r="G58" s="1250" t="n">
        <v>148.9090909090909</v>
      </c>
      <c r="H58" s="1250" t="n"/>
      <c r="I58" s="1250" t="n"/>
      <c r="J58" s="1250" t="n"/>
      <c r="K58" s="1250" t="n"/>
      <c r="L58" s="1250" t="n"/>
      <c r="M58" s="1250" t="n"/>
      <c r="N58" s="1250" t="n"/>
      <c r="O58" s="1250" t="n"/>
    </row>
    <row r="59">
      <c r="A59" s="570" t="inlineStr">
        <is>
          <t>pick n mix</t>
        </is>
      </c>
      <c r="B59" s="1250" t="n"/>
      <c r="C59" s="1250">
        <f>GETPIVOTDATA("Amount",$A$3,"Category","pick n mix","Months",1)/GETPIVOTDATA("Amount",$A$44,"Category","pick n mix","Months",1)</f>
        <v/>
      </c>
      <c r="D59" s="1250">
        <f>GETPIVOTDATA("Amount",$A$3,"Category","pick n mix","Months",2)/GETPIVOTDATA("Amount",$A$44,"Category","pick n mix","Months",2)</f>
        <v/>
      </c>
      <c r="E59" s="1250" t="n"/>
      <c r="F59" s="1250" t="n">
        <v>339</v>
      </c>
      <c r="G59" s="1250" t="n">
        <v>487</v>
      </c>
      <c r="H59" s="1250" t="n"/>
      <c r="I59" s="1250" t="n"/>
      <c r="J59" s="1250" t="n"/>
      <c r="K59" s="1250" t="n"/>
      <c r="L59" s="1250" t="n"/>
      <c r="M59" s="1250" t="n"/>
      <c r="N59" s="1250" t="n"/>
      <c r="O59" s="1250" t="n"/>
    </row>
    <row r="60">
      <c r="A60" s="570" t="inlineStr">
        <is>
          <t>mentoring</t>
        </is>
      </c>
      <c r="B60" s="1250" t="n"/>
      <c r="C60" s="1250">
        <f>GETPIVOTDATA("Amount",$A$3,"Category","mentoring","Months",1)/GETPIVOTDATA("Amount",$A$44,"Category","mentoring","Months",1)</f>
        <v/>
      </c>
      <c r="D60" s="1250">
        <f>GETPIVOTDATA("Amount",$A$3,"Category","mentoring","Months",1)/GETPIVOTDATA("Amount",$A$44,"Category","mentoring","Months",1)</f>
        <v/>
      </c>
      <c r="E60" s="1250" t="n"/>
      <c r="F60" s="1250" t="n">
        <v>160</v>
      </c>
      <c r="G60" s="1250" t="n">
        <v>160</v>
      </c>
      <c r="H60" s="1250" t="n"/>
      <c r="I60" s="1250" t="n"/>
      <c r="J60" s="1250" t="n"/>
      <c r="K60" s="1250" t="n"/>
      <c r="L60" s="1250" t="n"/>
      <c r="M60" s="1250" t="n"/>
      <c r="N60" s="1250" t="n"/>
      <c r="O60" s="1250" t="n"/>
    </row>
    <row r="61">
      <c r="A61" s="570" t="inlineStr">
        <is>
          <t>1-2-1</t>
        </is>
      </c>
      <c r="B61" s="1250" t="n"/>
      <c r="C61" s="1250">
        <f>GETPIVOTDATA("Amount",$A$3,"Category","1-2-1","Months",1)/GETPIVOTDATA("Amount",$A$44,"Category","1-2-1","Months",1)</f>
        <v/>
      </c>
      <c r="D61" s="1250">
        <f>GETPIVOTDATA("Amount",$A$3,"Category","1-2-1","Months",1)/GETPIVOTDATA("Amount",$A$44,"Category","1-2-1","Months",1)</f>
        <v/>
      </c>
      <c r="E61" s="1250" t="n"/>
      <c r="F61" s="1250" t="n">
        <v>120</v>
      </c>
      <c r="G61" s="1250" t="n">
        <v>120</v>
      </c>
      <c r="H61" s="1250" t="n"/>
      <c r="I61" s="1250" t="n"/>
      <c r="J61" s="1250" t="n"/>
      <c r="K61" s="1250" t="n"/>
      <c r="L61" s="1250" t="n"/>
      <c r="M61" s="1250" t="n"/>
      <c r="N61" s="1250" t="n"/>
      <c r="O61" s="1250" t="n"/>
    </row>
    <row r="62">
      <c r="A62" s="570" t="inlineStr">
        <is>
          <t>other</t>
        </is>
      </c>
      <c r="B62" s="1250" t="n"/>
      <c r="C62" s="1250">
        <f>GETPIVOTDATA("Amount",$A$3,"Category","other","Months",1)/GETPIVOTDATA("Amount",$A$44,"Category","other","Months",1)</f>
        <v/>
      </c>
      <c r="D62" s="1250">
        <f>GETPIVOTDATA("Amount",$A$3,"Category","other","Months",1)/GETPIVOTDATA("Amount",$A$44,"Category","other","Months",1)</f>
        <v/>
      </c>
      <c r="E62" s="1250" t="n"/>
      <c r="F62" s="1250" t="n">
        <v>30</v>
      </c>
      <c r="G62" s="1250" t="n">
        <v>30</v>
      </c>
      <c r="H62" s="1250" t="n"/>
      <c r="I62" s="1250" t="n"/>
      <c r="J62" s="1250" t="n"/>
      <c r="K62" s="1250" t="n"/>
      <c r="L62" s="1250" t="n"/>
      <c r="M62" s="1250" t="n"/>
      <c r="N62" s="1250" t="n"/>
      <c r="O62" s="1250" t="n"/>
    </row>
    <row r="63">
      <c r="A63" s="570" t="inlineStr">
        <is>
          <t>(blank)</t>
        </is>
      </c>
      <c r="B63" s="1250" t="n"/>
      <c r="C63" s="1250" t="n"/>
      <c r="D63" s="1250" t="n"/>
      <c r="E63" s="1250" t="n"/>
      <c r="F63" s="1250" t="n"/>
      <c r="G63" s="1250" t="n"/>
      <c r="H63" s="1250" t="n"/>
      <c r="I63" s="1250" t="n"/>
      <c r="J63" s="1250" t="n"/>
      <c r="K63" s="1250" t="n"/>
      <c r="L63" s="1250" t="n"/>
      <c r="M63" s="1250" t="n"/>
      <c r="N63" s="1250" t="n"/>
      <c r="O63" s="1250" t="n"/>
    </row>
  </sheetData>
  <pageMargins left="0.7" right="0.7" top="0.75" bottom="0.75" header="0.3" footer="0.3"/>
  <drawing xmlns:r="http://schemas.openxmlformats.org/officeDocument/2006/relationships" r:id="rId1"/>
</worksheet>
</file>

<file path=xl/worksheets/sheet15.xml><?xml version="1.0" encoding="utf-8"?>
<worksheet xmlns="http://schemas.openxmlformats.org/spreadsheetml/2006/main">
  <sheetPr>
    <outlinePr summaryBelow="1" summaryRight="1"/>
    <pageSetUpPr fitToPage="1"/>
  </sheetPr>
  <dimension ref="A1:AI663"/>
  <sheetViews>
    <sheetView topLeftCell="A40" zoomScaleNormal="100" workbookViewId="0">
      <selection activeCell="V12" sqref="V12"/>
    </sheetView>
  </sheetViews>
  <sheetFormatPr baseColWidth="8" defaultColWidth="9.1328125" defaultRowHeight="12.75"/>
  <cols>
    <col width="11" bestFit="1" customWidth="1" style="1255" min="1" max="1"/>
    <col width="19.46484375" customWidth="1" style="1255" min="2" max="2"/>
    <col width="22.46484375" customWidth="1" style="1255" min="3" max="3"/>
    <col width="11.19921875" bestFit="1" customWidth="1" style="1255" min="4" max="4"/>
    <col width="10" bestFit="1" customWidth="1" style="1256" min="5" max="5"/>
    <col width="22.1328125" bestFit="1" customWidth="1" style="1255" min="6" max="6"/>
    <col width="15.796875" customWidth="1" style="1255" min="7" max="7"/>
    <col width="12.6640625" customWidth="1" style="1255" min="8" max="8"/>
    <col width="24.1328125" bestFit="1" customWidth="1" style="1255" min="9" max="9"/>
    <col width="17.53125" bestFit="1" customWidth="1" style="1255" min="10" max="10"/>
    <col width="6.46484375" bestFit="1" customWidth="1" style="1255" min="11" max="11"/>
    <col width="6.86328125" bestFit="1" customWidth="1" style="1255" min="12" max="18"/>
    <col width="7.46484375" bestFit="1" customWidth="1" style="1255" min="19" max="21"/>
    <col width="7.86328125" customWidth="1" style="1255" min="22" max="22"/>
    <col width="8.46484375" bestFit="1" customWidth="1" style="1255" min="23" max="23"/>
    <col width="10" bestFit="1" customWidth="1" style="1255" min="24" max="24"/>
    <col width="10.19921875" customWidth="1" style="1255" min="25" max="25"/>
    <col width="7.86328125" bestFit="1" customWidth="1" style="1255" min="26" max="26"/>
    <col width="9.1328125" customWidth="1" style="1255" min="27" max="27"/>
    <col width="9.6640625" customWidth="1" style="1255" min="28" max="28"/>
    <col width="3.1328125" customWidth="1" style="1255" min="29" max="29"/>
    <col width="13.33203125" customWidth="1" style="1255" min="30" max="30"/>
    <col width="12" bestFit="1" customWidth="1" style="1255" min="31" max="31"/>
    <col width="11.53125" bestFit="1" customWidth="1" style="1255" min="32" max="32"/>
    <col width="11" bestFit="1" customWidth="1" style="1255" min="33" max="33"/>
    <col width="9" bestFit="1" customWidth="1" style="1255" min="34" max="34"/>
    <col width="9.1328125" customWidth="1" style="1255" min="35" max="16384"/>
  </cols>
  <sheetData>
    <row r="1" ht="13.15" customHeight="1" s="1232">
      <c r="A1" s="1265" t="inlineStr">
        <is>
          <t>Date</t>
        </is>
      </c>
      <c r="B1" s="1265" t="inlineStr">
        <is>
          <t>Name</t>
        </is>
      </c>
      <c r="C1" s="1265" t="inlineStr">
        <is>
          <t>Category</t>
        </is>
      </c>
      <c r="D1" s="1265" t="inlineStr">
        <is>
          <t>Source</t>
        </is>
      </c>
      <c r="E1" s="1264" t="inlineStr">
        <is>
          <t>Value</t>
        </is>
      </c>
      <c r="F1" s="1265" t="inlineStr">
        <is>
          <t xml:space="preserve">Fulfilled </t>
        </is>
      </c>
      <c r="AD1" s="1268" t="inlineStr">
        <is>
          <t>TY</t>
        </is>
      </c>
      <c r="AE1" s="1260" t="inlineStr">
        <is>
          <t>Total</t>
        </is>
      </c>
      <c r="AF1" s="1260" t="inlineStr">
        <is>
          <t>Apr to Dec</t>
        </is>
      </c>
      <c r="AG1" s="1260" t="inlineStr">
        <is>
          <t>Jan to Mar</t>
        </is>
      </c>
      <c r="AH1" s="1260" t="inlineStr">
        <is>
          <t>% Inc</t>
        </is>
      </c>
    </row>
    <row r="2" ht="13.5" customHeight="1" s="1232">
      <c r="A2" s="1271" t="n"/>
      <c r="B2" s="1357" t="n"/>
      <c r="C2" s="1271" t="n"/>
      <c r="D2" s="1271" t="n"/>
      <c r="E2" s="1270" t="n"/>
      <c r="F2" s="1271" t="n"/>
      <c r="I2" s="1250" t="n"/>
      <c r="J2" s="1250" t="n"/>
      <c r="K2" s="1250" t="n"/>
      <c r="L2" s="1250" t="n"/>
      <c r="M2" s="1250" t="n"/>
      <c r="N2" s="1250" t="n"/>
      <c r="O2" s="1250" t="n"/>
      <c r="AD2" s="1282" t="inlineStr">
        <is>
          <t>2018/19</t>
        </is>
      </c>
      <c r="AE2" s="1378">
        <f>AF2+AG2</f>
        <v/>
      </c>
      <c r="AF2" s="1284">
        <f>SUM(N11:V11)</f>
        <v/>
      </c>
      <c r="AG2" s="1284" t="n"/>
    </row>
    <row r="3" ht="13.9" customHeight="1" s="1232">
      <c r="A3" s="1271" t="n"/>
      <c r="B3" s="1357" t="n"/>
      <c r="C3" s="1271" t="n"/>
      <c r="D3" s="1271" t="n"/>
      <c r="E3" s="1270" t="n"/>
      <c r="F3" s="1271" t="n"/>
      <c r="I3" s="1336" t="inlineStr">
        <is>
          <t>Tuition Categories</t>
        </is>
      </c>
      <c r="J3" s="1276" t="inlineStr">
        <is>
          <t>Target</t>
        </is>
      </c>
      <c r="K3" s="1332" t="inlineStr">
        <is>
          <t>Jan</t>
        </is>
      </c>
      <c r="L3" s="1332" t="inlineStr">
        <is>
          <t>Feb</t>
        </is>
      </c>
      <c r="M3" s="1332" t="inlineStr">
        <is>
          <t>Mar</t>
        </is>
      </c>
      <c r="N3" s="1332" t="inlineStr">
        <is>
          <t>Apr</t>
        </is>
      </c>
      <c r="O3" s="1332" t="inlineStr">
        <is>
          <t>May</t>
        </is>
      </c>
      <c r="P3" s="1332" t="inlineStr">
        <is>
          <t>Jun</t>
        </is>
      </c>
      <c r="Q3" s="1332" t="inlineStr">
        <is>
          <t>Jul</t>
        </is>
      </c>
      <c r="R3" s="1332" t="inlineStr">
        <is>
          <t>Aug</t>
        </is>
      </c>
      <c r="S3" s="1332" t="inlineStr">
        <is>
          <t>Sep</t>
        </is>
      </c>
      <c r="T3" s="1332" t="inlineStr">
        <is>
          <t>Oct</t>
        </is>
      </c>
      <c r="U3" s="1332" t="inlineStr">
        <is>
          <t>Nov</t>
        </is>
      </c>
      <c r="V3" s="1332" t="inlineStr">
        <is>
          <t>Dec</t>
        </is>
      </c>
      <c r="W3" s="1278" t="inlineStr">
        <is>
          <t>Year</t>
        </is>
      </c>
      <c r="X3" s="1395" t="inlineStr">
        <is>
          <t>Var</t>
        </is>
      </c>
      <c r="Y3" s="1280" t="inlineStr">
        <is>
          <t>Var YTD</t>
        </is>
      </c>
      <c r="Z3" s="1281" t="inlineStr">
        <is>
          <t>% YTD</t>
        </is>
      </c>
      <c r="AA3" s="1255" t="inlineStr">
        <is>
          <t>YTD Targ</t>
        </is>
      </c>
      <c r="AB3" s="1255" t="inlineStr">
        <is>
          <t>A.PM</t>
        </is>
      </c>
      <c r="AD3" s="1282" t="inlineStr">
        <is>
          <t>2017/18</t>
        </is>
      </c>
      <c r="AE3" s="1378">
        <f>AF3+AG3</f>
        <v/>
      </c>
      <c r="AF3" s="1284">
        <f>SUM(N13:V13)</f>
        <v/>
      </c>
      <c r="AG3" s="1284">
        <f>SUM(K11:M11)</f>
        <v/>
      </c>
      <c r="AH3" s="445">
        <f>SUM(AF3-AF4)/AF3</f>
        <v/>
      </c>
    </row>
    <row r="4" ht="13.5" customHeight="1" s="1232">
      <c r="A4" s="1271" t="n"/>
      <c r="B4" s="1357" t="n"/>
      <c r="C4" s="1271" t="n"/>
      <c r="D4" s="1271" t="n"/>
      <c r="E4" s="1270" t="n"/>
      <c r="F4" s="1271" t="n"/>
      <c r="I4" s="1333" t="inlineStr">
        <is>
          <t>1. Courses/masterclasses</t>
        </is>
      </c>
      <c r="J4" s="431" t="n">
        <v>2500</v>
      </c>
      <c r="K4" s="432">
        <f>SUMIFS(E$594:E$663,C$594:C$663,I4)</f>
        <v/>
      </c>
      <c r="L4" s="432">
        <f>SUMIFS(E$520:E$593,C$520:C$593,I4)</f>
        <v/>
      </c>
      <c r="M4" s="432">
        <f>SUMIFS(E$456:E$518,C$456:C$518,I4)</f>
        <v/>
      </c>
      <c r="N4" s="432">
        <f>SUMIFS(E$417:E$454,C$417:C$454,I4)</f>
        <v/>
      </c>
      <c r="O4" s="432">
        <f>SUMIFS(E$377:E$415,C$377:C$415,I4)</f>
        <v/>
      </c>
      <c r="P4" s="432">
        <f>SUMIFS(E$348:E$375,C$348:C$375,I4)</f>
        <v/>
      </c>
      <c r="Q4" s="432">
        <f>SUMIFS(E$319:E$346,C$319:C$346,I4)</f>
        <v/>
      </c>
      <c r="R4" s="432">
        <f>SUMIFS(E$284:E$318,C$284:C$318,I4)</f>
        <v/>
      </c>
      <c r="S4" s="432">
        <f>SUMIFS(E$244:E$282,C$244:C$282,I4)</f>
        <v/>
      </c>
      <c r="T4" s="432">
        <f>SUMIFS(E$207:E$242,C$207:C$242,I4)</f>
        <v/>
      </c>
      <c r="U4" s="432">
        <f>SUMIFS(E$160:E$205,C$160:C$205,I4)</f>
        <v/>
      </c>
      <c r="V4" s="432">
        <f>SUMIFS(E$121:E$159,C$121:C$159,I4)</f>
        <v/>
      </c>
      <c r="W4" s="431">
        <f>SUM(K4:V4)</f>
        <v/>
      </c>
      <c r="X4" s="432">
        <f>V4-J4</f>
        <v/>
      </c>
      <c r="Y4" s="432">
        <f>W4-AA4</f>
        <v/>
      </c>
      <c r="Z4" s="433">
        <f>SUM(Y4/(J4*7))</f>
        <v/>
      </c>
      <c r="AA4" s="434">
        <f>J4*12</f>
        <v/>
      </c>
      <c r="AB4" s="434">
        <f>W4/12</f>
        <v/>
      </c>
      <c r="AD4" s="1282" t="inlineStr">
        <is>
          <t>2016/17</t>
        </is>
      </c>
      <c r="AE4" s="1378">
        <f>AF4+AG4</f>
        <v/>
      </c>
      <c r="AF4" s="1284">
        <f>SUM(N14:V14)</f>
        <v/>
      </c>
      <c r="AG4" s="1284">
        <f>SUM(K13:M13)</f>
        <v/>
      </c>
      <c r="AH4" s="445">
        <f>SUM(AF4-AF5)/AF4</f>
        <v/>
      </c>
    </row>
    <row r="5" ht="13.5" customHeight="1" s="1232">
      <c r="A5" s="1271" t="n"/>
      <c r="B5" s="1271" t="n"/>
      <c r="C5" s="1271" t="n"/>
      <c r="D5" s="1271" t="n"/>
      <c r="E5" s="1270" t="n"/>
      <c r="F5" s="1271" t="n"/>
      <c r="I5" s="1333" t="inlineStr">
        <is>
          <t>2. Workshops</t>
        </is>
      </c>
      <c r="J5" s="431" t="n">
        <v>2500</v>
      </c>
      <c r="K5" s="432">
        <f>SUMIFS(E$594:E$663,C$594:C$663,I5)</f>
        <v/>
      </c>
      <c r="L5" s="432">
        <f>SUMIFS(E$520:E$593,C$520:C$593,I5)</f>
        <v/>
      </c>
      <c r="M5" s="432">
        <f>SUMIFS(E$456:E$518,C$456:C$518,I5)</f>
        <v/>
      </c>
      <c r="N5" s="432">
        <f>SUMIFS(E$417:E$454,C$417:C$454,I5)</f>
        <v/>
      </c>
      <c r="O5" s="432">
        <f>SUMIFS(E$377:E$415,C$377:C$415,I5)</f>
        <v/>
      </c>
      <c r="P5" s="432">
        <f>SUMIFS(E$348:E$375,C$348:C$375,I5)</f>
        <v/>
      </c>
      <c r="Q5" s="432">
        <f>SUMIFS(E$319:E$346,C$319:C$346,I5)</f>
        <v/>
      </c>
      <c r="R5" s="432">
        <f>SUMIFS(E$284:E$318,C$284:C$318,I5)</f>
        <v/>
      </c>
      <c r="S5" s="432">
        <f>SUMIFS(E$244:E$282,C$244:C$282,I5)</f>
        <v/>
      </c>
      <c r="T5" s="432">
        <f>SUMIFS(E$207:E$242,C$207:C$242,I5)</f>
        <v/>
      </c>
      <c r="U5" s="432">
        <f>SUMIFS(E$160:E$205,C$160:C$205,I5)</f>
        <v/>
      </c>
      <c r="V5" s="432">
        <f>SUMIFS(E$121:E$159,C$121:C$159,I5)</f>
        <v/>
      </c>
      <c r="W5" s="431">
        <f>SUM(K5:V5)</f>
        <v/>
      </c>
      <c r="X5" s="432">
        <f>V5-J5</f>
        <v/>
      </c>
      <c r="Y5" s="432">
        <f>W5-AA5</f>
        <v/>
      </c>
      <c r="Z5" s="433">
        <f>SUM(Y5/(J5*7))</f>
        <v/>
      </c>
      <c r="AA5" s="434">
        <f>J5*12</f>
        <v/>
      </c>
      <c r="AB5" s="434">
        <f>W5/12</f>
        <v/>
      </c>
      <c r="AD5" s="1282" t="inlineStr">
        <is>
          <t>2015/16</t>
        </is>
      </c>
      <c r="AE5" s="1378">
        <f>AF5+AG5</f>
        <v/>
      </c>
      <c r="AF5" s="1284">
        <f>SUM(N15:V15)</f>
        <v/>
      </c>
      <c r="AG5" s="1284">
        <f>SUM(K14:M14)</f>
        <v/>
      </c>
      <c r="AH5" s="445">
        <f>SUM(AF5-AF6)/AF5</f>
        <v/>
      </c>
    </row>
    <row r="6" ht="13.5" customHeight="1" s="1232">
      <c r="A6" s="1271" t="n">
        <v>43120</v>
      </c>
      <c r="B6" s="1271" t="inlineStr">
        <is>
          <t>Helen Sotheran</t>
        </is>
      </c>
      <c r="C6" s="1271" t="inlineStr">
        <is>
          <t>Deals Won - Waiting £</t>
        </is>
      </c>
      <c r="D6" s="1271" t="inlineStr">
        <is>
          <t>ELS</t>
        </is>
      </c>
      <c r="E6" s="1270" t="n">
        <v>250</v>
      </c>
      <c r="F6" s="1271" t="inlineStr">
        <is>
          <t>Soli Lvl 2 Course</t>
        </is>
      </c>
      <c r="I6" s="1333" t="inlineStr">
        <is>
          <t>3. Pick n Mix Inc</t>
        </is>
      </c>
      <c r="J6" s="431" t="n">
        <v>500</v>
      </c>
      <c r="K6" s="432">
        <f>SUMIFS(E$594:E$663,C$594:C$663,I6)</f>
        <v/>
      </c>
      <c r="L6" s="432">
        <f>SUMIFS(E$520:E$593,C$520:C$593,I6)</f>
        <v/>
      </c>
      <c r="M6" s="432">
        <f>SUMIFS(E$456:E$518,C$456:C$518,I6)</f>
        <v/>
      </c>
      <c r="N6" s="432">
        <f>SUMIFS(E$417:E$454,C$417:C$454,I6)</f>
        <v/>
      </c>
      <c r="O6" s="432">
        <f>SUMIFS(E$377:E$415,C$377:C$415,I6)</f>
        <v/>
      </c>
      <c r="P6" s="432">
        <f>SUMIFS(E$348:E$375,C$348:C$375,I6)</f>
        <v/>
      </c>
      <c r="Q6" s="432">
        <f>SUMIFS(E$319:E$346,C$319:C$346,I6)</f>
        <v/>
      </c>
      <c r="R6" s="432">
        <f>SUMIFS(E$284:E$318,C$284:C$318,I6)</f>
        <v/>
      </c>
      <c r="S6" s="432">
        <f>SUMIFS(E$244:E$282,C$244:C$282,I6)</f>
        <v/>
      </c>
      <c r="T6" s="432">
        <f>SUMIFS(E$207:E$242,C$207:C$242,I6)</f>
        <v/>
      </c>
      <c r="U6" s="432">
        <f>SUMIFS(E$160:E$205,C$160:C$205,I6)</f>
        <v/>
      </c>
      <c r="V6" s="432">
        <f>SUMIFS(E$121:E$159,C$121:C$159,I6)</f>
        <v/>
      </c>
      <c r="W6" s="431">
        <f>SUM(K6:V6)</f>
        <v/>
      </c>
      <c r="X6" s="432">
        <f>V6-J6</f>
        <v/>
      </c>
      <c r="Y6" s="432">
        <f>W6-AA6</f>
        <v/>
      </c>
      <c r="Z6" s="433">
        <f>SUM(Y6/(J6*7))</f>
        <v/>
      </c>
      <c r="AA6" s="434">
        <f>J6*12</f>
        <v/>
      </c>
      <c r="AB6" s="434">
        <f>W6/12</f>
        <v/>
      </c>
      <c r="AD6" s="1282" t="inlineStr">
        <is>
          <t>2014/15</t>
        </is>
      </c>
      <c r="AE6" s="1378">
        <f>AF6+AG6</f>
        <v/>
      </c>
      <c r="AF6" s="1284">
        <f>SUM(N16:V16)</f>
        <v/>
      </c>
      <c r="AG6" s="1284">
        <f>SUM(K15:M15)</f>
        <v/>
      </c>
      <c r="AH6" s="445">
        <f>SUM(AF6-AF7)/AF6</f>
        <v/>
      </c>
    </row>
    <row r="7" ht="13.5" customHeight="1" s="1232">
      <c r="A7" s="1271" t="n"/>
      <c r="B7" s="1271" t="n"/>
      <c r="C7" s="1271" t="n"/>
      <c r="D7" s="1271" t="n"/>
      <c r="F7" s="1260" t="n"/>
      <c r="I7" s="1333" t="inlineStr">
        <is>
          <t>4. Pick n Mix Out</t>
        </is>
      </c>
      <c r="J7" s="431" t="n">
        <v>0</v>
      </c>
      <c r="K7" s="703">
        <f>SUMIFS(E$594:E$663,C$594:C$663,I7)</f>
        <v/>
      </c>
      <c r="L7" s="703">
        <f>SUMIFS(E$520:E$593,C$520:C$593,I7)</f>
        <v/>
      </c>
      <c r="M7" s="703">
        <f>SUMIFS(E$456:E$518,C$456:C$518,I7)</f>
        <v/>
      </c>
      <c r="N7" s="703">
        <f>SUMIFS(E$417:E$454,C$417:C$454,I7)</f>
        <v/>
      </c>
      <c r="O7" s="703">
        <f>SUMIFS(E$377:E$415,C$377:C$415,I7)</f>
        <v/>
      </c>
      <c r="P7" s="703">
        <f>SUMIFS(E$348:E$375,C$348:C$375,I7)</f>
        <v/>
      </c>
      <c r="Q7" s="703">
        <f>SUMIFS(E$319:E$346,C$319:C$346,I7)</f>
        <v/>
      </c>
      <c r="R7" s="703">
        <f>SUMIFS(E$284:E$318,C$284:C$318,I7)</f>
        <v/>
      </c>
      <c r="S7" s="703">
        <f>SUMIFS(E$244:E$282,C$244:C$282,I7)</f>
        <v/>
      </c>
      <c r="T7" s="703">
        <f>SUMIFS(E$207:E$242,C$207:C$242,I7)</f>
        <v/>
      </c>
      <c r="U7" s="703">
        <f>SUMIFS(E$160:E$205,C$160:C$205,I7)</f>
        <v/>
      </c>
      <c r="V7" s="703">
        <f>SUMIFS(E$121:E$159,C$121:C$159,I7)</f>
        <v/>
      </c>
      <c r="W7" s="704">
        <f>SUM(K7:V7)</f>
        <v/>
      </c>
      <c r="X7" s="432">
        <f>V7-J7</f>
        <v/>
      </c>
      <c r="Y7" s="432">
        <f>W7-AA7</f>
        <v/>
      </c>
      <c r="Z7" s="433">
        <f>SUM(Y7/(J7*7))</f>
        <v/>
      </c>
      <c r="AA7" s="434">
        <f>J7*12</f>
        <v/>
      </c>
      <c r="AB7" s="434">
        <f>W7/12</f>
        <v/>
      </c>
      <c r="AD7" s="1282" t="inlineStr">
        <is>
          <t>2013/14</t>
        </is>
      </c>
      <c r="AE7" s="1378">
        <f>AF7+AG7</f>
        <v/>
      </c>
      <c r="AF7" s="1284">
        <f>SUM(N17:V17)</f>
        <v/>
      </c>
      <c r="AG7" s="1284">
        <f>SUM(K16:M16)</f>
        <v/>
      </c>
      <c r="AH7" s="445" t="n"/>
    </row>
    <row r="8" ht="13.5" customHeight="1" s="1232">
      <c r="A8" s="1271" t="n">
        <v>43135</v>
      </c>
      <c r="B8" s="1255" t="inlineStr">
        <is>
          <t>Harkesh Mehmi</t>
        </is>
      </c>
      <c r="C8" s="1271" t="inlineStr">
        <is>
          <t>Deals Won - Waiting £</t>
        </is>
      </c>
      <c r="D8" s="1271" t="inlineStr">
        <is>
          <t>ELS</t>
        </is>
      </c>
      <c r="E8" s="1256" t="n">
        <v>200</v>
      </c>
      <c r="F8" s="1271" t="inlineStr">
        <is>
          <t>Soli Lvl 2 Course</t>
        </is>
      </c>
      <c r="I8" s="1333" t="inlineStr">
        <is>
          <t>5. Mentoring</t>
        </is>
      </c>
      <c r="J8" s="431" t="n">
        <v>300</v>
      </c>
      <c r="K8" s="432">
        <f>SUMIFS(E$594:E$663,C$594:C$663,I8)</f>
        <v/>
      </c>
      <c r="L8" s="432">
        <f>SUMIFS(E$520:E$593,C$520:C$593,I8)</f>
        <v/>
      </c>
      <c r="M8" s="432">
        <f>SUMIFS(E$456:E$518,C$456:C$518,I8)</f>
        <v/>
      </c>
      <c r="N8" s="432">
        <f>SUMIFS(E$417:E$454,C$417:C$454,I8)</f>
        <v/>
      </c>
      <c r="O8" s="432">
        <f>SUMIFS(E$377:E$415,C$377:C$415,I8)</f>
        <v/>
      </c>
      <c r="P8" s="432">
        <f>SUMIFS(E$348:E$375,C$348:C$375,I8)</f>
        <v/>
      </c>
      <c r="Q8" s="432">
        <f>SUMIFS(E$319:E$346,C$319:C$346,I8)</f>
        <v/>
      </c>
      <c r="R8" s="432">
        <f>SUMIFS(E$284:E$318,C$284:C$318,I8)</f>
        <v/>
      </c>
      <c r="S8" s="432">
        <f>SUMIFS(E$244:E$282,C$244:C$282,I8)</f>
        <v/>
      </c>
      <c r="T8" s="432">
        <f>SUMIFS(E$207:E$242,C$207:C$242,I8)</f>
        <v/>
      </c>
      <c r="U8" s="432">
        <f>SUMIFS(E$160:E$205,C$160:C$205,I8)</f>
        <v/>
      </c>
      <c r="V8" s="432">
        <f>SUMIFS(E$121:E$159,C$121:C$159,I8)</f>
        <v/>
      </c>
      <c r="W8" s="431">
        <f>SUM(K8:V8)</f>
        <v/>
      </c>
      <c r="X8" s="432">
        <f>V8-J8</f>
        <v/>
      </c>
      <c r="Y8" s="432">
        <f>W8-AA8</f>
        <v/>
      </c>
      <c r="Z8" s="433">
        <f>SUM(Y8/(J8*7))</f>
        <v/>
      </c>
      <c r="AA8" s="434">
        <f>J8*12</f>
        <v/>
      </c>
      <c r="AB8" s="434">
        <f>W8/12</f>
        <v/>
      </c>
    </row>
    <row r="9" ht="13.5" customHeight="1" s="1232">
      <c r="A9" s="1271" t="n">
        <v>43135</v>
      </c>
      <c r="B9" s="1255" t="inlineStr">
        <is>
          <t>Harkesh Mehmi</t>
        </is>
      </c>
      <c r="C9" s="1271" t="inlineStr">
        <is>
          <t>Deals Won - Waiting £</t>
        </is>
      </c>
      <c r="D9" s="1271" t="inlineStr">
        <is>
          <t>ELS</t>
        </is>
      </c>
      <c r="E9" s="1256" t="n">
        <v>75</v>
      </c>
      <c r="F9" s="1271" t="inlineStr">
        <is>
          <t>Soli Lvl 2 Course</t>
        </is>
      </c>
      <c r="I9" s="1334" t="inlineStr">
        <is>
          <t>6. 1-2-1</t>
        </is>
      </c>
      <c r="J9" s="431" t="n">
        <v>300</v>
      </c>
      <c r="K9" s="432">
        <f>SUMIFS(E$594:E$663,C$594:C$663,I9)</f>
        <v/>
      </c>
      <c r="L9" s="432">
        <f>SUMIFS(E$520:E$593,C$520:C$593,I9)</f>
        <v/>
      </c>
      <c r="M9" s="432">
        <f>SUMIFS(E$456:E$518,C$456:C$518,I9)</f>
        <v/>
      </c>
      <c r="N9" s="432">
        <f>SUMIFS(E$417:E$454,C$417:C$454,I9)</f>
        <v/>
      </c>
      <c r="O9" s="432">
        <f>SUMIFS(E$377:E$415,C$377:C$415,I9)</f>
        <v/>
      </c>
      <c r="P9" s="432">
        <f>SUMIFS(E$348:E$375,C$348:C$375,I9)</f>
        <v/>
      </c>
      <c r="Q9" s="432">
        <f>SUMIFS(E$319:E$346,C$319:C$346,I9)</f>
        <v/>
      </c>
      <c r="R9" s="432">
        <f>SUMIFS(E$284:E$318,C$284:C$318,I9)</f>
        <v/>
      </c>
      <c r="S9" s="432">
        <f>SUMIFS(E$244:E$282,C$244:C$282,I9)</f>
        <v/>
      </c>
      <c r="T9" s="432">
        <f>SUMIFS(E$207:E$242,C$207:C$242,I9)</f>
        <v/>
      </c>
      <c r="U9" s="432">
        <f>SUMIFS(E$160:E$205,C$160:C$205,I9)</f>
        <v/>
      </c>
      <c r="V9" s="432">
        <f>SUMIFS(E$121:E$159,C$121:C$159,I9)</f>
        <v/>
      </c>
      <c r="W9" s="431">
        <f>SUM(K9:V9)</f>
        <v/>
      </c>
      <c r="X9" s="432">
        <f>V9-J9</f>
        <v/>
      </c>
      <c r="Y9" s="432">
        <f>W9-AA9</f>
        <v/>
      </c>
      <c r="Z9" s="433">
        <f>SUM(Y9/(J9*7))</f>
        <v/>
      </c>
      <c r="AA9" s="434">
        <f>J9*12</f>
        <v/>
      </c>
      <c r="AB9" s="434">
        <f>W9/12</f>
        <v/>
      </c>
    </row>
    <row r="10" ht="13.5" customHeight="1" s="1232">
      <c r="I10" s="1334" t="inlineStr">
        <is>
          <t>7. Other</t>
        </is>
      </c>
      <c r="J10" s="431" t="n">
        <v>300</v>
      </c>
      <c r="K10" s="432">
        <f>SUMIFS(E$594:E$663,C$594:C$663,I10)</f>
        <v/>
      </c>
      <c r="L10" s="432">
        <f>SUMIFS(E$520:E$593,C$520:C$593,I10)</f>
        <v/>
      </c>
      <c r="M10" s="432">
        <f>SUMIFS(E$456:E$518,C$456:C$518,I10)</f>
        <v/>
      </c>
      <c r="N10" s="432">
        <f>SUMIFS(E$417:E$454,C$417:C$454,I10)</f>
        <v/>
      </c>
      <c r="O10" s="432">
        <f>SUMIFS(E$377:E$415,C$377:C$415,I10)</f>
        <v/>
      </c>
      <c r="P10" s="432">
        <f>SUMIFS(E$348:E$375,C$348:C$375,I10)</f>
        <v/>
      </c>
      <c r="Q10" s="432">
        <f>SUMIFS(E$319:E$346,C$319:C$346,I10)</f>
        <v/>
      </c>
      <c r="R10" s="432">
        <f>SUMIFS(E$284:E$318,C$284:C$318,I10)</f>
        <v/>
      </c>
      <c r="S10" s="432">
        <f>SUMIFS(E$244:E$282,C$244:C$282,I10)</f>
        <v/>
      </c>
      <c r="T10" s="432">
        <f>SUMIFS(E$207:E$242,C$207:C$242,I10)</f>
        <v/>
      </c>
      <c r="U10" s="432">
        <f>SUMIFS(E$160:E$205,C$160:C$205,I10)</f>
        <v/>
      </c>
      <c r="V10" s="432">
        <f>SUMIFS(E$121:E$159,C$121:C$159,I10)</f>
        <v/>
      </c>
      <c r="W10" s="431">
        <f>SUM(K10:V10)</f>
        <v/>
      </c>
      <c r="X10" s="432">
        <f>V10-J10</f>
        <v/>
      </c>
      <c r="Y10" s="432">
        <f>W10-AA10</f>
        <v/>
      </c>
      <c r="Z10" s="433">
        <f>SUM(Y10/(J10*7))</f>
        <v/>
      </c>
      <c r="AA10" s="434">
        <f>J10*12</f>
        <v/>
      </c>
      <c r="AB10" s="434">
        <f>W10/12</f>
        <v/>
      </c>
    </row>
    <row r="11" ht="15.75" customHeight="1" s="1232">
      <c r="A11" s="1292" t="n">
        <v>43131</v>
      </c>
      <c r="B11" s="1294" t="inlineStr">
        <is>
          <t>Clarke Gardener</t>
        </is>
      </c>
      <c r="C11" s="1294" t="inlineStr">
        <is>
          <t>Leads In Progress</t>
        </is>
      </c>
      <c r="D11" s="1274" t="n"/>
      <c r="E11" s="1270" t="n">
        <v>395</v>
      </c>
      <c r="F11" s="1274" t="inlineStr">
        <is>
          <t>RPS Group</t>
        </is>
      </c>
      <c r="I11" s="1335" t="inlineStr">
        <is>
          <t>Totals</t>
        </is>
      </c>
      <c r="J11" s="438">
        <f>SUM(J4:J10)</f>
        <v/>
      </c>
      <c r="K11" s="439">
        <f>SUM(K4:K10)</f>
        <v/>
      </c>
      <c r="L11" s="439">
        <f>SUM(L4:L10)</f>
        <v/>
      </c>
      <c r="M11" s="439">
        <f>SUM(M4:M10)</f>
        <v/>
      </c>
      <c r="N11" s="439">
        <f>SUM(N4:N10)</f>
        <v/>
      </c>
      <c r="O11" s="439">
        <f>SUM(O4:O10)</f>
        <v/>
      </c>
      <c r="P11" s="439">
        <f>SUM(P4:P10)</f>
        <v/>
      </c>
      <c r="Q11" s="439">
        <f>SUM(Q4:Q10)</f>
        <v/>
      </c>
      <c r="R11" s="439">
        <f>SUM(R4:R10)</f>
        <v/>
      </c>
      <c r="S11" s="439">
        <f>SUM(S4:S10)</f>
        <v/>
      </c>
      <c r="T11" s="439">
        <f>SUM(T4:T10)</f>
        <v/>
      </c>
      <c r="U11" s="439">
        <f>SUM(U4:U10)</f>
        <v/>
      </c>
      <c r="V11" s="439">
        <f>SUM(V4:V10)</f>
        <v/>
      </c>
      <c r="W11" s="438">
        <f>SUM(W4:W10)</f>
        <v/>
      </c>
      <c r="X11" s="432">
        <f>V11-J11</f>
        <v/>
      </c>
      <c r="Y11" s="439">
        <f>W11-AA11</f>
        <v/>
      </c>
      <c r="Z11" s="433">
        <f>SUM(Y11/(J11*7))</f>
        <v/>
      </c>
      <c r="AA11" s="434">
        <f>J11*12</f>
        <v/>
      </c>
      <c r="AB11" s="434">
        <f>W11/12</f>
        <v/>
      </c>
      <c r="AD11" s="1304" t="inlineStr">
        <is>
          <t>Invoice Date</t>
        </is>
      </c>
      <c r="AE11" s="1304" t="inlineStr">
        <is>
          <t>Employee</t>
        </is>
      </c>
      <c r="AF11" s="1304" t="inlineStr">
        <is>
          <t>Invoice Number</t>
        </is>
      </c>
      <c r="AG11" s="1304" t="inlineStr">
        <is>
          <t>ELS Voucher</t>
        </is>
      </c>
      <c r="AH11" s="1304" t="inlineStr">
        <is>
          <t>Amount</t>
        </is>
      </c>
      <c r="AI11" s="1304" t="inlineStr">
        <is>
          <t>Event</t>
        </is>
      </c>
    </row>
    <row r="12" ht="13.9" customHeight="1" s="1232">
      <c r="A12" s="1292" t="n">
        <v>43154</v>
      </c>
      <c r="B12" s="1294" t="inlineStr">
        <is>
          <t>Derek Robins</t>
        </is>
      </c>
      <c r="C12" s="1294" t="inlineStr">
        <is>
          <t>Leads In Progress</t>
        </is>
      </c>
      <c r="D12" s="1274" t="n"/>
      <c r="E12" s="1270" t="n">
        <v>395</v>
      </c>
      <c r="F12" s="1274" t="inlineStr">
        <is>
          <t>RPS Group</t>
        </is>
      </c>
      <c r="I12" s="1313" t="inlineStr">
        <is>
          <t>2018</t>
        </is>
      </c>
      <c r="J12" s="1299">
        <f>J11*12</f>
        <v/>
      </c>
      <c r="K12" s="671">
        <f>K11/J11</f>
        <v/>
      </c>
      <c r="L12" s="671">
        <f>L11/J11</f>
        <v/>
      </c>
      <c r="M12" s="671">
        <f>M11/J11</f>
        <v/>
      </c>
      <c r="N12" s="671">
        <f>N11/J11</f>
        <v/>
      </c>
      <c r="O12" s="671">
        <f>O11/J11</f>
        <v/>
      </c>
      <c r="P12" s="671">
        <f>P11/J11</f>
        <v/>
      </c>
      <c r="Q12" s="671">
        <f>Q11/J11</f>
        <v/>
      </c>
      <c r="R12" s="671">
        <f>R11/J11</f>
        <v/>
      </c>
      <c r="S12" s="671">
        <f>S11/J11</f>
        <v/>
      </c>
      <c r="T12" s="671">
        <f>T11/J11</f>
        <v/>
      </c>
      <c r="U12" s="671">
        <f>U11/J11</f>
        <v/>
      </c>
      <c r="V12" s="671">
        <f>V11/J11</f>
        <v/>
      </c>
      <c r="W12" s="671">
        <f>W11/AA11</f>
        <v/>
      </c>
      <c r="X12" s="583">
        <f>W11-W13</f>
        <v/>
      </c>
      <c r="Y12" s="585">
        <f>X12/W13</f>
        <v/>
      </c>
      <c r="AB12" s="445" t="n"/>
    </row>
    <row r="13" ht="13.9" customHeight="1" s="1232">
      <c r="A13" s="1291" t="n">
        <v>43320</v>
      </c>
      <c r="B13" s="1291" t="inlineStr">
        <is>
          <t>Roger Neal RPS</t>
        </is>
      </c>
      <c r="C13" s="1291" t="inlineStr">
        <is>
          <t>Leads In Progress</t>
        </is>
      </c>
      <c r="D13" s="1274" t="n"/>
      <c r="E13" s="1270" t="n">
        <v>395</v>
      </c>
      <c r="F13" s="1274" t="inlineStr">
        <is>
          <t>RPS Group</t>
        </is>
      </c>
      <c r="I13" s="1316" t="inlineStr">
        <is>
          <t>2017</t>
        </is>
      </c>
      <c r="J13" s="1260" t="inlineStr">
        <is>
          <t>Year 5</t>
        </is>
      </c>
      <c r="K13" s="558" t="n">
        <v>3203.5</v>
      </c>
      <c r="L13" s="558" t="n">
        <v>6685</v>
      </c>
      <c r="M13" s="558" t="n">
        <v>6242.83</v>
      </c>
      <c r="N13" s="558" t="n">
        <v>6063.17</v>
      </c>
      <c r="O13" s="558" t="n">
        <v>5851.71</v>
      </c>
      <c r="P13" s="558" t="n">
        <v>5479.93</v>
      </c>
      <c r="Q13" s="558" t="n">
        <v>3603.81</v>
      </c>
      <c r="R13" s="558" t="n">
        <v>4658.85</v>
      </c>
      <c r="S13" s="558" t="n">
        <v>10821.67</v>
      </c>
      <c r="T13" s="558" t="n">
        <v>9224.58</v>
      </c>
      <c r="U13" s="558" t="n">
        <v>10504.09</v>
      </c>
      <c r="V13" s="558" t="n">
        <v>4329.030000000001</v>
      </c>
      <c r="W13" s="431">
        <f>SUM(K13:V13)</f>
        <v/>
      </c>
      <c r="X13" s="583">
        <f>W13-W14</f>
        <v/>
      </c>
      <c r="Y13" s="585">
        <f>X13/W14</f>
        <v/>
      </c>
      <c r="AA13" s="1273" t="inlineStr">
        <is>
          <t>Forecast</t>
        </is>
      </c>
      <c r="AB13" s="1397">
        <f>SUM(K11:U11)+AB11*1</f>
        <v/>
      </c>
      <c r="AD13" s="470" t="n">
        <v>42937</v>
      </c>
      <c r="AE13" s="1372" t="inlineStr">
        <is>
          <t>Aikaterini Fotoglou - ELS</t>
        </is>
      </c>
      <c r="AF13" s="1372" t="inlineStr">
        <is>
          <t>20170721-1</t>
        </is>
      </c>
      <c r="AG13" s="472" t="n">
        <v>146746</v>
      </c>
      <c r="AH13" s="1384" t="n">
        <v>200</v>
      </c>
      <c r="AI13" s="1373" t="inlineStr">
        <is>
          <t>5wk Course</t>
        </is>
      </c>
    </row>
    <row r="14" ht="13.9" customHeight="1" s="1232">
      <c r="A14" s="1291" t="n">
        <v>43390</v>
      </c>
      <c r="B14" s="1291" t="inlineStr">
        <is>
          <t>Francis Peckham</t>
        </is>
      </c>
      <c r="C14" s="1291" t="inlineStr">
        <is>
          <t>Leads In Progress</t>
        </is>
      </c>
      <c r="D14" s="1396" t="inlineStr">
        <is>
          <t>?</t>
        </is>
      </c>
      <c r="E14" s="1371" t="n">
        <v>725</v>
      </c>
      <c r="F14" s="1274" t="n"/>
      <c r="I14" s="1316" t="inlineStr">
        <is>
          <t>2016</t>
        </is>
      </c>
      <c r="J14" s="1287" t="inlineStr">
        <is>
          <t>Year 4</t>
        </is>
      </c>
      <c r="K14" s="434" t="n">
        <v>4537</v>
      </c>
      <c r="L14" s="434">
        <f>4583-264</f>
        <v/>
      </c>
      <c r="M14" s="434">
        <f>3935-213</f>
        <v/>
      </c>
      <c r="N14" s="434">
        <f>4947-396</f>
        <v/>
      </c>
      <c r="O14" s="434">
        <f>3911-293</f>
        <v/>
      </c>
      <c r="P14" s="434">
        <f>2992-213</f>
        <v/>
      </c>
      <c r="Q14" s="434">
        <f>2927-218</f>
        <v/>
      </c>
      <c r="R14" s="434">
        <f>7466-213</f>
        <v/>
      </c>
      <c r="S14" s="434">
        <f>4218-425</f>
        <v/>
      </c>
      <c r="T14" s="434">
        <f>10697-213</f>
        <v/>
      </c>
      <c r="U14" s="434">
        <f>5081-213</f>
        <v/>
      </c>
      <c r="V14" s="434">
        <f>5220-213</f>
        <v/>
      </c>
      <c r="W14" s="431">
        <f>SUM(K14:V14)</f>
        <v/>
      </c>
      <c r="X14" s="583">
        <f>W14-W15</f>
        <v/>
      </c>
      <c r="Y14" s="585">
        <f>X14/W15</f>
        <v/>
      </c>
      <c r="Z14" s="445" t="n"/>
      <c r="AA14" s="445" t="n"/>
      <c r="AD14" s="470" t="n">
        <v>42941</v>
      </c>
      <c r="AE14" s="1372" t="inlineStr">
        <is>
          <t>Ran Tao - ELS</t>
        </is>
      </c>
      <c r="AF14" s="1372" t="inlineStr">
        <is>
          <t>20170725-1</t>
        </is>
      </c>
      <c r="AG14" s="472" t="n">
        <v>146833</v>
      </c>
      <c r="AH14" s="1384" t="n">
        <v>200</v>
      </c>
      <c r="AI14" s="1373" t="inlineStr">
        <is>
          <t>5wk Course</t>
        </is>
      </c>
    </row>
    <row r="15" ht="13.9" customHeight="1" s="1232">
      <c r="A15" s="1291" t="n"/>
      <c r="B15" s="1291" t="n"/>
      <c r="C15" s="1291" t="n"/>
      <c r="D15" s="1274" t="n"/>
      <c r="E15" s="1270" t="n"/>
      <c r="F15" s="1274" t="n"/>
      <c r="I15" s="1316" t="inlineStr">
        <is>
          <t>2015</t>
        </is>
      </c>
      <c r="J15" s="1260" t="inlineStr">
        <is>
          <t>Year 3</t>
        </is>
      </c>
      <c r="K15" s="434" t="n">
        <v>3710</v>
      </c>
      <c r="L15" s="434" t="n">
        <v>3750</v>
      </c>
      <c r="M15" s="434" t="n">
        <v>7113</v>
      </c>
      <c r="N15" s="434">
        <f>3928-213</f>
        <v/>
      </c>
      <c r="O15" s="434">
        <f>2501-213</f>
        <v/>
      </c>
      <c r="P15" s="434">
        <f>3468-213</f>
        <v/>
      </c>
      <c r="Q15" s="434">
        <f>1986-224</f>
        <v/>
      </c>
      <c r="R15" s="434">
        <f>4145-212</f>
        <v/>
      </c>
      <c r="S15" s="434">
        <f>8518-212</f>
        <v/>
      </c>
      <c r="T15" s="434">
        <f>5829-424</f>
        <v/>
      </c>
      <c r="U15" s="434">
        <f>3816-212</f>
        <v/>
      </c>
      <c r="V15" s="434">
        <f>12440-212</f>
        <v/>
      </c>
      <c r="W15" s="431">
        <f>SUM(K15:V15)</f>
        <v/>
      </c>
      <c r="X15" s="583">
        <f>W15-W16</f>
        <v/>
      </c>
      <c r="Y15" s="585">
        <f>X15/W16</f>
        <v/>
      </c>
      <c r="Z15" s="445" t="n"/>
      <c r="AA15" s="445" t="n"/>
      <c r="AD15" s="470" t="n">
        <v>42947</v>
      </c>
      <c r="AE15" s="1372" t="inlineStr">
        <is>
          <t>Stewart Twilton - ELS</t>
        </is>
      </c>
      <c r="AF15" s="1372" t="inlineStr">
        <is>
          <t>20170731-1</t>
        </is>
      </c>
      <c r="AG15" s="472" t="n">
        <v>146978</v>
      </c>
      <c r="AH15" s="1384" t="n">
        <v>135</v>
      </c>
      <c r="AI15" s="1373" t="inlineStr">
        <is>
          <t>Workshop</t>
        </is>
      </c>
    </row>
    <row r="16" ht="13.9" customHeight="1" s="1232">
      <c r="A16" s="1291" t="n"/>
      <c r="B16" s="1291" t="n"/>
      <c r="C16" s="1291" t="n"/>
      <c r="D16" s="1406" t="n"/>
      <c r="E16" s="1270" t="n"/>
      <c r="F16" s="1274" t="n"/>
      <c r="I16" s="1316" t="inlineStr">
        <is>
          <t>2014</t>
        </is>
      </c>
      <c r="J16" s="1260" t="inlineStr">
        <is>
          <t>Year 2</t>
        </is>
      </c>
      <c r="K16" s="434">
        <f>4439-1260</f>
        <v/>
      </c>
      <c r="L16" s="434">
        <f>3071-197</f>
        <v/>
      </c>
      <c r="M16" s="434">
        <f>4958-132</f>
        <v/>
      </c>
      <c r="N16" s="434">
        <f>3585-132</f>
        <v/>
      </c>
      <c r="O16" s="434">
        <f>5008-33</f>
        <v/>
      </c>
      <c r="P16" s="434" t="n">
        <v>3386</v>
      </c>
      <c r="Q16" s="434" t="n">
        <v>3633</v>
      </c>
      <c r="R16" s="434" t="n">
        <v>3855</v>
      </c>
      <c r="S16" s="434" t="n">
        <v>6440</v>
      </c>
      <c r="T16" s="434" t="n">
        <v>3536</v>
      </c>
      <c r="U16" s="434" t="n">
        <v>2851</v>
      </c>
      <c r="V16" s="434" t="n">
        <v>7614</v>
      </c>
      <c r="W16" s="431">
        <f>SUM(K16:V16)</f>
        <v/>
      </c>
      <c r="X16" s="583">
        <f>W16-W17</f>
        <v/>
      </c>
      <c r="Y16" s="585">
        <f>X16/W17</f>
        <v/>
      </c>
      <c r="AD16" s="470" t="n">
        <v>42969</v>
      </c>
      <c r="AE16" s="1372" t="inlineStr">
        <is>
          <t>Kim Robert - ELS</t>
        </is>
      </c>
      <c r="AF16" s="1372" t="inlineStr">
        <is>
          <t>20170822-1</t>
        </is>
      </c>
      <c r="AG16" s="472" t="n">
        <v>147703</v>
      </c>
      <c r="AH16" s="1384" t="n">
        <v>200</v>
      </c>
      <c r="AI16" s="1373" t="inlineStr">
        <is>
          <t>5wk Course</t>
        </is>
      </c>
    </row>
    <row r="17" ht="13.9" customHeight="1" s="1232">
      <c r="I17" s="1313" t="inlineStr">
        <is>
          <t>2013</t>
        </is>
      </c>
      <c r="J17" s="1260" t="inlineStr">
        <is>
          <t>Year 1</t>
        </is>
      </c>
      <c r="U17" s="434">
        <f>3346-338</f>
        <v/>
      </c>
      <c r="V17" s="434">
        <f>6776-390</f>
        <v/>
      </c>
      <c r="W17" s="431">
        <f>SUM(K17:V17)</f>
        <v/>
      </c>
      <c r="AD17" s="470" t="n">
        <v>42970</v>
      </c>
      <c r="AE17" s="1372" t="inlineStr">
        <is>
          <t>Scott Bremner - ELS</t>
        </is>
      </c>
      <c r="AF17" s="1372" t="inlineStr">
        <is>
          <t>20170823-2</t>
        </is>
      </c>
      <c r="AG17" s="472" t="n">
        <v>147671</v>
      </c>
      <c r="AH17" s="1384" t="n">
        <v>200</v>
      </c>
      <c r="AI17" s="1373" t="inlineStr">
        <is>
          <t>5wk Course</t>
        </is>
      </c>
    </row>
    <row r="18" ht="13.9" customHeight="1" s="1232">
      <c r="A18" s="1291" t="n">
        <v>43406</v>
      </c>
      <c r="B18" s="1291" t="inlineStr">
        <is>
          <t xml:space="preserve">caralyn overs </t>
        </is>
      </c>
      <c r="C18" s="1291" t="inlineStr">
        <is>
          <t>Leads In Progress</t>
        </is>
      </c>
      <c r="D18" s="1274" t="inlineStr">
        <is>
          <t>Beginners/1-2-1</t>
        </is>
      </c>
      <c r="E18" s="1270" t="n">
        <v>60</v>
      </c>
      <c r="F18" s="1274" t="inlineStr">
        <is>
          <t>Mixture of tuition</t>
        </is>
      </c>
      <c r="I18" s="1310" t="inlineStr">
        <is>
          <t>Year on year Improvement %</t>
        </is>
      </c>
      <c r="J18" s="1299" t="n"/>
      <c r="K18" s="671">
        <f>IFERROR((K11-K13)/K13,0)</f>
        <v/>
      </c>
      <c r="L18" s="671">
        <f>IFERROR((L11-L13)/L13,0)</f>
        <v/>
      </c>
      <c r="M18" s="671">
        <f>IFERROR((M11-M13)/M13,0)</f>
        <v/>
      </c>
      <c r="N18" s="671">
        <f>IFERROR((N11-N13)/N13,0)</f>
        <v/>
      </c>
      <c r="O18" s="671">
        <f>IFERROR((O11-O13)/O13,0)</f>
        <v/>
      </c>
      <c r="P18" s="671">
        <f>IFERROR((P11-P13)/P13,0)</f>
        <v/>
      </c>
      <c r="Q18" s="671">
        <f>IFERROR((Q11-Q13)/Q13,0)</f>
        <v/>
      </c>
      <c r="R18" s="671">
        <f>IFERROR((R11-R13)/R13,0)</f>
        <v/>
      </c>
      <c r="S18" s="671">
        <f>IFERROR((S11-S13)/S13,0)</f>
        <v/>
      </c>
      <c r="T18" s="671">
        <f>IFERROR((T11-T13)/T13,0)</f>
        <v/>
      </c>
      <c r="U18" s="671">
        <f>IFERROR((U11-U13)/U13,0)</f>
        <v/>
      </c>
      <c r="V18" s="671">
        <f>IFERROR((V11-V13)/V13,0)</f>
        <v/>
      </c>
      <c r="W18" s="671">
        <f>IFERROR((W11-W13)/W13,0)</f>
        <v/>
      </c>
      <c r="Y18" s="688">
        <f>W11-K13-L13-M13-N13-O13-P13-Q13-R13-S13-T13-U13-V13</f>
        <v/>
      </c>
      <c r="Z18" s="433">
        <f>Y18/(K13+L13+M13+N13+O13+P13+Q13+R13+S13+T13+U13+V13)</f>
        <v/>
      </c>
      <c r="AD18" s="470" t="n">
        <v>42970</v>
      </c>
      <c r="AE18" s="1372" t="inlineStr">
        <is>
          <t>Michael King - ELS</t>
        </is>
      </c>
      <c r="AF18" s="1372" t="inlineStr">
        <is>
          <t>20170823-1</t>
        </is>
      </c>
      <c r="AG18" s="472" t="n">
        <v>147844</v>
      </c>
      <c r="AH18" s="1384" t="n">
        <v>200</v>
      </c>
      <c r="AI18" s="1373" t="inlineStr">
        <is>
          <t>4wk Course</t>
        </is>
      </c>
    </row>
    <row r="19" ht="15" customHeight="1" s="1232">
      <c r="A19" s="1292" t="n"/>
      <c r="B19" s="1294" t="n"/>
      <c r="C19" s="1294" t="n"/>
      <c r="D19" s="696" t="n"/>
      <c r="E19" s="1270" t="n"/>
      <c r="F19" s="1274" t="n"/>
      <c r="I19" s="1318" t="inlineStr">
        <is>
          <t>Leads In Progress</t>
        </is>
      </c>
      <c r="J19" s="448">
        <f>SUMIF($C1:E50,I19,$E1:$E50)</f>
        <v/>
      </c>
      <c r="K19" s="558">
        <f>AVERAGE(K13:K16,K11)</f>
        <v/>
      </c>
      <c r="L19" s="558">
        <f>AVERAGE(L13:L16,L11)</f>
        <v/>
      </c>
      <c r="M19" s="558">
        <f>AVERAGE(M13:M16,M11)</f>
        <v/>
      </c>
      <c r="N19" s="558">
        <f>AVERAGE(N13:N16,N11)</f>
        <v/>
      </c>
      <c r="O19" s="558">
        <f>AVERAGE(O13:O16,O11)</f>
        <v/>
      </c>
      <c r="P19" s="558">
        <f>AVERAGE(P13:P16,P11)</f>
        <v/>
      </c>
      <c r="Q19" s="558">
        <f>AVERAGE(Q13:Q16,Q11)</f>
        <v/>
      </c>
      <c r="R19" s="558">
        <f>AVERAGE(R13:R16,R11)</f>
        <v/>
      </c>
      <c r="S19" s="558">
        <f>AVERAGE(S13:S16,S11)</f>
        <v/>
      </c>
      <c r="T19" s="558">
        <f>AVERAGE(T13:T16,T11)</f>
        <v/>
      </c>
      <c r="U19" s="558">
        <f>AVERAGE(U13:U17,U11)</f>
        <v/>
      </c>
      <c r="V19" s="558">
        <f>AVERAGE(V13:V17,V11)</f>
        <v/>
      </c>
      <c r="W19" s="449">
        <f>SUM(K19:V19)</f>
        <v/>
      </c>
      <c r="X19" s="449" t="inlineStr">
        <is>
          <t>Avg</t>
        </is>
      </c>
      <c r="AD19" s="470" t="n">
        <v>42976</v>
      </c>
      <c r="AE19" s="1372" t="inlineStr">
        <is>
          <t>Thomas Lloyd -ELS</t>
        </is>
      </c>
      <c r="AF19" s="1372" t="inlineStr">
        <is>
          <t>20170829-1</t>
        </is>
      </c>
      <c r="AG19" s="472" t="n">
        <v>148062</v>
      </c>
      <c r="AH19" s="1384" t="n">
        <v>65</v>
      </c>
      <c r="AI19" s="1373" t="inlineStr">
        <is>
          <t>Workshop</t>
        </is>
      </c>
    </row>
    <row r="20" ht="15" customHeight="1" s="1232">
      <c r="A20" s="1291" t="n"/>
      <c r="B20" s="1291" t="n"/>
      <c r="C20" s="1291" t="n"/>
      <c r="D20" s="1274" t="n"/>
      <c r="E20" s="1270" t="n"/>
      <c r="F20" s="1406" t="n"/>
      <c r="I20" s="1319" t="inlineStr">
        <is>
          <t>Deals Won - Waiting £</t>
        </is>
      </c>
      <c r="J20" s="451">
        <f>SUMIF($C1:E50,I20,$E1:$E50)</f>
        <v/>
      </c>
      <c r="L20" s="449" t="n"/>
      <c r="M20" s="449" t="n"/>
      <c r="N20" s="449" t="n"/>
      <c r="O20" s="449" t="n"/>
      <c r="P20" s="449" t="n"/>
      <c r="Q20" s="449" t="n"/>
      <c r="R20" s="449" t="n"/>
      <c r="S20" s="449" t="n"/>
      <c r="T20" s="449" t="n"/>
      <c r="U20" s="449" t="n"/>
      <c r="V20" s="449" t="n"/>
      <c r="W20" s="449" t="n"/>
      <c r="X20" s="449" t="n"/>
      <c r="AD20" s="470" t="n">
        <v>42978</v>
      </c>
      <c r="AE20" s="1372" t="inlineStr">
        <is>
          <t>Jieyuan Wu - ELS</t>
        </is>
      </c>
      <c r="AF20" s="1372" t="inlineStr">
        <is>
          <t>20170831-4</t>
        </is>
      </c>
      <c r="AG20" s="472" t="n">
        <v>148222</v>
      </c>
      <c r="AH20" s="1384" t="n">
        <v>200</v>
      </c>
      <c r="AI20" s="1373" t="inlineStr">
        <is>
          <t>5wk Course</t>
        </is>
      </c>
    </row>
    <row r="21" ht="15.4" customHeight="1" s="1232" thickBot="1">
      <c r="A21" s="1291" t="n">
        <v>43434</v>
      </c>
      <c r="B21" s="1291" t="inlineStr">
        <is>
          <t>Nicholas Jones</t>
        </is>
      </c>
      <c r="C21" s="1294" t="inlineStr">
        <is>
          <t>Leads In Progress</t>
        </is>
      </c>
      <c r="D21" s="1274" t="inlineStr">
        <is>
          <t>PnM</t>
        </is>
      </c>
      <c r="E21" s="1270" t="n">
        <v>43</v>
      </c>
      <c r="F21" s="1274" t="inlineStr">
        <is>
          <t>New Plan</t>
        </is>
      </c>
      <c r="I21" s="1322" t="inlineStr">
        <is>
          <t>Pipeline</t>
        </is>
      </c>
      <c r="J21" s="453">
        <f>SUM(J19:J20)</f>
        <v/>
      </c>
      <c r="K21" s="914" t="n"/>
      <c r="L21" s="914" t="n"/>
      <c r="M21" s="914" t="n"/>
      <c r="N21" s="914" t="n"/>
      <c r="O21" s="914" t="n"/>
      <c r="P21" s="914" t="n"/>
      <c r="Q21" s="914" t="n"/>
      <c r="R21" s="914" t="n"/>
      <c r="S21" s="914" t="n"/>
      <c r="T21" s="914" t="n"/>
      <c r="U21" s="1219" t="inlineStr">
        <is>
          <t>To Date - All Time</t>
        </is>
      </c>
      <c r="W21" s="688">
        <f>SUM(W13:W17)+W11</f>
        <v/>
      </c>
      <c r="X21" s="914" t="n"/>
      <c r="AD21" s="470" t="n">
        <v>42978</v>
      </c>
      <c r="AE21" s="1372" t="inlineStr">
        <is>
          <t>Daniel Thomas - ELS</t>
        </is>
      </c>
      <c r="AF21" s="1372" t="inlineStr">
        <is>
          <t>20170831-1</t>
        </is>
      </c>
      <c r="AG21" s="472" t="n">
        <v>148235</v>
      </c>
      <c r="AH21" s="1384" t="n">
        <v>200</v>
      </c>
      <c r="AI21" s="1373" t="inlineStr">
        <is>
          <t>5wk Course</t>
        </is>
      </c>
    </row>
    <row r="22" ht="13.9" customHeight="1" s="1232" thickBot="1">
      <c r="A22" s="1292" t="n"/>
      <c r="B22" s="1294" t="n"/>
      <c r="C22" s="1294" t="n"/>
      <c r="D22" s="1260" t="n"/>
      <c r="F22" s="1274" t="n"/>
      <c r="J22" s="914" t="n"/>
      <c r="K22" s="914" t="n"/>
      <c r="L22" s="914" t="n"/>
      <c r="M22" s="914" t="n"/>
      <c r="N22" s="914" t="n"/>
      <c r="O22" s="914" t="n"/>
      <c r="P22" s="914" t="n"/>
      <c r="Q22" s="914" t="n"/>
      <c r="R22" s="914" t="n"/>
      <c r="S22" s="914" t="n"/>
      <c r="T22" s="914" t="n"/>
      <c r="U22" s="1219" t="inlineStr">
        <is>
          <t>Average Per Year</t>
        </is>
      </c>
      <c r="W22" s="558">
        <f>W21/5</f>
        <v/>
      </c>
      <c r="X22" s="914" t="n"/>
      <c r="AD22" s="470" t="n">
        <v>42978</v>
      </c>
      <c r="AE22" s="1372" t="inlineStr">
        <is>
          <t>Paul Gardiner - ELS</t>
        </is>
      </c>
      <c r="AF22" s="1372" t="inlineStr">
        <is>
          <t>20170831-2</t>
        </is>
      </c>
      <c r="AG22" s="472" t="n">
        <v>148256</v>
      </c>
      <c r="AH22" s="1384" t="n">
        <v>41</v>
      </c>
      <c r="AI22" s="1373" t="inlineStr">
        <is>
          <t>Workshop</t>
        </is>
      </c>
    </row>
    <row r="23" ht="13.9" customHeight="1" s="1232">
      <c r="A23" s="1292" t="n">
        <v>43417</v>
      </c>
      <c r="B23" s="1294" t="inlineStr">
        <is>
          <t>Nathan Jogia</t>
        </is>
      </c>
      <c r="C23" s="1294" t="inlineStr">
        <is>
          <t>Leads In Progress</t>
        </is>
      </c>
      <c r="D23" s="1260" t="inlineStr">
        <is>
          <t>PnM</t>
        </is>
      </c>
      <c r="E23" s="1256" t="n">
        <v>2000</v>
      </c>
      <c r="F23" s="1274" t="n"/>
      <c r="I23" s="1327" t="inlineStr">
        <is>
          <t>YTD Actual</t>
        </is>
      </c>
      <c r="J23" s="456">
        <f>W11</f>
        <v/>
      </c>
      <c r="K23" s="914">
        <f>SUM(E121:E805)-J23</f>
        <v/>
      </c>
      <c r="L23" s="914" t="n"/>
      <c r="M23" s="914" t="n"/>
      <c r="N23" s="914" t="n"/>
      <c r="O23" s="914" t="n"/>
      <c r="P23" s="914" t="n"/>
      <c r="Q23" s="914" t="n"/>
      <c r="R23" s="914" t="n"/>
      <c r="S23" s="914" t="n"/>
      <c r="T23" s="914" t="n"/>
      <c r="U23" s="914" t="n"/>
      <c r="V23" s="914" t="n"/>
      <c r="W23" s="914" t="n"/>
      <c r="X23" s="914" t="n"/>
      <c r="AD23" s="470" t="n">
        <v>42982</v>
      </c>
      <c r="AE23" s="1372" t="inlineStr">
        <is>
          <t>Marius Ciobanu -ELS</t>
        </is>
      </c>
      <c r="AF23" s="1372" t="inlineStr">
        <is>
          <t>20170904-1</t>
        </is>
      </c>
      <c r="AG23" s="472" t="n">
        <v>148035</v>
      </c>
      <c r="AH23" s="1385" t="n">
        <v>200</v>
      </c>
      <c r="AI23" s="1373" t="inlineStr">
        <is>
          <t>5wk Course</t>
        </is>
      </c>
    </row>
    <row r="24" ht="14.25" customHeight="1" s="1232" thickBot="1">
      <c r="A24" s="1271" t="n"/>
      <c r="B24" s="1271" t="n"/>
      <c r="C24" s="1271" t="n"/>
      <c r="D24" s="1274" t="n"/>
      <c r="E24" s="1270" t="n"/>
      <c r="F24" s="1274" t="n"/>
      <c r="I24" s="1328" t="inlineStr">
        <is>
          <t>YTD Var to target</t>
        </is>
      </c>
      <c r="J24" s="458">
        <f>J23-AA11</f>
        <v/>
      </c>
      <c r="K24" s="914" t="n"/>
      <c r="L24" s="914" t="n"/>
      <c r="M24" s="914" t="n"/>
      <c r="N24" s="914" t="n"/>
      <c r="O24" s="914" t="n"/>
      <c r="P24" s="914" t="n"/>
      <c r="Q24" s="914" t="n"/>
      <c r="R24" s="914" t="n"/>
      <c r="S24" s="914" t="n"/>
      <c r="T24" s="914" t="n"/>
      <c r="U24" s="914" t="n"/>
      <c r="V24" s="914" t="n"/>
      <c r="W24" s="914" t="n"/>
      <c r="X24" s="914" t="n"/>
      <c r="AD24" s="470" t="n">
        <v>42998</v>
      </c>
      <c r="AE24" s="1386" t="inlineStr">
        <is>
          <t>Aidan Bodeick</t>
        </is>
      </c>
      <c r="AF24" s="1372" t="inlineStr">
        <is>
          <t>20170920-1</t>
        </is>
      </c>
      <c r="AG24" s="472" t="inlineStr">
        <is>
          <t>149301</t>
        </is>
      </c>
      <c r="AH24" s="1385" t="n">
        <v>200</v>
      </c>
      <c r="AI24" s="1274" t="inlineStr">
        <is>
          <t>5wk Course</t>
        </is>
      </c>
    </row>
    <row r="25" ht="13.5" customHeight="1" s="1232">
      <c r="J25" s="914" t="n"/>
      <c r="K25" s="914" t="n"/>
      <c r="L25" s="914" t="n"/>
      <c r="M25" s="914" t="n"/>
      <c r="N25" s="914" t="n"/>
      <c r="O25" s="914" t="n"/>
      <c r="P25" s="914" t="n"/>
      <c r="Q25" s="914" t="n"/>
      <c r="R25" s="914" t="n"/>
      <c r="S25" s="914" t="n"/>
      <c r="T25" s="914" t="n"/>
      <c r="U25" s="914" t="n"/>
      <c r="V25" s="914" t="n"/>
      <c r="W25" s="914" t="n"/>
      <c r="X25" s="914" t="n"/>
      <c r="AD25" s="470" t="n">
        <v>42998</v>
      </c>
      <c r="AE25" s="1372" t="inlineStr">
        <is>
          <t>Marvin Epton</t>
        </is>
      </c>
      <c r="AF25" s="1372" t="inlineStr">
        <is>
          <t>20170920-2</t>
        </is>
      </c>
      <c r="AG25" s="472" t="inlineStr">
        <is>
          <t>149832</t>
        </is>
      </c>
      <c r="AH25" s="1385" t="n">
        <v>200</v>
      </c>
      <c r="AI25" s="1373" t="inlineStr">
        <is>
          <t>Photo Course</t>
        </is>
      </c>
    </row>
    <row r="26" ht="13.5" customHeight="1" s="1232">
      <c r="A26" s="1292" t="n"/>
      <c r="B26" s="1294" t="n"/>
      <c r="C26" s="1294" t="n"/>
      <c r="D26" s="1274" t="n"/>
      <c r="E26" s="1270" t="n"/>
      <c r="F26" s="1274" t="n"/>
      <c r="J26" s="914" t="n"/>
      <c r="K26" s="914" t="n"/>
      <c r="L26" s="914" t="n"/>
      <c r="M26" s="914" t="n"/>
      <c r="N26" s="914" t="n"/>
      <c r="O26" s="914" t="n"/>
      <c r="P26" s="914" t="n"/>
      <c r="Q26" s="914" t="n"/>
      <c r="R26" s="914" t="n"/>
      <c r="S26" s="914" t="n"/>
      <c r="T26" s="914" t="n"/>
      <c r="U26" s="914" t="n"/>
      <c r="V26" s="914" t="n"/>
      <c r="W26" s="914" t="n"/>
      <c r="X26" s="914" t="n"/>
      <c r="AD26" s="470" t="n">
        <v>43018</v>
      </c>
      <c r="AE26" s="1373" t="inlineStr">
        <is>
          <t>Robert Graham</t>
        </is>
      </c>
      <c r="AF26" s="1373" t="inlineStr">
        <is>
          <t>20171010-1</t>
        </is>
      </c>
      <c r="AG26" s="1387" t="inlineStr">
        <is>
          <t>151259</t>
        </is>
      </c>
      <c r="AH26" s="1385" t="n">
        <v>200</v>
      </c>
      <c r="AI26" s="1373" t="inlineStr">
        <is>
          <t>5wk Course</t>
        </is>
      </c>
    </row>
    <row r="27" ht="13.15" customHeight="1" s="1232">
      <c r="B27" s="1294" t="n"/>
      <c r="D27" s="1321" t="n"/>
      <c r="E27" s="1360" t="n"/>
      <c r="F27" s="1274" t="n"/>
      <c r="I27" s="1336" t="inlineStr">
        <is>
          <t>Tuition Categories</t>
        </is>
      </c>
      <c r="J27" s="1330" t="inlineStr">
        <is>
          <t>Variance to 2017</t>
        </is>
      </c>
      <c r="K27" s="1332" t="inlineStr">
        <is>
          <t>Jan</t>
        </is>
      </c>
      <c r="L27" s="1332" t="inlineStr">
        <is>
          <t>Feb</t>
        </is>
      </c>
      <c r="M27" s="1332" t="inlineStr">
        <is>
          <t>Mar</t>
        </is>
      </c>
      <c r="N27" s="1332" t="inlineStr">
        <is>
          <t>Apr</t>
        </is>
      </c>
      <c r="O27" s="1332" t="inlineStr">
        <is>
          <t>May</t>
        </is>
      </c>
      <c r="P27" s="1332" t="inlineStr">
        <is>
          <t>Jun</t>
        </is>
      </c>
      <c r="Q27" s="1332" t="inlineStr">
        <is>
          <t>Jul</t>
        </is>
      </c>
      <c r="R27" s="1332" t="inlineStr">
        <is>
          <t>Aug</t>
        </is>
      </c>
      <c r="S27" s="1332" t="inlineStr">
        <is>
          <t>Sep</t>
        </is>
      </c>
      <c r="T27" s="1332" t="inlineStr">
        <is>
          <t>Oct</t>
        </is>
      </c>
      <c r="U27" s="1332" t="inlineStr">
        <is>
          <t>Nov</t>
        </is>
      </c>
      <c r="V27" s="1332" t="inlineStr">
        <is>
          <t>Dec</t>
        </is>
      </c>
      <c r="W27" s="1278" t="inlineStr">
        <is>
          <t>Year</t>
        </is>
      </c>
      <c r="Y27" s="1280" t="inlineStr">
        <is>
          <t>Var YTD</t>
        </is>
      </c>
      <c r="AD27" s="470" t="n">
        <v>43018</v>
      </c>
      <c r="AE27" s="1373" t="inlineStr">
        <is>
          <t>Jonathan McCaughan  ELS</t>
        </is>
      </c>
      <c r="AF27" s="1373" t="inlineStr">
        <is>
          <t>20171010-2</t>
        </is>
      </c>
      <c r="AG27" s="1387" t="n"/>
      <c r="AH27" s="1388" t="n">
        <v>200</v>
      </c>
      <c r="AI27" s="1373" t="inlineStr">
        <is>
          <t>5wk Course</t>
        </is>
      </c>
    </row>
    <row r="28" ht="13.5" customHeight="1" s="1232">
      <c r="A28" s="1292" t="n">
        <v>43429</v>
      </c>
      <c r="B28" s="1294" t="inlineStr">
        <is>
          <t>Ester</t>
        </is>
      </c>
      <c r="C28" s="1294" t="inlineStr">
        <is>
          <t>Leads In Progress</t>
        </is>
      </c>
      <c r="D28" s="1274" t="n">
        <v>480</v>
      </c>
      <c r="E28" s="1270" t="n">
        <v>360</v>
      </c>
      <c r="F28" s="1274" t="inlineStr">
        <is>
          <t>Lightroom 4 x 2hr 1-2-1's</t>
        </is>
      </c>
      <c r="G28" s="1374" t="inlineStr">
        <is>
          <t>https://www.alanranger.com/four-private-tuition-classes</t>
        </is>
      </c>
      <c r="I28" s="1333" t="inlineStr">
        <is>
          <t>1. Courses/masterclasses</t>
        </is>
      </c>
      <c r="J28" s="431" t="n"/>
      <c r="K28" s="432">
        <f>K4-'Sales 2017'!I2</f>
        <v/>
      </c>
      <c r="L28" s="432">
        <f>L4-'Sales 2017'!J2</f>
        <v/>
      </c>
      <c r="M28" s="432">
        <f>M4-'Sales 2017'!K2</f>
        <v/>
      </c>
      <c r="N28" s="432">
        <f>N4-'Sales 2017'!L2</f>
        <v/>
      </c>
      <c r="O28" s="432">
        <f>O4-'Sales 2017'!M2</f>
        <v/>
      </c>
      <c r="P28" s="432">
        <f>P4-'Sales 2017'!N2</f>
        <v/>
      </c>
      <c r="Q28" s="432">
        <f>Q4-'Sales 2017'!O2</f>
        <v/>
      </c>
      <c r="R28" s="432">
        <f>R4-'Sales 2017'!P2</f>
        <v/>
      </c>
      <c r="S28" s="432">
        <f>S4-'Sales 2017'!Q2</f>
        <v/>
      </c>
      <c r="T28" s="432">
        <f>T4-'Sales 2017'!R2</f>
        <v/>
      </c>
      <c r="U28" s="432">
        <f>U4-'Sales 2017'!S2</f>
        <v/>
      </c>
      <c r="V28" s="432">
        <f>V4-'Sales 2017'!T2</f>
        <v/>
      </c>
      <c r="W28" s="432">
        <f>SUM(K28:V28)</f>
        <v/>
      </c>
      <c r="Y28" s="432">
        <f>SUM(K28:U28)</f>
        <v/>
      </c>
      <c r="AD28" s="470" t="n">
        <v>43018</v>
      </c>
      <c r="AE28" s="1373" t="inlineStr">
        <is>
          <t>Shen Xiang -ELS</t>
        </is>
      </c>
      <c r="AF28" s="1373" t="inlineStr">
        <is>
          <t>20171010-3</t>
        </is>
      </c>
      <c r="AG28" s="1387" t="n"/>
      <c r="AH28" s="1385" t="n">
        <v>200</v>
      </c>
      <c r="AI28" s="1373" t="inlineStr">
        <is>
          <t>5wk Course</t>
        </is>
      </c>
    </row>
    <row r="29" ht="13.5" customHeight="1" s="1232">
      <c r="A29" s="1292" t="n">
        <v>43429</v>
      </c>
      <c r="B29" s="1294" t="inlineStr">
        <is>
          <t>Ester</t>
        </is>
      </c>
      <c r="C29" s="1294" t="inlineStr">
        <is>
          <t>Leads In Progress</t>
        </is>
      </c>
      <c r="D29" s="1274" t="n">
        <v>395</v>
      </c>
      <c r="E29" s="1270" t="n">
        <v>296.25</v>
      </c>
      <c r="F29" s="1274" t="inlineStr">
        <is>
          <t>RPS</t>
        </is>
      </c>
      <c r="G29" s="1374" t="inlineStr">
        <is>
          <t>https://www.alanranger.com/photography-classes/rps-course-cd5bd-h55gz</t>
        </is>
      </c>
      <c r="I29" s="1333" t="inlineStr">
        <is>
          <t>2. Workshops</t>
        </is>
      </c>
      <c r="J29" s="431" t="n"/>
      <c r="K29" s="432">
        <f>K5-'Sales 2017'!I3</f>
        <v/>
      </c>
      <c r="L29" s="432">
        <f>L5-'Sales 2017'!J3</f>
        <v/>
      </c>
      <c r="M29" s="432">
        <f>M5-'Sales 2017'!K3</f>
        <v/>
      </c>
      <c r="N29" s="432">
        <f>N5-'Sales 2017'!L3</f>
        <v/>
      </c>
      <c r="O29" s="432">
        <f>O5-'Sales 2017'!M3</f>
        <v/>
      </c>
      <c r="P29" s="432">
        <f>P5-'Sales 2017'!N3</f>
        <v/>
      </c>
      <c r="Q29" s="432">
        <f>Q5-'Sales 2017'!O3</f>
        <v/>
      </c>
      <c r="R29" s="432">
        <f>R5-'Sales 2017'!P3</f>
        <v/>
      </c>
      <c r="S29" s="432">
        <f>S5-'Sales 2017'!Q3</f>
        <v/>
      </c>
      <c r="T29" s="432">
        <f>T5-'Sales 2017'!R3</f>
        <v/>
      </c>
      <c r="U29" s="432">
        <f>U5-'Sales 2017'!S3</f>
        <v/>
      </c>
      <c r="V29" s="432">
        <f>V5-'Sales 2017'!T3</f>
        <v/>
      </c>
      <c r="W29" s="432">
        <f>SUM(K29:V29)</f>
        <v/>
      </c>
      <c r="Y29" s="432">
        <f>SUM(K29:U29)</f>
        <v/>
      </c>
      <c r="AD29" s="470" t="n">
        <v>43018</v>
      </c>
      <c r="AE29" s="1255" t="inlineStr">
        <is>
          <t>Seon Chang</t>
        </is>
      </c>
      <c r="AF29" s="1373" t="inlineStr">
        <is>
          <t>20171010-4</t>
        </is>
      </c>
      <c r="AG29" s="1387" t="inlineStr">
        <is>
          <t>149231</t>
        </is>
      </c>
      <c r="AH29" s="1385" t="n">
        <v>200</v>
      </c>
      <c r="AI29" s="1373" t="inlineStr">
        <is>
          <t>5wk Course</t>
        </is>
      </c>
    </row>
    <row r="30" ht="13.5" customHeight="1" s="1232">
      <c r="A30" s="1292" t="n"/>
      <c r="B30" s="1294" t="n"/>
      <c r="C30" s="1294" t="n"/>
      <c r="D30" s="1274" t="n"/>
      <c r="E30" s="1270" t="n"/>
      <c r="F30" s="1274" t="n"/>
      <c r="G30" s="1374" t="n"/>
      <c r="I30" s="1333" t="inlineStr">
        <is>
          <t>3. Pick n Mix Inc</t>
        </is>
      </c>
      <c r="J30" s="431" t="n"/>
      <c r="K30" s="432">
        <f>K6-'Sales 2017'!I4</f>
        <v/>
      </c>
      <c r="L30" s="432">
        <f>L6-'Sales 2017'!J4</f>
        <v/>
      </c>
      <c r="M30" s="432">
        <f>M6-'Sales 2017'!K4</f>
        <v/>
      </c>
      <c r="N30" s="432">
        <f>N6-'Sales 2017'!L4</f>
        <v/>
      </c>
      <c r="O30" s="432">
        <f>O6-'Sales 2017'!M4</f>
        <v/>
      </c>
      <c r="P30" s="432">
        <f>P6-'Sales 2017'!N4</f>
        <v/>
      </c>
      <c r="Q30" s="432">
        <f>Q6-'Sales 2017'!O4</f>
        <v/>
      </c>
      <c r="R30" s="432">
        <f>R6-'Sales 2017'!P4</f>
        <v/>
      </c>
      <c r="S30" s="432">
        <f>S6-'Sales 2017'!Q4</f>
        <v/>
      </c>
      <c r="T30" s="432">
        <f>T6-'Sales 2017'!R4</f>
        <v/>
      </c>
      <c r="U30" s="432">
        <f>U6-'Sales 2017'!S4</f>
        <v/>
      </c>
      <c r="V30" s="432">
        <f>V6-'Sales 2017'!T4</f>
        <v/>
      </c>
      <c r="W30" s="432">
        <f>SUM(K30:V30)</f>
        <v/>
      </c>
      <c r="Y30" s="432">
        <f>SUM(K30:U30)</f>
        <v/>
      </c>
      <c r="AD30" s="470" t="n">
        <v>43024</v>
      </c>
      <c r="AE30" s="1255" t="inlineStr">
        <is>
          <t>Ashwyn Dhir</t>
        </is>
      </c>
      <c r="AF30" s="1255" t="inlineStr">
        <is>
          <t>20171016-1</t>
        </is>
      </c>
      <c r="AG30" s="1387" t="inlineStr">
        <is>
          <t>150249</t>
        </is>
      </c>
      <c r="AH30" s="1385" t="n">
        <v>200</v>
      </c>
      <c r="AI30" s="1373" t="inlineStr">
        <is>
          <t>5wk Course</t>
        </is>
      </c>
    </row>
    <row r="31" ht="13.9" customHeight="1" s="1232">
      <c r="A31" s="1292" t="n"/>
      <c r="B31" s="1294" t="n"/>
      <c r="C31" s="1294" t="n"/>
      <c r="D31" s="1407" t="n"/>
      <c r="E31" s="1407" t="n"/>
      <c r="F31" s="1274" t="n"/>
      <c r="I31" s="1333" t="inlineStr">
        <is>
          <t>4. Pick n Mix Out</t>
        </is>
      </c>
      <c r="J31" s="431" t="n"/>
      <c r="K31" s="432">
        <f>K7</f>
        <v/>
      </c>
      <c r="L31" s="432">
        <f>L7</f>
        <v/>
      </c>
      <c r="M31" s="432">
        <f>M7</f>
        <v/>
      </c>
      <c r="N31" s="432">
        <f>N7</f>
        <v/>
      </c>
      <c r="O31" s="432">
        <f>O7</f>
        <v/>
      </c>
      <c r="P31" s="432">
        <f>P7</f>
        <v/>
      </c>
      <c r="Q31" s="432">
        <f>Q7</f>
        <v/>
      </c>
      <c r="R31" s="432">
        <f>R7</f>
        <v/>
      </c>
      <c r="S31" s="432">
        <f>S7</f>
        <v/>
      </c>
      <c r="T31" s="432">
        <f>T7</f>
        <v/>
      </c>
      <c r="U31" s="432">
        <f>U7</f>
        <v/>
      </c>
      <c r="V31" s="432">
        <f>V7</f>
        <v/>
      </c>
      <c r="W31" s="432">
        <f>SUM(K31:V31)</f>
        <v/>
      </c>
      <c r="Y31" s="432">
        <f>SUM(K31:U31)</f>
        <v/>
      </c>
      <c r="AD31" s="470" t="n">
        <v>43025</v>
      </c>
      <c r="AE31" s="1255" t="inlineStr">
        <is>
          <t xml:space="preserve">Richard Wardle </t>
        </is>
      </c>
      <c r="AF31" s="1255" t="inlineStr">
        <is>
          <t>20171017-1</t>
        </is>
      </c>
      <c r="AH31" s="1385" t="n">
        <v>200</v>
      </c>
      <c r="AI31" s="1255" t="inlineStr">
        <is>
          <t>Intermediates</t>
        </is>
      </c>
    </row>
    <row r="32" ht="13.5" customHeight="1" s="1232">
      <c r="A32" s="1292" t="n"/>
      <c r="B32" s="1294" t="n"/>
      <c r="C32" s="1294" t="n"/>
      <c r="D32" s="1274" t="n"/>
      <c r="E32" s="1270" t="n"/>
      <c r="F32" s="1274" t="n"/>
      <c r="I32" s="1333" t="inlineStr">
        <is>
          <t>5. Mentoring</t>
        </is>
      </c>
      <c r="J32" s="431" t="n"/>
      <c r="K32" s="432">
        <f>K8-'Sales 2017'!I5</f>
        <v/>
      </c>
      <c r="L32" s="432">
        <f>L8-'Sales 2017'!J5</f>
        <v/>
      </c>
      <c r="M32" s="432">
        <f>M8-'Sales 2017'!K5</f>
        <v/>
      </c>
      <c r="N32" s="432">
        <f>N8-'Sales 2017'!L5</f>
        <v/>
      </c>
      <c r="O32" s="432">
        <f>O8-'Sales 2017'!M5</f>
        <v/>
      </c>
      <c r="P32" s="432">
        <f>P8-'Sales 2017'!N5</f>
        <v/>
      </c>
      <c r="Q32" s="432">
        <f>Q8-'Sales 2017'!O5</f>
        <v/>
      </c>
      <c r="R32" s="432">
        <f>R8-'Sales 2017'!P5</f>
        <v/>
      </c>
      <c r="S32" s="432">
        <f>S8-'Sales 2017'!Q5</f>
        <v/>
      </c>
      <c r="T32" s="432">
        <f>T8-'Sales 2017'!R5</f>
        <v/>
      </c>
      <c r="U32" s="432">
        <f>U8-'Sales 2017'!S5</f>
        <v/>
      </c>
      <c r="V32" s="432">
        <f>V8-'Sales 2017'!T5</f>
        <v/>
      </c>
      <c r="W32" s="432">
        <f>SUM(K32:V32)</f>
        <v/>
      </c>
      <c r="Y32" s="432">
        <f>SUM(K32:U32)</f>
        <v/>
      </c>
      <c r="AD32" s="470" t="n">
        <v>43027</v>
      </c>
      <c r="AE32" s="1255" t="inlineStr">
        <is>
          <t>Helen Finch</t>
        </is>
      </c>
      <c r="AF32" s="1255" t="inlineStr">
        <is>
          <t>20171019-1</t>
        </is>
      </c>
      <c r="AG32" s="1389" t="inlineStr">
        <is>
          <t>149191</t>
        </is>
      </c>
      <c r="AH32" s="1385" t="n">
        <v>150</v>
      </c>
      <c r="AI32" s="1373" t="inlineStr">
        <is>
          <t>5wk Course</t>
        </is>
      </c>
    </row>
    <row r="33" ht="13.5" customHeight="1" s="1232">
      <c r="A33" s="1292" t="n">
        <v>43429</v>
      </c>
      <c r="B33" s="1294" t="inlineStr">
        <is>
          <t>Diana</t>
        </is>
      </c>
      <c r="C33" s="1294" t="inlineStr">
        <is>
          <t>Leads In Progress</t>
        </is>
      </c>
      <c r="D33" s="1274" t="n"/>
      <c r="E33" s="1270" t="n">
        <v>360</v>
      </c>
      <c r="F33" s="1274" t="inlineStr">
        <is>
          <t>LR 1-2-1</t>
        </is>
      </c>
      <c r="I33" s="1334" t="inlineStr">
        <is>
          <t>6. 1-2-1</t>
        </is>
      </c>
      <c r="J33" s="431" t="n"/>
      <c r="K33" s="586">
        <f>K9-'Sales 2017'!I6</f>
        <v/>
      </c>
      <c r="L33" s="586">
        <f>L9-'Sales 2017'!J6</f>
        <v/>
      </c>
      <c r="M33" s="586">
        <f>M9-'Sales 2017'!K6</f>
        <v/>
      </c>
      <c r="N33" s="586">
        <f>N9-'Sales 2017'!L6</f>
        <v/>
      </c>
      <c r="O33" s="586">
        <f>O9-'Sales 2017'!M6</f>
        <v/>
      </c>
      <c r="P33" s="586">
        <f>P9-'Sales 2017'!N6</f>
        <v/>
      </c>
      <c r="Q33" s="586">
        <f>Q9-'Sales 2017'!O6</f>
        <v/>
      </c>
      <c r="R33" s="586">
        <f>R9-'Sales 2017'!P6</f>
        <v/>
      </c>
      <c r="S33" s="586">
        <f>S9-'Sales 2017'!Q6</f>
        <v/>
      </c>
      <c r="T33" s="586">
        <f>T9-'Sales 2017'!R6</f>
        <v/>
      </c>
      <c r="U33" s="586">
        <f>U9-'Sales 2017'!S6</f>
        <v/>
      </c>
      <c r="V33" s="586">
        <f>V9-'Sales 2017'!T6</f>
        <v/>
      </c>
      <c r="W33" s="432">
        <f>SUM(K33:V33)</f>
        <v/>
      </c>
      <c r="Y33" s="432">
        <f>SUM(K33:U33)</f>
        <v/>
      </c>
      <c r="AD33" s="470" t="n"/>
      <c r="AG33" s="1389" t="n"/>
      <c r="AH33" s="1385" t="n"/>
      <c r="AI33" s="1373" t="n"/>
    </row>
    <row r="34" ht="13.15" customHeight="1" s="1232" thickBot="1">
      <c r="B34" s="1294" t="n"/>
      <c r="F34" s="1274" t="n"/>
      <c r="I34" s="1334" t="inlineStr">
        <is>
          <t>7. Other</t>
        </is>
      </c>
      <c r="J34" s="431" t="n"/>
      <c r="K34" s="586">
        <f>K10-'Sales 2017'!I7</f>
        <v/>
      </c>
      <c r="L34" s="586">
        <f>L10-'Sales 2017'!J7</f>
        <v/>
      </c>
      <c r="M34" s="586">
        <f>M10-'Sales 2017'!K7</f>
        <v/>
      </c>
      <c r="N34" s="586">
        <f>N10-'Sales 2017'!L7</f>
        <v/>
      </c>
      <c r="O34" s="586">
        <f>O10-'Sales 2017'!M7</f>
        <v/>
      </c>
      <c r="P34" s="586">
        <f>P10-'Sales 2017'!N7</f>
        <v/>
      </c>
      <c r="Q34" s="586">
        <f>Q10-'Sales 2017'!O7</f>
        <v/>
      </c>
      <c r="R34" s="586">
        <f>R10-'Sales 2017'!P7</f>
        <v/>
      </c>
      <c r="S34" s="586">
        <f>S10-'Sales 2017'!Q7</f>
        <v/>
      </c>
      <c r="T34" s="586">
        <f>T10-'Sales 2017'!R7</f>
        <v/>
      </c>
      <c r="U34" s="586">
        <f>U10-'Sales 2017'!S7</f>
        <v/>
      </c>
      <c r="V34" s="586">
        <f>V10-'Sales 2017'!T7</f>
        <v/>
      </c>
      <c r="W34" s="432">
        <f>SUM(K34:V34)</f>
        <v/>
      </c>
      <c r="Y34" s="432">
        <f>SUM(K34:U34)</f>
        <v/>
      </c>
      <c r="AD34" s="470" t="n">
        <v>43049</v>
      </c>
      <c r="AE34" s="1260" t="inlineStr">
        <is>
          <t>Jodie Child</t>
        </is>
      </c>
      <c r="AF34" s="1260" t="inlineStr">
        <is>
          <t>20171110-1</t>
        </is>
      </c>
      <c r="AG34" s="1282" t="inlineStr">
        <is>
          <t>150680</t>
        </is>
      </c>
      <c r="AH34" s="1385" t="n">
        <v>200</v>
      </c>
      <c r="AI34" s="1373" t="inlineStr">
        <is>
          <t>5wk Course</t>
        </is>
      </c>
    </row>
    <row r="35" ht="14.65" customHeight="1" s="1232" thickBot="1" thickTop="1">
      <c r="A35" s="1292" t="n"/>
      <c r="B35" s="1294" t="n"/>
      <c r="C35" s="1294" t="n"/>
      <c r="E35" s="1270" t="n"/>
      <c r="F35" s="1274" t="n"/>
      <c r="I35" s="1335" t="inlineStr">
        <is>
          <t>Totals</t>
        </is>
      </c>
      <c r="J35" s="438" t="n"/>
      <c r="K35" s="587">
        <f>SUM(K28:K34)</f>
        <v/>
      </c>
      <c r="L35" s="587">
        <f>SUM(L28:L34)</f>
        <v/>
      </c>
      <c r="M35" s="587">
        <f>SUM(M28:M34)</f>
        <v/>
      </c>
      <c r="N35" s="587">
        <f>SUM(N28:N34)</f>
        <v/>
      </c>
      <c r="O35" s="587">
        <f>SUM(O28:O34)</f>
        <v/>
      </c>
      <c r="P35" s="587">
        <f>SUM(P28:P34)</f>
        <v/>
      </c>
      <c r="Q35" s="587">
        <f>SUM(Q28:Q34)</f>
        <v/>
      </c>
      <c r="R35" s="587">
        <f>SUM(R28:R34)</f>
        <v/>
      </c>
      <c r="S35" s="587">
        <f>SUM(S28:S34)</f>
        <v/>
      </c>
      <c r="T35" s="587">
        <f>SUM(T28:T34)</f>
        <v/>
      </c>
      <c r="U35" s="587">
        <f>SUM(U28:U34)</f>
        <v/>
      </c>
      <c r="V35" s="587">
        <f>SUM(V28:V34)</f>
        <v/>
      </c>
      <c r="W35" s="587">
        <f>SUM(W28:W34)</f>
        <v/>
      </c>
      <c r="X35" s="1255">
        <f>W35-W11+W13</f>
        <v/>
      </c>
      <c r="Y35" s="432">
        <f>SUM(K35:U35)</f>
        <v/>
      </c>
      <c r="AD35" s="470" t="n">
        <v>43054</v>
      </c>
      <c r="AE35" s="1255" t="inlineStr">
        <is>
          <t>Sayed Nazir - ELS</t>
        </is>
      </c>
      <c r="AF35" s="1255" t="inlineStr">
        <is>
          <t>20171115-1</t>
        </is>
      </c>
      <c r="AG35" s="1282" t="inlineStr">
        <is>
          <t>220208</t>
        </is>
      </c>
      <c r="AH35" s="1385" t="n">
        <v>200</v>
      </c>
      <c r="AI35" s="1373" t="inlineStr">
        <is>
          <t>5wk Course</t>
        </is>
      </c>
    </row>
    <row r="36" ht="13.9" customHeight="1" s="1232" thickTop="1">
      <c r="A36" s="1292" t="n"/>
      <c r="B36" s="1294" t="n"/>
      <c r="C36" s="1294" t="n"/>
      <c r="E36" s="1270" t="n"/>
      <c r="F36" s="1274" t="n"/>
      <c r="AD36" s="470" t="n">
        <v>43057</v>
      </c>
      <c r="AE36" s="1260" t="inlineStr">
        <is>
          <t>Jonathan Mee - ELS</t>
        </is>
      </c>
      <c r="AF36" s="1260" t="inlineStr">
        <is>
          <t>20171118-1</t>
        </is>
      </c>
      <c r="AG36" s="1282" t="inlineStr">
        <is>
          <t>149563</t>
        </is>
      </c>
      <c r="AH36" s="1385" t="n">
        <v>135</v>
      </c>
      <c r="AI36" s="1260" t="inlineStr">
        <is>
          <t>TBA</t>
        </is>
      </c>
    </row>
    <row r="37" ht="13.9" customHeight="1" s="1232">
      <c r="A37" s="1292" t="n"/>
      <c r="B37" s="1294" t="n"/>
      <c r="C37" s="1294" t="n"/>
      <c r="D37" s="1282" t="n"/>
      <c r="E37" s="1293" t="n"/>
      <c r="F37" s="1274" t="n"/>
      <c r="I37" s="1336" t="inlineStr">
        <is>
          <t>Tuition Categories</t>
        </is>
      </c>
      <c r="J37" s="1330" t="inlineStr">
        <is>
          <t>Units</t>
        </is>
      </c>
      <c r="K37" s="1332" t="inlineStr">
        <is>
          <t>Jan</t>
        </is>
      </c>
      <c r="L37" s="1332" t="inlineStr">
        <is>
          <t>Feb</t>
        </is>
      </c>
      <c r="M37" s="1332" t="inlineStr">
        <is>
          <t>Mar</t>
        </is>
      </c>
      <c r="N37" s="1332" t="inlineStr">
        <is>
          <t>Apr</t>
        </is>
      </c>
      <c r="O37" s="1332" t="inlineStr">
        <is>
          <t>May</t>
        </is>
      </c>
      <c r="P37" s="1332" t="inlineStr">
        <is>
          <t>Jun</t>
        </is>
      </c>
      <c r="Q37" s="1332" t="inlineStr">
        <is>
          <t>Jul</t>
        </is>
      </c>
      <c r="R37" s="1332" t="inlineStr">
        <is>
          <t>Aug</t>
        </is>
      </c>
      <c r="S37" s="1332" t="inlineStr">
        <is>
          <t>Sep</t>
        </is>
      </c>
      <c r="T37" s="1332" t="inlineStr">
        <is>
          <t>Oct</t>
        </is>
      </c>
      <c r="U37" s="1332" t="inlineStr">
        <is>
          <t>Nov</t>
        </is>
      </c>
      <c r="V37" s="1332" t="inlineStr">
        <is>
          <t>Dec</t>
        </is>
      </c>
      <c r="W37" s="1332" t="inlineStr">
        <is>
          <t>Year</t>
        </is>
      </c>
      <c r="AD37" s="470" t="n">
        <v>43066</v>
      </c>
      <c r="AE37" s="1255" t="inlineStr">
        <is>
          <t>Philip Webster -ELS</t>
        </is>
      </c>
      <c r="AF37" s="1255" t="inlineStr">
        <is>
          <t>20171127-1</t>
        </is>
      </c>
      <c r="AG37" s="1282" t="inlineStr">
        <is>
          <t>151809</t>
        </is>
      </c>
      <c r="AH37" s="1385" t="n">
        <v>200</v>
      </c>
      <c r="AI37" s="1282" t="inlineStr">
        <is>
          <t>1-2-1 TBA</t>
        </is>
      </c>
    </row>
    <row r="38" ht="15" customHeight="1" s="1232">
      <c r="A38" s="1292" t="n"/>
      <c r="B38" s="1294" t="n"/>
      <c r="C38" s="1294" t="n"/>
      <c r="E38" s="1270" t="n"/>
      <c r="F38" s="1406" t="n"/>
      <c r="I38" s="1333" t="inlineStr">
        <is>
          <t>1. Courses/masterclasses</t>
        </is>
      </c>
      <c r="J38" s="431" t="n"/>
      <c r="K38" s="432">
        <f>COUNTIF(C$594:C$663,I38)</f>
        <v/>
      </c>
      <c r="L38" s="432">
        <f>COUNTIF(C$520:C$593,I38)</f>
        <v/>
      </c>
      <c r="M38" s="432">
        <f>COUNTIF(C$456:C$519,I38)</f>
        <v/>
      </c>
      <c r="N38" s="432">
        <f>COUNTIF(C$373:C$454,$I38)</f>
        <v/>
      </c>
      <c r="O38" s="432">
        <f>COUNTIF(C$377:C$414,$I38)</f>
        <v/>
      </c>
      <c r="P38" s="432">
        <f>COUNTIF(C$348:C$375,$I38)</f>
        <v/>
      </c>
      <c r="Q38" s="432">
        <f>COUNTIF(C$319:C$346,$I38)</f>
        <v/>
      </c>
      <c r="R38" s="432">
        <f>COUNTIF(C$284:C$317,$I38)</f>
        <v/>
      </c>
      <c r="S38" s="432">
        <f>COUNTIF(C$244:C$282,$I38)</f>
        <v/>
      </c>
      <c r="T38" s="432">
        <f>COUNTIF(C$207:C$242,$I38)</f>
        <v/>
      </c>
      <c r="U38" s="432">
        <f>COUNTIF(C$161:C$205,$I38)</f>
        <v/>
      </c>
      <c r="V38" s="432">
        <f>COUNTIF(C$121:C$159,$I38)</f>
        <v/>
      </c>
      <c r="W38" s="431">
        <f>SUM(K38:V38)</f>
        <v/>
      </c>
      <c r="AD38" s="470" t="n">
        <v>43066</v>
      </c>
      <c r="AE38" s="1255" t="inlineStr">
        <is>
          <t>James Braithwaite ELS</t>
        </is>
      </c>
      <c r="AF38" s="1255" t="inlineStr">
        <is>
          <t>20171127-2</t>
        </is>
      </c>
      <c r="AG38" s="1282" t="inlineStr">
        <is>
          <t>151176</t>
        </is>
      </c>
      <c r="AH38" s="1385" t="n">
        <v>150</v>
      </c>
      <c r="AI38" s="1260" t="inlineStr">
        <is>
          <t>Hartland Jan</t>
        </is>
      </c>
    </row>
    <row r="39" ht="13.5" customHeight="1" s="1232">
      <c r="A39" s="1292" t="n"/>
      <c r="B39" s="1294" t="n"/>
      <c r="C39" s="1294" t="n"/>
      <c r="E39" s="1293" t="n"/>
      <c r="F39" s="1294" t="n"/>
      <c r="I39" s="1333" t="inlineStr">
        <is>
          <t>2. Workshops</t>
        </is>
      </c>
      <c r="J39" s="431" t="n"/>
      <c r="K39" s="432">
        <f>COUNTIF(C$594:C$663,I39)</f>
        <v/>
      </c>
      <c r="L39" s="432">
        <f>COUNTIF(C$520:C$593,I39)</f>
        <v/>
      </c>
      <c r="M39" s="432">
        <f>COUNTIF(C$456:C$519,I39)</f>
        <v/>
      </c>
      <c r="N39" s="432">
        <f>COUNTIF(C$373:C$454,$I39)</f>
        <v/>
      </c>
      <c r="O39" s="432">
        <f>COUNTIF(C$377:C$414,$I39)</f>
        <v/>
      </c>
      <c r="P39" s="432">
        <f>COUNTIF(C$348:C$375,$I39)</f>
        <v/>
      </c>
      <c r="Q39" s="432">
        <f>COUNTIF(C$319:C$346,$I39)</f>
        <v/>
      </c>
      <c r="R39" s="432">
        <f>COUNTIF(C$284:C$317,$I39)</f>
        <v/>
      </c>
      <c r="S39" s="432">
        <f>COUNTIF(C$244:C$282,$I39)</f>
        <v/>
      </c>
      <c r="T39" s="432">
        <f>COUNTIF(C$207:C$242,$I39)</f>
        <v/>
      </c>
      <c r="U39" s="432">
        <f>COUNTIF(C$161:C$205,$I39)</f>
        <v/>
      </c>
      <c r="V39" s="432">
        <f>COUNTIF(C$121:C$159,$I39)</f>
        <v/>
      </c>
      <c r="W39" s="431">
        <f>SUM(K39:V39)</f>
        <v/>
      </c>
      <c r="AD39" s="470" t="n">
        <v>43066</v>
      </c>
      <c r="AE39" s="1255" t="inlineStr">
        <is>
          <t>Amundep Hothi - ELS</t>
        </is>
      </c>
      <c r="AF39" s="1260" t="inlineStr">
        <is>
          <t>20171127-3</t>
        </is>
      </c>
      <c r="AG39" s="1282" t="inlineStr">
        <is>
          <t>152835</t>
        </is>
      </c>
      <c r="AH39" s="1385" t="n">
        <v>200</v>
      </c>
      <c r="AI39" s="1373" t="inlineStr">
        <is>
          <t>5wk Course</t>
        </is>
      </c>
    </row>
    <row r="40" ht="13.5" customHeight="1" s="1232">
      <c r="A40" s="1292" t="n"/>
      <c r="B40" s="1294" t="n"/>
      <c r="C40" s="1294" t="n"/>
      <c r="E40" s="1293" t="n"/>
      <c r="F40" s="1294" t="n"/>
      <c r="I40" s="1333" t="inlineStr">
        <is>
          <t>3. Pick n Mix Inc</t>
        </is>
      </c>
      <c r="J40" s="431" t="n"/>
      <c r="K40" s="432">
        <f>COUNTIF(C$594:C$663,I40)</f>
        <v/>
      </c>
      <c r="L40" s="432">
        <f>COUNTIF(C$520:C$593,I40)</f>
        <v/>
      </c>
      <c r="M40" s="432">
        <f>COUNTIF(C$456:C$519,I40)</f>
        <v/>
      </c>
      <c r="N40" s="432">
        <f>COUNTIF(C$373:C$454,$I40)</f>
        <v/>
      </c>
      <c r="O40" s="432">
        <f>COUNTIF(C$377:C$414,$I40)</f>
        <v/>
      </c>
      <c r="P40" s="432">
        <f>COUNTIF(C$348:C$375,$I40)</f>
        <v/>
      </c>
      <c r="Q40" s="432">
        <f>COUNTIF(C$319:C$346,$I40)</f>
        <v/>
      </c>
      <c r="R40" s="432">
        <f>COUNTIF(C$284:C$317,$I40)</f>
        <v/>
      </c>
      <c r="S40" s="432">
        <f>COUNTIF(C$244:C$282,$I40)</f>
        <v/>
      </c>
      <c r="T40" s="432">
        <f>COUNTIF(C$207:C$242,$I40)</f>
        <v/>
      </c>
      <c r="U40" s="432">
        <f>COUNTIF(C$161:C$205,$I40)</f>
        <v/>
      </c>
      <c r="V40" s="432">
        <f>COUNTIF(C$121:C$159,$I40)</f>
        <v/>
      </c>
      <c r="W40" s="431">
        <f>SUM(K40:V40)</f>
        <v/>
      </c>
      <c r="AD40" s="470" t="n">
        <v>43068</v>
      </c>
      <c r="AE40" s="1255" t="inlineStr">
        <is>
          <t>Preetha Luther - ELS</t>
        </is>
      </c>
      <c r="AF40" s="1255" t="inlineStr">
        <is>
          <t>20171129-1</t>
        </is>
      </c>
      <c r="AG40" s="1282" t="inlineStr">
        <is>
          <t>151289</t>
        </is>
      </c>
      <c r="AH40" s="1385" t="n">
        <v>200</v>
      </c>
      <c r="AI40" s="1260" t="inlineStr">
        <is>
          <t>5wk Course</t>
        </is>
      </c>
    </row>
    <row r="41" ht="13.5" customHeight="1" s="1232">
      <c r="A41" s="1292" t="n"/>
      <c r="B41" s="1294" t="n"/>
      <c r="C41" s="1294" t="n"/>
      <c r="E41" s="1293" t="n"/>
      <c r="F41" s="1294" t="n"/>
      <c r="I41" s="1333" t="inlineStr">
        <is>
          <t>4. Pick n Mix Out</t>
        </is>
      </c>
      <c r="J41" s="431" t="n"/>
      <c r="K41" s="432">
        <f>COUNTIF(C$594:C$663,I41)</f>
        <v/>
      </c>
      <c r="L41" s="432">
        <f>COUNTIF(C$520:C$593,I41)</f>
        <v/>
      </c>
      <c r="M41" s="432">
        <f>COUNTIF(C$456:C$519,I41)</f>
        <v/>
      </c>
      <c r="N41" s="432">
        <f>COUNTIF(C$373:C$454,$I41)</f>
        <v/>
      </c>
      <c r="O41" s="432">
        <f>COUNTIF(C$377:C$414,$I41)</f>
        <v/>
      </c>
      <c r="P41" s="432">
        <f>COUNTIF(C$348:C$375,$I41)</f>
        <v/>
      </c>
      <c r="Q41" s="432">
        <f>COUNTIF(C$319:C$346,$I41)</f>
        <v/>
      </c>
      <c r="R41" s="432">
        <f>COUNTIF(C$284:C$317,$I41)</f>
        <v/>
      </c>
      <c r="S41" s="432">
        <f>COUNTIF(C$244:C$282,$I41)</f>
        <v/>
      </c>
      <c r="T41" s="432">
        <f>COUNTIF(C$207:C$242,$I41)</f>
        <v/>
      </c>
      <c r="U41" s="432">
        <f>COUNTIF(C$161:C$205,$I41)</f>
        <v/>
      </c>
      <c r="V41" s="432">
        <f>COUNTIF(C$121:C$159,$I41)</f>
        <v/>
      </c>
      <c r="W41" s="431">
        <f>SUM(K41:V41)</f>
        <v/>
      </c>
      <c r="AD41" s="470" t="n"/>
      <c r="AG41" s="1282" t="n"/>
      <c r="AI41" s="1260" t="n"/>
    </row>
    <row r="42" ht="13.5" customHeight="1" s="1232">
      <c r="A42" s="1292" t="n"/>
      <c r="B42" s="1260" t="n"/>
      <c r="C42" s="1294" t="n"/>
      <c r="D42" s="1260" t="n"/>
      <c r="E42" s="1293" t="n"/>
      <c r="F42" s="1294" t="n"/>
      <c r="I42" s="1333" t="inlineStr">
        <is>
          <t>5. Mentoring</t>
        </is>
      </c>
      <c r="J42" s="431" t="n"/>
      <c r="K42" s="432">
        <f>COUNTIF(C$594:C$663,I42)</f>
        <v/>
      </c>
      <c r="L42" s="432">
        <f>COUNTIF(C$520:C$593,I42)</f>
        <v/>
      </c>
      <c r="M42" s="432">
        <f>COUNTIF(C$456:C$519,I42)</f>
        <v/>
      </c>
      <c r="N42" s="432">
        <f>COUNTIF(C$373:C$454,$I42)</f>
        <v/>
      </c>
      <c r="O42" s="432">
        <f>COUNTIF(C$377:C$414,$I42)</f>
        <v/>
      </c>
      <c r="P42" s="432">
        <f>COUNTIF(C$348:C$375,$I42)</f>
        <v/>
      </c>
      <c r="Q42" s="432">
        <f>COUNTIF(C$319:C$346,$I42)</f>
        <v/>
      </c>
      <c r="R42" s="432">
        <f>COUNTIF(C$284:C$317,$I42)</f>
        <v/>
      </c>
      <c r="S42" s="432">
        <f>COUNTIF(C$244:C$282,$I42)</f>
        <v/>
      </c>
      <c r="T42" s="432">
        <f>COUNTIF(C$207:C$242,$I42)</f>
        <v/>
      </c>
      <c r="U42" s="432">
        <f>COUNTIF(C$161:C$205,$I42)</f>
        <v/>
      </c>
      <c r="V42" s="432">
        <f>COUNTIF(C$121:C$159,$I42)</f>
        <v/>
      </c>
      <c r="W42" s="431">
        <f>SUM(K42:V42)</f>
        <v/>
      </c>
      <c r="AD42" s="548" t="n">
        <v>43069</v>
      </c>
      <c r="AE42" s="1255" t="inlineStr">
        <is>
          <t>Hans Berg - ELS</t>
        </is>
      </c>
      <c r="AF42" s="1255" t="inlineStr">
        <is>
          <t>20171130-2</t>
        </is>
      </c>
      <c r="AG42" s="1282" t="inlineStr">
        <is>
          <t>149779</t>
        </is>
      </c>
      <c r="AH42" s="1385" t="n">
        <v>200</v>
      </c>
      <c r="AI42" s="1260" t="inlineStr">
        <is>
          <t>5wk Course</t>
        </is>
      </c>
    </row>
    <row r="43" ht="13.5" customHeight="1" s="1232">
      <c r="A43" s="1292" t="n"/>
      <c r="B43" s="1294" t="n"/>
      <c r="C43" s="1294" t="n"/>
      <c r="E43" s="1293" t="n"/>
      <c r="F43" s="1305" t="n"/>
      <c r="I43" s="1334" t="inlineStr">
        <is>
          <t>6. 1-2-1</t>
        </is>
      </c>
      <c r="J43" s="431" t="n"/>
      <c r="K43" s="432">
        <f>COUNTIF(C$594:C$663,I43)</f>
        <v/>
      </c>
      <c r="L43" s="432">
        <f>COUNTIF(C$520:C$593,I43)</f>
        <v/>
      </c>
      <c r="M43" s="432">
        <f>COUNTIF(C$456:C$519,I43)</f>
        <v/>
      </c>
      <c r="N43" s="432">
        <f>COUNTIF(C$373:C$454,$I43)</f>
        <v/>
      </c>
      <c r="O43" s="432">
        <f>COUNTIF(C$377:C$414,$I43)</f>
        <v/>
      </c>
      <c r="P43" s="432">
        <f>COUNTIF(C$348:C$375,$I43)</f>
        <v/>
      </c>
      <c r="Q43" s="432">
        <f>COUNTIF(C$319:C$346,$I43)</f>
        <v/>
      </c>
      <c r="R43" s="432">
        <f>COUNTIF(C$284:C$317,$I43)</f>
        <v/>
      </c>
      <c r="S43" s="432">
        <f>COUNTIF(C$244:C$282,$I43)</f>
        <v/>
      </c>
      <c r="T43" s="432">
        <f>COUNTIF(C$207:C$242,$I43)</f>
        <v/>
      </c>
      <c r="U43" s="432">
        <f>COUNTIF(C$161:C$205,$I43)</f>
        <v/>
      </c>
      <c r="V43" s="432">
        <f>COUNTIF(C$121:C$159,$I43)</f>
        <v/>
      </c>
      <c r="W43" s="431">
        <f>SUM(K43:V43)</f>
        <v/>
      </c>
      <c r="AD43" s="470" t="n">
        <v>43081</v>
      </c>
      <c r="AE43" s="1255" t="inlineStr">
        <is>
          <t>Scott Bremner</t>
        </is>
      </c>
      <c r="AF43" s="1260" t="inlineStr">
        <is>
          <t>20171212-1</t>
        </is>
      </c>
      <c r="AG43" s="1282" t="inlineStr">
        <is>
          <t>153282</t>
        </is>
      </c>
      <c r="AH43" s="1385" t="n">
        <v>200</v>
      </c>
      <c r="AI43" s="1274" t="inlineStr">
        <is>
          <t>LR Course</t>
        </is>
      </c>
    </row>
    <row r="44">
      <c r="B44" s="1294" t="n"/>
      <c r="C44" s="1294" t="n"/>
      <c r="E44" s="1293" t="n"/>
      <c r="F44" s="1294" t="n"/>
      <c r="I44" s="1334" t="inlineStr">
        <is>
          <t>7. Other</t>
        </is>
      </c>
      <c r="J44" s="431" t="n"/>
      <c r="K44" s="432">
        <f>COUNTIF(C$594:C$663,I44)</f>
        <v/>
      </c>
      <c r="L44" s="432">
        <f>COUNTIF(C$520:C$593,I44)</f>
        <v/>
      </c>
      <c r="M44" s="432">
        <f>COUNTIF(C$456:C$519,I44)</f>
        <v/>
      </c>
      <c r="N44" s="432">
        <f>COUNTIF(C$373:C$454,$I44)</f>
        <v/>
      </c>
      <c r="O44" s="432">
        <f>COUNTIF(C$377:C$414,$I44)</f>
        <v/>
      </c>
      <c r="P44" s="432">
        <f>COUNTIF(C$348:C$375,$I44)</f>
        <v/>
      </c>
      <c r="Q44" s="432">
        <f>COUNTIF(C$319:C$346,$I44)</f>
        <v/>
      </c>
      <c r="R44" s="432">
        <f>COUNTIF(C$284:C$317,$I44)</f>
        <v/>
      </c>
      <c r="S44" s="432">
        <f>COUNTIF(C$244:C$282,$I44)</f>
        <v/>
      </c>
      <c r="T44" s="432">
        <f>COUNTIF(C$207:C$242,$I44)</f>
        <v/>
      </c>
      <c r="U44" s="432">
        <f>COUNTIF(C$161:C$205,$I44)</f>
        <v/>
      </c>
      <c r="V44" s="432">
        <f>COUNTIF(C$121:C$159,$I44)</f>
        <v/>
      </c>
      <c r="W44" s="431">
        <f>SUM(K44:V44)</f>
        <v/>
      </c>
      <c r="AD44" s="470" t="n">
        <v>43090</v>
      </c>
      <c r="AE44" s="1260" t="inlineStr">
        <is>
          <t>Andrew D'Amico</t>
        </is>
      </c>
      <c r="AF44" s="1260" t="inlineStr">
        <is>
          <t>20171221-1</t>
        </is>
      </c>
      <c r="AG44" s="1282" t="inlineStr">
        <is>
          <t>153429</t>
        </is>
      </c>
      <c r="AH44" s="1385" t="n">
        <v>50</v>
      </c>
      <c r="AI44" s="1274" t="inlineStr">
        <is>
          <t>TBA</t>
        </is>
      </c>
    </row>
    <row r="45" ht="13.9" customHeight="1" s="1232">
      <c r="A45" s="1292" t="n"/>
      <c r="B45" s="1294" t="n"/>
      <c r="C45" s="1294" t="n"/>
      <c r="E45" s="1293" t="n"/>
      <c r="F45" s="1294" t="n"/>
      <c r="I45" s="1335" t="inlineStr">
        <is>
          <t>Totals</t>
        </is>
      </c>
      <c r="J45" s="438" t="n"/>
      <c r="K45" s="439">
        <f>SUM(K38:K44)</f>
        <v/>
      </c>
      <c r="L45" s="439">
        <f>SUM(L38:L44)</f>
        <v/>
      </c>
      <c r="M45" s="439">
        <f>SUM(M38:M44)</f>
        <v/>
      </c>
      <c r="N45" s="439">
        <f>SUM(N38:N44)</f>
        <v/>
      </c>
      <c r="O45" s="439">
        <f>SUM(O38:O44)</f>
        <v/>
      </c>
      <c r="P45" s="439">
        <f>SUM(P38:P44)</f>
        <v/>
      </c>
      <c r="Q45" s="439">
        <f>SUM(Q38:Q44)</f>
        <v/>
      </c>
      <c r="R45" s="439">
        <f>SUM(R38:R44)</f>
        <v/>
      </c>
      <c r="S45" s="439">
        <f>SUM(S38:S44)</f>
        <v/>
      </c>
      <c r="T45" s="439">
        <f>SUM(T38:T44)</f>
        <v/>
      </c>
      <c r="U45" s="439">
        <f>SUM(U38:U44)</f>
        <v/>
      </c>
      <c r="V45" s="439">
        <f>SUM(V38:V44)</f>
        <v/>
      </c>
      <c r="W45" s="438">
        <f>SUM(W38:W44)</f>
        <v/>
      </c>
      <c r="AD45" s="470" t="n">
        <v>43091</v>
      </c>
      <c r="AE45" s="1260" t="inlineStr">
        <is>
          <t>Ian Blake</t>
        </is>
      </c>
      <c r="AF45" s="1260" t="inlineStr">
        <is>
          <t>20171222-1</t>
        </is>
      </c>
      <c r="AG45" s="1282" t="inlineStr">
        <is>
          <t>153440</t>
        </is>
      </c>
      <c r="AH45" s="1385" t="n">
        <v>200</v>
      </c>
      <c r="AI45" s="1274" t="inlineStr">
        <is>
          <t>Suffolk</t>
        </is>
      </c>
    </row>
    <row r="46" ht="13.5" customHeight="1" s="1232">
      <c r="A46" s="1292" t="n"/>
      <c r="B46" s="1294" t="n"/>
      <c r="C46" s="1294" t="n"/>
      <c r="D46" s="1292" t="n"/>
      <c r="E46" s="1293" t="n"/>
      <c r="F46" s="1294" t="n"/>
      <c r="AD46" s="470" t="n">
        <v>43109</v>
      </c>
      <c r="AE46" s="1255" t="inlineStr">
        <is>
          <t>Iain Williams</t>
        </is>
      </c>
      <c r="AF46" s="1260" t="inlineStr">
        <is>
          <t>20180109-1</t>
        </is>
      </c>
      <c r="AG46" s="1282" t="inlineStr">
        <is>
          <t>153582</t>
        </is>
      </c>
      <c r="AH46" s="1385" t="n">
        <v>200</v>
      </c>
      <c r="AI46" s="1274" t="inlineStr">
        <is>
          <t>5wk Course</t>
        </is>
      </c>
    </row>
    <row r="47" ht="13.15" customHeight="1" s="1232">
      <c r="I47" s="1336" t="inlineStr">
        <is>
          <t>Tuition Categories</t>
        </is>
      </c>
      <c r="J47" s="1330" t="inlineStr">
        <is>
          <t>Avg PPU</t>
        </is>
      </c>
      <c r="K47" s="1332" t="inlineStr">
        <is>
          <t>Jan</t>
        </is>
      </c>
      <c r="L47" s="1332" t="inlineStr">
        <is>
          <t>Feb</t>
        </is>
      </c>
      <c r="M47" s="1332" t="inlineStr">
        <is>
          <t>Mar</t>
        </is>
      </c>
      <c r="N47" s="1332" t="inlineStr">
        <is>
          <t>Apr</t>
        </is>
      </c>
      <c r="O47" s="1332" t="inlineStr">
        <is>
          <t>May</t>
        </is>
      </c>
      <c r="P47" s="1332" t="inlineStr">
        <is>
          <t>Jun</t>
        </is>
      </c>
      <c r="Q47" s="1332" t="inlineStr">
        <is>
          <t>Jul</t>
        </is>
      </c>
      <c r="R47" s="1332" t="inlineStr">
        <is>
          <t>Aug</t>
        </is>
      </c>
      <c r="S47" s="1332" t="inlineStr">
        <is>
          <t>Sep</t>
        </is>
      </c>
      <c r="T47" s="1332" t="inlineStr">
        <is>
          <t>Oct</t>
        </is>
      </c>
      <c r="U47" s="1332" t="inlineStr">
        <is>
          <t>Nov</t>
        </is>
      </c>
      <c r="V47" s="1332" t="inlineStr">
        <is>
          <t>Dec</t>
        </is>
      </c>
      <c r="W47" s="1332" t="inlineStr">
        <is>
          <t>Year</t>
        </is>
      </c>
      <c r="AD47" s="470" t="n">
        <v>43116</v>
      </c>
      <c r="AE47" s="1255" t="inlineStr">
        <is>
          <t>Melissa Dickinson</t>
        </is>
      </c>
      <c r="AF47" s="1260" t="inlineStr">
        <is>
          <t>20180116-1</t>
        </is>
      </c>
      <c r="AG47" s="1282" t="inlineStr">
        <is>
          <t>153774</t>
        </is>
      </c>
      <c r="AH47" s="1385" t="n">
        <v>200</v>
      </c>
      <c r="AI47" s="1274" t="inlineStr">
        <is>
          <t>5wk Course</t>
        </is>
      </c>
    </row>
    <row r="48" ht="13.5" customHeight="1" s="1232">
      <c r="A48" s="1292" t="n"/>
      <c r="B48" s="1294" t="n"/>
      <c r="C48" s="1294" t="n"/>
      <c r="E48" s="1293" t="n"/>
      <c r="F48" s="1294" t="n"/>
      <c r="I48" s="1333" t="inlineStr">
        <is>
          <t>1. Courses/masterclasses</t>
        </is>
      </c>
      <c r="J48" s="431" t="n"/>
      <c r="K48" s="432">
        <f>IFERROR(K4/K38,0)</f>
        <v/>
      </c>
      <c r="L48" s="432">
        <f>IFERROR(L4/L38,0)</f>
        <v/>
      </c>
      <c r="M48" s="432">
        <f>IFERROR(M4/M38,0)</f>
        <v/>
      </c>
      <c r="N48" s="432">
        <f>IFERROR(N4/N38,0)</f>
        <v/>
      </c>
      <c r="O48" s="432">
        <f>IFERROR(O4/O38,0)</f>
        <v/>
      </c>
      <c r="P48" s="432">
        <f>IFERROR(P4/P38,0)</f>
        <v/>
      </c>
      <c r="Q48" s="432">
        <f>IFERROR(Q4/Q38,0)</f>
        <v/>
      </c>
      <c r="R48" s="432">
        <f>IFERROR(R4/R38,0)</f>
        <v/>
      </c>
      <c r="S48" s="432">
        <f>IFERROR(S4/S38,0)</f>
        <v/>
      </c>
      <c r="T48" s="432">
        <f>IFERROR(T4/T38,0)</f>
        <v/>
      </c>
      <c r="U48" s="432">
        <f>IFERROR(U4/U38,0)</f>
        <v/>
      </c>
      <c r="V48" s="432">
        <f>IFERROR(V4/V38,0)</f>
        <v/>
      </c>
      <c r="W48" s="431">
        <f>IFERROR(W4/W38,0)</f>
        <v/>
      </c>
      <c r="AD48" s="470" t="n">
        <v>43129</v>
      </c>
      <c r="AE48" s="1260" t="inlineStr">
        <is>
          <t>Paul Gardiner</t>
        </is>
      </c>
      <c r="AF48" s="1260" t="inlineStr">
        <is>
          <t>201/0129-1</t>
        </is>
      </c>
      <c r="AG48" s="1282" t="inlineStr">
        <is>
          <t>CN</t>
        </is>
      </c>
      <c r="AH48" s="1390" t="n">
        <v>-159</v>
      </c>
      <c r="AI48" s="1373" t="n"/>
    </row>
    <row r="49">
      <c r="I49" s="1333" t="inlineStr">
        <is>
          <t>2. Workshops</t>
        </is>
      </c>
      <c r="J49" s="431" t="n"/>
      <c r="K49" s="432">
        <f>IFERROR(K5/K39,0)</f>
        <v/>
      </c>
      <c r="L49" s="432">
        <f>IFERROR(L5/L39,0)</f>
        <v/>
      </c>
      <c r="M49" s="432">
        <f>IFERROR(M5/M39,0)</f>
        <v/>
      </c>
      <c r="N49" s="432">
        <f>IFERROR(N5/N39,0)</f>
        <v/>
      </c>
      <c r="O49" s="432">
        <f>IFERROR(O5/O39,0)</f>
        <v/>
      </c>
      <c r="P49" s="432">
        <f>IFERROR(P5/P39,0)</f>
        <v/>
      </c>
      <c r="Q49" s="432">
        <f>IFERROR(Q5/Q39,0)</f>
        <v/>
      </c>
      <c r="R49" s="432">
        <f>IFERROR(R5/R39,0)</f>
        <v/>
      </c>
      <c r="S49" s="432">
        <f>IFERROR(S5/S39,0)</f>
        <v/>
      </c>
      <c r="T49" s="432">
        <f>IFERROR(T5/T39,0)</f>
        <v/>
      </c>
      <c r="U49" s="432">
        <f>IFERROR(U5/U39,0)</f>
        <v/>
      </c>
      <c r="V49" s="432">
        <f>IFERROR(V5/V39,0)</f>
        <v/>
      </c>
      <c r="W49" s="431">
        <f>IFERROR(W5/W39,0)</f>
        <v/>
      </c>
      <c r="AD49" s="470" t="n">
        <v>43140</v>
      </c>
      <c r="AE49" s="1260" t="inlineStr">
        <is>
          <t>Daniel Thomas</t>
        </is>
      </c>
      <c r="AF49" s="1255" t="inlineStr">
        <is>
          <t>20180209-1</t>
        </is>
      </c>
      <c r="AG49" s="1282" t="inlineStr">
        <is>
          <t>154267</t>
        </is>
      </c>
      <c r="AH49" s="1385" t="n">
        <v>200</v>
      </c>
      <c r="AI49" s="1260" t="inlineStr">
        <is>
          <t>LR Course</t>
        </is>
      </c>
    </row>
    <row r="50">
      <c r="I50" s="1333" t="inlineStr">
        <is>
          <t>3. Pick n Mix Inc</t>
        </is>
      </c>
      <c r="J50" s="431" t="n"/>
      <c r="K50" s="432">
        <f>IFERROR(K6/K40,0)</f>
        <v/>
      </c>
      <c r="L50" s="432">
        <f>IFERROR(L6/L40,0)</f>
        <v/>
      </c>
      <c r="M50" s="432">
        <f>IFERROR(M6/M40,0)</f>
        <v/>
      </c>
      <c r="N50" s="432">
        <f>IFERROR(N6/N40,0)</f>
        <v/>
      </c>
      <c r="O50" s="432">
        <f>IFERROR(O6/O40,0)</f>
        <v/>
      </c>
      <c r="P50" s="432">
        <f>IFERROR(P6/P40,0)</f>
        <v/>
      </c>
      <c r="Q50" s="432">
        <f>IFERROR(Q6/Q40,0)</f>
        <v/>
      </c>
      <c r="R50" s="432">
        <f>IFERROR(R6/R40,0)</f>
        <v/>
      </c>
      <c r="S50" s="432">
        <f>IFERROR(S6/S40,0)</f>
        <v/>
      </c>
      <c r="T50" s="432">
        <f>IFERROR(T6/T40,0)</f>
        <v/>
      </c>
      <c r="U50" s="432">
        <f>IFERROR(U6/U40,0)</f>
        <v/>
      </c>
      <c r="V50" s="432">
        <f>IFERROR(V6/V40,0)</f>
        <v/>
      </c>
      <c r="W50" s="431">
        <f>IFERROR(W6/W40,0)</f>
        <v/>
      </c>
      <c r="AD50" s="470" t="n">
        <v>43144</v>
      </c>
      <c r="AE50" s="1255" t="inlineStr">
        <is>
          <t>Aidan Broderick</t>
        </is>
      </c>
      <c r="AF50" s="1255" t="inlineStr">
        <is>
          <t>20180213-1</t>
        </is>
      </c>
      <c r="AG50" s="1282" t="inlineStr">
        <is>
          <t>154338</t>
        </is>
      </c>
      <c r="AH50" s="1385" t="n">
        <v>200</v>
      </c>
      <c r="AI50" s="1260" t="inlineStr">
        <is>
          <t>LR Course</t>
        </is>
      </c>
    </row>
    <row r="51">
      <c r="I51" s="1333" t="inlineStr">
        <is>
          <t>4. Pick n Mix Out</t>
        </is>
      </c>
      <c r="J51" s="431" t="n"/>
      <c r="K51" s="432">
        <f>IFERROR(K7/K41,0)</f>
        <v/>
      </c>
      <c r="L51" s="432">
        <f>IFERROR(L7/L41,0)</f>
        <v/>
      </c>
      <c r="M51" s="432">
        <f>IFERROR(M7/M41,0)</f>
        <v/>
      </c>
      <c r="N51" s="432">
        <f>IFERROR(N7/N41,0)</f>
        <v/>
      </c>
      <c r="O51" s="432">
        <f>IFERROR(O7/O41,0)</f>
        <v/>
      </c>
      <c r="P51" s="432">
        <f>IFERROR(P7/P41,0)</f>
        <v/>
      </c>
      <c r="Q51" s="432">
        <f>IFERROR(Q7/Q41,0)</f>
        <v/>
      </c>
      <c r="R51" s="432">
        <f>IFERROR(R7/R41,0)</f>
        <v/>
      </c>
      <c r="S51" s="432">
        <f>IFERROR(S7/S41,0)</f>
        <v/>
      </c>
      <c r="T51" s="432">
        <f>IFERROR(T7/T41,0)</f>
        <v/>
      </c>
      <c r="U51" s="432">
        <f>IFERROR(U7/U41,0)</f>
        <v/>
      </c>
      <c r="V51" s="432">
        <f>IFERROR(V7/V41,0)</f>
        <v/>
      </c>
      <c r="W51" s="431">
        <f>IFERROR(W7/W41,0)</f>
        <v/>
      </c>
      <c r="AD51" s="470" t="n">
        <v>43144</v>
      </c>
      <c r="AE51" s="1255" t="inlineStr">
        <is>
          <t>Sayed Nazir</t>
        </is>
      </c>
      <c r="AF51" s="1260" t="inlineStr">
        <is>
          <t>20180213-2</t>
        </is>
      </c>
      <c r="AG51" s="1282" t="inlineStr">
        <is>
          <t>154336</t>
        </is>
      </c>
      <c r="AH51" s="1385" t="n">
        <v>200</v>
      </c>
      <c r="AI51" s="1260" t="inlineStr">
        <is>
          <t>LR Course</t>
        </is>
      </c>
    </row>
    <row r="52">
      <c r="I52" s="1333" t="inlineStr">
        <is>
          <t>5. Mentoring</t>
        </is>
      </c>
      <c r="J52" s="431" t="n"/>
      <c r="K52" s="432">
        <f>IFERROR(K8/K42,0)</f>
        <v/>
      </c>
      <c r="L52" s="432">
        <f>IFERROR(L8/L42,0)</f>
        <v/>
      </c>
      <c r="M52" s="432">
        <f>IFERROR(M8/M42,0)</f>
        <v/>
      </c>
      <c r="N52" s="432">
        <f>IFERROR(N8/N42,0)</f>
        <v/>
      </c>
      <c r="O52" s="432">
        <f>IFERROR(O8/O42,0)</f>
        <v/>
      </c>
      <c r="P52" s="432">
        <f>IFERROR(P8/P42,0)</f>
        <v/>
      </c>
      <c r="Q52" s="432">
        <f>IFERROR(Q8/Q42,0)</f>
        <v/>
      </c>
      <c r="R52" s="432">
        <f>IFERROR(R8/R42,0)</f>
        <v/>
      </c>
      <c r="S52" s="432">
        <f>IFERROR(S8/S42,0)</f>
        <v/>
      </c>
      <c r="T52" s="432">
        <f>IFERROR(T8/T42,0)</f>
        <v/>
      </c>
      <c r="U52" s="432">
        <f>IFERROR(U8/U42,0)</f>
        <v/>
      </c>
      <c r="V52" s="432">
        <f>IFERROR(V8/V42,0)</f>
        <v/>
      </c>
      <c r="W52" s="431">
        <f>IFERROR(W8/W42,0)</f>
        <v/>
      </c>
      <c r="AD52" s="470" t="n">
        <v>43145</v>
      </c>
      <c r="AE52" s="1255" t="inlineStr">
        <is>
          <t>Ganesh Palani - ELS</t>
        </is>
      </c>
      <c r="AF52" s="1260" t="inlineStr">
        <is>
          <t>20180214-1</t>
        </is>
      </c>
      <c r="AG52" s="1282" t="inlineStr">
        <is>
          <t>154374</t>
        </is>
      </c>
      <c r="AH52" s="1385" t="n">
        <v>200</v>
      </c>
      <c r="AI52" s="1260" t="inlineStr">
        <is>
          <t>5wk Course</t>
        </is>
      </c>
    </row>
    <row r="53">
      <c r="I53" s="1334" t="inlineStr">
        <is>
          <t>6. 1-2-1</t>
        </is>
      </c>
      <c r="J53" s="431" t="n"/>
      <c r="K53" s="432">
        <f>IFERROR(K9/K43,0)</f>
        <v/>
      </c>
      <c r="L53" s="432">
        <f>IFERROR(L9/L43,0)</f>
        <v/>
      </c>
      <c r="M53" s="432">
        <f>IFERROR(M9/M43,0)</f>
        <v/>
      </c>
      <c r="N53" s="432">
        <f>IFERROR(N9/N43,0)</f>
        <v/>
      </c>
      <c r="O53" s="432">
        <f>IFERROR(O9/O43,0)</f>
        <v/>
      </c>
      <c r="P53" s="432">
        <f>IFERROR(P9/P43,0)</f>
        <v/>
      </c>
      <c r="Q53" s="432">
        <f>IFERROR(Q9/Q43,0)</f>
        <v/>
      </c>
      <c r="R53" s="432">
        <f>IFERROR(R9/R43,0)</f>
        <v/>
      </c>
      <c r="S53" s="432">
        <f>IFERROR(S9/S43,0)</f>
        <v/>
      </c>
      <c r="T53" s="432">
        <f>IFERROR(T9/T43,0)</f>
        <v/>
      </c>
      <c r="U53" s="432">
        <f>IFERROR(U9/U43,0)</f>
        <v/>
      </c>
      <c r="V53" s="432">
        <f>IFERROR(V9/V43,0)</f>
        <v/>
      </c>
      <c r="W53" s="431">
        <f>IFERROR(W9/W43,0)</f>
        <v/>
      </c>
      <c r="AD53" s="470" t="n">
        <v>43151</v>
      </c>
      <c r="AE53" s="1260" t="inlineStr">
        <is>
          <t>Hans Berg</t>
        </is>
      </c>
      <c r="AF53" s="1255" t="inlineStr">
        <is>
          <t>20180220-1</t>
        </is>
      </c>
      <c r="AG53" s="1282" t="inlineStr">
        <is>
          <t>154156</t>
        </is>
      </c>
      <c r="AH53" s="1385" t="n">
        <v>200</v>
      </c>
      <c r="AI53" s="1260" t="inlineStr">
        <is>
          <t>LR Course</t>
        </is>
      </c>
    </row>
    <row r="54">
      <c r="I54" s="1334" t="inlineStr">
        <is>
          <t>7. Other</t>
        </is>
      </c>
      <c r="J54" s="431" t="n"/>
      <c r="K54" s="432">
        <f>IFERROR(K10/K44,0)</f>
        <v/>
      </c>
      <c r="L54" s="432">
        <f>IFERROR(L10/L44,0)</f>
        <v/>
      </c>
      <c r="M54" s="432">
        <f>IFERROR(M10/M44,0)</f>
        <v/>
      </c>
      <c r="N54" s="432">
        <f>IFERROR(N10/N44,0)</f>
        <v/>
      </c>
      <c r="O54" s="432">
        <f>IFERROR(O10/O44,0)</f>
        <v/>
      </c>
      <c r="P54" s="432">
        <f>IFERROR(P10/P44,0)</f>
        <v/>
      </c>
      <c r="Q54" s="432">
        <f>IFERROR(Q10/Q44,0)</f>
        <v/>
      </c>
      <c r="R54" s="432">
        <f>IFERROR(R10/R44,0)</f>
        <v/>
      </c>
      <c r="S54" s="432">
        <f>IFERROR(S10/S44,0)</f>
        <v/>
      </c>
      <c r="T54" s="432">
        <f>IFERROR(T10/T44,0)</f>
        <v/>
      </c>
      <c r="U54" s="432">
        <f>IFERROR(U10/U44,0)</f>
        <v/>
      </c>
      <c r="V54" s="432">
        <f>IFERROR(V10/V44,0)</f>
        <v/>
      </c>
      <c r="W54" s="431">
        <f>IFERROR(W10/W44,0)</f>
        <v/>
      </c>
      <c r="AD54" s="470" t="n">
        <v>43152</v>
      </c>
      <c r="AE54" s="1260" t="inlineStr">
        <is>
          <t>Helen Finch</t>
        </is>
      </c>
      <c r="AF54" s="1255" t="inlineStr">
        <is>
          <t>20180221-1</t>
        </is>
      </c>
      <c r="AG54" s="1282" t="inlineStr">
        <is>
          <t>154416</t>
        </is>
      </c>
      <c r="AH54" s="1385" t="n">
        <v>200</v>
      </c>
      <c r="AI54" s="1260" t="inlineStr">
        <is>
          <t>LR Course</t>
        </is>
      </c>
    </row>
    <row r="55" ht="13.15" customHeight="1" s="1232">
      <c r="I55" s="1335" t="inlineStr">
        <is>
          <t>Totals</t>
        </is>
      </c>
      <c r="J55" s="438" t="n"/>
      <c r="K55" s="554">
        <f>IFERROR(K11/K45,0)</f>
        <v/>
      </c>
      <c r="L55" s="554">
        <f>IFERROR(L11/L45,0)</f>
        <v/>
      </c>
      <c r="M55" s="554">
        <f>IFERROR(M11/M45,0)</f>
        <v/>
      </c>
      <c r="N55" s="554">
        <f>IFERROR(N11/N45,0)</f>
        <v/>
      </c>
      <c r="O55" s="554">
        <f>IFERROR(O11/O45,0)</f>
        <v/>
      </c>
      <c r="P55" s="554">
        <f>IFERROR(P11/P45,0)</f>
        <v/>
      </c>
      <c r="Q55" s="554">
        <f>IFERROR(Q11/Q45,0)</f>
        <v/>
      </c>
      <c r="R55" s="554">
        <f>IFERROR(R11/R45,0)</f>
        <v/>
      </c>
      <c r="S55" s="554">
        <f>IFERROR(S11/S45,0)</f>
        <v/>
      </c>
      <c r="T55" s="554">
        <f>IFERROR(T11/T45,0)</f>
        <v/>
      </c>
      <c r="U55" s="554">
        <f>IFERROR(U11/U45,0)</f>
        <v/>
      </c>
      <c r="V55" s="554">
        <f>IFERROR(V11/V45,0)</f>
        <v/>
      </c>
      <c r="W55" s="438">
        <f>IFERROR(W11/W45,0)</f>
        <v/>
      </c>
      <c r="AD55" s="470" t="n">
        <v>43152</v>
      </c>
      <c r="AE55" s="1255" t="inlineStr">
        <is>
          <t>Arjun Rawat - ELS</t>
        </is>
      </c>
      <c r="AF55" s="1255" t="inlineStr">
        <is>
          <t>20180221-2</t>
        </is>
      </c>
      <c r="AG55" s="1282" t="inlineStr">
        <is>
          <t>154510</t>
        </is>
      </c>
      <c r="AH55" s="1385" t="n">
        <v>200</v>
      </c>
      <c r="AI55" s="1260" t="inlineStr">
        <is>
          <t>5wk Course</t>
        </is>
      </c>
    </row>
    <row r="56">
      <c r="AD56" s="470" t="n">
        <v>43167</v>
      </c>
      <c r="AE56" s="1255" t="inlineStr">
        <is>
          <t>Helen Fawcett</t>
        </is>
      </c>
      <c r="AF56" s="1260" t="inlineStr">
        <is>
          <t>20180308-1</t>
        </is>
      </c>
      <c r="AG56" s="1282" t="inlineStr">
        <is>
          <t>154622</t>
        </is>
      </c>
      <c r="AH56" s="1385" t="n">
        <v>30</v>
      </c>
      <c r="AI56" s="1260" t="inlineStr">
        <is>
          <t>Intro Class</t>
        </is>
      </c>
    </row>
    <row r="57">
      <c r="AD57" s="470" t="n">
        <v>43190</v>
      </c>
      <c r="AE57" s="1260" t="inlineStr">
        <is>
          <t>Fances Pike</t>
        </is>
      </c>
      <c r="AF57" s="1260" t="inlineStr">
        <is>
          <t>20180331-1</t>
        </is>
      </c>
      <c r="AG57" s="1282" t="inlineStr">
        <is>
          <t>155146</t>
        </is>
      </c>
      <c r="AH57" s="1385" t="n">
        <v>125</v>
      </c>
      <c r="AI57" s="1260" t="inlineStr">
        <is>
          <t>Bluebell Worksh0p</t>
        </is>
      </c>
    </row>
    <row r="58" ht="13.15" customHeight="1" s="1232">
      <c r="I58" s="1336" t="inlineStr">
        <is>
          <t>Tuition Categories</t>
        </is>
      </c>
      <c r="J58" s="1330" t="inlineStr">
        <is>
          <t>GP Target</t>
        </is>
      </c>
      <c r="K58" s="1332" t="inlineStr">
        <is>
          <t>Jan</t>
        </is>
      </c>
      <c r="L58" s="1332" t="inlineStr">
        <is>
          <t>Feb</t>
        </is>
      </c>
      <c r="M58" s="1332" t="inlineStr">
        <is>
          <t>Mar</t>
        </is>
      </c>
      <c r="N58" s="1332" t="inlineStr">
        <is>
          <t>Apr</t>
        </is>
      </c>
      <c r="O58" s="1332" t="inlineStr">
        <is>
          <t>May</t>
        </is>
      </c>
      <c r="P58" s="1332" t="inlineStr">
        <is>
          <t>Jun</t>
        </is>
      </c>
      <c r="Q58" s="1332" t="inlineStr">
        <is>
          <t>Jul</t>
        </is>
      </c>
      <c r="R58" s="1332" t="inlineStr">
        <is>
          <t>Aug</t>
        </is>
      </c>
      <c r="S58" s="1332" t="inlineStr">
        <is>
          <t>Sep</t>
        </is>
      </c>
      <c r="T58" s="1332" t="inlineStr">
        <is>
          <t>Oct</t>
        </is>
      </c>
      <c r="U58" s="1332" t="inlineStr">
        <is>
          <t>Nov</t>
        </is>
      </c>
      <c r="V58" s="1332" t="inlineStr">
        <is>
          <t>Dec</t>
        </is>
      </c>
      <c r="W58" s="1332" t="inlineStr">
        <is>
          <t>Year</t>
        </is>
      </c>
      <c r="X58" s="1273" t="inlineStr">
        <is>
          <t>GP %</t>
        </is>
      </c>
      <c r="Y58" s="1383" t="inlineStr">
        <is>
          <t>YTD Targ</t>
        </is>
      </c>
      <c r="Z58" s="1383" t="inlineStr">
        <is>
          <t>Var YTD</t>
        </is>
      </c>
      <c r="AD58" s="470" t="n">
        <v>43249</v>
      </c>
      <c r="AE58" s="1260" t="inlineStr">
        <is>
          <t>Steve Paling</t>
        </is>
      </c>
      <c r="AF58" s="1255" t="inlineStr">
        <is>
          <t>20180529-1</t>
        </is>
      </c>
      <c r="AG58" s="1282" t="inlineStr">
        <is>
          <t>155975</t>
        </is>
      </c>
      <c r="AH58" s="1385" t="n">
        <v>200</v>
      </c>
      <c r="AI58" s="1260" t="inlineStr">
        <is>
          <t>4wk Extended</t>
        </is>
      </c>
    </row>
    <row r="59">
      <c r="I59" s="1333" t="inlineStr">
        <is>
          <t>1. Courses/masterclasses</t>
        </is>
      </c>
      <c r="J59" s="432">
        <f>J4*60%</f>
        <v/>
      </c>
      <c r="K59" s="432">
        <f>K4*60%</f>
        <v/>
      </c>
      <c r="L59" s="432">
        <f>L4*60%</f>
        <v/>
      </c>
      <c r="M59" s="432">
        <f>M4*60%</f>
        <v/>
      </c>
      <c r="N59" s="432">
        <f>N4*60%</f>
        <v/>
      </c>
      <c r="O59" s="432">
        <f>O4*60%</f>
        <v/>
      </c>
      <c r="P59" s="432">
        <f>P4*60%</f>
        <v/>
      </c>
      <c r="Q59" s="432">
        <f>Q4*60%</f>
        <v/>
      </c>
      <c r="R59" s="432">
        <f>R4*60%</f>
        <v/>
      </c>
      <c r="S59" s="432">
        <f>S4*60%</f>
        <v/>
      </c>
      <c r="T59" s="432">
        <f>T4*60%</f>
        <v/>
      </c>
      <c r="U59" s="432">
        <f>U4*60%</f>
        <v/>
      </c>
      <c r="V59" s="432">
        <f>V4*60%</f>
        <v/>
      </c>
      <c r="W59" s="431">
        <f>SUM(K59:V59)</f>
        <v/>
      </c>
      <c r="X59" s="445">
        <f>IFERROR(W59/W4,0)</f>
        <v/>
      </c>
      <c r="Y59" s="558">
        <f>J59*12</f>
        <v/>
      </c>
      <c r="Z59" s="434">
        <f>W59-Y59</f>
        <v/>
      </c>
      <c r="AD59" s="470" t="n">
        <v>43343</v>
      </c>
      <c r="AE59" s="1260" t="inlineStr">
        <is>
          <t>Philip Webester</t>
        </is>
      </c>
      <c r="AF59" s="1255" t="inlineStr">
        <is>
          <t>20180831-1</t>
        </is>
      </c>
      <c r="AG59" s="1282" t="inlineStr">
        <is>
          <t>158831</t>
        </is>
      </c>
      <c r="AH59" s="1385" t="n">
        <v>200</v>
      </c>
      <c r="AI59" s="1260" t="inlineStr">
        <is>
          <t>Workshops</t>
        </is>
      </c>
    </row>
    <row r="60">
      <c r="I60" s="1333" t="inlineStr">
        <is>
          <t>2. Workshops</t>
        </is>
      </c>
      <c r="J60" s="432">
        <f>J5*45%</f>
        <v/>
      </c>
      <c r="K60" s="432">
        <f>K5*60%</f>
        <v/>
      </c>
      <c r="L60" s="432">
        <f>L5*60%</f>
        <v/>
      </c>
      <c r="M60" s="432">
        <f>M5*60%</f>
        <v/>
      </c>
      <c r="N60" s="432">
        <f>N5*60%</f>
        <v/>
      </c>
      <c r="O60" s="432">
        <f>O5*60%</f>
        <v/>
      </c>
      <c r="P60" s="432">
        <f>P5*60%</f>
        <v/>
      </c>
      <c r="Q60" s="432">
        <f>Q5*60%</f>
        <v/>
      </c>
      <c r="R60" s="432">
        <f>R5*60%</f>
        <v/>
      </c>
      <c r="S60" s="432">
        <f>S5*60%</f>
        <v/>
      </c>
      <c r="T60" s="432">
        <f>T5*60%</f>
        <v/>
      </c>
      <c r="U60" s="432">
        <f>U5*60%</f>
        <v/>
      </c>
      <c r="V60" s="432">
        <f>V5*60%</f>
        <v/>
      </c>
      <c r="W60" s="431">
        <f>SUM(K60:V60)</f>
        <v/>
      </c>
      <c r="X60" s="445">
        <f>IFERROR(W60/W5,0)</f>
        <v/>
      </c>
      <c r="Y60" s="558">
        <f>J60*12</f>
        <v/>
      </c>
      <c r="Z60" s="434">
        <f>W60-Y60</f>
        <v/>
      </c>
      <c r="AD60" s="470" t="n">
        <v>43392</v>
      </c>
      <c r="AE60" s="1260" t="inlineStr">
        <is>
          <t>Dave McGuire</t>
        </is>
      </c>
      <c r="AF60" s="1255" t="inlineStr">
        <is>
          <t>201801019-1</t>
        </is>
      </c>
      <c r="AG60" s="1282" t="inlineStr">
        <is>
          <t>160273</t>
        </is>
      </c>
      <c r="AH60" s="1385" t="n">
        <v>200</v>
      </c>
      <c r="AI60" s="1260" t="inlineStr">
        <is>
          <t>Course</t>
        </is>
      </c>
    </row>
    <row r="61">
      <c r="I61" s="1333" t="inlineStr">
        <is>
          <t>3. Pick n Mix Inc</t>
        </is>
      </c>
      <c r="J61" s="432">
        <f>J6*40%</f>
        <v/>
      </c>
      <c r="K61" s="432">
        <f>K6*60%</f>
        <v/>
      </c>
      <c r="L61" s="432">
        <f>L6*60%</f>
        <v/>
      </c>
      <c r="M61" s="432">
        <f>M6*60%</f>
        <v/>
      </c>
      <c r="N61" s="432">
        <f>N6*60%</f>
        <v/>
      </c>
      <c r="O61" s="432">
        <f>O6*60%</f>
        <v/>
      </c>
      <c r="P61" s="432">
        <f>P6*60%</f>
        <v/>
      </c>
      <c r="Q61" s="432">
        <f>Q6*60%</f>
        <v/>
      </c>
      <c r="R61" s="432">
        <f>R6*60%</f>
        <v/>
      </c>
      <c r="S61" s="432">
        <f>S6*60%</f>
        <v/>
      </c>
      <c r="T61" s="432">
        <f>T6*60%</f>
        <v/>
      </c>
      <c r="U61" s="432">
        <f>U6*60%</f>
        <v/>
      </c>
      <c r="V61" s="432">
        <f>V6*60%</f>
        <v/>
      </c>
      <c r="W61" s="431">
        <f>SUM(K61:V61)</f>
        <v/>
      </c>
      <c r="X61" s="445">
        <f>IFERROR(W61/W7,0)</f>
        <v/>
      </c>
      <c r="Y61" s="558">
        <f>J61*12</f>
        <v/>
      </c>
      <c r="Z61" s="434">
        <f>W61-Y61</f>
        <v/>
      </c>
      <c r="AD61" s="470" t="n">
        <v>43424</v>
      </c>
      <c r="AE61" s="1260" t="inlineStr">
        <is>
          <t>Helen Finch/Sotheran</t>
        </is>
      </c>
      <c r="AF61" s="1255" t="inlineStr">
        <is>
          <t>20181120-1</t>
        </is>
      </c>
      <c r="AG61" s="1282" t="inlineStr">
        <is>
          <t>163853</t>
        </is>
      </c>
      <c r="AH61" s="1255" t="n">
        <v>250</v>
      </c>
      <c r="AI61" s="1260" t="inlineStr">
        <is>
          <t>Lvl 2 Photo Soli</t>
        </is>
      </c>
    </row>
    <row r="62">
      <c r="I62" s="1333" t="inlineStr">
        <is>
          <t>4. Pick n Mix Out</t>
        </is>
      </c>
      <c r="J62" s="432" t="n"/>
      <c r="K62" s="432">
        <f>K7*60%</f>
        <v/>
      </c>
      <c r="L62" s="432">
        <f>L7*60%</f>
        <v/>
      </c>
      <c r="M62" s="432">
        <f>M7*60%</f>
        <v/>
      </c>
      <c r="N62" s="432">
        <f>N7*60%</f>
        <v/>
      </c>
      <c r="O62" s="432">
        <f>O7*60%</f>
        <v/>
      </c>
      <c r="P62" s="432">
        <f>P7*60%</f>
        <v/>
      </c>
      <c r="Q62" s="432">
        <f>Q7*60%</f>
        <v/>
      </c>
      <c r="R62" s="432">
        <f>R7*60%</f>
        <v/>
      </c>
      <c r="S62" s="432">
        <f>S7*60%</f>
        <v/>
      </c>
      <c r="T62" s="432">
        <f>T7*60%</f>
        <v/>
      </c>
      <c r="U62" s="432">
        <f>U7*60%</f>
        <v/>
      </c>
      <c r="V62" s="432">
        <f>V7*60%</f>
        <v/>
      </c>
      <c r="W62" s="431">
        <f>SUM(K62:V62)</f>
        <v/>
      </c>
      <c r="X62" s="445" t="n"/>
      <c r="Y62" s="558" t="n"/>
      <c r="Z62" s="434" t="n"/>
      <c r="AD62" s="470" t="n">
        <v>43438</v>
      </c>
      <c r="AE62" s="1255" t="inlineStr">
        <is>
          <t>Harkesh Mehmi</t>
        </is>
      </c>
      <c r="AF62" s="1255" t="inlineStr">
        <is>
          <t>20181204-1</t>
        </is>
      </c>
      <c r="AG62" s="1282" t="inlineStr">
        <is>
          <t>161118</t>
        </is>
      </c>
      <c r="AH62" s="1255" t="n">
        <v>200</v>
      </c>
      <c r="AI62" s="1260" t="inlineStr">
        <is>
          <t>TBC</t>
        </is>
      </c>
    </row>
    <row r="63">
      <c r="I63" s="1333" t="inlineStr">
        <is>
          <t>5. Mentoring</t>
        </is>
      </c>
      <c r="J63" s="432">
        <f>J8*75%</f>
        <v/>
      </c>
      <c r="K63" s="432">
        <f>K8*60%</f>
        <v/>
      </c>
      <c r="L63" s="432">
        <f>L8*60%</f>
        <v/>
      </c>
      <c r="M63" s="432">
        <f>M8*60%</f>
        <v/>
      </c>
      <c r="N63" s="432">
        <f>N8*60%</f>
        <v/>
      </c>
      <c r="O63" s="432">
        <f>O8*60%</f>
        <v/>
      </c>
      <c r="P63" s="432">
        <f>P8*60%</f>
        <v/>
      </c>
      <c r="Q63" s="432">
        <f>Q8*60%</f>
        <v/>
      </c>
      <c r="R63" s="432">
        <f>R8*60%</f>
        <v/>
      </c>
      <c r="S63" s="432">
        <f>S8*60%</f>
        <v/>
      </c>
      <c r="T63" s="432">
        <f>T8*60%</f>
        <v/>
      </c>
      <c r="U63" s="432">
        <f>U8*60%</f>
        <v/>
      </c>
      <c r="V63" s="432">
        <f>V8*60%</f>
        <v/>
      </c>
      <c r="W63" s="431">
        <f>SUM(K63:V63)</f>
        <v/>
      </c>
      <c r="X63" s="445">
        <f>IFERROR(W63/W8,0)</f>
        <v/>
      </c>
      <c r="Y63" s="558">
        <f>J63*12</f>
        <v/>
      </c>
      <c r="Z63" s="434">
        <f>W63-Y63</f>
        <v/>
      </c>
    </row>
    <row r="64" ht="13.15" customHeight="1" s="1232">
      <c r="I64" s="1334" t="inlineStr">
        <is>
          <t>6. 1-2-1</t>
        </is>
      </c>
      <c r="J64" s="432">
        <f>J9*75%</f>
        <v/>
      </c>
      <c r="K64" s="432">
        <f>K9*60%</f>
        <v/>
      </c>
      <c r="L64" s="432">
        <f>L9*60%</f>
        <v/>
      </c>
      <c r="M64" s="432">
        <f>M9*60%</f>
        <v/>
      </c>
      <c r="N64" s="432">
        <f>N9*60%</f>
        <v/>
      </c>
      <c r="O64" s="432">
        <f>O9*60%</f>
        <v/>
      </c>
      <c r="P64" s="432">
        <f>P9*60%</f>
        <v/>
      </c>
      <c r="Q64" s="432">
        <f>Q9*60%</f>
        <v/>
      </c>
      <c r="R64" s="432">
        <f>R9*60%</f>
        <v/>
      </c>
      <c r="S64" s="432">
        <f>S9*60%</f>
        <v/>
      </c>
      <c r="T64" s="432">
        <f>T9*60%</f>
        <v/>
      </c>
      <c r="U64" s="432">
        <f>U9*60%</f>
        <v/>
      </c>
      <c r="V64" s="432">
        <f>V9*60%</f>
        <v/>
      </c>
      <c r="W64" s="431">
        <f>SUM(K64:V64)</f>
        <v/>
      </c>
      <c r="X64" s="445">
        <f>IFERROR(W64/W9,0)</f>
        <v/>
      </c>
      <c r="Y64" s="558">
        <f>J64*12</f>
        <v/>
      </c>
      <c r="Z64" s="434">
        <f>W64-Y64</f>
        <v/>
      </c>
      <c r="AH64" s="1391">
        <f>SUM(AH12:AH62)</f>
        <v/>
      </c>
    </row>
    <row r="65">
      <c r="I65" s="1334" t="inlineStr">
        <is>
          <t>7. Other</t>
        </is>
      </c>
      <c r="J65" s="432">
        <f>J10*15%</f>
        <v/>
      </c>
      <c r="K65" s="432">
        <f>K10*60%</f>
        <v/>
      </c>
      <c r="L65" s="432">
        <f>L10*60%</f>
        <v/>
      </c>
      <c r="M65" s="432">
        <f>M10*60%</f>
        <v/>
      </c>
      <c r="N65" s="432">
        <f>N10*60%</f>
        <v/>
      </c>
      <c r="O65" s="432">
        <f>O10*60%</f>
        <v/>
      </c>
      <c r="P65" s="432">
        <f>P10*60%</f>
        <v/>
      </c>
      <c r="Q65" s="432">
        <f>Q10*60%</f>
        <v/>
      </c>
      <c r="R65" s="432">
        <f>R10*60%</f>
        <v/>
      </c>
      <c r="S65" s="432">
        <f>S10*60%</f>
        <v/>
      </c>
      <c r="T65" s="432">
        <f>T10*60%</f>
        <v/>
      </c>
      <c r="U65" s="432">
        <f>U10*60%</f>
        <v/>
      </c>
      <c r="V65" s="432">
        <f>V10*60%</f>
        <v/>
      </c>
      <c r="W65" s="431">
        <f>SUM(K65:V65)</f>
        <v/>
      </c>
      <c r="X65" s="445">
        <f>IFERROR(W65/W10,0)</f>
        <v/>
      </c>
      <c r="Y65" s="558">
        <f>J65*12</f>
        <v/>
      </c>
      <c r="Z65" s="434">
        <f>W65-Y65</f>
        <v/>
      </c>
    </row>
    <row r="66" ht="13.15" customHeight="1" s="1232">
      <c r="I66" s="1335" t="inlineStr">
        <is>
          <t>Totals</t>
        </is>
      </c>
      <c r="J66" s="438">
        <f>SUM(J59:J65)</f>
        <v/>
      </c>
      <c r="K66" s="439">
        <f>SUM(K59:K65)</f>
        <v/>
      </c>
      <c r="L66" s="439">
        <f>SUM(L59:L65)</f>
        <v/>
      </c>
      <c r="M66" s="439">
        <f>SUM(M59:M65)</f>
        <v/>
      </c>
      <c r="N66" s="439">
        <f>SUM(N59:N65)</f>
        <v/>
      </c>
      <c r="O66" s="439">
        <f>SUM(O59:O65)</f>
        <v/>
      </c>
      <c r="P66" s="439">
        <f>SUM(P59:P65)</f>
        <v/>
      </c>
      <c r="Q66" s="439">
        <f>SUM(Q59:Q65)</f>
        <v/>
      </c>
      <c r="R66" s="439">
        <f>SUM(R59:R65)</f>
        <v/>
      </c>
      <c r="S66" s="439">
        <f>SUM(S59:S65)</f>
        <v/>
      </c>
      <c r="T66" s="439">
        <f>SUM(T59:T65)</f>
        <v/>
      </c>
      <c r="U66" s="439">
        <f>SUM(U59:U65)</f>
        <v/>
      </c>
      <c r="V66" s="439">
        <f>SUM(V59:V65)</f>
        <v/>
      </c>
      <c r="W66" s="438">
        <f>SUM(W59:W65)</f>
        <v/>
      </c>
      <c r="X66" s="445">
        <f>IFERROR(W66/W11,0)</f>
        <v/>
      </c>
      <c r="Y66" s="558">
        <f>J66*12</f>
        <v/>
      </c>
      <c r="Z66" s="434">
        <f>W66-Y66</f>
        <v/>
      </c>
    </row>
    <row r="68" ht="13.15" customHeight="1" s="1232">
      <c r="I68" s="1341" t="inlineStr">
        <is>
          <t>Banking Source</t>
        </is>
      </c>
      <c r="K68" s="1332" t="inlineStr">
        <is>
          <t>Jan</t>
        </is>
      </c>
      <c r="L68" s="1332" t="inlineStr">
        <is>
          <t>Feb</t>
        </is>
      </c>
      <c r="M68" s="1332" t="inlineStr">
        <is>
          <t>Mar</t>
        </is>
      </c>
      <c r="N68" s="1332" t="inlineStr">
        <is>
          <t>Apr</t>
        </is>
      </c>
      <c r="O68" s="1332" t="inlineStr">
        <is>
          <t>May</t>
        </is>
      </c>
      <c r="P68" s="1332" t="inlineStr">
        <is>
          <t>Jun</t>
        </is>
      </c>
      <c r="Q68" s="1332" t="inlineStr">
        <is>
          <t>Jul</t>
        </is>
      </c>
      <c r="R68" s="1332" t="inlineStr">
        <is>
          <t>Aug</t>
        </is>
      </c>
      <c r="S68" s="1332" t="inlineStr">
        <is>
          <t>Sep</t>
        </is>
      </c>
      <c r="T68" s="1332" t="inlineStr">
        <is>
          <t>Oct</t>
        </is>
      </c>
      <c r="U68" s="1332" t="inlineStr">
        <is>
          <t>Nov</t>
        </is>
      </c>
      <c r="V68" s="1332" t="inlineStr">
        <is>
          <t>Dec</t>
        </is>
      </c>
      <c r="W68" s="1332" t="inlineStr">
        <is>
          <t>Year</t>
        </is>
      </c>
      <c r="X68" s="1278" t="inlineStr">
        <is>
          <t>Split</t>
        </is>
      </c>
      <c r="Y68" s="1278" t="inlineStr">
        <is>
          <t>% YTD</t>
        </is>
      </c>
    </row>
    <row r="69">
      <c r="I69" s="1255" t="inlineStr">
        <is>
          <t>Stripe</t>
        </is>
      </c>
      <c r="K69" s="432">
        <f>SUMIF(D$594:$D$663,$I69,$E$594:$E$663)</f>
        <v/>
      </c>
      <c r="L69" s="432">
        <f>SUMIF($D$520:E$593,$I69,$E$520:$E$593)</f>
        <v/>
      </c>
      <c r="M69" s="432">
        <f>SUMIF($D$456:D$519,$I69,$E$456:$E$519)</f>
        <v/>
      </c>
      <c r="N69" s="432">
        <f>SUMIF($D$417:D$454,$I69,$E$417:$E$454)</f>
        <v/>
      </c>
      <c r="O69" s="432">
        <f>SUMIF($D$377:E$414,$I69,$E$377:$E$414)</f>
        <v/>
      </c>
      <c r="P69" s="432">
        <f>SUMIF($D$348:F$375,$I69,$E$348:$E$375)</f>
        <v/>
      </c>
      <c r="Q69" s="432">
        <f>SUMIF($D$319:G$346,$I69,$E$319:$E$346)</f>
        <v/>
      </c>
      <c r="R69" s="432">
        <f>SUMIF($D$284:H$318,$I69,$E$284:$E$318)</f>
        <v/>
      </c>
      <c r="S69" s="432">
        <f>SUMIF($D$244:G$282,$I69,$E$244:$E$282)</f>
        <v/>
      </c>
      <c r="T69" s="432">
        <f>SUMIF($D$207:G$242,$I69,$E$207:$E$242)</f>
        <v/>
      </c>
      <c r="U69" s="432">
        <f>SUMIF($D$161:G$205,$I69,$E$161:$E$205)</f>
        <v/>
      </c>
      <c r="V69" s="432">
        <f>SUMIF($D$121:G$159,$I69,$E$121:$E$159)</f>
        <v/>
      </c>
      <c r="W69" s="432">
        <f>SUM(K69:V69)</f>
        <v/>
      </c>
      <c r="X69" s="460">
        <f>R69/$R$77</f>
        <v/>
      </c>
      <c r="Y69" s="460">
        <f>W69/W77</f>
        <v/>
      </c>
    </row>
    <row r="70">
      <c r="I70" s="1255" t="inlineStr">
        <is>
          <t>PayPal</t>
        </is>
      </c>
      <c r="K70" s="432">
        <f>SUMIF(D$594:$D$663,$I70,$E$594:$E$663)</f>
        <v/>
      </c>
      <c r="L70" s="432">
        <f>SUMIF($D$520:E$593,$I70,$E$520:$E$593)</f>
        <v/>
      </c>
      <c r="M70" s="432">
        <f>SUMIF($D$456:D$519,$I70,$E$456:$E$519)</f>
        <v/>
      </c>
      <c r="N70" s="432">
        <f>SUMIF($D$417:D$454,$I70,$E$417:$E$454)</f>
        <v/>
      </c>
      <c r="O70" s="432">
        <f>SUMIF($D$377:E$414,$I70,$E$377:$E$414)</f>
        <v/>
      </c>
      <c r="P70" s="432">
        <f>SUMIF($D$348:F$375,$I70,$E$348:$E$375)</f>
        <v/>
      </c>
      <c r="Q70" s="432">
        <f>SUMIF($D$319:G$346,$I70,$E$319:$E$346)</f>
        <v/>
      </c>
      <c r="R70" s="432">
        <f>SUMIF($D$284:H$318,$I70,$E$284:$E$318)</f>
        <v/>
      </c>
      <c r="S70" s="432">
        <f>SUMIF($D$244:G$282,$I70,$E$244:$E$282)</f>
        <v/>
      </c>
      <c r="T70" s="432">
        <f>SUMIF($D$207:G$242,$I70,$E$207:$E$242)</f>
        <v/>
      </c>
      <c r="U70" s="432">
        <f>SUMIF($D$161:G$205,$I70,$E$161:$E$205)</f>
        <v/>
      </c>
      <c r="V70" s="432">
        <f>SUMIF($D$121:G$159,$I70,$E$121:$E$159)</f>
        <v/>
      </c>
      <c r="W70" s="432">
        <f>SUM(K70:V70)</f>
        <v/>
      </c>
      <c r="X70" s="460">
        <f>R70/$R$77</f>
        <v/>
      </c>
      <c r="Y70" s="460">
        <f>W70/W77</f>
        <v/>
      </c>
    </row>
    <row r="71">
      <c r="I71" s="1255" t="inlineStr">
        <is>
          <t>Various</t>
        </is>
      </c>
      <c r="K71" s="432">
        <f>SUMIF(D$594:$D$663,$I71,$E$594:$E$663)</f>
        <v/>
      </c>
      <c r="L71" s="432">
        <f>SUMIF($D$520:E$593,$I71,$E$520:$E$593)</f>
        <v/>
      </c>
      <c r="M71" s="432">
        <f>SUMIF($D$456:D$519,$I71,$E$456:$E$519)</f>
        <v/>
      </c>
      <c r="N71" s="432">
        <f>SUMIF($D$417:D$454,$I71,$E$417:$E$454)</f>
        <v/>
      </c>
      <c r="O71" s="432">
        <f>SUMIF($D$377:E$414,$I71,$E$377:$E$414)</f>
        <v/>
      </c>
      <c r="P71" s="432">
        <f>SUMIF($D$348:F$375,$I71,$E$348:$E$375)</f>
        <v/>
      </c>
      <c r="Q71" s="432">
        <f>SUMIF($D$319:G$346,$I71,$E$319:$E$346)</f>
        <v/>
      </c>
      <c r="R71" s="432">
        <f>SUMIF($D$284:H$318,$I71,$E$284:$E$318)</f>
        <v/>
      </c>
      <c r="S71" s="432">
        <f>SUMIF($D$244:G$282,$I71,$E$244:$E$282)</f>
        <v/>
      </c>
      <c r="T71" s="432">
        <f>SUMIF($D$207:G$242,$I71,$E$207:$E$242)</f>
        <v/>
      </c>
      <c r="U71" s="432">
        <f>SUMIF($D$161:G$205,$I71,$E$161:$E$205)</f>
        <v/>
      </c>
      <c r="V71" s="432">
        <f>SUMIF($D$121:G$159,$I71,$E$121:$E$159)</f>
        <v/>
      </c>
      <c r="W71" s="432">
        <f>SUM(K71:V71)</f>
        <v/>
      </c>
      <c r="X71" s="460">
        <f>R71/$R$77</f>
        <v/>
      </c>
      <c r="Y71" s="460">
        <f>W71/W77</f>
        <v/>
      </c>
    </row>
    <row r="72">
      <c r="I72" s="1255" t="inlineStr">
        <is>
          <t>Bank</t>
        </is>
      </c>
      <c r="K72" s="432">
        <f>SUMIF(D$594:$D$663,$I72,$E$594:$E$663)</f>
        <v/>
      </c>
      <c r="L72" s="432">
        <f>SUMIF($D$520:E$593,$I72,$E$520:$E$593)</f>
        <v/>
      </c>
      <c r="M72" s="432">
        <f>SUMIF($D$456:D$519,$I72,$E$456:$E$519)</f>
        <v/>
      </c>
      <c r="N72" s="432">
        <f>SUMIF($D$417:D$454,$I72,$E$417:$E$454)</f>
        <v/>
      </c>
      <c r="O72" s="432">
        <f>SUMIF($D$377:E$414,$I72,$E$377:$E$414)</f>
        <v/>
      </c>
      <c r="P72" s="432">
        <f>SUMIF($D$348:F$375,$I72,$E$348:$E$375)</f>
        <v/>
      </c>
      <c r="Q72" s="432">
        <f>SUMIF($D$319:G$346,$I72,$E$319:$E$346)</f>
        <v/>
      </c>
      <c r="R72" s="432">
        <f>SUMIF($D$284:H$318,$I72,$E$284:$E$318)</f>
        <v/>
      </c>
      <c r="S72" s="432">
        <f>SUMIF($D$244:G$282,$I72,$E$244:$E$282)</f>
        <v/>
      </c>
      <c r="T72" s="432">
        <f>SUMIF($D$207:G$242,$I72,$E$207:$E$242)</f>
        <v/>
      </c>
      <c r="U72" s="432">
        <f>SUMIF($D$161:G$205,$I72,$E$161:$E$205)</f>
        <v/>
      </c>
      <c r="V72" s="432">
        <f>SUMIF($D$121:G$159,$I72,$E$121:$E$159)</f>
        <v/>
      </c>
      <c r="W72" s="432">
        <f>SUM(K72:V72)</f>
        <v/>
      </c>
      <c r="X72" s="460">
        <f>R72/$R$77</f>
        <v/>
      </c>
      <c r="Y72" s="460">
        <f>W72/W77</f>
        <v/>
      </c>
    </row>
    <row r="73">
      <c r="I73" s="1255" t="inlineStr">
        <is>
          <t>Groupon</t>
        </is>
      </c>
      <c r="K73" s="432">
        <f>SUMIF(D$594:$D$663,$I73,$E$594:$E$663)</f>
        <v/>
      </c>
      <c r="L73" s="432">
        <f>SUMIF($D$520:E$593,$I73,$E$520:$E$593)</f>
        <v/>
      </c>
      <c r="M73" s="432">
        <f>SUMIF($D$456:D$519,$I73,$E$456:$E$519)</f>
        <v/>
      </c>
      <c r="N73" s="432">
        <f>SUMIF($D$417:D$454,$I73,$E$417:$E$454)</f>
        <v/>
      </c>
      <c r="O73" s="432">
        <f>SUMIF($D$377:E$414,$I73,$E$377:$E$414)</f>
        <v/>
      </c>
      <c r="P73" s="432">
        <f>SUMIF($D$348:F$375,$I73,$E$348:$E$375)</f>
        <v/>
      </c>
      <c r="Q73" s="432">
        <f>SUMIF($D$319:G$346,$I73,$E$319:$E$346)</f>
        <v/>
      </c>
      <c r="R73" s="432">
        <f>SUMIF($D$284:H$318,$I73,$E$284:$E$318)</f>
        <v/>
      </c>
      <c r="S73" s="432">
        <f>SUMIF($D$244:G$282,$I73,$E$244:$E$282)</f>
        <v/>
      </c>
      <c r="T73" s="432">
        <f>SUMIF($D$207:G$242,$I73,$E$207:$E$242)</f>
        <v/>
      </c>
      <c r="U73" s="432">
        <f>SUMIF($D$161:G$205,$I73,$E$161:$E$205)</f>
        <v/>
      </c>
      <c r="V73" s="432">
        <f>SUMIF($D$121:G$159,$I73,$E$121:$E$159)</f>
        <v/>
      </c>
      <c r="W73" s="432">
        <f>SUM(K73:V73)</f>
        <v/>
      </c>
      <c r="X73" s="460">
        <f>R73/$R$77</f>
        <v/>
      </c>
      <c r="Y73" s="460">
        <f>W73/W77</f>
        <v/>
      </c>
    </row>
    <row r="74">
      <c r="I74" s="1255" t="inlineStr">
        <is>
          <t>Cash</t>
        </is>
      </c>
      <c r="K74" s="432">
        <f>SUMIF(D$594:$D$663,$I74,$E$594:$E$663)</f>
        <v/>
      </c>
      <c r="L74" s="432">
        <f>SUMIF($D$520:E$593,$I74,$E$520:$E$593)</f>
        <v/>
      </c>
      <c r="M74" s="432">
        <f>SUMIF($D$456:D$519,$I74,$E$456:$E$519)</f>
        <v/>
      </c>
      <c r="N74" s="432">
        <f>SUMIF($D$417:D$454,$I74,$E$417:$E$454)</f>
        <v/>
      </c>
      <c r="O74" s="432">
        <f>SUMIF($D$377:E$414,$I74,$E$377:$E$414)</f>
        <v/>
      </c>
      <c r="P74" s="432">
        <f>SUMIF($D$348:F$375,$I74,$E$348:$E$375)</f>
        <v/>
      </c>
      <c r="Q74" s="432">
        <f>SUMIF($D$319:G$346,$I74,$E$319:$E$346)</f>
        <v/>
      </c>
      <c r="R74" s="432">
        <f>SUMIF($D$284:H$318,$I74,$E$284:$E$318)</f>
        <v/>
      </c>
      <c r="S74" s="432">
        <f>SUMIF($D$244:G$282,$I74,$E$244:$E$282)</f>
        <v/>
      </c>
      <c r="T74" s="432">
        <f>SUMIF($D$207:G$242,$I74,$E$207:$E$242)</f>
        <v/>
      </c>
      <c r="U74" s="432">
        <f>SUMIF($D$161:G$205,$I74,$E$161:$E$205)</f>
        <v/>
      </c>
      <c r="V74" s="432">
        <f>SUMIF($D$121:G$159,$I74,$E$121:$E$159)</f>
        <v/>
      </c>
      <c r="W74" s="432">
        <f>SUM(K74:V74)</f>
        <v/>
      </c>
      <c r="X74" s="460">
        <f>R74/$R$77</f>
        <v/>
      </c>
      <c r="Y74" s="460">
        <f>W74/W77</f>
        <v/>
      </c>
    </row>
    <row r="75">
      <c r="I75" s="1260" t="inlineStr">
        <is>
          <t>PicknMix</t>
        </is>
      </c>
      <c r="K75" s="432">
        <f>SUMIF(D$594:$D$663,$I75,$E$594:$E$663)</f>
        <v/>
      </c>
      <c r="L75" s="432">
        <f>SUMIF($D$520:E$593,$I75,$E$520:$E$593)</f>
        <v/>
      </c>
      <c r="M75" s="432">
        <f>SUMIF($D$456:D$519,$I75,$E$456:$E$519)</f>
        <v/>
      </c>
      <c r="N75" s="432">
        <f>SUMIF($D$417:D$454,$I75,$E$417:$E$454)</f>
        <v/>
      </c>
      <c r="O75" s="432">
        <f>SUMIF($D$377:E$414,$I75,$E$377:$E$414)</f>
        <v/>
      </c>
      <c r="P75" s="432">
        <f>SUMIF($D$348:F$375,$I75,$E$348:$E$375)</f>
        <v/>
      </c>
      <c r="Q75" s="432">
        <f>SUMIF($D$319:G$346,$I75,$E$319:$E$346)</f>
        <v/>
      </c>
      <c r="R75" s="432">
        <f>SUMIF($D$284:H$318,$I75,$E$284:$E$318)</f>
        <v/>
      </c>
      <c r="S75" s="432">
        <f>SUMIF($D$244:G$282,$I75,$E$244:$E$282)</f>
        <v/>
      </c>
      <c r="T75" s="432">
        <f>SUMIF($D$207:G$242,$I75,$E$207:$E$242)</f>
        <v/>
      </c>
      <c r="U75" s="432">
        <f>SUMIF($D$161:G$205,$I75,$E$161:$E$205)</f>
        <v/>
      </c>
      <c r="V75" s="432">
        <f>SUMIF($D$121:G$159,$I75,$E$121:$E$159)</f>
        <v/>
      </c>
      <c r="W75" s="432">
        <f>SUM(K75:V75)</f>
        <v/>
      </c>
      <c r="X75" s="460">
        <f>R75/$R$77</f>
        <v/>
      </c>
      <c r="Y75" s="460">
        <f>W75/W77</f>
        <v/>
      </c>
    </row>
    <row r="76">
      <c r="I76" s="1255" t="inlineStr">
        <is>
          <t>W-Play</t>
        </is>
      </c>
      <c r="K76" s="432">
        <f>SUMIF(D$594:$D$663,$I76,$E$594:$E$663)</f>
        <v/>
      </c>
      <c r="L76" s="432">
        <f>SUMIF($D$520:E$593,$I76,$E$520:$E$593)</f>
        <v/>
      </c>
      <c r="M76" s="432">
        <f>SUMIF($D$456:D$519,$I76,$E$456:$E$519)</f>
        <v/>
      </c>
      <c r="N76" s="432">
        <f>SUMIF($D$417:D$454,$I76,$E$417:$E$454)</f>
        <v/>
      </c>
      <c r="O76" s="432">
        <f>SUMIF($D$377:E$414,$I76,$E$377:$E$414)</f>
        <v/>
      </c>
      <c r="P76" s="432">
        <f>SUMIF($D$348:F$375,$I76,$E$348:$E$375)</f>
        <v/>
      </c>
      <c r="Q76" s="432">
        <f>SUMIF($D$319:G$346,$I76,$E$319:$E$346)</f>
        <v/>
      </c>
      <c r="R76" s="432">
        <f>SUMIF($D$284:H$318,$I76,$E$284:$E$318)</f>
        <v/>
      </c>
      <c r="S76" s="432">
        <f>SUMIF($D$244:G$282,$I76,$E$244:$E$282)</f>
        <v/>
      </c>
      <c r="T76" s="432">
        <f>SUMIF($D$207:G$242,$I76,$E$207:$E$242)</f>
        <v/>
      </c>
      <c r="U76" s="432">
        <f>SUMIF($D$161:G$205,$I76,$E$161:$E$205)</f>
        <v/>
      </c>
      <c r="V76" s="432">
        <f>SUMIF($D$121:G$159,$I76,$E$121:$E$159)</f>
        <v/>
      </c>
      <c r="W76" s="432">
        <f>SUM(K76:V76)</f>
        <v/>
      </c>
      <c r="X76" s="460">
        <f>R76/$R$77</f>
        <v/>
      </c>
      <c r="Y76" s="460">
        <f>W76/W77</f>
        <v/>
      </c>
    </row>
    <row r="77" ht="13.15" customHeight="1" s="1232">
      <c r="I77" s="914" t="n"/>
      <c r="K77" s="444">
        <f>SUM(K69:K76)</f>
        <v/>
      </c>
      <c r="L77" s="444">
        <f>SUM(L69:L76)</f>
        <v/>
      </c>
      <c r="M77" s="444">
        <f>SUM(M69:M76)</f>
        <v/>
      </c>
      <c r="N77" s="444">
        <f>SUM(N69:N76)</f>
        <v/>
      </c>
      <c r="O77" s="444">
        <f>SUM(O69:O76)</f>
        <v/>
      </c>
      <c r="P77" s="444">
        <f>SUM(P69:P76)</f>
        <v/>
      </c>
      <c r="Q77" s="444">
        <f>SUM(Q69:Q76)</f>
        <v/>
      </c>
      <c r="R77" s="444">
        <f>SUM(R69:R76)</f>
        <v/>
      </c>
      <c r="S77" s="444">
        <f>SUM(S69:S76)</f>
        <v/>
      </c>
      <c r="T77" s="444">
        <f>SUM(T69:T76)</f>
        <v/>
      </c>
      <c r="U77" s="444">
        <f>SUM(U69:U76)</f>
        <v/>
      </c>
      <c r="V77" s="444">
        <f>SUM(V69:V76)</f>
        <v/>
      </c>
      <c r="W77" s="444">
        <f>SUM(W69:W76)</f>
        <v/>
      </c>
      <c r="X77" s="914" t="n"/>
      <c r="Y77" s="466" t="n"/>
    </row>
    <row r="78">
      <c r="I78" s="914" t="n"/>
      <c r="K78" s="434">
        <f>K77-K11</f>
        <v/>
      </c>
      <c r="L78" s="434">
        <f>L77-L11</f>
        <v/>
      </c>
      <c r="M78" s="434">
        <f>M77-M11</f>
        <v/>
      </c>
      <c r="N78" s="434">
        <f>N77-N11</f>
        <v/>
      </c>
      <c r="O78" s="434">
        <f>O77-O11</f>
        <v/>
      </c>
      <c r="P78" s="434">
        <f>P77-P11</f>
        <v/>
      </c>
      <c r="Q78" s="434">
        <f>Q77-Q11</f>
        <v/>
      </c>
      <c r="R78" s="434">
        <f>R77-R11</f>
        <v/>
      </c>
      <c r="S78" s="434">
        <f>S77-S11</f>
        <v/>
      </c>
      <c r="T78" s="434" t="n"/>
      <c r="U78" s="434" t="n"/>
      <c r="V78" s="434" t="n"/>
      <c r="W78" s="434" t="n"/>
      <c r="X78" s="914" t="n"/>
    </row>
    <row r="79" ht="13.15" customHeight="1" s="1232">
      <c r="I79" s="556" t="inlineStr">
        <is>
          <t>Payment Fees</t>
        </is>
      </c>
      <c r="K79" s="914" t="n"/>
      <c r="L79" s="914" t="n"/>
      <c r="M79" s="914" t="n"/>
      <c r="N79" s="914" t="n"/>
      <c r="O79" s="914" t="n"/>
      <c r="P79" s="914" t="n"/>
      <c r="Q79" s="914" t="n"/>
      <c r="R79" s="914" t="n"/>
      <c r="S79" s="914" t="n"/>
      <c r="T79" s="914" t="n"/>
      <c r="U79" s="914" t="n"/>
      <c r="V79" s="914" t="n"/>
      <c r="W79" s="914" t="n"/>
      <c r="X79" s="914" t="n"/>
    </row>
    <row r="80" ht="13.15" customHeight="1" s="1232">
      <c r="I80" s="914" t="inlineStr">
        <is>
          <t>Stripe</t>
        </is>
      </c>
      <c r="K80" s="914">
        <f>K69*3.5%</f>
        <v/>
      </c>
      <c r="L80" s="914">
        <f>L69*3.5%</f>
        <v/>
      </c>
      <c r="M80" s="914">
        <f>M69*3.5%</f>
        <v/>
      </c>
      <c r="N80" s="914">
        <f>N69*3.5%</f>
        <v/>
      </c>
      <c r="O80" s="914">
        <f>O69*3.5%</f>
        <v/>
      </c>
      <c r="P80" s="914">
        <f>P69*3.5%</f>
        <v/>
      </c>
      <c r="Q80" s="914">
        <f>Q69*3.5%</f>
        <v/>
      </c>
      <c r="R80" s="914">
        <f>R69*3.5%</f>
        <v/>
      </c>
      <c r="S80" s="914">
        <f>S69*3.5%</f>
        <v/>
      </c>
      <c r="T80" s="914">
        <f>T69*3.5%</f>
        <v/>
      </c>
      <c r="U80" s="914">
        <f>U69*3.5%</f>
        <v/>
      </c>
      <c r="V80" s="914">
        <f>V69*3.5%</f>
        <v/>
      </c>
      <c r="W80" s="432">
        <f>SUM(K80:V80)</f>
        <v/>
      </c>
      <c r="X80" s="914" t="n"/>
      <c r="Y80" s="466" t="n"/>
    </row>
    <row r="81">
      <c r="I81" s="914" t="inlineStr">
        <is>
          <t>Paypal</t>
        </is>
      </c>
      <c r="K81" s="914">
        <f>K70*3.5%</f>
        <v/>
      </c>
      <c r="L81" s="914">
        <f>L70*3.5%</f>
        <v/>
      </c>
      <c r="M81" s="914">
        <f>M70*3.5%</f>
        <v/>
      </c>
      <c r="N81" s="914">
        <f>N70*3.5%</f>
        <v/>
      </c>
      <c r="O81" s="914">
        <f>O70*3.5%</f>
        <v/>
      </c>
      <c r="P81" s="914">
        <f>P70*3.5%</f>
        <v/>
      </c>
      <c r="Q81" s="914">
        <f>Q70*3.5%</f>
        <v/>
      </c>
      <c r="R81" s="914">
        <f>R70*3.5%</f>
        <v/>
      </c>
      <c r="S81" s="914">
        <f>S70*3.5%</f>
        <v/>
      </c>
      <c r="T81" s="914">
        <f>T70*3.5%</f>
        <v/>
      </c>
      <c r="U81" s="914">
        <f>U70*3.5%</f>
        <v/>
      </c>
      <c r="V81" s="914">
        <f>V70*3.5%</f>
        <v/>
      </c>
      <c r="W81" s="432">
        <f>SUM(K81:V81)</f>
        <v/>
      </c>
      <c r="X81" s="914" t="n"/>
    </row>
    <row r="82">
      <c r="I82" s="914" t="inlineStr">
        <is>
          <t>W-Play</t>
        </is>
      </c>
      <c r="K82" s="914">
        <f>K76*3.5%</f>
        <v/>
      </c>
      <c r="L82" s="914">
        <f>L76*3.5%</f>
        <v/>
      </c>
      <c r="M82" s="914">
        <f>M76*3.5%</f>
        <v/>
      </c>
      <c r="N82" s="914">
        <f>N76*3.5%</f>
        <v/>
      </c>
      <c r="O82" s="914">
        <f>O76*3.5%</f>
        <v/>
      </c>
      <c r="P82" s="914">
        <f>P76*3.5%</f>
        <v/>
      </c>
      <c r="Q82" s="914">
        <f>Q76*3.5%</f>
        <v/>
      </c>
      <c r="R82" s="914">
        <f>R76*3.5%</f>
        <v/>
      </c>
      <c r="S82" s="914">
        <f>S76*3.5%</f>
        <v/>
      </c>
      <c r="T82" s="914">
        <f>T76*3.5%</f>
        <v/>
      </c>
      <c r="U82" s="914">
        <f>U71*3.5%</f>
        <v/>
      </c>
      <c r="V82" s="914">
        <f>V71*3.5%</f>
        <v/>
      </c>
      <c r="W82" s="432">
        <f>SUM(K82:V82)</f>
        <v/>
      </c>
      <c r="X82" s="914" t="n"/>
    </row>
    <row r="83" ht="13.15" customHeight="1" s="1232">
      <c r="I83" s="444" t="inlineStr">
        <is>
          <t>Total Fees</t>
        </is>
      </c>
      <c r="K83" s="444">
        <f>SUM(K79:K82)</f>
        <v/>
      </c>
      <c r="L83" s="444">
        <f>SUM(L79:L82)</f>
        <v/>
      </c>
      <c r="M83" s="444">
        <f>SUM(M79:M82)</f>
        <v/>
      </c>
      <c r="N83" s="444">
        <f>SUM(N79:N82)</f>
        <v/>
      </c>
      <c r="O83" s="444">
        <f>SUM(O79:O82)</f>
        <v/>
      </c>
      <c r="P83" s="444">
        <f>SUM(P79:P82)</f>
        <v/>
      </c>
      <c r="Q83" s="444">
        <f>SUM(Q79:Q82)</f>
        <v/>
      </c>
      <c r="R83" s="444">
        <f>SUM(R79:R82)</f>
        <v/>
      </c>
      <c r="S83" s="444">
        <f>SUM(S79:S82)</f>
        <v/>
      </c>
      <c r="T83" s="444">
        <f>SUM(T79:T82)</f>
        <v/>
      </c>
      <c r="U83" s="444">
        <f>SUM(U79:U82)</f>
        <v/>
      </c>
      <c r="V83" s="444">
        <f>SUM(V79:V82)</f>
        <v/>
      </c>
      <c r="W83" s="432">
        <f>SUM(K83:V83)</f>
        <v/>
      </c>
      <c r="X83" s="914" t="n"/>
    </row>
    <row r="84">
      <c r="I84" s="914" t="n"/>
      <c r="K84" s="914" t="n"/>
      <c r="L84" s="914" t="n"/>
      <c r="M84" s="914" t="n"/>
      <c r="N84" s="914" t="n"/>
      <c r="O84" s="914" t="n"/>
      <c r="P84" s="914" t="n"/>
      <c r="Q84" s="914" t="n"/>
      <c r="R84" s="914" t="n"/>
      <c r="S84" s="914" t="n"/>
      <c r="T84" s="914" t="n"/>
      <c r="U84" s="914" t="n"/>
      <c r="V84" s="914" t="n"/>
      <c r="W84" s="432">
        <f>SUM(K84:V84)</f>
        <v/>
      </c>
      <c r="X84" s="914" t="n"/>
    </row>
    <row r="85" ht="13.15" customHeight="1" s="1232">
      <c r="I85" s="444" t="inlineStr">
        <is>
          <t>Cash</t>
        </is>
      </c>
      <c r="K85" s="444">
        <f>K77-K83</f>
        <v/>
      </c>
      <c r="L85" s="444">
        <f>L77-L83</f>
        <v/>
      </c>
      <c r="M85" s="444">
        <f>M77-M83</f>
        <v/>
      </c>
      <c r="N85" s="444">
        <f>N77-N83</f>
        <v/>
      </c>
      <c r="O85" s="444">
        <f>O77-O83</f>
        <v/>
      </c>
      <c r="P85" s="444">
        <f>P77-P83</f>
        <v/>
      </c>
      <c r="Q85" s="444">
        <f>Q77-Q83</f>
        <v/>
      </c>
      <c r="R85" s="444">
        <f>R77-R83</f>
        <v/>
      </c>
      <c r="S85" s="444">
        <f>S77-S83</f>
        <v/>
      </c>
      <c r="T85" s="444">
        <f>T77-T83</f>
        <v/>
      </c>
      <c r="U85" s="444">
        <f>U77-U83</f>
        <v/>
      </c>
      <c r="V85" s="444">
        <f>V77-V83</f>
        <v/>
      </c>
      <c r="W85" s="554">
        <f>SUM(K85:V85)</f>
        <v/>
      </c>
      <c r="X85" s="914" t="n"/>
    </row>
    <row r="86">
      <c r="I86" s="914" t="n"/>
      <c r="K86" s="914" t="n"/>
      <c r="L86" s="914" t="n"/>
      <c r="M86" s="914" t="n"/>
      <c r="N86" s="914" t="n"/>
      <c r="O86" s="914" t="n"/>
      <c r="P86" s="914" t="n"/>
      <c r="Q86" s="914" t="n"/>
      <c r="R86" s="914" t="n"/>
      <c r="S86" s="914" t="n"/>
      <c r="T86" s="914" t="n"/>
      <c r="U86" s="914" t="n"/>
      <c r="V86" s="914" t="n"/>
      <c r="W86" s="914" t="n"/>
      <c r="X86" s="914" t="n"/>
    </row>
    <row r="87">
      <c r="K87" s="914" t="n"/>
      <c r="L87" s="914" t="n"/>
      <c r="M87" s="914" t="n"/>
      <c r="N87" s="914" t="n"/>
      <c r="O87" s="914" t="n"/>
      <c r="P87" s="914" t="n"/>
      <c r="Q87" s="914" t="n"/>
      <c r="R87" s="914" t="n"/>
      <c r="S87" s="914" t="n"/>
      <c r="T87" s="914" t="n"/>
      <c r="U87" s="914" t="n"/>
      <c r="V87" s="914" t="n"/>
      <c r="W87" s="914" t="n"/>
      <c r="X87" s="914" t="n"/>
    </row>
    <row r="88" ht="13.15" customHeight="1" s="1232">
      <c r="I88" s="556" t="inlineStr">
        <is>
          <t>Booking source</t>
        </is>
      </c>
      <c r="K88" s="1332" t="inlineStr">
        <is>
          <t>Jan</t>
        </is>
      </c>
      <c r="L88" s="1332" t="inlineStr">
        <is>
          <t>Feb</t>
        </is>
      </c>
      <c r="M88" s="1332" t="inlineStr">
        <is>
          <t>Mar</t>
        </is>
      </c>
      <c r="N88" s="1332" t="inlineStr">
        <is>
          <t>Apr</t>
        </is>
      </c>
      <c r="O88" s="1332" t="inlineStr">
        <is>
          <t>May</t>
        </is>
      </c>
      <c r="P88" s="1332" t="inlineStr">
        <is>
          <t>Jun</t>
        </is>
      </c>
      <c r="Q88" s="1332" t="inlineStr">
        <is>
          <t>Jul</t>
        </is>
      </c>
      <c r="R88" s="1332" t="inlineStr">
        <is>
          <t>Aug</t>
        </is>
      </c>
      <c r="S88" s="1332" t="inlineStr">
        <is>
          <t>Sep</t>
        </is>
      </c>
      <c r="T88" s="1332" t="inlineStr">
        <is>
          <t>Oct</t>
        </is>
      </c>
      <c r="U88" s="1332" t="inlineStr">
        <is>
          <t>Nov</t>
        </is>
      </c>
      <c r="V88" s="1332" t="inlineStr">
        <is>
          <t>Dec</t>
        </is>
      </c>
      <c r="W88" s="1332" t="inlineStr">
        <is>
          <t>Year</t>
        </is>
      </c>
      <c r="X88" s="1278" t="inlineStr">
        <is>
          <t>Split</t>
        </is>
      </c>
    </row>
    <row r="89">
      <c r="I89" s="1255" t="inlineStr">
        <is>
          <t>Google</t>
        </is>
      </c>
      <c r="K89" s="432">
        <f>SUMIF($G$594:$G$663,$I89,$E$594:$E$663)</f>
        <v/>
      </c>
      <c r="L89" s="432">
        <f>SUMIF($G$520:$G$593,$I89,$E$520:$E$593)</f>
        <v/>
      </c>
      <c r="M89" s="432">
        <f>SUMIF($G$456:$G$519,$I89,$E$456:$E$519)</f>
        <v/>
      </c>
      <c r="N89" s="432">
        <f>SUMIF($G$417:$G$454,$I89,$E$417:$E$454)</f>
        <v/>
      </c>
      <c r="O89" s="432">
        <f>SUMIF($G$377:$G$414,$I89,$E$377:$E$414)</f>
        <v/>
      </c>
      <c r="P89" s="432">
        <f>SUMIF($G$348:$G$375,$I89,$E$348:$E$375)</f>
        <v/>
      </c>
      <c r="Q89" s="432">
        <f>SUMIF($G$319:$G$346,$I89,$E$319:$E$346)</f>
        <v/>
      </c>
      <c r="R89" s="432">
        <f>SUMIF($G$284:$G$317,$I89,$E$284:$E$317)</f>
        <v/>
      </c>
      <c r="S89" s="432">
        <f>SUMIF($G$244:$G$282,$I89,$E$244:$E$282)</f>
        <v/>
      </c>
      <c r="T89" s="432">
        <f>SUMIF($G$207:$G$242,$I89,$E$207:$E$242)</f>
        <v/>
      </c>
      <c r="U89" s="432">
        <f>SUMIF($G$161:$G$205,$I89,$E$161:$E$205)</f>
        <v/>
      </c>
      <c r="V89" s="432">
        <f>SUMIF($G$121:$G$159,$I89,$E$121:$E$159)</f>
        <v/>
      </c>
      <c r="W89" s="432">
        <f>SUM(K89:V89)</f>
        <v/>
      </c>
      <c r="X89" s="460">
        <f>IFERROR(W89/$W$96,0)</f>
        <v/>
      </c>
    </row>
    <row r="90">
      <c r="I90" s="1255" t="inlineStr">
        <is>
          <t>Existing</t>
        </is>
      </c>
      <c r="K90" s="432">
        <f>SUMIF($G$594:$G$663,$I90,$E$594:$E$663)</f>
        <v/>
      </c>
      <c r="L90" s="432">
        <f>SUMIF($G$520:$G$593,$I90,$E$520:$E$593)</f>
        <v/>
      </c>
      <c r="M90" s="432">
        <f>SUMIF($G$456:$G$519,$I90,$E$456:$E$519)</f>
        <v/>
      </c>
      <c r="N90" s="432">
        <f>SUMIF($G$417:$G$454,$I90,$E$417:$E$454)</f>
        <v/>
      </c>
      <c r="O90" s="432">
        <f>SUMIF($G$377:$G$414,$I90,$E$377:$E$414)</f>
        <v/>
      </c>
      <c r="P90" s="432">
        <f>SUMIF($G$348:$G$375,$I90,$E$348:$E$375)</f>
        <v/>
      </c>
      <c r="Q90" s="432">
        <f>SUMIF($G$319:$G$346,$I90,$E$319:$E$346)</f>
        <v/>
      </c>
      <c r="R90" s="432">
        <f>SUMIF($G$284:$G$317,$I90,$E$284:$E$317)</f>
        <v/>
      </c>
      <c r="S90" s="432">
        <f>SUMIF($G$244:$G$282,$I90,$E$244:$E$282)</f>
        <v/>
      </c>
      <c r="T90" s="432">
        <f>SUMIF($G$207:$G$242,$I90,$E$207:$E$242)</f>
        <v/>
      </c>
      <c r="U90" s="432">
        <f>SUMIF($G$161:$G$205,$I90,$E$161:$E$205)</f>
        <v/>
      </c>
      <c r="V90" s="432">
        <f>SUMIF($G$121:$G$159,$I90,$E$121:$E$159)</f>
        <v/>
      </c>
      <c r="W90" s="432">
        <f>SUM(K90:V90)</f>
        <v/>
      </c>
      <c r="X90" s="460">
        <f>IFERROR(W90/$W$96,0)</f>
        <v/>
      </c>
    </row>
    <row r="91">
      <c r="I91" s="1255" t="inlineStr">
        <is>
          <t>ELS</t>
        </is>
      </c>
      <c r="K91" s="432">
        <f>SUMIF($G$594:$G$663,$I91,$E$594:$E$663)</f>
        <v/>
      </c>
      <c r="L91" s="432">
        <f>SUMIF($G$520:$G$593,$I91,$E$520:$E$593)</f>
        <v/>
      </c>
      <c r="M91" s="432">
        <f>SUMIF($G$456:$G$519,$I91,$E$456:$E$519)</f>
        <v/>
      </c>
      <c r="N91" s="432">
        <f>SUMIF($G$417:$G$454,$I91,$E$417:$E$454)</f>
        <v/>
      </c>
      <c r="O91" s="432">
        <f>SUMIF($G$377:$G$414,$I91,$E$377:$E$414)</f>
        <v/>
      </c>
      <c r="P91" s="432">
        <f>SUMIF($G$348:$G$375,$I91,$E$348:$E$375)</f>
        <v/>
      </c>
      <c r="Q91" s="432">
        <f>SUMIF($G$319:$G$346,$I91,$E$319:$E$346)</f>
        <v/>
      </c>
      <c r="R91" s="432">
        <f>SUMIF($G$284:$G$317,$I91,$E$284:$E$317)</f>
        <v/>
      </c>
      <c r="S91" s="432">
        <f>SUMIF($G$244:$G$282,$I91,$E$244:$E$282)</f>
        <v/>
      </c>
      <c r="T91" s="432">
        <f>SUMIF($G$207:$G$242,$I91,$E$207:$E$242)</f>
        <v/>
      </c>
      <c r="U91" s="432">
        <f>SUMIF($G$161:$G$205,$I91,$E$161:$E$205)</f>
        <v/>
      </c>
      <c r="V91" s="432">
        <f>SUMIF($G$121:$G$159,$I91,$E$121:$E$159)</f>
        <v/>
      </c>
      <c r="W91" s="432">
        <f>SUM(K91:V91)</f>
        <v/>
      </c>
      <c r="X91" s="460">
        <f>IFERROR(W91/$W$96,0)</f>
        <v/>
      </c>
    </row>
    <row r="92">
      <c r="I92" s="1255" t="inlineStr">
        <is>
          <t>Groupon</t>
        </is>
      </c>
      <c r="K92" s="432">
        <f>SUMIF($G$594:$G$663,$I92,$E$594:$E$663)</f>
        <v/>
      </c>
      <c r="L92" s="432">
        <f>SUMIF($G$520:$G$593,$I92,$E$520:$E$593)</f>
        <v/>
      </c>
      <c r="M92" s="432">
        <f>SUMIF($G$456:$G$519,$I92,$E$456:$E$519)</f>
        <v/>
      </c>
      <c r="N92" s="432">
        <f>SUMIF($G$417:$G$454,$I92,$E$417:$E$454)</f>
        <v/>
      </c>
      <c r="O92" s="432">
        <f>SUMIF($G$377:$G$414,$I92,$E$377:$E$414)</f>
        <v/>
      </c>
      <c r="P92" s="432">
        <f>SUMIF($G$348:$G$375,$I92,$E$348:$E$375)</f>
        <v/>
      </c>
      <c r="Q92" s="432">
        <f>SUMIF($G$319:$G$346,$I92,$E$319:$E$346)</f>
        <v/>
      </c>
      <c r="R92" s="432">
        <f>SUMIF($G$284:$G$317,$I92,$E$284:$E$317)</f>
        <v/>
      </c>
      <c r="S92" s="432">
        <f>SUMIF($G$244:$G$282,$I92,$E$244:$E$282)</f>
        <v/>
      </c>
      <c r="T92" s="432">
        <f>SUMIF($G$207:$G$242,$I92,$E$207:$E$242)</f>
        <v/>
      </c>
      <c r="U92" s="432">
        <f>SUMIF($G$161:$G$205,$I92,$E$161:$E$205)</f>
        <v/>
      </c>
      <c r="V92" s="432">
        <f>SUMIF($G$121:$G$159,$I92,$E$121:$E$159)</f>
        <v/>
      </c>
      <c r="W92" s="432">
        <f>SUM(K92:V92)</f>
        <v/>
      </c>
      <c r="X92" s="460">
        <f>IFERROR(W92/$W$96,0)</f>
        <v/>
      </c>
    </row>
    <row r="93">
      <c r="I93" s="1255" t="inlineStr">
        <is>
          <t>Batsford</t>
        </is>
      </c>
      <c r="K93" s="432">
        <f>SUMIF($G$594:$G$663,$I93,$E$594:$E$663)</f>
        <v/>
      </c>
      <c r="L93" s="432">
        <f>SUMIF($G$520:$G$593,$I93,$E$520:$E$593)</f>
        <v/>
      </c>
      <c r="M93" s="432">
        <f>SUMIF($G$456:$G$519,$I93,$E$456:$E$519)</f>
        <v/>
      </c>
      <c r="N93" s="432">
        <f>SUMIF($G$417:$G$454,$I93,$E$417:$E$454)</f>
        <v/>
      </c>
      <c r="O93" s="432">
        <f>SUMIF($G$377:$G$414,$I93,$E$377:$E$414)</f>
        <v/>
      </c>
      <c r="P93" s="432">
        <f>SUMIF($G$348:$G$375,$I93,$E$348:$E$375)</f>
        <v/>
      </c>
      <c r="Q93" s="432">
        <f>SUMIF($G$319:$G$346,$I93,$E$319:$E$346)</f>
        <v/>
      </c>
      <c r="R93" s="432">
        <f>SUMIF($G$284:$G$317,$I93,$E$284:$E$317)</f>
        <v/>
      </c>
      <c r="S93" s="432">
        <f>SUMIF($G$244:$G$282,$I93,$E$244:$E$282)</f>
        <v/>
      </c>
      <c r="T93" s="432">
        <f>SUMIF($G$207:$G$242,$I93,$E$207:$E$242)</f>
        <v/>
      </c>
      <c r="U93" s="432">
        <f>SUMIF($G$161:$G$205,$I93,$E$161:$E$205)</f>
        <v/>
      </c>
      <c r="V93" s="432">
        <f>SUMIF($G$121:$G$159,$I93,$E$121:$E$159)</f>
        <v/>
      </c>
      <c r="W93" s="432">
        <f>SUM(K93:V93)</f>
        <v/>
      </c>
      <c r="X93" s="460">
        <f>IFERROR(W93/$W$96,0)</f>
        <v/>
      </c>
    </row>
    <row r="94">
      <c r="I94" s="1260" t="inlineStr">
        <is>
          <t>Facebook</t>
        </is>
      </c>
      <c r="K94" s="432">
        <f>SUMIF($G$594:$G$663,$I94,$E$594:$E$663)</f>
        <v/>
      </c>
      <c r="L94" s="432">
        <f>SUMIF($G$520:$G$593,$I94,$E$520:$E$593)</f>
        <v/>
      </c>
      <c r="M94" s="432">
        <f>SUMIF($G$456:$G$519,$I94,$E$456:$E$519)</f>
        <v/>
      </c>
      <c r="N94" s="432">
        <f>SUMIF($G$417:$G$454,$I94,$E$417:$E$454)</f>
        <v/>
      </c>
      <c r="O94" s="432">
        <f>SUMIF($G$377:$G$414,$I94,$E$377:$E$414)</f>
        <v/>
      </c>
      <c r="P94" s="432">
        <f>SUMIF($G$348:$G$375,$I94,$E$348:$E$375)</f>
        <v/>
      </c>
      <c r="Q94" s="432">
        <f>SUMIF($G$319:$G$346,$I94,$E$319:$E$346)</f>
        <v/>
      </c>
      <c r="R94" s="432">
        <f>SUMIF($G$284:$G$317,$I94,$E$284:$E$317)</f>
        <v/>
      </c>
      <c r="S94" s="432">
        <f>SUMIF($G$244:$G$282,$I94,$E$244:$E$282)</f>
        <v/>
      </c>
      <c r="T94" s="432">
        <f>SUMIF($G$207:$G$242,$I94,$E$207:$E$242)</f>
        <v/>
      </c>
      <c r="U94" s="432">
        <f>SUMIF($G$161:$G$205,$I94,$E$161:$E$205)</f>
        <v/>
      </c>
      <c r="V94" s="432">
        <f>SUMIF($G$121:$G$159,$I94,$E$121:$E$159)</f>
        <v/>
      </c>
      <c r="W94" s="432">
        <f>SUM(K94:V94)</f>
        <v/>
      </c>
      <c r="X94" s="460">
        <f>IFERROR(W94/$W$96,0)</f>
        <v/>
      </c>
    </row>
    <row r="95">
      <c r="I95" s="1255" t="inlineStr">
        <is>
          <t>Other</t>
        </is>
      </c>
      <c r="K95" s="432">
        <f>SUMIF($G$594:$G$663,$I95,$E$594:$E$663)</f>
        <v/>
      </c>
      <c r="L95" s="432">
        <f>SUMIF($G$520:$G$593,$I95,$E$520:$E$593)</f>
        <v/>
      </c>
      <c r="M95" s="432">
        <f>SUMIF($G$456:$G$519,$I95,$E$456:$E$519)</f>
        <v/>
      </c>
      <c r="N95" s="432">
        <f>SUMIF($G$417:$G$454,$I95,$E$417:$E$454)</f>
        <v/>
      </c>
      <c r="O95" s="432">
        <f>SUMIF($G$377:$G$414,$I95,$E$377:$E$414)</f>
        <v/>
      </c>
      <c r="P95" s="432">
        <f>SUMIF($G$348:$G$375,$I95,$E$348:$E$375)</f>
        <v/>
      </c>
      <c r="Q95" s="432">
        <f>SUMIF($G$319:$G$346,$I95,$E$319:$E$346)</f>
        <v/>
      </c>
      <c r="R95" s="432">
        <f>SUMIF($G$284:$G$317,$I95,$E$284:$E$317)</f>
        <v/>
      </c>
      <c r="S95" s="432">
        <f>SUMIF($G$244:$G$282,$I95,$E$244:$E$282)</f>
        <v/>
      </c>
      <c r="T95" s="432">
        <f>SUMIF($G$207:$G$242,$I95,$E$207:$E$242)</f>
        <v/>
      </c>
      <c r="U95" s="432">
        <f>SUMIF($G$161:$G$205,$I95,$E$161:$E$205)</f>
        <v/>
      </c>
      <c r="V95" s="432">
        <f>SUMIF($G$121:$G$159,$I95,$E$121:$E$159)</f>
        <v/>
      </c>
      <c r="W95" s="432">
        <f>SUM(K95:V95)</f>
        <v/>
      </c>
      <c r="X95" s="460">
        <f>IFERROR(W95/$W$96,0)</f>
        <v/>
      </c>
    </row>
    <row r="96" ht="13.15" customHeight="1" s="1232">
      <c r="I96" s="914" t="n"/>
      <c r="K96" s="444">
        <f>SUM(K89:K95)</f>
        <v/>
      </c>
      <c r="L96" s="444">
        <f>SUM(L89:L95)</f>
        <v/>
      </c>
      <c r="M96" s="444">
        <f>SUM(M89:M95)</f>
        <v/>
      </c>
      <c r="N96" s="444">
        <f>SUM(N89:N95)</f>
        <v/>
      </c>
      <c r="O96" s="444">
        <f>SUM(O89:O95)</f>
        <v/>
      </c>
      <c r="P96" s="444">
        <f>SUM(P89:P95)</f>
        <v/>
      </c>
      <c r="Q96" s="444">
        <f>SUM(Q89:Q95)</f>
        <v/>
      </c>
      <c r="R96" s="444">
        <f>SUM(R89:R95)</f>
        <v/>
      </c>
      <c r="S96" s="444">
        <f>SUM(S89:S95)</f>
        <v/>
      </c>
      <c r="T96" s="444">
        <f>SUM(T89:T95)</f>
        <v/>
      </c>
      <c r="U96" s="444">
        <f>SUM(U89:U95)</f>
        <v/>
      </c>
      <c r="V96" s="444">
        <f>SUM(V89:V95)</f>
        <v/>
      </c>
      <c r="W96" s="444">
        <f>SUM(W89:W95)</f>
        <v/>
      </c>
      <c r="X96" s="460">
        <f>IFERROR(W96/$W$96,0)</f>
        <v/>
      </c>
    </row>
    <row r="97">
      <c r="J97" s="914" t="n"/>
      <c r="K97" s="914">
        <f>K77-K96</f>
        <v/>
      </c>
      <c r="L97" s="914">
        <f>L77-L96</f>
        <v/>
      </c>
      <c r="M97" s="914">
        <f>M77-M96</f>
        <v/>
      </c>
      <c r="N97" s="914">
        <f>N77-N96</f>
        <v/>
      </c>
      <c r="O97" s="914">
        <f>O77-O96</f>
        <v/>
      </c>
      <c r="P97" s="914">
        <f>P77-P96</f>
        <v/>
      </c>
      <c r="Q97" s="914">
        <f>Q77-Q96</f>
        <v/>
      </c>
      <c r="R97" s="914">
        <f>R77-R96</f>
        <v/>
      </c>
      <c r="S97" s="914">
        <f>S77-S96</f>
        <v/>
      </c>
      <c r="T97" s="914">
        <f>T77-T96</f>
        <v/>
      </c>
      <c r="U97" s="914">
        <f>U77-U96</f>
        <v/>
      </c>
      <c r="V97" s="914">
        <f>V77-V96</f>
        <v/>
      </c>
      <c r="W97" s="914">
        <f>W77-W96</f>
        <v/>
      </c>
      <c r="X97" s="914" t="n"/>
    </row>
    <row r="98" ht="13.15" customHeight="1" s="1232">
      <c r="I98" s="556" t="inlineStr">
        <is>
          <t>Booking source  £</t>
        </is>
      </c>
      <c r="K98" s="1332" t="inlineStr">
        <is>
          <t>Jan</t>
        </is>
      </c>
      <c r="L98" s="1332" t="inlineStr">
        <is>
          <t>Feb</t>
        </is>
      </c>
      <c r="M98" s="1332" t="inlineStr">
        <is>
          <t>Mar</t>
        </is>
      </c>
      <c r="N98" s="1332" t="inlineStr">
        <is>
          <t>Apr</t>
        </is>
      </c>
      <c r="O98" s="1332" t="inlineStr">
        <is>
          <t>May</t>
        </is>
      </c>
      <c r="P98" s="1332" t="inlineStr">
        <is>
          <t>Jun</t>
        </is>
      </c>
      <c r="Q98" s="1332" t="inlineStr">
        <is>
          <t>Jul</t>
        </is>
      </c>
      <c r="R98" s="1332" t="inlineStr">
        <is>
          <t>Aug</t>
        </is>
      </c>
      <c r="S98" s="1332" t="inlineStr">
        <is>
          <t>Sep</t>
        </is>
      </c>
      <c r="T98" s="1332" t="inlineStr">
        <is>
          <t>Oct</t>
        </is>
      </c>
      <c r="U98" s="1332" t="inlineStr">
        <is>
          <t>Nov</t>
        </is>
      </c>
      <c r="V98" s="1332" t="inlineStr">
        <is>
          <t>Dec</t>
        </is>
      </c>
      <c r="W98" s="1332" t="inlineStr">
        <is>
          <t>Year</t>
        </is>
      </c>
      <c r="X98" s="1278" t="inlineStr">
        <is>
          <t>Split</t>
        </is>
      </c>
    </row>
    <row r="99" ht="13.15" customHeight="1" s="1232">
      <c r="I99" s="444" t="inlineStr">
        <is>
          <t>New Clients</t>
        </is>
      </c>
      <c r="K99" s="914">
        <f>SUM(K96-K90)</f>
        <v/>
      </c>
      <c r="L99" s="914">
        <f>SUM(L96-L90)</f>
        <v/>
      </c>
      <c r="M99" s="914">
        <f>SUM(M96-M90)</f>
        <v/>
      </c>
      <c r="N99" s="914">
        <f>SUM(N96-N90)</f>
        <v/>
      </c>
      <c r="O99" s="914">
        <f>SUM(O96-O90)</f>
        <v/>
      </c>
      <c r="P99" s="914">
        <f>SUM(P96-P90)</f>
        <v/>
      </c>
      <c r="Q99" s="914">
        <f>SUM(Q96-Q90)</f>
        <v/>
      </c>
      <c r="R99" s="914">
        <f>SUM(R96-R90)</f>
        <v/>
      </c>
      <c r="S99" s="914">
        <f>SUM(S96-S90)</f>
        <v/>
      </c>
      <c r="T99" s="914">
        <f>SUM(T96-T90)</f>
        <v/>
      </c>
      <c r="U99" s="914">
        <f>SUM(U96-U90)</f>
        <v/>
      </c>
      <c r="V99" s="914">
        <f>SUM(V96-V90)</f>
        <v/>
      </c>
      <c r="W99" s="554">
        <f>SUM(K99:V99)</f>
        <v/>
      </c>
      <c r="X99" s="475">
        <f>W99/W101</f>
        <v/>
      </c>
    </row>
    <row r="100" ht="13.15" customHeight="1" s="1232">
      <c r="I100" s="444" t="inlineStr">
        <is>
          <t>Existing Clients</t>
        </is>
      </c>
      <c r="K100" s="914">
        <f>K90</f>
        <v/>
      </c>
      <c r="L100" s="914">
        <f>L90</f>
        <v/>
      </c>
      <c r="M100" s="914">
        <f>M90</f>
        <v/>
      </c>
      <c r="N100" s="914">
        <f>N90</f>
        <v/>
      </c>
      <c r="O100" s="914">
        <f>O90</f>
        <v/>
      </c>
      <c r="P100" s="914">
        <f>P90</f>
        <v/>
      </c>
      <c r="Q100" s="914">
        <f>Q90</f>
        <v/>
      </c>
      <c r="R100" s="914">
        <f>R90</f>
        <v/>
      </c>
      <c r="S100" s="914">
        <f>S90</f>
        <v/>
      </c>
      <c r="T100" s="914">
        <f>T90</f>
        <v/>
      </c>
      <c r="U100" s="914">
        <f>U90</f>
        <v/>
      </c>
      <c r="V100" s="914">
        <f>V90</f>
        <v/>
      </c>
      <c r="W100" s="562">
        <f>SUM(K100:V100)</f>
        <v/>
      </c>
      <c r="X100" s="475">
        <f>W100/W101</f>
        <v/>
      </c>
    </row>
    <row r="101" ht="13.15" customHeight="1" s="1232">
      <c r="I101" s="444" t="n"/>
      <c r="K101" s="563">
        <f>K99+K100</f>
        <v/>
      </c>
      <c r="L101" s="563">
        <f>L99+L100</f>
        <v/>
      </c>
      <c r="M101" s="563">
        <f>M99+M100</f>
        <v/>
      </c>
      <c r="N101" s="563">
        <f>N99+N100</f>
        <v/>
      </c>
      <c r="O101" s="563">
        <f>O99+O100</f>
        <v/>
      </c>
      <c r="P101" s="563">
        <f>P99+P100</f>
        <v/>
      </c>
      <c r="Q101" s="563">
        <f>Q99+Q100</f>
        <v/>
      </c>
      <c r="R101" s="563">
        <f>R99+R100</f>
        <v/>
      </c>
      <c r="S101" s="563">
        <f>S99+S100</f>
        <v/>
      </c>
      <c r="T101" s="563">
        <f>T99+T100</f>
        <v/>
      </c>
      <c r="U101" s="563">
        <f>U99+U100</f>
        <v/>
      </c>
      <c r="V101" s="563">
        <f>V99+V100</f>
        <v/>
      </c>
      <c r="W101" s="563">
        <f>W99+W100</f>
        <v/>
      </c>
      <c r="X101" s="564" t="n"/>
    </row>
    <row r="102">
      <c r="J102" s="914" t="n"/>
      <c r="K102" s="914" t="n"/>
      <c r="L102" s="914" t="n"/>
      <c r="M102" s="914" t="n"/>
      <c r="N102" s="914" t="n"/>
      <c r="O102" s="914" t="n"/>
      <c r="P102" s="914" t="n"/>
      <c r="Q102" s="914" t="n"/>
      <c r="R102" s="914" t="n"/>
      <c r="S102" s="914" t="n"/>
      <c r="T102" s="914" t="n"/>
      <c r="U102" s="914" t="n"/>
      <c r="V102" s="914" t="n"/>
      <c r="W102" s="914" t="n"/>
      <c r="X102" s="914" t="n"/>
    </row>
    <row r="103" ht="13.15" customHeight="1" s="1232">
      <c r="I103" s="556" t="inlineStr">
        <is>
          <t>Booking source  Units</t>
        </is>
      </c>
      <c r="K103" s="1332" t="inlineStr">
        <is>
          <t>Jan</t>
        </is>
      </c>
      <c r="L103" s="1332" t="inlineStr">
        <is>
          <t>Feb</t>
        </is>
      </c>
      <c r="M103" s="1332" t="inlineStr">
        <is>
          <t>Mar</t>
        </is>
      </c>
      <c r="N103" s="1332" t="inlineStr">
        <is>
          <t>Apr</t>
        </is>
      </c>
      <c r="O103" s="1332" t="inlineStr">
        <is>
          <t>May</t>
        </is>
      </c>
      <c r="P103" s="1332" t="inlineStr">
        <is>
          <t>Jun</t>
        </is>
      </c>
      <c r="Q103" s="1332" t="inlineStr">
        <is>
          <t>Jul</t>
        </is>
      </c>
      <c r="R103" s="1332" t="inlineStr">
        <is>
          <t>Aug</t>
        </is>
      </c>
      <c r="S103" s="1332" t="inlineStr">
        <is>
          <t>Sep</t>
        </is>
      </c>
      <c r="T103" s="1332" t="inlineStr">
        <is>
          <t>Oct</t>
        </is>
      </c>
      <c r="U103" s="1332" t="inlineStr">
        <is>
          <t>Nov</t>
        </is>
      </c>
      <c r="V103" s="1332" t="inlineStr">
        <is>
          <t>Dec</t>
        </is>
      </c>
      <c r="W103" s="1332" t="inlineStr">
        <is>
          <t>Year</t>
        </is>
      </c>
      <c r="X103" s="1278" t="inlineStr">
        <is>
          <t>Split</t>
        </is>
      </c>
    </row>
    <row r="104" ht="13.15" customHeight="1" s="1232">
      <c r="I104" s="444" t="inlineStr">
        <is>
          <t>New Clients</t>
        </is>
      </c>
      <c r="K104" s="914">
        <f>COUNTA(G594:G663)-K105</f>
        <v/>
      </c>
      <c r="L104" s="914">
        <f>COUNTA(G520:G592)-L105</f>
        <v/>
      </c>
      <c r="M104" s="914">
        <f>COUNTA(G456:G519)-M105</f>
        <v/>
      </c>
      <c r="N104" s="914">
        <f>COUNTA(G373:G454)-N105</f>
        <v/>
      </c>
      <c r="O104" s="914">
        <f>COUNTA(G373:G414)-O105</f>
        <v/>
      </c>
      <c r="P104" s="914">
        <f>COUNTA(G348:G375)-P105</f>
        <v/>
      </c>
      <c r="Q104" s="914">
        <f>COUNTA(G319:G346)-Q105</f>
        <v/>
      </c>
      <c r="R104" s="914">
        <f>COUNTA(G284:G317)-R105</f>
        <v/>
      </c>
      <c r="S104" s="914">
        <f>COUNTA(G244:G282)-S105</f>
        <v/>
      </c>
      <c r="T104" s="914">
        <f>COUNTA(G207:G242)-T105</f>
        <v/>
      </c>
      <c r="U104" s="914">
        <f>COUNTA(G161:G205)-U105</f>
        <v/>
      </c>
      <c r="V104" s="914">
        <f>COUNTA(G121:G159)-V105</f>
        <v/>
      </c>
      <c r="W104" s="554">
        <f>SUM(K104:V104)</f>
        <v/>
      </c>
      <c r="X104" s="475">
        <f>W104/W106</f>
        <v/>
      </c>
    </row>
    <row r="105" ht="13.15" customHeight="1" s="1232">
      <c r="I105" s="444" t="inlineStr">
        <is>
          <t>Existing Clients</t>
        </is>
      </c>
      <c r="K105" s="914">
        <f>COUNTIF(G594:G663,"Existing")</f>
        <v/>
      </c>
      <c r="L105" s="914">
        <f>COUNTIF(G520:G592,"Existing")</f>
        <v/>
      </c>
      <c r="M105" s="914">
        <f>COUNTIF(G456:G519,"Existing")</f>
        <v/>
      </c>
      <c r="N105" s="914">
        <f>COUNTIF(G373:G454,"Existing")</f>
        <v/>
      </c>
      <c r="O105" s="914">
        <f>COUNTIF(G373:G414,"Existing")</f>
        <v/>
      </c>
      <c r="P105" s="914">
        <f>COUNTIF(G348:G375,"Existing")</f>
        <v/>
      </c>
      <c r="Q105" s="914">
        <f>COUNTIF(G319:G346,"Existing")</f>
        <v/>
      </c>
      <c r="R105" s="914">
        <f>COUNTIF(G284:G317,"Existing")</f>
        <v/>
      </c>
      <c r="S105" s="914">
        <f>COUNTIF(G244:G282,"Existing")</f>
        <v/>
      </c>
      <c r="T105" s="914">
        <f>COUNTIF(G207:G242,"Existing")</f>
        <v/>
      </c>
      <c r="U105" s="914">
        <f>COUNTIF(G161:G205,"Existing")</f>
        <v/>
      </c>
      <c r="V105" s="914">
        <f>COUNTIF(G121:G159,"Existing")</f>
        <v/>
      </c>
      <c r="W105" s="554">
        <f>SUM(K105:V105)</f>
        <v/>
      </c>
      <c r="X105" s="475">
        <f>W105/$W$106</f>
        <v/>
      </c>
    </row>
    <row r="106" ht="13.15" customHeight="1" s="1232">
      <c r="J106" s="914" t="n"/>
      <c r="K106" s="563">
        <f>K104+K105</f>
        <v/>
      </c>
      <c r="L106" s="563">
        <f>L104+L105</f>
        <v/>
      </c>
      <c r="M106" s="563">
        <f>M104+M105</f>
        <v/>
      </c>
      <c r="N106" s="563">
        <f>N104+N105</f>
        <v/>
      </c>
      <c r="O106" s="563">
        <f>O104+O105</f>
        <v/>
      </c>
      <c r="P106" s="563">
        <f>P104+P105</f>
        <v/>
      </c>
      <c r="Q106" s="563">
        <f>Q104+Q105</f>
        <v/>
      </c>
      <c r="R106" s="563">
        <f>R104+R105</f>
        <v/>
      </c>
      <c r="S106" s="563">
        <f>S104+S105</f>
        <v/>
      </c>
      <c r="T106" s="563">
        <f>T104+T105</f>
        <v/>
      </c>
      <c r="U106" s="563">
        <f>U104+U105</f>
        <v/>
      </c>
      <c r="V106" s="563">
        <f>V104+V105</f>
        <v/>
      </c>
      <c r="W106" s="563">
        <f>W104+W105</f>
        <v/>
      </c>
      <c r="X106" s="564" t="n"/>
    </row>
    <row r="107" ht="13.15" customHeight="1" s="1232">
      <c r="J107" s="914" t="n"/>
      <c r="K107" s="561" t="n"/>
      <c r="L107" s="561" t="n"/>
      <c r="M107" s="561" t="n"/>
      <c r="N107" s="561" t="n"/>
      <c r="O107" s="561" t="n"/>
      <c r="P107" s="561" t="n"/>
      <c r="Q107" s="561" t="n"/>
      <c r="R107" s="561" t="n"/>
      <c r="S107" s="561" t="n"/>
      <c r="T107" s="561" t="n"/>
      <c r="U107" s="561" t="n"/>
      <c r="V107" s="561" t="n"/>
      <c r="W107" s="561" t="n"/>
      <c r="X107" s="475" t="n"/>
    </row>
    <row r="108" ht="13.15" customHeight="1" s="1232">
      <c r="I108" s="556" t="inlineStr">
        <is>
          <t>Booking source  AVG PPU</t>
        </is>
      </c>
      <c r="K108" s="1332" t="inlineStr">
        <is>
          <t>Jan</t>
        </is>
      </c>
      <c r="L108" s="1332" t="inlineStr">
        <is>
          <t>Feb</t>
        </is>
      </c>
      <c r="M108" s="1332" t="inlineStr">
        <is>
          <t>Mar</t>
        </is>
      </c>
      <c r="N108" s="1332" t="inlineStr">
        <is>
          <t>Apr</t>
        </is>
      </c>
      <c r="O108" s="1332" t="inlineStr">
        <is>
          <t>May</t>
        </is>
      </c>
      <c r="P108" s="1332" t="inlineStr">
        <is>
          <t>Jun</t>
        </is>
      </c>
      <c r="Q108" s="1332" t="inlineStr">
        <is>
          <t>Jul</t>
        </is>
      </c>
      <c r="R108" s="1332" t="inlineStr">
        <is>
          <t>Aug</t>
        </is>
      </c>
      <c r="S108" s="1332" t="inlineStr">
        <is>
          <t>Sep</t>
        </is>
      </c>
      <c r="T108" s="1332" t="inlineStr">
        <is>
          <t>Oct</t>
        </is>
      </c>
      <c r="U108" s="1332" t="inlineStr">
        <is>
          <t>Nov</t>
        </is>
      </c>
      <c r="V108" s="1332" t="inlineStr">
        <is>
          <t>Dec</t>
        </is>
      </c>
      <c r="W108" s="1332" t="inlineStr">
        <is>
          <t>Year</t>
        </is>
      </c>
      <c r="X108" s="1278" t="inlineStr">
        <is>
          <t>Split</t>
        </is>
      </c>
    </row>
    <row r="109" ht="13.15" customHeight="1" s="1232">
      <c r="I109" s="444" t="inlineStr">
        <is>
          <t>New Clients</t>
        </is>
      </c>
      <c r="K109" s="914">
        <f>IFERROR(K99/K104,0)</f>
        <v/>
      </c>
      <c r="L109" s="914">
        <f>IFERROR(L99/L104,0)</f>
        <v/>
      </c>
      <c r="M109" s="914">
        <f>IFERROR(M99/M104,0)</f>
        <v/>
      </c>
      <c r="N109" s="914">
        <f>IFERROR(N99/N104,0)</f>
        <v/>
      </c>
      <c r="O109" s="914">
        <f>IFERROR(O99/O104,0)</f>
        <v/>
      </c>
      <c r="P109" s="914">
        <f>IFERROR(P99/P104,0)</f>
        <v/>
      </c>
      <c r="Q109" s="914">
        <f>IFERROR(Q99/Q104,0)</f>
        <v/>
      </c>
      <c r="R109" s="914">
        <f>IFERROR(R99/R104,0)</f>
        <v/>
      </c>
      <c r="S109" s="914">
        <f>IFERROR(S99/S104,0)</f>
        <v/>
      </c>
      <c r="T109" s="914">
        <f>IFERROR(T99/T104,0)</f>
        <v/>
      </c>
      <c r="U109" s="914">
        <f>IFERROR(U99/U104,0)</f>
        <v/>
      </c>
      <c r="V109" s="914">
        <f>IFERROR(V99/V104,0)</f>
        <v/>
      </c>
      <c r="W109" s="554">
        <f>AVERAGE(K109:V109)</f>
        <v/>
      </c>
      <c r="X109" s="475">
        <f>W109/W111</f>
        <v/>
      </c>
    </row>
    <row r="110" ht="13.15" customHeight="1" s="1232">
      <c r="I110" s="444" t="inlineStr">
        <is>
          <t>Existing Clients</t>
        </is>
      </c>
      <c r="K110" s="914">
        <f>IFERROR(K100/K105,0)</f>
        <v/>
      </c>
      <c r="L110" s="914">
        <f>IFERROR(L100/L105,0)</f>
        <v/>
      </c>
      <c r="M110" s="914">
        <f>IFERROR(M100/M105,0)</f>
        <v/>
      </c>
      <c r="N110" s="914">
        <f>IFERROR(N100/N105,0)</f>
        <v/>
      </c>
      <c r="O110" s="914">
        <f>IFERROR(O100/O105,0)</f>
        <v/>
      </c>
      <c r="P110" s="914">
        <f>IFERROR(P100/P105,0)</f>
        <v/>
      </c>
      <c r="Q110" s="914">
        <f>IFERROR(Q100/Q105,0)</f>
        <v/>
      </c>
      <c r="R110" s="914">
        <f>IFERROR(R100/R105,0)</f>
        <v/>
      </c>
      <c r="S110" s="914">
        <f>IFERROR(S100/S105,0)</f>
        <v/>
      </c>
      <c r="T110" s="914">
        <f>IFERROR(T100/T105,0)</f>
        <v/>
      </c>
      <c r="U110" s="914">
        <f>IFERROR(U100/U105,0)</f>
        <v/>
      </c>
      <c r="V110" s="914">
        <f>IFERROR(V100/V105,0)</f>
        <v/>
      </c>
      <c r="W110" s="554">
        <f>AVERAGE(K110:V110)</f>
        <v/>
      </c>
      <c r="X110" s="475">
        <f>W110/$W$111</f>
        <v/>
      </c>
    </row>
    <row r="111" ht="13.15" customHeight="1" s="1232">
      <c r="J111" s="914" t="n"/>
      <c r="K111" s="563">
        <f>K109+K110</f>
        <v/>
      </c>
      <c r="L111" s="563">
        <f>L109+L110</f>
        <v/>
      </c>
      <c r="M111" s="563">
        <f>M109+M110</f>
        <v/>
      </c>
      <c r="N111" s="563">
        <f>N109+N110</f>
        <v/>
      </c>
      <c r="O111" s="563">
        <f>O109+O110</f>
        <v/>
      </c>
      <c r="P111" s="563">
        <f>P109+P110</f>
        <v/>
      </c>
      <c r="Q111" s="563">
        <f>Q109+Q110</f>
        <v/>
      </c>
      <c r="R111" s="563">
        <f>R109+R110</f>
        <v/>
      </c>
      <c r="S111" s="563">
        <f>S109+S110</f>
        <v/>
      </c>
      <c r="T111" s="563">
        <f>T109+T110</f>
        <v/>
      </c>
      <c r="U111" s="563">
        <f>U109+U110</f>
        <v/>
      </c>
      <c r="V111" s="563">
        <f>V109+V110</f>
        <v/>
      </c>
      <c r="W111" s="563">
        <f>W109+W110</f>
        <v/>
      </c>
      <c r="X111" s="564" t="n"/>
    </row>
    <row r="119" ht="13.15" customHeight="1" s="1232">
      <c r="E119" s="605">
        <f>SUM(E121:E663)</f>
        <v/>
      </c>
    </row>
    <row r="120" ht="13.9" customHeight="1" s="1232">
      <c r="A120" s="1345" t="inlineStr">
        <is>
          <t>Date</t>
        </is>
      </c>
      <c r="B120" s="1346" t="inlineStr">
        <is>
          <t>Client</t>
        </is>
      </c>
      <c r="C120" s="1346" t="inlineStr">
        <is>
          <t>Category</t>
        </is>
      </c>
      <c r="D120" s="1346" t="inlineStr">
        <is>
          <t>Funding</t>
        </is>
      </c>
      <c r="E120" s="1347" t="inlineStr">
        <is>
          <t>Amount</t>
        </is>
      </c>
      <c r="F120" s="1346" t="inlineStr">
        <is>
          <t>Event</t>
        </is>
      </c>
      <c r="G120" s="1346" t="inlineStr">
        <is>
          <t>Source</t>
        </is>
      </c>
    </row>
    <row r="121" ht="13.5" customHeight="1" s="1232">
      <c r="A121" s="1393" t="n"/>
      <c r="B121" s="1260" t="n"/>
      <c r="C121" s="1260" t="n"/>
      <c r="D121" s="1260" t="n"/>
      <c r="E121" s="1394" t="n"/>
      <c r="F121" s="1260" t="n"/>
      <c r="G121" s="1260" t="n"/>
    </row>
    <row r="122" ht="13.5" customHeight="1" s="1232">
      <c r="A122" s="1393" t="n"/>
      <c r="B122" s="1260" t="n"/>
      <c r="C122" s="1260" t="n"/>
      <c r="D122" s="1260" t="n"/>
      <c r="E122" s="1394" t="n"/>
      <c r="F122" s="1260" t="n"/>
      <c r="G122" s="1260" t="n"/>
    </row>
    <row r="123" ht="13.5" customHeight="1" s="1232">
      <c r="A123" s="1393" t="n"/>
      <c r="B123" s="1260" t="n"/>
      <c r="D123" s="1260" t="n"/>
      <c r="E123" s="1394" t="n"/>
      <c r="F123" s="1260" t="n"/>
      <c r="G123" s="1260" t="n"/>
    </row>
    <row r="124" ht="13.5" customHeight="1" s="1232">
      <c r="A124" s="1393" t="n">
        <v>43464</v>
      </c>
      <c r="B124" s="1260" t="inlineStr">
        <is>
          <t>Amanda Graham</t>
        </is>
      </c>
      <c r="C124" s="1255" t="inlineStr">
        <is>
          <t>4. Pick n Mix Out</t>
        </is>
      </c>
      <c r="D124" s="1260" t="inlineStr">
        <is>
          <t>PicknMix</t>
        </is>
      </c>
      <c r="E124" s="1408" t="n">
        <v>-112.5</v>
      </c>
      <c r="F124" s="1260" t="inlineStr">
        <is>
          <t>Heathers - Peak District</t>
        </is>
      </c>
      <c r="G124" s="1260" t="inlineStr">
        <is>
          <t>Existing</t>
        </is>
      </c>
    </row>
    <row r="125" ht="13.5" customHeight="1" s="1232">
      <c r="A125" s="1393" t="n">
        <v>43464</v>
      </c>
      <c r="B125" s="1260" t="inlineStr">
        <is>
          <t>Amanda Graham</t>
        </is>
      </c>
      <c r="C125" s="1255" t="inlineStr">
        <is>
          <t>2. Workshops</t>
        </is>
      </c>
      <c r="D125" s="1260" t="inlineStr">
        <is>
          <t>PicknMix</t>
        </is>
      </c>
      <c r="E125" s="1394" t="n">
        <v>112.5</v>
      </c>
      <c r="F125" s="1260" t="inlineStr">
        <is>
          <t>Heathers - Peak District</t>
        </is>
      </c>
      <c r="G125" s="1260" t="inlineStr">
        <is>
          <t>Existing</t>
        </is>
      </c>
    </row>
    <row r="126" ht="13.5" customHeight="1" s="1232">
      <c r="A126" s="1393" t="n">
        <v>43461</v>
      </c>
      <c r="B126" s="1260" t="inlineStr">
        <is>
          <t>Rebecca Teague</t>
        </is>
      </c>
      <c r="C126" s="1255" t="inlineStr">
        <is>
          <t>2. Workshops</t>
        </is>
      </c>
      <c r="D126" s="1260" t="inlineStr">
        <is>
          <t>Stripe</t>
        </is>
      </c>
      <c r="E126" s="1394" t="n">
        <v>93.75</v>
      </c>
      <c r="F126" s="1260" t="inlineStr">
        <is>
          <t>Bluebells</t>
        </is>
      </c>
      <c r="G126" s="1260" t="inlineStr">
        <is>
          <t>Existing</t>
        </is>
      </c>
    </row>
    <row r="127" ht="13.5" customHeight="1" s="1232">
      <c r="A127" s="1393" t="n">
        <v>43459</v>
      </c>
      <c r="B127" s="1260" t="inlineStr">
        <is>
          <t>Christine Cowley</t>
        </is>
      </c>
      <c r="C127" s="1255" t="inlineStr">
        <is>
          <t>7. Other</t>
        </is>
      </c>
      <c r="D127" s="1260" t="inlineStr">
        <is>
          <t>Stripe</t>
        </is>
      </c>
      <c r="E127" s="1394" t="n">
        <v>30</v>
      </c>
      <c r="F127" s="1260" t="inlineStr">
        <is>
          <t>Gift Vouchers</t>
        </is>
      </c>
      <c r="G127" s="1260" t="inlineStr">
        <is>
          <t>Google</t>
        </is>
      </c>
    </row>
    <row r="128" ht="13.5" customHeight="1" s="1232">
      <c r="A128" s="1393" t="n">
        <v>43458</v>
      </c>
      <c r="B128" s="1260" t="inlineStr">
        <is>
          <t>Julia Dyer</t>
        </is>
      </c>
      <c r="C128" s="1255" t="inlineStr">
        <is>
          <t>2. Workshops</t>
        </is>
      </c>
      <c r="D128" s="1260" t="inlineStr">
        <is>
          <t>Paypal</t>
        </is>
      </c>
      <c r="E128" s="1394" t="n">
        <v>93.75</v>
      </c>
      <c r="F128" s="1260" t="inlineStr">
        <is>
          <t>Burnham Sunset Shoot</t>
        </is>
      </c>
      <c r="G128" s="1260" t="inlineStr">
        <is>
          <t>Existing</t>
        </is>
      </c>
    </row>
    <row r="129" ht="13.5" customHeight="1" s="1232">
      <c r="A129" s="1393" t="n">
        <v>43455</v>
      </c>
      <c r="B129" s="1260" t="inlineStr">
        <is>
          <t>Lesley Ford</t>
        </is>
      </c>
      <c r="C129" s="1255" t="inlineStr">
        <is>
          <t>7. Other</t>
        </is>
      </c>
      <c r="D129" s="1260" t="inlineStr">
        <is>
          <t>Paypal</t>
        </is>
      </c>
      <c r="E129" s="1394" t="n">
        <v>100</v>
      </c>
      <c r="F129" s="1260" t="inlineStr">
        <is>
          <t>Gift Vouchers</t>
        </is>
      </c>
      <c r="G129" s="1260" t="inlineStr">
        <is>
          <t>Google</t>
        </is>
      </c>
    </row>
    <row r="130" ht="13.5" customHeight="1" s="1232">
      <c r="A130" s="1393" t="n">
        <v>43454</v>
      </c>
      <c r="B130" s="1260" t="inlineStr">
        <is>
          <t>Ryan Biggerstaff</t>
        </is>
      </c>
      <c r="C130" s="1255" t="inlineStr">
        <is>
          <t>1. Courses/masterclasses</t>
        </is>
      </c>
      <c r="D130" s="1260" t="inlineStr">
        <is>
          <t>Stripe</t>
        </is>
      </c>
      <c r="E130" s="1394" t="n">
        <v>30</v>
      </c>
      <c r="F130" s="1260" t="inlineStr">
        <is>
          <t>Intro Class</t>
        </is>
      </c>
      <c r="G130" s="1260" t="inlineStr">
        <is>
          <t>Google</t>
        </is>
      </c>
    </row>
    <row r="131" ht="13.5" customHeight="1" s="1232">
      <c r="A131" s="1393" t="n">
        <v>43454</v>
      </c>
      <c r="B131" s="1260" t="inlineStr">
        <is>
          <t xml:space="preserve">Helen Seaman </t>
        </is>
      </c>
      <c r="C131" s="1255" t="inlineStr">
        <is>
          <t>2. Workshops</t>
        </is>
      </c>
      <c r="D131" s="1260" t="inlineStr">
        <is>
          <t>W-Play</t>
        </is>
      </c>
      <c r="E131" s="1394" t="n">
        <v>725</v>
      </c>
      <c r="F131" s="1260" t="inlineStr">
        <is>
          <t>Lake District Workshop</t>
        </is>
      </c>
      <c r="G131" s="1260" t="inlineStr">
        <is>
          <t>Google</t>
        </is>
      </c>
    </row>
    <row r="132" ht="13.5" customHeight="1" s="1232">
      <c r="A132" s="1393" t="n">
        <v>43453</v>
      </c>
      <c r="B132" s="1260" t="inlineStr">
        <is>
          <t>Maxine Tighe</t>
        </is>
      </c>
      <c r="C132" s="1255" t="inlineStr">
        <is>
          <t>7. Other</t>
        </is>
      </c>
      <c r="D132" s="1260" t="inlineStr">
        <is>
          <t>Stripe</t>
        </is>
      </c>
      <c r="E132" s="1394" t="n">
        <v>30</v>
      </c>
      <c r="F132" s="1260" t="inlineStr">
        <is>
          <t>Gift Vouchers</t>
        </is>
      </c>
      <c r="G132" s="1260" t="inlineStr">
        <is>
          <t>Google</t>
        </is>
      </c>
    </row>
    <row r="133" ht="13.5" customHeight="1" s="1232">
      <c r="A133" s="1393" t="n">
        <v>43453</v>
      </c>
      <c r="B133" s="1260" t="inlineStr">
        <is>
          <t>stacey Rose</t>
        </is>
      </c>
      <c r="C133" s="1255" t="inlineStr">
        <is>
          <t>7. Other</t>
        </is>
      </c>
      <c r="D133" s="1260" t="inlineStr">
        <is>
          <t>Stripe</t>
        </is>
      </c>
      <c r="E133" s="1394" t="n">
        <v>25</v>
      </c>
      <c r="F133" s="1260" t="inlineStr">
        <is>
          <t>Gift Vouchers</t>
        </is>
      </c>
      <c r="G133" s="1260" t="inlineStr">
        <is>
          <t>Google</t>
        </is>
      </c>
    </row>
    <row r="134" ht="13.5" customHeight="1" s="1232">
      <c r="A134" s="1393" t="n">
        <v>43453</v>
      </c>
      <c r="B134" s="1260" t="inlineStr">
        <is>
          <t>stacey Rose</t>
        </is>
      </c>
      <c r="C134" s="1255" t="inlineStr">
        <is>
          <t>7. Other</t>
        </is>
      </c>
      <c r="D134" s="1260" t="inlineStr">
        <is>
          <t>Stripe</t>
        </is>
      </c>
      <c r="E134" s="1394" t="n">
        <v>50</v>
      </c>
      <c r="F134" s="1260" t="inlineStr">
        <is>
          <t>Gift Vouchers</t>
        </is>
      </c>
      <c r="G134" s="1260" t="inlineStr">
        <is>
          <t>Google</t>
        </is>
      </c>
    </row>
    <row r="135" ht="13.5" customHeight="1" s="1232">
      <c r="A135" s="1393" t="n">
        <v>43452</v>
      </c>
      <c r="B135" s="1260" t="inlineStr">
        <is>
          <t>Tony Hunter</t>
        </is>
      </c>
      <c r="C135" s="1255" t="inlineStr">
        <is>
          <t>1. Courses/masterclasses</t>
        </is>
      </c>
      <c r="D135" s="1260" t="inlineStr">
        <is>
          <t>W-Play</t>
        </is>
      </c>
      <c r="E135" s="1394" t="n">
        <v>210</v>
      </c>
      <c r="F135" s="1260" t="inlineStr">
        <is>
          <t>Beginners Course</t>
        </is>
      </c>
      <c r="G135" s="1260" t="inlineStr">
        <is>
          <t>Google</t>
        </is>
      </c>
    </row>
    <row r="136" ht="13.5" customHeight="1" s="1232">
      <c r="A136" s="1393" t="n">
        <v>43452</v>
      </c>
      <c r="B136" s="1260" t="inlineStr">
        <is>
          <t>John Jeffries</t>
        </is>
      </c>
      <c r="C136" s="1255" t="inlineStr">
        <is>
          <t>1. Courses/masterclasses</t>
        </is>
      </c>
      <c r="D136" s="1260" t="inlineStr">
        <is>
          <t>W-Play</t>
        </is>
      </c>
      <c r="E136" s="1394" t="n">
        <v>280</v>
      </c>
      <c r="F136" s="1260" t="inlineStr">
        <is>
          <t>Beginners Course</t>
        </is>
      </c>
      <c r="G136" s="1260" t="inlineStr">
        <is>
          <t>Google</t>
        </is>
      </c>
    </row>
    <row r="137" ht="13.5" customHeight="1" s="1232">
      <c r="A137" s="1393" t="n">
        <v>43450</v>
      </c>
      <c r="B137" s="1260" t="inlineStr">
        <is>
          <t>Helen Jerina</t>
        </is>
      </c>
      <c r="C137" s="1255" t="inlineStr">
        <is>
          <t>7. Other</t>
        </is>
      </c>
      <c r="D137" s="1260" t="inlineStr">
        <is>
          <t>Stripe</t>
        </is>
      </c>
      <c r="E137" s="1394" t="n">
        <v>50</v>
      </c>
      <c r="F137" s="1260" t="inlineStr">
        <is>
          <t>Gift Vouchers</t>
        </is>
      </c>
      <c r="G137" s="1260" t="inlineStr">
        <is>
          <t>Google</t>
        </is>
      </c>
    </row>
    <row r="138" ht="13.5" customHeight="1" s="1232">
      <c r="A138" s="1393" t="n">
        <v>43450</v>
      </c>
      <c r="B138" s="1260" t="inlineStr">
        <is>
          <t>Helen Jerina</t>
        </is>
      </c>
      <c r="C138" s="1255" t="inlineStr">
        <is>
          <t>7. Other</t>
        </is>
      </c>
      <c r="D138" s="1260" t="inlineStr">
        <is>
          <t>Stripe</t>
        </is>
      </c>
      <c r="E138" s="1394" t="n">
        <v>25</v>
      </c>
      <c r="F138" s="1260" t="inlineStr">
        <is>
          <t>Gift Vouchers</t>
        </is>
      </c>
      <c r="G138" s="1260" t="inlineStr">
        <is>
          <t>Google</t>
        </is>
      </c>
    </row>
    <row r="139" ht="13.5" customHeight="1" s="1232">
      <c r="A139" s="1393" t="n">
        <v>43450</v>
      </c>
      <c r="B139" s="1260" t="inlineStr">
        <is>
          <t xml:space="preserve">Simon Bissett </t>
        </is>
      </c>
      <c r="C139" s="1255" t="inlineStr">
        <is>
          <t>1. Courses/masterclasses</t>
        </is>
      </c>
      <c r="D139" s="1260" t="inlineStr">
        <is>
          <t>Bank</t>
        </is>
      </c>
      <c r="E139" s="1394" t="n">
        <v>13</v>
      </c>
      <c r="F139" s="1260" t="inlineStr">
        <is>
          <t>Intro Class</t>
        </is>
      </c>
      <c r="G139" s="1260" t="inlineStr">
        <is>
          <t>Groupon</t>
        </is>
      </c>
    </row>
    <row r="140" ht="13.5" customHeight="1" s="1232">
      <c r="A140" s="1393" t="n">
        <v>43449</v>
      </c>
      <c r="B140" s="1260" t="inlineStr">
        <is>
          <t>Wendy Davis</t>
        </is>
      </c>
      <c r="C140" s="1255" t="inlineStr">
        <is>
          <t>7. Other</t>
        </is>
      </c>
      <c r="D140" s="1260" t="inlineStr">
        <is>
          <t>Stripe</t>
        </is>
      </c>
      <c r="E140" s="1394" t="n">
        <v>50</v>
      </c>
      <c r="F140" s="1260" t="inlineStr">
        <is>
          <t>Gift Vouchers</t>
        </is>
      </c>
      <c r="G140" s="1260" t="inlineStr">
        <is>
          <t>Google</t>
        </is>
      </c>
    </row>
    <row r="141" ht="13.5" customHeight="1" s="1232">
      <c r="A141" s="1393" t="n">
        <v>43449</v>
      </c>
      <c r="B141" s="1260" t="inlineStr">
        <is>
          <t>Michael Lally</t>
        </is>
      </c>
      <c r="C141" s="1255" t="inlineStr">
        <is>
          <t>7. Other</t>
        </is>
      </c>
      <c r="D141" s="1260" t="inlineStr">
        <is>
          <t>Stripe</t>
        </is>
      </c>
      <c r="E141" s="1394" t="n">
        <v>250</v>
      </c>
      <c r="F141" s="1260" t="inlineStr">
        <is>
          <t>Gift Vouchers</t>
        </is>
      </c>
      <c r="G141" s="1260" t="inlineStr">
        <is>
          <t>Google</t>
        </is>
      </c>
    </row>
    <row r="142" ht="13.5" customHeight="1" s="1232">
      <c r="A142" s="1393" t="n">
        <v>43447</v>
      </c>
      <c r="B142" s="1260" t="inlineStr">
        <is>
          <t>Joe Tattersall</t>
        </is>
      </c>
      <c r="C142" s="1255" t="inlineStr">
        <is>
          <t>1. Courses/masterclasses</t>
        </is>
      </c>
      <c r="D142" s="1260" t="inlineStr">
        <is>
          <t>Stripe</t>
        </is>
      </c>
      <c r="E142" s="1394" t="n">
        <v>30</v>
      </c>
      <c r="F142" s="1260" t="inlineStr">
        <is>
          <t>Intro Class</t>
        </is>
      </c>
      <c r="G142" s="1260" t="inlineStr">
        <is>
          <t>Google</t>
        </is>
      </c>
    </row>
    <row r="143" ht="13.5" customHeight="1" s="1232">
      <c r="A143" s="1393" t="n">
        <v>43447</v>
      </c>
      <c r="B143" s="1260" t="inlineStr">
        <is>
          <t>Holly Robinson</t>
        </is>
      </c>
      <c r="C143" s="1255" t="inlineStr">
        <is>
          <t>7. Other</t>
        </is>
      </c>
      <c r="D143" s="1260" t="inlineStr">
        <is>
          <t>Stripe</t>
        </is>
      </c>
      <c r="E143" s="1394" t="n">
        <v>100</v>
      </c>
      <c r="F143" s="1260" t="inlineStr">
        <is>
          <t>Gift Vouchers</t>
        </is>
      </c>
      <c r="G143" s="1260" t="inlineStr">
        <is>
          <t>Google</t>
        </is>
      </c>
    </row>
    <row r="144" ht="13.5" customHeight="1" s="1232">
      <c r="A144" s="1393" t="n">
        <v>43446</v>
      </c>
      <c r="B144" s="1260" t="inlineStr">
        <is>
          <t>Sarah Jukes</t>
        </is>
      </c>
      <c r="C144" s="1255" t="inlineStr">
        <is>
          <t>1. Courses/masterclasses</t>
        </is>
      </c>
      <c r="D144" s="1260" t="inlineStr">
        <is>
          <t>Stripe</t>
        </is>
      </c>
      <c r="E144" s="1394" t="n">
        <v>30</v>
      </c>
      <c r="F144" s="1260" t="inlineStr">
        <is>
          <t>Intro Class</t>
        </is>
      </c>
      <c r="G144" s="1260" t="inlineStr">
        <is>
          <t>Google</t>
        </is>
      </c>
    </row>
    <row r="145" ht="13.5" customHeight="1" s="1232">
      <c r="A145" s="1393" t="n">
        <v>43446</v>
      </c>
      <c r="B145" s="1260" t="inlineStr">
        <is>
          <t>Anne Watkinson</t>
        </is>
      </c>
      <c r="C145" s="1255" t="inlineStr">
        <is>
          <t>6. 1-2-1</t>
        </is>
      </c>
      <c r="D145" s="1260" t="inlineStr">
        <is>
          <t>Stripe</t>
        </is>
      </c>
      <c r="E145" s="1394" t="n">
        <v>360</v>
      </c>
      <c r="F145" s="1282" t="inlineStr">
        <is>
          <t>1-2-1</t>
        </is>
      </c>
      <c r="G145" s="1260" t="inlineStr">
        <is>
          <t>Existing</t>
        </is>
      </c>
    </row>
    <row r="146" ht="13.5" customHeight="1" s="1232">
      <c r="A146" s="1393" t="n">
        <v>43445</v>
      </c>
      <c r="B146" s="1260" t="inlineStr">
        <is>
          <t>Stuart Isaac</t>
        </is>
      </c>
      <c r="C146" s="1255" t="inlineStr">
        <is>
          <t>1. Courses/masterclasses</t>
        </is>
      </c>
      <c r="D146" s="1260" t="inlineStr">
        <is>
          <t>Stripe</t>
        </is>
      </c>
      <c r="E146" s="1394" t="n">
        <v>30</v>
      </c>
      <c r="F146" s="1260" t="inlineStr">
        <is>
          <t>Intro Class</t>
        </is>
      </c>
      <c r="G146" s="1260" t="inlineStr">
        <is>
          <t>Google</t>
        </is>
      </c>
    </row>
    <row r="147" ht="13.5" customHeight="1" s="1232">
      <c r="A147" s="1393" t="n">
        <v>43444</v>
      </c>
      <c r="B147" s="1260" t="inlineStr">
        <is>
          <t>J Longthorn</t>
        </is>
      </c>
      <c r="C147" s="1255" t="inlineStr">
        <is>
          <t>2. Workshops</t>
        </is>
      </c>
      <c r="D147" s="1260" t="inlineStr">
        <is>
          <t>Stripe</t>
        </is>
      </c>
      <c r="E147" s="1394" t="n">
        <v>10</v>
      </c>
      <c r="F147" s="1260" t="inlineStr">
        <is>
          <t>Woodland Photo Walk - Oakley Wood, Leamington</t>
        </is>
      </c>
      <c r="G147" s="1260" t="inlineStr">
        <is>
          <t>Existing</t>
        </is>
      </c>
    </row>
    <row r="148" ht="13.5" customHeight="1" s="1232">
      <c r="A148" s="1393" t="n">
        <v>43444</v>
      </c>
      <c r="B148" s="1260" t="inlineStr">
        <is>
          <t>David Reed</t>
        </is>
      </c>
      <c r="C148" s="1255" t="inlineStr">
        <is>
          <t>2. Workshops</t>
        </is>
      </c>
      <c r="D148" s="1260" t="inlineStr">
        <is>
          <t>Stripe</t>
        </is>
      </c>
      <c r="E148" s="1394" t="n">
        <v>50</v>
      </c>
      <c r="F148" s="1260" t="inlineStr">
        <is>
          <t>Long Exposure Coventry</t>
        </is>
      </c>
      <c r="G148" s="1260" t="inlineStr">
        <is>
          <t>Existing</t>
        </is>
      </c>
    </row>
    <row r="149" ht="13.5" customHeight="1" s="1232">
      <c r="A149" s="1393" t="n">
        <v>43444</v>
      </c>
      <c r="B149" s="1260" t="inlineStr">
        <is>
          <t>Alex Harbige</t>
        </is>
      </c>
      <c r="C149" s="1255" t="inlineStr">
        <is>
          <t>2. Workshops</t>
        </is>
      </c>
      <c r="D149" s="1260" t="inlineStr">
        <is>
          <t>Bank</t>
        </is>
      </c>
      <c r="E149" s="1394" t="n">
        <v>625</v>
      </c>
      <c r="F149" s="1260" t="inlineStr">
        <is>
          <t>Suffolk Workshop</t>
        </is>
      </c>
      <c r="G149" s="1260" t="inlineStr">
        <is>
          <t>Existing</t>
        </is>
      </c>
    </row>
    <row r="150" ht="13.5" customHeight="1" s="1232">
      <c r="A150" s="1393" t="n">
        <v>43444</v>
      </c>
      <c r="B150" s="1260" t="inlineStr">
        <is>
          <t>Mark Pascoe</t>
        </is>
      </c>
      <c r="C150" s="1255" t="inlineStr">
        <is>
          <t>7. Other</t>
        </is>
      </c>
      <c r="D150" s="1260" t="inlineStr">
        <is>
          <t>Stripe</t>
        </is>
      </c>
      <c r="E150" s="1394" t="n">
        <v>30</v>
      </c>
      <c r="F150" s="1260" t="inlineStr">
        <is>
          <t>Gift Vouchers</t>
        </is>
      </c>
      <c r="G150" s="1260" t="inlineStr">
        <is>
          <t>Google</t>
        </is>
      </c>
    </row>
    <row r="151" ht="13.5" customHeight="1" s="1232">
      <c r="A151" s="1393" t="n">
        <v>43443</v>
      </c>
      <c r="B151" s="1260" t="inlineStr">
        <is>
          <t>Mr M G Richardson</t>
        </is>
      </c>
      <c r="C151" s="1255" t="inlineStr">
        <is>
          <t>2. Workshops</t>
        </is>
      </c>
      <c r="D151" s="1260" t="inlineStr">
        <is>
          <t>Stripe</t>
        </is>
      </c>
      <c r="E151" s="1394" t="n">
        <v>10</v>
      </c>
      <c r="F151" s="1260" t="inlineStr">
        <is>
          <t>Woodland Walks</t>
        </is>
      </c>
      <c r="G151" s="1260" t="inlineStr">
        <is>
          <t>Facebook</t>
        </is>
      </c>
    </row>
    <row r="152" ht="13.5" customHeight="1" s="1232">
      <c r="A152" s="1393" t="n">
        <v>43444</v>
      </c>
      <c r="B152" s="1260" t="inlineStr">
        <is>
          <t>Jeremy Troth</t>
        </is>
      </c>
      <c r="C152" s="1255" t="inlineStr">
        <is>
          <t>2. Workshops</t>
        </is>
      </c>
      <c r="D152" s="1260" t="inlineStr">
        <is>
          <t>Bank</t>
        </is>
      </c>
      <c r="E152" s="1394" t="n">
        <v>110</v>
      </c>
      <c r="F152" s="1260" t="inlineStr">
        <is>
          <t>Woodland Walks</t>
        </is>
      </c>
      <c r="G152" s="1260" t="inlineStr">
        <is>
          <t>Existing</t>
        </is>
      </c>
    </row>
    <row r="153" ht="13.5" customHeight="1" s="1232">
      <c r="A153" s="1393" t="n">
        <v>43439</v>
      </c>
      <c r="B153" s="1260" t="inlineStr">
        <is>
          <t>Simon Wright</t>
        </is>
      </c>
      <c r="C153" s="1255" t="inlineStr">
        <is>
          <t>7. Other</t>
        </is>
      </c>
      <c r="D153" s="1260" t="inlineStr">
        <is>
          <t>Stripe</t>
        </is>
      </c>
      <c r="E153" s="1394" t="n">
        <v>20.62</v>
      </c>
      <c r="F153" s="1260" t="inlineStr">
        <is>
          <t>Pocket Guides</t>
        </is>
      </c>
      <c r="G153" s="1260" t="inlineStr">
        <is>
          <t>Facebook</t>
        </is>
      </c>
    </row>
    <row r="154" ht="13.5" customHeight="1" s="1232">
      <c r="A154" s="1393" t="n">
        <v>43438</v>
      </c>
      <c r="B154" s="1260" t="inlineStr">
        <is>
          <t>Dave McGuire</t>
        </is>
      </c>
      <c r="C154" s="1255" t="inlineStr">
        <is>
          <t>1. Courses/masterclasses</t>
        </is>
      </c>
      <c r="D154" s="1260" t="inlineStr">
        <is>
          <t>Bank</t>
        </is>
      </c>
      <c r="E154" s="1394" t="n">
        <v>200</v>
      </c>
      <c r="F154" s="1260" t="inlineStr">
        <is>
          <t>ELS - Course</t>
        </is>
      </c>
      <c r="G154" s="1260" t="inlineStr">
        <is>
          <t>ELS</t>
        </is>
      </c>
    </row>
    <row r="155" ht="13.5" customHeight="1" s="1232">
      <c r="A155" s="1393" t="n">
        <v>43436</v>
      </c>
      <c r="B155" s="1260" t="inlineStr">
        <is>
          <t>Antony Clay</t>
        </is>
      </c>
      <c r="C155" s="1255" t="inlineStr">
        <is>
          <t>2. Workshops</t>
        </is>
      </c>
      <c r="D155" s="1260" t="inlineStr">
        <is>
          <t>Paypal</t>
        </is>
      </c>
      <c r="E155" s="1394" t="n">
        <v>50</v>
      </c>
      <c r="F155" s="1260" t="inlineStr">
        <is>
          <t>Brandon Marsh</t>
        </is>
      </c>
      <c r="G155" s="1260" t="inlineStr">
        <is>
          <t>Google</t>
        </is>
      </c>
    </row>
    <row r="156" ht="13.5" customHeight="1" s="1232">
      <c r="A156" s="1393" t="n">
        <v>43436</v>
      </c>
      <c r="B156" s="1260" t="inlineStr">
        <is>
          <t>Ann-Marie McGrath</t>
        </is>
      </c>
      <c r="C156" s="1255" t="inlineStr">
        <is>
          <t>1. Courses/masterclasses</t>
        </is>
      </c>
      <c r="D156" s="1260" t="inlineStr">
        <is>
          <t>Paypal</t>
        </is>
      </c>
      <c r="E156" s="1394" t="n">
        <v>30</v>
      </c>
      <c r="F156" s="1260" t="inlineStr">
        <is>
          <t>Intro Class</t>
        </is>
      </c>
      <c r="G156" s="1260" t="inlineStr">
        <is>
          <t>Google</t>
        </is>
      </c>
    </row>
    <row r="157" ht="13.5" customHeight="1" s="1232">
      <c r="A157" s="1393" t="n">
        <v>43435</v>
      </c>
      <c r="B157" s="1260" t="inlineStr">
        <is>
          <t>Dec Pick N Mix</t>
        </is>
      </c>
      <c r="C157" s="1255" t="inlineStr">
        <is>
          <t>3. Pick n Mix Inc</t>
        </is>
      </c>
      <c r="D157" s="1255" t="inlineStr">
        <is>
          <t>Various</t>
        </is>
      </c>
      <c r="E157" s="1261" t="n">
        <v>861.13</v>
      </c>
      <c r="F157" s="1255" t="inlineStr">
        <is>
          <t>Pick N Mix Payments</t>
        </is>
      </c>
      <c r="G157" s="1255" t="inlineStr">
        <is>
          <t>Existing</t>
        </is>
      </c>
    </row>
    <row r="158" ht="14.25" customHeight="1" s="1232">
      <c r="A158" s="1393" t="n">
        <v>43435</v>
      </c>
      <c r="B158" s="1260" t="inlineStr">
        <is>
          <t>Dec Mentoring</t>
        </is>
      </c>
      <c r="C158" s="1255" t="inlineStr">
        <is>
          <t>5. Mentoring</t>
        </is>
      </c>
      <c r="D158" s="1255" t="inlineStr">
        <is>
          <t>Various</t>
        </is>
      </c>
      <c r="E158" s="1261" t="n">
        <v>40</v>
      </c>
      <c r="F158" s="1255" t="inlineStr">
        <is>
          <t>Mentoring Subs</t>
        </is>
      </c>
      <c r="G158" s="1255" t="inlineStr">
        <is>
          <t>Existing</t>
        </is>
      </c>
    </row>
    <row r="161" ht="13.5" customHeight="1" s="1232">
      <c r="A161" s="1393" t="n">
        <v>43434</v>
      </c>
      <c r="B161" s="1260" t="inlineStr">
        <is>
          <t>Con McHugh</t>
        </is>
      </c>
      <c r="C161" s="1255" t="inlineStr">
        <is>
          <t>3. Pick n Mix Inc</t>
        </is>
      </c>
      <c r="D161" s="1260" t="inlineStr">
        <is>
          <t>Bank</t>
        </is>
      </c>
      <c r="E161" s="1394" t="n">
        <v>120</v>
      </c>
      <c r="F161" s="1260" t="inlineStr">
        <is>
          <t>Pick N Mix Payments</t>
        </is>
      </c>
      <c r="G161" s="1260" t="inlineStr">
        <is>
          <t>Existing</t>
        </is>
      </c>
    </row>
    <row r="162" ht="13.5" customHeight="1" s="1232">
      <c r="A162" s="1393" t="n">
        <v>43433</v>
      </c>
      <c r="B162" s="1260" t="inlineStr">
        <is>
          <t>Kaye Bottomley</t>
        </is>
      </c>
      <c r="C162" s="1255" t="inlineStr">
        <is>
          <t>7. Other</t>
        </is>
      </c>
      <c r="D162" s="1260" t="inlineStr">
        <is>
          <t>PayPal</t>
        </is>
      </c>
      <c r="E162" s="1394" t="n">
        <v>25</v>
      </c>
      <c r="F162" s="1260" t="inlineStr">
        <is>
          <t>Digital Gift Voucher</t>
        </is>
      </c>
      <c r="G162" s="1260" t="inlineStr">
        <is>
          <t>Existing</t>
        </is>
      </c>
    </row>
    <row r="163" ht="13.5" customHeight="1" s="1232">
      <c r="A163" s="1393" t="n">
        <v>43431</v>
      </c>
      <c r="B163" s="1260" t="inlineStr">
        <is>
          <t>Ciara Hartley</t>
        </is>
      </c>
      <c r="C163" s="1255" t="inlineStr">
        <is>
          <t>1. Courses/masterclasses</t>
        </is>
      </c>
      <c r="D163" s="1260" t="inlineStr">
        <is>
          <t>PayPal</t>
        </is>
      </c>
      <c r="E163" s="1394" t="n">
        <v>250</v>
      </c>
      <c r="F163" s="1260" t="inlineStr">
        <is>
          <t>4wk Beginners Course</t>
        </is>
      </c>
      <c r="G163" s="1260" t="inlineStr">
        <is>
          <t>Existing</t>
        </is>
      </c>
    </row>
    <row r="164" ht="13.5" customHeight="1" s="1232">
      <c r="A164" s="1393" t="n">
        <v>43430</v>
      </c>
      <c r="B164" s="1260" t="inlineStr">
        <is>
          <t>Diana Richards</t>
        </is>
      </c>
      <c r="C164" s="1255" t="inlineStr">
        <is>
          <t>2. Workshops</t>
        </is>
      </c>
      <c r="D164" s="1260" t="inlineStr">
        <is>
          <t>PayPal</t>
        </is>
      </c>
      <c r="E164" s="1394" t="n">
        <v>543.75</v>
      </c>
      <c r="F164" s="1260" t="inlineStr">
        <is>
          <t>Workshop</t>
        </is>
      </c>
      <c r="G164" s="1260" t="inlineStr">
        <is>
          <t>Existing</t>
        </is>
      </c>
    </row>
    <row r="165" ht="13.5" customHeight="1" s="1232">
      <c r="A165" s="1393" t="n">
        <v>43430</v>
      </c>
      <c r="B165" s="1260" t="inlineStr">
        <is>
          <t>Ian Blake</t>
        </is>
      </c>
      <c r="C165" s="1255" t="inlineStr">
        <is>
          <t>2. Workshops</t>
        </is>
      </c>
      <c r="D165" s="1260" t="inlineStr">
        <is>
          <t>Stripe</t>
        </is>
      </c>
      <c r="E165" s="1394" t="n">
        <v>356.25</v>
      </c>
      <c r="F165" s="1260" t="inlineStr">
        <is>
          <t>Workshop</t>
        </is>
      </c>
      <c r="G165" s="1260" t="inlineStr">
        <is>
          <t>Existing</t>
        </is>
      </c>
    </row>
    <row r="166" ht="13.5" customHeight="1" s="1232">
      <c r="A166" s="1393" t="n">
        <v>43430</v>
      </c>
      <c r="B166" s="1260" t="inlineStr">
        <is>
          <t>Les Pratt</t>
        </is>
      </c>
      <c r="C166" s="1255" t="inlineStr">
        <is>
          <t>7. Other</t>
        </is>
      </c>
      <c r="D166" s="1260" t="inlineStr">
        <is>
          <t>Stripe</t>
        </is>
      </c>
      <c r="E166" s="1394" t="n">
        <v>200</v>
      </c>
      <c r="F166" s="1260" t="inlineStr">
        <is>
          <t>Gift Vouchers</t>
        </is>
      </c>
      <c r="G166" s="1260" t="inlineStr">
        <is>
          <t>Google</t>
        </is>
      </c>
    </row>
    <row r="167" ht="13.5" customHeight="1" s="1232">
      <c r="A167" s="1393" t="n">
        <v>43430</v>
      </c>
      <c r="B167" s="1260" t="inlineStr">
        <is>
          <t>ESTER RIORDAN</t>
        </is>
      </c>
      <c r="C167" s="1255" t="inlineStr">
        <is>
          <t>2. Workshops</t>
        </is>
      </c>
      <c r="D167" s="1260" t="inlineStr">
        <is>
          <t>Stripe</t>
        </is>
      </c>
      <c r="E167" s="1394" t="n">
        <v>543.75</v>
      </c>
      <c r="F167" s="1260" t="inlineStr">
        <is>
          <t>Northumbria</t>
        </is>
      </c>
      <c r="G167" s="1260" t="inlineStr">
        <is>
          <t>Existing</t>
        </is>
      </c>
    </row>
    <row r="168" ht="13.5" customHeight="1" s="1232">
      <c r="A168" s="1393" t="n">
        <v>43430</v>
      </c>
      <c r="B168" s="1260" t="inlineStr">
        <is>
          <t>Jane Chapman</t>
        </is>
      </c>
      <c r="C168" s="1255" t="inlineStr">
        <is>
          <t>2. Workshops</t>
        </is>
      </c>
      <c r="D168" s="1260" t="inlineStr">
        <is>
          <t>Stripe</t>
        </is>
      </c>
      <c r="E168" s="1394" t="n">
        <v>543.75</v>
      </c>
      <c r="F168" s="1260" t="inlineStr">
        <is>
          <t>Northumbria</t>
        </is>
      </c>
      <c r="G168" s="1260" t="inlineStr">
        <is>
          <t>Existing</t>
        </is>
      </c>
    </row>
    <row r="169" ht="13.5" customHeight="1" s="1232">
      <c r="A169" s="1393" t="n">
        <v>43430</v>
      </c>
      <c r="B169" s="1260" t="inlineStr">
        <is>
          <t>Wendy Anthony</t>
        </is>
      </c>
      <c r="C169" s="1255" t="inlineStr">
        <is>
          <t>2. Workshops</t>
        </is>
      </c>
      <c r="D169" s="1260" t="inlineStr">
        <is>
          <t>PayPal</t>
        </is>
      </c>
      <c r="E169" s="1394" t="n">
        <v>57.15</v>
      </c>
      <c r="F169" s="1260" t="inlineStr">
        <is>
          <t>Xmas Walk</t>
        </is>
      </c>
      <c r="G169" s="1260" t="inlineStr">
        <is>
          <t>Existing</t>
        </is>
      </c>
    </row>
    <row r="170" ht="13.5" customHeight="1" s="1232">
      <c r="A170" s="1393" t="n">
        <v>43429</v>
      </c>
      <c r="B170" s="1260" t="inlineStr">
        <is>
          <t>Justin Meaden</t>
        </is>
      </c>
      <c r="C170" s="1255" t="inlineStr">
        <is>
          <t>2. Workshops</t>
        </is>
      </c>
      <c r="D170" s="1260" t="inlineStr">
        <is>
          <t>Stripe</t>
        </is>
      </c>
      <c r="E170" s="1394" t="n">
        <v>1087.5</v>
      </c>
      <c r="F170" s="1260" t="inlineStr">
        <is>
          <t>Lake District</t>
        </is>
      </c>
      <c r="G170" s="1260" t="inlineStr">
        <is>
          <t>Existing</t>
        </is>
      </c>
    </row>
    <row r="171" ht="13.5" customHeight="1" s="1232">
      <c r="A171" s="1393" t="n">
        <v>43429</v>
      </c>
      <c r="B171" s="1260" t="inlineStr">
        <is>
          <t>Sandra Aulton</t>
        </is>
      </c>
      <c r="C171" s="1255" t="inlineStr">
        <is>
          <t>7. Other</t>
        </is>
      </c>
      <c r="D171" s="1260" t="inlineStr">
        <is>
          <t>Stripe</t>
        </is>
      </c>
      <c r="E171" s="1394" t="n">
        <v>97.5</v>
      </c>
      <c r="F171" s="1260" t="inlineStr">
        <is>
          <t>Gift Vouchers</t>
        </is>
      </c>
      <c r="G171" s="1260" t="inlineStr">
        <is>
          <t>Existing</t>
        </is>
      </c>
    </row>
    <row r="172" ht="13.5" customHeight="1" s="1232">
      <c r="A172" s="1393" t="n">
        <v>43429</v>
      </c>
      <c r="B172" s="1260" t="inlineStr">
        <is>
          <t>Jeremy Troth</t>
        </is>
      </c>
      <c r="C172" s="1255" t="inlineStr">
        <is>
          <t>2. Workshops</t>
        </is>
      </c>
      <c r="D172" s="1260" t="inlineStr">
        <is>
          <t>Stripe</t>
        </is>
      </c>
      <c r="E172" s="1394" t="n">
        <v>57.15</v>
      </c>
      <c r="F172" s="1260" t="inlineStr">
        <is>
          <t>Xmas Walk</t>
        </is>
      </c>
      <c r="G172" s="1260" t="inlineStr">
        <is>
          <t>Existing</t>
        </is>
      </c>
    </row>
    <row r="173" ht="13.5" customHeight="1" s="1232">
      <c r="A173" s="1393" t="n">
        <v>43430</v>
      </c>
      <c r="B173" s="1260" t="inlineStr">
        <is>
          <t>John Seely</t>
        </is>
      </c>
      <c r="C173" s="1255" t="inlineStr">
        <is>
          <t>6. 1-2-1</t>
        </is>
      </c>
      <c r="D173" s="1260" t="inlineStr">
        <is>
          <t>PayPal</t>
        </is>
      </c>
      <c r="E173" s="1394" t="n">
        <v>180</v>
      </c>
      <c r="F173" s="1282" t="inlineStr">
        <is>
          <t>1-2-1 5x2hr Sessions</t>
        </is>
      </c>
      <c r="G173" s="1260" t="inlineStr">
        <is>
          <t>Existing</t>
        </is>
      </c>
    </row>
    <row r="174" ht="13.5" customHeight="1" s="1232">
      <c r="A174" s="1393" t="n">
        <v>43429</v>
      </c>
      <c r="B174" s="1260" t="inlineStr">
        <is>
          <t>John Seely</t>
        </is>
      </c>
      <c r="C174" s="1255" t="inlineStr">
        <is>
          <t>6. 1-2-1</t>
        </is>
      </c>
      <c r="D174" s="1260" t="inlineStr">
        <is>
          <t>PayPal</t>
        </is>
      </c>
      <c r="E174" s="1394" t="n">
        <v>270</v>
      </c>
      <c r="F174" s="1282" t="inlineStr">
        <is>
          <t>1-2-1 5x2hr Sessions</t>
        </is>
      </c>
      <c r="G174" s="1260" t="inlineStr">
        <is>
          <t>Existing</t>
        </is>
      </c>
    </row>
    <row r="175" ht="13.5" customHeight="1" s="1232">
      <c r="A175" s="1393" t="n">
        <v>43428</v>
      </c>
      <c r="B175" s="1260" t="inlineStr">
        <is>
          <t>Justin Meaden</t>
        </is>
      </c>
      <c r="C175" s="1255" t="inlineStr">
        <is>
          <t>2. Workshops</t>
        </is>
      </c>
      <c r="D175" s="1260" t="inlineStr">
        <is>
          <t>Stripe</t>
        </is>
      </c>
      <c r="E175" s="1394" t="n">
        <v>93.75</v>
      </c>
      <c r="F175" s="1260" t="inlineStr">
        <is>
          <t>4hr Workshop</t>
        </is>
      </c>
      <c r="G175" s="1260" t="inlineStr">
        <is>
          <t>Existing</t>
        </is>
      </c>
    </row>
    <row r="176" ht="13.5" customHeight="1" s="1232">
      <c r="A176" s="1393" t="n">
        <v>43428</v>
      </c>
      <c r="B176" s="1260" t="inlineStr">
        <is>
          <t>Justin Meaden</t>
        </is>
      </c>
      <c r="C176" s="1255" t="inlineStr">
        <is>
          <t>2. Workshops</t>
        </is>
      </c>
      <c r="D176" s="1260" t="inlineStr">
        <is>
          <t>Stripe</t>
        </is>
      </c>
      <c r="E176" s="1394" t="n">
        <v>56.25</v>
      </c>
      <c r="F176" s="1260" t="inlineStr">
        <is>
          <t>2.5hr Workshop</t>
        </is>
      </c>
      <c r="G176" s="1260" t="inlineStr">
        <is>
          <t>Existing</t>
        </is>
      </c>
    </row>
    <row r="177" ht="13.5" customHeight="1" s="1232">
      <c r="A177" s="1393" t="n">
        <v>43428</v>
      </c>
      <c r="B177" s="1260" t="inlineStr">
        <is>
          <t>Vida Propert</t>
        </is>
      </c>
      <c r="C177" s="1255" t="inlineStr">
        <is>
          <t>6. 1-2-1</t>
        </is>
      </c>
      <c r="D177" s="1260" t="inlineStr">
        <is>
          <t>PayPal</t>
        </is>
      </c>
      <c r="E177" s="1394" t="n">
        <v>180</v>
      </c>
      <c r="F177" s="1282" t="inlineStr">
        <is>
          <t>1-2-1</t>
        </is>
      </c>
      <c r="G177" s="1260" t="inlineStr">
        <is>
          <t>Google</t>
        </is>
      </c>
    </row>
    <row r="178" ht="13.5" customHeight="1" s="1232">
      <c r="A178" s="1393" t="n">
        <v>43427</v>
      </c>
      <c r="B178" s="1260" t="inlineStr">
        <is>
          <t>Sylvia Fillingham</t>
        </is>
      </c>
      <c r="C178" s="1255" t="inlineStr">
        <is>
          <t>1. Courses/masterclasses</t>
        </is>
      </c>
      <c r="D178" s="1260" t="inlineStr">
        <is>
          <t>PayPal</t>
        </is>
      </c>
      <c r="E178" s="1394" t="n">
        <v>187.5</v>
      </c>
      <c r="F178" s="1260" t="inlineStr">
        <is>
          <t>4wk Beginners Course</t>
        </is>
      </c>
      <c r="G178" s="1260" t="inlineStr">
        <is>
          <t>Existing</t>
        </is>
      </c>
    </row>
    <row r="179" ht="13.5" customHeight="1" s="1232">
      <c r="A179" s="1393" t="n">
        <v>43427</v>
      </c>
      <c r="B179" s="1260" t="inlineStr">
        <is>
          <t>Grant Harbert</t>
        </is>
      </c>
      <c r="C179" s="1255" t="inlineStr">
        <is>
          <t>2. Workshops</t>
        </is>
      </c>
      <c r="D179" s="1260" t="inlineStr">
        <is>
          <t>Stripe</t>
        </is>
      </c>
      <c r="E179" s="1394">
        <f>125-38.75</f>
        <v/>
      </c>
      <c r="F179" s="1260" t="inlineStr">
        <is>
          <t>Bluebells</t>
        </is>
      </c>
      <c r="G179" s="1260" t="inlineStr">
        <is>
          <t>Google</t>
        </is>
      </c>
    </row>
    <row r="180" ht="13.5" customHeight="1" s="1232">
      <c r="A180" s="1393" t="n">
        <v>43427</v>
      </c>
      <c r="B180" s="1260" t="inlineStr">
        <is>
          <t>Grant Harbert</t>
        </is>
      </c>
      <c r="C180" s="1255" t="inlineStr">
        <is>
          <t>1. Courses/masterclasses</t>
        </is>
      </c>
      <c r="D180" s="1260" t="inlineStr">
        <is>
          <t>Stripe</t>
        </is>
      </c>
      <c r="E180" s="1394" t="n">
        <v>30</v>
      </c>
      <c r="F180" s="1260" t="inlineStr">
        <is>
          <t>Intro  Class</t>
        </is>
      </c>
      <c r="G180" s="1260" t="inlineStr">
        <is>
          <t>Google</t>
        </is>
      </c>
    </row>
    <row r="181" ht="13.5" customHeight="1" s="1232">
      <c r="A181" s="1393" t="n">
        <v>43427</v>
      </c>
      <c r="B181" s="1260" t="inlineStr">
        <is>
          <t>Madeleine Clark</t>
        </is>
      </c>
      <c r="C181" s="1255" t="inlineStr">
        <is>
          <t>1. Courses/masterclasses</t>
        </is>
      </c>
      <c r="D181" s="1260" t="inlineStr">
        <is>
          <t>Stripe</t>
        </is>
      </c>
      <c r="E181" s="1394" t="n">
        <v>187.5</v>
      </c>
      <c r="F181" s="1260" t="inlineStr">
        <is>
          <t>LR Soli</t>
        </is>
      </c>
      <c r="G181" s="1260" t="inlineStr">
        <is>
          <t>Existing</t>
        </is>
      </c>
    </row>
    <row r="182" ht="13.5" customHeight="1" s="1232">
      <c r="A182" s="1393" t="n">
        <v>43425</v>
      </c>
      <c r="B182" s="1260" t="inlineStr">
        <is>
          <t>Sylvia Fillingham</t>
        </is>
      </c>
      <c r="C182" s="1255" t="inlineStr">
        <is>
          <t>7. Other</t>
        </is>
      </c>
      <c r="D182" s="1260" t="inlineStr">
        <is>
          <t>PayPal</t>
        </is>
      </c>
      <c r="E182" s="1394" t="n">
        <v>9.4</v>
      </c>
      <c r="F182" s="1260" t="inlineStr">
        <is>
          <t>Pocket Guides</t>
        </is>
      </c>
      <c r="G182" s="1260" t="inlineStr">
        <is>
          <t>Google</t>
        </is>
      </c>
    </row>
    <row r="183" ht="13.5" customHeight="1" s="1232">
      <c r="A183" s="1393" t="n">
        <v>43424</v>
      </c>
      <c r="B183" s="1260" t="inlineStr">
        <is>
          <t>Helen Sotheran</t>
        </is>
      </c>
      <c r="C183" s="1255" t="inlineStr">
        <is>
          <t>1. Courses/masterclasses</t>
        </is>
      </c>
      <c r="D183" s="1260" t="inlineStr">
        <is>
          <t>Bank</t>
        </is>
      </c>
      <c r="E183" s="1394" t="n">
        <v>20</v>
      </c>
      <c r="F183" s="1260" t="inlineStr">
        <is>
          <t>Lvl 2 Photo</t>
        </is>
      </c>
      <c r="G183" s="1260" t="inlineStr">
        <is>
          <t>ELS</t>
        </is>
      </c>
    </row>
    <row r="184" ht="13.5" customHeight="1" s="1232">
      <c r="A184" s="1393" t="n">
        <v>43424</v>
      </c>
      <c r="B184" s="1260" t="inlineStr">
        <is>
          <t>Dorinda Gardner</t>
        </is>
      </c>
      <c r="C184" s="1255" t="inlineStr">
        <is>
          <t>1. Courses/masterclasses</t>
        </is>
      </c>
      <c r="D184" s="1260" t="inlineStr">
        <is>
          <t>Stripe</t>
        </is>
      </c>
      <c r="E184" s="1394" t="n">
        <v>30</v>
      </c>
      <c r="F184" s="1260" t="inlineStr">
        <is>
          <t>Intro  Class</t>
        </is>
      </c>
      <c r="G184" s="1260" t="inlineStr">
        <is>
          <t>Google</t>
        </is>
      </c>
    </row>
    <row r="185" ht="13.5" customHeight="1" s="1232">
      <c r="A185" s="1393" t="n">
        <v>43424</v>
      </c>
      <c r="B185" s="1260" t="inlineStr">
        <is>
          <t xml:space="preserve">Alan Gardner </t>
        </is>
      </c>
      <c r="C185" s="1255" t="inlineStr">
        <is>
          <t>1. Courses/masterclasses</t>
        </is>
      </c>
      <c r="D185" s="1260" t="inlineStr">
        <is>
          <t>Stripe</t>
        </is>
      </c>
      <c r="E185" s="1394" t="n">
        <v>30</v>
      </c>
      <c r="F185" s="1260" t="inlineStr">
        <is>
          <t>Intro  Class</t>
        </is>
      </c>
      <c r="G185" s="1260" t="inlineStr">
        <is>
          <t>Google</t>
        </is>
      </c>
    </row>
    <row r="186" ht="13.5" customHeight="1" s="1232">
      <c r="A186" s="1393" t="n">
        <v>43422</v>
      </c>
      <c r="B186" s="1260" t="inlineStr">
        <is>
          <t>Con McHugh</t>
        </is>
      </c>
      <c r="C186" s="1255" t="inlineStr">
        <is>
          <t>1. Courses/masterclasses</t>
        </is>
      </c>
      <c r="D186" s="1260" t="inlineStr">
        <is>
          <t>PicknMix</t>
        </is>
      </c>
      <c r="E186" s="1260" t="n">
        <v>396</v>
      </c>
      <c r="F186" s="1260" t="inlineStr">
        <is>
          <t>Intentions Class</t>
        </is>
      </c>
      <c r="G186" s="1260" t="inlineStr">
        <is>
          <t>Existing</t>
        </is>
      </c>
    </row>
    <row r="187" ht="13.5" customHeight="1" s="1232">
      <c r="A187" s="1393" t="n">
        <v>43422</v>
      </c>
      <c r="B187" s="1260" t="inlineStr">
        <is>
          <t>Janice Jordan</t>
        </is>
      </c>
      <c r="C187" s="1255" t="inlineStr">
        <is>
          <t>1. Courses/masterclasses</t>
        </is>
      </c>
      <c r="D187" s="1260" t="inlineStr">
        <is>
          <t>PicknMix</t>
        </is>
      </c>
      <c r="E187" s="1260" t="n">
        <v>75</v>
      </c>
      <c r="F187" s="1260" t="inlineStr">
        <is>
          <t>Intentions Class</t>
        </is>
      </c>
      <c r="G187" s="1260" t="inlineStr">
        <is>
          <t>Existing</t>
        </is>
      </c>
    </row>
    <row r="188" ht="13.5" customHeight="1" s="1232">
      <c r="A188" s="1393" t="n">
        <v>43422</v>
      </c>
      <c r="B188" s="1260" t="inlineStr">
        <is>
          <t>Con McHugh</t>
        </is>
      </c>
      <c r="C188" s="1255" t="inlineStr">
        <is>
          <t>4. Pick n Mix Out</t>
        </is>
      </c>
      <c r="D188" s="1260" t="inlineStr">
        <is>
          <t>PicknMix</t>
        </is>
      </c>
      <c r="E188" s="1390" t="n">
        <v>-396</v>
      </c>
      <c r="F188" s="1260" t="inlineStr">
        <is>
          <t>Intentions Class</t>
        </is>
      </c>
      <c r="G188" s="1260" t="inlineStr">
        <is>
          <t>Existing</t>
        </is>
      </c>
    </row>
    <row r="189" ht="13.5" customHeight="1" s="1232">
      <c r="A189" s="1393" t="n">
        <v>43422</v>
      </c>
      <c r="B189" s="1260" t="inlineStr">
        <is>
          <t>Janice Jordan</t>
        </is>
      </c>
      <c r="C189" s="1255" t="inlineStr">
        <is>
          <t>4. Pick n Mix Out</t>
        </is>
      </c>
      <c r="D189" s="1260" t="inlineStr">
        <is>
          <t>PicknMix</t>
        </is>
      </c>
      <c r="E189" s="1390" t="n">
        <v>-75</v>
      </c>
      <c r="F189" s="1260" t="inlineStr">
        <is>
          <t>Intentions Class</t>
        </is>
      </c>
      <c r="G189" s="1260" t="inlineStr">
        <is>
          <t>Existing</t>
        </is>
      </c>
    </row>
    <row r="190" ht="13.5" customHeight="1" s="1232">
      <c r="A190" s="1393" t="n">
        <v>43422</v>
      </c>
      <c r="B190" s="1260" t="inlineStr">
        <is>
          <t>Colette Reeves</t>
        </is>
      </c>
      <c r="C190" s="1255" t="inlineStr">
        <is>
          <t>1. Courses/masterclasses</t>
        </is>
      </c>
      <c r="D190" s="1260" t="inlineStr">
        <is>
          <t>Stripe</t>
        </is>
      </c>
      <c r="E190" s="1394" t="n">
        <v>30</v>
      </c>
      <c r="F190" s="1260" t="inlineStr">
        <is>
          <t>Intro  Class</t>
        </is>
      </c>
      <c r="G190" s="1260" t="inlineStr">
        <is>
          <t>Google</t>
        </is>
      </c>
    </row>
    <row r="191" ht="13.5" customHeight="1" s="1232">
      <c r="A191" s="1393" t="n">
        <v>43420</v>
      </c>
      <c r="B191" s="1260" t="inlineStr">
        <is>
          <t>James Cameron</t>
        </is>
      </c>
      <c r="C191" s="1255" t="inlineStr">
        <is>
          <t>6. 1-2-1</t>
        </is>
      </c>
      <c r="D191" s="1260" t="inlineStr">
        <is>
          <t>Bank</t>
        </is>
      </c>
      <c r="E191" s="1394" t="n">
        <v>120</v>
      </c>
      <c r="F191" s="1282" t="inlineStr">
        <is>
          <t>1-2-1 Editing</t>
        </is>
      </c>
      <c r="G191" s="1260" t="inlineStr">
        <is>
          <t>Existing</t>
        </is>
      </c>
    </row>
    <row r="192" ht="13.5" customHeight="1" s="1232">
      <c r="A192" s="1393" t="n">
        <v>43419</v>
      </c>
      <c r="B192" s="1260" t="inlineStr">
        <is>
          <t>James Newberry</t>
        </is>
      </c>
      <c r="C192" s="1255" t="inlineStr">
        <is>
          <t>2. Workshops</t>
        </is>
      </c>
      <c r="D192" s="1260" t="inlineStr">
        <is>
          <t>PayPal</t>
        </is>
      </c>
      <c r="E192" s="1394" t="n">
        <v>25</v>
      </c>
      <c r="F192" s="1260" t="inlineStr">
        <is>
          <t>Leamington Xmas Walk</t>
        </is>
      </c>
      <c r="G192" s="1260" t="inlineStr">
        <is>
          <t>Google</t>
        </is>
      </c>
    </row>
    <row r="193" ht="13.5" customHeight="1" s="1232">
      <c r="A193" s="1393" t="n">
        <v>43415</v>
      </c>
      <c r="B193" s="1260" t="inlineStr">
        <is>
          <t>Sylvia Fillingham</t>
        </is>
      </c>
      <c r="C193" s="1255" t="inlineStr">
        <is>
          <t>1. Courses/masterclasses</t>
        </is>
      </c>
      <c r="D193" s="1260" t="inlineStr">
        <is>
          <t>PayPal</t>
        </is>
      </c>
      <c r="E193" s="1394" t="n">
        <v>30</v>
      </c>
      <c r="F193" s="1260" t="inlineStr">
        <is>
          <t>Intro  Class</t>
        </is>
      </c>
      <c r="G193" s="1260" t="inlineStr">
        <is>
          <t>Facebook</t>
        </is>
      </c>
    </row>
    <row r="194" ht="13.5" customHeight="1" s="1232">
      <c r="A194" s="1393" t="n">
        <v>43418</v>
      </c>
      <c r="B194" s="1260" t="inlineStr">
        <is>
          <t>Alex Harbige</t>
        </is>
      </c>
      <c r="C194" s="1255" t="inlineStr">
        <is>
          <t>2. Workshops</t>
        </is>
      </c>
      <c r="D194" s="1260" t="inlineStr">
        <is>
          <t>Bank</t>
        </is>
      </c>
      <c r="E194" s="1394" t="n">
        <v>100</v>
      </c>
      <c r="F194" s="1260" t="inlineStr">
        <is>
          <t>Suffolk - Feb</t>
        </is>
      </c>
      <c r="G194" s="1260" t="inlineStr">
        <is>
          <t>Google</t>
        </is>
      </c>
    </row>
    <row r="195" ht="13.5" customHeight="1" s="1232">
      <c r="A195" s="1393" t="n">
        <v>43411</v>
      </c>
      <c r="B195" s="1260" t="inlineStr">
        <is>
          <t>Catherine Wood</t>
        </is>
      </c>
      <c r="C195" s="1255" t="inlineStr">
        <is>
          <t>1. Courses/masterclasses</t>
        </is>
      </c>
      <c r="D195" s="1260" t="inlineStr">
        <is>
          <t>PayPal</t>
        </is>
      </c>
      <c r="E195" s="1394">
        <f>250-37.5</f>
        <v/>
      </c>
      <c r="F195" s="1260" t="inlineStr">
        <is>
          <t>LR Beginners</t>
        </is>
      </c>
      <c r="G195" s="1260" t="inlineStr">
        <is>
          <t>Existing</t>
        </is>
      </c>
    </row>
    <row r="196" ht="13.5" customHeight="1" s="1232">
      <c r="A196" s="1393" t="n">
        <v>43411</v>
      </c>
      <c r="B196" s="1260" t="inlineStr">
        <is>
          <t>Anne Watkinson</t>
        </is>
      </c>
      <c r="C196" s="1255" t="inlineStr">
        <is>
          <t>1. Courses/masterclasses</t>
        </is>
      </c>
      <c r="D196" s="1260" t="inlineStr">
        <is>
          <t>PayPal</t>
        </is>
      </c>
      <c r="E196" s="1394" t="n">
        <v>200</v>
      </c>
      <c r="F196" s="1260" t="inlineStr">
        <is>
          <t>LR Beginners</t>
        </is>
      </c>
      <c r="G196" s="1260" t="inlineStr">
        <is>
          <t>Existing</t>
        </is>
      </c>
    </row>
    <row r="197" ht="13.5" customHeight="1" s="1232">
      <c r="A197" s="1393" t="n">
        <v>43411</v>
      </c>
      <c r="B197" s="1260" t="inlineStr">
        <is>
          <t>Rob Hull</t>
        </is>
      </c>
      <c r="C197" s="1255" t="inlineStr">
        <is>
          <t>1. Courses/masterclasses</t>
        </is>
      </c>
      <c r="D197" s="1260" t="inlineStr">
        <is>
          <t>PayPal</t>
        </is>
      </c>
      <c r="E197" s="1394" t="n">
        <v>200</v>
      </c>
      <c r="F197" s="1260" t="inlineStr">
        <is>
          <t>LR Beginners</t>
        </is>
      </c>
      <c r="G197" s="1260" t="inlineStr">
        <is>
          <t>Existing</t>
        </is>
      </c>
    </row>
    <row r="198" ht="13.5" customHeight="1" s="1232">
      <c r="A198" s="1393" t="n">
        <v>43411</v>
      </c>
      <c r="B198" s="1260" t="inlineStr">
        <is>
          <t>Ann McNulty</t>
        </is>
      </c>
      <c r="C198" s="1255" t="inlineStr">
        <is>
          <t>1. Courses/masterclasses</t>
        </is>
      </c>
      <c r="D198" s="1260" t="inlineStr">
        <is>
          <t>PayPal</t>
        </is>
      </c>
      <c r="E198" s="1394" t="n">
        <v>200</v>
      </c>
      <c r="F198" s="1260" t="inlineStr">
        <is>
          <t>LR Beginners</t>
        </is>
      </c>
      <c r="G198" s="1260" t="inlineStr">
        <is>
          <t>Existing</t>
        </is>
      </c>
    </row>
    <row r="199" ht="13.5" customHeight="1" s="1232">
      <c r="A199" s="1393" t="n">
        <v>43409</v>
      </c>
      <c r="B199" s="1260" t="inlineStr">
        <is>
          <t>Joyce james</t>
        </is>
      </c>
      <c r="C199" s="1255" t="inlineStr">
        <is>
          <t>3. Pick n Mix Inc</t>
        </is>
      </c>
      <c r="D199" s="1260" t="inlineStr">
        <is>
          <t>Bank</t>
        </is>
      </c>
      <c r="E199" s="1394" t="n">
        <v>500</v>
      </c>
      <c r="F199" s="1260" t="inlineStr">
        <is>
          <t>Pick N Mix Payments</t>
        </is>
      </c>
      <c r="G199" s="1260" t="inlineStr">
        <is>
          <t>Existing</t>
        </is>
      </c>
    </row>
    <row r="200" ht="13.5" customHeight="1" s="1232">
      <c r="A200" s="1393" t="n">
        <v>43407</v>
      </c>
      <c r="B200" s="1260" t="inlineStr">
        <is>
          <t>Raman Sharma</t>
        </is>
      </c>
      <c r="C200" s="1255" t="inlineStr">
        <is>
          <t>1. Courses/masterclasses</t>
        </is>
      </c>
      <c r="D200" s="1260" t="inlineStr">
        <is>
          <t>Bank</t>
        </is>
      </c>
      <c r="E200" s="1394" t="n">
        <v>13</v>
      </c>
      <c r="F200" s="1260" t="inlineStr">
        <is>
          <t>Intro  Class</t>
        </is>
      </c>
      <c r="G200" s="1260" t="inlineStr">
        <is>
          <t>Groupon</t>
        </is>
      </c>
    </row>
    <row r="201" ht="13.5" customHeight="1" s="1232">
      <c r="A201" s="1393" t="n">
        <v>43407</v>
      </c>
      <c r="B201" s="1260" t="inlineStr">
        <is>
          <t>Lois Portelli</t>
        </is>
      </c>
      <c r="C201" s="1255" t="inlineStr">
        <is>
          <t>1. Courses/masterclasses</t>
        </is>
      </c>
      <c r="D201" s="1260" t="inlineStr">
        <is>
          <t>Stripe</t>
        </is>
      </c>
      <c r="E201" s="1394" t="n">
        <v>250</v>
      </c>
      <c r="F201" s="1260" t="inlineStr">
        <is>
          <t>4wk Beginners Course</t>
        </is>
      </c>
      <c r="G201" s="1260" t="inlineStr">
        <is>
          <t>Existing</t>
        </is>
      </c>
    </row>
    <row r="202" ht="13.5" customHeight="1" s="1232">
      <c r="A202" s="1393" t="n">
        <v>43407</v>
      </c>
      <c r="B202" s="1260" t="inlineStr">
        <is>
          <t>Amanda Graham</t>
        </is>
      </c>
      <c r="C202" s="1255" t="inlineStr">
        <is>
          <t>3. Pick n Mix Inc</t>
        </is>
      </c>
      <c r="D202" s="1260" t="inlineStr">
        <is>
          <t>Bank</t>
        </is>
      </c>
      <c r="E202" s="1394" t="n">
        <v>60</v>
      </c>
      <c r="F202" s="1260" t="inlineStr">
        <is>
          <t>Pick N Mix Payments</t>
        </is>
      </c>
      <c r="G202" s="1260" t="inlineStr">
        <is>
          <t>Google</t>
        </is>
      </c>
    </row>
    <row r="203" ht="13.5" customHeight="1" s="1232">
      <c r="A203" s="1393" t="n">
        <v>43407</v>
      </c>
      <c r="B203" s="1260" t="inlineStr">
        <is>
          <t>Dennis Jeffrey RPS</t>
        </is>
      </c>
      <c r="C203" s="1255" t="inlineStr">
        <is>
          <t>1. Courses/masterclasses</t>
        </is>
      </c>
      <c r="D203" s="1260" t="inlineStr">
        <is>
          <t>Stripe</t>
        </is>
      </c>
      <c r="E203" s="1394" t="n">
        <v>395</v>
      </c>
      <c r="F203" s="1260" t="inlineStr">
        <is>
          <t>RPS Course</t>
        </is>
      </c>
      <c r="G203" s="1260" t="inlineStr">
        <is>
          <t>Existing</t>
        </is>
      </c>
    </row>
    <row r="204" ht="13.5" customHeight="1" s="1232">
      <c r="A204" s="1393" t="n">
        <v>43405</v>
      </c>
      <c r="B204" s="1260" t="inlineStr">
        <is>
          <t>Nov Pick N Mix</t>
        </is>
      </c>
      <c r="C204" s="1255" t="inlineStr">
        <is>
          <t>3. Pick n Mix Inc</t>
        </is>
      </c>
      <c r="D204" s="1255" t="inlineStr">
        <is>
          <t>Various</t>
        </is>
      </c>
      <c r="E204" s="1261" t="n">
        <v>681.13</v>
      </c>
      <c r="F204" s="1255" t="inlineStr">
        <is>
          <t>Pick N Mix Payments</t>
        </is>
      </c>
      <c r="G204" s="1255" t="inlineStr">
        <is>
          <t>Existing</t>
        </is>
      </c>
    </row>
    <row r="205" ht="13.5" customHeight="1" s="1232">
      <c r="A205" s="1393" t="n">
        <v>43405</v>
      </c>
      <c r="B205" s="1260" t="inlineStr">
        <is>
          <t>Nov Mentoring</t>
        </is>
      </c>
      <c r="C205" s="1255" t="inlineStr">
        <is>
          <t>5. Mentoring</t>
        </is>
      </c>
      <c r="D205" s="1255" t="inlineStr">
        <is>
          <t>Various</t>
        </is>
      </c>
      <c r="E205" s="1261" t="n">
        <v>40</v>
      </c>
      <c r="F205" s="1255" t="inlineStr">
        <is>
          <t>Mentoring Subs</t>
        </is>
      </c>
      <c r="G205" s="1255" t="inlineStr">
        <is>
          <t>Existing</t>
        </is>
      </c>
    </row>
    <row r="206" ht="13.5" customHeight="1" s="1232">
      <c r="A206" s="1393" t="n"/>
      <c r="B206" s="1260" t="n"/>
      <c r="C206" s="1260" t="n"/>
      <c r="D206" s="1260" t="n"/>
      <c r="E206" s="1394" t="n"/>
      <c r="F206" s="1260" t="n"/>
      <c r="G206" s="1260" t="n"/>
    </row>
    <row r="207" ht="13.5" customHeight="1" s="1232">
      <c r="A207" s="1393" t="n">
        <v>43404</v>
      </c>
      <c r="B207" s="1260" t="inlineStr">
        <is>
          <t>Richard Cheney</t>
        </is>
      </c>
      <c r="C207" s="1255" t="inlineStr">
        <is>
          <t>1. Courses/masterclasses</t>
        </is>
      </c>
      <c r="D207" s="1260" t="inlineStr">
        <is>
          <t>Stripe</t>
        </is>
      </c>
      <c r="E207" s="1394" t="n">
        <v>30</v>
      </c>
      <c r="F207" s="1260" t="inlineStr">
        <is>
          <t>Intro Class</t>
        </is>
      </c>
      <c r="G207" s="1260" t="inlineStr">
        <is>
          <t>Existing</t>
        </is>
      </c>
    </row>
    <row r="208" ht="13.5" customHeight="1" s="1232">
      <c r="A208" s="1393" t="n">
        <v>43402</v>
      </c>
      <c r="B208" s="1260" t="inlineStr">
        <is>
          <t>Kerry Bottomley</t>
        </is>
      </c>
      <c r="C208" s="1255" t="inlineStr">
        <is>
          <t>2. Workshops</t>
        </is>
      </c>
      <c r="D208" s="1260" t="inlineStr">
        <is>
          <t>Stripe</t>
        </is>
      </c>
      <c r="E208" s="1394" t="n">
        <v>49</v>
      </c>
      <c r="F208" s="1260" t="inlineStr">
        <is>
          <t>Batsford Autumn</t>
        </is>
      </c>
      <c r="G208" s="1260" t="inlineStr">
        <is>
          <t>Existing</t>
        </is>
      </c>
    </row>
    <row r="209" ht="13.5" customHeight="1" s="1232">
      <c r="A209" s="1393" t="n">
        <v>43398</v>
      </c>
      <c r="B209" s="1260" t="inlineStr">
        <is>
          <t>Ann Anson</t>
        </is>
      </c>
      <c r="C209" s="1255" t="inlineStr">
        <is>
          <t>2. Workshops</t>
        </is>
      </c>
      <c r="D209" s="1260" t="inlineStr">
        <is>
          <t>W-Play</t>
        </is>
      </c>
      <c r="E209" s="1394" t="n">
        <v>150</v>
      </c>
      <c r="F209" s="1260" t="inlineStr">
        <is>
          <t>Batsford Autumn</t>
        </is>
      </c>
      <c r="G209" s="1260" t="inlineStr">
        <is>
          <t>Batsford</t>
        </is>
      </c>
    </row>
    <row r="210" ht="13.5" customHeight="1" s="1232">
      <c r="A210" s="1393" t="n">
        <v>43396</v>
      </c>
      <c r="B210" s="1260" t="inlineStr">
        <is>
          <t>Lois Portelli</t>
        </is>
      </c>
      <c r="C210" s="1255" t="inlineStr">
        <is>
          <t>1. Courses/masterclasses</t>
        </is>
      </c>
      <c r="D210" s="1260" t="inlineStr">
        <is>
          <t>PayPal</t>
        </is>
      </c>
      <c r="E210" s="1394" t="n">
        <v>30</v>
      </c>
      <c r="F210" s="1260" t="inlineStr">
        <is>
          <t>Intro Class Ken</t>
        </is>
      </c>
      <c r="G210" s="1260" t="inlineStr">
        <is>
          <t>Google</t>
        </is>
      </c>
    </row>
    <row r="211" ht="13.5" customHeight="1" s="1232">
      <c r="A211" s="1393" t="n">
        <v>43396</v>
      </c>
      <c r="B211" s="1260" t="inlineStr">
        <is>
          <t>Cheryl Millyard</t>
        </is>
      </c>
      <c r="C211" s="1255" t="inlineStr">
        <is>
          <t>2. Workshops</t>
        </is>
      </c>
      <c r="D211" s="1260" t="inlineStr">
        <is>
          <t>Stripe</t>
        </is>
      </c>
      <c r="E211" s="1394" t="n">
        <v>75</v>
      </c>
      <c r="F211" s="1260" t="inlineStr">
        <is>
          <t>Fireworks</t>
        </is>
      </c>
      <c r="G211" s="1260" t="inlineStr">
        <is>
          <t>Facebook</t>
        </is>
      </c>
    </row>
    <row r="212" ht="13.5" customHeight="1" s="1232">
      <c r="A212" s="1393" t="n">
        <v>43396</v>
      </c>
      <c r="B212" s="1260" t="inlineStr">
        <is>
          <t>Dave McGuire</t>
        </is>
      </c>
      <c r="C212" s="1255" t="inlineStr">
        <is>
          <t>1. Courses/masterclasses</t>
        </is>
      </c>
      <c r="D212" s="1260" t="inlineStr">
        <is>
          <t>PayPal</t>
        </is>
      </c>
      <c r="E212" s="1394" t="n">
        <v>50</v>
      </c>
      <c r="F212" s="1260" t="inlineStr">
        <is>
          <t>4wk Beginners Course</t>
        </is>
      </c>
      <c r="G212" s="1260" t="inlineStr">
        <is>
          <t>ELS</t>
        </is>
      </c>
    </row>
    <row r="213" ht="13.5" customHeight="1" s="1232">
      <c r="A213" s="1393" t="n">
        <v>43394</v>
      </c>
      <c r="B213" s="1260" t="inlineStr">
        <is>
          <t>Dennis Jeffrey</t>
        </is>
      </c>
      <c r="C213" s="1255" t="inlineStr">
        <is>
          <t>2. Workshops</t>
        </is>
      </c>
      <c r="D213" s="1260" t="inlineStr">
        <is>
          <t>Stripe</t>
        </is>
      </c>
      <c r="E213" s="1394" t="n">
        <v>75</v>
      </c>
      <c r="F213" s="1260" t="inlineStr">
        <is>
          <t>Batsford Autumn</t>
        </is>
      </c>
      <c r="G213" s="1260" t="inlineStr">
        <is>
          <t>Google</t>
        </is>
      </c>
    </row>
    <row r="214" ht="13.5" customHeight="1" s="1232">
      <c r="A214" s="1393" t="n">
        <v>43394</v>
      </c>
      <c r="B214" s="1260" t="inlineStr">
        <is>
          <t>Indi Pnaiser</t>
        </is>
      </c>
      <c r="C214" s="1255" t="inlineStr">
        <is>
          <t>6. 1-2-1</t>
        </is>
      </c>
      <c r="D214" s="1260" t="inlineStr">
        <is>
          <t>PayPal</t>
        </is>
      </c>
      <c r="E214" s="1394" t="n">
        <v>120</v>
      </c>
      <c r="F214" s="1282" t="inlineStr">
        <is>
          <t>1-2-1</t>
        </is>
      </c>
      <c r="G214" s="1260" t="inlineStr">
        <is>
          <t>Google</t>
        </is>
      </c>
    </row>
    <row r="215" ht="13.5" customHeight="1" s="1232">
      <c r="A215" s="1393" t="n">
        <v>43394</v>
      </c>
      <c r="B215" s="1260" t="inlineStr">
        <is>
          <t>Catherine Gomm</t>
        </is>
      </c>
      <c r="C215" s="1255" t="inlineStr">
        <is>
          <t>2. Workshops</t>
        </is>
      </c>
      <c r="D215" s="1260" t="inlineStr">
        <is>
          <t>Stripe</t>
        </is>
      </c>
      <c r="E215" s="1394" t="n">
        <v>75</v>
      </c>
      <c r="F215" s="1260" t="inlineStr">
        <is>
          <t>Batsford Autumn</t>
        </is>
      </c>
      <c r="G215" s="1260" t="inlineStr">
        <is>
          <t>Google</t>
        </is>
      </c>
    </row>
    <row r="216" ht="13.5" customHeight="1" s="1232">
      <c r="A216" s="1393" t="n">
        <v>43393</v>
      </c>
      <c r="B216" s="1260" t="inlineStr">
        <is>
          <t>Diana Richards</t>
        </is>
      </c>
      <c r="C216" s="1255" t="inlineStr">
        <is>
          <t>2. Workshops</t>
        </is>
      </c>
      <c r="D216" s="1260" t="inlineStr">
        <is>
          <t>PayPal</t>
        </is>
      </c>
      <c r="E216" s="1394" t="n">
        <v>125</v>
      </c>
      <c r="F216" s="1260" t="inlineStr">
        <is>
          <t>Batsford Autumn</t>
        </is>
      </c>
      <c r="G216" s="1260" t="inlineStr">
        <is>
          <t>Existing</t>
        </is>
      </c>
    </row>
    <row r="217" ht="13.5" customHeight="1" s="1232">
      <c r="A217" s="1393" t="n">
        <v>43393</v>
      </c>
      <c r="B217" s="1260" t="inlineStr">
        <is>
          <t>Shree Kennedy</t>
        </is>
      </c>
      <c r="C217" s="1255" t="inlineStr">
        <is>
          <t>6. 1-2-1</t>
        </is>
      </c>
      <c r="D217" s="1260" t="inlineStr">
        <is>
          <t>PayPal</t>
        </is>
      </c>
      <c r="E217" s="1394" t="n">
        <v>120</v>
      </c>
      <c r="F217" s="1282" t="inlineStr">
        <is>
          <t>1-2-1</t>
        </is>
      </c>
      <c r="G217" s="1260" t="inlineStr">
        <is>
          <t>Existing</t>
        </is>
      </c>
    </row>
    <row r="218" ht="13.5" customHeight="1" s="1232">
      <c r="A218" s="1393" t="n">
        <v>43392</v>
      </c>
      <c r="B218" s="1260" t="inlineStr">
        <is>
          <t>Carol Davies</t>
        </is>
      </c>
      <c r="C218" s="1255" t="inlineStr">
        <is>
          <t>2. Workshops</t>
        </is>
      </c>
      <c r="D218" s="1260" t="inlineStr">
        <is>
          <t>Stripe</t>
        </is>
      </c>
      <c r="E218" s="1394" t="n">
        <v>75</v>
      </c>
      <c r="F218" s="1260" t="inlineStr">
        <is>
          <t>Batsford Autumn</t>
        </is>
      </c>
      <c r="G218" s="1260" t="inlineStr">
        <is>
          <t>Google</t>
        </is>
      </c>
    </row>
    <row r="219" ht="13.5" customHeight="1" s="1232">
      <c r="A219" s="1393" t="n">
        <v>43392</v>
      </c>
      <c r="B219" s="1260" t="inlineStr">
        <is>
          <t>Alistair Willis</t>
        </is>
      </c>
      <c r="C219" s="1255" t="inlineStr">
        <is>
          <t>2. Workshops</t>
        </is>
      </c>
      <c r="D219" s="1260" t="inlineStr">
        <is>
          <t>PayPal</t>
        </is>
      </c>
      <c r="E219" s="1394" t="n">
        <v>75</v>
      </c>
      <c r="F219" s="1260" t="inlineStr">
        <is>
          <t>Batsford Autumn</t>
        </is>
      </c>
      <c r="G219" s="1260" t="inlineStr">
        <is>
          <t>Existing</t>
        </is>
      </c>
    </row>
    <row r="220" ht="13.5" customHeight="1" s="1232">
      <c r="A220" s="1393" t="n">
        <v>43392</v>
      </c>
      <c r="B220" s="1260" t="inlineStr">
        <is>
          <t>Paul Kirby</t>
        </is>
      </c>
      <c r="C220" s="1255" t="inlineStr">
        <is>
          <t>2. Workshops</t>
        </is>
      </c>
      <c r="D220" s="1260" t="inlineStr">
        <is>
          <t>PayPal</t>
        </is>
      </c>
      <c r="E220" s="1394" t="n">
        <v>75</v>
      </c>
      <c r="F220" s="1260" t="inlineStr">
        <is>
          <t>Batsford Autumn</t>
        </is>
      </c>
      <c r="G220" s="1260" t="inlineStr">
        <is>
          <t>Existing</t>
        </is>
      </c>
    </row>
    <row r="221" ht="13.5" customHeight="1" s="1232">
      <c r="A221" s="1393" t="n">
        <v>43391</v>
      </c>
      <c r="B221" s="1260" t="inlineStr">
        <is>
          <t>Lynn Bowring</t>
        </is>
      </c>
      <c r="C221" s="1255" t="inlineStr">
        <is>
          <t>2. Workshops</t>
        </is>
      </c>
      <c r="D221" s="1260" t="inlineStr">
        <is>
          <t>Stripe</t>
        </is>
      </c>
      <c r="E221" s="1394" t="n">
        <v>75</v>
      </c>
      <c r="F221" s="1260" t="inlineStr">
        <is>
          <t>Batsford Autumn</t>
        </is>
      </c>
      <c r="G221" s="1260" t="inlineStr">
        <is>
          <t>Batsford</t>
        </is>
      </c>
    </row>
    <row r="222" ht="13.5" customHeight="1" s="1232">
      <c r="A222" s="1393" t="n">
        <v>43391</v>
      </c>
      <c r="B222" s="1260" t="inlineStr">
        <is>
          <t>Penny Simpson</t>
        </is>
      </c>
      <c r="C222" s="1255" t="inlineStr">
        <is>
          <t>1. Courses/masterclasses</t>
        </is>
      </c>
      <c r="D222" s="1260" t="inlineStr">
        <is>
          <t>Stripe</t>
        </is>
      </c>
      <c r="E222" s="1394" t="n">
        <v>50</v>
      </c>
      <c r="F222" s="1260" t="inlineStr">
        <is>
          <t>Bracketing Masterclass</t>
        </is>
      </c>
      <c r="G222" s="1260" t="inlineStr">
        <is>
          <t>Facebook</t>
        </is>
      </c>
    </row>
    <row r="223" ht="13.5" customHeight="1" s="1232">
      <c r="A223" s="1393" t="n">
        <v>43391</v>
      </c>
      <c r="B223" s="1260" t="inlineStr">
        <is>
          <t>Joy Dennison</t>
        </is>
      </c>
      <c r="C223" s="1255" t="inlineStr">
        <is>
          <t>2. Workshops</t>
        </is>
      </c>
      <c r="D223" s="1260" t="inlineStr">
        <is>
          <t>Stripe</t>
        </is>
      </c>
      <c r="E223" s="1394" t="n">
        <v>125</v>
      </c>
      <c r="F223" s="1260" t="inlineStr">
        <is>
          <t>Batsford Autumn</t>
        </is>
      </c>
      <c r="G223" s="1260" t="inlineStr">
        <is>
          <t>Existing</t>
        </is>
      </c>
    </row>
    <row r="224" ht="13.5" customHeight="1" s="1232">
      <c r="A224" s="1393" t="n">
        <v>43390</v>
      </c>
      <c r="B224" s="1260" t="inlineStr">
        <is>
          <t>Jeff Love</t>
        </is>
      </c>
      <c r="C224" s="1255" t="inlineStr">
        <is>
          <t>2. Workshops</t>
        </is>
      </c>
      <c r="D224" s="1260" t="inlineStr">
        <is>
          <t>PayPal</t>
        </is>
      </c>
      <c r="E224" s="1394" t="n">
        <v>375</v>
      </c>
      <c r="F224" s="1260" t="inlineStr">
        <is>
          <t>Batsford Autumn</t>
        </is>
      </c>
      <c r="G224" s="1260" t="inlineStr">
        <is>
          <t>Google</t>
        </is>
      </c>
    </row>
    <row r="225" ht="13.5" customHeight="1" s="1232">
      <c r="A225" s="1393" t="n">
        <v>43390</v>
      </c>
      <c r="B225" s="1260" t="inlineStr">
        <is>
          <t>Karol Whittington</t>
        </is>
      </c>
      <c r="C225" s="1255" t="inlineStr">
        <is>
          <t>2. Workshops</t>
        </is>
      </c>
      <c r="D225" s="1260" t="inlineStr">
        <is>
          <t>PayPal</t>
        </is>
      </c>
      <c r="E225" s="1394" t="n">
        <v>75</v>
      </c>
      <c r="F225" s="1260" t="inlineStr">
        <is>
          <t>Batsford Autumn</t>
        </is>
      </c>
      <c r="G225" s="1260" t="inlineStr">
        <is>
          <t>Google</t>
        </is>
      </c>
    </row>
    <row r="226" ht="13.5" customHeight="1" s="1232">
      <c r="A226" s="1393" t="n">
        <v>43390</v>
      </c>
      <c r="B226" s="1260" t="inlineStr">
        <is>
          <t>Colleen Abell</t>
        </is>
      </c>
      <c r="C226" s="1255" t="inlineStr">
        <is>
          <t>1. Courses/masterclasses</t>
        </is>
      </c>
      <c r="D226" s="1260" t="inlineStr">
        <is>
          <t>PayPal</t>
        </is>
      </c>
      <c r="E226" s="1394" t="n">
        <v>30</v>
      </c>
      <c r="F226" s="1260" t="inlineStr">
        <is>
          <t>Intro Class Soli</t>
        </is>
      </c>
      <c r="G226" s="1260" t="inlineStr">
        <is>
          <t>Google</t>
        </is>
      </c>
    </row>
    <row r="227" ht="13.5" customHeight="1" s="1232">
      <c r="A227" s="1393" t="n">
        <v>43390</v>
      </c>
      <c r="B227" s="1260" t="inlineStr">
        <is>
          <t>John Grant</t>
        </is>
      </c>
      <c r="C227" s="1255" t="inlineStr">
        <is>
          <t>1. Courses/masterclasses</t>
        </is>
      </c>
      <c r="D227" s="1260" t="inlineStr">
        <is>
          <t>Stripe</t>
        </is>
      </c>
      <c r="E227" s="1394" t="n">
        <v>250</v>
      </c>
      <c r="F227" s="1260" t="inlineStr">
        <is>
          <t>LR Lvl 1 Soli</t>
        </is>
      </c>
      <c r="G227" s="1260" t="inlineStr">
        <is>
          <t>Facebook</t>
        </is>
      </c>
    </row>
    <row r="228" ht="13.5" customHeight="1" s="1232">
      <c r="A228" s="1393" t="n">
        <v>43390</v>
      </c>
      <c r="B228" s="1260" t="inlineStr">
        <is>
          <t>John Grant</t>
        </is>
      </c>
      <c r="C228" s="1255" t="inlineStr">
        <is>
          <t>1. Courses/masterclasses</t>
        </is>
      </c>
      <c r="D228" s="1260" t="inlineStr">
        <is>
          <t>Stripe</t>
        </is>
      </c>
      <c r="E228" s="1394" t="n">
        <v>50</v>
      </c>
      <c r="F228" s="1260" t="inlineStr">
        <is>
          <t>Bracketing Masterclass</t>
        </is>
      </c>
      <c r="G228" s="1260" t="inlineStr">
        <is>
          <t>Facebook</t>
        </is>
      </c>
    </row>
    <row r="229" ht="13.5" customHeight="1" s="1232">
      <c r="A229" s="1393" t="n">
        <v>43389</v>
      </c>
      <c r="B229" s="1260" t="inlineStr">
        <is>
          <t>Barrington Mayne</t>
        </is>
      </c>
      <c r="C229" s="1255" t="inlineStr">
        <is>
          <t>7. Other</t>
        </is>
      </c>
      <c r="D229" s="1260" t="inlineStr">
        <is>
          <t>PayPal</t>
        </is>
      </c>
      <c r="E229" s="1394" t="n">
        <v>9.4</v>
      </c>
      <c r="F229" s="1260" t="inlineStr">
        <is>
          <t>Pocket Guides</t>
        </is>
      </c>
      <c r="G229" s="1260" t="inlineStr">
        <is>
          <t>Google</t>
        </is>
      </c>
    </row>
    <row r="230" ht="13.5" customHeight="1" s="1232">
      <c r="A230" s="1393" t="n">
        <v>43388</v>
      </c>
      <c r="B230" s="1260" t="inlineStr">
        <is>
          <t>Michael Payne</t>
        </is>
      </c>
      <c r="C230" s="1255" t="inlineStr">
        <is>
          <t>2. Workshops</t>
        </is>
      </c>
      <c r="D230" s="1260" t="inlineStr">
        <is>
          <t>Stripe</t>
        </is>
      </c>
      <c r="E230" s="1394" t="n">
        <v>150</v>
      </c>
      <c r="F230" s="1260" t="inlineStr">
        <is>
          <t>Batsford Autumn</t>
        </is>
      </c>
      <c r="G230" s="1260" t="inlineStr">
        <is>
          <t>Batsford</t>
        </is>
      </c>
    </row>
    <row r="231" ht="13.5" customHeight="1" s="1232">
      <c r="A231" s="1393" t="n">
        <v>43385</v>
      </c>
      <c r="B231" s="1260" t="inlineStr">
        <is>
          <t>Stephen Fitchett</t>
        </is>
      </c>
      <c r="C231" s="1255" t="inlineStr">
        <is>
          <t>2. Workshops</t>
        </is>
      </c>
      <c r="D231" s="1260" t="inlineStr">
        <is>
          <t>Stripe</t>
        </is>
      </c>
      <c r="E231" s="1394" t="n">
        <v>99</v>
      </c>
      <c r="F231" s="1260" t="inlineStr">
        <is>
          <t>Batsford Autumn</t>
        </is>
      </c>
      <c r="G231" s="1260" t="inlineStr">
        <is>
          <t>Google</t>
        </is>
      </c>
    </row>
    <row r="232" ht="13.5" customHeight="1" s="1232">
      <c r="A232" s="1393" t="n">
        <v>43380</v>
      </c>
      <c r="B232" s="1260" t="inlineStr">
        <is>
          <t>Katie Siddle</t>
        </is>
      </c>
      <c r="C232" s="1255" t="inlineStr">
        <is>
          <t>2. Workshops</t>
        </is>
      </c>
      <c r="D232" s="1260" t="inlineStr">
        <is>
          <t>Stripe</t>
        </is>
      </c>
      <c r="E232" s="1394" t="n">
        <v>75</v>
      </c>
      <c r="F232" s="1260" t="inlineStr">
        <is>
          <t>Gift Voucher</t>
        </is>
      </c>
      <c r="G232" s="1260" t="inlineStr">
        <is>
          <t>Google</t>
        </is>
      </c>
    </row>
    <row r="233" ht="13.5" customHeight="1" s="1232">
      <c r="A233" s="1393" t="n">
        <v>43380</v>
      </c>
      <c r="B233" s="1260" t="inlineStr">
        <is>
          <t>Mandy Clift</t>
        </is>
      </c>
      <c r="C233" s="1255" t="inlineStr">
        <is>
          <t>2. Workshops</t>
        </is>
      </c>
      <c r="D233" s="1260" t="inlineStr">
        <is>
          <t>Stripe</t>
        </is>
      </c>
      <c r="E233" s="1394" t="n">
        <v>150</v>
      </c>
      <c r="F233" s="1260" t="inlineStr">
        <is>
          <t>Batsford Autumn</t>
        </is>
      </c>
      <c r="G233" s="1260" t="inlineStr">
        <is>
          <t>Facebook</t>
        </is>
      </c>
    </row>
    <row r="234" ht="13.5" customHeight="1" s="1232">
      <c r="A234" s="1393" t="n">
        <v>43379</v>
      </c>
      <c r="B234" s="1260" t="inlineStr">
        <is>
          <t>Andy Fitt</t>
        </is>
      </c>
      <c r="C234" s="1255" t="inlineStr">
        <is>
          <t>2. Workshops</t>
        </is>
      </c>
      <c r="D234" s="1260" t="inlineStr">
        <is>
          <t>Stripe</t>
        </is>
      </c>
      <c r="E234" s="1394" t="n">
        <v>99</v>
      </c>
      <c r="F234" s="1260" t="inlineStr">
        <is>
          <t>Batsford Autumn</t>
        </is>
      </c>
      <c r="G234" s="1260" t="inlineStr">
        <is>
          <t>Facebook</t>
        </is>
      </c>
    </row>
    <row r="235" ht="13.5" customHeight="1" s="1232">
      <c r="A235" s="1393" t="n">
        <v>43379</v>
      </c>
      <c r="B235" s="1260" t="inlineStr">
        <is>
          <t>Barry Roberts</t>
        </is>
      </c>
      <c r="C235" s="1255" t="inlineStr">
        <is>
          <t>2. Workshops</t>
        </is>
      </c>
      <c r="D235" s="1260" t="inlineStr">
        <is>
          <t>Stripe</t>
        </is>
      </c>
      <c r="E235" s="1394" t="n">
        <v>69</v>
      </c>
      <c r="F235" s="1260" t="inlineStr">
        <is>
          <t>Batsford Autumn</t>
        </is>
      </c>
      <c r="G235" s="1260" t="inlineStr">
        <is>
          <t>Batsford</t>
        </is>
      </c>
    </row>
    <row r="236" ht="13.5" customHeight="1" s="1232">
      <c r="A236" s="1393" t="n">
        <v>43376</v>
      </c>
      <c r="B236" s="1260" t="inlineStr">
        <is>
          <t>Rebecca Beresford</t>
        </is>
      </c>
      <c r="C236" s="1255" t="inlineStr">
        <is>
          <t>2. Workshops</t>
        </is>
      </c>
      <c r="D236" s="1260" t="inlineStr">
        <is>
          <t>Stripe</t>
        </is>
      </c>
      <c r="E236" s="1394" t="n">
        <v>99</v>
      </c>
      <c r="F236" s="1260" t="inlineStr">
        <is>
          <t>Batsford Autumn</t>
        </is>
      </c>
      <c r="G236" s="1260" t="inlineStr">
        <is>
          <t>Google</t>
        </is>
      </c>
    </row>
    <row r="237" ht="13.5" customHeight="1" s="1232">
      <c r="A237" s="1393" t="n">
        <v>43376</v>
      </c>
      <c r="B237" s="1260" t="inlineStr">
        <is>
          <t>Joyce James</t>
        </is>
      </c>
      <c r="C237" s="1255" t="inlineStr">
        <is>
          <t>2. Workshops</t>
        </is>
      </c>
      <c r="D237" s="1260" t="inlineStr">
        <is>
          <t>Bank</t>
        </is>
      </c>
      <c r="E237" s="1394" t="n">
        <v>230</v>
      </c>
      <c r="F237" s="1260" t="inlineStr">
        <is>
          <t>Northumbria</t>
        </is>
      </c>
      <c r="G237" s="1260" t="inlineStr">
        <is>
          <t>Existing</t>
        </is>
      </c>
    </row>
    <row r="238" ht="13.5" customHeight="1" s="1232">
      <c r="A238" s="1393" t="n">
        <v>43376</v>
      </c>
      <c r="B238" s="1260" t="inlineStr">
        <is>
          <t>Lynn Welsher</t>
        </is>
      </c>
      <c r="C238" s="1255" t="inlineStr">
        <is>
          <t>2. Workshops</t>
        </is>
      </c>
      <c r="D238" s="1260" t="inlineStr">
        <is>
          <t>PayPal</t>
        </is>
      </c>
      <c r="E238" s="1394" t="n">
        <v>15</v>
      </c>
      <c r="F238" s="1260" t="inlineStr">
        <is>
          <t>Batsford Class/Walk</t>
        </is>
      </c>
      <c r="G238" s="1260" t="inlineStr">
        <is>
          <t>Batsford</t>
        </is>
      </c>
    </row>
    <row r="239" ht="13.5" customHeight="1" s="1232">
      <c r="A239" s="1393" t="n">
        <v>43374</v>
      </c>
      <c r="B239" s="1260" t="inlineStr">
        <is>
          <t>Rebecca Keene</t>
        </is>
      </c>
      <c r="C239" s="1255" t="inlineStr">
        <is>
          <t>2. Workshops</t>
        </is>
      </c>
      <c r="D239" s="1260" t="inlineStr">
        <is>
          <t>Stripe</t>
        </is>
      </c>
      <c r="E239" s="1394" t="n">
        <v>150</v>
      </c>
      <c r="F239" s="1260" t="inlineStr">
        <is>
          <t>Batsford Autumn</t>
        </is>
      </c>
      <c r="G239" s="1260" t="inlineStr">
        <is>
          <t>Facebook</t>
        </is>
      </c>
    </row>
    <row r="240" ht="13.5" customHeight="1" s="1232">
      <c r="A240" s="1393" t="n">
        <v>43374</v>
      </c>
      <c r="B240" s="1260" t="inlineStr">
        <is>
          <t>Paula Major</t>
        </is>
      </c>
      <c r="C240" s="1255" t="inlineStr">
        <is>
          <t>2. Workshops</t>
        </is>
      </c>
      <c r="D240" s="1260" t="inlineStr">
        <is>
          <t>Stripe</t>
        </is>
      </c>
      <c r="E240" s="1394" t="n">
        <v>75</v>
      </c>
      <c r="F240" s="1260" t="inlineStr">
        <is>
          <t>Kenilworth Fireworks</t>
        </is>
      </c>
      <c r="G240" s="1260" t="inlineStr">
        <is>
          <t>Google</t>
        </is>
      </c>
    </row>
    <row r="241" ht="13.5" customHeight="1" s="1232">
      <c r="A241" s="1393" t="n">
        <v>43374</v>
      </c>
      <c r="B241" s="1260" t="inlineStr">
        <is>
          <t>Oct Pick N Mix</t>
        </is>
      </c>
      <c r="C241" s="1255" t="inlineStr">
        <is>
          <t>3. Pick n Mix Inc</t>
        </is>
      </c>
      <c r="D241" s="1255" t="inlineStr">
        <is>
          <t>Various</t>
        </is>
      </c>
      <c r="E241" s="1261" t="n">
        <v>493.63</v>
      </c>
      <c r="F241" s="1255" t="inlineStr">
        <is>
          <t>Pick N Mix Payments</t>
        </is>
      </c>
      <c r="G241" s="1255" t="inlineStr">
        <is>
          <t>Existing</t>
        </is>
      </c>
    </row>
    <row r="242" ht="13.5" customHeight="1" s="1232">
      <c r="A242" s="1393" t="n">
        <v>43374</v>
      </c>
      <c r="B242" s="1260" t="inlineStr">
        <is>
          <t>Oct Mentoring</t>
        </is>
      </c>
      <c r="C242" s="1255" t="inlineStr">
        <is>
          <t>5. Mentoring</t>
        </is>
      </c>
      <c r="D242" s="1255" t="inlineStr">
        <is>
          <t>Various</t>
        </is>
      </c>
      <c r="E242" s="1261" t="n">
        <v>40</v>
      </c>
      <c r="F242" s="1255" t="inlineStr">
        <is>
          <t>Mentoring Subs</t>
        </is>
      </c>
      <c r="G242" s="1255" t="inlineStr">
        <is>
          <t>Existing</t>
        </is>
      </c>
    </row>
    <row r="243" ht="13.5" customHeight="1" s="1232">
      <c r="A243" s="1393" t="n"/>
      <c r="B243" s="1260" t="n"/>
      <c r="C243" s="1260" t="n"/>
      <c r="D243" s="1260" t="n"/>
      <c r="E243" s="1394" t="n"/>
      <c r="F243" s="1260" t="n"/>
      <c r="G243" s="1260" t="n"/>
    </row>
    <row r="244" ht="13.5" customHeight="1" s="1232">
      <c r="A244" s="1393" t="n">
        <v>43373</v>
      </c>
      <c r="B244" s="1260" t="inlineStr">
        <is>
          <t>Janice Jordan</t>
        </is>
      </c>
      <c r="C244" s="1255" t="inlineStr">
        <is>
          <t>3. Pick n Mix Inc</t>
        </is>
      </c>
      <c r="D244" s="1260" t="inlineStr">
        <is>
          <t>Bank</t>
        </is>
      </c>
      <c r="E244" s="1394" t="n">
        <v>187.5</v>
      </c>
      <c r="F244" s="1260" t="inlineStr">
        <is>
          <t>Pick N Mix Payments</t>
        </is>
      </c>
      <c r="G244" s="1260" t="inlineStr">
        <is>
          <t>Existing</t>
        </is>
      </c>
    </row>
    <row r="245" ht="13.5" customHeight="1" s="1232">
      <c r="A245" s="1393" t="n">
        <v>43373</v>
      </c>
      <c r="B245" s="1260" t="inlineStr">
        <is>
          <t>Sally Wood</t>
        </is>
      </c>
      <c r="C245" s="1255" t="inlineStr">
        <is>
          <t>2. Workshops</t>
        </is>
      </c>
      <c r="D245" s="1260" t="inlineStr">
        <is>
          <t>Stripe</t>
        </is>
      </c>
      <c r="E245" s="1394" t="n">
        <v>69</v>
      </c>
      <c r="F245" s="1260" t="inlineStr">
        <is>
          <t>Batsford Autumn</t>
        </is>
      </c>
      <c r="G245" s="1260" t="inlineStr">
        <is>
          <t>Batsford</t>
        </is>
      </c>
    </row>
    <row r="246" ht="13.5" customHeight="1" s="1232">
      <c r="A246" s="1393" t="n">
        <v>43373</v>
      </c>
      <c r="B246" s="1260" t="inlineStr">
        <is>
          <t>Diana Richards</t>
        </is>
      </c>
      <c r="C246" s="1255" t="inlineStr">
        <is>
          <t>2. Workshops</t>
        </is>
      </c>
      <c r="D246" s="1260" t="inlineStr">
        <is>
          <t>PayPal</t>
        </is>
      </c>
      <c r="E246" s="1394" t="n">
        <v>543.75</v>
      </c>
      <c r="F246" s="1260" t="inlineStr">
        <is>
          <t>Workshops</t>
        </is>
      </c>
      <c r="G246" s="1260" t="inlineStr">
        <is>
          <t>Existing</t>
        </is>
      </c>
    </row>
    <row r="247" ht="13.5" customHeight="1" s="1232">
      <c r="A247" s="1393" t="n">
        <v>43372</v>
      </c>
      <c r="B247" s="1260" t="inlineStr">
        <is>
          <t>Tom Wrigley</t>
        </is>
      </c>
      <c r="C247" s="1255" t="inlineStr">
        <is>
          <t>2. Workshops</t>
        </is>
      </c>
      <c r="D247" s="1260" t="inlineStr">
        <is>
          <t>Stripe</t>
        </is>
      </c>
      <c r="E247" s="1394" t="n">
        <v>99</v>
      </c>
      <c r="F247" s="1260" t="inlineStr">
        <is>
          <t>Batsford Autumn</t>
        </is>
      </c>
      <c r="G247" s="1260" t="inlineStr">
        <is>
          <t>Batsford</t>
        </is>
      </c>
    </row>
    <row r="248" ht="13.5" customHeight="1" s="1232">
      <c r="A248" s="1393" t="n">
        <v>43371</v>
      </c>
      <c r="B248" s="1260" t="inlineStr">
        <is>
          <t>Philip Webster - ELS</t>
        </is>
      </c>
      <c r="C248" s="1255" t="inlineStr">
        <is>
          <t>2. Workshops</t>
        </is>
      </c>
      <c r="D248" s="1260" t="inlineStr">
        <is>
          <t>Bank</t>
        </is>
      </c>
      <c r="E248" s="1394" t="n">
        <v>200</v>
      </c>
      <c r="F248" s="1260" t="inlineStr">
        <is>
          <t>Workshops</t>
        </is>
      </c>
      <c r="G248" s="1260" t="inlineStr">
        <is>
          <t>ELS</t>
        </is>
      </c>
    </row>
    <row r="249" ht="13.5" customHeight="1" s="1232">
      <c r="A249" s="1393" t="n">
        <v>43370</v>
      </c>
      <c r="B249" s="1260" t="inlineStr">
        <is>
          <t>Andy Mosley</t>
        </is>
      </c>
      <c r="C249" s="1255" t="inlineStr">
        <is>
          <t>2. Workshops</t>
        </is>
      </c>
      <c r="D249" s="1260" t="inlineStr">
        <is>
          <t>PayPal</t>
        </is>
      </c>
      <c r="E249" s="1394" t="n">
        <v>24</v>
      </c>
      <c r="F249" s="1260" t="inlineStr">
        <is>
          <t>Batsford Autumn</t>
        </is>
      </c>
      <c r="G249" s="1260" t="inlineStr">
        <is>
          <t>Existing</t>
        </is>
      </c>
    </row>
    <row r="250" ht="13.5" customHeight="1" s="1232">
      <c r="A250" s="1393" t="n">
        <v>43370</v>
      </c>
      <c r="B250" s="1260" t="inlineStr">
        <is>
          <t>Jane Chapman</t>
        </is>
      </c>
      <c r="C250" s="1255" t="inlineStr">
        <is>
          <t>2. Workshops</t>
        </is>
      </c>
      <c r="D250" s="1260" t="inlineStr">
        <is>
          <t>Stripe</t>
        </is>
      </c>
      <c r="E250" s="1394" t="n">
        <v>725</v>
      </c>
      <c r="F250" s="1260" t="inlineStr">
        <is>
          <t>Lake District Nov</t>
        </is>
      </c>
      <c r="G250" s="1260" t="inlineStr">
        <is>
          <t>Existing</t>
        </is>
      </c>
    </row>
    <row r="251" ht="13.5" customHeight="1" s="1232">
      <c r="A251" s="1393" t="n">
        <v>43367</v>
      </c>
      <c r="B251" s="1255" t="inlineStr">
        <is>
          <t>Ester Riodran</t>
        </is>
      </c>
      <c r="C251" s="1255" t="inlineStr">
        <is>
          <t>2. Workshops</t>
        </is>
      </c>
      <c r="D251" s="1260" t="inlineStr">
        <is>
          <t>PayPal</t>
        </is>
      </c>
      <c r="E251" s="1256" t="n">
        <v>625</v>
      </c>
      <c r="F251" s="1260" t="inlineStr">
        <is>
          <t>Lake District Nov</t>
        </is>
      </c>
      <c r="G251" s="1260" t="inlineStr">
        <is>
          <t>Google</t>
        </is>
      </c>
    </row>
    <row r="252" ht="13.5" customHeight="1" s="1232">
      <c r="A252" s="1393" t="n">
        <v>43367</v>
      </c>
      <c r="B252" s="1260" t="inlineStr">
        <is>
          <t>Anne Watkinson</t>
        </is>
      </c>
      <c r="C252" s="1255" t="inlineStr">
        <is>
          <t>6. 1-2-1</t>
        </is>
      </c>
      <c r="D252" s="1260" t="inlineStr">
        <is>
          <t>PayPal</t>
        </is>
      </c>
      <c r="E252" s="1394" t="n">
        <v>360</v>
      </c>
      <c r="F252" s="1282" t="inlineStr">
        <is>
          <t>1-2-1</t>
        </is>
      </c>
      <c r="G252" s="1260" t="inlineStr">
        <is>
          <t>Existing</t>
        </is>
      </c>
    </row>
    <row r="253" ht="13.5" customHeight="1" s="1232">
      <c r="A253" s="1393" t="n">
        <v>43366</v>
      </c>
      <c r="B253" s="1260" t="inlineStr">
        <is>
          <t>diana richards</t>
        </is>
      </c>
      <c r="C253" s="1255" t="inlineStr">
        <is>
          <t>2. Workshops</t>
        </is>
      </c>
      <c r="D253" s="1260" t="inlineStr">
        <is>
          <t>PayPal</t>
        </is>
      </c>
      <c r="E253" s="1394" t="n">
        <v>112.5</v>
      </c>
      <c r="F253" s="1260" t="inlineStr">
        <is>
          <t>Batsford Autumn</t>
        </is>
      </c>
      <c r="G253" s="1260" t="inlineStr">
        <is>
          <t>Google</t>
        </is>
      </c>
    </row>
    <row r="254" ht="13.5" customHeight="1" s="1232">
      <c r="A254" s="1393" t="n">
        <v>43366</v>
      </c>
      <c r="B254" s="1260" t="inlineStr">
        <is>
          <t>Paul Appleby</t>
        </is>
      </c>
      <c r="C254" s="1255" t="inlineStr">
        <is>
          <t>2. Workshops</t>
        </is>
      </c>
      <c r="D254" s="1260" t="inlineStr">
        <is>
          <t>PayPal</t>
        </is>
      </c>
      <c r="E254" s="1394" t="n">
        <v>112.5</v>
      </c>
      <c r="F254" s="1260" t="inlineStr">
        <is>
          <t>Batsford Autumn</t>
        </is>
      </c>
      <c r="G254" s="1260" t="inlineStr">
        <is>
          <t>Facebook</t>
        </is>
      </c>
    </row>
    <row r="255" ht="13.5" customHeight="1" s="1232">
      <c r="A255" s="1393" t="n">
        <v>43366</v>
      </c>
      <c r="B255" s="1260" t="inlineStr">
        <is>
          <t>Robert Aulton</t>
        </is>
      </c>
      <c r="C255" s="1255" t="inlineStr">
        <is>
          <t>1. Courses/masterclasses</t>
        </is>
      </c>
      <c r="D255" s="1260" t="inlineStr">
        <is>
          <t>Stripe</t>
        </is>
      </c>
      <c r="E255" s="1394" t="n">
        <v>22.5</v>
      </c>
      <c r="F255" s="1260" t="inlineStr">
        <is>
          <t>Intro Class</t>
        </is>
      </c>
      <c r="G255" s="1260" t="inlineStr">
        <is>
          <t>Google</t>
        </is>
      </c>
    </row>
    <row r="256" ht="13.5" customHeight="1" s="1232">
      <c r="A256" s="1393" t="n">
        <v>43366</v>
      </c>
      <c r="B256" s="1260" t="inlineStr">
        <is>
          <t>Roger Bull</t>
        </is>
      </c>
      <c r="C256" s="1255" t="inlineStr">
        <is>
          <t>2. Workshops</t>
        </is>
      </c>
      <c r="D256" s="1260" t="inlineStr">
        <is>
          <t>Stripe</t>
        </is>
      </c>
      <c r="E256" s="1394" t="n">
        <v>74.25</v>
      </c>
      <c r="F256" s="1260" t="inlineStr">
        <is>
          <t>Batsford Autumn</t>
        </is>
      </c>
      <c r="G256" s="1260" t="inlineStr">
        <is>
          <t>Batsford</t>
        </is>
      </c>
    </row>
    <row r="257" ht="13.5" customHeight="1" s="1232">
      <c r="A257" s="1393" t="n">
        <v>43366</v>
      </c>
      <c r="B257" s="1260" t="inlineStr">
        <is>
          <t>Ed Robson</t>
        </is>
      </c>
      <c r="C257" s="1255" t="inlineStr">
        <is>
          <t>2. Workshops</t>
        </is>
      </c>
      <c r="D257" s="1260" t="inlineStr">
        <is>
          <t>Stripe</t>
        </is>
      </c>
      <c r="E257" s="1394" t="n">
        <v>99</v>
      </c>
      <c r="F257" s="1260" t="inlineStr">
        <is>
          <t>Batsford Autumn</t>
        </is>
      </c>
      <c r="G257" s="1260" t="inlineStr">
        <is>
          <t>Facebook</t>
        </is>
      </c>
    </row>
    <row r="258" ht="13.5" customHeight="1" s="1232">
      <c r="A258" s="1393" t="n">
        <v>43366</v>
      </c>
      <c r="B258" s="1260" t="inlineStr">
        <is>
          <t>Kevin Thomason</t>
        </is>
      </c>
      <c r="C258" s="1255" t="inlineStr">
        <is>
          <t>2. Workshops</t>
        </is>
      </c>
      <c r="D258" s="1260" t="inlineStr">
        <is>
          <t>PayPal</t>
        </is>
      </c>
      <c r="E258" s="1394" t="n">
        <v>56.25</v>
      </c>
      <c r="F258" s="1260" t="inlineStr">
        <is>
          <t>Fireworks</t>
        </is>
      </c>
      <c r="G258" s="1260" t="inlineStr">
        <is>
          <t>Existing</t>
        </is>
      </c>
    </row>
    <row r="259" ht="13.5" customHeight="1" s="1232">
      <c r="A259" s="1393" t="n">
        <v>43365</v>
      </c>
      <c r="B259" s="1260" t="inlineStr">
        <is>
          <t>Madeleine Clark</t>
        </is>
      </c>
      <c r="C259" s="1255" t="inlineStr">
        <is>
          <t>1. Courses/masterclasses</t>
        </is>
      </c>
      <c r="D259" s="1260" t="inlineStr">
        <is>
          <t>Stripe</t>
        </is>
      </c>
      <c r="E259" s="1394" t="n">
        <v>371.25</v>
      </c>
      <c r="F259" s="1260" t="inlineStr">
        <is>
          <t>Intentions Course</t>
        </is>
      </c>
      <c r="G259" s="1260" t="inlineStr">
        <is>
          <t>Existing</t>
        </is>
      </c>
    </row>
    <row r="260" ht="13.5" customHeight="1" s="1232">
      <c r="A260" s="1393" t="n">
        <v>43365</v>
      </c>
      <c r="B260" s="1260" t="inlineStr">
        <is>
          <t>Rebecca Mower</t>
        </is>
      </c>
      <c r="C260" s="1255" t="inlineStr">
        <is>
          <t>2. Workshops</t>
        </is>
      </c>
      <c r="D260" s="1260" t="inlineStr">
        <is>
          <t>Stripe</t>
        </is>
      </c>
      <c r="E260" s="1394" t="n">
        <v>56.25</v>
      </c>
      <c r="F260" s="1260" t="inlineStr">
        <is>
          <t>Fireworks</t>
        </is>
      </c>
      <c r="G260" s="1260" t="inlineStr">
        <is>
          <t>Existing</t>
        </is>
      </c>
    </row>
    <row r="261" ht="13.5" customHeight="1" s="1232">
      <c r="A261" s="1393" t="n">
        <v>43365</v>
      </c>
      <c r="B261" s="1260" t="inlineStr">
        <is>
          <t>Mengran Wang</t>
        </is>
      </c>
      <c r="C261" s="1255" t="inlineStr">
        <is>
          <t>2. Workshops</t>
        </is>
      </c>
      <c r="D261" s="1260" t="inlineStr">
        <is>
          <t>PayPal</t>
        </is>
      </c>
      <c r="E261" s="1394" t="n">
        <v>114</v>
      </c>
      <c r="F261" s="1260" t="inlineStr">
        <is>
          <t>Xmas Photo Walks x 2</t>
        </is>
      </c>
      <c r="G261" s="1260" t="inlineStr">
        <is>
          <t>Google</t>
        </is>
      </c>
    </row>
    <row r="262" ht="13.5" customHeight="1" s="1232">
      <c r="A262" s="1393" t="n">
        <v>43364</v>
      </c>
      <c r="B262" s="1260" t="inlineStr">
        <is>
          <t>Olivia Sewell</t>
        </is>
      </c>
      <c r="C262" s="1255" t="inlineStr">
        <is>
          <t>1. Courses/masterclasses</t>
        </is>
      </c>
      <c r="D262" s="1260" t="inlineStr">
        <is>
          <t>PayPal</t>
        </is>
      </c>
      <c r="E262" s="1394" t="n">
        <v>187.5</v>
      </c>
      <c r="F262" s="1260" t="inlineStr">
        <is>
          <t>4wk Course</t>
        </is>
      </c>
      <c r="G262" s="1260" t="inlineStr">
        <is>
          <t>Google</t>
        </is>
      </c>
    </row>
    <row r="263" ht="13.5" customHeight="1" s="1232">
      <c r="A263" s="1393" t="n">
        <v>43363</v>
      </c>
      <c r="B263" s="1260" t="inlineStr">
        <is>
          <t>phillip Ayres</t>
        </is>
      </c>
      <c r="C263" s="1255" t="inlineStr">
        <is>
          <t>2. Workshops</t>
        </is>
      </c>
      <c r="D263" s="1260" t="inlineStr">
        <is>
          <t>PayPal</t>
        </is>
      </c>
      <c r="E263" s="1394" t="n">
        <v>150</v>
      </c>
      <c r="F263" s="1260" t="inlineStr">
        <is>
          <t>Batsford Autumn</t>
        </is>
      </c>
      <c r="G263" s="1260" t="inlineStr">
        <is>
          <t>Facebook</t>
        </is>
      </c>
    </row>
    <row r="264" ht="13.5" customHeight="1" s="1232">
      <c r="A264" s="1393" t="n">
        <v>43363</v>
      </c>
      <c r="B264" s="1260" t="inlineStr">
        <is>
          <t>Alistair Willis</t>
        </is>
      </c>
      <c r="C264" s="1255" t="inlineStr">
        <is>
          <t>1. Courses/masterclasses</t>
        </is>
      </c>
      <c r="D264" s="1260" t="inlineStr">
        <is>
          <t>PayPal</t>
        </is>
      </c>
      <c r="E264" s="1394" t="n">
        <v>37.5</v>
      </c>
      <c r="F264" s="1260" t="inlineStr">
        <is>
          <t>Masterclass</t>
        </is>
      </c>
      <c r="G264" s="1260" t="inlineStr">
        <is>
          <t>Existing</t>
        </is>
      </c>
    </row>
    <row r="265" ht="13.5" customHeight="1" s="1232">
      <c r="A265" s="1393" t="n">
        <v>43362</v>
      </c>
      <c r="B265" s="1260" t="inlineStr">
        <is>
          <t>Francis Peckham</t>
        </is>
      </c>
      <c r="C265" s="1255" t="inlineStr">
        <is>
          <t>6. 1-2-1</t>
        </is>
      </c>
      <c r="D265" s="1260" t="inlineStr">
        <is>
          <t>Stripe</t>
        </is>
      </c>
      <c r="E265" s="1394" t="n">
        <v>120</v>
      </c>
      <c r="F265" s="1282" t="inlineStr">
        <is>
          <t>1-2-1</t>
        </is>
      </c>
      <c r="G265" s="1260" t="inlineStr">
        <is>
          <t>Existing</t>
        </is>
      </c>
    </row>
    <row r="266" ht="13.5" customHeight="1" s="1232">
      <c r="A266" s="1393" t="n">
        <v>43362</v>
      </c>
      <c r="B266" s="1260" t="inlineStr">
        <is>
          <t>Clare Peaston</t>
        </is>
      </c>
      <c r="C266" s="1255" t="inlineStr">
        <is>
          <t>2. Workshops</t>
        </is>
      </c>
      <c r="D266" s="1260" t="inlineStr">
        <is>
          <t>Stripe</t>
        </is>
      </c>
      <c r="E266" s="1394" t="n">
        <v>97.5</v>
      </c>
      <c r="F266" s="1260" t="inlineStr">
        <is>
          <t>Batsford Class</t>
        </is>
      </c>
      <c r="G266" s="1260" t="inlineStr">
        <is>
          <t>Batsford</t>
        </is>
      </c>
    </row>
    <row r="267" ht="13.5" customHeight="1" s="1232">
      <c r="A267" s="1393" t="n">
        <v>43361</v>
      </c>
      <c r="B267" s="1260" t="inlineStr">
        <is>
          <t>Helen Curtis</t>
        </is>
      </c>
      <c r="C267" s="1255" t="inlineStr">
        <is>
          <t>1. Courses/masterclasses</t>
        </is>
      </c>
      <c r="D267" s="1260" t="inlineStr">
        <is>
          <t>Bank</t>
        </is>
      </c>
      <c r="E267" s="1394" t="n">
        <v>220</v>
      </c>
      <c r="F267" s="1260" t="inlineStr">
        <is>
          <t>4wk Course</t>
        </is>
      </c>
      <c r="G267" s="1260" t="inlineStr">
        <is>
          <t>Existing</t>
        </is>
      </c>
    </row>
    <row r="268" ht="13.5" customHeight="1" s="1232">
      <c r="A268" s="1393" t="n">
        <v>43361</v>
      </c>
      <c r="B268" s="1260" t="inlineStr">
        <is>
          <t xml:space="preserve">Raylene O'Leary </t>
        </is>
      </c>
      <c r="C268" s="1255" t="inlineStr">
        <is>
          <t>5. Mentoring</t>
        </is>
      </c>
      <c r="D268" s="1260" t="inlineStr">
        <is>
          <t>PayPal</t>
        </is>
      </c>
      <c r="E268" s="1394" t="n">
        <v>20</v>
      </c>
      <c r="F268" s="1260" t="inlineStr">
        <is>
          <t>Monthly Mentoring</t>
        </is>
      </c>
      <c r="G268" s="1260" t="inlineStr">
        <is>
          <t>Google</t>
        </is>
      </c>
    </row>
    <row r="269" ht="13.5" customHeight="1" s="1232">
      <c r="A269" s="1393" t="n">
        <v>43361</v>
      </c>
      <c r="B269" s="1260" t="inlineStr">
        <is>
          <t>Janie Chapman</t>
        </is>
      </c>
      <c r="C269" s="1255" t="inlineStr">
        <is>
          <t>7. Other</t>
        </is>
      </c>
      <c r="D269" s="1260" t="inlineStr">
        <is>
          <t>Stripe</t>
        </is>
      </c>
      <c r="E269" s="1394" t="n">
        <v>22.5</v>
      </c>
      <c r="F269" s="1260" t="inlineStr">
        <is>
          <t>Forum</t>
        </is>
      </c>
      <c r="G269" s="1260" t="inlineStr">
        <is>
          <t>Existing</t>
        </is>
      </c>
    </row>
    <row r="270" ht="13.5" customHeight="1" s="1232">
      <c r="A270" s="1393" t="n">
        <v>43359</v>
      </c>
      <c r="B270" s="1260" t="inlineStr">
        <is>
          <t>Jonathan Brusby</t>
        </is>
      </c>
      <c r="C270" s="1255" t="inlineStr">
        <is>
          <t>2. Workshops</t>
        </is>
      </c>
      <c r="D270" s="1260" t="inlineStr">
        <is>
          <t>Stripe</t>
        </is>
      </c>
      <c r="E270" s="1394" t="n">
        <v>48.75</v>
      </c>
      <c r="F270" s="1260" t="inlineStr">
        <is>
          <t>Batsford Class</t>
        </is>
      </c>
      <c r="G270" s="1260" t="inlineStr">
        <is>
          <t>Existing</t>
        </is>
      </c>
    </row>
    <row r="271" ht="13.5" customHeight="1" s="1232">
      <c r="A271" s="1393" t="n">
        <v>43359</v>
      </c>
      <c r="B271" s="1260" t="inlineStr">
        <is>
          <t>Frederick Stubbs</t>
        </is>
      </c>
      <c r="C271" s="1255" t="inlineStr">
        <is>
          <t>2. Workshops</t>
        </is>
      </c>
      <c r="D271" s="1260" t="inlineStr">
        <is>
          <t>PayPal</t>
        </is>
      </c>
      <c r="E271" s="1394" t="n">
        <v>56.25</v>
      </c>
      <c r="F271" s="1260" t="inlineStr">
        <is>
          <t>Kenilworth Castle</t>
        </is>
      </c>
      <c r="G271" s="1260" t="inlineStr">
        <is>
          <t>Existing</t>
        </is>
      </c>
    </row>
    <row r="272" ht="13.5" customHeight="1" s="1232">
      <c r="A272" s="1393" t="n">
        <v>43357</v>
      </c>
      <c r="B272" s="1260" t="inlineStr">
        <is>
          <t>James Hall</t>
        </is>
      </c>
      <c r="C272" s="1255" t="inlineStr">
        <is>
          <t>1. Courses/masterclasses</t>
        </is>
      </c>
      <c r="D272" s="1260" t="inlineStr">
        <is>
          <t>Bank</t>
        </is>
      </c>
      <c r="E272" s="1394" t="n">
        <v>13</v>
      </c>
      <c r="F272" s="1260" t="inlineStr">
        <is>
          <t>Intro Class</t>
        </is>
      </c>
      <c r="G272" s="1260" t="inlineStr">
        <is>
          <t>Groupon</t>
        </is>
      </c>
    </row>
    <row r="273" ht="13.5" customHeight="1" s="1232">
      <c r="A273" s="1393" t="n">
        <v>43356</v>
      </c>
      <c r="B273" s="1260" t="inlineStr">
        <is>
          <t>David Hartley</t>
        </is>
      </c>
      <c r="C273" s="1255" t="inlineStr">
        <is>
          <t>1. Courses/masterclasses</t>
        </is>
      </c>
      <c r="D273" s="1260" t="inlineStr">
        <is>
          <t>Stripe</t>
        </is>
      </c>
      <c r="E273" s="1394" t="n">
        <v>60</v>
      </c>
      <c r="F273" s="1260" t="inlineStr">
        <is>
          <t>Intro Class</t>
        </is>
      </c>
      <c r="G273" s="1260" t="inlineStr">
        <is>
          <t>Google</t>
        </is>
      </c>
    </row>
    <row r="274" ht="13.5" customHeight="1" s="1232">
      <c r="A274" s="1393" t="n">
        <v>43352</v>
      </c>
      <c r="B274" s="1260" t="inlineStr">
        <is>
          <t>Roger Neal</t>
        </is>
      </c>
      <c r="C274" s="1255" t="inlineStr">
        <is>
          <t>2. Workshops</t>
        </is>
      </c>
      <c r="D274" s="1260" t="inlineStr">
        <is>
          <t>Stripe</t>
        </is>
      </c>
      <c r="E274" s="1394" t="n">
        <v>150</v>
      </c>
      <c r="F274" s="1260" t="inlineStr">
        <is>
          <t>Batsford</t>
        </is>
      </c>
      <c r="G274" s="1260" t="inlineStr">
        <is>
          <t>Existing</t>
        </is>
      </c>
    </row>
    <row r="275" ht="13.5" customHeight="1" s="1232">
      <c r="A275" s="1393" t="n">
        <v>43351</v>
      </c>
      <c r="B275" s="1260" t="inlineStr">
        <is>
          <t>Nijagunashivayogi Mathad</t>
        </is>
      </c>
      <c r="C275" s="1255" t="inlineStr">
        <is>
          <t>2. Workshops</t>
        </is>
      </c>
      <c r="D275" s="1260" t="inlineStr">
        <is>
          <t>Stripe</t>
        </is>
      </c>
      <c r="E275" s="1394" t="n">
        <v>198</v>
      </c>
      <c r="F275" s="1260" t="inlineStr">
        <is>
          <t>Batsford</t>
        </is>
      </c>
      <c r="G275" s="1260" t="inlineStr">
        <is>
          <t>Batsford</t>
        </is>
      </c>
    </row>
    <row r="276" ht="13.5" customHeight="1" s="1232">
      <c r="A276" s="1393" t="n">
        <v>43351</v>
      </c>
      <c r="B276" s="1260" t="inlineStr">
        <is>
          <t>GRAHAM ODDEY</t>
        </is>
      </c>
      <c r="C276" s="1255" t="inlineStr">
        <is>
          <t>2. Workshops</t>
        </is>
      </c>
      <c r="D276" s="1260" t="inlineStr">
        <is>
          <t>Stripe</t>
        </is>
      </c>
      <c r="E276" s="1394" t="n">
        <v>150</v>
      </c>
      <c r="F276" s="1260" t="inlineStr">
        <is>
          <t>Batsford</t>
        </is>
      </c>
      <c r="G276" s="1260" t="inlineStr">
        <is>
          <t>Batsford</t>
        </is>
      </c>
    </row>
    <row r="277" ht="13.5" customHeight="1" s="1232">
      <c r="A277" s="1393" t="n">
        <v>43349</v>
      </c>
      <c r="B277" s="1260" t="inlineStr">
        <is>
          <t>Robert Hull</t>
        </is>
      </c>
      <c r="C277" s="1255" t="inlineStr">
        <is>
          <t>1. Courses/masterclasses</t>
        </is>
      </c>
      <c r="D277" s="1260" t="inlineStr">
        <is>
          <t>PayPal</t>
        </is>
      </c>
      <c r="E277" s="1394" t="n">
        <v>250</v>
      </c>
      <c r="F277" s="1260" t="inlineStr">
        <is>
          <t>4wk Course</t>
        </is>
      </c>
      <c r="G277" s="1260" t="inlineStr">
        <is>
          <t>Google</t>
        </is>
      </c>
    </row>
    <row r="278" ht="13.5" customHeight="1" s="1232">
      <c r="A278" s="1393" t="n">
        <v>43348</v>
      </c>
      <c r="B278" s="1260" t="inlineStr">
        <is>
          <t>Helen Curtis</t>
        </is>
      </c>
      <c r="C278" s="1255" t="inlineStr">
        <is>
          <t>1. Courses/masterclasses</t>
        </is>
      </c>
      <c r="D278" s="1260" t="inlineStr">
        <is>
          <t>Bank</t>
        </is>
      </c>
      <c r="E278" s="1394" t="n">
        <v>30</v>
      </c>
      <c r="F278" s="1260" t="inlineStr">
        <is>
          <t>4wk Course</t>
        </is>
      </c>
      <c r="G278" s="1260" t="inlineStr">
        <is>
          <t>Existing</t>
        </is>
      </c>
    </row>
    <row r="279" ht="13.5" customHeight="1" s="1232">
      <c r="A279" s="1393" t="n">
        <v>43347</v>
      </c>
      <c r="B279" s="1260" t="inlineStr">
        <is>
          <t>Olivia Sewell</t>
        </is>
      </c>
      <c r="C279" s="1255" t="inlineStr">
        <is>
          <t>1. Courses/masterclasses</t>
        </is>
      </c>
      <c r="D279" s="1260" t="inlineStr">
        <is>
          <t>PayPal</t>
        </is>
      </c>
      <c r="E279" s="1394" t="n">
        <v>30</v>
      </c>
      <c r="F279" s="1260" t="inlineStr">
        <is>
          <t>Intro Class</t>
        </is>
      </c>
      <c r="G279" s="1260" t="inlineStr">
        <is>
          <t>Google</t>
        </is>
      </c>
    </row>
    <row r="280" ht="13.5" customHeight="1" s="1232">
      <c r="A280" s="1393" t="n">
        <v>43345</v>
      </c>
      <c r="B280" s="1260" t="inlineStr">
        <is>
          <t>Helen Curtis</t>
        </is>
      </c>
      <c r="C280" s="1255" t="inlineStr">
        <is>
          <t>1. Courses/masterclasses</t>
        </is>
      </c>
      <c r="D280" s="1260" t="inlineStr">
        <is>
          <t>PayPal</t>
        </is>
      </c>
      <c r="E280" s="1394" t="n">
        <v>30</v>
      </c>
      <c r="F280" s="1260" t="inlineStr">
        <is>
          <t>Intro Class</t>
        </is>
      </c>
      <c r="G280" s="1260" t="inlineStr">
        <is>
          <t>Google</t>
        </is>
      </c>
    </row>
    <row r="281" ht="13.5" customHeight="1" s="1232">
      <c r="A281" s="1393" t="n">
        <v>43344</v>
      </c>
      <c r="B281" s="1260" t="inlineStr">
        <is>
          <t>Sep Pick N Mix</t>
        </is>
      </c>
      <c r="C281" s="1255" t="inlineStr">
        <is>
          <t>3. Pick n Mix Inc</t>
        </is>
      </c>
      <c r="D281" s="1255" t="inlineStr">
        <is>
          <t>Various</t>
        </is>
      </c>
      <c r="E281" s="1261" t="n">
        <v>681.13</v>
      </c>
      <c r="F281" s="1255" t="inlineStr">
        <is>
          <t>Pick N Mix Payments</t>
        </is>
      </c>
      <c r="G281" s="1255" t="inlineStr">
        <is>
          <t>Existing</t>
        </is>
      </c>
    </row>
    <row r="282" ht="13.5" customHeight="1" s="1232">
      <c r="A282" s="1393" t="n">
        <v>43344</v>
      </c>
      <c r="B282" s="1260" t="inlineStr">
        <is>
          <t>Sep Mentoring</t>
        </is>
      </c>
      <c r="C282" s="1255" t="inlineStr">
        <is>
          <t>5. Mentoring</t>
        </is>
      </c>
      <c r="D282" s="1255" t="inlineStr">
        <is>
          <t>Various</t>
        </is>
      </c>
      <c r="E282" s="1261" t="n">
        <v>40</v>
      </c>
      <c r="F282" s="1255" t="inlineStr">
        <is>
          <t>Mentoring Subs</t>
        </is>
      </c>
      <c r="G282" s="1255" t="inlineStr">
        <is>
          <t>Existing</t>
        </is>
      </c>
    </row>
    <row r="283" ht="13.5" customHeight="1" s="1232">
      <c r="A283" s="1393" t="n"/>
      <c r="B283" s="1260" t="n"/>
      <c r="C283" s="1260" t="n"/>
      <c r="D283" s="1260" t="n"/>
      <c r="E283" s="1394" t="n"/>
      <c r="F283" s="1260" t="n"/>
      <c r="G283" s="1260" t="n"/>
    </row>
    <row r="284" ht="13.5" customHeight="1" s="1232">
      <c r="A284" s="1393" t="n">
        <v>43343</v>
      </c>
      <c r="B284" s="1260" t="inlineStr">
        <is>
          <t>Janice Jordan</t>
        </is>
      </c>
      <c r="C284" s="1255" t="inlineStr">
        <is>
          <t>2. Workshops</t>
        </is>
      </c>
      <c r="D284" s="1260" t="inlineStr">
        <is>
          <t>Stripe</t>
        </is>
      </c>
      <c r="E284" s="1394" t="n">
        <v>200</v>
      </c>
      <c r="F284" s="1260" t="inlineStr">
        <is>
          <t>Workshops</t>
        </is>
      </c>
      <c r="G284" s="1260" t="inlineStr">
        <is>
          <t>Existing</t>
        </is>
      </c>
    </row>
    <row r="285" ht="13.5" customHeight="1" s="1232">
      <c r="A285" s="1393" t="n">
        <v>43343</v>
      </c>
      <c r="B285" s="1260" t="inlineStr">
        <is>
          <t>Nathan Jogia</t>
        </is>
      </c>
      <c r="C285" s="1255" t="inlineStr">
        <is>
          <t>3. Pick n Mix Inc</t>
        </is>
      </c>
      <c r="D285" s="1260" t="inlineStr">
        <is>
          <t>Bank</t>
        </is>
      </c>
      <c r="E285" s="1394" t="n">
        <v>250</v>
      </c>
      <c r="F285" s="1260" t="inlineStr">
        <is>
          <t>Pick N Mix Payments</t>
        </is>
      </c>
      <c r="G285" s="1260" t="inlineStr">
        <is>
          <t>Existing</t>
        </is>
      </c>
    </row>
    <row r="286" ht="13.5" customHeight="1" s="1232">
      <c r="A286" s="1393" t="n">
        <v>43343</v>
      </c>
      <c r="B286" s="1260" t="inlineStr">
        <is>
          <t>Anne Watkinson</t>
        </is>
      </c>
      <c r="C286" s="1255" t="inlineStr">
        <is>
          <t>6. 1-2-1</t>
        </is>
      </c>
      <c r="D286" s="1260" t="inlineStr">
        <is>
          <t>Stripe</t>
        </is>
      </c>
      <c r="E286" s="1394" t="n">
        <v>192</v>
      </c>
      <c r="F286" s="1282" t="inlineStr">
        <is>
          <t>1-2-1</t>
        </is>
      </c>
      <c r="G286" s="1260" t="inlineStr">
        <is>
          <t>Existing</t>
        </is>
      </c>
    </row>
    <row r="287" ht="13.5" customHeight="1" s="1232">
      <c r="A287" s="1393" t="n">
        <v>43343</v>
      </c>
      <c r="B287" s="1260" t="inlineStr">
        <is>
          <t>Janice Jordan</t>
        </is>
      </c>
      <c r="C287" s="1255" t="inlineStr">
        <is>
          <t>2. Workshops</t>
        </is>
      </c>
      <c r="D287" s="1260" t="inlineStr">
        <is>
          <t>Cash</t>
        </is>
      </c>
      <c r="E287" s="1394" t="n">
        <v>50</v>
      </c>
      <c r="F287" s="1260" t="inlineStr">
        <is>
          <t>Charlecote Park</t>
        </is>
      </c>
      <c r="G287" s="1260" t="inlineStr">
        <is>
          <t>Existing</t>
        </is>
      </c>
    </row>
    <row r="288" ht="13.5" customHeight="1" s="1232">
      <c r="A288" s="1393" t="n">
        <v>43343</v>
      </c>
      <c r="B288" s="1260" t="inlineStr">
        <is>
          <t>Kirsten Pearce</t>
        </is>
      </c>
      <c r="C288" s="1255" t="inlineStr">
        <is>
          <t>3. Pick n Mix Inc</t>
        </is>
      </c>
      <c r="D288" s="1260" t="inlineStr">
        <is>
          <t>Bank</t>
        </is>
      </c>
      <c r="E288" s="1394" t="n">
        <v>187.5</v>
      </c>
      <c r="F288" s="1260" t="inlineStr">
        <is>
          <t>Pick N Mix Payments</t>
        </is>
      </c>
      <c r="G288" s="1260" t="inlineStr">
        <is>
          <t>Existing</t>
        </is>
      </c>
    </row>
    <row r="289" ht="13.5" customHeight="1" s="1232">
      <c r="A289" s="1393" t="n">
        <v>43340</v>
      </c>
      <c r="B289" s="1260" t="inlineStr">
        <is>
          <t>john mcnamara</t>
        </is>
      </c>
      <c r="C289" s="1255" t="inlineStr">
        <is>
          <t>7. Other</t>
        </is>
      </c>
      <c r="D289" s="1260" t="inlineStr">
        <is>
          <t>Stripe</t>
        </is>
      </c>
      <c r="E289" s="1394" t="n">
        <v>22.86</v>
      </c>
      <c r="F289" s="1260" t="inlineStr">
        <is>
          <t>Pocket Guides</t>
        </is>
      </c>
      <c r="G289" s="1260" t="inlineStr">
        <is>
          <t>Existing</t>
        </is>
      </c>
    </row>
    <row r="290" ht="13.5" customHeight="1" s="1232">
      <c r="A290" s="1393" t="n">
        <v>43340</v>
      </c>
      <c r="B290" s="1260" t="inlineStr">
        <is>
          <t>jamie mckenna</t>
        </is>
      </c>
      <c r="C290" s="1255" t="inlineStr">
        <is>
          <t>1. Courses/masterclasses</t>
        </is>
      </c>
      <c r="D290" s="1260" t="inlineStr">
        <is>
          <t>Bank</t>
        </is>
      </c>
      <c r="E290" s="1394" t="n">
        <v>13</v>
      </c>
      <c r="F290" s="1260" t="inlineStr">
        <is>
          <t>Intro Class</t>
        </is>
      </c>
      <c r="G290" s="1260" t="inlineStr">
        <is>
          <t>Groupon</t>
        </is>
      </c>
    </row>
    <row r="291" ht="13.5" customHeight="1" s="1232">
      <c r="A291" s="1393" t="n">
        <v>43340</v>
      </c>
      <c r="B291" s="1260" t="inlineStr">
        <is>
          <t>Catherine Wood</t>
        </is>
      </c>
      <c r="C291" s="1255" t="inlineStr">
        <is>
          <t>1. Courses/masterclasses</t>
        </is>
      </c>
      <c r="D291" s="1260" t="inlineStr">
        <is>
          <t>Bank</t>
        </is>
      </c>
      <c r="E291" s="1394" t="n">
        <v>120</v>
      </c>
      <c r="F291" s="1260" t="inlineStr">
        <is>
          <t>4wk Beginners Soli</t>
        </is>
      </c>
      <c r="G291" s="1260" t="inlineStr">
        <is>
          <t>Existing</t>
        </is>
      </c>
    </row>
    <row r="292" ht="13.5" customHeight="1" s="1232">
      <c r="A292" s="1393" t="n">
        <v>43339</v>
      </c>
      <c r="B292" s="1260" t="inlineStr">
        <is>
          <t>Ester Riodran</t>
        </is>
      </c>
      <c r="C292" s="1255" t="inlineStr">
        <is>
          <t>2. Workshops</t>
        </is>
      </c>
      <c r="D292" s="1260" t="inlineStr">
        <is>
          <t>W-Play</t>
        </is>
      </c>
      <c r="E292" s="1394" t="n">
        <v>100</v>
      </c>
      <c r="F292" s="1260" t="inlineStr">
        <is>
          <t>Lake District Nov</t>
        </is>
      </c>
      <c r="G292" s="1260" t="inlineStr">
        <is>
          <t>Google</t>
        </is>
      </c>
    </row>
    <row r="293" ht="13.5" customHeight="1" s="1232">
      <c r="A293" s="1393" t="n">
        <v>43337</v>
      </c>
      <c r="B293" s="1260" t="inlineStr">
        <is>
          <t>Richard Staley</t>
        </is>
      </c>
      <c r="C293" s="1255" t="inlineStr">
        <is>
          <t>1. Courses/masterclasses</t>
        </is>
      </c>
      <c r="D293" s="1260" t="inlineStr">
        <is>
          <t>Stripe</t>
        </is>
      </c>
      <c r="E293" s="1394" t="n">
        <v>30</v>
      </c>
      <c r="F293" s="1260" t="inlineStr">
        <is>
          <t>Intro Class</t>
        </is>
      </c>
      <c r="G293" s="1260" t="inlineStr">
        <is>
          <t>Google</t>
        </is>
      </c>
    </row>
    <row r="294" ht="13.5" customHeight="1" s="1232">
      <c r="A294" s="1393" t="n">
        <v>43337</v>
      </c>
      <c r="B294" s="1260" t="inlineStr">
        <is>
          <t>L STEVENSON</t>
        </is>
      </c>
      <c r="C294" s="1255" t="inlineStr">
        <is>
          <t>1. Courses/masterclasses</t>
        </is>
      </c>
      <c r="D294" s="1260" t="inlineStr">
        <is>
          <t>Stripe</t>
        </is>
      </c>
      <c r="E294" s="1394" t="n">
        <v>30</v>
      </c>
      <c r="F294" s="1260" t="inlineStr">
        <is>
          <t>Intro Class</t>
        </is>
      </c>
      <c r="G294" s="1260" t="inlineStr">
        <is>
          <t>Google</t>
        </is>
      </c>
    </row>
    <row r="295" ht="13.5" customHeight="1" s="1232">
      <c r="A295" s="1393" t="n">
        <v>43337</v>
      </c>
      <c r="B295" s="1260" t="inlineStr">
        <is>
          <t>LEVI WATTS</t>
        </is>
      </c>
      <c r="C295" s="1255" t="inlineStr">
        <is>
          <t>1. Courses/masterclasses</t>
        </is>
      </c>
      <c r="D295" s="1260" t="inlineStr">
        <is>
          <t>PayPal</t>
        </is>
      </c>
      <c r="E295" s="1394" t="n">
        <v>30</v>
      </c>
      <c r="F295" s="1260" t="inlineStr">
        <is>
          <t>Intro Class</t>
        </is>
      </c>
      <c r="G295" s="1260" t="inlineStr">
        <is>
          <t>Google</t>
        </is>
      </c>
    </row>
    <row r="296" ht="13.5" customHeight="1" s="1232">
      <c r="A296" s="1393" t="n">
        <v>43334</v>
      </c>
      <c r="B296" s="1260" t="inlineStr">
        <is>
          <t>Chris Johnson</t>
        </is>
      </c>
      <c r="C296" s="1255" t="inlineStr">
        <is>
          <t>6. 1-2-1</t>
        </is>
      </c>
      <c r="D296" s="1260" t="inlineStr">
        <is>
          <t>Stripe</t>
        </is>
      </c>
      <c r="E296" s="1394" t="n">
        <v>65</v>
      </c>
      <c r="F296" s="1282" t="inlineStr">
        <is>
          <t>1-2-1</t>
        </is>
      </c>
      <c r="G296" s="1260" t="inlineStr">
        <is>
          <t>Existing</t>
        </is>
      </c>
    </row>
    <row r="297" ht="13.5" customHeight="1" s="1232">
      <c r="A297" s="1393" t="n">
        <v>43334</v>
      </c>
      <c r="B297" s="1260" t="inlineStr">
        <is>
          <t>Fiona Barber</t>
        </is>
      </c>
      <c r="C297" s="1255" t="inlineStr">
        <is>
          <t>1. Courses/masterclasses</t>
        </is>
      </c>
      <c r="D297" s="1260" t="inlineStr">
        <is>
          <t>Stripe</t>
        </is>
      </c>
      <c r="E297" s="1394" t="n">
        <v>30</v>
      </c>
      <c r="F297" s="1260" t="inlineStr">
        <is>
          <t>Intro Class</t>
        </is>
      </c>
      <c r="G297" s="1260" t="inlineStr">
        <is>
          <t>Google</t>
        </is>
      </c>
    </row>
    <row r="298" ht="13.5" customHeight="1" s="1232">
      <c r="A298" s="1393" t="n">
        <v>43334</v>
      </c>
      <c r="B298" s="1260" t="inlineStr">
        <is>
          <t>viv thompson</t>
        </is>
      </c>
      <c r="C298" s="1255" t="inlineStr">
        <is>
          <t>2. Workshops</t>
        </is>
      </c>
      <c r="D298" s="1260" t="inlineStr">
        <is>
          <t>PayPal</t>
        </is>
      </c>
      <c r="E298" s="1394" t="n">
        <v>120</v>
      </c>
      <c r="F298" s="1260" t="inlineStr">
        <is>
          <t>Batsford Workshop</t>
        </is>
      </c>
      <c r="G298" s="1260" t="inlineStr">
        <is>
          <t>Batsford</t>
        </is>
      </c>
    </row>
    <row r="299" ht="13.5" customHeight="1" s="1232">
      <c r="A299" s="1393" t="n">
        <v>43332</v>
      </c>
      <c r="B299" s="1260" t="inlineStr">
        <is>
          <t>Nathan Jogia</t>
        </is>
      </c>
      <c r="C299" s="1255" t="inlineStr">
        <is>
          <t>2. Workshops</t>
        </is>
      </c>
      <c r="D299" s="1260" t="inlineStr">
        <is>
          <t>Stripe</t>
        </is>
      </c>
      <c r="E299" s="1394" t="n">
        <v>175</v>
      </c>
      <c r="F299" s="1260" t="inlineStr">
        <is>
          <t>Peak District</t>
        </is>
      </c>
      <c r="G299" s="1260" t="inlineStr">
        <is>
          <t>Google</t>
        </is>
      </c>
    </row>
    <row r="300" ht="13.5" customHeight="1" s="1232">
      <c r="A300" s="1393" t="n">
        <v>43332</v>
      </c>
      <c r="B300" s="1260" t="inlineStr">
        <is>
          <t>Catherine Wood</t>
        </is>
      </c>
      <c r="C300" s="1255" t="inlineStr">
        <is>
          <t>1. Courses/masterclasses</t>
        </is>
      </c>
      <c r="D300" s="1260" t="inlineStr">
        <is>
          <t>PayPal</t>
        </is>
      </c>
      <c r="E300" s="1394" t="n">
        <v>100</v>
      </c>
      <c r="F300" s="1260" t="inlineStr">
        <is>
          <t>4wk Beginners Course</t>
        </is>
      </c>
      <c r="G300" s="1260" t="inlineStr">
        <is>
          <t>Existing</t>
        </is>
      </c>
    </row>
    <row r="301" ht="13.5" customHeight="1" s="1232">
      <c r="A301" s="1393" t="n">
        <v>43331</v>
      </c>
      <c r="B301" s="1260" t="inlineStr">
        <is>
          <t>Ann McNulty</t>
        </is>
      </c>
      <c r="C301" s="1255" t="inlineStr">
        <is>
          <t>1. Courses/masterclasses</t>
        </is>
      </c>
      <c r="D301" s="1260" t="inlineStr">
        <is>
          <t>Stripe</t>
        </is>
      </c>
      <c r="E301" s="1394" t="n">
        <v>250</v>
      </c>
      <c r="F301" s="1260" t="inlineStr">
        <is>
          <t>4wk Beginners Course</t>
        </is>
      </c>
      <c r="G301" s="1260" t="inlineStr">
        <is>
          <t>Existing</t>
        </is>
      </c>
    </row>
    <row r="302" ht="13.5" customHeight="1" s="1232">
      <c r="A302" s="1393" t="n">
        <v>43325</v>
      </c>
      <c r="B302" s="1260" t="inlineStr">
        <is>
          <t>Jean Dance</t>
        </is>
      </c>
      <c r="C302" s="1255" t="inlineStr">
        <is>
          <t>5. Mentoring</t>
        </is>
      </c>
      <c r="D302" s="1260" t="inlineStr">
        <is>
          <t>PayPal</t>
        </is>
      </c>
      <c r="E302" s="1394" t="n">
        <v>200</v>
      </c>
      <c r="F302" s="1260" t="inlineStr">
        <is>
          <t>Mentoring</t>
        </is>
      </c>
      <c r="G302" s="1260" t="inlineStr">
        <is>
          <t>Existing</t>
        </is>
      </c>
    </row>
    <row r="303" ht="13.5" customHeight="1" s="1232">
      <c r="A303" s="1393" t="n">
        <v>43325</v>
      </c>
      <c r="B303" s="1260" t="inlineStr">
        <is>
          <t>William Shearer</t>
        </is>
      </c>
      <c r="C303" s="1255" t="inlineStr">
        <is>
          <t>2. Workshops</t>
        </is>
      </c>
      <c r="D303" s="1260" t="inlineStr">
        <is>
          <t>Stripe</t>
        </is>
      </c>
      <c r="E303" s="1394" t="n">
        <v>150</v>
      </c>
      <c r="F303" s="1260" t="inlineStr">
        <is>
          <t>Batsford Autumn</t>
        </is>
      </c>
      <c r="G303" s="1260" t="inlineStr">
        <is>
          <t>Existing</t>
        </is>
      </c>
    </row>
    <row r="304" ht="13.5" customHeight="1" s="1232">
      <c r="A304" s="1393" t="n">
        <v>43325</v>
      </c>
      <c r="B304" s="1260" t="inlineStr">
        <is>
          <t>Jason Newell</t>
        </is>
      </c>
      <c r="C304" s="1255" t="inlineStr">
        <is>
          <t>7. Other</t>
        </is>
      </c>
      <c r="D304" s="1260" t="inlineStr">
        <is>
          <t>PayPal</t>
        </is>
      </c>
      <c r="E304" s="1394" t="n">
        <v>27.6</v>
      </c>
      <c r="F304" s="1260" t="inlineStr">
        <is>
          <t>Pocket Guides</t>
        </is>
      </c>
      <c r="G304" s="1260" t="inlineStr">
        <is>
          <t>Google</t>
        </is>
      </c>
    </row>
    <row r="305" ht="13.5" customHeight="1" s="1232">
      <c r="A305" s="1393" t="n">
        <v>43320</v>
      </c>
      <c r="B305" s="1260" t="inlineStr">
        <is>
          <t>Robert Smith</t>
        </is>
      </c>
      <c r="C305" s="1255" t="inlineStr">
        <is>
          <t>1. Courses/masterclasses</t>
        </is>
      </c>
      <c r="D305" s="1260" t="inlineStr">
        <is>
          <t>Bank</t>
        </is>
      </c>
      <c r="E305" s="1394" t="n">
        <v>71</v>
      </c>
      <c r="F305" s="1260" t="inlineStr">
        <is>
          <t>Lvl 2 Course</t>
        </is>
      </c>
      <c r="G305" s="1260" t="inlineStr">
        <is>
          <t>Existing</t>
        </is>
      </c>
    </row>
    <row r="306" ht="13.5" customHeight="1" s="1232">
      <c r="A306" s="1393" t="n">
        <v>43320</v>
      </c>
      <c r="B306" s="1260" t="inlineStr">
        <is>
          <t>James Cameron</t>
        </is>
      </c>
      <c r="C306" s="1255" t="inlineStr">
        <is>
          <t>2. Workshops</t>
        </is>
      </c>
      <c r="D306" s="1260" t="inlineStr">
        <is>
          <t>Bank</t>
        </is>
      </c>
      <c r="E306" s="1394" t="n">
        <v>625</v>
      </c>
      <c r="F306" s="1260" t="inlineStr">
        <is>
          <t>Glen Coe</t>
        </is>
      </c>
      <c r="G306" s="1260" t="inlineStr">
        <is>
          <t>Existing</t>
        </is>
      </c>
    </row>
    <row r="307" ht="13.5" customHeight="1" s="1232">
      <c r="A307" s="1393" t="n">
        <v>43320</v>
      </c>
      <c r="B307" s="1260" t="inlineStr">
        <is>
          <t>Anne Watkinson</t>
        </is>
      </c>
      <c r="C307" s="1255" t="inlineStr">
        <is>
          <t>6. 1-2-1</t>
        </is>
      </c>
      <c r="D307" s="1260" t="inlineStr">
        <is>
          <t>Stripe</t>
        </is>
      </c>
      <c r="E307" s="1394" t="n">
        <v>65</v>
      </c>
      <c r="F307" s="1282" t="inlineStr">
        <is>
          <t>1-2-1</t>
        </is>
      </c>
      <c r="G307" s="1260" t="inlineStr">
        <is>
          <t>Existing</t>
        </is>
      </c>
    </row>
    <row r="308" ht="13.5" customHeight="1" s="1232">
      <c r="A308" s="1393" t="n">
        <v>43318</v>
      </c>
      <c r="B308" s="1260" t="inlineStr">
        <is>
          <t>Elizabeth Hoye</t>
        </is>
      </c>
      <c r="C308" s="1255" t="inlineStr">
        <is>
          <t>1. Courses/masterclasses</t>
        </is>
      </c>
      <c r="D308" s="1260" t="inlineStr">
        <is>
          <t>Bank</t>
        </is>
      </c>
      <c r="E308" s="1394" t="n">
        <v>13</v>
      </c>
      <c r="F308" s="1260" t="inlineStr">
        <is>
          <t>Intro Class</t>
        </is>
      </c>
      <c r="G308" s="1260" t="inlineStr">
        <is>
          <t>Groupon</t>
        </is>
      </c>
    </row>
    <row r="309" ht="13.5" customHeight="1" s="1232">
      <c r="A309" s="1393" t="n">
        <v>43318</v>
      </c>
      <c r="B309" s="1260" t="inlineStr">
        <is>
          <t>Julia Arnold</t>
        </is>
      </c>
      <c r="C309" s="1255" t="inlineStr">
        <is>
          <t>7. Other</t>
        </is>
      </c>
      <c r="D309" s="1260" t="inlineStr">
        <is>
          <t>Stripe</t>
        </is>
      </c>
      <c r="E309" s="1394" t="n">
        <v>50</v>
      </c>
      <c r="F309" s="1260" t="inlineStr">
        <is>
          <t>Digital Gift Card</t>
        </is>
      </c>
      <c r="G309" s="1260" t="inlineStr">
        <is>
          <t>Google</t>
        </is>
      </c>
    </row>
    <row r="310" ht="13.5" customHeight="1" s="1232">
      <c r="A310" s="1393" t="n">
        <v>43317</v>
      </c>
      <c r="B310" s="1260" t="inlineStr">
        <is>
          <t>Jonathan Brusby</t>
        </is>
      </c>
      <c r="C310" s="1255" t="inlineStr">
        <is>
          <t>2. Workshops</t>
        </is>
      </c>
      <c r="D310" s="1260" t="inlineStr">
        <is>
          <t>PayPal</t>
        </is>
      </c>
      <c r="E310" s="1394" t="n">
        <v>65</v>
      </c>
      <c r="F310" s="1260" t="inlineStr">
        <is>
          <t>Batsford Abstract</t>
        </is>
      </c>
      <c r="G310" s="1260" t="inlineStr">
        <is>
          <t>Google</t>
        </is>
      </c>
    </row>
    <row r="311" ht="13.5" customHeight="1" s="1232">
      <c r="A311" s="1393" t="n">
        <v>43317</v>
      </c>
      <c r="B311" s="1260" t="inlineStr">
        <is>
          <t>Garry Such</t>
        </is>
      </c>
      <c r="C311" s="1255" t="inlineStr">
        <is>
          <t>3. Pick n Mix Inc</t>
        </is>
      </c>
      <c r="D311" s="1260" t="inlineStr">
        <is>
          <t>Bank</t>
        </is>
      </c>
      <c r="E311" s="1394" t="n">
        <v>262</v>
      </c>
      <c r="F311" s="1260" t="inlineStr">
        <is>
          <t>Pick N Mix Payments</t>
        </is>
      </c>
      <c r="G311" s="1260" t="inlineStr">
        <is>
          <t>Existing</t>
        </is>
      </c>
    </row>
    <row r="312" ht="13.5" customHeight="1" s="1232">
      <c r="A312" s="1393" t="n">
        <v>43317</v>
      </c>
      <c r="B312" s="1260" t="inlineStr">
        <is>
          <t>Judy Niner</t>
        </is>
      </c>
      <c r="C312" s="1255" t="inlineStr">
        <is>
          <t>2. Workshops</t>
        </is>
      </c>
      <c r="D312" s="1260" t="inlineStr">
        <is>
          <t>Bank</t>
        </is>
      </c>
      <c r="E312" s="1394" t="n">
        <v>395</v>
      </c>
      <c r="F312" s="1260" t="inlineStr">
        <is>
          <t>Northumbria</t>
        </is>
      </c>
      <c r="G312" s="1260" t="inlineStr">
        <is>
          <t>Google</t>
        </is>
      </c>
    </row>
    <row r="313" ht="13.5" customHeight="1" s="1232">
      <c r="A313" s="1393" t="n">
        <v>43317</v>
      </c>
      <c r="B313" s="1260" t="inlineStr">
        <is>
          <t>Simon Betteridge</t>
        </is>
      </c>
      <c r="C313" s="1255" t="inlineStr">
        <is>
          <t>2. Workshops</t>
        </is>
      </c>
      <c r="D313" s="1260" t="inlineStr">
        <is>
          <t>Bank</t>
        </is>
      </c>
      <c r="E313" s="1394" t="n">
        <v>625</v>
      </c>
      <c r="F313" s="1260" t="inlineStr">
        <is>
          <t>Glen Coe</t>
        </is>
      </c>
      <c r="G313" s="1260" t="inlineStr">
        <is>
          <t>Existing</t>
        </is>
      </c>
    </row>
    <row r="314" ht="13.5" customHeight="1" s="1232">
      <c r="A314" s="1393" t="n">
        <v>43314</v>
      </c>
      <c r="B314" s="1260" t="inlineStr">
        <is>
          <t>Preetha Luther</t>
        </is>
      </c>
      <c r="C314" s="1255" t="inlineStr">
        <is>
          <t>1. Courses/masterclasses</t>
        </is>
      </c>
      <c r="D314" s="1260" t="inlineStr">
        <is>
          <t>Stripe</t>
        </is>
      </c>
      <c r="E314" s="1394" t="n">
        <v>75</v>
      </c>
      <c r="F314" s="1260" t="inlineStr">
        <is>
          <t>4wk Beginners Course</t>
        </is>
      </c>
      <c r="G314" s="1260" t="inlineStr">
        <is>
          <t>Existing</t>
        </is>
      </c>
    </row>
    <row r="315" ht="13.5" customHeight="1" s="1232">
      <c r="A315" s="1393" t="n">
        <v>43314</v>
      </c>
      <c r="B315" s="1260" t="inlineStr">
        <is>
          <t>jacqueline Harley</t>
        </is>
      </c>
      <c r="C315" s="1255" t="inlineStr">
        <is>
          <t>1. Courses/masterclasses</t>
        </is>
      </c>
      <c r="D315" s="1260" t="inlineStr">
        <is>
          <t>Stripe</t>
        </is>
      </c>
      <c r="E315" s="1394" t="n">
        <v>30</v>
      </c>
      <c r="F315" s="1260" t="inlineStr">
        <is>
          <t>Intro Class</t>
        </is>
      </c>
      <c r="G315" s="1260" t="inlineStr">
        <is>
          <t>Facebook</t>
        </is>
      </c>
    </row>
    <row r="316" ht="13.5" customHeight="1" s="1232">
      <c r="A316" s="1393" t="n">
        <v>43313</v>
      </c>
      <c r="B316" s="1260" t="inlineStr">
        <is>
          <t>Aug Pick N Mix</t>
        </is>
      </c>
      <c r="C316" s="1255" t="inlineStr">
        <is>
          <t>3. Pick n Mix Inc</t>
        </is>
      </c>
      <c r="D316" s="1255" t="inlineStr">
        <is>
          <t>Various</t>
        </is>
      </c>
      <c r="E316" s="1261" t="n">
        <v>93.63</v>
      </c>
      <c r="F316" s="1255" t="inlineStr">
        <is>
          <t>Pick N Mix Payments</t>
        </is>
      </c>
      <c r="G316" s="1255" t="inlineStr">
        <is>
          <t>Existing</t>
        </is>
      </c>
    </row>
    <row r="317" ht="13.5" customHeight="1" s="1232">
      <c r="A317" s="1393" t="n">
        <v>43313</v>
      </c>
      <c r="B317" s="1260" t="inlineStr">
        <is>
          <t>Aug Mentoring</t>
        </is>
      </c>
      <c r="C317" s="1255" t="inlineStr">
        <is>
          <t>5. Mentoring</t>
        </is>
      </c>
      <c r="D317" s="1255" t="inlineStr">
        <is>
          <t>Various</t>
        </is>
      </c>
      <c r="E317" s="1261" t="n">
        <v>80</v>
      </c>
      <c r="F317" s="1255" t="inlineStr">
        <is>
          <t>Mentoring Subs</t>
        </is>
      </c>
      <c r="G317" s="1255" t="inlineStr">
        <is>
          <t>Existing</t>
        </is>
      </c>
    </row>
    <row r="318" ht="13.5" customHeight="1" s="1232">
      <c r="A318" s="1393" t="n"/>
      <c r="B318" s="1260" t="n"/>
      <c r="C318" s="1260" t="n"/>
      <c r="D318" s="1260" t="n"/>
      <c r="E318" s="1394" t="n"/>
      <c r="F318" s="1260" t="n"/>
      <c r="G318" s="1260" t="n"/>
    </row>
    <row r="319" ht="13.5" customHeight="1" s="1232">
      <c r="A319" s="1393" t="n">
        <v>43311</v>
      </c>
      <c r="B319" s="1260" t="inlineStr">
        <is>
          <t>amy goymer brown</t>
        </is>
      </c>
      <c r="C319" s="1255" t="inlineStr">
        <is>
          <t>2. Workshops</t>
        </is>
      </c>
      <c r="D319" s="1260" t="inlineStr">
        <is>
          <t>Stripe</t>
        </is>
      </c>
      <c r="E319" s="1394" t="n">
        <v>42.5</v>
      </c>
      <c r="F319" s="1260" t="inlineStr">
        <is>
          <t>Batsford Sharpshooters</t>
        </is>
      </c>
      <c r="G319" s="1260" t="inlineStr">
        <is>
          <t>Google</t>
        </is>
      </c>
    </row>
    <row r="320" ht="13.5" customHeight="1" s="1232">
      <c r="A320" s="1393" t="n">
        <v>43310</v>
      </c>
      <c r="B320" s="1260" t="inlineStr">
        <is>
          <t>Sally Bluck</t>
        </is>
      </c>
      <c r="C320" s="1255" t="inlineStr">
        <is>
          <t>1. Courses/masterclasses</t>
        </is>
      </c>
      <c r="D320" s="1260" t="inlineStr">
        <is>
          <t>Stripe</t>
        </is>
      </c>
      <c r="E320" s="1394" t="n">
        <v>30</v>
      </c>
      <c r="F320" s="1260" t="inlineStr">
        <is>
          <t>Intro Class</t>
        </is>
      </c>
      <c r="G320" s="1260" t="inlineStr">
        <is>
          <t>Google</t>
        </is>
      </c>
    </row>
    <row r="321" ht="13.5" customHeight="1" s="1232">
      <c r="A321" s="1393" t="n">
        <v>43308</v>
      </c>
      <c r="B321" s="1260" t="inlineStr">
        <is>
          <t>Susan Giblett</t>
        </is>
      </c>
      <c r="C321" s="1255" t="inlineStr">
        <is>
          <t>2. Workshops</t>
        </is>
      </c>
      <c r="D321" s="1260" t="inlineStr">
        <is>
          <t>PayPal</t>
        </is>
      </c>
      <c r="E321" s="1394" t="n">
        <v>25</v>
      </c>
      <c r="F321" s="1260" t="inlineStr">
        <is>
          <t>Chesterton Windmill</t>
        </is>
      </c>
      <c r="G321" s="1260" t="inlineStr">
        <is>
          <t>Google</t>
        </is>
      </c>
    </row>
    <row r="322" ht="13.5" customHeight="1" s="1232">
      <c r="A322" s="1393" t="n">
        <v>43307</v>
      </c>
      <c r="B322" s="1260" t="inlineStr">
        <is>
          <t>Richard Cheney</t>
        </is>
      </c>
      <c r="C322" s="1255" t="inlineStr">
        <is>
          <t>2. Workshops</t>
        </is>
      </c>
      <c r="D322" s="1260" t="inlineStr">
        <is>
          <t>Stripe</t>
        </is>
      </c>
      <c r="E322" s="1394" t="n">
        <v>65</v>
      </c>
      <c r="F322" s="1260" t="inlineStr">
        <is>
          <t>Batsford Exposure</t>
        </is>
      </c>
      <c r="G322" s="1260" t="inlineStr">
        <is>
          <t>Batsford</t>
        </is>
      </c>
    </row>
    <row r="323" ht="13.5" customHeight="1" s="1232">
      <c r="A323" s="1393" t="n">
        <v>43307</v>
      </c>
      <c r="B323" s="1260" t="inlineStr">
        <is>
          <t>Fiona Brown</t>
        </is>
      </c>
      <c r="C323" s="1255" t="inlineStr">
        <is>
          <t>3. Pick n Mix Inc</t>
        </is>
      </c>
      <c r="D323" s="1260" t="inlineStr">
        <is>
          <t>Bank</t>
        </is>
      </c>
      <c r="E323" s="1394" t="n">
        <v>150</v>
      </c>
      <c r="F323" s="1260" t="inlineStr">
        <is>
          <t>New Pick N Mix Plan</t>
        </is>
      </c>
      <c r="G323" s="1260" t="inlineStr">
        <is>
          <t>Existing</t>
        </is>
      </c>
    </row>
    <row r="324" ht="13.5" customHeight="1" s="1232">
      <c r="A324" s="1393" t="n">
        <v>43307</v>
      </c>
      <c r="B324" s="1260" t="inlineStr">
        <is>
          <t>Coventry Collge</t>
        </is>
      </c>
      <c r="C324" s="1255" t="inlineStr">
        <is>
          <t>1. Courses/masterclasses</t>
        </is>
      </c>
      <c r="D324" s="1260" t="inlineStr">
        <is>
          <t>Bank</t>
        </is>
      </c>
      <c r="E324" s="1394" t="n">
        <v>1050</v>
      </c>
      <c r="F324" s="1260" t="inlineStr">
        <is>
          <t>2 Lightroom Classes</t>
        </is>
      </c>
      <c r="G324" s="1260" t="inlineStr">
        <is>
          <t>Google</t>
        </is>
      </c>
    </row>
    <row r="325" ht="13.5" customHeight="1" s="1232">
      <c r="A325" s="1393" t="n">
        <v>43306</v>
      </c>
      <c r="B325" s="1260" t="inlineStr">
        <is>
          <t>alison norris</t>
        </is>
      </c>
      <c r="C325" s="1255" t="inlineStr">
        <is>
          <t>2. Workshops</t>
        </is>
      </c>
      <c r="D325" s="1260" t="inlineStr">
        <is>
          <t>Stripe</t>
        </is>
      </c>
      <c r="E325" s="1394" t="n">
        <v>55</v>
      </c>
      <c r="F325" s="1260" t="inlineStr">
        <is>
          <t>Batsford Sharpshooters</t>
        </is>
      </c>
      <c r="G325" s="1260" t="inlineStr">
        <is>
          <t>Batsford</t>
        </is>
      </c>
    </row>
    <row r="326" ht="13.5" customHeight="1" s="1232">
      <c r="A326" s="1393" t="n">
        <v>43304</v>
      </c>
      <c r="B326" s="1260" t="inlineStr">
        <is>
          <t>Amanda Murray</t>
        </is>
      </c>
      <c r="C326" s="1255" t="inlineStr">
        <is>
          <t>2. Workshops</t>
        </is>
      </c>
      <c r="D326" s="1260" t="inlineStr">
        <is>
          <t>Stripe</t>
        </is>
      </c>
      <c r="E326" s="1394" t="n">
        <v>130</v>
      </c>
      <c r="F326" s="1260" t="inlineStr">
        <is>
          <t>Batsford Comp Class</t>
        </is>
      </c>
      <c r="G326" s="1260" t="inlineStr">
        <is>
          <t>Google</t>
        </is>
      </c>
    </row>
    <row r="327" ht="13.5" customHeight="1" s="1232">
      <c r="A327" s="1393" t="n">
        <v>43304</v>
      </c>
      <c r="B327" s="1260" t="inlineStr">
        <is>
          <t>gillian parker</t>
        </is>
      </c>
      <c r="C327" s="1255" t="inlineStr">
        <is>
          <t>2. Workshops</t>
        </is>
      </c>
      <c r="D327" s="1260" t="inlineStr">
        <is>
          <t>Stripe</t>
        </is>
      </c>
      <c r="E327" s="1394" t="n">
        <v>57.5</v>
      </c>
      <c r="F327" s="1260" t="inlineStr">
        <is>
          <t>Batsford Sharpshooters</t>
        </is>
      </c>
      <c r="G327" s="1260" t="inlineStr">
        <is>
          <t>Google</t>
        </is>
      </c>
    </row>
    <row r="328" ht="13.5" customHeight="1" s="1232">
      <c r="A328" s="1393" t="n">
        <v>43300</v>
      </c>
      <c r="B328" s="1260" t="inlineStr">
        <is>
          <t>Alison Hocking</t>
        </is>
      </c>
      <c r="C328" s="1255" t="inlineStr">
        <is>
          <t>2. Workshops</t>
        </is>
      </c>
      <c r="D328" s="1260" t="inlineStr">
        <is>
          <t>Stripe</t>
        </is>
      </c>
      <c r="E328" s="1394" t="n">
        <v>35</v>
      </c>
      <c r="F328" s="1260" t="inlineStr">
        <is>
          <t>Batsford Sharpshooters</t>
        </is>
      </c>
      <c r="G328" s="1260" t="inlineStr">
        <is>
          <t>Batsford</t>
        </is>
      </c>
    </row>
    <row r="329" ht="13.5" customHeight="1" s="1232">
      <c r="A329" s="1393" t="n">
        <v>43297</v>
      </c>
      <c r="B329" s="1260" t="inlineStr">
        <is>
          <t>Dave Coombs</t>
        </is>
      </c>
      <c r="C329" s="1255" t="inlineStr">
        <is>
          <t>2. Workshops</t>
        </is>
      </c>
      <c r="D329" s="1260" t="inlineStr">
        <is>
          <t>PayPal</t>
        </is>
      </c>
      <c r="E329" s="1394" t="n">
        <v>35</v>
      </c>
      <c r="F329" s="1260" t="inlineStr">
        <is>
          <t>Batsford Sharpshooters</t>
        </is>
      </c>
      <c r="G329" s="1260" t="inlineStr">
        <is>
          <t>Google</t>
        </is>
      </c>
    </row>
    <row r="330" ht="13.5" customHeight="1" s="1232">
      <c r="A330" s="1393" t="n">
        <v>43292</v>
      </c>
      <c r="B330" s="1260" t="inlineStr">
        <is>
          <t>Alexandru Melinte</t>
        </is>
      </c>
      <c r="C330" s="1255" t="inlineStr">
        <is>
          <t>1. Courses/masterclasses</t>
        </is>
      </c>
      <c r="D330" s="1260" t="inlineStr">
        <is>
          <t>Bank</t>
        </is>
      </c>
      <c r="E330" s="1394" t="n">
        <v>13</v>
      </c>
      <c r="F330" s="1260" t="inlineStr">
        <is>
          <t>Intro Class</t>
        </is>
      </c>
      <c r="G330" s="1260" t="inlineStr">
        <is>
          <t>Groupon</t>
        </is>
      </c>
    </row>
    <row r="331" ht="13.5" customHeight="1" s="1232">
      <c r="A331" s="1393" t="n">
        <v>43292</v>
      </c>
      <c r="B331" s="1260" t="inlineStr">
        <is>
          <t>Nadine Pratt</t>
        </is>
      </c>
      <c r="C331" s="1255" t="inlineStr">
        <is>
          <t>2. Workshops</t>
        </is>
      </c>
      <c r="D331" s="1260" t="inlineStr">
        <is>
          <t>PicknMix</t>
        </is>
      </c>
      <c r="E331" s="1394" t="n">
        <v>192.5</v>
      </c>
      <c r="F331" s="1260" t="inlineStr">
        <is>
          <t>B&amp;W Course</t>
        </is>
      </c>
      <c r="G331" s="1260" t="inlineStr">
        <is>
          <t>Existing</t>
        </is>
      </c>
    </row>
    <row r="332" ht="13.5" customHeight="1" s="1232">
      <c r="A332" s="1393" t="n">
        <v>43292</v>
      </c>
      <c r="B332" s="1260" t="inlineStr">
        <is>
          <t>Nadine Pratt</t>
        </is>
      </c>
      <c r="C332" s="1255" t="inlineStr">
        <is>
          <t>1. Courses/masterclasses</t>
        </is>
      </c>
      <c r="D332" s="1260" t="inlineStr">
        <is>
          <t>PicknMix</t>
        </is>
      </c>
      <c r="E332" s="1394" t="n">
        <v>165</v>
      </c>
      <c r="F332" s="1260" t="inlineStr">
        <is>
          <t>B&amp;W Course</t>
        </is>
      </c>
      <c r="G332" s="1260" t="inlineStr">
        <is>
          <t>Existing</t>
        </is>
      </c>
    </row>
    <row r="333" ht="13.5" customHeight="1" s="1232">
      <c r="A333" s="1393" t="n">
        <v>43292</v>
      </c>
      <c r="B333" s="1260" t="inlineStr">
        <is>
          <t>Nadine Pratt</t>
        </is>
      </c>
      <c r="C333" s="1255" t="inlineStr">
        <is>
          <t>4. Pick n Mix Out</t>
        </is>
      </c>
      <c r="D333" s="1260" t="inlineStr">
        <is>
          <t>PicknMix</t>
        </is>
      </c>
      <c r="E333" s="1409" t="n">
        <v>-357.5</v>
      </c>
      <c r="F333" s="1260" t="inlineStr">
        <is>
          <t>Drawdown on PnM</t>
        </is>
      </c>
      <c r="G333" s="1260" t="inlineStr">
        <is>
          <t>Existing</t>
        </is>
      </c>
    </row>
    <row r="334" ht="13.5" customHeight="1" s="1232">
      <c r="A334" s="1393" t="n">
        <v>43292</v>
      </c>
      <c r="B334" s="1260" t="inlineStr">
        <is>
          <t>Joyce James</t>
        </is>
      </c>
      <c r="C334" s="1255" t="inlineStr">
        <is>
          <t>3. Pick n Mix Inc</t>
        </is>
      </c>
      <c r="D334" s="1260" t="inlineStr">
        <is>
          <t>Bank</t>
        </is>
      </c>
      <c r="E334" s="1394" t="n">
        <v>400</v>
      </c>
      <c r="F334" s="1260" t="inlineStr">
        <is>
          <t>Pick N Mix Payments</t>
        </is>
      </c>
      <c r="G334" s="1260" t="inlineStr">
        <is>
          <t>Existing</t>
        </is>
      </c>
    </row>
    <row r="335" ht="13.5" customHeight="1" s="1232">
      <c r="A335" s="1393" t="n">
        <v>43291</v>
      </c>
      <c r="B335" s="1260" t="inlineStr">
        <is>
          <t>John Hayes</t>
        </is>
      </c>
      <c r="C335" s="1255" t="inlineStr">
        <is>
          <t>5. Mentoring</t>
        </is>
      </c>
      <c r="D335" s="1260" t="inlineStr">
        <is>
          <t>PayPal</t>
        </is>
      </c>
      <c r="E335" s="1394" t="n">
        <v>20</v>
      </c>
      <c r="F335" s="1260" t="inlineStr">
        <is>
          <t>Mentoring Subs</t>
        </is>
      </c>
      <c r="G335" s="1260" t="inlineStr">
        <is>
          <t>Existing</t>
        </is>
      </c>
    </row>
    <row r="336" ht="13.5" customHeight="1" s="1232">
      <c r="A336" s="1393" t="n">
        <v>43291</v>
      </c>
      <c r="B336" s="1260" t="inlineStr">
        <is>
          <t>Ina Wilkening</t>
        </is>
      </c>
      <c r="C336" s="1255" t="inlineStr">
        <is>
          <t>1. Courses/masterclasses</t>
        </is>
      </c>
      <c r="D336" s="1260" t="inlineStr">
        <is>
          <t>Stripe</t>
        </is>
      </c>
      <c r="E336" s="1394" t="n">
        <v>30</v>
      </c>
      <c r="F336" s="1260" t="inlineStr">
        <is>
          <t>Intro Class</t>
        </is>
      </c>
      <c r="G336" s="1260" t="inlineStr">
        <is>
          <t>Google</t>
        </is>
      </c>
    </row>
    <row r="337" ht="13.5" customHeight="1" s="1232">
      <c r="A337" s="1393" t="n">
        <v>43291</v>
      </c>
      <c r="B337" s="1260" t="inlineStr">
        <is>
          <t>Elixabeth Boniface</t>
        </is>
      </c>
      <c r="C337" s="1255" t="inlineStr">
        <is>
          <t>7. Other</t>
        </is>
      </c>
      <c r="D337" s="1260" t="inlineStr">
        <is>
          <t>PayPal</t>
        </is>
      </c>
      <c r="E337" s="1394" t="n">
        <v>9.4</v>
      </c>
      <c r="F337" s="1260" t="inlineStr">
        <is>
          <t>Pocket Guides</t>
        </is>
      </c>
      <c r="G337" s="1260" t="inlineStr">
        <is>
          <t>Google</t>
        </is>
      </c>
    </row>
    <row r="338" ht="13.5" customHeight="1" s="1232">
      <c r="A338" s="1393" t="n">
        <v>43287</v>
      </c>
      <c r="B338" s="1260" t="inlineStr">
        <is>
          <t>Daniel Robb</t>
        </is>
      </c>
      <c r="C338" s="1255" t="inlineStr">
        <is>
          <t>6. 1-2-1</t>
        </is>
      </c>
      <c r="D338" s="1260" t="inlineStr">
        <is>
          <t>Bank</t>
        </is>
      </c>
      <c r="E338" s="1394" t="n">
        <v>106</v>
      </c>
      <c r="F338" s="1282" t="inlineStr">
        <is>
          <t>1-2-1</t>
        </is>
      </c>
      <c r="G338" s="1260" t="inlineStr">
        <is>
          <t>Existing</t>
        </is>
      </c>
    </row>
    <row r="339" ht="13.5" customHeight="1" s="1232">
      <c r="A339" s="1393" t="n">
        <v>43286</v>
      </c>
      <c r="B339" s="1260" t="inlineStr">
        <is>
          <t>Paul Kirby</t>
        </is>
      </c>
      <c r="C339" s="1255" t="inlineStr">
        <is>
          <t>6. 1-2-1</t>
        </is>
      </c>
      <c r="D339" s="1260" t="inlineStr">
        <is>
          <t>Stripe</t>
        </is>
      </c>
      <c r="E339" s="1394" t="n">
        <v>156</v>
      </c>
      <c r="F339" s="1282" t="inlineStr">
        <is>
          <t>1-2-1</t>
        </is>
      </c>
      <c r="G339" s="1260" t="inlineStr">
        <is>
          <t>Existing</t>
        </is>
      </c>
    </row>
    <row r="340" ht="13.5" customHeight="1" s="1232">
      <c r="A340" s="1393" t="n">
        <v>43284</v>
      </c>
      <c r="B340" s="1260" t="inlineStr">
        <is>
          <t>Helen King</t>
        </is>
      </c>
      <c r="C340" s="1255" t="inlineStr">
        <is>
          <t>2. Workshops</t>
        </is>
      </c>
      <c r="D340" s="1260" t="inlineStr">
        <is>
          <t>PayPal</t>
        </is>
      </c>
      <c r="E340" s="1394" t="n">
        <v>65</v>
      </c>
      <c r="F340" s="1260" t="inlineStr">
        <is>
          <t>Batsford Macro</t>
        </is>
      </c>
      <c r="G340" s="1260" t="inlineStr">
        <is>
          <t>Google</t>
        </is>
      </c>
    </row>
    <row r="341" ht="13.5" customHeight="1" s="1232">
      <c r="A341" s="1393" t="n">
        <v>43284</v>
      </c>
      <c r="B341" s="1260" t="inlineStr">
        <is>
          <t>Sohail Rawat</t>
        </is>
      </c>
      <c r="C341" s="1255" t="inlineStr">
        <is>
          <t>1. Courses/masterclasses</t>
        </is>
      </c>
      <c r="D341" s="1260" t="inlineStr">
        <is>
          <t>Bank</t>
        </is>
      </c>
      <c r="E341" s="1394" t="n">
        <v>13</v>
      </c>
      <c r="F341" s="1260" t="inlineStr">
        <is>
          <t>Intro Class</t>
        </is>
      </c>
      <c r="G341" s="1260" t="inlineStr">
        <is>
          <t>Groupon</t>
        </is>
      </c>
    </row>
    <row r="342" ht="13.5" customHeight="1" s="1232">
      <c r="A342" s="1393" t="n">
        <v>43284</v>
      </c>
      <c r="B342" s="1260" t="inlineStr">
        <is>
          <t>Zoe Sharman</t>
        </is>
      </c>
      <c r="C342" s="1255" t="inlineStr">
        <is>
          <t>1. Courses/masterclasses</t>
        </is>
      </c>
      <c r="D342" s="1260" t="inlineStr">
        <is>
          <t>Bank</t>
        </is>
      </c>
      <c r="E342" s="1394" t="n">
        <v>13</v>
      </c>
      <c r="F342" s="1260" t="inlineStr">
        <is>
          <t>Intro Class</t>
        </is>
      </c>
      <c r="G342" s="1260" t="inlineStr">
        <is>
          <t>Groupon</t>
        </is>
      </c>
    </row>
    <row r="343" ht="13.5" customHeight="1" s="1232">
      <c r="A343" s="1393" t="n">
        <v>43283</v>
      </c>
      <c r="B343" s="1260" t="inlineStr">
        <is>
          <t>Helen Madden</t>
        </is>
      </c>
      <c r="C343" s="1255" t="inlineStr">
        <is>
          <t>1. Courses/masterclasses</t>
        </is>
      </c>
      <c r="D343" s="1260" t="inlineStr">
        <is>
          <t>Bank</t>
        </is>
      </c>
      <c r="E343" s="1394" t="n">
        <v>13</v>
      </c>
      <c r="F343" s="1260" t="inlineStr">
        <is>
          <t>Intro Class</t>
        </is>
      </c>
      <c r="G343" s="1260" t="inlineStr">
        <is>
          <t>Groupon</t>
        </is>
      </c>
    </row>
    <row r="344" ht="13.5" customHeight="1" s="1232">
      <c r="A344" s="1393" t="n">
        <v>43283</v>
      </c>
      <c r="B344" s="1260" t="inlineStr">
        <is>
          <t>Anne Watkinson</t>
        </is>
      </c>
      <c r="C344" s="1255" t="inlineStr">
        <is>
          <t>6. 1-2-1</t>
        </is>
      </c>
      <c r="D344" s="1260" t="inlineStr">
        <is>
          <t>Stripe</t>
        </is>
      </c>
      <c r="E344" s="1394" t="n">
        <v>192</v>
      </c>
      <c r="F344" s="1282" t="inlineStr">
        <is>
          <t>1-2-1</t>
        </is>
      </c>
      <c r="G344" s="1260" t="inlineStr">
        <is>
          <t>Existing</t>
        </is>
      </c>
    </row>
    <row r="345" ht="13.5" customHeight="1" s="1232">
      <c r="A345" s="1393" t="n">
        <v>43282</v>
      </c>
      <c r="B345" s="1260" t="inlineStr">
        <is>
          <t>Jun Pick N Mix</t>
        </is>
      </c>
      <c r="C345" s="1255" t="inlineStr">
        <is>
          <t>3. Pick n Mix Inc</t>
        </is>
      </c>
      <c r="D345" s="1255" t="inlineStr">
        <is>
          <t>Various</t>
        </is>
      </c>
      <c r="E345" s="1261" t="n">
        <v>93.63</v>
      </c>
      <c r="F345" s="1255" t="inlineStr">
        <is>
          <t>Pick N Mix Payments</t>
        </is>
      </c>
      <c r="G345" s="1255" t="inlineStr">
        <is>
          <t>Existing</t>
        </is>
      </c>
    </row>
    <row r="346" ht="13.5" customHeight="1" s="1232">
      <c r="A346" s="1393" t="n">
        <v>43282</v>
      </c>
      <c r="B346" s="1260" t="inlineStr">
        <is>
          <t>Jun Mentoring</t>
        </is>
      </c>
      <c r="C346" s="1255" t="inlineStr">
        <is>
          <t>5. Mentoring</t>
        </is>
      </c>
      <c r="D346" s="1255" t="inlineStr">
        <is>
          <t>Various</t>
        </is>
      </c>
      <c r="E346" s="1261" t="n">
        <v>60</v>
      </c>
      <c r="F346" s="1255" t="inlineStr">
        <is>
          <t>Mentoring Subs</t>
        </is>
      </c>
      <c r="G346" s="1255" t="inlineStr">
        <is>
          <t>Existing</t>
        </is>
      </c>
    </row>
    <row r="347" ht="13.5" customHeight="1" s="1232">
      <c r="A347" s="1393" t="n"/>
      <c r="B347" s="1260" t="n"/>
      <c r="C347" s="1260" t="n"/>
      <c r="D347" s="1260" t="n"/>
      <c r="E347" s="1394" t="n"/>
      <c r="F347" s="1260" t="n"/>
      <c r="G347" s="1260" t="n"/>
    </row>
    <row r="348" ht="13.5" customHeight="1" s="1232">
      <c r="A348" s="1393" t="n">
        <v>43277</v>
      </c>
      <c r="B348" s="1260" t="inlineStr">
        <is>
          <t>Judy Niner</t>
        </is>
      </c>
      <c r="C348" s="1255" t="inlineStr">
        <is>
          <t>2. Workshops</t>
        </is>
      </c>
      <c r="D348" s="1260" t="inlineStr">
        <is>
          <t>PayPal</t>
        </is>
      </c>
      <c r="E348" s="1394" t="n">
        <v>100</v>
      </c>
      <c r="F348" s="1260" t="inlineStr">
        <is>
          <t>Northumberland</t>
        </is>
      </c>
      <c r="G348" s="1260" t="inlineStr">
        <is>
          <t>Google</t>
        </is>
      </c>
    </row>
    <row r="349" ht="13.5" customHeight="1" s="1232">
      <c r="A349" s="1393" t="n">
        <v>43275</v>
      </c>
      <c r="B349" s="1260" t="inlineStr">
        <is>
          <t>Bethany Mountford</t>
        </is>
      </c>
      <c r="C349" s="1255" t="inlineStr">
        <is>
          <t>1. Courses/masterclasses</t>
        </is>
      </c>
      <c r="D349" s="1260" t="inlineStr">
        <is>
          <t>Bank</t>
        </is>
      </c>
      <c r="E349" s="1394" t="n">
        <v>13</v>
      </c>
      <c r="F349" s="1260" t="inlineStr">
        <is>
          <t>Intro Class</t>
        </is>
      </c>
      <c r="G349" s="1260" t="inlineStr">
        <is>
          <t>Groupon</t>
        </is>
      </c>
    </row>
    <row r="350" ht="13.5" customHeight="1" s="1232">
      <c r="A350" s="1393" t="n">
        <v>43275</v>
      </c>
      <c r="B350" s="1260" t="inlineStr">
        <is>
          <t>Jeremy Troth</t>
        </is>
      </c>
      <c r="C350" s="1255" t="inlineStr">
        <is>
          <t>2. Workshops</t>
        </is>
      </c>
      <c r="D350" s="1260" t="inlineStr">
        <is>
          <t>Stripe</t>
        </is>
      </c>
      <c r="E350" s="1394" t="n">
        <v>25</v>
      </c>
      <c r="F350" s="1260" t="inlineStr">
        <is>
          <t>Fireworks</t>
        </is>
      </c>
      <c r="G350" s="1260" t="inlineStr">
        <is>
          <t>Existing</t>
        </is>
      </c>
    </row>
    <row r="351" ht="13.5" customHeight="1" s="1232">
      <c r="A351" s="1393" t="n">
        <v>43272</v>
      </c>
      <c r="B351" s="1260" t="inlineStr">
        <is>
          <t>Anne Watkinson</t>
        </is>
      </c>
      <c r="C351" s="1255" t="inlineStr">
        <is>
          <t>6. 1-2-1</t>
        </is>
      </c>
      <c r="D351" s="1260" t="inlineStr">
        <is>
          <t>Stripe</t>
        </is>
      </c>
      <c r="E351" s="1260" t="n">
        <v>120</v>
      </c>
      <c r="F351" s="1282" t="inlineStr">
        <is>
          <t>1-2-1</t>
        </is>
      </c>
      <c r="G351" s="1260" t="inlineStr">
        <is>
          <t>Existing</t>
        </is>
      </c>
    </row>
    <row r="352" ht="13.5" customHeight="1" s="1232">
      <c r="A352" s="1393" t="n">
        <v>43272</v>
      </c>
      <c r="B352" s="1260" t="inlineStr">
        <is>
          <t>Anne Watkinson</t>
        </is>
      </c>
      <c r="C352" s="1255" t="inlineStr">
        <is>
          <t>2. Workshops</t>
        </is>
      </c>
      <c r="D352" s="1260" t="inlineStr">
        <is>
          <t>Stripe</t>
        </is>
      </c>
      <c r="E352" s="1260">
        <f>65+65</f>
        <v/>
      </c>
      <c r="F352" s="1260" t="inlineStr">
        <is>
          <t>2 x Batsford</t>
        </is>
      </c>
      <c r="G352" s="1260" t="inlineStr">
        <is>
          <t>Existing</t>
        </is>
      </c>
    </row>
    <row r="353" ht="13.5" customHeight="1" s="1232">
      <c r="A353" s="1393" t="n">
        <v>43272</v>
      </c>
      <c r="B353" s="1260" t="inlineStr">
        <is>
          <t>Con McHugh</t>
        </is>
      </c>
      <c r="C353" s="1255" t="inlineStr">
        <is>
          <t>7. Other</t>
        </is>
      </c>
      <c r="D353" s="1260" t="inlineStr">
        <is>
          <t>PayPal</t>
        </is>
      </c>
      <c r="E353" s="1394" t="n">
        <v>24.61</v>
      </c>
      <c r="F353" s="1260" t="inlineStr">
        <is>
          <t>Print - Zenfolio</t>
        </is>
      </c>
      <c r="G353" s="1260" t="inlineStr">
        <is>
          <t>Existing</t>
        </is>
      </c>
    </row>
    <row r="354" ht="13.5" customHeight="1" s="1232">
      <c r="A354" s="1393" t="n">
        <v>43269</v>
      </c>
      <c r="B354" s="1260" t="inlineStr">
        <is>
          <t>Joanne Moorhouse</t>
        </is>
      </c>
      <c r="C354" s="1255" t="inlineStr">
        <is>
          <t>2. Workshops</t>
        </is>
      </c>
      <c r="D354" s="1260" t="inlineStr">
        <is>
          <t>Stripe</t>
        </is>
      </c>
      <c r="E354" s="1394" t="n">
        <v>65</v>
      </c>
      <c r="F354" s="1260" t="inlineStr">
        <is>
          <t>Batsford</t>
        </is>
      </c>
      <c r="G354" s="1260" t="inlineStr">
        <is>
          <t>Facebook</t>
        </is>
      </c>
    </row>
    <row r="355" ht="13.5" customHeight="1" s="1232">
      <c r="A355" s="1393" t="n">
        <v>43269</v>
      </c>
      <c r="B355" s="1260" t="inlineStr">
        <is>
          <t>CHRISTOPHER TROTH</t>
        </is>
      </c>
      <c r="C355" s="1255" t="inlineStr">
        <is>
          <t>7. Other</t>
        </is>
      </c>
      <c r="D355" s="1260" t="inlineStr">
        <is>
          <t>Stripe</t>
        </is>
      </c>
      <c r="E355" s="1394" t="n">
        <v>50</v>
      </c>
      <c r="F355" s="1260" t="inlineStr">
        <is>
          <t>Gift Voucher</t>
        </is>
      </c>
      <c r="G355" s="1260" t="inlineStr">
        <is>
          <t>Existing</t>
        </is>
      </c>
    </row>
    <row r="356" ht="13.5" customHeight="1" s="1232">
      <c r="A356" s="1393" t="n">
        <v>43269</v>
      </c>
      <c r="B356" s="1260" t="inlineStr">
        <is>
          <t>Mohammed Khan</t>
        </is>
      </c>
      <c r="C356" s="1255" t="inlineStr">
        <is>
          <t>1. Courses/masterclasses</t>
        </is>
      </c>
      <c r="D356" s="1260" t="inlineStr">
        <is>
          <t>Bank</t>
        </is>
      </c>
      <c r="E356" s="1394" t="n">
        <v>13</v>
      </c>
      <c r="F356" s="1260" t="inlineStr">
        <is>
          <t>Intro Class</t>
        </is>
      </c>
      <c r="G356" s="1260" t="inlineStr">
        <is>
          <t>Groupon</t>
        </is>
      </c>
    </row>
    <row r="357" ht="13.5" customHeight="1" s="1232">
      <c r="A357" s="1393" t="n">
        <v>43269</v>
      </c>
      <c r="B357" s="1260" t="inlineStr">
        <is>
          <t>Gillian Perry</t>
        </is>
      </c>
      <c r="C357" s="1255" t="inlineStr">
        <is>
          <t>2. Workshops</t>
        </is>
      </c>
      <c r="D357" s="1260" t="inlineStr">
        <is>
          <t>Stripe</t>
        </is>
      </c>
      <c r="E357" s="1394" t="n">
        <v>75</v>
      </c>
      <c r="F357" s="1260" t="inlineStr">
        <is>
          <t>Poppies</t>
        </is>
      </c>
      <c r="G357" s="1260" t="inlineStr">
        <is>
          <t>Google</t>
        </is>
      </c>
    </row>
    <row r="358" ht="13.5" customHeight="1" s="1232">
      <c r="A358" s="1393" t="n">
        <v>43268</v>
      </c>
      <c r="B358" s="1260" t="inlineStr">
        <is>
          <t>M Sotheran</t>
        </is>
      </c>
      <c r="C358" s="1255" t="inlineStr">
        <is>
          <t>2. Workshops</t>
        </is>
      </c>
      <c r="D358" s="1260" t="inlineStr">
        <is>
          <t>Stripe</t>
        </is>
      </c>
      <c r="E358" s="1394" t="n">
        <v>105</v>
      </c>
      <c r="F358" s="1260" t="inlineStr">
        <is>
          <t>Chesterton Windmill</t>
        </is>
      </c>
      <c r="G358" s="1260" t="inlineStr">
        <is>
          <t>Existing</t>
        </is>
      </c>
    </row>
    <row r="359" ht="13.5" customHeight="1" s="1232">
      <c r="A359" s="1393" t="n">
        <v>43268</v>
      </c>
      <c r="B359" s="1260" t="inlineStr">
        <is>
          <t>Steve Paling - ELS</t>
        </is>
      </c>
      <c r="C359" s="1255" t="inlineStr">
        <is>
          <t>1. Courses/masterclasses</t>
        </is>
      </c>
      <c r="D359" s="1260" t="inlineStr">
        <is>
          <t>Bank</t>
        </is>
      </c>
      <c r="E359" s="1394" t="n">
        <v>200</v>
      </c>
      <c r="F359" s="1260" t="inlineStr">
        <is>
          <t>4wk Extended Course</t>
        </is>
      </c>
      <c r="G359" s="1260" t="inlineStr">
        <is>
          <t>ELS</t>
        </is>
      </c>
    </row>
    <row r="360" ht="13.5" customHeight="1" s="1232">
      <c r="A360" s="1393" t="n">
        <v>43267</v>
      </c>
      <c r="B360" s="1260" t="inlineStr">
        <is>
          <t>Odette Green</t>
        </is>
      </c>
      <c r="C360" s="1255" t="inlineStr">
        <is>
          <t>1. Courses/masterclasses</t>
        </is>
      </c>
      <c r="D360" s="1260" t="inlineStr">
        <is>
          <t>Stripe</t>
        </is>
      </c>
      <c r="E360" s="1394" t="n">
        <v>245</v>
      </c>
      <c r="F360" s="1260" t="inlineStr">
        <is>
          <t>4wk Extended Course</t>
        </is>
      </c>
      <c r="G360" s="1260" t="inlineStr">
        <is>
          <t>Google</t>
        </is>
      </c>
    </row>
    <row r="361" ht="13.5" customHeight="1" s="1232">
      <c r="A361" s="1393" t="n">
        <v>43263</v>
      </c>
      <c r="B361" s="1260" t="inlineStr">
        <is>
          <t>Anne Watkinson</t>
        </is>
      </c>
      <c r="C361" s="1255" t="inlineStr">
        <is>
          <t>6. 1-2-1</t>
        </is>
      </c>
      <c r="D361" s="1260" t="inlineStr">
        <is>
          <t>Stripe</t>
        </is>
      </c>
      <c r="E361" s="1394" t="n">
        <v>120</v>
      </c>
      <c r="F361" s="1282" t="inlineStr">
        <is>
          <t>1-2-1</t>
        </is>
      </c>
      <c r="G361" s="1260" t="inlineStr">
        <is>
          <t>Existing</t>
        </is>
      </c>
    </row>
    <row r="362" ht="13.5" customHeight="1" s="1232">
      <c r="A362" s="1393" t="n">
        <v>43263</v>
      </c>
      <c r="B362" s="1260" t="inlineStr">
        <is>
          <t>Allen Miller</t>
        </is>
      </c>
      <c r="C362" s="1255" t="inlineStr">
        <is>
          <t>2. Workshops</t>
        </is>
      </c>
      <c r="D362" s="1260" t="inlineStr">
        <is>
          <t>Stripe</t>
        </is>
      </c>
      <c r="E362" s="1394" t="n">
        <v>65</v>
      </c>
      <c r="F362" s="1260" t="inlineStr">
        <is>
          <t>Batsford</t>
        </is>
      </c>
      <c r="G362" s="1260" t="inlineStr">
        <is>
          <t>Batsford</t>
        </is>
      </c>
    </row>
    <row r="363" ht="13.5" customHeight="1" s="1232">
      <c r="A363" s="1393" t="n">
        <v>43263</v>
      </c>
      <c r="B363" s="1260" t="inlineStr">
        <is>
          <t>Francis Peckham</t>
        </is>
      </c>
      <c r="C363" s="1255" t="inlineStr">
        <is>
          <t>1. Courses/masterclasses</t>
        </is>
      </c>
      <c r="D363" s="1260" t="inlineStr">
        <is>
          <t>Stripe</t>
        </is>
      </c>
      <c r="E363" s="1394" t="n">
        <v>395</v>
      </c>
      <c r="F363" s="1260" t="inlineStr">
        <is>
          <t>RPS Course</t>
        </is>
      </c>
      <c r="G363" s="1260" t="inlineStr">
        <is>
          <t>Existing</t>
        </is>
      </c>
    </row>
    <row r="364" ht="13.5" customHeight="1" s="1232">
      <c r="A364" s="1393" t="n">
        <v>43259</v>
      </c>
      <c r="B364" s="1260" t="inlineStr">
        <is>
          <t>Nina Rowland</t>
        </is>
      </c>
      <c r="C364" s="1255" t="inlineStr">
        <is>
          <t>1. Courses/masterclasses</t>
        </is>
      </c>
      <c r="D364" s="1260" t="inlineStr">
        <is>
          <t>Bank</t>
        </is>
      </c>
      <c r="E364" s="1409" t="n">
        <v>13</v>
      </c>
      <c r="F364" s="1260" t="inlineStr">
        <is>
          <t>Intro Class</t>
        </is>
      </c>
      <c r="G364" s="1260" t="inlineStr">
        <is>
          <t>Groupon</t>
        </is>
      </c>
    </row>
    <row r="365" ht="13.5" customHeight="1" s="1232">
      <c r="A365" s="1393" t="n">
        <v>43259</v>
      </c>
      <c r="B365" s="1260" t="inlineStr">
        <is>
          <t>Claire Powell</t>
        </is>
      </c>
      <c r="C365" s="1255" t="inlineStr">
        <is>
          <t>1. Courses/masterclasses</t>
        </is>
      </c>
      <c r="D365" s="1260" t="inlineStr">
        <is>
          <t>Bank</t>
        </is>
      </c>
      <c r="E365" s="1409" t="n">
        <v>13</v>
      </c>
      <c r="F365" s="1260" t="inlineStr">
        <is>
          <t>Intro Class</t>
        </is>
      </c>
      <c r="G365" s="1260" t="inlineStr">
        <is>
          <t>Groupon</t>
        </is>
      </c>
    </row>
    <row r="366" ht="13.5" customHeight="1" s="1232">
      <c r="A366" s="1393" t="n">
        <v>43258</v>
      </c>
      <c r="B366" s="1260" t="inlineStr">
        <is>
          <t>CLAIRE STEVENSON</t>
        </is>
      </c>
      <c r="C366" s="1255" t="inlineStr">
        <is>
          <t>1. Courses/masterclasses</t>
        </is>
      </c>
      <c r="D366" s="1260" t="inlineStr">
        <is>
          <t>Stripe</t>
        </is>
      </c>
      <c r="E366" s="1394" t="n">
        <v>15</v>
      </c>
      <c r="F366" s="1260" t="inlineStr">
        <is>
          <t>Rebooking Fee Into</t>
        </is>
      </c>
      <c r="G366" s="1260" t="inlineStr">
        <is>
          <t>Existing</t>
        </is>
      </c>
    </row>
    <row r="367" ht="13.5" customHeight="1" s="1232">
      <c r="A367" s="1393" t="n">
        <v>43257</v>
      </c>
      <c r="B367" s="1260" t="inlineStr">
        <is>
          <t>Kirsten Pearce</t>
        </is>
      </c>
      <c r="C367" s="1255" t="inlineStr">
        <is>
          <t>7. Other</t>
        </is>
      </c>
      <c r="D367" s="1260" t="inlineStr">
        <is>
          <t>Bank</t>
        </is>
      </c>
      <c r="E367" s="1394" t="n">
        <v>403.75</v>
      </c>
      <c r="F367" s="1260" t="inlineStr">
        <is>
          <t>Anglesey</t>
        </is>
      </c>
      <c r="G367" s="1260" t="inlineStr">
        <is>
          <t>Existing</t>
        </is>
      </c>
    </row>
    <row r="368" ht="13.5" customHeight="1" s="1232">
      <c r="A368" s="1393" t="n">
        <v>43257</v>
      </c>
      <c r="B368" s="1260" t="inlineStr">
        <is>
          <t>Emma Macnair</t>
        </is>
      </c>
      <c r="C368" s="1255" t="inlineStr">
        <is>
          <t>7. Other</t>
        </is>
      </c>
      <c r="D368" s="1260" t="inlineStr">
        <is>
          <t>PayPal</t>
        </is>
      </c>
      <c r="E368" s="1394" t="n">
        <v>24.61</v>
      </c>
      <c r="F368" s="1260" t="inlineStr">
        <is>
          <t>Print - Zenfolio</t>
        </is>
      </c>
      <c r="G368" s="1260" t="inlineStr">
        <is>
          <t>Google</t>
        </is>
      </c>
    </row>
    <row r="369" ht="13.5" customHeight="1" s="1232">
      <c r="A369" s="1393" t="n">
        <v>43255</v>
      </c>
      <c r="B369" s="1260" t="inlineStr">
        <is>
          <t>Janice Brown</t>
        </is>
      </c>
      <c r="C369" s="1255" t="inlineStr">
        <is>
          <t>1. Courses/masterclasses</t>
        </is>
      </c>
      <c r="D369" s="1260" t="inlineStr">
        <is>
          <t>Stripe</t>
        </is>
      </c>
      <c r="E369" s="1394" t="n">
        <v>245</v>
      </c>
      <c r="F369" s="1260" t="inlineStr">
        <is>
          <t>4wk Extended Course</t>
        </is>
      </c>
      <c r="G369" s="1260" t="inlineStr">
        <is>
          <t>Google</t>
        </is>
      </c>
    </row>
    <row r="370" ht="13.5" customHeight="1" s="1232">
      <c r="A370" s="1393" t="n">
        <v>43255</v>
      </c>
      <c r="B370" s="1260" t="inlineStr">
        <is>
          <t>Andrew White</t>
        </is>
      </c>
      <c r="C370" s="1255" t="inlineStr">
        <is>
          <t>1. Courses/masterclasses</t>
        </is>
      </c>
      <c r="D370" s="1260" t="inlineStr">
        <is>
          <t>Stripe</t>
        </is>
      </c>
      <c r="E370" s="1394" t="n">
        <v>30</v>
      </c>
      <c r="F370" s="1260" t="inlineStr">
        <is>
          <t>Intro Class</t>
        </is>
      </c>
      <c r="G370" s="1260" t="inlineStr">
        <is>
          <t>Google</t>
        </is>
      </c>
    </row>
    <row r="371" ht="13.5" customHeight="1" s="1232">
      <c r="A371" s="1393" t="n">
        <v>43254</v>
      </c>
      <c r="B371" s="1260" t="inlineStr">
        <is>
          <t>Ian Blake</t>
        </is>
      </c>
      <c r="C371" s="1255" t="inlineStr">
        <is>
          <t>2. Workshops</t>
        </is>
      </c>
      <c r="D371" s="1260" t="inlineStr">
        <is>
          <t>Bank</t>
        </is>
      </c>
      <c r="E371" s="1256" t="n">
        <v>175</v>
      </c>
      <c r="F371" s="1260" t="inlineStr">
        <is>
          <t>Anglesey</t>
        </is>
      </c>
      <c r="G371" s="1260" t="inlineStr">
        <is>
          <t>Existing</t>
        </is>
      </c>
    </row>
    <row r="372" ht="13.5" customHeight="1" s="1232">
      <c r="A372" s="1393" t="n">
        <v>43254</v>
      </c>
      <c r="B372" s="1260" t="inlineStr">
        <is>
          <t>Sharron Hill</t>
        </is>
      </c>
      <c r="C372" s="1255" t="inlineStr">
        <is>
          <t>2. Workshops</t>
        </is>
      </c>
      <c r="D372" s="1260" t="inlineStr">
        <is>
          <t>Stripe</t>
        </is>
      </c>
      <c r="E372" s="1256" t="n">
        <v>75</v>
      </c>
      <c r="F372" s="1260" t="inlineStr">
        <is>
          <t>Poppies</t>
        </is>
      </c>
      <c r="G372" s="1260" t="inlineStr">
        <is>
          <t>Facebook</t>
        </is>
      </c>
    </row>
    <row r="373" ht="13.5" customHeight="1" s="1232">
      <c r="A373" s="1393" t="n">
        <v>43253</v>
      </c>
      <c r="B373" s="1260" t="inlineStr">
        <is>
          <t>Janice Anne Bannister</t>
        </is>
      </c>
      <c r="C373" s="1255" t="inlineStr">
        <is>
          <t>2. Workshops</t>
        </is>
      </c>
      <c r="D373" s="1260" t="inlineStr">
        <is>
          <t>PayPal</t>
        </is>
      </c>
      <c r="E373" s="1409" t="n">
        <v>75</v>
      </c>
      <c r="F373" s="1260" t="inlineStr">
        <is>
          <t>Poppies</t>
        </is>
      </c>
      <c r="G373" s="1260" t="inlineStr">
        <is>
          <t>Facebook</t>
        </is>
      </c>
    </row>
    <row r="374" ht="13.5" customHeight="1" s="1232">
      <c r="A374" s="1393" t="n">
        <v>43252</v>
      </c>
      <c r="B374" s="1260" t="inlineStr">
        <is>
          <t>Jun Pick N Mix</t>
        </is>
      </c>
      <c r="C374" s="1255" t="inlineStr">
        <is>
          <t>3. Pick n Mix Inc</t>
        </is>
      </c>
      <c r="D374" s="1255" t="inlineStr">
        <is>
          <t>Various</t>
        </is>
      </c>
      <c r="E374" s="1261" t="n">
        <v>348.63</v>
      </c>
      <c r="F374" s="1255" t="inlineStr">
        <is>
          <t>Pick N Mix Payments</t>
        </is>
      </c>
      <c r="G374" s="1255" t="inlineStr">
        <is>
          <t>Existing</t>
        </is>
      </c>
    </row>
    <row r="375" ht="13.5" customHeight="1" s="1232">
      <c r="A375" s="1393" t="n">
        <v>43252</v>
      </c>
      <c r="B375" s="1260" t="inlineStr">
        <is>
          <t>Jun Mentoring</t>
        </is>
      </c>
      <c r="C375" s="1255" t="inlineStr">
        <is>
          <t>5. Mentoring</t>
        </is>
      </c>
      <c r="D375" s="1255" t="inlineStr">
        <is>
          <t>Various</t>
        </is>
      </c>
      <c r="E375" s="1261" t="n">
        <v>80</v>
      </c>
      <c r="F375" s="1255" t="inlineStr">
        <is>
          <t>Mentoring Subs</t>
        </is>
      </c>
      <c r="G375" s="1255" t="inlineStr">
        <is>
          <t>Existing</t>
        </is>
      </c>
    </row>
    <row r="376" ht="13.5" customHeight="1" s="1232">
      <c r="A376" s="1393" t="n"/>
      <c r="B376" s="1260" t="n"/>
      <c r="D376" s="1260" t="n"/>
      <c r="E376" s="1409" t="n"/>
      <c r="F376" s="1260" t="n"/>
      <c r="G376" s="1260" t="n"/>
    </row>
    <row r="377" ht="13.5" customHeight="1" s="1232">
      <c r="A377" s="1393" t="n">
        <v>43251</v>
      </c>
      <c r="B377" s="1260" t="inlineStr">
        <is>
          <t>Simon Wright</t>
        </is>
      </c>
      <c r="C377" s="1255" t="inlineStr">
        <is>
          <t>2. Workshops</t>
        </is>
      </c>
      <c r="D377" s="1260" t="inlineStr">
        <is>
          <t>Stripe</t>
        </is>
      </c>
      <c r="E377" s="1409" t="n">
        <v>175</v>
      </c>
      <c r="F377" s="1260" t="inlineStr">
        <is>
          <t>Wales</t>
        </is>
      </c>
      <c r="G377" s="1260" t="inlineStr">
        <is>
          <t>Facebook</t>
        </is>
      </c>
    </row>
    <row r="378" ht="13.5" customHeight="1" s="1232">
      <c r="A378" s="1393" t="n">
        <v>43250</v>
      </c>
      <c r="B378" s="1260" t="inlineStr">
        <is>
          <t>Claire Stevenson</t>
        </is>
      </c>
      <c r="C378" s="1255" t="inlineStr">
        <is>
          <t>1. Courses/masterclasses</t>
        </is>
      </c>
      <c r="D378" s="1260" t="inlineStr">
        <is>
          <t>Bank</t>
        </is>
      </c>
      <c r="E378" s="1409" t="n">
        <v>13</v>
      </c>
      <c r="F378" s="1260" t="inlineStr">
        <is>
          <t>Intro Class</t>
        </is>
      </c>
      <c r="G378" s="1260" t="inlineStr">
        <is>
          <t>Groupon</t>
        </is>
      </c>
    </row>
    <row r="379" ht="13.5" customHeight="1" s="1232">
      <c r="A379" s="1393" t="n">
        <v>43250</v>
      </c>
      <c r="B379" s="1260" t="inlineStr">
        <is>
          <t>Alison Littleford</t>
        </is>
      </c>
      <c r="C379" s="1255" t="inlineStr">
        <is>
          <t>2. Workshops</t>
        </is>
      </c>
      <c r="D379" s="1260" t="inlineStr">
        <is>
          <t>Stripe</t>
        </is>
      </c>
      <c r="E379" s="1409" t="n">
        <v>75</v>
      </c>
      <c r="F379" s="1260" t="inlineStr">
        <is>
          <t>Poppies</t>
        </is>
      </c>
      <c r="G379" s="1260" t="inlineStr">
        <is>
          <t>Facebook</t>
        </is>
      </c>
    </row>
    <row r="380" ht="13.5" customHeight="1" s="1232">
      <c r="A380" s="1393" t="n">
        <v>43250</v>
      </c>
      <c r="B380" s="1260" t="inlineStr">
        <is>
          <t>Steve Paling - ELS</t>
        </is>
      </c>
      <c r="C380" s="1255" t="inlineStr">
        <is>
          <t>1. Courses/masterclasses</t>
        </is>
      </c>
      <c r="D380" s="1260" t="inlineStr">
        <is>
          <t>Bank</t>
        </is>
      </c>
      <c r="E380" s="1409" t="n">
        <v>45</v>
      </c>
      <c r="F380" s="1260" t="inlineStr">
        <is>
          <t>4wk Beginners Course</t>
        </is>
      </c>
      <c r="G380" s="1260" t="inlineStr">
        <is>
          <t>ELS</t>
        </is>
      </c>
    </row>
    <row r="381" ht="13.5" customHeight="1" s="1232">
      <c r="A381" s="1393" t="n">
        <v>43249</v>
      </c>
      <c r="B381" s="1260" t="inlineStr">
        <is>
          <t>Anne Watkinson</t>
        </is>
      </c>
      <c r="C381" s="1255" t="inlineStr">
        <is>
          <t>6. 1-2-1</t>
        </is>
      </c>
      <c r="D381" s="1260" t="inlineStr">
        <is>
          <t>Bank</t>
        </is>
      </c>
      <c r="E381" s="1409" t="n">
        <v>120</v>
      </c>
      <c r="F381" s="1260" t="inlineStr">
        <is>
          <t>LR '1-2-1</t>
        </is>
      </c>
      <c r="G381" s="1260" t="inlineStr">
        <is>
          <t>Existing</t>
        </is>
      </c>
    </row>
    <row r="382" ht="13.5" customHeight="1" s="1232">
      <c r="A382" s="1393" t="n">
        <v>43249</v>
      </c>
      <c r="B382" s="1260" t="inlineStr">
        <is>
          <t>Isabelle Singleton</t>
        </is>
      </c>
      <c r="C382" s="1255" t="inlineStr">
        <is>
          <t>2. Workshops</t>
        </is>
      </c>
      <c r="D382" s="1260" t="inlineStr">
        <is>
          <t>Bank</t>
        </is>
      </c>
      <c r="E382" s="1409" t="n">
        <v>125</v>
      </c>
      <c r="F382" s="1260" t="inlineStr">
        <is>
          <t>Lavender</t>
        </is>
      </c>
      <c r="G382" s="1260" t="inlineStr">
        <is>
          <t>Facebook</t>
        </is>
      </c>
    </row>
    <row r="383" ht="13.5" customHeight="1" s="1232">
      <c r="A383" s="1393" t="n">
        <v>43243</v>
      </c>
      <c r="B383" s="1260" t="inlineStr">
        <is>
          <t>Sarah Parrin</t>
        </is>
      </c>
      <c r="C383" s="1255" t="inlineStr">
        <is>
          <t>2. Workshops</t>
        </is>
      </c>
      <c r="D383" s="1260" t="inlineStr">
        <is>
          <t>Stripe</t>
        </is>
      </c>
      <c r="E383" s="1409" t="n">
        <v>75</v>
      </c>
      <c r="F383" s="1260" t="inlineStr">
        <is>
          <t>Kenilworth Castle</t>
        </is>
      </c>
      <c r="G383" s="1260" t="inlineStr">
        <is>
          <t>Google</t>
        </is>
      </c>
    </row>
    <row r="384" ht="13.5" customHeight="1" s="1232">
      <c r="A384" s="1393" t="n">
        <v>43245</v>
      </c>
      <c r="B384" s="1260" t="inlineStr">
        <is>
          <t>Judith Matthews</t>
        </is>
      </c>
      <c r="C384" s="1255" t="inlineStr">
        <is>
          <t>2. Workshops</t>
        </is>
      </c>
      <c r="D384" s="1260" t="inlineStr">
        <is>
          <t>PayPal</t>
        </is>
      </c>
      <c r="E384" s="1409" t="n">
        <v>75</v>
      </c>
      <c r="F384" s="1260" t="inlineStr">
        <is>
          <t>Poppies</t>
        </is>
      </c>
      <c r="G384" s="1260" t="inlineStr">
        <is>
          <t>Facebook</t>
        </is>
      </c>
    </row>
    <row r="385" ht="13.5" customHeight="1" s="1232">
      <c r="A385" s="1393" t="n">
        <v>43239</v>
      </c>
      <c r="B385" s="1260" t="inlineStr">
        <is>
          <t>Alan Taylor</t>
        </is>
      </c>
      <c r="C385" s="1255" t="inlineStr">
        <is>
          <t>6. 1-2-1</t>
        </is>
      </c>
      <c r="D385" s="1260" t="inlineStr">
        <is>
          <t>Bank</t>
        </is>
      </c>
      <c r="E385" s="1409" t="n">
        <v>195</v>
      </c>
      <c r="F385" s="1282" t="inlineStr">
        <is>
          <t>1-2-1</t>
        </is>
      </c>
      <c r="G385" s="1260" t="inlineStr">
        <is>
          <t>Google</t>
        </is>
      </c>
    </row>
    <row r="386" ht="13.5" customHeight="1" s="1232">
      <c r="A386" s="1393" t="n">
        <v>43238</v>
      </c>
      <c r="B386" s="1260" t="inlineStr">
        <is>
          <t>John Cummings</t>
        </is>
      </c>
      <c r="C386" s="1255" t="inlineStr">
        <is>
          <t>2. Workshops</t>
        </is>
      </c>
      <c r="D386" s="1260" t="inlineStr">
        <is>
          <t>Bank</t>
        </is>
      </c>
      <c r="E386" s="1409" t="n">
        <v>35</v>
      </c>
      <c r="F386" s="1260" t="inlineStr">
        <is>
          <t>Poppies</t>
        </is>
      </c>
      <c r="G386" s="1260" t="inlineStr">
        <is>
          <t>Existing</t>
        </is>
      </c>
    </row>
    <row r="387" ht="13.5" customHeight="1" s="1232">
      <c r="A387" s="1393" t="n">
        <v>43237</v>
      </c>
      <c r="B387" s="1260" t="inlineStr">
        <is>
          <t>Richard Maine</t>
        </is>
      </c>
      <c r="C387" s="1255" t="inlineStr">
        <is>
          <t>1. Courses/masterclasses</t>
        </is>
      </c>
      <c r="D387" s="1260" t="inlineStr">
        <is>
          <t>Bank</t>
        </is>
      </c>
      <c r="E387" s="1409" t="n">
        <v>13</v>
      </c>
      <c r="F387" s="1260" t="inlineStr">
        <is>
          <t>Intro Class</t>
        </is>
      </c>
      <c r="G387" s="1260" t="inlineStr">
        <is>
          <t>Groupon</t>
        </is>
      </c>
    </row>
    <row r="388" ht="13.5" customHeight="1" s="1232">
      <c r="A388" s="1393" t="n">
        <v>43237</v>
      </c>
      <c r="B388" s="1260" t="inlineStr">
        <is>
          <t>Barrie Maine</t>
        </is>
      </c>
      <c r="C388" s="1255" t="inlineStr">
        <is>
          <t>1. Courses/masterclasses</t>
        </is>
      </c>
      <c r="D388" s="1260" t="inlineStr">
        <is>
          <t>Bank</t>
        </is>
      </c>
      <c r="E388" s="1409" t="n">
        <v>13</v>
      </c>
      <c r="F388" s="1260" t="inlineStr">
        <is>
          <t>Intro Class</t>
        </is>
      </c>
      <c r="G388" s="1260" t="inlineStr">
        <is>
          <t>Groupon</t>
        </is>
      </c>
    </row>
    <row r="389" ht="13.5" customHeight="1" s="1232">
      <c r="A389" s="1393" t="n">
        <v>43236</v>
      </c>
      <c r="B389" s="1260" t="inlineStr">
        <is>
          <t>Ket Sang Tai</t>
        </is>
      </c>
      <c r="C389" s="1255" t="inlineStr">
        <is>
          <t>2. Workshops</t>
        </is>
      </c>
      <c r="D389" s="1260" t="inlineStr">
        <is>
          <t>Stripe</t>
        </is>
      </c>
      <c r="E389" s="1409" t="n">
        <v>75</v>
      </c>
      <c r="F389" s="1260" t="inlineStr">
        <is>
          <t>Poppies</t>
        </is>
      </c>
      <c r="G389" s="1260" t="inlineStr">
        <is>
          <t>Facebook</t>
        </is>
      </c>
    </row>
    <row r="390" ht="13.5" customHeight="1" s="1232">
      <c r="A390" s="1393" t="n">
        <v>43236</v>
      </c>
      <c r="B390" s="1260" t="inlineStr">
        <is>
          <t>Kevin Thomason</t>
        </is>
      </c>
      <c r="C390" s="1255" t="inlineStr">
        <is>
          <t>2. Workshops</t>
        </is>
      </c>
      <c r="D390" s="1260" t="inlineStr">
        <is>
          <t>PayPal</t>
        </is>
      </c>
      <c r="E390" s="1409" t="n">
        <v>75</v>
      </c>
      <c r="F390" s="1260" t="inlineStr">
        <is>
          <t>Poppies</t>
        </is>
      </c>
      <c r="G390" s="1260" t="inlineStr">
        <is>
          <t>Google</t>
        </is>
      </c>
    </row>
    <row r="391" ht="13.5" customHeight="1" s="1232">
      <c r="A391" s="1393" t="n">
        <v>43236</v>
      </c>
      <c r="B391" s="1260" t="inlineStr">
        <is>
          <t>Angus Mills</t>
        </is>
      </c>
      <c r="C391" s="1255" t="inlineStr">
        <is>
          <t>1. Courses/masterclasses</t>
        </is>
      </c>
      <c r="D391" s="1260" t="inlineStr">
        <is>
          <t>Bank</t>
        </is>
      </c>
      <c r="E391" s="1409" t="n">
        <v>13</v>
      </c>
      <c r="F391" s="1260" t="inlineStr">
        <is>
          <t>Intro Class</t>
        </is>
      </c>
      <c r="G391" s="1260" t="inlineStr">
        <is>
          <t>Groupon</t>
        </is>
      </c>
    </row>
    <row r="392" ht="13.5" customHeight="1" s="1232">
      <c r="A392" s="1393" t="n">
        <v>43235</v>
      </c>
      <c r="B392" s="1260" t="inlineStr">
        <is>
          <t>Andrew Mosley</t>
        </is>
      </c>
      <c r="C392" s="1255" t="inlineStr">
        <is>
          <t>2. Workshops</t>
        </is>
      </c>
      <c r="D392" s="1260" t="inlineStr">
        <is>
          <t>PayPal</t>
        </is>
      </c>
      <c r="E392" s="1409" t="n">
        <v>75</v>
      </c>
      <c r="F392" s="1260" t="inlineStr">
        <is>
          <t>Poppies</t>
        </is>
      </c>
      <c r="G392" s="1260" t="inlineStr">
        <is>
          <t>Facebook</t>
        </is>
      </c>
    </row>
    <row r="393" ht="13.5" customHeight="1" s="1232">
      <c r="A393" s="1393" t="n">
        <v>43235</v>
      </c>
      <c r="B393" s="1260" t="inlineStr">
        <is>
          <t>Francis Peckham</t>
        </is>
      </c>
      <c r="C393" s="1255" t="inlineStr">
        <is>
          <t>2. Workshops</t>
        </is>
      </c>
      <c r="D393" s="1260" t="inlineStr">
        <is>
          <t>Stripe</t>
        </is>
      </c>
      <c r="E393" s="1409" t="n">
        <v>725</v>
      </c>
      <c r="F393" s="1260" t="inlineStr">
        <is>
          <t>Snowdonia</t>
        </is>
      </c>
      <c r="G393" s="1260" t="inlineStr">
        <is>
          <t>Google</t>
        </is>
      </c>
    </row>
    <row r="394" ht="13.5" customHeight="1" s="1232">
      <c r="A394" s="1393" t="n">
        <v>43234</v>
      </c>
      <c r="B394" s="1260" t="inlineStr">
        <is>
          <t>Lizana Oberholzer</t>
        </is>
      </c>
      <c r="C394" s="1255" t="inlineStr">
        <is>
          <t>1. Courses/masterclasses</t>
        </is>
      </c>
      <c r="D394" s="1260" t="inlineStr">
        <is>
          <t>Bank</t>
        </is>
      </c>
      <c r="E394" s="1409" t="n">
        <v>13</v>
      </c>
      <c r="F394" s="1260" t="inlineStr">
        <is>
          <t>Intro Class</t>
        </is>
      </c>
      <c r="G394" s="1260" t="inlineStr">
        <is>
          <t>Groupon</t>
        </is>
      </c>
    </row>
    <row r="395" ht="13.5" customHeight="1" s="1232">
      <c r="A395" s="1393" t="n">
        <v>43234</v>
      </c>
      <c r="B395" s="1260" t="inlineStr">
        <is>
          <t>Maggie Yowa</t>
        </is>
      </c>
      <c r="C395" s="1255" t="inlineStr">
        <is>
          <t>1. Courses/masterclasses</t>
        </is>
      </c>
      <c r="D395" s="1260" t="inlineStr">
        <is>
          <t>Bank</t>
        </is>
      </c>
      <c r="E395" s="1409" t="n">
        <v>13</v>
      </c>
      <c r="F395" s="1260" t="inlineStr">
        <is>
          <t>Intro Class</t>
        </is>
      </c>
      <c r="G395" s="1260" t="inlineStr">
        <is>
          <t>Groupon</t>
        </is>
      </c>
    </row>
    <row r="396" ht="13.5" customHeight="1" s="1232">
      <c r="A396" s="1393" t="n">
        <v>43233</v>
      </c>
      <c r="B396" s="1260" t="inlineStr">
        <is>
          <t>janice Blues</t>
        </is>
      </c>
      <c r="C396" s="1255" t="inlineStr">
        <is>
          <t>1. Courses/masterclasses</t>
        </is>
      </c>
      <c r="D396" s="1260" t="inlineStr">
        <is>
          <t>PayPal</t>
        </is>
      </c>
      <c r="E396" s="1409" t="n">
        <v>30</v>
      </c>
      <c r="F396" s="1260" t="inlineStr">
        <is>
          <t>Intro Class</t>
        </is>
      </c>
      <c r="G396" s="1260" t="inlineStr">
        <is>
          <t>Google</t>
        </is>
      </c>
    </row>
    <row r="397" ht="13.5" customHeight="1" s="1232">
      <c r="A397" s="1393" t="n">
        <v>43232</v>
      </c>
      <c r="B397" s="1260" t="inlineStr">
        <is>
          <t>chris brain</t>
        </is>
      </c>
      <c r="C397" s="1255" t="inlineStr">
        <is>
          <t>2. Workshops</t>
        </is>
      </c>
      <c r="D397" s="1260" t="inlineStr">
        <is>
          <t>PayPal</t>
        </is>
      </c>
      <c r="E397" s="1409" t="n">
        <v>75</v>
      </c>
      <c r="F397" s="1260" t="inlineStr">
        <is>
          <t>Poppies</t>
        </is>
      </c>
      <c r="G397" s="1260" t="inlineStr">
        <is>
          <t>Facebook</t>
        </is>
      </c>
    </row>
    <row r="398" ht="13.5" customHeight="1" s="1232">
      <c r="A398" s="1393" t="n">
        <v>43230</v>
      </c>
      <c r="B398" s="1260" t="inlineStr">
        <is>
          <t>tina Jackson</t>
        </is>
      </c>
      <c r="C398" s="1255" t="inlineStr">
        <is>
          <t>2. Workshops</t>
        </is>
      </c>
      <c r="D398" s="1260" t="inlineStr">
        <is>
          <t>Stripe</t>
        </is>
      </c>
      <c r="E398" s="1409" t="n">
        <v>75</v>
      </c>
      <c r="F398" s="1260" t="inlineStr">
        <is>
          <t>Poppies</t>
        </is>
      </c>
      <c r="G398" s="1260" t="inlineStr">
        <is>
          <t>Existing</t>
        </is>
      </c>
    </row>
    <row r="399" ht="13.5" customHeight="1" s="1232">
      <c r="A399" s="1393" t="n">
        <v>43230</v>
      </c>
      <c r="B399" s="1260" t="inlineStr">
        <is>
          <t>Daryl Cowmeadow</t>
        </is>
      </c>
      <c r="C399" s="1255" t="inlineStr">
        <is>
          <t>2. Workshops</t>
        </is>
      </c>
      <c r="D399" s="1260" t="inlineStr">
        <is>
          <t>PayPal</t>
        </is>
      </c>
      <c r="E399" s="1409" t="n">
        <v>75</v>
      </c>
      <c r="F399" s="1260" t="inlineStr">
        <is>
          <t>Poppies</t>
        </is>
      </c>
      <c r="G399" s="1260" t="inlineStr">
        <is>
          <t>Google</t>
        </is>
      </c>
    </row>
    <row r="400" ht="13.5" customHeight="1" s="1232">
      <c r="A400" s="1393" t="n">
        <v>43230</v>
      </c>
      <c r="B400" s="1260" t="inlineStr">
        <is>
          <t>Garry Such</t>
        </is>
      </c>
      <c r="C400" s="1255" t="inlineStr">
        <is>
          <t>4. Pick n Mix Out</t>
        </is>
      </c>
      <c r="D400" s="1260" t="inlineStr">
        <is>
          <t>PicknMix</t>
        </is>
      </c>
      <c r="E400" s="1409" t="n">
        <v>-725</v>
      </c>
      <c r="F400" s="1260" t="inlineStr">
        <is>
          <t>Drawdown on PnM</t>
        </is>
      </c>
      <c r="G400" s="1260" t="inlineStr">
        <is>
          <t>Existing</t>
        </is>
      </c>
    </row>
    <row r="401" ht="13.5" customHeight="1" s="1232">
      <c r="A401" s="1393" t="n">
        <v>43230</v>
      </c>
      <c r="B401" s="1260" t="inlineStr">
        <is>
          <t>Garry Such</t>
        </is>
      </c>
      <c r="C401" s="1255" t="inlineStr">
        <is>
          <t>2. Workshops</t>
        </is>
      </c>
      <c r="D401" s="1260" t="inlineStr">
        <is>
          <t>PicknMix</t>
        </is>
      </c>
      <c r="E401" s="1409" t="n">
        <v>725</v>
      </c>
      <c r="F401" s="1260" t="inlineStr">
        <is>
          <t>Suffolk</t>
        </is>
      </c>
      <c r="G401" s="1260" t="inlineStr">
        <is>
          <t>Existing</t>
        </is>
      </c>
    </row>
    <row r="402" ht="13.5" customHeight="1" s="1232">
      <c r="A402" s="1393" t="n">
        <v>43229</v>
      </c>
      <c r="B402" s="1260" t="inlineStr">
        <is>
          <t>Luke Durston</t>
        </is>
      </c>
      <c r="C402" s="1255" t="inlineStr">
        <is>
          <t>1. Courses/masterclasses</t>
        </is>
      </c>
      <c r="D402" s="1260" t="inlineStr">
        <is>
          <t>Stripe</t>
        </is>
      </c>
      <c r="E402" s="1409" t="n">
        <v>30</v>
      </c>
      <c r="F402" s="1260" t="inlineStr">
        <is>
          <t>Intro Class</t>
        </is>
      </c>
      <c r="G402" s="1260" t="inlineStr">
        <is>
          <t>Google</t>
        </is>
      </c>
    </row>
    <row r="403" ht="13.5" customHeight="1" s="1232">
      <c r="A403" s="1393" t="n">
        <v>43229</v>
      </c>
      <c r="B403" s="1260" t="inlineStr">
        <is>
          <t>Diana Roberts</t>
        </is>
      </c>
      <c r="C403" s="1255" t="inlineStr">
        <is>
          <t>6. 1-2-1</t>
        </is>
      </c>
      <c r="D403" s="1260" t="inlineStr">
        <is>
          <t>Stripe</t>
        </is>
      </c>
      <c r="E403" s="1409" t="n">
        <v>195</v>
      </c>
      <c r="F403" s="1282" t="inlineStr">
        <is>
          <t>1-2-1</t>
        </is>
      </c>
      <c r="G403" s="1260" t="inlineStr">
        <is>
          <t>Existing</t>
        </is>
      </c>
    </row>
    <row r="404" ht="13.5" customHeight="1" s="1232">
      <c r="A404" s="1393" t="n">
        <v>43228</v>
      </c>
      <c r="B404" s="1260" t="inlineStr">
        <is>
          <t>elizabeth Petras</t>
        </is>
      </c>
      <c r="C404" s="1255" t="inlineStr">
        <is>
          <t>1. Courses/masterclasses</t>
        </is>
      </c>
      <c r="D404" s="1260" t="inlineStr">
        <is>
          <t>Stripe</t>
        </is>
      </c>
      <c r="E404" s="1409" t="n">
        <v>30</v>
      </c>
      <c r="F404" s="1260" t="inlineStr">
        <is>
          <t>Intro Class</t>
        </is>
      </c>
      <c r="G404" s="1260" t="inlineStr">
        <is>
          <t>Google</t>
        </is>
      </c>
    </row>
    <row r="405" ht="13.5" customHeight="1" s="1232">
      <c r="A405" s="1393" t="n">
        <v>43227</v>
      </c>
      <c r="B405" s="1260" t="inlineStr">
        <is>
          <t>katie kinsella</t>
        </is>
      </c>
      <c r="C405" s="1255" t="inlineStr">
        <is>
          <t>1. Courses/masterclasses</t>
        </is>
      </c>
      <c r="D405" s="1260" t="inlineStr">
        <is>
          <t>Bank</t>
        </is>
      </c>
      <c r="E405" s="1409" t="n">
        <v>13</v>
      </c>
      <c r="F405" s="1260" t="inlineStr">
        <is>
          <t>Intro Class</t>
        </is>
      </c>
      <c r="G405" s="1260" t="inlineStr">
        <is>
          <t>Groupon</t>
        </is>
      </c>
    </row>
    <row r="406" ht="13.5" customHeight="1" s="1232">
      <c r="A406" s="1393" t="n">
        <v>43227</v>
      </c>
      <c r="B406" s="1260" t="inlineStr">
        <is>
          <t>Sunita Roussel-Milner</t>
        </is>
      </c>
      <c r="C406" s="1255" t="inlineStr">
        <is>
          <t>1. Courses/masterclasses</t>
        </is>
      </c>
      <c r="D406" s="1260" t="inlineStr">
        <is>
          <t>PayPal</t>
        </is>
      </c>
      <c r="E406" s="1409" t="n">
        <v>15</v>
      </c>
      <c r="F406" s="1260" t="inlineStr">
        <is>
          <t>Rebooking Fee</t>
        </is>
      </c>
      <c r="G406" s="1260" t="inlineStr">
        <is>
          <t>Existing</t>
        </is>
      </c>
    </row>
    <row r="407" ht="13.5" customHeight="1" s="1232">
      <c r="A407" s="1393" t="n">
        <v>43224</v>
      </c>
      <c r="B407" s="1260" t="inlineStr">
        <is>
          <t>Ivyline</t>
        </is>
      </c>
      <c r="C407" s="1255" t="inlineStr">
        <is>
          <t>7. Other</t>
        </is>
      </c>
      <c r="D407" s="1260" t="inlineStr">
        <is>
          <t>Bank</t>
        </is>
      </c>
      <c r="E407" s="1409" t="n">
        <v>950</v>
      </c>
      <c r="F407" s="1260" t="inlineStr">
        <is>
          <t>Commercial</t>
        </is>
      </c>
      <c r="G407" s="1260" t="inlineStr">
        <is>
          <t>Google</t>
        </is>
      </c>
    </row>
    <row r="408" ht="13.5" customHeight="1" s="1232">
      <c r="A408" s="1393" t="n">
        <v>43223</v>
      </c>
      <c r="B408" s="1260" t="inlineStr">
        <is>
          <t>Fiona Brown</t>
        </is>
      </c>
      <c r="C408" s="1255" t="inlineStr">
        <is>
          <t>5. Mentoring</t>
        </is>
      </c>
      <c r="D408" s="1260" t="inlineStr">
        <is>
          <t>PayPal</t>
        </is>
      </c>
      <c r="E408" s="1409" t="n">
        <v>20</v>
      </c>
      <c r="F408" s="1260" t="inlineStr">
        <is>
          <t>Mentoring Subs</t>
        </is>
      </c>
      <c r="G408" s="1260" t="inlineStr">
        <is>
          <t>Google</t>
        </is>
      </c>
    </row>
    <row r="409" ht="13.5" customHeight="1" s="1232">
      <c r="A409" s="1393" t="n">
        <v>43223</v>
      </c>
      <c r="B409" s="1260" t="inlineStr">
        <is>
          <t>Sharon Norman</t>
        </is>
      </c>
      <c r="C409" s="1255" t="inlineStr">
        <is>
          <t>1. Courses/masterclasses</t>
        </is>
      </c>
      <c r="D409" s="1260" t="inlineStr">
        <is>
          <t>Bank</t>
        </is>
      </c>
      <c r="E409" s="1409" t="n">
        <v>13</v>
      </c>
      <c r="F409" s="1260" t="inlineStr">
        <is>
          <t>Intro Class</t>
        </is>
      </c>
      <c r="G409" s="1260" t="inlineStr">
        <is>
          <t>Groupon</t>
        </is>
      </c>
    </row>
    <row r="410" ht="13.5" customHeight="1" s="1232">
      <c r="A410" s="1393" t="n">
        <v>43223</v>
      </c>
      <c r="B410" s="1260" t="inlineStr">
        <is>
          <t>Garry Bree</t>
        </is>
      </c>
      <c r="C410" s="1255" t="inlineStr">
        <is>
          <t>2. Workshops</t>
        </is>
      </c>
      <c r="D410" s="1260" t="inlineStr">
        <is>
          <t>PayPal</t>
        </is>
      </c>
      <c r="E410" s="1409" t="n">
        <v>150</v>
      </c>
      <c r="F410" s="1260" t="inlineStr">
        <is>
          <t>Poppies</t>
        </is>
      </c>
      <c r="G410" s="1260" t="inlineStr">
        <is>
          <t>Facebook</t>
        </is>
      </c>
    </row>
    <row r="411" ht="13.5" customHeight="1" s="1232">
      <c r="A411" s="1393" t="n">
        <v>43223</v>
      </c>
      <c r="B411" s="1260" t="inlineStr">
        <is>
          <t>Diana Woodhouse</t>
        </is>
      </c>
      <c r="C411" s="1255" t="inlineStr">
        <is>
          <t>2. Workshops</t>
        </is>
      </c>
      <c r="D411" s="1260" t="inlineStr">
        <is>
          <t>Stripe</t>
        </is>
      </c>
      <c r="E411" s="1409" t="n">
        <v>65</v>
      </c>
      <c r="F411" s="1260" t="inlineStr">
        <is>
          <t>Batsford Class</t>
        </is>
      </c>
      <c r="G411" s="1260" t="inlineStr">
        <is>
          <t>Batsford</t>
        </is>
      </c>
    </row>
    <row r="412" ht="13.5" customHeight="1" s="1232">
      <c r="A412" s="1393" t="n">
        <v>43221</v>
      </c>
      <c r="B412" s="1260" t="inlineStr">
        <is>
          <t>Frances Pike - ELS</t>
        </is>
      </c>
      <c r="C412" s="1255" t="inlineStr">
        <is>
          <t>2. Workshops</t>
        </is>
      </c>
      <c r="D412" s="1260" t="inlineStr">
        <is>
          <t>Bank</t>
        </is>
      </c>
      <c r="E412" s="1409" t="n">
        <v>125</v>
      </c>
      <c r="F412" s="1260" t="inlineStr">
        <is>
          <t>Bluebells</t>
        </is>
      </c>
      <c r="G412" s="1260" t="inlineStr">
        <is>
          <t>ELS</t>
        </is>
      </c>
    </row>
    <row r="413" ht="13.5" customHeight="1" s="1232">
      <c r="A413" s="1393" t="n">
        <v>43221</v>
      </c>
      <c r="B413" s="1260" t="inlineStr">
        <is>
          <t>May Pick N Mix</t>
        </is>
      </c>
      <c r="C413" s="1255" t="inlineStr">
        <is>
          <t>3. Pick n Mix Inc</t>
        </is>
      </c>
      <c r="D413" s="1255" t="inlineStr">
        <is>
          <t>Various</t>
        </is>
      </c>
      <c r="E413" s="1261" t="n">
        <v>93.63</v>
      </c>
      <c r="F413" s="1255" t="inlineStr">
        <is>
          <t>Pick N Mix Payments</t>
        </is>
      </c>
      <c r="G413" s="1255" t="inlineStr">
        <is>
          <t>Existing</t>
        </is>
      </c>
    </row>
    <row r="414" ht="13.5" customHeight="1" s="1232">
      <c r="A414" s="1393" t="n">
        <v>43221</v>
      </c>
      <c r="B414" s="1260" t="inlineStr">
        <is>
          <t>May Mentoring</t>
        </is>
      </c>
      <c r="C414" s="1255" t="inlineStr">
        <is>
          <t>5. Mentoring</t>
        </is>
      </c>
      <c r="D414" s="1255" t="inlineStr">
        <is>
          <t>Various</t>
        </is>
      </c>
      <c r="E414" s="1261" t="n">
        <v>100</v>
      </c>
      <c r="F414" s="1255" t="inlineStr">
        <is>
          <t>Mentoring Subs</t>
        </is>
      </c>
      <c r="G414" s="1255" t="inlineStr">
        <is>
          <t>Existing</t>
        </is>
      </c>
    </row>
    <row r="417" ht="13.5" customHeight="1" s="1232">
      <c r="A417" s="1393" t="n">
        <v>43220</v>
      </c>
      <c r="B417" s="1260" t="inlineStr">
        <is>
          <t>Daniel Thomas - ELS</t>
        </is>
      </c>
      <c r="C417" s="1255" t="inlineStr">
        <is>
          <t>1. Courses/masterclasses</t>
        </is>
      </c>
      <c r="D417" s="1260" t="inlineStr">
        <is>
          <t>Bank</t>
        </is>
      </c>
      <c r="E417" s="1409" t="n">
        <v>200</v>
      </c>
      <c r="F417" s="1260" t="inlineStr">
        <is>
          <t>Lightroom Course</t>
        </is>
      </c>
      <c r="G417" s="1260" t="inlineStr">
        <is>
          <t>ELS</t>
        </is>
      </c>
    </row>
    <row r="418" ht="13.5" customHeight="1" s="1232">
      <c r="A418" s="1393" t="n">
        <v>43219</v>
      </c>
      <c r="B418" s="1260" t="inlineStr">
        <is>
          <t>Catherine Manley</t>
        </is>
      </c>
      <c r="C418" s="1255" t="inlineStr">
        <is>
          <t>1. Courses/masterclasses</t>
        </is>
      </c>
      <c r="D418" s="1260" t="inlineStr">
        <is>
          <t>PayPal</t>
        </is>
      </c>
      <c r="E418" s="1409" t="n">
        <v>30</v>
      </c>
      <c r="F418" s="1260" t="inlineStr">
        <is>
          <t>Intro Class</t>
        </is>
      </c>
      <c r="G418" s="1260" t="inlineStr">
        <is>
          <t>Google</t>
        </is>
      </c>
    </row>
    <row r="419" ht="13.5" customHeight="1" s="1232">
      <c r="A419" s="1393" t="n">
        <v>43217</v>
      </c>
      <c r="B419" s="1260" t="inlineStr">
        <is>
          <t>Isabelle Singleton</t>
        </is>
      </c>
      <c r="C419" s="1255" t="inlineStr">
        <is>
          <t>2. Workshops</t>
        </is>
      </c>
      <c r="D419" s="1260" t="inlineStr">
        <is>
          <t>Stripe</t>
        </is>
      </c>
      <c r="E419" s="1409" t="n">
        <v>75</v>
      </c>
      <c r="F419" s="1260" t="inlineStr">
        <is>
          <t>Lavender</t>
        </is>
      </c>
      <c r="G419" s="1260" t="inlineStr">
        <is>
          <t>Facebook</t>
        </is>
      </c>
    </row>
    <row r="420" ht="13.5" customHeight="1" s="1232">
      <c r="A420" s="1393" t="n">
        <v>43216</v>
      </c>
      <c r="B420" s="1260" t="inlineStr">
        <is>
          <t>Nicholas Cheese</t>
        </is>
      </c>
      <c r="C420" s="1255" t="inlineStr">
        <is>
          <t>1. Courses/masterclasses</t>
        </is>
      </c>
      <c r="D420" s="1260" t="inlineStr">
        <is>
          <t>PayPal</t>
        </is>
      </c>
      <c r="E420" s="1409" t="n">
        <v>30</v>
      </c>
      <c r="F420" s="1260" t="inlineStr">
        <is>
          <t>Intro Class</t>
        </is>
      </c>
      <c r="G420" s="1260" t="inlineStr">
        <is>
          <t>Google</t>
        </is>
      </c>
    </row>
    <row r="421" ht="13.5" customHeight="1" s="1232">
      <c r="A421" s="1393" t="n">
        <v>43216</v>
      </c>
      <c r="B421" s="1260" t="inlineStr">
        <is>
          <t>Lisa Loxton</t>
        </is>
      </c>
      <c r="C421" s="1255" t="inlineStr">
        <is>
          <t>2. Workshops</t>
        </is>
      </c>
      <c r="D421" s="1260" t="inlineStr">
        <is>
          <t>Stripe</t>
        </is>
      </c>
      <c r="E421" s="1409" t="n">
        <v>65</v>
      </c>
      <c r="F421" s="1260" t="inlineStr">
        <is>
          <t>Batsford</t>
        </is>
      </c>
      <c r="G421" s="1260" t="inlineStr">
        <is>
          <t>Batsford</t>
        </is>
      </c>
    </row>
    <row r="422" ht="13.5" customHeight="1" s="1232">
      <c r="A422" s="1393" t="n">
        <v>43215</v>
      </c>
      <c r="B422" s="1260" t="inlineStr">
        <is>
          <t>Jo Wade</t>
        </is>
      </c>
      <c r="C422" s="1255" t="inlineStr">
        <is>
          <t>7. Other</t>
        </is>
      </c>
      <c r="D422" s="1260" t="inlineStr">
        <is>
          <t>PayPal</t>
        </is>
      </c>
      <c r="E422" s="1409" t="n">
        <v>4.385</v>
      </c>
      <c r="F422" s="1260" t="inlineStr">
        <is>
          <t>Pocket Guide</t>
        </is>
      </c>
      <c r="G422" s="1260" t="inlineStr">
        <is>
          <t>Google</t>
        </is>
      </c>
    </row>
    <row r="423" ht="13.5" customHeight="1" s="1232">
      <c r="A423" s="1393" t="n">
        <v>43214</v>
      </c>
      <c r="B423" s="1260" t="inlineStr">
        <is>
          <t>Maria Saunders</t>
        </is>
      </c>
      <c r="C423" s="1255" t="inlineStr">
        <is>
          <t>2. Workshops</t>
        </is>
      </c>
      <c r="D423" s="1260" t="inlineStr">
        <is>
          <t>Stripe</t>
        </is>
      </c>
      <c r="E423" s="1409" t="n">
        <v>35</v>
      </c>
      <c r="F423" s="1260" t="inlineStr">
        <is>
          <t>Sharpshooters</t>
        </is>
      </c>
      <c r="G423" s="1260" t="inlineStr">
        <is>
          <t>Google</t>
        </is>
      </c>
    </row>
    <row r="424" ht="13.5" customHeight="1" s="1232">
      <c r="A424" s="1393" t="n">
        <v>43214</v>
      </c>
      <c r="B424" s="1260" t="inlineStr">
        <is>
          <t>Dominoc Thompson</t>
        </is>
      </c>
      <c r="C424" s="1255" t="inlineStr">
        <is>
          <t>2. Workshops</t>
        </is>
      </c>
      <c r="D424" s="1260" t="inlineStr">
        <is>
          <t>W-Play</t>
        </is>
      </c>
      <c r="E424" s="1409" t="n">
        <v>125</v>
      </c>
      <c r="F424" s="1260" t="inlineStr">
        <is>
          <t>Bluebells</t>
        </is>
      </c>
      <c r="G424" s="1260" t="inlineStr">
        <is>
          <t>Facebook</t>
        </is>
      </c>
    </row>
    <row r="425" ht="13.5" customHeight="1" s="1232">
      <c r="A425" s="1393" t="n">
        <v>43214</v>
      </c>
      <c r="B425" s="1260" t="inlineStr">
        <is>
          <t>Helen Fawcett</t>
        </is>
      </c>
      <c r="C425" s="1255" t="inlineStr">
        <is>
          <t>1. Courses/masterclasses</t>
        </is>
      </c>
      <c r="D425" s="1260" t="inlineStr">
        <is>
          <t>Bank</t>
        </is>
      </c>
      <c r="E425" s="1409" t="n">
        <v>30</v>
      </c>
      <c r="F425" s="1260" t="inlineStr">
        <is>
          <t>Intro Class</t>
        </is>
      </c>
      <c r="G425" s="1260" t="inlineStr">
        <is>
          <t>ELS</t>
        </is>
      </c>
    </row>
    <row r="426" ht="13.5" customHeight="1" s="1232">
      <c r="A426" s="1393" t="n">
        <v>43212</v>
      </c>
      <c r="B426" s="1260" t="inlineStr">
        <is>
          <t>Alistair Willis</t>
        </is>
      </c>
      <c r="C426" s="1255" t="inlineStr">
        <is>
          <t>1. Courses/masterclasses</t>
        </is>
      </c>
      <c r="D426" s="1260" t="inlineStr">
        <is>
          <t>PayPal</t>
        </is>
      </c>
      <c r="E426" s="1409" t="n">
        <v>395</v>
      </c>
      <c r="F426" s="1260" t="inlineStr">
        <is>
          <t>RPS Course</t>
        </is>
      </c>
      <c r="G426" s="1260" t="inlineStr">
        <is>
          <t>Google</t>
        </is>
      </c>
    </row>
    <row r="427" ht="13.5" customHeight="1" s="1232">
      <c r="A427" s="1393" t="n">
        <v>43210</v>
      </c>
      <c r="B427" s="1260" t="inlineStr">
        <is>
          <t>Samantha Lee</t>
        </is>
      </c>
      <c r="C427" s="1255" t="inlineStr">
        <is>
          <t>2. Workshops</t>
        </is>
      </c>
      <c r="D427" s="1260" t="inlineStr">
        <is>
          <t>Stripe</t>
        </is>
      </c>
      <c r="E427" s="1409" t="n">
        <v>125</v>
      </c>
      <c r="F427" s="1260" t="inlineStr">
        <is>
          <t>Bluebells</t>
        </is>
      </c>
      <c r="G427" s="1260" t="inlineStr">
        <is>
          <t>Facebook</t>
        </is>
      </c>
    </row>
    <row r="428" ht="13.5" customHeight="1" s="1232">
      <c r="A428" s="1393" t="n">
        <v>43209</v>
      </c>
      <c r="B428" s="1260" t="inlineStr">
        <is>
          <t>Karen Frampton</t>
        </is>
      </c>
      <c r="C428" s="1255" t="inlineStr">
        <is>
          <t>2. Workshops</t>
        </is>
      </c>
      <c r="D428" s="1260" t="inlineStr">
        <is>
          <t>Stripe</t>
        </is>
      </c>
      <c r="E428" s="1409" t="n">
        <v>125</v>
      </c>
      <c r="F428" s="1260" t="inlineStr">
        <is>
          <t>Bluebells</t>
        </is>
      </c>
      <c r="G428" s="1260" t="inlineStr">
        <is>
          <t>Facebook</t>
        </is>
      </c>
    </row>
    <row r="429" ht="13.5" customHeight="1" s="1232">
      <c r="A429" s="1393" t="n">
        <v>43206</v>
      </c>
      <c r="B429" s="1260" t="inlineStr">
        <is>
          <t>Richard Roussel-Milner</t>
        </is>
      </c>
      <c r="C429" s="1255" t="inlineStr">
        <is>
          <t>1. Courses/masterclasses</t>
        </is>
      </c>
      <c r="D429" s="1260" t="inlineStr">
        <is>
          <t>PayPal</t>
        </is>
      </c>
      <c r="E429" s="1409" t="n">
        <v>30</v>
      </c>
      <c r="F429" s="1260" t="inlineStr">
        <is>
          <t>Intro Class</t>
        </is>
      </c>
      <c r="G429" s="1260" t="inlineStr">
        <is>
          <t>Google</t>
        </is>
      </c>
    </row>
    <row r="430" ht="13.5" customHeight="1" s="1232">
      <c r="A430" s="1393" t="n">
        <v>43204</v>
      </c>
      <c r="B430" s="1260" t="inlineStr">
        <is>
          <t>Barry Nash</t>
        </is>
      </c>
      <c r="C430" s="1255" t="inlineStr">
        <is>
          <t>2. Workshops</t>
        </is>
      </c>
      <c r="D430" s="1260" t="inlineStr">
        <is>
          <t>Stripe</t>
        </is>
      </c>
      <c r="E430" s="1409" t="n">
        <v>175</v>
      </c>
      <c r="F430" s="1260" t="inlineStr">
        <is>
          <t>Bluebells</t>
        </is>
      </c>
      <c r="G430" s="1260" t="inlineStr">
        <is>
          <t>Google</t>
        </is>
      </c>
    </row>
    <row r="431" ht="13.5" customHeight="1" s="1232">
      <c r="A431" s="1393" t="n">
        <v>43202</v>
      </c>
      <c r="B431" s="1260" t="inlineStr">
        <is>
          <t>Wendy Anthony</t>
        </is>
      </c>
      <c r="C431" s="1255" t="inlineStr">
        <is>
          <t>2. Workshops</t>
        </is>
      </c>
      <c r="D431" s="1260" t="inlineStr">
        <is>
          <t>PayPal</t>
        </is>
      </c>
      <c r="E431" s="1409" t="n">
        <v>125</v>
      </c>
      <c r="F431" s="1260" t="inlineStr">
        <is>
          <t>Charlecote</t>
        </is>
      </c>
      <c r="G431" s="1260" t="inlineStr">
        <is>
          <t>Existing</t>
        </is>
      </c>
    </row>
    <row r="432" ht="13.5" customHeight="1" s="1232">
      <c r="A432" s="1393" t="n">
        <v>43201</v>
      </c>
      <c r="B432" s="1260" t="inlineStr">
        <is>
          <t>Michael Wall</t>
        </is>
      </c>
      <c r="C432" s="1255" t="inlineStr">
        <is>
          <t>1. Courses/masterclasses</t>
        </is>
      </c>
      <c r="D432" s="1260" t="inlineStr">
        <is>
          <t>Bank</t>
        </is>
      </c>
      <c r="E432" s="1409" t="n">
        <v>13</v>
      </c>
      <c r="F432" s="1260" t="inlineStr">
        <is>
          <t>Intro Class</t>
        </is>
      </c>
      <c r="G432" s="1260" t="inlineStr">
        <is>
          <t>Groupon</t>
        </is>
      </c>
    </row>
    <row r="433" ht="13.5" customHeight="1" s="1232">
      <c r="A433" s="1393" t="n">
        <v>43201</v>
      </c>
      <c r="B433" s="1260" t="inlineStr">
        <is>
          <t>Daniel Robb</t>
        </is>
      </c>
      <c r="C433" s="1255" t="inlineStr">
        <is>
          <t>1. Courses/masterclasses</t>
        </is>
      </c>
      <c r="D433" s="1260" t="inlineStr">
        <is>
          <t>PayPal</t>
        </is>
      </c>
      <c r="E433" s="1409" t="n">
        <v>30</v>
      </c>
      <c r="F433" s="1260" t="inlineStr">
        <is>
          <t>Intro Class</t>
        </is>
      </c>
      <c r="G433" s="1260" t="inlineStr">
        <is>
          <t>Google</t>
        </is>
      </c>
    </row>
    <row r="434" ht="13.5" customHeight="1" s="1232">
      <c r="A434" s="1393" t="n">
        <v>43201</v>
      </c>
      <c r="B434" s="1260" t="inlineStr">
        <is>
          <t>Tim Newcombe</t>
        </is>
      </c>
      <c r="C434" s="1255" t="inlineStr">
        <is>
          <t>6. 1-2-1</t>
        </is>
      </c>
      <c r="D434" s="1260" t="inlineStr">
        <is>
          <t>PayPal</t>
        </is>
      </c>
      <c r="E434" s="1409" t="n">
        <v>65</v>
      </c>
      <c r="F434" s="1260" t="inlineStr">
        <is>
          <t>Camera Setup</t>
        </is>
      </c>
      <c r="G434" s="1260" t="inlineStr">
        <is>
          <t>Google</t>
        </is>
      </c>
    </row>
    <row r="435" ht="13.5" customHeight="1" s="1232">
      <c r="A435" s="1393" t="n">
        <v>43200</v>
      </c>
      <c r="B435" s="1260" t="inlineStr">
        <is>
          <t>Jane Sahaslan</t>
        </is>
      </c>
      <c r="C435" s="1255" t="inlineStr">
        <is>
          <t>2. Workshops</t>
        </is>
      </c>
      <c r="D435" s="1260" t="inlineStr">
        <is>
          <t>Stripe</t>
        </is>
      </c>
      <c r="E435" s="1409" t="n">
        <v>75</v>
      </c>
      <c r="F435" s="1260" t="inlineStr">
        <is>
          <t>Urban Architeture</t>
        </is>
      </c>
      <c r="G435" s="1260" t="inlineStr">
        <is>
          <t>Google</t>
        </is>
      </c>
    </row>
    <row r="436" ht="13.5" customHeight="1" s="1232">
      <c r="A436" s="1393" t="n">
        <v>43199</v>
      </c>
      <c r="B436" s="1260" t="inlineStr">
        <is>
          <t>Chris Green</t>
        </is>
      </c>
      <c r="C436" s="1255" t="inlineStr">
        <is>
          <t>1. Courses/masterclasses</t>
        </is>
      </c>
      <c r="D436" s="1260" t="inlineStr">
        <is>
          <t>Stripe</t>
        </is>
      </c>
      <c r="E436" s="1409" t="n">
        <v>30</v>
      </c>
      <c r="F436" s="1260" t="inlineStr">
        <is>
          <t>Intro Class</t>
        </is>
      </c>
      <c r="G436" s="1260" t="inlineStr">
        <is>
          <t>Google</t>
        </is>
      </c>
    </row>
    <row r="437" ht="13.5" customHeight="1" s="1232">
      <c r="A437" s="1393" t="n">
        <v>43199</v>
      </c>
      <c r="B437" s="1260" t="inlineStr">
        <is>
          <t>David John</t>
        </is>
      </c>
      <c r="C437" s="1255" t="inlineStr">
        <is>
          <t>2. Workshops</t>
        </is>
      </c>
      <c r="D437" s="1260" t="inlineStr">
        <is>
          <t>Stripe</t>
        </is>
      </c>
      <c r="E437" s="1409" t="n">
        <v>-42.5</v>
      </c>
      <c r="F437" s="1260" t="inlineStr">
        <is>
          <t>Refund</t>
        </is>
      </c>
      <c r="G437" s="1260" t="inlineStr">
        <is>
          <t>Batsford</t>
        </is>
      </c>
    </row>
    <row r="438" ht="13.5" customHeight="1" s="1232">
      <c r="A438" s="1393" t="n">
        <v>43199</v>
      </c>
      <c r="B438" s="1260" t="inlineStr">
        <is>
          <t>David John</t>
        </is>
      </c>
      <c r="C438" s="1255" t="inlineStr">
        <is>
          <t>2. Workshops</t>
        </is>
      </c>
      <c r="D438" s="1260" t="inlineStr">
        <is>
          <t>Stripe</t>
        </is>
      </c>
      <c r="E438" s="1409" t="n">
        <v>42.5</v>
      </c>
      <c r="F438" s="1260" t="inlineStr">
        <is>
          <t>Batsford Sharpshooters</t>
        </is>
      </c>
      <c r="G438" s="1260" t="inlineStr">
        <is>
          <t>Batsford</t>
        </is>
      </c>
    </row>
    <row r="439" ht="13.5" customHeight="1" s="1232">
      <c r="A439" s="1393" t="n">
        <v>43199</v>
      </c>
      <c r="B439" s="1260" t="inlineStr">
        <is>
          <t>Susan Wheeler</t>
        </is>
      </c>
      <c r="C439" s="1255" t="inlineStr">
        <is>
          <t>1. Courses/masterclasses</t>
        </is>
      </c>
      <c r="D439" s="1260" t="inlineStr">
        <is>
          <t>PayPal</t>
        </is>
      </c>
      <c r="E439" s="1409" t="n">
        <v>30</v>
      </c>
      <c r="F439" s="1260" t="inlineStr">
        <is>
          <t>Intro Class</t>
        </is>
      </c>
      <c r="G439" s="1260" t="inlineStr">
        <is>
          <t>Google</t>
        </is>
      </c>
    </row>
    <row r="440" ht="13.5" customHeight="1" s="1232">
      <c r="A440" s="1393" t="n">
        <v>43196</v>
      </c>
      <c r="B440" s="1260" t="inlineStr">
        <is>
          <t>Joyce James</t>
        </is>
      </c>
      <c r="C440" s="1255" t="inlineStr">
        <is>
          <t>4. Pick n Mix Out</t>
        </is>
      </c>
      <c r="D440" s="1260" t="inlineStr">
        <is>
          <t>PicknMix</t>
        </is>
      </c>
      <c r="E440" s="1409" t="n">
        <v>-580</v>
      </c>
      <c r="F440" s="1260" t="inlineStr">
        <is>
          <t>Drawdown on PnM</t>
        </is>
      </c>
      <c r="G440" s="1260" t="inlineStr">
        <is>
          <t>Existing</t>
        </is>
      </c>
    </row>
    <row r="441" ht="13.5" customHeight="1" s="1232">
      <c r="A441" s="1393" t="n">
        <v>43196</v>
      </c>
      <c r="B441" s="1260" t="inlineStr">
        <is>
          <t>Joyce James</t>
        </is>
      </c>
      <c r="C441" s="1255" t="inlineStr">
        <is>
          <t>2. Workshops</t>
        </is>
      </c>
      <c r="D441" s="1260" t="inlineStr">
        <is>
          <t>PicknMix</t>
        </is>
      </c>
      <c r="E441" s="1409" t="n">
        <v>580</v>
      </c>
      <c r="F441" s="1260" t="inlineStr">
        <is>
          <t>Suffolk</t>
        </is>
      </c>
      <c r="G441" s="1260" t="inlineStr">
        <is>
          <t>Existing</t>
        </is>
      </c>
    </row>
    <row r="442" ht="13.5" customHeight="1" s="1232">
      <c r="A442" s="1393" t="n">
        <v>43196</v>
      </c>
      <c r="B442" s="1260" t="inlineStr">
        <is>
          <t>Janet Miller</t>
        </is>
      </c>
      <c r="C442" s="1255" t="inlineStr">
        <is>
          <t>2. Workshops</t>
        </is>
      </c>
      <c r="D442" s="1255" t="inlineStr">
        <is>
          <t>W-Play</t>
        </is>
      </c>
      <c r="E442" s="1409" t="n">
        <v>65</v>
      </c>
      <c r="F442" s="1260" t="inlineStr">
        <is>
          <t>Batsford Class 17th Apr</t>
        </is>
      </c>
      <c r="G442" s="1260" t="inlineStr">
        <is>
          <t>Batsford</t>
        </is>
      </c>
    </row>
    <row r="443" ht="13.5" customHeight="1" s="1232">
      <c r="A443" s="1393" t="n">
        <v>43196</v>
      </c>
      <c r="B443" s="1260" t="inlineStr">
        <is>
          <t>Joyce James</t>
        </is>
      </c>
      <c r="C443" s="1255" t="inlineStr">
        <is>
          <t>1. Courses/masterclasses</t>
        </is>
      </c>
      <c r="D443" s="1260" t="inlineStr">
        <is>
          <t>PicknMix</t>
        </is>
      </c>
      <c r="E443" s="1409" t="n">
        <v>40</v>
      </c>
      <c r="F443" s="1260" t="inlineStr">
        <is>
          <t>Macro Masterclass</t>
        </is>
      </c>
      <c r="G443" s="1260" t="inlineStr">
        <is>
          <t>Existing</t>
        </is>
      </c>
    </row>
    <row r="444" ht="13.5" customHeight="1" s="1232">
      <c r="A444" s="1393" t="n">
        <v>43196</v>
      </c>
      <c r="B444" s="1260" t="inlineStr">
        <is>
          <t>Joyce James</t>
        </is>
      </c>
      <c r="C444" s="1255" t="inlineStr">
        <is>
          <t>1. Courses/masterclasses</t>
        </is>
      </c>
      <c r="D444" s="1260" t="inlineStr">
        <is>
          <t>PicknMix</t>
        </is>
      </c>
      <c r="E444" s="1409" t="n">
        <v>316</v>
      </c>
      <c r="F444" s="1260" t="inlineStr">
        <is>
          <t>RPS Course</t>
        </is>
      </c>
      <c r="G444" s="1260" t="inlineStr">
        <is>
          <t>Existing</t>
        </is>
      </c>
    </row>
    <row r="445" ht="13.5" customHeight="1" s="1232">
      <c r="A445" s="1393" t="n">
        <v>43196</v>
      </c>
      <c r="B445" s="1260" t="inlineStr">
        <is>
          <t>Joyce James</t>
        </is>
      </c>
      <c r="C445" s="1255" t="inlineStr">
        <is>
          <t>2. Workshops</t>
        </is>
      </c>
      <c r="D445" s="1260" t="inlineStr">
        <is>
          <t>PicknMix</t>
        </is>
      </c>
      <c r="E445" s="1409" t="n">
        <v>380</v>
      </c>
      <c r="F445" s="1260" t="inlineStr">
        <is>
          <t>Anglesey</t>
        </is>
      </c>
      <c r="G445" s="1260" t="inlineStr">
        <is>
          <t>Existing</t>
        </is>
      </c>
    </row>
    <row r="446" ht="13.5" customHeight="1" s="1232">
      <c r="A446" s="1393" t="n">
        <v>43196</v>
      </c>
      <c r="B446" s="1260" t="inlineStr">
        <is>
          <t>Joyce James</t>
        </is>
      </c>
      <c r="C446" s="1255" t="inlineStr">
        <is>
          <t>2. Workshops</t>
        </is>
      </c>
      <c r="D446" s="1260" t="inlineStr">
        <is>
          <t>PicknMix</t>
        </is>
      </c>
      <c r="E446" s="1409" t="n">
        <v>580</v>
      </c>
      <c r="F446" s="1260" t="inlineStr">
        <is>
          <t>Glen Coe</t>
        </is>
      </c>
      <c r="G446" s="1260" t="inlineStr">
        <is>
          <t>Existing</t>
        </is>
      </c>
    </row>
    <row r="447" ht="13.5" customHeight="1" s="1232">
      <c r="A447" s="1393" t="n">
        <v>43196</v>
      </c>
      <c r="B447" s="1260" t="inlineStr">
        <is>
          <t>Joyce James</t>
        </is>
      </c>
      <c r="C447" s="1255" t="inlineStr">
        <is>
          <t>4. Pick n Mix Out</t>
        </is>
      </c>
      <c r="D447" s="1260" t="inlineStr">
        <is>
          <t>PicknMix</t>
        </is>
      </c>
      <c r="E447" s="1409" t="n">
        <v>-1316</v>
      </c>
      <c r="F447" s="1260" t="inlineStr">
        <is>
          <t>Drawdown on PnM</t>
        </is>
      </c>
      <c r="G447" s="1260" t="inlineStr">
        <is>
          <t>Existing</t>
        </is>
      </c>
    </row>
    <row r="448" ht="13.5" customHeight="1" s="1232">
      <c r="A448" s="1393" t="n">
        <v>43196</v>
      </c>
      <c r="B448" s="1260" t="inlineStr">
        <is>
          <t>Joyce James</t>
        </is>
      </c>
      <c r="C448" s="1255" t="inlineStr">
        <is>
          <t>3. Pick n Mix Inc</t>
        </is>
      </c>
      <c r="D448" s="1260" t="inlineStr">
        <is>
          <t>Bank</t>
        </is>
      </c>
      <c r="E448" s="1409" t="n">
        <v>1000</v>
      </c>
      <c r="F448" s="1260" t="inlineStr">
        <is>
          <t>Plan</t>
        </is>
      </c>
      <c r="G448" s="1260" t="inlineStr">
        <is>
          <t>Existing</t>
        </is>
      </c>
    </row>
    <row r="449" ht="13.5" customHeight="1" s="1232">
      <c r="A449" s="1393" t="n">
        <v>43195</v>
      </c>
      <c r="B449" s="1260" t="inlineStr">
        <is>
          <t>Louise Bennett</t>
        </is>
      </c>
      <c r="C449" s="1255" t="inlineStr">
        <is>
          <t>2. Workshops</t>
        </is>
      </c>
      <c r="D449" s="1260" t="inlineStr">
        <is>
          <t>PayPal</t>
        </is>
      </c>
      <c r="E449" s="1409" t="n">
        <v>125</v>
      </c>
      <c r="F449" s="1260" t="inlineStr">
        <is>
          <t>Bluebells</t>
        </is>
      </c>
      <c r="G449" s="1260" t="inlineStr">
        <is>
          <t>Facebook</t>
        </is>
      </c>
      <c r="H449" s="914" t="n"/>
    </row>
    <row r="450" ht="13.5" customHeight="1" s="1232">
      <c r="A450" s="1393" t="n">
        <v>43194</v>
      </c>
      <c r="B450" s="1260" t="inlineStr">
        <is>
          <t>Nicholas Hunnisett</t>
        </is>
      </c>
      <c r="C450" s="1255" t="inlineStr">
        <is>
          <t>1. Courses/masterclasses</t>
        </is>
      </c>
      <c r="D450" s="1260" t="inlineStr">
        <is>
          <t>Stripe</t>
        </is>
      </c>
      <c r="E450" s="1409" t="n">
        <v>275</v>
      </c>
      <c r="F450" s="1260" t="inlineStr">
        <is>
          <t>Lightroom Solihull</t>
        </is>
      </c>
      <c r="G450" s="1260" t="inlineStr">
        <is>
          <t>Existing</t>
        </is>
      </c>
      <c r="H450" s="914" t="n"/>
    </row>
    <row r="451" ht="13.5" customHeight="1" s="1232">
      <c r="A451" s="1393" t="n">
        <v>43193</v>
      </c>
      <c r="B451" s="1260" t="inlineStr">
        <is>
          <t>Ian Blake</t>
        </is>
      </c>
      <c r="C451" s="1255" t="inlineStr">
        <is>
          <t>2. Workshops</t>
        </is>
      </c>
      <c r="D451" s="1260" t="inlineStr">
        <is>
          <t>Stripe</t>
        </is>
      </c>
      <c r="E451" s="1409" t="n">
        <v>100</v>
      </c>
      <c r="F451" s="1260" t="inlineStr">
        <is>
          <t>Anglesey</t>
        </is>
      </c>
      <c r="G451" s="1260" t="inlineStr">
        <is>
          <t>Existing</t>
        </is>
      </c>
      <c r="H451" s="914" t="n"/>
    </row>
    <row r="452" ht="13.5" customHeight="1" s="1232">
      <c r="A452" s="1393" t="n">
        <v>43192</v>
      </c>
      <c r="B452" s="1260" t="inlineStr">
        <is>
          <t>Jeremy Troth</t>
        </is>
      </c>
      <c r="C452" s="1255" t="inlineStr">
        <is>
          <t>2. Workshops</t>
        </is>
      </c>
      <c r="D452" s="1260" t="inlineStr">
        <is>
          <t>Stripe</t>
        </is>
      </c>
      <c r="E452" s="1409" t="n">
        <v>820</v>
      </c>
      <c r="F452" s="1260" t="inlineStr">
        <is>
          <t>Workshops</t>
        </is>
      </c>
      <c r="G452" s="1260" t="inlineStr">
        <is>
          <t>Existing</t>
        </is>
      </c>
      <c r="H452" s="914" t="n"/>
    </row>
    <row r="453" ht="13.5" customHeight="1" s="1232">
      <c r="A453" s="1393" t="n">
        <v>43191</v>
      </c>
      <c r="B453" s="1260" t="inlineStr">
        <is>
          <t>Apr Pick N Mix</t>
        </is>
      </c>
      <c r="C453" s="1255" t="inlineStr">
        <is>
          <t>3. Pick n Mix Inc</t>
        </is>
      </c>
      <c r="D453" s="1255" t="inlineStr">
        <is>
          <t>Various</t>
        </is>
      </c>
      <c r="E453" s="1261" t="n">
        <v>93.63</v>
      </c>
      <c r="F453" s="1255" t="inlineStr">
        <is>
          <t>Pick N Mix Payments</t>
        </is>
      </c>
      <c r="G453" s="1255" t="inlineStr">
        <is>
          <t>Existing</t>
        </is>
      </c>
      <c r="H453" s="914" t="n"/>
    </row>
    <row r="454" ht="13.5" customHeight="1" s="1232">
      <c r="A454" s="1393" t="n">
        <v>43191</v>
      </c>
      <c r="B454" s="1260" t="inlineStr">
        <is>
          <t>Apr Mentoring</t>
        </is>
      </c>
      <c r="C454" s="1255" t="inlineStr">
        <is>
          <t>5. Mentoring</t>
        </is>
      </c>
      <c r="D454" s="1255" t="inlineStr">
        <is>
          <t>Various</t>
        </is>
      </c>
      <c r="E454" s="1261" t="n">
        <v>80</v>
      </c>
      <c r="F454" s="1255" t="inlineStr">
        <is>
          <t>Mentoring Subs</t>
        </is>
      </c>
      <c r="G454" s="1255" t="inlineStr">
        <is>
          <t>Existing</t>
        </is>
      </c>
      <c r="H454" s="914" t="n"/>
    </row>
    <row r="455" ht="13.5" customHeight="1" s="1232">
      <c r="A455" s="1393" t="n"/>
      <c r="B455" s="1260" t="n"/>
      <c r="D455" s="1260" t="n"/>
      <c r="E455" s="1409" t="n"/>
      <c r="F455" s="1260" t="n"/>
      <c r="G455" s="1260" t="n"/>
      <c r="H455" s="914" t="n"/>
    </row>
    <row r="456" ht="13.5" customHeight="1" s="1232">
      <c r="A456" s="1393" t="n">
        <v>43188</v>
      </c>
      <c r="B456" s="1260" t="inlineStr">
        <is>
          <t>Matt Battison</t>
        </is>
      </c>
      <c r="C456" s="1255" t="inlineStr">
        <is>
          <t>1. Courses/masterclasses</t>
        </is>
      </c>
      <c r="D456" s="1260" t="inlineStr">
        <is>
          <t>Bank</t>
        </is>
      </c>
      <c r="E456" s="1409" t="n">
        <v>295</v>
      </c>
      <c r="F456" s="1260" t="inlineStr">
        <is>
          <t>RPS Course</t>
        </is>
      </c>
      <c r="G456" s="1260" t="inlineStr">
        <is>
          <t>Existing</t>
        </is>
      </c>
      <c r="H456" s="914" t="n"/>
    </row>
    <row r="457" ht="13.5" customHeight="1" s="1232">
      <c r="A457" s="1393" t="n">
        <v>43188</v>
      </c>
      <c r="B457" s="1260" t="inlineStr">
        <is>
          <t>Melissa Chapman</t>
        </is>
      </c>
      <c r="C457" s="1255" t="inlineStr">
        <is>
          <t>1. Courses/masterclasses</t>
        </is>
      </c>
      <c r="D457" s="1260" t="inlineStr">
        <is>
          <t>Stripe</t>
        </is>
      </c>
      <c r="E457" s="1409" t="n">
        <v>275</v>
      </c>
      <c r="F457" s="1260" t="inlineStr">
        <is>
          <t>5wk Beginners Course</t>
        </is>
      </c>
      <c r="G457" s="1260" t="inlineStr">
        <is>
          <t>Google</t>
        </is>
      </c>
      <c r="H457" s="914" t="n"/>
    </row>
    <row r="458" ht="13.5" customHeight="1" s="1232">
      <c r="A458" s="1393" t="n">
        <v>43188</v>
      </c>
      <c r="B458" s="1260" t="inlineStr">
        <is>
          <t>Acorn School</t>
        </is>
      </c>
      <c r="C458" s="1255" t="inlineStr">
        <is>
          <t>2. Workshops</t>
        </is>
      </c>
      <c r="D458" s="1260" t="inlineStr">
        <is>
          <t>Bank</t>
        </is>
      </c>
      <c r="E458" s="1409" t="n">
        <v>260</v>
      </c>
      <c r="F458" s="1260" t="inlineStr">
        <is>
          <t>Batsford Class</t>
        </is>
      </c>
      <c r="G458" s="1260" t="inlineStr">
        <is>
          <t>Google</t>
        </is>
      </c>
      <c r="H458" s="914" t="n"/>
    </row>
    <row r="459" ht="13.5" customHeight="1" s="1232">
      <c r="A459" s="1393" t="n">
        <v>43188</v>
      </c>
      <c r="B459" s="1260" t="inlineStr">
        <is>
          <t>Vijaytha Murali</t>
        </is>
      </c>
      <c r="C459" s="1255" t="inlineStr">
        <is>
          <t>1. Courses/masterclasses</t>
        </is>
      </c>
      <c r="D459" s="1260" t="inlineStr">
        <is>
          <t>PayPal</t>
        </is>
      </c>
      <c r="E459" s="1409" t="n">
        <v>175</v>
      </c>
      <c r="F459" s="1260" t="inlineStr">
        <is>
          <t>Lightroom Course</t>
        </is>
      </c>
      <c r="G459" s="1260" t="inlineStr">
        <is>
          <t>Existing</t>
        </is>
      </c>
      <c r="H459" s="914" t="n"/>
    </row>
    <row r="460" ht="13.5" customHeight="1" s="1232">
      <c r="A460" s="1393" t="n">
        <v>43186</v>
      </c>
      <c r="B460" s="1260" t="inlineStr">
        <is>
          <t>Jacqui Chislett</t>
        </is>
      </c>
      <c r="C460" s="1255" t="inlineStr">
        <is>
          <t>7. Other</t>
        </is>
      </c>
      <c r="D460" s="1260" t="inlineStr">
        <is>
          <t>Stripe</t>
        </is>
      </c>
      <c r="E460" s="1261" t="n">
        <v>300</v>
      </c>
      <c r="F460" s="1260" t="inlineStr">
        <is>
          <t>Digital Gift Card</t>
        </is>
      </c>
      <c r="G460" s="1260" t="inlineStr">
        <is>
          <t>Google</t>
        </is>
      </c>
      <c r="H460" s="914" t="n"/>
    </row>
    <row r="461" ht="13.5" customHeight="1" s="1232">
      <c r="A461" s="1393" t="n">
        <v>43182</v>
      </c>
      <c r="B461" s="1260" t="inlineStr">
        <is>
          <t>Rachel Carson</t>
        </is>
      </c>
      <c r="C461" s="1255" t="inlineStr">
        <is>
          <t>1. Courses/masterclasses</t>
        </is>
      </c>
      <c r="D461" s="1260" t="inlineStr">
        <is>
          <t>Stripe</t>
        </is>
      </c>
      <c r="E461" s="1409" t="n">
        <v>30</v>
      </c>
      <c r="F461" s="1260" t="inlineStr">
        <is>
          <t>Intro Class</t>
        </is>
      </c>
      <c r="G461" s="1260" t="inlineStr">
        <is>
          <t>Google</t>
        </is>
      </c>
      <c r="H461" s="914" t="n"/>
    </row>
    <row r="462" ht="13.5" customHeight="1" s="1232">
      <c r="A462" s="1393" t="n">
        <v>43186</v>
      </c>
      <c r="B462" s="1260" t="inlineStr">
        <is>
          <t>Chris White</t>
        </is>
      </c>
      <c r="C462" s="1255" t="inlineStr">
        <is>
          <t>2. Workshops</t>
        </is>
      </c>
      <c r="D462" s="1260" t="inlineStr">
        <is>
          <t>W-Play</t>
        </is>
      </c>
      <c r="E462" s="1409" t="n">
        <v>125</v>
      </c>
      <c r="F462" s="1260" t="inlineStr">
        <is>
          <t>CharleCote Workshop</t>
        </is>
      </c>
      <c r="G462" s="1260" t="inlineStr">
        <is>
          <t>Google</t>
        </is>
      </c>
      <c r="H462" s="914" t="n"/>
    </row>
    <row r="463" ht="13.5" customHeight="1" s="1232">
      <c r="A463" s="1393" t="n">
        <v>43185</v>
      </c>
      <c r="B463" s="1260" t="inlineStr">
        <is>
          <t xml:space="preserve">Sarah McGovern </t>
        </is>
      </c>
      <c r="C463" s="1255" t="inlineStr">
        <is>
          <t>5. Mentoring</t>
        </is>
      </c>
      <c r="D463" s="1260" t="inlineStr">
        <is>
          <t>PayPal</t>
        </is>
      </c>
      <c r="E463" s="1409" t="n">
        <v>20</v>
      </c>
      <c r="F463" s="1260" t="inlineStr">
        <is>
          <t>Monthly Mentoring</t>
        </is>
      </c>
      <c r="G463" s="1260" t="inlineStr">
        <is>
          <t>Google</t>
        </is>
      </c>
      <c r="H463" s="914" t="n"/>
    </row>
    <row r="464" ht="13.5" customHeight="1" s="1232">
      <c r="A464" s="1393" t="n">
        <v>43185</v>
      </c>
      <c r="B464" s="1260" t="inlineStr">
        <is>
          <t>Ian Barnard</t>
        </is>
      </c>
      <c r="C464" s="1255" t="inlineStr">
        <is>
          <t>2. Workshops</t>
        </is>
      </c>
      <c r="D464" s="1260" t="inlineStr">
        <is>
          <t>PayPal</t>
        </is>
      </c>
      <c r="E464" s="1409" t="n">
        <v>125</v>
      </c>
      <c r="F464" s="1260" t="inlineStr">
        <is>
          <t>CharleCote Workshop</t>
        </is>
      </c>
      <c r="G464" s="1260" t="inlineStr">
        <is>
          <t>Google</t>
        </is>
      </c>
      <c r="H464" s="914" t="n"/>
    </row>
    <row r="465" ht="13.5" customHeight="1" s="1232">
      <c r="A465" s="1393" t="n">
        <v>43185</v>
      </c>
      <c r="B465" s="1260" t="inlineStr">
        <is>
          <t>Phil O'Grady</t>
        </is>
      </c>
      <c r="C465" s="1255" t="inlineStr">
        <is>
          <t>2. Workshops</t>
        </is>
      </c>
      <c r="D465" s="1260" t="inlineStr">
        <is>
          <t>PicknMix</t>
        </is>
      </c>
      <c r="E465" s="1409" t="n">
        <v>67.5</v>
      </c>
      <c r="F465" s="1260" t="inlineStr">
        <is>
          <t>Poppies 21st June</t>
        </is>
      </c>
      <c r="G465" s="1260" t="inlineStr">
        <is>
          <t>Existing</t>
        </is>
      </c>
      <c r="H465" s="914" t="n"/>
    </row>
    <row r="466" ht="13.5" customHeight="1" s="1232">
      <c r="A466" s="1393" t="n">
        <v>43185</v>
      </c>
      <c r="B466" s="1260" t="inlineStr">
        <is>
          <t>Phil O'Grady</t>
        </is>
      </c>
      <c r="C466" s="1255" t="inlineStr">
        <is>
          <t>2. Workshops</t>
        </is>
      </c>
      <c r="D466" s="1260" t="inlineStr">
        <is>
          <t>PicknMix</t>
        </is>
      </c>
      <c r="E466" s="1409" t="n">
        <v>67.5</v>
      </c>
      <c r="F466" s="1260" t="inlineStr">
        <is>
          <t>Coventry 11th Apr</t>
        </is>
      </c>
      <c r="G466" s="1260" t="inlineStr">
        <is>
          <t>Existing</t>
        </is>
      </c>
      <c r="H466" s="914" t="n"/>
    </row>
    <row r="467" ht="13.5" customHeight="1" s="1232">
      <c r="A467" s="1393" t="n">
        <v>43185</v>
      </c>
      <c r="B467" s="1260" t="inlineStr">
        <is>
          <t>Phil O'Grady</t>
        </is>
      </c>
      <c r="C467" s="1255" t="inlineStr">
        <is>
          <t>4. Pick n Mix Out</t>
        </is>
      </c>
      <c r="D467" s="1260" t="inlineStr">
        <is>
          <t>PicknMix</t>
        </is>
      </c>
      <c r="E467" s="1409">
        <f>-67.5-67.5</f>
        <v/>
      </c>
      <c r="F467" s="1260" t="inlineStr">
        <is>
          <t>Drawdown on PnM</t>
        </is>
      </c>
      <c r="G467" s="1260" t="inlineStr">
        <is>
          <t>Existing</t>
        </is>
      </c>
      <c r="H467" s="914" t="n"/>
    </row>
    <row r="468" ht="13.5" customHeight="1" s="1232">
      <c r="A468" s="1393" t="n">
        <v>43182</v>
      </c>
      <c r="B468" s="1260" t="inlineStr">
        <is>
          <t>jill harrison</t>
        </is>
      </c>
      <c r="C468" s="1255" t="inlineStr">
        <is>
          <t>2. Workshops</t>
        </is>
      </c>
      <c r="D468" s="1260" t="inlineStr">
        <is>
          <t>PayPal</t>
        </is>
      </c>
      <c r="E468" s="1409" t="n">
        <v>125</v>
      </c>
      <c r="F468" s="1260" t="inlineStr">
        <is>
          <t>CharleCote Workshop</t>
        </is>
      </c>
      <c r="G468" s="1260" t="inlineStr">
        <is>
          <t>Batsford</t>
        </is>
      </c>
      <c r="H468" s="914" t="n"/>
    </row>
    <row r="469" ht="13.5" customHeight="1" s="1232">
      <c r="A469" s="1393" t="n">
        <v>43182</v>
      </c>
      <c r="B469" s="1260" t="inlineStr">
        <is>
          <t>Helen Finch - ELS</t>
        </is>
      </c>
      <c r="C469" s="1255" t="inlineStr">
        <is>
          <t>1. Courses/masterclasses</t>
        </is>
      </c>
      <c r="D469" s="1260" t="inlineStr">
        <is>
          <t>Bank</t>
        </is>
      </c>
      <c r="E469" s="1409" t="n">
        <v>200</v>
      </c>
      <c r="F469" s="1260" t="inlineStr">
        <is>
          <t>LR Course</t>
        </is>
      </c>
      <c r="G469" s="1260" t="inlineStr">
        <is>
          <t>ELS</t>
        </is>
      </c>
      <c r="H469" s="914" t="n"/>
    </row>
    <row r="470" ht="13.5" customHeight="1" s="1232">
      <c r="A470" s="1393" t="n">
        <v>43182</v>
      </c>
      <c r="B470" s="1260" t="inlineStr">
        <is>
          <t>Arjun Rawat - ELS</t>
        </is>
      </c>
      <c r="C470" s="1255" t="inlineStr">
        <is>
          <t>1. Courses/masterclasses</t>
        </is>
      </c>
      <c r="D470" s="1260" t="inlineStr">
        <is>
          <t>Bank</t>
        </is>
      </c>
      <c r="E470" s="1409" t="n">
        <v>200</v>
      </c>
      <c r="F470" s="1260" t="inlineStr">
        <is>
          <t>5wk Beginners Course</t>
        </is>
      </c>
      <c r="G470" s="1260" t="inlineStr">
        <is>
          <t>ELS</t>
        </is>
      </c>
      <c r="H470" s="914" t="n"/>
    </row>
    <row r="471" ht="13.5" customHeight="1" s="1232">
      <c r="A471" s="1393" t="n">
        <v>43182</v>
      </c>
      <c r="B471" s="1260" t="inlineStr">
        <is>
          <t>Clare Durston</t>
        </is>
      </c>
      <c r="C471" s="1255" t="inlineStr">
        <is>
          <t>1. Courses/masterclasses</t>
        </is>
      </c>
      <c r="D471" s="1260" t="inlineStr">
        <is>
          <t>Stripe</t>
        </is>
      </c>
      <c r="E471" s="1409" t="n">
        <v>30</v>
      </c>
      <c r="F471" s="1260" t="inlineStr">
        <is>
          <t>Intro Class</t>
        </is>
      </c>
      <c r="G471" s="1260" t="inlineStr">
        <is>
          <t>Google</t>
        </is>
      </c>
      <c r="H471" s="914" t="n"/>
    </row>
    <row r="472" ht="13.5" customHeight="1" s="1232">
      <c r="A472" s="1393" t="n">
        <v>43181</v>
      </c>
      <c r="B472" s="1260" t="inlineStr">
        <is>
          <t>Ann Knight</t>
        </is>
      </c>
      <c r="C472" s="1255" t="inlineStr">
        <is>
          <t>1. Courses/masterclasses</t>
        </is>
      </c>
      <c r="D472" s="1260" t="inlineStr">
        <is>
          <t>Stripe</t>
        </is>
      </c>
      <c r="E472" s="1409" t="n">
        <v>30</v>
      </c>
      <c r="F472" s="1260" t="inlineStr">
        <is>
          <t>Intro Class</t>
        </is>
      </c>
      <c r="G472" s="1260" t="inlineStr">
        <is>
          <t>Google</t>
        </is>
      </c>
      <c r="H472" s="914" t="n"/>
    </row>
    <row r="473" ht="13.5" customHeight="1" s="1232">
      <c r="A473" s="1393" t="n">
        <v>43181</v>
      </c>
      <c r="B473" s="1260" t="inlineStr">
        <is>
          <t>Ann Knight</t>
        </is>
      </c>
      <c r="C473" s="1255" t="inlineStr">
        <is>
          <t>1. Courses/masterclasses</t>
        </is>
      </c>
      <c r="D473" s="1260" t="inlineStr">
        <is>
          <t>Stripe</t>
        </is>
      </c>
      <c r="E473" s="1409">
        <f>3.95+0.9</f>
        <v/>
      </c>
      <c r="F473" s="1260" t="inlineStr">
        <is>
          <t>Pocket Guide</t>
        </is>
      </c>
      <c r="G473" s="1260" t="inlineStr">
        <is>
          <t>Google</t>
        </is>
      </c>
      <c r="H473" s="914" t="n"/>
    </row>
    <row r="474" ht="13.5" customHeight="1" s="1232">
      <c r="A474" s="1393" t="n">
        <v>43181</v>
      </c>
      <c r="B474" s="1260" t="inlineStr">
        <is>
          <t>Malcolm Richardson</t>
        </is>
      </c>
      <c r="C474" s="1255" t="inlineStr">
        <is>
          <t>2. Workshops</t>
        </is>
      </c>
      <c r="D474" s="1260" t="inlineStr">
        <is>
          <t>Stripe</t>
        </is>
      </c>
      <c r="E474" s="1409" t="n">
        <v>75</v>
      </c>
      <c r="F474" s="1260" t="inlineStr">
        <is>
          <t>Chesterton</t>
        </is>
      </c>
      <c r="G474" s="1260" t="inlineStr">
        <is>
          <t>Google</t>
        </is>
      </c>
      <c r="H474" s="914" t="n"/>
    </row>
    <row r="475" ht="13.5" customHeight="1" s="1232">
      <c r="A475" s="1393" t="n">
        <v>43177</v>
      </c>
      <c r="B475" s="1260" t="inlineStr">
        <is>
          <t>Pure Photo Sale</t>
        </is>
      </c>
      <c r="C475" s="1255" t="inlineStr">
        <is>
          <t>7. Other</t>
        </is>
      </c>
      <c r="D475" s="1260" t="inlineStr">
        <is>
          <t>Bank</t>
        </is>
      </c>
      <c r="E475" s="1409" t="n">
        <v>296.2</v>
      </c>
      <c r="F475" s="1260" t="inlineStr">
        <is>
          <t>Pure Photo</t>
        </is>
      </c>
      <c r="G475" s="1260" t="inlineStr">
        <is>
          <t>Other</t>
        </is>
      </c>
      <c r="H475" s="914" t="n"/>
    </row>
    <row r="476" ht="13.5" customHeight="1" s="1232">
      <c r="A476" s="1393" t="n">
        <v>43174</v>
      </c>
      <c r="B476" s="1260" t="inlineStr">
        <is>
          <t>Hans Berg - ELS</t>
        </is>
      </c>
      <c r="C476" s="1255" t="inlineStr">
        <is>
          <t>1. Courses/masterclasses</t>
        </is>
      </c>
      <c r="D476" s="1260" t="inlineStr">
        <is>
          <t>Bank</t>
        </is>
      </c>
      <c r="E476" s="1409" t="n">
        <v>200</v>
      </c>
      <c r="F476" s="1260" t="inlineStr">
        <is>
          <t xml:space="preserve">LR Course  </t>
        </is>
      </c>
      <c r="G476" s="1260" t="inlineStr">
        <is>
          <t>ELS</t>
        </is>
      </c>
      <c r="H476" s="914" t="n"/>
    </row>
    <row r="477" ht="13.5" customHeight="1" s="1232">
      <c r="A477" s="1393" t="n">
        <v>43173</v>
      </c>
      <c r="B477" s="1260" t="inlineStr">
        <is>
          <t>Philippa Smith</t>
        </is>
      </c>
      <c r="C477" s="1255" t="inlineStr">
        <is>
          <t>1. Courses/masterclasses</t>
        </is>
      </c>
      <c r="D477" s="1260" t="inlineStr">
        <is>
          <t>Groupon</t>
        </is>
      </c>
      <c r="E477" s="1409" t="n">
        <v>13</v>
      </c>
      <c r="F477" s="1260" t="inlineStr">
        <is>
          <t>Intro Class</t>
        </is>
      </c>
      <c r="G477" s="1260" t="inlineStr">
        <is>
          <t>Groupon</t>
        </is>
      </c>
      <c r="H477" s="914" t="n"/>
    </row>
    <row r="478" ht="13.5" customHeight="1" s="1232">
      <c r="A478" s="1393" t="n">
        <v>43173</v>
      </c>
      <c r="B478" s="1260" t="inlineStr">
        <is>
          <t>Janet Roberts</t>
        </is>
      </c>
      <c r="C478" s="1255" t="inlineStr">
        <is>
          <t>7. Other</t>
        </is>
      </c>
      <c r="D478" s="1260" t="inlineStr">
        <is>
          <t>Stripe</t>
        </is>
      </c>
      <c r="E478" s="1409" t="n">
        <v>30</v>
      </c>
      <c r="F478" s="1260" t="inlineStr">
        <is>
          <t>Facebook Forum</t>
        </is>
      </c>
      <c r="G478" s="1260" t="inlineStr">
        <is>
          <t>Existing</t>
        </is>
      </c>
      <c r="H478" s="914" t="n"/>
    </row>
    <row r="479" ht="13.5" customHeight="1" s="1232">
      <c r="A479" s="1393" t="n">
        <v>43172</v>
      </c>
      <c r="B479" s="1260" t="inlineStr">
        <is>
          <t>Christopher Parker</t>
        </is>
      </c>
      <c r="C479" s="1255" t="inlineStr">
        <is>
          <t>7. Other</t>
        </is>
      </c>
      <c r="D479" s="1260" t="inlineStr">
        <is>
          <t>PayPal</t>
        </is>
      </c>
      <c r="E479" s="1409" t="n">
        <v>30</v>
      </c>
      <c r="F479" s="1260" t="inlineStr">
        <is>
          <t>Facebook Forum</t>
        </is>
      </c>
      <c r="G479" s="1260" t="inlineStr">
        <is>
          <t>Existing</t>
        </is>
      </c>
      <c r="H479" s="914" t="n"/>
    </row>
    <row r="480" ht="13.5" customHeight="1" s="1232">
      <c r="A480" s="1393" t="n">
        <v>43172</v>
      </c>
      <c r="B480" s="1260" t="inlineStr">
        <is>
          <t>Sayed Nazir - ELS</t>
        </is>
      </c>
      <c r="C480" s="1255" t="inlineStr">
        <is>
          <t>1. Courses/masterclasses</t>
        </is>
      </c>
      <c r="D480" s="1260" t="inlineStr">
        <is>
          <t>Bank</t>
        </is>
      </c>
      <c r="E480" s="1261" t="n">
        <v>200</v>
      </c>
      <c r="F480" s="1260" t="inlineStr">
        <is>
          <t xml:space="preserve">LR Course  </t>
        </is>
      </c>
      <c r="G480" s="1260" t="inlineStr">
        <is>
          <t>ELS</t>
        </is>
      </c>
      <c r="H480" s="914" t="n"/>
    </row>
    <row r="481" ht="13.5" customHeight="1" s="1232">
      <c r="A481" s="1393" t="n">
        <v>43172</v>
      </c>
      <c r="B481" s="1260" t="inlineStr">
        <is>
          <t>Ganesh Palani - ELS</t>
        </is>
      </c>
      <c r="C481" s="1255" t="inlineStr">
        <is>
          <t>1. Courses/masterclasses</t>
        </is>
      </c>
      <c r="D481" s="1260" t="inlineStr">
        <is>
          <t>Bank</t>
        </is>
      </c>
      <c r="E481" s="1261" t="n">
        <v>200</v>
      </c>
      <c r="F481" s="1260" t="inlineStr">
        <is>
          <t>5wk Beginners</t>
        </is>
      </c>
      <c r="G481" s="1260" t="inlineStr">
        <is>
          <t>ELS</t>
        </is>
      </c>
      <c r="H481" s="914" t="n"/>
    </row>
    <row r="482" ht="13.5" customHeight="1" s="1232">
      <c r="A482" s="1393" t="n">
        <v>43172</v>
      </c>
      <c r="B482" s="1260" t="inlineStr">
        <is>
          <t>Aidan Broderick - ELS</t>
        </is>
      </c>
      <c r="C482" s="1255" t="inlineStr">
        <is>
          <t>1. Courses/masterclasses</t>
        </is>
      </c>
      <c r="D482" s="1260" t="inlineStr">
        <is>
          <t>Bank</t>
        </is>
      </c>
      <c r="E482" s="1261" t="n">
        <v>200</v>
      </c>
      <c r="F482" s="1260" t="inlineStr">
        <is>
          <t xml:space="preserve">LR Course  </t>
        </is>
      </c>
      <c r="G482" s="1260" t="inlineStr">
        <is>
          <t>ELS</t>
        </is>
      </c>
      <c r="H482" s="914" t="n"/>
    </row>
    <row r="483" ht="13.5" customHeight="1" s="1232">
      <c r="A483" s="1393" t="n">
        <v>43171</v>
      </c>
      <c r="B483" s="1260" t="inlineStr">
        <is>
          <t>Neil Giblett</t>
        </is>
      </c>
      <c r="C483" s="1255" t="inlineStr">
        <is>
          <t>7. Other</t>
        </is>
      </c>
      <c r="D483" s="1260" t="inlineStr">
        <is>
          <t>Stripe</t>
        </is>
      </c>
      <c r="E483" s="1261" t="n">
        <v>50</v>
      </c>
      <c r="F483" s="1260" t="inlineStr">
        <is>
          <t>Digital Gift Card</t>
        </is>
      </c>
      <c r="G483" s="1260" t="inlineStr">
        <is>
          <t>Google</t>
        </is>
      </c>
      <c r="H483" s="914" t="n"/>
    </row>
    <row r="484" ht="13.5" customHeight="1" s="1232">
      <c r="A484" s="1393" t="n">
        <v>43171</v>
      </c>
      <c r="B484" s="1260" t="inlineStr">
        <is>
          <t>Carolyn O'Neill</t>
        </is>
      </c>
      <c r="C484" s="1255" t="inlineStr">
        <is>
          <t>2. Workshops</t>
        </is>
      </c>
      <c r="D484" s="1260" t="inlineStr">
        <is>
          <t>Stripe</t>
        </is>
      </c>
      <c r="E484" s="1409" t="n">
        <v>125</v>
      </c>
      <c r="F484" s="1260" t="inlineStr">
        <is>
          <t>Bluebells</t>
        </is>
      </c>
      <c r="G484" s="1260" t="inlineStr">
        <is>
          <t>Other</t>
        </is>
      </c>
      <c r="H484" s="914" t="n"/>
    </row>
    <row r="485" ht="13.5" customHeight="1" s="1232">
      <c r="A485" s="1393" t="n">
        <v>43171</v>
      </c>
      <c r="B485" s="1260" t="inlineStr">
        <is>
          <t>Peter Hagger</t>
        </is>
      </c>
      <c r="C485" s="1255" t="inlineStr">
        <is>
          <t>2. Workshops</t>
        </is>
      </c>
      <c r="D485" s="1260" t="inlineStr">
        <is>
          <t>Stripe</t>
        </is>
      </c>
      <c r="E485" s="1409" t="n">
        <v>125</v>
      </c>
      <c r="F485" s="1260" t="inlineStr">
        <is>
          <t>Bluebells</t>
        </is>
      </c>
      <c r="G485" s="1260" t="inlineStr">
        <is>
          <t>Facebook</t>
        </is>
      </c>
      <c r="H485" s="791" t="n"/>
    </row>
    <row r="486" ht="13.5" customHeight="1" s="1232">
      <c r="A486" s="1393" t="n">
        <v>43168</v>
      </c>
      <c r="B486" s="1260" t="inlineStr">
        <is>
          <t>suzanne danter</t>
        </is>
      </c>
      <c r="C486" s="1255" t="inlineStr">
        <is>
          <t>1. Courses/masterclasses</t>
        </is>
      </c>
      <c r="D486" s="1260" t="inlineStr">
        <is>
          <t>Stripe</t>
        </is>
      </c>
      <c r="E486" s="1409" t="n">
        <v>30</v>
      </c>
      <c r="F486" s="1260" t="inlineStr">
        <is>
          <t>Intro Class</t>
        </is>
      </c>
      <c r="G486" s="1260" t="inlineStr">
        <is>
          <t>Google</t>
        </is>
      </c>
      <c r="H486" s="914" t="n"/>
    </row>
    <row r="487" ht="13.5" customHeight="1" s="1232">
      <c r="A487" s="1393" t="n">
        <v>43168</v>
      </c>
      <c r="B487" s="1260" t="inlineStr">
        <is>
          <t>Sarah Moore</t>
        </is>
      </c>
      <c r="C487" s="1255" t="inlineStr">
        <is>
          <t>2. Workshops</t>
        </is>
      </c>
      <c r="D487" s="1260" t="inlineStr">
        <is>
          <t>Stripe</t>
        </is>
      </c>
      <c r="E487" s="1409" t="n">
        <v>125</v>
      </c>
      <c r="F487" s="1260" t="inlineStr">
        <is>
          <t>Bluebells</t>
        </is>
      </c>
      <c r="G487" s="1260" t="inlineStr">
        <is>
          <t>Facebook</t>
        </is>
      </c>
      <c r="H487" s="791" t="n"/>
    </row>
    <row r="488" ht="13.5" customHeight="1" s="1232">
      <c r="A488" s="1393" t="n">
        <v>43167</v>
      </c>
      <c r="B488" s="1260" t="inlineStr">
        <is>
          <t>Anne Watkinson</t>
        </is>
      </c>
      <c r="C488" s="1255" t="inlineStr">
        <is>
          <t>6. 1-2-1</t>
        </is>
      </c>
      <c r="D488" s="1260" t="inlineStr">
        <is>
          <t>Stripe</t>
        </is>
      </c>
      <c r="E488" s="1409" t="n">
        <v>120</v>
      </c>
      <c r="F488" s="1282" t="inlineStr">
        <is>
          <t>1-2-1</t>
        </is>
      </c>
      <c r="G488" s="1260" t="inlineStr">
        <is>
          <t>Existing</t>
        </is>
      </c>
      <c r="H488" s="914" t="n"/>
    </row>
    <row r="489" ht="13.5" customHeight="1" s="1232">
      <c r="A489" s="1393" t="n">
        <v>43167</v>
      </c>
      <c r="B489" s="1260" t="inlineStr">
        <is>
          <t>Anne Watkinson</t>
        </is>
      </c>
      <c r="C489" s="1255" t="inlineStr">
        <is>
          <t>2. Workshops</t>
        </is>
      </c>
      <c r="D489" s="1260" t="inlineStr">
        <is>
          <t>Stripe</t>
        </is>
      </c>
      <c r="E489" s="1409" t="n">
        <v>125</v>
      </c>
      <c r="F489" s="1260" t="inlineStr">
        <is>
          <t>Bluebells</t>
        </is>
      </c>
      <c r="G489" s="1260" t="inlineStr">
        <is>
          <t>Existing</t>
        </is>
      </c>
      <c r="H489" s="914" t="n"/>
    </row>
    <row r="490" ht="13.5" customHeight="1" s="1232">
      <c r="A490" s="1393" t="n">
        <v>43167</v>
      </c>
      <c r="B490" s="1260" t="inlineStr">
        <is>
          <t>Garry Such</t>
        </is>
      </c>
      <c r="C490" s="1255" t="inlineStr">
        <is>
          <t>1. Courses/masterclasses</t>
        </is>
      </c>
      <c r="D490" s="1260" t="inlineStr">
        <is>
          <t>PicknMix</t>
        </is>
      </c>
      <c r="E490" s="1409" t="n">
        <v>42.5</v>
      </c>
      <c r="F490" s="1260" t="inlineStr">
        <is>
          <t>Creative Editing</t>
        </is>
      </c>
      <c r="G490" s="1260" t="inlineStr">
        <is>
          <t>Existing</t>
        </is>
      </c>
      <c r="H490" s="914" t="n"/>
    </row>
    <row r="491" ht="13.5" customHeight="1" s="1232">
      <c r="A491" s="1393" t="n">
        <v>43167</v>
      </c>
      <c r="B491" s="1260" t="inlineStr">
        <is>
          <t>Garry Such</t>
        </is>
      </c>
      <c r="C491" s="1255" t="inlineStr">
        <is>
          <t>2. Workshops</t>
        </is>
      </c>
      <c r="D491" s="1260" t="inlineStr">
        <is>
          <t>PicknMix</t>
        </is>
      </c>
      <c r="E491" s="1409" t="n">
        <v>63.75</v>
      </c>
      <c r="F491" s="1260" t="inlineStr">
        <is>
          <t>Coventry 11th Apr</t>
        </is>
      </c>
      <c r="G491" s="1260" t="inlineStr">
        <is>
          <t>Existing</t>
        </is>
      </c>
      <c r="H491" s="914" t="n"/>
    </row>
    <row r="492" ht="13.5" customHeight="1" s="1232">
      <c r="A492" s="1393" t="n">
        <v>43167</v>
      </c>
      <c r="B492" s="1260" t="inlineStr">
        <is>
          <t>Garry Such</t>
        </is>
      </c>
      <c r="C492" s="1255" t="inlineStr">
        <is>
          <t>2. Workshops</t>
        </is>
      </c>
      <c r="D492" s="1260" t="inlineStr">
        <is>
          <t>PicknMix</t>
        </is>
      </c>
      <c r="E492" s="1409" t="n">
        <v>63.75</v>
      </c>
      <c r="F492" s="1260" t="inlineStr">
        <is>
          <t>Kenilwirth Night 19thMar</t>
        </is>
      </c>
      <c r="G492" s="1260" t="inlineStr">
        <is>
          <t>Existing</t>
        </is>
      </c>
      <c r="H492" s="914" t="n"/>
    </row>
    <row r="493" ht="13.5" customHeight="1" s="1232">
      <c r="A493" s="1393" t="n">
        <v>43167</v>
      </c>
      <c r="B493" s="1260" t="inlineStr">
        <is>
          <t>Garry Such</t>
        </is>
      </c>
      <c r="C493" s="1255" t="inlineStr">
        <is>
          <t>4. Pick n Mix Out</t>
        </is>
      </c>
      <c r="D493" s="1260" t="inlineStr">
        <is>
          <t>PicknMix</t>
        </is>
      </c>
      <c r="E493" s="1409" t="n">
        <v>-170</v>
      </c>
      <c r="F493" s="1260" t="inlineStr">
        <is>
          <t>Drawdown on PnM</t>
        </is>
      </c>
      <c r="G493" s="1260" t="inlineStr">
        <is>
          <t>Existing</t>
        </is>
      </c>
      <c r="H493" s="914" t="n"/>
    </row>
    <row r="494" ht="13.5" customHeight="1" s="1232">
      <c r="A494" s="1393" t="n">
        <v>43167</v>
      </c>
      <c r="B494" s="1260" t="inlineStr">
        <is>
          <t>Simon Betteridge</t>
        </is>
      </c>
      <c r="C494" s="1255" t="inlineStr">
        <is>
          <t>2. Workshops</t>
        </is>
      </c>
      <c r="D494" s="1260" t="inlineStr">
        <is>
          <t>Bank</t>
        </is>
      </c>
      <c r="E494" s="1409" t="n">
        <v>100</v>
      </c>
      <c r="F494" s="1260" t="inlineStr">
        <is>
          <t>Glen Coe</t>
        </is>
      </c>
      <c r="G494" s="1260" t="inlineStr">
        <is>
          <t>Existing</t>
        </is>
      </c>
      <c r="H494" s="914" t="n"/>
    </row>
    <row r="495" ht="13.5" customHeight="1" s="1232">
      <c r="A495" s="1393" t="n">
        <v>43167</v>
      </c>
      <c r="B495" s="1260" t="inlineStr">
        <is>
          <t>Simon Betteridge</t>
        </is>
      </c>
      <c r="C495" s="1255" t="inlineStr">
        <is>
          <t>7. Other</t>
        </is>
      </c>
      <c r="D495" s="1260" t="inlineStr">
        <is>
          <t>Bank</t>
        </is>
      </c>
      <c r="E495" s="1409" t="n">
        <v>30</v>
      </c>
      <c r="F495" s="1260" t="inlineStr">
        <is>
          <t>Facebook Forum</t>
        </is>
      </c>
      <c r="G495" s="1260" t="inlineStr">
        <is>
          <t>Existing</t>
        </is>
      </c>
      <c r="H495" s="914" t="n"/>
    </row>
    <row r="496" ht="13.5" customHeight="1" s="1232">
      <c r="A496" s="1393" t="n">
        <v>43167</v>
      </c>
      <c r="B496" s="1260" t="inlineStr">
        <is>
          <t>James Cameron</t>
        </is>
      </c>
      <c r="C496" s="1255" t="inlineStr">
        <is>
          <t>7. Other</t>
        </is>
      </c>
      <c r="D496" s="1260" t="inlineStr">
        <is>
          <t>Stripe</t>
        </is>
      </c>
      <c r="E496" s="1409" t="n">
        <v>30</v>
      </c>
      <c r="F496" s="1260" t="inlineStr">
        <is>
          <t>Facebook Forum</t>
        </is>
      </c>
      <c r="G496" s="1260" t="inlineStr">
        <is>
          <t>Existing</t>
        </is>
      </c>
      <c r="H496" s="914" t="n"/>
    </row>
    <row r="497" ht="13.5" customHeight="1" s="1232">
      <c r="A497" s="1393" t="n">
        <v>43167</v>
      </c>
      <c r="B497" s="1260" t="inlineStr">
        <is>
          <t>Vijaytha Muralidharan</t>
        </is>
      </c>
      <c r="C497" s="1255" t="inlineStr">
        <is>
          <t>1. Courses/masterclasses</t>
        </is>
      </c>
      <c r="D497" s="1260" t="inlineStr">
        <is>
          <t>Stripe</t>
        </is>
      </c>
      <c r="E497" s="1409" t="n">
        <v>100</v>
      </c>
      <c r="F497" s="1260" t="inlineStr">
        <is>
          <t>LR Course Soli</t>
        </is>
      </c>
      <c r="G497" s="1260" t="inlineStr">
        <is>
          <t>Existing</t>
        </is>
      </c>
      <c r="H497" s="914" t="n"/>
    </row>
    <row r="498" ht="13.5" customHeight="1" s="1232">
      <c r="A498" s="1393" t="n">
        <v>43166</v>
      </c>
      <c r="B498" s="1260" t="inlineStr">
        <is>
          <t>Nick DeCianti</t>
        </is>
      </c>
      <c r="C498" s="1255" t="inlineStr">
        <is>
          <t>5. Mentoring</t>
        </is>
      </c>
      <c r="D498" s="1260" t="inlineStr">
        <is>
          <t>PayPal</t>
        </is>
      </c>
      <c r="E498" s="1409" t="n">
        <v>20</v>
      </c>
      <c r="F498" s="1260" t="inlineStr">
        <is>
          <t>Monthly Mentoring</t>
        </is>
      </c>
      <c r="G498" s="1260" t="inlineStr">
        <is>
          <t>Google</t>
        </is>
      </c>
      <c r="H498" s="914" t="n"/>
    </row>
    <row r="499" ht="13.5" customHeight="1" s="1232">
      <c r="A499" s="1393" t="n">
        <v>43166</v>
      </c>
      <c r="B499" s="1260" t="inlineStr">
        <is>
          <t>Chris Shaw</t>
        </is>
      </c>
      <c r="C499" s="1255" t="inlineStr">
        <is>
          <t>7. Other</t>
        </is>
      </c>
      <c r="D499" s="1260" t="inlineStr">
        <is>
          <t>PayPal</t>
        </is>
      </c>
      <c r="E499" s="1409" t="n">
        <v>30</v>
      </c>
      <c r="F499" s="1260" t="inlineStr">
        <is>
          <t>Facebook Forum</t>
        </is>
      </c>
      <c r="G499" s="1260" t="inlineStr">
        <is>
          <t>Existing</t>
        </is>
      </c>
      <c r="H499" s="914" t="n"/>
    </row>
    <row r="500" ht="13.5" customHeight="1" s="1232">
      <c r="A500" s="1393" t="n">
        <v>43166</v>
      </c>
      <c r="B500" s="1260" t="inlineStr">
        <is>
          <t>Anne Henry</t>
        </is>
      </c>
      <c r="C500" s="1255" t="inlineStr">
        <is>
          <t>7. Other</t>
        </is>
      </c>
      <c r="D500" s="1260" t="inlineStr">
        <is>
          <t>Stripe</t>
        </is>
      </c>
      <c r="E500" s="1261" t="n">
        <v>150</v>
      </c>
      <c r="F500" s="1260" t="inlineStr">
        <is>
          <t>Digital Gift Card</t>
        </is>
      </c>
      <c r="G500" s="1260" t="inlineStr">
        <is>
          <t>Google</t>
        </is>
      </c>
      <c r="H500" s="914" t="n"/>
    </row>
    <row r="501" ht="13.5" customHeight="1" s="1232">
      <c r="A501" s="1393" t="n">
        <v>43166</v>
      </c>
      <c r="B501" s="1260" t="inlineStr">
        <is>
          <t>Julian Barton-Bodley</t>
        </is>
      </c>
      <c r="C501" s="1255" t="inlineStr">
        <is>
          <t>7. Other</t>
        </is>
      </c>
      <c r="D501" s="1260" t="inlineStr">
        <is>
          <t>Stripe</t>
        </is>
      </c>
      <c r="E501" s="1409" t="n">
        <v>30</v>
      </c>
      <c r="F501" s="1260" t="inlineStr">
        <is>
          <t>Facebook Forum</t>
        </is>
      </c>
      <c r="G501" s="1260" t="inlineStr">
        <is>
          <t>Existing</t>
        </is>
      </c>
      <c r="H501" s="914" t="n"/>
    </row>
    <row r="502" ht="13.5" customHeight="1" s="1232">
      <c r="A502" s="1393" t="n">
        <v>43166</v>
      </c>
      <c r="B502" s="1260" t="inlineStr">
        <is>
          <t>Derek Dale</t>
        </is>
      </c>
      <c r="C502" s="1255" t="inlineStr">
        <is>
          <t>1. Courses/masterclasses</t>
        </is>
      </c>
      <c r="D502" s="1260" t="inlineStr">
        <is>
          <t>Groupon</t>
        </is>
      </c>
      <c r="E502" s="1409" t="n">
        <v>13</v>
      </c>
      <c r="F502" s="1260" t="inlineStr">
        <is>
          <t>Intro Class</t>
        </is>
      </c>
      <c r="G502" s="1260" t="inlineStr">
        <is>
          <t>Groupon</t>
        </is>
      </c>
      <c r="H502" s="914" t="n"/>
    </row>
    <row r="503" ht="13.5" customHeight="1" s="1232">
      <c r="A503" s="1393" t="n">
        <v>43165</v>
      </c>
      <c r="B503" s="1260" t="inlineStr">
        <is>
          <t>Con McHugh</t>
        </is>
      </c>
      <c r="C503" s="1255" t="inlineStr">
        <is>
          <t>2. Workshops</t>
        </is>
      </c>
      <c r="D503" s="1260" t="inlineStr">
        <is>
          <t>PicknMix</t>
        </is>
      </c>
      <c r="E503" s="1409" t="n">
        <v>580</v>
      </c>
      <c r="F503" s="1260" t="inlineStr">
        <is>
          <t>Glen Coe</t>
        </is>
      </c>
      <c r="G503" s="1260" t="inlineStr">
        <is>
          <t>Existing</t>
        </is>
      </c>
      <c r="H503" s="914" t="n"/>
    </row>
    <row r="504" ht="13.5" customHeight="1" s="1232">
      <c r="A504" s="1393" t="n">
        <v>43165</v>
      </c>
      <c r="B504" s="1260" t="inlineStr">
        <is>
          <t>Con McHugh</t>
        </is>
      </c>
      <c r="C504" s="1255" t="inlineStr">
        <is>
          <t>4. Pick n Mix Out</t>
        </is>
      </c>
      <c r="D504" s="1260" t="inlineStr">
        <is>
          <t>PicknMix</t>
        </is>
      </c>
      <c r="E504" s="1409" t="n">
        <v>-580</v>
      </c>
      <c r="F504" s="1260" t="inlineStr">
        <is>
          <t>Drawdown on PnM</t>
        </is>
      </c>
      <c r="G504" s="1260" t="inlineStr">
        <is>
          <t>Existing</t>
        </is>
      </c>
      <c r="H504" s="914" t="n"/>
    </row>
    <row r="505" ht="13.5" customHeight="1" s="1232">
      <c r="A505" s="1393" t="n">
        <v>43165</v>
      </c>
      <c r="B505" s="1260" t="inlineStr">
        <is>
          <t>Denise Merelie</t>
        </is>
      </c>
      <c r="C505" s="1255" t="inlineStr">
        <is>
          <t>2. Workshops</t>
        </is>
      </c>
      <c r="D505" s="1260" t="inlineStr">
        <is>
          <t>Stripe</t>
        </is>
      </c>
      <c r="E505" s="1409" t="n">
        <v>175</v>
      </c>
      <c r="F505" s="1260" t="inlineStr">
        <is>
          <t>Northumbria</t>
        </is>
      </c>
      <c r="G505" s="1260" t="inlineStr">
        <is>
          <t>Google</t>
        </is>
      </c>
      <c r="H505" s="914" t="n"/>
    </row>
    <row r="506" ht="13.5" customHeight="1" s="1232">
      <c r="A506" s="1393" t="n">
        <v>43164</v>
      </c>
      <c r="B506" s="1260" t="inlineStr">
        <is>
          <t>Jacki Rosin</t>
        </is>
      </c>
      <c r="C506" s="1255" t="inlineStr">
        <is>
          <t>1. Courses/masterclasses</t>
        </is>
      </c>
      <c r="D506" s="1260" t="inlineStr">
        <is>
          <t>Stripe</t>
        </is>
      </c>
      <c r="E506" s="1409" t="n">
        <v>50</v>
      </c>
      <c r="F506" s="1260" t="inlineStr">
        <is>
          <t>Macro Masterclass</t>
        </is>
      </c>
      <c r="G506" s="1260" t="inlineStr">
        <is>
          <t>Existing</t>
        </is>
      </c>
      <c r="H506" s="914" t="n"/>
    </row>
    <row r="507" ht="13.5" customHeight="1" s="1232">
      <c r="A507" s="1393" t="n">
        <v>43163</v>
      </c>
      <c r="B507" s="1260" t="inlineStr">
        <is>
          <t>Jennifer Box</t>
        </is>
      </c>
      <c r="C507" s="1255" t="inlineStr">
        <is>
          <t>7. Other</t>
        </is>
      </c>
      <c r="D507" s="1260" t="inlineStr">
        <is>
          <t>PayPal</t>
        </is>
      </c>
      <c r="E507" s="1409" t="n">
        <v>30</v>
      </c>
      <c r="F507" s="1260" t="inlineStr">
        <is>
          <t>Facebook Forum</t>
        </is>
      </c>
      <c r="G507" s="1260" t="inlineStr">
        <is>
          <t>Existing</t>
        </is>
      </c>
      <c r="H507" s="914" t="n"/>
    </row>
    <row r="508" ht="13.5" customHeight="1" s="1232">
      <c r="A508" s="1393" t="n">
        <v>43163</v>
      </c>
      <c r="B508" s="1260" t="inlineStr">
        <is>
          <t>Janice Jordan</t>
        </is>
      </c>
      <c r="C508" s="1255" t="inlineStr">
        <is>
          <t>2. Workshops</t>
        </is>
      </c>
      <c r="D508" s="1260" t="inlineStr">
        <is>
          <t>Bank</t>
        </is>
      </c>
      <c r="E508" s="1409" t="n">
        <v>1320</v>
      </c>
      <c r="F508" s="1260" t="inlineStr">
        <is>
          <t>French Riviera</t>
        </is>
      </c>
      <c r="G508" s="1260" t="inlineStr">
        <is>
          <t>Existing</t>
        </is>
      </c>
      <c r="H508" s="914" t="n"/>
    </row>
    <row r="509" ht="13.5" customHeight="1" s="1232">
      <c r="A509" s="1393" t="n">
        <v>43163</v>
      </c>
      <c r="B509" s="1260" t="inlineStr">
        <is>
          <t>Andy Martin</t>
        </is>
      </c>
      <c r="C509" s="1255" t="inlineStr">
        <is>
          <t>2. Workshops</t>
        </is>
      </c>
      <c r="D509" s="1260" t="inlineStr">
        <is>
          <t>PayPal</t>
        </is>
      </c>
      <c r="E509" s="1409" t="n">
        <v>65</v>
      </c>
      <c r="F509" s="1260" t="inlineStr">
        <is>
          <t>Batsford Clas/Walk</t>
        </is>
      </c>
      <c r="G509" s="1260" t="inlineStr">
        <is>
          <t>Google</t>
        </is>
      </c>
      <c r="H509" s="914" t="n"/>
    </row>
    <row r="510" ht="13.5" customHeight="1" s="1232">
      <c r="A510" s="1393" t="n">
        <v>43163</v>
      </c>
      <c r="B510" s="1260" t="inlineStr">
        <is>
          <t>Dunstan Vavasour</t>
        </is>
      </c>
      <c r="C510" s="1255" t="inlineStr">
        <is>
          <t>7. Other</t>
        </is>
      </c>
      <c r="D510" s="1260" t="inlineStr">
        <is>
          <t>PayPal</t>
        </is>
      </c>
      <c r="E510" s="1409" t="n">
        <v>30</v>
      </c>
      <c r="F510" s="1260" t="inlineStr">
        <is>
          <t>Facebook Forum</t>
        </is>
      </c>
      <c r="G510" s="1260" t="inlineStr">
        <is>
          <t>Existing</t>
        </is>
      </c>
      <c r="H510" s="914" t="n"/>
    </row>
    <row r="511" ht="13.5" customHeight="1" s="1232">
      <c r="A511" s="1393" t="n">
        <v>43163</v>
      </c>
      <c r="B511" s="1260" t="inlineStr">
        <is>
          <t>Chris Franklin</t>
        </is>
      </c>
      <c r="C511" s="1255" t="inlineStr">
        <is>
          <t>7. Other</t>
        </is>
      </c>
      <c r="D511" s="1260" t="inlineStr">
        <is>
          <t>PayPal</t>
        </is>
      </c>
      <c r="E511" s="1409" t="n">
        <v>30</v>
      </c>
      <c r="F511" s="1260" t="inlineStr">
        <is>
          <t>Facebook Forum</t>
        </is>
      </c>
      <c r="G511" s="1260" t="inlineStr">
        <is>
          <t>Existing</t>
        </is>
      </c>
      <c r="H511" s="914" t="n"/>
    </row>
    <row r="512" ht="13.5" customHeight="1" s="1232">
      <c r="A512" s="1393" t="n">
        <v>43162</v>
      </c>
      <c r="B512" s="1260" t="inlineStr">
        <is>
          <t>Caroline Robinson</t>
        </is>
      </c>
      <c r="C512" s="1255" t="inlineStr">
        <is>
          <t>1. Courses/masterclasses</t>
        </is>
      </c>
      <c r="D512" s="1260" t="inlineStr">
        <is>
          <t>Various</t>
        </is>
      </c>
      <c r="E512" s="1409" t="n">
        <v>0</v>
      </c>
      <c r="F512" s="1260" t="inlineStr">
        <is>
          <t>Intro Class</t>
        </is>
      </c>
      <c r="G512" s="1260" t="inlineStr">
        <is>
          <t>Other</t>
        </is>
      </c>
      <c r="H512" s="791" t="inlineStr">
        <is>
          <t>Gift Voucher</t>
        </is>
      </c>
    </row>
    <row r="513" ht="13.5" customHeight="1" s="1232">
      <c r="A513" s="1393" t="n">
        <v>43161</v>
      </c>
      <c r="B513" s="1260" t="inlineStr">
        <is>
          <t>derek robbins</t>
        </is>
      </c>
      <c r="C513" s="1255" t="inlineStr">
        <is>
          <t>7. Other</t>
        </is>
      </c>
      <c r="D513" s="1260" t="inlineStr">
        <is>
          <t>PayPal</t>
        </is>
      </c>
      <c r="E513" s="1409" t="n">
        <v>30</v>
      </c>
      <c r="F513" s="1260" t="inlineStr">
        <is>
          <t>Facebook Forum</t>
        </is>
      </c>
      <c r="G513" s="1260" t="inlineStr">
        <is>
          <t>Existing</t>
        </is>
      </c>
      <c r="H513" s="914" t="n"/>
    </row>
    <row r="514" ht="13.5" customHeight="1" s="1232">
      <c r="A514" s="1393" t="n">
        <v>43162</v>
      </c>
      <c r="B514" s="1260" t="inlineStr">
        <is>
          <t>derek Bridges</t>
        </is>
      </c>
      <c r="C514" s="1255" t="inlineStr">
        <is>
          <t>2. Workshops</t>
        </is>
      </c>
      <c r="D514" s="1260" t="inlineStr">
        <is>
          <t>Stripe</t>
        </is>
      </c>
      <c r="E514" s="1409" t="n">
        <v>150</v>
      </c>
      <c r="F514" s="1260" t="inlineStr">
        <is>
          <t>Batsford Autumn</t>
        </is>
      </c>
      <c r="G514" s="1260" t="inlineStr">
        <is>
          <t>Facebook</t>
        </is>
      </c>
      <c r="H514" s="791" t="n"/>
    </row>
    <row r="515" ht="13.5" customHeight="1" s="1232">
      <c r="A515" s="1393" t="n">
        <v>43162</v>
      </c>
      <c r="B515" s="1260" t="inlineStr">
        <is>
          <t>Laura Byrne</t>
        </is>
      </c>
      <c r="C515" s="1255" t="inlineStr">
        <is>
          <t>1. Courses/masterclasses</t>
        </is>
      </c>
      <c r="D515" s="1260" t="inlineStr">
        <is>
          <t>Bank</t>
        </is>
      </c>
      <c r="E515" s="1409" t="n">
        <v>195</v>
      </c>
      <c r="F515" s="1260" t="inlineStr">
        <is>
          <t>RPS Course</t>
        </is>
      </c>
      <c r="G515" s="1260" t="inlineStr">
        <is>
          <t>Existing</t>
        </is>
      </c>
      <c r="H515" s="914" t="n"/>
    </row>
    <row r="516" ht="13.5" customHeight="1" s="1232">
      <c r="A516" s="1393" t="n">
        <v>43160</v>
      </c>
      <c r="B516" s="1260" t="inlineStr">
        <is>
          <t>Robert Newton</t>
        </is>
      </c>
      <c r="C516" s="1255" t="inlineStr">
        <is>
          <t>2. Workshops</t>
        </is>
      </c>
      <c r="D516" s="1260" t="inlineStr">
        <is>
          <t>Stripe</t>
        </is>
      </c>
      <c r="E516" s="1409" t="n">
        <v>130</v>
      </c>
      <c r="F516" s="1260" t="inlineStr">
        <is>
          <t>Batsford Clas/Walk</t>
        </is>
      </c>
      <c r="G516" s="1260" t="inlineStr">
        <is>
          <t>Batsford</t>
        </is>
      </c>
      <c r="H516" s="914" t="n"/>
    </row>
    <row r="517" ht="13.5" customHeight="1" s="1232">
      <c r="A517" s="1393" t="n">
        <v>43160</v>
      </c>
      <c r="B517" s="1260" t="inlineStr">
        <is>
          <t>Mar Pick N Mix</t>
        </is>
      </c>
      <c r="C517" s="1255" t="inlineStr">
        <is>
          <t>3. Pick n Mix Inc</t>
        </is>
      </c>
      <c r="D517" s="1255" t="inlineStr">
        <is>
          <t>Various</t>
        </is>
      </c>
      <c r="E517" s="1261" t="n">
        <v>268</v>
      </c>
      <c r="F517" s="1255" t="inlineStr">
        <is>
          <t>Pick N Mix Payments</t>
        </is>
      </c>
      <c r="G517" s="1255" t="inlineStr">
        <is>
          <t>Existing</t>
        </is>
      </c>
      <c r="H517" s="914" t="n"/>
    </row>
    <row r="518" ht="13.5" customHeight="1" s="1232">
      <c r="A518" s="1393" t="n">
        <v>43160</v>
      </c>
      <c r="B518" s="1260" t="inlineStr">
        <is>
          <t>Mar Mentoring</t>
        </is>
      </c>
      <c r="C518" s="1255" t="inlineStr">
        <is>
          <t>5. Mentoring</t>
        </is>
      </c>
      <c r="D518" s="1255" t="inlineStr">
        <is>
          <t>Various</t>
        </is>
      </c>
      <c r="E518" s="1261" t="n">
        <v>40</v>
      </c>
      <c r="F518" s="1255" t="inlineStr">
        <is>
          <t>Mentoring Subs</t>
        </is>
      </c>
      <c r="G518" s="1255" t="inlineStr">
        <is>
          <t>Existing</t>
        </is>
      </c>
      <c r="H518" s="914" t="n"/>
    </row>
    <row r="519" ht="13.5" customHeight="1" s="1232">
      <c r="A519" s="1393" t="n"/>
      <c r="B519" s="1260" t="n"/>
      <c r="D519" s="1260" t="n"/>
      <c r="E519" s="1409" t="n"/>
      <c r="F519" s="1260" t="n"/>
      <c r="G519" s="1260" t="n"/>
      <c r="H519" s="914" t="n"/>
    </row>
    <row r="520" ht="13.5" customHeight="1" s="1232">
      <c r="A520" s="1393" t="n">
        <v>43159</v>
      </c>
      <c r="B520" s="1260" t="inlineStr">
        <is>
          <t>Jane Chapman</t>
        </is>
      </c>
      <c r="C520" s="1255" t="inlineStr">
        <is>
          <t>2. Workshops</t>
        </is>
      </c>
      <c r="D520" s="1260" t="inlineStr">
        <is>
          <t>Stripe</t>
        </is>
      </c>
      <c r="E520" s="1409" t="n">
        <v>100</v>
      </c>
      <c r="F520" s="1260" t="inlineStr">
        <is>
          <t>Lynmouth</t>
        </is>
      </c>
      <c r="G520" s="1260" t="inlineStr">
        <is>
          <t>Existing</t>
        </is>
      </c>
      <c r="H520" s="914" t="n"/>
    </row>
    <row r="521" ht="13.5" customHeight="1" s="1232">
      <c r="A521" s="1393" t="n">
        <v>43159</v>
      </c>
      <c r="B521" s="1260" t="inlineStr">
        <is>
          <t>Anne Watkinson</t>
        </is>
      </c>
      <c r="C521" s="1255" t="inlineStr">
        <is>
          <t>1. Courses/masterclasses</t>
        </is>
      </c>
      <c r="D521" s="1260" t="inlineStr">
        <is>
          <t>Stripe</t>
        </is>
      </c>
      <c r="E521" s="1409" t="n">
        <v>395</v>
      </c>
      <c r="F521" s="1260" t="inlineStr">
        <is>
          <t>RPS Course</t>
        </is>
      </c>
      <c r="G521" s="1260" t="inlineStr">
        <is>
          <t>Existing</t>
        </is>
      </c>
      <c r="H521" s="914" t="n"/>
    </row>
    <row r="522" ht="13.5" customHeight="1" s="1232">
      <c r="A522" s="1393" t="n">
        <v>43159</v>
      </c>
      <c r="B522" s="1260" t="inlineStr">
        <is>
          <t>Jane Chapman</t>
        </is>
      </c>
      <c r="C522" s="1255" t="inlineStr">
        <is>
          <t>2. Workshops</t>
        </is>
      </c>
      <c r="D522" s="1260" t="inlineStr">
        <is>
          <t>Stripe</t>
        </is>
      </c>
      <c r="E522" s="1409" t="n">
        <v>65</v>
      </c>
      <c r="F522" s="1260" t="inlineStr">
        <is>
          <t>Batsford Clas/Walk</t>
        </is>
      </c>
      <c r="G522" s="1260" t="inlineStr">
        <is>
          <t>Existing</t>
        </is>
      </c>
      <c r="H522" s="914" t="n"/>
    </row>
    <row r="523" ht="13.5" customHeight="1" s="1232">
      <c r="A523" s="1393" t="n">
        <v>43158</v>
      </c>
      <c r="B523" s="1260" t="inlineStr">
        <is>
          <t>Melissa Dickinson - ELS</t>
        </is>
      </c>
      <c r="C523" s="1255" t="inlineStr">
        <is>
          <t>1. Courses/masterclasses</t>
        </is>
      </c>
      <c r="D523" s="1260" t="inlineStr">
        <is>
          <t>Bank</t>
        </is>
      </c>
      <c r="E523" s="1409" t="n">
        <v>200</v>
      </c>
      <c r="F523" s="1260" t="inlineStr">
        <is>
          <t>5wk Course</t>
        </is>
      </c>
      <c r="G523" s="1260" t="inlineStr">
        <is>
          <t>ELS</t>
        </is>
      </c>
      <c r="H523" s="914" t="n"/>
    </row>
    <row r="524" ht="13.5" customHeight="1" s="1232">
      <c r="A524" s="1393" t="n">
        <v>43157</v>
      </c>
      <c r="B524" s="1260" t="inlineStr">
        <is>
          <t>Rebecca Teague</t>
        </is>
      </c>
      <c r="C524" s="1255" t="inlineStr">
        <is>
          <t>2. Workshops</t>
        </is>
      </c>
      <c r="D524" s="1260" t="inlineStr">
        <is>
          <t>Stripe</t>
        </is>
      </c>
      <c r="E524" s="1409" t="n">
        <v>125</v>
      </c>
      <c r="F524" s="1260" t="inlineStr">
        <is>
          <t>Bluebells</t>
        </is>
      </c>
      <c r="G524" s="1260" t="inlineStr">
        <is>
          <t>Existing</t>
        </is>
      </c>
      <c r="H524" s="914" t="n"/>
    </row>
    <row r="525" ht="13.5" customHeight="1" s="1232">
      <c r="A525" s="1393" t="n">
        <v>43157</v>
      </c>
      <c r="B525" s="1260" t="inlineStr">
        <is>
          <t>Matt Battison</t>
        </is>
      </c>
      <c r="C525" s="1255" t="inlineStr">
        <is>
          <t>1. Courses/masterclasses</t>
        </is>
      </c>
      <c r="D525" s="1260" t="inlineStr">
        <is>
          <t>Bank</t>
        </is>
      </c>
      <c r="E525" s="1409" t="n">
        <v>100</v>
      </c>
      <c r="F525" s="1260" t="inlineStr">
        <is>
          <t>RPS Course</t>
        </is>
      </c>
      <c r="G525" s="1260" t="inlineStr">
        <is>
          <t>Existing</t>
        </is>
      </c>
      <c r="H525" s="914" t="n"/>
    </row>
    <row r="526" ht="13.5" customHeight="1" s="1232">
      <c r="A526" s="1393" t="n">
        <v>43155</v>
      </c>
      <c r="B526" s="1260" t="inlineStr">
        <is>
          <t>Tamara Nunley</t>
        </is>
      </c>
      <c r="C526" s="1255" t="inlineStr">
        <is>
          <t>2. Workshops</t>
        </is>
      </c>
      <c r="D526" s="1260" t="inlineStr">
        <is>
          <t>Stripe</t>
        </is>
      </c>
      <c r="E526" s="1409" t="n">
        <v>125</v>
      </c>
      <c r="F526" s="1260" t="inlineStr">
        <is>
          <t>Bluebells</t>
        </is>
      </c>
      <c r="G526" s="1260" t="inlineStr">
        <is>
          <t>Facebook</t>
        </is>
      </c>
      <c r="H526" s="791" t="n"/>
    </row>
    <row r="527" ht="13.5" customHeight="1" s="1232">
      <c r="A527" s="1393" t="n">
        <v>43155</v>
      </c>
      <c r="B527" s="1260" t="inlineStr">
        <is>
          <t>Penny Tebbit</t>
        </is>
      </c>
      <c r="C527" s="1255" t="inlineStr">
        <is>
          <t>1. Courses/masterclasses</t>
        </is>
      </c>
      <c r="D527" s="1260" t="inlineStr">
        <is>
          <t>Stripe</t>
        </is>
      </c>
      <c r="E527" s="1409">
        <f>245-10</f>
        <v/>
      </c>
      <c r="F527" s="1260" t="inlineStr">
        <is>
          <t>4wk Extended Course</t>
        </is>
      </c>
      <c r="G527" s="1260" t="inlineStr">
        <is>
          <t>Existing</t>
        </is>
      </c>
      <c r="H527" s="914" t="n"/>
    </row>
    <row r="528" ht="13.5" customHeight="1" s="1232">
      <c r="A528" s="1393" t="n">
        <v>43155</v>
      </c>
      <c r="B528" s="1260" t="inlineStr">
        <is>
          <t>Jill Roberts</t>
        </is>
      </c>
      <c r="C528" s="1255" t="inlineStr">
        <is>
          <t>1. Courses/masterclasses</t>
        </is>
      </c>
      <c r="D528" s="1260" t="inlineStr">
        <is>
          <t>Groupon</t>
        </is>
      </c>
      <c r="E528" s="1409" t="n">
        <v>13</v>
      </c>
      <c r="F528" s="1260" t="inlineStr">
        <is>
          <t>Intro Class</t>
        </is>
      </c>
      <c r="G528" s="1260" t="inlineStr">
        <is>
          <t>Groupon</t>
        </is>
      </c>
      <c r="H528" s="914" t="n"/>
    </row>
    <row r="529" ht="13.5" customHeight="1" s="1232">
      <c r="A529" s="1393" t="n">
        <v>43155</v>
      </c>
      <c r="B529" s="1260" t="inlineStr">
        <is>
          <t>Sue Critchlow</t>
        </is>
      </c>
      <c r="C529" s="1255" t="inlineStr">
        <is>
          <t>2. Workshops</t>
        </is>
      </c>
      <c r="D529" s="1260" t="inlineStr">
        <is>
          <t>Stripe</t>
        </is>
      </c>
      <c r="E529" s="1409" t="n">
        <v>495</v>
      </c>
      <c r="F529" s="1260" t="inlineStr">
        <is>
          <t>Hartland Quay</t>
        </is>
      </c>
      <c r="G529" s="1260" t="inlineStr">
        <is>
          <t>Facebook</t>
        </is>
      </c>
    </row>
    <row r="530" ht="13.5" customHeight="1" s="1232">
      <c r="A530" s="1393" t="n">
        <v>43154</v>
      </c>
      <c r="B530" s="1260" t="inlineStr">
        <is>
          <t>Jill Roberts</t>
        </is>
      </c>
      <c r="C530" s="1255" t="inlineStr">
        <is>
          <t>1. Courses/masterclasses</t>
        </is>
      </c>
      <c r="D530" s="1260" t="inlineStr">
        <is>
          <t>Bank</t>
        </is>
      </c>
      <c r="E530" s="1409" t="n">
        <v>235</v>
      </c>
      <c r="F530" s="1260" t="inlineStr">
        <is>
          <t>4wk Extended Course</t>
        </is>
      </c>
      <c r="G530" s="1260" t="inlineStr">
        <is>
          <t>Existing</t>
        </is>
      </c>
    </row>
    <row r="531" ht="13.5" customHeight="1" s="1232">
      <c r="A531" s="1393" t="n">
        <v>43153</v>
      </c>
      <c r="B531" s="1260" t="inlineStr">
        <is>
          <t>Nicola Cashin</t>
        </is>
      </c>
      <c r="C531" s="1255" t="inlineStr">
        <is>
          <t>1. Courses/masterclasses</t>
        </is>
      </c>
      <c r="D531" s="1260" t="inlineStr">
        <is>
          <t>PayPal</t>
        </is>
      </c>
      <c r="E531" s="1409" t="n">
        <v>245</v>
      </c>
      <c r="F531" s="1260" t="inlineStr">
        <is>
          <t>4wk Extended Course</t>
        </is>
      </c>
      <c r="G531" s="1260" t="inlineStr">
        <is>
          <t>Google</t>
        </is>
      </c>
    </row>
    <row r="532" ht="13.5" customHeight="1" s="1232">
      <c r="A532" s="1393" t="n">
        <v>43153</v>
      </c>
      <c r="B532" s="1260" t="inlineStr">
        <is>
          <t>James Cameron</t>
        </is>
      </c>
      <c r="C532" s="1255" t="inlineStr">
        <is>
          <t>2. Workshops</t>
        </is>
      </c>
      <c r="D532" s="1260" t="inlineStr">
        <is>
          <t>Stripe</t>
        </is>
      </c>
      <c r="E532" s="1409" t="n">
        <v>100</v>
      </c>
      <c r="F532" s="1260" t="inlineStr">
        <is>
          <t>Glen Coe</t>
        </is>
      </c>
      <c r="G532" s="1260" t="inlineStr">
        <is>
          <t>Existing</t>
        </is>
      </c>
    </row>
    <row r="533" ht="13.5" customHeight="1" s="1232">
      <c r="A533" s="1393" t="n">
        <v>43152</v>
      </c>
      <c r="B533" s="1260" t="inlineStr">
        <is>
          <t>David Bird</t>
        </is>
      </c>
      <c r="C533" s="1255" t="inlineStr">
        <is>
          <t>1. Courses/masterclasses</t>
        </is>
      </c>
      <c r="D533" s="1260" t="inlineStr">
        <is>
          <t>PayPal</t>
        </is>
      </c>
      <c r="E533" s="1409" t="n">
        <v>245</v>
      </c>
      <c r="F533" s="1260" t="inlineStr">
        <is>
          <t>4wk Extended Course</t>
        </is>
      </c>
      <c r="G533" s="1260" t="inlineStr">
        <is>
          <t>Existing</t>
        </is>
      </c>
    </row>
    <row r="534" ht="13.5" customHeight="1" s="1232">
      <c r="A534" s="1393" t="n">
        <v>43152</v>
      </c>
      <c r="B534" s="1260" t="inlineStr">
        <is>
          <t>Audrey Peebles</t>
        </is>
      </c>
      <c r="C534" s="1255" t="inlineStr">
        <is>
          <t>2. Workshops</t>
        </is>
      </c>
      <c r="D534" s="1260" t="inlineStr">
        <is>
          <t>PayPal</t>
        </is>
      </c>
      <c r="E534" s="1409" t="n">
        <v>725</v>
      </c>
      <c r="F534" s="1260" t="inlineStr">
        <is>
          <t>Northumbria</t>
        </is>
      </c>
      <c r="G534" s="1260" t="inlineStr">
        <is>
          <t>Google</t>
        </is>
      </c>
    </row>
    <row r="535" ht="13.5" customHeight="1" s="1232">
      <c r="A535" s="1393" t="n">
        <v>43152</v>
      </c>
      <c r="B535" s="1260" t="inlineStr">
        <is>
          <t>Arjun Rawat</t>
        </is>
      </c>
      <c r="C535" s="1255" t="inlineStr">
        <is>
          <t>1. Courses/masterclasses</t>
        </is>
      </c>
      <c r="D535" s="1260" t="inlineStr">
        <is>
          <t>Bank</t>
        </is>
      </c>
      <c r="E535" s="1409" t="n">
        <v>75</v>
      </c>
      <c r="F535" s="1260" t="inlineStr">
        <is>
          <t>5wk Course</t>
        </is>
      </c>
      <c r="G535" s="1260" t="inlineStr">
        <is>
          <t>ELS</t>
        </is>
      </c>
    </row>
    <row r="536" ht="13.5" customHeight="1" s="1232">
      <c r="A536" s="1393" t="n">
        <v>43151</v>
      </c>
      <c r="B536" s="1260" t="inlineStr">
        <is>
          <t>Anne Rowling</t>
        </is>
      </c>
      <c r="C536" s="1255" t="inlineStr">
        <is>
          <t>1. Courses/masterclasses</t>
        </is>
      </c>
      <c r="D536" s="1260" t="inlineStr">
        <is>
          <t>PayPal</t>
        </is>
      </c>
      <c r="E536" s="1409" t="n">
        <v>-275</v>
      </c>
      <c r="F536" s="1260" t="inlineStr">
        <is>
          <t>Refunded</t>
        </is>
      </c>
      <c r="G536" s="1260" t="inlineStr">
        <is>
          <t>Other</t>
        </is>
      </c>
    </row>
    <row r="537" ht="13.5" customHeight="1" s="1232">
      <c r="A537" s="1393" t="n">
        <v>43150</v>
      </c>
      <c r="B537" s="1410" t="inlineStr">
        <is>
          <t>Ian Blake - ELS</t>
        </is>
      </c>
      <c r="C537" s="1410" t="inlineStr">
        <is>
          <t>1. Courses/masterclasses</t>
        </is>
      </c>
      <c r="D537" s="1410" t="inlineStr">
        <is>
          <t>Bank</t>
        </is>
      </c>
      <c r="E537" s="1411" t="n">
        <v>200</v>
      </c>
      <c r="F537" s="1410" t="inlineStr">
        <is>
          <t>TBC</t>
        </is>
      </c>
      <c r="G537" s="1410" t="inlineStr">
        <is>
          <t>ELS</t>
        </is>
      </c>
    </row>
    <row r="538" ht="13.5" customHeight="1" s="1232">
      <c r="A538" s="1393" t="n">
        <v>43150</v>
      </c>
      <c r="B538" s="1260" t="inlineStr">
        <is>
          <t>Hans Berg -ELS</t>
        </is>
      </c>
      <c r="C538" s="1255" t="inlineStr">
        <is>
          <t>1. Courses/masterclasses</t>
        </is>
      </c>
      <c r="D538" s="1260" t="inlineStr">
        <is>
          <t>Bank</t>
        </is>
      </c>
      <c r="E538" s="1409" t="n">
        <v>50</v>
      </c>
      <c r="F538" s="1260" t="inlineStr">
        <is>
          <t>LR Course</t>
        </is>
      </c>
      <c r="G538" s="1260" t="inlineStr">
        <is>
          <t>ELS</t>
        </is>
      </c>
    </row>
    <row r="539" ht="13.5" customHeight="1" s="1232">
      <c r="A539" s="1393" t="n">
        <v>43150</v>
      </c>
      <c r="B539" s="1260" t="inlineStr">
        <is>
          <t>signe frei</t>
        </is>
      </c>
      <c r="C539" s="1255" t="inlineStr">
        <is>
          <t>2. Workshops</t>
        </is>
      </c>
      <c r="D539" s="1260" t="inlineStr">
        <is>
          <t>Stripe</t>
        </is>
      </c>
      <c r="E539" s="1409" t="n">
        <v>175</v>
      </c>
      <c r="F539" s="1260" t="inlineStr">
        <is>
          <t>Bluebells</t>
        </is>
      </c>
      <c r="G539" s="1260" t="inlineStr">
        <is>
          <t>Facebook</t>
        </is>
      </c>
    </row>
    <row r="540" ht="13.5" customHeight="1" s="1232">
      <c r="A540" s="1393" t="n">
        <v>43150</v>
      </c>
      <c r="B540" s="1260" t="inlineStr">
        <is>
          <t>Anne Rowling</t>
        </is>
      </c>
      <c r="C540" s="1255" t="inlineStr">
        <is>
          <t>1. Courses/masterclasses</t>
        </is>
      </c>
      <c r="D540" s="1260" t="inlineStr">
        <is>
          <t>PayPal</t>
        </is>
      </c>
      <c r="E540" s="1409" t="n">
        <v>275</v>
      </c>
      <c r="F540" s="1260" t="inlineStr">
        <is>
          <t>4wk Extended Course</t>
        </is>
      </c>
      <c r="G540" s="1260" t="inlineStr">
        <is>
          <t>Other</t>
        </is>
      </c>
    </row>
    <row r="541" ht="13.5" customHeight="1" s="1232">
      <c r="A541" s="1393" t="n">
        <v>43150</v>
      </c>
      <c r="B541" s="1260" t="inlineStr">
        <is>
          <t>Jane Sahaslan</t>
        </is>
      </c>
      <c r="C541" s="1255" t="inlineStr">
        <is>
          <t>2. Workshops</t>
        </is>
      </c>
      <c r="D541" s="1260" t="inlineStr">
        <is>
          <t>Stripe</t>
        </is>
      </c>
      <c r="E541" s="1409" t="n">
        <v>59</v>
      </c>
      <c r="F541" s="1260" t="inlineStr">
        <is>
          <t>Batsford Calendar</t>
        </is>
      </c>
      <c r="G541" s="1260" t="inlineStr">
        <is>
          <t>Batsford</t>
        </is>
      </c>
    </row>
    <row r="542" ht="13.5" customHeight="1" s="1232">
      <c r="A542" s="1393" t="n">
        <v>43147</v>
      </c>
      <c r="B542" s="1260" t="inlineStr">
        <is>
          <t>Robert Smith</t>
        </is>
      </c>
      <c r="C542" s="1255" t="inlineStr">
        <is>
          <t>6. 1-2-1</t>
        </is>
      </c>
      <c r="D542" s="1260" t="inlineStr">
        <is>
          <t>Stripe</t>
        </is>
      </c>
      <c r="E542" s="1409" t="n">
        <v>120</v>
      </c>
      <c r="F542" s="1260" t="inlineStr">
        <is>
          <t>1-21- Tuition</t>
        </is>
      </c>
      <c r="G542" s="1260" t="inlineStr">
        <is>
          <t>Existing</t>
        </is>
      </c>
    </row>
    <row r="543" ht="13.5" customHeight="1" s="1232">
      <c r="A543" s="1393" t="n">
        <v>43147</v>
      </c>
      <c r="B543" s="1260" t="inlineStr">
        <is>
          <t>Karen Gant</t>
        </is>
      </c>
      <c r="C543" s="1255" t="inlineStr">
        <is>
          <t>2. Workshops</t>
        </is>
      </c>
      <c r="D543" s="1260" t="inlineStr">
        <is>
          <t>Stripe</t>
        </is>
      </c>
      <c r="E543" s="1409" t="n">
        <v>125</v>
      </c>
      <c r="F543" s="1260" t="inlineStr">
        <is>
          <t>Bluebells</t>
        </is>
      </c>
      <c r="G543" s="1260" t="inlineStr">
        <is>
          <t>Facebook</t>
        </is>
      </c>
    </row>
    <row r="544" ht="13.5" customHeight="1" s="1232">
      <c r="A544" s="1393" t="n">
        <v>43147</v>
      </c>
      <c r="B544" s="1260" t="inlineStr">
        <is>
          <t>Mavis Tingay</t>
        </is>
      </c>
      <c r="C544" s="1255" t="inlineStr">
        <is>
          <t>1. Courses/masterclasses</t>
        </is>
      </c>
      <c r="D544" s="1260" t="inlineStr">
        <is>
          <t>Stripe</t>
        </is>
      </c>
      <c r="E544" s="1409" t="n">
        <v>275</v>
      </c>
      <c r="F544" s="1260" t="inlineStr">
        <is>
          <t>5wk Course</t>
        </is>
      </c>
      <c r="G544" s="1260" t="inlineStr">
        <is>
          <t>Google</t>
        </is>
      </c>
    </row>
    <row r="545" ht="13.5" customHeight="1" s="1232">
      <c r="A545" s="1393" t="n">
        <v>43146</v>
      </c>
      <c r="B545" s="1260" t="inlineStr">
        <is>
          <t>Helen Finch</t>
        </is>
      </c>
      <c r="C545" s="1255" t="inlineStr">
        <is>
          <t>1. Courses/masterclasses</t>
        </is>
      </c>
      <c r="D545" s="1260" t="inlineStr">
        <is>
          <t>Bank</t>
        </is>
      </c>
      <c r="E545" s="1409" t="n">
        <v>300</v>
      </c>
      <c r="F545" s="1260" t="inlineStr">
        <is>
          <t>LR Course</t>
        </is>
      </c>
      <c r="G545" s="1260" t="inlineStr">
        <is>
          <t>Existing</t>
        </is>
      </c>
    </row>
    <row r="546" ht="13.5" customHeight="1" s="1232">
      <c r="A546" s="1393" t="n">
        <v>43146</v>
      </c>
      <c r="B546" s="1260" t="inlineStr">
        <is>
          <t>Jackie Rosin</t>
        </is>
      </c>
      <c r="C546" s="1255" t="inlineStr">
        <is>
          <t>1. Courses/masterclasses</t>
        </is>
      </c>
      <c r="D546" s="1260" t="inlineStr">
        <is>
          <t>Stripe</t>
        </is>
      </c>
      <c r="E546" s="1409" t="n">
        <v>395</v>
      </c>
      <c r="F546" s="1260" t="inlineStr">
        <is>
          <t>RPS Course</t>
        </is>
      </c>
      <c r="G546" s="1260" t="inlineStr">
        <is>
          <t>Existing</t>
        </is>
      </c>
    </row>
    <row r="547" ht="13.5" customHeight="1" s="1232">
      <c r="A547" s="1393" t="n">
        <v>43146</v>
      </c>
      <c r="B547" s="1260" t="inlineStr">
        <is>
          <t>Frederick Stubbs</t>
        </is>
      </c>
      <c r="C547" s="1255" t="inlineStr">
        <is>
          <t>7. Other</t>
        </is>
      </c>
      <c r="D547" s="1260" t="inlineStr">
        <is>
          <t>PayPal</t>
        </is>
      </c>
      <c r="E547" s="1409" t="n">
        <v>9.4</v>
      </c>
      <c r="F547" s="1260" t="inlineStr">
        <is>
          <t>Pocket Guides</t>
        </is>
      </c>
      <c r="G547" s="1260" t="inlineStr">
        <is>
          <t>Existing</t>
        </is>
      </c>
    </row>
    <row r="548" ht="13.5" customHeight="1" s="1232">
      <c r="A548" s="1393" t="n">
        <v>43146</v>
      </c>
      <c r="B548" s="1260" t="inlineStr">
        <is>
          <t>Nadine Pratt</t>
        </is>
      </c>
      <c r="C548" s="1255" t="inlineStr">
        <is>
          <t>4. Pick n Mix Out</t>
        </is>
      </c>
      <c r="D548" s="1260" t="inlineStr">
        <is>
          <t>PicknMix</t>
        </is>
      </c>
      <c r="E548" s="1409" t="n">
        <v>-451</v>
      </c>
      <c r="F548" s="1260" t="inlineStr">
        <is>
          <t>Drawdown on PnM</t>
        </is>
      </c>
      <c r="G548" s="1260" t="inlineStr">
        <is>
          <t>Existing</t>
        </is>
      </c>
    </row>
    <row r="549" ht="13.5" customHeight="1" s="1232">
      <c r="A549" s="1393" t="n">
        <v>43146</v>
      </c>
      <c r="B549" s="1260" t="inlineStr">
        <is>
          <t>Nadine Pratt</t>
        </is>
      </c>
      <c r="C549" s="1255" t="inlineStr">
        <is>
          <t>1. Courses/masterclasses</t>
        </is>
      </c>
      <c r="D549" s="1260" t="inlineStr">
        <is>
          <t>PicknMix</t>
        </is>
      </c>
      <c r="E549" s="1409" t="n">
        <v>148.5</v>
      </c>
      <c r="F549" s="1260" t="inlineStr">
        <is>
          <t>LR Course</t>
        </is>
      </c>
      <c r="G549" s="1260" t="inlineStr">
        <is>
          <t>Existing</t>
        </is>
      </c>
    </row>
    <row r="550" ht="13.5" customHeight="1" s="1232">
      <c r="A550" s="1393" t="n">
        <v>43146</v>
      </c>
      <c r="B550" s="1260" t="inlineStr">
        <is>
          <t>Nadine Pratt</t>
        </is>
      </c>
      <c r="C550" s="1255" t="inlineStr">
        <is>
          <t>2. Workshops</t>
        </is>
      </c>
      <c r="D550" s="1260" t="inlineStr">
        <is>
          <t>PicknMix</t>
        </is>
      </c>
      <c r="E550" s="1409" t="n">
        <v>55</v>
      </c>
      <c r="F550" s="1260" t="inlineStr">
        <is>
          <t>Batsford SharpShooters</t>
        </is>
      </c>
      <c r="G550" s="1260" t="inlineStr">
        <is>
          <t>Existing</t>
        </is>
      </c>
    </row>
    <row r="551" ht="13.5" customHeight="1" s="1232">
      <c r="A551" s="1393" t="n">
        <v>43146</v>
      </c>
      <c r="B551" s="1260" t="inlineStr">
        <is>
          <t>Nadine Pratt</t>
        </is>
      </c>
      <c r="C551" s="1255" t="inlineStr">
        <is>
          <t>1. Courses/masterclasses</t>
        </is>
      </c>
      <c r="D551" s="1260" t="inlineStr">
        <is>
          <t>PicknMix</t>
        </is>
      </c>
      <c r="E551" s="1409" t="n">
        <v>247.5</v>
      </c>
      <c r="F551" s="1260" t="inlineStr">
        <is>
          <t>LR Course</t>
        </is>
      </c>
      <c r="G551" s="1260" t="inlineStr">
        <is>
          <t>Existing</t>
        </is>
      </c>
    </row>
    <row r="552" ht="13.5" customHeight="1" s="1232">
      <c r="A552" s="1393" t="n">
        <v>43146</v>
      </c>
      <c r="B552" s="1260" t="inlineStr">
        <is>
          <t>Nadine Pratt</t>
        </is>
      </c>
      <c r="C552" s="1255" t="inlineStr">
        <is>
          <t>3. Pick n Mix Inc</t>
        </is>
      </c>
      <c r="D552" s="1260" t="inlineStr">
        <is>
          <t>Bank</t>
        </is>
      </c>
      <c r="E552" s="1409" t="n">
        <v>46.13</v>
      </c>
      <c r="F552" s="1260" t="inlineStr">
        <is>
          <t>Plan</t>
        </is>
      </c>
      <c r="G552" s="1260" t="inlineStr">
        <is>
          <t>Existing</t>
        </is>
      </c>
    </row>
    <row r="553" ht="13.5" customHeight="1" s="1232">
      <c r="A553" s="1393" t="n">
        <v>43146</v>
      </c>
      <c r="B553" s="1260" t="inlineStr">
        <is>
          <t>Frederick Stubbs</t>
        </is>
      </c>
      <c r="C553" s="1255" t="inlineStr">
        <is>
          <t>2. Workshops</t>
        </is>
      </c>
      <c r="D553" s="1260" t="inlineStr">
        <is>
          <t>PayPal</t>
        </is>
      </c>
      <c r="E553" s="1409" t="n">
        <v>125</v>
      </c>
      <c r="F553" s="1260" t="inlineStr">
        <is>
          <t>Bluebells</t>
        </is>
      </c>
      <c r="G553" s="1260" t="inlineStr">
        <is>
          <t>Existing</t>
        </is>
      </c>
    </row>
    <row r="554" ht="13.5" customHeight="1" s="1232">
      <c r="A554" s="1393" t="n">
        <v>43146</v>
      </c>
      <c r="B554" s="1260" t="inlineStr">
        <is>
          <t>Shen Xiang</t>
        </is>
      </c>
      <c r="C554" s="1255" t="inlineStr">
        <is>
          <t>1. Courses/masterclasses</t>
        </is>
      </c>
      <c r="D554" s="1260" t="inlineStr">
        <is>
          <t>PayPal</t>
        </is>
      </c>
      <c r="E554" s="1409" t="n">
        <v>50</v>
      </c>
      <c r="F554" s="1260" t="inlineStr">
        <is>
          <t>Rebooking Fee</t>
        </is>
      </c>
      <c r="G554" s="1260" t="inlineStr">
        <is>
          <t>Existing</t>
        </is>
      </c>
    </row>
    <row r="555" ht="13.5" customHeight="1" s="1232">
      <c r="A555" s="1393" t="n">
        <v>43146</v>
      </c>
      <c r="B555" s="1260" t="inlineStr">
        <is>
          <t>Ganesh Palani - ELS</t>
        </is>
      </c>
      <c r="C555" s="1255" t="inlineStr">
        <is>
          <t>1. Courses/masterclasses</t>
        </is>
      </c>
      <c r="D555" s="1260" t="inlineStr">
        <is>
          <t>Bank</t>
        </is>
      </c>
      <c r="E555" s="1409" t="n">
        <v>75</v>
      </c>
      <c r="F555" s="1260" t="inlineStr">
        <is>
          <t>5wk Course</t>
        </is>
      </c>
      <c r="G555" s="1260" t="inlineStr">
        <is>
          <t>ELS</t>
        </is>
      </c>
    </row>
    <row r="556" ht="13.5" customHeight="1" s="1232">
      <c r="A556" s="1393" t="n">
        <v>43145</v>
      </c>
      <c r="B556" s="1260" t="inlineStr">
        <is>
          <t>Andrew D'Amico</t>
        </is>
      </c>
      <c r="C556" s="1255" t="inlineStr">
        <is>
          <t>2. Workshops</t>
        </is>
      </c>
      <c r="D556" s="1260" t="inlineStr">
        <is>
          <t>Bank</t>
        </is>
      </c>
      <c r="E556" s="1409" t="n">
        <v>50</v>
      </c>
      <c r="F556" s="1260" t="inlineStr">
        <is>
          <t>TBA</t>
        </is>
      </c>
      <c r="G556" s="1260" t="inlineStr">
        <is>
          <t>ELS</t>
        </is>
      </c>
    </row>
    <row r="557" ht="13.5" customHeight="1" s="1232">
      <c r="A557" s="1393" t="n">
        <v>43144</v>
      </c>
      <c r="B557" s="1260" t="inlineStr">
        <is>
          <t>Graham Ibbetson</t>
        </is>
      </c>
      <c r="C557" s="1255" t="inlineStr">
        <is>
          <t>2. Workshops</t>
        </is>
      </c>
      <c r="D557" s="1260" t="inlineStr">
        <is>
          <t>Stripe</t>
        </is>
      </c>
      <c r="E557" s="1409" t="n">
        <v>175</v>
      </c>
      <c r="F557" s="1260" t="inlineStr">
        <is>
          <t>Bluebells</t>
        </is>
      </c>
      <c r="G557" s="1260" t="inlineStr">
        <is>
          <t>Existing</t>
        </is>
      </c>
    </row>
    <row r="558" ht="13.5" customHeight="1" s="1232">
      <c r="A558" s="1393" t="n">
        <v>43144</v>
      </c>
      <c r="B558" s="1260" t="inlineStr">
        <is>
          <t>Sayed Nazir - ELS</t>
        </is>
      </c>
      <c r="C558" s="1255" t="inlineStr">
        <is>
          <t>1. Courses/masterclasses</t>
        </is>
      </c>
      <c r="D558" s="1260" t="inlineStr">
        <is>
          <t>Bank</t>
        </is>
      </c>
      <c r="E558" s="1409" t="n">
        <v>50</v>
      </c>
      <c r="F558" s="1260" t="inlineStr">
        <is>
          <t>LR Course</t>
        </is>
      </c>
      <c r="G558" s="1260" t="inlineStr">
        <is>
          <t>Existing</t>
        </is>
      </c>
    </row>
    <row r="559" ht="13.5" customHeight="1" s="1232">
      <c r="A559" s="1393" t="n">
        <v>43144</v>
      </c>
      <c r="B559" s="1260" t="inlineStr">
        <is>
          <t>John Stubbs</t>
        </is>
      </c>
      <c r="C559" s="1255" t="inlineStr">
        <is>
          <t>5. Mentoring</t>
        </is>
      </c>
      <c r="D559" s="1260" t="inlineStr">
        <is>
          <t>PayPal</t>
        </is>
      </c>
      <c r="E559" s="1409" t="n">
        <v>200</v>
      </c>
      <c r="F559" s="1260" t="inlineStr">
        <is>
          <t>Mentoring Subs</t>
        </is>
      </c>
      <c r="G559" s="1260" t="inlineStr">
        <is>
          <t>Google</t>
        </is>
      </c>
    </row>
    <row r="560" ht="13.5" customHeight="1" s="1232">
      <c r="A560" s="1393" t="n">
        <v>43143</v>
      </c>
      <c r="B560" s="1260" t="inlineStr">
        <is>
          <t>Aidan Broderick</t>
        </is>
      </c>
      <c r="C560" s="1255" t="inlineStr">
        <is>
          <t>1. Courses/masterclasses</t>
        </is>
      </c>
      <c r="D560" s="1260" t="inlineStr">
        <is>
          <t>Bank</t>
        </is>
      </c>
      <c r="E560" s="1409" t="n">
        <v>50</v>
      </c>
      <c r="F560" s="1260" t="inlineStr">
        <is>
          <t>LR Course</t>
        </is>
      </c>
      <c r="G560" s="1260" t="inlineStr">
        <is>
          <t>Existing</t>
        </is>
      </c>
    </row>
    <row r="561" ht="13.5" customHeight="1" s="1232">
      <c r="A561" s="1393" t="n">
        <v>43143</v>
      </c>
      <c r="B561" s="1260" t="inlineStr">
        <is>
          <t>Lucy Williams</t>
        </is>
      </c>
      <c r="C561" s="1255" t="inlineStr">
        <is>
          <t>7. Other</t>
        </is>
      </c>
      <c r="D561" s="1260" t="inlineStr">
        <is>
          <t>Stripe</t>
        </is>
      </c>
      <c r="E561" s="1409" t="n">
        <v>30</v>
      </c>
      <c r="F561" s="1260" t="inlineStr">
        <is>
          <t>Gift Voucher</t>
        </is>
      </c>
      <c r="G561" s="1260" t="inlineStr">
        <is>
          <t>Google</t>
        </is>
      </c>
    </row>
    <row r="562" ht="13.5" customHeight="1" s="1232">
      <c r="A562" s="1393" t="n">
        <v>43143</v>
      </c>
      <c r="B562" s="1260" t="inlineStr">
        <is>
          <t>laura Venn (Richard Sheath)</t>
        </is>
      </c>
      <c r="C562" s="1255" t="inlineStr">
        <is>
          <t>2. Workshops</t>
        </is>
      </c>
      <c r="D562" s="1260" t="inlineStr">
        <is>
          <t>Stripe</t>
        </is>
      </c>
      <c r="E562" s="1409" t="n">
        <v>65</v>
      </c>
      <c r="F562" s="1260" t="inlineStr">
        <is>
          <t>Batsford Clas/Walk</t>
        </is>
      </c>
      <c r="G562" s="1260" t="inlineStr">
        <is>
          <t>Google</t>
        </is>
      </c>
    </row>
    <row r="563" ht="13.5" customHeight="1" s="1232">
      <c r="A563" s="1393" t="n">
        <v>43142</v>
      </c>
      <c r="B563" s="1260" t="inlineStr">
        <is>
          <t>myriame lawley</t>
        </is>
      </c>
      <c r="C563" s="1255" t="inlineStr">
        <is>
          <t>2. Workshops</t>
        </is>
      </c>
      <c r="D563" s="1260" t="inlineStr">
        <is>
          <t>Stripe</t>
        </is>
      </c>
      <c r="E563" s="1409" t="n">
        <v>175</v>
      </c>
      <c r="F563" s="1260" t="inlineStr">
        <is>
          <t>Bluebells</t>
        </is>
      </c>
      <c r="G563" s="1260" t="inlineStr">
        <is>
          <t>Facebook</t>
        </is>
      </c>
    </row>
    <row r="564" ht="13.5" customHeight="1" s="1232">
      <c r="A564" s="1393" t="n">
        <v>43142</v>
      </c>
      <c r="B564" s="1260" t="inlineStr">
        <is>
          <t>Paul Kilford</t>
        </is>
      </c>
      <c r="C564" s="1255" t="inlineStr">
        <is>
          <t>1. Courses/masterclasses</t>
        </is>
      </c>
      <c r="D564" s="1260" t="inlineStr">
        <is>
          <t>Stripe</t>
        </is>
      </c>
      <c r="E564" s="1409" t="n">
        <v>100</v>
      </c>
      <c r="F564" s="1260" t="inlineStr">
        <is>
          <t>Lr 26th</t>
        </is>
      </c>
      <c r="G564" s="1260" t="inlineStr">
        <is>
          <t>Existing</t>
        </is>
      </c>
    </row>
    <row r="565" ht="13.5" customHeight="1" s="1232">
      <c r="A565" s="1393" t="n">
        <v>43141</v>
      </c>
      <c r="B565" s="1260" t="inlineStr">
        <is>
          <t>Oliver Price</t>
        </is>
      </c>
      <c r="C565" s="1255" t="inlineStr">
        <is>
          <t>1. Courses/masterclasses</t>
        </is>
      </c>
      <c r="D565" s="1260" t="inlineStr">
        <is>
          <t>Groupon</t>
        </is>
      </c>
      <c r="E565" s="1409" t="n">
        <v>13</v>
      </c>
      <c r="F565" s="1260" t="inlineStr">
        <is>
          <t>Intro Class</t>
        </is>
      </c>
      <c r="G565" s="1260" t="inlineStr">
        <is>
          <t>Groupon</t>
        </is>
      </c>
    </row>
    <row r="566" ht="13.5" customHeight="1" s="1232">
      <c r="A566" s="1393" t="n">
        <v>43141</v>
      </c>
      <c r="B566" s="1260" t="inlineStr">
        <is>
          <t>Diana Roberts</t>
        </is>
      </c>
      <c r="C566" s="1255" t="inlineStr">
        <is>
          <t>2. Workshops</t>
        </is>
      </c>
      <c r="D566" s="1260" t="inlineStr">
        <is>
          <t>Stripe</t>
        </is>
      </c>
      <c r="E566" s="1409" t="n">
        <v>65</v>
      </c>
      <c r="F566" s="1260" t="inlineStr">
        <is>
          <t>Batsford Clas/Walk</t>
        </is>
      </c>
      <c r="G566" s="1260" t="inlineStr">
        <is>
          <t>Existing</t>
        </is>
      </c>
    </row>
    <row r="567" ht="13.5" customHeight="1" s="1232">
      <c r="A567" s="1393" t="n">
        <v>43140</v>
      </c>
      <c r="B567" s="1260" t="inlineStr">
        <is>
          <t>Claire Harris (Duncan)</t>
        </is>
      </c>
      <c r="C567" s="1255" t="inlineStr">
        <is>
          <t>1. Courses/masterclasses</t>
        </is>
      </c>
      <c r="D567" s="1260" t="inlineStr">
        <is>
          <t>PayPal</t>
        </is>
      </c>
      <c r="E567" s="1409" t="n">
        <v>250</v>
      </c>
      <c r="F567" s="1260" t="inlineStr">
        <is>
          <t>LR Course</t>
        </is>
      </c>
      <c r="G567" s="1260" t="inlineStr">
        <is>
          <t>Existing</t>
        </is>
      </c>
    </row>
    <row r="568" ht="13.5" customHeight="1" s="1232">
      <c r="A568" s="1393" t="n">
        <v>43140</v>
      </c>
      <c r="B568" s="1260" t="inlineStr">
        <is>
          <t>Diana Roberts</t>
        </is>
      </c>
      <c r="C568" s="1255" t="inlineStr">
        <is>
          <t>5. Mentoring</t>
        </is>
      </c>
      <c r="D568" s="1260" t="inlineStr">
        <is>
          <t>PayPal</t>
        </is>
      </c>
      <c r="E568" s="1409" t="n">
        <v>20</v>
      </c>
      <c r="F568" s="1260" t="inlineStr">
        <is>
          <t>Monthly Mentoring</t>
        </is>
      </c>
      <c r="G568" s="1260" t="inlineStr">
        <is>
          <t>Existing</t>
        </is>
      </c>
    </row>
    <row r="569" ht="13.5" customHeight="1" s="1232">
      <c r="A569" s="1393" t="n">
        <v>43140</v>
      </c>
      <c r="B569" s="1260" t="inlineStr">
        <is>
          <t>Iain Williams - ELS</t>
        </is>
      </c>
      <c r="C569" s="1255" t="inlineStr">
        <is>
          <t>1. Courses/masterclasses</t>
        </is>
      </c>
      <c r="D569" s="1260" t="inlineStr">
        <is>
          <t>Bank</t>
        </is>
      </c>
      <c r="E569" s="1409" t="n">
        <v>200</v>
      </c>
      <c r="F569" s="1260" t="inlineStr">
        <is>
          <t>5wk Course</t>
        </is>
      </c>
      <c r="G569" s="1260" t="inlineStr">
        <is>
          <t>ELS</t>
        </is>
      </c>
    </row>
    <row r="570" ht="13.5" customHeight="1" s="1232">
      <c r="A570" s="1393" t="n">
        <v>43140</v>
      </c>
      <c r="B570" s="1260" t="inlineStr">
        <is>
          <t>Dan Thomas</t>
        </is>
      </c>
      <c r="C570" s="1255" t="inlineStr">
        <is>
          <t>1. Courses/masterclasses</t>
        </is>
      </c>
      <c r="D570" s="1260" t="inlineStr">
        <is>
          <t>Stripe</t>
        </is>
      </c>
      <c r="E570" s="1409" t="n">
        <v>50</v>
      </c>
      <c r="F570" s="1260" t="inlineStr">
        <is>
          <t>LR Course</t>
        </is>
      </c>
      <c r="G570" s="1260" t="inlineStr">
        <is>
          <t>Existing</t>
        </is>
      </c>
    </row>
    <row r="571" ht="13.5" customHeight="1" s="1232">
      <c r="A571" s="1393" t="n">
        <v>43139</v>
      </c>
      <c r="B571" s="1260" t="inlineStr">
        <is>
          <t>LOUISE FOSTER</t>
        </is>
      </c>
      <c r="C571" s="1255" t="inlineStr">
        <is>
          <t>1. Courses/masterclasses</t>
        </is>
      </c>
      <c r="D571" s="1260" t="inlineStr">
        <is>
          <t>Stripe</t>
        </is>
      </c>
      <c r="E571" s="1409" t="n">
        <v>275</v>
      </c>
      <c r="F571" s="1260" t="inlineStr">
        <is>
          <t>5wk Course</t>
        </is>
      </c>
      <c r="G571" s="1260" t="inlineStr">
        <is>
          <t>Google</t>
        </is>
      </c>
    </row>
    <row r="572" ht="13.5" customHeight="1" s="1232">
      <c r="A572" s="1393" t="n">
        <v>43137</v>
      </c>
      <c r="B572" s="1260" t="inlineStr">
        <is>
          <t>Tom Price</t>
        </is>
      </c>
      <c r="C572" s="1255" t="inlineStr">
        <is>
          <t>1. Courses/masterclasses</t>
        </is>
      </c>
      <c r="D572" s="1260" t="inlineStr">
        <is>
          <t>Stripe</t>
        </is>
      </c>
      <c r="E572" s="1409" t="n">
        <v>15</v>
      </c>
      <c r="F572" s="1260" t="inlineStr">
        <is>
          <t>Re-booking Fee</t>
        </is>
      </c>
      <c r="G572" s="1260" t="inlineStr">
        <is>
          <t>Google</t>
        </is>
      </c>
    </row>
    <row r="573" ht="13.5" customHeight="1" s="1232">
      <c r="A573" s="1393" t="n">
        <v>43137</v>
      </c>
      <c r="B573" s="1260" t="inlineStr">
        <is>
          <t>Duncan Harris</t>
        </is>
      </c>
      <c r="C573" s="1255" t="inlineStr">
        <is>
          <t>2. Workshops</t>
        </is>
      </c>
      <c r="D573" s="1260" t="inlineStr">
        <is>
          <t>Stripe</t>
        </is>
      </c>
      <c r="E573" s="1409" t="n">
        <v>125</v>
      </c>
      <c r="F573" s="1260" t="inlineStr">
        <is>
          <t>Bluebell Workshop</t>
        </is>
      </c>
      <c r="G573" s="1260" t="inlineStr">
        <is>
          <t>Existing</t>
        </is>
      </c>
    </row>
    <row r="574" ht="13.5" customHeight="1" s="1232">
      <c r="A574" s="1393" t="n">
        <v>43137</v>
      </c>
      <c r="B574" s="1260" t="inlineStr">
        <is>
          <t>chris woolcott</t>
        </is>
      </c>
      <c r="C574" s="1255" t="inlineStr">
        <is>
          <t>2. Workshops</t>
        </is>
      </c>
      <c r="D574" s="1260" t="inlineStr">
        <is>
          <t>PayPal</t>
        </is>
      </c>
      <c r="E574" s="1409" t="n">
        <v>125</v>
      </c>
      <c r="F574" s="1260" t="inlineStr">
        <is>
          <t>Bluebell Workshop</t>
        </is>
      </c>
      <c r="G574" s="1260" t="inlineStr">
        <is>
          <t>Facebook</t>
        </is>
      </c>
    </row>
    <row r="575" ht="13.5" customHeight="1" s="1232">
      <c r="A575" s="1393" t="n">
        <v>43137</v>
      </c>
      <c r="B575" s="1260" t="inlineStr">
        <is>
          <t>Scott Bremner - ELS</t>
        </is>
      </c>
      <c r="C575" s="1255" t="inlineStr">
        <is>
          <t>1. Courses/masterclasses</t>
        </is>
      </c>
      <c r="D575" s="1260" t="inlineStr">
        <is>
          <t>Bank</t>
        </is>
      </c>
      <c r="E575" s="1412" t="n">
        <v>200</v>
      </c>
      <c r="F575" s="1260" t="inlineStr">
        <is>
          <t>Lightroom Course</t>
        </is>
      </c>
      <c r="G575" s="1260" t="inlineStr">
        <is>
          <t>ELS</t>
        </is>
      </c>
    </row>
    <row r="576" ht="13.5" customHeight="1" s="1232">
      <c r="A576" s="1393" t="n">
        <v>43137</v>
      </c>
      <c r="B576" s="1260" t="inlineStr">
        <is>
          <t>Laura Byrne</t>
        </is>
      </c>
      <c r="C576" s="1255" t="inlineStr">
        <is>
          <t>1. Courses/masterclasses</t>
        </is>
      </c>
      <c r="D576" s="1260" t="inlineStr">
        <is>
          <t>Bank</t>
        </is>
      </c>
      <c r="E576" s="1409" t="n">
        <v>200</v>
      </c>
      <c r="F576" s="1260" t="inlineStr">
        <is>
          <t>RPS Course</t>
        </is>
      </c>
      <c r="G576" s="1260" t="inlineStr">
        <is>
          <t>Existing</t>
        </is>
      </c>
    </row>
    <row r="577" ht="13.5" customHeight="1" s="1232">
      <c r="A577" s="1393" t="n">
        <v>43137</v>
      </c>
      <c r="B577" s="1260" t="inlineStr">
        <is>
          <t>Robert Smith</t>
        </is>
      </c>
      <c r="C577" s="1255" t="inlineStr">
        <is>
          <t>1. Courses/masterclasses</t>
        </is>
      </c>
      <c r="D577" s="1260" t="inlineStr">
        <is>
          <t>Stripe</t>
        </is>
      </c>
      <c r="E577" s="1409" t="n">
        <v>395</v>
      </c>
      <c r="F577" s="1260" t="inlineStr">
        <is>
          <t>RPS Course</t>
        </is>
      </c>
      <c r="G577" s="1260" t="inlineStr">
        <is>
          <t>Existing</t>
        </is>
      </c>
    </row>
    <row r="578" ht="13.5" customHeight="1" s="1232">
      <c r="A578" s="1393" t="n">
        <v>43136</v>
      </c>
      <c r="B578" s="1260" t="inlineStr">
        <is>
          <t>Hina Solanki</t>
        </is>
      </c>
      <c r="C578" s="1255" t="inlineStr">
        <is>
          <t>1. Courses/masterclasses</t>
        </is>
      </c>
      <c r="D578" s="1260" t="inlineStr">
        <is>
          <t>Groupon</t>
        </is>
      </c>
      <c r="E578" s="1409" t="n">
        <v>13</v>
      </c>
      <c r="F578" s="1260" t="inlineStr">
        <is>
          <t>Intro Class</t>
        </is>
      </c>
      <c r="G578" s="1260" t="inlineStr">
        <is>
          <t>Groupon</t>
        </is>
      </c>
    </row>
    <row r="579" ht="13.5" customHeight="1" s="1232">
      <c r="A579" s="1393" t="n">
        <v>43136</v>
      </c>
      <c r="B579" s="1260" t="inlineStr">
        <is>
          <t>DEBORAH DONALDSON</t>
        </is>
      </c>
      <c r="C579" s="1255" t="inlineStr">
        <is>
          <t>1. Courses/masterclasses</t>
        </is>
      </c>
      <c r="D579" s="1260" t="inlineStr">
        <is>
          <t>Groupon</t>
        </is>
      </c>
      <c r="E579" s="1409" t="n">
        <v>13</v>
      </c>
      <c r="F579" s="1260" t="inlineStr">
        <is>
          <t>Intro Class</t>
        </is>
      </c>
      <c r="G579" s="1260" t="inlineStr">
        <is>
          <t>Groupon</t>
        </is>
      </c>
    </row>
    <row r="580" ht="13.5" customHeight="1" s="1232">
      <c r="A580" s="1393" t="n">
        <v>43136</v>
      </c>
      <c r="B580" s="1260" t="inlineStr">
        <is>
          <t>Melissa Dickinson - ELS</t>
        </is>
      </c>
      <c r="C580" s="1255" t="inlineStr">
        <is>
          <t>1. Courses/masterclasses</t>
        </is>
      </c>
      <c r="D580" s="1260" t="inlineStr">
        <is>
          <t>Bank</t>
        </is>
      </c>
      <c r="E580" s="1409" t="n">
        <v>75</v>
      </c>
      <c r="F580" s="1260" t="inlineStr">
        <is>
          <t>5wk Course</t>
        </is>
      </c>
      <c r="G580" s="1260" t="inlineStr">
        <is>
          <t>ELS</t>
        </is>
      </c>
    </row>
    <row r="581" ht="13.5" customHeight="1" s="1232">
      <c r="A581" s="1393" t="n">
        <v>43136</v>
      </c>
      <c r="B581" s="1260" t="inlineStr">
        <is>
          <t>David Bird</t>
        </is>
      </c>
      <c r="C581" s="1255" t="inlineStr">
        <is>
          <t>1. Courses/masterclasses</t>
        </is>
      </c>
      <c r="D581" s="1260" t="inlineStr">
        <is>
          <t>Groupon</t>
        </is>
      </c>
      <c r="E581" s="1409" t="n">
        <v>13</v>
      </c>
      <c r="F581" s="1260" t="inlineStr">
        <is>
          <t>Intro Class</t>
        </is>
      </c>
      <c r="G581" s="1260" t="inlineStr">
        <is>
          <t>Groupon</t>
        </is>
      </c>
    </row>
    <row r="582" ht="13.5" customHeight="1" s="1232">
      <c r="A582" s="1393" t="n">
        <v>43135</v>
      </c>
      <c r="B582" s="1260" t="inlineStr">
        <is>
          <t>rebecca Mower</t>
        </is>
      </c>
      <c r="C582" s="1255" t="inlineStr">
        <is>
          <t>2. Workshops</t>
        </is>
      </c>
      <c r="D582" s="1260" t="inlineStr">
        <is>
          <t>Stripe</t>
        </is>
      </c>
      <c r="E582" s="1409" t="n">
        <v>125</v>
      </c>
      <c r="F582" s="1260" t="inlineStr">
        <is>
          <t>Bluebell Workshop</t>
        </is>
      </c>
      <c r="G582" s="1260" t="inlineStr">
        <is>
          <t>Existing</t>
        </is>
      </c>
    </row>
    <row r="583" ht="13.5" customHeight="1" s="1232">
      <c r="A583" s="1393" t="n">
        <v>43135</v>
      </c>
      <c r="B583" s="1260" t="inlineStr">
        <is>
          <t>John Seely</t>
        </is>
      </c>
      <c r="C583" s="1255" t="inlineStr">
        <is>
          <t>1. Courses/masterclasses</t>
        </is>
      </c>
      <c r="D583" s="1260" t="inlineStr">
        <is>
          <t>PayPal</t>
        </is>
      </c>
      <c r="E583" s="1409" t="n">
        <v>495</v>
      </c>
      <c r="F583" s="1260" t="inlineStr">
        <is>
          <t>Intentions Course</t>
        </is>
      </c>
      <c r="G583" s="1260" t="inlineStr">
        <is>
          <t>Existing</t>
        </is>
      </c>
    </row>
    <row r="584" ht="13.5" customHeight="1" s="1232">
      <c r="A584" s="1393" t="n">
        <v>43134</v>
      </c>
      <c r="B584" s="1260" t="inlineStr">
        <is>
          <t>Philipa Gunn</t>
        </is>
      </c>
      <c r="C584" s="1255" t="inlineStr">
        <is>
          <t>5. Mentoring</t>
        </is>
      </c>
      <c r="D584" s="1260" t="inlineStr">
        <is>
          <t>PayPal</t>
        </is>
      </c>
      <c r="E584" s="1409" t="n">
        <v>20</v>
      </c>
      <c r="F584" s="1260" t="inlineStr">
        <is>
          <t>Mentoring Subs</t>
        </is>
      </c>
      <c r="G584" s="1260" t="inlineStr">
        <is>
          <t>Existing</t>
        </is>
      </c>
    </row>
    <row r="585" ht="13.5" customHeight="1" s="1232">
      <c r="A585" s="1393" t="n">
        <v>43133</v>
      </c>
      <c r="B585" s="1260" t="inlineStr">
        <is>
          <t>Artfinder</t>
        </is>
      </c>
      <c r="C585" s="1255" t="inlineStr">
        <is>
          <t>7. Other</t>
        </is>
      </c>
      <c r="D585" s="1260" t="inlineStr">
        <is>
          <t>Bank</t>
        </is>
      </c>
      <c r="E585" s="1409" t="n">
        <v>138.34</v>
      </c>
      <c r="F585" s="1260" t="inlineStr">
        <is>
          <t>Print Sale</t>
        </is>
      </c>
      <c r="G585" s="1260" t="inlineStr">
        <is>
          <t>Other</t>
        </is>
      </c>
    </row>
    <row r="586" ht="13.5" customHeight="1" s="1232">
      <c r="A586" s="1393" t="n">
        <v>43132</v>
      </c>
      <c r="B586" s="1260" t="inlineStr">
        <is>
          <t>Peter Davis</t>
        </is>
      </c>
      <c r="C586" s="1255" t="inlineStr">
        <is>
          <t>2. Workshops</t>
        </is>
      </c>
      <c r="D586" s="1260" t="inlineStr">
        <is>
          <t>Stripe</t>
        </is>
      </c>
      <c r="E586" s="1409" t="n">
        <v>9</v>
      </c>
      <c r="F586" s="1260" t="inlineStr">
        <is>
          <t>Batsford Calendar</t>
        </is>
      </c>
      <c r="G586" s="1260" t="inlineStr">
        <is>
          <t>Batsford</t>
        </is>
      </c>
    </row>
    <row r="587" ht="13.5" customHeight="1" s="1232">
      <c r="A587" s="1393" t="n">
        <v>43132</v>
      </c>
      <c r="B587" s="1260" t="inlineStr">
        <is>
          <t>John Seely</t>
        </is>
      </c>
      <c r="C587" s="1255" t="inlineStr">
        <is>
          <t>6. 1-2-1</t>
        </is>
      </c>
      <c r="D587" s="1260" t="inlineStr">
        <is>
          <t>PayPal</t>
        </is>
      </c>
      <c r="E587" s="1409" t="n">
        <v>65</v>
      </c>
      <c r="F587" s="1260" t="inlineStr">
        <is>
          <t>Image Review</t>
        </is>
      </c>
      <c r="G587" s="1260" t="inlineStr">
        <is>
          <t>Batsford</t>
        </is>
      </c>
    </row>
    <row r="588" ht="13.5" customHeight="1" s="1232">
      <c r="A588" s="1393" t="n">
        <v>43132</v>
      </c>
      <c r="B588" s="1260" t="inlineStr">
        <is>
          <t>Janie Chapman</t>
        </is>
      </c>
      <c r="C588" s="1255" t="inlineStr">
        <is>
          <t>2. Workshops</t>
        </is>
      </c>
      <c r="D588" s="1260" t="inlineStr">
        <is>
          <t>Stripe</t>
        </is>
      </c>
      <c r="E588" s="1409" t="n">
        <v>59</v>
      </c>
      <c r="F588" s="1260" t="inlineStr">
        <is>
          <t>Batsford Calendar</t>
        </is>
      </c>
      <c r="G588" s="1260" t="inlineStr">
        <is>
          <t>Existing</t>
        </is>
      </c>
    </row>
    <row r="589" ht="13.5" customHeight="1" s="1232">
      <c r="A589" s="1393" t="n">
        <v>43132</v>
      </c>
      <c r="B589" s="1260" t="inlineStr">
        <is>
          <t>Paul Kirby</t>
        </is>
      </c>
      <c r="C589" s="1255" t="inlineStr">
        <is>
          <t>1. Courses/masterclasses</t>
        </is>
      </c>
      <c r="D589" s="1260" t="inlineStr">
        <is>
          <t>Stripe</t>
        </is>
      </c>
      <c r="E589" s="1409" t="n">
        <v>395</v>
      </c>
      <c r="F589" s="1260" t="inlineStr">
        <is>
          <t>RPS Course</t>
        </is>
      </c>
      <c r="G589" s="1260" t="inlineStr">
        <is>
          <t>Existing</t>
        </is>
      </c>
    </row>
    <row r="590" ht="13.5" customHeight="1" s="1232">
      <c r="A590" s="1393" t="n">
        <v>43132</v>
      </c>
      <c r="B590" s="1260" t="inlineStr">
        <is>
          <t>Janet Boulter</t>
        </is>
      </c>
      <c r="C590" s="1255" t="inlineStr">
        <is>
          <t>1. Courses/masterclasses</t>
        </is>
      </c>
      <c r="D590" s="1260" t="inlineStr">
        <is>
          <t>Stripe</t>
        </is>
      </c>
      <c r="E590" s="1409" t="n">
        <v>395</v>
      </c>
      <c r="F590" s="1260" t="inlineStr">
        <is>
          <t>RPS Course</t>
        </is>
      </c>
      <c r="G590" s="1260" t="inlineStr">
        <is>
          <t>Existing</t>
        </is>
      </c>
    </row>
    <row r="591" ht="13.5" customHeight="1" s="1232">
      <c r="A591" s="1393" t="n">
        <v>43132</v>
      </c>
      <c r="B591" s="1260" t="inlineStr">
        <is>
          <t>Feb Pick N Mix</t>
        </is>
      </c>
      <c r="C591" s="1255" t="inlineStr">
        <is>
          <t>3. Pick n Mix Inc</t>
        </is>
      </c>
      <c r="D591" s="1255" t="inlineStr">
        <is>
          <t>Various</t>
        </is>
      </c>
      <c r="E591" s="1261" t="n">
        <v>441.24</v>
      </c>
      <c r="F591" s="1255" t="inlineStr">
        <is>
          <t>Pick N Mix Payments</t>
        </is>
      </c>
      <c r="G591" s="1255" t="inlineStr">
        <is>
          <t>Existing</t>
        </is>
      </c>
    </row>
    <row r="592" ht="13.5" customHeight="1" s="1232">
      <c r="A592" s="1393" t="n">
        <v>43132</v>
      </c>
      <c r="B592" s="1260" t="inlineStr">
        <is>
          <t>FebMentoring</t>
        </is>
      </c>
      <c r="C592" s="1255" t="inlineStr">
        <is>
          <t>5. Mentoring</t>
        </is>
      </c>
      <c r="D592" s="1255" t="inlineStr">
        <is>
          <t>Various</t>
        </is>
      </c>
      <c r="E592" s="1261" t="n">
        <v>40</v>
      </c>
      <c r="F592" s="1255" t="inlineStr">
        <is>
          <t>Mentoring Subs</t>
        </is>
      </c>
      <c r="G592" s="1255" t="inlineStr">
        <is>
          <t>Existing</t>
        </is>
      </c>
    </row>
    <row r="594" ht="13.5" customHeight="1" s="1232">
      <c r="A594" s="1393" t="n">
        <v>43131</v>
      </c>
      <c r="B594" s="1260" t="inlineStr">
        <is>
          <t>Chris Parker</t>
        </is>
      </c>
      <c r="C594" s="1255" t="inlineStr">
        <is>
          <t>1. Courses/masterclasses</t>
        </is>
      </c>
      <c r="D594" s="1260" t="inlineStr">
        <is>
          <t>Bank</t>
        </is>
      </c>
      <c r="E594" s="1409" t="n">
        <v>395</v>
      </c>
      <c r="F594" s="1260" t="inlineStr">
        <is>
          <t>RPS Course</t>
        </is>
      </c>
      <c r="G594" s="1260" t="inlineStr">
        <is>
          <t>Existing</t>
        </is>
      </c>
    </row>
    <row r="595" ht="13.5" customHeight="1" s="1232">
      <c r="A595" s="1393" t="n">
        <v>43131</v>
      </c>
      <c r="B595" s="1260" t="inlineStr">
        <is>
          <t>Kirsten Pearce</t>
        </is>
      </c>
      <c r="C595" s="1255" t="inlineStr">
        <is>
          <t>3. Pick n Mix Inc</t>
        </is>
      </c>
      <c r="D595" s="1260" t="inlineStr">
        <is>
          <t>Bank</t>
        </is>
      </c>
      <c r="E595" s="1409" t="n">
        <v>39.5</v>
      </c>
      <c r="F595" s="1260" t="inlineStr">
        <is>
          <t>Pick N Mix Payments</t>
        </is>
      </c>
      <c r="G595" s="1260" t="inlineStr">
        <is>
          <t>Existing</t>
        </is>
      </c>
    </row>
    <row r="596" ht="13.5" customHeight="1" s="1232">
      <c r="A596" s="1393" t="n">
        <v>43131</v>
      </c>
      <c r="B596" s="1260" t="inlineStr">
        <is>
          <t>Clive Turner</t>
        </is>
      </c>
      <c r="C596" s="1255" t="inlineStr">
        <is>
          <t>1. Courses/masterclasses</t>
        </is>
      </c>
      <c r="D596" s="1260" t="inlineStr">
        <is>
          <t>Stripe</t>
        </is>
      </c>
      <c r="E596" s="1409" t="n">
        <v>395</v>
      </c>
      <c r="F596" s="1260" t="inlineStr">
        <is>
          <t>RPS Course</t>
        </is>
      </c>
      <c r="G596" s="1260" t="inlineStr">
        <is>
          <t>Existing</t>
        </is>
      </c>
    </row>
    <row r="597" ht="13.5" customHeight="1" s="1232">
      <c r="A597" s="1393" t="n">
        <v>43131</v>
      </c>
      <c r="B597" s="1260" t="inlineStr">
        <is>
          <t>Kirsten Pearce</t>
        </is>
      </c>
      <c r="C597" s="1255" t="inlineStr">
        <is>
          <t>1. Courses/masterclasses</t>
        </is>
      </c>
      <c r="D597" s="1260" t="inlineStr">
        <is>
          <t>PicknMix</t>
        </is>
      </c>
      <c r="E597" s="1409" t="n">
        <v>335.75</v>
      </c>
      <c r="F597" s="1260" t="inlineStr">
        <is>
          <t>RPS Course</t>
        </is>
      </c>
      <c r="G597" s="1260" t="inlineStr">
        <is>
          <t>Existing</t>
        </is>
      </c>
    </row>
    <row r="598" ht="13.5" customHeight="1" s="1232">
      <c r="A598" s="1393" t="n">
        <v>43131</v>
      </c>
      <c r="B598" s="1260" t="inlineStr">
        <is>
          <t>Kirsten Pearce</t>
        </is>
      </c>
      <c r="C598" s="1255" t="inlineStr">
        <is>
          <t>4. Pick n Mix Out</t>
        </is>
      </c>
      <c r="D598" s="1260" t="inlineStr">
        <is>
          <t>PicknMix</t>
        </is>
      </c>
      <c r="E598" s="1261" t="n">
        <v>-335.75</v>
      </c>
      <c r="F598" s="1260" t="inlineStr">
        <is>
          <t>RPS Course</t>
        </is>
      </c>
      <c r="G598" s="1260" t="inlineStr">
        <is>
          <t>Existing</t>
        </is>
      </c>
    </row>
    <row r="599" ht="13.5" customHeight="1" s="1232">
      <c r="A599" s="1393" t="n">
        <v>43131</v>
      </c>
      <c r="B599" s="1260" t="inlineStr">
        <is>
          <t>Alind Srivastava</t>
        </is>
      </c>
      <c r="C599" s="1255" t="inlineStr">
        <is>
          <t>2. Workshops</t>
        </is>
      </c>
      <c r="D599" s="1260" t="inlineStr">
        <is>
          <t>Stripe</t>
        </is>
      </c>
      <c r="E599" s="1409" t="n">
        <v>175</v>
      </c>
      <c r="F599" s="1260" t="inlineStr">
        <is>
          <t>Bluebells</t>
        </is>
      </c>
      <c r="G599" s="1260" t="inlineStr">
        <is>
          <t>Facebook</t>
        </is>
      </c>
    </row>
    <row r="600" ht="13.5" customHeight="1" s="1232">
      <c r="A600" s="1393" t="n">
        <v>43131</v>
      </c>
      <c r="B600" s="1260" t="inlineStr">
        <is>
          <t>Andrew Hodge</t>
        </is>
      </c>
      <c r="C600" s="1255" t="inlineStr">
        <is>
          <t>1. Courses/masterclasses</t>
        </is>
      </c>
      <c r="D600" s="1260" t="inlineStr">
        <is>
          <t>Stripe</t>
        </is>
      </c>
      <c r="E600" s="1409" t="n">
        <v>245</v>
      </c>
      <c r="F600" s="1260" t="inlineStr">
        <is>
          <t>4wk Extended Soli</t>
        </is>
      </c>
      <c r="G600" s="1260" t="inlineStr">
        <is>
          <t>Google</t>
        </is>
      </c>
    </row>
    <row r="601" ht="13.5" customHeight="1" s="1232">
      <c r="A601" s="1393" t="n">
        <v>43130</v>
      </c>
      <c r="B601" s="1260" t="inlineStr">
        <is>
          <t>Johanna Stansfield</t>
        </is>
      </c>
      <c r="C601" s="1255" t="inlineStr">
        <is>
          <t>7. Other</t>
        </is>
      </c>
      <c r="D601" s="1260" t="inlineStr">
        <is>
          <t>Stripe</t>
        </is>
      </c>
      <c r="E601" s="1409" t="n">
        <v>30</v>
      </c>
      <c r="F601" s="1260" t="inlineStr">
        <is>
          <t>Facebook Forum</t>
        </is>
      </c>
      <c r="G601" s="1260" t="inlineStr">
        <is>
          <t>Existing</t>
        </is>
      </c>
    </row>
    <row r="602" ht="13.5" customHeight="1" s="1232">
      <c r="A602" s="1393" t="n">
        <v>43130</v>
      </c>
      <c r="B602" s="1260" t="inlineStr">
        <is>
          <t>Tracey Jones</t>
        </is>
      </c>
      <c r="C602" s="1255" t="inlineStr">
        <is>
          <t>2. Workshops</t>
        </is>
      </c>
      <c r="D602" s="1260" t="inlineStr">
        <is>
          <t>Stripe</t>
        </is>
      </c>
      <c r="E602" s="1409" t="n">
        <v>175</v>
      </c>
      <c r="F602" s="1260" t="inlineStr">
        <is>
          <t>Suffolk</t>
        </is>
      </c>
      <c r="G602" s="1260" t="inlineStr">
        <is>
          <t>Google</t>
        </is>
      </c>
    </row>
    <row r="603" ht="13.5" customHeight="1" s="1232">
      <c r="A603" s="1393" t="n">
        <v>43130</v>
      </c>
      <c r="B603" s="1260" t="inlineStr">
        <is>
          <t>Hans Berg - ELS</t>
        </is>
      </c>
      <c r="C603" s="1255" t="inlineStr">
        <is>
          <t>1. Courses/masterclasses</t>
        </is>
      </c>
      <c r="D603" s="1260" t="inlineStr">
        <is>
          <t>Bank</t>
        </is>
      </c>
      <c r="E603" s="1412" t="n">
        <v>200</v>
      </c>
      <c r="F603" s="1260" t="inlineStr">
        <is>
          <t>5wk Course</t>
        </is>
      </c>
      <c r="G603" s="1260" t="inlineStr">
        <is>
          <t>ELS</t>
        </is>
      </c>
    </row>
    <row r="604" ht="13.5" customHeight="1" s="1232">
      <c r="A604" s="1393" t="n">
        <v>43129</v>
      </c>
      <c r="B604" s="1260" t="inlineStr">
        <is>
          <t>Matt Nuttall</t>
        </is>
      </c>
      <c r="C604" s="1255" t="inlineStr">
        <is>
          <t>7. Other</t>
        </is>
      </c>
      <c r="D604" s="1260" t="inlineStr">
        <is>
          <t>Stripe</t>
        </is>
      </c>
      <c r="E604" s="1409" t="n">
        <v>35</v>
      </c>
      <c r="F604" s="1260" t="inlineStr">
        <is>
          <t>Monitor Calibration</t>
        </is>
      </c>
      <c r="G604" s="1260" t="inlineStr">
        <is>
          <t>Google</t>
        </is>
      </c>
    </row>
    <row r="605" ht="13.5" customHeight="1" s="1232">
      <c r="A605" s="1393" t="n">
        <v>43129</v>
      </c>
      <c r="B605" s="1260" t="inlineStr">
        <is>
          <t>Matt Nuttall</t>
        </is>
      </c>
      <c r="C605" s="1255" t="inlineStr">
        <is>
          <t>6. 1-2-1</t>
        </is>
      </c>
      <c r="D605" s="1260" t="inlineStr">
        <is>
          <t>Stripe</t>
        </is>
      </c>
      <c r="E605" s="1409" t="n">
        <v>195</v>
      </c>
      <c r="F605" s="1260" t="inlineStr">
        <is>
          <t>1:2:1</t>
        </is>
      </c>
      <c r="G605" s="1260" t="inlineStr">
        <is>
          <t>Google</t>
        </is>
      </c>
    </row>
    <row r="606" ht="13.5" customHeight="1" s="1232">
      <c r="A606" s="1393" t="n">
        <v>43128</v>
      </c>
      <c r="B606" s="1260" t="inlineStr">
        <is>
          <t>Ben James</t>
        </is>
      </c>
      <c r="C606" s="1255" t="inlineStr">
        <is>
          <t>1. Courses/masterclasses</t>
        </is>
      </c>
      <c r="D606" s="1260" t="inlineStr">
        <is>
          <t>Stripe</t>
        </is>
      </c>
      <c r="E606" s="1409" t="n">
        <v>245</v>
      </c>
      <c r="F606" s="1260" t="inlineStr">
        <is>
          <t>4wk Extended Soli</t>
        </is>
      </c>
      <c r="G606" s="1260" t="inlineStr">
        <is>
          <t>Existing</t>
        </is>
      </c>
    </row>
    <row r="607" ht="13.5" customHeight="1" s="1232">
      <c r="A607" s="1393" t="n">
        <v>43126</v>
      </c>
      <c r="B607" s="1260" t="inlineStr">
        <is>
          <t>Gillian Thomas</t>
        </is>
      </c>
      <c r="C607" s="1255" t="inlineStr">
        <is>
          <t>1. Courses/masterclasses</t>
        </is>
      </c>
      <c r="D607" s="1260" t="inlineStr">
        <is>
          <t>Stripe</t>
        </is>
      </c>
      <c r="E607" s="1409" t="n">
        <v>30</v>
      </c>
      <c r="F607" s="1260" t="inlineStr">
        <is>
          <t>Intro Class</t>
        </is>
      </c>
      <c r="G607" s="1260" t="inlineStr">
        <is>
          <t>Google</t>
        </is>
      </c>
    </row>
    <row r="608" ht="13.5" customHeight="1" s="1232">
      <c r="A608" s="1393" t="n">
        <v>43127</v>
      </c>
      <c r="B608" s="1260" t="inlineStr">
        <is>
          <t>derek robbins</t>
        </is>
      </c>
      <c r="C608" s="1255" t="inlineStr">
        <is>
          <t>1. Courses/masterclasses</t>
        </is>
      </c>
      <c r="D608" s="1260" t="inlineStr">
        <is>
          <t>PayPal</t>
        </is>
      </c>
      <c r="E608" s="1409" t="n">
        <v>135</v>
      </c>
      <c r="F608" s="1260" t="inlineStr">
        <is>
          <t>3 Masterclasses</t>
        </is>
      </c>
      <c r="G608" s="1260" t="inlineStr">
        <is>
          <t>Existing</t>
        </is>
      </c>
    </row>
    <row r="609" ht="13.5" customHeight="1" s="1232">
      <c r="A609" s="1393" t="n">
        <v>43128</v>
      </c>
      <c r="B609" s="1260" t="inlineStr">
        <is>
          <t>Jill Roberts</t>
        </is>
      </c>
      <c r="C609" s="1255" t="inlineStr">
        <is>
          <t>1. Courses/masterclasses</t>
        </is>
      </c>
      <c r="D609" s="1260" t="inlineStr">
        <is>
          <t>Stripe</t>
        </is>
      </c>
      <c r="E609" s="1409" t="n">
        <v>30</v>
      </c>
      <c r="F609" s="1260" t="inlineStr">
        <is>
          <t>Intro Class</t>
        </is>
      </c>
      <c r="G609" s="1260" t="inlineStr">
        <is>
          <t>Google</t>
        </is>
      </c>
    </row>
    <row r="610" ht="13.5" customHeight="1" s="1232">
      <c r="A610" s="1393" t="n">
        <v>43125</v>
      </c>
      <c r="B610" s="1260" t="inlineStr">
        <is>
          <t>Catherine Wood</t>
        </is>
      </c>
      <c r="C610" s="1255" t="inlineStr">
        <is>
          <t>1. Courses/masterclasses</t>
        </is>
      </c>
      <c r="D610" s="1260" t="inlineStr">
        <is>
          <t>PayPal</t>
        </is>
      </c>
      <c r="E610" s="1409" t="n">
        <v>30</v>
      </c>
      <c r="F610" s="1260" t="inlineStr">
        <is>
          <t>Intro Class</t>
        </is>
      </c>
      <c r="G610" s="1260" t="inlineStr">
        <is>
          <t>Google</t>
        </is>
      </c>
    </row>
    <row r="611" ht="13.5" customHeight="1" s="1232">
      <c r="A611" s="1393" t="n">
        <v>43125</v>
      </c>
      <c r="B611" s="1260" t="inlineStr">
        <is>
          <t>Liz Yarrow</t>
        </is>
      </c>
      <c r="C611" s="1255" t="inlineStr">
        <is>
          <t>2. Workshops</t>
        </is>
      </c>
      <c r="D611" s="1260" t="inlineStr">
        <is>
          <t>Stripe</t>
        </is>
      </c>
      <c r="E611" s="1409" t="n">
        <v>125</v>
      </c>
      <c r="F611" s="1260" t="inlineStr">
        <is>
          <t>Bluebells</t>
        </is>
      </c>
      <c r="G611" s="1260" t="inlineStr">
        <is>
          <t>Google</t>
        </is>
      </c>
    </row>
    <row r="612" ht="13.5" customHeight="1" s="1232">
      <c r="A612" s="1393" t="n">
        <v>43124</v>
      </c>
      <c r="B612" s="1260" t="inlineStr">
        <is>
          <t>Jean Dance</t>
        </is>
      </c>
      <c r="C612" s="1255" t="inlineStr">
        <is>
          <t>6. 1-2-1</t>
        </is>
      </c>
      <c r="D612" s="1260" t="inlineStr">
        <is>
          <t>Stripe</t>
        </is>
      </c>
      <c r="E612" s="1409" t="n">
        <v>65</v>
      </c>
      <c r="F612" s="1260" t="inlineStr">
        <is>
          <t>1:2:1</t>
        </is>
      </c>
      <c r="G612" s="1260" t="inlineStr">
        <is>
          <t>Existing</t>
        </is>
      </c>
    </row>
    <row r="613" ht="13.5" customHeight="1" s="1232">
      <c r="A613" s="1393" t="n">
        <v>43122</v>
      </c>
      <c r="B613" s="1260" t="inlineStr">
        <is>
          <t>Penny Tebbit</t>
        </is>
      </c>
      <c r="C613" s="1255" t="inlineStr">
        <is>
          <t>1. Courses/masterclasses</t>
        </is>
      </c>
      <c r="D613" s="1260" t="inlineStr">
        <is>
          <t>Groupon</t>
        </is>
      </c>
      <c r="E613" s="1409" t="n">
        <v>13</v>
      </c>
      <c r="F613" s="1260" t="inlineStr">
        <is>
          <t>Intro Class</t>
        </is>
      </c>
      <c r="G613" s="1260" t="inlineStr">
        <is>
          <t>Groupon</t>
        </is>
      </c>
    </row>
    <row r="614" ht="13.5" customHeight="1" s="1232">
      <c r="A614" s="1393" t="n">
        <v>43122</v>
      </c>
      <c r="B614" s="1260" t="inlineStr">
        <is>
          <t>Andrew Hodge</t>
        </is>
      </c>
      <c r="C614" s="1255" t="inlineStr">
        <is>
          <t>1. Courses/masterclasses</t>
        </is>
      </c>
      <c r="D614" s="1260" t="inlineStr">
        <is>
          <t>Stripe</t>
        </is>
      </c>
      <c r="E614" s="1409" t="n">
        <v>30</v>
      </c>
      <c r="F614" s="1260" t="inlineStr">
        <is>
          <t>Intro Class</t>
        </is>
      </c>
      <c r="G614" s="1260" t="inlineStr">
        <is>
          <t>Google</t>
        </is>
      </c>
    </row>
    <row r="615" ht="13.5" customHeight="1" s="1232">
      <c r="A615" s="1393" t="n">
        <v>43118</v>
      </c>
      <c r="B615" s="1260" t="inlineStr">
        <is>
          <t>Jodie Child - ELS</t>
        </is>
      </c>
      <c r="C615" s="1255" t="inlineStr">
        <is>
          <t>1. Courses/masterclasses</t>
        </is>
      </c>
      <c r="D615" s="1260" t="inlineStr">
        <is>
          <t>Bank</t>
        </is>
      </c>
      <c r="E615" s="1409" t="n">
        <v>200</v>
      </c>
      <c r="F615" s="1260" t="inlineStr">
        <is>
          <t>5wk Course</t>
        </is>
      </c>
      <c r="G615" s="1260" t="inlineStr">
        <is>
          <t>ELS</t>
        </is>
      </c>
    </row>
    <row r="616" ht="13.5" customHeight="1" s="1232">
      <c r="A616" s="1393" t="n">
        <v>43118</v>
      </c>
      <c r="B616" s="1260" t="inlineStr">
        <is>
          <t>Sayed Nazir - ELS</t>
        </is>
      </c>
      <c r="C616" s="1255" t="inlineStr">
        <is>
          <t>1. Courses/masterclasses</t>
        </is>
      </c>
      <c r="D616" s="1260" t="inlineStr">
        <is>
          <t>Bank</t>
        </is>
      </c>
      <c r="E616" s="1409" t="n">
        <v>200</v>
      </c>
      <c r="F616" s="1260" t="inlineStr">
        <is>
          <t>5wk Course</t>
        </is>
      </c>
      <c r="G616" s="1260" t="inlineStr">
        <is>
          <t>ELS</t>
        </is>
      </c>
    </row>
    <row r="617" ht="13.5" customHeight="1" s="1232">
      <c r="A617" s="1393" t="n">
        <v>43118</v>
      </c>
      <c r="B617" s="1260" t="inlineStr">
        <is>
          <t>Philip Webster -ELS</t>
        </is>
      </c>
      <c r="C617" s="1255" t="inlineStr">
        <is>
          <t>6. 1-2-1</t>
        </is>
      </c>
      <c r="D617" s="1260" t="inlineStr">
        <is>
          <t>Bank</t>
        </is>
      </c>
      <c r="E617" s="1409" t="n">
        <v>200</v>
      </c>
      <c r="F617" s="1260" t="inlineStr">
        <is>
          <t>1:2:1</t>
        </is>
      </c>
      <c r="G617" s="1260" t="inlineStr">
        <is>
          <t>ELS</t>
        </is>
      </c>
    </row>
    <row r="618" ht="13.5" customHeight="1" s="1232">
      <c r="A618" s="1393" t="n">
        <v>43118</v>
      </c>
      <c r="B618" s="1260" t="inlineStr">
        <is>
          <t>James Braithwaite ELS</t>
        </is>
      </c>
      <c r="C618" s="1255" t="inlineStr">
        <is>
          <t>2. Workshops</t>
        </is>
      </c>
      <c r="D618" s="1260" t="inlineStr">
        <is>
          <t>Bank</t>
        </is>
      </c>
      <c r="E618" s="1409" t="n">
        <v>150</v>
      </c>
      <c r="F618" s="1260" t="inlineStr">
        <is>
          <t>Hartland - Jan 2018</t>
        </is>
      </c>
      <c r="G618" s="1260" t="inlineStr">
        <is>
          <t>ELS</t>
        </is>
      </c>
    </row>
    <row r="619" ht="13.5" customHeight="1" s="1232">
      <c r="A619" s="1393" t="n">
        <v>43118</v>
      </c>
      <c r="B619" s="1260" t="inlineStr">
        <is>
          <t>Amundep Hothi - ELS</t>
        </is>
      </c>
      <c r="C619" s="1255" t="inlineStr">
        <is>
          <t>1. Courses/masterclasses</t>
        </is>
      </c>
      <c r="D619" s="1260" t="inlineStr">
        <is>
          <t>Bank</t>
        </is>
      </c>
      <c r="E619" s="1409" t="n">
        <v>200</v>
      </c>
      <c r="F619" s="1260" t="inlineStr">
        <is>
          <t>5wk Course</t>
        </is>
      </c>
      <c r="G619" s="1260" t="inlineStr">
        <is>
          <t>ELS</t>
        </is>
      </c>
    </row>
    <row r="620" ht="13.5" customHeight="1" s="1232">
      <c r="A620" s="1393" t="n">
        <v>43118</v>
      </c>
      <c r="B620" s="1260" t="inlineStr">
        <is>
          <t>Preetha Luther - ELS</t>
        </is>
      </c>
      <c r="C620" s="1255" t="inlineStr">
        <is>
          <t>1. Courses/masterclasses</t>
        </is>
      </c>
      <c r="D620" s="1260" t="inlineStr">
        <is>
          <t>Bank</t>
        </is>
      </c>
      <c r="E620" s="1409" t="n">
        <v>200</v>
      </c>
      <c r="F620" s="1260" t="inlineStr">
        <is>
          <t>5wk Course</t>
        </is>
      </c>
      <c r="G620" s="1260" t="inlineStr">
        <is>
          <t>ELS</t>
        </is>
      </c>
    </row>
    <row r="621" ht="13.5" customHeight="1" s="1232">
      <c r="A621" s="1393" t="n">
        <v>43117</v>
      </c>
      <c r="B621" s="1260" t="inlineStr">
        <is>
          <t>m Adamson</t>
        </is>
      </c>
      <c r="C621" s="1255" t="inlineStr">
        <is>
          <t>2. Workshops</t>
        </is>
      </c>
      <c r="D621" s="1260" t="inlineStr">
        <is>
          <t>Stripe</t>
        </is>
      </c>
      <c r="E621" s="1409" t="n">
        <v>59</v>
      </c>
      <c r="F621" s="1260" t="inlineStr">
        <is>
          <t>Batsford</t>
        </is>
      </c>
      <c r="G621" s="1260" t="inlineStr">
        <is>
          <t>Batsford</t>
        </is>
      </c>
    </row>
    <row r="622" ht="13.5" customHeight="1" s="1232">
      <c r="A622" s="1393" t="n">
        <v>43117</v>
      </c>
      <c r="B622" s="1260" t="inlineStr">
        <is>
          <t>Craig Drinnan</t>
        </is>
      </c>
      <c r="C622" s="1255" t="inlineStr">
        <is>
          <t>1. Courses/masterclasses</t>
        </is>
      </c>
      <c r="D622" s="1260" t="inlineStr">
        <is>
          <t>PayPal</t>
        </is>
      </c>
      <c r="E622" s="1409" t="n">
        <v>30</v>
      </c>
      <c r="F622" s="1260" t="inlineStr">
        <is>
          <t>Intro Class</t>
        </is>
      </c>
      <c r="G622" s="1260" t="inlineStr">
        <is>
          <t>Google</t>
        </is>
      </c>
    </row>
    <row r="623" ht="13.5" customHeight="1" s="1232">
      <c r="A623" s="1393" t="n">
        <v>43117</v>
      </c>
      <c r="B623" s="1260" t="inlineStr">
        <is>
          <t>TINA JACKSON</t>
        </is>
      </c>
      <c r="C623" s="1255" t="inlineStr">
        <is>
          <t>7. Other</t>
        </is>
      </c>
      <c r="D623" s="1260" t="inlineStr">
        <is>
          <t>Stripe</t>
        </is>
      </c>
      <c r="E623" s="1409" t="n">
        <v>0.9</v>
      </c>
      <c r="F623" s="1260" t="inlineStr">
        <is>
          <t>Pocket Guide Offer</t>
        </is>
      </c>
      <c r="G623" s="1260" t="inlineStr">
        <is>
          <t>Other</t>
        </is>
      </c>
    </row>
    <row r="624" ht="13.5" customHeight="1" s="1232">
      <c r="A624" s="1413" t="n">
        <v>43116</v>
      </c>
      <c r="B624" s="1260" t="inlineStr">
        <is>
          <t>Ruth Dunse</t>
        </is>
      </c>
      <c r="C624" s="1255" t="inlineStr">
        <is>
          <t>1. Courses/masterclasses</t>
        </is>
      </c>
      <c r="D624" s="1260" t="inlineStr">
        <is>
          <t>Groupon</t>
        </is>
      </c>
      <c r="E624" s="1261" t="n">
        <v>13</v>
      </c>
      <c r="F624" s="1260" t="inlineStr">
        <is>
          <t>Intro Class</t>
        </is>
      </c>
      <c r="G624" s="1260" t="inlineStr">
        <is>
          <t>Groupon</t>
        </is>
      </c>
    </row>
    <row r="625" ht="13.5" customHeight="1" s="1232">
      <c r="A625" s="1413" t="n">
        <v>43116</v>
      </c>
      <c r="B625" s="1260" t="inlineStr">
        <is>
          <t>Abigail Moffat</t>
        </is>
      </c>
      <c r="C625" s="1255" t="inlineStr">
        <is>
          <t>1. Courses/masterclasses</t>
        </is>
      </c>
      <c r="D625" s="1260" t="inlineStr">
        <is>
          <t>Groupon</t>
        </is>
      </c>
      <c r="E625" s="1261" t="n">
        <v>13</v>
      </c>
      <c r="F625" s="1260" t="inlineStr">
        <is>
          <t>Intro Class</t>
        </is>
      </c>
      <c r="G625" s="1260" t="inlineStr">
        <is>
          <t>Groupon</t>
        </is>
      </c>
    </row>
    <row r="626" ht="13.5" customHeight="1" s="1232">
      <c r="A626" s="1413" t="n">
        <v>43116</v>
      </c>
      <c r="B626" s="1260" t="inlineStr">
        <is>
          <t>Samantha Coleman</t>
        </is>
      </c>
      <c r="C626" s="1255" t="inlineStr">
        <is>
          <t>1. Courses/masterclasses</t>
        </is>
      </c>
      <c r="D626" s="1260" t="inlineStr">
        <is>
          <t>Groupon</t>
        </is>
      </c>
      <c r="E626" s="1261" t="n">
        <v>13</v>
      </c>
      <c r="F626" s="1260" t="inlineStr">
        <is>
          <t>Intro Class</t>
        </is>
      </c>
      <c r="G626" s="1260" t="inlineStr">
        <is>
          <t>Groupon</t>
        </is>
      </c>
    </row>
    <row r="627" ht="13.5" customHeight="1" s="1232">
      <c r="A627" s="1413" t="n">
        <v>43116</v>
      </c>
      <c r="B627" s="1260" t="inlineStr">
        <is>
          <t>Spencer Wragg</t>
        </is>
      </c>
      <c r="C627" s="1255" t="inlineStr">
        <is>
          <t>1. Courses/masterclasses</t>
        </is>
      </c>
      <c r="D627" s="1260" t="inlineStr">
        <is>
          <t>Groupon</t>
        </is>
      </c>
      <c r="E627" s="1261" t="n">
        <v>13</v>
      </c>
      <c r="F627" s="1260" t="inlineStr">
        <is>
          <t>Intro Class</t>
        </is>
      </c>
      <c r="G627" s="1260" t="inlineStr">
        <is>
          <t>Groupon</t>
        </is>
      </c>
    </row>
    <row r="628" ht="13.5" customHeight="1" s="1232">
      <c r="A628" s="1413" t="n">
        <v>43116</v>
      </c>
      <c r="B628" s="1255" t="inlineStr">
        <is>
          <t>Jonathan Mee - ELS</t>
        </is>
      </c>
      <c r="C628" s="1255" t="inlineStr">
        <is>
          <t>1. Courses/masterclasses</t>
        </is>
      </c>
      <c r="D628" s="1260" t="inlineStr">
        <is>
          <t>Bank</t>
        </is>
      </c>
      <c r="E628" s="1414" t="n">
        <v>135</v>
      </c>
      <c r="F628" s="1260" t="inlineStr">
        <is>
          <t>TBA</t>
        </is>
      </c>
      <c r="G628" s="1260" t="inlineStr">
        <is>
          <t>ELS</t>
        </is>
      </c>
    </row>
    <row r="629" ht="13.5" customHeight="1" s="1232">
      <c r="A629" s="1413" t="n">
        <v>43115</v>
      </c>
      <c r="B629" s="1255" t="inlineStr">
        <is>
          <t>Nicola Broderick</t>
        </is>
      </c>
      <c r="C629" s="1255" t="inlineStr">
        <is>
          <t>2. Workshops</t>
        </is>
      </c>
      <c r="D629" s="1260" t="inlineStr">
        <is>
          <t>Stripe</t>
        </is>
      </c>
      <c r="E629" s="1261" t="n">
        <v>125</v>
      </c>
      <c r="F629" s="1260" t="inlineStr">
        <is>
          <t>Bluebells</t>
        </is>
      </c>
      <c r="G629" s="1260" t="inlineStr">
        <is>
          <t>Other</t>
        </is>
      </c>
    </row>
    <row r="630" ht="13.5" customHeight="1" s="1232">
      <c r="A630" s="1413" t="n">
        <v>43115</v>
      </c>
      <c r="B630" s="1255" t="inlineStr">
        <is>
          <t>Nicola Broderick</t>
        </is>
      </c>
      <c r="C630" s="1255" t="inlineStr">
        <is>
          <t>2. Workshops</t>
        </is>
      </c>
      <c r="D630" s="1260" t="inlineStr">
        <is>
          <t>Stripe</t>
        </is>
      </c>
      <c r="E630" s="1261" t="n">
        <v>125</v>
      </c>
      <c r="F630" s="1260" t="inlineStr">
        <is>
          <t>Bluebells</t>
        </is>
      </c>
      <c r="G630" s="1260" t="inlineStr">
        <is>
          <t>Other</t>
        </is>
      </c>
    </row>
    <row r="631" ht="13.5" customHeight="1" s="1232">
      <c r="A631" s="1413" t="n">
        <v>43115</v>
      </c>
      <c r="B631" s="1255" t="inlineStr">
        <is>
          <t>Nicola Broderick</t>
        </is>
      </c>
      <c r="C631" s="1255" t="inlineStr">
        <is>
          <t>2. Workshops</t>
        </is>
      </c>
      <c r="D631" s="1260" t="inlineStr">
        <is>
          <t>Stripe</t>
        </is>
      </c>
      <c r="E631" s="1261" t="n">
        <v>125</v>
      </c>
      <c r="F631" s="1260" t="inlineStr">
        <is>
          <t>Bluebells</t>
        </is>
      </c>
      <c r="G631" s="1260" t="inlineStr">
        <is>
          <t>Other</t>
        </is>
      </c>
    </row>
    <row r="632" ht="13.5" customHeight="1" s="1232">
      <c r="A632" s="1413" t="n">
        <v>43115</v>
      </c>
      <c r="B632" s="1255" t="inlineStr">
        <is>
          <t>Nicola Broderick</t>
        </is>
      </c>
      <c r="C632" s="1255" t="inlineStr">
        <is>
          <t>2. Workshops</t>
        </is>
      </c>
      <c r="D632" s="1260" t="inlineStr">
        <is>
          <t>Stripe</t>
        </is>
      </c>
      <c r="E632" s="1261" t="n">
        <v>125</v>
      </c>
      <c r="F632" s="1260" t="inlineStr">
        <is>
          <t>Bluebells</t>
        </is>
      </c>
      <c r="G632" s="1260" t="inlineStr">
        <is>
          <t>Existing</t>
        </is>
      </c>
    </row>
    <row r="633" ht="13.5" customHeight="1" s="1232">
      <c r="A633" s="1413" t="n">
        <v>43114</v>
      </c>
      <c r="B633" s="1260" t="inlineStr">
        <is>
          <t>Roger Neal</t>
        </is>
      </c>
      <c r="C633" s="1255" t="inlineStr">
        <is>
          <t>2. Workshops</t>
        </is>
      </c>
      <c r="D633" s="1260" t="inlineStr">
        <is>
          <t>Stripe</t>
        </is>
      </c>
      <c r="E633" s="1261" t="n">
        <v>75</v>
      </c>
      <c r="F633" s="1260" t="inlineStr">
        <is>
          <t>Chetserton</t>
        </is>
      </c>
      <c r="G633" s="1260" t="inlineStr">
        <is>
          <t>Existing</t>
        </is>
      </c>
    </row>
    <row r="634" ht="13.5" customHeight="1" s="1232">
      <c r="A634" s="1413" t="n">
        <v>43112</v>
      </c>
      <c r="B634" s="1255" t="inlineStr">
        <is>
          <t>Mrs J Longthorn</t>
        </is>
      </c>
      <c r="C634" s="1255" t="inlineStr">
        <is>
          <t>2. Workshops</t>
        </is>
      </c>
      <c r="D634" s="1260" t="inlineStr">
        <is>
          <t>Stripe</t>
        </is>
      </c>
      <c r="E634" s="1261" t="n">
        <v>175</v>
      </c>
      <c r="F634" s="1260" t="inlineStr">
        <is>
          <t>Bluebells</t>
        </is>
      </c>
      <c r="G634" s="1260" t="inlineStr">
        <is>
          <t>Existing</t>
        </is>
      </c>
    </row>
    <row r="635" ht="13.5" customHeight="1" s="1232">
      <c r="A635" s="1413" t="n">
        <v>43112</v>
      </c>
      <c r="B635" s="1255" t="inlineStr">
        <is>
          <t>Carol Osborne</t>
        </is>
      </c>
      <c r="C635" s="1255" t="inlineStr">
        <is>
          <t>1. Courses/masterclasses</t>
        </is>
      </c>
      <c r="D635" s="1260" t="inlineStr">
        <is>
          <t>Stripe</t>
        </is>
      </c>
      <c r="E635" s="1261" t="n">
        <v>80</v>
      </c>
      <c r="F635" s="1260" t="inlineStr">
        <is>
          <t>Age UK Course</t>
        </is>
      </c>
      <c r="G635" s="1260" t="inlineStr">
        <is>
          <t>Other</t>
        </is>
      </c>
    </row>
    <row r="636" ht="13.5" customHeight="1" s="1232">
      <c r="A636" s="1413" t="n">
        <v>43112</v>
      </c>
      <c r="B636" s="1255" t="inlineStr">
        <is>
          <t>Iain Williams - ELS</t>
        </is>
      </c>
      <c r="C636" s="1255" t="inlineStr">
        <is>
          <t>1. Courses/masterclasses</t>
        </is>
      </c>
      <c r="D636" s="1260" t="inlineStr">
        <is>
          <t>Bank</t>
        </is>
      </c>
      <c r="E636" s="1261" t="n">
        <v>75</v>
      </c>
      <c r="F636" s="1260" t="inlineStr">
        <is>
          <t>5wk Course</t>
        </is>
      </c>
      <c r="G636" s="1260" t="inlineStr">
        <is>
          <t>ELS</t>
        </is>
      </c>
    </row>
    <row r="637" ht="13.5" customHeight="1" s="1232">
      <c r="A637" s="1413" t="n">
        <v>43112</v>
      </c>
      <c r="B637" s="1255" t="inlineStr">
        <is>
          <t>Jacki Rosin</t>
        </is>
      </c>
      <c r="C637" s="1255" t="inlineStr">
        <is>
          <t>1. Courses/masterclasses</t>
        </is>
      </c>
      <c r="D637" s="1260" t="inlineStr">
        <is>
          <t>Stripe</t>
        </is>
      </c>
      <c r="E637" s="1261" t="n">
        <v>50</v>
      </c>
      <c r="F637" s="1260" t="inlineStr">
        <is>
          <t>Creative Edting</t>
        </is>
      </c>
      <c r="G637" s="1260" t="inlineStr">
        <is>
          <t>Existing</t>
        </is>
      </c>
    </row>
    <row r="638" ht="13.5" customHeight="1" s="1232">
      <c r="A638" s="1413" t="n">
        <v>43112</v>
      </c>
      <c r="B638" s="1255" t="inlineStr">
        <is>
          <t>Mrs J Longthorn</t>
        </is>
      </c>
      <c r="C638" s="1255" t="inlineStr">
        <is>
          <t>1. Courses/masterclasses</t>
        </is>
      </c>
      <c r="D638" s="1260" t="inlineStr">
        <is>
          <t>Stripe</t>
        </is>
      </c>
      <c r="E638" s="1261" t="n">
        <v>50</v>
      </c>
      <c r="F638" s="1260" t="inlineStr">
        <is>
          <t>Creative Edting</t>
        </is>
      </c>
      <c r="G638" s="1260" t="inlineStr">
        <is>
          <t>Existing</t>
        </is>
      </c>
    </row>
    <row r="639" ht="13.5" customHeight="1" s="1232">
      <c r="A639" s="1413" t="n">
        <v>43110</v>
      </c>
      <c r="B639" s="1255" t="inlineStr">
        <is>
          <t>Joyce James</t>
        </is>
      </c>
      <c r="C639" s="1255" t="inlineStr">
        <is>
          <t>1. Courses/masterclasses</t>
        </is>
      </c>
      <c r="D639" s="1260" t="inlineStr">
        <is>
          <t>Stripe</t>
        </is>
      </c>
      <c r="E639" s="1261" t="n">
        <v>135</v>
      </c>
      <c r="F639" s="1260" t="inlineStr">
        <is>
          <t>Masterclasses x 3</t>
        </is>
      </c>
      <c r="G639" s="1260" t="inlineStr">
        <is>
          <t>Existing</t>
        </is>
      </c>
    </row>
    <row r="640" ht="13.5" customHeight="1" s="1232">
      <c r="A640" s="1413" t="n">
        <v>43109</v>
      </c>
      <c r="B640" s="1255" t="inlineStr">
        <is>
          <t>marcela Griffiths</t>
        </is>
      </c>
      <c r="C640" s="1255" t="inlineStr">
        <is>
          <t>1. Courses/masterclasses</t>
        </is>
      </c>
      <c r="D640" s="1260" t="inlineStr">
        <is>
          <t>Stripe</t>
        </is>
      </c>
      <c r="E640" s="1261" t="n">
        <v>15</v>
      </c>
      <c r="F640" s="1260" t="inlineStr">
        <is>
          <t>Macro Masterclass</t>
        </is>
      </c>
      <c r="G640" s="1260" t="inlineStr">
        <is>
          <t>Existing</t>
        </is>
      </c>
    </row>
    <row r="641" ht="13.5" customHeight="1" s="1232">
      <c r="A641" s="1413" t="n">
        <v>43109</v>
      </c>
      <c r="B641" s="1255" t="inlineStr">
        <is>
          <t>Harriet Bowley</t>
        </is>
      </c>
      <c r="C641" s="1255" t="inlineStr">
        <is>
          <t>1. Courses/masterclasses</t>
        </is>
      </c>
      <c r="D641" s="1260" t="inlineStr">
        <is>
          <t>PayPal</t>
        </is>
      </c>
      <c r="E641" s="1261" t="n">
        <v>50</v>
      </c>
      <c r="F641" s="1260" t="inlineStr">
        <is>
          <t>Macro Masterclass</t>
        </is>
      </c>
      <c r="G641" s="1260" t="inlineStr">
        <is>
          <t>Existing</t>
        </is>
      </c>
    </row>
    <row r="642" ht="13.5" customHeight="1" s="1232">
      <c r="A642" s="1413" t="n">
        <v>43108</v>
      </c>
      <c r="B642" s="1260" t="inlineStr">
        <is>
          <t>Angel Cave</t>
        </is>
      </c>
      <c r="C642" s="1255" t="inlineStr">
        <is>
          <t>1. Courses/masterclasses</t>
        </is>
      </c>
      <c r="D642" s="1260" t="inlineStr">
        <is>
          <t>Groupon</t>
        </is>
      </c>
      <c r="E642" s="1261" t="n">
        <v>13</v>
      </c>
      <c r="F642" s="1260" t="inlineStr">
        <is>
          <t>Intro Class</t>
        </is>
      </c>
      <c r="G642" s="1260" t="inlineStr">
        <is>
          <t>Groupon</t>
        </is>
      </c>
    </row>
    <row r="643" ht="13.5" customHeight="1" s="1232">
      <c r="A643" s="1413" t="n">
        <v>43108</v>
      </c>
      <c r="B643" s="1255" t="inlineStr">
        <is>
          <t>Johanna Stansfield</t>
        </is>
      </c>
      <c r="C643" s="1255" t="inlineStr">
        <is>
          <t>2. Workshops</t>
        </is>
      </c>
      <c r="D643" s="1260" t="inlineStr">
        <is>
          <t>Stripe</t>
        </is>
      </c>
      <c r="E643" s="1261" t="n">
        <v>726.8</v>
      </c>
      <c r="F643" s="1260" t="inlineStr">
        <is>
          <t>Suffolk</t>
        </is>
      </c>
      <c r="G643" s="1260" t="inlineStr">
        <is>
          <t>Existing</t>
        </is>
      </c>
    </row>
    <row r="644" ht="13.5" customHeight="1" s="1232">
      <c r="A644" s="1413" t="n">
        <v>43108</v>
      </c>
      <c r="B644" s="1255" t="inlineStr">
        <is>
          <t>sharron kerr</t>
        </is>
      </c>
      <c r="C644" s="1255" t="inlineStr">
        <is>
          <t>2. Workshops</t>
        </is>
      </c>
      <c r="D644" s="1260" t="inlineStr">
        <is>
          <t>PayPal</t>
        </is>
      </c>
      <c r="E644" s="1261" t="n">
        <v>126.8</v>
      </c>
      <c r="F644" s="1260" t="inlineStr">
        <is>
          <t>Bluebells</t>
        </is>
      </c>
      <c r="G644" s="1260" t="inlineStr">
        <is>
          <t>Existing</t>
        </is>
      </c>
    </row>
    <row r="645" ht="13.5" customHeight="1" s="1232">
      <c r="A645" s="1413" t="n">
        <v>43107</v>
      </c>
      <c r="B645" s="1255" t="inlineStr">
        <is>
          <t>David Rogers</t>
        </is>
      </c>
      <c r="C645" s="1255" t="inlineStr">
        <is>
          <t>1. Courses/masterclasses</t>
        </is>
      </c>
      <c r="D645" s="1260" t="inlineStr">
        <is>
          <t>Stripe</t>
        </is>
      </c>
      <c r="E645" s="1261" t="n">
        <v>30</v>
      </c>
      <c r="F645" s="1260" t="inlineStr">
        <is>
          <t>Intro Class</t>
        </is>
      </c>
      <c r="G645" s="1260" t="inlineStr">
        <is>
          <t>Google</t>
        </is>
      </c>
    </row>
    <row r="646" ht="13.5" customHeight="1" s="1232">
      <c r="A646" s="1413" t="n">
        <v>43107</v>
      </c>
      <c r="B646" s="1255" t="inlineStr">
        <is>
          <t>lee clarke</t>
        </is>
      </c>
      <c r="C646" s="1255" t="inlineStr">
        <is>
          <t>1. Courses/masterclasses</t>
        </is>
      </c>
      <c r="D646" s="1260" t="inlineStr">
        <is>
          <t>Stripe</t>
        </is>
      </c>
      <c r="E646" s="1261" t="n">
        <v>550</v>
      </c>
      <c r="F646" s="1260" t="inlineStr">
        <is>
          <t>Lightroom Course</t>
        </is>
      </c>
      <c r="G646" s="1260" t="inlineStr">
        <is>
          <t>Existing</t>
        </is>
      </c>
    </row>
    <row r="647" ht="13.5" customHeight="1" s="1232">
      <c r="A647" s="1413" t="n">
        <v>43107</v>
      </c>
      <c r="B647" s="1260" t="inlineStr">
        <is>
          <t>Lynn Morris</t>
        </is>
      </c>
      <c r="C647" s="1255" t="inlineStr">
        <is>
          <t>1. Courses/masterclasses</t>
        </is>
      </c>
      <c r="D647" s="1260" t="inlineStr">
        <is>
          <t>Groupon</t>
        </is>
      </c>
      <c r="E647" s="1261" t="n">
        <v>13</v>
      </c>
      <c r="F647" s="1260" t="inlineStr">
        <is>
          <t>Intro Class</t>
        </is>
      </c>
      <c r="G647" s="1260" t="inlineStr">
        <is>
          <t>Groupon</t>
        </is>
      </c>
    </row>
    <row r="648" ht="13.5" customHeight="1" s="1232">
      <c r="A648" s="1413" t="n">
        <v>43107</v>
      </c>
      <c r="B648" s="1255" t="inlineStr">
        <is>
          <t>Janice Jordan</t>
        </is>
      </c>
      <c r="C648" s="1255" t="inlineStr">
        <is>
          <t>7. Other</t>
        </is>
      </c>
      <c r="D648" s="1260" t="inlineStr">
        <is>
          <t>Stripe</t>
        </is>
      </c>
      <c r="E648" s="1261" t="n">
        <v>30</v>
      </c>
      <c r="F648" s="1260" t="inlineStr">
        <is>
          <t>Facebook Forum</t>
        </is>
      </c>
      <c r="G648" s="1260" t="inlineStr">
        <is>
          <t>Existing</t>
        </is>
      </c>
    </row>
    <row r="649" ht="13.5" customHeight="1" s="1232">
      <c r="A649" s="1413" t="n">
        <v>43106</v>
      </c>
      <c r="B649" s="1255" t="inlineStr">
        <is>
          <t>Janice Jordan</t>
        </is>
      </c>
      <c r="C649" s="1255" t="inlineStr">
        <is>
          <t>2. Workshops</t>
        </is>
      </c>
      <c r="D649" s="1260" t="inlineStr">
        <is>
          <t>Stripe</t>
        </is>
      </c>
      <c r="E649" s="1261" t="n">
        <v>75</v>
      </c>
      <c r="F649" s="1260" t="inlineStr">
        <is>
          <t>Brandon Marsh</t>
        </is>
      </c>
      <c r="G649" s="1260" t="inlineStr">
        <is>
          <t>Existing</t>
        </is>
      </c>
    </row>
    <row r="650" ht="13.5" customHeight="1" s="1232">
      <c r="A650" s="1413" t="n">
        <v>43105</v>
      </c>
      <c r="B650" s="1260" t="inlineStr">
        <is>
          <t>Christina Mannering</t>
        </is>
      </c>
      <c r="C650" s="1255" t="inlineStr">
        <is>
          <t>1. Courses/masterclasses</t>
        </is>
      </c>
      <c r="D650" s="1260" t="inlineStr">
        <is>
          <t>Groupon</t>
        </is>
      </c>
      <c r="E650" s="1261" t="n">
        <v>13</v>
      </c>
      <c r="F650" s="1260" t="inlineStr">
        <is>
          <t>Intro Class</t>
        </is>
      </c>
      <c r="G650" s="1260" t="inlineStr">
        <is>
          <t>Groupon</t>
        </is>
      </c>
    </row>
    <row r="651" ht="13.5" customHeight="1" s="1232">
      <c r="A651" s="1413" t="n">
        <v>43105</v>
      </c>
      <c r="B651" s="1255" t="inlineStr">
        <is>
          <t>Phil O'Grady</t>
        </is>
      </c>
      <c r="C651" s="1255" t="inlineStr">
        <is>
          <t>2. Workshops</t>
        </is>
      </c>
      <c r="D651" s="1260" t="inlineStr">
        <is>
          <t>PicknMix</t>
        </is>
      </c>
      <c r="E651" s="1261" t="n">
        <v>67.5</v>
      </c>
      <c r="F651" s="1260" t="inlineStr">
        <is>
          <t>Brandon Marsh</t>
        </is>
      </c>
      <c r="G651" s="1260" t="inlineStr">
        <is>
          <t>Existing</t>
        </is>
      </c>
    </row>
    <row r="652" ht="13.5" customHeight="1" s="1232">
      <c r="A652" s="1413" t="n">
        <v>43105</v>
      </c>
      <c r="B652" s="1255" t="inlineStr">
        <is>
          <t>Phil O'Grady</t>
        </is>
      </c>
      <c r="C652" s="1255" t="inlineStr">
        <is>
          <t>4. Pick n Mix Out</t>
        </is>
      </c>
      <c r="D652" s="1260" t="inlineStr">
        <is>
          <t>PicknMix</t>
        </is>
      </c>
      <c r="E652" s="1261" t="n">
        <v>-67.5</v>
      </c>
      <c r="F652" s="1260" t="inlineStr">
        <is>
          <t>Brandon Marsh</t>
        </is>
      </c>
      <c r="G652" s="1260" t="inlineStr">
        <is>
          <t>Existing</t>
        </is>
      </c>
    </row>
    <row r="653" ht="13.5" customHeight="1" s="1232">
      <c r="A653" s="1413" t="n">
        <v>43105</v>
      </c>
      <c r="B653" s="1255" t="inlineStr">
        <is>
          <t>Pam Roberts</t>
        </is>
      </c>
      <c r="C653" s="1255" t="inlineStr">
        <is>
          <t>7. Other</t>
        </is>
      </c>
      <c r="D653" s="1260" t="inlineStr">
        <is>
          <t>Stripe</t>
        </is>
      </c>
      <c r="E653" s="1261" t="n">
        <v>150</v>
      </c>
      <c r="F653" s="1260" t="inlineStr">
        <is>
          <t>Digital Gift Card</t>
        </is>
      </c>
      <c r="G653" s="1260" t="inlineStr">
        <is>
          <t>Google</t>
        </is>
      </c>
    </row>
    <row r="654" ht="13.5" customHeight="1" s="1232">
      <c r="A654" s="1413" t="n">
        <v>43105</v>
      </c>
      <c r="B654" s="1260" t="inlineStr">
        <is>
          <t>Chris Parker</t>
        </is>
      </c>
      <c r="C654" s="1255" t="inlineStr">
        <is>
          <t>2. Workshops</t>
        </is>
      </c>
      <c r="D654" s="1260" t="inlineStr">
        <is>
          <t>Bank</t>
        </is>
      </c>
      <c r="E654" s="1261" t="n">
        <v>75</v>
      </c>
      <c r="F654" s="1260" t="inlineStr">
        <is>
          <t>Brandon Marsh</t>
        </is>
      </c>
      <c r="G654" s="1260" t="inlineStr">
        <is>
          <t>Existing</t>
        </is>
      </c>
    </row>
    <row r="655" ht="13.5" customHeight="1" s="1232">
      <c r="A655" s="1413" t="n">
        <v>43105</v>
      </c>
      <c r="B655" s="1255" t="inlineStr">
        <is>
          <t>Johanna Stansfield</t>
        </is>
      </c>
      <c r="C655" s="1255" t="inlineStr">
        <is>
          <t>2. Workshops</t>
        </is>
      </c>
      <c r="D655" s="1260" t="inlineStr">
        <is>
          <t>Stripe</t>
        </is>
      </c>
      <c r="E655" s="1261" t="n">
        <v>76.8</v>
      </c>
      <c r="F655" s="1260" t="inlineStr">
        <is>
          <t>Brandon Marsh</t>
        </is>
      </c>
      <c r="G655" s="1260" t="inlineStr">
        <is>
          <t>Existing</t>
        </is>
      </c>
    </row>
    <row r="656" ht="13.5" customHeight="1" s="1232">
      <c r="A656" s="1413" t="n">
        <v>43104</v>
      </c>
      <c r="B656" s="1260" t="inlineStr">
        <is>
          <t>Pure Photo</t>
        </is>
      </c>
      <c r="C656" s="1255" t="inlineStr">
        <is>
          <t>7. Other</t>
        </is>
      </c>
      <c r="D656" s="1260" t="inlineStr">
        <is>
          <t>Bank</t>
        </is>
      </c>
      <c r="E656" s="1261" t="n">
        <v>125.56</v>
      </c>
      <c r="F656" s="1260" t="inlineStr">
        <is>
          <t>Print Sale</t>
        </is>
      </c>
      <c r="G656" s="1260" t="inlineStr">
        <is>
          <t>Other</t>
        </is>
      </c>
    </row>
    <row r="657" ht="13.5" customHeight="1" s="1232">
      <c r="A657" s="1413" t="n">
        <v>43103</v>
      </c>
      <c r="B657" s="1255" t="inlineStr">
        <is>
          <t>Elizabeth Shrives</t>
        </is>
      </c>
      <c r="C657" s="1255" t="inlineStr">
        <is>
          <t>1. Courses/masterclasses</t>
        </is>
      </c>
      <c r="D657" s="1260" t="inlineStr">
        <is>
          <t>PayPal</t>
        </is>
      </c>
      <c r="E657" s="1261" t="n">
        <v>275</v>
      </c>
      <c r="F657" s="1260" t="inlineStr">
        <is>
          <t>5wk Course</t>
        </is>
      </c>
      <c r="G657" s="1260" t="inlineStr">
        <is>
          <t>Google</t>
        </is>
      </c>
    </row>
    <row r="658" ht="13.5" customHeight="1" s="1232">
      <c r="A658" s="1413" t="n">
        <v>43103</v>
      </c>
      <c r="B658" s="1260" t="inlineStr">
        <is>
          <t>Con McHugh</t>
        </is>
      </c>
      <c r="C658" s="1255" t="inlineStr">
        <is>
          <t>4. Pick n Mix Out</t>
        </is>
      </c>
      <c r="D658" s="1260" t="inlineStr">
        <is>
          <t>PicknMix</t>
        </is>
      </c>
      <c r="E658" s="1261" t="n">
        <v>-40</v>
      </c>
      <c r="F658" s="1260" t="inlineStr">
        <is>
          <t>Macro Masterclass</t>
        </is>
      </c>
      <c r="G658" s="1260" t="inlineStr">
        <is>
          <t>Existing</t>
        </is>
      </c>
    </row>
    <row r="659" ht="13.5" customHeight="1" s="1232">
      <c r="A659" s="1413" t="n">
        <v>43103</v>
      </c>
      <c r="B659" s="1260" t="inlineStr">
        <is>
          <t>Con McHugh</t>
        </is>
      </c>
      <c r="C659" s="1255" t="inlineStr">
        <is>
          <t>1. Courses/masterclasses</t>
        </is>
      </c>
      <c r="D659" s="1260" t="inlineStr">
        <is>
          <t>PicknMix</t>
        </is>
      </c>
      <c r="E659" s="1261" t="n">
        <v>40</v>
      </c>
      <c r="F659" s="1260" t="inlineStr">
        <is>
          <t>Macro Masterclass</t>
        </is>
      </c>
      <c r="G659" s="1260" t="inlineStr">
        <is>
          <t>Existing</t>
        </is>
      </c>
    </row>
    <row r="660" ht="13.5" customHeight="1" s="1232">
      <c r="A660" s="1413" t="n">
        <v>43102</v>
      </c>
      <c r="B660" s="1260" t="inlineStr">
        <is>
          <t>Anne-Marie Scott</t>
        </is>
      </c>
      <c r="C660" s="1255" t="inlineStr">
        <is>
          <t>1. Courses/masterclasses</t>
        </is>
      </c>
      <c r="D660" s="1260" t="inlineStr">
        <is>
          <t>PayPal</t>
        </is>
      </c>
      <c r="E660" s="1261" t="n">
        <v>50</v>
      </c>
      <c r="F660" s="1260" t="inlineStr">
        <is>
          <t>LR Rebooking</t>
        </is>
      </c>
      <c r="G660" s="1260" t="inlineStr">
        <is>
          <t>Existing</t>
        </is>
      </c>
    </row>
    <row r="661" ht="13.5" customHeight="1" s="1232">
      <c r="A661" s="1413" t="n">
        <v>43102</v>
      </c>
      <c r="B661" s="1255" t="inlineStr">
        <is>
          <t>Bray Leino Ltd,</t>
        </is>
      </c>
      <c r="C661" s="1255" t="inlineStr">
        <is>
          <t>7. Other</t>
        </is>
      </c>
      <c r="D661" s="1260" t="inlineStr">
        <is>
          <t>Bank</t>
        </is>
      </c>
      <c r="E661" s="1261" t="n">
        <v>500</v>
      </c>
      <c r="F661" s="1260" t="inlineStr">
        <is>
          <t>Commercial Image Use</t>
        </is>
      </c>
      <c r="G661" s="1260" t="inlineStr">
        <is>
          <t>Google</t>
        </is>
      </c>
    </row>
    <row r="662" ht="13.5" customHeight="1" s="1232">
      <c r="A662" s="1413" t="n">
        <v>43101</v>
      </c>
      <c r="B662" s="1260" t="inlineStr">
        <is>
          <t>Jan Pick N Mix</t>
        </is>
      </c>
      <c r="C662" s="1255" t="inlineStr">
        <is>
          <t>3. Pick n Mix Inc</t>
        </is>
      </c>
      <c r="D662" s="1255" t="inlineStr">
        <is>
          <t>Various</t>
        </is>
      </c>
      <c r="E662" s="1261" t="n">
        <v>168.11</v>
      </c>
      <c r="F662" s="1255" t="inlineStr">
        <is>
          <t>Pick N Mix Payments</t>
        </is>
      </c>
      <c r="G662" s="1255" t="inlineStr">
        <is>
          <t>Existing</t>
        </is>
      </c>
    </row>
    <row r="663" ht="13.5" customHeight="1" s="1232">
      <c r="A663" s="1413" t="n">
        <v>43101</v>
      </c>
      <c r="B663" s="1260" t="inlineStr">
        <is>
          <t>Jan Mentoring</t>
        </is>
      </c>
      <c r="C663" s="1255" t="inlineStr">
        <is>
          <t>5. Mentoring</t>
        </is>
      </c>
      <c r="D663" s="1255" t="inlineStr">
        <is>
          <t>Various</t>
        </is>
      </c>
      <c r="E663" s="1261" t="n">
        <v>60</v>
      </c>
      <c r="F663" s="1255" t="inlineStr">
        <is>
          <t>Mentoring Subs</t>
        </is>
      </c>
      <c r="G663" s="1255" t="inlineStr">
        <is>
          <t>Existing</t>
        </is>
      </c>
    </row>
  </sheetData>
  <mergeCells count="2">
    <mergeCell ref="U21:V21"/>
    <mergeCell ref="U22:V22"/>
  </mergeCells>
  <conditionalFormatting sqref="V112:V668 V689:V817 V819:V1091 X4 X21:X26 X69 X77:X87 X97 X102 X111">
    <cfRule type="cellIs" priority="441" operator="lessThan" dxfId="1">
      <formula>0</formula>
    </cfRule>
  </conditionalFormatting>
  <conditionalFormatting sqref="X19">
    <cfRule type="cellIs" priority="440" operator="lessThan" dxfId="1">
      <formula>0</formula>
    </cfRule>
  </conditionalFormatting>
  <conditionalFormatting sqref="X4:X11">
    <cfRule type="cellIs" priority="438" operator="lessThan" dxfId="1">
      <formula>0</formula>
    </cfRule>
    <cfRule type="cellIs" priority="436" operator="greaterThan" dxfId="0">
      <formula>0</formula>
    </cfRule>
    <cfRule type="cellIs" priority="435" operator="lessThan" dxfId="1">
      <formula>0</formula>
    </cfRule>
    <cfRule type="cellIs" priority="428" operator="lessThan" dxfId="1">
      <formula>0</formula>
    </cfRule>
    <cfRule type="cellIs" priority="425" operator="lessThan" dxfId="1">
      <formula>0</formula>
    </cfRule>
    <cfRule type="cellIs" priority="424" operator="lessThan" dxfId="1">
      <formula>0</formula>
    </cfRule>
    <cfRule type="cellIs" priority="393" operator="lessThan" dxfId="1">
      <formula>0</formula>
    </cfRule>
    <cfRule type="cellIs" priority="375" operator="lessThan" dxfId="1">
      <formula>0</formula>
    </cfRule>
    <cfRule type="cellIs" priority="317" operator="lessThan" dxfId="1">
      <formula>0</formula>
    </cfRule>
    <cfRule type="cellIs" priority="308" operator="lessThan" dxfId="1">
      <formula>0</formula>
    </cfRule>
    <cfRule type="cellIs" priority="306" operator="lessThan" dxfId="1">
      <formula>0</formula>
    </cfRule>
    <cfRule type="cellIs" priority="137" operator="lessThan" dxfId="1">
      <formula>0</formula>
    </cfRule>
    <cfRule type="cellIs" priority="133" operator="lessThan" dxfId="1">
      <formula>0</formula>
    </cfRule>
    <cfRule type="cellIs" priority="132" operator="lessThan" dxfId="1">
      <formula>0</formula>
    </cfRule>
    <cfRule type="cellIs" priority="131" operator="lessThan" dxfId="1">
      <formula>0</formula>
    </cfRule>
    <cfRule type="cellIs" priority="130" operator="lessThan" dxfId="1">
      <formula>0</formula>
    </cfRule>
    <cfRule type="cellIs" priority="129" operator="lessThan" dxfId="1">
      <formula>0</formula>
    </cfRule>
    <cfRule type="cellIs" priority="128" operator="lessThan" dxfId="1">
      <formula>0</formula>
    </cfRule>
    <cfRule type="cellIs" priority="127" operator="lessThan" dxfId="1">
      <formula>0</formula>
    </cfRule>
    <cfRule type="cellIs" priority="126" operator="lessThan" dxfId="1">
      <formula>0</formula>
    </cfRule>
    <cfRule type="cellIs" priority="125" operator="lessThan" dxfId="1">
      <formula>0</formula>
    </cfRule>
    <cfRule type="cellIs" priority="124" operator="lessThan" dxfId="1">
      <formula>0</formula>
    </cfRule>
    <cfRule type="cellIs" priority="123" operator="lessThan" dxfId="1">
      <formula>0</formula>
    </cfRule>
    <cfRule type="cellIs" priority="122" operator="lessThan" dxfId="1">
      <formula>0</formula>
    </cfRule>
    <cfRule type="cellIs" priority="121" operator="lessThan" dxfId="1">
      <formula>0</formula>
    </cfRule>
    <cfRule type="cellIs" priority="120" operator="lessThan" dxfId="1">
      <formula>0</formula>
    </cfRule>
    <cfRule type="cellIs" priority="119" operator="lessThan" dxfId="1">
      <formula>0</formula>
    </cfRule>
    <cfRule type="cellIs" priority="118" operator="lessThan" dxfId="1">
      <formula>0</formula>
    </cfRule>
    <cfRule type="cellIs" priority="117" operator="lessThan" dxfId="1">
      <formula>0</formula>
    </cfRule>
  </conditionalFormatting>
  <conditionalFormatting sqref="X20">
    <cfRule type="cellIs" priority="439" operator="lessThan" dxfId="1">
      <formula>0</formula>
    </cfRule>
  </conditionalFormatting>
  <conditionalFormatting sqref="X11">
    <cfRule type="cellIs" priority="437" operator="lessThan" dxfId="1">
      <formula>0</formula>
    </cfRule>
    <cfRule type="cellIs" priority="423" operator="lessThan" dxfId="1">
      <formula>0</formula>
    </cfRule>
    <cfRule type="cellIs" priority="422" operator="lessThan" dxfId="1">
      <formula>0</formula>
    </cfRule>
    <cfRule type="cellIs" priority="421" operator="lessThan" dxfId="1">
      <formula>0</formula>
    </cfRule>
    <cfRule type="cellIs" priority="420" operator="lessThan" dxfId="1">
      <formula>0</formula>
    </cfRule>
    <cfRule type="cellIs" priority="392" operator="lessThan" dxfId="1">
      <formula>0</formula>
    </cfRule>
    <cfRule type="cellIs" priority="391" operator="lessThan" dxfId="1">
      <formula>0</formula>
    </cfRule>
    <cfRule type="cellIs" priority="390" operator="lessThan" dxfId="1">
      <formula>0</formula>
    </cfRule>
    <cfRule type="cellIs" priority="389" operator="lessThan" dxfId="1">
      <formula>0</formula>
    </cfRule>
    <cfRule type="cellIs" priority="388" operator="lessThan" dxfId="1">
      <formula>0</formula>
    </cfRule>
    <cfRule type="cellIs" priority="316" operator="lessThan" dxfId="1">
      <formula>0</formula>
    </cfRule>
    <cfRule type="cellIs" priority="315" operator="lessThan" dxfId="1">
      <formula>0</formula>
    </cfRule>
    <cfRule type="cellIs" priority="314" operator="lessThan" dxfId="1">
      <formula>0</formula>
    </cfRule>
    <cfRule type="cellIs" priority="313" operator="lessThan" dxfId="1">
      <formula>0</formula>
    </cfRule>
    <cfRule type="cellIs" priority="312" operator="lessThan" dxfId="1">
      <formula>0</formula>
    </cfRule>
    <cfRule type="cellIs" priority="311" operator="lessThan" dxfId="1">
      <formula>0</formula>
    </cfRule>
    <cfRule type="cellIs" priority="307" operator="lessThan" dxfId="1">
      <formula>0</formula>
    </cfRule>
    <cfRule type="cellIs" priority="61" operator="lessThan" dxfId="1">
      <formula>0</formula>
    </cfRule>
    <cfRule type="cellIs" priority="60" operator="lessThan" dxfId="1">
      <formula>0</formula>
    </cfRule>
    <cfRule type="cellIs" priority="10" operator="lessThan" dxfId="1">
      <formula>0</formula>
    </cfRule>
  </conditionalFormatting>
  <conditionalFormatting sqref="J24">
    <cfRule type="cellIs" priority="433" operator="greaterThan" dxfId="0">
      <formula>0</formula>
    </cfRule>
    <cfRule type="cellIs" priority="434" operator="lessThan" dxfId="1">
      <formula>0</formula>
    </cfRule>
  </conditionalFormatting>
  <conditionalFormatting sqref="Y4">
    <cfRule type="cellIs" priority="432" operator="lessThan" dxfId="1">
      <formula>0</formula>
    </cfRule>
    <cfRule type="cellIs" priority="431" operator="greaterThan" dxfId="0">
      <formula>0</formula>
    </cfRule>
  </conditionalFormatting>
  <conditionalFormatting sqref="Z4">
    <cfRule type="cellIs" priority="430" operator="lessThan" dxfId="1">
      <formula>0</formula>
    </cfRule>
    <cfRule type="cellIs" priority="429" operator="greaterThan" dxfId="0">
      <formula>0</formula>
    </cfRule>
  </conditionalFormatting>
  <conditionalFormatting sqref="AB4:AB11">
    <cfRule type="cellIs" priority="426" operator="lessThan" dxfId="1">
      <formula>0</formula>
    </cfRule>
    <cfRule type="cellIs" priority="427" operator="greaterThan" dxfId="0">
      <formula>0</formula>
    </cfRule>
  </conditionalFormatting>
  <conditionalFormatting sqref="Y11">
    <cfRule type="cellIs" priority="374" operator="lessThan" dxfId="1">
      <formula>0</formula>
    </cfRule>
    <cfRule type="cellIs" priority="373" operator="greaterThan" dxfId="0">
      <formula>0</formula>
    </cfRule>
  </conditionalFormatting>
  <conditionalFormatting sqref="W12">
    <cfRule type="cellIs" priority="346" operator="greaterThan" dxfId="0">
      <formula>0.8</formula>
    </cfRule>
    <cfRule type="cellIs" priority="347" operator="between" dxfId="26">
      <formula>0.51</formula>
      <formula>0.8</formula>
    </cfRule>
    <cfRule type="cellIs" priority="348" operator="lessThan" dxfId="1">
      <formula>0.5</formula>
    </cfRule>
  </conditionalFormatting>
  <conditionalFormatting sqref="X89">
    <cfRule type="cellIs" priority="345" operator="lessThan" dxfId="1">
      <formula>0</formula>
    </cfRule>
  </conditionalFormatting>
  <conditionalFormatting sqref="X99:X101">
    <cfRule type="cellIs" priority="344" operator="lessThan" dxfId="1">
      <formula>0</formula>
    </cfRule>
  </conditionalFormatting>
  <conditionalFormatting sqref="Y5 Y7:Y10">
    <cfRule type="cellIs" priority="343" operator="lessThan" dxfId="1">
      <formula>0</formula>
    </cfRule>
    <cfRule type="cellIs" priority="342" operator="greaterThan" dxfId="0">
      <formula>0</formula>
    </cfRule>
  </conditionalFormatting>
  <conditionalFormatting sqref="Y16">
    <cfRule type="cellIs" priority="310" operator="lessThan" dxfId="1">
      <formula>0</formula>
    </cfRule>
    <cfRule type="cellIs" priority="309" operator="greaterThan" dxfId="0">
      <formula>0</formula>
    </cfRule>
  </conditionalFormatting>
  <conditionalFormatting sqref="X16">
    <cfRule type="cellIs" priority="301" operator="lessThan" dxfId="1">
      <formula>0</formula>
    </cfRule>
    <cfRule type="cellIs" priority="300" operator="lessThan" dxfId="1">
      <formula>0</formula>
    </cfRule>
    <cfRule type="cellIs" priority="299" operator="lessThan" dxfId="1">
      <formula>0</formula>
    </cfRule>
    <cfRule type="cellIs" priority="298" operator="lessThan" dxfId="1">
      <formula>0</formula>
    </cfRule>
    <cfRule type="cellIs" priority="303" operator="lessThan" dxfId="1">
      <formula>0</formula>
    </cfRule>
    <cfRule type="cellIs" priority="302" operator="greaterThan" dxfId="0">
      <formula>0</formula>
    </cfRule>
    <cfRule type="cellIs" priority="297" operator="lessThan" dxfId="1">
      <formula>0</formula>
    </cfRule>
  </conditionalFormatting>
  <conditionalFormatting sqref="Z59:Z66">
    <cfRule type="cellIs" priority="293" operator="lessThan" dxfId="1">
      <formula>0</formula>
    </cfRule>
    <cfRule type="cellIs" priority="294" operator="greaterThan" dxfId="0">
      <formula>0</formula>
    </cfRule>
  </conditionalFormatting>
  <conditionalFormatting sqref="X104:X105">
    <cfRule type="cellIs" priority="292" operator="lessThan" dxfId="1">
      <formula>0</formula>
    </cfRule>
  </conditionalFormatting>
  <conditionalFormatting sqref="X106:X107">
    <cfRule type="cellIs" priority="291" operator="lessThan" dxfId="1">
      <formula>0</formula>
    </cfRule>
  </conditionalFormatting>
  <conditionalFormatting sqref="X109:X110">
    <cfRule type="cellIs" priority="290" operator="lessThan" dxfId="1">
      <formula>0</formula>
    </cfRule>
  </conditionalFormatting>
  <conditionalFormatting sqref="X12">
    <cfRule type="cellIs" priority="207" operator="lessThan" dxfId="1">
      <formula>0</formula>
    </cfRule>
    <cfRule type="cellIs" priority="206" operator="lessThan" dxfId="1">
      <formula>0</formula>
    </cfRule>
    <cfRule type="cellIs" priority="205" operator="lessThan" dxfId="1">
      <formula>0</formula>
    </cfRule>
    <cfRule type="cellIs" priority="209" operator="lessThan" dxfId="1">
      <formula>0</formula>
    </cfRule>
    <cfRule type="cellIs" priority="208" operator="lessThan" dxfId="1">
      <formula>0</formula>
    </cfRule>
    <cfRule type="cellIs" priority="211" operator="lessThan" dxfId="1">
      <formula>0</formula>
    </cfRule>
    <cfRule type="cellIs" priority="210" operator="greaterThan" dxfId="0">
      <formula>0</formula>
    </cfRule>
  </conditionalFormatting>
  <conditionalFormatting sqref="Y12">
    <cfRule type="cellIs" priority="204" operator="lessThan" dxfId="1">
      <formula>0</formula>
    </cfRule>
    <cfRule type="cellIs" priority="203" operator="greaterThan" dxfId="0">
      <formula>0</formula>
    </cfRule>
  </conditionalFormatting>
  <conditionalFormatting sqref="X13:X15">
    <cfRule type="cellIs" priority="218" operator="lessThan" dxfId="1">
      <formula>0</formula>
    </cfRule>
    <cfRule type="cellIs" priority="217" operator="lessThan" dxfId="1">
      <formula>0</formula>
    </cfRule>
    <cfRule type="cellIs" priority="216" operator="lessThan" dxfId="1">
      <formula>0</formula>
    </cfRule>
    <cfRule type="cellIs" priority="215" operator="lessThan" dxfId="1">
      <formula>0</formula>
    </cfRule>
    <cfRule type="cellIs" priority="220" operator="lessThan" dxfId="1">
      <formula>0</formula>
    </cfRule>
    <cfRule type="cellIs" priority="219" operator="greaterThan" dxfId="0">
      <formula>0</formula>
    </cfRule>
    <cfRule type="cellIs" priority="214" operator="lessThan" dxfId="1">
      <formula>0</formula>
    </cfRule>
  </conditionalFormatting>
  <conditionalFormatting sqref="Y13:Y15">
    <cfRule type="cellIs" priority="213" operator="lessThan" dxfId="1">
      <formula>0</formula>
    </cfRule>
    <cfRule type="cellIs" priority="212" operator="greaterThan" dxfId="0">
      <formula>0</formula>
    </cfRule>
  </conditionalFormatting>
  <conditionalFormatting sqref="K28:K30 K32:K34">
    <cfRule type="cellIs" priority="201" operator="lessThan" dxfId="1">
      <formula>0</formula>
    </cfRule>
    <cfRule type="cellIs" priority="202" operator="greaterThan" dxfId="0">
      <formula>0.1</formula>
    </cfRule>
  </conditionalFormatting>
  <conditionalFormatting sqref="K35">
    <cfRule type="cellIs" priority="199" operator="lessThan" dxfId="1">
      <formula>0</formula>
    </cfRule>
    <cfRule type="cellIs" priority="200" operator="greaterThan" dxfId="0">
      <formula>0.1</formula>
    </cfRule>
  </conditionalFormatting>
  <conditionalFormatting sqref="W28:W34">
    <cfRule type="cellIs" priority="193" operator="lessThan" dxfId="1">
      <formula>0</formula>
    </cfRule>
    <cfRule type="cellIs" priority="194" operator="greaterThan" dxfId="0">
      <formula>0.1</formula>
    </cfRule>
  </conditionalFormatting>
  <conditionalFormatting sqref="E624 E629 E633 E635:E636 E638:E646 E649:E684">
    <cfRule type="cellIs" priority="186" operator="lessThan" dxfId="1009">
      <formula>0</formula>
    </cfRule>
  </conditionalFormatting>
  <conditionalFormatting sqref="L28:V30 L32:V34">
    <cfRule type="cellIs" priority="184" operator="lessThan" dxfId="1">
      <formula>0</formula>
    </cfRule>
    <cfRule type="cellIs" priority="185" operator="greaterThan" dxfId="0">
      <formula>0.1</formula>
    </cfRule>
  </conditionalFormatting>
  <conditionalFormatting sqref="K31">
    <cfRule type="cellIs" priority="182" operator="lessThan" dxfId="1">
      <formula>0</formula>
    </cfRule>
    <cfRule type="cellIs" priority="183" operator="greaterThan" dxfId="0">
      <formula>0.1</formula>
    </cfRule>
    <cfRule type="cellIs" priority="180" operator="lessThan" dxfId="1">
      <formula>0</formula>
    </cfRule>
    <cfRule type="cellIs" priority="181" operator="greaterThan" dxfId="0">
      <formula>0.1</formula>
    </cfRule>
  </conditionalFormatting>
  <conditionalFormatting sqref="L31:V31">
    <cfRule type="cellIs" priority="178" operator="lessThan" dxfId="1">
      <formula>0</formula>
    </cfRule>
    <cfRule type="cellIs" priority="179" operator="greaterThan" dxfId="0">
      <formula>0.1</formula>
    </cfRule>
    <cfRule type="cellIs" priority="176" operator="lessThan" dxfId="1">
      <formula>0</formula>
    </cfRule>
    <cfRule type="cellIs" priority="177" operator="greaterThan" dxfId="0">
      <formula>0.1</formula>
    </cfRule>
  </conditionalFormatting>
  <conditionalFormatting sqref="L35:W35">
    <cfRule type="cellIs" priority="174" operator="lessThan" dxfId="1">
      <formula>0</formula>
    </cfRule>
    <cfRule type="cellIs" priority="175" operator="greaterThan" dxfId="0">
      <formula>0.1</formula>
    </cfRule>
  </conditionalFormatting>
  <conditionalFormatting sqref="E647">
    <cfRule type="cellIs" priority="172" operator="lessThan" dxfId="1009">
      <formula>0</formula>
    </cfRule>
  </conditionalFormatting>
  <conditionalFormatting sqref="Y6">
    <cfRule type="cellIs" priority="147" operator="lessThan" dxfId="1">
      <formula>0</formula>
    </cfRule>
    <cfRule type="cellIs" priority="146" operator="greaterThan" dxfId="0">
      <formula>0</formula>
    </cfRule>
  </conditionalFormatting>
  <conditionalFormatting sqref="E637">
    <cfRule type="cellIs" priority="143" operator="lessThan" dxfId="1009">
      <formula>0</formula>
    </cfRule>
  </conditionalFormatting>
  <conditionalFormatting sqref="E634">
    <cfRule type="cellIs" priority="142" operator="lessThan" dxfId="1009">
      <formula>0</formula>
    </cfRule>
  </conditionalFormatting>
  <conditionalFormatting sqref="E625:E628">
    <cfRule type="cellIs" priority="141" operator="lessThan" dxfId="1009">
      <formula>0</formula>
    </cfRule>
  </conditionalFormatting>
  <conditionalFormatting sqref="E630:E632">
    <cfRule type="cellIs" priority="140" operator="lessThan" dxfId="1009">
      <formula>0</formula>
    </cfRule>
  </conditionalFormatting>
  <conditionalFormatting sqref="E598">
    <cfRule type="cellIs" priority="139" operator="lessThan" dxfId="1009">
      <formula>0</formula>
    </cfRule>
  </conditionalFormatting>
  <conditionalFormatting sqref="E591:E592">
    <cfRule type="cellIs" priority="138" operator="lessThan" dxfId="1009">
      <formula>0</formula>
    </cfRule>
  </conditionalFormatting>
  <conditionalFormatting sqref="E536:E755">
    <cfRule type="cellIs" priority="136" operator="lessThan" dxfId="1009">
      <formula>0</formula>
    </cfRule>
  </conditionalFormatting>
  <conditionalFormatting sqref="E517:E518">
    <cfRule type="cellIs" priority="135" operator="lessThan" dxfId="1009">
      <formula>0</formula>
    </cfRule>
    <cfRule type="cellIs" priority="134" operator="lessThan" dxfId="1009">
      <formula>0</formula>
    </cfRule>
  </conditionalFormatting>
  <conditionalFormatting sqref="E504">
    <cfRule type="cellIs" priority="114" operator="lessThan" dxfId="1009">
      <formula>0</formula>
    </cfRule>
  </conditionalFormatting>
  <conditionalFormatting sqref="E503">
    <cfRule type="cellIs" priority="113" operator="lessThan" dxfId="1009">
      <formula>0</formula>
    </cfRule>
  </conditionalFormatting>
  <conditionalFormatting sqref="E500">
    <cfRule type="cellIs" priority="112" operator="lessThan" dxfId="1009">
      <formula>0</formula>
    </cfRule>
    <cfRule type="cellIs" priority="111" operator="lessThan" dxfId="1009">
      <formula>0</formula>
    </cfRule>
  </conditionalFormatting>
  <conditionalFormatting sqref="E493">
    <cfRule type="cellIs" priority="110" operator="lessThan" dxfId="1009">
      <formula>0</formula>
    </cfRule>
  </conditionalFormatting>
  <conditionalFormatting sqref="Y28:Y35">
    <cfRule type="cellIs" priority="109" operator="lessThan" dxfId="1">
      <formula>0</formula>
    </cfRule>
    <cfRule type="cellIs" priority="108" operator="greaterThan" dxfId="0">
      <formula>0</formula>
    </cfRule>
  </conditionalFormatting>
  <conditionalFormatting sqref="E483">
    <cfRule type="cellIs" priority="107" operator="lessThan" dxfId="1009">
      <formula>0</formula>
    </cfRule>
    <cfRule type="cellIs" priority="106" operator="lessThan" dxfId="1009">
      <formula>0</formula>
    </cfRule>
  </conditionalFormatting>
  <conditionalFormatting sqref="E480:E482">
    <cfRule type="cellIs" priority="105" operator="lessThan" dxfId="1009">
      <formula>0</formula>
    </cfRule>
    <cfRule type="cellIs" priority="104" operator="lessThan" dxfId="1009">
      <formula>0</formula>
    </cfRule>
  </conditionalFormatting>
  <conditionalFormatting sqref="E467">
    <cfRule type="cellIs" priority="101" operator="lessThan" dxfId="1009">
      <formula>0</formula>
    </cfRule>
  </conditionalFormatting>
  <conditionalFormatting sqref="E460">
    <cfRule type="cellIs" priority="100" operator="lessThan" dxfId="1009">
      <formula>0</formula>
    </cfRule>
    <cfRule type="cellIs" priority="99" operator="lessThan" dxfId="1009">
      <formula>0</formula>
    </cfRule>
  </conditionalFormatting>
  <conditionalFormatting sqref="Z18">
    <cfRule type="cellIs" priority="98" operator="lessThan" dxfId="1">
      <formula>0</formula>
    </cfRule>
    <cfRule type="cellIs" priority="97" operator="greaterThan" dxfId="0">
      <formula>0</formula>
    </cfRule>
  </conditionalFormatting>
  <conditionalFormatting sqref="E453:E454">
    <cfRule type="cellIs" priority="96" operator="lessThan" dxfId="1009">
      <formula>0</formula>
    </cfRule>
    <cfRule type="cellIs" priority="95" operator="lessThan" dxfId="1009">
      <formula>0</formula>
    </cfRule>
  </conditionalFormatting>
  <conditionalFormatting sqref="X5:X11">
    <cfRule type="cellIs" priority="94" operator="lessThan" dxfId="1">
      <formula>0</formula>
    </cfRule>
    <cfRule type="cellIs" priority="82" operator="lessThan" dxfId="1">
      <formula>0</formula>
    </cfRule>
    <cfRule type="cellIs" priority="25" operator="lessThan" dxfId="1">
      <formula>0</formula>
    </cfRule>
    <cfRule type="cellIs" priority="17" operator="lessThan" dxfId="1">
      <formula>0</formula>
    </cfRule>
    <cfRule type="cellIs" priority="12" operator="lessThan" dxfId="1">
      <formula>0</formula>
    </cfRule>
    <cfRule type="cellIs" priority="5" operator="lessThan" dxfId="1">
      <formula>0</formula>
    </cfRule>
    <cfRule type="cellIs" priority="3" operator="lessThan" dxfId="1">
      <formula>0</formula>
    </cfRule>
  </conditionalFormatting>
  <conditionalFormatting sqref="E447">
    <cfRule type="cellIs" priority="91" operator="lessThan" dxfId="1009">
      <formula>0</formula>
    </cfRule>
  </conditionalFormatting>
  <conditionalFormatting sqref="E448">
    <cfRule type="cellIs" priority="90" operator="lessThan" dxfId="1009">
      <formula>0</formula>
    </cfRule>
  </conditionalFormatting>
  <conditionalFormatting sqref="E440">
    <cfRule type="cellIs" priority="89" operator="lessThan" dxfId="1009">
      <formula>0</formula>
    </cfRule>
  </conditionalFormatting>
  <conditionalFormatting sqref="E376:E378 E380:E386 E392:E396 E399 E402:E407 E415:E418 E421:E427 E429:E435 E438:E439 I373">
    <cfRule type="cellIs" priority="88" operator="lessThan" dxfId="1009">
      <formula>0</formula>
    </cfRule>
  </conditionalFormatting>
  <conditionalFormatting sqref="E437">
    <cfRule type="cellIs" priority="87" operator="lessThan" dxfId="1009">
      <formula>0</formula>
    </cfRule>
  </conditionalFormatting>
  <conditionalFormatting sqref="E436">
    <cfRule type="cellIs" priority="86" operator="lessThan" dxfId="1009">
      <formula>0</formula>
    </cfRule>
  </conditionalFormatting>
  <conditionalFormatting sqref="E428">
    <cfRule type="cellIs" priority="85" operator="lessThan" dxfId="1009">
      <formula>0</formula>
    </cfRule>
  </conditionalFormatting>
  <conditionalFormatting sqref="E420">
    <cfRule type="cellIs" priority="84" operator="lessThan" dxfId="1009">
      <formula>0</formula>
    </cfRule>
  </conditionalFormatting>
  <conditionalFormatting sqref="E419">
    <cfRule type="cellIs" priority="83" operator="lessThan" dxfId="1009">
      <formula>0</formula>
    </cfRule>
  </conditionalFormatting>
  <conditionalFormatting sqref="J413:J414">
    <cfRule type="cellIs" priority="76" operator="lessThan" dxfId="1009">
      <formula>0</formula>
    </cfRule>
    <cfRule type="cellIs" priority="75" operator="lessThan" dxfId="1009">
      <formula>0</formula>
    </cfRule>
  </conditionalFormatting>
  <conditionalFormatting sqref="J408:J412">
    <cfRule type="cellIs" priority="77" operator="lessThan" dxfId="1009">
      <formula>0</formula>
    </cfRule>
  </conditionalFormatting>
  <conditionalFormatting sqref="E408:E412">
    <cfRule type="cellIs" priority="74" operator="lessThan" dxfId="1009">
      <formula>0</formula>
    </cfRule>
  </conditionalFormatting>
  <conditionalFormatting sqref="E413:E414">
    <cfRule type="cellIs" priority="73" operator="lessThan" dxfId="1009">
      <formula>0</formula>
    </cfRule>
    <cfRule type="cellIs" priority="72" operator="lessThan" dxfId="1009">
      <formula>0</formula>
    </cfRule>
  </conditionalFormatting>
  <conditionalFormatting sqref="E400">
    <cfRule type="cellIs" priority="71" operator="lessThan" dxfId="1009">
      <formula>0</formula>
    </cfRule>
  </conditionalFormatting>
  <conditionalFormatting sqref="E398">
    <cfRule type="cellIs" priority="70" operator="lessThan" dxfId="1009">
      <formula>0</formula>
    </cfRule>
  </conditionalFormatting>
  <conditionalFormatting sqref="E397">
    <cfRule type="cellIs" priority="69" operator="lessThan" dxfId="1009">
      <formula>0</formula>
    </cfRule>
  </conditionalFormatting>
  <conditionalFormatting sqref="E391">
    <cfRule type="cellIs" priority="68" operator="lessThan" dxfId="1009">
      <formula>0</formula>
    </cfRule>
  </conditionalFormatting>
  <conditionalFormatting sqref="E390">
    <cfRule type="cellIs" priority="67" operator="lessThan" dxfId="1009">
      <formula>0</formula>
    </cfRule>
  </conditionalFormatting>
  <conditionalFormatting sqref="E389">
    <cfRule type="cellIs" priority="66" operator="lessThan" dxfId="1009">
      <formula>0</formula>
    </cfRule>
  </conditionalFormatting>
  <conditionalFormatting sqref="E387:E388">
    <cfRule type="cellIs" priority="65" operator="lessThan" dxfId="1009">
      <formula>0</formula>
    </cfRule>
  </conditionalFormatting>
  <conditionalFormatting sqref="E379">
    <cfRule type="cellIs" priority="64" operator="lessThan" dxfId="1009">
      <formula>0</formula>
    </cfRule>
  </conditionalFormatting>
  <conditionalFormatting sqref="X5:X10">
    <cfRule type="cellIs" priority="63" operator="lessThan" dxfId="1">
      <formula>0</formula>
    </cfRule>
    <cfRule type="cellIs" priority="11" operator="lessThan" dxfId="1">
      <formula>0</formula>
    </cfRule>
  </conditionalFormatting>
  <conditionalFormatting sqref="X10">
    <cfRule type="cellIs" priority="62" operator="lessThan" dxfId="1">
      <formula>0</formula>
    </cfRule>
  </conditionalFormatting>
  <conditionalFormatting sqref="I374:I375">
    <cfRule type="cellIs" priority="59" operator="lessThan" dxfId="1009">
      <formula>0</formula>
    </cfRule>
    <cfRule type="cellIs" priority="58" operator="lessThan" dxfId="1009">
      <formula>0</formula>
    </cfRule>
  </conditionalFormatting>
  <conditionalFormatting sqref="E373">
    <cfRule type="cellIs" priority="57" operator="lessThan" dxfId="1009">
      <formula>0</formula>
    </cfRule>
  </conditionalFormatting>
  <conditionalFormatting sqref="E374:E375">
    <cfRule type="cellIs" priority="56" operator="lessThan" dxfId="1009">
      <formula>0</formula>
    </cfRule>
    <cfRule type="cellIs" priority="55" operator="lessThan" dxfId="1009">
      <formula>0</formula>
    </cfRule>
  </conditionalFormatting>
  <conditionalFormatting sqref="E364:E365">
    <cfRule type="cellIs" priority="54" operator="lessThan" dxfId="1009">
      <formula>0</formula>
    </cfRule>
  </conditionalFormatting>
  <conditionalFormatting sqref="K12:P12 R12:V12">
    <cfRule type="cellIs" priority="51" operator="greaterThan" dxfId="0">
      <formula>0.75</formula>
    </cfRule>
    <cfRule type="cellIs" priority="52" operator="between" dxfId="1036">
      <formula>0.301</formula>
      <formula>0.7499</formula>
    </cfRule>
    <cfRule type="cellIs" priority="53" operator="lessThan" dxfId="1">
      <formula>0.3</formula>
    </cfRule>
  </conditionalFormatting>
  <conditionalFormatting sqref="K18:W18">
    <cfRule type="cellIs" priority="31" operator="lessThan" dxfId="1">
      <formula>0</formula>
    </cfRule>
    <cfRule type="cellIs" priority="32" operator="greaterThan" dxfId="0">
      <formula>0.0001</formula>
    </cfRule>
  </conditionalFormatting>
  <conditionalFormatting sqref="Q12">
    <cfRule type="cellIs" priority="28" operator="greaterThan" dxfId="0">
      <formula>0.75</formula>
    </cfRule>
    <cfRule type="cellIs" priority="29" operator="between" dxfId="1036">
      <formula>0.301</formula>
      <formula>0.7499</formula>
    </cfRule>
    <cfRule type="cellIs" priority="30" operator="lessThan" dxfId="1">
      <formula>0.3</formula>
    </cfRule>
  </conditionalFormatting>
  <conditionalFormatting sqref="E345:E346">
    <cfRule type="cellIs" priority="27" operator="lessThan" dxfId="1009">
      <formula>0</formula>
    </cfRule>
    <cfRule type="cellIs" priority="26" operator="lessThan" dxfId="1009">
      <formula>0</formula>
    </cfRule>
  </conditionalFormatting>
  <conditionalFormatting sqref="Z5:Z11">
    <cfRule type="cellIs" priority="24" operator="lessThan" dxfId="1">
      <formula>0</formula>
    </cfRule>
    <cfRule type="cellIs" priority="23" operator="greaterThan" dxfId="0">
      <formula>0</formula>
    </cfRule>
  </conditionalFormatting>
  <conditionalFormatting sqref="Y18">
    <cfRule type="cellIs" priority="21" operator="lessThan" dxfId="1">
      <formula>0</formula>
    </cfRule>
    <cfRule type="cellIs" priority="22" operator="greaterThan" dxfId="0">
      <formula>0</formula>
    </cfRule>
  </conditionalFormatting>
  <conditionalFormatting sqref="E333">
    <cfRule type="cellIs" priority="20" operator="lessThan" dxfId="1009">
      <formula>0</formula>
    </cfRule>
  </conditionalFormatting>
  <conditionalFormatting sqref="E316:E317">
    <cfRule type="cellIs" priority="19" operator="lessThan" dxfId="1009">
      <formula>0</formula>
    </cfRule>
    <cfRule type="cellIs" priority="18" operator="lessThan" dxfId="1009">
      <formula>0</formula>
    </cfRule>
  </conditionalFormatting>
  <conditionalFormatting sqref="X70:X76">
    <cfRule type="cellIs" priority="15" operator="lessThan" dxfId="1">
      <formula>0</formula>
    </cfRule>
  </conditionalFormatting>
  <conditionalFormatting sqref="E281:E282">
    <cfRule type="cellIs" priority="14" operator="lessThan" dxfId="1009">
      <formula>0</formula>
    </cfRule>
    <cfRule type="cellIs" priority="13" operator="lessThan" dxfId="1009">
      <formula>0</formula>
    </cfRule>
  </conditionalFormatting>
  <conditionalFormatting sqref="E241:E242">
    <cfRule type="cellIs" priority="9" operator="lessThan" dxfId="1009">
      <formula>0</formula>
    </cfRule>
    <cfRule type="cellIs" priority="8" operator="lessThan" dxfId="1009">
      <formula>0</formula>
    </cfRule>
  </conditionalFormatting>
  <conditionalFormatting sqref="E204:E205">
    <cfRule type="cellIs" priority="7" operator="lessThan" dxfId="1009">
      <formula>0</formula>
    </cfRule>
    <cfRule type="cellIs" priority="6" operator="lessThan" dxfId="1009">
      <formula>0</formula>
    </cfRule>
  </conditionalFormatting>
  <conditionalFormatting sqref="X90:X96">
    <cfRule type="cellIs" priority="4" operator="lessThan" dxfId="1">
      <formula>0</formula>
    </cfRule>
  </conditionalFormatting>
  <conditionalFormatting sqref="E157:E158">
    <cfRule type="cellIs" priority="2" operator="lessThan" dxfId="1009">
      <formula>0</formula>
    </cfRule>
    <cfRule type="cellIs" priority="1" operator="lessThan" dxfId="1009">
      <formula>0</formula>
    </cfRule>
  </conditionalFormatting>
  <dataValidations count="2">
    <dataValidation sqref="C2 C4:C9 C11:C13 C15:C16 C18:C24 C26 C28:C33 C35:C46 C48 C50 C57:C61 C664:C699 C701:C746 C748:C806 C809 C811:C866 C873:C904 C907:C932 C934:C942 C944:C971 C973:C976 C979:C983 C985 C987:C988 C990:C1012 C1014:C1048 C1051:C1062 C1064:C1093 C1095:C1147 C1150:C1184" showDropDown="0" showInputMessage="1" showErrorMessage="1" allowBlank="1" type="list">
      <formula1>$I$3:$I$20</formula1>
    </dataValidation>
    <dataValidation sqref="C123:C158 C161:C205 C207:C242 C244:C282 C284:C317 C319:C346 C348:C375 C377:C414 C417:C454 C456:C518 C520:C592 C594:C663" showDropDown="0" showInputMessage="1" showErrorMessage="1" allowBlank="1" type="list">
      <formula1>$I$3:$I$19</formula1>
    </dataValidation>
  </dataValidations>
  <hyperlinks>
    <hyperlink xmlns:r="http://schemas.openxmlformats.org/officeDocument/2006/relationships" ref="G28" r:id="rId1"/>
    <hyperlink xmlns:r="http://schemas.openxmlformats.org/officeDocument/2006/relationships" ref="G29" r:id="rId2"/>
  </hyperlinks>
  <pageMargins left="0.25" right="0.25" top="0.75" bottom="0.75" header="0.3" footer="0.3"/>
  <pageSetup orientation="landscape" paperSize="9" scale="10"/>
</worksheet>
</file>

<file path=xl/worksheets/sheet16.xml><?xml version="1.0" encoding="utf-8"?>
<worksheet xmlns="http://schemas.openxmlformats.org/spreadsheetml/2006/main">
  <sheetPr>
    <outlinePr summaryBelow="1" summaryRight="1"/>
    <pageSetUpPr/>
  </sheetPr>
  <dimension ref="A3:O63"/>
  <sheetViews>
    <sheetView workbookViewId="0">
      <selection activeCell="V12" sqref="V12"/>
    </sheetView>
  </sheetViews>
  <sheetFormatPr baseColWidth="8" defaultColWidth="9.1328125" defaultRowHeight="12.75"/>
  <cols>
    <col width="15.86328125" bestFit="1" customWidth="1" style="568" min="1" max="1"/>
    <col width="17.53125" bestFit="1" customWidth="1" style="568" min="2" max="2"/>
    <col width="9.86328125" customWidth="1" style="571" min="3" max="7"/>
    <col width="6.46484375" bestFit="1" customWidth="1" style="571" min="8" max="10"/>
    <col width="7.46484375" bestFit="1" customWidth="1" style="571" min="11" max="11"/>
    <col width="6.46484375" bestFit="1" customWidth="1" style="571" min="12" max="12"/>
    <col width="7.46484375" bestFit="1" customWidth="1" style="571" min="13" max="13"/>
    <col width="6.46484375" bestFit="1" customWidth="1" style="571" min="14" max="14"/>
    <col width="12.33203125" bestFit="1" customWidth="1" style="571" min="15" max="15"/>
    <col width="12.19921875" customWidth="1" style="568" min="16" max="16"/>
    <col width="9.1328125" customWidth="1" style="568" min="17" max="16384"/>
  </cols>
  <sheetData>
    <row r="3">
      <c r="A3" s="569" t="inlineStr">
        <is>
          <t>Sum of Categories</t>
        </is>
      </c>
      <c r="B3" s="569" t="inlineStr">
        <is>
          <t>Column Labels</t>
        </is>
      </c>
    </row>
    <row r="4">
      <c r="A4" s="569" t="inlineStr">
        <is>
          <t>Row Labels</t>
        </is>
      </c>
      <c r="B4" s="568" t="inlineStr">
        <is>
          <t>&lt;01/01/2017</t>
        </is>
      </c>
      <c r="C4" s="571" t="inlineStr">
        <is>
          <t>Jan</t>
        </is>
      </c>
      <c r="D4" s="571" t="inlineStr">
        <is>
          <t>Feb</t>
        </is>
      </c>
      <c r="E4" s="571" t="inlineStr">
        <is>
          <t>Mar</t>
        </is>
      </c>
      <c r="F4" s="571" t="inlineStr">
        <is>
          <t>Apr</t>
        </is>
      </c>
      <c r="G4" s="571" t="inlineStr">
        <is>
          <t>May</t>
        </is>
      </c>
      <c r="H4" s="571" t="inlineStr">
        <is>
          <t>Jun</t>
        </is>
      </c>
      <c r="I4" s="571" t="inlineStr">
        <is>
          <t>Jul</t>
        </is>
      </c>
      <c r="J4" s="571" t="inlineStr">
        <is>
          <t>Aug</t>
        </is>
      </c>
      <c r="K4" s="571" t="inlineStr">
        <is>
          <t>Sep</t>
        </is>
      </c>
      <c r="L4" s="571" t="inlineStr">
        <is>
          <t>Oct</t>
        </is>
      </c>
      <c r="M4" s="571" t="inlineStr">
        <is>
          <t>Nov</t>
        </is>
      </c>
      <c r="N4" s="571" t="inlineStr">
        <is>
          <t>Dec</t>
        </is>
      </c>
      <c r="O4" s="571" t="inlineStr">
        <is>
          <t>Grand Total</t>
        </is>
      </c>
    </row>
    <row r="5">
      <c r="A5" s="570" t="inlineStr">
        <is>
          <t>courses/masterclasses</t>
        </is>
      </c>
      <c r="C5" s="571" t="n">
        <v>1862</v>
      </c>
      <c r="D5" s="571" t="n">
        <v>2444</v>
      </c>
      <c r="E5" s="571" t="n">
        <v>2058.91</v>
      </c>
      <c r="F5" s="571" t="n">
        <v>3112</v>
      </c>
      <c r="G5" s="571" t="n">
        <v>2704.5</v>
      </c>
      <c r="H5" s="571" t="n">
        <v>813</v>
      </c>
      <c r="I5" s="571" t="n">
        <v>785.5</v>
      </c>
      <c r="J5" s="571" t="n">
        <v>644</v>
      </c>
      <c r="K5" s="571" t="n">
        <v>4390</v>
      </c>
      <c r="L5" s="571" t="n">
        <v>4327.5</v>
      </c>
      <c r="M5" s="571" t="n">
        <v>5891.5</v>
      </c>
      <c r="N5" s="571" t="n">
        <v>2688</v>
      </c>
      <c r="O5" s="571" t="n">
        <v>31720.91</v>
      </c>
    </row>
    <row r="6">
      <c r="A6" s="570" t="inlineStr">
        <is>
          <t>workshops</t>
        </is>
      </c>
      <c r="C6" s="571" t="n">
        <v>412.5</v>
      </c>
      <c r="D6" s="571" t="n">
        <v>1638</v>
      </c>
      <c r="E6" s="571" t="n">
        <v>2272.38</v>
      </c>
      <c r="F6" s="571" t="n">
        <v>2050.4</v>
      </c>
      <c r="G6" s="571" t="n">
        <v>912.5</v>
      </c>
      <c r="H6" s="571" t="n">
        <v>1990</v>
      </c>
      <c r="I6" s="571" t="n">
        <v>1720</v>
      </c>
      <c r="J6" s="571" t="n">
        <v>2860</v>
      </c>
      <c r="K6" s="571" t="n">
        <v>3882.200000000001</v>
      </c>
      <c r="L6" s="571" t="n">
        <v>3268.75</v>
      </c>
      <c r="M6" s="571" t="n">
        <v>2083</v>
      </c>
      <c r="N6" s="571" t="n">
        <v>235.8</v>
      </c>
      <c r="O6" s="571" t="n">
        <v>23325.53</v>
      </c>
    </row>
    <row r="7">
      <c r="A7" s="570" t="inlineStr">
        <is>
          <t>pick n mix</t>
        </is>
      </c>
      <c r="C7" s="571" t="n">
        <v>339</v>
      </c>
      <c r="D7" s="571" t="n">
        <v>1948</v>
      </c>
      <c r="E7" s="571" t="n">
        <v>509.3</v>
      </c>
      <c r="F7" s="571" t="n">
        <v>515.59</v>
      </c>
      <c r="G7" s="571" t="n">
        <v>954.71</v>
      </c>
      <c r="H7" s="571" t="n">
        <v>690.98</v>
      </c>
      <c r="I7" s="571" t="n">
        <v>780.6500000000001</v>
      </c>
      <c r="J7" s="571" t="n">
        <v>726.3100000000001</v>
      </c>
      <c r="K7" s="571" t="n">
        <v>1532.98</v>
      </c>
      <c r="L7" s="571" t="n">
        <v>1232.48</v>
      </c>
      <c r="M7" s="571" t="n">
        <v>2238</v>
      </c>
      <c r="N7" s="571" t="n">
        <v>307.48</v>
      </c>
      <c r="O7" s="571" t="n">
        <v>11775.48</v>
      </c>
    </row>
    <row r="8">
      <c r="A8" s="570" t="inlineStr">
        <is>
          <t>mentoring</t>
        </is>
      </c>
      <c r="C8" s="571" t="n">
        <v>320</v>
      </c>
      <c r="D8" s="571" t="n">
        <v>140</v>
      </c>
      <c r="E8" s="571" t="n">
        <v>80</v>
      </c>
      <c r="F8" s="571" t="n">
        <v>100</v>
      </c>
      <c r="G8" s="571" t="n">
        <v>720</v>
      </c>
      <c r="H8" s="571" t="n">
        <v>122</v>
      </c>
      <c r="I8" s="571" t="n">
        <v>140</v>
      </c>
      <c r="J8" s="571" t="n">
        <v>360</v>
      </c>
      <c r="K8" s="571" t="n">
        <v>160</v>
      </c>
      <c r="L8" s="571" t="n">
        <v>100</v>
      </c>
      <c r="M8" s="571" t="n">
        <v>80</v>
      </c>
      <c r="N8" s="571" t="n">
        <v>60</v>
      </c>
      <c r="O8" s="571" t="n">
        <v>2382</v>
      </c>
    </row>
    <row r="9">
      <c r="A9" s="570" t="inlineStr">
        <is>
          <t>1-2-1</t>
        </is>
      </c>
      <c r="C9" s="571" t="n">
        <v>240</v>
      </c>
      <c r="E9" s="571" t="n">
        <v>780</v>
      </c>
      <c r="G9" s="571" t="n">
        <v>441.25</v>
      </c>
      <c r="H9" s="571" t="n">
        <v>1604.15</v>
      </c>
      <c r="I9" s="571" t="n">
        <v>146.25</v>
      </c>
      <c r="K9" s="571" t="n">
        <v>400</v>
      </c>
      <c r="L9" s="571" t="n">
        <v>245</v>
      </c>
      <c r="N9" s="571" t="n">
        <v>390</v>
      </c>
      <c r="O9" s="571" t="n">
        <v>4246.65</v>
      </c>
    </row>
    <row r="10">
      <c r="A10" s="570" t="inlineStr">
        <is>
          <t>other</t>
        </is>
      </c>
      <c r="C10" s="571" t="n">
        <v>30</v>
      </c>
      <c r="D10" s="571" t="n">
        <v>515</v>
      </c>
      <c r="E10" s="571" t="n">
        <v>542.24</v>
      </c>
      <c r="F10" s="571" t="n">
        <v>285.18</v>
      </c>
      <c r="G10" s="571" t="n">
        <v>118.75</v>
      </c>
      <c r="H10" s="571" t="n">
        <v>259.8</v>
      </c>
      <c r="I10" s="571" t="n">
        <v>31.41</v>
      </c>
      <c r="J10" s="571" t="n">
        <v>68.53999999999999</v>
      </c>
      <c r="K10" s="571" t="n">
        <v>456.49</v>
      </c>
      <c r="L10" s="571" t="n">
        <v>50.85</v>
      </c>
      <c r="M10" s="571" t="n">
        <v>211.59</v>
      </c>
      <c r="N10" s="571" t="n">
        <v>647.75</v>
      </c>
      <c r="O10" s="571" t="n">
        <v>3217.6</v>
      </c>
    </row>
    <row r="11">
      <c r="A11" s="570" t="inlineStr">
        <is>
          <t>(blank)</t>
        </is>
      </c>
    </row>
    <row r="12">
      <c r="A12" s="570" t="inlineStr">
        <is>
          <t>Grand Total</t>
        </is>
      </c>
      <c r="C12" s="571" t="n">
        <v>3203.5</v>
      </c>
      <c r="D12" s="571" t="n">
        <v>6685</v>
      </c>
      <c r="E12" s="571" t="n">
        <v>6242.83</v>
      </c>
      <c r="F12" s="571" t="n">
        <v>6063.17</v>
      </c>
      <c r="G12" s="571" t="n">
        <v>5851.71</v>
      </c>
      <c r="H12" s="571" t="n">
        <v>5479.93</v>
      </c>
      <c r="I12" s="571" t="n">
        <v>3603.81</v>
      </c>
      <c r="J12" s="571" t="n">
        <v>4658.85</v>
      </c>
      <c r="K12" s="571" t="n">
        <v>10821.67</v>
      </c>
      <c r="L12" s="571" t="n">
        <v>9224.580000000002</v>
      </c>
      <c r="M12" s="571" t="n">
        <v>10504.09</v>
      </c>
      <c r="N12" s="571" t="n">
        <v>4329.03</v>
      </c>
      <c r="O12" s="571" t="n">
        <v>76668.17</v>
      </c>
    </row>
    <row r="13">
      <c r="A13" s="576" t="n"/>
    </row>
    <row r="16">
      <c r="A16" s="569" t="inlineStr">
        <is>
          <t>Sum of Amount</t>
        </is>
      </c>
      <c r="B16" s="569" t="inlineStr">
        <is>
          <t>Column Labels</t>
        </is>
      </c>
    </row>
    <row r="17">
      <c r="A17" s="569" t="inlineStr">
        <is>
          <t>Row Labels</t>
        </is>
      </c>
      <c r="B17" s="568" t="inlineStr">
        <is>
          <t>&lt;01/01/2017</t>
        </is>
      </c>
      <c r="C17" s="571" t="inlineStr">
        <is>
          <t>Jan</t>
        </is>
      </c>
      <c r="D17" s="571" t="inlineStr">
        <is>
          <t>Feb</t>
        </is>
      </c>
      <c r="E17" s="571" t="inlineStr">
        <is>
          <t>Mar</t>
        </is>
      </c>
      <c r="F17" s="571" t="inlineStr">
        <is>
          <t>Apr</t>
        </is>
      </c>
      <c r="G17" s="571" t="inlineStr">
        <is>
          <t>May</t>
        </is>
      </c>
      <c r="H17" s="571" t="inlineStr">
        <is>
          <t>Jun</t>
        </is>
      </c>
      <c r="I17" s="571" t="inlineStr">
        <is>
          <t>Jul</t>
        </is>
      </c>
      <c r="J17" s="571" t="inlineStr">
        <is>
          <t>Aug</t>
        </is>
      </c>
      <c r="K17" s="571" t="inlineStr">
        <is>
          <t>Sep</t>
        </is>
      </c>
      <c r="L17" s="571" t="inlineStr">
        <is>
          <t>Oct</t>
        </is>
      </c>
      <c r="M17" s="571" t="inlineStr">
        <is>
          <t>Nov</t>
        </is>
      </c>
      <c r="N17" s="571" t="inlineStr">
        <is>
          <t>Dec</t>
        </is>
      </c>
      <c r="O17" s="571" t="inlineStr">
        <is>
          <t>Grand Total</t>
        </is>
      </c>
    </row>
    <row r="18">
      <c r="A18" s="570" t="inlineStr">
        <is>
          <t>Google</t>
        </is>
      </c>
      <c r="C18" s="571" t="n">
        <v>1590</v>
      </c>
      <c r="D18" s="571" t="n">
        <v>3635</v>
      </c>
      <c r="E18" s="571" t="n">
        <v>2033</v>
      </c>
      <c r="F18" s="571" t="n">
        <v>2429</v>
      </c>
      <c r="G18" s="571" t="n">
        <v>1737.5</v>
      </c>
      <c r="H18" s="571" t="n">
        <v>2903.8</v>
      </c>
      <c r="I18" s="571" t="n">
        <v>1026.25</v>
      </c>
      <c r="J18" s="571" t="n">
        <v>2620</v>
      </c>
      <c r="K18" s="571" t="n">
        <v>4543</v>
      </c>
      <c r="L18" s="571" t="n">
        <v>418.45</v>
      </c>
      <c r="M18" s="571" t="n">
        <v>2856.5</v>
      </c>
      <c r="N18" s="571" t="n">
        <v>1919.55</v>
      </c>
      <c r="O18" s="571" t="n">
        <v>27712.05</v>
      </c>
    </row>
    <row r="19">
      <c r="A19" s="570" t="inlineStr">
        <is>
          <t>Existing</t>
        </is>
      </c>
      <c r="C19" s="571" t="n">
        <v>1482.5</v>
      </c>
      <c r="D19" s="571" t="n">
        <v>2211</v>
      </c>
      <c r="E19" s="571" t="n">
        <v>3505.68</v>
      </c>
      <c r="F19" s="571" t="n">
        <v>2623.59</v>
      </c>
      <c r="G19" s="571" t="n">
        <v>3837.21</v>
      </c>
      <c r="H19" s="571" t="n">
        <v>1915.13</v>
      </c>
      <c r="I19" s="571" t="n">
        <v>1645.65</v>
      </c>
      <c r="J19" s="571" t="n">
        <v>1771.31</v>
      </c>
      <c r="K19" s="571" t="n">
        <v>4444.18</v>
      </c>
      <c r="L19" s="571" t="n">
        <v>3802.88</v>
      </c>
      <c r="M19" s="571" t="n">
        <v>6023.6</v>
      </c>
      <c r="N19" s="571" t="n">
        <v>2142.48</v>
      </c>
      <c r="O19" s="571" t="n">
        <v>35405.21000000001</v>
      </c>
    </row>
    <row r="20">
      <c r="A20" s="570" t="inlineStr">
        <is>
          <t>Groupon</t>
        </is>
      </c>
      <c r="C20" s="571" t="n">
        <v>72</v>
      </c>
      <c r="D20" s="571" t="n">
        <v>24</v>
      </c>
      <c r="E20" s="571" t="n">
        <v>38.91</v>
      </c>
      <c r="F20" s="571" t="n">
        <v>51</v>
      </c>
      <c r="G20" s="571" t="n">
        <v>52</v>
      </c>
      <c r="H20" s="571" t="n">
        <v>78</v>
      </c>
      <c r="I20" s="571" t="n">
        <v>52</v>
      </c>
      <c r="J20" s="571" t="n">
        <v>39</v>
      </c>
      <c r="K20" s="571" t="n">
        <v>78</v>
      </c>
      <c r="L20" s="571" t="n">
        <v>65</v>
      </c>
      <c r="M20" s="571" t="n">
        <v>36</v>
      </c>
      <c r="N20" s="571" t="n">
        <v>13</v>
      </c>
      <c r="O20" s="571" t="n">
        <v>598.91</v>
      </c>
    </row>
    <row r="21">
      <c r="A21" s="570" t="inlineStr">
        <is>
          <t>Batsford</t>
        </is>
      </c>
      <c r="C21" s="571" t="n">
        <v>59</v>
      </c>
      <c r="D21" s="571" t="n">
        <v>350</v>
      </c>
      <c r="E21" s="571" t="n">
        <v>177</v>
      </c>
      <c r="F21" s="571" t="n">
        <v>124.4</v>
      </c>
      <c r="G21" s="571" t="n">
        <v>190</v>
      </c>
      <c r="H21" s="571" t="n">
        <v>118</v>
      </c>
      <c r="I21" s="571" t="n">
        <v>240</v>
      </c>
      <c r="J21" s="571" t="n">
        <v>20</v>
      </c>
      <c r="K21" s="571" t="n">
        <v>1167.15</v>
      </c>
      <c r="L21" s="571" t="n">
        <v>1014.85</v>
      </c>
      <c r="N21" s="571" t="n">
        <v>59</v>
      </c>
      <c r="O21" s="571" t="n">
        <v>3519.4</v>
      </c>
    </row>
    <row r="22">
      <c r="A22" s="570" t="inlineStr">
        <is>
          <t>Zenfolio</t>
        </is>
      </c>
      <c r="F22" s="571" t="n">
        <v>255.18</v>
      </c>
      <c r="I22" s="571" t="n">
        <v>31.41</v>
      </c>
      <c r="J22" s="571" t="n">
        <v>8.539999999999999</v>
      </c>
      <c r="K22" s="571" t="n">
        <v>46.34</v>
      </c>
      <c r="M22" s="571" t="n">
        <v>42.99</v>
      </c>
      <c r="O22" s="571" t="n">
        <v>384.46</v>
      </c>
    </row>
    <row r="23">
      <c r="A23" s="570" t="inlineStr">
        <is>
          <t>(blank)</t>
        </is>
      </c>
    </row>
    <row r="24">
      <c r="A24" s="570" t="inlineStr">
        <is>
          <t>ELS</t>
        </is>
      </c>
      <c r="D24" s="571" t="n">
        <v>465</v>
      </c>
      <c r="E24" s="571" t="n">
        <v>235</v>
      </c>
      <c r="F24" s="571" t="n">
        <v>580</v>
      </c>
      <c r="G24" s="571" t="n">
        <v>35</v>
      </c>
      <c r="H24" s="571" t="n">
        <v>465</v>
      </c>
      <c r="I24" s="571" t="n">
        <v>545</v>
      </c>
      <c r="J24" s="571" t="n">
        <v>200</v>
      </c>
      <c r="K24" s="571" t="n">
        <v>513</v>
      </c>
      <c r="L24" s="571" t="n">
        <v>3621</v>
      </c>
      <c r="M24" s="571" t="n">
        <v>1545</v>
      </c>
      <c r="N24" s="571" t="n">
        <v>195</v>
      </c>
      <c r="O24" s="571" t="n">
        <v>8399</v>
      </c>
    </row>
    <row r="25">
      <c r="A25" s="570" t="inlineStr">
        <is>
          <t>Other</t>
        </is>
      </c>
      <c r="E25" s="571" t="n">
        <v>253.24</v>
      </c>
      <c r="I25" s="571" t="n">
        <v>63.5</v>
      </c>
      <c r="K25" s="571" t="n">
        <v>30</v>
      </c>
      <c r="L25" s="571" t="n">
        <v>302.4</v>
      </c>
      <c r="O25" s="571" t="n">
        <v>649.14</v>
      </c>
    </row>
    <row r="26">
      <c r="A26" s="570" t="inlineStr">
        <is>
          <t>Grand Total</t>
        </is>
      </c>
      <c r="C26" s="571" t="n">
        <v>3203.5</v>
      </c>
      <c r="D26" s="571" t="n">
        <v>6685</v>
      </c>
      <c r="E26" s="571" t="n">
        <v>6242.83</v>
      </c>
      <c r="F26" s="571" t="n">
        <v>6063.17</v>
      </c>
      <c r="G26" s="571" t="n">
        <v>5851.71</v>
      </c>
      <c r="H26" s="571" t="n">
        <v>5479.93</v>
      </c>
      <c r="I26" s="571" t="n">
        <v>3603.81</v>
      </c>
      <c r="J26" s="571" t="n">
        <v>4658.849999999999</v>
      </c>
      <c r="K26" s="571" t="n">
        <v>10821.67</v>
      </c>
      <c r="L26" s="571" t="n">
        <v>9224.58</v>
      </c>
      <c r="M26" s="571" t="n">
        <v>10504.09</v>
      </c>
      <c r="N26" s="571" t="n">
        <v>4329.03</v>
      </c>
      <c r="O26" s="571" t="n">
        <v>76668.17000000001</v>
      </c>
    </row>
    <row r="31">
      <c r="A31" s="573" t="inlineStr">
        <is>
          <t>Sum of Amount</t>
        </is>
      </c>
      <c r="B31" s="573" t="inlineStr">
        <is>
          <t>Column Labels</t>
        </is>
      </c>
      <c r="C31" s="575" t="n"/>
      <c r="D31" s="575" t="n"/>
      <c r="E31" s="575" t="n"/>
      <c r="F31" s="575" t="n"/>
      <c r="G31" s="575" t="n"/>
      <c r="H31" s="575" t="n"/>
      <c r="I31" s="575" t="n"/>
      <c r="J31" s="575" t="n"/>
      <c r="K31" s="575" t="n"/>
      <c r="L31" s="575" t="n"/>
      <c r="M31" s="575" t="n"/>
      <c r="N31" s="575" t="n"/>
      <c r="O31" s="575" t="n"/>
    </row>
    <row r="32">
      <c r="A32" s="573" t="inlineStr">
        <is>
          <t>Row Labels</t>
        </is>
      </c>
      <c r="B32" s="572" t="inlineStr">
        <is>
          <t>&lt;01/01/2017</t>
        </is>
      </c>
      <c r="C32" s="575" t="inlineStr">
        <is>
          <t>Jan</t>
        </is>
      </c>
      <c r="D32" s="575" t="inlineStr">
        <is>
          <t>Feb</t>
        </is>
      </c>
      <c r="E32" s="575" t="inlineStr">
        <is>
          <t>Mar</t>
        </is>
      </c>
      <c r="F32" s="575" t="inlineStr">
        <is>
          <t>Apr</t>
        </is>
      </c>
      <c r="G32" s="575" t="inlineStr">
        <is>
          <t>May</t>
        </is>
      </c>
      <c r="H32" s="575" t="inlineStr">
        <is>
          <t>Jun</t>
        </is>
      </c>
      <c r="I32" s="575" t="inlineStr">
        <is>
          <t>Jul</t>
        </is>
      </c>
      <c r="J32" s="575" t="inlineStr">
        <is>
          <t>Aug</t>
        </is>
      </c>
      <c r="K32" s="575" t="inlineStr">
        <is>
          <t>Sep</t>
        </is>
      </c>
      <c r="L32" s="575" t="inlineStr">
        <is>
          <t>Oct</t>
        </is>
      </c>
      <c r="M32" s="575" t="inlineStr">
        <is>
          <t>Nov</t>
        </is>
      </c>
      <c r="N32" s="575" t="inlineStr">
        <is>
          <t>Dec</t>
        </is>
      </c>
      <c r="O32" s="575" t="inlineStr">
        <is>
          <t>Grand Total</t>
        </is>
      </c>
    </row>
    <row r="33">
      <c r="A33" s="574" t="inlineStr">
        <is>
          <t>Bank</t>
        </is>
      </c>
      <c r="B33" s="572" t="n"/>
      <c r="C33" s="575" t="n">
        <v>1133.5</v>
      </c>
      <c r="D33" s="575" t="n">
        <v>2998</v>
      </c>
      <c r="E33" s="575" t="n">
        <v>2290.42</v>
      </c>
      <c r="F33" s="575" t="n">
        <v>2682.66</v>
      </c>
      <c r="G33" s="575" t="n">
        <v>761.25</v>
      </c>
      <c r="H33" s="575" t="n">
        <v>2963.35</v>
      </c>
      <c r="I33" s="575" t="n">
        <v>1868.55</v>
      </c>
      <c r="J33" s="575" t="n">
        <v>2455.2</v>
      </c>
      <c r="K33" s="575" t="n">
        <v>5265</v>
      </c>
      <c r="L33" s="575" t="n">
        <v>5563.5</v>
      </c>
      <c r="M33" s="575" t="n">
        <v>5976.5</v>
      </c>
      <c r="N33" s="575" t="n">
        <v>655</v>
      </c>
      <c r="O33" s="575" t="n">
        <v>34612.93</v>
      </c>
    </row>
    <row r="34">
      <c r="A34" s="574" t="inlineStr">
        <is>
          <t>Stripe</t>
        </is>
      </c>
      <c r="B34" s="572" t="n"/>
      <c r="C34" s="575" t="n">
        <v>999</v>
      </c>
      <c r="D34" s="575" t="n">
        <v>2095</v>
      </c>
      <c r="E34" s="575" t="n">
        <v>1419</v>
      </c>
      <c r="F34" s="575" t="n">
        <v>2169.4</v>
      </c>
      <c r="G34" s="575" t="n">
        <v>2678.75</v>
      </c>
      <c r="H34" s="575" t="n">
        <v>1250.8</v>
      </c>
      <c r="I34" s="575" t="n">
        <v>966.25</v>
      </c>
      <c r="J34" s="575" t="n">
        <v>685</v>
      </c>
      <c r="K34" s="575" t="n">
        <v>4172.35</v>
      </c>
      <c r="L34" s="575" t="n">
        <v>2285.2</v>
      </c>
      <c r="M34" s="575" t="n">
        <v>3397.6</v>
      </c>
      <c r="N34" s="575" t="n">
        <v>2503.55</v>
      </c>
      <c r="O34" s="575" t="n">
        <v>24621.9</v>
      </c>
    </row>
    <row r="35">
      <c r="A35" s="574" t="inlineStr">
        <is>
          <t>PayPal</t>
        </is>
      </c>
      <c r="B35" s="572" t="n"/>
      <c r="C35" s="575" t="n">
        <v>540</v>
      </c>
      <c r="D35" s="575" t="n">
        <v>938</v>
      </c>
      <c r="E35" s="575" t="n">
        <v>669</v>
      </c>
      <c r="F35" s="575" t="n">
        <v>248</v>
      </c>
      <c r="G35" s="575" t="n">
        <v>760</v>
      </c>
      <c r="H35" s="575" t="n">
        <v>374</v>
      </c>
      <c r="I35" s="575" t="n">
        <v>31.41</v>
      </c>
      <c r="J35" s="575" t="n">
        <v>383.54</v>
      </c>
      <c r="K35" s="575" t="n">
        <v>481.34</v>
      </c>
      <c r="L35" s="575" t="n">
        <v>938.4</v>
      </c>
      <c r="M35" s="575" t="n">
        <v>242.99</v>
      </c>
      <c r="N35" s="575" t="n">
        <v>160</v>
      </c>
      <c r="O35" s="575" t="n">
        <v>5766.679999999999</v>
      </c>
    </row>
    <row r="36">
      <c r="A36" s="574" t="inlineStr">
        <is>
          <t>Various</t>
        </is>
      </c>
      <c r="B36" s="572" t="n"/>
      <c r="C36" s="575" t="n">
        <v>459</v>
      </c>
      <c r="D36" s="575" t="n">
        <v>130</v>
      </c>
      <c r="E36" s="575" t="n">
        <v>495.5</v>
      </c>
      <c r="F36" s="575" t="n">
        <v>548.11</v>
      </c>
      <c r="G36" s="575" t="n">
        <v>879.71</v>
      </c>
      <c r="H36" s="575" t="n">
        <v>398.78</v>
      </c>
      <c r="I36" s="575" t="n">
        <v>685.6</v>
      </c>
      <c r="J36" s="575" t="n">
        <v>841.11</v>
      </c>
      <c r="K36" s="575" t="n">
        <v>497.98</v>
      </c>
      <c r="L36" s="575" t="n">
        <v>332.48</v>
      </c>
      <c r="M36" s="575" t="n">
        <v>695</v>
      </c>
      <c r="N36" s="575" t="n">
        <v>367.48</v>
      </c>
      <c r="O36" s="575" t="n">
        <v>6330.75</v>
      </c>
    </row>
    <row r="37">
      <c r="A37" s="574" t="inlineStr">
        <is>
          <t>Groupon</t>
        </is>
      </c>
      <c r="B37" s="572" t="n"/>
      <c r="C37" s="575" t="n">
        <v>72</v>
      </c>
      <c r="D37" s="575" t="n">
        <v>24</v>
      </c>
      <c r="E37" s="575" t="n">
        <v>38.91</v>
      </c>
      <c r="F37" s="575" t="n">
        <v>51</v>
      </c>
      <c r="G37" s="575" t="n">
        <v>52</v>
      </c>
      <c r="H37" s="575" t="n">
        <v>78</v>
      </c>
      <c r="I37" s="575" t="n">
        <v>52</v>
      </c>
      <c r="J37" s="575" t="n">
        <v>39</v>
      </c>
      <c r="K37" s="575" t="n">
        <v>78</v>
      </c>
      <c r="L37" s="575" t="n">
        <v>65</v>
      </c>
      <c r="M37" s="575" t="n">
        <v>26</v>
      </c>
      <c r="N37" s="575" t="n">
        <v>13</v>
      </c>
      <c r="O37" s="575" t="n">
        <v>588.91</v>
      </c>
    </row>
    <row r="38">
      <c r="A38" s="574" t="inlineStr">
        <is>
          <t>W-Play</t>
        </is>
      </c>
      <c r="B38" s="572" t="n"/>
      <c r="C38" s="575" t="n"/>
      <c r="D38" s="575" t="n">
        <v>500</v>
      </c>
      <c r="E38" s="575" t="n">
        <v>1330</v>
      </c>
      <c r="F38" s="575" t="n">
        <v>364</v>
      </c>
      <c r="G38" s="575" t="n">
        <v>520</v>
      </c>
      <c r="H38" s="575" t="n">
        <v>415</v>
      </c>
      <c r="I38" s="575" t="n"/>
      <c r="J38" s="575" t="n">
        <v>215</v>
      </c>
      <c r="K38" s="575" t="n">
        <v>297</v>
      </c>
      <c r="L38" s="575" t="n">
        <v>40</v>
      </c>
      <c r="M38" s="575" t="n">
        <v>146</v>
      </c>
      <c r="N38" s="575" t="n">
        <v>630</v>
      </c>
      <c r="O38" s="575" t="n">
        <v>4457</v>
      </c>
    </row>
    <row r="39">
      <c r="A39" s="574" t="inlineStr">
        <is>
          <t>(blank)</t>
        </is>
      </c>
      <c r="B39" s="572" t="n"/>
      <c r="C39" s="575" t="n"/>
      <c r="D39" s="575" t="n"/>
      <c r="E39" s="575" t="n"/>
      <c r="F39" s="575" t="n"/>
      <c r="G39" s="575" t="n"/>
      <c r="H39" s="575" t="n"/>
      <c r="I39" s="575" t="n"/>
      <c r="J39" s="575" t="n"/>
      <c r="K39" s="575" t="n"/>
      <c r="L39" s="575" t="n"/>
      <c r="M39" s="575" t="n"/>
      <c r="N39" s="575" t="n"/>
      <c r="O39" s="575" t="n"/>
    </row>
    <row r="40">
      <c r="A40" s="574" t="inlineStr">
        <is>
          <t>Cash</t>
        </is>
      </c>
      <c r="B40" s="572" t="n"/>
      <c r="C40" s="575" t="n"/>
      <c r="D40" s="575" t="n"/>
      <c r="E40" s="575" t="n"/>
      <c r="F40" s="575" t="n"/>
      <c r="G40" s="575" t="n">
        <v>200</v>
      </c>
      <c r="H40" s="575" t="n"/>
      <c r="I40" s="575" t="n"/>
      <c r="J40" s="575" t="n">
        <v>40</v>
      </c>
      <c r="K40" s="575" t="n">
        <v>30</v>
      </c>
      <c r="L40" s="575" t="n"/>
      <c r="M40" s="575" t="n">
        <v>20</v>
      </c>
      <c r="N40" s="575" t="n"/>
      <c r="O40" s="575" t="n">
        <v>290</v>
      </c>
    </row>
    <row r="41">
      <c r="A41" s="574" t="inlineStr">
        <is>
          <t>Grand Total</t>
        </is>
      </c>
      <c r="B41" s="572" t="n"/>
      <c r="C41" s="575" t="n">
        <v>3203.5</v>
      </c>
      <c r="D41" s="575" t="n">
        <v>6685</v>
      </c>
      <c r="E41" s="575" t="n">
        <v>6242.83</v>
      </c>
      <c r="F41" s="575" t="n">
        <v>6063.17</v>
      </c>
      <c r="G41" s="575" t="n">
        <v>5851.71</v>
      </c>
      <c r="H41" s="575" t="n">
        <v>5479.929999999999</v>
      </c>
      <c r="I41" s="575" t="n">
        <v>3603.81</v>
      </c>
      <c r="J41" s="575" t="n">
        <v>4658.849999999999</v>
      </c>
      <c r="K41" s="575" t="n">
        <v>10821.67</v>
      </c>
      <c r="L41" s="575" t="n">
        <v>9224.58</v>
      </c>
      <c r="M41" s="575" t="n">
        <v>10504.09</v>
      </c>
      <c r="N41" s="575" t="n">
        <v>4329.030000000001</v>
      </c>
      <c r="O41" s="575" t="n">
        <v>76668.17</v>
      </c>
    </row>
    <row r="44">
      <c r="A44" s="573" t="inlineStr">
        <is>
          <t>Count of Amount</t>
        </is>
      </c>
      <c r="B44" s="573" t="inlineStr">
        <is>
          <t>Column Labels</t>
        </is>
      </c>
      <c r="C44" s="575" t="n"/>
      <c r="D44" s="575" t="n"/>
      <c r="E44" s="575" t="n"/>
      <c r="F44" s="575" t="n"/>
      <c r="G44" s="575" t="n"/>
      <c r="H44" s="575" t="n"/>
      <c r="I44" s="575" t="n"/>
      <c r="J44" s="575" t="n"/>
      <c r="K44" s="575" t="n"/>
      <c r="L44" s="575" t="n"/>
      <c r="M44" s="575" t="n"/>
      <c r="N44" s="575" t="n"/>
      <c r="O44" s="575" t="n"/>
    </row>
    <row r="45">
      <c r="A45" s="573" t="inlineStr">
        <is>
          <t>Row Labels</t>
        </is>
      </c>
      <c r="B45" s="572" t="inlineStr">
        <is>
          <t>&lt;01/01/2017</t>
        </is>
      </c>
      <c r="C45" s="575" t="inlineStr">
        <is>
          <t>Jan</t>
        </is>
      </c>
      <c r="D45" s="575" t="inlineStr">
        <is>
          <t>Feb</t>
        </is>
      </c>
      <c r="E45" s="575" t="inlineStr">
        <is>
          <t>Mar</t>
        </is>
      </c>
      <c r="F45" s="575" t="inlineStr">
        <is>
          <t>Apr</t>
        </is>
      </c>
      <c r="G45" s="575" t="inlineStr">
        <is>
          <t>May</t>
        </is>
      </c>
      <c r="H45" s="575" t="inlineStr">
        <is>
          <t>Jun</t>
        </is>
      </c>
      <c r="I45" s="575" t="inlineStr">
        <is>
          <t>Jul</t>
        </is>
      </c>
      <c r="J45" s="575" t="inlineStr">
        <is>
          <t>Aug</t>
        </is>
      </c>
      <c r="K45" s="575" t="inlineStr">
        <is>
          <t>Sep</t>
        </is>
      </c>
      <c r="L45" s="575" t="inlineStr">
        <is>
          <t>Oct</t>
        </is>
      </c>
      <c r="M45" s="575" t="inlineStr">
        <is>
          <t>Nov</t>
        </is>
      </c>
      <c r="N45" s="575" t="inlineStr">
        <is>
          <t>Dec</t>
        </is>
      </c>
      <c r="O45" s="575" t="inlineStr">
        <is>
          <t>Grand Total</t>
        </is>
      </c>
    </row>
    <row r="46">
      <c r="A46" s="574" t="inlineStr">
        <is>
          <t>courses/masterclasses</t>
        </is>
      </c>
      <c r="B46" s="572" t="n"/>
      <c r="C46" s="575" t="n">
        <v>22</v>
      </c>
      <c r="D46" s="575" t="n">
        <v>18</v>
      </c>
      <c r="E46" s="575" t="n">
        <v>15</v>
      </c>
      <c r="F46" s="575" t="n">
        <v>13</v>
      </c>
      <c r="G46" s="575" t="n">
        <v>19</v>
      </c>
      <c r="H46" s="575" t="n">
        <v>12</v>
      </c>
      <c r="I46" s="575" t="n">
        <v>12</v>
      </c>
      <c r="J46" s="575" t="n">
        <v>15</v>
      </c>
      <c r="K46" s="575" t="n">
        <v>25</v>
      </c>
      <c r="L46" s="575" t="n">
        <v>29</v>
      </c>
      <c r="M46" s="575" t="n">
        <v>30</v>
      </c>
      <c r="N46" s="575" t="n">
        <v>19</v>
      </c>
      <c r="O46" s="575" t="n">
        <v>229</v>
      </c>
    </row>
    <row r="47">
      <c r="A47" s="574" t="inlineStr">
        <is>
          <t>workshops</t>
        </is>
      </c>
      <c r="B47" s="572" t="n"/>
      <c r="C47" s="575" t="n">
        <v>4</v>
      </c>
      <c r="D47" s="575" t="n">
        <v>11</v>
      </c>
      <c r="E47" s="575" t="n">
        <v>13</v>
      </c>
      <c r="F47" s="575" t="n">
        <v>16</v>
      </c>
      <c r="G47" s="575" t="n">
        <v>10</v>
      </c>
      <c r="H47" s="575" t="n">
        <v>15</v>
      </c>
      <c r="I47" s="575" t="n">
        <v>8</v>
      </c>
      <c r="J47" s="575" t="n">
        <v>9</v>
      </c>
      <c r="K47" s="575" t="n">
        <v>20</v>
      </c>
      <c r="L47" s="575" t="n">
        <v>24</v>
      </c>
      <c r="M47" s="575" t="n">
        <v>9</v>
      </c>
      <c r="N47" s="575" t="n">
        <v>2</v>
      </c>
      <c r="O47" s="575" t="n">
        <v>141</v>
      </c>
    </row>
    <row r="48">
      <c r="A48" s="574" t="inlineStr">
        <is>
          <t>1-2-1</t>
        </is>
      </c>
      <c r="B48" s="572" t="n"/>
      <c r="C48" s="575" t="n">
        <v>2</v>
      </c>
      <c r="D48" s="575" t="n"/>
      <c r="E48" s="575" t="n">
        <v>4</v>
      </c>
      <c r="F48" s="575" t="n"/>
      <c r="G48" s="575" t="n">
        <v>3</v>
      </c>
      <c r="H48" s="575" t="n">
        <v>2</v>
      </c>
      <c r="I48" s="575" t="n">
        <v>1</v>
      </c>
      <c r="J48" s="575" t="n"/>
      <c r="K48" s="575" t="n">
        <v>3</v>
      </c>
      <c r="L48" s="575" t="n">
        <v>2</v>
      </c>
      <c r="M48" s="575" t="n"/>
      <c r="N48" s="575" t="n">
        <v>2</v>
      </c>
      <c r="O48" s="575" t="n">
        <v>19</v>
      </c>
    </row>
    <row r="49">
      <c r="A49" s="574" t="inlineStr">
        <is>
          <t>mentoring</t>
        </is>
      </c>
      <c r="B49" s="572" t="n"/>
      <c r="C49" s="575" t="n">
        <v>2</v>
      </c>
      <c r="D49" s="575" t="n">
        <v>2</v>
      </c>
      <c r="E49" s="575" t="n">
        <v>1</v>
      </c>
      <c r="F49" s="575" t="n">
        <v>2</v>
      </c>
      <c r="G49" s="575" t="n">
        <v>3</v>
      </c>
      <c r="H49" s="575" t="n">
        <v>2</v>
      </c>
      <c r="I49" s="575" t="n">
        <v>1</v>
      </c>
      <c r="J49" s="575" t="n">
        <v>3</v>
      </c>
      <c r="K49" s="575" t="n">
        <v>2</v>
      </c>
      <c r="L49" s="575" t="n">
        <v>1</v>
      </c>
      <c r="M49" s="575" t="n">
        <v>1</v>
      </c>
      <c r="N49" s="575" t="n">
        <v>1</v>
      </c>
      <c r="O49" s="575" t="n">
        <v>21</v>
      </c>
    </row>
    <row r="50">
      <c r="A50" s="574" t="inlineStr">
        <is>
          <t>pick n mix</t>
        </is>
      </c>
      <c r="B50" s="572" t="n"/>
      <c r="C50" s="575" t="n">
        <v>1</v>
      </c>
      <c r="D50" s="575" t="n">
        <v>4</v>
      </c>
      <c r="E50" s="575" t="n">
        <v>3</v>
      </c>
      <c r="F50" s="575" t="n">
        <v>2</v>
      </c>
      <c r="G50" s="575" t="n">
        <v>2</v>
      </c>
      <c r="H50" s="575" t="n">
        <v>2</v>
      </c>
      <c r="I50" s="575" t="n">
        <v>3</v>
      </c>
      <c r="J50" s="575" t="n">
        <v>2</v>
      </c>
      <c r="K50" s="575" t="n">
        <v>3</v>
      </c>
      <c r="L50" s="575" t="n">
        <v>2</v>
      </c>
      <c r="M50" s="575" t="n">
        <v>2</v>
      </c>
      <c r="N50" s="575" t="n">
        <v>1</v>
      </c>
      <c r="O50" s="575" t="n">
        <v>27</v>
      </c>
    </row>
    <row r="51">
      <c r="A51" s="574" t="inlineStr">
        <is>
          <t>other</t>
        </is>
      </c>
      <c r="B51" s="572" t="n"/>
      <c r="C51" s="575" t="n">
        <v>1</v>
      </c>
      <c r="D51" s="575" t="n">
        <v>17</v>
      </c>
      <c r="E51" s="575" t="n">
        <v>7</v>
      </c>
      <c r="F51" s="575" t="n">
        <v>2</v>
      </c>
      <c r="G51" s="575" t="n">
        <v>2</v>
      </c>
      <c r="H51" s="575" t="n">
        <v>5</v>
      </c>
      <c r="I51" s="575" t="n">
        <v>1</v>
      </c>
      <c r="J51" s="575" t="n">
        <v>3</v>
      </c>
      <c r="K51" s="575" t="n">
        <v>5</v>
      </c>
      <c r="L51" s="575" t="n">
        <v>2</v>
      </c>
      <c r="M51" s="575" t="n">
        <v>4</v>
      </c>
      <c r="N51" s="575" t="n">
        <v>12</v>
      </c>
      <c r="O51" s="575" t="n">
        <v>61</v>
      </c>
    </row>
    <row r="52">
      <c r="A52" s="574" t="inlineStr">
        <is>
          <t>(blank)</t>
        </is>
      </c>
      <c r="B52" s="572" t="n"/>
      <c r="C52" s="575" t="n"/>
      <c r="D52" s="575" t="n"/>
      <c r="E52" s="575" t="n"/>
      <c r="F52" s="575" t="n"/>
      <c r="G52" s="575" t="n"/>
      <c r="H52" s="575" t="n"/>
      <c r="I52" s="575" t="n"/>
      <c r="J52" s="575" t="n"/>
      <c r="K52" s="575" t="n"/>
      <c r="L52" s="575" t="n"/>
      <c r="M52" s="575" t="n"/>
      <c r="N52" s="575" t="n"/>
      <c r="O52" s="575" t="n"/>
    </row>
    <row r="53">
      <c r="A53" s="574" t="inlineStr">
        <is>
          <t>Grand Total</t>
        </is>
      </c>
      <c r="B53" s="572" t="n"/>
      <c r="C53" s="575" t="n">
        <v>32</v>
      </c>
      <c r="D53" s="575" t="n">
        <v>52</v>
      </c>
      <c r="E53" s="575" t="n">
        <v>43</v>
      </c>
      <c r="F53" s="575" t="n">
        <v>35</v>
      </c>
      <c r="G53" s="575" t="n">
        <v>39</v>
      </c>
      <c r="H53" s="575" t="n">
        <v>38</v>
      </c>
      <c r="I53" s="575" t="n">
        <v>26</v>
      </c>
      <c r="J53" s="575" t="n">
        <v>32</v>
      </c>
      <c r="K53" s="575" t="n">
        <v>58</v>
      </c>
      <c r="L53" s="575" t="n">
        <v>60</v>
      </c>
      <c r="M53" s="575" t="n">
        <v>46</v>
      </c>
      <c r="N53" s="575" t="n">
        <v>37</v>
      </c>
      <c r="O53" s="575" t="n">
        <v>498</v>
      </c>
    </row>
    <row r="56">
      <c r="A56" s="1250" t="n"/>
      <c r="B56" s="1250" t="n"/>
      <c r="C56" s="1250" t="n"/>
      <c r="D56" s="1250" t="n"/>
      <c r="E56" s="1250" t="n"/>
      <c r="F56" s="1250" t="n"/>
      <c r="G56" s="1250" t="n"/>
      <c r="H56" s="1250" t="n"/>
      <c r="I56" s="1250" t="n"/>
      <c r="J56" s="1250" t="n"/>
      <c r="K56" s="1250" t="n"/>
      <c r="L56" s="1250" t="n"/>
      <c r="M56" s="1250" t="n"/>
      <c r="N56" s="1250" t="n"/>
      <c r="O56" s="1250" t="n"/>
    </row>
    <row r="57">
      <c r="A57" s="570" t="inlineStr">
        <is>
          <t>courses/masterclasses</t>
        </is>
      </c>
      <c r="B57" s="1250" t="n"/>
      <c r="C57" s="1250">
        <f>GETPIVOTDATA("Amount",$A$3,"Category","courses/masterclasses","Months",1)/GETPIVOTDATA("Amount",$A$44,"Category","courses/masterclasses","Months",1)</f>
        <v/>
      </c>
      <c r="D57" s="1250">
        <f>GETPIVOTDATA("Amount",$A$3,"Category","courses/masterclasses","Months",2)/GETPIVOTDATA("Amount",$A$44,"Category","courses/masterclasses","Months",2)</f>
        <v/>
      </c>
      <c r="E57" s="1250" t="n"/>
      <c r="F57" s="1250" t="n">
        <v>84.63636363636364</v>
      </c>
      <c r="G57" s="1250" t="n">
        <v>135.7777777777778</v>
      </c>
      <c r="H57" s="1250" t="n"/>
      <c r="I57" s="1250" t="n"/>
      <c r="J57" s="1250" t="n"/>
      <c r="K57" s="1250" t="n"/>
      <c r="L57" s="1250" t="n"/>
      <c r="M57" s="1250" t="n"/>
      <c r="N57" s="1250" t="n"/>
      <c r="O57" s="1250" t="n"/>
    </row>
    <row r="58">
      <c r="A58" s="570" t="inlineStr">
        <is>
          <t>workshops</t>
        </is>
      </c>
      <c r="B58" s="1250" t="n"/>
      <c r="C58" s="1250">
        <f>GETPIVOTDATA("Amount",$A$3,"Category","workshops","Months",1)/GETPIVOTDATA("Amount",$A$44,"Category","workshops","Months",1)</f>
        <v/>
      </c>
      <c r="D58" s="1250">
        <f>GETPIVOTDATA("Amount",$A$3,"Category","workshops","Months",2)/GETPIVOTDATA("Amount",$A$44,"Category","workshops","Months",2)</f>
        <v/>
      </c>
      <c r="E58" s="1250" t="n"/>
      <c r="F58" s="1250" t="n">
        <v>103.125</v>
      </c>
      <c r="G58" s="1250" t="n">
        <v>148.9090909090909</v>
      </c>
      <c r="H58" s="1250" t="n"/>
      <c r="I58" s="1250" t="n"/>
      <c r="J58" s="1250" t="n"/>
      <c r="K58" s="1250" t="n"/>
      <c r="L58" s="1250" t="n"/>
      <c r="M58" s="1250" t="n"/>
      <c r="N58" s="1250" t="n"/>
      <c r="O58" s="1250" t="n"/>
    </row>
    <row r="59">
      <c r="A59" s="570" t="inlineStr">
        <is>
          <t>pick n mix</t>
        </is>
      </c>
      <c r="B59" s="1250" t="n"/>
      <c r="C59" s="1250">
        <f>GETPIVOTDATA("Amount",$A$3,"Category","pick n mix","Months",1)/GETPIVOTDATA("Amount",$A$44,"Category","pick n mix","Months",1)</f>
        <v/>
      </c>
      <c r="D59" s="1250">
        <f>GETPIVOTDATA("Amount",$A$3,"Category","pick n mix","Months",2)/GETPIVOTDATA("Amount",$A$44,"Category","pick n mix","Months",2)</f>
        <v/>
      </c>
      <c r="E59" s="1250" t="n"/>
      <c r="F59" s="1250" t="n">
        <v>339</v>
      </c>
      <c r="G59" s="1250" t="n">
        <v>487</v>
      </c>
      <c r="H59" s="1250" t="n"/>
      <c r="I59" s="1250" t="n"/>
      <c r="J59" s="1250" t="n"/>
      <c r="K59" s="1250" t="n"/>
      <c r="L59" s="1250" t="n"/>
      <c r="M59" s="1250" t="n"/>
      <c r="N59" s="1250" t="n"/>
      <c r="O59" s="1250" t="n"/>
    </row>
    <row r="60">
      <c r="A60" s="570" t="inlineStr">
        <is>
          <t>mentoring</t>
        </is>
      </c>
      <c r="B60" s="1250" t="n"/>
      <c r="C60" s="1250">
        <f>GETPIVOTDATA("Amount",$A$3,"Category","mentoring","Months",1)/GETPIVOTDATA("Amount",$A$44,"Category","mentoring","Months",1)</f>
        <v/>
      </c>
      <c r="D60" s="1250">
        <f>GETPIVOTDATA("Amount",$A$3,"Category","mentoring","Months",1)/GETPIVOTDATA("Amount",$A$44,"Category","mentoring","Months",1)</f>
        <v/>
      </c>
      <c r="E60" s="1250" t="n"/>
      <c r="F60" s="1250" t="n">
        <v>160</v>
      </c>
      <c r="G60" s="1250" t="n">
        <v>160</v>
      </c>
      <c r="H60" s="1250" t="n"/>
      <c r="I60" s="1250" t="n"/>
      <c r="J60" s="1250" t="n"/>
      <c r="K60" s="1250" t="n"/>
      <c r="L60" s="1250" t="n"/>
      <c r="M60" s="1250" t="n"/>
      <c r="N60" s="1250" t="n"/>
      <c r="O60" s="1250" t="n"/>
    </row>
    <row r="61">
      <c r="A61" s="570" t="inlineStr">
        <is>
          <t>1-2-1</t>
        </is>
      </c>
      <c r="B61" s="1250" t="n"/>
      <c r="C61" s="1250">
        <f>GETPIVOTDATA("Amount",$A$3,"Category","1-2-1","Months",1)/GETPIVOTDATA("Amount",$A$44,"Category","1-2-1","Months",1)</f>
        <v/>
      </c>
      <c r="D61" s="1250">
        <f>GETPIVOTDATA("Amount",$A$3,"Category","1-2-1","Months",1)/GETPIVOTDATA("Amount",$A$44,"Category","1-2-1","Months",1)</f>
        <v/>
      </c>
      <c r="E61" s="1250" t="n"/>
      <c r="F61" s="1250" t="n">
        <v>120</v>
      </c>
      <c r="G61" s="1250" t="n">
        <v>120</v>
      </c>
      <c r="H61" s="1250" t="n"/>
      <c r="I61" s="1250" t="n"/>
      <c r="J61" s="1250" t="n"/>
      <c r="K61" s="1250" t="n"/>
      <c r="L61" s="1250" t="n"/>
      <c r="M61" s="1250" t="n"/>
      <c r="N61" s="1250" t="n"/>
      <c r="O61" s="1250" t="n"/>
    </row>
    <row r="62">
      <c r="A62" s="570" t="inlineStr">
        <is>
          <t>other</t>
        </is>
      </c>
      <c r="B62" s="1250" t="n"/>
      <c r="C62" s="1250">
        <f>GETPIVOTDATA("Amount",$A$3,"Category","other","Months",1)/GETPIVOTDATA("Amount",$A$44,"Category","other","Months",1)</f>
        <v/>
      </c>
      <c r="D62" s="1250">
        <f>GETPIVOTDATA("Amount",$A$3,"Category","other","Months",1)/GETPIVOTDATA("Amount",$A$44,"Category","other","Months",1)</f>
        <v/>
      </c>
      <c r="E62" s="1250" t="n"/>
      <c r="F62" s="1250" t="n">
        <v>30</v>
      </c>
      <c r="G62" s="1250" t="n">
        <v>30</v>
      </c>
      <c r="H62" s="1250" t="n"/>
      <c r="I62" s="1250" t="n"/>
      <c r="J62" s="1250" t="n"/>
      <c r="K62" s="1250" t="n"/>
      <c r="L62" s="1250" t="n"/>
      <c r="M62" s="1250" t="n"/>
      <c r="N62" s="1250" t="n"/>
      <c r="O62" s="1250" t="n"/>
    </row>
    <row r="63">
      <c r="A63" s="570" t="inlineStr">
        <is>
          <t>(blank)</t>
        </is>
      </c>
      <c r="B63" s="1250" t="n"/>
      <c r="C63" s="1250" t="n"/>
      <c r="D63" s="1250" t="n"/>
      <c r="E63" s="1250" t="n"/>
      <c r="F63" s="1250" t="n"/>
      <c r="G63" s="1250" t="n"/>
      <c r="H63" s="1250" t="n"/>
      <c r="I63" s="1250" t="n"/>
      <c r="J63" s="1250" t="n"/>
      <c r="K63" s="1250" t="n"/>
      <c r="L63" s="1250" t="n"/>
      <c r="M63" s="1250" t="n"/>
      <c r="N63" s="1250" t="n"/>
      <c r="O63" s="1250" t="n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>
  <sheetPr>
    <outlinePr summaryBelow="1" summaryRight="1"/>
    <pageSetUpPr fitToPage="1"/>
  </sheetPr>
  <dimension ref="A1:AG626"/>
  <sheetViews>
    <sheetView topLeftCell="A15" zoomScaleNormal="100" workbookViewId="0">
      <selection activeCell="G23" sqref="G23:U93"/>
    </sheetView>
  </sheetViews>
  <sheetFormatPr baseColWidth="8" defaultColWidth="9.1328125" defaultRowHeight="12.75"/>
  <cols>
    <col width="11" bestFit="1" customWidth="1" style="1255" min="1" max="1"/>
    <col width="19.46484375" customWidth="1" style="1255" min="2" max="2"/>
    <col width="18.86328125" customWidth="1" style="1255" min="3" max="3"/>
    <col width="11.19921875" bestFit="1" customWidth="1" style="1255" min="4" max="4"/>
    <col width="10" bestFit="1" customWidth="1" style="1256" min="5" max="5"/>
    <col width="19" customWidth="1" style="1255" min="6" max="6"/>
    <col width="22.53125" customWidth="1" style="1255" min="7" max="7"/>
    <col width="12.6640625" customWidth="1" style="1255" min="8" max="8"/>
    <col width="7.46484375" customWidth="1" style="1255" min="9" max="9"/>
    <col width="6.86328125" bestFit="1" customWidth="1" style="1255" min="10" max="10"/>
    <col width="6.53125" customWidth="1" style="1255" min="11" max="17"/>
    <col width="7.53125" customWidth="1" style="1255" min="18" max="18"/>
    <col width="6.6640625" customWidth="1" style="1255" min="19" max="19"/>
    <col width="7.33203125" customWidth="1" style="1255" min="20" max="20"/>
    <col width="6.53125" customWidth="1" style="1255" min="21" max="21"/>
    <col width="6.1328125" customWidth="1" style="1255" min="22" max="22"/>
    <col width="7.33203125" customWidth="1" style="1255" min="23" max="23"/>
    <col width="6.86328125" customWidth="1" style="1255" min="24" max="24"/>
    <col width="9.1328125" customWidth="1" style="1255" min="25" max="25"/>
    <col width="6.46484375" bestFit="1" customWidth="1" style="1255" min="26" max="26"/>
    <col width="9.1328125" customWidth="1" style="1255" min="27" max="28"/>
    <col width="20.53125" customWidth="1" style="1255" min="29" max="29"/>
    <col width="13.33203125" customWidth="1" style="1255" min="30" max="30"/>
    <col width="12" bestFit="1" customWidth="1" style="1255" min="31" max="31"/>
    <col width="9.1328125" customWidth="1" style="1255" min="32" max="16384"/>
  </cols>
  <sheetData>
    <row r="1" ht="13.15" customHeight="1" s="1232">
      <c r="A1" s="1265" t="inlineStr">
        <is>
          <t>Date</t>
        </is>
      </c>
      <c r="B1" s="1265" t="inlineStr">
        <is>
          <t>Name</t>
        </is>
      </c>
      <c r="C1" s="1265" t="inlineStr">
        <is>
          <t>Category</t>
        </is>
      </c>
      <c r="D1" s="1265" t="inlineStr">
        <is>
          <t>Source</t>
        </is>
      </c>
      <c r="E1" s="1264" t="inlineStr">
        <is>
          <t>Value</t>
        </is>
      </c>
      <c r="F1" s="1265" t="inlineStr">
        <is>
          <t xml:space="preserve">Fulfilled </t>
        </is>
      </c>
      <c r="G1" s="1336" t="inlineStr">
        <is>
          <t>Tuition Categories</t>
        </is>
      </c>
      <c r="H1" s="1276" t="inlineStr">
        <is>
          <t>Target</t>
        </is>
      </c>
      <c r="I1" s="1415" t="inlineStr">
        <is>
          <t>Jan</t>
        </is>
      </c>
      <c r="J1" s="1415" t="inlineStr">
        <is>
          <t>Feb</t>
        </is>
      </c>
      <c r="K1" s="1415" t="inlineStr">
        <is>
          <t>Mar</t>
        </is>
      </c>
      <c r="L1" s="1415" t="inlineStr">
        <is>
          <t>Apr</t>
        </is>
      </c>
      <c r="M1" s="1415" t="inlineStr">
        <is>
          <t>May</t>
        </is>
      </c>
      <c r="N1" s="1415" t="inlineStr">
        <is>
          <t>Jun</t>
        </is>
      </c>
      <c r="O1" s="1415" t="inlineStr">
        <is>
          <t>Jul</t>
        </is>
      </c>
      <c r="P1" s="1415" t="inlineStr">
        <is>
          <t>Aug</t>
        </is>
      </c>
      <c r="Q1" s="1415" t="inlineStr">
        <is>
          <t>Sep</t>
        </is>
      </c>
      <c r="R1" s="1415" t="inlineStr">
        <is>
          <t>Oct</t>
        </is>
      </c>
      <c r="S1" s="1415" t="inlineStr">
        <is>
          <t>Nov</t>
        </is>
      </c>
      <c r="T1" s="1415" t="inlineStr">
        <is>
          <t>Dec</t>
        </is>
      </c>
      <c r="U1" s="1278" t="inlineStr">
        <is>
          <t>Year</t>
        </is>
      </c>
      <c r="V1" s="1336" t="inlineStr">
        <is>
          <t>Var</t>
        </is>
      </c>
      <c r="W1" s="1416" t="inlineStr">
        <is>
          <t>Var YTD</t>
        </is>
      </c>
      <c r="X1" s="1417" t="inlineStr">
        <is>
          <t>% YTD</t>
        </is>
      </c>
      <c r="Y1" s="1255" t="inlineStr">
        <is>
          <t>YTD Targ</t>
        </is>
      </c>
      <c r="Z1" s="1255" t="inlineStr">
        <is>
          <t>A.PM</t>
        </is>
      </c>
      <c r="AB1" s="1268" t="inlineStr">
        <is>
          <t>TY</t>
        </is>
      </c>
      <c r="AC1" s="1260" t="inlineStr">
        <is>
          <t>Total</t>
        </is>
      </c>
      <c r="AD1" s="1260" t="inlineStr">
        <is>
          <t>Apr to Dec</t>
        </is>
      </c>
      <c r="AE1" s="1260" t="inlineStr">
        <is>
          <t>Jan to Mar</t>
        </is>
      </c>
      <c r="AF1" s="1260" t="inlineStr">
        <is>
          <t>% Inc</t>
        </is>
      </c>
    </row>
    <row r="2" ht="13.5" customHeight="1" s="1232">
      <c r="A2" s="1271" t="n"/>
      <c r="B2" s="1271" t="n"/>
      <c r="C2" s="1271" t="n"/>
      <c r="E2" s="1418" t="n"/>
      <c r="F2" s="1419" t="n"/>
      <c r="G2" s="1420" t="inlineStr">
        <is>
          <t>courses/masterclasses</t>
        </is>
      </c>
      <c r="H2" s="431" t="n">
        <v>2000</v>
      </c>
      <c r="I2" s="432">
        <f>SUMIF($C592:C624,G2,$E592:$E625)</f>
        <v/>
      </c>
      <c r="J2" s="432">
        <f>SUMIF($C$538:C$589,$G2,$E$538:$E$589)</f>
        <v/>
      </c>
      <c r="K2" s="432">
        <f>SUMIF($C$493:C$535,$G2,$E$493:$E$535)</f>
        <v/>
      </c>
      <c r="L2" s="432">
        <f>SUMIF($C$455:C$490,$G2,$E$455:$E$490)</f>
        <v/>
      </c>
      <c r="M2" s="432">
        <f>SUMIF($C$415:D$455,$G2,$E$415:$E$455)</f>
        <v/>
      </c>
      <c r="N2" s="432">
        <f>SUMIF($C$376:E$414,$G2,$E$376:$E$414)</f>
        <v/>
      </c>
      <c r="O2" s="432">
        <f>SUMIF($C$348:F$374,$G2,$E$348:$E$374)</f>
        <v/>
      </c>
      <c r="P2" s="432">
        <f>SUMIF($C$312:G$346,$G2,$E$312:$E$346)</f>
        <v/>
      </c>
      <c r="Q2" s="432">
        <f>SUMIF($C$251:H$308,$G2,$E$251:$E$308)</f>
        <v/>
      </c>
      <c r="R2" s="432">
        <f>SUMIF($C$190:H$249,$G2,$E$190:$E$249)</f>
        <v/>
      </c>
      <c r="S2" s="432">
        <f>SUMIF($C$143:G$188,$G2,$E$143:$E$188)</f>
        <v/>
      </c>
      <c r="T2" s="432">
        <f>SUMIF($C$95:G$141,$G2,$E$95:$E$141)</f>
        <v/>
      </c>
      <c r="U2" s="431">
        <f>SUM(I2:T2)</f>
        <v/>
      </c>
      <c r="V2" s="432">
        <f>T2-H2</f>
        <v/>
      </c>
      <c r="W2" s="432">
        <f>U2-Y2</f>
        <v/>
      </c>
      <c r="X2" s="433">
        <f>SUM(W2/(H2*12))</f>
        <v/>
      </c>
      <c r="Y2" s="434">
        <f>H2*12</f>
        <v/>
      </c>
      <c r="Z2" s="434">
        <f>U2/12</f>
        <v/>
      </c>
      <c r="AB2" s="1282" t="inlineStr">
        <is>
          <t>2017/18</t>
        </is>
      </c>
      <c r="AC2" s="1421">
        <f>AD2+AE2</f>
        <v/>
      </c>
      <c r="AD2" s="1255">
        <f>SUM(L8:T8)</f>
        <v/>
      </c>
      <c r="AF2" s="445">
        <f>SUM(AD2-AD3)/AD2</f>
        <v/>
      </c>
    </row>
    <row r="3" ht="13.5" customHeight="1" s="1232">
      <c r="A3" s="1271" t="n">
        <v>43100</v>
      </c>
      <c r="B3" s="1271" t="inlineStr">
        <is>
          <t>Jodie Child - ELS</t>
        </is>
      </c>
      <c r="C3" s="1271" t="inlineStr">
        <is>
          <t>Deals Won - Waiting £</t>
        </is>
      </c>
      <c r="E3" s="1418" t="n">
        <v>200</v>
      </c>
      <c r="F3" s="1419" t="inlineStr">
        <is>
          <t>5wk Course</t>
        </is>
      </c>
      <c r="G3" s="1420" t="inlineStr">
        <is>
          <t>workshops</t>
        </is>
      </c>
      <c r="H3" s="431" t="n">
        <v>2000</v>
      </c>
      <c r="I3" s="432">
        <f>SUMIF($C593:C625,G3,$E593:$E626)</f>
        <v/>
      </c>
      <c r="J3" s="432">
        <f>SUMIF($C$538:C$589,$G3,$E$538:$E$589)</f>
        <v/>
      </c>
      <c r="K3" s="432">
        <f>SUMIF($C$493:C$535,$G3,$E$493:$E$535)</f>
        <v/>
      </c>
      <c r="L3" s="432">
        <f>SUMIF($C$455:C$490,$G3,$E$455:$E$490)</f>
        <v/>
      </c>
      <c r="M3" s="432">
        <f>SUMIF($C$415:D$455,$G3,$E$415:$E$455)</f>
        <v/>
      </c>
      <c r="N3" s="432">
        <f>SUMIF($C$376:E$414,$G3,$E$376:$E$414)</f>
        <v/>
      </c>
      <c r="O3" s="432">
        <f>SUMIF($C$348:F$374,$G3,$E$348:$E$374)</f>
        <v/>
      </c>
      <c r="P3" s="432">
        <f>SUMIF($C$312:G$346,$G3,$E$312:$E$346)</f>
        <v/>
      </c>
      <c r="Q3" s="432">
        <f>SUMIF($C$251:H$308,$G3,$E$251:$E$308)</f>
        <v/>
      </c>
      <c r="R3" s="432">
        <f>SUMIF($C$190:H$249,$G3,$E$190:$E$249)</f>
        <v/>
      </c>
      <c r="S3" s="432">
        <f>SUMIF($C$143:G$188,$G3,$E$143:$E$188)</f>
        <v/>
      </c>
      <c r="T3" s="432">
        <f>SUMIF($C$95:G$141,$G3,$E$95:$E$141)</f>
        <v/>
      </c>
      <c r="U3" s="431">
        <f>SUM(I3:T3)</f>
        <v/>
      </c>
      <c r="V3" s="432">
        <f>T3-H3</f>
        <v/>
      </c>
      <c r="W3" s="432">
        <f>U3-Y3</f>
        <v/>
      </c>
      <c r="X3" s="433">
        <f>SUM(W3/(H3*12))</f>
        <v/>
      </c>
      <c r="Y3" s="434">
        <f>H3*12</f>
        <v/>
      </c>
      <c r="Z3" s="434">
        <f>U3/12</f>
        <v/>
      </c>
      <c r="AB3" s="1282" t="inlineStr">
        <is>
          <t>2016/17</t>
        </is>
      </c>
      <c r="AC3" s="1421">
        <f>AD3+AE3</f>
        <v/>
      </c>
      <c r="AD3" s="1255">
        <f>SUM(L10:T10)</f>
        <v/>
      </c>
      <c r="AE3" s="1255">
        <f>SUM(I8:K8)</f>
        <v/>
      </c>
      <c r="AF3" s="445">
        <f>SUM(AD3-AD4)/AD3</f>
        <v/>
      </c>
    </row>
    <row r="4" ht="13.5" customHeight="1" s="1232">
      <c r="A4" s="1271" t="n">
        <v>43100</v>
      </c>
      <c r="B4" s="1271" t="inlineStr">
        <is>
          <t>Sayed Nazir - ELS</t>
        </is>
      </c>
      <c r="C4" s="1271" t="inlineStr">
        <is>
          <t>Deals Won - Waiting £</t>
        </is>
      </c>
      <c r="E4" s="1418" t="n">
        <v>200</v>
      </c>
      <c r="F4" s="1419" t="inlineStr">
        <is>
          <t>5wk Course</t>
        </is>
      </c>
      <c r="G4" s="1420" t="inlineStr">
        <is>
          <t>pick n mix</t>
        </is>
      </c>
      <c r="H4" s="431" t="n">
        <v>750</v>
      </c>
      <c r="I4" s="432">
        <f>SUMIF($C594:C626,G4,$E594:$E627)</f>
        <v/>
      </c>
      <c r="J4" s="432">
        <f>SUMIF($C$538:C$589,$G4,$E$538:$E$589)</f>
        <v/>
      </c>
      <c r="K4" s="432">
        <f>SUMIF($C$493:C$535,$G4,$E$493:$E$535)</f>
        <v/>
      </c>
      <c r="L4" s="432">
        <f>SUMIF($C$455:C$490,$G4,$E$455:$E$490)</f>
        <v/>
      </c>
      <c r="M4" s="432">
        <f>SUMIF($C$415:D$455,$G4,$E$415:$E$455)</f>
        <v/>
      </c>
      <c r="N4" s="432">
        <f>SUMIF($C$376:E$414,$G4,$E$376:$E$414)</f>
        <v/>
      </c>
      <c r="O4" s="432">
        <f>SUMIF($C$348:F$374,$G4,$E$348:$E$374)</f>
        <v/>
      </c>
      <c r="P4" s="432">
        <f>SUMIF($C$312:G$346,$G4,$E$312:$E$346)</f>
        <v/>
      </c>
      <c r="Q4" s="432">
        <f>SUMIF($C$251:H$308,$G4,$E$251:$E$308)</f>
        <v/>
      </c>
      <c r="R4" s="432">
        <f>SUMIF($C$190:H$249,$G4,$E$190:$E$249)</f>
        <v/>
      </c>
      <c r="S4" s="432">
        <f>SUMIF($C$143:G$188,$G4,$E$143:$E$188)</f>
        <v/>
      </c>
      <c r="T4" s="432">
        <f>SUMIF($C$95:G$141,$G4,$E$95:$E$141)</f>
        <v/>
      </c>
      <c r="U4" s="431">
        <f>SUM(I4:T4)</f>
        <v/>
      </c>
      <c r="V4" s="432">
        <f>T4-H4</f>
        <v/>
      </c>
      <c r="W4" s="432">
        <f>U4-Y4</f>
        <v/>
      </c>
      <c r="X4" s="433">
        <f>SUM(W4/(H4*12))</f>
        <v/>
      </c>
      <c r="Y4" s="434">
        <f>H4*12</f>
        <v/>
      </c>
      <c r="Z4" s="434">
        <f>U4/12</f>
        <v/>
      </c>
      <c r="AB4" s="1282" t="inlineStr">
        <is>
          <t>2015/16</t>
        </is>
      </c>
      <c r="AC4" s="1421">
        <f>AD4+AE4</f>
        <v/>
      </c>
      <c r="AD4" s="1255">
        <f>SUM(L11:T11)</f>
        <v/>
      </c>
      <c r="AE4" s="1255">
        <f>SUM(I10:K10)</f>
        <v/>
      </c>
      <c r="AF4" s="445">
        <f>SUM(AD4-AD5)/AD4</f>
        <v/>
      </c>
    </row>
    <row r="5" ht="13.5" customHeight="1" s="1232">
      <c r="A5" s="1271" t="n">
        <v>43100</v>
      </c>
      <c r="B5" s="1271" t="inlineStr">
        <is>
          <t>Jonathan Mee - ELS</t>
        </is>
      </c>
      <c r="C5" s="1271" t="inlineStr">
        <is>
          <t>Deals Won - Waiting £</t>
        </is>
      </c>
      <c r="E5" s="1418" t="n">
        <v>135</v>
      </c>
      <c r="F5" s="1419" t="n"/>
      <c r="G5" s="1420" t="inlineStr">
        <is>
          <t>mentoring</t>
        </is>
      </c>
      <c r="H5" s="431" t="n">
        <v>400</v>
      </c>
      <c r="I5" s="432">
        <f>SUMIF($C595:C627,G5,$E595:$E628)</f>
        <v/>
      </c>
      <c r="J5" s="432">
        <f>SUMIF($C$538:C$589,$G5,$E$538:$E$589)</f>
        <v/>
      </c>
      <c r="K5" s="432">
        <f>SUMIF($C$493:C$535,$G5,$E$493:$E$535)</f>
        <v/>
      </c>
      <c r="L5" s="432">
        <f>SUMIF($C$455:C$490,$G5,$E$455:$E$490)</f>
        <v/>
      </c>
      <c r="M5" s="432">
        <f>SUMIF($C$415:D$455,$G5,$E$415:$E$455)</f>
        <v/>
      </c>
      <c r="N5" s="432">
        <f>SUMIF($C$376:E$414,$G5,$E$376:$E$414)</f>
        <v/>
      </c>
      <c r="O5" s="432">
        <f>SUMIF($C$348:F$374,$G5,$E$348:$E$374)</f>
        <v/>
      </c>
      <c r="P5" s="432">
        <f>SUMIF($C$312:G$346,$G5,$E$312:$E$346)</f>
        <v/>
      </c>
      <c r="Q5" s="432">
        <f>SUMIF($C$251:H$308,$G5,$E$251:$E$308)</f>
        <v/>
      </c>
      <c r="R5" s="432">
        <f>SUMIF($C$190:H$249,$G5,$E$190:$E$249)</f>
        <v/>
      </c>
      <c r="S5" s="432">
        <f>SUMIF($C$143:G$188,$G5,$E$143:$E$188)</f>
        <v/>
      </c>
      <c r="T5" s="432">
        <f>SUMIF($C$95:G$141,$G5,$E$95:$E$141)</f>
        <v/>
      </c>
      <c r="U5" s="431">
        <f>SUM(I5:T5)</f>
        <v/>
      </c>
      <c r="V5" s="432">
        <f>T5-H5</f>
        <v/>
      </c>
      <c r="W5" s="432">
        <f>U5-Y5</f>
        <v/>
      </c>
      <c r="X5" s="433">
        <f>SUM(W5/(H5*12))</f>
        <v/>
      </c>
      <c r="Y5" s="434">
        <f>H5*12</f>
        <v/>
      </c>
      <c r="Z5" s="434">
        <f>U5/12</f>
        <v/>
      </c>
      <c r="AB5" s="1282" t="inlineStr">
        <is>
          <t>2014/15</t>
        </is>
      </c>
      <c r="AC5" s="1421">
        <f>AD5+AE5</f>
        <v/>
      </c>
      <c r="AD5" s="1255">
        <f>SUM(L12:T12)</f>
        <v/>
      </c>
      <c r="AE5" s="1255">
        <f>SUM(I11:K11)</f>
        <v/>
      </c>
      <c r="AF5" s="445">
        <f>SUM(AD5-AD6)/AD5</f>
        <v/>
      </c>
    </row>
    <row r="6" ht="13.5" customHeight="1" s="1232">
      <c r="A6" s="1271" t="n">
        <v>43100</v>
      </c>
      <c r="B6" s="1271" t="inlineStr">
        <is>
          <t>Philip Webster -ELS</t>
        </is>
      </c>
      <c r="C6" s="1271" t="inlineStr">
        <is>
          <t>Deals Won - Waiting £</t>
        </is>
      </c>
      <c r="E6" s="1418" t="n">
        <v>200</v>
      </c>
      <c r="F6" s="1422" t="inlineStr">
        <is>
          <t>1:2:1</t>
        </is>
      </c>
      <c r="G6" s="1423" t="inlineStr">
        <is>
          <t>1-2-1</t>
        </is>
      </c>
      <c r="H6" s="431" t="n">
        <v>400</v>
      </c>
      <c r="I6" s="432">
        <f>SUMIF($C596:C628,G6,$E596:$E629)</f>
        <v/>
      </c>
      <c r="J6" s="432">
        <f>SUMIF($C$538:C$589,$G6,$E$538:$E$589)</f>
        <v/>
      </c>
      <c r="K6" s="432">
        <f>SUMIF($C$493:C$535,$G6,$E$493:$E$535)</f>
        <v/>
      </c>
      <c r="L6" s="432">
        <f>SUMIF($C$455:C$490,$G6,$E$455:$E$490)</f>
        <v/>
      </c>
      <c r="M6" s="432">
        <f>SUMIF($C$415:D$455,$G6,$E$415:$E$455)</f>
        <v/>
      </c>
      <c r="N6" s="432">
        <f>SUMIF($C$376:E$414,$G6,$E$376:$E$414)</f>
        <v/>
      </c>
      <c r="O6" s="432">
        <f>SUMIF($C$348:F$374,$G6,$E$348:$E$374)</f>
        <v/>
      </c>
      <c r="P6" s="432">
        <f>SUMIF($C$312:G$346,$G6,$E$312:$E$346)</f>
        <v/>
      </c>
      <c r="Q6" s="432">
        <f>SUMIF($C$251:H$308,$G6,$E$251:$E$308)</f>
        <v/>
      </c>
      <c r="R6" s="432">
        <f>SUMIF($C$190:H$249,$G6,$E$190:$E$249)</f>
        <v/>
      </c>
      <c r="S6" s="432">
        <f>SUMIF($C$143:G$188,$G6,$E$143:$E$188)</f>
        <v/>
      </c>
      <c r="T6" s="432">
        <f>SUMIF($C$95:G$141,$G6,$E$95:$E$141)</f>
        <v/>
      </c>
      <c r="U6" s="431">
        <f>SUM(I6:T6)</f>
        <v/>
      </c>
      <c r="V6" s="432">
        <f>T6-H6</f>
        <v/>
      </c>
      <c r="W6" s="432">
        <f>U6-Y6</f>
        <v/>
      </c>
      <c r="X6" s="433">
        <f>SUM(W6/(H6*12))</f>
        <v/>
      </c>
      <c r="Y6" s="434">
        <f>H6*12</f>
        <v/>
      </c>
      <c r="Z6" s="434">
        <f>U6/12</f>
        <v/>
      </c>
      <c r="AB6" s="1282" t="inlineStr">
        <is>
          <t>2013/14</t>
        </is>
      </c>
      <c r="AC6" s="1421">
        <f>AD6+AE6</f>
        <v/>
      </c>
      <c r="AD6" s="1255">
        <f>SUM(L13:T13)</f>
        <v/>
      </c>
      <c r="AE6" s="1255">
        <f>SUM(I12:K12)</f>
        <v/>
      </c>
      <c r="AF6" s="445" t="n"/>
    </row>
    <row r="7" ht="13.5" customHeight="1" s="1232">
      <c r="A7" s="1271" t="n">
        <v>43100</v>
      </c>
      <c r="B7" s="1271" t="inlineStr">
        <is>
          <t>James Braithwaite ELS</t>
        </is>
      </c>
      <c r="C7" s="1271" t="inlineStr">
        <is>
          <t>Deals Won - Waiting £</t>
        </is>
      </c>
      <c r="E7" s="1418" t="n">
        <v>150</v>
      </c>
      <c r="F7" s="1419" t="inlineStr">
        <is>
          <t>Hartland - Jan 2018</t>
        </is>
      </c>
      <c r="G7" s="1423" t="inlineStr">
        <is>
          <t>other</t>
        </is>
      </c>
      <c r="H7" s="431" t="n">
        <v>300</v>
      </c>
      <c r="I7" s="432">
        <f>SUMIF($C597:C629,G7,$E597:$E630)</f>
        <v/>
      </c>
      <c r="J7" s="432">
        <f>SUMIF($C$538:C$589,$G7,$E$538:$E$589)</f>
        <v/>
      </c>
      <c r="K7" s="432">
        <f>SUMIF($C$493:C$535,$G7,$E$493:$E$535)</f>
        <v/>
      </c>
      <c r="L7" s="432">
        <f>SUMIF($C$455:C$490,$G7,$E$455:$E$490)</f>
        <v/>
      </c>
      <c r="M7" s="432">
        <f>SUMIF($C$415:D$455,$G7,$E$415:$E$455)</f>
        <v/>
      </c>
      <c r="N7" s="432">
        <f>SUMIF($C$376:E$414,$G7,$E$376:$E$414)</f>
        <v/>
      </c>
      <c r="O7" s="432">
        <f>SUMIF($C$348:F$374,$G7,$E$348:$E$374)</f>
        <v/>
      </c>
      <c r="P7" s="432">
        <f>SUMIF($C$312:G$346,$G7,$E$312:$E$346)</f>
        <v/>
      </c>
      <c r="Q7" s="432">
        <f>SUMIF($C$251:H$308,$G7,$E$251:$E$308)</f>
        <v/>
      </c>
      <c r="R7" s="432">
        <f>SUMIF($C$190:H$249,$G7,$E$190:$E$249)</f>
        <v/>
      </c>
      <c r="S7" s="432">
        <f>SUMIF($C$143:G$188,$G7,$E$143:$E$188)</f>
        <v/>
      </c>
      <c r="T7" s="432">
        <f>SUMIF($C$95:G$141,$G7,$E$95:$E$141)</f>
        <v/>
      </c>
      <c r="U7" s="431">
        <f>SUM(I7:T7)</f>
        <v/>
      </c>
      <c r="V7" s="432">
        <f>T7-H7</f>
        <v/>
      </c>
      <c r="W7" s="432">
        <f>U7-Y7</f>
        <v/>
      </c>
      <c r="X7" s="433">
        <f>SUM(W7/(H7*12))</f>
        <v/>
      </c>
      <c r="Y7" s="434">
        <f>H7*12</f>
        <v/>
      </c>
      <c r="Z7" s="434">
        <f>U7/12</f>
        <v/>
      </c>
    </row>
    <row r="8" ht="13.9" customHeight="1" s="1232">
      <c r="A8" s="1271" t="n">
        <v>43100</v>
      </c>
      <c r="B8" s="1271" t="inlineStr">
        <is>
          <t>Amundep Hothi - ELS</t>
        </is>
      </c>
      <c r="C8" s="1271" t="inlineStr">
        <is>
          <t>Deals Won - Waiting £</t>
        </is>
      </c>
      <c r="E8" s="1418" t="n">
        <v>200</v>
      </c>
      <c r="F8" s="1419" t="inlineStr">
        <is>
          <t>5wk Course</t>
        </is>
      </c>
      <c r="G8" s="1335" t="inlineStr">
        <is>
          <t>Totals</t>
        </is>
      </c>
      <c r="H8" s="438">
        <f>SUM(H2:H7)</f>
        <v/>
      </c>
      <c r="I8" s="439">
        <f>SUM(I2:I7)</f>
        <v/>
      </c>
      <c r="J8" s="439">
        <f>SUM(J2:J7)</f>
        <v/>
      </c>
      <c r="K8" s="439">
        <f>SUM(K2:K7)</f>
        <v/>
      </c>
      <c r="L8" s="439">
        <f>SUM(L2:L7)</f>
        <v/>
      </c>
      <c r="M8" s="439">
        <f>SUM(M2:M7)</f>
        <v/>
      </c>
      <c r="N8" s="439">
        <f>SUM(N2:N7)</f>
        <v/>
      </c>
      <c r="O8" s="439">
        <f>SUM(O2:O7)</f>
        <v/>
      </c>
      <c r="P8" s="439">
        <f>SUM(P2:P7)</f>
        <v/>
      </c>
      <c r="Q8" s="439">
        <f>SUM(Q2:Q7)</f>
        <v/>
      </c>
      <c r="R8" s="439">
        <f>SUM(R2:R7)</f>
        <v/>
      </c>
      <c r="S8" s="439">
        <f>SUM(S2:S7)</f>
        <v/>
      </c>
      <c r="T8" s="439">
        <f>SUM(T2:T7)</f>
        <v/>
      </c>
      <c r="U8" s="438">
        <f>SUM(U2:U7)</f>
        <v/>
      </c>
      <c r="V8" s="432">
        <f>T8-H8</f>
        <v/>
      </c>
      <c r="W8" s="439">
        <f>U8-Y8</f>
        <v/>
      </c>
      <c r="X8" s="433">
        <f>SUM(W8/(H8*12))</f>
        <v/>
      </c>
      <c r="Y8" s="434">
        <f>H8*12</f>
        <v/>
      </c>
      <c r="Z8" s="434">
        <f>U8/12</f>
        <v/>
      </c>
    </row>
    <row r="9" ht="13.9" customHeight="1" s="1232">
      <c r="A9" s="1271" t="n">
        <v>43100</v>
      </c>
      <c r="B9" s="1271" t="inlineStr">
        <is>
          <t>Preetha Luther - ELS</t>
        </is>
      </c>
      <c r="C9" s="1271" t="inlineStr">
        <is>
          <t>Deals Won - Waiting £</t>
        </is>
      </c>
      <c r="E9" s="1418" t="n">
        <v>200</v>
      </c>
      <c r="F9" s="1419" t="inlineStr">
        <is>
          <t>5wk Course</t>
        </is>
      </c>
      <c r="G9" s="1316" t="inlineStr">
        <is>
          <t>2017</t>
        </is>
      </c>
      <c r="H9" s="1299">
        <f>H8*12</f>
        <v/>
      </c>
      <c r="I9" s="442">
        <f>I8/H8</f>
        <v/>
      </c>
      <c r="J9" s="442">
        <f>J8/H8</f>
        <v/>
      </c>
      <c r="K9" s="442">
        <f>K8/H8</f>
        <v/>
      </c>
      <c r="L9" s="442">
        <f>L8/H8</f>
        <v/>
      </c>
      <c r="M9" s="442">
        <f>M8/H8</f>
        <v/>
      </c>
      <c r="N9" s="442">
        <f>N8/H8</f>
        <v/>
      </c>
      <c r="O9" s="442">
        <f>O8/H8</f>
        <v/>
      </c>
      <c r="P9" s="442">
        <f>P8/H8</f>
        <v/>
      </c>
      <c r="Q9" s="442">
        <f>Q8/H8</f>
        <v/>
      </c>
      <c r="R9" s="442">
        <f>R8/H8</f>
        <v/>
      </c>
      <c r="S9" s="442">
        <f>S8/H8</f>
        <v/>
      </c>
      <c r="T9" s="442">
        <f>T8/H8</f>
        <v/>
      </c>
      <c r="U9" s="442" t="n"/>
    </row>
    <row r="10" ht="13.9" customHeight="1" s="1232">
      <c r="A10" s="1271" t="n">
        <v>43100</v>
      </c>
      <c r="B10" s="1271" t="inlineStr">
        <is>
          <t>Hans Berg - ELS</t>
        </is>
      </c>
      <c r="C10" s="1271" t="inlineStr">
        <is>
          <t>Deals Won - Waiting £</t>
        </is>
      </c>
      <c r="E10" s="1418" t="n">
        <v>200</v>
      </c>
      <c r="F10" s="1419" t="inlineStr">
        <is>
          <t>5wk Course</t>
        </is>
      </c>
      <c r="G10" s="1316" t="inlineStr">
        <is>
          <t>2016</t>
        </is>
      </c>
      <c r="H10" s="1284" t="n"/>
      <c r="I10" s="434" t="n">
        <v>4537</v>
      </c>
      <c r="J10" s="434">
        <f>4583-264</f>
        <v/>
      </c>
      <c r="K10" s="434">
        <f>3935-213</f>
        <v/>
      </c>
      <c r="L10" s="434">
        <f>4947-396</f>
        <v/>
      </c>
      <c r="M10" s="434">
        <f>3911-293</f>
        <v/>
      </c>
      <c r="N10" s="434">
        <f>2992-213</f>
        <v/>
      </c>
      <c r="O10" s="434">
        <f>2927-218</f>
        <v/>
      </c>
      <c r="P10" s="434">
        <f>7466-213</f>
        <v/>
      </c>
      <c r="Q10" s="434">
        <f>4218-425</f>
        <v/>
      </c>
      <c r="R10" s="434">
        <f>10697-213</f>
        <v/>
      </c>
      <c r="S10" s="434">
        <f>5081-213</f>
        <v/>
      </c>
      <c r="T10" s="434">
        <f>5220-213</f>
        <v/>
      </c>
      <c r="U10" s="431">
        <f>SUM(I10:T10)</f>
        <v/>
      </c>
      <c r="V10" s="444">
        <f>SUM(I10:T10)</f>
        <v/>
      </c>
      <c r="W10" s="432">
        <f>U8-V10</f>
        <v/>
      </c>
      <c r="X10" s="442">
        <f>W10/U8</f>
        <v/>
      </c>
      <c r="Y10" s="445">
        <f>SUM(U10-U11)/U11</f>
        <v/>
      </c>
      <c r="Z10" s="1255" t="inlineStr">
        <is>
          <t>Ops</t>
        </is>
      </c>
    </row>
    <row r="11" ht="13.15" customHeight="1" s="1232">
      <c r="G11" s="1316" t="inlineStr">
        <is>
          <t>2015</t>
        </is>
      </c>
      <c r="I11" s="434" t="n">
        <v>3710</v>
      </c>
      <c r="J11" s="434" t="n">
        <v>3750</v>
      </c>
      <c r="K11" s="434" t="n">
        <v>7113</v>
      </c>
      <c r="L11" s="434">
        <f>3928-213</f>
        <v/>
      </c>
      <c r="M11" s="434">
        <f>2501-213</f>
        <v/>
      </c>
      <c r="N11" s="434">
        <f>3468-213</f>
        <v/>
      </c>
      <c r="O11" s="434">
        <f>1986-224</f>
        <v/>
      </c>
      <c r="P11" s="434">
        <f>4145-212</f>
        <v/>
      </c>
      <c r="Q11" s="434">
        <f>8518-212</f>
        <v/>
      </c>
      <c r="R11" s="434">
        <f>5829-424</f>
        <v/>
      </c>
      <c r="S11" s="434">
        <f>3816-212</f>
        <v/>
      </c>
      <c r="T11" s="434">
        <f>12440-212</f>
        <v/>
      </c>
      <c r="U11" s="431">
        <f>SUM(I11:T11)</f>
        <v/>
      </c>
      <c r="V11" s="444">
        <f>SUM(I11:T11)</f>
        <v/>
      </c>
      <c r="W11" s="432">
        <f>U8-V11</f>
        <v/>
      </c>
      <c r="X11" s="442">
        <f>W11/V11</f>
        <v/>
      </c>
      <c r="Y11" s="445">
        <f>SUM(U11-U12)/U12</f>
        <v/>
      </c>
    </row>
    <row r="12" ht="13.9" customHeight="1" s="1232">
      <c r="A12" s="1271" t="n"/>
      <c r="B12" s="1271" t="n"/>
      <c r="C12" s="1271" t="n"/>
      <c r="E12" s="1418" t="n"/>
      <c r="F12" s="1419" t="n"/>
      <c r="G12" s="1316" t="inlineStr">
        <is>
          <t>2014</t>
        </is>
      </c>
      <c r="I12" s="434">
        <f>4439-1260</f>
        <v/>
      </c>
      <c r="J12" s="434">
        <f>3071-197</f>
        <v/>
      </c>
      <c r="K12" s="434">
        <f>4958-132</f>
        <v/>
      </c>
      <c r="L12" s="434">
        <f>3585-132</f>
        <v/>
      </c>
      <c r="M12" s="434">
        <f>5008-33</f>
        <v/>
      </c>
      <c r="N12" s="434" t="n">
        <v>3386</v>
      </c>
      <c r="O12" s="434" t="n">
        <v>3633</v>
      </c>
      <c r="P12" s="434" t="n">
        <v>3855</v>
      </c>
      <c r="Q12" s="434" t="n">
        <v>6440</v>
      </c>
      <c r="R12" s="434" t="n">
        <v>3536</v>
      </c>
      <c r="S12" s="434" t="n">
        <v>2851</v>
      </c>
      <c r="T12" s="434" t="n">
        <v>7614</v>
      </c>
      <c r="U12" s="431">
        <f>SUM(I12:T12)</f>
        <v/>
      </c>
      <c r="V12" s="444">
        <f>SUM(I12:T12)</f>
        <v/>
      </c>
      <c r="W12" s="432">
        <f>U8-V12</f>
        <v/>
      </c>
      <c r="X12" s="442">
        <f>W12/V12</f>
        <v/>
      </c>
    </row>
    <row r="13" ht="13.9" customHeight="1" s="1232">
      <c r="A13" s="1271" t="n">
        <v>43159</v>
      </c>
      <c r="B13" s="1271" t="inlineStr">
        <is>
          <t>Scott Bremner - ELS</t>
        </is>
      </c>
      <c r="C13" s="1271" t="inlineStr">
        <is>
          <t>Deals Won - Waiting £</t>
        </is>
      </c>
      <c r="E13" s="1418" t="n">
        <v>200</v>
      </c>
      <c r="F13" s="1419" t="inlineStr">
        <is>
          <t>LR Course</t>
        </is>
      </c>
      <c r="G13" s="1313" t="inlineStr">
        <is>
          <t>2013</t>
        </is>
      </c>
      <c r="S13" s="434">
        <f>3346-338</f>
        <v/>
      </c>
      <c r="T13" s="434">
        <f>6776-390</f>
        <v/>
      </c>
      <c r="U13" s="431">
        <f>SUM(I13:T13)</f>
        <v/>
      </c>
    </row>
    <row r="14" ht="13.9" customHeight="1" s="1232">
      <c r="A14" s="1271" t="n">
        <v>43159</v>
      </c>
      <c r="B14" s="1271" t="inlineStr">
        <is>
          <t>Andrew D'Amico ELS</t>
        </is>
      </c>
      <c r="C14" s="1271" t="inlineStr">
        <is>
          <t>Deals Won - Waiting £</t>
        </is>
      </c>
      <c r="E14" s="1418" t="n">
        <v>50</v>
      </c>
      <c r="F14" s="1419" t="inlineStr">
        <is>
          <t>TBA</t>
        </is>
      </c>
      <c r="G14" s="1310" t="inlineStr">
        <is>
          <t>Year on year Improvement %</t>
        </is>
      </c>
      <c r="H14" s="1299" t="n"/>
      <c r="I14" s="442">
        <f>SUM(I8-I10)/I8</f>
        <v/>
      </c>
      <c r="J14" s="442">
        <f>SUM(J8-J10)/J8</f>
        <v/>
      </c>
      <c r="K14" s="442">
        <f>SUM(K8-K10)/K8</f>
        <v/>
      </c>
      <c r="L14" s="442">
        <f>SUM(L8-L10)/L8</f>
        <v/>
      </c>
      <c r="M14" s="442">
        <f>SUM(M8-M10)/M8</f>
        <v/>
      </c>
      <c r="N14" s="442">
        <f>SUM(N8-N10)/N8</f>
        <v/>
      </c>
      <c r="O14" s="442">
        <f>SUM(O8-O10)/O8</f>
        <v/>
      </c>
      <c r="P14" s="442">
        <f>SUM(P8-P10)/P8</f>
        <v/>
      </c>
      <c r="Q14" s="442">
        <f>SUM(Q8-Q10)/Q8</f>
        <v/>
      </c>
      <c r="R14" s="442">
        <f>SUM(R8-R10)/R8</f>
        <v/>
      </c>
      <c r="S14" s="442">
        <f>SUM(S8-S10)/S8</f>
        <v/>
      </c>
      <c r="T14" s="442">
        <f>SUM(T8-T10)/T8</f>
        <v/>
      </c>
      <c r="U14" s="525">
        <f>SUM(U8-U10)/U8</f>
        <v/>
      </c>
    </row>
    <row r="15" ht="15" customHeight="1" s="1232">
      <c r="A15" s="1271" t="n">
        <v>43159</v>
      </c>
      <c r="B15" s="1271" t="inlineStr">
        <is>
          <t>Ian Blake - ELS</t>
        </is>
      </c>
      <c r="C15" s="1271" t="inlineStr">
        <is>
          <t>Deals Won - Waiting £</t>
        </is>
      </c>
      <c r="E15" s="1418" t="n">
        <v>200</v>
      </c>
      <c r="F15" s="1419" t="inlineStr">
        <is>
          <t>Suffolk</t>
        </is>
      </c>
      <c r="G15" s="1318" t="inlineStr">
        <is>
          <t>Leads In Progress</t>
        </is>
      </c>
      <c r="H15" s="448">
        <f>SUMIF($C1:E546,G15,$E1:$E546)</f>
        <v/>
      </c>
      <c r="J15" s="449" t="n"/>
      <c r="K15" s="449" t="n"/>
      <c r="L15" s="449" t="n"/>
      <c r="M15" s="449" t="n"/>
      <c r="N15" s="449" t="n"/>
      <c r="O15" s="449" t="n"/>
      <c r="P15" s="449" t="n"/>
      <c r="Q15" s="449" t="n"/>
      <c r="R15" s="449" t="n"/>
      <c r="S15" s="449" t="n"/>
      <c r="T15" s="449" t="n"/>
      <c r="U15" s="449" t="n"/>
      <c r="V15" s="449" t="n"/>
    </row>
    <row r="16" ht="15" customHeight="1" s="1232">
      <c r="G16" s="1319" t="inlineStr">
        <is>
          <t>Deals Won - Waiting £</t>
        </is>
      </c>
      <c r="H16" s="451">
        <f>SUMIF($C1:E591,G16,$E1:$E591)</f>
        <v/>
      </c>
      <c r="J16" s="449" t="n"/>
      <c r="K16" s="449" t="n"/>
      <c r="L16" s="449" t="n"/>
      <c r="M16" s="449" t="n"/>
      <c r="N16" s="449" t="n"/>
      <c r="O16" s="449" t="n"/>
      <c r="P16" s="449" t="n"/>
      <c r="Q16" s="449" t="n"/>
      <c r="R16" s="449" t="n"/>
      <c r="S16" s="449" t="n"/>
      <c r="T16" s="449" t="n"/>
      <c r="U16" s="449" t="n"/>
      <c r="V16" s="449" t="n"/>
    </row>
    <row r="17" ht="13.25" customHeight="1" s="1232" thickBot="1">
      <c r="A17" s="1271" t="n">
        <v>43115</v>
      </c>
      <c r="B17" s="1271" t="inlineStr">
        <is>
          <t>Pure Photo</t>
        </is>
      </c>
      <c r="C17" s="1271" t="inlineStr">
        <is>
          <t>Deals Won - Waiting £</t>
        </is>
      </c>
      <c r="E17" s="1418">
        <f>175/2</f>
        <v/>
      </c>
      <c r="F17" s="1419" t="inlineStr">
        <is>
          <t>Print Sale</t>
        </is>
      </c>
      <c r="G17" s="1322" t="inlineStr">
        <is>
          <t>Pipeline</t>
        </is>
      </c>
      <c r="H17" s="453">
        <f>SUM(H15:H16)</f>
        <v/>
      </c>
      <c r="I17" s="914" t="n"/>
      <c r="J17" s="914" t="n"/>
      <c r="K17" s="914" t="n"/>
      <c r="L17" s="914" t="n"/>
      <c r="M17" s="914" t="n"/>
      <c r="N17" s="914" t="n"/>
      <c r="O17" s="914" t="n"/>
      <c r="P17" s="914" t="n"/>
      <c r="Q17" s="914" t="n"/>
      <c r="R17" s="914" t="n"/>
      <c r="S17" s="914" t="n"/>
      <c r="T17" s="914" t="n"/>
      <c r="U17" s="914" t="n"/>
      <c r="V17" s="914" t="n"/>
    </row>
    <row r="18" ht="13.9" customHeight="1" s="1232" thickBot="1">
      <c r="A18" s="1271" t="n">
        <v>43131</v>
      </c>
      <c r="B18" s="1271" t="inlineStr">
        <is>
          <t>Artfinder</t>
        </is>
      </c>
      <c r="C18" s="1271" t="inlineStr">
        <is>
          <t>Deals Won - Waiting £</t>
        </is>
      </c>
      <c r="E18" s="1418" t="n">
        <v>200</v>
      </c>
      <c r="F18" s="1419" t="inlineStr">
        <is>
          <t>Print Sale</t>
        </is>
      </c>
      <c r="H18" s="914" t="n"/>
      <c r="I18" s="914" t="n"/>
      <c r="J18" s="914" t="n"/>
      <c r="K18" s="914" t="n"/>
      <c r="L18" s="914" t="n"/>
      <c r="M18" s="914" t="n"/>
      <c r="N18" s="914" t="n"/>
      <c r="O18" s="914" t="n"/>
      <c r="P18" s="914" t="n"/>
      <c r="Q18" s="914" t="n"/>
      <c r="R18" s="914" t="n"/>
      <c r="S18" s="914" t="n"/>
      <c r="T18" s="914" t="n"/>
      <c r="U18" s="914" t="n"/>
      <c r="V18" s="914" t="n"/>
    </row>
    <row r="19" ht="13.9" customHeight="1" s="1232">
      <c r="A19" s="1271" t="n"/>
      <c r="B19" s="1271" t="n"/>
      <c r="C19" s="1271" t="n"/>
      <c r="E19" s="1418" t="n"/>
      <c r="F19" s="1419" t="n"/>
      <c r="G19" s="1327" t="inlineStr">
        <is>
          <t>YTD Actual</t>
        </is>
      </c>
      <c r="H19" s="456">
        <f>E626</f>
        <v/>
      </c>
      <c r="I19" s="1261">
        <f>U8-H19</f>
        <v/>
      </c>
      <c r="J19" s="914" t="n"/>
      <c r="K19" s="914" t="n"/>
      <c r="L19" s="914" t="n"/>
      <c r="M19" s="914" t="n"/>
      <c r="N19" s="914" t="n"/>
      <c r="O19" s="914" t="n"/>
      <c r="P19" s="914" t="n"/>
      <c r="Q19" s="914" t="n"/>
      <c r="R19" s="914" t="n"/>
      <c r="S19" s="914" t="n"/>
      <c r="T19" s="914" t="n"/>
      <c r="U19" s="914" t="n"/>
      <c r="V19" s="914" t="n"/>
    </row>
    <row r="20" ht="14.25" customHeight="1" s="1232" thickBot="1">
      <c r="A20" s="1271" t="n">
        <v>43102</v>
      </c>
      <c r="B20" s="1271" t="inlineStr">
        <is>
          <t>Bray Leino Ltd,</t>
        </is>
      </c>
      <c r="C20" s="1271" t="inlineStr">
        <is>
          <t>Deals Won - Waiting £</t>
        </is>
      </c>
      <c r="E20" s="1418" t="n">
        <v>500</v>
      </c>
      <c r="F20" s="1419" t="inlineStr">
        <is>
          <t>Brochure Image</t>
        </is>
      </c>
      <c r="G20" s="1328" t="inlineStr">
        <is>
          <t>YTD Var to target</t>
        </is>
      </c>
      <c r="H20" s="458">
        <f>H19-Y8</f>
        <v/>
      </c>
      <c r="I20" s="914" t="n"/>
      <c r="J20" s="914" t="n"/>
      <c r="K20" s="914" t="n"/>
      <c r="L20" s="914" t="n"/>
      <c r="M20" s="914" t="n"/>
      <c r="N20" s="914" t="n"/>
      <c r="O20" s="914" t="n"/>
      <c r="P20" s="914" t="n"/>
      <c r="Q20" s="914" t="n"/>
      <c r="R20" s="914" t="n"/>
      <c r="S20" s="914" t="n"/>
      <c r="T20" s="914" t="n"/>
      <c r="U20" s="914" t="n"/>
      <c r="V20" s="914" t="n"/>
    </row>
    <row r="21" ht="13.5" customHeight="1" s="1232">
      <c r="A21" s="1271" t="n">
        <v>43077</v>
      </c>
      <c r="B21" s="1271" t="inlineStr">
        <is>
          <t>Lee Clarke</t>
        </is>
      </c>
      <c r="C21" s="1271" t="inlineStr">
        <is>
          <t>Deals Won - Waiting £</t>
        </is>
      </c>
      <c r="E21" s="1418">
        <f>195+265</f>
        <v/>
      </c>
      <c r="F21" s="1419" t="inlineStr">
        <is>
          <t>LR + 1-2-1</t>
        </is>
      </c>
      <c r="H21" s="914" t="n"/>
      <c r="I21" s="914" t="n"/>
      <c r="J21" s="914" t="n"/>
      <c r="K21" s="914" t="n"/>
      <c r="L21" s="914" t="n"/>
      <c r="M21" s="914" t="n"/>
      <c r="N21" s="914" t="n"/>
      <c r="O21" s="914" t="n"/>
      <c r="P21" s="914" t="n"/>
      <c r="Q21" s="914" t="n"/>
      <c r="R21" s="914" t="n"/>
      <c r="S21" s="914" t="n"/>
      <c r="T21" s="914" t="n"/>
      <c r="U21" s="914" t="n"/>
      <c r="V21" s="914" t="n"/>
    </row>
    <row r="22" ht="13.5" customHeight="1" s="1232">
      <c r="A22" s="1271" t="n">
        <v>43101</v>
      </c>
      <c r="B22" s="1271" t="inlineStr">
        <is>
          <t>Ian Blake</t>
        </is>
      </c>
      <c r="C22" s="1271" t="inlineStr">
        <is>
          <t>Deals Won - Waiting £</t>
        </is>
      </c>
      <c r="E22" s="1418" t="n">
        <v>495</v>
      </c>
      <c r="F22" s="1419" t="inlineStr">
        <is>
          <t>Suffolk</t>
        </is>
      </c>
      <c r="H22" s="914" t="n"/>
      <c r="I22" s="914" t="n"/>
      <c r="J22" s="914" t="n"/>
      <c r="K22" s="914" t="n"/>
      <c r="L22" s="914" t="n"/>
      <c r="M22" s="914" t="n"/>
      <c r="N22" s="914" t="n"/>
      <c r="O22" s="914" t="n"/>
      <c r="P22" s="914" t="n"/>
      <c r="Q22" s="914" t="n"/>
      <c r="R22" s="914" t="n"/>
      <c r="S22" s="914" t="n"/>
      <c r="T22" s="914" t="n"/>
      <c r="U22" s="914" t="n"/>
      <c r="V22" s="914" t="n"/>
    </row>
    <row r="23" ht="13.15" customHeight="1" s="1232">
      <c r="G23" s="1336" t="inlineStr">
        <is>
          <t>Tuition Categories</t>
        </is>
      </c>
      <c r="H23" s="1330" t="inlineStr">
        <is>
          <t>Units</t>
        </is>
      </c>
      <c r="I23" s="1415" t="inlineStr">
        <is>
          <t>Jan</t>
        </is>
      </c>
      <c r="J23" s="1415" t="inlineStr">
        <is>
          <t>Feb</t>
        </is>
      </c>
      <c r="K23" s="1415" t="inlineStr">
        <is>
          <t>Mar</t>
        </is>
      </c>
      <c r="L23" s="1415" t="inlineStr">
        <is>
          <t>Apr</t>
        </is>
      </c>
      <c r="M23" s="1415" t="inlineStr">
        <is>
          <t>May</t>
        </is>
      </c>
      <c r="N23" s="1415" t="inlineStr">
        <is>
          <t>Jun</t>
        </is>
      </c>
      <c r="O23" s="1415" t="inlineStr">
        <is>
          <t>Jul</t>
        </is>
      </c>
      <c r="P23" s="1415" t="inlineStr">
        <is>
          <t>Aug</t>
        </is>
      </c>
      <c r="Q23" s="1415" t="inlineStr">
        <is>
          <t>Sep</t>
        </is>
      </c>
      <c r="R23" s="1415" t="inlineStr">
        <is>
          <t>Oct</t>
        </is>
      </c>
      <c r="S23" s="1415" t="inlineStr">
        <is>
          <t>Nov</t>
        </is>
      </c>
      <c r="T23" s="1415" t="inlineStr">
        <is>
          <t>Dec</t>
        </is>
      </c>
      <c r="U23" s="1278" t="inlineStr">
        <is>
          <t>Year</t>
        </is>
      </c>
    </row>
    <row r="24" ht="13.5" customHeight="1" s="1232">
      <c r="A24" s="1271" t="n"/>
      <c r="B24" s="1419" t="n"/>
      <c r="C24" s="1271" t="n"/>
      <c r="E24" s="1418" t="n"/>
      <c r="F24" s="1419" t="n"/>
      <c r="G24" s="1420" t="inlineStr">
        <is>
          <t>courses/masterclasses</t>
        </is>
      </c>
      <c r="H24" s="431" t="n"/>
      <c r="I24" s="432">
        <f>COUNTIF(C592:C623,G24)</f>
        <v/>
      </c>
      <c r="J24" s="432">
        <f>COUNTIF(C538:C589,G24)</f>
        <v/>
      </c>
      <c r="K24" s="432">
        <f>COUNTIF(C493:C535,G24)</f>
        <v/>
      </c>
      <c r="L24" s="432">
        <f>COUNTIF(C456:C490,G24)</f>
        <v/>
      </c>
      <c r="M24" s="432">
        <f>COUNTIF(C415:C453,G24)</f>
        <v/>
      </c>
      <c r="N24" s="432">
        <f>COUNTIF(C376:C413,G24)</f>
        <v/>
      </c>
      <c r="O24" s="432">
        <f>COUNTIF(C349:C374,G24)</f>
        <v/>
      </c>
      <c r="P24" s="432">
        <f>COUNTIF(C315:C346,G24)</f>
        <v/>
      </c>
      <c r="Q24" s="432">
        <f>COUNTIF(C251:C308,G24)</f>
        <v/>
      </c>
      <c r="R24" s="432">
        <f>COUNTIF(C190:C249,G24)</f>
        <v/>
      </c>
      <c r="S24" s="432">
        <f>COUNTIF(C143:C188,G24)</f>
        <v/>
      </c>
      <c r="T24" s="432">
        <f>COUNTIF(C95:C141,G24)</f>
        <v/>
      </c>
      <c r="U24" s="431">
        <f>SUM(I24:T24)</f>
        <v/>
      </c>
    </row>
    <row r="25" ht="13.5" customHeight="1" s="1232">
      <c r="A25" s="1271" t="n">
        <v>43159</v>
      </c>
      <c r="B25" s="1271" t="inlineStr">
        <is>
          <t>Janice Jordon</t>
        </is>
      </c>
      <c r="C25" s="1271" t="inlineStr">
        <is>
          <t>Deals Won - Waiting £</t>
        </is>
      </c>
      <c r="E25" s="1418">
        <f>375+945</f>
        <v/>
      </c>
      <c r="F25" s="1419" t="inlineStr">
        <is>
          <t>French Riviera</t>
        </is>
      </c>
      <c r="G25" s="1420" t="inlineStr">
        <is>
          <t>workshops</t>
        </is>
      </c>
      <c r="H25" s="431" t="n"/>
      <c r="I25" s="432">
        <f>COUNTIF(C593:C624,G25)</f>
        <v/>
      </c>
      <c r="J25" s="432">
        <f>COUNTIF(C539:C590,G25)</f>
        <v/>
      </c>
      <c r="K25" s="432">
        <f>COUNTIF(C494:C536,G25)</f>
        <v/>
      </c>
      <c r="L25" s="432">
        <f>COUNTIF(C457:C491,G25)</f>
        <v/>
      </c>
      <c r="M25" s="432">
        <f>COUNTIF(C416:C454,G25)</f>
        <v/>
      </c>
      <c r="N25" s="432">
        <f>COUNTIF(C377:C414,G25)</f>
        <v/>
      </c>
      <c r="O25" s="432">
        <f>COUNTIF(C350:C375,G25)</f>
        <v/>
      </c>
      <c r="P25" s="432">
        <f>COUNTIF(C316:C347,G25)</f>
        <v/>
      </c>
      <c r="Q25" s="432">
        <f>COUNTIF(C252:C309,G25)</f>
        <v/>
      </c>
      <c r="R25" s="432">
        <f>COUNTIF(C191:C250,G25)</f>
        <v/>
      </c>
      <c r="S25" s="432">
        <f>COUNTIF(C144:C189,G25)</f>
        <v/>
      </c>
      <c r="T25" s="432">
        <f>COUNTIF(C103:C142,G25)</f>
        <v/>
      </c>
      <c r="U25" s="431">
        <f>SUM(I25:T25)</f>
        <v/>
      </c>
    </row>
    <row r="26">
      <c r="G26" s="1420" t="inlineStr">
        <is>
          <t>pick n mix</t>
        </is>
      </c>
      <c r="H26" s="431" t="n"/>
      <c r="I26" s="432">
        <f>COUNTIF(C594:C625,G26)</f>
        <v/>
      </c>
      <c r="J26" s="432">
        <f>COUNTIF(C540:C591,G26)</f>
        <v/>
      </c>
      <c r="K26" s="432">
        <f>COUNTIF(C495:C537,G26)</f>
        <v/>
      </c>
      <c r="L26" s="432">
        <f>COUNTIF(C458:C492,G26)</f>
        <v/>
      </c>
      <c r="M26" s="432">
        <f>COUNTIF(C417:C455,G26)</f>
        <v/>
      </c>
      <c r="N26" s="432">
        <f>COUNTIF(C378:C415,G26)</f>
        <v/>
      </c>
      <c r="O26" s="432">
        <f>COUNTIF(C351:C376,G26)</f>
        <v/>
      </c>
      <c r="P26" s="432">
        <f>COUNTIF(C317:C348,G26)</f>
        <v/>
      </c>
      <c r="Q26" s="432">
        <f>COUNTIF(C253:C310,G26)</f>
        <v/>
      </c>
      <c r="R26" s="432">
        <f>COUNTIF(C192:C251,G26)</f>
        <v/>
      </c>
      <c r="S26" s="432">
        <f>COUNTIF(C145:C190,G26)</f>
        <v/>
      </c>
      <c r="T26" s="432">
        <f>COUNTIF(C104:C143,G26)</f>
        <v/>
      </c>
      <c r="U26" s="431">
        <f>SUM(I26:T26)</f>
        <v/>
      </c>
    </row>
    <row r="27">
      <c r="G27" s="1420" t="inlineStr">
        <is>
          <t>mentoring</t>
        </is>
      </c>
      <c r="H27" s="431" t="n"/>
      <c r="I27" s="432">
        <f>COUNTIF(C595:C626,G27)</f>
        <v/>
      </c>
      <c r="J27" s="432">
        <f>COUNTIF(C541:C592,G27)</f>
        <v/>
      </c>
      <c r="K27" s="432">
        <f>COUNTIF(C496:C538,G27)</f>
        <v/>
      </c>
      <c r="L27" s="432">
        <f>COUNTIF(C459:C493,G27)</f>
        <v/>
      </c>
      <c r="M27" s="432">
        <f>COUNTIF(C418:C456,G27)</f>
        <v/>
      </c>
      <c r="N27" s="432">
        <f>COUNTIF(C379:C416,G27)</f>
        <v/>
      </c>
      <c r="O27" s="432">
        <f>COUNTIF(C352:C377,G27)</f>
        <v/>
      </c>
      <c r="P27" s="432">
        <f>COUNTIF(C318:C349,G27)</f>
        <v/>
      </c>
      <c r="Q27" s="432">
        <f>COUNTIF(C254:C311,G27)</f>
        <v/>
      </c>
      <c r="R27" s="432">
        <f>COUNTIF(C193:C252,G27)</f>
        <v/>
      </c>
      <c r="S27" s="432">
        <f>COUNTIF(C146:C191,G27)</f>
        <v/>
      </c>
      <c r="T27" s="432">
        <f>COUNTIF(C105:C144,G27)</f>
        <v/>
      </c>
      <c r="U27" s="431">
        <f>SUM(I27:T27)</f>
        <v/>
      </c>
    </row>
    <row r="28">
      <c r="G28" s="1423" t="inlineStr">
        <is>
          <t>1-2-1</t>
        </is>
      </c>
      <c r="H28" s="431" t="n"/>
      <c r="I28" s="432">
        <f>COUNTIF(C596:C627,G28)</f>
        <v/>
      </c>
      <c r="J28" s="432">
        <f>COUNTIF(C542:C593,G28)</f>
        <v/>
      </c>
      <c r="K28" s="432">
        <f>COUNTIF(C497:C539,G28)</f>
        <v/>
      </c>
      <c r="L28" s="432">
        <f>COUNTIF(C460:C494,G28)</f>
        <v/>
      </c>
      <c r="M28" s="432">
        <f>COUNTIF(C419:C457,G28)</f>
        <v/>
      </c>
      <c r="N28" s="432">
        <f>COUNTIF(C380:C417,G28)</f>
        <v/>
      </c>
      <c r="O28" s="432">
        <f>COUNTIF(C353:C378,G28)</f>
        <v/>
      </c>
      <c r="P28" s="432">
        <f>COUNTIF(C319:C350,G28)</f>
        <v/>
      </c>
      <c r="Q28" s="432">
        <f>COUNTIF(C255:C312,G28)</f>
        <v/>
      </c>
      <c r="R28" s="432">
        <f>COUNTIF(C194:C253,G28)</f>
        <v/>
      </c>
      <c r="S28" s="432">
        <f>COUNTIF(C147:C192,G28)</f>
        <v/>
      </c>
      <c r="T28" s="432">
        <f>COUNTIF(C106:C145,G28)</f>
        <v/>
      </c>
      <c r="U28" s="431">
        <f>SUM(I28:T28)</f>
        <v/>
      </c>
    </row>
    <row r="29">
      <c r="F29" s="1305" t="n"/>
      <c r="G29" s="1423" t="inlineStr">
        <is>
          <t>other</t>
        </is>
      </c>
      <c r="H29" s="431" t="n"/>
      <c r="I29" s="432">
        <f>COUNTIF(C597:C628,G29)</f>
        <v/>
      </c>
      <c r="J29" s="432">
        <f>COUNTIF(C543:C594,G29)</f>
        <v/>
      </c>
      <c r="K29" s="432">
        <f>COUNTIF(C498:C540,G29)</f>
        <v/>
      </c>
      <c r="L29" s="432">
        <f>COUNTIF(C461:C495,G29)</f>
        <v/>
      </c>
      <c r="M29" s="432">
        <f>COUNTIF(C420:C458,G29)</f>
        <v/>
      </c>
      <c r="N29" s="432">
        <f>COUNTIF(C381:C418,G29)</f>
        <v/>
      </c>
      <c r="O29" s="432">
        <f>COUNTIF(C354:C379,G29)</f>
        <v/>
      </c>
      <c r="P29" s="432">
        <f>COUNTIF(C320:C351,G29)</f>
        <v/>
      </c>
      <c r="Q29" s="432">
        <f>COUNTIF(C256:C313,G29)</f>
        <v/>
      </c>
      <c r="R29" s="432">
        <f>COUNTIF(C195:C254,G29)</f>
        <v/>
      </c>
      <c r="S29" s="432">
        <f>COUNTIF(C148:C193,G29)</f>
        <v/>
      </c>
      <c r="T29" s="432">
        <f>COUNTIF(C107:C146,G29)</f>
        <v/>
      </c>
      <c r="U29" s="431">
        <f>SUM(I29:T29)</f>
        <v/>
      </c>
    </row>
    <row r="30" ht="13.9" customHeight="1" s="1232">
      <c r="A30" s="1292" t="n"/>
      <c r="B30" s="1294" t="n"/>
      <c r="C30" s="1294" t="n"/>
      <c r="E30" s="1293" t="n"/>
      <c r="F30" s="1294" t="n"/>
      <c r="G30" s="1335" t="inlineStr">
        <is>
          <t>Totals</t>
        </is>
      </c>
      <c r="H30" s="438" t="n"/>
      <c r="I30" s="439">
        <f>SUM(I24:I29)</f>
        <v/>
      </c>
      <c r="J30" s="439">
        <f>SUM(J24:J29)</f>
        <v/>
      </c>
      <c r="K30" s="439">
        <f>SUM(K24:K29)</f>
        <v/>
      </c>
      <c r="L30" s="439">
        <f>SUM(L24:L29)</f>
        <v/>
      </c>
      <c r="M30" s="439">
        <f>SUM(M24:M29)</f>
        <v/>
      </c>
      <c r="N30" s="439">
        <f>SUM(N24:N29)</f>
        <v/>
      </c>
      <c r="O30" s="439">
        <f>SUM(O24:O29)</f>
        <v/>
      </c>
      <c r="P30" s="439">
        <f>SUM(P24:P29)</f>
        <v/>
      </c>
      <c r="Q30" s="439">
        <f>SUM(Q24:Q29)</f>
        <v/>
      </c>
      <c r="R30" s="439">
        <f>SUM(R24:R29)</f>
        <v/>
      </c>
      <c r="S30" s="439">
        <f>SUM(S24:S29)</f>
        <v/>
      </c>
      <c r="T30" s="439">
        <f>SUM(T24:T29)</f>
        <v/>
      </c>
      <c r="U30" s="438">
        <f>SUM(U24:U29)</f>
        <v/>
      </c>
    </row>
    <row r="31" ht="13.9" customHeight="1" s="1232">
      <c r="A31" s="1292" t="n"/>
      <c r="B31" s="1294" t="n"/>
      <c r="C31" s="1294" t="n"/>
      <c r="D31" s="1294" t="n"/>
      <c r="E31" s="1424">
        <f>SUM(E2:E30)</f>
        <v/>
      </c>
      <c r="F31" s="1294" t="n"/>
    </row>
    <row r="32" ht="13.9" customHeight="1" s="1232">
      <c r="A32" s="1292" t="n"/>
      <c r="B32" s="1294" t="n"/>
      <c r="C32" s="1294" t="n"/>
      <c r="D32" s="468" t="n"/>
      <c r="E32" s="1293" t="n"/>
      <c r="F32" s="1294" t="n"/>
      <c r="G32" s="1336" t="inlineStr">
        <is>
          <t>Tuition Categories</t>
        </is>
      </c>
      <c r="H32" s="1330" t="inlineStr">
        <is>
          <t>Avg PPU</t>
        </is>
      </c>
      <c r="I32" s="1415" t="inlineStr">
        <is>
          <t>Jan</t>
        </is>
      </c>
      <c r="J32" s="1415" t="inlineStr">
        <is>
          <t>Feb</t>
        </is>
      </c>
      <c r="K32" s="1415" t="inlineStr">
        <is>
          <t>Mar</t>
        </is>
      </c>
      <c r="L32" s="1415" t="inlineStr">
        <is>
          <t>Apr</t>
        </is>
      </c>
      <c r="M32" s="1415" t="inlineStr">
        <is>
          <t>May</t>
        </is>
      </c>
      <c r="N32" s="1415" t="inlineStr">
        <is>
          <t>Jun</t>
        </is>
      </c>
      <c r="O32" s="1415" t="inlineStr">
        <is>
          <t>Jul</t>
        </is>
      </c>
      <c r="P32" s="1415" t="inlineStr">
        <is>
          <t>Aug</t>
        </is>
      </c>
      <c r="Q32" s="1415" t="inlineStr">
        <is>
          <t>Sep</t>
        </is>
      </c>
      <c r="R32" s="1415" t="inlineStr">
        <is>
          <t>Oct</t>
        </is>
      </c>
      <c r="S32" s="1415" t="inlineStr">
        <is>
          <t>Nov</t>
        </is>
      </c>
      <c r="T32" s="1415" t="inlineStr">
        <is>
          <t>Dec</t>
        </is>
      </c>
      <c r="U32" s="1278" t="inlineStr">
        <is>
          <t>Year</t>
        </is>
      </c>
    </row>
    <row r="33" ht="13.5" customHeight="1" s="1232">
      <c r="A33" s="1292" t="n"/>
      <c r="B33" s="1294" t="n"/>
      <c r="C33" s="1294" t="n"/>
      <c r="E33" s="1293" t="n"/>
      <c r="F33" s="1294" t="n"/>
      <c r="G33" s="1420" t="inlineStr">
        <is>
          <t>courses/masterclasses</t>
        </is>
      </c>
      <c r="H33" s="431" t="n"/>
      <c r="I33" s="432">
        <f>IFERROR(I2/I24,0)</f>
        <v/>
      </c>
      <c r="J33" s="432">
        <f>IFERROR(J2/J24,0)</f>
        <v/>
      </c>
      <c r="K33" s="432">
        <f>IFERROR(K2/K24,0)</f>
        <v/>
      </c>
      <c r="L33" s="432">
        <f>IFERROR(L2/L24,0)</f>
        <v/>
      </c>
      <c r="M33" s="432">
        <f>IFERROR(M2/M24,0)</f>
        <v/>
      </c>
      <c r="N33" s="432">
        <f>IFERROR(N2/N24,0)</f>
        <v/>
      </c>
      <c r="O33" s="432">
        <f>IFERROR(O2/O24,0)</f>
        <v/>
      </c>
      <c r="P33" s="432">
        <f>IFERROR(P2/P24,0)</f>
        <v/>
      </c>
      <c r="Q33" s="432">
        <f>IFERROR(Q2/Q24,0)</f>
        <v/>
      </c>
      <c r="R33" s="432">
        <f>IFERROR(R2/R24,0)</f>
        <v/>
      </c>
      <c r="S33" s="432">
        <f>IFERROR(S2/S24,0)</f>
        <v/>
      </c>
      <c r="T33" s="432">
        <f>IFERROR(T2/T24,0)</f>
        <v/>
      </c>
      <c r="U33" s="431">
        <f>AVERAGE(I33:T33)</f>
        <v/>
      </c>
    </row>
    <row r="34" ht="13.5" customHeight="1" s="1232">
      <c r="A34" s="1292" t="n">
        <v>42780</v>
      </c>
      <c r="B34" s="1294" t="inlineStr">
        <is>
          <t>Steve Horton</t>
        </is>
      </c>
      <c r="C34" s="1294" t="inlineStr">
        <is>
          <t>Leads In Progress</t>
        </is>
      </c>
      <c r="E34" s="1293" t="n">
        <v>475</v>
      </c>
      <c r="F34" s="1294" t="inlineStr">
        <is>
          <t>Intermediates 2018</t>
        </is>
      </c>
      <c r="G34" s="1420" t="inlineStr">
        <is>
          <t>workshops</t>
        </is>
      </c>
      <c r="H34" s="431" t="n"/>
      <c r="I34" s="432">
        <f>IFERROR(I3/I25,0)</f>
        <v/>
      </c>
      <c r="J34" s="432">
        <f>IFERROR(J3/J25,0)</f>
        <v/>
      </c>
      <c r="K34" s="432">
        <f>IFERROR(K3/K25,0)</f>
        <v/>
      </c>
      <c r="L34" s="432">
        <f>IFERROR(L3/L25,0)</f>
        <v/>
      </c>
      <c r="M34" s="432">
        <f>IFERROR(M3/M25,0)</f>
        <v/>
      </c>
      <c r="N34" s="432">
        <f>IFERROR(N3/N25,0)</f>
        <v/>
      </c>
      <c r="O34" s="432">
        <f>IFERROR(O3/O25,0)</f>
        <v/>
      </c>
      <c r="P34" s="432">
        <f>IFERROR(P3/P25,0)</f>
        <v/>
      </c>
      <c r="Q34" s="432">
        <f>IFERROR(Q3/Q25,0)</f>
        <v/>
      </c>
      <c r="R34" s="432">
        <f>IFERROR(R3/R25,0)</f>
        <v/>
      </c>
      <c r="S34" s="432">
        <f>IFERROR(S3/S25,0)</f>
        <v/>
      </c>
      <c r="T34" s="432">
        <f>IFERROR(T3/T25,0)</f>
        <v/>
      </c>
      <c r="U34" s="431">
        <f>AVERAGE(I34:T34)</f>
        <v/>
      </c>
    </row>
    <row r="35" ht="13.5" customHeight="1" s="1232">
      <c r="A35" s="1292" t="n">
        <v>42780</v>
      </c>
      <c r="B35" s="1294" t="inlineStr">
        <is>
          <t>Julian Barton-Bodley</t>
        </is>
      </c>
      <c r="C35" s="1294" t="inlineStr">
        <is>
          <t>Leads In Progress</t>
        </is>
      </c>
      <c r="E35" s="1293" t="n">
        <v>470</v>
      </c>
      <c r="F35" s="1294" t="inlineStr">
        <is>
          <t>PnM - Lightroom</t>
        </is>
      </c>
      <c r="G35" s="1420" t="inlineStr">
        <is>
          <t>pick n mix</t>
        </is>
      </c>
      <c r="H35" s="431" t="n"/>
      <c r="I35" s="432">
        <f>IFERROR(I4/I26,0)</f>
        <v/>
      </c>
      <c r="J35" s="432">
        <f>IFERROR(J4/J26,0)</f>
        <v/>
      </c>
      <c r="K35" s="432">
        <f>IFERROR(K4/K26,0)</f>
        <v/>
      </c>
      <c r="L35" s="432">
        <f>IFERROR(L4/L26,0)</f>
        <v/>
      </c>
      <c r="M35" s="432">
        <f>IFERROR(M4/M26,0)</f>
        <v/>
      </c>
      <c r="N35" s="432">
        <f>IFERROR(N4/N26,0)</f>
        <v/>
      </c>
      <c r="O35" s="432">
        <f>IFERROR(O4/O26,0)</f>
        <v/>
      </c>
      <c r="P35" s="432">
        <f>IFERROR(P4/P26,0)</f>
        <v/>
      </c>
      <c r="Q35" s="432">
        <f>IFERROR(Q4/Q26,0)</f>
        <v/>
      </c>
      <c r="R35" s="432">
        <f>IFERROR(R4/R26,0)</f>
        <v/>
      </c>
      <c r="S35" s="432">
        <f>IFERROR(S4/S26,0)</f>
        <v/>
      </c>
      <c r="T35" s="432">
        <f>IFERROR(T4/T26,0)</f>
        <v/>
      </c>
      <c r="U35" s="431">
        <f>AVERAGE(I35:T35)</f>
        <v/>
      </c>
    </row>
    <row r="36" ht="15" customHeight="1" s="1232">
      <c r="A36" s="1292" t="n">
        <v>42822</v>
      </c>
      <c r="B36" s="1294" t="inlineStr">
        <is>
          <t>henryhindeinfantschool</t>
        </is>
      </c>
      <c r="C36" s="1294" t="inlineStr">
        <is>
          <t>Leads In Progress</t>
        </is>
      </c>
      <c r="D36" s="468" t="n"/>
      <c r="E36" s="1293" t="n">
        <v>100</v>
      </c>
      <c r="F36" s="1294" t="inlineStr">
        <is>
          <t>Photo Shoot</t>
        </is>
      </c>
      <c r="G36" s="1420" t="inlineStr">
        <is>
          <t>mentoring</t>
        </is>
      </c>
      <c r="H36" s="431" t="n"/>
      <c r="I36" s="432">
        <f>IFERROR(I5/I27,0)</f>
        <v/>
      </c>
      <c r="J36" s="432">
        <f>IFERROR(J5/J27,0)</f>
        <v/>
      </c>
      <c r="K36" s="432">
        <f>IFERROR(K5/K27,0)</f>
        <v/>
      </c>
      <c r="L36" s="432">
        <f>IFERROR(L5/L27,0)</f>
        <v/>
      </c>
      <c r="M36" s="432">
        <f>IFERROR(M5/M27,0)</f>
        <v/>
      </c>
      <c r="N36" s="432">
        <f>IFERROR(N5/N27,0)</f>
        <v/>
      </c>
      <c r="O36" s="432">
        <f>IFERROR(O5/O27,0)</f>
        <v/>
      </c>
      <c r="P36" s="432">
        <f>IFERROR(P5/P27,0)</f>
        <v/>
      </c>
      <c r="Q36" s="432">
        <f>IFERROR(Q5/Q27,0)</f>
        <v/>
      </c>
      <c r="R36" s="432">
        <f>IFERROR(R5/R27,0)</f>
        <v/>
      </c>
      <c r="S36" s="432">
        <f>IFERROR(S5/S27,0)</f>
        <v/>
      </c>
      <c r="T36" s="432">
        <f>IFERROR(T5/T27,0)</f>
        <v/>
      </c>
      <c r="U36" s="431">
        <f>AVERAGE(I36:T36)</f>
        <v/>
      </c>
      <c r="AB36" s="1304" t="inlineStr">
        <is>
          <t>Invoice Date</t>
        </is>
      </c>
      <c r="AC36" s="1304" t="inlineStr">
        <is>
          <t>Employee</t>
        </is>
      </c>
      <c r="AD36" s="1304" t="inlineStr">
        <is>
          <t>Invoice Number</t>
        </is>
      </c>
      <c r="AE36" s="1304" t="inlineStr">
        <is>
          <t>ELS Voucher</t>
        </is>
      </c>
      <c r="AF36" s="1304" t="inlineStr">
        <is>
          <t>Amount</t>
        </is>
      </c>
      <c r="AG36" s="1304" t="inlineStr">
        <is>
          <t>Event</t>
        </is>
      </c>
    </row>
    <row r="37" ht="13.5" customHeight="1" s="1232">
      <c r="A37" s="1292" t="n">
        <v>42861</v>
      </c>
      <c r="B37" s="1294" t="inlineStr">
        <is>
          <t>Pavan Kumar</t>
        </is>
      </c>
      <c r="C37" s="1294" t="inlineStr">
        <is>
          <t>Leads In Progress</t>
        </is>
      </c>
      <c r="D37" s="1255" t="inlineStr">
        <is>
          <t>m:  24/9</t>
        </is>
      </c>
      <c r="E37" s="1293" t="n">
        <v>600</v>
      </c>
      <c r="F37" s="1294" t="inlineStr">
        <is>
          <t>Pick N Mix  try in may</t>
        </is>
      </c>
      <c r="G37" s="1423" t="inlineStr">
        <is>
          <t>1-2-1</t>
        </is>
      </c>
      <c r="H37" s="431" t="n"/>
      <c r="I37" s="432">
        <f>IFERROR(I6/I28,0)</f>
        <v/>
      </c>
      <c r="J37" s="432">
        <f>IFERROR(J6/J28,0)</f>
        <v/>
      </c>
      <c r="K37" s="432">
        <f>IFERROR(K6/K28,0)</f>
        <v/>
      </c>
      <c r="L37" s="432">
        <f>IFERROR(L6/L28,0)</f>
        <v/>
      </c>
      <c r="M37" s="432">
        <f>IFERROR(M6/M28,0)</f>
        <v/>
      </c>
      <c r="N37" s="432">
        <f>IFERROR(N6/N28,0)</f>
        <v/>
      </c>
      <c r="O37" s="432">
        <f>IFERROR(O6/O28,0)</f>
        <v/>
      </c>
      <c r="P37" s="432">
        <f>IFERROR(P6/P28,0)</f>
        <v/>
      </c>
      <c r="Q37" s="432">
        <f>IFERROR(Q6/Q28,0)</f>
        <v/>
      </c>
      <c r="R37" s="432">
        <f>IFERROR(R6/R28,0)</f>
        <v/>
      </c>
      <c r="S37" s="432">
        <f>IFERROR(S6/S28,0)</f>
        <v/>
      </c>
      <c r="T37" s="432">
        <f>IFERROR(T6/T28,0)</f>
        <v/>
      </c>
      <c r="U37" s="431">
        <f>AVERAGE(I37:T37)</f>
        <v/>
      </c>
    </row>
    <row r="38" ht="13.5" customHeight="1" s="1232">
      <c r="A38" s="1292" t="inlineStr">
        <is>
          <t>Jan</t>
        </is>
      </c>
      <c r="B38" s="1294" t="inlineStr">
        <is>
          <t>Facebook Renewals</t>
        </is>
      </c>
      <c r="C38" s="1294" t="inlineStr">
        <is>
          <t>Leads In Progress</t>
        </is>
      </c>
      <c r="D38" s="468" t="n"/>
      <c r="E38" s="1293" t="n">
        <v>30</v>
      </c>
      <c r="G38" s="1423" t="inlineStr">
        <is>
          <t>other</t>
        </is>
      </c>
      <c r="H38" s="431" t="n"/>
      <c r="I38" s="432">
        <f>IFERROR(I7/I29,0)</f>
        <v/>
      </c>
      <c r="J38" s="432">
        <f>IFERROR(J7/J29,0)</f>
        <v/>
      </c>
      <c r="K38" s="432">
        <f>IFERROR(K7/K29,0)</f>
        <v/>
      </c>
      <c r="L38" s="432">
        <f>IFERROR(L7/L29,0)</f>
        <v/>
      </c>
      <c r="M38" s="432">
        <f>IFERROR(M7/M29,0)</f>
        <v/>
      </c>
      <c r="N38" s="432">
        <f>IFERROR(N7/N29,0)</f>
        <v/>
      </c>
      <c r="O38" s="432">
        <f>IFERROR(O7/O29,0)</f>
        <v/>
      </c>
      <c r="P38" s="432">
        <f>IFERROR(P7/P29,0)</f>
        <v/>
      </c>
      <c r="Q38" s="432">
        <f>IFERROR(Q7/Q29,0)</f>
        <v/>
      </c>
      <c r="R38" s="432">
        <f>IFERROR(R7/R29,0)</f>
        <v/>
      </c>
      <c r="S38" s="432">
        <f>IFERROR(S7/S29,0)</f>
        <v/>
      </c>
      <c r="T38" s="432">
        <f>IFERROR(T7/T29,0)</f>
        <v/>
      </c>
      <c r="U38" s="431">
        <f>AVERAGE(I38:T38)</f>
        <v/>
      </c>
      <c r="AB38" s="470" t="n">
        <v>42937</v>
      </c>
      <c r="AC38" s="1372" t="inlineStr">
        <is>
          <t>Aikaterini Fotoglou - ELS</t>
        </is>
      </c>
      <c r="AD38" s="1372" t="inlineStr">
        <is>
          <t>20170721-1</t>
        </is>
      </c>
      <c r="AE38" s="472" t="n">
        <v>146746</v>
      </c>
      <c r="AF38" s="1384" t="n">
        <v>200</v>
      </c>
      <c r="AG38" s="1373" t="inlineStr">
        <is>
          <t>5wk Course</t>
        </is>
      </c>
    </row>
    <row r="39" ht="13.9" customHeight="1" s="1232">
      <c r="A39" s="1292" t="n"/>
      <c r="B39" s="1294" t="n"/>
      <c r="C39" s="1294" t="n"/>
      <c r="D39" s="1294" t="n"/>
      <c r="E39" s="1293" t="n"/>
      <c r="F39" s="1294" t="n"/>
      <c r="G39" s="1335" t="inlineStr">
        <is>
          <t>Totals</t>
        </is>
      </c>
      <c r="H39" s="438" t="n"/>
      <c r="I39" s="439">
        <f>SUM(I33:I38)</f>
        <v/>
      </c>
      <c r="J39" s="439">
        <f>SUM(J33:J38)</f>
        <v/>
      </c>
      <c r="K39" s="439">
        <f>SUM(K33:K38)</f>
        <v/>
      </c>
      <c r="L39" s="439">
        <f>SUM(L33:L38)</f>
        <v/>
      </c>
      <c r="M39" s="439">
        <f>SUM(M33:M38)</f>
        <v/>
      </c>
      <c r="N39" s="439">
        <f>SUM(N33:N38)</f>
        <v/>
      </c>
      <c r="O39" s="439">
        <f>SUM(O33:O38)</f>
        <v/>
      </c>
      <c r="P39" s="439">
        <f>SUM(P33:P38)</f>
        <v/>
      </c>
      <c r="Q39" s="439">
        <f>SUM(Q33:Q38)</f>
        <v/>
      </c>
      <c r="R39" s="439">
        <f>SUM(R33:R38)</f>
        <v/>
      </c>
      <c r="S39" s="439">
        <f>SUM(S33:S38)</f>
        <v/>
      </c>
      <c r="T39" s="439">
        <f>SUM(T33:T38)</f>
        <v/>
      </c>
      <c r="U39" s="438">
        <f>SUM(U33:U38)</f>
        <v/>
      </c>
      <c r="AB39" s="470" t="n">
        <v>42941</v>
      </c>
      <c r="AC39" s="1372" t="inlineStr">
        <is>
          <t>Ran Tao - ELS</t>
        </is>
      </c>
      <c r="AD39" s="1372" t="inlineStr">
        <is>
          <t>20170725-1</t>
        </is>
      </c>
      <c r="AE39" s="472" t="n">
        <v>146833</v>
      </c>
      <c r="AF39" s="1384" t="n">
        <v>200</v>
      </c>
      <c r="AG39" s="1373" t="inlineStr">
        <is>
          <t>5wk Course</t>
        </is>
      </c>
    </row>
    <row r="40" ht="13.5" customHeight="1" s="1232">
      <c r="A40" s="1292" t="n">
        <v>42829</v>
      </c>
      <c r="B40" s="1294" t="inlineStr">
        <is>
          <t xml:space="preserve">Dan Taylor </t>
        </is>
      </c>
      <c r="C40" s="1294" t="inlineStr">
        <is>
          <t>Leads In Progress</t>
        </is>
      </c>
      <c r="D40" s="1255" t="inlineStr">
        <is>
          <t>m:19/5</t>
        </is>
      </c>
      <c r="E40" s="1293" t="n">
        <v>600</v>
      </c>
      <c r="F40" s="1294" t="inlineStr">
        <is>
          <t>Premium Mentoring</t>
        </is>
      </c>
      <c r="AB40" s="470" t="n">
        <v>42947</v>
      </c>
      <c r="AC40" s="1372" t="inlineStr">
        <is>
          <t>Stewart Twilton - ELS</t>
        </is>
      </c>
      <c r="AD40" s="1372" t="inlineStr">
        <is>
          <t>20170731-1</t>
        </is>
      </c>
      <c r="AE40" s="472" t="n">
        <v>146978</v>
      </c>
      <c r="AF40" s="1384" t="n">
        <v>135</v>
      </c>
      <c r="AG40" s="1373" t="inlineStr">
        <is>
          <t>Workshop</t>
        </is>
      </c>
    </row>
    <row r="41" ht="13.5" customHeight="1" s="1232">
      <c r="A41" s="1292" t="n"/>
      <c r="B41" s="1294" t="n"/>
      <c r="C41" s="1294" t="n"/>
      <c r="E41" s="1293" t="n"/>
      <c r="F41" s="1294" t="n"/>
      <c r="AB41" s="470" t="n">
        <v>42969</v>
      </c>
      <c r="AC41" s="1372" t="inlineStr">
        <is>
          <t>Kim Robert - ELS</t>
        </is>
      </c>
      <c r="AD41" s="1372" t="inlineStr">
        <is>
          <t>20170822-1</t>
        </is>
      </c>
      <c r="AE41" s="472" t="n">
        <v>147703</v>
      </c>
      <c r="AF41" s="1384" t="n">
        <v>200</v>
      </c>
      <c r="AG41" s="1373" t="inlineStr">
        <is>
          <t>5wk Course</t>
        </is>
      </c>
    </row>
    <row r="42" ht="13.9" customHeight="1" s="1232">
      <c r="A42" s="1292" t="n"/>
      <c r="B42" s="1294" t="n"/>
      <c r="C42" s="1294" t="n"/>
      <c r="E42" s="1293" t="n"/>
      <c r="F42" s="1294" t="n"/>
      <c r="G42" s="1336" t="inlineStr">
        <is>
          <t>Tuition Categories</t>
        </is>
      </c>
      <c r="H42" s="1330" t="inlineStr">
        <is>
          <t>GP Target</t>
        </is>
      </c>
      <c r="I42" s="1415" t="inlineStr">
        <is>
          <t>Jan</t>
        </is>
      </c>
      <c r="J42" s="1415" t="inlineStr">
        <is>
          <t>Feb</t>
        </is>
      </c>
      <c r="K42" s="1415" t="inlineStr">
        <is>
          <t>Mar</t>
        </is>
      </c>
      <c r="L42" s="1415" t="inlineStr">
        <is>
          <t>Apr</t>
        </is>
      </c>
      <c r="M42" s="1415" t="inlineStr">
        <is>
          <t>May</t>
        </is>
      </c>
      <c r="N42" s="1415" t="inlineStr">
        <is>
          <t>Jun</t>
        </is>
      </c>
      <c r="O42" s="1415" t="inlineStr">
        <is>
          <t>Jul</t>
        </is>
      </c>
      <c r="P42" s="1415" t="inlineStr">
        <is>
          <t>Aug</t>
        </is>
      </c>
      <c r="Q42" s="1415" t="inlineStr">
        <is>
          <t>Sep</t>
        </is>
      </c>
      <c r="R42" s="1415" t="inlineStr">
        <is>
          <t>Oct</t>
        </is>
      </c>
      <c r="S42" s="1415" t="inlineStr">
        <is>
          <t>Nov</t>
        </is>
      </c>
      <c r="T42" s="1415" t="inlineStr">
        <is>
          <t>Dec</t>
        </is>
      </c>
      <c r="U42" s="1278" t="inlineStr">
        <is>
          <t>Year</t>
        </is>
      </c>
      <c r="V42" s="1273" t="inlineStr">
        <is>
          <t>GP %</t>
        </is>
      </c>
      <c r="W42" s="1383" t="inlineStr">
        <is>
          <t>YTD Targ</t>
        </is>
      </c>
      <c r="X42" s="1383" t="inlineStr">
        <is>
          <t>Var YTD</t>
        </is>
      </c>
      <c r="AB42" s="470" t="n">
        <v>42970</v>
      </c>
      <c r="AC42" s="1372" t="inlineStr">
        <is>
          <t>Scott Bremner - ELS</t>
        </is>
      </c>
      <c r="AD42" s="1372" t="inlineStr">
        <is>
          <t>20170823-2</t>
        </is>
      </c>
      <c r="AE42" s="472" t="n">
        <v>147671</v>
      </c>
      <c r="AF42" s="1384" t="n">
        <v>200</v>
      </c>
      <c r="AG42" s="1373" t="inlineStr">
        <is>
          <t>5wk Course</t>
        </is>
      </c>
    </row>
    <row r="43" ht="13.5" customHeight="1" s="1232">
      <c r="A43" s="1292" t="n"/>
      <c r="B43" s="1294" t="n"/>
      <c r="C43" s="1294" t="n"/>
      <c r="E43" s="1293" t="n"/>
      <c r="F43" s="1294" t="n"/>
      <c r="G43" s="1420" t="inlineStr">
        <is>
          <t>courses/masterclasses</t>
        </is>
      </c>
      <c r="H43" s="432">
        <f>H2*60%</f>
        <v/>
      </c>
      <c r="I43" s="432">
        <f>I2*60%</f>
        <v/>
      </c>
      <c r="J43" s="432">
        <f>J2*60%</f>
        <v/>
      </c>
      <c r="K43" s="432">
        <f>K2*60%</f>
        <v/>
      </c>
      <c r="L43" s="432">
        <f>L2*60%</f>
        <v/>
      </c>
      <c r="M43" s="432">
        <f>M2*60%</f>
        <v/>
      </c>
      <c r="N43" s="432">
        <f>N2*60%</f>
        <v/>
      </c>
      <c r="O43" s="432">
        <f>O2*60%</f>
        <v/>
      </c>
      <c r="P43" s="432">
        <f>P2*60%</f>
        <v/>
      </c>
      <c r="Q43" s="432">
        <f>Q2*60%</f>
        <v/>
      </c>
      <c r="R43" s="432">
        <f>R2*60%</f>
        <v/>
      </c>
      <c r="S43" s="432">
        <f>S2*60%</f>
        <v/>
      </c>
      <c r="T43" s="432">
        <f>T2*60%</f>
        <v/>
      </c>
      <c r="U43" s="431">
        <f>SUM(I43:T43)</f>
        <v/>
      </c>
      <c r="V43" s="445">
        <f>U43/U2</f>
        <v/>
      </c>
      <c r="W43" s="558">
        <f>H43*12</f>
        <v/>
      </c>
      <c r="X43" s="434">
        <f>U43-W43</f>
        <v/>
      </c>
      <c r="AB43" s="470" t="n">
        <v>42970</v>
      </c>
      <c r="AC43" s="1372" t="inlineStr">
        <is>
          <t>Michael King - ELS</t>
        </is>
      </c>
      <c r="AD43" s="1372" t="inlineStr">
        <is>
          <t>20170823-1</t>
        </is>
      </c>
      <c r="AE43" s="472" t="n">
        <v>147844</v>
      </c>
      <c r="AF43" s="1384" t="n">
        <v>200</v>
      </c>
      <c r="AG43" s="1373" t="inlineStr">
        <is>
          <t>4wk Course</t>
        </is>
      </c>
    </row>
    <row r="44" ht="13.5" customHeight="1" s="1232">
      <c r="A44" s="1292" t="n">
        <v>42864</v>
      </c>
      <c r="B44" s="1294" t="inlineStr">
        <is>
          <t>Herbert Museum</t>
        </is>
      </c>
      <c r="C44" s="1294" t="inlineStr">
        <is>
          <t>Leads In Progress</t>
        </is>
      </c>
      <c r="D44" s="1255" t="inlineStr">
        <is>
          <t>Vm 11/5</t>
        </is>
      </c>
      <c r="E44" s="1293" t="n">
        <v>500</v>
      </c>
      <c r="F44" s="1294" t="inlineStr">
        <is>
          <t>19th Aug Workshop</t>
        </is>
      </c>
      <c r="G44" s="1420" t="inlineStr">
        <is>
          <t>workshops</t>
        </is>
      </c>
      <c r="H44" s="432">
        <f>H3*45%</f>
        <v/>
      </c>
      <c r="I44" s="432">
        <f>I3*45%</f>
        <v/>
      </c>
      <c r="J44" s="432">
        <f>J3*45%</f>
        <v/>
      </c>
      <c r="K44" s="432">
        <f>K3*45%</f>
        <v/>
      </c>
      <c r="L44" s="432">
        <f>L3*45%</f>
        <v/>
      </c>
      <c r="M44" s="432">
        <f>M3*45%</f>
        <v/>
      </c>
      <c r="N44" s="432">
        <f>N3*45%</f>
        <v/>
      </c>
      <c r="O44" s="432">
        <f>O3*45%</f>
        <v/>
      </c>
      <c r="P44" s="432">
        <f>P3*45%</f>
        <v/>
      </c>
      <c r="Q44" s="432">
        <f>Q3*45%</f>
        <v/>
      </c>
      <c r="R44" s="432">
        <f>R3*45%</f>
        <v/>
      </c>
      <c r="S44" s="432">
        <f>S3*45%</f>
        <v/>
      </c>
      <c r="T44" s="432">
        <f>T3*45%</f>
        <v/>
      </c>
      <c r="U44" s="431">
        <f>SUM(I44:T44)</f>
        <v/>
      </c>
      <c r="V44" s="445">
        <f>U44/U3</f>
        <v/>
      </c>
      <c r="W44" s="558">
        <f>H44*12</f>
        <v/>
      </c>
      <c r="X44" s="434">
        <f>U44-W44</f>
        <v/>
      </c>
      <c r="AB44" s="470" t="n">
        <v>42976</v>
      </c>
      <c r="AC44" s="1372" t="inlineStr">
        <is>
          <t>Thomas Lloyd -ELS</t>
        </is>
      </c>
      <c r="AD44" s="1372" t="inlineStr">
        <is>
          <t>20170829-1</t>
        </is>
      </c>
      <c r="AE44" s="472" t="n">
        <v>148062</v>
      </c>
      <c r="AF44" s="1384" t="n">
        <v>65</v>
      </c>
      <c r="AG44" s="1373" t="inlineStr">
        <is>
          <t>Workshop</t>
        </is>
      </c>
    </row>
    <row r="45" ht="13.5" customHeight="1" s="1232">
      <c r="A45" s="1292" t="n"/>
      <c r="B45" s="1294" t="n"/>
      <c r="C45" s="1294" t="n"/>
      <c r="E45" s="1293" t="n"/>
      <c r="F45" s="1294" t="n"/>
      <c r="G45" s="1420" t="inlineStr">
        <is>
          <t>pick n mix</t>
        </is>
      </c>
      <c r="H45" s="432">
        <f>H4*40%</f>
        <v/>
      </c>
      <c r="I45" s="432">
        <f>I4*40%</f>
        <v/>
      </c>
      <c r="J45" s="432">
        <f>J4*40%</f>
        <v/>
      </c>
      <c r="K45" s="432">
        <f>K4*40%</f>
        <v/>
      </c>
      <c r="L45" s="432">
        <f>L4*40%</f>
        <v/>
      </c>
      <c r="M45" s="432">
        <f>M4*40%</f>
        <v/>
      </c>
      <c r="N45" s="432">
        <f>N4*40%</f>
        <v/>
      </c>
      <c r="O45" s="432">
        <f>O4*40%</f>
        <v/>
      </c>
      <c r="P45" s="432">
        <f>P4*40%</f>
        <v/>
      </c>
      <c r="Q45" s="432">
        <f>Q4*40%</f>
        <v/>
      </c>
      <c r="R45" s="432">
        <f>R4*40%</f>
        <v/>
      </c>
      <c r="S45" s="432">
        <f>S4*40%</f>
        <v/>
      </c>
      <c r="T45" s="432">
        <f>T4*40%</f>
        <v/>
      </c>
      <c r="U45" s="431">
        <f>SUM(I45:T45)</f>
        <v/>
      </c>
      <c r="V45" s="445">
        <f>U45/U4</f>
        <v/>
      </c>
      <c r="W45" s="558">
        <f>H45*12</f>
        <v/>
      </c>
      <c r="X45" s="434">
        <f>U45-W45</f>
        <v/>
      </c>
      <c r="AB45" s="470" t="n">
        <v>42978</v>
      </c>
      <c r="AC45" s="1372" t="inlineStr">
        <is>
          <t>Jieyuan Wu - ELS</t>
        </is>
      </c>
      <c r="AD45" s="1372" t="inlineStr">
        <is>
          <t>20170831-4</t>
        </is>
      </c>
      <c r="AE45" s="472" t="n">
        <v>148222</v>
      </c>
      <c r="AF45" s="1384" t="n">
        <v>200</v>
      </c>
      <c r="AG45" s="1373" t="inlineStr">
        <is>
          <t>5wk Course</t>
        </is>
      </c>
    </row>
    <row r="46" ht="13.5" customHeight="1" s="1232">
      <c r="A46" s="1292" t="n">
        <v>42851</v>
      </c>
      <c r="B46" s="1294" t="inlineStr">
        <is>
          <t xml:space="preserve">adrian platt </t>
        </is>
      </c>
      <c r="C46" s="1294" t="inlineStr">
        <is>
          <t>Leads In Progress</t>
        </is>
      </c>
      <c r="D46" s="1255" t="inlineStr">
        <is>
          <t>Vm 11/5</t>
        </is>
      </c>
      <c r="E46" s="1293" t="n">
        <v>365</v>
      </c>
      <c r="F46" s="1294" t="inlineStr">
        <is>
          <t>Intermediates</t>
        </is>
      </c>
      <c r="G46" s="1420" t="inlineStr">
        <is>
          <t>mentoring</t>
        </is>
      </c>
      <c r="H46" s="432">
        <f>H5*75%</f>
        <v/>
      </c>
      <c r="I46" s="432">
        <f>I5*75%</f>
        <v/>
      </c>
      <c r="J46" s="432">
        <f>J5*75%</f>
        <v/>
      </c>
      <c r="K46" s="432">
        <f>K5*75%</f>
        <v/>
      </c>
      <c r="L46" s="432">
        <f>L5*75%</f>
        <v/>
      </c>
      <c r="M46" s="432">
        <f>M5*75%</f>
        <v/>
      </c>
      <c r="N46" s="432">
        <f>N5*75%</f>
        <v/>
      </c>
      <c r="O46" s="432">
        <f>O5*75%</f>
        <v/>
      </c>
      <c r="P46" s="432">
        <f>P5*75%</f>
        <v/>
      </c>
      <c r="Q46" s="432">
        <f>Q5*75%</f>
        <v/>
      </c>
      <c r="R46" s="432">
        <f>R5*75%</f>
        <v/>
      </c>
      <c r="S46" s="432">
        <f>S5*75%</f>
        <v/>
      </c>
      <c r="T46" s="432">
        <f>T5*75%</f>
        <v/>
      </c>
      <c r="U46" s="431">
        <f>SUM(I46:T46)</f>
        <v/>
      </c>
      <c r="V46" s="445">
        <f>U46/U5</f>
        <v/>
      </c>
      <c r="W46" s="558">
        <f>H46*12</f>
        <v/>
      </c>
      <c r="X46" s="434">
        <f>U46-W46</f>
        <v/>
      </c>
      <c r="AB46" s="470" t="n">
        <v>42978</v>
      </c>
      <c r="AC46" s="1372" t="inlineStr">
        <is>
          <t>Daniel Thomas - ELS</t>
        </is>
      </c>
      <c r="AD46" s="1372" t="inlineStr">
        <is>
          <t>20170831-1</t>
        </is>
      </c>
      <c r="AE46" s="472" t="n">
        <v>148235</v>
      </c>
      <c r="AF46" s="1384" t="n">
        <v>200</v>
      </c>
      <c r="AG46" s="1373" t="inlineStr">
        <is>
          <t>5wk Course</t>
        </is>
      </c>
    </row>
    <row r="47" ht="13.5" customHeight="1" s="1232">
      <c r="A47" s="1292" t="n">
        <v>42863</v>
      </c>
      <c r="B47" s="1294" t="inlineStr">
        <is>
          <t xml:space="preserve">Mick Rogers </t>
        </is>
      </c>
      <c r="C47" s="1294" t="inlineStr">
        <is>
          <t>Leads In Progress</t>
        </is>
      </c>
      <c r="D47" s="1255" t="inlineStr">
        <is>
          <t>considering</t>
        </is>
      </c>
      <c r="E47" s="1293" t="n">
        <v>295</v>
      </c>
      <c r="F47" s="1294" t="inlineStr">
        <is>
          <t>Northumbria May 2018</t>
        </is>
      </c>
      <c r="G47" s="1423" t="inlineStr">
        <is>
          <t>1-2-1</t>
        </is>
      </c>
      <c r="H47" s="432">
        <f>H6*75%</f>
        <v/>
      </c>
      <c r="I47" s="432">
        <f>I6*75%</f>
        <v/>
      </c>
      <c r="J47" s="432">
        <f>J6*75%</f>
        <v/>
      </c>
      <c r="K47" s="432">
        <f>K6*75%</f>
        <v/>
      </c>
      <c r="L47" s="432">
        <f>L6*75%</f>
        <v/>
      </c>
      <c r="M47" s="432">
        <f>M6*75%</f>
        <v/>
      </c>
      <c r="N47" s="432">
        <f>N6*75%</f>
        <v/>
      </c>
      <c r="O47" s="432">
        <f>O6*75%</f>
        <v/>
      </c>
      <c r="P47" s="432">
        <f>P6*75%</f>
        <v/>
      </c>
      <c r="Q47" s="432">
        <f>Q6*75%</f>
        <v/>
      </c>
      <c r="R47" s="432">
        <f>R6*75%</f>
        <v/>
      </c>
      <c r="S47" s="432">
        <f>S6*75%</f>
        <v/>
      </c>
      <c r="T47" s="432">
        <f>T6*75%</f>
        <v/>
      </c>
      <c r="U47" s="431">
        <f>SUM(I47:T47)</f>
        <v/>
      </c>
      <c r="V47" s="445">
        <f>U47/U6</f>
        <v/>
      </c>
      <c r="W47" s="558">
        <f>H47*12</f>
        <v/>
      </c>
      <c r="X47" s="434">
        <f>U47-W47</f>
        <v/>
      </c>
      <c r="AB47" s="470" t="n">
        <v>42978</v>
      </c>
      <c r="AC47" s="1372" t="inlineStr">
        <is>
          <t>Paul Gardiner - ELS</t>
        </is>
      </c>
      <c r="AD47" s="1372" t="inlineStr">
        <is>
          <t>20170831-2</t>
        </is>
      </c>
      <c r="AE47" s="472" t="n">
        <v>148256</v>
      </c>
      <c r="AF47" s="1384" t="n">
        <v>41</v>
      </c>
      <c r="AG47" s="1373" t="inlineStr">
        <is>
          <t>Workshop</t>
        </is>
      </c>
    </row>
    <row r="48" ht="13.5" customHeight="1" s="1232">
      <c r="A48" s="1292" t="n">
        <v>42866</v>
      </c>
      <c r="B48" s="1294" t="inlineStr">
        <is>
          <t xml:space="preserve">Kate Nolan </t>
        </is>
      </c>
      <c r="C48" s="1294" t="inlineStr">
        <is>
          <t>Leads In Progress</t>
        </is>
      </c>
      <c r="D48" s="1255" t="inlineStr">
        <is>
          <t>M: 12/5</t>
        </is>
      </c>
      <c r="E48" s="1293" t="n">
        <v>300</v>
      </c>
      <c r="F48" s="1294" t="inlineStr">
        <is>
          <t>Courses/intermediates/Lightroom</t>
        </is>
      </c>
      <c r="G48" s="1423" t="inlineStr">
        <is>
          <t>other</t>
        </is>
      </c>
      <c r="H48" s="432">
        <f>H7*15%</f>
        <v/>
      </c>
      <c r="I48" s="432">
        <f>I7*15%</f>
        <v/>
      </c>
      <c r="J48" s="432">
        <f>J7*15%</f>
        <v/>
      </c>
      <c r="K48" s="432">
        <f>K7*15%</f>
        <v/>
      </c>
      <c r="L48" s="432">
        <f>L7*15%</f>
        <v/>
      </c>
      <c r="M48" s="432">
        <f>M7*15%</f>
        <v/>
      </c>
      <c r="N48" s="432">
        <f>N7*15%</f>
        <v/>
      </c>
      <c r="O48" s="432">
        <f>O7*15%</f>
        <v/>
      </c>
      <c r="P48" s="432">
        <f>P7*15%</f>
        <v/>
      </c>
      <c r="Q48" s="432">
        <f>Q7*15%</f>
        <v/>
      </c>
      <c r="R48" s="432">
        <f>R7*15%</f>
        <v/>
      </c>
      <c r="S48" s="432">
        <f>S7*15%</f>
        <v/>
      </c>
      <c r="T48" s="432">
        <f>T7*15%</f>
        <v/>
      </c>
      <c r="U48" s="431">
        <f>SUM(I48:T48)</f>
        <v/>
      </c>
      <c r="V48" s="445">
        <f>U48/U7</f>
        <v/>
      </c>
      <c r="W48" s="558">
        <f>H48*12</f>
        <v/>
      </c>
      <c r="X48" s="434">
        <f>U48-W48</f>
        <v/>
      </c>
      <c r="AB48" s="470" t="n">
        <v>42982</v>
      </c>
      <c r="AC48" s="1372" t="inlineStr">
        <is>
          <t>Marius Ciobanu -ELS</t>
        </is>
      </c>
      <c r="AD48" s="1372" t="inlineStr">
        <is>
          <t>20170904-1</t>
        </is>
      </c>
      <c r="AE48" s="472" t="n">
        <v>148035</v>
      </c>
      <c r="AF48" s="1385" t="n">
        <v>200</v>
      </c>
      <c r="AG48" s="1373" t="inlineStr">
        <is>
          <t>5wk Course</t>
        </is>
      </c>
    </row>
    <row r="49" ht="13.9" customHeight="1" s="1232">
      <c r="A49" s="1292" t="n"/>
      <c r="B49" s="1294" t="n"/>
      <c r="C49" s="1294" t="n"/>
      <c r="E49" s="1293" t="n"/>
      <c r="F49" s="1294" t="n"/>
      <c r="G49" s="1335" t="inlineStr">
        <is>
          <t>Totals</t>
        </is>
      </c>
      <c r="H49" s="438">
        <f>SUM(H43:H48)</f>
        <v/>
      </c>
      <c r="I49" s="439">
        <f>SUM(I43:I48)</f>
        <v/>
      </c>
      <c r="J49" s="439">
        <f>SUM(J43:J48)</f>
        <v/>
      </c>
      <c r="K49" s="439">
        <f>SUM(K43:K48)</f>
        <v/>
      </c>
      <c r="L49" s="439">
        <f>SUM(L43:L48)</f>
        <v/>
      </c>
      <c r="M49" s="439">
        <f>SUM(M43:M48)</f>
        <v/>
      </c>
      <c r="N49" s="439">
        <f>SUM(N43:N48)</f>
        <v/>
      </c>
      <c r="O49" s="439">
        <f>SUM(O43:O48)</f>
        <v/>
      </c>
      <c r="P49" s="439">
        <f>SUM(P43:P48)</f>
        <v/>
      </c>
      <c r="Q49" s="439">
        <f>SUM(Q43:Q48)</f>
        <v/>
      </c>
      <c r="R49" s="439">
        <f>SUM(R43:R48)</f>
        <v/>
      </c>
      <c r="S49" s="439">
        <f>SUM(S43:S48)</f>
        <v/>
      </c>
      <c r="T49" s="439">
        <f>SUM(T43:T48)</f>
        <v/>
      </c>
      <c r="U49" s="438">
        <f>SUM(U43:U48)</f>
        <v/>
      </c>
      <c r="V49" s="445">
        <f>U49/U8</f>
        <v/>
      </c>
      <c r="W49" s="558">
        <f>H49*12</f>
        <v/>
      </c>
      <c r="X49" s="434">
        <f>U49-W49</f>
        <v/>
      </c>
      <c r="AB49" s="470" t="n">
        <v>42998</v>
      </c>
      <c r="AC49" s="1386" t="inlineStr">
        <is>
          <t>Aidan Bodeick</t>
        </is>
      </c>
      <c r="AD49" s="1372" t="inlineStr">
        <is>
          <t>20170920-1</t>
        </is>
      </c>
      <c r="AE49" s="472" t="inlineStr">
        <is>
          <t>149301</t>
        </is>
      </c>
      <c r="AF49" s="1385" t="n">
        <v>200</v>
      </c>
      <c r="AG49" s="1274" t="inlineStr">
        <is>
          <t>5wk Course</t>
        </is>
      </c>
    </row>
    <row r="50" ht="13.5" customHeight="1" s="1232">
      <c r="A50" s="1292" t="n">
        <v>43044</v>
      </c>
      <c r="B50" s="1294" t="inlineStr">
        <is>
          <t>Sinead Noonan</t>
        </is>
      </c>
      <c r="C50" s="1294" t="inlineStr">
        <is>
          <t>Leads In Progress</t>
        </is>
      </c>
      <c r="E50" s="1293" t="n">
        <v>265</v>
      </c>
      <c r="F50" s="1294" t="inlineStr">
        <is>
          <t>5wk Beginners course</t>
        </is>
      </c>
      <c r="AB50" s="470" t="n">
        <v>42998</v>
      </c>
      <c r="AC50" s="1372" t="inlineStr">
        <is>
          <t>Marvin Epton</t>
        </is>
      </c>
      <c r="AD50" s="1372" t="inlineStr">
        <is>
          <t>20170920-2</t>
        </is>
      </c>
      <c r="AE50" s="472" t="inlineStr">
        <is>
          <t>149832</t>
        </is>
      </c>
      <c r="AF50" s="1385" t="n">
        <v>200</v>
      </c>
      <c r="AG50" s="1373" t="inlineStr">
        <is>
          <t>Photo Course</t>
        </is>
      </c>
    </row>
    <row r="51" hidden="1" ht="13.9" customHeight="1" s="1232">
      <c r="A51" s="1292" t="n"/>
      <c r="B51" s="1294" t="n"/>
      <c r="C51" s="1294" t="n"/>
      <c r="E51" s="1293" t="n"/>
      <c r="F51" s="1294" t="n"/>
      <c r="G51" s="1341" t="inlineStr">
        <is>
          <t>Banking Source</t>
        </is>
      </c>
      <c r="I51" s="1278" t="inlineStr">
        <is>
          <t>Jan</t>
        </is>
      </c>
      <c r="J51" s="1278" t="inlineStr">
        <is>
          <t>Feb</t>
        </is>
      </c>
      <c r="K51" s="1278" t="inlineStr">
        <is>
          <t>Mar</t>
        </is>
      </c>
      <c r="L51" s="1278" t="inlineStr">
        <is>
          <t>Apr</t>
        </is>
      </c>
      <c r="M51" s="1278" t="inlineStr">
        <is>
          <t>May</t>
        </is>
      </c>
      <c r="N51" s="1278" t="inlineStr">
        <is>
          <t>Jun</t>
        </is>
      </c>
      <c r="O51" s="1278" t="inlineStr">
        <is>
          <t>Jul</t>
        </is>
      </c>
      <c r="P51" s="1278" t="inlineStr">
        <is>
          <t>Aug</t>
        </is>
      </c>
      <c r="Q51" s="1278" t="inlineStr">
        <is>
          <t>Sep</t>
        </is>
      </c>
      <c r="R51" s="1278" t="inlineStr">
        <is>
          <t>Oct</t>
        </is>
      </c>
      <c r="S51" s="1278" t="inlineStr">
        <is>
          <t>Nov</t>
        </is>
      </c>
      <c r="T51" s="1278" t="inlineStr">
        <is>
          <t>Dec</t>
        </is>
      </c>
      <c r="U51" s="1278" t="inlineStr">
        <is>
          <t>Year</t>
        </is>
      </c>
      <c r="V51" s="1278" t="inlineStr">
        <is>
          <t>Split</t>
        </is>
      </c>
      <c r="W51" s="1278" t="inlineStr">
        <is>
          <t>YTD</t>
        </is>
      </c>
      <c r="X51" s="1425" t="inlineStr">
        <is>
          <t>% YTD</t>
        </is>
      </c>
      <c r="AB51" s="470" t="n">
        <v>43018</v>
      </c>
      <c r="AC51" s="1373" t="inlineStr">
        <is>
          <t>Robert Graham</t>
        </is>
      </c>
      <c r="AD51" s="1373" t="inlineStr">
        <is>
          <t>20171010-1</t>
        </is>
      </c>
      <c r="AE51" s="1387" t="inlineStr">
        <is>
          <t>151259</t>
        </is>
      </c>
      <c r="AF51" s="1385" t="n">
        <v>200</v>
      </c>
      <c r="AG51" s="1373" t="inlineStr">
        <is>
          <t>5wk Course</t>
        </is>
      </c>
    </row>
    <row r="52" hidden="1" ht="13.5" customHeight="1" s="1232">
      <c r="A52" s="1292" t="n"/>
      <c r="B52" s="1294" t="n"/>
      <c r="C52" s="1294" t="n"/>
      <c r="E52" s="1293" t="n"/>
      <c r="F52" s="1294" t="n"/>
      <c r="G52" s="1255" t="inlineStr">
        <is>
          <t>Stripe</t>
        </is>
      </c>
      <c r="I52" s="432">
        <f>SUMIF(D$591:$D$624,$G52,$E$591:$E$624)</f>
        <v/>
      </c>
      <c r="J52" s="432">
        <f>SUMIF(D$538:$D$590,$G52,$E$538:$E$590)</f>
        <v/>
      </c>
      <c r="K52" s="432">
        <f>SUMIF(D$493:$D$536,$G52,$E$493:$E$536)</f>
        <v/>
      </c>
      <c r="L52" s="432">
        <f>SUMIF($D$455:D$491,$G52,$E$455:$E$491)</f>
        <v/>
      </c>
      <c r="M52" s="432">
        <f>SUMIF($D$415:E$455,$G52,$E$415:$E$455)</f>
        <v/>
      </c>
      <c r="N52" s="432">
        <f>SUMIF($D$375:F$413,$G52,$E$375:$E$413)</f>
        <v/>
      </c>
      <c r="O52" s="432">
        <f>SUMIF($D$348:G$374,$G52,$E$348:$E$374)</f>
        <v/>
      </c>
      <c r="P52" s="432">
        <f>SUMIF($D$312:H$346,$G52,$E$312:$E$346)</f>
        <v/>
      </c>
      <c r="Q52" s="432">
        <f>SUMIF($D$251:H$308,$G52,$E$251:$E$308)</f>
        <v/>
      </c>
      <c r="R52" s="432">
        <f>SUMIF($D$190:G$249,$G52,$E$190:$E$249)</f>
        <v/>
      </c>
      <c r="S52" s="432">
        <f>SUMIF($D$143:G$188,$G52,$E$143:$E$188)</f>
        <v/>
      </c>
      <c r="T52" s="432">
        <f>SUMIF($D$95:G$141,$G52,$E$95:$E$141)</f>
        <v/>
      </c>
      <c r="U52" s="432">
        <f>SUM(I52:T52)</f>
        <v/>
      </c>
      <c r="V52" s="460">
        <f>T52/$T$59</f>
        <v/>
      </c>
      <c r="W52" s="434">
        <f>U52</f>
        <v/>
      </c>
      <c r="X52" s="460">
        <f>W52/$W$59</f>
        <v/>
      </c>
      <c r="AB52" s="470" t="n">
        <v>43018</v>
      </c>
      <c r="AC52" s="1373" t="inlineStr">
        <is>
          <t>Jonathan McCaughan  ELS</t>
        </is>
      </c>
      <c r="AD52" s="1373" t="inlineStr">
        <is>
          <t>20171010-2</t>
        </is>
      </c>
      <c r="AE52" s="1387" t="n"/>
      <c r="AF52" s="1388" t="n">
        <v>200</v>
      </c>
      <c r="AG52" s="1373" t="inlineStr">
        <is>
          <t>5wk Course</t>
        </is>
      </c>
    </row>
    <row r="53" hidden="1" ht="13.5" customHeight="1" s="1232">
      <c r="A53" s="1292" t="n">
        <v>43039</v>
      </c>
      <c r="B53" s="1294" t="inlineStr">
        <is>
          <t>Lee Clarke</t>
        </is>
      </c>
      <c r="C53" s="1294" t="inlineStr">
        <is>
          <t>Leads In Progress</t>
        </is>
      </c>
      <c r="E53" s="1293" t="n">
        <v>200</v>
      </c>
      <c r="F53" s="1305" t="inlineStr">
        <is>
          <t>Squarspace</t>
        </is>
      </c>
      <c r="G53" s="1255" t="inlineStr">
        <is>
          <t>PayPal</t>
        </is>
      </c>
      <c r="I53" s="432">
        <f>SUMIF(D$591:$D$624,$G53,$E$591:$E$624)</f>
        <v/>
      </c>
      <c r="J53" s="432">
        <f>SUMIF(D$538:$D$590,$G53,$E$538:$E$590)</f>
        <v/>
      </c>
      <c r="K53" s="432">
        <f>SUMIF(D$493:$D$536,$G53,$E$493:$E$536)</f>
        <v/>
      </c>
      <c r="L53" s="432">
        <f>SUMIF($D$455:D$491,$G53,$E$455:$E$491)</f>
        <v/>
      </c>
      <c r="M53" s="432">
        <f>SUMIF($D$415:E$455,$G53,$E$415:$E$455)</f>
        <v/>
      </c>
      <c r="N53" s="432">
        <f>SUMIF($D$375:F$413,$G53,$E$375:$E$413)</f>
        <v/>
      </c>
      <c r="O53" s="432">
        <f>SUMIF($D$348:G$374,$G53,$E$348:$E$374)</f>
        <v/>
      </c>
      <c r="P53" s="432">
        <f>SUMIF($D$312:H$346,$G53,$E$312:$E$346)</f>
        <v/>
      </c>
      <c r="Q53" s="432">
        <f>SUMIF($D$251:H$308,$G53,$E$251:$E$308)</f>
        <v/>
      </c>
      <c r="R53" s="432">
        <f>SUMIF($D$190:G$249,$G53,$E$190:$E$249)</f>
        <v/>
      </c>
      <c r="S53" s="432">
        <f>SUMIF($D$143:G$188,$G53,$E$143:$E$188)</f>
        <v/>
      </c>
      <c r="T53" s="432">
        <f>SUMIF($D$95:G$141,$G53,$E$95:$E$141)</f>
        <v/>
      </c>
      <c r="U53" s="432">
        <f>SUM(I53:T53)</f>
        <v/>
      </c>
      <c r="V53" s="460">
        <f>T53/$T$59</f>
        <v/>
      </c>
      <c r="W53" s="434">
        <f>U53</f>
        <v/>
      </c>
      <c r="X53" s="460">
        <f>W53/$W$59</f>
        <v/>
      </c>
      <c r="AB53" s="470" t="n">
        <v>43018</v>
      </c>
      <c r="AC53" s="1373" t="inlineStr">
        <is>
          <t>Shen Xiang -ELS</t>
        </is>
      </c>
      <c r="AD53" s="1373" t="inlineStr">
        <is>
          <t>20171010-3</t>
        </is>
      </c>
      <c r="AE53" s="1387" t="n"/>
      <c r="AF53" s="1385" t="n">
        <v>200</v>
      </c>
      <c r="AG53" s="1373" t="inlineStr">
        <is>
          <t>5wk Course</t>
        </is>
      </c>
    </row>
    <row r="54" hidden="1" s="1232">
      <c r="G54" s="1255" t="inlineStr">
        <is>
          <t>Various</t>
        </is>
      </c>
      <c r="I54" s="432">
        <f>SUMIF(D$591:$D$624,$G54,$E$591:$E$624)</f>
        <v/>
      </c>
      <c r="J54" s="432">
        <f>SUMIF(D$538:$D$590,$G54,$E$538:$E$590)</f>
        <v/>
      </c>
      <c r="K54" s="432">
        <f>SUMIF(D$493:$D$536,$G54,$E$493:$E$536)</f>
        <v/>
      </c>
      <c r="L54" s="432">
        <f>SUMIF($D$455:D$491,$G54,$E$455:$E$491)</f>
        <v/>
      </c>
      <c r="M54" s="432">
        <f>SUMIF($D$415:E$455,$G54,$E$415:$E$455)</f>
        <v/>
      </c>
      <c r="N54" s="432">
        <f>SUMIF($D$375:F$413,$G54,$E$375:$E$413)</f>
        <v/>
      </c>
      <c r="O54" s="432">
        <f>SUMIF($D$348:G$374,$G54,$E$348:$E$374)</f>
        <v/>
      </c>
      <c r="P54" s="432">
        <f>SUMIF($D$312:H$346,$G54,$E$312:$E$346)</f>
        <v/>
      </c>
      <c r="Q54" s="432">
        <f>SUMIF($D$251:H$308,$G54,$E$251:$E$308)</f>
        <v/>
      </c>
      <c r="R54" s="432">
        <f>SUMIF($D$190:G$249,$G54,$E$190:$E$249)</f>
        <v/>
      </c>
      <c r="S54" s="432">
        <f>SUMIF($D$143:G$188,$G54,$E$143:$E$188)</f>
        <v/>
      </c>
      <c r="T54" s="432">
        <f>SUMIF($D$95:G$141,$G54,$E$95:$E$141)</f>
        <v/>
      </c>
      <c r="U54" s="432">
        <f>SUM(I54:T54)</f>
        <v/>
      </c>
      <c r="V54" s="460">
        <f>T54/$T$59</f>
        <v/>
      </c>
      <c r="W54" s="434">
        <f>U54</f>
        <v/>
      </c>
      <c r="X54" s="460">
        <f>W54/$W$59</f>
        <v/>
      </c>
      <c r="AB54" s="470" t="n">
        <v>43018</v>
      </c>
      <c r="AC54" s="1255" t="inlineStr">
        <is>
          <t>Seon Chang</t>
        </is>
      </c>
      <c r="AD54" s="1373" t="inlineStr">
        <is>
          <t>20171010-4</t>
        </is>
      </c>
      <c r="AE54" s="1387" t="inlineStr">
        <is>
          <t>149231</t>
        </is>
      </c>
      <c r="AF54" s="1385" t="n">
        <v>200</v>
      </c>
      <c r="AG54" s="1373" t="inlineStr">
        <is>
          <t>5wk Course</t>
        </is>
      </c>
    </row>
    <row r="55" hidden="1" ht="13.5" customHeight="1" s="1232">
      <c r="A55" s="1292" t="n"/>
      <c r="B55" s="1294" t="n"/>
      <c r="C55" s="1294" t="n"/>
      <c r="E55" s="1293" t="n"/>
      <c r="F55" s="1294" t="n"/>
      <c r="G55" s="1255" t="inlineStr">
        <is>
          <t>Bank</t>
        </is>
      </c>
      <c r="I55" s="432">
        <f>SUMIF(D$591:$D$624,$G55,$E$591:$E$624)</f>
        <v/>
      </c>
      <c r="J55" s="432">
        <f>SUMIF(D$538:$D$590,$G55,$E$538:$E$590)</f>
        <v/>
      </c>
      <c r="K55" s="432">
        <f>SUMIF(D$493:$D$536,$G55,$E$493:$E$536)</f>
        <v/>
      </c>
      <c r="L55" s="432">
        <f>SUMIF($D$455:D$491,$G55,$E$455:$E$491)</f>
        <v/>
      </c>
      <c r="M55" s="432">
        <f>SUMIF($D$415:E$455,$G55,$E$415:$E$455)</f>
        <v/>
      </c>
      <c r="N55" s="432">
        <f>SUMIF($D$375:F$413,$G55,$E$375:$E$413)</f>
        <v/>
      </c>
      <c r="O55" s="432">
        <f>SUMIF($D$348:G$374,$G55,$E$348:$E$374)</f>
        <v/>
      </c>
      <c r="P55" s="432">
        <f>SUMIF($D$312:H$346,$G55,$E$312:$E$346)</f>
        <v/>
      </c>
      <c r="Q55" s="432">
        <f>SUMIF($D$251:H$308,$G55,$E$251:$E$308)</f>
        <v/>
      </c>
      <c r="R55" s="432">
        <f>SUMIF($D$190:G$249,$G55,$E$190:$E$249)</f>
        <v/>
      </c>
      <c r="S55" s="432">
        <f>SUMIF($D$143:G$188,$G55,$E$143:$E$188)</f>
        <v/>
      </c>
      <c r="T55" s="432">
        <f>SUMIF($D$95:G$141,$G55,$E$95:$E$141)</f>
        <v/>
      </c>
      <c r="U55" s="432">
        <f>SUM(I55:T55)</f>
        <v/>
      </c>
      <c r="V55" s="460">
        <f>T55/$T$59</f>
        <v/>
      </c>
      <c r="W55" s="434">
        <f>U55</f>
        <v/>
      </c>
      <c r="X55" s="460">
        <f>W55/$W$59</f>
        <v/>
      </c>
      <c r="AB55" s="470" t="n">
        <v>43024</v>
      </c>
      <c r="AC55" s="1255" t="inlineStr">
        <is>
          <t>Ashwyn Dhir</t>
        </is>
      </c>
      <c r="AD55" s="1255" t="inlineStr">
        <is>
          <t>20171016-1</t>
        </is>
      </c>
      <c r="AE55" s="1387" t="inlineStr">
        <is>
          <t>150249</t>
        </is>
      </c>
      <c r="AF55" s="1385" t="n">
        <v>200</v>
      </c>
      <c r="AG55" s="1373" t="inlineStr">
        <is>
          <t>5wk Course</t>
        </is>
      </c>
    </row>
    <row r="56" hidden="1" ht="13.5" customHeight="1" s="1232">
      <c r="A56" s="1292" t="n"/>
      <c r="B56" s="1294" t="n"/>
      <c r="C56" s="1294" t="n"/>
      <c r="E56" s="1293" t="n"/>
      <c r="F56" s="1294" t="n"/>
      <c r="G56" s="1255" t="inlineStr">
        <is>
          <t>Groupon</t>
        </is>
      </c>
      <c r="I56" s="432">
        <f>SUMIF(D$591:$D$624,$G56,$E$591:$E$624)</f>
        <v/>
      </c>
      <c r="J56" s="432">
        <f>SUMIF(D$538:$D$590,$G56,$E$538:$E$590)</f>
        <v/>
      </c>
      <c r="K56" s="432">
        <f>SUMIF(D$493:$D$536,$G56,$E$493:$E$536)</f>
        <v/>
      </c>
      <c r="L56" s="432">
        <f>SUMIF($D$455:D$491,$G56,$E$455:$E$491)</f>
        <v/>
      </c>
      <c r="M56" s="432">
        <f>SUMIF($D$415:E$455,$G56,$E$415:$E$455)</f>
        <v/>
      </c>
      <c r="N56" s="432">
        <f>SUMIF($D$375:F$413,$G56,$E$375:$E$413)</f>
        <v/>
      </c>
      <c r="O56" s="432">
        <f>SUMIF($D$348:G$374,$G56,$E$348:$E$374)</f>
        <v/>
      </c>
      <c r="P56" s="432">
        <f>SUMIF($D$312:H$346,$G56,$E$312:$E$346)</f>
        <v/>
      </c>
      <c r="Q56" s="432">
        <f>SUMIF($D$251:H$308,$G56,$E$251:$E$308)</f>
        <v/>
      </c>
      <c r="R56" s="432">
        <f>SUMIF($D$190:G$249,$G56,$E$190:$E$249)</f>
        <v/>
      </c>
      <c r="S56" s="432">
        <f>SUMIF($D$143:G$188,$G56,$E$143:$E$188)</f>
        <v/>
      </c>
      <c r="T56" s="432">
        <f>SUMIF($D$95:G$141,$G56,$E$95:$E$141)</f>
        <v/>
      </c>
      <c r="U56" s="432">
        <f>SUM(I56:T56)</f>
        <v/>
      </c>
      <c r="V56" s="460">
        <f>T56/$T$59</f>
        <v/>
      </c>
      <c r="W56" s="434">
        <f>U56</f>
        <v/>
      </c>
      <c r="X56" s="460">
        <f>W56/$W$59</f>
        <v/>
      </c>
      <c r="AB56" s="470" t="n">
        <v>43025</v>
      </c>
      <c r="AC56" s="1255" t="inlineStr">
        <is>
          <t xml:space="preserve">Richard Wardle </t>
        </is>
      </c>
      <c r="AD56" s="1255" t="inlineStr">
        <is>
          <t>20171017-1</t>
        </is>
      </c>
      <c r="AF56" s="1385" t="n">
        <v>200</v>
      </c>
      <c r="AG56" s="1255" t="inlineStr">
        <is>
          <t>Intermediates</t>
        </is>
      </c>
    </row>
    <row r="57" hidden="1" s="1232">
      <c r="G57" s="1255" t="inlineStr">
        <is>
          <t>Cash</t>
        </is>
      </c>
      <c r="I57" s="461">
        <f>SUMIF(D$591:$D$624,$G57,$E$591:$E$624)</f>
        <v/>
      </c>
      <c r="J57" s="461">
        <f>SUMIF(D$538:$D$590,$G57,$E$538:$E$590)</f>
        <v/>
      </c>
      <c r="K57" s="461">
        <f>SUMIF(D$493:$D$536,$G57,$E$493:$E$536)</f>
        <v/>
      </c>
      <c r="L57" s="461">
        <f>SUMIF($D$455:D$491,$G57,$E$455:$E$491)</f>
        <v/>
      </c>
      <c r="M57" s="432">
        <f>SUMIF($D$415:E$455,$G57,$E$415:$E$455)</f>
        <v/>
      </c>
      <c r="N57" s="432">
        <f>SUMIF($D$375:F$413,$G57,$E$375:$E$413)</f>
        <v/>
      </c>
      <c r="O57" s="432">
        <f>SUMIF($D$348:G$374,$G57,$E$348:$E$374)</f>
        <v/>
      </c>
      <c r="P57" s="432">
        <f>SUMIF($D$312:H$346,$G57,$E$312:$E$346)</f>
        <v/>
      </c>
      <c r="Q57" s="432">
        <f>SUMIF($D$251:H$308,$G57,$E$251:$E$308)</f>
        <v/>
      </c>
      <c r="R57" s="432">
        <f>SUMIF($D$190:G$249,$G57,$E$190:$E$249)</f>
        <v/>
      </c>
      <c r="S57" s="432">
        <f>SUMIF($D$143:G$188,$G57,$E$143:$E$188)</f>
        <v/>
      </c>
      <c r="T57" s="432">
        <f>SUMIF($D$95:G$141,$G57,$E$95:$E$141)</f>
        <v/>
      </c>
      <c r="U57" s="432">
        <f>SUM(I57:T57)</f>
        <v/>
      </c>
      <c r="V57" s="460">
        <f>T57/$T$59</f>
        <v/>
      </c>
      <c r="W57" s="434">
        <f>U57</f>
        <v/>
      </c>
      <c r="X57" s="460">
        <f>W57/$W$59</f>
        <v/>
      </c>
      <c r="AB57" s="470" t="n">
        <v>43027</v>
      </c>
      <c r="AC57" s="1255" t="inlineStr">
        <is>
          <t>Helen Finch</t>
        </is>
      </c>
      <c r="AD57" s="1255" t="inlineStr">
        <is>
          <t>20171019-1</t>
        </is>
      </c>
      <c r="AE57" s="1389" t="inlineStr">
        <is>
          <t>149191</t>
        </is>
      </c>
      <c r="AF57" s="1385" t="n">
        <v>150</v>
      </c>
      <c r="AG57" s="1373" t="inlineStr">
        <is>
          <t>5wk Course</t>
        </is>
      </c>
    </row>
    <row r="58" hidden="1" s="1232">
      <c r="G58" s="1255" t="inlineStr">
        <is>
          <t>W-Play</t>
        </is>
      </c>
      <c r="I58" s="432">
        <f>SUMIF(D$591:$D$624,$G58,$E$591:$E$624)</f>
        <v/>
      </c>
      <c r="J58" s="432">
        <f>SUMIF(D$538:$D$590,$G58,$E$538:$E$590)</f>
        <v/>
      </c>
      <c r="K58" s="432">
        <f>SUMIF(D$493:$D$536,$G58,$E$493:$E$536)</f>
        <v/>
      </c>
      <c r="L58" s="432">
        <f>SUMIF($D$455:D$491,$G58,$E$455:$E$491)</f>
        <v/>
      </c>
      <c r="M58" s="432">
        <f>SUMIF($D$415:E$455,$G58,$E$415:$E$455)</f>
        <v/>
      </c>
      <c r="N58" s="432">
        <f>SUMIF($D$375:F$413,$G58,$E$375:$E$413)</f>
        <v/>
      </c>
      <c r="O58" s="432">
        <f>SUMIF($D$348:G$374,$G58,$E$348:$E$374)</f>
        <v/>
      </c>
      <c r="P58" s="432">
        <f>SUMIF($D$312:H$346,$G58,$E$312:$E$346)</f>
        <v/>
      </c>
      <c r="Q58" s="432">
        <f>SUMIF($D$251:H$308,$G58,$E$251:$E$308)</f>
        <v/>
      </c>
      <c r="R58" s="432">
        <f>SUMIF($D$190:G$249,$G58,$E$190:$E$249)</f>
        <v/>
      </c>
      <c r="S58" s="432">
        <f>SUMIF($D$143:G$188,$G58,$E$143:$E$188)</f>
        <v/>
      </c>
      <c r="T58" s="432">
        <f>SUMIF($D$95:G$141,$G58,$E$95:$E$141)</f>
        <v/>
      </c>
      <c r="U58" s="432">
        <f>SUM(I58:T58)</f>
        <v/>
      </c>
      <c r="V58" s="460">
        <f>T58/$T$59</f>
        <v/>
      </c>
      <c r="W58" s="434">
        <f>U58</f>
        <v/>
      </c>
      <c r="X58" s="460">
        <f>W58/$W$59</f>
        <v/>
      </c>
      <c r="AB58" s="470" t="n">
        <v>43049</v>
      </c>
      <c r="AC58" s="1260" t="inlineStr">
        <is>
          <t>Jodie Child</t>
        </is>
      </c>
      <c r="AD58" s="1260" t="inlineStr">
        <is>
          <t>20171110-1</t>
        </is>
      </c>
      <c r="AE58" s="1282" t="inlineStr">
        <is>
          <t>150680</t>
        </is>
      </c>
      <c r="AF58" s="1255" t="n">
        <v>200</v>
      </c>
      <c r="AG58" s="1373" t="inlineStr">
        <is>
          <t>5wk Course</t>
        </is>
      </c>
    </row>
    <row r="59" hidden="1" ht="13.9" customHeight="1" s="1232">
      <c r="A59" s="1413" t="n"/>
      <c r="E59" s="1426">
        <f>SUM(E33:E57)</f>
        <v/>
      </c>
      <c r="G59" s="914" t="n"/>
      <c r="I59" s="444">
        <f>SUM(I52:I58)</f>
        <v/>
      </c>
      <c r="J59" s="444">
        <f>SUM(J52:J58)</f>
        <v/>
      </c>
      <c r="K59" s="444">
        <f>SUM(K52:K58)</f>
        <v/>
      </c>
      <c r="L59" s="444">
        <f>SUM(L52:L58)</f>
        <v/>
      </c>
      <c r="M59" s="444">
        <f>SUM(M52:M58)</f>
        <v/>
      </c>
      <c r="N59" s="444">
        <f>SUM(N52:N58)</f>
        <v/>
      </c>
      <c r="O59" s="444">
        <f>SUM(O52:O58)</f>
        <v/>
      </c>
      <c r="P59" s="444">
        <f>SUM(P52:P58)</f>
        <v/>
      </c>
      <c r="Q59" s="444">
        <f>SUM(Q52:Q58)</f>
        <v/>
      </c>
      <c r="R59" s="444">
        <f>SUM(R52:R58)</f>
        <v/>
      </c>
      <c r="S59" s="444">
        <f>SUM(S52:S58)</f>
        <v/>
      </c>
      <c r="T59" s="444">
        <f>SUM(T52:T58)</f>
        <v/>
      </c>
      <c r="U59" s="444">
        <f>SUM(U52:U58)</f>
        <v/>
      </c>
      <c r="V59" s="914" t="n"/>
      <c r="W59" s="466">
        <f>SUM(W52:W58)</f>
        <v/>
      </c>
      <c r="AB59" s="470" t="n">
        <v>43054</v>
      </c>
      <c r="AC59" s="1255" t="inlineStr">
        <is>
          <t>Sayed Nazir - ELS</t>
        </is>
      </c>
      <c r="AD59" s="1255" t="inlineStr">
        <is>
          <t>20171115-1</t>
        </is>
      </c>
      <c r="AE59" s="1282" t="inlineStr">
        <is>
          <t>220208</t>
        </is>
      </c>
      <c r="AF59" s="1255" t="n">
        <v>200</v>
      </c>
      <c r="AG59" s="1373" t="inlineStr">
        <is>
          <t>5wk Course</t>
        </is>
      </c>
    </row>
    <row r="60" hidden="1" ht="13.5" customHeight="1" s="1232">
      <c r="A60" s="1413" t="n"/>
      <c r="G60" s="914" t="n"/>
      <c r="I60" s="434">
        <f>I59-I8</f>
        <v/>
      </c>
      <c r="J60" s="434">
        <f>J59-J8</f>
        <v/>
      </c>
      <c r="K60" s="434">
        <f>K59-K8</f>
        <v/>
      </c>
      <c r="L60" s="434">
        <f>L59-L8</f>
        <v/>
      </c>
      <c r="M60" s="434">
        <f>M59-M8</f>
        <v/>
      </c>
      <c r="N60" s="434">
        <f>N59-N8</f>
        <v/>
      </c>
      <c r="O60" s="434">
        <f>O59-O8</f>
        <v/>
      </c>
      <c r="P60" s="434">
        <f>P59-P8</f>
        <v/>
      </c>
      <c r="Q60" s="434">
        <f>Q59-Q8</f>
        <v/>
      </c>
      <c r="R60" s="434" t="n"/>
      <c r="S60" s="434" t="n"/>
      <c r="T60" s="434" t="n"/>
      <c r="U60" s="434" t="n"/>
      <c r="V60" s="914" t="n"/>
      <c r="AB60" s="470" t="n">
        <v>43057</v>
      </c>
      <c r="AC60" s="1260" t="inlineStr">
        <is>
          <t>Jonathan Mee - ELS</t>
        </is>
      </c>
      <c r="AD60" s="1260" t="inlineStr">
        <is>
          <t>20171118-1</t>
        </is>
      </c>
      <c r="AE60" s="1282" t="inlineStr">
        <is>
          <t>149563</t>
        </is>
      </c>
      <c r="AF60" s="1255" t="n">
        <v>135</v>
      </c>
      <c r="AG60" s="1260" t="inlineStr">
        <is>
          <t>TBA</t>
        </is>
      </c>
    </row>
    <row r="61" hidden="1" ht="13.15" customHeight="1" s="1232">
      <c r="G61" s="556" t="inlineStr">
        <is>
          <t>Payment Fees</t>
        </is>
      </c>
      <c r="I61" s="914" t="n"/>
      <c r="J61" s="914" t="n"/>
      <c r="K61" s="914" t="n"/>
      <c r="L61" s="914" t="n"/>
      <c r="M61" s="914" t="n"/>
      <c r="N61" s="914" t="n"/>
      <c r="O61" s="914" t="n"/>
      <c r="P61" s="914" t="n"/>
      <c r="Q61" s="914" t="n"/>
      <c r="R61" s="914" t="n"/>
      <c r="S61" s="914" t="n"/>
      <c r="T61" s="914" t="n"/>
      <c r="U61" s="914" t="n"/>
      <c r="V61" s="914" t="n"/>
      <c r="AB61" s="470" t="n">
        <v>43066</v>
      </c>
      <c r="AC61" s="1255" t="inlineStr">
        <is>
          <t>Philip Webster -ELS</t>
        </is>
      </c>
      <c r="AD61" s="1255" t="inlineStr">
        <is>
          <t>20171127-1</t>
        </is>
      </c>
      <c r="AE61" s="1282" t="inlineStr">
        <is>
          <t>151809</t>
        </is>
      </c>
      <c r="AF61" s="1255" t="n">
        <v>200</v>
      </c>
      <c r="AG61" s="1282" t="inlineStr">
        <is>
          <t>1-2-1 TBA</t>
        </is>
      </c>
    </row>
    <row r="62" hidden="1" ht="13.15" customHeight="1" s="1232">
      <c r="G62" s="914" t="inlineStr">
        <is>
          <t>Stripe</t>
        </is>
      </c>
      <c r="I62" s="914">
        <f>I52*3.5%</f>
        <v/>
      </c>
      <c r="J62" s="914">
        <f>J52*3.5%</f>
        <v/>
      </c>
      <c r="K62" s="914">
        <f>K52*3.5%</f>
        <v/>
      </c>
      <c r="L62" s="914">
        <f>L52*3.5%</f>
        <v/>
      </c>
      <c r="M62" s="914">
        <f>M52*3.5%</f>
        <v/>
      </c>
      <c r="N62" s="914">
        <f>N52*3.5%</f>
        <v/>
      </c>
      <c r="O62" s="914">
        <f>O52*3.5%</f>
        <v/>
      </c>
      <c r="P62" s="914">
        <f>P52*3.5%</f>
        <v/>
      </c>
      <c r="Q62" s="914">
        <f>Q52*3.5%</f>
        <v/>
      </c>
      <c r="R62" s="914">
        <f>R52*3.5%</f>
        <v/>
      </c>
      <c r="S62" s="914">
        <f>S52*3.5%</f>
        <v/>
      </c>
      <c r="T62" s="914">
        <f>T52*3.5%</f>
        <v/>
      </c>
      <c r="U62" s="432">
        <f>SUM(I62:T62)</f>
        <v/>
      </c>
      <c r="V62" s="914" t="n"/>
      <c r="W62" s="466">
        <f>U62</f>
        <v/>
      </c>
      <c r="AB62" s="470" t="n">
        <v>43066</v>
      </c>
      <c r="AC62" s="1255" t="inlineStr">
        <is>
          <t>James Braithwaite ELS</t>
        </is>
      </c>
      <c r="AD62" s="1255" t="inlineStr">
        <is>
          <t>20171127-2</t>
        </is>
      </c>
      <c r="AE62" s="1282" t="inlineStr">
        <is>
          <t>151176</t>
        </is>
      </c>
      <c r="AF62" s="1255" t="n">
        <v>150</v>
      </c>
      <c r="AG62" s="1260" t="inlineStr">
        <is>
          <t>Hartland Jan</t>
        </is>
      </c>
    </row>
    <row r="63" hidden="1" ht="13.15" customHeight="1" s="1232">
      <c r="G63" s="914" t="inlineStr">
        <is>
          <t>Paypal</t>
        </is>
      </c>
      <c r="I63" s="914">
        <f>I53*3.5%</f>
        <v/>
      </c>
      <c r="J63" s="914">
        <f>J53*3.5%</f>
        <v/>
      </c>
      <c r="K63" s="914">
        <f>K53*3.5%</f>
        <v/>
      </c>
      <c r="L63" s="914">
        <f>L53*3.5%</f>
        <v/>
      </c>
      <c r="M63" s="914">
        <f>M53*3.5%</f>
        <v/>
      </c>
      <c r="N63" s="914">
        <f>N53*3.5%</f>
        <v/>
      </c>
      <c r="O63" s="914">
        <f>O53*3.5%</f>
        <v/>
      </c>
      <c r="P63" s="914">
        <f>P53*3.5%</f>
        <v/>
      </c>
      <c r="Q63" s="914">
        <f>Q53*3.5%</f>
        <v/>
      </c>
      <c r="R63" s="914">
        <f>R53*3.5%</f>
        <v/>
      </c>
      <c r="S63" s="914">
        <f>S53*3.5%</f>
        <v/>
      </c>
      <c r="T63" s="914">
        <f>T53*3.5%</f>
        <v/>
      </c>
      <c r="U63" s="432">
        <f>SUM(I63:T63)</f>
        <v/>
      </c>
      <c r="V63" s="914" t="n"/>
      <c r="W63" s="466">
        <f>U63</f>
        <v/>
      </c>
      <c r="AB63" s="470" t="n">
        <v>43066</v>
      </c>
      <c r="AC63" s="1255" t="inlineStr">
        <is>
          <t>Amundep Hothi - ELS</t>
        </is>
      </c>
      <c r="AD63" s="1260" t="inlineStr">
        <is>
          <t>20171127-3</t>
        </is>
      </c>
      <c r="AE63" s="1282" t="inlineStr">
        <is>
          <t>152835</t>
        </is>
      </c>
      <c r="AF63" s="1255" t="n">
        <v>200</v>
      </c>
      <c r="AG63" s="1373" t="inlineStr">
        <is>
          <t>5wk Course</t>
        </is>
      </c>
    </row>
    <row r="64" hidden="1" ht="13.15" customHeight="1" s="1232">
      <c r="G64" s="914" t="inlineStr">
        <is>
          <t>W-Play</t>
        </is>
      </c>
      <c r="I64" s="914">
        <f>I58*3.5%</f>
        <v/>
      </c>
      <c r="J64" s="914">
        <f>J58*3.5%</f>
        <v/>
      </c>
      <c r="K64" s="914">
        <f>K58*3.5%</f>
        <v/>
      </c>
      <c r="L64" s="914">
        <f>L58*3.5%</f>
        <v/>
      </c>
      <c r="M64" s="914">
        <f>M58*3.5%</f>
        <v/>
      </c>
      <c r="N64" s="914">
        <f>N58*3.5%</f>
        <v/>
      </c>
      <c r="O64" s="914">
        <f>O58*3.5%</f>
        <v/>
      </c>
      <c r="P64" s="914">
        <f>P58*3.5%</f>
        <v/>
      </c>
      <c r="Q64" s="914">
        <f>Q58*3.5%</f>
        <v/>
      </c>
      <c r="R64" s="914">
        <f>R58*3.5%</f>
        <v/>
      </c>
      <c r="S64" s="914">
        <f>S58*3.5%</f>
        <v/>
      </c>
      <c r="T64" s="914">
        <f>T58*3.5%</f>
        <v/>
      </c>
      <c r="U64" s="432">
        <f>SUM(I64:T64)</f>
        <v/>
      </c>
      <c r="V64" s="914" t="n"/>
      <c r="W64" s="466">
        <f>U64</f>
        <v/>
      </c>
      <c r="AB64" s="470" t="n">
        <v>43068</v>
      </c>
      <c r="AC64" s="1255" t="inlineStr">
        <is>
          <t>Preetha Luther - ELS</t>
        </is>
      </c>
      <c r="AD64" s="1255" t="inlineStr">
        <is>
          <t>20171129-1</t>
        </is>
      </c>
      <c r="AE64" s="1282" t="inlineStr">
        <is>
          <t>151289</t>
        </is>
      </c>
      <c r="AF64" s="1255" t="n">
        <v>200</v>
      </c>
      <c r="AG64" s="1260" t="inlineStr">
        <is>
          <t>5wk Course</t>
        </is>
      </c>
    </row>
    <row r="65" hidden="1" ht="13.15" customHeight="1" s="1232">
      <c r="G65" s="444" t="inlineStr">
        <is>
          <t>Total Fees</t>
        </is>
      </c>
      <c r="I65" s="444">
        <f>SUM(I61:I64)</f>
        <v/>
      </c>
      <c r="J65" s="444">
        <f>SUM(J61:J64)</f>
        <v/>
      </c>
      <c r="K65" s="444">
        <f>SUM(K61:K64)</f>
        <v/>
      </c>
      <c r="L65" s="444">
        <f>SUM(L61:L64)</f>
        <v/>
      </c>
      <c r="M65" s="444">
        <f>SUM(M61:M64)</f>
        <v/>
      </c>
      <c r="N65" s="444">
        <f>SUM(N61:N64)</f>
        <v/>
      </c>
      <c r="O65" s="444">
        <f>SUM(O61:O64)</f>
        <v/>
      </c>
      <c r="P65" s="444">
        <f>SUM(P61:P64)</f>
        <v/>
      </c>
      <c r="Q65" s="444">
        <f>SUM(Q61:Q64)</f>
        <v/>
      </c>
      <c r="R65" s="444">
        <f>SUM(R61:R64)</f>
        <v/>
      </c>
      <c r="S65" s="444">
        <f>SUM(S61:S64)</f>
        <v/>
      </c>
      <c r="T65" s="444">
        <f>SUM(T61:T64)</f>
        <v/>
      </c>
      <c r="U65" s="432">
        <f>SUM(I65:T65)</f>
        <v/>
      </c>
      <c r="V65" s="914" t="n"/>
      <c r="W65" s="466">
        <f>U65</f>
        <v/>
      </c>
      <c r="AB65" s="548" t="n">
        <v>43069</v>
      </c>
      <c r="AC65" s="1255" t="inlineStr">
        <is>
          <t>Hans Berg - ELS</t>
        </is>
      </c>
      <c r="AD65" s="1255" t="inlineStr">
        <is>
          <t>20171130-2</t>
        </is>
      </c>
      <c r="AE65" s="1282" t="inlineStr">
        <is>
          <t>149779</t>
        </is>
      </c>
      <c r="AF65" s="1255" t="n">
        <v>200</v>
      </c>
      <c r="AG65" s="1260" t="inlineStr">
        <is>
          <t>5wk Course</t>
        </is>
      </c>
    </row>
    <row r="66" hidden="1" ht="13.15" customHeight="1" s="1232">
      <c r="G66" s="914" t="n"/>
      <c r="I66" s="914" t="n"/>
      <c r="J66" s="914" t="n"/>
      <c r="K66" s="914" t="n"/>
      <c r="L66" s="914" t="n"/>
      <c r="M66" s="914" t="n"/>
      <c r="N66" s="914" t="n"/>
      <c r="O66" s="914" t="n"/>
      <c r="P66" s="914" t="n"/>
      <c r="Q66" s="914" t="n"/>
      <c r="R66" s="914" t="n"/>
      <c r="S66" s="914" t="n"/>
      <c r="T66" s="914" t="n"/>
      <c r="U66" s="432">
        <f>SUM(I66:T66)</f>
        <v/>
      </c>
      <c r="V66" s="914" t="n"/>
      <c r="W66" s="466">
        <f>U66</f>
        <v/>
      </c>
      <c r="AB66" s="470" t="n">
        <v>43081</v>
      </c>
      <c r="AC66" s="1255" t="inlineStr">
        <is>
          <t>Scott Bremner</t>
        </is>
      </c>
      <c r="AD66" s="1260" t="inlineStr">
        <is>
          <t>20171212-1</t>
        </is>
      </c>
      <c r="AE66" s="1282" t="inlineStr">
        <is>
          <t>153282</t>
        </is>
      </c>
      <c r="AF66" s="1255" t="n">
        <v>200</v>
      </c>
      <c r="AG66" s="1274" t="inlineStr">
        <is>
          <t>LR Course</t>
        </is>
      </c>
    </row>
    <row r="67" hidden="1" ht="13.15" customHeight="1" s="1232">
      <c r="G67" s="444" t="inlineStr">
        <is>
          <t>Cash</t>
        </is>
      </c>
      <c r="I67" s="444">
        <f>I59-I65</f>
        <v/>
      </c>
      <c r="J67" s="444">
        <f>J59-J65</f>
        <v/>
      </c>
      <c r="K67" s="444">
        <f>K59-K65</f>
        <v/>
      </c>
      <c r="L67" s="444">
        <f>L59-L65</f>
        <v/>
      </c>
      <c r="M67" s="444">
        <f>M59-M65</f>
        <v/>
      </c>
      <c r="N67" s="444">
        <f>N59-N65</f>
        <v/>
      </c>
      <c r="O67" s="444">
        <f>O59-O65</f>
        <v/>
      </c>
      <c r="P67" s="444">
        <f>P59-P65</f>
        <v/>
      </c>
      <c r="Q67" s="444">
        <f>Q59-Q65</f>
        <v/>
      </c>
      <c r="R67" s="444">
        <f>R59-R65</f>
        <v/>
      </c>
      <c r="S67" s="444">
        <f>S59-S65</f>
        <v/>
      </c>
      <c r="T67" s="444">
        <f>T59-T65</f>
        <v/>
      </c>
      <c r="U67" s="554">
        <f>SUM(I67:T67)</f>
        <v/>
      </c>
      <c r="V67" s="914" t="n"/>
      <c r="W67" s="466">
        <f>U67</f>
        <v/>
      </c>
      <c r="AB67" s="470" t="n">
        <v>43090</v>
      </c>
      <c r="AC67" s="1260" t="inlineStr">
        <is>
          <t>Andrew D'Amico</t>
        </is>
      </c>
      <c r="AD67" s="1260" t="inlineStr">
        <is>
          <t>20171221-1</t>
        </is>
      </c>
      <c r="AE67" s="1282" t="inlineStr">
        <is>
          <t>153429</t>
        </is>
      </c>
      <c r="AF67" s="1255" t="n">
        <v>50</v>
      </c>
      <c r="AG67" s="1274" t="inlineStr">
        <is>
          <t>TBA</t>
        </is>
      </c>
    </row>
    <row r="68" hidden="1" s="1232">
      <c r="G68" s="914" t="n"/>
      <c r="I68" s="914" t="n"/>
      <c r="J68" s="914" t="n"/>
      <c r="K68" s="914" t="n"/>
      <c r="L68" s="914" t="n"/>
      <c r="M68" s="914" t="n"/>
      <c r="N68" s="914" t="n"/>
      <c r="O68" s="914" t="n"/>
      <c r="P68" s="914" t="n"/>
      <c r="Q68" s="914" t="n"/>
      <c r="R68" s="914" t="n"/>
      <c r="S68" s="914" t="n"/>
      <c r="T68" s="914" t="n"/>
      <c r="U68" s="914" t="n"/>
      <c r="V68" s="914" t="n"/>
      <c r="AB68" s="470" t="n">
        <v>42788</v>
      </c>
      <c r="AC68" s="1260" t="inlineStr">
        <is>
          <t>Ian Blake</t>
        </is>
      </c>
      <c r="AD68" s="1260" t="inlineStr">
        <is>
          <t>20171222-1</t>
        </is>
      </c>
      <c r="AE68" s="1282" t="inlineStr">
        <is>
          <t>153440</t>
        </is>
      </c>
      <c r="AF68" s="1255" t="n">
        <v>200</v>
      </c>
      <c r="AG68" s="1274" t="inlineStr">
        <is>
          <t>Suffolk</t>
        </is>
      </c>
    </row>
    <row r="69" hidden="1" s="1232">
      <c r="I69" s="914" t="n"/>
      <c r="J69" s="914" t="n"/>
      <c r="K69" s="914" t="n"/>
      <c r="L69" s="914" t="n"/>
      <c r="M69" s="914" t="n"/>
      <c r="N69" s="914" t="n"/>
      <c r="O69" s="914" t="n"/>
      <c r="P69" s="914" t="n"/>
      <c r="Q69" s="914" t="n"/>
      <c r="R69" s="914" t="n"/>
      <c r="S69" s="914" t="n"/>
      <c r="T69" s="914" t="n"/>
      <c r="U69" s="914" t="n"/>
      <c r="V69" s="914" t="n"/>
      <c r="AB69" s="470" t="n"/>
      <c r="AD69" s="1260" t="n"/>
      <c r="AE69" s="1282" t="n"/>
      <c r="AG69" s="1373" t="n"/>
    </row>
    <row r="70" hidden="1" ht="13.15" customHeight="1" s="1232">
      <c r="G70" s="556" t="inlineStr">
        <is>
          <t>Booking source</t>
        </is>
      </c>
      <c r="I70" s="1278" t="inlineStr">
        <is>
          <t>Jan</t>
        </is>
      </c>
      <c r="J70" s="1278" t="inlineStr">
        <is>
          <t>Feb</t>
        </is>
      </c>
      <c r="K70" s="1278" t="inlineStr">
        <is>
          <t>Mar</t>
        </is>
      </c>
      <c r="L70" s="1278" t="inlineStr">
        <is>
          <t>Apr</t>
        </is>
      </c>
      <c r="M70" s="1278" t="inlineStr">
        <is>
          <t>May</t>
        </is>
      </c>
      <c r="N70" s="1278" t="inlineStr">
        <is>
          <t>Jun</t>
        </is>
      </c>
      <c r="O70" s="1278" t="inlineStr">
        <is>
          <t>Jul</t>
        </is>
      </c>
      <c r="P70" s="1278" t="inlineStr">
        <is>
          <t>Aug</t>
        </is>
      </c>
      <c r="Q70" s="1278" t="inlineStr">
        <is>
          <t>Sep</t>
        </is>
      </c>
      <c r="R70" s="1278" t="inlineStr">
        <is>
          <t>Oct</t>
        </is>
      </c>
      <c r="S70" s="1278" t="inlineStr">
        <is>
          <t>Nov</t>
        </is>
      </c>
      <c r="T70" s="1278" t="inlineStr">
        <is>
          <t>Dec</t>
        </is>
      </c>
      <c r="U70" s="1278" t="inlineStr">
        <is>
          <t>Year</t>
        </is>
      </c>
      <c r="V70" s="1278" t="inlineStr">
        <is>
          <t>Split</t>
        </is>
      </c>
      <c r="W70" s="1278" t="inlineStr">
        <is>
          <t>YTD</t>
        </is>
      </c>
      <c r="X70" s="1425" t="inlineStr">
        <is>
          <t>% YTD</t>
        </is>
      </c>
      <c r="AB70" s="470" t="n"/>
      <c r="AD70" s="1260" t="n"/>
      <c r="AE70" s="1282" t="n"/>
      <c r="AG70" s="1373" t="n"/>
    </row>
    <row r="71" hidden="1" ht="13.15" customHeight="1" s="1232">
      <c r="G71" s="1255" t="inlineStr">
        <is>
          <t>Google</t>
        </is>
      </c>
      <c r="I71" s="432">
        <f>SUMIF($G$592:$G$623,$G71,$E$592:$E$623)</f>
        <v/>
      </c>
      <c r="J71" s="432">
        <f>SUMIF($G$538:$G$589,$G71,$E$538:$E$589)</f>
        <v/>
      </c>
      <c r="K71" s="432">
        <f>SUMIF($G$493:$G$535,$G71,$E$493:$E$535)</f>
        <v/>
      </c>
      <c r="L71" s="432">
        <f>SUMIF($G$456:$G$490,$G71,$E$456:$E$490)</f>
        <v/>
      </c>
      <c r="M71" s="432">
        <f>SUMIF($G$415:$G$453,$G71,$E$415:$E$453)</f>
        <v/>
      </c>
      <c r="N71" s="432">
        <f>SUMIF($G$376:$G$413,$G71,$E$376:$E$413)</f>
        <v/>
      </c>
      <c r="O71" s="432">
        <f>SUMIF($G$349:$G$375,$G71,$E$349:$E$375)</f>
        <v/>
      </c>
      <c r="P71" s="432">
        <f>SUMIF($G$312:$G$346,$G71,$E$312:$E$346)</f>
        <v/>
      </c>
      <c r="Q71" s="432">
        <f>SUMIF($G$251:$G$310,$G71,$E$251:$E$310)</f>
        <v/>
      </c>
      <c r="R71" s="432">
        <f>SUMIF($G$190:$G$249,$G71,$E$190:$E$249)</f>
        <v/>
      </c>
      <c r="S71" s="432">
        <f>SUMIF($G$143:$G$188,$G71,$E$143:$E$188)</f>
        <v/>
      </c>
      <c r="T71" s="432">
        <f>SUMIF($G$95:$G$141,$G71,$E$95:$E$141)</f>
        <v/>
      </c>
      <c r="U71" s="432">
        <f>SUM(I71:T71)</f>
        <v/>
      </c>
      <c r="V71" s="460">
        <f>T71/$T$78</f>
        <v/>
      </c>
      <c r="W71" s="466">
        <f>U71</f>
        <v/>
      </c>
      <c r="X71" s="475">
        <f>W71/$W$78</f>
        <v/>
      </c>
      <c r="AB71" s="470" t="n"/>
      <c r="AD71" s="1260" t="n"/>
      <c r="AE71" s="1282" t="n"/>
      <c r="AF71" s="1427">
        <f>SUM(AF37:AF69)</f>
        <v/>
      </c>
      <c r="AG71" s="1373" t="n"/>
    </row>
    <row r="72" hidden="1" ht="13.15" customHeight="1" s="1232">
      <c r="G72" s="1255" t="inlineStr">
        <is>
          <t>Existing</t>
        </is>
      </c>
      <c r="I72" s="432">
        <f>SUMIF($G$592:$G$623,$G72,$E$592:$E$623)</f>
        <v/>
      </c>
      <c r="J72" s="432">
        <f>SUMIF($G$538:$G$589,$G72,$E$538:$E$589)</f>
        <v/>
      </c>
      <c r="K72" s="432">
        <f>SUMIF($G$493:$G$535,$G72,$E$493:$E$535)</f>
        <v/>
      </c>
      <c r="L72" s="432">
        <f>SUMIF($G$456:$G$490,$G72,$E$456:$E$490)</f>
        <v/>
      </c>
      <c r="M72" s="432">
        <f>SUMIF($G$415:$G$453,$G72,$E$415:$E$453)</f>
        <v/>
      </c>
      <c r="N72" s="432">
        <f>SUMIF($G$376:$G$413,$G72,$E$376:$E$413)</f>
        <v/>
      </c>
      <c r="O72" s="432">
        <f>SUMIF($G$349:$G$375,$G72,$E$349:$E$375)</f>
        <v/>
      </c>
      <c r="P72" s="432">
        <f>SUMIF($G$312:$G$346,$G72,$E$312:$E$346)</f>
        <v/>
      </c>
      <c r="Q72" s="432">
        <f>SUMIF($G$251:$G$310,$G72,$E$251:$E$310)</f>
        <v/>
      </c>
      <c r="R72" s="432">
        <f>SUMIF($G$190:$G$249,$G72,$E$190:$E$249)</f>
        <v/>
      </c>
      <c r="S72" s="432">
        <f>SUMIF($G$143:$G$188,$G72,$E$143:$E$188)</f>
        <v/>
      </c>
      <c r="T72" s="432">
        <f>SUMIF($G$95:$G$141,$G72,$E$95:$E$141)</f>
        <v/>
      </c>
      <c r="U72" s="432">
        <f>SUM(I72:T72)</f>
        <v/>
      </c>
      <c r="V72" s="460">
        <f>T72/$T$78</f>
        <v/>
      </c>
      <c r="W72" s="466">
        <f>U72</f>
        <v/>
      </c>
      <c r="X72" s="475">
        <f>W72/$W$78</f>
        <v/>
      </c>
      <c r="AB72" s="470" t="n"/>
      <c r="AD72" s="1260" t="n"/>
      <c r="AE72" s="1282" t="n"/>
      <c r="AG72" s="1373" t="n"/>
    </row>
    <row r="73" hidden="1" ht="13.15" customHeight="1" s="1232">
      <c r="G73" s="1255" t="inlineStr">
        <is>
          <t>ELS</t>
        </is>
      </c>
      <c r="I73" s="432">
        <f>SUMIF($G$592:$G$623,$G73,$E$592:$E$623)</f>
        <v/>
      </c>
      <c r="J73" s="432">
        <f>SUMIF($G$538:$G$589,$G73,$E$538:$E$589)</f>
        <v/>
      </c>
      <c r="K73" s="432">
        <f>SUMIF($G$493:$G$535,$G73,$E$493:$E$535)</f>
        <v/>
      </c>
      <c r="L73" s="432">
        <f>SUMIF($G$456:$G$490,$G73,$E$456:$E$490)</f>
        <v/>
      </c>
      <c r="M73" s="432">
        <f>SUMIF($G$415:$G$453,$G73,$E$415:$E$453)</f>
        <v/>
      </c>
      <c r="N73" s="432">
        <f>SUMIF($G$376:$G$413,$G73,$E$376:$E$413)</f>
        <v/>
      </c>
      <c r="O73" s="432">
        <f>SUMIF($G$349:$G$375,$G73,$E$349:$E$375)</f>
        <v/>
      </c>
      <c r="P73" s="432">
        <f>SUMIF($G$312:$G$346,$G73,$E$312:$E$346)</f>
        <v/>
      </c>
      <c r="Q73" s="432">
        <f>SUMIF($G$251:$G$310,$G73,$E$251:$E$310)</f>
        <v/>
      </c>
      <c r="R73" s="432">
        <f>SUMIF($G$190:$G$249,$G73,$E$190:$E$249)</f>
        <v/>
      </c>
      <c r="S73" s="432">
        <f>SUMIF($G$143:$G$188,$G73,$E$143:$E$188)</f>
        <v/>
      </c>
      <c r="T73" s="432">
        <f>SUMIF($G$95:$G$141,$G73,$E$95:$E$141)</f>
        <v/>
      </c>
      <c r="U73" s="432">
        <f>SUM(I73:T73)</f>
        <v/>
      </c>
      <c r="V73" s="460">
        <f>T73/$T$78</f>
        <v/>
      </c>
      <c r="W73" s="466">
        <f>U73</f>
        <v/>
      </c>
      <c r="X73" s="475">
        <f>W73/$W$78</f>
        <v/>
      </c>
      <c r="AB73" s="470" t="n"/>
      <c r="AD73" s="1260" t="n"/>
      <c r="AE73" s="1282" t="n"/>
      <c r="AG73" s="1373" t="n"/>
    </row>
    <row r="74" hidden="1" ht="13.15" customHeight="1" s="1232">
      <c r="G74" s="1255" t="inlineStr">
        <is>
          <t>Groupon</t>
        </is>
      </c>
      <c r="I74" s="432">
        <f>SUMIF($G$592:$G$623,$G74,$E$592:$E$623)</f>
        <v/>
      </c>
      <c r="J74" s="432">
        <f>SUMIF($G$538:$G$589,$G74,$E$538:$E$589)</f>
        <v/>
      </c>
      <c r="K74" s="432">
        <f>SUMIF($G$493:$G$535,$G74,$E$493:$E$535)</f>
        <v/>
      </c>
      <c r="L74" s="432">
        <f>SUMIF($G$456:$G$490,$G74,$E$456:$E$490)</f>
        <v/>
      </c>
      <c r="M74" s="432">
        <f>SUMIF($G$415:$G$453,$G74,$E$415:$E$453)</f>
        <v/>
      </c>
      <c r="N74" s="432">
        <f>SUMIF($G$376:$G$413,$G74,$E$376:$E$413)</f>
        <v/>
      </c>
      <c r="O74" s="432">
        <f>SUMIF($G$349:$G$375,$G74,$E$349:$E$375)</f>
        <v/>
      </c>
      <c r="P74" s="432">
        <f>SUMIF($G$312:$G$346,$G74,$E$312:$E$346)</f>
        <v/>
      </c>
      <c r="Q74" s="432">
        <f>SUMIF($G$251:$G$310,$G74,$E$251:$E$310)</f>
        <v/>
      </c>
      <c r="R74" s="432">
        <f>SUMIF($G$190:$G$249,$G74,$E$190:$E$249)</f>
        <v/>
      </c>
      <c r="S74" s="432">
        <f>SUMIF($G$143:$G$188,$G74,$E$143:$E$188)</f>
        <v/>
      </c>
      <c r="T74" s="432">
        <f>SUMIF($G$95:$G$141,$G74,$E$95:$E$141)</f>
        <v/>
      </c>
      <c r="U74" s="432">
        <f>SUM(I74:T74)</f>
        <v/>
      </c>
      <c r="V74" s="460">
        <f>T74/$T$78</f>
        <v/>
      </c>
      <c r="W74" s="466">
        <f>U74</f>
        <v/>
      </c>
      <c r="X74" s="475">
        <f>W74/$W$78</f>
        <v/>
      </c>
      <c r="AB74" s="470" t="n"/>
      <c r="AD74" s="1260" t="n"/>
      <c r="AE74" s="1282" t="n"/>
      <c r="AG74" s="1373" t="n"/>
    </row>
    <row r="75" hidden="1" ht="13.15" customHeight="1" s="1232">
      <c r="G75" s="1255" t="inlineStr">
        <is>
          <t>Batsford</t>
        </is>
      </c>
      <c r="I75" s="432">
        <f>SUMIF($G$592:$G$623,$G75,$E$592:$E$623)</f>
        <v/>
      </c>
      <c r="J75" s="432">
        <f>SUMIF($G$538:$G$589,$G75,$E$538:$E$589)</f>
        <v/>
      </c>
      <c r="K75" s="432">
        <f>SUMIF($G$493:$G$535,$G75,$E$493:$E$535)</f>
        <v/>
      </c>
      <c r="L75" s="432">
        <f>SUMIF($G$456:$G$490,$G75,$E$456:$E$490)</f>
        <v/>
      </c>
      <c r="M75" s="432">
        <f>SUMIF($G$415:$G$453,$G75,$E$415:$E$453)</f>
        <v/>
      </c>
      <c r="N75" s="432">
        <f>SUMIF($G$376:$G$413,$G75,$E$376:$E$413)</f>
        <v/>
      </c>
      <c r="O75" s="432">
        <f>SUMIF($G$349:$G$375,$G75,$E$349:$E$375)</f>
        <v/>
      </c>
      <c r="P75" s="432">
        <f>SUMIF($G$312:$G$346,$G75,$E$312:$E$346)</f>
        <v/>
      </c>
      <c r="Q75" s="432">
        <f>SUMIF($G$251:$G$310,$G75,$E$251:$E$310)</f>
        <v/>
      </c>
      <c r="R75" s="432">
        <f>SUMIF($G$190:$G$249,$G75,$E$190:$E$249)</f>
        <v/>
      </c>
      <c r="S75" s="432">
        <f>SUMIF($G$143:$G$188,$G75,$E$143:$E$188)</f>
        <v/>
      </c>
      <c r="T75" s="432">
        <f>SUMIF($G$95:$G$141,$G75,$E$95:$E$141)</f>
        <v/>
      </c>
      <c r="U75" s="432">
        <f>SUM(I75:T75)</f>
        <v/>
      </c>
      <c r="V75" s="460">
        <f>T75/$T$78</f>
        <v/>
      </c>
      <c r="W75" s="466">
        <f>U75</f>
        <v/>
      </c>
      <c r="X75" s="475">
        <f>W75/$W$78</f>
        <v/>
      </c>
      <c r="AB75" s="470" t="n"/>
      <c r="AD75" s="1260" t="n"/>
      <c r="AE75" s="1282" t="n"/>
      <c r="AG75" s="1373" t="n"/>
    </row>
    <row r="76" hidden="1" ht="13.15" customHeight="1" s="1232">
      <c r="G76" s="1255" t="inlineStr">
        <is>
          <t>Zenfolio</t>
        </is>
      </c>
      <c r="I76" s="432">
        <f>SUMIF($G$592:$G$623,$G76,$E$592:$E$623)</f>
        <v/>
      </c>
      <c r="J76" s="432">
        <f>SUMIF($G$538:$G$589,$G76,$E$538:$E$589)</f>
        <v/>
      </c>
      <c r="K76" s="432">
        <f>SUMIF($G$493:$G$535,$G76,$E$493:$E$535)</f>
        <v/>
      </c>
      <c r="L76" s="432">
        <f>SUMIF($G$456:$G$490,$G76,$E$456:$E$490)</f>
        <v/>
      </c>
      <c r="M76" s="432">
        <f>SUMIF($G$415:$G$453,$G76,$E$415:$E$453)</f>
        <v/>
      </c>
      <c r="N76" s="432">
        <f>SUMIF($G$376:$G$413,$G76,$E$376:$E$413)</f>
        <v/>
      </c>
      <c r="O76" s="432">
        <f>SUMIF($G$349:$G$375,$G76,$E$349:$E$375)</f>
        <v/>
      </c>
      <c r="P76" s="432">
        <f>SUMIF($G$312:$G$346,$G76,$E$312:$E$346)</f>
        <v/>
      </c>
      <c r="Q76" s="432">
        <f>SUMIF($G$251:$G$310,$G76,$E$251:$E$310)</f>
        <v/>
      </c>
      <c r="R76" s="432">
        <f>SUMIF($G$190:$G$249,$G76,$E$190:$E$249)</f>
        <v/>
      </c>
      <c r="S76" s="432">
        <f>SUMIF($G$143:$G$188,$G76,$E$143:$E$188)</f>
        <v/>
      </c>
      <c r="T76" s="432">
        <f>SUMIF($G$95:$G$141,$G76,$E$95:$E$141)</f>
        <v/>
      </c>
      <c r="U76" s="432">
        <f>SUM(I76:T76)</f>
        <v/>
      </c>
      <c r="V76" s="460">
        <f>T76/$T$78</f>
        <v/>
      </c>
      <c r="W76" s="466">
        <f>U76</f>
        <v/>
      </c>
      <c r="X76" s="475">
        <f>W76/$W$78</f>
        <v/>
      </c>
      <c r="AB76" s="470" t="n"/>
      <c r="AD76" s="1260" t="n"/>
      <c r="AE76" s="1282" t="n"/>
      <c r="AG76" s="1373" t="n"/>
    </row>
    <row r="77" hidden="1" ht="13.15" customHeight="1" s="1232">
      <c r="G77" s="1255" t="inlineStr">
        <is>
          <t>Other</t>
        </is>
      </c>
      <c r="I77" s="432">
        <f>SUMIF($G$592:$G$623,$G77,$E$592:$E$623)</f>
        <v/>
      </c>
      <c r="J77" s="432">
        <f>SUMIF($G$538:$G$589,$G77,$E$538:$E$589)</f>
        <v/>
      </c>
      <c r="K77" s="432">
        <f>SUMIF($G$493:$G$535,$G77,$E$493:$E$535)</f>
        <v/>
      </c>
      <c r="L77" s="432">
        <f>SUMIF($G$456:$G$490,$G77,$E$456:$E$490)</f>
        <v/>
      </c>
      <c r="M77" s="432">
        <f>SUMIF($G$415:$G$453,$G77,$E$415:$E$453)</f>
        <v/>
      </c>
      <c r="N77" s="432">
        <f>SUMIF($G$376:$G$413,$G77,$E$376:$E$413)</f>
        <v/>
      </c>
      <c r="O77" s="432">
        <f>SUMIF($G$349:$G$375,$G77,$E$349:$E$375)</f>
        <v/>
      </c>
      <c r="P77" s="432">
        <f>SUMIF($G$312:$G$346,$G77,$E$312:$E$346)</f>
        <v/>
      </c>
      <c r="Q77" s="432">
        <f>SUMIF($G$251:$G$310,$G77,$E$251:$E$310)</f>
        <v/>
      </c>
      <c r="R77" s="432">
        <f>SUMIF($G$190:$G$249,$G77,$E$190:$E$249)</f>
        <v/>
      </c>
      <c r="S77" s="432">
        <f>SUMIF($G$143:$G$188,$G77,$E$143:$E$188)</f>
        <v/>
      </c>
      <c r="T77" s="432">
        <f>SUMIF($G$95:$G$141,$G77,$E$95:$E$141)</f>
        <v/>
      </c>
      <c r="U77" s="432">
        <f>SUM(I77:T77)</f>
        <v/>
      </c>
      <c r="V77" s="460">
        <f>T77/$T$78</f>
        <v/>
      </c>
      <c r="W77" s="466">
        <f>U77</f>
        <v/>
      </c>
      <c r="X77" s="475">
        <f>W77/$W$78</f>
        <v/>
      </c>
      <c r="AB77" s="470" t="n"/>
      <c r="AD77" s="1260" t="n"/>
      <c r="AE77" s="1282" t="n"/>
      <c r="AG77" s="1373" t="n"/>
    </row>
    <row r="78" hidden="1" ht="13.15" customHeight="1" s="1232">
      <c r="G78" s="914" t="n"/>
      <c r="I78" s="444">
        <f>SUM(I71:I77)</f>
        <v/>
      </c>
      <c r="J78" s="444">
        <f>SUM(J71:J77)</f>
        <v/>
      </c>
      <c r="K78" s="444">
        <f>SUM(K71:K77)</f>
        <v/>
      </c>
      <c r="L78" s="444">
        <f>SUM(L71:L77)</f>
        <v/>
      </c>
      <c r="M78" s="444">
        <f>SUM(M71:M77)</f>
        <v/>
      </c>
      <c r="N78" s="444">
        <f>SUM(N71:N77)</f>
        <v/>
      </c>
      <c r="O78" s="444">
        <f>SUM(O71:O77)</f>
        <v/>
      </c>
      <c r="P78" s="444">
        <f>SUM(P71:P77)</f>
        <v/>
      </c>
      <c r="Q78" s="444">
        <f>SUM(Q71:Q77)</f>
        <v/>
      </c>
      <c r="R78" s="444">
        <f>SUM(R71:R77)</f>
        <v/>
      </c>
      <c r="S78" s="444">
        <f>SUM(S71:S77)</f>
        <v/>
      </c>
      <c r="T78" s="444">
        <f>SUM(T71:T77)</f>
        <v/>
      </c>
      <c r="U78" s="554">
        <f>SUM(I78:T78)</f>
        <v/>
      </c>
      <c r="V78" s="914" t="n"/>
      <c r="W78" s="466">
        <f>U78</f>
        <v/>
      </c>
      <c r="AB78" s="470" t="n"/>
      <c r="AD78" s="1260" t="n"/>
      <c r="AE78" s="1282" t="n"/>
      <c r="AG78" s="1373" t="n"/>
    </row>
    <row r="79">
      <c r="H79" s="914" t="n"/>
      <c r="I79" s="914">
        <f>I59-I78</f>
        <v/>
      </c>
      <c r="J79" s="914">
        <f>J59-J78</f>
        <v/>
      </c>
      <c r="K79" s="914">
        <f>K59-K78</f>
        <v/>
      </c>
      <c r="L79" s="914">
        <f>L59-L78</f>
        <v/>
      </c>
      <c r="M79" s="914">
        <f>M59-M78</f>
        <v/>
      </c>
      <c r="N79" s="914">
        <f>N59-N78</f>
        <v/>
      </c>
      <c r="O79" s="914">
        <f>O59-O78</f>
        <v/>
      </c>
      <c r="P79" s="914">
        <f>P59-P78</f>
        <v/>
      </c>
      <c r="Q79" s="914">
        <f>Q59-Q78</f>
        <v/>
      </c>
      <c r="R79" s="914">
        <f>R59-R78</f>
        <v/>
      </c>
      <c r="S79" s="914">
        <f>S59-S78</f>
        <v/>
      </c>
      <c r="T79" s="914">
        <f>T59-T78</f>
        <v/>
      </c>
      <c r="U79" s="432">
        <f>SUM(I79:T79)</f>
        <v/>
      </c>
      <c r="V79" s="914" t="n"/>
      <c r="AB79" s="470" t="n"/>
      <c r="AD79" s="1260" t="n"/>
      <c r="AE79" s="1282" t="n"/>
      <c r="AG79" s="1373" t="n"/>
    </row>
    <row r="80" ht="13.15" customHeight="1" s="1232">
      <c r="G80" s="556" t="inlineStr">
        <is>
          <t>Booking source  £</t>
        </is>
      </c>
      <c r="I80" s="1278" t="inlineStr">
        <is>
          <t>Jan</t>
        </is>
      </c>
      <c r="J80" s="1278" t="inlineStr">
        <is>
          <t>Feb</t>
        </is>
      </c>
      <c r="K80" s="1278" t="inlineStr">
        <is>
          <t>Mar</t>
        </is>
      </c>
      <c r="L80" s="1278" t="inlineStr">
        <is>
          <t>Apr</t>
        </is>
      </c>
      <c r="M80" s="1278" t="inlineStr">
        <is>
          <t>May</t>
        </is>
      </c>
      <c r="N80" s="1278" t="inlineStr">
        <is>
          <t>Jun</t>
        </is>
      </c>
      <c r="O80" s="1278" t="inlineStr">
        <is>
          <t>Jul</t>
        </is>
      </c>
      <c r="P80" s="1278" t="inlineStr">
        <is>
          <t>Aug</t>
        </is>
      </c>
      <c r="Q80" s="1278" t="inlineStr">
        <is>
          <t>Sep</t>
        </is>
      </c>
      <c r="R80" s="1278" t="inlineStr">
        <is>
          <t>Oct</t>
        </is>
      </c>
      <c r="S80" s="1278" t="inlineStr">
        <is>
          <t>Nov</t>
        </is>
      </c>
      <c r="T80" s="1278" t="inlineStr">
        <is>
          <t>Dec</t>
        </is>
      </c>
      <c r="U80" s="1278" t="inlineStr">
        <is>
          <t>Year</t>
        </is>
      </c>
      <c r="V80" s="1278" t="inlineStr">
        <is>
          <t>Split</t>
        </is>
      </c>
      <c r="AB80" s="470" t="n"/>
      <c r="AD80" s="1260" t="n"/>
      <c r="AE80" s="1282" t="n"/>
      <c r="AG80" s="1373" t="n"/>
    </row>
    <row r="81" ht="13.15" customHeight="1" s="1232">
      <c r="G81" s="444" t="inlineStr">
        <is>
          <t>New Clients</t>
        </is>
      </c>
      <c r="I81" s="914">
        <f>SUM(I78-I72)</f>
        <v/>
      </c>
      <c r="J81" s="914">
        <f>SUM(J78-J72)</f>
        <v/>
      </c>
      <c r="K81" s="914">
        <f>SUM(K78-K72)</f>
        <v/>
      </c>
      <c r="L81" s="914">
        <f>SUM(L78-L72)</f>
        <v/>
      </c>
      <c r="M81" s="914">
        <f>SUM(M78-M72)</f>
        <v/>
      </c>
      <c r="N81" s="914">
        <f>SUM(N78-N72)</f>
        <v/>
      </c>
      <c r="O81" s="914">
        <f>SUM(O78-O72)</f>
        <v/>
      </c>
      <c r="P81" s="914">
        <f>SUM(P78-P72)</f>
        <v/>
      </c>
      <c r="Q81" s="914">
        <f>SUM(Q78-Q72)</f>
        <v/>
      </c>
      <c r="R81" s="914">
        <f>SUM(R78-R72)</f>
        <v/>
      </c>
      <c r="S81" s="914">
        <f>SUM(S78-S72)</f>
        <v/>
      </c>
      <c r="T81" s="914">
        <f>SUM(T78-T72)</f>
        <v/>
      </c>
      <c r="U81" s="554">
        <f>SUM(I81:T81)</f>
        <v/>
      </c>
      <c r="V81" s="475">
        <f>T81/$T$78</f>
        <v/>
      </c>
      <c r="W81" s="466">
        <f>U81</f>
        <v/>
      </c>
      <c r="X81" s="475">
        <f>W81/$W$78</f>
        <v/>
      </c>
    </row>
    <row r="82" ht="13.15" customHeight="1" s="1232">
      <c r="G82" s="444" t="inlineStr">
        <is>
          <t>Existing Clients</t>
        </is>
      </c>
      <c r="I82" s="914">
        <f>I72</f>
        <v/>
      </c>
      <c r="J82" s="914">
        <f>J72</f>
        <v/>
      </c>
      <c r="K82" s="914">
        <f>K72</f>
        <v/>
      </c>
      <c r="L82" s="914">
        <f>L72</f>
        <v/>
      </c>
      <c r="M82" s="914">
        <f>M72</f>
        <v/>
      </c>
      <c r="N82" s="914">
        <f>N72</f>
        <v/>
      </c>
      <c r="O82" s="914">
        <f>O72</f>
        <v/>
      </c>
      <c r="P82" s="914">
        <f>P72</f>
        <v/>
      </c>
      <c r="Q82" s="914">
        <f>Q72</f>
        <v/>
      </c>
      <c r="R82" s="914">
        <f>R72</f>
        <v/>
      </c>
      <c r="S82" s="914">
        <f>S72</f>
        <v/>
      </c>
      <c r="T82" s="914">
        <f>T72</f>
        <v/>
      </c>
      <c r="U82" s="562">
        <f>SUM(I82:T82)</f>
        <v/>
      </c>
      <c r="V82" s="475">
        <f>T82/$T$78</f>
        <v/>
      </c>
      <c r="W82" s="466">
        <f>U82</f>
        <v/>
      </c>
      <c r="X82" s="475">
        <f>W82/$W$78</f>
        <v/>
      </c>
    </row>
    <row r="83" ht="13.15" customHeight="1" s="1232">
      <c r="G83" s="444" t="n"/>
      <c r="I83" s="563">
        <f>I81+I82</f>
        <v/>
      </c>
      <c r="J83" s="563">
        <f>J81+J82</f>
        <v/>
      </c>
      <c r="K83" s="563">
        <f>K81+K82</f>
        <v/>
      </c>
      <c r="L83" s="563">
        <f>L81+L82</f>
        <v/>
      </c>
      <c r="M83" s="563">
        <f>M81+M82</f>
        <v/>
      </c>
      <c r="N83" s="563">
        <f>N81+N82</f>
        <v/>
      </c>
      <c r="O83" s="563">
        <f>O81+O82</f>
        <v/>
      </c>
      <c r="P83" s="563">
        <f>P81+P82</f>
        <v/>
      </c>
      <c r="Q83" s="563">
        <f>Q81+Q82</f>
        <v/>
      </c>
      <c r="R83" s="563">
        <f>R81+R82</f>
        <v/>
      </c>
      <c r="S83" s="563">
        <f>S81+S82</f>
        <v/>
      </c>
      <c r="T83" s="563">
        <f>T81+T82</f>
        <v/>
      </c>
      <c r="U83" s="563">
        <f>U81+U82</f>
        <v/>
      </c>
      <c r="V83" s="564" t="n"/>
      <c r="W83" s="565" t="n"/>
      <c r="X83" s="475" t="n"/>
    </row>
    <row r="84">
      <c r="H84" s="914" t="n"/>
      <c r="I84" s="914" t="n"/>
      <c r="J84" s="914" t="n"/>
      <c r="K84" s="914" t="n"/>
      <c r="L84" s="914" t="n"/>
      <c r="M84" s="914" t="n"/>
      <c r="N84" s="914" t="n"/>
      <c r="O84" s="914" t="n"/>
      <c r="P84" s="914" t="n"/>
      <c r="Q84" s="914" t="n"/>
      <c r="R84" s="914" t="n"/>
      <c r="S84" s="914" t="n"/>
      <c r="T84" s="914" t="n"/>
      <c r="U84" s="914" t="n"/>
      <c r="V84" s="914" t="n"/>
    </row>
    <row r="85" ht="13.15" customHeight="1" s="1232">
      <c r="G85" s="556" t="inlineStr">
        <is>
          <t>Booking source  Units</t>
        </is>
      </c>
      <c r="I85" s="1278" t="inlineStr">
        <is>
          <t>Jan</t>
        </is>
      </c>
      <c r="J85" s="1278" t="inlineStr">
        <is>
          <t>Feb</t>
        </is>
      </c>
      <c r="K85" s="1278" t="inlineStr">
        <is>
          <t>Mar</t>
        </is>
      </c>
      <c r="L85" s="1278" t="inlineStr">
        <is>
          <t>Apr</t>
        </is>
      </c>
      <c r="M85" s="1278" t="inlineStr">
        <is>
          <t>May</t>
        </is>
      </c>
      <c r="N85" s="1278" t="inlineStr">
        <is>
          <t>Jun</t>
        </is>
      </c>
      <c r="O85" s="1278" t="inlineStr">
        <is>
          <t>Jul</t>
        </is>
      </c>
      <c r="P85" s="1278" t="inlineStr">
        <is>
          <t>Aug</t>
        </is>
      </c>
      <c r="Q85" s="1278" t="inlineStr">
        <is>
          <t>Sep</t>
        </is>
      </c>
      <c r="R85" s="1278" t="inlineStr">
        <is>
          <t>Oct</t>
        </is>
      </c>
      <c r="S85" s="1278" t="inlineStr">
        <is>
          <t>Nov</t>
        </is>
      </c>
      <c r="T85" s="1278" t="inlineStr">
        <is>
          <t>Dec</t>
        </is>
      </c>
      <c r="U85" s="1278" t="inlineStr">
        <is>
          <t>Year</t>
        </is>
      </c>
      <c r="V85" s="1278" t="inlineStr">
        <is>
          <t>Split</t>
        </is>
      </c>
      <c r="W85" s="1278" t="n"/>
    </row>
    <row r="86" ht="13.15" customHeight="1" s="1232">
      <c r="G86" s="444" t="inlineStr">
        <is>
          <t>New Clients</t>
        </is>
      </c>
      <c r="I86" s="914">
        <f>COUNTA(G592:G623)-I87</f>
        <v/>
      </c>
      <c r="J86" s="914">
        <f>COUNTA(G538:G589)-J87</f>
        <v/>
      </c>
      <c r="K86" s="914">
        <f>COUNTA(G493:G535)-K87</f>
        <v/>
      </c>
      <c r="L86" s="914">
        <f>COUNTA(G456:G490)-L87</f>
        <v/>
      </c>
      <c r="M86" s="914">
        <f>COUNTA(G415:G453)-M87</f>
        <v/>
      </c>
      <c r="N86" s="914">
        <f>COUNTA(G376:G413)-N87</f>
        <v/>
      </c>
      <c r="O86" s="914">
        <f>COUNTA(G349:G374)-O87</f>
        <v/>
      </c>
      <c r="P86" s="914">
        <f>COUNTA(G315:G346)-P87</f>
        <v/>
      </c>
      <c r="Q86" s="914">
        <f>COUNTA(G251:G308)-Q87</f>
        <v/>
      </c>
      <c r="R86" s="914">
        <f>COUNTA(G190:G249)-R87</f>
        <v/>
      </c>
      <c r="S86" s="914">
        <f>COUNTA(G143:G188)-S87</f>
        <v/>
      </c>
      <c r="T86" s="914">
        <f>COUNTA(G95:G141)-T87</f>
        <v/>
      </c>
      <c r="U86" s="554">
        <f>SUM(I86:T86)</f>
        <v/>
      </c>
      <c r="V86" s="475">
        <f>U86/U88</f>
        <v/>
      </c>
      <c r="W86" s="466" t="n"/>
      <c r="X86" s="475" t="n"/>
    </row>
    <row r="87" ht="13.15" customHeight="1" s="1232">
      <c r="G87" s="444" t="inlineStr">
        <is>
          <t>Existing Clients</t>
        </is>
      </c>
      <c r="I87" s="914">
        <f>COUNTIF(G592:G623,"Existing")</f>
        <v/>
      </c>
      <c r="J87" s="914">
        <f>COUNTIF(G538:G589,"Existing")</f>
        <v/>
      </c>
      <c r="K87" s="914">
        <f>COUNTIF(G493:G535,"Existing")</f>
        <v/>
      </c>
      <c r="L87" s="914">
        <f>COUNTIF(G456:G490,"Existing")</f>
        <v/>
      </c>
      <c r="M87" s="914">
        <f>COUNTIF(G456:G490,"Existing")</f>
        <v/>
      </c>
      <c r="N87" s="914">
        <f>COUNTIF(G376:G413,"Existing")</f>
        <v/>
      </c>
      <c r="O87" s="914">
        <f>COUNTIF(G349:G374,"Existing")</f>
        <v/>
      </c>
      <c r="P87" s="914">
        <f>COUNTIF(G315:G346,"Existing")</f>
        <v/>
      </c>
      <c r="Q87" s="914">
        <f>COUNTIF(G251:G308,"Existing")</f>
        <v/>
      </c>
      <c r="R87" s="914">
        <f>COUNTIF(G190:G249,"Existing")</f>
        <v/>
      </c>
      <c r="S87" s="914">
        <f>COUNTIF(G143:G188,"Existing")</f>
        <v/>
      </c>
      <c r="T87" s="914">
        <f>COUNTIF(G95:G141,"Existing")</f>
        <v/>
      </c>
      <c r="U87" s="554">
        <f>SUM(I87:T87)</f>
        <v/>
      </c>
      <c r="V87" s="475">
        <f>U87/$U$88</f>
        <v/>
      </c>
      <c r="W87" s="466" t="n"/>
      <c r="X87" s="475" t="n"/>
    </row>
    <row r="88" ht="13.15" customHeight="1" s="1232">
      <c r="H88" s="914" t="n"/>
      <c r="I88" s="563">
        <f>I86+I87</f>
        <v/>
      </c>
      <c r="J88" s="563">
        <f>J86+J87</f>
        <v/>
      </c>
      <c r="K88" s="563">
        <f>K86+K87</f>
        <v/>
      </c>
      <c r="L88" s="563">
        <f>L86+L87</f>
        <v/>
      </c>
      <c r="M88" s="563">
        <f>M86+M87</f>
        <v/>
      </c>
      <c r="N88" s="563">
        <f>N86+N87</f>
        <v/>
      </c>
      <c r="O88" s="563">
        <f>O86+O87</f>
        <v/>
      </c>
      <c r="P88" s="563">
        <f>P86+P87</f>
        <v/>
      </c>
      <c r="Q88" s="563">
        <f>Q86+Q87</f>
        <v/>
      </c>
      <c r="R88" s="563">
        <f>R86+R87</f>
        <v/>
      </c>
      <c r="S88" s="563">
        <f>S86+S87</f>
        <v/>
      </c>
      <c r="T88" s="563">
        <f>T86+T87</f>
        <v/>
      </c>
      <c r="U88" s="563">
        <f>U86+U87</f>
        <v/>
      </c>
      <c r="V88" s="564" t="n"/>
      <c r="W88" s="565" t="n"/>
      <c r="X88" s="475" t="n"/>
    </row>
    <row r="89" ht="13.15" customHeight="1" s="1232">
      <c r="H89" s="914" t="n"/>
      <c r="I89" s="561" t="n"/>
      <c r="J89" s="561" t="n"/>
      <c r="K89" s="561" t="n"/>
      <c r="L89" s="561" t="n"/>
      <c r="M89" s="561" t="n"/>
      <c r="N89" s="561" t="n"/>
      <c r="O89" s="561" t="n"/>
      <c r="P89" s="561" t="n"/>
      <c r="Q89" s="561" t="n"/>
      <c r="R89" s="561" t="n"/>
      <c r="S89" s="561" t="n"/>
      <c r="T89" s="561" t="n"/>
      <c r="U89" s="561" t="n"/>
      <c r="V89" s="475" t="n"/>
      <c r="W89" s="466" t="n"/>
      <c r="X89" s="475" t="n"/>
    </row>
    <row r="90" ht="13.15" customHeight="1" s="1232">
      <c r="G90" s="556" t="inlineStr">
        <is>
          <t>Booking source  AVG PPU</t>
        </is>
      </c>
      <c r="I90" s="1278" t="inlineStr">
        <is>
          <t>Jan</t>
        </is>
      </c>
      <c r="J90" s="1278" t="inlineStr">
        <is>
          <t>Feb</t>
        </is>
      </c>
      <c r="K90" s="1278" t="inlineStr">
        <is>
          <t>Mar</t>
        </is>
      </c>
      <c r="L90" s="1278" t="inlineStr">
        <is>
          <t>Apr</t>
        </is>
      </c>
      <c r="M90" s="1278" t="inlineStr">
        <is>
          <t>May</t>
        </is>
      </c>
      <c r="N90" s="1278" t="inlineStr">
        <is>
          <t>Jun</t>
        </is>
      </c>
      <c r="O90" s="1278" t="inlineStr">
        <is>
          <t>Jul</t>
        </is>
      </c>
      <c r="P90" s="1278" t="inlineStr">
        <is>
          <t>Aug</t>
        </is>
      </c>
      <c r="Q90" s="1278" t="inlineStr">
        <is>
          <t>Sep</t>
        </is>
      </c>
      <c r="R90" s="1278" t="inlineStr">
        <is>
          <t>Oct</t>
        </is>
      </c>
      <c r="S90" s="1278" t="inlineStr">
        <is>
          <t>Nov</t>
        </is>
      </c>
      <c r="T90" s="1278" t="inlineStr">
        <is>
          <t>Dec</t>
        </is>
      </c>
      <c r="U90" s="1278" t="inlineStr">
        <is>
          <t>Year</t>
        </is>
      </c>
      <c r="V90" s="1278" t="inlineStr">
        <is>
          <t>Split</t>
        </is>
      </c>
      <c r="W90" s="1278" t="n"/>
      <c r="X90" s="475" t="n"/>
    </row>
    <row r="91" ht="13.15" customHeight="1" s="1232">
      <c r="G91" s="444" t="inlineStr">
        <is>
          <t>New Clients</t>
        </is>
      </c>
      <c r="I91" s="914">
        <f>I81/I86</f>
        <v/>
      </c>
      <c r="J91" s="914">
        <f>J81/J86</f>
        <v/>
      </c>
      <c r="K91" s="914">
        <f>K81/K86</f>
        <v/>
      </c>
      <c r="L91" s="914">
        <f>L81/L86</f>
        <v/>
      </c>
      <c r="M91" s="914">
        <f>M81/M86</f>
        <v/>
      </c>
      <c r="N91" s="914">
        <f>N81/N86</f>
        <v/>
      </c>
      <c r="O91" s="914">
        <f>O81/O86</f>
        <v/>
      </c>
      <c r="P91" s="914">
        <f>P81/P86</f>
        <v/>
      </c>
      <c r="Q91" s="914">
        <f>Q81/Q86</f>
        <v/>
      </c>
      <c r="R91" s="914">
        <f>R81/R86</f>
        <v/>
      </c>
      <c r="S91" s="914">
        <f>S81/S86</f>
        <v/>
      </c>
      <c r="T91" s="914">
        <f>T81/T86</f>
        <v/>
      </c>
      <c r="U91" s="554">
        <f>AVERAGE(I91:T91)</f>
        <v/>
      </c>
      <c r="V91" s="475">
        <f>U91/U93</f>
        <v/>
      </c>
      <c r="W91" s="466" t="n"/>
      <c r="X91" s="475" t="n"/>
    </row>
    <row r="92" ht="13.15" customHeight="1" s="1232">
      <c r="G92" s="444" t="inlineStr">
        <is>
          <t>Existing Clients</t>
        </is>
      </c>
      <c r="I92" s="914">
        <f>I82/I87</f>
        <v/>
      </c>
      <c r="J92" s="914">
        <f>J82/J87</f>
        <v/>
      </c>
      <c r="K92" s="914">
        <f>K82/K87</f>
        <v/>
      </c>
      <c r="L92" s="914">
        <f>L82/L87</f>
        <v/>
      </c>
      <c r="M92" s="914">
        <f>M82/M87</f>
        <v/>
      </c>
      <c r="N92" s="914">
        <f>N82/N87</f>
        <v/>
      </c>
      <c r="O92" s="914">
        <f>O82/O87</f>
        <v/>
      </c>
      <c r="P92" s="914">
        <f>P82/P87</f>
        <v/>
      </c>
      <c r="Q92" s="914">
        <f>Q82/Q87</f>
        <v/>
      </c>
      <c r="R92" s="914">
        <f>R82/R87</f>
        <v/>
      </c>
      <c r="S92" s="914">
        <f>S82/S87</f>
        <v/>
      </c>
      <c r="T92" s="914">
        <f>T82/T87</f>
        <v/>
      </c>
      <c r="U92" s="554">
        <f>AVERAGE(I92:T92)</f>
        <v/>
      </c>
      <c r="V92" s="475">
        <f>U92/$U$93</f>
        <v/>
      </c>
      <c r="W92" s="466" t="n"/>
    </row>
    <row r="93" ht="13.15" customHeight="1" s="1232">
      <c r="H93" s="914" t="n"/>
      <c r="I93" s="563">
        <f>I91+I92</f>
        <v/>
      </c>
      <c r="J93" s="563">
        <f>J91+J92</f>
        <v/>
      </c>
      <c r="K93" s="563">
        <f>K91+K92</f>
        <v/>
      </c>
      <c r="L93" s="563">
        <f>L91+L92</f>
        <v/>
      </c>
      <c r="M93" s="563">
        <f>M91+M92</f>
        <v/>
      </c>
      <c r="N93" s="563">
        <f>N91+N92</f>
        <v/>
      </c>
      <c r="O93" s="563">
        <f>O91+O92</f>
        <v/>
      </c>
      <c r="P93" s="563">
        <f>P91+P92</f>
        <v/>
      </c>
      <c r="Q93" s="563">
        <f>Q91+Q92</f>
        <v/>
      </c>
      <c r="R93" s="563">
        <f>R91+R92</f>
        <v/>
      </c>
      <c r="S93" s="563">
        <f>S91+S92</f>
        <v/>
      </c>
      <c r="T93" s="563">
        <f>T91+T92</f>
        <v/>
      </c>
      <c r="U93" s="563">
        <f>U91+U92</f>
        <v/>
      </c>
      <c r="V93" s="564" t="n"/>
      <c r="W93" s="565" t="n"/>
    </row>
    <row r="94" ht="13.9" customHeight="1" s="1232">
      <c r="A94" s="1345" t="inlineStr">
        <is>
          <t>Date</t>
        </is>
      </c>
      <c r="B94" s="1346" t="inlineStr">
        <is>
          <t>Client</t>
        </is>
      </c>
      <c r="C94" s="1346" t="inlineStr">
        <is>
          <t>Category</t>
        </is>
      </c>
      <c r="D94" s="1346" t="inlineStr">
        <is>
          <t>Funding</t>
        </is>
      </c>
      <c r="E94" s="1347" t="inlineStr">
        <is>
          <t>Amount</t>
        </is>
      </c>
      <c r="F94" s="1346" t="inlineStr">
        <is>
          <t>Event</t>
        </is>
      </c>
      <c r="G94" s="1346" t="inlineStr">
        <is>
          <t>Source</t>
        </is>
      </c>
      <c r="H94" s="914" t="n"/>
      <c r="I94" s="914" t="n"/>
      <c r="J94" s="914" t="n"/>
      <c r="K94" s="914" t="n"/>
      <c r="L94" s="914" t="n"/>
      <c r="M94" s="914" t="n"/>
      <c r="N94" s="914" t="n"/>
      <c r="O94" s="914" t="n"/>
      <c r="P94" s="914" t="n"/>
      <c r="Q94" s="914" t="n"/>
      <c r="R94" s="914" t="n"/>
      <c r="S94" s="914" t="n"/>
      <c r="T94" s="914" t="n"/>
      <c r="U94" s="914" t="n"/>
      <c r="V94" s="914" t="n"/>
    </row>
    <row r="105" ht="13.5" customHeight="1" s="1232">
      <c r="A105" s="1413" t="n">
        <v>43096</v>
      </c>
      <c r="B105" s="1255" t="inlineStr">
        <is>
          <t>Steven Moffitt</t>
        </is>
      </c>
      <c r="C105" s="1255" t="inlineStr">
        <is>
          <t>courses/masterclasses</t>
        </is>
      </c>
      <c r="D105" s="1260" t="inlineStr">
        <is>
          <t>PayPal</t>
        </is>
      </c>
      <c r="E105" s="1256" t="n">
        <v>50</v>
      </c>
      <c r="F105" s="1260" t="inlineStr">
        <is>
          <t>5wk Course</t>
        </is>
      </c>
      <c r="G105" s="1260" t="inlineStr">
        <is>
          <t>Google</t>
        </is>
      </c>
    </row>
    <row r="106" ht="13.5" customHeight="1" s="1232">
      <c r="A106" s="1413" t="n">
        <v>43096</v>
      </c>
      <c r="B106" s="1255" t="inlineStr">
        <is>
          <t>Jan Whaley</t>
        </is>
      </c>
      <c r="C106" s="1255" t="inlineStr">
        <is>
          <t>other</t>
        </is>
      </c>
      <c r="D106" s="1260" t="inlineStr">
        <is>
          <t>Stripe</t>
        </is>
      </c>
      <c r="E106" s="1256" t="n">
        <v>150</v>
      </c>
      <c r="F106" s="1260" t="inlineStr">
        <is>
          <t>Digital Gift Card</t>
        </is>
      </c>
      <c r="G106" s="1260" t="inlineStr">
        <is>
          <t>Google</t>
        </is>
      </c>
    </row>
    <row r="107" ht="13.5" customHeight="1" s="1232">
      <c r="A107" s="1413" t="n">
        <v>43095</v>
      </c>
      <c r="B107" s="1255" t="inlineStr">
        <is>
          <t>Amanda Cope</t>
        </is>
      </c>
      <c r="C107" s="1255" t="inlineStr">
        <is>
          <t>courses/masterclasses</t>
        </is>
      </c>
      <c r="D107" s="1260" t="inlineStr">
        <is>
          <t>Stripe</t>
        </is>
      </c>
      <c r="E107" s="1256" t="n">
        <v>30</v>
      </c>
      <c r="F107" s="1260" t="inlineStr">
        <is>
          <t>Intro Class</t>
        </is>
      </c>
      <c r="G107" s="1260" t="inlineStr">
        <is>
          <t>Google</t>
        </is>
      </c>
    </row>
    <row r="108" ht="13.5" customHeight="1" s="1232">
      <c r="A108" s="1413" t="n">
        <v>43095</v>
      </c>
      <c r="B108" s="1260" t="inlineStr">
        <is>
          <t>Georgia Guinan</t>
        </is>
      </c>
      <c r="C108" s="1255" t="inlineStr">
        <is>
          <t>courses/masterclasses</t>
        </is>
      </c>
      <c r="D108" s="1260" t="inlineStr">
        <is>
          <t>Stripe</t>
        </is>
      </c>
      <c r="E108" s="1256" t="n">
        <v>30</v>
      </c>
      <c r="F108" s="1260" t="inlineStr">
        <is>
          <t>Intro Class</t>
        </is>
      </c>
      <c r="G108" s="1260" t="inlineStr">
        <is>
          <t>Google</t>
        </is>
      </c>
    </row>
    <row r="109" ht="13.5" customHeight="1" s="1232">
      <c r="A109" s="1413" t="n">
        <v>43095</v>
      </c>
      <c r="B109" s="1255" t="inlineStr">
        <is>
          <t>Vijaytha Murali</t>
        </is>
      </c>
      <c r="C109" s="1255" t="inlineStr">
        <is>
          <t>courses/masterclasses</t>
        </is>
      </c>
      <c r="D109" s="1260" t="inlineStr">
        <is>
          <t>Bank</t>
        </is>
      </c>
      <c r="E109" s="1256" t="n">
        <v>235</v>
      </c>
      <c r="F109" s="1260" t="inlineStr">
        <is>
          <t>4wk Extended Course</t>
        </is>
      </c>
      <c r="G109" s="1260" t="inlineStr">
        <is>
          <t>Existing</t>
        </is>
      </c>
    </row>
    <row r="110" ht="13.5" customHeight="1" s="1232">
      <c r="A110" s="1413" t="n">
        <v>43093</v>
      </c>
      <c r="B110" s="1255" t="inlineStr">
        <is>
          <t>michaella robb</t>
        </is>
      </c>
      <c r="C110" s="1255" t="inlineStr">
        <is>
          <t>other</t>
        </is>
      </c>
      <c r="D110" s="1260" t="inlineStr">
        <is>
          <t>Stripe</t>
        </is>
      </c>
      <c r="E110" s="1256" t="n">
        <v>50</v>
      </c>
      <c r="F110" s="1260" t="inlineStr">
        <is>
          <t>Digital Gift Card</t>
        </is>
      </c>
      <c r="G110" s="1260" t="inlineStr">
        <is>
          <t>Google</t>
        </is>
      </c>
    </row>
    <row r="111" ht="13.5" customHeight="1" s="1232">
      <c r="A111" s="1413" t="n">
        <v>43093</v>
      </c>
      <c r="B111" s="1255" t="inlineStr">
        <is>
          <t>Julia Dyer</t>
        </is>
      </c>
      <c r="C111" s="1255" t="inlineStr">
        <is>
          <t>workshops</t>
        </is>
      </c>
      <c r="D111" s="1260" t="inlineStr">
        <is>
          <t>Stripe</t>
        </is>
      </c>
      <c r="E111" s="1256" t="n">
        <v>59</v>
      </c>
      <c r="F111" s="1260" t="inlineStr">
        <is>
          <t>Batsford Calendar</t>
        </is>
      </c>
      <c r="G111" s="1260" t="inlineStr">
        <is>
          <t>Batsford</t>
        </is>
      </c>
    </row>
    <row r="112" ht="13.5" customHeight="1" s="1232">
      <c r="A112" s="1413" t="n">
        <v>43091</v>
      </c>
      <c r="B112" s="1255" t="inlineStr">
        <is>
          <t>Mary Martin</t>
        </is>
      </c>
      <c r="C112" s="1255" t="inlineStr">
        <is>
          <t>courses/masterclasses</t>
        </is>
      </c>
      <c r="D112" s="1260" t="inlineStr">
        <is>
          <t>Stripe</t>
        </is>
      </c>
      <c r="E112" s="1256" t="n">
        <v>30</v>
      </c>
      <c r="F112" s="1260" t="inlineStr">
        <is>
          <t>Intro Class</t>
        </is>
      </c>
      <c r="G112" s="1260" t="inlineStr">
        <is>
          <t>Google</t>
        </is>
      </c>
    </row>
    <row r="113" ht="13.5" customHeight="1" s="1232">
      <c r="A113" s="1413" t="n">
        <v>43090</v>
      </c>
      <c r="B113" s="1255" t="inlineStr">
        <is>
          <t>Roger Harrison</t>
        </is>
      </c>
      <c r="C113" s="1255" t="inlineStr">
        <is>
          <t>courses/masterclasses</t>
        </is>
      </c>
      <c r="D113" s="1260" t="inlineStr">
        <is>
          <t>Stripe</t>
        </is>
      </c>
      <c r="E113" s="1256" t="n">
        <v>50</v>
      </c>
      <c r="F113" s="1260" t="inlineStr">
        <is>
          <t>Masterclass Critique</t>
        </is>
      </c>
      <c r="G113" s="1260" t="inlineStr">
        <is>
          <t>Existing</t>
        </is>
      </c>
    </row>
    <row r="114" ht="13.5" customHeight="1" s="1232">
      <c r="A114" s="1413" t="n">
        <v>43090</v>
      </c>
      <c r="B114" s="1255" t="inlineStr">
        <is>
          <t>Kerry Bottomley</t>
        </is>
      </c>
      <c r="C114" s="1255" t="inlineStr">
        <is>
          <t>other</t>
        </is>
      </c>
      <c r="D114" s="1260" t="inlineStr">
        <is>
          <t>Stripe</t>
        </is>
      </c>
      <c r="E114" s="1256" t="n">
        <v>50</v>
      </c>
      <c r="F114" s="1260" t="inlineStr">
        <is>
          <t>Digital Gift Card</t>
        </is>
      </c>
      <c r="G114" s="1260" t="inlineStr">
        <is>
          <t>Existing</t>
        </is>
      </c>
    </row>
    <row r="115" ht="13.5" customHeight="1" s="1232">
      <c r="A115" s="1413" t="n">
        <v>43090</v>
      </c>
      <c r="B115" s="1255" t="inlineStr">
        <is>
          <t>Sheelagh Hiley</t>
        </is>
      </c>
      <c r="C115" s="1255" t="inlineStr">
        <is>
          <t>workshops</t>
        </is>
      </c>
      <c r="D115" s="1260" t="inlineStr">
        <is>
          <t>Stripe</t>
        </is>
      </c>
      <c r="E115" s="1256" t="n">
        <v>176.8</v>
      </c>
      <c r="F115" s="1260" t="inlineStr">
        <is>
          <t>Hartland April</t>
        </is>
      </c>
      <c r="G115" s="1260" t="inlineStr">
        <is>
          <t>Google</t>
        </is>
      </c>
    </row>
    <row r="116" ht="13.5" customHeight="1" s="1232">
      <c r="A116" s="1413" t="n">
        <v>43089</v>
      </c>
      <c r="B116" s="1255" t="inlineStr">
        <is>
          <t>Anne Rowling</t>
        </is>
      </c>
      <c r="C116" s="1255" t="inlineStr">
        <is>
          <t>courses/masterclasses</t>
        </is>
      </c>
      <c r="D116" s="1260" t="inlineStr">
        <is>
          <t>PayPal</t>
        </is>
      </c>
      <c r="E116" s="1256" t="n">
        <v>30</v>
      </c>
      <c r="F116" s="1260" t="inlineStr">
        <is>
          <t>Intro Class</t>
        </is>
      </c>
      <c r="G116" s="1260" t="inlineStr">
        <is>
          <t>Existing</t>
        </is>
      </c>
    </row>
    <row r="117" ht="13.5" customHeight="1" s="1232">
      <c r="A117" s="1413" t="n">
        <v>43089</v>
      </c>
      <c r="B117" s="1260" t="inlineStr">
        <is>
          <t>Christian James</t>
        </is>
      </c>
      <c r="C117" s="1255" t="inlineStr">
        <is>
          <t>courses/masterclasses</t>
        </is>
      </c>
      <c r="D117" s="1260" t="inlineStr">
        <is>
          <t>W-Play</t>
        </is>
      </c>
      <c r="E117" s="1256" t="n">
        <v>265</v>
      </c>
      <c r="F117" s="1260" t="inlineStr">
        <is>
          <t>5wk Course</t>
        </is>
      </c>
      <c r="G117" s="1260" t="inlineStr">
        <is>
          <t>Google</t>
        </is>
      </c>
    </row>
    <row r="118" ht="13.5" customHeight="1" s="1232">
      <c r="A118" s="1413" t="n">
        <v>43088</v>
      </c>
      <c r="B118" s="1260" t="inlineStr">
        <is>
          <t>Anna Price</t>
        </is>
      </c>
      <c r="C118" s="1255" t="inlineStr">
        <is>
          <t>courses/masterclasses</t>
        </is>
      </c>
      <c r="D118" s="1260" t="inlineStr">
        <is>
          <t>Stripe</t>
        </is>
      </c>
      <c r="E118" s="1256" t="n">
        <v>30</v>
      </c>
      <c r="F118" s="1260" t="inlineStr">
        <is>
          <t>Intro Class</t>
        </is>
      </c>
      <c r="G118" s="1260" t="inlineStr">
        <is>
          <t>Google</t>
        </is>
      </c>
    </row>
    <row r="119" ht="13.5" customHeight="1" s="1232">
      <c r="A119" s="1413" t="n">
        <v>43085</v>
      </c>
      <c r="B119" s="1255" t="inlineStr">
        <is>
          <t>Matthew Davis</t>
        </is>
      </c>
      <c r="C119" s="1255" t="inlineStr">
        <is>
          <t>other</t>
        </is>
      </c>
      <c r="D119" s="1260" t="inlineStr">
        <is>
          <t>PayPal</t>
        </is>
      </c>
      <c r="E119" s="1256" t="n">
        <v>50</v>
      </c>
      <c r="F119" s="1260" t="inlineStr">
        <is>
          <t>Digital Gift Card</t>
        </is>
      </c>
      <c r="G119" s="1260" t="inlineStr">
        <is>
          <t>Existing</t>
        </is>
      </c>
    </row>
    <row r="120" ht="13.5" customHeight="1" s="1232">
      <c r="A120" s="1413" t="n">
        <v>43085</v>
      </c>
      <c r="B120" s="1255" t="inlineStr">
        <is>
          <t>Helen Robinson</t>
        </is>
      </c>
      <c r="C120" s="1255" t="inlineStr">
        <is>
          <t>other</t>
        </is>
      </c>
      <c r="D120" s="1260" t="inlineStr">
        <is>
          <t>Stripe</t>
        </is>
      </c>
      <c r="E120" s="1256" t="n">
        <v>50</v>
      </c>
      <c r="F120" s="1260" t="inlineStr">
        <is>
          <t>Digital Gift Card</t>
        </is>
      </c>
      <c r="G120" s="1260" t="inlineStr">
        <is>
          <t>Existing</t>
        </is>
      </c>
    </row>
    <row r="121" ht="13.5" customHeight="1" s="1232">
      <c r="A121" s="1413" t="n">
        <v>43083</v>
      </c>
      <c r="B121" s="1255" t="inlineStr">
        <is>
          <t>Laura Steele</t>
        </is>
      </c>
      <c r="C121" s="1255" t="inlineStr">
        <is>
          <t>other</t>
        </is>
      </c>
      <c r="D121" s="1260" t="inlineStr">
        <is>
          <t>Stripe</t>
        </is>
      </c>
      <c r="E121" s="1256" t="n">
        <v>50</v>
      </c>
      <c r="F121" s="1260" t="inlineStr">
        <is>
          <t>Digital Gift Card</t>
        </is>
      </c>
      <c r="G121" s="1260" t="inlineStr">
        <is>
          <t>Existing</t>
        </is>
      </c>
    </row>
    <row r="122" ht="13.5" customHeight="1" s="1232">
      <c r="A122" s="1413" t="n">
        <v>43083</v>
      </c>
      <c r="B122" s="1255" t="inlineStr">
        <is>
          <t>lee clarke</t>
        </is>
      </c>
      <c r="C122" s="1255" t="inlineStr">
        <is>
          <t>1-2-1</t>
        </is>
      </c>
      <c r="D122" s="1260" t="inlineStr">
        <is>
          <t>Stripe</t>
        </is>
      </c>
      <c r="E122" s="1256" t="n">
        <v>195</v>
      </c>
      <c r="F122" s="1282" t="inlineStr">
        <is>
          <t>1-2-1</t>
        </is>
      </c>
      <c r="G122" s="1260" t="inlineStr">
        <is>
          <t>Existing</t>
        </is>
      </c>
    </row>
    <row r="123" ht="13.5" customHeight="1" s="1232">
      <c r="A123" s="1413" t="n">
        <v>43083</v>
      </c>
      <c r="B123" s="1260" t="inlineStr">
        <is>
          <t>Elaine Adkins</t>
        </is>
      </c>
      <c r="C123" s="1255" t="inlineStr">
        <is>
          <t>courses/masterclasses</t>
        </is>
      </c>
      <c r="D123" s="1260" t="inlineStr">
        <is>
          <t>W-Play</t>
        </is>
      </c>
      <c r="E123" s="1256" t="n">
        <v>265</v>
      </c>
      <c r="F123" s="1260" t="inlineStr">
        <is>
          <t>5wk Course</t>
        </is>
      </c>
      <c r="G123" s="1260" t="inlineStr">
        <is>
          <t>Google</t>
        </is>
      </c>
    </row>
    <row r="124" ht="13.5" customHeight="1" s="1232">
      <c r="A124" s="1413" t="n">
        <v>43082</v>
      </c>
      <c r="B124" s="1260" t="inlineStr">
        <is>
          <t>P Jordon (Gift Voucher - Janice)</t>
        </is>
      </c>
      <c r="C124" s="1255" t="inlineStr">
        <is>
          <t>other</t>
        </is>
      </c>
      <c r="D124" s="1260" t="inlineStr">
        <is>
          <t>W-Play</t>
        </is>
      </c>
      <c r="E124" s="1256" t="n">
        <v>100</v>
      </c>
      <c r="F124" s="1260" t="inlineStr">
        <is>
          <t>Gift Voucher</t>
        </is>
      </c>
      <c r="G124" s="1260" t="inlineStr">
        <is>
          <t>Existing</t>
        </is>
      </c>
    </row>
    <row r="125" ht="13.5" customHeight="1" s="1232">
      <c r="A125" s="1413" t="n">
        <v>43082</v>
      </c>
      <c r="B125" s="1255" t="inlineStr">
        <is>
          <t>Julia Arnold</t>
        </is>
      </c>
      <c r="C125" s="1255" t="inlineStr">
        <is>
          <t>other</t>
        </is>
      </c>
      <c r="D125" s="1260" t="inlineStr">
        <is>
          <t>Stripe</t>
        </is>
      </c>
      <c r="E125" s="1256" t="n">
        <v>30</v>
      </c>
      <c r="F125" s="1260" t="inlineStr">
        <is>
          <t>Digital Gift Card</t>
        </is>
      </c>
      <c r="G125" s="1260" t="inlineStr">
        <is>
          <t>Google</t>
        </is>
      </c>
    </row>
    <row r="126" ht="13.5" customHeight="1" s="1232">
      <c r="A126" s="1413" t="n">
        <v>43082</v>
      </c>
      <c r="B126" s="1255" t="inlineStr">
        <is>
          <t>lee clarke</t>
        </is>
      </c>
      <c r="C126" s="1255" t="inlineStr">
        <is>
          <t>1-2-1</t>
        </is>
      </c>
      <c r="D126" s="1260" t="inlineStr">
        <is>
          <t>Stripe</t>
        </is>
      </c>
      <c r="E126" s="1256" t="n">
        <v>195</v>
      </c>
      <c r="F126" s="1282" t="inlineStr">
        <is>
          <t>1-2-1</t>
        </is>
      </c>
      <c r="G126" s="1260" t="inlineStr">
        <is>
          <t>Existing</t>
        </is>
      </c>
    </row>
    <row r="127" ht="13.5" customHeight="1" s="1232">
      <c r="A127" s="1413" t="n">
        <v>43082</v>
      </c>
      <c r="B127" s="1255" t="inlineStr">
        <is>
          <t>Janet Boulter</t>
        </is>
      </c>
      <c r="C127" s="1255" t="inlineStr">
        <is>
          <t>other</t>
        </is>
      </c>
      <c r="D127" s="1260" t="inlineStr">
        <is>
          <t>Stripe</t>
        </is>
      </c>
      <c r="E127" s="1256" t="n">
        <v>30</v>
      </c>
      <c r="F127" s="1260" t="inlineStr">
        <is>
          <t>Forum</t>
        </is>
      </c>
      <c r="G127" s="1260" t="inlineStr">
        <is>
          <t>Existing</t>
        </is>
      </c>
    </row>
    <row r="128" ht="13.5" customHeight="1" s="1232">
      <c r="A128" s="1413" t="n">
        <v>43081</v>
      </c>
      <c r="B128" s="1255" t="inlineStr">
        <is>
          <t>Scott Bremner - ELS</t>
        </is>
      </c>
      <c r="C128" s="1255" t="inlineStr">
        <is>
          <t>courses/masterclasses</t>
        </is>
      </c>
      <c r="D128" s="1260" t="inlineStr">
        <is>
          <t>Bank</t>
        </is>
      </c>
      <c r="E128" s="1256" t="n">
        <v>65</v>
      </c>
      <c r="F128" s="1260" t="inlineStr">
        <is>
          <t>LR Course</t>
        </is>
      </c>
      <c r="G128" s="1260" t="inlineStr">
        <is>
          <t>ELS</t>
        </is>
      </c>
    </row>
    <row r="129" ht="13.5" customHeight="1" s="1232">
      <c r="A129" s="1413" t="n">
        <v>43081</v>
      </c>
      <c r="B129" s="1260" t="inlineStr">
        <is>
          <t>Christian Twigg-Flesner - paul kilford</t>
        </is>
      </c>
      <c r="C129" s="1255" t="inlineStr">
        <is>
          <t>courses/masterclasses</t>
        </is>
      </c>
      <c r="D129" s="1260" t="inlineStr">
        <is>
          <t>Stripe</t>
        </is>
      </c>
      <c r="E129" s="1256" t="n">
        <v>265</v>
      </c>
      <c r="F129" s="1260" t="inlineStr">
        <is>
          <t>5wk Course</t>
        </is>
      </c>
      <c r="G129" s="1260" t="inlineStr">
        <is>
          <t>Google</t>
        </is>
      </c>
    </row>
    <row r="130" ht="13.5" customHeight="1" s="1232">
      <c r="A130" s="1413" t="n">
        <v>43080</v>
      </c>
      <c r="B130" s="1260" t="inlineStr">
        <is>
          <t>Hans Berg - ELS</t>
        </is>
      </c>
      <c r="C130" s="1255" t="inlineStr">
        <is>
          <t>courses/masterclasses</t>
        </is>
      </c>
      <c r="D130" s="1260" t="inlineStr">
        <is>
          <t>Bank</t>
        </is>
      </c>
      <c r="E130" s="1256" t="n">
        <v>65</v>
      </c>
      <c r="F130" s="1260" t="inlineStr">
        <is>
          <t>5wk Course</t>
        </is>
      </c>
      <c r="G130" s="1260" t="inlineStr">
        <is>
          <t>ELS</t>
        </is>
      </c>
    </row>
    <row r="131" ht="13.5" customHeight="1" s="1232">
      <c r="A131" s="1413" t="n">
        <v>43079</v>
      </c>
      <c r="B131" s="1255" t="inlineStr">
        <is>
          <t>Emma Mehrabanpour</t>
        </is>
      </c>
      <c r="C131" s="1255" t="inlineStr">
        <is>
          <t>other</t>
        </is>
      </c>
      <c r="D131" s="1260" t="inlineStr">
        <is>
          <t>Stripe</t>
        </is>
      </c>
      <c r="E131" s="1256" t="n">
        <v>50</v>
      </c>
      <c r="F131" s="1260" t="inlineStr">
        <is>
          <t>Digital Gift Card</t>
        </is>
      </c>
      <c r="G131" s="1260" t="inlineStr">
        <is>
          <t>Google</t>
        </is>
      </c>
    </row>
    <row r="132" ht="13.5" customHeight="1" s="1232">
      <c r="A132" s="1413" t="n">
        <v>43078</v>
      </c>
      <c r="B132" s="1260" t="inlineStr">
        <is>
          <t>Nick Jones</t>
        </is>
      </c>
      <c r="C132" s="1255" t="inlineStr">
        <is>
          <t>other</t>
        </is>
      </c>
      <c r="D132" s="1260" t="inlineStr">
        <is>
          <t>PayPal</t>
        </is>
      </c>
      <c r="E132" s="1256" t="n">
        <v>30</v>
      </c>
      <c r="F132" s="1260" t="inlineStr">
        <is>
          <t>Forum</t>
        </is>
      </c>
      <c r="G132" s="1260" t="inlineStr">
        <is>
          <t>Existing</t>
        </is>
      </c>
    </row>
    <row r="133" ht="13.5" customHeight="1" s="1232">
      <c r="A133" s="1413" t="n">
        <v>43078</v>
      </c>
      <c r="B133" s="1260" t="inlineStr">
        <is>
          <t>Marcela Griffiths</t>
        </is>
      </c>
      <c r="C133" s="1255" t="inlineStr">
        <is>
          <t>courses/masterclasses</t>
        </is>
      </c>
      <c r="D133" s="1260" t="inlineStr">
        <is>
          <t>Groupon</t>
        </is>
      </c>
      <c r="E133" s="1256" t="n">
        <v>13</v>
      </c>
      <c r="F133" s="1260" t="inlineStr">
        <is>
          <t>Intro Class</t>
        </is>
      </c>
      <c r="G133" s="1260" t="inlineStr">
        <is>
          <t>Groupon</t>
        </is>
      </c>
    </row>
    <row r="134" ht="13.5" customHeight="1" s="1232">
      <c r="A134" s="1413" t="n">
        <v>43078</v>
      </c>
      <c r="B134" s="1260" t="inlineStr">
        <is>
          <t>Chris Johnson</t>
        </is>
      </c>
      <c r="C134" s="1255" t="inlineStr">
        <is>
          <t>courses/masterclasses</t>
        </is>
      </c>
      <c r="D134" s="1260" t="inlineStr">
        <is>
          <t>Stripe</t>
        </is>
      </c>
      <c r="E134" s="1256" t="n">
        <v>475</v>
      </c>
      <c r="F134" s="1260" t="inlineStr">
        <is>
          <t>Intermediates Course</t>
        </is>
      </c>
      <c r="G134" s="1260" t="inlineStr">
        <is>
          <t>Existing</t>
        </is>
      </c>
    </row>
    <row r="135" ht="13.5" customHeight="1" s="1232">
      <c r="A135" s="1413" t="n">
        <v>43075</v>
      </c>
      <c r="B135" s="1255" t="inlineStr">
        <is>
          <t>Joy Dennison</t>
        </is>
      </c>
      <c r="C135" s="1255" t="inlineStr">
        <is>
          <t>courses/masterclasses</t>
        </is>
      </c>
      <c r="D135" s="1260" t="inlineStr">
        <is>
          <t>Stripe</t>
        </is>
      </c>
      <c r="E135" s="1256" t="n">
        <v>235</v>
      </c>
      <c r="F135" s="1260" t="inlineStr">
        <is>
          <t>4wk Extended Course</t>
        </is>
      </c>
      <c r="G135" s="1260" t="inlineStr">
        <is>
          <t>Existing</t>
        </is>
      </c>
    </row>
    <row r="136" ht="13.5" customHeight="1" s="1232">
      <c r="A136" s="1413" t="n">
        <v>43073</v>
      </c>
      <c r="B136" s="1255" t="inlineStr">
        <is>
          <t>Karen Morris</t>
        </is>
      </c>
      <c r="C136" s="1255" t="inlineStr">
        <is>
          <t>other</t>
        </is>
      </c>
      <c r="D136" s="1260" t="inlineStr">
        <is>
          <t>Stripe</t>
        </is>
      </c>
      <c r="E136" s="1256">
        <f>272.75-265</f>
        <v/>
      </c>
      <c r="F136" s="1260" t="inlineStr">
        <is>
          <t>5wk Course</t>
        </is>
      </c>
      <c r="G136" s="1260" t="inlineStr">
        <is>
          <t>Google</t>
        </is>
      </c>
    </row>
    <row r="137" ht="13.5" customHeight="1" s="1232">
      <c r="A137" s="1413" t="n">
        <v>43073</v>
      </c>
      <c r="B137" s="1255" t="inlineStr">
        <is>
          <t>Karen Morris</t>
        </is>
      </c>
      <c r="C137" s="1255" t="inlineStr">
        <is>
          <t>courses/masterclasses</t>
        </is>
      </c>
      <c r="D137" s="1260" t="inlineStr">
        <is>
          <t>Stripe</t>
        </is>
      </c>
      <c r="E137" s="1256" t="n">
        <v>265</v>
      </c>
      <c r="F137" s="1260" t="inlineStr">
        <is>
          <t>5wk Course</t>
        </is>
      </c>
      <c r="G137" s="1260" t="inlineStr">
        <is>
          <t>Google</t>
        </is>
      </c>
    </row>
    <row r="138" ht="13.5" customHeight="1" s="1232">
      <c r="A138" s="1413" t="n">
        <v>43070</v>
      </c>
      <c r="B138" s="1255" t="inlineStr">
        <is>
          <t>Carol Stephens</t>
        </is>
      </c>
      <c r="C138" s="1255" t="inlineStr">
        <is>
          <t>courses/masterclasses</t>
        </is>
      </c>
      <c r="D138" s="1260" t="inlineStr">
        <is>
          <t>Bank</t>
        </is>
      </c>
      <c r="E138" s="1256" t="n">
        <v>225</v>
      </c>
      <c r="F138" s="1260" t="inlineStr">
        <is>
          <t>5wk Course</t>
        </is>
      </c>
      <c r="G138" s="1260" t="inlineStr">
        <is>
          <t>Google</t>
        </is>
      </c>
    </row>
    <row r="139" ht="13.5" customHeight="1" s="1232">
      <c r="A139" s="1413" t="n">
        <v>43070</v>
      </c>
      <c r="B139" s="1255" t="inlineStr">
        <is>
          <t>Amundep Hothi - ELS</t>
        </is>
      </c>
      <c r="C139" s="1255" t="inlineStr">
        <is>
          <t>courses/masterclasses</t>
        </is>
      </c>
      <c r="D139" s="1260" t="inlineStr">
        <is>
          <t>Bank</t>
        </is>
      </c>
      <c r="E139" s="1256" t="n">
        <v>65</v>
      </c>
      <c r="F139" s="1260" t="inlineStr">
        <is>
          <t>5wk Course</t>
        </is>
      </c>
      <c r="G139" s="1260" t="inlineStr">
        <is>
          <t>ELS</t>
        </is>
      </c>
    </row>
    <row r="140" ht="13.5" customHeight="1" s="1232">
      <c r="A140" s="1413" t="n">
        <v>43070</v>
      </c>
      <c r="B140" s="1260" t="inlineStr">
        <is>
          <t>Dec Pick N Mix</t>
        </is>
      </c>
      <c r="C140" s="1255" t="inlineStr">
        <is>
          <t>pick n mix</t>
        </is>
      </c>
      <c r="D140" s="1255" t="inlineStr">
        <is>
          <t>Various</t>
        </is>
      </c>
      <c r="E140" s="1256" t="n">
        <v>307.48</v>
      </c>
      <c r="F140" s="1255" t="inlineStr">
        <is>
          <t>Pick N Mix Payments</t>
        </is>
      </c>
      <c r="G140" s="1255" t="inlineStr">
        <is>
          <t>Existing</t>
        </is>
      </c>
    </row>
    <row r="141" ht="13.5" customHeight="1" s="1232">
      <c r="A141" s="1413" t="n">
        <v>43070</v>
      </c>
      <c r="B141" s="1260" t="inlineStr">
        <is>
          <t>Dec Mentoring</t>
        </is>
      </c>
      <c r="C141" s="1255" t="inlineStr">
        <is>
          <t>mentoring</t>
        </is>
      </c>
      <c r="D141" s="1255" t="inlineStr">
        <is>
          <t>Various</t>
        </is>
      </c>
      <c r="E141" s="1256" t="n">
        <v>60</v>
      </c>
      <c r="F141" s="1255" t="inlineStr">
        <is>
          <t>Mentoring Subs</t>
        </is>
      </c>
      <c r="G141" s="1255" t="inlineStr">
        <is>
          <t>Existing</t>
        </is>
      </c>
    </row>
    <row r="142" ht="13.5" customHeight="1" s="1232">
      <c r="A142" s="1413" t="n"/>
    </row>
    <row r="143" ht="13.5" customHeight="1" s="1232">
      <c r="A143" s="1413" t="n">
        <v>43069</v>
      </c>
      <c r="B143" s="1260" t="inlineStr">
        <is>
          <t>Vijaytha Murali</t>
        </is>
      </c>
      <c r="C143" s="1255" t="inlineStr">
        <is>
          <t>courses/masterclasses</t>
        </is>
      </c>
      <c r="D143" s="1260" t="inlineStr">
        <is>
          <t>Cash</t>
        </is>
      </c>
      <c r="E143" s="1256" t="n">
        <v>10</v>
      </c>
      <c r="F143" s="1260" t="inlineStr">
        <is>
          <t>4wk Ext Course</t>
        </is>
      </c>
      <c r="G143" s="1260" t="inlineStr">
        <is>
          <t>Groupon</t>
        </is>
      </c>
    </row>
    <row r="144" ht="13.5" customHeight="1" s="1232">
      <c r="A144" s="1413" t="n">
        <v>43069</v>
      </c>
      <c r="B144" s="1260" t="inlineStr">
        <is>
          <t>Carol Stephens</t>
        </is>
      </c>
      <c r="C144" s="1255" t="inlineStr">
        <is>
          <t>courses/masterclasses</t>
        </is>
      </c>
      <c r="D144" s="1260" t="inlineStr">
        <is>
          <t>Cash</t>
        </is>
      </c>
      <c r="E144" s="1256" t="n">
        <v>10</v>
      </c>
      <c r="F144" s="1260" t="inlineStr">
        <is>
          <t>4wk Ext Course</t>
        </is>
      </c>
      <c r="G144" s="1260" t="inlineStr">
        <is>
          <t>Google</t>
        </is>
      </c>
    </row>
    <row r="145" ht="13.5" customHeight="1" s="1232">
      <c r="A145" s="1413" t="n">
        <v>43069</v>
      </c>
      <c r="B145" s="1255" t="inlineStr">
        <is>
          <t>John Hayes</t>
        </is>
      </c>
      <c r="C145" s="1255" t="inlineStr">
        <is>
          <t>workshops</t>
        </is>
      </c>
      <c r="D145" s="1260" t="inlineStr">
        <is>
          <t>Stripe</t>
        </is>
      </c>
      <c r="E145" s="1256" t="n">
        <v>66.8</v>
      </c>
      <c r="F145" s="1260" t="inlineStr">
        <is>
          <t>Xmas Photo Walk</t>
        </is>
      </c>
      <c r="G145" s="1260" t="inlineStr">
        <is>
          <t>Google</t>
        </is>
      </c>
    </row>
    <row r="146" ht="13.5" customHeight="1" s="1232">
      <c r="A146" s="1413" t="n">
        <v>43069</v>
      </c>
      <c r="B146" s="1255" t="inlineStr">
        <is>
          <t>Karen Blake</t>
        </is>
      </c>
      <c r="C146" s="1255" t="inlineStr">
        <is>
          <t>courses/masterclasses</t>
        </is>
      </c>
      <c r="D146" s="1260" t="inlineStr">
        <is>
          <t>Stripe</t>
        </is>
      </c>
      <c r="E146" s="1256" t="n">
        <v>165</v>
      </c>
      <c r="F146" s="1260" t="inlineStr">
        <is>
          <t>5wk Course</t>
        </is>
      </c>
      <c r="G146" s="1260" t="inlineStr">
        <is>
          <t>Google</t>
        </is>
      </c>
    </row>
    <row r="147" ht="13.5" customHeight="1" s="1232">
      <c r="A147" s="1413" t="n">
        <v>43068</v>
      </c>
      <c r="B147" s="1255" t="inlineStr">
        <is>
          <t>Preetha Luther - ELS</t>
        </is>
      </c>
      <c r="C147" s="1255" t="inlineStr">
        <is>
          <t>courses/masterclasses</t>
        </is>
      </c>
      <c r="D147" s="1260" t="inlineStr">
        <is>
          <t>Bank</t>
        </is>
      </c>
      <c r="E147" s="1256" t="n">
        <v>65</v>
      </c>
      <c r="F147" s="1260" t="inlineStr">
        <is>
          <t>5wk Course</t>
        </is>
      </c>
      <c r="G147" s="1260" t="inlineStr">
        <is>
          <t>ELS</t>
        </is>
      </c>
    </row>
    <row r="148" ht="13.5" customHeight="1" s="1232">
      <c r="A148" s="1413" t="n">
        <v>43068</v>
      </c>
      <c r="B148" s="1260" t="inlineStr">
        <is>
          <t>J Blore</t>
        </is>
      </c>
      <c r="C148" s="1255" t="inlineStr">
        <is>
          <t>other</t>
        </is>
      </c>
      <c r="D148" s="1260" t="inlineStr">
        <is>
          <t>W-Play</t>
        </is>
      </c>
      <c r="E148" s="1256" t="n">
        <v>85</v>
      </c>
      <c r="F148" s="1260" t="inlineStr">
        <is>
          <t>Gift Voucher</t>
        </is>
      </c>
      <c r="G148" s="1260" t="inlineStr">
        <is>
          <t>Google</t>
        </is>
      </c>
    </row>
    <row r="149" ht="13.5" customHeight="1" s="1232">
      <c r="A149" s="1413" t="n">
        <v>43067</v>
      </c>
      <c r="B149" s="1255" t="inlineStr">
        <is>
          <t>Nadine Pratt</t>
        </is>
      </c>
      <c r="C149" s="1255" t="inlineStr">
        <is>
          <t>courses/masterclasses</t>
        </is>
      </c>
      <c r="D149" s="1260" t="inlineStr">
        <is>
          <t>Bank</t>
        </is>
      </c>
      <c r="E149" s="1256" t="n">
        <v>100</v>
      </c>
      <c r="F149" s="1260" t="inlineStr">
        <is>
          <t>5wk Course</t>
        </is>
      </c>
      <c r="G149" s="1260" t="inlineStr">
        <is>
          <t>Google</t>
        </is>
      </c>
    </row>
    <row r="150" ht="13.5" customHeight="1" s="1232">
      <c r="A150" s="1413" t="n">
        <v>43067</v>
      </c>
      <c r="B150" s="1260" t="inlineStr">
        <is>
          <t>Sayed Nazir - ELS</t>
        </is>
      </c>
      <c r="C150" s="1255" t="inlineStr">
        <is>
          <t>courses/masterclasses</t>
        </is>
      </c>
      <c r="D150" s="1260" t="inlineStr">
        <is>
          <t>Bank</t>
        </is>
      </c>
      <c r="E150" s="1256" t="n">
        <v>65</v>
      </c>
      <c r="F150" s="1260" t="inlineStr">
        <is>
          <t>5wk Course</t>
        </is>
      </c>
      <c r="G150" s="1260" t="inlineStr">
        <is>
          <t>ELS</t>
        </is>
      </c>
    </row>
    <row r="151" ht="13.5" customHeight="1" s="1232">
      <c r="A151" s="1413" t="n">
        <v>43067</v>
      </c>
      <c r="B151" s="1260" t="inlineStr">
        <is>
          <t>Jill James</t>
        </is>
      </c>
      <c r="C151" s="1255" t="inlineStr">
        <is>
          <t>workshops</t>
        </is>
      </c>
      <c r="D151" s="1260" t="inlineStr">
        <is>
          <t>W-Play</t>
        </is>
      </c>
      <c r="E151" s="1256" t="n">
        <v>61</v>
      </c>
      <c r="F151" s="1260" t="inlineStr">
        <is>
          <t>Batsford Workshop March</t>
        </is>
      </c>
      <c r="G151" s="1260" t="inlineStr">
        <is>
          <t>Google</t>
        </is>
      </c>
    </row>
    <row r="152" ht="13.5" customHeight="1" s="1232">
      <c r="A152" s="1413" t="n">
        <v>43067</v>
      </c>
      <c r="B152" s="1255" t="inlineStr">
        <is>
          <t>Jonathan Hull</t>
        </is>
      </c>
      <c r="C152" s="1255" t="inlineStr">
        <is>
          <t>other</t>
        </is>
      </c>
      <c r="D152" s="1260" t="inlineStr">
        <is>
          <t>PayPal</t>
        </is>
      </c>
      <c r="E152" s="1256" t="n">
        <v>40</v>
      </c>
      <c r="F152" s="1260" t="inlineStr">
        <is>
          <t>Gift Voucher</t>
        </is>
      </c>
      <c r="G152" s="1260" t="inlineStr">
        <is>
          <t>Google</t>
        </is>
      </c>
    </row>
    <row r="153" ht="13.5" customHeight="1" s="1232">
      <c r="A153" s="1413" t="n">
        <v>43067</v>
      </c>
      <c r="B153" s="1260" t="inlineStr">
        <is>
          <t>Johanna Stansfield</t>
        </is>
      </c>
      <c r="C153" s="1255" t="inlineStr">
        <is>
          <t>pick n mix</t>
        </is>
      </c>
      <c r="D153" s="1260" t="inlineStr">
        <is>
          <t>Bank</t>
        </is>
      </c>
      <c r="E153" s="1256" t="n">
        <v>1623</v>
      </c>
      <c r="F153" s="1260" t="inlineStr">
        <is>
          <t>Various</t>
        </is>
      </c>
      <c r="G153" s="1260" t="inlineStr">
        <is>
          <t>Existing</t>
        </is>
      </c>
    </row>
    <row r="154" ht="13.5" customHeight="1" s="1232">
      <c r="A154" s="1413" t="n">
        <v>43060</v>
      </c>
      <c r="B154" s="1255" t="inlineStr">
        <is>
          <t>Andrew Holmes</t>
        </is>
      </c>
      <c r="C154" s="1255" t="inlineStr">
        <is>
          <t>workshops</t>
        </is>
      </c>
      <c r="D154" s="1260" t="inlineStr">
        <is>
          <t>Stripe</t>
        </is>
      </c>
      <c r="E154" s="1256" t="n">
        <v>695</v>
      </c>
      <c r="F154" s="1260" t="inlineStr">
        <is>
          <t>Hartland April</t>
        </is>
      </c>
      <c r="G154" s="1260" t="inlineStr">
        <is>
          <t>Google</t>
        </is>
      </c>
    </row>
    <row r="155" ht="13.5" customHeight="1" s="1232">
      <c r="A155" s="1413" t="n">
        <v>43066</v>
      </c>
      <c r="B155" s="1260" t="inlineStr">
        <is>
          <t>Johanna Stansfield</t>
        </is>
      </c>
      <c r="C155" s="1255" t="inlineStr">
        <is>
          <t>courses/masterclasses</t>
        </is>
      </c>
      <c r="D155" s="1260" t="inlineStr">
        <is>
          <t>Stripe</t>
        </is>
      </c>
      <c r="E155" s="1256" t="n">
        <v>50</v>
      </c>
      <c r="F155" s="1260" t="inlineStr">
        <is>
          <t>LR Organisation</t>
        </is>
      </c>
      <c r="G155" s="1260" t="inlineStr">
        <is>
          <t>Existing</t>
        </is>
      </c>
    </row>
    <row r="156" ht="13.5" customHeight="1" s="1232">
      <c r="A156" s="1413" t="n">
        <v>43066</v>
      </c>
      <c r="B156" s="1260" t="inlineStr">
        <is>
          <t>Michael Morgan</t>
        </is>
      </c>
      <c r="C156" s="1255" t="inlineStr">
        <is>
          <t>courses/masterclasses</t>
        </is>
      </c>
      <c r="D156" s="1260" t="inlineStr">
        <is>
          <t>Groupon</t>
        </is>
      </c>
      <c r="E156" s="1256" t="n">
        <v>13</v>
      </c>
      <c r="F156" s="1260" t="inlineStr">
        <is>
          <t>Intro Class</t>
        </is>
      </c>
      <c r="G156" s="1260" t="inlineStr">
        <is>
          <t>Groupon</t>
        </is>
      </c>
    </row>
    <row r="157" ht="13.5" customHeight="1" s="1232">
      <c r="A157" s="1413" t="n">
        <v>43066</v>
      </c>
      <c r="B157" s="1255" t="inlineStr">
        <is>
          <t>Dannie Merry</t>
        </is>
      </c>
      <c r="C157" s="1255" t="inlineStr">
        <is>
          <t>other</t>
        </is>
      </c>
      <c r="D157" s="1260" t="inlineStr">
        <is>
          <t>PayPal</t>
        </is>
      </c>
      <c r="E157" s="1256" t="n">
        <v>42.99</v>
      </c>
      <c r="F157" s="1260" t="inlineStr">
        <is>
          <t>3 Prints</t>
        </is>
      </c>
      <c r="G157" s="1260" t="inlineStr">
        <is>
          <t>Zenfolio</t>
        </is>
      </c>
    </row>
    <row r="158" ht="13.5" customHeight="1" s="1232">
      <c r="A158" s="1413" t="n">
        <v>43067</v>
      </c>
      <c r="B158" s="1255" t="inlineStr">
        <is>
          <t>Ashwyn Dhir - ELS</t>
        </is>
      </c>
      <c r="C158" s="1255" t="inlineStr">
        <is>
          <t>courses/masterclasses</t>
        </is>
      </c>
      <c r="D158" s="1260" t="inlineStr">
        <is>
          <t>Bank</t>
        </is>
      </c>
      <c r="E158" s="1256" t="n">
        <v>200</v>
      </c>
      <c r="F158" s="1255" t="inlineStr">
        <is>
          <t>5wk Course</t>
        </is>
      </c>
      <c r="G158" s="1260" t="inlineStr">
        <is>
          <t>ELS</t>
        </is>
      </c>
    </row>
    <row r="159" ht="13.5" customHeight="1" s="1232">
      <c r="A159" s="1413" t="n">
        <v>43067</v>
      </c>
      <c r="B159" s="1255" t="inlineStr">
        <is>
          <t>Richard Wardle - ELS</t>
        </is>
      </c>
      <c r="C159" s="1255" t="inlineStr">
        <is>
          <t>courses/masterclasses</t>
        </is>
      </c>
      <c r="D159" s="1260" t="inlineStr">
        <is>
          <t>Bank</t>
        </is>
      </c>
      <c r="E159" s="1256" t="n">
        <v>200</v>
      </c>
      <c r="F159" s="1255" t="inlineStr">
        <is>
          <t>Intermediates</t>
        </is>
      </c>
      <c r="G159" s="1260" t="inlineStr">
        <is>
          <t>ELS</t>
        </is>
      </c>
    </row>
    <row r="160" ht="13.5" customHeight="1" s="1232">
      <c r="A160" s="1413" t="n">
        <v>43067</v>
      </c>
      <c r="B160" s="1255" t="inlineStr">
        <is>
          <t>Helen Finch - ELS</t>
        </is>
      </c>
      <c r="C160" s="1255" t="inlineStr">
        <is>
          <t>courses/masterclasses</t>
        </is>
      </c>
      <c r="D160" s="1260" t="inlineStr">
        <is>
          <t>Bank</t>
        </is>
      </c>
      <c r="E160" s="1256" t="n">
        <v>150</v>
      </c>
      <c r="F160" s="1255" t="inlineStr">
        <is>
          <t>5wk Course</t>
        </is>
      </c>
      <c r="G160" s="1260" t="inlineStr">
        <is>
          <t>ELS</t>
        </is>
      </c>
    </row>
    <row r="161" ht="13.5" customHeight="1" s="1232">
      <c r="A161" s="1413" t="n">
        <v>43058</v>
      </c>
      <c r="B161" s="1255" t="inlineStr">
        <is>
          <t>Nadine Preece</t>
        </is>
      </c>
      <c r="C161" s="1255" t="inlineStr">
        <is>
          <t>workshops</t>
        </is>
      </c>
      <c r="D161" s="1260" t="inlineStr">
        <is>
          <t>Stripe</t>
        </is>
      </c>
      <c r="E161" s="1256" t="n">
        <v>66.8</v>
      </c>
      <c r="F161" s="1260" t="inlineStr">
        <is>
          <t>Xmas Sparkle</t>
        </is>
      </c>
      <c r="G161" s="1260" t="inlineStr">
        <is>
          <t>Existing</t>
        </is>
      </c>
    </row>
    <row r="162" ht="13.5" customHeight="1" s="1232">
      <c r="A162" s="1413" t="n">
        <v>43058</v>
      </c>
      <c r="B162" s="1260" t="inlineStr">
        <is>
          <t>Karen Blake</t>
        </is>
      </c>
      <c r="C162" s="1255" t="inlineStr">
        <is>
          <t>courses/masterclasses</t>
        </is>
      </c>
      <c r="D162" s="1260" t="inlineStr">
        <is>
          <t>Stripe</t>
        </is>
      </c>
      <c r="E162" s="1256" t="n">
        <v>100</v>
      </c>
      <c r="F162" s="1260" t="inlineStr">
        <is>
          <t>5wk Course</t>
        </is>
      </c>
      <c r="G162" s="1260" t="inlineStr">
        <is>
          <t>Google</t>
        </is>
      </c>
    </row>
    <row r="163" ht="13.5" customHeight="1" s="1232">
      <c r="A163" s="1413" t="n">
        <v>43058</v>
      </c>
      <c r="B163" s="1255" t="inlineStr">
        <is>
          <t>Matthew Lees</t>
        </is>
      </c>
      <c r="C163" s="1255" t="inlineStr">
        <is>
          <t>workshops</t>
        </is>
      </c>
      <c r="D163" s="1260" t="inlineStr">
        <is>
          <t>Stripe</t>
        </is>
      </c>
      <c r="E163" s="1256" t="n">
        <v>302.4</v>
      </c>
      <c r="F163" s="1260" t="inlineStr">
        <is>
          <t>Northumbria Workshop</t>
        </is>
      </c>
      <c r="G163" s="1260" t="inlineStr">
        <is>
          <t>Google</t>
        </is>
      </c>
    </row>
    <row r="164" ht="13.5" customHeight="1" s="1232">
      <c r="A164" s="1413" t="n">
        <v>43055</v>
      </c>
      <c r="B164" s="1255" t="inlineStr">
        <is>
          <t>Fiona Cummings</t>
        </is>
      </c>
      <c r="C164" s="1255" t="inlineStr">
        <is>
          <t>other</t>
        </is>
      </c>
      <c r="D164" s="1260" t="inlineStr">
        <is>
          <t>Stripe</t>
        </is>
      </c>
      <c r="E164" s="1256" t="n">
        <v>43.6</v>
      </c>
      <c r="F164" s="1260" t="inlineStr">
        <is>
          <t>Gift Voucher</t>
        </is>
      </c>
      <c r="G164" s="1260" t="inlineStr">
        <is>
          <t>Existing</t>
        </is>
      </c>
    </row>
    <row r="165" ht="13.5" customHeight="1" s="1232">
      <c r="A165" s="1413" t="n">
        <v>43050</v>
      </c>
      <c r="B165" s="1255" t="inlineStr">
        <is>
          <t>Debbie Colby</t>
        </is>
      </c>
      <c r="C165" s="1255" t="inlineStr">
        <is>
          <t>workshops</t>
        </is>
      </c>
      <c r="D165" s="1260" t="inlineStr">
        <is>
          <t>Stripe</t>
        </is>
      </c>
      <c r="E165" s="1256" t="n">
        <v>150</v>
      </c>
      <c r="F165" s="1260" t="inlineStr">
        <is>
          <t>Xmas Walk</t>
        </is>
      </c>
      <c r="G165" s="1260" t="inlineStr">
        <is>
          <t>Google</t>
        </is>
      </c>
    </row>
    <row r="166" ht="13.5" customHeight="1" s="1232">
      <c r="A166" s="1413" t="n">
        <v>43051</v>
      </c>
      <c r="B166" s="1260" t="inlineStr">
        <is>
          <t>J Blore</t>
        </is>
      </c>
      <c r="C166" s="1255" t="inlineStr">
        <is>
          <t>courses/masterclasses</t>
        </is>
      </c>
      <c r="D166" s="1260" t="inlineStr">
        <is>
          <t>Stripe</t>
        </is>
      </c>
      <c r="E166" s="1256" t="n">
        <v>50</v>
      </c>
      <c r="F166" s="1260" t="inlineStr">
        <is>
          <t>Masterclass</t>
        </is>
      </c>
      <c r="G166" s="1260" t="inlineStr">
        <is>
          <t>Google</t>
        </is>
      </c>
    </row>
    <row r="167" ht="13.5" customHeight="1" s="1232">
      <c r="A167" s="1413" t="n">
        <v>43049</v>
      </c>
      <c r="B167" s="1255" t="inlineStr">
        <is>
          <t>Justin Meaden</t>
        </is>
      </c>
      <c r="C167" s="1255" t="inlineStr">
        <is>
          <t>workshops</t>
        </is>
      </c>
      <c r="D167" s="1260" t="inlineStr">
        <is>
          <t>Stripe</t>
        </is>
      </c>
      <c r="E167" s="1256" t="n">
        <v>482.2</v>
      </c>
      <c r="F167" s="1260" t="inlineStr">
        <is>
          <t>Various Workshops</t>
        </is>
      </c>
      <c r="G167" s="1260" t="inlineStr">
        <is>
          <t>Existing</t>
        </is>
      </c>
    </row>
    <row r="168" ht="13.5" customHeight="1" s="1232">
      <c r="A168" s="1413" t="n">
        <v>43049</v>
      </c>
      <c r="B168" s="1260" t="inlineStr">
        <is>
          <t xml:space="preserve">Veronika Beckova </t>
        </is>
      </c>
      <c r="C168" s="1255" t="inlineStr">
        <is>
          <t>workshops</t>
        </is>
      </c>
      <c r="D168" s="1260" t="inlineStr">
        <is>
          <t>Bank</t>
        </is>
      </c>
      <c r="E168" s="1256" t="n">
        <v>33</v>
      </c>
      <c r="F168" s="1260" t="inlineStr">
        <is>
          <t>Bluebells</t>
        </is>
      </c>
      <c r="G168" s="1260" t="inlineStr">
        <is>
          <t>Google</t>
        </is>
      </c>
    </row>
    <row r="169" ht="13.5" customHeight="1" s="1232">
      <c r="A169" s="1413" t="n">
        <v>43049</v>
      </c>
      <c r="B169" s="1260" t="inlineStr">
        <is>
          <t>Jodie Child</t>
        </is>
      </c>
      <c r="C169" s="1255" t="inlineStr">
        <is>
          <t>courses/masterclasses</t>
        </is>
      </c>
      <c r="D169" s="1260" t="inlineStr">
        <is>
          <t>Bank</t>
        </is>
      </c>
      <c r="E169" s="1256" t="n">
        <v>65</v>
      </c>
      <c r="F169" s="1260" t="inlineStr">
        <is>
          <t>5wk Course</t>
        </is>
      </c>
      <c r="G169" s="1260" t="inlineStr">
        <is>
          <t>ELS</t>
        </is>
      </c>
    </row>
    <row r="170" ht="13.5" customHeight="1" s="1232">
      <c r="A170" s="1413" t="n">
        <v>43049</v>
      </c>
      <c r="B170" s="1255" t="inlineStr">
        <is>
          <t>Steven Moffitt</t>
        </is>
      </c>
      <c r="C170" s="1255" t="inlineStr">
        <is>
          <t>courses/masterclasses</t>
        </is>
      </c>
      <c r="D170" s="1260" t="inlineStr">
        <is>
          <t>Stripe</t>
        </is>
      </c>
      <c r="E170" s="1256" t="n">
        <v>265</v>
      </c>
      <c r="F170" s="1260" t="inlineStr">
        <is>
          <t>5wk Course</t>
        </is>
      </c>
      <c r="G170" s="1260" t="inlineStr">
        <is>
          <t>Google</t>
        </is>
      </c>
    </row>
    <row r="171" ht="13.5" customHeight="1" s="1232">
      <c r="A171" s="1413" t="n">
        <v>43049</v>
      </c>
      <c r="B171" s="1255" t="inlineStr">
        <is>
          <t>Rob Graham ELS</t>
        </is>
      </c>
      <c r="C171" s="1255" t="inlineStr">
        <is>
          <t>courses/masterclasses</t>
        </is>
      </c>
      <c r="D171" s="1260" t="inlineStr">
        <is>
          <t>Bank</t>
        </is>
      </c>
      <c r="E171" s="1256" t="n">
        <v>200</v>
      </c>
      <c r="F171" s="1260" t="inlineStr">
        <is>
          <t>5wk Course</t>
        </is>
      </c>
      <c r="G171" s="1260" t="inlineStr">
        <is>
          <t>ELS</t>
        </is>
      </c>
    </row>
    <row r="172" ht="13.5" customHeight="1" s="1232">
      <c r="A172" s="1413" t="n">
        <v>43049</v>
      </c>
      <c r="B172" s="1255" t="inlineStr">
        <is>
          <t>Jonathan McCaughan  ELS</t>
        </is>
      </c>
      <c r="C172" s="1255" t="inlineStr">
        <is>
          <t>courses/masterclasses</t>
        </is>
      </c>
      <c r="D172" s="1260" t="inlineStr">
        <is>
          <t>Bank</t>
        </is>
      </c>
      <c r="E172" s="1256" t="n">
        <v>200</v>
      </c>
      <c r="F172" s="1260" t="inlineStr">
        <is>
          <t>5wk Course</t>
        </is>
      </c>
      <c r="G172" s="1260" t="inlineStr">
        <is>
          <t>ELS</t>
        </is>
      </c>
    </row>
    <row r="173" ht="13.5" customHeight="1" s="1232">
      <c r="A173" s="1413" t="n">
        <v>43049</v>
      </c>
      <c r="B173" s="1255" t="inlineStr">
        <is>
          <t>Shen Xiang -ELS</t>
        </is>
      </c>
      <c r="C173" s="1255" t="inlineStr">
        <is>
          <t>courses/masterclasses</t>
        </is>
      </c>
      <c r="D173" s="1260" t="inlineStr">
        <is>
          <t>Bank</t>
        </is>
      </c>
      <c r="E173" s="1256" t="n">
        <v>200</v>
      </c>
      <c r="F173" s="1260" t="inlineStr">
        <is>
          <t>5wk Course</t>
        </is>
      </c>
      <c r="G173" s="1260" t="inlineStr">
        <is>
          <t>ELS</t>
        </is>
      </c>
    </row>
    <row r="174" ht="13.5" customHeight="1" s="1232">
      <c r="A174" s="1413" t="n">
        <v>43049</v>
      </c>
      <c r="B174" s="1255" t="inlineStr">
        <is>
          <t>Seon Chang - ELS</t>
        </is>
      </c>
      <c r="C174" s="1255" t="inlineStr">
        <is>
          <t>courses/masterclasses</t>
        </is>
      </c>
      <c r="D174" s="1260" t="inlineStr">
        <is>
          <t>Bank</t>
        </is>
      </c>
      <c r="E174" s="1256" t="n">
        <v>200</v>
      </c>
      <c r="F174" s="1260" t="inlineStr">
        <is>
          <t>5wk Course</t>
        </is>
      </c>
      <c r="G174" s="1260" t="inlineStr">
        <is>
          <t>ELS</t>
        </is>
      </c>
    </row>
    <row r="175" ht="13.5" customHeight="1" s="1232">
      <c r="A175" s="1413" t="n">
        <v>43048</v>
      </c>
      <c r="B175" s="1255" t="inlineStr">
        <is>
          <t>Robert Smith</t>
        </is>
      </c>
      <c r="C175" s="1255" t="inlineStr">
        <is>
          <t>courses/masterclasses</t>
        </is>
      </c>
      <c r="D175" s="1260" t="inlineStr">
        <is>
          <t>Stripe</t>
        </is>
      </c>
      <c r="E175" s="1256" t="n">
        <v>270</v>
      </c>
      <c r="F175" s="1260" t="inlineStr">
        <is>
          <t>4wk Beginners</t>
        </is>
      </c>
      <c r="G175" s="1260" t="inlineStr">
        <is>
          <t>Existing</t>
        </is>
      </c>
    </row>
    <row r="176" ht="13.5" customHeight="1" s="1232">
      <c r="A176" s="1413" t="n">
        <v>43048</v>
      </c>
      <c r="B176" s="1260" t="inlineStr">
        <is>
          <t>Stacey Jones</t>
        </is>
      </c>
      <c r="C176" s="1255" t="inlineStr">
        <is>
          <t>courses/masterclasses</t>
        </is>
      </c>
      <c r="D176" s="1260" t="inlineStr">
        <is>
          <t>Stripe</t>
        </is>
      </c>
      <c r="E176" s="1256" t="n">
        <v>135</v>
      </c>
      <c r="F176" s="1260" t="inlineStr">
        <is>
          <t>4wk Beginners</t>
        </is>
      </c>
      <c r="G176" s="1260" t="inlineStr">
        <is>
          <t>Google</t>
        </is>
      </c>
    </row>
    <row r="177" ht="13.5" customHeight="1" s="1232">
      <c r="A177" s="1413" t="n">
        <v>43048</v>
      </c>
      <c r="B177" s="1255" t="inlineStr">
        <is>
          <t>Robert Smith</t>
        </is>
      </c>
      <c r="C177" s="1255" t="inlineStr">
        <is>
          <t>courses/masterclasses</t>
        </is>
      </c>
      <c r="D177" s="1260" t="inlineStr">
        <is>
          <t>Stripe</t>
        </is>
      </c>
      <c r="E177" s="1256" t="n">
        <v>200</v>
      </c>
      <c r="F177" s="1260" t="inlineStr">
        <is>
          <t>4wk Beginners</t>
        </is>
      </c>
      <c r="G177" s="1260" t="inlineStr">
        <is>
          <t>Existing</t>
        </is>
      </c>
    </row>
    <row r="178" ht="13.5" customHeight="1" s="1232">
      <c r="A178" s="1413" t="n">
        <v>43048</v>
      </c>
      <c r="B178" s="1260" t="inlineStr">
        <is>
          <t>Stacey Jones</t>
        </is>
      </c>
      <c r="C178" s="1255" t="inlineStr">
        <is>
          <t>courses/masterclasses</t>
        </is>
      </c>
      <c r="D178" s="1260" t="inlineStr">
        <is>
          <t>Stripe</t>
        </is>
      </c>
      <c r="E178" s="1256" t="n">
        <v>30</v>
      </c>
      <c r="F178" s="1260" t="inlineStr">
        <is>
          <t>Intro Class</t>
        </is>
      </c>
      <c r="G178" s="1260" t="inlineStr">
        <is>
          <t>Google</t>
        </is>
      </c>
    </row>
    <row r="179" ht="13.5" customHeight="1" s="1232">
      <c r="A179" s="1413" t="n">
        <v>43048</v>
      </c>
      <c r="B179" s="1260" t="inlineStr">
        <is>
          <t>Stacey Jones</t>
        </is>
      </c>
      <c r="C179" s="1255" t="inlineStr">
        <is>
          <t>courses/masterclasses</t>
        </is>
      </c>
      <c r="D179" s="1260" t="inlineStr">
        <is>
          <t>Stripe</t>
        </is>
      </c>
      <c r="E179" s="1256" t="n">
        <v>100</v>
      </c>
      <c r="F179" s="1260" t="inlineStr">
        <is>
          <t>4wk Beginners</t>
        </is>
      </c>
      <c r="G179" s="1260" t="inlineStr">
        <is>
          <t>Google</t>
        </is>
      </c>
    </row>
    <row r="180" ht="13.5" customHeight="1" s="1232">
      <c r="A180" s="1413" t="n">
        <v>43047</v>
      </c>
      <c r="B180" s="1255" t="inlineStr">
        <is>
          <t>Nadine Pratt</t>
        </is>
      </c>
      <c r="C180" s="1255" t="inlineStr">
        <is>
          <t>courses/masterclasses</t>
        </is>
      </c>
      <c r="D180" s="1260" t="inlineStr">
        <is>
          <t>Bank</t>
        </is>
      </c>
      <c r="E180" s="1256" t="n">
        <v>65</v>
      </c>
      <c r="F180" s="1260" t="inlineStr">
        <is>
          <t>5wk Course</t>
        </is>
      </c>
      <c r="G180" s="1260" t="inlineStr">
        <is>
          <t>Google</t>
        </is>
      </c>
    </row>
    <row r="181" ht="13.5" customHeight="1" s="1232">
      <c r="A181" s="1413" t="n">
        <v>43047</v>
      </c>
      <c r="B181" s="1260" t="inlineStr">
        <is>
          <t>Janet Boulter</t>
        </is>
      </c>
      <c r="C181" s="1255" t="inlineStr">
        <is>
          <t>courses/masterclasses</t>
        </is>
      </c>
      <c r="D181" s="1260" t="inlineStr">
        <is>
          <t>PayPal</t>
        </is>
      </c>
      <c r="E181" s="1256" t="n">
        <v>100</v>
      </c>
      <c r="F181" s="1260" t="inlineStr">
        <is>
          <t>Various</t>
        </is>
      </c>
      <c r="G181" s="1260" t="inlineStr">
        <is>
          <t>Existing</t>
        </is>
      </c>
    </row>
    <row r="182" ht="13.5" customHeight="1" s="1232">
      <c r="A182" s="1413" t="n">
        <v>43047</v>
      </c>
      <c r="B182" s="1255" t="inlineStr">
        <is>
          <t>Nadine Pratt</t>
        </is>
      </c>
      <c r="C182" s="1255" t="inlineStr">
        <is>
          <t>workshops</t>
        </is>
      </c>
      <c r="D182" s="1260" t="inlineStr">
        <is>
          <t>Stripe</t>
        </is>
      </c>
      <c r="E182" s="1256" t="n">
        <v>225.8</v>
      </c>
      <c r="F182" s="1260" t="inlineStr">
        <is>
          <t>Various</t>
        </is>
      </c>
      <c r="G182" s="1260" t="inlineStr">
        <is>
          <t>Google</t>
        </is>
      </c>
    </row>
    <row r="183" ht="13.5" customHeight="1" s="1232">
      <c r="A183" s="1413" t="n">
        <v>43046</v>
      </c>
      <c r="B183" s="1260" t="inlineStr">
        <is>
          <t>Donna Glaister</t>
        </is>
      </c>
      <c r="C183" s="1255" t="inlineStr">
        <is>
          <t>courses/masterclasses</t>
        </is>
      </c>
      <c r="D183" s="1255" t="inlineStr">
        <is>
          <t>Groupon</t>
        </is>
      </c>
      <c r="E183" s="1256" t="n">
        <v>13</v>
      </c>
      <c r="F183" s="1255" t="inlineStr">
        <is>
          <t>Intro Class</t>
        </is>
      </c>
      <c r="G183" s="1255" t="inlineStr">
        <is>
          <t>Groupon</t>
        </is>
      </c>
    </row>
    <row r="184" ht="13.5" customHeight="1" s="1232">
      <c r="A184" s="1413" t="n">
        <v>43046</v>
      </c>
      <c r="B184" s="1255" t="inlineStr">
        <is>
          <t>Owen Deneny</t>
        </is>
      </c>
      <c r="C184" s="1255" t="inlineStr">
        <is>
          <t>courses/masterclasses</t>
        </is>
      </c>
      <c r="D184" s="1260" t="inlineStr">
        <is>
          <t>Bank</t>
        </is>
      </c>
      <c r="E184" s="1256" t="n">
        <v>117.5</v>
      </c>
      <c r="F184" s="1260" t="inlineStr">
        <is>
          <t>4wk Beginners</t>
        </is>
      </c>
      <c r="G184" s="1260" t="inlineStr">
        <is>
          <t>Google</t>
        </is>
      </c>
    </row>
    <row r="185" ht="13.5" customHeight="1" s="1232">
      <c r="A185" s="1413" t="n">
        <v>43040</v>
      </c>
      <c r="B185" s="1255" t="inlineStr">
        <is>
          <t>Charlotte Kaye</t>
        </is>
      </c>
      <c r="C185" s="1255" t="inlineStr">
        <is>
          <t>courses/masterclasses</t>
        </is>
      </c>
      <c r="D185" s="1255" t="inlineStr">
        <is>
          <t>PayPal</t>
        </is>
      </c>
      <c r="E185" s="1256" t="n">
        <v>60</v>
      </c>
      <c r="F185" s="1255" t="inlineStr">
        <is>
          <t>Intro Class</t>
        </is>
      </c>
      <c r="G185" s="1255" t="inlineStr">
        <is>
          <t>Google</t>
        </is>
      </c>
    </row>
    <row r="186" ht="13.5" customHeight="1" s="1232">
      <c r="A186" s="1413" t="n">
        <v>43040</v>
      </c>
      <c r="B186" s="1260" t="inlineStr">
        <is>
          <t>Nov Pick N Mix</t>
        </is>
      </c>
      <c r="C186" s="1255" t="inlineStr">
        <is>
          <t>pick n mix</t>
        </is>
      </c>
      <c r="D186" s="1255" t="inlineStr">
        <is>
          <t>Various</t>
        </is>
      </c>
      <c r="E186" s="1256" t="n">
        <v>615</v>
      </c>
      <c r="F186" s="1255" t="inlineStr">
        <is>
          <t>Pick N Mix Payments</t>
        </is>
      </c>
      <c r="G186" s="1255" t="inlineStr">
        <is>
          <t>Existing</t>
        </is>
      </c>
    </row>
    <row r="187" ht="13.5" customHeight="1" s="1232">
      <c r="A187" s="1413" t="n">
        <v>43040</v>
      </c>
      <c r="B187" s="1260" t="inlineStr">
        <is>
          <t>Nov Mentoring</t>
        </is>
      </c>
      <c r="C187" s="1255" t="inlineStr">
        <is>
          <t>mentoring</t>
        </is>
      </c>
      <c r="D187" s="1255" t="inlineStr">
        <is>
          <t>Various</t>
        </is>
      </c>
      <c r="E187" s="1256" t="n">
        <v>80</v>
      </c>
      <c r="F187" s="1255" t="inlineStr">
        <is>
          <t>Mentoring Subs</t>
        </is>
      </c>
      <c r="G187" s="1255" t="inlineStr">
        <is>
          <t>Existing</t>
        </is>
      </c>
    </row>
    <row r="188" ht="13.5" customHeight="1" s="1232">
      <c r="A188" s="1413" t="n">
        <v>43040</v>
      </c>
      <c r="B188" s="1255" t="inlineStr">
        <is>
          <t>Xposure Fees</t>
        </is>
      </c>
      <c r="C188" s="1255" t="inlineStr">
        <is>
          <t>courses/masterclasses</t>
        </is>
      </c>
      <c r="D188" s="1255" t="inlineStr">
        <is>
          <t>Bank</t>
        </is>
      </c>
      <c r="E188" s="1256" t="n">
        <v>2493</v>
      </c>
      <c r="F188" s="1255" t="inlineStr">
        <is>
          <t>Xposure</t>
        </is>
      </c>
      <c r="G188" s="1255" t="inlineStr">
        <is>
          <t>Existing</t>
        </is>
      </c>
    </row>
    <row r="189" ht="13.5" customHeight="1" s="1232">
      <c r="A189" s="1413" t="n"/>
    </row>
    <row r="190" ht="13.5" customHeight="1" s="1232">
      <c r="A190" s="1413" t="n">
        <v>43037</v>
      </c>
      <c r="B190" s="1255" t="inlineStr">
        <is>
          <t>Rebecca Teague</t>
        </is>
      </c>
      <c r="C190" s="1255" t="inlineStr">
        <is>
          <t>workshops</t>
        </is>
      </c>
      <c r="D190" s="1255" t="inlineStr">
        <is>
          <t>Stripe</t>
        </is>
      </c>
      <c r="E190" s="1256" t="n">
        <v>66.8</v>
      </c>
      <c r="F190" s="1255" t="inlineStr">
        <is>
          <t>Poppies</t>
        </is>
      </c>
      <c r="G190" s="1255" t="inlineStr">
        <is>
          <t>Existing</t>
        </is>
      </c>
    </row>
    <row r="191" ht="13.5" customHeight="1" s="1232">
      <c r="A191" s="1413" t="n">
        <v>43035</v>
      </c>
      <c r="B191" s="1255" t="inlineStr">
        <is>
          <t>Gemma Proctor</t>
        </is>
      </c>
      <c r="C191" s="1255" t="inlineStr">
        <is>
          <t>workshops</t>
        </is>
      </c>
      <c r="D191" s="1255" t="inlineStr">
        <is>
          <t>PayPal</t>
        </is>
      </c>
      <c r="E191" s="1256" t="n">
        <v>73.34999999999999</v>
      </c>
      <c r="F191" s="1255" t="inlineStr">
        <is>
          <t>Xmas Sparkle</t>
        </is>
      </c>
      <c r="G191" s="1255" t="inlineStr">
        <is>
          <t>Google</t>
        </is>
      </c>
    </row>
    <row r="192" ht="13.5" customHeight="1" s="1232">
      <c r="A192" s="1413" t="n">
        <v>43035</v>
      </c>
      <c r="B192" s="1255" t="inlineStr">
        <is>
          <t>Gill Cartwright</t>
        </is>
      </c>
      <c r="C192" s="1255" t="inlineStr">
        <is>
          <t>workshops</t>
        </is>
      </c>
      <c r="D192" s="1255" t="inlineStr">
        <is>
          <t>PayPal</t>
        </is>
      </c>
      <c r="E192" s="1256" t="n">
        <v>100.8</v>
      </c>
      <c r="F192" s="1255" t="inlineStr">
        <is>
          <t>Batsford</t>
        </is>
      </c>
      <c r="G192" s="1255" t="inlineStr">
        <is>
          <t>Google</t>
        </is>
      </c>
    </row>
    <row r="193" ht="13.5" customHeight="1" s="1232">
      <c r="A193" s="1413" t="n">
        <v>43035</v>
      </c>
      <c r="B193" s="1255" t="inlineStr">
        <is>
          <t>sharron kerr</t>
        </is>
      </c>
      <c r="C193" s="1255" t="inlineStr">
        <is>
          <t>workshops</t>
        </is>
      </c>
      <c r="D193" s="1255" t="inlineStr">
        <is>
          <t>PayPal</t>
        </is>
      </c>
      <c r="E193" s="1256" t="n">
        <v>66.8</v>
      </c>
      <c r="F193" s="1255" t="inlineStr">
        <is>
          <t>Fireworks</t>
        </is>
      </c>
      <c r="G193" s="1255" t="inlineStr">
        <is>
          <t>Google</t>
        </is>
      </c>
    </row>
    <row r="194" ht="13.5" customHeight="1" s="1232">
      <c r="A194" s="1413" t="n">
        <v>43035</v>
      </c>
      <c r="B194" s="1255" t="inlineStr">
        <is>
          <t>Marvin Epton - ELS</t>
        </is>
      </c>
      <c r="C194" s="1255" t="inlineStr">
        <is>
          <t>courses/masterclasses</t>
        </is>
      </c>
      <c r="D194" s="1255" t="inlineStr">
        <is>
          <t>Bank</t>
        </is>
      </c>
      <c r="E194" s="1256" t="n">
        <v>200</v>
      </c>
      <c r="F194" s="1255" t="inlineStr">
        <is>
          <t>5wk Course</t>
        </is>
      </c>
      <c r="G194" s="1255" t="inlineStr">
        <is>
          <t>ELS</t>
        </is>
      </c>
    </row>
    <row r="195" ht="13.5" customHeight="1" s="1232">
      <c r="A195" s="1413" t="n">
        <v>43035</v>
      </c>
      <c r="B195" s="1255" t="inlineStr">
        <is>
          <t>Aidan Broderick - ELS</t>
        </is>
      </c>
      <c r="C195" s="1255" t="inlineStr">
        <is>
          <t>courses/masterclasses</t>
        </is>
      </c>
      <c r="D195" s="1255" t="inlineStr">
        <is>
          <t>Bank</t>
        </is>
      </c>
      <c r="E195" s="1256" t="n">
        <v>200</v>
      </c>
      <c r="F195" s="1255" t="inlineStr">
        <is>
          <t>5wk Course</t>
        </is>
      </c>
      <c r="G195" s="1255" t="inlineStr">
        <is>
          <t>ELS</t>
        </is>
      </c>
    </row>
    <row r="196" ht="13.5" customHeight="1" s="1232">
      <c r="A196" s="1413" t="n">
        <v>43034</v>
      </c>
      <c r="B196" s="1255" t="inlineStr">
        <is>
          <t>Marius Ciobanu -ELS</t>
        </is>
      </c>
      <c r="C196" s="1255" t="inlineStr">
        <is>
          <t>courses/masterclasses</t>
        </is>
      </c>
      <c r="D196" s="1255" t="inlineStr">
        <is>
          <t>Bank</t>
        </is>
      </c>
      <c r="E196" s="1256" t="n">
        <v>200</v>
      </c>
      <c r="F196" s="1255" t="inlineStr">
        <is>
          <t>5wk Course</t>
        </is>
      </c>
      <c r="G196" s="1255" t="inlineStr">
        <is>
          <t>ELS</t>
        </is>
      </c>
    </row>
    <row r="197" ht="13.5" customHeight="1" s="1232">
      <c r="A197" s="1413" t="n">
        <v>43032</v>
      </c>
      <c r="B197" s="1255" t="inlineStr">
        <is>
          <t>Kerry Bottomley</t>
        </is>
      </c>
      <c r="C197" s="1255" t="inlineStr">
        <is>
          <t>workshops</t>
        </is>
      </c>
      <c r="D197" s="1255" t="inlineStr">
        <is>
          <t>PayPal</t>
        </is>
      </c>
      <c r="E197" s="1256" t="n">
        <v>151.8</v>
      </c>
      <c r="F197" s="1255" t="inlineStr">
        <is>
          <t>Batsford</t>
        </is>
      </c>
      <c r="G197" s="1255" t="inlineStr">
        <is>
          <t>Batsford</t>
        </is>
      </c>
    </row>
    <row r="198" ht="13.5" customHeight="1" s="1232">
      <c r="A198" s="1413" t="n">
        <v>43031</v>
      </c>
      <c r="B198" s="1255" t="inlineStr">
        <is>
          <t>Richard Wardle - ELS</t>
        </is>
      </c>
      <c r="C198" s="1255" t="inlineStr">
        <is>
          <t>courses/masterclasses</t>
        </is>
      </c>
      <c r="D198" s="1255" t="inlineStr">
        <is>
          <t>Bank</t>
        </is>
      </c>
      <c r="E198" s="1256" t="n">
        <v>275</v>
      </c>
      <c r="F198" s="1255" t="inlineStr">
        <is>
          <t>Intentions Course</t>
        </is>
      </c>
      <c r="G198" s="1255" t="inlineStr">
        <is>
          <t>ELS</t>
        </is>
      </c>
    </row>
    <row r="199" ht="13.5" customHeight="1" s="1232">
      <c r="A199" s="1413" t="n">
        <v>43030</v>
      </c>
      <c r="B199" s="1255" t="inlineStr">
        <is>
          <t>Lawrence Peach</t>
        </is>
      </c>
      <c r="C199" s="1255" t="inlineStr">
        <is>
          <t>courses/masterclasses</t>
        </is>
      </c>
      <c r="D199" s="1255" t="inlineStr">
        <is>
          <t>Groupon</t>
        </is>
      </c>
      <c r="E199" s="1256" t="n">
        <v>13</v>
      </c>
      <c r="F199" s="1255" t="inlineStr">
        <is>
          <t>Intro Class</t>
        </is>
      </c>
      <c r="G199" s="1255" t="inlineStr">
        <is>
          <t>Groupon</t>
        </is>
      </c>
    </row>
    <row r="200" ht="13.5" customHeight="1" s="1232">
      <c r="A200" s="1413" t="n">
        <v>43030</v>
      </c>
      <c r="B200" s="1255" t="inlineStr">
        <is>
          <t>Steven Skidmore</t>
        </is>
      </c>
      <c r="C200" s="1255" t="inlineStr">
        <is>
          <t>courses/masterclasses</t>
        </is>
      </c>
      <c r="D200" s="1255" t="inlineStr">
        <is>
          <t>Groupon</t>
        </is>
      </c>
      <c r="E200" s="1256" t="n">
        <v>13</v>
      </c>
      <c r="F200" s="1255" t="inlineStr">
        <is>
          <t>Intro Class</t>
        </is>
      </c>
      <c r="G200" s="1255" t="inlineStr">
        <is>
          <t>Groupon</t>
        </is>
      </c>
    </row>
    <row r="201" ht="13.5" customHeight="1" s="1232">
      <c r="A201" s="1413" t="n">
        <v>43030</v>
      </c>
      <c r="B201" s="1255" t="inlineStr">
        <is>
          <t>Helen Finch</t>
        </is>
      </c>
      <c r="C201" s="1255" t="inlineStr">
        <is>
          <t>courses/masterclasses</t>
        </is>
      </c>
      <c r="D201" s="1255" t="inlineStr">
        <is>
          <t>Bank</t>
        </is>
      </c>
      <c r="E201" s="1256" t="n">
        <v>380</v>
      </c>
      <c r="F201" s="1255" t="inlineStr">
        <is>
          <t>5wk Course</t>
        </is>
      </c>
      <c r="G201" s="1255" t="inlineStr">
        <is>
          <t>ELS</t>
        </is>
      </c>
    </row>
    <row r="202" ht="13.5" customHeight="1" s="1232">
      <c r="A202" s="1413" t="n">
        <v>43027</v>
      </c>
      <c r="B202" s="1255" t="inlineStr">
        <is>
          <t>Mike Ford</t>
        </is>
      </c>
      <c r="C202" s="1255" t="inlineStr">
        <is>
          <t>other</t>
        </is>
      </c>
      <c r="D202" s="1255" t="inlineStr">
        <is>
          <t>PayPal</t>
        </is>
      </c>
      <c r="E202" s="1256" t="n">
        <v>30</v>
      </c>
      <c r="F202" s="1255" t="inlineStr">
        <is>
          <t>Forum</t>
        </is>
      </c>
      <c r="G202" s="1255" t="inlineStr">
        <is>
          <t>Existing</t>
        </is>
      </c>
    </row>
    <row r="203" ht="13.5" customHeight="1" s="1232">
      <c r="A203" s="1413" t="n">
        <v>43027</v>
      </c>
      <c r="B203" s="1255" t="inlineStr">
        <is>
          <t>Owen Deneny</t>
        </is>
      </c>
      <c r="C203" s="1255" t="inlineStr">
        <is>
          <t>courses/masterclasses</t>
        </is>
      </c>
      <c r="D203" s="1255" t="inlineStr">
        <is>
          <t>Bank</t>
        </is>
      </c>
      <c r="E203" s="1256" t="n">
        <v>117.5</v>
      </c>
      <c r="F203" s="1255" t="inlineStr">
        <is>
          <t>5wk Course</t>
        </is>
      </c>
      <c r="G203" s="1255" t="inlineStr">
        <is>
          <t>Google</t>
        </is>
      </c>
    </row>
    <row r="204" ht="13.5" customHeight="1" s="1232">
      <c r="A204" s="1413" t="n">
        <v>43026</v>
      </c>
      <c r="B204" s="1255" t="inlineStr">
        <is>
          <t>Chris Johnson</t>
        </is>
      </c>
      <c r="C204" s="1255" t="inlineStr">
        <is>
          <t>workshops</t>
        </is>
      </c>
      <c r="D204" s="1255" t="inlineStr">
        <is>
          <t>Stripe</t>
        </is>
      </c>
      <c r="E204" s="1256" t="n">
        <v>151.8</v>
      </c>
      <c r="F204" s="1255" t="inlineStr">
        <is>
          <t>Batsford</t>
        </is>
      </c>
      <c r="G204" s="1255" t="inlineStr">
        <is>
          <t>Existing</t>
        </is>
      </c>
    </row>
    <row r="205" ht="13.5" customHeight="1" s="1232">
      <c r="A205" s="1413" t="n">
        <v>43026</v>
      </c>
      <c r="B205" s="1255" t="inlineStr">
        <is>
          <t>Johanna Stansfield</t>
        </is>
      </c>
      <c r="C205" s="1255" t="inlineStr">
        <is>
          <t>workshops</t>
        </is>
      </c>
      <c r="D205" s="1255" t="inlineStr">
        <is>
          <t>Stripe</t>
        </is>
      </c>
      <c r="E205" s="1256" t="n">
        <v>151.8</v>
      </c>
      <c r="F205" s="1255" t="inlineStr">
        <is>
          <t>Batsford</t>
        </is>
      </c>
      <c r="G205" s="1255" t="inlineStr">
        <is>
          <t>Existing</t>
        </is>
      </c>
    </row>
    <row r="206" ht="13.5" customHeight="1" s="1232">
      <c r="A206" s="1413" t="n">
        <v>43026</v>
      </c>
      <c r="B206" s="1255" t="inlineStr">
        <is>
          <t>David Ainsbury</t>
        </is>
      </c>
      <c r="C206" s="1255" t="inlineStr">
        <is>
          <t>workshops</t>
        </is>
      </c>
      <c r="D206" s="1255" t="inlineStr">
        <is>
          <t>PayPal</t>
        </is>
      </c>
      <c r="E206" s="1256" t="n">
        <v>99</v>
      </c>
      <c r="F206" s="1255" t="inlineStr">
        <is>
          <t>Batsford</t>
        </is>
      </c>
      <c r="G206" s="1255" t="inlineStr">
        <is>
          <t>Batsford</t>
        </is>
      </c>
    </row>
    <row r="207" ht="13.5" customHeight="1" s="1232">
      <c r="A207" s="1413" t="n">
        <v>43026</v>
      </c>
      <c r="B207" s="1255" t="inlineStr">
        <is>
          <t>Janet Roberts</t>
        </is>
      </c>
      <c r="C207" s="1255" t="inlineStr">
        <is>
          <t>courses/masterclasses</t>
        </is>
      </c>
      <c r="D207" s="1255" t="inlineStr">
        <is>
          <t>Bank</t>
        </is>
      </c>
      <c r="E207" s="1256" t="n">
        <v>175</v>
      </c>
      <c r="F207" s="1255" t="inlineStr">
        <is>
          <t>Lightroom Course</t>
        </is>
      </c>
      <c r="G207" s="1255" t="inlineStr">
        <is>
          <t>Existing</t>
        </is>
      </c>
    </row>
    <row r="208" ht="13.5" customHeight="1" s="1232">
      <c r="A208" s="1413" t="n">
        <v>43026</v>
      </c>
      <c r="B208" s="1255" t="inlineStr">
        <is>
          <t>Janice Jordon</t>
        </is>
      </c>
      <c r="C208" s="1255" t="inlineStr">
        <is>
          <t>workshops</t>
        </is>
      </c>
      <c r="D208" s="1255" t="inlineStr">
        <is>
          <t>Bank</t>
        </is>
      </c>
      <c r="E208" s="1256" t="n">
        <v>150</v>
      </c>
      <c r="F208" s="1255" t="inlineStr">
        <is>
          <t>Batsford</t>
        </is>
      </c>
      <c r="G208" s="1255" t="inlineStr">
        <is>
          <t>Existing</t>
        </is>
      </c>
    </row>
    <row r="209" ht="13.5" customHeight="1" s="1232">
      <c r="A209" s="1413" t="n">
        <v>43026</v>
      </c>
      <c r="B209" s="1255" t="inlineStr">
        <is>
          <t>Chris Parker</t>
        </is>
      </c>
      <c r="C209" s="1255" t="inlineStr">
        <is>
          <t>workshops</t>
        </is>
      </c>
      <c r="D209" s="1255" t="inlineStr">
        <is>
          <t>Bank</t>
        </is>
      </c>
      <c r="E209" s="1256" t="n">
        <v>150</v>
      </c>
      <c r="F209" s="1255" t="inlineStr">
        <is>
          <t>Batsford</t>
        </is>
      </c>
      <c r="G209" s="1255" t="inlineStr">
        <is>
          <t>Existing</t>
        </is>
      </c>
    </row>
    <row r="210" ht="13.5" customHeight="1" s="1232">
      <c r="A210" s="1413" t="n">
        <v>43025</v>
      </c>
      <c r="B210" s="1255" t="inlineStr">
        <is>
          <t>Owen Deneny</t>
        </is>
      </c>
      <c r="C210" s="1255" t="inlineStr">
        <is>
          <t>courses/masterclasses</t>
        </is>
      </c>
      <c r="D210" s="1255" t="inlineStr">
        <is>
          <t>PayPal</t>
        </is>
      </c>
      <c r="E210" s="1256" t="n">
        <v>30</v>
      </c>
      <c r="F210" s="1255" t="inlineStr">
        <is>
          <t>Intro Class</t>
        </is>
      </c>
      <c r="G210" s="1255" t="inlineStr">
        <is>
          <t>Google</t>
        </is>
      </c>
    </row>
    <row r="211" ht="13.5" customHeight="1" s="1232">
      <c r="A211" s="1413" t="n">
        <v>43024</v>
      </c>
      <c r="B211" s="1255" t="inlineStr">
        <is>
          <t>Shen Xiang -ELS</t>
        </is>
      </c>
      <c r="C211" s="1255" t="inlineStr">
        <is>
          <t>courses/masterclasses</t>
        </is>
      </c>
      <c r="D211" s="1255" t="inlineStr">
        <is>
          <t>Bank</t>
        </is>
      </c>
      <c r="E211" s="1256" t="n">
        <v>65</v>
      </c>
      <c r="F211" s="1255" t="inlineStr">
        <is>
          <t>5wk Course</t>
        </is>
      </c>
      <c r="G211" s="1255" t="inlineStr">
        <is>
          <t>ELS</t>
        </is>
      </c>
    </row>
    <row r="212" ht="13.5" customHeight="1" s="1232">
      <c r="A212" s="1413" t="n">
        <v>43024</v>
      </c>
      <c r="B212" s="1255" t="inlineStr">
        <is>
          <t>Ashwyn Dhir</t>
        </is>
      </c>
      <c r="C212" s="1255" t="inlineStr">
        <is>
          <t>courses/masterclasses</t>
        </is>
      </c>
      <c r="D212" s="1255" t="inlineStr">
        <is>
          <t>Bank</t>
        </is>
      </c>
      <c r="E212" s="1256" t="n">
        <v>65</v>
      </c>
      <c r="F212" s="1255" t="inlineStr">
        <is>
          <t>5wk Course</t>
        </is>
      </c>
      <c r="G212" s="1255" t="inlineStr">
        <is>
          <t>ELS</t>
        </is>
      </c>
    </row>
    <row r="213" ht="13.5" customHeight="1" s="1232">
      <c r="A213" s="1413" t="n">
        <v>43024</v>
      </c>
      <c r="B213" s="1255" t="inlineStr">
        <is>
          <t>Karen Smith</t>
        </is>
      </c>
      <c r="C213" s="1255" t="inlineStr">
        <is>
          <t>workshops</t>
        </is>
      </c>
      <c r="D213" s="1255" t="inlineStr">
        <is>
          <t>Stripe</t>
        </is>
      </c>
      <c r="E213" s="1256" t="n">
        <v>200.4</v>
      </c>
      <c r="F213" s="1255" t="inlineStr">
        <is>
          <t>Batsford</t>
        </is>
      </c>
      <c r="G213" s="1255" t="inlineStr">
        <is>
          <t>Batsford</t>
        </is>
      </c>
    </row>
    <row r="214" ht="13.5" customHeight="1" s="1232">
      <c r="A214" s="1413" t="n">
        <v>43022</v>
      </c>
      <c r="B214" s="1255" t="inlineStr">
        <is>
          <t>Virginia Mason</t>
        </is>
      </c>
      <c r="C214" s="1255" t="inlineStr">
        <is>
          <t>workshops</t>
        </is>
      </c>
      <c r="D214" s="1255" t="inlineStr">
        <is>
          <t>Stripe</t>
        </is>
      </c>
      <c r="E214" s="1256" t="n">
        <v>100.8</v>
      </c>
      <c r="F214" s="1255" t="inlineStr">
        <is>
          <t>Batsford</t>
        </is>
      </c>
      <c r="G214" s="1255" t="inlineStr">
        <is>
          <t>Other</t>
        </is>
      </c>
    </row>
    <row r="215" ht="13.5" customHeight="1" s="1232">
      <c r="A215" s="1413" t="n">
        <v>43022</v>
      </c>
      <c r="B215" s="1255" t="inlineStr">
        <is>
          <t>Des Watkins</t>
        </is>
      </c>
      <c r="C215" s="1255" t="inlineStr">
        <is>
          <t>workshops</t>
        </is>
      </c>
      <c r="D215" s="1255" t="inlineStr">
        <is>
          <t>Stripe</t>
        </is>
      </c>
      <c r="E215" s="1256" t="n">
        <v>151.8</v>
      </c>
      <c r="F215" s="1255" t="inlineStr">
        <is>
          <t>Batsford</t>
        </is>
      </c>
      <c r="G215" s="1255" t="inlineStr">
        <is>
          <t>Existing</t>
        </is>
      </c>
    </row>
    <row r="216" ht="13.5" customHeight="1" s="1232">
      <c r="A216" s="1413" t="n">
        <v>43020</v>
      </c>
      <c r="B216" s="1255" t="inlineStr">
        <is>
          <t>Jonathan McCaughan  ELS</t>
        </is>
      </c>
      <c r="C216" s="1255" t="inlineStr">
        <is>
          <t>courses/masterclasses</t>
        </is>
      </c>
      <c r="D216" s="1255" t="inlineStr">
        <is>
          <t>Bank</t>
        </is>
      </c>
      <c r="E216" s="1256" t="n">
        <v>100</v>
      </c>
      <c r="F216" s="1255" t="inlineStr">
        <is>
          <t>5wk Course</t>
        </is>
      </c>
      <c r="G216" s="1255" t="inlineStr">
        <is>
          <t>ELS</t>
        </is>
      </c>
    </row>
    <row r="217" ht="13.5" customHeight="1" s="1232">
      <c r="A217" s="1413" t="n">
        <v>43020</v>
      </c>
      <c r="B217" s="1255" t="inlineStr">
        <is>
          <t>Jonathan McCaughan  ELS</t>
        </is>
      </c>
      <c r="C217" s="1255" t="inlineStr">
        <is>
          <t>courses/masterclasses</t>
        </is>
      </c>
      <c r="D217" s="1255" t="inlineStr">
        <is>
          <t>Bank</t>
        </is>
      </c>
      <c r="E217" s="1256" t="n">
        <v>230</v>
      </c>
      <c r="F217" s="1255" t="inlineStr">
        <is>
          <t>5wk Course</t>
        </is>
      </c>
      <c r="G217" s="1255" t="inlineStr">
        <is>
          <t>ELS</t>
        </is>
      </c>
    </row>
    <row r="218" ht="13.5" customHeight="1" s="1232">
      <c r="A218" s="1413" t="n">
        <v>43020</v>
      </c>
      <c r="B218" s="1255" t="inlineStr">
        <is>
          <t>Lee Clarke</t>
        </is>
      </c>
      <c r="C218" s="1255" t="inlineStr">
        <is>
          <t>1-2-1</t>
        </is>
      </c>
      <c r="D218" s="1255" t="inlineStr">
        <is>
          <t>Stripe</t>
        </is>
      </c>
      <c r="E218" s="1256" t="n">
        <v>195</v>
      </c>
      <c r="F218" s="1389" t="inlineStr">
        <is>
          <t>1-2-1 Lightroom</t>
        </is>
      </c>
      <c r="G218" s="1255" t="inlineStr">
        <is>
          <t>Existing</t>
        </is>
      </c>
    </row>
    <row r="219" ht="13.5" customHeight="1" s="1232">
      <c r="A219" s="1413" t="n">
        <v>43019</v>
      </c>
      <c r="B219" s="1255" t="inlineStr">
        <is>
          <t>Nikita Da Cunha</t>
        </is>
      </c>
      <c r="C219" s="1255" t="inlineStr">
        <is>
          <t>courses/masterclasses</t>
        </is>
      </c>
      <c r="D219" s="1255" t="inlineStr">
        <is>
          <t>Groupon</t>
        </is>
      </c>
      <c r="E219" s="1256" t="n">
        <v>13</v>
      </c>
      <c r="F219" s="1255" t="inlineStr">
        <is>
          <t>Intro Class</t>
        </is>
      </c>
      <c r="G219" s="1255" t="inlineStr">
        <is>
          <t>Groupon</t>
        </is>
      </c>
    </row>
    <row r="220" ht="13.5" customHeight="1" s="1232">
      <c r="A220" s="1413" t="n">
        <v>43019</v>
      </c>
      <c r="B220" s="1255" t="inlineStr">
        <is>
          <t>Vijaytha Murali</t>
        </is>
      </c>
      <c r="C220" s="1255" t="inlineStr">
        <is>
          <t>courses/masterclasses</t>
        </is>
      </c>
      <c r="D220" s="1255" t="inlineStr">
        <is>
          <t>Groupon</t>
        </is>
      </c>
      <c r="E220" s="1256" t="n">
        <v>13</v>
      </c>
      <c r="F220" s="1255" t="inlineStr">
        <is>
          <t>Intro Class</t>
        </is>
      </c>
      <c r="G220" s="1255" t="inlineStr">
        <is>
          <t>Groupon</t>
        </is>
      </c>
    </row>
    <row r="221" ht="13.5" customHeight="1" s="1232">
      <c r="A221" s="1413" t="n">
        <v>43019</v>
      </c>
      <c r="B221" s="1255" t="inlineStr">
        <is>
          <t>Michael Tombs</t>
        </is>
      </c>
      <c r="C221" s="1255" t="inlineStr">
        <is>
          <t>workshops</t>
        </is>
      </c>
      <c r="D221" s="1255" t="inlineStr">
        <is>
          <t>Stripe</t>
        </is>
      </c>
      <c r="E221" s="1256" t="n">
        <v>151.8</v>
      </c>
      <c r="F221" s="1255" t="inlineStr">
        <is>
          <t>Batsford</t>
        </is>
      </c>
      <c r="G221" s="1255" t="inlineStr">
        <is>
          <t>Existing</t>
        </is>
      </c>
    </row>
    <row r="222" ht="13.5" customHeight="1" s="1232">
      <c r="A222" s="1413" t="n">
        <v>43018</v>
      </c>
      <c r="B222" s="1255" t="inlineStr">
        <is>
          <t>Anne Spackman</t>
        </is>
      </c>
      <c r="C222" s="1255" t="inlineStr">
        <is>
          <t>workshops</t>
        </is>
      </c>
      <c r="D222" s="1255" t="inlineStr">
        <is>
          <t>Stripe</t>
        </is>
      </c>
      <c r="E222" s="1256" t="n">
        <v>100.8</v>
      </c>
      <c r="F222" s="1255" t="inlineStr">
        <is>
          <t>Batsford</t>
        </is>
      </c>
      <c r="G222" s="1255" t="inlineStr">
        <is>
          <t>Other</t>
        </is>
      </c>
    </row>
    <row r="223" ht="13.5" customHeight="1" s="1232">
      <c r="A223" s="1413" t="n">
        <v>43018</v>
      </c>
      <c r="B223" s="1255" t="inlineStr">
        <is>
          <t>Janice Jordon</t>
        </is>
      </c>
      <c r="C223" s="1255" t="inlineStr">
        <is>
          <t>workshops</t>
        </is>
      </c>
      <c r="D223" s="1255" t="inlineStr">
        <is>
          <t>Bank</t>
        </is>
      </c>
      <c r="E223" s="1256" t="n">
        <v>350</v>
      </c>
      <c r="F223" s="1255" t="inlineStr">
        <is>
          <t>France</t>
        </is>
      </c>
      <c r="G223" s="1255" t="inlineStr">
        <is>
          <t>Existing</t>
        </is>
      </c>
    </row>
    <row r="224" ht="13.5" customHeight="1" s="1232">
      <c r="A224" s="1413" t="n">
        <v>43018</v>
      </c>
      <c r="B224" s="1255" t="inlineStr">
        <is>
          <t>Rob Graham</t>
        </is>
      </c>
      <c r="C224" s="1255" t="inlineStr">
        <is>
          <t>courses/masterclasses</t>
        </is>
      </c>
      <c r="D224" s="1255" t="inlineStr">
        <is>
          <t>Bank</t>
        </is>
      </c>
      <c r="E224" s="1256" t="n">
        <v>65</v>
      </c>
      <c r="F224" s="1255" t="inlineStr">
        <is>
          <t>5wk Course</t>
        </is>
      </c>
      <c r="G224" s="1255" t="inlineStr">
        <is>
          <t>ELS</t>
        </is>
      </c>
    </row>
    <row r="225" ht="13.5" customHeight="1" s="1232">
      <c r="A225" s="1413" t="n">
        <v>43017</v>
      </c>
      <c r="B225" s="1255" t="inlineStr">
        <is>
          <t>Laura Byrne</t>
        </is>
      </c>
      <c r="C225" s="1255" t="inlineStr">
        <is>
          <t>1-2-1</t>
        </is>
      </c>
      <c r="D225" s="1255" t="inlineStr">
        <is>
          <t>Stripe</t>
        </is>
      </c>
      <c r="E225" s="1256" t="n">
        <v>50</v>
      </c>
      <c r="F225" s="1255" t="inlineStr">
        <is>
          <t>Panel Review</t>
        </is>
      </c>
      <c r="G225" s="1255" t="inlineStr">
        <is>
          <t>Existing</t>
        </is>
      </c>
    </row>
    <row r="226" ht="13.5" customHeight="1" s="1232">
      <c r="A226" s="1413" t="n">
        <v>43017</v>
      </c>
      <c r="B226" s="1255" t="inlineStr">
        <is>
          <t>Anne Watkinson</t>
        </is>
      </c>
      <c r="C226" s="1255" t="inlineStr">
        <is>
          <t>workshops</t>
        </is>
      </c>
      <c r="D226" s="1255" t="inlineStr">
        <is>
          <t>Stripe</t>
        </is>
      </c>
      <c r="E226" s="1256" t="n">
        <v>166.4</v>
      </c>
      <c r="F226" s="1255" t="inlineStr">
        <is>
          <t>Batsford/Fireworks</t>
        </is>
      </c>
      <c r="G226" s="1255" t="inlineStr">
        <is>
          <t>Existing</t>
        </is>
      </c>
    </row>
    <row r="227" ht="13.5" customHeight="1" s="1232">
      <c r="A227" s="1413" t="n">
        <v>43017</v>
      </c>
      <c r="B227" s="1255" t="inlineStr">
        <is>
          <t>Tony Wright</t>
        </is>
      </c>
      <c r="C227" s="1255" t="inlineStr">
        <is>
          <t>workshops</t>
        </is>
      </c>
      <c r="D227" s="1255" t="inlineStr">
        <is>
          <t>W-Play</t>
        </is>
      </c>
      <c r="E227" s="1256" t="n">
        <v>40</v>
      </c>
      <c r="F227" s="1255" t="inlineStr">
        <is>
          <t>Batsford</t>
        </is>
      </c>
      <c r="G227" s="1255" t="inlineStr">
        <is>
          <t>Batsford</t>
        </is>
      </c>
    </row>
    <row r="228" ht="13.5" customHeight="1" s="1232">
      <c r="A228" s="1413" t="n">
        <v>43017</v>
      </c>
      <c r="B228" s="1255" t="inlineStr">
        <is>
          <t>Julia R A Taylor</t>
        </is>
      </c>
      <c r="C228" s="1255" t="inlineStr">
        <is>
          <t>workshops</t>
        </is>
      </c>
      <c r="D228" s="1255" t="inlineStr">
        <is>
          <t>Stripe</t>
        </is>
      </c>
      <c r="E228" s="1256" t="n">
        <v>200.4</v>
      </c>
      <c r="F228" s="1255" t="inlineStr">
        <is>
          <t>Batsford</t>
        </is>
      </c>
      <c r="G228" s="1255" t="inlineStr">
        <is>
          <t>Batsford</t>
        </is>
      </c>
    </row>
    <row r="229" ht="13.5" customHeight="1" s="1232">
      <c r="A229" s="1413" t="n">
        <v>43016</v>
      </c>
      <c r="B229" s="1255" t="inlineStr">
        <is>
          <t>Carol Stephens</t>
        </is>
      </c>
      <c r="C229" s="1255" t="inlineStr">
        <is>
          <t>courses/masterclasses</t>
        </is>
      </c>
      <c r="D229" s="1255" t="inlineStr">
        <is>
          <t>Stripe</t>
        </is>
      </c>
      <c r="E229" s="1256" t="n">
        <v>30</v>
      </c>
      <c r="F229" s="1255" t="inlineStr">
        <is>
          <t>Intro Class</t>
        </is>
      </c>
      <c r="G229" s="1255" t="inlineStr">
        <is>
          <t>Google</t>
        </is>
      </c>
    </row>
    <row r="230" ht="13.5" customHeight="1" s="1232">
      <c r="A230" s="1413" t="n">
        <v>43016</v>
      </c>
      <c r="B230" s="1255" t="inlineStr">
        <is>
          <t>Harriet Bowley</t>
        </is>
      </c>
      <c r="C230" s="1255" t="inlineStr">
        <is>
          <t>courses/masterclasses</t>
        </is>
      </c>
      <c r="D230" s="1255" t="inlineStr">
        <is>
          <t>PayPal</t>
        </is>
      </c>
      <c r="E230" s="1256" t="n">
        <v>265</v>
      </c>
      <c r="F230" s="1255" t="inlineStr">
        <is>
          <t>Lightroom Course</t>
        </is>
      </c>
      <c r="G230" s="1255" t="inlineStr">
        <is>
          <t>Existing</t>
        </is>
      </c>
    </row>
    <row r="231" ht="13.5" customHeight="1" s="1232">
      <c r="A231" s="1413" t="n">
        <v>43015</v>
      </c>
      <c r="B231" s="1255" t="inlineStr">
        <is>
          <t>Nadine Preece</t>
        </is>
      </c>
      <c r="C231" s="1255" t="inlineStr">
        <is>
          <t>courses/masterclasses</t>
        </is>
      </c>
      <c r="D231" s="1255" t="inlineStr">
        <is>
          <t>Stripe</t>
        </is>
      </c>
      <c r="E231" s="1256" t="n">
        <v>265</v>
      </c>
      <c r="F231" s="1255" t="inlineStr">
        <is>
          <t>5wk Course</t>
        </is>
      </c>
      <c r="G231" s="1255" t="inlineStr">
        <is>
          <t>Existing</t>
        </is>
      </c>
    </row>
    <row r="232" ht="13.5" customHeight="1" s="1232">
      <c r="A232" s="1413" t="n">
        <v>43015</v>
      </c>
      <c r="B232" s="1255" t="inlineStr">
        <is>
          <t>Philippa Gunn</t>
        </is>
      </c>
      <c r="C232" s="1255" t="inlineStr">
        <is>
          <t>workshops</t>
        </is>
      </c>
      <c r="D232" s="1255" t="inlineStr">
        <is>
          <t>Stripe</t>
        </is>
      </c>
      <c r="E232" s="1255" t="n">
        <v>302.4</v>
      </c>
      <c r="F232" s="1255" t="inlineStr">
        <is>
          <t>Batsford</t>
        </is>
      </c>
      <c r="G232" s="1255" t="inlineStr">
        <is>
          <t>Batsford</t>
        </is>
      </c>
    </row>
    <row r="233" ht="13.5" customHeight="1" s="1232">
      <c r="A233" s="1413" t="n">
        <v>43012</v>
      </c>
      <c r="B233" s="1255" t="inlineStr">
        <is>
          <t>Sunny Chang - ELS</t>
        </is>
      </c>
      <c r="C233" s="1255" t="inlineStr">
        <is>
          <t>courses/masterclasses</t>
        </is>
      </c>
      <c r="D233" s="1255" t="inlineStr">
        <is>
          <t>Bank</t>
        </is>
      </c>
      <c r="E233" s="1256" t="n">
        <v>200</v>
      </c>
      <c r="F233" s="1255" t="inlineStr">
        <is>
          <t>5wk Course</t>
        </is>
      </c>
      <c r="G233" s="1255" t="inlineStr">
        <is>
          <t>ELS</t>
        </is>
      </c>
    </row>
    <row r="234" ht="13.5" customHeight="1" s="1232">
      <c r="A234" s="1413" t="n">
        <v>43012</v>
      </c>
      <c r="B234" s="1255" t="inlineStr">
        <is>
          <t>Stewart Twilton - ELS</t>
        </is>
      </c>
      <c r="C234" s="1255" t="inlineStr">
        <is>
          <t>workshops</t>
        </is>
      </c>
      <c r="D234" s="1255" t="inlineStr">
        <is>
          <t>Bank</t>
        </is>
      </c>
      <c r="E234" s="1256" t="n">
        <v>135</v>
      </c>
      <c r="F234" s="1255" t="inlineStr">
        <is>
          <t>1 day workshop</t>
        </is>
      </c>
      <c r="G234" s="1255" t="inlineStr">
        <is>
          <t>ELS</t>
        </is>
      </c>
    </row>
    <row r="235" ht="13.5" customHeight="1" s="1232">
      <c r="A235" s="1413" t="n">
        <v>43012</v>
      </c>
      <c r="B235" s="1255" t="inlineStr">
        <is>
          <t>Aikaterini Fotoglou - ELS</t>
        </is>
      </c>
      <c r="C235" s="1255" t="inlineStr">
        <is>
          <t>courses/masterclasses</t>
        </is>
      </c>
      <c r="D235" s="1255" t="inlineStr">
        <is>
          <t>Bank</t>
        </is>
      </c>
      <c r="E235" s="1256" t="n">
        <v>200</v>
      </c>
      <c r="F235" s="1255" t="inlineStr">
        <is>
          <t>5wk Course</t>
        </is>
      </c>
      <c r="G235" s="1255" t="inlineStr">
        <is>
          <t>ELS</t>
        </is>
      </c>
    </row>
    <row r="236" ht="13.5" customHeight="1" s="1232">
      <c r="A236" s="1413" t="n">
        <v>43012</v>
      </c>
      <c r="B236" s="1255" t="inlineStr">
        <is>
          <t>Ran Tao - ELS</t>
        </is>
      </c>
      <c r="C236" s="1255" t="inlineStr">
        <is>
          <t>courses/masterclasses</t>
        </is>
      </c>
      <c r="D236" s="1255" t="inlineStr">
        <is>
          <t>Bank</t>
        </is>
      </c>
      <c r="E236" s="1256" t="n">
        <v>200</v>
      </c>
      <c r="F236" s="1255" t="inlineStr">
        <is>
          <t>5wk Course</t>
        </is>
      </c>
      <c r="G236" s="1255" t="inlineStr">
        <is>
          <t>ELS</t>
        </is>
      </c>
    </row>
    <row r="237" ht="13.5" customHeight="1" s="1232">
      <c r="A237" s="1413" t="n">
        <v>43011</v>
      </c>
      <c r="B237" s="1255" t="inlineStr">
        <is>
          <t>Con Mchugh</t>
        </is>
      </c>
      <c r="C237" s="1255" t="inlineStr">
        <is>
          <t>pick n mix</t>
        </is>
      </c>
      <c r="D237" s="1255" t="inlineStr">
        <is>
          <t>Bank</t>
        </is>
      </c>
      <c r="E237" s="1256" t="n">
        <v>1000</v>
      </c>
      <c r="F237" s="1255" t="inlineStr">
        <is>
          <t>Pick N Mix</t>
        </is>
      </c>
      <c r="G237" s="1255" t="inlineStr">
        <is>
          <t>Existing</t>
        </is>
      </c>
    </row>
    <row r="238" ht="13.5" customHeight="1" s="1232">
      <c r="A238" s="1413" t="n">
        <v>43011</v>
      </c>
      <c r="B238" s="1255" t="inlineStr">
        <is>
          <t>Daryl Cowmeadow</t>
        </is>
      </c>
      <c r="C238" s="1255" t="inlineStr">
        <is>
          <t>other</t>
        </is>
      </c>
      <c r="D238" s="1255" t="inlineStr">
        <is>
          <t>PayPal</t>
        </is>
      </c>
      <c r="E238" s="1256" t="n">
        <v>20.85</v>
      </c>
      <c r="F238" s="1255" t="inlineStr">
        <is>
          <t>Pocket Guides</t>
        </is>
      </c>
      <c r="G238" s="1255" t="inlineStr">
        <is>
          <t>Batsford</t>
        </is>
      </c>
    </row>
    <row r="239" ht="13.5" customHeight="1" s="1232">
      <c r="A239" s="1413" t="n">
        <v>43011</v>
      </c>
      <c r="B239" s="1255" t="inlineStr">
        <is>
          <t xml:space="preserve">Malcolm Mccutcheon </t>
        </is>
      </c>
      <c r="C239" s="1255" t="inlineStr">
        <is>
          <t>courses/masterclasses</t>
        </is>
      </c>
      <c r="D239" s="1255" t="inlineStr">
        <is>
          <t>Groupon</t>
        </is>
      </c>
      <c r="E239" s="1256" t="n">
        <v>13</v>
      </c>
      <c r="F239" s="1255" t="inlineStr">
        <is>
          <t>Intro Class</t>
        </is>
      </c>
      <c r="G239" s="1255" t="inlineStr">
        <is>
          <t>Groupon</t>
        </is>
      </c>
    </row>
    <row r="240" ht="13.5" customHeight="1" s="1232">
      <c r="A240" s="1413" t="n">
        <v>43010</v>
      </c>
      <c r="B240" s="1255" t="inlineStr">
        <is>
          <t>Kim Robert - ELS</t>
        </is>
      </c>
      <c r="C240" s="1255" t="inlineStr">
        <is>
          <t>courses/masterclasses</t>
        </is>
      </c>
      <c r="D240" s="1255" t="inlineStr">
        <is>
          <t>Bank</t>
        </is>
      </c>
      <c r="E240" s="1256" t="n">
        <v>200</v>
      </c>
      <c r="F240" s="1255" t="inlineStr">
        <is>
          <t>5wk Course</t>
        </is>
      </c>
      <c r="G240" s="1255" t="inlineStr">
        <is>
          <t>ELS</t>
        </is>
      </c>
    </row>
    <row r="241" ht="13.5" customHeight="1" s="1232">
      <c r="A241" s="1413" t="n">
        <v>43010</v>
      </c>
      <c r="B241" s="1255" t="inlineStr">
        <is>
          <t>Scott Bremner - ELS</t>
        </is>
      </c>
      <c r="C241" s="1255" t="inlineStr">
        <is>
          <t>courses/masterclasses</t>
        </is>
      </c>
      <c r="D241" s="1255" t="inlineStr">
        <is>
          <t>Bank</t>
        </is>
      </c>
      <c r="E241" s="1256" t="n">
        <v>200</v>
      </c>
      <c r="F241" s="1255" t="inlineStr">
        <is>
          <t>5wk Course</t>
        </is>
      </c>
      <c r="G241" s="1255" t="inlineStr">
        <is>
          <t>ELS</t>
        </is>
      </c>
    </row>
    <row r="242" ht="13.5" customHeight="1" s="1232">
      <c r="A242" s="1413" t="n">
        <v>43010</v>
      </c>
      <c r="B242" s="1255" t="inlineStr">
        <is>
          <t>Michael King - ELS</t>
        </is>
      </c>
      <c r="C242" s="1255" t="inlineStr">
        <is>
          <t>courses/masterclasses</t>
        </is>
      </c>
      <c r="D242" s="1255" t="inlineStr">
        <is>
          <t>Bank</t>
        </is>
      </c>
      <c r="E242" s="1256" t="n">
        <v>200</v>
      </c>
      <c r="F242" s="1255" t="inlineStr">
        <is>
          <t>4wk Course</t>
        </is>
      </c>
      <c r="G242" s="1255" t="inlineStr">
        <is>
          <t>ELS</t>
        </is>
      </c>
    </row>
    <row r="243" ht="13.5" customHeight="1" s="1232">
      <c r="A243" s="1413" t="n">
        <v>43010</v>
      </c>
      <c r="B243" s="1255" t="inlineStr">
        <is>
          <t>Thomas Lloyd -ELS</t>
        </is>
      </c>
      <c r="C243" s="1255" t="inlineStr">
        <is>
          <t>workshops</t>
        </is>
      </c>
      <c r="D243" s="1255" t="inlineStr">
        <is>
          <t>Bank</t>
        </is>
      </c>
      <c r="E243" s="1256" t="n">
        <v>65</v>
      </c>
      <c r="F243" s="1255" t="inlineStr">
        <is>
          <t>Workshop</t>
        </is>
      </c>
      <c r="G243" s="1255" t="inlineStr">
        <is>
          <t>ELS</t>
        </is>
      </c>
    </row>
    <row r="244" ht="13.5" customHeight="1" s="1232">
      <c r="A244" s="1413" t="n">
        <v>43010</v>
      </c>
      <c r="B244" s="1255" t="inlineStr">
        <is>
          <t>Jieyuan Wu - ELS</t>
        </is>
      </c>
      <c r="C244" s="1255" t="inlineStr">
        <is>
          <t>courses/masterclasses</t>
        </is>
      </c>
      <c r="D244" s="1255" t="inlineStr">
        <is>
          <t>Bank</t>
        </is>
      </c>
      <c r="E244" s="1256" t="n">
        <v>200</v>
      </c>
      <c r="F244" s="1255" t="inlineStr">
        <is>
          <t>5wk Course</t>
        </is>
      </c>
      <c r="G244" s="1255" t="inlineStr">
        <is>
          <t>ELS</t>
        </is>
      </c>
    </row>
    <row r="245" ht="13.5" customHeight="1" s="1232">
      <c r="A245" s="1413" t="n">
        <v>43010</v>
      </c>
      <c r="B245" s="1255" t="inlineStr">
        <is>
          <t>Daniel Thomas - ELS</t>
        </is>
      </c>
      <c r="C245" s="1255" t="inlineStr">
        <is>
          <t>courses/masterclasses</t>
        </is>
      </c>
      <c r="D245" s="1255" t="inlineStr">
        <is>
          <t>Bank</t>
        </is>
      </c>
      <c r="E245" s="1256" t="n">
        <v>200</v>
      </c>
      <c r="F245" s="1255" t="inlineStr">
        <is>
          <t>5wk Course</t>
        </is>
      </c>
      <c r="G245" s="1255" t="inlineStr">
        <is>
          <t>ELS</t>
        </is>
      </c>
    </row>
    <row r="246" ht="13.5" customHeight="1" s="1232">
      <c r="A246" s="1413" t="n">
        <v>43010</v>
      </c>
      <c r="B246" s="1255" t="inlineStr">
        <is>
          <t>Paul Gardiner - ELS</t>
        </is>
      </c>
      <c r="C246" s="1255" t="inlineStr">
        <is>
          <t>workshops</t>
        </is>
      </c>
      <c r="D246" s="1255" t="inlineStr">
        <is>
          <t>Bank</t>
        </is>
      </c>
      <c r="E246" s="1256" t="n">
        <v>41</v>
      </c>
      <c r="F246" s="1255" t="inlineStr">
        <is>
          <t>Workshop</t>
        </is>
      </c>
      <c r="G246" s="1255" t="inlineStr">
        <is>
          <t>ELS</t>
        </is>
      </c>
    </row>
    <row r="247" ht="13.5" customHeight="1" s="1232">
      <c r="A247" s="1413" t="n">
        <v>43009</v>
      </c>
      <c r="B247" s="1255" t="inlineStr">
        <is>
          <t>Oct Pick N Mix</t>
        </is>
      </c>
      <c r="C247" s="1255" t="inlineStr">
        <is>
          <t>pick n mix</t>
        </is>
      </c>
      <c r="D247" s="1255" t="inlineStr">
        <is>
          <t>Various</t>
        </is>
      </c>
      <c r="E247" s="1256" t="n">
        <v>232.48</v>
      </c>
      <c r="F247" s="1255" t="inlineStr">
        <is>
          <t>Pick N Mix Payments</t>
        </is>
      </c>
      <c r="G247" s="1255" t="inlineStr">
        <is>
          <t>Existing</t>
        </is>
      </c>
    </row>
    <row r="248" ht="13.5" customHeight="1" s="1232">
      <c r="A248" s="1413" t="n">
        <v>43009</v>
      </c>
      <c r="B248" s="1255" t="inlineStr">
        <is>
          <t>Oct Mentoring</t>
        </is>
      </c>
      <c r="C248" s="1255" t="inlineStr">
        <is>
          <t>mentoring</t>
        </is>
      </c>
      <c r="D248" s="1255" t="inlineStr">
        <is>
          <t>Various</t>
        </is>
      </c>
      <c r="E248" s="1256" t="n">
        <v>100</v>
      </c>
      <c r="F248" s="1255" t="inlineStr">
        <is>
          <t>Mentoring Subs</t>
        </is>
      </c>
      <c r="G248" s="1255" t="inlineStr">
        <is>
          <t>Existing</t>
        </is>
      </c>
    </row>
    <row r="249" ht="13.5" customHeight="1" s="1232">
      <c r="A249" s="1413" t="n">
        <v>43009</v>
      </c>
      <c r="B249" s="1255" t="inlineStr">
        <is>
          <t>Emily Russell</t>
        </is>
      </c>
      <c r="C249" s="1255" t="inlineStr">
        <is>
          <t>workshops</t>
        </is>
      </c>
      <c r="D249" s="1255" t="inlineStr">
        <is>
          <t>PayPal</t>
        </is>
      </c>
      <c r="E249" s="1256" t="n">
        <v>100.8</v>
      </c>
      <c r="F249" s="1255" t="inlineStr">
        <is>
          <t>Batsford</t>
        </is>
      </c>
      <c r="G249" s="1255" t="inlineStr">
        <is>
          <t>Google</t>
        </is>
      </c>
    </row>
    <row r="250" ht="13.5" customHeight="1" s="1232">
      <c r="A250" s="1413" t="n"/>
    </row>
    <row r="251" ht="13.5" customHeight="1" s="1232">
      <c r="A251" s="1413" t="n">
        <v>43008</v>
      </c>
      <c r="B251" s="1255" t="inlineStr">
        <is>
          <t>Duncan Harris</t>
        </is>
      </c>
      <c r="C251" s="1255" t="inlineStr">
        <is>
          <t>courses/masterclasses</t>
        </is>
      </c>
      <c r="D251" s="1255" t="inlineStr">
        <is>
          <t>Paypal</t>
        </is>
      </c>
      <c r="E251" s="1256" t="n">
        <v>265</v>
      </c>
      <c r="F251" s="1255" t="inlineStr">
        <is>
          <t>5wk Course</t>
        </is>
      </c>
      <c r="G251" s="1255" t="inlineStr">
        <is>
          <t>Google</t>
        </is>
      </c>
    </row>
    <row r="252" ht="13.5" customHeight="1" s="1232">
      <c r="A252" s="1413" t="n">
        <v>43007</v>
      </c>
      <c r="B252" s="1255" t="inlineStr">
        <is>
          <t>Rebecca Mower</t>
        </is>
      </c>
      <c r="C252" s="1255" t="inlineStr">
        <is>
          <t>workshops</t>
        </is>
      </c>
      <c r="D252" s="1255" t="inlineStr">
        <is>
          <t>Stripe</t>
        </is>
      </c>
      <c r="E252" s="1256" t="n">
        <v>151.8</v>
      </c>
      <c r="F252" s="1255" t="inlineStr">
        <is>
          <t>Batsford</t>
        </is>
      </c>
      <c r="G252" s="1255" t="inlineStr">
        <is>
          <t>Batsford</t>
        </is>
      </c>
    </row>
    <row r="253" ht="13.5" customHeight="1" s="1232">
      <c r="A253" s="1413" t="n">
        <v>43006</v>
      </c>
      <c r="B253" s="1255" t="inlineStr">
        <is>
          <t>Jane Sahaslan</t>
        </is>
      </c>
      <c r="C253" s="1255" t="inlineStr">
        <is>
          <t>workshops</t>
        </is>
      </c>
      <c r="D253" s="1255" t="inlineStr">
        <is>
          <t>Stripe</t>
        </is>
      </c>
      <c r="E253" s="1256" t="n">
        <v>66.8</v>
      </c>
      <c r="F253" s="1255" t="inlineStr">
        <is>
          <t>Fireworks</t>
        </is>
      </c>
      <c r="G253" s="1255" t="inlineStr">
        <is>
          <t>Google</t>
        </is>
      </c>
    </row>
    <row r="254" ht="13.5" customHeight="1" s="1232">
      <c r="A254" s="1413" t="n">
        <v>43006</v>
      </c>
      <c r="B254" s="1255" t="inlineStr">
        <is>
          <t>Amy Morris</t>
        </is>
      </c>
      <c r="C254" s="1255" t="inlineStr">
        <is>
          <t>pick n mix</t>
        </is>
      </c>
      <c r="D254" s="1255" t="inlineStr">
        <is>
          <t>Bank</t>
        </is>
      </c>
      <c r="E254" s="1256" t="n">
        <v>1000</v>
      </c>
      <c r="F254" s="1255" t="inlineStr">
        <is>
          <t>Mentoring + Courses</t>
        </is>
      </c>
      <c r="G254" s="1255" t="inlineStr">
        <is>
          <t>Google</t>
        </is>
      </c>
    </row>
    <row r="255" ht="13.5" customHeight="1" s="1232">
      <c r="A255" s="1413" t="n">
        <v>43005</v>
      </c>
      <c r="B255" s="1255" t="inlineStr">
        <is>
          <t>Marvin Epton</t>
        </is>
      </c>
      <c r="C255" s="1255" t="inlineStr">
        <is>
          <t>courses/masterclasses</t>
        </is>
      </c>
      <c r="D255" s="1255" t="inlineStr">
        <is>
          <t>Bank</t>
        </is>
      </c>
      <c r="E255" s="1256" t="n">
        <v>65</v>
      </c>
      <c r="F255" s="1255" t="inlineStr">
        <is>
          <t>Lightroom Course</t>
        </is>
      </c>
      <c r="G255" s="1255" t="inlineStr">
        <is>
          <t>ELS</t>
        </is>
      </c>
    </row>
    <row r="256" ht="13.5" customHeight="1" s="1232">
      <c r="A256" s="1413" t="n">
        <v>43005</v>
      </c>
      <c r="B256" s="1255" t="inlineStr">
        <is>
          <t>Amit Sinha</t>
        </is>
      </c>
      <c r="C256" s="1255" t="inlineStr">
        <is>
          <t>workshops</t>
        </is>
      </c>
      <c r="D256" s="1255" t="inlineStr">
        <is>
          <t>Stripe</t>
        </is>
      </c>
      <c r="E256" s="1256" t="n">
        <v>151.8</v>
      </c>
      <c r="F256" s="1255" t="inlineStr">
        <is>
          <t>Batsford Workshop</t>
        </is>
      </c>
      <c r="G256" s="1255" t="inlineStr">
        <is>
          <t>Google</t>
        </is>
      </c>
    </row>
    <row r="257" ht="13.5" customHeight="1" s="1232">
      <c r="A257" s="1413" t="n">
        <v>43004</v>
      </c>
      <c r="B257" s="1255" t="inlineStr">
        <is>
          <t>Gill Roberts</t>
        </is>
      </c>
      <c r="C257" s="1255" t="inlineStr">
        <is>
          <t>workshops</t>
        </is>
      </c>
      <c r="D257" s="1255" t="inlineStr">
        <is>
          <t>W-Play</t>
        </is>
      </c>
      <c r="E257" s="1256" t="n">
        <v>99</v>
      </c>
      <c r="F257" s="1255" t="inlineStr">
        <is>
          <t>Batsford Workshop</t>
        </is>
      </c>
      <c r="G257" s="1255" t="inlineStr">
        <is>
          <t>Batsford</t>
        </is>
      </c>
    </row>
    <row r="258" ht="13.5" customHeight="1" s="1232">
      <c r="A258" s="1413" t="n">
        <v>43003</v>
      </c>
      <c r="B258" s="1255" t="inlineStr">
        <is>
          <t>Tracy Kenny</t>
        </is>
      </c>
      <c r="C258" s="1255" t="inlineStr">
        <is>
          <t>courses/masterclasses</t>
        </is>
      </c>
      <c r="D258" s="1255" t="inlineStr">
        <is>
          <t>Bank</t>
        </is>
      </c>
      <c r="E258" s="1256" t="n">
        <v>55</v>
      </c>
      <c r="F258" s="1255" t="inlineStr">
        <is>
          <t>4wk Course</t>
        </is>
      </c>
      <c r="G258" s="1255" t="inlineStr">
        <is>
          <t>Google</t>
        </is>
      </c>
    </row>
    <row r="259" ht="13.5" customHeight="1" s="1232">
      <c r="A259" s="1413" t="n">
        <v>43003</v>
      </c>
      <c r="B259" s="1255" t="inlineStr">
        <is>
          <t>Tracy Kenny</t>
        </is>
      </c>
      <c r="C259" s="1255" t="inlineStr">
        <is>
          <t>courses/masterclasses</t>
        </is>
      </c>
      <c r="D259" s="1255" t="inlineStr">
        <is>
          <t>Stripe</t>
        </is>
      </c>
      <c r="E259" s="1256" t="n">
        <v>135</v>
      </c>
      <c r="F259" s="1255" t="inlineStr">
        <is>
          <t>4wk Course</t>
        </is>
      </c>
      <c r="G259" s="1255" t="inlineStr">
        <is>
          <t>Google</t>
        </is>
      </c>
    </row>
    <row r="260" ht="13.5" customHeight="1" s="1232">
      <c r="A260" s="1413" t="n">
        <v>43003</v>
      </c>
      <c r="B260" s="1255" t="inlineStr">
        <is>
          <t>Colin Stephens</t>
        </is>
      </c>
      <c r="C260" s="1255" t="inlineStr">
        <is>
          <t>courses/masterclasses</t>
        </is>
      </c>
      <c r="D260" s="1255" t="inlineStr">
        <is>
          <t>Groupon</t>
        </is>
      </c>
      <c r="E260" s="1256" t="n">
        <v>13</v>
      </c>
      <c r="F260" s="1255" t="inlineStr">
        <is>
          <t>Intro Class</t>
        </is>
      </c>
      <c r="G260" s="1255" t="inlineStr">
        <is>
          <t>Groupon</t>
        </is>
      </c>
    </row>
    <row r="261" ht="13.5" customHeight="1" s="1232">
      <c r="A261" s="1413" t="n">
        <v>43002</v>
      </c>
      <c r="B261" s="1255" t="inlineStr">
        <is>
          <t>Simon Betteridge</t>
        </is>
      </c>
      <c r="C261" s="1255" t="inlineStr">
        <is>
          <t>workshops</t>
        </is>
      </c>
      <c r="D261" s="1255" t="inlineStr">
        <is>
          <t>Bank</t>
        </is>
      </c>
      <c r="E261" s="1256" t="n">
        <v>475</v>
      </c>
      <c r="F261" s="1255" t="inlineStr">
        <is>
          <t>Lakes</t>
        </is>
      </c>
      <c r="G261" s="1255" t="inlineStr">
        <is>
          <t>Existing</t>
        </is>
      </c>
    </row>
    <row r="262" ht="13.5" customHeight="1" s="1232">
      <c r="A262" s="1413" t="n">
        <v>43002</v>
      </c>
      <c r="B262" s="1255" t="inlineStr">
        <is>
          <t>James Cameron</t>
        </is>
      </c>
      <c r="C262" s="1255" t="inlineStr">
        <is>
          <t>workshops</t>
        </is>
      </c>
      <c r="D262" s="1255" t="inlineStr">
        <is>
          <t>Stripe</t>
        </is>
      </c>
      <c r="E262" s="1256" t="n">
        <v>476.8</v>
      </c>
      <c r="F262" s="1255" t="inlineStr">
        <is>
          <t>Lakes</t>
        </is>
      </c>
      <c r="G262" s="1255" t="inlineStr">
        <is>
          <t>Existing</t>
        </is>
      </c>
    </row>
    <row r="263" ht="13.5" customHeight="1" s="1232">
      <c r="A263" s="1413" t="n">
        <v>43001</v>
      </c>
      <c r="B263" s="1255" t="inlineStr">
        <is>
          <t>Aidan Broderick - ELS</t>
        </is>
      </c>
      <c r="C263" s="1255" t="inlineStr">
        <is>
          <t>courses/masterclasses</t>
        </is>
      </c>
      <c r="D263" s="1255" t="inlineStr">
        <is>
          <t>Bank</t>
        </is>
      </c>
      <c r="E263" s="1256" t="n">
        <v>65</v>
      </c>
      <c r="F263" s="1255" t="inlineStr">
        <is>
          <t>Beginner Course</t>
        </is>
      </c>
      <c r="G263" s="1255" t="inlineStr">
        <is>
          <t>ELS</t>
        </is>
      </c>
    </row>
    <row r="264" ht="13.5" customHeight="1" s="1232">
      <c r="A264" s="1413" t="n">
        <v>43000</v>
      </c>
      <c r="B264" s="1255" t="inlineStr">
        <is>
          <t>Anju Dhadra</t>
        </is>
      </c>
      <c r="C264" s="1255" t="inlineStr">
        <is>
          <t>courses/masterclasses</t>
        </is>
      </c>
      <c r="D264" s="1255" t="inlineStr">
        <is>
          <t>Groupon</t>
        </is>
      </c>
      <c r="E264" s="1256" t="n">
        <v>13</v>
      </c>
      <c r="F264" s="1255" t="inlineStr">
        <is>
          <t>Intro Class</t>
        </is>
      </c>
      <c r="G264" s="1255" t="inlineStr">
        <is>
          <t>Groupon</t>
        </is>
      </c>
    </row>
    <row r="265" ht="13.5" customHeight="1" s="1232">
      <c r="A265" s="1413" t="n">
        <v>43000</v>
      </c>
      <c r="B265" s="1255" t="inlineStr">
        <is>
          <t>Christina Barnfield</t>
        </is>
      </c>
      <c r="C265" s="1255" t="inlineStr">
        <is>
          <t>courses/masterclasses</t>
        </is>
      </c>
      <c r="D265" s="1255" t="inlineStr">
        <is>
          <t>Groupon</t>
        </is>
      </c>
      <c r="E265" s="1256" t="n">
        <v>13</v>
      </c>
      <c r="F265" s="1255" t="inlineStr">
        <is>
          <t>Intro Class</t>
        </is>
      </c>
      <c r="G265" s="1255" t="inlineStr">
        <is>
          <t>Groupon</t>
        </is>
      </c>
    </row>
    <row r="266" ht="13.5" customHeight="1" s="1232">
      <c r="A266" s="1413" t="n">
        <v>43000</v>
      </c>
      <c r="B266" s="1255" t="inlineStr">
        <is>
          <t>Brian McBride</t>
        </is>
      </c>
      <c r="C266" s="1255" t="inlineStr">
        <is>
          <t>courses/masterclasses</t>
        </is>
      </c>
      <c r="D266" s="1255" t="inlineStr">
        <is>
          <t>Groupon</t>
        </is>
      </c>
      <c r="E266" s="1256" t="n">
        <v>13</v>
      </c>
      <c r="F266" s="1255" t="inlineStr">
        <is>
          <t>Intro Class</t>
        </is>
      </c>
      <c r="G266" s="1255" t="inlineStr">
        <is>
          <t>Groupon</t>
        </is>
      </c>
    </row>
    <row r="267" ht="13.5" customHeight="1" s="1232">
      <c r="A267" s="1413" t="n">
        <v>43000</v>
      </c>
      <c r="B267" s="1255" t="inlineStr">
        <is>
          <t>Kirsty McBride</t>
        </is>
      </c>
      <c r="C267" s="1255" t="inlineStr">
        <is>
          <t>courses/masterclasses</t>
        </is>
      </c>
      <c r="D267" s="1255" t="inlineStr">
        <is>
          <t>Groupon</t>
        </is>
      </c>
      <c r="E267" s="1256" t="n">
        <v>13</v>
      </c>
      <c r="F267" s="1255" t="inlineStr">
        <is>
          <t>Intro Class</t>
        </is>
      </c>
      <c r="G267" s="1255" t="inlineStr">
        <is>
          <t>Groupon</t>
        </is>
      </c>
    </row>
    <row r="268" ht="13.5" customHeight="1" s="1232">
      <c r="A268" s="1413" t="n">
        <v>43000</v>
      </c>
      <c r="B268" s="1255" t="inlineStr">
        <is>
          <t>MTC</t>
        </is>
      </c>
      <c r="C268" s="1255" t="inlineStr">
        <is>
          <t>other</t>
        </is>
      </c>
      <c r="D268" s="1255" t="inlineStr">
        <is>
          <t>Bank</t>
        </is>
      </c>
      <c r="E268" s="1256" t="n">
        <v>350</v>
      </c>
      <c r="F268" s="1255" t="inlineStr">
        <is>
          <t>Photo Shoot</t>
        </is>
      </c>
      <c r="G268" s="1255" t="inlineStr">
        <is>
          <t>Google</t>
        </is>
      </c>
    </row>
    <row r="269" ht="13.5" customHeight="1" s="1232">
      <c r="A269" s="1413" t="n">
        <v>42999</v>
      </c>
      <c r="B269" s="1255" t="inlineStr">
        <is>
          <t>Kirsten Pearce</t>
        </is>
      </c>
      <c r="C269" s="1255" t="inlineStr">
        <is>
          <t>pick n mix</t>
        </is>
      </c>
      <c r="D269" s="1255" t="inlineStr">
        <is>
          <t>Bank</t>
        </is>
      </c>
      <c r="E269" s="1256" t="n">
        <v>175</v>
      </c>
      <c r="F269" s="1255" t="inlineStr">
        <is>
          <t>Pick N MixPlan</t>
        </is>
      </c>
      <c r="G269" s="1255" t="inlineStr">
        <is>
          <t>Existing</t>
        </is>
      </c>
    </row>
    <row r="270" ht="13.5" customHeight="1" s="1232">
      <c r="A270" s="1413" t="n">
        <v>42998</v>
      </c>
      <c r="B270" s="1255" t="inlineStr">
        <is>
          <t>Doug Smith</t>
        </is>
      </c>
      <c r="C270" s="1255" t="inlineStr">
        <is>
          <t>workshops</t>
        </is>
      </c>
      <c r="D270" s="1255" t="inlineStr">
        <is>
          <t>Stripe</t>
        </is>
      </c>
      <c r="E270" s="1256" t="n">
        <v>476.8</v>
      </c>
      <c r="F270" s="1255" t="inlineStr">
        <is>
          <t>Lakes</t>
        </is>
      </c>
      <c r="G270" s="1255" t="inlineStr">
        <is>
          <t>Google</t>
        </is>
      </c>
    </row>
    <row r="271" ht="13.5" customHeight="1" s="1232">
      <c r="A271" s="1413" t="n">
        <v>42998</v>
      </c>
      <c r="B271" s="1255" t="inlineStr">
        <is>
          <t>William Shearer</t>
        </is>
      </c>
      <c r="C271" s="1255" t="inlineStr">
        <is>
          <t>workshops</t>
        </is>
      </c>
      <c r="D271" s="1255" t="inlineStr">
        <is>
          <t>Stripe</t>
        </is>
      </c>
      <c r="E271" s="1256" t="n">
        <v>151.8</v>
      </c>
      <c r="F271" s="1255" t="inlineStr">
        <is>
          <t>Batsford Workshop</t>
        </is>
      </c>
      <c r="G271" s="1255" t="inlineStr">
        <is>
          <t>Google</t>
        </is>
      </c>
    </row>
    <row r="272" ht="13.5" customHeight="1" s="1232">
      <c r="A272" s="1413" t="n">
        <v>42997</v>
      </c>
      <c r="B272" s="1255" t="inlineStr">
        <is>
          <t>Michelle Bradshaw</t>
        </is>
      </c>
      <c r="C272" s="1255" t="inlineStr">
        <is>
          <t>courses/masterclasses</t>
        </is>
      </c>
      <c r="D272" s="1255" t="inlineStr">
        <is>
          <t>Stripe</t>
        </is>
      </c>
      <c r="E272" s="1256" t="n">
        <v>30</v>
      </c>
      <c r="F272" s="1255" t="inlineStr">
        <is>
          <t>Intro Class</t>
        </is>
      </c>
      <c r="G272" s="1255" t="inlineStr">
        <is>
          <t>Google</t>
        </is>
      </c>
    </row>
    <row r="273" ht="13.5" customHeight="1" s="1232">
      <c r="A273" s="1413" t="n">
        <v>42997</v>
      </c>
      <c r="B273" s="1255" t="inlineStr">
        <is>
          <t>Sharon Sodhi</t>
        </is>
      </c>
      <c r="C273" s="1255" t="inlineStr">
        <is>
          <t>courses/masterclasses</t>
        </is>
      </c>
      <c r="D273" s="1255" t="inlineStr">
        <is>
          <t>Stripe</t>
        </is>
      </c>
      <c r="E273" s="1256" t="n">
        <v>30</v>
      </c>
      <c r="F273" s="1255" t="inlineStr">
        <is>
          <t>Intro Class</t>
        </is>
      </c>
      <c r="G273" s="1255" t="inlineStr">
        <is>
          <t>Other</t>
        </is>
      </c>
    </row>
    <row r="274" ht="13.5" customHeight="1" s="1232">
      <c r="A274" s="1413" t="n">
        <v>42997</v>
      </c>
      <c r="B274" s="1255" t="inlineStr">
        <is>
          <t>Len Sutton</t>
        </is>
      </c>
      <c r="C274" s="1255" t="inlineStr">
        <is>
          <t>courses/masterclasses</t>
        </is>
      </c>
      <c r="D274" s="1255" t="inlineStr">
        <is>
          <t>Bank</t>
        </is>
      </c>
      <c r="E274" s="1256" t="n">
        <v>165</v>
      </c>
      <c r="F274" s="1255" t="inlineStr">
        <is>
          <t>Lightroom Course</t>
        </is>
      </c>
      <c r="G274" s="1255" t="inlineStr">
        <is>
          <t>Existing</t>
        </is>
      </c>
    </row>
    <row r="275" ht="13.5" customHeight="1" s="1232">
      <c r="A275" s="1413" t="n">
        <v>42996</v>
      </c>
      <c r="B275" s="1255" t="inlineStr">
        <is>
          <t>Glenn Torpy</t>
        </is>
      </c>
      <c r="C275" s="1255" t="inlineStr">
        <is>
          <t>workshops</t>
        </is>
      </c>
      <c r="D275" s="1255" t="inlineStr">
        <is>
          <t>Stripe</t>
        </is>
      </c>
      <c r="E275" s="1256" t="n">
        <v>150</v>
      </c>
      <c r="F275" s="1255" t="inlineStr">
        <is>
          <t>Batsford Workshop</t>
        </is>
      </c>
      <c r="G275" s="1255" t="inlineStr">
        <is>
          <t>Batsford</t>
        </is>
      </c>
    </row>
    <row r="276" ht="13.5" customHeight="1" s="1232">
      <c r="A276" s="1413" t="n">
        <v>42996</v>
      </c>
      <c r="B276" s="1255" t="inlineStr">
        <is>
          <t>Beata Stojek</t>
        </is>
      </c>
      <c r="C276" s="1255" t="inlineStr">
        <is>
          <t>courses/masterclasses</t>
        </is>
      </c>
      <c r="D276" s="1255" t="inlineStr">
        <is>
          <t>Groupon</t>
        </is>
      </c>
      <c r="E276" s="1256" t="n">
        <v>13</v>
      </c>
      <c r="F276" s="1255" t="inlineStr">
        <is>
          <t>Intro Class</t>
        </is>
      </c>
      <c r="G276" s="1255" t="inlineStr">
        <is>
          <t>Groupon</t>
        </is>
      </c>
    </row>
    <row r="277" ht="13.5" customHeight="1" s="1232">
      <c r="A277" s="1413" t="n">
        <v>42996</v>
      </c>
      <c r="B277" s="1255" t="inlineStr">
        <is>
          <t>Paul Gardiner</t>
        </is>
      </c>
      <c r="C277" s="1255" t="inlineStr">
        <is>
          <t>workshops</t>
        </is>
      </c>
      <c r="D277" s="1255" t="inlineStr">
        <is>
          <t>Bank</t>
        </is>
      </c>
      <c r="E277" s="1256" t="n">
        <v>48</v>
      </c>
      <c r="F277" s="1255" t="inlineStr">
        <is>
          <t>Chesterton Workshop</t>
        </is>
      </c>
      <c r="G277" s="1255" t="inlineStr">
        <is>
          <t>ELS</t>
        </is>
      </c>
    </row>
    <row r="278" ht="13.5" customHeight="1" s="1232">
      <c r="A278" s="1413" t="n">
        <v>42996</v>
      </c>
      <c r="B278" s="1255" t="inlineStr">
        <is>
          <t>Nicola Broderick</t>
        </is>
      </c>
      <c r="C278" s="1255" t="inlineStr">
        <is>
          <t>other</t>
        </is>
      </c>
      <c r="D278" s="1255" t="inlineStr">
        <is>
          <t>Stripe</t>
        </is>
      </c>
      <c r="E278" s="1256" t="n">
        <v>7.75</v>
      </c>
      <c r="F278" s="1255" t="inlineStr">
        <is>
          <t>Pocket Guide</t>
        </is>
      </c>
      <c r="G278" s="1255" t="inlineStr">
        <is>
          <t>Batsford</t>
        </is>
      </c>
    </row>
    <row r="279" ht="13.5" customHeight="1" s="1232">
      <c r="A279" s="1413" t="n">
        <v>42996</v>
      </c>
      <c r="B279" s="1255" t="inlineStr">
        <is>
          <t>Nicola Broderick</t>
        </is>
      </c>
      <c r="C279" s="1255" t="inlineStr">
        <is>
          <t>workshops</t>
        </is>
      </c>
      <c r="D279" s="1255" t="inlineStr">
        <is>
          <t>Stripe</t>
        </is>
      </c>
      <c r="E279" s="1256" t="n">
        <v>200.4</v>
      </c>
      <c r="F279" s="1255" t="inlineStr">
        <is>
          <t>Batsford Workshop</t>
        </is>
      </c>
      <c r="G279" s="1255" t="inlineStr">
        <is>
          <t>Batsford</t>
        </is>
      </c>
    </row>
    <row r="280" ht="13.5" customHeight="1" s="1232">
      <c r="A280" s="1413" t="n">
        <v>42996</v>
      </c>
      <c r="B280" s="1255" t="inlineStr">
        <is>
          <t>Simon Lerwell</t>
        </is>
      </c>
      <c r="C280" s="1255" t="inlineStr">
        <is>
          <t>workshops</t>
        </is>
      </c>
      <c r="D280" s="1255" t="inlineStr">
        <is>
          <t>Bank</t>
        </is>
      </c>
      <c r="E280" s="1256" t="n">
        <v>39</v>
      </c>
      <c r="F280" s="1255" t="inlineStr">
        <is>
          <t>Batsford Calendar</t>
        </is>
      </c>
      <c r="G280" s="1255" t="inlineStr">
        <is>
          <t>Google</t>
        </is>
      </c>
    </row>
    <row r="281" ht="13.5" customHeight="1" s="1232">
      <c r="A281" s="1413" t="n">
        <v>42996</v>
      </c>
      <c r="B281" s="1255" t="inlineStr">
        <is>
          <t>Simon King</t>
        </is>
      </c>
      <c r="C281" s="1255" t="inlineStr">
        <is>
          <t>1-2-1</t>
        </is>
      </c>
      <c r="D281" s="1255" t="inlineStr">
        <is>
          <t>Stripe</t>
        </is>
      </c>
      <c r="E281" s="1256" t="n">
        <v>85</v>
      </c>
      <c r="F281" s="1255" t="inlineStr">
        <is>
          <t>ARPS Panel</t>
        </is>
      </c>
      <c r="G281" s="1255" t="inlineStr">
        <is>
          <t>Google</t>
        </is>
      </c>
    </row>
    <row r="282" ht="13.5" customHeight="1" s="1232">
      <c r="A282" s="1413" t="n">
        <v>42996</v>
      </c>
      <c r="B282" s="1255" t="inlineStr">
        <is>
          <t>Xposure</t>
        </is>
      </c>
      <c r="C282" s="1255" t="inlineStr">
        <is>
          <t>courses/masterclasses</t>
        </is>
      </c>
      <c r="D282" s="1255" t="inlineStr">
        <is>
          <t>Bank</t>
        </is>
      </c>
      <c r="E282" s="1256" t="n">
        <v>2493</v>
      </c>
      <c r="F282" s="1255" t="inlineStr">
        <is>
          <t>Xposure Festival</t>
        </is>
      </c>
      <c r="G282" s="1255" t="inlineStr">
        <is>
          <t>Existing</t>
        </is>
      </c>
    </row>
    <row r="283" ht="13.5" customHeight="1" s="1232">
      <c r="A283" s="1413" t="n">
        <v>42995</v>
      </c>
      <c r="B283" s="1255" t="inlineStr">
        <is>
          <t>laura byrne</t>
        </is>
      </c>
      <c r="C283" s="1255" t="inlineStr">
        <is>
          <t>other</t>
        </is>
      </c>
      <c r="D283" s="1255" t="inlineStr">
        <is>
          <t>Cash</t>
        </is>
      </c>
      <c r="E283" s="1256" t="n">
        <v>30</v>
      </c>
      <c r="F283" s="1255" t="inlineStr">
        <is>
          <t>Tripod Hire</t>
        </is>
      </c>
      <c r="G283" s="1255" t="inlineStr">
        <is>
          <t>Existing</t>
        </is>
      </c>
    </row>
    <row r="284" ht="13.5" customHeight="1" s="1232">
      <c r="A284" s="1413" t="n">
        <v>42995</v>
      </c>
      <c r="B284" s="1255" t="inlineStr">
        <is>
          <t>laura byrne</t>
        </is>
      </c>
      <c r="C284" s="1255" t="inlineStr">
        <is>
          <t>courses/masterclasses</t>
        </is>
      </c>
      <c r="D284" s="1255" t="inlineStr">
        <is>
          <t>Stripe</t>
        </is>
      </c>
      <c r="E284" s="1256" t="n">
        <v>50</v>
      </c>
      <c r="F284" s="1255" t="inlineStr">
        <is>
          <t>Masterclass</t>
        </is>
      </c>
      <c r="G284" s="1255" t="inlineStr">
        <is>
          <t>Existing</t>
        </is>
      </c>
    </row>
    <row r="285" ht="13.5" customHeight="1" s="1232">
      <c r="A285" s="1413" t="n">
        <v>42994</v>
      </c>
      <c r="B285" s="1255" t="inlineStr">
        <is>
          <t>Emilie Moslard</t>
        </is>
      </c>
      <c r="C285" s="1255" t="inlineStr">
        <is>
          <t>courses/masterclasses</t>
        </is>
      </c>
      <c r="D285" s="1255" t="inlineStr">
        <is>
          <t>Stripe</t>
        </is>
      </c>
      <c r="E285" s="1256" t="n">
        <v>50</v>
      </c>
      <c r="F285" s="1255" t="inlineStr">
        <is>
          <t>Masterclass</t>
        </is>
      </c>
      <c r="G285" s="1255" t="inlineStr">
        <is>
          <t>Google</t>
        </is>
      </c>
    </row>
    <row r="286" ht="13.5" customHeight="1" s="1232">
      <c r="A286" s="1413" t="n">
        <v>42992</v>
      </c>
      <c r="B286" s="1255" t="inlineStr">
        <is>
          <t>Johanna Stansfield</t>
        </is>
      </c>
      <c r="C286" s="1255" t="inlineStr">
        <is>
          <t>mentoring</t>
        </is>
      </c>
      <c r="D286" s="1255" t="inlineStr">
        <is>
          <t>Paypal</t>
        </is>
      </c>
      <c r="E286" s="1256" t="n">
        <v>20</v>
      </c>
      <c r="F286" s="1255" t="inlineStr">
        <is>
          <t>Mentoring Subs</t>
        </is>
      </c>
      <c r="G286" s="1255" t="inlineStr">
        <is>
          <t>Existing</t>
        </is>
      </c>
    </row>
    <row r="287" ht="13.5" customHeight="1" s="1232">
      <c r="A287" s="1413" t="n">
        <v>42991</v>
      </c>
      <c r="B287" s="1255" t="inlineStr">
        <is>
          <t>Johanna Stansfield</t>
        </is>
      </c>
      <c r="C287" s="1255" t="inlineStr">
        <is>
          <t>workshops</t>
        </is>
      </c>
      <c r="D287" s="1255" t="inlineStr">
        <is>
          <t>Stripe</t>
        </is>
      </c>
      <c r="E287" s="1256" t="n">
        <v>200.4</v>
      </c>
      <c r="F287" s="1255" t="inlineStr">
        <is>
          <t>Batsford Workshop</t>
        </is>
      </c>
      <c r="G287" s="1255" t="inlineStr">
        <is>
          <t>Batsford</t>
        </is>
      </c>
    </row>
    <row r="288" ht="13.5" customHeight="1" s="1232">
      <c r="A288" s="1413" t="n">
        <v>42991</v>
      </c>
      <c r="B288" s="1255" t="inlineStr">
        <is>
          <t>Darlene Barnfield</t>
        </is>
      </c>
      <c r="C288" s="1255" t="inlineStr">
        <is>
          <t>workshops</t>
        </is>
      </c>
      <c r="D288" s="1255" t="inlineStr">
        <is>
          <t>W-Play</t>
        </is>
      </c>
      <c r="E288" s="1256" t="n">
        <v>99</v>
      </c>
      <c r="F288" s="1255" t="inlineStr">
        <is>
          <t>Batsford Workshop</t>
        </is>
      </c>
      <c r="G288" s="1255" t="inlineStr">
        <is>
          <t>Batsford</t>
        </is>
      </c>
    </row>
    <row r="289" ht="13.5" customHeight="1" s="1232">
      <c r="A289" s="1413" t="n">
        <v>42990</v>
      </c>
      <c r="B289" s="1255" t="inlineStr">
        <is>
          <t>Sunny Chang</t>
        </is>
      </c>
      <c r="C289" s="1255" t="inlineStr">
        <is>
          <t>courses/masterclasses</t>
        </is>
      </c>
      <c r="D289" s="1255" t="inlineStr">
        <is>
          <t>Bank</t>
        </is>
      </c>
      <c r="E289" s="1256" t="n">
        <v>65</v>
      </c>
      <c r="F289" s="1255" t="inlineStr">
        <is>
          <t>5wk Course</t>
        </is>
      </c>
      <c r="G289" s="1255" t="inlineStr">
        <is>
          <t>ELS</t>
        </is>
      </c>
    </row>
    <row r="290" ht="13.5" customHeight="1" s="1232">
      <c r="A290" s="1413" t="n">
        <v>42990</v>
      </c>
      <c r="B290" s="1255" t="inlineStr">
        <is>
          <t>Matthew Paterson</t>
        </is>
      </c>
      <c r="C290" s="1255" t="inlineStr">
        <is>
          <t>workshops</t>
        </is>
      </c>
      <c r="D290" s="1255" t="inlineStr">
        <is>
          <t>W-Play</t>
        </is>
      </c>
      <c r="E290" s="1256" t="n">
        <v>99</v>
      </c>
      <c r="F290" s="1255" t="inlineStr">
        <is>
          <t>Batsford Workshop</t>
        </is>
      </c>
      <c r="G290" s="1255" t="inlineStr">
        <is>
          <t>Batsford</t>
        </is>
      </c>
    </row>
    <row r="291" ht="13.5" customHeight="1" s="1232">
      <c r="A291" s="1413" t="n">
        <v>42989</v>
      </c>
      <c r="B291" s="1255" t="inlineStr">
        <is>
          <t>Louise Harris</t>
        </is>
      </c>
      <c r="C291" s="1255" t="inlineStr">
        <is>
          <t>other</t>
        </is>
      </c>
      <c r="D291" s="1255" t="inlineStr">
        <is>
          <t>Stripe</t>
        </is>
      </c>
      <c r="E291" s="1256" t="n">
        <v>22.4</v>
      </c>
      <c r="F291" s="1255" t="inlineStr">
        <is>
          <t>Gift Voucher</t>
        </is>
      </c>
      <c r="G291" s="1255" t="inlineStr">
        <is>
          <t>Existing</t>
        </is>
      </c>
    </row>
    <row r="292" ht="13.5" customHeight="1" s="1232">
      <c r="A292" s="1413" t="n">
        <v>42988</v>
      </c>
      <c r="B292" s="1255" t="inlineStr">
        <is>
          <t>Philip Wander</t>
        </is>
      </c>
      <c r="C292" s="1255" t="inlineStr">
        <is>
          <t>workshops</t>
        </is>
      </c>
      <c r="D292" s="1255" t="inlineStr">
        <is>
          <t>Stripe</t>
        </is>
      </c>
      <c r="E292" s="1256" t="n">
        <v>100.8</v>
      </c>
      <c r="F292" s="1255" t="inlineStr">
        <is>
          <t>Batsford Workshop</t>
        </is>
      </c>
      <c r="G292" s="1255" t="inlineStr">
        <is>
          <t>Batsford</t>
        </is>
      </c>
    </row>
    <row r="293" ht="13.5" customHeight="1" s="1232">
      <c r="A293" s="1413" t="n">
        <v>42986</v>
      </c>
      <c r="B293" s="1255" t="inlineStr">
        <is>
          <t>Keith Hinsley</t>
        </is>
      </c>
      <c r="C293" s="1255" t="inlineStr">
        <is>
          <t>courses/masterclasses</t>
        </is>
      </c>
      <c r="D293" s="1255" t="inlineStr">
        <is>
          <t>Paypal</t>
        </is>
      </c>
      <c r="E293" s="1256" t="n">
        <v>30</v>
      </c>
      <c r="F293" s="1255" t="inlineStr">
        <is>
          <t>Intro Class</t>
        </is>
      </c>
      <c r="G293" s="1255" t="inlineStr">
        <is>
          <t>Google</t>
        </is>
      </c>
    </row>
    <row r="294" ht="13.5" customHeight="1" s="1232">
      <c r="A294" s="1413" t="n">
        <v>42986</v>
      </c>
      <c r="B294" s="1255" t="inlineStr">
        <is>
          <t>Glyn Fetcher</t>
        </is>
      </c>
      <c r="C294" s="1255" t="inlineStr">
        <is>
          <t>workshops</t>
        </is>
      </c>
      <c r="D294" s="1255" t="inlineStr">
        <is>
          <t>Stripe</t>
        </is>
      </c>
      <c r="E294" s="1256" t="n">
        <v>696.8</v>
      </c>
      <c r="F294" s="1255" t="inlineStr">
        <is>
          <t>Northumbria</t>
        </is>
      </c>
      <c r="G294" s="1255" t="inlineStr">
        <is>
          <t>Google</t>
        </is>
      </c>
    </row>
    <row r="295" ht="13.5" customHeight="1" s="1232">
      <c r="A295" s="1413" t="n">
        <v>42985</v>
      </c>
      <c r="B295" s="1255" t="inlineStr">
        <is>
          <t>Elaine Castleford</t>
        </is>
      </c>
      <c r="C295" s="1255" t="inlineStr">
        <is>
          <t>workshops</t>
        </is>
      </c>
      <c r="D295" s="1255" t="inlineStr">
        <is>
          <t>Stripe</t>
        </is>
      </c>
      <c r="E295" s="1256" t="n">
        <v>59</v>
      </c>
      <c r="F295" s="1255" t="inlineStr">
        <is>
          <t>Batsford Calendar</t>
        </is>
      </c>
      <c r="G295" s="1255" t="inlineStr">
        <is>
          <t>Batsford</t>
        </is>
      </c>
    </row>
    <row r="296" ht="13.5" customHeight="1" s="1232">
      <c r="A296" s="1413" t="n">
        <v>42984</v>
      </c>
      <c r="B296" s="1255" t="inlineStr">
        <is>
          <t>Keith Miller</t>
        </is>
      </c>
      <c r="C296" s="1255" t="inlineStr">
        <is>
          <t>courses/masterclasses</t>
        </is>
      </c>
      <c r="D296" s="1255" t="inlineStr">
        <is>
          <t>Stripe</t>
        </is>
      </c>
      <c r="E296" s="1256" t="n">
        <v>145</v>
      </c>
      <c r="F296" s="1255" t="inlineStr">
        <is>
          <t>Age Uk Course</t>
        </is>
      </c>
      <c r="G296" s="1255" t="inlineStr">
        <is>
          <t>Google</t>
        </is>
      </c>
    </row>
    <row r="297" ht="13.5" customHeight="1" s="1232">
      <c r="A297" s="1413" t="n">
        <v>42983</v>
      </c>
      <c r="B297" s="1255" t="inlineStr">
        <is>
          <t>Helen Carter</t>
        </is>
      </c>
      <c r="C297" s="1255" t="inlineStr">
        <is>
          <t>courses/masterclasses</t>
        </is>
      </c>
      <c r="D297" s="1255" t="inlineStr">
        <is>
          <t>Stripe</t>
        </is>
      </c>
      <c r="E297" s="1256" t="n">
        <v>265</v>
      </c>
      <c r="F297" s="1255" t="inlineStr">
        <is>
          <t>5wk Course</t>
        </is>
      </c>
      <c r="G297" s="1255" t="inlineStr">
        <is>
          <t>Google</t>
        </is>
      </c>
    </row>
    <row r="298" ht="13.5" customHeight="1" s="1232">
      <c r="A298" s="1413" t="n">
        <v>42982</v>
      </c>
      <c r="B298" s="1255" t="inlineStr">
        <is>
          <t>Amy Morris</t>
        </is>
      </c>
      <c r="C298" s="1255" t="inlineStr">
        <is>
          <t>1-2-1</t>
        </is>
      </c>
      <c r="D298" s="1255" t="inlineStr">
        <is>
          <t>Paypal</t>
        </is>
      </c>
      <c r="E298" s="1256" t="n">
        <v>120</v>
      </c>
      <c r="F298" s="1389" t="inlineStr">
        <is>
          <t>1-2-1</t>
        </is>
      </c>
      <c r="G298" s="1255" t="inlineStr">
        <is>
          <t>Google</t>
        </is>
      </c>
    </row>
    <row r="299" ht="13.5" customHeight="1" s="1232">
      <c r="A299" s="1413" t="n">
        <v>42982</v>
      </c>
      <c r="B299" s="1255" t="inlineStr">
        <is>
          <t>Stewart Twilton - ELS</t>
        </is>
      </c>
      <c r="C299" s="1255" t="inlineStr">
        <is>
          <t>workshops</t>
        </is>
      </c>
      <c r="D299" s="1255" t="inlineStr">
        <is>
          <t>Bank</t>
        </is>
      </c>
      <c r="E299" s="1256" t="n">
        <v>65</v>
      </c>
      <c r="F299" s="1255" t="inlineStr">
        <is>
          <t>Chesterton Workshop</t>
        </is>
      </c>
      <c r="G299" s="1255" t="inlineStr">
        <is>
          <t>ELS</t>
        </is>
      </c>
    </row>
    <row r="300" ht="13.5" customHeight="1" s="1232">
      <c r="A300" s="1413" t="n">
        <v>42982</v>
      </c>
      <c r="B300" s="1255" t="inlineStr">
        <is>
          <t>Adam Shepherd -ELS</t>
        </is>
      </c>
      <c r="C300" s="1255" t="inlineStr">
        <is>
          <t>workshops</t>
        </is>
      </c>
      <c r="D300" s="1255" t="inlineStr">
        <is>
          <t>Bank</t>
        </is>
      </c>
      <c r="E300" s="1256" t="n">
        <v>75</v>
      </c>
      <c r="F300" s="1255" t="inlineStr">
        <is>
          <t>Chesterton Workshop</t>
        </is>
      </c>
      <c r="G300" s="1255" t="inlineStr">
        <is>
          <t>ELS</t>
        </is>
      </c>
    </row>
    <row r="301" ht="13.5" customHeight="1" s="1232">
      <c r="A301" s="1413" t="n">
        <v>42982</v>
      </c>
      <c r="B301" s="1255" t="inlineStr">
        <is>
          <t>Lee Clarke</t>
        </is>
      </c>
      <c r="C301" s="1255" t="inlineStr">
        <is>
          <t>1-2-1</t>
        </is>
      </c>
      <c r="D301" s="1255" t="inlineStr">
        <is>
          <t>Stripe</t>
        </is>
      </c>
      <c r="E301" s="1256" t="n">
        <v>195</v>
      </c>
      <c r="F301" s="1255" t="inlineStr">
        <is>
          <t>1-2-1 Tuition</t>
        </is>
      </c>
      <c r="G301" s="1255" t="inlineStr">
        <is>
          <t>Google</t>
        </is>
      </c>
    </row>
    <row r="302" ht="13.5" customHeight="1" s="1232">
      <c r="A302" s="1413" t="n">
        <v>42982</v>
      </c>
      <c r="B302" s="1255" t="inlineStr">
        <is>
          <t>Thomas Hewitt</t>
        </is>
      </c>
      <c r="C302" s="1255" t="inlineStr">
        <is>
          <t>courses/masterclasses</t>
        </is>
      </c>
      <c r="D302" s="1255" t="inlineStr">
        <is>
          <t>Stripe</t>
        </is>
      </c>
      <c r="E302" s="1256" t="n">
        <v>235</v>
      </c>
      <c r="F302" s="1255" t="inlineStr">
        <is>
          <t>4wk Extended Course</t>
        </is>
      </c>
      <c r="G302" s="1255" t="inlineStr">
        <is>
          <t>Google</t>
        </is>
      </c>
    </row>
    <row r="303" ht="13.5" customHeight="1" s="1232">
      <c r="A303" s="1413" t="n">
        <v>42982</v>
      </c>
      <c r="B303" s="1255" t="inlineStr">
        <is>
          <t>Marius Ciobanu</t>
        </is>
      </c>
      <c r="C303" s="1255" t="inlineStr">
        <is>
          <t>courses/masterclasses</t>
        </is>
      </c>
      <c r="D303" s="1255" t="inlineStr">
        <is>
          <t>Bank</t>
        </is>
      </c>
      <c r="E303" s="1256" t="n">
        <v>65</v>
      </c>
      <c r="F303" s="1255" t="inlineStr">
        <is>
          <t>5wk Course</t>
        </is>
      </c>
      <c r="G303" s="1255" t="inlineStr">
        <is>
          <t>ELS</t>
        </is>
      </c>
    </row>
    <row r="304" ht="13.5" customHeight="1" s="1232">
      <c r="A304" s="1413" t="n">
        <v>42982</v>
      </c>
      <c r="B304" s="1255" t="inlineStr">
        <is>
          <t>Daniel Thomas</t>
        </is>
      </c>
      <c r="C304" s="1255" t="inlineStr">
        <is>
          <t>courses/masterclasses</t>
        </is>
      </c>
      <c r="D304" s="1255" t="inlineStr">
        <is>
          <t>Bank</t>
        </is>
      </c>
      <c r="E304" s="1256" t="n">
        <v>65</v>
      </c>
      <c r="F304" s="1255" t="inlineStr">
        <is>
          <t>5wk Course</t>
        </is>
      </c>
      <c r="G304" s="1255" t="inlineStr">
        <is>
          <t>ELS</t>
        </is>
      </c>
    </row>
    <row r="305" ht="13.5" customHeight="1" s="1232">
      <c r="A305" s="1413" t="n">
        <v>42982</v>
      </c>
      <c r="B305" s="1255" t="inlineStr">
        <is>
          <t>Geoff Dedman</t>
        </is>
      </c>
      <c r="C305" s="1255" t="inlineStr">
        <is>
          <t>other</t>
        </is>
      </c>
      <c r="D305" s="1255" t="inlineStr">
        <is>
          <t>Paypal</t>
        </is>
      </c>
      <c r="E305" s="1256" t="n">
        <v>46.34</v>
      </c>
      <c r="F305" s="1255" t="inlineStr">
        <is>
          <t>Prints</t>
        </is>
      </c>
      <c r="G305" s="1255" t="inlineStr">
        <is>
          <t>Zenfolio</t>
        </is>
      </c>
    </row>
    <row r="306" ht="13.5" customHeight="1" s="1232">
      <c r="A306" s="1413" t="n">
        <v>42979</v>
      </c>
      <c r="B306" s="1255" t="inlineStr">
        <is>
          <t>P J E Kirby</t>
        </is>
      </c>
      <c r="C306" s="1255" t="inlineStr">
        <is>
          <t>courses/masterclasses</t>
        </is>
      </c>
      <c r="D306" s="1255" t="inlineStr">
        <is>
          <t>Stripe</t>
        </is>
      </c>
      <c r="E306" s="1256" t="n">
        <v>39</v>
      </c>
      <c r="F306" s="1255" t="inlineStr">
        <is>
          <t>Creative Editing Masterclass</t>
        </is>
      </c>
      <c r="G306" s="1255" t="inlineStr">
        <is>
          <t>Existing</t>
        </is>
      </c>
    </row>
    <row r="307" ht="13.5" customHeight="1" s="1232">
      <c r="A307" s="1413" t="n">
        <v>42979</v>
      </c>
      <c r="B307" s="1255" t="inlineStr">
        <is>
          <t>Sep Pick N Mix</t>
        </is>
      </c>
      <c r="C307" s="1255" t="inlineStr">
        <is>
          <t>pick n mix</t>
        </is>
      </c>
      <c r="D307" s="1255" t="inlineStr">
        <is>
          <t>Various</t>
        </is>
      </c>
      <c r="E307" s="1256" t="n">
        <v>357.98</v>
      </c>
      <c r="F307" s="1255" t="inlineStr">
        <is>
          <t>Pick N Mix Payments</t>
        </is>
      </c>
      <c r="G307" s="1255" t="inlineStr">
        <is>
          <t>Existing</t>
        </is>
      </c>
    </row>
    <row r="308" ht="13.5" customHeight="1" s="1232">
      <c r="A308" s="1413" t="n">
        <v>42979</v>
      </c>
      <c r="B308" s="1255" t="inlineStr">
        <is>
          <t>Sep Mentoring</t>
        </is>
      </c>
      <c r="C308" s="1255" t="inlineStr">
        <is>
          <t>mentoring</t>
        </is>
      </c>
      <c r="D308" s="1255" t="inlineStr">
        <is>
          <t>Various</t>
        </is>
      </c>
      <c r="E308" s="1256" t="n">
        <v>140</v>
      </c>
      <c r="F308" s="1255" t="inlineStr">
        <is>
          <t>Mentoring Subs</t>
        </is>
      </c>
      <c r="G308" s="1255" t="inlineStr">
        <is>
          <t>Existing</t>
        </is>
      </c>
    </row>
    <row r="309">
      <c r="E309" s="1255" t="n"/>
    </row>
    <row r="310" ht="13.9" customHeight="1" s="1232">
      <c r="A310" s="1413" t="n"/>
      <c r="E310" s="1426" t="n"/>
    </row>
    <row r="311" ht="13.9" customHeight="1" s="1232">
      <c r="A311" s="1413" t="n"/>
      <c r="E311" s="1426" t="n"/>
    </row>
    <row r="312" ht="13.9" customHeight="1" s="1232">
      <c r="A312" s="1413" t="n"/>
      <c r="E312" s="1426" t="n"/>
    </row>
    <row r="315" ht="13.5" customHeight="1" s="1232">
      <c r="A315" s="1413" t="n">
        <v>42978</v>
      </c>
      <c r="B315" s="1255" t="inlineStr">
        <is>
          <t>Jieyuan Wu</t>
        </is>
      </c>
      <c r="C315" s="1255" t="inlineStr">
        <is>
          <t>courses/masterclasses</t>
        </is>
      </c>
      <c r="D315" s="1255" t="inlineStr">
        <is>
          <t>Bank</t>
        </is>
      </c>
      <c r="E315" s="1256" t="n">
        <v>35</v>
      </c>
      <c r="F315" s="1255" t="inlineStr">
        <is>
          <t>5wk Course</t>
        </is>
      </c>
      <c r="G315" s="1255" t="inlineStr">
        <is>
          <t>ELS</t>
        </is>
      </c>
    </row>
    <row r="316" ht="13.5" customHeight="1" s="1232">
      <c r="A316" s="1413" t="n">
        <v>42977</v>
      </c>
      <c r="B316" s="1255" t="inlineStr">
        <is>
          <t>Garry Such</t>
        </is>
      </c>
      <c r="C316" s="1255" t="inlineStr">
        <is>
          <t>Other</t>
        </is>
      </c>
      <c r="D316" s="1255" t="inlineStr">
        <is>
          <t>Stripe</t>
        </is>
      </c>
      <c r="E316" s="1256" t="n">
        <v>30</v>
      </c>
      <c r="F316" s="1255" t="inlineStr">
        <is>
          <t>Forum</t>
        </is>
      </c>
      <c r="G316" s="1255" t="inlineStr">
        <is>
          <t>Existing</t>
        </is>
      </c>
    </row>
    <row r="317" ht="13.5" customHeight="1" s="1232">
      <c r="A317" s="1413" t="n">
        <v>42976</v>
      </c>
      <c r="B317" s="1255" t="inlineStr">
        <is>
          <t>Tracy Kenny</t>
        </is>
      </c>
      <c r="C317" s="1255" t="inlineStr">
        <is>
          <t>courses/masterclasses</t>
        </is>
      </c>
      <c r="D317" s="1255" t="inlineStr">
        <is>
          <t>Cash</t>
        </is>
      </c>
      <c r="E317" s="1256" t="n">
        <v>10</v>
      </c>
      <c r="F317" s="1255" t="inlineStr">
        <is>
          <t>Deposit 4wk Course</t>
        </is>
      </c>
      <c r="G317" s="1255" t="inlineStr">
        <is>
          <t>Google</t>
        </is>
      </c>
    </row>
    <row r="318" ht="13.5" customHeight="1" s="1232">
      <c r="A318" s="1413" t="n">
        <v>42976</v>
      </c>
      <c r="B318" s="1255" t="inlineStr">
        <is>
          <t>Scott Bremner</t>
        </is>
      </c>
      <c r="C318" s="1255" t="inlineStr">
        <is>
          <t>courses/masterclasses</t>
        </is>
      </c>
      <c r="D318" s="1255" t="inlineStr">
        <is>
          <t>Bank</t>
        </is>
      </c>
      <c r="E318" s="1256" t="n">
        <v>65</v>
      </c>
      <c r="F318" s="1255" t="inlineStr">
        <is>
          <t>5wk Course</t>
        </is>
      </c>
      <c r="G318" s="1255" t="inlineStr">
        <is>
          <t>ELS</t>
        </is>
      </c>
    </row>
    <row r="319" ht="13.5" customHeight="1" s="1232">
      <c r="A319" s="1413" t="n">
        <v>42973</v>
      </c>
      <c r="B319" s="1255" t="inlineStr">
        <is>
          <t>Chris Parker</t>
        </is>
      </c>
      <c r="C319" s="1255" t="inlineStr">
        <is>
          <t>courses/masterclasses</t>
        </is>
      </c>
      <c r="D319" s="1255" t="inlineStr">
        <is>
          <t>Bank</t>
        </is>
      </c>
      <c r="E319" s="1256" t="n">
        <v>35</v>
      </c>
      <c r="F319" s="1255" t="inlineStr">
        <is>
          <t>Masterclass</t>
        </is>
      </c>
      <c r="G319" s="1255" t="inlineStr">
        <is>
          <t>Existing</t>
        </is>
      </c>
    </row>
    <row r="320" ht="13.5" customHeight="1" s="1232">
      <c r="A320" s="1413" t="n">
        <v>42973</v>
      </c>
      <c r="B320" s="1255" t="inlineStr">
        <is>
          <t>Justin Meaden</t>
        </is>
      </c>
      <c r="C320" s="1255" t="inlineStr">
        <is>
          <t>workshops</t>
        </is>
      </c>
      <c r="D320" s="1255" t="inlineStr">
        <is>
          <t>Bank</t>
        </is>
      </c>
      <c r="E320" s="1256" t="n">
        <v>995</v>
      </c>
      <c r="F320" s="1255" t="inlineStr">
        <is>
          <t>Northumbria</t>
        </is>
      </c>
      <c r="G320" s="1255" t="inlineStr">
        <is>
          <t>Google</t>
        </is>
      </c>
    </row>
    <row r="321" ht="13.5" customHeight="1" s="1232">
      <c r="A321" s="1413" t="n">
        <v>42973</v>
      </c>
      <c r="B321" s="1255" t="inlineStr">
        <is>
          <t>Govindan Raghuraman</t>
        </is>
      </c>
      <c r="C321" s="1255" t="inlineStr">
        <is>
          <t>courses/masterclasses</t>
        </is>
      </c>
      <c r="D321" s="1255" t="inlineStr">
        <is>
          <t>PayPal</t>
        </is>
      </c>
      <c r="E321" s="1256" t="n">
        <v>25</v>
      </c>
      <c r="F321" s="1255" t="inlineStr">
        <is>
          <t>Intro Class</t>
        </is>
      </c>
      <c r="G321" s="1255" t="inlineStr">
        <is>
          <t>Google</t>
        </is>
      </c>
    </row>
    <row r="322" ht="13.5" customHeight="1" s="1232">
      <c r="A322" s="1413" t="n">
        <v>42973</v>
      </c>
      <c r="B322" s="1255" t="inlineStr">
        <is>
          <t>Roger Carlisle</t>
        </is>
      </c>
      <c r="C322" s="1255" t="inlineStr">
        <is>
          <t>courses/masterclasses</t>
        </is>
      </c>
      <c r="D322" s="1255" t="inlineStr">
        <is>
          <t>Groupon</t>
        </is>
      </c>
      <c r="E322" s="1256" t="n">
        <v>13</v>
      </c>
      <c r="F322" s="1255" t="inlineStr">
        <is>
          <t>Intro Class</t>
        </is>
      </c>
      <c r="G322" s="1255" t="inlineStr">
        <is>
          <t>Groupon</t>
        </is>
      </c>
    </row>
    <row r="323" ht="13.5" customHeight="1" s="1232">
      <c r="A323" s="1413" t="n">
        <v>42972</v>
      </c>
      <c r="B323" s="1255" t="inlineStr">
        <is>
          <t>Len Sutton</t>
        </is>
      </c>
      <c r="C323" s="1255" t="inlineStr">
        <is>
          <t>courses/masterclasses</t>
        </is>
      </c>
      <c r="D323" s="1255" t="inlineStr">
        <is>
          <t>Stripe</t>
        </is>
      </c>
      <c r="E323" s="1256" t="n">
        <v>100</v>
      </c>
      <c r="F323" s="1255" t="inlineStr">
        <is>
          <t>Lightroom Course</t>
        </is>
      </c>
      <c r="G323" s="1255" t="inlineStr">
        <is>
          <t>Existing</t>
        </is>
      </c>
    </row>
    <row r="324" ht="13.5" customHeight="1" s="1232">
      <c r="A324" s="1413" t="n">
        <v>42973</v>
      </c>
      <c r="B324" s="1255" t="inlineStr">
        <is>
          <t>Karen Pilotte</t>
        </is>
      </c>
      <c r="C324" s="1255" t="inlineStr">
        <is>
          <t>mentoring</t>
        </is>
      </c>
      <c r="D324" s="1255" t="inlineStr">
        <is>
          <t>PayPal</t>
        </is>
      </c>
      <c r="E324" s="1256" t="n">
        <v>20</v>
      </c>
      <c r="F324" s="1255" t="inlineStr">
        <is>
          <t>Mentoring Subs</t>
        </is>
      </c>
      <c r="G324" s="1255" t="inlineStr">
        <is>
          <t>Google</t>
        </is>
      </c>
    </row>
    <row r="325" ht="13.5" customHeight="1" s="1232">
      <c r="A325" s="1413" t="n">
        <v>42970</v>
      </c>
      <c r="B325" s="1255" t="inlineStr">
        <is>
          <t>Latha Raghuraman</t>
        </is>
      </c>
      <c r="C325" s="1255" t="inlineStr">
        <is>
          <t>courses/masterclasses</t>
        </is>
      </c>
      <c r="D325" s="1255" t="inlineStr">
        <is>
          <t>Groupon</t>
        </is>
      </c>
      <c r="E325" s="1256" t="n">
        <v>13</v>
      </c>
      <c r="F325" s="1255" t="inlineStr">
        <is>
          <t>Intro Class</t>
        </is>
      </c>
      <c r="G325" s="1255" t="inlineStr">
        <is>
          <t>Groupon</t>
        </is>
      </c>
    </row>
    <row r="326" ht="13.5" customHeight="1" s="1232">
      <c r="A326" s="1413" t="n">
        <v>42970</v>
      </c>
      <c r="B326" s="1255" t="inlineStr">
        <is>
          <t>Michael King</t>
        </is>
      </c>
      <c r="C326" s="1255" t="inlineStr">
        <is>
          <t>courses/masterclasses</t>
        </is>
      </c>
      <c r="D326" s="1255" t="inlineStr">
        <is>
          <t>Bank</t>
        </is>
      </c>
      <c r="E326" s="1256" t="n">
        <v>35</v>
      </c>
      <c r="F326" s="1255" t="inlineStr">
        <is>
          <t>4wk Course Ken</t>
        </is>
      </c>
      <c r="G326" s="1255" t="inlineStr">
        <is>
          <t>ELS</t>
        </is>
      </c>
    </row>
    <row r="327" ht="13.5" customHeight="1" s="1232">
      <c r="A327" s="1413" t="n">
        <v>42969</v>
      </c>
      <c r="B327" s="1255" t="inlineStr">
        <is>
          <t>Kim Robert</t>
        </is>
      </c>
      <c r="C327" s="1255" t="inlineStr">
        <is>
          <t>courses/masterclasses</t>
        </is>
      </c>
      <c r="D327" s="1255" t="inlineStr">
        <is>
          <t>Bank</t>
        </is>
      </c>
      <c r="E327" s="1256" t="n">
        <v>65</v>
      </c>
      <c r="F327" s="1255" t="inlineStr">
        <is>
          <t>5wk Course Ken</t>
        </is>
      </c>
      <c r="G327" s="1255" t="inlineStr">
        <is>
          <t>ELS</t>
        </is>
      </c>
    </row>
    <row r="328" ht="13.5" customHeight="1" s="1232">
      <c r="A328" s="1413" t="n">
        <v>42968</v>
      </c>
      <c r="B328" s="1255" t="inlineStr">
        <is>
          <t>James Bennett</t>
        </is>
      </c>
      <c r="C328" s="1255" t="inlineStr">
        <is>
          <t>workshops</t>
        </is>
      </c>
      <c r="D328" s="1255" t="inlineStr">
        <is>
          <t>W-Play</t>
        </is>
      </c>
      <c r="E328" s="1256" t="n">
        <v>195</v>
      </c>
      <c r="F328" s="1255" t="inlineStr">
        <is>
          <t>Peak District</t>
        </is>
      </c>
      <c r="G328" s="1255" t="inlineStr">
        <is>
          <t>Google</t>
        </is>
      </c>
    </row>
    <row r="329" ht="13.5" customHeight="1" s="1232">
      <c r="A329" s="1413" t="n">
        <v>42968</v>
      </c>
      <c r="B329" s="1255" t="inlineStr">
        <is>
          <t>Gee Nandhra</t>
        </is>
      </c>
      <c r="C329" s="1255" t="inlineStr">
        <is>
          <t>workshops</t>
        </is>
      </c>
      <c r="D329" s="1255" t="inlineStr">
        <is>
          <t>Bank</t>
        </is>
      </c>
      <c r="E329" s="1256" t="n">
        <v>1200</v>
      </c>
      <c r="F329" s="1255" t="inlineStr">
        <is>
          <t>Anglesey Workshop</t>
        </is>
      </c>
      <c r="G329" s="1255" t="inlineStr">
        <is>
          <t>Google</t>
        </is>
      </c>
    </row>
    <row r="330" ht="13.5" customHeight="1" s="1232">
      <c r="A330" s="1413" t="n">
        <v>42954</v>
      </c>
      <c r="B330" s="1255" t="inlineStr">
        <is>
          <t>Bob Parker</t>
        </is>
      </c>
      <c r="C330" s="1255" t="inlineStr">
        <is>
          <t>courses/masterclasses</t>
        </is>
      </c>
      <c r="D330" s="1255" t="inlineStr">
        <is>
          <t>Groupon</t>
        </is>
      </c>
      <c r="E330" s="1256" t="n">
        <v>13</v>
      </c>
      <c r="F330" s="1255" t="inlineStr">
        <is>
          <t>Intro Class</t>
        </is>
      </c>
      <c r="G330" s="1255" t="inlineStr">
        <is>
          <t>Groupon</t>
        </is>
      </c>
    </row>
    <row r="331" ht="13.5" customHeight="1" s="1232">
      <c r="A331" s="1413" t="n">
        <v>42962</v>
      </c>
      <c r="B331" s="1255" t="inlineStr">
        <is>
          <t>susan ramsey</t>
        </is>
      </c>
      <c r="C331" s="1255" t="inlineStr">
        <is>
          <t>other</t>
        </is>
      </c>
      <c r="D331" s="1255" t="inlineStr">
        <is>
          <t>PayPal</t>
        </is>
      </c>
      <c r="E331" s="1256" t="n">
        <v>8.539999999999999</v>
      </c>
      <c r="F331" s="1255" t="inlineStr">
        <is>
          <t>Prints-Zenfolio</t>
        </is>
      </c>
      <c r="G331" s="1255" t="inlineStr">
        <is>
          <t>Zenfolio</t>
        </is>
      </c>
    </row>
    <row r="332" ht="13.5" customHeight="1" s="1232">
      <c r="A332" s="1413" t="n">
        <v>42966</v>
      </c>
      <c r="B332" s="1255" t="inlineStr">
        <is>
          <t>Joyce James</t>
        </is>
      </c>
      <c r="C332" s="1255" t="inlineStr">
        <is>
          <t>pick n mix</t>
        </is>
      </c>
      <c r="D332" s="1255" t="inlineStr">
        <is>
          <t>Bank</t>
        </is>
      </c>
      <c r="E332" s="1256" t="n">
        <v>25.2</v>
      </c>
      <c r="F332" s="1255" t="inlineStr">
        <is>
          <t>Plan shortfall</t>
        </is>
      </c>
      <c r="G332" s="1255" t="inlineStr">
        <is>
          <t>Existing</t>
        </is>
      </c>
    </row>
    <row r="333" ht="13.5" customHeight="1" s="1232">
      <c r="A333" s="1413" t="n">
        <v>42965</v>
      </c>
      <c r="B333" s="1255" t="inlineStr">
        <is>
          <t>Laura Byrne</t>
        </is>
      </c>
      <c r="C333" s="1255" t="inlineStr">
        <is>
          <t>other</t>
        </is>
      </c>
      <c r="D333" s="1255" t="inlineStr">
        <is>
          <t>Cash</t>
        </is>
      </c>
      <c r="E333" s="1256" t="n">
        <v>30</v>
      </c>
      <c r="F333" s="1255" t="inlineStr">
        <is>
          <t>Tripod Hire</t>
        </is>
      </c>
      <c r="G333" s="1255" t="inlineStr">
        <is>
          <t>Existing</t>
        </is>
      </c>
    </row>
    <row r="334" ht="13.5" customHeight="1" s="1232">
      <c r="A334" s="1413" t="n">
        <v>42965</v>
      </c>
      <c r="B334" s="1255" t="inlineStr">
        <is>
          <t>Rebecca Teague</t>
        </is>
      </c>
      <c r="C334" s="1255" t="inlineStr">
        <is>
          <t>workshops</t>
        </is>
      </c>
      <c r="D334" s="1255" t="inlineStr">
        <is>
          <t>Stripe</t>
        </is>
      </c>
      <c r="E334" s="1256" t="n">
        <v>150</v>
      </c>
      <c r="F334" s="1255" t="inlineStr">
        <is>
          <t>Batsford - Oct</t>
        </is>
      </c>
      <c r="G334" s="1255" t="inlineStr">
        <is>
          <t>Existing</t>
        </is>
      </c>
    </row>
    <row r="335" ht="13.5" customHeight="1" s="1232">
      <c r="A335" s="1413" t="n">
        <v>42964</v>
      </c>
      <c r="B335" s="1255" t="inlineStr">
        <is>
          <t>Jeand Dance</t>
        </is>
      </c>
      <c r="C335" s="1255" t="inlineStr">
        <is>
          <t>mentoring</t>
        </is>
      </c>
      <c r="D335" s="1255" t="inlineStr">
        <is>
          <t>PayPal</t>
        </is>
      </c>
      <c r="E335" s="1256" t="n">
        <v>200</v>
      </c>
      <c r="F335" s="1255" t="inlineStr">
        <is>
          <t>Monhtly Mentoring</t>
        </is>
      </c>
      <c r="G335" s="1255" t="inlineStr">
        <is>
          <t>Existing</t>
        </is>
      </c>
    </row>
    <row r="336" ht="13.5" customHeight="1" s="1232">
      <c r="A336" s="1413" t="n">
        <v>42964</v>
      </c>
      <c r="B336" s="1255" t="inlineStr">
        <is>
          <t>Amanda Millican</t>
        </is>
      </c>
      <c r="C336" s="1255" t="inlineStr">
        <is>
          <t>courses/masterclasses</t>
        </is>
      </c>
      <c r="D336" s="1255" t="inlineStr">
        <is>
          <t>Stripe</t>
        </is>
      </c>
      <c r="E336" s="1256" t="n">
        <v>25</v>
      </c>
      <c r="F336" s="1255" t="inlineStr">
        <is>
          <t>Intro Class</t>
        </is>
      </c>
      <c r="G336" s="1255" t="inlineStr">
        <is>
          <t>Google</t>
        </is>
      </c>
    </row>
    <row r="337" ht="13.5" customHeight="1" s="1232">
      <c r="A337" s="1413" t="n">
        <v>42964</v>
      </c>
      <c r="B337" s="1255" t="inlineStr">
        <is>
          <t>Nira Panchal</t>
        </is>
      </c>
      <c r="C337" s="1255" t="inlineStr">
        <is>
          <t>courses/masterclasses</t>
        </is>
      </c>
      <c r="D337" s="1255" t="inlineStr">
        <is>
          <t>Stripe</t>
        </is>
      </c>
      <c r="E337" s="1256" t="n">
        <v>50</v>
      </c>
      <c r="F337" s="1255" t="inlineStr">
        <is>
          <t>Intro Class x 2</t>
        </is>
      </c>
      <c r="G337" s="1255" t="inlineStr">
        <is>
          <t>Google</t>
        </is>
      </c>
    </row>
    <row r="338" ht="13.5" customHeight="1" s="1232">
      <c r="A338" s="1413" t="n">
        <v>42963</v>
      </c>
      <c r="B338" s="1255" t="inlineStr">
        <is>
          <t>Marguerite Kirby</t>
        </is>
      </c>
      <c r="C338" s="1255" t="inlineStr">
        <is>
          <t>workshops</t>
        </is>
      </c>
      <c r="D338" s="1255" t="inlineStr">
        <is>
          <t>W-Play</t>
        </is>
      </c>
      <c r="E338" s="1256" t="n">
        <v>20</v>
      </c>
      <c r="F338" s="1255" t="inlineStr">
        <is>
          <t>Batsford - Oct</t>
        </is>
      </c>
      <c r="G338" s="1255" t="inlineStr">
        <is>
          <t>Batsford</t>
        </is>
      </c>
    </row>
    <row r="339" ht="13.5" customHeight="1" s="1232">
      <c r="A339" s="1413" t="n">
        <v>42962</v>
      </c>
      <c r="B339" s="1255" t="inlineStr">
        <is>
          <t>Janet Boulter</t>
        </is>
      </c>
      <c r="C339" s="1255" t="inlineStr">
        <is>
          <t>courses/masterclasses</t>
        </is>
      </c>
      <c r="D339" s="1255" t="inlineStr">
        <is>
          <t>Stripe</t>
        </is>
      </c>
      <c r="E339" s="1256" t="n">
        <v>135</v>
      </c>
      <c r="F339" s="1255" t="inlineStr">
        <is>
          <t>3 x Masterclasses</t>
        </is>
      </c>
      <c r="G339" s="1255" t="inlineStr">
        <is>
          <t>Existing</t>
        </is>
      </c>
    </row>
    <row r="340" ht="13.5" customHeight="1" s="1232">
      <c r="A340" s="1413" t="n">
        <v>42961</v>
      </c>
      <c r="B340" s="1255" t="inlineStr">
        <is>
          <t>Rebecca English</t>
        </is>
      </c>
      <c r="C340" s="1255" t="inlineStr">
        <is>
          <t>workshops</t>
        </is>
      </c>
      <c r="D340" s="1255" t="inlineStr">
        <is>
          <t>PayPal</t>
        </is>
      </c>
      <c r="E340" s="1256" t="n">
        <v>65</v>
      </c>
      <c r="F340" s="1255" t="inlineStr">
        <is>
          <t>Chesterton Sunset</t>
        </is>
      </c>
      <c r="G340" s="1255" t="inlineStr">
        <is>
          <t>Existing</t>
        </is>
      </c>
    </row>
    <row r="341" ht="13.5" customHeight="1" s="1232">
      <c r="A341" s="1413" t="n">
        <v>42959</v>
      </c>
      <c r="B341" s="1255" t="inlineStr">
        <is>
          <t>Elaine Castleford</t>
        </is>
      </c>
      <c r="C341" s="1255" t="inlineStr">
        <is>
          <t>courses/masterclasses</t>
        </is>
      </c>
      <c r="D341" s="1255" t="inlineStr">
        <is>
          <t>Stripe</t>
        </is>
      </c>
      <c r="E341" s="1256" t="n">
        <v>25</v>
      </c>
      <c r="F341" s="1255" t="inlineStr">
        <is>
          <t>Intro Class</t>
        </is>
      </c>
      <c r="G341" s="1255" t="inlineStr">
        <is>
          <t>Google</t>
        </is>
      </c>
    </row>
    <row r="342" ht="13.5" customHeight="1" s="1232">
      <c r="A342" s="1413" t="n">
        <v>42953</v>
      </c>
      <c r="B342" s="1255" t="inlineStr">
        <is>
          <t>Janice Jordan</t>
        </is>
      </c>
      <c r="C342" s="1255" t="inlineStr">
        <is>
          <t>workshops</t>
        </is>
      </c>
      <c r="D342" s="1255" t="inlineStr">
        <is>
          <t>Stripe</t>
        </is>
      </c>
      <c r="E342" s="1256" t="n">
        <v>160</v>
      </c>
      <c r="F342" s="1255" t="inlineStr">
        <is>
          <t>Workshop</t>
        </is>
      </c>
      <c r="G342" s="1255" t="inlineStr">
        <is>
          <t>Existing</t>
        </is>
      </c>
    </row>
    <row r="343" ht="13.5" customHeight="1" s="1232">
      <c r="A343" s="1413" t="n">
        <v>42950</v>
      </c>
      <c r="B343" s="1255" t="inlineStr">
        <is>
          <t>toby arnold</t>
        </is>
      </c>
      <c r="C343" s="1255" t="inlineStr">
        <is>
          <t>workshops</t>
        </is>
      </c>
      <c r="D343" s="1255" t="inlineStr">
        <is>
          <t>Stripe</t>
        </is>
      </c>
      <c r="E343" s="1256" t="n">
        <v>10</v>
      </c>
      <c r="F343" s="1255" t="inlineStr">
        <is>
          <t>Photo Walk</t>
        </is>
      </c>
      <c r="G343" s="1255" t="inlineStr">
        <is>
          <t>Google</t>
        </is>
      </c>
    </row>
    <row r="344" ht="13.5" customHeight="1" s="1232">
      <c r="A344" s="1413" t="n">
        <v>42950</v>
      </c>
      <c r="B344" s="1255" t="inlineStr">
        <is>
          <t>tracy atureliya</t>
        </is>
      </c>
      <c r="C344" s="1255" t="inlineStr">
        <is>
          <t>workshops</t>
        </is>
      </c>
      <c r="D344" s="1255" t="inlineStr">
        <is>
          <t>PayPal</t>
        </is>
      </c>
      <c r="E344" s="1256" t="n">
        <v>65</v>
      </c>
      <c r="F344" s="1255" t="inlineStr">
        <is>
          <t>Workshop</t>
        </is>
      </c>
      <c r="G344" s="1255" t="inlineStr">
        <is>
          <t>Google</t>
        </is>
      </c>
    </row>
    <row r="345" ht="13.5" customHeight="1" s="1232">
      <c r="A345" s="1413" t="n">
        <v>42948</v>
      </c>
      <c r="B345" s="1255" t="inlineStr">
        <is>
          <t>Aug Pick N Mix</t>
        </is>
      </c>
      <c r="C345" s="1255" t="inlineStr">
        <is>
          <t>pick n mix</t>
        </is>
      </c>
      <c r="D345" s="1255" t="inlineStr">
        <is>
          <t>Various</t>
        </is>
      </c>
      <c r="E345" s="1256" t="n">
        <v>701.11</v>
      </c>
      <c r="F345" s="1255" t="inlineStr">
        <is>
          <t>Pick N Mix Payments</t>
        </is>
      </c>
      <c r="G345" s="1255" t="inlineStr">
        <is>
          <t>Existing</t>
        </is>
      </c>
    </row>
    <row r="346" ht="13.5" customHeight="1" s="1232">
      <c r="A346" s="1413" t="n">
        <v>42948</v>
      </c>
      <c r="B346" s="1255" t="inlineStr">
        <is>
          <t>Aug Mentoring</t>
        </is>
      </c>
      <c r="C346" s="1255" t="inlineStr">
        <is>
          <t>mentoring</t>
        </is>
      </c>
      <c r="D346" s="1255" t="inlineStr">
        <is>
          <t>Various</t>
        </is>
      </c>
      <c r="E346" s="1256" t="n">
        <v>140</v>
      </c>
      <c r="F346" s="1255" t="inlineStr">
        <is>
          <t>Mentoring Subs</t>
        </is>
      </c>
      <c r="G346" s="1255" t="inlineStr">
        <is>
          <t>Existing</t>
        </is>
      </c>
    </row>
    <row r="347">
      <c r="E347" s="1293" t="n"/>
    </row>
    <row r="348" ht="13.5" customHeight="1" s="1232">
      <c r="A348" s="1413" t="n"/>
      <c r="E348" s="1293" t="n"/>
    </row>
    <row r="349" ht="13.5" customHeight="1" s="1232">
      <c r="A349" s="1413" t="n">
        <v>42947</v>
      </c>
      <c r="B349" s="1255" t="inlineStr">
        <is>
          <t>Catherine Brandist</t>
        </is>
      </c>
      <c r="C349" s="1255" t="inlineStr">
        <is>
          <t>courses/masterclasses</t>
        </is>
      </c>
      <c r="D349" s="1255" t="inlineStr">
        <is>
          <t>Groupon</t>
        </is>
      </c>
      <c r="E349" s="1256" t="n">
        <v>13</v>
      </c>
      <c r="F349" s="1255" t="inlineStr">
        <is>
          <t>Intro Class</t>
        </is>
      </c>
      <c r="G349" s="1255" t="inlineStr">
        <is>
          <t>Groupon</t>
        </is>
      </c>
    </row>
    <row r="350" ht="13.5" customHeight="1" s="1232">
      <c r="A350" s="1413" t="n">
        <v>42947</v>
      </c>
      <c r="B350" s="1255" t="inlineStr">
        <is>
          <t xml:space="preserve">Stewart Twilton </t>
        </is>
      </c>
      <c r="C350" s="1255" t="inlineStr">
        <is>
          <t>workshops</t>
        </is>
      </c>
      <c r="D350" s="1255" t="inlineStr">
        <is>
          <t>Bank</t>
        </is>
      </c>
      <c r="E350" s="1256" t="n">
        <v>15</v>
      </c>
      <c r="F350" s="1255" t="inlineStr">
        <is>
          <t>Workshop</t>
        </is>
      </c>
      <c r="G350" s="1255" t="inlineStr">
        <is>
          <t>ELS</t>
        </is>
      </c>
    </row>
    <row r="351" ht="13.5" customHeight="1" s="1232">
      <c r="A351" s="1413" t="n">
        <v>42941</v>
      </c>
      <c r="B351" s="1255" t="inlineStr">
        <is>
          <t>Ran Tao</t>
        </is>
      </c>
      <c r="C351" s="1255" t="inlineStr">
        <is>
          <t>courses/masterclasses</t>
        </is>
      </c>
      <c r="D351" s="1255" t="inlineStr">
        <is>
          <t>Bank</t>
        </is>
      </c>
      <c r="E351" s="1256" t="n">
        <v>65</v>
      </c>
      <c r="F351" s="1255" t="inlineStr">
        <is>
          <t>5wk course</t>
        </is>
      </c>
      <c r="G351" s="1255" t="inlineStr">
        <is>
          <t>ELS</t>
        </is>
      </c>
    </row>
    <row r="352" ht="13.5" customHeight="1" s="1232">
      <c r="A352" s="1413" t="n">
        <v>42941</v>
      </c>
      <c r="B352" s="1255" t="inlineStr">
        <is>
          <t>JB ?</t>
        </is>
      </c>
      <c r="C352" s="1255" t="inlineStr">
        <is>
          <t>courses/masterclasses</t>
        </is>
      </c>
      <c r="D352" s="1255" t="inlineStr">
        <is>
          <t>Bank</t>
        </is>
      </c>
      <c r="E352" s="1256" t="n">
        <v>63.5</v>
      </c>
      <c r="F352" s="1255" t="inlineStr">
        <is>
          <t>?</t>
        </is>
      </c>
      <c r="G352" s="1255" t="inlineStr">
        <is>
          <t>Other</t>
        </is>
      </c>
    </row>
    <row r="353" ht="13.5" customHeight="1" s="1232">
      <c r="A353" s="1413" t="n">
        <v>42941</v>
      </c>
      <c r="B353" s="1255" t="inlineStr">
        <is>
          <t>Ian Hodgetts - ELS</t>
        </is>
      </c>
      <c r="C353" s="1255" t="inlineStr">
        <is>
          <t>courses/masterclasses</t>
        </is>
      </c>
      <c r="D353" s="1255" t="inlineStr">
        <is>
          <t>Bank</t>
        </is>
      </c>
      <c r="E353" s="1256" t="n">
        <v>200</v>
      </c>
      <c r="F353" s="1255" t="inlineStr">
        <is>
          <t>5wk course</t>
        </is>
      </c>
      <c r="G353" s="1255" t="inlineStr">
        <is>
          <t>ELS</t>
        </is>
      </c>
    </row>
    <row r="354" ht="13.5" customHeight="1" s="1232">
      <c r="A354" s="1413" t="n">
        <v>42941</v>
      </c>
      <c r="B354" s="1255" t="inlineStr">
        <is>
          <t>siobhan bushell</t>
        </is>
      </c>
      <c r="C354" s="1255" t="inlineStr">
        <is>
          <t>workshops</t>
        </is>
      </c>
      <c r="D354" s="1255" t="inlineStr">
        <is>
          <t>Stripe</t>
        </is>
      </c>
      <c r="E354" s="1256" t="n">
        <v>35</v>
      </c>
      <c r="F354" s="1255" t="inlineStr">
        <is>
          <t>Batsford Workshop</t>
        </is>
      </c>
      <c r="G354" s="1255" t="inlineStr">
        <is>
          <t>Batsford</t>
        </is>
      </c>
    </row>
    <row r="355" ht="13.5" customHeight="1" s="1232">
      <c r="A355" s="1413" t="n">
        <v>42940</v>
      </c>
      <c r="B355" s="1255" t="inlineStr">
        <is>
          <t>Stephanie Franks</t>
        </is>
      </c>
      <c r="C355" s="1255" t="inlineStr">
        <is>
          <t>courses/masterclasses</t>
        </is>
      </c>
      <c r="D355" s="1255" t="inlineStr">
        <is>
          <t>Groupon</t>
        </is>
      </c>
      <c r="E355" s="1256" t="n">
        <v>13</v>
      </c>
      <c r="F355" s="1255" t="inlineStr">
        <is>
          <t>Intro Class</t>
        </is>
      </c>
      <c r="G355" s="1255" t="inlineStr">
        <is>
          <t>Groupon</t>
        </is>
      </c>
    </row>
    <row r="356" ht="13.5" customHeight="1" s="1232">
      <c r="A356" s="1413" t="n">
        <v>42939</v>
      </c>
      <c r="B356" s="1255" t="inlineStr">
        <is>
          <t>Jessica Welge</t>
        </is>
      </c>
      <c r="C356" s="1255" t="inlineStr">
        <is>
          <t>workshops</t>
        </is>
      </c>
      <c r="D356" s="1255" t="inlineStr">
        <is>
          <t>Stripe</t>
        </is>
      </c>
      <c r="E356" s="1256" t="n">
        <v>450</v>
      </c>
      <c r="F356" s="1255" t="inlineStr">
        <is>
          <t>Norfolk</t>
        </is>
      </c>
      <c r="G356" s="1255" t="inlineStr">
        <is>
          <t>Google</t>
        </is>
      </c>
    </row>
    <row r="357" ht="13.5" customHeight="1" s="1232">
      <c r="A357" s="1413" t="n">
        <v>42939</v>
      </c>
      <c r="B357" s="1255" t="inlineStr">
        <is>
          <t>Tim Payne</t>
        </is>
      </c>
      <c r="C357" s="1255" t="inlineStr">
        <is>
          <t>courses/masterclasses</t>
        </is>
      </c>
      <c r="D357" s="1255" t="inlineStr">
        <is>
          <t>Bank</t>
        </is>
      </c>
      <c r="E357" s="1256" t="n">
        <v>75</v>
      </c>
      <c r="F357" s="1255" t="inlineStr">
        <is>
          <t>Portriats Course</t>
        </is>
      </c>
      <c r="G357" s="1255" t="inlineStr">
        <is>
          <t>Google</t>
        </is>
      </c>
    </row>
    <row r="358" ht="13.5" customHeight="1" s="1232">
      <c r="A358" s="1413" t="n">
        <v>42937</v>
      </c>
      <c r="B358" s="1255" t="inlineStr">
        <is>
          <t>Jean Dance</t>
        </is>
      </c>
      <c r="C358" s="1255" t="inlineStr">
        <is>
          <t>courses/masterclasses</t>
        </is>
      </c>
      <c r="D358" s="1255" t="inlineStr">
        <is>
          <t>Stripe</t>
        </is>
      </c>
      <c r="E358" s="1256" t="n">
        <v>35</v>
      </c>
      <c r="F358" s="1255" t="inlineStr">
        <is>
          <t>photo critique</t>
        </is>
      </c>
      <c r="G358" s="1255" t="inlineStr">
        <is>
          <t>Existing</t>
        </is>
      </c>
    </row>
    <row r="359" ht="13.5" customHeight="1" s="1232">
      <c r="A359" s="1413" t="n">
        <v>42937</v>
      </c>
      <c r="B359" s="1255" t="inlineStr">
        <is>
          <t>Aikaterini Fotoglou</t>
        </is>
      </c>
      <c r="C359" s="1255" t="inlineStr">
        <is>
          <t>courses/masterclasses</t>
        </is>
      </c>
      <c r="D359" s="1255" t="inlineStr">
        <is>
          <t>Bank</t>
        </is>
      </c>
      <c r="E359" s="1256" t="n">
        <v>65</v>
      </c>
      <c r="F359" s="1255" t="inlineStr">
        <is>
          <t>5wk course</t>
        </is>
      </c>
      <c r="G359" s="1255" t="inlineStr">
        <is>
          <t>ELS</t>
        </is>
      </c>
    </row>
    <row r="360" ht="13.5" customHeight="1" s="1232">
      <c r="A360" s="1413" t="n">
        <v>42937</v>
      </c>
      <c r="B360" s="1255" t="inlineStr">
        <is>
          <t>Chris Brain - ELS</t>
        </is>
      </c>
      <c r="C360" s="1255" t="inlineStr">
        <is>
          <t>courses/masterclasses</t>
        </is>
      </c>
      <c r="D360" s="1255" t="inlineStr">
        <is>
          <t>Bank</t>
        </is>
      </c>
      <c r="E360" s="1256" t="n">
        <v>200</v>
      </c>
      <c r="F360" s="1255" t="inlineStr">
        <is>
          <t>Course</t>
        </is>
      </c>
      <c r="G360" s="1255" t="inlineStr">
        <is>
          <t>ELS</t>
        </is>
      </c>
    </row>
    <row r="361" ht="13.5" customHeight="1" s="1232">
      <c r="A361" s="1413" t="n">
        <v>42934</v>
      </c>
      <c r="B361" s="1255" t="inlineStr">
        <is>
          <t>Irene Pointon</t>
        </is>
      </c>
      <c r="C361" s="1255" t="inlineStr">
        <is>
          <t>workshops</t>
        </is>
      </c>
      <c r="D361" s="1255" t="inlineStr">
        <is>
          <t>Stripe</t>
        </is>
      </c>
      <c r="E361" s="1256" t="n">
        <v>55</v>
      </c>
      <c r="F361" s="1255" t="inlineStr">
        <is>
          <t>Batsford Workshop</t>
        </is>
      </c>
      <c r="G361" s="1255" t="inlineStr">
        <is>
          <t>Batsford</t>
        </is>
      </c>
    </row>
    <row r="362" ht="13.5" customHeight="1" s="1232">
      <c r="A362" s="1413" t="n">
        <v>42934</v>
      </c>
      <c r="B362" s="1255" t="inlineStr">
        <is>
          <t>Tracey Jones</t>
        </is>
      </c>
      <c r="C362" s="1255" t="inlineStr">
        <is>
          <t>workshops</t>
        </is>
      </c>
      <c r="D362" s="1255" t="inlineStr">
        <is>
          <t>Bank</t>
        </is>
      </c>
      <c r="E362" s="1256" t="n">
        <v>325</v>
      </c>
      <c r="F362" s="1255" t="inlineStr">
        <is>
          <t>Norfolk</t>
        </is>
      </c>
      <c r="G362" s="1255" t="inlineStr">
        <is>
          <t>Google</t>
        </is>
      </c>
    </row>
    <row r="363" ht="13.5" customHeight="1" s="1232">
      <c r="A363" s="1413" t="n">
        <v>42934</v>
      </c>
      <c r="B363" s="1255" t="inlineStr">
        <is>
          <t>Pauline Kerr</t>
        </is>
      </c>
      <c r="C363" s="1255" t="inlineStr">
        <is>
          <t>workshops</t>
        </is>
      </c>
      <c r="D363" s="1255" t="inlineStr">
        <is>
          <t>Bank</t>
        </is>
      </c>
      <c r="E363" s="1256" t="n">
        <v>625</v>
      </c>
      <c r="F363" s="1255" t="inlineStr">
        <is>
          <t>Norfolk</t>
        </is>
      </c>
      <c r="G363" s="1255" t="inlineStr">
        <is>
          <t>Existing</t>
        </is>
      </c>
    </row>
    <row r="364" ht="13.5" customHeight="1" s="1232">
      <c r="A364" s="1413" t="n">
        <v>42933</v>
      </c>
      <c r="B364" s="1255" t="inlineStr">
        <is>
          <t>Eve Ducker</t>
        </is>
      </c>
      <c r="C364" s="1255" t="inlineStr">
        <is>
          <t>courses/masterclasses</t>
        </is>
      </c>
      <c r="D364" s="1255" t="inlineStr">
        <is>
          <t>Groupon</t>
        </is>
      </c>
      <c r="E364" s="1256" t="n">
        <v>13</v>
      </c>
      <c r="F364" s="1255" t="inlineStr">
        <is>
          <t>Intro Class</t>
        </is>
      </c>
      <c r="G364" s="1255" t="inlineStr">
        <is>
          <t>Groupon</t>
        </is>
      </c>
    </row>
    <row r="365" ht="13.5" customHeight="1" s="1232">
      <c r="A365" s="1413" t="n">
        <v>42932</v>
      </c>
      <c r="B365" s="1255" t="inlineStr">
        <is>
          <t>Vivian Drury</t>
        </is>
      </c>
      <c r="C365" s="1255" t="inlineStr">
        <is>
          <t>workshops</t>
        </is>
      </c>
      <c r="D365" s="1255" t="inlineStr">
        <is>
          <t>Stripe</t>
        </is>
      </c>
      <c r="E365" s="1256" t="n">
        <v>65</v>
      </c>
      <c r="F365" s="1255" t="inlineStr">
        <is>
          <t>Chesterton Windmill</t>
        </is>
      </c>
      <c r="G365" s="1255" t="inlineStr">
        <is>
          <t>Existing</t>
        </is>
      </c>
    </row>
    <row r="366" ht="13.5" customHeight="1" s="1232">
      <c r="A366" s="1413" t="n">
        <v>42930</v>
      </c>
      <c r="B366" s="1255" t="inlineStr">
        <is>
          <t>Various</t>
        </is>
      </c>
      <c r="C366" s="1255" t="inlineStr">
        <is>
          <t>other</t>
        </is>
      </c>
      <c r="D366" s="1255" t="inlineStr">
        <is>
          <t>PayPal</t>
        </is>
      </c>
      <c r="E366" s="1256" t="n">
        <v>31.41</v>
      </c>
      <c r="F366" s="1255" t="inlineStr">
        <is>
          <t>Sherbourne Prints</t>
        </is>
      </c>
      <c r="G366" s="1255" t="inlineStr">
        <is>
          <t>Zenfolio</t>
        </is>
      </c>
    </row>
    <row r="367" ht="13.5" customHeight="1" s="1232">
      <c r="A367" s="1413" t="n">
        <v>42922</v>
      </c>
      <c r="B367" s="1255" t="inlineStr">
        <is>
          <t xml:space="preserve">Ben Possee </t>
        </is>
      </c>
      <c r="C367" s="1255" t="inlineStr">
        <is>
          <t>courses/masterclasses</t>
        </is>
      </c>
      <c r="D367" s="1255" t="inlineStr">
        <is>
          <t>Groupon</t>
        </is>
      </c>
      <c r="E367" s="1256" t="n">
        <v>13</v>
      </c>
      <c r="F367" s="1255" t="inlineStr">
        <is>
          <t>Intro Class</t>
        </is>
      </c>
      <c r="G367" s="1255" t="inlineStr">
        <is>
          <t>Groupon</t>
        </is>
      </c>
    </row>
    <row r="368" ht="13.5" customHeight="1" s="1232">
      <c r="A368" s="1413" t="n">
        <v>42922</v>
      </c>
      <c r="B368" s="1255" t="inlineStr">
        <is>
          <t>Tracy Kenny</t>
        </is>
      </c>
      <c r="C368" s="1255" t="inlineStr">
        <is>
          <t>courses/masterclasses</t>
        </is>
      </c>
      <c r="D368" s="1255" t="inlineStr">
        <is>
          <t>Stripe</t>
        </is>
      </c>
      <c r="E368" s="1256" t="n">
        <v>30</v>
      </c>
      <c r="F368" s="1255" t="inlineStr">
        <is>
          <t>Intro Class</t>
        </is>
      </c>
      <c r="G368" s="1255" t="inlineStr">
        <is>
          <t>Google</t>
        </is>
      </c>
    </row>
    <row r="369" ht="13.5" customHeight="1" s="1232">
      <c r="A369" s="1413" t="n">
        <v>42920</v>
      </c>
      <c r="B369" s="1255" t="inlineStr">
        <is>
          <t>Janet Train</t>
        </is>
      </c>
      <c r="C369" s="1255" t="inlineStr">
        <is>
          <t>pick n mix</t>
        </is>
      </c>
      <c r="D369" s="1255" t="inlineStr">
        <is>
          <t>Bank</t>
        </is>
      </c>
      <c r="E369" s="1256" t="n">
        <v>31</v>
      </c>
      <c r="F369" s="1255" t="inlineStr">
        <is>
          <t>Lightroom Course</t>
        </is>
      </c>
      <c r="G369" s="1255" t="inlineStr">
        <is>
          <t>Existing</t>
        </is>
      </c>
    </row>
    <row r="370" ht="13.5" customHeight="1" s="1232">
      <c r="A370" s="1413" t="n">
        <v>42920</v>
      </c>
      <c r="B370" s="1255" t="inlineStr">
        <is>
          <t>Roger Neal</t>
        </is>
      </c>
      <c r="C370" s="1255" t="inlineStr">
        <is>
          <t>workshops</t>
        </is>
      </c>
      <c r="D370" s="1255" t="inlineStr">
        <is>
          <t>Stripe</t>
        </is>
      </c>
      <c r="E370" s="1256" t="n">
        <v>150</v>
      </c>
      <c r="F370" s="1255" t="inlineStr">
        <is>
          <t>Batsford Workshop</t>
        </is>
      </c>
      <c r="G370" s="1255" t="inlineStr">
        <is>
          <t>Batsford</t>
        </is>
      </c>
    </row>
    <row r="371" ht="13.5" customHeight="1" s="1232">
      <c r="A371" s="1413" t="n">
        <v>42920</v>
      </c>
      <c r="B371" s="1255" t="inlineStr">
        <is>
          <t>Laura Charles</t>
        </is>
      </c>
      <c r="C371" s="1255" t="inlineStr">
        <is>
          <t>1-2-1</t>
        </is>
      </c>
      <c r="D371" s="1255" t="inlineStr">
        <is>
          <t>Stripe</t>
        </is>
      </c>
      <c r="E371" s="1256">
        <f>195-48.75</f>
        <v/>
      </c>
      <c r="F371" s="1389" t="inlineStr">
        <is>
          <t>1-2-1</t>
        </is>
      </c>
      <c r="G371" s="1255" t="inlineStr">
        <is>
          <t>Google</t>
        </is>
      </c>
    </row>
    <row r="372" ht="13.5" customHeight="1" s="1232">
      <c r="A372" s="1413" t="n">
        <v>42919</v>
      </c>
      <c r="B372" s="1255" t="inlineStr">
        <is>
          <t>Janet Train</t>
        </is>
      </c>
      <c r="C372" s="1255" t="inlineStr">
        <is>
          <t>pick n mix</t>
        </is>
      </c>
      <c r="D372" s="1255" t="inlineStr">
        <is>
          <t>Bank</t>
        </is>
      </c>
      <c r="E372" s="1256" t="n">
        <v>204.05</v>
      </c>
      <c r="F372" s="1255" t="inlineStr">
        <is>
          <t>Lightroom Course</t>
        </is>
      </c>
      <c r="G372" s="1255" t="inlineStr">
        <is>
          <t>Existing</t>
        </is>
      </c>
    </row>
    <row r="373" ht="13.5" customHeight="1" s="1232">
      <c r="A373" s="1413" t="n">
        <v>42917</v>
      </c>
      <c r="B373" s="1255" t="inlineStr">
        <is>
          <t>Jul Pick N Mix</t>
        </is>
      </c>
      <c r="C373" s="1255" t="inlineStr">
        <is>
          <t>pick n mix</t>
        </is>
      </c>
      <c r="D373" s="1255" t="inlineStr">
        <is>
          <t>Various</t>
        </is>
      </c>
      <c r="E373" s="1256" t="n">
        <v>545.6</v>
      </c>
      <c r="F373" s="1255" t="inlineStr">
        <is>
          <t>Pick N Mix Payments</t>
        </is>
      </c>
      <c r="G373" s="1255" t="inlineStr">
        <is>
          <t>Existing</t>
        </is>
      </c>
    </row>
    <row r="374" ht="13.5" customHeight="1" s="1232">
      <c r="A374" s="1413" t="n">
        <v>42917</v>
      </c>
      <c r="B374" s="1255" t="inlineStr">
        <is>
          <t>Jul Mentoring</t>
        </is>
      </c>
      <c r="C374" s="1255" t="inlineStr">
        <is>
          <t>mentoring</t>
        </is>
      </c>
      <c r="D374" s="1255" t="inlineStr">
        <is>
          <t>Various</t>
        </is>
      </c>
      <c r="E374" s="1256" t="n">
        <v>140</v>
      </c>
      <c r="F374" s="1255" t="inlineStr">
        <is>
          <t>Mentoring Subs</t>
        </is>
      </c>
      <c r="G374" s="1255" t="inlineStr">
        <is>
          <t>Existing</t>
        </is>
      </c>
    </row>
    <row r="375">
      <c r="E375" s="1293" t="n"/>
    </row>
    <row r="376" ht="13.5" customHeight="1" s="1232">
      <c r="A376" s="1413" t="n">
        <v>42916</v>
      </c>
      <c r="B376" s="1255" t="inlineStr">
        <is>
          <t>Paul Kirby</t>
        </is>
      </c>
      <c r="C376" s="1255" t="inlineStr">
        <is>
          <t>other</t>
        </is>
      </c>
      <c r="D376" s="1255" t="inlineStr">
        <is>
          <t>Stripe</t>
        </is>
      </c>
      <c r="E376" s="1256" t="n">
        <v>35</v>
      </c>
      <c r="F376" s="1255" t="inlineStr">
        <is>
          <t>Sensor Clean</t>
        </is>
      </c>
      <c r="G376" s="1255" t="inlineStr">
        <is>
          <t>Existing</t>
        </is>
      </c>
    </row>
    <row r="377" ht="13.5" customHeight="1" s="1232">
      <c r="A377" s="1413" t="n">
        <v>42916</v>
      </c>
      <c r="B377" s="1255" t="inlineStr">
        <is>
          <t>Janet Boulter</t>
        </is>
      </c>
      <c r="C377" s="1255" t="inlineStr">
        <is>
          <t>1-2-1</t>
        </is>
      </c>
      <c r="D377" s="1255" t="inlineStr">
        <is>
          <t>Bank</t>
        </is>
      </c>
      <c r="E377" s="1256" t="n">
        <v>304.15</v>
      </c>
      <c r="F377" s="1389" t="inlineStr">
        <is>
          <t>1-2-1</t>
        </is>
      </c>
      <c r="G377" s="1255" t="inlineStr">
        <is>
          <t>Existing</t>
        </is>
      </c>
    </row>
    <row r="378" ht="13.5" customHeight="1" s="1232">
      <c r="A378" s="1413" t="n">
        <v>42916</v>
      </c>
      <c r="B378" s="1255" t="inlineStr">
        <is>
          <t>Andrew Thompson</t>
        </is>
      </c>
      <c r="C378" s="1255" t="inlineStr">
        <is>
          <t>workshops</t>
        </is>
      </c>
      <c r="D378" s="1255" t="inlineStr">
        <is>
          <t>Stripe</t>
        </is>
      </c>
      <c r="E378" s="1256" t="n">
        <v>48</v>
      </c>
      <c r="F378" s="1255" t="inlineStr">
        <is>
          <t>Sunset</t>
        </is>
      </c>
      <c r="G378" s="1255" t="inlineStr">
        <is>
          <t>Existing</t>
        </is>
      </c>
    </row>
    <row r="379" ht="13.5" customHeight="1" s="1232">
      <c r="A379" s="1413" t="n">
        <v>42914</v>
      </c>
      <c r="B379" s="1255" t="inlineStr">
        <is>
          <t>Sue Phillips</t>
        </is>
      </c>
      <c r="C379" s="1255" t="inlineStr">
        <is>
          <t>workshops</t>
        </is>
      </c>
      <c r="D379" s="1255" t="inlineStr">
        <is>
          <t>PayPal</t>
        </is>
      </c>
      <c r="E379" s="1256" t="n">
        <v>60</v>
      </c>
      <c r="F379" s="1255" t="inlineStr">
        <is>
          <t>Delphiniums</t>
        </is>
      </c>
      <c r="G379" s="1255" t="inlineStr">
        <is>
          <t>Existing</t>
        </is>
      </c>
    </row>
    <row r="380" ht="13.5" customHeight="1" s="1232">
      <c r="A380" s="1413" t="n">
        <v>42914</v>
      </c>
      <c r="B380" s="1255" t="inlineStr">
        <is>
          <t>Graham Ibbetson</t>
        </is>
      </c>
      <c r="C380" s="1255" t="inlineStr">
        <is>
          <t>other</t>
        </is>
      </c>
      <c r="D380" s="1255" t="inlineStr">
        <is>
          <t>Stripe</t>
        </is>
      </c>
      <c r="E380" s="1256" t="n">
        <v>30</v>
      </c>
      <c r="F380" s="1255" t="inlineStr">
        <is>
          <t>Forum</t>
        </is>
      </c>
      <c r="G380" s="1255" t="inlineStr">
        <is>
          <t>Existing</t>
        </is>
      </c>
    </row>
    <row r="381" ht="13.5" customHeight="1" s="1232">
      <c r="A381" s="1413" t="n">
        <v>42909</v>
      </c>
      <c r="B381" s="1255" t="inlineStr">
        <is>
          <t>emily payne</t>
        </is>
      </c>
      <c r="C381" s="1255" t="inlineStr">
        <is>
          <t>other</t>
        </is>
      </c>
      <c r="D381" s="1255" t="inlineStr">
        <is>
          <t>Stripe</t>
        </is>
      </c>
      <c r="E381" s="1256" t="n">
        <v>100</v>
      </c>
      <c r="F381" s="1255" t="inlineStr">
        <is>
          <t>Gift Voucher</t>
        </is>
      </c>
      <c r="G381" s="1255" t="inlineStr">
        <is>
          <t>Google</t>
        </is>
      </c>
    </row>
    <row r="382" ht="13.5" customHeight="1" s="1232">
      <c r="A382" s="1413" t="n">
        <v>42908</v>
      </c>
      <c r="B382" s="1255" t="inlineStr">
        <is>
          <t>Ian Blake - ELS</t>
        </is>
      </c>
      <c r="C382" s="1255" t="inlineStr">
        <is>
          <t>workshops</t>
        </is>
      </c>
      <c r="D382" s="1255" t="inlineStr">
        <is>
          <t>Bank</t>
        </is>
      </c>
      <c r="E382" s="1256" t="n">
        <v>200</v>
      </c>
      <c r="F382" s="1255" t="inlineStr">
        <is>
          <t>ELS Payment</t>
        </is>
      </c>
      <c r="G382" s="1255" t="inlineStr">
        <is>
          <t>ELS</t>
        </is>
      </c>
    </row>
    <row r="383" ht="13.5" customHeight="1" s="1232">
      <c r="A383" s="1413" t="n">
        <v>42907</v>
      </c>
      <c r="B383" s="1255" t="inlineStr">
        <is>
          <t>Janie Chapman</t>
        </is>
      </c>
      <c r="C383" s="1255" t="inlineStr">
        <is>
          <t>workshops</t>
        </is>
      </c>
      <c r="D383" s="1255" t="inlineStr">
        <is>
          <t>Stripe</t>
        </is>
      </c>
      <c r="E383" s="1256" t="n">
        <v>99</v>
      </c>
      <c r="F383" s="1255" t="inlineStr">
        <is>
          <t>Abstract Workshop</t>
        </is>
      </c>
      <c r="G383" s="1255" t="inlineStr">
        <is>
          <t>Google</t>
        </is>
      </c>
    </row>
    <row r="384" ht="13.5" customHeight="1" s="1232">
      <c r="A384" s="1413" t="n">
        <v>42907</v>
      </c>
      <c r="B384" s="1255" t="inlineStr">
        <is>
          <t>Andrew Clifforth</t>
        </is>
      </c>
      <c r="C384" s="1255" t="inlineStr">
        <is>
          <t>workshops</t>
        </is>
      </c>
      <c r="D384" s="1255" t="inlineStr">
        <is>
          <t>Stripe</t>
        </is>
      </c>
      <c r="E384" s="1256" t="n">
        <v>60</v>
      </c>
      <c r="F384" s="1255" t="inlineStr">
        <is>
          <t>Delphiniums</t>
        </is>
      </c>
      <c r="G384" s="1255" t="inlineStr">
        <is>
          <t>Existing</t>
        </is>
      </c>
    </row>
    <row r="385" ht="13.5" customHeight="1" s="1232">
      <c r="A385" s="1413" t="n">
        <v>42907</v>
      </c>
      <c r="B385" s="1255" t="inlineStr">
        <is>
          <t>Jamie Beardmore</t>
        </is>
      </c>
      <c r="C385" s="1255" t="inlineStr">
        <is>
          <t>pick n mix</t>
        </is>
      </c>
      <c r="D385" s="1255" t="inlineStr">
        <is>
          <t>Bank</t>
        </is>
      </c>
      <c r="E385" s="1256" t="n">
        <v>394.2</v>
      </c>
      <c r="F385" s="1255" t="inlineStr">
        <is>
          <t>Settle Plan</t>
        </is>
      </c>
      <c r="G385" s="1255" t="inlineStr">
        <is>
          <t>Existing</t>
        </is>
      </c>
    </row>
    <row r="386" ht="13.5" customHeight="1" s="1232">
      <c r="A386" s="1413" t="n">
        <v>42904</v>
      </c>
      <c r="B386" s="1255" t="inlineStr">
        <is>
          <t>Richard Glendinning</t>
        </is>
      </c>
      <c r="C386" s="1255" t="inlineStr">
        <is>
          <t>workshops</t>
        </is>
      </c>
      <c r="D386" s="1255" t="inlineStr">
        <is>
          <t>Stripe</t>
        </is>
      </c>
      <c r="E386" s="1256" t="n">
        <v>59</v>
      </c>
      <c r="F386" s="1255" t="inlineStr">
        <is>
          <t>Batsford</t>
        </is>
      </c>
      <c r="G386" s="1255" t="inlineStr">
        <is>
          <t>Batsford</t>
        </is>
      </c>
    </row>
    <row r="387" ht="13.5" customHeight="1" s="1232">
      <c r="A387" s="1413" t="n">
        <v>42903</v>
      </c>
      <c r="B387" s="1255" t="inlineStr">
        <is>
          <t>Nick Wright</t>
        </is>
      </c>
      <c r="C387" s="1255" t="inlineStr">
        <is>
          <t>workshops</t>
        </is>
      </c>
      <c r="D387" s="1255" t="inlineStr">
        <is>
          <t>PayPal</t>
        </is>
      </c>
      <c r="E387" s="1256" t="n">
        <v>59</v>
      </c>
      <c r="F387" s="1255" t="inlineStr">
        <is>
          <t>Batsford</t>
        </is>
      </c>
      <c r="G387" s="1255" t="inlineStr">
        <is>
          <t>Batsford</t>
        </is>
      </c>
    </row>
    <row r="388" ht="13.5" customHeight="1" s="1232">
      <c r="A388" s="1413" t="n">
        <v>42902</v>
      </c>
      <c r="B388" s="1255" t="inlineStr">
        <is>
          <t>John Cummings</t>
        </is>
      </c>
      <c r="C388" s="1255" t="inlineStr">
        <is>
          <t>courses/masterclasses</t>
        </is>
      </c>
      <c r="D388" s="1255" t="inlineStr">
        <is>
          <t>PayPal</t>
        </is>
      </c>
      <c r="E388" s="1256" t="n">
        <v>175</v>
      </c>
      <c r="F388" s="1255" t="inlineStr">
        <is>
          <t>Portraits Workshop</t>
        </is>
      </c>
      <c r="G388" s="1255" t="inlineStr">
        <is>
          <t>Existing</t>
        </is>
      </c>
    </row>
    <row r="389" ht="13.5" customHeight="1" s="1232">
      <c r="A389" s="1413" t="n">
        <v>42901</v>
      </c>
      <c r="B389" s="1255" t="inlineStr">
        <is>
          <t xml:space="preserve">Jaz Dhir </t>
        </is>
      </c>
      <c r="C389" s="1255" t="inlineStr">
        <is>
          <t>courses/masterclasses</t>
        </is>
      </c>
      <c r="D389" s="1255" t="inlineStr">
        <is>
          <t>Groupon</t>
        </is>
      </c>
      <c r="E389" s="1256" t="n">
        <v>13</v>
      </c>
      <c r="F389" s="1255" t="inlineStr">
        <is>
          <t>Intro Class</t>
        </is>
      </c>
      <c r="G389" s="1255" t="inlineStr">
        <is>
          <t>Groupon</t>
        </is>
      </c>
    </row>
    <row r="390" ht="13.5" customHeight="1" s="1232">
      <c r="A390" s="1413" t="n">
        <v>42900</v>
      </c>
      <c r="B390" s="1255" t="inlineStr">
        <is>
          <t>humaira parvez</t>
        </is>
      </c>
      <c r="C390" s="1255" t="inlineStr">
        <is>
          <t>workshops</t>
        </is>
      </c>
      <c r="D390" s="1255" t="inlineStr">
        <is>
          <t>Bank</t>
        </is>
      </c>
      <c r="E390" s="1256" t="n">
        <v>500</v>
      </c>
      <c r="F390" s="1389" t="inlineStr">
        <is>
          <t>Workshops</t>
        </is>
      </c>
      <c r="G390" s="1255" t="inlineStr">
        <is>
          <t>Google</t>
        </is>
      </c>
    </row>
    <row r="391" ht="13.5" customHeight="1" s="1232">
      <c r="A391" s="1413" t="n">
        <v>42900</v>
      </c>
      <c r="B391" s="1255" t="inlineStr">
        <is>
          <t>humaira parvez</t>
        </is>
      </c>
      <c r="C391" s="1255" t="inlineStr">
        <is>
          <t>1-2-1</t>
        </is>
      </c>
      <c r="D391" s="1255" t="inlineStr">
        <is>
          <t>Bank</t>
        </is>
      </c>
      <c r="E391" s="1256" t="n">
        <v>1300</v>
      </c>
      <c r="F391" s="1389" t="inlineStr">
        <is>
          <t>1-2-1</t>
        </is>
      </c>
      <c r="G391" s="1255" t="inlineStr">
        <is>
          <t>Google</t>
        </is>
      </c>
    </row>
    <row r="392" ht="13.5" customHeight="1" s="1232">
      <c r="A392" s="1413" t="n">
        <v>42900</v>
      </c>
      <c r="B392" s="1255" t="inlineStr">
        <is>
          <t>Ian Blake</t>
        </is>
      </c>
      <c r="C392" s="1255" t="inlineStr">
        <is>
          <t>workshops</t>
        </is>
      </c>
      <c r="D392" s="1255" t="inlineStr">
        <is>
          <t>Stripe</t>
        </is>
      </c>
      <c r="E392" s="1256" t="n">
        <v>60</v>
      </c>
      <c r="F392" s="1255" t="inlineStr">
        <is>
          <t>19 Poppies</t>
        </is>
      </c>
      <c r="G392" s="1255" t="inlineStr">
        <is>
          <t>Existing</t>
        </is>
      </c>
    </row>
    <row r="393" ht="13.5" customHeight="1" s="1232">
      <c r="A393" s="1413" t="n">
        <v>42899</v>
      </c>
      <c r="B393" s="1255" t="inlineStr">
        <is>
          <t>Pauline Kerr</t>
        </is>
      </c>
      <c r="C393" s="1255" t="inlineStr">
        <is>
          <t>workshops</t>
        </is>
      </c>
      <c r="D393" s="1255" t="inlineStr">
        <is>
          <t>W-Play</t>
        </is>
      </c>
      <c r="E393" s="1256" t="n">
        <v>180</v>
      </c>
      <c r="F393" s="1255" t="inlineStr">
        <is>
          <t>19 Poppies</t>
        </is>
      </c>
      <c r="G393" s="1255" t="inlineStr">
        <is>
          <t>Existing</t>
        </is>
      </c>
    </row>
    <row r="394" ht="13.5" customHeight="1" s="1232">
      <c r="A394" s="1413" t="n">
        <v>42899</v>
      </c>
      <c r="B394" s="1255" t="inlineStr">
        <is>
          <t>Graham Ibbetson</t>
        </is>
      </c>
      <c r="C394" s="1255" t="inlineStr">
        <is>
          <t>workshops</t>
        </is>
      </c>
      <c r="D394" s="1255" t="inlineStr">
        <is>
          <t>Stripe</t>
        </is>
      </c>
      <c r="E394" s="1256" t="n">
        <v>60</v>
      </c>
      <c r="F394" s="1255" t="inlineStr">
        <is>
          <t>22 Poppies</t>
        </is>
      </c>
      <c r="G394" s="1255" t="inlineStr">
        <is>
          <t>Existing</t>
        </is>
      </c>
    </row>
    <row r="395" ht="13.5" customHeight="1" s="1232">
      <c r="A395" s="1413" t="n">
        <v>42899</v>
      </c>
      <c r="B395" s="1255" t="inlineStr">
        <is>
          <t>Zoe Eardley</t>
        </is>
      </c>
      <c r="C395" s="1255" t="inlineStr">
        <is>
          <t>workshops</t>
        </is>
      </c>
      <c r="D395" s="1255" t="inlineStr">
        <is>
          <t>Stripe</t>
        </is>
      </c>
      <c r="E395" s="1256" t="n">
        <v>60</v>
      </c>
      <c r="F395" s="1255" t="inlineStr">
        <is>
          <t>21 Poppies</t>
        </is>
      </c>
      <c r="G395" s="1255" t="inlineStr">
        <is>
          <t>Google</t>
        </is>
      </c>
    </row>
    <row r="396" ht="13.5" customHeight="1" s="1232">
      <c r="A396" s="1413" t="n">
        <v>42898</v>
      </c>
      <c r="B396" s="1255" t="inlineStr">
        <is>
          <t>Linn Ashmore</t>
        </is>
      </c>
      <c r="C396" s="1255" t="inlineStr">
        <is>
          <t>other</t>
        </is>
      </c>
      <c r="D396" s="1255" t="inlineStr">
        <is>
          <t>Stripe</t>
        </is>
      </c>
      <c r="E396" s="1256" t="n">
        <v>64.8</v>
      </c>
      <c r="F396" s="1255" t="inlineStr">
        <is>
          <t>Gift Voucher</t>
        </is>
      </c>
      <c r="G396" s="1255" t="inlineStr">
        <is>
          <t>Google</t>
        </is>
      </c>
    </row>
    <row r="397" ht="13.5" customHeight="1" s="1232">
      <c r="A397" s="1413" t="n">
        <v>42897</v>
      </c>
      <c r="B397" s="1255" t="inlineStr">
        <is>
          <t>Jo Rogers</t>
        </is>
      </c>
      <c r="C397" s="1255" t="inlineStr">
        <is>
          <t>other</t>
        </is>
      </c>
      <c r="D397" s="1255" t="inlineStr">
        <is>
          <t>PayPal</t>
        </is>
      </c>
      <c r="E397" s="1256" t="n">
        <v>30</v>
      </c>
      <c r="F397" s="1255" t="inlineStr">
        <is>
          <t>Forum</t>
        </is>
      </c>
      <c r="G397" s="1255" t="inlineStr">
        <is>
          <t>Existing</t>
        </is>
      </c>
    </row>
    <row r="398" ht="13.5" customHeight="1" s="1232">
      <c r="A398" s="1413" t="n">
        <v>42896</v>
      </c>
      <c r="B398" s="1255" t="inlineStr">
        <is>
          <t>Janet Towers</t>
        </is>
      </c>
      <c r="C398" s="1255" t="inlineStr">
        <is>
          <t>workshops</t>
        </is>
      </c>
      <c r="D398" s="1255" t="inlineStr">
        <is>
          <t>Stripe</t>
        </is>
      </c>
      <c r="E398" s="1256" t="n">
        <v>60</v>
      </c>
      <c r="F398" s="1255" t="inlineStr">
        <is>
          <t>Delphiniums</t>
        </is>
      </c>
      <c r="G398" s="1255" t="inlineStr">
        <is>
          <t>Existing</t>
        </is>
      </c>
    </row>
    <row r="399" ht="13.5" customHeight="1" s="1232">
      <c r="A399" s="1413" t="n">
        <v>42895</v>
      </c>
      <c r="B399" s="1255" t="inlineStr">
        <is>
          <t>Martin Smith</t>
        </is>
      </c>
      <c r="C399" s="1255" t="inlineStr">
        <is>
          <t>workshops</t>
        </is>
      </c>
      <c r="D399" s="1255" t="inlineStr">
        <is>
          <t>Stripe</t>
        </is>
      </c>
      <c r="E399" s="1256" t="n">
        <v>425</v>
      </c>
      <c r="F399" s="1255" t="inlineStr">
        <is>
          <t>Norfolk</t>
        </is>
      </c>
      <c r="G399" s="1255" t="inlineStr">
        <is>
          <t>Google</t>
        </is>
      </c>
    </row>
    <row r="400" ht="13.5" customHeight="1" s="1232">
      <c r="A400" s="1413" t="n">
        <v>42895</v>
      </c>
      <c r="B400" s="1255" t="inlineStr">
        <is>
          <t>Julien Hoyez - ELS</t>
        </is>
      </c>
      <c r="C400" s="1255" t="inlineStr">
        <is>
          <t>courses/masterclasses</t>
        </is>
      </c>
      <c r="D400" s="1255" t="inlineStr">
        <is>
          <t>Bank</t>
        </is>
      </c>
      <c r="E400" s="1256" t="n">
        <v>200</v>
      </c>
      <c r="F400" s="1255" t="inlineStr">
        <is>
          <t>4wk extended</t>
        </is>
      </c>
      <c r="G400" s="1255" t="inlineStr">
        <is>
          <t>ELS</t>
        </is>
      </c>
    </row>
    <row r="401" ht="13.5" customHeight="1" s="1232">
      <c r="A401" s="1413" t="n">
        <v>42894</v>
      </c>
      <c r="B401" s="1255" t="inlineStr">
        <is>
          <t>Sabine Bowman</t>
        </is>
      </c>
      <c r="C401" s="1255" t="inlineStr">
        <is>
          <t>courses/masterclasses</t>
        </is>
      </c>
      <c r="D401" s="1255" t="inlineStr">
        <is>
          <t>Groupon</t>
        </is>
      </c>
      <c r="E401" s="1256" t="n">
        <v>13</v>
      </c>
      <c r="F401" s="1255" t="inlineStr">
        <is>
          <t>Intro Class</t>
        </is>
      </c>
      <c r="G401" s="1255" t="inlineStr">
        <is>
          <t>Groupon</t>
        </is>
      </c>
    </row>
    <row r="402" ht="13.5" customHeight="1" s="1232">
      <c r="A402" s="1413" t="n">
        <v>42894</v>
      </c>
      <c r="B402" s="1255" t="inlineStr">
        <is>
          <t xml:space="preserve">Karolin Hartlieb </t>
        </is>
      </c>
      <c r="C402" s="1255" t="inlineStr">
        <is>
          <t>courses/masterclasses</t>
        </is>
      </c>
      <c r="D402" s="1255" t="inlineStr">
        <is>
          <t>Groupon</t>
        </is>
      </c>
      <c r="E402" s="1256" t="n">
        <v>13</v>
      </c>
      <c r="F402" s="1255" t="inlineStr">
        <is>
          <t>Intro Class</t>
        </is>
      </c>
      <c r="G402" s="1255" t="inlineStr">
        <is>
          <t>Groupon</t>
        </is>
      </c>
    </row>
    <row r="403" ht="13.5" customHeight="1" s="1232">
      <c r="A403" s="1413" t="n">
        <v>42894</v>
      </c>
      <c r="B403" s="1255" t="inlineStr">
        <is>
          <t>Roberta Gristwood</t>
        </is>
      </c>
      <c r="C403" s="1255" t="inlineStr">
        <is>
          <t>workshops</t>
        </is>
      </c>
      <c r="D403" s="1255" t="inlineStr">
        <is>
          <t>Stripe</t>
        </is>
      </c>
      <c r="E403" s="1256" t="n">
        <v>60</v>
      </c>
      <c r="F403" s="1255" t="inlineStr">
        <is>
          <t>Delphiniums</t>
        </is>
      </c>
      <c r="G403" s="1255" t="inlineStr">
        <is>
          <t>Google</t>
        </is>
      </c>
    </row>
    <row r="404" ht="13.5" customHeight="1" s="1232">
      <c r="A404" s="1413" t="n">
        <v>42893</v>
      </c>
      <c r="B404" s="1255" t="inlineStr">
        <is>
          <t>Rebecca Long</t>
        </is>
      </c>
      <c r="C404" s="1255" t="inlineStr">
        <is>
          <t>mentoring</t>
        </is>
      </c>
      <c r="D404" s="1255" t="inlineStr">
        <is>
          <t>PayPal</t>
        </is>
      </c>
      <c r="E404" s="1256" t="n">
        <v>20</v>
      </c>
      <c r="F404" s="1255" t="inlineStr">
        <is>
          <t xml:space="preserve">Mentoring </t>
        </is>
      </c>
      <c r="G404" s="1255" t="inlineStr">
        <is>
          <t>Existing</t>
        </is>
      </c>
    </row>
    <row r="405" ht="13.5" customHeight="1" s="1232">
      <c r="A405" s="1413" t="n">
        <v>42892</v>
      </c>
      <c r="B405" s="1255" t="inlineStr">
        <is>
          <t>Ian Hodgetts</t>
        </is>
      </c>
      <c r="C405" s="1255" t="inlineStr">
        <is>
          <t>courses/masterclasses</t>
        </is>
      </c>
      <c r="D405" s="1255" t="inlineStr">
        <is>
          <t>Bank</t>
        </is>
      </c>
      <c r="E405" s="1256" t="n">
        <v>65</v>
      </c>
      <c r="F405" s="1255" t="inlineStr">
        <is>
          <t>5wk course</t>
        </is>
      </c>
      <c r="G405" s="1255" t="inlineStr">
        <is>
          <t>ELS</t>
        </is>
      </c>
    </row>
    <row r="406" ht="13.5" customHeight="1" s="1232">
      <c r="A406" s="1413" t="n">
        <v>42892</v>
      </c>
      <c r="B406" s="1255" t="inlineStr">
        <is>
          <t>Natalie Williams</t>
        </is>
      </c>
      <c r="C406" s="1255" t="inlineStr">
        <is>
          <t>courses/masterclasses</t>
        </is>
      </c>
      <c r="D406" s="1255" t="inlineStr">
        <is>
          <t>W-Play</t>
        </is>
      </c>
      <c r="E406" s="1256" t="n">
        <v>235</v>
      </c>
      <c r="F406" s="1255" t="inlineStr">
        <is>
          <t>4wk extended</t>
        </is>
      </c>
      <c r="G406" s="1255" t="inlineStr">
        <is>
          <t>Google</t>
        </is>
      </c>
    </row>
    <row r="407" ht="13.5" customHeight="1" s="1232">
      <c r="A407" s="1413" t="n">
        <v>42891</v>
      </c>
      <c r="B407" s="1255" t="inlineStr">
        <is>
          <t>Natalie Williams</t>
        </is>
      </c>
      <c r="C407" s="1255" t="inlineStr">
        <is>
          <t>courses/masterclasses</t>
        </is>
      </c>
      <c r="D407" s="1255" t="inlineStr">
        <is>
          <t>Stripe</t>
        </is>
      </c>
      <c r="E407" s="1256" t="n">
        <v>30</v>
      </c>
      <c r="F407" s="1255" t="inlineStr">
        <is>
          <t>Intro Class</t>
        </is>
      </c>
      <c r="G407" s="1255" t="inlineStr">
        <is>
          <t>Google</t>
        </is>
      </c>
    </row>
    <row r="408" ht="13.5" customHeight="1" s="1232">
      <c r="A408" s="1413" t="n">
        <v>42889</v>
      </c>
      <c r="B408" s="1255" t="inlineStr">
        <is>
          <t>Adam Jefferies</t>
        </is>
      </c>
      <c r="C408" s="1255" t="inlineStr">
        <is>
          <t>courses/masterclasses</t>
        </is>
      </c>
      <c r="D408" s="1255" t="inlineStr">
        <is>
          <t>Groupon</t>
        </is>
      </c>
      <c r="E408" s="1256" t="n">
        <v>13</v>
      </c>
      <c r="F408" s="1255" t="inlineStr">
        <is>
          <t>Intro Class</t>
        </is>
      </c>
      <c r="G408" s="1255" t="inlineStr">
        <is>
          <t>Groupon</t>
        </is>
      </c>
    </row>
    <row r="409" ht="13.5" customHeight="1" s="1232">
      <c r="A409" s="1413" t="n">
        <v>42889</v>
      </c>
      <c r="B409" s="1255" t="inlineStr">
        <is>
          <t>Dawn De Costa</t>
        </is>
      </c>
      <c r="C409" s="1255" t="inlineStr">
        <is>
          <t>courses/masterclasses</t>
        </is>
      </c>
      <c r="D409" s="1255" t="inlineStr">
        <is>
          <t>Groupon</t>
        </is>
      </c>
      <c r="E409" s="1256" t="n">
        <v>13</v>
      </c>
      <c r="F409" s="1255" t="inlineStr">
        <is>
          <t>Intro Class</t>
        </is>
      </c>
      <c r="G409" s="1255" t="inlineStr">
        <is>
          <t>Groupon</t>
        </is>
      </c>
    </row>
    <row r="410" ht="13.5" customHeight="1" s="1232">
      <c r="A410" s="1413" t="n">
        <v>42888</v>
      </c>
      <c r="B410" s="1255" t="inlineStr">
        <is>
          <t>Lewis Maloba</t>
        </is>
      </c>
      <c r="C410" s="1255" t="inlineStr">
        <is>
          <t>courses/masterclasses</t>
        </is>
      </c>
      <c r="D410" s="1255" t="inlineStr">
        <is>
          <t>Groupon</t>
        </is>
      </c>
      <c r="E410" s="1256" t="n">
        <v>13</v>
      </c>
      <c r="F410" s="1255" t="inlineStr">
        <is>
          <t>Intro Class</t>
        </is>
      </c>
      <c r="G410" s="1255" t="inlineStr">
        <is>
          <t>Groupon</t>
        </is>
      </c>
    </row>
    <row r="411" ht="13.5" customHeight="1" s="1232">
      <c r="A411" s="1413" t="n">
        <v>42887</v>
      </c>
      <c r="B411" s="1255" t="inlineStr">
        <is>
          <t>Guy Dunwoody</t>
        </is>
      </c>
      <c r="C411" s="1255" t="inlineStr">
        <is>
          <t>courses/masterclasses</t>
        </is>
      </c>
      <c r="D411" s="1255" t="inlineStr">
        <is>
          <t>PayPal</t>
        </is>
      </c>
      <c r="E411" s="1256" t="n">
        <v>30</v>
      </c>
      <c r="F411" s="1255" t="inlineStr">
        <is>
          <t>Intro Class</t>
        </is>
      </c>
      <c r="G411" s="1255" t="inlineStr">
        <is>
          <t>Google</t>
        </is>
      </c>
    </row>
    <row r="412" ht="13.5" customHeight="1" s="1232">
      <c r="A412" s="1413" t="n">
        <v>42887</v>
      </c>
      <c r="B412" s="1255" t="inlineStr">
        <is>
          <t>Jun Pick N Mix</t>
        </is>
      </c>
      <c r="C412" s="1255" t="inlineStr">
        <is>
          <t>pick n mix</t>
        </is>
      </c>
      <c r="D412" s="1255" t="inlineStr">
        <is>
          <t>Various</t>
        </is>
      </c>
      <c r="E412" s="1256" t="n">
        <v>296.78</v>
      </c>
      <c r="F412" s="1255" t="inlineStr">
        <is>
          <t>Pick N Mix Subs</t>
        </is>
      </c>
      <c r="G412" s="1255" t="inlineStr">
        <is>
          <t>Existing</t>
        </is>
      </c>
    </row>
    <row r="413" ht="13.5" customHeight="1" s="1232">
      <c r="A413" s="1413" t="n">
        <v>42887</v>
      </c>
      <c r="B413" s="1255" t="inlineStr">
        <is>
          <t>Jun Mentoring</t>
        </is>
      </c>
      <c r="C413" s="1255" t="inlineStr">
        <is>
          <t>mentoring</t>
        </is>
      </c>
      <c r="D413" s="1255" t="inlineStr">
        <is>
          <t>Various</t>
        </is>
      </c>
      <c r="E413" s="1256" t="n">
        <v>102</v>
      </c>
      <c r="F413" s="1255" t="inlineStr">
        <is>
          <t>Mentoring Subs</t>
        </is>
      </c>
      <c r="G413" s="1255" t="inlineStr">
        <is>
          <t>Existing</t>
        </is>
      </c>
    </row>
    <row r="415" ht="13.5" customHeight="1" s="1232">
      <c r="A415" s="1413" t="n">
        <v>42886</v>
      </c>
      <c r="B415" s="1255" t="inlineStr">
        <is>
          <t>James Kelly</t>
        </is>
      </c>
      <c r="C415" s="1255" t="inlineStr">
        <is>
          <t>other</t>
        </is>
      </c>
      <c r="D415" s="1255" t="inlineStr">
        <is>
          <t>Stripe</t>
        </is>
      </c>
      <c r="E415" s="1256" t="n">
        <v>18.75</v>
      </c>
      <c r="F415" s="1255" t="inlineStr">
        <is>
          <t>Sensor Clean</t>
        </is>
      </c>
      <c r="G415" s="1255" t="inlineStr">
        <is>
          <t>Existing</t>
        </is>
      </c>
    </row>
    <row r="416" ht="13.5" customHeight="1" s="1232">
      <c r="A416" s="1413" t="n">
        <v>42886</v>
      </c>
      <c r="B416" s="1255" t="inlineStr">
        <is>
          <t>Justyna Adamek</t>
        </is>
      </c>
      <c r="C416" s="1255" t="inlineStr">
        <is>
          <t>courses/masterclasses</t>
        </is>
      </c>
      <c r="D416" s="1255" t="inlineStr">
        <is>
          <t>Stripe</t>
        </is>
      </c>
      <c r="E416" s="1256" t="n">
        <v>273.75</v>
      </c>
      <c r="F416" s="1255" t="inlineStr">
        <is>
          <t>Intermed Course</t>
        </is>
      </c>
      <c r="G416" s="1255" t="inlineStr">
        <is>
          <t>Existing</t>
        </is>
      </c>
    </row>
    <row r="417" ht="13.5" customHeight="1" s="1232">
      <c r="A417" s="1413" t="n">
        <v>42886</v>
      </c>
      <c r="B417" s="1255" t="inlineStr">
        <is>
          <t>Anne-Marie Scott</t>
        </is>
      </c>
      <c r="C417" s="1255" t="inlineStr">
        <is>
          <t>courses/masterclasses</t>
        </is>
      </c>
      <c r="D417" s="1255" t="inlineStr">
        <is>
          <t>Stripe</t>
        </is>
      </c>
      <c r="E417" s="1256" t="n">
        <v>198.75</v>
      </c>
      <c r="F417" s="1255" t="inlineStr">
        <is>
          <t>Lightroom</t>
        </is>
      </c>
      <c r="G417" s="1255" t="inlineStr">
        <is>
          <t>Existing</t>
        </is>
      </c>
    </row>
    <row r="418" ht="13.5" customHeight="1" s="1232">
      <c r="A418" s="1413" t="n">
        <v>42886</v>
      </c>
      <c r="B418" s="1255" t="inlineStr">
        <is>
          <t>stuart walters</t>
        </is>
      </c>
      <c r="C418" s="1255" t="inlineStr">
        <is>
          <t>1-2-1</t>
        </is>
      </c>
      <c r="D418" s="1255" t="inlineStr">
        <is>
          <t>Stripe</t>
        </is>
      </c>
      <c r="E418" s="1256" t="n">
        <v>146.25</v>
      </c>
      <c r="F418" s="1389" t="inlineStr">
        <is>
          <t>1-2-1</t>
        </is>
      </c>
      <c r="G418" s="1255" t="inlineStr">
        <is>
          <t>Existing</t>
        </is>
      </c>
    </row>
    <row r="419" ht="13.5" customHeight="1" s="1232">
      <c r="A419" s="1413" t="n">
        <v>42886</v>
      </c>
      <c r="B419" s="1255" t="inlineStr">
        <is>
          <t>Kirsten Pearce</t>
        </is>
      </c>
      <c r="C419" s="1255" t="inlineStr">
        <is>
          <t>workshops</t>
        </is>
      </c>
      <c r="D419" s="1255" t="inlineStr">
        <is>
          <t>Bank</t>
        </is>
      </c>
      <c r="E419" s="1256" t="n">
        <v>337.5</v>
      </c>
      <c r="F419" s="1255" t="inlineStr">
        <is>
          <t>Anglesey</t>
        </is>
      </c>
      <c r="G419" s="1255" t="inlineStr">
        <is>
          <t>Existing</t>
        </is>
      </c>
    </row>
    <row r="420" ht="13.5" customHeight="1" s="1232">
      <c r="A420" s="1413" t="n">
        <v>42886</v>
      </c>
      <c r="B420" s="1255" t="inlineStr">
        <is>
          <t>Ray Phillips</t>
        </is>
      </c>
      <c r="C420" s="1255" t="inlineStr">
        <is>
          <t>workshops</t>
        </is>
      </c>
      <c r="D420" s="1255" t="inlineStr">
        <is>
          <t>W-Play</t>
        </is>
      </c>
      <c r="E420" s="1256" t="n">
        <v>60</v>
      </c>
      <c r="F420" s="1255" t="inlineStr">
        <is>
          <t>Delphiniums</t>
        </is>
      </c>
      <c r="G420" s="1255" t="inlineStr">
        <is>
          <t>Google</t>
        </is>
      </c>
    </row>
    <row r="421" ht="13.5" customHeight="1" s="1232">
      <c r="A421" s="1413" t="n">
        <v>42886</v>
      </c>
      <c r="B421" s="1255" t="inlineStr">
        <is>
          <t>Paula Knott</t>
        </is>
      </c>
      <c r="C421" s="1255" t="inlineStr">
        <is>
          <t>courses/masterclasses</t>
        </is>
      </c>
      <c r="D421" s="1255" t="inlineStr">
        <is>
          <t>Groupon</t>
        </is>
      </c>
      <c r="E421" s="1256" t="n">
        <v>13</v>
      </c>
      <c r="F421" s="1255" t="inlineStr">
        <is>
          <t>Intro Class</t>
        </is>
      </c>
      <c r="G421" s="1255" t="inlineStr">
        <is>
          <t>Groupon</t>
        </is>
      </c>
    </row>
    <row r="422" ht="13.5" customHeight="1" s="1232">
      <c r="A422" s="1413" t="n">
        <v>42886</v>
      </c>
      <c r="B422" s="1255" t="inlineStr">
        <is>
          <t>Chris Parker</t>
        </is>
      </c>
      <c r="C422" s="1255" t="inlineStr">
        <is>
          <t>courses/masterclasses</t>
        </is>
      </c>
      <c r="D422" s="1255" t="inlineStr">
        <is>
          <t>Bank</t>
        </is>
      </c>
      <c r="E422" s="1256" t="n">
        <v>37.5</v>
      </c>
      <c r="F422" s="1255" t="inlineStr">
        <is>
          <t>Macro Masterclass</t>
        </is>
      </c>
      <c r="G422" s="1255" t="inlineStr">
        <is>
          <t>Existing</t>
        </is>
      </c>
    </row>
    <row r="423" ht="13.5" customHeight="1" s="1232">
      <c r="A423" s="1413" t="n">
        <v>42886</v>
      </c>
      <c r="B423" s="1255" t="inlineStr">
        <is>
          <t>Christinejane Lewington</t>
        </is>
      </c>
      <c r="C423" s="1255" t="inlineStr">
        <is>
          <t>courses/masterclasses</t>
        </is>
      </c>
      <c r="D423" s="1255" t="inlineStr">
        <is>
          <t>Bank</t>
        </is>
      </c>
      <c r="E423" s="1256" t="n">
        <v>176.25</v>
      </c>
      <c r="F423" s="1255" t="inlineStr">
        <is>
          <t>4wk course</t>
        </is>
      </c>
      <c r="G423" s="1255" t="inlineStr">
        <is>
          <t>Google</t>
        </is>
      </c>
    </row>
    <row r="424" ht="13.5" customHeight="1" s="1232">
      <c r="A424" s="1413" t="n">
        <v>42886</v>
      </c>
      <c r="B424" s="1255" t="inlineStr">
        <is>
          <t>Taqua Imam</t>
        </is>
      </c>
      <c r="C424" s="1255" t="inlineStr">
        <is>
          <t>courses/masterclasses</t>
        </is>
      </c>
      <c r="D424" s="1255" t="inlineStr">
        <is>
          <t>Groupon</t>
        </is>
      </c>
      <c r="E424" s="1256" t="n">
        <v>13</v>
      </c>
      <c r="F424" s="1255" t="inlineStr">
        <is>
          <t>Intro Class</t>
        </is>
      </c>
      <c r="G424" s="1255" t="inlineStr">
        <is>
          <t>Groupon</t>
        </is>
      </c>
    </row>
    <row r="425" ht="13.5" customHeight="1" s="1232">
      <c r="A425" s="1413" t="n">
        <v>42886</v>
      </c>
      <c r="B425" s="1255" t="inlineStr">
        <is>
          <t>Zoe Smith</t>
        </is>
      </c>
      <c r="C425" s="1255" t="inlineStr">
        <is>
          <t>courses/masterclasses</t>
        </is>
      </c>
      <c r="D425" s="1255" t="inlineStr">
        <is>
          <t>Stripe</t>
        </is>
      </c>
      <c r="E425" s="1256" t="n">
        <v>22.5</v>
      </c>
      <c r="F425" s="1255" t="inlineStr">
        <is>
          <t>Intro Class</t>
        </is>
      </c>
      <c r="G425" s="1255" t="inlineStr">
        <is>
          <t>Google</t>
        </is>
      </c>
    </row>
    <row r="426" ht="13.5" customHeight="1" s="1232">
      <c r="A426" s="1413" t="n">
        <v>42885</v>
      </c>
      <c r="B426" s="1255" t="inlineStr">
        <is>
          <t>Sam Cook</t>
        </is>
      </c>
      <c r="C426" s="1255" t="inlineStr">
        <is>
          <t>workshops</t>
        </is>
      </c>
      <c r="D426" s="1255" t="inlineStr">
        <is>
          <t>PayPal</t>
        </is>
      </c>
      <c r="E426" s="1256" t="n">
        <v>45</v>
      </c>
      <c r="F426" s="1255" t="inlineStr">
        <is>
          <t>Delphiniums</t>
        </is>
      </c>
      <c r="G426" s="1255" t="inlineStr">
        <is>
          <t>Existing</t>
        </is>
      </c>
    </row>
    <row r="427" ht="13.5" customHeight="1" s="1232">
      <c r="A427" s="1413" t="n">
        <v>42885</v>
      </c>
      <c r="B427" s="1255" t="inlineStr">
        <is>
          <t>Sam Cook</t>
        </is>
      </c>
      <c r="C427" s="1255" t="inlineStr">
        <is>
          <t>mentoring</t>
        </is>
      </c>
      <c r="D427" s="1255" t="inlineStr">
        <is>
          <t>PayPal</t>
        </is>
      </c>
      <c r="E427" s="1256" t="n">
        <v>20</v>
      </c>
      <c r="F427" s="1255" t="inlineStr">
        <is>
          <t>Monthly Mentoring</t>
        </is>
      </c>
      <c r="G427" s="1255" t="inlineStr">
        <is>
          <t>Existing</t>
        </is>
      </c>
    </row>
    <row r="428" ht="13.5" customHeight="1" s="1232">
      <c r="A428" s="1413" t="n">
        <v>42885</v>
      </c>
      <c r="B428" s="1255" t="inlineStr">
        <is>
          <t>Christopher Troth</t>
        </is>
      </c>
      <c r="C428" s="1255" t="inlineStr">
        <is>
          <t>workshops</t>
        </is>
      </c>
      <c r="D428" s="1255" t="inlineStr">
        <is>
          <t>PayPal</t>
        </is>
      </c>
      <c r="E428" s="1256" t="n">
        <v>45</v>
      </c>
      <c r="F428" s="1255" t="inlineStr">
        <is>
          <t>sunset workshop</t>
        </is>
      </c>
      <c r="G428" s="1255" t="inlineStr">
        <is>
          <t>Existing</t>
        </is>
      </c>
    </row>
    <row r="429" ht="13.5" customHeight="1" s="1232">
      <c r="A429" s="1413" t="n">
        <v>42885</v>
      </c>
      <c r="B429" s="1255" t="inlineStr">
        <is>
          <t>KATHLEEN HORSBURGH</t>
        </is>
      </c>
      <c r="C429" s="1255" t="inlineStr">
        <is>
          <t>courses/masterclasses</t>
        </is>
      </c>
      <c r="D429" s="1255" t="inlineStr">
        <is>
          <t>Stripe</t>
        </is>
      </c>
      <c r="E429" s="1256" t="n">
        <v>198.75</v>
      </c>
      <c r="F429" s="1255" t="inlineStr">
        <is>
          <t>5wk course</t>
        </is>
      </c>
      <c r="G429" s="1255" t="inlineStr">
        <is>
          <t>Google</t>
        </is>
      </c>
    </row>
    <row r="430" ht="13.5" customHeight="1" s="1232">
      <c r="A430" s="1413" t="n">
        <v>42884</v>
      </c>
      <c r="B430" s="1255" t="inlineStr">
        <is>
          <t>Alex Priestley</t>
        </is>
      </c>
      <c r="C430" s="1255" t="inlineStr">
        <is>
          <t>courses/masterclasses</t>
        </is>
      </c>
      <c r="D430" s="1255" t="inlineStr">
        <is>
          <t>PayPal</t>
        </is>
      </c>
      <c r="E430" s="1256" t="n">
        <v>60</v>
      </c>
      <c r="F430" s="1255" t="inlineStr">
        <is>
          <t>Intro Class</t>
        </is>
      </c>
      <c r="G430" s="1255" t="inlineStr">
        <is>
          <t>Google</t>
        </is>
      </c>
    </row>
    <row r="431" ht="13.5" customHeight="1" s="1232">
      <c r="A431" s="1413" t="n">
        <v>42884</v>
      </c>
      <c r="B431" s="1255" t="inlineStr">
        <is>
          <t>Suzannah Dougherty</t>
        </is>
      </c>
      <c r="C431" s="1255" t="inlineStr">
        <is>
          <t>workshops</t>
        </is>
      </c>
      <c r="D431" s="1255" t="inlineStr">
        <is>
          <t>Stripe</t>
        </is>
      </c>
      <c r="E431" s="1256" t="n">
        <v>35</v>
      </c>
      <c r="F431" s="1255" t="inlineStr">
        <is>
          <t>Sharpshooters</t>
        </is>
      </c>
      <c r="G431" s="1255" t="inlineStr">
        <is>
          <t>Batsford</t>
        </is>
      </c>
    </row>
    <row r="432" ht="13.5" customHeight="1" s="1232">
      <c r="A432" s="1413" t="n">
        <v>42883</v>
      </c>
      <c r="B432" s="1255" t="inlineStr">
        <is>
          <t>Janet Lambdon</t>
        </is>
      </c>
      <c r="C432" s="1255" t="inlineStr">
        <is>
          <t>courses/masterclasses</t>
        </is>
      </c>
      <c r="D432" s="1255" t="inlineStr">
        <is>
          <t>Stripe</t>
        </is>
      </c>
      <c r="E432" s="1256" t="n">
        <v>265</v>
      </c>
      <c r="F432" s="1255" t="inlineStr">
        <is>
          <t>Lr Course</t>
        </is>
      </c>
      <c r="G432" s="1255" t="inlineStr">
        <is>
          <t>Existing</t>
        </is>
      </c>
    </row>
    <row r="433" ht="13.5" customHeight="1" s="1232">
      <c r="A433" s="1413" t="n">
        <v>42882</v>
      </c>
      <c r="B433" s="1255" t="inlineStr">
        <is>
          <t>Chris Johnson</t>
        </is>
      </c>
      <c r="C433" s="1255" t="inlineStr">
        <is>
          <t>mentoring</t>
        </is>
      </c>
      <c r="D433" s="1255" t="inlineStr">
        <is>
          <t>Stripe</t>
        </is>
      </c>
      <c r="E433" s="1256" t="n">
        <v>600</v>
      </c>
      <c r="F433" s="1255" t="inlineStr">
        <is>
          <t>Prem Mentoring</t>
        </is>
      </c>
      <c r="G433" s="1255" t="inlineStr">
        <is>
          <t>Existing</t>
        </is>
      </c>
    </row>
    <row r="434" ht="13.5" customHeight="1" s="1232">
      <c r="A434" s="1413" t="n">
        <v>42880</v>
      </c>
      <c r="B434" s="1255" t="inlineStr">
        <is>
          <t>Chris Brain</t>
        </is>
      </c>
      <c r="C434" s="1255" t="inlineStr">
        <is>
          <t>courses/masterclasses</t>
        </is>
      </c>
      <c r="D434" s="1255" t="inlineStr">
        <is>
          <t>Bank</t>
        </is>
      </c>
      <c r="E434" s="1256" t="n">
        <v>35</v>
      </c>
      <c r="F434" s="1255" t="inlineStr">
        <is>
          <t>4wk course</t>
        </is>
      </c>
      <c r="G434" s="1255" t="inlineStr">
        <is>
          <t>ELS</t>
        </is>
      </c>
    </row>
    <row r="435" ht="13.5" customHeight="1" s="1232">
      <c r="A435" s="1413" t="n">
        <v>42879</v>
      </c>
      <c r="B435" s="1255" t="inlineStr">
        <is>
          <t>Tracey Jones</t>
        </is>
      </c>
      <c r="C435" s="1255" t="inlineStr">
        <is>
          <t>workshops</t>
        </is>
      </c>
      <c r="D435" s="1255" t="inlineStr">
        <is>
          <t>Stripe</t>
        </is>
      </c>
      <c r="E435" s="1256" t="n">
        <v>100</v>
      </c>
      <c r="F435" s="1255" t="inlineStr">
        <is>
          <t>Norfolk</t>
        </is>
      </c>
      <c r="G435" s="1255" t="inlineStr">
        <is>
          <t>Google</t>
        </is>
      </c>
    </row>
    <row r="436" ht="13.5" customHeight="1" s="1232">
      <c r="A436" s="1413" t="n">
        <v>42873</v>
      </c>
      <c r="B436" s="1255" t="inlineStr">
        <is>
          <t>Sue Phillips</t>
        </is>
      </c>
      <c r="C436" s="1255" t="inlineStr">
        <is>
          <t>courses/masterclasses</t>
        </is>
      </c>
      <c r="D436" s="1255" t="inlineStr">
        <is>
          <t>PayPal</t>
        </is>
      </c>
      <c r="E436" s="1256" t="n">
        <v>265</v>
      </c>
      <c r="F436" s="1255" t="inlineStr">
        <is>
          <t>5wk Course Soli</t>
        </is>
      </c>
      <c r="G436" s="1255" t="inlineStr">
        <is>
          <t>Existing</t>
        </is>
      </c>
    </row>
    <row r="437" ht="13.5" customHeight="1" s="1232">
      <c r="A437" s="1413" t="n">
        <v>42872</v>
      </c>
      <c r="B437" s="1255" t="inlineStr">
        <is>
          <t>Helen Hollingworth</t>
        </is>
      </c>
      <c r="C437" s="1255" t="inlineStr">
        <is>
          <t>courses/masterclasses</t>
        </is>
      </c>
      <c r="D437" s="1255" t="inlineStr">
        <is>
          <t>Stripe</t>
        </is>
      </c>
      <c r="E437" s="1256" t="n">
        <v>265</v>
      </c>
      <c r="F437" s="1255" t="inlineStr">
        <is>
          <t>5wk Course Soli</t>
        </is>
      </c>
      <c r="G437" s="1255" t="inlineStr">
        <is>
          <t>Google</t>
        </is>
      </c>
    </row>
    <row r="438" ht="13.5" customHeight="1" s="1232">
      <c r="A438" s="1413" t="n">
        <v>42871</v>
      </c>
      <c r="B438" s="1255" t="inlineStr">
        <is>
          <t>Manjit Narotra</t>
        </is>
      </c>
      <c r="C438" s="1255" t="inlineStr">
        <is>
          <t>workshops</t>
        </is>
      </c>
      <c r="D438" s="1255" t="inlineStr">
        <is>
          <t>Stripe</t>
        </is>
      </c>
      <c r="E438" s="1256" t="n">
        <v>175</v>
      </c>
      <c r="F438" s="1255" t="inlineStr">
        <is>
          <t>Fairy Glen Workshop</t>
        </is>
      </c>
      <c r="G438" s="1255" t="inlineStr">
        <is>
          <t>Existing</t>
        </is>
      </c>
    </row>
    <row r="439" ht="13.5" customHeight="1" s="1232">
      <c r="A439" s="1413" t="n">
        <v>42870</v>
      </c>
      <c r="B439" s="1255" t="inlineStr">
        <is>
          <t>Amar Majid</t>
        </is>
      </c>
      <c r="C439" s="1255" t="inlineStr">
        <is>
          <t>pick n mix</t>
        </is>
      </c>
      <c r="D439" s="1255" t="inlineStr">
        <is>
          <t>Bank</t>
        </is>
      </c>
      <c r="E439" s="1256" t="n">
        <v>175</v>
      </c>
      <c r="F439" s="1255" t="inlineStr">
        <is>
          <t>Pick N Mix plans</t>
        </is>
      </c>
      <c r="G439" s="1255" t="inlineStr">
        <is>
          <t>Existing</t>
        </is>
      </c>
    </row>
    <row r="440" ht="13.5" customHeight="1" s="1232">
      <c r="A440" s="1413" t="n">
        <v>42870</v>
      </c>
      <c r="B440" s="1255" t="inlineStr">
        <is>
          <t>Margaret Millberry</t>
        </is>
      </c>
      <c r="C440" s="1255" t="inlineStr">
        <is>
          <t>1-2-1</t>
        </is>
      </c>
      <c r="D440" s="1255" t="inlineStr">
        <is>
          <t>Cash</t>
        </is>
      </c>
      <c r="E440" s="1256" t="n">
        <v>100</v>
      </c>
      <c r="F440" s="1389" t="inlineStr">
        <is>
          <t>1-2-1</t>
        </is>
      </c>
      <c r="G440" s="1255" t="inlineStr">
        <is>
          <t>Batsford</t>
        </is>
      </c>
    </row>
    <row r="441" ht="13.5" customHeight="1" s="1232">
      <c r="A441" s="1413" t="n">
        <v>42870</v>
      </c>
      <c r="B441" s="1255" t="inlineStr">
        <is>
          <t>Judith Wilde</t>
        </is>
      </c>
      <c r="C441" s="1255" t="inlineStr">
        <is>
          <t>1-2-1</t>
        </is>
      </c>
      <c r="D441" s="1255" t="inlineStr">
        <is>
          <t>W-Play</t>
        </is>
      </c>
      <c r="E441" s="1256" t="n">
        <v>195</v>
      </c>
      <c r="F441" s="1389" t="inlineStr">
        <is>
          <t>1-2-1</t>
        </is>
      </c>
      <c r="G441" s="1255" t="inlineStr">
        <is>
          <t>Existing</t>
        </is>
      </c>
    </row>
    <row r="442" ht="13.5" customHeight="1" s="1232">
      <c r="A442" s="1413" t="n">
        <v>42866</v>
      </c>
      <c r="B442" s="1255" t="inlineStr">
        <is>
          <t>Jo Rogers</t>
        </is>
      </c>
      <c r="C442" s="1255" t="inlineStr">
        <is>
          <t>courses/masterclasses</t>
        </is>
      </c>
      <c r="D442" s="1255" t="inlineStr">
        <is>
          <t>W-Play</t>
        </is>
      </c>
      <c r="E442" s="1256" t="n">
        <v>265</v>
      </c>
      <c r="F442" s="1255" t="inlineStr">
        <is>
          <t>5wk Course Soli</t>
        </is>
      </c>
      <c r="G442" s="1255" t="inlineStr">
        <is>
          <t>Google</t>
        </is>
      </c>
    </row>
    <row r="443" ht="13.5" customHeight="1" s="1232">
      <c r="A443" s="1413" t="n">
        <v>42865</v>
      </c>
      <c r="B443" s="1255" t="inlineStr">
        <is>
          <t xml:space="preserve">Elisabeth Walker </t>
        </is>
      </c>
      <c r="C443" s="1255" t="inlineStr">
        <is>
          <t>workshops</t>
        </is>
      </c>
      <c r="D443" s="1255" t="inlineStr">
        <is>
          <t>Stripe</t>
        </is>
      </c>
      <c r="E443" s="1256" t="n">
        <v>35</v>
      </c>
      <c r="F443" s="1255" t="inlineStr">
        <is>
          <t>Sharpshooters</t>
        </is>
      </c>
      <c r="G443" s="1255" t="inlineStr">
        <is>
          <t>Batsford</t>
        </is>
      </c>
    </row>
    <row r="444" ht="13.5" customHeight="1" s="1232">
      <c r="A444" s="1413" t="n">
        <v>42864</v>
      </c>
      <c r="B444" s="1255" t="inlineStr">
        <is>
          <t>Paul Murray</t>
        </is>
      </c>
      <c r="C444" s="1255" t="inlineStr">
        <is>
          <t>workshops</t>
        </is>
      </c>
      <c r="D444" s="1255" t="inlineStr">
        <is>
          <t>Stripe</t>
        </is>
      </c>
      <c r="E444" s="1256" t="n">
        <v>20</v>
      </c>
      <c r="F444" s="1255" t="inlineStr">
        <is>
          <t>Sharpshooters</t>
        </is>
      </c>
      <c r="G444" s="1255" t="inlineStr">
        <is>
          <t>Batsford</t>
        </is>
      </c>
    </row>
    <row r="445" ht="13.5" customHeight="1" s="1232">
      <c r="A445" s="1413" t="n">
        <v>42863</v>
      </c>
      <c r="B445" s="1255" t="inlineStr">
        <is>
          <t>Nicola Lockyer</t>
        </is>
      </c>
      <c r="C445" s="1255" t="inlineStr">
        <is>
          <t>other</t>
        </is>
      </c>
      <c r="D445" s="1255" t="inlineStr">
        <is>
          <t>Cash</t>
        </is>
      </c>
      <c r="E445" s="1256" t="n">
        <v>100</v>
      </c>
      <c r="F445" s="1255" t="inlineStr">
        <is>
          <t>Prints</t>
        </is>
      </c>
      <c r="G445" s="1255" t="inlineStr">
        <is>
          <t>Existing</t>
        </is>
      </c>
    </row>
    <row r="446" ht="13.5" customHeight="1" s="1232">
      <c r="A446" s="1413" t="n">
        <v>42863</v>
      </c>
      <c r="B446" s="1255" t="inlineStr">
        <is>
          <t>T O'Carroll-Bailey</t>
        </is>
      </c>
      <c r="C446" s="1255" t="inlineStr">
        <is>
          <t>courses/masterclasses</t>
        </is>
      </c>
      <c r="D446" s="1255" t="inlineStr">
        <is>
          <t>PayPal</t>
        </is>
      </c>
      <c r="E446" s="1256" t="n">
        <v>265</v>
      </c>
      <c r="F446" s="1255" t="inlineStr">
        <is>
          <t>5wk course Ken</t>
        </is>
      </c>
      <c r="G446" s="1255" t="inlineStr">
        <is>
          <t>Google</t>
        </is>
      </c>
    </row>
    <row r="447" ht="13.5" customHeight="1" s="1232">
      <c r="A447" s="1413" t="n">
        <v>42863</v>
      </c>
      <c r="B447" s="1255" t="inlineStr">
        <is>
          <t>Marcia Rathbone</t>
        </is>
      </c>
      <c r="C447" s="1255" t="inlineStr">
        <is>
          <t>courses/masterclasses</t>
        </is>
      </c>
      <c r="D447" s="1255" t="inlineStr">
        <is>
          <t>Groupon</t>
        </is>
      </c>
      <c r="E447" s="1256" t="n">
        <v>13</v>
      </c>
      <c r="F447" s="1255" t="inlineStr">
        <is>
          <t>Intro Class</t>
        </is>
      </c>
      <c r="G447" s="1255" t="inlineStr">
        <is>
          <t>Groupon</t>
        </is>
      </c>
    </row>
    <row r="448" ht="13.5" customHeight="1" s="1232">
      <c r="A448" s="1413" t="n">
        <v>42862</v>
      </c>
      <c r="B448" s="1255" t="inlineStr">
        <is>
          <t>Sarah Green</t>
        </is>
      </c>
      <c r="C448" s="1255" t="inlineStr">
        <is>
          <t>courses/masterclasses</t>
        </is>
      </c>
      <c r="D448" s="1255" t="inlineStr">
        <is>
          <t>Stripe</t>
        </is>
      </c>
      <c r="E448" s="1256" t="n">
        <v>265</v>
      </c>
      <c r="F448" s="1255" t="inlineStr">
        <is>
          <t>5wk Course Soli</t>
        </is>
      </c>
      <c r="G448" s="1255" t="inlineStr">
        <is>
          <t>Google</t>
        </is>
      </c>
    </row>
    <row r="449" ht="13.5" customHeight="1" s="1232">
      <c r="A449" s="1413" t="n">
        <v>42861</v>
      </c>
      <c r="B449" s="1255" t="inlineStr">
        <is>
          <t>Graham Ibbetson</t>
        </is>
      </c>
      <c r="C449" s="1255" t="inlineStr">
        <is>
          <t>workshops</t>
        </is>
      </c>
      <c r="D449" s="1255" t="inlineStr">
        <is>
          <t>Stripe</t>
        </is>
      </c>
      <c r="E449" s="1256" t="n">
        <v>60</v>
      </c>
      <c r="F449" s="1255" t="inlineStr">
        <is>
          <t>Chesterton Workshop</t>
        </is>
      </c>
      <c r="G449" s="1255" t="inlineStr">
        <is>
          <t>Existing</t>
        </is>
      </c>
    </row>
    <row r="450" ht="13.5" customHeight="1" s="1232">
      <c r="A450" s="1413" t="n">
        <v>42861</v>
      </c>
      <c r="B450" s="1255" t="inlineStr">
        <is>
          <t>Ben James</t>
        </is>
      </c>
      <c r="C450" s="1255" t="inlineStr">
        <is>
          <t>courses/masterclasses</t>
        </is>
      </c>
      <c r="D450" s="1255" t="inlineStr">
        <is>
          <t>PayPal</t>
        </is>
      </c>
      <c r="E450" s="1256" t="n">
        <v>60</v>
      </c>
      <c r="F450" s="1255" t="inlineStr">
        <is>
          <t>Intro Class</t>
        </is>
      </c>
      <c r="G450" s="1255" t="inlineStr">
        <is>
          <t>Google</t>
        </is>
      </c>
    </row>
    <row r="451" ht="13.5" customHeight="1" s="1232">
      <c r="A451" s="1413" t="n">
        <v>42861</v>
      </c>
      <c r="B451" s="1255" t="inlineStr">
        <is>
          <t>Michelle Fellows</t>
        </is>
      </c>
      <c r="C451" s="1255" t="inlineStr">
        <is>
          <t>courses/masterclasses</t>
        </is>
      </c>
      <c r="D451" s="1255" t="inlineStr">
        <is>
          <t>Groupon</t>
        </is>
      </c>
      <c r="E451" s="1256" t="n">
        <v>13</v>
      </c>
      <c r="F451" s="1255" t="inlineStr">
        <is>
          <t>Intro Class</t>
        </is>
      </c>
      <c r="G451" s="1255" t="inlineStr">
        <is>
          <t>Groupon</t>
        </is>
      </c>
    </row>
    <row r="452" ht="13.5" customHeight="1" s="1232">
      <c r="A452" s="1413" t="n">
        <v>42856</v>
      </c>
      <c r="B452" s="1255" t="inlineStr">
        <is>
          <t>Mentoring - Apr</t>
        </is>
      </c>
      <c r="C452" s="1255" t="inlineStr">
        <is>
          <t>mentoring</t>
        </is>
      </c>
      <c r="D452" s="1255" t="inlineStr">
        <is>
          <t>Various</t>
        </is>
      </c>
      <c r="E452" s="1256" t="n">
        <v>100</v>
      </c>
      <c r="F452" s="1255" t="inlineStr">
        <is>
          <t>Mentoring Plans</t>
        </is>
      </c>
      <c r="G452" s="1255" t="inlineStr">
        <is>
          <t>Existing</t>
        </is>
      </c>
    </row>
    <row r="453" ht="13.5" customHeight="1" s="1232">
      <c r="A453" s="1413" t="n">
        <v>42856</v>
      </c>
      <c r="B453" s="1255" t="inlineStr">
        <is>
          <t>Pick N Mix - Apr</t>
        </is>
      </c>
      <c r="C453" s="1255" t="inlineStr">
        <is>
          <t>pick n mix</t>
        </is>
      </c>
      <c r="D453" s="1255" t="inlineStr">
        <is>
          <t>Various</t>
        </is>
      </c>
      <c r="E453" s="1256" t="n">
        <v>779.71</v>
      </c>
      <c r="F453" s="1255" t="inlineStr">
        <is>
          <t>Pick N Mix plans</t>
        </is>
      </c>
      <c r="G453" s="1255" t="inlineStr">
        <is>
          <t>Existing</t>
        </is>
      </c>
    </row>
    <row r="454">
      <c r="E454" s="1293" t="n"/>
    </row>
    <row r="455" ht="13.5" customHeight="1" s="1232">
      <c r="A455" s="1413" t="n"/>
      <c r="E455" s="1293" t="n"/>
    </row>
    <row r="456" ht="13.5" customHeight="1" s="1232">
      <c r="A456" s="1413" t="n">
        <v>42855</v>
      </c>
      <c r="B456" s="1255" t="inlineStr">
        <is>
          <t xml:space="preserve">PEDERSEN ISOBEL    </t>
        </is>
      </c>
      <c r="C456" s="1255" t="inlineStr">
        <is>
          <t>other</t>
        </is>
      </c>
      <c r="D456" s="1255" t="inlineStr">
        <is>
          <t>Bank</t>
        </is>
      </c>
      <c r="E456" s="1256" t="n">
        <v>255.18</v>
      </c>
      <c r="F456" s="1255" t="inlineStr">
        <is>
          <t>Prints</t>
        </is>
      </c>
      <c r="G456" s="1255" t="inlineStr">
        <is>
          <t>Zenfolio</t>
        </is>
      </c>
    </row>
    <row r="457" ht="13.5" customHeight="1" s="1232">
      <c r="A457" s="1413" t="n">
        <v>42855</v>
      </c>
      <c r="B457" s="1255" t="inlineStr">
        <is>
          <t>Christine Lewington</t>
        </is>
      </c>
      <c r="C457" s="1255" t="inlineStr">
        <is>
          <t>courses/masterclasses</t>
        </is>
      </c>
      <c r="D457" s="1255" t="inlineStr">
        <is>
          <t>Groupon</t>
        </is>
      </c>
      <c r="E457" s="1256" t="n">
        <v>13</v>
      </c>
      <c r="F457" s="1255" t="inlineStr">
        <is>
          <t>Intro Class</t>
        </is>
      </c>
      <c r="G457" s="1255" t="inlineStr">
        <is>
          <t>Groupon</t>
        </is>
      </c>
    </row>
    <row r="458" ht="13.5" customHeight="1" s="1232">
      <c r="A458" s="1413" t="n">
        <v>42855</v>
      </c>
      <c r="B458" s="1255" t="inlineStr">
        <is>
          <t>Vivian Drury</t>
        </is>
      </c>
      <c r="C458" s="1255" t="inlineStr">
        <is>
          <t>workshops</t>
        </is>
      </c>
      <c r="D458" s="1255" t="inlineStr">
        <is>
          <t>Stripe</t>
        </is>
      </c>
      <c r="E458" s="1256" t="n">
        <v>72</v>
      </c>
      <c r="F458" s="1255" t="inlineStr">
        <is>
          <t>Family SS/Workshop</t>
        </is>
      </c>
      <c r="G458" s="1255" t="inlineStr">
        <is>
          <t>Batsford</t>
        </is>
      </c>
    </row>
    <row r="459" ht="13.5" customHeight="1" s="1232">
      <c r="A459" s="1413" t="n">
        <v>42853</v>
      </c>
      <c r="B459" s="1255" t="inlineStr">
        <is>
          <t>Anthony Ashcroft</t>
        </is>
      </c>
      <c r="C459" s="1255" t="inlineStr">
        <is>
          <t>mentoring</t>
        </is>
      </c>
      <c r="D459" s="1255" t="inlineStr">
        <is>
          <t>PayPal</t>
        </is>
      </c>
      <c r="E459" s="1256" t="n">
        <v>20</v>
      </c>
      <c r="F459" s="1255" t="inlineStr">
        <is>
          <t>Monthly Mentoring</t>
        </is>
      </c>
      <c r="G459" s="1255" t="inlineStr">
        <is>
          <t>Google</t>
        </is>
      </c>
    </row>
    <row r="460" ht="13.5" customHeight="1" s="1232">
      <c r="A460" s="1413" t="n">
        <v>42852</v>
      </c>
      <c r="B460" s="1255" t="inlineStr">
        <is>
          <t>Laura Scrace</t>
        </is>
      </c>
      <c r="C460" s="1255" t="inlineStr">
        <is>
          <t>courses/masterclasses</t>
        </is>
      </c>
      <c r="D460" s="1255" t="inlineStr">
        <is>
          <t>Groupon</t>
        </is>
      </c>
      <c r="E460" s="1256" t="n">
        <v>13</v>
      </c>
      <c r="F460" s="1255" t="inlineStr">
        <is>
          <t>Intro Class</t>
        </is>
      </c>
      <c r="G460" s="1255" t="inlineStr">
        <is>
          <t>Groupon</t>
        </is>
      </c>
    </row>
    <row r="461" ht="13.5" customHeight="1" s="1232">
      <c r="A461" s="1413" t="n">
        <v>42849</v>
      </c>
      <c r="B461" s="1255" t="inlineStr">
        <is>
          <t>Chris Parker</t>
        </is>
      </c>
      <c r="C461" s="1255" t="inlineStr">
        <is>
          <t>workshops</t>
        </is>
      </c>
      <c r="D461" s="1255" t="inlineStr">
        <is>
          <t>Bank</t>
        </is>
      </c>
      <c r="E461" s="1256" t="n">
        <v>99</v>
      </c>
      <c r="F461" s="1255" t="inlineStr">
        <is>
          <t>Bluebells</t>
        </is>
      </c>
      <c r="G461" s="1255" t="inlineStr">
        <is>
          <t>Existing</t>
        </is>
      </c>
    </row>
    <row r="462" ht="13.5" customHeight="1" s="1232">
      <c r="A462" s="1413" t="n">
        <v>42849</v>
      </c>
      <c r="B462" s="1255" t="inlineStr">
        <is>
          <t>Sarah Deemoing</t>
        </is>
      </c>
      <c r="C462" s="1255" t="inlineStr">
        <is>
          <t>courses/masterclasses</t>
        </is>
      </c>
      <c r="D462" s="1255" t="inlineStr">
        <is>
          <t>Bank</t>
        </is>
      </c>
      <c r="E462" s="1256" t="n">
        <v>1020</v>
      </c>
      <c r="F462" s="1255" t="inlineStr">
        <is>
          <t>Schools Course</t>
        </is>
      </c>
      <c r="G462" s="1255" t="inlineStr">
        <is>
          <t>Google</t>
        </is>
      </c>
    </row>
    <row r="463" ht="13.5" customHeight="1" s="1232">
      <c r="A463" s="1413" t="n">
        <v>42848</v>
      </c>
      <c r="B463" s="1255" t="inlineStr">
        <is>
          <t>Jodie Munn</t>
        </is>
      </c>
      <c r="C463" s="1255" t="inlineStr">
        <is>
          <t>courses/masterclasses</t>
        </is>
      </c>
      <c r="D463" s="1255" t="inlineStr">
        <is>
          <t>W-Play</t>
        </is>
      </c>
      <c r="E463" s="1256" t="n">
        <v>265</v>
      </c>
      <c r="F463" s="1255" t="inlineStr">
        <is>
          <t>5wk course</t>
        </is>
      </c>
      <c r="G463" s="1255" t="inlineStr">
        <is>
          <t>Google</t>
        </is>
      </c>
    </row>
    <row r="464" ht="13.5" customHeight="1" s="1232">
      <c r="A464" s="1413" t="n">
        <v>42845</v>
      </c>
      <c r="B464" s="1255" t="inlineStr">
        <is>
          <t>Ian Blake</t>
        </is>
      </c>
      <c r="C464" s="1255" t="inlineStr">
        <is>
          <t>workshops</t>
        </is>
      </c>
      <c r="D464" s="1255" t="inlineStr">
        <is>
          <t>Bank</t>
        </is>
      </c>
      <c r="E464" s="1256" t="n">
        <v>250</v>
      </c>
      <c r="F464" s="1255" t="inlineStr">
        <is>
          <t>Yorkshire</t>
        </is>
      </c>
      <c r="G464" s="1255" t="inlineStr">
        <is>
          <t>ELS</t>
        </is>
      </c>
    </row>
    <row r="465" ht="13.5" customHeight="1" s="1232">
      <c r="A465" s="1413" t="n">
        <v>42845</v>
      </c>
      <c r="B465" s="1255" t="inlineStr">
        <is>
          <t>Steve Parish</t>
        </is>
      </c>
      <c r="C465" s="1255" t="inlineStr">
        <is>
          <t>courses/masterclasses</t>
        </is>
      </c>
      <c r="D465" s="1255" t="inlineStr">
        <is>
          <t>Bank</t>
        </is>
      </c>
      <c r="E465" s="1256" t="n">
        <v>441</v>
      </c>
      <c r="F465" s="1255" t="inlineStr">
        <is>
          <t>Courses</t>
        </is>
      </c>
      <c r="G465" s="1255" t="inlineStr">
        <is>
          <t>Existing</t>
        </is>
      </c>
    </row>
    <row r="466" ht="13.5" customHeight="1" s="1232">
      <c r="A466" s="1413" t="n">
        <v>42845</v>
      </c>
      <c r="B466" s="1255" t="inlineStr">
        <is>
          <t>Phil Hardy</t>
        </is>
      </c>
      <c r="C466" s="1255" t="inlineStr">
        <is>
          <t>workshops</t>
        </is>
      </c>
      <c r="D466" s="1255" t="inlineStr">
        <is>
          <t>W-Play</t>
        </is>
      </c>
      <c r="E466" s="1256" t="n">
        <v>99</v>
      </c>
      <c r="F466" s="1255" t="inlineStr">
        <is>
          <t>Bluebells</t>
        </is>
      </c>
      <c r="G466" s="1255" t="inlineStr">
        <is>
          <t>Google</t>
        </is>
      </c>
    </row>
    <row r="467" ht="13.5" customHeight="1" s="1232">
      <c r="A467" s="1413" t="n">
        <v>42845</v>
      </c>
      <c r="B467" s="1255" t="inlineStr">
        <is>
          <t>Sarah Khan</t>
        </is>
      </c>
      <c r="C467" s="1255" t="inlineStr">
        <is>
          <t>courses/masterclasses</t>
        </is>
      </c>
      <c r="D467" s="1255" t="inlineStr">
        <is>
          <t>Groupon</t>
        </is>
      </c>
      <c r="E467" s="1256" t="n">
        <v>13</v>
      </c>
      <c r="F467" s="1255" t="inlineStr">
        <is>
          <t>Intro Class</t>
        </is>
      </c>
      <c r="G467" s="1255" t="inlineStr">
        <is>
          <t>Groupon</t>
        </is>
      </c>
    </row>
    <row r="468" ht="13.5" customHeight="1" s="1232">
      <c r="A468" s="1413" t="n">
        <v>42844</v>
      </c>
      <c r="B468" s="1255" t="inlineStr">
        <is>
          <t>Harriet Bowley</t>
        </is>
      </c>
      <c r="C468" s="1255" t="inlineStr">
        <is>
          <t>other</t>
        </is>
      </c>
      <c r="D468" s="1255" t="inlineStr">
        <is>
          <t>Bank</t>
        </is>
      </c>
      <c r="E468" s="1256" t="n">
        <v>30</v>
      </c>
      <c r="F468" s="1255" t="inlineStr">
        <is>
          <t>Forum</t>
        </is>
      </c>
      <c r="G468" s="1255" t="inlineStr">
        <is>
          <t>Existing</t>
        </is>
      </c>
    </row>
    <row r="469" ht="13.5" customHeight="1" s="1232">
      <c r="A469" s="1413" t="n">
        <v>42844</v>
      </c>
      <c r="B469" s="1255" t="inlineStr">
        <is>
          <t>Janet Boulter</t>
        </is>
      </c>
      <c r="C469" s="1255" t="inlineStr">
        <is>
          <t>workshops</t>
        </is>
      </c>
      <c r="D469" s="1255" t="inlineStr">
        <is>
          <t>Stripe</t>
        </is>
      </c>
      <c r="E469" s="1256" t="n">
        <v>99</v>
      </c>
      <c r="F469" s="1255" t="inlineStr">
        <is>
          <t>Bluebells</t>
        </is>
      </c>
      <c r="G469" s="1255" t="inlineStr">
        <is>
          <t>Google</t>
        </is>
      </c>
    </row>
    <row r="470" ht="13.5" customHeight="1" s="1232">
      <c r="A470" s="1413" t="n">
        <v>42842</v>
      </c>
      <c r="B470" s="1255" t="inlineStr">
        <is>
          <t>Sarah Nesbitt</t>
        </is>
      </c>
      <c r="C470" s="1255" t="inlineStr">
        <is>
          <t>courses/masterclasses</t>
        </is>
      </c>
      <c r="D470" s="1255" t="inlineStr">
        <is>
          <t>Groupon</t>
        </is>
      </c>
      <c r="E470" s="1256" t="n">
        <v>12</v>
      </c>
      <c r="F470" s="1255" t="inlineStr">
        <is>
          <t>Intro Class</t>
        </is>
      </c>
      <c r="G470" s="1255" t="inlineStr">
        <is>
          <t>Groupon</t>
        </is>
      </c>
    </row>
    <row r="471" ht="13.5" customHeight="1" s="1232">
      <c r="A471" s="1413" t="n">
        <v>42842</v>
      </c>
      <c r="B471" s="1255" t="inlineStr">
        <is>
          <t>Christopher Morris</t>
        </is>
      </c>
      <c r="C471" s="1255" t="inlineStr">
        <is>
          <t>workshops</t>
        </is>
      </c>
      <c r="D471" s="1255" t="inlineStr">
        <is>
          <t>PayPal</t>
        </is>
      </c>
      <c r="E471" s="1256" t="n">
        <v>99</v>
      </c>
      <c r="F471" s="1255" t="inlineStr">
        <is>
          <t>Bluebells</t>
        </is>
      </c>
      <c r="G471" s="1255" t="inlineStr">
        <is>
          <t>Google</t>
        </is>
      </c>
    </row>
    <row r="472" ht="13.5" customHeight="1" s="1232">
      <c r="A472" s="1413" t="n">
        <v>42842</v>
      </c>
      <c r="B472" s="1255" t="inlineStr">
        <is>
          <t>Natalie Craddock</t>
        </is>
      </c>
      <c r="C472" s="1255" t="inlineStr">
        <is>
          <t>workshops</t>
        </is>
      </c>
      <c r="D472" s="1255" t="inlineStr">
        <is>
          <t>Stripe</t>
        </is>
      </c>
      <c r="E472" s="1256" t="n">
        <v>60</v>
      </c>
      <c r="F472" s="1255" t="inlineStr">
        <is>
          <t>Night shoot</t>
        </is>
      </c>
      <c r="G472" s="1255" t="inlineStr">
        <is>
          <t>Existing</t>
        </is>
      </c>
    </row>
    <row r="473" ht="13.5" customHeight="1" s="1232">
      <c r="A473" s="1413" t="n">
        <v>42842</v>
      </c>
      <c r="B473" s="1255" t="inlineStr">
        <is>
          <t xml:space="preserve">Stephanie Cowley </t>
        </is>
      </c>
      <c r="C473" s="1255" t="inlineStr">
        <is>
          <t>courses/masterclasses</t>
        </is>
      </c>
      <c r="D473" s="1255" t="inlineStr">
        <is>
          <t>Stripe</t>
        </is>
      </c>
      <c r="E473" s="1256" t="n">
        <v>265</v>
      </c>
      <c r="F473" s="1255" t="inlineStr">
        <is>
          <t>5wk course</t>
        </is>
      </c>
      <c r="G473" s="1255" t="inlineStr">
        <is>
          <t>Google</t>
        </is>
      </c>
    </row>
    <row r="474" ht="13.5" customHeight="1" s="1232">
      <c r="A474" s="1413" t="n">
        <v>42839</v>
      </c>
      <c r="B474" s="1255" t="inlineStr">
        <is>
          <t>Bryan Bradley</t>
        </is>
      </c>
      <c r="C474" s="1255" t="inlineStr">
        <is>
          <t>workshops</t>
        </is>
      </c>
      <c r="D474" s="1255" t="inlineStr">
        <is>
          <t>Stripe</t>
        </is>
      </c>
      <c r="E474" s="1256" t="n">
        <v>99</v>
      </c>
      <c r="F474" s="1255" t="inlineStr">
        <is>
          <t>Bluebells</t>
        </is>
      </c>
      <c r="G474" s="1255" t="inlineStr">
        <is>
          <t>Google</t>
        </is>
      </c>
    </row>
    <row r="475" ht="13.5" customHeight="1" s="1232">
      <c r="A475" s="1413" t="n">
        <v>42836</v>
      </c>
      <c r="B475" s="1255" t="inlineStr">
        <is>
          <t>Judith Wilde</t>
        </is>
      </c>
      <c r="C475" s="1255" t="inlineStr">
        <is>
          <t>workshops</t>
        </is>
      </c>
      <c r="D475" s="1255" t="inlineStr">
        <is>
          <t>Stripe</t>
        </is>
      </c>
      <c r="E475" s="1256" t="n">
        <v>99</v>
      </c>
      <c r="F475" s="1255" t="inlineStr">
        <is>
          <t>Bluebells</t>
        </is>
      </c>
      <c r="G475" s="1255" t="inlineStr">
        <is>
          <t>Google</t>
        </is>
      </c>
    </row>
    <row r="476" ht="13.5" customHeight="1" s="1232">
      <c r="A476" s="1413" t="n">
        <v>42835</v>
      </c>
      <c r="B476" s="1255" t="inlineStr">
        <is>
          <t>Nicola Lockyer</t>
        </is>
      </c>
      <c r="C476" s="1255" t="inlineStr">
        <is>
          <t>workshops</t>
        </is>
      </c>
      <c r="D476" s="1255" t="inlineStr">
        <is>
          <t>Stripe</t>
        </is>
      </c>
      <c r="E476" s="1256" t="n">
        <v>99</v>
      </c>
      <c r="F476" s="1255" t="inlineStr">
        <is>
          <t>Bluebells</t>
        </is>
      </c>
      <c r="G476" s="1255" t="inlineStr">
        <is>
          <t>Existing</t>
        </is>
      </c>
    </row>
    <row r="477" ht="13.5" customHeight="1" s="1232">
      <c r="A477" s="1413" t="n">
        <v>42834</v>
      </c>
      <c r="B477" s="1255" t="inlineStr">
        <is>
          <t>Peter Tierney</t>
        </is>
      </c>
      <c r="C477" s="1255" t="inlineStr">
        <is>
          <t>workshops</t>
        </is>
      </c>
      <c r="D477" s="1255" t="inlineStr">
        <is>
          <t>PayPal</t>
        </is>
      </c>
      <c r="E477" s="1256" t="n">
        <v>30</v>
      </c>
      <c r="F477" s="1255" t="inlineStr">
        <is>
          <t>Sharpshooters</t>
        </is>
      </c>
      <c r="G477" s="1255" t="inlineStr">
        <is>
          <t>Batsford</t>
        </is>
      </c>
    </row>
    <row r="478" ht="13.5" customHeight="1" s="1232">
      <c r="A478" s="1413" t="n">
        <v>42834</v>
      </c>
      <c r="B478" s="1255" t="inlineStr">
        <is>
          <t>tim lerwill</t>
        </is>
      </c>
      <c r="C478" s="1255" t="inlineStr">
        <is>
          <t>workshops</t>
        </is>
      </c>
      <c r="D478" s="1255" t="inlineStr">
        <is>
          <t>Stripe</t>
        </is>
      </c>
      <c r="E478" s="1256" t="n">
        <v>22.4</v>
      </c>
      <c r="F478" s="1255" t="inlineStr">
        <is>
          <t>Gift Voucher Sharpshooters</t>
        </is>
      </c>
      <c r="G478" s="1255" t="inlineStr">
        <is>
          <t>Batsford</t>
        </is>
      </c>
    </row>
    <row r="479" ht="13.5" customHeight="1" s="1232">
      <c r="A479" s="1413" t="n">
        <v>42834</v>
      </c>
      <c r="B479" s="1255" t="inlineStr">
        <is>
          <t>Derek Sharp</t>
        </is>
      </c>
      <c r="C479" s="1255" t="inlineStr">
        <is>
          <t>workshops</t>
        </is>
      </c>
      <c r="D479" s="1255" t="inlineStr">
        <is>
          <t>PayPal</t>
        </is>
      </c>
      <c r="E479" s="1256" t="n">
        <v>99</v>
      </c>
      <c r="F479" s="1255" t="inlineStr">
        <is>
          <t>Bluebells</t>
        </is>
      </c>
      <c r="G479" s="1255" t="inlineStr">
        <is>
          <t>Existing</t>
        </is>
      </c>
    </row>
    <row r="480" ht="13.5" customHeight="1" s="1232">
      <c r="A480" s="1413" t="n">
        <v>42834</v>
      </c>
      <c r="B480" s="1255" t="inlineStr">
        <is>
          <t>Claire Meyer</t>
        </is>
      </c>
      <c r="C480" s="1255" t="inlineStr">
        <is>
          <t>workshops</t>
        </is>
      </c>
      <c r="D480" s="1255" t="inlineStr">
        <is>
          <t>Stripe</t>
        </is>
      </c>
      <c r="E480" s="1256" t="n">
        <v>99</v>
      </c>
      <c r="F480" s="1255" t="inlineStr">
        <is>
          <t>Bluebells</t>
        </is>
      </c>
      <c r="G480" s="1255" t="inlineStr">
        <is>
          <t>Google</t>
        </is>
      </c>
    </row>
    <row r="481" ht="13.5" customHeight="1" s="1232">
      <c r="A481" s="1413" t="n">
        <v>42832</v>
      </c>
      <c r="B481" s="1255" t="inlineStr">
        <is>
          <t>Judith Longhorn</t>
        </is>
      </c>
      <c r="C481" s="1255" t="inlineStr">
        <is>
          <t>workshops</t>
        </is>
      </c>
      <c r="D481" s="1255" t="inlineStr">
        <is>
          <t>Stripe</t>
        </is>
      </c>
      <c r="E481" s="1256" t="n">
        <v>675</v>
      </c>
      <c r="F481" s="1255" t="inlineStr">
        <is>
          <t>Norfolk</t>
        </is>
      </c>
      <c r="G481" s="1255" t="inlineStr">
        <is>
          <t>Existing</t>
        </is>
      </c>
    </row>
    <row r="482" ht="13.5" customHeight="1" s="1232">
      <c r="A482" s="1413" t="n">
        <v>42832</v>
      </c>
      <c r="B482" s="1255" t="inlineStr">
        <is>
          <t>Julien Hoyez</t>
        </is>
      </c>
      <c r="C482" s="1255" t="inlineStr">
        <is>
          <t>courses/masterclasses</t>
        </is>
      </c>
      <c r="D482" s="1255" t="inlineStr">
        <is>
          <t>Bank</t>
        </is>
      </c>
      <c r="E482" s="1256" t="n">
        <v>65</v>
      </c>
      <c r="F482" s="1255" t="inlineStr">
        <is>
          <t>5wk course</t>
        </is>
      </c>
      <c r="G482" s="1255" t="inlineStr">
        <is>
          <t>ELS</t>
        </is>
      </c>
    </row>
    <row r="483" ht="13.5" customHeight="1" s="1232">
      <c r="A483" s="1413" t="n">
        <v>42831</v>
      </c>
      <c r="B483" s="1255" t="inlineStr">
        <is>
          <t>Pauline Kerr</t>
        </is>
      </c>
      <c r="C483" s="1255" t="inlineStr">
        <is>
          <t>workshops</t>
        </is>
      </c>
      <c r="D483" s="1255" t="inlineStr">
        <is>
          <t>Stripe</t>
        </is>
      </c>
      <c r="E483" s="1256" t="n">
        <v>50</v>
      </c>
      <c r="F483" s="1255" t="inlineStr">
        <is>
          <t>Norfolk</t>
        </is>
      </c>
      <c r="G483" s="1255" t="inlineStr">
        <is>
          <t>Existing</t>
        </is>
      </c>
    </row>
    <row r="484" ht="13.5" customHeight="1" s="1232">
      <c r="A484" s="1413" t="n">
        <v>42831</v>
      </c>
      <c r="B484" s="1255" t="inlineStr">
        <is>
          <t>James Kelly</t>
        </is>
      </c>
      <c r="C484" s="1255" t="inlineStr">
        <is>
          <t>courses/masterclasses</t>
        </is>
      </c>
      <c r="D484" s="1255" t="inlineStr">
        <is>
          <t>Stripe</t>
        </is>
      </c>
      <c r="E484" s="1256" t="n">
        <v>265</v>
      </c>
      <c r="F484" s="1255" t="inlineStr">
        <is>
          <t>5wk course</t>
        </is>
      </c>
      <c r="G484" s="1255" t="inlineStr">
        <is>
          <t>ELS</t>
        </is>
      </c>
    </row>
    <row r="485" ht="13.5" customHeight="1" s="1232">
      <c r="A485" s="1413" t="n">
        <v>42831</v>
      </c>
      <c r="B485" s="1255" t="inlineStr">
        <is>
          <t>Chris Franklin</t>
        </is>
      </c>
      <c r="C485" s="1255" t="inlineStr">
        <is>
          <t>pick n mix</t>
        </is>
      </c>
      <c r="D485" s="1255" t="inlineStr">
        <is>
          <t>Bank</t>
        </is>
      </c>
      <c r="E485" s="1256" t="n">
        <v>47.48</v>
      </c>
      <c r="F485" s="1255" t="inlineStr">
        <is>
          <t>Pick N Mix plans</t>
        </is>
      </c>
      <c r="G485" s="1255" t="inlineStr">
        <is>
          <t>Existing</t>
        </is>
      </c>
    </row>
    <row r="486" ht="13.5" customHeight="1" s="1232">
      <c r="A486" s="1413" t="n">
        <v>42829</v>
      </c>
      <c r="B486" s="1255" t="inlineStr">
        <is>
          <t>Chris Parker</t>
        </is>
      </c>
      <c r="C486" s="1255" t="inlineStr">
        <is>
          <t>courses/masterclasses</t>
        </is>
      </c>
      <c r="D486" s="1255" t="inlineStr">
        <is>
          <t>Bank</t>
        </is>
      </c>
      <c r="E486" s="1256" t="n">
        <v>475</v>
      </c>
      <c r="F486" s="1255" t="inlineStr">
        <is>
          <t>Intermediates</t>
        </is>
      </c>
      <c r="G486" s="1255" t="inlineStr">
        <is>
          <t>Existing</t>
        </is>
      </c>
    </row>
    <row r="487" ht="13.5" customHeight="1" s="1232">
      <c r="A487" s="1413" t="n">
        <v>42828</v>
      </c>
      <c r="B487" s="1255" t="inlineStr">
        <is>
          <t>Stuart Walters</t>
        </is>
      </c>
      <c r="C487" s="1255" t="inlineStr">
        <is>
          <t>courses/masterclasses</t>
        </is>
      </c>
      <c r="D487" s="1255" t="inlineStr">
        <is>
          <t>Stripe</t>
        </is>
      </c>
      <c r="E487" s="1256" t="n">
        <v>235</v>
      </c>
      <c r="F487" s="1255" t="inlineStr">
        <is>
          <t>4wk course</t>
        </is>
      </c>
      <c r="G487" s="1255" t="inlineStr">
        <is>
          <t>Google</t>
        </is>
      </c>
    </row>
    <row r="488" ht="13.5" customHeight="1" s="1232">
      <c r="A488" s="1413" t="n">
        <v>42827</v>
      </c>
      <c r="B488" s="1255" t="inlineStr">
        <is>
          <t>Zoe Eardley</t>
        </is>
      </c>
      <c r="C488" s="1255" t="inlineStr">
        <is>
          <t>courses/masterclasses</t>
        </is>
      </c>
      <c r="D488" s="1255" t="inlineStr">
        <is>
          <t>Stripe</t>
        </is>
      </c>
      <c r="E488" s="1256" t="n">
        <v>30</v>
      </c>
      <c r="F488" s="1255" t="inlineStr">
        <is>
          <t>Intro Class</t>
        </is>
      </c>
      <c r="G488" s="1255" t="inlineStr">
        <is>
          <t>Google</t>
        </is>
      </c>
    </row>
    <row r="489" ht="13.5" customHeight="1" s="1232">
      <c r="A489" s="1413" t="n">
        <v>42826</v>
      </c>
      <c r="B489" s="1255" t="inlineStr">
        <is>
          <t>Mentoring - Apr</t>
        </is>
      </c>
      <c r="C489" s="1255" t="inlineStr">
        <is>
          <t>mentoring</t>
        </is>
      </c>
      <c r="D489" s="1255" t="inlineStr">
        <is>
          <t>Various</t>
        </is>
      </c>
      <c r="E489" s="1256" t="n">
        <v>80</v>
      </c>
      <c r="F489" s="1255" t="inlineStr">
        <is>
          <t>Mentoring Plans</t>
        </is>
      </c>
      <c r="G489" s="1255" t="inlineStr">
        <is>
          <t>Existing</t>
        </is>
      </c>
    </row>
    <row r="490" ht="13.5" customHeight="1" s="1232">
      <c r="A490" s="1413" t="n">
        <v>42826</v>
      </c>
      <c r="B490" s="1255" t="inlineStr">
        <is>
          <t>Pick N Mix - Apr</t>
        </is>
      </c>
      <c r="C490" s="1255" t="inlineStr">
        <is>
          <t>pick n mix</t>
        </is>
      </c>
      <c r="D490" s="1255" t="inlineStr">
        <is>
          <t>Various</t>
        </is>
      </c>
      <c r="E490" s="1256" t="n">
        <v>468.11</v>
      </c>
      <c r="F490" s="1255" t="inlineStr">
        <is>
          <t>Pick N Mix plans</t>
        </is>
      </c>
      <c r="G490" s="1255" t="inlineStr">
        <is>
          <t>Existing</t>
        </is>
      </c>
    </row>
    <row r="491" ht="13.5" customHeight="1" s="1232">
      <c r="A491" s="1413" t="n"/>
    </row>
    <row r="492" ht="13.5" customHeight="1" s="1232">
      <c r="A492" s="1413" t="n"/>
    </row>
    <row r="493" ht="13.5" customHeight="1" s="1232">
      <c r="A493" s="1413" t="n">
        <v>42824</v>
      </c>
      <c r="B493" s="1255" t="inlineStr">
        <is>
          <t>Sam Cook</t>
        </is>
      </c>
      <c r="C493" s="1255" t="inlineStr">
        <is>
          <t>courses/masterclasses</t>
        </is>
      </c>
      <c r="D493" s="1255" t="inlineStr">
        <is>
          <t>Bank</t>
        </is>
      </c>
      <c r="E493" s="1256" t="n">
        <v>190</v>
      </c>
      <c r="F493" s="1255" t="inlineStr">
        <is>
          <t>4wk course</t>
        </is>
      </c>
      <c r="G493" s="1255" t="inlineStr">
        <is>
          <t>Existing</t>
        </is>
      </c>
    </row>
    <row r="494" ht="13.5" customHeight="1" s="1232">
      <c r="A494" s="1413" t="n">
        <v>42824</v>
      </c>
      <c r="B494" s="1255" t="inlineStr">
        <is>
          <t>Eileen Huzzey</t>
        </is>
      </c>
      <c r="C494" s="1255" t="inlineStr">
        <is>
          <t>workshops</t>
        </is>
      </c>
      <c r="D494" s="1255" t="inlineStr">
        <is>
          <t>Stripe</t>
        </is>
      </c>
      <c r="E494" s="1256" t="n">
        <v>59</v>
      </c>
      <c r="F494" s="1255" t="inlineStr">
        <is>
          <t>Batsford Calendar</t>
        </is>
      </c>
      <c r="G494" s="1255" t="inlineStr">
        <is>
          <t>Batsford</t>
        </is>
      </c>
    </row>
    <row r="495" ht="13.5" customHeight="1" s="1232">
      <c r="A495" s="1413" t="n">
        <v>42824</v>
      </c>
      <c r="B495" s="1255" t="inlineStr">
        <is>
          <t>Janet Ingram</t>
        </is>
      </c>
      <c r="C495" s="1255" t="inlineStr">
        <is>
          <t>workshops</t>
        </is>
      </c>
      <c r="D495" s="1255" t="inlineStr">
        <is>
          <t>Stripe</t>
        </is>
      </c>
      <c r="E495" s="1256" t="n">
        <v>59</v>
      </c>
      <c r="F495" s="1255" t="inlineStr">
        <is>
          <t>Batsford Calendar</t>
        </is>
      </c>
      <c r="G495" s="1255" t="inlineStr">
        <is>
          <t>Batsford</t>
        </is>
      </c>
    </row>
    <row r="496" ht="13.5" customHeight="1" s="1232">
      <c r="A496" s="1413" t="n">
        <v>42824</v>
      </c>
      <c r="B496" s="1255" t="inlineStr">
        <is>
          <t>Phil O'Grady</t>
        </is>
      </c>
      <c r="C496" s="1255" t="inlineStr">
        <is>
          <t>pick n mix</t>
        </is>
      </c>
      <c r="D496" s="1255" t="inlineStr">
        <is>
          <t>Bank</t>
        </is>
      </c>
      <c r="E496" s="1256" t="n">
        <v>50</v>
      </c>
      <c r="F496" s="1255" t="inlineStr">
        <is>
          <t>Pick N Mix Mar</t>
        </is>
      </c>
      <c r="G496" s="1255" t="inlineStr">
        <is>
          <t>Existing</t>
        </is>
      </c>
    </row>
    <row r="497" ht="13.5" customHeight="1" s="1232">
      <c r="A497" s="1413" t="n">
        <v>42824</v>
      </c>
      <c r="B497" s="1255" t="inlineStr">
        <is>
          <t>Cerys Jones</t>
        </is>
      </c>
      <c r="C497" s="1255" t="inlineStr">
        <is>
          <t>courses/masterclasses</t>
        </is>
      </c>
      <c r="D497" s="1255" t="inlineStr">
        <is>
          <t>Bank</t>
        </is>
      </c>
      <c r="E497" s="1256" t="n">
        <v>190</v>
      </c>
      <c r="F497" s="1255" t="inlineStr">
        <is>
          <t>4wk course</t>
        </is>
      </c>
      <c r="G497" s="1255" t="inlineStr">
        <is>
          <t>Google</t>
        </is>
      </c>
    </row>
    <row r="498" ht="13.5" customHeight="1" s="1232">
      <c r="A498" s="1413" t="n">
        <v>42822</v>
      </c>
      <c r="B498" s="1255" t="inlineStr">
        <is>
          <t>Sam Cook</t>
        </is>
      </c>
      <c r="C498" s="1255" t="inlineStr">
        <is>
          <t>courses/masterclasses</t>
        </is>
      </c>
      <c r="D498" s="1255" t="inlineStr">
        <is>
          <t>stripe</t>
        </is>
      </c>
      <c r="E498" s="1256" t="n">
        <v>10</v>
      </c>
      <c r="F498" s="1255" t="inlineStr">
        <is>
          <t>4wk course</t>
        </is>
      </c>
      <c r="G498" s="1255" t="inlineStr">
        <is>
          <t>Google</t>
        </is>
      </c>
    </row>
    <row r="499" ht="13.5" customHeight="1" s="1232">
      <c r="A499" s="1413" t="n">
        <v>42822</v>
      </c>
      <c r="B499" s="1255" t="inlineStr">
        <is>
          <t>Cerys Jones</t>
        </is>
      </c>
      <c r="C499" s="1255" t="inlineStr">
        <is>
          <t>courses/masterclasses</t>
        </is>
      </c>
      <c r="D499" s="1255" t="inlineStr">
        <is>
          <t>stripe</t>
        </is>
      </c>
      <c r="E499" s="1256" t="n">
        <v>10</v>
      </c>
      <c r="F499" s="1255" t="inlineStr">
        <is>
          <t>4wk course</t>
        </is>
      </c>
      <c r="G499" s="1255" t="inlineStr">
        <is>
          <t>Google</t>
        </is>
      </c>
    </row>
    <row r="500" ht="13.5" customHeight="1" s="1232">
      <c r="A500" s="1413" t="n">
        <v>42822</v>
      </c>
      <c r="B500" s="1255" t="inlineStr">
        <is>
          <t>Elga Riman/Colin Clapp</t>
        </is>
      </c>
      <c r="C500" s="1255" t="inlineStr">
        <is>
          <t>1-2-1</t>
        </is>
      </c>
      <c r="D500" s="1255" t="inlineStr">
        <is>
          <t>PayPal</t>
        </is>
      </c>
      <c r="E500" s="1256" t="n">
        <v>195</v>
      </c>
      <c r="F500" s="1255" t="inlineStr">
        <is>
          <t>1-2-1 gift voucher</t>
        </is>
      </c>
      <c r="G500" s="1255" t="inlineStr">
        <is>
          <t>Google</t>
        </is>
      </c>
    </row>
    <row r="501" ht="13.5" customHeight="1" s="1232">
      <c r="A501" s="1413" t="n">
        <v>42821</v>
      </c>
      <c r="B501" s="1255" t="inlineStr">
        <is>
          <t>Chris Walkland</t>
        </is>
      </c>
      <c r="C501" s="1255" t="inlineStr">
        <is>
          <t>other</t>
        </is>
      </c>
      <c r="D501" s="1255" t="inlineStr">
        <is>
          <t>stripe</t>
        </is>
      </c>
      <c r="E501" s="1256" t="n">
        <v>30</v>
      </c>
      <c r="F501" s="1255" t="inlineStr">
        <is>
          <t>Forum</t>
        </is>
      </c>
      <c r="G501" s="1255" t="inlineStr">
        <is>
          <t>Existing</t>
        </is>
      </c>
    </row>
    <row r="502" ht="13.5" customHeight="1" s="1232">
      <c r="A502" s="1413" t="n">
        <v>42821</v>
      </c>
      <c r="B502" s="1255" t="inlineStr">
        <is>
          <t>Jamie Beardmore</t>
        </is>
      </c>
      <c r="C502" s="1255" t="inlineStr">
        <is>
          <t>other</t>
        </is>
      </c>
      <c r="D502" s="1255" t="inlineStr">
        <is>
          <t>PayPal</t>
        </is>
      </c>
      <c r="E502" s="1256" t="n">
        <v>30</v>
      </c>
      <c r="F502" s="1255" t="inlineStr">
        <is>
          <t>Forum</t>
        </is>
      </c>
      <c r="G502" s="1255" t="inlineStr">
        <is>
          <t>Existing</t>
        </is>
      </c>
    </row>
    <row r="503" ht="13.5" customHeight="1" s="1232">
      <c r="A503" s="1413" t="n">
        <v>42820</v>
      </c>
      <c r="B503" s="1255" t="inlineStr">
        <is>
          <t>Sue Mowle</t>
        </is>
      </c>
      <c r="C503" s="1255" t="inlineStr">
        <is>
          <t>workshops</t>
        </is>
      </c>
      <c r="D503" s="1255" t="inlineStr">
        <is>
          <t>stripe</t>
        </is>
      </c>
      <c r="E503" s="1256" t="n">
        <v>99</v>
      </c>
      <c r="F503" s="1255" t="inlineStr">
        <is>
          <t>Bluebell Workshop</t>
        </is>
      </c>
      <c r="G503" s="1255" t="inlineStr">
        <is>
          <t>Google</t>
        </is>
      </c>
    </row>
    <row r="504" ht="13.5" customHeight="1" s="1232">
      <c r="A504" s="1413" t="n">
        <v>42817</v>
      </c>
      <c r="B504" s="1255" t="inlineStr">
        <is>
          <t>Janice Jordon</t>
        </is>
      </c>
      <c r="C504" s="1255" t="inlineStr">
        <is>
          <t>workshops</t>
        </is>
      </c>
      <c r="D504" s="1255" t="inlineStr">
        <is>
          <t>Bank</t>
        </is>
      </c>
      <c r="E504" s="1256" t="n">
        <v>578.38</v>
      </c>
      <c r="F504" s="1255" t="inlineStr">
        <is>
          <t>Workshop</t>
        </is>
      </c>
      <c r="G504" s="1255" t="inlineStr">
        <is>
          <t>Existing</t>
        </is>
      </c>
    </row>
    <row r="505" ht="13.5" customHeight="1" s="1232">
      <c r="A505" s="1413" t="n">
        <v>42817</v>
      </c>
      <c r="B505" s="1255" t="inlineStr">
        <is>
          <t>Jamie Beardmore</t>
        </is>
      </c>
      <c r="C505" s="1255" t="inlineStr">
        <is>
          <t>pick n mix</t>
        </is>
      </c>
      <c r="D505" s="1255" t="inlineStr">
        <is>
          <t>Bank</t>
        </is>
      </c>
      <c r="E505" s="1256" t="n">
        <v>43.8</v>
      </c>
      <c r="F505" s="1255" t="inlineStr">
        <is>
          <t>Pick N Mix Mar</t>
        </is>
      </c>
      <c r="G505" s="1255" t="inlineStr">
        <is>
          <t>Existing</t>
        </is>
      </c>
    </row>
    <row r="506" ht="13.5" customHeight="1" s="1232">
      <c r="A506" s="1413" t="n">
        <v>42817</v>
      </c>
      <c r="B506" s="1255" t="inlineStr">
        <is>
          <t>Greg Sant</t>
        </is>
      </c>
      <c r="C506" s="1255" t="inlineStr">
        <is>
          <t>1-2-1</t>
        </is>
      </c>
      <c r="D506" s="1255" t="inlineStr">
        <is>
          <t>W-Play</t>
        </is>
      </c>
      <c r="E506" s="1256" t="n">
        <v>195</v>
      </c>
      <c r="F506" s="1255" t="inlineStr">
        <is>
          <t>LR Support</t>
        </is>
      </c>
      <c r="G506" s="1255" t="inlineStr">
        <is>
          <t>Google</t>
        </is>
      </c>
    </row>
    <row r="507" ht="13.5" customHeight="1" s="1232">
      <c r="A507" s="1413" t="n">
        <v>42815</v>
      </c>
      <c r="B507" s="1255" t="inlineStr">
        <is>
          <t>Dinah King</t>
        </is>
      </c>
      <c r="C507" s="1255" t="inlineStr">
        <is>
          <t>courses/masterclasses</t>
        </is>
      </c>
      <c r="D507" s="1255" t="inlineStr">
        <is>
          <t>stripe</t>
        </is>
      </c>
      <c r="E507" s="1256" t="n">
        <v>30</v>
      </c>
      <c r="F507" s="1255" t="inlineStr">
        <is>
          <t>Intro Class</t>
        </is>
      </c>
      <c r="G507" s="1255" t="inlineStr">
        <is>
          <t>Google</t>
        </is>
      </c>
    </row>
    <row r="508" ht="13.5" customHeight="1" s="1232">
      <c r="A508" s="1413" t="n">
        <v>42814</v>
      </c>
      <c r="B508" s="1255" t="inlineStr">
        <is>
          <t>Jo Rogers</t>
        </is>
      </c>
      <c r="C508" s="1255" t="inlineStr">
        <is>
          <t>workshops</t>
        </is>
      </c>
      <c r="D508" s="1255" t="inlineStr">
        <is>
          <t>stripe</t>
        </is>
      </c>
      <c r="E508" s="1256" t="n">
        <v>60</v>
      </c>
      <c r="F508" s="1255" t="inlineStr">
        <is>
          <t>Workshop</t>
        </is>
      </c>
      <c r="G508" s="1255" t="inlineStr">
        <is>
          <t>Existing</t>
        </is>
      </c>
    </row>
    <row r="509" ht="13.5" customHeight="1" s="1232">
      <c r="A509" s="1413" t="n">
        <v>42814</v>
      </c>
      <c r="B509" s="1255" t="inlineStr">
        <is>
          <t>Greg Sant</t>
        </is>
      </c>
      <c r="C509" s="1255" t="inlineStr">
        <is>
          <t>courses/masterclasses</t>
        </is>
      </c>
      <c r="D509" s="1255" t="inlineStr">
        <is>
          <t>W-Play</t>
        </is>
      </c>
      <c r="E509" s="1256" t="n">
        <v>745</v>
      </c>
      <c r="F509" s="1255" t="inlineStr">
        <is>
          <t>Various Courses</t>
        </is>
      </c>
      <c r="G509" s="1255" t="inlineStr">
        <is>
          <t>Google</t>
        </is>
      </c>
    </row>
    <row r="510" ht="13.5" customHeight="1" s="1232">
      <c r="A510" s="1413" t="n">
        <v>42813</v>
      </c>
      <c r="B510" s="1255" t="inlineStr">
        <is>
          <t>Rebecca Long</t>
        </is>
      </c>
      <c r="C510" s="1255" t="inlineStr">
        <is>
          <t>courses/masterclasses</t>
        </is>
      </c>
      <c r="D510" s="1255" t="inlineStr">
        <is>
          <t>PayPal</t>
        </is>
      </c>
      <c r="E510" s="1256" t="n">
        <v>215</v>
      </c>
      <c r="F510" s="1255" t="inlineStr">
        <is>
          <t>Masterclass + 5week</t>
        </is>
      </c>
      <c r="G510" s="1255" t="inlineStr">
        <is>
          <t>Existing</t>
        </is>
      </c>
    </row>
    <row r="511" ht="13.5" customHeight="1" s="1232">
      <c r="A511" s="1413" t="n">
        <v>42812</v>
      </c>
      <c r="B511" s="1255" t="inlineStr">
        <is>
          <t>Greg Smart</t>
        </is>
      </c>
      <c r="C511" s="1255" t="inlineStr">
        <is>
          <t>workshops</t>
        </is>
      </c>
      <c r="D511" s="1255" t="inlineStr">
        <is>
          <t>stripe</t>
        </is>
      </c>
      <c r="E511" s="1256" t="n">
        <v>60</v>
      </c>
      <c r="F511" s="1255" t="inlineStr">
        <is>
          <t>2.5hr Chesterton</t>
        </is>
      </c>
      <c r="G511" s="1255" t="inlineStr">
        <is>
          <t>Existing</t>
        </is>
      </c>
    </row>
    <row r="512" ht="13.5" customHeight="1" s="1232">
      <c r="A512" s="1413" t="n">
        <v>42812</v>
      </c>
      <c r="B512" s="1255" t="inlineStr">
        <is>
          <t>John Verdult</t>
        </is>
      </c>
      <c r="C512" s="1255" t="inlineStr">
        <is>
          <t>other</t>
        </is>
      </c>
      <c r="D512" s="1255" t="inlineStr">
        <is>
          <t>stripe</t>
        </is>
      </c>
      <c r="E512" s="1256" t="n">
        <v>139</v>
      </c>
      <c r="F512" s="1255" t="inlineStr">
        <is>
          <t>Gift Voucher</t>
        </is>
      </c>
      <c r="G512" s="1255" t="inlineStr">
        <is>
          <t>Google</t>
        </is>
      </c>
    </row>
    <row r="513" ht="13.5" customHeight="1" s="1232">
      <c r="A513" s="1413" t="n">
        <v>42812</v>
      </c>
      <c r="B513" s="1255" t="inlineStr">
        <is>
          <t>Rebecca Long</t>
        </is>
      </c>
      <c r="C513" s="1255" t="inlineStr">
        <is>
          <t>courses/masterclasses</t>
        </is>
      </c>
      <c r="D513" s="1255" t="inlineStr">
        <is>
          <t>PayPal</t>
        </is>
      </c>
      <c r="E513" s="1256" t="n">
        <v>100</v>
      </c>
      <c r="F513" s="1255" t="inlineStr">
        <is>
          <t>Masterclass + 5week</t>
        </is>
      </c>
      <c r="G513" s="1255" t="inlineStr">
        <is>
          <t>Existing</t>
        </is>
      </c>
    </row>
    <row r="514" ht="13.5" customHeight="1" s="1232">
      <c r="A514" s="1413" t="n">
        <v>42811</v>
      </c>
      <c r="B514" s="1255" t="inlineStr">
        <is>
          <t>Cerys Jones</t>
        </is>
      </c>
      <c r="C514" s="1255" t="inlineStr">
        <is>
          <t>courses/masterclasses</t>
        </is>
      </c>
      <c r="D514" s="1255" t="inlineStr">
        <is>
          <t>Groupon</t>
        </is>
      </c>
      <c r="E514" s="1256" t="n">
        <v>12.97</v>
      </c>
      <c r="F514" s="1255" t="inlineStr">
        <is>
          <t>Intro Class</t>
        </is>
      </c>
      <c r="G514" s="1255" t="inlineStr">
        <is>
          <t>Groupon</t>
        </is>
      </c>
    </row>
    <row r="515" ht="13.5" customHeight="1" s="1232">
      <c r="A515" s="1413" t="n">
        <v>42810</v>
      </c>
      <c r="B515" s="1255" t="inlineStr">
        <is>
          <t>Con McHugh</t>
        </is>
      </c>
      <c r="C515" s="1255" t="inlineStr">
        <is>
          <t>other</t>
        </is>
      </c>
      <c r="D515" s="1255" t="inlineStr">
        <is>
          <t>stripe</t>
        </is>
      </c>
      <c r="E515" s="1256" t="n">
        <v>30</v>
      </c>
      <c r="F515" s="1255" t="inlineStr">
        <is>
          <t>forum</t>
        </is>
      </c>
      <c r="G515" s="1255" t="inlineStr">
        <is>
          <t>Existing</t>
        </is>
      </c>
    </row>
    <row r="516" ht="13.5" customHeight="1" s="1232">
      <c r="A516" s="1413" t="n">
        <v>42810</v>
      </c>
      <c r="B516" s="1255" t="inlineStr">
        <is>
          <t>Pauline Kerr</t>
        </is>
      </c>
      <c r="C516" s="1255" t="inlineStr">
        <is>
          <t>1-2-1</t>
        </is>
      </c>
      <c r="D516" s="1255" t="inlineStr">
        <is>
          <t>W-Play</t>
        </is>
      </c>
      <c r="E516" s="1256" t="n">
        <v>195</v>
      </c>
      <c r="F516" s="1255" t="inlineStr">
        <is>
          <t>General/ Intro</t>
        </is>
      </c>
      <c r="G516" s="1255" t="inlineStr">
        <is>
          <t>Google</t>
        </is>
      </c>
    </row>
    <row r="517" ht="13.5" customHeight="1" s="1232">
      <c r="A517" s="1413" t="n">
        <v>42810</v>
      </c>
      <c r="B517" s="1255" t="inlineStr">
        <is>
          <t>Katie Wardle</t>
        </is>
      </c>
      <c r="C517" s="1255" t="inlineStr">
        <is>
          <t>courses/masterclasses</t>
        </is>
      </c>
      <c r="D517" s="1255" t="inlineStr">
        <is>
          <t>Groupon</t>
        </is>
      </c>
      <c r="E517" s="1256" t="n">
        <v>12.97</v>
      </c>
      <c r="F517" s="1255" t="inlineStr">
        <is>
          <t>Intro Class</t>
        </is>
      </c>
      <c r="G517" s="1255" t="inlineStr">
        <is>
          <t>Groupon</t>
        </is>
      </c>
    </row>
    <row r="518" ht="13.5" customHeight="1" s="1232">
      <c r="A518" s="1413" t="n">
        <v>42809</v>
      </c>
      <c r="B518" s="1255" t="inlineStr">
        <is>
          <t>Paul Kirby</t>
        </is>
      </c>
      <c r="C518" s="1255" t="inlineStr">
        <is>
          <t>workshops</t>
        </is>
      </c>
      <c r="D518" s="1255" t="inlineStr">
        <is>
          <t>stripe</t>
        </is>
      </c>
      <c r="E518" s="1256" t="n">
        <v>99</v>
      </c>
      <c r="F518" s="1255" t="inlineStr">
        <is>
          <t>Bluebell Workshop</t>
        </is>
      </c>
      <c r="G518" s="1255" t="inlineStr">
        <is>
          <t>Existing</t>
        </is>
      </c>
    </row>
    <row r="519" ht="13.5" customHeight="1" s="1232">
      <c r="A519" s="1413" t="n">
        <v>42809</v>
      </c>
      <c r="B519" s="1255" t="inlineStr">
        <is>
          <t>Simon Betteridge</t>
        </is>
      </c>
      <c r="C519" s="1255" t="inlineStr">
        <is>
          <t>workshops</t>
        </is>
      </c>
      <c r="D519" s="1255" t="inlineStr">
        <is>
          <t>Bank</t>
        </is>
      </c>
      <c r="E519" s="1256" t="n">
        <v>400</v>
      </c>
      <c r="F519" s="1255" t="inlineStr">
        <is>
          <t>Yorkshire</t>
        </is>
      </c>
      <c r="G519" s="1255" t="inlineStr">
        <is>
          <t>Existing</t>
        </is>
      </c>
    </row>
    <row r="520" ht="13.5" customHeight="1" s="1232">
      <c r="A520" s="1413" t="n">
        <v>42809</v>
      </c>
      <c r="B520" s="1255" t="inlineStr">
        <is>
          <t>Pure Photo Print Sale</t>
        </is>
      </c>
      <c r="C520" s="1255" t="inlineStr">
        <is>
          <t>other</t>
        </is>
      </c>
      <c r="D520" s="1255" t="inlineStr">
        <is>
          <t>Bank</t>
        </is>
      </c>
      <c r="E520" s="1256" t="n">
        <v>253.24</v>
      </c>
      <c r="F520" s="1255" t="inlineStr">
        <is>
          <t>Print Sale $-£</t>
        </is>
      </c>
      <c r="G520" s="1255" t="inlineStr">
        <is>
          <t>Other</t>
        </is>
      </c>
    </row>
    <row r="521" ht="13.5" customHeight="1" s="1232">
      <c r="A521" s="1413" t="n">
        <v>42809</v>
      </c>
      <c r="B521" s="1255" t="inlineStr">
        <is>
          <t>Mike Ford</t>
        </is>
      </c>
      <c r="C521" s="1255" t="inlineStr">
        <is>
          <t>workshops</t>
        </is>
      </c>
      <c r="D521" s="1255" t="inlineStr">
        <is>
          <t>PayPal</t>
        </is>
      </c>
      <c r="E521" s="1256" t="n">
        <v>99</v>
      </c>
      <c r="F521" s="1255" t="inlineStr">
        <is>
          <t>Bluebell Workshop</t>
        </is>
      </c>
      <c r="G521" s="1255" t="inlineStr">
        <is>
          <t>Existing</t>
        </is>
      </c>
    </row>
    <row r="522" ht="13.5" customHeight="1" s="1232">
      <c r="A522" s="1413" t="n">
        <v>42809</v>
      </c>
      <c r="B522" s="1255" t="inlineStr">
        <is>
          <t>Jean Sutton</t>
        </is>
      </c>
      <c r="C522" s="1255" t="inlineStr">
        <is>
          <t>workshops</t>
        </is>
      </c>
      <c r="D522" s="1255" t="inlineStr">
        <is>
          <t>stripe</t>
        </is>
      </c>
      <c r="E522" s="1256" t="n">
        <v>59</v>
      </c>
      <c r="F522" s="1255" t="inlineStr">
        <is>
          <t>Batsford Calendar</t>
        </is>
      </c>
      <c r="G522" s="1255" t="inlineStr">
        <is>
          <t>Batsford</t>
        </is>
      </c>
    </row>
    <row r="523" ht="13.5" customHeight="1" s="1232">
      <c r="A523" s="1413" t="n">
        <v>42807</v>
      </c>
      <c r="B523" s="1255" t="inlineStr">
        <is>
          <t>Greg Sant</t>
        </is>
      </c>
      <c r="C523" s="1255" t="inlineStr">
        <is>
          <t>1-2-1</t>
        </is>
      </c>
      <c r="D523" s="1255" t="inlineStr">
        <is>
          <t>W-Play</t>
        </is>
      </c>
      <c r="E523" s="1256" t="n">
        <v>195</v>
      </c>
      <c r="F523" s="1255" t="inlineStr">
        <is>
          <t>1-2-1 Lightroom</t>
        </is>
      </c>
      <c r="G523" s="1255" t="inlineStr">
        <is>
          <t>Google</t>
        </is>
      </c>
    </row>
    <row r="524" ht="13.5" customHeight="1" s="1232">
      <c r="A524" s="1413" t="n">
        <v>42807</v>
      </c>
      <c r="B524" s="1255" t="inlineStr">
        <is>
          <t>Robert Edwards</t>
        </is>
      </c>
      <c r="C524" s="1255" t="inlineStr">
        <is>
          <t>workshops</t>
        </is>
      </c>
      <c r="D524" s="1255" t="inlineStr">
        <is>
          <t>stripe</t>
        </is>
      </c>
      <c r="E524" s="1256" t="n">
        <v>150</v>
      </c>
      <c r="F524" s="1255" t="inlineStr">
        <is>
          <t>Wales</t>
        </is>
      </c>
      <c r="G524" s="1255" t="inlineStr">
        <is>
          <t>Existing</t>
        </is>
      </c>
    </row>
    <row r="525" ht="13.5" customHeight="1" s="1232">
      <c r="A525" s="1413" t="n">
        <v>42804</v>
      </c>
      <c r="B525" s="1255" t="inlineStr">
        <is>
          <t>Kirsten Pearce</t>
        </is>
      </c>
      <c r="C525" s="1255" t="inlineStr">
        <is>
          <t>workshops</t>
        </is>
      </c>
      <c r="D525" s="1255" t="inlineStr">
        <is>
          <t>Bank</t>
        </is>
      </c>
      <c r="E525" s="1256" t="n">
        <v>400</v>
      </c>
      <c r="F525" s="1255" t="inlineStr">
        <is>
          <t>Yorkshire</t>
        </is>
      </c>
      <c r="G525" s="1255" t="inlineStr">
        <is>
          <t>Existing</t>
        </is>
      </c>
    </row>
    <row r="526" ht="13.5" customHeight="1" s="1232">
      <c r="A526" s="1413" t="n">
        <v>42807</v>
      </c>
      <c r="B526" s="1255" t="inlineStr">
        <is>
          <t>Robert Edwards</t>
        </is>
      </c>
      <c r="C526" s="1255" t="inlineStr">
        <is>
          <t>workshops</t>
        </is>
      </c>
      <c r="D526" s="1255" t="inlineStr">
        <is>
          <t>stripe</t>
        </is>
      </c>
      <c r="E526" s="1256" t="n">
        <v>150</v>
      </c>
      <c r="F526" s="1255" t="inlineStr">
        <is>
          <t>Wales</t>
        </is>
      </c>
      <c r="G526" s="1255" t="inlineStr">
        <is>
          <t>Existing</t>
        </is>
      </c>
    </row>
    <row r="527" ht="13.5" customHeight="1" s="1232">
      <c r="A527" s="1413" t="n">
        <v>42803</v>
      </c>
      <c r="B527" s="1255" t="inlineStr">
        <is>
          <t>Annie Evans</t>
        </is>
      </c>
      <c r="C527" s="1255" t="inlineStr">
        <is>
          <t>courses/masterclasses</t>
        </is>
      </c>
      <c r="D527" s="1255" t="inlineStr">
        <is>
          <t>Groupon</t>
        </is>
      </c>
      <c r="E527" s="1256" t="n">
        <v>12.97</v>
      </c>
      <c r="F527" s="1255" t="inlineStr">
        <is>
          <t>Intro Class</t>
        </is>
      </c>
      <c r="G527" s="1255" t="inlineStr">
        <is>
          <t>Groupon</t>
        </is>
      </c>
    </row>
    <row r="528" ht="13.5" customHeight="1" s="1232">
      <c r="A528" s="1413" t="n">
        <v>42803</v>
      </c>
      <c r="B528" s="1255" t="inlineStr">
        <is>
          <t>Samantha Cook</t>
        </is>
      </c>
      <c r="C528" s="1255" t="inlineStr">
        <is>
          <t>courses/masterclasses</t>
        </is>
      </c>
      <c r="D528" s="1255" t="inlineStr">
        <is>
          <t>PayPal</t>
        </is>
      </c>
      <c r="E528" s="1256" t="n">
        <v>30</v>
      </c>
      <c r="F528" s="1255" t="inlineStr">
        <is>
          <t>Intro Class</t>
        </is>
      </c>
      <c r="G528" s="1255" t="inlineStr">
        <is>
          <t>Google</t>
        </is>
      </c>
    </row>
    <row r="529" ht="13.5" customHeight="1" s="1232">
      <c r="A529" s="1413" t="n">
        <v>42803</v>
      </c>
      <c r="B529" s="1255" t="inlineStr">
        <is>
          <t>Chris Parker</t>
        </is>
      </c>
      <c r="C529" s="1255" t="inlineStr">
        <is>
          <t>other</t>
        </is>
      </c>
      <c r="D529" s="1255" t="inlineStr">
        <is>
          <t>stripe</t>
        </is>
      </c>
      <c r="E529" s="1256" t="n">
        <v>30</v>
      </c>
      <c r="F529" s="1255" t="inlineStr">
        <is>
          <t>forum</t>
        </is>
      </c>
      <c r="G529" s="1255" t="inlineStr">
        <is>
          <t>Existing</t>
        </is>
      </c>
    </row>
    <row r="530" ht="13.5" customHeight="1" s="1232">
      <c r="A530" s="1413" t="n">
        <v>42803</v>
      </c>
      <c r="B530" s="1255" t="inlineStr">
        <is>
          <t>Oliver Dickinson</t>
        </is>
      </c>
      <c r="C530" s="1255" t="inlineStr">
        <is>
          <t>courses/masterclasses</t>
        </is>
      </c>
      <c r="D530" s="1255" t="inlineStr">
        <is>
          <t>Bank</t>
        </is>
      </c>
      <c r="E530" s="1256" t="n">
        <v>185</v>
      </c>
      <c r="F530" s="1255" t="inlineStr">
        <is>
          <t>4 wk course</t>
        </is>
      </c>
      <c r="G530" s="1255" t="inlineStr">
        <is>
          <t>ELS</t>
        </is>
      </c>
    </row>
    <row r="531" ht="13.5" customHeight="1" s="1232">
      <c r="A531" s="1413" t="n">
        <v>42803</v>
      </c>
      <c r="B531" s="1255" t="inlineStr">
        <is>
          <t>Chris Johnson</t>
        </is>
      </c>
      <c r="C531" s="1255" t="inlineStr">
        <is>
          <t>courses/masterclasses</t>
        </is>
      </c>
      <c r="D531" s="1255" t="inlineStr">
        <is>
          <t>stripe</t>
        </is>
      </c>
      <c r="E531" s="1256" t="n">
        <v>265</v>
      </c>
      <c r="F531" s="1255" t="inlineStr">
        <is>
          <t>lightroom course</t>
        </is>
      </c>
      <c r="G531" s="1255" t="inlineStr">
        <is>
          <t>Existing</t>
        </is>
      </c>
    </row>
    <row r="532" ht="13.5" customHeight="1" s="1232">
      <c r="A532" s="1413" t="n">
        <v>42798</v>
      </c>
      <c r="B532" s="1255" t="inlineStr">
        <is>
          <t>Oliver Dickinson</t>
        </is>
      </c>
      <c r="C532" s="1255" t="inlineStr">
        <is>
          <t>courses/masterclasses</t>
        </is>
      </c>
      <c r="D532" s="1255" t="inlineStr">
        <is>
          <t>stripe</t>
        </is>
      </c>
      <c r="E532" s="1256" t="n">
        <v>50</v>
      </c>
      <c r="F532" s="1255" t="inlineStr">
        <is>
          <t>4 wk course</t>
        </is>
      </c>
      <c r="G532" s="1255" t="inlineStr">
        <is>
          <t>ELS</t>
        </is>
      </c>
    </row>
    <row r="533" ht="13.5" customHeight="1" s="1232">
      <c r="A533" s="1413" t="n">
        <v>42795</v>
      </c>
      <c r="B533" s="1255" t="inlineStr">
        <is>
          <t>Terry Smallman</t>
        </is>
      </c>
      <c r="C533" s="1255" t="inlineStr">
        <is>
          <t>other</t>
        </is>
      </c>
      <c r="D533" s="1255" t="inlineStr">
        <is>
          <t>stripe</t>
        </is>
      </c>
      <c r="E533" s="1256" t="n">
        <v>30</v>
      </c>
      <c r="F533" s="1255" t="inlineStr">
        <is>
          <t>forum</t>
        </is>
      </c>
      <c r="G533" s="1255" t="inlineStr">
        <is>
          <t>Existing</t>
        </is>
      </c>
    </row>
    <row r="534" ht="13.5" customHeight="1" s="1232">
      <c r="A534" s="1413" t="n">
        <v>42795</v>
      </c>
      <c r="B534" s="1255" t="inlineStr">
        <is>
          <t>Pick N Mix - Feb</t>
        </is>
      </c>
      <c r="C534" s="1255" t="inlineStr">
        <is>
          <t>pick n mix</t>
        </is>
      </c>
      <c r="D534" s="1255" t="inlineStr">
        <is>
          <t>Various</t>
        </is>
      </c>
      <c r="E534" s="1256" t="n">
        <v>415.5</v>
      </c>
      <c r="F534" s="1255" t="inlineStr">
        <is>
          <t>Pick N Mix Mar</t>
        </is>
      </c>
      <c r="G534" s="1255" t="inlineStr">
        <is>
          <t>Existing</t>
        </is>
      </c>
    </row>
    <row r="535" ht="13.5" customHeight="1" s="1232">
      <c r="A535" s="1413" t="n">
        <v>42795</v>
      </c>
      <c r="B535" s="1255" t="inlineStr">
        <is>
          <t>Mentoring subs Mar</t>
        </is>
      </c>
      <c r="C535" s="1255" t="inlineStr">
        <is>
          <t>mentoring</t>
        </is>
      </c>
      <c r="D535" s="1255" t="inlineStr">
        <is>
          <t>Various</t>
        </is>
      </c>
      <c r="E535" s="1256" t="n">
        <v>80</v>
      </c>
      <c r="F535" s="1255" t="inlineStr">
        <is>
          <t>Mentoring Mar</t>
        </is>
      </c>
      <c r="G535" s="1255" t="inlineStr">
        <is>
          <t>Existing</t>
        </is>
      </c>
    </row>
    <row r="537" ht="13.5" customHeight="1" s="1232">
      <c r="A537" s="1413" t="n"/>
    </row>
    <row r="538" ht="13.5" customHeight="1" s="1232">
      <c r="A538" s="1413" t="n">
        <v>42794</v>
      </c>
      <c r="B538" s="1255" t="inlineStr">
        <is>
          <t>Ben Cooper</t>
        </is>
      </c>
      <c r="C538" s="1255" t="inlineStr">
        <is>
          <t>courses/masterclasses</t>
        </is>
      </c>
      <c r="D538" s="1255" t="inlineStr">
        <is>
          <t>PayPal</t>
        </is>
      </c>
      <c r="E538" s="1256" t="n">
        <v>265</v>
      </c>
      <c r="F538" s="1255" t="inlineStr">
        <is>
          <t>5wk course</t>
        </is>
      </c>
      <c r="G538" s="1255" t="inlineStr">
        <is>
          <t>Google</t>
        </is>
      </c>
    </row>
    <row r="539" ht="13.5" customHeight="1" s="1232">
      <c r="A539" s="1413" t="n">
        <v>42794</v>
      </c>
      <c r="B539" s="1255" t="inlineStr">
        <is>
          <t>Paul Kirby</t>
        </is>
      </c>
      <c r="C539" s="1255" t="inlineStr">
        <is>
          <t>other</t>
        </is>
      </c>
      <c r="D539" s="1255" t="inlineStr">
        <is>
          <t>Stripe</t>
        </is>
      </c>
      <c r="E539" s="1256" t="n">
        <v>30</v>
      </c>
      <c r="F539" s="1255" t="inlineStr">
        <is>
          <t>Other</t>
        </is>
      </c>
      <c r="G539" s="1255" t="inlineStr">
        <is>
          <t>Existing</t>
        </is>
      </c>
    </row>
    <row r="540" ht="13.5" customHeight="1" s="1232">
      <c r="A540" s="1413" t="n">
        <v>42793</v>
      </c>
      <c r="B540" s="1255" t="inlineStr">
        <is>
          <t>Margaret Millbery</t>
        </is>
      </c>
      <c r="C540" s="1255" t="inlineStr">
        <is>
          <t>workshops</t>
        </is>
      </c>
      <c r="D540" s="1255" t="inlineStr">
        <is>
          <t>W-Play</t>
        </is>
      </c>
      <c r="E540" s="1256" t="n">
        <v>200</v>
      </c>
      <c r="F540" s="1255" t="inlineStr">
        <is>
          <t>Batsford Workshops</t>
        </is>
      </c>
      <c r="G540" s="1255" t="inlineStr">
        <is>
          <t>Batsford</t>
        </is>
      </c>
    </row>
    <row r="541" ht="13.5" customHeight="1" s="1232">
      <c r="A541" s="1413" t="n">
        <v>42793</v>
      </c>
      <c r="B541" s="1255" t="inlineStr">
        <is>
          <t>Tania Stretton</t>
        </is>
      </c>
      <c r="C541" s="1255" t="inlineStr">
        <is>
          <t>courses/masterclasses</t>
        </is>
      </c>
      <c r="D541" s="1255" t="inlineStr">
        <is>
          <t>Stripe</t>
        </is>
      </c>
      <c r="E541" s="1256" t="n">
        <v>60</v>
      </c>
      <c r="F541" s="1255" t="inlineStr">
        <is>
          <t>class</t>
        </is>
      </c>
      <c r="G541" s="1255" t="inlineStr">
        <is>
          <t>Google</t>
        </is>
      </c>
    </row>
    <row r="542" ht="13.5" customHeight="1" s="1232">
      <c r="A542" s="1413" t="n">
        <v>42793</v>
      </c>
      <c r="B542" s="1255" t="inlineStr">
        <is>
          <t>Graham Painter</t>
        </is>
      </c>
      <c r="C542" s="1255" t="inlineStr">
        <is>
          <t>courses/masterclasses</t>
        </is>
      </c>
      <c r="D542" s="1255" t="inlineStr">
        <is>
          <t>Groupon</t>
        </is>
      </c>
      <c r="E542" s="1256" t="n">
        <v>12</v>
      </c>
      <c r="F542" s="1255" t="inlineStr">
        <is>
          <t>class</t>
        </is>
      </c>
      <c r="G542" s="1255" t="inlineStr">
        <is>
          <t>Groupon</t>
        </is>
      </c>
    </row>
    <row r="543" ht="13.5" customHeight="1" s="1232">
      <c r="A543" s="1413" t="n">
        <v>42792</v>
      </c>
      <c r="B543" s="1255" t="inlineStr">
        <is>
          <t>Craig Johnson</t>
        </is>
      </c>
      <c r="C543" s="1255" t="inlineStr">
        <is>
          <t>workshops</t>
        </is>
      </c>
      <c r="D543" s="1255" t="inlineStr">
        <is>
          <t>PayPal</t>
        </is>
      </c>
      <c r="E543" s="1256" t="n">
        <v>60</v>
      </c>
      <c r="F543" s="1255" t="inlineStr">
        <is>
          <t>2.5hr workshop</t>
        </is>
      </c>
      <c r="G543" s="1255" t="inlineStr">
        <is>
          <t>Existing</t>
        </is>
      </c>
    </row>
    <row r="544" ht="13.5" customHeight="1" s="1232">
      <c r="A544" s="1413" t="n">
        <v>42792</v>
      </c>
      <c r="B544" s="1255" t="inlineStr">
        <is>
          <t>Jessica Miller</t>
        </is>
      </c>
      <c r="C544" s="1255" t="inlineStr">
        <is>
          <t>courses/masterclasses</t>
        </is>
      </c>
      <c r="D544" s="1255" t="inlineStr">
        <is>
          <t>Bank</t>
        </is>
      </c>
      <c r="E544" s="1256" t="n">
        <v>185</v>
      </c>
      <c r="F544" s="1255" t="inlineStr">
        <is>
          <t>4 wk Course</t>
        </is>
      </c>
      <c r="G544" s="1255" t="inlineStr">
        <is>
          <t>Google</t>
        </is>
      </c>
    </row>
    <row r="545" ht="13.5" customHeight="1" s="1232">
      <c r="A545" s="1413" t="n">
        <v>42790</v>
      </c>
      <c r="B545" s="1255" t="inlineStr">
        <is>
          <t>Andrew Clifforth</t>
        </is>
      </c>
      <c r="C545" s="1255" t="inlineStr">
        <is>
          <t>other</t>
        </is>
      </c>
      <c r="D545" s="1255" t="inlineStr">
        <is>
          <t>PayPal</t>
        </is>
      </c>
      <c r="E545" s="1256" t="n">
        <v>30</v>
      </c>
      <c r="F545" s="1255" t="inlineStr">
        <is>
          <t>forum</t>
        </is>
      </c>
      <c r="G545" s="1255" t="inlineStr">
        <is>
          <t>Existing</t>
        </is>
      </c>
    </row>
    <row r="546" ht="13.5" customHeight="1" s="1232">
      <c r="A546" s="1413" t="n">
        <v>42789</v>
      </c>
      <c r="B546" s="1255" t="inlineStr">
        <is>
          <t>Julia Stew</t>
        </is>
      </c>
      <c r="C546" s="1255" t="inlineStr">
        <is>
          <t>courses/masterclasses</t>
        </is>
      </c>
      <c r="D546" s="1255" t="inlineStr">
        <is>
          <t>Stripe</t>
        </is>
      </c>
      <c r="E546" s="1256" t="n">
        <v>185</v>
      </c>
      <c r="F546" s="1255" t="inlineStr">
        <is>
          <t>4 wk Course</t>
        </is>
      </c>
      <c r="G546" s="1255" t="inlineStr">
        <is>
          <t>Google</t>
        </is>
      </c>
    </row>
    <row r="547" ht="13.5" customHeight="1" s="1232">
      <c r="A547" s="1413" t="n">
        <v>42790</v>
      </c>
      <c r="B547" s="1255" t="inlineStr">
        <is>
          <t>ELS</t>
        </is>
      </c>
      <c r="C547" s="1255" t="inlineStr">
        <is>
          <t>courses/masterclasses</t>
        </is>
      </c>
      <c r="D547" s="1255" t="inlineStr">
        <is>
          <t>Bank</t>
        </is>
      </c>
      <c r="E547" s="1256" t="n">
        <v>200</v>
      </c>
      <c r="F547" s="1255" t="inlineStr">
        <is>
          <t>4 wk Course</t>
        </is>
      </c>
      <c r="G547" s="1255" t="inlineStr">
        <is>
          <t>ELS</t>
        </is>
      </c>
    </row>
    <row r="548" ht="13.5" customHeight="1" s="1232">
      <c r="A548" s="1413" t="n">
        <v>42789</v>
      </c>
      <c r="B548" s="1255" t="inlineStr">
        <is>
          <t>Kathryn Philpott</t>
        </is>
      </c>
      <c r="C548" s="1255" t="inlineStr">
        <is>
          <t>workshops</t>
        </is>
      </c>
      <c r="D548" s="1255" t="inlineStr">
        <is>
          <t>Stripe</t>
        </is>
      </c>
      <c r="E548" s="1256" t="n">
        <v>150</v>
      </c>
      <c r="F548" s="1255" t="inlineStr">
        <is>
          <t>Autumn Batsford</t>
        </is>
      </c>
      <c r="G548" s="1255" t="inlineStr">
        <is>
          <t>Batsford</t>
        </is>
      </c>
    </row>
    <row r="549" ht="13.5" customHeight="1" s="1232">
      <c r="A549" s="1413" t="n">
        <v>42789</v>
      </c>
      <c r="B549" s="1255" t="inlineStr">
        <is>
          <t>Julia Stew</t>
        </is>
      </c>
      <c r="C549" s="1255" t="inlineStr">
        <is>
          <t>courses/masterclasses</t>
        </is>
      </c>
      <c r="D549" s="1255" t="inlineStr">
        <is>
          <t>W-Play</t>
        </is>
      </c>
      <c r="E549" s="1256" t="n">
        <v>10</v>
      </c>
      <c r="F549" s="1255" t="inlineStr">
        <is>
          <t>Deposit 4wk Extd</t>
        </is>
      </c>
      <c r="G549" s="1255" t="inlineStr">
        <is>
          <t>Google</t>
        </is>
      </c>
    </row>
    <row r="550" ht="13.5" customHeight="1" s="1232">
      <c r="A550" s="1413" t="n">
        <v>42789</v>
      </c>
      <c r="B550" s="1255" t="inlineStr">
        <is>
          <t>Jessica Miller</t>
        </is>
      </c>
      <c r="C550" s="1255" t="inlineStr">
        <is>
          <t>courses/masterclasses</t>
        </is>
      </c>
      <c r="D550" s="1255" t="inlineStr">
        <is>
          <t>Various</t>
        </is>
      </c>
      <c r="E550" s="1256" t="n">
        <v>10</v>
      </c>
      <c r="F550" s="1255" t="inlineStr">
        <is>
          <t>Deposit 4wk Extd</t>
        </is>
      </c>
      <c r="G550" s="1255" t="inlineStr">
        <is>
          <t>Google</t>
        </is>
      </c>
    </row>
    <row r="551" ht="13.5" customHeight="1" s="1232">
      <c r="A551" s="1413" t="n">
        <v>42789</v>
      </c>
      <c r="B551" s="1255" t="inlineStr">
        <is>
          <t>Sue Thompson</t>
        </is>
      </c>
      <c r="C551" s="1255" t="inlineStr">
        <is>
          <t>workshops</t>
        </is>
      </c>
      <c r="D551" s="1255" t="inlineStr">
        <is>
          <t>PayPal</t>
        </is>
      </c>
      <c r="E551" s="1256" t="n">
        <v>159</v>
      </c>
      <c r="F551" s="1255" t="inlineStr">
        <is>
          <t>2.5+4hr Workshop</t>
        </is>
      </c>
      <c r="G551" s="1255" t="inlineStr">
        <is>
          <t>Existing</t>
        </is>
      </c>
    </row>
    <row r="552" ht="13.5" customHeight="1" s="1232">
      <c r="A552" s="1413" t="n">
        <v>42788</v>
      </c>
      <c r="B552" s="1255" t="inlineStr">
        <is>
          <t>Steve Parish</t>
        </is>
      </c>
      <c r="C552" s="1255" t="inlineStr">
        <is>
          <t>courses/masterclasses</t>
        </is>
      </c>
      <c r="D552" s="1255" t="inlineStr">
        <is>
          <t>Stripe</t>
        </is>
      </c>
      <c r="E552" s="1256" t="n">
        <v>265</v>
      </c>
      <c r="F552" s="1255" t="inlineStr">
        <is>
          <t>5 wk course</t>
        </is>
      </c>
      <c r="G552" s="1255" t="inlineStr">
        <is>
          <t>Google</t>
        </is>
      </c>
    </row>
    <row r="553" ht="13.5" customHeight="1" s="1232">
      <c r="A553" s="1413" t="n">
        <v>42787</v>
      </c>
      <c r="B553" s="1255" t="inlineStr">
        <is>
          <t>Chris Franklin</t>
        </is>
      </c>
      <c r="C553" s="1255" t="inlineStr">
        <is>
          <t>courses/masterclasses</t>
        </is>
      </c>
      <c r="D553" s="1255" t="inlineStr">
        <is>
          <t>Bank</t>
        </is>
      </c>
      <c r="E553" s="1256" t="n">
        <v>185</v>
      </c>
      <c r="F553" s="1255" t="inlineStr">
        <is>
          <t>4 wk Course</t>
        </is>
      </c>
      <c r="G553" s="1255" t="inlineStr">
        <is>
          <t>Google</t>
        </is>
      </c>
    </row>
    <row r="554" ht="13.5" customHeight="1" s="1232">
      <c r="A554" s="1413" t="n">
        <v>42787</v>
      </c>
      <c r="B554" s="1255" t="inlineStr">
        <is>
          <t>Trevor Griffiths</t>
        </is>
      </c>
      <c r="C554" s="1255" t="inlineStr">
        <is>
          <t>courses/masterclasses</t>
        </is>
      </c>
      <c r="D554" s="1255" t="inlineStr">
        <is>
          <t>Stripe</t>
        </is>
      </c>
      <c r="E554" s="1256" t="n">
        <v>15</v>
      </c>
      <c r="F554" s="1255" t="inlineStr">
        <is>
          <t>class</t>
        </is>
      </c>
      <c r="G554" s="1255" t="inlineStr">
        <is>
          <t>Google</t>
        </is>
      </c>
    </row>
    <row r="555" ht="13.5" customHeight="1" s="1232">
      <c r="A555" s="1413" t="n">
        <v>42787</v>
      </c>
      <c r="B555" s="1255" t="inlineStr">
        <is>
          <t>Lynn Hughes</t>
        </is>
      </c>
      <c r="C555" s="1255" t="inlineStr">
        <is>
          <t>workshops</t>
        </is>
      </c>
      <c r="D555" s="1255" t="inlineStr">
        <is>
          <t>PayPal</t>
        </is>
      </c>
      <c r="E555" s="1256" t="n">
        <v>60</v>
      </c>
      <c r="F555" s="1255" t="inlineStr">
        <is>
          <t>Workshop</t>
        </is>
      </c>
      <c r="G555" s="1255" t="inlineStr">
        <is>
          <t>Existing</t>
        </is>
      </c>
    </row>
    <row r="556" ht="13.5" customHeight="1" s="1232">
      <c r="A556" s="1413" t="n">
        <v>42787</v>
      </c>
      <c r="B556" s="1255" t="inlineStr">
        <is>
          <t>Andreas Ruhnke</t>
        </is>
      </c>
      <c r="C556" s="1255" t="inlineStr">
        <is>
          <t>courses/masterclasses</t>
        </is>
      </c>
      <c r="D556" s="1255" t="inlineStr">
        <is>
          <t>Groupon</t>
        </is>
      </c>
      <c r="E556" s="1256" t="n">
        <v>12</v>
      </c>
      <c r="F556" s="1255" t="inlineStr">
        <is>
          <t>class</t>
        </is>
      </c>
      <c r="G556" s="1255" t="inlineStr">
        <is>
          <t>Groupon</t>
        </is>
      </c>
    </row>
    <row r="557" ht="13.5" customHeight="1" s="1232">
      <c r="A557" s="1413" t="n">
        <v>42787</v>
      </c>
      <c r="B557" s="1255" t="inlineStr">
        <is>
          <t>Chris Franklin</t>
        </is>
      </c>
      <c r="C557" s="1255" t="inlineStr">
        <is>
          <t>other</t>
        </is>
      </c>
      <c r="D557" s="1255" t="inlineStr">
        <is>
          <t>PayPal</t>
        </is>
      </c>
      <c r="E557" s="1256" t="n">
        <v>30</v>
      </c>
      <c r="F557" s="1255" t="inlineStr">
        <is>
          <t>forum</t>
        </is>
      </c>
      <c r="G557" s="1255" t="inlineStr">
        <is>
          <t>Existing</t>
        </is>
      </c>
    </row>
    <row r="558" ht="13.5" customHeight="1" s="1232">
      <c r="A558" s="1413" t="n">
        <v>42786</v>
      </c>
      <c r="B558" s="1255" t="inlineStr">
        <is>
          <t>Chris Parker</t>
        </is>
      </c>
      <c r="C558" s="1255" t="inlineStr">
        <is>
          <t>mentoring</t>
        </is>
      </c>
      <c r="D558" s="1255" t="inlineStr">
        <is>
          <t>PayPal</t>
        </is>
      </c>
      <c r="E558" s="1256" t="n">
        <v>20</v>
      </c>
      <c r="F558" s="1255" t="inlineStr">
        <is>
          <t>Mentoring</t>
        </is>
      </c>
      <c r="G558" s="1255" t="inlineStr">
        <is>
          <t>Existing</t>
        </is>
      </c>
    </row>
    <row r="559" ht="13.5" customHeight="1" s="1232">
      <c r="A559" s="1413" t="n">
        <v>42783</v>
      </c>
      <c r="B559" s="1255" t="inlineStr">
        <is>
          <t>Alison Sheppard</t>
        </is>
      </c>
      <c r="C559" s="1255" t="inlineStr">
        <is>
          <t>courses/masterclasses</t>
        </is>
      </c>
      <c r="D559" s="1255" t="inlineStr">
        <is>
          <t>W-Play</t>
        </is>
      </c>
      <c r="E559" s="1256" t="n">
        <v>15</v>
      </c>
      <c r="F559" s="1255" t="inlineStr">
        <is>
          <t>Intro Class Dorridge</t>
        </is>
      </c>
      <c r="G559" s="1255" t="inlineStr">
        <is>
          <t>Google</t>
        </is>
      </c>
    </row>
    <row r="560" ht="13.5" customHeight="1" s="1232">
      <c r="A560" s="1413" t="n">
        <v>42783</v>
      </c>
      <c r="B560" s="1255" t="inlineStr">
        <is>
          <t>Sarah Deeming</t>
        </is>
      </c>
      <c r="C560" s="1255" t="inlineStr">
        <is>
          <t>courses/masterclasses</t>
        </is>
      </c>
      <c r="D560" s="1255" t="inlineStr">
        <is>
          <t>Bank</t>
        </is>
      </c>
      <c r="E560" s="1256" t="n">
        <v>220</v>
      </c>
      <c r="F560" s="1255" t="inlineStr">
        <is>
          <t>2 Schools</t>
        </is>
      </c>
      <c r="G560" s="1255" t="inlineStr">
        <is>
          <t>Google</t>
        </is>
      </c>
    </row>
    <row r="561" ht="13.5" customHeight="1" s="1232">
      <c r="A561" s="1413" t="n">
        <v>42782</v>
      </c>
      <c r="B561" s="1255" t="inlineStr">
        <is>
          <t>Chris Franklin</t>
        </is>
      </c>
      <c r="C561" s="1255" t="inlineStr">
        <is>
          <t>courses/masterclasses</t>
        </is>
      </c>
      <c r="D561" s="1255" t="inlineStr">
        <is>
          <t>W-Play</t>
        </is>
      </c>
      <c r="E561" s="1256" t="n">
        <v>10</v>
      </c>
      <c r="F561" s="1255" t="inlineStr">
        <is>
          <t>Deposit 4wk Extd</t>
        </is>
      </c>
      <c r="G561" s="1255" t="inlineStr">
        <is>
          <t>Google</t>
        </is>
      </c>
    </row>
    <row r="562" ht="13.5" customHeight="1" s="1232">
      <c r="A562" s="1413" t="n">
        <v>42782</v>
      </c>
      <c r="B562" s="1255" t="inlineStr">
        <is>
          <t>Emily Fernandez</t>
        </is>
      </c>
      <c r="C562" s="1255" t="inlineStr">
        <is>
          <t>pick n mix</t>
        </is>
      </c>
      <c r="D562" s="1255" t="inlineStr">
        <is>
          <t>Bank</t>
        </is>
      </c>
      <c r="E562" s="1256" t="n">
        <v>35</v>
      </c>
      <c r="F562" s="1255" t="inlineStr">
        <is>
          <t>PnM</t>
        </is>
      </c>
      <c r="G562" s="1255" t="inlineStr">
        <is>
          <t>Existing</t>
        </is>
      </c>
    </row>
    <row r="563" ht="13.5" customHeight="1" s="1232">
      <c r="A563" s="1413" t="n">
        <v>42781</v>
      </c>
      <c r="B563" s="1255" t="inlineStr">
        <is>
          <t xml:space="preserve">Natalie Craddock </t>
        </is>
      </c>
      <c r="C563" s="1255" t="inlineStr">
        <is>
          <t>courses/masterclasses</t>
        </is>
      </c>
      <c r="D563" s="1255" t="inlineStr">
        <is>
          <t>W-Play</t>
        </is>
      </c>
      <c r="E563" s="1256" t="n">
        <v>265</v>
      </c>
      <c r="F563" s="1255" t="inlineStr">
        <is>
          <t>5 week course</t>
        </is>
      </c>
      <c r="G563" s="1255" t="inlineStr">
        <is>
          <t>Google</t>
        </is>
      </c>
    </row>
    <row r="564" ht="13.5" customHeight="1" s="1232">
      <c r="A564" s="1413" t="n">
        <v>42781</v>
      </c>
      <c r="B564" s="1255" t="inlineStr">
        <is>
          <t>Garry Such</t>
        </is>
      </c>
      <c r="C564" s="1255" t="inlineStr">
        <is>
          <t>pick n mix</t>
        </is>
      </c>
      <c r="D564" s="1255" t="inlineStr">
        <is>
          <t>Bank</t>
        </is>
      </c>
      <c r="E564" s="1256" t="n">
        <v>175</v>
      </c>
      <c r="F564" s="1255" t="inlineStr">
        <is>
          <t>pick n mix</t>
        </is>
      </c>
      <c r="G564" s="1255" t="inlineStr">
        <is>
          <t>Existing</t>
        </is>
      </c>
    </row>
    <row r="565" ht="13.5" customHeight="1" s="1232">
      <c r="A565" s="1413" t="n">
        <v>42781</v>
      </c>
      <c r="B565" s="1255" t="inlineStr">
        <is>
          <t>Paul Matt</t>
        </is>
      </c>
      <c r="C565" s="1255" t="inlineStr">
        <is>
          <t>courses/masterclasses</t>
        </is>
      </c>
      <c r="D565" s="1255" t="inlineStr">
        <is>
          <t>Stripe</t>
        </is>
      </c>
      <c r="E565" s="1256" t="n">
        <v>265</v>
      </c>
      <c r="F565" s="1255" t="inlineStr">
        <is>
          <t>5 week course</t>
        </is>
      </c>
      <c r="G565" s="1255" t="inlineStr">
        <is>
          <t>Google</t>
        </is>
      </c>
    </row>
    <row r="566" ht="13.5" customHeight="1" s="1232">
      <c r="A566" s="1413" t="n">
        <v>42780</v>
      </c>
      <c r="B566" s="1255" t="inlineStr">
        <is>
          <t>Sue Phillips</t>
        </is>
      </c>
      <c r="C566" s="1255" t="inlineStr">
        <is>
          <t>other</t>
        </is>
      </c>
      <c r="D566" s="1255" t="inlineStr">
        <is>
          <t>PayPal</t>
        </is>
      </c>
      <c r="E566" s="1256" t="n">
        <v>30</v>
      </c>
      <c r="F566" s="1255" t="inlineStr">
        <is>
          <t>forum</t>
        </is>
      </c>
      <c r="G566" s="1255" t="inlineStr">
        <is>
          <t>Existing</t>
        </is>
      </c>
    </row>
    <row r="567" ht="13.5" customHeight="1" s="1232">
      <c r="A567" s="1413" t="n">
        <v>42780</v>
      </c>
      <c r="B567" s="1255" t="inlineStr">
        <is>
          <t>James Cameron</t>
        </is>
      </c>
      <c r="C567" s="1255" t="inlineStr">
        <is>
          <t>other</t>
        </is>
      </c>
      <c r="D567" s="1255" t="inlineStr">
        <is>
          <t>Stripe</t>
        </is>
      </c>
      <c r="E567" s="1256" t="n">
        <v>30</v>
      </c>
      <c r="F567" s="1255" t="inlineStr">
        <is>
          <t>forum</t>
        </is>
      </c>
      <c r="G567" s="1255" t="inlineStr">
        <is>
          <t>Existing</t>
        </is>
      </c>
    </row>
    <row r="568" ht="13.5" customHeight="1" s="1232">
      <c r="A568" s="1413" t="n">
        <v>42780</v>
      </c>
      <c r="B568" s="1255" t="inlineStr">
        <is>
          <t>Janet Roberts</t>
        </is>
      </c>
      <c r="C568" s="1255" t="inlineStr">
        <is>
          <t>other</t>
        </is>
      </c>
      <c r="D568" s="1255" t="inlineStr">
        <is>
          <t>Stripe</t>
        </is>
      </c>
      <c r="E568" s="1256" t="n">
        <v>30</v>
      </c>
      <c r="F568" s="1255" t="inlineStr">
        <is>
          <t>forum</t>
        </is>
      </c>
      <c r="G568" s="1255" t="inlineStr">
        <is>
          <t>Existing</t>
        </is>
      </c>
    </row>
    <row r="569" ht="13.5" customHeight="1" s="1232">
      <c r="A569" s="1413" t="n">
        <v>42780</v>
      </c>
      <c r="B569" s="1255" t="inlineStr">
        <is>
          <t>Derek Robbins</t>
        </is>
      </c>
      <c r="C569" s="1255" t="inlineStr">
        <is>
          <t>other</t>
        </is>
      </c>
      <c r="D569" s="1255" t="inlineStr">
        <is>
          <t>PayPal</t>
        </is>
      </c>
      <c r="E569" s="1256" t="n">
        <v>30</v>
      </c>
      <c r="F569" s="1255" t="inlineStr">
        <is>
          <t>forum</t>
        </is>
      </c>
      <c r="G569" s="1255" t="inlineStr">
        <is>
          <t>Existing</t>
        </is>
      </c>
    </row>
    <row r="570" ht="13.5" customHeight="1" s="1232">
      <c r="A570" s="1413" t="n">
        <v>42780</v>
      </c>
      <c r="B570" s="1255" t="inlineStr">
        <is>
          <t>Jennifer Box</t>
        </is>
      </c>
      <c r="C570" s="1255" t="inlineStr">
        <is>
          <t>other</t>
        </is>
      </c>
      <c r="D570" s="1255" t="inlineStr">
        <is>
          <t>PayPal</t>
        </is>
      </c>
      <c r="E570" s="1256" t="n">
        <v>30</v>
      </c>
      <c r="F570" s="1255" t="inlineStr">
        <is>
          <t>forum</t>
        </is>
      </c>
      <c r="G570" s="1255" t="inlineStr">
        <is>
          <t>Existing</t>
        </is>
      </c>
    </row>
    <row r="571" ht="13.5" customHeight="1" s="1232">
      <c r="A571" s="1413" t="n">
        <v>42780</v>
      </c>
      <c r="B571" s="1255" t="inlineStr">
        <is>
          <t>Simon Betteridge</t>
        </is>
      </c>
      <c r="C571" s="1255" t="inlineStr">
        <is>
          <t>workshops</t>
        </is>
      </c>
      <c r="D571" s="1255" t="inlineStr">
        <is>
          <t>Bank</t>
        </is>
      </c>
      <c r="E571" s="1256" t="n">
        <v>50</v>
      </c>
      <c r="F571" s="1255" t="inlineStr">
        <is>
          <t>Yorkshire</t>
        </is>
      </c>
      <c r="G571" s="1255" t="inlineStr">
        <is>
          <t>Existing</t>
        </is>
      </c>
    </row>
    <row r="572" ht="13.5" customHeight="1" s="1232">
      <c r="A572" s="1413" t="n">
        <v>42780</v>
      </c>
      <c r="B572" s="1255" t="inlineStr">
        <is>
          <t>Simon Betteridge</t>
        </is>
      </c>
      <c r="C572" s="1255" t="inlineStr">
        <is>
          <t>other</t>
        </is>
      </c>
      <c r="D572" s="1255" t="inlineStr">
        <is>
          <t>Bank</t>
        </is>
      </c>
      <c r="E572" s="1256" t="n">
        <v>30</v>
      </c>
      <c r="F572" s="1255" t="inlineStr">
        <is>
          <t>forum</t>
        </is>
      </c>
      <c r="G572" s="1255" t="inlineStr">
        <is>
          <t>Existing</t>
        </is>
      </c>
    </row>
    <row r="573" ht="13.5" customHeight="1" s="1232">
      <c r="A573" s="1413" t="n">
        <v>42779</v>
      </c>
      <c r="B573" s="1255" t="inlineStr">
        <is>
          <t>Julian Barton-Bodley</t>
        </is>
      </c>
      <c r="C573" s="1255" t="inlineStr">
        <is>
          <t>other</t>
        </is>
      </c>
      <c r="D573" s="1255" t="inlineStr">
        <is>
          <t>PayPal</t>
        </is>
      </c>
      <c r="E573" s="1256" t="n">
        <v>35</v>
      </c>
      <c r="F573" s="1255" t="inlineStr">
        <is>
          <t>monitor calibration</t>
        </is>
      </c>
      <c r="G573" s="1255" t="inlineStr">
        <is>
          <t>Existing</t>
        </is>
      </c>
    </row>
    <row r="574" ht="13.5" customHeight="1" s="1232">
      <c r="A574" s="1413" t="n">
        <v>42779</v>
      </c>
      <c r="B574" s="1255" t="inlineStr">
        <is>
          <t xml:space="preserve">Ina Koswara </t>
        </is>
      </c>
      <c r="C574" s="1255" t="inlineStr">
        <is>
          <t>workshops</t>
        </is>
      </c>
      <c r="D574" s="1255" t="inlineStr">
        <is>
          <t>Stripe</t>
        </is>
      </c>
      <c r="E574" s="1256" t="n">
        <v>400</v>
      </c>
      <c r="F574" s="1255" t="inlineStr">
        <is>
          <t>devon</t>
        </is>
      </c>
      <c r="G574" s="1255" t="inlineStr">
        <is>
          <t>Google</t>
        </is>
      </c>
    </row>
    <row r="575" ht="13.5" customHeight="1" s="1232">
      <c r="A575" s="1413" t="n">
        <v>42778</v>
      </c>
      <c r="B575" s="1255" t="inlineStr">
        <is>
          <t>Jackie Rosin</t>
        </is>
      </c>
      <c r="C575" s="1255" t="inlineStr">
        <is>
          <t>other</t>
        </is>
      </c>
      <c r="D575" s="1255" t="inlineStr">
        <is>
          <t>Stripe</t>
        </is>
      </c>
      <c r="E575" s="1256" t="n">
        <v>30</v>
      </c>
      <c r="F575" s="1255" t="inlineStr">
        <is>
          <t>forum</t>
        </is>
      </c>
      <c r="G575" s="1255" t="inlineStr">
        <is>
          <t>Existing</t>
        </is>
      </c>
    </row>
    <row r="576" ht="13.5" customHeight="1" s="1232">
      <c r="A576" s="1413" t="n">
        <v>42777</v>
      </c>
      <c r="B576" s="1255" t="inlineStr">
        <is>
          <t>Greg Smart</t>
        </is>
      </c>
      <c r="C576" s="1255" t="inlineStr">
        <is>
          <t>workshops</t>
        </is>
      </c>
      <c r="D576" s="1255" t="inlineStr">
        <is>
          <t>PayPal</t>
        </is>
      </c>
      <c r="E576" s="1256" t="n">
        <v>99</v>
      </c>
      <c r="F576" s="1255" t="inlineStr">
        <is>
          <t>bluebells</t>
        </is>
      </c>
      <c r="G576" s="1255" t="inlineStr">
        <is>
          <t>Existing</t>
        </is>
      </c>
    </row>
    <row r="577" ht="13.5" customHeight="1" s="1232">
      <c r="A577" s="1413" t="n">
        <v>42776</v>
      </c>
      <c r="B577" s="1255" t="inlineStr">
        <is>
          <t>Yee Lee</t>
        </is>
      </c>
      <c r="C577" s="1255" t="inlineStr">
        <is>
          <t>courses/masterclasses</t>
        </is>
      </c>
      <c r="D577" s="1255" t="inlineStr">
        <is>
          <t>Stripe</t>
        </is>
      </c>
      <c r="E577" s="1256" t="n">
        <v>265</v>
      </c>
      <c r="F577" s="1255" t="inlineStr">
        <is>
          <t>5 week course</t>
        </is>
      </c>
      <c r="G577" s="1255" t="inlineStr">
        <is>
          <t>ELS</t>
        </is>
      </c>
    </row>
    <row r="578" ht="13.5" customHeight="1" s="1232">
      <c r="A578" s="1413" t="n">
        <v>42776</v>
      </c>
      <c r="B578" s="1255" t="inlineStr">
        <is>
          <t>Serena Nicholls</t>
        </is>
      </c>
      <c r="C578" s="1255" t="inlineStr">
        <is>
          <t>other</t>
        </is>
      </c>
      <c r="D578" s="1255" t="inlineStr">
        <is>
          <t>Stripe</t>
        </is>
      </c>
      <c r="E578" s="1256" t="n">
        <v>30</v>
      </c>
      <c r="F578" s="1255" t="inlineStr">
        <is>
          <t>forum</t>
        </is>
      </c>
      <c r="G578" s="1255" t="inlineStr">
        <is>
          <t>Existing</t>
        </is>
      </c>
    </row>
    <row r="579" ht="13.5" customHeight="1" s="1232">
      <c r="A579" s="1413" t="n">
        <v>42774</v>
      </c>
      <c r="B579" s="1255" t="inlineStr">
        <is>
          <t>Chris Walkland</t>
        </is>
      </c>
      <c r="C579" s="1255" t="inlineStr">
        <is>
          <t>pick n mix</t>
        </is>
      </c>
      <c r="D579" s="1255" t="inlineStr">
        <is>
          <t>Bank</t>
        </is>
      </c>
      <c r="E579" s="1256" t="n">
        <v>1000</v>
      </c>
      <c r="F579" s="1255" t="inlineStr">
        <is>
          <t>pick n mix</t>
        </is>
      </c>
      <c r="G579" s="1255" t="inlineStr">
        <is>
          <t>Google</t>
        </is>
      </c>
    </row>
    <row r="580" ht="13.5" customHeight="1" s="1232">
      <c r="A580" s="1413" t="n">
        <v>42774</v>
      </c>
      <c r="B580" s="1255" t="inlineStr">
        <is>
          <t>Jean MacDonald</t>
        </is>
      </c>
      <c r="C580" s="1255" t="inlineStr">
        <is>
          <t>workshops</t>
        </is>
      </c>
      <c r="D580" s="1255" t="inlineStr">
        <is>
          <t>Bank</t>
        </is>
      </c>
      <c r="E580" s="1256" t="n">
        <v>180</v>
      </c>
      <c r="F580" s="1255" t="inlineStr">
        <is>
          <t>devon</t>
        </is>
      </c>
      <c r="G580" s="1255" t="inlineStr">
        <is>
          <t>Existing</t>
        </is>
      </c>
    </row>
    <row r="581" ht="13.5" customHeight="1" s="1232">
      <c r="A581" s="1413" t="n">
        <v>42774</v>
      </c>
      <c r="B581" s="1255" t="inlineStr">
        <is>
          <t>Ian Blake</t>
        </is>
      </c>
      <c r="C581" s="1255" t="inlineStr">
        <is>
          <t>other</t>
        </is>
      </c>
      <c r="D581" s="1255" t="inlineStr">
        <is>
          <t>Stripe</t>
        </is>
      </c>
      <c r="E581" s="1256" t="n">
        <v>30</v>
      </c>
      <c r="F581" s="1255" t="inlineStr">
        <is>
          <t>forum</t>
        </is>
      </c>
      <c r="G581" s="1255" t="inlineStr">
        <is>
          <t>Existing</t>
        </is>
      </c>
    </row>
    <row r="582" ht="13.5" customHeight="1" s="1232">
      <c r="A582" s="1413" t="n">
        <v>42773</v>
      </c>
      <c r="B582" s="1255" t="inlineStr">
        <is>
          <t>Chris Shaw</t>
        </is>
      </c>
      <c r="C582" s="1255" t="inlineStr">
        <is>
          <t>other</t>
        </is>
      </c>
      <c r="D582" s="1255" t="inlineStr">
        <is>
          <t>Stripe</t>
        </is>
      </c>
      <c r="E582" s="1256" t="n">
        <v>30</v>
      </c>
      <c r="F582" s="1255" t="inlineStr">
        <is>
          <t>forum</t>
        </is>
      </c>
      <c r="G582" s="1255" t="inlineStr">
        <is>
          <t>Existing</t>
        </is>
      </c>
    </row>
    <row r="583" ht="13.5" customHeight="1" s="1232">
      <c r="A583" s="1413" t="n">
        <v>42773</v>
      </c>
      <c r="B583" s="1255" t="inlineStr">
        <is>
          <t>Kirsten Pearce</t>
        </is>
      </c>
      <c r="C583" s="1255" t="inlineStr">
        <is>
          <t>other</t>
        </is>
      </c>
      <c r="D583" s="1255" t="inlineStr">
        <is>
          <t>PayPal</t>
        </is>
      </c>
      <c r="E583" s="1256" t="n">
        <v>30</v>
      </c>
      <c r="F583" s="1255" t="inlineStr">
        <is>
          <t>forum</t>
        </is>
      </c>
      <c r="G583" s="1255" t="inlineStr">
        <is>
          <t>Existing</t>
        </is>
      </c>
    </row>
    <row r="584" ht="13.5" customHeight="1" s="1232">
      <c r="A584" s="1413" t="n">
        <v>42773</v>
      </c>
      <c r="B584" s="1255" t="inlineStr">
        <is>
          <t>Dunstan Vavasour</t>
        </is>
      </c>
      <c r="C584" s="1255" t="inlineStr">
        <is>
          <t>other</t>
        </is>
      </c>
      <c r="D584" s="1255" t="inlineStr">
        <is>
          <t>PayPal</t>
        </is>
      </c>
      <c r="E584" s="1256" t="n">
        <v>30</v>
      </c>
      <c r="F584" s="1255" t="inlineStr">
        <is>
          <t>forum</t>
        </is>
      </c>
      <c r="G584" s="1255" t="inlineStr">
        <is>
          <t>Existing</t>
        </is>
      </c>
    </row>
    <row r="585" ht="13.5" customHeight="1" s="1232">
      <c r="A585" s="1413" t="n">
        <v>42773</v>
      </c>
      <c r="B585" s="1255" t="inlineStr">
        <is>
          <t>Julian Barton-Bodley</t>
        </is>
      </c>
      <c r="C585" s="1255" t="inlineStr">
        <is>
          <t>other</t>
        </is>
      </c>
      <c r="D585" s="1255" t="inlineStr">
        <is>
          <t>PayPal</t>
        </is>
      </c>
      <c r="E585" s="1256" t="n">
        <v>30</v>
      </c>
      <c r="F585" s="1255" t="inlineStr">
        <is>
          <t>forum</t>
        </is>
      </c>
      <c r="G585" s="1255" t="inlineStr">
        <is>
          <t>Existing</t>
        </is>
      </c>
    </row>
    <row r="586" ht="13.5" customHeight="1" s="1232">
      <c r="A586" s="1413" t="n">
        <v>42769</v>
      </c>
      <c r="B586" s="1255" t="inlineStr">
        <is>
          <t>Pick N Mix - Feb</t>
        </is>
      </c>
      <c r="C586" s="1255" t="inlineStr">
        <is>
          <t>pick n mix</t>
        </is>
      </c>
      <c r="D586" s="1255" t="inlineStr">
        <is>
          <t>Bank</t>
        </is>
      </c>
      <c r="E586" s="1256">
        <f>858-120</f>
        <v/>
      </c>
      <c r="G586" s="1255" t="inlineStr">
        <is>
          <t>Existing</t>
        </is>
      </c>
    </row>
    <row r="587" ht="13.5" customHeight="1" s="1232">
      <c r="A587" s="1413" t="n">
        <v>42769</v>
      </c>
      <c r="B587" s="1255" t="inlineStr">
        <is>
          <t>Mentoring subs Feb</t>
        </is>
      </c>
      <c r="C587" s="1255" t="inlineStr">
        <is>
          <t>mentoring</t>
        </is>
      </c>
      <c r="D587" s="1255" t="inlineStr">
        <is>
          <t>Various</t>
        </is>
      </c>
      <c r="E587" s="1256" t="n">
        <v>120</v>
      </c>
      <c r="G587" s="1255" t="inlineStr">
        <is>
          <t>Existing</t>
        </is>
      </c>
    </row>
    <row r="588" ht="13.5" customHeight="1" s="1232">
      <c r="A588" s="1413" t="n">
        <v>42769</v>
      </c>
      <c r="B588" s="1255" t="inlineStr">
        <is>
          <t>Judith Longhorn</t>
        </is>
      </c>
      <c r="C588" s="1255" t="inlineStr">
        <is>
          <t>workshops</t>
        </is>
      </c>
      <c r="D588" s="1255" t="inlineStr">
        <is>
          <t>Stripe</t>
        </is>
      </c>
      <c r="E588" s="1256" t="n">
        <v>180</v>
      </c>
      <c r="F588" s="1255" t="inlineStr">
        <is>
          <t>delphiniums</t>
        </is>
      </c>
      <c r="G588" s="1255" t="inlineStr">
        <is>
          <t>Google</t>
        </is>
      </c>
    </row>
    <row r="589" ht="13.5" customHeight="1" s="1232">
      <c r="A589" s="1413" t="n">
        <v>42769</v>
      </c>
      <c r="B589" s="1255" t="inlineStr">
        <is>
          <t>Justin Meaden</t>
        </is>
      </c>
      <c r="C589" s="1255" t="inlineStr">
        <is>
          <t>workshops</t>
        </is>
      </c>
      <c r="D589" s="1255" t="inlineStr">
        <is>
          <t>Stripe</t>
        </is>
      </c>
      <c r="E589" s="1256" t="n">
        <v>100</v>
      </c>
      <c r="F589" s="1255" t="inlineStr">
        <is>
          <t>northumbria</t>
        </is>
      </c>
      <c r="G589" s="1255" t="inlineStr">
        <is>
          <t>Google</t>
        </is>
      </c>
    </row>
    <row r="592" ht="13.5" customHeight="1" s="1232">
      <c r="A592" s="1413" t="n">
        <v>42766</v>
      </c>
      <c r="B592" s="1255" t="inlineStr">
        <is>
          <t>Pavan Kumar</t>
        </is>
      </c>
      <c r="C592" s="1255" t="inlineStr">
        <is>
          <t>courses/masterclasses</t>
        </is>
      </c>
      <c r="D592" s="468" t="inlineStr">
        <is>
          <t>paypal</t>
        </is>
      </c>
      <c r="E592" s="1256" t="n">
        <v>50</v>
      </c>
      <c r="G592" s="1255" t="inlineStr">
        <is>
          <t>Google</t>
        </is>
      </c>
    </row>
    <row r="593" ht="13.5" customHeight="1" s="1232">
      <c r="A593" s="1413" t="n">
        <v>42766</v>
      </c>
      <c r="B593" s="1255" t="inlineStr">
        <is>
          <t>Daniel Brookes</t>
        </is>
      </c>
      <c r="C593" s="1255" t="inlineStr">
        <is>
          <t>courses/masterclasses</t>
        </is>
      </c>
      <c r="D593" s="468" t="inlineStr">
        <is>
          <t>groupon</t>
        </is>
      </c>
      <c r="E593" s="1256" t="n">
        <v>12</v>
      </c>
      <c r="G593" s="1255" t="inlineStr">
        <is>
          <t>Groupon</t>
        </is>
      </c>
    </row>
    <row r="594" ht="13.5" customHeight="1" s="1232">
      <c r="A594" s="1413" t="n">
        <v>42766</v>
      </c>
      <c r="B594" s="1255" t="inlineStr">
        <is>
          <t>David Towers</t>
        </is>
      </c>
      <c r="C594" s="1255" t="inlineStr">
        <is>
          <t>courses/masterclasses</t>
        </is>
      </c>
      <c r="D594" s="468" t="inlineStr">
        <is>
          <t>groupon</t>
        </is>
      </c>
      <c r="E594" s="1256" t="n">
        <v>12</v>
      </c>
      <c r="G594" s="1255" t="inlineStr">
        <is>
          <t>Groupon</t>
        </is>
      </c>
    </row>
    <row r="595" ht="13.5" customHeight="1" s="1232">
      <c r="A595" s="1413" t="n">
        <v>42766</v>
      </c>
      <c r="B595" s="1255" t="inlineStr">
        <is>
          <t>Chris Towers</t>
        </is>
      </c>
      <c r="C595" s="1255" t="inlineStr">
        <is>
          <t>courses/masterclasses</t>
        </is>
      </c>
      <c r="D595" s="468" t="inlineStr">
        <is>
          <t>groupon</t>
        </is>
      </c>
      <c r="E595" s="1256" t="n">
        <v>12</v>
      </c>
      <c r="G595" s="1255" t="inlineStr">
        <is>
          <t>Groupon</t>
        </is>
      </c>
    </row>
    <row r="596" ht="13.5" customHeight="1" s="1232">
      <c r="A596" s="1413" t="n">
        <v>42762</v>
      </c>
      <c r="B596" s="1255" t="inlineStr">
        <is>
          <t>Sarah Franklin</t>
        </is>
      </c>
      <c r="C596" s="1255" t="inlineStr">
        <is>
          <t>courses/masterclasses</t>
        </is>
      </c>
      <c r="D596" s="468" t="inlineStr">
        <is>
          <t>groupon</t>
        </is>
      </c>
      <c r="E596" s="1256" t="n">
        <v>12</v>
      </c>
      <c r="F596" s="1294" t="n"/>
      <c r="G596" s="1255" t="inlineStr">
        <is>
          <t>Groupon</t>
        </is>
      </c>
    </row>
    <row r="597" ht="13.5" customHeight="1" s="1232">
      <c r="A597" s="1413" t="n">
        <v>42762</v>
      </c>
      <c r="B597" s="1255" t="inlineStr">
        <is>
          <t>Gail Franklin</t>
        </is>
      </c>
      <c r="C597" s="1255" t="inlineStr">
        <is>
          <t>courses/masterclasses</t>
        </is>
      </c>
      <c r="D597" s="468" t="inlineStr">
        <is>
          <t>Stripe</t>
        </is>
      </c>
      <c r="E597" s="1256" t="n">
        <v>30</v>
      </c>
      <c r="F597" s="1294" t="n"/>
      <c r="G597" s="1255" t="inlineStr">
        <is>
          <t>Google</t>
        </is>
      </c>
    </row>
    <row r="598" ht="13.5" customHeight="1" s="1232">
      <c r="A598" s="1413" t="n">
        <v>42762</v>
      </c>
      <c r="B598" s="1255" t="inlineStr">
        <is>
          <t>Terrence Underhill</t>
        </is>
      </c>
      <c r="C598" s="1255" t="inlineStr">
        <is>
          <t>courses/masterclasses</t>
        </is>
      </c>
      <c r="D598" s="468" t="inlineStr">
        <is>
          <t>groupon</t>
        </is>
      </c>
      <c r="E598" s="1256" t="n">
        <v>12</v>
      </c>
      <c r="G598" s="1255" t="inlineStr">
        <is>
          <t>Groupon</t>
        </is>
      </c>
    </row>
    <row r="599" ht="13.5" customHeight="1" s="1232">
      <c r="A599" s="1413" t="n">
        <v>42761</v>
      </c>
      <c r="B599" s="1255" t="inlineStr">
        <is>
          <t xml:space="preserve">Ina Koswara </t>
        </is>
      </c>
      <c r="C599" s="1255" t="inlineStr">
        <is>
          <t>workshops</t>
        </is>
      </c>
      <c r="D599" s="468" t="inlineStr">
        <is>
          <t>bank</t>
        </is>
      </c>
      <c r="E599" s="1256" t="n">
        <v>50</v>
      </c>
      <c r="F599" s="1294" t="n"/>
      <c r="G599" s="1255" t="inlineStr">
        <is>
          <t>Google</t>
        </is>
      </c>
    </row>
    <row r="600" ht="13.5" customHeight="1" s="1232">
      <c r="A600" s="1413" t="n">
        <v>42760</v>
      </c>
      <c r="B600" s="1255" t="inlineStr">
        <is>
          <t>Jan Shaylor</t>
        </is>
      </c>
      <c r="C600" s="1255" t="inlineStr">
        <is>
          <t>1-2-1</t>
        </is>
      </c>
      <c r="D600" s="468" t="inlineStr">
        <is>
          <t>bank</t>
        </is>
      </c>
      <c r="E600" s="1256" t="n">
        <v>95</v>
      </c>
      <c r="G600" s="1255" t="inlineStr">
        <is>
          <t>Google</t>
        </is>
      </c>
    </row>
    <row r="601" ht="13.5" customHeight="1" s="1232">
      <c r="A601" s="1413" t="n">
        <v>42760</v>
      </c>
      <c r="B601" s="1255" t="inlineStr">
        <is>
          <t>Jessica Miller</t>
        </is>
      </c>
      <c r="C601" s="1255" t="inlineStr">
        <is>
          <t>courses/masterclasses</t>
        </is>
      </c>
      <c r="D601" s="468" t="inlineStr">
        <is>
          <t>Stripe</t>
        </is>
      </c>
      <c r="E601" s="1256" t="n">
        <v>15</v>
      </c>
      <c r="F601" s="1294" t="n"/>
      <c r="G601" s="1255" t="inlineStr">
        <is>
          <t>Google</t>
        </is>
      </c>
    </row>
    <row r="602" ht="13.5" customHeight="1" s="1232">
      <c r="A602" s="1413" t="n">
        <v>42760</v>
      </c>
      <c r="B602" s="1255" t="inlineStr">
        <is>
          <t>Paulina Lewis</t>
        </is>
      </c>
      <c r="C602" s="1255" t="inlineStr">
        <is>
          <t>courses/masterclasses</t>
        </is>
      </c>
      <c r="D602" s="468" t="inlineStr">
        <is>
          <t>Stripe</t>
        </is>
      </c>
      <c r="E602" s="1256" t="n">
        <v>30</v>
      </c>
      <c r="F602" s="1294" t="n"/>
      <c r="G602" s="1255" t="inlineStr">
        <is>
          <t>Google</t>
        </is>
      </c>
    </row>
    <row r="603" ht="13.5" customHeight="1" s="1232">
      <c r="A603" s="1413" t="n">
        <v>42760</v>
      </c>
      <c r="B603" s="1255" t="inlineStr">
        <is>
          <t>Michelle Richings</t>
        </is>
      </c>
      <c r="C603" s="1255" t="inlineStr">
        <is>
          <t>courses/masterclasses</t>
        </is>
      </c>
      <c r="D603" s="468" t="inlineStr">
        <is>
          <t>Stripe</t>
        </is>
      </c>
      <c r="E603" s="1256" t="n">
        <v>30</v>
      </c>
      <c r="F603" s="1294" t="n"/>
      <c r="G603" s="1255" t="inlineStr">
        <is>
          <t>Google</t>
        </is>
      </c>
    </row>
    <row r="604" ht="13.5" customHeight="1" s="1232">
      <c r="A604" s="1413" t="n">
        <v>42760</v>
      </c>
      <c r="B604" s="1255" t="inlineStr">
        <is>
          <t>Chloe Brown</t>
        </is>
      </c>
      <c r="C604" s="1255" t="inlineStr">
        <is>
          <t>courses/masterclasses</t>
        </is>
      </c>
      <c r="D604" s="468" t="inlineStr">
        <is>
          <t>Stripe</t>
        </is>
      </c>
      <c r="E604" s="1256" t="n">
        <v>30</v>
      </c>
      <c r="F604" s="1294" t="n"/>
      <c r="G604" s="1255" t="inlineStr">
        <is>
          <t>Google</t>
        </is>
      </c>
    </row>
    <row r="605" ht="13.5" customHeight="1" s="1232">
      <c r="A605" s="1413" t="n">
        <v>42760</v>
      </c>
      <c r="B605" s="1255" t="inlineStr">
        <is>
          <t>Chris Franklin</t>
        </is>
      </c>
      <c r="C605" s="1255" t="inlineStr">
        <is>
          <t>courses/masterclasses</t>
        </is>
      </c>
      <c r="D605" s="468" t="inlineStr">
        <is>
          <t>groupon</t>
        </is>
      </c>
      <c r="E605" s="1256" t="n">
        <v>12</v>
      </c>
      <c r="F605" s="1294" t="n"/>
      <c r="G605" s="1255" t="inlineStr">
        <is>
          <t>Groupon</t>
        </is>
      </c>
    </row>
    <row r="606" ht="13.5" customHeight="1" s="1232">
      <c r="A606" s="1413" t="n">
        <v>42752</v>
      </c>
      <c r="B606" s="1255" t="inlineStr">
        <is>
          <t xml:space="preserve">Kedar </t>
        </is>
      </c>
      <c r="C606" s="1255" t="inlineStr">
        <is>
          <t>courses/masterclasses</t>
        </is>
      </c>
      <c r="D606" s="468" t="inlineStr">
        <is>
          <t>Stripe</t>
        </is>
      </c>
      <c r="E606" s="1256" t="n">
        <v>250</v>
      </c>
      <c r="F606" s="1255" t="inlineStr">
        <is>
          <t>5 week course</t>
        </is>
      </c>
      <c r="G606" s="1255" t="inlineStr">
        <is>
          <t>Google</t>
        </is>
      </c>
    </row>
    <row r="607" ht="13.5" customHeight="1" s="1232">
      <c r="A607" s="1413" t="n">
        <v>42749</v>
      </c>
      <c r="B607" s="1255" t="inlineStr">
        <is>
          <t>Kirsten pearce</t>
        </is>
      </c>
      <c r="C607" s="1255" t="inlineStr">
        <is>
          <t>workshops</t>
        </is>
      </c>
      <c r="D607" s="468" t="inlineStr">
        <is>
          <t>Bank</t>
        </is>
      </c>
      <c r="E607" s="1256" t="n">
        <v>243.5</v>
      </c>
      <c r="F607" s="1255" t="inlineStr">
        <is>
          <t>lakes</t>
        </is>
      </c>
      <c r="G607" s="1255" t="inlineStr">
        <is>
          <t>Existing</t>
        </is>
      </c>
    </row>
    <row r="608" ht="13.5" customHeight="1" s="1232">
      <c r="A608" s="1413" t="n">
        <v>42748</v>
      </c>
      <c r="B608" s="1255" t="inlineStr">
        <is>
          <t>Emily Fernadez</t>
        </is>
      </c>
      <c r="C608" s="1255" t="inlineStr">
        <is>
          <t>courses/masterclasses</t>
        </is>
      </c>
      <c r="D608" s="468" t="inlineStr">
        <is>
          <t>Bank</t>
        </is>
      </c>
      <c r="E608" s="1256" t="n">
        <v>200</v>
      </c>
      <c r="F608" s="1294" t="n"/>
      <c r="G608" s="1255" t="inlineStr">
        <is>
          <t>Existing</t>
        </is>
      </c>
    </row>
    <row r="609" ht="13.5" customHeight="1" s="1232">
      <c r="A609" s="1413" t="n">
        <v>42746</v>
      </c>
      <c r="B609" s="1255" t="inlineStr">
        <is>
          <t>Rachel Ward</t>
        </is>
      </c>
      <c r="C609" s="1255" t="inlineStr">
        <is>
          <t>workshops</t>
        </is>
      </c>
      <c r="D609" s="468" t="inlineStr">
        <is>
          <t>Stripe</t>
        </is>
      </c>
      <c r="E609" s="1256" t="n">
        <v>59</v>
      </c>
      <c r="F609" s="1255" t="inlineStr">
        <is>
          <t>batsford cal shoot</t>
        </is>
      </c>
      <c r="G609" s="1255" t="inlineStr">
        <is>
          <t>Batsford</t>
        </is>
      </c>
    </row>
    <row r="610" ht="13.5" customHeight="1" s="1232">
      <c r="A610" s="1413" t="n">
        <v>42746</v>
      </c>
      <c r="B610" s="1255" t="inlineStr">
        <is>
          <t>Ruth Colgan</t>
        </is>
      </c>
      <c r="C610" s="1255" t="inlineStr">
        <is>
          <t>courses/masterclasses</t>
        </is>
      </c>
      <c r="D610" s="468" t="inlineStr">
        <is>
          <t>Stripe</t>
        </is>
      </c>
      <c r="E610" s="1256" t="n">
        <v>215</v>
      </c>
      <c r="F610" s="1255" t="inlineStr">
        <is>
          <t>5wk course feb</t>
        </is>
      </c>
      <c r="G610" s="1255" t="inlineStr">
        <is>
          <t>Existing</t>
        </is>
      </c>
    </row>
    <row r="611" ht="13.5" customHeight="1" s="1232">
      <c r="A611" s="1413" t="n">
        <v>42743</v>
      </c>
      <c r="B611" s="1255" t="inlineStr">
        <is>
          <t xml:space="preserve">Rachel Imogen BOWES </t>
        </is>
      </c>
      <c r="C611" s="1255" t="inlineStr">
        <is>
          <t>courses/masterclasses</t>
        </is>
      </c>
      <c r="D611" s="468" t="inlineStr">
        <is>
          <t>paypal</t>
        </is>
      </c>
      <c r="E611" s="1256" t="n">
        <v>265</v>
      </c>
      <c r="G611" s="1255" t="inlineStr">
        <is>
          <t>Google</t>
        </is>
      </c>
    </row>
    <row r="612" ht="13.5" customHeight="1" s="1232">
      <c r="A612" s="1413" t="n">
        <v>42743</v>
      </c>
      <c r="B612" s="1255" t="inlineStr">
        <is>
          <t xml:space="preserve">Zoe Manning </t>
        </is>
      </c>
      <c r="C612" s="1255" t="inlineStr">
        <is>
          <t>courses/masterclasses</t>
        </is>
      </c>
      <c r="D612" s="468" t="inlineStr">
        <is>
          <t>Stripe</t>
        </is>
      </c>
      <c r="E612" s="1256" t="n">
        <v>60</v>
      </c>
      <c r="G612" s="1255" t="inlineStr">
        <is>
          <t>Google</t>
        </is>
      </c>
    </row>
    <row r="613" ht="13.5" customHeight="1" s="1232">
      <c r="A613" s="1413" t="n">
        <v>42742</v>
      </c>
      <c r="B613" s="1255" t="inlineStr">
        <is>
          <t>Vic Millard</t>
        </is>
      </c>
      <c r="C613" s="1255" t="inlineStr">
        <is>
          <t>courses/masterclasses</t>
        </is>
      </c>
      <c r="D613" s="468" t="inlineStr">
        <is>
          <t>Stripe</t>
        </is>
      </c>
      <c r="E613" s="1256" t="n">
        <v>30</v>
      </c>
      <c r="G613" s="1255" t="inlineStr">
        <is>
          <t>Google</t>
        </is>
      </c>
    </row>
    <row r="614" ht="13.5" customHeight="1" s="1232">
      <c r="A614" s="1413" t="n">
        <v>42742</v>
      </c>
      <c r="B614" s="1255" t="inlineStr">
        <is>
          <t xml:space="preserve">Rebecca Teague </t>
        </is>
      </c>
      <c r="C614" s="1255" t="inlineStr">
        <is>
          <t>workshops</t>
        </is>
      </c>
      <c r="D614" s="468" t="inlineStr">
        <is>
          <t>Stripe</t>
        </is>
      </c>
      <c r="E614" s="1256" t="n">
        <v>60</v>
      </c>
      <c r="G614" s="1255" t="inlineStr">
        <is>
          <t>Google</t>
        </is>
      </c>
    </row>
    <row r="615" ht="13.5" customHeight="1" s="1232">
      <c r="A615" s="1413" t="n">
        <v>42740</v>
      </c>
      <c r="B615" s="1255" t="inlineStr">
        <is>
          <t>Adrian Knott</t>
        </is>
      </c>
      <c r="C615" s="1255" t="inlineStr">
        <is>
          <t>courses/masterclasses</t>
        </is>
      </c>
      <c r="D615" s="468" t="inlineStr">
        <is>
          <t>paypal</t>
        </is>
      </c>
      <c r="E615" s="1256" t="n">
        <v>25</v>
      </c>
      <c r="F615" s="1255" t="inlineStr">
        <is>
          <t>yes</t>
        </is>
      </c>
      <c r="G615" s="1255" t="inlineStr">
        <is>
          <t>Google</t>
        </is>
      </c>
    </row>
    <row r="616" ht="13.5" customHeight="1" s="1232">
      <c r="A616" s="1413" t="n">
        <v>42739</v>
      </c>
      <c r="B616" s="1255" t="inlineStr">
        <is>
          <t>Janet Roberts</t>
        </is>
      </c>
      <c r="C616" s="1255" t="inlineStr">
        <is>
          <t>courses/masterclasses</t>
        </is>
      </c>
      <c r="D616" s="468" t="inlineStr">
        <is>
          <t>stripe</t>
        </is>
      </c>
      <c r="E616" s="1256" t="n">
        <v>135</v>
      </c>
      <c r="F616" s="1255" t="inlineStr">
        <is>
          <t>no</t>
        </is>
      </c>
      <c r="G616" s="1255" t="inlineStr">
        <is>
          <t>Existing</t>
        </is>
      </c>
    </row>
    <row r="617" ht="13.5" customHeight="1" s="1232">
      <c r="A617" s="1413" t="n">
        <v>42739</v>
      </c>
      <c r="B617" s="1255" t="inlineStr">
        <is>
          <t>Mark Harrison</t>
        </is>
      </c>
      <c r="C617" s="1255" t="inlineStr">
        <is>
          <t>1-2-1</t>
        </is>
      </c>
      <c r="D617" s="468" t="inlineStr">
        <is>
          <t>bank</t>
        </is>
      </c>
      <c r="E617" s="1256" t="n">
        <v>145</v>
      </c>
      <c r="F617" s="1255" t="inlineStr">
        <is>
          <t>yes</t>
        </is>
      </c>
      <c r="G617" s="1255" t="inlineStr">
        <is>
          <t>Google</t>
        </is>
      </c>
    </row>
    <row r="618" ht="13.5" customHeight="1" s="1232">
      <c r="A618" s="1413" t="n">
        <v>42738</v>
      </c>
      <c r="B618" s="1255" t="inlineStr">
        <is>
          <t>Norman Whitaker</t>
        </is>
      </c>
      <c r="C618" s="1255" t="inlineStr">
        <is>
          <t>courses/masterclasses</t>
        </is>
      </c>
      <c r="D618" s="468" t="inlineStr">
        <is>
          <t>stripe</t>
        </is>
      </c>
      <c r="E618" s="1256" t="n">
        <v>25</v>
      </c>
      <c r="F618" s="1255" t="inlineStr">
        <is>
          <t>yes</t>
        </is>
      </c>
      <c r="G618" s="1255" t="inlineStr">
        <is>
          <t>Google</t>
        </is>
      </c>
    </row>
    <row r="619" ht="13.5" customHeight="1" s="1232">
      <c r="A619" s="1413" t="n">
        <v>42738</v>
      </c>
      <c r="B619" s="1255" t="inlineStr">
        <is>
          <t>Sue &amp; Chris Walkland</t>
        </is>
      </c>
      <c r="C619" s="1255" t="inlineStr">
        <is>
          <t>courses/masterclasses</t>
        </is>
      </c>
      <c r="D619" s="468" t="inlineStr">
        <is>
          <t>bank</t>
        </is>
      </c>
      <c r="E619" s="1256" t="n">
        <v>400</v>
      </c>
      <c r="F619" s="1255" t="inlineStr">
        <is>
          <t>yes</t>
        </is>
      </c>
      <c r="G619" s="1255" t="inlineStr">
        <is>
          <t>Google</t>
        </is>
      </c>
    </row>
    <row r="620" ht="13.5" customHeight="1" s="1232">
      <c r="A620" s="1413" t="n">
        <v>42736</v>
      </c>
      <c r="B620" s="1255" t="inlineStr">
        <is>
          <t>Mentoring Subs</t>
        </is>
      </c>
      <c r="C620" s="1255" t="inlineStr">
        <is>
          <t>mentoring</t>
        </is>
      </c>
      <c r="D620" s="468" t="inlineStr">
        <is>
          <t>Various</t>
        </is>
      </c>
      <c r="E620" s="1256" t="n">
        <v>120</v>
      </c>
      <c r="G620" s="1255" t="inlineStr">
        <is>
          <t>Existing</t>
        </is>
      </c>
    </row>
    <row r="621" ht="13.5" customHeight="1" s="1232">
      <c r="A621" s="1413" t="n">
        <v>42736</v>
      </c>
      <c r="B621" s="1255" t="inlineStr">
        <is>
          <t>Janice Jordon</t>
        </is>
      </c>
      <c r="C621" s="1255" t="inlineStr">
        <is>
          <t>other</t>
        </is>
      </c>
      <c r="D621" s="468" t="inlineStr">
        <is>
          <t>stripe</t>
        </is>
      </c>
      <c r="E621" s="1256" t="n">
        <v>30</v>
      </c>
      <c r="F621" s="1255" t="inlineStr">
        <is>
          <t>yes</t>
        </is>
      </c>
      <c r="G621" s="1255" t="inlineStr">
        <is>
          <t>Existing</t>
        </is>
      </c>
    </row>
    <row r="622" ht="13.5" customHeight="1" s="1232">
      <c r="A622" s="1413" t="n">
        <v>42736</v>
      </c>
      <c r="B622" s="1255" t="inlineStr">
        <is>
          <t>Pick N Mix Jan</t>
        </is>
      </c>
      <c r="C622" s="1255" t="inlineStr">
        <is>
          <t>pick n mix</t>
        </is>
      </c>
      <c r="D622" s="468" t="inlineStr">
        <is>
          <t>Various</t>
        </is>
      </c>
      <c r="E622" s="1256">
        <f>459-120</f>
        <v/>
      </c>
      <c r="G622" s="1255" t="inlineStr">
        <is>
          <t>Existing</t>
        </is>
      </c>
    </row>
    <row r="623" ht="13.5" customHeight="1" s="1232">
      <c r="A623" s="1413" t="n">
        <v>42736</v>
      </c>
      <c r="B623" s="1255" t="inlineStr">
        <is>
          <t>Anne-Marie Scott</t>
        </is>
      </c>
      <c r="C623" s="1255" t="inlineStr">
        <is>
          <t>mentoring</t>
        </is>
      </c>
      <c r="D623" s="468" t="inlineStr">
        <is>
          <t>paypal</t>
        </is>
      </c>
      <c r="E623" s="1256" t="n">
        <v>200</v>
      </c>
      <c r="F623" s="1255" t="inlineStr">
        <is>
          <t>yes</t>
        </is>
      </c>
      <c r="G623" s="1255" t="inlineStr">
        <is>
          <t>Existing</t>
        </is>
      </c>
    </row>
    <row r="626" ht="13.15" customHeight="1" s="1232">
      <c r="B626" s="1346" t="inlineStr">
        <is>
          <t>Total</t>
        </is>
      </c>
      <c r="C626" s="1346" t="n"/>
      <c r="E626" s="1347">
        <f>SUM(E60:E625)</f>
        <v/>
      </c>
    </row>
  </sheetData>
  <conditionalFormatting sqref="V2 V17:V22 V52 V59:V69 V79 V84 V94:V259 V261:V533">
    <cfRule type="cellIs" priority="195" operator="lessThan" dxfId="1">
      <formula>0</formula>
    </cfRule>
  </conditionalFormatting>
  <conditionalFormatting sqref="V15">
    <cfRule type="cellIs" priority="194" operator="lessThan" dxfId="1">
      <formula>0</formula>
    </cfRule>
  </conditionalFormatting>
  <conditionalFormatting sqref="V3:V7">
    <cfRule type="cellIs" priority="192" operator="lessThan" dxfId="1">
      <formula>0</formula>
    </cfRule>
    <cfRule type="cellIs" priority="189" operator="lessThan" dxfId="1">
      <formula>0</formula>
    </cfRule>
    <cfRule type="cellIs" priority="182" operator="lessThan" dxfId="1">
      <formula>0</formula>
    </cfRule>
    <cfRule type="cellIs" priority="178" operator="lessThan" dxfId="1">
      <formula>0</formula>
    </cfRule>
    <cfRule type="cellIs" priority="147" operator="lessThan" dxfId="1">
      <formula>0</formula>
    </cfRule>
    <cfRule type="cellIs" priority="47" operator="lessThan" dxfId="1">
      <formula>0</formula>
    </cfRule>
    <cfRule type="cellIs" priority="27" operator="lessThan" dxfId="1">
      <formula>0</formula>
    </cfRule>
  </conditionalFormatting>
  <conditionalFormatting sqref="V16">
    <cfRule type="cellIs" priority="193" operator="lessThan" dxfId="1">
      <formula>0</formula>
    </cfRule>
  </conditionalFormatting>
  <conditionalFormatting sqref="V8 V10">
    <cfRule type="cellIs" priority="191" operator="lessThan" dxfId="1">
      <formula>0</formula>
    </cfRule>
    <cfRule type="cellIs" priority="177" operator="lessThan" dxfId="1">
      <formula>0</formula>
    </cfRule>
    <cfRule type="cellIs" priority="176" operator="lessThan" dxfId="1">
      <formula>0</formula>
    </cfRule>
    <cfRule type="cellIs" priority="175" operator="lessThan" dxfId="1">
      <formula>0</formula>
    </cfRule>
    <cfRule type="cellIs" priority="174" operator="lessThan" dxfId="1">
      <formula>0</formula>
    </cfRule>
  </conditionalFormatting>
  <conditionalFormatting sqref="V2:V8 V10">
    <cfRule type="cellIs" priority="190" operator="greaterThan" dxfId="0">
      <formula>0</formula>
    </cfRule>
  </conditionalFormatting>
  <conditionalFormatting sqref="H20">
    <cfRule type="cellIs" priority="187" operator="greaterThan" dxfId="0">
      <formula>0</formula>
    </cfRule>
    <cfRule type="cellIs" priority="188" operator="lessThan" dxfId="1">
      <formula>0</formula>
    </cfRule>
  </conditionalFormatting>
  <conditionalFormatting sqref="W2">
    <cfRule type="cellIs" priority="186" operator="lessThan" dxfId="1">
      <formula>0</formula>
    </cfRule>
    <cfRule type="cellIs" priority="185" operator="greaterThan" dxfId="0">
      <formula>0</formula>
    </cfRule>
  </conditionalFormatting>
  <conditionalFormatting sqref="X2">
    <cfRule type="cellIs" priority="184" operator="lessThan" dxfId="1">
      <formula>0</formula>
    </cfRule>
    <cfRule type="cellIs" priority="183" operator="greaterThan" dxfId="0">
      <formula>0</formula>
    </cfRule>
  </conditionalFormatting>
  <conditionalFormatting sqref="Z2:Z8">
    <cfRule type="cellIs" priority="180" operator="lessThan" dxfId="1">
      <formula>0</formula>
    </cfRule>
    <cfRule type="cellIs" priority="181" operator="greaterThan" dxfId="0">
      <formula>0</formula>
    </cfRule>
  </conditionalFormatting>
  <conditionalFormatting sqref="V3:V8 V10">
    <cfRule type="cellIs" priority="179" operator="lessThan" dxfId="1">
      <formula>0</formula>
    </cfRule>
  </conditionalFormatting>
  <conditionalFormatting sqref="W10">
    <cfRule type="cellIs" priority="161" operator="lessThan" dxfId="1">
      <formula>0</formula>
    </cfRule>
    <cfRule type="cellIs" priority="160" operator="greaterThan" dxfId="0">
      <formula>0</formula>
    </cfRule>
  </conditionalFormatting>
  <conditionalFormatting sqref="V8">
    <cfRule type="cellIs" priority="146" operator="lessThan" dxfId="1">
      <formula>0</formula>
    </cfRule>
    <cfRule type="cellIs" priority="145" operator="lessThan" dxfId="1">
      <formula>0</formula>
    </cfRule>
    <cfRule type="cellIs" priority="144" operator="lessThan" dxfId="1">
      <formula>0</formula>
    </cfRule>
    <cfRule type="cellIs" priority="143" operator="lessThan" dxfId="1">
      <formula>0</formula>
    </cfRule>
    <cfRule type="cellIs" priority="142" operator="lessThan" dxfId="1">
      <formula>0</formula>
    </cfRule>
    <cfRule type="cellIs" priority="46" operator="lessThan" dxfId="1">
      <formula>0</formula>
    </cfRule>
    <cfRule type="cellIs" priority="45" operator="lessThan" dxfId="1">
      <formula>0</formula>
    </cfRule>
    <cfRule type="cellIs" priority="44" operator="lessThan" dxfId="1">
      <formula>0</formula>
    </cfRule>
    <cfRule type="cellIs" priority="43" operator="lessThan" dxfId="1">
      <formula>0</formula>
    </cfRule>
    <cfRule type="cellIs" priority="42" operator="lessThan" dxfId="1">
      <formula>0</formula>
    </cfRule>
    <cfRule type="cellIs" priority="41" operator="lessThan" dxfId="1">
      <formula>0</formula>
    </cfRule>
    <cfRule type="cellIs" priority="26" operator="lessThan" dxfId="1">
      <formula>0</formula>
    </cfRule>
  </conditionalFormatting>
  <conditionalFormatting sqref="V3:V8">
    <cfRule type="cellIs" priority="128" operator="lessThan" dxfId="1">
      <formula>0</formula>
    </cfRule>
    <cfRule type="cellIs" priority="18" operator="lessThan" dxfId="1">
      <formula>0</formula>
    </cfRule>
  </conditionalFormatting>
  <conditionalFormatting sqref="W8">
    <cfRule type="cellIs" priority="125" operator="lessThan" dxfId="1">
      <formula>0</formula>
    </cfRule>
    <cfRule type="cellIs" priority="124" operator="greaterThan" dxfId="0">
      <formula>0</formula>
    </cfRule>
  </conditionalFormatting>
  <conditionalFormatting sqref="I9:U9">
    <cfRule type="cellIs" priority="97" operator="greaterThan" dxfId="0">
      <formula>0.8</formula>
    </cfRule>
    <cfRule type="cellIs" priority="98" operator="between" dxfId="26">
      <formula>0.51</formula>
      <formula>0.8</formula>
    </cfRule>
    <cfRule type="cellIs" priority="99" operator="lessThan" dxfId="1">
      <formula>0.5</formula>
    </cfRule>
  </conditionalFormatting>
  <conditionalFormatting sqref="V71 V78">
    <cfRule type="cellIs" priority="96" operator="lessThan" dxfId="1">
      <formula>0</formula>
    </cfRule>
  </conditionalFormatting>
  <conditionalFormatting sqref="V81:V83">
    <cfRule type="cellIs" priority="94" operator="lessThan" dxfId="1">
      <formula>0</formula>
    </cfRule>
  </conditionalFormatting>
  <conditionalFormatting sqref="W3:W7">
    <cfRule type="cellIs" priority="93" operator="lessThan" dxfId="1">
      <formula>0</formula>
    </cfRule>
    <cfRule type="cellIs" priority="92" operator="greaterThan" dxfId="0">
      <formula>0</formula>
    </cfRule>
  </conditionalFormatting>
  <conditionalFormatting sqref="W11:W12">
    <cfRule type="cellIs" priority="29" operator="lessThan" dxfId="1">
      <formula>0</formula>
    </cfRule>
    <cfRule type="cellIs" priority="28" operator="greaterThan" dxfId="0">
      <formula>0</formula>
    </cfRule>
  </conditionalFormatting>
  <conditionalFormatting sqref="V11:V12">
    <cfRule type="cellIs" priority="13" operator="lessThan" dxfId="1">
      <formula>0</formula>
    </cfRule>
    <cfRule type="cellIs" priority="12" operator="lessThan" dxfId="1">
      <formula>0</formula>
    </cfRule>
    <cfRule type="cellIs" priority="11" operator="lessThan" dxfId="1">
      <formula>0</formula>
    </cfRule>
    <cfRule type="cellIs" priority="10" operator="lessThan" dxfId="1">
      <formula>0</formula>
    </cfRule>
    <cfRule type="cellIs" priority="15" operator="lessThan" dxfId="1">
      <formula>0</formula>
    </cfRule>
    <cfRule type="cellIs" priority="14" operator="greaterThan" dxfId="0">
      <formula>0</formula>
    </cfRule>
    <cfRule type="cellIs" priority="9" operator="lessThan" dxfId="1">
      <formula>0</formula>
    </cfRule>
  </conditionalFormatting>
  <conditionalFormatting sqref="X3:X8">
    <cfRule type="cellIs" priority="17" operator="lessThan" dxfId="1">
      <formula>0</formula>
    </cfRule>
    <cfRule type="cellIs" priority="16" operator="greaterThan" dxfId="0">
      <formula>0</formula>
    </cfRule>
  </conditionalFormatting>
  <conditionalFormatting sqref="V53:V58">
    <cfRule type="cellIs" priority="8" operator="lessThan" dxfId="1">
      <formula>0</formula>
    </cfRule>
  </conditionalFormatting>
  <conditionalFormatting sqref="V72:V77">
    <cfRule type="cellIs" priority="7" operator="lessThan" dxfId="1">
      <formula>0</formula>
    </cfRule>
  </conditionalFormatting>
  <conditionalFormatting sqref="X43:X49">
    <cfRule type="cellIs" priority="5" operator="lessThan" dxfId="1">
      <formula>0</formula>
    </cfRule>
    <cfRule type="cellIs" priority="6" operator="greaterThan" dxfId="0">
      <formula>0</formula>
    </cfRule>
  </conditionalFormatting>
  <conditionalFormatting sqref="V86:V87">
    <cfRule type="cellIs" priority="4" operator="lessThan" dxfId="1">
      <formula>0</formula>
    </cfRule>
  </conditionalFormatting>
  <conditionalFormatting sqref="V88:V89">
    <cfRule type="cellIs" priority="3" operator="lessThan" dxfId="1">
      <formula>0</formula>
    </cfRule>
  </conditionalFormatting>
  <conditionalFormatting sqref="V91:V92">
    <cfRule type="cellIs" priority="2" operator="lessThan" dxfId="1">
      <formula>0</formula>
    </cfRule>
  </conditionalFormatting>
  <conditionalFormatting sqref="V93">
    <cfRule type="cellIs" priority="1" operator="lessThan" dxfId="1">
      <formula>0</formula>
    </cfRule>
  </conditionalFormatting>
  <dataValidations count="1">
    <dataValidation sqref="C2:C10 C12:C15 C17:C22 C24 C30:C53 C55:C56 C105:C141 C143:C188 C190:C248 C251 C253:C308 C315:C346 C349:C374 C376:C384 C386:C413 C415:C418 C421:C425 C427 C429:C430 C432:C454 C456:C490 C493:C504 C506:C535 C537:C589 C592:C626" showDropDown="0" showInputMessage="1" showErrorMessage="1" allowBlank="1" type="list">
      <formula1>$G$1:$G$16</formula1>
    </dataValidation>
  </dataValidations>
  <pageMargins left="0.25" right="0.25" top="0.75" bottom="0.75" header="0.3" footer="0.3"/>
  <pageSetup orientation="landscape" paperSize="9" scale="10"/>
</worksheet>
</file>

<file path=xl/worksheets/sheet18.xml><?xml version="1.0" encoding="utf-8"?>
<worksheet xmlns="http://schemas.openxmlformats.org/spreadsheetml/2006/main">
  <sheetPr>
    <outlinePr summaryBelow="1" summaryRight="1"/>
    <pageSetUpPr/>
  </sheetPr>
  <dimension ref="B2:I18"/>
  <sheetViews>
    <sheetView workbookViewId="0">
      <selection activeCell="D32" sqref="D32"/>
    </sheetView>
  </sheetViews>
  <sheetFormatPr baseColWidth="8" defaultRowHeight="12.75"/>
  <cols>
    <col width="55.6640625" bestFit="1" customWidth="1" style="1232" min="2" max="2"/>
    <col width="73" bestFit="1" customWidth="1" style="1232" min="4" max="4"/>
    <col width="11.53125" customWidth="1" style="1232" min="5" max="5"/>
    <col width="73" bestFit="1" customWidth="1" style="1232" min="7" max="7"/>
    <col width="10" bestFit="1" customWidth="1" style="1232" min="9" max="9"/>
  </cols>
  <sheetData>
    <row r="2" ht="13.15" customHeight="1" s="1232">
      <c r="B2" s="1251" t="inlineStr">
        <is>
          <t>Option A - Pay As You Go</t>
        </is>
      </c>
      <c r="D2" s="1251" t="inlineStr">
        <is>
          <t>Option B - Academy Premium Membership - Monthly Payment</t>
        </is>
      </c>
      <c r="E2" s="1251" t="inlineStr">
        <is>
          <t>Cost</t>
        </is>
      </c>
      <c r="F2" s="1251" t="inlineStr">
        <is>
          <t>Pay</t>
        </is>
      </c>
      <c r="G2" s="1251" t="inlineStr">
        <is>
          <t>Option C - Annual Pick N Mix</t>
        </is>
      </c>
      <c r="H2" s="1251" t="inlineStr">
        <is>
          <t>Cost</t>
        </is>
      </c>
      <c r="I2" s="1251" t="inlineStr">
        <is>
          <t>Pay</t>
        </is>
      </c>
    </row>
    <row r="4" ht="13.15" customHeight="1" s="1232">
      <c r="B4" s="1249" t="inlineStr">
        <is>
          <t>12 x 1hr Zoom Package Paid Up Front</t>
        </is>
      </c>
      <c r="C4" s="1250" t="n">
        <v>450</v>
      </c>
      <c r="D4" s="1249" t="inlineStr">
        <is>
          <t>12 x 60 Monthly Subscription</t>
        </is>
      </c>
      <c r="E4" s="1249" t="n"/>
      <c r="F4" s="1250">
        <f>12*60</f>
        <v/>
      </c>
      <c r="G4" s="1249" t="inlineStr">
        <is>
          <t>Upfront Payment and 20% off Certain Services</t>
        </is>
      </c>
      <c r="H4" s="1249" t="n"/>
      <c r="I4" s="1251" t="n">
        <v>1200</v>
      </c>
    </row>
    <row r="6">
      <c r="B6" s="1249" t="inlineStr">
        <is>
          <t>12 x 1hr Zoom Package Paid as you go</t>
        </is>
      </c>
      <c r="C6" s="1250">
        <f>12*50</f>
        <v/>
      </c>
      <c r="D6" s="1249" t="inlineStr">
        <is>
          <t>12 monthly Power-Up sessions (60-min 1:1 Zoom) — image critiques &amp; troubleshooting</t>
        </is>
      </c>
      <c r="E6" s="1249">
        <f>12*50</f>
        <v/>
      </c>
      <c r="G6" s="1249" t="inlineStr">
        <is>
          <t>12 monthly Power-Up sessions (60-min 1:1 Zoom) — image critiques &amp; troubleshooting</t>
        </is>
      </c>
      <c r="H6" s="1249" t="n">
        <v>450</v>
      </c>
    </row>
    <row r="7">
      <c r="D7" s="1249" t="inlineStr">
        <is>
          <t>4×30-min 1:1 coaching Zooms with Alan — targeted problem-solving</t>
        </is>
      </c>
      <c r="E7" s="1250">
        <f>29*4</f>
        <v/>
      </c>
      <c r="G7" s="1249" t="inlineStr">
        <is>
          <t>4×30-min 1:1 coaching Zooms with Alan — targeted problem-solving</t>
        </is>
      </c>
      <c r="H7" s="1250">
        <f>29*4</f>
        <v/>
      </c>
    </row>
    <row r="8">
      <c r="B8" s="1250" t="inlineStr">
        <is>
          <t>30-min 1:1 coaching Zooms with Alan — targeted problem-solving</t>
        </is>
      </c>
      <c r="C8" s="1250" t="n">
        <v>29</v>
      </c>
    </row>
    <row r="9">
      <c r="D9" s="1249" t="inlineStr">
        <is>
          <t>35 PDFs</t>
        </is>
      </c>
      <c r="E9" s="1250" t="n">
        <v>30</v>
      </c>
      <c r="G9" s="1249" t="inlineStr">
        <is>
          <t>35 PDFs</t>
        </is>
      </c>
      <c r="H9" s="1249" t="inlineStr">
        <is>
          <t>Free</t>
        </is>
      </c>
    </row>
    <row r="10">
      <c r="D10" s="1249" t="inlineStr">
        <is>
          <t>Exams Module</t>
        </is>
      </c>
      <c r="E10" s="1250" t="n">
        <v>20</v>
      </c>
      <c r="G10" s="1249" t="inlineStr">
        <is>
          <t>Exams Module</t>
        </is>
      </c>
      <c r="H10" s="1249" t="inlineStr">
        <is>
          <t>Free</t>
        </is>
      </c>
    </row>
    <row r="11">
      <c r="D11" s="1249" t="inlineStr">
        <is>
          <t>PDF eBook</t>
        </is>
      </c>
      <c r="E11" s="1250" t="n">
        <v>25</v>
      </c>
      <c r="G11" s="1249" t="inlineStr">
        <is>
          <t>PDF eBook</t>
        </is>
      </c>
      <c r="H11" s="1249" t="inlineStr">
        <is>
          <t>Free</t>
        </is>
      </c>
    </row>
    <row r="12">
      <c r="D12" s="1428" t="inlineStr">
        <is>
          <t>12 months of new Academy add-ons — included with Premium</t>
        </is>
      </c>
      <c r="G12" s="1428" t="inlineStr">
        <is>
          <t>12 months of new Academy add-ons — included with Premium</t>
        </is>
      </c>
      <c r="H12" s="1249" t="inlineStr">
        <is>
          <t>Free</t>
        </is>
      </c>
    </row>
    <row r="14">
      <c r="E14" s="1249" t="inlineStr">
        <is>
          <t>:</t>
        </is>
      </c>
      <c r="H14" s="1249" t="inlineStr">
        <is>
          <t>:</t>
        </is>
      </c>
    </row>
    <row r="15" ht="13.15" customHeight="1" s="1232">
      <c r="E15" s="1251">
        <f>SUM(E6:E14)</f>
        <v/>
      </c>
      <c r="H15" s="1251">
        <f>SUM(H6:H14)</f>
        <v/>
      </c>
    </row>
    <row r="17" ht="13.15" customHeight="1" s="1232">
      <c r="G17" s="1251" t="inlineStr">
        <is>
          <t>Balance left on PnM for workshops/events/coaching</t>
        </is>
      </c>
      <c r="I17" s="1251">
        <f>I4-H15</f>
        <v/>
      </c>
    </row>
    <row r="18">
      <c r="G18" s="1249" t="inlineStr">
        <is>
          <t>20% off normal prices on workshops and courses</t>
        </is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>
  <sheetPr>
    <outlinePr summaryBelow="1" summaryRight="1"/>
    <pageSetUpPr/>
  </sheetPr>
  <dimension ref="F4:I44"/>
  <sheetViews>
    <sheetView workbookViewId="0">
      <selection activeCell="K9" sqref="K9"/>
    </sheetView>
  </sheetViews>
  <sheetFormatPr baseColWidth="8" defaultRowHeight="12.75"/>
  <cols>
    <col width="22.86328125" bestFit="1" customWidth="1" style="1232" min="6" max="6"/>
    <col width="10" bestFit="1" customWidth="1" style="1232" min="7" max="7"/>
    <col width="21.59765625" customWidth="1" style="1232" min="9" max="9"/>
  </cols>
  <sheetData>
    <row r="4" ht="13.15" customHeight="1" s="1232">
      <c r="F4" s="1251" t="inlineStr">
        <is>
          <t>Ruby</t>
        </is>
      </c>
      <c r="G4" s="1251" t="inlineStr">
        <is>
          <t>Per Month</t>
        </is>
      </c>
      <c r="H4" s="1251" t="inlineStr">
        <is>
          <t>Per Week</t>
        </is>
      </c>
      <c r="I4" s="1251" t="inlineStr">
        <is>
          <t>Notes</t>
        </is>
      </c>
    </row>
    <row r="5" ht="13.15" customHeight="1" s="1232">
      <c r="F5" s="1251" t="inlineStr">
        <is>
          <t>Income</t>
        </is>
      </c>
    </row>
    <row r="6">
      <c r="F6" s="1249" t="inlineStr">
        <is>
          <t>PIP</t>
        </is>
      </c>
      <c r="G6" s="1429" t="n">
        <v>550</v>
      </c>
      <c r="H6" s="1429">
        <f>G6/4</f>
        <v/>
      </c>
    </row>
    <row r="7">
      <c r="F7" s="1249" t="inlineStr">
        <is>
          <t>UC</t>
        </is>
      </c>
      <c r="G7" s="1429" t="n">
        <v>740</v>
      </c>
      <c r="H7" s="1429">
        <f>G7/4</f>
        <v/>
      </c>
    </row>
    <row r="8">
      <c r="F8" s="1249" t="inlineStr">
        <is>
          <t>Housing Benefit</t>
        </is>
      </c>
      <c r="G8" s="1429" t="n">
        <v>550</v>
      </c>
      <c r="H8" s="1429">
        <f>G8/4</f>
        <v/>
      </c>
      <c r="I8" s="1249" t="inlineStr">
        <is>
          <t>Max Allowance</t>
        </is>
      </c>
    </row>
    <row r="9">
      <c r="F9" s="1249" t="inlineStr">
        <is>
          <t>Work 10hrs pw @ £10phr</t>
        </is>
      </c>
      <c r="G9" s="1429" t="n">
        <v>400</v>
      </c>
      <c r="H9" s="1429">
        <f>G9/4</f>
        <v/>
      </c>
      <c r="I9" s="1249" t="inlineStr">
        <is>
          <t>Max can earn for benefits</t>
        </is>
      </c>
    </row>
    <row r="10" ht="13.5" customHeight="1" s="1232" thickBot="1">
      <c r="G10" s="1430">
        <f>SUM(G6:G9)</f>
        <v/>
      </c>
      <c r="H10" s="1430">
        <f>G10/4</f>
        <v/>
      </c>
    </row>
    <row r="11" ht="13.15" customHeight="1" s="1232">
      <c r="G11" s="1431" t="n"/>
      <c r="H11" s="1431" t="n"/>
    </row>
    <row r="12" ht="13.15" customHeight="1" s="1232">
      <c r="F12" s="1251" t="inlineStr">
        <is>
          <t>Flat Bills</t>
        </is>
      </c>
    </row>
    <row r="13">
      <c r="F13" s="1249" t="inlineStr">
        <is>
          <t>Rent</t>
        </is>
      </c>
      <c r="G13" s="1429" t="n">
        <v>895</v>
      </c>
      <c r="H13" s="1429">
        <f>G13/4</f>
        <v/>
      </c>
    </row>
    <row r="14">
      <c r="F14" s="1249" t="inlineStr">
        <is>
          <t>Council Tax</t>
        </is>
      </c>
      <c r="G14" s="1429" t="n">
        <v>20</v>
      </c>
      <c r="H14" s="1429">
        <f>G14/4</f>
        <v/>
      </c>
      <c r="I14" s="1249" t="inlineStr">
        <is>
          <t>Maybe will be zero</t>
        </is>
      </c>
    </row>
    <row r="15">
      <c r="F15" s="1249" t="inlineStr">
        <is>
          <t>Gas/Electric</t>
        </is>
      </c>
      <c r="G15" s="1429" t="n">
        <v>100</v>
      </c>
      <c r="H15" s="1429">
        <f>G15/4</f>
        <v/>
      </c>
      <c r="I15" s="1249" t="inlineStr">
        <is>
          <t>Check to see if included</t>
        </is>
      </c>
    </row>
    <row r="16">
      <c r="F16" s="1249" t="inlineStr">
        <is>
          <t>Broadband</t>
        </is>
      </c>
      <c r="G16" s="1429" t="n">
        <v>50</v>
      </c>
      <c r="H16" s="1429">
        <f>G16/4</f>
        <v/>
      </c>
      <c r="I16" s="1249" t="inlineStr">
        <is>
          <t>Check to see if included</t>
        </is>
      </c>
    </row>
    <row r="17">
      <c r="F17" s="1249" t="inlineStr">
        <is>
          <t>Mobile</t>
        </is>
      </c>
      <c r="G17" s="1429" t="n">
        <v>25</v>
      </c>
      <c r="H17" s="1429">
        <f>G17/4</f>
        <v/>
      </c>
    </row>
    <row r="18">
      <c r="F18" s="1249" t="inlineStr">
        <is>
          <t>Water</t>
        </is>
      </c>
      <c r="G18" s="1429" t="n">
        <v>20</v>
      </c>
      <c r="H18" s="1429">
        <f>G18/4</f>
        <v/>
      </c>
      <c r="I18" s="1249" t="inlineStr">
        <is>
          <t>Check to see if included</t>
        </is>
      </c>
    </row>
    <row r="19" ht="13.5" customHeight="1" s="1232" thickBot="1">
      <c r="G19" s="1430">
        <f>SUM(G13:G18)</f>
        <v/>
      </c>
      <c r="H19" s="1430">
        <f>SUM(H13:H18)</f>
        <v/>
      </c>
    </row>
    <row r="20" ht="13.15" customHeight="1" s="1232">
      <c r="G20" s="1431" t="n"/>
      <c r="H20" s="1431" t="n"/>
    </row>
    <row r="21" ht="13.15" customHeight="1" s="1232">
      <c r="F21" s="1251" t="inlineStr">
        <is>
          <t>Living Costs</t>
        </is>
      </c>
      <c r="G21" s="1431" t="n"/>
      <c r="H21" s="1431" t="n"/>
    </row>
    <row r="22">
      <c r="F22" s="1249" t="inlineStr">
        <is>
          <t>Food</t>
        </is>
      </c>
      <c r="G22" s="1429" t="n">
        <v>200</v>
      </c>
      <c r="H22" s="1429">
        <f>G22/4</f>
        <v/>
      </c>
    </row>
    <row r="23">
      <c r="F23" s="1249" t="inlineStr">
        <is>
          <t>Household Items</t>
        </is>
      </c>
      <c r="G23" s="1429" t="n">
        <v>25</v>
      </c>
      <c r="H23" s="1429">
        <f>G23/4</f>
        <v/>
      </c>
    </row>
    <row r="24">
      <c r="F24" s="1249" t="inlineStr">
        <is>
          <t>Vapes</t>
        </is>
      </c>
      <c r="G24" s="1429" t="n">
        <v>50</v>
      </c>
      <c r="H24" s="1429">
        <f>G24/4</f>
        <v/>
      </c>
    </row>
    <row r="25">
      <c r="F25" s="1249" t="inlineStr">
        <is>
          <t>Travel</t>
        </is>
      </c>
      <c r="G25" s="1429" t="n">
        <v>100</v>
      </c>
      <c r="H25" s="1429">
        <f>G25/4</f>
        <v/>
      </c>
    </row>
    <row r="26">
      <c r="F26" s="1249" t="inlineStr">
        <is>
          <t>Going Out</t>
        </is>
      </c>
      <c r="G26" s="1429" t="n">
        <v>400</v>
      </c>
      <c r="H26" s="1429">
        <f>G26/4</f>
        <v/>
      </c>
    </row>
    <row r="27">
      <c r="G27" s="1429" t="n"/>
      <c r="H27" s="1429" t="n"/>
    </row>
    <row r="28">
      <c r="G28" s="1429" t="n"/>
      <c r="H28" s="1429" t="n"/>
    </row>
    <row r="29" ht="13.5" customHeight="1" s="1232" thickBot="1">
      <c r="G29" s="1430">
        <f>SUM(G22:G28)</f>
        <v/>
      </c>
      <c r="H29" s="1430">
        <f>SUM(H22:H28)</f>
        <v/>
      </c>
    </row>
    <row r="31" ht="13.5" customHeight="1" s="1232" thickBot="1">
      <c r="F31" s="1251" t="inlineStr">
        <is>
          <t>Total Costs</t>
        </is>
      </c>
      <c r="G31" s="1430">
        <f>G19+G29</f>
        <v/>
      </c>
      <c r="H31" s="1430">
        <f>H19+H29</f>
        <v/>
      </c>
    </row>
    <row r="32" ht="13.15" customHeight="1" s="1232">
      <c r="F32" s="1251" t="n"/>
      <c r="G32" s="1431" t="n"/>
      <c r="H32" s="1431" t="n"/>
    </row>
    <row r="33" ht="13.5" customHeight="1" s="1232" thickBot="1">
      <c r="F33" s="1432" t="inlineStr">
        <is>
          <t>Left Over</t>
        </is>
      </c>
      <c r="G33" s="1430">
        <f>G10-G31</f>
        <v/>
      </c>
      <c r="H33" s="1430">
        <f>H10-H31</f>
        <v/>
      </c>
    </row>
    <row r="35" ht="13.15" customHeight="1" s="1232">
      <c r="F35" s="1251" t="inlineStr">
        <is>
          <t>Extras to Move In</t>
        </is>
      </c>
    </row>
    <row r="36">
      <c r="F36" s="1249" t="inlineStr">
        <is>
          <t>Rent Deposit</t>
        </is>
      </c>
      <c r="G36" s="1429" t="n">
        <v>950</v>
      </c>
      <c r="H36" s="1429" t="n"/>
    </row>
    <row r="37">
      <c r="F37" s="1249" t="inlineStr">
        <is>
          <t>Kitchen</t>
        </is>
      </c>
      <c r="G37" s="1429" t="n">
        <v>100</v>
      </c>
      <c r="H37" s="1429" t="n"/>
    </row>
    <row r="38">
      <c r="F38" s="1249" t="inlineStr">
        <is>
          <t>Bathroom</t>
        </is>
      </c>
      <c r="G38" s="1429" t="n">
        <v>100</v>
      </c>
      <c r="H38" s="1429" t="n"/>
    </row>
    <row r="39">
      <c r="F39" s="1249" t="inlineStr">
        <is>
          <t>Bedroom</t>
        </is>
      </c>
      <c r="G39" s="1429" t="n">
        <v>100</v>
      </c>
      <c r="H39" s="1429" t="n"/>
    </row>
    <row r="40">
      <c r="F40" s="1249" t="inlineStr">
        <is>
          <t>Living Area (TV etc)</t>
        </is>
      </c>
      <c r="G40" s="1429" t="n">
        <v>300</v>
      </c>
      <c r="H40" s="1429" t="n"/>
    </row>
    <row r="41">
      <c r="F41" s="1249" t="n"/>
      <c r="G41" s="1429" t="n"/>
      <c r="H41" s="1429" t="n"/>
    </row>
    <row r="42" ht="13.5" customHeight="1" s="1232" thickBot="1">
      <c r="F42" s="1249" t="n"/>
      <c r="G42" s="1430">
        <f>SUM(G35:G41)</f>
        <v/>
      </c>
      <c r="H42" s="1429" t="n"/>
    </row>
    <row r="43">
      <c r="G43" s="1429" t="n"/>
      <c r="H43" s="1429" t="n"/>
    </row>
    <row r="44">
      <c r="G44" s="1429" t="n"/>
      <c r="H44" s="1429" t="n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>
  <sheetPr>
    <outlinePr summaryBelow="1" summaryRight="1"/>
    <pageSetUpPr/>
  </sheetPr>
  <dimension ref="A1:AD186"/>
  <sheetViews>
    <sheetView workbookViewId="0">
      <pane xSplit="8" ySplit="2" topLeftCell="I3" activePane="bottomRight" state="frozen"/>
      <selection pane="topRight" activeCell="H1" sqref="H1"/>
      <selection pane="bottomLeft" activeCell="A3" sqref="A3"/>
      <selection pane="bottomRight" activeCell="T24" sqref="T24"/>
    </sheetView>
  </sheetViews>
  <sheetFormatPr baseColWidth="8" defaultColWidth="9.1328125" defaultRowHeight="12.75"/>
  <cols>
    <col width="28.53125" customWidth="1" style="1433" min="1" max="1"/>
    <col width="25.6640625" customWidth="1" style="1433" min="2" max="2"/>
    <col width="12" bestFit="1" customWidth="1" style="1433" min="3" max="3"/>
    <col width="12.53125" bestFit="1" customWidth="1" style="1433" min="4" max="4"/>
    <col width="10.1328125" customWidth="1" style="1433" min="5" max="5"/>
    <col width="11.53125" customWidth="1" style="1433" min="6" max="6"/>
    <col width="7.33203125" customWidth="1" style="1433" min="7" max="7"/>
    <col width="28.796875" bestFit="1" customWidth="1" style="1433" min="8" max="8"/>
    <col width="8.46484375" bestFit="1" customWidth="1" style="1433" min="9" max="9"/>
    <col width="12.33203125" customWidth="1" style="1433" min="10" max="10"/>
    <col width="10.53125" customWidth="1" style="1433" min="11" max="22"/>
    <col width="10.19921875" bestFit="1" customWidth="1" style="1433" min="23" max="28"/>
    <col width="9.1328125" customWidth="1" style="1433" min="29" max="29"/>
    <col width="10.19921875" bestFit="1" customWidth="1" style="1433" min="30" max="30"/>
    <col width="9.1328125" customWidth="1" style="1433" min="31" max="16384"/>
  </cols>
  <sheetData>
    <row r="1" ht="13.15" customHeight="1" s="1232">
      <c r="D1" s="1249" t="inlineStr">
        <is>
          <t>Monthly Real</t>
        </is>
      </c>
      <c r="E1" s="1434" t="inlineStr">
        <is>
          <t>PayPlan</t>
        </is>
      </c>
      <c r="F1" s="1434" t="n"/>
    </row>
    <row r="2" ht="13.15" customHeight="1" s="1232">
      <c r="A2" s="1433" t="inlineStr">
        <is>
          <t>Item</t>
        </is>
      </c>
      <c r="D2" s="1434" t="inlineStr">
        <is>
          <t>Amount</t>
        </is>
      </c>
      <c r="E2" s="1434" t="inlineStr">
        <is>
          <t>Amount</t>
        </is>
      </c>
      <c r="F2" s="1434" t="n"/>
      <c r="J2" s="1434" t="inlineStr">
        <is>
          <t>Total</t>
        </is>
      </c>
      <c r="K2" s="1435" t="n">
        <v>45877</v>
      </c>
      <c r="L2" s="1436">
        <f>K2+7</f>
        <v/>
      </c>
      <c r="M2" s="1436">
        <f>L2+7</f>
        <v/>
      </c>
      <c r="N2" s="1436">
        <f>M2+7</f>
        <v/>
      </c>
      <c r="O2" s="1436">
        <f>N2+7</f>
        <v/>
      </c>
      <c r="P2" s="1436">
        <f>O2+7</f>
        <v/>
      </c>
      <c r="Q2" s="1436">
        <f>P2+7</f>
        <v/>
      </c>
      <c r="R2" s="1436">
        <f>Q2+7</f>
        <v/>
      </c>
      <c r="S2" s="1436" t="n">
        <v>45961</v>
      </c>
      <c r="T2" s="1436">
        <f>S2+30</f>
        <v/>
      </c>
      <c r="U2" s="1436">
        <f>T2+30</f>
        <v/>
      </c>
      <c r="V2" s="1436">
        <f>U2+31</f>
        <v/>
      </c>
      <c r="W2" s="1436">
        <f>V2+30</f>
        <v/>
      </c>
      <c r="X2" s="1436">
        <f>W2+29</f>
        <v/>
      </c>
      <c r="Y2" s="1436">
        <f>X2+30</f>
        <v/>
      </c>
      <c r="Z2" s="1436">
        <f>Y2+30</f>
        <v/>
      </c>
      <c r="AA2" s="1436">
        <f>Z2+30</f>
        <v/>
      </c>
      <c r="AB2" s="1436">
        <f>AA2+30</f>
        <v/>
      </c>
      <c r="AC2" s="1436">
        <f>AB2+30</f>
        <v/>
      </c>
      <c r="AD2" s="1436">
        <f>AC2+30</f>
        <v/>
      </c>
    </row>
    <row r="3" ht="13.15" customHeight="1" s="1232">
      <c r="C3" s="1434" t="inlineStr">
        <is>
          <t>Projected</t>
        </is>
      </c>
      <c r="D3" s="1437" t="inlineStr">
        <is>
          <t>YTD Actual</t>
        </is>
      </c>
      <c r="K3" s="681" t="n"/>
      <c r="L3" s="681" t="n"/>
      <c r="M3" s="681" t="n"/>
      <c r="N3" s="681" t="n"/>
      <c r="O3" s="681" t="n"/>
      <c r="P3" s="681" t="n"/>
      <c r="Q3" s="681" t="n"/>
      <c r="R3" s="681" t="n"/>
      <c r="T3" s="681" t="n"/>
      <c r="U3" s="681" t="n"/>
      <c r="V3" s="681" t="n"/>
      <c r="W3" s="681" t="n"/>
      <c r="X3" s="681" t="n"/>
      <c r="Y3" s="681" t="n"/>
      <c r="Z3" s="681" t="n"/>
      <c r="AA3" s="681" t="n"/>
      <c r="AB3" s="681" t="n"/>
      <c r="AC3" s="681" t="n"/>
      <c r="AD3" s="681" t="n"/>
    </row>
    <row r="4" ht="13.15" customHeight="1" s="1232">
      <c r="A4" s="1433" t="inlineStr">
        <is>
          <t>Sales</t>
        </is>
      </c>
      <c r="B4" s="1249" t="inlineStr">
        <is>
          <t>Current Monthly Average Sales</t>
        </is>
      </c>
      <c r="C4" s="1438">
        <f>C5/12</f>
        <v/>
      </c>
      <c r="D4" s="681">
        <f>'Sales 2024'!AB18</f>
        <v/>
      </c>
      <c r="E4" s="681" t="n"/>
      <c r="F4" s="1249" t="inlineStr">
        <is>
          <t>YTD average</t>
        </is>
      </c>
      <c r="G4" s="1249" t="n"/>
      <c r="H4" s="1251" t="inlineStr">
        <is>
          <t>Additional Expenses</t>
        </is>
      </c>
      <c r="I4" s="1251" t="n"/>
      <c r="J4" s="689">
        <f>SUM(K4:Y4)</f>
        <v/>
      </c>
      <c r="K4" s="681" t="n"/>
      <c r="L4" s="681" t="n"/>
      <c r="M4" s="681" t="n"/>
      <c r="N4" s="681" t="n"/>
      <c r="O4" s="681" t="n"/>
      <c r="P4" s="681" t="n"/>
      <c r="Q4" s="681" t="n"/>
      <c r="R4" s="681" t="n"/>
      <c r="S4" s="681" t="n"/>
      <c r="T4" s="681" t="n"/>
      <c r="U4" s="681" t="n"/>
      <c r="V4" s="681" t="n"/>
      <c r="W4" s="681" t="n"/>
      <c r="X4" s="681" t="n"/>
      <c r="Y4" s="681" t="n"/>
      <c r="Z4" s="681" t="n"/>
      <c r="AA4" s="681" t="n"/>
      <c r="AB4" s="681" t="n"/>
      <c r="AC4" s="681" t="n"/>
      <c r="AD4" s="681" t="n"/>
    </row>
    <row r="5" ht="13.15" customHeight="1" s="1232">
      <c r="A5" s="1249" t="inlineStr">
        <is>
          <t>Sales Decline Adjustment</t>
        </is>
      </c>
      <c r="B5" s="1249" t="inlineStr">
        <is>
          <t>Projected Revenue</t>
        </is>
      </c>
      <c r="C5" s="1013" t="n">
        <v>45000</v>
      </c>
      <c r="D5" s="958">
        <f>'Sales 2024'!AB36</f>
        <v/>
      </c>
      <c r="E5" s="681" t="n"/>
      <c r="H5" s="1249" t="inlineStr">
        <is>
          <t>Website Development</t>
        </is>
      </c>
      <c r="I5" s="1249" t="n"/>
      <c r="J5" s="689">
        <f>SUM(K5:Y5)</f>
        <v/>
      </c>
      <c r="K5" s="681" t="n"/>
      <c r="L5" s="681" t="n"/>
      <c r="M5" s="681" t="n"/>
      <c r="N5" s="681" t="n"/>
      <c r="O5" s="681" t="n"/>
      <c r="P5" s="681" t="n"/>
      <c r="Q5" s="681" t="n"/>
      <c r="R5" s="681" t="n"/>
      <c r="S5" s="681" t="n"/>
      <c r="T5" s="681" t="n"/>
      <c r="U5" s="681" t="n"/>
      <c r="V5" s="681" t="n"/>
      <c r="W5" s="681" t="n"/>
      <c r="X5" s="681" t="n"/>
      <c r="Y5" s="681" t="n"/>
      <c r="Z5" s="681" t="n"/>
      <c r="AA5" s="681" t="n"/>
      <c r="AB5" s="681" t="n"/>
      <c r="AC5" s="681" t="n"/>
      <c r="AD5" s="681" t="n"/>
    </row>
    <row r="6" ht="13.5" customHeight="1" s="1232" thickBot="1">
      <c r="A6" s="1249" t="inlineStr">
        <is>
          <t>Gross Profit Per Month</t>
        </is>
      </c>
      <c r="B6" s="956" t="n">
        <v>0.7</v>
      </c>
      <c r="C6" s="1010">
        <f>C5*B6/12</f>
        <v/>
      </c>
      <c r="D6" s="1010">
        <f>'Sales 2024'!W20/'Sales 2024'!AB3</f>
        <v/>
      </c>
      <c r="E6" s="958">
        <f>D6/1.35</f>
        <v/>
      </c>
      <c r="F6" s="1249" t="inlineStr">
        <is>
          <t>Gross Profit</t>
        </is>
      </c>
      <c r="G6" s="1249" t="n"/>
      <c r="H6" s="1249" t="inlineStr">
        <is>
          <t>Birthdays/Christmas</t>
        </is>
      </c>
      <c r="I6" s="1249" t="n"/>
      <c r="J6" s="689">
        <f>SUM(K6:Y6)</f>
        <v/>
      </c>
      <c r="K6" s="681" t="n"/>
      <c r="L6" s="681" t="n"/>
      <c r="M6" s="681" t="n"/>
      <c r="N6" s="681" t="n"/>
      <c r="O6" s="681" t="n"/>
      <c r="P6" s="681" t="n"/>
      <c r="Q6" s="681" t="n"/>
      <c r="R6" s="681" t="n"/>
      <c r="S6" s="681" t="n"/>
      <c r="T6" s="681" t="n"/>
      <c r="U6" s="681" t="n">
        <v>500</v>
      </c>
      <c r="V6" s="681" t="n"/>
      <c r="W6" s="681" t="n"/>
      <c r="Y6" s="681" t="n"/>
      <c r="Z6" s="681" t="n"/>
      <c r="AA6" s="681" t="n"/>
      <c r="AB6" s="681" t="n"/>
      <c r="AC6" s="681" t="n"/>
      <c r="AD6" s="681" t="n"/>
    </row>
    <row r="7" ht="13.15" customHeight="1" s="1232" thickTop="1">
      <c r="A7" s="1433" t="inlineStr">
        <is>
          <t>Other</t>
        </is>
      </c>
      <c r="D7" s="956">
        <f>D6/D4</f>
        <v/>
      </c>
      <c r="E7" s="681" t="n"/>
      <c r="F7" s="1433" t="inlineStr">
        <is>
          <t>WTC</t>
        </is>
      </c>
      <c r="H7" s="1249" t="inlineStr">
        <is>
          <t>House Improvements</t>
        </is>
      </c>
      <c r="I7" s="1249" t="n"/>
      <c r="J7" s="689">
        <f>SUM(K7:Y7)</f>
        <v/>
      </c>
      <c r="K7" s="681" t="n"/>
      <c r="L7" s="681" t="n"/>
      <c r="M7" s="681" t="n"/>
      <c r="N7" s="681" t="n"/>
      <c r="O7" s="681" t="n"/>
      <c r="P7" s="681" t="n"/>
      <c r="S7" s="681" t="n"/>
      <c r="T7" s="681" t="n">
        <v>7000</v>
      </c>
      <c r="U7" s="681" t="n"/>
      <c r="V7" s="681" t="n"/>
      <c r="W7" s="681" t="n"/>
      <c r="Y7" s="681" t="n"/>
      <c r="Z7" s="681" t="n"/>
      <c r="AA7" s="681" t="n"/>
      <c r="AB7" s="681" t="n"/>
      <c r="AC7" s="681" t="n"/>
      <c r="AD7" s="681" t="n"/>
    </row>
    <row r="8">
      <c r="A8" s="1249" t="n"/>
      <c r="B8" s="1249" t="n"/>
      <c r="C8" s="1249" t="n"/>
      <c r="D8" s="681" t="n">
        <v>0</v>
      </c>
      <c r="E8" s="681" t="n">
        <v>0</v>
      </c>
      <c r="H8" s="1249" t="inlineStr">
        <is>
          <t>Hotels &amp; Event Costs</t>
        </is>
      </c>
      <c r="I8" s="1249" t="n"/>
      <c r="J8" s="689">
        <f>SUM(K8:Y8)</f>
        <v/>
      </c>
      <c r="K8" s="681" t="n"/>
      <c r="M8" s="681" t="n"/>
      <c r="N8" s="681" t="n"/>
      <c r="O8" s="681" t="n"/>
      <c r="Q8" s="681">
        <f>465+465+328</f>
        <v/>
      </c>
      <c r="R8" s="681" t="n">
        <v>780</v>
      </c>
      <c r="S8" s="681" t="n"/>
      <c r="T8" s="681" t="n"/>
      <c r="U8" s="681" t="n"/>
      <c r="V8" s="681" t="n"/>
      <c r="W8" s="681" t="n">
        <v>400</v>
      </c>
      <c r="Y8" s="681" t="n"/>
      <c r="Z8" s="681" t="n"/>
      <c r="AA8" s="681" t="n"/>
      <c r="AB8" s="681" t="n"/>
      <c r="AC8" s="681" t="n"/>
      <c r="AD8" s="681" t="n"/>
    </row>
    <row r="9" ht="13.15" customHeight="1" s="1232">
      <c r="A9" s="1439" t="inlineStr">
        <is>
          <t>Income</t>
        </is>
      </c>
      <c r="B9" s="1439" t="n"/>
      <c r="C9" s="958">
        <f>C6</f>
        <v/>
      </c>
      <c r="D9" s="958">
        <f>D7+D6+D8</f>
        <v/>
      </c>
      <c r="E9" s="958">
        <f>E7+E6+E8</f>
        <v/>
      </c>
      <c r="H9" s="1249" t="inlineStr">
        <is>
          <t>Other</t>
        </is>
      </c>
      <c r="I9" s="1249" t="n"/>
      <c r="J9" s="689">
        <f>SUM(K9:Y9)</f>
        <v/>
      </c>
      <c r="K9" s="681" t="n"/>
      <c r="M9" s="681" t="n"/>
      <c r="N9" s="681" t="n"/>
      <c r="O9" s="681" t="n"/>
      <c r="P9" s="681" t="n"/>
      <c r="Q9" s="681" t="n"/>
      <c r="R9" s="681" t="n"/>
      <c r="S9" s="681" t="n"/>
      <c r="T9" s="681" t="n"/>
      <c r="U9" s="681" t="n"/>
      <c r="V9" s="681" t="n"/>
      <c r="W9" s="681" t="n"/>
      <c r="X9" s="681" t="n"/>
      <c r="Y9" s="681" t="n"/>
      <c r="Z9" s="681" t="n"/>
      <c r="AA9" s="681" t="n"/>
      <c r="AB9" s="681" t="n"/>
      <c r="AC9" s="681" t="n"/>
      <c r="AD9" s="681" t="n"/>
    </row>
    <row r="10">
      <c r="B10" s="1249" t="inlineStr">
        <is>
          <t>Per Hour</t>
        </is>
      </c>
      <c r="C10" s="1440">
        <f>C9/160</f>
        <v/>
      </c>
      <c r="D10" s="1440">
        <f>D9/160</f>
        <v/>
      </c>
      <c r="E10" s="1440">
        <f>E9/160</f>
        <v/>
      </c>
      <c r="H10" s="1249" t="inlineStr">
        <is>
          <t>Car Hire</t>
        </is>
      </c>
      <c r="I10" s="1249" t="n"/>
      <c r="J10" s="689">
        <f>SUM(K10:Y10)</f>
        <v/>
      </c>
      <c r="K10" s="681" t="n"/>
      <c r="L10" s="681" t="n"/>
      <c r="M10" s="681" t="n"/>
      <c r="N10" s="681" t="n"/>
      <c r="O10" s="681" t="n"/>
      <c r="P10" s="681" t="n"/>
      <c r="Q10" s="681" t="n"/>
      <c r="R10" s="681" t="n"/>
      <c r="S10" s="681" t="n"/>
      <c r="T10" s="681" t="n"/>
      <c r="U10" s="681" t="n"/>
      <c r="V10" s="681" t="n"/>
      <c r="W10" s="681" t="n"/>
      <c r="X10" s="681" t="n"/>
      <c r="Y10" s="681" t="n"/>
      <c r="Z10" s="681" t="n"/>
      <c r="AA10" s="681" t="n"/>
      <c r="AB10" s="681" t="n"/>
      <c r="AC10" s="681" t="n"/>
      <c r="AD10" s="681" t="n"/>
    </row>
    <row r="11">
      <c r="A11" s="1441" t="n"/>
      <c r="B11" s="1441" t="n"/>
      <c r="C11" s="1442" t="n"/>
      <c r="D11" s="1442" t="n"/>
      <c r="E11" s="1019" t="n"/>
      <c r="F11" s="1020" t="n"/>
      <c r="G11" s="956" t="n"/>
      <c r="H11" s="1249" t="n"/>
      <c r="I11" s="1249" t="n"/>
      <c r="J11" s="689">
        <f>SUM(K11:Y11)</f>
        <v/>
      </c>
      <c r="L11" s="681" t="n"/>
      <c r="M11" s="681" t="n"/>
      <c r="N11" s="681" t="n"/>
      <c r="O11" s="681" t="n"/>
      <c r="P11" s="681" t="n"/>
      <c r="Q11" s="681" t="n"/>
      <c r="R11" s="681" t="n"/>
      <c r="S11" s="681" t="n"/>
      <c r="T11" s="681" t="n"/>
      <c r="U11" s="681" t="n"/>
      <c r="V11" s="681" t="n"/>
      <c r="W11" s="681" t="n"/>
      <c r="X11" s="681" t="n"/>
      <c r="Y11" s="681" t="n"/>
      <c r="Z11" s="681" t="n"/>
      <c r="AA11" s="681" t="n"/>
      <c r="AB11" s="681" t="n"/>
      <c r="AC11" s="681" t="n"/>
      <c r="AD11" s="681" t="n"/>
    </row>
    <row r="12" ht="13.5" customHeight="1" s="1232" thickBot="1">
      <c r="A12" s="1433" t="inlineStr">
        <is>
          <t>Council Tax</t>
        </is>
      </c>
      <c r="C12" s="1249" t="inlineStr">
        <is>
          <t>24th</t>
        </is>
      </c>
      <c r="D12" s="681" t="n">
        <v>54</v>
      </c>
      <c r="E12" s="681" t="n">
        <v>65</v>
      </c>
      <c r="F12" s="1443">
        <f>D12/$D$103</f>
        <v/>
      </c>
      <c r="G12" s="956" t="n"/>
      <c r="H12" s="1444" t="inlineStr">
        <is>
          <t>Monthly Expenses</t>
        </is>
      </c>
      <c r="I12" s="1444" t="n"/>
      <c r="J12" s="687">
        <f>SUM(J4:J11)</f>
        <v/>
      </c>
      <c r="K12" s="687">
        <f>SUM(K3:K11)</f>
        <v/>
      </c>
      <c r="L12" s="687">
        <f>SUM(L3:L11)</f>
        <v/>
      </c>
      <c r="M12" s="687">
        <f>SUM(M3:M11)</f>
        <v/>
      </c>
      <c r="N12" s="687">
        <f>SUM(N3:N11)</f>
        <v/>
      </c>
      <c r="O12" s="687">
        <f>SUM(O3:O11)</f>
        <v/>
      </c>
      <c r="P12" s="687">
        <f>SUM(P3:P11)</f>
        <v/>
      </c>
      <c r="Q12" s="687">
        <f>SUM(Q3:Q11)</f>
        <v/>
      </c>
      <c r="R12" s="687" t="n"/>
      <c r="S12" s="687">
        <f>SUM(S3:S11)</f>
        <v/>
      </c>
      <c r="T12" s="687">
        <f>SUM(T3:T11)</f>
        <v/>
      </c>
      <c r="U12" s="687">
        <f>SUM(U3:U11)</f>
        <v/>
      </c>
      <c r="V12" s="687">
        <f>SUM(V3:V11)</f>
        <v/>
      </c>
      <c r="W12" s="687">
        <f>SUM(W3:W11)</f>
        <v/>
      </c>
      <c r="X12" s="687">
        <f>SUM(X3:X11)</f>
        <v/>
      </c>
      <c r="Y12" s="687">
        <f>SUM(Y3:Y11)</f>
        <v/>
      </c>
      <c r="Z12" s="687">
        <f>SUM(Z3:Z11)</f>
        <v/>
      </c>
      <c r="AA12" s="687">
        <f>SUM(AA3:AA11)</f>
        <v/>
      </c>
      <c r="AB12" s="687">
        <f>SUM(AB3:AB11)</f>
        <v/>
      </c>
      <c r="AC12" s="687">
        <f>SUM(AC3:AC11)</f>
        <v/>
      </c>
      <c r="AD12" s="687">
        <f>SUM(AD3:AD11)</f>
        <v/>
      </c>
    </row>
    <row r="13" ht="13.15" customHeight="1" s="1232">
      <c r="A13" s="1433" t="inlineStr">
        <is>
          <t>Water Rates</t>
        </is>
      </c>
      <c r="C13" s="1249" t="inlineStr">
        <is>
          <t>29th</t>
        </is>
      </c>
      <c r="D13" s="681" t="n">
        <v>28.44</v>
      </c>
      <c r="E13" s="681" t="n">
        <v>28.44</v>
      </c>
      <c r="F13" s="1443">
        <f>D13/$D$103</f>
        <v/>
      </c>
      <c r="G13" s="956" t="n"/>
      <c r="H13" s="1251" t="inlineStr">
        <is>
          <t>Household Expenses</t>
        </is>
      </c>
      <c r="I13" s="1251" t="n"/>
      <c r="K13" s="681" t="n"/>
      <c r="L13" s="681" t="n"/>
      <c r="M13" s="681" t="n"/>
      <c r="N13" s="681" t="n"/>
      <c r="O13" s="681" t="n"/>
      <c r="P13" s="681" t="n"/>
      <c r="Q13" s="681" t="n"/>
      <c r="R13" s="681" t="n"/>
      <c r="S13" s="681" t="n"/>
      <c r="T13" s="681" t="n"/>
      <c r="Y13" s="681" t="n"/>
      <c r="Z13" s="681" t="n"/>
      <c r="AA13" s="681" t="n"/>
      <c r="AB13" s="681" t="n"/>
      <c r="AC13" s="681" t="n"/>
      <c r="AD13" s="681" t="n"/>
    </row>
    <row r="14">
      <c r="A14" s="1433" t="inlineStr">
        <is>
          <t>Gas/Electric</t>
        </is>
      </c>
      <c r="C14" s="1249" t="inlineStr">
        <is>
          <t>1st</t>
        </is>
      </c>
      <c r="D14" s="681" t="n">
        <v>150</v>
      </c>
      <c r="E14" s="681" t="n">
        <v>250</v>
      </c>
      <c r="F14" s="1443">
        <f>D14/$D$103</f>
        <v/>
      </c>
      <c r="G14" s="956" t="n"/>
      <c r="H14" s="1445" t="inlineStr">
        <is>
          <t>Bank Loan</t>
        </is>
      </c>
      <c r="I14" s="1249" t="inlineStr">
        <is>
          <t>5th</t>
        </is>
      </c>
      <c r="J14" s="689">
        <f>SUM(K14:AD14)</f>
        <v/>
      </c>
      <c r="K14" s="681" t="n"/>
      <c r="L14" s="681" t="n"/>
      <c r="M14" s="681" t="n"/>
      <c r="N14" s="681" t="n"/>
      <c r="O14" s="681" t="n"/>
      <c r="P14" s="681" t="n"/>
      <c r="Q14" s="681" t="n"/>
      <c r="R14" s="681" t="n"/>
      <c r="S14" s="681" t="n">
        <v>339</v>
      </c>
      <c r="T14" s="681" t="n">
        <v>339</v>
      </c>
      <c r="U14" s="681" t="n">
        <v>339</v>
      </c>
      <c r="V14" s="681" t="n">
        <v>339</v>
      </c>
      <c r="W14" s="681" t="n">
        <v>339</v>
      </c>
      <c r="X14" s="681" t="n">
        <v>339</v>
      </c>
      <c r="Y14" s="681" t="n">
        <v>339</v>
      </c>
      <c r="Z14" s="681" t="n">
        <v>339</v>
      </c>
      <c r="AA14" s="681" t="n">
        <v>339</v>
      </c>
      <c r="AB14" s="681" t="n">
        <v>339</v>
      </c>
      <c r="AC14" s="681" t="n">
        <v>339</v>
      </c>
    </row>
    <row r="15">
      <c r="A15" s="1433" t="inlineStr">
        <is>
          <t>Denplan</t>
        </is>
      </c>
      <c r="C15" s="1249" t="inlineStr">
        <is>
          <t>1st</t>
        </is>
      </c>
      <c r="D15" s="681" t="n">
        <v>0</v>
      </c>
      <c r="E15" s="681" t="n">
        <v>15</v>
      </c>
      <c r="F15" s="1443">
        <f>D15/$D$103</f>
        <v/>
      </c>
      <c r="G15" s="956" t="n"/>
      <c r="H15" s="1433" t="inlineStr">
        <is>
          <t>Council Tax</t>
        </is>
      </c>
      <c r="I15" s="1249" t="inlineStr">
        <is>
          <t>3rd</t>
        </is>
      </c>
      <c r="J15" s="689">
        <f>SUM(K15:AD15)</f>
        <v/>
      </c>
      <c r="K15" s="681" t="n"/>
      <c r="L15" s="681" t="n"/>
      <c r="M15" s="681" t="n"/>
      <c r="N15" s="681" t="n"/>
      <c r="O15" s="681" t="n"/>
      <c r="P15" s="681" t="n"/>
      <c r="Q15" s="681" t="n"/>
      <c r="R15" s="681" t="n"/>
      <c r="S15" s="681" t="n">
        <v>56</v>
      </c>
      <c r="T15" s="681" t="n">
        <v>56</v>
      </c>
      <c r="U15" s="681" t="n">
        <v>56</v>
      </c>
      <c r="V15" s="681" t="n">
        <v>56</v>
      </c>
      <c r="W15" s="681" t="n">
        <v>56</v>
      </c>
      <c r="X15" s="681" t="n">
        <v>56</v>
      </c>
      <c r="Y15" s="681" t="n">
        <v>56</v>
      </c>
      <c r="Z15" s="681" t="n">
        <v>56</v>
      </c>
      <c r="AA15" s="681" t="n">
        <v>56</v>
      </c>
      <c r="AB15" s="681" t="n">
        <v>56</v>
      </c>
      <c r="AC15" s="681" t="n">
        <v>56</v>
      </c>
    </row>
    <row r="16">
      <c r="C16" s="1249" t="inlineStr">
        <is>
          <t>26th</t>
        </is>
      </c>
      <c r="D16" s="681" t="n"/>
      <c r="E16" s="681" t="n">
        <v>68</v>
      </c>
      <c r="F16" s="1443">
        <f>D16/$D$103</f>
        <v/>
      </c>
      <c r="G16" s="956" t="n"/>
      <c r="H16" s="1249" t="inlineStr">
        <is>
          <t>Water Rates (Apr-Nov)</t>
        </is>
      </c>
      <c r="I16" s="1249" t="inlineStr">
        <is>
          <t>27th</t>
        </is>
      </c>
      <c r="J16" s="689">
        <f>SUM(K16:AD16)</f>
        <v/>
      </c>
      <c r="K16" s="681" t="n"/>
      <c r="L16" s="681" t="n"/>
      <c r="M16" s="681" t="n"/>
      <c r="N16" s="681" t="n"/>
      <c r="O16" s="681" t="n"/>
      <c r="P16" s="681" t="n"/>
      <c r="Q16" s="681" t="n"/>
      <c r="R16" s="681" t="n">
        <v>28</v>
      </c>
      <c r="S16" s="681" t="n">
        <v>28.44</v>
      </c>
      <c r="T16" s="681" t="n">
        <v>28.44</v>
      </c>
      <c r="U16" s="681" t="n">
        <v>28.44</v>
      </c>
      <c r="V16" s="681" t="n">
        <v>28.44</v>
      </c>
      <c r="W16" s="681" t="n">
        <v>28.44</v>
      </c>
      <c r="X16" s="681" t="n">
        <v>28.44</v>
      </c>
      <c r="Y16" s="681" t="n">
        <v>28.44</v>
      </c>
      <c r="Z16" s="681" t="n">
        <v>28.44</v>
      </c>
      <c r="AA16" s="681" t="n">
        <v>28.44</v>
      </c>
      <c r="AB16" s="681" t="n">
        <v>28.44</v>
      </c>
      <c r="AC16" s="681" t="n">
        <v>28.44</v>
      </c>
    </row>
    <row r="17">
      <c r="A17" s="1433" t="inlineStr">
        <is>
          <t>Home Insurance</t>
        </is>
      </c>
      <c r="C17" s="1249" t="inlineStr">
        <is>
          <t>8th</t>
        </is>
      </c>
      <c r="D17" s="681" t="n">
        <v>24</v>
      </c>
      <c r="E17" s="681" t="n">
        <v>27</v>
      </c>
      <c r="F17" s="1443">
        <f>D17/$D$103</f>
        <v/>
      </c>
      <c r="G17" s="956" t="n"/>
      <c r="H17" s="1433" t="inlineStr">
        <is>
          <t>Gas/Electric</t>
        </is>
      </c>
      <c r="I17" s="1249" t="inlineStr">
        <is>
          <t>15th</t>
        </is>
      </c>
      <c r="J17" s="689">
        <f>SUM(K17:AD17)</f>
        <v/>
      </c>
      <c r="K17" s="681" t="n"/>
      <c r="L17" s="681" t="n"/>
      <c r="M17" s="681" t="n"/>
      <c r="N17" s="681" t="n"/>
      <c r="O17" s="681" t="n"/>
      <c r="P17" s="681" t="n">
        <v>100</v>
      </c>
      <c r="Q17" s="681" t="n"/>
      <c r="R17" s="681" t="n"/>
      <c r="S17" s="681" t="n">
        <v>250</v>
      </c>
      <c r="T17" s="681" t="n">
        <v>250</v>
      </c>
      <c r="U17" s="681" t="n">
        <v>300</v>
      </c>
      <c r="V17" s="681" t="n">
        <v>300</v>
      </c>
      <c r="W17" s="681" t="n">
        <v>300</v>
      </c>
      <c r="X17" s="681" t="n">
        <v>250</v>
      </c>
      <c r="Y17" s="681" t="n">
        <v>75</v>
      </c>
      <c r="Z17" s="681" t="n">
        <v>75</v>
      </c>
      <c r="AA17" s="681" t="n">
        <v>75</v>
      </c>
      <c r="AB17" s="681" t="n">
        <v>75</v>
      </c>
      <c r="AC17" s="681" t="n">
        <v>75</v>
      </c>
    </row>
    <row r="18">
      <c r="A18" s="1433" t="inlineStr">
        <is>
          <t>Car Insurance</t>
        </is>
      </c>
      <c r="C18" s="1249" t="inlineStr">
        <is>
          <t>28th</t>
        </is>
      </c>
      <c r="D18" s="576" t="n">
        <v>48</v>
      </c>
      <c r="E18" s="576" t="n">
        <v>64.28</v>
      </c>
      <c r="F18" s="1443">
        <f>D18/$D$103</f>
        <v/>
      </c>
      <c r="G18" s="956" t="n"/>
      <c r="H18" s="1446" t="inlineStr">
        <is>
          <t>Aqua Credit Card</t>
        </is>
      </c>
      <c r="I18" s="1249" t="inlineStr">
        <is>
          <t>15th</t>
        </is>
      </c>
      <c r="J18" s="689">
        <f>SUM(K18:AD18)</f>
        <v/>
      </c>
      <c r="K18" s="681" t="n"/>
      <c r="L18" s="681" t="n"/>
      <c r="M18" s="681" t="n"/>
      <c r="N18" s="681" t="n"/>
      <c r="O18" s="681" t="n"/>
      <c r="P18" s="681" t="n">
        <v>160</v>
      </c>
      <c r="Q18" s="681" t="n"/>
      <c r="R18" s="681" t="n"/>
      <c r="S18" s="681" t="n">
        <v>160</v>
      </c>
      <c r="T18" s="681" t="n">
        <v>160</v>
      </c>
      <c r="U18" s="681" t="n">
        <v>160</v>
      </c>
      <c r="V18" s="681" t="n">
        <v>160</v>
      </c>
      <c r="W18" s="681" t="n">
        <v>160</v>
      </c>
      <c r="X18" s="681" t="n">
        <v>160</v>
      </c>
      <c r="Y18" s="681" t="n">
        <v>160</v>
      </c>
      <c r="Z18" s="681" t="n">
        <v>160</v>
      </c>
      <c r="AA18" s="681" t="n">
        <v>160</v>
      </c>
      <c r="AB18" s="681" t="n">
        <v>160</v>
      </c>
      <c r="AC18" s="681" t="n">
        <v>160</v>
      </c>
    </row>
    <row r="19">
      <c r="A19" s="1249" t="inlineStr">
        <is>
          <t>Broadband/Virgin TV</t>
        </is>
      </c>
      <c r="B19" s="1249" t="n"/>
      <c r="C19" s="1249" t="inlineStr">
        <is>
          <t>18th</t>
        </is>
      </c>
      <c r="D19" s="1006" t="n">
        <v>94</v>
      </c>
      <c r="E19" s="681" t="n">
        <v>94</v>
      </c>
      <c r="F19" s="1443">
        <f>D19/$D$103</f>
        <v/>
      </c>
      <c r="G19" s="956" t="n"/>
      <c r="H19" s="1446" t="inlineStr">
        <is>
          <t>Virgin CC</t>
        </is>
      </c>
      <c r="I19" s="1249" t="inlineStr">
        <is>
          <t>15th</t>
        </is>
      </c>
      <c r="J19" s="689">
        <f>SUM(K19:AD19)</f>
        <v/>
      </c>
      <c r="K19" s="681" t="n"/>
      <c r="L19" s="681" t="n"/>
      <c r="M19" s="681" t="n"/>
      <c r="N19" s="681" t="n"/>
      <c r="O19" s="681" t="n"/>
      <c r="P19" s="681" t="n"/>
      <c r="Q19" s="681" t="n"/>
      <c r="R19" s="681" t="n"/>
      <c r="S19" s="681" t="n">
        <v>50</v>
      </c>
      <c r="T19" s="681" t="n">
        <v>50</v>
      </c>
      <c r="U19" s="681" t="n">
        <v>50</v>
      </c>
      <c r="V19" s="681" t="n">
        <v>50</v>
      </c>
      <c r="W19" s="681" t="n">
        <v>50</v>
      </c>
      <c r="X19" s="681" t="n">
        <v>50</v>
      </c>
      <c r="Y19" s="681" t="n">
        <v>50</v>
      </c>
      <c r="Z19" s="681" t="n">
        <v>50</v>
      </c>
      <c r="AA19" s="681" t="n">
        <v>50</v>
      </c>
      <c r="AB19" s="681" t="n">
        <v>50</v>
      </c>
      <c r="AC19" s="681" t="n">
        <v>50</v>
      </c>
    </row>
    <row r="20">
      <c r="A20" s="1433" t="inlineStr">
        <is>
          <t>Mobile</t>
        </is>
      </c>
      <c r="C20" s="1249" t="inlineStr">
        <is>
          <t>5th</t>
        </is>
      </c>
      <c r="D20" s="1006" t="n">
        <v>110</v>
      </c>
      <c r="E20" s="681" t="n">
        <v>110</v>
      </c>
      <c r="F20" s="1443">
        <f>D20/$D$103</f>
        <v/>
      </c>
      <c r="G20" s="956" t="n"/>
      <c r="H20" s="1446" t="inlineStr">
        <is>
          <t>JaJa CC</t>
        </is>
      </c>
      <c r="J20" s="689">
        <f>SUM(K20:AD20)</f>
        <v/>
      </c>
      <c r="S20" s="732" t="n">
        <v>100</v>
      </c>
      <c r="T20" s="732" t="n">
        <v>100</v>
      </c>
      <c r="U20" s="732" t="n">
        <v>100</v>
      </c>
      <c r="V20" s="732" t="n">
        <v>100</v>
      </c>
      <c r="W20" s="732" t="n">
        <v>100</v>
      </c>
      <c r="X20" s="732" t="n">
        <v>100</v>
      </c>
      <c r="Y20" s="732" t="n">
        <v>100</v>
      </c>
      <c r="Z20" s="732" t="n">
        <v>100</v>
      </c>
      <c r="AA20" s="732" t="n">
        <v>100</v>
      </c>
      <c r="AB20" s="732" t="n">
        <v>100</v>
      </c>
      <c r="AC20" s="732" t="n">
        <v>100</v>
      </c>
    </row>
    <row r="21">
      <c r="A21" s="1447" t="n"/>
      <c r="B21" s="1447" t="n"/>
      <c r="C21" s="1447" t="n"/>
      <c r="D21" s="1006" t="n"/>
      <c r="E21" s="1004" t="n"/>
      <c r="F21" s="1443">
        <f>D21/$D$103</f>
        <v/>
      </c>
      <c r="G21" s="956" t="n"/>
      <c r="H21" s="1446" t="inlineStr">
        <is>
          <t>Halifax CC</t>
        </is>
      </c>
      <c r="J21" s="689">
        <f>SUM(K21:AD21)</f>
        <v/>
      </c>
    </row>
    <row r="22">
      <c r="A22" s="1433" t="inlineStr">
        <is>
          <t>PayPlan</t>
        </is>
      </c>
      <c r="C22" s="1249" t="inlineStr">
        <is>
          <t>1st</t>
        </is>
      </c>
      <c r="D22" s="681" t="n">
        <v>13</v>
      </c>
      <c r="E22" s="681" t="n">
        <v>13</v>
      </c>
      <c r="F22" s="1443">
        <f>D22/$D$103</f>
        <v/>
      </c>
      <c r="G22" s="956" t="n"/>
      <c r="H22" s="1446" t="inlineStr">
        <is>
          <t>Tesco Loan</t>
        </is>
      </c>
      <c r="J22" s="689">
        <f>SUM(K22:AD22)</f>
        <v/>
      </c>
      <c r="U22" s="732" t="n">
        <v>340</v>
      </c>
      <c r="V22" s="732" t="n">
        <v>340</v>
      </c>
      <c r="W22" s="732" t="n">
        <v>340</v>
      </c>
      <c r="X22" s="732" t="n">
        <v>340</v>
      </c>
      <c r="Y22" s="732" t="n">
        <v>340</v>
      </c>
      <c r="Z22" s="732" t="n">
        <v>340</v>
      </c>
      <c r="AA22" s="732" t="n">
        <v>340</v>
      </c>
      <c r="AB22" s="732" t="n">
        <v>340</v>
      </c>
      <c r="AC22" s="732" t="n">
        <v>340</v>
      </c>
    </row>
    <row r="23">
      <c r="A23" s="1433" t="inlineStr">
        <is>
          <t>Car Tax/Service/MOT</t>
        </is>
      </c>
      <c r="C23" s="1249" t="inlineStr">
        <is>
          <t>1st</t>
        </is>
      </c>
      <c r="D23" s="681" t="n">
        <v>21</v>
      </c>
      <c r="E23" s="681" t="n">
        <v>28</v>
      </c>
      <c r="F23" s="1443">
        <f>D23/$D$103</f>
        <v/>
      </c>
      <c r="G23" s="956" t="n"/>
      <c r="H23" s="1249" t="inlineStr">
        <is>
          <t>Fags</t>
        </is>
      </c>
      <c r="I23" s="1249" t="inlineStr">
        <is>
          <t>26th</t>
        </is>
      </c>
      <c r="J23" s="689">
        <f>SUM(K23:AD23)</f>
        <v/>
      </c>
      <c r="K23" s="576" t="n"/>
      <c r="L23" s="576" t="n"/>
      <c r="M23" s="576" t="n"/>
      <c r="N23" s="576" t="n"/>
      <c r="O23" s="576" t="n"/>
      <c r="P23" s="576">
        <f>35*5</f>
        <v/>
      </c>
      <c r="Q23" s="576">
        <f>35*5</f>
        <v/>
      </c>
      <c r="R23" s="576">
        <f>35*5</f>
        <v/>
      </c>
      <c r="S23" s="681" t="n"/>
      <c r="T23" s="681" t="n"/>
      <c r="U23" s="681" t="n"/>
      <c r="V23" s="681" t="n"/>
      <c r="W23" s="681" t="n"/>
      <c r="X23" s="681" t="n"/>
      <c r="Y23" s="681" t="n"/>
      <c r="Z23" s="681" t="n"/>
      <c r="AA23" s="681" t="n"/>
      <c r="AB23" s="681" t="n"/>
      <c r="AC23" s="681" t="n"/>
    </row>
    <row r="24">
      <c r="A24" s="1433" t="inlineStr">
        <is>
          <t>Petrol</t>
        </is>
      </c>
      <c r="D24" s="681" t="n">
        <v>100</v>
      </c>
      <c r="E24" s="681" t="n">
        <v>250</v>
      </c>
      <c r="F24" s="1443">
        <f>D24/$D$103</f>
        <v/>
      </c>
      <c r="G24" s="956" t="n"/>
      <c r="H24" s="1249" t="inlineStr">
        <is>
          <t>Home Insurance - Policy Expert</t>
        </is>
      </c>
      <c r="I24" s="1249" t="inlineStr">
        <is>
          <t>7th</t>
        </is>
      </c>
      <c r="J24" s="689">
        <f>SUM(K24:AD24)</f>
        <v/>
      </c>
      <c r="K24" s="681" t="n"/>
      <c r="L24" s="681" t="n"/>
      <c r="M24" s="681" t="n"/>
      <c r="N24" s="681" t="n"/>
      <c r="O24" s="681" t="n"/>
      <c r="P24" s="681" t="n"/>
      <c r="Q24" s="681" t="n"/>
      <c r="R24" s="681" t="n"/>
      <c r="S24" s="681" t="n">
        <v>34</v>
      </c>
      <c r="T24" s="681" t="n">
        <v>34</v>
      </c>
      <c r="U24" s="681" t="n">
        <v>34</v>
      </c>
      <c r="V24" s="681" t="n">
        <v>34</v>
      </c>
      <c r="W24" s="681" t="n">
        <v>34</v>
      </c>
      <c r="X24" s="681" t="n">
        <v>34</v>
      </c>
      <c r="Y24" s="681" t="n">
        <v>34</v>
      </c>
      <c r="Z24" s="681" t="n">
        <v>34</v>
      </c>
      <c r="AA24" s="681" t="n">
        <v>34</v>
      </c>
      <c r="AB24" s="681" t="n">
        <v>34</v>
      </c>
      <c r="AC24" s="681" t="n">
        <v>34</v>
      </c>
    </row>
    <row r="25">
      <c r="D25" s="681" t="n"/>
      <c r="E25" s="681" t="n"/>
      <c r="F25" s="1443" t="n"/>
      <c r="G25" s="956" t="n"/>
      <c r="H25" s="1249" t="inlineStr">
        <is>
          <t>Car Insurance -AA</t>
        </is>
      </c>
      <c r="I25" s="1249" t="inlineStr">
        <is>
          <t>28th</t>
        </is>
      </c>
      <c r="J25" s="689">
        <f>SUM(K25:AD25)</f>
        <v/>
      </c>
      <c r="K25" s="681" t="n"/>
      <c r="L25" s="681" t="n"/>
      <c r="M25" s="681" t="n"/>
      <c r="N25" s="681" t="n"/>
      <c r="O25" s="681" t="n"/>
      <c r="P25" s="681" t="n"/>
      <c r="Q25" s="681" t="n"/>
      <c r="R25" s="681" t="n">
        <v>48</v>
      </c>
      <c r="S25" s="681" t="n">
        <v>48</v>
      </c>
      <c r="T25" s="681" t="n">
        <v>48</v>
      </c>
      <c r="U25" s="681" t="n">
        <v>48</v>
      </c>
      <c r="V25" s="681" t="n">
        <v>48</v>
      </c>
      <c r="W25" s="681" t="n">
        <v>48</v>
      </c>
      <c r="X25" s="681" t="n">
        <v>48</v>
      </c>
      <c r="Y25" s="681" t="n">
        <v>48</v>
      </c>
      <c r="Z25" s="681" t="n">
        <v>48</v>
      </c>
      <c r="AA25" s="681" t="n">
        <v>48</v>
      </c>
      <c r="AB25" s="681" t="n">
        <v>48</v>
      </c>
      <c r="AC25" s="681" t="n">
        <v>48</v>
      </c>
    </row>
    <row r="26">
      <c r="A26" s="1249" t="inlineStr">
        <is>
          <t>D&amp;G Appliance Insurance</t>
        </is>
      </c>
      <c r="B26" s="1249" t="inlineStr">
        <is>
          <t>1yr only to Jan 2025</t>
        </is>
      </c>
      <c r="C26" s="1249" t="inlineStr">
        <is>
          <t>15th</t>
        </is>
      </c>
      <c r="D26" s="681" t="n">
        <v>22</v>
      </c>
      <c r="E26" s="681" t="n"/>
      <c r="F26" s="1443">
        <f>D26/$D$103</f>
        <v/>
      </c>
      <c r="G26" s="956" t="n"/>
      <c r="H26" s="1447" t="inlineStr">
        <is>
          <t>Broadband - Virgin</t>
        </is>
      </c>
      <c r="I26" s="1249" t="inlineStr">
        <is>
          <t>18th</t>
        </is>
      </c>
      <c r="J26" s="689">
        <f>SUM(K26:AD26)</f>
        <v/>
      </c>
      <c r="K26" s="681" t="n"/>
      <c r="L26" s="1004" t="n"/>
      <c r="M26" s="681" t="n"/>
      <c r="N26" s="681" t="n"/>
      <c r="O26" s="681" t="n"/>
      <c r="P26" s="681" t="n"/>
      <c r="Q26" s="681" t="n">
        <v>99</v>
      </c>
      <c r="R26" s="681" t="n"/>
      <c r="S26" s="681" t="n">
        <v>99</v>
      </c>
      <c r="T26" s="681" t="n">
        <v>99</v>
      </c>
      <c r="U26" s="681" t="n">
        <v>99</v>
      </c>
      <c r="V26" s="681" t="n">
        <v>99</v>
      </c>
      <c r="W26" s="681" t="n">
        <v>99</v>
      </c>
      <c r="X26" s="681" t="n">
        <v>99</v>
      </c>
      <c r="Y26" s="681" t="n">
        <v>99</v>
      </c>
      <c r="Z26" s="681" t="n">
        <v>99</v>
      </c>
      <c r="AA26" s="681" t="n">
        <v>99</v>
      </c>
      <c r="AB26" s="681" t="n">
        <v>99</v>
      </c>
      <c r="AC26" s="681" t="n">
        <v>99</v>
      </c>
    </row>
    <row r="27">
      <c r="A27" s="1433" t="inlineStr">
        <is>
          <t>Groceries</t>
        </is>
      </c>
      <c r="D27" s="681" t="n">
        <v>340</v>
      </c>
      <c r="E27" s="681" t="n">
        <v>300</v>
      </c>
      <c r="F27" s="1443">
        <f>D27/$D$103</f>
        <v/>
      </c>
      <c r="G27" s="956" t="n"/>
      <c r="H27" s="1249" t="inlineStr">
        <is>
          <t>Mobile EE</t>
        </is>
      </c>
      <c r="I27" s="1249" t="inlineStr">
        <is>
          <t>5th</t>
        </is>
      </c>
      <c r="J27" s="689">
        <f>SUM(K27:AD27)</f>
        <v/>
      </c>
      <c r="K27" s="681" t="n"/>
      <c r="L27" s="681" t="n"/>
      <c r="M27" s="681" t="n"/>
      <c r="N27" s="681" t="n"/>
      <c r="O27" s="681" t="n"/>
      <c r="P27" s="681" t="n"/>
      <c r="Q27" s="681" t="n"/>
      <c r="R27" s="681" t="n"/>
      <c r="S27" s="681" t="n">
        <v>110</v>
      </c>
      <c r="T27" s="681" t="n">
        <v>110</v>
      </c>
      <c r="U27" s="681" t="n">
        <v>110</v>
      </c>
      <c r="V27" s="681" t="n">
        <v>110</v>
      </c>
      <c r="W27" s="681" t="n">
        <v>110</v>
      </c>
      <c r="X27" s="681" t="n">
        <v>110</v>
      </c>
      <c r="Y27" s="681" t="n">
        <v>110</v>
      </c>
      <c r="Z27" s="681" t="n">
        <v>110</v>
      </c>
      <c r="AA27" s="681" t="n">
        <v>110</v>
      </c>
      <c r="AB27" s="681" t="n">
        <v>110</v>
      </c>
      <c r="AC27" s="681" t="n">
        <v>110</v>
      </c>
    </row>
    <row r="28">
      <c r="A28" s="1446" t="inlineStr">
        <is>
          <t>Bank Loan</t>
        </is>
      </c>
      <c r="C28" s="1249" t="inlineStr">
        <is>
          <t>2nd</t>
        </is>
      </c>
      <c r="D28" s="681" t="n">
        <v>339</v>
      </c>
      <c r="E28" s="681" t="n">
        <v>0</v>
      </c>
      <c r="F28" s="1443">
        <f>D28/$D$103</f>
        <v/>
      </c>
      <c r="G28" s="956" t="n"/>
      <c r="H28" s="1249" t="inlineStr">
        <is>
          <t>D&amp;G Appliance Insurance</t>
        </is>
      </c>
      <c r="I28" s="1249" t="inlineStr">
        <is>
          <t>15th</t>
        </is>
      </c>
      <c r="J28" s="689">
        <f>SUM(K28:AD28)</f>
        <v/>
      </c>
      <c r="K28" s="681" t="n"/>
      <c r="L28" s="681" t="n"/>
      <c r="M28" s="681" t="n"/>
      <c r="N28" s="681" t="n"/>
      <c r="O28" s="681" t="n"/>
      <c r="P28" s="681" t="n">
        <v>22</v>
      </c>
      <c r="Q28" s="681" t="n"/>
      <c r="R28" s="681" t="n"/>
      <c r="S28" s="681" t="n">
        <v>22</v>
      </c>
      <c r="T28" s="681" t="n">
        <v>22</v>
      </c>
      <c r="U28" s="681" t="n">
        <v>22</v>
      </c>
      <c r="V28" s="681" t="n">
        <v>22</v>
      </c>
      <c r="W28" s="681" t="n">
        <v>22</v>
      </c>
      <c r="X28" s="681" t="n">
        <v>22</v>
      </c>
      <c r="Y28" s="681" t="n">
        <v>22</v>
      </c>
      <c r="Z28" s="681" t="n">
        <v>22</v>
      </c>
      <c r="AA28" s="681" t="n">
        <v>22</v>
      </c>
      <c r="AB28" s="681" t="n">
        <v>22</v>
      </c>
      <c r="AC28" s="681" t="n">
        <v>22</v>
      </c>
    </row>
    <row r="29">
      <c r="A29" s="1446" t="inlineStr">
        <is>
          <t>Aqua Card</t>
        </is>
      </c>
      <c r="C29" s="1249" t="inlineStr">
        <is>
          <t>9th</t>
        </is>
      </c>
      <c r="D29" s="681" t="n">
        <v>65</v>
      </c>
      <c r="E29" s="681" t="n">
        <v>0</v>
      </c>
      <c r="F29" s="1443">
        <f>D29/$D$103</f>
        <v/>
      </c>
      <c r="G29" s="956" t="n"/>
      <c r="H29" s="1447" t="inlineStr">
        <is>
          <t>Halifax CC</t>
        </is>
      </c>
      <c r="I29" s="1249" t="n"/>
      <c r="J29" s="689">
        <f>SUM(K29:AD29)</f>
        <v/>
      </c>
      <c r="K29" s="681" t="n"/>
      <c r="L29" s="1004" t="n"/>
      <c r="M29" s="681" t="n"/>
      <c r="N29" s="681" t="n"/>
      <c r="O29" s="681" t="n"/>
      <c r="P29" s="681" t="n"/>
      <c r="Q29" s="681" t="n"/>
      <c r="R29" s="681" t="n"/>
      <c r="S29" s="681" t="n">
        <v>100</v>
      </c>
      <c r="T29" s="681" t="n">
        <v>100</v>
      </c>
      <c r="U29" s="681" t="n">
        <v>100</v>
      </c>
      <c r="V29" s="681" t="n">
        <v>100</v>
      </c>
      <c r="W29" s="681" t="n">
        <v>100</v>
      </c>
      <c r="X29" s="681" t="n">
        <v>100</v>
      </c>
      <c r="Y29" s="681" t="n">
        <v>100</v>
      </c>
      <c r="Z29" s="681" t="n">
        <v>100</v>
      </c>
      <c r="AA29" s="681" t="n">
        <v>100</v>
      </c>
      <c r="AB29" s="681" t="n">
        <v>100</v>
      </c>
      <c r="AC29" s="681" t="n">
        <v>100</v>
      </c>
    </row>
    <row r="30">
      <c r="A30" s="1446" t="inlineStr">
        <is>
          <t>Virgin Card</t>
        </is>
      </c>
      <c r="C30" s="1249" t="n"/>
      <c r="D30" s="681" t="n">
        <v>50</v>
      </c>
      <c r="E30" s="681" t="n">
        <v>0</v>
      </c>
      <c r="F30" s="1443">
        <f>D30/$D$103</f>
        <v/>
      </c>
      <c r="G30" s="956" t="n"/>
      <c r="H30" s="1433" t="inlineStr">
        <is>
          <t>PayPlan</t>
        </is>
      </c>
      <c r="I30" s="1249" t="inlineStr">
        <is>
          <t>12th</t>
        </is>
      </c>
      <c r="J30" s="689">
        <f>SUM(K30:AD30)</f>
        <v/>
      </c>
      <c r="K30" s="681" t="n"/>
      <c r="L30" s="681" t="n"/>
      <c r="M30" s="681" t="n"/>
      <c r="N30" s="681" t="n"/>
      <c r="O30" s="681" t="n"/>
      <c r="P30" s="681" t="n">
        <v>13</v>
      </c>
      <c r="Q30" s="681" t="n"/>
      <c r="R30" s="681" t="n"/>
      <c r="S30" s="681" t="n">
        <v>13</v>
      </c>
      <c r="T30" s="681" t="n">
        <v>13</v>
      </c>
      <c r="U30" s="681" t="n">
        <v>13</v>
      </c>
      <c r="V30" s="681" t="n">
        <v>13</v>
      </c>
      <c r="W30" s="681" t="n">
        <v>13</v>
      </c>
      <c r="X30" s="681" t="n">
        <v>13</v>
      </c>
      <c r="Y30" s="681" t="n">
        <v>13</v>
      </c>
      <c r="Z30" s="681" t="n">
        <v>13</v>
      </c>
      <c r="AA30" s="681" t="n">
        <v>13</v>
      </c>
      <c r="AB30" s="681" t="n">
        <v>13</v>
      </c>
      <c r="AC30" s="681" t="n">
        <v>13</v>
      </c>
    </row>
    <row r="31">
      <c r="A31" s="1249" t="inlineStr">
        <is>
          <t>Tv License</t>
        </is>
      </c>
      <c r="B31" s="1249" t="n"/>
      <c r="C31" s="1249" t="inlineStr">
        <is>
          <t>22nd</t>
        </is>
      </c>
      <c r="D31" s="576" t="n">
        <v>15</v>
      </c>
      <c r="E31" s="576" t="n">
        <v>15</v>
      </c>
      <c r="F31" s="1443">
        <f>D31/$D$103</f>
        <v/>
      </c>
      <c r="G31" s="956" t="n"/>
      <c r="H31" s="1249" t="inlineStr">
        <is>
          <t>Car Tax/Service/MOT</t>
        </is>
      </c>
      <c r="I31" s="1249" t="inlineStr">
        <is>
          <t>20th</t>
        </is>
      </c>
      <c r="J31" s="689">
        <f>SUM(K31:AD31)</f>
        <v/>
      </c>
      <c r="K31" s="681" t="n"/>
      <c r="L31" s="681" t="n"/>
      <c r="M31" s="681" t="n"/>
      <c r="N31" s="681" t="n"/>
      <c r="O31" s="681" t="n"/>
      <c r="P31" s="681" t="n"/>
      <c r="Q31" s="681" t="n">
        <v>21</v>
      </c>
      <c r="R31" s="681" t="n"/>
      <c r="S31" s="681" t="n">
        <v>21</v>
      </c>
      <c r="T31" s="681" t="n">
        <v>21</v>
      </c>
      <c r="U31" s="681" t="n">
        <v>21</v>
      </c>
      <c r="V31" s="681" t="n">
        <v>21</v>
      </c>
      <c r="W31" s="681" t="n">
        <v>21</v>
      </c>
      <c r="X31" s="681" t="n">
        <v>21</v>
      </c>
      <c r="Y31" s="681" t="n">
        <v>21</v>
      </c>
      <c r="Z31" s="681" t="n">
        <v>21</v>
      </c>
      <c r="AA31" s="681" t="n">
        <v>21</v>
      </c>
      <c r="AB31" s="681" t="n">
        <v>21</v>
      </c>
      <c r="AC31" s="681" t="n">
        <v>21</v>
      </c>
    </row>
    <row r="32">
      <c r="A32" s="1249" t="inlineStr">
        <is>
          <t>Netflix</t>
        </is>
      </c>
      <c r="B32" s="1249" t="inlineStr">
        <is>
          <t>included in EE Plan</t>
        </is>
      </c>
      <c r="C32" s="1249" t="n"/>
      <c r="D32" s="576" t="n"/>
      <c r="E32" s="576" t="n"/>
      <c r="F32" s="1443">
        <f>D32/$D$103</f>
        <v/>
      </c>
      <c r="G32" s="956" t="n"/>
      <c r="H32" s="1433" t="inlineStr">
        <is>
          <t>Petrol</t>
        </is>
      </c>
      <c r="J32" s="689">
        <f>SUM(K32:AD32)</f>
        <v/>
      </c>
      <c r="K32" s="681" t="n"/>
      <c r="L32" s="681" t="n"/>
      <c r="M32" s="681" t="n"/>
      <c r="N32" s="681" t="n"/>
      <c r="O32" s="681" t="n"/>
      <c r="P32" s="681" t="n"/>
      <c r="Q32" s="681" t="n">
        <v>100</v>
      </c>
      <c r="R32" s="681" t="n">
        <v>100</v>
      </c>
      <c r="S32" s="681" t="n">
        <v>100</v>
      </c>
      <c r="T32" s="681" t="n">
        <v>100</v>
      </c>
      <c r="U32" s="681" t="n">
        <v>100</v>
      </c>
      <c r="V32" s="681" t="n">
        <v>100</v>
      </c>
      <c r="W32" s="681" t="n">
        <v>100</v>
      </c>
      <c r="X32" s="681" t="n">
        <v>100</v>
      </c>
      <c r="Y32" s="681" t="n">
        <v>100</v>
      </c>
      <c r="Z32" s="681" t="n">
        <v>100</v>
      </c>
      <c r="AA32" s="681" t="n">
        <v>100</v>
      </c>
      <c r="AB32" s="681" t="n">
        <v>100</v>
      </c>
      <c r="AC32" s="681" t="n">
        <v>100</v>
      </c>
    </row>
    <row r="33">
      <c r="A33" s="1249" t="inlineStr">
        <is>
          <t>Tennis</t>
        </is>
      </c>
      <c r="B33" s="1249" t="n"/>
      <c r="C33" s="1249" t="n"/>
      <c r="D33" s="576" t="n"/>
      <c r="E33" s="576" t="n">
        <v>21</v>
      </c>
      <c r="F33" s="1443">
        <f>D33/$D$103</f>
        <v/>
      </c>
      <c r="G33" s="956" t="n"/>
      <c r="H33" s="1433" t="inlineStr">
        <is>
          <t>Groceries</t>
        </is>
      </c>
      <c r="J33" s="689">
        <f>SUM(K33:AD33)</f>
        <v/>
      </c>
      <c r="K33" s="576" t="n"/>
      <c r="L33" s="576" t="n"/>
      <c r="M33" s="576" t="n"/>
      <c r="N33" s="576" t="n"/>
      <c r="O33" s="576" t="n"/>
      <c r="P33" s="576" t="n">
        <v>75</v>
      </c>
      <c r="Q33" s="576" t="n">
        <v>75</v>
      </c>
      <c r="R33" s="576" t="n">
        <v>75</v>
      </c>
      <c r="S33" s="576">
        <f>85*4</f>
        <v/>
      </c>
      <c r="T33" s="576">
        <f>85*4</f>
        <v/>
      </c>
      <c r="U33" s="576">
        <f>85*4</f>
        <v/>
      </c>
      <c r="V33" s="576">
        <f>85*4</f>
        <v/>
      </c>
      <c r="W33" s="576">
        <f>85*4</f>
        <v/>
      </c>
      <c r="X33" s="576">
        <f>85*4</f>
        <v/>
      </c>
      <c r="Y33" s="576">
        <f>85*4</f>
        <v/>
      </c>
      <c r="Z33" s="576">
        <f>85*4</f>
        <v/>
      </c>
      <c r="AA33" s="576">
        <f>85*4</f>
        <v/>
      </c>
      <c r="AB33" s="576">
        <f>85*4</f>
        <v/>
      </c>
      <c r="AC33" s="576">
        <f>85*4</f>
        <v/>
      </c>
    </row>
    <row r="34">
      <c r="A34" s="1249" t="inlineStr">
        <is>
          <t>Cleaner</t>
        </is>
      </c>
      <c r="B34" s="1249" t="inlineStr">
        <is>
          <t>Consider</t>
        </is>
      </c>
      <c r="D34" s="576" t="n">
        <v>90</v>
      </c>
      <c r="E34" s="576" t="n"/>
      <c r="F34" s="1443">
        <f>D34/$D$103</f>
        <v/>
      </c>
      <c r="G34" s="956" t="n"/>
      <c r="H34" s="1249" t="inlineStr">
        <is>
          <t>Tv License</t>
        </is>
      </c>
      <c r="I34" s="1249" t="inlineStr">
        <is>
          <t>22nd</t>
        </is>
      </c>
      <c r="J34" s="689">
        <f>SUM(K34:AD34)</f>
        <v/>
      </c>
      <c r="K34" s="681" t="n"/>
      <c r="L34" s="681" t="n"/>
      <c r="M34" s="681" t="n"/>
      <c r="N34" s="681" t="n"/>
      <c r="O34" s="681" t="n"/>
      <c r="P34" s="681" t="n">
        <v>15</v>
      </c>
      <c r="Q34" s="681" t="n"/>
      <c r="R34" s="681" t="n"/>
      <c r="S34" s="681" t="n">
        <v>15</v>
      </c>
      <c r="T34" s="681" t="n">
        <v>15</v>
      </c>
      <c r="U34" s="681" t="n">
        <v>15</v>
      </c>
      <c r="V34" s="681" t="n">
        <v>15</v>
      </c>
      <c r="W34" s="681" t="n">
        <v>15</v>
      </c>
      <c r="X34" s="681" t="n">
        <v>15</v>
      </c>
      <c r="Y34" s="681" t="n">
        <v>15</v>
      </c>
      <c r="Z34" s="681" t="n">
        <v>15</v>
      </c>
      <c r="AA34" s="681" t="n">
        <v>15</v>
      </c>
      <c r="AB34" s="681" t="n">
        <v>15</v>
      </c>
      <c r="AC34" s="681" t="n">
        <v>15</v>
      </c>
    </row>
    <row r="35">
      <c r="A35" s="1249" t="inlineStr">
        <is>
          <t>Spotify</t>
        </is>
      </c>
      <c r="B35" s="1249" t="inlineStr">
        <is>
          <t>Reduce - Ruby?</t>
        </is>
      </c>
      <c r="C35" s="1249" t="inlineStr">
        <is>
          <t>15th</t>
        </is>
      </c>
      <c r="D35" s="576" t="n">
        <v>12</v>
      </c>
      <c r="E35" s="576" t="n"/>
      <c r="F35" s="1443">
        <f>D35/$D$103</f>
        <v/>
      </c>
      <c r="G35" s="956" t="n"/>
      <c r="H35" s="1249" t="inlineStr">
        <is>
          <t>Netflix (inc. in EE Plan)</t>
        </is>
      </c>
      <c r="I35" s="1249" t="inlineStr">
        <is>
          <t>28th</t>
        </is>
      </c>
      <c r="J35" s="689">
        <f>SUM(K35:AD35)</f>
        <v/>
      </c>
      <c r="K35" s="681" t="n"/>
      <c r="L35" s="681" t="n"/>
      <c r="M35" s="681" t="n"/>
      <c r="N35" s="681" t="n"/>
      <c r="O35" s="681" t="n"/>
      <c r="P35" s="681" t="n"/>
      <c r="Q35" s="681" t="n"/>
      <c r="R35" s="681" t="n"/>
      <c r="S35" s="681" t="n"/>
      <c r="T35" s="681" t="n"/>
      <c r="U35" s="681" t="n"/>
      <c r="V35" s="681" t="n"/>
      <c r="W35" s="681" t="n"/>
      <c r="X35" s="681" t="n"/>
      <c r="Y35" s="681" t="n"/>
      <c r="Z35" s="681" t="n"/>
      <c r="AA35" s="681" t="n"/>
      <c r="AB35" s="681" t="n"/>
      <c r="AC35" s="681" t="n"/>
    </row>
    <row r="36">
      <c r="A36" s="1249" t="inlineStr">
        <is>
          <t>Audible</t>
        </is>
      </c>
      <c r="B36" s="1249" t="inlineStr">
        <is>
          <t>Cancelled 21 Feb 2024</t>
        </is>
      </c>
      <c r="C36" s="1249" t="inlineStr">
        <is>
          <t>2nd</t>
        </is>
      </c>
      <c r="D36" s="732" t="n"/>
      <c r="E36" s="732" t="n"/>
      <c r="F36" s="1443">
        <f>D36/$D$103</f>
        <v/>
      </c>
      <c r="G36" s="956" t="n"/>
      <c r="H36" s="1249" t="inlineStr">
        <is>
          <t>Tennis Membershhip</t>
        </is>
      </c>
      <c r="I36" s="1249" t="inlineStr">
        <is>
          <t>22nd</t>
        </is>
      </c>
      <c r="J36" s="689">
        <f>SUM(K36:AD36)</f>
        <v/>
      </c>
      <c r="K36" s="681" t="n"/>
      <c r="L36" s="681" t="n"/>
      <c r="M36" s="681" t="n"/>
      <c r="N36" s="681" t="n"/>
      <c r="O36" s="681" t="n"/>
      <c r="P36" s="681" t="n"/>
      <c r="Q36" s="681" t="n"/>
      <c r="R36" s="681" t="n"/>
      <c r="S36" s="681" t="n"/>
      <c r="T36" s="681" t="n"/>
      <c r="U36" s="681" t="n"/>
      <c r="V36" s="681" t="n"/>
      <c r="W36" s="681" t="n"/>
      <c r="X36" s="681" t="n"/>
      <c r="Y36" s="681" t="n"/>
      <c r="Z36" s="681" t="n"/>
      <c r="AA36" s="681" t="n"/>
      <c r="AB36" s="681" t="n"/>
      <c r="AC36" s="681" t="n"/>
    </row>
    <row r="37">
      <c r="A37" s="1249" t="inlineStr">
        <is>
          <t>Ruby</t>
        </is>
      </c>
      <c r="B37" s="1249" t="inlineStr">
        <is>
          <t>Increase</t>
        </is>
      </c>
      <c r="C37" s="1249" t="n"/>
      <c r="D37" s="732" t="n"/>
      <c r="E37" s="732" t="n"/>
      <c r="F37" s="1443">
        <f>D37/$D$103</f>
        <v/>
      </c>
      <c r="G37" s="956" t="n"/>
      <c r="H37" s="1448" t="inlineStr">
        <is>
          <t>Spotify</t>
        </is>
      </c>
      <c r="I37" s="1249" t="inlineStr">
        <is>
          <t>15th</t>
        </is>
      </c>
      <c r="J37" s="689">
        <f>SUM(K37:AD37)</f>
        <v/>
      </c>
      <c r="K37" s="681" t="n"/>
      <c r="L37" s="681" t="n"/>
      <c r="M37" s="681" t="n"/>
      <c r="N37" s="681" t="n"/>
      <c r="O37" s="681" t="n"/>
      <c r="P37" s="681" t="n">
        <v>12</v>
      </c>
      <c r="Q37" s="681" t="n"/>
      <c r="R37" s="681" t="n"/>
      <c r="S37" s="681" t="n">
        <v>12</v>
      </c>
      <c r="T37" s="681" t="n">
        <v>12</v>
      </c>
      <c r="U37" s="681" t="n">
        <v>12</v>
      </c>
      <c r="V37" s="681" t="n">
        <v>12</v>
      </c>
      <c r="W37" s="681" t="n">
        <v>12</v>
      </c>
      <c r="X37" s="681" t="n">
        <v>12</v>
      </c>
      <c r="Y37" s="681" t="n">
        <v>12</v>
      </c>
      <c r="Z37" s="681" t="n">
        <v>12</v>
      </c>
      <c r="AA37" s="681" t="n">
        <v>12</v>
      </c>
      <c r="AB37" s="681" t="n">
        <v>12</v>
      </c>
      <c r="AC37" s="681" t="n">
        <v>12</v>
      </c>
    </row>
    <row r="38">
      <c r="A38" s="1249" t="n"/>
      <c r="B38" s="1249" t="n"/>
      <c r="E38" s="732" t="n"/>
      <c r="F38" s="1443">
        <f>D38/$D$103</f>
        <v/>
      </c>
      <c r="G38" s="956" t="n"/>
      <c r="H38" s="1448" t="inlineStr">
        <is>
          <t>Cleaner</t>
        </is>
      </c>
      <c r="I38" s="1249" t="n"/>
      <c r="J38" s="689">
        <f>SUM(K38:AD38)</f>
        <v/>
      </c>
      <c r="K38" s="681" t="n"/>
      <c r="L38" s="681" t="n"/>
      <c r="M38" s="681" t="n"/>
      <c r="N38" s="681" t="n"/>
      <c r="O38" s="681" t="n"/>
      <c r="P38" s="681" t="n">
        <v>45</v>
      </c>
      <c r="Q38" s="681" t="n"/>
      <c r="R38" s="681" t="n">
        <v>45</v>
      </c>
      <c r="S38" s="681" t="n">
        <v>90</v>
      </c>
      <c r="T38" s="681" t="n">
        <v>90</v>
      </c>
      <c r="U38" s="681" t="n">
        <v>90</v>
      </c>
      <c r="V38" s="681" t="n">
        <v>90</v>
      </c>
      <c r="W38" s="681" t="n">
        <v>90</v>
      </c>
      <c r="X38" s="681" t="n">
        <v>90</v>
      </c>
      <c r="Y38" s="681" t="n">
        <v>90</v>
      </c>
      <c r="Z38" s="681" t="n">
        <v>90</v>
      </c>
      <c r="AA38" s="681" t="n">
        <v>90</v>
      </c>
      <c r="AB38" s="681" t="n">
        <v>90</v>
      </c>
      <c r="AC38" s="681" t="n">
        <v>90</v>
      </c>
    </row>
    <row r="39">
      <c r="A39" s="1249" t="inlineStr">
        <is>
          <t>Credit Card</t>
        </is>
      </c>
      <c r="B39" s="1249" t="inlineStr">
        <is>
          <t>Emergency Card</t>
        </is>
      </c>
      <c r="D39" s="963" t="n">
        <v>5</v>
      </c>
      <c r="E39" s="732" t="n"/>
      <c r="F39" s="1443">
        <f>D39/$D$103</f>
        <v/>
      </c>
      <c r="G39" s="956" t="n"/>
      <c r="H39" s="1448" t="inlineStr">
        <is>
          <t>Gardener</t>
        </is>
      </c>
      <c r="I39" s="1249" t="n"/>
      <c r="J39" s="689">
        <f>SUM(K39:AD39)</f>
        <v/>
      </c>
      <c r="K39" s="681" t="n"/>
      <c r="L39" s="681" t="n"/>
      <c r="M39" s="681" t="n"/>
      <c r="N39" s="681" t="n"/>
      <c r="O39" s="681" t="n"/>
      <c r="P39" s="681" t="n"/>
      <c r="Q39" s="681" t="n"/>
      <c r="R39" s="681" t="n"/>
      <c r="S39" s="681" t="n"/>
      <c r="T39" s="681" t="n"/>
      <c r="U39" s="681" t="n"/>
      <c r="V39" s="681" t="n"/>
      <c r="W39" s="681" t="n"/>
      <c r="X39" s="681" t="n"/>
      <c r="Y39" s="681" t="n"/>
      <c r="Z39" s="681" t="n"/>
      <c r="AA39" s="681" t="n"/>
      <c r="AB39" s="681" t="n"/>
      <c r="AC39" s="681" t="n"/>
    </row>
    <row r="40">
      <c r="A40" s="1249" t="n"/>
      <c r="B40" s="1249" t="n"/>
      <c r="E40" s="681" t="n"/>
      <c r="F40" s="1443">
        <f>D40/$D$103</f>
        <v/>
      </c>
      <c r="G40" s="956" t="n"/>
      <c r="H40" s="1448" t="inlineStr">
        <is>
          <t>Ruby</t>
        </is>
      </c>
      <c r="I40" s="1249" t="n"/>
      <c r="J40" s="689">
        <f>SUM(K40:AD40)</f>
        <v/>
      </c>
      <c r="K40" s="681" t="n"/>
      <c r="L40" s="681" t="n"/>
      <c r="M40" s="681" t="n"/>
      <c r="N40" s="681" t="n"/>
      <c r="O40" s="681" t="n"/>
      <c r="P40" s="681" t="n"/>
      <c r="Q40" s="681" t="n"/>
      <c r="R40" s="681" t="n"/>
      <c r="S40" s="681" t="n"/>
      <c r="T40" s="681" t="n"/>
      <c r="U40" s="681" t="n"/>
      <c r="V40" s="681" t="n"/>
      <c r="W40" s="681" t="n"/>
      <c r="X40" s="681" t="n"/>
      <c r="Y40" s="681" t="n"/>
      <c r="Z40" s="681" t="n"/>
      <c r="AA40" s="681" t="n"/>
      <c r="AB40" s="681" t="n"/>
      <c r="AC40" s="681" t="n"/>
    </row>
    <row r="41">
      <c r="A41" s="1249" t="n"/>
      <c r="C41" s="681" t="n"/>
      <c r="D41" s="681" t="n"/>
      <c r="E41" s="681" t="n"/>
      <c r="F41" s="1443">
        <f>D41/$D$103</f>
        <v/>
      </c>
      <c r="G41" s="956" t="n"/>
      <c r="H41" s="1249" t="n"/>
      <c r="J41" s="689">
        <f>SUM(K41:AD41)</f>
        <v/>
      </c>
      <c r="K41" s="681" t="n"/>
      <c r="L41" s="681" t="n"/>
      <c r="M41" s="681" t="n"/>
      <c r="N41" s="681" t="n"/>
      <c r="O41" s="681" t="n"/>
      <c r="P41" s="681" t="n"/>
      <c r="Q41" s="681" t="n"/>
      <c r="R41" s="681" t="n"/>
      <c r="S41" s="681" t="n"/>
      <c r="T41" s="681" t="n"/>
      <c r="U41" s="681" t="n"/>
      <c r="V41" s="681" t="n"/>
      <c r="W41" s="681" t="n"/>
      <c r="X41" s="681" t="n"/>
      <c r="Y41" s="681" t="n"/>
      <c r="Z41" s="681" t="n"/>
      <c r="AA41" s="681" t="n"/>
      <c r="AB41" s="681" t="n"/>
      <c r="AC41" s="681" t="n"/>
    </row>
    <row r="42" ht="13.5" customHeight="1" s="1232" thickBot="1">
      <c r="A42" s="1439" t="inlineStr">
        <is>
          <t>Exps</t>
        </is>
      </c>
      <c r="B42" s="1439" t="n"/>
      <c r="C42" s="1439" t="n"/>
      <c r="D42" s="1449">
        <f>SUM(D11:D41)</f>
        <v/>
      </c>
      <c r="E42" s="1449">
        <f>SUM(E11:E41)</f>
        <v/>
      </c>
      <c r="F42" s="1443">
        <f>D42/$D$103</f>
        <v/>
      </c>
      <c r="G42" s="956" t="n"/>
      <c r="H42" s="1249" t="n"/>
      <c r="J42" s="689">
        <f>SUM(K42:AD42)</f>
        <v/>
      </c>
      <c r="K42" s="681" t="n"/>
      <c r="L42" s="681" t="n"/>
      <c r="M42" s="681" t="n"/>
      <c r="N42" s="681" t="n"/>
      <c r="O42" s="681" t="n"/>
      <c r="P42" s="681" t="n"/>
      <c r="Q42" s="681" t="n"/>
      <c r="R42" s="681" t="n"/>
      <c r="S42" s="681" t="n"/>
      <c r="T42" s="681" t="n"/>
      <c r="U42" s="681" t="n"/>
      <c r="V42" s="681" t="n"/>
      <c r="W42" s="681" t="n"/>
      <c r="X42" s="681" t="n"/>
      <c r="Y42" s="681" t="n"/>
      <c r="Z42" s="681" t="n"/>
      <c r="AA42" s="681" t="n"/>
      <c r="AB42" s="681" t="n"/>
      <c r="AC42" s="681" t="n"/>
    </row>
    <row r="43" ht="13.5" customHeight="1" s="1232" thickTop="1">
      <c r="H43" s="1251" t="inlineStr">
        <is>
          <t>Business Expenses</t>
        </is>
      </c>
      <c r="J43" s="689">
        <f>SUM(K43:AD43)</f>
        <v/>
      </c>
      <c r="K43" s="681" t="n"/>
      <c r="L43" s="681" t="n"/>
      <c r="M43" s="681" t="n"/>
      <c r="N43" s="681" t="n"/>
      <c r="O43" s="681" t="n"/>
      <c r="P43" s="681" t="n"/>
      <c r="Q43" s="681" t="n"/>
      <c r="R43" s="681" t="n"/>
      <c r="S43" s="681" t="n"/>
      <c r="T43" s="681" t="n"/>
      <c r="U43" s="681" t="n"/>
      <c r="V43" s="681" t="n"/>
      <c r="W43" s="681" t="n"/>
      <c r="X43" s="681" t="n"/>
      <c r="Y43" s="681" t="n"/>
      <c r="Z43" s="681" t="n"/>
      <c r="AA43" s="681" t="n"/>
      <c r="AB43" s="681" t="n"/>
      <c r="AC43" s="681" t="n"/>
    </row>
    <row r="44" ht="13.5" customHeight="1" s="1232" thickBot="1">
      <c r="A44" s="1432" t="inlineStr">
        <is>
          <t>Net</t>
        </is>
      </c>
      <c r="B44" s="1432" t="inlineStr">
        <is>
          <t>New monthly Net</t>
        </is>
      </c>
      <c r="C44" s="1430">
        <f>C6-(D42-D38-D40)</f>
        <v/>
      </c>
      <c r="D44" s="1430">
        <f>D6-D42</f>
        <v/>
      </c>
      <c r="E44" s="1430">
        <f>E9-E42</f>
        <v/>
      </c>
      <c r="F44" s="1432" t="n"/>
      <c r="H44" s="1249" t="inlineStr">
        <is>
          <t>Dropbox</t>
        </is>
      </c>
      <c r="I44" s="1249" t="inlineStr">
        <is>
          <t>15th</t>
        </is>
      </c>
      <c r="J44" s="689">
        <f>SUM(K44:AD44)</f>
        <v/>
      </c>
      <c r="K44" s="681" t="n"/>
      <c r="L44" s="681" t="n"/>
      <c r="M44" s="681" t="n"/>
      <c r="N44" s="681" t="n"/>
      <c r="O44" s="681" t="n"/>
      <c r="P44" s="681" t="n">
        <v>10</v>
      </c>
      <c r="Q44" s="681" t="n"/>
      <c r="R44" s="681" t="n"/>
      <c r="S44" s="681" t="n">
        <v>10</v>
      </c>
      <c r="T44" s="681" t="n">
        <v>10</v>
      </c>
      <c r="U44" s="681" t="n">
        <v>10</v>
      </c>
      <c r="V44" s="681" t="n">
        <v>10</v>
      </c>
      <c r="W44" s="681" t="n">
        <v>10</v>
      </c>
      <c r="X44" s="681" t="n">
        <v>10</v>
      </c>
      <c r="Y44" s="681" t="n">
        <v>10</v>
      </c>
      <c r="Z44" s="681" t="n">
        <v>10</v>
      </c>
      <c r="AA44" s="681" t="n">
        <v>10</v>
      </c>
      <c r="AB44" s="681" t="n">
        <v>10</v>
      </c>
      <c r="AC44" s="681" t="n">
        <v>10</v>
      </c>
    </row>
    <row r="45" ht="13.15" customHeight="1" s="1232">
      <c r="A45" s="1249" t="n"/>
      <c r="B45" s="1249" t="n"/>
      <c r="C45" s="1249" t="n"/>
      <c r="D45" s="1249" t="n"/>
      <c r="G45" s="1251" t="n"/>
      <c r="H45" s="1249" t="inlineStr">
        <is>
          <t>Adobe</t>
        </is>
      </c>
      <c r="I45" s="1249" t="inlineStr">
        <is>
          <t>22nd</t>
        </is>
      </c>
      <c r="J45" s="689">
        <f>SUM(K45:AD45)</f>
        <v/>
      </c>
      <c r="K45" s="681" t="n"/>
      <c r="L45" s="681" t="n"/>
      <c r="M45" s="681" t="n"/>
      <c r="N45" s="681" t="n"/>
      <c r="O45" s="681" t="n"/>
      <c r="P45" s="681" t="n">
        <v>10</v>
      </c>
      <c r="Q45" s="681" t="n"/>
      <c r="R45" s="681" t="n"/>
      <c r="S45" s="681" t="n">
        <v>10</v>
      </c>
      <c r="T45" s="681" t="n">
        <v>10</v>
      </c>
      <c r="U45" s="681" t="n">
        <v>10</v>
      </c>
      <c r="V45" s="681" t="n">
        <v>10</v>
      </c>
      <c r="W45" s="681" t="n">
        <v>10</v>
      </c>
      <c r="X45" s="681" t="n">
        <v>10</v>
      </c>
      <c r="Y45" s="681" t="n">
        <v>10</v>
      </c>
      <c r="Z45" s="681" t="n">
        <v>10</v>
      </c>
      <c r="AA45" s="681" t="n">
        <v>10</v>
      </c>
      <c r="AB45" s="681" t="n">
        <v>10</v>
      </c>
      <c r="AC45" s="681" t="n">
        <v>10</v>
      </c>
    </row>
    <row r="46" ht="13.15" customHeight="1" s="1232">
      <c r="A46" s="1251" t="inlineStr">
        <is>
          <t>Fixed Operating Costs</t>
        </is>
      </c>
      <c r="B46" s="1251" t="inlineStr">
        <is>
          <t>Service</t>
        </is>
      </c>
      <c r="C46" s="1251" t="n"/>
      <c r="D46" s="1434" t="inlineStr">
        <is>
          <t>PM</t>
        </is>
      </c>
      <c r="E46" s="1434" t="inlineStr">
        <is>
          <t>PA</t>
        </is>
      </c>
      <c r="F46" s="1251" t="inlineStr">
        <is>
          <t>%</t>
        </is>
      </c>
      <c r="H46" s="1448" t="inlineStr">
        <is>
          <t>Flickr</t>
        </is>
      </c>
      <c r="I46" s="1249" t="inlineStr">
        <is>
          <t>6th</t>
        </is>
      </c>
      <c r="J46" s="689">
        <f>SUM(K46:AD46)</f>
        <v/>
      </c>
      <c r="K46" s="681" t="n"/>
      <c r="L46" s="681" t="n"/>
      <c r="M46" s="681" t="n"/>
      <c r="N46" s="681" t="n"/>
      <c r="O46" s="681" t="n"/>
      <c r="P46" s="681" t="n">
        <v>0</v>
      </c>
      <c r="Q46" s="681" t="n"/>
      <c r="R46" s="681" t="n"/>
      <c r="S46" s="681" t="n">
        <v>0</v>
      </c>
      <c r="T46" s="681" t="n">
        <v>0</v>
      </c>
      <c r="U46" s="681" t="n">
        <v>0</v>
      </c>
      <c r="V46" s="681" t="n">
        <v>0</v>
      </c>
      <c r="W46" s="681" t="n">
        <v>0</v>
      </c>
      <c r="X46" s="681" t="n">
        <v>0</v>
      </c>
      <c r="Y46" s="681" t="n">
        <v>0</v>
      </c>
      <c r="Z46" s="681" t="n">
        <v>0</v>
      </c>
      <c r="AA46" s="681" t="n">
        <v>0</v>
      </c>
      <c r="AB46" s="681" t="n">
        <v>0</v>
      </c>
      <c r="AC46" s="681" t="n">
        <v>0</v>
      </c>
    </row>
    <row r="47">
      <c r="A47" s="1249" t="n"/>
      <c r="B47" s="1249" t="n"/>
      <c r="C47" s="1249" t="n"/>
      <c r="D47" s="1249" t="n"/>
      <c r="G47" s="1249" t="n"/>
      <c r="H47" s="1448" t="inlineStr">
        <is>
          <t>Mail Chimp</t>
        </is>
      </c>
      <c r="I47" s="1249" t="inlineStr">
        <is>
          <t>22nd</t>
        </is>
      </c>
      <c r="J47" s="689">
        <f>SUM(K47:AD47)</f>
        <v/>
      </c>
      <c r="K47" s="681" t="n"/>
      <c r="L47" s="681" t="n"/>
      <c r="M47" s="681" t="n"/>
      <c r="N47" s="681" t="n"/>
      <c r="O47" s="681" t="n"/>
      <c r="P47" s="681" t="n"/>
      <c r="Q47" s="681" t="n"/>
      <c r="R47" s="681" t="n"/>
      <c r="S47" s="681" t="n"/>
      <c r="T47" s="681" t="n"/>
      <c r="U47" s="681" t="n"/>
      <c r="V47" s="681" t="n"/>
      <c r="W47" s="681" t="n"/>
      <c r="X47" s="681" t="n"/>
      <c r="Y47" s="681" t="n"/>
      <c r="Z47" s="681" t="n"/>
      <c r="AA47" s="681" t="n"/>
      <c r="AB47" s="681" t="n"/>
      <c r="AC47" s="681" t="n"/>
    </row>
    <row r="48">
      <c r="A48" s="1249" t="inlineStr">
        <is>
          <t>Dropbox</t>
        </is>
      </c>
      <c r="B48" s="1249" t="inlineStr">
        <is>
          <t>Cloud Storage</t>
        </is>
      </c>
      <c r="C48" s="1249" t="inlineStr">
        <is>
          <t>15th</t>
        </is>
      </c>
      <c r="D48" s="1433" t="n">
        <v>10</v>
      </c>
      <c r="E48" s="1438">
        <f>D48*12</f>
        <v/>
      </c>
      <c r="F48" s="1443">
        <f>D48/$D$103</f>
        <v/>
      </c>
      <c r="G48" s="956" t="n"/>
      <c r="H48" s="1448" t="inlineStr">
        <is>
          <t>Carbon Footprint/More Trees</t>
        </is>
      </c>
      <c r="I48" s="1249" t="inlineStr">
        <is>
          <t>7th</t>
        </is>
      </c>
      <c r="J48" s="689">
        <f>SUM(K48:AD48)</f>
        <v/>
      </c>
      <c r="K48" s="681" t="n"/>
      <c r="L48" s="681" t="n"/>
      <c r="M48" s="681" t="n"/>
      <c r="N48" s="681" t="n"/>
      <c r="O48" s="681" t="n"/>
      <c r="P48" s="681" t="n"/>
      <c r="Q48" s="681" t="n"/>
      <c r="R48" s="681" t="n"/>
      <c r="S48" s="681" t="n">
        <v>5</v>
      </c>
      <c r="T48" s="681" t="n">
        <v>5</v>
      </c>
      <c r="U48" s="681" t="n">
        <v>5</v>
      </c>
      <c r="V48" s="681" t="n">
        <v>5</v>
      </c>
      <c r="W48" s="681" t="n">
        <v>5</v>
      </c>
      <c r="X48" s="681" t="n">
        <v>5</v>
      </c>
      <c r="Y48" s="681" t="n">
        <v>5</v>
      </c>
      <c r="Z48" s="681" t="n">
        <v>5</v>
      </c>
      <c r="AA48" s="681" t="n">
        <v>5</v>
      </c>
      <c r="AB48" s="681" t="n">
        <v>5</v>
      </c>
      <c r="AC48" s="681" t="n">
        <v>5</v>
      </c>
    </row>
    <row r="49">
      <c r="A49" s="1446" t="inlineStr">
        <is>
          <t>Adobe</t>
        </is>
      </c>
      <c r="B49" s="1446" t="inlineStr">
        <is>
          <t>Photo Editing</t>
        </is>
      </c>
      <c r="C49" s="1446" t="inlineStr">
        <is>
          <t>22nd</t>
        </is>
      </c>
      <c r="D49" s="1450" t="n">
        <v>9.98</v>
      </c>
      <c r="E49" s="1438">
        <f>D49*12</f>
        <v/>
      </c>
      <c r="F49" s="1443">
        <f>D49/$D$103</f>
        <v/>
      </c>
      <c r="G49" s="956" t="n"/>
      <c r="H49" s="1448" t="inlineStr">
        <is>
          <t>Viking Local Digital Assets (PayPal)</t>
        </is>
      </c>
      <c r="I49" s="1249" t="inlineStr">
        <is>
          <t>20th</t>
        </is>
      </c>
      <c r="J49" s="689">
        <f>SUM(K49:AD49)</f>
        <v/>
      </c>
      <c r="K49" s="681" t="n"/>
      <c r="L49" s="681" t="n"/>
      <c r="M49" s="681" t="n"/>
      <c r="N49" s="681" t="n"/>
      <c r="O49" s="681" t="n"/>
      <c r="P49" s="681" t="n">
        <v>16</v>
      </c>
      <c r="Q49" s="681" t="n"/>
      <c r="R49" s="681" t="n"/>
      <c r="S49" s="681" t="n">
        <v>16</v>
      </c>
      <c r="T49" s="681" t="n">
        <v>16</v>
      </c>
      <c r="U49" s="681" t="n">
        <v>16</v>
      </c>
      <c r="V49" s="681" t="n">
        <v>16</v>
      </c>
      <c r="W49" s="681" t="n">
        <v>16</v>
      </c>
      <c r="X49" s="681" t="n">
        <v>16</v>
      </c>
      <c r="Y49" s="681" t="n">
        <v>16</v>
      </c>
      <c r="Z49" s="681" t="n">
        <v>16</v>
      </c>
      <c r="AA49" s="681" t="n">
        <v>16</v>
      </c>
      <c r="AB49" s="681" t="n">
        <v>16</v>
      </c>
      <c r="AC49" s="681" t="n">
        <v>16</v>
      </c>
    </row>
    <row r="50">
      <c r="A50" s="1249" t="inlineStr">
        <is>
          <t>Amazon Prime</t>
        </is>
      </c>
      <c r="B50" s="1249" t="inlineStr">
        <is>
          <t>Backup/Delivery</t>
        </is>
      </c>
      <c r="C50" s="1249" t="n"/>
      <c r="D50" s="1433">
        <f>E50/12</f>
        <v/>
      </c>
      <c r="E50" s="1438" t="n">
        <v>95</v>
      </c>
      <c r="F50" s="1443">
        <f>D50/$D$103</f>
        <v/>
      </c>
      <c r="G50" s="956" t="n"/>
      <c r="H50" s="1448" t="inlineStr">
        <is>
          <t>Semrush/WEBCEO/SEO Space</t>
        </is>
      </c>
      <c r="I50" s="1249" t="inlineStr">
        <is>
          <t>8th</t>
        </is>
      </c>
      <c r="J50" s="689">
        <f>SUM(K50:AD50)</f>
        <v/>
      </c>
      <c r="K50" s="681" t="n"/>
      <c r="L50" s="681" t="n"/>
      <c r="M50" s="681" t="n"/>
      <c r="N50" s="681" t="n"/>
      <c r="O50" s="681" t="n"/>
      <c r="P50" s="681" t="n"/>
      <c r="Q50" s="681" t="n"/>
      <c r="R50" s="681" t="n"/>
      <c r="S50" s="681" t="n">
        <v>20</v>
      </c>
      <c r="T50" s="681" t="n">
        <v>20</v>
      </c>
      <c r="U50" s="681" t="n">
        <v>20</v>
      </c>
      <c r="V50" s="681" t="n">
        <v>20</v>
      </c>
      <c r="W50" s="681" t="n">
        <v>20</v>
      </c>
      <c r="X50" s="681" t="n">
        <v>20</v>
      </c>
      <c r="Y50" s="681" t="n">
        <v>20</v>
      </c>
      <c r="Z50" s="681" t="n">
        <v>20</v>
      </c>
      <c r="AA50" s="681" t="n">
        <v>20</v>
      </c>
      <c r="AB50" s="681" t="n">
        <v>20</v>
      </c>
      <c r="AC50" s="681" t="n">
        <v>20</v>
      </c>
    </row>
    <row r="51">
      <c r="A51" s="1249" t="inlineStr">
        <is>
          <t>Flickr</t>
        </is>
      </c>
      <c r="B51" s="1249" t="inlineStr">
        <is>
          <t>Photo Sharing/Marketing</t>
        </is>
      </c>
      <c r="C51" s="1249" t="inlineStr">
        <is>
          <t>8th</t>
        </is>
      </c>
      <c r="E51" s="1438" t="n"/>
      <c r="F51" s="1443">
        <f>D51/$D$103</f>
        <v/>
      </c>
      <c r="G51" s="956" t="n"/>
      <c r="H51" s="1249" t="inlineStr">
        <is>
          <t>Eversure - Camera Insurance (premium credit)</t>
        </is>
      </c>
      <c r="I51" s="1249" t="inlineStr">
        <is>
          <t>22nd</t>
        </is>
      </c>
      <c r="J51" s="689">
        <f>SUM(K51:AD51)</f>
        <v/>
      </c>
      <c r="K51" s="681" t="n"/>
      <c r="L51" s="681" t="n"/>
      <c r="M51" s="681" t="n"/>
      <c r="N51" s="681" t="n"/>
      <c r="O51" s="681" t="n"/>
      <c r="P51" s="681" t="n">
        <v>35</v>
      </c>
      <c r="Q51" s="681" t="n"/>
      <c r="R51" s="681" t="n"/>
      <c r="S51" s="681" t="n">
        <v>35</v>
      </c>
      <c r="T51" s="681" t="n">
        <v>35</v>
      </c>
      <c r="U51" s="681" t="n">
        <v>35</v>
      </c>
      <c r="V51" s="681" t="n">
        <v>35</v>
      </c>
      <c r="W51" s="681" t="n">
        <v>35</v>
      </c>
      <c r="X51" s="681" t="n">
        <v>35</v>
      </c>
      <c r="Y51" s="681" t="n">
        <v>35</v>
      </c>
      <c r="Z51" s="681" t="n">
        <v>35</v>
      </c>
      <c r="AA51" s="681" t="n">
        <v>35</v>
      </c>
      <c r="AB51" s="681" t="n">
        <v>35</v>
      </c>
      <c r="AC51" s="681" t="n">
        <v>35</v>
      </c>
    </row>
    <row r="52">
      <c r="A52" s="1249" t="inlineStr">
        <is>
          <t>Squarspace Marketing</t>
        </is>
      </c>
      <c r="B52" s="1249" t="inlineStr">
        <is>
          <t>Mailshots</t>
        </is>
      </c>
      <c r="C52" s="1249" t="inlineStr">
        <is>
          <t>22nd</t>
        </is>
      </c>
      <c r="D52" s="1249">
        <f>273/12</f>
        <v/>
      </c>
      <c r="E52" s="1438">
        <f>D52*12</f>
        <v/>
      </c>
      <c r="F52" s="1443">
        <f>D52/$D$103</f>
        <v/>
      </c>
      <c r="G52" s="956" t="n"/>
      <c r="H52" s="1249" t="inlineStr">
        <is>
          <t>Zoom PayPal</t>
        </is>
      </c>
      <c r="I52" s="1249" t="inlineStr">
        <is>
          <t>30th</t>
        </is>
      </c>
      <c r="J52" s="689">
        <f>SUM(K52:AD52)</f>
        <v/>
      </c>
      <c r="K52" s="681" t="n"/>
      <c r="L52" s="681" t="n"/>
      <c r="M52" s="681" t="n"/>
      <c r="N52" s="681" t="n"/>
      <c r="O52" s="681" t="n"/>
      <c r="P52" s="681" t="n">
        <v>15</v>
      </c>
      <c r="Q52" s="681" t="n"/>
      <c r="R52" s="681" t="n"/>
      <c r="S52" s="681" t="n">
        <v>15</v>
      </c>
      <c r="T52" s="681" t="n">
        <v>15</v>
      </c>
      <c r="U52" s="681" t="n">
        <v>15</v>
      </c>
      <c r="V52" s="681" t="n">
        <v>15</v>
      </c>
      <c r="W52" s="681" t="n">
        <v>15</v>
      </c>
      <c r="X52" s="681" t="n">
        <v>15</v>
      </c>
      <c r="Y52" s="681" t="n">
        <v>15</v>
      </c>
      <c r="Z52" s="681" t="n">
        <v>15</v>
      </c>
      <c r="AA52" s="681" t="n">
        <v>15</v>
      </c>
      <c r="AB52" s="681" t="n">
        <v>15</v>
      </c>
      <c r="AC52" s="681" t="n">
        <v>15</v>
      </c>
    </row>
    <row r="53">
      <c r="A53" s="1249" t="inlineStr">
        <is>
          <t>Semrush/WEBCEO/SEOSpace</t>
        </is>
      </c>
      <c r="B53" s="1249" t="inlineStr">
        <is>
          <t>SEO Website</t>
        </is>
      </c>
      <c r="C53" s="1249" t="inlineStr">
        <is>
          <t>8th</t>
        </is>
      </c>
      <c r="D53" s="1249" t="n">
        <v>45</v>
      </c>
      <c r="E53" s="1438">
        <f>D53*12</f>
        <v/>
      </c>
      <c r="F53" s="1443">
        <f>D53/$D$103</f>
        <v/>
      </c>
      <c r="G53" s="956" t="n"/>
      <c r="H53" s="1448" t="inlineStr">
        <is>
          <t>Writesonic - Paypal</t>
        </is>
      </c>
      <c r="I53" s="1249" t="inlineStr">
        <is>
          <t>22nd</t>
        </is>
      </c>
      <c r="J53" s="689">
        <f>SUM(K53:AD53)</f>
        <v/>
      </c>
      <c r="K53" s="681" t="n"/>
      <c r="L53" s="681" t="n"/>
      <c r="M53" s="681" t="n"/>
      <c r="N53" s="681" t="n"/>
      <c r="O53" s="681" t="n"/>
      <c r="P53" s="681" t="n"/>
      <c r="Q53" s="681" t="n"/>
      <c r="R53" s="681" t="n"/>
      <c r="S53" s="681" t="n"/>
      <c r="T53" s="681" t="n"/>
      <c r="U53" s="681" t="n"/>
      <c r="V53" s="681" t="n"/>
      <c r="W53" s="681" t="n"/>
      <c r="X53" s="681" t="n"/>
      <c r="Y53" s="681" t="n"/>
      <c r="Z53" s="681" t="n"/>
      <c r="AA53" s="681" t="n"/>
      <c r="AB53" s="681" t="n"/>
      <c r="AC53" s="681" t="n"/>
    </row>
    <row r="54">
      <c r="A54" s="1249" t="inlineStr">
        <is>
          <t xml:space="preserve">Eversure </t>
        </is>
      </c>
      <c r="B54" s="1249" t="inlineStr">
        <is>
          <t>Camera Gear Insurance</t>
        </is>
      </c>
      <c r="C54" s="1249" t="inlineStr">
        <is>
          <t>22nd</t>
        </is>
      </c>
      <c r="D54" s="1249" t="n">
        <v>34.13</v>
      </c>
      <c r="E54" s="1438">
        <f>39+(10*34)</f>
        <v/>
      </c>
      <c r="F54" s="1443">
        <f>D54/$D$103</f>
        <v/>
      </c>
      <c r="G54" s="956" t="n"/>
      <c r="H54" s="1448" t="inlineStr">
        <is>
          <t>BIPP/RPS</t>
        </is>
      </c>
      <c r="I54" s="1249" t="inlineStr">
        <is>
          <t>1st</t>
        </is>
      </c>
      <c r="J54" s="689">
        <f>SUM(K54:AD54)</f>
        <v/>
      </c>
      <c r="K54" s="681" t="n"/>
      <c r="L54" s="681" t="n"/>
      <c r="M54" s="681" t="n"/>
      <c r="N54" s="681" t="n"/>
      <c r="O54" s="681" t="n"/>
      <c r="P54" s="681" t="n"/>
      <c r="Q54" s="681" t="n"/>
      <c r="R54" s="681" t="n"/>
      <c r="S54" s="681" t="n"/>
      <c r="T54" s="681" t="n"/>
      <c r="U54" s="681" t="n"/>
      <c r="V54" s="681" t="n"/>
      <c r="W54" s="681" t="n"/>
      <c r="X54" s="681" t="n"/>
      <c r="Y54" s="681" t="n"/>
      <c r="Z54" s="681" t="n"/>
      <c r="AA54" s="681" t="n"/>
      <c r="AB54" s="681" t="n"/>
      <c r="AC54" s="681" t="n"/>
    </row>
    <row r="55">
      <c r="A55" s="1249" t="inlineStr">
        <is>
          <t>Sqaurewebsites.org</t>
        </is>
      </c>
      <c r="B55" s="1249" t="inlineStr">
        <is>
          <t>Michael Plugin</t>
        </is>
      </c>
      <c r="C55" s="1249" t="n"/>
      <c r="D55" s="1249">
        <f>E55/12</f>
        <v/>
      </c>
      <c r="E55" s="1438" t="n">
        <v>126</v>
      </c>
      <c r="F55" s="1443">
        <f>D55/$D$103</f>
        <v/>
      </c>
      <c r="G55" s="956" t="n"/>
      <c r="H55" s="1448" t="inlineStr">
        <is>
          <t>National Trust</t>
        </is>
      </c>
      <c r="I55" s="1249" t="inlineStr">
        <is>
          <t>6th</t>
        </is>
      </c>
      <c r="J55" s="689">
        <f>SUM(K55:AD55)</f>
        <v/>
      </c>
      <c r="K55" s="681" t="n"/>
      <c r="L55" s="681" t="n"/>
      <c r="M55" s="681" t="n"/>
      <c r="N55" s="681" t="n"/>
      <c r="O55" s="681" t="n"/>
      <c r="P55" s="681" t="n"/>
      <c r="Q55" s="681" t="n"/>
      <c r="R55" s="681" t="n"/>
      <c r="S55" s="681" t="n">
        <v>7</v>
      </c>
      <c r="T55" s="681" t="n">
        <v>7</v>
      </c>
      <c r="U55" s="681" t="n">
        <v>7</v>
      </c>
      <c r="V55" s="681" t="n">
        <v>7</v>
      </c>
      <c r="W55" s="681" t="n">
        <v>7</v>
      </c>
      <c r="X55" s="681" t="n">
        <v>7</v>
      </c>
      <c r="Y55" s="681" t="n">
        <v>7</v>
      </c>
      <c r="Z55" s="681" t="n">
        <v>7</v>
      </c>
      <c r="AA55" s="681" t="n">
        <v>7</v>
      </c>
      <c r="AB55" s="681" t="n">
        <v>7</v>
      </c>
      <c r="AC55" s="681" t="n">
        <v>7</v>
      </c>
    </row>
    <row r="56">
      <c r="A56" s="1249" t="inlineStr">
        <is>
          <t>On Landscape</t>
        </is>
      </c>
      <c r="B56" s="1249" t="inlineStr">
        <is>
          <t>Magazine</t>
        </is>
      </c>
      <c r="C56" s="1249" t="n"/>
      <c r="D56" s="1249">
        <f>E56/12</f>
        <v/>
      </c>
      <c r="E56" s="1438" t="n">
        <v>59</v>
      </c>
      <c r="F56" s="1443">
        <f>D56/$D$103</f>
        <v/>
      </c>
      <c r="G56" s="956" t="n"/>
      <c r="H56" s="1249" t="inlineStr">
        <is>
          <t>AXA Public Liability</t>
        </is>
      </c>
      <c r="I56" s="1249" t="inlineStr">
        <is>
          <t>16th</t>
        </is>
      </c>
      <c r="J56" s="689">
        <f>SUM(K56:AD56)</f>
        <v/>
      </c>
      <c r="K56" s="681" t="n"/>
      <c r="L56" s="681" t="n"/>
      <c r="M56" s="681" t="n"/>
      <c r="N56" s="681" t="n"/>
      <c r="O56" s="681" t="n"/>
      <c r="P56" s="681" t="n"/>
      <c r="Q56" s="681" t="n"/>
      <c r="R56" s="681" t="n"/>
      <c r="S56" s="681" t="n">
        <v>11</v>
      </c>
      <c r="T56" s="681" t="n">
        <v>11</v>
      </c>
      <c r="U56" s="681" t="n">
        <v>11</v>
      </c>
      <c r="V56" s="681" t="n">
        <v>11</v>
      </c>
      <c r="W56" s="681" t="n">
        <v>11</v>
      </c>
      <c r="X56" s="681" t="n">
        <v>11</v>
      </c>
      <c r="Y56" s="681" t="n">
        <v>11</v>
      </c>
      <c r="Z56" s="681" t="n">
        <v>11</v>
      </c>
      <c r="AA56" s="681" t="n">
        <v>11</v>
      </c>
      <c r="AB56" s="681" t="n">
        <v>11</v>
      </c>
      <c r="AC56" s="681" t="n">
        <v>11</v>
      </c>
    </row>
    <row r="57">
      <c r="A57" s="1249" t="inlineStr">
        <is>
          <t>BIPP/RPS</t>
        </is>
      </c>
      <c r="B57" s="1249" t="inlineStr">
        <is>
          <t>Professional Body Membership</t>
        </is>
      </c>
      <c r="C57" s="1249" t="inlineStr">
        <is>
          <t>3rd</t>
        </is>
      </c>
      <c r="D57" s="1249" t="n"/>
      <c r="E57" s="1438" t="n"/>
      <c r="F57" s="1443">
        <f>D57/$D$103</f>
        <v/>
      </c>
      <c r="G57" s="956" t="n"/>
      <c r="H57" s="1249" t="inlineStr">
        <is>
          <t>Squarspace Hosting</t>
        </is>
      </c>
      <c r="I57" s="1249" t="inlineStr">
        <is>
          <t>19th</t>
        </is>
      </c>
      <c r="J57" s="689">
        <f>SUM(K57:AD57)</f>
        <v/>
      </c>
      <c r="K57" s="681" t="n"/>
      <c r="L57" s="681" t="n"/>
      <c r="M57" s="681" t="n"/>
      <c r="N57" s="681" t="n"/>
      <c r="O57" s="681" t="n"/>
      <c r="P57" s="681" t="n">
        <v>50</v>
      </c>
      <c r="Q57" s="681" t="n"/>
      <c r="R57" s="681" t="n"/>
      <c r="S57" s="681" t="n">
        <v>50</v>
      </c>
      <c r="T57" s="681" t="n">
        <v>50</v>
      </c>
      <c r="U57" s="681" t="n">
        <v>50</v>
      </c>
      <c r="V57" s="681" t="n">
        <v>50</v>
      </c>
      <c r="W57" s="681" t="n">
        <v>50</v>
      </c>
      <c r="X57" s="681" t="n">
        <v>50</v>
      </c>
      <c r="Y57" s="681" t="n">
        <v>50</v>
      </c>
      <c r="Z57" s="681" t="n">
        <v>50</v>
      </c>
      <c r="AA57" s="681" t="n">
        <v>50</v>
      </c>
      <c r="AB57" s="681" t="n">
        <v>50</v>
      </c>
      <c r="AC57" s="681" t="n">
        <v>50</v>
      </c>
    </row>
    <row r="58">
      <c r="A58" s="1249" t="inlineStr">
        <is>
          <t>National Trust</t>
        </is>
      </c>
      <c r="B58" s="1249" t="inlineStr">
        <is>
          <t>Annual Membership</t>
        </is>
      </c>
      <c r="C58" s="1249" t="inlineStr">
        <is>
          <t>8th</t>
        </is>
      </c>
      <c r="D58" s="1249" t="n">
        <v>7</v>
      </c>
      <c r="E58" s="1438">
        <f>D58*12</f>
        <v/>
      </c>
      <c r="F58" s="1443">
        <f>D58/$D$103</f>
        <v/>
      </c>
      <c r="G58" s="956" t="n"/>
      <c r="H58" s="1249" t="inlineStr">
        <is>
          <t>Squarespace Marketig</t>
        </is>
      </c>
      <c r="I58" s="1249" t="n"/>
      <c r="J58" s="689">
        <f>SUM(K58:AD58)</f>
        <v/>
      </c>
      <c r="K58" s="681" t="n"/>
      <c r="L58" s="681" t="n"/>
      <c r="M58" s="681" t="n"/>
      <c r="N58" s="681" t="n"/>
      <c r="O58" s="681" t="n"/>
      <c r="P58" s="681" t="n"/>
      <c r="Q58" s="681" t="n"/>
      <c r="R58" s="681" t="n"/>
      <c r="S58" s="681" t="n"/>
      <c r="T58" s="681" t="n"/>
      <c r="U58" s="681" t="n"/>
      <c r="V58" s="681" t="n"/>
      <c r="W58" s="681" t="n"/>
      <c r="X58" s="681" t="n"/>
      <c r="Y58" s="681" t="n"/>
      <c r="Z58" s="681" t="n"/>
      <c r="AA58" s="681" t="n"/>
      <c r="AB58" s="681" t="n"/>
      <c r="AC58" s="681" t="n"/>
    </row>
    <row r="59">
      <c r="A59" s="1249" t="inlineStr">
        <is>
          <t>AXA Public Liability</t>
        </is>
      </c>
      <c r="B59" s="1249" t="inlineStr">
        <is>
          <t>Public Liability</t>
        </is>
      </c>
      <c r="C59" s="1249" t="inlineStr">
        <is>
          <t>16th</t>
        </is>
      </c>
      <c r="D59" s="1249" t="n">
        <v>11</v>
      </c>
      <c r="E59" s="1438">
        <f>D59*12</f>
        <v/>
      </c>
      <c r="F59" s="1443">
        <f>D59/$D$103</f>
        <v/>
      </c>
      <c r="G59" s="956" t="n"/>
      <c r="H59" s="1451" t="inlineStr">
        <is>
          <t>Elf SEO</t>
        </is>
      </c>
      <c r="I59" s="1249" t="inlineStr">
        <is>
          <t>15th</t>
        </is>
      </c>
      <c r="J59" s="689">
        <f>SUM(K59:AD59)</f>
        <v/>
      </c>
      <c r="K59" s="681" t="n"/>
      <c r="L59" s="681" t="n"/>
      <c r="M59" s="681" t="n"/>
      <c r="N59" s="681" t="n"/>
      <c r="O59" s="681" t="n"/>
      <c r="P59" s="681" t="n">
        <v>6</v>
      </c>
      <c r="Q59" s="681" t="n"/>
      <c r="R59" s="681" t="n"/>
      <c r="S59" s="681" t="n">
        <v>6</v>
      </c>
      <c r="T59" s="681" t="n">
        <v>6</v>
      </c>
      <c r="U59" s="681" t="n">
        <v>6</v>
      </c>
      <c r="V59" s="681" t="n">
        <v>6</v>
      </c>
      <c r="W59" s="681" t="n">
        <v>6</v>
      </c>
      <c r="X59" s="681" t="n">
        <v>6</v>
      </c>
      <c r="Y59" s="681" t="n">
        <v>6</v>
      </c>
      <c r="Z59" s="681" t="n">
        <v>6</v>
      </c>
      <c r="AA59" s="681" t="n">
        <v>6</v>
      </c>
      <c r="AB59" s="681" t="n">
        <v>6</v>
      </c>
      <c r="AC59" s="681" t="n">
        <v>6</v>
      </c>
    </row>
    <row r="60">
      <c r="A60" s="1249" t="inlineStr">
        <is>
          <t>Squarspace</t>
        </is>
      </c>
      <c r="B60" s="1249" t="inlineStr">
        <is>
          <t>Website Hosting/Platform</t>
        </is>
      </c>
      <c r="C60" s="1249" t="inlineStr">
        <is>
          <t>19th</t>
        </is>
      </c>
      <c r="D60" s="1249" t="n">
        <v>50</v>
      </c>
      <c r="E60" s="1438">
        <f>D60*12</f>
        <v/>
      </c>
      <c r="F60" s="1443">
        <f>D60/$D$103</f>
        <v/>
      </c>
      <c r="G60" s="956" t="n"/>
      <c r="H60" s="1448" t="inlineStr">
        <is>
          <t>Facebook Ads</t>
        </is>
      </c>
      <c r="I60" s="1249" t="inlineStr">
        <is>
          <t>1st</t>
        </is>
      </c>
      <c r="J60" s="689">
        <f>SUM(K60:AD60)</f>
        <v/>
      </c>
      <c r="K60" s="681" t="n"/>
      <c r="L60" s="681" t="n"/>
      <c r="M60" s="681" t="n"/>
      <c r="N60" s="681" t="n"/>
      <c r="O60" s="681" t="n"/>
      <c r="P60" s="681" t="n"/>
      <c r="Q60" s="681" t="n"/>
      <c r="R60" s="681" t="n"/>
      <c r="T60" s="681" t="n"/>
      <c r="U60" s="681" t="n"/>
      <c r="V60" s="681" t="n"/>
      <c r="W60" s="681" t="n"/>
      <c r="X60" s="681" t="n"/>
      <c r="Y60" s="681" t="n"/>
      <c r="Z60" s="681" t="n"/>
      <c r="AA60" s="681" t="n"/>
      <c r="AB60" s="681" t="n"/>
      <c r="AC60" s="681" t="n"/>
      <c r="AD60" s="681" t="n"/>
    </row>
    <row r="61">
      <c r="A61" s="1249" t="inlineStr">
        <is>
          <t>Embed Social/ELF</t>
        </is>
      </c>
      <c r="B61" s="1249" t="inlineStr">
        <is>
          <t>Customer Reviews/Pop Ups</t>
        </is>
      </c>
      <c r="C61" s="1249" t="inlineStr">
        <is>
          <t>11th</t>
        </is>
      </c>
      <c r="D61" s="1452" t="n">
        <v>6</v>
      </c>
      <c r="E61" s="1438">
        <f>D61*12</f>
        <v/>
      </c>
      <c r="F61" s="1443">
        <f>D61/$D$103</f>
        <v/>
      </c>
      <c r="G61" s="956" t="n"/>
      <c r="H61" s="1448" t="inlineStr">
        <is>
          <t>Google Ads</t>
        </is>
      </c>
      <c r="I61" s="1249" t="inlineStr">
        <is>
          <t>1st</t>
        </is>
      </c>
      <c r="J61" s="689">
        <f>SUM(K61:AD61)</f>
        <v/>
      </c>
      <c r="K61" s="681" t="n"/>
      <c r="L61" s="681" t="n"/>
      <c r="M61" s="681" t="n"/>
      <c r="N61" s="681" t="n"/>
      <c r="O61" s="681" t="n"/>
      <c r="P61" s="681" t="n"/>
      <c r="Q61" s="681" t="n"/>
      <c r="R61" s="681" t="n"/>
      <c r="T61" s="681" t="n"/>
      <c r="U61" s="681" t="n"/>
      <c r="V61" s="681" t="n"/>
      <c r="W61" s="681" t="n"/>
      <c r="X61" s="681" t="n"/>
      <c r="Y61" s="681" t="n"/>
      <c r="Z61" s="681" t="n"/>
      <c r="AA61" s="681" t="n"/>
      <c r="AB61" s="681" t="n"/>
      <c r="AC61" s="681" t="n"/>
      <c r="AD61" s="681" t="n"/>
    </row>
    <row r="62">
      <c r="A62" s="1249" t="inlineStr">
        <is>
          <t>Facebook Ads</t>
        </is>
      </c>
      <c r="B62" s="1249" t="inlineStr">
        <is>
          <t>Marketing</t>
        </is>
      </c>
      <c r="C62" s="1249" t="inlineStr">
        <is>
          <t>1st</t>
        </is>
      </c>
      <c r="D62" s="1249" t="n"/>
      <c r="E62" s="1453" t="n"/>
      <c r="F62" s="1443">
        <f>D62/$D$103</f>
        <v/>
      </c>
      <c r="G62" s="956" t="n"/>
      <c r="H62" s="1249" t="n"/>
      <c r="J62" s="689">
        <f>SUM(K62:AD62)</f>
        <v/>
      </c>
      <c r="K62" s="681" t="n"/>
      <c r="L62" s="681" t="n"/>
      <c r="M62" s="681" t="n"/>
      <c r="N62" s="681" t="n"/>
      <c r="O62" s="681" t="n"/>
      <c r="P62" s="681" t="n"/>
      <c r="Q62" s="681" t="n"/>
      <c r="R62" s="681" t="n"/>
      <c r="T62" s="681" t="n"/>
      <c r="U62" s="681" t="n"/>
      <c r="V62" s="681" t="n"/>
      <c r="W62" s="681" t="n"/>
      <c r="X62" s="681" t="n"/>
      <c r="Y62" s="681" t="n"/>
      <c r="Z62" s="681" t="n"/>
      <c r="AA62" s="681" t="n"/>
      <c r="AB62" s="681" t="n"/>
      <c r="AC62" s="681" t="n"/>
      <c r="AD62" s="681" t="n"/>
    </row>
    <row r="63" ht="13.5" customHeight="1" s="1232" thickBot="1">
      <c r="A63" s="1249" t="inlineStr">
        <is>
          <t>Google Ads</t>
        </is>
      </c>
      <c r="B63" s="1249" t="inlineStr">
        <is>
          <t>Marketing</t>
        </is>
      </c>
      <c r="C63" s="1249" t="inlineStr">
        <is>
          <t>1st</t>
        </is>
      </c>
      <c r="D63" s="1249" t="n"/>
      <c r="E63" s="1453" t="n"/>
      <c r="F63" s="1443">
        <f>D63/$D$103</f>
        <v/>
      </c>
      <c r="G63" s="956" t="n"/>
      <c r="H63" s="1432" t="inlineStr">
        <is>
          <t>Outgoings</t>
        </is>
      </c>
      <c r="I63" s="1432" t="n"/>
      <c r="J63" s="738">
        <f>SUM(K63:AD63)</f>
        <v/>
      </c>
      <c r="K63" s="687">
        <f>SUM(K13:K62)</f>
        <v/>
      </c>
      <c r="L63" s="687">
        <f>SUM(L13:L62)</f>
        <v/>
      </c>
      <c r="M63" s="687">
        <f>SUM(M13:M62)</f>
        <v/>
      </c>
      <c r="N63" s="687">
        <f>SUM(N13:N62)</f>
        <v/>
      </c>
      <c r="O63" s="687">
        <f>SUM(O13:O62)</f>
        <v/>
      </c>
      <c r="P63" s="687">
        <f>SUM(P13:P62)</f>
        <v/>
      </c>
      <c r="Q63" s="687">
        <f>SUM(Q13:Q62)</f>
        <v/>
      </c>
      <c r="R63" s="687">
        <f>SUM(R13:R62)</f>
        <v/>
      </c>
      <c r="S63" s="687">
        <f>SUM(S13:S62)</f>
        <v/>
      </c>
      <c r="T63" s="687">
        <f>SUM(T13:T62)</f>
        <v/>
      </c>
      <c r="U63" s="687">
        <f>SUM(U13:U62)</f>
        <v/>
      </c>
      <c r="V63" s="687">
        <f>SUM(V13:V62)</f>
        <v/>
      </c>
      <c r="W63" s="687">
        <f>SUM(W13:W62)</f>
        <v/>
      </c>
      <c r="X63" s="687">
        <f>SUM(X13:X62)</f>
        <v/>
      </c>
      <c r="Y63" s="687">
        <f>SUM(Y13:Y62)</f>
        <v/>
      </c>
      <c r="Z63" s="687">
        <f>SUM(Z13:Z62)</f>
        <v/>
      </c>
      <c r="AA63" s="687">
        <f>SUM(AA13:AA62)</f>
        <v/>
      </c>
      <c r="AB63" s="687">
        <f>SUM(AB13:AB62)</f>
        <v/>
      </c>
      <c r="AC63" s="687">
        <f>SUM(AC13:AC62)</f>
        <v/>
      </c>
      <c r="AD63" s="687">
        <f>SUM(AD13:AD62)</f>
        <v/>
      </c>
    </row>
    <row r="64">
      <c r="A64" s="1249" t="inlineStr">
        <is>
          <t>Zoom</t>
        </is>
      </c>
      <c r="B64" s="1249" t="inlineStr">
        <is>
          <t>Online Client Lessons</t>
        </is>
      </c>
      <c r="C64" s="1249" t="inlineStr">
        <is>
          <t>30th</t>
        </is>
      </c>
      <c r="D64" s="1249" t="n">
        <v>15</v>
      </c>
      <c r="E64" s="1438">
        <f>D64*12</f>
        <v/>
      </c>
      <c r="F64" s="1443">
        <f>D64/$D$103</f>
        <v/>
      </c>
      <c r="G64" s="956" t="n"/>
    </row>
    <row r="65" ht="13.5" customHeight="1" s="1232" thickBot="1">
      <c r="A65" s="1249" t="inlineStr">
        <is>
          <t>Google G-Suite</t>
        </is>
      </c>
      <c r="B65" s="1249" t="inlineStr">
        <is>
          <t>Email Service</t>
        </is>
      </c>
      <c r="C65" s="1249" t="inlineStr">
        <is>
          <t>annual</t>
        </is>
      </c>
      <c r="D65" s="1249" t="n">
        <v>7</v>
      </c>
      <c r="E65" s="1438">
        <f>D65*12</f>
        <v/>
      </c>
      <c r="F65" s="1443">
        <f>D65/$D$103</f>
        <v/>
      </c>
      <c r="G65" s="956" t="n"/>
      <c r="H65" s="1454" t="inlineStr">
        <is>
          <t>Total Outgoings</t>
        </is>
      </c>
      <c r="I65" s="1455" t="n"/>
      <c r="J65" s="747">
        <f>SUM(K65:AD65)</f>
        <v/>
      </c>
      <c r="K65" s="699">
        <f>SUM(K63+K12)</f>
        <v/>
      </c>
      <c r="L65" s="699">
        <f>SUM(L63+L12)</f>
        <v/>
      </c>
      <c r="M65" s="699">
        <f>SUM(M63+M12)</f>
        <v/>
      </c>
      <c r="N65" s="699">
        <f>SUM(N63+N12)</f>
        <v/>
      </c>
      <c r="O65" s="699">
        <f>SUM(O63+O12)</f>
        <v/>
      </c>
      <c r="P65" s="699">
        <f>SUM(P63+P12)</f>
        <v/>
      </c>
      <c r="Q65" s="699">
        <f>SUM(Q63+Q12)</f>
        <v/>
      </c>
      <c r="R65" s="699">
        <f>SUM(R63+R12)</f>
        <v/>
      </c>
      <c r="S65" s="699">
        <f>SUM(S63+S12)</f>
        <v/>
      </c>
      <c r="T65" s="699">
        <f>SUM(T63+T12)</f>
        <v/>
      </c>
      <c r="U65" s="699">
        <f>SUM(U63+U12)</f>
        <v/>
      </c>
      <c r="V65" s="699">
        <f>SUM(V63+V12)</f>
        <v/>
      </c>
      <c r="W65" s="699">
        <f>SUM(W63+W12)</f>
        <v/>
      </c>
      <c r="X65" s="699">
        <f>SUM(X63+X12)</f>
        <v/>
      </c>
      <c r="Y65" s="699">
        <f>SUM(Y63+Y12)</f>
        <v/>
      </c>
      <c r="Z65" s="699">
        <f>SUM(Z63+Z12)</f>
        <v/>
      </c>
      <c r="AA65" s="699">
        <f>SUM(AA63+AA12)</f>
        <v/>
      </c>
      <c r="AB65" s="699">
        <f>SUM(AB63+AB12)</f>
        <v/>
      </c>
      <c r="AC65" s="699">
        <f>SUM(AC63+AC12)</f>
        <v/>
      </c>
      <c r="AD65" s="699">
        <f>SUM(AD63+AD12)</f>
        <v/>
      </c>
    </row>
    <row r="66" ht="13.15" customHeight="1" s="1232" thickTop="1">
      <c r="A66" s="1249" t="inlineStr">
        <is>
          <t>Tiny JPG</t>
        </is>
      </c>
      <c r="B66" s="1249" t="inlineStr">
        <is>
          <t>Image Compression/Website</t>
        </is>
      </c>
      <c r="C66" s="1249" t="inlineStr">
        <is>
          <t>annual</t>
        </is>
      </c>
      <c r="D66" s="1249" t="n"/>
      <c r="E66" s="1438">
        <f>D66*12</f>
        <v/>
      </c>
      <c r="F66" s="1443">
        <f>D66/$D$103</f>
        <v/>
      </c>
      <c r="G66" s="956" t="n"/>
      <c r="H66" s="1249" t="n"/>
      <c r="I66" s="1249" t="n"/>
      <c r="J66" s="1249" t="n"/>
      <c r="K66" s="681" t="n"/>
      <c r="L66" s="576" t="n"/>
      <c r="M66" s="576" t="n"/>
      <c r="N66" s="576" t="n"/>
      <c r="O66" s="576" t="n"/>
      <c r="P66" s="576" t="n"/>
      <c r="Q66" s="576" t="n"/>
      <c r="R66" s="576" t="n"/>
      <c r="S66" s="576" t="n"/>
      <c r="T66" s="576" t="n"/>
      <c r="U66" s="576" t="n"/>
      <c r="V66" s="576" t="n"/>
    </row>
    <row r="67" ht="13.15" customHeight="1" s="1232">
      <c r="A67" s="1249" t="inlineStr">
        <is>
          <t>Grammerly</t>
        </is>
      </c>
      <c r="B67" s="1249" t="inlineStr">
        <is>
          <t>English/Grammar Checker</t>
        </is>
      </c>
      <c r="C67" s="1249" t="inlineStr">
        <is>
          <t>annual - Sep</t>
        </is>
      </c>
      <c r="D67" s="1249" t="n">
        <v>12</v>
      </c>
      <c r="E67" s="1438">
        <f>D67*12</f>
        <v/>
      </c>
      <c r="F67" s="1443">
        <f>D67/$D$103</f>
        <v/>
      </c>
      <c r="G67" s="956" t="n"/>
      <c r="H67" s="1456" t="inlineStr">
        <is>
          <t>Bank Bal</t>
        </is>
      </c>
      <c r="I67" s="1456" t="n"/>
      <c r="J67" s="689">
        <f>SUM(K67:AD67)</f>
        <v/>
      </c>
      <c r="K67" s="707" t="n">
        <v>-1000</v>
      </c>
      <c r="L67" s="689" t="n"/>
      <c r="M67" s="689" t="n"/>
      <c r="N67" s="689" t="n"/>
      <c r="O67" s="689" t="n"/>
      <c r="P67" s="689" t="n"/>
      <c r="Q67" s="689" t="n"/>
      <c r="R67" s="689" t="n"/>
      <c r="S67" s="689" t="n"/>
      <c r="T67" s="689" t="n"/>
      <c r="U67" s="689" t="n"/>
      <c r="V67" s="689" t="n"/>
      <c r="W67" s="689" t="n"/>
      <c r="X67" s="689" t="n"/>
      <c r="Y67" s="689" t="n"/>
      <c r="Z67" s="689" t="n"/>
      <c r="AA67" s="689" t="n"/>
      <c r="AB67" s="689" t="n"/>
      <c r="AC67" s="689" t="n"/>
      <c r="AD67" s="689" t="n"/>
    </row>
    <row r="68" ht="13.15" customHeight="1" s="1232">
      <c r="A68" s="1249" t="inlineStr">
        <is>
          <t>Microsoft</t>
        </is>
      </c>
      <c r="B68" s="1249" t="inlineStr">
        <is>
          <t>Software - Home 365</t>
        </is>
      </c>
      <c r="C68" s="1249" t="inlineStr">
        <is>
          <t>annual</t>
        </is>
      </c>
      <c r="D68" s="1249" t="n">
        <v>7</v>
      </c>
      <c r="E68" s="1438">
        <f>D68*12</f>
        <v/>
      </c>
      <c r="F68" s="1443">
        <f>D68/$D$103</f>
        <v/>
      </c>
      <c r="G68" s="956" t="n"/>
      <c r="H68" s="1456" t="inlineStr">
        <is>
          <t>Stripe In Transit</t>
        </is>
      </c>
      <c r="I68" s="1456" t="n"/>
      <c r="J68" s="689">
        <f>SUM(K68:AD68)</f>
        <v/>
      </c>
      <c r="K68" s="689" t="n"/>
      <c r="L68" s="689" t="n"/>
      <c r="M68" s="689" t="n"/>
      <c r="N68" s="689" t="n"/>
      <c r="O68" s="689" t="n"/>
      <c r="P68" s="689" t="n">
        <v>1500</v>
      </c>
      <c r="Q68" s="689" t="n"/>
      <c r="R68" s="689" t="n"/>
      <c r="S68" s="689" t="n"/>
      <c r="T68" s="689" t="n"/>
      <c r="U68" s="689" t="n"/>
      <c r="V68" s="689" t="n"/>
      <c r="W68" s="689" t="n"/>
      <c r="X68" s="689" t="n"/>
      <c r="Y68" s="689" t="n"/>
      <c r="Z68" s="689" t="n"/>
      <c r="AA68" s="689" t="n"/>
      <c r="AB68" s="689" t="n"/>
      <c r="AC68" s="689" t="n"/>
      <c r="AD68" s="689" t="n"/>
    </row>
    <row r="69" ht="13.15" customHeight="1" s="1232">
      <c r="A69" s="1249" t="inlineStr">
        <is>
          <t>Local Viking</t>
        </is>
      </c>
      <c r="B69" s="1249" t="inlineStr">
        <is>
          <t>Google My Business Listings</t>
        </is>
      </c>
      <c r="C69" s="1249" t="inlineStr">
        <is>
          <t>20th</t>
        </is>
      </c>
      <c r="D69" s="1433" t="n">
        <v>15</v>
      </c>
      <c r="E69" s="1438">
        <f>D69*12</f>
        <v/>
      </c>
      <c r="F69" s="1443">
        <f>D69/$D$103</f>
        <v/>
      </c>
      <c r="G69" s="956" t="n"/>
      <c r="H69" s="1456" t="inlineStr">
        <is>
          <t>PayPal</t>
        </is>
      </c>
      <c r="I69" s="1456" t="n"/>
      <c r="J69" s="689">
        <f>SUM(K69:AD69)</f>
        <v/>
      </c>
      <c r="K69" s="707" t="n">
        <v>164</v>
      </c>
      <c r="L69" s="689" t="n"/>
      <c r="M69" s="689" t="n"/>
      <c r="N69" s="689" t="n"/>
      <c r="O69" s="689" t="n"/>
      <c r="P69" s="689" t="n"/>
      <c r="Q69" s="689" t="n"/>
      <c r="R69" s="689" t="n"/>
      <c r="S69" s="689" t="n"/>
      <c r="T69" s="689" t="n"/>
      <c r="U69" s="689" t="n"/>
      <c r="V69" s="689" t="n"/>
      <c r="W69" s="689" t="n"/>
      <c r="X69" s="689" t="n"/>
      <c r="Y69" s="689" t="n"/>
      <c r="Z69" s="689" t="n"/>
      <c r="AA69" s="689" t="n"/>
      <c r="AB69" s="689" t="n"/>
      <c r="AC69" s="689" t="n"/>
      <c r="AD69" s="689" t="n"/>
    </row>
    <row r="70" ht="13.15" customHeight="1" s="1232">
      <c r="A70" s="1249" t="inlineStr">
        <is>
          <t>Carbon Footprint/Trees</t>
        </is>
      </c>
      <c r="B70" s="1249" t="inlineStr">
        <is>
          <t>Carbon Offset</t>
        </is>
      </c>
      <c r="D70" s="1433" t="n">
        <v>10</v>
      </c>
      <c r="E70" s="1438">
        <f>D70*12</f>
        <v/>
      </c>
      <c r="F70" s="1443">
        <f>D70/$D$103</f>
        <v/>
      </c>
      <c r="G70" s="956" t="n"/>
      <c r="H70" s="1456" t="inlineStr">
        <is>
          <t>Other</t>
        </is>
      </c>
      <c r="I70" s="1456" t="n"/>
      <c r="J70" s="689">
        <f>SUM(K70:AD70)</f>
        <v/>
      </c>
      <c r="K70" s="689" t="n"/>
      <c r="L70" s="689" t="n"/>
      <c r="M70" s="689" t="n"/>
      <c r="N70" s="689" t="n"/>
      <c r="O70" s="689" t="n"/>
      <c r="P70" s="689" t="n"/>
      <c r="Q70" s="689" t="n"/>
      <c r="R70" s="689" t="n"/>
      <c r="S70" s="689" t="n"/>
      <c r="T70" s="689" t="n">
        <v>1100</v>
      </c>
      <c r="U70" s="689" t="n"/>
      <c r="V70" s="689" t="n"/>
      <c r="W70" s="689" t="n"/>
      <c r="X70" s="689" t="n"/>
      <c r="Y70" s="689" t="n"/>
      <c r="Z70" s="689" t="n"/>
      <c r="AA70" s="689" t="n"/>
      <c r="AB70" s="689" t="n"/>
      <c r="AC70" s="689" t="n"/>
      <c r="AD70" s="689" t="n"/>
    </row>
    <row r="71" ht="13.15" customHeight="1" s="1232">
      <c r="A71" s="1249" t="inlineStr">
        <is>
          <t>Writesonic</t>
        </is>
      </c>
      <c r="B71" s="1249" t="inlineStr">
        <is>
          <t>AI / SEO</t>
        </is>
      </c>
      <c r="C71" s="1249" t="n"/>
      <c r="D71" s="1249" t="n">
        <v>25</v>
      </c>
      <c r="E71" s="1438">
        <f>D71*12</f>
        <v/>
      </c>
      <c r="F71" s="1443">
        <f>D71/$D$103</f>
        <v/>
      </c>
      <c r="G71" s="956" t="n"/>
      <c r="H71" s="1456" t="inlineStr">
        <is>
          <t>Cr Card Capacity</t>
        </is>
      </c>
      <c r="I71" s="1456" t="n"/>
      <c r="J71" s="689">
        <f>SUM(K71:AD71)</f>
        <v/>
      </c>
      <c r="K71" s="707">
        <f>350+495+2000+445</f>
        <v/>
      </c>
      <c r="L71" s="689" t="n"/>
      <c r="M71" s="689" t="n"/>
      <c r="N71" s="689" t="n"/>
      <c r="O71" s="689" t="n"/>
      <c r="P71" s="689" t="n"/>
      <c r="Q71" s="689" t="n"/>
      <c r="R71" s="689" t="n"/>
      <c r="S71" s="689" t="n"/>
      <c r="T71" s="689" t="n"/>
      <c r="U71" s="689" t="n"/>
      <c r="V71" s="689" t="n"/>
      <c r="W71" s="689" t="n"/>
      <c r="X71" s="689" t="n"/>
      <c r="Y71" s="689" t="n"/>
      <c r="Z71" s="689" t="n"/>
      <c r="AA71" s="689" t="n"/>
      <c r="AB71" s="689" t="n"/>
      <c r="AC71" s="689" t="n"/>
      <c r="AD71" s="689" t="n"/>
    </row>
    <row r="72" ht="13.15" customHeight="1" s="1232">
      <c r="A72" s="1249" t="inlineStr">
        <is>
          <t>Surrinder</t>
        </is>
      </c>
      <c r="B72" s="1249" t="inlineStr">
        <is>
          <t>Accountant</t>
        </is>
      </c>
      <c r="D72" s="1249" t="n">
        <v>20</v>
      </c>
      <c r="E72" s="1438">
        <f>D72*12</f>
        <v/>
      </c>
      <c r="F72" s="1443">
        <f>D72/$D$103</f>
        <v/>
      </c>
      <c r="G72" s="956" t="n"/>
      <c r="H72" s="1456" t="inlineStr">
        <is>
          <t>Deals Won In Transit</t>
        </is>
      </c>
      <c r="I72" s="1456" t="n"/>
      <c r="J72" s="689">
        <f>SUM(K72:Y72)</f>
        <v/>
      </c>
      <c r="K72" s="689" t="n"/>
      <c r="L72" s="689" t="n"/>
      <c r="M72" s="689" t="n"/>
      <c r="N72" s="689" t="n"/>
      <c r="O72" s="689" t="n"/>
      <c r="P72" s="689" t="n"/>
      <c r="Q72" s="689" t="n"/>
      <c r="R72" s="689" t="n"/>
      <c r="S72" s="689" t="n"/>
      <c r="T72" s="689" t="n"/>
      <c r="U72" s="689" t="n"/>
      <c r="V72" s="689" t="n"/>
      <c r="W72" s="689" t="n"/>
      <c r="X72" s="689" t="n"/>
      <c r="Y72" s="689" t="n"/>
      <c r="Z72" s="689" t="n"/>
      <c r="AA72" s="689" t="n"/>
      <c r="AB72" s="689" t="n"/>
      <c r="AC72" s="689" t="n"/>
      <c r="AD72" s="689" t="n"/>
    </row>
    <row r="73" ht="13.15" customHeight="1" s="1232">
      <c r="A73" s="1249" t="inlineStr">
        <is>
          <t>HMRC</t>
        </is>
      </c>
      <c r="B73" s="1249" t="inlineStr">
        <is>
          <t>NICs</t>
        </is>
      </c>
      <c r="C73" s="1249" t="n"/>
      <c r="D73" s="1249" t="n"/>
      <c r="E73" s="1438">
        <f>D73*12</f>
        <v/>
      </c>
      <c r="F73" s="1443">
        <f>D73/$D$103</f>
        <v/>
      </c>
      <c r="G73" s="956" t="n"/>
      <c r="H73" s="1456" t="inlineStr">
        <is>
          <t>Savings</t>
        </is>
      </c>
      <c r="I73" s="1456" t="n"/>
      <c r="J73" s="689">
        <f>SUM(K73:Y73)</f>
        <v/>
      </c>
      <c r="K73" s="707" t="n">
        <v>7000</v>
      </c>
      <c r="L73" s="689" t="n"/>
      <c r="M73" s="689" t="n"/>
      <c r="N73" s="689" t="n"/>
      <c r="O73" s="689" t="n"/>
      <c r="P73" s="689" t="n"/>
      <c r="Q73" s="689" t="n"/>
      <c r="R73" s="689" t="n"/>
      <c r="S73" s="689" t="n"/>
      <c r="T73" s="689" t="n"/>
      <c r="U73" s="689" t="n"/>
      <c r="V73" s="689" t="n"/>
      <c r="W73" s="689" t="n"/>
      <c r="X73" s="689" t="n"/>
      <c r="Y73" s="689" t="n"/>
      <c r="Z73" s="689" t="n"/>
      <c r="AA73" s="689" t="n"/>
      <c r="AB73" s="689" t="n"/>
      <c r="AC73" s="689" t="n"/>
      <c r="AD73" s="689" t="n"/>
    </row>
    <row r="74" ht="13.15" customHeight="1" s="1232">
      <c r="A74" s="1249" t="inlineStr">
        <is>
          <t>Bitly</t>
        </is>
      </c>
      <c r="B74" s="1249" t="inlineStr">
        <is>
          <t>QR-Code Application</t>
        </is>
      </c>
      <c r="E74" s="1438">
        <f>D74*12</f>
        <v/>
      </c>
      <c r="F74" s="1443">
        <f>D74/$D$103</f>
        <v/>
      </c>
      <c r="G74" s="956" t="n"/>
      <c r="H74" s="1456" t="inlineStr">
        <is>
          <t>JLR Sales</t>
        </is>
      </c>
      <c r="I74" s="1456" t="n"/>
      <c r="J74" s="689">
        <f>SUM(K74:Y74)</f>
        <v/>
      </c>
      <c r="K74" s="1131" t="n">
        <v>0</v>
      </c>
      <c r="L74" s="1131" t="n">
        <v>0</v>
      </c>
      <c r="M74" s="1131" t="n"/>
      <c r="N74" s="1131" t="n"/>
      <c r="O74" s="1131" t="n">
        <v>0</v>
      </c>
      <c r="P74" s="1131" t="n">
        <v>0</v>
      </c>
      <c r="Q74" s="1131" t="n"/>
      <c r="R74" s="1131" t="n">
        <v>125</v>
      </c>
      <c r="S74" s="1131" t="n">
        <v>1700</v>
      </c>
      <c r="T74" s="1131" t="n">
        <v>1000</v>
      </c>
      <c r="U74" s="1131" t="n">
        <v>3101</v>
      </c>
      <c r="V74" s="1131" t="n">
        <v>165</v>
      </c>
      <c r="W74" s="1131" t="n">
        <v>170</v>
      </c>
      <c r="X74" s="1131" t="n">
        <v>30</v>
      </c>
      <c r="Y74" s="1131" t="n">
        <v>30</v>
      </c>
      <c r="Z74" s="689" t="n"/>
      <c r="AA74" s="689" t="n"/>
      <c r="AB74" s="689" t="n"/>
      <c r="AC74" s="689" t="n"/>
      <c r="AD74" s="689" t="n"/>
    </row>
    <row r="75" ht="13.15" customHeight="1" s="1232">
      <c r="A75" s="1249" t="inlineStr">
        <is>
          <t>Goodsync</t>
        </is>
      </c>
      <c r="B75" s="1249" t="inlineStr">
        <is>
          <t>Backup Software</t>
        </is>
      </c>
      <c r="D75" s="1433">
        <f>30/12</f>
        <v/>
      </c>
      <c r="E75" s="1438">
        <f>D75*12</f>
        <v/>
      </c>
      <c r="F75" s="1443">
        <f>D75/$D$103</f>
        <v/>
      </c>
      <c r="G75" s="956" t="n"/>
      <c r="H75" s="1456" t="inlineStr">
        <is>
          <t>Other Sales</t>
        </is>
      </c>
      <c r="I75" s="938">
        <f>D107/4.2</f>
        <v/>
      </c>
      <c r="J75" s="689">
        <f>SUM(K75:Y75)</f>
        <v/>
      </c>
      <c r="K75" s="748" t="n"/>
      <c r="L75" s="748" t="n"/>
      <c r="M75" s="748" t="n"/>
      <c r="N75" s="748" t="n"/>
      <c r="O75" s="748" t="n">
        <v>0</v>
      </c>
      <c r="P75" s="748" t="n">
        <v>250</v>
      </c>
      <c r="Q75" s="748" t="n">
        <v>250</v>
      </c>
      <c r="R75" s="748" t="n">
        <v>250</v>
      </c>
      <c r="S75" s="748" t="n">
        <v>1000</v>
      </c>
      <c r="T75" s="748" t="n">
        <v>1000</v>
      </c>
      <c r="U75" s="748" t="n">
        <v>1000</v>
      </c>
      <c r="V75" s="748" t="n">
        <v>1000</v>
      </c>
      <c r="W75" s="748" t="n">
        <v>1000</v>
      </c>
      <c r="X75" s="748" t="n">
        <v>1000</v>
      </c>
      <c r="Y75" s="748" t="n">
        <v>1000</v>
      </c>
      <c r="Z75" s="748" t="n">
        <v>2000</v>
      </c>
      <c r="AA75" s="748" t="n">
        <v>1500</v>
      </c>
      <c r="AB75" s="748" t="n">
        <v>1500</v>
      </c>
      <c r="AC75" s="748" t="n">
        <v>1500</v>
      </c>
      <c r="AD75" s="748" t="n">
        <v>1500</v>
      </c>
    </row>
    <row r="76" ht="13.15" customHeight="1" s="1232">
      <c r="A76" s="1249" t="n"/>
      <c r="B76" s="1249" t="n"/>
      <c r="F76" s="1443">
        <f>D76/$D$103</f>
        <v/>
      </c>
      <c r="G76" s="956" t="n"/>
      <c r="H76" s="1456" t="n"/>
      <c r="I76" s="1456" t="n"/>
      <c r="J76" s="689">
        <f>SUM(K76:Y76)</f>
        <v/>
      </c>
      <c r="K76" s="692" t="n"/>
      <c r="L76" s="692" t="n"/>
      <c r="M76" s="692" t="n"/>
      <c r="N76" s="692" t="n"/>
      <c r="O76" s="692" t="n"/>
      <c r="P76" s="692" t="n"/>
      <c r="Q76" s="692" t="n"/>
      <c r="R76" s="692" t="n"/>
      <c r="S76" s="692" t="n"/>
      <c r="T76" s="692" t="n"/>
      <c r="U76" s="692" t="n"/>
      <c r="V76" s="692" t="n"/>
      <c r="W76" s="692" t="n"/>
      <c r="X76" s="692" t="n"/>
      <c r="Y76" s="692" t="n"/>
      <c r="Z76" s="692" t="n"/>
      <c r="AA76" s="692" t="n"/>
      <c r="AB76" s="692" t="n"/>
      <c r="AC76" s="692" t="n"/>
      <c r="AD76" s="692" t="n"/>
    </row>
    <row r="77" ht="13.15" customHeight="1" s="1232">
      <c r="A77" s="1249" t="inlineStr">
        <is>
          <t>Allintitle</t>
        </is>
      </c>
      <c r="B77" s="1249" t="n"/>
      <c r="F77" s="1443">
        <f>D77/$D$103</f>
        <v/>
      </c>
      <c r="G77" s="956" t="n"/>
      <c r="H77" s="1456" t="n"/>
      <c r="I77" s="1456" t="n"/>
      <c r="J77" s="689">
        <f>SUM(K77:Y77)</f>
        <v/>
      </c>
      <c r="K77" s="692" t="n"/>
      <c r="L77" s="692" t="n"/>
      <c r="M77" s="692" t="n"/>
      <c r="N77" s="692" t="n"/>
      <c r="O77" s="692" t="n"/>
      <c r="P77" s="692" t="n"/>
      <c r="Q77" s="692" t="n"/>
      <c r="R77" s="692" t="n"/>
      <c r="S77" s="692" t="n"/>
      <c r="T77" s="692" t="n"/>
      <c r="U77" s="692" t="n"/>
      <c r="V77" s="692" t="n"/>
      <c r="W77" s="692" t="n"/>
      <c r="X77" s="692" t="n"/>
      <c r="Y77" s="692" t="n"/>
      <c r="Z77" s="692" t="n"/>
      <c r="AA77" s="692" t="n"/>
      <c r="AB77" s="692" t="n"/>
      <c r="AC77" s="692" t="n"/>
      <c r="AD77" s="692" t="n"/>
    </row>
    <row r="78" ht="13.15" customHeight="1" s="1232">
      <c r="A78" s="1249" t="inlineStr">
        <is>
          <t>Keywords Anywhere</t>
        </is>
      </c>
      <c r="B78" s="1249" t="n"/>
      <c r="F78" s="1443">
        <f>D78/$D$103</f>
        <v/>
      </c>
      <c r="G78" s="956" t="n"/>
      <c r="H78" s="1456" t="inlineStr">
        <is>
          <t>Pick N Mix Kirsten Qtrly</t>
        </is>
      </c>
      <c r="I78" s="1456" t="n"/>
      <c r="J78" s="689">
        <f>SUM(K78:Y78)</f>
        <v/>
      </c>
      <c r="K78" s="692" t="n"/>
      <c r="L78" s="692" t="n"/>
      <c r="M78" s="692" t="n"/>
      <c r="N78" s="692" t="n"/>
      <c r="O78" s="692" t="n"/>
      <c r="P78" s="692" t="n"/>
      <c r="Q78" s="692" t="n"/>
      <c r="R78" s="692" t="n"/>
      <c r="S78" s="692" t="n"/>
      <c r="T78" s="692" t="n"/>
      <c r="U78" s="692" t="n"/>
      <c r="V78" s="692" t="n"/>
      <c r="W78" s="692" t="n"/>
      <c r="X78" s="692" t="n"/>
      <c r="Y78" s="692" t="n"/>
      <c r="Z78" s="692" t="n"/>
      <c r="AA78" s="692" t="n"/>
      <c r="AB78" s="692" t="n"/>
      <c r="AC78" s="692" t="n"/>
      <c r="AD78" s="692" t="n"/>
    </row>
    <row r="79" ht="13.15" customHeight="1" s="1232">
      <c r="A79" s="1249" t="n"/>
      <c r="B79" s="1249" t="n"/>
      <c r="F79" s="1443">
        <f>D79/$D$103</f>
        <v/>
      </c>
      <c r="G79" s="956" t="n"/>
      <c r="H79" s="1456" t="n"/>
      <c r="I79" s="1456" t="n"/>
      <c r="J79" s="689">
        <f>SUM(K79:AD79)</f>
        <v/>
      </c>
      <c r="K79" s="692" t="n"/>
      <c r="L79" s="692" t="n"/>
      <c r="M79" s="692" t="n"/>
      <c r="N79" s="692" t="n"/>
      <c r="O79" s="692" t="n"/>
      <c r="P79" s="692" t="n"/>
      <c r="Q79" s="692" t="n"/>
      <c r="R79" s="692" t="n"/>
      <c r="S79" s="692" t="n"/>
      <c r="T79" s="692" t="n"/>
      <c r="U79" s="692" t="n"/>
      <c r="V79" s="692" t="n"/>
      <c r="W79" s="692" t="n"/>
      <c r="X79" s="692" t="n"/>
      <c r="Y79" s="692" t="n"/>
      <c r="Z79" s="692" t="n"/>
      <c r="AA79" s="692" t="n"/>
      <c r="AB79" s="692" t="n"/>
      <c r="AC79" s="692" t="n"/>
      <c r="AD79" s="692" t="n"/>
    </row>
    <row r="80" ht="13.15" customHeight="1" s="1232">
      <c r="F80" s="1443">
        <f>D80/$D$103</f>
        <v/>
      </c>
      <c r="H80" s="1456" t="n"/>
      <c r="I80" s="1456" t="n"/>
      <c r="J80" s="689">
        <f>SUM(K80:AD80)</f>
        <v/>
      </c>
      <c r="K80" s="692" t="n"/>
      <c r="L80" s="692" t="n"/>
      <c r="M80" s="692" t="n"/>
      <c r="N80" s="692" t="n"/>
      <c r="O80" s="692" t="n"/>
      <c r="P80" s="692" t="n"/>
      <c r="Q80" s="692" t="n"/>
      <c r="R80" s="692" t="n"/>
      <c r="S80" s="692" t="n"/>
      <c r="T80" s="692" t="n"/>
      <c r="U80" s="692" t="n"/>
      <c r="V80" s="692" t="n"/>
      <c r="W80" s="692" t="n"/>
      <c r="X80" s="692" t="n"/>
      <c r="Y80" s="692" t="n"/>
      <c r="Z80" s="692" t="n"/>
      <c r="AA80" s="692" t="n"/>
      <c r="AB80" s="692" t="n"/>
      <c r="AC80" s="692" t="n"/>
      <c r="AD80" s="692" t="n"/>
    </row>
    <row r="81" ht="13.15" customHeight="1" s="1232">
      <c r="A81" s="1251" t="inlineStr">
        <is>
          <t>Sub-total</t>
        </is>
      </c>
      <c r="D81" s="1431">
        <f>SUM(D48:D80)</f>
        <v/>
      </c>
      <c r="E81" s="1431">
        <f>SUM(E48:E80)</f>
        <v/>
      </c>
      <c r="F81" s="1443">
        <f>D81/$D$103</f>
        <v/>
      </c>
      <c r="H81" s="1456" t="n"/>
      <c r="I81" s="1456" t="n"/>
      <c r="J81" s="689">
        <f>SUM(K81:AD81)</f>
        <v/>
      </c>
      <c r="K81" s="692" t="n"/>
      <c r="L81" s="692" t="n"/>
      <c r="M81" s="692" t="n"/>
      <c r="N81" s="692" t="n"/>
      <c r="O81" s="692" t="n"/>
      <c r="P81" s="692" t="n"/>
      <c r="Q81" s="692" t="n"/>
      <c r="R81" s="692" t="n"/>
      <c r="S81" s="692" t="n"/>
      <c r="T81" s="692" t="n"/>
      <c r="U81" s="692" t="n"/>
      <c r="V81" s="692" t="n"/>
      <c r="W81" s="692" t="n"/>
      <c r="X81" s="692" t="n"/>
      <c r="Y81" s="692" t="n"/>
      <c r="Z81" s="692" t="n"/>
      <c r="AA81" s="692" t="n"/>
      <c r="AB81" s="692" t="n"/>
      <c r="AC81" s="692" t="n"/>
      <c r="AD81" s="692" t="n"/>
    </row>
    <row r="82" ht="13.15" customHeight="1" s="1232">
      <c r="H82" s="1457" t="inlineStr">
        <is>
          <t>Pick N Mix (Sub-total)</t>
        </is>
      </c>
      <c r="I82" s="1457" t="n"/>
      <c r="J82" s="750">
        <f>SUM(K82:AD82)</f>
        <v/>
      </c>
      <c r="K82" s="748" t="n"/>
      <c r="L82" s="748" t="n"/>
      <c r="M82" s="748" t="n"/>
      <c r="N82" s="748" t="n"/>
      <c r="O82" s="748" t="n"/>
      <c r="P82" s="748" t="n"/>
      <c r="Q82" s="748" t="n"/>
      <c r="R82" s="748" t="n"/>
      <c r="S82" s="748" t="n"/>
      <c r="T82" s="748" t="n"/>
      <c r="U82" s="748" t="n"/>
      <c r="V82" s="748" t="n"/>
      <c r="W82" s="748" t="n"/>
      <c r="X82" s="748" t="n"/>
      <c r="Y82" s="748" t="n"/>
      <c r="Z82" s="748" t="n"/>
      <c r="AA82" s="748" t="n"/>
      <c r="AB82" s="748" t="n"/>
      <c r="AC82" s="748" t="n"/>
      <c r="AD82" s="748" t="n"/>
    </row>
    <row r="83" ht="13.15" customHeight="1" s="1232">
      <c r="A83" s="1251" t="inlineStr">
        <is>
          <t>Variable Costs</t>
        </is>
      </c>
      <c r="J83" s="706" t="n"/>
      <c r="K83" s="1458" t="n"/>
      <c r="L83" s="689" t="n"/>
      <c r="M83" s="689" t="n"/>
      <c r="N83" s="689" t="n"/>
      <c r="O83" s="689" t="n"/>
      <c r="P83" s="689" t="n"/>
      <c r="Q83" s="689" t="n"/>
      <c r="R83" s="689" t="n"/>
      <c r="S83" s="689" t="n"/>
      <c r="T83" s="689" t="n"/>
      <c r="U83" s="689" t="n"/>
      <c r="V83" s="689" t="n"/>
      <c r="W83" s="689" t="n"/>
      <c r="X83" s="689" t="n"/>
      <c r="Y83" s="689" t="n"/>
      <c r="Z83" s="689" t="n"/>
      <c r="AA83" s="689" t="n"/>
      <c r="AB83" s="689" t="n"/>
      <c r="AC83" s="689" t="n"/>
      <c r="AD83" s="689" t="n"/>
    </row>
    <row r="84" ht="13.5" customHeight="1" s="1232" thickBot="1">
      <c r="H84" s="1454" t="inlineStr">
        <is>
          <t>Total Income</t>
        </is>
      </c>
      <c r="I84" s="1455" t="n"/>
      <c r="J84" s="747">
        <f>SUM(K84:AD84)</f>
        <v/>
      </c>
      <c r="K84" s="699">
        <f>SUM(K67:K83)</f>
        <v/>
      </c>
      <c r="L84" s="699">
        <f>SUM(L67:L83)</f>
        <v/>
      </c>
      <c r="M84" s="699">
        <f>SUM(M67:M83)</f>
        <v/>
      </c>
      <c r="N84" s="699">
        <f>SUM(N67:N83)</f>
        <v/>
      </c>
      <c r="O84" s="699">
        <f>SUM(O67:O83)</f>
        <v/>
      </c>
      <c r="P84" s="699">
        <f>SUM(P67:P83)</f>
        <v/>
      </c>
      <c r="Q84" s="699">
        <f>SUM(Q67:Q83)</f>
        <v/>
      </c>
      <c r="R84" s="699">
        <f>SUM(R67:R83)</f>
        <v/>
      </c>
      <c r="S84" s="699">
        <f>SUM(S67:S83)</f>
        <v/>
      </c>
      <c r="T84" s="699">
        <f>SUM(T67:T83)</f>
        <v/>
      </c>
      <c r="U84" s="699">
        <f>SUM(U67:U83)</f>
        <v/>
      </c>
      <c r="V84" s="699">
        <f>SUM(V67:V83)</f>
        <v/>
      </c>
      <c r="W84" s="699">
        <f>SUM(W67:W83)</f>
        <v/>
      </c>
      <c r="X84" s="699">
        <f>SUM(X67:X83)</f>
        <v/>
      </c>
      <c r="Y84" s="699">
        <f>SUM(Y67:Y83)</f>
        <v/>
      </c>
      <c r="Z84" s="699">
        <f>SUM(Z67:Z83)</f>
        <v/>
      </c>
      <c r="AA84" s="699">
        <f>SUM(AA67:AA83)</f>
        <v/>
      </c>
      <c r="AB84" s="699">
        <f>SUM(AB67:AB83)</f>
        <v/>
      </c>
      <c r="AC84" s="699">
        <f>SUM(AC67:AC83)</f>
        <v/>
      </c>
      <c r="AD84" s="699">
        <f>SUM(AD67:AD83)</f>
        <v/>
      </c>
    </row>
    <row r="85" ht="13.5" customHeight="1" s="1232" thickTop="1">
      <c r="A85" s="1249" t="inlineStr">
        <is>
          <t>Computer Hardware</t>
        </is>
      </c>
      <c r="B85" s="1249" t="inlineStr">
        <is>
          <t>Various/upgrades/fixes</t>
        </is>
      </c>
      <c r="E85" s="1433" t="n">
        <v>41.66666666666666</v>
      </c>
      <c r="F85" s="1249">
        <f>E85*12</f>
        <v/>
      </c>
      <c r="H85" s="1251" t="inlineStr">
        <is>
          <t>Savings Balance</t>
        </is>
      </c>
      <c r="I85" s="1251" t="n"/>
      <c r="K85" s="831" t="n">
        <v>0</v>
      </c>
      <c r="N85" s="681" t="n"/>
    </row>
    <row r="86">
      <c r="A86" s="1249" t="inlineStr">
        <is>
          <t>Camera Equipment</t>
        </is>
      </c>
      <c r="B86" s="1249" t="inlineStr">
        <is>
          <t>Various/upgrades/fixes</t>
        </is>
      </c>
      <c r="E86" s="1433" t="n">
        <v>41.66666666666666</v>
      </c>
      <c r="F86" s="1249">
        <f>E86*12</f>
        <v/>
      </c>
      <c r="H86" s="1249" t="inlineStr">
        <is>
          <t>Inc/Exp</t>
        </is>
      </c>
      <c r="I86" s="1249" t="n"/>
      <c r="J86" s="1249" t="n"/>
      <c r="K86" s="681">
        <f>K84-K65</f>
        <v/>
      </c>
      <c r="L86" s="681">
        <f>L84-L65</f>
        <v/>
      </c>
      <c r="M86" s="681">
        <f>M84-M65</f>
        <v/>
      </c>
      <c r="N86" s="681">
        <f>N84-N65</f>
        <v/>
      </c>
      <c r="O86" s="681">
        <f>O84-O65</f>
        <v/>
      </c>
      <c r="P86" s="681">
        <f>P84-P65</f>
        <v/>
      </c>
      <c r="Q86" s="681">
        <f>Q84-Q65</f>
        <v/>
      </c>
      <c r="R86" s="681">
        <f>R84-R65</f>
        <v/>
      </c>
      <c r="S86" s="681">
        <f>S84-S65</f>
        <v/>
      </c>
      <c r="T86" s="681">
        <f>T84-T65</f>
        <v/>
      </c>
      <c r="U86" s="681">
        <f>U84-U65</f>
        <v/>
      </c>
      <c r="V86" s="681">
        <f>V84-V65</f>
        <v/>
      </c>
      <c r="W86" s="681">
        <f>W84-W65</f>
        <v/>
      </c>
      <c r="X86" s="681">
        <f>X84-X65</f>
        <v/>
      </c>
      <c r="Y86" s="681">
        <f>Y84-Y65</f>
        <v/>
      </c>
      <c r="Z86" s="681">
        <f>Z84-Z65</f>
        <v/>
      </c>
      <c r="AA86" s="681">
        <f>AA84-AA65</f>
        <v/>
      </c>
      <c r="AB86" s="681">
        <f>AB84-AB65</f>
        <v/>
      </c>
      <c r="AC86" s="681">
        <f>AC84-AC65</f>
        <v/>
      </c>
      <c r="AD86" s="681">
        <f>AD84-AD65</f>
        <v/>
      </c>
    </row>
    <row r="87" ht="13.15" customHeight="1" s="1232">
      <c r="A87" s="1249" t="inlineStr">
        <is>
          <t>Printing &amp; Stationery</t>
        </is>
      </c>
      <c r="B87" s="1249" t="inlineStr">
        <is>
          <t>Paper/Toner/Etc</t>
        </is>
      </c>
      <c r="E87" s="1433" t="n">
        <v>50</v>
      </c>
      <c r="F87" s="1249">
        <f>E87*12</f>
        <v/>
      </c>
      <c r="H87" s="1251" t="inlineStr">
        <is>
          <t>Overdraft</t>
        </is>
      </c>
      <c r="I87" s="1249" t="n"/>
      <c r="J87" s="1249" t="n"/>
      <c r="K87" s="831" t="n">
        <v>3000</v>
      </c>
      <c r="L87" s="681" t="n"/>
      <c r="M87" s="681" t="n"/>
      <c r="N87" s="681" t="n"/>
      <c r="O87" s="681" t="n"/>
      <c r="P87" s="681" t="n"/>
      <c r="Q87" s="681" t="n"/>
      <c r="R87" s="681" t="n"/>
      <c r="S87" s="681" t="n"/>
      <c r="T87" s="681" t="n"/>
      <c r="U87" s="681" t="n"/>
      <c r="V87" s="681" t="n"/>
      <c r="W87" s="681" t="n"/>
      <c r="X87" s="681" t="n"/>
      <c r="Y87" s="681" t="n"/>
      <c r="Z87" s="681" t="n"/>
      <c r="AA87" s="681" t="n"/>
      <c r="AB87" s="681" t="n"/>
      <c r="AC87" s="681" t="n"/>
      <c r="AD87" s="681" t="n"/>
    </row>
    <row r="88" ht="18" customHeight="1" s="1232" thickBot="1">
      <c r="A88" s="1249" t="inlineStr">
        <is>
          <t>Travel &amp; Subsistence</t>
        </is>
      </c>
      <c r="B88" s="1249" t="inlineStr">
        <is>
          <t>Workshops and Courses</t>
        </is>
      </c>
      <c r="H88" s="1459" t="inlineStr">
        <is>
          <t>BALANCE</t>
        </is>
      </c>
      <c r="I88" s="1459" t="n"/>
      <c r="J88" s="1460">
        <f>J65-J84</f>
        <v/>
      </c>
      <c r="K88" s="743">
        <f>K86+K85+K87</f>
        <v/>
      </c>
      <c r="L88" s="743">
        <f>K88+L86</f>
        <v/>
      </c>
      <c r="M88" s="743">
        <f>L88+M86</f>
        <v/>
      </c>
      <c r="N88" s="743">
        <f>M88+N86</f>
        <v/>
      </c>
      <c r="O88" s="743">
        <f>N88+O86</f>
        <v/>
      </c>
      <c r="P88" s="743">
        <f>O88+P86</f>
        <v/>
      </c>
      <c r="Q88" s="743">
        <f>P88+Q86</f>
        <v/>
      </c>
      <c r="R88" s="743">
        <f>Q88+R86</f>
        <v/>
      </c>
      <c r="S88" s="743">
        <f>R88+S86</f>
        <v/>
      </c>
      <c r="T88" s="743">
        <f>S88+T86</f>
        <v/>
      </c>
      <c r="U88" s="743">
        <f>T88+U86</f>
        <v/>
      </c>
      <c r="V88" s="743">
        <f>U88+V86</f>
        <v/>
      </c>
      <c r="W88" s="743">
        <f>V88+W86</f>
        <v/>
      </c>
      <c r="X88" s="743">
        <f>W88+X86</f>
        <v/>
      </c>
      <c r="Y88" s="743">
        <f>X88+Y86</f>
        <v/>
      </c>
      <c r="Z88" s="743">
        <f>Y88+Z86</f>
        <v/>
      </c>
      <c r="AA88" s="743">
        <f>Z88+AA86</f>
        <v/>
      </c>
      <c r="AB88" s="743">
        <f>AA88+AB86</f>
        <v/>
      </c>
      <c r="AC88" s="743">
        <f>AB88+AC86</f>
        <v/>
      </c>
      <c r="AD88" s="743">
        <f>AC88+AD86</f>
        <v/>
      </c>
    </row>
    <row r="89" ht="15" customHeight="1" s="1232">
      <c r="A89" s="1249" t="inlineStr">
        <is>
          <t>Hotels -</t>
        </is>
      </c>
      <c r="B89" s="1249" t="inlineStr">
        <is>
          <t>Workshops</t>
        </is>
      </c>
      <c r="H89" s="1251" t="inlineStr">
        <is>
          <t>without CCrd</t>
        </is>
      </c>
      <c r="I89" s="1251" t="n"/>
      <c r="J89" s="1251" t="n"/>
      <c r="K89" s="736">
        <f>K88-$K$71</f>
        <v/>
      </c>
      <c r="L89" s="736">
        <f>L88-$K$71</f>
        <v/>
      </c>
      <c r="M89" s="736">
        <f>M88-$K$71</f>
        <v/>
      </c>
      <c r="N89" s="736">
        <f>N88-$K$71</f>
        <v/>
      </c>
      <c r="O89" s="736">
        <f>O88-$K$71</f>
        <v/>
      </c>
      <c r="P89" s="736">
        <f>P88-$K$71</f>
        <v/>
      </c>
      <c r="Q89" s="736">
        <f>Q88-$K$71</f>
        <v/>
      </c>
      <c r="R89" s="736">
        <f>R88-$K$71</f>
        <v/>
      </c>
      <c r="S89" s="736">
        <f>S88-$K$71</f>
        <v/>
      </c>
      <c r="T89" s="736">
        <f>T88-$K$71</f>
        <v/>
      </c>
      <c r="U89" s="736" t="n"/>
      <c r="V89" s="736" t="n"/>
      <c r="W89" s="736" t="n"/>
      <c r="X89" s="736" t="n"/>
      <c r="Y89" s="736" t="n"/>
      <c r="Z89" s="736" t="n"/>
      <c r="AA89" s="736" t="n"/>
      <c r="AB89" s="736" t="n"/>
      <c r="AC89" s="736" t="n"/>
      <c r="AD89" s="736" t="n"/>
    </row>
    <row r="90" ht="13.15" customHeight="1" s="1232">
      <c r="A90" s="1249" t="inlineStr">
        <is>
          <t>Room Hire</t>
        </is>
      </c>
      <c r="B90" s="1249" t="inlineStr">
        <is>
          <t>Courses and Classes</t>
        </is>
      </c>
      <c r="H90" s="1251" t="inlineStr">
        <is>
          <t>Risk Element</t>
        </is>
      </c>
      <c r="I90" s="1251" t="n"/>
      <c r="K90" s="576" t="n"/>
      <c r="L90" s="576" t="n"/>
      <c r="M90" s="576" t="n"/>
      <c r="N90" s="576" t="n"/>
      <c r="O90" s="737" t="n"/>
      <c r="P90" s="737" t="n"/>
      <c r="Q90" s="737" t="n"/>
      <c r="R90" s="737" t="n"/>
      <c r="S90" s="737" t="n"/>
      <c r="T90" s="737" t="n"/>
      <c r="U90" s="737" t="n"/>
      <c r="V90" s="737" t="n"/>
      <c r="W90" s="737" t="n"/>
      <c r="X90" s="737" t="n"/>
      <c r="Y90" s="737" t="n"/>
      <c r="Z90" s="737" t="n"/>
      <c r="AA90" s="737" t="n"/>
      <c r="AB90" s="737" t="n"/>
      <c r="AC90" s="737" t="n"/>
      <c r="AD90" s="737" t="n"/>
    </row>
    <row r="91">
      <c r="H91" s="1249" t="n"/>
      <c r="I91" s="1249" t="n"/>
      <c r="J91" s="689">
        <f>SUM(K91:AD91)</f>
        <v/>
      </c>
      <c r="K91" s="576" t="n"/>
      <c r="L91" s="576" t="n"/>
      <c r="M91" s="576" t="n"/>
      <c r="N91" s="576" t="n"/>
      <c r="O91" s="576" t="n"/>
      <c r="P91" s="576" t="n"/>
      <c r="Q91" s="576" t="n"/>
      <c r="R91" s="576" t="n"/>
      <c r="S91" s="576" t="n"/>
      <c r="T91" s="576" t="n"/>
      <c r="U91" s="576" t="n"/>
      <c r="V91" s="576" t="n"/>
      <c r="W91" s="576" t="n"/>
      <c r="X91" s="576" t="n"/>
      <c r="Y91" s="576" t="n"/>
      <c r="Z91" s="576" t="n"/>
      <c r="AA91" s="576" t="n"/>
      <c r="AB91" s="576" t="n"/>
      <c r="AC91" s="576" t="n"/>
      <c r="AD91" s="576" t="n"/>
    </row>
    <row r="92" ht="13.15" customHeight="1" s="1232">
      <c r="A92" s="1251" t="inlineStr">
        <is>
          <t>Sub-total</t>
        </is>
      </c>
      <c r="D92" s="1431">
        <f>SUM(D83:D87)</f>
        <v/>
      </c>
      <c r="E92" s="1431">
        <f>SUM(E83:E87)</f>
        <v/>
      </c>
      <c r="F92" s="1431">
        <f>SUM(F83:F87)</f>
        <v/>
      </c>
      <c r="H92" s="1249" t="inlineStr">
        <is>
          <t>Business Inc 75%</t>
        </is>
      </c>
      <c r="I92" s="1249" t="n"/>
      <c r="J92" s="576">
        <f>J75*25%</f>
        <v/>
      </c>
      <c r="K92" s="576">
        <f>K75*25%</f>
        <v/>
      </c>
      <c r="L92" s="576">
        <f>L75*25%</f>
        <v/>
      </c>
      <c r="M92" s="576">
        <f>M75*25%</f>
        <v/>
      </c>
      <c r="N92" s="576">
        <f>N75*25%</f>
        <v/>
      </c>
      <c r="O92" s="576">
        <f>O75*25%</f>
        <v/>
      </c>
      <c r="P92" s="576">
        <f>P75*25%</f>
        <v/>
      </c>
      <c r="Q92" s="576">
        <f>Q75*25%</f>
        <v/>
      </c>
      <c r="R92" s="576">
        <f>R75*25%</f>
        <v/>
      </c>
      <c r="S92" s="576">
        <f>S75*25%</f>
        <v/>
      </c>
      <c r="T92" s="576">
        <f>T75*25%</f>
        <v/>
      </c>
      <c r="U92" s="576">
        <f>U75*25%</f>
        <v/>
      </c>
      <c r="V92" s="576">
        <f>V75*25%</f>
        <v/>
      </c>
      <c r="W92" s="576">
        <f>W75*25%</f>
        <v/>
      </c>
      <c r="X92" s="576">
        <f>X75*25%</f>
        <v/>
      </c>
      <c r="Y92" s="576">
        <f>Y75*25%</f>
        <v/>
      </c>
      <c r="Z92" s="576">
        <f>Z75*25%</f>
        <v/>
      </c>
      <c r="AA92" s="576">
        <f>AA75*25%</f>
        <v/>
      </c>
      <c r="AB92" s="576">
        <f>AB75*25%</f>
        <v/>
      </c>
      <c r="AC92" s="576">
        <f>AC75*25%</f>
        <v/>
      </c>
      <c r="AD92" s="576">
        <f>AD75*25%</f>
        <v/>
      </c>
    </row>
    <row r="93">
      <c r="D93" s="1438" t="n"/>
      <c r="E93" s="1438" t="n"/>
      <c r="F93" s="1438" t="n"/>
      <c r="H93" s="1249" t="inlineStr">
        <is>
          <t>Unforeseen</t>
        </is>
      </c>
      <c r="I93" s="1249" t="n"/>
      <c r="J93" s="689">
        <f>SUM(K93:AD93)</f>
        <v/>
      </c>
      <c r="K93" s="576" t="n"/>
      <c r="L93" s="576" t="n"/>
      <c r="M93" s="576" t="n"/>
      <c r="N93" s="576" t="n"/>
      <c r="O93" s="576" t="n"/>
      <c r="P93" s="576" t="n"/>
      <c r="Q93" s="576" t="n">
        <v>75</v>
      </c>
      <c r="R93" s="576" t="n"/>
      <c r="S93" s="576" t="n">
        <v>75</v>
      </c>
      <c r="T93" s="576" t="n">
        <v>75</v>
      </c>
      <c r="U93" s="576" t="n">
        <v>75</v>
      </c>
      <c r="V93" s="576" t="n">
        <v>75</v>
      </c>
      <c r="W93" s="576" t="n">
        <v>75</v>
      </c>
      <c r="X93" s="576" t="n">
        <v>75</v>
      </c>
      <c r="Y93" s="576" t="n">
        <v>75</v>
      </c>
      <c r="Z93" s="576" t="n">
        <v>75</v>
      </c>
      <c r="AA93" s="576" t="n">
        <v>75</v>
      </c>
      <c r="AB93" s="576" t="n">
        <v>75</v>
      </c>
      <c r="AC93" s="576" t="n">
        <v>75</v>
      </c>
      <c r="AD93" s="576" t="n">
        <v>75</v>
      </c>
    </row>
    <row r="94" ht="13.15" customHeight="1" s="1232">
      <c r="D94" s="1438" t="n"/>
      <c r="E94" s="1438" t="n"/>
      <c r="F94" s="1438" t="n"/>
      <c r="I94" s="1251" t="n"/>
      <c r="J94" s="689">
        <f>SUM(K94:AD94)</f>
        <v/>
      </c>
      <c r="K94" s="737" t="n"/>
      <c r="L94" s="737" t="n"/>
      <c r="M94" s="737" t="n"/>
      <c r="N94" s="737" t="n"/>
      <c r="O94" s="737" t="n"/>
      <c r="P94" s="737" t="n"/>
      <c r="Q94" s="737" t="n"/>
      <c r="R94" s="737" t="n"/>
      <c r="S94" s="737" t="n"/>
      <c r="T94" s="737" t="n"/>
      <c r="U94" s="737" t="n"/>
      <c r="V94" s="737" t="n"/>
      <c r="W94" s="737" t="n"/>
      <c r="X94" s="737" t="n"/>
      <c r="Y94" s="737" t="n"/>
      <c r="Z94" s="737" t="n"/>
      <c r="AA94" s="737" t="n"/>
      <c r="AB94" s="737" t="n"/>
      <c r="AC94" s="737" t="n"/>
      <c r="AD94" s="737" t="n"/>
    </row>
    <row r="95" ht="13.5" customHeight="1" s="1232" thickBot="1">
      <c r="A95" s="1251" t="inlineStr">
        <is>
          <t>Business Operating Expenses</t>
        </is>
      </c>
      <c r="B95" s="1249" t="n"/>
      <c r="C95" s="1249" t="n"/>
      <c r="D95" s="1431">
        <f>D81+D92</f>
        <v/>
      </c>
      <c r="E95" s="1431">
        <f>E81+E92</f>
        <v/>
      </c>
      <c r="F95" s="1431">
        <f>#REF!+F92</f>
        <v/>
      </c>
      <c r="H95" s="1432" t="inlineStr">
        <is>
          <t>Total Risk</t>
        </is>
      </c>
      <c r="I95" s="1432" t="n"/>
      <c r="J95" s="738">
        <f>SUM(K95:W95)</f>
        <v/>
      </c>
      <c r="K95" s="687">
        <f>SUM(K90:K94)</f>
        <v/>
      </c>
      <c r="L95" s="687">
        <f>SUM(L90:L94)</f>
        <v/>
      </c>
      <c r="M95" s="687">
        <f>SUM(M90:M94)</f>
        <v/>
      </c>
      <c r="N95" s="687">
        <f>SUM(N90:N94)</f>
        <v/>
      </c>
      <c r="O95" s="687">
        <f>SUM(O90:O94)</f>
        <v/>
      </c>
      <c r="P95" s="687">
        <f>SUM(P90:P94)</f>
        <v/>
      </c>
      <c r="Q95" s="687">
        <f>SUM(Q90:Q94)</f>
        <v/>
      </c>
      <c r="R95" s="687">
        <f>SUM(R90:R94)</f>
        <v/>
      </c>
      <c r="S95" s="687">
        <f>SUM(S90:S94)</f>
        <v/>
      </c>
      <c r="T95" s="687">
        <f>SUM(T90:T94)</f>
        <v/>
      </c>
      <c r="U95" s="687">
        <f>SUM(U90:U94)</f>
        <v/>
      </c>
      <c r="V95" s="687">
        <f>SUM(V90:V94)</f>
        <v/>
      </c>
      <c r="W95" s="687">
        <f>SUM(W90:W94)</f>
        <v/>
      </c>
      <c r="X95" s="687">
        <f>SUM(X90:X94)</f>
        <v/>
      </c>
      <c r="Y95" s="687">
        <f>SUM(Y90:Y94)</f>
        <v/>
      </c>
      <c r="Z95" s="687">
        <f>SUM(Z90:Z94)</f>
        <v/>
      </c>
      <c r="AA95" s="687">
        <f>SUM(AA90:AA94)</f>
        <v/>
      </c>
      <c r="AB95" s="687">
        <f>SUM(AB90:AB94)</f>
        <v/>
      </c>
      <c r="AC95" s="687">
        <f>SUM(AC90:AC94)</f>
        <v/>
      </c>
      <c r="AD95" s="687">
        <f>SUM(AD90:AD94)</f>
        <v/>
      </c>
    </row>
    <row r="96" ht="15" customHeight="1" s="1232">
      <c r="H96" s="1251" t="n"/>
      <c r="I96" s="1251" t="n"/>
      <c r="J96" s="1251" t="n"/>
      <c r="K96" s="736" t="n"/>
      <c r="L96" s="736" t="n"/>
      <c r="M96" s="736" t="n"/>
      <c r="N96" s="736" t="n"/>
      <c r="O96" s="736" t="n"/>
      <c r="P96" s="736" t="n"/>
      <c r="Q96" s="736" t="n"/>
      <c r="R96" s="736" t="n"/>
      <c r="S96" s="736" t="n"/>
      <c r="T96" s="736" t="n"/>
      <c r="U96" s="736" t="n"/>
      <c r="V96" s="736" t="n"/>
      <c r="W96" s="736" t="n"/>
      <c r="X96" s="736" t="n"/>
      <c r="Y96" s="736" t="n"/>
      <c r="Z96" s="736" t="n"/>
      <c r="AA96" s="736" t="n"/>
      <c r="AB96" s="736" t="n"/>
      <c r="AC96" s="736" t="n"/>
      <c r="AD96" s="736" t="n"/>
    </row>
    <row r="97" ht="18" customHeight="1" s="1232" thickBot="1">
      <c r="H97" s="1459" t="inlineStr">
        <is>
          <t>Revised Balance</t>
        </is>
      </c>
      <c r="I97" s="1459" t="n"/>
      <c r="J97" s="1460">
        <f>J88+J95</f>
        <v/>
      </c>
      <c r="K97" s="743">
        <f>K88-K95</f>
        <v/>
      </c>
      <c r="L97" s="743">
        <f>K97+L86-L95</f>
        <v/>
      </c>
      <c r="M97" s="743">
        <f>L97+M86-M95</f>
        <v/>
      </c>
      <c r="N97" s="743">
        <f>M97+N86-N95</f>
        <v/>
      </c>
      <c r="O97" s="743">
        <f>N97+O86-O95</f>
        <v/>
      </c>
      <c r="P97" s="743">
        <f>O97+P86-P95</f>
        <v/>
      </c>
      <c r="Q97" s="743">
        <f>P97+Q86-Q95</f>
        <v/>
      </c>
      <c r="R97" s="743">
        <f>Q97+R86-R95</f>
        <v/>
      </c>
      <c r="S97" s="743">
        <f>R97+S86-S95</f>
        <v/>
      </c>
      <c r="T97" s="743">
        <f>S97+T86-T95</f>
        <v/>
      </c>
      <c r="U97" s="743">
        <f>T97+U86-U95</f>
        <v/>
      </c>
      <c r="V97" s="743">
        <f>U97+V86-V95</f>
        <v/>
      </c>
      <c r="W97" s="743">
        <f>V97+W86-W95</f>
        <v/>
      </c>
      <c r="X97" s="743">
        <f>W97+X86-X95</f>
        <v/>
      </c>
      <c r="Y97" s="743">
        <f>X97+Y86-Y95</f>
        <v/>
      </c>
      <c r="Z97" s="743">
        <f>Y97+Z86-Z95</f>
        <v/>
      </c>
      <c r="AA97" s="743">
        <f>Z97+AA86-AA95</f>
        <v/>
      </c>
      <c r="AB97" s="743">
        <f>AA97+AB86-AB95</f>
        <v/>
      </c>
      <c r="AC97" s="743">
        <f>AB97+AC86-AC95</f>
        <v/>
      </c>
      <c r="AD97" s="743">
        <f>AC97+AD86-AD95</f>
        <v/>
      </c>
    </row>
    <row r="98" ht="15" customHeight="1" s="1232">
      <c r="H98" s="1251" t="n"/>
      <c r="I98" s="1251" t="n"/>
      <c r="J98" s="1251" t="n"/>
      <c r="K98" s="736" t="n"/>
      <c r="L98" s="736" t="n"/>
      <c r="M98" s="736" t="n"/>
      <c r="N98" s="736" t="n"/>
      <c r="O98" s="736" t="n"/>
      <c r="P98" s="736" t="n"/>
      <c r="Q98" s="736" t="n"/>
      <c r="R98" s="736" t="n"/>
      <c r="S98" s="736" t="n"/>
      <c r="T98" s="736" t="n"/>
      <c r="U98" s="736" t="n"/>
      <c r="V98" s="736" t="n"/>
      <c r="W98" s="736" t="n"/>
      <c r="X98" s="736" t="n"/>
      <c r="Y98" s="736" t="n"/>
      <c r="Z98" s="736" t="n"/>
      <c r="AA98" s="736" t="n"/>
      <c r="AB98" s="736" t="n"/>
      <c r="AC98" s="736" t="n"/>
      <c r="AD98" s="736" t="n"/>
    </row>
    <row r="100" ht="13.5" customHeight="1" s="1232" thickBot="1">
      <c r="H100" s="1249" t="inlineStr">
        <is>
          <t>previous forecast</t>
        </is>
      </c>
      <c r="I100" s="1249" t="n"/>
      <c r="K100" s="687" t="n">
        <v>8101</v>
      </c>
      <c r="L100" s="687" t="n">
        <v>8101</v>
      </c>
      <c r="M100" s="687" t="n">
        <v>8101</v>
      </c>
      <c r="N100" s="687" t="n">
        <v>8101</v>
      </c>
      <c r="O100" s="687" t="n">
        <v>5121.18</v>
      </c>
      <c r="P100" s="687" t="n">
        <v>5594.18</v>
      </c>
      <c r="Q100" s="687" t="n">
        <v>4116.18</v>
      </c>
      <c r="R100" s="687" t="n">
        <v>4020.18</v>
      </c>
      <c r="S100" s="687" t="n">
        <v>4647.74</v>
      </c>
      <c r="T100" s="687" t="n">
        <v>-1324.700000000001</v>
      </c>
      <c r="U100" s="687" t="n">
        <v>153.8599999999992</v>
      </c>
      <c r="V100" s="687" t="n">
        <v>-803.5800000000008</v>
      </c>
      <c r="W100" s="687" t="n">
        <v>-2156.020000000001</v>
      </c>
      <c r="X100" s="687" t="n">
        <v>-3198.460000000001</v>
      </c>
      <c r="Y100" s="687" t="n">
        <v>-4065.900000000001</v>
      </c>
      <c r="Z100" s="687" t="n">
        <v>-3963.340000000001</v>
      </c>
      <c r="AA100" s="687" t="n">
        <v>-4360.780000000001</v>
      </c>
      <c r="AB100" s="687" t="n">
        <v>-4758.220000000001</v>
      </c>
      <c r="AC100" s="687" t="n">
        <v>-5155.660000000002</v>
      </c>
      <c r="AD100" s="687" t="n">
        <v>-3655.660000000002</v>
      </c>
    </row>
    <row r="102" ht="13.5" customHeight="1" s="1232" thickBot="1">
      <c r="H102" s="1249" t="inlineStr">
        <is>
          <t>Diff against prev forecast</t>
        </is>
      </c>
      <c r="I102" s="1249" t="n"/>
      <c r="J102" s="1249" t="inlineStr">
        <is>
          <t>diff</t>
        </is>
      </c>
      <c r="K102" s="687">
        <f>K88-K100</f>
        <v/>
      </c>
      <c r="L102" s="687">
        <f>L88-L100</f>
        <v/>
      </c>
      <c r="M102" s="687">
        <f>M88-M100</f>
        <v/>
      </c>
      <c r="N102" s="687">
        <f>N88-N100</f>
        <v/>
      </c>
      <c r="O102" s="687">
        <f>O88-O100</f>
        <v/>
      </c>
      <c r="P102" s="687">
        <f>P88-P100</f>
        <v/>
      </c>
      <c r="Q102" s="687">
        <f>Q88-Q100</f>
        <v/>
      </c>
      <c r="R102" s="687">
        <f>R88-R100</f>
        <v/>
      </c>
      <c r="S102" s="687">
        <f>S88-S100</f>
        <v/>
      </c>
      <c r="T102" s="687">
        <f>T88-T100</f>
        <v/>
      </c>
      <c r="U102" s="687">
        <f>U88-U100</f>
        <v/>
      </c>
      <c r="V102" s="687">
        <f>V88-V100</f>
        <v/>
      </c>
      <c r="W102" s="687">
        <f>W88-W100</f>
        <v/>
      </c>
      <c r="X102" s="687">
        <f>X88-X100</f>
        <v/>
      </c>
      <c r="Y102" s="687">
        <f>Y88-Y100</f>
        <v/>
      </c>
      <c r="Z102" s="687">
        <f>Z88-Z100</f>
        <v/>
      </c>
      <c r="AA102" s="687">
        <f>AA88-AA100</f>
        <v/>
      </c>
      <c r="AB102" s="687">
        <f>AB88-AB100</f>
        <v/>
      </c>
      <c r="AC102" s="687">
        <f>AC88-AC100</f>
        <v/>
      </c>
      <c r="AD102" s="687">
        <f>AD88-AD100</f>
        <v/>
      </c>
    </row>
    <row r="103" ht="13.15" customHeight="1" s="1232">
      <c r="A103" s="1249" t="inlineStr">
        <is>
          <t>Total Expenses</t>
        </is>
      </c>
      <c r="B103" s="1249" t="n"/>
      <c r="C103" s="1431">
        <f>D95+D42</f>
        <v/>
      </c>
      <c r="D103" s="1431">
        <f>D95+D42</f>
        <v/>
      </c>
      <c r="F103" s="1249" t="n"/>
    </row>
    <row r="104" ht="13.5" customHeight="1" s="1232" thickBot="1">
      <c r="A104" s="1249" t="n"/>
      <c r="B104" s="1249" t="n"/>
      <c r="C104" s="1453" t="n"/>
      <c r="D104" s="1438" t="n"/>
      <c r="F104" s="1249" t="n"/>
      <c r="W104" s="687" t="n"/>
    </row>
    <row r="105" ht="13.5" customHeight="1" s="1232" thickBot="1">
      <c r="A105" s="1249" t="inlineStr">
        <is>
          <t>Net</t>
        </is>
      </c>
      <c r="B105" s="1249" t="n"/>
      <c r="C105" s="1430">
        <f>C6-C103</f>
        <v/>
      </c>
      <c r="D105" s="1430">
        <f>D9-D103</f>
        <v/>
      </c>
    </row>
    <row r="106">
      <c r="H106" s="1249" t="n"/>
      <c r="I106" s="1249" t="n"/>
      <c r="K106" s="1249" t="n"/>
    </row>
    <row r="121" ht="13.15" customHeight="1" s="1232">
      <c r="A121" s="1251" t="inlineStr">
        <is>
          <t>Equity Release</t>
        </is>
      </c>
      <c r="C121" s="1431" t="n">
        <v>66750</v>
      </c>
    </row>
    <row r="123">
      <c r="A123" s="1249" t="inlineStr">
        <is>
          <t>Mortgage</t>
        </is>
      </c>
      <c r="C123" s="681" t="n">
        <v>27500</v>
      </c>
      <c r="D123" s="681" t="n">
        <v>900</v>
      </c>
      <c r="E123" s="956">
        <f>C123/C$121</f>
        <v/>
      </c>
    </row>
    <row r="124">
      <c r="A124" s="1249" t="inlineStr">
        <is>
          <t>Virgin CC</t>
        </is>
      </c>
      <c r="C124" s="681" t="n">
        <v>10000</v>
      </c>
      <c r="D124" s="681" t="n">
        <v>98</v>
      </c>
      <c r="E124" s="956">
        <f>C124/C$121</f>
        <v/>
      </c>
    </row>
    <row r="125">
      <c r="A125" s="1249" t="inlineStr">
        <is>
          <t>Halifax Loan</t>
        </is>
      </c>
      <c r="C125" s="681" t="n">
        <v>12597</v>
      </c>
      <c r="D125" s="681" t="n">
        <v>405</v>
      </c>
      <c r="E125" s="956">
        <f>C125/C$121</f>
        <v/>
      </c>
    </row>
    <row r="126">
      <c r="A126" s="1249" t="inlineStr">
        <is>
          <t>Halifax Loan</t>
        </is>
      </c>
      <c r="C126" s="576" t="n">
        <v>7265</v>
      </c>
      <c r="D126" s="576" t="n">
        <v>256</v>
      </c>
      <c r="E126" s="956">
        <f>C126/C$121</f>
        <v/>
      </c>
    </row>
    <row r="127">
      <c r="A127" s="1249" t="inlineStr">
        <is>
          <t>Overdraft</t>
        </is>
      </c>
      <c r="C127" s="576" t="n">
        <v>2000</v>
      </c>
      <c r="D127" s="576" t="n"/>
      <c r="E127" s="956">
        <f>C127/C$121</f>
        <v/>
      </c>
    </row>
    <row r="128">
      <c r="A128" s="1249" t="n"/>
      <c r="C128" s="681" t="n"/>
      <c r="D128" s="681" t="n"/>
      <c r="E128" s="956">
        <f>C128/C$121</f>
        <v/>
      </c>
    </row>
    <row r="129">
      <c r="A129" s="1249" t="inlineStr">
        <is>
          <t>Equity Fees</t>
        </is>
      </c>
      <c r="C129" s="681" t="n">
        <v>5000</v>
      </c>
      <c r="D129" s="681" t="n"/>
      <c r="E129" s="956">
        <f>C129/C$121</f>
        <v/>
      </c>
    </row>
    <row r="130">
      <c r="A130" s="1249" t="n"/>
      <c r="C130" s="681" t="n"/>
      <c r="D130" s="681" t="n"/>
    </row>
    <row r="131" ht="13.15" customHeight="1" s="1232">
      <c r="C131" s="737">
        <f>SUM(C122:C129)</f>
        <v/>
      </c>
      <c r="D131" s="737">
        <f>SUM(D122:D129)</f>
        <v/>
      </c>
      <c r="E131" s="951">
        <f>D131/D$103</f>
        <v/>
      </c>
    </row>
    <row r="132">
      <c r="C132" s="681" t="n"/>
      <c r="D132" s="681" t="n"/>
    </row>
    <row r="133" ht="13.15" customHeight="1" s="1232">
      <c r="B133" s="1251" t="inlineStr">
        <is>
          <t>New monthy outgoings</t>
        </is>
      </c>
      <c r="C133" s="737">
        <f>C121-C131</f>
        <v/>
      </c>
      <c r="D133" s="737">
        <f>D103-D131</f>
        <v/>
      </c>
      <c r="E133" s="951">
        <f>D133/D103</f>
        <v/>
      </c>
    </row>
    <row r="134" ht="13.15" customHeight="1" s="1232">
      <c r="B134" s="1249" t="inlineStr">
        <is>
          <t>Net</t>
        </is>
      </c>
      <c r="D134" s="1461">
        <f>D6-D133</f>
        <v/>
      </c>
    </row>
    <row r="137" ht="13.15" customHeight="1" s="1232">
      <c r="A137" s="1251" t="inlineStr">
        <is>
          <t>PayPlan Debts</t>
        </is>
      </c>
      <c r="B137" s="1462" t="inlineStr">
        <is>
          <t>70% Offer</t>
        </is>
      </c>
      <c r="C137" s="1462" t="inlineStr">
        <is>
          <t>Offer</t>
        </is>
      </c>
      <c r="D137" s="1462" t="inlineStr">
        <is>
          <t>Balance</t>
        </is>
      </c>
      <c r="E137" s="1462" t="inlineStr">
        <is>
          <t>Saving</t>
        </is>
      </c>
      <c r="F137" s="1251" t="n"/>
    </row>
    <row r="139">
      <c r="A139" s="1249" t="inlineStr">
        <is>
          <t>Moorcroft 2516</t>
        </is>
      </c>
      <c r="B139" s="681">
        <f>D139*30%</f>
        <v/>
      </c>
      <c r="C139" s="681" t="n">
        <v>1289</v>
      </c>
      <c r="D139" s="681" t="n">
        <v>3224</v>
      </c>
      <c r="E139" s="681">
        <f>D139-C139</f>
        <v/>
      </c>
      <c r="F139" s="956">
        <f>E139/D139</f>
        <v/>
      </c>
    </row>
    <row r="140">
      <c r="A140" s="1249" t="inlineStr">
        <is>
          <t>Moorcroft 3507</t>
        </is>
      </c>
      <c r="B140" s="681">
        <f>D140*30%</f>
        <v/>
      </c>
      <c r="C140" s="681" t="n">
        <v>1356.78</v>
      </c>
      <c r="D140" s="681" t="n">
        <v>3392</v>
      </c>
      <c r="E140" s="681">
        <f>D140-C140</f>
        <v/>
      </c>
      <c r="F140" s="956">
        <f>E140/D140</f>
        <v/>
      </c>
    </row>
    <row r="141">
      <c r="A141" s="1249" t="inlineStr">
        <is>
          <t>Moorcroft 3505</t>
        </is>
      </c>
      <c r="B141" s="681">
        <f>D141*30%</f>
        <v/>
      </c>
      <c r="C141" s="681" t="n">
        <v>3531.97</v>
      </c>
      <c r="D141" s="681" t="n">
        <v>8829</v>
      </c>
      <c r="E141" s="681">
        <f>D141-C141</f>
        <v/>
      </c>
      <c r="F141" s="956">
        <f>E141/D141</f>
        <v/>
      </c>
    </row>
    <row r="142">
      <c r="A142" s="1463" t="inlineStr">
        <is>
          <t>NCO</t>
        </is>
      </c>
      <c r="B142" s="681">
        <f>D142*30%</f>
        <v/>
      </c>
      <c r="C142" s="681">
        <f>D142*60%</f>
        <v/>
      </c>
      <c r="D142" s="681" t="n">
        <v>7864</v>
      </c>
      <c r="E142" s="681" t="n"/>
    </row>
    <row r="143">
      <c r="A143" s="1463" t="inlineStr">
        <is>
          <t>NCO</t>
        </is>
      </c>
      <c r="B143" s="681">
        <f>D143*30%</f>
        <v/>
      </c>
      <c r="C143" s="681">
        <f>D143*60%</f>
        <v/>
      </c>
      <c r="D143" s="681" t="n">
        <v>1932</v>
      </c>
      <c r="E143" s="681" t="n"/>
    </row>
    <row r="144">
      <c r="A144" s="1463" t="inlineStr">
        <is>
          <t>Capital One</t>
        </is>
      </c>
      <c r="B144" s="681">
        <f>D144*30%</f>
        <v/>
      </c>
      <c r="C144" s="681">
        <f>D144*60%</f>
        <v/>
      </c>
      <c r="D144" s="681" t="n">
        <v>1257</v>
      </c>
      <c r="E144" s="681" t="n"/>
    </row>
    <row r="145">
      <c r="A145" s="1463" t="inlineStr">
        <is>
          <t>Cabot</t>
        </is>
      </c>
      <c r="B145" s="681">
        <f>D145*30%</f>
        <v/>
      </c>
      <c r="C145" s="681">
        <f>D145*60%</f>
        <v/>
      </c>
      <c r="D145" s="681" t="n">
        <v>3762</v>
      </c>
      <c r="E145" s="681" t="n"/>
    </row>
    <row r="146">
      <c r="A146" s="1463" t="inlineStr">
        <is>
          <t>Cabot</t>
        </is>
      </c>
      <c r="B146" s="681">
        <f>D146*30%</f>
        <v/>
      </c>
      <c r="C146" s="681">
        <f>D146*60%</f>
        <v/>
      </c>
      <c r="D146" s="681" t="n">
        <v>7589</v>
      </c>
      <c r="E146" s="681" t="n"/>
    </row>
    <row r="147">
      <c r="A147" s="1463" t="inlineStr">
        <is>
          <t>Cabot</t>
        </is>
      </c>
      <c r="B147" s="681">
        <f>D147*30%</f>
        <v/>
      </c>
      <c r="C147" s="681">
        <f>D147*60%</f>
        <v/>
      </c>
      <c r="D147" s="681" t="n">
        <v>2179</v>
      </c>
      <c r="E147" s="681" t="n"/>
    </row>
    <row r="148">
      <c r="A148" s="1463" t="inlineStr">
        <is>
          <t>Cabot</t>
        </is>
      </c>
      <c r="B148" s="681">
        <f>D148*30%</f>
        <v/>
      </c>
      <c r="C148" s="681">
        <f>D148*60%</f>
        <v/>
      </c>
      <c r="D148" s="681" t="n">
        <v>3294</v>
      </c>
      <c r="E148" s="681" t="n"/>
    </row>
    <row r="149">
      <c r="A149" s="1463" t="inlineStr">
        <is>
          <t>Cabot</t>
        </is>
      </c>
      <c r="B149" s="681">
        <f>D149*30%</f>
        <v/>
      </c>
      <c r="C149" s="681">
        <f>D149*60%</f>
        <v/>
      </c>
      <c r="D149" s="681" t="n">
        <v>659</v>
      </c>
      <c r="E149" s="681" t="n"/>
    </row>
    <row r="150">
      <c r="A150" s="1463" t="inlineStr">
        <is>
          <t>Landmark</t>
        </is>
      </c>
      <c r="B150" s="681">
        <f>D150*30%</f>
        <v/>
      </c>
      <c r="C150" s="681">
        <f>D150*60%</f>
        <v/>
      </c>
      <c r="D150" s="681" t="n">
        <v>30966</v>
      </c>
      <c r="E150" s="681" t="n"/>
    </row>
    <row r="151">
      <c r="A151" s="1249" t="n"/>
      <c r="C151" s="681" t="n"/>
      <c r="D151" s="681" t="n"/>
      <c r="E151" s="681" t="n"/>
    </row>
    <row r="152">
      <c r="A152" s="1249" t="n"/>
      <c r="C152" s="681" t="n"/>
      <c r="D152" s="681" t="n"/>
      <c r="E152" s="681" t="n"/>
    </row>
    <row r="153">
      <c r="C153" s="681" t="n"/>
      <c r="D153" s="681" t="n"/>
      <c r="E153" s="681" t="n"/>
    </row>
    <row r="154" ht="13.15" customHeight="1" s="1232">
      <c r="B154" s="737">
        <f>SUM(B138:B153)</f>
        <v/>
      </c>
      <c r="C154" s="737">
        <f>SUM(C138:C153)</f>
        <v/>
      </c>
      <c r="D154" s="737">
        <f>SUM(D138:D153)</f>
        <v/>
      </c>
      <c r="E154" s="737">
        <f>SUM(E138:E153)</f>
        <v/>
      </c>
      <c r="F154" s="956">
        <f>E154/D154</f>
        <v/>
      </c>
    </row>
    <row r="160" ht="13.15" customHeight="1" s="1232">
      <c r="A160" s="1251" t="inlineStr">
        <is>
          <t>Ruby</t>
        </is>
      </c>
    </row>
    <row r="161">
      <c r="A161" s="1249" t="inlineStr">
        <is>
          <t>Mobile</t>
        </is>
      </c>
      <c r="B161" s="1433" t="n">
        <v>25</v>
      </c>
    </row>
    <row r="162">
      <c r="A162" s="1249" t="inlineStr">
        <is>
          <t>Pocket Money</t>
        </is>
      </c>
      <c r="B162" s="1433" t="n">
        <v>20</v>
      </c>
    </row>
    <row r="163">
      <c r="A163" s="1249" t="inlineStr">
        <is>
          <t>Spotify</t>
        </is>
      </c>
      <c r="B163" s="1433" t="n">
        <v>5</v>
      </c>
    </row>
    <row r="164">
      <c r="A164" s="1249" t="inlineStr">
        <is>
          <t>Petrol</t>
        </is>
      </c>
      <c r="B164" s="1249" t="n">
        <v>60</v>
      </c>
    </row>
    <row r="165">
      <c r="A165" s="1249" t="inlineStr">
        <is>
          <t>Maint</t>
        </is>
      </c>
      <c r="B165" s="1249" t="n">
        <v>67</v>
      </c>
    </row>
    <row r="168">
      <c r="B168" s="1433">
        <f>SUM(B160:B167)</f>
        <v/>
      </c>
    </row>
    <row r="174">
      <c r="A174" s="1249" t="inlineStr">
        <is>
          <t>15k Loan</t>
        </is>
      </c>
      <c r="B174" s="1249" t="inlineStr">
        <is>
          <t>Payments</t>
        </is>
      </c>
      <c r="C174" s="1249" t="inlineStr">
        <is>
          <t>Allocated</t>
        </is>
      </c>
      <c r="D174" s="1249" t="inlineStr">
        <is>
          <t>Balance</t>
        </is>
      </c>
    </row>
    <row r="175" ht="13.15" customHeight="1" s="1232">
      <c r="A175" s="1435" t="n">
        <v>45339</v>
      </c>
      <c r="B175" s="1433" t="n">
        <v>12747.86</v>
      </c>
      <c r="D175" s="1433">
        <f>B175-B176</f>
        <v/>
      </c>
    </row>
    <row r="176" ht="13.15" customHeight="1" s="1232">
      <c r="A176" s="1435" t="n">
        <v>45342</v>
      </c>
      <c r="B176" s="1251" t="n">
        <v>12596.69</v>
      </c>
      <c r="C176" s="1433" t="n">
        <v>12190.99</v>
      </c>
      <c r="D176" s="1433">
        <f>B176-C176</f>
        <v/>
      </c>
    </row>
    <row r="177" ht="13.15" customHeight="1" s="1232">
      <c r="A177" s="1435" t="n">
        <v>45344</v>
      </c>
      <c r="B177" s="1433" t="n">
        <v>405.7</v>
      </c>
    </row>
    <row r="178" ht="13.15" customHeight="1" s="1232">
      <c r="A178" s="1435" t="n"/>
    </row>
    <row r="179" ht="13.15" customHeight="1" s="1232">
      <c r="A179" s="1435" t="n"/>
      <c r="D179" s="1251">
        <f>D176-D175</f>
        <v/>
      </c>
    </row>
    <row r="180" ht="13.15" customHeight="1" s="1232">
      <c r="A180" s="1435" t="n"/>
      <c r="B180" s="1249" t="inlineStr">
        <is>
          <t>2 x 405.70</t>
        </is>
      </c>
      <c r="C180" s="1433">
        <f>B177*2</f>
        <v/>
      </c>
    </row>
    <row r="181" ht="13.15" customHeight="1" s="1232">
      <c r="A181" s="1435" t="n"/>
    </row>
    <row r="182" ht="13.15" customHeight="1" s="1232">
      <c r="A182" s="1435" t="inlineStr">
        <is>
          <t>7k Loan</t>
        </is>
      </c>
    </row>
    <row r="183" ht="13.15" customHeight="1" s="1232">
      <c r="A183" s="1435" t="n">
        <v>45342</v>
      </c>
      <c r="B183" s="1464" t="n">
        <v>-7265.28</v>
      </c>
    </row>
    <row r="184" ht="13.15" customHeight="1" s="1232">
      <c r="A184" s="1435" t="n">
        <v>45343</v>
      </c>
      <c r="B184" s="1447" t="n">
        <v>-256.63</v>
      </c>
    </row>
    <row r="185" ht="13.15" customHeight="1" s="1232">
      <c r="A185" s="1465" t="inlineStr">
        <is>
          <t>Interest?</t>
        </is>
      </c>
      <c r="B185" s="1251" t="n">
        <v>153.47</v>
      </c>
    </row>
    <row r="186" ht="13.15" customHeight="1" s="1232">
      <c r="A186" s="1435" t="n"/>
      <c r="B186" s="1433">
        <f>B185+B184</f>
        <v/>
      </c>
      <c r="D186" s="1433">
        <f>B186</f>
        <v/>
      </c>
    </row>
  </sheetData>
  <conditionalFormatting sqref="C44:F44 K86:AD86 K88:AD88 K89:T89 K96:U96 K97:AD97 K98:U98 L87:U87 L102:W102">
    <cfRule type="cellIs" priority="127" operator="greaterThan" dxfId="0">
      <formula>0</formula>
    </cfRule>
    <cfRule type="cellIs" priority="128" operator="lessThan" dxfId="1">
      <formula>0</formula>
    </cfRule>
  </conditionalFormatting>
  <conditionalFormatting sqref="K102">
    <cfRule type="cellIs" priority="89" operator="greaterThan" dxfId="0">
      <formula>0</formula>
    </cfRule>
    <cfRule type="cellIs" priority="90" operator="lessThan" dxfId="1">
      <formula>0</formula>
    </cfRule>
  </conditionalFormatting>
  <conditionalFormatting sqref="V96 V98">
    <cfRule type="cellIs" priority="85" operator="greaterThan" dxfId="0">
      <formula>0</formula>
    </cfRule>
    <cfRule type="cellIs" priority="86" operator="lessThan" dxfId="1">
      <formula>0</formula>
    </cfRule>
  </conditionalFormatting>
  <conditionalFormatting sqref="V87">
    <cfRule type="cellIs" priority="83" operator="greaterThan" dxfId="0">
      <formula>0</formula>
    </cfRule>
    <cfRule type="cellIs" priority="84" operator="lessThan" dxfId="1">
      <formula>0</formula>
    </cfRule>
  </conditionalFormatting>
  <conditionalFormatting sqref="W96 W98">
    <cfRule type="cellIs" priority="77" operator="greaterThan" dxfId="0">
      <formula>0</formula>
    </cfRule>
    <cfRule type="cellIs" priority="78" operator="lessThan" dxfId="1">
      <formula>0</formula>
    </cfRule>
  </conditionalFormatting>
  <conditionalFormatting sqref="W87">
    <cfRule type="cellIs" priority="75" operator="greaterThan" dxfId="0">
      <formula>0</formula>
    </cfRule>
    <cfRule type="cellIs" priority="76" operator="lessThan" dxfId="1">
      <formula>0</formula>
    </cfRule>
  </conditionalFormatting>
  <conditionalFormatting sqref="W104">
    <cfRule type="cellIs" priority="67" operator="greaterThan" dxfId="0">
      <formula>0</formula>
    </cfRule>
    <cfRule type="cellIs" priority="68" operator="lessThan" dxfId="1">
      <formula>0</formula>
    </cfRule>
  </conditionalFormatting>
  <conditionalFormatting sqref="X96 X98">
    <cfRule type="cellIs" priority="65" operator="greaterThan" dxfId="0">
      <formula>0</formula>
    </cfRule>
    <cfRule type="cellIs" priority="66" operator="lessThan" dxfId="1">
      <formula>0</formula>
    </cfRule>
  </conditionalFormatting>
  <conditionalFormatting sqref="X87">
    <cfRule type="cellIs" priority="63" operator="greaterThan" dxfId="0">
      <formula>0</formula>
    </cfRule>
    <cfRule type="cellIs" priority="64" operator="lessThan" dxfId="1">
      <formula>0</formula>
    </cfRule>
  </conditionalFormatting>
  <conditionalFormatting sqref="X102">
    <cfRule type="cellIs" priority="59" operator="greaterThan" dxfId="0">
      <formula>0</formula>
    </cfRule>
    <cfRule type="cellIs" priority="60" operator="lessThan" dxfId="1">
      <formula>0</formula>
    </cfRule>
  </conditionalFormatting>
  <conditionalFormatting sqref="Y96 Y98">
    <cfRule type="cellIs" priority="57" operator="greaterThan" dxfId="0">
      <formula>0</formula>
    </cfRule>
    <cfRule type="cellIs" priority="58" operator="lessThan" dxfId="1">
      <formula>0</formula>
    </cfRule>
  </conditionalFormatting>
  <conditionalFormatting sqref="Y87">
    <cfRule type="cellIs" priority="55" operator="greaterThan" dxfId="0">
      <formula>0</formula>
    </cfRule>
    <cfRule type="cellIs" priority="56" operator="lessThan" dxfId="1">
      <formula>0</formula>
    </cfRule>
  </conditionalFormatting>
  <conditionalFormatting sqref="Y102">
    <cfRule type="cellIs" priority="51" operator="greaterThan" dxfId="0">
      <formula>0</formula>
    </cfRule>
    <cfRule type="cellIs" priority="52" operator="lessThan" dxfId="1">
      <formula>0</formula>
    </cfRule>
  </conditionalFormatting>
  <conditionalFormatting sqref="Z89 Z96 Z98">
    <cfRule type="cellIs" priority="49" operator="greaterThan" dxfId="0">
      <formula>0</formula>
    </cfRule>
    <cfRule type="cellIs" priority="50" operator="lessThan" dxfId="1">
      <formula>0</formula>
    </cfRule>
  </conditionalFormatting>
  <conditionalFormatting sqref="Z87">
    <cfRule type="cellIs" priority="47" operator="greaterThan" dxfId="0">
      <formula>0</formula>
    </cfRule>
    <cfRule type="cellIs" priority="48" operator="lessThan" dxfId="1">
      <formula>0</formula>
    </cfRule>
  </conditionalFormatting>
  <conditionalFormatting sqref="Z102">
    <cfRule type="cellIs" priority="43" operator="greaterThan" dxfId="0">
      <formula>0</formula>
    </cfRule>
    <cfRule type="cellIs" priority="44" operator="lessThan" dxfId="1">
      <formula>0</formula>
    </cfRule>
  </conditionalFormatting>
  <conditionalFormatting sqref="AA89 AA96 AA98">
    <cfRule type="cellIs" priority="41" operator="greaterThan" dxfId="0">
      <formula>0</formula>
    </cfRule>
    <cfRule type="cellIs" priority="42" operator="lessThan" dxfId="1">
      <formula>0</formula>
    </cfRule>
  </conditionalFormatting>
  <conditionalFormatting sqref="AA87">
    <cfRule type="cellIs" priority="39" operator="greaterThan" dxfId="0">
      <formula>0</formula>
    </cfRule>
    <cfRule type="cellIs" priority="40" operator="lessThan" dxfId="1">
      <formula>0</formula>
    </cfRule>
  </conditionalFormatting>
  <conditionalFormatting sqref="AA102">
    <cfRule type="cellIs" priority="35" operator="greaterThan" dxfId="0">
      <formula>0</formula>
    </cfRule>
    <cfRule type="cellIs" priority="36" operator="lessThan" dxfId="1">
      <formula>0</formula>
    </cfRule>
  </conditionalFormatting>
  <conditionalFormatting sqref="AB89:AD89 AB96:AD96 AB98:AD98">
    <cfRule type="cellIs" priority="33" operator="greaterThan" dxfId="0">
      <formula>0</formula>
    </cfRule>
    <cfRule type="cellIs" priority="34" operator="lessThan" dxfId="1">
      <formula>0</formula>
    </cfRule>
  </conditionalFormatting>
  <conditionalFormatting sqref="AB87:AD87">
    <cfRule type="cellIs" priority="31" operator="greaterThan" dxfId="0">
      <formula>0</formula>
    </cfRule>
    <cfRule type="cellIs" priority="32" operator="lessThan" dxfId="1">
      <formula>0</formula>
    </cfRule>
  </conditionalFormatting>
  <conditionalFormatting sqref="AB102:AD102">
    <cfRule type="cellIs" priority="27" operator="greaterThan" dxfId="0">
      <formula>0</formula>
    </cfRule>
    <cfRule type="cellIs" priority="28" operator="lessThan" dxfId="1">
      <formula>0</formula>
    </cfRule>
  </conditionalFormatting>
  <conditionalFormatting sqref="U89:Y89">
    <cfRule type="cellIs" priority="23" operator="greaterThan" dxfId="0">
      <formula>0</formula>
    </cfRule>
    <cfRule type="cellIs" priority="24" operator="lessThan" dxfId="1">
      <formula>0</formula>
    </cfRule>
  </conditionalFormatting>
  <conditionalFormatting sqref="C105:D105">
    <cfRule type="cellIs" priority="19" operator="greaterThan" dxfId="0">
      <formula>0</formula>
    </cfRule>
    <cfRule type="cellIs" priority="20" operator="lessThan" dxfId="1">
      <formula>0</formula>
    </cfRule>
  </conditionalFormatting>
  <conditionalFormatting sqref="F11:G11 F81 G12:G41 G48:G76">
    <cfRule type="cellIs" priority="16" operator="between" dxfId="26">
      <formula>0.099</formula>
      <formula>0.05</formula>
    </cfRule>
    <cfRule type="cellIs" priority="17" operator="greaterThan" dxfId="1">
      <formula>0.1</formula>
    </cfRule>
    <cfRule type="cellIs" priority="18" operator="greaterThan" dxfId="1">
      <formula>10</formula>
    </cfRule>
  </conditionalFormatting>
  <conditionalFormatting sqref="G77:G79">
    <cfRule type="cellIs" priority="10" operator="between" dxfId="26">
      <formula>0.099</formula>
      <formula>0.05</formula>
    </cfRule>
    <cfRule type="cellIs" priority="11" operator="greaterThan" dxfId="1">
      <formula>0.1</formula>
    </cfRule>
    <cfRule type="cellIs" priority="12" operator="greaterThan" dxfId="1">
      <formula>10</formula>
    </cfRule>
  </conditionalFormatting>
  <conditionalFormatting sqref="D109">
    <cfRule type="cellIs" priority="8" operator="greaterThan" dxfId="0">
      <formula>0</formula>
    </cfRule>
    <cfRule type="cellIs" priority="9" operator="lessThan" dxfId="1">
      <formula>0</formula>
    </cfRule>
  </conditionalFormatting>
  <conditionalFormatting sqref="D134">
    <cfRule type="cellIs" priority="6" operator="lessThan" dxfId="1">
      <formula>0</formula>
    </cfRule>
    <cfRule type="cellIs" priority="7" operator="greaterThan" dxfId="0">
      <formula>0</formula>
    </cfRule>
  </conditionalFormatting>
  <conditionalFormatting sqref="F81">
    <cfRule type="cellIs" priority="4" operator="between" dxfId="26">
      <formula>0.0049</formula>
      <formula>0.0099</formula>
    </cfRule>
  </conditionalFormatting>
  <conditionalFormatting sqref="F12:F41">
    <cfRule type="colorScale" priority="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48:F80">
    <cfRule type="colorScale" priority="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K74:Y74">
    <cfRule type="cellIs" priority="1" operator="lessThan" dxfId="1">
      <formula>0</formula>
    </cfRule>
  </conditionalFormatting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>
    <outlinePr summaryBelow="1" summaryRight="1"/>
    <pageSetUpPr/>
  </sheetPr>
  <dimension ref="B1:Y299"/>
  <sheetViews>
    <sheetView showGridLines="0" topLeftCell="A291" workbookViewId="0">
      <selection activeCell="Q66" sqref="Q66"/>
    </sheetView>
  </sheetViews>
  <sheetFormatPr baseColWidth="8" defaultColWidth="9.1328125" defaultRowHeight="12.75"/>
  <cols>
    <col width="9.1328125" customWidth="1" style="1260" min="1" max="1"/>
    <col width="27.86328125" bestFit="1" customWidth="1" style="1260" min="2" max="2"/>
    <col width="8.46484375" bestFit="1" customWidth="1" style="1260" min="3" max="3"/>
    <col width="13.19921875" customWidth="1" style="1260" min="4" max="7"/>
    <col width="3.46484375" customWidth="1" style="1260" min="8" max="8"/>
    <col width="19.1328125" customWidth="1" style="1260" min="9" max="9"/>
    <col width="14.19921875" customWidth="1" style="1260" min="10" max="12"/>
    <col width="9.86328125" customWidth="1" style="1260" min="13" max="14"/>
    <col width="30.1328125" customWidth="1" style="1260" min="15" max="15"/>
    <col width="11.46484375" customWidth="1" style="1260" min="16" max="16"/>
    <col width="11.53125" customWidth="1" style="1260" min="17" max="17"/>
    <col width="6.33203125" customWidth="1" style="1260" min="18" max="18"/>
    <col width="1.6640625" customWidth="1" style="1260" min="19" max="19"/>
    <col width="11.6640625" customWidth="1" style="1260" min="20" max="20"/>
    <col width="11" customWidth="1" style="1260" min="21" max="21"/>
    <col width="29.53125" bestFit="1" customWidth="1" style="1260" min="22" max="22"/>
    <col width="11" customWidth="1" style="1260" min="23" max="26"/>
    <col width="9.1328125" customWidth="1" style="1260" min="27" max="16384"/>
  </cols>
  <sheetData>
    <row r="1" ht="13.15" customHeight="1" s="1232">
      <c r="B1" s="1466" t="inlineStr">
        <is>
          <t>All Inclusive</t>
        </is>
      </c>
      <c r="C1" s="1394" t="n"/>
      <c r="D1" s="1394" t="n"/>
      <c r="E1" s="1394" t="n"/>
      <c r="F1" s="1467" t="n"/>
      <c r="G1" s="1467" t="n"/>
      <c r="H1" s="1467" t="n"/>
      <c r="I1" s="1268" t="inlineStr">
        <is>
          <t>Mixes</t>
        </is>
      </c>
      <c r="J1" s="1394" t="n"/>
      <c r="K1" s="1394" t="n"/>
      <c r="L1" s="1394" t="n"/>
      <c r="M1" s="1467" t="n"/>
    </row>
    <row r="2" ht="13.15" customHeight="1" s="1232">
      <c r="C2" s="1394" t="n"/>
      <c r="D2" s="1394" t="n"/>
      <c r="E2" s="1394" t="n"/>
      <c r="F2" s="1467" t="n"/>
      <c r="G2" s="1467" t="n"/>
      <c r="H2" s="1467" t="n"/>
      <c r="I2" s="1468" t="inlineStr">
        <is>
          <t>3 Day Workshop</t>
        </is>
      </c>
      <c r="J2" s="1469" t="n"/>
      <c r="K2" s="1470" t="inlineStr">
        <is>
          <t>Tuition Only</t>
        </is>
      </c>
      <c r="L2" s="1470" t="inlineStr">
        <is>
          <t>All  Inc</t>
        </is>
      </c>
      <c r="M2" s="1467" t="n"/>
    </row>
    <row r="3" ht="13.15" customHeight="1" s="1232">
      <c r="B3" s="1268" t="inlineStr">
        <is>
          <t>3 Day Workshop</t>
        </is>
      </c>
      <c r="C3" s="1394" t="n"/>
      <c r="D3" s="51" t="n">
        <v>1</v>
      </c>
      <c r="E3" s="51" t="n">
        <v>2</v>
      </c>
      <c r="F3" s="51" t="n">
        <v>3</v>
      </c>
      <c r="G3" s="51" t="n">
        <v>4</v>
      </c>
      <c r="H3" s="1467" t="n"/>
      <c r="I3" s="1471" t="inlineStr">
        <is>
          <t>Tuition Only</t>
        </is>
      </c>
      <c r="J3" s="1469">
        <f>P19</f>
        <v/>
      </c>
      <c r="K3" s="65" t="n">
        <v>0</v>
      </c>
      <c r="L3" s="65" t="n"/>
      <c r="M3" s="51" t="n"/>
    </row>
    <row r="4" ht="13.15" customHeight="1" s="1232">
      <c r="B4" s="1268" t="n"/>
      <c r="C4" s="1268" t="n"/>
      <c r="D4" s="1268" t="n"/>
      <c r="E4" s="1268" t="n"/>
      <c r="F4" s="1268" t="n"/>
      <c r="G4" s="1268" t="n"/>
      <c r="H4" s="1268" t="n"/>
      <c r="I4" s="1471" t="inlineStr">
        <is>
          <t>All Inc</t>
        </is>
      </c>
      <c r="J4" s="1469">
        <f>T19</f>
        <v/>
      </c>
      <c r="K4" s="65" t="n"/>
      <c r="L4" s="65" t="n">
        <v>3</v>
      </c>
      <c r="M4" s="1268" t="n"/>
    </row>
    <row r="5">
      <c r="B5" s="1260" t="inlineStr">
        <is>
          <t>Revenue</t>
        </is>
      </c>
      <c r="C5" s="1394" t="n">
        <v>725</v>
      </c>
      <c r="D5" s="1394">
        <f>C5*D3</f>
        <v/>
      </c>
      <c r="E5" s="1394">
        <f>C5*E3</f>
        <v/>
      </c>
      <c r="F5" s="1467">
        <f>C5*F3</f>
        <v/>
      </c>
      <c r="G5" s="1467">
        <f>C5*G3</f>
        <v/>
      </c>
      <c r="H5" s="1467" t="n"/>
      <c r="I5" s="1260" t="inlineStr">
        <is>
          <t>Revenue</t>
        </is>
      </c>
      <c r="J5" s="1394" t="n"/>
      <c r="K5" s="1394">
        <f>J3*K3</f>
        <v/>
      </c>
      <c r="L5" s="1394">
        <f>J4*L4</f>
        <v/>
      </c>
      <c r="M5" s="1467" t="n"/>
    </row>
    <row r="6">
      <c r="B6" s="1260" t="inlineStr">
        <is>
          <t>Discount Risk</t>
        </is>
      </c>
      <c r="C6" s="64" t="n">
        <v>0</v>
      </c>
      <c r="D6" s="1467">
        <f>D5*$C6</f>
        <v/>
      </c>
      <c r="E6" s="1467">
        <f>E5*$C6</f>
        <v/>
      </c>
      <c r="F6" s="1467">
        <f>F5*$C6</f>
        <v/>
      </c>
      <c r="G6" s="1467">
        <f>G5*$C6</f>
        <v/>
      </c>
      <c r="H6" s="1467" t="n"/>
      <c r="I6" s="1260" t="inlineStr">
        <is>
          <t>Discount Risk</t>
        </is>
      </c>
      <c r="J6" s="64" t="n">
        <v>0.2</v>
      </c>
      <c r="K6" s="1467">
        <f>K5*$J6</f>
        <v/>
      </c>
      <c r="L6" s="1467">
        <f>L5*$J6</f>
        <v/>
      </c>
      <c r="M6" s="1467" t="n"/>
    </row>
    <row r="7" ht="13.15" customHeight="1" s="1232">
      <c r="B7" s="1268" t="inlineStr">
        <is>
          <t>Net Revenue</t>
        </is>
      </c>
      <c r="C7" s="1472" t="n"/>
      <c r="D7" s="1473">
        <f>D5-D6</f>
        <v/>
      </c>
      <c r="E7" s="1473">
        <f>E5-E6</f>
        <v/>
      </c>
      <c r="F7" s="1473">
        <f>F5-F6</f>
        <v/>
      </c>
      <c r="G7" s="1473">
        <f>G5-G6</f>
        <v/>
      </c>
      <c r="H7" s="1467" t="n"/>
      <c r="I7" s="1268" t="inlineStr">
        <is>
          <t>Net Revenue</t>
        </is>
      </c>
      <c r="J7" s="1472" t="n"/>
      <c r="K7" s="1473">
        <f>K5-K6</f>
        <v/>
      </c>
      <c r="L7" s="1473">
        <f>L5-L6</f>
        <v/>
      </c>
      <c r="M7" s="1472">
        <f>L7+K7</f>
        <v/>
      </c>
    </row>
    <row r="8">
      <c r="F8" s="1394" t="n"/>
      <c r="G8" s="1394" t="n"/>
      <c r="M8" s="1394" t="n"/>
    </row>
    <row r="9">
      <c r="B9" s="1260" t="inlineStr">
        <is>
          <t>Card Fees</t>
        </is>
      </c>
      <c r="D9" s="1260">
        <f>D7*3.5%</f>
        <v/>
      </c>
      <c r="E9" s="1260">
        <f>E7*3.5%</f>
        <v/>
      </c>
      <c r="F9" s="1260">
        <f>F7*3.5%</f>
        <v/>
      </c>
      <c r="G9" s="1260">
        <f>G7*3.5%</f>
        <v/>
      </c>
      <c r="I9" s="1260" t="inlineStr">
        <is>
          <t>Card Fees</t>
        </is>
      </c>
      <c r="K9" s="1260">
        <f>K7*3.5%</f>
        <v/>
      </c>
      <c r="L9" s="1260">
        <f>L7*3.5%</f>
        <v/>
      </c>
    </row>
    <row r="10">
      <c r="F10" s="1394" t="n"/>
      <c r="G10" s="1394" t="n"/>
      <c r="M10" s="1394" t="n"/>
    </row>
    <row r="11">
      <c r="B11" s="1260" t="inlineStr">
        <is>
          <t>B&amp;B</t>
        </is>
      </c>
      <c r="C11" s="1260" t="n">
        <v>150</v>
      </c>
      <c r="D11" s="1260">
        <f>SUM($C11*D3+75)*2</f>
        <v/>
      </c>
      <c r="E11" s="1260">
        <f>SUM($C11*E3+75)*2</f>
        <v/>
      </c>
      <c r="F11" s="1260">
        <f>SUM($C11*F3+75)*2</f>
        <v/>
      </c>
      <c r="G11" s="1260">
        <f>SUM($C11*G3+75)*2</f>
        <v/>
      </c>
      <c r="I11" s="1260" t="inlineStr">
        <is>
          <t>B&amp;B</t>
        </is>
      </c>
      <c r="J11" s="1260" t="n">
        <v>75</v>
      </c>
      <c r="K11" s="1260" t="n">
        <v>0</v>
      </c>
      <c r="L11" s="1260">
        <f>SUM(L4*J11+J11)*2</f>
        <v/>
      </c>
    </row>
    <row r="12" ht="13.15" customHeight="1" s="1232">
      <c r="B12" s="1268" t="n"/>
      <c r="I12" s="1268" t="n"/>
    </row>
    <row r="13">
      <c r="B13" s="1260" t="inlineStr">
        <is>
          <t>Petrol</t>
        </is>
      </c>
      <c r="C13" s="1260" t="n">
        <v>150</v>
      </c>
      <c r="D13" s="1260">
        <f>C13</f>
        <v/>
      </c>
      <c r="E13" s="1260">
        <f>C13</f>
        <v/>
      </c>
      <c r="F13" s="1260">
        <f>C13</f>
        <v/>
      </c>
      <c r="G13" s="1260">
        <f>C13</f>
        <v/>
      </c>
      <c r="I13" s="1260" t="inlineStr">
        <is>
          <t>Petrol</t>
        </is>
      </c>
      <c r="J13" s="1260" t="n">
        <v>100</v>
      </c>
      <c r="K13" s="1260" t="n">
        <v>0</v>
      </c>
      <c r="L13" s="1260">
        <f>J13</f>
        <v/>
      </c>
    </row>
    <row r="14" ht="14.25" customHeight="1" s="1232"/>
    <row r="15">
      <c r="B15" s="1260" t="inlineStr">
        <is>
          <t>Food</t>
        </is>
      </c>
      <c r="C15" s="1260" t="n">
        <v>35</v>
      </c>
      <c r="D15" s="1260">
        <f>C15*3</f>
        <v/>
      </c>
      <c r="E15" s="1260">
        <f>C15*3</f>
        <v/>
      </c>
      <c r="F15" s="1260">
        <f>C15*3</f>
        <v/>
      </c>
      <c r="G15" s="1260">
        <f>C15*3</f>
        <v/>
      </c>
      <c r="I15" s="1260" t="inlineStr">
        <is>
          <t>Food</t>
        </is>
      </c>
      <c r="J15" s="1260" t="n">
        <v>30</v>
      </c>
      <c r="K15" s="1260" t="n">
        <v>0</v>
      </c>
      <c r="L15" s="1260">
        <f>J15*3</f>
        <v/>
      </c>
    </row>
    <row r="17">
      <c r="B17" s="1260" t="inlineStr">
        <is>
          <t>Admin</t>
        </is>
      </c>
      <c r="C17" s="1260">
        <f>$T$115</f>
        <v/>
      </c>
      <c r="D17" s="1260">
        <f>C17</f>
        <v/>
      </c>
      <c r="E17" s="1260">
        <f>C17</f>
        <v/>
      </c>
      <c r="F17" s="1260">
        <f>C17</f>
        <v/>
      </c>
      <c r="G17" s="1260">
        <f>C17</f>
        <v/>
      </c>
      <c r="I17" s="1260" t="inlineStr">
        <is>
          <t>Admin</t>
        </is>
      </c>
      <c r="J17" s="1260">
        <f>$T$115</f>
        <v/>
      </c>
      <c r="K17" s="1260">
        <f>J17*K3</f>
        <v/>
      </c>
      <c r="L17" s="1260">
        <f>J17*L4</f>
        <v/>
      </c>
    </row>
    <row r="19" ht="13.15" customHeight="1" s="1232">
      <c r="B19" s="1260" t="inlineStr">
        <is>
          <t>Costs</t>
        </is>
      </c>
      <c r="D19" s="1268">
        <f>SUM(D9:D18)</f>
        <v/>
      </c>
      <c r="E19" s="1268">
        <f>SUM(E9:E18)</f>
        <v/>
      </c>
      <c r="F19" s="1268">
        <f>SUM(F9:F18)</f>
        <v/>
      </c>
      <c r="G19" s="1268">
        <f>SUM(G9:G18)</f>
        <v/>
      </c>
      <c r="I19" s="1268" t="inlineStr">
        <is>
          <t>Costs</t>
        </is>
      </c>
      <c r="K19" s="1268">
        <f>SUM(K9:K18)</f>
        <v/>
      </c>
      <c r="L19" s="1268">
        <f>SUM(L9:L18)</f>
        <v/>
      </c>
      <c r="M19" s="1268">
        <f>K19+L19</f>
        <v/>
      </c>
      <c r="N19" s="1268" t="n"/>
    </row>
    <row r="21" ht="13.15" customHeight="1" s="1232">
      <c r="B21" s="1268" t="inlineStr">
        <is>
          <t>Net</t>
        </is>
      </c>
      <c r="C21" s="1268" t="n"/>
      <c r="D21" s="1473">
        <f>D7-D19</f>
        <v/>
      </c>
      <c r="E21" s="1473">
        <f>E7-E19</f>
        <v/>
      </c>
      <c r="F21" s="1473">
        <f>F7-F19</f>
        <v/>
      </c>
      <c r="G21" s="1473">
        <f>G7-G19</f>
        <v/>
      </c>
      <c r="I21" s="1268" t="inlineStr">
        <is>
          <t>Net</t>
        </is>
      </c>
      <c r="J21" s="1268" t="n"/>
      <c r="K21" s="1473">
        <f>K7-K19</f>
        <v/>
      </c>
      <c r="L21" s="1473">
        <f>L7-L19</f>
        <v/>
      </c>
      <c r="M21" s="1472">
        <f>L21+K21</f>
        <v/>
      </c>
      <c r="N21" s="1472" t="n"/>
      <c r="O21" s="1260" t="inlineStr">
        <is>
          <t>Batsford 1 day</t>
        </is>
      </c>
      <c r="P21" s="1260" t="n">
        <v>150</v>
      </c>
    </row>
    <row r="22">
      <c r="O22" s="1260" t="inlineStr">
        <is>
          <t>Batsford 1/2 Day</t>
        </is>
      </c>
      <c r="P22" s="1260" t="n">
        <v>99</v>
      </c>
    </row>
    <row r="23">
      <c r="C23" s="1394" t="n"/>
      <c r="D23" s="50">
        <f>D21/D7</f>
        <v/>
      </c>
      <c r="E23" s="50">
        <f>E21/E7</f>
        <v/>
      </c>
      <c r="F23" s="50">
        <f>F21/F7</f>
        <v/>
      </c>
      <c r="G23" s="50">
        <f>G21/G7</f>
        <v/>
      </c>
      <c r="J23" s="1394" t="n"/>
      <c r="K23" s="50">
        <f>K21/K7</f>
        <v/>
      </c>
      <c r="L23" s="50">
        <f>L21/L7</f>
        <v/>
      </c>
      <c r="M23" s="50">
        <f>M21/M7</f>
        <v/>
      </c>
      <c r="N23" s="50" t="n"/>
      <c r="O23" s="1260" t="inlineStr">
        <is>
          <t>Batsford Class/Walk</t>
        </is>
      </c>
      <c r="P23" s="1260" t="n">
        <v>65</v>
      </c>
    </row>
    <row r="25" ht="13.15" customHeight="1" s="1232">
      <c r="B25" s="1260" t="inlineStr">
        <is>
          <t>Time Hrs</t>
        </is>
      </c>
      <c r="C25" s="1474" t="n">
        <v>20</v>
      </c>
      <c r="D25" s="1260">
        <f>C25*25</f>
        <v/>
      </c>
      <c r="E25" s="1260">
        <f>C25*25</f>
        <v/>
      </c>
      <c r="F25" s="1260">
        <f>C25*25</f>
        <v/>
      </c>
      <c r="G25" s="1260">
        <f>C25*25</f>
        <v/>
      </c>
      <c r="I25" s="1260" t="inlineStr">
        <is>
          <t>Time Hrs</t>
        </is>
      </c>
      <c r="J25" s="1474" t="n">
        <v>24</v>
      </c>
      <c r="K25" s="1260">
        <f>J25*P25</f>
        <v/>
      </c>
      <c r="L25" s="1260">
        <f>J25*P25</f>
        <v/>
      </c>
      <c r="M25" s="1260">
        <f>L25</f>
        <v/>
      </c>
      <c r="O25" s="1472" t="inlineStr">
        <is>
          <t>Labour Hrly Rate</t>
        </is>
      </c>
      <c r="P25" s="1260" t="n">
        <v>25</v>
      </c>
    </row>
    <row r="26" ht="13.15" customHeight="1" s="1232">
      <c r="B26" s="1268" t="n"/>
      <c r="C26" s="1268" t="n"/>
      <c r="D26" s="1268" t="n"/>
      <c r="E26" s="1268" t="n"/>
      <c r="I26" s="1268" t="n"/>
      <c r="J26" s="1268" t="n"/>
      <c r="K26" s="1268" t="n"/>
      <c r="L26" s="1268" t="n"/>
      <c r="O26" s="1268" t="inlineStr">
        <is>
          <t>Admin Rate</t>
        </is>
      </c>
    </row>
    <row r="28">
      <c r="B28" s="1260" t="inlineStr">
        <is>
          <t>Profit</t>
        </is>
      </c>
      <c r="D28" s="1260">
        <f>D21-D25</f>
        <v/>
      </c>
      <c r="E28" s="1260">
        <f>E21-E25</f>
        <v/>
      </c>
      <c r="F28" s="1260">
        <f>F21-F25</f>
        <v/>
      </c>
      <c r="G28" s="1260">
        <f>G21-G25</f>
        <v/>
      </c>
      <c r="I28" s="1260" t="inlineStr">
        <is>
          <t>Profit</t>
        </is>
      </c>
      <c r="K28" s="1260">
        <f>K7-K19-K25</f>
        <v/>
      </c>
      <c r="L28" s="1260">
        <f>L7-L19-L25</f>
        <v/>
      </c>
      <c r="M28" s="1260">
        <f>M7-M19-M25</f>
        <v/>
      </c>
    </row>
    <row r="29" ht="13.15" customHeight="1" s="1232">
      <c r="B29" s="1268" t="n"/>
      <c r="D29" s="50">
        <f>D28/D7</f>
        <v/>
      </c>
      <c r="E29" s="50">
        <f>E28/E7</f>
        <v/>
      </c>
      <c r="F29" s="50">
        <f>F28/F7</f>
        <v/>
      </c>
      <c r="G29" s="50">
        <f>G28/G7</f>
        <v/>
      </c>
      <c r="I29" s="1268" t="n"/>
      <c r="K29" s="50">
        <f>K28/K7</f>
        <v/>
      </c>
      <c r="L29" s="50">
        <f>L28/L7</f>
        <v/>
      </c>
      <c r="M29" s="50">
        <f>M28/M7</f>
        <v/>
      </c>
      <c r="N29" s="50" t="n"/>
      <c r="O29" s="296" t="inlineStr">
        <is>
          <t>Classes</t>
        </is>
      </c>
    </row>
    <row r="30">
      <c r="L30" s="1260" t="inlineStr">
        <is>
          <t>Without Labour</t>
        </is>
      </c>
      <c r="M30" s="1260">
        <f>M28+M25</f>
        <v/>
      </c>
      <c r="P30" s="1260" t="inlineStr">
        <is>
          <t>RRP</t>
        </is>
      </c>
    </row>
    <row r="31">
      <c r="C31" s="1394" t="n"/>
      <c r="D31" s="1394" t="n"/>
      <c r="E31" s="1394" t="n"/>
      <c r="J31" s="1394" t="n"/>
      <c r="K31" s="1394" t="n"/>
      <c r="L31" s="1394" t="n"/>
      <c r="O31" s="1260" t="inlineStr">
        <is>
          <t>Intro Class</t>
        </is>
      </c>
      <c r="P31" s="1260" t="n">
        <v>30</v>
      </c>
    </row>
    <row r="32" ht="13.15" customHeight="1" s="1232">
      <c r="B32" s="1268" t="inlineStr">
        <is>
          <t>2 Day Workshop</t>
        </is>
      </c>
      <c r="C32" s="1394" t="n"/>
      <c r="D32" s="51" t="n">
        <v>1</v>
      </c>
      <c r="E32" s="51" t="n">
        <v>2</v>
      </c>
      <c r="F32" s="51" t="n">
        <v>3</v>
      </c>
      <c r="G32" s="51" t="n">
        <v>4</v>
      </c>
      <c r="I32" s="1468" t="inlineStr">
        <is>
          <t>2 Day Workshop</t>
        </is>
      </c>
      <c r="J32" s="1469" t="n"/>
      <c r="K32" s="1470" t="inlineStr">
        <is>
          <t>Tuition Only</t>
        </is>
      </c>
      <c r="L32" s="1470" t="inlineStr">
        <is>
          <t>Mix</t>
        </is>
      </c>
      <c r="M32" s="51" t="n"/>
      <c r="N32" s="51" t="n"/>
      <c r="O32" s="1260" t="inlineStr">
        <is>
          <t>Masterclass</t>
        </is>
      </c>
      <c r="P32" s="1260" t="n">
        <v>50</v>
      </c>
    </row>
    <row r="33" ht="13.15" customHeight="1" s="1232">
      <c r="B33" s="1268" t="n"/>
      <c r="C33" s="1268" t="n"/>
      <c r="D33" s="1268" t="n"/>
      <c r="E33" s="1268" t="n"/>
      <c r="F33" s="1268" t="n"/>
      <c r="G33" s="1268" t="n"/>
      <c r="I33" s="1471" t="inlineStr">
        <is>
          <t>Tuition Only</t>
        </is>
      </c>
      <c r="J33" s="1469">
        <f>P18</f>
        <v/>
      </c>
      <c r="K33" s="65" t="n">
        <v>2</v>
      </c>
      <c r="L33" s="65" t="n"/>
      <c r="M33" s="1268" t="n"/>
      <c r="N33" s="1268" t="n"/>
    </row>
    <row r="34" ht="13.15" customHeight="1" s="1232">
      <c r="B34" s="1260" t="inlineStr">
        <is>
          <t>Revenue</t>
        </is>
      </c>
      <c r="C34" s="1394" t="n">
        <v>475</v>
      </c>
      <c r="D34" s="1394">
        <f>C34*D32</f>
        <v/>
      </c>
      <c r="E34" s="1394">
        <f>C34*E32</f>
        <v/>
      </c>
      <c r="F34" s="1467">
        <f>C34*F32</f>
        <v/>
      </c>
      <c r="G34" s="1467">
        <f>C34*G32</f>
        <v/>
      </c>
      <c r="I34" s="1471" t="inlineStr">
        <is>
          <t>All Inc</t>
        </is>
      </c>
      <c r="J34" s="1468">
        <f>T18</f>
        <v/>
      </c>
      <c r="K34" s="1468" t="n"/>
      <c r="L34" s="65" t="n">
        <v>1</v>
      </c>
      <c r="M34" s="1467" t="n"/>
      <c r="N34" s="1467" t="n"/>
    </row>
    <row r="35">
      <c r="B35" s="1260" t="inlineStr">
        <is>
          <t>Discount Risk</t>
        </is>
      </c>
      <c r="C35" s="64" t="n">
        <v>0.15</v>
      </c>
      <c r="D35" s="1394">
        <f>D34*C35</f>
        <v/>
      </c>
      <c r="E35" s="1394">
        <f>E34*C35</f>
        <v/>
      </c>
      <c r="F35" s="1467">
        <f>F34*C35</f>
        <v/>
      </c>
      <c r="G35" s="1467">
        <f>G34*C35</f>
        <v/>
      </c>
      <c r="I35" s="1260" t="inlineStr">
        <is>
          <t>Revenue</t>
        </is>
      </c>
      <c r="J35" s="1394" t="n"/>
      <c r="K35" s="1394">
        <f>J33*K33</f>
        <v/>
      </c>
      <c r="L35" s="1394">
        <f>J34*L34</f>
        <v/>
      </c>
      <c r="M35" s="1467" t="n"/>
      <c r="N35" s="1467" t="n"/>
      <c r="O35" s="50" t="n"/>
    </row>
    <row r="36" ht="13.15" customHeight="1" s="1232">
      <c r="B36" s="1268" t="inlineStr">
        <is>
          <t>Net Revenue</t>
        </is>
      </c>
      <c r="C36" s="1472" t="n"/>
      <c r="D36" s="1473">
        <f>D34-D35</f>
        <v/>
      </c>
      <c r="E36" s="1473">
        <f>E34-E35</f>
        <v/>
      </c>
      <c r="F36" s="1473">
        <f>F34-F35</f>
        <v/>
      </c>
      <c r="G36" s="1473">
        <f>G34-G35</f>
        <v/>
      </c>
      <c r="I36" s="1260" t="inlineStr">
        <is>
          <t>Discount Risk</t>
        </is>
      </c>
      <c r="J36" s="64" t="n">
        <v>0.3</v>
      </c>
      <c r="K36" s="1467">
        <f>K35*$J36</f>
        <v/>
      </c>
      <c r="L36" s="1467">
        <f>L35*$J36</f>
        <v/>
      </c>
      <c r="M36" s="1467" t="n"/>
      <c r="N36" s="1472" t="n"/>
      <c r="O36" s="1268" t="inlineStr">
        <is>
          <t>Courses</t>
        </is>
      </c>
      <c r="P36" s="1260" t="inlineStr">
        <is>
          <t>RRP</t>
        </is>
      </c>
    </row>
    <row r="37" ht="13.15" customHeight="1" s="1232">
      <c r="F37" s="1394" t="n"/>
      <c r="G37" s="1394" t="n"/>
      <c r="I37" s="1268" t="inlineStr">
        <is>
          <t>Net Revenue</t>
        </is>
      </c>
      <c r="J37" s="1472" t="n"/>
      <c r="K37" s="1473">
        <f>K35-K36</f>
        <v/>
      </c>
      <c r="L37" s="1473">
        <f>L35-L36</f>
        <v/>
      </c>
      <c r="M37" s="1472">
        <f>L37+K37</f>
        <v/>
      </c>
      <c r="N37" s="1394" t="n"/>
    </row>
    <row r="38">
      <c r="B38" s="1260" t="inlineStr">
        <is>
          <t>Card Fees</t>
        </is>
      </c>
      <c r="D38" s="1260">
        <f>D36*3.5%</f>
        <v/>
      </c>
      <c r="E38" s="1260">
        <f>E36*3.5%</f>
        <v/>
      </c>
      <c r="F38" s="1260">
        <f>F36*3.5%</f>
        <v/>
      </c>
      <c r="G38" s="1260">
        <f>G36*3.5%</f>
        <v/>
      </c>
      <c r="M38" s="1394" t="n"/>
      <c r="O38" s="51" t="inlineStr">
        <is>
          <t>4wk Begiiners</t>
        </is>
      </c>
      <c r="P38" s="1260" t="n">
        <v>275</v>
      </c>
    </row>
    <row r="39">
      <c r="F39" s="1394" t="n"/>
      <c r="G39" s="1394" t="n"/>
      <c r="I39" s="1260" t="inlineStr">
        <is>
          <t>Card Fees</t>
        </is>
      </c>
      <c r="K39" s="1260">
        <f>K37*3.5%</f>
        <v/>
      </c>
      <c r="L39" s="1260">
        <f>L37*3.5%</f>
        <v/>
      </c>
      <c r="N39" s="1394" t="n"/>
      <c r="O39" s="1260" t="inlineStr">
        <is>
          <t>4wk Intermediates</t>
        </is>
      </c>
      <c r="P39" s="1260" t="n">
        <v>275</v>
      </c>
    </row>
    <row r="40">
      <c r="B40" s="1260" t="inlineStr">
        <is>
          <t>B&amp;B</t>
        </is>
      </c>
      <c r="C40" s="1260" t="n">
        <v>95</v>
      </c>
      <c r="D40" s="1260">
        <f>SUM(C40*D32+75)*1</f>
        <v/>
      </c>
      <c r="E40" s="1260">
        <f>SUM(C40*E32+75)*1</f>
        <v/>
      </c>
      <c r="F40" s="1260">
        <f>SUM(C40*F32+75)*1</f>
        <v/>
      </c>
      <c r="G40" s="1260">
        <f>SUM(C40*G32+75)*1</f>
        <v/>
      </c>
      <c r="M40" s="1394" t="n"/>
      <c r="O40" s="1467" t="inlineStr">
        <is>
          <t>Lightroom</t>
        </is>
      </c>
    </row>
    <row r="41" ht="13.15" customHeight="1" s="1232">
      <c r="B41" s="1268" t="n"/>
      <c r="I41" s="1260" t="inlineStr">
        <is>
          <t>B&amp;B</t>
        </is>
      </c>
      <c r="J41" s="1260" t="n">
        <v>75</v>
      </c>
      <c r="K41" s="1260" t="n">
        <v>0</v>
      </c>
      <c r="L41" s="1260">
        <f>SUM(L34*J41+J41)*1</f>
        <v/>
      </c>
      <c r="O41" s="1467" t="inlineStr">
        <is>
          <t>Intentions</t>
        </is>
      </c>
      <c r="P41" s="1260" t="n">
        <v>495</v>
      </c>
    </row>
    <row r="42" ht="13.15" customHeight="1" s="1232">
      <c r="B42" s="1260" t="inlineStr">
        <is>
          <t>Petrol</t>
        </is>
      </c>
      <c r="C42" s="1260" t="n">
        <v>100</v>
      </c>
      <c r="D42" s="1260" t="n">
        <v>80</v>
      </c>
      <c r="E42" s="1260" t="n">
        <v>80</v>
      </c>
      <c r="F42" s="1260" t="n">
        <v>80</v>
      </c>
      <c r="G42" s="1260" t="n">
        <v>80</v>
      </c>
      <c r="I42" s="1268" t="n"/>
      <c r="O42" s="1394" t="inlineStr">
        <is>
          <t>RPS</t>
        </is>
      </c>
      <c r="P42" s="1260" t="n">
        <v>395</v>
      </c>
    </row>
    <row r="43">
      <c r="I43" s="1260" t="inlineStr">
        <is>
          <t>Petrol</t>
        </is>
      </c>
      <c r="J43" s="1260" t="n">
        <v>75</v>
      </c>
      <c r="K43" s="1260" t="n">
        <v>0</v>
      </c>
      <c r="L43" s="1260">
        <f>J43</f>
        <v/>
      </c>
      <c r="O43" s="1394" t="n"/>
    </row>
    <row r="44">
      <c r="B44" s="1260" t="inlineStr">
        <is>
          <t>Food</t>
        </is>
      </c>
      <c r="C44" s="1260" t="n">
        <v>30</v>
      </c>
      <c r="D44" s="1260" t="n">
        <v>60</v>
      </c>
      <c r="E44" s="1260">
        <f>C44*2</f>
        <v/>
      </c>
      <c r="F44" s="1260">
        <f>C44*2</f>
        <v/>
      </c>
      <c r="G44" s="1260">
        <f>C44*2</f>
        <v/>
      </c>
    </row>
    <row r="45" ht="13.15" customHeight="1" s="1232">
      <c r="I45" s="1260" t="inlineStr">
        <is>
          <t>Food</t>
        </is>
      </c>
      <c r="J45" s="1260" t="n">
        <v>30</v>
      </c>
      <c r="K45" s="1260" t="n">
        <v>0</v>
      </c>
      <c r="L45" s="1260">
        <f>J45*2</f>
        <v/>
      </c>
      <c r="O45" s="1472" t="inlineStr">
        <is>
          <t>Mentoring</t>
        </is>
      </c>
      <c r="P45" s="1260" t="inlineStr">
        <is>
          <t>RRP</t>
        </is>
      </c>
    </row>
    <row r="46">
      <c r="B46" s="1260" t="inlineStr">
        <is>
          <t>Admin</t>
        </is>
      </c>
      <c r="C46" s="1260">
        <f>$T$115</f>
        <v/>
      </c>
      <c r="D46" s="1260">
        <f>C46</f>
        <v/>
      </c>
      <c r="E46" s="1260">
        <f>C46</f>
        <v/>
      </c>
      <c r="F46" s="1260">
        <f>C46</f>
        <v/>
      </c>
      <c r="G46" s="1260">
        <f>E46</f>
        <v/>
      </c>
    </row>
    <row r="47">
      <c r="I47" s="1260" t="inlineStr">
        <is>
          <t>Admin</t>
        </is>
      </c>
      <c r="J47" s="1260">
        <f>$T$115</f>
        <v/>
      </c>
      <c r="K47" s="1260">
        <f>J47*K33</f>
        <v/>
      </c>
      <c r="L47" s="1260">
        <f>J47*L34</f>
        <v/>
      </c>
      <c r="O47" s="1260" t="inlineStr">
        <is>
          <t>Monthly</t>
        </is>
      </c>
      <c r="P47" s="1260" t="n">
        <v>20</v>
      </c>
    </row>
    <row r="48" ht="13.15" customHeight="1" s="1232">
      <c r="B48" s="1260" t="inlineStr">
        <is>
          <t>Costs</t>
        </is>
      </c>
      <c r="D48" s="1268">
        <f>SUM(D38:D47)</f>
        <v/>
      </c>
      <c r="E48" s="1268">
        <f>SUM(E38:E47)</f>
        <v/>
      </c>
      <c r="F48" s="1268">
        <f>SUM(F38:F47)</f>
        <v/>
      </c>
      <c r="G48" s="1268">
        <f>SUM(G38:G47)</f>
        <v/>
      </c>
      <c r="N48" s="1268" t="n"/>
      <c r="O48" s="1260" t="inlineStr">
        <is>
          <t>Premium</t>
        </is>
      </c>
      <c r="P48" s="1260" t="n">
        <v>600</v>
      </c>
    </row>
    <row r="49" ht="13.15" customHeight="1" s="1232">
      <c r="I49" s="1268" t="inlineStr">
        <is>
          <t>Costs</t>
        </is>
      </c>
      <c r="K49" s="1268">
        <f>SUM(K39:K48)</f>
        <v/>
      </c>
      <c r="L49" s="1268">
        <f>SUM(L39:L48)</f>
        <v/>
      </c>
      <c r="M49" s="1268">
        <f>K49+L49</f>
        <v/>
      </c>
    </row>
    <row r="50" ht="13.15" customHeight="1" s="1232">
      <c r="B50" s="1268" t="inlineStr">
        <is>
          <t>Net</t>
        </is>
      </c>
      <c r="C50" s="1268" t="n"/>
      <c r="D50" s="1473">
        <f>D36-D48</f>
        <v/>
      </c>
      <c r="E50" s="1473">
        <f>E36-E48</f>
        <v/>
      </c>
      <c r="F50" s="1473">
        <f>F36-F48</f>
        <v/>
      </c>
      <c r="G50" s="1473">
        <f>G36-G48</f>
        <v/>
      </c>
      <c r="N50" s="1472" t="n"/>
    </row>
    <row r="51" ht="13.15" customHeight="1" s="1232">
      <c r="I51" s="1268" t="inlineStr">
        <is>
          <t>Net</t>
        </is>
      </c>
      <c r="J51" s="1268" t="n"/>
      <c r="K51" s="1473">
        <f>K37-K49</f>
        <v/>
      </c>
      <c r="L51" s="1473">
        <f>L37-L49</f>
        <v/>
      </c>
      <c r="M51" s="1472">
        <f>L51+K51</f>
        <v/>
      </c>
      <c r="O51" s="1472" t="inlineStr">
        <is>
          <t>Private Tuition</t>
        </is>
      </c>
      <c r="P51" s="1260" t="inlineStr">
        <is>
          <t>RRP</t>
        </is>
      </c>
    </row>
    <row r="52">
      <c r="C52" s="1394" t="n"/>
      <c r="D52" s="50">
        <f>D50/D36</f>
        <v/>
      </c>
      <c r="E52" s="50">
        <f>E50/E36</f>
        <v/>
      </c>
      <c r="F52" s="50">
        <f>F50/F36</f>
        <v/>
      </c>
      <c r="G52" s="50">
        <f>G50/G36</f>
        <v/>
      </c>
      <c r="N52" s="50" t="n"/>
    </row>
    <row r="53">
      <c r="J53" s="1394" t="n"/>
      <c r="K53" s="50">
        <f>K51/K37</f>
        <v/>
      </c>
      <c r="L53" s="50">
        <f>L51/L37</f>
        <v/>
      </c>
      <c r="M53" s="50">
        <f>M51/M37</f>
        <v/>
      </c>
      <c r="O53" s="1260" t="inlineStr">
        <is>
          <t>Weekday Daytime 1hr</t>
        </is>
      </c>
      <c r="P53" s="1260" t="n">
        <v>65</v>
      </c>
    </row>
    <row r="54">
      <c r="B54" s="1260" t="inlineStr">
        <is>
          <t>Time Hrs</t>
        </is>
      </c>
      <c r="C54" s="1474" t="n">
        <v>16</v>
      </c>
      <c r="D54" s="1260">
        <f>C54*25</f>
        <v/>
      </c>
      <c r="E54" s="1260">
        <f>C54*25</f>
        <v/>
      </c>
      <c r="F54" s="1260">
        <f>C54*25</f>
        <v/>
      </c>
      <c r="G54" s="1260">
        <f>C54*25</f>
        <v/>
      </c>
      <c r="O54" s="1260" t="inlineStr">
        <is>
          <t>Evening or Weekend 1hr</t>
        </is>
      </c>
      <c r="P54" s="1260" t="n">
        <v>85</v>
      </c>
    </row>
    <row r="55" ht="13.15" customHeight="1" s="1232">
      <c r="B55" s="1268" t="n"/>
      <c r="C55" s="1268" t="n"/>
      <c r="D55" s="1268" t="n"/>
      <c r="E55" s="1268" t="n"/>
      <c r="I55" s="1260" t="inlineStr">
        <is>
          <t>Time Hrs</t>
        </is>
      </c>
      <c r="J55" s="1474" t="n">
        <v>16</v>
      </c>
      <c r="K55" s="1260">
        <f>J55*P25</f>
        <v/>
      </c>
      <c r="L55" s="1260">
        <f>J55*P25</f>
        <v/>
      </c>
      <c r="M55" s="1260">
        <f>L55</f>
        <v/>
      </c>
      <c r="O55" s="1260" t="inlineStr">
        <is>
          <t>Weekday Day time 2hrs</t>
        </is>
      </c>
      <c r="P55" s="1260" t="n">
        <v>120</v>
      </c>
    </row>
    <row r="56" ht="13.15" customHeight="1" s="1232">
      <c r="I56" s="1268" t="n"/>
      <c r="J56" s="1268" t="n"/>
      <c r="K56" s="1268" t="n"/>
      <c r="L56" s="1268" t="n"/>
      <c r="O56" s="1260" t="inlineStr">
        <is>
          <t>Evening or Weekend 2hrs</t>
        </is>
      </c>
      <c r="P56" s="1260" t="n">
        <v>160</v>
      </c>
    </row>
    <row r="57">
      <c r="B57" s="1260" t="inlineStr">
        <is>
          <t>Profit</t>
        </is>
      </c>
      <c r="D57" s="1260">
        <f>D50-D54</f>
        <v/>
      </c>
      <c r="E57" s="1260">
        <f>E50-E54</f>
        <v/>
      </c>
      <c r="F57" s="1260">
        <f>F50-F54</f>
        <v/>
      </c>
      <c r="G57" s="1260">
        <f>G50-G54</f>
        <v/>
      </c>
      <c r="O57" s="1260" t="inlineStr">
        <is>
          <t>Weekday 4hrs</t>
        </is>
      </c>
      <c r="P57" s="1260" t="n">
        <v>195</v>
      </c>
    </row>
    <row r="58" ht="13.15" customHeight="1" s="1232">
      <c r="B58" s="1268" t="n"/>
      <c r="D58" s="50">
        <f>D57/D36</f>
        <v/>
      </c>
      <c r="E58" s="50">
        <f>E57/E36</f>
        <v/>
      </c>
      <c r="F58" s="50">
        <f>F57/F36</f>
        <v/>
      </c>
      <c r="G58" s="50">
        <f>G57/G36</f>
        <v/>
      </c>
      <c r="I58" s="1260" t="inlineStr">
        <is>
          <t>Profit</t>
        </is>
      </c>
      <c r="K58" s="1260">
        <f>K37-K49-K55</f>
        <v/>
      </c>
      <c r="L58" s="1260">
        <f>L37-L49-L55</f>
        <v/>
      </c>
      <c r="M58" s="1260">
        <f>M37-M49-M55</f>
        <v/>
      </c>
      <c r="N58" s="50" t="n"/>
      <c r="O58" s="1260" t="inlineStr">
        <is>
          <t>Evening or Weekend 4hrs</t>
        </is>
      </c>
      <c r="P58" s="1260" t="n">
        <v>350</v>
      </c>
    </row>
    <row r="59" ht="13.15" customHeight="1" s="1232">
      <c r="I59" s="1268" t="n"/>
      <c r="K59" s="50">
        <f>K58/K37</f>
        <v/>
      </c>
      <c r="L59" s="50">
        <f>L58/L37</f>
        <v/>
      </c>
      <c r="M59" s="50">
        <f>M58/M37</f>
        <v/>
      </c>
      <c r="O59" s="1260" t="inlineStr">
        <is>
          <t>Weekday Daytime 8hrs</t>
        </is>
      </c>
      <c r="P59" s="1260" t="n">
        <v>395</v>
      </c>
    </row>
    <row r="60" ht="13.15" customHeight="1" s="1232">
      <c r="B60" s="1268" t="inlineStr">
        <is>
          <t>1 Day Workshop</t>
        </is>
      </c>
      <c r="C60" s="1394" t="n"/>
      <c r="D60" s="51" t="n">
        <v>1</v>
      </c>
      <c r="E60" s="51" t="n">
        <v>2</v>
      </c>
      <c r="F60" s="51" t="n">
        <v>3</v>
      </c>
      <c r="G60" s="51" t="n">
        <v>4</v>
      </c>
      <c r="L60" s="1260" t="inlineStr">
        <is>
          <t>Without Labour</t>
        </is>
      </c>
      <c r="M60" s="1260">
        <f>M58+M55</f>
        <v/>
      </c>
      <c r="N60" s="51" t="n"/>
      <c r="O60" s="1260" t="inlineStr">
        <is>
          <t>Evening or Weekend 8hrs</t>
        </is>
      </c>
      <c r="P60" s="1260" t="n">
        <v>595</v>
      </c>
    </row>
    <row r="61" ht="13.15" customHeight="1" s="1232">
      <c r="B61" s="1268" t="n"/>
      <c r="C61" s="1268" t="n"/>
      <c r="D61" s="1268" t="n"/>
      <c r="E61" s="1268" t="n"/>
      <c r="F61" s="1268" t="n"/>
      <c r="G61" s="1268" t="n"/>
      <c r="I61" s="1468" t="inlineStr">
        <is>
          <t>1 Day Workshop</t>
        </is>
      </c>
      <c r="J61" s="1469" t="n"/>
      <c r="K61" s="1470" t="inlineStr">
        <is>
          <t>Tuition Only</t>
        </is>
      </c>
      <c r="L61" s="1470" t="inlineStr">
        <is>
          <t>Mix</t>
        </is>
      </c>
      <c r="M61" s="1268" t="n"/>
      <c r="N61" s="1268" t="n"/>
    </row>
    <row r="62">
      <c r="B62" s="1260" t="inlineStr">
        <is>
          <t>Revenue</t>
        </is>
      </c>
      <c r="C62" s="1394" t="n">
        <v>150</v>
      </c>
      <c r="D62" s="1394">
        <f>C62*D60</f>
        <v/>
      </c>
      <c r="E62" s="1394">
        <f>C62*E60</f>
        <v/>
      </c>
      <c r="F62" s="1467">
        <f>C62*F60</f>
        <v/>
      </c>
      <c r="G62" s="1467">
        <f>C62*G60</f>
        <v/>
      </c>
      <c r="I62" s="1471" t="inlineStr">
        <is>
          <t>Tuition Only</t>
        </is>
      </c>
      <c r="J62" s="1469">
        <f>P17</f>
        <v/>
      </c>
      <c r="K62" s="65" t="n">
        <v>2</v>
      </c>
      <c r="L62" s="65" t="n"/>
      <c r="M62" s="1467" t="n"/>
      <c r="N62" s="1467" t="n"/>
      <c r="T62" s="1260" t="inlineStr">
        <is>
          <t>Courses//1-2-1</t>
        </is>
      </c>
      <c r="U62" s="732" t="n">
        <v>150</v>
      </c>
      <c r="V62" s="1260" t="inlineStr">
        <is>
          <t>Workshops</t>
        </is>
      </c>
      <c r="X62" s="732" t="n">
        <v>100</v>
      </c>
      <c r="Y62" s="732">
        <f>U62+X62</f>
        <v/>
      </c>
    </row>
    <row r="63" ht="13.15" customHeight="1" s="1232">
      <c r="B63" s="1260" t="inlineStr">
        <is>
          <t>Discount Risk</t>
        </is>
      </c>
      <c r="C63" s="64" t="n">
        <v>0.15</v>
      </c>
      <c r="D63" s="1394">
        <f>D62*C63</f>
        <v/>
      </c>
      <c r="E63" s="1394">
        <f>E62*C63</f>
        <v/>
      </c>
      <c r="F63" s="1467">
        <f>F62*C63</f>
        <v/>
      </c>
      <c r="G63" s="1467">
        <f>G62*C63</f>
        <v/>
      </c>
      <c r="I63" s="1471" t="inlineStr">
        <is>
          <t>All Inc</t>
        </is>
      </c>
      <c r="J63" s="1468">
        <f>T17</f>
        <v/>
      </c>
      <c r="K63" s="1468" t="n"/>
      <c r="L63" s="65" t="n">
        <v>1</v>
      </c>
      <c r="M63" s="1467" t="n"/>
      <c r="N63" s="1467" t="n"/>
    </row>
    <row r="64" ht="13.15" customHeight="1" s="1232">
      <c r="B64" s="1268" t="inlineStr">
        <is>
          <t>Net Revenue</t>
        </is>
      </c>
      <c r="C64" s="1472" t="n"/>
      <c r="D64" s="1473">
        <f>D62-D63</f>
        <v/>
      </c>
      <c r="E64" s="1473">
        <f>E62-E63</f>
        <v/>
      </c>
      <c r="F64" s="1473">
        <f>F62-F63</f>
        <v/>
      </c>
      <c r="G64" s="1473">
        <f>G62-G63</f>
        <v/>
      </c>
      <c r="I64" s="1260" t="inlineStr">
        <is>
          <t>Revenue</t>
        </is>
      </c>
      <c r="J64" s="1394" t="n"/>
      <c r="K64" s="1394">
        <f>J62*K62</f>
        <v/>
      </c>
      <c r="L64" s="1394">
        <f>J63*L63</f>
        <v/>
      </c>
      <c r="M64" s="1467" t="n"/>
      <c r="N64" s="1472" t="n"/>
      <c r="O64" s="605" t="inlineStr">
        <is>
          <t>Cost of Running Business</t>
        </is>
      </c>
      <c r="P64" s="1268" t="inlineStr">
        <is>
          <t>Per Month</t>
        </is>
      </c>
      <c r="Q64" s="1268" t="inlineStr">
        <is>
          <t>Per Year</t>
        </is>
      </c>
      <c r="R64" s="1268" t="n"/>
      <c r="S64" s="1268" t="n"/>
      <c r="T64" s="1268" t="inlineStr">
        <is>
          <t>Per event</t>
        </is>
      </c>
    </row>
    <row r="65">
      <c r="F65" s="1394" t="n"/>
      <c r="G65" s="1394" t="n"/>
      <c r="I65" s="1260" t="inlineStr">
        <is>
          <t>Discount Risk</t>
        </is>
      </c>
      <c r="J65" s="64" t="n">
        <v>0.3</v>
      </c>
      <c r="K65" s="1467">
        <f>K64*$J65</f>
        <v/>
      </c>
      <c r="L65" s="1467">
        <f>L64*$J65</f>
        <v/>
      </c>
      <c r="M65" s="1467" t="n"/>
      <c r="N65" s="1394" t="n"/>
      <c r="O65" s="1274" t="inlineStr">
        <is>
          <t>Dropbox</t>
        </is>
      </c>
      <c r="P65" s="1260" t="n">
        <v>18</v>
      </c>
      <c r="Q65" s="1260">
        <f>P65*12</f>
        <v/>
      </c>
      <c r="T65" s="1260">
        <f>Q65/$Y$62</f>
        <v/>
      </c>
    </row>
    <row r="66" ht="13.15" customHeight="1" s="1232">
      <c r="B66" s="1260" t="inlineStr">
        <is>
          <t>Card Fees</t>
        </is>
      </c>
      <c r="D66" s="1260">
        <f>D64*3.5%</f>
        <v/>
      </c>
      <c r="E66" s="1260">
        <f>E64*3.5%</f>
        <v/>
      </c>
      <c r="F66" s="1260">
        <f>F64*3.5%</f>
        <v/>
      </c>
      <c r="G66" s="1260">
        <f>G64*3.5%</f>
        <v/>
      </c>
      <c r="I66" s="1268" t="inlineStr">
        <is>
          <t>Net Revenue</t>
        </is>
      </c>
      <c r="J66" s="1472" t="n"/>
      <c r="K66" s="1473">
        <f>K64-K65</f>
        <v/>
      </c>
      <c r="L66" s="1473">
        <f>L64-L65</f>
        <v/>
      </c>
      <c r="M66" s="1472">
        <f>L66+K66</f>
        <v/>
      </c>
      <c r="O66" s="1475" t="inlineStr">
        <is>
          <t>Adobe</t>
        </is>
      </c>
      <c r="P66" s="1260" t="n">
        <v>9.98</v>
      </c>
      <c r="Q66" s="1260">
        <f>P66*12</f>
        <v/>
      </c>
      <c r="T66" s="1260">
        <f>Q66/$Y$62</f>
        <v/>
      </c>
    </row>
    <row r="67">
      <c r="F67" s="1394" t="n"/>
      <c r="G67" s="1394" t="n"/>
      <c r="M67" s="1394" t="n"/>
      <c r="N67" s="1394" t="n"/>
      <c r="O67" s="1475" t="inlineStr">
        <is>
          <t>Zoom</t>
        </is>
      </c>
      <c r="P67" s="1260" t="n">
        <v>17</v>
      </c>
      <c r="Q67" s="1260">
        <f>P67*12</f>
        <v/>
      </c>
      <c r="T67" s="1260">
        <f>Q67/$Y$62</f>
        <v/>
      </c>
    </row>
    <row r="68">
      <c r="B68" s="1260" t="inlineStr">
        <is>
          <t>B&amp;B</t>
        </is>
      </c>
      <c r="C68" s="1260" t="n">
        <v>0</v>
      </c>
      <c r="D68" s="1260" t="n">
        <v>0</v>
      </c>
      <c r="E68" s="1260" t="n">
        <v>0</v>
      </c>
      <c r="F68" s="1260" t="n">
        <v>0</v>
      </c>
      <c r="G68" s="1260" t="n">
        <v>0</v>
      </c>
      <c r="I68" s="1260" t="inlineStr">
        <is>
          <t>Card Fees</t>
        </is>
      </c>
      <c r="K68" s="1260">
        <f>K66*3.5%</f>
        <v/>
      </c>
      <c r="L68" s="1260">
        <f>L66*3.5%</f>
        <v/>
      </c>
      <c r="O68" s="1270" t="inlineStr">
        <is>
          <t>Mail Chimp</t>
        </is>
      </c>
      <c r="P68" s="1260" t="n">
        <v>18</v>
      </c>
      <c r="Q68" s="1260">
        <f>P68*12</f>
        <v/>
      </c>
      <c r="T68" s="1260">
        <f>Q68/$Y$62</f>
        <v/>
      </c>
    </row>
    <row r="69" ht="13.15" customHeight="1" s="1232">
      <c r="B69" s="1268" t="n"/>
      <c r="M69" s="1394" t="n"/>
      <c r="O69" s="1270" t="n"/>
      <c r="Q69" s="1260">
        <f>P69*12</f>
        <v/>
      </c>
      <c r="T69" s="1260">
        <f>Q69/$Y$62</f>
        <v/>
      </c>
    </row>
    <row r="70">
      <c r="B70" s="1260" t="inlineStr">
        <is>
          <t>Petrol</t>
        </is>
      </c>
      <c r="C70" s="1260" t="n">
        <v>100</v>
      </c>
      <c r="D70" s="1260" t="n">
        <v>50</v>
      </c>
      <c r="E70" s="1260" t="n">
        <v>50</v>
      </c>
      <c r="F70" s="1260" t="n">
        <v>50</v>
      </c>
      <c r="G70" s="1260" t="n">
        <v>50</v>
      </c>
      <c r="I70" s="1260" t="inlineStr">
        <is>
          <t>B&amp;B</t>
        </is>
      </c>
      <c r="K70" s="1260" t="n">
        <v>0</v>
      </c>
      <c r="L70" s="1260">
        <f>L63*J70+J70</f>
        <v/>
      </c>
      <c r="O70" s="1274" t="inlineStr">
        <is>
          <t>Eversure (Equipment Insurance)</t>
        </is>
      </c>
      <c r="P70" s="1260" t="n">
        <v>35</v>
      </c>
      <c r="Q70" s="1260">
        <f>P70*12</f>
        <v/>
      </c>
      <c r="T70" s="1260">
        <f>Q70/$Y$62</f>
        <v/>
      </c>
    </row>
    <row r="71" ht="13.15" customHeight="1" s="1232">
      <c r="I71" s="1268" t="n"/>
      <c r="O71" s="1270" t="inlineStr">
        <is>
          <t>Blog Engage</t>
        </is>
      </c>
      <c r="T71" s="1260">
        <f>Q71/$Y$62</f>
        <v/>
      </c>
    </row>
    <row r="72">
      <c r="B72" s="1260" t="inlineStr">
        <is>
          <t>Food</t>
        </is>
      </c>
      <c r="C72" s="1260" t="n">
        <v>25</v>
      </c>
      <c r="D72" s="1260" t="n">
        <v>30</v>
      </c>
      <c r="E72" s="1260">
        <f>C72*1</f>
        <v/>
      </c>
      <c r="F72" s="1260">
        <f>C72*1</f>
        <v/>
      </c>
      <c r="G72" s="1260">
        <f>E72*1</f>
        <v/>
      </c>
      <c r="I72" s="1260" t="inlineStr">
        <is>
          <t>Petrol</t>
        </is>
      </c>
      <c r="J72" s="1260" t="n">
        <v>50</v>
      </c>
      <c r="K72" s="1260" t="n">
        <v>0</v>
      </c>
      <c r="L72" s="1260">
        <f>J72</f>
        <v/>
      </c>
      <c r="O72" s="1260" t="inlineStr">
        <is>
          <t>Viking Local Digital Assets</t>
        </is>
      </c>
      <c r="P72" s="1260" t="n">
        <v>15</v>
      </c>
      <c r="Q72" s="1260">
        <f>P72*12</f>
        <v/>
      </c>
      <c r="T72" s="1260">
        <f>Q72/$Y$62</f>
        <v/>
      </c>
    </row>
    <row r="73">
      <c r="O73" s="1274" t="inlineStr">
        <is>
          <t>National Trust</t>
        </is>
      </c>
      <c r="P73" s="1260" t="n">
        <v>6.5</v>
      </c>
      <c r="Q73" s="1260">
        <f>P73*12</f>
        <v/>
      </c>
      <c r="T73" s="1260">
        <f>Q73/$Y$62</f>
        <v/>
      </c>
    </row>
    <row r="74">
      <c r="B74" s="1260" t="inlineStr">
        <is>
          <t>Admin</t>
        </is>
      </c>
      <c r="C74" s="1260">
        <f>$T$115</f>
        <v/>
      </c>
      <c r="D74" s="1260">
        <f>$C$74</f>
        <v/>
      </c>
      <c r="E74" s="1260">
        <f>$C$74</f>
        <v/>
      </c>
      <c r="F74" s="1260">
        <f>$C$74</f>
        <v/>
      </c>
      <c r="G74" s="1260">
        <f>$C$74</f>
        <v/>
      </c>
      <c r="I74" s="1260" t="inlineStr">
        <is>
          <t>Food</t>
        </is>
      </c>
      <c r="J74" s="1260" t="n">
        <v>20</v>
      </c>
      <c r="K74" s="1260" t="n">
        <v>0</v>
      </c>
      <c r="L74" s="1260">
        <f>J74*1</f>
        <v/>
      </c>
      <c r="O74" s="1274" t="inlineStr">
        <is>
          <t>AXA (PL)</t>
        </is>
      </c>
      <c r="P74" s="1260" t="n">
        <v>15</v>
      </c>
      <c r="Q74" s="1260">
        <f>P74*12</f>
        <v/>
      </c>
      <c r="T74" s="1260">
        <f>Q74/$Y$62</f>
        <v/>
      </c>
    </row>
    <row r="75">
      <c r="O75" s="1274" t="inlineStr">
        <is>
          <t>Squarspace (website)</t>
        </is>
      </c>
      <c r="P75" s="1260" t="n">
        <v>56</v>
      </c>
      <c r="Q75" s="1260">
        <f>P75*12</f>
        <v/>
      </c>
      <c r="T75" s="1260">
        <f>Q75/$Y$62</f>
        <v/>
      </c>
    </row>
    <row r="76" ht="13.15" customHeight="1" s="1232">
      <c r="B76" s="1260" t="inlineStr">
        <is>
          <t>Costs</t>
        </is>
      </c>
      <c r="D76" s="1268">
        <f>SUM(D66:D75)</f>
        <v/>
      </c>
      <c r="E76" s="1268">
        <f>SUM(E66:E75)</f>
        <v/>
      </c>
      <c r="F76" s="1268">
        <f>SUM(F66:F75)</f>
        <v/>
      </c>
      <c r="G76" s="1268">
        <f>SUM(G66:G75)</f>
        <v/>
      </c>
      <c r="I76" s="1260" t="inlineStr">
        <is>
          <t>Central Cost</t>
        </is>
      </c>
      <c r="J76" s="1260">
        <f>$T$115</f>
        <v/>
      </c>
      <c r="K76" s="1260">
        <f>J76*K62</f>
        <v/>
      </c>
      <c r="L76" s="1260">
        <f>J76*L63</f>
        <v/>
      </c>
      <c r="N76" s="1268" t="n"/>
      <c r="O76" s="1274" t="inlineStr">
        <is>
          <t>Embed Social (Reviews)</t>
        </is>
      </c>
      <c r="P76" s="1260" t="n">
        <v>18</v>
      </c>
      <c r="Q76" s="1260">
        <f>P76*12</f>
        <v/>
      </c>
      <c r="T76" s="1260">
        <f>Q76/$Y$62</f>
        <v/>
      </c>
      <c r="V76" s="1260" t="inlineStr">
        <is>
          <t>FOR HRMC - Business Expenses</t>
        </is>
      </c>
    </row>
    <row r="77">
      <c r="Q77" s="1260">
        <f>P77*12</f>
        <v/>
      </c>
      <c r="T77" s="1260">
        <f>Q77/$Y$62</f>
        <v/>
      </c>
    </row>
    <row r="78" ht="13.15" customHeight="1" s="1232">
      <c r="B78" s="1268" t="inlineStr">
        <is>
          <t>Net</t>
        </is>
      </c>
      <c r="C78" s="1268" t="n"/>
      <c r="D78" s="1473">
        <f>D64-D76</f>
        <v/>
      </c>
      <c r="E78" s="1473">
        <f>E64-E76</f>
        <v/>
      </c>
      <c r="F78" s="1473">
        <f>F64-F76</f>
        <v/>
      </c>
      <c r="G78" s="1473">
        <f>G64-G76</f>
        <v/>
      </c>
      <c r="I78" s="1268" t="inlineStr">
        <is>
          <t>Costs</t>
        </is>
      </c>
      <c r="K78" s="1268">
        <f>SUM(K68:K77)</f>
        <v/>
      </c>
      <c r="L78" s="1268">
        <f>SUM(L68:L77)</f>
        <v/>
      </c>
      <c r="M78" s="1268">
        <f>K78+L78</f>
        <v/>
      </c>
      <c r="N78" s="1472" t="n"/>
      <c r="Q78" s="1260">
        <f>P78*12</f>
        <v/>
      </c>
      <c r="T78" s="1260">
        <f>Q78/$Y$62</f>
        <v/>
      </c>
      <c r="V78" s="1260" t="inlineStr">
        <is>
          <t>Dropbox</t>
        </is>
      </c>
      <c r="W78" s="1260" t="n">
        <v>15</v>
      </c>
    </row>
    <row r="79">
      <c r="O79" s="1260" t="inlineStr">
        <is>
          <t>Domain Renewals</t>
        </is>
      </c>
      <c r="P79" s="1260" t="n">
        <v>25</v>
      </c>
      <c r="Q79" s="1260">
        <f>P79*12</f>
        <v/>
      </c>
      <c r="T79" s="1260">
        <f>Q79/$Y$62</f>
        <v/>
      </c>
      <c r="V79" s="1260" t="inlineStr">
        <is>
          <t>Adobe</t>
        </is>
      </c>
      <c r="W79" s="1260" t="n">
        <v>9.98</v>
      </c>
    </row>
    <row r="80" ht="13.15" customHeight="1" s="1232">
      <c r="C80" s="1394" t="n"/>
      <c r="D80" s="50">
        <f>D78/D64</f>
        <v/>
      </c>
      <c r="E80" s="50">
        <f>E78/E64</f>
        <v/>
      </c>
      <c r="F80" s="50">
        <f>F78/F64</f>
        <v/>
      </c>
      <c r="G80" s="50">
        <f>G78/G64</f>
        <v/>
      </c>
      <c r="I80" s="1268" t="inlineStr">
        <is>
          <t>Net</t>
        </is>
      </c>
      <c r="J80" s="1268" t="n"/>
      <c r="K80" s="1473">
        <f>K66-K78</f>
        <v/>
      </c>
      <c r="L80" s="1473">
        <f>L66-L78</f>
        <v/>
      </c>
      <c r="M80" s="1472">
        <f>L80+K80</f>
        <v/>
      </c>
      <c r="N80" s="50" t="n"/>
      <c r="O80" s="1260" t="inlineStr">
        <is>
          <t>RPS</t>
        </is>
      </c>
      <c r="P80" s="1260" t="n">
        <v>11</v>
      </c>
      <c r="Q80" s="1260">
        <f>P80*12</f>
        <v/>
      </c>
      <c r="T80" s="1260">
        <f>Q80/$Y$62</f>
        <v/>
      </c>
      <c r="V80" s="1260" t="inlineStr">
        <is>
          <t>Zoom</t>
        </is>
      </c>
      <c r="W80" s="1260" t="n">
        <v>15</v>
      </c>
    </row>
    <row r="81">
      <c r="O81" s="1260" t="inlineStr">
        <is>
          <t>WEBCEO</t>
        </is>
      </c>
      <c r="Q81" s="1260">
        <f>P81*12</f>
        <v/>
      </c>
      <c r="T81" s="1260">
        <f>Q81/$Y$62</f>
        <v/>
      </c>
      <c r="V81" s="1260" t="inlineStr">
        <is>
          <t>Mail Chimp</t>
        </is>
      </c>
      <c r="W81" s="1260" t="n">
        <v>14</v>
      </c>
    </row>
    <row r="82">
      <c r="B82" s="1260" t="inlineStr">
        <is>
          <t>Time Hrs</t>
        </is>
      </c>
      <c r="C82" s="1474" t="n">
        <v>8</v>
      </c>
      <c r="D82" s="1260">
        <f>C82*25</f>
        <v/>
      </c>
      <c r="E82" s="1260">
        <f>C82*25</f>
        <v/>
      </c>
      <c r="F82" s="1260">
        <f>C82*25</f>
        <v/>
      </c>
      <c r="G82" s="1260">
        <f>C82*25</f>
        <v/>
      </c>
      <c r="J82" s="1394" t="n"/>
      <c r="K82" s="50">
        <f>K80/K66</f>
        <v/>
      </c>
      <c r="L82" s="50">
        <f>L80/L66</f>
        <v/>
      </c>
      <c r="M82" s="50">
        <f>M80/M66</f>
        <v/>
      </c>
      <c r="O82" s="1394" t="inlineStr">
        <is>
          <t>Tiny JPG Comprssion</t>
        </is>
      </c>
      <c r="Q82" s="1260">
        <f>P82*12</f>
        <v/>
      </c>
      <c r="T82" s="1260">
        <f>Q82/$Y$62</f>
        <v/>
      </c>
      <c r="V82" s="1260" t="inlineStr">
        <is>
          <t>WEBCEO</t>
        </is>
      </c>
      <c r="W82" s="1260" t="n">
        <v>30</v>
      </c>
    </row>
    <row r="83" ht="13.15" customHeight="1" s="1232">
      <c r="B83" s="1268" t="n"/>
      <c r="C83" s="1268" t="n"/>
      <c r="D83" s="1268" t="n"/>
      <c r="E83" s="1268" t="n"/>
      <c r="O83" s="1260" t="inlineStr">
        <is>
          <t>Google G-Suite</t>
        </is>
      </c>
      <c r="P83" s="1260">
        <f>Q83/12</f>
        <v/>
      </c>
      <c r="Q83" s="1260" t="n">
        <v>84</v>
      </c>
      <c r="T83" s="1260">
        <f>Q83/$Y$62</f>
        <v/>
      </c>
      <c r="V83" s="1274" t="inlineStr">
        <is>
          <t>Eversure (Equipment Insurance)</t>
        </is>
      </c>
      <c r="W83" s="1260" t="n">
        <v>35</v>
      </c>
    </row>
    <row r="84">
      <c r="I84" s="1260" t="inlineStr">
        <is>
          <t>Time Hrs</t>
        </is>
      </c>
      <c r="J84" s="1474" t="n">
        <v>8</v>
      </c>
      <c r="K84" s="1260">
        <f>J84*P25</f>
        <v/>
      </c>
      <c r="L84" s="1260">
        <f>J84*P25</f>
        <v/>
      </c>
      <c r="M84" s="1260">
        <f>L84</f>
        <v/>
      </c>
      <c r="P84" s="1260" t="n">
        <v>0</v>
      </c>
      <c r="Q84" s="1260">
        <f>P84*12</f>
        <v/>
      </c>
      <c r="T84" s="1260">
        <f>Q84/$Y$62</f>
        <v/>
      </c>
      <c r="V84" s="1260" t="inlineStr">
        <is>
          <t>Blog Engage</t>
        </is>
      </c>
      <c r="W84" s="1260" t="n">
        <v>1.25</v>
      </c>
    </row>
    <row r="85" ht="13.15" customHeight="1" s="1232">
      <c r="B85" s="1260" t="inlineStr">
        <is>
          <t>Profit</t>
        </is>
      </c>
      <c r="D85" s="1260">
        <f>D78-D82</f>
        <v/>
      </c>
      <c r="E85" s="1260">
        <f>E78-E82</f>
        <v/>
      </c>
      <c r="F85" s="1260">
        <f>F78-F82</f>
        <v/>
      </c>
      <c r="G85" s="1260">
        <f>G78-G82</f>
        <v/>
      </c>
      <c r="I85" s="1268" t="n"/>
      <c r="J85" s="1268" t="n"/>
      <c r="K85" s="1268" t="n"/>
      <c r="L85" s="1268" t="n"/>
      <c r="O85" s="1260" t="inlineStr">
        <is>
          <t>General Printing</t>
        </is>
      </c>
      <c r="P85" s="1260" t="n">
        <v>40</v>
      </c>
      <c r="Q85" s="1260">
        <f>P85*12</f>
        <v/>
      </c>
      <c r="T85" s="1260">
        <f>Q85/$Y$62</f>
        <v/>
      </c>
      <c r="V85" s="1260" t="inlineStr">
        <is>
          <t>BIPP</t>
        </is>
      </c>
      <c r="W85" s="1260" t="n">
        <v>10</v>
      </c>
    </row>
    <row r="86">
      <c r="D86" s="50">
        <f>D85/D64</f>
        <v/>
      </c>
      <c r="E86" s="50">
        <f>E85/E64</f>
        <v/>
      </c>
      <c r="F86" s="50">
        <f>F85/F64</f>
        <v/>
      </c>
      <c r="G86" s="50">
        <f>G85/G64</f>
        <v/>
      </c>
      <c r="N86" s="50" t="n"/>
      <c r="O86" s="1260" t="inlineStr">
        <is>
          <t>Facebook Ads</t>
        </is>
      </c>
      <c r="P86" s="1260" t="n">
        <v>50</v>
      </c>
      <c r="Q86" s="1260">
        <f>P86*12</f>
        <v/>
      </c>
      <c r="T86" s="1260">
        <f>Q86/$Y$62</f>
        <v/>
      </c>
      <c r="V86" s="1260" t="inlineStr">
        <is>
          <t>National Trust</t>
        </is>
      </c>
      <c r="W86" s="1260" t="n">
        <v>6.5</v>
      </c>
    </row>
    <row r="87">
      <c r="I87" s="1260" t="inlineStr">
        <is>
          <t>Profit</t>
        </is>
      </c>
      <c r="K87" s="1260">
        <f>K66-K78-K84</f>
        <v/>
      </c>
      <c r="L87" s="1260">
        <f>L66-L78-L84</f>
        <v/>
      </c>
      <c r="M87" s="1260">
        <f>M66-M78-M84</f>
        <v/>
      </c>
      <c r="O87" s="1260" t="inlineStr">
        <is>
          <t>Google Ads</t>
        </is>
      </c>
      <c r="Q87" s="1260">
        <f>P87*12</f>
        <v/>
      </c>
      <c r="T87" s="1260">
        <f>Q87/$Y$62</f>
        <v/>
      </c>
      <c r="V87" s="1260" t="inlineStr">
        <is>
          <t>AXA (PL)</t>
        </is>
      </c>
      <c r="W87" s="1260" t="n">
        <v>11</v>
      </c>
    </row>
    <row r="88" ht="13.15" customHeight="1" s="1232">
      <c r="B88" s="1268" t="inlineStr">
        <is>
          <t>4hr Workshop</t>
        </is>
      </c>
      <c r="C88" s="1394" t="n"/>
      <c r="D88" s="51" t="n">
        <v>1</v>
      </c>
      <c r="E88" s="51" t="n">
        <v>2</v>
      </c>
      <c r="F88" s="51" t="n">
        <v>3</v>
      </c>
      <c r="G88" s="51" t="n">
        <v>6</v>
      </c>
      <c r="I88" s="1268" t="n"/>
      <c r="K88" s="50">
        <f>K87/K66</f>
        <v/>
      </c>
      <c r="L88" s="50">
        <f>L87/L66</f>
        <v/>
      </c>
      <c r="M88" s="50">
        <f>M87/M66</f>
        <v/>
      </c>
      <c r="N88" s="51" t="n"/>
      <c r="O88" s="1260" t="inlineStr">
        <is>
          <t>Other advertising</t>
        </is>
      </c>
      <c r="P88" s="1260" t="n">
        <v>50</v>
      </c>
      <c r="Q88" s="1260">
        <f>P88*12</f>
        <v/>
      </c>
      <c r="T88" s="1260">
        <f>Q88/$Y$62</f>
        <v/>
      </c>
      <c r="V88" s="1260" t="inlineStr">
        <is>
          <t>Squarspace (website)</t>
        </is>
      </c>
      <c r="W88" s="1260" t="n">
        <v>43</v>
      </c>
    </row>
    <row r="89" ht="13.15" customHeight="1" s="1232">
      <c r="B89" s="1268" t="n"/>
      <c r="C89" s="1268" t="n"/>
      <c r="D89" s="1268" t="n"/>
      <c r="E89" s="1268" t="n"/>
      <c r="F89" s="1268" t="n"/>
      <c r="G89" s="1268" t="n"/>
      <c r="L89" s="1260" t="inlineStr">
        <is>
          <t>Without Labour</t>
        </is>
      </c>
      <c r="M89" s="1260">
        <f>M87+M84</f>
        <v/>
      </c>
      <c r="N89" s="1268" t="n"/>
      <c r="O89" s="1260" t="inlineStr">
        <is>
          <t>Accountant</t>
        </is>
      </c>
      <c r="P89" s="1260" t="n">
        <v>30</v>
      </c>
      <c r="Q89" s="1260">
        <f>P89*12</f>
        <v/>
      </c>
      <c r="T89" s="1260">
        <f>Q89/$Y$62</f>
        <v/>
      </c>
      <c r="V89" s="1260" t="inlineStr">
        <is>
          <t>Embed Social (Reviews)</t>
        </is>
      </c>
      <c r="W89" s="1260" t="n">
        <v>18</v>
      </c>
    </row>
    <row r="90">
      <c r="B90" s="1260" t="inlineStr">
        <is>
          <t>Revenue</t>
        </is>
      </c>
      <c r="C90" s="1394">
        <f>P16</f>
        <v/>
      </c>
      <c r="D90" s="1394">
        <f>C90*D88</f>
        <v/>
      </c>
      <c r="E90" s="1394">
        <f>C90*E88</f>
        <v/>
      </c>
      <c r="F90" s="1467">
        <f>C90*F88</f>
        <v/>
      </c>
      <c r="G90" s="1467">
        <f>C90*G88</f>
        <v/>
      </c>
      <c r="J90" s="1394" t="n"/>
      <c r="K90" s="1394" t="n"/>
      <c r="L90" s="1394" t="n"/>
      <c r="M90" s="1467" t="n"/>
      <c r="N90" s="1467" t="n"/>
      <c r="O90" s="1260" t="inlineStr">
        <is>
          <t>Flickr</t>
        </is>
      </c>
      <c r="Q90" s="1260">
        <f>P90*12</f>
        <v/>
      </c>
      <c r="T90" s="1260">
        <f>Q90/$Y$62</f>
        <v/>
      </c>
      <c r="V90" s="1260" t="inlineStr">
        <is>
          <t>WorldPay &amp; Paypal Fees</t>
        </is>
      </c>
      <c r="W90" s="1260" t="n">
        <v>20</v>
      </c>
    </row>
    <row r="91">
      <c r="B91" s="1260" t="inlineStr">
        <is>
          <t>Discount Risk</t>
        </is>
      </c>
      <c r="C91" s="64" t="n">
        <v>0.3</v>
      </c>
      <c r="D91" s="1394">
        <f>D90*C91</f>
        <v/>
      </c>
      <c r="E91" s="1394">
        <f>E90*C91</f>
        <v/>
      </c>
      <c r="F91" s="1467">
        <f>F90*C91</f>
        <v/>
      </c>
      <c r="G91" s="1467">
        <f>G90*C91</f>
        <v/>
      </c>
      <c r="J91" s="64" t="n"/>
      <c r="K91" s="1394" t="n"/>
      <c r="L91" s="1394" t="n"/>
      <c r="M91" s="1467" t="n"/>
      <c r="N91" s="1467" t="n"/>
      <c r="O91" s="1260" t="inlineStr">
        <is>
          <t>Grammerly</t>
        </is>
      </c>
      <c r="P91" s="1260">
        <f>Q91/12</f>
        <v/>
      </c>
      <c r="Q91" s="1260" t="n">
        <v>105</v>
      </c>
      <c r="T91" s="1260">
        <f>Q91/$Y$62</f>
        <v/>
      </c>
      <c r="V91" s="1260" t="inlineStr">
        <is>
          <t>Cloudflare (hosting)</t>
        </is>
      </c>
      <c r="W91" s="1260" t="n">
        <v>10</v>
      </c>
    </row>
    <row r="92" ht="13.15" customHeight="1" s="1232">
      <c r="B92" s="1268" t="inlineStr">
        <is>
          <t>Net Revenue</t>
        </is>
      </c>
      <c r="C92" s="1472" t="n"/>
      <c r="D92" s="1473">
        <f>D90-D91</f>
        <v/>
      </c>
      <c r="E92" s="1473">
        <f>E90-E91</f>
        <v/>
      </c>
      <c r="F92" s="1473">
        <f>F90-F91</f>
        <v/>
      </c>
      <c r="G92" s="1473">
        <f>G90-G91</f>
        <v/>
      </c>
      <c r="I92" s="1468" t="inlineStr">
        <is>
          <t>Batsford</t>
        </is>
      </c>
      <c r="J92" s="1469" t="n"/>
      <c r="K92" s="1470" t="inlineStr">
        <is>
          <t>Tuition Only</t>
        </is>
      </c>
      <c r="L92" s="1470" t="n"/>
      <c r="M92" s="1472" t="n"/>
      <c r="N92" s="1472" t="n"/>
      <c r="O92" s="1260" t="inlineStr">
        <is>
          <t>Car Services/MOT/Repairs</t>
        </is>
      </c>
      <c r="P92" s="1260">
        <f>Q92/12</f>
        <v/>
      </c>
      <c r="Q92" s="1260" t="n">
        <v>1000</v>
      </c>
      <c r="T92" s="1260">
        <f>Q92/$Y$62</f>
        <v/>
      </c>
      <c r="V92" s="1260" t="inlineStr">
        <is>
          <t>Domain Renewals</t>
        </is>
      </c>
      <c r="W92" s="1260" t="n">
        <v>20</v>
      </c>
    </row>
    <row r="93" ht="13.15" customHeight="1" s="1232">
      <c r="F93" s="1394" t="n"/>
      <c r="G93" s="1394" t="n"/>
      <c r="I93" s="1471" t="inlineStr">
        <is>
          <t>1 Day</t>
        </is>
      </c>
      <c r="J93" s="1476">
        <f>P21</f>
        <v/>
      </c>
      <c r="K93" s="65" t="n">
        <v>1</v>
      </c>
      <c r="L93" s="65" t="n"/>
      <c r="M93" s="1394" t="n"/>
      <c r="N93" s="1394" t="n"/>
      <c r="Q93" s="1260">
        <f>P93*12</f>
        <v/>
      </c>
      <c r="T93" s="1260">
        <f>Q93/$Y$62</f>
        <v/>
      </c>
      <c r="V93" s="1260" t="inlineStr">
        <is>
          <t>RPS</t>
        </is>
      </c>
      <c r="W93" s="1260" t="n">
        <v>11</v>
      </c>
    </row>
    <row r="94" ht="13.15" customHeight="1" s="1232">
      <c r="B94" s="1260" t="inlineStr">
        <is>
          <t>Card Fees</t>
        </is>
      </c>
      <c r="D94" s="1260">
        <f>D92*3.5%</f>
        <v/>
      </c>
      <c r="E94" s="1260">
        <f>E92*3.5%</f>
        <v/>
      </c>
      <c r="F94" s="1260">
        <f>F92*3.5%</f>
        <v/>
      </c>
      <c r="G94" s="1260">
        <f>G92*3.5%</f>
        <v/>
      </c>
      <c r="I94" s="1471" t="inlineStr">
        <is>
          <t>1/2 day</t>
        </is>
      </c>
      <c r="J94" s="1468">
        <f>P22</f>
        <v/>
      </c>
      <c r="K94" s="65" t="n">
        <v>1</v>
      </c>
      <c r="L94" s="65" t="n"/>
      <c r="Q94" s="1260">
        <f>P94*12</f>
        <v/>
      </c>
      <c r="V94" s="1260" t="inlineStr">
        <is>
          <t>Click Submit</t>
        </is>
      </c>
      <c r="W94" s="1260" t="n">
        <v>35</v>
      </c>
    </row>
    <row r="95" ht="13.15" customHeight="1" s="1232">
      <c r="F95" s="1394" t="n"/>
      <c r="G95" s="1394" t="n"/>
      <c r="I95" s="1471" t="inlineStr">
        <is>
          <t>Class/Walk</t>
        </is>
      </c>
      <c r="J95" s="1468">
        <f>P23</f>
        <v/>
      </c>
      <c r="K95" s="65" t="n">
        <v>0</v>
      </c>
      <c r="L95" s="65" t="n"/>
      <c r="O95" s="1260" t="inlineStr">
        <is>
          <t>Hours (4hrs pd, 5 days pw @ £10ph)</t>
        </is>
      </c>
      <c r="P95" s="1260">
        <f>SUM(15*4)*5*4.2</f>
        <v/>
      </c>
      <c r="Q95" s="1260">
        <f>P95*12</f>
        <v/>
      </c>
      <c r="T95" s="1260">
        <f>Q95/$Y$62</f>
        <v/>
      </c>
      <c r="V95" s="1260" t="inlineStr">
        <is>
          <t>Tiny JPG Comprssion</t>
        </is>
      </c>
      <c r="W95" s="1260" t="n">
        <v>3</v>
      </c>
    </row>
    <row r="96" ht="13.15" customHeight="1" s="1232">
      <c r="B96" s="1260" t="inlineStr">
        <is>
          <t>B&amp;B</t>
        </is>
      </c>
      <c r="C96" s="1260" t="n">
        <v>0</v>
      </c>
      <c r="D96" s="1260" t="n">
        <v>0</v>
      </c>
      <c r="E96" s="1260" t="n">
        <v>0</v>
      </c>
      <c r="F96" s="1260" t="n">
        <v>0</v>
      </c>
      <c r="G96" s="1260" t="n">
        <v>0</v>
      </c>
      <c r="I96" s="1471" t="inlineStr">
        <is>
          <t>Sharpshooters</t>
        </is>
      </c>
      <c r="J96" s="1468" t="n">
        <v>35</v>
      </c>
      <c r="K96" s="65" t="n"/>
      <c r="L96" s="65" t="n"/>
      <c r="Q96" s="1260">
        <f>P96*12</f>
        <v/>
      </c>
      <c r="V96" s="1260" t="inlineStr">
        <is>
          <t>Google G-Suite</t>
        </is>
      </c>
      <c r="W96" s="1260" t="n">
        <v>7</v>
      </c>
    </row>
    <row r="97" ht="13.15" customHeight="1" s="1232">
      <c r="B97" s="1268" t="n"/>
      <c r="I97" s="1260" t="inlineStr">
        <is>
          <t>Revenue</t>
        </is>
      </c>
      <c r="J97" s="1394" t="n"/>
      <c r="K97" s="1394">
        <f>SUM(K93*J93)+(K94*J94)+(K95*J95)+(K96*J96)</f>
        <v/>
      </c>
      <c r="L97" s="1394" t="n"/>
      <c r="M97" s="1467" t="n"/>
      <c r="N97" s="1394" t="n"/>
      <c r="Q97" s="1260">
        <f>P97*12</f>
        <v/>
      </c>
      <c r="V97" s="1260" t="inlineStr">
        <is>
          <t>Flickr</t>
        </is>
      </c>
      <c r="W97" s="1260" t="n">
        <v>6.5</v>
      </c>
    </row>
    <row r="98" ht="13.15" customHeight="1" s="1232">
      <c r="B98" s="1260" t="inlineStr">
        <is>
          <t>Petrol</t>
        </is>
      </c>
      <c r="C98" s="1260" t="n">
        <v>100</v>
      </c>
      <c r="D98" s="1260" t="n">
        <v>25</v>
      </c>
      <c r="E98" s="1260" t="n">
        <v>25</v>
      </c>
      <c r="F98" s="1260" t="n">
        <v>25</v>
      </c>
      <c r="G98" s="1260" t="n">
        <v>25</v>
      </c>
      <c r="I98" s="1260" t="inlineStr">
        <is>
          <t>Discount Risk</t>
        </is>
      </c>
      <c r="J98" s="64" t="n">
        <v>0.3</v>
      </c>
      <c r="K98" s="1467">
        <f>K97*$J98</f>
        <v/>
      </c>
      <c r="L98" s="1467" t="n"/>
      <c r="M98" s="1467" t="n"/>
      <c r="O98" s="1268" t="inlineStr">
        <is>
          <t>Business Service Cost</t>
        </is>
      </c>
      <c r="P98" s="1268">
        <f>SUM(P65:P97)</f>
        <v/>
      </c>
      <c r="Q98" s="1268">
        <f>SUM(Q65:Q97)</f>
        <v/>
      </c>
      <c r="R98" s="1268" t="n"/>
      <c r="S98" s="1268" t="n"/>
      <c r="T98" s="1268">
        <f>SUM(T65:T97)</f>
        <v/>
      </c>
      <c r="V98" s="1260" t="inlineStr">
        <is>
          <t>Grammerly</t>
        </is>
      </c>
      <c r="W98" s="1260" t="n">
        <v>8.75</v>
      </c>
    </row>
    <row r="99" ht="13.15" customHeight="1" s="1232">
      <c r="I99" s="1268" t="inlineStr">
        <is>
          <t>Net Revenue</t>
        </is>
      </c>
      <c r="J99" s="1472" t="n"/>
      <c r="K99" s="1473">
        <f>K97-K98</f>
        <v/>
      </c>
      <c r="L99" s="1473" t="n"/>
      <c r="M99" s="1472">
        <f>L99+K99</f>
        <v/>
      </c>
      <c r="V99" s="1260" t="inlineStr">
        <is>
          <t>Photocrowd</t>
        </is>
      </c>
      <c r="W99" s="1260" t="n">
        <v>0</v>
      </c>
    </row>
    <row r="100" ht="13.15" customHeight="1" s="1232">
      <c r="B100" s="1260" t="inlineStr">
        <is>
          <t>Food</t>
        </is>
      </c>
      <c r="C100" s="1260" t="n">
        <v>25</v>
      </c>
      <c r="D100" s="1260" t="n">
        <v>10</v>
      </c>
      <c r="E100" s="1260" t="n">
        <v>10</v>
      </c>
      <c r="F100" s="1260" t="n">
        <v>10</v>
      </c>
      <c r="G100" s="1260" t="n">
        <v>10</v>
      </c>
      <c r="M100" s="1394" t="n"/>
      <c r="O100" s="1268" t="inlineStr">
        <is>
          <t>Services Regardless @ 50%</t>
        </is>
      </c>
      <c r="V100" s="1260" t="inlineStr">
        <is>
          <t>General Printing</t>
        </is>
      </c>
      <c r="W100" s="1260" t="n">
        <v>30</v>
      </c>
    </row>
    <row r="101">
      <c r="I101" s="1260" t="inlineStr">
        <is>
          <t>Card Fees</t>
        </is>
      </c>
      <c r="K101" s="1260">
        <f>K99*3.5%</f>
        <v/>
      </c>
      <c r="V101" s="1260" t="inlineStr">
        <is>
          <t>Facebook Ads</t>
        </is>
      </c>
      <c r="W101" s="1260" t="n">
        <v>0</v>
      </c>
    </row>
    <row r="102">
      <c r="B102" s="1260" t="inlineStr">
        <is>
          <t>Admin</t>
        </is>
      </c>
      <c r="C102" s="1260">
        <f>$T$115</f>
        <v/>
      </c>
      <c r="D102" s="1260">
        <f>$C$74</f>
        <v/>
      </c>
      <c r="E102" s="1260">
        <f>$C$74</f>
        <v/>
      </c>
      <c r="F102" s="1260">
        <f>$C$74</f>
        <v/>
      </c>
      <c r="G102" s="1260">
        <f>$C$74</f>
        <v/>
      </c>
      <c r="M102" s="1394" t="n"/>
      <c r="O102" s="1477" t="inlineStr">
        <is>
          <t>Broadband</t>
        </is>
      </c>
      <c r="P102" s="1260" t="n">
        <v>50</v>
      </c>
      <c r="Q102" s="1260">
        <f>P102*12</f>
        <v/>
      </c>
      <c r="T102" s="1260">
        <f>Q102/$Y$62</f>
        <v/>
      </c>
      <c r="V102" s="1260" t="inlineStr">
        <is>
          <t>Google Ads</t>
        </is>
      </c>
    </row>
    <row r="103">
      <c r="I103" s="1260" t="inlineStr">
        <is>
          <t>Batsford Commision</t>
        </is>
      </c>
      <c r="J103" s="1260" t="n">
        <v>6</v>
      </c>
      <c r="K103" s="1394">
        <f>SUM(K93+K94+K95+K96)*J103</f>
        <v/>
      </c>
      <c r="O103" s="1477" t="inlineStr">
        <is>
          <t>Mobile</t>
        </is>
      </c>
      <c r="P103" s="1260" t="n">
        <v>35</v>
      </c>
      <c r="Q103" s="1260">
        <f>P103*12</f>
        <v/>
      </c>
      <c r="T103" s="1260">
        <f>Q103/$Y$62</f>
        <v/>
      </c>
      <c r="V103" s="1260" t="inlineStr">
        <is>
          <t>Other advertising</t>
        </is>
      </c>
    </row>
    <row r="104" ht="13.15" customHeight="1" s="1232">
      <c r="B104" s="1260" t="inlineStr">
        <is>
          <t>Costs</t>
        </is>
      </c>
      <c r="D104" s="1268">
        <f>SUM(D94:D103)</f>
        <v/>
      </c>
      <c r="E104" s="1268">
        <f>SUM(E94:E103)</f>
        <v/>
      </c>
      <c r="F104" s="1268">
        <f>SUM(F94:F103)</f>
        <v/>
      </c>
      <c r="G104" s="1268">
        <f>SUM(G94:G103)</f>
        <v/>
      </c>
      <c r="I104" s="1268" t="n"/>
      <c r="O104" s="1478" t="inlineStr">
        <is>
          <t>Microsoft</t>
        </is>
      </c>
      <c r="P104" s="1260" t="n">
        <v>7</v>
      </c>
      <c r="Q104" s="1260">
        <f>P104*12</f>
        <v/>
      </c>
      <c r="T104" s="1260">
        <f>Q104/$Y$62</f>
        <v/>
      </c>
      <c r="V104" s="1260" t="inlineStr">
        <is>
          <t>Accountant</t>
        </is>
      </c>
      <c r="W104" s="1260" t="n">
        <v>35</v>
      </c>
    </row>
    <row r="105">
      <c r="I105" s="1260" t="inlineStr">
        <is>
          <t>Petrol</t>
        </is>
      </c>
      <c r="J105" s="1260" t="n">
        <v>30</v>
      </c>
      <c r="K105" s="1260">
        <f>J105*1</f>
        <v/>
      </c>
      <c r="O105" s="1477" t="inlineStr">
        <is>
          <t>Norton</t>
        </is>
      </c>
      <c r="Q105" s="1260">
        <f>P105*12</f>
        <v/>
      </c>
      <c r="T105" s="1260">
        <f>Q105/$Y$62</f>
        <v/>
      </c>
      <c r="V105" s="1260" t="inlineStr">
        <is>
          <t>Broadband</t>
        </is>
      </c>
      <c r="W105" s="1260" t="n">
        <v>77</v>
      </c>
    </row>
    <row r="106" ht="13.15" customHeight="1" s="1232">
      <c r="B106" s="1268" t="inlineStr">
        <is>
          <t>Net</t>
        </is>
      </c>
      <c r="C106" s="1268" t="n"/>
      <c r="D106" s="1473">
        <f>D92-D104</f>
        <v/>
      </c>
      <c r="E106" s="1473">
        <f>E92-E104</f>
        <v/>
      </c>
      <c r="F106" s="1473">
        <f>F92-F104</f>
        <v/>
      </c>
      <c r="G106" s="1473">
        <f>G92-G104</f>
        <v/>
      </c>
      <c r="N106" s="1268" t="n"/>
      <c r="O106" s="1477" t="inlineStr">
        <is>
          <t>LR Plug-ins</t>
        </is>
      </c>
      <c r="P106" s="1260" t="n">
        <v>2</v>
      </c>
      <c r="Q106" s="1260">
        <f>P106*12</f>
        <v/>
      </c>
      <c r="T106" s="1260">
        <f>Q106/$Y$62</f>
        <v/>
      </c>
      <c r="V106" s="1260" t="inlineStr">
        <is>
          <t>Mobile</t>
        </is>
      </c>
      <c r="W106" s="1260" t="n">
        <v>70</v>
      </c>
    </row>
    <row r="107">
      <c r="I107" s="1260" t="inlineStr">
        <is>
          <t>Food</t>
        </is>
      </c>
      <c r="J107" s="1260" t="n">
        <v>20</v>
      </c>
      <c r="K107" s="1260">
        <f>J107*1</f>
        <v/>
      </c>
      <c r="O107" s="1477" t="inlineStr">
        <is>
          <t>Amazon Prime</t>
        </is>
      </c>
      <c r="P107" s="1260" t="n">
        <v>7</v>
      </c>
      <c r="Q107" s="1260">
        <f>P107*12</f>
        <v/>
      </c>
      <c r="T107" s="1260">
        <f>Q107/$Y$62</f>
        <v/>
      </c>
      <c r="V107" s="1260" t="inlineStr">
        <is>
          <t>Microsoft</t>
        </is>
      </c>
      <c r="W107" s="1260" t="n">
        <v>6.665833333333333</v>
      </c>
    </row>
    <row r="108" ht="13.15" customHeight="1" s="1232">
      <c r="C108" s="1394" t="n"/>
      <c r="D108" s="50">
        <f>D106/D92</f>
        <v/>
      </c>
      <c r="E108" s="50">
        <f>E106/E92</f>
        <v/>
      </c>
      <c r="F108" s="50">
        <f>F106/F92</f>
        <v/>
      </c>
      <c r="G108" s="50">
        <f>G106/G92</f>
        <v/>
      </c>
      <c r="N108" s="1472" t="n"/>
      <c r="O108" s="899" t="inlineStr">
        <is>
          <t>Electric/Gas</t>
        </is>
      </c>
      <c r="P108" s="1260" t="n">
        <v>100</v>
      </c>
      <c r="Q108" s="1260">
        <f>P108*12</f>
        <v/>
      </c>
      <c r="T108" s="1260">
        <f>Q108/$Y$62</f>
        <v/>
      </c>
      <c r="V108" s="1260" t="inlineStr">
        <is>
          <t>Norton</t>
        </is>
      </c>
      <c r="W108" s="1260" t="n">
        <v>6.666666666666667</v>
      </c>
    </row>
    <row r="109">
      <c r="I109" s="1260" t="inlineStr">
        <is>
          <t>Admin</t>
        </is>
      </c>
      <c r="J109" s="1260">
        <f>$T$115</f>
        <v/>
      </c>
      <c r="K109" s="1260">
        <f>SUM(K93+K94+K95+K96)*J109</f>
        <v/>
      </c>
      <c r="T109" s="1260">
        <f>Q109/$Y$62</f>
        <v/>
      </c>
      <c r="V109" s="1260" t="inlineStr">
        <is>
          <t>LR Plug-ins</t>
        </is>
      </c>
      <c r="W109" s="1260" t="n">
        <v>1</v>
      </c>
    </row>
    <row r="110">
      <c r="B110" s="1260" t="inlineStr">
        <is>
          <t>Time Hrs</t>
        </is>
      </c>
      <c r="C110" s="1474" t="n">
        <v>4</v>
      </c>
      <c r="D110" s="1260">
        <f>C110*25</f>
        <v/>
      </c>
      <c r="E110" s="1260">
        <f>C110*25</f>
        <v/>
      </c>
      <c r="F110" s="1260">
        <f>C110*25</f>
        <v/>
      </c>
      <c r="G110" s="1260">
        <f>C110*25</f>
        <v/>
      </c>
      <c r="N110" s="50" t="n"/>
      <c r="T110" s="1260">
        <f>Q110/$Y$62</f>
        <v/>
      </c>
      <c r="V110" s="1260" t="inlineStr">
        <is>
          <t>Amazon Prime</t>
        </is>
      </c>
      <c r="W110" s="1260" t="n">
        <v>6.583333333333333</v>
      </c>
    </row>
    <row r="111" ht="13.15" customHeight="1" s="1232">
      <c r="B111" s="1268" t="n"/>
      <c r="C111" s="1268" t="n"/>
      <c r="D111" s="1268" t="n"/>
      <c r="E111" s="1268" t="n"/>
      <c r="I111" s="1268" t="inlineStr">
        <is>
          <t>Costs</t>
        </is>
      </c>
      <c r="K111" s="1268">
        <f>SUM(K101:K110)</f>
        <v/>
      </c>
      <c r="L111" s="1268" t="n"/>
      <c r="M111" s="1268" t="n"/>
    </row>
    <row r="112" ht="13.15" customHeight="1" s="1232">
      <c r="O112" s="1268" t="inlineStr">
        <is>
          <t>Personal Services Regardless</t>
        </is>
      </c>
      <c r="P112" s="1268">
        <f>SUM(P100:P111)</f>
        <v/>
      </c>
      <c r="Q112" s="1268">
        <f>SUM(Q100:Q111)</f>
        <v/>
      </c>
      <c r="R112" s="1268" t="n"/>
      <c r="S112" s="1268" t="n"/>
      <c r="T112" s="1268">
        <f>SUM(T100:T111)</f>
        <v/>
      </c>
    </row>
    <row r="113" ht="13.15" customHeight="1" s="1232">
      <c r="B113" s="1260" t="inlineStr">
        <is>
          <t>Profit</t>
        </is>
      </c>
      <c r="D113" s="1260">
        <f>D106-D110</f>
        <v/>
      </c>
      <c r="E113" s="1260">
        <f>E106-E110</f>
        <v/>
      </c>
      <c r="F113" s="1260">
        <f>F106-F110</f>
        <v/>
      </c>
      <c r="G113" s="1260">
        <f>G106-G110</f>
        <v/>
      </c>
      <c r="I113" s="1268" t="inlineStr">
        <is>
          <t>Net</t>
        </is>
      </c>
      <c r="J113" s="1268" t="n"/>
      <c r="K113" s="1473">
        <f>K99-K111</f>
        <v/>
      </c>
      <c r="L113" s="1473" t="n"/>
      <c r="M113" s="1472" t="n"/>
    </row>
    <row r="114">
      <c r="D114" s="50">
        <f>D113/D92</f>
        <v/>
      </c>
      <c r="E114" s="50">
        <f>E113/E92</f>
        <v/>
      </c>
      <c r="F114" s="50">
        <f>F113/F92</f>
        <v/>
      </c>
      <c r="G114" s="50">
        <f>G113/G92</f>
        <v/>
      </c>
      <c r="O114" s="50" t="n"/>
      <c r="W114" s="1260">
        <f>SUM(W78:W113)</f>
        <v/>
      </c>
    </row>
    <row r="115" ht="13.5" customHeight="1" s="1232" thickBot="1">
      <c r="J115" s="1394" t="n"/>
      <c r="K115" s="50">
        <f>K113/K99</f>
        <v/>
      </c>
      <c r="L115" s="50" t="n"/>
      <c r="M115" s="50" t="n"/>
      <c r="O115" s="1479" t="inlineStr">
        <is>
          <t>Combined</t>
        </is>
      </c>
      <c r="P115" s="1479">
        <f>P98+P112</f>
        <v/>
      </c>
      <c r="Q115" s="1479">
        <f>Q98+Q112</f>
        <v/>
      </c>
      <c r="R115" s="1479" t="n"/>
      <c r="S115" s="1479" t="n"/>
      <c r="T115" s="1479">
        <f>T98+T112</f>
        <v/>
      </c>
    </row>
    <row r="116" ht="13.15" customHeight="1" s="1232" thickTop="1">
      <c r="N116" s="50" t="n"/>
    </row>
    <row r="117" ht="13.15" customHeight="1" s="1232">
      <c r="B117" s="1268" t="inlineStr">
        <is>
          <t>2.5hr Workshop</t>
        </is>
      </c>
      <c r="C117" s="1394" t="n"/>
      <c r="D117" s="51" t="n">
        <v>1</v>
      </c>
      <c r="E117" s="51" t="n">
        <v>3</v>
      </c>
      <c r="F117" s="51" t="n">
        <v>4</v>
      </c>
      <c r="G117" s="51" t="n">
        <v>6</v>
      </c>
      <c r="I117" s="1260" t="inlineStr">
        <is>
          <t>Time Hrs</t>
        </is>
      </c>
      <c r="J117" s="1474" t="n">
        <v>8</v>
      </c>
      <c r="K117" s="1260">
        <f>J117*P25</f>
        <v/>
      </c>
      <c r="O117" s="51" t="n"/>
    </row>
    <row r="118" ht="13.15" customHeight="1" s="1232">
      <c r="B118" s="1268" t="n"/>
      <c r="C118" s="1268" t="n"/>
      <c r="D118" s="1268" t="n"/>
      <c r="E118" s="1268" t="n"/>
      <c r="F118" s="1268" t="n"/>
      <c r="G118" s="1268" t="n"/>
      <c r="I118" s="1268" t="n"/>
      <c r="J118" s="1268" t="n"/>
      <c r="K118" s="1268" t="n"/>
      <c r="L118" s="1268" t="n"/>
      <c r="O118" s="1468" t="inlineStr">
        <is>
          <t>Business Cost pm (exc labour)</t>
        </is>
      </c>
      <c r="P118" s="1273">
        <f>P98+P112-P95</f>
        <v/>
      </c>
      <c r="Q118" s="1273">
        <f>P118*12</f>
        <v/>
      </c>
      <c r="R118" s="1273" t="n"/>
      <c r="S118" s="1273" t="n"/>
      <c r="T118" s="1273">
        <f>Q118/$Y$62</f>
        <v/>
      </c>
      <c r="U118" s="1273" t="n"/>
    </row>
    <row r="119">
      <c r="B119" s="1260" t="inlineStr">
        <is>
          <t>Revenue</t>
        </is>
      </c>
      <c r="C119" s="1394">
        <f>P15</f>
        <v/>
      </c>
      <c r="D119" s="1394">
        <f>C119*D117</f>
        <v/>
      </c>
      <c r="E119" s="1394">
        <f>C119*E117</f>
        <v/>
      </c>
      <c r="F119" s="1467">
        <f>C119*F117</f>
        <v/>
      </c>
      <c r="G119" s="1467">
        <f>C119*G117</f>
        <v/>
      </c>
      <c r="N119" s="51" t="n"/>
      <c r="O119" s="1467" t="n"/>
    </row>
    <row r="120" ht="13.15" customHeight="1" s="1232">
      <c r="B120" s="1260" t="inlineStr">
        <is>
          <t>Discount Risk</t>
        </is>
      </c>
      <c r="C120" s="64" t="n">
        <v>0.3</v>
      </c>
      <c r="D120" s="1394">
        <f>D119*C120</f>
        <v/>
      </c>
      <c r="E120" s="1394">
        <f>E119*C120</f>
        <v/>
      </c>
      <c r="F120" s="1467">
        <f>F119*C120</f>
        <v/>
      </c>
      <c r="G120" s="1467">
        <f>G119*C120</f>
        <v/>
      </c>
      <c r="I120" s="1260" t="inlineStr">
        <is>
          <t>Profit</t>
        </is>
      </c>
      <c r="K120" s="1260">
        <f>K99-K111-K117</f>
        <v/>
      </c>
      <c r="N120" s="1268" t="n"/>
      <c r="O120" s="1467" t="n"/>
    </row>
    <row r="121" ht="13.15" customHeight="1" s="1232">
      <c r="B121" s="1268" t="inlineStr">
        <is>
          <t>Net Revenue</t>
        </is>
      </c>
      <c r="C121" s="1472" t="n"/>
      <c r="D121" s="1473">
        <f>D119-D120</f>
        <v/>
      </c>
      <c r="E121" s="1473">
        <f>E119-E120</f>
        <v/>
      </c>
      <c r="F121" s="1473">
        <f>F119-F120</f>
        <v/>
      </c>
      <c r="G121" s="1473">
        <f>G119-G120</f>
        <v/>
      </c>
      <c r="I121" s="1268" t="n"/>
      <c r="K121" s="50" t="n"/>
      <c r="L121" s="50" t="n"/>
      <c r="M121" s="50" t="n"/>
      <c r="N121" s="1467" t="n"/>
      <c r="O121" s="1472" t="n"/>
    </row>
    <row r="122">
      <c r="F122" s="1394" t="n"/>
      <c r="G122" s="1394" t="n"/>
      <c r="N122" s="1467" t="n"/>
      <c r="O122" s="1394" t="n"/>
    </row>
    <row r="123" ht="13.15" customHeight="1" s="1232">
      <c r="B123" s="1260" t="inlineStr">
        <is>
          <t>Card Fees</t>
        </is>
      </c>
      <c r="D123" s="1260">
        <f>D121*3.5%</f>
        <v/>
      </c>
      <c r="E123" s="1260">
        <f>E121*3.5%</f>
        <v/>
      </c>
      <c r="F123" s="1260">
        <f>F121*3.5%</f>
        <v/>
      </c>
      <c r="G123" s="1260">
        <f>G121*3.5%</f>
        <v/>
      </c>
      <c r="I123" s="1268" t="n"/>
      <c r="J123" s="1472" t="n"/>
      <c r="K123" s="1472" t="n"/>
      <c r="L123" s="1472" t="n"/>
      <c r="M123" s="1472" t="n"/>
      <c r="N123" s="1472" t="n"/>
    </row>
    <row r="124">
      <c r="F124" s="1394" t="n"/>
      <c r="G124" s="1394" t="n"/>
      <c r="M124" s="1394" t="n"/>
      <c r="N124" s="1394" t="n"/>
      <c r="O124" s="1394" t="n"/>
    </row>
    <row r="125">
      <c r="B125" s="1260" t="inlineStr">
        <is>
          <t>B&amp;B</t>
        </is>
      </c>
      <c r="C125" s="1260" t="n">
        <v>0</v>
      </c>
      <c r="D125" s="1260" t="n">
        <v>0</v>
      </c>
      <c r="E125" s="1260" t="n">
        <v>0</v>
      </c>
      <c r="F125" s="1260" t="n">
        <v>0</v>
      </c>
      <c r="G125" s="1260" t="n">
        <v>0</v>
      </c>
    </row>
    <row r="126" ht="13.15" customHeight="1" s="1232">
      <c r="B126" s="1268" t="n"/>
      <c r="I126" s="1268" t="n"/>
    </row>
    <row r="127">
      <c r="B127" s="1260" t="inlineStr">
        <is>
          <t>Petrol</t>
        </is>
      </c>
      <c r="C127" s="1260" t="n">
        <v>100</v>
      </c>
      <c r="D127" s="1260" t="n">
        <v>10</v>
      </c>
      <c r="E127" s="1260" t="n">
        <v>10</v>
      </c>
      <c r="F127" s="1260" t="n">
        <v>10</v>
      </c>
      <c r="G127" s="1260" t="n">
        <v>10</v>
      </c>
    </row>
    <row r="129">
      <c r="B129" s="1260" t="inlineStr">
        <is>
          <t>Food</t>
        </is>
      </c>
      <c r="C129" s="1260" t="n">
        <v>30</v>
      </c>
      <c r="D129" s="1260" t="n">
        <v>0</v>
      </c>
      <c r="E129" s="1260" t="n">
        <v>0</v>
      </c>
      <c r="F129" s="1260" t="n">
        <v>0</v>
      </c>
      <c r="G129" s="1260" t="n">
        <v>0</v>
      </c>
    </row>
    <row r="131">
      <c r="B131" s="1260" t="inlineStr">
        <is>
          <t>Admin</t>
        </is>
      </c>
      <c r="C131" s="1260">
        <f>$T$115</f>
        <v/>
      </c>
      <c r="D131" s="1260">
        <f>$C$74</f>
        <v/>
      </c>
      <c r="E131" s="1260">
        <f>$C$74</f>
        <v/>
      </c>
      <c r="F131" s="1260">
        <f>$C$74</f>
        <v/>
      </c>
      <c r="G131" s="1260">
        <f>$C$74</f>
        <v/>
      </c>
    </row>
    <row r="133" ht="13.15" customHeight="1" s="1232">
      <c r="B133" s="1260" t="inlineStr">
        <is>
          <t>Costs</t>
        </is>
      </c>
      <c r="D133" s="1268">
        <f>SUM(D123:D132)</f>
        <v/>
      </c>
      <c r="E133" s="1268">
        <f>SUM(E123:E132)</f>
        <v/>
      </c>
      <c r="F133" s="1268">
        <f>SUM(F123:F132)</f>
        <v/>
      </c>
      <c r="G133" s="1268">
        <f>SUM(G123:G132)</f>
        <v/>
      </c>
    </row>
    <row r="135" ht="13.15" customHeight="1" s="1232">
      <c r="B135" s="1268" t="inlineStr">
        <is>
          <t>Net</t>
        </is>
      </c>
      <c r="C135" s="1268" t="n"/>
      <c r="D135" s="1473">
        <f>D121-D133</f>
        <v/>
      </c>
      <c r="E135" s="1473">
        <f>E121-E133</f>
        <v/>
      </c>
      <c r="F135" s="1473">
        <f>F121-F133</f>
        <v/>
      </c>
      <c r="G135" s="1473">
        <f>G121-G133</f>
        <v/>
      </c>
    </row>
    <row r="137">
      <c r="C137" s="1394" t="n"/>
      <c r="D137" s="50">
        <f>D135/D121</f>
        <v/>
      </c>
      <c r="E137" s="50">
        <f>E135/E121</f>
        <v/>
      </c>
      <c r="F137" s="50">
        <f>F135/F121</f>
        <v/>
      </c>
      <c r="G137" s="50">
        <f>G135/G121</f>
        <v/>
      </c>
    </row>
    <row r="139">
      <c r="B139" s="1260" t="inlineStr">
        <is>
          <t>Time Hrs</t>
        </is>
      </c>
      <c r="C139" s="1474" t="n">
        <v>2.5</v>
      </c>
      <c r="D139" s="1260">
        <f>C139*25</f>
        <v/>
      </c>
      <c r="E139" s="1260">
        <f>C139*25</f>
        <v/>
      </c>
      <c r="F139" s="1260">
        <f>C139*25</f>
        <v/>
      </c>
      <c r="G139" s="1260">
        <f>C139*25</f>
        <v/>
      </c>
    </row>
    <row r="140" ht="13.15" customHeight="1" s="1232">
      <c r="B140" s="1268" t="n"/>
      <c r="C140" s="1268" t="n"/>
      <c r="D140" s="1268" t="n"/>
      <c r="E140" s="1268" t="n"/>
    </row>
    <row r="142">
      <c r="B142" s="1260" t="inlineStr">
        <is>
          <t>Profit</t>
        </is>
      </c>
      <c r="D142" s="1260">
        <f>D135-D139</f>
        <v/>
      </c>
      <c r="E142" s="1260">
        <f>E135-E139</f>
        <v/>
      </c>
      <c r="F142" s="1260">
        <f>F135-F139</f>
        <v/>
      </c>
      <c r="G142" s="1260">
        <f>G135-G139</f>
        <v/>
      </c>
    </row>
    <row r="143">
      <c r="D143" s="50">
        <f>D142/D121</f>
        <v/>
      </c>
      <c r="E143" s="50">
        <f>E142/E121</f>
        <v/>
      </c>
      <c r="F143" s="50">
        <f>F142/F121</f>
        <v/>
      </c>
      <c r="G143" s="50">
        <f>G142/G121</f>
        <v/>
      </c>
    </row>
    <row r="147" ht="13.15" customHeight="1" s="1232">
      <c r="B147" s="1268" t="inlineStr">
        <is>
          <t>Intro Class</t>
        </is>
      </c>
      <c r="C147" s="1394" t="n"/>
      <c r="D147" s="51" t="n">
        <v>5</v>
      </c>
      <c r="E147" s="51" t="n">
        <v>6</v>
      </c>
      <c r="F147" s="51" t="n">
        <v>9</v>
      </c>
      <c r="G147" s="51" t="n">
        <v>12</v>
      </c>
    </row>
    <row r="148" ht="13.15" customHeight="1" s="1232">
      <c r="B148" s="1268" t="n"/>
      <c r="C148" s="1268" t="n"/>
      <c r="D148" s="1268" t="n"/>
      <c r="E148" s="1268" t="n"/>
      <c r="F148" s="1268" t="n"/>
      <c r="G148" s="1268" t="n"/>
    </row>
    <row r="149">
      <c r="B149" s="1260" t="inlineStr">
        <is>
          <t>Revenue</t>
        </is>
      </c>
      <c r="C149" s="1394">
        <f>P31</f>
        <v/>
      </c>
      <c r="D149" s="1394">
        <f>C149*D147</f>
        <v/>
      </c>
      <c r="E149" s="1394">
        <f>C149*E147</f>
        <v/>
      </c>
      <c r="F149" s="1467">
        <f>C149*F147</f>
        <v/>
      </c>
      <c r="G149" s="1467">
        <f>C149*G147</f>
        <v/>
      </c>
    </row>
    <row r="150">
      <c r="B150" s="1260" t="inlineStr">
        <is>
          <t>Discount Risk</t>
        </is>
      </c>
      <c r="C150" s="64" t="n">
        <v>0</v>
      </c>
      <c r="D150" s="1394">
        <f>D149*C150</f>
        <v/>
      </c>
      <c r="E150" s="1394">
        <f>E149*C150</f>
        <v/>
      </c>
      <c r="F150" s="1467">
        <f>F149*C150</f>
        <v/>
      </c>
      <c r="G150" s="1467">
        <f>G149*C150</f>
        <v/>
      </c>
    </row>
    <row r="151" ht="13.15" customHeight="1" s="1232">
      <c r="B151" s="1268" t="inlineStr">
        <is>
          <t>Net Revenue</t>
        </is>
      </c>
      <c r="C151" s="1472" t="n"/>
      <c r="D151" s="1473">
        <f>D149-D150</f>
        <v/>
      </c>
      <c r="E151" s="1473">
        <f>E149-E150</f>
        <v/>
      </c>
      <c r="F151" s="1473">
        <f>F149-F150</f>
        <v/>
      </c>
      <c r="G151" s="1473">
        <f>G149-G150</f>
        <v/>
      </c>
    </row>
    <row r="152">
      <c r="F152" s="1394" t="n"/>
      <c r="G152" s="1394" t="n"/>
    </row>
    <row r="153">
      <c r="B153" s="1260" t="inlineStr">
        <is>
          <t>Card Fees</t>
        </is>
      </c>
      <c r="D153" s="1260">
        <f>D151*3.5%</f>
        <v/>
      </c>
      <c r="E153" s="1260">
        <f>E151*3.5%</f>
        <v/>
      </c>
      <c r="F153" s="1260">
        <f>F151*3.5%</f>
        <v/>
      </c>
      <c r="G153" s="1260">
        <f>G151*3.5%</f>
        <v/>
      </c>
    </row>
    <row r="154">
      <c r="F154" s="1394" t="n"/>
      <c r="G154" s="1394" t="n"/>
    </row>
    <row r="155">
      <c r="B155" s="1260" t="inlineStr">
        <is>
          <t>Room Hire</t>
        </is>
      </c>
      <c r="C155" s="1260" t="n">
        <v>33</v>
      </c>
      <c r="D155" s="1260">
        <f>$C155</f>
        <v/>
      </c>
      <c r="E155" s="1260">
        <f>$C155</f>
        <v/>
      </c>
      <c r="F155" s="1260">
        <f>$C155</f>
        <v/>
      </c>
      <c r="G155" s="1260">
        <f>$C155</f>
        <v/>
      </c>
    </row>
    <row r="156" ht="13.15" customHeight="1" s="1232">
      <c r="B156" s="1268" t="n"/>
    </row>
    <row r="157">
      <c r="B157" s="1260" t="inlineStr">
        <is>
          <t>Petrol</t>
        </is>
      </c>
      <c r="C157" s="1260" t="n">
        <v>10</v>
      </c>
      <c r="D157" s="1260">
        <f>$C157</f>
        <v/>
      </c>
      <c r="E157" s="1260">
        <f>$C157</f>
        <v/>
      </c>
      <c r="F157" s="1260">
        <f>$C157</f>
        <v/>
      </c>
      <c r="G157" s="1260">
        <f>$C157</f>
        <v/>
      </c>
    </row>
    <row r="159">
      <c r="B159" s="1260" t="inlineStr">
        <is>
          <t>Food</t>
        </is>
      </c>
      <c r="C159" s="1260" t="n">
        <v>2</v>
      </c>
      <c r="D159" s="1260">
        <f>$C159</f>
        <v/>
      </c>
      <c r="E159" s="1260">
        <f>$C159</f>
        <v/>
      </c>
      <c r="F159" s="1260">
        <f>$C159</f>
        <v/>
      </c>
      <c r="G159" s="1260">
        <f>$C159</f>
        <v/>
      </c>
    </row>
    <row r="161">
      <c r="B161" s="1260" t="inlineStr">
        <is>
          <t>Printing</t>
        </is>
      </c>
      <c r="C161" s="1260" t="n">
        <v>1</v>
      </c>
      <c r="D161" s="1260">
        <f>$C161*D147</f>
        <v/>
      </c>
      <c r="E161" s="1260">
        <f>$C161*E147</f>
        <v/>
      </c>
      <c r="F161" s="1260">
        <f>$C161*F147</f>
        <v/>
      </c>
      <c r="G161" s="1260">
        <f>$C161*G147</f>
        <v/>
      </c>
    </row>
    <row r="163">
      <c r="B163" s="1260" t="inlineStr">
        <is>
          <t>Admin Cost</t>
        </is>
      </c>
      <c r="C163" s="1260">
        <f>$T$115</f>
        <v/>
      </c>
      <c r="D163" s="1260">
        <f>$C$74</f>
        <v/>
      </c>
      <c r="E163" s="1260">
        <f>$C$74</f>
        <v/>
      </c>
      <c r="F163" s="1260">
        <f>$C$74</f>
        <v/>
      </c>
      <c r="G163" s="1260">
        <f>$C$74</f>
        <v/>
      </c>
    </row>
    <row r="165" ht="13.15" customHeight="1" s="1232">
      <c r="B165" s="1260" t="inlineStr">
        <is>
          <t>Costs</t>
        </is>
      </c>
      <c r="D165" s="1268">
        <f>SUM(D153:D164)</f>
        <v/>
      </c>
      <c r="E165" s="1268">
        <f>SUM(E153:E164)</f>
        <v/>
      </c>
      <c r="F165" s="1268">
        <f>SUM(F153:F164)</f>
        <v/>
      </c>
      <c r="G165" s="1268">
        <f>SUM(G153:G164)</f>
        <v/>
      </c>
    </row>
    <row r="167" ht="13.15" customHeight="1" s="1232">
      <c r="B167" s="1268" t="inlineStr">
        <is>
          <t>Net</t>
        </is>
      </c>
      <c r="C167" s="1268" t="n"/>
      <c r="D167" s="1473">
        <f>D151-D165</f>
        <v/>
      </c>
      <c r="E167" s="1473">
        <f>E151-E165</f>
        <v/>
      </c>
      <c r="F167" s="1473">
        <f>F151-F165</f>
        <v/>
      </c>
      <c r="G167" s="1473">
        <f>G151-G165</f>
        <v/>
      </c>
    </row>
    <row r="169">
      <c r="C169" s="1394" t="n"/>
      <c r="D169" s="50">
        <f>D167/D151</f>
        <v/>
      </c>
      <c r="E169" s="50">
        <f>E167/E151</f>
        <v/>
      </c>
      <c r="F169" s="50">
        <f>F167/F151</f>
        <v/>
      </c>
      <c r="G169" s="50">
        <f>G167/G151</f>
        <v/>
      </c>
    </row>
    <row r="171">
      <c r="B171" s="1260" t="inlineStr">
        <is>
          <t>Time Hrs</t>
        </is>
      </c>
      <c r="C171" s="1474" t="n">
        <v>2.5</v>
      </c>
      <c r="D171" s="1260">
        <f>C171*25</f>
        <v/>
      </c>
      <c r="E171" s="1260">
        <f>C171*25</f>
        <v/>
      </c>
      <c r="F171" s="1260">
        <f>C171*25</f>
        <v/>
      </c>
      <c r="G171" s="1260">
        <f>C171*25</f>
        <v/>
      </c>
    </row>
    <row r="172" ht="13.15" customHeight="1" s="1232">
      <c r="B172" s="1268" t="n"/>
      <c r="C172" s="1268" t="n"/>
      <c r="D172" s="1268" t="n"/>
      <c r="E172" s="1268" t="n"/>
    </row>
    <row r="174">
      <c r="B174" s="1260" t="inlineStr">
        <is>
          <t>Profit</t>
        </is>
      </c>
      <c r="D174" s="1260">
        <f>D167-D171</f>
        <v/>
      </c>
      <c r="E174" s="1260">
        <f>E167-E171</f>
        <v/>
      </c>
      <c r="F174" s="1260">
        <f>F167-F171</f>
        <v/>
      </c>
      <c r="G174" s="1260">
        <f>G167-G171</f>
        <v/>
      </c>
    </row>
    <row r="175">
      <c r="D175" s="50">
        <f>D174/D151</f>
        <v/>
      </c>
      <c r="E175" s="50">
        <f>E174/E151</f>
        <v/>
      </c>
      <c r="F175" s="50">
        <f>F174/F151</f>
        <v/>
      </c>
      <c r="G175" s="50">
        <f>G174/G151</f>
        <v/>
      </c>
    </row>
    <row r="178" ht="13.15" customHeight="1" s="1232">
      <c r="B178" s="1268" t="inlineStr">
        <is>
          <t>Masterclass</t>
        </is>
      </c>
      <c r="C178" s="1394" t="n"/>
      <c r="D178" s="51" t="n">
        <v>1</v>
      </c>
      <c r="E178" s="51" t="n">
        <v>2</v>
      </c>
      <c r="F178" s="51" t="n">
        <v>3</v>
      </c>
      <c r="G178" s="51" t="n">
        <v>4</v>
      </c>
    </row>
    <row r="179" ht="13.15" customHeight="1" s="1232">
      <c r="B179" s="1268" t="n"/>
      <c r="C179" s="1268" t="n"/>
      <c r="D179" s="1268" t="n"/>
      <c r="E179" s="1268" t="n"/>
      <c r="F179" s="1268" t="n"/>
      <c r="G179" s="1268" t="n"/>
    </row>
    <row r="180">
      <c r="B180" s="1260" t="inlineStr">
        <is>
          <t>Revenue</t>
        </is>
      </c>
      <c r="C180" s="1394">
        <f>P32</f>
        <v/>
      </c>
      <c r="D180" s="1394">
        <f>C180*D178</f>
        <v/>
      </c>
      <c r="E180" s="1394">
        <f>C180*E178</f>
        <v/>
      </c>
      <c r="F180" s="1467">
        <f>C180*F178</f>
        <v/>
      </c>
      <c r="G180" s="1467">
        <f>C180*G178</f>
        <v/>
      </c>
    </row>
    <row r="181">
      <c r="B181" s="1260" t="inlineStr">
        <is>
          <t>Discount Risk</t>
        </is>
      </c>
      <c r="C181" s="64" t="n">
        <v>0.15</v>
      </c>
      <c r="D181" s="1394">
        <f>D180*C181</f>
        <v/>
      </c>
      <c r="E181" s="1394">
        <f>E180*C181</f>
        <v/>
      </c>
      <c r="F181" s="1467">
        <f>F180*C181</f>
        <v/>
      </c>
      <c r="G181" s="1467">
        <f>G180*C181</f>
        <v/>
      </c>
    </row>
    <row r="182" ht="13.15" customHeight="1" s="1232">
      <c r="B182" s="1268" t="inlineStr">
        <is>
          <t>Net Revenue</t>
        </is>
      </c>
      <c r="C182" s="1472" t="n"/>
      <c r="D182" s="1473">
        <f>D180-D181</f>
        <v/>
      </c>
      <c r="E182" s="1473">
        <f>E180-E181</f>
        <v/>
      </c>
      <c r="F182" s="1473">
        <f>F180-F181</f>
        <v/>
      </c>
      <c r="G182" s="1473">
        <f>G180-G181</f>
        <v/>
      </c>
    </row>
    <row r="183">
      <c r="F183" s="1394" t="n"/>
      <c r="G183" s="1394" t="n"/>
    </row>
    <row r="184">
      <c r="B184" s="1260" t="inlineStr">
        <is>
          <t>Card Fees</t>
        </is>
      </c>
      <c r="D184" s="1260">
        <f>D182*3.5%</f>
        <v/>
      </c>
      <c r="E184" s="1260">
        <f>E182*3.5%</f>
        <v/>
      </c>
      <c r="F184" s="1260">
        <f>F182*3.5%</f>
        <v/>
      </c>
      <c r="G184" s="1260">
        <f>G182*3.5%</f>
        <v/>
      </c>
    </row>
    <row r="185">
      <c r="F185" s="1394" t="n"/>
      <c r="G185" s="1394" t="n"/>
    </row>
    <row r="186">
      <c r="B186" s="1260" t="inlineStr">
        <is>
          <t>Room Hire</t>
        </is>
      </c>
      <c r="C186" s="1260" t="n">
        <v>0</v>
      </c>
      <c r="D186" s="1260">
        <f>$C186</f>
        <v/>
      </c>
      <c r="E186" s="1260">
        <f>$C186</f>
        <v/>
      </c>
      <c r="F186" s="1260">
        <f>$C186</f>
        <v/>
      </c>
      <c r="G186" s="1260">
        <f>$C186</f>
        <v/>
      </c>
    </row>
    <row r="187" ht="13.15" customHeight="1" s="1232">
      <c r="B187" s="1268" t="n"/>
    </row>
    <row r="188">
      <c r="B188" s="1260" t="inlineStr">
        <is>
          <t>Petrol</t>
        </is>
      </c>
      <c r="C188" s="1260" t="n">
        <v>0</v>
      </c>
      <c r="D188" s="1260">
        <f>$C188</f>
        <v/>
      </c>
      <c r="E188" s="1260">
        <f>$C188</f>
        <v/>
      </c>
      <c r="F188" s="1260">
        <f>$C188</f>
        <v/>
      </c>
      <c r="G188" s="1260">
        <f>$C188</f>
        <v/>
      </c>
    </row>
    <row r="190">
      <c r="B190" s="1260" t="inlineStr">
        <is>
          <t>Food</t>
        </is>
      </c>
      <c r="C190" s="1260" t="n">
        <v>2</v>
      </c>
      <c r="D190" s="1260">
        <f>$C190</f>
        <v/>
      </c>
      <c r="E190" s="1260">
        <f>$C190</f>
        <v/>
      </c>
      <c r="F190" s="1260">
        <f>$C190</f>
        <v/>
      </c>
      <c r="G190" s="1260">
        <f>$C190</f>
        <v/>
      </c>
    </row>
    <row r="192">
      <c r="B192" s="1260" t="inlineStr">
        <is>
          <t>Printing</t>
        </is>
      </c>
      <c r="C192" s="1260" t="n">
        <v>1</v>
      </c>
      <c r="D192" s="1260">
        <f>$C192*D178</f>
        <v/>
      </c>
      <c r="E192" s="1260">
        <f>$C192*E178</f>
        <v/>
      </c>
      <c r="F192" s="1260">
        <f>$C192*F178</f>
        <v/>
      </c>
      <c r="G192" s="1260">
        <f>$C192*G178</f>
        <v/>
      </c>
    </row>
    <row r="194">
      <c r="B194" s="1260" t="inlineStr">
        <is>
          <t>Admin Cost</t>
        </is>
      </c>
      <c r="C194" s="1260">
        <f>$T$115</f>
        <v/>
      </c>
      <c r="D194" s="1260">
        <f>$C$74</f>
        <v/>
      </c>
      <c r="E194" s="1260">
        <f>$C$74</f>
        <v/>
      </c>
      <c r="F194" s="1260">
        <f>$C$74</f>
        <v/>
      </c>
      <c r="G194" s="1260">
        <f>$C$74</f>
        <v/>
      </c>
    </row>
    <row r="196" ht="13.15" customHeight="1" s="1232">
      <c r="B196" s="1260" t="inlineStr">
        <is>
          <t>Costs</t>
        </is>
      </c>
      <c r="D196" s="1268">
        <f>SUM(D184:D195)</f>
        <v/>
      </c>
      <c r="E196" s="1268">
        <f>SUM(E184:E195)</f>
        <v/>
      </c>
      <c r="F196" s="1268">
        <f>SUM(F184:F195)</f>
        <v/>
      </c>
      <c r="G196" s="1268">
        <f>SUM(G184:G195)</f>
        <v/>
      </c>
    </row>
    <row r="198" ht="13.15" customHeight="1" s="1232">
      <c r="B198" s="1268" t="inlineStr">
        <is>
          <t>Net</t>
        </is>
      </c>
      <c r="C198" s="1268" t="n"/>
      <c r="D198" s="1473">
        <f>D182-D196</f>
        <v/>
      </c>
      <c r="E198" s="1473">
        <f>E182-E196</f>
        <v/>
      </c>
      <c r="F198" s="1473">
        <f>F182-F196</f>
        <v/>
      </c>
      <c r="G198" s="1473">
        <f>G182-G196</f>
        <v/>
      </c>
    </row>
    <row r="200">
      <c r="C200" s="1394" t="n"/>
      <c r="D200" s="50">
        <f>D198/D182</f>
        <v/>
      </c>
      <c r="E200" s="50">
        <f>E198/E182</f>
        <v/>
      </c>
      <c r="F200" s="50">
        <f>F198/F182</f>
        <v/>
      </c>
      <c r="G200" s="50">
        <f>G198/G182</f>
        <v/>
      </c>
    </row>
    <row r="202">
      <c r="B202" s="1260" t="inlineStr">
        <is>
          <t>Time Hrs</t>
        </is>
      </c>
      <c r="C202" s="1474" t="n">
        <v>2.5</v>
      </c>
      <c r="D202" s="1260">
        <f>C202*25</f>
        <v/>
      </c>
      <c r="E202" s="1260">
        <f>C202*25</f>
        <v/>
      </c>
      <c r="F202" s="1260">
        <f>C202*25</f>
        <v/>
      </c>
      <c r="G202" s="1260">
        <f>C202*25</f>
        <v/>
      </c>
    </row>
    <row r="203" ht="13.15" customHeight="1" s="1232">
      <c r="B203" s="1268" t="n"/>
      <c r="C203" s="1268" t="n"/>
      <c r="D203" s="1268" t="n"/>
      <c r="E203" s="1268" t="n"/>
    </row>
    <row r="205">
      <c r="B205" s="1260" t="inlineStr">
        <is>
          <t>Profit</t>
        </is>
      </c>
      <c r="D205" s="1260">
        <f>D198-D202</f>
        <v/>
      </c>
      <c r="E205" s="1260">
        <f>E198-E202</f>
        <v/>
      </c>
      <c r="F205" s="1260">
        <f>F198-F202</f>
        <v/>
      </c>
      <c r="G205" s="1260">
        <f>G198-G202</f>
        <v/>
      </c>
    </row>
    <row r="206">
      <c r="D206" s="50">
        <f>D205/D182</f>
        <v/>
      </c>
      <c r="E206" s="50">
        <f>E205/E182</f>
        <v/>
      </c>
      <c r="F206" s="50">
        <f>F205/F182</f>
        <v/>
      </c>
      <c r="G206" s="50">
        <f>G205/G182</f>
        <v/>
      </c>
    </row>
    <row r="209" ht="13.15" customHeight="1" s="1232">
      <c r="B209" s="1268" t="inlineStr">
        <is>
          <t>4wk Course Beginners</t>
        </is>
      </c>
      <c r="C209" s="1394" t="n"/>
      <c r="D209" s="51" t="n">
        <v>4</v>
      </c>
      <c r="E209" s="51" t="n">
        <v>6</v>
      </c>
      <c r="F209" s="51" t="n">
        <v>8</v>
      </c>
      <c r="G209" s="51" t="n">
        <v>12</v>
      </c>
    </row>
    <row r="210" ht="13.15" customHeight="1" s="1232">
      <c r="B210" s="1268" t="n"/>
      <c r="C210" s="1268" t="n"/>
      <c r="D210" s="1268" t="n"/>
      <c r="E210" s="1268" t="n"/>
      <c r="F210" s="1268" t="n"/>
      <c r="G210" s="1268" t="n"/>
    </row>
    <row r="211">
      <c r="B211" s="1260" t="inlineStr">
        <is>
          <t>Revenue</t>
        </is>
      </c>
      <c r="C211" s="1394" t="n">
        <v>250</v>
      </c>
      <c r="D211" s="1394">
        <f>C211*D209</f>
        <v/>
      </c>
      <c r="E211" s="1394">
        <f>C211*E209</f>
        <v/>
      </c>
      <c r="F211" s="1467">
        <f>C211*F209</f>
        <v/>
      </c>
      <c r="G211" s="1467">
        <f>C211*G209</f>
        <v/>
      </c>
    </row>
    <row r="212">
      <c r="B212" s="1260" t="inlineStr">
        <is>
          <t>Discount Risk</t>
        </is>
      </c>
      <c r="C212" s="64" t="n">
        <v>0.25</v>
      </c>
      <c r="D212" s="1394">
        <f>D211*C212</f>
        <v/>
      </c>
      <c r="E212" s="1394">
        <f>E211*C212</f>
        <v/>
      </c>
      <c r="F212" s="1467">
        <f>F211*C212</f>
        <v/>
      </c>
      <c r="G212" s="1467">
        <f>G211*C212</f>
        <v/>
      </c>
    </row>
    <row r="213" ht="13.15" customHeight="1" s="1232">
      <c r="B213" s="1268" t="inlineStr">
        <is>
          <t>Net Revenue</t>
        </is>
      </c>
      <c r="C213" s="1472" t="n"/>
      <c r="D213" s="1473">
        <f>D211-D212</f>
        <v/>
      </c>
      <c r="E213" s="1473">
        <f>E211-E212</f>
        <v/>
      </c>
      <c r="F213" s="1473">
        <f>F211-F212</f>
        <v/>
      </c>
      <c r="G213" s="1473">
        <f>G211-G212</f>
        <v/>
      </c>
    </row>
    <row r="214">
      <c r="F214" s="1394" t="n"/>
      <c r="G214" s="1394" t="n"/>
    </row>
    <row r="215">
      <c r="B215" s="1260" t="inlineStr">
        <is>
          <t>Card Fees</t>
        </is>
      </c>
      <c r="D215" s="1260">
        <f>D213*3.5%</f>
        <v/>
      </c>
      <c r="E215" s="1260">
        <f>E213*3.5%</f>
        <v/>
      </c>
      <c r="F215" s="1260">
        <f>F213*3.5%</f>
        <v/>
      </c>
      <c r="G215" s="1260">
        <f>G213*3.5%</f>
        <v/>
      </c>
    </row>
    <row r="216">
      <c r="F216" s="1394" t="n"/>
      <c r="G216" s="1394" t="n"/>
    </row>
    <row r="217">
      <c r="B217" s="1260" t="inlineStr">
        <is>
          <t>Room Hire</t>
        </is>
      </c>
      <c r="C217" s="1260" t="n">
        <v>33</v>
      </c>
      <c r="D217" s="1260">
        <f>$C217*5</f>
        <v/>
      </c>
      <c r="E217" s="1260">
        <f>$C217*5</f>
        <v/>
      </c>
      <c r="F217" s="1260">
        <f>$C217*5</f>
        <v/>
      </c>
      <c r="G217" s="1260">
        <f>$C217*5</f>
        <v/>
      </c>
    </row>
    <row r="218" ht="13.15" customHeight="1" s="1232">
      <c r="B218" s="1268" t="n"/>
    </row>
    <row r="219">
      <c r="B219" s="1260" t="inlineStr">
        <is>
          <t>Petrol</t>
        </is>
      </c>
      <c r="C219" s="1260" t="n">
        <v>10</v>
      </c>
      <c r="D219" s="1260">
        <f>$C219*5</f>
        <v/>
      </c>
      <c r="E219" s="1260">
        <f>$C219*5</f>
        <v/>
      </c>
      <c r="F219" s="1260">
        <f>$C219*5</f>
        <v/>
      </c>
      <c r="G219" s="1260">
        <f>$C219*5</f>
        <v/>
      </c>
    </row>
    <row r="221">
      <c r="B221" s="1260" t="inlineStr">
        <is>
          <t>Food</t>
        </is>
      </c>
      <c r="C221" s="1260" t="n">
        <v>2</v>
      </c>
      <c r="D221" s="1260">
        <f>$C221*5</f>
        <v/>
      </c>
      <c r="E221" s="1260">
        <f>$C221*5</f>
        <v/>
      </c>
      <c r="F221" s="1260">
        <f>$C221*5</f>
        <v/>
      </c>
      <c r="G221" s="1260">
        <f>$C221*5</f>
        <v/>
      </c>
    </row>
    <row r="223">
      <c r="B223" s="1260" t="inlineStr">
        <is>
          <t>Printing</t>
        </is>
      </c>
      <c r="C223" s="1260" t="n">
        <v>7</v>
      </c>
      <c r="D223" s="1260">
        <f>$C223*D209</f>
        <v/>
      </c>
      <c r="E223" s="1260">
        <f>$C223*E209</f>
        <v/>
      </c>
      <c r="F223" s="1260">
        <f>$C223*F209</f>
        <v/>
      </c>
      <c r="G223" s="1260">
        <f>$C223*G209</f>
        <v/>
      </c>
    </row>
    <row r="225">
      <c r="B225" s="1260" t="inlineStr">
        <is>
          <t>Admin Cost</t>
        </is>
      </c>
      <c r="C225" s="1260">
        <f>$T$115</f>
        <v/>
      </c>
      <c r="D225" s="1260">
        <f>$C$74</f>
        <v/>
      </c>
      <c r="E225" s="1260">
        <f>$C$74</f>
        <v/>
      </c>
      <c r="F225" s="1260">
        <f>$C$74</f>
        <v/>
      </c>
      <c r="G225" s="1260">
        <f>$C$74</f>
        <v/>
      </c>
    </row>
    <row r="227" ht="13.15" customHeight="1" s="1232">
      <c r="B227" s="1268" t="inlineStr">
        <is>
          <t>Costs</t>
        </is>
      </c>
      <c r="D227" s="1268">
        <f>SUM(D215:D226)</f>
        <v/>
      </c>
      <c r="E227" s="1268">
        <f>SUM(E215:E226)</f>
        <v/>
      </c>
      <c r="F227" s="1268">
        <f>SUM(F215:F226)</f>
        <v/>
      </c>
      <c r="G227" s="1268">
        <f>SUM(G215:G226)</f>
        <v/>
      </c>
    </row>
    <row r="229" ht="13.15" customHeight="1" s="1232">
      <c r="B229" s="1268" t="inlineStr">
        <is>
          <t>Gross Profit</t>
        </is>
      </c>
      <c r="C229" s="1268" t="n"/>
      <c r="D229" s="1473">
        <f>D213-D227</f>
        <v/>
      </c>
      <c r="E229" s="1473">
        <f>E213-E227</f>
        <v/>
      </c>
      <c r="F229" s="1473">
        <f>F213-F227</f>
        <v/>
      </c>
      <c r="G229" s="1473">
        <f>G213-G227</f>
        <v/>
      </c>
    </row>
    <row r="231">
      <c r="C231" s="1394" t="n"/>
      <c r="D231" s="50">
        <f>D229/D213</f>
        <v/>
      </c>
      <c r="E231" s="50">
        <f>E229/E213</f>
        <v/>
      </c>
      <c r="F231" s="50">
        <f>F229/F213</f>
        <v/>
      </c>
      <c r="G231" s="50">
        <f>G229/G213</f>
        <v/>
      </c>
    </row>
    <row r="233">
      <c r="B233" s="1260" t="inlineStr">
        <is>
          <t>Time Hrs</t>
        </is>
      </c>
      <c r="C233" s="1474" t="n">
        <v>2.5</v>
      </c>
      <c r="D233" s="1260">
        <f>($C233*25)*4</f>
        <v/>
      </c>
      <c r="E233" s="1260">
        <f>($C233*25)*4</f>
        <v/>
      </c>
      <c r="F233" s="1260">
        <f>($C233*25)*4</f>
        <v/>
      </c>
      <c r="G233" s="1260">
        <f>($C233*25)*4</f>
        <v/>
      </c>
    </row>
    <row r="234" ht="13.15" customHeight="1" s="1232">
      <c r="B234" s="1268" t="n"/>
      <c r="C234" s="1268" t="n"/>
      <c r="D234" s="1268" t="n"/>
      <c r="E234" s="1268" t="n"/>
    </row>
    <row r="236">
      <c r="B236" s="1260" t="inlineStr">
        <is>
          <t>Profit</t>
        </is>
      </c>
      <c r="D236" s="1260">
        <f>D229-D233</f>
        <v/>
      </c>
      <c r="E236" s="1260">
        <f>E229-E233</f>
        <v/>
      </c>
      <c r="F236" s="1260">
        <f>F229-F233</f>
        <v/>
      </c>
      <c r="G236" s="1260">
        <f>G229-G233</f>
        <v/>
      </c>
    </row>
    <row r="237">
      <c r="D237" s="50">
        <f>D236/D213</f>
        <v/>
      </c>
      <c r="E237" s="50">
        <f>E236/E213</f>
        <v/>
      </c>
      <c r="F237" s="50">
        <f>F236/F213</f>
        <v/>
      </c>
      <c r="G237" s="50">
        <f>G236/G213</f>
        <v/>
      </c>
    </row>
    <row r="240" ht="13.15" customHeight="1" s="1232">
      <c r="B240" s="1268" t="inlineStr">
        <is>
          <t>4 wk Course Intermediates</t>
        </is>
      </c>
      <c r="C240" s="1394" t="n"/>
      <c r="D240" s="51" t="n">
        <v>4</v>
      </c>
      <c r="E240" s="51" t="n">
        <v>6</v>
      </c>
      <c r="F240" s="51" t="n">
        <v>8</v>
      </c>
      <c r="G240" s="51" t="n">
        <v>10</v>
      </c>
    </row>
    <row r="242">
      <c r="B242" s="1260" t="inlineStr">
        <is>
          <t>Revenue</t>
        </is>
      </c>
      <c r="C242" s="1394" t="n">
        <v>275</v>
      </c>
      <c r="D242" s="1394">
        <f>C242*D240</f>
        <v/>
      </c>
      <c r="E242" s="1394">
        <f>C242*E240</f>
        <v/>
      </c>
      <c r="F242" s="1467">
        <f>C242*F240</f>
        <v/>
      </c>
      <c r="G242" s="1467">
        <f>C242*G240</f>
        <v/>
      </c>
    </row>
    <row r="243">
      <c r="B243" s="1260" t="inlineStr">
        <is>
          <t>Discount Risk</t>
        </is>
      </c>
      <c r="C243" s="64" t="n">
        <v>0.25</v>
      </c>
      <c r="D243" s="1394">
        <f>D242*C243</f>
        <v/>
      </c>
      <c r="E243" s="1394">
        <f>E242*C243</f>
        <v/>
      </c>
      <c r="F243" s="1467">
        <f>F242*C243</f>
        <v/>
      </c>
      <c r="G243" s="1467">
        <f>G242*C243</f>
        <v/>
      </c>
    </row>
    <row r="244" ht="13.15" customHeight="1" s="1232">
      <c r="B244" s="1268" t="inlineStr">
        <is>
          <t>Net Revenue</t>
        </is>
      </c>
      <c r="C244" s="1472" t="n"/>
      <c r="D244" s="1473">
        <f>D242-D243</f>
        <v/>
      </c>
      <c r="E244" s="1473">
        <f>E242-E243</f>
        <v/>
      </c>
      <c r="F244" s="1473">
        <f>F242-F243</f>
        <v/>
      </c>
      <c r="G244" s="1473">
        <f>G242-G243</f>
        <v/>
      </c>
    </row>
    <row r="245">
      <c r="F245" s="1394" t="n"/>
      <c r="G245" s="1394" t="n"/>
    </row>
    <row r="246">
      <c r="B246" s="1260" t="inlineStr">
        <is>
          <t>Card Fees</t>
        </is>
      </c>
      <c r="D246" s="1260">
        <f>D244*3.5%</f>
        <v/>
      </c>
      <c r="E246" s="1260">
        <f>E244*3.5%</f>
        <v/>
      </c>
      <c r="F246" s="1260">
        <f>F244*3.5%</f>
        <v/>
      </c>
      <c r="G246" s="1260">
        <f>G244*3.5%</f>
        <v/>
      </c>
    </row>
    <row r="247">
      <c r="F247" s="1394" t="n"/>
      <c r="G247" s="1394" t="n"/>
    </row>
    <row r="248">
      <c r="B248" s="1260" t="inlineStr">
        <is>
          <t>Room Hire</t>
        </is>
      </c>
      <c r="C248" s="1260" t="n">
        <v>33</v>
      </c>
      <c r="D248" s="1260">
        <f>$C248*4</f>
        <v/>
      </c>
      <c r="E248" s="1260">
        <f>$C248*4</f>
        <v/>
      </c>
      <c r="F248" s="1260">
        <f>$C248*4</f>
        <v/>
      </c>
      <c r="G248" s="1260">
        <f>$C248*4</f>
        <v/>
      </c>
    </row>
    <row r="249" ht="13.15" customHeight="1" s="1232">
      <c r="B249" s="1268" t="n"/>
    </row>
    <row r="250">
      <c r="B250" s="1260" t="inlineStr">
        <is>
          <t>Petrol</t>
        </is>
      </c>
      <c r="C250" s="1260" t="n">
        <v>10</v>
      </c>
      <c r="D250" s="1260">
        <f>$C250*4</f>
        <v/>
      </c>
      <c r="E250" s="1260">
        <f>$C250*4</f>
        <v/>
      </c>
      <c r="F250" s="1260">
        <f>$C250*4</f>
        <v/>
      </c>
      <c r="G250" s="1260">
        <f>$C250*4</f>
        <v/>
      </c>
    </row>
    <row r="252">
      <c r="B252" s="1260" t="inlineStr">
        <is>
          <t>Food</t>
        </is>
      </c>
      <c r="C252" s="1260" t="n">
        <v>2</v>
      </c>
      <c r="D252" s="1260">
        <f>$C252*4</f>
        <v/>
      </c>
      <c r="E252" s="1260">
        <f>$C252*4</f>
        <v/>
      </c>
      <c r="F252" s="1260">
        <f>$C252*4</f>
        <v/>
      </c>
      <c r="G252" s="1260">
        <f>$C252*4</f>
        <v/>
      </c>
    </row>
    <row r="254">
      <c r="B254" s="1260" t="inlineStr">
        <is>
          <t>Printing</t>
        </is>
      </c>
      <c r="C254" s="1260" t="n">
        <v>7</v>
      </c>
      <c r="D254" s="1260">
        <f>$C254*D240</f>
        <v/>
      </c>
      <c r="E254" s="1260">
        <f>$C254*E240</f>
        <v/>
      </c>
      <c r="F254" s="1260">
        <f>$C254*F240</f>
        <v/>
      </c>
      <c r="G254" s="1260">
        <f>$C254*G240</f>
        <v/>
      </c>
    </row>
    <row r="256">
      <c r="B256" s="1260" t="inlineStr">
        <is>
          <t>Admin Cost</t>
        </is>
      </c>
      <c r="C256" s="1260">
        <f>$T$115</f>
        <v/>
      </c>
      <c r="D256" s="1260">
        <f>$C$74</f>
        <v/>
      </c>
      <c r="E256" s="1260">
        <f>$C$74</f>
        <v/>
      </c>
      <c r="F256" s="1260">
        <f>$C$74</f>
        <v/>
      </c>
      <c r="G256" s="1260">
        <f>$C$74</f>
        <v/>
      </c>
    </row>
    <row r="258" ht="13.15" customHeight="1" s="1232">
      <c r="B258" s="1260" t="inlineStr">
        <is>
          <t>Costs</t>
        </is>
      </c>
      <c r="D258" s="1268">
        <f>SUM(D246:D257)</f>
        <v/>
      </c>
      <c r="E258" s="1268">
        <f>SUM(E246:E257)</f>
        <v/>
      </c>
      <c r="F258" s="1268">
        <f>SUM(F246:F257)</f>
        <v/>
      </c>
      <c r="G258" s="1268">
        <f>SUM(G246:G257)</f>
        <v/>
      </c>
    </row>
    <row r="260" ht="13.15" customHeight="1" s="1232">
      <c r="B260" s="1268" t="inlineStr">
        <is>
          <t>Gross Profit</t>
        </is>
      </c>
      <c r="C260" s="1268" t="n"/>
      <c r="D260" s="1473">
        <f>D244-D258</f>
        <v/>
      </c>
      <c r="E260" s="1473">
        <f>E244-E258</f>
        <v/>
      </c>
      <c r="F260" s="1473">
        <f>F244-F258</f>
        <v/>
      </c>
      <c r="G260" s="1473">
        <f>G244-G258</f>
        <v/>
      </c>
    </row>
    <row r="262">
      <c r="C262" s="1394" t="n"/>
      <c r="D262" s="50">
        <f>D260/D244</f>
        <v/>
      </c>
      <c r="E262" s="50">
        <f>E260/E244</f>
        <v/>
      </c>
      <c r="F262" s="50">
        <f>F260/F244</f>
        <v/>
      </c>
      <c r="G262" s="50">
        <f>G260/G244</f>
        <v/>
      </c>
    </row>
    <row r="264">
      <c r="B264" s="1260" t="inlineStr">
        <is>
          <t>Time Hrs</t>
        </is>
      </c>
      <c r="C264" s="1474" t="n">
        <v>2.5</v>
      </c>
      <c r="D264" s="1260">
        <f>($C264*25)*4</f>
        <v/>
      </c>
      <c r="E264" s="1260">
        <f>($C264*25)*4</f>
        <v/>
      </c>
      <c r="F264" s="1260">
        <f>($C264*25)*4</f>
        <v/>
      </c>
      <c r="G264" s="1260">
        <f>($C264*25)*4</f>
        <v/>
      </c>
    </row>
    <row r="265" ht="13.15" customHeight="1" s="1232">
      <c r="B265" s="1268" t="n"/>
      <c r="C265" s="1268" t="n"/>
      <c r="D265" s="1268" t="n"/>
      <c r="E265" s="1268" t="n"/>
    </row>
    <row r="267">
      <c r="B267" s="1260" t="inlineStr">
        <is>
          <t>Profit</t>
        </is>
      </c>
      <c r="D267" s="1260">
        <f>D260-D264</f>
        <v/>
      </c>
      <c r="E267" s="1260">
        <f>E260-E264</f>
        <v/>
      </c>
      <c r="F267" s="1260">
        <f>F260-F264</f>
        <v/>
      </c>
      <c r="G267" s="1260">
        <f>G260-G264</f>
        <v/>
      </c>
    </row>
    <row r="268">
      <c r="D268" s="50">
        <f>D267/D244</f>
        <v/>
      </c>
      <c r="E268" s="50">
        <f>E267/E244</f>
        <v/>
      </c>
      <c r="F268" s="50">
        <f>F267/F244</f>
        <v/>
      </c>
      <c r="G268" s="50">
        <f>G267/G244</f>
        <v/>
      </c>
    </row>
    <row r="273" ht="13.15" customHeight="1" s="1232">
      <c r="B273" s="1268" t="inlineStr">
        <is>
          <t>3 Day Workshop</t>
        </is>
      </c>
      <c r="C273" s="1394" t="n"/>
      <c r="D273" s="51" t="n">
        <v>1</v>
      </c>
      <c r="E273" s="51" t="n">
        <v>2</v>
      </c>
      <c r="F273" s="51" t="n">
        <v>3</v>
      </c>
      <c r="G273" s="51" t="n">
        <v>4</v>
      </c>
    </row>
    <row r="274" ht="13.15" customHeight="1" s="1232">
      <c r="B274" s="1268" t="inlineStr">
        <is>
          <t>Suffolk</t>
        </is>
      </c>
      <c r="C274" s="1268" t="n"/>
      <c r="D274" s="1268" t="n"/>
      <c r="E274" s="1268" t="n"/>
      <c r="F274" s="1268" t="n"/>
      <c r="G274" s="1268" t="n"/>
    </row>
    <row r="275">
      <c r="B275" s="1260" t="inlineStr">
        <is>
          <t>Revenue</t>
        </is>
      </c>
      <c r="C275" s="1394" t="n">
        <v>725</v>
      </c>
      <c r="D275" s="1394">
        <f>C275*D273</f>
        <v/>
      </c>
      <c r="E275" s="1394">
        <f>C275*E273</f>
        <v/>
      </c>
      <c r="F275" s="1467">
        <f>C275*F273</f>
        <v/>
      </c>
      <c r="G275" s="1467">
        <f>C275*G273</f>
        <v/>
      </c>
    </row>
    <row r="276">
      <c r="B276" s="1260" t="inlineStr">
        <is>
          <t>Discount Risk</t>
        </is>
      </c>
      <c r="C276" s="64" t="n">
        <v>0</v>
      </c>
      <c r="D276" s="1467">
        <f>D275*$C276</f>
        <v/>
      </c>
      <c r="E276" s="1467">
        <f>E275*$C276</f>
        <v/>
      </c>
      <c r="F276" s="1467">
        <f>F275*$C276</f>
        <v/>
      </c>
      <c r="G276" s="1467">
        <f>G275*$C276</f>
        <v/>
      </c>
    </row>
    <row r="277" ht="13.15" customHeight="1" s="1232">
      <c r="B277" s="1268" t="inlineStr">
        <is>
          <t>Net Revenue</t>
        </is>
      </c>
      <c r="C277" s="1472" t="n"/>
      <c r="D277" s="1473">
        <f>D275-D276</f>
        <v/>
      </c>
      <c r="E277" s="1473">
        <f>E275-E276</f>
        <v/>
      </c>
      <c r="F277" s="1473">
        <f>F275-F276</f>
        <v/>
      </c>
      <c r="G277" s="1473">
        <f>G275-G276</f>
        <v/>
      </c>
    </row>
    <row r="278">
      <c r="F278" s="1394" t="n"/>
      <c r="G278" s="1394" t="n"/>
    </row>
    <row r="279">
      <c r="B279" s="1260" t="inlineStr">
        <is>
          <t>Card Fees</t>
        </is>
      </c>
      <c r="C279" s="64" t="n">
        <v>0.02</v>
      </c>
      <c r="D279" s="1260">
        <f>D277*$C279</f>
        <v/>
      </c>
      <c r="E279" s="1260">
        <f>E277*$C279</f>
        <v/>
      </c>
      <c r="F279" s="1260">
        <f>F277*$C279</f>
        <v/>
      </c>
      <c r="G279" s="1260">
        <f>G277*$C279</f>
        <v/>
      </c>
    </row>
    <row r="280">
      <c r="F280" s="1394" t="n"/>
      <c r="G280" s="1394" t="n"/>
    </row>
    <row r="281">
      <c r="B281" s="1260" t="inlineStr">
        <is>
          <t>B&amp;B</t>
        </is>
      </c>
      <c r="C281" s="1260" t="n">
        <v>95</v>
      </c>
      <c r="D281" s="1260">
        <f>SUM($C281*D273+$C281)*2</f>
        <v/>
      </c>
      <c r="E281" s="1260">
        <f>SUM($C281*E273+75)*2</f>
        <v/>
      </c>
      <c r="F281" s="1260">
        <f>SUM($C281*F273+75)*2</f>
        <v/>
      </c>
      <c r="G281" s="1260">
        <f>SUM($C281*G273+75)*2</f>
        <v/>
      </c>
    </row>
    <row r="282" ht="13.15" customHeight="1" s="1232">
      <c r="B282" s="1268" t="n"/>
    </row>
    <row r="283">
      <c r="B283" s="1260" t="inlineStr">
        <is>
          <t>Petrol</t>
        </is>
      </c>
      <c r="C283" s="1260" t="n">
        <v>100</v>
      </c>
      <c r="D283" s="1260">
        <f>C283</f>
        <v/>
      </c>
      <c r="E283" s="1260">
        <f>C283</f>
        <v/>
      </c>
      <c r="F283" s="1260">
        <f>C283</f>
        <v/>
      </c>
      <c r="G283" s="1260">
        <f>C283</f>
        <v/>
      </c>
    </row>
    <row r="285">
      <c r="B285" s="1260" t="inlineStr">
        <is>
          <t>Food</t>
        </is>
      </c>
      <c r="C285" s="1260" t="n">
        <v>30</v>
      </c>
      <c r="D285" s="1260">
        <f>C285*3</f>
        <v/>
      </c>
      <c r="E285" s="1260">
        <f>C285*3</f>
        <v/>
      </c>
      <c r="F285" s="1260">
        <f>C285*3</f>
        <v/>
      </c>
      <c r="G285" s="1260">
        <f>C285*3</f>
        <v/>
      </c>
    </row>
    <row r="287">
      <c r="B287" s="1260" t="inlineStr">
        <is>
          <t>Admin</t>
        </is>
      </c>
      <c r="C287" s="1260">
        <f>$T$115</f>
        <v/>
      </c>
      <c r="D287" s="1260">
        <f>C287</f>
        <v/>
      </c>
      <c r="E287" s="1260">
        <f>C287</f>
        <v/>
      </c>
      <c r="F287" s="1260">
        <f>C287</f>
        <v/>
      </c>
      <c r="G287" s="1260">
        <f>C287</f>
        <v/>
      </c>
    </row>
    <row r="289" ht="13.15" customHeight="1" s="1232">
      <c r="B289" s="1260" t="inlineStr">
        <is>
          <t>Costs</t>
        </is>
      </c>
      <c r="D289" s="1268">
        <f>SUM(D279:D288)</f>
        <v/>
      </c>
      <c r="E289" s="1268">
        <f>SUM(E279:E288)</f>
        <v/>
      </c>
      <c r="F289" s="1268">
        <f>SUM(F279:F288)</f>
        <v/>
      </c>
      <c r="G289" s="1268">
        <f>SUM(G279:G288)</f>
        <v/>
      </c>
    </row>
    <row r="291" ht="13.15" customHeight="1" s="1232">
      <c r="B291" s="1268" t="inlineStr">
        <is>
          <t>Net</t>
        </is>
      </c>
      <c r="C291" s="1268" t="n"/>
      <c r="D291" s="1473">
        <f>D277-D289</f>
        <v/>
      </c>
      <c r="E291" s="1473">
        <f>E277-E289</f>
        <v/>
      </c>
      <c r="F291" s="1473">
        <f>F277-F289</f>
        <v/>
      </c>
      <c r="G291" s="1473">
        <f>G277-G289</f>
        <v/>
      </c>
    </row>
    <row r="293">
      <c r="C293" s="1394" t="n"/>
      <c r="D293" s="50">
        <f>D291/D277</f>
        <v/>
      </c>
      <c r="E293" s="50">
        <f>E291/E277</f>
        <v/>
      </c>
      <c r="F293" s="50">
        <f>F291/F277</f>
        <v/>
      </c>
      <c r="G293" s="50">
        <f>G291/G277</f>
        <v/>
      </c>
    </row>
    <row r="295">
      <c r="B295" s="1260" t="inlineStr">
        <is>
          <t>Time Hrs</t>
        </is>
      </c>
      <c r="C295" s="1474" t="n">
        <v>20</v>
      </c>
      <c r="D295" s="1260">
        <f>C295*25</f>
        <v/>
      </c>
      <c r="E295" s="1260">
        <f>C295*25</f>
        <v/>
      </c>
      <c r="F295" s="1260">
        <f>C295*25</f>
        <v/>
      </c>
      <c r="G295" s="1260">
        <f>C295*25</f>
        <v/>
      </c>
    </row>
    <row r="296" ht="13.15" customHeight="1" s="1232">
      <c r="B296" s="1268" t="n"/>
      <c r="C296" s="1268" t="n"/>
      <c r="D296" s="1268" t="n"/>
      <c r="E296" s="1268" t="n"/>
    </row>
    <row r="298">
      <c r="B298" s="1260" t="inlineStr">
        <is>
          <t>Profit</t>
        </is>
      </c>
      <c r="D298" s="1260">
        <f>D291-D295</f>
        <v/>
      </c>
      <c r="E298" s="1260">
        <f>E291-E295</f>
        <v/>
      </c>
      <c r="F298" s="1260">
        <f>F291-F295</f>
        <v/>
      </c>
      <c r="G298" s="1260">
        <f>G291-G295</f>
        <v/>
      </c>
    </row>
    <row r="299" ht="13.15" customHeight="1" s="1232">
      <c r="B299" s="1268" t="n"/>
      <c r="D299" s="50">
        <f>D298/D277</f>
        <v/>
      </c>
      <c r="E299" s="50">
        <f>E298/E277</f>
        <v/>
      </c>
      <c r="F299" s="50">
        <f>F298/F277</f>
        <v/>
      </c>
      <c r="G299" s="50">
        <f>G298/G277</f>
        <v/>
      </c>
    </row>
  </sheetData>
  <conditionalFormatting sqref="F12:F14 F16 O13">
    <cfRule type="cellIs" priority="464" operator="lessThan" dxfId="1">
      <formula>0</formula>
    </cfRule>
  </conditionalFormatting>
  <conditionalFormatting sqref="F14 F16">
    <cfRule type="cellIs" priority="463" operator="greaterThan" dxfId="0">
      <formula>0</formula>
    </cfRule>
  </conditionalFormatting>
  <conditionalFormatting sqref="H12:H16">
    <cfRule type="cellIs" priority="462" operator="lessThan" dxfId="1">
      <formula>0</formula>
    </cfRule>
  </conditionalFormatting>
  <conditionalFormatting sqref="H14:H17">
    <cfRule type="cellIs" priority="461" operator="greaterThan" dxfId="0">
      <formula>0</formula>
    </cfRule>
  </conditionalFormatting>
  <conditionalFormatting sqref="E28:F28">
    <cfRule type="cellIs" priority="459" operator="lessThan" dxfId="1">
      <formula>0</formula>
    </cfRule>
    <cfRule type="cellIs" priority="460" operator="greaterThan" dxfId="0">
      <formula>0</formula>
    </cfRule>
  </conditionalFormatting>
  <conditionalFormatting sqref="F41:F43 F45">
    <cfRule type="cellIs" priority="458" operator="lessThan" dxfId="1">
      <formula>0</formula>
    </cfRule>
  </conditionalFormatting>
  <conditionalFormatting sqref="F43 F45">
    <cfRule type="cellIs" priority="457" operator="greaterThan" dxfId="0">
      <formula>0</formula>
    </cfRule>
  </conditionalFormatting>
  <conditionalFormatting sqref="E57:F57">
    <cfRule type="cellIs" priority="455" operator="lessThan" dxfId="1">
      <formula>0</formula>
    </cfRule>
    <cfRule type="cellIs" priority="456" operator="greaterThan" dxfId="0">
      <formula>0</formula>
    </cfRule>
  </conditionalFormatting>
  <conditionalFormatting sqref="F69:F71 F73">
    <cfRule type="cellIs" priority="454" operator="lessThan" dxfId="1">
      <formula>0</formula>
    </cfRule>
  </conditionalFormatting>
  <conditionalFormatting sqref="F71 F73">
    <cfRule type="cellIs" priority="453" operator="greaterThan" dxfId="0">
      <formula>0</formula>
    </cfRule>
  </conditionalFormatting>
  <conditionalFormatting sqref="E85:F85">
    <cfRule type="cellIs" priority="451" operator="lessThan" dxfId="1">
      <formula>0</formula>
    </cfRule>
    <cfRule type="cellIs" priority="452" operator="greaterThan" dxfId="0">
      <formula>0</formula>
    </cfRule>
  </conditionalFormatting>
  <conditionalFormatting sqref="F97:F99 F101">
    <cfRule type="cellIs" priority="450" operator="lessThan" dxfId="1">
      <formula>0</formula>
    </cfRule>
  </conditionalFormatting>
  <conditionalFormatting sqref="F99 F101">
    <cfRule type="cellIs" priority="449" operator="greaterThan" dxfId="0">
      <formula>0</formula>
    </cfRule>
  </conditionalFormatting>
  <conditionalFormatting sqref="E113:F113">
    <cfRule type="cellIs" priority="447" operator="lessThan" dxfId="1">
      <formula>0</formula>
    </cfRule>
    <cfRule type="cellIs" priority="448" operator="greaterThan" dxfId="0">
      <formula>0</formula>
    </cfRule>
  </conditionalFormatting>
  <conditionalFormatting sqref="F126:F128 F130">
    <cfRule type="cellIs" priority="446" operator="lessThan" dxfId="1">
      <formula>0</formula>
    </cfRule>
  </conditionalFormatting>
  <conditionalFormatting sqref="F128 F130">
    <cfRule type="cellIs" priority="445" operator="greaterThan" dxfId="0">
      <formula>0</formula>
    </cfRule>
  </conditionalFormatting>
  <conditionalFormatting sqref="E142:F142">
    <cfRule type="cellIs" priority="443" operator="lessThan" dxfId="1">
      <formula>0</formula>
    </cfRule>
    <cfRule type="cellIs" priority="444" operator="greaterThan" dxfId="0">
      <formula>0</formula>
    </cfRule>
  </conditionalFormatting>
  <conditionalFormatting sqref="E114:F114">
    <cfRule type="cellIs" priority="439" operator="greaterThan" dxfId="0">
      <formula>0.25</formula>
    </cfRule>
    <cfRule type="cellIs" priority="440" operator="lessThan" dxfId="1">
      <formula>0</formula>
    </cfRule>
    <cfRule type="cellIs" priority="441" operator="between" dxfId="381">
      <formula>0.01</formula>
      <formula>0.24</formula>
    </cfRule>
    <cfRule type="cellIs" priority="442" operator="greaterThan" dxfId="0">
      <formula>25</formula>
    </cfRule>
  </conditionalFormatting>
  <conditionalFormatting sqref="E143:F143">
    <cfRule type="cellIs" priority="435" operator="greaterThan" dxfId="0">
      <formula>0.25</formula>
    </cfRule>
    <cfRule type="cellIs" priority="436" operator="lessThan" dxfId="1">
      <formula>0</formula>
    </cfRule>
    <cfRule type="cellIs" priority="437" operator="between" dxfId="381">
      <formula>0.01</formula>
      <formula>0.24</formula>
    </cfRule>
    <cfRule type="cellIs" priority="438" operator="greaterThan" dxfId="0">
      <formula>25</formula>
    </cfRule>
  </conditionalFormatting>
  <conditionalFormatting sqref="E86:F86">
    <cfRule type="cellIs" priority="431" operator="greaterThan" dxfId="0">
      <formula>0.25</formula>
    </cfRule>
    <cfRule type="cellIs" priority="432" operator="lessThan" dxfId="1">
      <formula>0</formula>
    </cfRule>
    <cfRule type="cellIs" priority="433" operator="between" dxfId="381">
      <formula>0.01</formula>
      <formula>0.24</formula>
    </cfRule>
    <cfRule type="cellIs" priority="434" operator="greaterThan" dxfId="0">
      <formula>25</formula>
    </cfRule>
  </conditionalFormatting>
  <conditionalFormatting sqref="E58:F58">
    <cfRule type="cellIs" priority="427" operator="greaterThan" dxfId="0">
      <formula>0.25</formula>
    </cfRule>
    <cfRule type="cellIs" priority="428" operator="lessThan" dxfId="1">
      <formula>0</formula>
    </cfRule>
    <cfRule type="cellIs" priority="429" operator="between" dxfId="381">
      <formula>0.01</formula>
      <formula>0.24</formula>
    </cfRule>
    <cfRule type="cellIs" priority="430" operator="greaterThan" dxfId="0">
      <formula>25</formula>
    </cfRule>
  </conditionalFormatting>
  <conditionalFormatting sqref="E29:F29">
    <cfRule type="cellIs" priority="423" operator="greaterThan" dxfId="0">
      <formula>0.25</formula>
    </cfRule>
    <cfRule type="cellIs" priority="424" operator="lessThan" dxfId="1">
      <formula>0</formula>
    </cfRule>
    <cfRule type="cellIs" priority="425" operator="between" dxfId="381">
      <formula>0.01</formula>
      <formula>0.24</formula>
    </cfRule>
    <cfRule type="cellIs" priority="426" operator="greaterThan" dxfId="0">
      <formula>25</formula>
    </cfRule>
  </conditionalFormatting>
  <conditionalFormatting sqref="G12:G14 G16">
    <cfRule type="cellIs" priority="422" operator="lessThan" dxfId="1">
      <formula>0</formula>
    </cfRule>
  </conditionalFormatting>
  <conditionalFormatting sqref="G14 G16">
    <cfRule type="cellIs" priority="421" operator="greaterThan" dxfId="0">
      <formula>0</formula>
    </cfRule>
  </conditionalFormatting>
  <conditionalFormatting sqref="G28">
    <cfRule type="cellIs" priority="419" operator="lessThan" dxfId="1">
      <formula>0</formula>
    </cfRule>
    <cfRule type="cellIs" priority="420" operator="greaterThan" dxfId="0">
      <formula>0</formula>
    </cfRule>
  </conditionalFormatting>
  <conditionalFormatting sqref="G41:G43 G45">
    <cfRule type="cellIs" priority="418" operator="lessThan" dxfId="1">
      <formula>0</formula>
    </cfRule>
  </conditionalFormatting>
  <conditionalFormatting sqref="G43 G45">
    <cfRule type="cellIs" priority="417" operator="greaterThan" dxfId="0">
      <formula>0</formula>
    </cfRule>
  </conditionalFormatting>
  <conditionalFormatting sqref="G57">
    <cfRule type="cellIs" priority="415" operator="lessThan" dxfId="1">
      <formula>0</formula>
    </cfRule>
    <cfRule type="cellIs" priority="416" operator="greaterThan" dxfId="0">
      <formula>0</formula>
    </cfRule>
  </conditionalFormatting>
  <conditionalFormatting sqref="G69:G71 G73">
    <cfRule type="cellIs" priority="414" operator="lessThan" dxfId="1">
      <formula>0</formula>
    </cfRule>
  </conditionalFormatting>
  <conditionalFormatting sqref="G71 G73">
    <cfRule type="cellIs" priority="413" operator="greaterThan" dxfId="0">
      <formula>0</formula>
    </cfRule>
  </conditionalFormatting>
  <conditionalFormatting sqref="G85">
    <cfRule type="cellIs" priority="411" operator="lessThan" dxfId="1">
      <formula>0</formula>
    </cfRule>
    <cfRule type="cellIs" priority="412" operator="greaterThan" dxfId="0">
      <formula>0</formula>
    </cfRule>
  </conditionalFormatting>
  <conditionalFormatting sqref="G97:G99 G101">
    <cfRule type="cellIs" priority="410" operator="lessThan" dxfId="1">
      <formula>0</formula>
    </cfRule>
  </conditionalFormatting>
  <conditionalFormatting sqref="G99 G101">
    <cfRule type="cellIs" priority="409" operator="greaterThan" dxfId="0">
      <formula>0</formula>
    </cfRule>
  </conditionalFormatting>
  <conditionalFormatting sqref="G113">
    <cfRule type="cellIs" priority="407" operator="lessThan" dxfId="1">
      <formula>0</formula>
    </cfRule>
    <cfRule type="cellIs" priority="408" operator="greaterThan" dxfId="0">
      <formula>0</formula>
    </cfRule>
  </conditionalFormatting>
  <conditionalFormatting sqref="G126:G128 G130">
    <cfRule type="cellIs" priority="406" operator="lessThan" dxfId="1">
      <formula>0</formula>
    </cfRule>
  </conditionalFormatting>
  <conditionalFormatting sqref="G128 G130">
    <cfRule type="cellIs" priority="405" operator="greaterThan" dxfId="0">
      <formula>0</formula>
    </cfRule>
  </conditionalFormatting>
  <conditionalFormatting sqref="G142">
    <cfRule type="cellIs" priority="403" operator="lessThan" dxfId="1">
      <formula>0</formula>
    </cfRule>
    <cfRule type="cellIs" priority="404" operator="greaterThan" dxfId="0">
      <formula>0</formula>
    </cfRule>
  </conditionalFormatting>
  <conditionalFormatting sqref="G114">
    <cfRule type="cellIs" priority="399" operator="greaterThan" dxfId="0">
      <formula>0.25</formula>
    </cfRule>
    <cfRule type="cellIs" priority="400" operator="lessThan" dxfId="1">
      <formula>0</formula>
    </cfRule>
    <cfRule type="cellIs" priority="401" operator="between" dxfId="381">
      <formula>0.01</formula>
      <formula>0.24</formula>
    </cfRule>
    <cfRule type="cellIs" priority="402" operator="greaterThan" dxfId="0">
      <formula>25</formula>
    </cfRule>
  </conditionalFormatting>
  <conditionalFormatting sqref="G143">
    <cfRule type="cellIs" priority="395" operator="greaterThan" dxfId="0">
      <formula>0.25</formula>
    </cfRule>
    <cfRule type="cellIs" priority="396" operator="lessThan" dxfId="1">
      <formula>0</formula>
    </cfRule>
    <cfRule type="cellIs" priority="397" operator="between" dxfId="381">
      <formula>0.01</formula>
      <formula>0.24</formula>
    </cfRule>
    <cfRule type="cellIs" priority="398" operator="greaterThan" dxfId="0">
      <formula>25</formula>
    </cfRule>
  </conditionalFormatting>
  <conditionalFormatting sqref="G86">
    <cfRule type="cellIs" priority="391" operator="greaterThan" dxfId="0">
      <formula>0.25</formula>
    </cfRule>
    <cfRule type="cellIs" priority="392" operator="lessThan" dxfId="1">
      <formula>0</formula>
    </cfRule>
    <cfRule type="cellIs" priority="393" operator="between" dxfId="381">
      <formula>0.01</formula>
      <formula>0.24</formula>
    </cfRule>
    <cfRule type="cellIs" priority="394" operator="greaterThan" dxfId="0">
      <formula>25</formula>
    </cfRule>
  </conditionalFormatting>
  <conditionalFormatting sqref="G58">
    <cfRule type="cellIs" priority="387" operator="greaterThan" dxfId="0">
      <formula>0.25</formula>
    </cfRule>
    <cfRule type="cellIs" priority="388" operator="lessThan" dxfId="1">
      <formula>0</formula>
    </cfRule>
    <cfRule type="cellIs" priority="389" operator="between" dxfId="381">
      <formula>0.01</formula>
      <formula>0.24</formula>
    </cfRule>
    <cfRule type="cellIs" priority="390" operator="greaterThan" dxfId="0">
      <formula>25</formula>
    </cfRule>
  </conditionalFormatting>
  <conditionalFormatting sqref="G29">
    <cfRule type="cellIs" priority="383" operator="greaterThan" dxfId="0">
      <formula>0.25</formula>
    </cfRule>
    <cfRule type="cellIs" priority="384" operator="lessThan" dxfId="1">
      <formula>0</formula>
    </cfRule>
    <cfRule type="cellIs" priority="385" operator="between" dxfId="381">
      <formula>0.01</formula>
      <formula>0.24</formula>
    </cfRule>
    <cfRule type="cellIs" priority="386" operator="greaterThan" dxfId="0">
      <formula>25</formula>
    </cfRule>
  </conditionalFormatting>
  <conditionalFormatting sqref="D28">
    <cfRule type="cellIs" priority="381" operator="lessThan" dxfId="1">
      <formula>0</formula>
    </cfRule>
    <cfRule type="cellIs" priority="382" operator="greaterThan" dxfId="0">
      <formula>0</formula>
    </cfRule>
  </conditionalFormatting>
  <conditionalFormatting sqref="D29">
    <cfRule type="cellIs" priority="377" operator="greaterThan" dxfId="0">
      <formula>0.25</formula>
    </cfRule>
    <cfRule type="cellIs" priority="378" operator="lessThan" dxfId="1">
      <formula>0</formula>
    </cfRule>
    <cfRule type="cellIs" priority="379" operator="between" dxfId="381">
      <formula>0.01</formula>
      <formula>0.24</formula>
    </cfRule>
    <cfRule type="cellIs" priority="380" operator="greaterThan" dxfId="0">
      <formula>25</formula>
    </cfRule>
  </conditionalFormatting>
  <conditionalFormatting sqref="D57">
    <cfRule type="cellIs" priority="375" operator="lessThan" dxfId="1">
      <formula>0</formula>
    </cfRule>
    <cfRule type="cellIs" priority="376" operator="greaterThan" dxfId="0">
      <formula>0</formula>
    </cfRule>
  </conditionalFormatting>
  <conditionalFormatting sqref="D58">
    <cfRule type="cellIs" priority="371" operator="greaterThan" dxfId="0">
      <formula>0.25</formula>
    </cfRule>
    <cfRule type="cellIs" priority="372" operator="lessThan" dxfId="1">
      <formula>0</formula>
    </cfRule>
    <cfRule type="cellIs" priority="373" operator="between" dxfId="381">
      <formula>0.01</formula>
      <formula>0.24</formula>
    </cfRule>
    <cfRule type="cellIs" priority="374" operator="greaterThan" dxfId="0">
      <formula>25</formula>
    </cfRule>
  </conditionalFormatting>
  <conditionalFormatting sqref="K29">
    <cfRule type="cellIs" priority="255" operator="greaterThan" dxfId="0">
      <formula>0.25</formula>
    </cfRule>
    <cfRule type="cellIs" priority="256" operator="lessThan" dxfId="1">
      <formula>0</formula>
    </cfRule>
    <cfRule type="cellIs" priority="257" operator="between" dxfId="381">
      <formula>0.01</formula>
      <formula>0.24</formula>
    </cfRule>
    <cfRule type="cellIs" priority="258" operator="greaterThan" dxfId="0">
      <formula>25</formula>
    </cfRule>
  </conditionalFormatting>
  <conditionalFormatting sqref="D85">
    <cfRule type="cellIs" priority="369" operator="lessThan" dxfId="1">
      <formula>0</formula>
    </cfRule>
    <cfRule type="cellIs" priority="370" operator="greaterThan" dxfId="0">
      <formula>0</formula>
    </cfRule>
  </conditionalFormatting>
  <conditionalFormatting sqref="D86">
    <cfRule type="cellIs" priority="365" operator="greaterThan" dxfId="0">
      <formula>0.25</formula>
    </cfRule>
    <cfRule type="cellIs" priority="366" operator="lessThan" dxfId="1">
      <formula>0</formula>
    </cfRule>
    <cfRule type="cellIs" priority="367" operator="between" dxfId="381">
      <formula>0.01</formula>
      <formula>0.24</formula>
    </cfRule>
    <cfRule type="cellIs" priority="368" operator="greaterThan" dxfId="0">
      <formula>25</formula>
    </cfRule>
  </conditionalFormatting>
  <conditionalFormatting sqref="D113">
    <cfRule type="cellIs" priority="363" operator="lessThan" dxfId="1">
      <formula>0</formula>
    </cfRule>
    <cfRule type="cellIs" priority="364" operator="greaterThan" dxfId="0">
      <formula>0</formula>
    </cfRule>
  </conditionalFormatting>
  <conditionalFormatting sqref="D114">
    <cfRule type="cellIs" priority="359" operator="greaterThan" dxfId="0">
      <formula>0.25</formula>
    </cfRule>
    <cfRule type="cellIs" priority="360" operator="lessThan" dxfId="1">
      <formula>0</formula>
    </cfRule>
    <cfRule type="cellIs" priority="361" operator="between" dxfId="381">
      <formula>0.01</formula>
      <formula>0.24</formula>
    </cfRule>
    <cfRule type="cellIs" priority="362" operator="greaterThan" dxfId="0">
      <formula>25</formula>
    </cfRule>
  </conditionalFormatting>
  <conditionalFormatting sqref="D142">
    <cfRule type="cellIs" priority="357" operator="lessThan" dxfId="1">
      <formula>0</formula>
    </cfRule>
    <cfRule type="cellIs" priority="358" operator="greaterThan" dxfId="0">
      <formula>0</formula>
    </cfRule>
  </conditionalFormatting>
  <conditionalFormatting sqref="D143">
    <cfRule type="cellIs" priority="353" operator="greaterThan" dxfId="0">
      <formula>0.25</formula>
    </cfRule>
    <cfRule type="cellIs" priority="354" operator="lessThan" dxfId="1">
      <formula>0</formula>
    </cfRule>
    <cfRule type="cellIs" priority="355" operator="between" dxfId="381">
      <formula>0.01</formula>
      <formula>0.24</formula>
    </cfRule>
    <cfRule type="cellIs" priority="356" operator="greaterThan" dxfId="0">
      <formula>25</formula>
    </cfRule>
  </conditionalFormatting>
  <conditionalFormatting sqref="K28">
    <cfRule type="cellIs" priority="259" operator="lessThan" dxfId="1">
      <formula>0</formula>
    </cfRule>
    <cfRule type="cellIs" priority="260" operator="greaterThan" dxfId="0">
      <formula>0</formula>
    </cfRule>
  </conditionalFormatting>
  <conditionalFormatting sqref="M12:N14 M16:N16">
    <cfRule type="cellIs" priority="352" operator="lessThan" dxfId="1">
      <formula>0</formula>
    </cfRule>
  </conditionalFormatting>
  <conditionalFormatting sqref="M14:N14 M16:N16">
    <cfRule type="cellIs" priority="351" operator="greaterThan" dxfId="0">
      <formula>0</formula>
    </cfRule>
  </conditionalFormatting>
  <conditionalFormatting sqref="N28">
    <cfRule type="cellIs" priority="349" operator="lessThan" dxfId="1">
      <formula>0</formula>
    </cfRule>
    <cfRule type="cellIs" priority="350" operator="greaterThan" dxfId="0">
      <formula>0</formula>
    </cfRule>
  </conditionalFormatting>
  <conditionalFormatting sqref="N41:N43 N45">
    <cfRule type="cellIs" priority="348" operator="lessThan" dxfId="1">
      <formula>0</formula>
    </cfRule>
  </conditionalFormatting>
  <conditionalFormatting sqref="N43 N45">
    <cfRule type="cellIs" priority="347" operator="greaterThan" dxfId="0">
      <formula>0</formula>
    </cfRule>
  </conditionalFormatting>
  <conditionalFormatting sqref="N57">
    <cfRule type="cellIs" priority="345" operator="lessThan" dxfId="1">
      <formula>0</formula>
    </cfRule>
    <cfRule type="cellIs" priority="346" operator="greaterThan" dxfId="0">
      <formula>0</formula>
    </cfRule>
  </conditionalFormatting>
  <conditionalFormatting sqref="N69:N71 N73">
    <cfRule type="cellIs" priority="344" operator="lessThan" dxfId="1">
      <formula>0</formula>
    </cfRule>
  </conditionalFormatting>
  <conditionalFormatting sqref="N71 N73">
    <cfRule type="cellIs" priority="343" operator="greaterThan" dxfId="0">
      <formula>0</formula>
    </cfRule>
  </conditionalFormatting>
  <conditionalFormatting sqref="N85">
    <cfRule type="cellIs" priority="341" operator="lessThan" dxfId="1">
      <formula>0</formula>
    </cfRule>
    <cfRule type="cellIs" priority="342" operator="greaterThan" dxfId="0">
      <formula>0</formula>
    </cfRule>
  </conditionalFormatting>
  <conditionalFormatting sqref="N99:N101 N103">
    <cfRule type="cellIs" priority="340" operator="lessThan" dxfId="1">
      <formula>0</formula>
    </cfRule>
  </conditionalFormatting>
  <conditionalFormatting sqref="N101 N103">
    <cfRule type="cellIs" priority="339" operator="greaterThan" dxfId="0">
      <formula>0</formula>
    </cfRule>
  </conditionalFormatting>
  <conditionalFormatting sqref="N115">
    <cfRule type="cellIs" priority="337" operator="lessThan" dxfId="1">
      <formula>0</formula>
    </cfRule>
    <cfRule type="cellIs" priority="338" operator="greaterThan" dxfId="0">
      <formula>0</formula>
    </cfRule>
  </conditionalFormatting>
  <conditionalFormatting sqref="M126:N128 M130:N130">
    <cfRule type="cellIs" priority="336" operator="lessThan" dxfId="1">
      <formula>0</formula>
    </cfRule>
  </conditionalFormatting>
  <conditionalFormatting sqref="M128:N128 M130:N130">
    <cfRule type="cellIs" priority="335" operator="greaterThan" dxfId="0">
      <formula>0</formula>
    </cfRule>
  </conditionalFormatting>
  <conditionalFormatting sqref="L142:N142">
    <cfRule type="cellIs" priority="333" operator="lessThan" dxfId="1">
      <formula>0</formula>
    </cfRule>
    <cfRule type="cellIs" priority="334" operator="greaterThan" dxfId="0">
      <formula>0</formula>
    </cfRule>
  </conditionalFormatting>
  <conditionalFormatting sqref="N116">
    <cfRule type="cellIs" priority="329" operator="greaterThan" dxfId="0">
      <formula>0.25</formula>
    </cfRule>
    <cfRule type="cellIs" priority="330" operator="lessThan" dxfId="1">
      <formula>0</formula>
    </cfRule>
    <cfRule type="cellIs" priority="331" operator="between" dxfId="381">
      <formula>0.01</formula>
      <formula>0.24</formula>
    </cfRule>
    <cfRule type="cellIs" priority="332" operator="greaterThan" dxfId="0">
      <formula>25</formula>
    </cfRule>
  </conditionalFormatting>
  <conditionalFormatting sqref="L143:N143">
    <cfRule type="cellIs" priority="325" operator="greaterThan" dxfId="0">
      <formula>0.25</formula>
    </cfRule>
    <cfRule type="cellIs" priority="326" operator="lessThan" dxfId="1">
      <formula>0</formula>
    </cfRule>
    <cfRule type="cellIs" priority="327" operator="between" dxfId="381">
      <formula>0.01</formula>
      <formula>0.24</formula>
    </cfRule>
    <cfRule type="cellIs" priority="328" operator="greaterThan" dxfId="0">
      <formula>25</formula>
    </cfRule>
  </conditionalFormatting>
  <conditionalFormatting sqref="N86">
    <cfRule type="cellIs" priority="321" operator="greaterThan" dxfId="0">
      <formula>0.25</formula>
    </cfRule>
    <cfRule type="cellIs" priority="322" operator="lessThan" dxfId="1">
      <formula>0</formula>
    </cfRule>
    <cfRule type="cellIs" priority="323" operator="between" dxfId="381">
      <formula>0.01</formula>
      <formula>0.24</formula>
    </cfRule>
    <cfRule type="cellIs" priority="324" operator="greaterThan" dxfId="0">
      <formula>25</formula>
    </cfRule>
  </conditionalFormatting>
  <conditionalFormatting sqref="N58">
    <cfRule type="cellIs" priority="317" operator="greaterThan" dxfId="0">
      <formula>0.25</formula>
    </cfRule>
    <cfRule type="cellIs" priority="318" operator="lessThan" dxfId="1">
      <formula>0</formula>
    </cfRule>
    <cfRule type="cellIs" priority="319" operator="between" dxfId="381">
      <formula>0.01</formula>
      <formula>0.24</formula>
    </cfRule>
    <cfRule type="cellIs" priority="320" operator="greaterThan" dxfId="0">
      <formula>25</formula>
    </cfRule>
  </conditionalFormatting>
  <conditionalFormatting sqref="N29">
    <cfRule type="cellIs" priority="313" operator="greaterThan" dxfId="0">
      <formula>0.25</formula>
    </cfRule>
    <cfRule type="cellIs" priority="314" operator="lessThan" dxfId="1">
      <formula>0</formula>
    </cfRule>
    <cfRule type="cellIs" priority="315" operator="between" dxfId="381">
      <formula>0.01</formula>
      <formula>0.24</formula>
    </cfRule>
    <cfRule type="cellIs" priority="316" operator="greaterThan" dxfId="0">
      <formula>25</formula>
    </cfRule>
  </conditionalFormatting>
  <conditionalFormatting sqref="O34">
    <cfRule type="cellIs" priority="309" operator="lessThan" dxfId="1">
      <formula>0</formula>
    </cfRule>
    <cfRule type="cellIs" priority="310" operator="greaterThan" dxfId="0">
      <formula>0</formula>
    </cfRule>
  </conditionalFormatting>
  <conditionalFormatting sqref="O47:O49">
    <cfRule type="cellIs" priority="308" operator="lessThan" dxfId="1">
      <formula>0</formula>
    </cfRule>
  </conditionalFormatting>
  <conditionalFormatting sqref="O49">
    <cfRule type="cellIs" priority="307" operator="greaterThan" dxfId="0">
      <formula>0</formula>
    </cfRule>
  </conditionalFormatting>
  <conditionalFormatting sqref="O73:O74 O77">
    <cfRule type="cellIs" priority="304" operator="lessThan" dxfId="1">
      <formula>0</formula>
    </cfRule>
  </conditionalFormatting>
  <conditionalFormatting sqref="O77">
    <cfRule type="cellIs" priority="303" operator="greaterThan" dxfId="0">
      <formula>0</formula>
    </cfRule>
  </conditionalFormatting>
  <conditionalFormatting sqref="O98:O99 O101">
    <cfRule type="cellIs" priority="300" operator="lessThan" dxfId="1">
      <formula>0</formula>
    </cfRule>
  </conditionalFormatting>
  <conditionalFormatting sqref="O99 O101">
    <cfRule type="cellIs" priority="299" operator="greaterThan" dxfId="0">
      <formula>0</formula>
    </cfRule>
  </conditionalFormatting>
  <conditionalFormatting sqref="O113">
    <cfRule type="cellIs" priority="297" operator="lessThan" dxfId="1">
      <formula>0</formula>
    </cfRule>
    <cfRule type="cellIs" priority="298" operator="greaterThan" dxfId="0">
      <formula>0</formula>
    </cfRule>
  </conditionalFormatting>
  <conditionalFormatting sqref="O126:O128 O130">
    <cfRule type="cellIs" priority="296" operator="lessThan" dxfId="1">
      <formula>0</formula>
    </cfRule>
  </conditionalFormatting>
  <conditionalFormatting sqref="O128 O130">
    <cfRule type="cellIs" priority="295" operator="greaterThan" dxfId="0">
      <formula>0</formula>
    </cfRule>
  </conditionalFormatting>
  <conditionalFormatting sqref="O142">
    <cfRule type="cellIs" priority="293" operator="lessThan" dxfId="1">
      <formula>0</formula>
    </cfRule>
    <cfRule type="cellIs" priority="294" operator="greaterThan" dxfId="0">
      <formula>0</formula>
    </cfRule>
  </conditionalFormatting>
  <conditionalFormatting sqref="O114">
    <cfRule type="cellIs" priority="289" operator="greaterThan" dxfId="0">
      <formula>0.25</formula>
    </cfRule>
    <cfRule type="cellIs" priority="290" operator="lessThan" dxfId="1">
      <formula>0</formula>
    </cfRule>
    <cfRule type="cellIs" priority="291" operator="between" dxfId="381">
      <formula>0.01</formula>
      <formula>0.24</formula>
    </cfRule>
    <cfRule type="cellIs" priority="292" operator="greaterThan" dxfId="0">
      <formula>25</formula>
    </cfRule>
  </conditionalFormatting>
  <conditionalFormatting sqref="O143">
    <cfRule type="cellIs" priority="285" operator="greaterThan" dxfId="0">
      <formula>0.25</formula>
    </cfRule>
    <cfRule type="cellIs" priority="286" operator="lessThan" dxfId="1">
      <formula>0</formula>
    </cfRule>
    <cfRule type="cellIs" priority="287" operator="between" dxfId="381">
      <formula>0.01</formula>
      <formula>0.24</formula>
    </cfRule>
    <cfRule type="cellIs" priority="288" operator="greaterThan" dxfId="0">
      <formula>25</formula>
    </cfRule>
  </conditionalFormatting>
  <conditionalFormatting sqref="O35">
    <cfRule type="cellIs" priority="273" operator="greaterThan" dxfId="0">
      <formula>0.25</formula>
    </cfRule>
    <cfRule type="cellIs" priority="274" operator="lessThan" dxfId="1">
      <formula>0</formula>
    </cfRule>
    <cfRule type="cellIs" priority="275" operator="between" dxfId="381">
      <formula>0.01</formula>
      <formula>0.24</formula>
    </cfRule>
    <cfRule type="cellIs" priority="276" operator="greaterThan" dxfId="0">
      <formula>25</formula>
    </cfRule>
  </conditionalFormatting>
  <conditionalFormatting sqref="K142">
    <cfRule type="cellIs" priority="265" operator="lessThan" dxfId="1">
      <formula>0</formula>
    </cfRule>
    <cfRule type="cellIs" priority="266" operator="greaterThan" dxfId="0">
      <formula>0</formula>
    </cfRule>
  </conditionalFormatting>
  <conditionalFormatting sqref="K143">
    <cfRule type="cellIs" priority="261" operator="greaterThan" dxfId="0">
      <formula>0.25</formula>
    </cfRule>
    <cfRule type="cellIs" priority="262" operator="lessThan" dxfId="1">
      <formula>0</formula>
    </cfRule>
    <cfRule type="cellIs" priority="263" operator="between" dxfId="381">
      <formula>0.01</formula>
      <formula>0.24</formula>
    </cfRule>
    <cfRule type="cellIs" priority="264" operator="greaterThan" dxfId="0">
      <formula>25</formula>
    </cfRule>
  </conditionalFormatting>
  <conditionalFormatting sqref="L29">
    <cfRule type="cellIs" priority="249" operator="greaterThan" dxfId="0">
      <formula>0.25</formula>
    </cfRule>
    <cfRule type="cellIs" priority="250" operator="lessThan" dxfId="1">
      <formula>0</formula>
    </cfRule>
    <cfRule type="cellIs" priority="251" operator="between" dxfId="381">
      <formula>0.01</formula>
      <formula>0.24</formula>
    </cfRule>
    <cfRule type="cellIs" priority="252" operator="greaterThan" dxfId="0">
      <formula>25</formula>
    </cfRule>
  </conditionalFormatting>
  <conditionalFormatting sqref="G206">
    <cfRule type="cellIs" priority="187" operator="greaterThan" dxfId="0">
      <formula>0.25</formula>
    </cfRule>
    <cfRule type="cellIs" priority="188" operator="lessThan" dxfId="1">
      <formula>0</formula>
    </cfRule>
    <cfRule type="cellIs" priority="189" operator="between" dxfId="381">
      <formula>0.01</formula>
      <formula>0.24</formula>
    </cfRule>
    <cfRule type="cellIs" priority="190" operator="greaterThan" dxfId="0">
      <formula>25</formula>
    </cfRule>
  </conditionalFormatting>
  <conditionalFormatting sqref="G205">
    <cfRule type="cellIs" priority="191" operator="lessThan" dxfId="1">
      <formula>0</formula>
    </cfRule>
    <cfRule type="cellIs" priority="192" operator="greaterThan" dxfId="0">
      <formula>0</formula>
    </cfRule>
  </conditionalFormatting>
  <conditionalFormatting sqref="D206">
    <cfRule type="cellIs" priority="181" operator="greaterThan" dxfId="0">
      <formula>0.25</formula>
    </cfRule>
    <cfRule type="cellIs" priority="182" operator="lessThan" dxfId="1">
      <formula>0</formula>
    </cfRule>
    <cfRule type="cellIs" priority="183" operator="between" dxfId="381">
      <formula>0.01</formula>
      <formula>0.24</formula>
    </cfRule>
    <cfRule type="cellIs" priority="184" operator="greaterThan" dxfId="0">
      <formula>25</formula>
    </cfRule>
  </conditionalFormatting>
  <conditionalFormatting sqref="D205">
    <cfRule type="cellIs" priority="185" operator="lessThan" dxfId="1">
      <formula>0</formula>
    </cfRule>
    <cfRule type="cellIs" priority="186" operator="greaterThan" dxfId="0">
      <formula>0</formula>
    </cfRule>
  </conditionalFormatting>
  <conditionalFormatting sqref="F156 F158 F160">
    <cfRule type="cellIs" priority="224" operator="lessThan" dxfId="1">
      <formula>0</formula>
    </cfRule>
  </conditionalFormatting>
  <conditionalFormatting sqref="F158 F160">
    <cfRule type="cellIs" priority="223" operator="greaterThan" dxfId="0">
      <formula>0</formula>
    </cfRule>
  </conditionalFormatting>
  <conditionalFormatting sqref="E174:F174">
    <cfRule type="cellIs" priority="221" operator="lessThan" dxfId="1">
      <formula>0</formula>
    </cfRule>
    <cfRule type="cellIs" priority="222" operator="greaterThan" dxfId="0">
      <formula>0</formula>
    </cfRule>
  </conditionalFormatting>
  <conditionalFormatting sqref="E175:F175">
    <cfRule type="cellIs" priority="217" operator="greaterThan" dxfId="0">
      <formula>0.25</formula>
    </cfRule>
    <cfRule type="cellIs" priority="218" operator="lessThan" dxfId="1">
      <formula>0</formula>
    </cfRule>
    <cfRule type="cellIs" priority="219" operator="between" dxfId="381">
      <formula>0.01</formula>
      <formula>0.24</formula>
    </cfRule>
    <cfRule type="cellIs" priority="220" operator="greaterThan" dxfId="0">
      <formula>25</formula>
    </cfRule>
  </conditionalFormatting>
  <conditionalFormatting sqref="G156 G158 G160">
    <cfRule type="cellIs" priority="216" operator="lessThan" dxfId="1">
      <formula>0</formula>
    </cfRule>
  </conditionalFormatting>
  <conditionalFormatting sqref="G158 G160">
    <cfRule type="cellIs" priority="215" operator="greaterThan" dxfId="0">
      <formula>0</formula>
    </cfRule>
  </conditionalFormatting>
  <conditionalFormatting sqref="G174">
    <cfRule type="cellIs" priority="213" operator="lessThan" dxfId="1">
      <formula>0</formula>
    </cfRule>
    <cfRule type="cellIs" priority="214" operator="greaterThan" dxfId="0">
      <formula>0</formula>
    </cfRule>
  </conditionalFormatting>
  <conditionalFormatting sqref="G175">
    <cfRule type="cellIs" priority="209" operator="greaterThan" dxfId="0">
      <formula>0.25</formula>
    </cfRule>
    <cfRule type="cellIs" priority="210" operator="lessThan" dxfId="1">
      <formula>0</formula>
    </cfRule>
    <cfRule type="cellIs" priority="211" operator="between" dxfId="381">
      <formula>0.01</formula>
      <formula>0.24</formula>
    </cfRule>
    <cfRule type="cellIs" priority="212" operator="greaterThan" dxfId="0">
      <formula>25</formula>
    </cfRule>
  </conditionalFormatting>
  <conditionalFormatting sqref="D174">
    <cfRule type="cellIs" priority="207" operator="lessThan" dxfId="1">
      <formula>0</formula>
    </cfRule>
    <cfRule type="cellIs" priority="208" operator="greaterThan" dxfId="0">
      <formula>0</formula>
    </cfRule>
  </conditionalFormatting>
  <conditionalFormatting sqref="D175">
    <cfRule type="cellIs" priority="203" operator="greaterThan" dxfId="0">
      <formula>0.25</formula>
    </cfRule>
    <cfRule type="cellIs" priority="204" operator="lessThan" dxfId="1">
      <formula>0</formula>
    </cfRule>
    <cfRule type="cellIs" priority="205" operator="between" dxfId="381">
      <formula>0.01</formula>
      <formula>0.24</formula>
    </cfRule>
    <cfRule type="cellIs" priority="206" operator="greaterThan" dxfId="0">
      <formula>25</formula>
    </cfRule>
  </conditionalFormatting>
  <conditionalFormatting sqref="F187 F189 F191">
    <cfRule type="cellIs" priority="202" operator="lessThan" dxfId="1">
      <formula>0</formula>
    </cfRule>
  </conditionalFormatting>
  <conditionalFormatting sqref="F189 F191">
    <cfRule type="cellIs" priority="201" operator="greaterThan" dxfId="0">
      <formula>0</formula>
    </cfRule>
  </conditionalFormatting>
  <conditionalFormatting sqref="E205:F205">
    <cfRule type="cellIs" priority="199" operator="lessThan" dxfId="1">
      <formula>0</formula>
    </cfRule>
    <cfRule type="cellIs" priority="200" operator="greaterThan" dxfId="0">
      <formula>0</formula>
    </cfRule>
  </conditionalFormatting>
  <conditionalFormatting sqref="E206:F206">
    <cfRule type="cellIs" priority="195" operator="greaterThan" dxfId="0">
      <formula>0.25</formula>
    </cfRule>
    <cfRule type="cellIs" priority="196" operator="lessThan" dxfId="1">
      <formula>0</formula>
    </cfRule>
    <cfRule type="cellIs" priority="197" operator="between" dxfId="381">
      <formula>0.01</formula>
      <formula>0.24</formula>
    </cfRule>
    <cfRule type="cellIs" priority="198" operator="greaterThan" dxfId="0">
      <formula>25</formula>
    </cfRule>
  </conditionalFormatting>
  <conditionalFormatting sqref="G187 G189 G191">
    <cfRule type="cellIs" priority="194" operator="lessThan" dxfId="1">
      <formula>0</formula>
    </cfRule>
  </conditionalFormatting>
  <conditionalFormatting sqref="G189 G191">
    <cfRule type="cellIs" priority="193" operator="greaterThan" dxfId="0">
      <formula>0</formula>
    </cfRule>
  </conditionalFormatting>
  <conditionalFormatting sqref="F218 F220 F222">
    <cfRule type="cellIs" priority="180" operator="lessThan" dxfId="1">
      <formula>0</formula>
    </cfRule>
  </conditionalFormatting>
  <conditionalFormatting sqref="F220 F222">
    <cfRule type="cellIs" priority="179" operator="greaterThan" dxfId="0">
      <formula>0</formula>
    </cfRule>
  </conditionalFormatting>
  <conditionalFormatting sqref="E236:F236">
    <cfRule type="cellIs" priority="177" operator="lessThan" dxfId="1">
      <formula>0</formula>
    </cfRule>
    <cfRule type="cellIs" priority="178" operator="greaterThan" dxfId="0">
      <formula>0</formula>
    </cfRule>
  </conditionalFormatting>
  <conditionalFormatting sqref="E237:F237">
    <cfRule type="cellIs" priority="173" operator="greaterThan" dxfId="0">
      <formula>0.25</formula>
    </cfRule>
    <cfRule type="cellIs" priority="174" operator="lessThan" dxfId="1">
      <formula>0</formula>
    </cfRule>
    <cfRule type="cellIs" priority="175" operator="between" dxfId="381">
      <formula>0.01</formula>
      <formula>0.24</formula>
    </cfRule>
    <cfRule type="cellIs" priority="176" operator="greaterThan" dxfId="0">
      <formula>25</formula>
    </cfRule>
  </conditionalFormatting>
  <conditionalFormatting sqref="G218 G220 G222">
    <cfRule type="cellIs" priority="172" operator="lessThan" dxfId="1">
      <formula>0</formula>
    </cfRule>
  </conditionalFormatting>
  <conditionalFormatting sqref="G220 G222">
    <cfRule type="cellIs" priority="171" operator="greaterThan" dxfId="0">
      <formula>0</formula>
    </cfRule>
  </conditionalFormatting>
  <conditionalFormatting sqref="G236">
    <cfRule type="cellIs" priority="169" operator="lessThan" dxfId="1">
      <formula>0</formula>
    </cfRule>
    <cfRule type="cellIs" priority="170" operator="greaterThan" dxfId="0">
      <formula>0</formula>
    </cfRule>
  </conditionalFormatting>
  <conditionalFormatting sqref="G237">
    <cfRule type="cellIs" priority="165" operator="greaterThan" dxfId="0">
      <formula>0.25</formula>
    </cfRule>
    <cfRule type="cellIs" priority="166" operator="lessThan" dxfId="1">
      <formula>0</formula>
    </cfRule>
    <cfRule type="cellIs" priority="167" operator="between" dxfId="381">
      <formula>0.01</formula>
      <formula>0.24</formula>
    </cfRule>
    <cfRule type="cellIs" priority="168" operator="greaterThan" dxfId="0">
      <formula>25</formula>
    </cfRule>
  </conditionalFormatting>
  <conditionalFormatting sqref="D236">
    <cfRule type="cellIs" priority="163" operator="lessThan" dxfId="1">
      <formula>0</formula>
    </cfRule>
    <cfRule type="cellIs" priority="164" operator="greaterThan" dxfId="0">
      <formula>0</formula>
    </cfRule>
  </conditionalFormatting>
  <conditionalFormatting sqref="D237">
    <cfRule type="cellIs" priority="159" operator="greaterThan" dxfId="0">
      <formula>0.25</formula>
    </cfRule>
    <cfRule type="cellIs" priority="160" operator="lessThan" dxfId="1">
      <formula>0</formula>
    </cfRule>
    <cfRule type="cellIs" priority="161" operator="between" dxfId="381">
      <formula>0.01</formula>
      <formula>0.24</formula>
    </cfRule>
    <cfRule type="cellIs" priority="162" operator="greaterThan" dxfId="0">
      <formula>25</formula>
    </cfRule>
  </conditionalFormatting>
  <conditionalFormatting sqref="F249 F251 F253">
    <cfRule type="cellIs" priority="158" operator="lessThan" dxfId="1">
      <formula>0</formula>
    </cfRule>
  </conditionalFormatting>
  <conditionalFormatting sqref="F251 F253">
    <cfRule type="cellIs" priority="157" operator="greaterThan" dxfId="0">
      <formula>0</formula>
    </cfRule>
  </conditionalFormatting>
  <conditionalFormatting sqref="E267:F267">
    <cfRule type="cellIs" priority="155" operator="lessThan" dxfId="1">
      <formula>0</formula>
    </cfRule>
    <cfRule type="cellIs" priority="156" operator="greaterThan" dxfId="0">
      <formula>0</formula>
    </cfRule>
  </conditionalFormatting>
  <conditionalFormatting sqref="E268:F268">
    <cfRule type="cellIs" priority="151" operator="greaterThan" dxfId="0">
      <formula>0.25</formula>
    </cfRule>
    <cfRule type="cellIs" priority="152" operator="lessThan" dxfId="1">
      <formula>0</formula>
    </cfRule>
    <cfRule type="cellIs" priority="153" operator="between" dxfId="381">
      <formula>0.01</formula>
      <formula>0.24</formula>
    </cfRule>
    <cfRule type="cellIs" priority="154" operator="greaterThan" dxfId="0">
      <formula>25</formula>
    </cfRule>
  </conditionalFormatting>
  <conditionalFormatting sqref="G249 G251 G253">
    <cfRule type="cellIs" priority="150" operator="lessThan" dxfId="1">
      <formula>0</formula>
    </cfRule>
  </conditionalFormatting>
  <conditionalFormatting sqref="G251 G253">
    <cfRule type="cellIs" priority="149" operator="greaterThan" dxfId="0">
      <formula>0</formula>
    </cfRule>
  </conditionalFormatting>
  <conditionalFormatting sqref="G267">
    <cfRule type="cellIs" priority="147" operator="lessThan" dxfId="1">
      <formula>0</formula>
    </cfRule>
    <cfRule type="cellIs" priority="148" operator="greaterThan" dxfId="0">
      <formula>0</formula>
    </cfRule>
  </conditionalFormatting>
  <conditionalFormatting sqref="G268">
    <cfRule type="cellIs" priority="143" operator="greaterThan" dxfId="0">
      <formula>0.25</formula>
    </cfRule>
    <cfRule type="cellIs" priority="144" operator="lessThan" dxfId="1">
      <formula>0</formula>
    </cfRule>
    <cfRule type="cellIs" priority="145" operator="between" dxfId="381">
      <formula>0.01</formula>
      <formula>0.24</formula>
    </cfRule>
    <cfRule type="cellIs" priority="146" operator="greaterThan" dxfId="0">
      <formula>25</formula>
    </cfRule>
  </conditionalFormatting>
  <conditionalFormatting sqref="D267">
    <cfRule type="cellIs" priority="141" operator="lessThan" dxfId="1">
      <formula>0</formula>
    </cfRule>
    <cfRule type="cellIs" priority="142" operator="greaterThan" dxfId="0">
      <formula>0</formula>
    </cfRule>
  </conditionalFormatting>
  <conditionalFormatting sqref="D268">
    <cfRule type="cellIs" priority="137" operator="greaterThan" dxfId="0">
      <formula>0.25</formula>
    </cfRule>
    <cfRule type="cellIs" priority="138" operator="lessThan" dxfId="1">
      <formula>0</formula>
    </cfRule>
    <cfRule type="cellIs" priority="139" operator="between" dxfId="381">
      <formula>0.01</formula>
      <formula>0.24</formula>
    </cfRule>
    <cfRule type="cellIs" priority="140" operator="greaterThan" dxfId="0">
      <formula>25</formula>
    </cfRule>
  </conditionalFormatting>
  <conditionalFormatting sqref="M29">
    <cfRule type="cellIs" priority="121" operator="greaterThan" dxfId="0">
      <formula>0.25</formula>
    </cfRule>
    <cfRule type="cellIs" priority="122" operator="lessThan" dxfId="1">
      <formula>0</formula>
    </cfRule>
    <cfRule type="cellIs" priority="123" operator="between" dxfId="381">
      <formula>0.01</formula>
      <formula>0.24</formula>
    </cfRule>
    <cfRule type="cellIs" priority="124" operator="greaterThan" dxfId="0">
      <formula>25</formula>
    </cfRule>
  </conditionalFormatting>
  <conditionalFormatting sqref="M30">
    <cfRule type="cellIs" priority="119" operator="lessThan" dxfId="1">
      <formula>0</formula>
    </cfRule>
    <cfRule type="cellIs" priority="120" operator="greaterThan" dxfId="0">
      <formula>0</formula>
    </cfRule>
  </conditionalFormatting>
  <conditionalFormatting sqref="L28">
    <cfRule type="cellIs" priority="117" operator="lessThan" dxfId="1">
      <formula>0</formula>
    </cfRule>
    <cfRule type="cellIs" priority="118" operator="greaterThan" dxfId="0">
      <formula>0</formula>
    </cfRule>
  </conditionalFormatting>
  <conditionalFormatting sqref="M28">
    <cfRule type="cellIs" priority="115" operator="lessThan" dxfId="1">
      <formula>0</formula>
    </cfRule>
    <cfRule type="cellIs" priority="116" operator="greaterThan" dxfId="0">
      <formula>0</formula>
    </cfRule>
  </conditionalFormatting>
  <conditionalFormatting sqref="K121">
    <cfRule type="cellIs" priority="41" operator="greaterThan" dxfId="0">
      <formula>0.25</formula>
    </cfRule>
    <cfRule type="cellIs" priority="42" operator="lessThan" dxfId="1">
      <formula>0</formula>
    </cfRule>
    <cfRule type="cellIs" priority="43" operator="between" dxfId="381">
      <formula>0.01</formula>
      <formula>0.24</formula>
    </cfRule>
    <cfRule type="cellIs" priority="44" operator="greaterThan" dxfId="0">
      <formula>25</formula>
    </cfRule>
  </conditionalFormatting>
  <conditionalFormatting sqref="K120">
    <cfRule type="cellIs" priority="45" operator="lessThan" dxfId="1">
      <formula>0</formula>
    </cfRule>
    <cfRule type="cellIs" priority="46" operator="greaterThan" dxfId="0">
      <formula>0</formula>
    </cfRule>
  </conditionalFormatting>
  <conditionalFormatting sqref="M104:M106 M108">
    <cfRule type="cellIs" priority="48" operator="lessThan" dxfId="1">
      <formula>0</formula>
    </cfRule>
  </conditionalFormatting>
  <conditionalFormatting sqref="M106 M108">
    <cfRule type="cellIs" priority="47" operator="greaterThan" dxfId="0">
      <formula>0</formula>
    </cfRule>
  </conditionalFormatting>
  <conditionalFormatting sqref="L121">
    <cfRule type="cellIs" priority="37" operator="greaterThan" dxfId="0">
      <formula>0.25</formula>
    </cfRule>
    <cfRule type="cellIs" priority="38" operator="lessThan" dxfId="1">
      <formula>0</formula>
    </cfRule>
    <cfRule type="cellIs" priority="39" operator="between" dxfId="381">
      <formula>0.01</formula>
      <formula>0.24</formula>
    </cfRule>
    <cfRule type="cellIs" priority="40" operator="greaterThan" dxfId="0">
      <formula>25</formula>
    </cfRule>
  </conditionalFormatting>
  <conditionalFormatting sqref="M121">
    <cfRule type="cellIs" priority="33" operator="greaterThan" dxfId="0">
      <formula>0.25</formula>
    </cfRule>
    <cfRule type="cellIs" priority="34" operator="lessThan" dxfId="1">
      <formula>0</formula>
    </cfRule>
    <cfRule type="cellIs" priority="35" operator="between" dxfId="381">
      <formula>0.01</formula>
      <formula>0.24</formula>
    </cfRule>
    <cfRule type="cellIs" priority="36" operator="greaterThan" dxfId="0">
      <formula>25</formula>
    </cfRule>
  </conditionalFormatting>
  <conditionalFormatting sqref="M122">
    <cfRule type="cellIs" priority="31" operator="lessThan" dxfId="1">
      <formula>0</formula>
    </cfRule>
    <cfRule type="cellIs" priority="32" operator="greaterThan" dxfId="0">
      <formula>0</formula>
    </cfRule>
  </conditionalFormatting>
  <conditionalFormatting sqref="L120">
    <cfRule type="cellIs" priority="29" operator="lessThan" dxfId="1">
      <formula>0</formula>
    </cfRule>
    <cfRule type="cellIs" priority="30" operator="greaterThan" dxfId="0">
      <formula>0</formula>
    </cfRule>
  </conditionalFormatting>
  <conditionalFormatting sqref="M120">
    <cfRule type="cellIs" priority="27" operator="lessThan" dxfId="1">
      <formula>0</formula>
    </cfRule>
    <cfRule type="cellIs" priority="28" operator="greaterThan" dxfId="0">
      <formula>0</formula>
    </cfRule>
  </conditionalFormatting>
  <conditionalFormatting sqref="K59">
    <cfRule type="cellIs" priority="85" operator="greaterThan" dxfId="0">
      <formula>0.25</formula>
    </cfRule>
    <cfRule type="cellIs" priority="86" operator="lessThan" dxfId="1">
      <formula>0</formula>
    </cfRule>
    <cfRule type="cellIs" priority="87" operator="between" dxfId="381">
      <formula>0.01</formula>
      <formula>0.24</formula>
    </cfRule>
    <cfRule type="cellIs" priority="88" operator="greaterThan" dxfId="0">
      <formula>25</formula>
    </cfRule>
  </conditionalFormatting>
  <conditionalFormatting sqref="K58">
    <cfRule type="cellIs" priority="89" operator="lessThan" dxfId="1">
      <formula>0</formula>
    </cfRule>
    <cfRule type="cellIs" priority="90" operator="greaterThan" dxfId="0">
      <formula>0</formula>
    </cfRule>
  </conditionalFormatting>
  <conditionalFormatting sqref="M42:M44 M46">
    <cfRule type="cellIs" priority="92" operator="lessThan" dxfId="1">
      <formula>0</formula>
    </cfRule>
  </conditionalFormatting>
  <conditionalFormatting sqref="M44 M46">
    <cfRule type="cellIs" priority="91" operator="greaterThan" dxfId="0">
      <formula>0</formula>
    </cfRule>
  </conditionalFormatting>
  <conditionalFormatting sqref="L59">
    <cfRule type="cellIs" priority="81" operator="greaterThan" dxfId="0">
      <formula>0.25</formula>
    </cfRule>
    <cfRule type="cellIs" priority="82" operator="lessThan" dxfId="1">
      <formula>0</formula>
    </cfRule>
    <cfRule type="cellIs" priority="83" operator="between" dxfId="381">
      <formula>0.01</formula>
      <formula>0.24</formula>
    </cfRule>
    <cfRule type="cellIs" priority="84" operator="greaterThan" dxfId="0">
      <formula>25</formula>
    </cfRule>
  </conditionalFormatting>
  <conditionalFormatting sqref="M59">
    <cfRule type="cellIs" priority="77" operator="greaterThan" dxfId="0">
      <formula>0.25</formula>
    </cfRule>
    <cfRule type="cellIs" priority="78" operator="lessThan" dxfId="1">
      <formula>0</formula>
    </cfRule>
    <cfRule type="cellIs" priority="79" operator="between" dxfId="381">
      <formula>0.01</formula>
      <formula>0.24</formula>
    </cfRule>
    <cfRule type="cellIs" priority="80" operator="greaterThan" dxfId="0">
      <formula>25</formula>
    </cfRule>
  </conditionalFormatting>
  <conditionalFormatting sqref="M60">
    <cfRule type="cellIs" priority="75" operator="lessThan" dxfId="1">
      <formula>0</formula>
    </cfRule>
    <cfRule type="cellIs" priority="76" operator="greaterThan" dxfId="0">
      <formula>0</formula>
    </cfRule>
  </conditionalFormatting>
  <conditionalFormatting sqref="L58">
    <cfRule type="cellIs" priority="73" operator="lessThan" dxfId="1">
      <formula>0</formula>
    </cfRule>
    <cfRule type="cellIs" priority="74" operator="greaterThan" dxfId="0">
      <formula>0</formula>
    </cfRule>
  </conditionalFormatting>
  <conditionalFormatting sqref="M58">
    <cfRule type="cellIs" priority="71" operator="lessThan" dxfId="1">
      <formula>0</formula>
    </cfRule>
    <cfRule type="cellIs" priority="72" operator="greaterThan" dxfId="0">
      <formula>0</formula>
    </cfRule>
  </conditionalFormatting>
  <conditionalFormatting sqref="K88">
    <cfRule type="cellIs" priority="63" operator="greaterThan" dxfId="0">
      <formula>0.25</formula>
    </cfRule>
    <cfRule type="cellIs" priority="64" operator="lessThan" dxfId="1">
      <formula>0</formula>
    </cfRule>
    <cfRule type="cellIs" priority="65" operator="between" dxfId="381">
      <formula>0.01</formula>
      <formula>0.24</formula>
    </cfRule>
    <cfRule type="cellIs" priority="66" operator="greaterThan" dxfId="0">
      <formula>25</formula>
    </cfRule>
  </conditionalFormatting>
  <conditionalFormatting sqref="K87">
    <cfRule type="cellIs" priority="67" operator="lessThan" dxfId="1">
      <formula>0</formula>
    </cfRule>
    <cfRule type="cellIs" priority="68" operator="greaterThan" dxfId="0">
      <formula>0</formula>
    </cfRule>
  </conditionalFormatting>
  <conditionalFormatting sqref="M71:M73 M75">
    <cfRule type="cellIs" priority="70" operator="lessThan" dxfId="1">
      <formula>0</formula>
    </cfRule>
  </conditionalFormatting>
  <conditionalFormatting sqref="M73 M75">
    <cfRule type="cellIs" priority="69" operator="greaterThan" dxfId="0">
      <formula>0</formula>
    </cfRule>
  </conditionalFormatting>
  <conditionalFormatting sqref="L88">
    <cfRule type="cellIs" priority="59" operator="greaterThan" dxfId="0">
      <formula>0.25</formula>
    </cfRule>
    <cfRule type="cellIs" priority="60" operator="lessThan" dxfId="1">
      <formula>0</formula>
    </cfRule>
    <cfRule type="cellIs" priority="61" operator="between" dxfId="381">
      <formula>0.01</formula>
      <formula>0.24</formula>
    </cfRule>
    <cfRule type="cellIs" priority="62" operator="greaterThan" dxfId="0">
      <formula>25</formula>
    </cfRule>
  </conditionalFormatting>
  <conditionalFormatting sqref="M88">
    <cfRule type="cellIs" priority="55" operator="greaterThan" dxfId="0">
      <formula>0.25</formula>
    </cfRule>
    <cfRule type="cellIs" priority="56" operator="lessThan" dxfId="1">
      <formula>0</formula>
    </cfRule>
    <cfRule type="cellIs" priority="57" operator="between" dxfId="381">
      <formula>0.01</formula>
      <formula>0.24</formula>
    </cfRule>
    <cfRule type="cellIs" priority="58" operator="greaterThan" dxfId="0">
      <formula>25</formula>
    </cfRule>
  </conditionalFormatting>
  <conditionalFormatting sqref="M89">
    <cfRule type="cellIs" priority="53" operator="lessThan" dxfId="1">
      <formula>0</formula>
    </cfRule>
    <cfRule type="cellIs" priority="54" operator="greaterThan" dxfId="0">
      <formula>0</formula>
    </cfRule>
  </conditionalFormatting>
  <conditionalFormatting sqref="L87">
    <cfRule type="cellIs" priority="51" operator="lessThan" dxfId="1">
      <formula>0</formula>
    </cfRule>
    <cfRule type="cellIs" priority="52" operator="greaterThan" dxfId="0">
      <formula>0</formula>
    </cfRule>
  </conditionalFormatting>
  <conditionalFormatting sqref="M87">
    <cfRule type="cellIs" priority="49" operator="lessThan" dxfId="1">
      <formula>0</formula>
    </cfRule>
    <cfRule type="cellIs" priority="50" operator="greaterThan" dxfId="0">
      <formula>0</formula>
    </cfRule>
  </conditionalFormatting>
  <conditionalFormatting sqref="F282:F284 F286">
    <cfRule type="cellIs" priority="24" operator="lessThan" dxfId="1">
      <formula>0</formula>
    </cfRule>
  </conditionalFormatting>
  <conditionalFormatting sqref="F284 F286">
    <cfRule type="cellIs" priority="23" operator="greaterThan" dxfId="0">
      <formula>0</formula>
    </cfRule>
  </conditionalFormatting>
  <conditionalFormatting sqref="H282:H286">
    <cfRule type="cellIs" priority="22" operator="lessThan" dxfId="1">
      <formula>0</formula>
    </cfRule>
  </conditionalFormatting>
  <conditionalFormatting sqref="H284:H287">
    <cfRule type="cellIs" priority="21" operator="greaterThan" dxfId="0">
      <formula>0</formula>
    </cfRule>
  </conditionalFormatting>
  <conditionalFormatting sqref="E298:F298">
    <cfRule type="cellIs" priority="19" operator="lessThan" dxfId="1">
      <formula>0</formula>
    </cfRule>
    <cfRule type="cellIs" priority="20" operator="greaterThan" dxfId="0">
      <formula>0</formula>
    </cfRule>
  </conditionalFormatting>
  <conditionalFormatting sqref="E299:F299">
    <cfRule type="cellIs" priority="15" operator="greaterThan" dxfId="0">
      <formula>0.25</formula>
    </cfRule>
    <cfRule type="cellIs" priority="16" operator="lessThan" dxfId="1">
      <formula>0</formula>
    </cfRule>
    <cfRule type="cellIs" priority="17" operator="between" dxfId="381">
      <formula>0.01</formula>
      <formula>0.24</formula>
    </cfRule>
    <cfRule type="cellIs" priority="18" operator="greaterThan" dxfId="0">
      <formula>25</formula>
    </cfRule>
  </conditionalFormatting>
  <conditionalFormatting sqref="G282:G284 G286">
    <cfRule type="cellIs" priority="14" operator="lessThan" dxfId="1">
      <formula>0</formula>
    </cfRule>
  </conditionalFormatting>
  <conditionalFormatting sqref="G284 G286">
    <cfRule type="cellIs" priority="13" operator="greaterThan" dxfId="0">
      <formula>0</formula>
    </cfRule>
  </conditionalFormatting>
  <conditionalFormatting sqref="G298">
    <cfRule type="cellIs" priority="11" operator="lessThan" dxfId="1">
      <formula>0</formula>
    </cfRule>
    <cfRule type="cellIs" priority="12" operator="greaterThan" dxfId="0">
      <formula>0</formula>
    </cfRule>
  </conditionalFormatting>
  <conditionalFormatting sqref="G299">
    <cfRule type="cellIs" priority="7" operator="greaterThan" dxfId="0">
      <formula>0.25</formula>
    </cfRule>
    <cfRule type="cellIs" priority="8" operator="lessThan" dxfId="1">
      <formula>0</formula>
    </cfRule>
    <cfRule type="cellIs" priority="9" operator="between" dxfId="381">
      <formula>0.01</formula>
      <formula>0.24</formula>
    </cfRule>
    <cfRule type="cellIs" priority="10" operator="greaterThan" dxfId="0">
      <formula>25</formula>
    </cfRule>
  </conditionalFormatting>
  <conditionalFormatting sqref="D298">
    <cfRule type="cellIs" priority="5" operator="lessThan" dxfId="1">
      <formula>0</formula>
    </cfRule>
    <cfRule type="cellIs" priority="6" operator="greaterThan" dxfId="0">
      <formula>0</formula>
    </cfRule>
  </conditionalFormatting>
  <conditionalFormatting sqref="D299">
    <cfRule type="cellIs" priority="1" operator="greaterThan" dxfId="0">
      <formula>0.25</formula>
    </cfRule>
    <cfRule type="cellIs" priority="2" operator="lessThan" dxfId="1">
      <formula>0</formula>
    </cfRule>
    <cfRule type="cellIs" priority="3" operator="between" dxfId="381">
      <formula>0.01</formula>
      <formula>0.24</formula>
    </cfRule>
    <cfRule type="cellIs" priority="4" operator="greaterThan" dxfId="0">
      <formula>25</formula>
    </cfRule>
  </conditionalFormatting>
  <pageMargins left="0.7" right="0.7" top="0.75" bottom="0.75" header="0.3" footer="0.3"/>
  <pageSetup orientation="portrait" paperSize="9"/>
</worksheet>
</file>

<file path=xl/worksheets/sheet22.xml><?xml version="1.0" encoding="utf-8"?>
<worksheet xmlns="http://schemas.openxmlformats.org/spreadsheetml/2006/main">
  <sheetPr>
    <outlinePr summaryBelow="1" summaryRight="1"/>
    <pageSetUpPr fitToPage="1"/>
  </sheetPr>
  <dimension ref="A2:EK194"/>
  <sheetViews>
    <sheetView workbookViewId="0">
      <pane xSplit="12" ySplit="2" topLeftCell="DS121" activePane="bottomRight" state="frozen"/>
      <selection activeCell="V27" sqref="V27"/>
      <selection pane="topRight" activeCell="V27" sqref="V27"/>
      <selection pane="bottomLeft" activeCell="V27" sqref="V27"/>
      <selection pane="bottomRight" activeCell="EA164" sqref="EA164"/>
    </sheetView>
  </sheetViews>
  <sheetFormatPr baseColWidth="8" defaultColWidth="9.1328125" defaultRowHeight="12.75"/>
  <cols>
    <col width="29.19921875" customWidth="1" style="1480" min="1" max="1"/>
    <col width="13.1328125" customWidth="1" style="1480" min="2" max="2"/>
    <col width="8" bestFit="1" customWidth="1" style="1480" min="3" max="3"/>
    <col width="10" bestFit="1" customWidth="1" style="1480" min="4" max="4"/>
    <col width="11.19921875" customWidth="1" style="1480" min="5" max="5"/>
    <col width="9.1328125" customWidth="1" style="1480" min="6" max="6"/>
    <col width="10.19921875" bestFit="1" customWidth="1" style="1480" min="7" max="7"/>
    <col width="11.19921875" bestFit="1" customWidth="1" style="1480" min="8" max="8"/>
    <col width="11.19921875" customWidth="1" style="1480" min="9" max="9"/>
    <col width="11.19921875" bestFit="1" customWidth="1" style="1480" min="10" max="10"/>
    <col width="11.19921875" customWidth="1" style="1480" min="11" max="12"/>
    <col hidden="1" width="11.19921875" customWidth="1" style="1480" min="13" max="22"/>
    <col hidden="1" width="10.19921875" customWidth="1" style="1480" min="23" max="23"/>
    <col width="10.19921875" customWidth="1" style="1480" min="24" max="24"/>
    <col width="10.46484375" customWidth="1" style="1480" min="25" max="25"/>
    <col width="9.1328125" customWidth="1" style="1480" min="26" max="27"/>
    <col width="10.19921875" bestFit="1" customWidth="1" style="1480" min="28" max="28"/>
    <col width="9.1328125" customWidth="1" style="1480" min="29" max="32"/>
    <col width="10.19921875" bestFit="1" customWidth="1" style="1480" min="33" max="34"/>
    <col width="9.1328125" customWidth="1" style="1480" min="35" max="35"/>
    <col width="10.19921875" bestFit="1" customWidth="1" style="1480" min="36" max="37"/>
    <col width="10" bestFit="1" customWidth="1" style="1480" min="38" max="38"/>
    <col width="9.1328125" customWidth="1" style="1480" min="39" max="39"/>
    <col width="10" bestFit="1" customWidth="1" style="1480" min="40" max="40"/>
    <col width="10.19921875" customWidth="1" style="1480" min="41" max="41"/>
    <col width="10" bestFit="1" customWidth="1" style="1480" min="42" max="42"/>
    <col width="10.33203125" customWidth="1" style="1480" min="43" max="43"/>
    <col width="9.1328125" customWidth="1" style="1480" min="44" max="47"/>
    <col width="10.46484375" customWidth="1" style="1480" min="48" max="48"/>
    <col width="10.796875" customWidth="1" style="1480" min="49" max="49"/>
    <col width="9.1328125" customWidth="1" style="1480" min="50" max="50"/>
    <col width="10" bestFit="1" customWidth="1" style="1480" min="51" max="51"/>
    <col width="9.1328125" customWidth="1" style="1480" min="52" max="53"/>
    <col width="10" bestFit="1" customWidth="1" style="1480" min="54" max="54"/>
    <col width="9.1328125" customWidth="1" style="1480" min="55" max="56"/>
    <col width="9.86328125" customWidth="1" style="1480" min="57" max="57"/>
    <col width="9.1328125" customWidth="1" style="1480" min="58" max="72"/>
    <col width="11.796875" customWidth="1" style="1480" min="73" max="73"/>
    <col width="10.53125" customWidth="1" style="1480" min="74" max="75"/>
    <col width="10.796875" customWidth="1" style="1480" min="76" max="76"/>
    <col width="9.1328125" customWidth="1" style="1480" min="77" max="77"/>
    <col width="10.46484375" customWidth="1" style="1480" min="78" max="78"/>
    <col width="10" bestFit="1" customWidth="1" style="1480" min="79" max="79"/>
    <col width="10.1328125" customWidth="1" style="1480" min="80" max="80"/>
    <col width="10.19921875" customWidth="1" style="1480" min="81" max="81"/>
    <col width="11.1328125" customWidth="1" style="1480" min="82" max="82"/>
    <col width="10.53125" customWidth="1" style="1480" min="83" max="84"/>
    <col width="8.46484375" bestFit="1" customWidth="1" style="1480" min="85" max="85"/>
    <col width="9.1328125" customWidth="1" style="1480" min="86" max="122"/>
    <col width="10" bestFit="1" customWidth="1" style="1480" min="123" max="123"/>
    <col width="9.1328125" customWidth="1" style="1480" min="124" max="16384"/>
  </cols>
  <sheetData>
    <row r="2" ht="13.15" customHeight="1" s="1232">
      <c r="D2" s="1481" t="inlineStr">
        <is>
          <t>Mentoring</t>
        </is>
      </c>
      <c r="G2" s="1481" t="inlineStr">
        <is>
          <t>Rate</t>
        </is>
      </c>
      <c r="H2" s="1481" t="inlineStr">
        <is>
          <t>Started</t>
        </is>
      </c>
      <c r="I2" s="1481" t="inlineStr">
        <is>
          <t>Due Date</t>
        </is>
      </c>
      <c r="M2" s="255" t="n">
        <v>41609</v>
      </c>
      <c r="N2" s="255" t="n">
        <v>41640</v>
      </c>
      <c r="O2" s="255" t="n">
        <v>41671</v>
      </c>
      <c r="P2" s="255" t="n">
        <v>41699</v>
      </c>
      <c r="Q2" s="255" t="n">
        <v>41730</v>
      </c>
      <c r="R2" s="255" t="n">
        <v>41760</v>
      </c>
      <c r="S2" s="255" t="n">
        <v>41791</v>
      </c>
      <c r="T2" s="255" t="n">
        <v>41821</v>
      </c>
      <c r="U2" s="255" t="n">
        <v>41852</v>
      </c>
      <c r="V2" s="255" t="n">
        <v>41883</v>
      </c>
      <c r="W2" s="255" t="n">
        <v>41913</v>
      </c>
      <c r="X2" s="255" t="n">
        <v>41944</v>
      </c>
      <c r="Y2" s="255" t="n">
        <v>41974</v>
      </c>
      <c r="Z2" s="255" t="n">
        <v>42005</v>
      </c>
      <c r="AA2" s="255" t="n">
        <v>42036</v>
      </c>
      <c r="AB2" s="255" t="n">
        <v>42064</v>
      </c>
      <c r="AC2" s="255" t="n">
        <v>42095</v>
      </c>
      <c r="AD2" s="255" t="n">
        <v>42125</v>
      </c>
      <c r="AE2" s="255" t="n">
        <v>42156</v>
      </c>
      <c r="AF2" s="255" t="n">
        <v>42186</v>
      </c>
      <c r="AG2" s="255" t="n">
        <v>42217</v>
      </c>
      <c r="AH2" s="255" t="n">
        <v>42248</v>
      </c>
      <c r="AI2" s="255" t="n">
        <v>42278</v>
      </c>
      <c r="AJ2" s="255" t="n">
        <v>42309</v>
      </c>
      <c r="AK2" s="255" t="n">
        <v>42339</v>
      </c>
      <c r="AL2" s="255" t="n">
        <v>42370</v>
      </c>
      <c r="AM2" s="255" t="n">
        <v>42401</v>
      </c>
      <c r="AN2" s="255" t="n">
        <v>42430</v>
      </c>
      <c r="AO2" s="255" t="n">
        <v>42461</v>
      </c>
      <c r="AP2" s="255" t="n">
        <v>42491</v>
      </c>
      <c r="AQ2" s="255" t="n">
        <v>42522</v>
      </c>
      <c r="AR2" s="255" t="n">
        <v>42552</v>
      </c>
      <c r="AS2" s="255" t="n">
        <v>42583</v>
      </c>
      <c r="AT2" s="255" t="n">
        <v>42614</v>
      </c>
      <c r="AU2" s="255" t="n">
        <v>42644</v>
      </c>
      <c r="AV2" s="255" t="n">
        <v>42675</v>
      </c>
      <c r="AW2" s="255" t="n">
        <v>42705</v>
      </c>
      <c r="AX2" s="255" t="n">
        <v>42736</v>
      </c>
      <c r="AY2" s="255" t="n">
        <v>42767</v>
      </c>
      <c r="AZ2" s="255" t="n">
        <v>42795</v>
      </c>
      <c r="BA2" s="255" t="n">
        <v>42826</v>
      </c>
      <c r="BB2" s="255" t="n">
        <v>42856</v>
      </c>
      <c r="BC2" s="255" t="n">
        <v>42887</v>
      </c>
      <c r="BD2" s="255" t="n">
        <v>42917</v>
      </c>
      <c r="BE2" s="255" t="n">
        <v>42948</v>
      </c>
      <c r="BF2" s="255" t="n">
        <v>42979</v>
      </c>
      <c r="BG2" s="255" t="n">
        <v>43009</v>
      </c>
      <c r="BH2" s="255" t="n">
        <v>43040</v>
      </c>
      <c r="BI2" s="255" t="n">
        <v>43070</v>
      </c>
      <c r="BJ2" s="255" t="n">
        <v>43101</v>
      </c>
      <c r="BK2" s="255" t="n">
        <v>43132</v>
      </c>
      <c r="BL2" s="255" t="n">
        <v>43160</v>
      </c>
      <c r="BM2" s="255" t="n">
        <v>43191</v>
      </c>
      <c r="BN2" s="255" t="n">
        <v>43221</v>
      </c>
      <c r="BO2" s="255" t="n">
        <v>43252</v>
      </c>
      <c r="BP2" s="255" t="n">
        <v>43282</v>
      </c>
      <c r="BQ2" s="255" t="n">
        <v>43313</v>
      </c>
      <c r="BR2" s="255" t="n">
        <v>43344</v>
      </c>
      <c r="BS2" s="255" t="n">
        <v>43374</v>
      </c>
      <c r="BT2" s="255" t="n">
        <v>43405</v>
      </c>
      <c r="BU2" s="255" t="n">
        <v>43435</v>
      </c>
      <c r="BV2" s="255" t="n">
        <v>43466</v>
      </c>
      <c r="BW2" s="255" t="n">
        <v>43497</v>
      </c>
      <c r="BX2" s="255" t="n">
        <v>43525</v>
      </c>
      <c r="BY2" s="255" t="n">
        <v>43556</v>
      </c>
      <c r="BZ2" s="255" t="n">
        <v>43586</v>
      </c>
      <c r="CA2" s="255" t="n">
        <v>43617</v>
      </c>
      <c r="CB2" s="255" t="n">
        <v>43647</v>
      </c>
      <c r="CC2" s="255" t="n">
        <v>43678</v>
      </c>
      <c r="CD2" s="255" t="n">
        <v>43709</v>
      </c>
      <c r="CE2" s="255" t="n">
        <v>43739</v>
      </c>
      <c r="CF2" s="255" t="n">
        <v>43770</v>
      </c>
      <c r="CG2" s="255" t="n">
        <v>43800</v>
      </c>
      <c r="CH2" s="255" t="n">
        <v>43831</v>
      </c>
      <c r="CI2" s="255" t="n">
        <v>43862</v>
      </c>
      <c r="CJ2" s="255" t="n">
        <v>43891</v>
      </c>
      <c r="CK2" s="255" t="n">
        <v>43922</v>
      </c>
      <c r="CL2" s="255" t="n">
        <v>43952</v>
      </c>
      <c r="CM2" s="255" t="n">
        <v>43983</v>
      </c>
      <c r="CN2" s="255" t="n">
        <v>44013</v>
      </c>
      <c r="CO2" s="255" t="n">
        <v>44044</v>
      </c>
      <c r="CP2" s="255" t="n">
        <v>44075</v>
      </c>
      <c r="CQ2" s="255" t="n">
        <v>44105</v>
      </c>
      <c r="CR2" s="255" t="n">
        <v>44136</v>
      </c>
      <c r="CS2" s="255" t="n">
        <v>44166</v>
      </c>
      <c r="CT2" s="255" t="n">
        <v>44197</v>
      </c>
      <c r="CU2" s="255" t="n">
        <v>44228</v>
      </c>
      <c r="CV2" s="255" t="n">
        <v>44256</v>
      </c>
      <c r="CW2" s="255" t="n">
        <v>44287</v>
      </c>
      <c r="CX2" s="255" t="n">
        <v>44317</v>
      </c>
      <c r="CY2" s="255" t="n">
        <v>44348</v>
      </c>
      <c r="CZ2" s="255" t="n">
        <v>44378</v>
      </c>
      <c r="DA2" s="255" t="n">
        <v>44409</v>
      </c>
      <c r="DB2" s="255" t="n">
        <v>44440</v>
      </c>
      <c r="DC2" s="255" t="n">
        <v>44470</v>
      </c>
      <c r="DD2" s="255" t="n">
        <v>44501</v>
      </c>
      <c r="DE2" s="255" t="n">
        <v>44531</v>
      </c>
      <c r="DF2" s="255" t="n">
        <v>44562</v>
      </c>
      <c r="DG2" s="255" t="n">
        <v>44593</v>
      </c>
      <c r="DH2" s="255" t="n">
        <v>44621</v>
      </c>
      <c r="DI2" s="255" t="n">
        <v>44652</v>
      </c>
      <c r="DJ2" s="255" t="n">
        <v>44682</v>
      </c>
      <c r="DK2" s="255" t="n">
        <v>44713</v>
      </c>
      <c r="DL2" s="255" t="n">
        <v>44743</v>
      </c>
      <c r="DM2" s="255" t="n">
        <v>44774</v>
      </c>
      <c r="DN2" s="255" t="n">
        <v>44805</v>
      </c>
      <c r="DO2" s="255" t="n">
        <v>44835</v>
      </c>
      <c r="DP2" s="255" t="n">
        <v>44866</v>
      </c>
      <c r="DQ2" s="255" t="n">
        <v>44896</v>
      </c>
      <c r="DR2" s="255" t="n">
        <v>44927</v>
      </c>
      <c r="DS2" s="255" t="n">
        <v>44958</v>
      </c>
      <c r="DT2" s="255" t="n">
        <v>44986</v>
      </c>
      <c r="DU2" s="255" t="n">
        <v>45017</v>
      </c>
      <c r="DV2" s="255" t="n">
        <v>45047</v>
      </c>
      <c r="DW2" s="255" t="n">
        <v>45078</v>
      </c>
      <c r="DX2" s="255" t="n">
        <v>45108</v>
      </c>
      <c r="DY2" s="255" t="n">
        <v>45139</v>
      </c>
      <c r="DZ2" s="255" t="n">
        <v>45170</v>
      </c>
      <c r="EA2" s="255" t="n">
        <v>45200</v>
      </c>
      <c r="EB2" s="255" t="n">
        <v>45231</v>
      </c>
      <c r="EC2" s="255" t="n">
        <v>45261</v>
      </c>
      <c r="ED2" s="255" t="n">
        <v>45292</v>
      </c>
      <c r="EE2" s="255" t="n">
        <v>45323</v>
      </c>
      <c r="EF2" s="255" t="n">
        <v>45352</v>
      </c>
      <c r="EG2" s="255" t="n">
        <v>45383</v>
      </c>
      <c r="EH2" s="255" t="n">
        <v>45413</v>
      </c>
      <c r="EI2" s="255" t="n">
        <v>45444</v>
      </c>
      <c r="EJ2" s="255" t="n">
        <v>45474</v>
      </c>
      <c r="EK2" s="255" t="n">
        <v>45505</v>
      </c>
    </row>
    <row r="6">
      <c r="C6" s="256" t="n"/>
      <c r="D6" s="1390" t="inlineStr">
        <is>
          <t>Steve</t>
        </is>
      </c>
      <c r="E6" s="1390" t="inlineStr">
        <is>
          <t>Chilton</t>
        </is>
      </c>
      <c r="F6" s="1390" t="inlineStr">
        <is>
          <t>Monthly</t>
        </is>
      </c>
      <c r="G6" s="1390" t="n">
        <v>15</v>
      </c>
      <c r="I6" s="1480" t="inlineStr">
        <is>
          <t>6th</t>
        </is>
      </c>
      <c r="V6" s="1480" t="n">
        <v>15</v>
      </c>
      <c r="W6" s="1480" t="n">
        <v>15</v>
      </c>
      <c r="X6" s="1480" t="n">
        <v>15</v>
      </c>
      <c r="Y6" s="1480" t="n">
        <v>15</v>
      </c>
      <c r="Z6" s="1482" t="n">
        <v>15</v>
      </c>
      <c r="AA6" s="1482" t="n">
        <v>15</v>
      </c>
      <c r="AB6" s="1482" t="n">
        <v>15</v>
      </c>
    </row>
    <row r="8">
      <c r="C8" s="256" t="n">
        <v>1</v>
      </c>
      <c r="D8" s="1480" t="inlineStr">
        <is>
          <t>Jacki</t>
        </is>
      </c>
      <c r="E8" s="1480" t="inlineStr">
        <is>
          <t>Rosin</t>
        </is>
      </c>
      <c r="F8" s="1480" t="inlineStr">
        <is>
          <t>Monthly</t>
        </is>
      </c>
      <c r="G8" s="1480" t="n">
        <v>12.5</v>
      </c>
      <c r="I8" s="1480" t="inlineStr">
        <is>
          <t>1st</t>
        </is>
      </c>
      <c r="J8" s="1480" t="inlineStr">
        <is>
          <t>PayPal</t>
        </is>
      </c>
      <c r="V8" s="1480" t="n">
        <v>12.5</v>
      </c>
      <c r="W8" s="1480" t="n">
        <v>12.5</v>
      </c>
      <c r="X8" s="1480" t="n">
        <v>12.5</v>
      </c>
      <c r="Y8" s="1480" t="n">
        <v>12.5</v>
      </c>
      <c r="Z8" s="1482" t="n">
        <v>12.5</v>
      </c>
      <c r="AA8" s="1482" t="n">
        <v>12.5</v>
      </c>
      <c r="AB8" s="1482" t="n">
        <v>12.5</v>
      </c>
      <c r="AC8" s="1482" t="n">
        <v>12.5</v>
      </c>
      <c r="AD8" s="1482" t="n">
        <v>12.5</v>
      </c>
      <c r="AE8" s="1482" t="n">
        <v>12.5</v>
      </c>
      <c r="AF8" s="1482" t="n">
        <v>12.5</v>
      </c>
      <c r="AG8" s="1482" t="n">
        <v>12.5</v>
      </c>
    </row>
    <row r="9">
      <c r="C9" s="256" t="n">
        <v>2</v>
      </c>
      <c r="D9" s="1480" t="inlineStr">
        <is>
          <t>Caroline</t>
        </is>
      </c>
      <c r="E9" s="1480" t="inlineStr">
        <is>
          <t>Gee</t>
        </is>
      </c>
      <c r="F9" s="1480" t="inlineStr">
        <is>
          <t>Monthly</t>
        </is>
      </c>
      <c r="G9" s="1480" t="n">
        <v>15</v>
      </c>
      <c r="I9" s="1480" t="inlineStr">
        <is>
          <t>8th</t>
        </is>
      </c>
      <c r="V9" s="1480" t="n">
        <v>15</v>
      </c>
      <c r="W9" s="1480" t="n">
        <v>15</v>
      </c>
      <c r="X9" s="1480" t="n">
        <v>15</v>
      </c>
      <c r="Y9" s="1480" t="n">
        <v>15</v>
      </c>
      <c r="Z9" s="1482" t="n">
        <v>15</v>
      </c>
      <c r="AA9" s="1482" t="n">
        <v>15</v>
      </c>
      <c r="AB9" s="1482" t="n">
        <v>15</v>
      </c>
      <c r="AC9" s="1482" t="n">
        <v>15</v>
      </c>
      <c r="AD9" s="1482" t="n">
        <v>15</v>
      </c>
      <c r="AE9" s="1482" t="n">
        <v>15</v>
      </c>
      <c r="AF9" s="1482" t="n">
        <v>15</v>
      </c>
    </row>
    <row r="10">
      <c r="C10" s="256" t="n">
        <v>3</v>
      </c>
      <c r="D10" s="1480" t="inlineStr">
        <is>
          <t>Louise</t>
        </is>
      </c>
      <c r="E10" s="1480" t="inlineStr">
        <is>
          <t>harris</t>
        </is>
      </c>
      <c r="F10" s="1480" t="inlineStr">
        <is>
          <t>Monthly</t>
        </is>
      </c>
      <c r="G10" s="1480" t="n">
        <v>20</v>
      </c>
      <c r="I10" s="1480" t="inlineStr">
        <is>
          <t>20th</t>
        </is>
      </c>
      <c r="V10" s="1480" t="n">
        <v>20</v>
      </c>
      <c r="W10" s="1480" t="n">
        <v>20</v>
      </c>
      <c r="X10" s="1480" t="n">
        <v>20</v>
      </c>
      <c r="Y10" s="1480" t="n">
        <v>20</v>
      </c>
      <c r="Z10" s="1482" t="n">
        <v>20</v>
      </c>
      <c r="AA10" s="1482" t="n">
        <v>20</v>
      </c>
      <c r="AB10" s="1482" t="n">
        <v>20</v>
      </c>
      <c r="AC10" s="1482" t="n">
        <v>20</v>
      </c>
    </row>
    <row r="11">
      <c r="C11" s="256" t="n">
        <v>4</v>
      </c>
      <c r="D11" s="1480" t="inlineStr">
        <is>
          <t>Verity</t>
        </is>
      </c>
      <c r="E11" s="1480" t="inlineStr">
        <is>
          <t>Rivers</t>
        </is>
      </c>
      <c r="F11" s="1480" t="inlineStr">
        <is>
          <t>Monthly</t>
        </is>
      </c>
      <c r="G11" s="1480" t="n">
        <v>20</v>
      </c>
      <c r="I11" s="1480" t="inlineStr">
        <is>
          <t>6th</t>
        </is>
      </c>
      <c r="X11" s="1480" t="n">
        <v>20</v>
      </c>
      <c r="Y11" s="1480" t="n">
        <v>20</v>
      </c>
      <c r="Z11" s="1482" t="n">
        <v>20</v>
      </c>
      <c r="AA11" s="1482" t="n">
        <v>20</v>
      </c>
      <c r="AB11" s="1482" t="n">
        <v>20</v>
      </c>
      <c r="AC11" s="1482" t="n">
        <v>20</v>
      </c>
      <c r="AD11" s="1482" t="n">
        <v>20</v>
      </c>
      <c r="AE11" s="1482" t="n">
        <v>20</v>
      </c>
      <c r="AF11" s="1482" t="n">
        <v>20</v>
      </c>
    </row>
    <row r="12">
      <c r="C12" s="256" t="n">
        <v>5</v>
      </c>
      <c r="D12" s="1480" t="inlineStr">
        <is>
          <t>Karen</t>
        </is>
      </c>
      <c r="E12" s="1480" t="inlineStr">
        <is>
          <t>Barber</t>
        </is>
      </c>
      <c r="F12" s="1480" t="inlineStr">
        <is>
          <t>Monthly</t>
        </is>
      </c>
      <c r="G12" s="1480" t="n">
        <v>20</v>
      </c>
      <c r="I12" s="1480" t="inlineStr">
        <is>
          <t>27th</t>
        </is>
      </c>
      <c r="J12" s="1480" t="inlineStr">
        <is>
          <t>Halifax</t>
        </is>
      </c>
      <c r="Y12" s="1482" t="n">
        <v>20</v>
      </c>
      <c r="Z12" s="1482" t="n">
        <v>20</v>
      </c>
      <c r="AA12" s="1482" t="n">
        <v>20</v>
      </c>
      <c r="AB12" s="1482" t="n">
        <v>20</v>
      </c>
      <c r="AC12" s="1482" t="n">
        <v>20</v>
      </c>
      <c r="AD12" s="1482" t="n">
        <v>20</v>
      </c>
      <c r="AE12" s="1482" t="n">
        <v>20</v>
      </c>
      <c r="AF12" s="1482" t="n">
        <v>20</v>
      </c>
      <c r="AG12" s="1482" t="n">
        <v>20</v>
      </c>
      <c r="AH12" s="1482" t="n">
        <v>20</v>
      </c>
      <c r="AI12" s="1482" t="n">
        <v>20</v>
      </c>
      <c r="AJ12" s="1482" t="n">
        <v>20</v>
      </c>
      <c r="AK12" s="1482" t="n">
        <v>20</v>
      </c>
      <c r="AL12" s="1482" t="n">
        <v>20</v>
      </c>
      <c r="AM12" s="1482" t="n">
        <v>20</v>
      </c>
      <c r="AN12" s="1482" t="n">
        <v>20</v>
      </c>
      <c r="AO12" s="1482" t="n">
        <v>20</v>
      </c>
      <c r="AP12" s="1482" t="n">
        <v>20</v>
      </c>
      <c r="AQ12" s="1482" t="n">
        <v>20</v>
      </c>
    </row>
    <row r="13" ht="13.15" customHeight="1" s="1232">
      <c r="C13" s="256" t="n">
        <v>6</v>
      </c>
      <c r="D13" s="1480" t="inlineStr">
        <is>
          <t>Jean</t>
        </is>
      </c>
      <c r="E13" s="1480" t="inlineStr">
        <is>
          <t>Dance</t>
        </is>
      </c>
      <c r="F13" s="1481" t="inlineStr">
        <is>
          <t>Annual</t>
        </is>
      </c>
      <c r="G13" s="1480" t="n">
        <v>200</v>
      </c>
      <c r="H13" s="255" t="n">
        <v>41974</v>
      </c>
      <c r="Y13" s="1482" t="n">
        <v>200</v>
      </c>
    </row>
    <row r="14" ht="13.15" customHeight="1" s="1232">
      <c r="C14" s="256" t="n">
        <v>7</v>
      </c>
      <c r="D14" s="256" t="inlineStr">
        <is>
          <t>Johanna</t>
        </is>
      </c>
      <c r="E14" s="1480" t="inlineStr">
        <is>
          <t>Stansfield</t>
        </is>
      </c>
      <c r="F14" s="1481" t="inlineStr">
        <is>
          <t>Annual</t>
        </is>
      </c>
      <c r="G14" s="1480" t="n">
        <v>200</v>
      </c>
      <c r="H14" s="255" t="n">
        <v>41821</v>
      </c>
      <c r="Y14" s="1482" t="n"/>
    </row>
    <row r="15" ht="13.15" customHeight="1" s="1232">
      <c r="C15" s="256" t="n">
        <v>8</v>
      </c>
      <c r="D15" s="256" t="inlineStr">
        <is>
          <t>Kirsten</t>
        </is>
      </c>
      <c r="E15" s="256" t="inlineStr">
        <is>
          <t>Pearce</t>
        </is>
      </c>
      <c r="F15" s="1481" t="inlineStr">
        <is>
          <t>Annual</t>
        </is>
      </c>
      <c r="G15" s="1480" t="n">
        <v>200</v>
      </c>
      <c r="H15" s="255" t="n">
        <v>41821</v>
      </c>
      <c r="Y15" s="1482" t="n"/>
    </row>
    <row r="16" ht="13.15" customHeight="1" s="1232">
      <c r="C16" s="256" t="n">
        <v>9</v>
      </c>
      <c r="D16" s="1480" t="inlineStr">
        <is>
          <t>Mike</t>
        </is>
      </c>
      <c r="E16" s="1480" t="inlineStr">
        <is>
          <t>Ford</t>
        </is>
      </c>
      <c r="F16" s="1481" t="inlineStr">
        <is>
          <t>Annual</t>
        </is>
      </c>
      <c r="G16" s="1480" t="n">
        <v>200</v>
      </c>
      <c r="H16" s="255" t="n">
        <v>42430</v>
      </c>
      <c r="AB16" s="1482" t="n">
        <v>200</v>
      </c>
      <c r="AC16" s="1480" t="n">
        <v>0</v>
      </c>
      <c r="AD16" s="1480" t="n">
        <v>0</v>
      </c>
      <c r="AE16" s="1480" t="n">
        <v>0</v>
      </c>
      <c r="AF16" s="1480" t="n">
        <v>0</v>
      </c>
      <c r="AG16" s="1480" t="n">
        <v>0</v>
      </c>
      <c r="AH16" s="1480" t="n">
        <v>0</v>
      </c>
      <c r="AI16" s="1480" t="n">
        <v>0</v>
      </c>
      <c r="AJ16" s="1480" t="n">
        <v>0</v>
      </c>
      <c r="AK16" s="1480" t="n">
        <v>0</v>
      </c>
      <c r="AL16" s="1480" t="n">
        <v>0</v>
      </c>
      <c r="AM16" s="1480" t="n">
        <v>0</v>
      </c>
      <c r="AN16" s="1480" t="n">
        <v>0</v>
      </c>
      <c r="AO16" s="1480" t="n">
        <v>0</v>
      </c>
      <c r="AP16" s="1480" t="n">
        <v>0</v>
      </c>
      <c r="AQ16" s="1480" t="n">
        <v>0</v>
      </c>
    </row>
    <row r="17" ht="13.15" customHeight="1" s="1232">
      <c r="C17" s="256" t="n">
        <v>10</v>
      </c>
      <c r="D17" s="1480" t="inlineStr">
        <is>
          <t>Amanda</t>
        </is>
      </c>
      <c r="E17" s="1480" t="inlineStr">
        <is>
          <t>Fisher</t>
        </is>
      </c>
      <c r="F17" s="1480" t="inlineStr">
        <is>
          <t>Monthly</t>
        </is>
      </c>
      <c r="G17" s="1480" t="n">
        <v>20</v>
      </c>
      <c r="H17" s="255" t="n">
        <v>42078</v>
      </c>
      <c r="I17" s="1480" t="inlineStr">
        <is>
          <t>22nd</t>
        </is>
      </c>
      <c r="J17" s="1480" t="inlineStr">
        <is>
          <t>PayPal</t>
        </is>
      </c>
      <c r="AB17" s="1482" t="n">
        <v>20</v>
      </c>
      <c r="AC17" s="1482" t="n">
        <v>20</v>
      </c>
      <c r="AD17" s="1482" t="n">
        <v>20</v>
      </c>
      <c r="AE17" s="1482" t="n">
        <v>20</v>
      </c>
      <c r="AF17" s="1482" t="n">
        <v>20</v>
      </c>
      <c r="AG17" s="1482" t="n">
        <v>20</v>
      </c>
      <c r="AH17" s="1482" t="n">
        <v>20</v>
      </c>
    </row>
    <row r="18" ht="13.15" customHeight="1" s="1232">
      <c r="C18" s="256" t="n">
        <v>11</v>
      </c>
      <c r="D18" s="262" t="inlineStr">
        <is>
          <t>Natalie</t>
        </is>
      </c>
      <c r="E18" s="1483" t="inlineStr">
        <is>
          <t>Jones</t>
        </is>
      </c>
      <c r="F18" s="1480" t="inlineStr">
        <is>
          <t>Monthly</t>
        </is>
      </c>
      <c r="G18" s="1480" t="n">
        <v>20</v>
      </c>
      <c r="H18" s="255" t="n">
        <v>42078</v>
      </c>
      <c r="I18" s="1480" t="inlineStr">
        <is>
          <t>30th</t>
        </is>
      </c>
      <c r="J18" s="1480" t="inlineStr">
        <is>
          <t>bank</t>
        </is>
      </c>
      <c r="AB18" s="1482" t="n">
        <v>20</v>
      </c>
      <c r="AC18" s="1482" t="n">
        <v>20</v>
      </c>
      <c r="AD18" s="1482" t="n">
        <v>20</v>
      </c>
    </row>
    <row r="19" ht="13.15" customHeight="1" s="1232">
      <c r="C19" s="256" t="n">
        <v>12</v>
      </c>
      <c r="D19" s="262" t="inlineStr">
        <is>
          <t>Ian</t>
        </is>
      </c>
      <c r="E19" s="1483" t="inlineStr">
        <is>
          <t>Crowson</t>
        </is>
      </c>
      <c r="F19" s="1480" t="inlineStr">
        <is>
          <t>Monthly</t>
        </is>
      </c>
      <c r="G19" s="1480" t="n">
        <v>20</v>
      </c>
      <c r="H19" s="255" t="n">
        <v>42095</v>
      </c>
      <c r="I19" s="1480" t="inlineStr">
        <is>
          <t>3rd</t>
        </is>
      </c>
      <c r="J19" s="1480" t="inlineStr">
        <is>
          <t>PayPal</t>
        </is>
      </c>
      <c r="AC19" s="1482" t="n">
        <v>20</v>
      </c>
      <c r="AD19" s="1482" t="n">
        <v>20</v>
      </c>
      <c r="AE19" s="1482" t="n">
        <v>20</v>
      </c>
      <c r="AF19" s="1482" t="n">
        <v>20</v>
      </c>
      <c r="AG19" s="1482" t="n">
        <v>20</v>
      </c>
    </row>
    <row r="20" ht="13.15" customHeight="1" s="1232">
      <c r="C20" s="256" t="n">
        <v>13</v>
      </c>
      <c r="D20" s="262" t="inlineStr">
        <is>
          <t>Jane</t>
        </is>
      </c>
      <c r="E20" s="1483" t="inlineStr">
        <is>
          <t>Lambert</t>
        </is>
      </c>
      <c r="F20" s="1481" t="inlineStr">
        <is>
          <t>Annual</t>
        </is>
      </c>
      <c r="G20" s="1480" t="n">
        <v>200</v>
      </c>
      <c r="H20" s="255" t="n">
        <v>42095</v>
      </c>
      <c r="AC20" s="1482" t="n">
        <v>200</v>
      </c>
      <c r="AD20" s="1480" t="n">
        <v>0</v>
      </c>
      <c r="AE20" s="1480" t="n">
        <v>0</v>
      </c>
      <c r="AF20" s="1480" t="n">
        <v>0</v>
      </c>
      <c r="AG20" s="1480" t="n">
        <v>0</v>
      </c>
      <c r="AH20" s="1480" t="n">
        <v>0</v>
      </c>
      <c r="AI20" s="1480" t="n">
        <v>0</v>
      </c>
      <c r="AJ20" s="1480" t="n">
        <v>0</v>
      </c>
      <c r="AK20" s="1480" t="n">
        <v>0</v>
      </c>
      <c r="AL20" s="1480" t="n">
        <v>0</v>
      </c>
      <c r="AM20" s="1480" t="n">
        <v>0</v>
      </c>
      <c r="AN20" s="1480" t="n">
        <v>0</v>
      </c>
      <c r="AO20" s="1480" t="n">
        <v>0</v>
      </c>
      <c r="AP20" s="1480" t="n">
        <v>0</v>
      </c>
      <c r="AQ20" s="1480" t="n">
        <v>0</v>
      </c>
    </row>
    <row r="21" ht="13.15" customHeight="1" s="1232">
      <c r="C21" s="256" t="n">
        <v>14</v>
      </c>
      <c r="D21" s="264" t="inlineStr">
        <is>
          <t>Christopher</t>
        </is>
      </c>
      <c r="E21" s="265" t="inlineStr">
        <is>
          <t>Parker</t>
        </is>
      </c>
      <c r="F21" s="1480" t="inlineStr">
        <is>
          <t>Monthly</t>
        </is>
      </c>
      <c r="G21" s="1480" t="n">
        <v>20</v>
      </c>
      <c r="H21" s="255" t="n">
        <v>42095</v>
      </c>
      <c r="I21" s="1480" t="inlineStr">
        <is>
          <t>14th</t>
        </is>
      </c>
      <c r="J21" s="1480" t="inlineStr">
        <is>
          <t>PayPal</t>
        </is>
      </c>
      <c r="AC21" s="1482" t="n">
        <v>20</v>
      </c>
      <c r="AD21" s="1482" t="n">
        <v>20</v>
      </c>
      <c r="AE21" s="1482" t="n">
        <v>20</v>
      </c>
      <c r="AF21" s="1482" t="n">
        <v>20</v>
      </c>
      <c r="AG21" s="1482" t="n">
        <v>20</v>
      </c>
      <c r="AH21" s="1482" t="n">
        <v>20</v>
      </c>
    </row>
    <row r="22" ht="13.15" customHeight="1" s="1232">
      <c r="C22" s="256" t="n">
        <v>15</v>
      </c>
      <c r="D22" s="1480" t="inlineStr">
        <is>
          <t>Louise</t>
        </is>
      </c>
      <c r="E22" s="1480" t="inlineStr">
        <is>
          <t>Panayides</t>
        </is>
      </c>
      <c r="F22" s="1480" t="inlineStr">
        <is>
          <t>Monthly</t>
        </is>
      </c>
      <c r="G22" s="1480" t="n">
        <v>0</v>
      </c>
      <c r="H22" s="255" t="n">
        <v>42095</v>
      </c>
      <c r="AC22" s="1482" t="n">
        <v>0</v>
      </c>
      <c r="AD22" s="1482" t="n">
        <v>0</v>
      </c>
      <c r="AE22" s="1482" t="n">
        <v>0</v>
      </c>
      <c r="AF22" s="1482" t="n">
        <v>0</v>
      </c>
      <c r="AG22" s="1482" t="n">
        <v>0</v>
      </c>
      <c r="AH22" s="1482" t="n">
        <v>0</v>
      </c>
      <c r="AI22" s="1482" t="n">
        <v>0</v>
      </c>
      <c r="AJ22" s="1482" t="n">
        <v>0</v>
      </c>
      <c r="AK22" s="1482" t="n">
        <v>0</v>
      </c>
      <c r="AL22" s="1482" t="n">
        <v>0</v>
      </c>
      <c r="AM22" s="1482" t="n">
        <v>0</v>
      </c>
      <c r="AN22" s="1482" t="n">
        <v>0</v>
      </c>
      <c r="AO22" s="1482" t="n">
        <v>0</v>
      </c>
      <c r="AP22" s="1482" t="n">
        <v>0</v>
      </c>
      <c r="AQ22" s="1482" t="n">
        <v>0</v>
      </c>
    </row>
    <row r="23" ht="13.15" customHeight="1" s="1232">
      <c r="C23" s="256" t="n">
        <v>16</v>
      </c>
      <c r="D23" s="256" t="inlineStr">
        <is>
          <t>Sarah</t>
        </is>
      </c>
      <c r="E23" s="262" t="inlineStr">
        <is>
          <t>Vaughan</t>
        </is>
      </c>
      <c r="F23" s="1480" t="inlineStr">
        <is>
          <t>Monthly</t>
        </is>
      </c>
      <c r="G23" s="1480" t="n">
        <v>20</v>
      </c>
      <c r="H23" s="255" t="n">
        <v>42095</v>
      </c>
      <c r="I23" s="1480" t="inlineStr">
        <is>
          <t>1st</t>
        </is>
      </c>
      <c r="J23" s="1480" t="inlineStr">
        <is>
          <t>Halifax</t>
        </is>
      </c>
      <c r="AC23" s="1482" t="n">
        <v>20</v>
      </c>
      <c r="AD23" s="1482" t="n">
        <v>20</v>
      </c>
      <c r="AE23" s="1482" t="n">
        <v>20</v>
      </c>
      <c r="AF23" s="1482" t="n">
        <v>20</v>
      </c>
    </row>
    <row r="24" ht="13.15" customHeight="1" s="1232">
      <c r="C24" s="256" t="n">
        <v>17</v>
      </c>
      <c r="D24" s="256" t="inlineStr">
        <is>
          <t>Sue</t>
        </is>
      </c>
      <c r="E24" s="262" t="inlineStr">
        <is>
          <t>Keating</t>
        </is>
      </c>
      <c r="F24" s="1480" t="inlineStr">
        <is>
          <t>Monthly</t>
        </is>
      </c>
      <c r="G24" s="1480" t="n">
        <v>20</v>
      </c>
      <c r="H24" s="255" t="n">
        <v>42095</v>
      </c>
      <c r="I24" s="1480" t="inlineStr">
        <is>
          <t>28th</t>
        </is>
      </c>
      <c r="J24" s="1480" t="inlineStr">
        <is>
          <t>PayPal</t>
        </is>
      </c>
      <c r="AC24" s="1482" t="n">
        <v>20</v>
      </c>
      <c r="AD24" s="1482" t="n">
        <v>20</v>
      </c>
      <c r="AE24" s="1482" t="n">
        <v>20</v>
      </c>
      <c r="AF24" s="1482" t="n">
        <v>20</v>
      </c>
      <c r="AG24" s="1482" t="n">
        <v>20</v>
      </c>
      <c r="AH24" s="1482" t="n">
        <v>20</v>
      </c>
      <c r="AI24" s="1482" t="n">
        <v>20</v>
      </c>
    </row>
    <row r="25" ht="13.15" customHeight="1" s="1232">
      <c r="C25" s="256" t="n">
        <v>18</v>
      </c>
      <c r="D25" s="256" t="inlineStr">
        <is>
          <t>Loraine</t>
        </is>
      </c>
      <c r="E25" s="262" t="inlineStr">
        <is>
          <t>Bryan</t>
        </is>
      </c>
      <c r="F25" s="1480" t="inlineStr">
        <is>
          <t>Monthly</t>
        </is>
      </c>
      <c r="G25" s="1480" t="n">
        <v>20</v>
      </c>
      <c r="H25" s="255" t="n">
        <v>42139</v>
      </c>
      <c r="I25" s="1480" t="inlineStr">
        <is>
          <t>18th</t>
        </is>
      </c>
      <c r="J25" s="1480" t="inlineStr">
        <is>
          <t>PayPal</t>
        </is>
      </c>
      <c r="AD25" s="1482" t="n">
        <v>20</v>
      </c>
      <c r="AE25" s="1482" t="n">
        <v>20</v>
      </c>
      <c r="AF25" s="1482" t="n">
        <v>20</v>
      </c>
      <c r="AG25" s="1482" t="n">
        <v>20</v>
      </c>
    </row>
    <row r="26" ht="13.15" customHeight="1" s="1232">
      <c r="C26" s="256" t="n">
        <v>19</v>
      </c>
      <c r="D26" s="1484" t="inlineStr">
        <is>
          <t>Alan</t>
        </is>
      </c>
      <c r="E26" s="1484" t="inlineStr">
        <is>
          <t>Newbold</t>
        </is>
      </c>
      <c r="F26" s="1484" t="inlineStr">
        <is>
          <t>Monthly</t>
        </is>
      </c>
      <c r="G26" s="1484" t="n">
        <v>20</v>
      </c>
      <c r="H26" s="255" t="n">
        <v>42170</v>
      </c>
      <c r="I26" s="1484" t="inlineStr">
        <is>
          <t>3rd</t>
        </is>
      </c>
      <c r="J26" s="1484" t="inlineStr">
        <is>
          <t>PayPal</t>
        </is>
      </c>
      <c r="V26" s="1480" t="n">
        <v>12.5</v>
      </c>
      <c r="W26" s="1480" t="n">
        <v>12.5</v>
      </c>
      <c r="X26" s="1480" t="n">
        <v>12.5</v>
      </c>
      <c r="Y26" s="1480" t="n">
        <v>12.5</v>
      </c>
      <c r="AE26" s="1482" t="n">
        <v>20</v>
      </c>
      <c r="AF26" s="1482" t="n">
        <v>20</v>
      </c>
      <c r="AG26" s="1482" t="n">
        <v>20</v>
      </c>
    </row>
    <row r="27" ht="13.15" customHeight="1" s="1232">
      <c r="C27" s="256" t="n">
        <v>20</v>
      </c>
      <c r="D27" s="267" t="inlineStr">
        <is>
          <t>Adrian</t>
        </is>
      </c>
      <c r="E27" s="267" t="inlineStr">
        <is>
          <t>Gains</t>
        </is>
      </c>
      <c r="F27" s="267" t="inlineStr">
        <is>
          <t>Monthly</t>
        </is>
      </c>
      <c r="G27" s="1484" t="n">
        <v>20</v>
      </c>
      <c r="H27" s="255" t="n">
        <v>42170</v>
      </c>
      <c r="I27" s="1484" t="inlineStr">
        <is>
          <t>6th</t>
        </is>
      </c>
      <c r="J27" s="1484" t="inlineStr">
        <is>
          <t>PayPal</t>
        </is>
      </c>
      <c r="K27" s="1484" t="inlineStr">
        <is>
          <t>Paid by Mary</t>
        </is>
      </c>
      <c r="L27" s="1485" t="inlineStr">
        <is>
          <t>mary.paterson@ymail.com</t>
        </is>
      </c>
      <c r="AE27" s="1482" t="n">
        <v>20</v>
      </c>
      <c r="AF27" s="1482" t="n">
        <v>20</v>
      </c>
    </row>
    <row r="28" ht="13.15" customHeight="1" s="1232">
      <c r="C28" s="256" t="n">
        <v>21</v>
      </c>
      <c r="D28" s="1483" t="inlineStr">
        <is>
          <t>Matthew</t>
        </is>
      </c>
      <c r="E28" s="1483" t="inlineStr">
        <is>
          <t>Battison</t>
        </is>
      </c>
      <c r="F28" s="1484" t="inlineStr">
        <is>
          <t>Annual</t>
        </is>
      </c>
      <c r="G28" s="1484" t="n">
        <v>200</v>
      </c>
      <c r="H28" s="255" t="n">
        <v>42170</v>
      </c>
      <c r="I28" s="1484" t="n"/>
      <c r="J28" s="1484" t="inlineStr">
        <is>
          <t>Gift Voucher</t>
        </is>
      </c>
      <c r="K28" s="1484" t="n"/>
      <c r="L28" s="1485" t="n"/>
      <c r="AE28" s="1482" t="n">
        <v>200</v>
      </c>
    </row>
    <row r="29" ht="13.15" customHeight="1" s="1232">
      <c r="C29" s="256" t="n">
        <v>22</v>
      </c>
      <c r="D29" s="256" t="inlineStr">
        <is>
          <t xml:space="preserve">Philippa </t>
        </is>
      </c>
      <c r="E29" s="1484" t="inlineStr">
        <is>
          <t>Thurgur</t>
        </is>
      </c>
      <c r="F29" s="1484" t="inlineStr">
        <is>
          <t>Monthly</t>
        </is>
      </c>
      <c r="G29" s="1484" t="n">
        <v>20</v>
      </c>
      <c r="H29" s="255" t="n">
        <v>42170</v>
      </c>
      <c r="I29" s="1484" t="inlineStr">
        <is>
          <t>11th</t>
        </is>
      </c>
      <c r="J29" s="1484" t="inlineStr">
        <is>
          <t>Paypal</t>
        </is>
      </c>
      <c r="K29" s="1484" t="n"/>
      <c r="L29" s="1485" t="n"/>
      <c r="AE29" s="1482" t="n">
        <v>20</v>
      </c>
      <c r="AF29" s="1482" t="n">
        <v>20</v>
      </c>
      <c r="AG29" s="1482" t="n">
        <v>20</v>
      </c>
      <c r="AH29" s="1482" t="n">
        <v>20</v>
      </c>
      <c r="AI29" s="1482" t="n">
        <v>20</v>
      </c>
    </row>
    <row r="30" ht="13.9" customHeight="1" s="1232">
      <c r="C30" s="256" t="n">
        <v>23</v>
      </c>
      <c r="D30" s="1486" t="inlineStr">
        <is>
          <t>leslie</t>
        </is>
      </c>
      <c r="E30" s="1486" t="inlineStr">
        <is>
          <t>adams</t>
        </is>
      </c>
      <c r="F30" s="1484" t="inlineStr">
        <is>
          <t>Monthly</t>
        </is>
      </c>
      <c r="G30" s="1484" t="n">
        <v>20</v>
      </c>
      <c r="H30" s="255" t="n">
        <v>42186</v>
      </c>
      <c r="I30" s="1484" t="inlineStr">
        <is>
          <t>7th</t>
        </is>
      </c>
      <c r="J30" s="1484" t="inlineStr">
        <is>
          <t>Paypal</t>
        </is>
      </c>
      <c r="AF30" s="1482" t="n">
        <v>20</v>
      </c>
      <c r="AG30" s="1482" t="n">
        <v>20</v>
      </c>
      <c r="AH30" s="1482" t="n">
        <v>20</v>
      </c>
      <c r="AI30" s="1482" t="n">
        <v>20</v>
      </c>
      <c r="AJ30" s="1482" t="n">
        <v>20</v>
      </c>
    </row>
    <row r="31" ht="13.9" customHeight="1" s="1232">
      <c r="C31" s="256" t="n">
        <v>24</v>
      </c>
      <c r="D31" s="1486" t="inlineStr">
        <is>
          <t>Rachel</t>
        </is>
      </c>
      <c r="E31" s="1486" t="inlineStr">
        <is>
          <t>Carrell</t>
        </is>
      </c>
      <c r="F31" s="1484" t="inlineStr">
        <is>
          <t>Monthly</t>
        </is>
      </c>
      <c r="G31" s="1484" t="n">
        <v>20</v>
      </c>
      <c r="H31" s="255" t="n">
        <v>42217</v>
      </c>
      <c r="I31" s="1484" t="inlineStr">
        <is>
          <t>28th</t>
        </is>
      </c>
      <c r="J31" s="1484" t="inlineStr">
        <is>
          <t>PayPal</t>
        </is>
      </c>
      <c r="AF31" s="1482" t="n">
        <v>20</v>
      </c>
      <c r="AG31" s="1482" t="n">
        <v>20</v>
      </c>
      <c r="AH31" s="1482" t="n">
        <v>20</v>
      </c>
      <c r="AI31" s="1482" t="n">
        <v>20</v>
      </c>
      <c r="AJ31" s="1482" t="n">
        <v>20</v>
      </c>
    </row>
    <row r="32" ht="13.9" customHeight="1" s="1232">
      <c r="C32" s="256" t="n">
        <v>25</v>
      </c>
      <c r="D32" s="1486" t="inlineStr">
        <is>
          <t>Shuna</t>
        </is>
      </c>
      <c r="E32" s="1486" t="inlineStr">
        <is>
          <t>Frood</t>
        </is>
      </c>
      <c r="F32" s="1484" t="inlineStr">
        <is>
          <t>Monthly</t>
        </is>
      </c>
      <c r="G32" s="1484" t="n">
        <v>20</v>
      </c>
      <c r="H32" s="255" t="n">
        <v>42248</v>
      </c>
      <c r="I32" s="1484" t="inlineStr">
        <is>
          <t>10th</t>
        </is>
      </c>
      <c r="J32" s="1484" t="inlineStr">
        <is>
          <t>PayPal</t>
        </is>
      </c>
      <c r="AH32" s="1482" t="n">
        <v>20</v>
      </c>
      <c r="AI32" s="1482" t="n">
        <v>20</v>
      </c>
      <c r="AJ32" s="1482" t="n">
        <v>20</v>
      </c>
      <c r="AK32" s="1482" t="n">
        <v>20</v>
      </c>
      <c r="AL32" s="1482" t="n">
        <v>20</v>
      </c>
      <c r="AM32" s="1482" t="n">
        <v>20</v>
      </c>
      <c r="AN32" s="1482" t="n">
        <v>20</v>
      </c>
      <c r="AO32" s="1482" t="n">
        <v>20</v>
      </c>
      <c r="AP32" s="1482" t="n">
        <v>20</v>
      </c>
      <c r="AQ32" s="1482" t="n">
        <v>20</v>
      </c>
      <c r="AR32" s="1482" t="n">
        <v>20</v>
      </c>
      <c r="AS32" s="1482" t="n">
        <v>20</v>
      </c>
    </row>
    <row r="33" ht="13.9" customHeight="1" s="1232">
      <c r="A33" s="1485" t="n"/>
      <c r="B33" s="1485" t="n"/>
      <c r="C33" s="256" t="n">
        <v>26</v>
      </c>
      <c r="D33" s="1486" t="inlineStr">
        <is>
          <t>Ian</t>
        </is>
      </c>
      <c r="E33" s="1486" t="inlineStr">
        <is>
          <t>Stuart</t>
        </is>
      </c>
      <c r="F33" s="1484" t="inlineStr">
        <is>
          <t>Monthly</t>
        </is>
      </c>
      <c r="G33" s="1484" t="n">
        <v>20</v>
      </c>
      <c r="H33" s="255" t="n">
        <v>42248</v>
      </c>
      <c r="I33" s="1484" t="inlineStr">
        <is>
          <t>15th</t>
        </is>
      </c>
      <c r="J33" s="1484" t="inlineStr">
        <is>
          <t>PayPal</t>
        </is>
      </c>
      <c r="AH33" s="1482" t="n">
        <v>20</v>
      </c>
      <c r="AI33" s="1482" t="n">
        <v>20</v>
      </c>
      <c r="AJ33" s="1482" t="n">
        <v>20</v>
      </c>
      <c r="AK33" s="1482" t="n">
        <v>20</v>
      </c>
      <c r="AL33" s="1482" t="n">
        <v>20</v>
      </c>
      <c r="AM33" s="1482" t="n">
        <v>20</v>
      </c>
      <c r="AN33" s="1482" t="n">
        <v>20</v>
      </c>
      <c r="AO33" s="1482" t="n">
        <v>20</v>
      </c>
      <c r="AP33" s="1482" t="n">
        <v>20</v>
      </c>
    </row>
    <row r="34" ht="13.15" customHeight="1" s="1232">
      <c r="A34" s="1485" t="n"/>
      <c r="B34" s="1485" t="n"/>
      <c r="C34" s="256" t="n">
        <v>27</v>
      </c>
      <c r="D34" s="256" t="inlineStr">
        <is>
          <t>Patrick</t>
        </is>
      </c>
      <c r="E34" s="256" t="inlineStr">
        <is>
          <t xml:space="preserve">Robiquet </t>
        </is>
      </c>
      <c r="F34" s="1484" t="inlineStr">
        <is>
          <t>Monthly</t>
        </is>
      </c>
      <c r="G34" s="1484" t="n">
        <v>20</v>
      </c>
      <c r="H34" s="255" t="n">
        <v>42292</v>
      </c>
      <c r="I34" s="1484" t="inlineStr">
        <is>
          <t>17th</t>
        </is>
      </c>
      <c r="J34" s="1484" t="inlineStr">
        <is>
          <t>PayPal</t>
        </is>
      </c>
      <c r="AI34" s="1482" t="n">
        <v>20</v>
      </c>
      <c r="AJ34" s="1482" t="n">
        <v>20</v>
      </c>
      <c r="AK34" s="1482" t="n">
        <v>20</v>
      </c>
      <c r="AL34" s="1482" t="n">
        <v>20</v>
      </c>
    </row>
    <row r="35" ht="13.15" customHeight="1" s="1232">
      <c r="A35" s="1485" t="n"/>
      <c r="B35" s="1485" t="n"/>
      <c r="C35" s="256" t="n">
        <v>28</v>
      </c>
      <c r="D35" s="256" t="inlineStr">
        <is>
          <t>Philip</t>
        </is>
      </c>
      <c r="E35" s="256" t="inlineStr">
        <is>
          <t>Seymour</t>
        </is>
      </c>
      <c r="F35" s="1484" t="inlineStr">
        <is>
          <t>Monthly</t>
        </is>
      </c>
      <c r="G35" s="1484" t="n">
        <v>20</v>
      </c>
      <c r="H35" s="255" t="n">
        <v>42292</v>
      </c>
      <c r="I35" s="1484" t="inlineStr">
        <is>
          <t>24th</t>
        </is>
      </c>
      <c r="J35" s="1484" t="inlineStr">
        <is>
          <t>PayPal</t>
        </is>
      </c>
      <c r="AI35" s="1482" t="n">
        <v>20</v>
      </c>
      <c r="AJ35" s="1482" t="n">
        <v>20</v>
      </c>
      <c r="AK35" s="1482" t="n">
        <v>20</v>
      </c>
    </row>
    <row r="36" ht="13.15" customHeight="1" s="1232">
      <c r="A36" s="261" t="n"/>
      <c r="B36" s="261" t="n"/>
      <c r="C36" s="256" t="n">
        <v>29</v>
      </c>
      <c r="D36" s="256" t="inlineStr">
        <is>
          <t>Ann</t>
        </is>
      </c>
      <c r="E36" s="256" t="inlineStr">
        <is>
          <t>Gribble</t>
        </is>
      </c>
      <c r="F36" s="1484" t="inlineStr">
        <is>
          <t>Annual</t>
        </is>
      </c>
      <c r="G36" s="1484" t="n">
        <v>200</v>
      </c>
      <c r="H36" s="255" t="n">
        <v>42370</v>
      </c>
      <c r="I36" s="1484" t="n"/>
      <c r="J36" s="1484" t="inlineStr">
        <is>
          <t>PayPal</t>
        </is>
      </c>
      <c r="AK36" s="1482" t="n">
        <v>200</v>
      </c>
    </row>
    <row r="37" ht="13.15" customHeight="1" s="1232">
      <c r="A37" s="1485" t="n"/>
      <c r="B37" s="1485" t="n"/>
      <c r="C37" s="256" t="n">
        <v>30</v>
      </c>
      <c r="D37" s="1480" t="inlineStr">
        <is>
          <t>Maxine</t>
        </is>
      </c>
      <c r="E37" s="1480" t="inlineStr">
        <is>
          <t>Watts</t>
        </is>
      </c>
      <c r="F37" s="1480" t="inlineStr">
        <is>
          <t>Annual</t>
        </is>
      </c>
      <c r="G37" s="1484" t="n"/>
      <c r="H37" s="255" t="n">
        <v>42370</v>
      </c>
      <c r="I37" s="1484" t="n"/>
      <c r="J37" s="1484" t="inlineStr">
        <is>
          <t>Pick N Mix</t>
        </is>
      </c>
    </row>
    <row r="38" ht="13.15" customHeight="1" s="1232">
      <c r="A38" s="1485" t="n"/>
      <c r="B38" s="1485" t="n"/>
      <c r="C38" s="256" t="n">
        <v>31</v>
      </c>
      <c r="D38" s="1480" t="inlineStr">
        <is>
          <t>Sadok</t>
        </is>
      </c>
      <c r="E38" s="1480" t="inlineStr">
        <is>
          <t xml:space="preserve">Kohen </t>
        </is>
      </c>
      <c r="F38" s="1484" t="inlineStr">
        <is>
          <t>Monthly</t>
        </is>
      </c>
      <c r="G38" s="1484" t="n">
        <v>20</v>
      </c>
      <c r="H38" s="255" t="n">
        <v>42491</v>
      </c>
      <c r="I38" s="1484" t="inlineStr">
        <is>
          <t>11th</t>
        </is>
      </c>
      <c r="J38" s="1484" t="inlineStr">
        <is>
          <t>PayPal</t>
        </is>
      </c>
      <c r="AP38" s="1482" t="n">
        <v>20</v>
      </c>
    </row>
    <row r="39" ht="13.15" customHeight="1" s="1232">
      <c r="A39" s="1485" t="n"/>
      <c r="C39" s="256" t="n">
        <v>32</v>
      </c>
      <c r="D39" s="256" t="inlineStr">
        <is>
          <t>David</t>
        </is>
      </c>
      <c r="E39" s="256" t="inlineStr">
        <is>
          <t>Varo</t>
        </is>
      </c>
      <c r="F39" s="1480" t="inlineStr">
        <is>
          <t>Annual</t>
        </is>
      </c>
      <c r="G39" s="1484" t="n">
        <v>200</v>
      </c>
      <c r="H39" s="255" t="n">
        <v>42583</v>
      </c>
      <c r="I39" s="1484" t="n"/>
      <c r="J39" s="1484" t="inlineStr">
        <is>
          <t>PayPal</t>
        </is>
      </c>
      <c r="AR39" s="1482" t="n">
        <v>200</v>
      </c>
    </row>
    <row r="40" ht="13.15" customHeight="1" s="1232">
      <c r="A40" s="1485" t="n"/>
      <c r="B40" s="1485" t="n"/>
      <c r="C40" s="256" t="n">
        <v>33</v>
      </c>
      <c r="D40" s="256" t="inlineStr">
        <is>
          <t>Lynn</t>
        </is>
      </c>
      <c r="E40" s="256" t="inlineStr">
        <is>
          <t>Hughes</t>
        </is>
      </c>
      <c r="F40" s="1484" t="inlineStr">
        <is>
          <t>Monthly</t>
        </is>
      </c>
      <c r="G40" s="1484" t="n">
        <v>20</v>
      </c>
      <c r="H40" s="255" t="n">
        <v>42660</v>
      </c>
      <c r="I40" s="1484" t="inlineStr">
        <is>
          <t>17th</t>
        </is>
      </c>
      <c r="J40" s="1484" t="inlineStr">
        <is>
          <t>PayPal</t>
        </is>
      </c>
      <c r="AU40" s="1482" t="n">
        <v>20</v>
      </c>
    </row>
    <row r="41" ht="13.9" customHeight="1" s="1232">
      <c r="A41" s="261" t="n"/>
      <c r="C41" s="256" t="n">
        <v>34</v>
      </c>
      <c r="D41" s="262" t="inlineStr">
        <is>
          <t>Anne-Marie</t>
        </is>
      </c>
      <c r="E41" s="1483" t="inlineStr">
        <is>
          <t xml:space="preserve"> Scott</t>
        </is>
      </c>
      <c r="F41" s="1486" t="inlineStr">
        <is>
          <t>Annual</t>
        </is>
      </c>
      <c r="G41" s="1484" t="n">
        <v>200</v>
      </c>
      <c r="H41" s="255" t="n">
        <v>42795</v>
      </c>
      <c r="I41" s="1484" t="n"/>
      <c r="J41" s="1484" t="inlineStr">
        <is>
          <t>PayPal</t>
        </is>
      </c>
      <c r="AW41" s="1482" t="n">
        <v>200</v>
      </c>
    </row>
    <row r="42" ht="13.9" customHeight="1" s="1232">
      <c r="A42" s="261" t="n"/>
      <c r="C42" s="256" t="n">
        <v>35</v>
      </c>
      <c r="D42" s="262" t="inlineStr">
        <is>
          <t>Jane</t>
        </is>
      </c>
      <c r="E42" s="1483" t="inlineStr">
        <is>
          <t>Murphy</t>
        </is>
      </c>
      <c r="F42" s="1486" t="inlineStr">
        <is>
          <t>Annual</t>
        </is>
      </c>
      <c r="G42" s="1484" t="n">
        <v>200</v>
      </c>
      <c r="H42" s="255" t="n">
        <v>42736</v>
      </c>
      <c r="I42" s="1484" t="n"/>
      <c r="J42" s="1484" t="inlineStr">
        <is>
          <t>Gift Voucher</t>
        </is>
      </c>
      <c r="AW42" s="1482" t="n">
        <v>200</v>
      </c>
    </row>
    <row r="43" ht="13.9" customHeight="1" s="1232">
      <c r="A43" s="261" t="n"/>
      <c r="C43" s="256" t="n">
        <v>36</v>
      </c>
      <c r="D43" s="262" t="inlineStr">
        <is>
          <t xml:space="preserve">Chris </t>
        </is>
      </c>
      <c r="E43" s="1483" t="inlineStr">
        <is>
          <t>Parker</t>
        </is>
      </c>
      <c r="F43" s="1486" t="inlineStr">
        <is>
          <t>Monthly</t>
        </is>
      </c>
      <c r="G43" s="1484" t="n">
        <v>20</v>
      </c>
      <c r="H43" s="255" t="n">
        <v>42767</v>
      </c>
      <c r="I43" s="1484" t="inlineStr">
        <is>
          <t>20th</t>
        </is>
      </c>
      <c r="J43" s="1484" t="inlineStr">
        <is>
          <t>PayPal</t>
        </is>
      </c>
      <c r="AY43" s="1482" t="n">
        <v>20</v>
      </c>
      <c r="AZ43" s="1482" t="n">
        <v>20</v>
      </c>
      <c r="BA43" s="1482" t="n">
        <v>20</v>
      </c>
      <c r="BB43" s="1482" t="n">
        <v>20</v>
      </c>
      <c r="BC43" s="1482" t="n">
        <v>20</v>
      </c>
      <c r="BD43" s="1482" t="n">
        <v>20</v>
      </c>
      <c r="BE43" s="1482" t="n">
        <v>20</v>
      </c>
      <c r="BF43" s="1482" t="n">
        <v>20</v>
      </c>
      <c r="BG43" s="1482" t="n">
        <v>20</v>
      </c>
      <c r="BH43" s="1482" t="n">
        <v>20</v>
      </c>
      <c r="BI43" s="1482" t="n">
        <v>20</v>
      </c>
      <c r="BJ43" s="1482" t="n">
        <v>20</v>
      </c>
      <c r="BK43" s="1482" t="n">
        <v>20</v>
      </c>
      <c r="BL43" s="1482" t="n">
        <v>20</v>
      </c>
      <c r="BM43" s="1482" t="n">
        <v>20</v>
      </c>
      <c r="BN43" s="1482" t="n">
        <v>20</v>
      </c>
      <c r="BO43" s="1482" t="n">
        <v>20</v>
      </c>
      <c r="BP43" s="1482" t="n">
        <v>20</v>
      </c>
      <c r="BQ43" s="1482" t="n">
        <v>20</v>
      </c>
    </row>
    <row r="44" ht="13.9" customHeight="1" s="1232">
      <c r="A44" s="261" t="n"/>
      <c r="C44" s="256" t="n">
        <v>37</v>
      </c>
      <c r="D44" s="262" t="inlineStr">
        <is>
          <t>Anthony</t>
        </is>
      </c>
      <c r="E44" s="1483" t="inlineStr">
        <is>
          <t>Ashcroft</t>
        </is>
      </c>
      <c r="F44" s="1486" t="inlineStr">
        <is>
          <t>Monthly</t>
        </is>
      </c>
      <c r="G44" s="1484" t="n">
        <v>20</v>
      </c>
      <c r="H44" s="255" t="n">
        <v>42856</v>
      </c>
      <c r="I44" s="1484" t="inlineStr">
        <is>
          <t>28th</t>
        </is>
      </c>
      <c r="J44" s="1484" t="inlineStr">
        <is>
          <t>PayPal</t>
        </is>
      </c>
      <c r="BA44" s="1482" t="n">
        <v>20</v>
      </c>
      <c r="BB44" s="1482" t="n">
        <v>20</v>
      </c>
      <c r="BC44" s="1482" t="n">
        <v>20</v>
      </c>
      <c r="BD44" s="1482" t="n">
        <v>20</v>
      </c>
      <c r="BE44" s="1482" t="n">
        <v>20</v>
      </c>
      <c r="BF44" s="1482" t="n">
        <v>20</v>
      </c>
      <c r="BG44" s="1482" t="n">
        <v>20</v>
      </c>
      <c r="BH44" s="1482" t="n">
        <v>20</v>
      </c>
      <c r="BI44" s="1482" t="n">
        <v>20</v>
      </c>
      <c r="BJ44" s="1482" t="n">
        <v>20</v>
      </c>
    </row>
    <row r="45" ht="13.9" customHeight="1" s="1232">
      <c r="A45" s="261" t="n"/>
      <c r="B45" s="1487" t="n"/>
      <c r="C45" s="256" t="n">
        <v>38</v>
      </c>
      <c r="D45" s="256" t="inlineStr">
        <is>
          <t>Sam</t>
        </is>
      </c>
      <c r="E45" s="1486" t="inlineStr">
        <is>
          <t>Cook</t>
        </is>
      </c>
      <c r="F45" s="1486" t="inlineStr">
        <is>
          <t>Monthly</t>
        </is>
      </c>
      <c r="G45" s="1484" t="n">
        <v>20</v>
      </c>
      <c r="H45" s="255" t="n">
        <v>42887</v>
      </c>
      <c r="I45" s="1484" t="inlineStr">
        <is>
          <t>30th</t>
        </is>
      </c>
      <c r="J45" s="1484" t="inlineStr">
        <is>
          <t>PayPal</t>
        </is>
      </c>
      <c r="BB45" s="1482" t="n">
        <v>20</v>
      </c>
      <c r="BC45" s="1482" t="n">
        <v>20</v>
      </c>
      <c r="BD45" s="1482" t="n">
        <v>20</v>
      </c>
      <c r="BE45" s="1482" t="n">
        <v>20</v>
      </c>
      <c r="BF45" s="1482" t="n">
        <v>20</v>
      </c>
      <c r="BG45" s="1482" t="n">
        <v>20</v>
      </c>
      <c r="BH45" s="1482" t="n">
        <v>20</v>
      </c>
    </row>
    <row r="46" ht="13.9" customHeight="1" s="1232">
      <c r="A46" s="261" t="n"/>
      <c r="B46" s="262" t="n"/>
      <c r="C46" s="262" t="n">
        <v>39</v>
      </c>
      <c r="D46" s="256" t="inlineStr">
        <is>
          <t>Rebecca</t>
        </is>
      </c>
      <c r="E46" s="1486" t="inlineStr">
        <is>
          <t>Long</t>
        </is>
      </c>
      <c r="F46" s="1486" t="inlineStr">
        <is>
          <t>Monthly</t>
        </is>
      </c>
      <c r="G46" s="1484" t="n">
        <v>20</v>
      </c>
      <c r="H46" s="255" t="n">
        <v>42887</v>
      </c>
      <c r="I46" s="1484" t="inlineStr">
        <is>
          <t>6th</t>
        </is>
      </c>
      <c r="J46" s="1484" t="inlineStr">
        <is>
          <t>PayPal</t>
        </is>
      </c>
      <c r="BC46" s="1482" t="n">
        <v>20</v>
      </c>
      <c r="BD46" s="1482" t="n">
        <v>20</v>
      </c>
      <c r="BE46" s="1482" t="n">
        <v>20</v>
      </c>
    </row>
    <row r="47" ht="13.9" customHeight="1" s="1232">
      <c r="A47" s="544" t="inlineStr">
        <is>
          <t>jeandance007@gmail.com</t>
        </is>
      </c>
      <c r="C47" s="256" t="n">
        <v>40</v>
      </c>
      <c r="D47" s="256" t="inlineStr">
        <is>
          <t>Jean</t>
        </is>
      </c>
      <c r="E47" s="1486" t="inlineStr">
        <is>
          <t>Dance</t>
        </is>
      </c>
      <c r="F47" s="1486" t="inlineStr">
        <is>
          <t>Annual</t>
        </is>
      </c>
      <c r="G47" s="1484" t="n">
        <v>200</v>
      </c>
      <c r="H47" s="255" t="n">
        <v>43040</v>
      </c>
      <c r="I47" s="1484" t="n"/>
      <c r="J47" s="1484" t="inlineStr">
        <is>
          <t>PayPal</t>
        </is>
      </c>
      <c r="BE47" s="1482" t="n">
        <v>200</v>
      </c>
    </row>
    <row r="48" ht="13.9" customHeight="1" s="1232">
      <c r="A48" s="1485" t="n"/>
      <c r="C48" s="256" t="n">
        <v>41</v>
      </c>
      <c r="D48" s="256" t="inlineStr">
        <is>
          <t>Karen</t>
        </is>
      </c>
      <c r="E48" s="1486" t="inlineStr">
        <is>
          <t>Pilotte</t>
        </is>
      </c>
      <c r="F48" s="1486" t="inlineStr">
        <is>
          <t>Monthly</t>
        </is>
      </c>
      <c r="G48" s="1484" t="n">
        <v>20</v>
      </c>
      <c r="H48" s="255" t="n">
        <v>42979</v>
      </c>
      <c r="I48" s="1484" t="inlineStr">
        <is>
          <t>26th</t>
        </is>
      </c>
      <c r="J48" s="1484" t="inlineStr">
        <is>
          <t>PayPal</t>
        </is>
      </c>
      <c r="BE48" s="1482" t="n">
        <v>20</v>
      </c>
      <c r="BF48" s="1482" t="n">
        <v>20</v>
      </c>
      <c r="BG48" s="1482" t="n">
        <v>20</v>
      </c>
    </row>
    <row r="49" ht="13.9" customHeight="1" s="1232">
      <c r="A49" s="291" t="n"/>
      <c r="C49" s="256" t="n">
        <v>42</v>
      </c>
      <c r="D49" s="256" t="inlineStr">
        <is>
          <t>Johanna</t>
        </is>
      </c>
      <c r="E49" s="1486" t="inlineStr">
        <is>
          <t>Stansfield</t>
        </is>
      </c>
      <c r="F49" s="1486" t="inlineStr">
        <is>
          <t>Monthly</t>
        </is>
      </c>
      <c r="G49" s="1484" t="n">
        <v>20</v>
      </c>
      <c r="H49" s="255" t="n">
        <v>42979</v>
      </c>
      <c r="I49" s="1484" t="inlineStr">
        <is>
          <t>14th</t>
        </is>
      </c>
      <c r="J49" s="1484" t="inlineStr">
        <is>
          <t>PayPal</t>
        </is>
      </c>
      <c r="BF49" s="1482" t="n">
        <v>20</v>
      </c>
    </row>
    <row r="50" ht="13.9" customHeight="1" s="1232">
      <c r="A50" s="1374" t="n"/>
      <c r="C50" s="256" t="n">
        <v>43</v>
      </c>
      <c r="D50" s="256" t="inlineStr">
        <is>
          <t>Philippa</t>
        </is>
      </c>
      <c r="E50" s="256" t="inlineStr">
        <is>
          <t>Gunn</t>
        </is>
      </c>
      <c r="F50" s="1486" t="inlineStr">
        <is>
          <t>Monthly</t>
        </is>
      </c>
      <c r="G50" s="1484" t="n">
        <v>20</v>
      </c>
      <c r="H50" s="255" t="n">
        <v>43132</v>
      </c>
      <c r="I50" s="1274" t="inlineStr">
        <is>
          <t>3rd</t>
        </is>
      </c>
      <c r="J50" s="1484" t="inlineStr">
        <is>
          <t>PayPal</t>
        </is>
      </c>
      <c r="BK50" s="1482" t="n">
        <v>20</v>
      </c>
      <c r="BL50" s="1482" t="n">
        <v>20</v>
      </c>
      <c r="BM50" s="1482" t="n">
        <v>20</v>
      </c>
      <c r="BN50" s="1482" t="n">
        <v>20</v>
      </c>
      <c r="BO50" s="1482" t="n">
        <v>20</v>
      </c>
    </row>
    <row r="51" ht="13.9" customHeight="1" s="1232">
      <c r="A51" s="544" t="n"/>
      <c r="C51" s="256" t="n">
        <v>44</v>
      </c>
      <c r="D51" s="77" t="inlineStr">
        <is>
          <t>Diana</t>
        </is>
      </c>
      <c r="E51" s="1230" t="inlineStr">
        <is>
          <t>Roberts</t>
        </is>
      </c>
      <c r="F51" s="1486" t="inlineStr">
        <is>
          <t>Monthly</t>
        </is>
      </c>
      <c r="G51" s="1484" t="n">
        <v>20</v>
      </c>
      <c r="H51" s="255" t="n">
        <v>43132</v>
      </c>
      <c r="I51" s="1274" t="inlineStr">
        <is>
          <t>9th</t>
        </is>
      </c>
      <c r="J51" s="1484" t="inlineStr">
        <is>
          <t>PayPal</t>
        </is>
      </c>
      <c r="BK51" s="1482" t="n">
        <v>20</v>
      </c>
      <c r="BL51" s="1482" t="n">
        <v>20</v>
      </c>
      <c r="BM51" s="1482" t="n">
        <v>20</v>
      </c>
      <c r="BN51" s="1374" t="n"/>
    </row>
    <row r="52" ht="13.9" customHeight="1" s="1232">
      <c r="A52" s="544" t="n"/>
      <c r="C52" s="256" t="n">
        <v>45</v>
      </c>
      <c r="D52" s="77" t="inlineStr">
        <is>
          <t>John</t>
        </is>
      </c>
      <c r="E52" s="1230" t="inlineStr">
        <is>
          <t>Stubbs</t>
        </is>
      </c>
      <c r="F52" s="1488" t="inlineStr">
        <is>
          <t>Annual</t>
        </is>
      </c>
      <c r="G52" s="1484" t="n">
        <v>200</v>
      </c>
      <c r="H52" s="255" t="n">
        <v>43132</v>
      </c>
      <c r="I52" s="1484" t="n"/>
      <c r="J52" s="1484" t="n"/>
      <c r="BK52" s="1482" t="n">
        <v>200</v>
      </c>
      <c r="BV52" s="1489" t="n"/>
      <c r="BW52" s="1480" t="n">
        <v>200</v>
      </c>
    </row>
    <row r="53" ht="13.9" customHeight="1" s="1232">
      <c r="A53" s="291" t="n"/>
      <c r="C53" s="256" t="n">
        <v>46</v>
      </c>
      <c r="D53" s="51" t="inlineStr">
        <is>
          <t>Nick</t>
        </is>
      </c>
      <c r="E53" s="1488" t="inlineStr">
        <is>
          <t xml:space="preserve">DeCianti </t>
        </is>
      </c>
      <c r="F53" s="1488" t="inlineStr">
        <is>
          <t>Monthly</t>
        </is>
      </c>
      <c r="G53" s="1484" t="n">
        <v>20</v>
      </c>
      <c r="H53" s="255" t="n">
        <v>43160</v>
      </c>
      <c r="I53" s="1274" t="inlineStr">
        <is>
          <t>8th</t>
        </is>
      </c>
      <c r="J53" s="1274" t="inlineStr">
        <is>
          <t>PayPal</t>
        </is>
      </c>
      <c r="BL53" s="1482" t="n">
        <v>20</v>
      </c>
      <c r="BM53" s="1482" t="n">
        <v>20</v>
      </c>
      <c r="BN53" s="1482" t="n">
        <v>20</v>
      </c>
      <c r="BO53" s="1482" t="n">
        <v>20</v>
      </c>
      <c r="BP53" s="1482" t="n">
        <v>20</v>
      </c>
    </row>
    <row r="54" ht="13.9" customHeight="1" s="1232">
      <c r="A54" s="544" t="n"/>
      <c r="C54" s="256" t="n">
        <v>47</v>
      </c>
      <c r="D54" s="77" t="inlineStr">
        <is>
          <t>Sarah</t>
        </is>
      </c>
      <c r="E54" s="77" t="inlineStr">
        <is>
          <t xml:space="preserve">McGovern </t>
        </is>
      </c>
      <c r="F54" s="1488" t="inlineStr">
        <is>
          <t>Monthly</t>
        </is>
      </c>
      <c r="G54" s="1484" t="n">
        <v>20</v>
      </c>
      <c r="H54" s="255" t="n">
        <v>43191</v>
      </c>
      <c r="I54" s="1274" t="inlineStr">
        <is>
          <t>26th</t>
        </is>
      </c>
      <c r="J54" s="1274" t="inlineStr">
        <is>
          <t>PayPal</t>
        </is>
      </c>
      <c r="BL54" s="1482" t="n">
        <v>20</v>
      </c>
      <c r="BM54" s="1482" t="n">
        <v>20</v>
      </c>
    </row>
    <row r="55" ht="13.9" customHeight="1" s="1232">
      <c r="A55" s="261" t="n"/>
      <c r="C55" s="256" t="n">
        <v>48</v>
      </c>
      <c r="D55" s="1480" t="inlineStr">
        <is>
          <t>Fiona</t>
        </is>
      </c>
      <c r="E55" s="256" t="inlineStr">
        <is>
          <t>Brown</t>
        </is>
      </c>
      <c r="F55" s="1488" t="inlineStr">
        <is>
          <t>Monthly</t>
        </is>
      </c>
      <c r="G55" s="1484" t="n">
        <v>20</v>
      </c>
      <c r="H55" s="255" t="n">
        <v>43221</v>
      </c>
      <c r="I55" s="1274" t="inlineStr">
        <is>
          <t>1st</t>
        </is>
      </c>
      <c r="J55" s="1274" t="inlineStr">
        <is>
          <t>PayPal</t>
        </is>
      </c>
      <c r="BN55" s="1482" t="n">
        <v>20</v>
      </c>
      <c r="BO55" s="1482" t="n">
        <v>20</v>
      </c>
      <c r="BP55" s="1482" t="n">
        <v>20</v>
      </c>
      <c r="BQ55" s="1482" t="n">
        <v>20</v>
      </c>
      <c r="BR55" s="1480" t="n">
        <v>20</v>
      </c>
      <c r="BS55" s="1480" t="n">
        <v>20</v>
      </c>
      <c r="BT55" s="1480" t="n">
        <v>20</v>
      </c>
      <c r="BU55" s="1480" t="n">
        <v>20</v>
      </c>
      <c r="BV55" s="1480" t="n">
        <v>20</v>
      </c>
      <c r="BW55" s="1480" t="n">
        <v>20</v>
      </c>
      <c r="BX55" s="1482" t="n">
        <v>20</v>
      </c>
      <c r="BY55" s="1482" t="n">
        <v>20</v>
      </c>
      <c r="BZ55" s="1482" t="n">
        <v>20</v>
      </c>
      <c r="CA55" s="1482" t="n">
        <v>20</v>
      </c>
      <c r="CB55" s="1482" t="n">
        <v>20</v>
      </c>
      <c r="CC55" s="1480" t="n">
        <v>20</v>
      </c>
      <c r="CD55" s="1480" t="n">
        <v>20</v>
      </c>
      <c r="CE55" s="1480" t="n">
        <v>20</v>
      </c>
      <c r="CF55" s="1480" t="n">
        <v>20</v>
      </c>
    </row>
    <row r="56" ht="13.9" customHeight="1" s="1232">
      <c r="A56" s="1490" t="n"/>
      <c r="B56" s="1487" t="n"/>
      <c r="C56" s="256" t="n">
        <v>49</v>
      </c>
      <c r="D56" s="51" t="inlineStr">
        <is>
          <t xml:space="preserve">John </t>
        </is>
      </c>
      <c r="E56" s="1486" t="inlineStr">
        <is>
          <t>Hayes</t>
        </is>
      </c>
      <c r="F56" s="1488" t="inlineStr">
        <is>
          <t>Monthly</t>
        </is>
      </c>
      <c r="G56" s="1484" t="n">
        <v>20</v>
      </c>
      <c r="H56" s="255" t="n">
        <v>43282</v>
      </c>
      <c r="I56" s="1274" t="inlineStr">
        <is>
          <t>10th</t>
        </is>
      </c>
      <c r="J56" s="1274" t="inlineStr">
        <is>
          <t>PayPal</t>
        </is>
      </c>
      <c r="BP56" s="1482" t="n">
        <v>20</v>
      </c>
      <c r="BQ56" s="1482" t="n">
        <v>20</v>
      </c>
    </row>
    <row r="57" ht="13.9" customHeight="1" s="1232">
      <c r="A57" s="544" t="n"/>
      <c r="C57" s="256" t="n">
        <v>50</v>
      </c>
      <c r="D57" s="77" t="inlineStr">
        <is>
          <t xml:space="preserve">Raylene </t>
        </is>
      </c>
      <c r="E57" s="77" t="inlineStr">
        <is>
          <t xml:space="preserve">O'Leary </t>
        </is>
      </c>
      <c r="F57" s="1488" t="inlineStr">
        <is>
          <t>Monthly</t>
        </is>
      </c>
      <c r="G57" s="1484" t="n">
        <v>20</v>
      </c>
      <c r="H57" s="255" t="n">
        <v>43344</v>
      </c>
      <c r="I57" s="1274" t="inlineStr">
        <is>
          <t>18th</t>
        </is>
      </c>
      <c r="J57" s="1274" t="inlineStr">
        <is>
          <t>PayPal</t>
        </is>
      </c>
      <c r="BR57" s="1482" t="n">
        <v>20</v>
      </c>
      <c r="BS57" s="1480" t="n">
        <v>20</v>
      </c>
      <c r="BT57" s="1480" t="n">
        <v>20</v>
      </c>
      <c r="BU57" s="1480" t="n">
        <v>20</v>
      </c>
    </row>
    <row r="58" ht="13.9" customHeight="1" s="1232">
      <c r="A58" s="1491" t="n"/>
      <c r="C58" s="256" t="n">
        <v>51</v>
      </c>
      <c r="D58" s="77" t="inlineStr">
        <is>
          <t xml:space="preserve">Ina </t>
        </is>
      </c>
      <c r="E58" s="77" t="inlineStr">
        <is>
          <t>Wilkening</t>
        </is>
      </c>
      <c r="F58" s="1488" t="inlineStr">
        <is>
          <t>Monthly</t>
        </is>
      </c>
      <c r="G58" s="1484" t="n">
        <v>20</v>
      </c>
      <c r="H58" s="255" t="n">
        <v>43132</v>
      </c>
      <c r="I58" s="1274" t="inlineStr">
        <is>
          <t>4th</t>
        </is>
      </c>
      <c r="J58" s="1274" t="inlineStr">
        <is>
          <t>Stripe</t>
        </is>
      </c>
      <c r="BW58" s="1482" t="n">
        <v>20</v>
      </c>
      <c r="BX58" s="1482" t="n">
        <v>20</v>
      </c>
      <c r="BY58" s="1482" t="n">
        <v>20</v>
      </c>
      <c r="BZ58" s="1482" t="n">
        <v>20</v>
      </c>
      <c r="CA58" s="1482" t="n">
        <v>20</v>
      </c>
      <c r="CB58" s="1482" t="n">
        <v>20</v>
      </c>
    </row>
    <row r="59" ht="13.9" customHeight="1" s="1232">
      <c r="A59" s="1491" t="n"/>
      <c r="C59" s="256" t="n">
        <v>52</v>
      </c>
      <c r="D59" s="77" t="inlineStr">
        <is>
          <t xml:space="preserve">Ivaylo </t>
        </is>
      </c>
      <c r="E59" s="77" t="inlineStr">
        <is>
          <t>Yorgov</t>
        </is>
      </c>
      <c r="F59" s="1488" t="inlineStr">
        <is>
          <t>Monthly</t>
        </is>
      </c>
      <c r="G59" s="1484" t="n">
        <v>20</v>
      </c>
      <c r="H59" s="255" t="n">
        <v>43160</v>
      </c>
      <c r="I59" s="1274" t="inlineStr">
        <is>
          <t>10th</t>
        </is>
      </c>
      <c r="J59" s="1274" t="inlineStr">
        <is>
          <t>Stripe</t>
        </is>
      </c>
      <c r="BX59" s="1482" t="n">
        <v>20</v>
      </c>
      <c r="BY59" s="1482" t="n">
        <v>20</v>
      </c>
      <c r="BZ59" s="1390" t="inlineStr">
        <is>
          <t>cancelled</t>
        </is>
      </c>
    </row>
    <row r="60" ht="13.15" customHeight="1" s="1232">
      <c r="A60" s="1374" t="n"/>
      <c r="C60" s="256" t="n">
        <v>53</v>
      </c>
      <c r="D60" s="1480" t="inlineStr">
        <is>
          <t xml:space="preserve">Frank </t>
        </is>
      </c>
      <c r="E60" s="256" t="inlineStr">
        <is>
          <t>Lovett</t>
        </is>
      </c>
      <c r="F60" s="1260" t="inlineStr">
        <is>
          <t>Monthly</t>
        </is>
      </c>
      <c r="G60" s="1480" t="n">
        <v>20</v>
      </c>
      <c r="H60" s="255" t="n">
        <v>43191</v>
      </c>
      <c r="I60" s="1274" t="inlineStr">
        <is>
          <t>2nd</t>
        </is>
      </c>
      <c r="J60" s="1274" t="inlineStr">
        <is>
          <t>Stripe</t>
        </is>
      </c>
      <c r="BY60" s="1482" t="n">
        <v>20</v>
      </c>
      <c r="BZ60" s="1482" t="n">
        <v>20</v>
      </c>
      <c r="CA60" s="1482" t="n">
        <v>20</v>
      </c>
      <c r="CB60" s="1482" t="n">
        <v>20</v>
      </c>
      <c r="CC60" s="1480" t="n">
        <v>20</v>
      </c>
      <c r="CD60" s="1480" t="n">
        <v>20</v>
      </c>
      <c r="CE60" s="1480" t="n">
        <v>20</v>
      </c>
      <c r="CF60" s="1480" t="n">
        <v>20</v>
      </c>
      <c r="CG60" s="1480" t="n">
        <v>20</v>
      </c>
      <c r="CH60" s="1480" t="n">
        <v>20</v>
      </c>
      <c r="CI60" s="1480" t="n">
        <v>20</v>
      </c>
      <c r="CJ60" s="1480" t="n">
        <v>20</v>
      </c>
      <c r="CK60" s="1480" t="n">
        <v>20</v>
      </c>
      <c r="CL60" s="1390" t="inlineStr">
        <is>
          <t>cancelled</t>
        </is>
      </c>
    </row>
    <row r="61" ht="13.9" customHeight="1" s="1232">
      <c r="A61" s="544" t="n"/>
      <c r="C61" s="256" t="n">
        <v>54</v>
      </c>
      <c r="D61" s="77" t="inlineStr">
        <is>
          <t>Alyamani</t>
        </is>
      </c>
      <c r="E61" s="77" t="inlineStr">
        <is>
          <t>Alyamani</t>
        </is>
      </c>
      <c r="F61" s="1488" t="inlineStr">
        <is>
          <t>Monthly</t>
        </is>
      </c>
      <c r="G61" s="1484" t="n">
        <v>20</v>
      </c>
      <c r="H61" s="255" t="n">
        <v>43191</v>
      </c>
      <c r="I61" s="1274" t="inlineStr">
        <is>
          <t>13th</t>
        </is>
      </c>
      <c r="J61" s="1274" t="inlineStr">
        <is>
          <t>Stripe</t>
        </is>
      </c>
      <c r="BX61" s="1480" t="n">
        <v>0</v>
      </c>
      <c r="BY61" s="1482" t="n">
        <v>20</v>
      </c>
      <c r="BZ61" s="1482" t="n">
        <v>20</v>
      </c>
      <c r="CA61" s="1390" t="inlineStr">
        <is>
          <t>cancelled</t>
        </is>
      </c>
    </row>
    <row r="62" ht="13.9" customHeight="1" s="1232">
      <c r="A62" s="1491" t="inlineStr">
        <is>
          <t xml:space="preserve">ickaohman@gmail.com </t>
        </is>
      </c>
      <c r="C62" s="256" t="n">
        <v>55</v>
      </c>
      <c r="D62" s="77" t="inlineStr">
        <is>
          <t xml:space="preserve">Annika </t>
        </is>
      </c>
      <c r="E62" s="77" t="inlineStr">
        <is>
          <t>Öhman</t>
        </is>
      </c>
      <c r="F62" s="1488" t="inlineStr">
        <is>
          <t>Monthly</t>
        </is>
      </c>
      <c r="G62" s="1484" t="n">
        <v>20</v>
      </c>
      <c r="H62" s="255" t="n">
        <v>43647</v>
      </c>
      <c r="I62" s="1274" t="inlineStr">
        <is>
          <t>17th</t>
        </is>
      </c>
      <c r="J62" s="1274" t="inlineStr">
        <is>
          <t>Stripe</t>
        </is>
      </c>
      <c r="CB62" s="1482" t="n">
        <v>20</v>
      </c>
      <c r="CC62" s="1480" t="n">
        <v>20</v>
      </c>
      <c r="CD62" s="1480" t="n">
        <v>20</v>
      </c>
      <c r="CE62" s="1480" t="n">
        <v>20</v>
      </c>
      <c r="CF62" s="1480" t="n">
        <v>20</v>
      </c>
      <c r="CG62" s="1480" t="n">
        <v>20</v>
      </c>
      <c r="CH62" s="1480" t="n">
        <v>20</v>
      </c>
    </row>
    <row r="63" ht="13.9" customHeight="1" s="1232">
      <c r="A63" s="544" t="inlineStr">
        <is>
          <t>husamhsf@gmail.com</t>
        </is>
      </c>
      <c r="C63" s="1480" t="n">
        <v>56</v>
      </c>
      <c r="D63" s="77" t="inlineStr">
        <is>
          <t xml:space="preserve">Husam </t>
        </is>
      </c>
      <c r="E63" s="77" t="inlineStr">
        <is>
          <t>Fakhry</t>
        </is>
      </c>
      <c r="F63" s="1488" t="inlineStr">
        <is>
          <t>Monthly</t>
        </is>
      </c>
      <c r="G63" s="1484" t="n">
        <v>20</v>
      </c>
      <c r="H63" s="255" t="n">
        <v>43831</v>
      </c>
      <c r="I63" s="1274" t="inlineStr">
        <is>
          <t>16th</t>
        </is>
      </c>
      <c r="J63" s="1274" t="inlineStr">
        <is>
          <t>Stripe</t>
        </is>
      </c>
      <c r="CH63" s="1480" t="n">
        <v>20</v>
      </c>
      <c r="CI63" s="1480" t="n">
        <v>20</v>
      </c>
      <c r="CJ63" s="1480" t="n">
        <v>20</v>
      </c>
      <c r="CK63" s="1480" t="n">
        <v>20</v>
      </c>
      <c r="CQ63" s="1480" t="n">
        <v>20</v>
      </c>
      <c r="CR63" s="1480" t="n">
        <v>20</v>
      </c>
      <c r="CS63" s="1480" t="n">
        <v>20</v>
      </c>
      <c r="CT63" s="1480" t="n">
        <v>20</v>
      </c>
      <c r="CU63" s="1480" t="n">
        <v>20</v>
      </c>
      <c r="CV63" s="1480" t="n">
        <v>20</v>
      </c>
      <c r="CW63" s="1480" t="n">
        <v>20</v>
      </c>
      <c r="CX63" s="1480" t="n">
        <v>20</v>
      </c>
      <c r="CY63" s="1480" t="n">
        <v>20</v>
      </c>
      <c r="CZ63" s="1480" t="n">
        <v>20</v>
      </c>
    </row>
    <row r="64" ht="13.9" customHeight="1" s="1232">
      <c r="A64" s="544" t="inlineStr">
        <is>
          <t>jonathan_owl@yahoo.co.uk</t>
        </is>
      </c>
      <c r="D64" s="77" t="inlineStr">
        <is>
          <t xml:space="preserve">Jonathan </t>
        </is>
      </c>
      <c r="E64" s="77" t="inlineStr">
        <is>
          <t>Ellis</t>
        </is>
      </c>
      <c r="F64" s="1488" t="inlineStr">
        <is>
          <t>Monthly</t>
        </is>
      </c>
      <c r="G64" s="1484" t="n">
        <v>20</v>
      </c>
      <c r="H64" s="255" t="n">
        <v>43922</v>
      </c>
      <c r="I64" s="1484" t="n"/>
      <c r="J64" s="1484" t="n"/>
      <c r="CK64" s="1480" t="n">
        <v>20</v>
      </c>
      <c r="CL64" s="1480" t="n">
        <v>20</v>
      </c>
      <c r="CM64" s="1480" t="n">
        <v>20</v>
      </c>
      <c r="CN64" s="1480" t="n">
        <v>20</v>
      </c>
      <c r="CO64" s="1480" t="n">
        <v>20</v>
      </c>
      <c r="CP64" s="1480" t="n">
        <v>20</v>
      </c>
      <c r="CQ64" s="1480" t="n">
        <v>20</v>
      </c>
      <c r="CR64" s="1480" t="n">
        <v>20</v>
      </c>
      <c r="CS64" s="1480" t="n">
        <v>20</v>
      </c>
      <c r="CT64" s="1480" t="n">
        <v>20</v>
      </c>
      <c r="CU64" s="1480" t="n">
        <v>20</v>
      </c>
      <c r="CV64" s="1480" t="n">
        <v>20</v>
      </c>
      <c r="CW64" s="1480" t="n">
        <v>20</v>
      </c>
      <c r="CX64" s="1480" t="n">
        <v>20</v>
      </c>
      <c r="CY64" s="1480" t="n">
        <v>20</v>
      </c>
      <c r="CZ64" s="1480" t="n">
        <v>20</v>
      </c>
      <c r="DD64" s="1480" t="n">
        <v>20</v>
      </c>
      <c r="DE64" s="1480" t="n">
        <v>20</v>
      </c>
      <c r="DF64" s="1480" t="n">
        <v>20</v>
      </c>
    </row>
    <row r="65" ht="13.9" customHeight="1" s="1232">
      <c r="A65" s="544" t="inlineStr">
        <is>
          <t>seelypix@gmail.com</t>
        </is>
      </c>
      <c r="D65" s="77" t="inlineStr">
        <is>
          <t>John</t>
        </is>
      </c>
      <c r="E65" s="77" t="inlineStr">
        <is>
          <t>Seely</t>
        </is>
      </c>
      <c r="F65" s="1488" t="inlineStr">
        <is>
          <t>Monthly</t>
        </is>
      </c>
      <c r="G65" s="1484" t="n">
        <v>20</v>
      </c>
      <c r="H65" s="255" t="n">
        <v>43922</v>
      </c>
      <c r="I65" s="1484" t="n"/>
      <c r="J65" s="1484" t="n"/>
      <c r="CK65" s="1480" t="n">
        <v>20</v>
      </c>
      <c r="CL65" s="1480" t="n">
        <v>20</v>
      </c>
      <c r="CM65" s="1480" t="n">
        <v>20</v>
      </c>
      <c r="CN65" s="1480" t="n">
        <v>20</v>
      </c>
    </row>
    <row r="66" ht="13.9" customHeight="1" s="1232">
      <c r="A66" s="544" t="inlineStr">
        <is>
          <t>caroline.k9@btinternet.com</t>
        </is>
      </c>
      <c r="D66" s="77" t="inlineStr">
        <is>
          <t>Caroline</t>
        </is>
      </c>
      <c r="E66" s="77" t="inlineStr">
        <is>
          <t>Key</t>
        </is>
      </c>
      <c r="F66" s="1488" t="inlineStr">
        <is>
          <t>Monthly</t>
        </is>
      </c>
      <c r="G66" s="1484" t="n">
        <v>20</v>
      </c>
      <c r="H66" s="255" t="n">
        <v>43922</v>
      </c>
      <c r="I66" s="1274" t="inlineStr">
        <is>
          <t>20th</t>
        </is>
      </c>
      <c r="J66" s="1274" t="inlineStr">
        <is>
          <t>Stripe</t>
        </is>
      </c>
      <c r="CK66" s="1480" t="n">
        <v>20</v>
      </c>
      <c r="CL66" s="1480" t="n">
        <v>20</v>
      </c>
      <c r="CM66" s="1480" t="n">
        <v>20</v>
      </c>
      <c r="CN66" s="1480" t="n">
        <v>20</v>
      </c>
      <c r="CO66" s="1480" t="n">
        <v>20</v>
      </c>
      <c r="CP66" s="1480" t="n">
        <v>20</v>
      </c>
      <c r="CQ66" s="1480" t="n">
        <v>20</v>
      </c>
      <c r="CR66" s="1480" t="n">
        <v>20</v>
      </c>
      <c r="CS66" s="1480" t="n">
        <v>20</v>
      </c>
      <c r="CT66" s="1480" t="n">
        <v>20</v>
      </c>
      <c r="CU66" s="1480" t="n">
        <v>20</v>
      </c>
      <c r="CV66" s="1480" t="n">
        <v>20</v>
      </c>
      <c r="CW66" s="1480" t="n">
        <v>20</v>
      </c>
      <c r="CX66" s="1480" t="n">
        <v>20</v>
      </c>
      <c r="CY66" s="1480" t="n">
        <v>20</v>
      </c>
      <c r="CZ66" s="1480" t="n">
        <v>20</v>
      </c>
      <c r="DA66" s="1480" t="n">
        <v>20</v>
      </c>
      <c r="DB66" s="1480" t="n">
        <v>20</v>
      </c>
      <c r="DC66" s="1480" t="n">
        <v>20</v>
      </c>
      <c r="DD66" s="1480" t="n">
        <v>20</v>
      </c>
      <c r="DE66" s="1480" t="n">
        <v>20</v>
      </c>
      <c r="DF66" s="1480" t="n">
        <v>20</v>
      </c>
      <c r="DG66" s="1480" t="n">
        <v>20</v>
      </c>
      <c r="DH66" s="1480" t="n">
        <v>20</v>
      </c>
      <c r="DI66" s="1480" t="n">
        <v>20</v>
      </c>
      <c r="DJ66" s="1480" t="n">
        <v>20</v>
      </c>
      <c r="DK66" s="1480" t="n">
        <v>20</v>
      </c>
    </row>
    <row r="67" ht="13.9" customHeight="1" s="1232">
      <c r="A67" s="544" t="inlineStr">
        <is>
          <t>mpuffett@virginmedia.com</t>
        </is>
      </c>
      <c r="D67" s="77" t="inlineStr">
        <is>
          <t xml:space="preserve">Michaela </t>
        </is>
      </c>
      <c r="E67" s="77" t="inlineStr">
        <is>
          <t>Puffett</t>
        </is>
      </c>
      <c r="F67" s="1488" t="inlineStr">
        <is>
          <t>Monthly</t>
        </is>
      </c>
      <c r="G67" s="1484" t="n">
        <v>20</v>
      </c>
      <c r="H67" s="255" t="n">
        <v>44136</v>
      </c>
      <c r="I67" s="1274" t="inlineStr">
        <is>
          <t>14th</t>
        </is>
      </c>
      <c r="J67" s="1274" t="inlineStr">
        <is>
          <t>Stripe</t>
        </is>
      </c>
      <c r="CR67" s="1480" t="n">
        <v>20</v>
      </c>
      <c r="CS67" s="1480" t="n">
        <v>20</v>
      </c>
      <c r="CT67" s="1480" t="n">
        <v>20</v>
      </c>
      <c r="CU67" s="1480" t="n">
        <v>20</v>
      </c>
      <c r="CV67" s="1480" t="n">
        <v>20</v>
      </c>
      <c r="CW67" s="1480" t="n">
        <v>20</v>
      </c>
      <c r="CX67" s="1480" t="n">
        <v>20</v>
      </c>
      <c r="CY67" s="1480" t="n">
        <v>20</v>
      </c>
      <c r="CZ67" s="1480" t="n">
        <v>20</v>
      </c>
      <c r="DA67" s="1480" t="n">
        <v>20</v>
      </c>
      <c r="DB67" s="1480" t="n">
        <v>20</v>
      </c>
      <c r="DC67" s="1480" t="n">
        <v>20</v>
      </c>
      <c r="DD67" s="1480" t="n">
        <v>20</v>
      </c>
      <c r="DE67" s="1480" t="n">
        <v>20</v>
      </c>
      <c r="DF67" s="1480" t="n">
        <v>20</v>
      </c>
      <c r="DG67" s="1480" t="n">
        <v>20</v>
      </c>
      <c r="DH67" s="1480" t="n">
        <v>20</v>
      </c>
      <c r="DI67" s="1480" t="n">
        <v>20</v>
      </c>
      <c r="DJ67" s="1480" t="n">
        <v>20</v>
      </c>
      <c r="DK67" s="1480" t="n">
        <v>20</v>
      </c>
    </row>
    <row r="68" ht="13.9" customHeight="1" s="1232">
      <c r="A68" s="544" t="inlineStr">
        <is>
          <t xml:space="preserve">roberta.strambini@gmail.com </t>
        </is>
      </c>
      <c r="D68" s="77" t="inlineStr">
        <is>
          <t xml:space="preserve">Roberta </t>
        </is>
      </c>
      <c r="E68" s="77" t="inlineStr">
        <is>
          <t>Strambini</t>
        </is>
      </c>
      <c r="F68" s="1488" t="inlineStr">
        <is>
          <t>Monthly</t>
        </is>
      </c>
      <c r="G68" s="1484" t="n">
        <v>20</v>
      </c>
      <c r="H68" s="255" t="n">
        <v>44348</v>
      </c>
      <c r="I68" s="1274" t="inlineStr">
        <is>
          <t>31st</t>
        </is>
      </c>
      <c r="J68" s="1274" t="n"/>
      <c r="CY68" s="1480" t="n">
        <v>20</v>
      </c>
      <c r="CZ68" s="1480" t="n">
        <v>20</v>
      </c>
    </row>
    <row r="69" ht="13.9" customHeight="1" s="1232">
      <c r="A69" s="544" t="inlineStr">
        <is>
          <t xml:space="preserve">sandywoods8910@gmail.com </t>
        </is>
      </c>
      <c r="D69" s="77" t="inlineStr">
        <is>
          <t>Sandy</t>
        </is>
      </c>
      <c r="E69" s="77" t="inlineStr">
        <is>
          <t>Woods</t>
        </is>
      </c>
      <c r="F69" s="1488" t="inlineStr">
        <is>
          <t>Monthly</t>
        </is>
      </c>
      <c r="G69" s="1484" t="n">
        <v>20</v>
      </c>
      <c r="H69" s="255" t="n">
        <v>44348</v>
      </c>
      <c r="I69" s="1274" t="inlineStr">
        <is>
          <t>24th</t>
        </is>
      </c>
      <c r="J69" s="1274" t="inlineStr">
        <is>
          <t>Stripe</t>
        </is>
      </c>
      <c r="CY69" s="1480" t="n">
        <v>20</v>
      </c>
      <c r="CZ69" s="1480" t="n">
        <v>20</v>
      </c>
      <c r="DA69" s="1480" t="n">
        <v>20</v>
      </c>
    </row>
    <row r="70" ht="13.9" customHeight="1" s="1232">
      <c r="A70" s="544" t="inlineStr">
        <is>
          <t>pwillis1907@gmail.com</t>
        </is>
      </c>
      <c r="D70" s="77" t="inlineStr">
        <is>
          <t>Patricia</t>
        </is>
      </c>
      <c r="E70" s="77" t="inlineStr">
        <is>
          <t>willis</t>
        </is>
      </c>
      <c r="F70" s="1488" t="inlineStr">
        <is>
          <t>Monthly</t>
        </is>
      </c>
      <c r="G70" s="1484" t="n">
        <v>20</v>
      </c>
      <c r="H70" s="255" t="n">
        <v>44501</v>
      </c>
      <c r="I70" s="1274" t="inlineStr">
        <is>
          <t>9th</t>
        </is>
      </c>
      <c r="J70" s="1274" t="inlineStr">
        <is>
          <t>Stripe</t>
        </is>
      </c>
      <c r="DD70" s="1480" t="n">
        <v>20</v>
      </c>
      <c r="DE70" s="1480" t="n">
        <v>20</v>
      </c>
      <c r="DF70" s="1480" t="n">
        <v>20</v>
      </c>
      <c r="DG70" s="1480" t="n">
        <v>20</v>
      </c>
    </row>
    <row r="71" ht="13.9" customHeight="1" s="1232">
      <c r="A71" s="544" t="inlineStr">
        <is>
          <t>janeliz.robb@gmail.com</t>
        </is>
      </c>
      <c r="D71" s="77" t="inlineStr">
        <is>
          <t>Jane</t>
        </is>
      </c>
      <c r="E71" s="77" t="inlineStr">
        <is>
          <t>Robb</t>
        </is>
      </c>
      <c r="F71" s="1488" t="inlineStr">
        <is>
          <t>Monthly</t>
        </is>
      </c>
      <c r="G71" s="1484" t="n">
        <v>20</v>
      </c>
      <c r="H71" s="255" t="n">
        <v>44501</v>
      </c>
      <c r="I71" s="1274" t="inlineStr">
        <is>
          <t>11th</t>
        </is>
      </c>
      <c r="J71" s="1274" t="inlineStr">
        <is>
          <t>Stripe</t>
        </is>
      </c>
      <c r="DD71" s="1480" t="n">
        <v>20</v>
      </c>
      <c r="DE71" s="1480" t="n">
        <v>20</v>
      </c>
      <c r="DF71" s="1480" t="n">
        <v>20</v>
      </c>
      <c r="DG71" s="1480" t="n">
        <v>20</v>
      </c>
      <c r="DI71" s="1480" t="n">
        <v>20</v>
      </c>
    </row>
    <row r="72" ht="13.9" customHeight="1" s="1232">
      <c r="A72" s="544" t="inlineStr">
        <is>
          <t>jason.bunce@rocketmail.com</t>
        </is>
      </c>
      <c r="D72" s="77" t="inlineStr">
        <is>
          <t>Jason</t>
        </is>
      </c>
      <c r="E72" s="77" t="inlineStr">
        <is>
          <t>Bunce</t>
        </is>
      </c>
      <c r="F72" s="1488" t="inlineStr">
        <is>
          <t>Monthly</t>
        </is>
      </c>
      <c r="G72" s="1484" t="n">
        <v>20</v>
      </c>
      <c r="H72" s="255" t="n">
        <v>44562</v>
      </c>
      <c r="I72" s="1274" t="n"/>
      <c r="J72" s="1484" t="n"/>
      <c r="DF72" s="1480" t="n">
        <v>20</v>
      </c>
      <c r="DG72" s="1480" t="n">
        <v>20</v>
      </c>
      <c r="DH72" s="1480" t="n">
        <v>20</v>
      </c>
      <c r="DI72" s="1480" t="n">
        <v>20</v>
      </c>
      <c r="DJ72" s="1480" t="n">
        <v>20</v>
      </c>
      <c r="DK72" s="1480" t="n">
        <v>20</v>
      </c>
    </row>
    <row r="73" ht="13.9" customHeight="1" s="1232">
      <c r="A73" s="544" t="n"/>
      <c r="D73" s="77" t="n"/>
      <c r="E73" s="77" t="n"/>
      <c r="F73" s="1488" t="n"/>
      <c r="G73" s="1484" t="n"/>
      <c r="H73" s="255" t="n"/>
      <c r="I73" s="1274" t="n"/>
      <c r="J73" s="1484" t="n"/>
    </row>
    <row r="74" ht="13.9" customHeight="1" s="1232">
      <c r="A74" s="544" t="n"/>
      <c r="D74" s="77" t="n"/>
      <c r="E74" s="77" t="n"/>
      <c r="F74" s="1488" t="n"/>
      <c r="G74" s="1484" t="n"/>
      <c r="H74" s="255" t="n"/>
      <c r="I74" s="1274" t="n"/>
      <c r="J74" s="1484" t="n"/>
    </row>
    <row r="75" ht="13.9" customHeight="1" s="1232">
      <c r="A75" s="544" t="n"/>
      <c r="D75" s="77" t="n"/>
      <c r="E75" s="77" t="n"/>
      <c r="F75" s="1488" t="n"/>
      <c r="G75" s="1484" t="n"/>
      <c r="H75" s="255" t="n"/>
      <c r="I75" s="1274" t="n"/>
      <c r="J75" s="1484" t="n"/>
    </row>
    <row r="76" ht="13.9" customHeight="1" s="1232">
      <c r="A76" s="1485" t="n"/>
      <c r="B76" s="1485" t="n"/>
      <c r="C76" s="269" t="inlineStr">
        <is>
          <t>Premium Mentoring</t>
        </is>
      </c>
      <c r="D76" s="256" t="inlineStr">
        <is>
          <t>Caroline</t>
        </is>
      </c>
      <c r="E76" s="1486" t="inlineStr">
        <is>
          <t>Gee</t>
        </is>
      </c>
      <c r="F76" s="1486" t="inlineStr">
        <is>
          <t>Premium</t>
        </is>
      </c>
      <c r="G76" s="1484" t="n">
        <v>60</v>
      </c>
      <c r="H76" s="255" t="n">
        <v>42248</v>
      </c>
      <c r="I76" s="1484" t="inlineStr">
        <is>
          <t>1st</t>
        </is>
      </c>
      <c r="J76" s="1484" t="inlineStr">
        <is>
          <t>Bank</t>
        </is>
      </c>
      <c r="K76" s="1480">
        <f>SUM(X76:BA76)</f>
        <v/>
      </c>
      <c r="AH76" s="1482" t="n">
        <v>60</v>
      </c>
      <c r="AI76" s="1482" t="n">
        <v>60</v>
      </c>
      <c r="AJ76" s="1482" t="n">
        <v>60</v>
      </c>
      <c r="AK76" s="1482" t="n">
        <v>60</v>
      </c>
      <c r="AL76" s="1482" t="n">
        <v>60</v>
      </c>
      <c r="AM76" s="1390" t="n"/>
    </row>
    <row r="77" ht="13.9" customHeight="1" s="1232">
      <c r="A77" s="261" t="n"/>
      <c r="B77" s="261" t="n"/>
      <c r="C77" s="256" t="n">
        <v>1</v>
      </c>
      <c r="D77" s="256" t="inlineStr">
        <is>
          <t>Gill</t>
        </is>
      </c>
      <c r="E77" s="1486" t="inlineStr">
        <is>
          <t>Core</t>
        </is>
      </c>
      <c r="F77" s="1486" t="inlineStr">
        <is>
          <t>Premium</t>
        </is>
      </c>
      <c r="G77" s="1484" t="n">
        <v>60</v>
      </c>
      <c r="H77" s="255" t="n">
        <v>42217</v>
      </c>
      <c r="I77" s="1484" t="inlineStr">
        <is>
          <t>14th</t>
        </is>
      </c>
      <c r="J77" s="1484" t="inlineStr">
        <is>
          <t>Bank</t>
        </is>
      </c>
      <c r="K77" s="1480">
        <f>SUM(X77:BA77)</f>
        <v/>
      </c>
      <c r="AG77" s="1482" t="n">
        <v>60</v>
      </c>
      <c r="AH77" s="1482" t="n">
        <v>60</v>
      </c>
      <c r="AI77" s="1482" t="n">
        <v>60</v>
      </c>
      <c r="AJ77" s="1482" t="n">
        <v>60</v>
      </c>
      <c r="AK77" s="1482" t="n">
        <v>60</v>
      </c>
      <c r="AL77" s="1482" t="n">
        <v>60</v>
      </c>
      <c r="AM77" s="1482" t="n">
        <v>60</v>
      </c>
      <c r="AN77" s="1482" t="n">
        <v>60</v>
      </c>
      <c r="AO77" s="1482" t="n">
        <v>60</v>
      </c>
      <c r="AP77" s="1482" t="n">
        <v>60</v>
      </c>
      <c r="AQ77" s="1482" t="n">
        <v>60</v>
      </c>
      <c r="AR77" s="1482" t="n">
        <v>60</v>
      </c>
    </row>
    <row r="78" ht="29.25" customHeight="1" s="1232">
      <c r="A78" s="261" t="n"/>
      <c r="B78" s="270" t="inlineStr">
        <is>
          <t>07969282807</t>
        </is>
      </c>
      <c r="C78" s="256" t="n">
        <v>2</v>
      </c>
      <c r="D78" s="256" t="inlineStr">
        <is>
          <t>Johanna</t>
        </is>
      </c>
      <c r="E78" s="1486" t="inlineStr">
        <is>
          <t>Stansfield</t>
        </is>
      </c>
      <c r="F78" s="1486" t="inlineStr">
        <is>
          <t>Premium</t>
        </is>
      </c>
      <c r="G78" s="1484" t="n">
        <v>600</v>
      </c>
      <c r="H78" s="255" t="n">
        <v>42217</v>
      </c>
      <c r="I78" s="1484" t="n"/>
      <c r="J78" s="1484" t="inlineStr">
        <is>
          <t>N/A</t>
        </is>
      </c>
      <c r="K78" s="1480">
        <f>SUM(X78:BA78)</f>
        <v/>
      </c>
    </row>
    <row r="79" ht="13.9" customHeight="1" s="1232">
      <c r="A79" s="261" t="n"/>
      <c r="B79" s="261" t="n"/>
      <c r="C79" s="256" t="n">
        <v>3</v>
      </c>
      <c r="D79" s="256" t="inlineStr">
        <is>
          <t>Jacki</t>
        </is>
      </c>
      <c r="E79" s="1486" t="inlineStr">
        <is>
          <t>Rosin</t>
        </is>
      </c>
      <c r="F79" s="1486" t="inlineStr">
        <is>
          <t>Premium</t>
        </is>
      </c>
      <c r="G79" s="1484" t="n">
        <v>60</v>
      </c>
      <c r="H79" s="255" t="n">
        <v>42217</v>
      </c>
      <c r="I79" s="1484" t="inlineStr">
        <is>
          <t>27th</t>
        </is>
      </c>
      <c r="J79" s="1484" t="inlineStr">
        <is>
          <t>PayPal</t>
        </is>
      </c>
      <c r="K79" s="1480">
        <f>SUM(X79:BA79)</f>
        <v/>
      </c>
      <c r="AG79" s="1482" t="n">
        <v>60</v>
      </c>
      <c r="AH79" s="1482" t="n">
        <v>60</v>
      </c>
      <c r="AI79" s="1482" t="n">
        <v>60</v>
      </c>
      <c r="AJ79" s="1482" t="n">
        <v>60</v>
      </c>
      <c r="AK79" s="1482" t="n">
        <v>60</v>
      </c>
      <c r="AL79" s="1482" t="n">
        <v>60</v>
      </c>
      <c r="AM79" s="1482" t="n">
        <v>60</v>
      </c>
    </row>
    <row r="80" ht="13.9" customHeight="1" s="1232">
      <c r="A80" s="261" t="n"/>
      <c r="B80" s="261" t="n"/>
      <c r="C80" s="256" t="n">
        <v>4</v>
      </c>
      <c r="D80" s="271" t="inlineStr">
        <is>
          <t>Con</t>
        </is>
      </c>
      <c r="E80" s="271" t="inlineStr">
        <is>
          <t>McHugh</t>
        </is>
      </c>
      <c r="F80" s="1486" t="inlineStr">
        <is>
          <t>Premium</t>
        </is>
      </c>
      <c r="G80" s="1484" t="n">
        <v>600</v>
      </c>
      <c r="H80" s="255" t="n">
        <v>42248</v>
      </c>
      <c r="I80" s="1484" t="n"/>
      <c r="J80" s="1484" t="inlineStr">
        <is>
          <t>Bank</t>
        </is>
      </c>
      <c r="K80" s="1480">
        <f>SUM(X80:BA80)</f>
        <v/>
      </c>
      <c r="AG80" s="1480" t="n">
        <v>0</v>
      </c>
      <c r="AH80" s="1480" t="n">
        <v>0</v>
      </c>
      <c r="AI80" s="1480" t="n">
        <v>0</v>
      </c>
      <c r="AJ80" s="1480" t="n">
        <v>0</v>
      </c>
      <c r="AK80" s="1480" t="n">
        <v>0</v>
      </c>
      <c r="AL80" s="1480" t="n">
        <v>0</v>
      </c>
      <c r="AM80" s="1480" t="n">
        <v>0</v>
      </c>
      <c r="AN80" s="1480" t="n">
        <v>0</v>
      </c>
      <c r="AO80" s="1480" t="n">
        <v>0</v>
      </c>
      <c r="AP80" s="1480" t="n">
        <v>0</v>
      </c>
      <c r="AQ80" s="1480" t="n">
        <v>0</v>
      </c>
    </row>
    <row r="81" ht="13.9" customHeight="1" s="1232">
      <c r="A81" s="261" t="n"/>
      <c r="B81" s="261" t="n"/>
      <c r="C81" s="256" t="n">
        <v>5</v>
      </c>
      <c r="D81" s="256" t="inlineStr">
        <is>
          <t>Malcom</t>
        </is>
      </c>
      <c r="E81" s="1486" t="inlineStr">
        <is>
          <t>Park</t>
        </is>
      </c>
      <c r="F81" s="1486" t="inlineStr">
        <is>
          <t>Premium</t>
        </is>
      </c>
      <c r="G81" s="1484" t="n">
        <v>600</v>
      </c>
      <c r="H81" s="255" t="n">
        <v>42370</v>
      </c>
      <c r="I81" s="1484" t="n"/>
      <c r="J81" s="1484" t="inlineStr">
        <is>
          <t>Bank</t>
        </is>
      </c>
      <c r="K81" s="1480">
        <f>SUM(X81:BA81)</f>
        <v/>
      </c>
      <c r="AG81" s="1480" t="n">
        <v>0</v>
      </c>
      <c r="AH81" s="1480" t="n">
        <v>0</v>
      </c>
      <c r="AI81" s="1480" t="n">
        <v>0</v>
      </c>
      <c r="AJ81" s="1480" t="n">
        <v>0</v>
      </c>
      <c r="AK81" s="1480" t="n">
        <v>0</v>
      </c>
      <c r="AL81" s="1480" t="n">
        <v>0</v>
      </c>
    </row>
    <row r="82" ht="13.9" customHeight="1" s="1232">
      <c r="A82" s="1485" t="n"/>
      <c r="B82" s="1485" t="n"/>
      <c r="C82" s="256" t="n">
        <v>6</v>
      </c>
      <c r="D82" s="1480" t="inlineStr">
        <is>
          <t xml:space="preserve">Joyce </t>
        </is>
      </c>
      <c r="E82" s="1480" t="inlineStr">
        <is>
          <t>James</t>
        </is>
      </c>
      <c r="F82" s="1486" t="inlineStr">
        <is>
          <t>Premium</t>
        </is>
      </c>
      <c r="G82" s="1484" t="n">
        <v>600</v>
      </c>
      <c r="H82" s="255" t="n">
        <v>42370</v>
      </c>
      <c r="J82" s="1484" t="inlineStr">
        <is>
          <t>N/A</t>
        </is>
      </c>
      <c r="K82" s="1480">
        <f>SUM(X82:BA82)</f>
        <v/>
      </c>
      <c r="AK82" s="1480" t="n">
        <v>0</v>
      </c>
      <c r="AL82" s="1480" t="n">
        <v>0</v>
      </c>
      <c r="AM82" s="1480" t="n">
        <v>0</v>
      </c>
      <c r="AN82" s="1480" t="n">
        <v>0</v>
      </c>
      <c r="AO82" s="1480" t="n">
        <v>0</v>
      </c>
      <c r="AP82" s="1480" t="n">
        <v>0</v>
      </c>
      <c r="AQ82" s="1480" t="n">
        <v>0</v>
      </c>
      <c r="AR82" s="1480" t="n">
        <v>0</v>
      </c>
      <c r="AS82" s="1480" t="n">
        <v>0</v>
      </c>
      <c r="AT82" s="1480" t="n">
        <v>0</v>
      </c>
      <c r="AU82" s="1480" t="n">
        <v>0</v>
      </c>
      <c r="AV82" s="1480" t="n">
        <v>0</v>
      </c>
      <c r="AW82" s="1480" t="n">
        <v>0</v>
      </c>
      <c r="AX82" s="1480" t="n">
        <v>0</v>
      </c>
      <c r="AY82" s="1480" t="n">
        <v>0</v>
      </c>
      <c r="AZ82" s="1480" t="n">
        <v>0</v>
      </c>
    </row>
    <row r="83" ht="13.9" customHeight="1" s="1232">
      <c r="A83" s="1485" t="n"/>
      <c r="B83" s="1485" t="n"/>
      <c r="C83" s="256" t="n">
        <v>7</v>
      </c>
      <c r="D83" s="272" t="inlineStr">
        <is>
          <t>Mike</t>
        </is>
      </c>
      <c r="E83" s="272" t="inlineStr">
        <is>
          <t>Ford</t>
        </is>
      </c>
      <c r="F83" s="1486" t="inlineStr">
        <is>
          <t>Premium</t>
        </is>
      </c>
      <c r="G83" s="1484" t="n">
        <v>600</v>
      </c>
      <c r="H83" s="255" t="n">
        <v>42430</v>
      </c>
      <c r="I83" s="1480" t="inlineStr">
        <is>
          <t>21st</t>
        </is>
      </c>
      <c r="J83" s="1484" t="inlineStr">
        <is>
          <t>PayPal</t>
        </is>
      </c>
      <c r="K83" s="1480">
        <f>SUM(X83:BA83)</f>
        <v/>
      </c>
      <c r="AN83" s="1482" t="n">
        <v>60</v>
      </c>
      <c r="AO83" s="1482" t="n">
        <v>60</v>
      </c>
      <c r="AP83" s="1482" t="n">
        <v>60</v>
      </c>
      <c r="AQ83" s="1482" t="n">
        <v>60</v>
      </c>
      <c r="AR83" s="1482" t="n">
        <v>60</v>
      </c>
      <c r="AS83" s="1482" t="n">
        <v>60</v>
      </c>
      <c r="AT83" s="1482" t="n">
        <v>60</v>
      </c>
      <c r="AU83" s="1482" t="n">
        <v>60</v>
      </c>
      <c r="AV83" s="1482" t="n">
        <v>60</v>
      </c>
      <c r="AW83" s="1482" t="n">
        <v>60</v>
      </c>
      <c r="AX83" s="1482" t="n">
        <v>60</v>
      </c>
      <c r="AY83" s="1482" t="n">
        <v>60</v>
      </c>
    </row>
    <row r="84" ht="13.9" customHeight="1" s="1232">
      <c r="B84" s="1485" t="n"/>
      <c r="C84" s="256" t="n">
        <v>8</v>
      </c>
      <c r="D84" s="272" t="inlineStr">
        <is>
          <t xml:space="preserve">Martin  </t>
        </is>
      </c>
      <c r="E84" s="1486" t="inlineStr">
        <is>
          <t>Hughes</t>
        </is>
      </c>
      <c r="F84" s="1486" t="inlineStr">
        <is>
          <t>Premium</t>
        </is>
      </c>
      <c r="G84" s="1484" t="n">
        <v>600</v>
      </c>
      <c r="H84" s="255" t="n">
        <v>42461</v>
      </c>
      <c r="I84" s="1480" t="inlineStr">
        <is>
          <t>22nd</t>
        </is>
      </c>
      <c r="J84" s="1484" t="inlineStr">
        <is>
          <t>PayPal</t>
        </is>
      </c>
      <c r="K84" s="1480">
        <f>SUM(X84:BA84)</f>
        <v/>
      </c>
      <c r="AO84" s="1482" t="n">
        <v>60</v>
      </c>
      <c r="AP84" s="1482" t="n">
        <v>60</v>
      </c>
      <c r="AQ84" s="1482" t="n">
        <v>60</v>
      </c>
      <c r="AR84" s="1482" t="n">
        <v>60</v>
      </c>
      <c r="AS84" s="1482" t="n">
        <v>120</v>
      </c>
      <c r="AT84" s="1390" t="n"/>
      <c r="AU84" s="1390" t="n"/>
      <c r="AV84" s="1390" t="n"/>
      <c r="AW84" s="1390" t="n"/>
      <c r="AX84" s="1390" t="n"/>
      <c r="AY84" s="1390" t="n"/>
      <c r="AZ84" s="1390" t="n"/>
    </row>
    <row r="85" ht="13.9" customHeight="1" s="1232">
      <c r="A85" s="1492" t="inlineStr">
        <is>
          <t>lindamauch@hotmail.com</t>
        </is>
      </c>
      <c r="B85" s="1480" t="inlineStr">
        <is>
          <t>07968982943</t>
        </is>
      </c>
      <c r="C85" s="256" t="n">
        <v>9</v>
      </c>
      <c r="D85" s="272" t="inlineStr">
        <is>
          <t xml:space="preserve">Linda </t>
        </is>
      </c>
      <c r="E85" s="272" t="inlineStr">
        <is>
          <t>Mauch</t>
        </is>
      </c>
      <c r="F85" s="1486" t="inlineStr">
        <is>
          <t>Premium</t>
        </is>
      </c>
      <c r="G85" s="1484" t="n">
        <v>600</v>
      </c>
      <c r="H85" s="255" t="n">
        <v>42491</v>
      </c>
      <c r="J85" s="1484" t="inlineStr">
        <is>
          <t>Bank</t>
        </is>
      </c>
      <c r="K85" s="1480" t="n">
        <v>600</v>
      </c>
      <c r="AP85" s="1482" t="n">
        <v>600</v>
      </c>
    </row>
    <row r="86" ht="13.9" customHeight="1" s="1232">
      <c r="A86" s="1492" t="inlineStr">
        <is>
          <t xml:space="preserve">ramchander@me.com </t>
        </is>
      </c>
      <c r="B86" s="1493" t="inlineStr">
        <is>
          <t>07806531239</t>
        </is>
      </c>
      <c r="C86" s="256" t="n">
        <v>10</v>
      </c>
      <c r="D86" s="272" t="inlineStr">
        <is>
          <t>Sanjay</t>
        </is>
      </c>
      <c r="E86" s="272" t="inlineStr">
        <is>
          <t>Ramchandert</t>
        </is>
      </c>
      <c r="F86" s="1486" t="inlineStr">
        <is>
          <t>Premium</t>
        </is>
      </c>
      <c r="G86" s="1484" t="n">
        <v>60</v>
      </c>
      <c r="H86" s="255" t="n">
        <v>42644</v>
      </c>
      <c r="I86" s="1480" t="inlineStr">
        <is>
          <t>27th</t>
        </is>
      </c>
      <c r="J86" s="1484" t="inlineStr">
        <is>
          <t>PayPal</t>
        </is>
      </c>
      <c r="K86" s="1480" t="n">
        <v>720</v>
      </c>
      <c r="AU86" s="1482" t="n">
        <v>60</v>
      </c>
      <c r="AV86" s="1482" t="n">
        <v>60</v>
      </c>
      <c r="AW86" s="1482" t="n">
        <v>60</v>
      </c>
      <c r="AX86" s="1482" t="n">
        <v>60</v>
      </c>
      <c r="AY86" s="1482" t="n">
        <v>60</v>
      </c>
      <c r="AZ86" s="1482" t="n">
        <v>60</v>
      </c>
      <c r="BA86" s="1482" t="n">
        <v>60</v>
      </c>
      <c r="BB86" s="1482" t="n">
        <v>60</v>
      </c>
      <c r="BC86" s="1482" t="n">
        <v>60</v>
      </c>
      <c r="BD86" s="1482" t="n">
        <v>60</v>
      </c>
      <c r="BE86" s="1482" t="n">
        <v>60</v>
      </c>
      <c r="BF86" s="1482" t="n">
        <v>60</v>
      </c>
    </row>
    <row r="87" ht="13.9" customHeight="1" s="1232">
      <c r="C87" s="256" t="n">
        <v>11</v>
      </c>
      <c r="D87" s="272" t="n"/>
      <c r="E87" s="272" t="n"/>
      <c r="F87" s="1486" t="n"/>
      <c r="H87" s="255" t="n"/>
    </row>
    <row r="88" ht="13.15" customHeight="1" s="1232">
      <c r="A88" s="1492" t="n"/>
      <c r="E88" s="1481" t="inlineStr">
        <is>
          <t>Mentoring Income</t>
        </is>
      </c>
      <c r="F88" s="1481" t="n"/>
      <c r="G88" s="1481" t="n"/>
      <c r="H88" s="1481" t="n"/>
      <c r="I88" s="1481" t="n"/>
      <c r="K88" s="1481">
        <f>SUM(L88:AQ88)</f>
        <v/>
      </c>
      <c r="M88" s="1481">
        <f>SUM(M4:M12)</f>
        <v/>
      </c>
      <c r="N88" s="1481">
        <f>SUM(N4:N12)</f>
        <v/>
      </c>
      <c r="O88" s="1481">
        <f>SUM(O4:O12)</f>
        <v/>
      </c>
      <c r="P88" s="1481">
        <f>SUM(P4:P12)</f>
        <v/>
      </c>
      <c r="Q88" s="1481">
        <f>SUM(Q4:Q12)</f>
        <v/>
      </c>
      <c r="R88" s="1481">
        <f>SUM(R4:R12)</f>
        <v/>
      </c>
      <c r="S88" s="1481">
        <f>SUM(S4:S12)</f>
        <v/>
      </c>
      <c r="T88" s="1481">
        <f>SUM(T4:T12)</f>
        <v/>
      </c>
      <c r="U88" s="1481">
        <f>SUM(U4:U12)</f>
        <v/>
      </c>
      <c r="V88" s="1481">
        <f>SUM(V4:V12)</f>
        <v/>
      </c>
      <c r="W88" s="1481">
        <f>SUM(W4:W12)</f>
        <v/>
      </c>
      <c r="X88" s="1481">
        <f>SUM(X4:X12)</f>
        <v/>
      </c>
      <c r="Y88" s="1481">
        <f>SUM(Y4:Y19)</f>
        <v/>
      </c>
      <c r="Z88" s="1481">
        <f>SUM(Z4:Z82)</f>
        <v/>
      </c>
      <c r="AA88" s="1481">
        <f>SUM(AA4:AA82)</f>
        <v/>
      </c>
      <c r="AB88" s="1481">
        <f>SUM(AB4:AB85)</f>
        <v/>
      </c>
      <c r="AC88" s="1481">
        <f>SUM(AC4:AC85)</f>
        <v/>
      </c>
      <c r="AD88" s="1481">
        <f>SUM(AD4:AD85)</f>
        <v/>
      </c>
      <c r="AE88" s="1481">
        <f>SUM(AE4:AE85)</f>
        <v/>
      </c>
      <c r="AF88" s="1481">
        <f>SUM(AF4:AF85)</f>
        <v/>
      </c>
      <c r="AG88" s="1481">
        <f>SUM(AG4:AG85)</f>
        <v/>
      </c>
      <c r="AH88" s="1481">
        <f>SUM(AH4:AH85)</f>
        <v/>
      </c>
      <c r="AI88" s="1481">
        <f>SUM(AI4:AI85)</f>
        <v/>
      </c>
      <c r="AJ88" s="1481">
        <f>SUM(AJ4:AJ85)</f>
        <v/>
      </c>
      <c r="AK88" s="1481">
        <f>SUM(AK4:AK85)</f>
        <v/>
      </c>
      <c r="AL88" s="1481">
        <f>SUM(AL4:BH86)</f>
        <v/>
      </c>
      <c r="AM88" s="1481">
        <f>SUM(AM4:AM87)</f>
        <v/>
      </c>
      <c r="AN88" s="1481">
        <f>SUM(AN4:AN87)</f>
        <v/>
      </c>
      <c r="AO88" s="1481">
        <f>SUM(AO4:AO87)</f>
        <v/>
      </c>
      <c r="AP88" s="1481">
        <f>SUM(AP4:AP87)</f>
        <v/>
      </c>
      <c r="AQ88" s="1481">
        <f>SUM(AQ4:AQ87)</f>
        <v/>
      </c>
      <c r="AR88" s="1481">
        <f>SUM(AR4:AR87)</f>
        <v/>
      </c>
      <c r="AS88" s="1481">
        <f>SUM(AS4:AS87)</f>
        <v/>
      </c>
      <c r="AT88" s="1481">
        <f>SUM(AT4:AT87)</f>
        <v/>
      </c>
      <c r="AU88" s="1481">
        <f>SUM(AU4:AU87)</f>
        <v/>
      </c>
      <c r="AV88" s="1481">
        <f>SUM(AV4:AV87)</f>
        <v/>
      </c>
      <c r="AW88" s="1481">
        <f>SUM(AW4:AW87)</f>
        <v/>
      </c>
      <c r="AX88" s="1481">
        <f>SUM(AX4:AX87)</f>
        <v/>
      </c>
      <c r="AY88" s="1481">
        <f>SUM(AY4:AY87)</f>
        <v/>
      </c>
      <c r="AZ88" s="1481">
        <f>SUM(AZ4:AZ87)</f>
        <v/>
      </c>
      <c r="BA88" s="1481">
        <f>SUM(BA4:BA87)</f>
        <v/>
      </c>
      <c r="BB88" s="1481">
        <f>SUM(BB4:BB87)</f>
        <v/>
      </c>
      <c r="BC88" s="1481">
        <f>SUM(BC4:BC87)</f>
        <v/>
      </c>
      <c r="BD88" s="1481">
        <f>SUM(BD4:BD87)</f>
        <v/>
      </c>
      <c r="BE88" s="1481">
        <f>SUM(BE4:BE87)</f>
        <v/>
      </c>
      <c r="BF88" s="1481">
        <f>SUM(BF4:BF87)</f>
        <v/>
      </c>
      <c r="BG88" s="1481">
        <f>SUM(BG4:BG87)</f>
        <v/>
      </c>
      <c r="BH88" s="1481">
        <f>SUM(BH4:BH87)</f>
        <v/>
      </c>
      <c r="BI88" s="1481">
        <f>SUM(BI4:BI87)</f>
        <v/>
      </c>
      <c r="BJ88" s="1481">
        <f>SUM(BJ4:BJ87)</f>
        <v/>
      </c>
      <c r="BK88" s="1481">
        <f>SUM(BK4:BK87)</f>
        <v/>
      </c>
      <c r="BL88" s="1481">
        <f>SUM(BL4:BL87)</f>
        <v/>
      </c>
      <c r="BM88" s="1481">
        <f>SUM(BM4:BM87)</f>
        <v/>
      </c>
      <c r="BN88" s="1481">
        <f>SUM(BN4:BN87)</f>
        <v/>
      </c>
      <c r="BO88" s="1481">
        <f>SUM(BO4:BO87)</f>
        <v/>
      </c>
      <c r="BP88" s="1481">
        <f>SUM(BP4:BP87)</f>
        <v/>
      </c>
      <c r="BQ88" s="1481">
        <f>SUM(BQ4:BQ87)</f>
        <v/>
      </c>
      <c r="BR88" s="1481">
        <f>SUM(BR4:BR87)</f>
        <v/>
      </c>
      <c r="BS88" s="1481">
        <f>SUM(BS4:BS87)</f>
        <v/>
      </c>
      <c r="BT88" s="1481">
        <f>SUM(BT4:BT87)</f>
        <v/>
      </c>
      <c r="BU88" s="1481">
        <f>SUM(BU4:BU87)</f>
        <v/>
      </c>
      <c r="BV88" s="1481">
        <f>SUM(BV4:BV87)</f>
        <v/>
      </c>
      <c r="BW88" s="1481">
        <f>SUM(BW4:BW87)</f>
        <v/>
      </c>
      <c r="BX88" s="1481">
        <f>SUM(BX4:BX87)</f>
        <v/>
      </c>
      <c r="BY88" s="1481">
        <f>SUM(BY4:BY87)</f>
        <v/>
      </c>
      <c r="BZ88" s="1481">
        <f>SUM(BZ4:BZ87)</f>
        <v/>
      </c>
      <c r="CA88" s="1481">
        <f>SUM(CA4:CA87)</f>
        <v/>
      </c>
      <c r="CB88" s="1481">
        <f>SUM(CB4:CB87)</f>
        <v/>
      </c>
      <c r="CC88" s="1481">
        <f>SUM(CC4:CC87)</f>
        <v/>
      </c>
      <c r="CD88" s="1481">
        <f>SUM(CD4:CD87)</f>
        <v/>
      </c>
      <c r="CE88" s="1481">
        <f>SUM(CE4:CE87)</f>
        <v/>
      </c>
      <c r="CF88" s="1481">
        <f>SUM(CF4:CF87)</f>
        <v/>
      </c>
      <c r="CG88" s="1481">
        <f>SUM(CG4:CG87)</f>
        <v/>
      </c>
      <c r="CH88" s="1481">
        <f>SUM(CH4:CH87)</f>
        <v/>
      </c>
      <c r="CI88" s="1481">
        <f>SUM(CI4:CI87)</f>
        <v/>
      </c>
      <c r="CJ88" s="1481">
        <f>SUM(CJ4:CJ87)</f>
        <v/>
      </c>
      <c r="CK88" s="1481">
        <f>SUM(CK4:CK87)</f>
        <v/>
      </c>
      <c r="CL88" s="1481">
        <f>SUM(CL4:CL87)</f>
        <v/>
      </c>
      <c r="CM88" s="1481">
        <f>SUM(CM4:CM87)</f>
        <v/>
      </c>
      <c r="CN88" s="1481">
        <f>SUM(CN4:CN87)</f>
        <v/>
      </c>
      <c r="CO88" s="1481">
        <f>SUM(CO4:CO87)</f>
        <v/>
      </c>
      <c r="CP88" s="1481">
        <f>SUM(CP4:CP87)</f>
        <v/>
      </c>
      <c r="CQ88" s="1481">
        <f>SUM(CQ4:CQ87)</f>
        <v/>
      </c>
      <c r="CR88" s="1481">
        <f>SUM(CR4:CR87)</f>
        <v/>
      </c>
      <c r="CS88" s="1481">
        <f>SUM(CS4:CS87)</f>
        <v/>
      </c>
      <c r="CT88" s="1481">
        <f>SUM(CT4:CT87)</f>
        <v/>
      </c>
      <c r="CU88" s="1481">
        <f>SUM(CU4:CU87)</f>
        <v/>
      </c>
      <c r="CV88" s="1481">
        <f>SUM(CV4:CV87)</f>
        <v/>
      </c>
      <c r="CW88" s="1481">
        <f>SUM(CW4:CW87)</f>
        <v/>
      </c>
      <c r="CX88" s="1481">
        <f>SUM(CX4:CX87)</f>
        <v/>
      </c>
      <c r="CY88" s="1481">
        <f>SUM(CY4:CY87)</f>
        <v/>
      </c>
      <c r="CZ88" s="1481">
        <f>SUM(CZ4:CZ87)</f>
        <v/>
      </c>
      <c r="DA88" s="1481">
        <f>SUM(DA4:DA87)</f>
        <v/>
      </c>
      <c r="DB88" s="1481">
        <f>SUM(DB4:DB87)</f>
        <v/>
      </c>
      <c r="DC88" s="1481">
        <f>SUM(DC4:DC87)</f>
        <v/>
      </c>
      <c r="DD88" s="1481">
        <f>SUM(DD4:DD87)</f>
        <v/>
      </c>
      <c r="DE88" s="1481">
        <f>SUM(DE4:DE87)</f>
        <v/>
      </c>
      <c r="DF88" s="1481">
        <f>SUM(DF4:DF87)</f>
        <v/>
      </c>
      <c r="DG88" s="1481">
        <f>SUM(DG4:DG87)</f>
        <v/>
      </c>
      <c r="DH88" s="1481">
        <f>SUM(DH4:DH87)</f>
        <v/>
      </c>
      <c r="DI88" s="1481">
        <f>SUM(DI4:DI87)</f>
        <v/>
      </c>
      <c r="DJ88" s="1481">
        <f>SUM(DJ4:DJ87)</f>
        <v/>
      </c>
      <c r="DK88" s="1481">
        <f>SUM(DK4:DK87)</f>
        <v/>
      </c>
      <c r="DL88" s="1481">
        <f>SUM(DL4:DL87)</f>
        <v/>
      </c>
      <c r="DM88" s="1481">
        <f>SUM(DM4:DM87)</f>
        <v/>
      </c>
      <c r="DN88" s="1481">
        <f>SUM(DN4:DN87)</f>
        <v/>
      </c>
      <c r="DO88" s="1481">
        <f>SUM(DO4:DO87)</f>
        <v/>
      </c>
      <c r="DP88" s="1481">
        <f>SUM(DP4:DP87)</f>
        <v/>
      </c>
      <c r="DQ88" s="1481">
        <f>SUM(DQ4:DQ87)</f>
        <v/>
      </c>
      <c r="DR88" s="1481">
        <f>SUM(DR4:DR87)</f>
        <v/>
      </c>
      <c r="DS88" s="1481">
        <f>SUM(DS4:DS87)</f>
        <v/>
      </c>
      <c r="DT88" s="1481">
        <f>SUM(DT4:DT87)</f>
        <v/>
      </c>
      <c r="DU88" s="1481">
        <f>SUM(DU4:DU87)</f>
        <v/>
      </c>
      <c r="DV88" s="1481">
        <f>SUM(DV4:DV87)</f>
        <v/>
      </c>
      <c r="DW88" s="1481">
        <f>SUM(DW4:DW87)</f>
        <v/>
      </c>
      <c r="DX88" s="1481">
        <f>SUM(DX4:DX87)</f>
        <v/>
      </c>
    </row>
    <row r="89">
      <c r="C89" s="256" t="n"/>
    </row>
    <row r="90" ht="13.15" customHeight="1" s="1232">
      <c r="H90" s="1494" t="inlineStr">
        <is>
          <t>Starts</t>
        </is>
      </c>
      <c r="I90" s="1494" t="n"/>
      <c r="J90" s="1494" t="inlineStr">
        <is>
          <t>Ends</t>
        </is>
      </c>
      <c r="K90" s="1494" t="inlineStr">
        <is>
          <t>Total</t>
        </is>
      </c>
      <c r="L90" s="1494" t="inlineStr">
        <is>
          <t>Plan</t>
        </is>
      </c>
      <c r="M90" s="1494" t="n"/>
      <c r="N90" s="1494" t="n"/>
      <c r="O90" s="1494" t="n"/>
      <c r="P90" s="1494" t="n"/>
      <c r="Q90" s="1494" t="n"/>
      <c r="R90" s="1494" t="n"/>
      <c r="S90" s="1494" t="n"/>
      <c r="T90" s="1494" t="n"/>
      <c r="U90" s="1494" t="n"/>
    </row>
    <row r="91" ht="13.15" customHeight="1" s="1232">
      <c r="D91" s="1481" t="inlineStr">
        <is>
          <t>Pick N Mix</t>
        </is>
      </c>
    </row>
    <row r="92" ht="13.15" customHeight="1" s="1232">
      <c r="A92" s="1485" t="inlineStr">
        <is>
          <t>pawelskibinski@wp.pl</t>
        </is>
      </c>
      <c r="D92" s="1480" t="inlineStr">
        <is>
          <t>Pawel</t>
        </is>
      </c>
      <c r="E92" s="1480" t="inlineStr">
        <is>
          <t xml:space="preserve">Skibiński </t>
        </is>
      </c>
      <c r="F92" s="1480" t="inlineStr">
        <is>
          <t>Monthly</t>
        </is>
      </c>
      <c r="G92" s="1480" t="n">
        <v>30.38</v>
      </c>
      <c r="H92" s="255" t="n">
        <v>42095</v>
      </c>
      <c r="I92" s="255" t="inlineStr">
        <is>
          <t>6th</t>
        </is>
      </c>
      <c r="J92" s="255" t="n">
        <v>42430</v>
      </c>
      <c r="K92" s="1480">
        <f>SUM(X92:DS92)</f>
        <v/>
      </c>
      <c r="L92" s="1481" t="n">
        <v>364.5</v>
      </c>
      <c r="M92" s="1481" t="n"/>
      <c r="N92" s="1481" t="n"/>
      <c r="O92" s="1481" t="n"/>
      <c r="P92" s="1481" t="n"/>
      <c r="Q92" s="1481" t="n"/>
      <c r="R92" s="1481" t="n"/>
      <c r="S92" s="1481" t="n"/>
      <c r="T92" s="1481" t="n"/>
      <c r="U92" s="1481" t="n"/>
      <c r="AC92" s="1482" t="n">
        <v>30.38</v>
      </c>
      <c r="AD92" s="1482" t="n">
        <v>30.38</v>
      </c>
      <c r="AE92" s="1482" t="n">
        <v>30.38</v>
      </c>
      <c r="AF92" s="1482" t="n">
        <v>30.38</v>
      </c>
      <c r="AG92" s="1482" t="n">
        <v>30.38</v>
      </c>
      <c r="AH92" s="1482" t="n">
        <v>30.38</v>
      </c>
      <c r="AI92" s="1482" t="n">
        <v>30.38</v>
      </c>
      <c r="AJ92" s="1482" t="n">
        <v>30.38</v>
      </c>
      <c r="AK92" s="1482" t="n">
        <v>30.38</v>
      </c>
      <c r="AL92" s="1390" t="n">
        <v>0</v>
      </c>
      <c r="AM92" s="1482" t="n">
        <v>65</v>
      </c>
      <c r="AN92" s="1482" t="n">
        <v>30</v>
      </c>
    </row>
    <row r="93" ht="13.15" customHeight="1" s="1232">
      <c r="A93" s="1485" t="inlineStr">
        <is>
          <t>simplybowen@hotmail.co.uk</t>
        </is>
      </c>
      <c r="B93" s="1485" t="n"/>
      <c r="C93" s="256" t="n">
        <v>1</v>
      </c>
      <c r="D93" s="1480" t="inlineStr">
        <is>
          <t>Louise</t>
        </is>
      </c>
      <c r="E93" s="1480" t="inlineStr">
        <is>
          <t>Harris</t>
        </is>
      </c>
      <c r="F93" s="1480" t="inlineStr">
        <is>
          <t>Monthly</t>
        </is>
      </c>
      <c r="G93" s="1480" t="n">
        <v>30.38</v>
      </c>
      <c r="H93" s="255" t="n">
        <v>42095</v>
      </c>
      <c r="I93" s="255" t="inlineStr">
        <is>
          <t>30th</t>
        </is>
      </c>
      <c r="J93" s="255" t="n">
        <v>42430</v>
      </c>
      <c r="K93" s="1480">
        <f>SUM(X93:DS93)</f>
        <v/>
      </c>
      <c r="L93" s="1481" t="n">
        <v>364.5</v>
      </c>
      <c r="AC93" s="1482" t="n">
        <v>30.32</v>
      </c>
      <c r="AD93" s="1482" t="n">
        <v>30.38</v>
      </c>
      <c r="AE93" s="1482" t="n">
        <v>30.38</v>
      </c>
      <c r="AF93" s="1482" t="n">
        <v>30.38</v>
      </c>
      <c r="AG93" s="1482" t="n">
        <v>30.38</v>
      </c>
      <c r="AH93" s="1482" t="n">
        <v>30.38</v>
      </c>
      <c r="AI93" s="1482" t="n">
        <v>30.38</v>
      </c>
      <c r="AJ93" s="1482" t="n">
        <v>30.38</v>
      </c>
      <c r="AK93" s="1482" t="n">
        <v>30.38</v>
      </c>
      <c r="AL93" s="1482" t="n">
        <v>30.38</v>
      </c>
      <c r="AM93" s="1482" t="n">
        <v>30.38</v>
      </c>
      <c r="AN93" s="1482" t="n">
        <v>30.38</v>
      </c>
    </row>
    <row r="94" ht="13.9" customHeight="1" s="1232">
      <c r="A94" s="1495" t="inlineStr">
        <is>
          <t>knpearce@hotmail.com</t>
        </is>
      </c>
      <c r="B94" s="1485" t="n"/>
      <c r="C94" s="256" t="n">
        <v>2</v>
      </c>
      <c r="D94" s="1480" t="inlineStr">
        <is>
          <t>Kirsten</t>
        </is>
      </c>
      <c r="E94" s="1480" t="inlineStr">
        <is>
          <t>Pearce</t>
        </is>
      </c>
      <c r="F94" s="1480" t="inlineStr">
        <is>
          <t>Quaterly</t>
        </is>
      </c>
      <c r="G94" s="1480" t="n">
        <v>179.56</v>
      </c>
      <c r="H94" s="255" t="n">
        <v>42156</v>
      </c>
      <c r="I94" s="255" t="inlineStr">
        <is>
          <t>28th</t>
        </is>
      </c>
      <c r="J94" s="255" t="n">
        <v>42491</v>
      </c>
      <c r="K94" s="1480">
        <f>SUM(X94:DS94)</f>
        <v/>
      </c>
      <c r="L94" s="1481">
        <f>718.25+700</f>
        <v/>
      </c>
      <c r="AC94" s="1480" t="n">
        <v>0</v>
      </c>
      <c r="AD94" s="1482" t="n">
        <v>0</v>
      </c>
      <c r="AE94" s="1482" t="n">
        <v>179.57</v>
      </c>
      <c r="AH94" s="1482" t="n">
        <v>179.56</v>
      </c>
      <c r="AK94" s="1482" t="n">
        <v>179.56</v>
      </c>
      <c r="AN94" s="1482" t="n">
        <v>179.56</v>
      </c>
      <c r="AQ94" s="1482" t="n">
        <v>175</v>
      </c>
      <c r="AT94" s="1482" t="n">
        <v>175</v>
      </c>
      <c r="AW94" s="1482" t="n">
        <v>175</v>
      </c>
      <c r="AZ94" s="1482" t="n">
        <v>175</v>
      </c>
      <c r="BF94" s="1482" t="n">
        <v>175</v>
      </c>
      <c r="BI94" s="1482" t="n">
        <v>175</v>
      </c>
      <c r="BL94" s="1482" t="n">
        <v>175</v>
      </c>
      <c r="BO94" s="1482" t="n">
        <v>175</v>
      </c>
      <c r="BR94" s="1482" t="n">
        <v>187.5</v>
      </c>
      <c r="BU94" s="1482" t="n">
        <v>187.5</v>
      </c>
      <c r="BX94" s="1482" t="n">
        <v>187.5</v>
      </c>
      <c r="CA94" s="1482" t="n">
        <v>187.5</v>
      </c>
      <c r="CD94" s="1482" t="n">
        <v>187.5</v>
      </c>
      <c r="CG94" s="1482" t="n">
        <v>187.5</v>
      </c>
      <c r="CI94" s="1482" t="n">
        <v>187.5</v>
      </c>
      <c r="CJ94" s="1482" t="n">
        <v>187.5</v>
      </c>
      <c r="CM94" s="1482" t="n">
        <v>187.5</v>
      </c>
      <c r="CO94" s="1480" t="n">
        <v>187.5</v>
      </c>
      <c r="CS94" s="1480" t="n">
        <v>187.5</v>
      </c>
      <c r="CV94" s="1480" t="n">
        <v>187.5</v>
      </c>
      <c r="CY94" s="1480" t="n">
        <v>187.5</v>
      </c>
      <c r="DB94" s="1480" t="n">
        <v>187.5</v>
      </c>
      <c r="DE94" s="1480" t="n">
        <v>187.5</v>
      </c>
      <c r="DH94" s="1480" t="n">
        <v>187.5</v>
      </c>
    </row>
    <row r="95" ht="13.9" customHeight="1" s="1232">
      <c r="A95" s="1485" t="inlineStr">
        <is>
          <t>lesptt@googlemail.com</t>
        </is>
      </c>
      <c r="B95" s="1495" t="n"/>
      <c r="C95" s="256" t="n">
        <v>3</v>
      </c>
      <c r="D95" s="1480" t="inlineStr">
        <is>
          <t xml:space="preserve">Simona </t>
        </is>
      </c>
      <c r="E95" s="1480" t="inlineStr">
        <is>
          <t>Carena</t>
        </is>
      </c>
      <c r="F95" s="1480" t="inlineStr">
        <is>
          <t>Monthly</t>
        </is>
      </c>
      <c r="G95" s="1480" t="n">
        <v>18.75</v>
      </c>
      <c r="H95" s="255" t="n">
        <v>42401</v>
      </c>
      <c r="I95" s="255" t="inlineStr">
        <is>
          <t>1st</t>
        </is>
      </c>
      <c r="J95" s="255" t="n">
        <v>42675</v>
      </c>
      <c r="K95" s="1480">
        <f>SUM(X95:DS95)</f>
        <v/>
      </c>
      <c r="L95" s="1481" t="n">
        <v>427.5</v>
      </c>
      <c r="AK95" s="1482" t="n">
        <v>200</v>
      </c>
      <c r="AM95" s="1482" t="n">
        <v>22.75</v>
      </c>
      <c r="AN95" s="1482" t="n">
        <v>22.75</v>
      </c>
      <c r="AO95" s="1482" t="n">
        <v>22.75</v>
      </c>
      <c r="AP95" s="1482" t="n">
        <v>22.75</v>
      </c>
      <c r="AQ95" s="1482" t="n">
        <v>22.75</v>
      </c>
      <c r="AR95" s="1482" t="n">
        <v>22.75</v>
      </c>
      <c r="AS95" s="1482" t="n">
        <v>22.75</v>
      </c>
      <c r="AT95" s="1482" t="n">
        <v>22.75</v>
      </c>
      <c r="AU95" s="1482" t="n">
        <v>22.75</v>
      </c>
      <c r="AV95" s="1482" t="n">
        <v>22.75</v>
      </c>
    </row>
    <row r="96" ht="13.15" customHeight="1" s="1232">
      <c r="A96" s="1485" t="n"/>
      <c r="B96" s="1485" t="n"/>
      <c r="C96" s="256" t="n">
        <v>4</v>
      </c>
      <c r="D96" s="1480" t="inlineStr">
        <is>
          <t>Vivian</t>
        </is>
      </c>
      <c r="E96" s="1480" t="inlineStr">
        <is>
          <t>Miao</t>
        </is>
      </c>
      <c r="F96" s="1480" t="inlineStr">
        <is>
          <t>Monthly</t>
        </is>
      </c>
      <c r="G96" s="1480" t="n">
        <v>35</v>
      </c>
      <c r="H96" s="255" t="n">
        <v>42705</v>
      </c>
      <c r="I96" s="255" t="inlineStr">
        <is>
          <t>30th</t>
        </is>
      </c>
      <c r="J96" s="255" t="n">
        <v>42675</v>
      </c>
      <c r="K96" s="1480">
        <f>SUM(X96:DS96)</f>
        <v/>
      </c>
      <c r="L96" s="1481" t="n">
        <v>35</v>
      </c>
      <c r="AK96" s="1482" t="n">
        <v>35</v>
      </c>
      <c r="AL96" s="1390" t="inlineStr">
        <is>
          <t>cancelled</t>
        </is>
      </c>
    </row>
    <row r="97" ht="13.15" customHeight="1" s="1232">
      <c r="A97" s="1480" t="inlineStr">
        <is>
          <t>malcolm.park@virginmedia.com</t>
        </is>
      </c>
      <c r="B97" s="1485" t="n"/>
      <c r="C97" s="256" t="n">
        <v>5</v>
      </c>
      <c r="D97" s="1480" t="inlineStr">
        <is>
          <t>Malcom</t>
        </is>
      </c>
      <c r="E97" s="1480" t="inlineStr">
        <is>
          <t>Park</t>
        </is>
      </c>
      <c r="F97" s="1480" t="inlineStr">
        <is>
          <t>Annual</t>
        </is>
      </c>
      <c r="H97" s="255" t="n">
        <v>42705</v>
      </c>
      <c r="I97" s="255" t="n"/>
      <c r="J97" s="255" t="n">
        <v>42675</v>
      </c>
      <c r="K97" s="1480">
        <f>SUM(X97:DS97)</f>
        <v/>
      </c>
      <c r="L97" s="1481" t="n">
        <v>3500</v>
      </c>
      <c r="AK97" s="1482" t="n">
        <v>3500</v>
      </c>
    </row>
    <row r="98" ht="13.15" customHeight="1" s="1232">
      <c r="A98" s="1485" t="inlineStr">
        <is>
          <t>chris@professionallink.co.uk</t>
        </is>
      </c>
      <c r="C98" s="256" t="n">
        <v>6</v>
      </c>
      <c r="D98" s="1480" t="inlineStr">
        <is>
          <t>Chris</t>
        </is>
      </c>
      <c r="E98" s="1480" t="inlineStr">
        <is>
          <t>Shaw</t>
        </is>
      </c>
      <c r="F98" s="1480" t="inlineStr">
        <is>
          <t>Annual</t>
        </is>
      </c>
      <c r="H98" s="255" t="n">
        <v>42705</v>
      </c>
      <c r="I98" s="255" t="n"/>
      <c r="J98" s="255" t="n">
        <v>42675</v>
      </c>
      <c r="K98" s="1480">
        <f>SUM(X98:DS98)</f>
        <v/>
      </c>
      <c r="L98" s="1481">
        <f>326.5+300+300</f>
        <v/>
      </c>
      <c r="M98" s="1480" t="n">
        <v>326.5</v>
      </c>
      <c r="N98" s="1481" t="n"/>
      <c r="O98" s="1481" t="n"/>
      <c r="P98" s="1481" t="n"/>
      <c r="Q98" s="1481" t="n"/>
      <c r="R98" s="1481" t="n"/>
      <c r="S98" s="1481" t="n"/>
      <c r="T98" s="1481" t="n"/>
      <c r="U98" s="1481" t="n"/>
      <c r="Y98" s="1482" t="n">
        <v>300</v>
      </c>
      <c r="AC98" s="1480" t="n">
        <v>0</v>
      </c>
      <c r="AK98" s="1482" t="n">
        <v>300</v>
      </c>
    </row>
    <row r="99" ht="13.15" customHeight="1" s="1232">
      <c r="B99" s="1485" t="n"/>
      <c r="C99" s="256" t="n">
        <v>7</v>
      </c>
      <c r="D99" s="1480" t="inlineStr">
        <is>
          <t xml:space="preserve">Joyce </t>
        </is>
      </c>
      <c r="E99" s="1480" t="inlineStr">
        <is>
          <t>James</t>
        </is>
      </c>
      <c r="F99" s="1480" t="inlineStr">
        <is>
          <t>Annual</t>
        </is>
      </c>
      <c r="H99" s="255" t="n">
        <v>42705</v>
      </c>
      <c r="I99" s="255" t="n"/>
      <c r="J99" s="255" t="n">
        <v>42675</v>
      </c>
      <c r="K99" s="1480">
        <f>SUM(X99:DS99)</f>
        <v/>
      </c>
      <c r="L99" s="1481">
        <f>1159.6+1622.5+1000</f>
        <v/>
      </c>
      <c r="M99" s="1480" t="n">
        <v>1159.6</v>
      </c>
      <c r="N99" s="1481" t="n"/>
      <c r="O99" s="1481" t="n"/>
      <c r="P99" s="1481" t="n"/>
      <c r="Q99" s="1481" t="n"/>
      <c r="R99" s="1481" t="n"/>
      <c r="S99" s="1481" t="n"/>
      <c r="T99" s="1481" t="n"/>
      <c r="U99" s="1481" t="n"/>
      <c r="X99" s="1482" t="n">
        <v>1622.5</v>
      </c>
      <c r="AC99" s="1480" t="n">
        <v>0</v>
      </c>
      <c r="AK99" s="1482" t="n">
        <v>1000</v>
      </c>
      <c r="AO99" s="1482" t="n">
        <v>989</v>
      </c>
      <c r="AV99" s="1482" t="n">
        <v>1000</v>
      </c>
      <c r="CC99" s="1480" t="n">
        <v>697</v>
      </c>
    </row>
    <row r="100" ht="13.15" customHeight="1" s="1232">
      <c r="A100" s="1485" t="inlineStr">
        <is>
          <t>jhcrabs@gmail.com</t>
        </is>
      </c>
      <c r="C100" s="256" t="n">
        <v>8</v>
      </c>
      <c r="D100" s="1480" t="inlineStr">
        <is>
          <t>Jim</t>
        </is>
      </c>
      <c r="E100" s="1480" t="inlineStr">
        <is>
          <t>Crabtree</t>
        </is>
      </c>
      <c r="F100" s="1480" t="inlineStr">
        <is>
          <t>Quaterly</t>
        </is>
      </c>
      <c r="G100" s="1480" t="n">
        <v>187.5</v>
      </c>
      <c r="H100" s="255" t="n">
        <v>42705</v>
      </c>
      <c r="I100" s="255" t="inlineStr">
        <is>
          <t>30th</t>
        </is>
      </c>
      <c r="J100" s="255" t="n">
        <v>42675</v>
      </c>
      <c r="K100" s="1480">
        <f>SUM(X100:DS100)</f>
        <v/>
      </c>
      <c r="L100" s="1481" t="n">
        <v>750</v>
      </c>
      <c r="AK100" s="1482" t="n">
        <v>187.5</v>
      </c>
      <c r="AN100" s="1482" t="n">
        <v>187.5</v>
      </c>
      <c r="AQ100" s="1482" t="n">
        <v>187.5</v>
      </c>
      <c r="AT100" s="1482" t="n">
        <v>187.5</v>
      </c>
    </row>
    <row r="101" ht="13.15" customHeight="1" s="1232">
      <c r="A101" s="1485" t="inlineStr">
        <is>
          <t>con.mchugh@gmail.com</t>
        </is>
      </c>
      <c r="B101" s="1485" t="n"/>
      <c r="C101" s="256" t="n">
        <v>9</v>
      </c>
      <c r="D101" s="1480" t="inlineStr">
        <is>
          <t>Con</t>
        </is>
      </c>
      <c r="E101" s="1480" t="inlineStr">
        <is>
          <t>McHugh</t>
        </is>
      </c>
      <c r="F101" s="1480" t="inlineStr">
        <is>
          <t>Annual</t>
        </is>
      </c>
      <c r="H101" s="255" t="n">
        <v>42705</v>
      </c>
      <c r="I101" s="70" t="inlineStr">
        <is>
          <t>28th</t>
        </is>
      </c>
      <c r="J101" s="255" t="n">
        <v>42675</v>
      </c>
      <c r="K101" s="1480">
        <f>SUM(X101:DS101)</f>
        <v/>
      </c>
      <c r="L101" s="1481" t="n">
        <v>3000</v>
      </c>
      <c r="M101" s="1481" t="n"/>
      <c r="N101" s="1481" t="n"/>
      <c r="O101" s="1481" t="n"/>
      <c r="P101" s="1481" t="n"/>
      <c r="Q101" s="1481" t="n"/>
      <c r="R101" s="1481" t="n"/>
      <c r="S101" s="1481" t="n"/>
      <c r="T101" s="1481" t="n"/>
      <c r="U101" s="1481" t="n"/>
      <c r="AB101" s="1482" t="n">
        <v>1000</v>
      </c>
      <c r="AC101" s="1480" t="n">
        <v>0</v>
      </c>
      <c r="AD101" s="1480" t="n">
        <v>0</v>
      </c>
      <c r="AE101" s="1480" t="n">
        <v>0</v>
      </c>
      <c r="AF101" s="1480" t="n">
        <v>0</v>
      </c>
      <c r="AG101" s="1480" t="n">
        <v>0</v>
      </c>
      <c r="AH101" s="1482" t="n">
        <v>1000</v>
      </c>
      <c r="AI101" s="1480" t="n">
        <v>0</v>
      </c>
      <c r="AJ101" s="1480" t="n">
        <v>0</v>
      </c>
      <c r="AK101" s="1482" t="n">
        <v>1000</v>
      </c>
      <c r="BT101" s="1482" t="n">
        <v>120</v>
      </c>
      <c r="BU101" s="1482" t="n">
        <v>120</v>
      </c>
      <c r="BV101" s="1482" t="n">
        <v>120</v>
      </c>
      <c r="BW101" s="1482" t="n">
        <v>120</v>
      </c>
      <c r="BX101" s="1482" t="n">
        <v>120</v>
      </c>
      <c r="BY101" s="1482" t="n">
        <v>120</v>
      </c>
      <c r="BZ101" s="1482" t="n">
        <v>120</v>
      </c>
      <c r="CA101" s="1482" t="n">
        <v>120</v>
      </c>
      <c r="CB101" s="1482" t="n">
        <v>120</v>
      </c>
      <c r="CC101" s="1480" t="n">
        <v>120</v>
      </c>
      <c r="CD101" s="1480" t="n">
        <v>120</v>
      </c>
      <c r="CE101" s="1480" t="n">
        <v>120</v>
      </c>
    </row>
    <row r="102" ht="13.9" customHeight="1" s="1232">
      <c r="A102" s="1485" t="inlineStr">
        <is>
          <t xml:space="preserve">pjekirby@btinternet.com </t>
        </is>
      </c>
      <c r="B102" s="1485" t="n"/>
      <c r="C102" s="256" t="n">
        <v>10</v>
      </c>
      <c r="D102" s="1480" t="inlineStr">
        <is>
          <t>Paul</t>
        </is>
      </c>
      <c r="E102" s="1480" t="inlineStr">
        <is>
          <t>Kirby</t>
        </is>
      </c>
      <c r="F102" s="1480" t="inlineStr">
        <is>
          <t>Annual</t>
        </is>
      </c>
      <c r="G102" s="1496" t="n"/>
      <c r="H102" s="255" t="n">
        <v>42339</v>
      </c>
      <c r="J102" s="255" t="n">
        <v>42675</v>
      </c>
      <c r="K102" s="1480">
        <f>SUM(X102:DS102)</f>
        <v/>
      </c>
      <c r="L102" s="1481" t="n">
        <v>1000</v>
      </c>
      <c r="AK102" s="1482" t="n">
        <v>1000</v>
      </c>
    </row>
    <row r="103" ht="13.15" customHeight="1" s="1232">
      <c r="B103" s="1485" t="n"/>
      <c r="C103" s="256" t="n">
        <v>11</v>
      </c>
      <c r="D103" s="1480" t="inlineStr">
        <is>
          <t>Johanna</t>
        </is>
      </c>
      <c r="E103" s="1480" t="inlineStr">
        <is>
          <t>Stansfield</t>
        </is>
      </c>
      <c r="F103" s="1480" t="inlineStr">
        <is>
          <t>Annual</t>
        </is>
      </c>
      <c r="H103" s="255" t="n">
        <v>42217</v>
      </c>
      <c r="J103" s="255" t="n">
        <v>42552</v>
      </c>
      <c r="K103" s="1480">
        <f>SUM(X103:DS103)</f>
        <v/>
      </c>
      <c r="L103" s="1481" t="n">
        <v>2500</v>
      </c>
      <c r="AG103" s="1482" t="n">
        <v>2500</v>
      </c>
    </row>
    <row r="104" ht="13.15" customHeight="1" s="1232">
      <c r="A104" s="1485" t="inlineStr">
        <is>
          <t>maxinewatts@me.com</t>
        </is>
      </c>
      <c r="C104" s="256" t="n">
        <v>12</v>
      </c>
      <c r="D104" s="1480" t="inlineStr">
        <is>
          <t>Maxine</t>
        </is>
      </c>
      <c r="E104" s="1480" t="inlineStr">
        <is>
          <t>Watts</t>
        </is>
      </c>
      <c r="F104" s="1480" t="inlineStr">
        <is>
          <t>Monthly</t>
        </is>
      </c>
      <c r="H104" s="255" t="n">
        <v>42370</v>
      </c>
      <c r="I104" s="1480" t="inlineStr">
        <is>
          <t>7th</t>
        </is>
      </c>
      <c r="J104" s="255" t="n">
        <v>42705</v>
      </c>
      <c r="K104" s="1480">
        <f>SUM(X104:DS104)</f>
        <v/>
      </c>
      <c r="L104" s="1481" t="n">
        <v>420</v>
      </c>
      <c r="AL104" s="1482" t="n">
        <v>35</v>
      </c>
      <c r="AM104" s="1482" t="n">
        <v>35</v>
      </c>
      <c r="AN104" s="1482" t="n">
        <v>35</v>
      </c>
      <c r="AO104" s="1482" t="n">
        <v>35</v>
      </c>
      <c r="AP104" s="1482" t="n">
        <v>35</v>
      </c>
      <c r="AQ104" s="1482" t="n">
        <v>35</v>
      </c>
      <c r="AR104" s="1482" t="n">
        <v>35</v>
      </c>
      <c r="AS104" s="1482" t="n">
        <v>35</v>
      </c>
      <c r="AT104" s="1482" t="n">
        <v>35</v>
      </c>
      <c r="AU104" s="1482" t="n">
        <v>35</v>
      </c>
      <c r="AV104" s="1482" t="n">
        <v>35</v>
      </c>
      <c r="AW104" s="1482" t="n">
        <v>35</v>
      </c>
    </row>
    <row r="105" ht="13.15" customHeight="1" s="1232">
      <c r="A105" s="1485" t="inlineStr">
        <is>
          <t>Fionaadams90@gmail.com</t>
        </is>
      </c>
      <c r="B105" s="1485" t="n"/>
      <c r="C105" s="256" t="n">
        <v>13</v>
      </c>
      <c r="D105" s="1480" t="inlineStr">
        <is>
          <t>Fiona</t>
        </is>
      </c>
      <c r="E105" s="1480" t="inlineStr">
        <is>
          <t>Adams</t>
        </is>
      </c>
      <c r="F105" s="1480" t="inlineStr">
        <is>
          <t>Monthly</t>
        </is>
      </c>
      <c r="H105" s="255" t="n">
        <v>42370</v>
      </c>
      <c r="I105" s="1480" t="inlineStr">
        <is>
          <t>18th</t>
        </is>
      </c>
      <c r="J105" s="255" t="n">
        <v>42705</v>
      </c>
      <c r="K105" s="1480">
        <f>SUM(X105:DS105)</f>
        <v/>
      </c>
      <c r="L105" s="1481" t="n">
        <v>420</v>
      </c>
      <c r="AL105" s="1482" t="n">
        <v>35</v>
      </c>
      <c r="AM105" s="1482" t="n">
        <v>35</v>
      </c>
      <c r="AN105" s="1482" t="n">
        <v>35</v>
      </c>
      <c r="AO105" s="1482" t="n">
        <v>35</v>
      </c>
      <c r="AP105" s="1482" t="n">
        <v>0</v>
      </c>
      <c r="AQ105" s="1482" t="n">
        <v>70</v>
      </c>
      <c r="AR105" s="1482" t="n">
        <v>35</v>
      </c>
      <c r="AS105" s="1482" t="n">
        <v>35</v>
      </c>
      <c r="AT105" s="1497" t="n">
        <v>35</v>
      </c>
      <c r="AU105" s="1497" t="n">
        <v>35</v>
      </c>
      <c r="AV105" s="1482" t="n">
        <v>70</v>
      </c>
      <c r="AW105" s="1480" t="n">
        <v>0</v>
      </c>
    </row>
    <row r="106" ht="13.9" customHeight="1" s="1232">
      <c r="A106" s="261" t="inlineStr">
        <is>
          <t>jackirosin@gmail.com</t>
        </is>
      </c>
      <c r="C106" s="256" t="n">
        <v>14</v>
      </c>
      <c r="D106" s="256" t="inlineStr">
        <is>
          <t>Jacki</t>
        </is>
      </c>
      <c r="E106" s="1486" t="inlineStr">
        <is>
          <t>Rosin</t>
        </is>
      </c>
      <c r="F106" s="1486" t="inlineStr">
        <is>
          <t>Monthly</t>
        </is>
      </c>
      <c r="G106" s="1484" t="n">
        <v>60</v>
      </c>
      <c r="H106" s="255" t="n">
        <v>42430</v>
      </c>
      <c r="I106" s="1484" t="inlineStr">
        <is>
          <t>27th</t>
        </is>
      </c>
      <c r="J106" s="255" t="n">
        <v>42552</v>
      </c>
      <c r="K106" s="1480">
        <f>SUM(X106:DS106)</f>
        <v/>
      </c>
      <c r="L106" s="1481" t="n">
        <v>300</v>
      </c>
      <c r="AN106" s="1482" t="n">
        <v>60</v>
      </c>
      <c r="AO106" s="1482" t="n">
        <v>60</v>
      </c>
      <c r="AP106" s="1482" t="n">
        <v>60</v>
      </c>
      <c r="AQ106" s="1482" t="n">
        <v>60</v>
      </c>
      <c r="AR106" s="1482" t="n">
        <v>60</v>
      </c>
    </row>
    <row r="107" ht="13.15" customHeight="1" s="1232">
      <c r="A107" s="1485" t="inlineStr">
        <is>
          <t>janice.jordan@shaylorgroup.com</t>
        </is>
      </c>
      <c r="B107" s="261" t="n"/>
      <c r="C107" s="256" t="n">
        <v>15</v>
      </c>
      <c r="D107" s="1480" t="inlineStr">
        <is>
          <t>Janice</t>
        </is>
      </c>
      <c r="E107" s="1480" t="inlineStr">
        <is>
          <t>Jordon</t>
        </is>
      </c>
      <c r="F107" s="1480" t="inlineStr">
        <is>
          <t>Quaterly</t>
        </is>
      </c>
      <c r="G107" s="1480" t="n">
        <v>189.13</v>
      </c>
      <c r="H107" s="255" t="n">
        <v>42491</v>
      </c>
      <c r="I107" s="1480" t="inlineStr">
        <is>
          <t>19th</t>
        </is>
      </c>
      <c r="J107" s="255" t="n">
        <v>42826</v>
      </c>
      <c r="K107" s="1480">
        <f>SUM(X107:DS107)</f>
        <v/>
      </c>
      <c r="L107" s="1481">
        <f>2339.66+665</f>
        <v/>
      </c>
      <c r="AP107" s="1482" t="n">
        <v>189.13</v>
      </c>
      <c r="AS107" s="1482" t="n">
        <v>189.13</v>
      </c>
      <c r="AV107" s="1482" t="n">
        <v>364.44</v>
      </c>
      <c r="AY107" s="1482" t="n">
        <v>364.44</v>
      </c>
      <c r="BB107" s="1482" t="n">
        <v>308.13</v>
      </c>
      <c r="BE107" s="1482" t="n">
        <v>308.13</v>
      </c>
      <c r="BH107" s="1482" t="n">
        <v>308.13</v>
      </c>
      <c r="BK107" s="1482" t="n">
        <v>308.13</v>
      </c>
      <c r="BR107" s="1482" t="n">
        <v>187.5</v>
      </c>
      <c r="BU107" s="1482" t="n">
        <v>187.5</v>
      </c>
      <c r="BX107" s="1482" t="n">
        <v>187.5</v>
      </c>
      <c r="CA107" s="1482" t="n">
        <v>187.5</v>
      </c>
      <c r="CC107" s="1482" t="n">
        <v>220</v>
      </c>
      <c r="CD107" s="1480" t="n">
        <v>0</v>
      </c>
      <c r="CF107" s="1482" t="n">
        <v>220</v>
      </c>
      <c r="CG107" s="1480" t="n">
        <v>0</v>
      </c>
      <c r="CI107" s="1482" t="n">
        <v>250</v>
      </c>
      <c r="CJ107" s="1480" t="n">
        <v>0</v>
      </c>
      <c r="CL107" s="1482" t="n">
        <v>250</v>
      </c>
      <c r="CM107" s="1480" t="n">
        <v>0</v>
      </c>
      <c r="CO107" s="1480" t="n">
        <v>500</v>
      </c>
      <c r="CR107" s="1480" t="n">
        <v>465</v>
      </c>
      <c r="CV107" s="1480" t="n">
        <v>187.5</v>
      </c>
      <c r="CY107" s="1480" t="n">
        <v>187.5</v>
      </c>
      <c r="DB107" s="1480" t="n">
        <v>187.5</v>
      </c>
      <c r="DE107" s="1480" t="n">
        <v>187.5</v>
      </c>
    </row>
    <row r="108" ht="13.15" customHeight="1" s="1232">
      <c r="A108" s="1485" t="inlineStr">
        <is>
          <t xml:space="preserve">garrymsuch@btinternet.com </t>
        </is>
      </c>
      <c r="C108" s="256" t="n">
        <v>16</v>
      </c>
      <c r="D108" s="1480" t="inlineStr">
        <is>
          <t xml:space="preserve">Gary </t>
        </is>
      </c>
      <c r="E108" s="1480" t="inlineStr">
        <is>
          <t>Such</t>
        </is>
      </c>
      <c r="F108" s="1480" t="inlineStr">
        <is>
          <t>Monthly</t>
        </is>
      </c>
      <c r="G108" s="1480" t="n">
        <v>700</v>
      </c>
      <c r="H108" s="255" t="n">
        <v>42491</v>
      </c>
      <c r="I108" s="1480" t="inlineStr">
        <is>
          <t>19th</t>
        </is>
      </c>
      <c r="J108" s="255" t="n">
        <v>42826</v>
      </c>
      <c r="K108" s="1480">
        <f>SUM(X108:DS108)</f>
        <v/>
      </c>
      <c r="L108" s="1481">
        <f>743.75+700</f>
        <v/>
      </c>
      <c r="AP108" s="1482" t="n">
        <v>743.75</v>
      </c>
      <c r="AY108" s="1482" t="n">
        <v>175</v>
      </c>
      <c r="BB108" s="1482" t="n">
        <v>200</v>
      </c>
      <c r="BE108" s="1482" t="n">
        <v>175</v>
      </c>
      <c r="BH108" s="1482" t="n">
        <v>175</v>
      </c>
    </row>
    <row r="109" ht="13.15" customHeight="1" s="1232">
      <c r="A109" s="1485" t="inlineStr">
        <is>
          <t>edwards_rm@hotmail.co.uk</t>
        </is>
      </c>
      <c r="C109" s="256" t="n">
        <v>17</v>
      </c>
      <c r="D109" s="1480" t="inlineStr">
        <is>
          <t>Robert</t>
        </is>
      </c>
      <c r="E109" s="1480" t="inlineStr">
        <is>
          <t>Edwards</t>
        </is>
      </c>
      <c r="F109" s="1480" t="inlineStr">
        <is>
          <t>Quaterly</t>
        </is>
      </c>
      <c r="G109" s="1480" t="n">
        <v>238</v>
      </c>
      <c r="H109" s="255" t="n">
        <v>42491</v>
      </c>
      <c r="I109" s="1480" t="inlineStr">
        <is>
          <t>19th</t>
        </is>
      </c>
      <c r="J109" s="255" t="n">
        <v>42826</v>
      </c>
      <c r="K109" s="1480">
        <f>SUM(X109:DS109)</f>
        <v/>
      </c>
      <c r="L109" s="1481" t="n">
        <v>952</v>
      </c>
      <c r="AP109" s="1482" t="n">
        <v>238</v>
      </c>
      <c r="AS109" s="1482" t="n">
        <v>285</v>
      </c>
      <c r="AV109" s="1482" t="n">
        <v>238</v>
      </c>
      <c r="AY109" s="1482" t="n">
        <v>238</v>
      </c>
    </row>
    <row r="110" ht="13.15" customHeight="1" s="1232">
      <c r="A110" s="1498" t="inlineStr">
        <is>
          <t>trainc616@aol.com</t>
        </is>
      </c>
      <c r="C110" s="256" t="n">
        <v>18</v>
      </c>
      <c r="D110" s="1480" t="inlineStr">
        <is>
          <t>Janet</t>
        </is>
      </c>
      <c r="E110" s="1480" t="inlineStr">
        <is>
          <t>Train</t>
        </is>
      </c>
      <c r="F110" s="1480" t="inlineStr">
        <is>
          <t>Monthly</t>
        </is>
      </c>
      <c r="G110" s="1480" t="n">
        <v>35</v>
      </c>
      <c r="H110" s="255" t="n">
        <v>42491</v>
      </c>
      <c r="I110" s="1480" t="inlineStr">
        <is>
          <t>23rd</t>
        </is>
      </c>
      <c r="J110" s="255" t="n">
        <v>42826</v>
      </c>
      <c r="K110" s="1480">
        <f>SUM(X110:DS110)</f>
        <v/>
      </c>
      <c r="L110" s="1481" t="n">
        <v>420</v>
      </c>
      <c r="AP110" s="1482" t="n">
        <v>35</v>
      </c>
      <c r="AQ110" s="1482" t="n">
        <v>35</v>
      </c>
      <c r="AR110" s="1482" t="n">
        <v>35</v>
      </c>
      <c r="AS110" s="1482" t="n">
        <v>35</v>
      </c>
      <c r="AT110" s="1482" t="n">
        <v>35</v>
      </c>
      <c r="AU110" s="1482" t="n">
        <v>35</v>
      </c>
      <c r="AV110" s="1482" t="n">
        <v>35</v>
      </c>
      <c r="AW110" s="1482" t="n">
        <v>35</v>
      </c>
      <c r="AX110" s="1482" t="n">
        <v>35</v>
      </c>
      <c r="AY110" s="1482" t="n">
        <v>35</v>
      </c>
      <c r="AZ110" s="1482" t="n">
        <v>35</v>
      </c>
      <c r="BA110" s="1482" t="n">
        <v>35</v>
      </c>
    </row>
    <row r="111" ht="13.15" customHeight="1" s="1232">
      <c r="A111" s="1485" t="inlineStr">
        <is>
          <t>irenematthews@me.com</t>
        </is>
      </c>
      <c r="C111" s="256" t="n">
        <v>19</v>
      </c>
      <c r="D111" s="1480" t="inlineStr">
        <is>
          <t>Irene</t>
        </is>
      </c>
      <c r="E111" s="1480" t="inlineStr">
        <is>
          <t>Matthews</t>
        </is>
      </c>
      <c r="F111" s="1480" t="inlineStr">
        <is>
          <t>Monthly</t>
        </is>
      </c>
      <c r="G111" s="1480" t="n">
        <v>46.13</v>
      </c>
      <c r="H111" s="255" t="n">
        <v>42491</v>
      </c>
      <c r="I111" s="1480" t="inlineStr">
        <is>
          <t>15TH</t>
        </is>
      </c>
      <c r="J111" s="255" t="n">
        <v>42826</v>
      </c>
      <c r="K111" s="1480">
        <f>SUM(X111:DS111)</f>
        <v/>
      </c>
      <c r="L111" s="1481" t="n">
        <v>553.5</v>
      </c>
      <c r="AP111" s="1482" t="n">
        <v>46.13</v>
      </c>
      <c r="AQ111" s="1482" t="n">
        <v>47.13</v>
      </c>
      <c r="AR111" s="1482" t="n">
        <v>46.13</v>
      </c>
      <c r="AS111" s="1482" t="n">
        <v>46.13</v>
      </c>
      <c r="AT111" s="1482" t="n">
        <v>46.13</v>
      </c>
      <c r="AU111" s="1482" t="n">
        <v>46.13</v>
      </c>
      <c r="AV111" s="1482" t="n">
        <v>46.13</v>
      </c>
      <c r="AW111" s="1482" t="n">
        <v>176.09</v>
      </c>
      <c r="AX111" s="1390" t="n"/>
      <c r="AY111" s="1390" t="n"/>
      <c r="AZ111" s="1390" t="n"/>
      <c r="BA111" s="1390" t="n"/>
    </row>
    <row r="112" ht="13.15" customHeight="1" s="1232">
      <c r="A112" s="1485" t="inlineStr">
        <is>
          <t>jgbox@btinternet.com</t>
        </is>
      </c>
      <c r="C112" s="256" t="n">
        <v>20</v>
      </c>
      <c r="D112" s="1480" t="inlineStr">
        <is>
          <t>Jennifer</t>
        </is>
      </c>
      <c r="E112" s="1480" t="inlineStr">
        <is>
          <t>Box</t>
        </is>
      </c>
      <c r="F112" s="1480" t="inlineStr">
        <is>
          <t>Monthly</t>
        </is>
      </c>
      <c r="H112" s="255" t="n">
        <v>42491</v>
      </c>
      <c r="I112" s="1480" t="inlineStr">
        <is>
          <t>31st</t>
        </is>
      </c>
      <c r="J112" s="255" t="n">
        <v>42826</v>
      </c>
      <c r="K112" s="1480">
        <f>SUM(X112:DS112)</f>
        <v/>
      </c>
      <c r="L112" s="1481" t="n">
        <v>450</v>
      </c>
      <c r="AC112" s="1480" t="n">
        <v>0</v>
      </c>
      <c r="AQ112" s="1482" t="n">
        <v>450</v>
      </c>
      <c r="BV112" s="1482" t="n">
        <v>525</v>
      </c>
    </row>
    <row r="113" ht="13.15" customHeight="1" s="1232">
      <c r="A113" s="1485" t="inlineStr">
        <is>
          <t>imlaurab@hotmail.co.uk</t>
        </is>
      </c>
      <c r="C113" s="256" t="n">
        <v>21</v>
      </c>
      <c r="D113" s="1480" t="inlineStr">
        <is>
          <t>Laura</t>
        </is>
      </c>
      <c r="E113" s="1480" t="inlineStr">
        <is>
          <t>Byrne</t>
        </is>
      </c>
      <c r="F113" s="1480" t="inlineStr">
        <is>
          <t>Quaterly</t>
        </is>
      </c>
      <c r="G113" s="1480" t="n">
        <v>183.81</v>
      </c>
      <c r="H113" s="255" t="n">
        <v>42644</v>
      </c>
      <c r="I113" s="1480" t="inlineStr">
        <is>
          <t>1st</t>
        </is>
      </c>
      <c r="J113" s="255" t="n">
        <v>42979</v>
      </c>
      <c r="K113" s="1480">
        <f>SUM(X113:DS113)</f>
        <v/>
      </c>
      <c r="L113" s="1481" t="n">
        <v>735.25</v>
      </c>
      <c r="AU113" s="1482" t="n">
        <v>183.81</v>
      </c>
      <c r="AX113" s="1482" t="n">
        <v>183.81</v>
      </c>
      <c r="BA113" s="1482" t="n">
        <v>180</v>
      </c>
      <c r="BD113" s="1482">
        <f>183.81+3.81</f>
        <v/>
      </c>
    </row>
    <row r="114" ht="13.15" customHeight="1" s="1232">
      <c r="A114" s="1485" t="inlineStr">
        <is>
          <t>semnicholls@gmail.com</t>
        </is>
      </c>
      <c r="C114" s="256" t="n">
        <v>22</v>
      </c>
      <c r="D114" s="1480" t="inlineStr">
        <is>
          <t>Serena</t>
        </is>
      </c>
      <c r="E114" s="1480" t="inlineStr">
        <is>
          <t>Nicholls</t>
        </is>
      </c>
      <c r="F114" s="1480" t="inlineStr">
        <is>
          <t>Monthly</t>
        </is>
      </c>
      <c r="G114" s="1480" t="n">
        <v>85.5</v>
      </c>
      <c r="H114" s="255" t="n">
        <v>42644</v>
      </c>
      <c r="I114" s="1480" t="inlineStr">
        <is>
          <t>15th</t>
        </is>
      </c>
      <c r="J114" s="255" t="n">
        <v>42979</v>
      </c>
      <c r="K114" s="1480">
        <f>SUM(X114:DS114)</f>
        <v/>
      </c>
      <c r="L114" s="1481" t="n">
        <v>1026</v>
      </c>
      <c r="AU114" s="1482" t="n">
        <v>85.5</v>
      </c>
      <c r="AV114" s="1482" t="n">
        <v>85.5</v>
      </c>
      <c r="AW114" s="1482" t="n">
        <v>85.5</v>
      </c>
      <c r="AX114" s="1482" t="n">
        <v>85.5</v>
      </c>
      <c r="AY114" s="1482" t="n">
        <v>85.5</v>
      </c>
      <c r="AZ114" s="1482" t="n">
        <v>85.5</v>
      </c>
      <c r="BA114" s="1482" t="n">
        <v>85.5</v>
      </c>
      <c r="BB114" s="1482" t="n">
        <v>85.5</v>
      </c>
      <c r="BC114" s="1482" t="n">
        <v>85.5</v>
      </c>
      <c r="BD114" s="1482" t="n">
        <v>85.5</v>
      </c>
      <c r="BE114" s="1482" t="n">
        <v>85.5</v>
      </c>
      <c r="BF114" s="1482" t="n">
        <v>85.5</v>
      </c>
      <c r="BG114" s="1487" t="n">
        <v>0</v>
      </c>
    </row>
    <row r="115" ht="13.15" customHeight="1" s="1232">
      <c r="A115" s="1485" t="inlineStr">
        <is>
          <t>amar.majid@live.com</t>
        </is>
      </c>
      <c r="C115" s="256" t="n">
        <v>23</v>
      </c>
      <c r="D115" s="256" t="inlineStr">
        <is>
          <t xml:space="preserve">Amar </t>
        </is>
      </c>
      <c r="E115" s="1480" t="inlineStr">
        <is>
          <t xml:space="preserve">Majid </t>
        </is>
      </c>
      <c r="F115" s="1480" t="inlineStr">
        <is>
          <t>Monthly</t>
        </is>
      </c>
      <c r="G115" s="1480" t="n">
        <v>35</v>
      </c>
      <c r="H115" s="255" t="n">
        <v>42644</v>
      </c>
      <c r="I115" s="1480" t="inlineStr">
        <is>
          <t>21st</t>
        </is>
      </c>
      <c r="J115" s="255" t="n">
        <v>42979</v>
      </c>
      <c r="K115" s="1480">
        <f>SUM(X115:DS115)</f>
        <v/>
      </c>
      <c r="L115" s="1481" t="n">
        <v>420</v>
      </c>
      <c r="AU115" s="1482" t="n">
        <v>35</v>
      </c>
      <c r="AV115" s="1482" t="n">
        <v>35</v>
      </c>
      <c r="AW115" s="1482" t="n">
        <v>35</v>
      </c>
      <c r="AX115" s="1482" t="n">
        <v>35</v>
      </c>
      <c r="AY115" s="1482" t="n">
        <v>35</v>
      </c>
      <c r="AZ115" s="1482" t="n">
        <v>35</v>
      </c>
      <c r="BA115" s="1482" t="n">
        <v>35</v>
      </c>
      <c r="BB115" s="1482" t="n">
        <v>175</v>
      </c>
    </row>
    <row r="116" ht="13.9" customHeight="1" s="1232">
      <c r="A116" s="1485" t="inlineStr">
        <is>
          <t>sandra_hoppy@hotmail.com</t>
        </is>
      </c>
      <c r="C116" s="256" t="n">
        <v>24</v>
      </c>
      <c r="D116" s="1486" t="inlineStr">
        <is>
          <t>Sandra</t>
        </is>
      </c>
      <c r="E116" s="1486" t="inlineStr">
        <is>
          <t>Hoppy</t>
        </is>
      </c>
      <c r="F116" s="1486" t="inlineStr">
        <is>
          <t>Monthly</t>
        </is>
      </c>
      <c r="G116" s="1480" t="n">
        <v>35</v>
      </c>
      <c r="H116" s="255" t="n">
        <v>42675</v>
      </c>
      <c r="I116" s="1480" t="inlineStr">
        <is>
          <t>Paid up front</t>
        </is>
      </c>
      <c r="J116" s="255" t="n">
        <v>43009</v>
      </c>
      <c r="K116" s="1480">
        <f>SUM(X116:DS116)</f>
        <v/>
      </c>
      <c r="L116" s="1481" t="n">
        <v>420</v>
      </c>
      <c r="AV116" s="1482" t="n">
        <v>420</v>
      </c>
    </row>
    <row r="117" ht="13.9" customHeight="1" s="1232">
      <c r="A117" s="1485" t="inlineStr">
        <is>
          <t>philipogrady@sky.com</t>
        </is>
      </c>
      <c r="C117" s="256" t="n">
        <v>25</v>
      </c>
      <c r="D117" s="1486" t="inlineStr">
        <is>
          <t>Phil</t>
        </is>
      </c>
      <c r="E117" s="1486" t="inlineStr">
        <is>
          <t>O'Grady</t>
        </is>
      </c>
      <c r="F117" s="1486" t="inlineStr">
        <is>
          <t>Monthly</t>
        </is>
      </c>
      <c r="G117" s="1480" t="n">
        <v>50</v>
      </c>
      <c r="H117" s="255" t="n">
        <v>42795</v>
      </c>
      <c r="I117" s="1480" t="inlineStr">
        <is>
          <t>31st</t>
        </is>
      </c>
      <c r="J117" s="255" t="n">
        <v>43132</v>
      </c>
      <c r="K117" s="1480">
        <f>SUM(X117:DS117)</f>
        <v/>
      </c>
      <c r="L117" s="1481" t="n">
        <v>600</v>
      </c>
      <c r="AZ117" s="1482" t="n">
        <v>50</v>
      </c>
      <c r="BA117" s="1482" t="n">
        <v>50</v>
      </c>
      <c r="BB117" s="1482" t="n">
        <v>50</v>
      </c>
      <c r="BC117" s="1482" t="n">
        <v>50</v>
      </c>
      <c r="BD117" s="1482" t="n">
        <v>50</v>
      </c>
      <c r="BE117" s="1482" t="n">
        <v>50</v>
      </c>
      <c r="BF117" s="1482" t="n">
        <v>50</v>
      </c>
      <c r="BG117" s="1482" t="n">
        <v>50</v>
      </c>
      <c r="BH117" s="1482" t="n">
        <v>50</v>
      </c>
      <c r="BI117" s="1482" t="n">
        <v>50</v>
      </c>
      <c r="BJ117" s="1482" t="n">
        <v>50</v>
      </c>
      <c r="BK117" s="1482" t="n">
        <v>50</v>
      </c>
    </row>
    <row r="118" ht="13.9" customHeight="1" s="1232">
      <c r="A118" s="1485" t="inlineStr">
        <is>
          <t>chriswalkland@gmail.com</t>
        </is>
      </c>
      <c r="C118" s="256" t="n">
        <v>26</v>
      </c>
      <c r="D118" s="1486" t="inlineStr">
        <is>
          <t>Chris</t>
        </is>
      </c>
      <c r="E118" s="1486" t="inlineStr">
        <is>
          <t>Walkland</t>
        </is>
      </c>
      <c r="F118" s="1486" t="inlineStr">
        <is>
          <t>Annual</t>
        </is>
      </c>
      <c r="G118" s="1480" t="n">
        <v>1000</v>
      </c>
      <c r="H118" s="255" t="n">
        <v>42767</v>
      </c>
      <c r="I118" s="1480" t="inlineStr">
        <is>
          <t>Paid up front</t>
        </is>
      </c>
      <c r="J118" s="255" t="n">
        <v>43101</v>
      </c>
      <c r="K118" s="1480">
        <f>SUM(X118:DS118)</f>
        <v/>
      </c>
      <c r="L118" s="1481" t="n">
        <v>1000</v>
      </c>
      <c r="AY118" s="1482" t="n">
        <v>1000</v>
      </c>
    </row>
    <row r="119" ht="13.9" customHeight="1" s="1232">
      <c r="A119" s="1485" t="inlineStr">
        <is>
          <t>emily@bcontracting.co.uk</t>
        </is>
      </c>
      <c r="C119" s="256" t="n">
        <v>27</v>
      </c>
      <c r="D119" s="1486" t="inlineStr">
        <is>
          <t>Emily</t>
        </is>
      </c>
      <c r="E119" s="1486" t="inlineStr">
        <is>
          <t>Fernandez</t>
        </is>
      </c>
      <c r="F119" s="1486" t="inlineStr">
        <is>
          <t>Monthly</t>
        </is>
      </c>
      <c r="G119" s="1480" t="n">
        <v>35</v>
      </c>
      <c r="H119" s="255" t="n">
        <v>42767</v>
      </c>
      <c r="I119" s="1480" t="inlineStr">
        <is>
          <t>16th</t>
        </is>
      </c>
      <c r="J119" s="255" t="n">
        <v>43101</v>
      </c>
      <c r="K119" s="1480">
        <f>SUM(X119:DS119)</f>
        <v/>
      </c>
      <c r="L119" s="1481" t="n">
        <v>420</v>
      </c>
      <c r="AY119" s="1482" t="n">
        <v>35</v>
      </c>
      <c r="AZ119" s="1482" t="n">
        <v>35</v>
      </c>
      <c r="BA119" s="1482" t="n">
        <v>35</v>
      </c>
      <c r="BB119" s="1482" t="n">
        <v>35</v>
      </c>
      <c r="BC119" s="1482" t="n">
        <v>35</v>
      </c>
      <c r="BD119" s="1482" t="n">
        <v>35</v>
      </c>
      <c r="BE119" s="1482" t="n">
        <v>35</v>
      </c>
      <c r="BF119" s="1482" t="n">
        <v>35</v>
      </c>
      <c r="BG119" s="1482" t="n">
        <v>35</v>
      </c>
      <c r="BH119" s="1482" t="n">
        <v>35</v>
      </c>
      <c r="BI119" s="1482" t="n">
        <v>35</v>
      </c>
      <c r="BJ119" s="1482" t="n">
        <v>35</v>
      </c>
    </row>
    <row r="120" ht="13.9" customHeight="1" s="1232">
      <c r="A120" s="1485" t="inlineStr">
        <is>
          <t>jamiebeardmore@yahoo.co.uk</t>
        </is>
      </c>
      <c r="C120" s="256" t="n">
        <v>28</v>
      </c>
      <c r="D120" s="1486" t="inlineStr">
        <is>
          <t>Jamie</t>
        </is>
      </c>
      <c r="E120" s="1486" t="inlineStr">
        <is>
          <t>Bearmore</t>
        </is>
      </c>
      <c r="F120" s="1486" t="inlineStr">
        <is>
          <t>Monthly</t>
        </is>
      </c>
      <c r="G120" s="1480" t="n">
        <v>43.8</v>
      </c>
      <c r="H120" s="255" t="n">
        <v>42795</v>
      </c>
      <c r="I120" s="1480" t="inlineStr">
        <is>
          <t>25th</t>
        </is>
      </c>
      <c r="J120" s="255" t="n">
        <v>43132</v>
      </c>
      <c r="K120" s="1480">
        <f>SUM(X120:DS120)</f>
        <v/>
      </c>
      <c r="L120" s="1481" t="n">
        <v>525.6</v>
      </c>
      <c r="AZ120" s="1482" t="n">
        <v>43.8</v>
      </c>
      <c r="BA120" s="1482" t="n">
        <v>43.8</v>
      </c>
      <c r="BB120" s="1482" t="n">
        <v>43.8</v>
      </c>
      <c r="BC120" s="1482" t="n">
        <v>394.2</v>
      </c>
    </row>
    <row r="121" ht="13.9" customHeight="1" s="1232">
      <c r="A121" s="1485" t="inlineStr">
        <is>
          <t>c.j.franklin1@ntlworld.com</t>
        </is>
      </c>
      <c r="C121" s="256" t="n">
        <v>29</v>
      </c>
      <c r="D121" s="1486" t="inlineStr">
        <is>
          <t>Chris</t>
        </is>
      </c>
      <c r="E121" s="1486" t="inlineStr">
        <is>
          <t>Franklin</t>
        </is>
      </c>
      <c r="F121" s="1486" t="inlineStr">
        <is>
          <t>Monthly</t>
        </is>
      </c>
      <c r="G121" s="1480" t="n">
        <v>47.8</v>
      </c>
      <c r="H121" s="255" t="n">
        <v>42826</v>
      </c>
      <c r="I121" s="1480" t="inlineStr">
        <is>
          <t>6th</t>
        </is>
      </c>
      <c r="J121" s="255" t="n">
        <v>43160</v>
      </c>
      <c r="K121" s="1480">
        <f>SUM(X121:DS121)</f>
        <v/>
      </c>
      <c r="L121" s="1481" t="n">
        <v>997.2</v>
      </c>
      <c r="BA121" s="1482" t="n">
        <v>47.48</v>
      </c>
      <c r="BB121" s="1482" t="n">
        <v>47.48</v>
      </c>
      <c r="BC121" s="1482" t="n">
        <v>47.48</v>
      </c>
      <c r="BD121" s="1482" t="n">
        <v>47.48</v>
      </c>
      <c r="BE121" s="1482" t="n">
        <v>47.48</v>
      </c>
      <c r="BF121" s="1482" t="n">
        <v>47.48</v>
      </c>
      <c r="BG121" s="1482" t="n">
        <v>47.48</v>
      </c>
      <c r="BH121" s="1482" t="n">
        <v>47.48</v>
      </c>
      <c r="BI121" s="1482" t="n">
        <v>47.48</v>
      </c>
      <c r="BJ121" s="1482" t="n">
        <v>47.48</v>
      </c>
      <c r="BK121" s="1482" t="n">
        <v>47.5</v>
      </c>
      <c r="BL121" s="1482" t="n">
        <v>47.5</v>
      </c>
      <c r="BM121" s="1482" t="n">
        <v>47.5</v>
      </c>
      <c r="BN121" s="1480" t="n">
        <v>47.5</v>
      </c>
      <c r="BO121" s="1480" t="n">
        <v>47.5</v>
      </c>
      <c r="BP121" s="1480" t="n">
        <v>47.5</v>
      </c>
      <c r="BQ121" s="1480" t="n">
        <v>47.5</v>
      </c>
      <c r="BR121" s="1480" t="n">
        <v>47.5</v>
      </c>
      <c r="BS121" s="1480" t="n">
        <v>47.5</v>
      </c>
      <c r="BT121" s="1480" t="n">
        <v>47.5</v>
      </c>
      <c r="BU121" s="1482" t="n">
        <v>47.5</v>
      </c>
    </row>
    <row r="122" ht="15" customHeight="1" s="1232">
      <c r="A122" s="1499" t="inlineStr">
        <is>
          <t xml:space="preserve">n.pratt@gmx.de </t>
        </is>
      </c>
      <c r="B122" s="512" t="n"/>
      <c r="C122" s="256" t="n">
        <v>30</v>
      </c>
      <c r="D122" s="512" t="inlineStr">
        <is>
          <t xml:space="preserve">Nadine </t>
        </is>
      </c>
      <c r="E122" s="512" t="inlineStr">
        <is>
          <t>Pratt</t>
        </is>
      </c>
      <c r="F122" s="1488" t="inlineStr">
        <is>
          <t>Monthly</t>
        </is>
      </c>
      <c r="G122" s="1480" t="n">
        <v>46.13</v>
      </c>
      <c r="H122" s="255" t="n">
        <v>43145</v>
      </c>
      <c r="I122" s="1260" t="inlineStr">
        <is>
          <t>14th</t>
        </is>
      </c>
      <c r="J122" s="255" t="n">
        <v>43479</v>
      </c>
      <c r="K122" s="1480">
        <f>SUM(X122:DS122)</f>
        <v/>
      </c>
      <c r="L122" s="1481" t="n">
        <v>553.5</v>
      </c>
      <c r="BK122" s="1482" t="n">
        <v>46.13</v>
      </c>
      <c r="BL122" s="1482" t="n">
        <v>46.13</v>
      </c>
      <c r="BM122" s="1482" t="n">
        <v>46.13</v>
      </c>
      <c r="BN122" s="1482" t="n">
        <v>46.13</v>
      </c>
      <c r="BO122" s="1482" t="n">
        <v>46.13</v>
      </c>
      <c r="BP122" s="1482" t="n">
        <v>46.13</v>
      </c>
      <c r="BQ122" s="1482" t="n">
        <v>46.13</v>
      </c>
      <c r="BR122" s="1482" t="n">
        <v>46.13</v>
      </c>
      <c r="BS122" s="1482" t="n">
        <v>46.13</v>
      </c>
      <c r="BT122" s="1482" t="n">
        <v>46.13</v>
      </c>
      <c r="BU122" s="1482" t="n">
        <v>46.13</v>
      </c>
      <c r="BV122" s="1482" t="n">
        <v>46.13</v>
      </c>
    </row>
    <row r="123" ht="13.9" customHeight="1" s="1232">
      <c r="A123" s="1485" t="inlineStr">
        <is>
          <t>fiona@flbrown.com</t>
        </is>
      </c>
      <c r="C123" s="256" t="n">
        <v>31</v>
      </c>
      <c r="D123" s="1488" t="inlineStr">
        <is>
          <t>Fiona</t>
        </is>
      </c>
      <c r="E123" s="1488" t="inlineStr">
        <is>
          <t>Brown</t>
        </is>
      </c>
      <c r="F123" s="1488" t="inlineStr">
        <is>
          <t>Monthly</t>
        </is>
      </c>
      <c r="G123" s="1480" t="n">
        <v>150</v>
      </c>
      <c r="H123" s="255" t="n">
        <v>43282</v>
      </c>
      <c r="I123" s="1260" t="inlineStr">
        <is>
          <t>25th</t>
        </is>
      </c>
      <c r="J123" s="255" t="n">
        <v>43617</v>
      </c>
      <c r="K123" s="1480">
        <f>SUM(X123:DS123)</f>
        <v/>
      </c>
      <c r="L123" s="1481" t="n">
        <v>1800</v>
      </c>
      <c r="BP123" s="1482" t="n">
        <v>150</v>
      </c>
      <c r="BQ123" s="1480" t="n">
        <v>150</v>
      </c>
      <c r="BR123" s="1480" t="n">
        <v>150</v>
      </c>
      <c r="BS123" s="1480" t="n">
        <v>150</v>
      </c>
      <c r="BT123" s="1482" t="n">
        <v>150</v>
      </c>
      <c r="BU123" s="1480" t="n">
        <v>150</v>
      </c>
      <c r="BV123" s="1480" t="n">
        <v>150</v>
      </c>
      <c r="BW123" s="1482" t="n">
        <v>150</v>
      </c>
      <c r="BX123" s="1482" t="n">
        <v>150</v>
      </c>
      <c r="BY123" s="1480" t="n">
        <v>150</v>
      </c>
      <c r="BZ123" s="1480" t="n">
        <v>150</v>
      </c>
      <c r="CA123" s="1480" t="n">
        <v>150</v>
      </c>
    </row>
    <row r="124" ht="13.9" customHeight="1" s="1232">
      <c r="A124" s="1374" t="inlineStr">
        <is>
          <t>nathan920@ymail.com</t>
        </is>
      </c>
      <c r="C124" s="256" t="n">
        <v>32</v>
      </c>
      <c r="D124" s="1488" t="inlineStr">
        <is>
          <t>Nathan</t>
        </is>
      </c>
      <c r="E124" s="1488" t="inlineStr">
        <is>
          <t>Jogia</t>
        </is>
      </c>
      <c r="F124" s="1488" t="inlineStr">
        <is>
          <t>Monthly</t>
        </is>
      </c>
      <c r="G124" s="1480" t="n">
        <v>250</v>
      </c>
      <c r="H124" s="255" t="n">
        <v>43313</v>
      </c>
      <c r="I124" s="1260" t="inlineStr">
        <is>
          <t>21st</t>
        </is>
      </c>
      <c r="J124" s="255" t="n">
        <v>43647</v>
      </c>
      <c r="K124" s="1480">
        <f>SUM(X124:DS124)</f>
        <v/>
      </c>
      <c r="L124" s="1481">
        <f>250*12</f>
        <v/>
      </c>
      <c r="BQ124" s="1482" t="n">
        <v>250</v>
      </c>
      <c r="BR124" s="1482" t="n">
        <v>250</v>
      </c>
      <c r="BS124" s="1482" t="n">
        <v>250</v>
      </c>
      <c r="BT124" s="1482" t="n">
        <v>250</v>
      </c>
      <c r="BU124" s="1480" t="n">
        <v>250</v>
      </c>
      <c r="BV124" s="1482" t="n">
        <v>250</v>
      </c>
      <c r="BW124" s="1482" t="n">
        <v>250</v>
      </c>
      <c r="BX124" s="1482" t="n">
        <v>250</v>
      </c>
      <c r="BY124" s="1482" t="n">
        <v>250</v>
      </c>
      <c r="BZ124" s="1482" t="n">
        <v>250</v>
      </c>
      <c r="CA124" s="1482" t="n">
        <v>250</v>
      </c>
      <c r="CB124" s="1482" t="n">
        <v>250</v>
      </c>
    </row>
    <row r="125" ht="13.9" customHeight="1" s="1232">
      <c r="A125" s="1374" t="inlineStr">
        <is>
          <t>amanda_graham@hotmail.co.uk</t>
        </is>
      </c>
      <c r="C125" s="256" t="n">
        <v>33</v>
      </c>
      <c r="D125" s="1488" t="inlineStr">
        <is>
          <t xml:space="preserve">Amanda </t>
        </is>
      </c>
      <c r="E125" s="1486" t="inlineStr">
        <is>
          <t>Graham</t>
        </is>
      </c>
      <c r="F125" s="1488" t="inlineStr">
        <is>
          <t>Monthly</t>
        </is>
      </c>
      <c r="G125" s="1480" t="n">
        <v>60</v>
      </c>
      <c r="H125" s="255" t="n">
        <v>43405</v>
      </c>
      <c r="I125" s="1260" t="inlineStr">
        <is>
          <t>1st</t>
        </is>
      </c>
      <c r="J125" s="255" t="n">
        <v>43739</v>
      </c>
      <c r="K125" s="1480">
        <f>SUM(X125:DS125)</f>
        <v/>
      </c>
      <c r="L125" s="1481" t="n">
        <v>720</v>
      </c>
      <c r="BT125" s="1500" t="n">
        <v>60</v>
      </c>
      <c r="BU125" s="1482" t="n">
        <v>60</v>
      </c>
      <c r="BV125" s="1480" t="n">
        <v>60</v>
      </c>
      <c r="BW125" s="1480" t="n">
        <v>60</v>
      </c>
      <c r="BX125" s="1482" t="n">
        <v>60</v>
      </c>
      <c r="BY125" s="1480" t="n">
        <v>60</v>
      </c>
      <c r="BZ125" s="1480" t="n">
        <v>60</v>
      </c>
      <c r="CA125" s="1480" t="n">
        <v>60</v>
      </c>
      <c r="CB125" s="1480" t="n">
        <v>60</v>
      </c>
      <c r="CC125" s="1480" t="n">
        <v>60</v>
      </c>
      <c r="CD125" s="1480" t="n">
        <v>60</v>
      </c>
      <c r="CE125" s="1480" t="n">
        <v>60</v>
      </c>
    </row>
    <row r="126" ht="13.9" customHeight="1" s="1232">
      <c r="A126" s="1491" t="inlineStr">
        <is>
          <t xml:space="preserve">heathermarie412@hotmail.co.uk </t>
        </is>
      </c>
      <c r="C126" s="256" t="n">
        <v>34</v>
      </c>
      <c r="D126" s="1488" t="inlineStr">
        <is>
          <t>Heather</t>
        </is>
      </c>
      <c r="E126" s="1488" t="inlineStr">
        <is>
          <t>Powell</t>
        </is>
      </c>
      <c r="F126" s="1488" t="inlineStr">
        <is>
          <t>Quaterly</t>
        </is>
      </c>
      <c r="G126" s="1480" t="n">
        <v>250</v>
      </c>
      <c r="H126" s="255" t="n">
        <v>43497</v>
      </c>
      <c r="I126" s="1260" t="inlineStr">
        <is>
          <t>1st</t>
        </is>
      </c>
      <c r="J126" s="255" t="n">
        <v>43831</v>
      </c>
      <c r="K126" s="1480">
        <f>SUM(X126:DS126)</f>
        <v/>
      </c>
      <c r="L126" s="1481" t="n">
        <v>1000</v>
      </c>
      <c r="BW126" s="1482" t="n">
        <v>250</v>
      </c>
      <c r="BZ126" s="1482" t="n">
        <v>250</v>
      </c>
      <c r="CC126" s="1482" t="n">
        <v>250</v>
      </c>
      <c r="CF126" s="1482" t="n">
        <v>250</v>
      </c>
    </row>
    <row r="127" ht="13.9" customHeight="1" s="1232">
      <c r="A127" s="1501" t="inlineStr">
        <is>
          <t>annewatkinson@talk21.com</t>
        </is>
      </c>
      <c r="C127" s="256" t="n">
        <v>35</v>
      </c>
      <c r="D127" s="1488" t="inlineStr">
        <is>
          <t>Anne</t>
        </is>
      </c>
      <c r="E127" s="1488" t="inlineStr">
        <is>
          <t>Watkindon</t>
        </is>
      </c>
      <c r="F127" s="1488" t="inlineStr">
        <is>
          <t>Quaterly</t>
        </is>
      </c>
      <c r="G127" s="1480" t="n">
        <v>200</v>
      </c>
      <c r="H127" s="255" t="n">
        <v>43497</v>
      </c>
      <c r="I127" s="1260" t="inlineStr">
        <is>
          <t>15th</t>
        </is>
      </c>
      <c r="J127" s="255" t="n">
        <v>43831</v>
      </c>
      <c r="K127" s="1480">
        <f>SUM(X127:DS127)</f>
        <v/>
      </c>
      <c r="L127" s="1481" t="n">
        <v>800</v>
      </c>
      <c r="BW127" s="1482" t="n">
        <v>200</v>
      </c>
      <c r="BZ127" s="1482" t="n">
        <v>200</v>
      </c>
      <c r="CC127" s="1482" t="n">
        <v>200</v>
      </c>
      <c r="CF127" s="1482" t="n">
        <v>200</v>
      </c>
    </row>
    <row r="128" ht="13.9" customHeight="1" s="1232">
      <c r="A128" s="1374" t="inlineStr">
        <is>
          <t xml:space="preserve">esterriordan@hotmail.co.uk </t>
        </is>
      </c>
      <c r="C128" s="256" t="n">
        <v>36</v>
      </c>
      <c r="D128" s="1488" t="inlineStr">
        <is>
          <t xml:space="preserve">ESTER </t>
        </is>
      </c>
      <c r="E128" s="1486" t="inlineStr">
        <is>
          <t>RIORDAN</t>
        </is>
      </c>
      <c r="F128" s="1488" t="inlineStr">
        <is>
          <t>Monthly</t>
        </is>
      </c>
      <c r="G128" s="1480" t="n">
        <v>75</v>
      </c>
      <c r="H128" s="255" t="n">
        <v>43556</v>
      </c>
      <c r="I128" s="1260" t="inlineStr">
        <is>
          <t>2nd</t>
        </is>
      </c>
      <c r="J128" s="255" t="n">
        <v>43891</v>
      </c>
      <c r="K128" s="1480">
        <f>SUM(X128:DS128)</f>
        <v/>
      </c>
      <c r="L128" s="1481" t="n">
        <v>1125</v>
      </c>
      <c r="BY128" s="1482" t="n">
        <v>75</v>
      </c>
      <c r="BZ128" s="1482" t="n">
        <v>75</v>
      </c>
      <c r="CA128" s="1482" t="n">
        <v>75</v>
      </c>
      <c r="CB128" s="1480" t="n">
        <v>100</v>
      </c>
      <c r="CC128" s="1480" t="n">
        <v>100</v>
      </c>
      <c r="CD128" s="1480" t="n">
        <v>100</v>
      </c>
      <c r="CE128" s="1480" t="n">
        <v>100</v>
      </c>
      <c r="CF128" s="1482" t="n">
        <v>100</v>
      </c>
      <c r="CG128" s="1480" t="n">
        <v>100</v>
      </c>
      <c r="CH128" s="1480" t="n">
        <v>100</v>
      </c>
      <c r="CI128" s="1480" t="n">
        <v>100</v>
      </c>
      <c r="CJ128" s="1480" t="n">
        <v>100</v>
      </c>
    </row>
    <row r="129" ht="13.9" customHeight="1" s="1232">
      <c r="A129" s="1374" t="inlineStr">
        <is>
          <t>jaymeslynch@hotmail.com</t>
        </is>
      </c>
      <c r="B129" s="1486" t="n"/>
      <c r="C129" s="256" t="n">
        <v>37</v>
      </c>
      <c r="D129" s="1260" t="inlineStr">
        <is>
          <t>James</t>
        </is>
      </c>
      <c r="E129" s="1260" t="inlineStr">
        <is>
          <t>Lynch</t>
        </is>
      </c>
      <c r="F129" s="1488" t="inlineStr">
        <is>
          <t>Quaterly</t>
        </is>
      </c>
      <c r="G129" s="1480" t="n">
        <v>187.5</v>
      </c>
      <c r="H129" s="255" t="n">
        <v>43556</v>
      </c>
      <c r="I129" s="1260" t="inlineStr">
        <is>
          <t>23rd</t>
        </is>
      </c>
      <c r="J129" s="255" t="n">
        <v>43831</v>
      </c>
      <c r="K129" s="1480">
        <f>SUM(X129:DS129)</f>
        <v/>
      </c>
      <c r="L129" s="1480" t="n">
        <v>750</v>
      </c>
      <c r="BY129" s="1482" t="n">
        <v>187.5</v>
      </c>
      <c r="CB129" s="1482" t="n">
        <v>187.5</v>
      </c>
      <c r="CE129" s="1482" t="n">
        <v>187.5</v>
      </c>
      <c r="CH129" s="1480" t="n">
        <v>187.5</v>
      </c>
    </row>
    <row r="130" ht="13.9" customHeight="1" s="1232">
      <c r="A130" s="1374" t="inlineStr">
        <is>
          <t xml:space="preserve">johanna81005@gmail.com </t>
        </is>
      </c>
      <c r="B130" s="1486" t="n"/>
      <c r="C130" s="256" t="n">
        <v>38</v>
      </c>
      <c r="D130" s="1260" t="inlineStr">
        <is>
          <t>Johanna</t>
        </is>
      </c>
      <c r="E130" s="1260" t="inlineStr">
        <is>
          <t>Stansfield</t>
        </is>
      </c>
      <c r="F130" s="1260" t="inlineStr">
        <is>
          <t>Monthly</t>
        </is>
      </c>
      <c r="G130" s="1480" t="n">
        <v>60</v>
      </c>
      <c r="H130" s="255" t="n">
        <v>43617</v>
      </c>
      <c r="I130" s="1260" t="inlineStr">
        <is>
          <t>13th</t>
        </is>
      </c>
      <c r="J130" s="255" t="n">
        <v>43952</v>
      </c>
      <c r="K130" s="1480">
        <f>SUM(X130:DS130)</f>
        <v/>
      </c>
      <c r="L130" s="1480" t="n">
        <v>720</v>
      </c>
      <c r="CA130" s="1482" t="n">
        <v>60</v>
      </c>
      <c r="CB130" s="1480" t="n">
        <v>60</v>
      </c>
      <c r="CC130" s="1480" t="n">
        <v>60</v>
      </c>
      <c r="CD130" s="1480" t="n">
        <v>60</v>
      </c>
      <c r="CE130" s="1480" t="n">
        <v>60</v>
      </c>
      <c r="CF130" s="1480" t="n">
        <v>60</v>
      </c>
      <c r="CG130" s="1480" t="n">
        <v>60</v>
      </c>
      <c r="CH130" s="1480" t="n">
        <v>60</v>
      </c>
      <c r="CI130" s="1480" t="n">
        <v>60</v>
      </c>
      <c r="CJ130" s="1480" t="n">
        <v>60</v>
      </c>
      <c r="CK130" s="1480" t="n">
        <v>60</v>
      </c>
      <c r="CL130" s="1480" t="n">
        <v>60</v>
      </c>
    </row>
    <row r="131" ht="13.9" customHeight="1" s="1232">
      <c r="A131" s="1502" t="inlineStr">
        <is>
          <t>inwanderment@gmail.com</t>
        </is>
      </c>
      <c r="B131" s="1486" t="n"/>
      <c r="C131" s="256" t="n">
        <v>39</v>
      </c>
      <c r="D131" s="1260" t="inlineStr">
        <is>
          <t>Steffan</t>
        </is>
      </c>
      <c r="E131" s="1260" t="inlineStr">
        <is>
          <t>Chave</t>
        </is>
      </c>
      <c r="F131" s="1260" t="inlineStr">
        <is>
          <t>Monthly</t>
        </is>
      </c>
      <c r="G131" s="1480" t="n">
        <v>60</v>
      </c>
      <c r="H131" s="255" t="n">
        <v>43647</v>
      </c>
      <c r="I131" s="1260" t="inlineStr">
        <is>
          <t>7th</t>
        </is>
      </c>
      <c r="J131" s="255" t="n">
        <v>43983</v>
      </c>
      <c r="K131" s="1480">
        <f>SUM(X131:DS131)</f>
        <v/>
      </c>
      <c r="L131" s="1480" t="n">
        <v>720</v>
      </c>
      <c r="CB131" s="1482" t="n">
        <v>60</v>
      </c>
      <c r="CC131" s="1480" t="n">
        <v>60</v>
      </c>
      <c r="CD131" s="1480" t="n">
        <v>60</v>
      </c>
      <c r="CE131" s="1480" t="n">
        <v>60</v>
      </c>
      <c r="CF131" s="1480" t="n">
        <v>60</v>
      </c>
      <c r="CG131" s="1480" t="n">
        <v>60</v>
      </c>
      <c r="CH131" s="1480" t="n">
        <v>60</v>
      </c>
      <c r="CI131" s="1480" t="n">
        <v>60</v>
      </c>
      <c r="CJ131" s="1480" t="n">
        <v>60</v>
      </c>
      <c r="CK131" s="1480" t="n">
        <v>60</v>
      </c>
      <c r="CL131" s="1480" t="n">
        <v>60</v>
      </c>
      <c r="CM131" s="1480" t="n">
        <v>60</v>
      </c>
    </row>
    <row r="132" ht="13.9" customHeight="1" s="1232">
      <c r="A132" s="1502" t="inlineStr">
        <is>
          <t>inwanderment@gmail.com</t>
        </is>
      </c>
      <c r="B132" s="1486" t="n"/>
      <c r="C132" s="256" t="n">
        <v>39</v>
      </c>
      <c r="D132" s="1260" t="inlineStr">
        <is>
          <t>Steffan</t>
        </is>
      </c>
      <c r="E132" s="1260" t="inlineStr">
        <is>
          <t>Chave</t>
        </is>
      </c>
      <c r="F132" s="1260" t="inlineStr">
        <is>
          <t>Monthly</t>
        </is>
      </c>
      <c r="G132" s="1480" t="n">
        <v>120</v>
      </c>
      <c r="H132" s="255" t="n">
        <v>43647</v>
      </c>
      <c r="I132" s="1260" t="inlineStr">
        <is>
          <t>7th</t>
        </is>
      </c>
      <c r="J132" s="255" t="n">
        <v>43983</v>
      </c>
      <c r="K132" s="1480">
        <f>SUM(X132:DS132)</f>
        <v/>
      </c>
      <c r="L132" s="1480">
        <f>12*120</f>
        <v/>
      </c>
      <c r="CB132" s="1482" t="n">
        <v>120</v>
      </c>
      <c r="CC132" s="1480" t="n">
        <v>120</v>
      </c>
      <c r="CD132" s="1480" t="n">
        <v>120</v>
      </c>
      <c r="CE132" s="1480" t="n">
        <v>120</v>
      </c>
      <c r="CF132" s="1480" t="n">
        <v>120</v>
      </c>
      <c r="CG132" s="1480" t="n">
        <v>120</v>
      </c>
      <c r="CH132" s="1480" t="n">
        <v>120</v>
      </c>
      <c r="CI132" s="1480" t="n">
        <v>120</v>
      </c>
      <c r="CJ132" s="1480" t="n">
        <v>120</v>
      </c>
      <c r="CK132" s="1480" t="n">
        <v>120</v>
      </c>
      <c r="CL132" s="1480" t="n">
        <v>120</v>
      </c>
      <c r="CM132" s="1480" t="n">
        <v>120</v>
      </c>
    </row>
    <row r="133" ht="13.9" customHeight="1" s="1232">
      <c r="A133" s="1502" t="inlineStr">
        <is>
          <t xml:space="preserve">rob.j.hull@gmail.com </t>
        </is>
      </c>
      <c r="B133" s="1486" t="n"/>
      <c r="C133" s="256" t="n">
        <v>40</v>
      </c>
      <c r="D133" s="1260" t="inlineStr">
        <is>
          <t>Robert</t>
        </is>
      </c>
      <c r="E133" s="1260" t="inlineStr">
        <is>
          <t>Hull</t>
        </is>
      </c>
      <c r="F133" s="1260" t="inlineStr">
        <is>
          <t>Quaterly</t>
        </is>
      </c>
      <c r="G133" s="1480" t="n">
        <v>300</v>
      </c>
      <c r="H133" s="255" t="n">
        <v>43647</v>
      </c>
      <c r="I133" s="1260" t="inlineStr">
        <is>
          <t>19th</t>
        </is>
      </c>
      <c r="J133" s="255" t="n">
        <v>43983</v>
      </c>
      <c r="K133" s="1480">
        <f>SUM(X133:DS133)</f>
        <v/>
      </c>
      <c r="L133" s="1480" t="n">
        <v>1200</v>
      </c>
      <c r="CB133" s="1482" t="n">
        <v>300</v>
      </c>
      <c r="CD133" s="1480" t="n">
        <v>300</v>
      </c>
      <c r="CE133" s="1480" t="n">
        <v>0</v>
      </c>
    </row>
    <row r="134" ht="13.9" customHeight="1" s="1232">
      <c r="A134" s="1501" t="inlineStr">
        <is>
          <t xml:space="preserve">kamkaur7373@yahoo.com </t>
        </is>
      </c>
      <c r="B134" s="1486" t="n"/>
      <c r="C134" s="256" t="n">
        <v>41</v>
      </c>
      <c r="D134" s="1260" t="inlineStr">
        <is>
          <t xml:space="preserve">Kamaljit </t>
        </is>
      </c>
      <c r="E134" s="1260" t="inlineStr">
        <is>
          <t>Mattu</t>
        </is>
      </c>
      <c r="F134" s="1260" t="inlineStr">
        <is>
          <t>Annual</t>
        </is>
      </c>
      <c r="G134" s="1480" t="n">
        <v>1500</v>
      </c>
      <c r="H134" s="255" t="n">
        <v>43678</v>
      </c>
      <c r="I134" s="1260" t="inlineStr">
        <is>
          <t>17th</t>
        </is>
      </c>
      <c r="J134" s="255" t="n">
        <v>44013</v>
      </c>
      <c r="K134" s="1480">
        <f>SUM(X134:DS134)</f>
        <v/>
      </c>
      <c r="L134" s="1480" t="n">
        <v>1500</v>
      </c>
      <c r="CC134" s="1482" t="n">
        <v>1500</v>
      </c>
    </row>
    <row r="135" ht="13.9" customHeight="1" s="1232">
      <c r="A135" s="1502" t="inlineStr">
        <is>
          <t xml:space="preserve">lianhoran84@yahoo.co.uk </t>
        </is>
      </c>
      <c r="B135" s="1486" t="n"/>
      <c r="C135" s="256" t="n">
        <v>42</v>
      </c>
      <c r="D135" s="1260" t="inlineStr">
        <is>
          <t>Lian</t>
        </is>
      </c>
      <c r="E135" s="1260" t="inlineStr">
        <is>
          <t>Hora</t>
        </is>
      </c>
      <c r="F135" s="1260" t="inlineStr">
        <is>
          <t>Monthly</t>
        </is>
      </c>
      <c r="G135" s="1480" t="n">
        <v>43.75</v>
      </c>
      <c r="H135" s="255" t="n">
        <v>43770</v>
      </c>
      <c r="I135" s="1260" t="inlineStr">
        <is>
          <t>15th</t>
        </is>
      </c>
      <c r="J135" s="255" t="n">
        <v>44105</v>
      </c>
      <c r="K135" s="1480">
        <f>SUM(X135:DS135)</f>
        <v/>
      </c>
      <c r="L135" s="1480">
        <f>43.75*12</f>
        <v/>
      </c>
      <c r="CF135" s="1482" t="n">
        <v>43.75</v>
      </c>
      <c r="CG135" s="1482" t="n">
        <v>43.75</v>
      </c>
      <c r="CH135" s="1482" t="n">
        <v>43.75</v>
      </c>
      <c r="CI135" s="1482" t="n">
        <v>43.75</v>
      </c>
      <c r="CJ135" s="1482" t="n">
        <v>43.75</v>
      </c>
      <c r="CK135" s="1482" t="n">
        <v>43.75</v>
      </c>
      <c r="CL135" s="1482" t="n">
        <v>43.75</v>
      </c>
      <c r="CM135" s="1482" t="n">
        <v>218.75</v>
      </c>
    </row>
    <row r="136" ht="13.9" customHeight="1" s="1232">
      <c r="A136" s="1374" t="inlineStr">
        <is>
          <t>georgiek272@gmail.com</t>
        </is>
      </c>
      <c r="B136" s="1486" t="n"/>
      <c r="C136" s="256" t="n">
        <v>43</v>
      </c>
      <c r="D136" s="1260" t="inlineStr">
        <is>
          <t>Georgina</t>
        </is>
      </c>
      <c r="E136" s="1260" t="inlineStr">
        <is>
          <t>Hughes</t>
        </is>
      </c>
      <c r="F136" s="1260" t="inlineStr">
        <is>
          <t>Monthly</t>
        </is>
      </c>
      <c r="G136" s="1480" t="n">
        <v>25</v>
      </c>
      <c r="H136" s="255" t="n">
        <v>44105</v>
      </c>
      <c r="K136" s="1480">
        <f>SUM(X136:DS136)</f>
        <v/>
      </c>
      <c r="L136" s="1480" t="n">
        <v>395</v>
      </c>
      <c r="CR136" s="1480" t="n">
        <v>225</v>
      </c>
      <c r="CS136" s="1480" t="n">
        <v>100</v>
      </c>
      <c r="CT136" s="1480" t="n">
        <v>70</v>
      </c>
    </row>
    <row r="137" ht="13.15" customHeight="1" s="1232">
      <c r="A137" s="1485" t="n"/>
      <c r="B137" s="1485" t="n"/>
      <c r="C137" s="256" t="n"/>
      <c r="D137" s="1480" t="inlineStr">
        <is>
          <t>Emily</t>
        </is>
      </c>
      <c r="E137" s="1480" t="inlineStr">
        <is>
          <t>Chimes</t>
        </is>
      </c>
      <c r="F137" s="1480" t="inlineStr">
        <is>
          <t>Monthly</t>
        </is>
      </c>
      <c r="G137" s="1480" t="n">
        <v>33</v>
      </c>
      <c r="H137" s="255" t="n">
        <v>42005</v>
      </c>
      <c r="I137" s="255" t="inlineStr">
        <is>
          <t>30th</t>
        </is>
      </c>
      <c r="J137" s="255" t="n">
        <v>42339</v>
      </c>
      <c r="K137" s="1480">
        <f>SUM(X137:DS137)</f>
        <v/>
      </c>
      <c r="L137" s="1481" t="n">
        <v>395</v>
      </c>
      <c r="M137" s="1481" t="n"/>
      <c r="N137" s="1481" t="n"/>
      <c r="O137" s="1481" t="n"/>
      <c r="P137" s="1481" t="n"/>
      <c r="Q137" s="1481" t="n"/>
      <c r="R137" s="1481" t="n"/>
      <c r="S137" s="1481" t="n"/>
      <c r="T137" s="1481" t="n"/>
      <c r="U137" s="1481" t="n"/>
      <c r="Z137" s="1482" t="n">
        <v>32</v>
      </c>
      <c r="AA137" s="1482" t="n">
        <v>33</v>
      </c>
      <c r="AB137" s="1482" t="n">
        <v>33</v>
      </c>
      <c r="AC137" s="1482" t="n">
        <v>33</v>
      </c>
      <c r="AD137" s="1482" t="n">
        <v>33</v>
      </c>
      <c r="AE137" s="1482" t="n">
        <v>33</v>
      </c>
      <c r="AF137" s="1482" t="n">
        <v>33</v>
      </c>
      <c r="AG137" s="1482" t="n">
        <v>33</v>
      </c>
      <c r="AH137" s="1482" t="n">
        <v>33</v>
      </c>
      <c r="AI137" s="1482" t="n">
        <v>33</v>
      </c>
      <c r="AJ137" s="1482" t="n">
        <v>33</v>
      </c>
      <c r="AK137" s="1482" t="n">
        <v>33</v>
      </c>
    </row>
    <row r="138" ht="13.15" customHeight="1" s="1232">
      <c r="D138" s="1480" t="inlineStr">
        <is>
          <t>Nikki</t>
        </is>
      </c>
      <c r="E138" s="1480" t="inlineStr">
        <is>
          <t>Cahill</t>
        </is>
      </c>
      <c r="F138" s="1480" t="inlineStr">
        <is>
          <t>Monthly</t>
        </is>
      </c>
      <c r="G138" s="1480" t="n">
        <v>33</v>
      </c>
      <c r="H138" s="255" t="n">
        <v>42005</v>
      </c>
      <c r="I138" s="255" t="inlineStr">
        <is>
          <t>30th</t>
        </is>
      </c>
      <c r="J138" s="255" t="n">
        <v>42339</v>
      </c>
      <c r="K138" s="1480">
        <f>SUM(X138:DS138)</f>
        <v/>
      </c>
      <c r="L138" s="1481" t="n">
        <v>395</v>
      </c>
      <c r="M138" s="1481" t="n"/>
      <c r="N138" s="1481" t="n"/>
      <c r="O138" s="1481" t="n"/>
      <c r="P138" s="1481" t="n"/>
      <c r="Q138" s="1481" t="n"/>
      <c r="R138" s="1481" t="n"/>
      <c r="S138" s="1481" t="n"/>
      <c r="T138" s="1481" t="n"/>
      <c r="U138" s="1481" t="n"/>
      <c r="Z138" s="1482" t="n">
        <v>32</v>
      </c>
      <c r="AA138" s="1482" t="n">
        <v>33</v>
      </c>
      <c r="AB138" s="1482" t="n">
        <v>33</v>
      </c>
      <c r="AC138" s="1482" t="n">
        <v>33</v>
      </c>
      <c r="AD138" s="1482" t="n">
        <v>33</v>
      </c>
      <c r="AE138" s="1482" t="n">
        <v>33</v>
      </c>
      <c r="AF138" s="1482" t="n">
        <v>33</v>
      </c>
      <c r="AG138" s="1482" t="n">
        <v>33</v>
      </c>
      <c r="AH138" s="1482" t="n">
        <v>33</v>
      </c>
      <c r="AI138" s="1482" t="n">
        <v>33</v>
      </c>
      <c r="AJ138" s="1482" t="n">
        <v>33</v>
      </c>
      <c r="AK138" s="1482" t="n">
        <v>33</v>
      </c>
    </row>
    <row r="139" ht="13.15" customHeight="1" s="1232">
      <c r="D139" s="1480" t="inlineStr">
        <is>
          <t xml:space="preserve">Jo </t>
        </is>
      </c>
      <c r="E139" s="1480" t="inlineStr">
        <is>
          <t>Batacanin</t>
        </is>
      </c>
      <c r="F139" s="1480" t="inlineStr">
        <is>
          <t>Monthly</t>
        </is>
      </c>
      <c r="G139" s="1480" t="n">
        <v>62.68</v>
      </c>
      <c r="H139" s="255" t="n">
        <v>42156</v>
      </c>
      <c r="I139" s="255" t="inlineStr">
        <is>
          <t>28th</t>
        </is>
      </c>
      <c r="J139" s="255" t="n">
        <v>42491</v>
      </c>
      <c r="K139" s="1480">
        <f>SUM(X139:DS139)</f>
        <v/>
      </c>
      <c r="L139" s="1481" t="n">
        <v>562.76</v>
      </c>
      <c r="AC139" s="1482" t="n">
        <v>0</v>
      </c>
      <c r="AD139" s="1482" t="n">
        <v>0</v>
      </c>
      <c r="AE139" s="1482" t="n">
        <v>62.69</v>
      </c>
      <c r="AF139" s="1482" t="n">
        <v>62.69</v>
      </c>
      <c r="AG139" s="1482" t="n">
        <v>62.69</v>
      </c>
      <c r="AH139" s="1482" t="n">
        <v>62.69</v>
      </c>
      <c r="AI139" s="1482" t="n">
        <v>312</v>
      </c>
    </row>
    <row r="140" ht="13.15" customHeight="1" s="1232">
      <c r="C140" s="256" t="n"/>
      <c r="D140" s="1481" t="inlineStr">
        <is>
          <t xml:space="preserve">Mike </t>
        </is>
      </c>
      <c r="E140" s="1481" t="inlineStr">
        <is>
          <t>Smith</t>
        </is>
      </c>
      <c r="F140" s="1480" t="inlineStr">
        <is>
          <t>Monthly</t>
        </is>
      </c>
      <c r="G140" s="1480" t="n">
        <v>30</v>
      </c>
      <c r="J140" s="255" t="n">
        <v>41974</v>
      </c>
      <c r="K140" s="1480">
        <f>SUM(X140:DS140)</f>
        <v/>
      </c>
      <c r="L140" s="1481">
        <f>786.25+360</f>
        <v/>
      </c>
      <c r="M140" s="1481" t="n"/>
      <c r="N140" s="1481" t="n"/>
      <c r="O140" s="1481" t="n"/>
      <c r="P140" s="1480" t="n">
        <v>196.56</v>
      </c>
      <c r="Q140" s="1481" t="n"/>
      <c r="R140" s="1481" t="n"/>
      <c r="S140" s="1480" t="n">
        <v>196.56</v>
      </c>
      <c r="T140" s="1481" t="n"/>
      <c r="U140" s="1481" t="n"/>
      <c r="V140" s="1480" t="n">
        <v>196.56</v>
      </c>
      <c r="Y140" s="1482">
        <f>196.56+30</f>
        <v/>
      </c>
      <c r="Z140" s="1482" t="n">
        <v>30</v>
      </c>
      <c r="AA140" s="1482" t="n">
        <v>30</v>
      </c>
      <c r="AB140" s="1482" t="n">
        <v>30</v>
      </c>
      <c r="AC140" s="1482" t="n">
        <v>30</v>
      </c>
      <c r="AD140" s="1482" t="n">
        <v>30</v>
      </c>
      <c r="AE140" s="1482" t="n">
        <v>30</v>
      </c>
      <c r="AF140" s="1482" t="n">
        <v>30</v>
      </c>
      <c r="AG140" s="1482" t="n">
        <v>30</v>
      </c>
      <c r="AH140" s="1482" t="n">
        <v>30</v>
      </c>
      <c r="AI140" s="1482" t="n">
        <v>30</v>
      </c>
      <c r="AJ140" s="1482" t="n">
        <v>30</v>
      </c>
    </row>
    <row r="141" ht="13.9" customHeight="1" s="1232">
      <c r="A141" s="1486" t="n"/>
      <c r="B141" s="1486" t="n"/>
      <c r="C141" s="256" t="n">
        <v>4</v>
      </c>
      <c r="D141" s="1480" t="inlineStr">
        <is>
          <t>Steve</t>
        </is>
      </c>
      <c r="E141" s="1480" t="inlineStr">
        <is>
          <t>Beddis</t>
        </is>
      </c>
      <c r="F141" s="1480" t="inlineStr">
        <is>
          <t>Quaterly</t>
        </is>
      </c>
      <c r="G141" s="1480" t="n">
        <v>120</v>
      </c>
      <c r="H141" s="255" t="n">
        <v>41944</v>
      </c>
      <c r="I141" s="255" t="n"/>
      <c r="J141" s="255" t="n">
        <v>42217</v>
      </c>
      <c r="K141" s="1480">
        <f>SUM(X141:DS141)</f>
        <v/>
      </c>
      <c r="L141" s="1481" t="n">
        <v>481</v>
      </c>
      <c r="M141" s="1481" t="n"/>
      <c r="N141" s="1481" t="n"/>
      <c r="O141" s="1481" t="n"/>
      <c r="P141" s="1481" t="n"/>
      <c r="Q141" s="1481" t="n"/>
      <c r="R141" s="1481" t="n"/>
      <c r="S141" s="1481" t="n"/>
      <c r="T141" s="1481" t="n"/>
      <c r="U141" s="1481" t="n"/>
      <c r="X141" s="1482" t="n">
        <v>121</v>
      </c>
      <c r="AA141" s="1482" t="n">
        <v>120</v>
      </c>
      <c r="AB141" s="1482" t="n">
        <v>0</v>
      </c>
      <c r="AC141" s="1480" t="n">
        <v>0</v>
      </c>
      <c r="AD141" s="1482" t="n">
        <v>120</v>
      </c>
      <c r="AE141" s="1480" t="n">
        <v>0</v>
      </c>
      <c r="AF141" s="1480" t="n">
        <v>0</v>
      </c>
      <c r="AG141" s="1482" t="n">
        <v>120</v>
      </c>
    </row>
    <row r="142" ht="13.15" customHeight="1" s="1232">
      <c r="A142" s="1485" t="n"/>
      <c r="B142" s="1485" t="n"/>
      <c r="C142" s="256" t="n">
        <v>5</v>
      </c>
      <c r="D142" s="1480" t="inlineStr">
        <is>
          <t>Ellie</t>
        </is>
      </c>
      <c r="E142" s="1480" t="inlineStr">
        <is>
          <t>Costello</t>
        </is>
      </c>
      <c r="F142" s="1480" t="inlineStr">
        <is>
          <t>Annual</t>
        </is>
      </c>
      <c r="H142" s="255" t="n"/>
      <c r="I142" s="255" t="n"/>
      <c r="J142" s="255" t="n"/>
      <c r="K142" s="1480">
        <f>SUM(X142:DS142)</f>
        <v/>
      </c>
      <c r="L142" s="1481">
        <f>828.75+601.25</f>
        <v/>
      </c>
      <c r="M142" s="1481" t="n"/>
      <c r="N142" s="1481" t="n"/>
      <c r="O142" s="1481" t="n"/>
      <c r="P142" s="1481" t="n"/>
      <c r="Q142" s="1481" t="n"/>
      <c r="R142" s="1481" t="n"/>
      <c r="S142" s="1481" t="n"/>
      <c r="T142" s="1481" t="n"/>
      <c r="U142" s="1481" t="n"/>
      <c r="V142" s="1480" t="n">
        <v>828.75</v>
      </c>
      <c r="X142" s="1482" t="n">
        <v>601.25</v>
      </c>
      <c r="AC142" s="1480" t="n">
        <v>0</v>
      </c>
    </row>
    <row r="143" ht="13.15" customHeight="1" s="1232">
      <c r="C143" s="256" t="n">
        <v>6</v>
      </c>
      <c r="D143" s="1480" t="inlineStr">
        <is>
          <t>Ben</t>
        </is>
      </c>
      <c r="E143" s="1480" t="inlineStr">
        <is>
          <t>Morphet</t>
        </is>
      </c>
      <c r="F143" s="1480" t="inlineStr">
        <is>
          <t>Quaterly</t>
        </is>
      </c>
      <c r="G143" s="1480" t="n">
        <v>25</v>
      </c>
      <c r="I143" s="1480" t="inlineStr">
        <is>
          <t>10th</t>
        </is>
      </c>
      <c r="J143" s="255" t="n">
        <v>41883</v>
      </c>
      <c r="K143" s="1480">
        <f>SUM(X143:DS143)</f>
        <v/>
      </c>
      <c r="L143" s="1481">
        <f>652+300</f>
        <v/>
      </c>
      <c r="M143" s="1480" t="n">
        <v>163</v>
      </c>
      <c r="N143" s="1481" t="n"/>
      <c r="O143" s="1481" t="n"/>
      <c r="P143" s="1480" t="n">
        <v>163</v>
      </c>
      <c r="Q143" s="1481" t="n"/>
      <c r="R143" s="1481" t="n"/>
      <c r="S143" s="1480" t="n">
        <v>163</v>
      </c>
      <c r="T143" s="1481" t="n"/>
      <c r="U143" s="1481" t="n"/>
      <c r="V143" s="1480" t="n">
        <v>163</v>
      </c>
      <c r="Z143" s="1482" t="n">
        <v>25</v>
      </c>
      <c r="AA143" s="1482" t="n">
        <v>25</v>
      </c>
      <c r="AB143" s="1482" t="n">
        <v>25</v>
      </c>
      <c r="AC143" s="1497" t="n">
        <v>25</v>
      </c>
      <c r="AD143" s="1497" t="n">
        <v>25</v>
      </c>
      <c r="AE143" s="1497" t="n">
        <v>25</v>
      </c>
      <c r="AF143" s="1482" t="n">
        <v>25</v>
      </c>
      <c r="AG143" s="1482" t="n">
        <v>25</v>
      </c>
      <c r="AH143" s="1482" t="n">
        <v>25</v>
      </c>
      <c r="AI143" s="1482" t="n">
        <v>25</v>
      </c>
      <c r="AJ143" s="1482" t="n">
        <v>25</v>
      </c>
      <c r="AK143" s="1482" t="n">
        <v>25</v>
      </c>
    </row>
    <row r="144" ht="13.15" customHeight="1" s="1232">
      <c r="C144" s="256" t="n">
        <v>3</v>
      </c>
      <c r="D144" s="1480" t="inlineStr">
        <is>
          <t>Rebecca</t>
        </is>
      </c>
      <c r="E144" s="1480" t="inlineStr">
        <is>
          <t>Bloor</t>
        </is>
      </c>
      <c r="F144" s="1480" t="inlineStr">
        <is>
          <t>Monthly</t>
        </is>
      </c>
      <c r="G144" s="1480" t="n">
        <v>38.75</v>
      </c>
      <c r="H144" s="255" t="n">
        <v>41852</v>
      </c>
      <c r="I144" s="255" t="inlineStr">
        <is>
          <t>30th</t>
        </is>
      </c>
      <c r="J144" s="255" t="n">
        <v>42186</v>
      </c>
      <c r="K144" s="1480">
        <f>SUM(X144:DS144)</f>
        <v/>
      </c>
      <c r="L144" s="1481" t="n">
        <v>465</v>
      </c>
      <c r="M144" s="1481" t="n"/>
      <c r="N144" s="1481" t="n"/>
      <c r="O144" s="1481" t="n"/>
      <c r="P144" s="1481" t="n"/>
      <c r="Q144" s="1481" t="n"/>
      <c r="R144" s="1481" t="n"/>
      <c r="S144" s="1481" t="n"/>
      <c r="T144" s="1481" t="n"/>
      <c r="U144" s="1480" t="n">
        <v>38.75</v>
      </c>
      <c r="V144" s="1480" t="n">
        <v>38.75</v>
      </c>
      <c r="W144" s="1480" t="n">
        <v>38.75</v>
      </c>
      <c r="X144" s="1482" t="n">
        <v>38.75</v>
      </c>
      <c r="Y144" s="1482" t="n">
        <v>38.75</v>
      </c>
      <c r="Z144" s="1482" t="n">
        <v>38.75</v>
      </c>
      <c r="AA144" s="1482" t="n">
        <v>38.75</v>
      </c>
      <c r="AB144" s="1482" t="n">
        <v>38.75</v>
      </c>
      <c r="AC144" s="1482" t="n">
        <v>38.75</v>
      </c>
      <c r="AD144" s="1482" t="n">
        <v>38.75</v>
      </c>
      <c r="AE144" s="1482" t="n">
        <v>38.75</v>
      </c>
      <c r="AF144" s="1482" t="n">
        <v>38.75</v>
      </c>
      <c r="AG144" s="1482" t="n">
        <v>38.75</v>
      </c>
    </row>
    <row r="145" ht="13.15" customHeight="1" s="1232">
      <c r="C145" s="256" t="n">
        <v>2</v>
      </c>
      <c r="D145" s="1481" t="inlineStr">
        <is>
          <t>Howard</t>
        </is>
      </c>
      <c r="E145" s="1481" t="inlineStr">
        <is>
          <t>Allen</t>
        </is>
      </c>
      <c r="F145" s="1480" t="inlineStr">
        <is>
          <t>Monthly</t>
        </is>
      </c>
      <c r="G145" s="1480" t="n">
        <v>23</v>
      </c>
      <c r="H145" s="255" t="n">
        <v>41974</v>
      </c>
      <c r="I145" s="255" t="inlineStr">
        <is>
          <t>17th</t>
        </is>
      </c>
      <c r="J145" s="255" t="n">
        <v>42309</v>
      </c>
      <c r="K145" s="1480">
        <f>SUM(X145:DS145)</f>
        <v/>
      </c>
      <c r="L145" s="1481" t="n">
        <v>400.5</v>
      </c>
      <c r="M145" s="1481" t="n"/>
      <c r="N145" s="1481" t="n"/>
      <c r="O145" s="1481" t="n"/>
      <c r="P145" s="1481" t="n"/>
      <c r="Q145" s="1481" t="n"/>
      <c r="R145" s="1481" t="n"/>
      <c r="S145" s="1481" t="n"/>
      <c r="T145" s="1481" t="n"/>
      <c r="U145" s="1481" t="n"/>
      <c r="X145" s="1482" t="n">
        <v>125</v>
      </c>
      <c r="Y145" s="1482" t="n">
        <v>22.5</v>
      </c>
      <c r="Z145" s="1482" t="n">
        <v>23</v>
      </c>
      <c r="AA145" s="1482" t="n">
        <v>23</v>
      </c>
      <c r="AB145" s="1482" t="n">
        <v>23</v>
      </c>
      <c r="AC145" s="1482" t="n">
        <v>23</v>
      </c>
      <c r="AD145" s="1482" t="n">
        <v>23</v>
      </c>
      <c r="AE145" s="1482" t="n">
        <v>23</v>
      </c>
      <c r="AF145" s="1482" t="n">
        <v>23</v>
      </c>
      <c r="AG145" s="1482" t="n">
        <v>23</v>
      </c>
      <c r="AH145" s="1482" t="n">
        <v>23</v>
      </c>
      <c r="AI145" s="1482" t="n">
        <v>23</v>
      </c>
      <c r="AJ145" s="1482" t="n">
        <v>23</v>
      </c>
    </row>
    <row r="146" ht="13.15" customHeight="1" s="1232">
      <c r="C146" s="256" t="n">
        <v>1</v>
      </c>
      <c r="D146" s="1480" t="inlineStr">
        <is>
          <t>Teresa</t>
        </is>
      </c>
      <c r="E146" s="1480" t="inlineStr">
        <is>
          <t>Buck</t>
        </is>
      </c>
      <c r="F146" s="1480" t="inlineStr">
        <is>
          <t>Monthly</t>
        </is>
      </c>
      <c r="G146" s="1480" t="n">
        <v>32.63</v>
      </c>
      <c r="H146" s="255" t="n">
        <v>41609</v>
      </c>
      <c r="I146" s="255" t="n"/>
      <c r="J146" s="255" t="n">
        <v>41944</v>
      </c>
      <c r="K146" s="1480">
        <f>SUM(X146:DS146)</f>
        <v/>
      </c>
      <c r="L146" s="1481" t="n">
        <v>391.5</v>
      </c>
      <c r="M146" s="1480" t="n">
        <v>32.63</v>
      </c>
      <c r="N146" s="1480" t="n">
        <v>32.63</v>
      </c>
      <c r="O146" s="1480" t="n">
        <v>32.63</v>
      </c>
      <c r="P146" s="1480" t="n">
        <v>32.63</v>
      </c>
      <c r="Q146" s="1480" t="n">
        <v>32.63</v>
      </c>
      <c r="R146" s="1480" t="n">
        <v>32.63</v>
      </c>
      <c r="S146" s="1480" t="n">
        <v>32.63</v>
      </c>
      <c r="T146" s="1480" t="n">
        <v>32.63</v>
      </c>
      <c r="U146" s="1480" t="n">
        <v>32.63</v>
      </c>
      <c r="V146" s="1480" t="n">
        <v>32.63</v>
      </c>
      <c r="W146" s="1480" t="n">
        <v>32.63</v>
      </c>
      <c r="X146" s="1482" t="n">
        <v>32.63</v>
      </c>
      <c r="Y146" s="1390" t="n">
        <v>32.63</v>
      </c>
      <c r="AC146" s="1480" t="n">
        <v>0</v>
      </c>
    </row>
    <row r="147" ht="13.15" customHeight="1" s="1232">
      <c r="D147" s="1480" t="inlineStr">
        <is>
          <t>Howard</t>
        </is>
      </c>
      <c r="E147" s="1480" t="inlineStr">
        <is>
          <t>Allen</t>
        </is>
      </c>
      <c r="F147" s="1480" t="inlineStr">
        <is>
          <t>Monthly</t>
        </is>
      </c>
      <c r="G147" s="1480" t="n">
        <v>25.13</v>
      </c>
      <c r="J147" s="255" t="n">
        <v>41944</v>
      </c>
      <c r="K147" s="1480">
        <f>SUM(X147:DS147)</f>
        <v/>
      </c>
      <c r="L147" s="1481" t="n">
        <v>301.5</v>
      </c>
      <c r="M147" s="1480" t="n">
        <v>25.13</v>
      </c>
      <c r="N147" s="1480" t="n">
        <v>25.13</v>
      </c>
      <c r="O147" s="1480" t="n">
        <v>25.13</v>
      </c>
      <c r="P147" s="1480" t="n">
        <v>25.13</v>
      </c>
      <c r="Q147" s="1480" t="n">
        <v>25.13</v>
      </c>
      <c r="R147" s="1480" t="n">
        <v>25.13</v>
      </c>
      <c r="S147" s="1480" t="n">
        <v>25.13</v>
      </c>
      <c r="T147" s="1480" t="n">
        <v>25.13</v>
      </c>
      <c r="U147" s="1480" t="n">
        <v>25.13</v>
      </c>
      <c r="V147" s="1480" t="n">
        <v>25.13</v>
      </c>
      <c r="W147" s="1480" t="n">
        <v>25.13</v>
      </c>
      <c r="X147" s="1482" t="n">
        <v>25.13</v>
      </c>
      <c r="AC147" s="1480" t="n">
        <v>0</v>
      </c>
    </row>
    <row r="148" ht="13.15" customHeight="1" s="1232">
      <c r="D148" s="1480" t="inlineStr">
        <is>
          <t>Nicola</t>
        </is>
      </c>
      <c r="E148" s="1480" t="inlineStr">
        <is>
          <t>Ward</t>
        </is>
      </c>
      <c r="F148" s="1480" t="inlineStr">
        <is>
          <t>Monthly</t>
        </is>
      </c>
      <c r="G148" s="1480" t="n">
        <v>70</v>
      </c>
      <c r="J148" s="255" t="n">
        <v>41944</v>
      </c>
      <c r="K148" s="1480">
        <f>SUM(X148:DS148)</f>
        <v/>
      </c>
      <c r="L148" s="1481" t="n">
        <v>765</v>
      </c>
      <c r="M148" s="1480" t="n">
        <v>45</v>
      </c>
      <c r="N148" s="1480" t="n">
        <v>45</v>
      </c>
      <c r="O148" s="1480" t="n">
        <v>45</v>
      </c>
      <c r="P148" s="1480" t="n">
        <v>70</v>
      </c>
      <c r="Q148" s="1480" t="n">
        <v>70</v>
      </c>
      <c r="R148" s="1480" t="n">
        <v>70</v>
      </c>
      <c r="S148" s="1480" t="n">
        <v>70</v>
      </c>
      <c r="T148" s="1480" t="n">
        <v>70</v>
      </c>
      <c r="U148" s="1480" t="n">
        <v>70</v>
      </c>
      <c r="V148" s="1480" t="n">
        <v>70</v>
      </c>
      <c r="W148" s="1480" t="n">
        <v>70</v>
      </c>
      <c r="X148" s="1482" t="n">
        <v>70</v>
      </c>
      <c r="AC148" s="1480" t="n">
        <v>0</v>
      </c>
    </row>
    <row r="149" ht="13.15" customHeight="1" s="1232">
      <c r="D149" s="1480" t="inlineStr">
        <is>
          <t>Alison</t>
        </is>
      </c>
      <c r="E149" s="1480" t="inlineStr">
        <is>
          <t>Williams</t>
        </is>
      </c>
      <c r="F149" s="1480" t="inlineStr">
        <is>
          <t>Monthly</t>
        </is>
      </c>
      <c r="G149" s="1480" t="n">
        <v>27.38</v>
      </c>
      <c r="J149" s="255" t="n">
        <v>41974</v>
      </c>
      <c r="K149" s="1480">
        <f>SUM(X149:DS149)</f>
        <v/>
      </c>
      <c r="L149" s="1481" t="n">
        <v>328.5</v>
      </c>
      <c r="N149" s="1480" t="n">
        <v>27.38</v>
      </c>
      <c r="O149" s="1480" t="n">
        <v>27.38</v>
      </c>
      <c r="P149" s="1480" t="n">
        <v>27.38</v>
      </c>
      <c r="Q149" s="1480" t="n">
        <v>27.38</v>
      </c>
      <c r="R149" s="1480" t="n">
        <v>27.38</v>
      </c>
      <c r="S149" s="1480" t="n">
        <v>27.38</v>
      </c>
      <c r="T149" s="1480" t="n">
        <v>27.38</v>
      </c>
      <c r="U149" s="1480" t="n">
        <v>27.38</v>
      </c>
      <c r="V149" s="1480" t="n">
        <v>27.38</v>
      </c>
      <c r="W149" s="1480" t="n">
        <v>27.38</v>
      </c>
      <c r="X149" s="1482" t="n">
        <v>27.38</v>
      </c>
      <c r="Y149" s="1482" t="n">
        <v>27.38</v>
      </c>
      <c r="AC149" s="1480" t="n">
        <v>0</v>
      </c>
    </row>
    <row r="150" ht="13.15" customHeight="1" s="1232">
      <c r="D150" s="1480" t="inlineStr">
        <is>
          <t xml:space="preserve">Mike </t>
        </is>
      </c>
      <c r="E150" s="1480" t="inlineStr">
        <is>
          <t>Ford</t>
        </is>
      </c>
      <c r="F150" s="1480" t="inlineStr">
        <is>
          <t>Monthly</t>
        </is>
      </c>
      <c r="G150" s="1480" t="n">
        <v>37.5</v>
      </c>
      <c r="I150" s="1480" t="inlineStr">
        <is>
          <t>28th</t>
        </is>
      </c>
      <c r="J150" s="255" t="n">
        <v>42036</v>
      </c>
      <c r="K150" s="1480">
        <f>SUM(X150:DS150)</f>
        <v/>
      </c>
      <c r="L150" s="1481" t="n">
        <v>450</v>
      </c>
      <c r="M150" s="1481" t="n"/>
      <c r="N150" s="1481" t="n"/>
      <c r="O150" s="1481" t="n"/>
      <c r="P150" s="1480" t="n">
        <v>37.5</v>
      </c>
      <c r="Q150" s="1480" t="n">
        <v>37.5</v>
      </c>
      <c r="R150" s="1480" t="n">
        <v>37.5</v>
      </c>
      <c r="S150" s="1480" t="n">
        <v>37.5</v>
      </c>
      <c r="T150" s="1480" t="n">
        <v>37.5</v>
      </c>
      <c r="U150" s="1480" t="n">
        <v>37.5</v>
      </c>
      <c r="V150" s="1480" t="n">
        <v>37.5</v>
      </c>
      <c r="W150" s="1480" t="n">
        <v>37.5</v>
      </c>
      <c r="X150" s="1482" t="n">
        <v>37.5</v>
      </c>
      <c r="Y150" s="1482" t="n">
        <v>37.5</v>
      </c>
      <c r="Z150" s="1482" t="n">
        <v>37.5</v>
      </c>
      <c r="AA150" s="1482" t="n">
        <v>37.5</v>
      </c>
      <c r="AC150" s="1480" t="n">
        <v>0</v>
      </c>
    </row>
    <row r="151" ht="13.15" customHeight="1" s="1232">
      <c r="D151" s="1480" t="inlineStr">
        <is>
          <t>Louise</t>
        </is>
      </c>
      <c r="E151" s="1480" t="inlineStr">
        <is>
          <t>Panayides</t>
        </is>
      </c>
      <c r="F151" s="1480" t="inlineStr">
        <is>
          <t>Monthly</t>
        </is>
      </c>
      <c r="G151" s="1480" t="n">
        <v>39.38</v>
      </c>
      <c r="J151" s="255" t="n">
        <v>42036</v>
      </c>
      <c r="K151" s="1480">
        <f>SUM(X151:DS151)</f>
        <v/>
      </c>
      <c r="L151" s="1481" t="n">
        <v>472.5</v>
      </c>
      <c r="M151" s="1481" t="n"/>
      <c r="N151" s="1481" t="n"/>
      <c r="O151" s="1481" t="n"/>
      <c r="P151" s="1480" t="n">
        <v>39.38</v>
      </c>
      <c r="Q151" s="1480" t="n">
        <v>39.38</v>
      </c>
      <c r="R151" s="1480" t="n">
        <v>39.38</v>
      </c>
      <c r="S151" s="1480" t="n">
        <v>39.38</v>
      </c>
      <c r="T151" s="1480" t="n">
        <v>39.38</v>
      </c>
      <c r="U151" s="1480" t="n">
        <v>39.38</v>
      </c>
      <c r="V151" s="1480" t="n">
        <v>39.38</v>
      </c>
      <c r="W151" s="1480" t="n">
        <v>39.38</v>
      </c>
      <c r="X151" s="1482" t="n">
        <v>39.38</v>
      </c>
      <c r="Y151" s="1482" t="n">
        <v>39.38</v>
      </c>
      <c r="Z151" s="1482" t="n">
        <v>39.38</v>
      </c>
      <c r="AA151" s="1482" t="n">
        <v>39.38</v>
      </c>
      <c r="AC151" s="1480" t="n">
        <v>0</v>
      </c>
    </row>
    <row r="152" ht="13.15" customHeight="1" s="1232">
      <c r="D152" s="1480" t="inlineStr">
        <is>
          <t>David</t>
        </is>
      </c>
      <c r="E152" s="1480" t="inlineStr">
        <is>
          <t>Ward</t>
        </is>
      </c>
      <c r="F152" s="1480" t="inlineStr">
        <is>
          <t>Quaterly</t>
        </is>
      </c>
      <c r="G152" s="1480" t="n">
        <v>195</v>
      </c>
      <c r="J152" s="255" t="n">
        <v>41883</v>
      </c>
      <c r="K152" s="1480">
        <f>SUM(X152:DS152)</f>
        <v/>
      </c>
      <c r="L152" s="1481" t="n">
        <v>780</v>
      </c>
      <c r="M152" s="1480" t="n">
        <v>195</v>
      </c>
      <c r="N152" s="1481" t="n"/>
      <c r="O152" s="1481" t="n"/>
      <c r="P152" s="1480" t="n">
        <v>195</v>
      </c>
      <c r="Q152" s="1481" t="n"/>
      <c r="R152" s="1481" t="n"/>
      <c r="S152" s="1480" t="n">
        <v>195</v>
      </c>
      <c r="T152" s="1481" t="n"/>
      <c r="U152" s="1481" t="n"/>
      <c r="V152" s="1480" t="n">
        <v>195</v>
      </c>
      <c r="Y152" s="1503" t="n">
        <v>195</v>
      </c>
      <c r="AC152" s="1480" t="n">
        <v>0</v>
      </c>
    </row>
    <row r="153" ht="13.15" customHeight="1" s="1232">
      <c r="D153" s="1480" t="inlineStr">
        <is>
          <t>Laura</t>
        </is>
      </c>
      <c r="E153" s="1480" t="inlineStr">
        <is>
          <t>Franklin</t>
        </is>
      </c>
      <c r="F153" s="1480" t="inlineStr">
        <is>
          <t>Quaterly</t>
        </is>
      </c>
      <c r="G153" s="1480" t="n">
        <v>152</v>
      </c>
      <c r="J153" s="255" t="n">
        <v>41883</v>
      </c>
      <c r="K153" s="1480">
        <f>SUM(X153:EA153)</f>
        <v/>
      </c>
      <c r="L153" s="1481" t="n">
        <v>608</v>
      </c>
      <c r="M153" s="1480" t="n">
        <v>152</v>
      </c>
      <c r="N153" s="1481" t="n"/>
      <c r="O153" s="1481" t="n"/>
      <c r="P153" s="1480" t="n">
        <v>152</v>
      </c>
      <c r="Q153" s="1481" t="n"/>
      <c r="R153" s="1481" t="n"/>
      <c r="S153" s="1480" t="n">
        <v>152</v>
      </c>
      <c r="T153" s="1481" t="n"/>
      <c r="U153" s="1481" t="n"/>
      <c r="V153" s="1480" t="n">
        <v>152</v>
      </c>
      <c r="AC153" s="1480" t="n">
        <v>0</v>
      </c>
    </row>
    <row r="154" ht="13.15" customHeight="1" s="1232">
      <c r="D154" s="1480" t="inlineStr">
        <is>
          <t>Lucy</t>
        </is>
      </c>
      <c r="E154" s="1480" t="inlineStr">
        <is>
          <t>Standford</t>
        </is>
      </c>
      <c r="F154" s="1480" t="inlineStr">
        <is>
          <t>Quaterly</t>
        </is>
      </c>
      <c r="G154" s="1480" t="n">
        <v>254.66</v>
      </c>
      <c r="J154" s="255" t="n">
        <v>41883</v>
      </c>
      <c r="K154" s="1480">
        <f>SUM(X154:EA154)</f>
        <v/>
      </c>
      <c r="L154" s="1481" t="n">
        <v>1038.25</v>
      </c>
      <c r="M154" s="1480" t="n">
        <v>168</v>
      </c>
      <c r="N154" s="1481" t="n"/>
      <c r="O154" s="1481" t="n"/>
      <c r="P154" s="1480" t="n">
        <v>254.67</v>
      </c>
      <c r="Q154" s="1481" t="n"/>
      <c r="R154" s="1481" t="n"/>
      <c r="S154" s="1480" t="n">
        <v>254.67</v>
      </c>
      <c r="T154" s="1504" t="n">
        <v>106.25</v>
      </c>
      <c r="U154" s="1481" t="n"/>
      <c r="V154" s="1480" t="n">
        <v>254.66</v>
      </c>
      <c r="AC154" s="1480" t="n">
        <v>0</v>
      </c>
    </row>
    <row r="155" ht="13.15" customHeight="1" s="1232">
      <c r="D155" s="1480" t="inlineStr">
        <is>
          <t>Joanne</t>
        </is>
      </c>
      <c r="E155" s="1480" t="inlineStr">
        <is>
          <t>Bestwick</t>
        </is>
      </c>
      <c r="F155" s="1480" t="inlineStr">
        <is>
          <t>Quaterly</t>
        </is>
      </c>
      <c r="G155" s="1480" t="n">
        <v>179</v>
      </c>
      <c r="J155" s="255" t="n">
        <v>41883</v>
      </c>
      <c r="K155" s="1480">
        <f>SUM(X155:EA155)</f>
        <v/>
      </c>
      <c r="L155" s="1481" t="n">
        <v>696</v>
      </c>
      <c r="M155" s="1480" t="n">
        <v>159</v>
      </c>
      <c r="N155" s="1481" t="n"/>
      <c r="O155" s="1481" t="n"/>
      <c r="P155" s="1480" t="n">
        <v>179</v>
      </c>
      <c r="Q155" s="1481" t="n"/>
      <c r="R155" s="1481" t="n"/>
      <c r="S155" s="1480" t="n">
        <v>179</v>
      </c>
      <c r="T155" s="1481" t="n"/>
      <c r="U155" s="1481" t="n"/>
      <c r="V155" s="1480" t="n">
        <v>179</v>
      </c>
      <c r="AC155" s="1480" t="n">
        <v>0</v>
      </c>
    </row>
    <row r="156" ht="13.15" customHeight="1" s="1232">
      <c r="D156" s="1480" t="inlineStr">
        <is>
          <t>Stuart</t>
        </is>
      </c>
      <c r="E156" s="1480" t="inlineStr">
        <is>
          <t>Mitchell</t>
        </is>
      </c>
      <c r="F156" s="1480" t="inlineStr">
        <is>
          <t>Quaterly</t>
        </is>
      </c>
      <c r="G156" s="1480" t="n">
        <v>155</v>
      </c>
      <c r="J156" s="255" t="n">
        <v>41974</v>
      </c>
      <c r="K156" s="1480">
        <f>SUM(X156:EA156)</f>
        <v/>
      </c>
      <c r="L156" s="1481" t="n">
        <v>620</v>
      </c>
      <c r="M156" s="1481" t="n"/>
      <c r="N156" s="1481" t="n"/>
      <c r="O156" s="1481" t="n"/>
      <c r="P156" s="1480" t="n">
        <v>155</v>
      </c>
      <c r="Q156" s="1481" t="n"/>
      <c r="R156" s="1481" t="n"/>
      <c r="S156" s="1480" t="n">
        <v>155</v>
      </c>
      <c r="T156" s="1481" t="n"/>
      <c r="U156" s="1481" t="n"/>
      <c r="V156" s="1484" t="n">
        <v>155</v>
      </c>
      <c r="Y156" s="1482" t="n">
        <v>155</v>
      </c>
      <c r="AC156" s="1480" t="n">
        <v>0</v>
      </c>
    </row>
    <row r="157" ht="13.15" customHeight="1" s="1232">
      <c r="D157" s="1480" t="inlineStr">
        <is>
          <t>Janet</t>
        </is>
      </c>
      <c r="E157" s="1480" t="inlineStr">
        <is>
          <t>Roberts</t>
        </is>
      </c>
      <c r="F157" s="1480" t="inlineStr">
        <is>
          <t>Quaterly</t>
        </is>
      </c>
      <c r="G157" s="1480" t="n">
        <v>161</v>
      </c>
      <c r="J157" s="255" t="n">
        <v>41974</v>
      </c>
      <c r="K157" s="1480">
        <f>SUM(X157:EA157)</f>
        <v/>
      </c>
      <c r="L157" s="1481" t="n">
        <v>700</v>
      </c>
      <c r="M157" s="1481" t="n"/>
      <c r="N157" s="1481" t="n"/>
      <c r="O157" s="1481" t="n"/>
      <c r="P157" s="1480" t="n">
        <v>161</v>
      </c>
      <c r="S157" s="1480" t="n">
        <v>161</v>
      </c>
      <c r="T157" s="1481" t="n"/>
      <c r="U157" s="1481" t="n"/>
      <c r="V157" s="1480" t="n">
        <v>199</v>
      </c>
      <c r="Y157" s="1482" t="n">
        <v>179</v>
      </c>
      <c r="AC157" s="1480" t="n">
        <v>0</v>
      </c>
    </row>
    <row r="158" ht="13.15" customHeight="1" s="1232">
      <c r="D158" s="1481" t="inlineStr">
        <is>
          <t xml:space="preserve">Mike </t>
        </is>
      </c>
      <c r="E158" s="1481" t="inlineStr">
        <is>
          <t>Taylor</t>
        </is>
      </c>
      <c r="F158" s="1480" t="inlineStr">
        <is>
          <t>Annual</t>
        </is>
      </c>
      <c r="H158" s="255" t="n"/>
      <c r="I158" s="255" t="n"/>
      <c r="J158" s="255" t="n"/>
      <c r="K158" s="1480">
        <f>SUM(X158:EA158)</f>
        <v/>
      </c>
      <c r="L158" s="1481" t="n">
        <v>1323.75</v>
      </c>
      <c r="M158" s="1481" t="n"/>
      <c r="N158" s="1481" t="n"/>
      <c r="O158" s="1481" t="n"/>
      <c r="P158" s="1481" t="n"/>
      <c r="Q158" s="1481" t="n"/>
      <c r="R158" s="1481" t="n"/>
      <c r="S158" s="1481" t="n"/>
      <c r="T158" s="1481" t="n"/>
      <c r="U158" s="1481" t="n"/>
      <c r="V158" s="1480" t="n">
        <v>1323.75</v>
      </c>
      <c r="AC158" s="1480" t="n">
        <v>0</v>
      </c>
    </row>
    <row r="159" ht="13.15" customHeight="1" s="1232">
      <c r="D159" s="1481" t="inlineStr">
        <is>
          <t>Nina</t>
        </is>
      </c>
      <c r="E159" s="1481" t="inlineStr">
        <is>
          <t>Dhanani</t>
        </is>
      </c>
      <c r="F159" s="1480" t="inlineStr">
        <is>
          <t>Qtr/Ann</t>
        </is>
      </c>
      <c r="H159" s="255" t="n"/>
      <c r="I159" s="255" t="n"/>
      <c r="J159" s="255" t="n"/>
      <c r="K159" s="1480">
        <f>SUM(X159:EA159)</f>
        <v/>
      </c>
      <c r="L159" s="1481" t="n">
        <v>884</v>
      </c>
      <c r="M159" s="1481" t="n"/>
      <c r="N159" s="1481" t="n"/>
      <c r="O159" s="1481" t="n"/>
      <c r="P159" s="1481" t="n"/>
      <c r="Q159" s="1481" t="n"/>
      <c r="R159" s="1481" t="n"/>
      <c r="S159" s="1481" t="n"/>
      <c r="T159" s="1481" t="n"/>
      <c r="U159" s="1481" t="n"/>
      <c r="W159" s="1480" t="n">
        <v>884</v>
      </c>
      <c r="AC159" s="1480" t="n">
        <v>0</v>
      </c>
    </row>
    <row r="160" ht="13.15" customHeight="1" s="1232">
      <c r="D160" s="1480" t="inlineStr">
        <is>
          <t xml:space="preserve">Jean </t>
        </is>
      </c>
      <c r="E160" s="1480" t="inlineStr">
        <is>
          <t>Dance</t>
        </is>
      </c>
      <c r="F160" s="1480" t="inlineStr">
        <is>
          <t>Annual</t>
        </is>
      </c>
      <c r="H160" s="255" t="n"/>
      <c r="I160" s="255" t="n"/>
      <c r="J160" s="255" t="n"/>
      <c r="K160" s="1480">
        <f>SUM(X160:EA160)</f>
        <v/>
      </c>
      <c r="L160" s="1481" t="n">
        <v>1344.4</v>
      </c>
      <c r="M160" s="1480" t="n">
        <v>1344.4</v>
      </c>
      <c r="N160" s="1481" t="n"/>
      <c r="O160" s="1481" t="n"/>
      <c r="P160" s="1481" t="n"/>
      <c r="Q160" s="1481" t="n"/>
      <c r="R160" s="1481" t="n"/>
      <c r="S160" s="1481" t="n"/>
      <c r="T160" s="1481" t="n"/>
      <c r="U160" s="1481" t="n"/>
      <c r="AC160" s="1480" t="n">
        <v>0</v>
      </c>
    </row>
    <row r="161" ht="13.15" customHeight="1" s="1232">
      <c r="D161" s="1260" t="inlineStr">
        <is>
          <t>David</t>
        </is>
      </c>
      <c r="E161" s="1260" t="inlineStr">
        <is>
          <t>Andringa</t>
        </is>
      </c>
      <c r="F161" s="1260" t="inlineStr">
        <is>
          <t>Monthly</t>
        </is>
      </c>
      <c r="G161" s="1480" t="n">
        <v>75</v>
      </c>
      <c r="H161" s="255" t="n">
        <v>44317</v>
      </c>
      <c r="I161" s="70" t="inlineStr">
        <is>
          <t>7th</t>
        </is>
      </c>
      <c r="J161" s="255" t="n"/>
      <c r="K161" s="1480">
        <f>SUM(X161:EA161)</f>
        <v/>
      </c>
      <c r="L161" s="1481">
        <f>75*12</f>
        <v/>
      </c>
      <c r="N161" s="1481" t="n"/>
      <c r="O161" s="1481" t="n"/>
      <c r="P161" s="1481" t="n"/>
      <c r="Q161" s="1481" t="n"/>
      <c r="R161" s="1481" t="n"/>
      <c r="S161" s="1481" t="n"/>
      <c r="T161" s="1481" t="n"/>
      <c r="U161" s="1481" t="n"/>
      <c r="CX161" s="1480" t="n">
        <v>75</v>
      </c>
      <c r="CY161" s="1480" t="n">
        <v>75</v>
      </c>
      <c r="CZ161" s="1480" t="n">
        <v>75</v>
      </c>
      <c r="DA161" s="1480" t="n">
        <v>75</v>
      </c>
      <c r="DB161" s="1480" t="n">
        <v>75</v>
      </c>
      <c r="DC161" s="1480" t="n">
        <v>75</v>
      </c>
      <c r="DD161" s="1480" t="n">
        <v>75</v>
      </c>
      <c r="DE161" s="1480" t="n">
        <v>150</v>
      </c>
      <c r="DF161" s="1480" t="n">
        <v>150</v>
      </c>
      <c r="DG161" s="1480" t="n">
        <v>150</v>
      </c>
      <c r="DH161" s="1480" t="n">
        <v>150</v>
      </c>
      <c r="DI161" s="1480" t="n">
        <v>150</v>
      </c>
      <c r="DJ161" s="1480" t="n">
        <v>150</v>
      </c>
      <c r="DK161" s="1480" t="n">
        <v>150</v>
      </c>
      <c r="DL161" s="1480" t="n">
        <v>150</v>
      </c>
      <c r="DM161" s="1480" t="n">
        <v>150</v>
      </c>
      <c r="DN161" s="1480" t="n">
        <v>150</v>
      </c>
      <c r="DO161" s="1480" t="n">
        <v>150</v>
      </c>
      <c r="DP161" s="1480" t="n">
        <v>150</v>
      </c>
    </row>
    <row r="162" ht="13.15" customHeight="1" s="1232">
      <c r="D162" s="1260" t="inlineStr">
        <is>
          <t>Johanna</t>
        </is>
      </c>
      <c r="E162" s="1260" t="inlineStr">
        <is>
          <t>Stansfield</t>
        </is>
      </c>
      <c r="F162" s="1260" t="inlineStr">
        <is>
          <t>Monthly</t>
        </is>
      </c>
      <c r="G162" s="1480" t="n">
        <v>100</v>
      </c>
      <c r="H162" s="255" t="n">
        <v>44409</v>
      </c>
      <c r="I162" s="70" t="inlineStr">
        <is>
          <t>1st</t>
        </is>
      </c>
      <c r="J162" s="255" t="n"/>
      <c r="K162" s="1480">
        <f>SUM(X162:EA162)</f>
        <v/>
      </c>
      <c r="L162" s="1481">
        <f>100*12</f>
        <v/>
      </c>
      <c r="N162" s="1481" t="n"/>
      <c r="O162" s="1481" t="n"/>
      <c r="P162" s="1481" t="n"/>
      <c r="Q162" s="1481" t="n"/>
      <c r="R162" s="1481" t="n"/>
      <c r="S162" s="1481" t="n"/>
      <c r="T162" s="1481" t="n"/>
      <c r="U162" s="1481" t="n"/>
      <c r="DA162" s="1480" t="n">
        <v>100</v>
      </c>
      <c r="DB162" s="1480" t="n">
        <v>100</v>
      </c>
      <c r="DC162" s="1480" t="n">
        <v>100</v>
      </c>
      <c r="DD162" s="1480" t="n">
        <v>100</v>
      </c>
      <c r="DE162" s="1480" t="n">
        <v>100</v>
      </c>
      <c r="DF162" s="1480" t="n">
        <v>100</v>
      </c>
      <c r="DG162" s="1480" t="n">
        <v>100</v>
      </c>
      <c r="DH162" s="1480" t="n">
        <v>100</v>
      </c>
      <c r="DI162" s="1480" t="n">
        <v>100</v>
      </c>
      <c r="DJ162" s="1480" t="n">
        <v>100</v>
      </c>
      <c r="DK162" s="1480" t="n">
        <v>100</v>
      </c>
      <c r="DL162" s="1480" t="n">
        <v>100</v>
      </c>
    </row>
    <row r="163" ht="13.15" customHeight="1" s="1232">
      <c r="D163" s="1260" t="inlineStr">
        <is>
          <t>Joanne</t>
        </is>
      </c>
      <c r="E163" s="1260" t="inlineStr">
        <is>
          <t>Galloway</t>
        </is>
      </c>
      <c r="F163" s="1260" t="inlineStr">
        <is>
          <t>Annual</t>
        </is>
      </c>
      <c r="H163" s="255" t="n">
        <v>44960</v>
      </c>
      <c r="I163" s="70" t="n"/>
      <c r="J163" s="255" t="n"/>
      <c r="K163" s="1480">
        <f>SUM(X163:EA163)</f>
        <v/>
      </c>
      <c r="L163" s="1481" t="n">
        <v>1200</v>
      </c>
      <c r="N163" s="1481" t="n"/>
      <c r="O163" s="1481" t="n"/>
      <c r="P163" s="1481" t="n"/>
      <c r="Q163" s="1481" t="n"/>
      <c r="R163" s="1481" t="n"/>
      <c r="S163" s="1481" t="n"/>
      <c r="T163" s="1481" t="n"/>
      <c r="U163" s="1481" t="n"/>
      <c r="DS163" s="1480" t="n">
        <v>1200</v>
      </c>
    </row>
    <row r="164" ht="13.15" customHeight="1" s="1232">
      <c r="D164" s="1260" t="inlineStr">
        <is>
          <t>Emoke</t>
        </is>
      </c>
      <c r="E164" s="1260" t="inlineStr">
        <is>
          <t xml:space="preserve"> Ispan</t>
        </is>
      </c>
      <c r="F164" s="1260" t="inlineStr">
        <is>
          <t>Monthly</t>
        </is>
      </c>
      <c r="G164" s="1480" t="n">
        <v>50</v>
      </c>
      <c r="H164" s="255" t="n">
        <v>44986</v>
      </c>
      <c r="I164" s="70" t="n"/>
      <c r="J164" s="255" t="n"/>
      <c r="K164" s="1480">
        <f>SUM(X164:EL164)</f>
        <v/>
      </c>
      <c r="L164" s="1481" t="n">
        <v>600</v>
      </c>
      <c r="N164" s="1481" t="n"/>
      <c r="O164" s="1481" t="n"/>
      <c r="P164" s="1481" t="n"/>
      <c r="Q164" s="1481" t="n"/>
      <c r="R164" s="1481" t="n"/>
      <c r="S164" s="1481" t="n"/>
      <c r="T164" s="1481" t="n"/>
      <c r="U164" s="1481" t="n"/>
      <c r="DT164" s="1480" t="n">
        <v>50</v>
      </c>
      <c r="DU164" s="1480" t="n">
        <v>50</v>
      </c>
      <c r="DV164" s="1480" t="n">
        <v>50</v>
      </c>
      <c r="DW164" s="1480" t="n">
        <v>50</v>
      </c>
      <c r="DX164" s="1480" t="n">
        <v>50</v>
      </c>
      <c r="DY164" s="1480" t="n">
        <v>50</v>
      </c>
      <c r="DZ164" s="1480" t="n">
        <v>50</v>
      </c>
      <c r="EA164" s="1480" t="n">
        <v>50</v>
      </c>
      <c r="EB164" s="1480" t="n">
        <v>50</v>
      </c>
      <c r="EC164" s="1480" t="n">
        <v>50</v>
      </c>
      <c r="ED164" s="1480" t="n">
        <v>50</v>
      </c>
      <c r="EE164" s="1480" t="n">
        <v>50</v>
      </c>
    </row>
    <row r="165" ht="13.15" customHeight="1" s="1232">
      <c r="D165" s="1260" t="inlineStr">
        <is>
          <t>Kirsten</t>
        </is>
      </c>
      <c r="E165" s="1260" t="inlineStr">
        <is>
          <t>Pearce</t>
        </is>
      </c>
      <c r="F165" s="1260" t="inlineStr">
        <is>
          <t>Quaterly</t>
        </is>
      </c>
      <c r="G165" s="1480" t="n">
        <v>250</v>
      </c>
      <c r="H165" s="255" t="n">
        <v>45108</v>
      </c>
      <c r="I165" s="70" t="inlineStr">
        <is>
          <t>31st</t>
        </is>
      </c>
      <c r="J165" s="255" t="n"/>
      <c r="K165" s="1480">
        <f>SUM(X165:EL165)</f>
        <v/>
      </c>
      <c r="L165" s="1481" t="n">
        <v>1000</v>
      </c>
      <c r="N165" s="1481" t="n"/>
      <c r="O165" s="1481" t="n"/>
      <c r="P165" s="1481" t="n"/>
      <c r="Q165" s="1481" t="n"/>
      <c r="R165" s="1481" t="n"/>
      <c r="S165" s="1481" t="n"/>
      <c r="T165" s="1481" t="n"/>
      <c r="U165" s="1481" t="n"/>
      <c r="DX165" s="1480" t="n">
        <v>250</v>
      </c>
      <c r="EA165" s="1480" t="n">
        <v>250</v>
      </c>
      <c r="ED165" s="1480" t="n">
        <v>250</v>
      </c>
      <c r="EG165" s="1480" t="n">
        <v>250</v>
      </c>
    </row>
    <row r="166" ht="13.15" customHeight="1" s="1232">
      <c r="D166" s="1260" t="n"/>
      <c r="E166" s="1260" t="n"/>
      <c r="F166" s="1260" t="n"/>
      <c r="H166" s="255" t="n"/>
      <c r="I166" s="70" t="n"/>
      <c r="J166" s="255" t="n"/>
      <c r="L166" s="1481" t="n"/>
      <c r="N166" s="1481" t="n"/>
      <c r="O166" s="1481" t="n"/>
      <c r="P166" s="1481" t="n"/>
      <c r="Q166" s="1481" t="n"/>
      <c r="R166" s="1481" t="n"/>
      <c r="S166" s="1481" t="n"/>
      <c r="T166" s="1481" t="n"/>
      <c r="U166" s="1481" t="n"/>
    </row>
    <row r="167" ht="13.15" customHeight="1" s="1232">
      <c r="K167" s="1481" t="n"/>
      <c r="L167" s="1481" t="n"/>
      <c r="M167" s="1481" t="n"/>
      <c r="N167" s="1481" t="n"/>
      <c r="O167" s="1481" t="n"/>
      <c r="P167" s="1481" t="n"/>
      <c r="Q167" s="1481" t="n"/>
      <c r="R167" s="1481" t="n"/>
      <c r="S167" s="1481" t="n"/>
      <c r="T167" s="1481" t="n"/>
      <c r="U167" s="1481" t="n"/>
      <c r="Z167" s="1505" t="n"/>
    </row>
    <row r="168" ht="13.15" customHeight="1" s="1232">
      <c r="F168" s="1481" t="inlineStr">
        <is>
          <t>Pick n Mix Income</t>
        </is>
      </c>
      <c r="K168" s="1481">
        <f>SUM(M168:CA168)</f>
        <v/>
      </c>
      <c r="L168" s="1481">
        <f>SUM(L92:L167)</f>
        <v/>
      </c>
      <c r="M168" s="1481">
        <f>SUM(M92:M167)</f>
        <v/>
      </c>
      <c r="N168" s="1481">
        <f>SUM(N92:N167)</f>
        <v/>
      </c>
      <c r="O168" s="1481">
        <f>SUM(O92:O167)</f>
        <v/>
      </c>
      <c r="P168" s="1481">
        <f>SUM(P92:P167)</f>
        <v/>
      </c>
      <c r="Q168" s="1481">
        <f>SUM(Q92:Q167)</f>
        <v/>
      </c>
      <c r="R168" s="1481">
        <f>SUM(R92:R167)</f>
        <v/>
      </c>
      <c r="S168" s="1481">
        <f>SUM(S92:S167)</f>
        <v/>
      </c>
      <c r="T168" s="1481">
        <f>SUM(T92:T167)</f>
        <v/>
      </c>
      <c r="U168" s="1481">
        <f>SUM(U92:U167)</f>
        <v/>
      </c>
      <c r="V168" s="1481">
        <f>SUM(V92:V167)</f>
        <v/>
      </c>
      <c r="W168" s="1481">
        <f>SUM(W92:W167)</f>
        <v/>
      </c>
      <c r="X168" s="1481">
        <f>SUM(X92:X167)</f>
        <v/>
      </c>
      <c r="Y168" s="1481">
        <f>SUM(Y92:Y167)</f>
        <v/>
      </c>
      <c r="Z168" s="1481">
        <f>SUM(Z92:Z167)</f>
        <v/>
      </c>
      <c r="AA168" s="1481">
        <f>SUM(AA92:AA167)</f>
        <v/>
      </c>
      <c r="AB168" s="1481">
        <f>SUM(AB92:AB167)</f>
        <v/>
      </c>
      <c r="AC168" s="1481">
        <f>SUM(AC92:AC167)</f>
        <v/>
      </c>
      <c r="AD168" s="1481">
        <f>SUM(AD92:AD167)</f>
        <v/>
      </c>
      <c r="AE168" s="1481">
        <f>SUM(AE92:AE167)</f>
        <v/>
      </c>
      <c r="AF168" s="1481">
        <f>SUM(AF92:AF167)</f>
        <v/>
      </c>
      <c r="AG168" s="1481">
        <f>SUM(AG92:AG167)</f>
        <v/>
      </c>
      <c r="AH168" s="1481">
        <f>SUM(AH92:AH167)</f>
        <v/>
      </c>
      <c r="AI168" s="1481">
        <f>SUM(AI92:AI167)</f>
        <v/>
      </c>
      <c r="AJ168" s="1481">
        <f>SUM(AJ92:AJ167)</f>
        <v/>
      </c>
      <c r="AK168" s="1481">
        <f>SUM(AK92:AK167)</f>
        <v/>
      </c>
      <c r="AL168" s="1481">
        <f>SUM(AL92:AL167)</f>
        <v/>
      </c>
      <c r="AM168" s="1481">
        <f>SUM(AM92:AM167)</f>
        <v/>
      </c>
      <c r="AN168" s="1481">
        <f>SUM(AN92:AN167)</f>
        <v/>
      </c>
      <c r="AO168" s="1481">
        <f>SUM(AO92:AO167)</f>
        <v/>
      </c>
      <c r="AP168" s="1481">
        <f>SUM(AP92:AP167)</f>
        <v/>
      </c>
      <c r="AQ168" s="1481">
        <f>SUM(AQ92:AQ167)</f>
        <v/>
      </c>
      <c r="AR168" s="1481">
        <f>SUM(AR92:AR167)</f>
        <v/>
      </c>
      <c r="AS168" s="1481">
        <f>SUM(AS92:AS167)</f>
        <v/>
      </c>
      <c r="AT168" s="1481">
        <f>SUM(AT92:AT167)</f>
        <v/>
      </c>
      <c r="AU168" s="1481">
        <f>SUM(AU92:AU167)</f>
        <v/>
      </c>
      <c r="AV168" s="1481">
        <f>SUM(AV92:AV167)</f>
        <v/>
      </c>
      <c r="AW168" s="1481">
        <f>SUM(AW92:AW167)</f>
        <v/>
      </c>
      <c r="AX168" s="1481">
        <f>SUM(AX92:AX167)</f>
        <v/>
      </c>
      <c r="AY168" s="1481">
        <f>SUM(AY92:AY167)</f>
        <v/>
      </c>
      <c r="AZ168" s="1481">
        <f>SUM(AZ92:AZ167)</f>
        <v/>
      </c>
      <c r="BA168" s="1481">
        <f>SUM(BA92:BA167)</f>
        <v/>
      </c>
      <c r="BB168" s="1481">
        <f>SUM(BB92:BB167)</f>
        <v/>
      </c>
      <c r="BC168" s="1481">
        <f>SUM(BC92:BC167)</f>
        <v/>
      </c>
      <c r="BD168" s="1481">
        <f>SUM(BD92:BD167)</f>
        <v/>
      </c>
      <c r="BE168" s="1481">
        <f>SUM(BE92:BE167)</f>
        <v/>
      </c>
      <c r="BF168" s="1481">
        <f>SUM(BF92:BF167)</f>
        <v/>
      </c>
      <c r="BG168" s="1481">
        <f>SUM(BG92:BG167)</f>
        <v/>
      </c>
      <c r="BH168" s="1481">
        <f>SUM(BH92:BH167)</f>
        <v/>
      </c>
      <c r="BI168" s="1481">
        <f>SUM(BI92:BI167)</f>
        <v/>
      </c>
      <c r="BJ168" s="1481">
        <f>SUM(BJ92:BJ167)</f>
        <v/>
      </c>
      <c r="BK168" s="1481">
        <f>SUM(BK92:BK167)</f>
        <v/>
      </c>
      <c r="BL168" s="1481">
        <f>SUM(BL92:BL167)</f>
        <v/>
      </c>
      <c r="BM168" s="1481">
        <f>SUM(BM92:BM167)</f>
        <v/>
      </c>
      <c r="BN168" s="1481">
        <f>SUM(BN92:BN167)</f>
        <v/>
      </c>
      <c r="BO168" s="1481">
        <f>SUM(BO92:BO167)</f>
        <v/>
      </c>
      <c r="BP168" s="1481">
        <f>SUM(BP92:BP167)</f>
        <v/>
      </c>
      <c r="BQ168" s="1481">
        <f>SUM(BQ92:BQ167)</f>
        <v/>
      </c>
      <c r="BR168" s="1481">
        <f>SUM(BR92:BR167)</f>
        <v/>
      </c>
      <c r="BS168" s="1481">
        <f>SUM(BS92:BS167)</f>
        <v/>
      </c>
      <c r="BT168" s="1481">
        <f>SUM(BT92:BT167)</f>
        <v/>
      </c>
      <c r="BU168" s="1481">
        <f>SUM(BU92:BU167)</f>
        <v/>
      </c>
      <c r="BV168" s="1481">
        <f>SUM(BV92:BV167)</f>
        <v/>
      </c>
      <c r="BW168" s="1481">
        <f>SUM(BW92:BW167)</f>
        <v/>
      </c>
      <c r="BX168" s="1481">
        <f>SUM(BX92:BX167)</f>
        <v/>
      </c>
      <c r="BY168" s="1481">
        <f>SUM(BY92:BY167)</f>
        <v/>
      </c>
      <c r="BZ168" s="1481">
        <f>SUM(BZ92:BZ167)</f>
        <v/>
      </c>
      <c r="CA168" s="1481">
        <f>SUM(CA92:CA167)</f>
        <v/>
      </c>
      <c r="CB168" s="1481">
        <f>SUM(CB92:CB167)</f>
        <v/>
      </c>
      <c r="CC168" s="1481">
        <f>SUM(CC92:CC167)</f>
        <v/>
      </c>
      <c r="CD168" s="1481">
        <f>SUM(CD92:CD167)</f>
        <v/>
      </c>
      <c r="CE168" s="1481">
        <f>SUM(CE92:CE167)</f>
        <v/>
      </c>
      <c r="CF168" s="1481">
        <f>SUM(CF92:CF167)</f>
        <v/>
      </c>
      <c r="CG168" s="1481">
        <f>SUM(CG92:CG167)</f>
        <v/>
      </c>
      <c r="CH168" s="1481">
        <f>SUM(CH92:CH167)</f>
        <v/>
      </c>
      <c r="CI168" s="1481">
        <f>SUM(CI92:CI167)</f>
        <v/>
      </c>
      <c r="CJ168" s="1481">
        <f>SUM(CJ92:CJ167)</f>
        <v/>
      </c>
      <c r="CK168" s="1481">
        <f>SUM(CK92:CK167)</f>
        <v/>
      </c>
      <c r="CL168" s="1481">
        <f>SUM(CL92:CL167)</f>
        <v/>
      </c>
      <c r="CM168" s="1481">
        <f>SUM(CM92:CM167)</f>
        <v/>
      </c>
      <c r="CN168" s="1481">
        <f>SUM(CN92:CN167)</f>
        <v/>
      </c>
      <c r="CO168" s="1481">
        <f>SUM(CO92:CO167)</f>
        <v/>
      </c>
      <c r="CP168" s="1481">
        <f>SUM(CP92:CP167)</f>
        <v/>
      </c>
      <c r="CQ168" s="1481">
        <f>SUM(CQ92:CQ167)</f>
        <v/>
      </c>
      <c r="CR168" s="1481">
        <f>SUM(CR92:CR167)</f>
        <v/>
      </c>
      <c r="CS168" s="1481">
        <f>SUM(CS92:CS167)</f>
        <v/>
      </c>
      <c r="CT168" s="1481">
        <f>SUM(CT92:CT167)</f>
        <v/>
      </c>
      <c r="CU168" s="1481">
        <f>SUM(CU92:CU167)</f>
        <v/>
      </c>
      <c r="CV168" s="1481">
        <f>SUM(CV92:CV167)</f>
        <v/>
      </c>
      <c r="CW168" s="1481">
        <f>SUM(CW92:CW167)</f>
        <v/>
      </c>
      <c r="CX168" s="1481">
        <f>SUM(CX92:CX167)</f>
        <v/>
      </c>
      <c r="CY168" s="1481">
        <f>SUM(CY92:CY167)</f>
        <v/>
      </c>
      <c r="CZ168" s="1481">
        <f>SUM(CZ92:CZ167)</f>
        <v/>
      </c>
      <c r="DA168" s="1481">
        <f>SUM(DA92:DA167)</f>
        <v/>
      </c>
      <c r="DB168" s="1481">
        <f>SUM(DB92:DB167)</f>
        <v/>
      </c>
      <c r="DC168" s="1481">
        <f>SUM(DC92:DC167)</f>
        <v/>
      </c>
      <c r="DD168" s="1481">
        <f>SUM(DD92:DD167)</f>
        <v/>
      </c>
      <c r="DE168" s="1481">
        <f>SUM(DE92:DE167)</f>
        <v/>
      </c>
      <c r="DF168" s="1481">
        <f>SUM(DF92:DF167)</f>
        <v/>
      </c>
      <c r="DG168" s="1481">
        <f>SUM(DG92:DG167)</f>
        <v/>
      </c>
      <c r="DH168" s="1481">
        <f>SUM(DH92:DH167)</f>
        <v/>
      </c>
      <c r="DI168" s="1481">
        <f>SUM(DI92:DI167)</f>
        <v/>
      </c>
      <c r="DJ168" s="1481">
        <f>SUM(DJ92:DJ167)</f>
        <v/>
      </c>
      <c r="DK168" s="1481">
        <f>SUM(DK92:DK167)</f>
        <v/>
      </c>
      <c r="DL168" s="1481">
        <f>SUM(DL92:DL167)</f>
        <v/>
      </c>
      <c r="DM168" s="1481">
        <f>SUM(DM92:DM167)</f>
        <v/>
      </c>
      <c r="DN168" s="1481">
        <f>SUM(DN92:DN167)</f>
        <v/>
      </c>
      <c r="DO168" s="1481">
        <f>SUM(DO92:DO167)</f>
        <v/>
      </c>
      <c r="DP168" s="1481">
        <f>SUM(DP92:DP167)</f>
        <v/>
      </c>
      <c r="DQ168" s="1481">
        <f>SUM(DQ92:DQ167)</f>
        <v/>
      </c>
      <c r="DR168" s="1481">
        <f>SUM(DR92:DR167)</f>
        <v/>
      </c>
      <c r="DS168" s="1481">
        <f>SUM(DS92:DS167)</f>
        <v/>
      </c>
      <c r="DT168" s="1481">
        <f>SUM(DT92:DT167)</f>
        <v/>
      </c>
      <c r="DU168" s="1481">
        <f>SUM(DU92:DU167)</f>
        <v/>
      </c>
      <c r="DV168" s="1481">
        <f>SUM(DV92:DV167)</f>
        <v/>
      </c>
      <c r="DW168" s="1481">
        <f>SUM(DW92:DW167)</f>
        <v/>
      </c>
      <c r="DX168" s="1481">
        <f>SUM(DX92:DX167)</f>
        <v/>
      </c>
      <c r="DY168" s="1481">
        <f>SUM(DY92:DY167)</f>
        <v/>
      </c>
      <c r="DZ168" s="1481">
        <f>SUM(DZ92:DZ167)</f>
        <v/>
      </c>
      <c r="EA168" s="1481">
        <f>SUM(EA92:EA167)</f>
        <v/>
      </c>
      <c r="EB168" s="1481">
        <f>SUM(EB92:EB167)</f>
        <v/>
      </c>
      <c r="EC168" s="1481">
        <f>SUM(EC92:EC167)</f>
        <v/>
      </c>
      <c r="ED168" s="1481">
        <f>SUM(ED92:ED167)</f>
        <v/>
      </c>
      <c r="EE168" s="1481">
        <f>SUM(EE92:EE167)</f>
        <v/>
      </c>
      <c r="EF168" s="1481">
        <f>SUM(EF92:EF167)</f>
        <v/>
      </c>
      <c r="EG168" s="1481">
        <f>SUM(EG92:EG167)</f>
        <v/>
      </c>
      <c r="EH168" s="1481">
        <f>SUM(EH92:EH167)</f>
        <v/>
      </c>
      <c r="EI168" s="1481">
        <f>SUM(EI92:EI167)</f>
        <v/>
      </c>
      <c r="EJ168" s="1481">
        <f>SUM(EJ92:EJ167)</f>
        <v/>
      </c>
      <c r="EK168" s="1481">
        <f>SUM(EK92:EK167)</f>
        <v/>
      </c>
    </row>
    <row r="171" ht="13.15" customHeight="1" s="1232">
      <c r="F171" s="1506" t="inlineStr">
        <is>
          <t>Total Income</t>
        </is>
      </c>
      <c r="G171" s="1507" t="n"/>
      <c r="H171" s="1507" t="n"/>
      <c r="I171" s="1507" t="n"/>
      <c r="J171" s="1507">
        <f>SUM(V171:AQ171)</f>
        <v/>
      </c>
      <c r="K171" s="1507">
        <f>K168+K88</f>
        <v/>
      </c>
      <c r="L171" s="1506">
        <f>L168+L88</f>
        <v/>
      </c>
      <c r="M171" s="1506">
        <f>M168+M88</f>
        <v/>
      </c>
      <c r="N171" s="1506">
        <f>N168+N88</f>
        <v/>
      </c>
      <c r="O171" s="1506">
        <f>O168+O88</f>
        <v/>
      </c>
      <c r="P171" s="1506">
        <f>P168+P88</f>
        <v/>
      </c>
      <c r="Q171" s="1506">
        <f>Q168+Q88</f>
        <v/>
      </c>
      <c r="R171" s="1506">
        <f>R168+R88</f>
        <v/>
      </c>
      <c r="S171" s="1506">
        <f>S168+S88</f>
        <v/>
      </c>
      <c r="T171" s="1506">
        <f>T168+T88</f>
        <v/>
      </c>
      <c r="U171" s="1506">
        <f>U168+U88</f>
        <v/>
      </c>
      <c r="V171" s="1506">
        <f>V168+V88</f>
        <v/>
      </c>
      <c r="W171" s="1506">
        <f>W168+W88</f>
        <v/>
      </c>
      <c r="X171" s="1506">
        <f>X168+X88</f>
        <v/>
      </c>
      <c r="Y171" s="1506">
        <f>Y168+Y88</f>
        <v/>
      </c>
      <c r="Z171" s="1506">
        <f>Z168+Z88</f>
        <v/>
      </c>
      <c r="AA171" s="1506">
        <f>AA168+AA88</f>
        <v/>
      </c>
      <c r="AB171" s="1506">
        <f>AB168+AB88</f>
        <v/>
      </c>
      <c r="AC171" s="1506">
        <f>AC168+AC88</f>
        <v/>
      </c>
      <c r="AD171" s="1506">
        <f>AD168+AD88</f>
        <v/>
      </c>
      <c r="AE171" s="1506">
        <f>AE168+AE88</f>
        <v/>
      </c>
      <c r="AF171" s="1506">
        <f>AF168+AF88</f>
        <v/>
      </c>
      <c r="AG171" s="1506">
        <f>AG168+AG88</f>
        <v/>
      </c>
      <c r="AH171" s="1506">
        <f>AH168+AH88</f>
        <v/>
      </c>
      <c r="AI171" s="1506">
        <f>AI168+AI88</f>
        <v/>
      </c>
      <c r="AJ171" s="1506">
        <f>AJ168+AJ88</f>
        <v/>
      </c>
      <c r="AK171" s="1506">
        <f>AK168+AK88</f>
        <v/>
      </c>
      <c r="AL171" s="1506">
        <f>AL168+AL88</f>
        <v/>
      </c>
      <c r="AM171" s="1506">
        <f>AM168+AM88</f>
        <v/>
      </c>
      <c r="AN171" s="1506">
        <f>AN168+AN88</f>
        <v/>
      </c>
      <c r="AO171" s="1506">
        <f>AO168+AO88</f>
        <v/>
      </c>
      <c r="AP171" s="1506">
        <f>AP168+AP88</f>
        <v/>
      </c>
      <c r="AQ171" s="1506">
        <f>AQ168+AQ88</f>
        <v/>
      </c>
      <c r="AR171" s="1506">
        <f>AR168+AR88</f>
        <v/>
      </c>
      <c r="AS171" s="1506">
        <f>AS168+AS88</f>
        <v/>
      </c>
      <c r="AT171" s="1506">
        <f>AT168+AT88</f>
        <v/>
      </c>
      <c r="AU171" s="1506">
        <f>AU168+AU88</f>
        <v/>
      </c>
      <c r="AV171" s="1506">
        <f>AV168+AV88</f>
        <v/>
      </c>
      <c r="AW171" s="1506">
        <f>AW168+AW88</f>
        <v/>
      </c>
      <c r="AX171" s="1506">
        <f>AX168+AX88</f>
        <v/>
      </c>
      <c r="AY171" s="1506">
        <f>AY168+AY88</f>
        <v/>
      </c>
      <c r="AZ171" s="1506">
        <f>AZ168+AZ88</f>
        <v/>
      </c>
      <c r="BA171" s="1506">
        <f>BA168+BA88</f>
        <v/>
      </c>
      <c r="BB171" s="1506">
        <f>BB168+BB88</f>
        <v/>
      </c>
      <c r="BC171" s="1506">
        <f>BC168+BC88</f>
        <v/>
      </c>
      <c r="BD171" s="1506">
        <f>BD168+BD88</f>
        <v/>
      </c>
      <c r="BE171" s="1506">
        <f>BE168+BE88</f>
        <v/>
      </c>
      <c r="BF171" s="1506">
        <f>BF168+BF88</f>
        <v/>
      </c>
      <c r="BG171" s="1506">
        <f>BG168+BG88</f>
        <v/>
      </c>
      <c r="BH171" s="1506">
        <f>BH168+BH88</f>
        <v/>
      </c>
      <c r="BI171" s="1506">
        <f>BI168+BI88</f>
        <v/>
      </c>
      <c r="BJ171" s="1506">
        <f>BJ168+BJ88</f>
        <v/>
      </c>
      <c r="BK171" s="1506">
        <f>BK168+BK88</f>
        <v/>
      </c>
      <c r="BL171" s="1506">
        <f>BL168+BL88</f>
        <v/>
      </c>
      <c r="BM171" s="1506">
        <f>BM168+BM88</f>
        <v/>
      </c>
      <c r="BN171" s="1506">
        <f>BN168+BN88</f>
        <v/>
      </c>
      <c r="BO171" s="1506">
        <f>BO168+BO88</f>
        <v/>
      </c>
      <c r="BP171" s="1506">
        <f>BP168+BP88</f>
        <v/>
      </c>
      <c r="BQ171" s="1506">
        <f>BQ168+BQ88</f>
        <v/>
      </c>
      <c r="BR171" s="1506">
        <f>BR168+BR88</f>
        <v/>
      </c>
      <c r="BS171" s="1506">
        <f>BS168+BS88</f>
        <v/>
      </c>
      <c r="BT171" s="1506">
        <f>BT168+BT88</f>
        <v/>
      </c>
      <c r="BU171" s="1506">
        <f>BU168+BU88</f>
        <v/>
      </c>
      <c r="BV171" s="1506">
        <f>BV168+BV88</f>
        <v/>
      </c>
      <c r="BW171" s="1506">
        <f>BW168+BW88</f>
        <v/>
      </c>
      <c r="BX171" s="1506">
        <f>BX168+BX88</f>
        <v/>
      </c>
      <c r="BY171" s="1506">
        <f>BY168+BY88</f>
        <v/>
      </c>
      <c r="BZ171" s="1506">
        <f>BZ168+BZ88</f>
        <v/>
      </c>
      <c r="CA171" s="1506">
        <f>CA168+CA88</f>
        <v/>
      </c>
      <c r="CB171" s="1506">
        <f>CB168+CB88</f>
        <v/>
      </c>
      <c r="CC171" s="1506">
        <f>CC168+CC88</f>
        <v/>
      </c>
      <c r="CD171" s="1506">
        <f>CD168+CD88</f>
        <v/>
      </c>
      <c r="CE171" s="1506">
        <f>CE168+CE88</f>
        <v/>
      </c>
      <c r="CF171" s="1506">
        <f>CF168+CF88</f>
        <v/>
      </c>
      <c r="CG171" s="1506">
        <f>CG168+CG88</f>
        <v/>
      </c>
      <c r="CH171" s="1506">
        <f>CH168+CH88</f>
        <v/>
      </c>
      <c r="CI171" s="1506">
        <f>CI168+CI88</f>
        <v/>
      </c>
      <c r="CJ171" s="1506">
        <f>CJ168+CJ88</f>
        <v/>
      </c>
      <c r="CK171" s="1506">
        <f>CK168+CK88</f>
        <v/>
      </c>
      <c r="CL171" s="1506">
        <f>CL168+CL88</f>
        <v/>
      </c>
      <c r="CM171" s="1506">
        <f>CM168+CM88</f>
        <v/>
      </c>
      <c r="CN171" s="1506">
        <f>CN168+CN88</f>
        <v/>
      </c>
      <c r="CO171" s="1506">
        <f>CO168+CO88</f>
        <v/>
      </c>
      <c r="CP171" s="1506">
        <f>CP168+CP88</f>
        <v/>
      </c>
      <c r="CQ171" s="1506">
        <f>CQ168+CQ88</f>
        <v/>
      </c>
      <c r="CR171" s="1506">
        <f>CR168+CR88</f>
        <v/>
      </c>
      <c r="CS171" s="1506">
        <f>CS168+CS88</f>
        <v/>
      </c>
      <c r="CT171" s="1506">
        <f>CT168+CT88</f>
        <v/>
      </c>
      <c r="CU171" s="1506">
        <f>CU168+CU88</f>
        <v/>
      </c>
      <c r="CV171" s="1506">
        <f>CV168+CV88</f>
        <v/>
      </c>
      <c r="CW171" s="1506">
        <f>CW168+CW88</f>
        <v/>
      </c>
      <c r="CX171" s="1506">
        <f>CX168+CX88</f>
        <v/>
      </c>
      <c r="CY171" s="1506">
        <f>CY168+CY88</f>
        <v/>
      </c>
      <c r="CZ171" s="1506">
        <f>CZ168+CZ88</f>
        <v/>
      </c>
      <c r="DA171" s="1506">
        <f>DA168+DA88</f>
        <v/>
      </c>
      <c r="DB171" s="1506">
        <f>DB168+DB88</f>
        <v/>
      </c>
      <c r="DC171" s="1506">
        <f>DC168+DC88</f>
        <v/>
      </c>
      <c r="DD171" s="1506">
        <f>DD168+DD88</f>
        <v/>
      </c>
      <c r="DE171" s="1506">
        <f>DE168+DE88</f>
        <v/>
      </c>
      <c r="DF171" s="1506">
        <f>DF168+DF88</f>
        <v/>
      </c>
      <c r="DG171" s="1506">
        <f>DG168+DG88</f>
        <v/>
      </c>
      <c r="DH171" s="1506">
        <f>DH168+DH88</f>
        <v/>
      </c>
      <c r="DI171" s="1506">
        <f>DI168+DI88</f>
        <v/>
      </c>
      <c r="DJ171" s="1506">
        <f>DJ168+DJ88</f>
        <v/>
      </c>
      <c r="DK171" s="1506">
        <f>DK168+DK88</f>
        <v/>
      </c>
      <c r="DL171" s="1506">
        <f>DL168+DL88</f>
        <v/>
      </c>
      <c r="DM171" s="1506">
        <f>DM168+DM88</f>
        <v/>
      </c>
      <c r="DN171" s="1506">
        <f>DN168+DN88</f>
        <v/>
      </c>
      <c r="DO171" s="1506">
        <f>DO168+DO88</f>
        <v/>
      </c>
      <c r="DP171" s="1506">
        <f>DP168+DP88</f>
        <v/>
      </c>
      <c r="DQ171" s="1506">
        <f>DQ168+DQ88</f>
        <v/>
      </c>
      <c r="DR171" s="1506">
        <f>DR168+DR88</f>
        <v/>
      </c>
      <c r="DS171" s="1506">
        <f>DS168+DS88</f>
        <v/>
      </c>
      <c r="DT171" s="1506">
        <f>DT168+DT88</f>
        <v/>
      </c>
      <c r="DU171" s="1506">
        <f>DU168+DU88</f>
        <v/>
      </c>
      <c r="DV171" s="1506">
        <f>DV168+DV88</f>
        <v/>
      </c>
      <c r="DW171" s="1506">
        <f>DW168+DW88</f>
        <v/>
      </c>
      <c r="DX171" s="1506">
        <f>DX168+DX88</f>
        <v/>
      </c>
      <c r="DY171" s="1506">
        <f>DY168+DY88</f>
        <v/>
      </c>
      <c r="DZ171" s="1506">
        <f>DZ168+DZ88</f>
        <v/>
      </c>
      <c r="EA171" s="1506">
        <f>EA168+EA88</f>
        <v/>
      </c>
      <c r="EB171" s="1506">
        <f>EB168+EB88</f>
        <v/>
      </c>
      <c r="EC171" s="1506">
        <f>EC168+EC88</f>
        <v/>
      </c>
      <c r="ED171" s="1506">
        <f>ED168+ED88</f>
        <v/>
      </c>
      <c r="EE171" s="1506">
        <f>EE168+EE88</f>
        <v/>
      </c>
      <c r="EF171" s="1506">
        <f>EF168+EF88</f>
        <v/>
      </c>
      <c r="EG171" s="1506">
        <f>EG168+EG88</f>
        <v/>
      </c>
      <c r="EH171" s="1506">
        <f>EH168+EH88</f>
        <v/>
      </c>
      <c r="EI171" s="1506">
        <f>EI168+EI88</f>
        <v/>
      </c>
      <c r="EJ171" s="1506">
        <f>EJ168+EJ88</f>
        <v/>
      </c>
      <c r="EK171" s="1506">
        <f>EK168+EK88</f>
        <v/>
      </c>
    </row>
    <row r="172" ht="13.15" customHeight="1" s="1232">
      <c r="F172" s="1481" t="n"/>
      <c r="V172" s="1481" t="n"/>
      <c r="W172" s="1481" t="n"/>
      <c r="X172" s="1481" t="n"/>
      <c r="Y172" s="1481" t="n"/>
      <c r="Z172" s="1481" t="n"/>
      <c r="AA172" s="1481" t="n"/>
      <c r="AB172" s="1481" t="n"/>
      <c r="AC172" s="1481" t="n"/>
      <c r="AD172" s="1481" t="n"/>
      <c r="AE172" s="1481" t="n"/>
      <c r="AF172" s="1481" t="n"/>
      <c r="AG172" s="1481" t="n"/>
      <c r="AH172" s="1481" t="n"/>
      <c r="AI172" s="1481" t="n"/>
      <c r="AJ172" s="1481" t="n"/>
      <c r="AK172" s="1481" t="n"/>
    </row>
    <row r="173" ht="13.15" customHeight="1" s="1232">
      <c r="F173" s="1481" t="inlineStr">
        <is>
          <t>Workshop Balances</t>
        </is>
      </c>
      <c r="J173" s="1480">
        <f>Workshops!J571+'Master Classes'!H115</f>
        <v/>
      </c>
      <c r="V173" s="1481" t="n"/>
      <c r="W173" s="1481" t="n"/>
      <c r="X173" s="1481" t="n"/>
      <c r="Y173" s="1481" t="n"/>
      <c r="Z173" s="1481" t="n"/>
      <c r="AA173" s="1481" t="n"/>
      <c r="AB173" s="1481" t="n"/>
      <c r="AC173" s="1481" t="n"/>
      <c r="AD173" s="1481" t="n"/>
      <c r="AE173" s="1481" t="n"/>
      <c r="AF173" s="1481" t="n"/>
      <c r="AG173" s="1481" t="n"/>
      <c r="AH173" s="1481" t="n"/>
      <c r="AI173" s="1481" t="n"/>
      <c r="AJ173" s="1481" t="n"/>
      <c r="AK173" s="1481" t="n"/>
      <c r="AL173" s="1481" t="n"/>
      <c r="AM173" s="1481" t="n"/>
      <c r="AN173" s="1481" t="n"/>
      <c r="AO173" s="1481" t="n"/>
      <c r="AP173" s="1481" t="n"/>
      <c r="AQ173" s="1481" t="n"/>
      <c r="AR173" s="1481" t="n"/>
      <c r="AS173" s="1481" t="n"/>
      <c r="AT173" s="1481" t="n"/>
      <c r="AU173" s="1481" t="n"/>
      <c r="AV173" s="1481" t="n"/>
      <c r="AW173" s="1481" t="n"/>
      <c r="AX173" s="1481" t="n"/>
      <c r="AY173" s="1481" t="n"/>
      <c r="AZ173" s="1481" t="n"/>
    </row>
    <row r="174" ht="13.15" customHeight="1" s="1232">
      <c r="F174" s="1481" t="inlineStr">
        <is>
          <t>Course Balances</t>
        </is>
      </c>
      <c r="V174" s="1481" t="n"/>
      <c r="W174" s="1481" t="n"/>
      <c r="X174" s="1481" t="n"/>
      <c r="Y174" s="1481" t="n"/>
      <c r="Z174" s="1481" t="n"/>
      <c r="AA174" s="1481" t="n"/>
      <c r="AB174" s="1481" t="n"/>
      <c r="AC174" s="1481" t="n"/>
      <c r="AD174" s="1481" t="n"/>
      <c r="AE174" s="1481" t="n"/>
      <c r="AF174" s="1481" t="n"/>
      <c r="AG174" s="1481" t="n"/>
      <c r="AH174" s="1481" t="n"/>
      <c r="AI174" s="1481" t="n"/>
      <c r="AJ174" s="1481" t="n"/>
      <c r="AK174" s="1481" t="n"/>
      <c r="AL174" s="1481" t="n"/>
      <c r="AM174" s="1481" t="n"/>
      <c r="AN174" s="1481" t="n"/>
      <c r="AO174" s="1481" t="n"/>
      <c r="AP174" s="1481" t="n"/>
      <c r="AQ174" s="1481" t="n"/>
      <c r="AR174" s="1481" t="n"/>
      <c r="AS174" s="1481" t="n"/>
      <c r="AT174" s="1481" t="n"/>
      <c r="AU174" s="1481" t="n"/>
      <c r="AV174" s="1481" t="n"/>
      <c r="AW174" s="1481" t="n"/>
      <c r="AX174" s="1481" t="n"/>
      <c r="AY174" s="1481" t="n"/>
      <c r="AZ174" s="1481" t="n"/>
    </row>
    <row r="175" ht="13.15" customHeight="1" s="1232">
      <c r="F175" s="1481" t="inlineStr">
        <is>
          <t>1-2-1 Balances</t>
        </is>
      </c>
      <c r="J175" s="1480">
        <f>'1-2-1''s'!E165</f>
        <v/>
      </c>
      <c r="V175" s="1481" t="n"/>
      <c r="W175" s="1481" t="n"/>
      <c r="X175" s="1481" t="n"/>
      <c r="Y175" s="1481" t="n"/>
      <c r="Z175" s="1481" t="n"/>
      <c r="AA175" s="1481" t="n"/>
      <c r="AB175" s="1481" t="n"/>
      <c r="AC175" s="1481" t="n"/>
      <c r="AD175" s="1481" t="n"/>
      <c r="AE175" s="1481" t="n"/>
      <c r="AF175" s="1481" t="n"/>
      <c r="AG175" s="1481" t="n"/>
      <c r="AH175" s="1481" t="n"/>
      <c r="AI175" s="1481" t="n"/>
      <c r="AJ175" s="1481" t="n"/>
      <c r="AK175" s="1481" t="n"/>
      <c r="AL175" s="1481" t="n"/>
      <c r="AM175" s="1481" t="n"/>
      <c r="AN175" s="1481" t="n"/>
      <c r="AO175" s="1481" t="n"/>
      <c r="AP175" s="1481" t="n"/>
      <c r="AQ175" s="1481" t="n"/>
      <c r="AR175" s="1481" t="n"/>
      <c r="AS175" s="1481" t="n"/>
      <c r="AT175" s="1481" t="n"/>
      <c r="AU175" s="1481" t="n"/>
      <c r="AV175" s="1481" t="n"/>
      <c r="AW175" s="1481" t="n"/>
      <c r="AX175" s="1481" t="n"/>
      <c r="AY175" s="1481" t="n"/>
      <c r="AZ175" s="1481" t="n"/>
    </row>
    <row r="176" ht="13.15" customHeight="1" s="1232">
      <c r="F176" s="1481" t="inlineStr">
        <is>
          <t>PicknMix Balances</t>
        </is>
      </c>
      <c r="J176" s="1480">
        <f>SUM(Z176:BA176)</f>
        <v/>
      </c>
      <c r="V176" s="1481" t="n"/>
      <c r="W176" s="1481" t="n"/>
      <c r="X176" s="1481" t="n"/>
      <c r="Y176" s="1481" t="n"/>
      <c r="Z176" s="1481" t="n"/>
      <c r="AA176" s="1481" t="n"/>
      <c r="AB176" s="1481" t="n"/>
      <c r="AC176" s="1508">
        <f>SumByColor(Z167, AC92:AC167)</f>
        <v/>
      </c>
      <c r="AD176" s="1508">
        <f>SumByColor(AA167, AD92:AD167)</f>
        <v/>
      </c>
      <c r="AE176" s="1508">
        <f>SumByColor(AB167, AE92:AE167)</f>
        <v/>
      </c>
      <c r="AF176" s="1508">
        <f>SumByColor(AC167, AF92:AF167)</f>
        <v/>
      </c>
      <c r="AG176" s="1508">
        <f>SumByColor(AD167, AG92:AG167)</f>
        <v/>
      </c>
      <c r="AH176" s="1508">
        <f>SumByColor(AE167, AH92:AH167)</f>
        <v/>
      </c>
      <c r="AI176" s="1508">
        <f>SumByColor(AF167, AI92:AI167)</f>
        <v/>
      </c>
      <c r="AJ176" s="1508">
        <f>SumByColor(AG167, AJ92:AJ167)</f>
        <v/>
      </c>
      <c r="AK176" s="1508">
        <f>SumByColor(AH167, AK91:AK167)</f>
        <v/>
      </c>
      <c r="AL176" s="1508">
        <f>SumByColor(AI167, AL91:AL167)</f>
        <v/>
      </c>
      <c r="AM176" s="1508">
        <f>SumByColor(AJ167, AM91:AM167)</f>
        <v/>
      </c>
      <c r="AN176" s="1508">
        <f>SumByColor(AK167, AN91:AN167)</f>
        <v/>
      </c>
      <c r="AO176" s="1508">
        <f>SumByColor(AL167, AO91:AO167)</f>
        <v/>
      </c>
      <c r="AP176" s="1508">
        <f>SumByColor(AM167, AP91:AP167)</f>
        <v/>
      </c>
      <c r="AQ176" s="1508">
        <f>SumByColor(AN167, AQ91:AQ167)</f>
        <v/>
      </c>
      <c r="AR176" s="1508">
        <f>SumByColor(AO167, AR91:AR167)</f>
        <v/>
      </c>
      <c r="AS176" s="1508">
        <f>SumByColor(AP167, AS91:AS167)</f>
        <v/>
      </c>
      <c r="AT176" s="1508">
        <f>SumByColor(AQ167, AT91:AT167)</f>
        <v/>
      </c>
      <c r="AU176" s="1508">
        <f>SumByColor(AR167, AU91:AU167)</f>
        <v/>
      </c>
      <c r="AV176" s="1508">
        <f>SumByColor(AS167, AV91:AV167)</f>
        <v/>
      </c>
      <c r="AW176" s="1508">
        <f>SumByColor(AT167, AW91:AW167)</f>
        <v/>
      </c>
      <c r="AX176" s="1508">
        <f>SumByColor(AU167, AX91:AX167)</f>
        <v/>
      </c>
      <c r="AY176" s="1508">
        <f>SumByColor(AV167, AY91:AY167)</f>
        <v/>
      </c>
      <c r="AZ176" s="1508">
        <f>SumByColor(AW167, AZ91:AZ167)</f>
        <v/>
      </c>
      <c r="BA176" s="1508">
        <f>SumByColor(AX167, BA91:BA167)</f>
        <v/>
      </c>
      <c r="BB176" s="1508">
        <f>SumByColor(AY167, BB91:BB167)</f>
        <v/>
      </c>
      <c r="BC176" s="1508">
        <f>SumByColor(AZ167, BC91:BC167)</f>
        <v/>
      </c>
      <c r="BD176" s="1508">
        <f>SumByColor(BA167, BD91:BD167)</f>
        <v/>
      </c>
      <c r="BE176" s="1508">
        <f>SumByColor(BB167, BE91:BE167)</f>
        <v/>
      </c>
      <c r="BF176" s="1508">
        <f>SumByColor(BC167, BF91:BF167)</f>
        <v/>
      </c>
      <c r="BG176" s="1508">
        <f>SumByColor(BD167, BG91:BG167)</f>
        <v/>
      </c>
      <c r="BH176" s="1508">
        <f>SumByColor(BE167, BH91:BH167)</f>
        <v/>
      </c>
      <c r="BI176" s="1508">
        <f>SumByColor(BF167, BI91:BI167)</f>
        <v/>
      </c>
      <c r="BJ176" s="1508">
        <f>SumByColor(BG167, BJ91:BJ167)</f>
        <v/>
      </c>
      <c r="BK176" s="1508">
        <f>SumByColor(BH167, BK91:BK167)</f>
        <v/>
      </c>
      <c r="BL176" s="1508">
        <f>SumByColor(BI167, BL91:BL167)</f>
        <v/>
      </c>
      <c r="BM176" s="1508">
        <f>SumByColor(BJ167, BM91:BM167)</f>
        <v/>
      </c>
      <c r="BN176" s="1508">
        <f>SumByColor(BK167, BN91:BN167)</f>
        <v/>
      </c>
      <c r="BO176" s="1508">
        <f>SumByColor(BL167, BO91:BO167)</f>
        <v/>
      </c>
      <c r="BP176" s="1508">
        <f>SumByColor(BM167, BP91:BP167)</f>
        <v/>
      </c>
      <c r="BQ176" s="1508">
        <f>SumByColor(BN167, BQ91:BQ167)</f>
        <v/>
      </c>
      <c r="BR176" s="1508">
        <f>SumByColor(BO167, BR91:BR167)</f>
        <v/>
      </c>
      <c r="BS176" s="1508">
        <f>SumByColor(BP167, BS91:BS167)</f>
        <v/>
      </c>
      <c r="BT176" s="1508">
        <f>SumByColor(BQ167, BT91:BT167)</f>
        <v/>
      </c>
      <c r="BU176" s="1508">
        <f>SumByColor(BR167, BU91:BU167)</f>
        <v/>
      </c>
      <c r="BV176" s="1508">
        <f>SumByColor(BS167, BV91:BV167)</f>
        <v/>
      </c>
      <c r="BW176" s="1508">
        <f>SumByColor(BT167, BW91:BW167)</f>
        <v/>
      </c>
      <c r="BX176" s="1508">
        <f>SumByColor(BU167, BX91:BX167)</f>
        <v/>
      </c>
      <c r="BY176" s="1508">
        <f>SumByColor(BV167, BY91:BY167)</f>
        <v/>
      </c>
      <c r="BZ176" s="1508">
        <f>SumByColor(BW167, BZ91:BZ167)</f>
        <v/>
      </c>
      <c r="CA176" s="1508">
        <f>SumByColor(BX167, CA91:CA167)</f>
        <v/>
      </c>
      <c r="CB176" s="1508">
        <f>SumByColor(BY167, CB91:CB167)</f>
        <v/>
      </c>
      <c r="CC176" s="1508">
        <f>SumByColor(BZ167, CC91:CC167)</f>
        <v/>
      </c>
      <c r="CD176" s="1508">
        <f>SumByColor(CA167, CD91:CD167)</f>
        <v/>
      </c>
      <c r="CE176" s="1508">
        <f>SumByColor(CB167, CE91:CE167)</f>
        <v/>
      </c>
      <c r="CF176" s="1508">
        <f>SumByColor(CC167, CF91:CF167)</f>
        <v/>
      </c>
      <c r="CG176" s="1508">
        <f>SumByColor(CD167, CG91:CG167)</f>
        <v/>
      </c>
      <c r="CH176" s="1508">
        <f>SumByColor(CE167, CH91:CH167)</f>
        <v/>
      </c>
      <c r="CI176" s="1508">
        <f>SumByColor(CF167, CI91:CI167)</f>
        <v/>
      </c>
      <c r="CJ176" s="1508">
        <f>SumByColor(CG167, CJ91:CJ167)</f>
        <v/>
      </c>
      <c r="CK176" s="1508">
        <f>SumByColor(CH167, CK91:CK167)</f>
        <v/>
      </c>
      <c r="CL176" s="1508">
        <f>SumByColor(CI167, CL91:CL167)</f>
        <v/>
      </c>
      <c r="CM176" s="1508">
        <f>SumByColor(CJ167, CM91:CM167)</f>
        <v/>
      </c>
      <c r="CN176" s="1508">
        <f>SumByColor(CK167, CN91:CN167)</f>
        <v/>
      </c>
      <c r="CO176" s="1508">
        <f>SumByColor(CL167, CO91:CO167)</f>
        <v/>
      </c>
      <c r="CP176" s="1508">
        <f>SumByColor(CM167, CP91:CP167)</f>
        <v/>
      </c>
      <c r="CQ176" s="1508">
        <f>SumByColor(CN167, CQ91:CQ167)</f>
        <v/>
      </c>
      <c r="CR176" s="1508">
        <f>SumByColor(CO167, CR91:CR167)</f>
        <v/>
      </c>
      <c r="CS176" s="1508">
        <f>SumByColor(CP167, CS91:CS167)</f>
        <v/>
      </c>
      <c r="CT176" s="1508">
        <f>SumByColor(CQ167, CT91:CT167)</f>
        <v/>
      </c>
      <c r="CU176" s="1508">
        <f>SumByColor(CR167, CU91:CU167)</f>
        <v/>
      </c>
      <c r="CV176" s="1508">
        <f>SumByColor(CS167, CV91:CV167)</f>
        <v/>
      </c>
      <c r="CW176" s="1508">
        <f>SumByColor(CT167, CW91:CW167)</f>
        <v/>
      </c>
      <c r="CX176" s="1508">
        <f>SumByColor(CU167, CX91:CX167)</f>
        <v/>
      </c>
      <c r="CY176" s="1508">
        <f>SumByColor(CV167, CY91:CY167)</f>
        <v/>
      </c>
      <c r="CZ176" s="1508">
        <f>SumByColor(CW167, CZ91:CZ167)</f>
        <v/>
      </c>
      <c r="DA176" s="1508">
        <f>SumByColor(CX167, DA91:DA167)</f>
        <v/>
      </c>
      <c r="DB176" s="1508">
        <f>SumByColor(CY167, DB91:DB167)</f>
        <v/>
      </c>
      <c r="DC176" s="1508">
        <f>SumByColor(CZ167, DC91:DC167)</f>
        <v/>
      </c>
      <c r="DD176" s="1508">
        <f>SumByColor(DA167, DD91:DD167)</f>
        <v/>
      </c>
      <c r="DE176" s="1508">
        <f>SumByColor(DB167, DE91:DE167)</f>
        <v/>
      </c>
      <c r="DF176" s="1508">
        <f>SumByColor(DC167, DF91:DF167)</f>
        <v/>
      </c>
      <c r="DG176" s="1508">
        <f>SumByColor(DD167, DG91:DG167)</f>
        <v/>
      </c>
      <c r="DH176" s="1508">
        <f>SumByColor(DE167, DH91:DH167)</f>
        <v/>
      </c>
      <c r="DI176" s="1508">
        <f>SumByColor(DF167, DI91:DI167)</f>
        <v/>
      </c>
      <c r="DJ176" s="1508">
        <f>SumByColor(DG167, DJ91:DJ167)</f>
        <v/>
      </c>
      <c r="DK176" s="1508">
        <f>SumByColor(DH167, DK91:DK167)</f>
        <v/>
      </c>
      <c r="DL176" s="1508">
        <f>SumByColor(DI167, DL91:DL167)</f>
        <v/>
      </c>
      <c r="DM176" s="1508">
        <f>SumByColor(DJ167, DM91:DM167)</f>
        <v/>
      </c>
      <c r="DN176" s="1508">
        <f>SumByColor(DK167, DN91:DN167)</f>
        <v/>
      </c>
      <c r="DO176" s="1508">
        <f>SumByColor(DL167, DO91:DO167)</f>
        <v/>
      </c>
      <c r="DP176" s="1508">
        <f>SumByColor(DM167, DP91:DP167)</f>
        <v/>
      </c>
      <c r="DQ176" s="1508">
        <f>SumByColor(DN167, DQ91:DQ167)</f>
        <v/>
      </c>
      <c r="DR176" s="1508">
        <f>SumByColor(DO167, DR91:DR167)</f>
        <v/>
      </c>
      <c r="DS176" s="1508">
        <f>SumByColor(DP167, DS91:DS167)</f>
        <v/>
      </c>
      <c r="DT176" s="1508">
        <f>SumByColor(DQ167, DT91:DT167)</f>
        <v/>
      </c>
      <c r="DU176" s="1508">
        <f>SumByColor(DR167, DU91:DU167)</f>
        <v/>
      </c>
      <c r="DV176" s="1508">
        <f>SumByColor(DS167, DV91:DV167)</f>
        <v/>
      </c>
    </row>
    <row r="177" ht="13.15" customHeight="1" s="1232">
      <c r="F177" s="1481" t="inlineStr">
        <is>
          <t>Mentoring Balances</t>
        </is>
      </c>
      <c r="J177" s="1480">
        <f>SUM(Z177:AZ177)</f>
        <v/>
      </c>
      <c r="V177" s="1481" t="n"/>
      <c r="W177" s="1481" t="n"/>
      <c r="X177" s="1481" t="n"/>
      <c r="Y177" s="1481" t="n"/>
      <c r="Z177" s="1481" t="n"/>
      <c r="AA177" s="1481" t="n"/>
      <c r="AB177" s="1481" t="n"/>
      <c r="AC177" s="1508">
        <f>SumByColor(Z169, AC5:AC23)</f>
        <v/>
      </c>
      <c r="AD177" s="1508">
        <f>SumByColor(AA169, AD6:AD27)</f>
        <v/>
      </c>
      <c r="AE177" s="1508">
        <f>SumByColor(AB169, AE6:AE82)</f>
        <v/>
      </c>
      <c r="AF177" s="1508">
        <f>SumByColor(AC169, AF6:AF82)</f>
        <v/>
      </c>
      <c r="AG177" s="1508">
        <f>SumByColor(AD169, AG6:AG82)</f>
        <v/>
      </c>
      <c r="AH177" s="1508">
        <f>SumByColor(AE169, AH6:AH82)</f>
        <v/>
      </c>
      <c r="AI177" s="1508">
        <f>SumByColor(AF169, AI6:AI82)</f>
        <v/>
      </c>
      <c r="AJ177" s="1508">
        <f>SumByColor(AG169, AJ6:AJ82)</f>
        <v/>
      </c>
      <c r="AK177" s="1508">
        <f>SumByColor(AH169, AK6:AK82)</f>
        <v/>
      </c>
      <c r="AL177" s="1508">
        <f>SumByColor(AI169, AL6:AL82)</f>
        <v/>
      </c>
      <c r="AM177" s="1508">
        <f>SumByColor(AJ169, AM6:AM82)</f>
        <v/>
      </c>
      <c r="AN177" s="1508">
        <f>SumByColor(AK169, AN6:AN82)</f>
        <v/>
      </c>
      <c r="AO177" s="1508">
        <f>SumByColor(AL169, AO6:AO82)</f>
        <v/>
      </c>
      <c r="AP177" s="1508">
        <f>SumByColor(AM169, AP6:AP82)</f>
        <v/>
      </c>
      <c r="AQ177" s="1508">
        <f>SumByColor(AN169, AQ6:AQ82)</f>
        <v/>
      </c>
      <c r="AR177" s="1508">
        <f>SumByColor(AO169, AR6:AR82)</f>
        <v/>
      </c>
      <c r="AS177" s="1508">
        <f>SumByColor(AP169, AS6:AS82)</f>
        <v/>
      </c>
      <c r="AT177" s="1508">
        <f>SumByColor(AQ169, AT6:AT82)</f>
        <v/>
      </c>
      <c r="AU177" s="1508">
        <f>SumByColor(AR169, AU6:AU87)</f>
        <v/>
      </c>
      <c r="AV177" s="1508">
        <f>SumByColor(AS169, AV6:AV87)</f>
        <v/>
      </c>
      <c r="AW177" s="1508">
        <f>SumByColor(AT169, AW6:AW87)</f>
        <v/>
      </c>
      <c r="AX177" s="1508">
        <f>SumByColor(AU169, AX6:AX87)</f>
        <v/>
      </c>
      <c r="AY177" s="1508">
        <f>SumByColor(AV169, AY6:AY87)</f>
        <v/>
      </c>
      <c r="AZ177" s="1508">
        <f>SumByColor(AW169, AZ6:AZ87)</f>
        <v/>
      </c>
      <c r="BA177" s="1508">
        <f>SumByColor(AX169, BA6:BA87)</f>
        <v/>
      </c>
      <c r="BB177" s="1508">
        <f>SumByColor(AY169, BB6:BB87)</f>
        <v/>
      </c>
      <c r="BC177" s="1508">
        <f>SumByColor(AZ169, BC6:BC87)</f>
        <v/>
      </c>
      <c r="BD177" s="1508">
        <f>SumByColor(BA169, BD6:BD87)</f>
        <v/>
      </c>
      <c r="BE177" s="1508">
        <f>SumByColor(BB169, BE6:BE87)</f>
        <v/>
      </c>
      <c r="BF177" s="1508">
        <f>SumByColor(BC169, BF6:BF87)</f>
        <v/>
      </c>
      <c r="BG177" s="1508">
        <f>SumByColor(BD169, BG6:BG87)</f>
        <v/>
      </c>
      <c r="BH177" s="1508">
        <f>SumByColor(BE169, BH6:BH87)</f>
        <v/>
      </c>
      <c r="BI177" s="1508">
        <f>SumByColor(BF169, BI6:BI87)</f>
        <v/>
      </c>
      <c r="BJ177" s="1508">
        <f>SumByColor(BG169, BJ6:BJ87)</f>
        <v/>
      </c>
      <c r="BK177" s="1508">
        <f>SumByColor(BH169, BK6:BK87)</f>
        <v/>
      </c>
      <c r="BL177" s="1508">
        <f>SumByColor(BI169, BL6:BL87)</f>
        <v/>
      </c>
      <c r="BM177" s="1508">
        <f>SumByColor(BJ169, BM6:BM87)</f>
        <v/>
      </c>
      <c r="BN177" s="1508">
        <f>SumByColor(BK169, BN6:BN87)</f>
        <v/>
      </c>
      <c r="BO177" s="1508">
        <f>SumByColor(BL169, BO6:BO87)</f>
        <v/>
      </c>
      <c r="BP177" s="1508">
        <f>SumByColor(BM169, BP6:BP87)</f>
        <v/>
      </c>
      <c r="BQ177" s="1508">
        <f>SumByColor(BN169, BQ6:BQ87)</f>
        <v/>
      </c>
      <c r="BR177" s="1508">
        <f>SumByColor(BO169, BR6:BR87)</f>
        <v/>
      </c>
      <c r="BS177" s="1508">
        <f>SumByColor(BP169, BS6:BS87)</f>
        <v/>
      </c>
      <c r="BT177" s="1508">
        <f>SumByColor(BQ169, BT6:BT87)</f>
        <v/>
      </c>
      <c r="BU177" s="1508">
        <f>SumByColor(BR169, BU6:BU87)</f>
        <v/>
      </c>
      <c r="BV177" s="1508">
        <f>SumByColor(BS169, BV6:BV87)</f>
        <v/>
      </c>
      <c r="BW177" s="1508">
        <f>SumByColor(BT169, BW6:BW87)</f>
        <v/>
      </c>
      <c r="BX177" s="1508">
        <f>SumByColor(BU169, BX6:BX87)</f>
        <v/>
      </c>
      <c r="BY177" s="1508">
        <f>SumByColor(BV169, BY6:BY87)</f>
        <v/>
      </c>
      <c r="BZ177" s="1508">
        <f>SumByColor(BW169, BZ6:BZ87)</f>
        <v/>
      </c>
      <c r="CA177" s="1508">
        <f>SumByColor(BX169, CA6:CA87)</f>
        <v/>
      </c>
      <c r="CB177" s="1508">
        <f>SumByColor(BY169, CB6:CB87)</f>
        <v/>
      </c>
      <c r="CC177" s="1508">
        <f>SumByColor(BZ169, CC6:CC87)</f>
        <v/>
      </c>
      <c r="CD177" s="1508">
        <f>SumByColor(CA169, CD6:CD87)</f>
        <v/>
      </c>
      <c r="CE177" s="1508">
        <f>SumByColor(CB169, CE6:CE87)</f>
        <v/>
      </c>
      <c r="CF177" s="1508">
        <f>SumByColor(CC169, CF6:CF87)</f>
        <v/>
      </c>
      <c r="CG177" s="1508">
        <f>SumByColor(CD169, CG6:CG87)</f>
        <v/>
      </c>
      <c r="CH177" s="1508">
        <f>SumByColor(CE169, CH6:CH87)</f>
        <v/>
      </c>
      <c r="CI177" s="1508">
        <f>SumByColor(CF169, CI6:CI87)</f>
        <v/>
      </c>
      <c r="CJ177" s="1508">
        <f>SumByColor(CG169, CJ6:CJ87)</f>
        <v/>
      </c>
      <c r="CK177" s="1508">
        <f>SumByColor(CH169, CK6:CK87)</f>
        <v/>
      </c>
      <c r="CL177" s="1508">
        <f>SumByColor(CI169, CL6:CL87)</f>
        <v/>
      </c>
      <c r="CM177" s="1508">
        <f>SumByColor(CJ169, CM6:CM87)</f>
        <v/>
      </c>
      <c r="CN177" s="1508">
        <f>SumByColor(CK169, CN6:CN87)</f>
        <v/>
      </c>
      <c r="CO177" s="1508">
        <f>SumByColor(CL169, CO6:CO87)</f>
        <v/>
      </c>
      <c r="CP177" s="1508">
        <f>SumByColor(CM169, CP6:CP87)</f>
        <v/>
      </c>
      <c r="CQ177" s="1508">
        <f>SumByColor(CN169, CQ6:CQ87)</f>
        <v/>
      </c>
      <c r="CR177" s="1508">
        <f>SumByColor(CO169, CR6:CR87)</f>
        <v/>
      </c>
      <c r="CS177" s="1508">
        <f>SumByColor(CP169, CS6:CS87)</f>
        <v/>
      </c>
      <c r="CT177" s="1508">
        <f>SumByColor(CQ169, CT6:CT87)</f>
        <v/>
      </c>
      <c r="CU177" s="1508">
        <f>SumByColor(CR169, CU6:CU87)</f>
        <v/>
      </c>
      <c r="CV177" s="1508">
        <f>SumByColor(CS169, CV6:CV87)</f>
        <v/>
      </c>
      <c r="CW177" s="1508">
        <f>SumByColor(CT169, CW6:CW87)</f>
        <v/>
      </c>
      <c r="CX177" s="1508">
        <f>SumByColor(CU169, CX6:CX87)</f>
        <v/>
      </c>
      <c r="CY177" s="1508">
        <f>SumByColor(CV169, CY6:CY87)</f>
        <v/>
      </c>
      <c r="CZ177" s="1508">
        <f>SumByColor(CW169, CZ6:CZ87)</f>
        <v/>
      </c>
      <c r="DA177" s="1508">
        <f>SumByColor(CX169, DA6:DA87)</f>
        <v/>
      </c>
      <c r="DB177" s="1508">
        <f>SumByColor(CY169, DB6:DB87)</f>
        <v/>
      </c>
      <c r="DC177" s="1508">
        <f>SumByColor(CZ169, DC6:DC87)</f>
        <v/>
      </c>
      <c r="DD177" s="1508">
        <f>SumByColor(DA169, DD6:DD87)</f>
        <v/>
      </c>
      <c r="DE177" s="1508">
        <f>SumByColor(DB169, DE6:DE87)</f>
        <v/>
      </c>
      <c r="DF177" s="1508">
        <f>SumByColor(DC169, DF6:DF87)</f>
        <v/>
      </c>
      <c r="DG177" s="1508">
        <f>SumByColor(DD169, DG6:DG87)</f>
        <v/>
      </c>
      <c r="DH177" s="1508">
        <f>SumByColor(DE169, DH6:DH87)</f>
        <v/>
      </c>
      <c r="DI177" s="1508">
        <f>SumByColor(DF169, DI6:DI87)</f>
        <v/>
      </c>
      <c r="DJ177" s="1508">
        <f>SumByColor(DG169, DJ6:DJ87)</f>
        <v/>
      </c>
      <c r="DK177" s="1508">
        <f>SumByColor(DH169, DK6:DK87)</f>
        <v/>
      </c>
      <c r="DL177" s="1508">
        <f>SumByColor(DI169, DL6:DL87)</f>
        <v/>
      </c>
      <c r="DM177" s="1508">
        <f>SumByColor(DJ169, DM6:DM87)</f>
        <v/>
      </c>
      <c r="DN177" s="1508">
        <f>SumByColor(DK169, DN6:DN87)</f>
        <v/>
      </c>
      <c r="DO177" s="1508">
        <f>SumByColor(DL169, DO6:DO87)</f>
        <v/>
      </c>
      <c r="DP177" s="1508">
        <f>SumByColor(DM169, DP6:DP87)</f>
        <v/>
      </c>
      <c r="DQ177" s="1508">
        <f>SumByColor(DN169, DQ6:DQ87)</f>
        <v/>
      </c>
      <c r="DR177" s="1508">
        <f>SumByColor(DO169, DR6:DR87)</f>
        <v/>
      </c>
      <c r="DS177" s="1508">
        <f>SumByColor(DP169, DS6:DS87)</f>
        <v/>
      </c>
      <c r="DT177" s="1508">
        <f>SumByColor(DQ169, DT6:DT87)</f>
        <v/>
      </c>
      <c r="DU177" s="1508">
        <f>SumByColor(DR169, DU6:DU87)</f>
        <v/>
      </c>
      <c r="DV177" s="1508">
        <f>SumByColor(DS169, DV6:DV87)</f>
        <v/>
      </c>
    </row>
    <row r="178" ht="13.5" customHeight="1" s="1232" thickBot="1">
      <c r="F178" s="1509" t="inlineStr">
        <is>
          <t>Total Outstanding Balances</t>
        </is>
      </c>
      <c r="G178" s="1510" t="n"/>
      <c r="H178" s="1510" t="n"/>
      <c r="I178" s="1510" t="n"/>
      <c r="J178" s="1509">
        <f>SUM(J172:J177)</f>
        <v/>
      </c>
      <c r="K178" s="1510" t="n"/>
      <c r="L178" s="1510" t="n"/>
      <c r="M178" s="1510" t="n"/>
      <c r="N178" s="1510" t="n"/>
      <c r="O178" s="1510" t="n"/>
      <c r="P178" s="1510" t="n"/>
      <c r="Q178" s="1510" t="n"/>
      <c r="R178" s="1510" t="n"/>
      <c r="S178" s="1510" t="n"/>
      <c r="T178" s="1510" t="n"/>
      <c r="U178" s="1510" t="n"/>
      <c r="V178" s="1509" t="n"/>
      <c r="W178" s="1509" t="n"/>
      <c r="X178" s="1509" t="n"/>
      <c r="Y178" s="1509" t="n"/>
      <c r="Z178" s="1509" t="n"/>
      <c r="AA178" s="1509" t="n"/>
      <c r="AB178" s="1509" t="n"/>
      <c r="AC178" s="1509">
        <f>SUM(AC173:AC177)</f>
        <v/>
      </c>
      <c r="AD178" s="1509">
        <f>SUM(AD173:AD177)</f>
        <v/>
      </c>
      <c r="AE178" s="1509">
        <f>SUM(AE173:AE177)</f>
        <v/>
      </c>
      <c r="AF178" s="1509">
        <f>SUM(AF173:AF177)</f>
        <v/>
      </c>
      <c r="AG178" s="1509">
        <f>SUM(AG173:AG177)</f>
        <v/>
      </c>
      <c r="AH178" s="1509">
        <f>SUM(AH173:AH177)</f>
        <v/>
      </c>
      <c r="AI178" s="1509">
        <f>SUM(AI173:AI177)</f>
        <v/>
      </c>
      <c r="AJ178" s="1509">
        <f>SUM(AJ173:AJ177)</f>
        <v/>
      </c>
      <c r="AK178" s="1509">
        <f>SUM(AK173:AK177)</f>
        <v/>
      </c>
      <c r="AL178" s="1509">
        <f>SUM(AL173:AL177)</f>
        <v/>
      </c>
      <c r="AM178" s="1509">
        <f>SUM(AM173:AM177)</f>
        <v/>
      </c>
      <c r="AN178" s="1509">
        <f>SUM(AN173:AN177)</f>
        <v/>
      </c>
      <c r="AO178" s="1509">
        <f>SUM(AO173:AO177)</f>
        <v/>
      </c>
      <c r="AP178" s="1509">
        <f>SUM(AP173:AP177)</f>
        <v/>
      </c>
      <c r="AQ178" s="1509">
        <f>SUM(AQ173:AQ177)</f>
        <v/>
      </c>
      <c r="AR178" s="1509">
        <f>SUM(AR173:AR177)</f>
        <v/>
      </c>
      <c r="AS178" s="1509">
        <f>SUM(AS173:AS177)</f>
        <v/>
      </c>
      <c r="AT178" s="1509">
        <f>SUM(AT173:AT177)</f>
        <v/>
      </c>
      <c r="AU178" s="1509">
        <f>SUM(AU173:AU177)</f>
        <v/>
      </c>
      <c r="AV178" s="1509">
        <f>SUM(AV173:AV177)</f>
        <v/>
      </c>
      <c r="AW178" s="1509">
        <f>SUM(AW173:AW177)</f>
        <v/>
      </c>
      <c r="AX178" s="1509">
        <f>SUM(AX173:AX177)</f>
        <v/>
      </c>
      <c r="AY178" s="1509">
        <f>SUM(AY173:AY177)</f>
        <v/>
      </c>
      <c r="AZ178" s="1509">
        <f>SUM(AZ173:AZ177)</f>
        <v/>
      </c>
      <c r="BA178" s="1509">
        <f>SUM(BA173:BA177)</f>
        <v/>
      </c>
      <c r="BB178" s="1509">
        <f>SUM(BB173:BB177)</f>
        <v/>
      </c>
      <c r="BC178" s="1509">
        <f>SUM(BC173:BC177)</f>
        <v/>
      </c>
      <c r="BD178" s="1509">
        <f>SUM(BD173:BD177)</f>
        <v/>
      </c>
      <c r="BE178" s="1509">
        <f>SUM(BE173:BE177)</f>
        <v/>
      </c>
      <c r="BF178" s="1509">
        <f>SUM(BF173:BF177)</f>
        <v/>
      </c>
      <c r="BG178" s="1509">
        <f>SUM(BG173:BG177)</f>
        <v/>
      </c>
      <c r="BH178" s="1509">
        <f>SUM(BH173:BH177)</f>
        <v/>
      </c>
      <c r="BI178" s="1509">
        <f>SUM(BI173:BI177)</f>
        <v/>
      </c>
      <c r="BJ178" s="1509">
        <f>SUM(BJ173:BJ177)</f>
        <v/>
      </c>
      <c r="BK178" s="1509">
        <f>SUM(BK173:BK177)</f>
        <v/>
      </c>
      <c r="BL178" s="1509">
        <f>SUM(BL173:BL177)</f>
        <v/>
      </c>
      <c r="BM178" s="1509">
        <f>SUM(BM173:BM177)</f>
        <v/>
      </c>
      <c r="BN178" s="1509">
        <f>SUM(BN173:BN177)</f>
        <v/>
      </c>
      <c r="BO178" s="1509">
        <f>SUM(BO173:BO177)</f>
        <v/>
      </c>
      <c r="BP178" s="1509">
        <f>SUM(BP173:BP177)</f>
        <v/>
      </c>
      <c r="BQ178" s="1509">
        <f>SUM(BQ173:BQ177)</f>
        <v/>
      </c>
      <c r="BR178" s="1509">
        <f>SUM(BR173:BR177)</f>
        <v/>
      </c>
      <c r="BS178" s="1509">
        <f>SUM(BS173:BS177)</f>
        <v/>
      </c>
      <c r="BT178" s="1509">
        <f>SUM(BT173:BT177)</f>
        <v/>
      </c>
      <c r="BU178" s="1509">
        <f>SUM(BU173:BU177)</f>
        <v/>
      </c>
      <c r="BV178" s="1509">
        <f>SUM(BV173:BV177)</f>
        <v/>
      </c>
      <c r="BW178" s="1509">
        <f>SUM(BW173:BW177)</f>
        <v/>
      </c>
      <c r="BX178" s="1509">
        <f>SUM(BX173:BX177)</f>
        <v/>
      </c>
      <c r="BY178" s="1509">
        <f>SUM(BY173:BY177)</f>
        <v/>
      </c>
      <c r="BZ178" s="1509">
        <f>SUM(BZ173:BZ177)</f>
        <v/>
      </c>
      <c r="CA178" s="1509">
        <f>SUM(CA173:CA177)</f>
        <v/>
      </c>
      <c r="CB178" s="1509">
        <f>SUM(CB173:CB177)</f>
        <v/>
      </c>
      <c r="CC178" s="1509">
        <f>SUM(CC173:CC177)</f>
        <v/>
      </c>
      <c r="CD178" s="1509">
        <f>SUM(CD173:CD177)</f>
        <v/>
      </c>
      <c r="CE178" s="1509">
        <f>SUM(CE173:CE177)</f>
        <v/>
      </c>
      <c r="CF178" s="1509">
        <f>SUM(CF173:CF177)</f>
        <v/>
      </c>
      <c r="CG178" s="1509">
        <f>SUM(CG173:CG177)</f>
        <v/>
      </c>
      <c r="CH178" s="1509">
        <f>SUM(CH173:CH177)</f>
        <v/>
      </c>
      <c r="CI178" s="1509">
        <f>SUM(CI173:CI177)</f>
        <v/>
      </c>
      <c r="CJ178" s="1509">
        <f>SUM(CJ173:CJ177)</f>
        <v/>
      </c>
      <c r="CK178" s="1509">
        <f>SUM(CK173:CK177)</f>
        <v/>
      </c>
      <c r="CL178" s="1509">
        <f>SUM(CL173:CL177)</f>
        <v/>
      </c>
      <c r="CM178" s="1509">
        <f>SUM(CM173:CM177)</f>
        <v/>
      </c>
      <c r="CN178" s="1509">
        <f>SUM(CN173:CN177)</f>
        <v/>
      </c>
      <c r="CO178" s="1509">
        <f>SUM(CO173:CO177)</f>
        <v/>
      </c>
      <c r="CP178" s="1509">
        <f>SUM(CP173:CP177)</f>
        <v/>
      </c>
      <c r="CQ178" s="1509">
        <f>SUM(CQ173:CQ177)</f>
        <v/>
      </c>
      <c r="CR178" s="1509">
        <f>SUM(CR173:CR177)</f>
        <v/>
      </c>
      <c r="CS178" s="1509">
        <f>SUM(CS173:CS177)</f>
        <v/>
      </c>
      <c r="CT178" s="1509">
        <f>SUM(CT173:CT177)</f>
        <v/>
      </c>
      <c r="CU178" s="1509">
        <f>SUM(CU173:CU177)</f>
        <v/>
      </c>
      <c r="CV178" s="1509">
        <f>SUM(CV173:CV177)</f>
        <v/>
      </c>
      <c r="CW178" s="1509">
        <f>SUM(CW173:CW177)</f>
        <v/>
      </c>
      <c r="CX178" s="1509">
        <f>SUM(CX173:CX177)</f>
        <v/>
      </c>
      <c r="CY178" s="1509">
        <f>SUM(CY173:CY177)</f>
        <v/>
      </c>
      <c r="CZ178" s="1509">
        <f>SUM(CZ173:CZ177)</f>
        <v/>
      </c>
      <c r="DA178" s="1509">
        <f>SUM(DA173:DA177)</f>
        <v/>
      </c>
      <c r="DB178" s="1509">
        <f>SUM(DB173:DB177)</f>
        <v/>
      </c>
      <c r="DC178" s="1509">
        <f>SUM(DC173:DC177)</f>
        <v/>
      </c>
      <c r="DD178" s="1509">
        <f>SUM(DD173:DD177)</f>
        <v/>
      </c>
      <c r="DE178" s="1509">
        <f>SUM(DE173:DE177)</f>
        <v/>
      </c>
      <c r="DF178" s="1509">
        <f>SUM(DF173:DF177)</f>
        <v/>
      </c>
      <c r="DG178" s="1509">
        <f>SUM(DG173:DG177)</f>
        <v/>
      </c>
      <c r="DH178" s="1509">
        <f>SUM(DH173:DH177)</f>
        <v/>
      </c>
      <c r="DI178" s="1509">
        <f>SUM(DI173:DI177)</f>
        <v/>
      </c>
      <c r="DJ178" s="1509">
        <f>SUM(DJ173:DJ177)</f>
        <v/>
      </c>
      <c r="DK178" s="1509">
        <f>SUM(DK173:DK177)</f>
        <v/>
      </c>
      <c r="DL178" s="1509">
        <f>SUM(DL173:DL177)</f>
        <v/>
      </c>
      <c r="DM178" s="1509">
        <f>SUM(DM173:DM177)</f>
        <v/>
      </c>
      <c r="DN178" s="1509">
        <f>SUM(DN173:DN177)</f>
        <v/>
      </c>
      <c r="DO178" s="1509">
        <f>SUM(DO173:DO177)</f>
        <v/>
      </c>
      <c r="DP178" s="1509">
        <f>SUM(DP173:DP177)</f>
        <v/>
      </c>
      <c r="DQ178" s="1509">
        <f>SUM(DQ173:DQ177)</f>
        <v/>
      </c>
      <c r="DR178" s="1509">
        <f>SUM(DR173:DR177)</f>
        <v/>
      </c>
      <c r="DS178" s="1509">
        <f>SUM(DS173:DS177)</f>
        <v/>
      </c>
      <c r="DT178" s="1509">
        <f>SUM(DT173:DT177)</f>
        <v/>
      </c>
      <c r="DU178" s="1509">
        <f>SUM(DU173:DU177)</f>
        <v/>
      </c>
      <c r="DV178" s="1509">
        <f>SUM(DV173:DV177)</f>
        <v/>
      </c>
    </row>
    <row r="179" ht="13.5" customHeight="1" s="1232" thickTop="1">
      <c r="F179" s="1481" t="n"/>
      <c r="V179" s="1481" t="n"/>
      <c r="W179" s="1481" t="n"/>
      <c r="X179" s="1481" t="n"/>
      <c r="Y179" s="1481" t="n"/>
      <c r="Z179" s="1481" t="n"/>
      <c r="AA179" s="1481" t="n"/>
      <c r="AB179" s="1481" t="n"/>
      <c r="AC179" s="1481" t="n"/>
      <c r="AD179" s="1481" t="n"/>
      <c r="AE179" s="1481" t="n"/>
      <c r="AF179" s="1481" t="n"/>
      <c r="AG179" s="1481" t="n"/>
      <c r="AH179" s="1481" t="n"/>
      <c r="AI179" s="1481" t="n"/>
      <c r="AJ179" s="1481" t="n"/>
      <c r="AK179" s="1481" t="n"/>
      <c r="AL179" s="1481" t="n"/>
      <c r="AM179" s="1481" t="n"/>
      <c r="AN179" s="1481" t="n"/>
      <c r="AO179" s="1481" t="n"/>
      <c r="AP179" s="1481" t="n"/>
      <c r="AQ179" s="1481" t="n"/>
    </row>
    <row r="180" ht="13.15" customHeight="1" s="1232">
      <c r="F180" s="1481" t="n"/>
      <c r="V180" s="1481" t="n"/>
      <c r="W180" s="1481" t="n"/>
      <c r="X180" s="1481" t="n"/>
      <c r="Y180" s="1481" t="n"/>
      <c r="Z180" s="1481" t="n"/>
      <c r="AA180" s="1481" t="n"/>
      <c r="AB180" s="1481" t="n"/>
      <c r="AC180" s="1481" t="n"/>
      <c r="AD180" s="1481" t="n"/>
      <c r="AE180" s="1481" t="n"/>
      <c r="AF180" s="1481" t="n"/>
      <c r="AG180" s="1481" t="n"/>
      <c r="AH180" s="1481" t="n"/>
      <c r="AI180" s="1481" t="n"/>
      <c r="AJ180" s="1481" t="n"/>
      <c r="AK180" s="1481" t="n"/>
      <c r="AL180" s="1481" t="n"/>
      <c r="AM180" s="1481" t="n"/>
      <c r="AN180" s="1481" t="n"/>
      <c r="AO180" s="1481" t="n"/>
      <c r="AP180" s="1481" t="n"/>
      <c r="AQ180" s="1481" t="n"/>
    </row>
    <row r="182" ht="13.15" customHeight="1" s="1232">
      <c r="J182" s="255" t="n"/>
      <c r="K182" s="255" t="n"/>
      <c r="L182" s="255" t="n"/>
      <c r="M182" s="255" t="n"/>
      <c r="N182" s="255" t="n"/>
      <c r="O182" s="255" t="n"/>
      <c r="P182" s="255" t="n"/>
      <c r="Q182" s="255" t="n"/>
      <c r="R182" s="255" t="n"/>
      <c r="S182" s="255" t="n"/>
      <c r="T182" s="255" t="n"/>
      <c r="U182" s="255" t="n"/>
    </row>
    <row r="186" ht="13.15" customHeight="1" s="1232">
      <c r="A186" s="1480" t="inlineStr">
        <is>
          <t>ELS</t>
        </is>
      </c>
      <c r="B186" s="1480" t="inlineStr">
        <is>
          <t>Daniel Kirkup</t>
        </is>
      </c>
      <c r="C186" s="255" t="n">
        <v>42583</v>
      </c>
      <c r="D186" s="1480" t="n">
        <v>100</v>
      </c>
      <c r="E186" s="1480" t="inlineStr">
        <is>
          <t>Paid</t>
        </is>
      </c>
    </row>
    <row r="187" ht="13.15" customHeight="1" s="1232">
      <c r="A187" s="1480" t="inlineStr">
        <is>
          <t>ELS</t>
        </is>
      </c>
      <c r="B187" s="1480" t="inlineStr">
        <is>
          <t>Ian Blake</t>
        </is>
      </c>
      <c r="C187" s="255" t="n">
        <v>42650</v>
      </c>
      <c r="D187" s="1480" t="n">
        <v>200</v>
      </c>
      <c r="E187" s="1480" t="inlineStr">
        <is>
          <t>1st Dec</t>
        </is>
      </c>
    </row>
    <row r="188" ht="13.15" customHeight="1" s="1232">
      <c r="A188" s="1480" t="inlineStr">
        <is>
          <t>ELS</t>
        </is>
      </c>
      <c r="B188" s="1480" t="inlineStr">
        <is>
          <t>Nigel Johnson</t>
        </is>
      </c>
      <c r="C188" s="255" t="n">
        <v>42650</v>
      </c>
      <c r="D188" s="1480" t="n">
        <v>200</v>
      </c>
      <c r="E188" s="1480" t="inlineStr">
        <is>
          <t>1st Dec</t>
        </is>
      </c>
    </row>
    <row r="189" ht="13.15" customHeight="1" s="1232">
      <c r="A189" s="1480" t="inlineStr">
        <is>
          <t>ELS</t>
        </is>
      </c>
      <c r="B189" s="1480" t="inlineStr">
        <is>
          <t>Ranjit Tattar</t>
        </is>
      </c>
      <c r="C189" s="255" t="n">
        <v>42650</v>
      </c>
      <c r="D189" s="1480" t="n">
        <v>50</v>
      </c>
      <c r="E189" s="1480" t="inlineStr">
        <is>
          <t>23rd Jan</t>
        </is>
      </c>
    </row>
    <row r="190" ht="13.15" customHeight="1" s="1232">
      <c r="A190" s="1480" t="inlineStr">
        <is>
          <t>ELS</t>
        </is>
      </c>
      <c r="B190" s="1480" t="inlineStr">
        <is>
          <t>Nigel Dockerty</t>
        </is>
      </c>
      <c r="C190" s="255" t="n">
        <v>42650</v>
      </c>
      <c r="D190" s="1480" t="n">
        <v>200</v>
      </c>
      <c r="E190" s="1480" t="inlineStr">
        <is>
          <t>23rd Jan</t>
        </is>
      </c>
    </row>
    <row r="191" ht="13.15" customHeight="1" s="1232">
      <c r="A191" s="1480" t="inlineStr">
        <is>
          <t>ELS</t>
        </is>
      </c>
      <c r="B191" s="1480" t="inlineStr">
        <is>
          <t>Andrew Johnson</t>
        </is>
      </c>
      <c r="C191" s="255" t="n">
        <v>42650</v>
      </c>
      <c r="D191" s="1480" t="n">
        <v>200</v>
      </c>
      <c r="E191" s="1480" t="inlineStr">
        <is>
          <t>23rd Jan</t>
        </is>
      </c>
    </row>
    <row r="192" ht="13.15" customHeight="1" s="1232">
      <c r="A192" s="1480" t="inlineStr">
        <is>
          <t>ELS</t>
        </is>
      </c>
      <c r="B192" s="1480" t="inlineStr">
        <is>
          <t>Susan Thompson</t>
        </is>
      </c>
      <c r="C192" s="255" t="n">
        <v>42705</v>
      </c>
      <c r="D192" s="1480" t="n">
        <v>200</v>
      </c>
      <c r="E192" s="1493" t="inlineStr">
        <is>
          <t>24 Feb</t>
        </is>
      </c>
    </row>
    <row r="194" ht="13.15" customHeight="1" s="1232">
      <c r="D194" s="1481">
        <f>SUM(D186:D193)</f>
        <v/>
      </c>
    </row>
  </sheetData>
  <hyperlinks>
    <hyperlink xmlns:r="http://schemas.openxmlformats.org/officeDocument/2006/relationships" ref="L27" display="mailto:mary.paterson@ymail.com" r:id="rId1"/>
    <hyperlink xmlns:r="http://schemas.openxmlformats.org/officeDocument/2006/relationships" ref="A47" r:id="rId2"/>
    <hyperlink xmlns:r="http://schemas.openxmlformats.org/officeDocument/2006/relationships" ref="A62" display="mailto:ickaohman@gmail.com" r:id="rId3"/>
    <hyperlink xmlns:r="http://schemas.openxmlformats.org/officeDocument/2006/relationships" ref="A66" r:id="rId4"/>
    <hyperlink xmlns:r="http://schemas.openxmlformats.org/officeDocument/2006/relationships" ref="A67" r:id="rId5"/>
    <hyperlink xmlns:r="http://schemas.openxmlformats.org/officeDocument/2006/relationships" ref="A70" r:id="rId6"/>
    <hyperlink xmlns:r="http://schemas.openxmlformats.org/officeDocument/2006/relationships" ref="A71" r:id="rId7"/>
    <hyperlink xmlns:r="http://schemas.openxmlformats.org/officeDocument/2006/relationships" ref="A72" r:id="rId8"/>
    <hyperlink xmlns:r="http://schemas.openxmlformats.org/officeDocument/2006/relationships" ref="A85" r:id="rId9"/>
    <hyperlink xmlns:r="http://schemas.openxmlformats.org/officeDocument/2006/relationships" ref="A86" r:id="rId10"/>
    <hyperlink xmlns:r="http://schemas.openxmlformats.org/officeDocument/2006/relationships" ref="A92" r:id="rId11"/>
    <hyperlink xmlns:r="http://schemas.openxmlformats.org/officeDocument/2006/relationships" ref="A93" r:id="rId12"/>
    <hyperlink xmlns:r="http://schemas.openxmlformats.org/officeDocument/2006/relationships" ref="A95" r:id="rId13"/>
    <hyperlink xmlns:r="http://schemas.openxmlformats.org/officeDocument/2006/relationships" ref="A98" r:id="rId14"/>
    <hyperlink xmlns:r="http://schemas.openxmlformats.org/officeDocument/2006/relationships" ref="A100" r:id="rId15"/>
    <hyperlink xmlns:r="http://schemas.openxmlformats.org/officeDocument/2006/relationships" ref="A101" r:id="rId16"/>
    <hyperlink xmlns:r="http://schemas.openxmlformats.org/officeDocument/2006/relationships" ref="A102" r:id="rId17"/>
    <hyperlink xmlns:r="http://schemas.openxmlformats.org/officeDocument/2006/relationships" ref="A104" r:id="rId18"/>
    <hyperlink xmlns:r="http://schemas.openxmlformats.org/officeDocument/2006/relationships" ref="A105" r:id="rId19"/>
    <hyperlink xmlns:r="http://schemas.openxmlformats.org/officeDocument/2006/relationships" ref="A106" r:id="rId20"/>
    <hyperlink xmlns:r="http://schemas.openxmlformats.org/officeDocument/2006/relationships" ref="A107" r:id="rId21"/>
    <hyperlink xmlns:r="http://schemas.openxmlformats.org/officeDocument/2006/relationships" ref="A108" r:id="rId22"/>
    <hyperlink xmlns:r="http://schemas.openxmlformats.org/officeDocument/2006/relationships" ref="A109" r:id="rId23"/>
    <hyperlink xmlns:r="http://schemas.openxmlformats.org/officeDocument/2006/relationships" ref="A110" r:id="rId24"/>
    <hyperlink xmlns:r="http://schemas.openxmlformats.org/officeDocument/2006/relationships" ref="A113" r:id="rId25"/>
    <hyperlink xmlns:r="http://schemas.openxmlformats.org/officeDocument/2006/relationships" ref="A114" r:id="rId26"/>
    <hyperlink xmlns:r="http://schemas.openxmlformats.org/officeDocument/2006/relationships" ref="A124" r:id="rId27"/>
    <hyperlink xmlns:r="http://schemas.openxmlformats.org/officeDocument/2006/relationships" ref="A125" r:id="rId28"/>
    <hyperlink xmlns:r="http://schemas.openxmlformats.org/officeDocument/2006/relationships" ref="A126" display="mailto:heathermarie412@hotmail.co.uk" r:id="rId29"/>
    <hyperlink xmlns:r="http://schemas.openxmlformats.org/officeDocument/2006/relationships" ref="A127" r:id="rId30"/>
    <hyperlink xmlns:r="http://schemas.openxmlformats.org/officeDocument/2006/relationships" ref="A129" r:id="rId31"/>
    <hyperlink xmlns:r="http://schemas.openxmlformats.org/officeDocument/2006/relationships" ref="A131" display="mailto:inwanderment@gmail.com" r:id="rId32"/>
    <hyperlink xmlns:r="http://schemas.openxmlformats.org/officeDocument/2006/relationships" ref="A132" display="mailto:inwanderment@gmail.com" r:id="rId33"/>
    <hyperlink xmlns:r="http://schemas.openxmlformats.org/officeDocument/2006/relationships" ref="A134" display="mailto:kamkaur7373@yahoo.com" r:id="rId34"/>
  </hyperlinks>
  <pageMargins left="0.25" right="0.25" top="0.75" bottom="0.75" header="0.3" footer="0.3"/>
  <pageSetup orientation="landscape" paperSize="9" scale="36"/>
</worksheet>
</file>

<file path=xl/worksheets/sheet23.xml><?xml version="1.0" encoding="utf-8"?>
<worksheet xmlns="http://schemas.openxmlformats.org/spreadsheetml/2006/main">
  <sheetPr>
    <outlinePr summaryBelow="1" summaryRight="1"/>
    <pageSetUpPr/>
  </sheetPr>
  <dimension ref="A2:I66"/>
  <sheetViews>
    <sheetView topLeftCell="A11" workbookViewId="0">
      <selection activeCell="E25" sqref="E25"/>
    </sheetView>
  </sheetViews>
  <sheetFormatPr baseColWidth="8" defaultColWidth="9.1328125" defaultRowHeight="12.75"/>
  <cols>
    <col width="9.1328125" customWidth="1" style="1260" min="1" max="1"/>
    <col width="27.86328125" bestFit="1" customWidth="1" style="1260" min="2" max="2"/>
    <col width="8.19921875" customWidth="1" style="1260" min="3" max="4"/>
    <col width="14.796875" customWidth="1" style="1260" min="5" max="5"/>
    <col width="14.6640625" customWidth="1" style="1260" min="6" max="6"/>
    <col width="14" bestFit="1" customWidth="1" style="1260" min="7" max="7"/>
    <col width="4.33203125" customWidth="1" style="1260" min="8" max="8"/>
    <col width="14.19921875" customWidth="1" style="1260" min="9" max="9"/>
    <col width="9.1328125" customWidth="1" style="1260" min="10" max="16384"/>
  </cols>
  <sheetData>
    <row r="2" ht="13.15" customHeight="1" s="1232" thickBot="1">
      <c r="E2" s="1511" t="inlineStr">
        <is>
          <t>Examples</t>
        </is>
      </c>
      <c r="F2" s="1247" t="n"/>
      <c r="G2" s="1512" t="n"/>
      <c r="I2" s="1513" t="inlineStr">
        <is>
          <t>Booking</t>
        </is>
      </c>
    </row>
    <row r="3" ht="26.25" customHeight="1" s="1232">
      <c r="B3" s="1268" t="inlineStr">
        <is>
          <t>Commercial Shoots - Costings</t>
        </is>
      </c>
      <c r="E3" s="1268" t="inlineStr">
        <is>
          <t>Alne Park</t>
        </is>
      </c>
      <c r="F3" s="1268" t="inlineStr">
        <is>
          <t>Austin B&amp;B</t>
        </is>
      </c>
      <c r="G3" s="1268" t="inlineStr">
        <is>
          <t>Bridge House</t>
        </is>
      </c>
      <c r="I3" s="1272" t="inlineStr">
        <is>
          <t>Henry Hinde Infant School</t>
        </is>
      </c>
    </row>
    <row r="4" ht="13.15" customHeight="1" s="1232">
      <c r="B4" s="1268" t="n"/>
      <c r="E4" s="1268" t="n"/>
      <c r="F4" s="1268" t="n"/>
      <c r="G4" s="1268" t="n"/>
      <c r="I4" s="1272" t="n"/>
    </row>
    <row r="5" ht="13.15" customHeight="1" s="1232">
      <c r="A5" s="1268" t="inlineStr">
        <is>
          <t>Costs</t>
        </is>
      </c>
      <c r="B5" s="1268" t="inlineStr">
        <is>
          <t>Package</t>
        </is>
      </c>
      <c r="E5" s="1268" t="inlineStr">
        <is>
          <t>Free Premium</t>
        </is>
      </c>
      <c r="F5" s="1268" t="inlineStr">
        <is>
          <t>Free Luxury</t>
        </is>
      </c>
      <c r="G5" s="1268" t="inlineStr">
        <is>
          <t>Free Special</t>
        </is>
      </c>
      <c r="I5" s="1272" t="inlineStr">
        <is>
          <t>Special Intro</t>
        </is>
      </c>
    </row>
    <row r="7">
      <c r="B7" s="1260" t="inlineStr">
        <is>
          <t>Hrly Rate</t>
        </is>
      </c>
      <c r="E7" s="1260" t="n">
        <v>35</v>
      </c>
      <c r="F7" s="1260" t="n">
        <v>35</v>
      </c>
      <c r="G7" s="1260" t="n">
        <v>35</v>
      </c>
      <c r="I7" s="1260" t="n">
        <v>40</v>
      </c>
    </row>
    <row r="8">
      <c r="B8" s="1260" t="inlineStr">
        <is>
          <t>Mileage Rate</t>
        </is>
      </c>
      <c r="E8" s="1260" t="n">
        <v>0.5</v>
      </c>
      <c r="F8" s="1260" t="n">
        <v>0.5</v>
      </c>
      <c r="G8" s="1260" t="n">
        <v>0.5</v>
      </c>
      <c r="I8" s="1260" t="n">
        <v>0.5</v>
      </c>
    </row>
    <row r="9">
      <c r="B9" s="1260" t="inlineStr">
        <is>
          <t>Travel Time</t>
        </is>
      </c>
      <c r="E9" s="1514" t="n">
        <v>1.25</v>
      </c>
      <c r="F9" s="1514" t="n">
        <v>0.75</v>
      </c>
      <c r="G9" s="1514" t="n">
        <v>1</v>
      </c>
      <c r="I9" s="1514" t="n">
        <v>1.25</v>
      </c>
    </row>
    <row r="10">
      <c r="B10" s="1260" t="inlineStr">
        <is>
          <t>Travel Miles</t>
        </is>
      </c>
      <c r="E10" s="1514" t="n">
        <v>55</v>
      </c>
      <c r="F10" s="1514" t="n">
        <v>35</v>
      </c>
      <c r="G10" s="1514" t="n">
        <v>40</v>
      </c>
      <c r="I10" s="1514" t="n">
        <v>50</v>
      </c>
    </row>
    <row r="11">
      <c r="B11" s="1260" t="inlineStr">
        <is>
          <t>On site time</t>
        </is>
      </c>
      <c r="E11" s="1514" t="n">
        <v>2</v>
      </c>
      <c r="F11" s="1514" t="n">
        <v>1.5</v>
      </c>
      <c r="G11" s="1514" t="n">
        <v>0.75</v>
      </c>
      <c r="I11" s="1514" t="n">
        <v>3</v>
      </c>
    </row>
    <row r="12">
      <c r="B12" s="1260" t="inlineStr">
        <is>
          <t>Editing Hrs</t>
        </is>
      </c>
      <c r="E12" s="1514" t="n">
        <v>2</v>
      </c>
      <c r="F12" s="1514" t="n">
        <v>3</v>
      </c>
      <c r="G12" s="1514" t="n">
        <v>1.3</v>
      </c>
      <c r="I12" s="1514" t="n">
        <v>2.5</v>
      </c>
    </row>
    <row r="13">
      <c r="B13" s="1260" t="inlineStr">
        <is>
          <t>No' Photos</t>
        </is>
      </c>
      <c r="E13" s="1514" t="n">
        <v>15</v>
      </c>
      <c r="F13" s="1514" t="n">
        <v>25</v>
      </c>
      <c r="G13" s="1514" t="n">
        <v>12</v>
      </c>
      <c r="I13" s="1514" t="n">
        <v>20</v>
      </c>
    </row>
    <row r="14">
      <c r="B14" s="1260" t="inlineStr">
        <is>
          <t>Admin/Publishing</t>
        </is>
      </c>
      <c r="E14" s="1514" t="n">
        <v>0.5</v>
      </c>
      <c r="F14" s="1514" t="n">
        <v>0.5</v>
      </c>
      <c r="G14" s="1514" t="n">
        <v>0.5</v>
      </c>
      <c r="I14" s="1514" t="n">
        <v>0.5</v>
      </c>
    </row>
    <row r="15">
      <c r="E15" s="1514" t="n"/>
      <c r="F15" s="1514" t="n"/>
      <c r="G15" s="1514" t="n"/>
      <c r="I15" s="1514" t="n"/>
    </row>
    <row r="16">
      <c r="B16" s="1260" t="inlineStr">
        <is>
          <t>Shot/Edit Time per Photo (mins)</t>
        </is>
      </c>
      <c r="E16" s="1514">
        <f>(E11+E12)/E13*60</f>
        <v/>
      </c>
      <c r="F16" s="1514">
        <f>(F11+F12)/F13*60</f>
        <v/>
      </c>
      <c r="G16" s="1514">
        <f>(G11+G12)/G13*60</f>
        <v/>
      </c>
      <c r="I16" s="1514">
        <f>(I11+I12)/I13*60</f>
        <v/>
      </c>
    </row>
    <row r="17">
      <c r="B17" s="1260" t="inlineStr">
        <is>
          <t>Coster per photo - Shoot &amp; Edit</t>
        </is>
      </c>
      <c r="E17" s="1515">
        <f>(E7/60)*E16</f>
        <v/>
      </c>
      <c r="F17" s="1515">
        <f>(F7/60)*F16</f>
        <v/>
      </c>
      <c r="G17" s="1515">
        <f>(G7/60)*G16</f>
        <v/>
      </c>
      <c r="I17" s="1515">
        <f>(I7/60)*I16</f>
        <v/>
      </c>
    </row>
    <row r="19">
      <c r="B19" s="1260" t="inlineStr">
        <is>
          <t>Mileage</t>
        </is>
      </c>
      <c r="E19" s="1260">
        <f>E8*E10</f>
        <v/>
      </c>
      <c r="F19" s="1260">
        <f>F8*F10</f>
        <v/>
      </c>
      <c r="G19" s="1260">
        <f>G8*G10</f>
        <v/>
      </c>
      <c r="I19" s="1260">
        <f>I8*I10</f>
        <v/>
      </c>
    </row>
    <row r="20">
      <c r="B20" s="1260" t="inlineStr">
        <is>
          <t>Time Travel</t>
        </is>
      </c>
      <c r="E20" s="1260">
        <f>E9*E7</f>
        <v/>
      </c>
      <c r="F20" s="1260">
        <f>F9*F7</f>
        <v/>
      </c>
      <c r="G20" s="1260">
        <f>G9*G7</f>
        <v/>
      </c>
      <c r="I20" s="1260">
        <f>I9*I7</f>
        <v/>
      </c>
    </row>
    <row r="21">
      <c r="B21" s="1260" t="inlineStr">
        <is>
          <t>Time Shooting</t>
        </is>
      </c>
      <c r="E21" s="1260">
        <f>E11*E7</f>
        <v/>
      </c>
      <c r="F21" s="1260">
        <f>F11*F7</f>
        <v/>
      </c>
      <c r="G21" s="1260">
        <f>G11*G7</f>
        <v/>
      </c>
      <c r="I21" s="1260">
        <f>I11*I7</f>
        <v/>
      </c>
    </row>
    <row r="22">
      <c r="B22" s="1260" t="inlineStr">
        <is>
          <t>Time Editing</t>
        </is>
      </c>
      <c r="E22" s="1260">
        <f>E12*E7</f>
        <v/>
      </c>
      <c r="F22" s="1260">
        <f>F12*F7</f>
        <v/>
      </c>
      <c r="G22" s="1260">
        <f>G12*G7</f>
        <v/>
      </c>
      <c r="I22" s="1260">
        <f>I12*I7</f>
        <v/>
      </c>
    </row>
    <row r="23">
      <c r="B23" s="1260" t="inlineStr">
        <is>
          <t>Time Admin</t>
        </is>
      </c>
      <c r="E23" s="1260">
        <f>E14*E7</f>
        <v/>
      </c>
      <c r="F23" s="1260">
        <f>F14*F7</f>
        <v/>
      </c>
      <c r="G23" s="1260">
        <f>G14*G7</f>
        <v/>
      </c>
      <c r="I23" s="1260">
        <f>I14*I7</f>
        <v/>
      </c>
    </row>
    <row r="24" ht="13.15" customHeight="1" s="1232">
      <c r="B24" s="1268" t="inlineStr">
        <is>
          <t>Total Time</t>
        </is>
      </c>
      <c r="E24" s="1472">
        <f>E9+E11+E12+E14</f>
        <v/>
      </c>
      <c r="F24" s="1472">
        <f>F9+F11+F12+F14</f>
        <v/>
      </c>
      <c r="G24" s="1472">
        <f>G9+G11+G12+G14</f>
        <v/>
      </c>
    </row>
    <row r="25" ht="13.15" customHeight="1" s="1232">
      <c r="B25" s="1268" t="inlineStr">
        <is>
          <t>Cost</t>
        </is>
      </c>
      <c r="C25" s="1268" t="n"/>
      <c r="E25" s="1268">
        <f>SUM(E19:E24)</f>
        <v/>
      </c>
      <c r="F25" s="1268">
        <f>SUM(F19:F24)</f>
        <v/>
      </c>
      <c r="G25" s="1268">
        <f>SUM(G19:G24)</f>
        <v/>
      </c>
      <c r="I25" s="1268">
        <f>SUM(I19:I24)</f>
        <v/>
      </c>
    </row>
    <row r="27" ht="13.15" customHeight="1" s="1232">
      <c r="B27" s="1268" t="inlineStr">
        <is>
          <t>Cost per photo</t>
        </is>
      </c>
      <c r="C27" s="1268" t="n"/>
      <c r="E27" s="1268">
        <f>E25/E13</f>
        <v/>
      </c>
      <c r="F27" s="1268">
        <f>F25/F13</f>
        <v/>
      </c>
      <c r="G27" s="1268">
        <f>G25/G13</f>
        <v/>
      </c>
      <c r="I27" s="1268">
        <f>I25/I13</f>
        <v/>
      </c>
    </row>
    <row r="28" ht="13.15" customHeight="1" s="1232">
      <c r="B28" s="1268" t="n"/>
      <c r="C28" s="1268" t="n"/>
      <c r="D28" s="1268" t="n"/>
      <c r="E28" s="1268" t="n"/>
      <c r="F28" s="1268" t="n"/>
      <c r="G28" s="1268" t="n"/>
    </row>
    <row r="29" ht="13.15" customHeight="1" s="1232">
      <c r="E29" s="1268" t="n"/>
      <c r="F29" s="1268" t="n"/>
      <c r="G29" s="1268" t="n"/>
    </row>
    <row r="30" ht="13.15" customHeight="1" s="1232">
      <c r="A30" s="1268" t="inlineStr">
        <is>
          <t>Selling</t>
        </is>
      </c>
      <c r="B30" s="1268" t="inlineStr">
        <is>
          <t>Packages</t>
        </is>
      </c>
      <c r="C30" s="1268" t="inlineStr">
        <is>
          <t>Time</t>
        </is>
      </c>
      <c r="D30" s="1268" t="n"/>
      <c r="E30" s="1321" t="inlineStr">
        <is>
          <t>Luxury</t>
        </is>
      </c>
      <c r="F30" s="1321" t="inlineStr">
        <is>
          <t>Premium</t>
        </is>
      </c>
      <c r="G30" s="1321" t="inlineStr">
        <is>
          <t>Special</t>
        </is>
      </c>
      <c r="I30" s="1268" t="inlineStr">
        <is>
          <t>Price Agreed</t>
        </is>
      </c>
    </row>
    <row r="33">
      <c r="B33" s="1260" t="inlineStr">
        <is>
          <t>Photos Qty</t>
        </is>
      </c>
      <c r="C33" s="1394" t="n"/>
      <c r="D33" s="1394" t="n"/>
      <c r="E33" s="55" t="n">
        <v>40</v>
      </c>
      <c r="F33" s="55" t="n">
        <v>25</v>
      </c>
      <c r="G33" s="55" t="n">
        <v>10</v>
      </c>
      <c r="H33" s="55" t="n"/>
      <c r="I33" s="55">
        <f>I13</f>
        <v/>
      </c>
    </row>
    <row r="34">
      <c r="B34" s="1260" t="inlineStr">
        <is>
          <t>Total Cost</t>
        </is>
      </c>
      <c r="C34" s="1394" t="n"/>
      <c r="D34" s="1394" t="n"/>
      <c r="E34" s="1515">
        <f>(E25/E13)*E33</f>
        <v/>
      </c>
      <c r="F34" s="1515">
        <f>(F25/F13)*F33</f>
        <v/>
      </c>
      <c r="G34" s="1515">
        <f>(G25/G13)*G33</f>
        <v/>
      </c>
      <c r="I34" s="1515">
        <f>I25</f>
        <v/>
      </c>
    </row>
    <row r="35">
      <c r="B35" s="1260" t="inlineStr">
        <is>
          <t>Travel Cost Miles &amp; Time</t>
        </is>
      </c>
      <c r="C35" s="1394" t="n"/>
      <c r="D35" s="1394" t="n"/>
      <c r="E35" s="1515">
        <f>E19+E20</f>
        <v/>
      </c>
      <c r="F35" s="1515">
        <f>F19+F20</f>
        <v/>
      </c>
      <c r="G35" s="1515">
        <f>G19+G20</f>
        <v/>
      </c>
      <c r="I35" s="1515" t="n"/>
    </row>
    <row r="36">
      <c r="C36" s="1394" t="n"/>
      <c r="D36" s="1394" t="n"/>
      <c r="E36" s="1515" t="n"/>
      <c r="F36" s="1515" t="n"/>
      <c r="G36" s="1515" t="n"/>
      <c r="I36" s="1515" t="n"/>
    </row>
    <row r="37" ht="13.15" customHeight="1" s="1232">
      <c r="B37" s="1268" t="inlineStr">
        <is>
          <t>Cost Less Travel</t>
        </is>
      </c>
      <c r="C37" s="1268" t="n"/>
      <c r="D37" s="1268" t="n"/>
      <c r="E37" s="1268">
        <f>E34-E19-E20</f>
        <v/>
      </c>
      <c r="F37" s="1268">
        <f>F34-F19-F20</f>
        <v/>
      </c>
      <c r="G37" s="1268">
        <f>G34-G19-G20</f>
        <v/>
      </c>
      <c r="H37" s="1268" t="n"/>
      <c r="I37" s="1268">
        <f>I25-I19-I20</f>
        <v/>
      </c>
    </row>
    <row r="38">
      <c r="B38" s="1260" t="inlineStr">
        <is>
          <t>Cost per photo</t>
        </is>
      </c>
      <c r="C38" s="1394" t="n"/>
      <c r="D38" s="1394" t="n"/>
      <c r="E38" s="1515">
        <f>E34/E33</f>
        <v/>
      </c>
      <c r="F38" s="1515">
        <f>F34/F33</f>
        <v/>
      </c>
      <c r="G38" s="1515">
        <f>G34/G33</f>
        <v/>
      </c>
      <c r="I38" s="1515">
        <f>I34/I33</f>
        <v/>
      </c>
    </row>
    <row r="39">
      <c r="B39" s="1260" t="inlineStr">
        <is>
          <t>Hrs for job</t>
        </is>
      </c>
      <c r="E39" s="1514">
        <f>(E9+E11+E12+E14)/E13*E33</f>
        <v/>
      </c>
      <c r="F39" s="1514">
        <f>(F9+F11+F12+F14)/F13*F33</f>
        <v/>
      </c>
      <c r="G39" s="1514">
        <f>(G9+G11+G12+G14)/G13*G33</f>
        <v/>
      </c>
      <c r="I39" s="1260">
        <f>I9+I11+I12+I14</f>
        <v/>
      </c>
    </row>
    <row r="41" ht="13.15" customHeight="1" s="1232">
      <c r="B41" s="1268" t="inlineStr">
        <is>
          <t>Package Price</t>
        </is>
      </c>
      <c r="E41" s="1260" t="n">
        <v>299</v>
      </c>
      <c r="F41" s="1260" t="n">
        <v>199</v>
      </c>
      <c r="G41" s="1260" t="n">
        <v>99</v>
      </c>
      <c r="I41" s="1260" t="n">
        <v>240</v>
      </c>
    </row>
    <row r="43">
      <c r="B43" s="1260" t="inlineStr">
        <is>
          <t>Sale price per photo</t>
        </is>
      </c>
      <c r="E43" s="1260">
        <f>E41/E33</f>
        <v/>
      </c>
      <c r="F43" s="1260">
        <f>F41/F33</f>
        <v/>
      </c>
      <c r="G43" s="1260">
        <f>G41/G33</f>
        <v/>
      </c>
      <c r="I43" s="1260">
        <f>I41/I33</f>
        <v/>
      </c>
    </row>
    <row r="44">
      <c r="B44" s="1260" t="inlineStr">
        <is>
          <t>Margin per photo</t>
        </is>
      </c>
      <c r="E44" s="1260">
        <f>(E43-E38)/E33</f>
        <v/>
      </c>
      <c r="F44" s="1260">
        <f>(F43-F38)/F33</f>
        <v/>
      </c>
      <c r="G44" s="1260">
        <f>(G43-G38)/G33</f>
        <v/>
      </c>
      <c r="I44" s="1260">
        <f>(I43-I38)/I33</f>
        <v/>
      </c>
    </row>
    <row r="45">
      <c r="B45" s="1260" t="inlineStr">
        <is>
          <t>Margin on package</t>
        </is>
      </c>
      <c r="E45" s="1260">
        <f>E41-E34</f>
        <v/>
      </c>
      <c r="F45" s="1260">
        <f>F41-F34</f>
        <v/>
      </c>
      <c r="G45" s="1260">
        <f>G41-G34</f>
        <v/>
      </c>
      <c r="I45" s="1260">
        <f>I41-I34</f>
        <v/>
      </c>
    </row>
    <row r="47">
      <c r="B47" s="1260" t="inlineStr">
        <is>
          <t>Hrly Rate</t>
        </is>
      </c>
      <c r="E47" s="1260">
        <f>E41/E39</f>
        <v/>
      </c>
      <c r="F47" s="1260">
        <f>F41/F39</f>
        <v/>
      </c>
      <c r="G47" s="1260">
        <f>G41/G39</f>
        <v/>
      </c>
      <c r="I47" s="1260">
        <f>I41/I39</f>
        <v/>
      </c>
    </row>
    <row r="49">
      <c r="B49" s="1260" t="inlineStr">
        <is>
          <t>Miles Rate</t>
        </is>
      </c>
    </row>
    <row r="50">
      <c r="B50" s="1260" t="inlineStr">
        <is>
          <t>time per mile</t>
        </is>
      </c>
      <c r="C50" s="1514" t="n">
        <v>1.5</v>
      </c>
      <c r="D50" s="1260">
        <f>(E7/60)*C50</f>
        <v/>
      </c>
    </row>
    <row r="51">
      <c r="B51" s="1260" t="inlineStr">
        <is>
          <t>Mileage Rate per mile</t>
        </is>
      </c>
      <c r="D51" s="1260" t="n">
        <v>0.5</v>
      </c>
    </row>
    <row r="53" ht="13.15" customHeight="1" s="1232">
      <c r="B53" s="1268" t="inlineStr">
        <is>
          <t>Cost per mile - time &amp; fuel</t>
        </is>
      </c>
      <c r="C53" s="1268" t="n"/>
      <c r="D53" s="1268">
        <f>D50+D51</f>
        <v/>
      </c>
    </row>
    <row r="56" ht="13.15" customHeight="1" s="1232">
      <c r="B56" s="1268" t="inlineStr">
        <is>
          <t>Alternate Package Pricing (exc travel)</t>
        </is>
      </c>
      <c r="E56" s="1321" t="inlineStr">
        <is>
          <t>Luxury</t>
        </is>
      </c>
      <c r="F56" s="1321" t="inlineStr">
        <is>
          <t>Premium</t>
        </is>
      </c>
      <c r="G56" s="1321" t="inlineStr">
        <is>
          <t>Special</t>
        </is>
      </c>
    </row>
    <row r="58">
      <c r="B58" s="1260" t="inlineStr">
        <is>
          <t>Photos Qty</t>
        </is>
      </c>
      <c r="C58" s="1394" t="n"/>
      <c r="D58" s="1394" t="n"/>
      <c r="E58" s="55" t="n">
        <v>40</v>
      </c>
      <c r="F58" s="55" t="n">
        <v>25</v>
      </c>
      <c r="G58" s="55" t="n">
        <v>10</v>
      </c>
    </row>
    <row r="59" ht="13.15" customHeight="1" s="1232">
      <c r="B59" s="1260" t="inlineStr">
        <is>
          <t>Total Cost</t>
        </is>
      </c>
      <c r="C59" s="1394" t="n"/>
      <c r="D59" s="1394" t="n"/>
      <c r="E59" s="1516">
        <f>E37</f>
        <v/>
      </c>
      <c r="F59" s="1516">
        <f>F37</f>
        <v/>
      </c>
      <c r="G59" s="1516">
        <f>G37</f>
        <v/>
      </c>
    </row>
    <row r="60">
      <c r="B60" s="1260" t="inlineStr">
        <is>
          <t>Plus Travel Cost @ 1.38 per mile</t>
        </is>
      </c>
      <c r="C60" s="1394" t="n"/>
      <c r="D60" s="1394" t="n"/>
      <c r="E60" s="1515" t="n"/>
      <c r="F60" s="1515" t="n"/>
      <c r="G60" s="1515" t="n"/>
    </row>
    <row r="62" ht="13.15" customHeight="1" s="1232">
      <c r="B62" s="1268" t="inlineStr">
        <is>
          <t>Package Price</t>
        </is>
      </c>
      <c r="E62" s="1260" t="n">
        <v>299</v>
      </c>
      <c r="F62" s="1260" t="n">
        <v>199</v>
      </c>
      <c r="G62" s="1260" t="n">
        <v>99</v>
      </c>
    </row>
    <row r="64">
      <c r="B64" s="1260" t="inlineStr">
        <is>
          <t>Sale price per photo</t>
        </is>
      </c>
      <c r="E64" s="1260">
        <f>E62/E58</f>
        <v/>
      </c>
      <c r="F64" s="1260">
        <f>F62/F58</f>
        <v/>
      </c>
      <c r="G64" s="1260">
        <f>G62/G58</f>
        <v/>
      </c>
    </row>
    <row r="65">
      <c r="B65" s="1260" t="inlineStr">
        <is>
          <t>Margin per photo</t>
        </is>
      </c>
      <c r="E65" s="1260">
        <f>E62-E62</f>
        <v/>
      </c>
      <c r="F65" s="1260">
        <f>F62-F62</f>
        <v/>
      </c>
      <c r="G65" s="1260">
        <f>G62-G62</f>
        <v/>
      </c>
    </row>
    <row r="66">
      <c r="B66" s="1260" t="inlineStr">
        <is>
          <t>Margin on package</t>
        </is>
      </c>
      <c r="E66" s="1260">
        <f>E62-E59</f>
        <v/>
      </c>
      <c r="F66" s="1260">
        <f>F62-F59</f>
        <v/>
      </c>
      <c r="G66" s="1260">
        <f>G62-G59</f>
        <v/>
      </c>
    </row>
  </sheetData>
  <mergeCells count="1">
    <mergeCell ref="E2:G2"/>
  </mergeCells>
  <conditionalFormatting sqref="E41:H45">
    <cfRule type="cellIs" priority="6" operator="lessThan" dxfId="1">
      <formula>0</formula>
    </cfRule>
  </conditionalFormatting>
  <conditionalFormatting sqref="E43:H46">
    <cfRule type="cellIs" priority="5" operator="greaterThan" dxfId="0">
      <formula>0</formula>
    </cfRule>
  </conditionalFormatting>
  <conditionalFormatting sqref="I41:I45">
    <cfRule type="cellIs" priority="4" operator="lessThan" dxfId="1">
      <formula>0</formula>
    </cfRule>
  </conditionalFormatting>
  <conditionalFormatting sqref="I43:I46">
    <cfRule type="cellIs" priority="3" operator="greaterThan" dxfId="0">
      <formula>0</formula>
    </cfRule>
  </conditionalFormatting>
  <conditionalFormatting sqref="E62:G66">
    <cfRule type="cellIs" priority="2" operator="lessThan" dxfId="1">
      <formula>0</formula>
    </cfRule>
  </conditionalFormatting>
  <conditionalFormatting sqref="E64:G66">
    <cfRule type="cellIs" priority="1" operator="greaterThan" dxfId="0">
      <formula>0</formula>
    </cfRule>
  </conditionalFormatting>
  <pageMargins left="0.7" right="0.7" top="0.75" bottom="0.75" header="0.3" footer="0.3"/>
  <pageSetup orientation="portrait" paperSize="9"/>
</worksheet>
</file>

<file path=xl/worksheets/sheet24.xml><?xml version="1.0" encoding="utf-8"?>
<worksheet xmlns="http://schemas.openxmlformats.org/spreadsheetml/2006/main">
  <sheetPr>
    <tabColor rgb="FFFF66FF"/>
    <outlinePr summaryBelow="1" summaryRight="1"/>
    <pageSetUpPr/>
  </sheetPr>
  <dimension ref="A3:S84"/>
  <sheetViews>
    <sheetView workbookViewId="0">
      <selection activeCell="G46" sqref="G46"/>
    </sheetView>
  </sheetViews>
  <sheetFormatPr baseColWidth="8" defaultRowHeight="12.75"/>
  <cols>
    <col width="14.86328125" bestFit="1" customWidth="1" style="1232" min="1" max="1"/>
    <col width="27.796875" customWidth="1" style="1232" min="2" max="2"/>
    <col width="9" bestFit="1" customWidth="1" style="1232" min="3" max="3"/>
    <col width="11.33203125" customWidth="1" style="1232" min="4" max="9"/>
    <col width="8.796875" bestFit="1" customWidth="1" style="1232" min="11" max="11"/>
    <col width="27.19921875" bestFit="1" customWidth="1" style="1232" min="12" max="12"/>
    <col width="8.46484375" bestFit="1" customWidth="1" style="1232" min="13" max="14"/>
    <col width="9" bestFit="1" customWidth="1" style="1232" min="15" max="15"/>
    <col width="10" bestFit="1" customWidth="1" style="1232" min="16" max="19"/>
  </cols>
  <sheetData>
    <row r="3">
      <c r="B3" s="1260" t="inlineStr">
        <is>
          <t>Card Fees</t>
        </is>
      </c>
      <c r="C3" s="1517" t="n">
        <v>0.025</v>
      </c>
    </row>
    <row r="4">
      <c r="B4" s="1260" t="inlineStr">
        <is>
          <t>Petrol per day</t>
        </is>
      </c>
      <c r="C4" s="1260" t="n">
        <v>50</v>
      </c>
    </row>
    <row r="5">
      <c r="B5" s="1260" t="inlineStr">
        <is>
          <t>My food per day</t>
        </is>
      </c>
      <c r="C5" s="1260" t="n">
        <v>50</v>
      </c>
    </row>
    <row r="6">
      <c r="B6" s="1260" t="inlineStr">
        <is>
          <t>Car Hire Per day</t>
        </is>
      </c>
      <c r="C6" s="1260" t="n">
        <v>175</v>
      </c>
    </row>
    <row r="7">
      <c r="B7" s="1249" t="inlineStr">
        <is>
          <t>Central Admin Cost</t>
        </is>
      </c>
      <c r="C7" s="1250" t="n">
        <v>75</v>
      </c>
    </row>
    <row r="8">
      <c r="B8" s="1260" t="inlineStr">
        <is>
          <t>Hourly Rate</t>
        </is>
      </c>
      <c r="C8" s="1260" t="n">
        <v>30</v>
      </c>
    </row>
    <row r="9">
      <c r="C9" s="1249" t="inlineStr">
        <is>
          <t>.</t>
        </is>
      </c>
    </row>
    <row r="11" ht="11.45" customHeight="1" s="1232"/>
    <row r="12" ht="14.45" customHeight="1" s="1232">
      <c r="A12" s="1249" t="inlineStr">
        <is>
          <t>Location</t>
        </is>
      </c>
      <c r="B12" s="1468" t="inlineStr">
        <is>
          <t>Residential</t>
        </is>
      </c>
      <c r="C12" s="51" t="inlineStr">
        <is>
          <t>Clients:</t>
        </is>
      </c>
      <c r="D12" s="810" t="n">
        <v>1</v>
      </c>
      <c r="E12" s="810" t="n">
        <v>2</v>
      </c>
      <c r="F12" s="888" t="n">
        <v>3</v>
      </c>
      <c r="G12" s="810" t="n">
        <v>4</v>
      </c>
      <c r="H12" s="978" t="n">
        <v>5</v>
      </c>
      <c r="I12" s="978" t="n">
        <v>6</v>
      </c>
      <c r="K12" s="1249" t="inlineStr">
        <is>
          <t>Location</t>
        </is>
      </c>
      <c r="L12" s="1468" t="inlineStr">
        <is>
          <t>2.5hr- 1Day</t>
        </is>
      </c>
      <c r="M12" s="51" t="inlineStr">
        <is>
          <t>Clients:</t>
        </is>
      </c>
      <c r="N12" s="810" t="n">
        <v>1</v>
      </c>
      <c r="O12" s="810" t="n">
        <v>2</v>
      </c>
      <c r="P12" s="888" t="n">
        <v>3</v>
      </c>
      <c r="Q12" s="810" t="n">
        <v>4</v>
      </c>
      <c r="R12" s="810" t="n">
        <v>5</v>
      </c>
      <c r="S12" s="810" t="n">
        <v>6</v>
      </c>
    </row>
    <row r="13" ht="14.45" customHeight="1" s="1232">
      <c r="B13" s="1518" t="inlineStr">
        <is>
          <t>Nights</t>
        </is>
      </c>
      <c r="C13" s="813" t="n">
        <v>1</v>
      </c>
      <c r="D13" s="51" t="n"/>
      <c r="E13" s="51" t="n"/>
      <c r="F13" s="889" t="n"/>
      <c r="G13" s="51" t="n"/>
      <c r="H13" s="65" t="n"/>
      <c r="I13" s="65" t="n"/>
      <c r="L13" s="1518" t="inlineStr">
        <is>
          <t>Nights</t>
        </is>
      </c>
      <c r="M13" s="813" t="n">
        <v>0</v>
      </c>
      <c r="N13" s="51" t="n"/>
      <c r="O13" s="51" t="n"/>
      <c r="P13" s="889" t="n"/>
      <c r="Q13" s="51" t="n"/>
      <c r="R13" s="51" t="n"/>
      <c r="S13" s="51" t="n"/>
    </row>
    <row r="14" ht="14.45" customHeight="1" s="1232">
      <c r="B14" s="1518" t="inlineStr">
        <is>
          <t>Days</t>
        </is>
      </c>
      <c r="C14" s="813" t="n">
        <v>2</v>
      </c>
      <c r="D14" s="51" t="n"/>
      <c r="E14" s="51" t="n"/>
      <c r="F14" s="889" t="n"/>
      <c r="G14" s="51" t="n"/>
      <c r="H14" s="65" t="n"/>
      <c r="I14" s="65" t="n"/>
      <c r="L14" s="1518" t="inlineStr">
        <is>
          <t>Days</t>
        </is>
      </c>
      <c r="M14" s="813" t="n">
        <v>1</v>
      </c>
      <c r="N14" s="51" t="n"/>
      <c r="O14" s="51" t="n"/>
      <c r="P14" s="889" t="n"/>
      <c r="Q14" s="51" t="n"/>
      <c r="R14" s="51" t="n"/>
      <c r="S14" s="51" t="n"/>
    </row>
    <row r="15" ht="14.45" customHeight="1" s="1232">
      <c r="B15" s="1260" t="inlineStr">
        <is>
          <t>Revenue</t>
        </is>
      </c>
      <c r="C15" s="1519" t="n">
        <v>695</v>
      </c>
      <c r="D15" s="1394">
        <f>$C15*D12</f>
        <v/>
      </c>
      <c r="E15" s="1394">
        <f>$C15*E12</f>
        <v/>
      </c>
      <c r="F15" s="1404">
        <f>$C15*F12</f>
        <v/>
      </c>
      <c r="G15" s="1394">
        <f>$C15*G12</f>
        <v/>
      </c>
      <c r="H15" s="1469">
        <f>$C15*H12</f>
        <v/>
      </c>
      <c r="I15" s="1469">
        <f>$C15*I12</f>
        <v/>
      </c>
      <c r="L15" s="1260" t="inlineStr">
        <is>
          <t>Revenue</t>
        </is>
      </c>
      <c r="M15" s="1519" t="n">
        <v>99</v>
      </c>
      <c r="N15" s="1394">
        <f>$M15*N12</f>
        <v/>
      </c>
      <c r="O15" s="1394">
        <f>$M15*O12</f>
        <v/>
      </c>
      <c r="P15" s="1394">
        <f>$M15*P12</f>
        <v/>
      </c>
      <c r="Q15" s="1394">
        <f>$M15*Q12</f>
        <v/>
      </c>
      <c r="R15" s="1394">
        <f>$M15*R12</f>
        <v/>
      </c>
      <c r="S15" s="1394">
        <f>$M15*S12</f>
        <v/>
      </c>
    </row>
    <row r="16" ht="14.45" customHeight="1" s="1232">
      <c r="B16" s="1260" t="inlineStr">
        <is>
          <t>Discount Risk</t>
        </is>
      </c>
      <c r="C16" s="64" t="n">
        <v>0.05</v>
      </c>
      <c r="D16" s="1467">
        <f>D15*$C16</f>
        <v/>
      </c>
      <c r="E16" s="1467">
        <f>E15*$C16</f>
        <v/>
      </c>
      <c r="F16" s="1520">
        <f>F15*$C16</f>
        <v/>
      </c>
      <c r="G16" s="1467">
        <f>G15*$C16</f>
        <v/>
      </c>
      <c r="H16" s="1521">
        <f>H15*$C16</f>
        <v/>
      </c>
      <c r="I16" s="1521">
        <f>I15*$C16</f>
        <v/>
      </c>
      <c r="L16" s="1260" t="inlineStr">
        <is>
          <t>Discount Risk</t>
        </is>
      </c>
      <c r="M16" s="64" t="n">
        <v>0.1</v>
      </c>
      <c r="N16" s="1467">
        <f>N15*$C16</f>
        <v/>
      </c>
      <c r="O16" s="1467">
        <f>O15*$C16</f>
        <v/>
      </c>
      <c r="P16" s="1520">
        <f>P15*$C16</f>
        <v/>
      </c>
      <c r="Q16" s="1467">
        <f>Q15*$C16</f>
        <v/>
      </c>
      <c r="R16" s="1467">
        <f>R15*$C16</f>
        <v/>
      </c>
      <c r="S16" s="1467">
        <f>S15*$C16</f>
        <v/>
      </c>
    </row>
    <row r="17" ht="14.45" customHeight="1" s="1232">
      <c r="B17" s="1268" t="inlineStr">
        <is>
          <t>Net Revenue</t>
        </is>
      </c>
      <c r="C17" s="1472" t="n"/>
      <c r="D17" s="1473">
        <f>D15-D16</f>
        <v/>
      </c>
      <c r="E17" s="1473">
        <f>E15-E16</f>
        <v/>
      </c>
      <c r="F17" s="1522">
        <f>F15-F16</f>
        <v/>
      </c>
      <c r="G17" s="1473">
        <f>G15-G16</f>
        <v/>
      </c>
      <c r="H17" s="1523">
        <f>H15-H16</f>
        <v/>
      </c>
      <c r="I17" s="1523">
        <f>I15-I16</f>
        <v/>
      </c>
      <c r="L17" s="1268" t="inlineStr">
        <is>
          <t>Net Revenue</t>
        </is>
      </c>
      <c r="M17" s="1472" t="n"/>
      <c r="N17" s="1473">
        <f>N15-N16</f>
        <v/>
      </c>
      <c r="O17" s="1473">
        <f>O15-O16</f>
        <v/>
      </c>
      <c r="P17" s="1522">
        <f>P15-P16</f>
        <v/>
      </c>
      <c r="Q17" s="1473">
        <f>Q15-Q16</f>
        <v/>
      </c>
      <c r="R17" s="1473">
        <f>R15-R16</f>
        <v/>
      </c>
      <c r="S17" s="1473">
        <f>S15-S16</f>
        <v/>
      </c>
    </row>
    <row r="18" ht="14.45" customHeight="1" s="1232">
      <c r="B18" s="1260" t="n"/>
      <c r="C18" s="1260" t="n"/>
      <c r="D18" s="1260" t="n"/>
      <c r="E18" s="1260" t="n"/>
      <c r="F18" s="1404" t="n"/>
      <c r="G18" s="1394" t="n"/>
      <c r="H18" s="1469" t="n"/>
      <c r="I18" s="1469" t="n"/>
      <c r="L18" s="1260" t="n"/>
      <c r="M18" s="1260" t="n"/>
      <c r="N18" s="1260" t="n"/>
      <c r="O18" s="1260" t="n"/>
      <c r="P18" s="1404" t="n"/>
      <c r="Q18" s="1394" t="n"/>
      <c r="R18" s="1394" t="n"/>
      <c r="S18" s="1394" t="n"/>
    </row>
    <row r="19" ht="14.45" customHeight="1" s="1232">
      <c r="B19" s="1260" t="inlineStr">
        <is>
          <t>Card Fees</t>
        </is>
      </c>
      <c r="C19" s="64">
        <f>$C$3</f>
        <v/>
      </c>
      <c r="D19" s="1524">
        <f>D17*$C19</f>
        <v/>
      </c>
      <c r="E19" s="1524">
        <f>E17*$C19</f>
        <v/>
      </c>
      <c r="F19" s="1524">
        <f>F17*$C19</f>
        <v/>
      </c>
      <c r="G19" s="1524">
        <f>G17*$C19</f>
        <v/>
      </c>
      <c r="H19" s="1273">
        <f>H17*$C19</f>
        <v/>
      </c>
      <c r="I19" s="1273">
        <f>I17*$C19</f>
        <v/>
      </c>
      <c r="L19" s="1260" t="inlineStr">
        <is>
          <t>Card Fees</t>
        </is>
      </c>
      <c r="M19" s="64">
        <f>$C$3</f>
        <v/>
      </c>
      <c r="N19" s="1524">
        <f>N17*$C19</f>
        <v/>
      </c>
      <c r="O19" s="1524">
        <f>O17*$C19</f>
        <v/>
      </c>
      <c r="P19" s="1524">
        <f>P17*$C19</f>
        <v/>
      </c>
      <c r="Q19" s="1524">
        <f>Q17*$C19</f>
        <v/>
      </c>
      <c r="R19" s="1524">
        <f>R17*$C19</f>
        <v/>
      </c>
      <c r="S19" s="1524">
        <f>S17*$C19</f>
        <v/>
      </c>
    </row>
    <row r="20" ht="14.45" customHeight="1" s="1232">
      <c r="B20" s="1260" t="n"/>
      <c r="C20" s="1260" t="n"/>
      <c r="D20" s="1524" t="n"/>
      <c r="E20" s="1524" t="n"/>
      <c r="F20" s="1525" t="n"/>
      <c r="G20" s="1525" t="n"/>
      <c r="H20" s="1469" t="n"/>
      <c r="I20" s="1469" t="n"/>
      <c r="L20" s="1260" t="n"/>
      <c r="M20" s="1260" t="n"/>
      <c r="N20" s="1524" t="n"/>
      <c r="O20" s="1524" t="n"/>
      <c r="P20" s="1525" t="n"/>
      <c r="Q20" s="1525" t="n"/>
      <c r="R20" s="1525" t="n"/>
      <c r="S20" s="1525" t="n"/>
    </row>
    <row r="21" ht="14.45" customHeight="1" s="1232">
      <c r="B21" s="1260" t="inlineStr">
        <is>
          <t>B&amp;B</t>
        </is>
      </c>
      <c r="C21" s="1526" t="n">
        <v>230</v>
      </c>
      <c r="D21" s="1524">
        <f>SUM($C21*D12+$C21)*$C13</f>
        <v/>
      </c>
      <c r="E21" s="1524">
        <f>SUM($C21*E12+$C21)*$C13</f>
        <v/>
      </c>
      <c r="F21" s="1524">
        <f>SUM($C21*F12+$C21)*$C13</f>
        <v/>
      </c>
      <c r="G21" s="1524">
        <f>SUM($C21*G12+$C21)*$C13</f>
        <v/>
      </c>
      <c r="H21" s="1273">
        <f>SUM($C21*H12+$C21)*$C13</f>
        <v/>
      </c>
      <c r="I21" s="1273">
        <f>SUM($C21*I12+$C21)*$C13</f>
        <v/>
      </c>
      <c r="L21" s="1260" t="inlineStr">
        <is>
          <t>B&amp;B</t>
        </is>
      </c>
      <c r="M21" s="1526" t="n"/>
      <c r="N21" s="1524" t="n"/>
      <c r="O21" s="1524" t="n"/>
      <c r="P21" s="1524" t="n"/>
      <c r="Q21" s="1524" t="n"/>
      <c r="R21" s="1524" t="n"/>
      <c r="S21" s="1524" t="n"/>
    </row>
    <row r="22" ht="14.45" customHeight="1" s="1232">
      <c r="B22" s="1260" t="n"/>
      <c r="C22" s="1260" t="n"/>
      <c r="D22" s="1524" t="n"/>
      <c r="E22" s="1524" t="n"/>
      <c r="F22" s="1524" t="n"/>
      <c r="G22" s="1524" t="n"/>
      <c r="H22" s="1273" t="n"/>
      <c r="I22" s="1273" t="n"/>
      <c r="L22" s="1260" t="n"/>
      <c r="M22" s="1260" t="n"/>
      <c r="N22" s="1524" t="n"/>
      <c r="O22" s="1524" t="n"/>
      <c r="P22" s="1524" t="n"/>
      <c r="Q22" s="1524" t="n"/>
      <c r="R22" s="1524" t="n"/>
      <c r="S22" s="1524" t="n"/>
    </row>
    <row r="23" ht="14.45" customHeight="1" s="1232">
      <c r="B23" s="1260" t="inlineStr">
        <is>
          <t>Inc Food Client</t>
        </is>
      </c>
      <c r="C23" s="1260" t="n">
        <v>0</v>
      </c>
      <c r="D23" s="1524">
        <f>$C23*D12*$C14</f>
        <v/>
      </c>
      <c r="E23" s="1524">
        <f>$C23*E12*$C14</f>
        <v/>
      </c>
      <c r="F23" s="1524">
        <f>$C23*F12*$C14</f>
        <v/>
      </c>
      <c r="G23" s="1524">
        <f>$C23*G12*$C14</f>
        <v/>
      </c>
      <c r="H23" s="1273">
        <f>$C23*H12*$C14</f>
        <v/>
      </c>
      <c r="I23" s="1273">
        <f>$C23*I12*$C14</f>
        <v/>
      </c>
      <c r="L23" s="1260" t="inlineStr">
        <is>
          <t>Inc Food Client</t>
        </is>
      </c>
      <c r="M23" s="1260" t="n">
        <v>0</v>
      </c>
      <c r="N23" s="1524" t="n"/>
      <c r="O23" s="1524" t="n"/>
      <c r="P23" s="1524" t="n"/>
      <c r="Q23" s="1524" t="n"/>
      <c r="R23" s="1524" t="n"/>
      <c r="S23" s="1524" t="n"/>
    </row>
    <row r="24" ht="14.45" customHeight="1" s="1232">
      <c r="B24" s="1260" t="n"/>
      <c r="C24" s="1260" t="n"/>
      <c r="D24" s="1524" t="n"/>
      <c r="E24" s="1524" t="n"/>
      <c r="F24" s="1524" t="n"/>
      <c r="G24" s="1524" t="n"/>
      <c r="H24" s="1273" t="n"/>
      <c r="I24" s="1273" t="n"/>
      <c r="L24" s="1260" t="n"/>
      <c r="M24" s="1260" t="n"/>
      <c r="N24" s="1524" t="n"/>
      <c r="O24" s="1524" t="n"/>
      <c r="P24" s="1524" t="n"/>
      <c r="Q24" s="1524" t="n"/>
      <c r="R24" s="1524" t="n"/>
      <c r="S24" s="1524" t="n"/>
    </row>
    <row r="25" ht="14.45" customHeight="1" s="1232">
      <c r="B25" s="1260" t="inlineStr">
        <is>
          <t>Car Hire</t>
        </is>
      </c>
      <c r="C25" s="1260">
        <f>SUM($C$6*$C$14)</f>
        <v/>
      </c>
      <c r="D25" s="1524">
        <f>IF(D12&gt;4,$C25,0)</f>
        <v/>
      </c>
      <c r="E25" s="1524">
        <f>IF(E12&gt;4,$C25,0)</f>
        <v/>
      </c>
      <c r="F25" s="1524">
        <f>IF(F12&gt;4,$C25,0)</f>
        <v/>
      </c>
      <c r="G25" s="1524">
        <f>IF(G12&gt;4,$C25,0)</f>
        <v/>
      </c>
      <c r="H25" s="1273">
        <f>IF(H12&gt;4,$C25,0)</f>
        <v/>
      </c>
      <c r="I25" s="1273">
        <f>IF(I12&gt;4,$C25,0)</f>
        <v/>
      </c>
      <c r="L25" s="1260" t="inlineStr">
        <is>
          <t>Car Hire</t>
        </is>
      </c>
      <c r="M25" s="1260" t="n"/>
      <c r="N25" s="1524" t="n"/>
      <c r="O25" s="1524" t="n"/>
      <c r="P25" s="1524" t="n"/>
      <c r="Q25" s="1524" t="n"/>
      <c r="R25" s="1524" t="n"/>
      <c r="S25" s="1524" t="n"/>
    </row>
    <row r="26" ht="14.45" customHeight="1" s="1232">
      <c r="B26" s="1268" t="n"/>
      <c r="C26" s="1260" t="n"/>
      <c r="D26" s="1524" t="n"/>
      <c r="E26" s="1524" t="n"/>
      <c r="F26" s="1524" t="n"/>
      <c r="G26" s="1524" t="n"/>
      <c r="H26" s="1273" t="n"/>
      <c r="I26" s="1273" t="n"/>
      <c r="L26" s="1268" t="n"/>
      <c r="M26" s="1260" t="n"/>
      <c r="N26" s="1524" t="n"/>
      <c r="O26" s="1524" t="n"/>
      <c r="P26" s="1524" t="n"/>
      <c r="Q26" s="1524" t="n"/>
      <c r="R26" s="1524" t="n"/>
      <c r="S26" s="1524" t="n"/>
    </row>
    <row r="27" ht="14.45" customHeight="1" s="1232">
      <c r="B27" s="1260" t="inlineStr">
        <is>
          <t>Petrol</t>
        </is>
      </c>
      <c r="C27" s="1260">
        <f>SUM($C$4*$C$14)</f>
        <v/>
      </c>
      <c r="D27" s="1524">
        <f>C27</f>
        <v/>
      </c>
      <c r="E27" s="1524">
        <f>C27</f>
        <v/>
      </c>
      <c r="F27" s="1524">
        <f>C27</f>
        <v/>
      </c>
      <c r="G27" s="1524">
        <f>C27</f>
        <v/>
      </c>
      <c r="H27" s="1273">
        <f>D27</f>
        <v/>
      </c>
      <c r="I27" s="1273">
        <f>E27</f>
        <v/>
      </c>
      <c r="L27" s="1260" t="inlineStr">
        <is>
          <t>Petrol</t>
        </is>
      </c>
      <c r="M27" s="1260">
        <f>0.75*75</f>
        <v/>
      </c>
      <c r="N27" s="1524">
        <f>M27</f>
        <v/>
      </c>
      <c r="O27" s="1524">
        <f>M27</f>
        <v/>
      </c>
      <c r="P27" s="1524">
        <f>M27</f>
        <v/>
      </c>
      <c r="Q27" s="1524">
        <f>M27</f>
        <v/>
      </c>
      <c r="R27" s="1524">
        <f>N27</f>
        <v/>
      </c>
      <c r="S27" s="1524">
        <f>O27</f>
        <v/>
      </c>
    </row>
    <row r="28" ht="14.45" customHeight="1" s="1232">
      <c r="B28" s="1260" t="n"/>
      <c r="C28" s="1260" t="n"/>
      <c r="D28" s="1524" t="n"/>
      <c r="E28" s="1524" t="n"/>
      <c r="F28" s="1524" t="n"/>
      <c r="G28" s="1524" t="n"/>
      <c r="H28" s="1273" t="n"/>
      <c r="I28" s="1273" t="n"/>
      <c r="L28" s="1260" t="n"/>
      <c r="M28" s="1260" t="n"/>
      <c r="N28" s="1524" t="n"/>
      <c r="O28" s="1524" t="n"/>
      <c r="P28" s="1524" t="n"/>
      <c r="Q28" s="1524" t="n"/>
      <c r="R28" s="1524" t="n"/>
      <c r="S28" s="1524" t="n"/>
    </row>
    <row r="29" ht="14.45" customHeight="1" s="1232">
      <c r="B29" s="1260" t="inlineStr">
        <is>
          <t>My Food</t>
        </is>
      </c>
      <c r="C29" s="1260">
        <f>SUM($C$5*$C$14)</f>
        <v/>
      </c>
      <c r="D29" s="1524">
        <f>$C$29</f>
        <v/>
      </c>
      <c r="E29" s="1524">
        <f>$C$29</f>
        <v/>
      </c>
      <c r="F29" s="1524">
        <f>$C$29</f>
        <v/>
      </c>
      <c r="G29" s="1524">
        <f>$C$29</f>
        <v/>
      </c>
      <c r="H29" s="1273">
        <f>$C$29</f>
        <v/>
      </c>
      <c r="I29" s="1273">
        <f>$C$29</f>
        <v/>
      </c>
      <c r="L29" s="1260" t="inlineStr">
        <is>
          <t>My Food</t>
        </is>
      </c>
      <c r="M29" s="1260" t="n">
        <v>10</v>
      </c>
      <c r="N29" s="1524">
        <f>$M$29</f>
        <v/>
      </c>
      <c r="O29" s="1524">
        <f>$M$29</f>
        <v/>
      </c>
      <c r="P29" s="1524">
        <f>$M$29</f>
        <v/>
      </c>
      <c r="Q29" s="1524">
        <f>$M$29</f>
        <v/>
      </c>
      <c r="R29" s="1524">
        <f>$M$29</f>
        <v/>
      </c>
      <c r="S29" s="1524">
        <f>$M$29</f>
        <v/>
      </c>
    </row>
    <row r="30" ht="14.45" customHeight="1" s="1232">
      <c r="B30" s="1260" t="n"/>
      <c r="C30" s="1260" t="n"/>
      <c r="D30" s="1524" t="n"/>
      <c r="E30" s="1524" t="n"/>
      <c r="F30" s="1524" t="n"/>
      <c r="G30" s="1524" t="n"/>
      <c r="H30" s="1273" t="n"/>
      <c r="I30" s="1273" t="n"/>
      <c r="L30" s="1260" t="n"/>
      <c r="M30" s="1260" t="n"/>
      <c r="N30" s="1524" t="n"/>
      <c r="O30" s="1524" t="n"/>
      <c r="P30" s="1524" t="n"/>
      <c r="Q30" s="1524" t="n"/>
      <c r="R30" s="1524" t="n"/>
      <c r="S30" s="1524" t="n"/>
    </row>
    <row r="31" ht="14.45" customHeight="1" s="1232">
      <c r="B31" s="1260" t="inlineStr">
        <is>
          <t>Admin - Central Cost per event</t>
        </is>
      </c>
      <c r="C31" s="1260">
        <f>$C$7</f>
        <v/>
      </c>
      <c r="D31" s="1524">
        <f>C31</f>
        <v/>
      </c>
      <c r="E31" s="1524">
        <f>C31</f>
        <v/>
      </c>
      <c r="F31" s="1524">
        <f>C31</f>
        <v/>
      </c>
      <c r="G31" s="1524">
        <f>C31</f>
        <v/>
      </c>
      <c r="H31" s="1273">
        <f>D31</f>
        <v/>
      </c>
      <c r="I31" s="1273">
        <f>E31</f>
        <v/>
      </c>
      <c r="L31" s="1260" t="inlineStr">
        <is>
          <t>Admin - Central Cost per event</t>
        </is>
      </c>
      <c r="M31" s="1260">
        <f>($C$7)/2</f>
        <v/>
      </c>
      <c r="N31" s="1524">
        <f>M31</f>
        <v/>
      </c>
      <c r="O31" s="1524">
        <f>M31</f>
        <v/>
      </c>
      <c r="P31" s="1524">
        <f>M31</f>
        <v/>
      </c>
      <c r="Q31" s="1524">
        <f>M31</f>
        <v/>
      </c>
      <c r="R31" s="1524">
        <f>N31</f>
        <v/>
      </c>
      <c r="S31" s="1524">
        <f>O31</f>
        <v/>
      </c>
    </row>
    <row r="33" ht="14.45" customHeight="1" s="1232">
      <c r="B33" s="1527" t="inlineStr">
        <is>
          <t>Costs</t>
        </is>
      </c>
      <c r="C33" s="1527" t="n"/>
      <c r="D33" s="1528">
        <f>SUM(D19:D32)</f>
        <v/>
      </c>
      <c r="E33" s="1528">
        <f>SUM(E19:E32)</f>
        <v/>
      </c>
      <c r="F33" s="1528">
        <f>SUM(F19:F32)</f>
        <v/>
      </c>
      <c r="G33" s="1528">
        <f>SUM(G19:G32)</f>
        <v/>
      </c>
      <c r="H33" s="1529">
        <f>SUM(H19:H32)</f>
        <v/>
      </c>
      <c r="I33" s="1529">
        <f>SUM(I19:I32)</f>
        <v/>
      </c>
      <c r="L33" s="1527" t="inlineStr">
        <is>
          <t>Costs</t>
        </is>
      </c>
      <c r="M33" s="1527" t="n"/>
      <c r="N33" s="1528">
        <f>SUM(N19:N32)</f>
        <v/>
      </c>
      <c r="O33" s="1528">
        <f>SUM(O19:O32)</f>
        <v/>
      </c>
      <c r="P33" s="1528">
        <f>SUM(P19:P32)</f>
        <v/>
      </c>
      <c r="Q33" s="1528">
        <f>SUM(Q19:Q32)</f>
        <v/>
      </c>
      <c r="R33" s="1528">
        <f>SUM(R19:R32)</f>
        <v/>
      </c>
      <c r="S33" s="1528">
        <f>SUM(S19:S32)</f>
        <v/>
      </c>
    </row>
    <row r="34" ht="14.45" customHeight="1" s="1232">
      <c r="B34" s="1260" t="n"/>
      <c r="C34" s="1260" t="n"/>
      <c r="D34" s="1260" t="n"/>
      <c r="E34" s="1260" t="n"/>
      <c r="F34" s="1402" t="n"/>
      <c r="G34" s="1260" t="n"/>
      <c r="H34" s="1273" t="n"/>
      <c r="I34" s="1273" t="n"/>
      <c r="L34" s="1260" t="n"/>
      <c r="M34" s="1260" t="n"/>
      <c r="N34" s="1260" t="n"/>
      <c r="O34" s="1260" t="n"/>
      <c r="P34" s="1402" t="n"/>
      <c r="Q34" s="1260" t="n"/>
      <c r="R34" s="1260" t="n"/>
      <c r="S34" s="1260" t="n"/>
    </row>
    <row r="35" ht="14.45" customHeight="1" s="1232">
      <c r="B35" s="1268" t="inlineStr">
        <is>
          <t>Net</t>
        </is>
      </c>
      <c r="C35" s="1268" t="n"/>
      <c r="D35" s="1473">
        <f>D17-D33</f>
        <v/>
      </c>
      <c r="E35" s="1473">
        <f>E17-E33</f>
        <v/>
      </c>
      <c r="F35" s="1522">
        <f>F17-F33</f>
        <v/>
      </c>
      <c r="G35" s="1473">
        <f>G17-G33</f>
        <v/>
      </c>
      <c r="H35" s="1523">
        <f>H17-H33</f>
        <v/>
      </c>
      <c r="I35" s="1523">
        <f>I17-I33</f>
        <v/>
      </c>
      <c r="L35" s="1268" t="inlineStr">
        <is>
          <t>Net</t>
        </is>
      </c>
      <c r="M35" s="1268" t="n"/>
      <c r="N35" s="1473">
        <f>N17-N33</f>
        <v/>
      </c>
      <c r="O35" s="1473">
        <f>O17-O33</f>
        <v/>
      </c>
      <c r="P35" s="1522">
        <f>P17-P33</f>
        <v/>
      </c>
      <c r="Q35" s="1473">
        <f>Q17-Q33</f>
        <v/>
      </c>
      <c r="R35" s="1473">
        <f>R17-R33</f>
        <v/>
      </c>
      <c r="S35" s="1473">
        <f>S17-S33</f>
        <v/>
      </c>
    </row>
    <row r="36" ht="14.45" customHeight="1" s="1232">
      <c r="B36" s="1260" t="n"/>
      <c r="C36" s="1260" t="n"/>
      <c r="D36" s="1260" t="n"/>
      <c r="E36" s="1260" t="n"/>
      <c r="F36" s="1402" t="n"/>
      <c r="G36" s="1260" t="n"/>
      <c r="H36" s="1273" t="n"/>
      <c r="I36" s="1273" t="n"/>
      <c r="L36" s="1260" t="n"/>
      <c r="M36" s="1260" t="n"/>
      <c r="N36" s="1260" t="n"/>
      <c r="O36" s="1260" t="n"/>
      <c r="P36" s="1402" t="n"/>
      <c r="Q36" s="1260" t="n"/>
      <c r="R36" s="1260" t="n"/>
      <c r="S36" s="1260" t="n"/>
    </row>
    <row r="37" ht="14.45" customHeight="1" s="1232" thickBot="1">
      <c r="B37" s="1260" t="inlineStr">
        <is>
          <t>Gross Profit</t>
        </is>
      </c>
      <c r="C37" s="1394" t="n"/>
      <c r="D37" s="809">
        <f>D35/D17</f>
        <v/>
      </c>
      <c r="E37" s="809">
        <f>E35/E17</f>
        <v/>
      </c>
      <c r="F37" s="892">
        <f>F35/F17</f>
        <v/>
      </c>
      <c r="G37" s="809">
        <f>G35/G17</f>
        <v/>
      </c>
      <c r="H37" s="982">
        <f>H35/H17</f>
        <v/>
      </c>
      <c r="I37" s="982">
        <f>I35/I17</f>
        <v/>
      </c>
      <c r="L37" s="1260" t="n"/>
      <c r="M37" s="1394" t="n"/>
      <c r="N37" s="809">
        <f>N35/N17</f>
        <v/>
      </c>
      <c r="O37" s="809">
        <f>O35/O17</f>
        <v/>
      </c>
      <c r="P37" s="892">
        <f>P35/P17</f>
        <v/>
      </c>
      <c r="Q37" s="809">
        <f>Q35/Q17</f>
        <v/>
      </c>
      <c r="R37" s="809">
        <f>R35/R17</f>
        <v/>
      </c>
      <c r="S37" s="809">
        <f>S35/S17</f>
        <v/>
      </c>
    </row>
    <row r="38" ht="14.45" customHeight="1" s="1232">
      <c r="B38" s="1260" t="n"/>
      <c r="C38" s="1260" t="n"/>
      <c r="D38" s="1260" t="n"/>
      <c r="E38" s="1260" t="n"/>
      <c r="F38" s="1402" t="n"/>
      <c r="G38" s="1260" t="n"/>
      <c r="H38" s="1273" t="n"/>
      <c r="I38" s="1273" t="n"/>
      <c r="L38" s="1260" t="n"/>
      <c r="M38" s="1260" t="n"/>
      <c r="N38" s="1260" t="n"/>
      <c r="O38" s="1260" t="n"/>
      <c r="P38" s="1402" t="n"/>
      <c r="Q38" s="1260" t="n"/>
      <c r="R38" s="1260" t="n"/>
      <c r="S38" s="1260" t="n"/>
    </row>
    <row r="39" ht="14.45" customHeight="1" s="1232">
      <c r="B39" s="1260" t="inlineStr">
        <is>
          <t>Time Hrs</t>
        </is>
      </c>
      <c r="C39" s="732">
        <f>SUM(C14*8)</f>
        <v/>
      </c>
      <c r="D39" s="732">
        <f>SUM($C$39*$C$8)</f>
        <v/>
      </c>
      <c r="E39" s="732">
        <f>SUM($C$39*$C$8)</f>
        <v/>
      </c>
      <c r="F39" s="732">
        <f>SUM($C$39*$C$8)</f>
        <v/>
      </c>
      <c r="G39" s="732">
        <f>SUM($C$39*$C$8)</f>
        <v/>
      </c>
      <c r="H39" s="963">
        <f>SUM($C$39*$C$8)</f>
        <v/>
      </c>
      <c r="I39" s="963">
        <f>SUM($C$39*$C$8)</f>
        <v/>
      </c>
      <c r="L39" s="1260" t="inlineStr">
        <is>
          <t>Time Hrs</t>
        </is>
      </c>
      <c r="M39" s="1530" t="n">
        <v>2.5</v>
      </c>
      <c r="N39" s="732">
        <f>SUM($M$39*$C$8)</f>
        <v/>
      </c>
      <c r="O39" s="732">
        <f>SUM($M$39*$C$8)</f>
        <v/>
      </c>
      <c r="P39" s="732">
        <f>SUM($M$39*$C$8)</f>
        <v/>
      </c>
      <c r="Q39" s="732">
        <f>SUM($M$39*$C$8)</f>
        <v/>
      </c>
      <c r="R39" s="732">
        <f>SUM($M$39*$C$8)</f>
        <v/>
      </c>
      <c r="S39" s="732">
        <f>SUM($M$39*$C$8)</f>
        <v/>
      </c>
    </row>
    <row r="40" ht="14.45" customHeight="1" s="1232">
      <c r="B40" s="1260" t="n"/>
      <c r="C40" s="1260" t="n"/>
      <c r="D40" s="1260" t="n"/>
      <c r="E40" s="1260" t="n"/>
      <c r="F40" s="1402" t="n"/>
      <c r="G40" s="1260" t="n"/>
      <c r="H40" s="1273" t="n"/>
      <c r="I40" s="1273" t="n"/>
      <c r="L40" s="1260" t="n"/>
      <c r="M40" s="1260" t="n"/>
      <c r="N40" s="1260" t="n"/>
      <c r="O40" s="1260" t="n"/>
      <c r="P40" s="1402" t="n"/>
      <c r="Q40" s="1260" t="n"/>
      <c r="R40" s="1260" t="n"/>
      <c r="S40" s="1260" t="n"/>
    </row>
    <row r="41" ht="14.45" customHeight="1" s="1232">
      <c r="B41" s="1531" t="inlineStr">
        <is>
          <t>Net Profit</t>
        </is>
      </c>
      <c r="C41" s="1532" t="n"/>
      <c r="D41" s="1532">
        <f>D35-D39</f>
        <v/>
      </c>
      <c r="E41" s="1532">
        <f>E35-E39</f>
        <v/>
      </c>
      <c r="F41" s="1533">
        <f>F35-F39</f>
        <v/>
      </c>
      <c r="G41" s="1532">
        <f>G35-G39</f>
        <v/>
      </c>
      <c r="H41" s="1534">
        <f>H35-H39</f>
        <v/>
      </c>
      <c r="I41" s="1534">
        <f>I35-I39</f>
        <v/>
      </c>
      <c r="L41" s="1532" t="inlineStr">
        <is>
          <t>Profit</t>
        </is>
      </c>
      <c r="M41" s="1532" t="n"/>
      <c r="N41" s="1532">
        <f>N35-N39</f>
        <v/>
      </c>
      <c r="O41" s="1532">
        <f>O35-O39</f>
        <v/>
      </c>
      <c r="P41" s="1533">
        <f>P35-P39</f>
        <v/>
      </c>
      <c r="Q41" s="1532">
        <f>Q35-Q39</f>
        <v/>
      </c>
      <c r="R41" s="1532">
        <f>R35-R39</f>
        <v/>
      </c>
      <c r="S41" s="1532">
        <f>S35-S39</f>
        <v/>
      </c>
    </row>
    <row r="42" ht="14.45" customHeight="1" s="1232" thickBot="1">
      <c r="B42" s="1535" t="n"/>
      <c r="C42" s="1536" t="n"/>
      <c r="D42" s="809">
        <f>D41/D17</f>
        <v/>
      </c>
      <c r="E42" s="809">
        <f>E41/E17</f>
        <v/>
      </c>
      <c r="F42" s="892">
        <f>F41/F17</f>
        <v/>
      </c>
      <c r="G42" s="809">
        <f>G41/G17</f>
        <v/>
      </c>
      <c r="H42" s="982">
        <f>H41/H17</f>
        <v/>
      </c>
      <c r="I42" s="982">
        <f>I41/I17</f>
        <v/>
      </c>
      <c r="L42" s="1535" t="n"/>
      <c r="M42" s="1536" t="n"/>
      <c r="N42" s="809">
        <f>N41/N17</f>
        <v/>
      </c>
      <c r="O42" s="809">
        <f>O41/O17</f>
        <v/>
      </c>
      <c r="P42" s="892">
        <f>P41/P17</f>
        <v/>
      </c>
      <c r="Q42" s="809">
        <f>Q41/Q17</f>
        <v/>
      </c>
      <c r="R42" s="809">
        <f>R41/R17</f>
        <v/>
      </c>
      <c r="S42" s="809">
        <f>S41/S17</f>
        <v/>
      </c>
    </row>
    <row r="43" ht="14.45" customHeight="1" s="1232"/>
    <row r="44" ht="14.45" customHeight="1" s="1232"/>
    <row r="45" ht="14.45" customHeight="1" s="1232"/>
    <row r="46" ht="14.45" customHeight="1" s="1232"/>
    <row r="47" ht="14.45" customHeight="1" s="1232">
      <c r="A47" s="900" t="n">
        <v>2022</v>
      </c>
      <c r="B47" s="1249" t="inlineStr">
        <is>
          <t>Price increase - Based on 2 clients</t>
        </is>
      </c>
      <c r="D47" s="1249" t="inlineStr">
        <is>
          <t>Min To Break Even</t>
        </is>
      </c>
      <c r="E47" s="1249" t="inlineStr">
        <is>
          <t>Room Rate PN</t>
        </is>
      </c>
    </row>
    <row r="49" ht="14.45" customHeight="1" s="1232">
      <c r="A49" s="1249" t="inlineStr">
        <is>
          <t>Hartland</t>
        </is>
      </c>
      <c r="B49" s="1250" t="n">
        <v>895</v>
      </c>
      <c r="C49" s="1249" t="inlineStr">
        <is>
          <t>3 days</t>
        </is>
      </c>
      <c r="D49" s="568" t="n"/>
      <c r="E49" s="1250" t="n">
        <v>95</v>
      </c>
    </row>
    <row r="50" ht="14.45" customHeight="1" s="1232">
      <c r="A50" s="1249" t="inlineStr">
        <is>
          <t>Hartland</t>
        </is>
      </c>
      <c r="B50" s="1250" t="n">
        <v>700</v>
      </c>
      <c r="C50" s="1249" t="inlineStr">
        <is>
          <t>2 days</t>
        </is>
      </c>
      <c r="D50" s="568" t="n"/>
    </row>
    <row r="51" ht="14.45" customHeight="1" s="1232">
      <c r="D51" s="568" t="n"/>
    </row>
    <row r="52" ht="14.45" customHeight="1" s="1232">
      <c r="A52" s="1249" t="inlineStr">
        <is>
          <t>Anglesey</t>
        </is>
      </c>
      <c r="B52" s="1250" t="n">
        <v>775</v>
      </c>
      <c r="C52" s="1249" t="inlineStr">
        <is>
          <t>3 Days</t>
        </is>
      </c>
      <c r="D52" s="568" t="n"/>
      <c r="E52" s="1250" t="n">
        <v>145</v>
      </c>
    </row>
    <row r="53" ht="14.45" customHeight="1" s="1232">
      <c r="A53" s="1249" t="inlineStr">
        <is>
          <t>Anglesey</t>
        </is>
      </c>
      <c r="B53" s="1250" t="n">
        <v>525</v>
      </c>
      <c r="C53" s="1249" t="inlineStr">
        <is>
          <t>2 Days</t>
        </is>
      </c>
      <c r="D53" s="568" t="n"/>
    </row>
    <row r="54" ht="14.45" customHeight="1" s="1232">
      <c r="D54" s="568" t="n"/>
    </row>
    <row r="55" ht="14.45" customHeight="1" s="1232">
      <c r="A55" s="1249" t="inlineStr">
        <is>
          <t>Northumberland</t>
        </is>
      </c>
      <c r="B55" s="1250" t="n">
        <v>895</v>
      </c>
      <c r="C55" s="1249" t="inlineStr">
        <is>
          <t>4 Days</t>
        </is>
      </c>
      <c r="D55" s="568" t="n">
        <v>3</v>
      </c>
      <c r="E55" s="1249" t="n">
        <v>115</v>
      </c>
    </row>
    <row r="56" ht="14.45" customHeight="1" s="1232">
      <c r="A56" s="1249" t="inlineStr">
        <is>
          <t>Northumberland</t>
        </is>
      </c>
      <c r="B56" s="1250" t="n">
        <v>750</v>
      </c>
      <c r="C56" s="1249" t="inlineStr">
        <is>
          <t>3 Days</t>
        </is>
      </c>
      <c r="D56" s="568" t="n">
        <v>3</v>
      </c>
    </row>
    <row r="57" ht="14.45" customHeight="1" s="1232">
      <c r="A57" s="1249" t="n"/>
      <c r="C57" s="1249" t="n"/>
      <c r="D57" s="568" t="n"/>
    </row>
    <row r="58" ht="14.45" customHeight="1" s="1232">
      <c r="A58" s="1249" t="inlineStr">
        <is>
          <t>Snowdonia</t>
        </is>
      </c>
      <c r="B58" s="1250" t="n">
        <v>995</v>
      </c>
      <c r="C58" s="1249" t="inlineStr">
        <is>
          <t>3 Days</t>
        </is>
      </c>
      <c r="D58" s="568" t="n"/>
      <c r="E58" s="1250" t="n">
        <v>110</v>
      </c>
    </row>
    <row r="59" ht="14.45" customHeight="1" s="1232">
      <c r="A59" s="1249" t="inlineStr">
        <is>
          <t>Snowdonia</t>
        </is>
      </c>
      <c r="B59" s="1250" t="n">
        <v>600</v>
      </c>
      <c r="C59" s="1249" t="inlineStr">
        <is>
          <t>2 Days</t>
        </is>
      </c>
      <c r="D59" s="568" t="n"/>
      <c r="E59" s="1250" t="n">
        <v>130</v>
      </c>
    </row>
    <row r="60" ht="14.45" customHeight="1" s="1232">
      <c r="D60" s="568" t="n"/>
    </row>
    <row r="61" ht="14.45" customHeight="1" s="1232">
      <c r="A61" s="1249" t="inlineStr">
        <is>
          <t>Norfolk</t>
        </is>
      </c>
      <c r="B61" s="1250" t="n">
        <v>825</v>
      </c>
      <c r="C61" s="1249" t="inlineStr">
        <is>
          <t>3 Days</t>
        </is>
      </c>
      <c r="D61" s="568" t="n"/>
      <c r="E61" s="1250" t="n">
        <v>175</v>
      </c>
    </row>
    <row r="62" ht="14.45" customHeight="1" s="1232">
      <c r="A62" s="1249" t="inlineStr">
        <is>
          <t>Norfolk</t>
        </is>
      </c>
      <c r="B62" s="1250" t="n">
        <v>600</v>
      </c>
      <c r="C62" s="1249" t="inlineStr">
        <is>
          <t>2 Days</t>
        </is>
      </c>
      <c r="D62" s="568" t="n"/>
    </row>
    <row r="63" ht="14.45" customHeight="1" s="1232"/>
    <row r="64" ht="14.45" customHeight="1" s="1232">
      <c r="A64" s="1249" t="inlineStr">
        <is>
          <t>North Yorkshire</t>
        </is>
      </c>
      <c r="B64" s="1250" t="n">
        <v>945</v>
      </c>
      <c r="C64" s="1249" t="inlineStr">
        <is>
          <t>4 Days</t>
        </is>
      </c>
      <c r="D64" s="568" t="n">
        <v>3</v>
      </c>
      <c r="E64" s="1250">
        <f>1817/4/3</f>
        <v/>
      </c>
    </row>
    <row r="67" ht="14.45" customHeight="1" s="1232">
      <c r="A67" s="1249" t="inlineStr">
        <is>
          <t>Lake District</t>
        </is>
      </c>
      <c r="C67" s="1249" t="inlineStr">
        <is>
          <t>4 Days</t>
        </is>
      </c>
      <c r="E67" s="1250" t="n">
        <v>150</v>
      </c>
    </row>
    <row r="68" ht="14.45" customHeight="1" s="1232">
      <c r="C68" s="1249" t="inlineStr">
        <is>
          <t>3 Days</t>
        </is>
      </c>
    </row>
    <row r="69" ht="14.45" customHeight="1" s="1232"/>
    <row r="70" ht="14.45" customHeight="1" s="1232">
      <c r="A70" s="1249" t="inlineStr">
        <is>
          <t>Suffolk</t>
        </is>
      </c>
      <c r="E70" s="1250" t="n">
        <v>140</v>
      </c>
    </row>
    <row r="71" ht="14.45" customHeight="1" s="1232"/>
    <row r="72" ht="14.45" customHeight="1" s="1232">
      <c r="A72" s="1249" t="inlineStr">
        <is>
          <t>Yorkshire Dales</t>
        </is>
      </c>
      <c r="E72" s="1250">
        <f>1430/5/2</f>
        <v/>
      </c>
    </row>
    <row r="73" ht="14.45" customHeight="1" s="1232"/>
    <row r="74" ht="14.45" customHeight="1" s="1232">
      <c r="A74" s="1249" t="inlineStr">
        <is>
          <t>Gower</t>
        </is>
      </c>
      <c r="E74" s="1250" t="n">
        <v>90</v>
      </c>
    </row>
    <row r="75" ht="14.45" customHeight="1" s="1232"/>
    <row r="76" ht="14.45" customHeight="1" s="1232">
      <c r="A76" s="1249" t="inlineStr">
        <is>
          <t>Lake Vyrnwy</t>
        </is>
      </c>
      <c r="E76" s="1250" t="n">
        <v>230</v>
      </c>
    </row>
    <row r="77" ht="14.45" customHeight="1" s="1232"/>
    <row r="78" ht="14.45" customHeight="1" s="1232">
      <c r="A78" s="1249" t="inlineStr">
        <is>
          <t>Dorset</t>
        </is>
      </c>
      <c r="B78" s="1249" t="inlineStr">
        <is>
          <t>Includes Dinner &amp; Breakfast</t>
        </is>
      </c>
      <c r="C78" s="1249" t="inlineStr">
        <is>
          <t>3 Days</t>
        </is>
      </c>
      <c r="E78" s="1250" t="n">
        <v>118</v>
      </c>
    </row>
    <row r="79" ht="14.45" customHeight="1" s="1232"/>
    <row r="80" ht="14.45" customHeight="1" s="1232">
      <c r="A80" s="1249" t="inlineStr">
        <is>
          <t>Lynmouth</t>
        </is>
      </c>
      <c r="C80" s="1249" t="inlineStr">
        <is>
          <t>2 Days</t>
        </is>
      </c>
    </row>
    <row r="82" ht="14.45" customHeight="1" s="1232">
      <c r="A82" s="1249" t="inlineStr">
        <is>
          <t>Dartmoor</t>
        </is>
      </c>
      <c r="E82" s="1250">
        <f>890/5/2</f>
        <v/>
      </c>
    </row>
    <row r="83" ht="14.45" customHeight="1" s="1232"/>
    <row r="84" ht="14.45" customHeight="1" s="1232">
      <c r="A84" s="1249" t="inlineStr">
        <is>
          <t>Somerset</t>
        </is>
      </c>
      <c r="C84" s="1249" t="inlineStr">
        <is>
          <t>3 Days</t>
        </is>
      </c>
      <c r="E84" s="1250">
        <f>1080/5/2</f>
        <v/>
      </c>
    </row>
  </sheetData>
  <conditionalFormatting sqref="E41:F41">
    <cfRule type="cellIs" priority="785" operator="lessThan" dxfId="1">
      <formula>0</formula>
    </cfRule>
    <cfRule type="cellIs" priority="786" operator="greaterThan" dxfId="0">
      <formula>0</formula>
    </cfRule>
  </conditionalFormatting>
  <conditionalFormatting sqref="E42:F42">
    <cfRule type="cellIs" priority="781" operator="greaterThan" dxfId="0">
      <formula>0.25</formula>
    </cfRule>
    <cfRule type="cellIs" priority="782" operator="lessThan" dxfId="1">
      <formula>0</formula>
    </cfRule>
    <cfRule type="cellIs" priority="783" operator="between" dxfId="381">
      <formula>0.01</formula>
      <formula>0.24</formula>
    </cfRule>
    <cfRule type="cellIs" priority="784" operator="greaterThan" dxfId="0">
      <formula>25</formula>
    </cfRule>
  </conditionalFormatting>
  <conditionalFormatting sqref="G41">
    <cfRule type="cellIs" priority="779" operator="lessThan" dxfId="1">
      <formula>0</formula>
    </cfRule>
    <cfRule type="cellIs" priority="780" operator="greaterThan" dxfId="0">
      <formula>0</formula>
    </cfRule>
  </conditionalFormatting>
  <conditionalFormatting sqref="G42">
    <cfRule type="cellIs" priority="775" operator="greaterThan" dxfId="0">
      <formula>0.25</formula>
    </cfRule>
    <cfRule type="cellIs" priority="776" operator="lessThan" dxfId="1">
      <formula>0</formula>
    </cfRule>
    <cfRule type="cellIs" priority="777" operator="between" dxfId="381">
      <formula>0.01</formula>
      <formula>0.24</formula>
    </cfRule>
    <cfRule type="cellIs" priority="778" operator="greaterThan" dxfId="0">
      <formula>25</formula>
    </cfRule>
  </conditionalFormatting>
  <conditionalFormatting sqref="D35:I35">
    <cfRule type="cellIs" priority="787" operator="lessThan" dxfId="1">
      <formula>0</formula>
    </cfRule>
    <cfRule type="cellIs" priority="788" operator="greaterThan" dxfId="0">
      <formula>0</formula>
    </cfRule>
  </conditionalFormatting>
  <conditionalFormatting sqref="D41">
    <cfRule type="cellIs" priority="773" operator="lessThan" dxfId="1">
      <formula>0</formula>
    </cfRule>
    <cfRule type="cellIs" priority="774" operator="greaterThan" dxfId="0">
      <formula>0</formula>
    </cfRule>
  </conditionalFormatting>
  <conditionalFormatting sqref="D42">
    <cfRule type="cellIs" priority="769" operator="greaterThan" dxfId="0">
      <formula>0.25</formula>
    </cfRule>
    <cfRule type="cellIs" priority="770" operator="lessThan" dxfId="1">
      <formula>0</formula>
    </cfRule>
    <cfRule type="cellIs" priority="771" operator="between" dxfId="381">
      <formula>0.01</formula>
      <formula>0.24</formula>
    </cfRule>
    <cfRule type="cellIs" priority="772" operator="greaterThan" dxfId="0">
      <formula>25</formula>
    </cfRule>
  </conditionalFormatting>
  <conditionalFormatting sqref="H41">
    <cfRule type="cellIs" priority="767" operator="lessThan" dxfId="1">
      <formula>0</formula>
    </cfRule>
    <cfRule type="cellIs" priority="768" operator="greaterThan" dxfId="0">
      <formula>0</formula>
    </cfRule>
  </conditionalFormatting>
  <conditionalFormatting sqref="H42">
    <cfRule type="cellIs" priority="763" operator="greaterThan" dxfId="0">
      <formula>0.25</formula>
    </cfRule>
    <cfRule type="cellIs" priority="764" operator="lessThan" dxfId="1">
      <formula>0</formula>
    </cfRule>
    <cfRule type="cellIs" priority="765" operator="between" dxfId="381">
      <formula>0.01</formula>
      <formula>0.24</formula>
    </cfRule>
    <cfRule type="cellIs" priority="766" operator="greaterThan" dxfId="0">
      <formula>25</formula>
    </cfRule>
  </conditionalFormatting>
  <conditionalFormatting sqref="I41">
    <cfRule type="cellIs" priority="761" operator="lessThan" dxfId="1">
      <formula>0</formula>
    </cfRule>
    <cfRule type="cellIs" priority="762" operator="greaterThan" dxfId="0">
      <formula>0</formula>
    </cfRule>
  </conditionalFormatting>
  <conditionalFormatting sqref="I42">
    <cfRule type="cellIs" priority="757" operator="greaterThan" dxfId="0">
      <formula>0.25</formula>
    </cfRule>
    <cfRule type="cellIs" priority="758" operator="lessThan" dxfId="1">
      <formula>0</formula>
    </cfRule>
    <cfRule type="cellIs" priority="759" operator="between" dxfId="381">
      <formula>0.01</formula>
      <formula>0.24</formula>
    </cfRule>
    <cfRule type="cellIs" priority="760" operator="greaterThan" dxfId="0">
      <formula>25</formula>
    </cfRule>
  </conditionalFormatting>
  <conditionalFormatting sqref="E37:F37">
    <cfRule type="cellIs" priority="633" operator="greaterThan" dxfId="0">
      <formula>0.25</formula>
    </cfRule>
    <cfRule type="cellIs" priority="634" operator="lessThan" dxfId="1">
      <formula>0</formula>
    </cfRule>
    <cfRule type="cellIs" priority="635" operator="between" dxfId="381">
      <formula>0.01</formula>
      <formula>0.24</formula>
    </cfRule>
    <cfRule type="cellIs" priority="636" operator="greaterThan" dxfId="0">
      <formula>25</formula>
    </cfRule>
  </conditionalFormatting>
  <conditionalFormatting sqref="G37">
    <cfRule type="cellIs" priority="629" operator="greaterThan" dxfId="0">
      <formula>0.25</formula>
    </cfRule>
    <cfRule type="cellIs" priority="630" operator="lessThan" dxfId="1">
      <formula>0</formula>
    </cfRule>
    <cfRule type="cellIs" priority="631" operator="between" dxfId="381">
      <formula>0.01</formula>
      <formula>0.24</formula>
    </cfRule>
    <cfRule type="cellIs" priority="632" operator="greaterThan" dxfId="0">
      <formula>25</formula>
    </cfRule>
  </conditionalFormatting>
  <conditionalFormatting sqref="D37">
    <cfRule type="cellIs" priority="625" operator="greaterThan" dxfId="0">
      <formula>0.25</formula>
    </cfRule>
    <cfRule type="cellIs" priority="626" operator="lessThan" dxfId="1">
      <formula>0</formula>
    </cfRule>
    <cfRule type="cellIs" priority="627" operator="between" dxfId="381">
      <formula>0.01</formula>
      <formula>0.24</formula>
    </cfRule>
    <cfRule type="cellIs" priority="628" operator="greaterThan" dxfId="0">
      <formula>25</formula>
    </cfRule>
  </conditionalFormatting>
  <conditionalFormatting sqref="H37">
    <cfRule type="cellIs" priority="621" operator="greaterThan" dxfId="0">
      <formula>0.25</formula>
    </cfRule>
    <cfRule type="cellIs" priority="622" operator="lessThan" dxfId="1">
      <formula>0</formula>
    </cfRule>
    <cfRule type="cellIs" priority="623" operator="between" dxfId="381">
      <formula>0.01</formula>
      <formula>0.24</formula>
    </cfRule>
    <cfRule type="cellIs" priority="624" operator="greaterThan" dxfId="0">
      <formula>25</formula>
    </cfRule>
  </conditionalFormatting>
  <conditionalFormatting sqref="I37">
    <cfRule type="cellIs" priority="617" operator="greaterThan" dxfId="0">
      <formula>0.25</formula>
    </cfRule>
    <cfRule type="cellIs" priority="618" operator="lessThan" dxfId="1">
      <formula>0</formula>
    </cfRule>
    <cfRule type="cellIs" priority="619" operator="between" dxfId="381">
      <formula>0.01</formula>
      <formula>0.24</formula>
    </cfRule>
    <cfRule type="cellIs" priority="620" operator="greaterThan" dxfId="0">
      <formula>25</formula>
    </cfRule>
  </conditionalFormatting>
  <conditionalFormatting sqref="F26:F28 F30">
    <cfRule type="cellIs" priority="68" operator="lessThan" dxfId="1">
      <formula>0</formula>
    </cfRule>
  </conditionalFormatting>
  <conditionalFormatting sqref="F28 F30">
    <cfRule type="cellIs" priority="67" operator="greaterThan" dxfId="0">
      <formula>0</formula>
    </cfRule>
  </conditionalFormatting>
  <conditionalFormatting sqref="G26:G28 G30">
    <cfRule type="cellIs" priority="66" operator="lessThan" dxfId="1">
      <formula>0</formula>
    </cfRule>
  </conditionalFormatting>
  <conditionalFormatting sqref="G28 G30">
    <cfRule type="cellIs" priority="65" operator="greaterThan" dxfId="0">
      <formula>0</formula>
    </cfRule>
  </conditionalFormatting>
  <conditionalFormatting sqref="H26:H28 H30">
    <cfRule type="cellIs" priority="64" operator="lessThan" dxfId="1">
      <formula>0</formula>
    </cfRule>
  </conditionalFormatting>
  <conditionalFormatting sqref="H28 H30">
    <cfRule type="cellIs" priority="63" operator="greaterThan" dxfId="0">
      <formula>0</formula>
    </cfRule>
  </conditionalFormatting>
  <conditionalFormatting sqref="I26:I28 I30">
    <cfRule type="cellIs" priority="62" operator="lessThan" dxfId="1">
      <formula>0</formula>
    </cfRule>
  </conditionalFormatting>
  <conditionalFormatting sqref="I28 I30">
    <cfRule type="cellIs" priority="61" operator="greaterThan" dxfId="0">
      <formula>0</formula>
    </cfRule>
  </conditionalFormatting>
  <conditionalFormatting sqref="O41:P41">
    <cfRule type="cellIs" priority="57" operator="lessThan" dxfId="1">
      <formula>0</formula>
    </cfRule>
    <cfRule type="cellIs" priority="58" operator="greaterThan" dxfId="0">
      <formula>0</formula>
    </cfRule>
  </conditionalFormatting>
  <conditionalFormatting sqref="O42:P42">
    <cfRule type="cellIs" priority="53" operator="greaterThan" dxfId="0">
      <formula>0.25</formula>
    </cfRule>
    <cfRule type="cellIs" priority="54" operator="lessThan" dxfId="1">
      <formula>0</formula>
    </cfRule>
    <cfRule type="cellIs" priority="55" operator="between" dxfId="381">
      <formula>0.01</formula>
      <formula>0.24</formula>
    </cfRule>
    <cfRule type="cellIs" priority="56" operator="greaterThan" dxfId="0">
      <formula>25</formula>
    </cfRule>
  </conditionalFormatting>
  <conditionalFormatting sqref="Q41">
    <cfRule type="cellIs" priority="51" operator="lessThan" dxfId="1">
      <formula>0</formula>
    </cfRule>
    <cfRule type="cellIs" priority="52" operator="greaterThan" dxfId="0">
      <formula>0</formula>
    </cfRule>
  </conditionalFormatting>
  <conditionalFormatting sqref="Q42">
    <cfRule type="cellIs" priority="47" operator="greaterThan" dxfId="0">
      <formula>0.25</formula>
    </cfRule>
    <cfRule type="cellIs" priority="48" operator="lessThan" dxfId="1">
      <formula>0</formula>
    </cfRule>
    <cfRule type="cellIs" priority="49" operator="between" dxfId="381">
      <formula>0.01</formula>
      <formula>0.24</formula>
    </cfRule>
    <cfRule type="cellIs" priority="50" operator="greaterThan" dxfId="0">
      <formula>25</formula>
    </cfRule>
  </conditionalFormatting>
  <conditionalFormatting sqref="N35:S35">
    <cfRule type="cellIs" priority="59" operator="lessThan" dxfId="1">
      <formula>0</formula>
    </cfRule>
    <cfRule type="cellIs" priority="60" operator="greaterThan" dxfId="0">
      <formula>0</formula>
    </cfRule>
  </conditionalFormatting>
  <conditionalFormatting sqref="N41">
    <cfRule type="cellIs" priority="45" operator="lessThan" dxfId="1">
      <formula>0</formula>
    </cfRule>
    <cfRule type="cellIs" priority="46" operator="greaterThan" dxfId="0">
      <formula>0</formula>
    </cfRule>
  </conditionalFormatting>
  <conditionalFormatting sqref="N42">
    <cfRule type="cellIs" priority="41" operator="greaterThan" dxfId="0">
      <formula>0.25</formula>
    </cfRule>
    <cfRule type="cellIs" priority="42" operator="lessThan" dxfId="1">
      <formula>0</formula>
    </cfRule>
    <cfRule type="cellIs" priority="43" operator="between" dxfId="381">
      <formula>0.01</formula>
      <formula>0.24</formula>
    </cfRule>
    <cfRule type="cellIs" priority="44" operator="greaterThan" dxfId="0">
      <formula>25</formula>
    </cfRule>
  </conditionalFormatting>
  <conditionalFormatting sqref="R41">
    <cfRule type="cellIs" priority="39" operator="lessThan" dxfId="1">
      <formula>0</formula>
    </cfRule>
    <cfRule type="cellIs" priority="40" operator="greaterThan" dxfId="0">
      <formula>0</formula>
    </cfRule>
  </conditionalFormatting>
  <conditionalFormatting sqref="R42">
    <cfRule type="cellIs" priority="35" operator="greaterThan" dxfId="0">
      <formula>0.25</formula>
    </cfRule>
    <cfRule type="cellIs" priority="36" operator="lessThan" dxfId="1">
      <formula>0</formula>
    </cfRule>
    <cfRule type="cellIs" priority="37" operator="between" dxfId="381">
      <formula>0.01</formula>
      <formula>0.24</formula>
    </cfRule>
    <cfRule type="cellIs" priority="38" operator="greaterThan" dxfId="0">
      <formula>25</formula>
    </cfRule>
  </conditionalFormatting>
  <conditionalFormatting sqref="S41">
    <cfRule type="cellIs" priority="33" operator="lessThan" dxfId="1">
      <formula>0</formula>
    </cfRule>
    <cfRule type="cellIs" priority="34" operator="greaterThan" dxfId="0">
      <formula>0</formula>
    </cfRule>
  </conditionalFormatting>
  <conditionalFormatting sqref="S42">
    <cfRule type="cellIs" priority="29" operator="greaterThan" dxfId="0">
      <formula>0.25</formula>
    </cfRule>
    <cfRule type="cellIs" priority="30" operator="lessThan" dxfId="1">
      <formula>0</formula>
    </cfRule>
    <cfRule type="cellIs" priority="31" operator="between" dxfId="381">
      <formula>0.01</formula>
      <formula>0.24</formula>
    </cfRule>
    <cfRule type="cellIs" priority="32" operator="greaterThan" dxfId="0">
      <formula>25</formula>
    </cfRule>
  </conditionalFormatting>
  <conditionalFormatting sqref="O37:P37">
    <cfRule type="cellIs" priority="25" operator="greaterThan" dxfId="0">
      <formula>0.25</formula>
    </cfRule>
    <cfRule type="cellIs" priority="26" operator="lessThan" dxfId="1">
      <formula>0</formula>
    </cfRule>
    <cfRule type="cellIs" priority="27" operator="between" dxfId="381">
      <formula>0.01</formula>
      <formula>0.24</formula>
    </cfRule>
    <cfRule type="cellIs" priority="28" operator="greaterThan" dxfId="0">
      <formula>25</formula>
    </cfRule>
  </conditionalFormatting>
  <conditionalFormatting sqref="Q37">
    <cfRule type="cellIs" priority="21" operator="greaterThan" dxfId="0">
      <formula>0.25</formula>
    </cfRule>
    <cfRule type="cellIs" priority="22" operator="lessThan" dxfId="1">
      <formula>0</formula>
    </cfRule>
    <cfRule type="cellIs" priority="23" operator="between" dxfId="381">
      <formula>0.01</formula>
      <formula>0.24</formula>
    </cfRule>
    <cfRule type="cellIs" priority="24" operator="greaterThan" dxfId="0">
      <formula>25</formula>
    </cfRule>
  </conditionalFormatting>
  <conditionalFormatting sqref="N37">
    <cfRule type="cellIs" priority="17" operator="greaterThan" dxfId="0">
      <formula>0.25</formula>
    </cfRule>
    <cfRule type="cellIs" priority="18" operator="lessThan" dxfId="1">
      <formula>0</formula>
    </cfRule>
    <cfRule type="cellIs" priority="19" operator="between" dxfId="381">
      <formula>0.01</formula>
      <formula>0.24</formula>
    </cfRule>
    <cfRule type="cellIs" priority="20" operator="greaterThan" dxfId="0">
      <formula>25</formula>
    </cfRule>
  </conditionalFormatting>
  <conditionalFormatting sqref="R37">
    <cfRule type="cellIs" priority="13" operator="greaterThan" dxfId="0">
      <formula>0.25</formula>
    </cfRule>
    <cfRule type="cellIs" priority="14" operator="lessThan" dxfId="1">
      <formula>0</formula>
    </cfRule>
    <cfRule type="cellIs" priority="15" operator="between" dxfId="381">
      <formula>0.01</formula>
      <formula>0.24</formula>
    </cfRule>
    <cfRule type="cellIs" priority="16" operator="greaterThan" dxfId="0">
      <formula>25</formula>
    </cfRule>
  </conditionalFormatting>
  <conditionalFormatting sqref="S37">
    <cfRule type="cellIs" priority="9" operator="greaterThan" dxfId="0">
      <formula>0.25</formula>
    </cfRule>
    <cfRule type="cellIs" priority="10" operator="lessThan" dxfId="1">
      <formula>0</formula>
    </cfRule>
    <cfRule type="cellIs" priority="11" operator="between" dxfId="381">
      <formula>0.01</formula>
      <formula>0.24</formula>
    </cfRule>
    <cfRule type="cellIs" priority="12" operator="greaterThan" dxfId="0">
      <formula>25</formula>
    </cfRule>
  </conditionalFormatting>
  <conditionalFormatting sqref="P26:P28 P30">
    <cfRule type="cellIs" priority="8" operator="lessThan" dxfId="1">
      <formula>0</formula>
    </cfRule>
  </conditionalFormatting>
  <conditionalFormatting sqref="P28 P30">
    <cfRule type="cellIs" priority="7" operator="greaterThan" dxfId="0">
      <formula>0</formula>
    </cfRule>
  </conditionalFormatting>
  <conditionalFormatting sqref="Q26:Q28 Q30">
    <cfRule type="cellIs" priority="6" operator="lessThan" dxfId="1">
      <formula>0</formula>
    </cfRule>
  </conditionalFormatting>
  <conditionalFormatting sqref="Q28 Q30">
    <cfRule type="cellIs" priority="5" operator="greaterThan" dxfId="0">
      <formula>0</formula>
    </cfRule>
  </conditionalFormatting>
  <conditionalFormatting sqref="R26:R28 R30">
    <cfRule type="cellIs" priority="4" operator="lessThan" dxfId="1">
      <formula>0</formula>
    </cfRule>
  </conditionalFormatting>
  <conditionalFormatting sqref="R28 R30">
    <cfRule type="cellIs" priority="3" operator="greaterThan" dxfId="0">
      <formula>0</formula>
    </cfRule>
  </conditionalFormatting>
  <conditionalFormatting sqref="S26:S28 S30">
    <cfRule type="cellIs" priority="2" operator="lessThan" dxfId="1">
      <formula>0</formula>
    </cfRule>
  </conditionalFormatting>
  <conditionalFormatting sqref="S28 S30">
    <cfRule type="cellIs" priority="1" operator="greaterThan" dxfId="0">
      <formula>0</formula>
    </cfRule>
  </conditionalFormatting>
  <pageMargins left="0.2362204724409449" right="0.2362204724409449" top="0.1574803149606299" bottom="0.1574803149606299" header="0.3149606299212598" footer="0.3149606299212598"/>
  <pageSetup orientation="portrait" paperSize="9"/>
</worksheet>
</file>

<file path=xl/worksheets/sheet25.xml><?xml version="1.0" encoding="utf-8"?>
<worksheet xmlns="http://schemas.openxmlformats.org/spreadsheetml/2006/main">
  <sheetPr>
    <outlinePr summaryBelow="1" summaryRight="1"/>
    <pageSetUpPr fitToPage="1"/>
  </sheetPr>
  <dimension ref="A4:AC64"/>
  <sheetViews>
    <sheetView topLeftCell="C1" workbookViewId="0">
      <selection activeCell="X17" sqref="X17"/>
    </sheetView>
  </sheetViews>
  <sheetFormatPr baseColWidth="8" defaultColWidth="9.1328125" defaultRowHeight="12.75"/>
  <cols>
    <col width="9.1328125" customWidth="1" style="1260" min="1" max="1"/>
    <col width="10.6640625" bestFit="1" customWidth="1" style="1260" min="2" max="2"/>
    <col width="10.19921875" bestFit="1" customWidth="1" style="1260" min="3" max="3"/>
    <col width="19.1328125" bestFit="1" customWidth="1" style="1260" min="4" max="4"/>
    <col width="9.1328125" customWidth="1" style="1260" min="5" max="19"/>
    <col width="4.53125" customWidth="1" style="1260" min="20" max="20"/>
    <col width="27.53125" bestFit="1" customWidth="1" style="1260" min="21" max="21"/>
    <col width="8.46484375" bestFit="1" customWidth="1" style="1260" min="22" max="22"/>
    <col width="4.33203125" customWidth="1" style="1260" min="23" max="23"/>
    <col width="19.1328125" bestFit="1" customWidth="1" style="1260" min="24" max="24"/>
    <col width="33.19921875" bestFit="1" customWidth="1" style="1260" min="25" max="25"/>
    <col width="19" bestFit="1" customWidth="1" style="1260" min="26" max="26"/>
    <col width="15.33203125" bestFit="1" customWidth="1" style="1260" min="27" max="27"/>
    <col width="10.53125" bestFit="1" customWidth="1" style="1260" min="28" max="28"/>
    <col width="14.1328125" bestFit="1" customWidth="1" style="1260" min="29" max="29"/>
    <col width="9.1328125" customWidth="1" style="1260" min="30" max="16384"/>
  </cols>
  <sheetData>
    <row r="4">
      <c r="N4" s="732" t="n">
        <v>1</v>
      </c>
      <c r="O4" s="1274" t="inlineStr">
        <is>
          <t>Joyce</t>
        </is>
      </c>
      <c r="P4" s="1274" t="inlineStr">
        <is>
          <t>James</t>
        </is>
      </c>
      <c r="T4" s="568" t="n">
        <v>1</v>
      </c>
      <c r="U4" s="1537" t="inlineStr">
        <is>
          <t>joyceejames@me.com</t>
        </is>
      </c>
      <c r="V4" s="1250" t="n">
        <v>0</v>
      </c>
      <c r="W4" s="568" t="n">
        <v>1</v>
      </c>
      <c r="X4" s="1250" t="inlineStr">
        <is>
          <t>Joyce James</t>
        </is>
      </c>
      <c r="Y4" s="1250" t="inlineStr">
        <is>
          <t>4 Archers Spinney</t>
        </is>
      </c>
      <c r="Z4" s="1250" t="inlineStr">
        <is>
          <t>Watts Lane</t>
        </is>
      </c>
      <c r="AA4" s="1250" t="inlineStr">
        <is>
          <t>Rugby</t>
        </is>
      </c>
      <c r="AB4" s="1250" t="inlineStr">
        <is>
          <t>CV21 4PH</t>
        </is>
      </c>
      <c r="AC4" s="1250" t="inlineStr">
        <is>
          <t>Warwickshire</t>
        </is>
      </c>
    </row>
    <row r="5" ht="13.15" customHeight="1" s="1232">
      <c r="A5" s="79" t="n">
        <v>1</v>
      </c>
      <c r="B5" s="1538" t="inlineStr">
        <is>
          <t>Joyce</t>
        </is>
      </c>
      <c r="C5" s="1538" t="inlineStr">
        <is>
          <t>James</t>
        </is>
      </c>
      <c r="E5" s="79" t="n">
        <v>1</v>
      </c>
      <c r="G5" s="1260" t="inlineStr">
        <is>
          <t>Andrew Clifforth</t>
        </is>
      </c>
      <c r="N5" s="732" t="n">
        <v>2</v>
      </c>
      <c r="O5" s="1274" t="inlineStr">
        <is>
          <t xml:space="preserve">Con </t>
        </is>
      </c>
      <c r="P5" s="1274" t="inlineStr">
        <is>
          <t>McHugh</t>
        </is>
      </c>
      <c r="T5" s="568" t="n">
        <v>1</v>
      </c>
      <c r="U5" s="1537" t="inlineStr">
        <is>
          <t>rosamund6142@btinternet.com</t>
        </is>
      </c>
      <c r="V5" s="1250" t="n">
        <v>22</v>
      </c>
      <c r="W5" s="568" t="n">
        <v>1</v>
      </c>
      <c r="X5" s="1250" t="inlineStr">
        <is>
          <t>Rosamund Sheppard</t>
        </is>
      </c>
      <c r="Y5" s="1250" t="inlineStr">
        <is>
          <t>14 Austcliff Drive</t>
        </is>
      </c>
      <c r="Z5" s="1250" t="inlineStr">
        <is>
          <t>Widney Manor</t>
        </is>
      </c>
      <c r="AA5" s="1250" t="inlineStr">
        <is>
          <t>Solihull</t>
        </is>
      </c>
      <c r="AB5" s="1250" t="inlineStr">
        <is>
          <t>B91 3XT</t>
        </is>
      </c>
      <c r="AC5" s="1250" t="n"/>
    </row>
    <row r="6" ht="13.15" customHeight="1" s="1232">
      <c r="A6" s="79" t="n">
        <v>2</v>
      </c>
      <c r="B6" s="1538" t="inlineStr">
        <is>
          <t>James</t>
        </is>
      </c>
      <c r="C6" s="1538" t="inlineStr">
        <is>
          <t>Cameron</t>
        </is>
      </c>
      <c r="E6" s="79" t="n">
        <v>1</v>
      </c>
      <c r="G6" s="1260" t="inlineStr">
        <is>
          <t>Ann Gribble</t>
        </is>
      </c>
      <c r="N6" s="732" t="n">
        <v>3</v>
      </c>
      <c r="O6" s="1274" t="inlineStr">
        <is>
          <t>Ian</t>
        </is>
      </c>
      <c r="P6" s="1274" t="inlineStr">
        <is>
          <t>Blake</t>
        </is>
      </c>
      <c r="T6" s="568" t="n">
        <v>1</v>
      </c>
      <c r="U6" s="1537" t="inlineStr">
        <is>
          <t>rokitowska@o2.pl</t>
        </is>
      </c>
      <c r="V6" s="1250" t="n">
        <v>50</v>
      </c>
      <c r="W6" s="568" t="n">
        <v>1</v>
      </c>
      <c r="X6" s="1250" t="inlineStr">
        <is>
          <t>Anna Rokitowska</t>
        </is>
      </c>
      <c r="Y6" s="1250" t="inlineStr">
        <is>
          <t>4 Canon Hudson Close</t>
        </is>
      </c>
      <c r="Z6" s="1250" t="n"/>
      <c r="AA6" s="1250" t="inlineStr">
        <is>
          <t>Coventry</t>
        </is>
      </c>
      <c r="AB6" s="1250" t="inlineStr">
        <is>
          <t>CV3 3HT</t>
        </is>
      </c>
      <c r="AC6" s="1250" t="inlineStr">
        <is>
          <t>West Midlands</t>
        </is>
      </c>
    </row>
    <row r="7" ht="13.15" customHeight="1" s="1232">
      <c r="A7" s="79" t="n">
        <v>3</v>
      </c>
      <c r="B7" s="1538" t="inlineStr">
        <is>
          <t>Simon</t>
        </is>
      </c>
      <c r="C7" s="1538" t="inlineStr">
        <is>
          <t>Betteridge</t>
        </is>
      </c>
      <c r="E7" s="79" t="n">
        <v>1</v>
      </c>
      <c r="G7" s="1260" t="inlineStr">
        <is>
          <t>Chris Shaw</t>
        </is>
      </c>
      <c r="N7" s="732" t="n">
        <v>4</v>
      </c>
      <c r="O7" s="1274" t="inlineStr">
        <is>
          <t>Kirsten</t>
        </is>
      </c>
      <c r="P7" s="1274" t="inlineStr">
        <is>
          <t>Pearce</t>
        </is>
      </c>
      <c r="T7" s="568" t="n">
        <v>1</v>
      </c>
      <c r="U7" s="1537" t="inlineStr">
        <is>
          <t>davidandringa2002@gmail.com</t>
        </is>
      </c>
      <c r="V7" s="1250" t="n">
        <v>75</v>
      </c>
      <c r="W7" s="568" t="n">
        <v>1</v>
      </c>
      <c r="X7" s="1250" t="inlineStr">
        <is>
          <t>David Andringa</t>
        </is>
      </c>
      <c r="Y7" s="1250" t="inlineStr">
        <is>
          <t>69 Jefferson Way</t>
        </is>
      </c>
      <c r="Z7" s="1250" t="inlineStr">
        <is>
          <t>Bannerbrook Park</t>
        </is>
      </c>
      <c r="AA7" s="1250" t="inlineStr">
        <is>
          <t>Coventry</t>
        </is>
      </c>
      <c r="AB7" s="1250" t="inlineStr">
        <is>
          <t>CV4 9WL</t>
        </is>
      </c>
      <c r="AC7" s="1250" t="inlineStr">
        <is>
          <t>England</t>
        </is>
      </c>
    </row>
    <row r="8" ht="13.15" customHeight="1" s="1232">
      <c r="A8" s="79" t="n">
        <v>4</v>
      </c>
      <c r="B8" s="1268" t="inlineStr">
        <is>
          <t>Garry</t>
        </is>
      </c>
      <c r="C8" s="1268" t="inlineStr">
        <is>
          <t>Such</t>
        </is>
      </c>
      <c r="E8" s="79" t="n">
        <v>1</v>
      </c>
      <c r="G8" s="1260" t="inlineStr">
        <is>
          <t>Derek Robbins</t>
        </is>
      </c>
      <c r="N8" s="732" t="n">
        <v>5</v>
      </c>
      <c r="O8" s="1274" t="inlineStr">
        <is>
          <t>Chris</t>
        </is>
      </c>
      <c r="P8" s="1274" t="inlineStr">
        <is>
          <t>Shaw</t>
        </is>
      </c>
      <c r="T8" s="568" t="n">
        <v>1</v>
      </c>
      <c r="U8" s="1537" t="inlineStr">
        <is>
          <t>clhannis@hotmail.co.uk</t>
        </is>
      </c>
      <c r="V8" s="1250" t="n">
        <v>99</v>
      </c>
      <c r="W8" s="568" t="n">
        <v>1</v>
      </c>
      <c r="X8" s="1250" t="inlineStr">
        <is>
          <t>Peter Hannis</t>
        </is>
      </c>
      <c r="Y8" s="1250" t="inlineStr">
        <is>
          <t>32 Crediton Close</t>
        </is>
      </c>
      <c r="Z8" s="1250" t="n"/>
      <c r="AA8" s="1250" t="inlineStr">
        <is>
          <t>Coventry</t>
        </is>
      </c>
      <c r="AB8" s="1250" t="inlineStr">
        <is>
          <t>CV3 5PX</t>
        </is>
      </c>
      <c r="AC8" s="1250" t="inlineStr">
        <is>
          <t>England</t>
        </is>
      </c>
    </row>
    <row r="9" ht="13.15" customHeight="1" s="1232">
      <c r="A9" s="79" t="n">
        <v>5</v>
      </c>
      <c r="B9" s="1538" t="inlineStr">
        <is>
          <t xml:space="preserve">Con </t>
        </is>
      </c>
      <c r="C9" s="1538" t="inlineStr">
        <is>
          <t>McHugh</t>
        </is>
      </c>
      <c r="E9" s="79" t="n">
        <v>1</v>
      </c>
      <c r="G9" s="1260" t="inlineStr">
        <is>
          <t>Ian Blake</t>
        </is>
      </c>
      <c r="N9" s="732" t="n">
        <v>6</v>
      </c>
      <c r="O9" s="1274" t="inlineStr">
        <is>
          <t>Chris</t>
        </is>
      </c>
      <c r="P9" s="1274" t="inlineStr">
        <is>
          <t>Parker</t>
        </is>
      </c>
      <c r="T9" s="568" t="n">
        <v>1</v>
      </c>
      <c r="U9" s="1537" t="inlineStr">
        <is>
          <t>karenskillings@live.co.uk</t>
        </is>
      </c>
      <c r="V9" s="1250" t="n">
        <v>99</v>
      </c>
      <c r="W9" s="568" t="n">
        <v>1</v>
      </c>
      <c r="X9" s="1250" t="inlineStr">
        <is>
          <t>Karen L Skillings</t>
        </is>
      </c>
      <c r="Y9" s="1250" t="inlineStr">
        <is>
          <t>6 Trevelyan Close, ClaverdonWarwick</t>
        </is>
      </c>
      <c r="Z9" s="1250" t="n"/>
      <c r="AA9" s="1250" t="inlineStr">
        <is>
          <t>Warwickshire</t>
        </is>
      </c>
      <c r="AB9" s="1250" t="inlineStr">
        <is>
          <t>CV35 8PA</t>
        </is>
      </c>
      <c r="AC9" s="1250" t="inlineStr">
        <is>
          <t>Warwickshire</t>
        </is>
      </c>
    </row>
    <row r="10" ht="13.15" customHeight="1" s="1232">
      <c r="A10" s="79" t="n">
        <v>6</v>
      </c>
      <c r="B10" s="1268" t="inlineStr">
        <is>
          <t>Ian</t>
        </is>
      </c>
      <c r="C10" s="1268" t="inlineStr">
        <is>
          <t>Blake</t>
        </is>
      </c>
      <c r="E10" s="79" t="n">
        <v>1</v>
      </c>
      <c r="G10" s="1260" t="inlineStr">
        <is>
          <t>James Cameron</t>
        </is>
      </c>
      <c r="N10" s="732" t="n">
        <v>7</v>
      </c>
      <c r="O10" s="1274" t="inlineStr">
        <is>
          <t>Jackie</t>
        </is>
      </c>
      <c r="P10" s="1274" t="inlineStr">
        <is>
          <t>Rosin</t>
        </is>
      </c>
      <c r="T10" s="568" t="n">
        <v>1</v>
      </c>
      <c r="U10" s="1537" t="inlineStr">
        <is>
          <t>annewatkinson@talk21.com</t>
        </is>
      </c>
      <c r="V10" s="1250" t="n">
        <v>360</v>
      </c>
      <c r="W10" s="568" t="n">
        <v>1</v>
      </c>
      <c r="X10" s="1250" t="inlineStr">
        <is>
          <t>Anne Watkinson</t>
        </is>
      </c>
      <c r="Y10" s="1250" t="inlineStr">
        <is>
          <t>17 Benton Green Lane</t>
        </is>
      </c>
      <c r="Z10" s="1250" t="n"/>
      <c r="AA10" s="1250" t="inlineStr">
        <is>
          <t>Coventry</t>
        </is>
      </c>
      <c r="AB10" s="1250" t="inlineStr">
        <is>
          <t>CV7 7DB</t>
        </is>
      </c>
      <c r="AC10" s="1250" t="inlineStr">
        <is>
          <t>England</t>
        </is>
      </c>
    </row>
    <row r="11" ht="13.15" customHeight="1" s="1232">
      <c r="A11" s="79" t="n">
        <v>7</v>
      </c>
      <c r="B11" s="1268" t="inlineStr">
        <is>
          <t>Kirsten</t>
        </is>
      </c>
      <c r="C11" s="1268" t="inlineStr">
        <is>
          <t>Pearce</t>
        </is>
      </c>
      <c r="E11" s="79" t="n">
        <v>1</v>
      </c>
      <c r="G11" s="1260" t="inlineStr">
        <is>
          <t>Janet Roberts</t>
        </is>
      </c>
      <c r="N11" s="732" t="n">
        <v>8</v>
      </c>
      <c r="O11" s="1274" t="inlineStr">
        <is>
          <t>Nicholas</t>
        </is>
      </c>
      <c r="P11" s="1274" t="inlineStr">
        <is>
          <t>Jones</t>
        </is>
      </c>
      <c r="T11" s="568" t="n">
        <v>1</v>
      </c>
      <c r="U11" s="1537" t="inlineStr">
        <is>
          <t>knpearce@hotmail.com</t>
        </is>
      </c>
      <c r="V11" s="1250" t="n">
        <v>360</v>
      </c>
      <c r="W11" s="568" t="n">
        <v>1</v>
      </c>
      <c r="X11" s="1250" t="inlineStr">
        <is>
          <t>Kirsten Pearce</t>
        </is>
      </c>
      <c r="Y11" s="1250" t="inlineStr">
        <is>
          <t>101 Birchfield Road</t>
        </is>
      </c>
      <c r="Z11" s="1250" t="n"/>
      <c r="AA11" s="1250" t="inlineStr">
        <is>
          <t>Coventry</t>
        </is>
      </c>
      <c r="AB11" s="1250" t="inlineStr">
        <is>
          <t>CV6 2BB</t>
        </is>
      </c>
      <c r="AC11" s="1250" t="n"/>
    </row>
    <row r="12" ht="13.15" customHeight="1" s="1232">
      <c r="A12" s="79" t="n">
        <v>8</v>
      </c>
      <c r="B12" s="1538" t="inlineStr">
        <is>
          <t>Paul</t>
        </is>
      </c>
      <c r="C12" s="1538" t="inlineStr">
        <is>
          <t>Kirby</t>
        </is>
      </c>
      <c r="E12" s="79" t="n">
        <v>1</v>
      </c>
      <c r="G12" s="1260" t="inlineStr">
        <is>
          <t>Jennifer Box</t>
        </is>
      </c>
      <c r="N12" s="732" t="n">
        <v>9</v>
      </c>
      <c r="O12" s="1274" t="inlineStr">
        <is>
          <t>Janice</t>
        </is>
      </c>
      <c r="P12" s="1274" t="inlineStr">
        <is>
          <t>Jordon</t>
        </is>
      </c>
      <c r="T12" s="568" t="n">
        <v>1</v>
      </c>
      <c r="U12" s="1537" t="inlineStr">
        <is>
          <t>Con McHugh</t>
        </is>
      </c>
      <c r="V12" s="1250" t="n"/>
      <c r="W12" s="568" t="n">
        <v>1</v>
      </c>
      <c r="X12" s="1250" t="n"/>
      <c r="Y12" s="1250" t="n"/>
      <c r="Z12" s="1250" t="n"/>
      <c r="AA12" s="1250" t="n"/>
      <c r="AB12" s="1250" t="n"/>
      <c r="AC12" s="1250" t="n"/>
    </row>
    <row r="13" ht="13.15" customHeight="1" s="1232">
      <c r="A13" s="79" t="n">
        <v>9</v>
      </c>
      <c r="B13" s="1268" t="inlineStr">
        <is>
          <t>Mike</t>
        </is>
      </c>
      <c r="C13" s="1268" t="inlineStr">
        <is>
          <t>Ford</t>
        </is>
      </c>
      <c r="E13" s="79" t="n">
        <v>1</v>
      </c>
      <c r="G13" s="1260" t="inlineStr">
        <is>
          <t>Johanna Stansfield</t>
        </is>
      </c>
      <c r="N13" s="732" t="n">
        <v>10</v>
      </c>
      <c r="O13" s="1274" t="inlineStr">
        <is>
          <t>Anne</t>
        </is>
      </c>
      <c r="P13" s="1274" t="inlineStr">
        <is>
          <t>Watkinson</t>
        </is>
      </c>
      <c r="T13" s="568" t="n">
        <v>1</v>
      </c>
      <c r="U13" s="1537" t="inlineStr">
        <is>
          <t>Mum &amp; Victor</t>
        </is>
      </c>
      <c r="V13" s="1250" t="n"/>
      <c r="W13" s="568" t="n">
        <v>1</v>
      </c>
      <c r="X13" s="1250" t="n"/>
      <c r="Y13" s="1250" t="n"/>
      <c r="Z13" s="1250" t="n"/>
      <c r="AA13" s="1250" t="n"/>
      <c r="AB13" s="1250" t="n"/>
      <c r="AC13" s="1250" t="n"/>
    </row>
    <row r="14" ht="13.15" customHeight="1" s="1232">
      <c r="A14" s="79" t="n">
        <v>10</v>
      </c>
      <c r="B14" s="1268" t="inlineStr">
        <is>
          <t>Serena</t>
        </is>
      </c>
      <c r="C14" s="1268" t="inlineStr">
        <is>
          <t>Nichols</t>
        </is>
      </c>
      <c r="E14" s="79" t="n">
        <v>1</v>
      </c>
      <c r="G14" s="1260" t="inlineStr">
        <is>
          <t>Joyce James</t>
        </is>
      </c>
      <c r="N14" s="732" t="n">
        <v>11</v>
      </c>
      <c r="O14" s="1274" t="inlineStr">
        <is>
          <t>Angela</t>
        </is>
      </c>
      <c r="P14" s="1274" t="inlineStr">
        <is>
          <t>Adams</t>
        </is>
      </c>
      <c r="T14" s="568" t="n">
        <v>1</v>
      </c>
      <c r="U14" s="1537" t="inlineStr">
        <is>
          <t>Jack &amp; Amber</t>
        </is>
      </c>
      <c r="V14" s="1250" t="n"/>
      <c r="W14" s="568" t="n">
        <v>1</v>
      </c>
      <c r="X14" s="1250" t="n"/>
      <c r="Y14" s="1250" t="n"/>
      <c r="Z14" s="1250" t="n"/>
      <c r="AA14" s="1250" t="n"/>
      <c r="AB14" s="1250" t="n"/>
      <c r="AC14" s="1250" t="n"/>
    </row>
    <row r="15" ht="13.15" customHeight="1" s="1232">
      <c r="A15" s="79" t="n">
        <v>11</v>
      </c>
      <c r="B15" s="1268" t="inlineStr">
        <is>
          <t>Chris</t>
        </is>
      </c>
      <c r="C15" s="1268" t="inlineStr">
        <is>
          <t>Shaw</t>
        </is>
      </c>
      <c r="E15" s="79" t="n">
        <v>1</v>
      </c>
      <c r="G15" s="1260" t="inlineStr">
        <is>
          <t>Julian Barton-Bodley</t>
        </is>
      </c>
      <c r="N15" s="732" t="n">
        <v>12</v>
      </c>
      <c r="O15" s="1274" t="inlineStr">
        <is>
          <t>Janet</t>
        </is>
      </c>
      <c r="P15" s="1274" t="inlineStr">
        <is>
          <t>Boulter</t>
        </is>
      </c>
      <c r="T15" s="568" t="n">
        <v>1</v>
      </c>
      <c r="U15" s="1537" t="inlineStr">
        <is>
          <t>martinandhelen123@gmail.com</t>
        </is>
      </c>
      <c r="V15" s="1250" t="n">
        <v>825</v>
      </c>
      <c r="W15" s="568" t="n">
        <v>1</v>
      </c>
      <c r="X15" s="1250" t="inlineStr">
        <is>
          <t>Helen Sotheran</t>
        </is>
      </c>
      <c r="Y15" s="1250" t="inlineStr">
        <is>
          <t>Morgan House,</t>
        </is>
      </c>
      <c r="Z15" s="1250" t="inlineStr">
        <is>
          <t>2 Claylands, Gaydon</t>
        </is>
      </c>
      <c r="AA15" s="1250" t="inlineStr">
        <is>
          <t>Warwick</t>
        </is>
      </c>
      <c r="AB15" s="1250" t="inlineStr">
        <is>
          <t>CV35 0ES</t>
        </is>
      </c>
      <c r="AC15" s="1250" t="inlineStr">
        <is>
          <t>Warwickshire</t>
        </is>
      </c>
    </row>
    <row r="16" ht="13.15" customHeight="1" s="1232">
      <c r="A16" s="79" t="n">
        <v>12</v>
      </c>
      <c r="B16" s="1268" t="inlineStr">
        <is>
          <t xml:space="preserve">Robert </t>
        </is>
      </c>
      <c r="C16" s="1268" t="inlineStr">
        <is>
          <t>Edwards</t>
        </is>
      </c>
      <c r="E16" s="79" t="n">
        <v>1</v>
      </c>
      <c r="G16" s="1260" t="inlineStr">
        <is>
          <t>Kirsten Pearce</t>
        </is>
      </c>
      <c r="N16" s="732" t="n">
        <v>13</v>
      </c>
      <c r="O16" s="1274" t="inlineStr">
        <is>
          <t>Jeremy</t>
        </is>
      </c>
      <c r="P16" s="1274" t="inlineStr">
        <is>
          <t>Troth</t>
        </is>
      </c>
      <c r="T16" s="568" t="n">
        <v>1</v>
      </c>
      <c r="U16" s="1537" t="inlineStr">
        <is>
          <t>Karen Clothier</t>
        </is>
      </c>
      <c r="V16" s="1250" t="n"/>
      <c r="W16" s="859" t="n">
        <v>1</v>
      </c>
      <c r="X16" s="1250" t="n"/>
      <c r="Y16" s="1250" t="n"/>
      <c r="Z16" s="1250" t="n"/>
      <c r="AA16" s="1250" t="n"/>
      <c r="AB16" s="1250" t="n"/>
      <c r="AC16" s="1250" t="n"/>
    </row>
    <row r="17" ht="13.15" customHeight="1" s="1232">
      <c r="A17" s="79" t="n"/>
      <c r="B17" s="1268" t="n"/>
      <c r="C17" s="1268" t="n"/>
      <c r="E17" s="79" t="n"/>
      <c r="N17" s="732" t="n"/>
      <c r="O17" s="1274" t="n"/>
      <c r="P17" s="1274" t="n"/>
      <c r="T17" s="568" t="n">
        <v>1</v>
      </c>
      <c r="U17" s="1537" t="inlineStr">
        <is>
          <t>Kasia</t>
        </is>
      </c>
      <c r="V17" s="1250" t="n"/>
      <c r="W17" s="859" t="n">
        <v>1</v>
      </c>
      <c r="X17" s="1250" t="inlineStr">
        <is>
          <t>Kasia</t>
        </is>
      </c>
      <c r="Y17" s="1250" t="n"/>
      <c r="Z17" s="1250" t="n"/>
      <c r="AA17" s="1250" t="n"/>
      <c r="AB17" s="1250" t="n"/>
      <c r="AC17" s="1250" t="n"/>
    </row>
    <row r="18" ht="13.15" customHeight="1" s="1232">
      <c r="A18" s="79" t="n"/>
      <c r="B18" s="1268" t="n"/>
      <c r="C18" s="1268" t="n"/>
      <c r="E18" s="79" t="n"/>
      <c r="N18" s="732" t="n"/>
      <c r="O18" s="1274" t="n"/>
      <c r="P18" s="1274" t="n"/>
      <c r="T18" s="568" t="n">
        <v>1</v>
      </c>
      <c r="U18" s="1537" t="inlineStr">
        <is>
          <t>Tony Teague</t>
        </is>
      </c>
      <c r="V18" s="1250" t="n"/>
      <c r="W18" s="859" t="n">
        <v>1</v>
      </c>
      <c r="X18" s="1250" t="inlineStr">
        <is>
          <t>Tony Teague</t>
        </is>
      </c>
      <c r="Y18" s="1250" t="inlineStr">
        <is>
          <t>High View, Main Street</t>
        </is>
      </c>
      <c r="Z18" s="1250" t="n"/>
      <c r="AA18" s="1250" t="inlineStr">
        <is>
          <t>UPPER STOWE</t>
        </is>
      </c>
      <c r="AB18" s="1250" t="inlineStr">
        <is>
          <t>NN7 4SH</t>
        </is>
      </c>
      <c r="AC18" s="1250" t="inlineStr">
        <is>
          <t>Northants</t>
        </is>
      </c>
    </row>
    <row r="19" ht="13.15" customHeight="1" s="1232">
      <c r="A19" s="79" t="n"/>
      <c r="B19" s="1268" t="n"/>
      <c r="C19" s="1268" t="n"/>
      <c r="E19" s="79" t="n"/>
      <c r="N19" s="732" t="n"/>
      <c r="O19" s="1274" t="n"/>
      <c r="P19" s="1274" t="n"/>
      <c r="T19" s="568" t="n"/>
      <c r="U19" s="1537" t="n"/>
      <c r="V19" s="1250" t="n"/>
      <c r="W19" s="1250" t="n"/>
      <c r="X19" s="1250" t="n"/>
      <c r="Y19" s="1250" t="n"/>
      <c r="Z19" s="1250" t="n"/>
      <c r="AA19" s="1250" t="n"/>
      <c r="AB19" s="1250" t="n"/>
      <c r="AC19" s="1250" t="n"/>
    </row>
    <row r="20" ht="13.15" customHeight="1" s="1232">
      <c r="A20" s="79" t="n"/>
      <c r="B20" s="1268" t="n"/>
      <c r="C20" s="1268" t="n"/>
      <c r="E20" s="79" t="n"/>
      <c r="N20" s="732" t="n"/>
      <c r="O20" s="1274" t="n"/>
      <c r="P20" s="1274" t="n"/>
      <c r="T20" s="568" t="n"/>
      <c r="U20" s="1537" t="n"/>
      <c r="V20" s="1250" t="n"/>
      <c r="W20" s="1250" t="n"/>
      <c r="X20" s="1250" t="n"/>
      <c r="Y20" s="1250" t="n"/>
      <c r="Z20" s="1250" t="n"/>
      <c r="AA20" s="1250" t="n"/>
      <c r="AB20" s="1250" t="n"/>
      <c r="AC20" s="1250" t="n"/>
    </row>
    <row r="21" ht="13.15" customHeight="1" s="1232">
      <c r="A21" s="79" t="n">
        <v>13</v>
      </c>
      <c r="B21" s="1538" t="inlineStr">
        <is>
          <t>Chris</t>
        </is>
      </c>
      <c r="C21" s="1538" t="inlineStr">
        <is>
          <t>Parker</t>
        </is>
      </c>
      <c r="E21" s="79" t="n">
        <v>1</v>
      </c>
      <c r="G21" s="1260" t="inlineStr">
        <is>
          <t>Terry Smallman</t>
        </is>
      </c>
      <c r="N21" s="732" t="n">
        <v>14</v>
      </c>
      <c r="O21" s="1260" t="inlineStr">
        <is>
          <t xml:space="preserve">Justin </t>
        </is>
      </c>
      <c r="P21" s="1260" t="inlineStr">
        <is>
          <t>Meaden</t>
        </is>
      </c>
      <c r="T21" s="568" t="n"/>
      <c r="U21" s="1250" t="n"/>
      <c r="V21" s="1250" t="n"/>
      <c r="W21" s="1250" t="n"/>
      <c r="X21" s="1250" t="n"/>
      <c r="Y21" s="1250" t="n"/>
      <c r="Z21" s="1250" t="n"/>
      <c r="AA21" s="1250" t="n"/>
      <c r="AB21" s="1250" t="n"/>
      <c r="AC21" s="1250" t="n"/>
    </row>
    <row r="22" ht="13.15" customHeight="1" s="1232">
      <c r="A22" s="79" t="n">
        <v>14</v>
      </c>
      <c r="B22" s="1538" t="inlineStr">
        <is>
          <t>Jackie</t>
        </is>
      </c>
      <c r="C22" s="1538" t="inlineStr">
        <is>
          <t>Rosin</t>
        </is>
      </c>
      <c r="E22" s="79" t="n">
        <v>1</v>
      </c>
      <c r="G22" s="1260" t="inlineStr">
        <is>
          <t>Neil Chester</t>
        </is>
      </c>
      <c r="N22" s="732" t="n">
        <v>15</v>
      </c>
      <c r="O22" s="1260" t="inlineStr">
        <is>
          <t>Ester</t>
        </is>
      </c>
      <c r="P22" s="1260" t="inlineStr">
        <is>
          <t>Rhiordan</t>
        </is>
      </c>
      <c r="T22" s="568" t="n"/>
      <c r="U22" s="1250" t="n"/>
      <c r="V22" s="1250" t="n"/>
      <c r="W22" s="568" t="n"/>
      <c r="X22" s="1250" t="n"/>
      <c r="Y22" s="1250" t="n"/>
      <c r="Z22" s="1250" t="n"/>
      <c r="AA22" s="1250" t="n"/>
      <c r="AB22" s="1250" t="n"/>
      <c r="AC22" s="1250" t="n"/>
    </row>
    <row r="23" ht="13.15" customHeight="1" s="1232">
      <c r="A23" s="79" t="n">
        <v>15</v>
      </c>
      <c r="B23" s="1268" t="inlineStr">
        <is>
          <t>Steve</t>
        </is>
      </c>
      <c r="C23" s="1268" t="inlineStr">
        <is>
          <t>Horton</t>
        </is>
      </c>
      <c r="E23" s="79" t="n">
        <v>1</v>
      </c>
      <c r="G23" s="1260" t="inlineStr">
        <is>
          <t>Paul Kirby</t>
        </is>
      </c>
      <c r="N23" s="732" t="n">
        <v>16</v>
      </c>
      <c r="O23" s="1260" t="inlineStr">
        <is>
          <t>Graham</t>
        </is>
      </c>
      <c r="P23" s="1260" t="inlineStr">
        <is>
          <t>Ibstock</t>
        </is>
      </c>
      <c r="T23" s="568" t="n"/>
      <c r="U23" s="1250" t="inlineStr">
        <is>
          <t>jonathan_owl@yahoo.co.uk</t>
        </is>
      </c>
      <c r="V23" s="1250" t="n">
        <v>99</v>
      </c>
      <c r="W23" s="568" t="n">
        <v>1</v>
      </c>
      <c r="X23" s="1250" t="inlineStr">
        <is>
          <t>Jonathan Ellis</t>
        </is>
      </c>
      <c r="Y23" s="1250" t="inlineStr">
        <is>
          <t>10 Juniper Close</t>
        </is>
      </c>
      <c r="Z23" s="1250" t="inlineStr">
        <is>
          <t>Lutterworth</t>
        </is>
      </c>
      <c r="AA23" s="1250" t="inlineStr">
        <is>
          <t>lutterworth</t>
        </is>
      </c>
      <c r="AB23" s="1250" t="inlineStr">
        <is>
          <t>LE174US</t>
        </is>
      </c>
      <c r="AC23" s="1250" t="inlineStr">
        <is>
          <t>Leicestershire</t>
        </is>
      </c>
    </row>
    <row r="24" ht="13.15" customHeight="1" s="1232">
      <c r="A24" s="79" t="n">
        <v>16</v>
      </c>
      <c r="B24" s="1268" t="inlineStr">
        <is>
          <t>Nicholas</t>
        </is>
      </c>
      <c r="C24" s="1268" t="inlineStr">
        <is>
          <t>Jones</t>
        </is>
      </c>
      <c r="E24" s="79" t="n">
        <v>1</v>
      </c>
      <c r="G24" s="1260" t="inlineStr">
        <is>
          <t>Rosamund Sheppard</t>
        </is>
      </c>
      <c r="N24" s="732" t="n">
        <v>17</v>
      </c>
      <c r="O24" s="1260" t="inlineStr">
        <is>
          <t>Johanna</t>
        </is>
      </c>
      <c r="P24" s="1260" t="inlineStr">
        <is>
          <t>Stansfield</t>
        </is>
      </c>
      <c r="T24" s="568" t="n"/>
      <c r="U24" s="1250" t="inlineStr">
        <is>
          <t>johanna81005@gmail.com</t>
        </is>
      </c>
      <c r="V24" s="1250" t="n">
        <v>100</v>
      </c>
      <c r="W24" s="568" t="n">
        <v>1</v>
      </c>
      <c r="X24" s="1250" t="inlineStr">
        <is>
          <t>Johanna Stansfield</t>
        </is>
      </c>
      <c r="Y24" s="1250" t="inlineStr">
        <is>
          <t>10 Tylers Grove</t>
        </is>
      </c>
      <c r="Z24" s="1250" t="n"/>
      <c r="AA24" s="1250" t="inlineStr">
        <is>
          <t>Solihull</t>
        </is>
      </c>
      <c r="AB24" s="1250" t="inlineStr">
        <is>
          <t>B90 4TJ</t>
        </is>
      </c>
      <c r="AC24" s="1250" t="inlineStr">
        <is>
          <t>England</t>
        </is>
      </c>
    </row>
    <row r="25" ht="13.15" customHeight="1" s="1232">
      <c r="A25" s="79" t="n">
        <v>17</v>
      </c>
      <c r="B25" s="1268" t="inlineStr">
        <is>
          <t>Harriet</t>
        </is>
      </c>
      <c r="C25" s="1268" t="inlineStr">
        <is>
          <t>Bowley</t>
        </is>
      </c>
      <c r="E25" s="79" t="n">
        <v>1</v>
      </c>
      <c r="G25" s="1260" t="inlineStr">
        <is>
          <t>Shuna Frood</t>
        </is>
      </c>
      <c r="N25" s="732" t="n">
        <v>18</v>
      </c>
      <c r="O25" s="1260" t="inlineStr">
        <is>
          <t>John</t>
        </is>
      </c>
      <c r="P25" s="1260" t="inlineStr">
        <is>
          <t>Seely</t>
        </is>
      </c>
      <c r="T25" s="568" t="n"/>
      <c r="U25" s="1250" t="n"/>
      <c r="V25" s="1250" t="n"/>
      <c r="W25" s="568" t="n"/>
    </row>
    <row r="26" ht="13.15" customHeight="1" s="1232">
      <c r="A26" s="79" t="n">
        <v>18</v>
      </c>
      <c r="B26" s="1268" t="inlineStr">
        <is>
          <t>Rosamund</t>
        </is>
      </c>
      <c r="C26" s="1268" t="inlineStr">
        <is>
          <t>Shephard</t>
        </is>
      </c>
      <c r="E26" s="79" t="n">
        <v>1</v>
      </c>
      <c r="G26" s="1260" t="inlineStr">
        <is>
          <t>Simon Betteridge</t>
        </is>
      </c>
      <c r="N26" s="732" t="n">
        <v>19</v>
      </c>
      <c r="O26" s="1260" t="inlineStr">
        <is>
          <t>Robert</t>
        </is>
      </c>
      <c r="P26" s="1260" t="inlineStr">
        <is>
          <t>Edwards</t>
        </is>
      </c>
      <c r="T26" s="568" t="n"/>
      <c r="U26" s="1250" t="inlineStr">
        <is>
          <t>peter@hagger.org</t>
        </is>
      </c>
      <c r="V26" s="1250" t="n">
        <v>395</v>
      </c>
      <c r="W26" s="568" t="n">
        <v>1</v>
      </c>
      <c r="X26" s="1250" t="inlineStr">
        <is>
          <t>Peter Hagger</t>
        </is>
      </c>
      <c r="Y26" s="1250" t="inlineStr">
        <is>
          <t>106 Hayling Avenue</t>
        </is>
      </c>
      <c r="Z26" s="1250" t="inlineStr">
        <is>
          <t>Little Paxton</t>
        </is>
      </c>
      <c r="AA26" s="1250" t="inlineStr">
        <is>
          <t>ST. NEOTS</t>
        </is>
      </c>
      <c r="AB26" s="1250" t="inlineStr">
        <is>
          <t>PE19 6HQ</t>
        </is>
      </c>
      <c r="AC26" s="1250" t="inlineStr">
        <is>
          <t>Cambs</t>
        </is>
      </c>
    </row>
    <row r="27" ht="13.15" customHeight="1" s="1232">
      <c r="A27" s="79" t="n">
        <v>19</v>
      </c>
      <c r="B27" s="1268" t="inlineStr">
        <is>
          <t>Jennifer</t>
        </is>
      </c>
      <c r="C27" s="1268" t="inlineStr">
        <is>
          <t>Box</t>
        </is>
      </c>
      <c r="E27" s="79" t="n">
        <v>1</v>
      </c>
      <c r="G27" s="1260" t="inlineStr">
        <is>
          <t>Simona Carena</t>
        </is>
      </c>
      <c r="N27" s="732" t="n">
        <v>20</v>
      </c>
      <c r="O27" s="1260" t="inlineStr">
        <is>
          <t>Chris</t>
        </is>
      </c>
      <c r="P27" s="1260" t="inlineStr">
        <is>
          <t>Shaw</t>
        </is>
      </c>
      <c r="T27" s="568" t="n"/>
      <c r="U27" s="1250" t="n"/>
      <c r="V27" s="1250" t="n"/>
      <c r="W27" s="568" t="n"/>
      <c r="X27" s="1250" t="n"/>
      <c r="Y27" s="1250" t="n"/>
      <c r="Z27" s="1250" t="n"/>
      <c r="AA27" s="1250" t="n"/>
      <c r="AB27" s="1250" t="n"/>
      <c r="AC27" s="1250" t="n"/>
    </row>
    <row r="28" ht="13.15" customHeight="1" s="1232">
      <c r="A28" s="79" t="n">
        <v>20</v>
      </c>
      <c r="B28" s="1538" t="inlineStr">
        <is>
          <t>Janice</t>
        </is>
      </c>
      <c r="C28" s="1538" t="inlineStr">
        <is>
          <t>Jordon</t>
        </is>
      </c>
      <c r="E28" s="79" t="n">
        <v>2</v>
      </c>
      <c r="G28" s="1260" t="inlineStr">
        <is>
          <t>Dunstan Vavasour</t>
        </is>
      </c>
      <c r="N28" s="732" t="n">
        <v>21</v>
      </c>
      <c r="O28" s="1260" t="inlineStr">
        <is>
          <t>Helen</t>
        </is>
      </c>
      <c r="P28" s="1260" t="inlineStr">
        <is>
          <t>Sotheran</t>
        </is>
      </c>
      <c r="T28" s="568" t="n"/>
      <c r="U28" s="1250" t="n"/>
      <c r="V28" s="1250" t="n"/>
      <c r="W28" s="568" t="n"/>
      <c r="X28" s="1250" t="n"/>
      <c r="Y28" s="1250" t="n"/>
      <c r="Z28" s="1250" t="n"/>
      <c r="AA28" s="1250" t="n"/>
      <c r="AB28" s="1250" t="n"/>
      <c r="AC28" s="1250" t="n"/>
    </row>
    <row r="29">
      <c r="A29" s="79" t="n">
        <v>21</v>
      </c>
      <c r="B29" s="1260" t="inlineStr">
        <is>
          <t>Malcolm</t>
        </is>
      </c>
      <c r="C29" s="1260" t="inlineStr">
        <is>
          <t>Park</t>
        </is>
      </c>
      <c r="E29" s="79" t="n">
        <v>2</v>
      </c>
      <c r="G29" s="1260" t="inlineStr">
        <is>
          <t>Jacki Rosin</t>
        </is>
      </c>
      <c r="N29" s="732" t="n">
        <v>22</v>
      </c>
      <c r="O29" s="1260" t="inlineStr">
        <is>
          <t xml:space="preserve">Janet </t>
        </is>
      </c>
      <c r="P29" s="1260" t="inlineStr">
        <is>
          <t>Boulter</t>
        </is>
      </c>
      <c r="T29" s="568" t="n"/>
      <c r="U29" s="1250" t="n"/>
      <c r="V29" s="1250" t="n"/>
      <c r="W29" s="568" t="n"/>
      <c r="X29" s="1250" t="n"/>
      <c r="Y29" s="1250" t="n"/>
      <c r="Z29" s="1250" t="n"/>
      <c r="AA29" s="1250" t="n"/>
      <c r="AB29" s="1250" t="n"/>
      <c r="AC29" s="1250" t="n"/>
    </row>
    <row r="30">
      <c r="A30" s="79" t="n">
        <v>22</v>
      </c>
      <c r="B30" s="1260" t="inlineStr">
        <is>
          <t>Laura</t>
        </is>
      </c>
      <c r="C30" s="1260" t="inlineStr">
        <is>
          <t>Byrne</t>
        </is>
      </c>
      <c r="E30" s="79" t="n">
        <v>2</v>
      </c>
      <c r="G30" s="1260" t="inlineStr">
        <is>
          <t>John Duncombe</t>
        </is>
      </c>
      <c r="N30" s="732" t="n">
        <v>23</v>
      </c>
      <c r="O30" s="1260" t="inlineStr">
        <is>
          <t xml:space="preserve">Dennis </t>
        </is>
      </c>
      <c r="P30" s="1260" t="inlineStr">
        <is>
          <t>Jeffrey</t>
        </is>
      </c>
      <c r="T30" s="568" t="n"/>
      <c r="U30" s="1250" t="n"/>
      <c r="V30" s="1250" t="n"/>
      <c r="W30" s="568" t="n"/>
      <c r="X30" s="1250" t="n"/>
      <c r="Y30" s="1250" t="n"/>
      <c r="Z30" s="1250" t="n"/>
      <c r="AA30" s="1250" t="n"/>
      <c r="AB30" s="1250" t="n"/>
      <c r="AC30" s="1250" t="n"/>
    </row>
    <row r="31">
      <c r="A31" s="79" t="n">
        <v>23</v>
      </c>
      <c r="B31" s="1260" t="inlineStr">
        <is>
          <t>Chris</t>
        </is>
      </c>
      <c r="C31" s="1260" t="inlineStr">
        <is>
          <t>Johnson</t>
        </is>
      </c>
      <c r="E31" s="79" t="n">
        <v>2</v>
      </c>
      <c r="G31" s="1260" t="inlineStr">
        <is>
          <t>Paul Skidmore</t>
        </is>
      </c>
      <c r="N31" s="732" t="n">
        <v>24</v>
      </c>
      <c r="O31" s="1260" t="inlineStr">
        <is>
          <t xml:space="preserve">Ester </t>
        </is>
      </c>
      <c r="P31" s="1260" t="inlineStr">
        <is>
          <t xml:space="preserve">Riordan </t>
        </is>
      </c>
      <c r="T31" s="568" t="n"/>
      <c r="U31" s="1250" t="inlineStr">
        <is>
          <t>harriet.bowley@hotmail.co.uk</t>
        </is>
      </c>
      <c r="V31" s="1250" t="n">
        <v>750</v>
      </c>
      <c r="W31" s="568" t="n">
        <v>1</v>
      </c>
      <c r="X31" s="1250" t="inlineStr">
        <is>
          <t>Harriet Bowley</t>
        </is>
      </c>
      <c r="Y31" s="1250" t="inlineStr">
        <is>
          <t>50A Warwick Place</t>
        </is>
      </c>
      <c r="Z31" s="1250" t="n"/>
      <c r="AA31" s="1250" t="inlineStr">
        <is>
          <t>Leamington Spa</t>
        </is>
      </c>
      <c r="AB31" s="1250" t="inlineStr">
        <is>
          <t>CV32 5DF</t>
        </is>
      </c>
      <c r="AC31" s="1250" t="inlineStr">
        <is>
          <t>England</t>
        </is>
      </c>
    </row>
    <row r="32">
      <c r="A32" s="79" t="n">
        <v>24</v>
      </c>
      <c r="E32" s="79" t="n"/>
      <c r="G32" s="1260" t="inlineStr">
        <is>
          <t>Steve Barber</t>
        </is>
      </c>
      <c r="N32" s="732" t="n">
        <v>25</v>
      </c>
      <c r="O32" s="1260" t="inlineStr">
        <is>
          <t>Janice</t>
        </is>
      </c>
      <c r="P32" s="1260" t="inlineStr">
        <is>
          <t>Jordan</t>
        </is>
      </c>
      <c r="T32" s="568" t="n"/>
      <c r="U32" s="1250" t="inlineStr">
        <is>
          <t>jamesparker77@hotmail.com</t>
        </is>
      </c>
      <c r="V32" s="1250" t="n">
        <v>750</v>
      </c>
      <c r="W32" s="568" t="n">
        <v>1</v>
      </c>
      <c r="X32" s="1250" t="inlineStr">
        <is>
          <t>James Parker</t>
        </is>
      </c>
      <c r="Y32" s="1250" t="inlineStr">
        <is>
          <t>5 Archery Road</t>
        </is>
      </c>
      <c r="Z32" s="1250" t="inlineStr">
        <is>
          <t>Leamington spa</t>
        </is>
      </c>
      <c r="AA32" s="1250" t="inlineStr">
        <is>
          <t>Leamington Spa</t>
        </is>
      </c>
      <c r="AB32" s="1250" t="inlineStr">
        <is>
          <t>Cv31 3pt</t>
        </is>
      </c>
      <c r="AC32" s="1250" t="inlineStr">
        <is>
          <t>Warks</t>
        </is>
      </c>
    </row>
    <row r="33">
      <c r="A33" s="79" t="n">
        <v>25</v>
      </c>
      <c r="E33" s="79" t="n"/>
      <c r="G33" s="1260" t="inlineStr">
        <is>
          <t>Sue Phillips</t>
        </is>
      </c>
      <c r="N33" s="732" t="n">
        <v>26</v>
      </c>
      <c r="O33" s="1260" t="inlineStr">
        <is>
          <t xml:space="preserve">Con </t>
        </is>
      </c>
      <c r="P33" s="1260" t="inlineStr">
        <is>
          <t>McHugh</t>
        </is>
      </c>
      <c r="T33" s="568" t="n"/>
      <c r="U33" s="1250" t="inlineStr">
        <is>
          <t>martin@ormerod.uk.net</t>
        </is>
      </c>
      <c r="V33" s="1250" t="n">
        <v>750</v>
      </c>
      <c r="W33" s="568" t="n">
        <v>1</v>
      </c>
      <c r="X33" s="1250" t="inlineStr">
        <is>
          <t>Martin Ormerod</t>
        </is>
      </c>
      <c r="Y33" s="1250" t="inlineStr">
        <is>
          <t>99 Rugby Road</t>
        </is>
      </c>
      <c r="Z33" s="1250" t="inlineStr">
        <is>
          <t>Milverton</t>
        </is>
      </c>
      <c r="AA33" s="1250" t="inlineStr">
        <is>
          <t>Leamington Spa</t>
        </is>
      </c>
      <c r="AB33" s="1250" t="inlineStr">
        <is>
          <t>CV32 6DH</t>
        </is>
      </c>
      <c r="AC33" s="1250" t="inlineStr">
        <is>
          <t>Warwickshire</t>
        </is>
      </c>
    </row>
    <row r="34" ht="13.15" customHeight="1" s="1232">
      <c r="A34" s="79" t="n">
        <v>26</v>
      </c>
      <c r="B34" s="1268" t="inlineStr">
        <is>
          <t>Gary</t>
        </is>
      </c>
      <c r="C34" s="1268" t="inlineStr">
        <is>
          <t>Taylor</t>
        </is>
      </c>
      <c r="E34" s="79" t="n">
        <v>3</v>
      </c>
      <c r="G34" s="1260" t="inlineStr">
        <is>
          <t>Chris Parker</t>
        </is>
      </c>
      <c r="N34" s="732" t="n">
        <v>27</v>
      </c>
      <c r="O34" s="1260" t="inlineStr">
        <is>
          <t>Bob</t>
        </is>
      </c>
      <c r="P34" s="1260" t="inlineStr">
        <is>
          <t>Griffiths</t>
        </is>
      </c>
      <c r="T34" s="568" t="n"/>
      <c r="U34" s="1250" t="n"/>
      <c r="V34" s="1250" t="n"/>
      <c r="W34" s="568" t="n">
        <v>1</v>
      </c>
      <c r="X34" s="1260" t="inlineStr">
        <is>
          <t>Ian Blake</t>
        </is>
      </c>
      <c r="Y34" s="1250" t="n"/>
      <c r="Z34" s="1250" t="n"/>
      <c r="AA34" s="1250" t="n"/>
      <c r="AB34" s="1250" t="n"/>
      <c r="AC34" s="1250" t="n"/>
    </row>
    <row r="35" ht="13.15" customHeight="1" s="1232">
      <c r="A35" s="79" t="n">
        <v>27</v>
      </c>
      <c r="B35" s="1268" t="inlineStr">
        <is>
          <t>Dean</t>
        </is>
      </c>
      <c r="C35" s="1268" t="inlineStr">
        <is>
          <t>Moore</t>
        </is>
      </c>
      <c r="E35" s="79" t="n">
        <v>3</v>
      </c>
      <c r="G35" s="1260" t="inlineStr">
        <is>
          <t>Nicholas Jones</t>
        </is>
      </c>
      <c r="N35" s="732" t="n">
        <v>28</v>
      </c>
      <c r="O35" s="1260" t="inlineStr">
        <is>
          <t>Helen</t>
        </is>
      </c>
      <c r="P35" s="1260" t="inlineStr">
        <is>
          <t>Sotheran</t>
        </is>
      </c>
      <c r="T35" s="568" t="n"/>
      <c r="U35" s="1250" t="n"/>
      <c r="V35" s="1250" t="n"/>
      <c r="W35" s="568" t="n">
        <v>1</v>
      </c>
      <c r="X35" s="1260" t="inlineStr">
        <is>
          <t>Johanna Stansfield</t>
        </is>
      </c>
      <c r="Y35" s="1250" t="n"/>
      <c r="Z35" s="1250" t="n"/>
      <c r="AA35" s="1250" t="n"/>
      <c r="AB35" s="1250" t="n"/>
      <c r="AC35" s="1250" t="n"/>
    </row>
    <row r="36" ht="13.15" customHeight="1" s="1232">
      <c r="A36" s="79" t="n">
        <v>28</v>
      </c>
      <c r="B36" s="1268" t="inlineStr">
        <is>
          <t>Phil</t>
        </is>
      </c>
      <c r="C36" s="1268" t="inlineStr">
        <is>
          <t>Martin</t>
        </is>
      </c>
      <c r="E36" s="79" t="n">
        <v>3</v>
      </c>
      <c r="G36" s="1260" t="inlineStr">
        <is>
          <t>Philip Martin</t>
        </is>
      </c>
      <c r="N36" s="732" t="n">
        <v>29</v>
      </c>
      <c r="O36" s="1260" t="inlineStr">
        <is>
          <t>Tony</t>
        </is>
      </c>
      <c r="P36" s="1260" t="inlineStr">
        <is>
          <t>Teague</t>
        </is>
      </c>
      <c r="T36" s="568" t="n"/>
      <c r="U36" s="1250" t="n"/>
      <c r="V36" s="1250" t="n"/>
      <c r="W36" s="568" t="n">
        <v>1</v>
      </c>
      <c r="X36" s="1260" t="inlineStr">
        <is>
          <t>Jacki Rosin</t>
        </is>
      </c>
      <c r="Y36" s="1250" t="n"/>
      <c r="Z36" s="1250" t="n"/>
      <c r="AA36" s="1250" t="n"/>
      <c r="AB36" s="1250" t="n"/>
      <c r="AC36" s="1250" t="n"/>
    </row>
    <row r="37" ht="15" customHeight="1" s="1232">
      <c r="A37" s="79" t="n">
        <v>29</v>
      </c>
      <c r="B37" s="1268" t="inlineStr">
        <is>
          <t>Janet</t>
        </is>
      </c>
      <c r="C37" s="1268" t="inlineStr">
        <is>
          <t>Roberts</t>
        </is>
      </c>
      <c r="E37" s="79" t="n">
        <v>3</v>
      </c>
      <c r="G37" s="1260" t="inlineStr">
        <is>
          <t>Robert Edwards</t>
        </is>
      </c>
      <c r="N37" s="732" t="n">
        <v>30</v>
      </c>
      <c r="O37" s="1260" t="inlineStr">
        <is>
          <t>George</t>
        </is>
      </c>
      <c r="P37" s="1260" t="inlineStr">
        <is>
          <t>Hughes</t>
        </is>
      </c>
      <c r="T37" s="568">
        <f>SUM(T4:T36)</f>
        <v/>
      </c>
      <c r="U37" s="714" t="n"/>
      <c r="V37" s="1250" t="n"/>
      <c r="W37" s="568" t="n">
        <v>1</v>
      </c>
      <c r="X37" s="1260" t="inlineStr">
        <is>
          <t>Chris Parker</t>
        </is>
      </c>
      <c r="Y37" s="1250" t="n"/>
      <c r="Z37" s="1250" t="n"/>
      <c r="AA37" s="1250" t="n"/>
      <c r="AB37" s="1250" t="n"/>
      <c r="AC37" s="1250" t="n"/>
    </row>
    <row r="38">
      <c r="A38" s="79" t="n">
        <v>30</v>
      </c>
      <c r="B38" s="1260" t="inlineStr">
        <is>
          <t>Jade</t>
        </is>
      </c>
      <c r="C38" s="1260" t="inlineStr">
        <is>
          <t>Kerri-Dibb</t>
        </is>
      </c>
      <c r="E38" s="79" t="n">
        <v>3</v>
      </c>
      <c r="G38" s="1260" t="inlineStr">
        <is>
          <t>Con McHugh</t>
        </is>
      </c>
      <c r="N38" s="732" t="n">
        <v>31</v>
      </c>
      <c r="O38" s="1260" t="inlineStr">
        <is>
          <t>Kasia</t>
        </is>
      </c>
      <c r="T38" s="732" t="n"/>
      <c r="U38" s="568" t="n"/>
      <c r="W38" s="568" t="n">
        <v>1</v>
      </c>
      <c r="X38" s="1260" t="inlineStr">
        <is>
          <t>Janice Jordan</t>
        </is>
      </c>
    </row>
    <row r="39">
      <c r="A39" s="79" t="n">
        <v>31</v>
      </c>
      <c r="B39" s="1260" t="inlineStr">
        <is>
          <t>Mike</t>
        </is>
      </c>
      <c r="C39" s="1260" t="inlineStr">
        <is>
          <t>Smith</t>
        </is>
      </c>
      <c r="E39" s="79" t="n">
        <v>3</v>
      </c>
      <c r="G39" s="1260" t="inlineStr">
        <is>
          <t>Harriet Bowley</t>
        </is>
      </c>
      <c r="N39" s="732" t="n">
        <v>32</v>
      </c>
      <c r="O39" s="1260" t="inlineStr">
        <is>
          <t>Mum</t>
        </is>
      </c>
      <c r="U39" s="568" t="n"/>
      <c r="W39" s="568" t="n">
        <v>1</v>
      </c>
      <c r="X39" s="1260" t="inlineStr">
        <is>
          <t>Jeremy Troth</t>
        </is>
      </c>
    </row>
    <row r="40">
      <c r="A40" s="79" t="n">
        <v>32</v>
      </c>
      <c r="B40" s="1260" t="inlineStr">
        <is>
          <t>Matthew</t>
        </is>
      </c>
      <c r="C40" s="1260" t="inlineStr">
        <is>
          <t>Battison</t>
        </is>
      </c>
      <c r="G40" s="1260" t="inlineStr">
        <is>
          <t>Martin Hughes</t>
        </is>
      </c>
      <c r="N40" s="732" t="n">
        <v>33</v>
      </c>
      <c r="O40" s="1260" t="inlineStr">
        <is>
          <t xml:space="preserve">Jack   </t>
        </is>
      </c>
      <c r="U40" s="568" t="n"/>
      <c r="W40" s="568" t="n">
        <v>1</v>
      </c>
      <c r="X40" s="1260" t="inlineStr">
        <is>
          <t>John Seely</t>
        </is>
      </c>
    </row>
    <row r="41">
      <c r="A41" s="79" t="n">
        <v>33</v>
      </c>
      <c r="B41" s="1260" t="inlineStr">
        <is>
          <t>Ellie</t>
        </is>
      </c>
      <c r="C41" s="1260" t="inlineStr">
        <is>
          <t>Costello</t>
        </is>
      </c>
      <c r="E41" s="79" t="n">
        <v>3</v>
      </c>
      <c r="G41" s="1260" t="inlineStr">
        <is>
          <t>Fiona Adams</t>
        </is>
      </c>
      <c r="N41" s="732" t="n">
        <v>34</v>
      </c>
      <c r="O41" s="1260" t="inlineStr">
        <is>
          <t>Josh</t>
        </is>
      </c>
      <c r="U41" s="568" t="n"/>
      <c r="W41" s="568" t="n">
        <v>1</v>
      </c>
      <c r="X41" s="1260" t="inlineStr">
        <is>
          <t>Dennis Jeffrey</t>
        </is>
      </c>
    </row>
    <row r="42">
      <c r="A42" s="79" t="n">
        <v>34</v>
      </c>
      <c r="B42" s="1260" t="inlineStr">
        <is>
          <t>Ben</t>
        </is>
      </c>
      <c r="C42" s="1260" t="inlineStr">
        <is>
          <t>Morphet</t>
        </is>
      </c>
      <c r="G42" s="1260" t="inlineStr">
        <is>
          <t>Dean Moore</t>
        </is>
      </c>
      <c r="N42" s="732" t="n">
        <v>35</v>
      </c>
      <c r="O42" s="1260" t="inlineStr">
        <is>
          <t>No'43</t>
        </is>
      </c>
      <c r="P42" s="1260" t="inlineStr">
        <is>
          <t>Next door</t>
        </is>
      </c>
      <c r="U42" s="568" t="n"/>
      <c r="W42" s="568" t="n">
        <v>1</v>
      </c>
      <c r="X42" s="1260" t="inlineStr">
        <is>
          <t>Bob Griffiths</t>
        </is>
      </c>
    </row>
    <row r="43">
      <c r="A43" s="79" t="n">
        <v>35</v>
      </c>
      <c r="B43" s="1260" t="inlineStr">
        <is>
          <t>Howard</t>
        </is>
      </c>
      <c r="C43" s="1260" t="inlineStr">
        <is>
          <t>Allen</t>
        </is>
      </c>
      <c r="G43" s="1260" t="inlineStr">
        <is>
          <t>Owen King</t>
        </is>
      </c>
      <c r="N43" s="732" t="n">
        <v>36</v>
      </c>
      <c r="O43" s="1260" t="inlineStr">
        <is>
          <t>No' 47</t>
        </is>
      </c>
      <c r="P43" s="1260" t="inlineStr">
        <is>
          <t>Donna</t>
        </is>
      </c>
      <c r="U43" s="568" t="n"/>
      <c r="W43" s="568" t="n">
        <v>1</v>
      </c>
      <c r="X43" s="1260" t="inlineStr">
        <is>
          <t>No'43</t>
        </is>
      </c>
      <c r="Y43" s="1260" t="inlineStr">
        <is>
          <t>Next door</t>
        </is>
      </c>
    </row>
    <row r="44">
      <c r="A44" s="79" t="n">
        <v>36</v>
      </c>
      <c r="B44" s="1260" t="inlineStr">
        <is>
          <t>Teresa</t>
        </is>
      </c>
      <c r="C44" s="1260" t="inlineStr">
        <is>
          <t>Buck</t>
        </is>
      </c>
      <c r="G44" s="1260" t="inlineStr">
        <is>
          <t>Ian Bowers</t>
        </is>
      </c>
      <c r="N44" s="732" t="n">
        <v>37</v>
      </c>
      <c r="O44" s="1260" t="inlineStr">
        <is>
          <t>No' 49</t>
        </is>
      </c>
      <c r="P44" s="1260" t="inlineStr">
        <is>
          <t>John</t>
        </is>
      </c>
      <c r="U44" s="568" t="n"/>
      <c r="W44" s="568" t="n">
        <v>1</v>
      </c>
      <c r="X44" s="1260" t="inlineStr">
        <is>
          <t>No' 47</t>
        </is>
      </c>
      <c r="Y44" s="1260" t="inlineStr">
        <is>
          <t>Donna</t>
        </is>
      </c>
    </row>
    <row r="45">
      <c r="A45" s="79" t="n">
        <v>37</v>
      </c>
      <c r="B45" s="1260" t="inlineStr">
        <is>
          <t>Stuart</t>
        </is>
      </c>
      <c r="C45" s="1260" t="inlineStr">
        <is>
          <t>Mitchell</t>
        </is>
      </c>
      <c r="G45" s="1260" t="inlineStr">
        <is>
          <t>Gary Taylor</t>
        </is>
      </c>
      <c r="N45" s="732" t="n">
        <v>38</v>
      </c>
      <c r="O45" s="1260" t="inlineStr">
        <is>
          <t>?</t>
        </is>
      </c>
      <c r="P45" s="1260" t="inlineStr">
        <is>
          <t>Warwick</t>
        </is>
      </c>
      <c r="U45" s="568" t="n"/>
      <c r="W45" s="568" t="n">
        <v>1</v>
      </c>
      <c r="X45" s="1260" t="inlineStr">
        <is>
          <t>No' 49</t>
        </is>
      </c>
      <c r="Y45" s="1260" t="inlineStr">
        <is>
          <t>John</t>
        </is>
      </c>
    </row>
    <row r="46">
      <c r="A46" s="79" t="n">
        <v>38</v>
      </c>
      <c r="B46" s="1260" t="inlineStr">
        <is>
          <t>Jean</t>
        </is>
      </c>
      <c r="C46" s="1260" t="inlineStr">
        <is>
          <t>Dance</t>
        </is>
      </c>
      <c r="G46" s="1260" t="inlineStr">
        <is>
          <t>Steve Horton</t>
        </is>
      </c>
      <c r="N46" s="732" t="n">
        <v>39</v>
      </c>
      <c r="U46" s="568" t="n"/>
      <c r="W46" s="568" t="n">
        <v>1</v>
      </c>
      <c r="X46" s="1260" t="inlineStr">
        <is>
          <t>?</t>
        </is>
      </c>
      <c r="Y46" s="1260" t="inlineStr">
        <is>
          <t>Warwick</t>
        </is>
      </c>
    </row>
    <row r="47">
      <c r="A47" s="79" t="n">
        <v>39</v>
      </c>
      <c r="B47" s="1260" t="inlineStr">
        <is>
          <t>Laura</t>
        </is>
      </c>
      <c r="C47" s="1260" t="inlineStr">
        <is>
          <t>Franklin</t>
        </is>
      </c>
      <c r="G47" s="1260" t="inlineStr">
        <is>
          <t>Garry Such</t>
        </is>
      </c>
      <c r="N47" s="732" t="n">
        <v>40</v>
      </c>
      <c r="U47" s="568" t="n"/>
      <c r="W47" s="568" t="n">
        <v>1</v>
      </c>
      <c r="X47" s="1260" t="inlineStr">
        <is>
          <t>caroline Key</t>
        </is>
      </c>
    </row>
    <row r="48">
      <c r="A48" s="79" t="n">
        <v>40</v>
      </c>
      <c r="B48" s="1260" t="inlineStr">
        <is>
          <t>Joanne</t>
        </is>
      </c>
      <c r="C48" s="1260" t="inlineStr">
        <is>
          <t>Bestwick</t>
        </is>
      </c>
      <c r="G48" s="1260" t="inlineStr">
        <is>
          <t>Mike Ford</t>
        </is>
      </c>
      <c r="N48" s="732" t="n">
        <v>41</v>
      </c>
      <c r="U48" s="568" t="n"/>
      <c r="W48" s="568" t="n">
        <v>1</v>
      </c>
      <c r="X48" s="1260" t="inlineStr">
        <is>
          <t>Jade Kerri-Dibb</t>
        </is>
      </c>
    </row>
    <row r="50">
      <c r="B50" s="1260" t="inlineStr">
        <is>
          <t>angela</t>
        </is>
      </c>
      <c r="C50" s="1260" t="inlineStr">
        <is>
          <t>adams</t>
        </is>
      </c>
      <c r="E50" s="79" t="n">
        <v>3</v>
      </c>
      <c r="U50" s="568" t="n"/>
    </row>
    <row r="51">
      <c r="B51" s="1260" t="inlineStr">
        <is>
          <t xml:space="preserve">Lynn </t>
        </is>
      </c>
      <c r="C51" s="1260" t="inlineStr">
        <is>
          <t>Hughes</t>
        </is>
      </c>
      <c r="E51" s="79" t="n">
        <v>3</v>
      </c>
      <c r="U51" s="568" t="n"/>
      <c r="W51" s="568">
        <f>SUM(W4:W50)</f>
        <v/>
      </c>
    </row>
    <row r="52">
      <c r="B52" s="1260" t="inlineStr">
        <is>
          <t>Linda</t>
        </is>
      </c>
      <c r="C52" s="1260" t="inlineStr">
        <is>
          <t>Mauch</t>
        </is>
      </c>
      <c r="E52" s="79" t="n">
        <v>3</v>
      </c>
      <c r="U52" s="568" t="n"/>
      <c r="W52" s="732" t="n"/>
    </row>
    <row r="53">
      <c r="B53" s="1260" t="inlineStr">
        <is>
          <t>Sarah</t>
        </is>
      </c>
      <c r="C53" s="1260" t="inlineStr">
        <is>
          <t>Birkenhead</t>
        </is>
      </c>
      <c r="E53" s="79" t="n">
        <v>3</v>
      </c>
      <c r="U53" s="568" t="n"/>
    </row>
    <row r="54">
      <c r="U54" s="568" t="n"/>
    </row>
    <row r="55">
      <c r="U55" s="568" t="n"/>
    </row>
    <row r="56">
      <c r="U56" s="568" t="n"/>
    </row>
    <row r="57">
      <c r="U57" s="568" t="n"/>
    </row>
    <row r="58">
      <c r="U58" s="568" t="n"/>
    </row>
    <row r="59" ht="14.25" customHeight="1" s="1232">
      <c r="B59" s="1539" t="inlineStr">
        <is>
          <t>A4 Tinteretto Calendars based on a run of 25</t>
        </is>
      </c>
      <c r="U59" s="568" t="n"/>
    </row>
    <row r="60" ht="14.25" customHeight="1" s="1232">
      <c r="B60" s="1539" t="inlineStr">
        <is>
          <t>6 prints @ £2 (2 mounted 4 unmounted)</t>
        </is>
      </c>
      <c r="U60" s="568" t="n"/>
    </row>
    <row r="61" ht="14.25" customHeight="1" s="1232">
      <c r="B61" s="1539" t="inlineStr">
        <is>
          <t>2 mount on thin card @ £2</t>
        </is>
      </c>
      <c r="U61" s="568" t="n"/>
    </row>
    <row r="62" ht="14.25" customHeight="1" s="1232">
      <c r="B62" s="1539" t="inlineStr">
        <is>
          <t>£5 hanging kits and fitting.</t>
        </is>
      </c>
      <c r="U62" s="568" t="n"/>
    </row>
    <row r="63" ht="14.25" customHeight="1" s="1232">
      <c r="B63" s="1539" t="n"/>
      <c r="U63" s="568" t="n"/>
    </row>
    <row r="64" ht="14.25" customHeight="1" s="1232">
      <c r="B64" s="1539" t="inlineStr">
        <is>
          <t>£21 each ex delivery and VAT</t>
        </is>
      </c>
      <c r="U64" s="568" t="n"/>
    </row>
  </sheetData>
  <pageMargins left="0.7" right="0.7" top="0.75" bottom="0.75" header="0.3" footer="0.3"/>
  <pageSetup orientation="landscape" paperSize="9" scale="39"/>
</worksheet>
</file>

<file path=xl/worksheets/sheet26.xml><?xml version="1.0" encoding="utf-8"?>
<worksheet xmlns="http://schemas.openxmlformats.org/spreadsheetml/2006/main">
  <sheetPr>
    <tabColor rgb="FFA8F0E9"/>
    <outlinePr summaryBelow="1" summaryRight="1"/>
    <pageSetUpPr fitToPage="1"/>
  </sheetPr>
  <dimension ref="A5:CX185"/>
  <sheetViews>
    <sheetView workbookViewId="0">
      <selection activeCell="B10" sqref="B10"/>
    </sheetView>
  </sheetViews>
  <sheetFormatPr baseColWidth="8" defaultColWidth="9.1328125" defaultRowHeight="12.4"/>
  <cols>
    <col width="5.19921875" customWidth="1" style="77" min="1" max="1"/>
    <col width="32.46484375" bestFit="1" customWidth="1" style="77" min="2" max="2"/>
    <col width="12.53125" customWidth="1" style="77" min="3" max="3"/>
    <col width="11.1328125" customWidth="1" style="77" min="4" max="4"/>
    <col width="17.53125" bestFit="1" customWidth="1" style="1230" min="5" max="5"/>
    <col width="10" customWidth="1" style="1230" min="6" max="6"/>
    <col width="13" customWidth="1" style="1230" min="7" max="7"/>
    <col width="15.53125" customWidth="1" style="1230" min="8" max="8"/>
    <col width="13" customWidth="1" style="1230" min="9" max="9"/>
    <col width="20.46484375" bestFit="1" customWidth="1" style="1540" min="10" max="10"/>
    <col width="9.33203125" customWidth="1" style="1230" min="11" max="11"/>
    <col width="10.6640625" bestFit="1" customWidth="1" style="1230" min="12" max="12"/>
    <col width="9.33203125" customWidth="1" style="1230" min="13" max="24"/>
    <col width="10.796875" customWidth="1" style="111" min="25" max="25"/>
    <col width="9.33203125" customWidth="1" style="1230" min="26" max="32"/>
    <col width="9.1328125" customWidth="1" style="1230" min="33" max="36"/>
    <col width="10.6640625" bestFit="1" customWidth="1" style="1230" min="37" max="37"/>
    <col width="9.1328125" customWidth="1" style="1230" min="38" max="38"/>
    <col width="10.46484375" bestFit="1" customWidth="1" style="1230" min="39" max="39"/>
    <col width="9.1328125" customWidth="1" style="1230" min="40" max="52"/>
    <col width="10.6640625" bestFit="1" customWidth="1" style="1230" min="53" max="53"/>
    <col width="9.1328125" customWidth="1" style="1230" min="54" max="57"/>
    <col width="10.53125" bestFit="1" customWidth="1" style="1230" min="58" max="58"/>
    <col width="12.1328125" bestFit="1" customWidth="1" style="1230" min="59" max="59"/>
    <col width="9.1328125" customWidth="1" style="1230" min="60" max="64"/>
    <col width="10.6640625" bestFit="1" customWidth="1" style="1230" min="65" max="65"/>
    <col width="9.1328125" customWidth="1" style="1230" min="66" max="72"/>
    <col width="10.46484375" bestFit="1" customWidth="1" style="1230" min="73" max="73"/>
    <col width="10.53125" bestFit="1" customWidth="1" style="1230" min="74" max="74"/>
    <col width="9.1328125" customWidth="1" style="1230" min="75" max="75"/>
    <col width="10.796875" bestFit="1" customWidth="1" style="1230" min="76" max="76"/>
    <col width="9.6640625" customWidth="1" style="1230" min="77" max="77"/>
    <col width="9.1328125" customWidth="1" style="1230" min="78" max="83"/>
    <col width="10.46484375" bestFit="1" customWidth="1" style="1230" min="84" max="84"/>
    <col width="9.1328125" customWidth="1" style="1230" min="85" max="86"/>
    <col width="12.1328125" bestFit="1" customWidth="1" style="1230" min="87" max="87"/>
    <col width="9.1328125" customWidth="1" style="1230" min="88" max="88"/>
    <col width="10.53125" bestFit="1" customWidth="1" style="1230" min="89" max="89"/>
    <col width="10.796875" bestFit="1" customWidth="1" style="1230" min="90" max="90"/>
    <col width="9.1328125" customWidth="1" style="1230" min="91" max="16384"/>
  </cols>
  <sheetData>
    <row r="5" ht="38.25" customFormat="1" customHeight="1" s="1541">
      <c r="A5" s="196" t="inlineStr">
        <is>
          <t>No'</t>
        </is>
      </c>
      <c r="B5" s="1542" t="inlineStr">
        <is>
          <t>Email Address</t>
        </is>
      </c>
      <c r="C5" s="196" t="n"/>
      <c r="D5" s="196" t="n"/>
      <c r="E5" s="1543" t="inlineStr">
        <is>
          <t>Feedback method</t>
        </is>
      </c>
      <c r="F5" s="1542" t="inlineStr">
        <is>
          <t>Date Booked</t>
        </is>
      </c>
      <c r="G5" s="1543" t="inlineStr">
        <is>
          <t>Monthly</t>
        </is>
      </c>
      <c r="H5" s="1543" t="inlineStr">
        <is>
          <t>Annual</t>
        </is>
      </c>
      <c r="I5" s="1543" t="inlineStr">
        <is>
          <t>Frequency</t>
        </is>
      </c>
      <c r="J5" s="1544" t="inlineStr">
        <is>
          <t>Event Date</t>
        </is>
      </c>
      <c r="K5" s="1545" t="n">
        <v>42767</v>
      </c>
      <c r="L5" s="1545" t="n">
        <v>42795</v>
      </c>
      <c r="M5" s="1545" t="n">
        <v>42826</v>
      </c>
      <c r="N5" s="1545" t="n">
        <v>42856</v>
      </c>
      <c r="O5" s="1545" t="n">
        <v>42887</v>
      </c>
      <c r="P5" s="1545" t="n">
        <v>42917</v>
      </c>
      <c r="Q5" s="1545" t="n">
        <v>42948</v>
      </c>
      <c r="R5" s="1545" t="n">
        <v>42979</v>
      </c>
      <c r="S5" s="1545" t="n">
        <v>43009</v>
      </c>
      <c r="T5" s="1545" t="n">
        <v>43040</v>
      </c>
      <c r="U5" s="1545" t="n">
        <v>43070</v>
      </c>
      <c r="V5" s="1545" t="n">
        <v>43101</v>
      </c>
      <c r="W5" s="1545" t="n">
        <v>43132</v>
      </c>
      <c r="X5" s="1545" t="n">
        <v>43160</v>
      </c>
      <c r="Y5" s="1545" t="n">
        <v>43191</v>
      </c>
      <c r="Z5" s="1545" t="n">
        <v>43221</v>
      </c>
      <c r="AA5" s="1545" t="n">
        <v>43252</v>
      </c>
      <c r="AB5" s="1545" t="n">
        <v>43282</v>
      </c>
      <c r="AC5" s="1545" t="n">
        <v>43313</v>
      </c>
      <c r="AD5" s="1545" t="n">
        <v>43344</v>
      </c>
      <c r="AE5" s="1545" t="n">
        <v>43374</v>
      </c>
      <c r="AF5" s="1545" t="n">
        <v>43405</v>
      </c>
      <c r="AG5" s="1545" t="n">
        <v>43435</v>
      </c>
      <c r="AH5" s="1545" t="n">
        <v>43466</v>
      </c>
      <c r="AI5" s="1545" t="n">
        <v>43497</v>
      </c>
      <c r="AJ5" s="1545" t="n">
        <v>43525</v>
      </c>
      <c r="AK5" s="1545" t="n">
        <v>43556</v>
      </c>
      <c r="AL5" s="1545" t="n">
        <v>43586</v>
      </c>
      <c r="AM5" s="1545" t="n">
        <v>43617</v>
      </c>
      <c r="AN5" s="1545" t="n">
        <v>43647</v>
      </c>
      <c r="AO5" s="1545" t="n">
        <v>43678</v>
      </c>
      <c r="AP5" s="1545" t="n">
        <v>43709</v>
      </c>
      <c r="AQ5" s="1545" t="n">
        <v>43739</v>
      </c>
      <c r="AR5" s="1545" t="n">
        <v>43770</v>
      </c>
      <c r="AS5" s="1545" t="n">
        <v>43800</v>
      </c>
      <c r="AT5" s="1545" t="n">
        <v>43831</v>
      </c>
      <c r="AU5" s="1545" t="n">
        <v>43862</v>
      </c>
      <c r="AV5" s="1545" t="n">
        <v>43891</v>
      </c>
      <c r="AW5" s="1545" t="n">
        <v>43922</v>
      </c>
      <c r="AX5" s="1545" t="n">
        <v>43952</v>
      </c>
      <c r="AY5" s="1545" t="n">
        <v>43983</v>
      </c>
      <c r="AZ5" s="1545" t="n">
        <v>44013</v>
      </c>
      <c r="BA5" s="1545" t="n">
        <v>44044</v>
      </c>
      <c r="BB5" s="1545" t="n">
        <v>44075</v>
      </c>
      <c r="BC5" s="1545" t="n">
        <v>44105</v>
      </c>
      <c r="BD5" s="1545" t="n">
        <v>44136</v>
      </c>
      <c r="BE5" s="1545" t="n">
        <v>44166</v>
      </c>
      <c r="BF5" s="1545" t="n">
        <v>44197</v>
      </c>
      <c r="BG5" s="1545" t="n">
        <v>44228</v>
      </c>
      <c r="BH5" s="1545" t="n">
        <v>44256</v>
      </c>
      <c r="BI5" s="1545" t="n">
        <v>44287</v>
      </c>
      <c r="BJ5" s="1545" t="n">
        <v>44317</v>
      </c>
      <c r="BK5" s="1545" t="n">
        <v>44348</v>
      </c>
      <c r="BL5" s="1545" t="n">
        <v>44378</v>
      </c>
      <c r="BM5" s="1545" t="n">
        <v>44409</v>
      </c>
      <c r="BN5" s="1545" t="n">
        <v>44440</v>
      </c>
      <c r="BO5" s="1545" t="n">
        <v>44470</v>
      </c>
      <c r="BP5" s="1545" t="n">
        <v>44501</v>
      </c>
      <c r="BQ5" s="1545" t="n">
        <v>44531</v>
      </c>
      <c r="BR5" s="1545" t="n">
        <v>44562</v>
      </c>
      <c r="BS5" s="1545" t="n">
        <v>44593</v>
      </c>
      <c r="BT5" s="1545" t="n">
        <v>44621</v>
      </c>
      <c r="BU5" s="1545" t="n">
        <v>44652</v>
      </c>
      <c r="BV5" s="1545" t="n">
        <v>44682</v>
      </c>
      <c r="BW5" s="1545" t="n">
        <v>44713</v>
      </c>
      <c r="BX5" s="1545" t="n">
        <v>44743</v>
      </c>
      <c r="BY5" s="1545" t="n">
        <v>44774</v>
      </c>
      <c r="BZ5" s="1545" t="n">
        <v>44805</v>
      </c>
      <c r="CA5" s="1545" t="n">
        <v>44835</v>
      </c>
      <c r="CB5" s="1545" t="n">
        <v>44866</v>
      </c>
      <c r="CC5" s="1545" t="n">
        <v>44896</v>
      </c>
      <c r="CD5" s="1545" t="n">
        <v>44927</v>
      </c>
      <c r="CE5" s="1545" t="n">
        <v>44958</v>
      </c>
      <c r="CF5" s="1545" t="n">
        <v>44986</v>
      </c>
      <c r="CG5" s="1545" t="n">
        <v>45017</v>
      </c>
      <c r="CH5" s="1545" t="n">
        <v>45047</v>
      </c>
      <c r="CI5" s="1545" t="n">
        <v>45078</v>
      </c>
      <c r="CJ5" s="1545" t="n">
        <v>45108</v>
      </c>
      <c r="CK5" s="1545" t="n">
        <v>45139</v>
      </c>
      <c r="CL5" s="1545" t="n">
        <v>45170</v>
      </c>
      <c r="CM5" s="1545" t="n">
        <v>45200</v>
      </c>
      <c r="CN5" s="1545" t="n">
        <v>45231</v>
      </c>
      <c r="CO5" s="1545" t="n">
        <v>45261</v>
      </c>
      <c r="CP5" s="1545" t="n">
        <v>45292</v>
      </c>
      <c r="CQ5" s="1545" t="n">
        <v>45323</v>
      </c>
      <c r="CR5" s="1545" t="n">
        <v>45352</v>
      </c>
      <c r="CS5" s="1545" t="n">
        <v>45383</v>
      </c>
      <c r="CT5" s="1545" t="n">
        <v>45413</v>
      </c>
      <c r="CU5" s="1545" t="n">
        <v>45444</v>
      </c>
      <c r="CV5" s="1545" t="n">
        <v>45474</v>
      </c>
      <c r="CW5" s="1545" t="n">
        <v>45505</v>
      </c>
      <c r="CX5" s="1545" t="n">
        <v>45536</v>
      </c>
    </row>
    <row r="6" ht="12.75" customHeight="1" s="1232">
      <c r="A6" s="188" t="inlineStr">
        <is>
          <t>EG</t>
        </is>
      </c>
      <c r="B6" s="1546" t="inlineStr">
        <is>
          <t>angelacox@hotmail.com</t>
        </is>
      </c>
      <c r="C6" s="188" t="n"/>
      <c r="D6" s="188" t="n"/>
      <c r="E6" s="1547" t="n"/>
      <c r="F6" s="1547" t="n">
        <v>41001</v>
      </c>
      <c r="G6" s="1548" t="n"/>
      <c r="H6" s="1548" t="n"/>
      <c r="I6" s="1548" t="n"/>
      <c r="J6" s="1549" t="n"/>
      <c r="K6" s="1547" t="n"/>
      <c r="L6" s="1547" t="n"/>
      <c r="M6" s="1547" t="n"/>
      <c r="N6" s="1547" t="n"/>
      <c r="O6" s="1547" t="n"/>
      <c r="P6" s="1547" t="n"/>
      <c r="Q6" s="1547" t="n"/>
      <c r="R6" s="1547" t="n"/>
      <c r="S6" s="1547" t="n"/>
      <c r="T6" s="1547" t="n"/>
      <c r="U6" s="1547" t="n"/>
      <c r="V6" s="1547" t="n"/>
      <c r="W6" s="1547" t="n"/>
      <c r="X6" s="1550" t="n"/>
      <c r="Y6" s="151" t="n"/>
      <c r="Z6" s="1548" t="n"/>
      <c r="AA6" s="1548" t="n"/>
      <c r="AB6" s="1548" t="n"/>
      <c r="AC6" s="1548" t="n"/>
      <c r="AD6" s="1548" t="n"/>
      <c r="AE6" s="1548" t="n"/>
      <c r="AF6" s="1548" t="n"/>
    </row>
    <row r="7" ht="12.75" customHeight="1" s="1232">
      <c r="A7" s="189" t="n">
        <v>1</v>
      </c>
      <c r="B7" s="544" t="inlineStr">
        <is>
          <t>caroline.k9@btinternet.com</t>
        </is>
      </c>
      <c r="C7" s="77" t="inlineStr">
        <is>
          <t>Caroline</t>
        </is>
      </c>
      <c r="D7" s="77" t="inlineStr">
        <is>
          <t>Key</t>
        </is>
      </c>
      <c r="E7" s="1551" t="inlineStr">
        <is>
          <t>01214761828</t>
        </is>
      </c>
      <c r="F7" s="1552" t="n">
        <v>43941</v>
      </c>
      <c r="H7" s="1230" t="n">
        <v>20</v>
      </c>
      <c r="I7" s="1230" t="inlineStr">
        <is>
          <t>Monthly</t>
        </is>
      </c>
      <c r="J7" s="1540" t="inlineStr">
        <is>
          <t>From 20th Apr</t>
        </is>
      </c>
      <c r="AW7" s="1230" t="inlineStr">
        <is>
          <t>Spring</t>
        </is>
      </c>
      <c r="AX7" s="1230" t="inlineStr">
        <is>
          <t>Landscape</t>
        </is>
      </c>
      <c r="AY7" s="1230" t="inlineStr">
        <is>
          <t>Abstract</t>
        </is>
      </c>
      <c r="AZ7" s="1230" t="inlineStr">
        <is>
          <t>Movement</t>
        </is>
      </c>
      <c r="BA7" s="1230" t="inlineStr">
        <is>
          <t>Square Mile</t>
        </is>
      </c>
      <c r="BB7" s="1230" t="inlineStr">
        <is>
          <t>Still Life</t>
        </is>
      </c>
      <c r="BC7" s="1230" t="inlineStr">
        <is>
          <t>Autumn</t>
        </is>
      </c>
      <c r="BD7" s="1230" t="inlineStr">
        <is>
          <t>B&amp;W</t>
        </is>
      </c>
      <c r="BE7" s="1230" t="inlineStr">
        <is>
          <t>Triptych</t>
        </is>
      </c>
      <c r="BF7" s="1230" t="inlineStr">
        <is>
          <t>Minimalism</t>
        </is>
      </c>
      <c r="BG7" s="1230" t="inlineStr">
        <is>
          <t>Urban Spaces</t>
        </is>
      </c>
      <c r="BH7" s="1230" t="inlineStr">
        <is>
          <t>Dice</t>
        </is>
      </c>
      <c r="BI7" s="1230" t="inlineStr">
        <is>
          <t>Spring</t>
        </is>
      </c>
      <c r="BJ7" s="1230" t="inlineStr">
        <is>
          <t>Landscape</t>
        </is>
      </c>
      <c r="BK7" s="1230" t="inlineStr">
        <is>
          <t>Abstract</t>
        </is>
      </c>
      <c r="BL7" s="1230" t="inlineStr">
        <is>
          <t>Movement</t>
        </is>
      </c>
      <c r="BM7" s="1230" t="inlineStr">
        <is>
          <t>Square Mile</t>
        </is>
      </c>
      <c r="BN7" s="1230" t="inlineStr">
        <is>
          <t>Still Life</t>
        </is>
      </c>
      <c r="BO7" s="1230" t="inlineStr">
        <is>
          <t>Autumn</t>
        </is>
      </c>
      <c r="BP7" s="1230" t="inlineStr">
        <is>
          <t>Reflections</t>
        </is>
      </c>
      <c r="BQ7" s="1230" t="inlineStr">
        <is>
          <t>Self-Portrait</t>
        </is>
      </c>
      <c r="BR7" s="1230" t="inlineStr">
        <is>
          <t>Triptych</t>
        </is>
      </c>
      <c r="BS7" s="1230" t="inlineStr">
        <is>
          <t>B&amp;W</t>
        </is>
      </c>
      <c r="BT7" s="1230" t="inlineStr">
        <is>
          <t>Dice</t>
        </is>
      </c>
      <c r="BU7" s="1230" t="inlineStr">
        <is>
          <t>Env Portrait</t>
        </is>
      </c>
      <c r="BV7" s="1230" t="inlineStr">
        <is>
          <t>Minimalism</t>
        </is>
      </c>
      <c r="BW7" s="1230" t="inlineStr">
        <is>
          <t>Abstract</t>
        </is>
      </c>
      <c r="BX7" s="1230" t="inlineStr">
        <is>
          <t>Architecture</t>
        </is>
      </c>
      <c r="BY7" s="1230" t="inlineStr">
        <is>
          <t>Movement</t>
        </is>
      </c>
      <c r="BZ7" s="1230" t="inlineStr">
        <is>
          <t>Still Life</t>
        </is>
      </c>
      <c r="CA7" s="1230" t="inlineStr">
        <is>
          <t>Autumn</t>
        </is>
      </c>
      <c r="CB7" s="1230" t="inlineStr">
        <is>
          <t>Reflections</t>
        </is>
      </c>
      <c r="CC7" s="1230" t="inlineStr">
        <is>
          <t>Droplets</t>
        </is>
      </c>
      <c r="CD7" s="1230" t="inlineStr">
        <is>
          <t>Triptych</t>
        </is>
      </c>
      <c r="CE7" s="1230" t="inlineStr">
        <is>
          <t>B&amp;W</t>
        </is>
      </c>
      <c r="CF7" s="1230" t="inlineStr">
        <is>
          <t>Env Portrait</t>
        </is>
      </c>
      <c r="CG7" s="1230" t="inlineStr">
        <is>
          <t>Spring</t>
        </is>
      </c>
      <c r="CH7" s="1230" t="inlineStr">
        <is>
          <t>Landscape</t>
        </is>
      </c>
      <c r="CI7" s="1230" t="inlineStr">
        <is>
          <t>Urban Spaces</t>
        </is>
      </c>
      <c r="CJ7" s="1230" t="inlineStr">
        <is>
          <t>Dice</t>
        </is>
      </c>
      <c r="CK7" s="1230" t="inlineStr">
        <is>
          <t>Minimalism</t>
        </is>
      </c>
      <c r="CL7" s="1230" t="inlineStr">
        <is>
          <t>Architecture</t>
        </is>
      </c>
      <c r="CM7" s="1230" t="inlineStr">
        <is>
          <t>Autumn</t>
        </is>
      </c>
      <c r="CN7" s="1230" t="inlineStr">
        <is>
          <t>Droplets</t>
        </is>
      </c>
      <c r="CO7" s="1230" t="inlineStr">
        <is>
          <t>Still Life</t>
        </is>
      </c>
      <c r="CP7" s="1230" t="inlineStr">
        <is>
          <t>winter</t>
        </is>
      </c>
      <c r="CQ7" s="1230" t="inlineStr">
        <is>
          <t>Reflections</t>
        </is>
      </c>
      <c r="CR7" s="1230" t="inlineStr">
        <is>
          <t>Env Portrait</t>
        </is>
      </c>
      <c r="CS7" s="1230" t="inlineStr">
        <is>
          <t>Spring</t>
        </is>
      </c>
      <c r="CT7" s="1230" t="inlineStr">
        <is>
          <t>Movement</t>
        </is>
      </c>
      <c r="CU7" s="1230" t="inlineStr">
        <is>
          <t>Urban Spaces</t>
        </is>
      </c>
    </row>
    <row r="8" ht="12.75" customHeight="1" s="1232">
      <c r="A8" s="189" t="n">
        <v>2</v>
      </c>
      <c r="CK8" s="1230" t="inlineStr">
        <is>
          <t>Minimalism</t>
        </is>
      </c>
      <c r="CL8" s="1230" t="inlineStr">
        <is>
          <t>Architecture</t>
        </is>
      </c>
      <c r="CM8" s="1230" t="inlineStr">
        <is>
          <t>Autumn</t>
        </is>
      </c>
      <c r="CN8" s="1230" t="inlineStr">
        <is>
          <t>Droplets</t>
        </is>
      </c>
      <c r="CO8" s="1230" t="inlineStr">
        <is>
          <t>Still Life</t>
        </is>
      </c>
      <c r="CP8" s="1230" t="inlineStr">
        <is>
          <t>winter</t>
        </is>
      </c>
      <c r="CQ8" s="1230" t="inlineStr">
        <is>
          <t>Reflections</t>
        </is>
      </c>
      <c r="CR8" s="1230" t="inlineStr">
        <is>
          <t>Env Portrait</t>
        </is>
      </c>
      <c r="CS8" s="1230" t="inlineStr">
        <is>
          <t>Spring</t>
        </is>
      </c>
      <c r="CT8" s="1230" t="inlineStr">
        <is>
          <t>Movement</t>
        </is>
      </c>
      <c r="CU8" s="1230" t="inlineStr">
        <is>
          <t>Urban Spaces</t>
        </is>
      </c>
    </row>
    <row r="9" ht="12.75" customHeight="1" s="1232">
      <c r="A9" s="189" t="n">
        <v>3</v>
      </c>
    </row>
    <row r="10" ht="12.75" customHeight="1" s="1232">
      <c r="A10" s="189" t="n">
        <v>4</v>
      </c>
      <c r="B10" s="544" t="inlineStr">
        <is>
          <t>jonathan_owl@yahoo.co.uk</t>
        </is>
      </c>
      <c r="C10" s="77" t="inlineStr">
        <is>
          <t xml:space="preserve">Jonathan </t>
        </is>
      </c>
      <c r="D10" s="77" t="inlineStr">
        <is>
          <t>Ellis</t>
        </is>
      </c>
      <c r="E10" s="1551" t="inlineStr">
        <is>
          <t>07771824550</t>
        </is>
      </c>
      <c r="F10" s="1552" t="n">
        <v>45584</v>
      </c>
      <c r="H10" s="1230" t="n">
        <v>15</v>
      </c>
      <c r="I10" s="1230" t="inlineStr">
        <is>
          <t>Monthly</t>
        </is>
      </c>
      <c r="J10" s="1540" t="inlineStr">
        <is>
          <t>From 15th Oct</t>
        </is>
      </c>
    </row>
    <row r="11" ht="12.75" customHeight="1" s="1232">
      <c r="A11" s="189" t="n">
        <v>5</v>
      </c>
    </row>
    <row r="12" ht="12.75" customHeight="1" s="1232">
      <c r="A12" s="189" t="n">
        <v>6</v>
      </c>
      <c r="F12" s="1552" t="n"/>
    </row>
    <row r="13" ht="12.75" customHeight="1" s="1232">
      <c r="A13" s="189" t="n"/>
      <c r="B13" s="544" t="inlineStr">
        <is>
          <t>joannegalloway2003@yahoo.co.uk</t>
        </is>
      </c>
      <c r="C13" s="77" t="inlineStr">
        <is>
          <t>Joanne</t>
        </is>
      </c>
      <c r="D13" s="77" t="inlineStr">
        <is>
          <t>Galloway</t>
        </is>
      </c>
      <c r="E13" s="1551" t="inlineStr">
        <is>
          <t>07974437317</t>
        </is>
      </c>
      <c r="F13" s="1552" t="n">
        <v>45142</v>
      </c>
      <c r="H13" s="1230" t="n">
        <v>200</v>
      </c>
      <c r="I13" s="1230" t="inlineStr">
        <is>
          <t>annual</t>
        </is>
      </c>
      <c r="J13" s="1540" t="inlineStr">
        <is>
          <t>Aug 15th 2024 to Jul 15th 2025</t>
        </is>
      </c>
    </row>
    <row r="14" ht="12.75" customHeight="1" s="1232">
      <c r="A14" s="189" t="n"/>
      <c r="B14" s="544" t="inlineStr">
        <is>
          <t>barford.neil@gmail.com</t>
        </is>
      </c>
      <c r="C14" s="77" t="inlineStr">
        <is>
          <t>Neil</t>
        </is>
      </c>
      <c r="D14" s="77" t="inlineStr">
        <is>
          <t>Barford</t>
        </is>
      </c>
      <c r="E14" s="1551" t="inlineStr">
        <is>
          <t>07530694834</t>
        </is>
      </c>
      <c r="F14" s="1552" t="n">
        <v>45726</v>
      </c>
      <c r="H14" s="1230" t="n">
        <v>15</v>
      </c>
      <c r="I14" s="1230" t="inlineStr">
        <is>
          <t>Monthly</t>
        </is>
      </c>
      <c r="J14" s="1540" t="inlineStr">
        <is>
          <t>From 15th March</t>
        </is>
      </c>
    </row>
    <row r="15" ht="12.75" customHeight="1" s="1232">
      <c r="A15" s="189" t="n"/>
      <c r="B15" s="544" t="inlineStr">
        <is>
          <t>johanna81005@gmail.com</t>
        </is>
      </c>
      <c r="C15" s="77" t="inlineStr">
        <is>
          <t>Johanna</t>
        </is>
      </c>
      <c r="D15" s="77" t="inlineStr">
        <is>
          <t>Stansfield</t>
        </is>
      </c>
      <c r="E15" s="1551" t="inlineStr">
        <is>
          <t>07850404545</t>
        </is>
      </c>
      <c r="F15" s="1230" t="n">
        <v>1.7</v>
      </c>
      <c r="H15" s="1230" t="n">
        <v>20</v>
      </c>
      <c r="I15" s="1230" t="inlineStr">
        <is>
          <t>Monthly</t>
        </is>
      </c>
      <c r="J15" s="1540" t="inlineStr">
        <is>
          <t>From 15th Oct</t>
        </is>
      </c>
      <c r="CA15" s="1230" t="inlineStr">
        <is>
          <t>Autumn</t>
        </is>
      </c>
      <c r="CB15" s="1230" t="inlineStr">
        <is>
          <t>Reflections</t>
        </is>
      </c>
      <c r="CC15" s="1230" t="inlineStr">
        <is>
          <t>Droplets</t>
        </is>
      </c>
      <c r="CD15" s="1230" t="inlineStr">
        <is>
          <t>Triptych</t>
        </is>
      </c>
      <c r="CE15" s="1230" t="inlineStr">
        <is>
          <t>B&amp;W</t>
        </is>
      </c>
      <c r="CF15" s="1230" t="inlineStr">
        <is>
          <t>Env Portrait</t>
        </is>
      </c>
      <c r="CG15" s="1230" t="inlineStr">
        <is>
          <t>Spring</t>
        </is>
      </c>
    </row>
    <row r="16" ht="12.75" customHeight="1" s="1232">
      <c r="A16" s="189" t="n"/>
      <c r="B16" s="544" t="inlineStr">
        <is>
          <t>myra_little@hotmail.com</t>
        </is>
      </c>
      <c r="C16" s="77" t="inlineStr">
        <is>
          <t>Myra</t>
        </is>
      </c>
      <c r="D16" s="77" t="inlineStr">
        <is>
          <t>Little</t>
        </is>
      </c>
      <c r="E16" s="1551" t="inlineStr">
        <is>
          <t>07483242312</t>
        </is>
      </c>
      <c r="F16" s="1552" t="n">
        <v>45615</v>
      </c>
      <c r="H16" s="1230" t="n">
        <v>15</v>
      </c>
      <c r="I16" s="1230" t="inlineStr">
        <is>
          <t>Monthly</t>
        </is>
      </c>
      <c r="J16" s="1540" t="inlineStr">
        <is>
          <t>From 15th Nov 2024</t>
        </is>
      </c>
    </row>
    <row r="17" ht="12.75" customHeight="1" s="1232">
      <c r="A17" s="189" t="n"/>
      <c r="B17" s="544" t="inlineStr">
        <is>
          <t xml:space="preserve">robert.andrew.gibson@gmail.com </t>
        </is>
      </c>
      <c r="C17" s="1066" t="inlineStr">
        <is>
          <t>Robert</t>
        </is>
      </c>
      <c r="D17" s="1066" t="inlineStr">
        <is>
          <t>Gibson</t>
        </is>
      </c>
      <c r="E17" s="1553" t="n"/>
      <c r="F17" s="1554" t="n">
        <v>45274</v>
      </c>
      <c r="G17" s="1238" t="n"/>
      <c r="H17" s="1238" t="n">
        <v>200</v>
      </c>
      <c r="I17" s="1238" t="inlineStr">
        <is>
          <t>Annual</t>
        </is>
      </c>
      <c r="J17" s="1555" t="inlineStr">
        <is>
          <t>From 15th Dec to 15th Nov 2024</t>
        </is>
      </c>
      <c r="K17" s="1238" t="n"/>
      <c r="CO17" s="1230" t="inlineStr">
        <is>
          <t>Still Life</t>
        </is>
      </c>
      <c r="CP17" s="1230" t="inlineStr">
        <is>
          <t>winter</t>
        </is>
      </c>
      <c r="CQ17" s="1230" t="inlineStr">
        <is>
          <t>Reflections</t>
        </is>
      </c>
      <c r="CR17" s="1230" t="inlineStr">
        <is>
          <t>Env Portrait</t>
        </is>
      </c>
      <c r="CS17" s="1230" t="inlineStr">
        <is>
          <t>Spring</t>
        </is>
      </c>
      <c r="CT17" s="1230" t="inlineStr">
        <is>
          <t>Movement</t>
        </is>
      </c>
      <c r="CU17" s="1230" t="inlineStr">
        <is>
          <t>Urban Spaces</t>
        </is>
      </c>
    </row>
    <row r="18" ht="12.75" customHeight="1" s="1232">
      <c r="A18" s="189" t="n"/>
      <c r="B18" s="544" t="inlineStr">
        <is>
          <t>Jayden.farrell87@gmail.com</t>
        </is>
      </c>
      <c r="C18" s="77" t="inlineStr">
        <is>
          <t xml:space="preserve">Jayden </t>
        </is>
      </c>
      <c r="D18" s="77" t="inlineStr">
        <is>
          <t>Farrell</t>
        </is>
      </c>
      <c r="E18" s="1551" t="n"/>
      <c r="F18" s="1552" t="n">
        <v>45316</v>
      </c>
      <c r="H18" s="1230" t="n">
        <v>20</v>
      </c>
      <c r="I18" s="1230" t="inlineStr">
        <is>
          <t>Monthly</t>
        </is>
      </c>
      <c r="CQ18" s="1230" t="inlineStr">
        <is>
          <t>Reflections</t>
        </is>
      </c>
      <c r="CR18" s="1230" t="inlineStr">
        <is>
          <t>Env Portrait</t>
        </is>
      </c>
      <c r="CS18" s="1230" t="inlineStr">
        <is>
          <t>Spring</t>
        </is>
      </c>
      <c r="CT18" s="1230" t="inlineStr">
        <is>
          <t>Movement</t>
        </is>
      </c>
      <c r="CU18" s="1230" t="inlineStr">
        <is>
          <t>Urban Spaces</t>
        </is>
      </c>
    </row>
    <row r="19" ht="12.75" customHeight="1" s="1232">
      <c r="A19" s="189" t="n">
        <v>7</v>
      </c>
      <c r="B19" s="1491" t="inlineStr">
        <is>
          <t xml:space="preserve">dene.caple@googlemail.com </t>
        </is>
      </c>
      <c r="C19" s="77" t="inlineStr">
        <is>
          <t>Dene</t>
        </is>
      </c>
      <c r="D19" s="77" t="inlineStr">
        <is>
          <t>Caple</t>
        </is>
      </c>
      <c r="F19" s="1552" t="n">
        <v>45265</v>
      </c>
      <c r="H19" s="1230" t="n">
        <v>20</v>
      </c>
      <c r="I19" s="1230" t="inlineStr">
        <is>
          <t>Monthly</t>
        </is>
      </c>
      <c r="J19" s="1540" t="inlineStr">
        <is>
          <t>From 15th Dec 2023</t>
        </is>
      </c>
      <c r="CO19" s="1230" t="inlineStr">
        <is>
          <t>Still Life</t>
        </is>
      </c>
      <c r="CP19" s="1230" t="inlineStr">
        <is>
          <t>winter</t>
        </is>
      </c>
      <c r="CQ19" s="1230" t="inlineStr">
        <is>
          <t>Reflections</t>
        </is>
      </c>
      <c r="CR19" s="1230" t="inlineStr">
        <is>
          <t>Env Portrait</t>
        </is>
      </c>
      <c r="CS19" s="1230" t="inlineStr">
        <is>
          <t>Spring</t>
        </is>
      </c>
      <c r="CT19" s="1230" t="inlineStr">
        <is>
          <t>Movement</t>
        </is>
      </c>
      <c r="CU19" s="1230" t="inlineStr">
        <is>
          <t>Urban Spaces</t>
        </is>
      </c>
    </row>
    <row r="20" ht="12.75" customHeight="1" s="1232">
      <c r="A20" s="189" t="n">
        <v>8</v>
      </c>
      <c r="B20" s="544" t="inlineStr">
        <is>
          <t xml:space="preserve">martyn.alberry@gmail.com </t>
        </is>
      </c>
      <c r="C20" s="77" t="inlineStr">
        <is>
          <t xml:space="preserve">Martyn </t>
        </is>
      </c>
      <c r="D20" s="77" t="inlineStr">
        <is>
          <t>Alberry</t>
        </is>
      </c>
      <c r="E20" s="1551" t="inlineStr">
        <is>
          <t>07553961372</t>
        </is>
      </c>
      <c r="F20" s="1552" t="n">
        <v>45346</v>
      </c>
      <c r="H20" s="1230" t="n">
        <v>20</v>
      </c>
      <c r="I20" s="1230" t="inlineStr">
        <is>
          <t>Monthly</t>
        </is>
      </c>
      <c r="J20" s="1540" t="inlineStr">
        <is>
          <t>From Feb 2024</t>
        </is>
      </c>
      <c r="CQ20" s="1230" t="inlineStr">
        <is>
          <t>Reflections</t>
        </is>
      </c>
      <c r="CR20" s="1230" t="inlineStr">
        <is>
          <t>Env Portrait</t>
        </is>
      </c>
    </row>
    <row r="21" ht="12.75" customHeight="1" s="1232">
      <c r="A21" s="189" t="n"/>
      <c r="B21" s="544" t="inlineStr">
        <is>
          <t>kelly.westwood@icloud.com</t>
        </is>
      </c>
      <c r="C21" s="77" t="inlineStr">
        <is>
          <t>Kelly</t>
        </is>
      </c>
      <c r="D21" s="77" t="inlineStr">
        <is>
          <t>Westwood</t>
        </is>
      </c>
      <c r="E21" s="1551" t="inlineStr">
        <is>
          <t>07507563818</t>
        </is>
      </c>
      <c r="F21" s="1552" t="n">
        <v>45274</v>
      </c>
      <c r="H21" s="1230" t="n">
        <v>20</v>
      </c>
      <c r="I21" s="1230" t="inlineStr">
        <is>
          <t>Monthly</t>
        </is>
      </c>
      <c r="J21" s="1540" t="inlineStr">
        <is>
          <t>From 15th Dec 2023</t>
        </is>
      </c>
      <c r="CO21" s="1230" t="inlineStr">
        <is>
          <t>Still Life</t>
        </is>
      </c>
      <c r="CP21" s="1230" t="inlineStr">
        <is>
          <t>winter</t>
        </is>
      </c>
      <c r="CQ21" s="1230" t="inlineStr">
        <is>
          <t>Reflections</t>
        </is>
      </c>
    </row>
    <row r="22" ht="12.75" customHeight="1" s="1232">
      <c r="A22" s="189" t="n"/>
      <c r="B22" s="544" t="inlineStr">
        <is>
          <t>b.voules@btinternet.com</t>
        </is>
      </c>
      <c r="C22" s="77" t="inlineStr">
        <is>
          <t xml:space="preserve">Barbara </t>
        </is>
      </c>
      <c r="D22" s="77" t="inlineStr">
        <is>
          <t>Voules</t>
        </is>
      </c>
      <c r="E22" s="1230" t="inlineStr">
        <is>
          <t xml:space="preserve">07843 113310 </t>
        </is>
      </c>
      <c r="F22" s="1552" t="n">
        <v>45120</v>
      </c>
      <c r="H22" s="1230" t="n">
        <v>20</v>
      </c>
      <c r="I22" s="1230" t="inlineStr">
        <is>
          <t>Monthly</t>
        </is>
      </c>
      <c r="CJ22" s="1230" t="inlineStr">
        <is>
          <t>Dice</t>
        </is>
      </c>
      <c r="CK22" s="1230" t="inlineStr">
        <is>
          <t>Minimalism</t>
        </is>
      </c>
      <c r="CL22" s="1230" t="inlineStr">
        <is>
          <t>Architecture</t>
        </is>
      </c>
      <c r="CM22" s="1230" t="inlineStr">
        <is>
          <t>Autumn</t>
        </is>
      </c>
    </row>
    <row r="23" ht="12.75" customHeight="1" s="1232">
      <c r="A23" s="189" t="n"/>
      <c r="B23" s="544" t="inlineStr">
        <is>
          <t>janeliz.robb@gmail.com</t>
        </is>
      </c>
      <c r="C23" s="77" t="inlineStr">
        <is>
          <t>Jane</t>
        </is>
      </c>
      <c r="D23" s="77" t="inlineStr">
        <is>
          <t>Robb</t>
        </is>
      </c>
      <c r="E23" s="1551" t="inlineStr">
        <is>
          <t>07969062090</t>
        </is>
      </c>
      <c r="F23" s="1552" t="n">
        <v>44511</v>
      </c>
      <c r="H23" s="1230" t="n">
        <v>20</v>
      </c>
      <c r="I23" s="1230" t="inlineStr">
        <is>
          <t>Monthly</t>
        </is>
      </c>
      <c r="J23" s="1540" t="inlineStr">
        <is>
          <t>From 15th Nov</t>
        </is>
      </c>
      <c r="BP23" s="1230" t="inlineStr">
        <is>
          <t>Reflections</t>
        </is>
      </c>
      <c r="BS23" s="1230" t="inlineStr">
        <is>
          <t>B&amp;W</t>
        </is>
      </c>
      <c r="BT23" s="1230" t="inlineStr">
        <is>
          <t>Dice</t>
        </is>
      </c>
      <c r="BU23" s="1230" t="inlineStr">
        <is>
          <t>Env Portrait</t>
        </is>
      </c>
      <c r="BV23" s="1230" t="inlineStr">
        <is>
          <t>Minimalism</t>
        </is>
      </c>
      <c r="BW23" s="1230" t="inlineStr">
        <is>
          <t>Abstract</t>
        </is>
      </c>
      <c r="BX23" s="1230" t="inlineStr">
        <is>
          <t>Architecture</t>
        </is>
      </c>
      <c r="BY23" s="1230" t="inlineStr">
        <is>
          <t>Movement</t>
        </is>
      </c>
      <c r="BZ23" s="1230" t="inlineStr">
        <is>
          <t>Still Life</t>
        </is>
      </c>
      <c r="CH23" s="1230" t="inlineStr">
        <is>
          <t>Landscape</t>
        </is>
      </c>
      <c r="CI23" s="1230" t="inlineStr">
        <is>
          <t>Urban Spaces</t>
        </is>
      </c>
    </row>
    <row r="24" ht="12.75" customHeight="1" s="1232">
      <c r="A24" s="189" t="n"/>
      <c r="B24" s="544" t="inlineStr">
        <is>
          <t>flax0001@gmail.com</t>
        </is>
      </c>
      <c r="C24" s="77" t="inlineStr">
        <is>
          <t>John</t>
        </is>
      </c>
      <c r="D24" s="77" t="inlineStr">
        <is>
          <t>Flack</t>
        </is>
      </c>
      <c r="E24" s="1551" t="inlineStr">
        <is>
          <t>07828130413</t>
        </is>
      </c>
      <c r="F24" s="1552" t="n">
        <v>43762</v>
      </c>
      <c r="H24" s="1230" t="n">
        <v>200</v>
      </c>
      <c r="I24" s="1230" t="inlineStr">
        <is>
          <t>annual</t>
        </is>
      </c>
      <c r="J24" s="1555" t="inlineStr">
        <is>
          <t>From Oct 22 to Sep 23</t>
        </is>
      </c>
      <c r="AQ24" s="1230" t="inlineStr">
        <is>
          <t>Autumn</t>
        </is>
      </c>
      <c r="AR24" s="1230" t="inlineStr">
        <is>
          <t>Still Life</t>
        </is>
      </c>
      <c r="AS24" s="1230" t="inlineStr">
        <is>
          <t>B&amp;W</t>
        </is>
      </c>
      <c r="AT24" s="1230" t="inlineStr">
        <is>
          <t>Triptych</t>
        </is>
      </c>
      <c r="AU24" s="1230" t="inlineStr">
        <is>
          <t>Env Portrait</t>
        </is>
      </c>
      <c r="AV24" s="1230" t="inlineStr">
        <is>
          <t>Reflections</t>
        </is>
      </c>
      <c r="AW24" s="1230" t="inlineStr">
        <is>
          <t>Spring</t>
        </is>
      </c>
      <c r="AX24" s="1230" t="inlineStr">
        <is>
          <t>Landscape</t>
        </is>
      </c>
      <c r="AY24" s="1230" t="inlineStr">
        <is>
          <t>Abstract</t>
        </is>
      </c>
      <c r="AZ24" s="1230" t="inlineStr">
        <is>
          <t>Movement</t>
        </is>
      </c>
      <c r="BA24" s="1230" t="inlineStr">
        <is>
          <t>Square Mile</t>
        </is>
      </c>
      <c r="BB24" s="1230" t="inlineStr">
        <is>
          <t>Still Life</t>
        </is>
      </c>
      <c r="BC24" s="1230" t="inlineStr">
        <is>
          <t>Autumn</t>
        </is>
      </c>
      <c r="BD24" s="1230" t="inlineStr">
        <is>
          <t>B&amp;W</t>
        </is>
      </c>
      <c r="BE24" s="1230" t="inlineStr">
        <is>
          <t>Triptych</t>
        </is>
      </c>
      <c r="BF24" s="1230" t="inlineStr">
        <is>
          <t>Minimalism</t>
        </is>
      </c>
      <c r="BG24" s="1230" t="inlineStr">
        <is>
          <t>Urban Spaces</t>
        </is>
      </c>
      <c r="BH24" s="1230" t="inlineStr">
        <is>
          <t>Dice</t>
        </is>
      </c>
      <c r="BI24" s="1230" t="inlineStr">
        <is>
          <t>Spring</t>
        </is>
      </c>
      <c r="BJ24" s="1230" t="inlineStr">
        <is>
          <t>Landscape</t>
        </is>
      </c>
      <c r="BK24" s="1230" t="inlineStr">
        <is>
          <t>Abstract</t>
        </is>
      </c>
      <c r="BL24" s="1230" t="inlineStr">
        <is>
          <t>Movement</t>
        </is>
      </c>
      <c r="BM24" s="1230" t="inlineStr">
        <is>
          <t>Square Mile</t>
        </is>
      </c>
      <c r="BN24" s="1230" t="inlineStr">
        <is>
          <t>Still Life</t>
        </is>
      </c>
      <c r="BO24" s="1230" t="inlineStr">
        <is>
          <t>Autumn</t>
        </is>
      </c>
      <c r="BP24" s="1230" t="inlineStr">
        <is>
          <t>Reflections</t>
        </is>
      </c>
      <c r="BQ24" s="1230" t="inlineStr">
        <is>
          <t>Self-Portrait</t>
        </is>
      </c>
      <c r="BR24" s="1230" t="inlineStr">
        <is>
          <t>Triptych</t>
        </is>
      </c>
      <c r="BS24" s="1230" t="inlineStr">
        <is>
          <t>B&amp;W</t>
        </is>
      </c>
      <c r="BT24" s="1230" t="inlineStr">
        <is>
          <t>Dice</t>
        </is>
      </c>
      <c r="BU24" s="1230" t="inlineStr">
        <is>
          <t>Env Portrait</t>
        </is>
      </c>
      <c r="BV24" s="1230" t="inlineStr">
        <is>
          <t>Minimalism</t>
        </is>
      </c>
      <c r="BW24" s="1230" t="inlineStr">
        <is>
          <t>Abstract</t>
        </is>
      </c>
      <c r="BX24" s="1230" t="inlineStr">
        <is>
          <t>Architecture</t>
        </is>
      </c>
      <c r="BY24" s="1230" t="inlineStr">
        <is>
          <t>Movement</t>
        </is>
      </c>
      <c r="BZ24" s="1230" t="inlineStr">
        <is>
          <t>Still Life</t>
        </is>
      </c>
      <c r="CA24" s="1230" t="inlineStr">
        <is>
          <t>Autumn</t>
        </is>
      </c>
      <c r="CB24" s="1230" t="inlineStr">
        <is>
          <t>Reflections</t>
        </is>
      </c>
      <c r="CC24" s="1230" t="inlineStr">
        <is>
          <t>Droplets</t>
        </is>
      </c>
      <c r="CD24" s="1230" t="inlineStr">
        <is>
          <t>Triptych</t>
        </is>
      </c>
      <c r="CE24" s="1230" t="inlineStr">
        <is>
          <t>B&amp;W</t>
        </is>
      </c>
      <c r="CF24" s="1230" t="inlineStr">
        <is>
          <t>Env Portrait</t>
        </is>
      </c>
      <c r="CG24" s="1230" t="inlineStr">
        <is>
          <t>Spring</t>
        </is>
      </c>
      <c r="CH24" s="1230" t="inlineStr">
        <is>
          <t>Landscape</t>
        </is>
      </c>
      <c r="CI24" s="1230" t="inlineStr">
        <is>
          <t>Urban Spaces</t>
        </is>
      </c>
      <c r="CJ24" s="1230" t="inlineStr">
        <is>
          <t>Dice</t>
        </is>
      </c>
      <c r="CK24" s="1230" t="inlineStr">
        <is>
          <t>Minimalism</t>
        </is>
      </c>
      <c r="CL24" s="1230" t="inlineStr">
        <is>
          <t>Architecture</t>
        </is>
      </c>
    </row>
    <row r="25" ht="12.75" customHeight="1" s="1232">
      <c r="A25" s="189" t="n"/>
    </row>
    <row r="26" ht="12.75" customHeight="1" s="1232">
      <c r="A26" s="189" t="n"/>
    </row>
    <row r="27">
      <c r="A27" s="77" t="n">
        <v>5</v>
      </c>
    </row>
    <row r="28" ht="12.75" customHeight="1" s="1232">
      <c r="B28" s="544" t="inlineStr">
        <is>
          <t>dosinski1990@outlook.com</t>
        </is>
      </c>
      <c r="C28" s="77" t="inlineStr">
        <is>
          <t xml:space="preserve">Daniel </t>
        </is>
      </c>
      <c r="D28" s="77" t="inlineStr">
        <is>
          <t>Osinski</t>
        </is>
      </c>
      <c r="E28" s="1551" t="inlineStr">
        <is>
          <t>07388908988</t>
        </is>
      </c>
      <c r="F28" s="1230" t="n">
        <v>2</v>
      </c>
      <c r="H28" s="1230" t="n">
        <v>20</v>
      </c>
      <c r="I28" s="1230" t="inlineStr">
        <is>
          <t>Monthly</t>
        </is>
      </c>
      <c r="J28" s="1540" t="inlineStr">
        <is>
          <t>From March 15 2023</t>
        </is>
      </c>
      <c r="CF28" s="1230" t="inlineStr">
        <is>
          <t>Env Portrait</t>
        </is>
      </c>
    </row>
    <row r="30" ht="12.75" customHeight="1" s="1232">
      <c r="B30" s="544" t="inlineStr">
        <is>
          <t>nicky1983mills@gmail.com</t>
        </is>
      </c>
      <c r="C30" s="77" t="inlineStr">
        <is>
          <t>Nicky</t>
        </is>
      </c>
      <c r="D30" s="77" t="inlineStr">
        <is>
          <t>Mills</t>
        </is>
      </c>
      <c r="E30" s="1551" t="inlineStr">
        <is>
          <t>07730559092</t>
        </is>
      </c>
      <c r="F30" s="1230" t="n">
        <v>6</v>
      </c>
      <c r="H30" s="1230" t="n">
        <v>20</v>
      </c>
      <c r="I30" s="1230" t="inlineStr">
        <is>
          <t>Monthly</t>
        </is>
      </c>
      <c r="J30" s="1540" t="inlineStr">
        <is>
          <t>From 15 Sep 2023</t>
        </is>
      </c>
    </row>
    <row r="31" ht="13.5" customHeight="1" s="1232">
      <c r="B31" s="544" t="inlineStr">
        <is>
          <t>mpuffett@virginmedia.com</t>
        </is>
      </c>
      <c r="C31" s="77" t="inlineStr">
        <is>
          <t xml:space="preserve">Michaela </t>
        </is>
      </c>
      <c r="D31" s="77" t="inlineStr">
        <is>
          <t>Puffett</t>
        </is>
      </c>
      <c r="E31" s="1551" t="inlineStr">
        <is>
          <t>07957365779</t>
        </is>
      </c>
      <c r="F31" s="1552" t="n">
        <v>44149</v>
      </c>
      <c r="H31" s="1230" t="n">
        <v>20</v>
      </c>
      <c r="I31" s="1230" t="inlineStr">
        <is>
          <t>Monthly</t>
        </is>
      </c>
      <c r="J31" s="1540" t="inlineStr">
        <is>
          <t>From 15th Nov</t>
        </is>
      </c>
      <c r="BC31" s="1230" t="inlineStr">
        <is>
          <t>Autumn</t>
        </is>
      </c>
      <c r="BD31" s="1230" t="inlineStr">
        <is>
          <t>B&amp;W</t>
        </is>
      </c>
      <c r="BE31" s="1230" t="inlineStr">
        <is>
          <t>Triptych</t>
        </is>
      </c>
      <c r="BF31" s="1230" t="inlineStr">
        <is>
          <t>Minimalism</t>
        </is>
      </c>
      <c r="BG31" s="1230" t="inlineStr">
        <is>
          <t>Urban Spaces</t>
        </is>
      </c>
      <c r="BH31" s="1230" t="inlineStr">
        <is>
          <t>Dice</t>
        </is>
      </c>
      <c r="BI31" s="1230" t="inlineStr">
        <is>
          <t>Spring</t>
        </is>
      </c>
      <c r="BJ31" s="1230" t="inlineStr">
        <is>
          <t>Landscape</t>
        </is>
      </c>
      <c r="BK31" s="1230" t="inlineStr">
        <is>
          <t>Abstract</t>
        </is>
      </c>
      <c r="BL31" s="1230" t="inlineStr">
        <is>
          <t>Movement</t>
        </is>
      </c>
      <c r="BM31" s="1230" t="inlineStr">
        <is>
          <t>Square Mile</t>
        </is>
      </c>
      <c r="BN31" s="1230" t="inlineStr">
        <is>
          <t>Still Life</t>
        </is>
      </c>
      <c r="BO31" s="1230" t="inlineStr">
        <is>
          <t>Autumn</t>
        </is>
      </c>
      <c r="BP31" s="1230" t="inlineStr">
        <is>
          <t>Reflections</t>
        </is>
      </c>
      <c r="BQ31" s="1230" t="inlineStr">
        <is>
          <t>Self-Portrait</t>
        </is>
      </c>
      <c r="BR31" s="1230" t="inlineStr">
        <is>
          <t>Triptych</t>
        </is>
      </c>
      <c r="BS31" s="1230" t="inlineStr">
        <is>
          <t>B&amp;W</t>
        </is>
      </c>
      <c r="BT31" s="1230" t="inlineStr">
        <is>
          <t>Dice</t>
        </is>
      </c>
      <c r="BU31" s="1230" t="inlineStr">
        <is>
          <t>Env Portrait</t>
        </is>
      </c>
      <c r="BV31" s="1230" t="inlineStr">
        <is>
          <t>Minimalism</t>
        </is>
      </c>
      <c r="BW31" s="1230" t="inlineStr">
        <is>
          <t>Abstract</t>
        </is>
      </c>
      <c r="BX31" s="1230" t="inlineStr">
        <is>
          <t>Architecture</t>
        </is>
      </c>
      <c r="BY31" s="1230" t="inlineStr">
        <is>
          <t>Movement</t>
        </is>
      </c>
      <c r="BZ31" s="1230" t="inlineStr">
        <is>
          <t>Still Life</t>
        </is>
      </c>
      <c r="CA31" s="1230" t="inlineStr">
        <is>
          <t>Autumn</t>
        </is>
      </c>
      <c r="CB31" s="1230" t="inlineStr">
        <is>
          <t>Reflections</t>
        </is>
      </c>
      <c r="CC31" s="1230" t="inlineStr">
        <is>
          <t>Droplets</t>
        </is>
      </c>
    </row>
    <row r="33" ht="13.5" customHeight="1" s="1232">
      <c r="A33" s="189" t="n">
        <v>7</v>
      </c>
      <c r="B33" s="544" t="inlineStr">
        <is>
          <t>pwillis1907@gmail.com</t>
        </is>
      </c>
      <c r="C33" s="77" t="inlineStr">
        <is>
          <t>Patricia</t>
        </is>
      </c>
      <c r="D33" s="77" t="inlineStr">
        <is>
          <t>willis</t>
        </is>
      </c>
      <c r="E33" s="1551" t="inlineStr">
        <is>
          <t>07903491740</t>
        </is>
      </c>
      <c r="F33" s="1552" t="n">
        <v>44509</v>
      </c>
      <c r="H33" s="1230" t="n">
        <v>20</v>
      </c>
      <c r="I33" s="1230" t="inlineStr">
        <is>
          <t>Monthly</t>
        </is>
      </c>
      <c r="J33" s="1540" t="inlineStr">
        <is>
          <t>From 15th Nov</t>
        </is>
      </c>
      <c r="BP33" s="1230" t="inlineStr">
        <is>
          <t>Reflections</t>
        </is>
      </c>
      <c r="BQ33" s="1230" t="inlineStr">
        <is>
          <t>Self-Portrait</t>
        </is>
      </c>
      <c r="BR33" s="1230" t="inlineStr">
        <is>
          <t>Triptych</t>
        </is>
      </c>
      <c r="BS33" s="1230" t="inlineStr">
        <is>
          <t>B&amp;W</t>
        </is>
      </c>
    </row>
    <row r="34" ht="13.5" customHeight="1" s="1232">
      <c r="A34" s="189" t="n">
        <v>6</v>
      </c>
      <c r="B34" s="544" t="inlineStr">
        <is>
          <t>jason.bunce@rocketmail.com</t>
        </is>
      </c>
      <c r="C34" s="77" t="inlineStr">
        <is>
          <t>Jason</t>
        </is>
      </c>
      <c r="D34" s="77" t="inlineStr">
        <is>
          <t>Bunce</t>
        </is>
      </c>
      <c r="E34" s="1551" t="inlineStr">
        <is>
          <t>07860728128</t>
        </is>
      </c>
      <c r="F34" s="1552" t="n">
        <v>44550</v>
      </c>
      <c r="H34" s="1230" t="n">
        <v>20</v>
      </c>
      <c r="I34" s="1230" t="inlineStr">
        <is>
          <t>Monthly</t>
        </is>
      </c>
      <c r="J34" s="1540" t="inlineStr">
        <is>
          <t>From 15th Jan 2022</t>
        </is>
      </c>
      <c r="BR34" s="1230" t="inlineStr">
        <is>
          <t>Triptych</t>
        </is>
      </c>
      <c r="BS34" s="1230" t="inlineStr">
        <is>
          <t>B&amp;W</t>
        </is>
      </c>
      <c r="BT34" s="1230" t="inlineStr">
        <is>
          <t>Dice</t>
        </is>
      </c>
      <c r="BU34" s="1230" t="inlineStr">
        <is>
          <t>Env Portrait</t>
        </is>
      </c>
      <c r="BV34" s="1230" t="inlineStr">
        <is>
          <t>Minimalism</t>
        </is>
      </c>
      <c r="BW34" s="1230" t="inlineStr">
        <is>
          <t>Abstract</t>
        </is>
      </c>
      <c r="BX34" s="1230" t="inlineStr">
        <is>
          <t>Architecture</t>
        </is>
      </c>
      <c r="BY34" s="1230" t="inlineStr">
        <is>
          <t>Movement</t>
        </is>
      </c>
    </row>
    <row r="35" ht="13.5" customHeight="1" s="1232">
      <c r="A35" s="189" t="n">
        <v>5</v>
      </c>
      <c r="B35" s="544" t="inlineStr">
        <is>
          <t>jonathan_owl@yahoo.co.uk</t>
        </is>
      </c>
      <c r="C35" s="77" t="inlineStr">
        <is>
          <t xml:space="preserve">Jonathan </t>
        </is>
      </c>
      <c r="D35" s="77" t="inlineStr">
        <is>
          <t>Ellis</t>
        </is>
      </c>
      <c r="E35" s="1551" t="inlineStr">
        <is>
          <t>07771824550</t>
        </is>
      </c>
      <c r="F35" s="1552" t="n">
        <v>43918</v>
      </c>
      <c r="H35" s="1230" t="n">
        <v>20</v>
      </c>
      <c r="I35" s="1230" t="inlineStr">
        <is>
          <t>Monthly</t>
        </is>
      </c>
      <c r="J35" s="1540" t="inlineStr">
        <is>
          <t>From 28th Mar</t>
        </is>
      </c>
      <c r="AW35" s="1230" t="inlineStr">
        <is>
          <t>Spring</t>
        </is>
      </c>
      <c r="AX35" s="1230" t="inlineStr">
        <is>
          <t>Landscape</t>
        </is>
      </c>
      <c r="AY35" s="1230" t="inlineStr">
        <is>
          <t>Abstract</t>
        </is>
      </c>
      <c r="AZ35" s="1230" t="inlineStr">
        <is>
          <t>Movement</t>
        </is>
      </c>
      <c r="BA35" s="1230" t="inlineStr">
        <is>
          <t>Square Mile</t>
        </is>
      </c>
      <c r="BB35" s="1230" t="inlineStr">
        <is>
          <t>Still Life</t>
        </is>
      </c>
      <c r="BC35" s="1230" t="inlineStr">
        <is>
          <t>Autumn</t>
        </is>
      </c>
      <c r="BD35" s="1230" t="inlineStr">
        <is>
          <t>B&amp;W</t>
        </is>
      </c>
      <c r="BE35" s="1230" t="inlineStr">
        <is>
          <t>Triptych</t>
        </is>
      </c>
      <c r="BF35" s="1230" t="inlineStr">
        <is>
          <t>Minimalism</t>
        </is>
      </c>
      <c r="BG35" s="1230" t="inlineStr">
        <is>
          <t>Urban Spaces</t>
        </is>
      </c>
      <c r="BH35" s="1230" t="inlineStr">
        <is>
          <t>Dice</t>
        </is>
      </c>
      <c r="BI35" s="1230" t="inlineStr">
        <is>
          <t>Spring</t>
        </is>
      </c>
      <c r="BJ35" s="1230" t="inlineStr">
        <is>
          <t>Landscape</t>
        </is>
      </c>
      <c r="BK35" s="1230" t="inlineStr">
        <is>
          <t>Abstract</t>
        </is>
      </c>
      <c r="BL35" s="1230" t="inlineStr">
        <is>
          <t>Movement</t>
        </is>
      </c>
      <c r="BM35" s="1230" t="inlineStr">
        <is>
          <t>on hold</t>
        </is>
      </c>
      <c r="BP35" s="1230" t="inlineStr">
        <is>
          <t>Reflections</t>
        </is>
      </c>
      <c r="BQ35" s="1230" t="inlineStr">
        <is>
          <t>Self-Portrait</t>
        </is>
      </c>
      <c r="BR35" s="1230" t="inlineStr">
        <is>
          <t>Triptych</t>
        </is>
      </c>
      <c r="BS35" s="1230" t="inlineStr">
        <is>
          <t>B&amp;W</t>
        </is>
      </c>
    </row>
    <row r="36" ht="12.75" customHeight="1" s="1232">
      <c r="A36" s="189" t="n">
        <v>6</v>
      </c>
      <c r="B36" s="544" t="inlineStr">
        <is>
          <t xml:space="preserve">sandywoods8910@gmail.com </t>
        </is>
      </c>
      <c r="C36" s="77" t="inlineStr">
        <is>
          <t>Sandy</t>
        </is>
      </c>
      <c r="D36" s="77" t="inlineStr">
        <is>
          <t>Woods</t>
        </is>
      </c>
      <c r="E36" s="1551" t="n"/>
      <c r="F36" s="1552" t="n">
        <v>44371</v>
      </c>
      <c r="H36" s="1230" t="n">
        <v>20</v>
      </c>
      <c r="I36" s="1230" t="inlineStr">
        <is>
          <t>Monthly</t>
        </is>
      </c>
      <c r="J36" s="1540" t="inlineStr">
        <is>
          <t>From 15th June</t>
        </is>
      </c>
      <c r="BK36" s="1230" t="inlineStr">
        <is>
          <t>Abstract</t>
        </is>
      </c>
      <c r="BL36" s="1230" t="inlineStr">
        <is>
          <t>Movement</t>
        </is>
      </c>
      <c r="BM36" s="1230" t="inlineStr">
        <is>
          <t>Square Mile</t>
        </is>
      </c>
      <c r="BN36" s="1230" t="inlineStr">
        <is>
          <t>Still Life</t>
        </is>
      </c>
    </row>
    <row r="37" ht="12.75" customHeight="1" s="1232">
      <c r="A37" s="77" t="n">
        <v>7</v>
      </c>
      <c r="B37" s="544" t="inlineStr">
        <is>
          <t xml:space="preserve">roberta.strambini@gmail.com </t>
        </is>
      </c>
      <c r="C37" s="77" t="inlineStr">
        <is>
          <t xml:space="preserve">Roberta </t>
        </is>
      </c>
      <c r="D37" s="77" t="inlineStr">
        <is>
          <t>Strambini</t>
        </is>
      </c>
      <c r="E37" s="1551" t="inlineStr">
        <is>
          <t>439379732</t>
        </is>
      </c>
      <c r="F37" s="1552" t="n">
        <v>44346</v>
      </c>
      <c r="H37" s="1230" t="n">
        <v>20</v>
      </c>
      <c r="I37" s="1230" t="inlineStr">
        <is>
          <t>Monthly</t>
        </is>
      </c>
      <c r="J37" s="1540" t="inlineStr">
        <is>
          <t>Ftom 15th June</t>
        </is>
      </c>
      <c r="BK37" s="1230" t="inlineStr">
        <is>
          <t>Abstract</t>
        </is>
      </c>
      <c r="BL37" s="1230" t="inlineStr">
        <is>
          <t>Movement</t>
        </is>
      </c>
      <c r="BM37" s="1230" t="inlineStr">
        <is>
          <t>on hold</t>
        </is>
      </c>
    </row>
    <row r="38" ht="12.75" customHeight="1" s="1232">
      <c r="A38" s="77" t="n">
        <v>8</v>
      </c>
    </row>
    <row r="39" ht="12.75" customHeight="1" s="1232">
      <c r="B39" s="544" t="inlineStr">
        <is>
          <t>rfveiga@gmail.com</t>
        </is>
      </c>
      <c r="C39" s="77" t="inlineStr">
        <is>
          <t xml:space="preserve">Rafa </t>
        </is>
      </c>
      <c r="D39" s="77" t="inlineStr">
        <is>
          <t>Veiga</t>
        </is>
      </c>
      <c r="F39" s="1552" t="n">
        <v>44301</v>
      </c>
      <c r="G39" s="1230" t="inlineStr">
        <is>
          <t>3 Months</t>
        </is>
      </c>
      <c r="H39" s="1230" t="n">
        <v>60</v>
      </c>
      <c r="I39" s="1230" t="inlineStr">
        <is>
          <t>One Off</t>
        </is>
      </c>
      <c r="J39" s="1540" t="inlineStr">
        <is>
          <t>From 15th Apr 2021</t>
        </is>
      </c>
      <c r="BI39" s="1230" t="inlineStr">
        <is>
          <t>Spring</t>
        </is>
      </c>
      <c r="BJ39" s="1230" t="inlineStr">
        <is>
          <t>Landscape</t>
        </is>
      </c>
      <c r="BK39" s="1230" t="inlineStr">
        <is>
          <t>Abstract</t>
        </is>
      </c>
    </row>
    <row r="40" ht="12.75" customHeight="1" s="1232">
      <c r="B40" s="544" t="inlineStr">
        <is>
          <t>husamhsf@gmail.com</t>
        </is>
      </c>
      <c r="C40" s="77" t="inlineStr">
        <is>
          <t xml:space="preserve">Husam </t>
        </is>
      </c>
      <c r="D40" s="77" t="inlineStr">
        <is>
          <t>Fakhry</t>
        </is>
      </c>
      <c r="E40" s="1551" t="inlineStr">
        <is>
          <t>07947033788</t>
        </is>
      </c>
      <c r="F40" s="1552" t="n">
        <v>16</v>
      </c>
      <c r="H40" s="1230" t="n">
        <v>20</v>
      </c>
      <c r="I40" s="1230" t="inlineStr">
        <is>
          <t>Monthly</t>
        </is>
      </c>
      <c r="J40" s="1540" t="inlineStr">
        <is>
          <t>From 16th Jan</t>
        </is>
      </c>
      <c r="AT40" s="1230" t="inlineStr">
        <is>
          <t>Triptych</t>
        </is>
      </c>
      <c r="AU40" s="1230" t="inlineStr">
        <is>
          <t>Env Portrait</t>
        </is>
      </c>
      <c r="AV40" s="1230" t="inlineStr">
        <is>
          <t>Reflections</t>
        </is>
      </c>
      <c r="AW40" s="1230" t="inlineStr">
        <is>
          <t>Spring</t>
        </is>
      </c>
      <c r="AX40" s="1230" t="inlineStr">
        <is>
          <t>ON HOLD</t>
        </is>
      </c>
      <c r="BC40" s="1230" t="inlineStr">
        <is>
          <t>Autumn</t>
        </is>
      </c>
      <c r="BD40" s="1230" t="inlineStr">
        <is>
          <t>B&amp;W</t>
        </is>
      </c>
      <c r="BE40" s="1230" t="inlineStr">
        <is>
          <t>Triptych</t>
        </is>
      </c>
      <c r="BF40" s="1230" t="inlineStr">
        <is>
          <t>Minimalism</t>
        </is>
      </c>
      <c r="BG40" s="1230" t="inlineStr">
        <is>
          <t>Urban Spaces</t>
        </is>
      </c>
      <c r="BH40" s="1230" t="inlineStr">
        <is>
          <t>Dice</t>
        </is>
      </c>
      <c r="BI40" s="1230" t="inlineStr">
        <is>
          <t>Spring</t>
        </is>
      </c>
      <c r="BJ40" s="1230" t="inlineStr">
        <is>
          <t>Landscape</t>
        </is>
      </c>
      <c r="BK40" s="1230" t="inlineStr">
        <is>
          <t>Abstract</t>
        </is>
      </c>
      <c r="BL40" s="1230" t="inlineStr">
        <is>
          <t>ON Hold</t>
        </is>
      </c>
    </row>
    <row r="41" ht="12.75" customHeight="1" s="1232">
      <c r="A41" s="189" t="n">
        <v>8</v>
      </c>
      <c r="B41" s="1491" t="inlineStr">
        <is>
          <t xml:space="preserve">ickaohman@gmail.com </t>
        </is>
      </c>
      <c r="C41" s="77" t="inlineStr">
        <is>
          <t xml:space="preserve">Annika </t>
        </is>
      </c>
      <c r="D41" s="77" t="inlineStr">
        <is>
          <t>Öhman</t>
        </is>
      </c>
      <c r="E41" s="1230" t="n">
        <v>946705666684</v>
      </c>
      <c r="F41" s="1552" t="n">
        <v>2.428571423611111</v>
      </c>
      <c r="H41" s="1230" t="n">
        <v>20</v>
      </c>
      <c r="I41" s="1230" t="inlineStr">
        <is>
          <t>Monthly</t>
        </is>
      </c>
      <c r="J41" s="1540" t="inlineStr">
        <is>
          <t>From 17th Jul</t>
        </is>
      </c>
      <c r="AN41" s="1230" t="inlineStr">
        <is>
          <t>Movement</t>
        </is>
      </c>
      <c r="AO41" s="1230" t="inlineStr">
        <is>
          <t>Minimalism</t>
        </is>
      </c>
      <c r="AP41" s="1230" t="inlineStr">
        <is>
          <t>Abstract</t>
        </is>
      </c>
      <c r="AQ41" s="1230" t="inlineStr">
        <is>
          <t>Autumn</t>
        </is>
      </c>
      <c r="AR41" s="1230" t="inlineStr">
        <is>
          <t>Still Life</t>
        </is>
      </c>
      <c r="AS41" s="1230" t="inlineStr">
        <is>
          <t>B&amp;W</t>
        </is>
      </c>
      <c r="AT41" s="1230" t="inlineStr">
        <is>
          <t>ON HOLD</t>
        </is>
      </c>
      <c r="AU41" s="1230" t="inlineStr">
        <is>
          <t>ON HOLD</t>
        </is>
      </c>
      <c r="AV41" s="1230" t="inlineStr">
        <is>
          <t>ON HOLD</t>
        </is>
      </c>
    </row>
    <row r="42" ht="12.75" customHeight="1" s="1232">
      <c r="A42" s="189" t="n">
        <v>9</v>
      </c>
      <c r="B42" s="544" t="inlineStr">
        <is>
          <t>fjohnstubbs@icloud.com</t>
        </is>
      </c>
      <c r="C42" s="77" t="inlineStr">
        <is>
          <t>John</t>
        </is>
      </c>
      <c r="D42" s="1230" t="inlineStr">
        <is>
          <t>Stubbs</t>
        </is>
      </c>
      <c r="E42" s="1551" t="inlineStr">
        <is>
          <t>07792861347</t>
        </is>
      </c>
      <c r="F42" s="1552" t="n">
        <v>43144</v>
      </c>
      <c r="H42" s="1230" t="n">
        <v>200</v>
      </c>
      <c r="I42" s="1230" t="inlineStr">
        <is>
          <t>Annual</t>
        </is>
      </c>
      <c r="J42" s="1540" t="inlineStr">
        <is>
          <t>From Feb 18 to Jan19</t>
        </is>
      </c>
      <c r="W42" s="1230" t="inlineStr">
        <is>
          <t>B&amp;W</t>
        </is>
      </c>
      <c r="X42" s="1230" t="inlineStr">
        <is>
          <t>Triptych</t>
        </is>
      </c>
      <c r="Y42" s="1230" t="inlineStr">
        <is>
          <t>Square Mile</t>
        </is>
      </c>
      <c r="Z42" s="1230" t="inlineStr">
        <is>
          <t>Spring</t>
        </is>
      </c>
      <c r="AA42" s="1230" t="inlineStr">
        <is>
          <t>Landscape</t>
        </is>
      </c>
      <c r="AB42" s="1230" t="inlineStr">
        <is>
          <t>Env Portrait</t>
        </is>
      </c>
      <c r="AC42" s="1230" t="inlineStr">
        <is>
          <t>Urban Spaces</t>
        </is>
      </c>
      <c r="AD42" s="1230" t="inlineStr">
        <is>
          <t>Minimalism</t>
        </is>
      </c>
      <c r="AE42" s="1230" t="inlineStr">
        <is>
          <t>Autumn</t>
        </is>
      </c>
      <c r="AF42" s="1230" t="inlineStr">
        <is>
          <t>Reflections</t>
        </is>
      </c>
      <c r="AG42" s="1230" t="inlineStr">
        <is>
          <t>Abstract</t>
        </is>
      </c>
      <c r="AH42" s="1230" t="inlineStr">
        <is>
          <t>Still Life</t>
        </is>
      </c>
      <c r="AI42" s="1230" t="inlineStr">
        <is>
          <t>B&amp;W</t>
        </is>
      </c>
    </row>
    <row r="43" ht="12.75" customHeight="1" s="1232">
      <c r="A43" s="189" t="n">
        <v>10</v>
      </c>
      <c r="B43" s="1491" t="inlineStr">
        <is>
          <t xml:space="preserve">i.yorgov@gmail.com </t>
        </is>
      </c>
      <c r="C43" s="77" t="inlineStr">
        <is>
          <t xml:space="preserve">Ivaylo </t>
        </is>
      </c>
      <c r="D43" s="77" t="inlineStr">
        <is>
          <t>Yorgov</t>
        </is>
      </c>
      <c r="E43" s="1551" t="inlineStr">
        <is>
          <t>00359899849656</t>
        </is>
      </c>
      <c r="F43" s="1551" t="inlineStr">
        <is>
          <t>10 Mar</t>
        </is>
      </c>
      <c r="H43" s="1230" t="n">
        <v>20</v>
      </c>
      <c r="I43" s="1230" t="inlineStr">
        <is>
          <t>Monthly</t>
        </is>
      </c>
      <c r="J43" s="1540" t="inlineStr">
        <is>
          <t>From 15th Mar</t>
        </is>
      </c>
      <c r="AJ43" s="1230" t="inlineStr">
        <is>
          <t>Triptych</t>
        </is>
      </c>
      <c r="AK43" s="1230" t="inlineStr">
        <is>
          <t>Square Mile</t>
        </is>
      </c>
    </row>
    <row r="44" ht="12.75" customHeight="1" s="1232">
      <c r="A44" s="189" t="n">
        <v>11</v>
      </c>
      <c r="B44" s="544" t="inlineStr">
        <is>
          <t>yussuf.al.yamani@gmail.com</t>
        </is>
      </c>
      <c r="C44" s="77" t="inlineStr">
        <is>
          <t>Alyamani</t>
        </is>
      </c>
      <c r="D44" s="77" t="inlineStr">
        <is>
          <t>Alyamani</t>
        </is>
      </c>
      <c r="E44" s="1551" t="inlineStr">
        <is>
          <t>0096598863315</t>
        </is>
      </c>
      <c r="F44" s="1552" t="n">
        <v>43557</v>
      </c>
      <c r="H44" s="1230" t="n">
        <v>20</v>
      </c>
      <c r="I44" s="1230" t="inlineStr">
        <is>
          <t>Monthly</t>
        </is>
      </c>
      <c r="J44" s="1540" t="inlineStr">
        <is>
          <t>From 15th Apr</t>
        </is>
      </c>
      <c r="AK44" s="1230" t="inlineStr">
        <is>
          <t>Square Mile</t>
        </is>
      </c>
      <c r="AL44" s="1230" t="inlineStr">
        <is>
          <t>Landscape</t>
        </is>
      </c>
    </row>
    <row r="45" ht="12.75" customHeight="1" s="1232">
      <c r="A45" s="189" t="n">
        <v>12</v>
      </c>
      <c r="B45" s="544" t="inlineStr">
        <is>
          <t>i.wilkening@warwick.ac.uk</t>
        </is>
      </c>
      <c r="C45" s="77" t="inlineStr">
        <is>
          <t xml:space="preserve">Ina </t>
        </is>
      </c>
      <c r="D45" s="77" t="inlineStr">
        <is>
          <t>Wilkening</t>
        </is>
      </c>
      <c r="E45" s="1551" t="inlineStr">
        <is>
          <t>07957472979</t>
        </is>
      </c>
      <c r="F45" s="1552" t="n">
        <v>43500</v>
      </c>
      <c r="H45" s="1230" t="n">
        <v>20</v>
      </c>
      <c r="I45" s="1230" t="inlineStr">
        <is>
          <t>Monthly</t>
        </is>
      </c>
      <c r="J45" s="1540" t="inlineStr">
        <is>
          <t>From Feb 15th</t>
        </is>
      </c>
      <c r="AI45" s="1230" t="inlineStr">
        <is>
          <t>B&amp;W</t>
        </is>
      </c>
      <c r="AJ45" s="1230" t="inlineStr">
        <is>
          <t>Triptych</t>
        </is>
      </c>
      <c r="AK45" s="1230" t="inlineStr">
        <is>
          <t>Square Mile</t>
        </is>
      </c>
      <c r="AL45" s="1230" t="inlineStr">
        <is>
          <t>Landscape</t>
        </is>
      </c>
      <c r="AM45" s="1230" t="inlineStr">
        <is>
          <t>Env Portrait</t>
        </is>
      </c>
      <c r="AN45" s="1230" t="inlineStr">
        <is>
          <t>Movement</t>
        </is>
      </c>
    </row>
    <row r="46" ht="12.75" customHeight="1" s="1232">
      <c r="A46" s="189" t="n"/>
      <c r="B46" s="544" t="inlineStr">
        <is>
          <t>fiona@flbrown.com</t>
        </is>
      </c>
      <c r="C46" s="77" t="inlineStr">
        <is>
          <t>Fiona</t>
        </is>
      </c>
      <c r="D46" s="77" t="inlineStr">
        <is>
          <t>Brown</t>
        </is>
      </c>
      <c r="E46" s="1551" t="inlineStr">
        <is>
          <t>07946317549</t>
        </is>
      </c>
      <c r="F46" s="1552" t="n">
        <v>43221</v>
      </c>
      <c r="H46" s="1230" t="n">
        <v>20</v>
      </c>
      <c r="I46" s="1230" t="inlineStr">
        <is>
          <t>Monthly</t>
        </is>
      </c>
      <c r="J46" s="1540" t="inlineStr">
        <is>
          <t>From May-18</t>
        </is>
      </c>
      <c r="Z46" s="1230" t="inlineStr">
        <is>
          <t>Spring</t>
        </is>
      </c>
      <c r="AA46" s="1230" t="inlineStr">
        <is>
          <t>Landscape</t>
        </is>
      </c>
      <c r="AB46" s="1230" t="inlineStr">
        <is>
          <t>Env Portrait</t>
        </is>
      </c>
      <c r="AC46" s="1230" t="inlineStr">
        <is>
          <t>Urban Spaces</t>
        </is>
      </c>
      <c r="AD46" s="1230" t="inlineStr">
        <is>
          <t>Minimalism</t>
        </is>
      </c>
      <c r="AE46" s="1230" t="inlineStr">
        <is>
          <t>Autumn</t>
        </is>
      </c>
      <c r="AF46" s="1230" t="inlineStr">
        <is>
          <t>Reflections</t>
        </is>
      </c>
      <c r="AG46" s="1230" t="inlineStr">
        <is>
          <t>Abstract</t>
        </is>
      </c>
      <c r="AH46" s="1230" t="inlineStr">
        <is>
          <t>Still Life</t>
        </is>
      </c>
      <c r="AI46" s="1230" t="inlineStr">
        <is>
          <t>B&amp;W</t>
        </is>
      </c>
      <c r="AJ46" s="1230" t="inlineStr">
        <is>
          <t>Triptych</t>
        </is>
      </c>
      <c r="AK46" s="1230" t="inlineStr">
        <is>
          <t>Square Mile</t>
        </is>
      </c>
      <c r="AL46" s="1230" t="inlineStr">
        <is>
          <t>Landscape</t>
        </is>
      </c>
      <c r="AM46" s="1230" t="inlineStr">
        <is>
          <t>Env Portrait</t>
        </is>
      </c>
      <c r="AN46" s="1230" t="inlineStr">
        <is>
          <t>Movement</t>
        </is>
      </c>
      <c r="AO46" s="1230" t="inlineStr">
        <is>
          <t>Minimalism</t>
        </is>
      </c>
      <c r="AP46" s="1230" t="inlineStr">
        <is>
          <t>Abstract</t>
        </is>
      </c>
      <c r="AQ46" s="1230" t="inlineStr">
        <is>
          <t>Autumn</t>
        </is>
      </c>
      <c r="AR46" s="1230" t="inlineStr">
        <is>
          <t>Still Life</t>
        </is>
      </c>
    </row>
    <row r="47" ht="12.75" customHeight="1" s="1232">
      <c r="A47" s="189" t="n"/>
      <c r="B47" s="544" t="inlineStr">
        <is>
          <t>frank2807@gmail.com</t>
        </is>
      </c>
      <c r="C47" s="77" t="inlineStr">
        <is>
          <t xml:space="preserve">Frank </t>
        </is>
      </c>
      <c r="D47" s="77" t="inlineStr">
        <is>
          <t>Lovett</t>
        </is>
      </c>
      <c r="E47" s="1551" t="inlineStr">
        <is>
          <t>07968025501</t>
        </is>
      </c>
      <c r="F47" s="1552" t="n">
        <v>43557</v>
      </c>
      <c r="H47" s="1230" t="n">
        <v>20</v>
      </c>
      <c r="I47" s="1230" t="inlineStr">
        <is>
          <t>Monthly</t>
        </is>
      </c>
      <c r="J47" s="1540" t="inlineStr">
        <is>
          <t>From 15th Apr</t>
        </is>
      </c>
      <c r="AK47" s="1230" t="inlineStr">
        <is>
          <t>Square Mile</t>
        </is>
      </c>
      <c r="AL47" s="1230" t="inlineStr">
        <is>
          <t>Landscape</t>
        </is>
      </c>
      <c r="AM47" s="1230" t="inlineStr">
        <is>
          <t>Env Portrait</t>
        </is>
      </c>
      <c r="AN47" s="1230" t="inlineStr">
        <is>
          <t>Movement</t>
        </is>
      </c>
      <c r="AO47" s="1230" t="inlineStr">
        <is>
          <t>Minimalism</t>
        </is>
      </c>
      <c r="AP47" s="1230" t="inlineStr">
        <is>
          <t>Abstract</t>
        </is>
      </c>
      <c r="AQ47" s="1230" t="inlineStr">
        <is>
          <t>Autumn</t>
        </is>
      </c>
      <c r="AR47" s="1230" t="inlineStr">
        <is>
          <t>Still Life</t>
        </is>
      </c>
      <c r="AS47" s="1230" t="inlineStr">
        <is>
          <t>B&amp;W</t>
        </is>
      </c>
      <c r="AT47" s="1230" t="inlineStr">
        <is>
          <t>Triptych</t>
        </is>
      </c>
      <c r="AU47" s="1230" t="inlineStr">
        <is>
          <t>Env Portrait</t>
        </is>
      </c>
      <c r="AV47" s="1230" t="inlineStr">
        <is>
          <t>Reflections</t>
        </is>
      </c>
      <c r="AW47" s="1230" t="inlineStr">
        <is>
          <t>Spring</t>
        </is>
      </c>
    </row>
    <row r="48" ht="12.75" customHeight="1" s="1232">
      <c r="A48" s="189" t="n">
        <v>3</v>
      </c>
      <c r="B48" s="544" t="inlineStr">
        <is>
          <t>seelypix@gmail.com</t>
        </is>
      </c>
      <c r="C48" s="77" t="inlineStr">
        <is>
          <t>John</t>
        </is>
      </c>
      <c r="D48" s="77" t="inlineStr">
        <is>
          <t>Seely</t>
        </is>
      </c>
      <c r="E48" s="1551" t="inlineStr">
        <is>
          <t>07411170250</t>
        </is>
      </c>
      <c r="F48" s="1552" t="n">
        <v>43918</v>
      </c>
      <c r="H48" s="1230" t="n">
        <v>20</v>
      </c>
      <c r="I48" s="1230" t="inlineStr">
        <is>
          <t>Monthly</t>
        </is>
      </c>
      <c r="J48" s="1540" t="inlineStr">
        <is>
          <t>From 29 March</t>
        </is>
      </c>
      <c r="AW48" s="1230" t="inlineStr">
        <is>
          <t>Spring</t>
        </is>
      </c>
      <c r="AX48" s="1230" t="inlineStr">
        <is>
          <t>Landscape</t>
        </is>
      </c>
      <c r="AY48" s="1230" t="inlineStr">
        <is>
          <t>Abstract</t>
        </is>
      </c>
      <c r="AZ48" s="1230" t="inlineStr">
        <is>
          <t>Movement</t>
        </is>
      </c>
    </row>
    <row r="49" ht="12.75" customHeight="1" s="1232">
      <c r="A49" s="189" t="n"/>
    </row>
    <row r="50" ht="12.75" customHeight="1" s="1232">
      <c r="A50" s="189" t="n"/>
      <c r="B50" s="544" t="n"/>
      <c r="E50" s="1551" t="n"/>
      <c r="F50" s="1552" t="n"/>
    </row>
    <row r="51" ht="12.75" customHeight="1" s="1232">
      <c r="A51" s="189" t="n"/>
      <c r="B51" s="78" t="n"/>
      <c r="C51" s="138" t="n"/>
      <c r="D51" s="138" t="n"/>
      <c r="E51" s="1488" t="n"/>
      <c r="F51" s="1488" t="n"/>
      <c r="G51" s="1488" t="n"/>
      <c r="H51" s="1488" t="n"/>
      <c r="I51" s="1488" t="n"/>
      <c r="J51" s="1556" t="n"/>
      <c r="K51" s="1230" t="inlineStr">
        <is>
          <t>Macro</t>
        </is>
      </c>
      <c r="Y51" s="151" t="n"/>
      <c r="Z51" s="1548" t="n"/>
      <c r="AA51" s="1557" t="inlineStr">
        <is>
          <t>Macro/close up</t>
        </is>
      </c>
      <c r="AB51" s="1548" t="n"/>
      <c r="AC51" s="1548" t="n"/>
      <c r="AD51" s="1548" t="n"/>
      <c r="AE51" s="1548" t="n"/>
      <c r="AF51" s="1548" t="n"/>
    </row>
    <row r="52" ht="12.75" customHeight="1" s="1232">
      <c r="A52" s="189" t="n"/>
      <c r="B52" s="138" t="inlineStr">
        <is>
          <t>Annual Plans</t>
        </is>
      </c>
      <c r="C52" s="75" t="n"/>
      <c r="D52" s="75" t="n"/>
      <c r="E52" s="1488" t="n"/>
      <c r="F52" s="1488" t="n"/>
      <c r="G52" s="1488" t="n"/>
      <c r="H52" s="1558" t="inlineStr">
        <is>
          <t>Annual Total</t>
        </is>
      </c>
      <c r="I52" s="138">
        <f>COUNTA(I7:I51)</f>
        <v/>
      </c>
      <c r="J52" s="1556" t="n"/>
      <c r="AA52" s="1557" t="inlineStr">
        <is>
          <t>Panoramic</t>
        </is>
      </c>
    </row>
    <row r="53" ht="12.75" customHeight="1" s="1232">
      <c r="A53" s="188" t="n"/>
      <c r="B53" s="1488" t="n"/>
      <c r="C53" s="164" t="n"/>
      <c r="D53" s="164" t="n"/>
      <c r="E53" s="1488" t="n"/>
      <c r="F53" s="1552" t="n"/>
      <c r="G53" s="1559" t="n"/>
      <c r="H53" s="1559" t="n"/>
      <c r="I53" s="1559" t="n"/>
      <c r="J53" s="1560" t="n"/>
      <c r="K53" s="1547" t="n"/>
      <c r="L53" s="1547" t="n"/>
      <c r="M53" s="1547" t="n"/>
      <c r="N53" s="1547" t="n"/>
      <c r="O53" s="1547" t="n"/>
      <c r="P53" s="1547" t="n"/>
      <c r="Q53" s="1547" t="n"/>
      <c r="R53" s="1547" t="n"/>
      <c r="S53" s="1547" t="n"/>
      <c r="T53" s="1547" t="n"/>
      <c r="U53" s="1547" t="n"/>
      <c r="V53" s="1547" t="n"/>
      <c r="W53" s="1547" t="n"/>
      <c r="X53" s="1550" t="n"/>
      <c r="Y53" s="151" t="n"/>
      <c r="Z53" s="1548" t="n"/>
      <c r="AA53" s="1557" t="inlineStr">
        <is>
          <t>Architecture</t>
        </is>
      </c>
      <c r="AB53" s="1548" t="n"/>
      <c r="AC53" s="1548" t="n"/>
      <c r="AD53" s="1548" t="n"/>
      <c r="AE53" s="1548" t="n"/>
      <c r="AF53" s="1548" t="n"/>
    </row>
    <row r="54" ht="12.75" customHeight="1" s="1232">
      <c r="A54" s="188" t="n"/>
      <c r="B54" s="1488" t="n"/>
      <c r="C54" s="164" t="n"/>
      <c r="D54" s="164" t="n"/>
      <c r="E54" s="1488" t="n"/>
      <c r="F54" s="1552" t="n"/>
      <c r="G54" s="1559" t="n"/>
      <c r="H54" s="1559" t="n"/>
      <c r="I54" s="1559" t="n"/>
      <c r="J54" s="1560" t="n"/>
      <c r="K54" s="1547" t="n"/>
      <c r="L54" s="1547" t="n"/>
      <c r="M54" s="1547" t="n"/>
      <c r="N54" s="1547" t="n"/>
      <c r="O54" s="1547" t="n"/>
      <c r="P54" s="1547" t="n"/>
      <c r="Q54" s="1547" t="n"/>
      <c r="R54" s="1547" t="n"/>
      <c r="S54" s="1547" t="n"/>
      <c r="T54" s="1547" t="n"/>
      <c r="U54" s="1547" t="n"/>
      <c r="V54" s="1547" t="n"/>
      <c r="W54" s="1547" t="n"/>
      <c r="X54" s="1550" t="n"/>
      <c r="Y54" s="151" t="n"/>
      <c r="Z54" s="1548" t="n"/>
      <c r="AA54" s="1557" t="inlineStr">
        <is>
          <t>Portrait</t>
        </is>
      </c>
      <c r="AB54" s="1548" t="n"/>
      <c r="AC54" s="1548" t="n"/>
      <c r="AD54" s="1548" t="n"/>
      <c r="AE54" s="1548" t="n"/>
      <c r="AF54" s="1548" t="n"/>
    </row>
    <row r="55" ht="12.75" customHeight="1" s="1232">
      <c r="A55" s="188" t="n"/>
      <c r="C55" s="288" t="n"/>
      <c r="F55" s="288" t="n"/>
      <c r="H55" s="288" t="n"/>
      <c r="I55" s="288" t="n"/>
      <c r="J55" s="288" t="n"/>
      <c r="K55" s="288" t="n"/>
      <c r="L55" s="1561" t="n"/>
      <c r="M55" s="1547" t="n"/>
      <c r="N55" s="1547" t="n"/>
      <c r="O55" s="1547" t="n"/>
      <c r="P55" s="1547" t="n"/>
      <c r="Q55" s="1547" t="n"/>
      <c r="R55" s="1547" t="n"/>
      <c r="S55" s="1547" t="n"/>
      <c r="T55" s="1547" t="n"/>
      <c r="U55" s="1547" t="n"/>
      <c r="V55" s="1547" t="n"/>
      <c r="W55" s="1547" t="n"/>
      <c r="X55" s="1550" t="n"/>
      <c r="Y55" s="151" t="n"/>
      <c r="Z55" s="1548" t="n"/>
      <c r="AA55" s="1558" t="inlineStr">
        <is>
          <t>Astrophotography</t>
        </is>
      </c>
    </row>
    <row r="56" ht="12.75" customHeight="1" s="1232">
      <c r="A56" s="188" t="n"/>
      <c r="B56" s="1562" t="n"/>
      <c r="C56" s="186" t="n"/>
      <c r="D56" s="186" t="n"/>
      <c r="E56" s="1563" t="n"/>
      <c r="F56" s="1563" t="n"/>
      <c r="G56" s="1564" t="n"/>
      <c r="H56" s="1564" t="n"/>
      <c r="I56" s="1564" t="n"/>
      <c r="J56" s="1565" t="n"/>
      <c r="K56" s="1547" t="n"/>
      <c r="L56" s="1547" t="n"/>
      <c r="M56" s="1547" t="n"/>
      <c r="N56" s="1547" t="n"/>
      <c r="O56" s="1547" t="n"/>
      <c r="P56" s="1547" t="n"/>
      <c r="Q56" s="1547" t="n"/>
      <c r="R56" s="1547" t="n"/>
      <c r="S56" s="1547" t="n"/>
      <c r="T56" s="1547" t="n"/>
      <c r="U56" s="1547" t="n"/>
      <c r="V56" s="1547" t="n"/>
      <c r="W56" s="1547" t="n"/>
      <c r="X56" s="1550" t="n"/>
      <c r="Y56" s="151" t="n"/>
      <c r="Z56" s="1548" t="n"/>
      <c r="AA56" s="1557" t="inlineStr">
        <is>
          <t>Wildlife</t>
        </is>
      </c>
    </row>
    <row r="57" ht="12.75" customHeight="1" s="1232">
      <c r="A57" s="119" t="n">
        <v>1</v>
      </c>
      <c r="B57" s="1230" t="n"/>
      <c r="C57" s="1230" t="n"/>
      <c r="D57" s="1230" t="n"/>
      <c r="J57" s="1230" t="n"/>
      <c r="Y57" s="1230" t="n"/>
    </row>
    <row r="58" ht="12.75" customHeight="1" s="1232">
      <c r="A58" s="119" t="n">
        <v>2</v>
      </c>
      <c r="B58" s="1230" t="n"/>
      <c r="C58" s="1230" t="n"/>
      <c r="D58" s="1230" t="n"/>
      <c r="F58" s="1552" t="n"/>
      <c r="J58" s="1230" t="n"/>
      <c r="Y58" s="1230" t="n"/>
      <c r="AA58" s="1230" t="inlineStr">
        <is>
          <t>Night</t>
        </is>
      </c>
    </row>
    <row r="59" ht="12.75" customHeight="1" s="1232">
      <c r="A59" s="119" t="n">
        <v>3</v>
      </c>
      <c r="B59" s="1230" t="n"/>
      <c r="C59" s="1230" t="n"/>
      <c r="D59" s="1230" t="n"/>
      <c r="J59" s="1230" t="n"/>
      <c r="Y59" s="1230" t="n"/>
      <c r="AA59" s="1230" t="inlineStr">
        <is>
          <t>Composite</t>
        </is>
      </c>
    </row>
    <row r="60" ht="12.75" customHeight="1" s="1232">
      <c r="A60" s="119">
        <f>A59+1</f>
        <v/>
      </c>
      <c r="B60" s="1230" t="n"/>
      <c r="C60" s="1230" t="n"/>
      <c r="D60" s="1230" t="n"/>
      <c r="J60" s="1230" t="n"/>
      <c r="Y60" s="1230" t="n"/>
      <c r="AA60" s="1230" t="inlineStr">
        <is>
          <t>Nature</t>
        </is>
      </c>
    </row>
    <row r="61" ht="12.75" customHeight="1" s="1232">
      <c r="A61" s="119">
        <f>A60+1</f>
        <v/>
      </c>
      <c r="B61" s="1230" t="n"/>
      <c r="C61" s="1230" t="n"/>
      <c r="D61" s="1230" t="n"/>
      <c r="J61" s="1230" t="n"/>
      <c r="Y61" s="1230" t="n"/>
      <c r="AA61" s="1230" t="inlineStr">
        <is>
          <t>Sport</t>
        </is>
      </c>
    </row>
    <row r="62" ht="12.75" customHeight="1" s="1232">
      <c r="A62" s="119">
        <f>A61+1</f>
        <v/>
      </c>
      <c r="B62" s="1230" t="n"/>
      <c r="C62" s="1230" t="n"/>
      <c r="D62" s="1230" t="n"/>
      <c r="J62" s="1230" t="n"/>
      <c r="Y62" s="1230" t="n"/>
      <c r="AA62" s="1230" t="inlineStr">
        <is>
          <t>Travel</t>
        </is>
      </c>
    </row>
    <row r="63" ht="12.75" customHeight="1" s="1232">
      <c r="A63" s="119">
        <f>A62+1</f>
        <v/>
      </c>
      <c r="AA63" s="1230" t="inlineStr">
        <is>
          <t>Event</t>
        </is>
      </c>
    </row>
    <row r="64" ht="12.75" customHeight="1" s="1232">
      <c r="A64" s="119">
        <f>A63+1</f>
        <v/>
      </c>
      <c r="AA64" s="1230" t="inlineStr">
        <is>
          <t>Fashion</t>
        </is>
      </c>
    </row>
    <row r="65" ht="12.75" customHeight="1" s="1232">
      <c r="A65" s="119">
        <f>A64+1</f>
        <v/>
      </c>
      <c r="AA65" s="1230" t="inlineStr">
        <is>
          <t>Photo Journalism</t>
        </is>
      </c>
    </row>
    <row r="66" ht="12.75" customHeight="1" s="1232">
      <c r="A66" s="119">
        <f>A65+1</f>
        <v/>
      </c>
      <c r="AA66" s="1488" t="inlineStr">
        <is>
          <t>Documentary</t>
        </is>
      </c>
    </row>
    <row r="67" ht="12.75" customHeight="1" s="1232">
      <c r="A67" s="119">
        <f>A66+1</f>
        <v/>
      </c>
      <c r="AA67" s="1488" t="inlineStr">
        <is>
          <t xml:space="preserve">Aerial </t>
        </is>
      </c>
    </row>
    <row r="68" ht="12.75" customHeight="1" s="1232">
      <c r="A68" s="119" t="n">
        <v>12</v>
      </c>
      <c r="AA68" s="1488" t="inlineStr">
        <is>
          <t>Product</t>
        </is>
      </c>
    </row>
    <row r="69" ht="12.75" customHeight="1" s="1232">
      <c r="A69" s="119" t="n">
        <v>13</v>
      </c>
      <c r="AA69" s="1488" t="inlineStr">
        <is>
          <t>Commercial</t>
        </is>
      </c>
    </row>
    <row r="70" ht="12.75" customHeight="1" s="1232">
      <c r="A70" s="119" t="n">
        <v>14</v>
      </c>
      <c r="AA70" s="1488" t="inlineStr">
        <is>
          <t>Conceptual/Fine Art</t>
        </is>
      </c>
    </row>
    <row r="71" ht="12.75" customHeight="1" s="1232">
      <c r="A71" s="119" t="n">
        <v>15</v>
      </c>
      <c r="AA71" s="1488" t="inlineStr">
        <is>
          <t>Street</t>
        </is>
      </c>
    </row>
    <row r="72" ht="12.75" customHeight="1" s="1232">
      <c r="A72" s="119" t="n">
        <v>16</v>
      </c>
      <c r="AA72" s="1488" t="inlineStr">
        <is>
          <t xml:space="preserve">Boudoir </t>
        </is>
      </c>
    </row>
    <row r="73" ht="12.75" customHeight="1" s="1232">
      <c r="A73" s="119" t="n"/>
      <c r="B73" s="1501" t="n"/>
      <c r="C73" s="1558" t="n"/>
      <c r="D73" s="1557" t="n"/>
      <c r="F73" s="1552" t="n"/>
      <c r="G73" s="1488" t="n"/>
      <c r="H73" s="1488" t="n"/>
      <c r="I73" s="1559" t="n"/>
      <c r="J73" s="1560" t="n"/>
      <c r="X73" s="169" t="n"/>
      <c r="Y73" s="168" t="n"/>
      <c r="Z73" s="1488" t="n"/>
      <c r="AA73" s="1488" t="inlineStr">
        <is>
          <t xml:space="preserve">Urban </t>
        </is>
      </c>
    </row>
    <row r="74" ht="12.75" customHeight="1" s="1232">
      <c r="A74" s="119" t="n"/>
      <c r="B74" s="75" t="n"/>
      <c r="C74" s="75" t="n"/>
      <c r="D74" s="75" t="n"/>
      <c r="E74" s="1488" t="n"/>
      <c r="F74" s="1488" t="n"/>
      <c r="G74" s="1488" t="n"/>
      <c r="H74" s="1488" t="n"/>
      <c r="I74" s="1488" t="n"/>
      <c r="J74" s="1556" t="n"/>
      <c r="S74" s="1566" t="n"/>
      <c r="T74" s="1566" t="n"/>
      <c r="U74" s="1566" t="n"/>
      <c r="V74" s="1566" t="n"/>
      <c r="W74" s="1566" t="n"/>
      <c r="X74" s="1488" t="n"/>
      <c r="Y74" s="1488" t="n"/>
      <c r="Z74" s="1488" t="n"/>
      <c r="AA74" s="1488" t="inlineStr">
        <is>
          <t>Real Estate</t>
        </is>
      </c>
    </row>
    <row r="75" ht="12.75" customHeight="1" s="1232">
      <c r="A75" s="119" t="n"/>
      <c r="B75" s="138" t="inlineStr">
        <is>
          <t>Monthly Plans</t>
        </is>
      </c>
      <c r="C75" s="75" t="n"/>
      <c r="D75" s="75" t="n"/>
      <c r="E75" s="1488" t="n"/>
      <c r="F75" s="1488" t="n"/>
      <c r="G75" s="1488" t="n"/>
      <c r="H75" s="1558" t="inlineStr">
        <is>
          <t>Monthly Total</t>
        </is>
      </c>
      <c r="I75" s="138">
        <f>COUNTA(I57:I74)</f>
        <v/>
      </c>
      <c r="J75" s="1556" t="n"/>
      <c r="S75" s="1566" t="n"/>
      <c r="T75" s="1566" t="n"/>
      <c r="U75" s="1566" t="n"/>
      <c r="V75" s="1566" t="n"/>
      <c r="W75" s="1566" t="n"/>
      <c r="X75" s="1488" t="n"/>
      <c r="Y75" s="1488" t="n"/>
      <c r="Z75" s="1488" t="n"/>
    </row>
    <row r="76" ht="12.75" customHeight="1" s="1232">
      <c r="A76" s="119" t="n"/>
      <c r="B76" s="75" t="n"/>
      <c r="C76" s="75" t="n"/>
      <c r="D76" s="75" t="n"/>
      <c r="E76" s="1488" t="n"/>
      <c r="F76" s="1488" t="n"/>
      <c r="G76" s="1488" t="n"/>
      <c r="H76" s="1558" t="inlineStr">
        <is>
          <t>Grand Total</t>
        </is>
      </c>
      <c r="I76" s="182">
        <f>I75+I52</f>
        <v/>
      </c>
      <c r="J76" s="1556" t="n"/>
      <c r="S76" s="1566" t="n"/>
      <c r="T76" s="1566" t="n"/>
      <c r="U76" s="1566" t="n"/>
      <c r="V76" s="1566" t="n"/>
      <c r="W76" s="1566" t="n"/>
      <c r="X76" s="1488" t="n"/>
      <c r="Y76" s="1488" t="n"/>
      <c r="Z76" s="1488" t="n"/>
    </row>
    <row r="77" ht="12.75" customHeight="1" s="1232">
      <c r="A77" s="119" t="n"/>
      <c r="B77" s="75" t="n"/>
      <c r="C77" s="75" t="n"/>
      <c r="D77" s="75" t="n"/>
      <c r="E77" s="1488" t="n"/>
      <c r="F77" s="1488" t="n"/>
      <c r="G77" s="1488" t="n"/>
      <c r="H77" s="1488" t="n"/>
      <c r="I77" s="1488" t="n"/>
      <c r="J77" s="1556" t="n"/>
      <c r="K77" s="181" t="inlineStr">
        <is>
          <t>Dec-14</t>
        </is>
      </c>
      <c r="L77" s="181" t="inlineStr">
        <is>
          <t>Jan-15</t>
        </is>
      </c>
      <c r="M77" s="181" t="inlineStr">
        <is>
          <t>Feb-15</t>
        </is>
      </c>
      <c r="N77" s="181" t="inlineStr">
        <is>
          <t>Mar-15</t>
        </is>
      </c>
      <c r="O77" s="181" t="inlineStr">
        <is>
          <t>Apr-15</t>
        </is>
      </c>
      <c r="P77" s="181" t="inlineStr">
        <is>
          <t>May-15</t>
        </is>
      </c>
      <c r="Q77" s="181" t="inlineStr">
        <is>
          <t>Jun-15</t>
        </is>
      </c>
      <c r="R77" s="181" t="inlineStr">
        <is>
          <t>Jul-15</t>
        </is>
      </c>
      <c r="S77" s="181" t="inlineStr">
        <is>
          <t>Aug-15</t>
        </is>
      </c>
      <c r="T77" s="181" t="inlineStr">
        <is>
          <t>Sep-15</t>
        </is>
      </c>
      <c r="U77" s="181" t="inlineStr">
        <is>
          <t>Oct-15</t>
        </is>
      </c>
      <c r="V77" s="181" t="inlineStr">
        <is>
          <t>Nov-15</t>
        </is>
      </c>
      <c r="W77" s="181" t="inlineStr">
        <is>
          <t>Dec-15</t>
        </is>
      </c>
      <c r="X77" s="181" t="inlineStr">
        <is>
          <t>Jan-16</t>
        </is>
      </c>
      <c r="Y77" s="181" t="inlineStr">
        <is>
          <t>Feb-16</t>
        </is>
      </c>
      <c r="Z77" s="181" t="inlineStr">
        <is>
          <t>Mar-16</t>
        </is>
      </c>
    </row>
    <row r="78" ht="12.75" customHeight="1" s="1232">
      <c r="A78" s="119" t="n"/>
      <c r="B78" s="138" t="inlineStr">
        <is>
          <t>Premium Mentoring</t>
        </is>
      </c>
      <c r="C78" s="75" t="n"/>
      <c r="D78" s="75" t="n"/>
      <c r="E78" s="1488" t="n"/>
      <c r="F78" s="1488" t="n"/>
      <c r="G78" s="1488" t="n"/>
      <c r="H78" s="1488" t="n"/>
      <c r="I78" s="1488" t="n"/>
      <c r="J78" s="1556" t="n"/>
      <c r="S78" s="1566" t="n"/>
      <c r="T78" s="1566" t="n"/>
      <c r="U78" s="1566" t="n"/>
      <c r="V78" s="1566" t="n"/>
      <c r="W78" s="1566" t="n"/>
      <c r="X78" s="1488" t="n"/>
      <c r="Y78" s="1488" t="n"/>
      <c r="Z78" s="1488" t="n"/>
    </row>
    <row r="79" ht="12.75" customHeight="1" s="1232">
      <c r="A79" s="119" t="n">
        <v>1</v>
      </c>
      <c r="B79" s="80" t="inlineStr">
        <is>
          <t>con.mchugh@gmail.com</t>
        </is>
      </c>
      <c r="C79" s="75" t="inlineStr">
        <is>
          <t>Con</t>
        </is>
      </c>
      <c r="D79" s="75" t="inlineStr">
        <is>
          <t>McHugh</t>
        </is>
      </c>
      <c r="E79" s="1488" t="inlineStr">
        <is>
          <t>Premium</t>
        </is>
      </c>
      <c r="F79" s="1488" t="inlineStr">
        <is>
          <t>Pick N Mix</t>
        </is>
      </c>
      <c r="G79" s="70" t="n">
        <v>42248</v>
      </c>
      <c r="H79" s="1488" t="n"/>
      <c r="I79" s="1488" t="inlineStr">
        <is>
          <t>Bank</t>
        </is>
      </c>
      <c r="J79" s="1556" t="n"/>
      <c r="K79" s="180" t="n"/>
      <c r="L79" s="180" t="n"/>
      <c r="M79" s="180" t="n"/>
      <c r="N79" s="180" t="n"/>
      <c r="O79" s="180" t="n"/>
      <c r="P79" s="180" t="n"/>
      <c r="Q79" s="180" t="n"/>
      <c r="R79" s="180" t="n"/>
      <c r="S79" s="180" t="n"/>
      <c r="T79" s="180" t="n"/>
      <c r="U79" s="180" t="n"/>
      <c r="V79" s="180" t="n"/>
      <c r="W79" s="180" t="n"/>
      <c r="X79" s="180" t="n"/>
      <c r="Y79" s="1488" t="n"/>
      <c r="Z79" s="1488" t="n"/>
    </row>
    <row r="80" ht="12.75" customHeight="1" s="1232">
      <c r="A80" s="119" t="n">
        <v>2</v>
      </c>
      <c r="B80" s="80" t="n"/>
      <c r="C80" s="79" t="inlineStr">
        <is>
          <t>Caroline</t>
        </is>
      </c>
      <c r="D80" s="1488" t="inlineStr">
        <is>
          <t>Gee</t>
        </is>
      </c>
      <c r="E80" s="1488" t="inlineStr">
        <is>
          <t>Premium</t>
        </is>
      </c>
      <c r="F80" s="1274" t="n">
        <v>60</v>
      </c>
      <c r="G80" s="70" t="n">
        <v>42248</v>
      </c>
      <c r="H80" s="1274" t="inlineStr">
        <is>
          <t>1st</t>
        </is>
      </c>
      <c r="I80" s="1274" t="inlineStr">
        <is>
          <t>Bank</t>
        </is>
      </c>
      <c r="J80" s="1556" t="n"/>
      <c r="K80" s="180" t="n"/>
      <c r="L80" s="180" t="n"/>
      <c r="M80" s="180" t="n"/>
      <c r="N80" s="180" t="n"/>
      <c r="O80" s="180" t="n"/>
      <c r="P80" s="180" t="n"/>
      <c r="Q80" s="180" t="n"/>
      <c r="R80" s="180" t="n"/>
      <c r="S80" s="180" t="n"/>
      <c r="T80" s="180" t="n"/>
      <c r="U80" s="180" t="n"/>
      <c r="V80" s="180" t="n"/>
      <c r="W80" s="180" t="n"/>
      <c r="X80" s="180" t="n"/>
      <c r="Y80" s="1488" t="n"/>
      <c r="Z80" s="1488" t="n"/>
    </row>
    <row r="81" ht="12.75" customHeight="1" s="1232">
      <c r="A81" s="119" t="n">
        <v>3</v>
      </c>
      <c r="B81" s="80" t="inlineStr">
        <is>
          <t>gill.core@btinternet.com</t>
        </is>
      </c>
      <c r="C81" s="79" t="inlineStr">
        <is>
          <t>Gill</t>
        </is>
      </c>
      <c r="D81" s="1488" t="inlineStr">
        <is>
          <t>Core</t>
        </is>
      </c>
      <c r="E81" s="1488" t="inlineStr">
        <is>
          <t>Premium</t>
        </is>
      </c>
      <c r="F81" s="1274" t="n">
        <v>60</v>
      </c>
      <c r="G81" s="70" t="n">
        <v>42217</v>
      </c>
      <c r="H81" s="1274" t="inlineStr">
        <is>
          <t>14th</t>
        </is>
      </c>
      <c r="I81" s="1274" t="inlineStr">
        <is>
          <t>Bank</t>
        </is>
      </c>
      <c r="J81" s="1556" t="n"/>
      <c r="K81" s="180" t="n"/>
      <c r="L81" s="180" t="n"/>
      <c r="M81" s="180" t="n"/>
      <c r="N81" s="180" t="n"/>
      <c r="O81" s="180" t="n"/>
      <c r="P81" s="180" t="n"/>
      <c r="Q81" s="180" t="n"/>
      <c r="R81" s="180" t="n"/>
      <c r="S81" s="180" t="n"/>
      <c r="T81" s="180" t="n"/>
      <c r="U81" s="180" t="n">
        <v>42290</v>
      </c>
      <c r="V81" s="180" t="n"/>
      <c r="W81" s="180" t="n"/>
      <c r="X81" s="180" t="n"/>
      <c r="Y81" s="1488" t="n"/>
      <c r="Z81" s="1488" t="n"/>
    </row>
    <row r="82" ht="12.75" customHeight="1" s="1232">
      <c r="A82" s="119">
        <f>A81+1</f>
        <v/>
      </c>
      <c r="B82" s="80" t="n"/>
      <c r="C82" s="75" t="inlineStr">
        <is>
          <t>Johanna</t>
        </is>
      </c>
      <c r="D82" s="75" t="inlineStr">
        <is>
          <t>Stansfield</t>
        </is>
      </c>
      <c r="E82" s="1488" t="inlineStr">
        <is>
          <t>Premium</t>
        </is>
      </c>
      <c r="F82" s="1488" t="inlineStr">
        <is>
          <t>Pick N Mix</t>
        </is>
      </c>
      <c r="G82" s="70" t="n">
        <v>42217</v>
      </c>
      <c r="H82" s="1488" t="n"/>
      <c r="I82" s="1488" t="n"/>
      <c r="J82" s="1556" t="n"/>
      <c r="K82" s="180" t="n"/>
      <c r="L82" s="180" t="n"/>
      <c r="M82" s="180" t="n"/>
      <c r="N82" s="180" t="n"/>
      <c r="O82" s="180" t="n"/>
      <c r="P82" s="180" t="n"/>
      <c r="Q82" s="180" t="n"/>
      <c r="R82" s="180" t="n"/>
      <c r="S82" s="180" t="n"/>
      <c r="T82" s="180" t="n"/>
      <c r="U82" s="180" t="n">
        <v>42290</v>
      </c>
      <c r="V82" s="180" t="n">
        <v>42692</v>
      </c>
      <c r="W82" s="180" t="n"/>
      <c r="X82" s="180" t="inlineStr">
        <is>
          <t>x</t>
        </is>
      </c>
      <c r="Y82" s="1488" t="n"/>
      <c r="Z82" s="1488" t="n"/>
    </row>
    <row r="83" ht="12.75" customHeight="1" s="1232">
      <c r="A83" s="119">
        <f>A82+1</f>
        <v/>
      </c>
      <c r="B83" s="80" t="n"/>
      <c r="C83" s="75" t="inlineStr">
        <is>
          <t>Jacki</t>
        </is>
      </c>
      <c r="D83" s="75" t="inlineStr">
        <is>
          <t>Rosin</t>
        </is>
      </c>
      <c r="E83" s="1488" t="inlineStr">
        <is>
          <t>Premium</t>
        </is>
      </c>
      <c r="F83" s="1488" t="n">
        <v>60</v>
      </c>
      <c r="G83" s="70" t="n">
        <v>42217</v>
      </c>
      <c r="H83" s="1488" t="inlineStr">
        <is>
          <t>27th</t>
        </is>
      </c>
      <c r="I83" s="1230" t="inlineStr">
        <is>
          <t>PayPal</t>
        </is>
      </c>
      <c r="J83" s="1556" t="n"/>
      <c r="K83" s="180" t="n"/>
      <c r="L83" s="180" t="n"/>
      <c r="M83" s="180" t="n"/>
      <c r="N83" s="180" t="n"/>
      <c r="O83" s="180" t="n"/>
      <c r="P83" s="180" t="n"/>
      <c r="Q83" s="180" t="n"/>
      <c r="R83" s="180" t="n"/>
      <c r="S83" s="180" t="n"/>
      <c r="T83" s="180" t="n"/>
      <c r="U83" s="180" t="n"/>
      <c r="V83" s="180" t="n"/>
      <c r="W83" s="180" t="n"/>
      <c r="X83" s="180" t="inlineStr">
        <is>
          <t>x</t>
        </is>
      </c>
      <c r="Y83" s="1488" t="n"/>
      <c r="Z83" s="1488" t="n"/>
      <c r="AA83" s="1488" t="n"/>
    </row>
    <row r="84" ht="12.75" customHeight="1" s="1232">
      <c r="A84" s="119">
        <f>A83+1</f>
        <v/>
      </c>
      <c r="B84" s="1501" t="inlineStr">
        <is>
          <t>malcolm.park@virginmedia.com</t>
        </is>
      </c>
      <c r="C84" s="77" t="inlineStr">
        <is>
          <t>Malcom</t>
        </is>
      </c>
      <c r="D84" s="77" t="inlineStr">
        <is>
          <t>Park</t>
        </is>
      </c>
      <c r="E84" s="1488" t="inlineStr">
        <is>
          <t>Premium</t>
        </is>
      </c>
      <c r="F84" s="1488" t="inlineStr">
        <is>
          <t>Pick N Mix</t>
        </is>
      </c>
      <c r="G84" s="70" t="n">
        <v>42370</v>
      </c>
      <c r="J84" s="1230" t="n"/>
      <c r="K84" s="180" t="n"/>
      <c r="L84" s="180" t="n"/>
      <c r="M84" s="180" t="n"/>
      <c r="N84" s="180" t="n"/>
      <c r="O84" s="180" t="n"/>
      <c r="P84" s="180" t="n"/>
      <c r="Q84" s="180" t="n"/>
      <c r="R84" s="180" t="n"/>
      <c r="S84" s="180" t="n"/>
      <c r="T84" s="180" t="n"/>
      <c r="U84" s="180" t="n">
        <v>42303</v>
      </c>
      <c r="V84" s="180" t="n"/>
      <c r="W84" s="180" t="n"/>
      <c r="X84" s="180" t="n"/>
      <c r="Y84" s="1488" t="n"/>
      <c r="Z84" s="1488" t="n"/>
      <c r="AA84" s="1488" t="n"/>
    </row>
    <row r="85" ht="12.75" customHeight="1" s="1232">
      <c r="A85" s="119">
        <f>A84+1</f>
        <v/>
      </c>
      <c r="B85" s="1501" t="inlineStr">
        <is>
          <t>joyceejames@me.com</t>
        </is>
      </c>
      <c r="C85" s="1260" t="inlineStr">
        <is>
          <t xml:space="preserve">Joyce </t>
        </is>
      </c>
      <c r="D85" s="1260" t="inlineStr">
        <is>
          <t>James</t>
        </is>
      </c>
      <c r="E85" s="1488" t="inlineStr">
        <is>
          <t>Premium</t>
        </is>
      </c>
      <c r="F85" s="1488" t="inlineStr">
        <is>
          <t>Pick N Mix</t>
        </is>
      </c>
      <c r="G85" s="70" t="n">
        <v>42370</v>
      </c>
      <c r="H85" s="1488" t="n"/>
      <c r="I85" s="1488" t="n"/>
      <c r="J85" s="1556" t="n"/>
      <c r="K85" s="180" t="n"/>
      <c r="L85" s="180" t="n"/>
      <c r="M85" s="180" t="n"/>
      <c r="N85" s="180" t="n"/>
      <c r="O85" s="180" t="n"/>
      <c r="P85" s="180" t="n"/>
      <c r="Q85" s="180" t="n"/>
      <c r="R85" s="180" t="n"/>
      <c r="S85" s="180" t="n"/>
      <c r="T85" s="180" t="n"/>
      <c r="U85" s="180" t="n"/>
      <c r="V85" s="180" t="n"/>
      <c r="W85" s="180" t="n"/>
      <c r="X85" s="180" t="n"/>
      <c r="Y85" s="1488" t="n"/>
      <c r="Z85" s="1488" t="n"/>
      <c r="AA85" s="1488" t="n"/>
    </row>
    <row r="86" ht="12.75" customHeight="1" s="1232">
      <c r="A86" s="119">
        <f>A85+1</f>
        <v/>
      </c>
      <c r="B86" s="1501" t="inlineStr">
        <is>
          <t>mike1ford@hotmail.co.uk</t>
        </is>
      </c>
      <c r="C86" s="74" t="inlineStr">
        <is>
          <t>Mike</t>
        </is>
      </c>
      <c r="D86" s="74" t="inlineStr">
        <is>
          <t>Ford</t>
        </is>
      </c>
      <c r="E86" s="1488" t="inlineStr">
        <is>
          <t>Premium</t>
        </is>
      </c>
      <c r="F86" s="1488" t="n">
        <v>60</v>
      </c>
      <c r="G86" s="70" t="n">
        <v>42430</v>
      </c>
      <c r="H86" s="1230" t="inlineStr">
        <is>
          <t>21st</t>
        </is>
      </c>
      <c r="I86" s="1230" t="inlineStr">
        <is>
          <t>PayPal</t>
        </is>
      </c>
      <c r="K86" s="180" t="n"/>
      <c r="L86" s="180" t="n"/>
      <c r="M86" s="180" t="n"/>
      <c r="N86" s="180" t="n"/>
      <c r="O86" s="180" t="n"/>
      <c r="P86" s="180" t="n"/>
      <c r="Q86" s="180" t="n"/>
      <c r="R86" s="180" t="n"/>
      <c r="S86" s="180" t="n"/>
      <c r="T86" s="180" t="n"/>
      <c r="U86" s="180" t="n"/>
      <c r="V86" s="180" t="n"/>
      <c r="W86" s="180" t="n"/>
      <c r="X86" s="180" t="n"/>
      <c r="Y86" s="1488" t="n"/>
      <c r="Z86" s="1488" t="n"/>
      <c r="AA86" s="1488" t="n"/>
    </row>
    <row r="87" ht="12.75" customHeight="1" s="1232">
      <c r="A87" s="119">
        <f>A86+1</f>
        <v/>
      </c>
      <c r="B87" s="1567" t="inlineStr">
        <is>
          <t xml:space="preserve">mhughesuk@me.com </t>
        </is>
      </c>
      <c r="C87" s="91" t="inlineStr">
        <is>
          <t>Mr</t>
        </is>
      </c>
      <c r="D87" s="93" t="inlineStr">
        <is>
          <t xml:space="preserve">Martin  </t>
        </is>
      </c>
      <c r="E87" s="91" t="inlineStr">
        <is>
          <t>Hughes</t>
        </is>
      </c>
      <c r="F87" s="1488" t="n">
        <v>60</v>
      </c>
      <c r="G87" s="70" t="n">
        <v>42461</v>
      </c>
      <c r="H87" s="1230" t="inlineStr">
        <is>
          <t>22nd</t>
        </is>
      </c>
      <c r="I87" s="1230" t="inlineStr">
        <is>
          <t>PayPal</t>
        </is>
      </c>
      <c r="K87" s="1568" t="n"/>
      <c r="L87" s="180" t="n"/>
      <c r="M87" s="180" t="n"/>
      <c r="N87" s="180" t="n"/>
      <c r="O87" s="180" t="n"/>
      <c r="P87" s="180" t="n"/>
      <c r="Q87" s="180" t="n"/>
      <c r="R87" s="180" t="n"/>
      <c r="S87" s="180" t="n"/>
      <c r="T87" s="180" t="n"/>
      <c r="U87" s="180" t="n"/>
      <c r="V87" s="180" t="n"/>
      <c r="W87" s="180" t="n"/>
      <c r="X87" s="180" t="n"/>
      <c r="Y87" s="1488" t="n"/>
      <c r="Z87" s="1488" t="n"/>
      <c r="AA87" s="1488" t="n"/>
      <c r="AB87" s="1488" t="n"/>
      <c r="AC87" s="1488" t="n"/>
      <c r="AD87" s="1488" t="n"/>
      <c r="AE87" s="1488" t="n"/>
      <c r="AF87" s="1488" t="n"/>
    </row>
    <row r="88" ht="12.75" customHeight="1" s="1232">
      <c r="A88" s="119" t="n">
        <v>10</v>
      </c>
      <c r="B88" s="80" t="inlineStr">
        <is>
          <t xml:space="preserve">ramchander@me.com </t>
        </is>
      </c>
      <c r="C88" s="75" t="inlineStr">
        <is>
          <t>Mr</t>
        </is>
      </c>
      <c r="D88" s="75" t="inlineStr">
        <is>
          <t>Sanjay</t>
        </is>
      </c>
      <c r="E88" s="1488" t="inlineStr">
        <is>
          <t>Ramchander</t>
        </is>
      </c>
      <c r="F88" s="1488" t="n">
        <v>60</v>
      </c>
      <c r="G88" s="70" t="n">
        <v>42644</v>
      </c>
      <c r="H88" s="1488" t="inlineStr">
        <is>
          <t>27th</t>
        </is>
      </c>
      <c r="I88" s="1488" t="inlineStr">
        <is>
          <t>PayPal</t>
        </is>
      </c>
      <c r="J88" s="1556" t="n"/>
      <c r="S88" s="1566" t="n"/>
      <c r="T88" s="1566" t="n"/>
      <c r="U88" s="1566" t="n"/>
      <c r="V88" s="1566" t="n"/>
      <c r="W88" s="1566" t="n"/>
      <c r="X88" s="1488" t="n"/>
      <c r="Y88" s="1488" t="n"/>
      <c r="Z88" s="1488" t="n"/>
      <c r="AA88" s="1488" t="n"/>
      <c r="AB88" s="1488" t="n"/>
      <c r="AC88" s="1488" t="n"/>
      <c r="AD88" s="1488" t="n"/>
      <c r="AE88" s="1488" t="n"/>
      <c r="AF88" s="1488" t="n"/>
    </row>
    <row r="89" ht="12.75" customHeight="1" s="1232">
      <c r="A89" s="119" t="n">
        <v>11</v>
      </c>
      <c r="B89" s="1374" t="inlineStr">
        <is>
          <t>chrisjohnson305@btinternet.com</t>
        </is>
      </c>
      <c r="C89" s="75" t="inlineStr">
        <is>
          <t>Mr</t>
        </is>
      </c>
      <c r="D89" s="75" t="inlineStr">
        <is>
          <t xml:space="preserve">Chris </t>
        </is>
      </c>
      <c r="E89" s="1488" t="inlineStr">
        <is>
          <t>Johnson</t>
        </is>
      </c>
      <c r="F89" s="1488" t="n">
        <v>600</v>
      </c>
      <c r="G89" s="70" t="n">
        <v>42522</v>
      </c>
      <c r="H89" s="1488" t="n"/>
      <c r="I89" s="1488" t="inlineStr">
        <is>
          <t>PayPal</t>
        </is>
      </c>
      <c r="J89" s="1556" t="n"/>
      <c r="S89" s="1566" t="n"/>
      <c r="T89" s="1566" t="n"/>
      <c r="U89" s="1566" t="n"/>
      <c r="V89" s="1566" t="n"/>
      <c r="W89" s="1566" t="n"/>
      <c r="X89" s="1488" t="n"/>
      <c r="Y89" s="1488" t="n"/>
      <c r="Z89" s="1488" t="n"/>
      <c r="AA89" s="1488" t="n"/>
      <c r="AB89" s="1488" t="n"/>
      <c r="AC89" s="1488" t="n"/>
      <c r="AD89" s="1488" t="n"/>
      <c r="AE89" s="1488" t="n"/>
      <c r="AF89" s="1488" t="n"/>
    </row>
    <row r="90" ht="12.75" customHeight="1" s="1232">
      <c r="A90" s="119" t="n"/>
      <c r="B90" s="1501" t="n"/>
      <c r="C90" s="75" t="n"/>
      <c r="D90" s="75" t="n"/>
      <c r="E90" s="1488" t="n"/>
      <c r="F90" s="1488" t="n"/>
      <c r="G90" s="70" t="n"/>
      <c r="H90" s="1488" t="n"/>
      <c r="I90" s="1488" t="n"/>
      <c r="J90" s="1556" t="n"/>
      <c r="S90" s="1566" t="n"/>
      <c r="T90" s="1566" t="n"/>
      <c r="U90" s="1566" t="n"/>
      <c r="V90" s="1566" t="n"/>
      <c r="W90" s="1566" t="n"/>
      <c r="X90" s="1488" t="n"/>
      <c r="Y90" s="1488" t="n"/>
      <c r="Z90" s="1488" t="n"/>
      <c r="AA90" s="1488" t="n"/>
      <c r="AB90" s="1488" t="n"/>
      <c r="AC90" s="1488" t="n"/>
      <c r="AD90" s="1488" t="n"/>
      <c r="AE90" s="1488" t="n"/>
      <c r="AF90" s="1488" t="n"/>
    </row>
    <row r="91" ht="12.75" customHeight="1" s="1232">
      <c r="A91" s="119" t="n"/>
      <c r="B91" s="80" t="inlineStr">
        <is>
          <t>janepaulmurphy@btinternet.com</t>
        </is>
      </c>
      <c r="C91" s="77" t="inlineStr">
        <is>
          <t>Jane</t>
        </is>
      </c>
      <c r="D91" s="1230" t="inlineStr">
        <is>
          <t>Murphy</t>
        </is>
      </c>
      <c r="E91" s="1230" t="inlineStr">
        <is>
          <t>07880827475</t>
        </is>
      </c>
      <c r="F91" s="1230" t="inlineStr">
        <is>
          <t>Gift Voucher</t>
        </is>
      </c>
      <c r="H91" s="1230" t="n">
        <v>200</v>
      </c>
      <c r="I91" s="1230" t="inlineStr">
        <is>
          <t>annual</t>
        </is>
      </c>
      <c r="J91" s="1540" t="inlineStr">
        <is>
          <t>Jan 2017 to Dec 2017</t>
        </is>
      </c>
      <c r="S91" s="1566" t="n"/>
      <c r="T91" s="1566" t="n"/>
      <c r="U91" s="1566" t="n"/>
      <c r="V91" s="1566" t="n"/>
      <c r="W91" s="1566" t="n"/>
      <c r="X91" s="1488" t="n"/>
      <c r="Y91" s="1488" t="n"/>
      <c r="Z91" s="1488" t="n"/>
      <c r="AA91" s="1488" t="n"/>
      <c r="AB91" s="1488" t="n"/>
      <c r="AC91" s="1488" t="n"/>
      <c r="AD91" s="1488" t="n"/>
      <c r="AE91" s="1488" t="n"/>
      <c r="AF91" s="1488" t="n"/>
    </row>
    <row r="92" ht="12.75" customHeight="1" s="1232">
      <c r="A92" s="119" t="n"/>
      <c r="B92" s="80" t="inlineStr">
        <is>
          <t>jhcrabs@gmail.com</t>
        </is>
      </c>
      <c r="C92" s="77" t="inlineStr">
        <is>
          <t>Jim</t>
        </is>
      </c>
      <c r="D92" s="77" t="inlineStr">
        <is>
          <t>Crabtree</t>
        </is>
      </c>
      <c r="H92" s="1230" t="n">
        <v>204</v>
      </c>
      <c r="I92" s="1230" t="inlineStr">
        <is>
          <t>Pick N Mix</t>
        </is>
      </c>
      <c r="J92" s="1540" t="inlineStr">
        <is>
          <t>Dec 16 to Nov 17</t>
        </is>
      </c>
      <c r="S92" s="1566" t="n"/>
      <c r="T92" s="1566" t="n"/>
      <c r="U92" s="1566" t="n"/>
      <c r="V92" s="1566" t="n"/>
      <c r="W92" s="1566" t="n"/>
      <c r="X92" s="1488" t="n"/>
      <c r="Y92" s="1488" t="n"/>
      <c r="Z92" s="1488" t="n"/>
      <c r="AA92" s="1488" t="n"/>
      <c r="AB92" s="1488" t="n"/>
      <c r="AC92" s="1488" t="n"/>
      <c r="AD92" s="1488" t="n"/>
      <c r="AE92" s="1488" t="n"/>
      <c r="AF92" s="1488" t="n"/>
    </row>
    <row r="93" ht="12.75" customHeight="1" s="1232">
      <c r="A93" s="119" t="n"/>
      <c r="B93" s="1501" t="inlineStr">
        <is>
          <t>Kaysu@hotmail.com</t>
        </is>
      </c>
      <c r="C93" s="79" t="inlineStr">
        <is>
          <t>Karen</t>
        </is>
      </c>
      <c r="D93" s="1488" t="inlineStr">
        <is>
          <t>Pilotte</t>
        </is>
      </c>
      <c r="H93" s="1230" t="n">
        <v>20</v>
      </c>
      <c r="I93" s="1230" t="inlineStr">
        <is>
          <t>Monthly</t>
        </is>
      </c>
      <c r="J93" s="1540" t="inlineStr">
        <is>
          <t>From Sep-17</t>
        </is>
      </c>
      <c r="S93" s="1566" t="n"/>
      <c r="T93" s="1566" t="n"/>
      <c r="U93" s="1566" t="n"/>
      <c r="V93" s="1566" t="n"/>
      <c r="W93" s="1566" t="n"/>
      <c r="X93" s="1488" t="n"/>
      <c r="Y93" s="1488" t="n"/>
      <c r="Z93" s="1488" t="n"/>
      <c r="AA93" s="1488" t="n"/>
      <c r="AB93" s="1488" t="n"/>
      <c r="AC93" s="1488" t="n"/>
      <c r="AD93" s="1488" t="n"/>
      <c r="AE93" s="1488" t="n"/>
      <c r="AF93" s="1488" t="n"/>
    </row>
    <row r="94" ht="12.75" customHeight="1" s="1232">
      <c r="A94" s="119" t="n"/>
      <c r="B94" s="1501" t="n"/>
      <c r="C94" s="75" t="n"/>
      <c r="D94" s="75" t="n"/>
      <c r="E94" s="1488" t="n"/>
      <c r="F94" s="1488" t="n"/>
      <c r="G94" s="70" t="n"/>
      <c r="H94" s="1488" t="n"/>
      <c r="I94" s="1488" t="n"/>
      <c r="J94" s="1556" t="n"/>
      <c r="S94" s="1566" t="n"/>
      <c r="T94" s="1566" t="n"/>
      <c r="U94" s="1566" t="n"/>
      <c r="V94" s="1566" t="n"/>
      <c r="W94" s="1566" t="n"/>
      <c r="X94" s="1488" t="n"/>
      <c r="Y94" s="1488" t="n"/>
      <c r="Z94" s="1488" t="n"/>
      <c r="AA94" s="1488" t="n"/>
      <c r="AB94" s="1488" t="n"/>
      <c r="AC94" s="1488" t="n"/>
      <c r="AD94" s="1488" t="n"/>
      <c r="AE94" s="1488" t="n"/>
      <c r="AF94" s="1488" t="n"/>
    </row>
    <row r="95" ht="12.75" customHeight="1" s="1232">
      <c r="A95" s="119" t="n"/>
      <c r="B95" s="80" t="inlineStr">
        <is>
          <t>semnicholls@gmail.com</t>
        </is>
      </c>
      <c r="C95" s="77" t="inlineStr">
        <is>
          <t>Serena</t>
        </is>
      </c>
      <c r="D95" s="77" t="inlineStr">
        <is>
          <t>Nicholls</t>
        </is>
      </c>
      <c r="F95" s="1552" t="n">
        <v>42664</v>
      </c>
      <c r="H95" s="1230" t="n">
        <v>225</v>
      </c>
      <c r="I95" s="1230" t="inlineStr">
        <is>
          <t>Annual</t>
        </is>
      </c>
      <c r="J95" s="1540" t="inlineStr">
        <is>
          <t>Nov 16 to Oct 17</t>
        </is>
      </c>
      <c r="S95" s="1566" t="n"/>
      <c r="T95" s="1566" t="n"/>
      <c r="U95" s="1566" t="n"/>
      <c r="V95" s="1566" t="n"/>
      <c r="W95" s="1566" t="n"/>
      <c r="X95" s="1488" t="n"/>
      <c r="Y95" s="1488" t="n"/>
      <c r="Z95" s="1488" t="n"/>
      <c r="AA95" s="1488" t="n"/>
      <c r="AB95" s="1488" t="n"/>
      <c r="AC95" s="1488" t="n"/>
      <c r="AD95" s="1488" t="n"/>
      <c r="AE95" s="1488" t="n"/>
      <c r="AF95" s="1488" t="n"/>
    </row>
    <row r="96" ht="12.75" customHeight="1" s="1232">
      <c r="A96" s="119" t="n"/>
      <c r="B96" s="80" t="n"/>
      <c r="C96" s="288" t="inlineStr">
        <is>
          <t>Johanna</t>
        </is>
      </c>
      <c r="D96" s="288" t="inlineStr">
        <is>
          <t>Stansfield</t>
        </is>
      </c>
      <c r="E96" s="290" t="inlineStr">
        <is>
          <t>07850404545</t>
        </is>
      </c>
      <c r="H96" s="1230" t="n">
        <v>20</v>
      </c>
      <c r="I96" s="1230" t="inlineStr">
        <is>
          <t>Monthly</t>
        </is>
      </c>
      <c r="J96" s="1540" t="inlineStr">
        <is>
          <t>From Sep-17</t>
        </is>
      </c>
      <c r="S96" s="1566" t="n"/>
      <c r="T96" s="1566" t="n"/>
      <c r="U96" s="1566" t="n"/>
      <c r="V96" s="1566" t="n"/>
      <c r="W96" s="1566" t="n"/>
      <c r="X96" s="1488" t="n"/>
      <c r="Y96" s="1488" t="n"/>
      <c r="Z96" s="1488" t="n"/>
      <c r="AA96" s="1488" t="n"/>
      <c r="AB96" s="1488" t="n"/>
      <c r="AC96" s="1488" t="n"/>
      <c r="AD96" s="1488" t="n"/>
      <c r="AE96" s="1488" t="n"/>
      <c r="AF96" s="1488" t="n"/>
    </row>
    <row r="97" ht="12.75" customHeight="1" s="1232">
      <c r="A97" s="119" t="n"/>
      <c r="B97" s="80" t="n"/>
      <c r="C97" s="77" t="inlineStr">
        <is>
          <t>Rebecca</t>
        </is>
      </c>
      <c r="D97" s="77" t="inlineStr">
        <is>
          <t>Long</t>
        </is>
      </c>
      <c r="F97" s="1552" t="n">
        <v>42892</v>
      </c>
      <c r="H97" s="1230" t="n">
        <v>20</v>
      </c>
      <c r="I97" s="1230" t="inlineStr">
        <is>
          <t>Monthly</t>
        </is>
      </c>
      <c r="J97" s="1540" t="inlineStr">
        <is>
          <t>From Jun 17</t>
        </is>
      </c>
      <c r="S97" s="1566" t="n"/>
      <c r="T97" s="1566" t="n"/>
      <c r="U97" s="1566" t="n"/>
      <c r="V97" s="1566" t="n"/>
      <c r="W97" s="1566" t="n"/>
      <c r="X97" s="1488" t="n"/>
      <c r="Y97" s="1488" t="n"/>
      <c r="Z97" s="1488" t="n"/>
      <c r="AA97" s="1488" t="n"/>
      <c r="AB97" s="1488" t="n"/>
      <c r="AC97" s="1488" t="n"/>
      <c r="AD97" s="1488" t="n"/>
      <c r="AE97" s="1488" t="n"/>
      <c r="AF97" s="1488" t="n"/>
    </row>
    <row r="98" ht="12.75" customHeight="1" s="1232">
      <c r="A98" s="119" t="n"/>
      <c r="B98" s="80" t="n"/>
      <c r="C98" s="1230" t="inlineStr">
        <is>
          <t>Gary</t>
        </is>
      </c>
      <c r="D98" s="1230" t="inlineStr">
        <is>
          <t>Such</t>
        </is>
      </c>
      <c r="F98" s="1552" t="n">
        <v>42536</v>
      </c>
      <c r="H98" s="1230" t="n">
        <v>204</v>
      </c>
      <c r="I98" s="1569" t="inlineStr">
        <is>
          <t>Pick N Mix</t>
        </is>
      </c>
      <c r="J98" s="1540" t="inlineStr">
        <is>
          <t>Jun 16 to May 17</t>
        </is>
      </c>
      <c r="S98" s="1566" t="n"/>
      <c r="T98" s="1566" t="n"/>
      <c r="U98" s="1566" t="n"/>
      <c r="V98" s="1566" t="n"/>
      <c r="W98" s="1566" t="n"/>
      <c r="X98" s="1488" t="n"/>
      <c r="Y98" s="1488" t="n"/>
      <c r="Z98" s="1488" t="n"/>
      <c r="AA98" s="1488" t="n"/>
      <c r="AB98" s="1488" t="n"/>
      <c r="AC98" s="1488" t="n"/>
      <c r="AD98" s="1488" t="n"/>
      <c r="AE98" s="1488" t="n"/>
      <c r="AF98" s="1488" t="n"/>
    </row>
    <row r="99" ht="12.75" customHeight="1" s="1232">
      <c r="A99" s="119" t="n"/>
      <c r="B99" s="80" t="n"/>
      <c r="C99" s="77" t="inlineStr">
        <is>
          <t>Janice</t>
        </is>
      </c>
      <c r="D99" s="77" t="inlineStr">
        <is>
          <t>Jordon</t>
        </is>
      </c>
      <c r="F99" s="1552" t="n">
        <v>42536</v>
      </c>
      <c r="H99" s="1230" t="n">
        <v>204</v>
      </c>
      <c r="I99" s="1569" t="inlineStr">
        <is>
          <t>Pick N Mix</t>
        </is>
      </c>
      <c r="J99" s="1540" t="inlineStr">
        <is>
          <t>Jun 16 to May 17</t>
        </is>
      </c>
      <c r="S99" s="1566" t="n"/>
      <c r="T99" s="1566" t="n"/>
      <c r="U99" s="1566" t="n"/>
      <c r="V99" s="1566" t="n"/>
      <c r="W99" s="1566" t="n"/>
      <c r="X99" s="1488" t="n"/>
      <c r="Y99" s="1488" t="n"/>
      <c r="Z99" s="1488" t="n"/>
      <c r="AA99" s="1488" t="n"/>
      <c r="AB99" s="1488" t="n"/>
      <c r="AC99" s="1488" t="n"/>
      <c r="AD99" s="1488" t="n"/>
      <c r="AE99" s="1488" t="n"/>
      <c r="AF99" s="1488" t="n"/>
    </row>
    <row r="100" ht="12.75" customHeight="1" s="1232">
      <c r="A100" s="119" t="n"/>
      <c r="B100" s="80" t="inlineStr">
        <is>
          <t>david.varo@outlook.com</t>
        </is>
      </c>
      <c r="C100" s="77" t="inlineStr">
        <is>
          <t>David</t>
        </is>
      </c>
      <c r="D100" s="77" t="inlineStr">
        <is>
          <t>Varo</t>
        </is>
      </c>
      <c r="E100" s="1551" t="inlineStr">
        <is>
          <t>07968437123</t>
        </is>
      </c>
      <c r="F100" s="1552" t="n">
        <v>42575</v>
      </c>
      <c r="H100" s="1230" t="n">
        <v>200</v>
      </c>
      <c r="I100" s="1230" t="inlineStr">
        <is>
          <t>Annual</t>
        </is>
      </c>
      <c r="J100" s="1540" t="inlineStr">
        <is>
          <t>August 16 to Jul 17</t>
        </is>
      </c>
      <c r="S100" s="1566" t="n"/>
      <c r="T100" s="1566" t="n"/>
      <c r="U100" s="1566" t="n"/>
      <c r="V100" s="1566" t="n"/>
      <c r="W100" s="1566" t="n"/>
      <c r="X100" s="1488" t="n"/>
      <c r="Y100" s="1488" t="n"/>
      <c r="Z100" s="1488" t="n"/>
      <c r="AA100" s="1488" t="n"/>
      <c r="AB100" s="1488" t="n"/>
      <c r="AC100" s="1488" t="n"/>
      <c r="AD100" s="1488" t="n"/>
      <c r="AE100" s="1488" t="n"/>
      <c r="AF100" s="1488" t="n"/>
    </row>
    <row r="101" ht="12.75" customHeight="1" s="1232">
      <c r="A101" s="119" t="n"/>
      <c r="B101" s="1501" t="inlineStr">
        <is>
          <t>uklynnh@gmail.com</t>
        </is>
      </c>
      <c r="C101" s="164" t="inlineStr">
        <is>
          <t>Lynn</t>
        </is>
      </c>
      <c r="D101" s="1488" t="inlineStr">
        <is>
          <t>Hughes</t>
        </is>
      </c>
      <c r="E101" s="1570" t="inlineStr">
        <is>
          <t>07736059442</t>
        </is>
      </c>
      <c r="F101" s="1552" t="n">
        <v>42660</v>
      </c>
      <c r="H101" s="1230" t="n">
        <v>20</v>
      </c>
      <c r="I101" s="1230" t="inlineStr">
        <is>
          <t>Monthly</t>
        </is>
      </c>
      <c r="J101" s="1556" t="n"/>
      <c r="S101" s="1566" t="n"/>
      <c r="T101" s="1566" t="n"/>
      <c r="U101" s="1566" t="n"/>
      <c r="V101" s="1566" t="n"/>
      <c r="W101" s="1566" t="n"/>
      <c r="X101" s="1488" t="n"/>
      <c r="Y101" s="1488" t="n"/>
      <c r="Z101" s="1488" t="n"/>
      <c r="AA101" s="1488" t="n"/>
      <c r="AB101" s="1488" t="n"/>
      <c r="AC101" s="1488" t="n"/>
      <c r="AD101" s="1488" t="n"/>
      <c r="AE101" s="1488" t="n"/>
      <c r="AF101" s="1488" t="n"/>
    </row>
    <row r="102" ht="12.75" customHeight="1" s="1232">
      <c r="A102" s="119" t="n"/>
      <c r="B102" s="1501" t="inlineStr">
        <is>
          <t>shunafrood@gmail.com</t>
        </is>
      </c>
      <c r="C102" s="1571" t="inlineStr">
        <is>
          <t>Shuna</t>
        </is>
      </c>
      <c r="D102" s="1571" t="inlineStr">
        <is>
          <t>Frood</t>
        </is>
      </c>
      <c r="F102" s="1552" t="n">
        <v>42257</v>
      </c>
      <c r="G102" s="1488" t="n">
        <v>20</v>
      </c>
      <c r="H102" s="1230" t="n">
        <v>0</v>
      </c>
      <c r="I102" s="1569" t="inlineStr">
        <is>
          <t>monthly</t>
        </is>
      </c>
      <c r="J102" s="1572" t="n">
        <v>42262</v>
      </c>
      <c r="T102" s="1573" t="n"/>
      <c r="X102" s="1551" t="inlineStr">
        <is>
          <t>42</t>
        </is>
      </c>
      <c r="Y102" s="129" t="inlineStr">
        <is>
          <t>07940738807</t>
        </is>
      </c>
      <c r="Z102" s="1230" t="inlineStr">
        <is>
          <t>E17 9HH</t>
        </is>
      </c>
      <c r="AA102" s="1551" t="inlineStr">
        <is>
          <t>11</t>
        </is>
      </c>
      <c r="AB102" s="1551" t="n"/>
      <c r="AC102" s="1551" t="n"/>
      <c r="AD102" s="1551" t="n"/>
      <c r="AE102" s="1551" t="n"/>
      <c r="AF102" s="1551" t="n"/>
    </row>
    <row r="103" ht="12.75" customHeight="1" s="1232">
      <c r="A103" s="119" t="n"/>
      <c r="B103" s="1501" t="n"/>
      <c r="C103" s="1230" t="inlineStr">
        <is>
          <t>Sadok</t>
        </is>
      </c>
      <c r="D103" s="1230" t="inlineStr">
        <is>
          <t>Kohen</t>
        </is>
      </c>
      <c r="F103" s="1552" t="n">
        <v>42501</v>
      </c>
      <c r="G103" s="1230" t="n">
        <v>20</v>
      </c>
      <c r="H103" s="1230" t="n">
        <v>0</v>
      </c>
      <c r="I103" s="1569" t="inlineStr">
        <is>
          <t>monthly</t>
        </is>
      </c>
      <c r="J103" s="1230" t="inlineStr">
        <is>
          <t>15th May 2016</t>
        </is>
      </c>
      <c r="X103" s="1551" t="inlineStr">
        <is>
          <t>39</t>
        </is>
      </c>
      <c r="Y103" s="1230" t="n"/>
      <c r="AA103" s="1230" t="inlineStr">
        <is>
          <t>Istanbul</t>
        </is>
      </c>
    </row>
    <row r="104" ht="12.75" customHeight="1" s="1232">
      <c r="A104" s="119" t="n"/>
      <c r="B104" s="1574" t="inlineStr">
        <is>
          <t>karenbarber7@hotmail.com</t>
        </is>
      </c>
      <c r="C104" s="138" t="inlineStr">
        <is>
          <t>Karen</t>
        </is>
      </c>
      <c r="D104" s="138" t="inlineStr">
        <is>
          <t>Barber</t>
        </is>
      </c>
      <c r="E104" s="1488" t="n"/>
      <c r="F104" s="1575" t="n">
        <v>41949</v>
      </c>
      <c r="G104" s="1488" t="n">
        <v>20</v>
      </c>
      <c r="H104" s="1488" t="n"/>
      <c r="I104" s="1569" t="inlineStr">
        <is>
          <t>monthly</t>
        </is>
      </c>
      <c r="J104" s="1572" t="n">
        <v>42001</v>
      </c>
      <c r="K104" s="1573" t="n"/>
      <c r="L104" s="1573" t="n"/>
      <c r="M104" s="1573" t="n"/>
      <c r="N104" s="1566" t="n"/>
      <c r="O104" s="1566" t="n"/>
      <c r="P104" s="1566" t="n"/>
      <c r="Q104" s="1566" t="n"/>
      <c r="R104" s="1566" t="n"/>
      <c r="S104" s="1566" t="n"/>
      <c r="T104" s="1566" t="n"/>
      <c r="U104" s="1566" t="n"/>
      <c r="V104" s="1566" t="n"/>
      <c r="W104" s="1566" t="n"/>
      <c r="X104" s="1576" t="inlineStr">
        <is>
          <t>36</t>
        </is>
      </c>
      <c r="Y104" s="1576" t="inlineStr">
        <is>
          <t>07796810570</t>
        </is>
      </c>
      <c r="Z104" s="1576" t="inlineStr">
        <is>
          <t>cv10 8nn</t>
        </is>
      </c>
      <c r="AA104" s="1576" t="inlineStr">
        <is>
          <t>1 Brendon Way</t>
        </is>
      </c>
      <c r="AB104" s="1576" t="n"/>
      <c r="AC104" s="1576" t="n"/>
      <c r="AD104" s="1576" t="n"/>
      <c r="AE104" s="1576" t="n"/>
      <c r="AF104" s="1576" t="n"/>
    </row>
    <row r="105" ht="12.75" customHeight="1" s="1232">
      <c r="A105" s="119" t="n"/>
      <c r="B105" s="80" t="inlineStr">
        <is>
          <t>Fionaadams90@gmail.com</t>
        </is>
      </c>
      <c r="C105" s="77" t="inlineStr">
        <is>
          <t>Fiona</t>
        </is>
      </c>
      <c r="D105" s="1230" t="inlineStr">
        <is>
          <t>Adams</t>
        </is>
      </c>
      <c r="F105" s="1552" t="n">
        <v>42384</v>
      </c>
      <c r="G105" s="1230" t="inlineStr">
        <is>
          <t>PicknMix</t>
        </is>
      </c>
      <c r="H105" s="1559" t="n">
        <v>216</v>
      </c>
      <c r="I105" s="1569" t="inlineStr">
        <is>
          <t>Pick N Mix</t>
        </is>
      </c>
      <c r="J105" s="1540" t="inlineStr">
        <is>
          <t>Jan 2016 to Dec 2016</t>
        </is>
      </c>
      <c r="S105" s="1566" t="n"/>
      <c r="T105" s="1566" t="n"/>
      <c r="U105" s="1566" t="n"/>
      <c r="V105" s="1566" t="n"/>
      <c r="W105" s="1566" t="n"/>
      <c r="X105" s="1488" t="n"/>
      <c r="Y105" s="1488" t="n"/>
      <c r="Z105" s="1488" t="n"/>
      <c r="AA105" s="1488" t="n"/>
      <c r="AB105" s="1488" t="n"/>
      <c r="AC105" s="1488" t="n"/>
      <c r="AD105" s="1488" t="n"/>
      <c r="AE105" s="1488" t="n"/>
      <c r="AF105" s="1488" t="n"/>
    </row>
    <row r="106" ht="12.75" customHeight="1" s="1232">
      <c r="A106" s="119" t="n"/>
      <c r="B106" s="1574" t="inlineStr">
        <is>
          <t>knpearce@hotmail.com</t>
        </is>
      </c>
      <c r="C106" s="164" t="inlineStr">
        <is>
          <t>Kirsten</t>
        </is>
      </c>
      <c r="D106" s="164" t="inlineStr">
        <is>
          <t>Pearce</t>
        </is>
      </c>
      <c r="E106" s="1488" t="inlineStr">
        <is>
          <t>verbal</t>
        </is>
      </c>
      <c r="F106" s="1552" t="n">
        <v>41851</v>
      </c>
      <c r="G106" s="1559" t="inlineStr">
        <is>
          <t>PicknMix</t>
        </is>
      </c>
      <c r="H106" s="1488" t="n">
        <v>204</v>
      </c>
      <c r="I106" s="1569" t="inlineStr">
        <is>
          <t>Pick N Mix</t>
        </is>
      </c>
      <c r="J106" s="1560" t="inlineStr">
        <is>
          <t>Jul 15 - jun 16</t>
        </is>
      </c>
      <c r="K106" s="1573" t="n"/>
      <c r="L106" s="1573" t="n"/>
      <c r="M106" s="1573" t="n"/>
      <c r="N106" s="1573" t="n"/>
      <c r="O106" s="1573" t="n"/>
      <c r="P106" s="1573" t="n"/>
      <c r="Q106" s="1573" t="n"/>
      <c r="R106" s="1573" t="n"/>
      <c r="S106" s="1573" t="n"/>
      <c r="T106" s="1573" t="n"/>
      <c r="U106" s="1573" t="n"/>
      <c r="V106" s="1573" t="n"/>
      <c r="W106" s="1573" t="n"/>
      <c r="X106" s="1488" t="n"/>
      <c r="Y106" s="1488" t="n"/>
      <c r="Z106" s="1488" t="n"/>
      <c r="AA106" s="1488" t="n"/>
      <c r="AB106" s="1488" t="n"/>
      <c r="AC106" s="1488" t="n"/>
      <c r="AD106" s="1488" t="n"/>
      <c r="AE106" s="1488" t="n"/>
      <c r="AF106" s="1488" t="n"/>
    </row>
    <row r="107" ht="12.75" customHeight="1" s="1232">
      <c r="A107" s="119" t="n"/>
      <c r="B107" s="1501" t="inlineStr">
        <is>
          <t>mike1ford@hotmail.co.uk</t>
        </is>
      </c>
      <c r="C107" s="164" t="inlineStr">
        <is>
          <t>Mike</t>
        </is>
      </c>
      <c r="D107" s="164" t="inlineStr">
        <is>
          <t>Ford</t>
        </is>
      </c>
      <c r="E107" s="1488" t="inlineStr">
        <is>
          <t>written</t>
        </is>
      </c>
      <c r="F107" s="1575" t="n">
        <v>42078</v>
      </c>
      <c r="G107" s="1569" t="n"/>
      <c r="H107" s="1559" t="n">
        <v>200</v>
      </c>
      <c r="I107" s="1569" t="inlineStr">
        <is>
          <t>annual</t>
        </is>
      </c>
      <c r="J107" s="1560" t="inlineStr">
        <is>
          <t>Mar 15- Feb 16</t>
        </is>
      </c>
      <c r="K107" s="1573" t="n"/>
      <c r="L107" s="1573" t="n"/>
      <c r="M107" s="1573" t="n"/>
      <c r="N107" s="1573" t="n"/>
      <c r="O107" s="1573" t="n"/>
      <c r="P107" s="1573" t="n"/>
      <c r="Q107" s="1573" t="n"/>
      <c r="R107" s="1573" t="n"/>
      <c r="S107" s="1573" t="n"/>
      <c r="T107" s="1573" t="n"/>
      <c r="U107" s="1573" t="n"/>
      <c r="V107" s="1573" t="n"/>
      <c r="W107" s="1573" t="n"/>
      <c r="X107" s="1550" t="n"/>
      <c r="Y107" s="151" t="n"/>
      <c r="Z107" s="1548" t="n"/>
      <c r="AA107" s="1548" t="n"/>
      <c r="AB107" s="1548" t="n"/>
      <c r="AC107" s="1548" t="n"/>
      <c r="AD107" s="1548" t="n"/>
      <c r="AE107" s="1548" t="n"/>
      <c r="AF107" s="1548" t="n"/>
    </row>
    <row r="108" ht="12.75" customHeight="1" s="1232">
      <c r="A108" s="119" t="n"/>
      <c r="B108" s="80" t="inlineStr">
        <is>
          <t>pr@patrickrobiquet.com</t>
        </is>
      </c>
      <c r="C108" s="1558" t="inlineStr">
        <is>
          <t>Patrick</t>
        </is>
      </c>
      <c r="D108" s="1558" t="inlineStr">
        <is>
          <t xml:space="preserve">Robiquet </t>
        </is>
      </c>
      <c r="F108" s="1552" t="n">
        <v>42294</v>
      </c>
      <c r="G108" s="1230" t="n">
        <v>20</v>
      </c>
      <c r="H108" s="1230" t="n">
        <v>0</v>
      </c>
      <c r="I108" s="1569" t="inlineStr">
        <is>
          <t>monthly</t>
        </is>
      </c>
      <c r="J108" s="1572" t="n">
        <v>42292</v>
      </c>
      <c r="U108" s="1573" t="n"/>
      <c r="Y108" s="129" t="inlineStr">
        <is>
          <t xml:space="preserve">07,771,940,208 </t>
        </is>
      </c>
    </row>
    <row r="109" ht="12.75" customHeight="1" s="1232" thickBot="1">
      <c r="A109" s="119" t="n"/>
      <c r="B109" s="1501" t="inlineStr">
        <is>
          <t>philseymour77@gmail.com</t>
        </is>
      </c>
      <c r="C109" s="1558" t="inlineStr">
        <is>
          <t>Philip</t>
        </is>
      </c>
      <c r="D109" s="1558" t="inlineStr">
        <is>
          <t>Seymour</t>
        </is>
      </c>
      <c r="F109" s="1552" t="n">
        <v>42301</v>
      </c>
      <c r="G109" s="1230" t="n">
        <v>20</v>
      </c>
      <c r="H109" s="1230" t="n">
        <v>0</v>
      </c>
      <c r="I109" s="1569" t="inlineStr">
        <is>
          <t>monthly</t>
        </is>
      </c>
      <c r="J109" s="1572" t="n">
        <v>42292</v>
      </c>
      <c r="U109" s="1573" t="n"/>
    </row>
    <row r="110" ht="12.75" customHeight="1" s="1232" thickBot="1">
      <c r="A110" s="119" t="n"/>
      <c r="B110" s="1501" t="inlineStr">
        <is>
          <t>rachel.carrell@gmail.com</t>
        </is>
      </c>
      <c r="C110" s="1558" t="inlineStr">
        <is>
          <t>Rachel</t>
        </is>
      </c>
      <c r="D110" s="1558" t="inlineStr">
        <is>
          <t>Carrell</t>
        </is>
      </c>
      <c r="F110" s="1552" t="n">
        <v>42213</v>
      </c>
      <c r="G110" s="1488" t="n">
        <v>20</v>
      </c>
      <c r="H110" s="1488" t="n">
        <v>0</v>
      </c>
      <c r="I110" s="1569" t="inlineStr">
        <is>
          <t>monthly</t>
        </is>
      </c>
      <c r="J110" s="1572" t="n">
        <v>42231</v>
      </c>
      <c r="S110" s="1573" t="n"/>
      <c r="X110" s="1577" t="inlineStr">
        <is>
          <t>35</t>
        </is>
      </c>
      <c r="Y110" s="1577" t="inlineStr">
        <is>
          <t>07944876572</t>
        </is>
      </c>
      <c r="Z110" s="1578" t="inlineStr">
        <is>
          <t>n65qj</t>
        </is>
      </c>
      <c r="AA110" s="1578" t="inlineStr">
        <is>
          <t>Flat 6, 23 Shepherd's Hill</t>
        </is>
      </c>
      <c r="AB110" s="1578" t="n"/>
      <c r="AC110" s="1578" t="n"/>
      <c r="AD110" s="1578" t="n"/>
      <c r="AE110" s="1578" t="n"/>
      <c r="AF110" s="1578" t="n"/>
    </row>
    <row r="111" ht="12.75" customHeight="1" s="1232">
      <c r="A111" s="119" t="n"/>
      <c r="B111" s="80" t="inlineStr">
        <is>
          <t>visserruurd1@hotmail.com</t>
        </is>
      </c>
      <c r="C111" s="1558" t="inlineStr">
        <is>
          <t xml:space="preserve">ruurd </t>
        </is>
      </c>
      <c r="D111" s="1558" t="inlineStr">
        <is>
          <t>visser &lt;</t>
        </is>
      </c>
      <c r="F111" s="1552" t="n">
        <v>42262</v>
      </c>
      <c r="G111" s="1230" t="inlineStr">
        <is>
          <t>Free for 2 months</t>
        </is>
      </c>
      <c r="H111" s="1230" t="n">
        <v>0</v>
      </c>
      <c r="I111" s="1569" t="inlineStr">
        <is>
          <t>monthly</t>
        </is>
      </c>
      <c r="J111" s="1572" t="n">
        <v>42262</v>
      </c>
      <c r="T111" s="1573" t="n"/>
      <c r="U111" s="1573" t="n"/>
    </row>
    <row r="112" ht="12.75" customHeight="1" s="1232">
      <c r="A112" s="119" t="n"/>
      <c r="B112" s="1574" t="inlineStr">
        <is>
          <t>jeandance007@gmail.com</t>
        </is>
      </c>
      <c r="C112" s="164" t="inlineStr">
        <is>
          <t>Jean</t>
        </is>
      </c>
      <c r="D112" s="164" t="inlineStr">
        <is>
          <t>Dance</t>
        </is>
      </c>
      <c r="E112" s="1488" t="inlineStr">
        <is>
          <t>written</t>
        </is>
      </c>
      <c r="F112" s="1552" t="n">
        <v>41976</v>
      </c>
      <c r="G112" s="1559" t="n"/>
      <c r="H112" s="1559" t="n">
        <v>200</v>
      </c>
      <c r="I112" s="1569" t="inlineStr">
        <is>
          <t>annual</t>
        </is>
      </c>
      <c r="J112" s="1579" t="inlineStr">
        <is>
          <t>End Dec 15</t>
        </is>
      </c>
      <c r="K112" s="1573" t="n"/>
      <c r="L112" s="1573" t="n"/>
      <c r="M112" s="1573" t="n"/>
      <c r="N112" s="1573" t="n"/>
      <c r="O112" s="1573" t="n"/>
      <c r="P112" s="1573" t="n"/>
      <c r="Q112" s="1573" t="n"/>
      <c r="R112" s="1573" t="n"/>
      <c r="S112" s="1573" t="n"/>
      <c r="T112" s="1573" t="n"/>
      <c r="U112" s="1573" t="n"/>
      <c r="V112" s="1573" t="n"/>
      <c r="W112" s="1547" t="n"/>
      <c r="X112" s="1550" t="n"/>
      <c r="Y112" s="151" t="n"/>
      <c r="Z112" s="1548" t="n"/>
      <c r="AA112" s="1548" t="n"/>
      <c r="AB112" s="1548" t="n"/>
      <c r="AC112" s="1548" t="n"/>
      <c r="AD112" s="1548" t="n"/>
      <c r="AE112" s="1548" t="n"/>
      <c r="AF112" s="1548" t="n"/>
    </row>
    <row r="113" ht="12.75" customHeight="1" s="1232">
      <c r="A113" s="119" t="n"/>
      <c r="B113" s="1488" t="inlineStr">
        <is>
          <t>howardallen007@gmail.com</t>
        </is>
      </c>
      <c r="C113" s="164" t="inlineStr">
        <is>
          <t>Howard</t>
        </is>
      </c>
      <c r="D113" s="164" t="inlineStr">
        <is>
          <t>Allen</t>
        </is>
      </c>
      <c r="E113" s="1488" t="inlineStr">
        <is>
          <t>written</t>
        </is>
      </c>
      <c r="F113" s="1575" t="n">
        <v>41973</v>
      </c>
      <c r="G113" s="1488" t="n"/>
      <c r="H113" s="1569" t="n">
        <v>180</v>
      </c>
      <c r="I113" s="1569" t="inlineStr">
        <is>
          <t>Pick N Mix</t>
        </is>
      </c>
      <c r="J113" s="1560" t="inlineStr">
        <is>
          <t>Dec 2014 -Nov 2015</t>
        </is>
      </c>
      <c r="K113" s="1573" t="n"/>
      <c r="L113" s="1573" t="n"/>
      <c r="M113" s="1573" t="n"/>
      <c r="N113" s="1573" t="n"/>
      <c r="O113" s="1573" t="n"/>
      <c r="P113" s="1573" t="n"/>
      <c r="Q113" s="1573" t="n"/>
      <c r="R113" s="1573" t="n"/>
      <c r="S113" s="1573" t="n"/>
      <c r="T113" s="1573" t="n"/>
      <c r="U113" s="1573" t="n"/>
      <c r="V113" s="1573" t="n"/>
      <c r="W113" s="1580" t="n"/>
      <c r="X113" s="1488" t="inlineStr">
        <is>
          <t>56</t>
        </is>
      </c>
      <c r="Y113" s="1488" t="inlineStr">
        <is>
          <t>07891620115</t>
        </is>
      </c>
      <c r="Z113" s="1488" t="inlineStr">
        <is>
          <t>ST19 5SW</t>
        </is>
      </c>
      <c r="AA113" s="1488" t="inlineStr">
        <is>
          <t>11 Teveray Drive</t>
        </is>
      </c>
      <c r="AB113" s="1488" t="n"/>
      <c r="AC113" s="1488" t="n"/>
      <c r="AD113" s="1488" t="n"/>
      <c r="AE113" s="1488" t="n"/>
      <c r="AF113" s="1488" t="n"/>
    </row>
    <row r="114" ht="12.75" customHeight="1" s="1232">
      <c r="A114" s="119" t="n"/>
      <c r="B114" s="78" t="inlineStr">
        <is>
          <t>keating.sue@outlook.com</t>
        </is>
      </c>
      <c r="C114" s="138" t="inlineStr">
        <is>
          <t>Sue</t>
        </is>
      </c>
      <c r="D114" s="138" t="inlineStr">
        <is>
          <t>Keating</t>
        </is>
      </c>
      <c r="E114" s="1488" t="inlineStr">
        <is>
          <t>6 month offer/verbal</t>
        </is>
      </c>
      <c r="F114" s="1552" t="n">
        <v>42122</v>
      </c>
      <c r="G114" s="1488" t="n">
        <v>20</v>
      </c>
      <c r="H114" s="1488" t="n"/>
      <c r="I114" s="1569" t="inlineStr">
        <is>
          <t>monthly</t>
        </is>
      </c>
      <c r="J114" s="1572" t="n">
        <v>42109</v>
      </c>
      <c r="O114" s="1573" t="n"/>
      <c r="S114" s="1566" t="n"/>
      <c r="T114" s="1566" t="n"/>
      <c r="U114" s="1566" t="n"/>
      <c r="V114" s="1566" t="n"/>
      <c r="W114" s="1566" t="n"/>
      <c r="X114" s="1581" t="inlineStr">
        <is>
          <t>45</t>
        </is>
      </c>
      <c r="Y114" s="1581" t="inlineStr">
        <is>
          <t>01628770764</t>
        </is>
      </c>
      <c r="Z114" s="1488" t="inlineStr">
        <is>
          <t>SL6 5EA</t>
        </is>
      </c>
      <c r="AA114" s="1488" t="inlineStr">
        <is>
          <t>Harefield Road</t>
        </is>
      </c>
      <c r="AB114" s="1488" t="n"/>
      <c r="AC114" s="1488" t="n"/>
      <c r="AD114" s="1488" t="n"/>
      <c r="AE114" s="1488" t="n"/>
      <c r="AF114" s="1488" t="n"/>
    </row>
    <row r="115" ht="12.75" customHeight="1" s="1232">
      <c r="A115" s="119" t="n"/>
      <c r="B115" s="1501" t="inlineStr">
        <is>
          <t>leslieadams1965@outlook.com</t>
        </is>
      </c>
      <c r="C115" s="1558" t="inlineStr">
        <is>
          <t>leslie</t>
        </is>
      </c>
      <c r="D115" s="1558" t="inlineStr">
        <is>
          <t>adams</t>
        </is>
      </c>
      <c r="F115" s="1552" t="n">
        <v>42192</v>
      </c>
      <c r="G115" s="1488" t="n">
        <v>20</v>
      </c>
      <c r="H115" s="1488" t="n">
        <v>0</v>
      </c>
      <c r="I115" s="1569" t="inlineStr">
        <is>
          <t>monthly</t>
        </is>
      </c>
      <c r="J115" s="1572" t="n">
        <v>42200</v>
      </c>
      <c r="R115" s="1573" t="n"/>
    </row>
    <row r="116" ht="12.75" customHeight="1" s="1232">
      <c r="A116" s="119" t="n"/>
      <c r="B116" s="1501" t="inlineStr">
        <is>
          <t>pthurgur@gmail.com</t>
        </is>
      </c>
      <c r="C116" s="1558" t="inlineStr">
        <is>
          <t xml:space="preserve">Philippa </t>
        </is>
      </c>
      <c r="D116" s="1557" t="inlineStr">
        <is>
          <t>Thurgur</t>
        </is>
      </c>
      <c r="F116" s="1552" t="n">
        <v>42167</v>
      </c>
      <c r="G116" s="1488" t="n">
        <v>20</v>
      </c>
      <c r="H116" s="1488" t="n"/>
      <c r="I116" s="1569" t="inlineStr">
        <is>
          <t>monthly</t>
        </is>
      </c>
      <c r="J116" s="1572" t="n">
        <v>42170</v>
      </c>
      <c r="Q116" s="1573" t="n"/>
      <c r="X116" s="169" t="n"/>
      <c r="Y116" s="168" t="n"/>
      <c r="Z116" s="1488" t="n"/>
      <c r="AA116" s="1488" t="n"/>
      <c r="AB116" s="1488" t="n"/>
      <c r="AC116" s="1488" t="n"/>
      <c r="AD116" s="1488" t="n"/>
      <c r="AE116" s="1488" t="n"/>
      <c r="AF116" s="1488" t="n"/>
    </row>
    <row r="117" ht="12.75" customHeight="1" s="1232">
      <c r="A117" s="119" t="n"/>
      <c r="B117" s="75" t="inlineStr">
        <is>
          <t>amandafisher95@hotmail.com</t>
        </is>
      </c>
      <c r="C117" s="138" t="inlineStr">
        <is>
          <t>Amanda</t>
        </is>
      </c>
      <c r="D117" s="138" t="inlineStr">
        <is>
          <t>Fisher</t>
        </is>
      </c>
      <c r="E117" s="1488" t="inlineStr">
        <is>
          <t>6 month offer</t>
        </is>
      </c>
      <c r="F117" s="1552" t="n">
        <v>42085</v>
      </c>
      <c r="G117" s="1488" t="n">
        <v>20</v>
      </c>
      <c r="H117" s="1488" t="n"/>
      <c r="I117" s="1569" t="inlineStr">
        <is>
          <t>monthly</t>
        </is>
      </c>
      <c r="J117" s="1572" t="n">
        <v>42085</v>
      </c>
      <c r="N117" s="1573" t="n"/>
      <c r="P117" s="1566" t="n"/>
      <c r="Q117" s="1566" t="n"/>
      <c r="R117" s="1566" t="n"/>
      <c r="S117" s="1566" t="n"/>
      <c r="T117" s="1566" t="n"/>
      <c r="U117" s="1566" t="n"/>
      <c r="V117" s="1566" t="n"/>
      <c r="W117" s="1566" t="n"/>
      <c r="X117" s="1581" t="inlineStr">
        <is>
          <t>46</t>
        </is>
      </c>
      <c r="Y117" s="1581" t="inlineStr">
        <is>
          <t>07971014437</t>
        </is>
      </c>
      <c r="Z117" s="1488" t="inlineStr">
        <is>
          <t>Tw165pt</t>
        </is>
      </c>
      <c r="AA117" s="1488" t="inlineStr">
        <is>
          <t>9 Harfield road</t>
        </is>
      </c>
      <c r="AB117" s="1488" t="n"/>
      <c r="AC117" s="1488" t="n"/>
      <c r="AD117" s="1488" t="n"/>
      <c r="AE117" s="1488" t="n"/>
      <c r="AF117" s="1488" t="n"/>
    </row>
    <row r="118" ht="12.75" customHeight="1" s="1232">
      <c r="A118" s="119" t="n"/>
      <c r="B118" s="80" t="inlineStr">
        <is>
          <t>chrisparker1954@btinternet.com</t>
        </is>
      </c>
      <c r="C118" s="174" t="inlineStr">
        <is>
          <t>Christopher</t>
        </is>
      </c>
      <c r="D118" s="1582" t="inlineStr">
        <is>
          <t>Parker</t>
        </is>
      </c>
      <c r="E118" s="1488" t="inlineStr">
        <is>
          <t>6 month offer/verbal</t>
        </is>
      </c>
      <c r="F118" s="1552" t="n">
        <v>42108</v>
      </c>
      <c r="G118" s="1488" t="n">
        <v>20</v>
      </c>
      <c r="H118" s="1488" t="n"/>
      <c r="I118" s="1569" t="inlineStr">
        <is>
          <t>monthly</t>
        </is>
      </c>
      <c r="J118" s="1572" t="n">
        <v>42109</v>
      </c>
      <c r="O118" s="1573" t="n"/>
    </row>
    <row r="119" ht="12.75" customHeight="1" s="1232">
      <c r="A119" s="119" t="n"/>
      <c r="B119" s="1230" t="inlineStr">
        <is>
          <t>battisonmatt@googlemail.com</t>
        </is>
      </c>
      <c r="C119" s="138" t="inlineStr">
        <is>
          <t>Matthew</t>
        </is>
      </c>
      <c r="D119" s="138" t="inlineStr">
        <is>
          <t>Battison</t>
        </is>
      </c>
      <c r="F119" s="1552" t="n">
        <v>42165</v>
      </c>
      <c r="G119" s="1488" t="inlineStr">
        <is>
          <t>122.50 Gift</t>
        </is>
      </c>
      <c r="H119" s="1488" t="n">
        <v>200</v>
      </c>
      <c r="I119" s="1569" t="inlineStr">
        <is>
          <t>annual</t>
        </is>
      </c>
      <c r="J119" s="1556" t="inlineStr">
        <is>
          <t>End May 16</t>
        </is>
      </c>
      <c r="Q119" s="1573" t="n"/>
      <c r="R119" s="1573" t="n"/>
      <c r="S119" s="1573" t="n"/>
      <c r="T119" s="1573" t="n"/>
      <c r="U119" s="1573" t="n"/>
      <c r="V119" s="1573" t="n"/>
      <c r="W119" s="1573" t="n"/>
      <c r="Y119" s="151" t="n"/>
      <c r="Z119" s="1548" t="n"/>
      <c r="AA119" s="1548" t="n"/>
      <c r="AB119" s="1548" t="n"/>
      <c r="AC119" s="1548" t="n"/>
      <c r="AD119" s="1548" t="n"/>
      <c r="AE119" s="1548" t="n"/>
      <c r="AF119" s="1548" t="n"/>
    </row>
    <row r="120" ht="12.75" customHeight="1" s="1232">
      <c r="A120" s="119" t="n"/>
      <c r="B120" s="1488" t="inlineStr">
        <is>
          <t>nina.dhanani@gmail.com</t>
        </is>
      </c>
      <c r="C120" s="138" t="inlineStr">
        <is>
          <t>Nina</t>
        </is>
      </c>
      <c r="D120" s="138" t="inlineStr">
        <is>
          <t>Dhanani</t>
        </is>
      </c>
      <c r="E120" s="1488" t="n"/>
      <c r="F120" s="1583" t="n">
        <v>41958</v>
      </c>
      <c r="G120" s="1569" t="n"/>
      <c r="H120" s="1559" t="n">
        <v>170</v>
      </c>
      <c r="I120" s="1569" t="inlineStr">
        <is>
          <t>Pick N Mix</t>
        </is>
      </c>
      <c r="J120" s="1560" t="inlineStr">
        <is>
          <t>Nov-14-oct 15</t>
        </is>
      </c>
      <c r="K120" s="1573" t="n"/>
      <c r="L120" s="1573" t="n"/>
      <c r="M120" s="1573" t="n"/>
      <c r="N120" s="1573" t="n"/>
      <c r="O120" s="1573" t="n"/>
      <c r="P120" s="1573" t="n"/>
      <c r="Q120" s="1573" t="n"/>
      <c r="R120" s="1573" t="n"/>
      <c r="S120" s="1573" t="n"/>
      <c r="T120" s="1573" t="n"/>
      <c r="U120" s="1573" t="n"/>
      <c r="V120" s="1547" t="n"/>
      <c r="W120" s="1547" t="n"/>
      <c r="X120" s="1550" t="n"/>
      <c r="Y120" s="1488" t="inlineStr">
        <is>
          <t>07449958074</t>
        </is>
      </c>
      <c r="Z120" s="1488" t="inlineStr">
        <is>
          <t>cv3 2uj</t>
        </is>
      </c>
      <c r="AA120" s="1488" t="inlineStr">
        <is>
          <t>7</t>
        </is>
      </c>
      <c r="AB120" s="1488" t="n"/>
      <c r="AC120" s="1488" t="n"/>
      <c r="AD120" s="1488" t="n"/>
      <c r="AE120" s="1488" t="n"/>
      <c r="AF120" s="1488" t="n"/>
    </row>
    <row r="121" ht="12.75" customHeight="1" s="1232">
      <c r="A121" s="119" t="n"/>
      <c r="B121" s="1501" t="inlineStr">
        <is>
          <t>simplybowen@hotmail.co.uk</t>
        </is>
      </c>
      <c r="C121" s="164" t="inlineStr">
        <is>
          <t>Louise</t>
        </is>
      </c>
      <c r="D121" s="164" t="inlineStr">
        <is>
          <t>Harris</t>
        </is>
      </c>
      <c r="E121" s="1488" t="n"/>
      <c r="F121" s="1552" t="n">
        <v>42200</v>
      </c>
      <c r="G121" s="1488" t="inlineStr">
        <is>
          <t>PicknMix</t>
        </is>
      </c>
      <c r="H121" s="1488" t="n">
        <v>204</v>
      </c>
      <c r="I121" s="1569" t="inlineStr">
        <is>
          <t>Pick N Mix</t>
        </is>
      </c>
      <c r="J121" s="1556" t="inlineStr">
        <is>
          <t>End Jun 16</t>
        </is>
      </c>
      <c r="R121" s="1573" t="n"/>
      <c r="S121" s="1573" t="n"/>
      <c r="T121" s="1573" t="n"/>
      <c r="U121" s="1573" t="n"/>
      <c r="V121" s="1573" t="n"/>
      <c r="W121" s="1573" t="n"/>
      <c r="Y121" s="1488" t="n"/>
      <c r="Z121" s="1488" t="n"/>
      <c r="AA121" s="1488" t="n"/>
      <c r="AB121" s="1488" t="n"/>
      <c r="AC121" s="1488" t="n"/>
      <c r="AD121" s="1488" t="n"/>
      <c r="AE121" s="1488" t="n"/>
      <c r="AF121" s="1488" t="n"/>
    </row>
    <row r="122" ht="12.75" customHeight="1" s="1232">
      <c r="A122" s="119" t="n"/>
      <c r="B122" s="1574" t="inlineStr">
        <is>
          <t>con.mchugh@gmail.com</t>
        </is>
      </c>
      <c r="C122" s="138" t="inlineStr">
        <is>
          <t>Con</t>
        </is>
      </c>
      <c r="D122" s="138" t="inlineStr">
        <is>
          <t>McHugh</t>
        </is>
      </c>
      <c r="E122" s="1488" t="inlineStr">
        <is>
          <t>verbal</t>
        </is>
      </c>
      <c r="F122" s="1552" t="n">
        <v>42074</v>
      </c>
      <c r="G122" s="1488" t="n"/>
      <c r="H122" s="1559" t="n">
        <v>200</v>
      </c>
      <c r="I122" s="1569" t="inlineStr">
        <is>
          <t>annual</t>
        </is>
      </c>
      <c r="J122" s="1556" t="inlineStr">
        <is>
          <t>End Feb 16</t>
        </is>
      </c>
      <c r="N122" s="1573" t="n"/>
      <c r="O122" s="1573" t="n"/>
      <c r="P122" s="1573" t="n"/>
      <c r="Q122" s="1573" t="n"/>
      <c r="R122" s="1573" t="n"/>
      <c r="S122" s="1573" t="n"/>
      <c r="T122" s="1573" t="n"/>
      <c r="U122" s="1573" t="n"/>
      <c r="V122" s="1573" t="n"/>
      <c r="W122" s="1573" t="n"/>
      <c r="X122" s="1550" t="n"/>
      <c r="Y122" s="151" t="n"/>
      <c r="Z122" s="1548" t="n"/>
      <c r="AA122" s="1548" t="n"/>
      <c r="AB122" s="1548" t="n"/>
      <c r="AC122" s="1548" t="n"/>
      <c r="AD122" s="1548" t="n"/>
      <c r="AE122" s="1548" t="n"/>
      <c r="AF122" s="1548" t="n"/>
    </row>
    <row r="123" ht="12.75" customHeight="1" s="1232">
      <c r="A123" s="119" t="n"/>
      <c r="B123" s="75" t="inlineStr">
        <is>
          <t>louise@edge-creativedesign.com</t>
        </is>
      </c>
      <c r="C123" s="138" t="inlineStr">
        <is>
          <t>Louise</t>
        </is>
      </c>
      <c r="D123" s="138" t="inlineStr">
        <is>
          <t>Panayides</t>
        </is>
      </c>
      <c r="E123" s="1488" t="n"/>
      <c r="F123" s="1552" t="n">
        <v>42109</v>
      </c>
      <c r="G123" s="1488" t="n">
        <v>0</v>
      </c>
      <c r="H123" s="1488" t="n"/>
      <c r="I123" s="1569" t="inlineStr">
        <is>
          <t>monthly</t>
        </is>
      </c>
      <c r="J123" s="1572" t="n">
        <v>42109</v>
      </c>
      <c r="O123" s="1573" t="n"/>
      <c r="P123" s="1573" t="n"/>
      <c r="S123" s="1566" t="n"/>
      <c r="T123" s="1566" t="n"/>
      <c r="U123" s="1566" t="n"/>
      <c r="V123" s="1566" t="n"/>
      <c r="W123" s="1566" t="n"/>
      <c r="X123" s="1488" t="inlineStr">
        <is>
          <t>41</t>
        </is>
      </c>
      <c r="Y123" s="1488" t="inlineStr">
        <is>
          <t>07780436043</t>
        </is>
      </c>
      <c r="Z123" s="1488" t="inlineStr">
        <is>
          <t>B487PE</t>
        </is>
      </c>
      <c r="AA123" s="1488" t="inlineStr">
        <is>
          <t>11</t>
        </is>
      </c>
      <c r="AB123" s="1488" t="n"/>
      <c r="AC123" s="1488" t="n"/>
      <c r="AD123" s="1488" t="n"/>
      <c r="AE123" s="1488" t="n"/>
      <c r="AF123" s="1488" t="n"/>
    </row>
    <row r="124" ht="12.75" customHeight="1" s="1232">
      <c r="A124" s="119" t="n"/>
      <c r="B124" s="1488" t="inlineStr">
        <is>
          <t>jackirosin@gmail.com</t>
        </is>
      </c>
      <c r="C124" s="164" t="inlineStr">
        <is>
          <t>Jacki</t>
        </is>
      </c>
      <c r="D124" s="164" t="inlineStr">
        <is>
          <t>Rosin</t>
        </is>
      </c>
      <c r="E124" s="1488" t="n"/>
      <c r="F124" s="171" t="n">
        <v>41609</v>
      </c>
      <c r="G124" s="1569" t="n">
        <v>12.5</v>
      </c>
      <c r="H124" s="1569" t="n">
        <v>0</v>
      </c>
      <c r="I124" s="1569" t="inlineStr">
        <is>
          <t>monthly</t>
        </is>
      </c>
      <c r="J124" s="1560" t="n">
        <v>41609</v>
      </c>
      <c r="K124" s="1573" t="n"/>
      <c r="L124" s="1573" t="n"/>
      <c r="M124" s="1573" t="n"/>
      <c r="N124" s="1580" t="n"/>
      <c r="O124" s="1580" t="n"/>
      <c r="P124" s="1580" t="n"/>
      <c r="Q124" s="1580" t="n"/>
      <c r="R124" s="1580" t="n"/>
      <c r="S124" s="1580" t="n"/>
      <c r="T124" s="1580" t="n"/>
      <c r="U124" s="1580" t="n"/>
      <c r="V124" s="1580" t="n"/>
      <c r="W124" s="1580" t="n"/>
      <c r="X124" s="1488" t="inlineStr">
        <is>
          <t>60</t>
        </is>
      </c>
      <c r="Y124" s="1488" t="inlineStr">
        <is>
          <t>07905364699</t>
        </is>
      </c>
      <c r="Z124" s="1488" t="inlineStr">
        <is>
          <t>Cv82tt</t>
        </is>
      </c>
      <c r="AA124" s="1488" t="inlineStr">
        <is>
          <t>27 Garlick drive</t>
        </is>
      </c>
      <c r="AB124" s="1488" t="n"/>
      <c r="AC124" s="1488" t="n"/>
      <c r="AD124" s="1488" t="n"/>
      <c r="AE124" s="1488" t="n"/>
      <c r="AF124" s="1488" t="n"/>
    </row>
    <row r="125" ht="12.75" customHeight="1" s="1232">
      <c r="A125" s="119" t="n"/>
      <c r="B125" s="1501" t="inlineStr">
        <is>
          <t>Alannewbold@hotmail.co.uk</t>
        </is>
      </c>
      <c r="C125" s="1407" t="inlineStr">
        <is>
          <t>Alan</t>
        </is>
      </c>
      <c r="D125" s="1407" t="inlineStr">
        <is>
          <t>Newbold</t>
        </is>
      </c>
      <c r="E125" s="1488" t="n"/>
      <c r="F125" s="1552" t="n">
        <v>42159</v>
      </c>
      <c r="G125" s="1488" t="n">
        <v>20</v>
      </c>
      <c r="H125" s="1488" t="n"/>
      <c r="I125" s="1569" t="inlineStr">
        <is>
          <t>monthly</t>
        </is>
      </c>
      <c r="J125" s="1572" t="n">
        <v>42170</v>
      </c>
      <c r="Q125" s="1573" t="n"/>
      <c r="S125" s="1566" t="n"/>
      <c r="T125" s="1566" t="n"/>
      <c r="U125" s="1566" t="n"/>
      <c r="V125" s="1566" t="n"/>
      <c r="W125" s="1566" t="n"/>
      <c r="X125" s="1488" t="n"/>
      <c r="Y125" s="1488" t="n"/>
      <c r="Z125" s="1488" t="n"/>
      <c r="AA125" s="1488" t="n"/>
      <c r="AB125" s="1488" t="n"/>
      <c r="AC125" s="1488" t="n"/>
      <c r="AD125" s="1488" t="n"/>
      <c r="AE125" s="1488" t="n"/>
      <c r="AF125" s="1488" t="n"/>
    </row>
    <row r="126" ht="12.75" customHeight="1" s="1232">
      <c r="A126" s="119" t="n"/>
      <c r="B126" s="78" t="inlineStr">
        <is>
          <t>iancrowsonys@googlemail.com</t>
        </is>
      </c>
      <c r="C126" s="138" t="inlineStr">
        <is>
          <t>Ian</t>
        </is>
      </c>
      <c r="D126" s="1558" t="inlineStr">
        <is>
          <t>Crowson</t>
        </is>
      </c>
      <c r="E126" s="1488" t="inlineStr">
        <is>
          <t>6 month offer</t>
        </is>
      </c>
      <c r="F126" s="1552" t="n">
        <v>42188</v>
      </c>
      <c r="G126" s="1488" t="n">
        <v>20</v>
      </c>
      <c r="H126" s="1488" t="n"/>
      <c r="I126" s="1569" t="inlineStr">
        <is>
          <t>monthly</t>
        </is>
      </c>
      <c r="J126" s="1572" t="n">
        <v>42109</v>
      </c>
      <c r="O126" s="1573" t="n"/>
      <c r="X126" s="1551" t="inlineStr">
        <is>
          <t>67</t>
        </is>
      </c>
      <c r="Y126" s="111" t="inlineStr">
        <is>
          <t>07774884550</t>
        </is>
      </c>
      <c r="Z126" s="1230" t="inlineStr">
        <is>
          <t>PO5 2JJ</t>
        </is>
      </c>
      <c r="AA126" s="1230" t="inlineStr">
        <is>
          <t>19 Burgoyne Road</t>
        </is>
      </c>
    </row>
    <row r="127" ht="12.75" customHeight="1" s="1232">
      <c r="A127" s="119" t="n"/>
      <c r="B127" s="80" t="inlineStr">
        <is>
          <t>bryanloraine@btinternet.com</t>
        </is>
      </c>
      <c r="C127" s="134" t="inlineStr">
        <is>
          <t>Loraine</t>
        </is>
      </c>
      <c r="D127" s="134" t="inlineStr">
        <is>
          <t>Bryan</t>
        </is>
      </c>
      <c r="F127" s="1552" t="n">
        <v>42142</v>
      </c>
      <c r="G127" s="1230" t="n">
        <v>20</v>
      </c>
      <c r="I127" s="1569" t="inlineStr">
        <is>
          <t>monthly</t>
        </is>
      </c>
      <c r="J127" s="1572" t="n">
        <v>42139</v>
      </c>
      <c r="P127" s="1573" t="n"/>
    </row>
    <row r="128" ht="12.75" customHeight="1" s="1232">
      <c r="A128" s="119" t="n"/>
      <c r="B128" s="1488" t="inlineStr">
        <is>
          <t>mike.taylor1969@gmail.com</t>
        </is>
      </c>
      <c r="C128" s="164" t="inlineStr">
        <is>
          <t>Michael</t>
        </is>
      </c>
      <c r="D128" s="164" t="inlineStr">
        <is>
          <t>Taylor</t>
        </is>
      </c>
      <c r="E128" s="1488" t="n"/>
      <c r="F128" s="1552" t="n">
        <v>41886</v>
      </c>
      <c r="G128" s="1569" t="n"/>
      <c r="H128" s="1559" t="n">
        <v>150</v>
      </c>
      <c r="I128" s="1569" t="inlineStr">
        <is>
          <t>Pick N Mix</t>
        </is>
      </c>
      <c r="J128" s="1560" t="inlineStr">
        <is>
          <t>Sep 14 - Aug 15</t>
        </is>
      </c>
      <c r="K128" s="1573" t="n"/>
      <c r="L128" s="1573" t="n"/>
      <c r="M128" s="1573" t="n"/>
      <c r="N128" s="1573" t="n"/>
      <c r="O128" s="1573" t="n"/>
      <c r="P128" s="1573" t="n"/>
      <c r="Q128" s="1573" t="n"/>
      <c r="R128" s="1573" t="n"/>
      <c r="S128" s="1573" t="n"/>
      <c r="T128" s="1547" t="n"/>
      <c r="U128" s="1547" t="n"/>
      <c r="V128" s="1547" t="n"/>
      <c r="W128" s="1547" t="n"/>
      <c r="X128" s="1550" t="n"/>
      <c r="Y128" s="151" t="n"/>
      <c r="Z128" s="1548" t="n"/>
      <c r="AA128" s="1548" t="n"/>
      <c r="AB128" s="1548" t="n"/>
      <c r="AC128" s="1548" t="n"/>
      <c r="AD128" s="1548" t="n"/>
      <c r="AE128" s="1548" t="n"/>
      <c r="AF128" s="1548" t="n"/>
    </row>
    <row r="129" ht="12.75" customHeight="1" s="1232">
      <c r="A129" s="119" t="n"/>
      <c r="B129" s="1574" t="inlineStr">
        <is>
          <t>johanna81005@gmail.com</t>
        </is>
      </c>
      <c r="C129" s="164" t="inlineStr">
        <is>
          <t>Johanna</t>
        </is>
      </c>
      <c r="D129" s="164" t="inlineStr">
        <is>
          <t>Stansfield</t>
        </is>
      </c>
      <c r="E129" s="1574" t="n"/>
      <c r="F129" s="1552" t="n">
        <v>41842</v>
      </c>
      <c r="G129" s="1488" t="n"/>
      <c r="H129" s="1488" t="n">
        <v>200</v>
      </c>
      <c r="I129" s="1569" t="inlineStr">
        <is>
          <t>annual</t>
        </is>
      </c>
      <c r="J129" s="1560" t="inlineStr">
        <is>
          <t>July 15- jun 16</t>
        </is>
      </c>
      <c r="K129" s="1573" t="n"/>
      <c r="L129" s="1573" t="n"/>
      <c r="M129" s="1573" t="n"/>
      <c r="N129" s="1573" t="n"/>
      <c r="O129" s="1573" t="n"/>
      <c r="P129" s="1573" t="n"/>
      <c r="Q129" s="1573" t="n"/>
      <c r="R129" s="1573" t="n"/>
      <c r="S129" s="1573" t="n"/>
      <c r="X129" s="1488" t="n"/>
      <c r="Y129" s="1488" t="n"/>
      <c r="Z129" s="1488" t="n"/>
      <c r="AA129" s="1488" t="n"/>
      <c r="AB129" s="1488" t="n"/>
      <c r="AC129" s="1488" t="n"/>
      <c r="AD129" s="1488" t="n"/>
      <c r="AE129" s="1488" t="n"/>
      <c r="AF129" s="1488" t="n"/>
    </row>
    <row r="130" ht="12.75" customHeight="1" s="1232">
      <c r="A130" s="119" t="n"/>
      <c r="B130" s="1501" t="inlineStr">
        <is>
          <t>adrian.gains@hotmail.com</t>
        </is>
      </c>
      <c r="C130" s="1558" t="inlineStr">
        <is>
          <t>Adrian</t>
        </is>
      </c>
      <c r="D130" s="1558" t="inlineStr">
        <is>
          <t>Gains</t>
        </is>
      </c>
      <c r="F130" s="1552" t="n">
        <v>42161</v>
      </c>
      <c r="G130" s="1488" t="n">
        <v>20</v>
      </c>
      <c r="H130" s="1488" t="n"/>
      <c r="I130" s="1569" t="inlineStr">
        <is>
          <t>monthly</t>
        </is>
      </c>
      <c r="J130" s="1572" t="n">
        <v>42170</v>
      </c>
      <c r="Q130" s="1573" t="n"/>
      <c r="X130" s="169" t="inlineStr">
        <is>
          <t>49</t>
        </is>
      </c>
      <c r="Y130" s="168" t="inlineStr">
        <is>
          <t>07887540465</t>
        </is>
      </c>
      <c r="Z130" s="1488" t="inlineStr">
        <is>
          <t>CV324TB</t>
        </is>
      </c>
      <c r="AA130" s="1488" t="inlineStr">
        <is>
          <t>78 Leicester Street</t>
        </is>
      </c>
      <c r="AB130" s="1488" t="n"/>
      <c r="AC130" s="1488" t="n"/>
      <c r="AD130" s="1488" t="n"/>
      <c r="AE130" s="1488" t="n"/>
      <c r="AF130" s="1488" t="n"/>
    </row>
    <row r="131" ht="12.75" customHeight="1" s="1232">
      <c r="A131" s="119" t="n"/>
      <c r="B131" s="1501" t="inlineStr">
        <is>
          <t>jmacsport@hotmail.com</t>
        </is>
      </c>
      <c r="C131" s="1558" t="inlineStr">
        <is>
          <t>Jean</t>
        </is>
      </c>
      <c r="D131" s="1558" t="inlineStr">
        <is>
          <t>MacDonald</t>
        </is>
      </c>
      <c r="E131" s="1230" t="inlineStr">
        <is>
          <t>2 Months Free - Photo Contest</t>
        </is>
      </c>
      <c r="F131" s="1552" t="n">
        <v>42167</v>
      </c>
      <c r="G131" s="1488" t="n">
        <v>0</v>
      </c>
      <c r="H131" s="1488" t="n"/>
      <c r="I131" s="1569" t="inlineStr">
        <is>
          <t>monthly</t>
        </is>
      </c>
      <c r="J131" s="1572" t="n">
        <v>42170</v>
      </c>
      <c r="Q131" s="1573" t="n"/>
      <c r="R131" s="1573" t="n"/>
      <c r="X131" s="169" t="n"/>
      <c r="Y131" s="168" t="n"/>
      <c r="Z131" s="1488" t="n"/>
      <c r="AA131" s="1488" t="n"/>
      <c r="AB131" s="1488" t="n"/>
      <c r="AC131" s="1488" t="n"/>
      <c r="AD131" s="1488" t="n"/>
      <c r="AE131" s="1488" t="n"/>
      <c r="AF131" s="1488" t="n"/>
    </row>
    <row r="132" ht="12.75" customHeight="1" s="1232">
      <c r="A132" s="119" t="n"/>
      <c r="B132" s="75" t="inlineStr">
        <is>
          <t>papillonsj@yahoo.com</t>
        </is>
      </c>
      <c r="C132" s="138" t="inlineStr">
        <is>
          <t>Sarah</t>
        </is>
      </c>
      <c r="D132" s="138" t="inlineStr">
        <is>
          <t>Vaughan</t>
        </is>
      </c>
      <c r="E132" s="1488" t="inlineStr">
        <is>
          <t>6 month offer</t>
        </is>
      </c>
      <c r="F132" s="1552" t="n">
        <v>42109</v>
      </c>
      <c r="G132" s="1488" t="n">
        <v>20</v>
      </c>
      <c r="H132" s="1488" t="n"/>
      <c r="I132" s="1569" t="inlineStr">
        <is>
          <t>monthly</t>
        </is>
      </c>
      <c r="J132" s="1572" t="n">
        <v>42109</v>
      </c>
      <c r="O132" s="1573" t="n"/>
      <c r="P132" s="1573" t="n"/>
      <c r="S132" s="1566" t="n"/>
      <c r="T132" s="1566" t="n"/>
      <c r="U132" s="1566" t="n"/>
      <c r="V132" s="1566" t="n"/>
      <c r="W132" s="1566" t="n"/>
      <c r="X132" s="1488" t="inlineStr">
        <is>
          <t>56</t>
        </is>
      </c>
      <c r="Y132" s="1488" t="inlineStr">
        <is>
          <t>07986876884</t>
        </is>
      </c>
      <c r="Z132" s="1488" t="inlineStr">
        <is>
          <t>B63 3QW</t>
        </is>
      </c>
      <c r="AA132" s="1488" t="inlineStr">
        <is>
          <t>14 Hillview Close</t>
        </is>
      </c>
      <c r="AB132" s="1488" t="n"/>
      <c r="AC132" s="1488" t="n"/>
      <c r="AD132" s="1488" t="n"/>
      <c r="AE132" s="1488" t="n"/>
      <c r="AF132" s="1488" t="n"/>
    </row>
    <row r="133" ht="12.75" customHeight="1" s="1232">
      <c r="A133" s="119" t="n"/>
      <c r="B133" s="1488" t="inlineStr">
        <is>
          <t>caroline_gee57@yahoo.co.uk</t>
        </is>
      </c>
      <c r="C133" s="164" t="inlineStr">
        <is>
          <t>Caroline</t>
        </is>
      </c>
      <c r="D133" s="164" t="inlineStr">
        <is>
          <t>Gee</t>
        </is>
      </c>
      <c r="E133" s="1488" t="n"/>
      <c r="F133" s="1575" t="n">
        <v>41767</v>
      </c>
      <c r="G133" s="1569" t="n">
        <v>15</v>
      </c>
      <c r="H133" s="1584" t="n"/>
      <c r="I133" s="1569" t="inlineStr">
        <is>
          <t>monthly</t>
        </is>
      </c>
      <c r="J133" s="1572" t="n">
        <v>41767</v>
      </c>
      <c r="K133" s="1573" t="n"/>
      <c r="L133" s="1573" t="n"/>
      <c r="M133" s="1573" t="n"/>
      <c r="N133" s="1573" t="n"/>
      <c r="O133" s="1566" t="n"/>
      <c r="P133" s="1566" t="n"/>
      <c r="Q133" s="1566" t="n"/>
      <c r="R133" s="1566" t="n"/>
      <c r="S133" s="1566" t="n"/>
      <c r="T133" s="1566" t="n"/>
      <c r="U133" s="1566" t="n"/>
      <c r="V133" s="1566" t="n"/>
      <c r="W133" s="1566" t="n"/>
      <c r="X133" s="1585" t="inlineStr">
        <is>
          <t>31</t>
        </is>
      </c>
      <c r="Y133" s="1585" t="inlineStr">
        <is>
          <t>07887772455</t>
        </is>
      </c>
      <c r="Z133" s="1585" t="inlineStr">
        <is>
          <t>B95 5GF</t>
        </is>
      </c>
      <c r="AA133" s="1488" t="inlineStr">
        <is>
          <t>Iperium Consulting, 8 Ardent Court, WIlliam James Way</t>
        </is>
      </c>
      <c r="AB133" s="1488" t="n"/>
      <c r="AC133" s="1488" t="n"/>
      <c r="AD133" s="1488" t="n"/>
      <c r="AE133" s="1488" t="n"/>
      <c r="AF133" s="1488" t="n"/>
    </row>
    <row r="134" ht="12.75" customHeight="1" s="1232">
      <c r="A134" s="119" t="n"/>
      <c r="B134" s="1574" t="inlineStr">
        <is>
          <t>vezukbabe@hotmail.com</t>
        </is>
      </c>
      <c r="C134" s="138" t="inlineStr">
        <is>
          <t>Verity</t>
        </is>
      </c>
      <c r="D134" s="138" t="inlineStr">
        <is>
          <t>Rivers</t>
        </is>
      </c>
      <c r="E134" s="1488" t="n"/>
      <c r="F134" s="1575" t="n">
        <v>41949</v>
      </c>
      <c r="G134" s="1584" t="n">
        <v>20</v>
      </c>
      <c r="H134" s="1584" t="n"/>
      <c r="I134" s="1569" t="inlineStr">
        <is>
          <t>monthly</t>
        </is>
      </c>
      <c r="J134" s="1572" t="n">
        <v>41949</v>
      </c>
      <c r="K134" s="1573" t="n"/>
      <c r="L134" s="1573" t="n"/>
      <c r="M134" s="1566" t="n"/>
      <c r="N134" s="1566" t="n"/>
      <c r="O134" s="1566" t="n"/>
      <c r="P134" s="1566" t="n"/>
      <c r="Q134" s="1566" t="n"/>
      <c r="R134" s="1566" t="n"/>
      <c r="S134" s="1566" t="n"/>
      <c r="T134" s="1566" t="n"/>
      <c r="U134" s="1566" t="n"/>
      <c r="V134" s="1566" t="n"/>
      <c r="W134" s="1566" t="n"/>
      <c r="X134" s="1488" t="inlineStr">
        <is>
          <t>31</t>
        </is>
      </c>
      <c r="Y134" s="1488" t="inlineStr">
        <is>
          <t>07456653609</t>
        </is>
      </c>
      <c r="Z134" s="1488" t="inlineStr">
        <is>
          <t>B46 3EZ</t>
        </is>
      </c>
      <c r="AA134" s="1488" t="inlineStr">
        <is>
          <t>1 FERNDALE CLOSE</t>
        </is>
      </c>
      <c r="AB134" s="1488" t="n"/>
      <c r="AC134" s="1488" t="n"/>
      <c r="AD134" s="1488" t="n"/>
      <c r="AE134" s="1488" t="n"/>
      <c r="AF134" s="1488" t="n"/>
    </row>
    <row r="135" ht="12.75" customHeight="1" s="1232">
      <c r="A135" s="119" t="n"/>
      <c r="B135" s="1488" t="inlineStr">
        <is>
          <t>masive@totalise.co.uk</t>
        </is>
      </c>
      <c r="C135" s="164" t="inlineStr">
        <is>
          <t>Mike</t>
        </is>
      </c>
      <c r="D135" s="164" t="inlineStr">
        <is>
          <t>Smith</t>
        </is>
      </c>
      <c r="E135" s="1488" t="n"/>
      <c r="F135" s="1552" t="n">
        <v>41827</v>
      </c>
      <c r="G135" s="1569" t="n"/>
      <c r="H135" s="1488" t="n">
        <v>170</v>
      </c>
      <c r="I135" s="1569" t="inlineStr">
        <is>
          <t>Pick N Mix</t>
        </is>
      </c>
      <c r="J135" s="1560" t="inlineStr">
        <is>
          <t>July-14-jun 15</t>
        </is>
      </c>
      <c r="K135" s="1573" t="n"/>
      <c r="L135" s="1573" t="n"/>
      <c r="M135" s="1573" t="n"/>
      <c r="N135" s="1573" t="n"/>
      <c r="O135" s="1573" t="n"/>
      <c r="P135" s="1573" t="n"/>
      <c r="Q135" s="1573" t="n"/>
      <c r="R135" s="1586" t="n"/>
      <c r="S135" s="1547" t="n"/>
      <c r="T135" s="1547" t="n"/>
      <c r="U135" s="1547" t="n"/>
      <c r="V135" s="1547" t="n"/>
      <c r="W135" s="1547" t="n"/>
      <c r="X135" s="1550" t="n"/>
      <c r="Y135" s="151" t="n"/>
      <c r="Z135" s="1548" t="n"/>
      <c r="AA135" s="1548" t="n"/>
      <c r="AB135" s="1548" t="n"/>
      <c r="AC135" s="1548" t="n"/>
      <c r="AD135" s="1548" t="n"/>
      <c r="AE135" s="1548" t="n"/>
      <c r="AF135" s="1548" t="n"/>
    </row>
    <row r="136" ht="12.75" customHeight="1" s="1232">
      <c r="A136" s="119" t="n"/>
      <c r="B136" s="78" t="inlineStr">
        <is>
          <t>noogle0904@gmail.com</t>
        </is>
      </c>
      <c r="C136" s="138" t="inlineStr">
        <is>
          <t>Natalie</t>
        </is>
      </c>
      <c r="D136" s="1558" t="inlineStr">
        <is>
          <t>Jones</t>
        </is>
      </c>
      <c r="E136" s="1488" t="inlineStr">
        <is>
          <t>6 month offer</t>
        </is>
      </c>
      <c r="F136" s="1552" t="n">
        <v>42091</v>
      </c>
      <c r="G136" s="1488" t="n">
        <v>20</v>
      </c>
      <c r="H136" s="1488" t="n"/>
      <c r="I136" s="1569" t="inlineStr">
        <is>
          <t>monthly</t>
        </is>
      </c>
      <c r="J136" s="1572" t="n">
        <v>42091</v>
      </c>
      <c r="N136" s="1573" t="n"/>
      <c r="O136" s="1573" t="n"/>
      <c r="P136" s="1573" t="n"/>
      <c r="X136" s="1551" t="inlineStr">
        <is>
          <t>25</t>
        </is>
      </c>
      <c r="Y136" s="1551" t="inlineStr">
        <is>
          <t>07740398998</t>
        </is>
      </c>
      <c r="Z136" s="1230" t="inlineStr">
        <is>
          <t>B92 7JT</t>
        </is>
      </c>
      <c r="AA136" s="1230" t="inlineStr">
        <is>
          <t>21 Old Warwick Court, Old Warwick Road</t>
        </is>
      </c>
    </row>
    <row r="137" ht="12.75" customHeight="1" s="1232">
      <c r="A137" s="119" t="n"/>
      <c r="B137" s="1501" t="inlineStr">
        <is>
          <t>simplybowen@hotmail.co.uk</t>
        </is>
      </c>
      <c r="C137" s="164" t="inlineStr">
        <is>
          <t>Louise</t>
        </is>
      </c>
      <c r="D137" s="164" t="inlineStr">
        <is>
          <t>Harris</t>
        </is>
      </c>
      <c r="E137" s="1488" t="n"/>
      <c r="F137" s="1575" t="n">
        <v>41874</v>
      </c>
      <c r="G137" s="1569" t="n">
        <v>20</v>
      </c>
      <c r="H137" s="1569" t="n">
        <v>0</v>
      </c>
      <c r="I137" s="1569" t="inlineStr">
        <is>
          <t>monthly</t>
        </is>
      </c>
      <c r="J137" s="1572" t="n">
        <v>41874</v>
      </c>
      <c r="K137" s="1573" t="n"/>
      <c r="L137" s="1573" t="n"/>
      <c r="M137" s="1573" t="n"/>
      <c r="N137" s="1573" t="n"/>
      <c r="Y137" s="1230" t="n"/>
    </row>
    <row r="138" ht="12.75" customHeight="1" s="1232">
      <c r="A138" s="119" t="n"/>
      <c r="B138" s="1587" t="inlineStr">
        <is>
          <t>janetrroberts1@btinternet.com</t>
        </is>
      </c>
      <c r="C138" s="118" t="inlineStr">
        <is>
          <t>Janet</t>
        </is>
      </c>
      <c r="D138" s="118" t="inlineStr">
        <is>
          <t>Roberts</t>
        </is>
      </c>
      <c r="F138" s="1588" t="n">
        <v>41591</v>
      </c>
      <c r="G138" s="1569" t="n"/>
      <c r="H138" s="1589" t="n">
        <v>120</v>
      </c>
      <c r="I138" s="1590" t="inlineStr">
        <is>
          <t>Pick N Mix</t>
        </is>
      </c>
      <c r="J138" s="1591" t="inlineStr">
        <is>
          <t>Mar  -14 to Feb 15</t>
        </is>
      </c>
      <c r="K138" s="1573" t="n"/>
      <c r="L138" s="1573" t="n"/>
      <c r="M138" s="1573" t="n"/>
      <c r="N138" s="1547" t="n"/>
      <c r="O138" s="1547" t="n"/>
      <c r="S138" s="1566" t="n"/>
      <c r="T138" s="1566" t="n"/>
      <c r="U138" s="1566" t="n"/>
      <c r="V138" s="1566" t="n"/>
      <c r="W138" s="1566" t="n"/>
      <c r="X138" s="1488" t="inlineStr">
        <is>
          <t>45</t>
        </is>
      </c>
      <c r="Y138" s="128" t="inlineStr">
        <is>
          <t>07970419893</t>
        </is>
      </c>
      <c r="Z138" s="1488" t="inlineStr">
        <is>
          <t>B449EP</t>
        </is>
      </c>
      <c r="AA138" s="1488" t="inlineStr">
        <is>
          <t>154 Shady Lane</t>
        </is>
      </c>
      <c r="AB138" s="1488" t="n"/>
      <c r="AC138" s="1488" t="n"/>
      <c r="AD138" s="1488" t="n"/>
      <c r="AE138" s="1488" t="n"/>
      <c r="AF138" s="1488" t="n"/>
    </row>
    <row r="139" ht="12.75" customHeight="1" s="1232">
      <c r="A139" s="119" t="n"/>
      <c r="B139" s="1230" t="inlineStr">
        <is>
          <t>rebecca.bloor77@hotmail.co.uk</t>
        </is>
      </c>
      <c r="C139" s="118" t="inlineStr">
        <is>
          <t>Rebecca</t>
        </is>
      </c>
      <c r="D139" s="118" t="inlineStr">
        <is>
          <t>Bloor</t>
        </is>
      </c>
      <c r="E139" s="1230" t="inlineStr">
        <is>
          <t>phone</t>
        </is>
      </c>
      <c r="F139" s="1592" t="n">
        <v>41876</v>
      </c>
      <c r="G139" s="1569" t="n"/>
      <c r="H139" s="1569" t="n">
        <v>180</v>
      </c>
      <c r="I139" s="1590" t="inlineStr">
        <is>
          <t>Pick N Mix</t>
        </is>
      </c>
      <c r="J139" s="1591" t="inlineStr">
        <is>
          <t>Sep 14 - cancelled Apr</t>
        </is>
      </c>
      <c r="K139" s="1573" t="n"/>
      <c r="L139" s="1573" t="n"/>
      <c r="M139" s="1573" t="n"/>
      <c r="N139" s="1573" t="n"/>
      <c r="S139" s="1566" t="n"/>
      <c r="T139" s="1566" t="n"/>
      <c r="U139" s="1566" t="n"/>
      <c r="V139" s="1566" t="n"/>
      <c r="W139" s="1566" t="n"/>
      <c r="X139" s="1488" t="n">
        <v>42</v>
      </c>
      <c r="Y139" s="1488" t="n">
        <v>7850404545</v>
      </c>
      <c r="Z139" s="1488" t="inlineStr">
        <is>
          <t>B90 4TJ</t>
        </is>
      </c>
      <c r="AA139" s="128" t="inlineStr">
        <is>
          <t>10 TYLERS GROVE</t>
        </is>
      </c>
      <c r="AB139" s="128" t="n"/>
      <c r="AC139" s="128" t="n"/>
      <c r="AD139" s="128" t="n"/>
      <c r="AE139" s="128" t="n"/>
      <c r="AF139" s="128" t="n"/>
    </row>
    <row r="140" ht="12.75" customHeight="1" s="1232">
      <c r="A140" s="119" t="n"/>
      <c r="B140" s="1230" t="inlineStr">
        <is>
          <t>s.chilton@blueyonder.co.uk</t>
        </is>
      </c>
      <c r="C140" s="157" t="inlineStr">
        <is>
          <t>Steve</t>
        </is>
      </c>
      <c r="D140" s="118" t="inlineStr">
        <is>
          <t>Chilton</t>
        </is>
      </c>
      <c r="E140" s="1593" t="inlineStr">
        <is>
          <t>phone</t>
        </is>
      </c>
      <c r="F140" s="1592" t="n">
        <v>41704</v>
      </c>
      <c r="G140" s="1569" t="n">
        <v>15</v>
      </c>
      <c r="H140" s="1569" t="n"/>
      <c r="I140" s="1590" t="inlineStr">
        <is>
          <t>monthly</t>
        </is>
      </c>
      <c r="J140" s="1591" t="n">
        <v>41713</v>
      </c>
      <c r="K140" s="1573" t="n"/>
      <c r="L140" s="1573" t="n"/>
      <c r="X140" s="1488" t="inlineStr">
        <is>
          <t>41</t>
        </is>
      </c>
      <c r="Y140" s="1488" t="inlineStr">
        <is>
          <t>07909913727</t>
        </is>
      </c>
      <c r="Z140" s="1488" t="inlineStr">
        <is>
          <t>B912JH</t>
        </is>
      </c>
      <c r="AA140" s="1488" t="inlineStr">
        <is>
          <t>50</t>
        </is>
      </c>
      <c r="AB140" s="1488" t="n"/>
      <c r="AC140" s="1488" t="n"/>
      <c r="AD140" s="1488" t="n"/>
      <c r="AE140" s="1488" t="n"/>
      <c r="AF140" s="1488" t="n"/>
    </row>
    <row r="141" ht="12.75" customHeight="1" s="1232">
      <c r="A141" s="119" t="n"/>
      <c r="B141" s="1594" t="inlineStr">
        <is>
          <t>kajalvharia@gmail.com</t>
        </is>
      </c>
      <c r="C141" s="157" t="inlineStr">
        <is>
          <t>Kajal</t>
        </is>
      </c>
      <c r="D141" s="118" t="inlineStr">
        <is>
          <t>Haria</t>
        </is>
      </c>
      <c r="F141" s="1592" t="n">
        <v>41865</v>
      </c>
      <c r="G141" s="1569" t="n">
        <v>20</v>
      </c>
      <c r="H141" s="1569" t="n">
        <v>0</v>
      </c>
      <c r="I141" s="1590" t="inlineStr">
        <is>
          <t>monthly</t>
        </is>
      </c>
      <c r="J141" s="1595" t="n">
        <v>41865</v>
      </c>
      <c r="K141" s="1573" t="n"/>
      <c r="L141" s="1573" t="n"/>
      <c r="M141" s="1566" t="n"/>
      <c r="N141" s="1566" t="n"/>
      <c r="O141" s="1566" t="n"/>
      <c r="P141" s="1566" t="n"/>
      <c r="Q141" s="1566" t="n"/>
      <c r="R141" s="1566" t="n"/>
      <c r="S141" s="1566" t="n"/>
      <c r="T141" s="1566" t="n"/>
      <c r="U141" s="1566" t="n"/>
      <c r="V141" s="1566" t="n"/>
      <c r="W141" s="1566" t="n"/>
      <c r="X141" s="1488" t="inlineStr">
        <is>
          <t>32</t>
        </is>
      </c>
      <c r="Y141" s="1488" t="inlineStr">
        <is>
          <t>07834595415</t>
        </is>
      </c>
      <c r="Z141" s="1488" t="inlineStr">
        <is>
          <t>CV32 7LA</t>
        </is>
      </c>
      <c r="AA141" s="1488" t="inlineStr">
        <is>
          <t>19 New Street</t>
        </is>
      </c>
      <c r="AB141" s="1488" t="n"/>
      <c r="AC141" s="1488" t="n"/>
      <c r="AD141" s="1488" t="n"/>
      <c r="AE141" s="1488" t="n"/>
      <c r="AF141" s="1488" t="n"/>
    </row>
    <row r="142" ht="12.75" customHeight="1" s="1232" thickBot="1">
      <c r="A142" s="119" t="n"/>
      <c r="B142" s="1594" t="inlineStr">
        <is>
          <t>nj_ward@sky.com</t>
        </is>
      </c>
      <c r="C142" s="118" t="inlineStr">
        <is>
          <t>Nicola</t>
        </is>
      </c>
      <c r="D142" s="118" t="inlineStr">
        <is>
          <t>Ward</t>
        </is>
      </c>
      <c r="F142" s="1596" t="n">
        <v>41717</v>
      </c>
      <c r="G142" s="1559" t="n"/>
      <c r="H142" s="1559" t="n">
        <v>135</v>
      </c>
      <c r="I142" s="1590" t="inlineStr">
        <is>
          <t>Pick N Mix</t>
        </is>
      </c>
      <c r="J142" s="1591" t="inlineStr">
        <is>
          <t>Mar-14-Feb15</t>
        </is>
      </c>
      <c r="K142" s="1573" t="n"/>
      <c r="L142" s="1573" t="n"/>
      <c r="M142" s="1573" t="n"/>
      <c r="N142" s="1547" t="n"/>
      <c r="O142" s="1547" t="n"/>
      <c r="P142" s="1547" t="n"/>
      <c r="Q142" s="1547" t="n"/>
      <c r="R142" s="1547" t="n"/>
      <c r="S142" s="1547" t="n"/>
      <c r="T142" s="1547" t="n"/>
      <c r="U142" s="1547" t="n"/>
      <c r="V142" s="1547" t="n"/>
    </row>
    <row r="143" ht="12.75" customHeight="1" s="1232" thickBot="1">
      <c r="A143" s="119" t="n"/>
      <c r="B143" s="1230" t="inlineStr">
        <is>
          <t>Alannewbold@hotmail.co.uk</t>
        </is>
      </c>
      <c r="C143" s="157" t="inlineStr">
        <is>
          <t>Alan</t>
        </is>
      </c>
      <c r="D143" s="118" t="inlineStr">
        <is>
          <t>Newbold</t>
        </is>
      </c>
      <c r="E143" s="1230" t="inlineStr">
        <is>
          <t>written</t>
        </is>
      </c>
      <c r="F143" s="1596" t="n">
        <v>41575</v>
      </c>
      <c r="G143" s="1559" t="n">
        <v>12.5</v>
      </c>
      <c r="H143" s="1569" t="n">
        <v>0</v>
      </c>
      <c r="I143" s="1590" t="inlineStr">
        <is>
          <t>monthly</t>
        </is>
      </c>
      <c r="J143" s="1597" t="inlineStr">
        <is>
          <t>End Jan 15</t>
        </is>
      </c>
      <c r="K143" s="1573" t="n"/>
      <c r="L143" s="1573" t="n"/>
      <c r="R143" s="1566" t="n"/>
      <c r="S143" s="1566" t="n"/>
      <c r="T143" s="1566" t="n"/>
      <c r="U143" s="1566" t="n"/>
      <c r="V143" s="1566" t="n"/>
      <c r="W143" s="1566" t="n"/>
      <c r="X143" s="1598" t="n">
        <v>51</v>
      </c>
      <c r="Y143" s="1598" t="n">
        <v>7801451352</v>
      </c>
      <c r="Z143" s="1599" t="inlineStr">
        <is>
          <t>CV23 0QY</t>
        </is>
      </c>
      <c r="AA143" s="1599" t="inlineStr">
        <is>
          <t>8 Bell Lane</t>
        </is>
      </c>
      <c r="AB143" s="1599" t="n"/>
      <c r="AC143" s="1599" t="n"/>
      <c r="AD143" s="1599" t="n"/>
      <c r="AE143" s="1599" t="n"/>
      <c r="AF143" s="1599" t="n"/>
    </row>
    <row r="144" ht="12.75" customHeight="1" s="1232">
      <c r="A144" s="119" t="n"/>
      <c r="B144" s="1594" t="inlineStr">
        <is>
          <t>mjparker@btinternet.com</t>
        </is>
      </c>
      <c r="C144" s="157" t="inlineStr">
        <is>
          <t>Michael</t>
        </is>
      </c>
      <c r="D144" s="118" t="inlineStr">
        <is>
          <t>Parker</t>
        </is>
      </c>
      <c r="F144" s="1592" t="n">
        <v>41896</v>
      </c>
      <c r="G144" s="1569" t="n">
        <v>20</v>
      </c>
      <c r="H144" s="1569" t="n">
        <v>0</v>
      </c>
      <c r="I144" s="1590" t="inlineStr">
        <is>
          <t>monthly</t>
        </is>
      </c>
      <c r="J144" s="1595" t="n">
        <v>41897</v>
      </c>
      <c r="K144" s="1573" t="n"/>
      <c r="L144" s="1573" t="n"/>
      <c r="M144" s="1566" t="n"/>
      <c r="N144" s="1566" t="n"/>
      <c r="O144" s="1566" t="n"/>
      <c r="P144" s="1566" t="n"/>
      <c r="Q144" s="1566" t="n"/>
      <c r="R144" s="1566" t="n"/>
      <c r="S144" s="1566" t="n"/>
      <c r="T144" s="1566" t="n"/>
      <c r="U144" s="1566" t="n"/>
      <c r="V144" s="1566" t="n"/>
      <c r="W144" s="1566" t="n"/>
      <c r="X144" s="1488" t="n"/>
      <c r="Y144" s="1600" t="inlineStr">
        <is>
          <t>+44 441926842374</t>
        </is>
      </c>
      <c r="Z144" s="1600" t="inlineStr">
        <is>
          <t>CV35 7AW</t>
        </is>
      </c>
      <c r="AA144" s="1600" t="inlineStr">
        <is>
          <t>98, SHREWLEY COMMON</t>
        </is>
      </c>
      <c r="AB144" s="1600" t="n"/>
      <c r="AC144" s="1600" t="n"/>
      <c r="AD144" s="1600" t="n"/>
      <c r="AE144" s="1600" t="n"/>
      <c r="AF144" s="1600" t="n"/>
    </row>
    <row r="145" ht="12.75" customHeight="1" s="1232">
      <c r="A145" s="119" t="n"/>
      <c r="B145" s="1541" t="inlineStr">
        <is>
          <t>dvavasour@iee.org</t>
        </is>
      </c>
      <c r="C145" s="118" t="inlineStr">
        <is>
          <t>Dunstan</t>
        </is>
      </c>
      <c r="D145" s="118" t="inlineStr">
        <is>
          <t>Vavasour</t>
        </is>
      </c>
      <c r="F145" s="1592" t="n">
        <v>41884</v>
      </c>
      <c r="G145" s="1569" t="n">
        <v>20</v>
      </c>
      <c r="H145" s="1569" t="n">
        <v>0</v>
      </c>
      <c r="I145" s="1590" t="inlineStr">
        <is>
          <t>monthly</t>
        </is>
      </c>
      <c r="J145" s="1595" t="n">
        <v>41884</v>
      </c>
      <c r="K145" s="1601" t="n"/>
      <c r="L145" s="1566" t="n"/>
      <c r="M145" s="1566" t="n"/>
      <c r="N145" s="1566" t="n"/>
      <c r="O145" s="1566" t="n"/>
      <c r="P145" s="1566" t="n"/>
      <c r="Q145" s="1566" t="n"/>
      <c r="R145" s="1566" t="n"/>
      <c r="S145" s="1566" t="n"/>
      <c r="T145" s="1566" t="n"/>
      <c r="U145" s="1566" t="n"/>
      <c r="V145" s="1566" t="n"/>
      <c r="W145" s="1566" t="n"/>
      <c r="X145" s="1488" t="n">
        <v>57</v>
      </c>
      <c r="Y145" s="1488" t="n">
        <v>7890077432</v>
      </c>
      <c r="Z145" s="1488" t="inlineStr">
        <is>
          <t>B93 0DS</t>
        </is>
      </c>
      <c r="AA145" s="1488" t="inlineStr">
        <is>
          <t>1811 Warwick Road, Knowle</t>
        </is>
      </c>
      <c r="AB145" s="1488" t="n"/>
      <c r="AC145" s="1488" t="n"/>
      <c r="AD145" s="1488" t="n"/>
      <c r="AE145" s="1488" t="n"/>
      <c r="AF145" s="1488" t="n"/>
    </row>
    <row r="146" ht="12.75" customHeight="1" s="1232">
      <c r="A146" s="119" t="n"/>
      <c r="B146" s="1230" t="inlineStr">
        <is>
          <t>Daisy161012@Gmail.com</t>
        </is>
      </c>
      <c r="C146" s="118" t="inlineStr">
        <is>
          <t>Alison</t>
        </is>
      </c>
      <c r="D146" s="118" t="inlineStr">
        <is>
          <t>Elvins</t>
        </is>
      </c>
      <c r="E146" s="1230" t="inlineStr">
        <is>
          <t>phone next time</t>
        </is>
      </c>
      <c r="F146" s="99" t="n">
        <v>41613</v>
      </c>
      <c r="G146" s="1569" t="n"/>
      <c r="H146" s="1569" t="n">
        <v>125</v>
      </c>
      <c r="I146" s="1590" t="inlineStr">
        <is>
          <t>annual</t>
        </is>
      </c>
      <c r="J146" s="1540" t="inlineStr">
        <is>
          <t>01/02/2014</t>
        </is>
      </c>
      <c r="K146" s="1573" t="n"/>
      <c r="L146" s="1573" t="n"/>
      <c r="M146" s="1580" t="n"/>
      <c r="N146" s="1547" t="n"/>
      <c r="O146" s="1547" t="n"/>
      <c r="P146" s="1547" t="n"/>
      <c r="Q146" s="1547" t="n"/>
      <c r="R146" s="1547" t="n"/>
      <c r="S146" s="1547" t="n"/>
      <c r="T146" s="1547" t="n"/>
      <c r="U146" s="1547" t="n"/>
      <c r="V146" s="1547" t="n"/>
      <c r="W146" s="1547" t="n"/>
      <c r="X146" s="1550" t="n"/>
      <c r="Y146" s="151" t="n"/>
      <c r="Z146" s="1548" t="n"/>
      <c r="AA146" s="1548" t="n"/>
      <c r="AB146" s="1548" t="n"/>
      <c r="AC146" s="1548" t="n"/>
      <c r="AD146" s="1548" t="n"/>
      <c r="AE146" s="1548" t="n"/>
      <c r="AF146" s="1548" t="n"/>
    </row>
    <row r="147" ht="12.75" customHeight="1" s="1232">
      <c r="A147" s="134" t="n"/>
      <c r="B147" s="1230" t="inlineStr">
        <is>
          <t>chris@professionallink.co.uk</t>
        </is>
      </c>
      <c r="C147" s="118" t="inlineStr">
        <is>
          <t>Chris</t>
        </is>
      </c>
      <c r="D147" s="118" t="inlineStr">
        <is>
          <t>Shaw</t>
        </is>
      </c>
      <c r="E147" s="1602" t="inlineStr">
        <is>
          <t>phone</t>
        </is>
      </c>
      <c r="F147" s="1592" t="n">
        <v>41548</v>
      </c>
      <c r="G147" s="1584" t="n"/>
      <c r="H147" s="1569" t="n">
        <v>135</v>
      </c>
      <c r="I147" s="1590" t="inlineStr">
        <is>
          <t>Pick N Mix</t>
        </is>
      </c>
      <c r="J147" s="1603" t="inlineStr">
        <is>
          <t>End Dec 14</t>
        </is>
      </c>
      <c r="K147" s="1601" t="n"/>
      <c r="L147" s="1566" t="n"/>
      <c r="M147" s="1566" t="n"/>
      <c r="N147" s="1566" t="n"/>
      <c r="O147" s="1566" t="n"/>
      <c r="P147" s="1566" t="n"/>
      <c r="Q147" s="1566" t="n"/>
      <c r="R147" s="1566" t="n"/>
      <c r="S147" s="1566" t="n"/>
      <c r="T147" s="1566" t="n"/>
      <c r="U147" s="1566" t="n"/>
      <c r="V147" s="1566" t="n"/>
      <c r="W147" s="1566" t="n"/>
      <c r="X147" s="147" t="n">
        <v>36</v>
      </c>
      <c r="Y147" s="1604" t="inlineStr">
        <is>
          <t>07779578147</t>
        </is>
      </c>
      <c r="Z147" s="1568" t="inlineStr">
        <is>
          <t>B90 2QW</t>
        </is>
      </c>
      <c r="AA147" s="1568" t="inlineStr">
        <is>
          <t>52 Neville Road</t>
        </is>
      </c>
      <c r="AB147" s="1568" t="n"/>
      <c r="AC147" s="1568" t="n"/>
      <c r="AD147" s="1568" t="n"/>
      <c r="AE147" s="1568" t="n"/>
      <c r="AF147" s="1568" t="n"/>
    </row>
    <row r="148" ht="12.75" customHeight="1" s="1232">
      <c r="A148" s="134" t="n"/>
      <c r="B148" s="1230" t="inlineStr">
        <is>
          <t>david@iperiumconsulting.com</t>
        </is>
      </c>
      <c r="C148" s="118" t="inlineStr">
        <is>
          <t>David</t>
        </is>
      </c>
      <c r="D148" s="118" t="inlineStr">
        <is>
          <t>Ward</t>
        </is>
      </c>
      <c r="E148" s="1568" t="n"/>
      <c r="F148" s="1592" t="n">
        <v>41625</v>
      </c>
      <c r="G148" s="1559" t="n"/>
      <c r="H148" s="1559" t="n">
        <v>120</v>
      </c>
      <c r="I148" s="1590" t="inlineStr">
        <is>
          <t>Pick N Mix</t>
        </is>
      </c>
      <c r="J148" s="1603" t="inlineStr">
        <is>
          <t>End Dec 14</t>
        </is>
      </c>
      <c r="K148" s="1601" t="n"/>
      <c r="L148" s="1566" t="n"/>
      <c r="M148" s="1566" t="n"/>
      <c r="N148" s="1566" t="n"/>
      <c r="O148" s="1566" t="n"/>
      <c r="P148" s="1566" t="n"/>
      <c r="Q148" s="1566" t="n"/>
      <c r="R148" s="1566" t="n"/>
      <c r="X148" s="147" t="n"/>
      <c r="Y148" s="1604" t="n"/>
      <c r="Z148" s="1568" t="n"/>
      <c r="AA148" s="1568" t="n"/>
      <c r="AB148" s="1568" t="n"/>
      <c r="AC148" s="1568" t="n"/>
      <c r="AD148" s="1568" t="n"/>
      <c r="AE148" s="1568" t="n"/>
      <c r="AF148" s="1568" t="n"/>
    </row>
    <row r="149" ht="12.75" customHeight="1" s="1232">
      <c r="A149" s="134" t="n"/>
      <c r="B149" s="1230" t="inlineStr">
        <is>
          <t>Laura.franklin32@yahoo.co.uk</t>
        </is>
      </c>
      <c r="C149" s="118" t="inlineStr">
        <is>
          <t>Laura</t>
        </is>
      </c>
      <c r="D149" s="118" t="inlineStr">
        <is>
          <t>Franklin</t>
        </is>
      </c>
      <c r="E149" s="1593" t="inlineStr">
        <is>
          <t>phone</t>
        </is>
      </c>
      <c r="F149" s="1596" t="n">
        <v>41625</v>
      </c>
      <c r="G149" s="1559" t="n"/>
      <c r="H149" s="1559" t="n">
        <v>120</v>
      </c>
      <c r="I149" s="1590" t="inlineStr">
        <is>
          <t>Pick N Mix</t>
        </is>
      </c>
      <c r="J149" s="1603" t="inlineStr">
        <is>
          <t>End Dec 14</t>
        </is>
      </c>
      <c r="K149" s="1601" t="n"/>
      <c r="L149" s="1566" t="n"/>
      <c r="M149" s="1566" t="n"/>
      <c r="N149" s="1566" t="n"/>
      <c r="O149" s="1566" t="n"/>
      <c r="P149" s="1566" t="n"/>
      <c r="Q149" s="1566" t="n"/>
      <c r="R149" s="1566" t="n"/>
      <c r="X149" s="147" t="n"/>
      <c r="Y149" s="1604" t="n"/>
      <c r="Z149" s="1568" t="n"/>
      <c r="AA149" s="1568" t="n"/>
      <c r="AB149" s="1568" t="n"/>
      <c r="AC149" s="1568" t="n"/>
      <c r="AD149" s="1568" t="n"/>
      <c r="AE149" s="1568" t="n"/>
      <c r="AF149" s="1568" t="n"/>
    </row>
    <row r="150" ht="12.75" customHeight="1" s="1232">
      <c r="A150" s="134" t="n"/>
      <c r="B150" s="1230" t="inlineStr">
        <is>
          <t>lu-j1@hotmail.co.uk</t>
        </is>
      </c>
      <c r="C150" s="118" t="inlineStr">
        <is>
          <t>Lucy</t>
        </is>
      </c>
      <c r="D150" s="118" t="inlineStr">
        <is>
          <t>Stanford</t>
        </is>
      </c>
      <c r="E150" s="1568" t="n"/>
      <c r="F150" s="1596" t="n">
        <v>41625</v>
      </c>
      <c r="G150" s="1559" t="n"/>
      <c r="H150" s="1559" t="n">
        <v>120</v>
      </c>
      <c r="I150" s="1590" t="inlineStr">
        <is>
          <t>Pick N Mix</t>
        </is>
      </c>
      <c r="J150" s="1603" t="inlineStr">
        <is>
          <t>End Dec 14</t>
        </is>
      </c>
      <c r="K150" s="1601" t="n"/>
      <c r="L150" s="1566" t="n"/>
      <c r="M150" s="1566" t="n"/>
      <c r="N150" s="1566" t="n"/>
      <c r="O150" s="1566" t="n"/>
      <c r="P150" s="1566" t="n"/>
      <c r="Q150" s="1566" t="n"/>
      <c r="R150" s="1566" t="n"/>
      <c r="S150" s="1566" t="n"/>
      <c r="T150" s="1566" t="n"/>
      <c r="U150" s="1566" t="n"/>
      <c r="V150" s="1566" t="n"/>
      <c r="W150" s="1566" t="n"/>
      <c r="X150" s="1568" t="n"/>
      <c r="Y150" s="88" t="n"/>
      <c r="Z150" s="1568" t="n"/>
      <c r="AA150" s="1568" t="n"/>
      <c r="AB150" s="1568" t="n"/>
      <c r="AC150" s="1568" t="n"/>
      <c r="AD150" s="1568" t="n"/>
      <c r="AE150" s="1568" t="n"/>
      <c r="AF150" s="1568" t="n"/>
    </row>
    <row r="151" ht="12.75" customHeight="1" s="1232" thickBot="1">
      <c r="A151" s="77" t="inlineStr">
        <is>
          <t xml:space="preserve">less paypal </t>
        </is>
      </c>
      <c r="B151" s="1230" t="inlineStr">
        <is>
          <t>Kaceyrosebud@live.com</t>
        </is>
      </c>
      <c r="C151" s="118" t="inlineStr">
        <is>
          <t>Teresa</t>
        </is>
      </c>
      <c r="D151" s="118" t="inlineStr">
        <is>
          <t>Buck</t>
        </is>
      </c>
      <c r="E151" s="1568" t="inlineStr">
        <is>
          <t>written</t>
        </is>
      </c>
      <c r="F151" s="1596" t="n">
        <v>41632</v>
      </c>
      <c r="G151" s="1559" t="n"/>
      <c r="H151" s="1559" t="n">
        <v>135</v>
      </c>
      <c r="I151" s="1590" t="inlineStr">
        <is>
          <t>Pick N Mix</t>
        </is>
      </c>
      <c r="J151" s="1603" t="inlineStr">
        <is>
          <t>End Dec 14</t>
        </is>
      </c>
      <c r="K151" s="1601" t="n"/>
      <c r="L151" s="1566" t="n"/>
      <c r="M151" s="1566" t="n"/>
      <c r="N151" s="1566" t="n"/>
      <c r="O151" s="1566" t="n"/>
      <c r="P151" s="1566" t="n"/>
      <c r="Q151" s="1566" t="n"/>
      <c r="R151" s="1566" t="n"/>
      <c r="S151" s="1566" t="n"/>
      <c r="T151" s="1566" t="n"/>
      <c r="U151" s="1566" t="n"/>
      <c r="V151" s="1566" t="n"/>
      <c r="W151" s="1566" t="n"/>
      <c r="X151" s="1568" t="n"/>
      <c r="Y151" s="88" t="n"/>
      <c r="Z151" s="1568" t="n"/>
      <c r="AA151" s="1568" t="n"/>
      <c r="AB151" s="1568" t="n"/>
      <c r="AC151" s="1568" t="n"/>
      <c r="AD151" s="1568" t="n"/>
      <c r="AE151" s="1568" t="n"/>
      <c r="AF151" s="1568" t="n"/>
    </row>
    <row r="152" ht="12.75" customHeight="1" s="1232" thickBot="1">
      <c r="B152" s="1605" t="inlineStr">
        <is>
          <t>benmorphet@yahoo.com</t>
        </is>
      </c>
      <c r="C152" s="118" t="inlineStr">
        <is>
          <t>Ben</t>
        </is>
      </c>
      <c r="D152" s="118" t="inlineStr">
        <is>
          <t>Morphet</t>
        </is>
      </c>
      <c r="E152" s="1568" t="n"/>
      <c r="F152" s="1596" t="n">
        <v>41632</v>
      </c>
      <c r="G152" s="1559" t="n"/>
      <c r="H152" s="1559" t="n">
        <v>120</v>
      </c>
      <c r="I152" s="1590" t="inlineStr">
        <is>
          <t>Pick N Mix</t>
        </is>
      </c>
      <c r="J152" s="1603" t="inlineStr">
        <is>
          <t>End Dec 14</t>
        </is>
      </c>
      <c r="K152" s="1601" t="n"/>
      <c r="L152" s="1566" t="n"/>
      <c r="M152" s="1566" t="n"/>
      <c r="N152" s="1566" t="n"/>
      <c r="O152" s="1566" t="n"/>
      <c r="P152" s="1566" t="n"/>
      <c r="Q152" s="1566" t="n"/>
      <c r="R152" s="1566" t="n"/>
      <c r="S152" s="1566" t="n"/>
      <c r="T152" s="1566" t="n"/>
      <c r="U152" s="1566" t="n"/>
      <c r="V152" s="1566" t="n"/>
      <c r="W152" s="1566" t="n"/>
      <c r="X152" s="1568" t="n"/>
      <c r="Y152" s="88" t="n"/>
      <c r="Z152" s="1568" t="n"/>
      <c r="AA152" s="1568" t="n"/>
      <c r="AB152" s="1568" t="n"/>
      <c r="AC152" s="1568" t="n"/>
      <c r="AD152" s="1568" t="n"/>
      <c r="AE152" s="1568" t="n"/>
      <c r="AF152" s="1568" t="n"/>
    </row>
    <row r="153" ht="12.75" customHeight="1" s="1232">
      <c r="B153" s="1230" t="inlineStr">
        <is>
          <t>johyg@hotmail.co.uk</t>
        </is>
      </c>
      <c r="C153" s="118" t="inlineStr">
        <is>
          <t>Joanne</t>
        </is>
      </c>
      <c r="D153" s="118" t="inlineStr">
        <is>
          <t>Bestwick</t>
        </is>
      </c>
      <c r="E153" s="1568" t="inlineStr">
        <is>
          <t>phone</t>
        </is>
      </c>
      <c r="F153" s="1596" t="n">
        <v>41632</v>
      </c>
      <c r="G153" s="1559" t="n"/>
      <c r="H153" s="1559" t="n">
        <v>120</v>
      </c>
      <c r="I153" s="1590" t="inlineStr">
        <is>
          <t>Pick N Mix</t>
        </is>
      </c>
      <c r="J153" s="1603" t="inlineStr">
        <is>
          <t>End Dec 14</t>
        </is>
      </c>
      <c r="K153" s="1601" t="n"/>
      <c r="L153" s="1566" t="n"/>
      <c r="M153" s="1566" t="n"/>
      <c r="N153" s="1566" t="n"/>
      <c r="O153" s="1566" t="n"/>
      <c r="P153" s="1566" t="n"/>
      <c r="Q153" s="1566" t="n"/>
      <c r="R153" s="1566" t="n"/>
      <c r="S153" s="1566" t="n"/>
      <c r="T153" s="1566" t="n"/>
      <c r="U153" s="1566" t="n"/>
      <c r="V153" s="1566" t="n"/>
      <c r="W153" s="1566" t="n"/>
      <c r="X153" s="1568" t="n"/>
      <c r="Y153" s="88" t="n"/>
      <c r="Z153" s="1568" t="n"/>
      <c r="AA153" s="1568" t="n"/>
      <c r="AB153" s="1568" t="n"/>
      <c r="AC153" s="1568" t="n"/>
      <c r="AD153" s="1568" t="n"/>
      <c r="AE153" s="1568" t="n"/>
      <c r="AF153" s="1568" t="n"/>
    </row>
    <row r="154" ht="12.75" customHeight="1" s="1232">
      <c r="A154" s="134" t="inlineStr">
        <is>
          <t>Monthly Subscribers</t>
        </is>
      </c>
      <c r="B154" s="1230" t="n"/>
      <c r="C154" s="134" t="n"/>
      <c r="D154" s="134" t="n"/>
      <c r="E154" s="1568" t="n"/>
      <c r="F154" s="1606" t="n"/>
      <c r="G154" s="142">
        <f>COUNTIF(G59:G146,"&lt;125")</f>
        <v/>
      </c>
      <c r="H154" s="142">
        <f>COUNTIF(H59:H146,"&gt;1")</f>
        <v/>
      </c>
      <c r="I154" s="1607" t="n"/>
      <c r="J154" s="1591" t="n"/>
      <c r="K154" s="1566" t="n"/>
      <c r="L154" s="1566" t="n"/>
      <c r="M154" s="1566" t="n"/>
      <c r="N154" s="1566" t="n"/>
      <c r="O154" s="1566" t="n"/>
      <c r="P154" s="1566" t="n"/>
      <c r="Q154" s="1566" t="n"/>
      <c r="R154" s="1566" t="n"/>
      <c r="S154" s="1566" t="n"/>
      <c r="T154" s="1566" t="n"/>
      <c r="U154" s="1566" t="n"/>
      <c r="V154" s="1566" t="n"/>
      <c r="W154" s="1566" t="n"/>
      <c r="X154" s="1568" t="n"/>
      <c r="Y154" s="88" t="n"/>
      <c r="Z154" s="1568" t="n"/>
      <c r="AA154" s="1568" t="n"/>
      <c r="AB154" s="1568" t="n"/>
      <c r="AC154" s="1568" t="n"/>
      <c r="AD154" s="1568" t="n"/>
      <c r="AE154" s="1568" t="n"/>
      <c r="AF154" s="1568" t="n"/>
    </row>
    <row r="155" ht="12.75" customHeight="1" s="1232">
      <c r="A155" s="134" t="inlineStr">
        <is>
          <t>Per Month</t>
        </is>
      </c>
      <c r="B155" s="1230" t="n"/>
      <c r="C155" s="134" t="n"/>
      <c r="D155" s="134" t="n"/>
      <c r="E155" s="1568" t="n"/>
      <c r="F155" s="1606" t="n">
        <v>12.5</v>
      </c>
      <c r="G155" s="1608">
        <f>G154*F155</f>
        <v/>
      </c>
      <c r="H155" s="1608">
        <f>H154*G155</f>
        <v/>
      </c>
      <c r="I155" s="1607" t="n"/>
      <c r="J155" s="1591" t="n"/>
      <c r="K155" s="1566" t="n"/>
      <c r="L155" s="1566" t="n"/>
      <c r="M155" s="1566" t="n"/>
      <c r="N155" s="1566" t="n"/>
      <c r="O155" s="1566" t="n"/>
      <c r="P155" s="1566" t="n"/>
      <c r="Q155" s="1566" t="n"/>
      <c r="R155" s="1566" t="n"/>
      <c r="S155" s="1566" t="n"/>
      <c r="T155" s="1566" t="n"/>
      <c r="U155" s="1566" t="n"/>
      <c r="V155" s="1566" t="n"/>
      <c r="W155" s="1566" t="n"/>
      <c r="X155" s="1568" t="n"/>
      <c r="Y155" s="88" t="n"/>
      <c r="Z155" s="1568" t="n"/>
      <c r="AA155" s="1568" t="n"/>
      <c r="AB155" s="1568" t="n"/>
      <c r="AC155" s="1568" t="n"/>
      <c r="AD155" s="1568" t="n"/>
      <c r="AE155" s="1568" t="n"/>
      <c r="AF155" s="1568" t="n"/>
    </row>
    <row r="156" ht="12.75" customHeight="1" s="1232">
      <c r="A156" s="134" t="n"/>
      <c r="B156" s="80" t="n"/>
      <c r="C156" s="138" t="inlineStr">
        <is>
          <t xml:space="preserve">Simona </t>
        </is>
      </c>
      <c r="D156" s="138" t="inlineStr">
        <is>
          <t>Carena</t>
        </is>
      </c>
      <c r="F156" s="1552" t="n">
        <v>42354</v>
      </c>
      <c r="G156" s="1230" t="inlineStr">
        <is>
          <t>PicknMix</t>
        </is>
      </c>
      <c r="H156" s="1559" t="n">
        <v>216</v>
      </c>
      <c r="I156" s="1569" t="inlineStr">
        <is>
          <t>Pick N Mix</t>
        </is>
      </c>
      <c r="J156" s="1540" t="inlineStr">
        <is>
          <t>Feb 2016 - jan 2017</t>
        </is>
      </c>
      <c r="N156" s="1566" t="n"/>
      <c r="O156" s="1566" t="n"/>
      <c r="P156" s="1566" t="n"/>
      <c r="Q156" s="1566" t="n"/>
      <c r="R156" s="1566" t="n"/>
      <c r="S156" s="1566" t="n"/>
      <c r="T156" s="1566" t="n"/>
      <c r="U156" s="1566" t="n"/>
      <c r="V156" s="1566" t="n"/>
      <c r="W156" s="1566" t="n"/>
      <c r="X156" s="1568" t="n"/>
      <c r="Y156" s="88" t="n"/>
      <c r="Z156" s="1568" t="n"/>
      <c r="AA156" s="1568" t="n"/>
      <c r="AB156" s="1568" t="n"/>
      <c r="AC156" s="1568" t="n"/>
      <c r="AD156" s="1568" t="n"/>
      <c r="AE156" s="1568" t="n"/>
      <c r="AF156" s="1568" t="n"/>
    </row>
    <row r="157" ht="12.75" customHeight="1" s="1232">
      <c r="A157" s="134" t="n"/>
      <c r="B157" s="80" t="n"/>
      <c r="C157" s="138" t="inlineStr">
        <is>
          <t>Ann</t>
        </is>
      </c>
      <c r="D157" s="138" t="inlineStr">
        <is>
          <t>Gribble</t>
        </is>
      </c>
      <c r="E157" s="1609" t="inlineStr">
        <is>
          <t>07765163209</t>
        </is>
      </c>
      <c r="F157" s="1552" t="n">
        <v>42365</v>
      </c>
      <c r="H157" s="1559" t="n">
        <v>200</v>
      </c>
      <c r="I157" s="1569" t="inlineStr">
        <is>
          <t>annual</t>
        </is>
      </c>
      <c r="J157" s="1540" t="inlineStr">
        <is>
          <t>Jan 2016 to Dec 2016</t>
        </is>
      </c>
      <c r="N157" s="1566" t="n"/>
      <c r="O157" s="1566" t="n"/>
      <c r="P157" s="1566" t="n"/>
      <c r="Q157" s="1566" t="n"/>
      <c r="R157" s="1566" t="n"/>
      <c r="S157" s="1566" t="n"/>
      <c r="T157" s="1566" t="n"/>
      <c r="U157" s="1566" t="n"/>
      <c r="V157" s="1566" t="n"/>
      <c r="W157" s="1566" t="n"/>
      <c r="X157" s="1568" t="n"/>
      <c r="Y157" s="88" t="n"/>
      <c r="Z157" s="1568" t="n"/>
      <c r="AA157" s="1568" t="n"/>
      <c r="AB157" s="1568" t="n"/>
      <c r="AC157" s="1568" t="n"/>
      <c r="AD157" s="1568" t="n"/>
      <c r="AE157" s="1568" t="n"/>
      <c r="AF157" s="1568" t="n"/>
    </row>
    <row r="158" ht="12.75" customHeight="1" s="1232">
      <c r="A158" s="134" t="n"/>
      <c r="B158" s="1230" t="n"/>
      <c r="C158" s="1260" t="inlineStr">
        <is>
          <t>Maxine</t>
        </is>
      </c>
      <c r="D158" s="1260" t="inlineStr">
        <is>
          <t>Watts</t>
        </is>
      </c>
      <c r="F158" s="1552" t="n">
        <v>42384</v>
      </c>
      <c r="G158" s="1230" t="inlineStr">
        <is>
          <t>PicknMix</t>
        </is>
      </c>
      <c r="H158" s="1559" t="n">
        <v>216</v>
      </c>
      <c r="I158" s="1569" t="inlineStr">
        <is>
          <t>Pick N Mix</t>
        </is>
      </c>
      <c r="J158" s="1540" t="inlineStr">
        <is>
          <t>Feb 2016 to Jan 2017</t>
        </is>
      </c>
      <c r="R158" s="1566" t="n"/>
      <c r="S158" s="1566" t="n"/>
      <c r="T158" s="1566" t="n"/>
      <c r="U158" s="1566" t="n"/>
      <c r="V158" s="1566" t="n"/>
      <c r="W158" s="1566" t="n"/>
      <c r="X158" s="1568" t="n"/>
      <c r="Y158" s="88" t="n"/>
      <c r="Z158" s="1568" t="n"/>
      <c r="AA158" s="1568" t="n"/>
      <c r="AB158" s="1568" t="n"/>
      <c r="AC158" s="1568" t="n"/>
      <c r="AD158" s="1568" t="n"/>
      <c r="AE158" s="1568" t="n"/>
      <c r="AF158" s="1568" t="n"/>
    </row>
    <row r="159" ht="12.75" customHeight="1" s="1232">
      <c r="C159" s="78" t="n"/>
      <c r="D159" s="138" t="inlineStr">
        <is>
          <t>Jane</t>
        </is>
      </c>
      <c r="E159" s="138" t="inlineStr">
        <is>
          <t>Lambert</t>
        </is>
      </c>
      <c r="F159" s="1488" t="inlineStr">
        <is>
          <t>6 month offer/verbal</t>
        </is>
      </c>
      <c r="G159" s="1552" t="n">
        <v>42108</v>
      </c>
      <c r="H159" s="1488" t="n"/>
      <c r="I159" s="1559" t="n">
        <v>200</v>
      </c>
      <c r="J159" s="1569" t="inlineStr">
        <is>
          <t>annual</t>
        </is>
      </c>
      <c r="K159" s="1556" t="inlineStr">
        <is>
          <t>End Mar 16</t>
        </is>
      </c>
      <c r="P159" s="1573" t="n"/>
      <c r="Q159" s="1573" t="n"/>
      <c r="R159" s="1573" t="n"/>
      <c r="S159" s="1573" t="n"/>
      <c r="T159" s="1573" t="n"/>
      <c r="U159" s="1573" t="n"/>
      <c r="V159" s="1573" t="n"/>
      <c r="W159" s="1573" t="n"/>
      <c r="X159" s="1573" t="n"/>
      <c r="Y159" s="1550" t="n"/>
      <c r="Z159" s="1581" t="inlineStr">
        <is>
          <t>07835301502</t>
        </is>
      </c>
      <c r="AA159" s="1548" t="n"/>
      <c r="AB159" s="1548" t="n"/>
      <c r="AC159" s="1548" t="n"/>
      <c r="AD159" s="1548" t="n"/>
      <c r="AE159" s="1548" t="n"/>
      <c r="AF159" s="1548" t="n"/>
    </row>
    <row r="160" ht="12.75" customHeight="1" s="1232">
      <c r="A160" s="134" t="n"/>
      <c r="B160" s="1501" t="inlineStr">
        <is>
          <t>ian_stuart491999@yahoo.com</t>
        </is>
      </c>
      <c r="C160" s="1558" t="inlineStr">
        <is>
          <t>Ian</t>
        </is>
      </c>
      <c r="D160" s="1558" t="inlineStr">
        <is>
          <t>Stuart</t>
        </is>
      </c>
      <c r="F160" s="1552" t="n">
        <v>42257</v>
      </c>
      <c r="G160" s="1488" t="n">
        <v>20</v>
      </c>
      <c r="H160" s="1230" t="n">
        <v>0</v>
      </c>
      <c r="I160" s="1569" t="inlineStr">
        <is>
          <t>monthly</t>
        </is>
      </c>
      <c r="J160" s="1572" t="n">
        <v>42262</v>
      </c>
      <c r="T160" s="1573" t="n"/>
      <c r="X160" s="1551" t="inlineStr">
        <is>
          <t>52</t>
        </is>
      </c>
      <c r="Y160" s="129" t="inlineStr">
        <is>
          <t>07909160947</t>
        </is>
      </c>
      <c r="Z160" s="1230" t="inlineStr">
        <is>
          <t>NW67QP</t>
        </is>
      </c>
      <c r="AA160" s="1230" t="inlineStr">
        <is>
          <t>Flat C, 35 Christchurch Avenue</t>
        </is>
      </c>
    </row>
    <row r="161" ht="12.75" customHeight="1" s="1232">
      <c r="A161" s="77" t="inlineStr">
        <is>
          <t>Ended</t>
        </is>
      </c>
      <c r="B161" s="1230" t="inlineStr">
        <is>
          <t xml:space="preserve"> jd@highsky.demon.co.uk </t>
        </is>
      </c>
      <c r="C161" s="118">
        <f>#REF!</f>
        <v/>
      </c>
      <c r="D161" s="118">
        <f>#REF!</f>
        <v/>
      </c>
      <c r="F161" s="1596" t="n">
        <v>41848</v>
      </c>
      <c r="G161" s="1488" t="n"/>
      <c r="H161" s="1488" t="n">
        <v>170</v>
      </c>
      <c r="I161" s="1590" t="inlineStr">
        <is>
          <t>Pick N Mix</t>
        </is>
      </c>
      <c r="J161" s="1591" t="n">
        <v>41848</v>
      </c>
      <c r="K161" s="1566" t="n"/>
      <c r="L161" s="1566" t="n"/>
      <c r="M161" s="1566" t="n"/>
      <c r="N161" s="1566" t="n"/>
      <c r="O161" s="1566" t="n"/>
      <c r="P161" s="1566" t="n"/>
      <c r="Q161" s="1566" t="n"/>
      <c r="R161" s="1566" t="n"/>
      <c r="S161" s="1566" t="n"/>
      <c r="T161" s="1566" t="n"/>
      <c r="U161" s="1566" t="n"/>
      <c r="V161" s="1566" t="n"/>
      <c r="W161" s="1566" t="n"/>
      <c r="X161" s="1488" t="n">
        <v>68</v>
      </c>
      <c r="Y161" s="128" t="inlineStr">
        <is>
          <t xml:space="preserve"> 01564770040 </t>
        </is>
      </c>
      <c r="Z161" s="1488" t="inlineStr">
        <is>
          <t xml:space="preserve"> B93 9BT </t>
        </is>
      </c>
      <c r="AA161" s="1488" t="inlineStr">
        <is>
          <t xml:space="preserve"> 14 Bullivents Close|Bentley Heath|SOLIHULL, West Mids||UK </t>
        </is>
      </c>
      <c r="AB161" s="1488" t="n"/>
      <c r="AC161" s="1488" t="n"/>
      <c r="AD161" s="1488" t="n"/>
      <c r="AE161" s="1488" t="n"/>
      <c r="AF161" s="1488" t="n"/>
    </row>
    <row r="162" ht="12.75" customHeight="1" s="1232">
      <c r="A162" s="77" t="inlineStr">
        <is>
          <t>Ended</t>
        </is>
      </c>
      <c r="B162" s="1230" t="n"/>
      <c r="E162" s="1568" t="n"/>
      <c r="F162" s="1568" t="n"/>
      <c r="G162" s="1607" t="n"/>
      <c r="H162" s="1607" t="n"/>
      <c r="I162" s="1607" t="n"/>
      <c r="J162" s="1610" t="n"/>
      <c r="K162" s="1568" t="n"/>
      <c r="L162" s="1568" t="n"/>
      <c r="M162" s="1568" t="n"/>
      <c r="N162" s="1568" t="n"/>
      <c r="O162" s="1568" t="n"/>
      <c r="P162" s="1568" t="n"/>
      <c r="Q162" s="1568" t="n"/>
      <c r="R162" s="1568" t="n"/>
      <c r="S162" s="1568" t="n"/>
      <c r="T162" s="1568" t="n"/>
      <c r="U162" s="1568" t="n"/>
      <c r="V162" s="1568" t="n"/>
      <c r="W162" s="1568" t="n"/>
      <c r="X162" s="1568" t="n"/>
      <c r="Y162" s="88" t="n"/>
      <c r="Z162" s="1568" t="n"/>
      <c r="AA162" s="1568" t="n"/>
      <c r="AB162" s="1568" t="n"/>
      <c r="AC162" s="1568" t="n"/>
      <c r="AD162" s="1568" t="n"/>
      <c r="AE162" s="1568" t="n"/>
      <c r="AF162" s="1568" t="n"/>
    </row>
    <row r="163" ht="12.75" customHeight="1" s="1232">
      <c r="A163" s="77" t="n">
        <v>16</v>
      </c>
      <c r="B163" s="1230" t="inlineStr">
        <is>
          <t>janeybee47@hotmail.co.uk</t>
        </is>
      </c>
      <c r="E163" s="1230" t="inlineStr">
        <is>
          <t>written</t>
        </is>
      </c>
      <c r="F163" s="1592" t="n">
        <v>41701</v>
      </c>
      <c r="G163" s="1607" t="n">
        <v>15</v>
      </c>
      <c r="H163" s="1607" t="n"/>
      <c r="I163" s="1590" t="inlineStr">
        <is>
          <t>monthly</t>
        </is>
      </c>
      <c r="J163" s="1591" t="n">
        <v>41713</v>
      </c>
      <c r="K163" s="1566" t="n"/>
      <c r="L163" s="1566" t="n"/>
      <c r="M163" s="1566" t="n"/>
      <c r="N163" s="1566" t="n"/>
      <c r="O163" s="1566" t="n"/>
      <c r="P163" s="1566" t="n"/>
      <c r="Q163" s="1566" t="n"/>
      <c r="R163" s="1566" t="n"/>
      <c r="S163" s="1566" t="n"/>
      <c r="T163" s="1566" t="n"/>
      <c r="U163" s="1566" t="n"/>
      <c r="V163" s="1566" t="n"/>
      <c r="W163" s="1566" t="n"/>
      <c r="X163" s="1230" t="inlineStr">
        <is>
          <t>67</t>
        </is>
      </c>
      <c r="Y163" s="1230" t="inlineStr">
        <is>
          <t>07813755298</t>
        </is>
      </c>
      <c r="Z163" s="1230" t="inlineStr">
        <is>
          <t>GL207RP</t>
        </is>
      </c>
      <c r="AA163" s="1230" t="inlineStr">
        <is>
          <t>9 Cambrian Road</t>
        </is>
      </c>
    </row>
    <row r="164" ht="12.75" customHeight="1" s="1232">
      <c r="A164" s="119" t="n">
        <v>3</v>
      </c>
      <c r="B164" s="1230" t="n"/>
      <c r="C164" s="119" t="n"/>
      <c r="D164" s="119" t="n"/>
      <c r="F164" s="1592" t="n">
        <v>41549</v>
      </c>
      <c r="G164" s="1590" t="n">
        <v>12.5</v>
      </c>
      <c r="H164" s="1590" t="n"/>
      <c r="I164" s="1590" t="inlineStr">
        <is>
          <t>monthly</t>
        </is>
      </c>
      <c r="J164" s="1597" t="n">
        <v>41549</v>
      </c>
      <c r="K164" s="1580" t="n"/>
      <c r="L164" s="1580" t="n"/>
      <c r="M164" s="1580" t="n"/>
      <c r="N164" s="1580" t="n"/>
      <c r="O164" s="1580" t="n"/>
      <c r="P164" s="1580" t="n"/>
      <c r="Q164" s="1580" t="n"/>
      <c r="R164" s="1580" t="n"/>
      <c r="S164" s="1580" t="n"/>
      <c r="T164" s="1580" t="n"/>
      <c r="U164" s="1580" t="n"/>
      <c r="V164" s="1580" t="n"/>
      <c r="W164" s="1580" t="n"/>
      <c r="X164" s="1230" t="inlineStr">
        <is>
          <t>51</t>
        </is>
      </c>
      <c r="Y164" s="1230" t="inlineStr">
        <is>
          <t>07803335312</t>
        </is>
      </c>
      <c r="Z164" s="1230" t="inlineStr">
        <is>
          <t>CV35 7SU</t>
        </is>
      </c>
      <c r="AA164" s="1230" t="inlineStr">
        <is>
          <t>12 Blackwell Lane</t>
        </is>
      </c>
    </row>
    <row r="165" ht="12.75" customHeight="1" s="1232">
      <c r="A165" s="119" t="n">
        <v>6</v>
      </c>
      <c r="B165" s="1238" t="n"/>
      <c r="C165" s="119" t="n"/>
      <c r="D165" s="119" t="n"/>
      <c r="F165" s="99" t="n">
        <v>41578</v>
      </c>
      <c r="G165" s="1611" t="n">
        <v>12.5</v>
      </c>
      <c r="H165" s="1590" t="n"/>
      <c r="I165" s="1590" t="inlineStr">
        <is>
          <t>monthly</t>
        </is>
      </c>
      <c r="J165" s="1597" t="n">
        <v>41579</v>
      </c>
      <c r="K165" s="1580" t="n"/>
      <c r="L165" s="1580" t="n"/>
      <c r="M165" s="1580" t="n"/>
      <c r="N165" s="1580" t="n"/>
      <c r="O165" s="1580" t="n"/>
      <c r="P165" s="1580" t="n"/>
      <c r="Q165" s="1580" t="n"/>
      <c r="R165" s="1580" t="n"/>
      <c r="S165" s="1580" t="n"/>
      <c r="T165" s="1580" t="n"/>
      <c r="U165" s="1580" t="n"/>
      <c r="V165" s="1580" t="n"/>
      <c r="W165" s="1580" t="n"/>
      <c r="X165" s="1238" t="inlineStr">
        <is>
          <t>44</t>
        </is>
      </c>
      <c r="Y165" s="1230" t="inlineStr">
        <is>
          <t>07799622651</t>
        </is>
      </c>
      <c r="Z165" s="1230" t="inlineStr">
        <is>
          <t>CV10 0BS</t>
        </is>
      </c>
      <c r="AA165" s="1230" t="inlineStr">
        <is>
          <t>19 Ventnor Street</t>
        </is>
      </c>
    </row>
    <row r="166" ht="12.75" customHeight="1" s="1232">
      <c r="B166" s="1594" t="inlineStr">
        <is>
          <t>pr@patrickrobiquet.com</t>
        </is>
      </c>
      <c r="F166" s="99" t="n">
        <v>41609</v>
      </c>
      <c r="G166" s="1590" t="n">
        <v>12.5</v>
      </c>
      <c r="H166" s="1590" t="n">
        <v>0</v>
      </c>
      <c r="I166" s="1590" t="inlineStr">
        <is>
          <t>monthly</t>
        </is>
      </c>
      <c r="J166" s="1597" t="n">
        <v>41609</v>
      </c>
      <c r="K166" s="1580" t="n"/>
      <c r="L166" s="1580" t="n"/>
      <c r="M166" s="1580" t="n"/>
      <c r="N166" s="1580" t="n"/>
      <c r="O166" s="1580" t="n"/>
      <c r="P166" s="1580" t="n"/>
      <c r="Q166" s="1580" t="n"/>
      <c r="R166" s="1580" t="n"/>
      <c r="S166" s="1580" t="n"/>
      <c r="T166" s="1580" t="n"/>
      <c r="U166" s="1580" t="n"/>
      <c r="V166" s="1580" t="n"/>
      <c r="W166" s="1580" t="n"/>
      <c r="Y166" s="1230" t="n"/>
    </row>
    <row r="167" ht="14.65" customHeight="1" s="1232">
      <c r="B167" s="1230" t="inlineStr">
        <is>
          <t>Sheetal_sirpal@hotmail.com</t>
        </is>
      </c>
      <c r="F167" s="1592" t="n">
        <v>41655</v>
      </c>
      <c r="G167" s="1607" t="n">
        <v>15</v>
      </c>
      <c r="H167" s="1607" t="n"/>
      <c r="I167" s="1590" t="inlineStr">
        <is>
          <t>monthly</t>
        </is>
      </c>
      <c r="J167" s="1540" t="inlineStr">
        <is>
          <t>16/01/2014</t>
        </is>
      </c>
      <c r="X167" s="1230" t="inlineStr">
        <is>
          <t>38</t>
        </is>
      </c>
      <c r="Y167" s="1230" t="inlineStr">
        <is>
          <t>07930331419</t>
        </is>
      </c>
      <c r="Z167" s="1230" t="inlineStr">
        <is>
          <t>B91 1sj</t>
        </is>
      </c>
      <c r="AA167" s="1230" t="inlineStr">
        <is>
          <t>3 whitehouse green</t>
        </is>
      </c>
    </row>
    <row r="168" ht="14.65" customHeight="1" s="1232">
      <c r="A168" s="119" t="n">
        <v>21</v>
      </c>
      <c r="B168" s="1230" t="inlineStr">
        <is>
          <t>Paul.walder@blueyonder.co.uk</t>
        </is>
      </c>
      <c r="C168" s="119" t="n"/>
      <c r="D168" s="119" t="n"/>
      <c r="F168" s="1592" t="n">
        <v>41702</v>
      </c>
      <c r="G168" s="1607" t="n">
        <v>15</v>
      </c>
      <c r="H168" s="1607" t="n"/>
      <c r="I168" s="1590" t="inlineStr">
        <is>
          <t>monthly</t>
        </is>
      </c>
      <c r="J168" s="1591" t="n">
        <v>41713</v>
      </c>
      <c r="K168" s="1566" t="n"/>
      <c r="L168" s="1566" t="n"/>
      <c r="M168" s="1566" t="n"/>
      <c r="N168" s="1566" t="n"/>
      <c r="O168" s="1566" t="n"/>
      <c r="P168" s="1566" t="n"/>
      <c r="Q168" s="1566" t="n"/>
      <c r="R168" s="1566" t="n"/>
      <c r="S168" s="1566" t="n"/>
      <c r="T168" s="1566" t="n"/>
      <c r="U168" s="1566" t="n"/>
      <c r="V168" s="1566" t="n"/>
      <c r="W168" s="1566" t="n"/>
      <c r="X168" s="1230" t="inlineStr">
        <is>
          <t>45</t>
        </is>
      </c>
      <c r="Y168" s="1230" t="inlineStr">
        <is>
          <t>07722796909</t>
        </is>
      </c>
      <c r="Z168" s="1230" t="inlineStr">
        <is>
          <t>Tf3 1ee</t>
        </is>
      </c>
      <c r="AA168" s="1230" t="inlineStr">
        <is>
          <t>61</t>
        </is>
      </c>
    </row>
    <row r="169" ht="14.65" customHeight="1" s="1232">
      <c r="B169" s="1612" t="inlineStr">
        <is>
          <t>Georgina.catalinotto@googlemail.com</t>
        </is>
      </c>
      <c r="E169" s="1568" t="n"/>
      <c r="F169" s="1592" t="n">
        <v>41602</v>
      </c>
      <c r="G169" s="1590" t="n"/>
      <c r="H169" s="1590" t="n">
        <v>0</v>
      </c>
      <c r="I169" s="1590" t="n"/>
      <c r="J169" s="1591" t="n"/>
      <c r="K169" s="1566" t="n"/>
      <c r="L169" s="1566" t="n"/>
      <c r="M169" s="1566" t="n"/>
      <c r="N169" s="1566" t="n"/>
      <c r="O169" s="1566" t="n"/>
      <c r="P169" s="1566" t="n"/>
      <c r="Q169" s="1566" t="n"/>
      <c r="R169" s="1566" t="n"/>
      <c r="S169" s="1566" t="n"/>
      <c r="T169" s="1566" t="n"/>
      <c r="U169" s="1566" t="n"/>
      <c r="V169" s="1566" t="n"/>
      <c r="W169" s="1566" t="n"/>
      <c r="X169" s="1551" t="inlineStr">
        <is>
          <t>32</t>
        </is>
      </c>
      <c r="Y169" s="1230" t="inlineStr">
        <is>
          <t>07793079110</t>
        </is>
      </c>
      <c r="Z169" s="1230" t="inlineStr">
        <is>
          <t>B90 1TZ</t>
        </is>
      </c>
      <c r="AA169" s="1230" t="inlineStr">
        <is>
          <t>115 Ascote Lane</t>
        </is>
      </c>
    </row>
    <row r="170" ht="14.65" customHeight="1" s="1232">
      <c r="B170" s="1230" t="inlineStr">
        <is>
          <t>idi1979@hotmail.co.uk</t>
        </is>
      </c>
      <c r="F170" s="1592" t="n">
        <v>41654</v>
      </c>
      <c r="G170" s="1607" t="n">
        <v>12.5</v>
      </c>
      <c r="H170" s="1607" t="n"/>
      <c r="I170" s="1607" t="n"/>
      <c r="J170" s="1540" t="inlineStr">
        <is>
          <t>15/01/2014</t>
        </is>
      </c>
      <c r="X170" s="1230" t="inlineStr">
        <is>
          <t>34</t>
        </is>
      </c>
      <c r="Y170" s="1230" t="inlineStr">
        <is>
          <t>07510146259</t>
        </is>
      </c>
      <c r="Z170" s="1230" t="inlineStr">
        <is>
          <t>le9 6ph</t>
        </is>
      </c>
      <c r="AA170" s="1230" t="inlineStr">
        <is>
          <t>58</t>
        </is>
      </c>
    </row>
    <row r="171" ht="14.65" customHeight="1" s="1232">
      <c r="A171" s="119" t="n">
        <v>6</v>
      </c>
      <c r="B171" s="1613" t="inlineStr">
        <is>
          <t>t.starkey@btconnect.com</t>
        </is>
      </c>
      <c r="C171" s="119" t="n"/>
      <c r="D171" s="119" t="n"/>
      <c r="F171" s="99" t="n">
        <v>41588</v>
      </c>
      <c r="G171" s="1590" t="n">
        <v>12.5</v>
      </c>
      <c r="H171" s="1590" t="n">
        <v>0</v>
      </c>
      <c r="I171" s="1590" t="inlineStr">
        <is>
          <t>monthly</t>
        </is>
      </c>
      <c r="J171" s="1597" t="n">
        <v>41588</v>
      </c>
      <c r="K171" s="1580" t="n"/>
      <c r="L171" s="1580" t="n"/>
      <c r="M171" s="1580" t="n"/>
      <c r="N171" s="1580" t="n"/>
      <c r="O171" s="1580" t="n"/>
      <c r="P171" s="1580" t="n"/>
      <c r="Q171" s="1580" t="n"/>
      <c r="R171" s="1580" t="n"/>
      <c r="S171" s="1580" t="n"/>
      <c r="T171" s="1580" t="n"/>
      <c r="U171" s="1580" t="n"/>
      <c r="V171" s="1580" t="n"/>
      <c r="W171" s="1580" t="n"/>
      <c r="X171" s="1613" t="inlineStr">
        <is>
          <t>51</t>
        </is>
      </c>
      <c r="Y171" s="1613" t="inlineStr">
        <is>
          <t>07740 840635</t>
        </is>
      </c>
      <c r="Z171" s="1230" t="inlineStr">
        <is>
          <t>B79 0LL</t>
        </is>
      </c>
      <c r="AA171" s="1230" t="inlineStr">
        <is>
          <t>Gelbe House, Thorpe Constantine</t>
        </is>
      </c>
    </row>
    <row r="172" ht="14.65" customHeight="1" s="1232">
      <c r="A172" s="119" t="n">
        <v>16</v>
      </c>
      <c r="B172" s="1230" t="inlineStr">
        <is>
          <t>elainejhall@hotmail.com</t>
        </is>
      </c>
      <c r="C172" s="119" t="n"/>
      <c r="D172" s="119" t="n"/>
      <c r="F172" s="1592" t="n">
        <v>41699</v>
      </c>
      <c r="G172" s="1607" t="n">
        <v>15</v>
      </c>
      <c r="H172" s="1607" t="n"/>
      <c r="I172" s="1590" t="inlineStr">
        <is>
          <t>monthly</t>
        </is>
      </c>
      <c r="J172" s="1591" t="n">
        <v>41713</v>
      </c>
      <c r="K172" s="1566" t="n"/>
      <c r="L172" s="1566" t="n"/>
      <c r="M172" s="1566" t="n"/>
      <c r="N172" s="1566" t="n"/>
      <c r="O172" s="1566" t="n"/>
      <c r="P172" s="1566" t="n"/>
      <c r="Q172" s="1566" t="n"/>
      <c r="R172" s="1566" t="n"/>
      <c r="S172" s="1566" t="n"/>
      <c r="T172" s="1566" t="n"/>
      <c r="U172" s="1566" t="n"/>
      <c r="V172" s="1566" t="n"/>
      <c r="W172" s="1566" t="n"/>
      <c r="X172" s="1230" t="inlineStr">
        <is>
          <t>43</t>
        </is>
      </c>
      <c r="Y172" s="1230" t="inlineStr">
        <is>
          <t>07771 684084</t>
        </is>
      </c>
      <c r="Z172" s="1230" t="inlineStr">
        <is>
          <t>B47 6HG</t>
        </is>
      </c>
      <c r="AA172" s="1230" t="inlineStr">
        <is>
          <t>35 Three Oaks Road</t>
        </is>
      </c>
    </row>
    <row r="173" ht="14.65" customHeight="1" s="1232">
      <c r="A173" s="119">
        <f>A57+1</f>
        <v/>
      </c>
      <c r="B173" s="1230" t="inlineStr">
        <is>
          <t>Joyceejames@me.com</t>
        </is>
      </c>
      <c r="C173" s="118" t="inlineStr">
        <is>
          <t>Joyce</t>
        </is>
      </c>
      <c r="D173" s="118" t="inlineStr">
        <is>
          <t>James</t>
        </is>
      </c>
      <c r="E173" s="1230" t="inlineStr">
        <is>
          <t>phone</t>
        </is>
      </c>
      <c r="F173" s="1596" t="n">
        <v>41549</v>
      </c>
      <c r="G173" s="1569" t="n"/>
      <c r="H173" s="1569" t="n">
        <v>105</v>
      </c>
      <c r="I173" s="1590" t="inlineStr">
        <is>
          <t>Pick N Mix</t>
        </is>
      </c>
      <c r="J173" s="1597" t="n">
        <v>41549</v>
      </c>
      <c r="K173" s="1580" t="n"/>
      <c r="L173" s="1580" t="n"/>
      <c r="M173" s="1580" t="n"/>
      <c r="N173" s="1580" t="n"/>
      <c r="O173" s="1580" t="n"/>
      <c r="P173" s="1580" t="n"/>
      <c r="Q173" s="1580" t="n"/>
      <c r="R173" s="1580" t="n"/>
      <c r="S173" s="1580" t="n"/>
      <c r="T173" s="1580" t="n"/>
      <c r="U173" s="1580" t="n"/>
      <c r="V173" s="1580" t="n"/>
      <c r="W173" s="1580" t="n"/>
      <c r="X173" s="1488" t="inlineStr">
        <is>
          <t>55</t>
        </is>
      </c>
      <c r="Y173" s="1488" t="inlineStr">
        <is>
          <t>07799641900</t>
        </is>
      </c>
      <c r="Z173" s="1488" t="inlineStr">
        <is>
          <t>CV21 4PH</t>
        </is>
      </c>
      <c r="AA173" s="1488" t="inlineStr">
        <is>
          <t>4 Archers Spinney</t>
        </is>
      </c>
      <c r="AB173" s="1488" t="n"/>
      <c r="AC173" s="1488" t="n"/>
      <c r="AD173" s="1488" t="n"/>
      <c r="AE173" s="1488" t="n"/>
      <c r="AF173" s="1488" t="n"/>
    </row>
    <row r="174" ht="13.5" customHeight="1" s="1232">
      <c r="B174" s="80" t="inlineStr">
        <is>
          <t>samc3019@gmail.com</t>
        </is>
      </c>
      <c r="C174" s="77" t="inlineStr">
        <is>
          <t>Sam</t>
        </is>
      </c>
      <c r="D174" s="77" t="inlineStr">
        <is>
          <t>Cook</t>
        </is>
      </c>
      <c r="F174" s="1552" t="n">
        <v>42885</v>
      </c>
      <c r="H174" s="1230" t="n">
        <v>20</v>
      </c>
      <c r="I174" s="1230" t="inlineStr">
        <is>
          <t>Monthly</t>
        </is>
      </c>
      <c r="J174" s="1540" t="inlineStr">
        <is>
          <t>From Jun 17</t>
        </is>
      </c>
    </row>
    <row r="175" ht="13.5" customHeight="1" s="1232">
      <c r="B175" s="80" t="inlineStr">
        <is>
          <t>annemarieandchris@btinternet.com</t>
        </is>
      </c>
      <c r="C175" s="77" t="inlineStr">
        <is>
          <t>Anne-Marie</t>
        </is>
      </c>
      <c r="D175" s="1230" t="inlineStr">
        <is>
          <t xml:space="preserve"> Scott</t>
        </is>
      </c>
      <c r="E175" s="1230" t="inlineStr">
        <is>
          <t xml:space="preserve">07714960039 </t>
        </is>
      </c>
      <c r="F175" s="1552" t="n">
        <v>42736</v>
      </c>
      <c r="H175" s="1230" t="n">
        <v>200</v>
      </c>
      <c r="I175" s="1230" t="inlineStr">
        <is>
          <t>Annual</t>
        </is>
      </c>
      <c r="J175" s="1540" t="inlineStr">
        <is>
          <t>March 2017 to Feb 2018</t>
        </is>
      </c>
    </row>
    <row r="176" ht="15.4" customHeight="1" s="1232">
      <c r="B176" s="80" t="inlineStr">
        <is>
          <t>a5h@gmx.com</t>
        </is>
      </c>
      <c r="C176" s="77" t="inlineStr">
        <is>
          <t>Anthony</t>
        </is>
      </c>
      <c r="D176" s="1230" t="inlineStr">
        <is>
          <t>Ashcroft</t>
        </is>
      </c>
      <c r="E176" s="1614" t="inlineStr">
        <is>
          <t>07966274421</t>
        </is>
      </c>
      <c r="F176" s="1552" t="n">
        <v>42853</v>
      </c>
      <c r="H176" s="1230" t="n">
        <v>20</v>
      </c>
      <c r="I176" s="1230" t="inlineStr">
        <is>
          <t>Monthly</t>
        </is>
      </c>
      <c r="J176" s="1540" t="inlineStr">
        <is>
          <t>From May-17</t>
        </is>
      </c>
    </row>
    <row r="177" ht="12.75" customHeight="1" s="1232">
      <c r="B177" s="1501" t="inlineStr">
        <is>
          <t>edwards_rm@hotmail.co.uk</t>
        </is>
      </c>
      <c r="C177" s="77" t="inlineStr">
        <is>
          <t xml:space="preserve">Robert </t>
        </is>
      </c>
      <c r="D177" s="77" t="inlineStr">
        <is>
          <t>Edwards</t>
        </is>
      </c>
      <c r="H177" s="1230" t="n">
        <v>204</v>
      </c>
      <c r="I177" s="1230" t="inlineStr">
        <is>
          <t>Annual</t>
        </is>
      </c>
      <c r="J177" s="1540" t="inlineStr">
        <is>
          <t>From Mar 17 to Feb 18</t>
        </is>
      </c>
    </row>
    <row r="178" ht="13.5" customHeight="1" s="1232">
      <c r="B178" s="544" t="inlineStr">
        <is>
          <t>dandmroberts@googlemail.com</t>
        </is>
      </c>
      <c r="C178" s="77" t="inlineStr">
        <is>
          <t>Diana</t>
        </is>
      </c>
      <c r="D178" s="1230" t="inlineStr">
        <is>
          <t>Roberts</t>
        </is>
      </c>
      <c r="E178" s="1551" t="inlineStr">
        <is>
          <t>07766632762</t>
        </is>
      </c>
      <c r="F178" s="1552" t="n">
        <v>43140</v>
      </c>
      <c r="H178" s="1230" t="n">
        <v>20</v>
      </c>
      <c r="I178" s="1230" t="inlineStr">
        <is>
          <t>Monthly</t>
        </is>
      </c>
      <c r="J178" s="1540" t="inlineStr">
        <is>
          <t>From Feb 18</t>
        </is>
      </c>
    </row>
    <row r="179" ht="13.5" customHeight="1" s="1232">
      <c r="B179" s="544" t="inlineStr">
        <is>
          <t>sarahmcgovern86@hotmail.com</t>
        </is>
      </c>
      <c r="C179" s="77" t="inlineStr">
        <is>
          <t>Sarah</t>
        </is>
      </c>
      <c r="D179" s="77" t="inlineStr">
        <is>
          <t xml:space="preserve">McGovern </t>
        </is>
      </c>
      <c r="E179" s="1551" t="inlineStr">
        <is>
          <t>07803349354</t>
        </is>
      </c>
      <c r="F179" s="1552" t="n">
        <v>43186</v>
      </c>
      <c r="H179" s="1230" t="n">
        <v>20</v>
      </c>
      <c r="I179" s="1230" t="inlineStr">
        <is>
          <t>Monthly</t>
        </is>
      </c>
      <c r="J179" s="1540" t="inlineStr">
        <is>
          <t>From Apr-18</t>
        </is>
      </c>
    </row>
    <row r="180" ht="13.5" customHeight="1" s="1232">
      <c r="B180" s="544" t="inlineStr">
        <is>
          <t>Philgnn@aol.com</t>
        </is>
      </c>
      <c r="C180" s="1230" t="inlineStr">
        <is>
          <t>Philippa</t>
        </is>
      </c>
      <c r="D180" s="1230" t="inlineStr">
        <is>
          <t>Gunn</t>
        </is>
      </c>
      <c r="E180" s="1551" t="inlineStr">
        <is>
          <t>07955569546</t>
        </is>
      </c>
      <c r="F180" s="1552" t="n">
        <v>43134</v>
      </c>
      <c r="H180" s="1230" t="n">
        <v>20</v>
      </c>
      <c r="I180" s="1230" t="inlineStr">
        <is>
          <t>Monthly</t>
        </is>
      </c>
      <c r="J180" s="1540" t="inlineStr">
        <is>
          <t>From Feb 18</t>
        </is>
      </c>
    </row>
    <row r="181" ht="13.5" customHeight="1" s="1232">
      <c r="B181" s="544" t="inlineStr">
        <is>
          <t>nick.decianti@gmail.com</t>
        </is>
      </c>
      <c r="C181" s="77" t="inlineStr">
        <is>
          <t xml:space="preserve">Nick </t>
        </is>
      </c>
      <c r="D181" s="77" t="inlineStr">
        <is>
          <t>DeCianti</t>
        </is>
      </c>
      <c r="E181" s="1551" t="inlineStr">
        <is>
          <t>07855326654</t>
        </is>
      </c>
      <c r="F181" s="1552" t="n">
        <v>43166</v>
      </c>
      <c r="H181" s="1230" t="n">
        <v>20</v>
      </c>
      <c r="I181" s="1230" t="inlineStr">
        <is>
          <t>Monthly</t>
        </is>
      </c>
      <c r="J181" s="1540" t="inlineStr">
        <is>
          <t>From Mar 18</t>
        </is>
      </c>
      <c r="X181" s="1230" t="inlineStr">
        <is>
          <t>Triptych</t>
        </is>
      </c>
      <c r="Y181" s="1230" t="inlineStr">
        <is>
          <t>Square Mile</t>
        </is>
      </c>
      <c r="Z181" s="1230" t="inlineStr">
        <is>
          <t>Spring</t>
        </is>
      </c>
      <c r="AA181" s="1230" t="inlineStr">
        <is>
          <t>Landscape</t>
        </is>
      </c>
      <c r="AB181" s="1230" t="inlineStr">
        <is>
          <t>Env Portrait</t>
        </is>
      </c>
    </row>
    <row r="182" ht="13.5" customHeight="1" s="1232">
      <c r="B182" s="1490" t="inlineStr">
        <is>
          <t>johnhayeshere@gmail.com</t>
        </is>
      </c>
      <c r="C182" s="1615" t="inlineStr">
        <is>
          <t>John</t>
        </is>
      </c>
      <c r="D182" s="1615" t="inlineStr">
        <is>
          <t>Hayes</t>
        </is>
      </c>
      <c r="E182" s="1616" t="inlineStr">
        <is>
          <t>07976736364</t>
        </is>
      </c>
      <c r="F182" s="1552" t="n">
        <v>43291</v>
      </c>
      <c r="H182" s="1230" t="n">
        <v>20</v>
      </c>
      <c r="I182" s="1230" t="inlineStr">
        <is>
          <t>Monthly</t>
        </is>
      </c>
      <c r="J182" s="1540" t="inlineStr">
        <is>
          <t>From July 18</t>
        </is>
      </c>
      <c r="Y182" s="1230" t="n"/>
      <c r="AB182" s="1230" t="inlineStr">
        <is>
          <t>Env Portrait</t>
        </is>
      </c>
      <c r="AC182" s="1230" t="inlineStr">
        <is>
          <t>Urban Spaces</t>
        </is>
      </c>
    </row>
    <row r="183" ht="13.5" customHeight="1" s="1232">
      <c r="B183" s="80" t="inlineStr">
        <is>
          <t>chrisparker1954@btinternet.com</t>
        </is>
      </c>
      <c r="C183" s="77" t="inlineStr">
        <is>
          <t>Chris</t>
        </is>
      </c>
      <c r="D183" s="77" t="inlineStr">
        <is>
          <t>Parker</t>
        </is>
      </c>
      <c r="F183" s="1552" t="n">
        <v>42786</v>
      </c>
      <c r="H183" s="1230" t="n">
        <v>20</v>
      </c>
      <c r="I183" s="1230" t="inlineStr">
        <is>
          <t>Monthly</t>
        </is>
      </c>
      <c r="J183" s="1540" t="inlineStr">
        <is>
          <t>From Feb -17</t>
        </is>
      </c>
      <c r="K183" s="1230" t="inlineStr">
        <is>
          <t>Env Portrait</t>
        </is>
      </c>
      <c r="L183" s="1230" t="inlineStr">
        <is>
          <t>Square Mile</t>
        </is>
      </c>
      <c r="M183" s="1230" t="inlineStr">
        <is>
          <t>Spring</t>
        </is>
      </c>
      <c r="N183" s="1230" t="inlineStr">
        <is>
          <t>Architecture</t>
        </is>
      </c>
      <c r="O183" s="1230" t="inlineStr">
        <is>
          <t>50mm</t>
        </is>
      </c>
      <c r="P183" s="1230" t="inlineStr">
        <is>
          <t>Movement</t>
        </is>
      </c>
      <c r="Q183" s="1230" t="inlineStr">
        <is>
          <t>Landscapes</t>
        </is>
      </c>
      <c r="R183" s="1230" t="inlineStr">
        <is>
          <t>Minimalism</t>
        </is>
      </c>
      <c r="S183" s="1230" t="inlineStr">
        <is>
          <t>Autumn</t>
        </is>
      </c>
      <c r="T183" s="1230" t="inlineStr">
        <is>
          <t>Reflections</t>
        </is>
      </c>
      <c r="U183" s="1230" t="inlineStr">
        <is>
          <t>Abstract</t>
        </is>
      </c>
      <c r="V183" s="1230" t="inlineStr">
        <is>
          <t>Still Life</t>
        </is>
      </c>
      <c r="W183" s="1230" t="inlineStr">
        <is>
          <t>B&amp;W</t>
        </is>
      </c>
      <c r="X183" s="1230" t="inlineStr">
        <is>
          <t>Triptych</t>
        </is>
      </c>
      <c r="Y183" s="1230" t="inlineStr">
        <is>
          <t>Square Mile</t>
        </is>
      </c>
      <c r="Z183" s="1230" t="inlineStr">
        <is>
          <t>Spring</t>
        </is>
      </c>
      <c r="AA183" s="1230" t="inlineStr">
        <is>
          <t>Landscape</t>
        </is>
      </c>
      <c r="AB183" s="1230" t="inlineStr">
        <is>
          <t>Env Portrait</t>
        </is>
      </c>
      <c r="AC183" s="1230" t="inlineStr">
        <is>
          <t>Urban Spaces</t>
        </is>
      </c>
      <c r="AD183" s="1230" t="inlineStr">
        <is>
          <t>Minimalism</t>
        </is>
      </c>
      <c r="AE183" s="1230" t="inlineStr">
        <is>
          <t>Autumn</t>
        </is>
      </c>
    </row>
    <row r="184" ht="13.5" customHeight="1" s="1232">
      <c r="B184" s="544" t="inlineStr">
        <is>
          <t>raylene4@hotmail.com</t>
        </is>
      </c>
      <c r="C184" s="77" t="inlineStr">
        <is>
          <t xml:space="preserve">Raylene </t>
        </is>
      </c>
      <c r="D184" s="77" t="inlineStr">
        <is>
          <t xml:space="preserve">O'Leary </t>
        </is>
      </c>
      <c r="F184" s="1552" t="n">
        <v>43361</v>
      </c>
      <c r="H184" s="1230" t="n">
        <v>20</v>
      </c>
      <c r="I184" s="1230" t="inlineStr">
        <is>
          <t>Monthly</t>
        </is>
      </c>
      <c r="J184" s="1540" t="inlineStr">
        <is>
          <t>From Sp-18</t>
        </is>
      </c>
      <c r="AD184" s="1230" t="inlineStr">
        <is>
          <t>Minimalism</t>
        </is>
      </c>
      <c r="AE184" s="1230" t="inlineStr">
        <is>
          <t>Autumn</t>
        </is>
      </c>
      <c r="AF184" s="1230" t="inlineStr">
        <is>
          <t>Reflections</t>
        </is>
      </c>
      <c r="AG184" s="1230" t="inlineStr">
        <is>
          <t>Abstract</t>
        </is>
      </c>
    </row>
    <row r="185" ht="13.5" customHeight="1" s="1232">
      <c r="B185" s="544" t="inlineStr">
        <is>
          <t>jeandance007@gmail.com</t>
        </is>
      </c>
      <c r="C185" s="77" t="inlineStr">
        <is>
          <t xml:space="preserve">Jean </t>
        </is>
      </c>
      <c r="D185" s="77" t="inlineStr">
        <is>
          <t>Dance</t>
        </is>
      </c>
      <c r="E185" s="1551" t="inlineStr">
        <is>
          <t>07456641075</t>
        </is>
      </c>
      <c r="F185" s="1552" t="n">
        <v>42964</v>
      </c>
      <c r="H185" s="1230" t="n">
        <v>200</v>
      </c>
      <c r="I185" s="1230" t="inlineStr">
        <is>
          <t>annual</t>
        </is>
      </c>
      <c r="J185" s="1540" t="inlineStr">
        <is>
          <t>Nov 17 to Oct 19</t>
        </is>
      </c>
      <c r="T185" s="1230" t="inlineStr">
        <is>
          <t>Reflections</t>
        </is>
      </c>
      <c r="U185" s="1230" t="inlineStr">
        <is>
          <t>Abstract</t>
        </is>
      </c>
      <c r="V185" s="1230" t="inlineStr">
        <is>
          <t>Still Life</t>
        </is>
      </c>
      <c r="W185" s="1230" t="inlineStr">
        <is>
          <t>B&amp;W</t>
        </is>
      </c>
      <c r="X185" s="1230" t="inlineStr">
        <is>
          <t>Triptych</t>
        </is>
      </c>
      <c r="Y185" s="1230" t="inlineStr">
        <is>
          <t>Square Mile</t>
        </is>
      </c>
      <c r="Z185" s="1230" t="inlineStr">
        <is>
          <t>Spring</t>
        </is>
      </c>
      <c r="AA185" s="1230" t="inlineStr">
        <is>
          <t>Landscape</t>
        </is>
      </c>
      <c r="AB185" s="1230" t="inlineStr">
        <is>
          <t>Env Portrait</t>
        </is>
      </c>
      <c r="AC185" s="1230" t="inlineStr">
        <is>
          <t>Urban Spaces</t>
        </is>
      </c>
      <c r="AD185" s="1230" t="inlineStr">
        <is>
          <t>Minimalism</t>
        </is>
      </c>
      <c r="AE185" s="1230" t="inlineStr">
        <is>
          <t>Autumn</t>
        </is>
      </c>
      <c r="AF185" s="1230" t="inlineStr">
        <is>
          <t>Reflections</t>
        </is>
      </c>
      <c r="AG185" s="1230" t="inlineStr">
        <is>
          <t>Abstract</t>
        </is>
      </c>
      <c r="AH185" s="1230" t="inlineStr">
        <is>
          <t>Still Life</t>
        </is>
      </c>
      <c r="AI185" s="1230" t="inlineStr">
        <is>
          <t>B&amp;W</t>
        </is>
      </c>
      <c r="AJ185" s="1230" t="inlineStr">
        <is>
          <t>Triptych</t>
        </is>
      </c>
      <c r="AK185" s="1230" t="inlineStr">
        <is>
          <t>Square Mile</t>
        </is>
      </c>
      <c r="AL185" s="1230" t="inlineStr">
        <is>
          <t>Landscape</t>
        </is>
      </c>
      <c r="AM185" s="1230" t="inlineStr">
        <is>
          <t>Env Portrait</t>
        </is>
      </c>
      <c r="AN185" s="1230" t="inlineStr">
        <is>
          <t>Movement</t>
        </is>
      </c>
      <c r="AO185" s="1230" t="inlineStr">
        <is>
          <t>Minimalism</t>
        </is>
      </c>
      <c r="AP185" s="1230" t="inlineStr">
        <is>
          <t>Abstract</t>
        </is>
      </c>
      <c r="AQ185" s="1230" t="inlineStr">
        <is>
          <t>Autumn</t>
        </is>
      </c>
    </row>
  </sheetData>
  <conditionalFormatting sqref="I53:I55 I73 I102 I116 I120 I124 I133:I134 I137:I139 I141 I143:I145 I149 I160 I164:I165 I170 I173">
    <cfRule type="cellIs" priority="174" operator="greaterThan" dxfId="1">
      <formula>0</formula>
    </cfRule>
  </conditionalFormatting>
  <conditionalFormatting sqref="I169">
    <cfRule type="cellIs" priority="173" operator="greaterThan" dxfId="1">
      <formula>0</formula>
    </cfRule>
  </conditionalFormatting>
  <conditionalFormatting sqref="I53:I55 I73 I102 I116 I120 I124 I133:I134 I137:I139 I141 I143:I145 I149 I160 I164:I165 I169:I170 I173">
    <cfRule type="cellIs" priority="170" operator="equal" dxfId="216">
      <formula>"annual"</formula>
    </cfRule>
    <cfRule type="cellIs" priority="171" operator="equal" dxfId="215">
      <formula>"monthly"</formula>
    </cfRule>
  </conditionalFormatting>
  <conditionalFormatting sqref="I113">
    <cfRule type="cellIs" priority="168" operator="greaterThan" dxfId="1">
      <formula>0</formula>
    </cfRule>
    <cfRule type="cellIs" priority="165" operator="equal" dxfId="216">
      <formula>"annual"</formula>
    </cfRule>
    <cfRule type="cellIs" priority="166" operator="equal" dxfId="215">
      <formula>"monthly"</formula>
    </cfRule>
  </conditionalFormatting>
  <conditionalFormatting sqref="I171">
    <cfRule type="cellIs" priority="164" operator="greaterThan" dxfId="1">
      <formula>0</formula>
    </cfRule>
    <cfRule type="cellIs" priority="162" operator="equal" dxfId="216">
      <formula>"annual"</formula>
    </cfRule>
    <cfRule type="cellIs" priority="163" operator="equal" dxfId="215">
      <formula>"monthly"</formula>
    </cfRule>
  </conditionalFormatting>
  <conditionalFormatting sqref="I166">
    <cfRule type="cellIs" priority="159" operator="equal" dxfId="216">
      <formula>"annual"</formula>
    </cfRule>
    <cfRule type="cellIs" priority="160" operator="equal" dxfId="215">
      <formula>"monthly"</formula>
    </cfRule>
    <cfRule type="cellIs" priority="161" operator="greaterThan" dxfId="1">
      <formula>0</formula>
    </cfRule>
  </conditionalFormatting>
  <conditionalFormatting sqref="I140">
    <cfRule type="cellIs" priority="156" operator="equal" dxfId="216">
      <formula>"annual"</formula>
    </cfRule>
    <cfRule type="cellIs" priority="157" operator="equal" dxfId="215">
      <formula>"monthly"</formula>
    </cfRule>
    <cfRule type="cellIs" priority="158" operator="greaterThan" dxfId="1">
      <formula>0</formula>
    </cfRule>
  </conditionalFormatting>
  <conditionalFormatting sqref="I147">
    <cfRule type="cellIs" priority="155" operator="greaterThan" dxfId="1">
      <formula>0</formula>
    </cfRule>
    <cfRule type="cellIs" priority="153" operator="equal" dxfId="216">
      <formula>"annual"</formula>
    </cfRule>
    <cfRule type="cellIs" priority="154" operator="equal" dxfId="215">
      <formula>"monthly"</formula>
    </cfRule>
  </conditionalFormatting>
  <conditionalFormatting sqref="I167">
    <cfRule type="cellIs" priority="150" operator="equal" dxfId="216">
      <formula>"annual"</formula>
    </cfRule>
    <cfRule type="cellIs" priority="151" operator="equal" dxfId="215">
      <formula>"monthly"</formula>
    </cfRule>
    <cfRule type="cellIs" priority="152" operator="greaterThan" dxfId="1">
      <formula>0</formula>
    </cfRule>
  </conditionalFormatting>
  <conditionalFormatting sqref="I172">
    <cfRule type="cellIs" priority="147" operator="equal" dxfId="216">
      <formula>"annual"</formula>
    </cfRule>
    <cfRule type="cellIs" priority="148" operator="equal" dxfId="215">
      <formula>"monthly"</formula>
    </cfRule>
    <cfRule type="cellIs" priority="149" operator="greaterThan" dxfId="1">
      <formula>0</formula>
    </cfRule>
  </conditionalFormatting>
  <conditionalFormatting sqref="I163">
    <cfRule type="cellIs" priority="144" operator="equal" dxfId="216">
      <formula>"annual"</formula>
    </cfRule>
    <cfRule type="cellIs" priority="145" operator="equal" dxfId="215">
      <formula>"monthly"</formula>
    </cfRule>
    <cfRule type="cellIs" priority="146" operator="greaterThan" dxfId="1">
      <formula>0</formula>
    </cfRule>
  </conditionalFormatting>
  <conditionalFormatting sqref="I168">
    <cfRule type="cellIs" priority="141" operator="equal" dxfId="216">
      <formula>"annual"</formula>
    </cfRule>
    <cfRule type="cellIs" priority="142" operator="equal" dxfId="215">
      <formula>"monthly"</formula>
    </cfRule>
    <cfRule type="cellIs" priority="143" operator="greaterThan" dxfId="1">
      <formula>0</formula>
    </cfRule>
  </conditionalFormatting>
  <conditionalFormatting sqref="I148">
    <cfRule type="cellIs" priority="138" operator="equal" dxfId="216">
      <formula>"annual"</formula>
    </cfRule>
    <cfRule type="cellIs" priority="139" operator="equal" dxfId="215">
      <formula>"monthly"</formula>
    </cfRule>
    <cfRule type="cellIs" priority="140" operator="greaterThan" dxfId="1">
      <formula>0</formula>
    </cfRule>
  </conditionalFormatting>
  <conditionalFormatting sqref="I150">
    <cfRule type="cellIs" priority="135" operator="equal" dxfId="216">
      <formula>"annual"</formula>
    </cfRule>
    <cfRule type="cellIs" priority="136" operator="equal" dxfId="215">
      <formula>"monthly"</formula>
    </cfRule>
    <cfRule type="cellIs" priority="137" operator="greaterThan" dxfId="1">
      <formula>0</formula>
    </cfRule>
  </conditionalFormatting>
  <conditionalFormatting sqref="I135">
    <cfRule type="cellIs" priority="134" operator="greaterThan" dxfId="1">
      <formula>0</formula>
    </cfRule>
    <cfRule type="cellIs" priority="132" operator="equal" dxfId="216">
      <formula>"annual"</formula>
    </cfRule>
    <cfRule type="cellIs" priority="133" operator="equal" dxfId="215">
      <formula>"monthly"</formula>
    </cfRule>
  </conditionalFormatting>
  <conditionalFormatting sqref="I161">
    <cfRule type="cellIs" priority="131" operator="greaterThan" dxfId="1">
      <formula>0</formula>
    </cfRule>
    <cfRule type="cellIs" priority="129" operator="equal" dxfId="216">
      <formula>"annual"</formula>
    </cfRule>
    <cfRule type="cellIs" priority="130" operator="equal" dxfId="215">
      <formula>"monthly"</formula>
    </cfRule>
  </conditionalFormatting>
  <conditionalFormatting sqref="I129">
    <cfRule type="cellIs" priority="128" operator="greaterThan" dxfId="1">
      <formula>0</formula>
    </cfRule>
    <cfRule type="cellIs" priority="125" operator="equal" dxfId="216">
      <formula>"annual"</formula>
    </cfRule>
    <cfRule type="cellIs" priority="126" operator="equal" dxfId="215">
      <formula>"monthly"</formula>
    </cfRule>
  </conditionalFormatting>
  <conditionalFormatting sqref="I106">
    <cfRule type="cellIs" priority="124" operator="greaterThan" dxfId="1">
      <formula>0</formula>
    </cfRule>
    <cfRule type="cellIs" priority="121" operator="equal" dxfId="216">
      <formula>"annual"</formula>
    </cfRule>
    <cfRule type="cellIs" priority="122" operator="equal" dxfId="215">
      <formula>"monthly"</formula>
    </cfRule>
  </conditionalFormatting>
  <conditionalFormatting sqref="I151">
    <cfRule type="cellIs" priority="118" operator="equal" dxfId="216">
      <formula>"annual"</formula>
    </cfRule>
    <cfRule type="cellIs" priority="119" operator="equal" dxfId="215">
      <formula>"monthly"</formula>
    </cfRule>
    <cfRule type="cellIs" priority="120" operator="greaterThan" dxfId="1">
      <formula>0</formula>
    </cfRule>
  </conditionalFormatting>
  <conditionalFormatting sqref="I152">
    <cfRule type="cellIs" priority="115" operator="equal" dxfId="216">
      <formula>"annual"</formula>
    </cfRule>
    <cfRule type="cellIs" priority="116" operator="equal" dxfId="215">
      <formula>"monthly"</formula>
    </cfRule>
    <cfRule type="cellIs" priority="117" operator="greaterThan" dxfId="1">
      <formula>0</formula>
    </cfRule>
  </conditionalFormatting>
  <conditionalFormatting sqref="I128">
    <cfRule type="cellIs" priority="112" operator="equal" dxfId="216">
      <formula>"annual"</formula>
    </cfRule>
    <cfRule type="cellIs" priority="113" operator="equal" dxfId="215">
      <formula>"monthly"</formula>
    </cfRule>
    <cfRule type="cellIs" priority="114" operator="greaterThan" dxfId="1">
      <formula>0</formula>
    </cfRule>
  </conditionalFormatting>
  <conditionalFormatting sqref="I153">
    <cfRule type="cellIs" priority="109" operator="equal" dxfId="216">
      <formula>"annual"</formula>
    </cfRule>
    <cfRule type="cellIs" priority="110" operator="equal" dxfId="215">
      <formula>"monthly"</formula>
    </cfRule>
    <cfRule type="cellIs" priority="111" operator="greaterThan" dxfId="1">
      <formula>0</formula>
    </cfRule>
  </conditionalFormatting>
  <conditionalFormatting sqref="I142">
    <cfRule type="cellIs" priority="106" operator="equal" dxfId="216">
      <formula>"annual"</formula>
    </cfRule>
    <cfRule type="cellIs" priority="107" operator="equal" dxfId="215">
      <formula>"monthly"</formula>
    </cfRule>
    <cfRule type="cellIs" priority="108" operator="greaterThan" dxfId="1">
      <formula>0</formula>
    </cfRule>
  </conditionalFormatting>
  <conditionalFormatting sqref="I146">
    <cfRule type="cellIs" priority="105" operator="greaterThan" dxfId="1">
      <formula>0</formula>
    </cfRule>
    <cfRule type="cellIs" priority="102" operator="equal" dxfId="216">
      <formula>"annual"</formula>
    </cfRule>
    <cfRule type="cellIs" priority="103" operator="equal" dxfId="215">
      <formula>"monthly"</formula>
    </cfRule>
  </conditionalFormatting>
  <conditionalFormatting sqref="I112">
    <cfRule type="cellIs" priority="98" operator="equal" dxfId="216">
      <formula>"annual"</formula>
    </cfRule>
    <cfRule type="cellIs" priority="99" operator="equal" dxfId="215">
      <formula>"monthly"</formula>
    </cfRule>
    <cfRule type="cellIs" priority="101" operator="greaterThan" dxfId="1">
      <formula>0</formula>
    </cfRule>
  </conditionalFormatting>
  <conditionalFormatting sqref="I104">
    <cfRule type="cellIs" priority="97" operator="greaterThan" dxfId="1">
      <formula>0</formula>
    </cfRule>
    <cfRule type="cellIs" priority="95" operator="equal" dxfId="216">
      <formula>"annual"</formula>
    </cfRule>
    <cfRule type="cellIs" priority="96" operator="equal" dxfId="215">
      <formula>"monthly"</formula>
    </cfRule>
  </conditionalFormatting>
  <conditionalFormatting sqref="I122">
    <cfRule type="cellIs" priority="91" operator="equal" dxfId="216">
      <formula>"annual"</formula>
    </cfRule>
    <cfRule type="cellIs" priority="92" operator="equal" dxfId="215">
      <formula>"monthly"</formula>
    </cfRule>
    <cfRule type="cellIs" priority="94" operator="greaterThan" dxfId="1">
      <formula>0</formula>
    </cfRule>
  </conditionalFormatting>
  <conditionalFormatting sqref="I107">
    <cfRule type="cellIs" priority="90" operator="greaterThan" dxfId="1">
      <formula>0</formula>
    </cfRule>
    <cfRule type="cellIs" priority="87" operator="equal" dxfId="216">
      <formula>"annual"</formula>
    </cfRule>
    <cfRule type="cellIs" priority="88" operator="equal" dxfId="215">
      <formula>"monthly"</formula>
    </cfRule>
  </conditionalFormatting>
  <conditionalFormatting sqref="I117">
    <cfRule type="cellIs" priority="86" operator="greaterThan" dxfId="1">
      <formula>0</formula>
    </cfRule>
    <cfRule type="cellIs" priority="84" operator="equal" dxfId="216">
      <formula>"annual"</formula>
    </cfRule>
    <cfRule type="cellIs" priority="85" operator="equal" dxfId="215">
      <formula>"monthly"</formula>
    </cfRule>
  </conditionalFormatting>
  <conditionalFormatting sqref="I136">
    <cfRule type="cellIs" priority="83" operator="greaterThan" dxfId="1">
      <formula>0</formula>
    </cfRule>
    <cfRule type="cellIs" priority="81" operator="equal" dxfId="216">
      <formula>"annual"</formula>
    </cfRule>
    <cfRule type="cellIs" priority="82" operator="equal" dxfId="215">
      <formula>"monthly"</formula>
    </cfRule>
  </conditionalFormatting>
  <conditionalFormatting sqref="I126">
    <cfRule type="cellIs" priority="80" operator="greaterThan" dxfId="1">
      <formula>0</formula>
    </cfRule>
    <cfRule type="cellIs" priority="78" operator="equal" dxfId="216">
      <formula>"annual"</formula>
    </cfRule>
    <cfRule type="cellIs" priority="79" operator="equal" dxfId="215">
      <formula>"monthly"</formula>
    </cfRule>
  </conditionalFormatting>
  <conditionalFormatting sqref="I118">
    <cfRule type="cellIs" priority="77" operator="greaterThan" dxfId="1">
      <formula>0</formula>
    </cfRule>
    <cfRule type="cellIs" priority="75" operator="equal" dxfId="216">
      <formula>"annual"</formula>
    </cfRule>
    <cfRule type="cellIs" priority="76" operator="equal" dxfId="215">
      <formula>"monthly"</formula>
    </cfRule>
  </conditionalFormatting>
  <conditionalFormatting sqref="J159">
    <cfRule type="cellIs" priority="71" operator="equal" dxfId="216">
      <formula>"annual"</formula>
    </cfRule>
    <cfRule type="cellIs" priority="72" operator="equal" dxfId="215">
      <formula>"monthly"</formula>
    </cfRule>
    <cfRule type="cellIs" priority="74" operator="greaterThan" dxfId="1">
      <formula>0</formula>
    </cfRule>
  </conditionalFormatting>
  <conditionalFormatting sqref="I123">
    <cfRule type="cellIs" priority="70" operator="greaterThan" dxfId="1">
      <formula>0</formula>
    </cfRule>
    <cfRule type="cellIs" priority="68" operator="equal" dxfId="216">
      <formula>"annual"</formula>
    </cfRule>
    <cfRule type="cellIs" priority="69" operator="equal" dxfId="215">
      <formula>"monthly"</formula>
    </cfRule>
  </conditionalFormatting>
  <conditionalFormatting sqref="I132">
    <cfRule type="cellIs" priority="67" operator="greaterThan" dxfId="1">
      <formula>0</formula>
    </cfRule>
    <cfRule type="cellIs" priority="65" operator="equal" dxfId="216">
      <formula>"annual"</formula>
    </cfRule>
    <cfRule type="cellIs" priority="66" operator="equal" dxfId="215">
      <formula>"monthly"</formula>
    </cfRule>
  </conditionalFormatting>
  <conditionalFormatting sqref="I114">
    <cfRule type="cellIs" priority="64" operator="greaterThan" dxfId="1">
      <formula>0</formula>
    </cfRule>
    <cfRule type="cellIs" priority="62" operator="equal" dxfId="216">
      <formula>"annual"</formula>
    </cfRule>
    <cfRule type="cellIs" priority="63" operator="equal" dxfId="215">
      <formula>"monthly"</formula>
    </cfRule>
  </conditionalFormatting>
  <conditionalFormatting sqref="I127">
    <cfRule type="cellIs" priority="61" operator="greaterThan" dxfId="1">
      <formula>0</formula>
    </cfRule>
    <cfRule type="cellIs" priority="59" operator="equal" dxfId="216">
      <formula>"annual"</formula>
    </cfRule>
    <cfRule type="cellIs" priority="60" operator="equal" dxfId="215">
      <formula>"monthly"</formula>
    </cfRule>
  </conditionalFormatting>
  <conditionalFormatting sqref="I125">
    <cfRule type="cellIs" priority="58" operator="greaterThan" dxfId="1">
      <formula>0</formula>
    </cfRule>
    <cfRule type="cellIs" priority="56" operator="equal" dxfId="216">
      <formula>"annual"</formula>
    </cfRule>
    <cfRule type="cellIs" priority="57" operator="equal" dxfId="215">
      <formula>"monthly"</formula>
    </cfRule>
  </conditionalFormatting>
  <conditionalFormatting sqref="I130">
    <cfRule type="cellIs" priority="55" operator="greaterThan" dxfId="1">
      <formula>0</formula>
    </cfRule>
    <cfRule type="cellIs" priority="53" operator="equal" dxfId="216">
      <formula>"annual"</formula>
    </cfRule>
    <cfRule type="cellIs" priority="54" operator="equal" dxfId="215">
      <formula>"monthly"</formula>
    </cfRule>
  </conditionalFormatting>
  <conditionalFormatting sqref="I131">
    <cfRule type="cellIs" priority="52" operator="greaterThan" dxfId="1">
      <formula>0</formula>
    </cfRule>
    <cfRule type="cellIs" priority="50" operator="equal" dxfId="216">
      <formula>"annual"</formula>
    </cfRule>
    <cfRule type="cellIs" priority="51" operator="equal" dxfId="215">
      <formula>"monthly"</formula>
    </cfRule>
  </conditionalFormatting>
  <conditionalFormatting sqref="I119">
    <cfRule type="cellIs" priority="46" operator="equal" dxfId="216">
      <formula>"annual"</formula>
    </cfRule>
    <cfRule type="cellIs" priority="47" operator="equal" dxfId="215">
      <formula>"monthly"</formula>
    </cfRule>
    <cfRule type="cellIs" priority="49" operator="greaterThan" dxfId="1">
      <formula>0</formula>
    </cfRule>
  </conditionalFormatting>
  <conditionalFormatting sqref="I121">
    <cfRule type="cellIs" priority="43" operator="equal" dxfId="216">
      <formula>"annual"</formula>
    </cfRule>
    <cfRule type="cellIs" priority="44" operator="equal" dxfId="215">
      <formula>"monthly"</formula>
    </cfRule>
    <cfRule type="cellIs" priority="45" operator="greaterThan" dxfId="1">
      <formula>0</formula>
    </cfRule>
  </conditionalFormatting>
  <conditionalFormatting sqref="I115">
    <cfRule type="cellIs" priority="42" operator="greaterThan" dxfId="1">
      <formula>0</formula>
    </cfRule>
    <cfRule type="cellIs" priority="40" operator="equal" dxfId="216">
      <formula>"annual"</formula>
    </cfRule>
    <cfRule type="cellIs" priority="41" operator="equal" dxfId="215">
      <formula>"monthly"</formula>
    </cfRule>
  </conditionalFormatting>
  <conditionalFormatting sqref="I110">
    <cfRule type="cellIs" priority="39" operator="greaterThan" dxfId="1">
      <formula>0</formula>
    </cfRule>
    <cfRule type="cellIs" priority="37" operator="equal" dxfId="216">
      <formula>"annual"</formula>
    </cfRule>
    <cfRule type="cellIs" priority="38" operator="equal" dxfId="215">
      <formula>"monthly"</formula>
    </cfRule>
  </conditionalFormatting>
  <conditionalFormatting sqref="I111">
    <cfRule type="cellIs" priority="36" operator="greaterThan" dxfId="1">
      <formula>0</formula>
    </cfRule>
    <cfRule type="cellIs" priority="34" operator="equal" dxfId="216">
      <formula>"annual"</formula>
    </cfRule>
    <cfRule type="cellIs" priority="35" operator="equal" dxfId="215">
      <formula>"monthly"</formula>
    </cfRule>
  </conditionalFormatting>
  <conditionalFormatting sqref="I108">
    <cfRule type="cellIs" priority="33" operator="greaterThan" dxfId="1">
      <formula>0</formula>
    </cfRule>
    <cfRule type="cellIs" priority="31" operator="equal" dxfId="216">
      <formula>"annual"</formula>
    </cfRule>
    <cfRule type="cellIs" priority="32" operator="equal" dxfId="215">
      <formula>"monthly"</formula>
    </cfRule>
  </conditionalFormatting>
  <conditionalFormatting sqref="I109">
    <cfRule type="cellIs" priority="30" operator="greaterThan" dxfId="1">
      <formula>0</formula>
    </cfRule>
    <cfRule type="cellIs" priority="28" operator="equal" dxfId="216">
      <formula>"annual"</formula>
    </cfRule>
    <cfRule type="cellIs" priority="29" operator="equal" dxfId="215">
      <formula>"monthly"</formula>
    </cfRule>
  </conditionalFormatting>
  <conditionalFormatting sqref="I156">
    <cfRule type="cellIs" priority="27" operator="greaterThan" dxfId="1">
      <formula>0</formula>
    </cfRule>
    <cfRule type="cellIs" priority="24" operator="equal" dxfId="216">
      <formula>"annual"</formula>
    </cfRule>
    <cfRule type="cellIs" priority="25" operator="equal" dxfId="215">
      <formula>"monthly"</formula>
    </cfRule>
  </conditionalFormatting>
  <conditionalFormatting sqref="I158">
    <cfRule type="cellIs" priority="23" operator="greaterThan" dxfId="1">
      <formula>0</formula>
    </cfRule>
    <cfRule type="cellIs" priority="20" operator="equal" dxfId="216">
      <formula>"annual"</formula>
    </cfRule>
    <cfRule type="cellIs" priority="21" operator="equal" dxfId="215">
      <formula>"monthly"</formula>
    </cfRule>
  </conditionalFormatting>
  <conditionalFormatting sqref="I157">
    <cfRule type="cellIs" priority="16" operator="equal" dxfId="216">
      <formula>"annual"</formula>
    </cfRule>
    <cfRule type="cellIs" priority="17" operator="equal" dxfId="215">
      <formula>"monthly"</formula>
    </cfRule>
    <cfRule type="cellIs" priority="19" operator="greaterThan" dxfId="1">
      <formula>0</formula>
    </cfRule>
  </conditionalFormatting>
  <conditionalFormatting sqref="I105">
    <cfRule type="cellIs" priority="15" operator="greaterThan" dxfId="1">
      <formula>0</formula>
    </cfRule>
    <cfRule type="cellIs" priority="12" operator="equal" dxfId="216">
      <formula>"annual"</formula>
    </cfRule>
    <cfRule type="cellIs" priority="13" operator="equal" dxfId="215">
      <formula>"monthly"</formula>
    </cfRule>
  </conditionalFormatting>
  <conditionalFormatting sqref="I103">
    <cfRule type="cellIs" priority="11" operator="greaterThan" dxfId="1">
      <formula>0</formula>
    </cfRule>
    <cfRule type="cellIs" priority="9" operator="equal" dxfId="216">
      <formula>"annual"</formula>
    </cfRule>
    <cfRule type="cellIs" priority="10" operator="equal" dxfId="215">
      <formula>"monthly"</formula>
    </cfRule>
  </conditionalFormatting>
  <conditionalFormatting sqref="I98">
    <cfRule type="cellIs" priority="8" operator="greaterThan" dxfId="1">
      <formula>0</formula>
    </cfRule>
    <cfRule type="cellIs" priority="5" operator="equal" dxfId="216">
      <formula>"annual"</formula>
    </cfRule>
    <cfRule type="cellIs" priority="6" operator="equal" dxfId="215">
      <formula>"monthly"</formula>
    </cfRule>
  </conditionalFormatting>
  <conditionalFormatting sqref="I99">
    <cfRule type="cellIs" priority="4" operator="greaterThan" dxfId="1">
      <formula>0</formula>
    </cfRule>
    <cfRule type="cellIs" priority="1" operator="equal" dxfId="216">
      <formula>"annual"</formula>
    </cfRule>
    <cfRule type="cellIs" priority="2" operator="equal" dxfId="215">
      <formula>"monthly"</formula>
    </cfRule>
  </conditionalFormatting>
  <hyperlinks>
    <hyperlink xmlns:r="http://schemas.openxmlformats.org/officeDocument/2006/relationships" ref="B6" r:id="rId1"/>
    <hyperlink xmlns:r="http://schemas.openxmlformats.org/officeDocument/2006/relationships" ref="B7" r:id="rId2"/>
    <hyperlink xmlns:r="http://schemas.openxmlformats.org/officeDocument/2006/relationships" ref="B10" r:id="rId3"/>
    <hyperlink xmlns:r="http://schemas.openxmlformats.org/officeDocument/2006/relationships" ref="B13" r:id="rId4"/>
    <hyperlink xmlns:r="http://schemas.openxmlformats.org/officeDocument/2006/relationships" ref="B14" r:id="rId5"/>
    <hyperlink xmlns:r="http://schemas.openxmlformats.org/officeDocument/2006/relationships" ref="B15" r:id="rId6"/>
    <hyperlink xmlns:r="http://schemas.openxmlformats.org/officeDocument/2006/relationships" ref="B16" r:id="rId7"/>
    <hyperlink xmlns:r="http://schemas.openxmlformats.org/officeDocument/2006/relationships" ref="B19" display="mailto:dene.caple@googlemail.com" r:id="rId8"/>
    <hyperlink xmlns:r="http://schemas.openxmlformats.org/officeDocument/2006/relationships" ref="B21" r:id="rId9"/>
    <hyperlink xmlns:r="http://schemas.openxmlformats.org/officeDocument/2006/relationships" ref="B22" r:id="rId10"/>
    <hyperlink xmlns:r="http://schemas.openxmlformats.org/officeDocument/2006/relationships" ref="B23" r:id="rId11"/>
    <hyperlink xmlns:r="http://schemas.openxmlformats.org/officeDocument/2006/relationships" ref="B24" r:id="rId12"/>
    <hyperlink xmlns:r="http://schemas.openxmlformats.org/officeDocument/2006/relationships" ref="B28" r:id="rId13"/>
    <hyperlink xmlns:r="http://schemas.openxmlformats.org/officeDocument/2006/relationships" ref="B30" r:id="rId14"/>
    <hyperlink xmlns:r="http://schemas.openxmlformats.org/officeDocument/2006/relationships" ref="B31" r:id="rId15"/>
    <hyperlink xmlns:r="http://schemas.openxmlformats.org/officeDocument/2006/relationships" ref="B33" r:id="rId16"/>
    <hyperlink xmlns:r="http://schemas.openxmlformats.org/officeDocument/2006/relationships" ref="B34" r:id="rId17"/>
    <hyperlink xmlns:r="http://schemas.openxmlformats.org/officeDocument/2006/relationships" ref="B35" r:id="rId18"/>
    <hyperlink xmlns:r="http://schemas.openxmlformats.org/officeDocument/2006/relationships" ref="B39" r:id="rId19"/>
    <hyperlink xmlns:r="http://schemas.openxmlformats.org/officeDocument/2006/relationships" ref="B40" r:id="rId20"/>
    <hyperlink xmlns:r="http://schemas.openxmlformats.org/officeDocument/2006/relationships" ref="B41" display="mailto:ickaohman@gmail.com" r:id="rId21"/>
    <hyperlink xmlns:r="http://schemas.openxmlformats.org/officeDocument/2006/relationships" ref="B42" r:id="rId22"/>
    <hyperlink xmlns:r="http://schemas.openxmlformats.org/officeDocument/2006/relationships" ref="B43" display="mailto:i.yorgov@gmail.com" r:id="rId23"/>
    <hyperlink xmlns:r="http://schemas.openxmlformats.org/officeDocument/2006/relationships" ref="B44" r:id="rId24"/>
    <hyperlink xmlns:r="http://schemas.openxmlformats.org/officeDocument/2006/relationships" ref="B45" r:id="rId25"/>
    <hyperlink xmlns:r="http://schemas.openxmlformats.org/officeDocument/2006/relationships" ref="B46" r:id="rId26"/>
    <hyperlink xmlns:r="http://schemas.openxmlformats.org/officeDocument/2006/relationships" ref="B47" r:id="rId27"/>
    <hyperlink xmlns:r="http://schemas.openxmlformats.org/officeDocument/2006/relationships" ref="B48" r:id="rId28"/>
    <hyperlink xmlns:r="http://schemas.openxmlformats.org/officeDocument/2006/relationships" ref="B81" r:id="rId29"/>
    <hyperlink xmlns:r="http://schemas.openxmlformats.org/officeDocument/2006/relationships" ref="B84" r:id="rId30"/>
    <hyperlink xmlns:r="http://schemas.openxmlformats.org/officeDocument/2006/relationships" ref="B85" r:id="rId31"/>
    <hyperlink xmlns:r="http://schemas.openxmlformats.org/officeDocument/2006/relationships" ref="B86" r:id="rId32"/>
    <hyperlink xmlns:r="http://schemas.openxmlformats.org/officeDocument/2006/relationships" ref="B87" r:id="rId33"/>
    <hyperlink xmlns:r="http://schemas.openxmlformats.org/officeDocument/2006/relationships" ref="B89" r:id="rId34"/>
    <hyperlink xmlns:r="http://schemas.openxmlformats.org/officeDocument/2006/relationships" ref="B92" r:id="rId35"/>
    <hyperlink xmlns:r="http://schemas.openxmlformats.org/officeDocument/2006/relationships" ref="B93" r:id="rId36"/>
    <hyperlink xmlns:r="http://schemas.openxmlformats.org/officeDocument/2006/relationships" ref="B95" r:id="rId37"/>
    <hyperlink xmlns:r="http://schemas.openxmlformats.org/officeDocument/2006/relationships" ref="B100" r:id="rId38"/>
    <hyperlink xmlns:r="http://schemas.openxmlformats.org/officeDocument/2006/relationships" ref="B101" r:id="rId39"/>
    <hyperlink xmlns:r="http://schemas.openxmlformats.org/officeDocument/2006/relationships" ref="B104" r:id="rId40"/>
    <hyperlink xmlns:r="http://schemas.openxmlformats.org/officeDocument/2006/relationships" ref="B105" r:id="rId41"/>
    <hyperlink xmlns:r="http://schemas.openxmlformats.org/officeDocument/2006/relationships" ref="B107" r:id="rId42"/>
    <hyperlink xmlns:r="http://schemas.openxmlformats.org/officeDocument/2006/relationships" ref="B108" r:id="rId43"/>
    <hyperlink xmlns:r="http://schemas.openxmlformats.org/officeDocument/2006/relationships" ref="B109" display="mailto:philseymour77@gmail.com" r:id="rId44"/>
    <hyperlink xmlns:r="http://schemas.openxmlformats.org/officeDocument/2006/relationships" ref="B111" r:id="rId45"/>
    <hyperlink xmlns:r="http://schemas.openxmlformats.org/officeDocument/2006/relationships" ref="B112" display="mailto:jeandance007@gmail.com" r:id="rId46"/>
    <hyperlink xmlns:r="http://schemas.openxmlformats.org/officeDocument/2006/relationships" ref="B115" r:id="rId47"/>
    <hyperlink xmlns:r="http://schemas.openxmlformats.org/officeDocument/2006/relationships" ref="B118" r:id="rId48"/>
    <hyperlink xmlns:r="http://schemas.openxmlformats.org/officeDocument/2006/relationships" ref="B121" r:id="rId49"/>
    <hyperlink xmlns:r="http://schemas.openxmlformats.org/officeDocument/2006/relationships" ref="B125" display="mailto:Alannewbold@hotmail.co.uk" r:id="rId50"/>
    <hyperlink xmlns:r="http://schemas.openxmlformats.org/officeDocument/2006/relationships" ref="B126" r:id="rId51"/>
    <hyperlink xmlns:r="http://schemas.openxmlformats.org/officeDocument/2006/relationships" ref="B127" r:id="rId52"/>
    <hyperlink xmlns:r="http://schemas.openxmlformats.org/officeDocument/2006/relationships" ref="B129" r:id="rId53"/>
    <hyperlink xmlns:r="http://schemas.openxmlformats.org/officeDocument/2006/relationships" ref="B131" r:id="rId54"/>
    <hyperlink xmlns:r="http://schemas.openxmlformats.org/officeDocument/2006/relationships" ref="B134" display="mailto:vezukbabe@hotmail.com" r:id="rId55"/>
    <hyperlink xmlns:r="http://schemas.openxmlformats.org/officeDocument/2006/relationships" ref="B136" r:id="rId56"/>
    <hyperlink xmlns:r="http://schemas.openxmlformats.org/officeDocument/2006/relationships" ref="B137" r:id="rId57"/>
    <hyperlink xmlns:r="http://schemas.openxmlformats.org/officeDocument/2006/relationships" ref="B138" r:id="rId58"/>
    <hyperlink xmlns:r="http://schemas.openxmlformats.org/officeDocument/2006/relationships" ref="B142" r:id="rId59"/>
    <hyperlink xmlns:r="http://schemas.openxmlformats.org/officeDocument/2006/relationships" ref="B152" r:id="rId60"/>
    <hyperlink xmlns:r="http://schemas.openxmlformats.org/officeDocument/2006/relationships" ref="B160" r:id="rId61"/>
    <hyperlink xmlns:r="http://schemas.openxmlformats.org/officeDocument/2006/relationships" ref="B166" display="Rachelakerman1@yahoo.co.uk" r:id="rId62"/>
    <hyperlink xmlns:r="http://schemas.openxmlformats.org/officeDocument/2006/relationships" ref="B169" display="georgina.catalinotto@googlemail.com" r:id="rId63"/>
    <hyperlink xmlns:r="http://schemas.openxmlformats.org/officeDocument/2006/relationships" ref="B174" r:id="rId64"/>
    <hyperlink xmlns:r="http://schemas.openxmlformats.org/officeDocument/2006/relationships" ref="B175" r:id="rId65"/>
    <hyperlink xmlns:r="http://schemas.openxmlformats.org/officeDocument/2006/relationships" ref="B177" r:id="rId66"/>
    <hyperlink xmlns:r="http://schemas.openxmlformats.org/officeDocument/2006/relationships" ref="B178" r:id="rId67"/>
    <hyperlink xmlns:r="http://schemas.openxmlformats.org/officeDocument/2006/relationships" ref="B179" r:id="rId68"/>
    <hyperlink xmlns:r="http://schemas.openxmlformats.org/officeDocument/2006/relationships" ref="B180" r:id="rId69"/>
    <hyperlink xmlns:r="http://schemas.openxmlformats.org/officeDocument/2006/relationships" ref="B181" r:id="rId70"/>
    <hyperlink xmlns:r="http://schemas.openxmlformats.org/officeDocument/2006/relationships" ref="B182" r:id="rId71"/>
    <hyperlink xmlns:r="http://schemas.openxmlformats.org/officeDocument/2006/relationships" ref="B183" r:id="rId72"/>
    <hyperlink xmlns:r="http://schemas.openxmlformats.org/officeDocument/2006/relationships" ref="B184" r:id="rId73"/>
    <hyperlink xmlns:r="http://schemas.openxmlformats.org/officeDocument/2006/relationships" ref="B185" r:id="rId74"/>
  </hyperlinks>
  <pageMargins left="0.2362204724409449" right="0.2362204724409449" top="0.7480314960629921" bottom="0.7480314960629921" header="0.3149606299212598" footer="0.3149606299212598"/>
  <pageSetup orientation="landscape" paperSize="9" scale="18"/>
</worksheet>
</file>

<file path=xl/worksheets/sheet27.xml><?xml version="1.0" encoding="utf-8"?>
<worksheet xmlns="http://schemas.openxmlformats.org/spreadsheetml/2006/main">
  <sheetPr>
    <tabColor rgb="FFF5EF7B"/>
    <outlinePr summaryBelow="1" summaryRight="1"/>
    <pageSetUpPr fitToPage="1"/>
  </sheetPr>
  <dimension ref="B1:X193"/>
  <sheetViews>
    <sheetView workbookViewId="0">
      <pane ySplit="1" topLeftCell="A152" activePane="bottomLeft" state="frozen"/>
      <selection activeCell="V27" sqref="V27"/>
      <selection pane="bottomLeft" activeCell="J188" sqref="J188"/>
    </sheetView>
  </sheetViews>
  <sheetFormatPr baseColWidth="8" defaultColWidth="9.1328125" defaultRowHeight="14.65"/>
  <cols>
    <col width="4.796875" customWidth="1" style="1260" min="1" max="1"/>
    <col width="15.86328125" bestFit="1" customWidth="1" style="1260" min="2" max="2"/>
    <col width="36" customWidth="1" style="1260" min="3" max="3"/>
    <col width="11.19921875" customWidth="1" style="1260" min="4" max="4"/>
    <col width="25.796875" customWidth="1" style="1260" min="5" max="5"/>
    <col width="12.19921875" customWidth="1" style="85" min="6" max="6"/>
    <col width="28.86328125" customWidth="1" style="1617" min="7" max="7"/>
    <col width="13.86328125" customWidth="1" style="1515" min="8" max="9"/>
    <col width="15.1328125" customWidth="1" style="1260" min="10" max="10"/>
    <col width="37" bestFit="1" customWidth="1" style="1568" min="11" max="11"/>
    <col width="8.19921875" customWidth="1" style="1260" min="12" max="12"/>
    <col width="11.1328125" bestFit="1" customWidth="1" style="1260" min="13" max="13"/>
    <col width="15.796875" bestFit="1" customWidth="1" style="1260" min="14" max="14"/>
    <col width="5.86328125" customWidth="1" style="1260" min="15" max="15"/>
    <col width="20.796875" bestFit="1" customWidth="1" style="1260" min="16" max="16"/>
    <col width="13.53125" bestFit="1" customWidth="1" style="1260" min="17" max="17"/>
    <col width="26.46484375" customWidth="1" style="1260" min="18" max="18"/>
    <col width="16.19921875" customWidth="1" style="1260" min="19" max="19"/>
    <col width="19.1328125" bestFit="1" customWidth="1" style="1260" min="20" max="20"/>
    <col width="13.1328125" bestFit="1" customWidth="1" style="1260" min="21" max="21"/>
    <col width="88.46484375" bestFit="1" customWidth="1" style="1260" min="22" max="22"/>
    <col width="69.1328125" bestFit="1" customWidth="1" style="1260" min="23" max="23"/>
    <col width="69.796875" bestFit="1" customWidth="1" style="1260" min="24" max="24"/>
    <col width="9.1328125" customWidth="1" style="1260" min="25" max="16384"/>
  </cols>
  <sheetData>
    <row r="1" ht="29.25" customHeight="1" s="1232">
      <c r="B1" s="237" t="inlineStr">
        <is>
          <t>Event Date</t>
        </is>
      </c>
      <c r="C1" s="236" t="inlineStr">
        <is>
          <t>Workshop-Location/Theme</t>
        </is>
      </c>
      <c r="D1" s="1618" t="inlineStr">
        <is>
          <t>Duration</t>
        </is>
      </c>
      <c r="E1" s="1618" t="inlineStr">
        <is>
          <t>source</t>
        </is>
      </c>
      <c r="F1" s="109" t="inlineStr">
        <is>
          <t>Order Ref</t>
        </is>
      </c>
      <c r="G1" s="1619" t="inlineStr">
        <is>
          <t>Date Booked</t>
        </is>
      </c>
      <c r="H1" s="1620" t="inlineStr">
        <is>
          <t>Paid</t>
        </is>
      </c>
      <c r="I1" s="1620" t="inlineStr">
        <is>
          <t>Reamaining</t>
        </is>
      </c>
      <c r="J1" s="1618" t="n"/>
      <c r="K1" s="1621" t="inlineStr">
        <is>
          <t>Email Address</t>
        </is>
      </c>
      <c r="L1" s="1621" t="inlineStr">
        <is>
          <t>Prefix</t>
        </is>
      </c>
      <c r="M1" s="1621" t="inlineStr">
        <is>
          <t>First Name</t>
        </is>
      </c>
      <c r="N1" s="1621" t="inlineStr">
        <is>
          <t>Last Name</t>
        </is>
      </c>
      <c r="O1" s="235" t="inlineStr">
        <is>
          <t>Age</t>
        </is>
      </c>
      <c r="P1" s="110" t="inlineStr">
        <is>
          <t>Mobile No'</t>
        </is>
      </c>
      <c r="Q1" s="1621" t="inlineStr">
        <is>
          <t>Post Code</t>
        </is>
      </c>
      <c r="R1" s="110" t="inlineStr">
        <is>
          <t>House No' Street Name</t>
        </is>
      </c>
      <c r="S1" s="1621" t="inlineStr">
        <is>
          <t>Town</t>
        </is>
      </c>
      <c r="T1" s="1618" t="inlineStr">
        <is>
          <t>Camera Make/Model</t>
        </is>
      </c>
      <c r="U1" s="1621" t="inlineStr">
        <is>
          <t>yrs doing photography</t>
        </is>
      </c>
      <c r="V1" s="1622" t="inlineStr">
        <is>
          <t>Type of Photography interested in</t>
        </is>
      </c>
      <c r="W1" s="1622" t="inlineStr">
        <is>
          <t>Alt Email</t>
        </is>
      </c>
      <c r="X1" s="1623" t="inlineStr">
        <is>
          <t>Accepted T&amp;Cs</t>
        </is>
      </c>
    </row>
    <row r="2">
      <c r="B2" s="232" t="n"/>
      <c r="C2" s="231" t="n"/>
      <c r="D2" s="1624" t="n"/>
      <c r="E2" s="1624" t="n"/>
      <c r="F2" s="103" t="n"/>
      <c r="G2" s="1625" t="inlineStr">
        <is>
          <t>2014</t>
        </is>
      </c>
      <c r="H2" s="1626" t="n"/>
      <c r="I2" s="1626" t="n"/>
      <c r="J2" s="1626" t="n"/>
      <c r="K2" s="1627" t="n"/>
      <c r="L2" s="1624" t="n"/>
      <c r="M2" s="1624" t="n"/>
      <c r="N2" s="1624" t="n"/>
      <c r="O2" s="230" t="n"/>
      <c r="P2" s="104" t="n"/>
      <c r="Q2" s="1624" t="n"/>
      <c r="R2" s="104" t="n"/>
      <c r="S2" s="1624" t="n"/>
      <c r="T2" s="1624" t="n"/>
      <c r="U2" s="1624" t="n"/>
      <c r="V2" s="1624" t="n"/>
      <c r="W2" s="1624" t="n"/>
      <c r="X2" s="1624" t="n"/>
    </row>
    <row r="3" ht="10.5" customHeight="1" s="1232">
      <c r="B3" s="142" t="n"/>
      <c r="C3" s="198" t="n"/>
      <c r="D3" s="1568" t="n"/>
      <c r="E3" s="1568" t="n"/>
      <c r="F3" s="87" t="n"/>
      <c r="G3" s="1628" t="n"/>
      <c r="H3" s="1607" t="n"/>
      <c r="I3" s="1607" t="n"/>
      <c r="J3" s="1607" t="n"/>
      <c r="K3" s="1629" t="n"/>
      <c r="L3" s="1568" t="n"/>
      <c r="M3" s="1568" t="n"/>
      <c r="N3" s="1568" t="n"/>
      <c r="O3" s="197" t="n"/>
      <c r="P3" s="88" t="n"/>
      <c r="Q3" s="1568" t="n"/>
      <c r="R3" s="88" t="n"/>
      <c r="S3" s="1568" t="n"/>
      <c r="T3" s="1568" t="n"/>
      <c r="U3" s="1568" t="n"/>
      <c r="V3" s="1568" t="n"/>
      <c r="W3" s="1568" t="n"/>
      <c r="X3" s="1568" t="n"/>
    </row>
    <row r="4" ht="15.75" customHeight="1" s="1232">
      <c r="B4" s="229" t="n"/>
      <c r="C4" s="228" t="n"/>
      <c r="D4" s="1568" t="n"/>
      <c r="E4" s="1568" t="n"/>
      <c r="F4" s="87" t="n"/>
      <c r="G4" s="1628" t="n"/>
      <c r="H4" s="1607" t="n"/>
      <c r="I4" s="1607" t="n"/>
      <c r="J4" s="1607" t="n"/>
      <c r="L4" s="1568" t="n"/>
      <c r="M4" s="1568" t="n"/>
      <c r="N4" s="1568" t="n"/>
      <c r="O4" s="197" t="n"/>
      <c r="P4" s="88" t="n"/>
      <c r="Q4" s="1568" t="n"/>
      <c r="R4" s="88" t="n"/>
      <c r="S4" s="1568" t="n"/>
      <c r="T4" s="1568" t="n"/>
      <c r="U4" s="1568" t="n"/>
      <c r="V4" s="1568" t="n"/>
      <c r="W4" s="1568" t="n"/>
      <c r="X4" s="1568" t="n"/>
    </row>
    <row r="5" ht="15.75" customHeight="1" s="1232">
      <c r="B5" s="227" t="n"/>
      <c r="C5" s="226" t="inlineStr">
        <is>
          <t>Gift Vouchers</t>
        </is>
      </c>
      <c r="D5" s="1568" t="n"/>
      <c r="E5" s="1568" t="n"/>
      <c r="F5" s="87" t="n"/>
      <c r="G5" s="1628" t="n"/>
      <c r="H5" s="1607" t="n"/>
      <c r="I5" s="1607" t="n"/>
      <c r="J5" s="1607" t="n"/>
      <c r="L5" s="1568" t="n"/>
      <c r="M5" s="1568" t="n"/>
      <c r="N5" s="1568" t="n"/>
      <c r="O5" s="202" t="n"/>
      <c r="P5" s="88" t="n"/>
      <c r="Q5" s="1568" t="n"/>
      <c r="R5" s="88" t="n"/>
      <c r="S5" s="1568" t="n"/>
      <c r="T5" s="1568" t="n"/>
      <c r="U5" s="1568" t="n"/>
      <c r="V5" s="1568" t="n"/>
      <c r="W5" s="1568" t="n"/>
      <c r="X5" s="1568" t="n"/>
    </row>
    <row r="6" ht="15.75" customHeight="1" s="1232">
      <c r="B6" s="91" t="n"/>
      <c r="C6" s="93" t="n"/>
      <c r="D6" s="91" t="n"/>
      <c r="E6" s="91" t="n"/>
      <c r="W6" s="93" t="n"/>
      <c r="X6" s="91" t="n"/>
    </row>
    <row r="7" ht="15.75" customHeight="1" s="1232">
      <c r="B7" s="91" t="n"/>
      <c r="X7" s="91" t="n"/>
    </row>
    <row r="8" ht="15.75" customHeight="1" s="1232">
      <c r="B8" s="1630" t="inlineStr">
        <is>
          <t>TBA</t>
        </is>
      </c>
      <c r="C8" s="93" t="inlineStr">
        <is>
          <t>Gift Voucher expires 2st Feb 2017</t>
        </is>
      </c>
      <c r="D8" s="1568" t="inlineStr">
        <is>
          <t>TBA</t>
        </is>
      </c>
      <c r="E8" s="1568" t="inlineStr">
        <is>
          <t>Outdoor Photograher Mag</t>
        </is>
      </c>
      <c r="F8" s="87" t="inlineStr">
        <is>
          <t>#00434</t>
        </is>
      </c>
      <c r="G8" s="1631" t="n">
        <v>42484</v>
      </c>
      <c r="H8" s="1607" t="n">
        <v>350</v>
      </c>
      <c r="I8" s="1607" t="n"/>
      <c r="J8" s="1607" t="n">
        <v>0</v>
      </c>
      <c r="K8" s="1501" t="inlineStr">
        <is>
          <t>ynossel@aol.com</t>
        </is>
      </c>
      <c r="L8" s="1568" t="inlineStr">
        <is>
          <t>Ms</t>
        </is>
      </c>
      <c r="M8" s="1568" t="inlineStr">
        <is>
          <t xml:space="preserve">Yvonne </t>
        </is>
      </c>
      <c r="N8" s="1568" t="inlineStr">
        <is>
          <t xml:space="preserve">Nossel </t>
        </is>
      </c>
      <c r="O8" s="197" t="inlineStr">
        <is>
          <t>60</t>
        </is>
      </c>
      <c r="P8" s="88" t="inlineStr">
        <is>
          <t>07807950641</t>
        </is>
      </c>
      <c r="Q8" s="1568" t="inlineStr">
        <is>
          <t xml:space="preserve">CB11 4NL </t>
        </is>
      </c>
      <c r="R8" s="88" t="inlineStr">
        <is>
          <t>Brays Barn, High Street</t>
        </is>
      </c>
      <c r="S8" s="1568" t="inlineStr">
        <is>
          <t>Elmdon, Essex</t>
        </is>
      </c>
      <c r="T8" s="1568" t="n"/>
      <c r="U8" s="1568" t="n"/>
      <c r="V8" s="1568" t="n"/>
      <c r="W8" s="1568" t="n"/>
      <c r="X8" s="1568" t="n"/>
    </row>
    <row r="9" ht="15.75" customHeight="1" s="1232">
      <c r="B9" s="1632" t="n">
        <v>42631</v>
      </c>
      <c r="C9" s="211" t="inlineStr">
        <is>
          <t>Gift Voucher expires 13 Dec 2016</t>
        </is>
      </c>
      <c r="D9" s="1633" t="inlineStr">
        <is>
          <t>TBA</t>
        </is>
      </c>
      <c r="E9" s="1633" t="inlineStr">
        <is>
          <t>Existing</t>
        </is>
      </c>
      <c r="F9" s="210" t="inlineStr">
        <is>
          <t>Phone/Card</t>
        </is>
      </c>
      <c r="G9" s="1634" t="n">
        <v>42534</v>
      </c>
      <c r="H9" s="1635" t="n">
        <v>100</v>
      </c>
      <c r="I9" s="1635" t="n"/>
      <c r="J9" s="1635" t="n">
        <v>0</v>
      </c>
      <c r="K9" s="225" t="inlineStr">
        <is>
          <t xml:space="preserve">chrisjohnson305@btinternet.com </t>
        </is>
      </c>
      <c r="L9" s="209" t="inlineStr">
        <is>
          <t>Mr</t>
        </is>
      </c>
      <c r="M9" s="211" t="inlineStr">
        <is>
          <t>Chris</t>
        </is>
      </c>
      <c r="N9" s="209" t="inlineStr">
        <is>
          <t xml:space="preserve"> Johnson </t>
        </is>
      </c>
      <c r="O9" s="224" t="inlineStr">
        <is>
          <t>47</t>
        </is>
      </c>
      <c r="P9" s="223" t="inlineStr">
        <is>
          <t>07789061593</t>
        </is>
      </c>
      <c r="Q9" s="211" t="inlineStr">
        <is>
          <t xml:space="preserve">B90 1RJ </t>
        </is>
      </c>
      <c r="R9" s="209" t="inlineStr">
        <is>
          <t xml:space="preserve">68 Lady Lane </t>
        </is>
      </c>
      <c r="S9" s="211" t="inlineStr">
        <is>
          <t>Shirley</t>
        </is>
      </c>
      <c r="T9" s="1633" t="n"/>
      <c r="U9" s="1633" t="n"/>
      <c r="V9" s="1633" t="n"/>
      <c r="W9" s="1568" t="n"/>
      <c r="X9" s="1568" t="n"/>
    </row>
    <row r="10" ht="15.75" customHeight="1" s="1232">
      <c r="B10" s="1632" t="n">
        <v>42751</v>
      </c>
      <c r="C10" s="211" t="inlineStr">
        <is>
          <t>Gift Voucher expires 09 Feb 2017</t>
        </is>
      </c>
      <c r="D10" s="1633" t="inlineStr">
        <is>
          <t>TBA</t>
        </is>
      </c>
      <c r="E10" s="1633" t="inlineStr">
        <is>
          <t>Google</t>
        </is>
      </c>
      <c r="F10" s="210" t="inlineStr">
        <is>
          <t>Phone/Card</t>
        </is>
      </c>
      <c r="G10" s="1634" t="n">
        <v>42591</v>
      </c>
      <c r="H10" s="1635" t="n">
        <v>95</v>
      </c>
      <c r="I10" s="1635" t="n"/>
      <c r="J10" s="1635" t="n">
        <v>0</v>
      </c>
      <c r="K10" s="1636" t="inlineStr">
        <is>
          <t>h.davies@bcguk.com</t>
        </is>
      </c>
      <c r="L10" s="1633" t="inlineStr">
        <is>
          <t>Mr</t>
        </is>
      </c>
      <c r="M10" s="1633" t="inlineStr">
        <is>
          <t>Ian</t>
        </is>
      </c>
      <c r="N10" s="1633" t="inlineStr">
        <is>
          <t>Matthews</t>
        </is>
      </c>
      <c r="O10" s="221" t="n"/>
      <c r="P10" s="222" t="inlineStr">
        <is>
          <t>07494225491</t>
        </is>
      </c>
      <c r="Q10" s="1633" t="n"/>
      <c r="R10" s="204" t="inlineStr">
        <is>
          <t>1 Troste Road</t>
        </is>
      </c>
      <c r="S10" s="1633" t="n"/>
      <c r="T10" s="1633" t="n"/>
      <c r="U10" s="1568" t="n"/>
      <c r="V10" s="1568" t="n"/>
      <c r="W10" s="1568" t="n"/>
      <c r="X10" s="1568" t="n"/>
    </row>
    <row r="11" ht="15.75" customHeight="1" s="1232">
      <c r="B11" s="1632" t="n">
        <v>42741</v>
      </c>
      <c r="C11" s="211" t="inlineStr">
        <is>
          <t>Gift Voucher expires 07 May 2017</t>
        </is>
      </c>
      <c r="D11" s="1633" t="inlineStr">
        <is>
          <t>TBA</t>
        </is>
      </c>
      <c r="E11" s="1633" t="inlineStr">
        <is>
          <t>Recommendation</t>
        </is>
      </c>
      <c r="F11" s="210" t="inlineStr">
        <is>
          <t>#00541</t>
        </is>
      </c>
      <c r="G11" s="1634" t="n">
        <v>42681</v>
      </c>
      <c r="H11" s="1635" t="n">
        <v>50</v>
      </c>
      <c r="I11" s="1635" t="n"/>
      <c r="J11" s="1635" t="n">
        <v>0</v>
      </c>
      <c r="K11" s="1501" t="inlineStr">
        <is>
          <t>mark4harrison@gmail.com</t>
        </is>
      </c>
      <c r="L11" s="1633" t="inlineStr">
        <is>
          <t>Mr</t>
        </is>
      </c>
      <c r="M11" s="1633" t="inlineStr">
        <is>
          <t>Mark</t>
        </is>
      </c>
      <c r="N11" s="1633" t="inlineStr">
        <is>
          <t>Harrison</t>
        </is>
      </c>
      <c r="O11" s="221" t="n"/>
      <c r="P11" s="204" t="inlineStr">
        <is>
          <t>07970753758</t>
        </is>
      </c>
      <c r="Q11" s="1633" t="inlineStr">
        <is>
          <t xml:space="preserve">Cv5 6Ns </t>
        </is>
      </c>
      <c r="R11" s="204" t="inlineStr">
        <is>
          <t>30 Boradway</t>
        </is>
      </c>
      <c r="S11" s="1633" t="inlineStr">
        <is>
          <t>Coventry</t>
        </is>
      </c>
      <c r="T11" s="1633" t="n"/>
      <c r="U11" s="1633" t="n"/>
      <c r="V11" s="1568" t="n"/>
      <c r="W11" s="1568" t="n"/>
      <c r="X11" s="1568" t="n"/>
    </row>
    <row r="12" ht="15.75" customHeight="1" s="1232">
      <c r="B12" s="1637" t="n">
        <v>42789</v>
      </c>
      <c r="C12" s="216" t="inlineStr">
        <is>
          <t>Gift Voucher expires 12 May 2017</t>
        </is>
      </c>
      <c r="D12" s="1638" t="inlineStr">
        <is>
          <t>TBA</t>
        </is>
      </c>
      <c r="E12" s="1638" t="inlineStr">
        <is>
          <t>Google</t>
        </is>
      </c>
      <c r="F12" s="214" t="inlineStr">
        <is>
          <t>#00543</t>
        </is>
      </c>
      <c r="G12" s="1639" t="n">
        <v>42687</v>
      </c>
      <c r="H12" s="1640" t="n">
        <v>25</v>
      </c>
      <c r="I12" s="1640" t="n"/>
      <c r="J12" s="1640" t="n"/>
      <c r="K12" s="1638" t="inlineStr">
        <is>
          <t xml:space="preserve">pete.bell007@gmail.com </t>
        </is>
      </c>
      <c r="L12" s="1638" t="inlineStr">
        <is>
          <t>Ms</t>
        </is>
      </c>
      <c r="M12" s="1638" t="inlineStr">
        <is>
          <t>Charis</t>
        </is>
      </c>
      <c r="N12" s="1638" t="inlineStr">
        <is>
          <t>Boulton</t>
        </is>
      </c>
      <c r="O12" s="220" t="inlineStr">
        <is>
          <t>25</t>
        </is>
      </c>
      <c r="P12" s="219" t="inlineStr">
        <is>
          <t>07985936005</t>
        </is>
      </c>
      <c r="Q12" s="1638" t="inlineStr">
        <is>
          <t xml:space="preserve">OX16 3HE </t>
        </is>
      </c>
      <c r="R12" s="219" t="inlineStr">
        <is>
          <t xml:space="preserve">92 West Street </t>
        </is>
      </c>
      <c r="S12" s="1638" t="inlineStr">
        <is>
          <t>Banbury</t>
        </is>
      </c>
      <c r="T12" s="1638" t="n"/>
      <c r="U12" s="1568" t="n"/>
      <c r="V12" s="1568" t="n"/>
      <c r="W12" s="1568" t="n"/>
      <c r="X12" s="1568" t="n"/>
    </row>
    <row r="13" ht="15.75" customHeight="1" s="1232">
      <c r="B13" s="1630" t="inlineStr">
        <is>
          <t>TBA</t>
        </is>
      </c>
      <c r="C13" s="93" t="inlineStr">
        <is>
          <t>Gift Voucher expires 30 May 2017</t>
        </is>
      </c>
      <c r="D13" s="1568" t="inlineStr">
        <is>
          <t>TBA</t>
        </is>
      </c>
      <c r="E13" s="1568" t="inlineStr">
        <is>
          <t>Existing</t>
        </is>
      </c>
      <c r="F13" s="87" t="inlineStr">
        <is>
          <t>#00553</t>
        </is>
      </c>
      <c r="G13" s="1631" t="n">
        <v>42704</v>
      </c>
      <c r="H13" s="1607" t="n">
        <v>100</v>
      </c>
      <c r="I13" s="1607" t="n"/>
      <c r="J13" s="1607" t="n">
        <v>0</v>
      </c>
      <c r="K13" s="1501" t="inlineStr">
        <is>
          <t>nigeljjones@hotmail.co.uk</t>
        </is>
      </c>
      <c r="L13" s="1568" t="inlineStr">
        <is>
          <t>Ms</t>
        </is>
      </c>
      <c r="M13" s="1568" t="inlineStr">
        <is>
          <t>Lorraine</t>
        </is>
      </c>
      <c r="N13" s="1568" t="inlineStr">
        <is>
          <t>Dunn</t>
        </is>
      </c>
      <c r="O13" s="202" t="inlineStr">
        <is>
          <t>52</t>
        </is>
      </c>
      <c r="P13" s="88" t="inlineStr">
        <is>
          <t>07788860297</t>
        </is>
      </c>
      <c r="Q13" s="1568" t="inlineStr">
        <is>
          <t>CV35 0HT</t>
        </is>
      </c>
      <c r="R13" s="88" t="inlineStr">
        <is>
          <t>Jessamine Villa Warwick Road</t>
        </is>
      </c>
      <c r="S13" s="1568" t="inlineStr">
        <is>
          <t>Kineton</t>
        </is>
      </c>
      <c r="T13" s="1568" t="inlineStr">
        <is>
          <t>Canon EOS 600D</t>
        </is>
      </c>
      <c r="U13" s="1568" t="n"/>
      <c r="V13" s="1568" t="n"/>
      <c r="W13" s="1568" t="n"/>
      <c r="X13" s="1568" t="n"/>
    </row>
    <row r="14" ht="15.75" customHeight="1" s="1232">
      <c r="B14" s="1632" t="inlineStr">
        <is>
          <t>TBA</t>
        </is>
      </c>
      <c r="C14" s="211" t="inlineStr">
        <is>
          <t>Gift Voucher expires 14 Jun 2017</t>
        </is>
      </c>
      <c r="D14" s="1633" t="inlineStr">
        <is>
          <t>TBA</t>
        </is>
      </c>
      <c r="E14" s="1633" t="inlineStr">
        <is>
          <t>Referral</t>
        </is>
      </c>
      <c r="F14" s="210" t="inlineStr">
        <is>
          <t>#00564</t>
        </is>
      </c>
      <c r="G14" s="1634" t="n">
        <v>42718</v>
      </c>
      <c r="H14" s="1635" t="n">
        <v>100</v>
      </c>
      <c r="I14" s="1635" t="n"/>
      <c r="J14" s="1635" t="n">
        <v>0</v>
      </c>
      <c r="K14" s="1636" t="inlineStr">
        <is>
          <t>martin.chambers@shaylorgroup.com</t>
        </is>
      </c>
      <c r="L14" s="1633" t="inlineStr">
        <is>
          <t>Ms</t>
        </is>
      </c>
      <c r="M14" s="1633" t="inlineStr">
        <is>
          <t xml:space="preserve">Jan </t>
        </is>
      </c>
      <c r="N14" s="1633" t="inlineStr">
        <is>
          <t>Shaylor</t>
        </is>
      </c>
      <c r="O14" s="205" t="inlineStr">
        <is>
          <t>63</t>
        </is>
      </c>
      <c r="P14" s="204" t="inlineStr">
        <is>
          <t>07920276844</t>
        </is>
      </c>
      <c r="Q14" s="1633" t="inlineStr">
        <is>
          <t xml:space="preserve">LL22 9RF </t>
        </is>
      </c>
      <c r="R14" s="204" t="inlineStr">
        <is>
          <t xml:space="preserve">Tan-y-Mynydd Trout Fishery </t>
        </is>
      </c>
      <c r="S14" s="1633" t="inlineStr">
        <is>
          <t xml:space="preserve">Moelfre </t>
        </is>
      </c>
      <c r="T14" s="1568" t="n"/>
      <c r="U14" s="1568" t="n"/>
      <c r="V14" s="1568" t="n"/>
      <c r="W14" s="1568" t="n"/>
      <c r="X14" s="1568" t="n"/>
    </row>
    <row r="15" ht="15.75" customHeight="1" s="1232">
      <c r="B15" s="1632" t="inlineStr">
        <is>
          <t>TBA</t>
        </is>
      </c>
      <c r="C15" s="211" t="inlineStr">
        <is>
          <t>Gift Voucher expires 14 Jun 2017</t>
        </is>
      </c>
      <c r="D15" s="1633" t="inlineStr">
        <is>
          <t>TBA</t>
        </is>
      </c>
      <c r="E15" s="1633" t="inlineStr">
        <is>
          <t>Referral</t>
        </is>
      </c>
      <c r="F15" s="210" t="inlineStr">
        <is>
          <t>Manual/Phone</t>
        </is>
      </c>
      <c r="G15" s="1634" t="n">
        <v>42719</v>
      </c>
      <c r="H15" s="1635" t="n">
        <v>200</v>
      </c>
      <c r="I15" s="1635" t="n"/>
      <c r="J15" s="1635" t="n">
        <v>0</v>
      </c>
      <c r="K15" s="1636" t="inlineStr">
        <is>
          <t>janepaulmurphy@btinternet.com</t>
        </is>
      </c>
      <c r="L15" s="1633" t="inlineStr">
        <is>
          <t>Ms</t>
        </is>
      </c>
      <c r="M15" s="1633" t="inlineStr">
        <is>
          <t>Jane</t>
        </is>
      </c>
      <c r="N15" s="1633" t="inlineStr">
        <is>
          <t>Murphy</t>
        </is>
      </c>
      <c r="O15" s="205" t="inlineStr">
        <is>
          <t>59</t>
        </is>
      </c>
      <c r="P15" s="204" t="inlineStr">
        <is>
          <t>07880827475</t>
        </is>
      </c>
      <c r="Q15" s="1633" t="inlineStr">
        <is>
          <t xml:space="preserve">CV8 1ET </t>
        </is>
      </c>
      <c r="R15" s="204" t="inlineStr">
        <is>
          <t xml:space="preserve">26 Brookside Avenue </t>
        </is>
      </c>
      <c r="S15" s="1633" t="inlineStr">
        <is>
          <t>Kenilworth</t>
        </is>
      </c>
      <c r="T15" s="1633" t="n"/>
      <c r="U15" s="1633" t="n"/>
      <c r="V15" s="1633" t="n"/>
      <c r="W15" s="1568" t="n"/>
      <c r="X15" s="1568" t="n"/>
    </row>
    <row r="16" ht="15.75" customHeight="1" s="1232">
      <c r="B16" s="1632" t="n">
        <v>42907</v>
      </c>
      <c r="C16" s="211" t="inlineStr">
        <is>
          <t>Gift Voucher expires 7 Jun 2017</t>
        </is>
      </c>
      <c r="D16" s="1633" t="inlineStr">
        <is>
          <t>TBA</t>
        </is>
      </c>
      <c r="E16" s="1633" t="inlineStr">
        <is>
          <t>Google</t>
        </is>
      </c>
      <c r="F16" s="210" t="inlineStr">
        <is>
          <t>#00561</t>
        </is>
      </c>
      <c r="G16" s="1634" t="n">
        <v>42711</v>
      </c>
      <c r="H16" s="1635" t="n">
        <v>60</v>
      </c>
      <c r="I16" s="1635" t="n"/>
      <c r="J16" s="1635" t="n">
        <v>0</v>
      </c>
      <c r="K16" s="1636" t="inlineStr">
        <is>
          <t xml:space="preserve">jill_lusted@live.co.uk </t>
        </is>
      </c>
      <c r="L16" s="1633" t="inlineStr">
        <is>
          <t>Mr</t>
        </is>
      </c>
      <c r="M16" s="1633" t="inlineStr">
        <is>
          <t>Ricky</t>
        </is>
      </c>
      <c r="N16" s="1633" t="inlineStr">
        <is>
          <t>Mandair</t>
        </is>
      </c>
      <c r="O16" s="205" t="inlineStr">
        <is>
          <t>36</t>
        </is>
      </c>
      <c r="P16" s="204" t="inlineStr">
        <is>
          <t>07949807234</t>
        </is>
      </c>
      <c r="Q16" s="1633" t="inlineStr">
        <is>
          <t xml:space="preserve">DE12 7RN </t>
        </is>
      </c>
      <c r="R16" s="204" t="inlineStr">
        <is>
          <t xml:space="preserve">10 Dawkins Road </t>
        </is>
      </c>
      <c r="S16" s="1633" t="inlineStr">
        <is>
          <t>Donisthorpe</t>
        </is>
      </c>
      <c r="T16" s="1568" t="n"/>
      <c r="U16" s="1568" t="n"/>
      <c r="V16" s="1568" t="n"/>
      <c r="W16" s="1568" t="n"/>
      <c r="X16" s="1568" t="n"/>
    </row>
    <row r="17" ht="15.75" customHeight="1" s="1232">
      <c r="B17" s="1632" t="inlineStr">
        <is>
          <t>TBA</t>
        </is>
      </c>
      <c r="C17" s="211" t="inlineStr">
        <is>
          <t>Gift Voucher expires 15 Jun 2017</t>
        </is>
      </c>
      <c r="D17" s="1633" t="inlineStr">
        <is>
          <t>TBA</t>
        </is>
      </c>
      <c r="E17" s="1633" t="inlineStr">
        <is>
          <t>Google</t>
        </is>
      </c>
      <c r="F17" s="210" t="inlineStr">
        <is>
          <t>#00567</t>
        </is>
      </c>
      <c r="G17" s="1634" t="n">
        <v>42719</v>
      </c>
      <c r="H17" s="1635" t="n">
        <v>50</v>
      </c>
      <c r="I17" s="1635" t="n"/>
      <c r="J17" s="1635" t="n">
        <v>0</v>
      </c>
      <c r="K17" s="1636" t="inlineStr">
        <is>
          <t>philipogrady@sky.com</t>
        </is>
      </c>
      <c r="L17" s="1633" t="inlineStr">
        <is>
          <t>Mr</t>
        </is>
      </c>
      <c r="M17" s="1633" t="inlineStr">
        <is>
          <t>Philip</t>
        </is>
      </c>
      <c r="N17" s="1633" t="inlineStr">
        <is>
          <t>O'Grady</t>
        </is>
      </c>
      <c r="O17" s="205" t="inlineStr">
        <is>
          <t>48</t>
        </is>
      </c>
      <c r="P17" s="204" t="inlineStr">
        <is>
          <t>07753355338</t>
        </is>
      </c>
      <c r="Q17" s="1633" t="inlineStr">
        <is>
          <t xml:space="preserve">B37 </t>
        </is>
      </c>
      <c r="R17" s="204" t="inlineStr">
        <is>
          <t xml:space="preserve">34 Corinne Croft </t>
        </is>
      </c>
      <c r="S17" s="1633" t="inlineStr">
        <is>
          <t>Birmingham</t>
        </is>
      </c>
      <c r="T17" s="1568" t="n"/>
    </row>
    <row r="18" ht="15.75" customHeight="1" s="1232">
      <c r="B18" s="1630" t="inlineStr">
        <is>
          <t>TBA</t>
        </is>
      </c>
      <c r="C18" s="93" t="inlineStr">
        <is>
          <t>Gift Voucher expires 21 Jun 2017</t>
        </is>
      </c>
      <c r="D18" s="1568" t="inlineStr">
        <is>
          <t>TBA</t>
        </is>
      </c>
      <c r="E18" s="1568" t="inlineStr">
        <is>
          <t>Google</t>
        </is>
      </c>
      <c r="F18" s="87" t="inlineStr">
        <is>
          <t>#00573</t>
        </is>
      </c>
      <c r="G18" s="1631" t="n">
        <v>42724</v>
      </c>
      <c r="H18" s="1607" t="n">
        <v>60</v>
      </c>
      <c r="I18" s="1607" t="n"/>
      <c r="J18" s="1607" t="n">
        <v>0</v>
      </c>
      <c r="K18" s="1501" t="inlineStr">
        <is>
          <t xml:space="preserve">lynetteshaw@hotmail.com </t>
        </is>
      </c>
      <c r="L18" s="1568" t="inlineStr">
        <is>
          <t>Mr</t>
        </is>
      </c>
      <c r="M18" s="1568" t="inlineStr">
        <is>
          <t>Daniel</t>
        </is>
      </c>
      <c r="N18" s="1568" t="inlineStr">
        <is>
          <t>Shaw</t>
        </is>
      </c>
      <c r="O18" s="202" t="inlineStr">
        <is>
          <t>18</t>
        </is>
      </c>
      <c r="P18" s="88" t="inlineStr">
        <is>
          <t>07918107775</t>
        </is>
      </c>
      <c r="Q18" s="1568" t="inlineStr">
        <is>
          <t xml:space="preserve">CV34 6FL </t>
        </is>
      </c>
      <c r="R18" s="88" t="inlineStr">
        <is>
          <t xml:space="preserve">24 Miranda Drive </t>
        </is>
      </c>
      <c r="S18" s="1568" t="inlineStr">
        <is>
          <t xml:space="preserve">Warwick, </t>
        </is>
      </c>
      <c r="T18" s="1568" t="n"/>
    </row>
    <row r="19" ht="15.75" customHeight="1" s="1232">
      <c r="B19" s="1637" t="inlineStr">
        <is>
          <t>TBA</t>
        </is>
      </c>
      <c r="C19" s="216" t="inlineStr">
        <is>
          <t>Gift Voucher expires 19Jun 2017</t>
        </is>
      </c>
      <c r="D19" s="1638" t="inlineStr">
        <is>
          <t>TBA</t>
        </is>
      </c>
      <c r="E19" s="1638" t="inlineStr">
        <is>
          <t>Google</t>
        </is>
      </c>
      <c r="F19" s="214" t="inlineStr">
        <is>
          <t>#00571</t>
        </is>
      </c>
      <c r="G19" s="1639" t="n">
        <v>42723</v>
      </c>
      <c r="H19" s="1640" t="n">
        <v>25</v>
      </c>
      <c r="I19" s="1640" t="n"/>
      <c r="J19" s="1640" t="n">
        <v>0</v>
      </c>
      <c r="K19" s="1501" t="inlineStr">
        <is>
          <t xml:space="preserve">edenayat@gmail.com </t>
        </is>
      </c>
      <c r="L19" s="1568" t="inlineStr">
        <is>
          <t>Mrs</t>
        </is>
      </c>
      <c r="M19" s="1568" t="inlineStr">
        <is>
          <t>Prue</t>
        </is>
      </c>
      <c r="N19" s="1568" t="inlineStr">
        <is>
          <t>Enayat</t>
        </is>
      </c>
      <c r="O19" s="202" t="inlineStr">
        <is>
          <t>63</t>
        </is>
      </c>
      <c r="P19" s="88" t="inlineStr">
        <is>
          <t>07973433901</t>
        </is>
      </c>
      <c r="Q19" s="1568" t="inlineStr">
        <is>
          <t xml:space="preserve">SW12 </t>
        </is>
      </c>
      <c r="R19" s="88" t="n"/>
      <c r="S19" s="1568" t="n"/>
      <c r="T19" s="1568" t="n"/>
    </row>
    <row r="20" ht="15.75" customHeight="1" s="1232">
      <c r="B20" s="1630" t="n"/>
      <c r="C20" s="93" t="inlineStr">
        <is>
          <t>Gift Voucher expires 16 Sep 2017</t>
        </is>
      </c>
      <c r="D20" s="1568" t="inlineStr">
        <is>
          <t>TBA</t>
        </is>
      </c>
      <c r="E20" s="1568" t="inlineStr">
        <is>
          <t>Google</t>
        </is>
      </c>
      <c r="F20" s="87" t="inlineStr">
        <is>
          <t>#00642</t>
        </is>
      </c>
      <c r="G20" s="1631" t="n">
        <v>42811</v>
      </c>
      <c r="H20" s="1607" t="n">
        <v>130</v>
      </c>
      <c r="I20" s="1607" t="n"/>
      <c r="J20" s="1607" t="n">
        <v>0</v>
      </c>
      <c r="K20" s="1501" t="inlineStr">
        <is>
          <t xml:space="preserve">trust@covpeacehouse.org.uk </t>
        </is>
      </c>
      <c r="L20" s="1568" t="inlineStr">
        <is>
          <t>?</t>
        </is>
      </c>
      <c r="M20" s="1568" t="inlineStr">
        <is>
          <t>?</t>
        </is>
      </c>
      <c r="N20" s="1568" t="inlineStr">
        <is>
          <t>?</t>
        </is>
      </c>
      <c r="O20" s="202" t="n"/>
      <c r="P20" s="88" t="n"/>
      <c r="Q20" s="1568" t="n"/>
      <c r="R20" s="88" t="n"/>
      <c r="S20" s="1568" t="n"/>
      <c r="T20" s="1568" t="n"/>
    </row>
    <row r="21" ht="15.75" customHeight="1" s="1232">
      <c r="B21" s="1641" t="inlineStr">
        <is>
          <t>1-2-1</t>
        </is>
      </c>
      <c r="C21" s="211" t="inlineStr">
        <is>
          <t>Gift Voucher expires 27 Sep 2017</t>
        </is>
      </c>
      <c r="D21" s="1633" t="inlineStr">
        <is>
          <t>TBA</t>
        </is>
      </c>
      <c r="E21" s="1633" t="inlineStr">
        <is>
          <t>Google</t>
        </is>
      </c>
      <c r="F21" s="210" t="inlineStr">
        <is>
          <t>#00649</t>
        </is>
      </c>
      <c r="G21" s="1634" t="n">
        <v>42822</v>
      </c>
      <c r="H21" s="1635" t="n">
        <v>195</v>
      </c>
      <c r="I21" s="1635" t="n"/>
      <c r="J21" s="1635" t="n">
        <v>0</v>
      </c>
      <c r="K21" s="1636" t="inlineStr">
        <is>
          <t>colinclapp@hotmail.com</t>
        </is>
      </c>
      <c r="L21" s="1633" t="inlineStr">
        <is>
          <t>Mr</t>
        </is>
      </c>
      <c r="M21" s="1633" t="inlineStr">
        <is>
          <t>Colin</t>
        </is>
      </c>
      <c r="N21" s="1633" t="inlineStr">
        <is>
          <t>Clapp</t>
        </is>
      </c>
      <c r="O21" s="205" t="n"/>
      <c r="P21" s="204" t="inlineStr">
        <is>
          <t>07748597047</t>
        </is>
      </c>
      <c r="Q21" s="1633" t="n"/>
      <c r="R21" s="204" t="n"/>
      <c r="S21" s="1568" t="n"/>
      <c r="T21" s="1568" t="n"/>
    </row>
    <row r="22" ht="15.75" customHeight="1" s="1232">
      <c r="B22" s="1642" t="n"/>
      <c r="C22" s="216" t="inlineStr">
        <is>
          <t>Gift Voucher expires 8th Oct 2017</t>
        </is>
      </c>
      <c r="D22" s="1638" t="inlineStr">
        <is>
          <t>TBA</t>
        </is>
      </c>
      <c r="E22" s="1638" t="inlineStr">
        <is>
          <t>Referral</t>
        </is>
      </c>
      <c r="F22" s="214" t="inlineStr">
        <is>
          <t>#00658</t>
        </is>
      </c>
      <c r="G22" s="1639" t="n">
        <v>42834</v>
      </c>
      <c r="H22" s="1640" t="n">
        <v>20</v>
      </c>
      <c r="I22" s="1640" t="n"/>
      <c r="J22" s="1640" t="n">
        <v>0</v>
      </c>
      <c r="K22" s="1638" t="inlineStr">
        <is>
          <t>timlerwill@itsconstruction.co.uk</t>
        </is>
      </c>
      <c r="L22" s="1638" t="inlineStr">
        <is>
          <t>Mr</t>
        </is>
      </c>
      <c r="M22" s="1638" t="inlineStr">
        <is>
          <t>Simon</t>
        </is>
      </c>
      <c r="N22" s="1638" t="inlineStr">
        <is>
          <t>Lerwill</t>
        </is>
      </c>
      <c r="O22" s="220" t="n"/>
      <c r="P22" s="219" t="n"/>
      <c r="Q22" s="1568" t="n"/>
      <c r="R22" s="88" t="n"/>
      <c r="S22" s="1568" t="n"/>
      <c r="T22" s="1568" t="n"/>
    </row>
    <row r="23" ht="15.75" customHeight="1" s="1232">
      <c r="B23" s="1642" t="n">
        <v>42947</v>
      </c>
      <c r="C23" s="211" t="inlineStr">
        <is>
          <t>Gift Voucher expires 30th Oct 2017</t>
        </is>
      </c>
      <c r="D23" s="1633" t="n"/>
      <c r="E23" s="1633" t="n"/>
      <c r="F23" s="210" t="inlineStr">
        <is>
          <t>#00667</t>
        </is>
      </c>
      <c r="G23" s="1634" t="n">
        <v>42855</v>
      </c>
      <c r="H23" s="1635" t="n">
        <v>20</v>
      </c>
      <c r="I23" s="1635" t="n"/>
      <c r="J23" s="1635" t="n">
        <v>0</v>
      </c>
      <c r="K23" s="1636" t="inlineStr">
        <is>
          <t>vivdrury@icloud.com</t>
        </is>
      </c>
      <c r="L23" s="209" t="inlineStr">
        <is>
          <t>Mr</t>
        </is>
      </c>
      <c r="M23" s="209" t="inlineStr">
        <is>
          <t>Jonathan</t>
        </is>
      </c>
      <c r="N23" s="209" t="inlineStr">
        <is>
          <t xml:space="preserve"> Riley</t>
        </is>
      </c>
      <c r="O23" s="202" t="n"/>
      <c r="P23" s="88" t="n"/>
      <c r="Q23" s="1568" t="n"/>
      <c r="R23" s="88" t="n"/>
      <c r="S23" s="1568" t="n"/>
      <c r="T23" s="1568" t="n"/>
    </row>
    <row r="24" ht="15.75" customHeight="1" s="1232">
      <c r="B24" s="1641" t="n"/>
      <c r="C24" s="211" t="inlineStr">
        <is>
          <t>Gift Voucher expires 30th Oct 2017</t>
        </is>
      </c>
      <c r="D24" s="1633" t="n"/>
      <c r="E24" s="1633" t="n"/>
      <c r="F24" s="210" t="inlineStr">
        <is>
          <t>#00667</t>
        </is>
      </c>
      <c r="G24" s="1634" t="n">
        <v>42855</v>
      </c>
      <c r="H24" s="1635" t="n">
        <v>60</v>
      </c>
      <c r="I24" s="1635" t="n"/>
      <c r="J24" s="1635" t="n">
        <v>0</v>
      </c>
      <c r="K24" s="1636" t="inlineStr">
        <is>
          <t>vivdrury@icloud.com</t>
        </is>
      </c>
      <c r="L24" s="1633" t="inlineStr">
        <is>
          <t>Mrs</t>
        </is>
      </c>
      <c r="M24" s="1633" t="inlineStr">
        <is>
          <t xml:space="preserve">Geraldine </t>
        </is>
      </c>
      <c r="N24" s="1633" t="inlineStr">
        <is>
          <t>Riley</t>
        </is>
      </c>
      <c r="O24" s="202" t="n"/>
      <c r="P24" s="88" t="n"/>
      <c r="Q24" s="1568" t="n"/>
      <c r="R24" s="88" t="n"/>
      <c r="S24" s="1568" t="n"/>
      <c r="T24" s="1568" t="n"/>
    </row>
    <row r="25" ht="15.75" customHeight="1" s="1232">
      <c r="B25" s="1642" t="n">
        <v>43218</v>
      </c>
      <c r="C25" s="211" t="inlineStr">
        <is>
          <t>Gift Voucher expires 11th Nov 2017</t>
        </is>
      </c>
      <c r="D25" s="1633" t="n"/>
      <c r="E25" s="1633" t="n"/>
      <c r="F25" s="210" t="inlineStr">
        <is>
          <t>#00696</t>
        </is>
      </c>
      <c r="G25" s="1634" t="n">
        <v>42898</v>
      </c>
      <c r="H25" s="1635" t="n">
        <v>60</v>
      </c>
      <c r="I25" s="1635" t="n"/>
      <c r="J25" s="1635" t="n">
        <v>0</v>
      </c>
      <c r="K25" s="1636" t="inlineStr">
        <is>
          <t>linn.ashmore@rugby.gov.uk</t>
        </is>
      </c>
      <c r="L25" s="1633" t="n"/>
      <c r="M25" s="1633" t="inlineStr">
        <is>
          <t xml:space="preserve">Veronika </t>
        </is>
      </c>
      <c r="N25" s="1633" t="inlineStr">
        <is>
          <t>Beckova</t>
        </is>
      </c>
      <c r="O25" s="205" t="n"/>
      <c r="P25" s="204" t="n"/>
      <c r="Q25" s="1633" t="n"/>
      <c r="R25" s="88" t="n"/>
      <c r="S25" s="1568" t="n"/>
      <c r="T25" s="1568" t="n"/>
    </row>
    <row r="26" ht="15.75" customHeight="1" s="1232">
      <c r="B26" s="1642" t="n"/>
      <c r="C26" s="211" t="inlineStr">
        <is>
          <t>Gift Voucher expires 24th Nov 2017</t>
        </is>
      </c>
      <c r="D26" s="1633" t="n"/>
      <c r="E26" s="1633" t="inlineStr">
        <is>
          <t>Google</t>
        </is>
      </c>
      <c r="F26" s="210" t="inlineStr">
        <is>
          <t>#00705</t>
        </is>
      </c>
      <c r="G26" s="1634" t="n">
        <v>42909</v>
      </c>
      <c r="H26" s="1635" t="n">
        <v>100</v>
      </c>
      <c r="I26" s="1635" t="n"/>
      <c r="J26" s="1635" t="n">
        <v>0</v>
      </c>
      <c r="K26" s="1636" t="inlineStr">
        <is>
          <t xml:space="preserve">emily.payne187@gmail.com </t>
        </is>
      </c>
      <c r="L26" s="1633" t="inlineStr">
        <is>
          <t>Mr</t>
        </is>
      </c>
      <c r="M26" s="1633" t="inlineStr">
        <is>
          <t>Tim</t>
        </is>
      </c>
      <c r="N26" s="1633" t="inlineStr">
        <is>
          <t>Payne</t>
        </is>
      </c>
      <c r="O26" s="205" t="n"/>
      <c r="P26" s="204" t="inlineStr">
        <is>
          <t>07415359272</t>
        </is>
      </c>
      <c r="Q26" s="1568" t="n"/>
      <c r="R26" s="88" t="n"/>
      <c r="S26" s="1568" t="n"/>
      <c r="T26" s="1568" t="n"/>
    </row>
    <row r="27" ht="15.75" customHeight="1" s="1232">
      <c r="B27" s="1642" t="n"/>
      <c r="C27" s="93" t="inlineStr">
        <is>
          <t>Gift Voucher expires 11th March 2018</t>
        </is>
      </c>
      <c r="D27" s="1568" t="n"/>
      <c r="E27" s="1568" t="n"/>
      <c r="F27" s="87" t="inlineStr">
        <is>
          <t>#00742</t>
        </is>
      </c>
      <c r="G27" s="1631" t="n">
        <v>42989</v>
      </c>
      <c r="H27" s="1607" t="n">
        <v>20</v>
      </c>
      <c r="I27" s="1607" t="n"/>
      <c r="J27" s="1607" t="n">
        <v>0</v>
      </c>
      <c r="K27" s="1501" t="inlineStr">
        <is>
          <t>simplybowen@hotmail.co.uk</t>
        </is>
      </c>
      <c r="L27" s="1568" t="n"/>
      <c r="M27" s="1568" t="inlineStr">
        <is>
          <t>Linda</t>
        </is>
      </c>
      <c r="N27" s="1568" t="inlineStr">
        <is>
          <t>Neale</t>
        </is>
      </c>
      <c r="O27" s="202" t="n"/>
      <c r="P27" s="88" t="n"/>
      <c r="Q27" s="1568" t="n"/>
      <c r="R27" s="88" t="n"/>
      <c r="S27" s="1568" t="n"/>
      <c r="T27" s="1568" t="n"/>
    </row>
    <row r="28" ht="15.75" customHeight="1" s="1232">
      <c r="B28" s="1642" t="n">
        <v>43269</v>
      </c>
      <c r="C28" s="211" t="inlineStr">
        <is>
          <t>Gift Voucher expires 15th May 2018</t>
        </is>
      </c>
      <c r="D28" s="1633" t="n"/>
      <c r="E28" s="1633" t="n"/>
      <c r="F28" s="210" t="inlineStr">
        <is>
          <t>#00799</t>
        </is>
      </c>
      <c r="G28" s="1634" t="n">
        <v>43054</v>
      </c>
      <c r="H28" s="1635" t="n">
        <v>40</v>
      </c>
      <c r="I28" s="1635" t="n"/>
      <c r="J28" s="1635" t="n">
        <v>0</v>
      </c>
      <c r="K28" s="1636" t="inlineStr">
        <is>
          <t>fiona.cummings@hotmail.co.uk</t>
        </is>
      </c>
      <c r="L28" s="1633" t="inlineStr">
        <is>
          <t>Mr</t>
        </is>
      </c>
      <c r="M28" s="1633" t="inlineStr">
        <is>
          <t xml:space="preserve">John </t>
        </is>
      </c>
      <c r="N28" s="1633" t="inlineStr">
        <is>
          <t>Cummings</t>
        </is>
      </c>
      <c r="O28" s="205" t="n"/>
      <c r="P28" s="204" t="n"/>
      <c r="Q28" s="1568" t="n"/>
      <c r="R28" s="88" t="n"/>
      <c r="S28" s="1568" t="n"/>
      <c r="T28" s="1568" t="n"/>
    </row>
    <row r="29" ht="15.75" customHeight="1" s="1232">
      <c r="B29" s="1642" t="n">
        <v>43473</v>
      </c>
      <c r="C29" s="211" t="inlineStr">
        <is>
          <t>Gift Voucher expires 28th May 2018</t>
        </is>
      </c>
      <c r="D29" s="1633" t="n"/>
      <c r="E29" s="1633" t="n"/>
      <c r="F29" s="210" t="inlineStr">
        <is>
          <t>#00805</t>
        </is>
      </c>
      <c r="G29" s="1634" t="n">
        <v>43067</v>
      </c>
      <c r="H29" s="1635" t="n">
        <v>40</v>
      </c>
      <c r="I29" s="1635" t="n"/>
      <c r="J29" s="1635" t="n">
        <v>0</v>
      </c>
      <c r="K29" s="1636" t="inlineStr">
        <is>
          <t>Jon.a.hull@googlemail.com</t>
        </is>
      </c>
      <c r="L29" s="1633" t="inlineStr">
        <is>
          <t>Mr</t>
        </is>
      </c>
      <c r="M29" s="1633" t="inlineStr">
        <is>
          <t>Anthony</t>
        </is>
      </c>
      <c r="N29" s="1633" t="inlineStr">
        <is>
          <t>Hall</t>
        </is>
      </c>
      <c r="O29" s="205" t="n"/>
      <c r="P29" s="204" t="inlineStr">
        <is>
          <t>07841872537</t>
        </is>
      </c>
      <c r="Q29" s="1568" t="n"/>
      <c r="R29" s="88" t="n"/>
      <c r="S29" s="1568" t="n"/>
      <c r="T29" s="1568" t="n"/>
    </row>
    <row r="30" ht="15.75" customHeight="1" s="1232">
      <c r="B30" s="1642" t="n"/>
      <c r="C30" s="240" t="inlineStr">
        <is>
          <t>Gift Voucher expires 28th May 2018</t>
        </is>
      </c>
      <c r="D30" s="1643" t="n"/>
      <c r="E30" s="1643" t="inlineStr">
        <is>
          <t>#00798 + £85 on w-play</t>
        </is>
      </c>
      <c r="F30" s="608" t="inlineStr">
        <is>
          <t>W-Play</t>
        </is>
      </c>
      <c r="G30" s="1644" t="n">
        <v>43068</v>
      </c>
      <c r="H30" s="1645">
        <f>50+85</f>
        <v/>
      </c>
      <c r="I30" s="1645" t="n"/>
      <c r="J30" s="1607" t="n">
        <v>0</v>
      </c>
      <c r="K30" s="1374" t="inlineStr">
        <is>
          <t>karenherd91@btinternet.com</t>
        </is>
      </c>
      <c r="L30" s="1260" t="inlineStr">
        <is>
          <t>Mrs</t>
        </is>
      </c>
      <c r="M30" s="1260" t="inlineStr">
        <is>
          <t>Karen</t>
        </is>
      </c>
      <c r="N30" s="1260" t="inlineStr">
        <is>
          <t>Herd</t>
        </is>
      </c>
      <c r="P30" s="1282" t="inlineStr">
        <is>
          <t>07948223453</t>
        </is>
      </c>
      <c r="Q30" s="1260" t="inlineStr">
        <is>
          <t>CV4 9BF</t>
        </is>
      </c>
      <c r="R30" s="1260" t="inlineStr">
        <is>
          <t>34 PHILMONT COURT</t>
        </is>
      </c>
      <c r="S30" s="1260" t="inlineStr">
        <is>
          <t>Coventry</t>
        </is>
      </c>
    </row>
    <row r="31" ht="15.75" customHeight="1" s="1232">
      <c r="B31" s="1642" t="n"/>
      <c r="C31" s="240" t="n"/>
      <c r="D31" s="1643" t="n"/>
      <c r="E31" s="1643" t="inlineStr">
        <is>
          <t>used £30 for 15th Feb Ken Intro Class</t>
        </is>
      </c>
      <c r="F31" s="608" t="n"/>
      <c r="G31" s="1644" t="n"/>
      <c r="H31" s="1645" t="n"/>
      <c r="I31" s="1645" t="n"/>
      <c r="J31" s="1607" t="n"/>
      <c r="K31" s="1374" t="n"/>
      <c r="P31" s="1282" t="n"/>
    </row>
    <row r="33" ht="15.75" customHeight="1" s="1232">
      <c r="B33" s="1642" t="inlineStr">
        <is>
          <t>TBA</t>
        </is>
      </c>
      <c r="C33" s="93" t="inlineStr">
        <is>
          <t xml:space="preserve">Gift Voucher </t>
        </is>
      </c>
      <c r="D33" s="1643" t="n"/>
      <c r="E33" s="1646" t="n"/>
      <c r="F33" s="637" t="inlineStr">
        <is>
          <t>#01167</t>
        </is>
      </c>
      <c r="G33" s="1631" t="n">
        <v>43429</v>
      </c>
      <c r="H33" s="1647" t="n">
        <v>120</v>
      </c>
      <c r="I33" s="1647" t="n"/>
      <c r="J33" s="1647" t="n">
        <v>0</v>
      </c>
      <c r="K33" s="1648" t="inlineStr">
        <is>
          <t xml:space="preserve">baytreesanbob@btinternet.com </t>
        </is>
      </c>
      <c r="L33" s="1260" t="inlineStr">
        <is>
          <t>Mr</t>
        </is>
      </c>
      <c r="M33" s="1260" t="inlineStr">
        <is>
          <t>Robert</t>
        </is>
      </c>
      <c r="N33" s="1260" t="inlineStr">
        <is>
          <t>Aulton</t>
        </is>
      </c>
      <c r="O33" s="1282" t="inlineStr">
        <is>
          <t>72</t>
        </is>
      </c>
      <c r="P33" s="1282" t="inlineStr">
        <is>
          <t>07811467701</t>
        </is>
      </c>
    </row>
    <row r="34" ht="15.75" customHeight="1" s="1232">
      <c r="B34" s="1642" t="n"/>
      <c r="C34" s="240" t="n"/>
      <c r="D34" s="1643" t="n"/>
      <c r="E34" s="1643" t="n"/>
      <c r="F34" s="608" t="n"/>
      <c r="G34" s="1644" t="n"/>
      <c r="H34" s="1645" t="n"/>
      <c r="I34" s="1645" t="n"/>
      <c r="J34" s="1607" t="n"/>
      <c r="K34" s="1374" t="n"/>
      <c r="P34" s="1282" t="n"/>
    </row>
    <row r="35" ht="15.75" customHeight="1" s="1232">
      <c r="B35" s="1642" t="n"/>
      <c r="C35" s="240" t="n"/>
      <c r="D35" s="1643" t="n"/>
      <c r="E35" s="1643" t="n"/>
      <c r="F35" s="608" t="n"/>
      <c r="G35" s="1644" t="n"/>
      <c r="H35" s="1645" t="n"/>
      <c r="I35" s="1645" t="n"/>
      <c r="J35" s="1607" t="n"/>
      <c r="K35" s="1374" t="n"/>
      <c r="P35" s="1282" t="n"/>
    </row>
    <row r="36" ht="15.75" customHeight="1" s="1232">
      <c r="B36" s="1642" t="n"/>
      <c r="C36" s="93" t="inlineStr">
        <is>
          <t>Gift Voucher</t>
        </is>
      </c>
      <c r="D36" s="1646" t="n"/>
      <c r="E36" s="1646" t="inlineStr">
        <is>
          <t>Google</t>
        </is>
      </c>
      <c r="F36" s="637" t="inlineStr">
        <is>
          <t>#00916</t>
        </is>
      </c>
      <c r="G36" s="1631" t="n">
        <v>43143</v>
      </c>
      <c r="H36" s="1647" t="n">
        <v>30</v>
      </c>
      <c r="I36" s="1647" t="n"/>
      <c r="J36" s="1647" t="n">
        <v>0</v>
      </c>
      <c r="K36" s="1648" t="inlineStr">
        <is>
          <t xml:space="preserve">lucy.williams@cseplc.com </t>
        </is>
      </c>
      <c r="L36" s="1274" t="inlineStr">
        <is>
          <t>Mr</t>
        </is>
      </c>
      <c r="M36" s="1274" t="inlineStr">
        <is>
          <t>Gary</t>
        </is>
      </c>
      <c r="N36" s="1274" t="inlineStr">
        <is>
          <t>Mitchell</t>
        </is>
      </c>
      <c r="O36" s="1406" t="inlineStr">
        <is>
          <t>43</t>
        </is>
      </c>
      <c r="P36" s="1282" t="inlineStr">
        <is>
          <t>07412585357</t>
        </is>
      </c>
    </row>
    <row r="37" ht="15.75" customHeight="1" s="1232">
      <c r="B37" s="1642" t="n"/>
      <c r="C37" s="93" t="inlineStr">
        <is>
          <t>Gift Voucher</t>
        </is>
      </c>
      <c r="D37" s="1643" t="n"/>
      <c r="E37" s="1643" t="inlineStr">
        <is>
          <t>Google</t>
        </is>
      </c>
      <c r="F37" s="608" t="inlineStr">
        <is>
          <t>#01124</t>
        </is>
      </c>
      <c r="G37" s="1644" t="n">
        <v>43380</v>
      </c>
      <c r="H37" s="1645" t="n">
        <v>75</v>
      </c>
      <c r="I37" s="1645" t="n"/>
      <c r="J37" s="1607" t="n">
        <v>0</v>
      </c>
      <c r="K37" s="1374" t="inlineStr">
        <is>
          <t xml:space="preserve">katiesiddle1@hotmail.co.uk </t>
        </is>
      </c>
      <c r="L37" s="1260" t="inlineStr">
        <is>
          <t>Mrs</t>
        </is>
      </c>
      <c r="M37" s="1260" t="inlineStr">
        <is>
          <t>Helen</t>
        </is>
      </c>
      <c r="N37" s="1260" t="inlineStr">
        <is>
          <t>Stephenson</t>
        </is>
      </c>
      <c r="O37" s="1282" t="inlineStr">
        <is>
          <t>60</t>
        </is>
      </c>
      <c r="P37" s="1282" t="n"/>
    </row>
    <row r="38" ht="15.75" customHeight="1" s="1232">
      <c r="B38" s="1642" t="n"/>
      <c r="C38" s="240" t="n"/>
      <c r="D38" s="1643" t="n"/>
      <c r="E38" s="1643" t="n"/>
      <c r="F38" s="608" t="n"/>
      <c r="G38" s="1644" t="n"/>
      <c r="H38" s="1645" t="n"/>
      <c r="I38" s="1645" t="n"/>
      <c r="J38" s="1607" t="n"/>
      <c r="K38" s="1374" t="n"/>
      <c r="P38" s="1282" t="n"/>
    </row>
    <row r="39" ht="15.75" customHeight="1" s="1232">
      <c r="B39" s="1642" t="n"/>
      <c r="C39" s="240" t="n"/>
      <c r="D39" s="1643" t="n"/>
      <c r="E39" s="1643" t="n"/>
      <c r="F39" s="608" t="n"/>
      <c r="G39" s="1644" t="n"/>
      <c r="H39" s="1645" t="n"/>
      <c r="I39" s="1645" t="n"/>
      <c r="J39" s="1607" t="n"/>
      <c r="K39" s="1374" t="n"/>
      <c r="P39" s="1282" t="n"/>
    </row>
    <row r="40" ht="15.75" customHeight="1" s="1232">
      <c r="B40" s="1642" t="n"/>
      <c r="C40" s="216" t="inlineStr">
        <is>
          <t>Digital Gift Card</t>
        </is>
      </c>
      <c r="D40" s="1638" t="n"/>
      <c r="E40" s="1638" t="inlineStr">
        <is>
          <t>Emma Mehrabanpour</t>
        </is>
      </c>
      <c r="F40" s="214" t="inlineStr">
        <is>
          <t>#00812</t>
        </is>
      </c>
      <c r="G40" s="1639" t="n">
        <v>43080</v>
      </c>
      <c r="H40" s="1640" t="n">
        <v>50</v>
      </c>
      <c r="I40" s="1640" t="n"/>
      <c r="J40" s="1607" t="inlineStr">
        <is>
          <t>#01073</t>
        </is>
      </c>
      <c r="K40" s="1374" t="inlineStr">
        <is>
          <t>John Cummins</t>
        </is>
      </c>
      <c r="P40" s="1282" t="n"/>
    </row>
    <row r="41" ht="15.75" customHeight="1" s="1232">
      <c r="B41" s="1642" t="n"/>
      <c r="C41" s="93" t="inlineStr">
        <is>
          <t>Digital Gift Card</t>
        </is>
      </c>
      <c r="D41" s="1568" t="n"/>
      <c r="E41" s="1568" t="inlineStr">
        <is>
          <t>Helen Robinson</t>
        </is>
      </c>
      <c r="F41" s="87" t="inlineStr">
        <is>
          <t>#00820</t>
        </is>
      </c>
      <c r="G41" s="1631" t="n">
        <v>43085</v>
      </c>
      <c r="H41" s="1607" t="n">
        <v>50</v>
      </c>
      <c r="I41" s="1607" t="n">
        <v>50</v>
      </c>
      <c r="J41" s="1607" t="inlineStr">
        <is>
          <t>#00950</t>
        </is>
      </c>
      <c r="K41" s="1374" t="inlineStr">
        <is>
          <t>Caroline Robinson</t>
        </is>
      </c>
      <c r="L41" s="1260" t="inlineStr">
        <is>
          <t>used £30</t>
        </is>
      </c>
      <c r="P41" s="1282" t="n"/>
    </row>
    <row r="42" ht="15.75" customHeight="1" s="1232">
      <c r="B42" s="1642" t="n"/>
      <c r="C42" s="93" t="n"/>
      <c r="D42" s="1568" t="n"/>
      <c r="E42" s="1568" t="n"/>
      <c r="F42" s="87" t="n"/>
      <c r="G42" s="1631" t="n"/>
      <c r="H42" s="1607" t="n"/>
      <c r="I42" s="1607" t="n"/>
      <c r="J42" s="1607" t="n"/>
      <c r="K42" s="1374" t="n"/>
      <c r="P42" s="1282" t="n"/>
    </row>
    <row r="43" ht="15.75" customHeight="1" s="1232">
      <c r="B43" s="1642" t="n"/>
      <c r="C43" s="216" t="inlineStr">
        <is>
          <t>Digital Gift Card</t>
        </is>
      </c>
      <c r="D43" s="1638" t="n"/>
      <c r="E43" s="1638" t="inlineStr">
        <is>
          <t>Matthew Davis</t>
        </is>
      </c>
      <c r="F43" s="214" t="inlineStr">
        <is>
          <t>#00819</t>
        </is>
      </c>
      <c r="G43" s="1639" t="n">
        <v>43085</v>
      </c>
      <c r="H43" s="1640" t="n">
        <v>50</v>
      </c>
      <c r="I43" s="1640" t="n"/>
      <c r="J43" s="1607" t="inlineStr">
        <is>
          <t>#00899</t>
        </is>
      </c>
      <c r="K43" s="1260" t="inlineStr">
        <is>
          <t>Peter Davis</t>
        </is>
      </c>
      <c r="P43" s="1282" t="n"/>
    </row>
    <row r="44" ht="15.75" customHeight="1" s="1232">
      <c r="B44" s="1642" t="n"/>
      <c r="C44" s="216" t="inlineStr">
        <is>
          <t>Digital Gift Card</t>
        </is>
      </c>
      <c r="D44" s="1638" t="n"/>
      <c r="E44" s="1638" t="inlineStr">
        <is>
          <t>Laura Steele</t>
        </is>
      </c>
      <c r="F44" s="214" t="inlineStr">
        <is>
          <t>#00817</t>
        </is>
      </c>
      <c r="G44" s="1639" t="n">
        <v>43083</v>
      </c>
      <c r="H44" s="1640" t="n">
        <v>50</v>
      </c>
      <c r="I44" s="1640" t="n"/>
      <c r="J44" s="1607" t="inlineStr">
        <is>
          <t>#01153</t>
        </is>
      </c>
      <c r="K44" s="1374" t="inlineStr">
        <is>
          <t>James Newbury</t>
        </is>
      </c>
      <c r="P44" s="1282" t="n"/>
    </row>
    <row r="45" ht="15.75" customHeight="1" s="1232">
      <c r="B45" s="1642" t="n"/>
      <c r="C45" s="93" t="inlineStr">
        <is>
          <t>Digital Gift Card</t>
        </is>
      </c>
      <c r="D45" s="1568" t="n"/>
      <c r="E45" s="1638" t="inlineStr">
        <is>
          <t>Kerry Bottomley</t>
        </is>
      </c>
      <c r="F45" s="214" t="inlineStr">
        <is>
          <t>#00823</t>
        </is>
      </c>
      <c r="G45" s="1639" t="n">
        <v>43090</v>
      </c>
      <c r="H45" s="1640" t="n">
        <v>50</v>
      </c>
      <c r="I45" s="1640" t="n"/>
      <c r="J45" s="1607" t="inlineStr">
        <is>
          <t>#00147</t>
        </is>
      </c>
      <c r="K45" s="1374" t="inlineStr">
        <is>
          <t>Andrew Bottomley</t>
        </is>
      </c>
      <c r="P45" s="1282" t="n"/>
    </row>
    <row r="46" ht="15.75" customHeight="1" s="1232">
      <c r="B46" s="1642" t="n"/>
      <c r="C46" s="216" t="inlineStr">
        <is>
          <t>Digital Gift Card</t>
        </is>
      </c>
      <c r="D46" s="1638" t="n"/>
      <c r="E46" s="1638" t="inlineStr">
        <is>
          <t>michaella robb</t>
        </is>
      </c>
      <c r="F46" s="214" t="inlineStr">
        <is>
          <t>#00828</t>
        </is>
      </c>
      <c r="G46" s="1639" t="n">
        <v>43093</v>
      </c>
      <c r="H46" s="1640" t="n">
        <v>50</v>
      </c>
      <c r="I46" s="1640" t="n"/>
      <c r="J46" s="1607" t="inlineStr">
        <is>
          <t>#00999</t>
        </is>
      </c>
      <c r="K46" s="1374" t="inlineStr">
        <is>
          <t>Daniel Robb</t>
        </is>
      </c>
      <c r="P46" s="1282" t="n"/>
    </row>
    <row r="47" ht="15.75" customHeight="1" s="1232">
      <c r="B47" s="1642" t="n"/>
      <c r="C47" s="216" t="inlineStr">
        <is>
          <t>Digital Gift Card</t>
        </is>
      </c>
      <c r="D47" s="1638" t="n"/>
      <c r="E47" s="1638" t="inlineStr">
        <is>
          <t>Jan Whaley</t>
        </is>
      </c>
      <c r="F47" s="214" t="inlineStr">
        <is>
          <t>#00831</t>
        </is>
      </c>
      <c r="G47" s="1639" t="n">
        <v>43096</v>
      </c>
      <c r="H47" s="1640" t="n">
        <v>150</v>
      </c>
      <c r="I47" s="1640" t="n"/>
      <c r="J47" s="1607" t="inlineStr">
        <is>
          <t>used £150</t>
        </is>
      </c>
      <c r="K47" s="1374" t="inlineStr">
        <is>
          <t>Paul Kilford</t>
        </is>
      </c>
      <c r="P47" s="1282" t="n"/>
    </row>
    <row r="48" ht="15.75" customHeight="1" s="1232">
      <c r="B48" s="1642" t="n"/>
      <c r="C48" s="216" t="inlineStr">
        <is>
          <t>Digital Gift Card</t>
        </is>
      </c>
      <c r="D48" s="1638" t="n"/>
      <c r="E48" s="1638" t="inlineStr">
        <is>
          <t>Pam Roberts</t>
        </is>
      </c>
      <c r="F48" s="214" t="inlineStr">
        <is>
          <t>#00838</t>
        </is>
      </c>
      <c r="G48" s="1639" t="n">
        <v>43105</v>
      </c>
      <c r="H48" s="1640" t="n">
        <v>150</v>
      </c>
      <c r="I48" s="1640" t="n"/>
      <c r="J48" s="1607" t="inlineStr">
        <is>
          <t>#01107</t>
        </is>
      </c>
      <c r="K48" s="1260" t="inlineStr">
        <is>
          <t>Claire Finch</t>
        </is>
      </c>
      <c r="P48" s="1282" t="n"/>
    </row>
    <row r="49" ht="15.75" customHeight="1" s="1232">
      <c r="C49" s="93" t="inlineStr">
        <is>
          <t>Digital Gift Card</t>
        </is>
      </c>
      <c r="D49" s="1568" t="n"/>
      <c r="E49" s="1568" t="inlineStr">
        <is>
          <t>Anne Henry</t>
        </is>
      </c>
      <c r="F49" s="87" t="inlineStr">
        <is>
          <t>#00960</t>
        </is>
      </c>
      <c r="G49" s="1631" t="n">
        <v>43166</v>
      </c>
      <c r="H49" s="1607" t="n">
        <v>150</v>
      </c>
      <c r="I49" s="1607" t="n">
        <v>150</v>
      </c>
      <c r="J49" s="1607" t="n"/>
      <c r="K49" s="1374" t="n"/>
    </row>
    <row r="50">
      <c r="C50" s="93" t="inlineStr">
        <is>
          <t>Digital Gift Card</t>
        </is>
      </c>
      <c r="D50" s="1568" t="n"/>
      <c r="E50" s="1568" t="inlineStr">
        <is>
          <t>Neil Giblett</t>
        </is>
      </c>
      <c r="F50" s="87" t="inlineStr">
        <is>
          <t>#00973</t>
        </is>
      </c>
      <c r="G50" s="1631" t="n">
        <v>43171</v>
      </c>
      <c r="H50" s="1607" t="n">
        <v>50</v>
      </c>
      <c r="I50" s="1607" t="n">
        <v>50</v>
      </c>
      <c r="J50" s="1607" t="n"/>
    </row>
    <row r="51">
      <c r="C51" s="93" t="inlineStr">
        <is>
          <t>Digital Gift Card</t>
        </is>
      </c>
      <c r="D51" s="1568" t="n"/>
      <c r="E51" s="1568" t="inlineStr">
        <is>
          <t>Jacqui Chislett</t>
        </is>
      </c>
      <c r="F51" s="87" t="inlineStr">
        <is>
          <t>#00984</t>
        </is>
      </c>
      <c r="G51" s="1631" t="n">
        <v>43186</v>
      </c>
      <c r="H51" s="1607" t="n">
        <v>300</v>
      </c>
      <c r="I51" s="1607" t="n">
        <v>300</v>
      </c>
      <c r="J51" s="1607" t="n"/>
    </row>
    <row r="52">
      <c r="C52" s="216" t="inlineStr">
        <is>
          <t>Digital Gift Card</t>
        </is>
      </c>
      <c r="D52" s="1638" t="n"/>
      <c r="E52" s="1638" t="inlineStr">
        <is>
          <t>Jeremy Troth</t>
        </is>
      </c>
      <c r="F52" s="214" t="inlineStr">
        <is>
          <t>#01042</t>
        </is>
      </c>
      <c r="G52" s="1639" t="n">
        <v>43269</v>
      </c>
      <c r="H52" s="1640" t="n">
        <v>50</v>
      </c>
      <c r="I52" s="1640" t="n"/>
      <c r="J52" s="1607" t="inlineStr">
        <is>
          <t>#01046</t>
        </is>
      </c>
    </row>
    <row r="53">
      <c r="C53" s="216" t="inlineStr">
        <is>
          <t>Digital Gift Card</t>
        </is>
      </c>
      <c r="D53" s="1638" t="n"/>
      <c r="E53" s="1638" t="inlineStr">
        <is>
          <t>Julia Arnold</t>
        </is>
      </c>
      <c r="F53" s="214" t="inlineStr">
        <is>
          <t>#01066</t>
        </is>
      </c>
      <c r="G53" s="1639" t="n">
        <v>43318</v>
      </c>
      <c r="H53" s="1640" t="n">
        <v>50</v>
      </c>
      <c r="I53" s="1640" t="n"/>
      <c r="J53" s="1607" t="inlineStr">
        <is>
          <t>#01477</t>
        </is>
      </c>
      <c r="K53" s="1568" t="inlineStr">
        <is>
          <t>Phil Ogrady</t>
        </is>
      </c>
    </row>
    <row r="54">
      <c r="C54" s="93" t="inlineStr">
        <is>
          <t>Digital Gift Card</t>
        </is>
      </c>
      <c r="D54" s="1568" t="n"/>
      <c r="E54" s="1568" t="inlineStr">
        <is>
          <t>Les Pratt</t>
        </is>
      </c>
      <c r="F54" s="87" t="inlineStr">
        <is>
          <t>#01172</t>
        </is>
      </c>
      <c r="G54" s="1631" t="n">
        <v>43430</v>
      </c>
      <c r="H54" s="1607" t="n">
        <v>200</v>
      </c>
      <c r="I54" s="1607" t="n">
        <v>200</v>
      </c>
      <c r="J54" s="1607" t="n"/>
    </row>
    <row r="55">
      <c r="C55" s="216" t="inlineStr">
        <is>
          <t>Digital Gift Card</t>
        </is>
      </c>
      <c r="D55" s="1638" t="n"/>
      <c r="E55" s="1638" t="inlineStr">
        <is>
          <t>Mark Pascoe</t>
        </is>
      </c>
      <c r="F55" s="214" t="inlineStr">
        <is>
          <t>#01180</t>
        </is>
      </c>
      <c r="G55" s="1639" t="n">
        <v>43444</v>
      </c>
      <c r="H55" s="1640" t="n">
        <v>30</v>
      </c>
      <c r="I55" s="1640" t="n"/>
      <c r="J55" s="1607" t="inlineStr">
        <is>
          <t>#01201</t>
        </is>
      </c>
      <c r="K55" s="1568" t="inlineStr">
        <is>
          <t>Nikola Baty</t>
        </is>
      </c>
    </row>
    <row r="56">
      <c r="C56" s="216" t="inlineStr">
        <is>
          <t>Digital Gift Card</t>
        </is>
      </c>
      <c r="D56" s="1638" t="n"/>
      <c r="E56" s="1638" t="inlineStr">
        <is>
          <t>Holly Robinson</t>
        </is>
      </c>
      <c r="F56" s="214" t="inlineStr">
        <is>
          <t>#01186</t>
        </is>
      </c>
      <c r="G56" s="1639" t="n">
        <v>43447</v>
      </c>
      <c r="H56" s="1640" t="n">
        <v>100</v>
      </c>
      <c r="I56" s="1640" t="n"/>
      <c r="J56" s="1640" t="inlineStr">
        <is>
          <t>#01252</t>
        </is>
      </c>
      <c r="K56" s="1638" t="inlineStr">
        <is>
          <t>Con McHUgh</t>
        </is>
      </c>
    </row>
    <row r="57">
      <c r="C57" s="216" t="inlineStr">
        <is>
          <t>Digital Gift Card</t>
        </is>
      </c>
      <c r="D57" s="1638" t="n"/>
      <c r="E57" s="1638" t="inlineStr">
        <is>
          <t>Michael Lally</t>
        </is>
      </c>
      <c r="F57" s="214" t="inlineStr">
        <is>
          <t>#01188</t>
        </is>
      </c>
      <c r="G57" s="1639" t="n">
        <v>43449</v>
      </c>
      <c r="H57" s="1640" t="n">
        <v>250</v>
      </c>
      <c r="I57" s="1640" t="n"/>
      <c r="J57" s="1640" t="n"/>
      <c r="K57" s="1638" t="inlineStr">
        <is>
          <t>Rosie Lally</t>
        </is>
      </c>
    </row>
    <row r="58">
      <c r="C58" s="216" t="inlineStr">
        <is>
          <t>Digital Gift Card</t>
        </is>
      </c>
      <c r="D58" s="1638" t="n"/>
      <c r="E58" s="1638" t="inlineStr">
        <is>
          <t>Wendy Davis</t>
        </is>
      </c>
      <c r="F58" s="214" t="inlineStr">
        <is>
          <t>#01189</t>
        </is>
      </c>
      <c r="G58" s="1639" t="n">
        <v>43449</v>
      </c>
      <c r="H58" s="1640" t="n">
        <v>50</v>
      </c>
      <c r="I58" s="1640" t="n"/>
      <c r="J58" s="1607" t="inlineStr">
        <is>
          <t>#01407</t>
        </is>
      </c>
      <c r="K58" s="1568" t="inlineStr">
        <is>
          <t>Alex Davis</t>
        </is>
      </c>
    </row>
    <row r="59">
      <c r="C59" s="93" t="inlineStr">
        <is>
          <t>Digital Gift Card</t>
        </is>
      </c>
      <c r="D59" s="1568" t="n"/>
      <c r="E59" s="1568" t="inlineStr">
        <is>
          <t>Helen Jerina</t>
        </is>
      </c>
      <c r="F59" s="87" t="inlineStr">
        <is>
          <t>#01190</t>
        </is>
      </c>
      <c r="G59" s="1631" t="n">
        <v>43450</v>
      </c>
      <c r="H59" s="1607" t="n">
        <v>25</v>
      </c>
      <c r="I59" s="1607" t="n">
        <v>25</v>
      </c>
      <c r="J59" s="1607" t="n"/>
    </row>
    <row r="60">
      <c r="C60" s="93" t="inlineStr">
        <is>
          <t>Digital Gift Card</t>
        </is>
      </c>
      <c r="D60" s="1568" t="n"/>
      <c r="E60" s="1568" t="inlineStr">
        <is>
          <t>Helen Jerina</t>
        </is>
      </c>
      <c r="F60" s="87" t="inlineStr">
        <is>
          <t>#01191</t>
        </is>
      </c>
      <c r="G60" s="1631" t="n">
        <v>43450</v>
      </c>
      <c r="H60" s="1607" t="n">
        <v>50</v>
      </c>
      <c r="I60" s="1607" t="n">
        <v>50</v>
      </c>
      <c r="J60" s="1607" t="n"/>
    </row>
    <row r="61">
      <c r="C61" s="93" t="inlineStr">
        <is>
          <t>Digital Gift Card</t>
        </is>
      </c>
      <c r="D61" s="1568" t="n"/>
      <c r="E61" s="1568" t="inlineStr">
        <is>
          <t>stacey Rose</t>
        </is>
      </c>
      <c r="F61" s="87" t="inlineStr">
        <is>
          <t>#01193</t>
        </is>
      </c>
      <c r="G61" s="1631" t="n">
        <v>43453</v>
      </c>
      <c r="H61" s="1607" t="n">
        <v>50</v>
      </c>
      <c r="I61" s="1607" t="n">
        <v>50</v>
      </c>
      <c r="J61" s="1607" t="n"/>
    </row>
    <row r="62">
      <c r="C62" s="93" t="inlineStr">
        <is>
          <t>Digital Gift Card</t>
        </is>
      </c>
      <c r="D62" s="1568" t="n"/>
      <c r="E62" s="1568" t="inlineStr">
        <is>
          <t>stacey Rose</t>
        </is>
      </c>
      <c r="F62" s="87" t="inlineStr">
        <is>
          <t>#01192</t>
        </is>
      </c>
      <c r="G62" s="1631" t="n">
        <v>43453</v>
      </c>
      <c r="H62" s="1607" t="n">
        <v>25</v>
      </c>
      <c r="I62" s="1607" t="n">
        <v>25</v>
      </c>
      <c r="J62" s="1607" t="n"/>
    </row>
    <row r="63">
      <c r="C63" s="216" t="inlineStr">
        <is>
          <t>Digital Gift Card</t>
        </is>
      </c>
      <c r="D63" s="1638" t="n"/>
      <c r="E63" s="1638" t="inlineStr">
        <is>
          <t>Maxine Tighe</t>
        </is>
      </c>
      <c r="F63" s="214" t="inlineStr">
        <is>
          <t>#01194</t>
        </is>
      </c>
      <c r="G63" s="1639" t="n">
        <v>43453</v>
      </c>
      <c r="H63" s="1640" t="n">
        <v>30</v>
      </c>
      <c r="I63" s="1640" t="n"/>
      <c r="J63" s="1607" t="inlineStr">
        <is>
          <t>#01226</t>
        </is>
      </c>
      <c r="K63" s="1568" t="inlineStr">
        <is>
          <t>David Howell</t>
        </is>
      </c>
    </row>
    <row r="64">
      <c r="C64" s="93" t="inlineStr">
        <is>
          <t>Digital Gift Card</t>
        </is>
      </c>
      <c r="D64" s="1568" t="n"/>
      <c r="E64" s="1568" t="inlineStr">
        <is>
          <t>Lesley Ford</t>
        </is>
      </c>
      <c r="F64" s="87" t="inlineStr">
        <is>
          <t>#01196</t>
        </is>
      </c>
      <c r="G64" s="1631" t="n">
        <v>43455</v>
      </c>
      <c r="H64" s="1607" t="n">
        <v>100</v>
      </c>
      <c r="I64" s="1607" t="n">
        <v>100</v>
      </c>
      <c r="J64" s="1607" t="n"/>
    </row>
    <row r="65">
      <c r="C65" s="216" t="inlineStr">
        <is>
          <t>Digital Gift Card</t>
        </is>
      </c>
      <c r="D65" s="1638" t="n"/>
      <c r="E65" s="1638" t="inlineStr">
        <is>
          <t>Christine Cowley</t>
        </is>
      </c>
      <c r="F65" s="214" t="inlineStr">
        <is>
          <t>#00198</t>
        </is>
      </c>
      <c r="G65" s="1639" t="n">
        <v>43459</v>
      </c>
      <c r="H65" s="1640" t="n">
        <v>30</v>
      </c>
      <c r="I65" s="1640" t="n"/>
      <c r="J65" s="1607" t="inlineStr">
        <is>
          <t>#01203</t>
        </is>
      </c>
      <c r="K65" s="1568" t="inlineStr">
        <is>
          <t>Donna Cowley</t>
        </is>
      </c>
    </row>
    <row r="66">
      <c r="C66" s="216" t="inlineStr">
        <is>
          <t>Digital Gift Card</t>
        </is>
      </c>
      <c r="D66" s="1638" t="n"/>
      <c r="E66" s="1638" t="inlineStr">
        <is>
          <t>Celia Pearce</t>
        </is>
      </c>
      <c r="F66" s="214" t="inlineStr">
        <is>
          <t>#01294</t>
        </is>
      </c>
      <c r="G66" s="1639" t="n">
        <v>43558</v>
      </c>
      <c r="H66" s="1640" t="n">
        <v>50</v>
      </c>
      <c r="I66" s="1640" t="n"/>
      <c r="J66" s="1640" t="inlineStr">
        <is>
          <t>#01463</t>
        </is>
      </c>
      <c r="K66" s="1638" t="inlineStr">
        <is>
          <t>Christopher Burnard</t>
        </is>
      </c>
    </row>
    <row r="67">
      <c r="C67" s="216" t="inlineStr">
        <is>
          <t>Digital Gift Card</t>
        </is>
      </c>
      <c r="D67" s="1638" t="n"/>
      <c r="E67" s="1638" t="inlineStr">
        <is>
          <t>Jane Martindale</t>
        </is>
      </c>
      <c r="F67" s="214" t="inlineStr">
        <is>
          <t>#01306</t>
        </is>
      </c>
      <c r="G67" s="1639" t="n">
        <v>43565</v>
      </c>
      <c r="H67" s="1640" t="n">
        <v>100</v>
      </c>
      <c r="I67" s="1640" t="n"/>
      <c r="J67" s="1607" t="inlineStr">
        <is>
          <t>#01394</t>
        </is>
      </c>
      <c r="K67" s="1568" t="inlineStr">
        <is>
          <t>Anthony Nicholls</t>
        </is>
      </c>
    </row>
    <row r="68">
      <c r="C68" s="216" t="inlineStr">
        <is>
          <t>Digital Gift Card</t>
        </is>
      </c>
      <c r="D68" s="1638" t="n"/>
      <c r="E68" s="1638" t="inlineStr">
        <is>
          <t>Jason Bevis</t>
        </is>
      </c>
      <c r="F68" s="214" t="inlineStr">
        <is>
          <t>#01335</t>
        </is>
      </c>
      <c r="G68" s="1639" t="n">
        <v>43584</v>
      </c>
      <c r="H68" s="1640" t="n">
        <v>30</v>
      </c>
      <c r="I68" s="1640" t="n"/>
      <c r="J68" s="1607" t="inlineStr">
        <is>
          <t>#01422</t>
        </is>
      </c>
      <c r="K68" s="1568" t="inlineStr">
        <is>
          <t>Hannah Dixon</t>
        </is>
      </c>
    </row>
    <row r="69">
      <c r="C69" s="93" t="inlineStr">
        <is>
          <t>Digital Gift Card</t>
        </is>
      </c>
      <c r="D69" s="1568" t="n"/>
      <c r="E69" s="1568" t="inlineStr">
        <is>
          <t>Madelaine Davies</t>
        </is>
      </c>
      <c r="F69" s="87" t="inlineStr">
        <is>
          <t>#01363</t>
        </is>
      </c>
      <c r="G69" s="1631" t="n">
        <v>43607</v>
      </c>
      <c r="H69" s="1607" t="n">
        <v>30</v>
      </c>
      <c r="I69" s="1607" t="n">
        <v>30</v>
      </c>
      <c r="J69" s="1607" t="n"/>
    </row>
    <row r="70">
      <c r="C70" s="216" t="inlineStr">
        <is>
          <t>Digital Gift Card</t>
        </is>
      </c>
      <c r="D70" s="1638" t="n"/>
      <c r="E70" s="1638" t="inlineStr">
        <is>
          <t>Hannah Turnbull</t>
        </is>
      </c>
      <c r="F70" s="214" t="inlineStr">
        <is>
          <t>#01458</t>
        </is>
      </c>
      <c r="G70" s="1639" t="n">
        <v>43715</v>
      </c>
      <c r="H70" s="1640" t="n">
        <v>425</v>
      </c>
      <c r="I70" s="1640" t="n"/>
      <c r="J70" s="1607" t="inlineStr">
        <is>
          <t>#01476</t>
        </is>
      </c>
      <c r="K70" s="1568" t="inlineStr">
        <is>
          <t>Iain Turnbull</t>
        </is>
      </c>
    </row>
    <row r="71">
      <c r="C71" s="93" t="inlineStr">
        <is>
          <t>Digital Gift Card</t>
        </is>
      </c>
      <c r="D71" s="1568" t="n"/>
      <c r="E71" s="1568" t="inlineStr">
        <is>
          <t>pardeep atwal</t>
        </is>
      </c>
      <c r="F71" s="87" t="inlineStr">
        <is>
          <t>#01465</t>
        </is>
      </c>
      <c r="G71" s="1631" t="n">
        <v>43719</v>
      </c>
      <c r="H71" s="1607" t="n">
        <v>250</v>
      </c>
      <c r="I71" s="1607" t="n">
        <v>250</v>
      </c>
      <c r="J71" s="1607" t="n"/>
      <c r="K71" s="1568" t="inlineStr">
        <is>
          <t>Harriet Bowley</t>
        </is>
      </c>
    </row>
    <row r="72">
      <c r="C72" s="216" t="inlineStr">
        <is>
          <t>Digital Gift Card</t>
        </is>
      </c>
      <c r="D72" s="1638" t="n"/>
      <c r="E72" s="1638" t="inlineStr">
        <is>
          <t>Pauline Jordan</t>
        </is>
      </c>
      <c r="F72" s="214" t="inlineStr">
        <is>
          <t>#01513</t>
        </is>
      </c>
      <c r="G72" s="1639" t="n">
        <v>43773</v>
      </c>
      <c r="H72" s="1640" t="n">
        <v>50</v>
      </c>
      <c r="I72" s="1607" t="n">
        <v>0</v>
      </c>
      <c r="J72" s="1607" t="inlineStr">
        <is>
          <t>#01583</t>
        </is>
      </c>
      <c r="K72" s="1568" t="inlineStr">
        <is>
          <t>Janice Jordan</t>
        </is>
      </c>
    </row>
    <row r="73">
      <c r="C73" s="216" t="inlineStr">
        <is>
          <t>Digital Gift Card</t>
        </is>
      </c>
      <c r="D73" s="1638" t="n"/>
      <c r="E73" s="1638" t="inlineStr">
        <is>
          <t>andrew wallace</t>
        </is>
      </c>
      <c r="F73" s="214" t="inlineStr">
        <is>
          <t>#01553</t>
        </is>
      </c>
      <c r="G73" s="1639" t="n">
        <v>43809</v>
      </c>
      <c r="H73" s="1640" t="n">
        <v>350</v>
      </c>
      <c r="I73" s="1640" t="n">
        <v>0</v>
      </c>
      <c r="J73" s="1607" t="inlineStr">
        <is>
          <t>#01959</t>
        </is>
      </c>
      <c r="K73" s="1568" t="inlineStr">
        <is>
          <t>Sally Wallace</t>
        </is>
      </c>
    </row>
    <row r="74">
      <c r="C74" s="216" t="inlineStr">
        <is>
          <t>Digital Gift Card</t>
        </is>
      </c>
      <c r="D74" s="1638" t="n"/>
      <c r="E74" s="1638" t="inlineStr">
        <is>
          <t>Elizabeth Kenny</t>
        </is>
      </c>
      <c r="F74" s="214" t="inlineStr">
        <is>
          <t>#01560</t>
        </is>
      </c>
      <c r="G74" s="1639" t="n">
        <v>43816</v>
      </c>
      <c r="H74" s="1640" t="n">
        <v>75</v>
      </c>
      <c r="I74" s="1640" t="n">
        <v>0</v>
      </c>
      <c r="J74" s="1607" t="inlineStr">
        <is>
          <t>#02313</t>
        </is>
      </c>
      <c r="K74" s="1568" t="inlineStr">
        <is>
          <t>Joanne Galloway</t>
        </is>
      </c>
    </row>
    <row r="75">
      <c r="C75" s="93" t="inlineStr">
        <is>
          <t>Digital Gift Card</t>
        </is>
      </c>
      <c r="D75" s="1568" t="n"/>
      <c r="E75" s="1568" t="inlineStr">
        <is>
          <t>Ann Marie Howarth</t>
        </is>
      </c>
      <c r="F75" s="87" t="inlineStr">
        <is>
          <t>#01561</t>
        </is>
      </c>
      <c r="G75" s="1631" t="n">
        <v>43816</v>
      </c>
      <c r="H75" s="1607" t="n">
        <v>100</v>
      </c>
      <c r="I75" s="1607" t="n">
        <v>100</v>
      </c>
      <c r="J75" s="1607" t="n"/>
    </row>
    <row r="76">
      <c r="C76" s="93" t="inlineStr">
        <is>
          <t>Digital Gift Card</t>
        </is>
      </c>
      <c r="D76" s="1568" t="n"/>
      <c r="E76" s="1568" t="inlineStr">
        <is>
          <t>Mandy Earl</t>
        </is>
      </c>
      <c r="F76" s="87" t="inlineStr">
        <is>
          <t>#01565</t>
        </is>
      </c>
      <c r="G76" s="1631" t="n">
        <v>43817</v>
      </c>
      <c r="H76" s="1607" t="n">
        <v>150</v>
      </c>
      <c r="I76" s="1607" t="n"/>
      <c r="J76" s="1607" t="n"/>
    </row>
    <row r="77">
      <c r="C77" s="216" t="inlineStr">
        <is>
          <t>Digital Gift Card</t>
        </is>
      </c>
      <c r="D77" s="1638" t="n"/>
      <c r="E77" s="1638" t="inlineStr">
        <is>
          <t>Peter Jordan</t>
        </is>
      </c>
      <c r="F77" s="214" t="inlineStr">
        <is>
          <t>#01566</t>
        </is>
      </c>
      <c r="G77" s="1639" t="n">
        <v>43817</v>
      </c>
      <c r="H77" s="1640" t="n">
        <v>50</v>
      </c>
      <c r="I77" s="1640" t="n">
        <v>0</v>
      </c>
      <c r="J77" s="1607" t="inlineStr">
        <is>
          <t>#01619</t>
        </is>
      </c>
      <c r="K77" s="1568" t="inlineStr">
        <is>
          <t>Janice Jordan</t>
        </is>
      </c>
    </row>
    <row r="78">
      <c r="C78" s="93" t="inlineStr">
        <is>
          <t>Digital Gift Card</t>
        </is>
      </c>
      <c r="D78" s="1568" t="n"/>
      <c r="E78" s="1568" t="inlineStr">
        <is>
          <t>James Morrell</t>
        </is>
      </c>
      <c r="F78" s="87" t="inlineStr">
        <is>
          <t>#01568</t>
        </is>
      </c>
      <c r="G78" s="1631" t="n">
        <v>43818</v>
      </c>
      <c r="H78" s="1607" t="n">
        <v>50</v>
      </c>
      <c r="I78" s="1607" t="n">
        <v>50</v>
      </c>
      <c r="J78" s="1607" t="n"/>
    </row>
    <row r="79">
      <c r="C79" s="93" t="inlineStr">
        <is>
          <t>Digital Gift Card</t>
        </is>
      </c>
      <c r="D79" s="1568" t="n"/>
      <c r="E79" s="1568" t="inlineStr">
        <is>
          <t>Alia Fahmy</t>
        </is>
      </c>
      <c r="F79" s="87" t="inlineStr">
        <is>
          <t>#01569</t>
        </is>
      </c>
      <c r="G79" s="1631" t="n">
        <v>43819</v>
      </c>
      <c r="H79" s="1607" t="n">
        <v>100</v>
      </c>
      <c r="I79" s="1607" t="n">
        <v>100</v>
      </c>
      <c r="J79" s="1607" t="n"/>
    </row>
    <row r="80">
      <c r="C80" s="93" t="inlineStr">
        <is>
          <t>Digital Gift Card</t>
        </is>
      </c>
      <c r="D80" s="1568" t="n"/>
      <c r="E80" s="1568" t="inlineStr">
        <is>
          <t>Clare Anderson</t>
        </is>
      </c>
      <c r="F80" s="87" t="inlineStr">
        <is>
          <t>#01575</t>
        </is>
      </c>
      <c r="G80" s="1631" t="n">
        <v>43822</v>
      </c>
      <c r="H80" s="1607" t="n">
        <v>200</v>
      </c>
      <c r="I80" s="1607" t="n">
        <v>200</v>
      </c>
      <c r="J80" s="1607" t="n"/>
    </row>
    <row r="82">
      <c r="C82" s="216" t="inlineStr">
        <is>
          <t>Digital Gift Card</t>
        </is>
      </c>
      <c r="D82" s="1638" t="n"/>
      <c r="E82" s="1638" t="inlineStr">
        <is>
          <t>Judith Mounfield</t>
        </is>
      </c>
      <c r="F82" s="214" t="inlineStr">
        <is>
          <t>#01624</t>
        </is>
      </c>
      <c r="G82" s="1639" t="n">
        <v>43856</v>
      </c>
      <c r="H82" s="1640" t="n">
        <v>200</v>
      </c>
      <c r="I82" s="1607" t="n">
        <v>90</v>
      </c>
      <c r="J82" s="1607" t="inlineStr">
        <is>
          <t>#01672</t>
        </is>
      </c>
      <c r="K82" s="1568" t="inlineStr">
        <is>
          <t>Dylan Montell</t>
        </is>
      </c>
    </row>
    <row r="83">
      <c r="C83" s="216" t="inlineStr">
        <is>
          <t>Digital Gift Card</t>
        </is>
      </c>
      <c r="D83" s="1638" t="n"/>
      <c r="E83" s="1638" t="inlineStr">
        <is>
          <t>Albert Tonks</t>
        </is>
      </c>
      <c r="F83" s="214" t="inlineStr">
        <is>
          <t>#01646</t>
        </is>
      </c>
      <c r="G83" s="1639" t="n">
        <v>43874</v>
      </c>
      <c r="H83" s="1640" t="n">
        <v>475</v>
      </c>
      <c r="I83" s="1640" t="n">
        <v>0</v>
      </c>
      <c r="J83" s="1607" t="inlineStr">
        <is>
          <t>#01656</t>
        </is>
      </c>
      <c r="K83" s="1568" t="inlineStr">
        <is>
          <t>Ms D Davis - Dorset - Jun</t>
        </is>
      </c>
    </row>
    <row r="84">
      <c r="C84" s="93" t="inlineStr">
        <is>
          <t>Digital Gift Card</t>
        </is>
      </c>
      <c r="D84" s="1568" t="n"/>
      <c r="E84" s="1568" t="inlineStr">
        <is>
          <t>Joy Gale</t>
        </is>
      </c>
      <c r="F84" s="87" t="inlineStr">
        <is>
          <t>#01663</t>
        </is>
      </c>
      <c r="G84" s="1631" t="n">
        <v>43892</v>
      </c>
      <c r="H84" s="1607" t="n">
        <v>25</v>
      </c>
      <c r="I84" s="1607" t="n">
        <v>25</v>
      </c>
      <c r="J84" s="1607" t="n"/>
    </row>
    <row r="85">
      <c r="C85" s="216" t="inlineStr">
        <is>
          <t>Digital Gift Card</t>
        </is>
      </c>
      <c r="D85" s="1638" t="n"/>
      <c r="E85" s="1638" t="inlineStr">
        <is>
          <t>HR Tween</t>
        </is>
      </c>
      <c r="F85" s="214" t="inlineStr">
        <is>
          <t>#01665</t>
        </is>
      </c>
      <c r="G85" s="1639" t="n">
        <v>43893</v>
      </c>
      <c r="H85" s="1640" t="n">
        <v>150</v>
      </c>
      <c r="I85" s="1640" t="n"/>
      <c r="J85" s="1607" t="inlineStr">
        <is>
          <t>#01776</t>
        </is>
      </c>
      <c r="K85" s="1568" t="inlineStr">
        <is>
          <t>Jill Tween Batsford</t>
        </is>
      </c>
    </row>
    <row r="86">
      <c r="C86" s="93" t="inlineStr">
        <is>
          <t>Digital Gift Card</t>
        </is>
      </c>
      <c r="D86" s="1568" t="n"/>
      <c r="E86" s="1568" t="inlineStr">
        <is>
          <t>Janet Roberts</t>
        </is>
      </c>
      <c r="F86" s="87" t="inlineStr">
        <is>
          <t>#01683</t>
        </is>
      </c>
      <c r="G86" s="1631" t="n">
        <v>43915</v>
      </c>
      <c r="H86" s="1607" t="n">
        <v>30</v>
      </c>
      <c r="I86" s="1607" t="n">
        <v>30</v>
      </c>
      <c r="J86" s="1607" t="n"/>
    </row>
    <row r="87">
      <c r="C87" s="93" t="inlineStr">
        <is>
          <t>Digital Gift Card</t>
        </is>
      </c>
      <c r="D87" s="1568" t="n"/>
      <c r="E87" s="1568" t="inlineStr">
        <is>
          <t>Roger Neal</t>
        </is>
      </c>
      <c r="F87" s="87" t="inlineStr">
        <is>
          <t>#01684</t>
        </is>
      </c>
      <c r="G87" s="1631" t="n">
        <v>43918</v>
      </c>
      <c r="H87" s="1607" t="n">
        <v>100</v>
      </c>
      <c r="I87" s="1607" t="n">
        <v>100</v>
      </c>
      <c r="J87" s="1607" t="n"/>
    </row>
    <row r="88">
      <c r="C88" s="93" t="inlineStr">
        <is>
          <t>Digital Gift Card</t>
        </is>
      </c>
      <c r="D88" s="1568" t="n"/>
      <c r="E88" s="1568" t="inlineStr">
        <is>
          <t>Christopher Burnard</t>
        </is>
      </c>
      <c r="F88" s="87" t="inlineStr">
        <is>
          <t>#01686</t>
        </is>
      </c>
      <c r="G88" s="1631" t="n">
        <v>43918</v>
      </c>
      <c r="H88" s="1607" t="n">
        <v>200</v>
      </c>
      <c r="I88" s="1607" t="n">
        <v>200</v>
      </c>
      <c r="J88" s="1607" t="n"/>
    </row>
    <row r="89">
      <c r="C89" s="93" t="inlineStr">
        <is>
          <t>Digital Gift Card</t>
        </is>
      </c>
      <c r="D89" s="1568" t="n"/>
      <c r="E89" s="1568" t="inlineStr">
        <is>
          <t>Helen Finch</t>
        </is>
      </c>
      <c r="F89" s="87" t="inlineStr">
        <is>
          <t>#01687</t>
        </is>
      </c>
      <c r="G89" s="1631" t="n">
        <v>43918</v>
      </c>
      <c r="H89" s="1607" t="n">
        <v>100</v>
      </c>
      <c r="I89" s="1607" t="n">
        <v>100</v>
      </c>
      <c r="J89" s="1607" t="n"/>
    </row>
    <row r="90">
      <c r="C90" s="93" t="inlineStr">
        <is>
          <t>Digital Gift Card</t>
        </is>
      </c>
      <c r="D90" s="1568" t="n"/>
      <c r="E90" s="1568" t="inlineStr">
        <is>
          <t>John Grant</t>
        </is>
      </c>
      <c r="F90" s="87" t="inlineStr">
        <is>
          <t>#01688</t>
        </is>
      </c>
      <c r="G90" s="1631" t="n">
        <v>43919</v>
      </c>
      <c r="H90" s="1607" t="n">
        <v>50</v>
      </c>
      <c r="I90" s="1607" t="n">
        <v>50</v>
      </c>
      <c r="J90" s="1607" t="n"/>
    </row>
    <row r="91">
      <c r="C91" s="93" t="inlineStr">
        <is>
          <t>Digital Gift Card</t>
        </is>
      </c>
      <c r="D91" s="1568" t="n"/>
      <c r="E91" s="1568" t="inlineStr">
        <is>
          <t>Laura Bailey</t>
        </is>
      </c>
      <c r="F91" s="87" t="inlineStr">
        <is>
          <t>#01695</t>
        </is>
      </c>
      <c r="G91" s="1631" t="n">
        <v>43935</v>
      </c>
      <c r="H91" s="1607" t="n">
        <v>125</v>
      </c>
      <c r="I91" s="1607" t="n">
        <v>0</v>
      </c>
      <c r="J91" s="1607" t="inlineStr">
        <is>
          <t>#01764, #02023</t>
        </is>
      </c>
      <c r="K91" s="1568" t="inlineStr">
        <is>
          <t>Nigel Bailey</t>
        </is>
      </c>
    </row>
    <row r="92">
      <c r="C92" s="93" t="inlineStr">
        <is>
          <t>Digital Gift Card</t>
        </is>
      </c>
      <c r="D92" s="1568" t="n"/>
      <c r="E92" s="1568" t="inlineStr">
        <is>
          <t>Charlotte Isaac</t>
        </is>
      </c>
      <c r="F92" s="87" t="inlineStr">
        <is>
          <t>#01705</t>
        </is>
      </c>
      <c r="G92" s="1631" t="n">
        <v>43952</v>
      </c>
      <c r="H92" s="1607" t="n">
        <v>125</v>
      </c>
      <c r="I92" s="1607" t="n">
        <v>125</v>
      </c>
      <c r="J92" s="1607" t="n"/>
    </row>
    <row r="93">
      <c r="C93" s="93" t="inlineStr">
        <is>
          <t>Digital Gift Card</t>
        </is>
      </c>
      <c r="D93" s="1568" t="n"/>
      <c r="E93" s="1568" t="inlineStr">
        <is>
          <t>Wendy Czogalik</t>
        </is>
      </c>
      <c r="F93" s="87" t="inlineStr">
        <is>
          <t>#01800</t>
        </is>
      </c>
      <c r="G93" s="1631" t="n">
        <v>44141</v>
      </c>
      <c r="H93" s="1607" t="n">
        <v>30</v>
      </c>
      <c r="I93" s="1607" t="n">
        <v>30</v>
      </c>
      <c r="J93" s="1607" t="n"/>
    </row>
    <row r="94">
      <c r="C94" s="93" t="inlineStr">
        <is>
          <t>Digital Gift Card</t>
        </is>
      </c>
      <c r="D94" s="1568" t="n"/>
      <c r="E94" s="1568" t="inlineStr">
        <is>
          <t>Wendy Czogalik</t>
        </is>
      </c>
      <c r="F94" s="87" t="inlineStr">
        <is>
          <t>#01801</t>
        </is>
      </c>
      <c r="G94" s="1631" t="n">
        <v>44141</v>
      </c>
      <c r="H94" s="1607" t="n">
        <v>5</v>
      </c>
      <c r="I94" s="1607" t="n">
        <v>5</v>
      </c>
      <c r="J94" s="1607" t="n"/>
    </row>
    <row r="95">
      <c r="C95" s="93" t="inlineStr">
        <is>
          <t>Digital Gift Card</t>
        </is>
      </c>
      <c r="D95" s="1568" t="n"/>
      <c r="E95" s="1568" t="inlineStr">
        <is>
          <t>Sioda Adams</t>
        </is>
      </c>
      <c r="F95" s="87" t="inlineStr">
        <is>
          <t>#01802</t>
        </is>
      </c>
      <c r="G95" s="1631" t="n">
        <v>44145</v>
      </c>
      <c r="H95" s="1607" t="n">
        <v>75</v>
      </c>
      <c r="I95" s="1607" t="n">
        <v>75</v>
      </c>
      <c r="J95" s="1607" t="n"/>
    </row>
    <row r="96">
      <c r="C96" s="93" t="inlineStr">
        <is>
          <t>Digital Gift Card</t>
        </is>
      </c>
      <c r="D96" s="1568" t="n"/>
      <c r="E96" s="1568" t="inlineStr">
        <is>
          <t>Kate Stock</t>
        </is>
      </c>
      <c r="F96" s="87" t="inlineStr">
        <is>
          <t>#01805</t>
        </is>
      </c>
      <c r="G96" s="1631" t="n">
        <v>44150</v>
      </c>
      <c r="H96" s="1607" t="n">
        <v>100</v>
      </c>
      <c r="I96" s="1607" t="n">
        <v>100</v>
      </c>
      <c r="J96" s="1607" t="n"/>
    </row>
    <row r="97">
      <c r="C97" s="93" t="inlineStr">
        <is>
          <t>Digital Gift Card</t>
        </is>
      </c>
      <c r="D97" s="1568" t="n"/>
      <c r="E97" s="1568" t="inlineStr">
        <is>
          <t>Kate Stock</t>
        </is>
      </c>
      <c r="F97" s="87" t="inlineStr">
        <is>
          <t>#01806</t>
        </is>
      </c>
      <c r="G97" s="1631" t="n">
        <v>44150</v>
      </c>
      <c r="H97" s="1607" t="n">
        <v>250</v>
      </c>
      <c r="I97" s="1607" t="n">
        <v>100</v>
      </c>
      <c r="J97" s="1607" t="inlineStr">
        <is>
          <t>#01995</t>
        </is>
      </c>
      <c r="K97" s="1568" t="inlineStr">
        <is>
          <t>John Stock Peak District</t>
        </is>
      </c>
    </row>
    <row r="98">
      <c r="C98" s="93" t="inlineStr">
        <is>
          <t>Digital Gift Card</t>
        </is>
      </c>
      <c r="D98" s="1568" t="n"/>
      <c r="E98" s="1568" t="inlineStr">
        <is>
          <t>Kate Stock</t>
        </is>
      </c>
      <c r="F98" s="87" t="inlineStr">
        <is>
          <t>#01809</t>
        </is>
      </c>
      <c r="G98" s="1631" t="n">
        <v>44158</v>
      </c>
      <c r="H98" s="1607" t="n">
        <v>150</v>
      </c>
      <c r="I98" s="1607" t="n">
        <v>0</v>
      </c>
      <c r="J98" s="1607" t="inlineStr">
        <is>
          <t>#01994</t>
        </is>
      </c>
      <c r="K98" s="1568" t="inlineStr">
        <is>
          <t>John Stock Peak District</t>
        </is>
      </c>
    </row>
    <row r="99">
      <c r="C99" s="216" t="inlineStr">
        <is>
          <t>Digital Gift Card</t>
        </is>
      </c>
      <c r="D99" s="1638" t="n"/>
      <c r="E99" s="1638" t="inlineStr">
        <is>
          <t>Catherine Whitehouse</t>
        </is>
      </c>
      <c r="F99" s="214" t="inlineStr">
        <is>
          <t>#01820</t>
        </is>
      </c>
      <c r="G99" s="1639" t="n">
        <v>44167</v>
      </c>
      <c r="H99" s="1640" t="n">
        <v>150</v>
      </c>
      <c r="I99" s="1640" t="n">
        <v>0</v>
      </c>
      <c r="J99" s="1607" t="inlineStr">
        <is>
          <t>#01858</t>
        </is>
      </c>
    </row>
    <row r="100">
      <c r="C100" s="93" t="inlineStr">
        <is>
          <t>Digital Gift Card</t>
        </is>
      </c>
      <c r="D100" s="1568" t="n"/>
      <c r="E100" s="1568" t="inlineStr">
        <is>
          <t>Claire Broader</t>
        </is>
      </c>
      <c r="F100" s="87" t="inlineStr">
        <is>
          <t>#01819</t>
        </is>
      </c>
      <c r="G100" s="1631" t="n">
        <v>44167</v>
      </c>
      <c r="H100" s="1607" t="n">
        <v>50</v>
      </c>
      <c r="I100" s="1607" t="n">
        <v>0</v>
      </c>
      <c r="J100" s="1607" t="inlineStr">
        <is>
          <t>#02024</t>
        </is>
      </c>
      <c r="K100" s="1568" t="inlineStr">
        <is>
          <t>Stuart Hubbard Chesterton</t>
        </is>
      </c>
    </row>
    <row r="101">
      <c r="C101" s="216" t="inlineStr">
        <is>
          <t>Digital Gift Card</t>
        </is>
      </c>
      <c r="D101" s="1638" t="n"/>
      <c r="E101" s="1638" t="inlineStr">
        <is>
          <t>Davina Haw</t>
        </is>
      </c>
      <c r="F101" s="214" t="inlineStr">
        <is>
          <t>#01823</t>
        </is>
      </c>
      <c r="G101" s="1639" t="n">
        <v>44176</v>
      </c>
      <c r="H101" s="1640" t="n">
        <v>500</v>
      </c>
      <c r="I101" s="1640" t="n"/>
      <c r="J101" s="1607" t="inlineStr">
        <is>
          <t>#02100</t>
        </is>
      </c>
    </row>
    <row r="102">
      <c r="C102" s="216" t="inlineStr">
        <is>
          <t>Digital Gift Card</t>
        </is>
      </c>
      <c r="D102" s="1638" t="n"/>
      <c r="E102" s="1638" t="inlineStr">
        <is>
          <t>Lisa French</t>
        </is>
      </c>
      <c r="F102" s="214" t="inlineStr">
        <is>
          <t>#01822</t>
        </is>
      </c>
      <c r="G102" s="1639" t="n">
        <v>44175</v>
      </c>
      <c r="H102" s="1640" t="n">
        <v>300</v>
      </c>
      <c r="I102" s="1640" t="n"/>
      <c r="J102" s="1607" t="inlineStr">
        <is>
          <t>#02123</t>
        </is>
      </c>
      <c r="K102" s="1568" t="inlineStr">
        <is>
          <t>wales workshop</t>
        </is>
      </c>
    </row>
    <row r="103">
      <c r="C103" s="216" t="inlineStr">
        <is>
          <t>Digital Gift Card</t>
        </is>
      </c>
      <c r="D103" s="1638" t="n"/>
      <c r="E103" s="1638" t="inlineStr">
        <is>
          <t>karen Hillyer</t>
        </is>
      </c>
      <c r="F103" s="214" t="inlineStr">
        <is>
          <t>#01821</t>
        </is>
      </c>
      <c r="G103" s="1639" t="n">
        <v>44173</v>
      </c>
      <c r="H103" s="1640" t="n">
        <v>150</v>
      </c>
      <c r="I103" s="1640" t="n"/>
      <c r="J103" s="1607" t="inlineStr">
        <is>
          <t>#01835</t>
        </is>
      </c>
    </row>
    <row r="104">
      <c r="C104" s="93" t="inlineStr">
        <is>
          <t>Digital Gift Card</t>
        </is>
      </c>
      <c r="D104" s="1568" t="n"/>
      <c r="E104" s="1568" t="inlineStr">
        <is>
          <t>Sharon Read</t>
        </is>
      </c>
      <c r="F104" s="87" t="inlineStr">
        <is>
          <t>#01828</t>
        </is>
      </c>
      <c r="G104" s="1631" t="n">
        <v>44185</v>
      </c>
      <c r="H104" s="1607" t="n">
        <v>375</v>
      </c>
      <c r="I104" s="1607" t="n">
        <v>375</v>
      </c>
      <c r="J104" s="1607" t="n"/>
    </row>
    <row r="105">
      <c r="C105" s="216" t="inlineStr">
        <is>
          <t>Digital Gift Card</t>
        </is>
      </c>
      <c r="D105" s="1638" t="n"/>
      <c r="E105" s="1638" t="inlineStr">
        <is>
          <t>Nadia Spence</t>
        </is>
      </c>
      <c r="F105" s="214" t="inlineStr">
        <is>
          <t>#01830</t>
        </is>
      </c>
      <c r="G105" s="1639" t="n">
        <v>44186</v>
      </c>
      <c r="H105" s="1640" t="n">
        <v>100</v>
      </c>
      <c r="I105" s="1607" t="n"/>
      <c r="J105" s="1607" t="inlineStr">
        <is>
          <t>#02142</t>
        </is>
      </c>
      <c r="K105" s="1568" t="inlineStr">
        <is>
          <t>2hr 1-2-1</t>
        </is>
      </c>
    </row>
    <row r="106">
      <c r="C106" s="93" t="inlineStr">
        <is>
          <t>Digital Gift Card</t>
        </is>
      </c>
      <c r="D106" s="1568" t="n"/>
      <c r="E106" s="1568" t="inlineStr">
        <is>
          <t>Pamela Stacey</t>
        </is>
      </c>
      <c r="F106" s="87" t="inlineStr">
        <is>
          <t>#01832</t>
        </is>
      </c>
      <c r="G106" s="1631" t="n">
        <v>44189</v>
      </c>
      <c r="H106" s="1607" t="n">
        <v>150</v>
      </c>
      <c r="I106" s="1607" t="n">
        <v>20</v>
      </c>
      <c r="J106" s="1607" t="inlineStr">
        <is>
          <t>#01960 + #01968</t>
        </is>
      </c>
    </row>
    <row r="107">
      <c r="C107" s="93" t="inlineStr">
        <is>
          <t>Digital Gift Card</t>
        </is>
      </c>
      <c r="D107" s="1568" t="n"/>
      <c r="E107" s="1568" t="inlineStr">
        <is>
          <t xml:space="preserve">LC Chapman </t>
        </is>
      </c>
      <c r="F107" s="87" t="inlineStr">
        <is>
          <t>#01846</t>
        </is>
      </c>
      <c r="G107" s="1631" t="n">
        <v>44215</v>
      </c>
      <c r="H107" s="1607" t="n">
        <v>100</v>
      </c>
      <c r="I107" s="1607" t="n">
        <v>5</v>
      </c>
      <c r="J107" s="1607" t="inlineStr">
        <is>
          <t>#02042</t>
        </is>
      </c>
    </row>
    <row r="108">
      <c r="C108" s="93" t="inlineStr">
        <is>
          <t>Digital Gift Card</t>
        </is>
      </c>
      <c r="D108" s="1568" t="n"/>
      <c r="E108" s="1568" t="inlineStr">
        <is>
          <t>solange Omanyondo</t>
        </is>
      </c>
      <c r="F108" s="87" t="inlineStr">
        <is>
          <t>#01865</t>
        </is>
      </c>
      <c r="G108" s="1631" t="n">
        <v>44252</v>
      </c>
      <c r="H108" s="1607" t="n">
        <v>50</v>
      </c>
      <c r="I108" s="1607" t="n">
        <v>50</v>
      </c>
      <c r="J108" s="1607" t="n"/>
    </row>
    <row r="109">
      <c r="C109" s="93" t="inlineStr">
        <is>
          <t>Digital Gift Card</t>
        </is>
      </c>
      <c r="D109" s="1568" t="n"/>
      <c r="E109" s="1568" t="inlineStr">
        <is>
          <t>Celia Pearce</t>
        </is>
      </c>
      <c r="F109" s="87" t="inlineStr">
        <is>
          <t>#01903</t>
        </is>
      </c>
      <c r="G109" s="1631" t="n">
        <v>44284</v>
      </c>
      <c r="H109" s="1607" t="n">
        <v>50</v>
      </c>
      <c r="I109" s="1607" t="n">
        <v>50</v>
      </c>
      <c r="J109" s="1607" t="n"/>
    </row>
    <row r="110">
      <c r="C110" s="93" t="inlineStr">
        <is>
          <t>Digital Gift Card</t>
        </is>
      </c>
      <c r="D110" s="1568" t="n"/>
      <c r="E110" s="1568" t="inlineStr">
        <is>
          <t>Judith Fleming</t>
        </is>
      </c>
      <c r="F110" s="87" t="inlineStr">
        <is>
          <t>#01906</t>
        </is>
      </c>
      <c r="G110" s="1631" t="n">
        <v>44287</v>
      </c>
      <c r="H110" s="1607" t="n">
        <v>25</v>
      </c>
      <c r="I110" s="1607" t="n">
        <v>25</v>
      </c>
      <c r="J110" s="1607" t="n"/>
    </row>
    <row r="111">
      <c r="C111" s="93" t="inlineStr">
        <is>
          <t>Digital Gift Card</t>
        </is>
      </c>
      <c r="D111" s="1568" t="n"/>
      <c r="E111" s="1568" t="inlineStr">
        <is>
          <t>Jane Robinson</t>
        </is>
      </c>
      <c r="F111" s="87" t="inlineStr">
        <is>
          <t>#01966</t>
        </is>
      </c>
      <c r="G111" s="1631" t="n">
        <v>44353</v>
      </c>
      <c r="H111" s="1607" t="n">
        <v>50</v>
      </c>
      <c r="I111" s="1607" t="n">
        <v>50</v>
      </c>
      <c r="J111" s="1607" t="n"/>
    </row>
    <row r="112">
      <c r="C112" s="93" t="inlineStr">
        <is>
          <t>Digital Gift Card</t>
        </is>
      </c>
      <c r="D112" s="1568" t="n"/>
      <c r="E112" s="1568" t="inlineStr">
        <is>
          <t>Rachael Gabriel</t>
        </is>
      </c>
      <c r="F112" s="87" t="inlineStr">
        <is>
          <t>#02046</t>
        </is>
      </c>
      <c r="G112" s="1631" t="n">
        <v>44449</v>
      </c>
      <c r="H112" s="1607" t="n">
        <v>75</v>
      </c>
      <c r="I112" s="1607" t="n">
        <v>75</v>
      </c>
      <c r="J112" s="1607" t="n"/>
    </row>
    <row r="113">
      <c r="C113" s="93" t="inlineStr">
        <is>
          <t>Digital Gift Card</t>
        </is>
      </c>
      <c r="D113" s="1568" t="n"/>
      <c r="E113" s="1568" t="inlineStr">
        <is>
          <t>Anna Rokitowska</t>
        </is>
      </c>
      <c r="F113" s="87" t="inlineStr">
        <is>
          <t>#02079</t>
        </is>
      </c>
      <c r="G113" s="1631" t="n">
        <v>44476</v>
      </c>
      <c r="H113" s="1607" t="n">
        <v>50</v>
      </c>
      <c r="I113" s="1607" t="n">
        <v>50</v>
      </c>
      <c r="J113" s="1607" t="n"/>
    </row>
    <row r="114">
      <c r="C114" s="93" t="inlineStr">
        <is>
          <t>Digital Gift Card</t>
        </is>
      </c>
      <c r="D114" s="1568" t="n"/>
      <c r="E114" s="1568" t="inlineStr">
        <is>
          <t>linda m burman</t>
        </is>
      </c>
      <c r="F114" s="87" t="inlineStr">
        <is>
          <t>#02115</t>
        </is>
      </c>
      <c r="G114" s="1631" t="n">
        <v>44521</v>
      </c>
      <c r="H114" s="1607" t="n">
        <v>30</v>
      </c>
      <c r="I114" s="1607" t="n">
        <v>30</v>
      </c>
      <c r="J114" s="1607" t="n"/>
    </row>
    <row r="115">
      <c r="C115" s="216" t="inlineStr">
        <is>
          <t>Digital Gift Card</t>
        </is>
      </c>
      <c r="D115" s="1638" t="n"/>
      <c r="E115" s="1638" t="inlineStr">
        <is>
          <t>Dave Spiers</t>
        </is>
      </c>
      <c r="F115" s="214" t="inlineStr">
        <is>
          <t>#02126</t>
        </is>
      </c>
      <c r="G115" s="1639" t="n">
        <v>44538</v>
      </c>
      <c r="H115" s="1640" t="n">
        <v>100</v>
      </c>
      <c r="I115" s="1607" t="n">
        <v>0</v>
      </c>
      <c r="J115" s="1607" t="inlineStr">
        <is>
          <t>#02260</t>
        </is>
      </c>
    </row>
    <row r="116">
      <c r="C116" s="216" t="inlineStr">
        <is>
          <t>Digital Gift Card</t>
        </is>
      </c>
      <c r="D116" s="1638" t="n"/>
      <c r="E116" s="1638" t="inlineStr">
        <is>
          <t>Dave Spiers</t>
        </is>
      </c>
      <c r="F116" s="214" t="inlineStr">
        <is>
          <t>#02127</t>
        </is>
      </c>
      <c r="G116" s="1639" t="n">
        <v>44538</v>
      </c>
      <c r="H116" s="1640" t="n">
        <v>100</v>
      </c>
      <c r="I116" s="1607" t="n">
        <v>10</v>
      </c>
      <c r="J116" s="1607" t="inlineStr">
        <is>
          <t>#02260</t>
        </is>
      </c>
    </row>
    <row r="117">
      <c r="C117" s="93" t="inlineStr">
        <is>
          <t>Digital Gift Card</t>
        </is>
      </c>
      <c r="D117" s="1568" t="n"/>
      <c r="E117" s="1568" t="inlineStr">
        <is>
          <t>Daphne Press</t>
        </is>
      </c>
      <c r="F117" s="87" t="inlineStr">
        <is>
          <t>#02135</t>
        </is>
      </c>
      <c r="G117" s="1631" t="n">
        <v>44547</v>
      </c>
      <c r="H117" s="1607" t="n">
        <v>600</v>
      </c>
      <c r="I117" s="1607" t="n">
        <v>600</v>
      </c>
      <c r="J117" s="1607" t="n"/>
    </row>
    <row r="118">
      <c r="C118" s="216" t="inlineStr">
        <is>
          <t>Digital Gift Card</t>
        </is>
      </c>
      <c r="D118" s="1638" t="n"/>
      <c r="E118" s="1638" t="inlineStr">
        <is>
          <t>Connor Moore</t>
        </is>
      </c>
      <c r="F118" s="214" t="inlineStr">
        <is>
          <t>#02136</t>
        </is>
      </c>
      <c r="G118" s="1639" t="n">
        <v>44548</v>
      </c>
      <c r="H118" s="1640" t="n">
        <v>50</v>
      </c>
      <c r="I118" s="1640" t="n">
        <v>0</v>
      </c>
      <c r="J118" s="1607" t="inlineStr">
        <is>
          <t>#02337</t>
        </is>
      </c>
    </row>
    <row r="119">
      <c r="C119" s="93" t="inlineStr">
        <is>
          <t>Digital Gift Card</t>
        </is>
      </c>
      <c r="D119" s="1568" t="n"/>
      <c r="E119" s="1568" t="inlineStr">
        <is>
          <t>Jo Bailes</t>
        </is>
      </c>
      <c r="F119" s="87" t="inlineStr">
        <is>
          <t>#02139</t>
        </is>
      </c>
      <c r="G119" s="1631" t="n">
        <v>44550</v>
      </c>
      <c r="H119" s="1607" t="n">
        <v>75</v>
      </c>
      <c r="I119" s="1607" t="n">
        <v>75</v>
      </c>
      <c r="J119" s="1607" t="n"/>
    </row>
    <row r="120">
      <c r="C120" s="216" t="inlineStr">
        <is>
          <t>Digital Gift Card</t>
        </is>
      </c>
      <c r="D120" s="1638" t="n"/>
      <c r="E120" s="1638" t="inlineStr">
        <is>
          <t>Christopher Troth</t>
        </is>
      </c>
      <c r="F120" s="214" t="inlineStr">
        <is>
          <t>#02140</t>
        </is>
      </c>
      <c r="G120" s="1639" t="n">
        <v>44553</v>
      </c>
      <c r="H120" s="1640" t="n">
        <v>30</v>
      </c>
      <c r="I120" s="1640" t="n"/>
      <c r="J120" s="1607" t="inlineStr">
        <is>
          <t>#02175</t>
        </is>
      </c>
    </row>
    <row r="121">
      <c r="C121" s="216" t="inlineStr">
        <is>
          <t>Digital Gift Card</t>
        </is>
      </c>
      <c r="D121" s="1638" t="n"/>
      <c r="E121" s="1638" t="inlineStr">
        <is>
          <t>Patricia Knauff</t>
        </is>
      </c>
      <c r="F121" s="214" t="inlineStr">
        <is>
          <t>#02191</t>
        </is>
      </c>
      <c r="G121" s="1639" t="n">
        <v>44618</v>
      </c>
      <c r="H121" s="1640" t="n">
        <v>200</v>
      </c>
      <c r="I121" s="1640" t="n">
        <v>0</v>
      </c>
      <c r="J121" s="1607" t="inlineStr">
        <is>
          <t>#02199</t>
        </is>
      </c>
    </row>
    <row r="122">
      <c r="C122" s="216" t="inlineStr">
        <is>
          <t>Digital Gift Card</t>
        </is>
      </c>
      <c r="D122" s="1638" t="n"/>
      <c r="E122" s="1638" t="inlineStr">
        <is>
          <t>Youssef El-Gingihy</t>
        </is>
      </c>
      <c r="F122" s="214" t="inlineStr">
        <is>
          <t>#02225</t>
        </is>
      </c>
      <c r="G122" s="1639" t="n">
        <v>44669</v>
      </c>
      <c r="H122" s="1640" t="n">
        <v>100</v>
      </c>
      <c r="I122" s="1640" t="n">
        <v>0</v>
      </c>
      <c r="J122" s="1607" t="inlineStr">
        <is>
          <t>#02452</t>
        </is>
      </c>
    </row>
    <row r="123">
      <c r="C123" s="93" t="inlineStr">
        <is>
          <t>Digital Gift Card</t>
        </is>
      </c>
      <c r="D123" s="1568" t="n"/>
      <c r="E123" s="1568" t="inlineStr">
        <is>
          <t>Rebecca Guy</t>
        </is>
      </c>
      <c r="F123" s="87" t="inlineStr">
        <is>
          <t>#02237</t>
        </is>
      </c>
      <c r="G123" s="1631" t="n">
        <v>44675</v>
      </c>
      <c r="H123" s="1607" t="n">
        <v>500</v>
      </c>
      <c r="I123" s="1607" t="n">
        <v>500</v>
      </c>
      <c r="J123" s="1607" t="n"/>
    </row>
    <row r="124">
      <c r="C124" s="216" t="inlineStr">
        <is>
          <t>Digital Gift Card</t>
        </is>
      </c>
      <c r="D124" s="1638" t="n"/>
      <c r="E124" s="1638" t="inlineStr">
        <is>
          <t>Alan Hindley</t>
        </is>
      </c>
      <c r="F124" s="214" t="inlineStr">
        <is>
          <t>#02248</t>
        </is>
      </c>
      <c r="G124" s="1639" t="n">
        <v>44687</v>
      </c>
      <c r="H124" s="1640" t="n">
        <v>150</v>
      </c>
      <c r="I124" s="1607" t="n">
        <v>0</v>
      </c>
      <c r="J124" s="1607" t="inlineStr">
        <is>
          <t>#02361</t>
        </is>
      </c>
    </row>
    <row r="125">
      <c r="C125" s="93" t="inlineStr">
        <is>
          <t>Digital Gift Card</t>
        </is>
      </c>
      <c r="D125" s="1568" t="n"/>
      <c r="E125" s="1568" t="inlineStr">
        <is>
          <t>Jenny Reeves</t>
        </is>
      </c>
      <c r="F125" s="87" t="inlineStr">
        <is>
          <t>#02268</t>
        </is>
      </c>
      <c r="G125" s="1631" t="n">
        <v>44718</v>
      </c>
      <c r="H125" s="1607" t="n">
        <v>75</v>
      </c>
      <c r="I125" s="1607" t="n">
        <v>75</v>
      </c>
      <c r="J125" s="1607" t="n"/>
    </row>
    <row r="126">
      <c r="C126" s="93" t="inlineStr">
        <is>
          <t>Digital Gift Card</t>
        </is>
      </c>
      <c r="D126" s="1568" t="n"/>
      <c r="E126" s="1568" t="inlineStr">
        <is>
          <t>George Letey</t>
        </is>
      </c>
      <c r="F126" s="87" t="inlineStr">
        <is>
          <t>#02272</t>
        </is>
      </c>
      <c r="G126" s="1631" t="n">
        <v>44722</v>
      </c>
      <c r="H126" s="1607" t="n">
        <v>275</v>
      </c>
      <c r="I126" s="1607" t="n">
        <v>275</v>
      </c>
      <c r="J126" s="1607" t="n"/>
    </row>
    <row r="127">
      <c r="C127" s="216" t="inlineStr">
        <is>
          <t>Digital Gift Card</t>
        </is>
      </c>
      <c r="D127" s="1638" t="n"/>
      <c r="E127" s="1638" t="inlineStr">
        <is>
          <t>Jay Pattni</t>
        </is>
      </c>
      <c r="F127" s="214" t="inlineStr">
        <is>
          <t>#02297</t>
        </is>
      </c>
      <c r="G127" s="1639" t="n">
        <v>44761</v>
      </c>
      <c r="H127" s="1640" t="n">
        <v>500</v>
      </c>
      <c r="I127" s="1640" t="n">
        <v>11</v>
      </c>
      <c r="J127" s="1607" t="inlineStr">
        <is>
          <t>#02935</t>
        </is>
      </c>
    </row>
    <row r="128">
      <c r="C128" s="216" t="inlineStr">
        <is>
          <t>Digital Gift Card</t>
        </is>
      </c>
      <c r="D128" s="1638" t="n"/>
      <c r="E128" s="1638" t="inlineStr">
        <is>
          <t>Michaela Darby</t>
        </is>
      </c>
      <c r="F128" s="214" t="inlineStr">
        <is>
          <t>#02314</t>
        </is>
      </c>
      <c r="G128" s="1639" t="n">
        <v>44796</v>
      </c>
      <c r="H128" s="1640" t="n">
        <v>125</v>
      </c>
      <c r="I128" s="1607" t="n">
        <v>5</v>
      </c>
      <c r="J128" s="1607" t="inlineStr">
        <is>
          <t>#02354</t>
        </is>
      </c>
    </row>
    <row r="129">
      <c r="C129" s="216" t="inlineStr">
        <is>
          <t>Digital Gift Card</t>
        </is>
      </c>
      <c r="D129" s="1638" t="n"/>
      <c r="E129" s="1638" t="inlineStr">
        <is>
          <t>Chris Geary</t>
        </is>
      </c>
      <c r="F129" s="214" t="inlineStr">
        <is>
          <t>#02340</t>
        </is>
      </c>
      <c r="G129" s="1639" t="n">
        <v>44828</v>
      </c>
      <c r="H129" s="1640" t="n">
        <v>150</v>
      </c>
      <c r="I129" s="1607" t="n">
        <v>150</v>
      </c>
      <c r="J129" s="1607" t="inlineStr">
        <is>
          <t>#02369</t>
        </is>
      </c>
    </row>
    <row r="130">
      <c r="C130" s="93" t="inlineStr">
        <is>
          <t>Digital Gift Card</t>
        </is>
      </c>
      <c r="D130" s="1568" t="n"/>
      <c r="E130" s="1568" t="inlineStr">
        <is>
          <t>Kim Meadows</t>
        </is>
      </c>
      <c r="F130" s="87" t="inlineStr">
        <is>
          <t>#02371</t>
        </is>
      </c>
      <c r="G130" s="1631" t="n">
        <v>44879</v>
      </c>
      <c r="H130" s="1607" t="n">
        <v>100</v>
      </c>
      <c r="I130" s="1607" t="n">
        <v>100</v>
      </c>
      <c r="J130" s="1607" t="n"/>
    </row>
    <row r="131">
      <c r="C131" s="216" t="inlineStr">
        <is>
          <t>Digital Gift Card</t>
        </is>
      </c>
      <c r="D131" s="1638" t="n"/>
      <c r="E131" s="1638" t="inlineStr">
        <is>
          <t>Gina Meaden</t>
        </is>
      </c>
      <c r="F131" s="214" t="inlineStr">
        <is>
          <t>#02378</t>
        </is>
      </c>
      <c r="G131" s="1639" t="n">
        <v>44890</v>
      </c>
      <c r="H131" s="1640" t="n">
        <v>100</v>
      </c>
      <c r="I131" s="1640" t="n">
        <v>0</v>
      </c>
      <c r="J131" s="1607" t="inlineStr">
        <is>
          <t>#02456</t>
        </is>
      </c>
    </row>
    <row r="132">
      <c r="C132" s="216" t="inlineStr">
        <is>
          <t>Digital Gift Card</t>
        </is>
      </c>
      <c r="D132" s="1638" t="n"/>
      <c r="E132" s="1638" t="inlineStr">
        <is>
          <t>Dr John L Watts</t>
        </is>
      </c>
      <c r="F132" s="214" t="inlineStr">
        <is>
          <t>#02388</t>
        </is>
      </c>
      <c r="G132" s="1639" t="n">
        <v>44907</v>
      </c>
      <c r="H132" s="1640" t="n">
        <v>100</v>
      </c>
      <c r="I132" s="1640" t="n">
        <v>0</v>
      </c>
      <c r="J132" s="1607" t="inlineStr">
        <is>
          <t>#02814</t>
        </is>
      </c>
    </row>
    <row r="133">
      <c r="C133" s="93" t="inlineStr">
        <is>
          <t>Digital Gift Card</t>
        </is>
      </c>
      <c r="D133" s="1568" t="n"/>
      <c r="E133" s="1638" t="inlineStr">
        <is>
          <t>Helen Shepheard</t>
        </is>
      </c>
      <c r="F133" s="214" t="inlineStr">
        <is>
          <t>#02390</t>
        </is>
      </c>
      <c r="G133" s="1639" t="n">
        <v>44909</v>
      </c>
      <c r="H133" s="1640" t="n">
        <v>250</v>
      </c>
      <c r="I133" s="1607" t="n"/>
      <c r="J133" s="1607" t="inlineStr">
        <is>
          <t>#02611</t>
        </is>
      </c>
    </row>
    <row r="134">
      <c r="C134" s="93" t="inlineStr">
        <is>
          <t>Digital Gift Card</t>
        </is>
      </c>
      <c r="D134" s="1568" t="n"/>
      <c r="E134" s="1638" t="inlineStr">
        <is>
          <t>Andrew Mace</t>
        </is>
      </c>
      <c r="F134" s="214" t="inlineStr">
        <is>
          <t>#02394</t>
        </is>
      </c>
      <c r="G134" s="1639" t="n">
        <v>44913</v>
      </c>
      <c r="H134" s="1640" t="n">
        <v>50</v>
      </c>
      <c r="I134" s="1640" t="n"/>
      <c r="J134" s="1607" t="inlineStr">
        <is>
          <t>#02419</t>
        </is>
      </c>
    </row>
    <row r="135">
      <c r="C135" s="93" t="inlineStr">
        <is>
          <t>Digital Gift Card</t>
        </is>
      </c>
      <c r="D135" s="1568" t="n"/>
      <c r="E135" s="1638" t="inlineStr">
        <is>
          <t>Karen Stapley</t>
        </is>
      </c>
      <c r="F135" s="214" t="inlineStr">
        <is>
          <t>#02453</t>
        </is>
      </c>
      <c r="G135" s="1639" t="n">
        <v>44994</v>
      </c>
      <c r="H135" s="1640" t="n">
        <v>100</v>
      </c>
      <c r="I135" s="1640" t="n">
        <v>0</v>
      </c>
      <c r="J135" s="1607" t="inlineStr">
        <is>
          <t>#02475</t>
        </is>
      </c>
    </row>
    <row r="136">
      <c r="C136" s="216" t="inlineStr">
        <is>
          <t>Digital Gift Card</t>
        </is>
      </c>
      <c r="D136" s="1638" t="n"/>
      <c r="E136" s="1638" t="inlineStr">
        <is>
          <t>Rebecca Newton</t>
        </is>
      </c>
      <c r="F136" s="214" t="inlineStr">
        <is>
          <t>#02457</t>
        </is>
      </c>
      <c r="G136" s="1639" t="n">
        <v>44995</v>
      </c>
      <c r="H136" s="1640" t="n">
        <v>100</v>
      </c>
      <c r="I136" s="1640" t="n">
        <v>0</v>
      </c>
      <c r="J136" s="1607" t="inlineStr">
        <is>
          <t>#02515, #2637, #02741</t>
        </is>
      </c>
    </row>
    <row r="137">
      <c r="C137" s="93" t="inlineStr">
        <is>
          <t>Digital Gift Card</t>
        </is>
      </c>
      <c r="D137" s="1568" t="n"/>
      <c r="E137" s="1568" t="inlineStr">
        <is>
          <t>Heather Twomey</t>
        </is>
      </c>
      <c r="F137" s="87" t="inlineStr">
        <is>
          <t>#02460</t>
        </is>
      </c>
      <c r="G137" s="1631" t="n">
        <v>44999</v>
      </c>
      <c r="H137" s="1607" t="n">
        <v>350</v>
      </c>
      <c r="I137" s="1607" t="n">
        <v>100</v>
      </c>
      <c r="J137" s="1607" t="inlineStr">
        <is>
          <t>#02589</t>
        </is>
      </c>
    </row>
    <row r="138">
      <c r="C138" s="93" t="inlineStr">
        <is>
          <t>Digital Gift Card</t>
        </is>
      </c>
      <c r="D138" s="1568" t="n"/>
      <c r="E138" s="1638" t="inlineStr">
        <is>
          <t>Elizabeth Stapley</t>
        </is>
      </c>
      <c r="F138" s="214" t="inlineStr">
        <is>
          <t>#02465</t>
        </is>
      </c>
      <c r="G138" s="1639" t="n">
        <v>45009</v>
      </c>
      <c r="H138" s="1640" t="n">
        <v>100</v>
      </c>
      <c r="I138" s="1640" t="n">
        <v>10</v>
      </c>
      <c r="J138" s="1607" t="inlineStr">
        <is>
          <t>#02475</t>
        </is>
      </c>
    </row>
    <row r="139">
      <c r="C139" s="93" t="inlineStr">
        <is>
          <t>Digital Gift Card</t>
        </is>
      </c>
      <c r="D139" s="1568" t="n"/>
      <c r="E139" s="1568" t="inlineStr">
        <is>
          <t>Terri O'Sullivan</t>
        </is>
      </c>
      <c r="F139" s="87" t="inlineStr">
        <is>
          <t>#02466</t>
        </is>
      </c>
      <c r="G139" s="1631" t="n">
        <v>45010</v>
      </c>
      <c r="H139" s="1607" t="n">
        <v>400</v>
      </c>
      <c r="I139" s="1607" t="n">
        <v>301</v>
      </c>
      <c r="J139" s="1607" t="inlineStr">
        <is>
          <t>#02721</t>
        </is>
      </c>
    </row>
    <row r="140">
      <c r="C140" s="93" t="inlineStr">
        <is>
          <t>Digital Gift Card</t>
        </is>
      </c>
      <c r="D140" s="1568" t="n"/>
      <c r="E140" s="1638" t="inlineStr">
        <is>
          <t>Margaret Heaton</t>
        </is>
      </c>
      <c r="F140" s="214" t="inlineStr">
        <is>
          <t>#02483</t>
        </is>
      </c>
      <c r="G140" s="1639" t="n">
        <v>45027</v>
      </c>
      <c r="H140" s="1640" t="n">
        <v>100</v>
      </c>
      <c r="I140" s="1640" t="n">
        <v>0</v>
      </c>
      <c r="J140" s="1607" t="inlineStr">
        <is>
          <t>#02696, #02723</t>
        </is>
      </c>
    </row>
    <row r="141">
      <c r="C141" s="93" t="inlineStr">
        <is>
          <t>Digital Gift Card</t>
        </is>
      </c>
      <c r="D141" s="1568" t="n"/>
      <c r="E141" s="1568" t="inlineStr">
        <is>
          <t>Rachael Smith</t>
        </is>
      </c>
      <c r="F141" s="87" t="inlineStr">
        <is>
          <t>#02490</t>
        </is>
      </c>
      <c r="G141" s="1631" t="n">
        <v>45037</v>
      </c>
      <c r="H141" s="1607" t="n">
        <v>75</v>
      </c>
      <c r="I141" s="1607" t="n">
        <v>75</v>
      </c>
      <c r="J141" s="1607" t="n"/>
    </row>
    <row r="142">
      <c r="C142" s="93" t="inlineStr">
        <is>
          <t>Digital Gift Card</t>
        </is>
      </c>
      <c r="D142" s="1568" t="n"/>
      <c r="E142" s="1638" t="inlineStr">
        <is>
          <t>Lynne Proctor</t>
        </is>
      </c>
      <c r="F142" s="214" t="inlineStr">
        <is>
          <t>#02497</t>
        </is>
      </c>
      <c r="G142" s="1639" t="n">
        <v>45048</v>
      </c>
      <c r="H142" s="1640" t="n">
        <v>125</v>
      </c>
      <c r="I142" s="1640" t="n">
        <v>0</v>
      </c>
      <c r="J142" s="1607" t="inlineStr">
        <is>
          <t>#02514</t>
        </is>
      </c>
    </row>
    <row r="143">
      <c r="C143" s="93" t="inlineStr">
        <is>
          <t>Digital Gift Card</t>
        </is>
      </c>
      <c r="D143" s="1568" t="n"/>
      <c r="E143" s="1568" t="inlineStr">
        <is>
          <t>Paul Kitteringham</t>
        </is>
      </c>
      <c r="F143" s="87" t="inlineStr">
        <is>
          <t>#02505</t>
        </is>
      </c>
      <c r="G143" s="1631" t="n">
        <v>45054</v>
      </c>
      <c r="H143" s="1607" t="n">
        <v>300</v>
      </c>
      <c r="I143" s="1607" t="n">
        <v>300</v>
      </c>
      <c r="J143" s="1607" t="n"/>
    </row>
    <row r="144">
      <c r="C144" s="216" t="inlineStr">
        <is>
          <t>Digital Gift Card</t>
        </is>
      </c>
      <c r="D144" s="1638" t="n"/>
      <c r="E144" s="1638" t="inlineStr">
        <is>
          <t>Teresa Andrews</t>
        </is>
      </c>
      <c r="F144" s="214" t="inlineStr">
        <is>
          <t>#02555</t>
        </is>
      </c>
      <c r="G144" s="1639" t="n">
        <v>45126</v>
      </c>
      <c r="H144" s="1640" t="n">
        <v>125</v>
      </c>
      <c r="I144" s="1607" t="n">
        <v>0</v>
      </c>
      <c r="J144" s="1607" t="inlineStr">
        <is>
          <t>#02768</t>
        </is>
      </c>
    </row>
    <row r="145">
      <c r="C145" s="93" t="inlineStr">
        <is>
          <t>Digital Gift Card</t>
        </is>
      </c>
      <c r="D145" s="1568" t="n"/>
      <c r="E145" s="1568" t="inlineStr">
        <is>
          <t>Jane Holmes</t>
        </is>
      </c>
      <c r="F145" s="87" t="inlineStr">
        <is>
          <t>#02559</t>
        </is>
      </c>
      <c r="G145" s="1631" t="n">
        <v>45133</v>
      </c>
      <c r="H145" s="1607" t="n">
        <v>100</v>
      </c>
      <c r="I145" s="1607" t="n">
        <v>100</v>
      </c>
      <c r="J145" s="1607" t="n"/>
    </row>
    <row r="146">
      <c r="C146" s="216" t="inlineStr">
        <is>
          <t>Digital Gift Card</t>
        </is>
      </c>
      <c r="D146" s="1638" t="n"/>
      <c r="E146" s="1638" t="inlineStr">
        <is>
          <t>Peter Western</t>
        </is>
      </c>
      <c r="F146" s="214" t="inlineStr">
        <is>
          <t>#02578</t>
        </is>
      </c>
      <c r="G146" s="1639" t="n">
        <v>45161</v>
      </c>
      <c r="H146" s="1640" t="n">
        <v>100</v>
      </c>
      <c r="I146" s="1640" t="n">
        <v>0</v>
      </c>
      <c r="J146" s="1607" t="inlineStr">
        <is>
          <t>#02823</t>
        </is>
      </c>
    </row>
    <row r="147">
      <c r="C147" s="93" t="inlineStr">
        <is>
          <t>Digital Gift Card</t>
        </is>
      </c>
      <c r="D147" s="1568" t="n"/>
      <c r="E147" s="1638" t="inlineStr">
        <is>
          <t>Anne Stack</t>
        </is>
      </c>
      <c r="F147" s="214" t="inlineStr">
        <is>
          <t>#02603</t>
        </is>
      </c>
      <c r="G147" s="1639" t="n">
        <v>45180</v>
      </c>
      <c r="H147" s="1640" t="n">
        <v>150</v>
      </c>
      <c r="I147" s="1640" t="n">
        <v>0</v>
      </c>
      <c r="J147" s="1607" t="inlineStr">
        <is>
          <t>#02707</t>
        </is>
      </c>
    </row>
    <row r="148">
      <c r="C148" s="93" t="inlineStr">
        <is>
          <t>Digital Gift Card</t>
        </is>
      </c>
      <c r="D148" s="1568" t="n"/>
      <c r="E148" s="1638" t="inlineStr">
        <is>
          <t>Cheryl Phillpot</t>
        </is>
      </c>
      <c r="F148" s="214" t="inlineStr">
        <is>
          <t>#02640</t>
        </is>
      </c>
      <c r="G148" s="1639" t="n">
        <v>45231</v>
      </c>
      <c r="H148" s="1640" t="n">
        <v>250</v>
      </c>
      <c r="I148" s="1640" t="n">
        <v>250</v>
      </c>
      <c r="J148" s="1607" t="inlineStr">
        <is>
          <t>#02642</t>
        </is>
      </c>
    </row>
    <row r="149">
      <c r="C149" s="93" t="inlineStr">
        <is>
          <t>Digital Gift Card</t>
        </is>
      </c>
      <c r="D149" s="1568" t="n"/>
      <c r="E149" s="1568" t="inlineStr">
        <is>
          <t>Graeme Dykes</t>
        </is>
      </c>
      <c r="F149" s="87" t="inlineStr">
        <is>
          <t>#02651</t>
        </is>
      </c>
      <c r="G149" s="1631" t="n">
        <v>45244</v>
      </c>
      <c r="H149" s="1607" t="n">
        <v>800</v>
      </c>
      <c r="I149" s="1607" t="n">
        <v>800</v>
      </c>
      <c r="J149" s="1607" t="n"/>
    </row>
    <row r="150">
      <c r="C150" s="93" t="inlineStr">
        <is>
          <t>Digital Gift Card</t>
        </is>
      </c>
      <c r="D150" s="1568" t="n"/>
      <c r="E150" s="1568" t="inlineStr">
        <is>
          <t>Emma Marsh</t>
        </is>
      </c>
      <c r="F150" s="87" t="inlineStr">
        <is>
          <t>#02653</t>
        </is>
      </c>
      <c r="G150" s="1631" t="n">
        <v>45248</v>
      </c>
      <c r="H150" s="1607" t="n">
        <v>75</v>
      </c>
      <c r="I150" s="1607" t="n">
        <v>25</v>
      </c>
      <c r="J150" s="1607" t="inlineStr">
        <is>
          <t>#02685</t>
        </is>
      </c>
    </row>
    <row r="151">
      <c r="C151" s="93" t="inlineStr">
        <is>
          <t>Digital Gift Card</t>
        </is>
      </c>
      <c r="D151" s="1568" t="n"/>
      <c r="E151" s="1638" t="inlineStr">
        <is>
          <t>Helen Richmond</t>
        </is>
      </c>
      <c r="F151" s="214" t="inlineStr">
        <is>
          <t>#02659</t>
        </is>
      </c>
      <c r="G151" s="1639" t="n">
        <v>45269</v>
      </c>
      <c r="H151" s="1640" t="n">
        <v>30</v>
      </c>
      <c r="I151" s="1640" t="n">
        <v>0</v>
      </c>
      <c r="J151" s="1607" t="inlineStr">
        <is>
          <t>#02728</t>
        </is>
      </c>
    </row>
    <row r="152">
      <c r="C152" s="93" t="inlineStr">
        <is>
          <t>Digital Gift Card</t>
        </is>
      </c>
      <c r="D152" s="1568" t="n"/>
      <c r="E152" s="1638" t="inlineStr">
        <is>
          <t>Helen Richmond</t>
        </is>
      </c>
      <c r="F152" s="214" t="inlineStr">
        <is>
          <t>#02660</t>
        </is>
      </c>
      <c r="G152" s="1639" t="n">
        <v>45269</v>
      </c>
      <c r="H152" s="1640" t="n">
        <v>30</v>
      </c>
      <c r="I152" s="1640" t="n">
        <v>0</v>
      </c>
      <c r="J152" s="1607" t="inlineStr">
        <is>
          <t>#02728</t>
        </is>
      </c>
    </row>
    <row r="153">
      <c r="C153" s="93" t="inlineStr">
        <is>
          <t>Digital Gift Card</t>
        </is>
      </c>
      <c r="D153" s="1568" t="n"/>
      <c r="E153" s="1568" t="inlineStr">
        <is>
          <t>Resalve LTD</t>
        </is>
      </c>
      <c r="F153" s="87" t="inlineStr">
        <is>
          <t>#02663</t>
        </is>
      </c>
      <c r="G153" s="1631" t="n">
        <v>45270</v>
      </c>
      <c r="H153" s="1607" t="n">
        <v>30</v>
      </c>
      <c r="I153" s="1607" t="n">
        <v>30</v>
      </c>
      <c r="J153" s="1607" t="n"/>
    </row>
    <row r="154">
      <c r="C154" s="93" t="inlineStr">
        <is>
          <t>Digital Gift Card</t>
        </is>
      </c>
      <c r="D154" s="1568" t="n"/>
      <c r="E154" s="1260" t="inlineStr">
        <is>
          <t>Ditty Dokter</t>
        </is>
      </c>
      <c r="F154" s="87" t="inlineStr">
        <is>
          <t>#02667</t>
        </is>
      </c>
      <c r="G154" s="1631" t="n">
        <v>45275</v>
      </c>
      <c r="H154" s="1607" t="n">
        <v>50</v>
      </c>
      <c r="I154" s="1607" t="n">
        <v>50</v>
      </c>
      <c r="J154" s="1607" t="n"/>
    </row>
    <row r="155">
      <c r="C155" s="93" t="inlineStr">
        <is>
          <t>Digital Gift Card</t>
        </is>
      </c>
      <c r="D155" s="1568" t="n"/>
      <c r="E155" s="1568" t="inlineStr">
        <is>
          <t>Kai Cott</t>
        </is>
      </c>
      <c r="F155" s="87" t="inlineStr">
        <is>
          <t>#02669</t>
        </is>
      </c>
      <c r="G155" s="1631" t="n">
        <v>45277</v>
      </c>
      <c r="H155" s="1607" t="n">
        <v>50</v>
      </c>
      <c r="I155" s="1607" t="n">
        <v>50</v>
      </c>
      <c r="J155" s="1607" t="n"/>
    </row>
    <row r="156">
      <c r="C156" s="216" t="inlineStr">
        <is>
          <t>Digital Gift Card</t>
        </is>
      </c>
      <c r="D156" s="1638" t="n"/>
      <c r="E156" s="1638" t="inlineStr">
        <is>
          <t>GLENDA DEVEY</t>
        </is>
      </c>
      <c r="F156" s="214" t="inlineStr">
        <is>
          <t>#02673</t>
        </is>
      </c>
      <c r="G156" s="1639" t="n">
        <v>45279</v>
      </c>
      <c r="H156" s="1640" t="n">
        <v>100</v>
      </c>
      <c r="I156" s="1640" t="n">
        <v>0</v>
      </c>
      <c r="J156" s="1607" t="inlineStr">
        <is>
          <t>#02979</t>
        </is>
      </c>
      <c r="L156" s="1568" t="n"/>
      <c r="M156" s="87" t="n"/>
      <c r="N156" s="1631" t="n"/>
      <c r="O156" s="1607" t="n"/>
      <c r="P156" s="1607" t="n"/>
    </row>
    <row r="157">
      <c r="C157" s="216" t="inlineStr">
        <is>
          <t>Digital Gift Card</t>
        </is>
      </c>
      <c r="D157" s="1638" t="n"/>
      <c r="E157" s="1638" t="inlineStr">
        <is>
          <t>sam hammond</t>
        </is>
      </c>
      <c r="F157" s="214" t="inlineStr">
        <is>
          <t>#02674</t>
        </is>
      </c>
      <c r="G157" s="1639" t="n">
        <v>45279</v>
      </c>
      <c r="H157" s="1640" t="n">
        <v>100</v>
      </c>
      <c r="I157" s="1607" t="n">
        <v>0</v>
      </c>
      <c r="J157" s="1607" t="inlineStr">
        <is>
          <t>#02821</t>
        </is>
      </c>
    </row>
    <row r="158">
      <c r="C158" s="93" t="inlineStr">
        <is>
          <t>Digital Gift Card</t>
        </is>
      </c>
      <c r="D158" s="1568" t="n"/>
      <c r="E158" s="1568" t="inlineStr">
        <is>
          <t>Alison Gilbert</t>
        </is>
      </c>
      <c r="F158" s="87" t="inlineStr">
        <is>
          <t>#02679</t>
        </is>
      </c>
      <c r="G158" s="1631" t="n">
        <v>45283</v>
      </c>
      <c r="H158" s="1607" t="n">
        <v>100</v>
      </c>
      <c r="I158" s="1607" t="n">
        <v>100</v>
      </c>
      <c r="J158" s="1607" t="n"/>
    </row>
    <row r="159" customFormat="1" s="1273">
      <c r="C159" s="1080" t="n"/>
      <c r="D159" s="1649" t="n"/>
      <c r="E159" s="1649" t="n"/>
      <c r="F159" s="879" t="n"/>
      <c r="G159" s="1650" t="n"/>
      <c r="H159" s="1651" t="n"/>
      <c r="I159" s="1651" t="n"/>
      <c r="J159" s="1651" t="n"/>
      <c r="K159" s="1649" t="n"/>
    </row>
    <row r="160">
      <c r="C160" s="93" t="inlineStr">
        <is>
          <t>Digital Gift Card</t>
        </is>
      </c>
      <c r="D160" s="1568" t="n"/>
      <c r="E160" s="1568" t="inlineStr">
        <is>
          <t>Elizabeth Wiedenheft</t>
        </is>
      </c>
      <c r="F160" s="87" t="inlineStr">
        <is>
          <t>#02709</t>
        </is>
      </c>
      <c r="G160" s="1631" t="n">
        <v>45309</v>
      </c>
      <c r="H160" s="1607" t="n">
        <v>150</v>
      </c>
      <c r="I160" s="1607" t="n">
        <v>150</v>
      </c>
      <c r="J160" s="1607" t="n"/>
    </row>
    <row r="161">
      <c r="C161" s="93" t="inlineStr">
        <is>
          <t>Digital Gift Card</t>
        </is>
      </c>
      <c r="D161" s="1568" t="n"/>
      <c r="E161" s="1568" t="inlineStr">
        <is>
          <t>Raisa Zulfiqar</t>
        </is>
      </c>
      <c r="F161" s="87" t="inlineStr">
        <is>
          <t>#02714</t>
        </is>
      </c>
      <c r="G161" s="1631" t="n">
        <v>45323</v>
      </c>
      <c r="H161" s="1607" t="n">
        <v>100</v>
      </c>
      <c r="I161" s="1607" t="n">
        <v>100</v>
      </c>
      <c r="J161" s="1607" t="n"/>
    </row>
    <row r="162">
      <c r="C162" s="93" t="inlineStr">
        <is>
          <t>Digital Gift Card</t>
        </is>
      </c>
      <c r="D162" s="1568" t="n"/>
      <c r="E162" s="1638" t="inlineStr">
        <is>
          <t>Lois Falla</t>
        </is>
      </c>
      <c r="F162" s="214" t="inlineStr">
        <is>
          <t>#02717</t>
        </is>
      </c>
      <c r="G162" s="1639" t="n">
        <v>45329</v>
      </c>
      <c r="H162" s="1640" t="n">
        <v>100</v>
      </c>
      <c r="I162" s="1640" t="n"/>
      <c r="J162" s="1607" t="inlineStr">
        <is>
          <t>#02719</t>
        </is>
      </c>
    </row>
    <row r="163">
      <c r="C163" s="216" t="inlineStr">
        <is>
          <t>Digital Gift Card</t>
        </is>
      </c>
      <c r="D163" s="1638" t="n"/>
      <c r="E163" s="1638" t="inlineStr">
        <is>
          <t>Sam Cooke</t>
        </is>
      </c>
      <c r="F163" s="214" t="inlineStr">
        <is>
          <t>#02811</t>
        </is>
      </c>
      <c r="G163" s="1639" t="n">
        <v>45458</v>
      </c>
      <c r="H163" s="1640" t="n">
        <v>50</v>
      </c>
      <c r="I163" s="1607" t="n">
        <v>0</v>
      </c>
      <c r="J163" s="1607" t="inlineStr">
        <is>
          <t>#02944</t>
        </is>
      </c>
    </row>
    <row r="164">
      <c r="C164" s="216" t="n"/>
      <c r="D164" s="1638" t="n"/>
      <c r="E164" s="1638" t="inlineStr">
        <is>
          <t>Natalie Green</t>
        </is>
      </c>
      <c r="F164" s="214" t="n"/>
      <c r="G164" s="1639" t="n">
        <v>46192</v>
      </c>
      <c r="H164" s="1640" t="n">
        <v>100</v>
      </c>
      <c r="I164" s="1607" t="n">
        <v>0</v>
      </c>
      <c r="J164" s="1607" t="inlineStr">
        <is>
          <t>#03270</t>
        </is>
      </c>
    </row>
    <row r="165">
      <c r="C165" s="216" t="inlineStr">
        <is>
          <t>Digital Gift Card</t>
        </is>
      </c>
      <c r="D165" s="1638" t="n"/>
      <c r="E165" s="1638" t="inlineStr">
        <is>
          <t>Sarah Owen</t>
        </is>
      </c>
      <c r="F165" s="214" t="inlineStr">
        <is>
          <t>#02871</t>
        </is>
      </c>
      <c r="G165" s="1639" t="n">
        <v>45561</v>
      </c>
      <c r="H165" s="1640" t="n">
        <v>100</v>
      </c>
      <c r="I165" s="1607" t="n">
        <v>0</v>
      </c>
      <c r="J165" s="1607" t="inlineStr">
        <is>
          <t>#02981</t>
        </is>
      </c>
    </row>
    <row r="166">
      <c r="C166" s="93" t="inlineStr">
        <is>
          <t>Digital Gift Card</t>
        </is>
      </c>
      <c r="D166" s="1568" t="n"/>
      <c r="E166" s="1568" t="inlineStr">
        <is>
          <t>Mark Hesford</t>
        </is>
      </c>
      <c r="F166" s="87" t="inlineStr">
        <is>
          <t>#02882</t>
        </is>
      </c>
      <c r="G166" s="1631" t="n">
        <v>45584</v>
      </c>
      <c r="H166" s="1607" t="n">
        <v>30</v>
      </c>
      <c r="I166" s="1607" t="n">
        <v>30</v>
      </c>
      <c r="J166" s="1607" t="n"/>
    </row>
    <row r="167">
      <c r="C167" s="93" t="inlineStr">
        <is>
          <t>Digital Gift Card</t>
        </is>
      </c>
      <c r="D167" s="1568" t="n"/>
      <c r="E167" s="1568" t="inlineStr">
        <is>
          <t>Mark Hesford</t>
        </is>
      </c>
      <c r="F167" s="87" t="inlineStr">
        <is>
          <t>#02883</t>
        </is>
      </c>
      <c r="G167" s="1631" t="n">
        <v>45584</v>
      </c>
      <c r="H167" s="1607" t="n">
        <v>10</v>
      </c>
      <c r="I167" s="1607" t="n">
        <v>10</v>
      </c>
      <c r="J167" s="1607" t="n"/>
    </row>
    <row r="168">
      <c r="C168" s="93" t="inlineStr">
        <is>
          <t>Digital Gift Card</t>
        </is>
      </c>
      <c r="D168" s="1568" t="n"/>
      <c r="E168" s="1568" t="inlineStr">
        <is>
          <t>Daniel Huntley</t>
        </is>
      </c>
      <c r="F168" s="87" t="inlineStr">
        <is>
          <t>#02896</t>
        </is>
      </c>
      <c r="G168" s="1631" t="n">
        <v>45600</v>
      </c>
      <c r="H168" s="1607" t="n">
        <v>200</v>
      </c>
      <c r="I168" s="1607" t="n">
        <v>50</v>
      </c>
      <c r="J168" s="1607" t="inlineStr">
        <is>
          <t>#03001</t>
        </is>
      </c>
    </row>
    <row r="169">
      <c r="C169" s="216" t="inlineStr">
        <is>
          <t>Digital Gift Card</t>
        </is>
      </c>
      <c r="D169" s="1638" t="n"/>
      <c r="E169" s="1638" t="inlineStr">
        <is>
          <t>Alison Morris</t>
        </is>
      </c>
      <c r="F169" s="214" t="inlineStr">
        <is>
          <t>#02902</t>
        </is>
      </c>
      <c r="G169" s="1639" t="n">
        <v>45617</v>
      </c>
      <c r="H169" s="1640" t="n">
        <v>100</v>
      </c>
      <c r="I169" s="1607" t="n">
        <v>0</v>
      </c>
      <c r="J169" s="1607" t="inlineStr">
        <is>
          <t>#03257</t>
        </is>
      </c>
    </row>
    <row r="170">
      <c r="C170" s="216" t="inlineStr">
        <is>
          <t>Digital Gift Card</t>
        </is>
      </c>
      <c r="D170" s="1638" t="n"/>
      <c r="E170" s="1638" t="inlineStr">
        <is>
          <t>Asha Jutti</t>
        </is>
      </c>
      <c r="F170" s="214" t="inlineStr">
        <is>
          <t>#02911</t>
        </is>
      </c>
      <c r="G170" s="1639" t="n">
        <v>45630</v>
      </c>
      <c r="H170" s="1640" t="n">
        <v>50</v>
      </c>
      <c r="I170" s="1607" t="n">
        <v>0</v>
      </c>
      <c r="J170" s="1607" t="inlineStr">
        <is>
          <t>#02927</t>
        </is>
      </c>
    </row>
    <row r="171">
      <c r="C171" s="93" t="inlineStr">
        <is>
          <t>Digital Gift Card</t>
        </is>
      </c>
      <c r="D171" s="1568" t="n"/>
      <c r="E171" s="1568" t="inlineStr">
        <is>
          <t>J S Smith</t>
        </is>
      </c>
      <c r="F171" s="87" t="inlineStr">
        <is>
          <t>#02914</t>
        </is>
      </c>
      <c r="G171" s="1631" t="n">
        <v>45634</v>
      </c>
      <c r="H171" s="1607" t="n">
        <v>150</v>
      </c>
      <c r="I171" s="1607" t="n">
        <v>150</v>
      </c>
      <c r="J171" s="1607" t="n"/>
    </row>
    <row r="172">
      <c r="C172" s="93" t="inlineStr">
        <is>
          <t>Digital Gift Card</t>
        </is>
      </c>
      <c r="D172" s="1568" t="n"/>
      <c r="E172" s="1568" t="inlineStr">
        <is>
          <t>Andrew Shelton</t>
        </is>
      </c>
      <c r="F172" s="87" t="inlineStr">
        <is>
          <t>#02918</t>
        </is>
      </c>
      <c r="G172" s="1631" t="n">
        <v>45644</v>
      </c>
      <c r="H172" s="1607" t="n">
        <v>300</v>
      </c>
      <c r="I172" s="1607" t="n">
        <v>300</v>
      </c>
      <c r="J172" s="1607" t="n"/>
    </row>
    <row r="173">
      <c r="C173" s="216" t="inlineStr">
        <is>
          <t>Digital Gift Card</t>
        </is>
      </c>
      <c r="D173" s="1638" t="n"/>
      <c r="E173" s="1638" t="inlineStr">
        <is>
          <t>Marilyn Milestone</t>
        </is>
      </c>
      <c r="F173" s="214" t="inlineStr">
        <is>
          <t>#02922</t>
        </is>
      </c>
      <c r="G173" s="1639" t="n">
        <v>45650</v>
      </c>
      <c r="H173" s="1640" t="n">
        <v>300</v>
      </c>
      <c r="I173" s="1607" t="n"/>
      <c r="J173" s="1607" t="inlineStr">
        <is>
          <t>#03027</t>
        </is>
      </c>
    </row>
    <row r="174">
      <c r="C174" s="93" t="inlineStr">
        <is>
          <t>Digital Gift Card</t>
        </is>
      </c>
      <c r="D174" s="1568" t="n"/>
      <c r="E174" s="1568" t="inlineStr">
        <is>
          <t>Jayne Moye</t>
        </is>
      </c>
      <c r="F174" s="87" t="inlineStr">
        <is>
          <t>#02991</t>
        </is>
      </c>
      <c r="G174" s="1631" t="n">
        <v>45778</v>
      </c>
      <c r="H174" s="1607" t="n">
        <v>50</v>
      </c>
      <c r="I174" s="1607" t="n">
        <v>50</v>
      </c>
      <c r="J174" s="1607" t="n"/>
    </row>
    <row r="175">
      <c r="C175" s="93" t="inlineStr">
        <is>
          <t>Digital Gift Card</t>
        </is>
      </c>
      <c r="D175" s="1568" t="n"/>
      <c r="E175" s="1568" t="inlineStr">
        <is>
          <t>James Spraggett</t>
        </is>
      </c>
      <c r="F175" s="87" t="inlineStr">
        <is>
          <t>#02994</t>
        </is>
      </c>
      <c r="G175" s="1631" t="n">
        <v>45781</v>
      </c>
      <c r="H175" s="1607" t="n">
        <v>75</v>
      </c>
      <c r="I175" s="1607" t="n">
        <v>75</v>
      </c>
      <c r="J175" s="1607" t="n"/>
    </row>
    <row r="176">
      <c r="C176" s="93" t="n"/>
      <c r="D176" s="1568" t="n"/>
      <c r="E176" s="1568" t="inlineStr">
        <is>
          <t>Jane Mellor</t>
        </is>
      </c>
      <c r="F176" s="87" t="inlineStr">
        <is>
          <t>#3010</t>
        </is>
      </c>
      <c r="G176" s="1631" t="n">
        <v>45815</v>
      </c>
      <c r="H176" s="1607" t="n">
        <v>50</v>
      </c>
      <c r="I176" s="1607" t="n">
        <v>50</v>
      </c>
      <c r="J176" s="1607" t="n"/>
    </row>
    <row r="177">
      <c r="C177" s="93" t="n"/>
      <c r="D177" s="1568" t="n"/>
      <c r="E177" s="1638" t="inlineStr">
        <is>
          <t>Angela Lapworth</t>
        </is>
      </c>
      <c r="F177" s="214" t="inlineStr">
        <is>
          <t>#03011</t>
        </is>
      </c>
      <c r="G177" s="1639" t="n">
        <v>45817</v>
      </c>
      <c r="H177" s="1640" t="n">
        <v>300</v>
      </c>
      <c r="I177" s="1607" t="n"/>
      <c r="J177" s="1607" t="inlineStr">
        <is>
          <t>#03148 #03147</t>
        </is>
      </c>
    </row>
    <row r="178">
      <c r="C178" s="93" t="n"/>
      <c r="D178" s="1568" t="n"/>
      <c r="E178" s="1638" t="inlineStr">
        <is>
          <t>William Mustoe</t>
        </is>
      </c>
      <c r="F178" s="214" t="inlineStr">
        <is>
          <t>#03043</t>
        </is>
      </c>
      <c r="G178" s="1639" t="n">
        <v>45880</v>
      </c>
      <c r="H178" s="1640" t="n">
        <v>100</v>
      </c>
      <c r="I178" s="1607" t="n"/>
      <c r="J178" s="1607" t="inlineStr">
        <is>
          <t>#0344</t>
        </is>
      </c>
    </row>
    <row r="179">
      <c r="C179" s="93" t="n"/>
      <c r="D179" s="1568" t="n"/>
      <c r="E179" s="1568" t="inlineStr">
        <is>
          <t>Carolyn Tatman</t>
        </is>
      </c>
      <c r="F179" s="87" t="inlineStr">
        <is>
          <t>#03101</t>
        </is>
      </c>
      <c r="G179" s="1631" t="n">
        <v>45909</v>
      </c>
      <c r="H179" s="1607" t="n">
        <v>150</v>
      </c>
      <c r="I179" s="1607" t="n">
        <v>150</v>
      </c>
      <c r="J179" s="1607" t="n"/>
    </row>
    <row r="180">
      <c r="C180" s="93" t="n"/>
      <c r="D180" s="1568" t="n"/>
      <c r="E180" s="1568" t="inlineStr">
        <is>
          <t>Ali Bond</t>
        </is>
      </c>
      <c r="F180" s="87" t="inlineStr">
        <is>
          <t>#03118</t>
        </is>
      </c>
      <c r="G180" s="1631" t="n">
        <v>45931</v>
      </c>
      <c r="H180" s="1607" t="n">
        <v>65</v>
      </c>
      <c r="I180" s="1607" t="n">
        <v>65</v>
      </c>
      <c r="J180" s="1607" t="n"/>
    </row>
    <row r="181">
      <c r="C181" s="93" t="n"/>
      <c r="D181" s="1568" t="n"/>
      <c r="E181" s="1568" t="inlineStr">
        <is>
          <t>Deborah Hughes</t>
        </is>
      </c>
      <c r="F181" s="1051" t="inlineStr">
        <is>
          <t>#03176</t>
        </is>
      </c>
      <c r="G181" s="1631" t="n">
        <v>46004</v>
      </c>
      <c r="H181" s="1607" t="n">
        <v>50</v>
      </c>
      <c r="I181" s="1607" t="n">
        <v>50</v>
      </c>
      <c r="J181" s="1607" t="n"/>
    </row>
    <row r="182">
      <c r="C182" s="93" t="n"/>
      <c r="D182" s="1568" t="n"/>
      <c r="E182" s="1568" t="inlineStr">
        <is>
          <t>Chloe Newman</t>
        </is>
      </c>
      <c r="F182" s="87" t="inlineStr">
        <is>
          <t>#03178</t>
        </is>
      </c>
      <c r="G182" s="1631" t="n">
        <v>46005</v>
      </c>
      <c r="H182" s="1607" t="n">
        <v>50</v>
      </c>
      <c r="I182" s="1607" t="n">
        <v>50</v>
      </c>
      <c r="J182" s="1607" t="n"/>
    </row>
    <row r="183">
      <c r="C183" s="93" t="n"/>
      <c r="D183" s="1568" t="n"/>
      <c r="E183" s="1568" t="inlineStr">
        <is>
          <t>Nickiii Kohhantsuk</t>
        </is>
      </c>
      <c r="F183" s="1051" t="inlineStr">
        <is>
          <t>#03211</t>
        </is>
      </c>
      <c r="G183" s="1631" t="n">
        <v>46057</v>
      </c>
      <c r="H183" s="1607" t="n">
        <v>150</v>
      </c>
      <c r="I183" s="1607" t="n">
        <v>150</v>
      </c>
      <c r="J183" s="1607" t="n"/>
    </row>
    <row r="184">
      <c r="C184" s="93" t="n"/>
      <c r="D184" s="1568" t="n"/>
      <c r="E184" s="1568" t="inlineStr">
        <is>
          <t>Christopher Bernatek</t>
        </is>
      </c>
      <c r="F184" s="87" t="inlineStr">
        <is>
          <t>#03222</t>
        </is>
      </c>
      <c r="G184" s="1631" t="n">
        <v>46076</v>
      </c>
      <c r="H184" s="1607" t="n">
        <v>150</v>
      </c>
      <c r="I184" s="1607" t="n">
        <v>150</v>
      </c>
      <c r="J184" s="1607" t="n"/>
    </row>
    <row r="185">
      <c r="C185" s="93" t="n"/>
      <c r="D185" s="1568" t="n"/>
      <c r="E185" s="1568" t="inlineStr">
        <is>
          <t>Miss M G Walker</t>
        </is>
      </c>
      <c r="F185" s="87" t="inlineStr">
        <is>
          <t>#03223</t>
        </is>
      </c>
      <c r="G185" s="1631" t="n">
        <v>46077</v>
      </c>
      <c r="H185" s="1607" t="n">
        <v>150</v>
      </c>
      <c r="I185" s="1607" t="n">
        <v>150</v>
      </c>
      <c r="J185" s="1607" t="n"/>
    </row>
    <row r="186">
      <c r="C186" s="93" t="n"/>
      <c r="D186" s="1568" t="n"/>
      <c r="E186" s="1568" t="inlineStr">
        <is>
          <t>Andrea Morris</t>
        </is>
      </c>
      <c r="F186" s="87" t="inlineStr">
        <is>
          <t>#03260</t>
        </is>
      </c>
      <c r="G186" s="1631" t="n">
        <v>46131</v>
      </c>
      <c r="H186" s="1607" t="n">
        <v>150</v>
      </c>
      <c r="I186" s="1607" t="n">
        <v>25</v>
      </c>
      <c r="J186" s="1607" t="inlineStr">
        <is>
          <t>#03269</t>
        </is>
      </c>
    </row>
    <row r="187">
      <c r="C187" s="93" t="n"/>
      <c r="D187" s="1568" t="n"/>
      <c r="E187" s="1568" t="inlineStr">
        <is>
          <t>Maggie Shaw</t>
        </is>
      </c>
      <c r="F187" s="87" t="inlineStr">
        <is>
          <t>#03268</t>
        </is>
      </c>
      <c r="G187" s="1631" t="n">
        <v>46138</v>
      </c>
      <c r="H187" s="1607" t="n">
        <v>50</v>
      </c>
      <c r="I187" s="1607" t="n">
        <v>50</v>
      </c>
      <c r="J187" s="1607" t="n"/>
    </row>
    <row r="188">
      <c r="C188" s="93" t="n"/>
      <c r="D188" s="1568" t="n"/>
      <c r="E188" s="1568" t="inlineStr">
        <is>
          <t>Mahesh Valasa</t>
        </is>
      </c>
      <c r="F188" s="87" t="inlineStr">
        <is>
          <t>#03276</t>
        </is>
      </c>
      <c r="G188" s="1631" t="n">
        <v>46156</v>
      </c>
      <c r="H188" s="1607" t="n">
        <v>150</v>
      </c>
      <c r="I188" s="1607" t="n">
        <v>150</v>
      </c>
      <c r="J188" s="1607" t="n"/>
    </row>
    <row r="189">
      <c r="C189" s="93" t="n"/>
      <c r="D189" s="1568" t="n"/>
      <c r="E189" s="1568" t="n"/>
      <c r="F189" s="87" t="n"/>
      <c r="G189" s="1631" t="n"/>
      <c r="H189" s="1607" t="n"/>
      <c r="I189" s="1607" t="n"/>
      <c r="J189" s="1607" t="n"/>
    </row>
    <row r="190">
      <c r="C190" s="93" t="n"/>
      <c r="D190" s="1568" t="n"/>
      <c r="E190" s="1568" t="n"/>
      <c r="F190" s="87" t="n"/>
      <c r="G190" s="1631" t="n"/>
      <c r="H190" s="1607" t="n"/>
      <c r="I190" s="1607" t="n"/>
      <c r="J190" s="1607" t="n"/>
    </row>
    <row r="191">
      <c r="C191" s="201" t="inlineStr">
        <is>
          <t>Totals</t>
        </is>
      </c>
      <c r="D191" s="1652" t="n"/>
      <c r="E191" s="1652" t="n"/>
      <c r="F191" s="90" t="n"/>
      <c r="G191" s="1653" t="n"/>
      <c r="H191" s="1654">
        <f>SUM(H2:H190)</f>
        <v/>
      </c>
      <c r="I191" s="1654">
        <f>SUM(I2:I190)</f>
        <v/>
      </c>
      <c r="J191" s="1654" t="n"/>
    </row>
    <row r="192">
      <c r="C192" s="198" t="n"/>
      <c r="D192" s="1568" t="n"/>
      <c r="E192" s="1568" t="n"/>
      <c r="F192" s="87" t="n"/>
      <c r="G192" s="1566" t="n"/>
      <c r="H192" s="1607" t="n"/>
      <c r="I192" s="1607" t="n"/>
      <c r="J192" s="1607" t="n"/>
    </row>
    <row r="193">
      <c r="E193" s="1260" t="inlineStr">
        <is>
          <t>Value Unclaimed</t>
        </is>
      </c>
      <c r="G193" s="1566" t="n"/>
    </row>
  </sheetData>
  <autoFilter ref="B2:X192"/>
  <conditionalFormatting sqref="J2:J5 J8:J14 J16:J17 J19:J49">
    <cfRule type="cellIs" priority="5" operator="greaterThan" dxfId="1">
      <formula>0</formula>
    </cfRule>
  </conditionalFormatting>
  <conditionalFormatting sqref="J15">
    <cfRule type="cellIs" priority="4" operator="greaterThan" dxfId="1">
      <formula>0</formula>
    </cfRule>
  </conditionalFormatting>
  <conditionalFormatting sqref="J18">
    <cfRule type="cellIs" priority="3" operator="greaterThan" dxfId="1">
      <formula>0</formula>
    </cfRule>
  </conditionalFormatting>
  <conditionalFormatting sqref="J50:J97 J99:J190">
    <cfRule type="cellIs" priority="2" operator="greaterThan" dxfId="1">
      <formula>0</formula>
    </cfRule>
  </conditionalFormatting>
  <conditionalFormatting sqref="J98">
    <cfRule type="cellIs" priority="1" operator="greaterThan" dxfId="1">
      <formula>0</formula>
    </cfRule>
  </conditionalFormatting>
  <hyperlinks>
    <hyperlink xmlns:r="http://schemas.openxmlformats.org/officeDocument/2006/relationships" ref="K8" r:id="rId1"/>
    <hyperlink xmlns:r="http://schemas.openxmlformats.org/officeDocument/2006/relationships" ref="K9" r:id="rId2"/>
    <hyperlink xmlns:r="http://schemas.openxmlformats.org/officeDocument/2006/relationships" ref="K10" r:id="rId3"/>
    <hyperlink xmlns:r="http://schemas.openxmlformats.org/officeDocument/2006/relationships" ref="K11" r:id="rId4"/>
    <hyperlink xmlns:r="http://schemas.openxmlformats.org/officeDocument/2006/relationships" ref="K13" r:id="rId5"/>
    <hyperlink xmlns:r="http://schemas.openxmlformats.org/officeDocument/2006/relationships" ref="K14" r:id="rId6"/>
    <hyperlink xmlns:r="http://schemas.openxmlformats.org/officeDocument/2006/relationships" ref="K16" r:id="rId7"/>
    <hyperlink xmlns:r="http://schemas.openxmlformats.org/officeDocument/2006/relationships" ref="K17" r:id="rId8"/>
    <hyperlink xmlns:r="http://schemas.openxmlformats.org/officeDocument/2006/relationships" ref="K21" r:id="rId9"/>
    <hyperlink xmlns:r="http://schemas.openxmlformats.org/officeDocument/2006/relationships" ref="K23" r:id="rId10"/>
    <hyperlink xmlns:r="http://schemas.openxmlformats.org/officeDocument/2006/relationships" ref="K24" r:id="rId11"/>
    <hyperlink xmlns:r="http://schemas.openxmlformats.org/officeDocument/2006/relationships" ref="K25" r:id="rId12"/>
    <hyperlink xmlns:r="http://schemas.openxmlformats.org/officeDocument/2006/relationships" ref="K30" r:id="rId13"/>
  </hyperlinks>
  <pageMargins left="0.25" right="0.25" top="0.75" bottom="0.75" header="0.3" footer="0.3"/>
  <pageSetup orientation="landscape" paperSize="9" scale="10" fitToHeight="0" horizontalDpi="300" verticalDpi="300"/>
</worksheet>
</file>

<file path=xl/worksheets/sheet28.xml><?xml version="1.0" encoding="utf-8"?>
<worksheet xmlns="http://schemas.openxmlformats.org/spreadsheetml/2006/main">
  <sheetPr>
    <tabColor theme="4" tint="-0.249977111117893"/>
    <outlinePr summaryBelow="1" summaryRight="1"/>
    <pageSetUpPr fitToPage="1"/>
  </sheetPr>
  <dimension ref="B5:K51"/>
  <sheetViews>
    <sheetView workbookViewId="0">
      <selection activeCell="B31" sqref="B31:K52"/>
    </sheetView>
  </sheetViews>
  <sheetFormatPr baseColWidth="8" defaultRowHeight="12.75"/>
  <cols>
    <col width="11" bestFit="1" customWidth="1" style="1232" min="1" max="1"/>
    <col width="9.796875" bestFit="1" customWidth="1" style="1232" min="5" max="5"/>
  </cols>
  <sheetData>
    <row r="5" ht="13.15" customHeight="1" s="1232">
      <c r="E5" s="1655" t="n">
        <v>43622</v>
      </c>
      <c r="F5" s="1655" t="n">
        <v>43624</v>
      </c>
      <c r="G5" s="1655" t="n">
        <v>43624</v>
      </c>
      <c r="H5" s="1655" t="n">
        <v>43625</v>
      </c>
      <c r="I5" s="1655" t="n">
        <v>43626</v>
      </c>
    </row>
    <row r="6" ht="13.15" customHeight="1" s="1232">
      <c r="E6" s="1434" t="inlineStr">
        <is>
          <t>5am</t>
        </is>
      </c>
      <c r="F6" s="1434" t="inlineStr">
        <is>
          <t>5am</t>
        </is>
      </c>
      <c r="G6" s="1434" t="inlineStr">
        <is>
          <t>7:15pm</t>
        </is>
      </c>
      <c r="H6" s="1434" t="inlineStr">
        <is>
          <t>7:15pm</t>
        </is>
      </c>
      <c r="I6" s="1434" t="inlineStr">
        <is>
          <t>7:15pm</t>
        </is>
      </c>
    </row>
    <row r="7">
      <c r="E7" s="1656" t="n"/>
      <c r="F7" s="1656" t="n"/>
      <c r="G7" s="1656" t="n"/>
      <c r="H7" s="1656" t="n"/>
      <c r="I7" s="1656" t="n"/>
    </row>
    <row r="8">
      <c r="E8" s="1656" t="n"/>
      <c r="F8" s="1656" t="n"/>
      <c r="G8" s="1656" t="n"/>
      <c r="H8" s="1656" t="n"/>
      <c r="I8" s="1656" t="n"/>
    </row>
    <row r="9">
      <c r="B9" s="1250" t="inlineStr">
        <is>
          <t>Laura</t>
        </is>
      </c>
      <c r="C9" s="1250" t="inlineStr">
        <is>
          <t>Davies</t>
        </is>
      </c>
      <c r="E9" s="757" t="n"/>
      <c r="F9" s="757" t="n"/>
      <c r="G9" s="757" t="n"/>
      <c r="H9" s="757" t="n"/>
      <c r="I9" s="757" t="n"/>
    </row>
    <row r="10">
      <c r="B10" s="1250" t="inlineStr">
        <is>
          <t>Sharon</t>
        </is>
      </c>
      <c r="C10" s="1250" t="inlineStr">
        <is>
          <t>Hill</t>
        </is>
      </c>
      <c r="E10" s="757" t="n">
        <v>2</v>
      </c>
      <c r="F10" s="757" t="n">
        <v>1</v>
      </c>
      <c r="G10" s="757" t="n"/>
      <c r="H10" s="757" t="n"/>
      <c r="I10" s="757" t="n">
        <v>3</v>
      </c>
    </row>
    <row r="11">
      <c r="E11" s="757" t="n"/>
      <c r="F11" s="757" t="n"/>
      <c r="G11" s="757" t="n"/>
      <c r="H11" s="757" t="n"/>
      <c r="I11" s="757" t="n"/>
    </row>
    <row r="12">
      <c r="B12" s="1447" t="inlineStr">
        <is>
          <t>Lesley-Anne</t>
        </is>
      </c>
      <c r="C12" s="1447" t="inlineStr">
        <is>
          <t>Collins</t>
        </is>
      </c>
      <c r="E12" s="757" t="n"/>
      <c r="F12" s="757" t="n"/>
      <c r="G12" s="757" t="n"/>
      <c r="H12" s="757" t="n"/>
      <c r="I12" s="757" t="n"/>
    </row>
    <row r="13">
      <c r="B13" s="1447" t="inlineStr">
        <is>
          <t>Janet</t>
        </is>
      </c>
      <c r="C13" s="1447" t="inlineStr">
        <is>
          <t>Mills</t>
        </is>
      </c>
      <c r="E13" s="757" t="n"/>
      <c r="F13" s="757" t="n"/>
      <c r="G13" s="757" t="n"/>
      <c r="H13" s="757" t="n"/>
      <c r="I13" s="757" t="n"/>
    </row>
    <row r="14">
      <c r="B14" s="1447" t="n"/>
      <c r="C14" s="1447" t="n"/>
      <c r="E14" s="757" t="n"/>
      <c r="F14" s="757" t="n"/>
      <c r="G14" s="757" t="n"/>
      <c r="H14" s="757" t="n"/>
      <c r="I14" s="757" t="n"/>
    </row>
    <row r="15">
      <c r="B15" s="1250" t="inlineStr">
        <is>
          <t>Norman</t>
        </is>
      </c>
      <c r="C15" s="1250" t="inlineStr">
        <is>
          <t>Lowe</t>
        </is>
      </c>
      <c r="E15" s="757" t="n"/>
      <c r="F15" s="757" t="n"/>
      <c r="G15" s="757" t="n"/>
      <c r="H15" s="757" t="n">
        <v>1</v>
      </c>
      <c r="I15" s="757" t="n">
        <v>1</v>
      </c>
    </row>
    <row r="17">
      <c r="B17" s="1249" t="inlineStr">
        <is>
          <t>Sally</t>
        </is>
      </c>
      <c r="C17" s="1250" t="inlineStr">
        <is>
          <t>Naville</t>
        </is>
      </c>
      <c r="E17" s="757" t="n">
        <v>1</v>
      </c>
      <c r="F17" s="757" t="n">
        <v>1</v>
      </c>
      <c r="G17" s="757" t="n"/>
      <c r="H17" s="757" t="n"/>
      <c r="I17" s="757" t="n"/>
      <c r="J17" s="757" t="n"/>
    </row>
    <row r="18">
      <c r="B18" s="1250" t="inlineStr">
        <is>
          <t>Tina</t>
        </is>
      </c>
      <c r="C18" s="1250" t="inlineStr">
        <is>
          <t>Jackson</t>
        </is>
      </c>
      <c r="E18" s="757" t="n"/>
      <c r="F18" s="757" t="n"/>
      <c r="G18" s="757" t="n"/>
      <c r="H18" s="757" t="n">
        <v>2</v>
      </c>
      <c r="I18" s="757" t="n">
        <v>1</v>
      </c>
      <c r="J18" s="757" t="n"/>
    </row>
    <row r="19">
      <c r="B19" s="1250" t="inlineStr">
        <is>
          <t xml:space="preserve">Chris </t>
        </is>
      </c>
      <c r="C19" s="1250" t="inlineStr">
        <is>
          <t>Brain</t>
        </is>
      </c>
      <c r="E19" s="757" t="n"/>
      <c r="F19" s="757" t="n">
        <v>1</v>
      </c>
      <c r="G19" s="757" t="n"/>
      <c r="H19" s="757" t="n">
        <v>2</v>
      </c>
      <c r="I19" s="757" t="n">
        <v>3</v>
      </c>
      <c r="J19" s="757" t="n"/>
    </row>
    <row r="20">
      <c r="B20" s="1250" t="inlineStr">
        <is>
          <t>Robert</t>
        </is>
      </c>
      <c r="C20" s="1250" t="inlineStr">
        <is>
          <t>Thomas</t>
        </is>
      </c>
      <c r="E20" s="757" t="n">
        <v>1</v>
      </c>
      <c r="F20" s="757" t="n"/>
      <c r="G20" s="757" t="n">
        <v>2</v>
      </c>
      <c r="H20" s="757" t="n">
        <v>3</v>
      </c>
      <c r="I20" s="757" t="n">
        <v>4</v>
      </c>
      <c r="J20" s="757" t="n"/>
    </row>
    <row r="21">
      <c r="E21" s="757" t="n"/>
      <c r="F21" s="757" t="n"/>
      <c r="G21" s="757" t="n"/>
      <c r="H21" s="757" t="n"/>
      <c r="I21" s="757" t="n"/>
      <c r="J21" s="757" t="n"/>
    </row>
    <row r="22">
      <c r="B22" s="1250" t="inlineStr">
        <is>
          <t xml:space="preserve">Francis </t>
        </is>
      </c>
      <c r="C22" s="1250" t="inlineStr">
        <is>
          <t>Peckham</t>
        </is>
      </c>
      <c r="E22" s="757" t="n">
        <v>2</v>
      </c>
      <c r="F22" s="757" t="n"/>
      <c r="G22" s="757" t="n"/>
      <c r="H22" s="757" t="n"/>
      <c r="I22" s="757" t="n">
        <v>1</v>
      </c>
      <c r="J22" s="757" t="n"/>
    </row>
    <row r="23">
      <c r="B23" s="1250" t="inlineStr">
        <is>
          <t>Anurita</t>
        </is>
      </c>
      <c r="C23" s="1250" t="inlineStr">
        <is>
          <t>De</t>
        </is>
      </c>
      <c r="E23" s="757" t="n"/>
      <c r="F23" s="757" t="n"/>
      <c r="G23" s="757" t="n">
        <v>1</v>
      </c>
      <c r="H23" s="757" t="n"/>
      <c r="I23" s="757" t="n"/>
      <c r="J23" s="757" t="n"/>
    </row>
    <row r="24">
      <c r="B24" s="1250" t="inlineStr">
        <is>
          <t>Magdalena</t>
        </is>
      </c>
      <c r="C24" s="1250" t="inlineStr">
        <is>
          <t>Osojca</t>
        </is>
      </c>
      <c r="E24" s="757" t="n"/>
      <c r="F24" s="757" t="n"/>
      <c r="G24" s="757" t="n">
        <v>1</v>
      </c>
      <c r="H24" s="757" t="n"/>
      <c r="I24" s="757" t="n"/>
      <c r="J24" s="757" t="n"/>
    </row>
    <row r="25">
      <c r="B25" s="1250" t="inlineStr">
        <is>
          <t xml:space="preserve">Adriana </t>
        </is>
      </c>
      <c r="C25" s="1250" t="inlineStr">
        <is>
          <t>Wills</t>
        </is>
      </c>
      <c r="E25" s="757" t="n"/>
      <c r="F25" s="757" t="n"/>
      <c r="G25" s="757" t="n">
        <v>1</v>
      </c>
      <c r="H25" s="757" t="n">
        <v>1</v>
      </c>
      <c r="I25" s="757" t="n"/>
      <c r="J25" s="757" t="n"/>
    </row>
    <row r="27" ht="13.15" customHeight="1" s="1232">
      <c r="E27" s="758">
        <f>COUNTA(E9:E25)</f>
        <v/>
      </c>
      <c r="F27" s="758">
        <f>COUNTA(F9:F25)</f>
        <v/>
      </c>
      <c r="G27" s="758">
        <f>COUNTA(G9:G25)</f>
        <v/>
      </c>
      <c r="H27" s="758">
        <f>COUNTA(H9:H25)</f>
        <v/>
      </c>
      <c r="I27" s="758">
        <f>COUNTA(I9:I25)</f>
        <v/>
      </c>
      <c r="K27" s="759">
        <f>SUM(E27:J27)</f>
        <v/>
      </c>
    </row>
    <row r="31" ht="13.15" customHeight="1" s="1232">
      <c r="E31" s="1655" t="n">
        <v>43622</v>
      </c>
      <c r="F31" s="1655" t="n">
        <v>43624</v>
      </c>
      <c r="G31" s="1655" t="n">
        <v>43624</v>
      </c>
      <c r="H31" s="1655" t="n">
        <v>43625</v>
      </c>
      <c r="I31" s="1655" t="n">
        <v>43626</v>
      </c>
      <c r="J31" s="1657" t="n"/>
      <c r="K31" s="1657" t="n"/>
    </row>
    <row r="32" ht="13.15" customHeight="1" s="1232">
      <c r="E32" s="1434" t="inlineStr">
        <is>
          <t>5am</t>
        </is>
      </c>
      <c r="F32" s="1434" t="inlineStr">
        <is>
          <t>5am</t>
        </is>
      </c>
      <c r="G32" s="1434" t="inlineStr">
        <is>
          <t>7:15pm</t>
        </is>
      </c>
      <c r="H32" s="1434" t="inlineStr">
        <is>
          <t>7:15pm</t>
        </is>
      </c>
      <c r="I32" s="1434" t="inlineStr">
        <is>
          <t>7:15pm</t>
        </is>
      </c>
    </row>
    <row r="33">
      <c r="B33" s="1250" t="inlineStr">
        <is>
          <t>Laura</t>
        </is>
      </c>
      <c r="C33" s="1250" t="inlineStr">
        <is>
          <t>Davies</t>
        </is>
      </c>
      <c r="E33" s="757" t="n"/>
      <c r="F33" s="757" t="n"/>
      <c r="G33" s="757" t="n"/>
      <c r="H33" s="757" t="n"/>
    </row>
    <row r="34">
      <c r="B34" s="1250" t="inlineStr">
        <is>
          <t>Sharon</t>
        </is>
      </c>
      <c r="C34" s="1250" t="inlineStr">
        <is>
          <t>Hill</t>
        </is>
      </c>
      <c r="E34" s="757" t="n">
        <v>1</v>
      </c>
      <c r="F34" s="757" t="n"/>
      <c r="G34" s="757" t="n"/>
      <c r="H34" s="757" t="n"/>
    </row>
    <row r="35">
      <c r="E35" s="757" t="n"/>
      <c r="F35" s="757" t="n"/>
      <c r="G35" s="757" t="n"/>
      <c r="H35" s="757" t="n"/>
    </row>
    <row r="36">
      <c r="B36" s="1447" t="inlineStr">
        <is>
          <t>Lesley-Anne</t>
        </is>
      </c>
      <c r="C36" s="1447" t="inlineStr">
        <is>
          <t>Collins</t>
        </is>
      </c>
      <c r="E36" s="757" t="n"/>
      <c r="F36" s="757" t="n"/>
      <c r="G36" s="757" t="n"/>
      <c r="H36" s="757" t="n"/>
    </row>
    <row r="37">
      <c r="B37" s="1447" t="inlineStr">
        <is>
          <t>Janet</t>
        </is>
      </c>
      <c r="C37" s="1447" t="inlineStr">
        <is>
          <t>Mills</t>
        </is>
      </c>
      <c r="E37" s="757" t="n"/>
      <c r="F37" s="757" t="n"/>
      <c r="G37" s="757" t="n"/>
      <c r="H37" s="757" t="n"/>
    </row>
    <row r="38">
      <c r="B38" s="1447" t="n"/>
      <c r="C38" s="1447" t="n"/>
      <c r="E38" s="757" t="n"/>
      <c r="F38" s="757" t="n"/>
      <c r="G38" s="757" t="n"/>
      <c r="H38" s="757" t="n"/>
    </row>
    <row r="39">
      <c r="B39" s="1250" t="inlineStr">
        <is>
          <t>Norman</t>
        </is>
      </c>
      <c r="C39" s="1250" t="inlineStr">
        <is>
          <t>Lowe</t>
        </is>
      </c>
      <c r="E39" s="757" t="n"/>
      <c r="F39" s="757" t="n"/>
      <c r="G39" s="757" t="n"/>
      <c r="H39" s="757" t="n">
        <v>1</v>
      </c>
    </row>
    <row r="40">
      <c r="E40" s="757" t="n"/>
      <c r="F40" s="757" t="n"/>
      <c r="G40" s="757" t="n"/>
      <c r="H40" s="757" t="n"/>
    </row>
    <row r="41">
      <c r="B41" s="1249" t="inlineStr">
        <is>
          <t>Sally</t>
        </is>
      </c>
      <c r="C41" s="1250" t="inlineStr">
        <is>
          <t>Naville</t>
        </is>
      </c>
      <c r="E41" s="757" t="n">
        <v>1</v>
      </c>
      <c r="F41" s="757" t="n"/>
      <c r="G41" s="757" t="n"/>
      <c r="H41" s="757" t="n"/>
    </row>
    <row r="42">
      <c r="B42" s="1250" t="inlineStr">
        <is>
          <t>Tina</t>
        </is>
      </c>
      <c r="C42" s="1250" t="inlineStr">
        <is>
          <t>Jackson</t>
        </is>
      </c>
      <c r="E42" s="757" t="n"/>
      <c r="F42" s="757" t="n"/>
      <c r="G42" s="757" t="n"/>
      <c r="H42" s="757" t="n">
        <v>2</v>
      </c>
    </row>
    <row r="43">
      <c r="B43" s="1250" t="inlineStr">
        <is>
          <t xml:space="preserve">Chris </t>
        </is>
      </c>
      <c r="C43" s="1250" t="inlineStr">
        <is>
          <t>Brain</t>
        </is>
      </c>
      <c r="E43" s="757" t="n"/>
      <c r="F43" s="757" t="n"/>
      <c r="G43" s="757" t="n"/>
      <c r="H43" s="757" t="n">
        <v>2</v>
      </c>
    </row>
    <row r="44">
      <c r="B44" s="1250" t="inlineStr">
        <is>
          <t>Robert</t>
        </is>
      </c>
      <c r="C44" s="1250" t="inlineStr">
        <is>
          <t>Thomas</t>
        </is>
      </c>
      <c r="E44" s="757" t="n">
        <v>1</v>
      </c>
      <c r="F44" s="757" t="n"/>
      <c r="G44" s="757" t="n"/>
      <c r="H44" s="757" t="n"/>
    </row>
    <row r="45">
      <c r="E45" s="757" t="n"/>
      <c r="F45" s="757" t="n"/>
      <c r="G45" s="757" t="n"/>
      <c r="H45" s="757" t="n"/>
    </row>
    <row r="46">
      <c r="B46" s="1250" t="inlineStr">
        <is>
          <t xml:space="preserve">Francis </t>
        </is>
      </c>
      <c r="C46" s="1250" t="inlineStr">
        <is>
          <t>Peckham</t>
        </is>
      </c>
      <c r="E46" s="757" t="n">
        <v>2</v>
      </c>
      <c r="F46" s="757" t="n"/>
      <c r="G46" s="757" t="n"/>
      <c r="H46" s="757" t="n"/>
    </row>
    <row r="47">
      <c r="B47" s="1250" t="inlineStr">
        <is>
          <t>Anurita</t>
        </is>
      </c>
      <c r="C47" s="1250" t="inlineStr">
        <is>
          <t>De</t>
        </is>
      </c>
      <c r="E47" s="757" t="n"/>
      <c r="F47" s="757" t="n"/>
      <c r="G47" s="757" t="n">
        <v>1</v>
      </c>
      <c r="H47" s="757" t="n"/>
    </row>
    <row r="48">
      <c r="B48" s="1250" t="inlineStr">
        <is>
          <t>Magdalena</t>
        </is>
      </c>
      <c r="C48" s="1250" t="inlineStr">
        <is>
          <t>Osojca</t>
        </is>
      </c>
      <c r="E48" s="757" t="n"/>
      <c r="F48" s="757" t="n"/>
      <c r="G48" s="757" t="n">
        <v>1</v>
      </c>
      <c r="H48" s="757" t="n"/>
    </row>
    <row r="49">
      <c r="B49" s="1250" t="inlineStr">
        <is>
          <t xml:space="preserve">Adriana </t>
        </is>
      </c>
      <c r="C49" s="1250" t="inlineStr">
        <is>
          <t>Wills</t>
        </is>
      </c>
      <c r="E49" s="757" t="n"/>
      <c r="F49" s="757" t="n"/>
      <c r="G49" s="757" t="n">
        <v>1</v>
      </c>
      <c r="H49" s="757" t="n"/>
      <c r="I49" s="757" t="n"/>
      <c r="J49" s="757" t="n"/>
      <c r="K49" s="1658" t="n"/>
    </row>
    <row r="50">
      <c r="E50" s="1658" t="n"/>
      <c r="F50" s="1658" t="n"/>
      <c r="G50" s="1658" t="n"/>
      <c r="H50" s="1658" t="n"/>
      <c r="I50" s="1658" t="n"/>
      <c r="J50" s="1658" t="n"/>
      <c r="K50" s="1658" t="n"/>
    </row>
    <row r="51" ht="13.15" customHeight="1" s="1232">
      <c r="E51" s="760">
        <f>COUNTA(E33:E49)</f>
        <v/>
      </c>
      <c r="F51" s="760">
        <f>COUNTA(F33:F49)</f>
        <v/>
      </c>
      <c r="G51" s="760">
        <f>COUNTA(G33:G49)</f>
        <v/>
      </c>
      <c r="H51" s="760">
        <f>COUNTA(H33:H49)</f>
        <v/>
      </c>
      <c r="I51" s="760">
        <f>COUNTA(I33:I49)</f>
        <v/>
      </c>
      <c r="J51" s="1658" t="n"/>
      <c r="K51" s="761">
        <f>SUM(E51:J51)</f>
        <v/>
      </c>
    </row>
  </sheetData>
  <pageMargins left="0.7" right="0.7" top="0.75" bottom="0.75" header="0.3" footer="0.3"/>
  <pageSetup orientation="portrait" paperSize="9" scale="87"/>
</worksheet>
</file>

<file path=xl/worksheets/sheet29.xml><?xml version="1.0" encoding="utf-8"?>
<worksheet xmlns="http://schemas.openxmlformats.org/spreadsheetml/2006/main">
  <sheetPr>
    <tabColor theme="4" tint="-0.249977111117893"/>
    <outlinePr summaryBelow="1" summaryRight="1"/>
    <pageSetUpPr/>
  </sheetPr>
  <dimension ref="A1:I67"/>
  <sheetViews>
    <sheetView topLeftCell="A55" workbookViewId="0">
      <selection activeCell="A8" sqref="A8"/>
    </sheetView>
  </sheetViews>
  <sheetFormatPr baseColWidth="8" defaultRowHeight="12.75"/>
  <cols>
    <col width="20.796875" bestFit="1" customWidth="1" style="1232" min="1" max="1"/>
    <col width="19.796875" bestFit="1" customWidth="1" style="1232" min="2" max="2"/>
    <col width="7.796875" bestFit="1" customWidth="1" style="1232" min="3" max="3"/>
    <col width="7.33203125" bestFit="1" customWidth="1" style="1232" min="4" max="4"/>
    <col width="7.796875" bestFit="1" customWidth="1" style="1232" min="5" max="5"/>
    <col width="5.796875" bestFit="1" customWidth="1" style="1232" min="6" max="6"/>
    <col width="7.796875" bestFit="1" customWidth="1" style="1232" min="7" max="7"/>
    <col width="7.86328125" bestFit="1" customWidth="1" style="1232" min="8" max="8"/>
    <col width="12.33203125" bestFit="1" customWidth="1" style="1232" min="9" max="9"/>
    <col width="18.19921875" bestFit="1" customWidth="1" style="1232" min="10" max="10"/>
    <col width="7.796875" bestFit="1" customWidth="1" style="1232" min="11" max="11"/>
    <col width="21.86328125" bestFit="1" customWidth="1" style="1232" min="12" max="12"/>
    <col width="15.46484375" bestFit="1" customWidth="1" style="1232" min="13" max="13"/>
    <col width="13" bestFit="1" customWidth="1" style="1232" min="14" max="14"/>
    <col width="10.1328125" bestFit="1" customWidth="1" style="1232" min="15" max="15"/>
    <col width="25.19921875" bestFit="1" customWidth="1" style="1232" min="16" max="16"/>
    <col width="8.46484375" bestFit="1" customWidth="1" style="1232" min="17" max="17"/>
    <col width="13.19921875" bestFit="1" customWidth="1" style="1232" min="18" max="18"/>
    <col width="13.1328125" bestFit="1" customWidth="1" style="1232" min="19" max="19"/>
    <col width="13.46484375" bestFit="1" customWidth="1" style="1232" min="20" max="20"/>
    <col width="13.796875" bestFit="1" customWidth="1" style="1232" min="21" max="21"/>
    <col width="15.33203125" bestFit="1" customWidth="1" style="1232" min="22" max="22"/>
    <col width="11.796875" bestFit="1" customWidth="1" style="1232" min="23" max="23"/>
    <col width="32.53125" bestFit="1" customWidth="1" style="1232" min="24" max="24"/>
    <col width="18.1328125" bestFit="1" customWidth="1" style="1232" min="25" max="25"/>
    <col width="15.796875" bestFit="1" customWidth="1" style="1232" min="26" max="26"/>
    <col width="30.19921875" bestFit="1" customWidth="1" style="1232" min="27" max="27"/>
    <col width="15.33203125" bestFit="1" customWidth="1" style="1232" min="28" max="28"/>
    <col width="22" bestFit="1" customWidth="1" style="1232" min="29" max="29"/>
    <col width="20.46484375" bestFit="1" customWidth="1" style="1232" min="30" max="30"/>
    <col width="15.86328125" bestFit="1" customWidth="1" style="1232" min="31" max="31"/>
    <col width="7.86328125" bestFit="1" customWidth="1" style="1232" min="32" max="32"/>
    <col width="12.33203125" bestFit="1" customWidth="1" style="1232" min="33" max="33"/>
  </cols>
  <sheetData>
    <row r="1">
      <c r="A1" s="1659" t="inlineStr">
        <is>
          <t>source</t>
        </is>
      </c>
      <c r="B1" s="1250" t="inlineStr">
        <is>
          <t>(All)</t>
        </is>
      </c>
    </row>
    <row r="3">
      <c r="A3" s="1659" t="inlineStr">
        <is>
          <t>Sum of Paid</t>
        </is>
      </c>
      <c r="B3" s="1660" t="inlineStr">
        <is>
          <t>Column Labels</t>
        </is>
      </c>
      <c r="C3" s="1661" t="n"/>
      <c r="D3" s="1661" t="n"/>
      <c r="E3" s="1661" t="n"/>
      <c r="F3" s="1661" t="n"/>
      <c r="G3" s="1661" t="n"/>
      <c r="H3" s="1661" t="n"/>
      <c r="I3" s="1661" t="n"/>
    </row>
    <row r="4">
      <c r="A4" s="1659" t="inlineStr">
        <is>
          <t>Row Labels</t>
        </is>
      </c>
      <c r="B4" s="1661" t="inlineStr">
        <is>
          <t>1 Day</t>
        </is>
      </c>
      <c r="C4" s="1661" t="inlineStr">
        <is>
          <t>2 Days</t>
        </is>
      </c>
      <c r="D4" s="1661" t="inlineStr">
        <is>
          <t>2.5hrs</t>
        </is>
      </c>
      <c r="E4" s="1661" t="inlineStr">
        <is>
          <t>3 Days</t>
        </is>
      </c>
      <c r="F4" s="1661" t="inlineStr">
        <is>
          <t>4hrs</t>
        </is>
      </c>
      <c r="G4" s="1661" t="inlineStr">
        <is>
          <t>5 Days</t>
        </is>
      </c>
      <c r="H4" s="1661" t="inlineStr">
        <is>
          <t>(blank)</t>
        </is>
      </c>
      <c r="I4" s="1661" t="inlineStr">
        <is>
          <t>Grand Total</t>
        </is>
      </c>
    </row>
    <row r="5">
      <c r="A5" s="1662" t="inlineStr">
        <is>
          <t>Ireland - Dingle</t>
        </is>
      </c>
      <c r="B5" s="797" t="n"/>
      <c r="C5" s="797" t="n"/>
      <c r="D5" s="797" t="n"/>
      <c r="E5" s="797" t="n"/>
      <c r="F5" s="797" t="n"/>
      <c r="G5" s="797" t="n">
        <v>4330</v>
      </c>
      <c r="H5" s="797" t="n"/>
      <c r="I5" s="572" t="n">
        <v>4330</v>
      </c>
    </row>
    <row r="6">
      <c r="A6" s="1662" t="inlineStr">
        <is>
          <t>Suffolk Coast</t>
        </is>
      </c>
      <c r="B6" s="797" t="n"/>
      <c r="C6" s="797" t="n"/>
      <c r="D6" s="797" t="n"/>
      <c r="E6" s="797" t="n">
        <v>1671.25</v>
      </c>
      <c r="F6" s="797" t="n"/>
      <c r="G6" s="797" t="n"/>
      <c r="H6" s="797" t="n"/>
      <c r="I6" s="572" t="n">
        <v>1671.25</v>
      </c>
    </row>
    <row r="7">
      <c r="A7" s="1662" t="inlineStr">
        <is>
          <t>Dorset</t>
        </is>
      </c>
      <c r="B7" s="797" t="n"/>
      <c r="C7" s="797" t="n">
        <v>700</v>
      </c>
      <c r="D7" s="797" t="n"/>
      <c r="E7" s="797" t="n"/>
      <c r="F7" s="797" t="n"/>
      <c r="G7" s="797" t="n"/>
      <c r="H7" s="797" t="n"/>
      <c r="I7" s="572" t="n">
        <v>700</v>
      </c>
    </row>
    <row r="8">
      <c r="A8" s="1662" t="inlineStr">
        <is>
          <t>Lake District</t>
        </is>
      </c>
      <c r="B8" s="797" t="n"/>
      <c r="C8" s="797" t="n"/>
      <c r="D8" s="797" t="n"/>
      <c r="E8" s="797" t="n">
        <v>675</v>
      </c>
      <c r="F8" s="797" t="n"/>
      <c r="G8" s="797" t="n"/>
      <c r="H8" s="797" t="n"/>
      <c r="I8" s="572" t="n">
        <v>675</v>
      </c>
    </row>
    <row r="9">
      <c r="A9" s="1662" t="inlineStr">
        <is>
          <t>Wales - Dee Valley</t>
        </is>
      </c>
      <c r="B9" s="797" t="n"/>
      <c r="C9" s="797" t="n"/>
      <c r="D9" s="797" t="n"/>
      <c r="E9" s="797" t="n">
        <v>675</v>
      </c>
      <c r="F9" s="797" t="n"/>
      <c r="G9" s="797" t="n"/>
      <c r="H9" s="797" t="n"/>
      <c r="I9" s="572" t="n">
        <v>675</v>
      </c>
    </row>
    <row r="10">
      <c r="A10" s="1662" t="inlineStr">
        <is>
          <t>Poppy Fields</t>
        </is>
      </c>
      <c r="B10" s="797" t="n"/>
      <c r="C10" s="797" t="n"/>
      <c r="D10" s="797" t="n">
        <v>442.5</v>
      </c>
      <c r="E10" s="797" t="n"/>
      <c r="F10" s="797" t="n"/>
      <c r="G10" s="797" t="n"/>
      <c r="H10" s="797" t="n"/>
      <c r="I10" s="572" t="n">
        <v>442.5</v>
      </c>
    </row>
    <row r="11">
      <c r="A11" s="1662" t="inlineStr">
        <is>
          <t>Yorkshire Dales</t>
        </is>
      </c>
      <c r="B11" s="797" t="n"/>
      <c r="C11" s="797" t="n">
        <v>425</v>
      </c>
      <c r="D11" s="797" t="n"/>
      <c r="E11" s="797" t="n"/>
      <c r="F11" s="797" t="n"/>
      <c r="G11" s="797" t="n"/>
      <c r="H11" s="797" t="n"/>
      <c r="I11" s="572" t="n">
        <v>425</v>
      </c>
    </row>
    <row r="12">
      <c r="A12" s="1662" t="inlineStr">
        <is>
          <t>Hartland Quay - Devon</t>
        </is>
      </c>
      <c r="B12" s="797" t="n"/>
      <c r="C12" s="797" t="n">
        <v>425</v>
      </c>
      <c r="D12" s="797" t="n"/>
      <c r="E12" s="797" t="n"/>
      <c r="F12" s="797" t="n"/>
      <c r="G12" s="797" t="n"/>
      <c r="H12" s="797" t="n"/>
      <c r="I12" s="572" t="n">
        <v>425</v>
      </c>
    </row>
    <row r="13">
      <c r="A13" s="1662" t="inlineStr">
        <is>
          <t>Bluebell Woodlands</t>
        </is>
      </c>
      <c r="B13" s="797" t="n"/>
      <c r="C13" s="797" t="n"/>
      <c r="D13" s="797" t="n"/>
      <c r="E13" s="797" t="n"/>
      <c r="F13" s="797" t="n">
        <v>260.5</v>
      </c>
      <c r="G13" s="797" t="n"/>
      <c r="H13" s="797" t="n"/>
      <c r="I13" s="572" t="n">
        <v>260.5</v>
      </c>
    </row>
    <row r="14">
      <c r="A14" s="1662" t="inlineStr">
        <is>
          <t xml:space="preserve">Woodland Photo Walk </t>
        </is>
      </c>
      <c r="B14" s="797" t="n"/>
      <c r="C14" s="797" t="n"/>
      <c r="D14" s="797" t="n">
        <v>190</v>
      </c>
      <c r="E14" s="797" t="n"/>
      <c r="F14" s="797" t="n"/>
      <c r="G14" s="797" t="n"/>
      <c r="H14" s="797" t="n"/>
      <c r="I14" s="572" t="n">
        <v>190</v>
      </c>
    </row>
    <row r="15">
      <c r="A15" s="1662" t="inlineStr">
        <is>
          <t>(blank)</t>
        </is>
      </c>
      <c r="B15" s="797" t="n"/>
      <c r="C15" s="797" t="n"/>
      <c r="D15" s="797" t="n">
        <v>150</v>
      </c>
      <c r="E15" s="797" t="n"/>
      <c r="F15" s="797" t="n"/>
      <c r="G15" s="797" t="n"/>
      <c r="H15" s="797" t="n"/>
      <c r="I15" s="572" t="n">
        <v>150</v>
      </c>
    </row>
    <row r="16">
      <c r="A16" s="1662" t="inlineStr">
        <is>
          <t>Peak District</t>
        </is>
      </c>
      <c r="B16" s="797" t="n">
        <v>150</v>
      </c>
      <c r="C16" s="797" t="n"/>
      <c r="D16" s="797" t="n"/>
      <c r="E16" s="797" t="n"/>
      <c r="F16" s="797" t="n"/>
      <c r="G16" s="797" t="n"/>
      <c r="H16" s="797" t="n"/>
      <c r="I16" s="572" t="n">
        <v>150</v>
      </c>
    </row>
    <row r="17">
      <c r="A17" s="1662" t="inlineStr">
        <is>
          <t>Urban Architecture</t>
        </is>
      </c>
      <c r="B17" s="572" t="n"/>
      <c r="C17" s="572" t="n"/>
      <c r="D17" s="572" t="n">
        <v>100</v>
      </c>
      <c r="E17" s="572" t="n"/>
      <c r="F17" s="572" t="n"/>
      <c r="G17" s="572" t="n"/>
      <c r="H17" s="572" t="n"/>
      <c r="I17" s="572" t="n">
        <v>100</v>
      </c>
    </row>
    <row r="18">
      <c r="A18" s="1662" t="inlineStr">
        <is>
          <t>Sunflower Fields</t>
        </is>
      </c>
      <c r="B18" s="572" t="n"/>
      <c r="C18" s="572" t="n"/>
      <c r="D18" s="572" t="n">
        <v>50</v>
      </c>
      <c r="E18" s="572" t="n"/>
      <c r="F18" s="572" t="n"/>
      <c r="G18" s="572" t="n"/>
      <c r="H18" s="572" t="n"/>
      <c r="I18" s="572" t="n">
        <v>50</v>
      </c>
    </row>
    <row r="19">
      <c r="A19" s="1662" t="inlineStr">
        <is>
          <t>Long Exposure</t>
        </is>
      </c>
      <c r="B19" s="572" t="n"/>
      <c r="C19" s="572" t="n"/>
      <c r="D19" s="572" t="n">
        <v>49</v>
      </c>
      <c r="E19" s="572" t="n"/>
      <c r="F19" s="572" t="n"/>
      <c r="G19" s="572" t="n"/>
      <c r="H19" s="572" t="n"/>
      <c r="I19" s="572" t="n">
        <v>49</v>
      </c>
    </row>
    <row r="20">
      <c r="A20" s="1662" t="inlineStr">
        <is>
          <t>Grand Total</t>
        </is>
      </c>
      <c r="B20" s="797" t="n">
        <v>150</v>
      </c>
      <c r="C20" s="797" t="n">
        <v>1550</v>
      </c>
      <c r="D20" s="797" t="n">
        <v>981.5</v>
      </c>
      <c r="E20" s="797" t="n">
        <v>3021.25</v>
      </c>
      <c r="F20" s="797" t="n">
        <v>260.5</v>
      </c>
      <c r="G20" s="797" t="n">
        <v>4330</v>
      </c>
      <c r="H20" s="797" t="n"/>
      <c r="I20" s="572" t="n">
        <v>10293.25</v>
      </c>
    </row>
    <row r="48">
      <c r="A48" s="1659" t="inlineStr">
        <is>
          <t>source</t>
        </is>
      </c>
      <c r="B48" s="1250" t="inlineStr">
        <is>
          <t>(All)</t>
        </is>
      </c>
    </row>
    <row r="50">
      <c r="A50" s="1659" t="inlineStr">
        <is>
          <t>Count of Paid</t>
        </is>
      </c>
      <c r="B50" s="1659" t="inlineStr">
        <is>
          <t>Column Labels</t>
        </is>
      </c>
    </row>
    <row r="51">
      <c r="A51" s="1659" t="inlineStr">
        <is>
          <t>Row Labels</t>
        </is>
      </c>
      <c r="B51" s="1250" t="inlineStr">
        <is>
          <t>1 Day</t>
        </is>
      </c>
      <c r="C51" s="1250" t="inlineStr">
        <is>
          <t>2 Days</t>
        </is>
      </c>
      <c r="D51" s="1250" t="inlineStr">
        <is>
          <t>2.5hrs</t>
        </is>
      </c>
      <c r="E51" s="1250" t="inlineStr">
        <is>
          <t>3 Days</t>
        </is>
      </c>
      <c r="F51" s="1250" t="inlineStr">
        <is>
          <t>4hrs</t>
        </is>
      </c>
      <c r="G51" s="1250" t="inlineStr">
        <is>
          <t>(blank)</t>
        </is>
      </c>
      <c r="H51" s="1250" t="inlineStr">
        <is>
          <t>5 Days</t>
        </is>
      </c>
      <c r="I51" s="1250" t="inlineStr">
        <is>
          <t>Grand Total</t>
        </is>
      </c>
    </row>
    <row r="52">
      <c r="A52" s="1662" t="inlineStr">
        <is>
          <t xml:space="preserve">Woodland Photo Walk </t>
        </is>
      </c>
      <c r="B52" s="572" t="n"/>
      <c r="C52" s="572" t="n"/>
      <c r="D52" s="572" t="n">
        <v>19</v>
      </c>
      <c r="E52" s="572" t="n"/>
      <c r="F52" s="572" t="n"/>
      <c r="G52" s="572" t="n"/>
      <c r="H52" s="572" t="n"/>
      <c r="I52" s="572" t="n">
        <v>19</v>
      </c>
    </row>
    <row r="53">
      <c r="A53" s="1662" t="inlineStr">
        <is>
          <t>Poppy Fields</t>
        </is>
      </c>
      <c r="B53" s="572" t="n"/>
      <c r="C53" s="572" t="n"/>
      <c r="D53" s="572" t="n">
        <v>6</v>
      </c>
      <c r="E53" s="572" t="n"/>
      <c r="F53" s="572" t="n"/>
      <c r="G53" s="572" t="n"/>
      <c r="H53" s="572" t="n"/>
      <c r="I53" s="572" t="n">
        <v>6</v>
      </c>
    </row>
    <row r="54">
      <c r="A54" s="1662" t="inlineStr">
        <is>
          <t>Ireland - Dingle</t>
        </is>
      </c>
      <c r="B54" s="572" t="n"/>
      <c r="C54" s="572" t="n"/>
      <c r="D54" s="572" t="n"/>
      <c r="E54" s="572" t="n"/>
      <c r="F54" s="572" t="n"/>
      <c r="G54" s="572" t="n"/>
      <c r="H54" s="572" t="n">
        <v>5</v>
      </c>
      <c r="I54" s="572" t="n">
        <v>5</v>
      </c>
    </row>
    <row r="55">
      <c r="A55" s="1662" t="inlineStr">
        <is>
          <t>(blank)</t>
        </is>
      </c>
      <c r="B55" s="572" t="n"/>
      <c r="C55" s="572" t="n"/>
      <c r="D55" s="572" t="n">
        <v>3</v>
      </c>
      <c r="E55" s="572" t="n"/>
      <c r="F55" s="572" t="n"/>
      <c r="G55" s="572" t="n"/>
      <c r="H55" s="572" t="n"/>
      <c r="I55" s="572" t="n">
        <v>3</v>
      </c>
    </row>
    <row r="56">
      <c r="A56" s="1662" t="inlineStr">
        <is>
          <t>Bluebell Woodlands</t>
        </is>
      </c>
      <c r="B56" s="572" t="n"/>
      <c r="C56" s="572" t="n"/>
      <c r="D56" s="572" t="n"/>
      <c r="E56" s="572" t="n"/>
      <c r="F56" s="572" t="n">
        <v>3</v>
      </c>
      <c r="G56" s="572" t="n"/>
      <c r="H56" s="572" t="n"/>
      <c r="I56" s="572" t="n">
        <v>3</v>
      </c>
    </row>
    <row r="57">
      <c r="A57" s="1662" t="inlineStr">
        <is>
          <t>Suffolk Coast</t>
        </is>
      </c>
      <c r="B57" s="572" t="n"/>
      <c r="C57" s="572" t="n"/>
      <c r="D57" s="572" t="n"/>
      <c r="E57" s="572" t="n">
        <v>3</v>
      </c>
      <c r="F57" s="572" t="n"/>
      <c r="G57" s="572" t="n"/>
      <c r="H57" s="572" t="n"/>
      <c r="I57" s="572" t="n">
        <v>3</v>
      </c>
    </row>
    <row r="58">
      <c r="A58" s="1662" t="inlineStr">
        <is>
          <t>Dorset</t>
        </is>
      </c>
      <c r="B58" s="572" t="n"/>
      <c r="C58" s="572" t="n">
        <v>2</v>
      </c>
      <c r="D58" s="572" t="n"/>
      <c r="E58" s="572" t="n"/>
      <c r="F58" s="572" t="n"/>
      <c r="G58" s="572" t="n"/>
      <c r="H58" s="572" t="n"/>
      <c r="I58" s="572" t="n">
        <v>2</v>
      </c>
    </row>
    <row r="59">
      <c r="A59" s="1662" t="inlineStr">
        <is>
          <t>Urban Architecture</t>
        </is>
      </c>
      <c r="B59" s="572" t="n"/>
      <c r="C59" s="572" t="n"/>
      <c r="D59" s="572" t="n">
        <v>2</v>
      </c>
      <c r="E59" s="572" t="n"/>
      <c r="F59" s="572" t="n"/>
      <c r="G59" s="572" t="n"/>
      <c r="H59" s="572" t="n"/>
      <c r="I59" s="572" t="n">
        <v>2</v>
      </c>
    </row>
    <row r="60">
      <c r="A60" s="1662" t="inlineStr">
        <is>
          <t>Peak District</t>
        </is>
      </c>
      <c r="B60" s="572" t="n">
        <v>1</v>
      </c>
      <c r="C60" s="572" t="n"/>
      <c r="D60" s="572" t="n"/>
      <c r="E60" s="572" t="n"/>
      <c r="F60" s="572" t="n"/>
      <c r="G60" s="572" t="n"/>
      <c r="H60" s="572" t="n"/>
      <c r="I60" s="572" t="n">
        <v>1</v>
      </c>
    </row>
    <row r="61">
      <c r="A61" s="1662" t="inlineStr">
        <is>
          <t>Hartland Quay - Devon</t>
        </is>
      </c>
      <c r="B61" s="572" t="n"/>
      <c r="C61" s="572" t="n">
        <v>1</v>
      </c>
      <c r="D61" s="572" t="n"/>
      <c r="E61" s="572" t="n"/>
      <c r="F61" s="572" t="n"/>
      <c r="G61" s="572" t="n"/>
      <c r="H61" s="572" t="n"/>
      <c r="I61" s="572" t="n">
        <v>1</v>
      </c>
    </row>
    <row r="62">
      <c r="A62" s="1662" t="inlineStr">
        <is>
          <t>Long Exposure</t>
        </is>
      </c>
      <c r="B62" s="572" t="n"/>
      <c r="C62" s="572" t="n"/>
      <c r="D62" s="572" t="n">
        <v>1</v>
      </c>
      <c r="E62" s="572" t="n"/>
      <c r="F62" s="572" t="n"/>
      <c r="G62" s="572" t="n"/>
      <c r="H62" s="572" t="n"/>
      <c r="I62" s="572" t="n">
        <v>1</v>
      </c>
    </row>
    <row r="63">
      <c r="A63" s="1662" t="inlineStr">
        <is>
          <t>Wales - Dee Valley</t>
        </is>
      </c>
      <c r="B63" s="572" t="n"/>
      <c r="C63" s="572" t="n"/>
      <c r="D63" s="572" t="n"/>
      <c r="E63" s="572" t="n">
        <v>1</v>
      </c>
      <c r="F63" s="572" t="n"/>
      <c r="G63" s="572" t="n"/>
      <c r="H63" s="572" t="n"/>
      <c r="I63" s="572" t="n">
        <v>1</v>
      </c>
    </row>
    <row r="64">
      <c r="A64" s="1662" t="inlineStr">
        <is>
          <t>Sunflower Fields</t>
        </is>
      </c>
      <c r="B64" s="572" t="n"/>
      <c r="C64" s="572" t="n"/>
      <c r="D64" s="572" t="n">
        <v>1</v>
      </c>
      <c r="E64" s="572" t="n"/>
      <c r="F64" s="572" t="n"/>
      <c r="G64" s="572" t="n"/>
      <c r="H64" s="572" t="n"/>
      <c r="I64" s="572" t="n">
        <v>1</v>
      </c>
    </row>
    <row r="65">
      <c r="A65" s="1662" t="inlineStr">
        <is>
          <t>Lake District</t>
        </is>
      </c>
      <c r="B65" s="572" t="n"/>
      <c r="C65" s="572" t="n"/>
      <c r="D65" s="572" t="n"/>
      <c r="E65" s="572" t="n">
        <v>1</v>
      </c>
      <c r="F65" s="572" t="n"/>
      <c r="G65" s="572" t="n"/>
      <c r="H65" s="572" t="n"/>
      <c r="I65" s="572" t="n">
        <v>1</v>
      </c>
    </row>
    <row r="66">
      <c r="A66" s="1662" t="inlineStr">
        <is>
          <t>Yorkshire Dales</t>
        </is>
      </c>
      <c r="B66" s="572" t="n"/>
      <c r="C66" s="572" t="n">
        <v>1</v>
      </c>
      <c r="D66" s="572" t="n"/>
      <c r="E66" s="572" t="n"/>
      <c r="F66" s="572" t="n"/>
      <c r="G66" s="572" t="n"/>
      <c r="H66" s="572" t="n"/>
      <c r="I66" s="572" t="n">
        <v>1</v>
      </c>
    </row>
    <row r="67">
      <c r="A67" s="1662" t="inlineStr">
        <is>
          <t>Grand Total</t>
        </is>
      </c>
      <c r="B67" s="572" t="n">
        <v>1</v>
      </c>
      <c r="C67" s="572" t="n">
        <v>4</v>
      </c>
      <c r="D67" s="572" t="n">
        <v>32</v>
      </c>
      <c r="E67" s="572" t="n">
        <v>5</v>
      </c>
      <c r="F67" s="572" t="n">
        <v>3</v>
      </c>
      <c r="G67" s="572" t="n"/>
      <c r="H67" s="572" t="n">
        <v>5</v>
      </c>
      <c r="I67" s="572" t="n">
        <v>50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>
  <sheetPr>
    <tabColor theme="7" tint="0.3999755851924192"/>
    <outlinePr summaryBelow="1" summaryRight="1"/>
    <pageSetUpPr fitToPage="1"/>
  </sheetPr>
  <dimension ref="A1:AC174"/>
  <sheetViews>
    <sheetView topLeftCell="B1" workbookViewId="0">
      <pane ySplit="5" topLeftCell="A132" activePane="bottomLeft" state="frozen"/>
      <selection pane="bottomLeft" activeCell="T164" sqref="T164"/>
    </sheetView>
  </sheetViews>
  <sheetFormatPr baseColWidth="8" defaultColWidth="9.1328125" defaultRowHeight="12.4"/>
  <cols>
    <col width="11.19921875" bestFit="1" customWidth="1" style="301" min="1" max="1"/>
    <col width="11.796875" customWidth="1" style="1663" min="2" max="2"/>
    <col width="8.86328125" bestFit="1" customWidth="1" style="1663" min="3" max="3"/>
    <col width="14.1328125" customWidth="1" style="1663" min="4" max="4"/>
    <col width="8.86328125" bestFit="1" customWidth="1" style="1663" min="5" max="5"/>
    <col width="9.46484375" bestFit="1" customWidth="1" style="1663" min="6" max="6"/>
    <col width="19" bestFit="1" customWidth="1" style="1663" min="7" max="7"/>
    <col width="14" bestFit="1" customWidth="1" style="1663" min="8" max="8"/>
    <col width="8" bestFit="1" customWidth="1" style="1663" min="9" max="9"/>
    <col width="15.53125" bestFit="1" customWidth="1" style="1663" min="10" max="10"/>
    <col width="15.53125" customWidth="1" style="1663" min="11" max="15"/>
    <col width="37.1328125" bestFit="1" customWidth="1" style="1663" min="16" max="16"/>
    <col width="6.86328125" bestFit="1" customWidth="1" style="1663" min="17" max="17"/>
    <col width="9" bestFit="1" customWidth="1" style="1663" min="18" max="18"/>
    <col width="12.33203125" customWidth="1" style="1663" min="19" max="19"/>
    <col width="4.46484375" customWidth="1" style="368" min="20" max="20"/>
    <col width="21.19921875" bestFit="1" customWidth="1" style="1663" min="21" max="21"/>
    <col width="11.1328125" bestFit="1" customWidth="1" style="1663" min="22" max="22"/>
    <col width="20.46484375" bestFit="1" customWidth="1" style="368" min="23" max="23"/>
    <col width="24.796875" bestFit="1" customWidth="1" style="1663" min="24" max="24"/>
    <col width="21.86328125" customWidth="1" style="1663" min="25" max="25"/>
    <col width="14.796875" bestFit="1" customWidth="1" style="1663" min="26" max="26"/>
    <col width="14.1328125" customWidth="1" style="1663" min="27" max="27"/>
    <col width="12.1328125" customWidth="1" style="1663" min="28" max="28"/>
    <col width="27.19921875" customWidth="1" style="1663" min="29" max="29"/>
    <col width="15.86328125" customWidth="1" style="1663" min="30" max="30"/>
    <col width="14.86328125" customWidth="1" style="1663" min="31" max="31"/>
    <col width="9.1328125" customWidth="1" style="1663" min="32" max="16384"/>
  </cols>
  <sheetData>
    <row r="1" ht="47.25" customHeight="1" s="1232">
      <c r="H1" s="1664" t="inlineStr">
        <is>
          <t>Paste here from customer registration form</t>
        </is>
      </c>
      <c r="R1" s="1665" t="n"/>
      <c r="T1" s="305" t="inlineStr">
        <is>
          <t>1-2-1's</t>
        </is>
      </c>
      <c r="U1" s="1665" t="n"/>
      <c r="V1" s="1665" t="n"/>
      <c r="W1" s="1665" t="n"/>
      <c r="X1" s="1665" t="n"/>
    </row>
    <row r="2" ht="12.75" customHeight="1" s="1232">
      <c r="R2" s="1665" t="n"/>
      <c r="T2" s="306" t="n"/>
      <c r="U2" s="1665" t="n"/>
      <c r="V2" s="1665" t="n"/>
      <c r="W2" s="1665" t="n"/>
      <c r="X2" s="1665" t="n"/>
    </row>
    <row r="3">
      <c r="A3" s="307" t="n"/>
      <c r="B3" s="1666" t="n"/>
      <c r="C3" s="1666" t="n"/>
      <c r="D3" s="1667" t="n"/>
      <c r="E3" s="1667" t="n"/>
      <c r="F3" s="1667" t="n"/>
      <c r="G3" s="1667" t="n"/>
      <c r="H3" s="1668" t="n"/>
      <c r="I3" s="1667" t="n"/>
      <c r="J3" s="1667" t="n"/>
      <c r="K3" s="1667" t="n"/>
      <c r="L3" s="1667" t="n"/>
      <c r="M3" s="1667" t="n"/>
      <c r="N3" s="1667" t="n"/>
      <c r="O3" s="1667" t="n"/>
      <c r="P3" s="1666" t="n"/>
      <c r="Q3" s="1666" t="n"/>
      <c r="R3" s="1666" t="n"/>
      <c r="S3" s="1666" t="n"/>
      <c r="T3" s="311" t="n"/>
      <c r="U3" s="312" t="n"/>
      <c r="V3" s="1666" t="n"/>
      <c r="W3" s="1666" t="n"/>
      <c r="X3" s="1666" t="n"/>
      <c r="Y3" s="1667" t="n"/>
      <c r="Z3" s="1666" t="n"/>
      <c r="AA3" s="1669" t="n"/>
      <c r="AB3" s="1669" t="n"/>
      <c r="AC3" s="1670" t="n"/>
    </row>
    <row r="5" ht="38.25" customFormat="1" customHeight="1" s="1664">
      <c r="A5" s="307" t="inlineStr">
        <is>
          <t>No'</t>
        </is>
      </c>
      <c r="B5" s="1666" t="inlineStr">
        <is>
          <t>Date Booked</t>
        </is>
      </c>
      <c r="C5" s="1666" t="inlineStr">
        <is>
          <t>order Ref</t>
        </is>
      </c>
      <c r="D5" s="1667" t="inlineStr">
        <is>
          <t>Paid</t>
        </is>
      </c>
      <c r="E5" s="1667" t="inlineStr">
        <is>
          <t>Balance</t>
        </is>
      </c>
      <c r="F5" s="1667" t="inlineStr">
        <is>
          <t>Duration</t>
        </is>
      </c>
      <c r="G5" s="1667" t="inlineStr">
        <is>
          <t>Time</t>
        </is>
      </c>
      <c r="H5" s="1668" t="inlineStr">
        <is>
          <t>Source</t>
        </is>
      </c>
      <c r="I5" s="1667" t="inlineStr">
        <is>
          <t>Who referred</t>
        </is>
      </c>
      <c r="J5" s="1543" t="inlineStr">
        <is>
          <t>Event Date 1</t>
        </is>
      </c>
      <c r="K5" s="1543" t="inlineStr">
        <is>
          <t>Event Date 2</t>
        </is>
      </c>
      <c r="L5" s="1543" t="inlineStr">
        <is>
          <t>Event Date 3</t>
        </is>
      </c>
      <c r="M5" s="1543" t="inlineStr">
        <is>
          <t>Event Date 4</t>
        </is>
      </c>
      <c r="N5" s="1543" t="inlineStr">
        <is>
          <t>Event Date 5</t>
        </is>
      </c>
      <c r="O5" s="1543" t="inlineStr">
        <is>
          <t>Event Date 6</t>
        </is>
      </c>
      <c r="P5" s="1666" t="inlineStr">
        <is>
          <t>Email Address</t>
        </is>
      </c>
      <c r="Q5" s="1666" t="inlineStr">
        <is>
          <t>Prefix</t>
        </is>
      </c>
      <c r="R5" s="1666" t="inlineStr">
        <is>
          <t>First Name</t>
        </is>
      </c>
      <c r="S5" s="1666" t="inlineStr">
        <is>
          <t>Last Name</t>
        </is>
      </c>
      <c r="T5" s="311" t="inlineStr">
        <is>
          <t>Age</t>
        </is>
      </c>
      <c r="U5" s="312" t="inlineStr">
        <is>
          <t>Mobile No'</t>
        </is>
      </c>
      <c r="V5" s="1666" t="inlineStr">
        <is>
          <t>Post Code</t>
        </is>
      </c>
      <c r="W5" s="1666" t="inlineStr">
        <is>
          <t>House No' Street Name</t>
        </is>
      </c>
      <c r="X5" s="1666" t="inlineStr">
        <is>
          <t>Town</t>
        </is>
      </c>
      <c r="Y5" s="1667" t="inlineStr">
        <is>
          <t>Camera Make/Model</t>
        </is>
      </c>
      <c r="Z5" s="1666" t="inlineStr">
        <is>
          <t>yrs doing photography</t>
        </is>
      </c>
      <c r="AA5" s="1669" t="inlineStr">
        <is>
          <t>Type of Photography interested in</t>
        </is>
      </c>
      <c r="AB5" s="1669" t="inlineStr">
        <is>
          <t>Alt Email</t>
        </is>
      </c>
      <c r="AC5" s="1670" t="inlineStr">
        <is>
          <t>Accepted T&amp;Cs</t>
        </is>
      </c>
    </row>
    <row r="6" ht="12.75" customHeight="1" s="1232">
      <c r="A6" s="315" t="inlineStr">
        <is>
          <t>EG</t>
        </is>
      </c>
      <c r="B6" s="1671" t="n">
        <v>41001</v>
      </c>
      <c r="C6" s="1671" t="n"/>
      <c r="D6" s="1672" t="n"/>
      <c r="E6" s="1672" t="n"/>
      <c r="F6" s="1671" t="n"/>
      <c r="G6" s="1671" t="n"/>
      <c r="H6" s="1671" t="n"/>
      <c r="I6" s="1671" t="n"/>
      <c r="J6" s="1671" t="n"/>
      <c r="K6" s="1671" t="n"/>
      <c r="L6" s="1671" t="n"/>
      <c r="M6" s="1671" t="n"/>
      <c r="N6" s="1671" t="n"/>
      <c r="O6" s="1671" t="n"/>
      <c r="P6" s="1673" t="inlineStr">
        <is>
          <t>angelacox@hotmail.com</t>
        </is>
      </c>
      <c r="Q6" s="1672" t="inlineStr">
        <is>
          <t>Miss</t>
        </is>
      </c>
      <c r="R6" s="1672" t="inlineStr">
        <is>
          <t>Angela</t>
        </is>
      </c>
      <c r="S6" s="1672" t="inlineStr">
        <is>
          <t>Cox</t>
        </is>
      </c>
      <c r="T6" s="319" t="n">
        <v>34</v>
      </c>
      <c r="U6" s="320" t="inlineStr">
        <is>
          <t>07586456123</t>
        </is>
      </c>
      <c r="V6" s="1672" t="inlineStr">
        <is>
          <t>BP91 2HT</t>
        </is>
      </c>
      <c r="W6" s="1672" t="inlineStr">
        <is>
          <t>22 middleton road</t>
        </is>
      </c>
      <c r="X6" s="1672" t="inlineStr">
        <is>
          <t>solihull</t>
        </is>
      </c>
      <c r="Y6" s="1672" t="inlineStr">
        <is>
          <t>canon EOS 5D</t>
        </is>
      </c>
      <c r="Z6" s="1672" t="n">
        <v>4</v>
      </c>
      <c r="AA6" s="1672" t="inlineStr">
        <is>
          <t>landscapes &amp; general</t>
        </is>
      </c>
      <c r="AB6" s="1672" t="inlineStr">
        <is>
          <t>Marion Cox</t>
        </is>
      </c>
      <c r="AC6" s="320" t="inlineStr">
        <is>
          <t>07817453641</t>
        </is>
      </c>
    </row>
    <row r="7" ht="16.5" customFormat="1" customHeight="1" s="1674">
      <c r="A7" s="321" t="n">
        <v>1</v>
      </c>
      <c r="B7" s="322" t="n">
        <v>41959</v>
      </c>
      <c r="C7" s="1674" t="inlineStr">
        <is>
          <t>#00052</t>
        </is>
      </c>
      <c r="D7" s="1675" t="n">
        <v>122.5</v>
      </c>
      <c r="E7" s="1675" t="n">
        <v>0</v>
      </c>
      <c r="F7" s="322" t="inlineStr">
        <is>
          <t>4hrs</t>
        </is>
      </c>
      <c r="G7" s="1674" t="inlineStr">
        <is>
          <t>Local 1-2-1 Tuition</t>
        </is>
      </c>
      <c r="H7" s="1674" t="inlineStr">
        <is>
          <t>Google</t>
        </is>
      </c>
      <c r="J7" s="1676" t="n">
        <v>42065</v>
      </c>
      <c r="K7" s="1677" t="n"/>
      <c r="L7" s="1677" t="n"/>
      <c r="M7" s="1677" t="n"/>
      <c r="N7" s="1677" t="n"/>
      <c r="O7" s="1677" t="n"/>
      <c r="P7" s="1678" t="inlineStr">
        <is>
          <t>latishadhir@gmail.com</t>
        </is>
      </c>
      <c r="R7" s="1674" t="inlineStr">
        <is>
          <t>Latisha</t>
        </is>
      </c>
      <c r="S7" s="1674" t="inlineStr">
        <is>
          <t>Sharma</t>
        </is>
      </c>
      <c r="U7" s="1679" t="inlineStr">
        <is>
          <t>07742787958</t>
        </is>
      </c>
      <c r="V7" s="1674" t="inlineStr">
        <is>
          <t>WV8 1GF</t>
        </is>
      </c>
      <c r="W7" s="1674" t="inlineStr">
        <is>
          <t>29 Old Farm Dr</t>
        </is>
      </c>
      <c r="X7" s="1674" t="inlineStr">
        <is>
          <t>Codsall</t>
        </is>
      </c>
    </row>
    <row r="8" ht="16.5" customFormat="1" customHeight="1" s="1674">
      <c r="A8" s="321" t="n">
        <v>2</v>
      </c>
      <c r="B8" s="322" t="n">
        <v>41972</v>
      </c>
      <c r="C8" s="322" t="inlineStr">
        <is>
          <t>#00079</t>
        </is>
      </c>
      <c r="D8" s="1675" t="n">
        <v>122.5</v>
      </c>
      <c r="E8" s="1675" t="n">
        <v>0</v>
      </c>
      <c r="F8" s="322" t="inlineStr">
        <is>
          <t>4hrs</t>
        </is>
      </c>
      <c r="G8" s="1674" t="inlineStr">
        <is>
          <t>Local 1-2-1 Tuition</t>
        </is>
      </c>
      <c r="H8" s="1674" t="inlineStr">
        <is>
          <t>Exisiting</t>
        </is>
      </c>
      <c r="J8" s="322" t="n">
        <v>42102</v>
      </c>
      <c r="K8" s="322" t="n"/>
      <c r="L8" s="322" t="n"/>
      <c r="M8" s="322" t="n"/>
      <c r="N8" s="322" t="n"/>
      <c r="O8" s="322" t="n"/>
      <c r="P8" s="1680" t="inlineStr">
        <is>
          <t>knpearce@hotmail.com</t>
        </is>
      </c>
      <c r="Q8" s="1674" t="inlineStr">
        <is>
          <t>Miss</t>
        </is>
      </c>
      <c r="R8" s="1674" t="inlineStr">
        <is>
          <t>Kirsten</t>
        </is>
      </c>
      <c r="S8" s="1674" t="inlineStr">
        <is>
          <t>Pearce</t>
        </is>
      </c>
      <c r="T8" s="329" t="inlineStr">
        <is>
          <t>37</t>
        </is>
      </c>
      <c r="U8" s="330" t="inlineStr">
        <is>
          <t>07866614574</t>
        </is>
      </c>
      <c r="V8" s="1674" t="inlineStr">
        <is>
          <t>CV6 2BB</t>
        </is>
      </c>
      <c r="W8" s="1674" t="inlineStr">
        <is>
          <t>Codsall, WV8 1GF</t>
        </is>
      </c>
      <c r="X8" s="1674" t="inlineStr">
        <is>
          <t>Coventry</t>
        </is>
      </c>
      <c r="Y8" s="1674" t="inlineStr">
        <is>
          <t>Sony DSC-HX50</t>
        </is>
      </c>
      <c r="Z8" s="1674" t="inlineStr">
        <is>
          <t>&gt;3</t>
        </is>
      </c>
      <c r="AA8" s="1674" t="inlineStr">
        <is>
          <t>Landscapes, Macro, Street Photography, Other</t>
        </is>
      </c>
      <c r="AB8" s="1674" t="inlineStr"/>
      <c r="AC8" s="331" t="inlineStr">
        <is>
          <t>I confiirm I accept the terms and conditions by placing this booking</t>
        </is>
      </c>
    </row>
    <row r="9" ht="16.5" customFormat="1" customHeight="1" s="1674">
      <c r="A9" s="321" t="n">
        <v>3</v>
      </c>
      <c r="B9" s="1676" t="n">
        <v>42023</v>
      </c>
      <c r="C9" s="1676" t="inlineStr">
        <is>
          <t>#000105</t>
        </is>
      </c>
      <c r="D9" s="1681">
        <f>325/2</f>
        <v/>
      </c>
      <c r="E9" s="1681" t="n">
        <v>0</v>
      </c>
      <c r="F9" s="333" t="inlineStr">
        <is>
          <t>4hrs</t>
        </is>
      </c>
      <c r="G9" s="1674" t="inlineStr">
        <is>
          <t>Local 1-2-1 Tuition</t>
        </is>
      </c>
      <c r="H9" s="1674" t="inlineStr">
        <is>
          <t>Exisiting</t>
        </is>
      </c>
      <c r="J9" s="1676" t="n">
        <v>42032</v>
      </c>
      <c r="K9" s="1677" t="n"/>
      <c r="L9" s="1677" t="n"/>
      <c r="M9" s="1677" t="n"/>
      <c r="N9" s="1677" t="n"/>
      <c r="O9" s="1677" t="n"/>
      <c r="P9" s="1680" t="inlineStr">
        <is>
          <t>k.ward.mccloskey@googlemail.com</t>
        </is>
      </c>
      <c r="Q9" s="1674" t="inlineStr">
        <is>
          <t>Ms</t>
        </is>
      </c>
      <c r="R9" s="1674" t="inlineStr">
        <is>
          <t>Karen</t>
        </is>
      </c>
      <c r="S9" s="1674" t="inlineStr">
        <is>
          <t>Ward</t>
        </is>
      </c>
      <c r="T9" s="329" t="inlineStr">
        <is>
          <t>55</t>
        </is>
      </c>
      <c r="U9" s="331" t="inlineStr">
        <is>
          <t xml:space="preserve">07896311197 </t>
        </is>
      </c>
      <c r="W9" s="1674" t="inlineStr">
        <is>
          <t>36 High Street</t>
        </is>
      </c>
      <c r="X9" s="1682" t="inlineStr">
        <is>
          <t>Kenilworth</t>
        </is>
      </c>
      <c r="AC9" s="331" t="n"/>
    </row>
    <row r="10" ht="16.5" customFormat="1" customHeight="1" s="1674">
      <c r="A10" s="321" t="n">
        <v>4</v>
      </c>
      <c r="B10" s="1676" t="n">
        <v>42023</v>
      </c>
      <c r="C10" s="1676" t="inlineStr">
        <is>
          <t>#000105</t>
        </is>
      </c>
      <c r="D10" s="1681">
        <f>325/2</f>
        <v/>
      </c>
      <c r="E10" s="1681" t="n">
        <v>0</v>
      </c>
      <c r="F10" s="333" t="inlineStr">
        <is>
          <t>4hrs</t>
        </is>
      </c>
      <c r="G10" s="1674" t="inlineStr">
        <is>
          <t>Local 1-2-1 Tuition</t>
        </is>
      </c>
      <c r="H10" s="1674" t="inlineStr">
        <is>
          <t>Exisiting</t>
        </is>
      </c>
      <c r="J10" s="1676" t="n">
        <v>42045</v>
      </c>
      <c r="K10" s="1677" t="n"/>
      <c r="L10" s="1677" t="n"/>
      <c r="M10" s="1677" t="n"/>
      <c r="N10" s="1677" t="n"/>
      <c r="O10" s="1677" t="n"/>
      <c r="P10" s="1680" t="inlineStr">
        <is>
          <t>k.ward.mccloskey@googlemail.com</t>
        </is>
      </c>
      <c r="Q10" s="1674" t="inlineStr">
        <is>
          <t>Ms</t>
        </is>
      </c>
      <c r="R10" s="1674" t="inlineStr">
        <is>
          <t>Karen</t>
        </is>
      </c>
      <c r="S10" s="1674" t="inlineStr">
        <is>
          <t>Ward</t>
        </is>
      </c>
      <c r="T10" s="329" t="inlineStr">
        <is>
          <t>55</t>
        </is>
      </c>
      <c r="U10" s="331" t="inlineStr">
        <is>
          <t xml:space="preserve">07896311197 </t>
        </is>
      </c>
      <c r="W10" s="1674" t="inlineStr">
        <is>
          <t>36 High Street</t>
        </is>
      </c>
      <c r="X10" s="1682" t="inlineStr">
        <is>
          <t>Kenilworth</t>
        </is>
      </c>
      <c r="Z10" s="1682" t="n"/>
      <c r="AA10" s="1682" t="n"/>
      <c r="AB10" s="1682" t="n"/>
    </row>
    <row r="11" ht="16.5" customFormat="1" customHeight="1" s="1674">
      <c r="A11" s="321" t="n">
        <v>5</v>
      </c>
      <c r="B11" s="1676" t="n">
        <v>42145</v>
      </c>
      <c r="C11" s="1674" t="inlineStr">
        <is>
          <t>#00167</t>
        </is>
      </c>
      <c r="D11" s="1674" t="n">
        <v>175</v>
      </c>
      <c r="E11" s="1674" t="n">
        <v>0</v>
      </c>
      <c r="F11" s="333" t="inlineStr">
        <is>
          <t>4hrs</t>
        </is>
      </c>
      <c r="G11" s="1674" t="inlineStr">
        <is>
          <t>LR 1-2-1 Tuition</t>
        </is>
      </c>
      <c r="H11" s="1674" t="inlineStr">
        <is>
          <t>Google</t>
        </is>
      </c>
      <c r="J11" s="1676" t="n">
        <v>42156</v>
      </c>
      <c r="K11" s="1677" t="n"/>
      <c r="L11" s="1677" t="n"/>
      <c r="M11" s="1677" t="n"/>
      <c r="N11" s="1677" t="n"/>
      <c r="O11" s="1677" t="n"/>
      <c r="P11" s="1678" t="inlineStr">
        <is>
          <t>gjralph@tesco.net</t>
        </is>
      </c>
      <c r="Q11" s="1674" t="inlineStr">
        <is>
          <t>Mr</t>
        </is>
      </c>
      <c r="R11" s="1674" t="inlineStr">
        <is>
          <t>Geoff</t>
        </is>
      </c>
      <c r="S11" s="1674" t="inlineStr">
        <is>
          <t>Ralph</t>
        </is>
      </c>
      <c r="T11" s="1679" t="inlineStr">
        <is>
          <t>68</t>
        </is>
      </c>
      <c r="U11" s="1679" t="inlineStr">
        <is>
          <t>07591156396</t>
        </is>
      </c>
      <c r="V11" s="1674" t="inlineStr">
        <is>
          <t>CV32 6RU</t>
        </is>
      </c>
      <c r="W11" s="1679" t="inlineStr">
        <is>
          <t>8 Range Meadow Close</t>
        </is>
      </c>
      <c r="X11" s="1674" t="inlineStr">
        <is>
          <t>Leamington Spa</t>
        </is>
      </c>
    </row>
    <row r="12" ht="16.5" customFormat="1" customHeight="1" s="1674">
      <c r="A12" s="321" t="n">
        <v>6</v>
      </c>
      <c r="B12" s="1676" t="n">
        <v>42145</v>
      </c>
      <c r="C12" s="1674" t="inlineStr">
        <is>
          <t>#00167</t>
        </is>
      </c>
      <c r="D12" s="1674" t="n">
        <v>0</v>
      </c>
      <c r="E12" s="1674" t="n">
        <v>0</v>
      </c>
      <c r="F12" s="333" t="inlineStr">
        <is>
          <t>4hrs</t>
        </is>
      </c>
      <c r="G12" s="1674" t="inlineStr">
        <is>
          <t>LR 1-2-1 Tuition</t>
        </is>
      </c>
      <c r="H12" s="1674" t="inlineStr">
        <is>
          <t>Google</t>
        </is>
      </c>
      <c r="J12" s="1676" t="n">
        <v>42156</v>
      </c>
      <c r="K12" s="1677" t="n"/>
      <c r="L12" s="1677" t="n"/>
      <c r="M12" s="1677" t="n"/>
      <c r="N12" s="1677" t="n"/>
      <c r="O12" s="1677" t="n"/>
      <c r="P12" s="1678" t="inlineStr">
        <is>
          <t>cliff@technologist.com</t>
        </is>
      </c>
      <c r="Q12" s="1674" t="inlineStr">
        <is>
          <t>Mr</t>
        </is>
      </c>
      <c r="R12" s="1674" t="inlineStr">
        <is>
          <t>Cliff</t>
        </is>
      </c>
      <c r="S12" s="1674" t="inlineStr">
        <is>
          <t>Young</t>
        </is>
      </c>
      <c r="T12" s="1679" t="n"/>
      <c r="U12" s="1679" t="inlineStr">
        <is>
          <t>07912090365</t>
        </is>
      </c>
      <c r="V12" s="1674" t="inlineStr">
        <is>
          <t>CV32 6RU</t>
        </is>
      </c>
      <c r="W12" s="1679" t="inlineStr">
        <is>
          <t>10 Range Meadow Close</t>
        </is>
      </c>
      <c r="X12" s="1674" t="inlineStr">
        <is>
          <t>Leamington Spa</t>
        </is>
      </c>
    </row>
    <row r="13" ht="16.5" customFormat="1" customHeight="1" s="1674">
      <c r="A13" s="321" t="n">
        <v>7</v>
      </c>
      <c r="B13" s="1676" t="n">
        <v>42149</v>
      </c>
      <c r="C13" s="1676" t="inlineStr">
        <is>
          <t>Direct</t>
        </is>
      </c>
      <c r="D13" s="1681" t="n">
        <v>366</v>
      </c>
      <c r="E13" s="1681" t="n">
        <v>0</v>
      </c>
      <c r="F13" s="1676" t="inlineStr">
        <is>
          <t>4hrs</t>
        </is>
      </c>
      <c r="G13" s="1676" t="inlineStr">
        <is>
          <t>Photo Shoot</t>
        </is>
      </c>
      <c r="H13" s="1682" t="inlineStr">
        <is>
          <t>Exisiting</t>
        </is>
      </c>
      <c r="I13" s="1682" t="n"/>
      <c r="J13" s="1676" t="n">
        <v>42153</v>
      </c>
      <c r="K13" s="1676" t="n"/>
      <c r="L13" s="1676" t="n"/>
      <c r="M13" s="1676" t="n"/>
      <c r="N13" s="1677" t="n"/>
      <c r="O13" s="1677" t="n"/>
      <c r="P13" s="1683" t="inlineStr">
        <is>
          <t>hcadman@me.com</t>
        </is>
      </c>
      <c r="Q13" s="1684" t="inlineStr">
        <is>
          <t>Mrs</t>
        </is>
      </c>
      <c r="R13" s="1684" t="inlineStr">
        <is>
          <t>Helen</t>
        </is>
      </c>
      <c r="S13" s="337" t="inlineStr">
        <is>
          <t>Cadman</t>
        </is>
      </c>
      <c r="T13" s="338" t="inlineStr">
        <is>
          <t>50</t>
        </is>
      </c>
      <c r="U13" s="1685" t="inlineStr">
        <is>
          <t>07712429149</t>
        </is>
      </c>
      <c r="V13" s="1683" t="inlineStr">
        <is>
          <t>cv358nb</t>
        </is>
      </c>
      <c r="W13" s="1686" t="inlineStr">
        <is>
          <t>High Acres</t>
        </is>
      </c>
      <c r="X13" s="1686" t="inlineStr">
        <is>
          <t>Claverdon</t>
        </is>
      </c>
      <c r="Y13" s="1686" t="inlineStr">
        <is>
          <t>Canon</t>
        </is>
      </c>
      <c r="Z13" s="1686" t="inlineStr">
        <is>
          <t>&lt;1</t>
        </is>
      </c>
      <c r="AA13" s="1686" t="inlineStr">
        <is>
          <t>"Portraits", "Wildlife", "Creative/Abstract"</t>
        </is>
      </c>
      <c r="AC13" s="331" t="n"/>
    </row>
    <row r="14" ht="16.5" customFormat="1" customHeight="1" s="1674">
      <c r="A14" s="321" t="n">
        <v>8</v>
      </c>
      <c r="B14" s="1676" t="n">
        <v>42197</v>
      </c>
      <c r="C14" s="1676" t="inlineStr">
        <is>
          <t>#00203</t>
        </is>
      </c>
      <c r="D14" s="1681" t="n">
        <v>122.5</v>
      </c>
      <c r="E14" s="1681" t="n">
        <v>0</v>
      </c>
      <c r="F14" s="1676" t="inlineStr">
        <is>
          <t>4hrs</t>
        </is>
      </c>
      <c r="G14" s="1674" t="inlineStr">
        <is>
          <t>Local 1-2-1 Tuition</t>
        </is>
      </c>
      <c r="H14" s="1682" t="inlineStr">
        <is>
          <t>Google</t>
        </is>
      </c>
      <c r="I14" s="1682" t="n"/>
      <c r="J14" s="1676" t="n">
        <v>42207</v>
      </c>
      <c r="K14" s="1676" t="n"/>
      <c r="L14" s="1676" t="n"/>
      <c r="M14" s="1676" t="n"/>
      <c r="N14" s="1676" t="n"/>
      <c r="O14" s="1676" t="n"/>
      <c r="P14" s="1682" t="inlineStr">
        <is>
          <t>User897519@aol.com</t>
        </is>
      </c>
      <c r="Q14" s="1682" t="inlineStr">
        <is>
          <t>Mrs</t>
        </is>
      </c>
      <c r="R14" s="1682" t="inlineStr">
        <is>
          <t>Sheila</t>
        </is>
      </c>
      <c r="S14" s="1682" t="inlineStr">
        <is>
          <t>Billingham</t>
        </is>
      </c>
      <c r="T14" s="341" t="inlineStr">
        <is>
          <t>70</t>
        </is>
      </c>
      <c r="U14" s="1687" t="inlineStr">
        <is>
          <t>07968874095</t>
        </is>
      </c>
      <c r="V14" s="1674" t="inlineStr">
        <is>
          <t>CV7 7GL</t>
        </is>
      </c>
      <c r="W14" s="1674" t="inlineStr">
        <is>
          <t>60 Kelsey Ln</t>
        </is>
      </c>
      <c r="X14" s="1682" t="inlineStr">
        <is>
          <t>Balsall Common</t>
        </is>
      </c>
      <c r="Z14" s="1682" t="n"/>
      <c r="AB14" s="1682" t="n"/>
      <c r="AC14" s="1682" t="n"/>
    </row>
    <row r="15" ht="16.5" customFormat="1" customHeight="1" s="1674">
      <c r="A15" s="321" t="n">
        <v>9</v>
      </c>
      <c r="B15" s="333" t="n">
        <v>42216</v>
      </c>
      <c r="C15" s="333" t="inlineStr">
        <is>
          <t>#00213</t>
        </is>
      </c>
      <c r="D15" s="1681" t="n">
        <v>122.5</v>
      </c>
      <c r="E15" s="1681" t="n">
        <v>0</v>
      </c>
      <c r="F15" s="333" t="inlineStr">
        <is>
          <t>4hrs</t>
        </is>
      </c>
      <c r="G15" s="343" t="inlineStr">
        <is>
          <t>1-2-1</t>
        </is>
      </c>
      <c r="H15" s="1682" t="inlineStr">
        <is>
          <t>Exisiting</t>
        </is>
      </c>
      <c r="I15" s="1682" t="n"/>
      <c r="J15" s="333" t="n">
        <v>42230</v>
      </c>
      <c r="K15" s="333" t="n"/>
      <c r="L15" s="333" t="n"/>
      <c r="M15" s="333" t="n"/>
      <c r="N15" s="322" t="n"/>
      <c r="O15" s="322" t="n"/>
      <c r="P15" s="1678" t="inlineStr">
        <is>
          <t>leslieadams1965@outlook.com</t>
        </is>
      </c>
      <c r="Q15" s="1686" t="inlineStr">
        <is>
          <t>mrs</t>
        </is>
      </c>
      <c r="R15" s="1686" t="inlineStr">
        <is>
          <t>leslie</t>
        </is>
      </c>
      <c r="S15" s="1686" t="inlineStr">
        <is>
          <t>adams</t>
        </is>
      </c>
      <c r="T15" s="1688" t="inlineStr">
        <is>
          <t>50</t>
        </is>
      </c>
      <c r="U15" s="345" t="inlineStr">
        <is>
          <t>07817991944</t>
        </is>
      </c>
      <c r="V15" s="1686" t="inlineStr">
        <is>
          <t>cv23 9js</t>
        </is>
      </c>
      <c r="W15" s="1688" t="inlineStr">
        <is>
          <t>old station house,main st</t>
        </is>
      </c>
      <c r="X15" s="1686" t="inlineStr">
        <is>
          <t>Birdingbury. Rugby</t>
        </is>
      </c>
      <c r="Y15" s="1686" t="inlineStr">
        <is>
          <t>canon 600 d</t>
        </is>
      </c>
      <c r="Z15" s="1686" t="n">
        <v>42036</v>
      </c>
    </row>
    <row r="16" ht="16.5" customFormat="1" customHeight="1" s="1674">
      <c r="A16" s="321" t="n">
        <v>10</v>
      </c>
      <c r="B16" s="333" t="n">
        <v>42201</v>
      </c>
      <c r="C16" s="333" t="inlineStr">
        <is>
          <t>#00205</t>
        </is>
      </c>
      <c r="D16" s="1681" t="n">
        <v>122.5</v>
      </c>
      <c r="E16" s="1681" t="n">
        <v>0</v>
      </c>
      <c r="F16" s="1682" t="inlineStr">
        <is>
          <t>4hrs</t>
        </is>
      </c>
      <c r="G16" s="1682" t="inlineStr">
        <is>
          <t>1-2-1 on LR6</t>
        </is>
      </c>
      <c r="H16" s="1682" t="inlineStr">
        <is>
          <t>Exisiting</t>
        </is>
      </c>
      <c r="I16" s="1682" t="n"/>
      <c r="J16" s="333" t="n">
        <v>42243</v>
      </c>
      <c r="K16" s="333" t="n"/>
      <c r="L16" s="333" t="n"/>
      <c r="M16" s="333" t="n"/>
      <c r="N16" s="322" t="n"/>
      <c r="O16" s="322" t="n"/>
      <c r="P16" s="1680" t="inlineStr">
        <is>
          <t>johanna81005@gmail.com</t>
        </is>
      </c>
      <c r="Q16" s="1674" t="inlineStr">
        <is>
          <t>Mrs</t>
        </is>
      </c>
      <c r="R16" s="1674" t="inlineStr">
        <is>
          <t>Johanna</t>
        </is>
      </c>
      <c r="S16" s="1674" t="inlineStr">
        <is>
          <t>Stansfield</t>
        </is>
      </c>
      <c r="T16" s="329" t="n">
        <v>42</v>
      </c>
      <c r="U16" s="331" t="inlineStr">
        <is>
          <t>07850404545</t>
        </is>
      </c>
      <c r="V16" s="1674" t="inlineStr">
        <is>
          <t>B90 4TJ</t>
        </is>
      </c>
      <c r="W16" s="1674" t="inlineStr">
        <is>
          <t>10 TYLERS GROVE</t>
        </is>
      </c>
      <c r="X16" s="1674" t="inlineStr">
        <is>
          <t>SOLIHULL</t>
        </is>
      </c>
      <c r="Y16" s="1674" t="inlineStr">
        <is>
          <t>CANON 600D</t>
        </is>
      </c>
      <c r="Z16" s="1674" t="inlineStr">
        <is>
          <t>&lt;1</t>
        </is>
      </c>
      <c r="AA16" s="1674" t="inlineStr">
        <is>
          <t>"Landscapes", "Sports", "Wildlife", "Street Photography", "Creative/Abstract"</t>
        </is>
      </c>
      <c r="AC16" s="331" t="n"/>
    </row>
    <row r="17" ht="16.5" customFormat="1" customHeight="1" s="1674">
      <c r="A17" s="321" t="n">
        <v>11</v>
      </c>
      <c r="B17" s="333" t="n">
        <v>42205</v>
      </c>
      <c r="C17" s="333" t="inlineStr">
        <is>
          <t>#00207</t>
        </is>
      </c>
      <c r="D17" s="1681" t="n">
        <v>122.5</v>
      </c>
      <c r="E17" s="1681" t="n">
        <v>0</v>
      </c>
      <c r="F17" s="1682" t="inlineStr">
        <is>
          <t>4hrs</t>
        </is>
      </c>
      <c r="G17" s="1682" t="inlineStr">
        <is>
          <t>1-2-1 on composition</t>
        </is>
      </c>
      <c r="H17" s="1682" t="inlineStr">
        <is>
          <t>Exisiting</t>
        </is>
      </c>
      <c r="I17" s="1682" t="n"/>
      <c r="J17" s="333" t="n">
        <v>42248</v>
      </c>
      <c r="K17" s="333" t="n"/>
      <c r="L17" s="333" t="n"/>
      <c r="M17" s="333" t="n"/>
      <c r="N17" s="322" t="n"/>
      <c r="O17" s="322" t="n"/>
      <c r="P17" s="1678" t="inlineStr">
        <is>
          <t>jeandance007@gmail.com</t>
        </is>
      </c>
      <c r="Q17" s="1674" t="inlineStr">
        <is>
          <t>Mrs</t>
        </is>
      </c>
      <c r="R17" s="346" t="inlineStr">
        <is>
          <t>Jean</t>
        </is>
      </c>
      <c r="S17" s="346" t="inlineStr">
        <is>
          <t>Dance</t>
        </is>
      </c>
      <c r="T17" s="331" t="n"/>
    </row>
    <row r="18" ht="16.5" customFormat="1" customHeight="1" s="1674">
      <c r="A18" s="321" t="n">
        <v>12</v>
      </c>
      <c r="B18" s="333" t="n">
        <v>42241</v>
      </c>
      <c r="C18" s="333" t="inlineStr">
        <is>
          <t>#00230</t>
        </is>
      </c>
      <c r="D18" s="1681" t="n">
        <v>122.5</v>
      </c>
      <c r="E18" s="1681" t="n">
        <v>0</v>
      </c>
      <c r="F18" s="1682" t="inlineStr">
        <is>
          <t>4hrs</t>
        </is>
      </c>
      <c r="G18" s="343" t="inlineStr">
        <is>
          <t>1-2-1</t>
        </is>
      </c>
      <c r="H18" s="1682" t="inlineStr">
        <is>
          <t>Google</t>
        </is>
      </c>
      <c r="I18" s="1682" t="n"/>
      <c r="J18" s="333" t="n">
        <v>42250</v>
      </c>
      <c r="K18" s="333" t="n"/>
      <c r="L18" s="333" t="n"/>
      <c r="M18" s="333" t="n"/>
      <c r="N18" s="322" t="n"/>
      <c r="O18" s="322" t="n"/>
      <c r="P18" s="1678" t="inlineStr">
        <is>
          <t>simonwalkergdp1@btinternet.com</t>
        </is>
      </c>
      <c r="Q18" s="1674" t="inlineStr">
        <is>
          <t>Mr</t>
        </is>
      </c>
      <c r="R18" s="1674" t="inlineStr">
        <is>
          <t>Simon</t>
        </is>
      </c>
      <c r="S18" s="1674" t="inlineStr">
        <is>
          <t>Walker</t>
        </is>
      </c>
      <c r="T18" s="341" t="inlineStr">
        <is>
          <t>47</t>
        </is>
      </c>
      <c r="U18" s="1687" t="inlineStr">
        <is>
          <t>07774862787</t>
        </is>
      </c>
      <c r="V18" s="1682" t="inlineStr">
        <is>
          <t>b48 7bp</t>
        </is>
      </c>
      <c r="W18" s="1682" t="inlineStr">
        <is>
          <t>aqueduct lane</t>
        </is>
      </c>
      <c r="X18" s="1689" t="inlineStr">
        <is>
          <t>alvechurch</t>
        </is>
      </c>
      <c r="Y18" s="1682" t="n"/>
      <c r="Z18" s="1682" t="n"/>
      <c r="AA18" s="1682" t="n"/>
      <c r="AB18" s="1682" t="n"/>
      <c r="AC18" s="1682" t="n"/>
    </row>
    <row r="19" ht="16.5" customFormat="1" customHeight="1" s="1674">
      <c r="A19" s="321" t="n">
        <v>13</v>
      </c>
      <c r="B19" s="1676" t="n">
        <v>42231</v>
      </c>
      <c r="C19" s="348" t="inlineStr">
        <is>
          <t>#00224</t>
        </is>
      </c>
      <c r="D19" s="333" t="n">
        <v>122.5</v>
      </c>
      <c r="E19" s="1681" t="n">
        <v>0</v>
      </c>
      <c r="F19" s="333" t="inlineStr">
        <is>
          <t>4hrs</t>
        </is>
      </c>
      <c r="G19" s="343" t="inlineStr">
        <is>
          <t>1-2-1</t>
        </is>
      </c>
      <c r="H19" s="1682" t="inlineStr">
        <is>
          <t>Exisiting</t>
        </is>
      </c>
      <c r="I19" s="1682" t="n"/>
      <c r="J19" s="333" t="n">
        <v>42251</v>
      </c>
      <c r="K19" s="333" t="n"/>
      <c r="L19" s="333" t="n"/>
      <c r="M19" s="333" t="n"/>
      <c r="N19" s="333" t="n"/>
      <c r="O19" s="333" t="n"/>
      <c r="P19" s="1690" t="inlineStr">
        <is>
          <t>leslieadams1965@outlook.com</t>
        </is>
      </c>
      <c r="Q19" s="1691" t="inlineStr">
        <is>
          <t>mrs</t>
        </is>
      </c>
      <c r="R19" s="1691" t="inlineStr">
        <is>
          <t>leslie</t>
        </is>
      </c>
      <c r="S19" s="1691" t="inlineStr">
        <is>
          <t>adams</t>
        </is>
      </c>
      <c r="T19" s="1692" t="inlineStr">
        <is>
          <t>50</t>
        </is>
      </c>
      <c r="U19" s="352" t="inlineStr">
        <is>
          <t>07817991944</t>
        </is>
      </c>
      <c r="V19" s="1691" t="inlineStr">
        <is>
          <t>cv23 9js</t>
        </is>
      </c>
      <c r="W19" s="1692" t="inlineStr">
        <is>
          <t>old station house,main st</t>
        </is>
      </c>
      <c r="X19" s="1691" t="inlineStr">
        <is>
          <t>Birdingbury. Rugby</t>
        </is>
      </c>
      <c r="Y19" s="1691" t="inlineStr">
        <is>
          <t>canon 600 d</t>
        </is>
      </c>
      <c r="Z19" s="1691" t="n">
        <v>42036</v>
      </c>
      <c r="AA19" s="1682" t="n"/>
      <c r="AB19" s="1682" t="n"/>
      <c r="AC19" s="1682" t="n"/>
    </row>
    <row r="20" ht="16.5" customFormat="1" customHeight="1" s="1674">
      <c r="A20" s="321" t="n">
        <v>14</v>
      </c>
      <c r="B20" s="333" t="n">
        <v>42224</v>
      </c>
      <c r="C20" s="322" t="inlineStr">
        <is>
          <t>#00217</t>
        </is>
      </c>
      <c r="D20" s="1675" t="n">
        <v>122.5</v>
      </c>
      <c r="E20" s="1675" t="n">
        <v>0</v>
      </c>
      <c r="F20" s="333" t="inlineStr">
        <is>
          <t>4hrs</t>
        </is>
      </c>
      <c r="G20" s="343" t="inlineStr">
        <is>
          <t>1-2-1</t>
        </is>
      </c>
      <c r="H20" s="1682" t="inlineStr">
        <is>
          <t>Exisiting</t>
        </is>
      </c>
      <c r="I20" s="1682" t="n"/>
      <c r="J20" s="333" t="n">
        <v>42254</v>
      </c>
      <c r="K20" s="322" t="n"/>
      <c r="L20" s="322" t="n"/>
      <c r="M20" s="322" t="n"/>
      <c r="N20" s="322" t="n"/>
      <c r="O20" s="322" t="n"/>
      <c r="P20" s="1674" t="inlineStr">
        <is>
          <t>steveparrack@yahoo.co.uk</t>
        </is>
      </c>
      <c r="Q20" s="1674" t="inlineStr">
        <is>
          <t>Mr</t>
        </is>
      </c>
      <c r="R20" s="1674" t="inlineStr">
        <is>
          <t xml:space="preserve">Stephen </t>
        </is>
      </c>
      <c r="S20" s="1674" t="inlineStr">
        <is>
          <t>Parrack</t>
        </is>
      </c>
      <c r="T20" s="353" t="inlineStr">
        <is>
          <t>64</t>
        </is>
      </c>
      <c r="U20" s="330" t="inlineStr">
        <is>
          <t xml:space="preserve">0121 706 1435 </t>
        </is>
      </c>
      <c r="V20" s="1674" t="inlineStr">
        <is>
          <t>B92 7AE</t>
        </is>
      </c>
      <c r="W20" s="1674" t="inlineStr">
        <is>
          <t>224 Warwick Rd</t>
        </is>
      </c>
      <c r="X20" s="1674" t="inlineStr">
        <is>
          <t>Olton</t>
        </is>
      </c>
    </row>
    <row r="21" ht="16.5" customFormat="1" customHeight="1" s="1674">
      <c r="A21" s="321" t="n">
        <v>15</v>
      </c>
      <c r="B21" s="1676" t="n">
        <v>42231</v>
      </c>
      <c r="C21" s="1676" t="inlineStr">
        <is>
          <t>Direct</t>
        </is>
      </c>
      <c r="D21" s="1681" t="n"/>
      <c r="E21" s="1675" t="n">
        <v>0</v>
      </c>
      <c r="F21" s="333" t="inlineStr">
        <is>
          <t>4hrs</t>
        </is>
      </c>
      <c r="G21" s="343" t="inlineStr">
        <is>
          <t>1-2-1</t>
        </is>
      </c>
      <c r="H21" s="1686" t="inlineStr">
        <is>
          <t>Pick N Mix</t>
        </is>
      </c>
      <c r="J21" s="333" t="n">
        <v>42264</v>
      </c>
      <c r="K21" s="322" t="n"/>
      <c r="L21" s="322" t="n"/>
      <c r="M21" s="322" t="n"/>
      <c r="N21" s="322" t="n"/>
      <c r="O21" s="322" t="n"/>
      <c r="P21" s="1693" t="inlineStr">
        <is>
          <t>con.mchugh@gmail.com</t>
        </is>
      </c>
      <c r="Q21" s="1693" t="inlineStr">
        <is>
          <t>Mr</t>
        </is>
      </c>
      <c r="R21" s="1686" t="inlineStr">
        <is>
          <t xml:space="preserve">Con </t>
        </is>
      </c>
      <c r="S21" s="1693" t="inlineStr">
        <is>
          <t>McHugh</t>
        </is>
      </c>
      <c r="T21" s="355" t="n">
        <v>55</v>
      </c>
      <c r="U21" s="1693" t="inlineStr">
        <is>
          <t>07968894002</t>
        </is>
      </c>
      <c r="V21" s="1693" t="inlineStr">
        <is>
          <t>CV37 0RT</t>
        </is>
      </c>
      <c r="W21" s="1693" t="inlineStr">
        <is>
          <t>8 Hurdlers Ln</t>
        </is>
      </c>
      <c r="X21" s="1693" t="inlineStr">
        <is>
          <t>Snitterfield</t>
        </is>
      </c>
      <c r="Y21" s="1693" t="n"/>
      <c r="Z21" s="1693" t="n"/>
      <c r="AA21" s="1686" t="n"/>
      <c r="AB21" s="1686" t="n"/>
      <c r="AC21" s="1686" t="n"/>
    </row>
    <row r="22" ht="16.5" customFormat="1" customHeight="1" s="1674">
      <c r="A22" s="321" t="n">
        <v>16</v>
      </c>
      <c r="B22" s="1676" t="n">
        <v>42221</v>
      </c>
      <c r="C22" s="1676" t="inlineStr">
        <is>
          <t>#00216</t>
        </is>
      </c>
      <c r="D22" s="1681" t="n">
        <v>122.5</v>
      </c>
      <c r="E22" s="1681" t="n">
        <v>0</v>
      </c>
      <c r="F22" s="333" t="inlineStr">
        <is>
          <t>4hrs</t>
        </is>
      </c>
      <c r="G22" s="343" t="inlineStr">
        <is>
          <t>1-2-1</t>
        </is>
      </c>
      <c r="H22" s="1682" t="inlineStr">
        <is>
          <t>Exisiting</t>
        </is>
      </c>
      <c r="I22" s="1682" t="n"/>
      <c r="J22" s="333" t="inlineStr">
        <is>
          <t>TBA</t>
        </is>
      </c>
      <c r="K22" s="333" t="n"/>
      <c r="L22" s="333" t="n"/>
      <c r="M22" s="333" t="n"/>
      <c r="N22" s="322" t="n"/>
      <c r="O22" s="322" t="n"/>
      <c r="P22" s="1686" t="inlineStr">
        <is>
          <t>caroline_gee57@yahoo.co.uk</t>
        </is>
      </c>
      <c r="Q22" s="1674" t="inlineStr">
        <is>
          <t>Ms</t>
        </is>
      </c>
      <c r="R22" s="346" t="inlineStr">
        <is>
          <t>Caroline</t>
        </is>
      </c>
      <c r="S22" s="346" t="inlineStr">
        <is>
          <t>Gee</t>
        </is>
      </c>
      <c r="T22" s="331" t="n"/>
      <c r="U22" s="1679" t="inlineStr">
        <is>
          <t>07901822607</t>
        </is>
      </c>
      <c r="V22" s="1674" t="inlineStr">
        <is>
          <t>Mk18 5BD</t>
        </is>
      </c>
      <c r="W22" s="1674" t="inlineStr">
        <is>
          <t>16 Brookside</t>
        </is>
      </c>
      <c r="X22" s="1674" t="inlineStr">
        <is>
          <t>Lillingstone Lovell, Bucks</t>
        </is>
      </c>
    </row>
    <row r="23" ht="16.5" customFormat="1" customHeight="1" s="1674">
      <c r="A23" s="321" t="n">
        <v>17</v>
      </c>
      <c r="B23" s="333" t="n">
        <v>42287</v>
      </c>
      <c r="C23" s="333" t="inlineStr">
        <is>
          <t>#00257</t>
        </is>
      </c>
      <c r="D23" s="1681" t="n">
        <v>195</v>
      </c>
      <c r="E23" s="1681" t="n">
        <v>0</v>
      </c>
      <c r="F23" s="1682" t="inlineStr">
        <is>
          <t>4hrs</t>
        </is>
      </c>
      <c r="G23" s="343" t="inlineStr">
        <is>
          <t>1-2-1</t>
        </is>
      </c>
      <c r="H23" s="1682" t="inlineStr">
        <is>
          <t>Exisiting</t>
        </is>
      </c>
      <c r="I23" s="1682" t="n"/>
      <c r="J23" s="333" t="n">
        <v>42310</v>
      </c>
      <c r="K23" s="333" t="n"/>
      <c r="L23" s="333" t="n"/>
      <c r="M23" s="333" t="n"/>
      <c r="N23" s="322" t="n"/>
      <c r="O23" s="322" t="n"/>
      <c r="P23" s="356" t="inlineStr">
        <is>
          <t>gill.core@btinternet.com</t>
        </is>
      </c>
      <c r="Q23" s="1674" t="inlineStr">
        <is>
          <t>Ms</t>
        </is>
      </c>
      <c r="R23" s="357" t="inlineStr">
        <is>
          <t>Gill</t>
        </is>
      </c>
      <c r="S23" s="1686" t="inlineStr">
        <is>
          <t>Core</t>
        </is>
      </c>
      <c r="T23" s="331" t="n"/>
      <c r="U23" s="1679" t="inlineStr">
        <is>
          <t>07969282807</t>
        </is>
      </c>
    </row>
    <row r="24" ht="16.5" customFormat="1" customHeight="1" s="1674">
      <c r="A24" s="321" t="n">
        <v>18</v>
      </c>
      <c r="B24" s="333" t="n">
        <v>42228</v>
      </c>
      <c r="C24" s="358" t="inlineStr">
        <is>
          <t>#00220</t>
        </is>
      </c>
      <c r="D24" s="1674" t="n">
        <v>122.5</v>
      </c>
      <c r="E24" s="1674" t="n">
        <v>0</v>
      </c>
      <c r="F24" s="1682" t="inlineStr">
        <is>
          <t>4hrs</t>
        </is>
      </c>
      <c r="G24" s="343" t="inlineStr">
        <is>
          <t>1-2-1</t>
        </is>
      </c>
      <c r="H24" s="1675" t="inlineStr">
        <is>
          <t>Google</t>
        </is>
      </c>
      <c r="I24" s="1675" t="n"/>
      <c r="J24" s="333" t="n">
        <v>2.454545451388889</v>
      </c>
      <c r="K24" s="322" t="n"/>
      <c r="L24" s="322" t="n"/>
      <c r="M24" s="322" t="n"/>
      <c r="N24" s="322" t="n"/>
      <c r="O24" s="322" t="n"/>
      <c r="P24" s="359" t="inlineStr">
        <is>
          <t>ruth.tandy@btinternet.com</t>
        </is>
      </c>
      <c r="Q24" s="360" t="inlineStr">
        <is>
          <t>Mr</t>
        </is>
      </c>
      <c r="R24" s="361" t="inlineStr">
        <is>
          <t>Robert</t>
        </is>
      </c>
      <c r="S24" s="360" t="inlineStr">
        <is>
          <t>Tandy</t>
        </is>
      </c>
      <c r="T24" s="362" t="inlineStr">
        <is>
          <t>47</t>
        </is>
      </c>
      <c r="U24" s="363" t="inlineStr">
        <is>
          <t>07920715917</t>
        </is>
      </c>
      <c r="V24" s="1694" t="inlineStr">
        <is>
          <t>Cv230fh</t>
        </is>
      </c>
      <c r="W24" s="1694" t="inlineStr">
        <is>
          <t>7 fennel close</t>
        </is>
      </c>
      <c r="X24" s="1694" t="inlineStr">
        <is>
          <t>Rugby</t>
        </is>
      </c>
    </row>
    <row r="25" ht="16.5" customFormat="1" customHeight="1" s="1674">
      <c r="A25" s="321" t="n">
        <v>19</v>
      </c>
      <c r="B25" s="333" t="n">
        <v>42354</v>
      </c>
      <c r="C25" s="333" t="inlineStr">
        <is>
          <t>#00323</t>
        </is>
      </c>
      <c r="D25" s="1681" t="n">
        <v>50</v>
      </c>
      <c r="E25" s="1681" t="n">
        <v>0</v>
      </c>
      <c r="F25" s="1681" t="inlineStr">
        <is>
          <t>1hr</t>
        </is>
      </c>
      <c r="G25" s="343" t="inlineStr">
        <is>
          <t>1-2-1</t>
        </is>
      </c>
      <c r="H25" s="1682" t="inlineStr">
        <is>
          <t>Existing</t>
        </is>
      </c>
      <c r="I25" s="1682" t="n"/>
      <c r="J25" s="365" t="n">
        <v>42354</v>
      </c>
      <c r="K25" s="365" t="n"/>
      <c r="L25" s="365" t="n"/>
      <c r="M25" s="365" t="n"/>
      <c r="N25" s="944" t="n"/>
      <c r="O25" s="944" t="n"/>
      <c r="P25" s="1678" t="inlineStr">
        <is>
          <t>ian_stuart491999@yahoo.com</t>
        </is>
      </c>
      <c r="Q25" s="1674" t="inlineStr">
        <is>
          <t>Mr</t>
        </is>
      </c>
      <c r="R25" s="1686" t="inlineStr">
        <is>
          <t>Ian</t>
        </is>
      </c>
      <c r="S25" s="1686" t="inlineStr">
        <is>
          <t>Stuart</t>
        </is>
      </c>
      <c r="T25" s="341" t="inlineStr">
        <is>
          <t>52</t>
        </is>
      </c>
      <c r="U25" s="1687" t="inlineStr">
        <is>
          <t>06662612565</t>
        </is>
      </c>
      <c r="X25" s="1682" t="n"/>
      <c r="Z25" s="1682" t="n"/>
      <c r="AB25" s="1682" t="n"/>
      <c r="AC25" s="1682" t="n"/>
    </row>
    <row r="26" ht="16.5" customFormat="1" customHeight="1" s="1674">
      <c r="A26" s="366" t="n">
        <v>20</v>
      </c>
      <c r="B26" s="333" t="n">
        <v>42418</v>
      </c>
      <c r="C26" s="333" t="inlineStr">
        <is>
          <t>#00377</t>
        </is>
      </c>
      <c r="D26" s="1681" t="n">
        <v>395</v>
      </c>
      <c r="E26" s="1681" t="n">
        <v>0</v>
      </c>
      <c r="F26" s="1681" t="inlineStr">
        <is>
          <t>8hrs</t>
        </is>
      </c>
      <c r="G26" s="343" t="inlineStr">
        <is>
          <t>1-2-1 - basics and camera</t>
        </is>
      </c>
      <c r="H26" s="1682" t="inlineStr">
        <is>
          <t>Google</t>
        </is>
      </c>
      <c r="I26" s="1682" t="n"/>
      <c r="J26" s="365" t="n">
        <v>42464</v>
      </c>
      <c r="K26" s="365" t="n"/>
      <c r="L26" s="365" t="n"/>
      <c r="M26" s="365" t="n"/>
      <c r="N26" s="944" t="n"/>
      <c r="O26" s="944" t="n"/>
      <c r="P26" s="1678" t="inlineStr">
        <is>
          <t xml:space="preserve">c.caborn@yahoo.co.uk </t>
        </is>
      </c>
      <c r="Q26" s="1674" t="inlineStr">
        <is>
          <t>Mr</t>
        </is>
      </c>
      <c r="R26" s="1674" t="inlineStr">
        <is>
          <t xml:space="preserve">Colin </t>
        </is>
      </c>
      <c r="S26" s="1674" t="inlineStr">
        <is>
          <t>Caborn</t>
        </is>
      </c>
      <c r="T26" s="330" t="inlineStr">
        <is>
          <t>70</t>
        </is>
      </c>
      <c r="U26" s="1679" t="inlineStr">
        <is>
          <t>07841164241</t>
        </is>
      </c>
      <c r="V26" s="1674" t="inlineStr">
        <is>
          <t>MK420TB</t>
        </is>
      </c>
      <c r="W26" s="1674" t="inlineStr">
        <is>
          <t>253 Old Harrowden Road</t>
        </is>
      </c>
      <c r="X26" s="1674" t="inlineStr">
        <is>
          <t>Bedford</t>
        </is>
      </c>
    </row>
    <row r="27" ht="16.5" customFormat="1" customHeight="1" s="1674">
      <c r="A27" s="366" t="n">
        <v>21</v>
      </c>
      <c r="B27" s="322" t="n">
        <v>42493</v>
      </c>
      <c r="C27" s="322" t="inlineStr">
        <is>
          <t>#00306</t>
        </is>
      </c>
      <c r="D27" s="1675" t="n">
        <v>200</v>
      </c>
      <c r="E27" s="1675" t="n">
        <v>0</v>
      </c>
      <c r="F27" s="1681" t="inlineStr">
        <is>
          <t>4hrs</t>
        </is>
      </c>
      <c r="G27" s="1675" t="inlineStr">
        <is>
          <t>Gift Voucher - basics</t>
        </is>
      </c>
      <c r="H27" s="1674" t="inlineStr">
        <is>
          <t>existing</t>
        </is>
      </c>
      <c r="J27" s="367" t="n">
        <v>42562</v>
      </c>
      <c r="K27" s="367" t="n"/>
      <c r="L27" s="367" t="n"/>
      <c r="M27" s="367" t="n"/>
      <c r="N27" s="367" t="n"/>
      <c r="O27" s="367" t="n"/>
      <c r="P27" s="1678" t="inlineStr">
        <is>
          <t>simon.warriner013@btinternet.com</t>
        </is>
      </c>
      <c r="Q27" s="1674" t="inlineStr">
        <is>
          <t>Mr</t>
        </is>
      </c>
      <c r="R27" s="1674" t="inlineStr">
        <is>
          <t>Simon</t>
        </is>
      </c>
      <c r="S27" s="1674" t="inlineStr">
        <is>
          <t>Warriner</t>
        </is>
      </c>
      <c r="T27" s="331" t="n"/>
      <c r="U27" s="1679" t="inlineStr">
        <is>
          <t>07970910195</t>
        </is>
      </c>
    </row>
    <row r="28" ht="12.75" customHeight="1" s="1232">
      <c r="A28" s="301" t="n">
        <v>22</v>
      </c>
      <c r="B28" s="322" t="n">
        <v>42603</v>
      </c>
      <c r="C28" s="322" t="inlineStr">
        <is>
          <t>#00498</t>
        </is>
      </c>
      <c r="D28" s="1675" t="n">
        <v>195</v>
      </c>
      <c r="E28" s="1675" t="n">
        <v>0</v>
      </c>
      <c r="F28" s="1675" t="inlineStr">
        <is>
          <t>4hrs</t>
        </is>
      </c>
      <c r="G28" s="1675" t="inlineStr">
        <is>
          <t>1-2-1 Charlecote Park</t>
        </is>
      </c>
      <c r="H28" s="1674" t="inlineStr">
        <is>
          <t>google</t>
        </is>
      </c>
      <c r="I28" s="1674" t="n"/>
      <c r="J28" s="367" t="n">
        <v>42609</v>
      </c>
      <c r="K28" s="367" t="n"/>
      <c r="L28" s="367" t="n"/>
      <c r="M28" s="367" t="n"/>
      <c r="N28" s="367" t="n"/>
      <c r="O28" s="367" t="n"/>
      <c r="P28" s="1678" t="inlineStr">
        <is>
          <t>bedebe@hotmail.com</t>
        </is>
      </c>
      <c r="Q28" s="1674" t="inlineStr">
        <is>
          <t>Mr</t>
        </is>
      </c>
      <c r="R28" s="1674" t="inlineStr">
        <is>
          <t xml:space="preserve">Brian </t>
        </is>
      </c>
      <c r="S28" s="1674" t="inlineStr">
        <is>
          <t xml:space="preserve">Brewster </t>
        </is>
      </c>
      <c r="T28" s="329" t="n"/>
      <c r="U28" s="330" t="inlineStr">
        <is>
          <t>08789815987</t>
        </is>
      </c>
      <c r="V28" s="1674" t="inlineStr">
        <is>
          <t xml:space="preserve">BL9 8EN </t>
        </is>
      </c>
      <c r="W28" s="331" t="inlineStr">
        <is>
          <t xml:space="preserve">27 Burndale Drive </t>
        </is>
      </c>
      <c r="X28" s="1674" t="inlineStr">
        <is>
          <t>Bury</t>
        </is>
      </c>
      <c r="Y28" s="1674" t="n"/>
      <c r="Z28" s="1674" t="n"/>
      <c r="AA28" s="1674" t="n"/>
      <c r="AB28" s="1674" t="n"/>
      <c r="AC28" s="1674" t="n"/>
    </row>
    <row r="29" ht="12.75" customHeight="1" s="1232">
      <c r="A29" s="301" t="n">
        <v>23</v>
      </c>
      <c r="B29" s="322" t="n">
        <v>42663</v>
      </c>
      <c r="C29" s="322" t="inlineStr">
        <is>
          <t>#00527</t>
        </is>
      </c>
      <c r="D29" s="1675" t="n">
        <v>195</v>
      </c>
      <c r="E29" s="1675" t="n">
        <v>0</v>
      </c>
      <c r="F29" s="1675" t="inlineStr">
        <is>
          <t>4hrs</t>
        </is>
      </c>
      <c r="G29" s="1675" t="inlineStr">
        <is>
          <t>9:30am</t>
        </is>
      </c>
      <c r="H29" s="1674" t="inlineStr">
        <is>
          <t>google</t>
        </is>
      </c>
      <c r="I29" s="1674" t="n"/>
      <c r="J29" s="367" t="n">
        <v>42677</v>
      </c>
      <c r="K29" s="367" t="n"/>
      <c r="L29" s="367" t="n"/>
      <c r="M29" s="367" t="n"/>
      <c r="N29" s="367" t="n"/>
      <c r="O29" s="367" t="n"/>
      <c r="P29" s="1674" t="inlineStr">
        <is>
          <t xml:space="preserve">tbinch@merrickbinch.co.uk </t>
        </is>
      </c>
      <c r="Q29" s="1674" t="inlineStr">
        <is>
          <t>Mr</t>
        </is>
      </c>
      <c r="R29" s="1674" t="inlineStr">
        <is>
          <t xml:space="preserve">Trevor </t>
        </is>
      </c>
      <c r="S29" s="1674" t="inlineStr">
        <is>
          <t xml:space="preserve">Binch </t>
        </is>
      </c>
      <c r="T29" s="353" t="inlineStr">
        <is>
          <t>45</t>
        </is>
      </c>
      <c r="U29" s="331" t="inlineStr">
        <is>
          <t>07932585745</t>
        </is>
      </c>
      <c r="V29" s="1674" t="inlineStr">
        <is>
          <t xml:space="preserve">LE10 3JD </t>
        </is>
      </c>
      <c r="W29" s="331" t="n"/>
      <c r="X29" s="1674" t="n"/>
      <c r="Y29" s="1674" t="n"/>
      <c r="Z29" s="1674" t="n"/>
      <c r="AA29" s="1674" t="n"/>
      <c r="AB29" s="1674" t="n"/>
      <c r="AC29" s="1674" t="n"/>
    </row>
    <row r="30" ht="12.75" customHeight="1" s="1232">
      <c r="A30" s="301" t="n">
        <v>24</v>
      </c>
      <c r="B30" s="322" t="n">
        <v>42807</v>
      </c>
      <c r="C30" s="322" t="inlineStr">
        <is>
          <t>Direct</t>
        </is>
      </c>
      <c r="D30" s="1675" t="n">
        <v>195</v>
      </c>
      <c r="E30" s="1675" t="n">
        <v>0</v>
      </c>
      <c r="F30" s="1675" t="inlineStr">
        <is>
          <t>4hrs</t>
        </is>
      </c>
      <c r="G30" s="1675" t="inlineStr">
        <is>
          <t>9:30am</t>
        </is>
      </c>
      <c r="H30" s="1674" t="inlineStr">
        <is>
          <t>Google</t>
        </is>
      </c>
      <c r="I30" s="1674" t="n"/>
      <c r="J30" s="367" t="n">
        <v>42814</v>
      </c>
      <c r="K30" s="367" t="n"/>
      <c r="L30" s="367" t="n"/>
      <c r="M30" s="367" t="n"/>
      <c r="N30" s="367" t="n"/>
      <c r="O30" s="367" t="n"/>
      <c r="P30" s="1678" t="inlineStr">
        <is>
          <t>greg.sant@sky.com</t>
        </is>
      </c>
      <c r="Q30" s="1674" t="inlineStr">
        <is>
          <t>Mr</t>
        </is>
      </c>
      <c r="R30" s="1674" t="inlineStr">
        <is>
          <t>Greg</t>
        </is>
      </c>
      <c r="S30" s="1674" t="inlineStr">
        <is>
          <t>Sant</t>
        </is>
      </c>
      <c r="T30" s="353" t="inlineStr">
        <is>
          <t>67</t>
        </is>
      </c>
      <c r="U30" s="331" t="inlineStr">
        <is>
          <t xml:space="preserve"> 07773336357 </t>
        </is>
      </c>
      <c r="V30" s="1674" t="inlineStr">
        <is>
          <t xml:space="preserve">CV57LG </t>
        </is>
      </c>
      <c r="W30" s="331" t="inlineStr">
        <is>
          <t>29 Eastern Green Road</t>
        </is>
      </c>
      <c r="X30" s="1674" t="inlineStr">
        <is>
          <t>Coventry</t>
        </is>
      </c>
      <c r="Y30" s="1674" t="n"/>
      <c r="Z30" s="1674" t="n"/>
      <c r="AA30" s="1674" t="n"/>
      <c r="AB30" s="1674" t="n"/>
      <c r="AC30" s="1674" t="n"/>
    </row>
    <row r="31" ht="12.75" customHeight="1" s="1232">
      <c r="A31" s="301" t="n">
        <v>25</v>
      </c>
      <c r="B31" s="322" t="n">
        <v>42810</v>
      </c>
      <c r="C31" s="322" t="inlineStr">
        <is>
          <t>Direct</t>
        </is>
      </c>
      <c r="D31" s="1675" t="n">
        <v>195</v>
      </c>
      <c r="E31" s="1675" t="n">
        <v>0</v>
      </c>
      <c r="F31" s="1675" t="inlineStr">
        <is>
          <t>4hrs</t>
        </is>
      </c>
      <c r="G31" s="1675" t="inlineStr">
        <is>
          <t>10am</t>
        </is>
      </c>
      <c r="H31" s="1674" t="n"/>
      <c r="I31" s="1674" t="n"/>
      <c r="J31" s="367" t="n">
        <v>42816</v>
      </c>
      <c r="K31" s="367" t="n"/>
      <c r="L31" s="367" t="n"/>
      <c r="M31" s="367" t="n"/>
      <c r="N31" s="367" t="n"/>
      <c r="O31" s="367" t="n"/>
      <c r="P31" s="1674" t="inlineStr">
        <is>
          <t>paulinekerr@fsmail.net</t>
        </is>
      </c>
      <c r="Q31" s="1674" t="inlineStr">
        <is>
          <t>Ms</t>
        </is>
      </c>
      <c r="R31" s="1674" t="inlineStr">
        <is>
          <t>Pauline</t>
        </is>
      </c>
      <c r="S31" s="1674" t="inlineStr">
        <is>
          <t>Kerr</t>
        </is>
      </c>
      <c r="T31" s="353" t="inlineStr">
        <is>
          <t>61</t>
        </is>
      </c>
      <c r="U31" s="331" t="inlineStr">
        <is>
          <t>07826 324896</t>
        </is>
      </c>
      <c r="V31" s="1674" t="n"/>
      <c r="W31" s="331" t="n"/>
      <c r="X31" s="1674" t="inlineStr">
        <is>
          <t>Rugby</t>
        </is>
      </c>
      <c r="Y31" s="1674" t="n"/>
      <c r="Z31" s="1674" t="n"/>
      <c r="AA31" s="1674" t="n"/>
      <c r="AB31" s="1674" t="n"/>
      <c r="AC31" s="1674" t="n"/>
    </row>
    <row r="32" ht="12.75" customHeight="1" s="1232">
      <c r="A32" s="301" t="n">
        <v>26</v>
      </c>
      <c r="B32" s="322" t="n">
        <v>42853</v>
      </c>
      <c r="C32" s="322" t="inlineStr">
        <is>
          <t>#00649</t>
        </is>
      </c>
      <c r="D32" s="1675" t="n">
        <v>195</v>
      </c>
      <c r="E32" s="1675" t="n">
        <v>0</v>
      </c>
      <c r="F32" s="1675" t="inlineStr">
        <is>
          <t>4hrs</t>
        </is>
      </c>
      <c r="G32" s="1675" t="inlineStr">
        <is>
          <t xml:space="preserve">9:30am </t>
        </is>
      </c>
      <c r="H32" s="1674" t="n"/>
      <c r="I32" s="1674" t="n"/>
      <c r="J32" s="367" t="n">
        <v>42895</v>
      </c>
      <c r="K32" s="367" t="n"/>
      <c r="L32" s="367" t="n"/>
      <c r="M32" s="367" t="n"/>
      <c r="N32" s="367" t="n"/>
      <c r="O32" s="367" t="n"/>
      <c r="P32" s="1678" t="inlineStr">
        <is>
          <t>colinclapp@hotmail.com</t>
        </is>
      </c>
      <c r="Q32" s="1674" t="inlineStr">
        <is>
          <t>Mr</t>
        </is>
      </c>
      <c r="R32" s="1674" t="inlineStr">
        <is>
          <t>Colin</t>
        </is>
      </c>
      <c r="S32" s="1674" t="inlineStr">
        <is>
          <t>Clapp</t>
        </is>
      </c>
      <c r="T32" s="353" t="n"/>
      <c r="U32" s="331" t="inlineStr">
        <is>
          <t>07748597047</t>
        </is>
      </c>
      <c r="V32" s="1674" t="n"/>
      <c r="W32" s="331" t="n"/>
      <c r="X32" s="1674" t="n"/>
      <c r="Y32" s="1674" t="n"/>
      <c r="Z32" s="1674" t="n"/>
      <c r="AA32" s="1674" t="n"/>
      <c r="AB32" s="1674" t="n"/>
      <c r="AC32" s="1674" t="n"/>
    </row>
    <row r="33" ht="12.75" customHeight="1" s="1232">
      <c r="A33" s="301" t="n">
        <v>27</v>
      </c>
      <c r="B33" s="322" t="n">
        <v>42870</v>
      </c>
      <c r="C33" s="322" t="inlineStr">
        <is>
          <t>Direct</t>
        </is>
      </c>
      <c r="D33" s="1675" t="n">
        <v>195</v>
      </c>
      <c r="E33" s="1675" t="n">
        <v>0</v>
      </c>
      <c r="F33" s="1675" t="inlineStr">
        <is>
          <t>4hrs</t>
        </is>
      </c>
      <c r="G33" s="1675" t="inlineStr">
        <is>
          <t>10am</t>
        </is>
      </c>
      <c r="H33" s="1674" t="inlineStr">
        <is>
          <t>2 x 2hr 1-2-1's</t>
        </is>
      </c>
      <c r="I33" s="1674" t="n"/>
      <c r="J33" s="367" t="n">
        <v>42900</v>
      </c>
      <c r="K33" s="367" t="n"/>
      <c r="L33" s="367" t="n"/>
      <c r="M33" s="367" t="n"/>
      <c r="N33" s="367" t="n"/>
      <c r="O33" s="367" t="n"/>
      <c r="P33" s="1674" t="inlineStr">
        <is>
          <t>johnnywilde85@hotmail.co.uk</t>
        </is>
      </c>
      <c r="Q33" s="1674" t="inlineStr">
        <is>
          <t>Mr</t>
        </is>
      </c>
      <c r="R33" s="1674" t="inlineStr">
        <is>
          <t>Jonathan</t>
        </is>
      </c>
      <c r="S33" s="1674" t="inlineStr">
        <is>
          <t>Wilde</t>
        </is>
      </c>
      <c r="T33" s="353" t="n"/>
      <c r="U33" s="331" t="inlineStr">
        <is>
          <t>'07989960874</t>
        </is>
      </c>
      <c r="V33" s="1674" t="n"/>
      <c r="W33" s="331" t="n"/>
      <c r="X33" s="1674" t="n"/>
      <c r="Y33" s="1674" t="n"/>
      <c r="Z33" s="1674" t="n"/>
      <c r="AA33" s="1674" t="n"/>
      <c r="AB33" s="1674" t="n"/>
      <c r="AC33" s="1674" t="n"/>
    </row>
    <row r="34" ht="12.75" customHeight="1" s="1232">
      <c r="A34" s="301" t="n">
        <v>28</v>
      </c>
      <c r="B34" s="322" t="n">
        <v>42886</v>
      </c>
      <c r="C34" s="322" t="inlineStr">
        <is>
          <t>#00686</t>
        </is>
      </c>
      <c r="D34" s="1675" t="n">
        <v>146.25</v>
      </c>
      <c r="E34" s="1675" t="n">
        <v>0</v>
      </c>
      <c r="F34" s="1675" t="inlineStr">
        <is>
          <t>4hrs</t>
        </is>
      </c>
      <c r="G34" s="1675" t="inlineStr">
        <is>
          <t>Camera work settings</t>
        </is>
      </c>
      <c r="H34" s="1674" t="n"/>
      <c r="I34" s="1674" t="n"/>
      <c r="J34" s="367" t="n"/>
      <c r="K34" s="367" t="n"/>
      <c r="L34" s="367" t="n"/>
      <c r="M34" s="367" t="n"/>
      <c r="N34" s="367" t="n"/>
      <c r="O34" s="367" t="n"/>
      <c r="P34" s="1678" t="inlineStr">
        <is>
          <t xml:space="preserve">stuart.walters@ob-mc.co.uk </t>
        </is>
      </c>
      <c r="Q34" s="1686" t="inlineStr">
        <is>
          <t>Mr</t>
        </is>
      </c>
      <c r="R34" s="1686" t="inlineStr">
        <is>
          <t xml:space="preserve">Stuart </t>
        </is>
      </c>
      <c r="S34" s="1686" t="inlineStr">
        <is>
          <t xml:space="preserve">Walters </t>
        </is>
      </c>
      <c r="T34" s="1688" t="inlineStr">
        <is>
          <t>64</t>
        </is>
      </c>
      <c r="U34" s="1688" t="inlineStr">
        <is>
          <t>07798930482</t>
        </is>
      </c>
      <c r="V34" s="1686" t="inlineStr">
        <is>
          <t xml:space="preserve">B91 1LX </t>
        </is>
      </c>
      <c r="W34" s="1686" t="inlineStr">
        <is>
          <t xml:space="preserve">52 Winterbourne Road </t>
        </is>
      </c>
      <c r="X34" s="1686" t="inlineStr">
        <is>
          <t>Solihull</t>
        </is>
      </c>
      <c r="Y34" s="1686" t="n"/>
      <c r="Z34" s="1686" t="n"/>
      <c r="AA34" s="1674" t="n"/>
      <c r="AB34" s="1674" t="n"/>
      <c r="AC34" s="1674" t="n"/>
    </row>
    <row r="35" ht="12.75" customHeight="1" s="1232">
      <c r="A35" s="301" t="n">
        <v>29</v>
      </c>
      <c r="B35" s="322" t="n">
        <v>42900</v>
      </c>
      <c r="C35" s="1674" t="inlineStr">
        <is>
          <t>Direct</t>
        </is>
      </c>
      <c r="D35" s="1675" t="n">
        <v>1800</v>
      </c>
      <c r="E35" s="1675" t="n">
        <v>0</v>
      </c>
      <c r="F35" s="1675" t="inlineStr">
        <is>
          <t>3 days</t>
        </is>
      </c>
      <c r="G35" s="1675" t="n"/>
      <c r="H35" s="1674" t="n"/>
      <c r="I35" s="1674" t="n"/>
      <c r="J35" s="367" t="n">
        <v>42907</v>
      </c>
      <c r="K35" s="367" t="n"/>
      <c r="L35" s="367" t="n"/>
      <c r="M35" s="367" t="n"/>
      <c r="N35" s="367" t="n"/>
      <c r="O35" s="367" t="n"/>
      <c r="P35" s="1674" t="inlineStr">
        <is>
          <t>humairap9@gmail.com</t>
        </is>
      </c>
      <c r="Q35" s="1674" t="inlineStr">
        <is>
          <t>Mrs</t>
        </is>
      </c>
      <c r="R35" s="1674" t="inlineStr">
        <is>
          <t>Humaira</t>
        </is>
      </c>
      <c r="S35" s="1674" t="inlineStr">
        <is>
          <t>Parvez</t>
        </is>
      </c>
      <c r="T35" s="331" t="inlineStr">
        <is>
          <t>50</t>
        </is>
      </c>
      <c r="U35" s="1674" t="n">
        <v>971509355188</v>
      </c>
      <c r="V35" s="1674" t="n">
        <v>7440</v>
      </c>
      <c r="W35" s="331" t="inlineStr">
        <is>
          <t>14 F 2 Limestone house difc</t>
        </is>
      </c>
      <c r="X35" s="1674" t="inlineStr">
        <is>
          <t>Dubai</t>
        </is>
      </c>
      <c r="Y35" s="1674" t="inlineStr">
        <is>
          <t>Fuji XT 1</t>
        </is>
      </c>
      <c r="Z35" s="1674" t="inlineStr">
        <is>
          <t>&lt;1</t>
        </is>
      </c>
      <c r="AA35" s="1674" t="n"/>
      <c r="AB35" s="1674" t="inlineStr">
        <is>
          <t>I confirm I accept the terms and conditions by placing this booking</t>
        </is>
      </c>
      <c r="AC35" s="1674" t="n"/>
    </row>
    <row r="36" ht="12.75" customHeight="1" s="1232">
      <c r="A36" s="301" t="n">
        <v>30</v>
      </c>
      <c r="B36" s="322" t="n">
        <v>42916</v>
      </c>
      <c r="C36" s="1674" t="inlineStr">
        <is>
          <t>Direct</t>
        </is>
      </c>
      <c r="D36" s="1675" t="n">
        <v>304.15</v>
      </c>
      <c r="E36" s="1675" t="n">
        <v>0</v>
      </c>
      <c r="F36" s="1675" t="inlineStr">
        <is>
          <t>8hrs</t>
        </is>
      </c>
      <c r="G36" s="1675" t="n"/>
      <c r="H36" s="1674" t="inlineStr">
        <is>
          <t>Existing</t>
        </is>
      </c>
      <c r="I36" s="1674" t="n"/>
      <c r="J36" s="367" t="inlineStr">
        <is>
          <t>TBA</t>
        </is>
      </c>
      <c r="K36" s="367" t="n"/>
      <c r="L36" s="367" t="n"/>
      <c r="M36" s="367" t="n"/>
      <c r="N36" s="367" t="n"/>
      <c r="O36" s="367" t="n"/>
      <c r="P36" s="1678" t="inlineStr">
        <is>
          <t xml:space="preserve">jan@nomadians.co.uk </t>
        </is>
      </c>
      <c r="Q36" s="1674" t="inlineStr">
        <is>
          <t>Mrs</t>
        </is>
      </c>
      <c r="R36" s="1674" t="inlineStr">
        <is>
          <t xml:space="preserve">Janet </t>
        </is>
      </c>
      <c r="S36" s="1674" t="inlineStr">
        <is>
          <t>Boulter</t>
        </is>
      </c>
      <c r="T36" s="331" t="inlineStr">
        <is>
          <t>61</t>
        </is>
      </c>
      <c r="U36" s="1674" t="inlineStr">
        <is>
          <t>07540331590</t>
        </is>
      </c>
      <c r="V36" s="1674" t="inlineStr">
        <is>
          <t>CV37 0rs</t>
        </is>
      </c>
      <c r="W36" s="331" t="inlineStr">
        <is>
          <t>2 Coopers Close</t>
        </is>
      </c>
      <c r="X36" s="1674" t="inlineStr">
        <is>
          <t>Stratford upon avon</t>
        </is>
      </c>
      <c r="Y36" s="1674" t="n"/>
      <c r="Z36" s="1674" t="n"/>
      <c r="AA36" s="1674" t="n"/>
      <c r="AB36" s="1674" t="n"/>
      <c r="AC36" s="1674" t="n"/>
    </row>
    <row r="37" ht="12.75" customHeight="1" s="1232">
      <c r="A37" s="301" t="n">
        <v>31</v>
      </c>
      <c r="B37" s="322" t="n">
        <v>42920</v>
      </c>
      <c r="C37" s="1674" t="inlineStr">
        <is>
          <t>#00710</t>
        </is>
      </c>
      <c r="D37" s="1675">
        <f>195-48.75</f>
        <v/>
      </c>
      <c r="E37" s="1675" t="n">
        <v>0</v>
      </c>
      <c r="F37" s="1675" t="inlineStr">
        <is>
          <t>4hrs</t>
        </is>
      </c>
      <c r="G37" s="1675" t="n"/>
      <c r="H37" s="1674" t="n"/>
      <c r="I37" s="1674" t="n"/>
      <c r="J37" s="367" t="n">
        <v>42969</v>
      </c>
      <c r="K37" s="367" t="n"/>
      <c r="L37" s="367" t="n"/>
      <c r="M37" s="367" t="n"/>
      <c r="N37" s="367" t="n"/>
      <c r="O37" s="367" t="n"/>
      <c r="P37" s="1674" t="inlineStr">
        <is>
          <t xml:space="preserve">lauraecharles@hotmail.com </t>
        </is>
      </c>
      <c r="Q37" s="1674" t="inlineStr">
        <is>
          <t>Miss</t>
        </is>
      </c>
      <c r="R37" s="1674" t="inlineStr">
        <is>
          <t>Laura</t>
        </is>
      </c>
      <c r="S37" s="1674" t="inlineStr">
        <is>
          <t>Charles</t>
        </is>
      </c>
      <c r="T37" s="330" t="inlineStr">
        <is>
          <t>36</t>
        </is>
      </c>
      <c r="U37" s="1679" t="inlineStr">
        <is>
          <t>07944100388</t>
        </is>
      </c>
      <c r="V37" s="1674" t="inlineStr">
        <is>
          <t>Le17 5hq</t>
        </is>
      </c>
      <c r="W37" s="368" t="inlineStr">
        <is>
          <t>Dunton Road</t>
        </is>
      </c>
      <c r="X37" s="331" t="inlineStr">
        <is>
          <t xml:space="preserve">Lutterworth, </t>
        </is>
      </c>
      <c r="Y37" s="1674" t="n"/>
      <c r="Z37" s="1674" t="n"/>
      <c r="AA37" s="1674" t="n"/>
      <c r="AB37" s="1674" t="n"/>
      <c r="AC37" s="1674" t="n"/>
    </row>
    <row r="38" ht="12.75" customHeight="1" s="1232">
      <c r="A38" s="301" t="n">
        <v>32</v>
      </c>
      <c r="B38" s="322" t="n">
        <v>42982</v>
      </c>
      <c r="C38" s="1674" t="inlineStr">
        <is>
          <t>#00734</t>
        </is>
      </c>
      <c r="D38" s="1675" t="n">
        <v>195</v>
      </c>
      <c r="E38" s="1675" t="n">
        <v>0</v>
      </c>
      <c r="F38" s="1675" t="inlineStr">
        <is>
          <t>4hrs</t>
        </is>
      </c>
      <c r="G38" s="1675" t="n"/>
      <c r="H38" s="1674" t="n"/>
      <c r="I38" s="1674" t="n"/>
      <c r="J38" s="367" t="n">
        <v>42984</v>
      </c>
      <c r="K38" s="367" t="n"/>
      <c r="L38" s="367" t="n"/>
      <c r="M38" s="367" t="n"/>
      <c r="N38" s="367" t="n"/>
      <c r="O38" s="367" t="n"/>
      <c r="P38" s="1695" t="inlineStr">
        <is>
          <t>leeclarke12@aol.com</t>
        </is>
      </c>
      <c r="Q38" s="1674" t="inlineStr">
        <is>
          <t>Mr</t>
        </is>
      </c>
      <c r="R38" s="1674" t="inlineStr">
        <is>
          <t>Lee</t>
        </is>
      </c>
      <c r="S38" s="1674" t="inlineStr">
        <is>
          <t>Clarke</t>
        </is>
      </c>
      <c r="T38" s="330" t="inlineStr">
        <is>
          <t>54</t>
        </is>
      </c>
      <c r="U38" s="1679" t="inlineStr">
        <is>
          <t>07710507950</t>
        </is>
      </c>
      <c r="V38" s="1674" t="inlineStr">
        <is>
          <t>CV5 9FJ</t>
        </is>
      </c>
      <c r="W38" s="331" t="inlineStr">
        <is>
          <t>246 Hawkes Mill Lane</t>
        </is>
      </c>
      <c r="X38" s="1674" t="n"/>
      <c r="Y38" s="1674" t="n"/>
      <c r="Z38" s="1674" t="n"/>
      <c r="AA38" s="1674" t="n"/>
      <c r="AB38" s="1674" t="n"/>
      <c r="AC38" s="1674" t="n"/>
    </row>
    <row r="39" ht="12.75" customHeight="1" s="1232">
      <c r="B39" s="322" t="n">
        <v>42982</v>
      </c>
      <c r="C39" s="1674" t="inlineStr">
        <is>
          <t>#00735</t>
        </is>
      </c>
      <c r="D39" s="1675" t="n">
        <v>120</v>
      </c>
      <c r="E39" s="1675" t="n"/>
      <c r="F39" s="1675" t="inlineStr">
        <is>
          <t>2hrs</t>
        </is>
      </c>
      <c r="G39" s="1675" t="n"/>
      <c r="H39" s="1674" t="n"/>
      <c r="I39" s="1674" t="n"/>
      <c r="J39" s="367" t="n">
        <v>42990</v>
      </c>
      <c r="K39" s="367" t="n"/>
      <c r="L39" s="367" t="n"/>
      <c r="M39" s="367" t="n"/>
      <c r="N39" s="367" t="n"/>
      <c r="O39" s="367" t="n"/>
      <c r="P39" s="1674" t="inlineStr">
        <is>
          <t xml:space="preserve">amymorris100@gmail.com </t>
        </is>
      </c>
      <c r="Q39" s="1674" t="inlineStr">
        <is>
          <t>Mrs</t>
        </is>
      </c>
      <c r="R39" s="1674" t="inlineStr">
        <is>
          <t>Amy</t>
        </is>
      </c>
      <c r="S39" s="1674" t="inlineStr">
        <is>
          <t>Morris</t>
        </is>
      </c>
      <c r="T39" s="330" t="inlineStr">
        <is>
          <t>34</t>
        </is>
      </c>
      <c r="U39" s="1679" t="inlineStr">
        <is>
          <t>07769332278</t>
        </is>
      </c>
      <c r="V39" s="1674" t="inlineStr">
        <is>
          <t>B93 9RA</t>
        </is>
      </c>
      <c r="W39" s="331" t="inlineStr">
        <is>
          <t>32 Moorfield Avenue, Knowle</t>
        </is>
      </c>
      <c r="X39" s="1674" t="inlineStr">
        <is>
          <t>Knowle</t>
        </is>
      </c>
      <c r="Y39" s="1674" t="n"/>
      <c r="Z39" s="1674" t="n"/>
      <c r="AA39" s="1674" t="n"/>
      <c r="AB39" s="1674" t="n"/>
      <c r="AC39" s="1674" t="n"/>
    </row>
    <row r="40" ht="12.75" customHeight="1" s="1232">
      <c r="B40" s="322" t="n">
        <v>42996</v>
      </c>
      <c r="C40" s="1674" t="inlineStr">
        <is>
          <t>#00746</t>
        </is>
      </c>
      <c r="D40" s="1675" t="n">
        <v>85</v>
      </c>
      <c r="E40" s="1675" t="n">
        <v>0</v>
      </c>
      <c r="F40" s="1675" t="inlineStr">
        <is>
          <t>1hr</t>
        </is>
      </c>
      <c r="G40" s="1675" t="n"/>
      <c r="H40" s="1674" t="n"/>
      <c r="I40" s="1674" t="n"/>
      <c r="J40" s="367" t="n"/>
      <c r="K40" s="367" t="n"/>
      <c r="L40" s="367" t="n"/>
      <c r="M40" s="367" t="n"/>
      <c r="N40" s="367" t="n"/>
      <c r="O40" s="367" t="n"/>
      <c r="P40" s="1674" t="inlineStr">
        <is>
          <t>info@simongking.com</t>
        </is>
      </c>
      <c r="Q40" s="1674" t="inlineStr">
        <is>
          <t>Mr</t>
        </is>
      </c>
      <c r="R40" s="1674" t="inlineStr">
        <is>
          <t>Simon</t>
        </is>
      </c>
      <c r="S40" s="1674" t="inlineStr">
        <is>
          <t>King</t>
        </is>
      </c>
      <c r="T40" s="330" t="inlineStr">
        <is>
          <t>53</t>
        </is>
      </c>
      <c r="U40" s="1679" t="inlineStr">
        <is>
          <t>07855304783</t>
        </is>
      </c>
      <c r="V40" s="1674" t="inlineStr">
        <is>
          <t>NP44 3JJ</t>
        </is>
      </c>
      <c r="W40" s="331" t="inlineStr">
        <is>
          <t>25 John Fielding Gardens</t>
        </is>
      </c>
      <c r="X40" s="1674" t="inlineStr">
        <is>
          <t>Cwmbran</t>
        </is>
      </c>
      <c r="Y40" s="1674" t="n"/>
      <c r="Z40" s="1674" t="n"/>
      <c r="AA40" s="1674" t="n"/>
      <c r="AB40" s="1674" t="n"/>
      <c r="AC40" s="1674" t="n"/>
    </row>
    <row r="41" ht="12.75" customHeight="1" s="1232">
      <c r="B41" s="322" t="n">
        <v>43017</v>
      </c>
      <c r="C41" s="1568" t="inlineStr">
        <is>
          <t>#00768</t>
        </is>
      </c>
      <c r="D41" s="1675" t="n">
        <v>50</v>
      </c>
      <c r="E41" s="1675" t="n"/>
      <c r="F41" s="1675" t="inlineStr">
        <is>
          <t>1hr</t>
        </is>
      </c>
      <c r="G41" s="1675" t="n"/>
      <c r="H41" s="1674" t="n"/>
      <c r="I41" s="1674" t="n"/>
      <c r="J41" s="367" t="n">
        <v>43019</v>
      </c>
      <c r="K41" s="367" t="n"/>
      <c r="L41" s="367" t="n"/>
      <c r="M41" s="367" t="n"/>
      <c r="N41" s="367" t="n"/>
      <c r="O41" s="367" t="n"/>
      <c r="P41" s="1674" t="inlineStr">
        <is>
          <t>imlaurab@hotmail.co.uk</t>
        </is>
      </c>
      <c r="Q41" s="1568" t="inlineStr">
        <is>
          <t>Miss</t>
        </is>
      </c>
      <c r="R41" s="1568" t="inlineStr">
        <is>
          <t>Laura</t>
        </is>
      </c>
      <c r="S41" s="1568" t="inlineStr">
        <is>
          <t>Byrne</t>
        </is>
      </c>
      <c r="T41" s="238" t="inlineStr">
        <is>
          <t>24</t>
        </is>
      </c>
      <c r="U41" s="1604" t="inlineStr">
        <is>
          <t>07557766387</t>
        </is>
      </c>
      <c r="V41" s="1674" t="n"/>
      <c r="W41" s="331" t="n"/>
      <c r="X41" s="1674" t="n"/>
      <c r="Y41" s="1674" t="n"/>
      <c r="Z41" s="1674" t="n"/>
      <c r="AA41" s="1674" t="n"/>
      <c r="AB41" s="1674" t="n"/>
      <c r="AC41" s="1674" t="n"/>
    </row>
    <row r="42" ht="12.75" customHeight="1" s="1232">
      <c r="B42" s="322" t="n">
        <v>43066</v>
      </c>
      <c r="C42" s="1568" t="inlineStr">
        <is>
          <t>ELS</t>
        </is>
      </c>
      <c r="D42" s="1675" t="n">
        <v>200</v>
      </c>
      <c r="E42" s="1675" t="n">
        <v>0</v>
      </c>
      <c r="F42" s="1675" t="inlineStr">
        <is>
          <t>4hrs</t>
        </is>
      </c>
      <c r="G42" s="1675" t="n"/>
      <c r="H42" s="1674" t="n"/>
      <c r="I42" s="1674" t="n"/>
      <c r="J42" s="367" t="n">
        <v>43342</v>
      </c>
      <c r="K42" s="367" t="n"/>
      <c r="L42" s="367" t="n"/>
      <c r="M42" s="367" t="n"/>
      <c r="N42" s="367" t="n"/>
      <c r="O42" s="367" t="n"/>
      <c r="P42" s="1374" t="inlineStr">
        <is>
          <t>philwebster92@gmail.com</t>
        </is>
      </c>
      <c r="Q42" s="1568" t="inlineStr">
        <is>
          <t>Mr</t>
        </is>
      </c>
      <c r="R42" s="1568" t="inlineStr">
        <is>
          <t>Phil</t>
        </is>
      </c>
      <c r="S42" s="1568" t="inlineStr">
        <is>
          <t>Webster</t>
        </is>
      </c>
      <c r="T42" s="330" t="inlineStr">
        <is>
          <t>24</t>
        </is>
      </c>
      <c r="U42" s="1604" t="inlineStr">
        <is>
          <t>07964670219</t>
        </is>
      </c>
      <c r="V42" s="1674" t="inlineStr">
        <is>
          <t>CV325AA</t>
        </is>
      </c>
      <c r="W42" s="331" t="inlineStr">
        <is>
          <t>Flat 3, 19 Dormer Place</t>
        </is>
      </c>
      <c r="X42" s="1674" t="inlineStr">
        <is>
          <t>LEAMINGTON SPA</t>
        </is>
      </c>
      <c r="Y42" s="1674" t="inlineStr">
        <is>
          <t>Canon 60D</t>
        </is>
      </c>
      <c r="Z42" s="1674" t="n">
        <v>42796</v>
      </c>
      <c r="AA42" s="1674" t="inlineStr">
        <is>
          <t>Date and session specifics to be confirmed as discussed (Arbitrary date selected above to allow form submission) . Invoice for £200 has been sent to Jaguar Land Rover in conjunction with their employee learning scheme. Remaining cost of lesson will be covered directly by myself.</t>
        </is>
      </c>
      <c r="AB42" s="1674" t="inlineStr">
        <is>
          <t>I confirm I accept the terms and conditions by placing this booking</t>
        </is>
      </c>
      <c r="AC42" s="1674" t="n"/>
    </row>
    <row r="43" ht="12.75" customHeight="1" s="1232">
      <c r="B43" s="322" t="n">
        <v>43082</v>
      </c>
      <c r="C43" s="1568" t="inlineStr">
        <is>
          <t>#00814</t>
        </is>
      </c>
      <c r="D43" s="1675" t="n">
        <v>195</v>
      </c>
      <c r="E43" s="1675" t="n"/>
      <c r="F43" s="1607" t="inlineStr">
        <is>
          <t>4hrs</t>
        </is>
      </c>
      <c r="G43" s="1675" t="n"/>
      <c r="H43" s="1674" t="n"/>
      <c r="I43" s="1674" t="n"/>
      <c r="J43" s="367" t="n">
        <v>43082</v>
      </c>
      <c r="K43" s="367" t="n"/>
      <c r="L43" s="367" t="n"/>
      <c r="M43" s="367" t="n"/>
      <c r="N43" s="367" t="n"/>
      <c r="O43" s="367" t="n"/>
      <c r="P43" s="1695" t="inlineStr">
        <is>
          <t>leeclarke12@aol.com</t>
        </is>
      </c>
      <c r="Q43" s="1674" t="inlineStr">
        <is>
          <t>Mr</t>
        </is>
      </c>
      <c r="R43" s="1674" t="inlineStr">
        <is>
          <t>Lee</t>
        </is>
      </c>
      <c r="S43" s="1674" t="inlineStr">
        <is>
          <t>Clarke</t>
        </is>
      </c>
      <c r="T43" s="330" t="inlineStr">
        <is>
          <t>54</t>
        </is>
      </c>
      <c r="U43" s="1679" t="inlineStr">
        <is>
          <t>07710507950</t>
        </is>
      </c>
      <c r="V43" s="1674" t="inlineStr">
        <is>
          <t>CV5 9FJ</t>
        </is>
      </c>
      <c r="W43" s="331" t="inlineStr">
        <is>
          <t>246 Hawkes Mill Lane</t>
        </is>
      </c>
      <c r="X43" s="1674" t="n"/>
      <c r="Y43" s="1674" t="n"/>
      <c r="Z43" s="1674" t="n"/>
      <c r="AA43" s="1674" t="n"/>
      <c r="AB43" s="1674" t="n"/>
      <c r="AC43" s="1674" t="n"/>
    </row>
    <row r="44" ht="12.75" customHeight="1" s="1232">
      <c r="B44" s="322" t="n">
        <v>43083</v>
      </c>
      <c r="C44" s="1568" t="inlineStr">
        <is>
          <t>#00818</t>
        </is>
      </c>
      <c r="D44" s="1675" t="n">
        <v>195</v>
      </c>
      <c r="E44" s="1675" t="n"/>
      <c r="F44" s="1607" t="inlineStr">
        <is>
          <t>4hrs</t>
        </is>
      </c>
      <c r="G44" s="1675" t="n"/>
      <c r="H44" s="1674" t="n"/>
      <c r="I44" s="1674" t="n"/>
      <c r="J44" s="367" t="n">
        <v>43090</v>
      </c>
      <c r="K44" s="367" t="n"/>
      <c r="L44" s="367" t="n"/>
      <c r="M44" s="367" t="n"/>
      <c r="N44" s="367" t="n"/>
      <c r="O44" s="367" t="n"/>
      <c r="P44" s="1695" t="inlineStr">
        <is>
          <t>leeclarke12@aol.com</t>
        </is>
      </c>
      <c r="Q44" s="1674" t="inlineStr">
        <is>
          <t>Mr</t>
        </is>
      </c>
      <c r="R44" s="1674" t="inlineStr">
        <is>
          <t>Lee</t>
        </is>
      </c>
      <c r="S44" s="1674" t="inlineStr">
        <is>
          <t>Clarke</t>
        </is>
      </c>
      <c r="T44" s="330" t="inlineStr">
        <is>
          <t>54</t>
        </is>
      </c>
      <c r="U44" s="1679" t="inlineStr">
        <is>
          <t>07710507950</t>
        </is>
      </c>
      <c r="V44" s="1674" t="inlineStr">
        <is>
          <t>CV5 9FJ</t>
        </is>
      </c>
      <c r="W44" s="331" t="inlineStr">
        <is>
          <t>246 Hawkes Mill Lane</t>
        </is>
      </c>
      <c r="X44" s="1674" t="n"/>
      <c r="Y44" s="1674" t="n"/>
      <c r="Z44" s="1674" t="n"/>
      <c r="AA44" s="1674" t="n"/>
      <c r="AB44" s="1674" t="n"/>
      <c r="AC44" s="1674" t="n"/>
    </row>
    <row r="45" ht="12.75" customHeight="1" s="1232">
      <c r="B45" s="322" t="n">
        <v>43129</v>
      </c>
      <c r="C45" s="1568" t="inlineStr">
        <is>
          <t>#00888</t>
        </is>
      </c>
      <c r="D45" s="1675" t="n">
        <v>195</v>
      </c>
      <c r="E45" s="1675" t="n"/>
      <c r="F45" s="1607" t="inlineStr">
        <is>
          <t>4hrs</t>
        </is>
      </c>
      <c r="G45" s="1675" t="n"/>
      <c r="H45" s="1674" t="n"/>
      <c r="I45" s="1674" t="n"/>
      <c r="J45" s="367" t="n"/>
      <c r="K45" s="367" t="n"/>
      <c r="L45" s="367" t="n"/>
      <c r="M45" s="367" t="n"/>
      <c r="N45" s="367" t="n"/>
      <c r="O45" s="367" t="n"/>
      <c r="P45" s="1674" t="inlineStr">
        <is>
          <t xml:space="preserve">info@mattnuttallphotography.co.uk </t>
        </is>
      </c>
      <c r="Q45" s="1568" t="inlineStr">
        <is>
          <t>Mr</t>
        </is>
      </c>
      <c r="R45" s="1568" t="inlineStr">
        <is>
          <t xml:space="preserve">Matt </t>
        </is>
      </c>
      <c r="S45" s="1674" t="inlineStr">
        <is>
          <t>Nuttall</t>
        </is>
      </c>
      <c r="T45" s="238" t="inlineStr">
        <is>
          <t>48</t>
        </is>
      </c>
      <c r="U45" s="1604" t="inlineStr">
        <is>
          <t>07793818021</t>
        </is>
      </c>
      <c r="V45" s="1674" t="inlineStr">
        <is>
          <t>BL8 3PE</t>
        </is>
      </c>
      <c r="W45" s="331" t="inlineStr">
        <is>
          <t>28 Cann Street</t>
        </is>
      </c>
      <c r="X45" s="1568" t="inlineStr">
        <is>
          <t>Bury</t>
        </is>
      </c>
      <c r="Y45" s="1674" t="n"/>
      <c r="Z45" s="1674" t="n"/>
      <c r="AA45" s="1674" t="n"/>
      <c r="AB45" s="1674" t="n"/>
      <c r="AC45" s="1674" t="n"/>
    </row>
    <row r="46" ht="12.75" customHeight="1" s="1232">
      <c r="B46" s="322" t="n">
        <v>43132</v>
      </c>
      <c r="C46" s="1568" t="inlineStr">
        <is>
          <t>#00898</t>
        </is>
      </c>
      <c r="D46" s="1675" t="n">
        <v>65</v>
      </c>
      <c r="E46" s="1675" t="n"/>
      <c r="F46" s="1607" t="inlineStr">
        <is>
          <t>1hr</t>
        </is>
      </c>
      <c r="G46" s="1675" t="n"/>
      <c r="H46" s="1674" t="n"/>
      <c r="I46" s="1674" t="n"/>
      <c r="J46" s="367" t="n">
        <v>43134</v>
      </c>
      <c r="K46" s="367" t="n"/>
      <c r="L46" s="367" t="n"/>
      <c r="M46" s="367" t="n"/>
      <c r="N46" s="367" t="n"/>
      <c r="O46" s="367" t="n"/>
      <c r="P46" s="1674" t="inlineStr">
        <is>
          <t xml:space="preserve">seelypix@gmail.com </t>
        </is>
      </c>
      <c r="Q46" s="1568" t="inlineStr">
        <is>
          <t>Mr</t>
        </is>
      </c>
      <c r="R46" s="1568" t="inlineStr">
        <is>
          <t>John</t>
        </is>
      </c>
      <c r="S46" s="1568" t="inlineStr">
        <is>
          <t>Seely</t>
        </is>
      </c>
      <c r="T46" s="238" t="inlineStr">
        <is>
          <t>76</t>
        </is>
      </c>
      <c r="U46" s="1604" t="inlineStr">
        <is>
          <t>07411170250</t>
        </is>
      </c>
      <c r="V46" s="1674" t="inlineStr">
        <is>
          <t>WR10 3HT</t>
        </is>
      </c>
      <c r="W46" s="331" t="inlineStr">
        <is>
          <t>11 Parkwood</t>
        </is>
      </c>
      <c r="X46" s="1568" t="inlineStr">
        <is>
          <t>Pershore</t>
        </is>
      </c>
      <c r="Y46" s="1674" t="n"/>
      <c r="Z46" s="1674" t="n"/>
      <c r="AA46" s="1674" t="n"/>
      <c r="AB46" s="1674" t="n"/>
      <c r="AC46" s="1674" t="n"/>
    </row>
    <row r="47" ht="12.75" customHeight="1" s="1232">
      <c r="B47" s="322" t="n">
        <v>43147</v>
      </c>
      <c r="C47" s="1568" t="inlineStr">
        <is>
          <t>#00925</t>
        </is>
      </c>
      <c r="D47" s="1675" t="n">
        <v>120</v>
      </c>
      <c r="E47" s="1675" t="n"/>
      <c r="F47" s="1607" t="inlineStr">
        <is>
          <t>2hrs</t>
        </is>
      </c>
      <c r="G47" s="1675" t="n"/>
      <c r="H47" s="1674" t="n"/>
      <c r="I47" s="1674" t="n"/>
      <c r="J47" s="641" t="inlineStr">
        <is>
          <t>TBC</t>
        </is>
      </c>
      <c r="K47" s="641" t="n"/>
      <c r="L47" s="641" t="n"/>
      <c r="M47" s="641" t="n"/>
      <c r="N47" s="641" t="n"/>
      <c r="O47" s="641" t="n"/>
      <c r="P47" s="1674" t="inlineStr">
        <is>
          <t xml:space="preserve">robertjsmith@btinternet.com </t>
        </is>
      </c>
      <c r="Q47" s="1568" t="inlineStr">
        <is>
          <t>Mr</t>
        </is>
      </c>
      <c r="R47" s="1568" t="inlineStr">
        <is>
          <t>Robert</t>
        </is>
      </c>
      <c r="S47" s="1568" t="inlineStr">
        <is>
          <t>Smith</t>
        </is>
      </c>
      <c r="T47" s="238" t="inlineStr">
        <is>
          <t>59</t>
        </is>
      </c>
      <c r="U47" s="1604" t="inlineStr">
        <is>
          <t>07772846158</t>
        </is>
      </c>
      <c r="V47" s="1674" t="inlineStr">
        <is>
          <t>B93 8EF</t>
        </is>
      </c>
      <c r="W47" s="331" t="inlineStr">
        <is>
          <t>30 Rodborough Road</t>
        </is>
      </c>
      <c r="X47" s="1568" t="inlineStr">
        <is>
          <t>Solihull</t>
        </is>
      </c>
      <c r="Y47" s="1674" t="n"/>
      <c r="Z47" s="1674" t="n"/>
      <c r="AA47" s="1674" t="n"/>
      <c r="AB47" s="1674" t="n"/>
      <c r="AC47" s="1674" t="n"/>
    </row>
    <row r="48" ht="12.75" customHeight="1" s="1232">
      <c r="B48" s="322" t="n">
        <v>43167</v>
      </c>
      <c r="C48" s="1568" t="inlineStr">
        <is>
          <t>#00966</t>
        </is>
      </c>
      <c r="D48" s="1675" t="n">
        <v>120</v>
      </c>
      <c r="E48" s="1675" t="n"/>
      <c r="F48" s="1607" t="inlineStr">
        <is>
          <t>2hrs</t>
        </is>
      </c>
      <c r="G48" s="1675" t="n"/>
      <c r="H48" s="1674" t="n"/>
      <c r="I48" s="1674" t="n"/>
      <c r="J48" s="367" t="n">
        <v>43173</v>
      </c>
      <c r="K48" s="367" t="n"/>
      <c r="L48" s="367" t="n"/>
      <c r="M48" s="367" t="n"/>
      <c r="N48" s="367" t="n"/>
      <c r="O48" s="367" t="n"/>
      <c r="P48" s="1374" t="inlineStr">
        <is>
          <t>annewatkinson@talk21.com</t>
        </is>
      </c>
      <c r="Q48" s="1568" t="inlineStr">
        <is>
          <t>Mrs</t>
        </is>
      </c>
      <c r="R48" s="1568" t="inlineStr">
        <is>
          <t xml:space="preserve">Anne </t>
        </is>
      </c>
      <c r="S48" s="1674" t="inlineStr">
        <is>
          <t>Watkinson</t>
        </is>
      </c>
      <c r="T48" s="238" t="inlineStr">
        <is>
          <t>67</t>
        </is>
      </c>
      <c r="U48" s="1604" t="inlineStr">
        <is>
          <t>07940178743</t>
        </is>
      </c>
      <c r="V48" s="1674" t="inlineStr">
        <is>
          <t>CV7 7DB</t>
        </is>
      </c>
      <c r="W48" s="331" t="inlineStr">
        <is>
          <t>17 Benton Green Lane</t>
        </is>
      </c>
      <c r="X48" s="1568" t="inlineStr">
        <is>
          <t>Berkswell</t>
        </is>
      </c>
      <c r="Y48" s="1674" t="n"/>
      <c r="Z48" s="1674" t="n"/>
      <c r="AA48" s="1674" t="n"/>
      <c r="AB48" s="1674" t="n"/>
      <c r="AC48" s="1674" t="n"/>
    </row>
    <row r="49" ht="12.75" customHeight="1" s="1232">
      <c r="B49" s="322" t="n">
        <v>43201</v>
      </c>
      <c r="C49" s="1568" t="inlineStr">
        <is>
          <t>#00998</t>
        </is>
      </c>
      <c r="D49" s="1675" t="n">
        <v>65</v>
      </c>
      <c r="E49" s="1675" t="n"/>
      <c r="F49" s="1675" t="inlineStr">
        <is>
          <t>1hr</t>
        </is>
      </c>
      <c r="G49" s="1675" t="n"/>
      <c r="H49" s="1674" t="n"/>
      <c r="I49" s="1674" t="n"/>
      <c r="J49" s="367" t="n">
        <v>43208</v>
      </c>
      <c r="K49" s="367" t="n"/>
      <c r="L49" s="367" t="n"/>
      <c r="M49" s="367" t="n"/>
      <c r="N49" s="367" t="n"/>
      <c r="O49" s="367" t="n"/>
      <c r="P49" s="1374" t="inlineStr">
        <is>
          <t xml:space="preserve">tim.newcombe123@btinternet.com </t>
        </is>
      </c>
      <c r="Q49" s="1568" t="inlineStr">
        <is>
          <t>Mr</t>
        </is>
      </c>
      <c r="R49" s="1568" t="inlineStr">
        <is>
          <t xml:space="preserve">Tim </t>
        </is>
      </c>
      <c r="S49" s="1674" t="inlineStr">
        <is>
          <t>Newcombe</t>
        </is>
      </c>
      <c r="T49" s="238" t="n"/>
      <c r="U49" s="1604" t="inlineStr">
        <is>
          <t>07970037325</t>
        </is>
      </c>
      <c r="V49" s="1674" t="inlineStr">
        <is>
          <t>CV35 0QJ</t>
        </is>
      </c>
      <c r="W49" s="331" t="inlineStr">
        <is>
          <t>Pillerton Hersey</t>
        </is>
      </c>
      <c r="X49" s="1568" t="n"/>
      <c r="Y49" s="1674" t="n"/>
      <c r="Z49" s="1674" t="n"/>
      <c r="AA49" s="1674" t="n"/>
      <c r="AB49" s="1674" t="n"/>
      <c r="AC49" s="1674" t="n"/>
    </row>
    <row r="50" ht="12.75" customHeight="1" s="1232">
      <c r="B50" s="322" t="n">
        <v>43229</v>
      </c>
      <c r="C50" s="1568" t="inlineStr">
        <is>
          <t>#01016</t>
        </is>
      </c>
      <c r="D50" s="1675" t="n">
        <v>195</v>
      </c>
      <c r="E50" s="1675" t="n"/>
      <c r="F50" s="1607" t="inlineStr">
        <is>
          <t>4hrs</t>
        </is>
      </c>
      <c r="G50" s="1675" t="n"/>
      <c r="H50" s="1674" t="n"/>
      <c r="I50" s="1674" t="n"/>
      <c r="J50" s="367" t="n">
        <v>43258</v>
      </c>
      <c r="K50" s="367" t="n"/>
      <c r="L50" s="367" t="n"/>
      <c r="M50" s="367" t="n"/>
      <c r="N50" s="367" t="n"/>
      <c r="O50" s="367" t="n"/>
      <c r="P50" s="1374" t="inlineStr">
        <is>
          <t xml:space="preserve">dandmroberts@googlemail.com </t>
        </is>
      </c>
      <c r="Q50" s="1568" t="inlineStr">
        <is>
          <t>Mrs</t>
        </is>
      </c>
      <c r="R50" s="1568" t="inlineStr">
        <is>
          <t>Diana</t>
        </is>
      </c>
      <c r="S50" s="1568" t="inlineStr">
        <is>
          <t>Roberts</t>
        </is>
      </c>
      <c r="T50" s="238" t="inlineStr">
        <is>
          <t>70</t>
        </is>
      </c>
      <c r="U50" s="1604" t="inlineStr">
        <is>
          <t>07766632762</t>
        </is>
      </c>
      <c r="V50" s="1674" t="inlineStr">
        <is>
          <t>GL53 9LJ</t>
        </is>
      </c>
      <c r="W50" s="331" t="inlineStr">
        <is>
          <t>8 Southfield Rise</t>
        </is>
      </c>
      <c r="X50" s="1568" t="inlineStr">
        <is>
          <t>Cheltenham</t>
        </is>
      </c>
      <c r="Y50" s="1674" t="n"/>
      <c r="Z50" s="1674" t="n"/>
      <c r="AA50" s="1674" t="n"/>
      <c r="AB50" s="1674" t="n"/>
      <c r="AC50" s="1674" t="n"/>
    </row>
    <row r="51" ht="12.75" customHeight="1" s="1232">
      <c r="B51" s="511" t="n">
        <v>43159</v>
      </c>
      <c r="C51" s="87" t="inlineStr">
        <is>
          <t>#00941</t>
        </is>
      </c>
      <c r="D51" s="1696" t="n">
        <v>125</v>
      </c>
      <c r="E51" s="1675" t="n">
        <v>0</v>
      </c>
      <c r="F51" s="1675" t="n"/>
      <c r="G51" s="1675" t="n"/>
      <c r="H51" s="1674" t="n"/>
      <c r="I51" s="1674" t="n"/>
      <c r="P51" s="1499" t="inlineStr">
        <is>
          <t>janie.chapman13@btinternet.com</t>
        </is>
      </c>
      <c r="Q51" s="512" t="inlineStr">
        <is>
          <t>Mrs</t>
        </is>
      </c>
      <c r="R51" s="512" t="inlineStr">
        <is>
          <t xml:space="preserve">Janie </t>
        </is>
      </c>
      <c r="S51" s="512" t="inlineStr">
        <is>
          <t>Chapman</t>
        </is>
      </c>
      <c r="T51" s="514" t="inlineStr">
        <is>
          <t>64</t>
        </is>
      </c>
      <c r="U51" s="514" t="inlineStr">
        <is>
          <t>07960929845</t>
        </is>
      </c>
      <c r="V51" s="514" t="inlineStr">
        <is>
          <t>NN7 3JX</t>
        </is>
      </c>
      <c r="W51" s="515" t="inlineStr">
        <is>
          <t>39 Winston Close</t>
        </is>
      </c>
      <c r="X51" s="513" t="inlineStr">
        <is>
          <t>Northampton</t>
        </is>
      </c>
      <c r="Y51" s="1697" t="n"/>
      <c r="Z51" s="1674" t="n"/>
      <c r="AA51" s="1674" t="n"/>
      <c r="AC51" s="1674" t="n"/>
    </row>
    <row r="52" ht="12.75" customHeight="1" s="1232">
      <c r="B52" s="511" t="n">
        <v>43263</v>
      </c>
      <c r="C52" s="1607" t="inlineStr">
        <is>
          <t>#01037</t>
        </is>
      </c>
      <c r="D52" s="1675" t="n">
        <v>120</v>
      </c>
      <c r="E52" s="1675" t="n">
        <v>0</v>
      </c>
      <c r="F52" s="1607" t="inlineStr">
        <is>
          <t>2hrs</t>
        </is>
      </c>
      <c r="G52" s="1675" t="n"/>
      <c r="H52" s="1674" t="n"/>
      <c r="I52" s="1674" t="n"/>
      <c r="J52" s="367" t="n">
        <v>43271</v>
      </c>
      <c r="K52" s="367" t="n"/>
      <c r="L52" s="367" t="n"/>
      <c r="M52" s="367" t="n"/>
      <c r="N52" s="367" t="n"/>
      <c r="O52" s="367" t="n"/>
      <c r="P52" s="1374" t="inlineStr">
        <is>
          <t>annewatkinson@talk21.com</t>
        </is>
      </c>
      <c r="Q52" s="1568" t="inlineStr">
        <is>
          <t>Mrs</t>
        </is>
      </c>
      <c r="R52" s="1568" t="inlineStr">
        <is>
          <t xml:space="preserve">Anne </t>
        </is>
      </c>
      <c r="S52" s="1674" t="inlineStr">
        <is>
          <t>Watkinson</t>
        </is>
      </c>
      <c r="T52" s="238" t="inlineStr">
        <is>
          <t>67</t>
        </is>
      </c>
      <c r="U52" s="1604" t="inlineStr">
        <is>
          <t>07940178743</t>
        </is>
      </c>
      <c r="V52" s="1674" t="inlineStr">
        <is>
          <t>CV7 7DB</t>
        </is>
      </c>
      <c r="W52" s="331" t="inlineStr">
        <is>
          <t>17 Benton Green Lane</t>
        </is>
      </c>
      <c r="X52" s="1568" t="inlineStr">
        <is>
          <t>Berkswell</t>
        </is>
      </c>
      <c r="Y52" s="1697" t="n"/>
      <c r="Z52" s="1674" t="n"/>
      <c r="AA52" s="1674" t="n"/>
      <c r="AC52" s="1674" t="n"/>
    </row>
    <row r="53" ht="12.75" customHeight="1" s="1232">
      <c r="B53" s="511" t="n">
        <v>43269</v>
      </c>
      <c r="C53" s="1607" t="inlineStr">
        <is>
          <t>Direct</t>
        </is>
      </c>
      <c r="D53" s="1675" t="n">
        <v>195</v>
      </c>
      <c r="E53" s="1675" t="n">
        <v>0</v>
      </c>
      <c r="F53" s="1607" t="inlineStr">
        <is>
          <t>4hrs</t>
        </is>
      </c>
      <c r="G53" s="1675" t="n"/>
      <c r="H53" s="1674" t="n"/>
      <c r="I53" s="1674" t="n"/>
      <c r="J53" s="367" t="n">
        <v>43276</v>
      </c>
      <c r="K53" s="367" t="n"/>
      <c r="L53" s="367" t="n"/>
      <c r="M53" s="367" t="n"/>
      <c r="N53" s="367" t="n"/>
      <c r="O53" s="367" t="n"/>
      <c r="P53" s="1374" t="inlineStr">
        <is>
          <t>alantaylor1409@gmail.com</t>
        </is>
      </c>
      <c r="Q53" s="512" t="inlineStr">
        <is>
          <t>Mr</t>
        </is>
      </c>
      <c r="R53" s="512" t="inlineStr">
        <is>
          <t>Alan</t>
        </is>
      </c>
      <c r="S53" s="512" t="inlineStr">
        <is>
          <t>Taylor</t>
        </is>
      </c>
      <c r="T53" s="514" t="n">
        <v>68</v>
      </c>
      <c r="U53" s="514" t="n">
        <v>7970649888</v>
      </c>
      <c r="V53" s="514" t="inlineStr">
        <is>
          <t>CV3 6JX</t>
        </is>
      </c>
      <c r="W53" s="515" t="inlineStr">
        <is>
          <t>41Baginton Road</t>
        </is>
      </c>
      <c r="X53" s="513" t="inlineStr">
        <is>
          <t>Coventry</t>
        </is>
      </c>
      <c r="Y53" s="1697" t="n"/>
      <c r="Z53" s="1674" t="n"/>
      <c r="AA53" s="1674" t="n"/>
      <c r="AC53" s="1674" t="n"/>
    </row>
    <row r="54" ht="12.75" customHeight="1" s="1232">
      <c r="B54" s="511" t="n">
        <v>43271</v>
      </c>
      <c r="C54" s="1607" t="inlineStr">
        <is>
          <t>#01045</t>
        </is>
      </c>
      <c r="D54" s="1675" t="n">
        <v>120</v>
      </c>
      <c r="E54" s="1675" t="n"/>
      <c r="F54" s="1607" t="inlineStr">
        <is>
          <t>2hrs</t>
        </is>
      </c>
      <c r="G54" s="1675" t="n"/>
      <c r="H54" s="1674" t="n"/>
      <c r="I54" s="1674" t="n"/>
      <c r="J54" s="367" t="n">
        <v>43283</v>
      </c>
      <c r="K54" s="367" t="n"/>
      <c r="L54" s="367" t="n"/>
      <c r="M54" s="367" t="n"/>
      <c r="N54" s="367" t="n"/>
      <c r="O54" s="367" t="n"/>
      <c r="P54" s="1374" t="inlineStr">
        <is>
          <t>annewatkinson@talk21.com</t>
        </is>
      </c>
      <c r="Q54" s="1568" t="inlineStr">
        <is>
          <t>Mrs</t>
        </is>
      </c>
      <c r="R54" s="1568" t="inlineStr">
        <is>
          <t xml:space="preserve">Anne </t>
        </is>
      </c>
      <c r="S54" s="1674" t="inlineStr">
        <is>
          <t>Watkinson</t>
        </is>
      </c>
      <c r="T54" s="238" t="inlineStr">
        <is>
          <t>67</t>
        </is>
      </c>
      <c r="U54" s="1604" t="inlineStr">
        <is>
          <t>07940178743</t>
        </is>
      </c>
      <c r="V54" s="1674" t="inlineStr">
        <is>
          <t>CV7 7DB</t>
        </is>
      </c>
      <c r="W54" s="331" t="inlineStr">
        <is>
          <t>17 Benton Green Lane</t>
        </is>
      </c>
      <c r="X54" s="1568" t="inlineStr">
        <is>
          <t>Berkswell</t>
        </is>
      </c>
      <c r="Y54" s="1697" t="n"/>
      <c r="Z54" s="1674" t="n"/>
      <c r="AA54" s="1674" t="n"/>
      <c r="AC54" s="1674" t="n"/>
    </row>
    <row r="55" ht="12.75" customHeight="1" s="1232">
      <c r="B55" s="511" t="n">
        <v>43283</v>
      </c>
      <c r="C55" s="1607" t="inlineStr">
        <is>
          <t>#01048</t>
        </is>
      </c>
      <c r="D55" s="1675" t="n">
        <v>192</v>
      </c>
      <c r="E55" s="1675" t="n"/>
      <c r="F55" s="1607" t="inlineStr">
        <is>
          <t>2hrs</t>
        </is>
      </c>
      <c r="G55" s="1675" t="n"/>
      <c r="H55" s="1674" t="n"/>
      <c r="I55" s="1674" t="n"/>
      <c r="J55" s="367" t="n">
        <v>43286</v>
      </c>
      <c r="K55" s="367" t="n"/>
      <c r="L55" s="367" t="n"/>
      <c r="M55" s="367" t="n"/>
      <c r="N55" s="367" t="n"/>
      <c r="O55" s="367" t="n"/>
      <c r="P55" s="1374" t="inlineStr">
        <is>
          <t>annewatkinson@talk21.com</t>
        </is>
      </c>
      <c r="Q55" s="1568" t="inlineStr">
        <is>
          <t>Mrs</t>
        </is>
      </c>
      <c r="R55" s="1568" t="inlineStr">
        <is>
          <t xml:space="preserve">Anne </t>
        </is>
      </c>
      <c r="S55" s="1674" t="inlineStr">
        <is>
          <t>Watkinson</t>
        </is>
      </c>
      <c r="T55" s="238" t="inlineStr">
        <is>
          <t>67</t>
        </is>
      </c>
      <c r="U55" s="1604" t="inlineStr">
        <is>
          <t>07940178743</t>
        </is>
      </c>
      <c r="V55" s="1674" t="inlineStr">
        <is>
          <t>CV7 7DB</t>
        </is>
      </c>
      <c r="W55" s="331" t="inlineStr">
        <is>
          <t>17 Benton Green Lane</t>
        </is>
      </c>
      <c r="X55" s="1568" t="inlineStr">
        <is>
          <t>Berkswell</t>
        </is>
      </c>
      <c r="Y55" s="1697" t="n"/>
      <c r="Z55" s="1674" t="n"/>
      <c r="AA55" s="1674" t="n"/>
      <c r="AC55" s="1674" t="n"/>
    </row>
    <row r="56" ht="12.75" customHeight="1" s="1232">
      <c r="B56" s="511" t="n">
        <v>43283</v>
      </c>
      <c r="C56" s="1607" t="inlineStr">
        <is>
          <t>#01048</t>
        </is>
      </c>
      <c r="D56" s="1675" t="n">
        <v>0</v>
      </c>
      <c r="E56" s="1675" t="n"/>
      <c r="F56" s="1607" t="inlineStr">
        <is>
          <t>2hrs</t>
        </is>
      </c>
      <c r="G56" s="1675" t="n"/>
      <c r="H56" s="1674" t="n"/>
      <c r="I56" s="1674" t="n"/>
      <c r="J56" s="367" t="n">
        <v>43314</v>
      </c>
      <c r="K56" s="367" t="n"/>
      <c r="L56" s="367" t="n"/>
      <c r="M56" s="367" t="n"/>
      <c r="N56" s="367" t="n"/>
      <c r="O56" s="367" t="n"/>
      <c r="P56" s="1374" t="inlineStr">
        <is>
          <t>annewatkinson@talk21.com</t>
        </is>
      </c>
      <c r="Q56" s="1568" t="inlineStr">
        <is>
          <t>Mrs</t>
        </is>
      </c>
      <c r="R56" s="1568" t="inlineStr">
        <is>
          <t xml:space="preserve">Anne </t>
        </is>
      </c>
      <c r="S56" s="1674" t="inlineStr">
        <is>
          <t>Watkinson</t>
        </is>
      </c>
      <c r="T56" s="238" t="inlineStr">
        <is>
          <t>67</t>
        </is>
      </c>
      <c r="U56" s="1604" t="inlineStr">
        <is>
          <t>07940178743</t>
        </is>
      </c>
      <c r="V56" s="1674" t="inlineStr">
        <is>
          <t>CV7 7DB</t>
        </is>
      </c>
      <c r="W56" s="331" t="inlineStr">
        <is>
          <t>17 Benton Green Lane</t>
        </is>
      </c>
      <c r="X56" s="1568" t="inlineStr">
        <is>
          <t>Berkswell</t>
        </is>
      </c>
      <c r="Y56" s="1697" t="n"/>
      <c r="Z56" s="1674" t="n"/>
      <c r="AA56" s="1674" t="n"/>
      <c r="AC56" s="1674" t="n"/>
    </row>
    <row r="57" ht="12.75" customHeight="1" s="1232">
      <c r="B57" s="511" t="n">
        <v>43286</v>
      </c>
      <c r="C57" s="1607" t="inlineStr">
        <is>
          <t>#01050</t>
        </is>
      </c>
      <c r="D57" s="1675" t="n">
        <v>156</v>
      </c>
      <c r="E57" s="1675" t="n"/>
      <c r="F57" s="1607" t="inlineStr">
        <is>
          <t>4hrs</t>
        </is>
      </c>
      <c r="G57" s="1675" t="n"/>
      <c r="H57" s="1674" t="n"/>
      <c r="I57" s="1674" t="n"/>
      <c r="J57" s="367" t="n">
        <v>43320</v>
      </c>
      <c r="K57" s="367" t="n"/>
      <c r="L57" s="367" t="n"/>
      <c r="M57" s="367" t="n"/>
      <c r="N57" s="367" t="n"/>
      <c r="O57" s="367" t="n"/>
      <c r="P57" s="1499" t="inlineStr">
        <is>
          <t xml:space="preserve">pjekirby@btinternet.com </t>
        </is>
      </c>
      <c r="Q57" s="91" t="inlineStr">
        <is>
          <t>Mr</t>
        </is>
      </c>
      <c r="R57" s="91" t="inlineStr">
        <is>
          <t xml:space="preserve">Paul </t>
        </is>
      </c>
      <c r="S57" s="91" t="inlineStr">
        <is>
          <t>Kirby</t>
        </is>
      </c>
      <c r="T57" s="94" t="inlineStr">
        <is>
          <t>64</t>
        </is>
      </c>
      <c r="U57" s="94" t="inlineStr">
        <is>
          <t>07469932296</t>
        </is>
      </c>
      <c r="V57" s="514" t="inlineStr">
        <is>
          <t>GL569RG</t>
        </is>
      </c>
      <c r="W57" s="515" t="inlineStr">
        <is>
          <t>6 Church Farm Lane</t>
        </is>
      </c>
      <c r="X57" s="93" t="inlineStr">
        <is>
          <t>Aston Magna</t>
        </is>
      </c>
      <c r="Y57" s="1697" t="n"/>
      <c r="Z57" s="1674" t="n"/>
      <c r="AA57" s="1674" t="n"/>
      <c r="AC57" s="1674" t="n"/>
    </row>
    <row r="58" ht="12.75" customHeight="1" s="1232">
      <c r="B58" s="511" t="n">
        <v>43287</v>
      </c>
      <c r="C58" s="1607" t="inlineStr">
        <is>
          <t>#00999</t>
        </is>
      </c>
      <c r="D58" s="1675" t="n">
        <v>156</v>
      </c>
      <c r="E58" s="1675" t="n"/>
      <c r="F58" s="1607" t="inlineStr">
        <is>
          <t>4hrs</t>
        </is>
      </c>
      <c r="G58" s="1675" t="n"/>
      <c r="H58" s="1674" t="n"/>
      <c r="I58" s="1674" t="n"/>
      <c r="J58" s="367" t="n">
        <v>43314</v>
      </c>
      <c r="K58" s="367" t="n"/>
      <c r="L58" s="367" t="n"/>
      <c r="M58" s="367" t="n"/>
      <c r="N58" s="367" t="n"/>
      <c r="O58" s="367" t="n"/>
      <c r="P58" s="1490" t="inlineStr">
        <is>
          <t>daniel.robb@live.co.uk</t>
        </is>
      </c>
      <c r="Q58" s="1698" t="inlineStr">
        <is>
          <t>Mr</t>
        </is>
      </c>
      <c r="R58" s="1699" t="inlineStr">
        <is>
          <t>Daniel</t>
        </is>
      </c>
      <c r="S58" s="1699" t="inlineStr">
        <is>
          <t>Robb</t>
        </is>
      </c>
      <c r="T58" s="1700" t="inlineStr">
        <is>
          <t>27</t>
        </is>
      </c>
      <c r="U58" s="1701" t="inlineStr">
        <is>
          <t>07464548407</t>
        </is>
      </c>
      <c r="V58" s="1698" t="inlineStr">
        <is>
          <t>NN4 9QZ</t>
        </is>
      </c>
      <c r="W58" s="1698" t="inlineStr">
        <is>
          <t>8 Keystone</t>
        </is>
      </c>
      <c r="X58" s="1698" t="inlineStr">
        <is>
          <t>Northampton</t>
        </is>
      </c>
      <c r="Y58" s="1698" t="n"/>
      <c r="Z58" s="1674" t="n"/>
      <c r="AA58" s="1674" t="n"/>
      <c r="AC58" s="1674" t="n"/>
    </row>
    <row r="59" ht="12.75" customHeight="1" s="1232">
      <c r="B59" s="511" t="n">
        <v>43320</v>
      </c>
      <c r="C59" s="1607" t="inlineStr">
        <is>
          <t>#01067</t>
        </is>
      </c>
      <c r="D59" s="1675" t="n">
        <v>65</v>
      </c>
      <c r="E59" s="1675" t="n"/>
      <c r="F59" s="1607" t="inlineStr">
        <is>
          <t>1hr</t>
        </is>
      </c>
      <c r="G59" s="1675" t="n"/>
      <c r="H59" s="1674" t="n"/>
      <c r="I59" s="1674" t="n"/>
      <c r="J59" s="367" t="n">
        <v>43320</v>
      </c>
      <c r="K59" s="367" t="n"/>
      <c r="L59" s="367" t="n"/>
      <c r="M59" s="367" t="n"/>
      <c r="N59" s="367" t="n"/>
      <c r="O59" s="367" t="n"/>
      <c r="P59" s="1374" t="inlineStr">
        <is>
          <t>annewatkinson@talk21.com</t>
        </is>
      </c>
      <c r="Q59" s="1568" t="inlineStr">
        <is>
          <t>Mrs</t>
        </is>
      </c>
      <c r="R59" s="1568" t="inlineStr">
        <is>
          <t xml:space="preserve">Anne </t>
        </is>
      </c>
      <c r="S59" s="1674" t="inlineStr">
        <is>
          <t>Watkinson</t>
        </is>
      </c>
      <c r="T59" s="238" t="inlineStr">
        <is>
          <t>67</t>
        </is>
      </c>
      <c r="U59" s="1604" t="inlineStr">
        <is>
          <t>07940178743</t>
        </is>
      </c>
      <c r="V59" s="1674" t="inlineStr">
        <is>
          <t>CV7 7DB</t>
        </is>
      </c>
      <c r="W59" s="331" t="inlineStr">
        <is>
          <t>17 Benton Green Lane</t>
        </is>
      </c>
      <c r="X59" s="1568" t="inlineStr">
        <is>
          <t>Berkswell</t>
        </is>
      </c>
      <c r="Y59" s="1698" t="n"/>
      <c r="Z59" s="1674" t="n"/>
      <c r="AA59" s="1674" t="n"/>
      <c r="AC59" s="1674" t="n"/>
    </row>
    <row r="60" ht="12.75" customHeight="1" s="1232">
      <c r="B60" s="511" t="n">
        <v>43334</v>
      </c>
      <c r="C60" s="1607" t="inlineStr">
        <is>
          <t>#01076</t>
        </is>
      </c>
      <c r="D60" s="1675" t="n">
        <v>65</v>
      </c>
      <c r="E60" s="1675" t="n"/>
      <c r="F60" s="1607" t="inlineStr">
        <is>
          <t>1hr</t>
        </is>
      </c>
      <c r="G60" s="1675" t="n"/>
      <c r="H60" s="1674" t="n"/>
      <c r="I60" s="1674" t="n"/>
      <c r="J60" s="367" t="n">
        <v>43342</v>
      </c>
      <c r="K60" s="367" t="n"/>
      <c r="L60" s="367" t="n"/>
      <c r="M60" s="367" t="n"/>
      <c r="N60" s="367" t="n"/>
      <c r="O60" s="367" t="n"/>
      <c r="P60" s="1490" t="inlineStr">
        <is>
          <t xml:space="preserve">chrisjohnson305@btinternet.com </t>
        </is>
      </c>
      <c r="Q60" s="1698" t="inlineStr">
        <is>
          <t>Mr</t>
        </is>
      </c>
      <c r="R60" s="1699" t="inlineStr">
        <is>
          <t xml:space="preserve">Chris </t>
        </is>
      </c>
      <c r="S60" s="1699" t="inlineStr">
        <is>
          <t>Johnson</t>
        </is>
      </c>
      <c r="T60" s="1700" t="inlineStr">
        <is>
          <t>59</t>
        </is>
      </c>
      <c r="U60" s="1701" t="inlineStr">
        <is>
          <t>07549013266</t>
        </is>
      </c>
      <c r="V60" s="1698" t="inlineStr">
        <is>
          <t>B90 1RJ</t>
        </is>
      </c>
      <c r="W60" s="1698" t="inlineStr">
        <is>
          <t>68 Lady Lane</t>
        </is>
      </c>
      <c r="X60" s="1698" t="inlineStr">
        <is>
          <t>Solihull</t>
        </is>
      </c>
      <c r="Y60" s="1698" t="n"/>
      <c r="Z60" s="1674" t="n"/>
      <c r="AA60" s="1674" t="n"/>
      <c r="AC60" s="1674" t="n"/>
    </row>
    <row r="61" ht="12.75" customHeight="1" s="1232">
      <c r="B61" s="511" t="n">
        <v>43343</v>
      </c>
      <c r="C61" s="1607" t="inlineStr">
        <is>
          <t>#01083</t>
        </is>
      </c>
      <c r="D61" s="1675" t="n">
        <v>192</v>
      </c>
      <c r="E61" s="1675" t="n"/>
      <c r="F61" s="1607" t="inlineStr">
        <is>
          <t>4hrs</t>
        </is>
      </c>
      <c r="G61" s="1675" t="n"/>
      <c r="H61" s="1674" t="n"/>
      <c r="I61" s="1674" t="n"/>
      <c r="J61" s="641" t="inlineStr">
        <is>
          <t>TBA</t>
        </is>
      </c>
      <c r="K61" s="641" t="n"/>
      <c r="L61" s="641" t="n"/>
      <c r="M61" s="641" t="n"/>
      <c r="N61" s="641" t="n"/>
      <c r="O61" s="641" t="n"/>
      <c r="P61" s="1374" t="inlineStr">
        <is>
          <t>annewatkinson@talk21.com</t>
        </is>
      </c>
      <c r="Q61" s="1568" t="inlineStr">
        <is>
          <t>Mrs</t>
        </is>
      </c>
      <c r="R61" s="1568" t="inlineStr">
        <is>
          <t xml:space="preserve">Anne </t>
        </is>
      </c>
      <c r="S61" s="1674" t="inlineStr">
        <is>
          <t>Watkinson</t>
        </is>
      </c>
      <c r="T61" s="238" t="inlineStr">
        <is>
          <t>67</t>
        </is>
      </c>
      <c r="U61" s="1604" t="inlineStr">
        <is>
          <t>07940178743</t>
        </is>
      </c>
      <c r="V61" s="1674" t="inlineStr">
        <is>
          <t>CV7 7DB</t>
        </is>
      </c>
      <c r="W61" s="331" t="inlineStr">
        <is>
          <t>17 Benton Green Lane</t>
        </is>
      </c>
      <c r="X61" s="1568" t="inlineStr">
        <is>
          <t>Berkswell</t>
        </is>
      </c>
      <c r="Y61" s="1698" t="n"/>
      <c r="Z61" s="1674" t="n"/>
      <c r="AA61" s="1674" t="n"/>
      <c r="AC61" s="1674" t="n"/>
    </row>
    <row r="62" ht="12.75" customHeight="1" s="1232">
      <c r="B62" s="511" t="n">
        <v>43331</v>
      </c>
      <c r="C62" s="1607" t="inlineStr">
        <is>
          <t>#01099</t>
        </is>
      </c>
      <c r="D62" s="1675" t="n">
        <v>120</v>
      </c>
      <c r="E62" s="1675" t="n"/>
      <c r="F62" s="1607" t="inlineStr">
        <is>
          <t>2hrs</t>
        </is>
      </c>
      <c r="G62" s="1675" t="n"/>
      <c r="H62" s="1674" t="n"/>
      <c r="I62" s="1674" t="n"/>
      <c r="J62" s="367" t="n">
        <v>43362</v>
      </c>
      <c r="K62" s="367" t="n"/>
      <c r="L62" s="367" t="n"/>
      <c r="M62" s="367" t="n"/>
      <c r="N62" s="367" t="n"/>
      <c r="O62" s="367" t="n"/>
      <c r="P62" s="1490" t="inlineStr">
        <is>
          <t xml:space="preserve">francis.peckham@gmail.com </t>
        </is>
      </c>
      <c r="Q62" s="1698" t="inlineStr">
        <is>
          <t>Mr</t>
        </is>
      </c>
      <c r="R62" s="1699" t="inlineStr">
        <is>
          <t xml:space="preserve">Francis </t>
        </is>
      </c>
      <c r="S62" s="1699" t="inlineStr">
        <is>
          <t>Peckham</t>
        </is>
      </c>
      <c r="T62" s="1700" t="inlineStr">
        <is>
          <t>60</t>
        </is>
      </c>
      <c r="U62" s="1701" t="inlineStr">
        <is>
          <t>07772331677</t>
        </is>
      </c>
      <c r="V62" s="1698" t="inlineStr">
        <is>
          <t>SW10 9HB</t>
        </is>
      </c>
      <c r="W62" s="1698" t="inlineStr">
        <is>
          <t>46 A Redcliffe Gardens</t>
        </is>
      </c>
      <c r="X62" s="1698" t="inlineStr">
        <is>
          <t>London</t>
        </is>
      </c>
      <c r="Y62" s="1698" t="n"/>
      <c r="Z62" s="1674" t="n"/>
      <c r="AA62" s="1674" t="n"/>
      <c r="AC62" s="1674" t="n"/>
    </row>
    <row r="63" ht="12.75" customHeight="1" s="1232">
      <c r="B63" s="511" t="n">
        <v>43366</v>
      </c>
      <c r="C63" s="1607" t="inlineStr">
        <is>
          <t>#01107</t>
        </is>
      </c>
      <c r="D63" s="1675" t="n">
        <v>146.25</v>
      </c>
      <c r="E63" s="1675" t="n"/>
      <c r="F63" s="1607" t="inlineStr">
        <is>
          <t>4hrs</t>
        </is>
      </c>
      <c r="G63" s="1675" t="n"/>
      <c r="H63" s="1674" t="n"/>
      <c r="I63" s="1674" t="n"/>
      <c r="J63" s="367" t="n"/>
      <c r="K63" s="367" t="n"/>
      <c r="L63" s="367" t="n"/>
      <c r="M63" s="367" t="n"/>
      <c r="N63" s="367" t="n"/>
      <c r="O63" s="367" t="n"/>
      <c r="P63" s="1491" t="inlineStr">
        <is>
          <t xml:space="preserve">funsizeclaire@hotmail.co.uk </t>
        </is>
      </c>
      <c r="Q63" s="1698" t="inlineStr">
        <is>
          <t>Mrs</t>
        </is>
      </c>
      <c r="R63" s="1699" t="inlineStr">
        <is>
          <t>Claire</t>
        </is>
      </c>
      <c r="S63" s="1699" t="inlineStr">
        <is>
          <t>Finch/Townend</t>
        </is>
      </c>
      <c r="T63" s="1700" t="n"/>
      <c r="U63" s="1701" t="inlineStr">
        <is>
          <t>07833404232</t>
        </is>
      </c>
      <c r="V63" s="1698" t="inlineStr">
        <is>
          <t>CV31 1BQ</t>
        </is>
      </c>
      <c r="W63" s="1698" t="inlineStr">
        <is>
          <t>42 Leam Terrace</t>
        </is>
      </c>
      <c r="X63" s="1698" t="inlineStr">
        <is>
          <t>Leamington Spa</t>
        </is>
      </c>
      <c r="Y63" s="1698" t="n"/>
      <c r="Z63" s="1674" t="n"/>
      <c r="AA63" s="1674" t="n"/>
      <c r="AC63" s="1674" t="n"/>
    </row>
    <row r="64" ht="12.75" customHeight="1" s="1232">
      <c r="B64" s="511" t="n">
        <v>43367</v>
      </c>
      <c r="C64" s="1607" t="inlineStr">
        <is>
          <t>PayPal</t>
        </is>
      </c>
      <c r="D64" s="1675" t="n">
        <v>360</v>
      </c>
      <c r="E64" s="1675" t="n"/>
      <c r="F64" s="1607" t="inlineStr">
        <is>
          <t>4 x 2hrs</t>
        </is>
      </c>
      <c r="G64" s="1675" t="n"/>
      <c r="H64" s="1674" t="n"/>
      <c r="I64" s="1674" t="n"/>
      <c r="J64" s="641" t="inlineStr">
        <is>
          <t>TBA</t>
        </is>
      </c>
      <c r="K64" s="641" t="n"/>
      <c r="L64" s="641" t="n"/>
      <c r="M64" s="641" t="n"/>
      <c r="N64" s="641" t="n"/>
      <c r="O64" s="641" t="n"/>
      <c r="P64" s="1374" t="inlineStr">
        <is>
          <t>annewatkinson@talk21.com</t>
        </is>
      </c>
      <c r="Q64" s="1568" t="inlineStr">
        <is>
          <t>Mrs</t>
        </is>
      </c>
      <c r="R64" s="1568" t="inlineStr">
        <is>
          <t xml:space="preserve">Anne </t>
        </is>
      </c>
      <c r="S64" s="1674" t="inlineStr">
        <is>
          <t>Watkinson</t>
        </is>
      </c>
      <c r="T64" s="238" t="inlineStr">
        <is>
          <t>67</t>
        </is>
      </c>
      <c r="U64" s="1604" t="inlineStr">
        <is>
          <t>07940178743</t>
        </is>
      </c>
      <c r="V64" s="1674" t="inlineStr">
        <is>
          <t>CV7 7DB</t>
        </is>
      </c>
      <c r="W64" s="331" t="inlineStr">
        <is>
          <t>17 Benton Green Lane</t>
        </is>
      </c>
      <c r="X64" s="1568" t="inlineStr">
        <is>
          <t>Berkswell</t>
        </is>
      </c>
      <c r="Y64" s="1698" t="n"/>
      <c r="Z64" s="1674" t="n"/>
      <c r="AA64" s="1674" t="n"/>
      <c r="AC64" s="1674" t="n"/>
    </row>
    <row r="65" ht="12.75" customHeight="1" s="1232">
      <c r="B65" s="511" t="n">
        <v>43393</v>
      </c>
      <c r="C65" s="1607" t="inlineStr">
        <is>
          <t>#001139</t>
        </is>
      </c>
      <c r="D65" s="1675" t="n">
        <v>120</v>
      </c>
      <c r="E65" s="1675" t="n"/>
      <c r="F65" s="1607" t="inlineStr">
        <is>
          <t>2hrs</t>
        </is>
      </c>
      <c r="G65" s="1675" t="n"/>
      <c r="H65" s="1674" t="n"/>
      <c r="I65" s="1674" t="n"/>
      <c r="J65" s="367" t="n">
        <v>43409</v>
      </c>
      <c r="K65" s="367" t="n"/>
      <c r="L65" s="367" t="n"/>
      <c r="M65" s="367" t="n"/>
      <c r="N65" s="367" t="n"/>
      <c r="O65" s="367" t="n"/>
      <c r="P65" s="1491" t="inlineStr">
        <is>
          <t xml:space="preserve">shereekennedy@icloud.com </t>
        </is>
      </c>
      <c r="Q65" s="1698" t="inlineStr">
        <is>
          <t>Mrs</t>
        </is>
      </c>
      <c r="R65" s="1699" t="inlineStr">
        <is>
          <t>Sharee</t>
        </is>
      </c>
      <c r="S65" s="1699" t="inlineStr">
        <is>
          <t>Kennedy</t>
        </is>
      </c>
      <c r="T65" s="1700" t="inlineStr">
        <is>
          <t>60</t>
        </is>
      </c>
      <c r="U65" s="1701" t="inlineStr">
        <is>
          <t>07886122165</t>
        </is>
      </c>
      <c r="V65" s="1698" t="inlineStr">
        <is>
          <t>B92 9DD</t>
        </is>
      </c>
      <c r="W65" s="1698" t="inlineStr">
        <is>
          <t>61 Rangoon Road</t>
        </is>
      </c>
      <c r="X65" s="1698" t="inlineStr">
        <is>
          <t>Solihull</t>
        </is>
      </c>
      <c r="Y65" s="1698" t="n"/>
      <c r="Z65" s="1674" t="n"/>
      <c r="AA65" s="1674" t="n"/>
      <c r="AC65" s="1674" t="n"/>
    </row>
    <row r="66" ht="12.75" customHeight="1" s="1232">
      <c r="B66" s="511" t="n">
        <v>43394</v>
      </c>
      <c r="C66" s="1607" t="inlineStr">
        <is>
          <t>#01143</t>
        </is>
      </c>
      <c r="D66" s="1675" t="n">
        <v>120</v>
      </c>
      <c r="E66" s="1675" t="n"/>
      <c r="F66" s="1607" t="inlineStr">
        <is>
          <t>2hrs</t>
        </is>
      </c>
      <c r="G66" s="1675" t="n"/>
      <c r="H66" s="1674" t="n"/>
      <c r="I66" s="1674" t="n"/>
      <c r="J66" s="367" t="n">
        <v>43397</v>
      </c>
      <c r="K66" s="367" t="n"/>
      <c r="L66" s="367" t="n"/>
      <c r="M66" s="367" t="n"/>
      <c r="N66" s="367" t="n"/>
      <c r="O66" s="367" t="n"/>
      <c r="P66" s="1491" t="inlineStr">
        <is>
          <t xml:space="preserve">indi@cambabest.co.uk </t>
        </is>
      </c>
      <c r="Q66" s="1698" t="inlineStr">
        <is>
          <t>Mr</t>
        </is>
      </c>
      <c r="R66" s="1699" t="inlineStr">
        <is>
          <t xml:space="preserve">Indi </t>
        </is>
      </c>
      <c r="S66" s="1699" t="inlineStr">
        <is>
          <t>Pnaiser</t>
        </is>
      </c>
      <c r="T66" s="1700" t="inlineStr">
        <is>
          <t>30</t>
        </is>
      </c>
      <c r="U66" s="1701" t="inlineStr">
        <is>
          <t>07706160499</t>
        </is>
      </c>
      <c r="V66" s="1698" t="inlineStr">
        <is>
          <t>B9 4PY</t>
        </is>
      </c>
      <c r="W66" s="1698" t="inlineStr">
        <is>
          <t>Cambab Venetia Road</t>
        </is>
      </c>
      <c r="X66" s="1698" t="inlineStr">
        <is>
          <t>Bordesley Green</t>
        </is>
      </c>
      <c r="Y66" s="1698" t="n"/>
      <c r="Z66" s="1674" t="n"/>
      <c r="AA66" s="1674" t="n"/>
      <c r="AC66" s="1674" t="n"/>
    </row>
    <row r="67" ht="12.75" customHeight="1" s="1232">
      <c r="B67" s="511" t="n">
        <v>43428</v>
      </c>
      <c r="C67" s="1607" t="inlineStr">
        <is>
          <t>#01162</t>
        </is>
      </c>
      <c r="D67" s="1675" t="n">
        <v>180</v>
      </c>
      <c r="E67" s="1675" t="n"/>
      <c r="F67" s="1607" t="inlineStr">
        <is>
          <t>2 x 2hrs</t>
        </is>
      </c>
      <c r="G67" s="1675" t="n"/>
      <c r="H67" s="1674" t="n"/>
      <c r="I67" s="1674" t="n"/>
      <c r="J67" s="367" t="n">
        <v>43544</v>
      </c>
      <c r="K67" s="367" t="n"/>
      <c r="L67" s="367" t="n"/>
      <c r="M67" s="367" t="n"/>
      <c r="N67" s="367" t="n"/>
      <c r="O67" s="367" t="n"/>
      <c r="P67" s="1491" t="inlineStr">
        <is>
          <t xml:space="preserve">vnaddo@btinternet.com </t>
        </is>
      </c>
      <c r="Q67" s="1698" t="inlineStr">
        <is>
          <t>Mr</t>
        </is>
      </c>
      <c r="R67" s="1699" t="inlineStr">
        <is>
          <t>Neil</t>
        </is>
      </c>
      <c r="S67" s="1699" t="inlineStr">
        <is>
          <t>Propert</t>
        </is>
      </c>
      <c r="T67" s="1700" t="inlineStr">
        <is>
          <t>50</t>
        </is>
      </c>
      <c r="U67" s="1701" t="inlineStr">
        <is>
          <t>07790901125</t>
        </is>
      </c>
      <c r="V67" s="1698" t="inlineStr">
        <is>
          <t>CV10 0RE</t>
        </is>
      </c>
      <c r="W67" s="1698" t="inlineStr">
        <is>
          <t>34 Wakeford Close</t>
        </is>
      </c>
      <c r="X67" s="1698" t="inlineStr">
        <is>
          <t>Nuneaton</t>
        </is>
      </c>
      <c r="Y67" s="1698" t="n"/>
      <c r="Z67" s="1674" t="n"/>
      <c r="AA67" s="1674" t="n"/>
      <c r="AC67" s="1674" t="n"/>
    </row>
    <row r="68" ht="12.75" customHeight="1" s="1232">
      <c r="B68" s="511" t="n">
        <v>43446</v>
      </c>
      <c r="C68" s="1607" t="inlineStr">
        <is>
          <t>#01185</t>
        </is>
      </c>
      <c r="D68" s="1675" t="n">
        <v>360</v>
      </c>
      <c r="E68" s="1675" t="n"/>
      <c r="F68" s="1607" t="inlineStr">
        <is>
          <t>4 x 2hrs</t>
        </is>
      </c>
      <c r="G68" s="1675" t="n"/>
      <c r="H68" s="1674" t="n"/>
      <c r="I68" s="1674" t="n"/>
      <c r="J68" s="367" t="n"/>
      <c r="K68" s="367" t="n"/>
      <c r="L68" s="367" t="n"/>
      <c r="M68" s="367" t="n"/>
      <c r="N68" s="367" t="n"/>
      <c r="O68" s="367" t="n"/>
      <c r="P68" s="1374" t="inlineStr">
        <is>
          <t>annewatkinson@talk21.com</t>
        </is>
      </c>
      <c r="Q68" s="1568" t="inlineStr">
        <is>
          <t>Mrs</t>
        </is>
      </c>
      <c r="R68" s="1568" t="inlineStr">
        <is>
          <t xml:space="preserve">Anne </t>
        </is>
      </c>
      <c r="S68" s="1674" t="inlineStr">
        <is>
          <t>Watkinson</t>
        </is>
      </c>
      <c r="T68" s="238" t="inlineStr">
        <is>
          <t>67</t>
        </is>
      </c>
      <c r="U68" s="1604" t="inlineStr">
        <is>
          <t>07940178743</t>
        </is>
      </c>
      <c r="V68" s="1674" t="inlineStr">
        <is>
          <t>CV7 7DB</t>
        </is>
      </c>
      <c r="W68" s="331" t="inlineStr">
        <is>
          <t>17 Benton Green Lane</t>
        </is>
      </c>
      <c r="X68" s="1568" t="inlineStr">
        <is>
          <t>Berkswell</t>
        </is>
      </c>
      <c r="Y68" s="1698" t="n"/>
      <c r="Z68" s="1674" t="n"/>
      <c r="AA68" s="1674" t="n"/>
      <c r="AC68" s="1674" t="n"/>
    </row>
    <row r="69" ht="12.75" customHeight="1" s="1232">
      <c r="B69" s="511" t="n">
        <v>43472</v>
      </c>
      <c r="C69" s="1607" t="inlineStr">
        <is>
          <t>#01210</t>
        </is>
      </c>
      <c r="D69" s="1675" t="n">
        <v>395</v>
      </c>
      <c r="E69" s="1675" t="n"/>
      <c r="F69" s="1607" t="inlineStr">
        <is>
          <t>8hrs</t>
        </is>
      </c>
      <c r="G69" s="1675" t="n"/>
      <c r="H69" s="1674" t="n"/>
      <c r="I69" s="1674" t="n"/>
      <c r="J69" s="367" t="n">
        <v>43481</v>
      </c>
      <c r="K69" s="367" t="n"/>
      <c r="L69" s="367" t="n"/>
      <c r="M69" s="367" t="n"/>
      <c r="N69" s="367" t="n"/>
      <c r="O69" s="367" t="n"/>
      <c r="P69" s="1491" t="inlineStr">
        <is>
          <t xml:space="preserve">kenneth_hk1@hotmail.com </t>
        </is>
      </c>
      <c r="Q69" s="1698" t="inlineStr">
        <is>
          <t>Dr</t>
        </is>
      </c>
      <c r="R69" s="1699" t="inlineStr">
        <is>
          <t xml:space="preserve">kenneth </t>
        </is>
      </c>
      <c r="S69" s="1699" t="inlineStr">
        <is>
          <t>cheung</t>
        </is>
      </c>
      <c r="T69" s="1700" t="inlineStr">
        <is>
          <t>47</t>
        </is>
      </c>
      <c r="U69" s="1701" t="n"/>
      <c r="V69" s="1698" t="n"/>
      <c r="W69" s="1698" t="n"/>
      <c r="X69" s="1698" t="inlineStr">
        <is>
          <t>Australia</t>
        </is>
      </c>
      <c r="Y69" s="1698" t="n"/>
      <c r="Z69" s="1674" t="n"/>
      <c r="AA69" s="1674" t="n"/>
      <c r="AC69" s="1674" t="n"/>
    </row>
    <row r="70" ht="12.75" customHeight="1" s="1232">
      <c r="B70" s="511" t="n">
        <v>43518</v>
      </c>
      <c r="C70" s="1607" t="inlineStr">
        <is>
          <t>#01243</t>
        </is>
      </c>
      <c r="D70" s="1675" t="n">
        <v>65</v>
      </c>
      <c r="E70" s="1675" t="n"/>
      <c r="F70" s="1607" t="inlineStr">
        <is>
          <t>1hr</t>
        </is>
      </c>
      <c r="G70" s="1675" t="n"/>
      <c r="H70" s="1674" t="n"/>
      <c r="I70" s="1674" t="n"/>
      <c r="J70" s="367" t="n">
        <v>43518</v>
      </c>
      <c r="K70" s="367" t="n"/>
      <c r="L70" s="367" t="n"/>
      <c r="M70" s="367" t="n"/>
      <c r="N70" s="367" t="n"/>
      <c r="O70" s="367" t="n"/>
      <c r="P70" s="1491" t="inlineStr">
        <is>
          <t xml:space="preserve">jgox@btinternet.com </t>
        </is>
      </c>
      <c r="Q70" s="1698" t="inlineStr">
        <is>
          <t>Mrs</t>
        </is>
      </c>
      <c r="R70" s="1699" t="inlineStr">
        <is>
          <t>Jennifer</t>
        </is>
      </c>
      <c r="S70" s="1699" t="inlineStr">
        <is>
          <t>Box</t>
        </is>
      </c>
      <c r="T70" s="1700" t="inlineStr">
        <is>
          <t>68</t>
        </is>
      </c>
      <c r="U70" s="1701" t="inlineStr">
        <is>
          <t>07773414777</t>
        </is>
      </c>
      <c r="V70" s="1698" t="n"/>
      <c r="W70" s="1698" t="n"/>
      <c r="X70" s="1698" t="n"/>
      <c r="Y70" s="1698" t="n"/>
      <c r="Z70" s="1674" t="n"/>
      <c r="AA70" s="1674" t="n"/>
      <c r="AC70" s="1674" t="n"/>
    </row>
    <row r="71" ht="12.75" customHeight="1" s="1232">
      <c r="B71" s="511" t="n">
        <v>43556</v>
      </c>
      <c r="C71" s="1607" t="inlineStr">
        <is>
          <t>#01290</t>
        </is>
      </c>
      <c r="D71" s="1675" t="n">
        <v>65</v>
      </c>
      <c r="E71" s="1675" t="n"/>
      <c r="F71" s="1607" t="inlineStr">
        <is>
          <t>1hr</t>
        </is>
      </c>
      <c r="G71" s="1675" t="n"/>
      <c r="H71" s="1674" t="n"/>
      <c r="I71" s="1674" t="n"/>
      <c r="J71" s="367" t="n">
        <v>43565</v>
      </c>
      <c r="K71" s="367" t="n"/>
      <c r="L71" s="367" t="n"/>
      <c r="M71" s="367" t="n"/>
      <c r="N71" s="367" t="n"/>
      <c r="O71" s="367" t="n"/>
      <c r="P71" s="1490" t="inlineStr">
        <is>
          <t xml:space="preserve">francis.peckham@gmail.com </t>
        </is>
      </c>
      <c r="Q71" s="1698" t="inlineStr">
        <is>
          <t>Mr</t>
        </is>
      </c>
      <c r="R71" s="1699" t="inlineStr">
        <is>
          <t xml:space="preserve">Francis </t>
        </is>
      </c>
      <c r="S71" s="1699" t="inlineStr">
        <is>
          <t>Peckham</t>
        </is>
      </c>
      <c r="T71" s="1700" t="inlineStr">
        <is>
          <t>60</t>
        </is>
      </c>
      <c r="U71" s="1701" t="inlineStr">
        <is>
          <t>07772331677</t>
        </is>
      </c>
      <c r="V71" s="1698" t="inlineStr">
        <is>
          <t>SW10 9HB</t>
        </is>
      </c>
      <c r="W71" s="1698" t="inlineStr">
        <is>
          <t>46 A Redcliffe Gardens</t>
        </is>
      </c>
      <c r="X71" s="1698" t="inlineStr">
        <is>
          <t>London</t>
        </is>
      </c>
      <c r="Y71" s="1698" t="n"/>
      <c r="Z71" s="1674" t="n"/>
      <c r="AA71" s="1674" t="n"/>
      <c r="AC71" s="1674" t="n"/>
    </row>
    <row r="72" ht="12.75" customHeight="1" s="1232">
      <c r="B72" s="511" t="n">
        <v>43570</v>
      </c>
      <c r="C72" s="1607" t="inlineStr">
        <is>
          <t>#01314</t>
        </is>
      </c>
      <c r="D72" s="1675" t="n">
        <v>360</v>
      </c>
      <c r="E72" s="1675" t="n"/>
      <c r="F72" s="1607" t="inlineStr">
        <is>
          <t>4 x 2hrs</t>
        </is>
      </c>
      <c r="G72" s="1675" t="n"/>
      <c r="H72" s="1674" t="n"/>
      <c r="I72" s="1674" t="n"/>
      <c r="J72" s="367" t="n">
        <v>43571</v>
      </c>
      <c r="K72" s="367" t="n"/>
      <c r="L72" s="367" t="n"/>
      <c r="M72" s="367" t="n"/>
      <c r="N72" s="367" t="n"/>
      <c r="O72" s="367" t="n"/>
      <c r="P72" s="1491" t="inlineStr">
        <is>
          <t xml:space="preserve">john-perks@sky.com </t>
        </is>
      </c>
      <c r="Q72" s="1698" t="inlineStr">
        <is>
          <t>Mr</t>
        </is>
      </c>
      <c r="R72" s="1699" t="inlineStr">
        <is>
          <t>John</t>
        </is>
      </c>
      <c r="S72" s="1699" t="inlineStr">
        <is>
          <t>Perks</t>
        </is>
      </c>
      <c r="T72" s="1700" t="inlineStr">
        <is>
          <t>61</t>
        </is>
      </c>
      <c r="U72" s="1701" t="inlineStr">
        <is>
          <t>07812053939</t>
        </is>
      </c>
      <c r="V72" s="1698" t="inlineStr">
        <is>
          <t>Cv77fx</t>
        </is>
      </c>
      <c r="W72" s="1698" t="inlineStr">
        <is>
          <t>27 meeting house lane</t>
        </is>
      </c>
      <c r="X72" s="1698" t="inlineStr">
        <is>
          <t>Balsall Common</t>
        </is>
      </c>
      <c r="Y72" s="1698" t="n"/>
      <c r="Z72" s="1674" t="n"/>
      <c r="AA72" s="1674" t="n"/>
      <c r="AC72" s="1674" t="n"/>
    </row>
    <row r="73" ht="12.75" customHeight="1" s="1232">
      <c r="B73" s="511" t="n">
        <v>43571</v>
      </c>
      <c r="C73" s="1607" t="inlineStr">
        <is>
          <t>#01322</t>
        </is>
      </c>
      <c r="D73" s="1675" t="n">
        <v>360</v>
      </c>
      <c r="E73" s="1675" t="n"/>
      <c r="F73" s="1607" t="inlineStr">
        <is>
          <t>4 x 2hrs</t>
        </is>
      </c>
      <c r="G73" s="1675" t="n"/>
      <c r="H73" s="1674" t="n"/>
      <c r="I73" s="1674" t="n"/>
      <c r="J73" s="367" t="n">
        <v>43571</v>
      </c>
      <c r="K73" s="367" t="n"/>
      <c r="L73" s="367" t="n"/>
      <c r="M73" s="367" t="n"/>
      <c r="N73" s="367" t="n"/>
      <c r="O73" s="367" t="n"/>
      <c r="P73" s="1702" t="inlineStr">
        <is>
          <t xml:space="preserve">esterriordan@hotmail.co.uk </t>
        </is>
      </c>
      <c r="Q73" s="1568" t="inlineStr">
        <is>
          <t>Mrs</t>
        </is>
      </c>
      <c r="R73" s="1610" t="inlineStr">
        <is>
          <t>Ester</t>
        </is>
      </c>
      <c r="S73" s="1610" t="inlineStr">
        <is>
          <t>Riordan</t>
        </is>
      </c>
      <c r="T73" s="1604" t="inlineStr">
        <is>
          <t>65</t>
        </is>
      </c>
      <c r="U73" s="1604" t="inlineStr">
        <is>
          <t>07958419181</t>
        </is>
      </c>
      <c r="V73" s="1697" t="inlineStr">
        <is>
          <t>CV4 7HD</t>
        </is>
      </c>
      <c r="W73" s="1697" t="inlineStr">
        <is>
          <t>2 heritage court</t>
        </is>
      </c>
      <c r="X73" s="1568" t="inlineStr">
        <is>
          <t>Coventry</t>
        </is>
      </c>
      <c r="Y73" s="1697" t="n"/>
      <c r="Z73" s="1674" t="n"/>
      <c r="AA73" s="1674" t="n"/>
      <c r="AC73" s="1674" t="n"/>
    </row>
    <row r="74" ht="12.75" customHeight="1" s="1232">
      <c r="B74" s="511" t="n">
        <v>43585</v>
      </c>
      <c r="C74" s="1607" t="inlineStr">
        <is>
          <t>#01339</t>
        </is>
      </c>
      <c r="D74" s="1675" t="n">
        <v>65</v>
      </c>
      <c r="E74" s="1675" t="n"/>
      <c r="F74" s="1607" t="inlineStr">
        <is>
          <t>1hr</t>
        </is>
      </c>
      <c r="G74" s="1675" t="n"/>
      <c r="H74" s="1674" t="n"/>
      <c r="I74" s="1674" t="n"/>
      <c r="J74" s="367" t="n">
        <v>43586</v>
      </c>
      <c r="K74" s="367" t="n"/>
      <c r="L74" s="367" t="n"/>
      <c r="M74" s="367" t="n"/>
      <c r="N74" s="367" t="n"/>
      <c r="O74" s="367" t="n"/>
      <c r="P74" s="1490" t="inlineStr">
        <is>
          <t xml:space="preserve">francis.peckham@gmail.com </t>
        </is>
      </c>
      <c r="Q74" s="1698" t="inlineStr">
        <is>
          <t>Mr</t>
        </is>
      </c>
      <c r="R74" s="1699" t="inlineStr">
        <is>
          <t xml:space="preserve">Francis </t>
        </is>
      </c>
      <c r="S74" s="1699" t="inlineStr">
        <is>
          <t>Peckham</t>
        </is>
      </c>
      <c r="T74" s="1700" t="inlineStr">
        <is>
          <t>60</t>
        </is>
      </c>
      <c r="U74" s="1701" t="inlineStr">
        <is>
          <t>07772331677</t>
        </is>
      </c>
      <c r="V74" s="1698" t="inlineStr">
        <is>
          <t>SW10 9HB</t>
        </is>
      </c>
      <c r="W74" s="1698" t="inlineStr">
        <is>
          <t>46 A Redcliffe Gardens</t>
        </is>
      </c>
      <c r="X74" s="1698" t="inlineStr">
        <is>
          <t>London</t>
        </is>
      </c>
      <c r="Y74" s="1698" t="n"/>
      <c r="Z74" s="1674" t="n"/>
      <c r="AA74" s="1674" t="n"/>
      <c r="AC74" s="1674" t="n"/>
    </row>
    <row r="75" ht="12.75" customHeight="1" s="1232">
      <c r="B75" s="511" t="n">
        <v>43585</v>
      </c>
      <c r="C75" s="1607" t="inlineStr">
        <is>
          <t>#01341</t>
        </is>
      </c>
      <c r="D75" s="1675" t="n">
        <v>195</v>
      </c>
      <c r="E75" s="1675" t="n"/>
      <c r="F75" s="1607" t="inlineStr">
        <is>
          <t>4hrs</t>
        </is>
      </c>
      <c r="G75" s="1675" t="n"/>
      <c r="H75" s="1674" t="n"/>
      <c r="I75" s="1674" t="n"/>
      <c r="J75" s="367" t="n">
        <v>43587</v>
      </c>
      <c r="K75" s="367" t="n"/>
      <c r="L75" s="367" t="n"/>
      <c r="M75" s="367" t="n"/>
      <c r="N75" s="367" t="n"/>
      <c r="O75" s="367" t="n"/>
      <c r="P75" s="1491" t="inlineStr">
        <is>
          <t xml:space="preserve">mobrad7@gmail.com </t>
        </is>
      </c>
      <c r="Q75" s="1698" t="inlineStr">
        <is>
          <t>Mrs</t>
        </is>
      </c>
      <c r="R75" s="1699" t="inlineStr">
        <is>
          <t>Mo</t>
        </is>
      </c>
      <c r="S75" s="1699" t="inlineStr">
        <is>
          <t>Bradley</t>
        </is>
      </c>
      <c r="T75" s="1700" t="inlineStr">
        <is>
          <t>66</t>
        </is>
      </c>
      <c r="U75" s="1701" t="inlineStr">
        <is>
          <t>07884438053</t>
        </is>
      </c>
      <c r="V75" s="1698" t="inlineStr">
        <is>
          <t>B74 2QT</t>
        </is>
      </c>
      <c r="W75" s="1698" t="inlineStr">
        <is>
          <t>36 clarry drive, Four oaks</t>
        </is>
      </c>
      <c r="X75" s="1698" t="inlineStr">
        <is>
          <t>Sutton Coldfield</t>
        </is>
      </c>
      <c r="Y75" s="1698" t="n"/>
      <c r="Z75" s="1674" t="n"/>
      <c r="AA75" s="1674" t="n"/>
      <c r="AC75" s="1674" t="n"/>
    </row>
    <row r="76" ht="12.75" customHeight="1" s="1232">
      <c r="B76" s="511" t="n">
        <v>43588</v>
      </c>
      <c r="C76" s="1607" t="inlineStr">
        <is>
          <t>Direct</t>
        </is>
      </c>
      <c r="D76" s="1675" t="n">
        <v>360</v>
      </c>
      <c r="E76" s="1675" t="n"/>
      <c r="F76" s="1607" t="inlineStr">
        <is>
          <t>4 x 2hrs</t>
        </is>
      </c>
      <c r="G76" s="1675" t="n"/>
      <c r="H76" s="1674" t="n"/>
      <c r="I76" s="1674" t="n"/>
      <c r="J76" s="367" t="n">
        <v>43593</v>
      </c>
      <c r="K76" s="367" t="n"/>
      <c r="L76" s="367" t="n"/>
      <c r="M76" s="367" t="n"/>
      <c r="N76" s="367" t="n"/>
      <c r="O76" s="367" t="n"/>
      <c r="P76" s="1491" t="inlineStr">
        <is>
          <t>alancross9937@gmail.com</t>
        </is>
      </c>
      <c r="Q76" s="1698" t="inlineStr">
        <is>
          <t xml:space="preserve">Mr </t>
        </is>
      </c>
      <c r="R76" s="1699" t="inlineStr">
        <is>
          <t>Alan</t>
        </is>
      </c>
      <c r="S76" s="1699" t="inlineStr">
        <is>
          <t>Cross</t>
        </is>
      </c>
      <c r="T76" s="1700" t="inlineStr">
        <is>
          <t>90</t>
        </is>
      </c>
      <c r="U76" s="1701" t="n"/>
      <c r="V76" s="1698" t="inlineStr">
        <is>
          <t>CV7 7FR</t>
        </is>
      </c>
      <c r="W76" s="1698" t="inlineStr">
        <is>
          <t>12 Balsall Street East</t>
        </is>
      </c>
      <c r="X76" s="1698" t="inlineStr">
        <is>
          <t>Balsall Common</t>
        </is>
      </c>
      <c r="Y76" s="1698" t="n"/>
      <c r="Z76" s="1674" t="n"/>
      <c r="AA76" s="1674" t="n"/>
      <c r="AC76" s="1674" t="n"/>
    </row>
    <row r="77" ht="12.75" customHeight="1" s="1232">
      <c r="B77" s="511" t="n">
        <v>43607</v>
      </c>
      <c r="C77" s="1607" t="inlineStr">
        <is>
          <t>#01364</t>
        </is>
      </c>
      <c r="D77" s="1675" t="n">
        <v>100</v>
      </c>
      <c r="E77" s="1675" t="n"/>
      <c r="F77" s="1607" t="inlineStr">
        <is>
          <t>2hrs</t>
        </is>
      </c>
      <c r="G77" s="1675" t="n"/>
      <c r="H77" s="1674" t="n"/>
      <c r="I77" s="1674" t="n"/>
      <c r="J77" s="367" t="n">
        <v>43612</v>
      </c>
      <c r="K77" s="367" t="n"/>
      <c r="L77" s="367" t="n"/>
      <c r="M77" s="367" t="n"/>
      <c r="N77" s="367" t="n"/>
      <c r="O77" s="367" t="n"/>
      <c r="P77" s="1491" t="inlineStr">
        <is>
          <t xml:space="preserve">alex.prior.sampson@gmail.com </t>
        </is>
      </c>
      <c r="Q77" s="1698" t="inlineStr">
        <is>
          <t>Mr</t>
        </is>
      </c>
      <c r="R77" s="1699" t="inlineStr">
        <is>
          <t>Alex</t>
        </is>
      </c>
      <c r="S77" s="1699" t="inlineStr">
        <is>
          <t>Sampson</t>
        </is>
      </c>
      <c r="T77" s="1700" t="inlineStr">
        <is>
          <t>35</t>
        </is>
      </c>
      <c r="U77" s="1701" t="inlineStr">
        <is>
          <t>07900588819</t>
        </is>
      </c>
      <c r="V77" s="1698" t="inlineStr">
        <is>
          <t>E18 1JS</t>
        </is>
      </c>
      <c r="W77" s="1698" t="inlineStr">
        <is>
          <t>13 Essex Road</t>
        </is>
      </c>
      <c r="X77" s="1698" t="inlineStr">
        <is>
          <t>London</t>
        </is>
      </c>
      <c r="Y77" s="1698" t="n"/>
      <c r="Z77" s="1674" t="n"/>
      <c r="AA77" s="1674" t="n"/>
      <c r="AC77" s="1674" t="n"/>
    </row>
    <row r="78" ht="12.75" customHeight="1" s="1232">
      <c r="B78" s="511" t="n">
        <v>43630</v>
      </c>
      <c r="C78" s="1607" t="inlineStr">
        <is>
          <t>Direct</t>
        </is>
      </c>
      <c r="D78" s="1675" t="n">
        <v>195</v>
      </c>
      <c r="E78" s="1675" t="n"/>
      <c r="F78" s="1607" t="inlineStr">
        <is>
          <t>4hrs</t>
        </is>
      </c>
      <c r="G78" s="1675" t="n"/>
      <c r="H78" s="1674" t="n"/>
      <c r="I78" s="1674" t="n"/>
      <c r="J78" s="367" t="n">
        <v>43636</v>
      </c>
      <c r="K78" s="367" t="n"/>
      <c r="L78" s="367" t="n"/>
      <c r="M78" s="367" t="n"/>
      <c r="N78" s="367" t="n"/>
      <c r="O78" s="367" t="n"/>
      <c r="P78" s="1491" t="inlineStr">
        <is>
          <t>sheilacoughlan1958@gmail.com</t>
        </is>
      </c>
      <c r="Q78" s="1698" t="inlineStr">
        <is>
          <t>Mrs</t>
        </is>
      </c>
      <c r="R78" s="1699" t="inlineStr">
        <is>
          <t xml:space="preserve">Sheila </t>
        </is>
      </c>
      <c r="S78" s="1699" t="inlineStr">
        <is>
          <t>Coughlan</t>
        </is>
      </c>
      <c r="T78" s="1700" t="n"/>
      <c r="U78" s="1701" t="inlineStr">
        <is>
          <t>07453947504</t>
        </is>
      </c>
      <c r="V78" s="1698" t="inlineStr">
        <is>
          <t>CV31 1JB</t>
        </is>
      </c>
      <c r="W78" s="1698" t="inlineStr">
        <is>
          <t>3 Rushmore Terrace</t>
        </is>
      </c>
      <c r="X78" s="1698" t="inlineStr">
        <is>
          <t>Leamington Spa</t>
        </is>
      </c>
      <c r="Y78" s="1698" t="n"/>
      <c r="Z78" s="1674" t="n"/>
      <c r="AA78" s="1674" t="n"/>
      <c r="AC78" s="1674" t="n"/>
    </row>
    <row r="79" ht="12.75" customHeight="1" s="1232">
      <c r="B79" s="511" t="n">
        <v>43630</v>
      </c>
      <c r="C79" s="1607" t="inlineStr">
        <is>
          <t>#01389</t>
        </is>
      </c>
      <c r="D79" s="1675" t="n">
        <v>130</v>
      </c>
      <c r="E79" s="1675" t="n"/>
      <c r="F79" s="1607" t="inlineStr">
        <is>
          <t>2hrs</t>
        </is>
      </c>
      <c r="G79" s="1675" t="n"/>
      <c r="H79" s="1674" t="n"/>
      <c r="I79" s="1674" t="n"/>
      <c r="J79" s="367" t="n">
        <v>43633</v>
      </c>
      <c r="K79" s="367" t="n"/>
      <c r="L79" s="367" t="n"/>
      <c r="M79" s="367" t="n"/>
      <c r="N79" s="367" t="n"/>
      <c r="O79" s="367" t="n"/>
      <c r="P79" s="1491" t="inlineStr">
        <is>
          <t xml:space="preserve">neill.smith33@hotmail.co.uk </t>
        </is>
      </c>
      <c r="Q79" s="1698" t="inlineStr">
        <is>
          <t>Mr</t>
        </is>
      </c>
      <c r="R79" s="1699" t="inlineStr">
        <is>
          <t>Neil</t>
        </is>
      </c>
      <c r="S79" s="1699" t="inlineStr">
        <is>
          <t>Smith</t>
        </is>
      </c>
      <c r="T79" s="1700" t="inlineStr">
        <is>
          <t>43</t>
        </is>
      </c>
      <c r="U79" s="1701" t="inlineStr">
        <is>
          <t>07500080486</t>
        </is>
      </c>
      <c r="V79" s="1698" t="inlineStr">
        <is>
          <t>CV23 8UA</t>
        </is>
      </c>
      <c r="W79" s="1698" t="inlineStr">
        <is>
          <t>5A Rugby Road</t>
        </is>
      </c>
      <c r="X79" s="1698" t="inlineStr">
        <is>
          <t>Rugby</t>
        </is>
      </c>
      <c r="Y79" s="1698" t="n"/>
      <c r="Z79" s="1674" t="n"/>
      <c r="AA79" s="1674" t="n"/>
      <c r="AC79" s="1674" t="n"/>
    </row>
    <row r="80" ht="12.75" customHeight="1" s="1232">
      <c r="B80" s="511" t="n">
        <v>43649</v>
      </c>
      <c r="C80" s="1607" t="inlineStr">
        <is>
          <t>Direct</t>
        </is>
      </c>
      <c r="D80" s="1675" t="n">
        <v>360</v>
      </c>
      <c r="E80" s="1675" t="n"/>
      <c r="F80" s="1607" t="inlineStr">
        <is>
          <t>4 x 2hrs</t>
        </is>
      </c>
      <c r="G80" s="1675" t="n"/>
      <c r="H80" s="1674" t="n"/>
      <c r="I80" s="1674" t="n"/>
      <c r="J80" s="367" t="n">
        <v>43669</v>
      </c>
      <c r="K80" s="367" t="n"/>
      <c r="L80" s="367" t="n"/>
      <c r="M80" s="367" t="n"/>
      <c r="N80" s="367" t="n"/>
      <c r="O80" s="367" t="n"/>
      <c r="P80" s="1491" t="inlineStr">
        <is>
          <t xml:space="preserve">mobrad7@gmail.com </t>
        </is>
      </c>
      <c r="Q80" s="1698" t="inlineStr">
        <is>
          <t>Mr</t>
        </is>
      </c>
      <c r="R80" s="1699" t="inlineStr">
        <is>
          <t>Mo Bradley</t>
        </is>
      </c>
      <c r="S80" s="1699" t="inlineStr">
        <is>
          <t>Bradley</t>
        </is>
      </c>
      <c r="T80" s="1700" t="n"/>
      <c r="U80" s="1604" t="inlineStr">
        <is>
          <t>07884438053</t>
        </is>
      </c>
      <c r="V80" s="1698" t="n"/>
      <c r="W80" s="1698" t="n"/>
      <c r="X80" s="1698" t="n"/>
      <c r="Y80" s="1698" t="n"/>
      <c r="Z80" s="1674" t="n"/>
      <c r="AA80" s="1674" t="n"/>
      <c r="AC80" s="1674" t="n"/>
    </row>
    <row r="81" ht="12.75" customHeight="1" s="1232">
      <c r="B81" s="511" t="n">
        <v>43651</v>
      </c>
      <c r="C81" s="1607" t="inlineStr">
        <is>
          <t>#01398</t>
        </is>
      </c>
      <c r="D81" s="1675" t="n">
        <v>85</v>
      </c>
      <c r="E81" s="1675" t="n"/>
      <c r="F81" s="1607" t="inlineStr">
        <is>
          <t>1hr</t>
        </is>
      </c>
      <c r="G81" s="1675" t="n"/>
      <c r="H81" s="1674" t="n"/>
      <c r="I81" s="1674" t="n"/>
      <c r="J81" s="367" t="n">
        <v>43653</v>
      </c>
      <c r="K81" s="367" t="n"/>
      <c r="L81" s="367" t="n"/>
      <c r="M81" s="367" t="n"/>
      <c r="N81" s="367" t="n"/>
      <c r="O81" s="367" t="n"/>
      <c r="P81" s="1491" t="inlineStr">
        <is>
          <t xml:space="preserve">emma_moxon1986@hotmail.co.uk </t>
        </is>
      </c>
      <c r="Q81" s="1698" t="inlineStr">
        <is>
          <t>Mr</t>
        </is>
      </c>
      <c r="R81" s="1699" t="inlineStr">
        <is>
          <t>Steffan</t>
        </is>
      </c>
      <c r="S81" s="1699" t="inlineStr">
        <is>
          <t>Chave</t>
        </is>
      </c>
      <c r="T81" s="1700" t="inlineStr">
        <is>
          <t>31</t>
        </is>
      </c>
      <c r="U81" s="1604" t="inlineStr">
        <is>
          <t>07535 543146</t>
        </is>
      </c>
      <c r="V81" s="1698" t="inlineStr">
        <is>
          <t>CV31 2TG</t>
        </is>
      </c>
      <c r="W81" s="1698" t="inlineStr">
        <is>
          <t>56 Montgomery Road</t>
        </is>
      </c>
      <c r="X81" s="1698" t="inlineStr">
        <is>
          <t>Leamington Spa</t>
        </is>
      </c>
      <c r="Y81" s="1698" t="n"/>
      <c r="Z81" s="1674" t="n"/>
      <c r="AA81" s="1674" t="n"/>
      <c r="AC81" s="1674" t="n"/>
    </row>
    <row r="82" ht="12.75" customHeight="1" s="1232">
      <c r="B82" s="511" t="n">
        <v>43661</v>
      </c>
      <c r="C82" s="1607" t="inlineStr">
        <is>
          <t>Direct PayPal</t>
        </is>
      </c>
      <c r="D82" s="1675" t="n">
        <v>120</v>
      </c>
      <c r="E82" s="1675" t="n"/>
      <c r="F82" s="1607" t="inlineStr">
        <is>
          <t>2hrs</t>
        </is>
      </c>
      <c r="G82" s="1675" t="n"/>
      <c r="H82" s="1674" t="n"/>
      <c r="I82" s="1674" t="n"/>
      <c r="J82" s="367" t="n">
        <v>43670</v>
      </c>
      <c r="K82" s="367" t="n"/>
      <c r="L82" s="367" t="n"/>
      <c r="M82" s="367" t="n"/>
      <c r="N82" s="367" t="n"/>
      <c r="O82" s="367" t="n"/>
      <c r="P82" s="1490" t="inlineStr">
        <is>
          <t>dreamsjoinery@gmail.com</t>
        </is>
      </c>
      <c r="Q82" s="1615" t="inlineStr">
        <is>
          <t>Mr</t>
        </is>
      </c>
      <c r="R82" s="1615" t="inlineStr">
        <is>
          <t>Charles</t>
        </is>
      </c>
      <c r="S82" s="1615" t="inlineStr">
        <is>
          <t>Lewis</t>
        </is>
      </c>
      <c r="T82" s="1616" t="inlineStr">
        <is>
          <t>48</t>
        </is>
      </c>
      <c r="U82" s="1604" t="inlineStr">
        <is>
          <t>07957332743</t>
        </is>
      </c>
      <c r="V82" s="1615" t="inlineStr">
        <is>
          <t>B91 2lr</t>
        </is>
      </c>
      <c r="W82" s="1615" t="inlineStr">
        <is>
          <t>19 redlands road</t>
        </is>
      </c>
      <c r="X82" s="1615" t="inlineStr">
        <is>
          <t>solihull</t>
        </is>
      </c>
      <c r="Y82" s="1698" t="n"/>
      <c r="Z82" s="1674" t="n"/>
      <c r="AA82" s="1674" t="n"/>
      <c r="AC82" s="1674" t="n"/>
    </row>
    <row r="83" ht="12.75" customHeight="1" s="1232">
      <c r="B83" s="511" t="n">
        <v>43671</v>
      </c>
      <c r="C83" s="1607" t="inlineStr">
        <is>
          <t>#01418</t>
        </is>
      </c>
      <c r="D83" s="1675" t="n">
        <v>395</v>
      </c>
      <c r="E83" s="1675" t="n"/>
      <c r="F83" s="1607" t="inlineStr">
        <is>
          <t>8hrs</t>
        </is>
      </c>
      <c r="G83" s="1675" t="n"/>
      <c r="H83" s="1674" t="n"/>
      <c r="I83" s="1674" t="n"/>
      <c r="J83" s="641" t="inlineStr">
        <is>
          <t>TBA</t>
        </is>
      </c>
      <c r="K83" s="641" t="n"/>
      <c r="L83" s="641" t="n"/>
      <c r="M83" s="641" t="n"/>
      <c r="N83" s="641" t="n"/>
      <c r="O83" s="641" t="n"/>
      <c r="P83" s="1491" t="inlineStr">
        <is>
          <t xml:space="preserve">tojgly@gmail.com </t>
        </is>
      </c>
      <c r="Q83" s="1698" t="inlineStr">
        <is>
          <t>Mr</t>
        </is>
      </c>
      <c r="R83" s="1699" t="inlineStr">
        <is>
          <t>Asker</t>
        </is>
      </c>
      <c r="S83" s="1699" t="inlineStr">
        <is>
          <t xml:space="preserve"> Jeukendrup</t>
        </is>
      </c>
      <c r="T83" s="1700" t="inlineStr">
        <is>
          <t>50</t>
        </is>
      </c>
      <c r="U83" s="1604" t="inlineStr">
        <is>
          <t>07824398438</t>
        </is>
      </c>
      <c r="V83" s="1698" t="inlineStr">
        <is>
          <t>B48 7QZ</t>
        </is>
      </c>
      <c r="W83" s="1698" t="inlineStr">
        <is>
          <t>Rowney Green Lane</t>
        </is>
      </c>
      <c r="X83" s="1698" t="inlineStr">
        <is>
          <t xml:space="preserve">Rowney Green, </t>
        </is>
      </c>
      <c r="Y83" s="1698" t="n"/>
      <c r="Z83" s="1674" t="n"/>
      <c r="AA83" s="1674" t="n"/>
      <c r="AC83" s="1674" t="n"/>
    </row>
    <row r="84" ht="12.75" customHeight="1" s="1232">
      <c r="B84" s="511" t="n">
        <v>43705</v>
      </c>
      <c r="C84" s="1607" t="inlineStr">
        <is>
          <t>#01449</t>
        </is>
      </c>
      <c r="D84" s="1675" t="n">
        <v>360</v>
      </c>
      <c r="E84" s="1675" t="n"/>
      <c r="F84" s="1607" t="inlineStr">
        <is>
          <t>4 x 2hrs</t>
        </is>
      </c>
      <c r="G84" s="1675" t="n"/>
      <c r="H84" s="1674" t="n"/>
      <c r="I84" s="1674" t="n"/>
      <c r="J84" s="641" t="inlineStr">
        <is>
          <t>TBA</t>
        </is>
      </c>
      <c r="K84" s="641" t="n"/>
      <c r="L84" s="641" t="n"/>
      <c r="M84" s="641" t="n"/>
      <c r="N84" s="641" t="n"/>
      <c r="O84" s="641" t="n"/>
      <c r="P84" s="1491" t="inlineStr">
        <is>
          <t xml:space="preserve">billrlove@mac.com </t>
        </is>
      </c>
      <c r="Q84" s="1698" t="inlineStr">
        <is>
          <t>Mr</t>
        </is>
      </c>
      <c r="R84" s="1699" t="inlineStr">
        <is>
          <t xml:space="preserve">William </t>
        </is>
      </c>
      <c r="S84" s="1699" t="inlineStr">
        <is>
          <t>Love</t>
        </is>
      </c>
      <c r="T84" s="1700" t="inlineStr">
        <is>
          <t>54</t>
        </is>
      </c>
      <c r="U84" s="1604" t="inlineStr">
        <is>
          <t>07484138912</t>
        </is>
      </c>
      <c r="V84" s="1698" t="inlineStr">
        <is>
          <t>B14 7EY</t>
        </is>
      </c>
      <c r="W84" s="1698" t="inlineStr">
        <is>
          <t>55 Institute Road</t>
        </is>
      </c>
      <c r="X84" s="1698" t="inlineStr">
        <is>
          <t>Kings Heath</t>
        </is>
      </c>
      <c r="Y84" s="1698" t="n"/>
      <c r="Z84" s="1674" t="n"/>
      <c r="AA84" s="1674" t="n"/>
      <c r="AC84" s="1674" t="n"/>
    </row>
    <row r="85" ht="12.75" customHeight="1" s="1232">
      <c r="B85" s="511" t="n">
        <v>43709</v>
      </c>
      <c r="C85" s="1607" t="inlineStr">
        <is>
          <t>#01453</t>
        </is>
      </c>
      <c r="D85" s="1675" t="n">
        <v>360</v>
      </c>
      <c r="E85" s="1675" t="n"/>
      <c r="F85" s="1607" t="inlineStr">
        <is>
          <t>4 x 2hrs</t>
        </is>
      </c>
      <c r="G85" s="1675" t="n"/>
      <c r="H85" s="1674" t="n"/>
      <c r="I85" s="1674" t="n"/>
      <c r="J85" s="641" t="inlineStr">
        <is>
          <t>TBA</t>
        </is>
      </c>
      <c r="K85" s="641" t="n"/>
      <c r="L85" s="641" t="n"/>
      <c r="M85" s="641" t="n"/>
      <c r="N85" s="641" t="n"/>
      <c r="O85" s="641" t="n"/>
      <c r="P85" s="1491" t="inlineStr">
        <is>
          <t xml:space="preserve">martparkes@me.com </t>
        </is>
      </c>
      <c r="Q85" s="1698" t="inlineStr">
        <is>
          <t>Ms</t>
        </is>
      </c>
      <c r="R85" s="1699" t="inlineStr">
        <is>
          <t>Martine</t>
        </is>
      </c>
      <c r="S85" s="1699" t="inlineStr">
        <is>
          <t>Parks</t>
        </is>
      </c>
      <c r="T85" s="1700" t="inlineStr">
        <is>
          <t>32</t>
        </is>
      </c>
      <c r="U85" s="1604" t="inlineStr">
        <is>
          <t>07572429829</t>
        </is>
      </c>
      <c r="V85" s="1698" t="inlineStr">
        <is>
          <t>DY3 4BA</t>
        </is>
      </c>
      <c r="W85" s="1698" t="inlineStr">
        <is>
          <t>4 Brick Kiln Way</t>
        </is>
      </c>
      <c r="X85" s="1698" t="inlineStr">
        <is>
          <t>Dudley</t>
        </is>
      </c>
      <c r="Y85" s="1698" t="n"/>
      <c r="Z85" s="1674" t="n"/>
      <c r="AA85" s="1674" t="n"/>
      <c r="AC85" s="1674" t="n"/>
    </row>
    <row r="86" ht="12.75" customHeight="1" s="1232">
      <c r="B86" s="511" t="n">
        <v>43717</v>
      </c>
      <c r="C86" s="1607" t="inlineStr">
        <is>
          <t>#01461</t>
        </is>
      </c>
      <c r="D86" s="1675" t="n">
        <v>120</v>
      </c>
      <c r="E86" s="1675" t="n"/>
      <c r="F86" s="1607" t="inlineStr">
        <is>
          <t>2 hrs</t>
        </is>
      </c>
      <c r="G86" s="1675" t="n"/>
      <c r="H86" s="1674" t="n"/>
      <c r="I86" s="1674" t="n"/>
      <c r="J86" s="367" t="n">
        <v>43745</v>
      </c>
      <c r="K86" s="367" t="n"/>
      <c r="L86" s="367" t="n"/>
      <c r="M86" s="367" t="n"/>
      <c r="N86" s="367" t="n"/>
      <c r="O86" s="367" t="n"/>
      <c r="P86" s="1491" t="inlineStr">
        <is>
          <t xml:space="preserve">jan@nomadians.co.uk </t>
        </is>
      </c>
      <c r="Q86" s="1698" t="inlineStr">
        <is>
          <t>Mrs</t>
        </is>
      </c>
      <c r="R86" s="1699" t="inlineStr">
        <is>
          <t xml:space="preserve">Janet </t>
        </is>
      </c>
      <c r="S86" s="1699" t="inlineStr">
        <is>
          <t>Boulter</t>
        </is>
      </c>
      <c r="T86" s="1700" t="inlineStr">
        <is>
          <t>63</t>
        </is>
      </c>
      <c r="U86" s="1604" t="inlineStr">
        <is>
          <t>07540331590</t>
        </is>
      </c>
      <c r="V86" s="1698" t="inlineStr">
        <is>
          <t>cv370rs</t>
        </is>
      </c>
      <c r="W86" s="1698" t="inlineStr">
        <is>
          <t>2 Coopers Close</t>
        </is>
      </c>
      <c r="X86" s="1698" t="inlineStr">
        <is>
          <t>Stratford upon avon</t>
        </is>
      </c>
      <c r="Y86" s="1698" t="n"/>
      <c r="Z86" s="1674" t="n"/>
      <c r="AA86" s="1674" t="n"/>
      <c r="AC86" s="1674" t="n"/>
    </row>
    <row r="87" ht="12.75" customHeight="1" s="1232">
      <c r="B87" s="511" t="n">
        <v>43717</v>
      </c>
      <c r="C87" s="1607" t="inlineStr">
        <is>
          <t>#01463</t>
        </is>
      </c>
      <c r="D87" s="1675" t="n">
        <v>310</v>
      </c>
      <c r="E87" s="1675" t="n"/>
      <c r="F87" s="1607" t="inlineStr">
        <is>
          <t>4 x 2hrs</t>
        </is>
      </c>
      <c r="G87" s="1675" t="n"/>
      <c r="H87" s="1674" t="n"/>
      <c r="I87" s="1674" t="n"/>
      <c r="J87" s="367" t="n">
        <v>43784</v>
      </c>
      <c r="K87" s="367" t="n"/>
      <c r="L87" s="367" t="n"/>
      <c r="M87" s="367" t="n"/>
      <c r="N87" s="367" t="n"/>
      <c r="O87" s="367" t="n"/>
      <c r="P87" s="1491" t="inlineStr">
        <is>
          <t xml:space="preserve">chrisb02@live.co.uk </t>
        </is>
      </c>
      <c r="Q87" s="1698" t="inlineStr">
        <is>
          <t>mr</t>
        </is>
      </c>
      <c r="R87" s="1699" t="inlineStr">
        <is>
          <t xml:space="preserve">Christopher </t>
        </is>
      </c>
      <c r="S87" s="1699" t="inlineStr">
        <is>
          <t>Burnard</t>
        </is>
      </c>
      <c r="T87" s="1700" t="inlineStr">
        <is>
          <t>54</t>
        </is>
      </c>
      <c r="U87" s="1604" t="inlineStr">
        <is>
          <t>07772843145</t>
        </is>
      </c>
      <c r="V87" s="1698" t="inlineStr">
        <is>
          <t>CV116TT</t>
        </is>
      </c>
      <c r="W87" s="1698" t="inlineStr">
        <is>
          <t>26A, Turnberry Drive</t>
        </is>
      </c>
      <c r="X87" s="1698" t="inlineStr">
        <is>
          <t>Nuneaton</t>
        </is>
      </c>
      <c r="Y87" s="1698" t="n"/>
      <c r="Z87" s="1674" t="n"/>
      <c r="AA87" s="1674" t="n"/>
      <c r="AC87" s="1674" t="n"/>
    </row>
    <row r="88" ht="12.75" customHeight="1" s="1232">
      <c r="B88" s="511" t="n">
        <v>43725</v>
      </c>
      <c r="C88" s="1607" t="inlineStr">
        <is>
          <t>#01469</t>
        </is>
      </c>
      <c r="D88" s="1675" t="n">
        <v>360</v>
      </c>
      <c r="E88" s="1675" t="n"/>
      <c r="F88" s="1607" t="inlineStr">
        <is>
          <t>4 x 2hrs</t>
        </is>
      </c>
      <c r="G88" s="1675" t="n"/>
      <c r="H88" s="1674" t="n"/>
      <c r="I88" s="1674" t="n"/>
      <c r="J88" s="367" t="n"/>
      <c r="K88" s="367" t="n"/>
      <c r="L88" s="367" t="n"/>
      <c r="M88" s="367" t="n"/>
      <c r="N88" s="367" t="n"/>
      <c r="O88" s="367" t="n"/>
      <c r="P88" s="1491" t="inlineStr">
        <is>
          <t xml:space="preserve">amandajpercival@hotmail.com </t>
        </is>
      </c>
      <c r="Q88" s="1698" t="inlineStr">
        <is>
          <t>Ms</t>
        </is>
      </c>
      <c r="R88" s="1699" t="inlineStr">
        <is>
          <t>Amanda</t>
        </is>
      </c>
      <c r="S88" s="1699" t="inlineStr">
        <is>
          <t>Percivil</t>
        </is>
      </c>
      <c r="T88" s="1700" t="inlineStr">
        <is>
          <t>48</t>
        </is>
      </c>
      <c r="U88" s="1604" t="inlineStr">
        <is>
          <t>07792003944</t>
        </is>
      </c>
      <c r="V88" s="1698" t="inlineStr">
        <is>
          <t>B90 1RB</t>
        </is>
      </c>
      <c r="W88" s="1698" t="inlineStr">
        <is>
          <t>139 Rumbush Lane</t>
        </is>
      </c>
      <c r="X88" s="1698" t="inlineStr">
        <is>
          <t>Solihull</t>
        </is>
      </c>
      <c r="Y88" s="1698" t="n"/>
      <c r="Z88" s="1674" t="n"/>
      <c r="AA88" s="1674" t="n"/>
      <c r="AC88" s="1674" t="n"/>
    </row>
    <row r="89" ht="12.75" customHeight="1" s="1232">
      <c r="B89" s="511" t="n">
        <v>43745</v>
      </c>
      <c r="C89" s="1607" t="inlineStr">
        <is>
          <t>Direct</t>
        </is>
      </c>
      <c r="D89" s="1675" t="n">
        <v>360</v>
      </c>
      <c r="E89" s="1675" t="n"/>
      <c r="F89" s="1607" t="inlineStr">
        <is>
          <t>4 x 2hrs</t>
        </is>
      </c>
      <c r="G89" s="1675" t="n"/>
      <c r="H89" s="1674" t="n"/>
      <c r="I89" s="1674" t="n"/>
      <c r="J89" s="367" t="n"/>
      <c r="K89" s="367" t="n"/>
      <c r="L89" s="367" t="n"/>
      <c r="M89" s="367" t="n"/>
      <c r="N89" s="367" t="n"/>
      <c r="O89" s="367" t="n"/>
      <c r="P89" s="1374" t="inlineStr">
        <is>
          <t xml:space="preserve">dianasrichards@hotmail.com </t>
        </is>
      </c>
      <c r="Q89" s="1568" t="inlineStr">
        <is>
          <t>Mrs</t>
        </is>
      </c>
      <c r="R89" s="91" t="inlineStr">
        <is>
          <t>Diana</t>
        </is>
      </c>
      <c r="S89" s="91" t="inlineStr">
        <is>
          <t>Richards</t>
        </is>
      </c>
      <c r="T89" s="202" t="inlineStr">
        <is>
          <t>58</t>
        </is>
      </c>
      <c r="U89" s="510" t="inlineStr">
        <is>
          <t>07979814547</t>
        </is>
      </c>
      <c r="V89" s="1698" t="n"/>
      <c r="W89" s="1698" t="n"/>
      <c r="X89" s="1698" t="n"/>
      <c r="Y89" s="1698" t="n"/>
      <c r="Z89" s="1674" t="n"/>
      <c r="AA89" s="1674" t="n"/>
      <c r="AC89" s="1674" t="n"/>
    </row>
    <row r="90" ht="12.75" customHeight="1" s="1232">
      <c r="B90" s="511" t="n">
        <v>43780</v>
      </c>
      <c r="C90" s="1607" t="inlineStr">
        <is>
          <t>Direct</t>
        </is>
      </c>
      <c r="D90" s="1675" t="n">
        <v>360</v>
      </c>
      <c r="E90" s="1675" t="n"/>
      <c r="F90" s="1607" t="inlineStr">
        <is>
          <t>4 x 2hrs</t>
        </is>
      </c>
      <c r="G90" s="1675" t="n"/>
      <c r="H90" s="1674" t="n"/>
      <c r="I90" s="1674" t="n"/>
      <c r="J90" s="367" t="n">
        <v>43794</v>
      </c>
      <c r="K90" s="367" t="n"/>
      <c r="L90" s="367" t="n"/>
      <c r="M90" s="367" t="n"/>
      <c r="N90" s="367" t="n"/>
      <c r="O90" s="367" t="n"/>
      <c r="P90" s="1094" t="inlineStr">
        <is>
          <t>david.mcguire36@yahoo.co.uk</t>
        </is>
      </c>
      <c r="Q90" s="86" t="inlineStr">
        <is>
          <t>Mr</t>
        </is>
      </c>
      <c r="R90" s="1607" t="inlineStr">
        <is>
          <t xml:space="preserve">David </t>
        </is>
      </c>
      <c r="S90" s="1607" t="inlineStr">
        <is>
          <t>McGuire</t>
        </is>
      </c>
      <c r="T90" s="94" t="inlineStr">
        <is>
          <t>44</t>
        </is>
      </c>
      <c r="U90" s="1568" t="inlineStr">
        <is>
          <t>07894073125</t>
        </is>
      </c>
      <c r="V90" s="1568" t="inlineStr">
        <is>
          <t xml:space="preserve">B90 4DP </t>
        </is>
      </c>
      <c r="W90" s="1568" t="inlineStr">
        <is>
          <t xml:space="preserve">10 Charlecote Croft </t>
        </is>
      </c>
      <c r="X90" s="87" t="inlineStr">
        <is>
          <t>Solihull</t>
        </is>
      </c>
      <c r="Y90" s="1698" t="n"/>
      <c r="Z90" s="1674" t="n"/>
      <c r="AA90" s="1674" t="n"/>
      <c r="AC90" s="1674" t="n"/>
    </row>
    <row r="91" ht="12.75" customHeight="1" s="1232">
      <c r="B91" s="511" t="n">
        <v>43795</v>
      </c>
      <c r="C91" s="1607" t="inlineStr">
        <is>
          <t>Direct</t>
        </is>
      </c>
      <c r="D91" s="1675" t="n">
        <v>58.5</v>
      </c>
      <c r="E91" s="1675" t="n"/>
      <c r="F91" s="1607" t="inlineStr">
        <is>
          <t>1hr</t>
        </is>
      </c>
      <c r="G91" s="1675" t="n"/>
      <c r="H91" s="1674" t="n"/>
      <c r="I91" s="1674" t="n"/>
      <c r="J91" s="367" t="n">
        <v>43797</v>
      </c>
      <c r="K91" s="367" t="n"/>
      <c r="L91" s="367" t="n"/>
      <c r="M91" s="367" t="n"/>
      <c r="N91" s="367" t="n"/>
      <c r="O91" s="367" t="n"/>
      <c r="P91" s="1491" t="inlineStr">
        <is>
          <t>jgbox@btinternet.com</t>
        </is>
      </c>
      <c r="Q91" s="1698" t="inlineStr">
        <is>
          <t>Mrs</t>
        </is>
      </c>
      <c r="R91" s="1699" t="inlineStr">
        <is>
          <t xml:space="preserve">Jennifer </t>
        </is>
      </c>
      <c r="S91" s="1699" t="inlineStr">
        <is>
          <t>Box</t>
        </is>
      </c>
      <c r="T91" s="1700" t="inlineStr">
        <is>
          <t>68</t>
        </is>
      </c>
      <c r="U91" s="1604" t="inlineStr">
        <is>
          <t>07773414777</t>
        </is>
      </c>
      <c r="V91" s="1698" t="n"/>
      <c r="W91" s="1698" t="n"/>
      <c r="X91" s="1698" t="n"/>
      <c r="Y91" s="1698" t="n"/>
      <c r="Z91" s="1674" t="n"/>
      <c r="AA91" s="1674" t="n"/>
      <c r="AC91" s="1674" t="n"/>
    </row>
    <row r="92" ht="12.75" customHeight="1" s="1232">
      <c r="B92" s="511" t="n">
        <v>43800</v>
      </c>
      <c r="C92" s="1607" t="inlineStr">
        <is>
          <t>#01544</t>
        </is>
      </c>
      <c r="D92" s="1675" t="n">
        <v>225</v>
      </c>
      <c r="E92" s="1675" t="n"/>
      <c r="F92" s="1607" t="inlineStr">
        <is>
          <t>4hrs</t>
        </is>
      </c>
      <c r="G92" s="1675" t="n"/>
      <c r="H92" s="1674" t="n"/>
      <c r="I92" s="1674" t="n"/>
      <c r="J92" s="367" t="n">
        <v>43816</v>
      </c>
      <c r="K92" s="367" t="n"/>
      <c r="L92" s="367" t="n"/>
      <c r="M92" s="367" t="n"/>
      <c r="N92" s="367" t="n"/>
      <c r="O92" s="367" t="n"/>
      <c r="P92" s="1491" t="inlineStr">
        <is>
          <t xml:space="preserve">lizz1@hotmail.co.uk </t>
        </is>
      </c>
      <c r="Q92" s="1698" t="inlineStr">
        <is>
          <t>Mr</t>
        </is>
      </c>
      <c r="R92" s="1699" t="inlineStr">
        <is>
          <t>Sean</t>
        </is>
      </c>
      <c r="S92" s="1699" t="inlineStr">
        <is>
          <t>Dewhurst</t>
        </is>
      </c>
      <c r="T92" s="1700" t="inlineStr">
        <is>
          <t>50</t>
        </is>
      </c>
      <c r="U92" s="1604" t="n"/>
      <c r="V92" s="1698" t="n"/>
      <c r="W92" s="1698" t="n"/>
      <c r="X92" s="1698" t="n"/>
      <c r="Y92" s="1698" t="n"/>
      <c r="Z92" s="1674" t="n"/>
      <c r="AA92" s="1674" t="n"/>
      <c r="AC92" s="1674" t="n"/>
    </row>
    <row r="93" ht="12.75" customHeight="1" s="1232">
      <c r="B93" s="511" t="n">
        <v>43805</v>
      </c>
      <c r="C93" s="1607" t="inlineStr">
        <is>
          <t>#01547</t>
        </is>
      </c>
      <c r="D93" s="1675" t="n">
        <v>360</v>
      </c>
      <c r="E93" s="1675" t="n"/>
      <c r="F93" s="1607" t="inlineStr">
        <is>
          <t>4 x 2hrs</t>
        </is>
      </c>
      <c r="G93" s="1675" t="n"/>
      <c r="H93" s="1674" t="n"/>
      <c r="I93" s="1674" t="n"/>
      <c r="J93" s="367" t="n"/>
      <c r="K93" s="367" t="n"/>
      <c r="L93" s="367" t="n"/>
      <c r="M93" s="367" t="n"/>
      <c r="N93" s="367" t="n"/>
      <c r="O93" s="367" t="n"/>
      <c r="P93" s="1374" t="inlineStr">
        <is>
          <t>annewatkinson@talk21.com</t>
        </is>
      </c>
      <c r="Q93" s="1568" t="inlineStr">
        <is>
          <t>Mrs</t>
        </is>
      </c>
      <c r="R93" s="1568" t="inlineStr">
        <is>
          <t xml:space="preserve">Anne </t>
        </is>
      </c>
      <c r="S93" s="1674" t="inlineStr">
        <is>
          <t>Watkinson</t>
        </is>
      </c>
      <c r="T93" s="238" t="inlineStr">
        <is>
          <t>67</t>
        </is>
      </c>
      <c r="U93" s="1604" t="inlineStr">
        <is>
          <t>07940178743</t>
        </is>
      </c>
      <c r="V93" s="1674" t="inlineStr">
        <is>
          <t>CV7 7DB</t>
        </is>
      </c>
      <c r="W93" s="331" t="inlineStr">
        <is>
          <t>17 Benton Green Lane</t>
        </is>
      </c>
      <c r="X93" s="1568" t="inlineStr">
        <is>
          <t>Berkswell</t>
        </is>
      </c>
      <c r="Y93" s="1698" t="n"/>
      <c r="Z93" s="1674" t="n"/>
      <c r="AA93" s="1674" t="n"/>
      <c r="AC93" s="1674" t="n"/>
    </row>
    <row r="94" ht="12.75" customHeight="1" s="1232">
      <c r="B94" s="511" t="n">
        <v>43818</v>
      </c>
      <c r="C94" s="1607" t="inlineStr">
        <is>
          <t>#01567</t>
        </is>
      </c>
      <c r="D94" s="1675" t="n">
        <v>85</v>
      </c>
      <c r="E94" s="1675" t="n"/>
      <c r="F94" s="1607" t="inlineStr">
        <is>
          <t>1hr</t>
        </is>
      </c>
      <c r="G94" s="1675" t="n"/>
      <c r="H94" s="1674" t="n"/>
      <c r="I94" s="1674" t="n"/>
      <c r="J94" s="367" t="n"/>
      <c r="K94" s="367" t="n"/>
      <c r="L94" s="367" t="n"/>
      <c r="M94" s="367" t="n"/>
      <c r="N94" s="367" t="n"/>
      <c r="O94" s="367" t="n"/>
      <c r="P94" s="767" t="inlineStr">
        <is>
          <t xml:space="preserve">am.nuria@yahoo.co.uk </t>
        </is>
      </c>
      <c r="Q94" s="86" t="inlineStr">
        <is>
          <t>Ms</t>
        </is>
      </c>
      <c r="R94" s="550" t="inlineStr">
        <is>
          <t xml:space="preserve">Nuria </t>
        </is>
      </c>
      <c r="S94" s="550" t="inlineStr">
        <is>
          <t>Alonso</t>
        </is>
      </c>
      <c r="T94" s="551" t="inlineStr">
        <is>
          <t>46</t>
        </is>
      </c>
      <c r="U94" s="1604" t="inlineStr">
        <is>
          <t>07788775975</t>
        </is>
      </c>
      <c r="V94" s="1697" t="inlineStr">
        <is>
          <t>CV3 6HU</t>
        </is>
      </c>
      <c r="W94" s="1568" t="inlineStr">
        <is>
          <t>10 Hiron Croft</t>
        </is>
      </c>
      <c r="X94" s="87" t="inlineStr">
        <is>
          <t>Coventry</t>
        </is>
      </c>
      <c r="Y94" s="1698" t="n"/>
      <c r="Z94" s="1674" t="n"/>
      <c r="AA94" s="1674" t="n"/>
      <c r="AC94" s="1674" t="n"/>
    </row>
    <row r="95" ht="12.75" customHeight="1" s="1232">
      <c r="B95" s="511" t="n">
        <v>43823</v>
      </c>
      <c r="C95" s="1607" t="inlineStr">
        <is>
          <t>#01576</t>
        </is>
      </c>
      <c r="D95" s="1675" t="n">
        <v>65</v>
      </c>
      <c r="E95" s="1675" t="n"/>
      <c r="F95" s="1607" t="inlineStr">
        <is>
          <t>1hr</t>
        </is>
      </c>
      <c r="G95" s="1675" t="n"/>
      <c r="H95" s="1674" t="n"/>
      <c r="I95" s="1674" t="n"/>
      <c r="J95" s="367" t="n"/>
      <c r="K95" s="367" t="n"/>
      <c r="L95" s="367" t="n"/>
      <c r="M95" s="367" t="n"/>
      <c r="N95" s="367" t="n"/>
      <c r="O95" s="367" t="n"/>
      <c r="P95" s="1491" t="inlineStr">
        <is>
          <t xml:space="preserve">nicoledejong@hotmail.co.uk </t>
        </is>
      </c>
      <c r="Q95" s="1698" t="inlineStr">
        <is>
          <t>Mr</t>
        </is>
      </c>
      <c r="R95" s="1699" t="inlineStr">
        <is>
          <t xml:space="preserve">Ray </t>
        </is>
      </c>
      <c r="S95" s="1699" t="inlineStr">
        <is>
          <t>de Jong</t>
        </is>
      </c>
      <c r="T95" s="1700" t="inlineStr">
        <is>
          <t>58</t>
        </is>
      </c>
      <c r="U95" s="1604" t="inlineStr">
        <is>
          <t>07855469735</t>
        </is>
      </c>
      <c r="V95" s="1698" t="n"/>
      <c r="W95" s="1698" t="n"/>
      <c r="X95" s="1698" t="n"/>
      <c r="Y95" s="1698" t="n"/>
      <c r="Z95" s="1674" t="n"/>
      <c r="AA95" s="1674" t="n"/>
      <c r="AC95" s="1674" t="n"/>
    </row>
    <row r="96" ht="12.75" customHeight="1" s="1232">
      <c r="B96" s="511" t="n">
        <v>43829</v>
      </c>
      <c r="C96" s="1607" t="inlineStr">
        <is>
          <t>#01579</t>
        </is>
      </c>
      <c r="D96" s="1675" t="n">
        <v>120</v>
      </c>
      <c r="E96" s="1675" t="n"/>
      <c r="F96" s="1607" t="inlineStr">
        <is>
          <t>2hrs</t>
        </is>
      </c>
      <c r="G96" s="1675" t="n"/>
      <c r="H96" s="1674" t="n"/>
      <c r="I96" s="1674" t="n"/>
      <c r="J96" s="367" t="n">
        <v>43841</v>
      </c>
      <c r="K96" s="367" t="n"/>
      <c r="L96" s="367" t="n"/>
      <c r="M96" s="367" t="n"/>
      <c r="N96" s="367" t="n"/>
      <c r="O96" s="367" t="n"/>
      <c r="P96" s="1491" t="inlineStr">
        <is>
          <t xml:space="preserve">chris@rharrop.f9.co.uk </t>
        </is>
      </c>
      <c r="Q96" s="1698" t="inlineStr">
        <is>
          <t>Ms</t>
        </is>
      </c>
      <c r="R96" s="1699" t="inlineStr">
        <is>
          <t>Christine</t>
        </is>
      </c>
      <c r="S96" s="1699" t="inlineStr">
        <is>
          <t>Harrop</t>
        </is>
      </c>
      <c r="T96" s="1700" t="inlineStr">
        <is>
          <t>68</t>
        </is>
      </c>
      <c r="U96" s="1604" t="inlineStr">
        <is>
          <t>07914988012</t>
        </is>
      </c>
      <c r="V96" s="1698" t="inlineStr">
        <is>
          <t>OX49 5JW</t>
        </is>
      </c>
      <c r="W96" s="1698" t="n"/>
      <c r="X96" s="1698" t="inlineStr">
        <is>
          <t>Oxford</t>
        </is>
      </c>
      <c r="Y96" s="1698" t="n"/>
      <c r="Z96" s="1674" t="n"/>
      <c r="AA96" s="1674" t="n"/>
      <c r="AC96" s="1674" t="n"/>
    </row>
    <row r="97" ht="12.75" customHeight="1" s="1232">
      <c r="B97" s="511" t="n">
        <v>44196</v>
      </c>
      <c r="C97" s="1607" t="inlineStr">
        <is>
          <t>#01582</t>
        </is>
      </c>
      <c r="D97" s="1675" t="n">
        <v>65</v>
      </c>
      <c r="E97" s="1675" t="n"/>
      <c r="F97" s="1607" t="inlineStr">
        <is>
          <t>1hr</t>
        </is>
      </c>
      <c r="G97" s="1675" t="n"/>
      <c r="H97" s="1674" t="n"/>
      <c r="I97" s="1674" t="n"/>
      <c r="J97" s="367" t="n"/>
      <c r="K97" s="367" t="n"/>
      <c r="L97" s="367" t="n"/>
      <c r="M97" s="367" t="n"/>
      <c r="N97" s="367" t="n"/>
      <c r="O97" s="367" t="n"/>
      <c r="P97" s="1491" t="inlineStr">
        <is>
          <t xml:space="preserve">knpearce@hotmail.com </t>
        </is>
      </c>
      <c r="Q97" s="1699" t="inlineStr">
        <is>
          <t>Ms</t>
        </is>
      </c>
      <c r="R97" s="1703" t="inlineStr">
        <is>
          <t xml:space="preserve">Kirsten </t>
        </is>
      </c>
      <c r="S97" s="1703" t="inlineStr">
        <is>
          <t>Pearce</t>
        </is>
      </c>
      <c r="T97" s="1701" t="inlineStr">
        <is>
          <t>42</t>
        </is>
      </c>
      <c r="U97" s="1701" t="inlineStr">
        <is>
          <t>07866614574</t>
        </is>
      </c>
      <c r="V97" s="1701" t="inlineStr">
        <is>
          <t>CV6 2BB</t>
        </is>
      </c>
      <c r="W97" s="1699" t="inlineStr">
        <is>
          <t>101 Birchfield Road</t>
        </is>
      </c>
      <c r="X97" s="1701" t="inlineStr">
        <is>
          <t>Coventry</t>
        </is>
      </c>
      <c r="Y97" s="1699" t="n"/>
      <c r="Z97" s="1674" t="n"/>
      <c r="AA97" s="1674" t="n"/>
      <c r="AC97" s="1674" t="n"/>
    </row>
    <row r="98" ht="12.75" customHeight="1" s="1232">
      <c r="B98" s="511" t="n">
        <v>43832</v>
      </c>
      <c r="C98" s="1607" t="inlineStr">
        <is>
          <t>#01587</t>
        </is>
      </c>
      <c r="D98" s="1675" t="n">
        <v>120</v>
      </c>
      <c r="E98" s="1675" t="n"/>
      <c r="F98" s="1607" t="inlineStr">
        <is>
          <t>2hrs</t>
        </is>
      </c>
      <c r="G98" s="1675" t="n"/>
      <c r="H98" s="1674" t="n"/>
      <c r="I98" s="1674" t="n"/>
      <c r="J98" s="367" t="n">
        <v>43845</v>
      </c>
      <c r="K98" s="367" t="n"/>
      <c r="L98" s="367" t="n"/>
      <c r="M98" s="367" t="n"/>
      <c r="N98" s="367" t="n"/>
      <c r="O98" s="367" t="n"/>
      <c r="P98" s="1491" t="inlineStr">
        <is>
          <t xml:space="preserve">snavelien@gmail.com </t>
        </is>
      </c>
      <c r="Q98" s="1698" t="inlineStr">
        <is>
          <t>Mr</t>
        </is>
      </c>
      <c r="R98" s="1699" t="inlineStr">
        <is>
          <t>Neil</t>
        </is>
      </c>
      <c r="S98" s="1699" t="inlineStr">
        <is>
          <t>Evans</t>
        </is>
      </c>
      <c r="T98" s="1700" t="inlineStr">
        <is>
          <t>60</t>
        </is>
      </c>
      <c r="U98" s="1604" t="inlineStr">
        <is>
          <t>07834386970</t>
        </is>
      </c>
      <c r="V98" s="1698" t="inlineStr">
        <is>
          <t>Le17 4bp</t>
        </is>
      </c>
      <c r="W98" s="1698" t="inlineStr">
        <is>
          <t>18 Riverside Road</t>
        </is>
      </c>
      <c r="X98" s="1698" t="inlineStr">
        <is>
          <t xml:space="preserve">Lutterworth, </t>
        </is>
      </c>
      <c r="Y98" s="1698" t="n"/>
      <c r="Z98" s="1674" t="n"/>
      <c r="AA98" s="1674" t="n"/>
      <c r="AC98" s="1674" t="n"/>
    </row>
    <row r="99" ht="12.75" customHeight="1" s="1232">
      <c r="B99" s="511" t="n">
        <v>43835</v>
      </c>
      <c r="C99" s="1607" t="inlineStr">
        <is>
          <t>#01590</t>
        </is>
      </c>
      <c r="D99" s="1675" t="n">
        <v>65</v>
      </c>
      <c r="E99" s="1675" t="n"/>
      <c r="F99" s="1607" t="inlineStr">
        <is>
          <t>1hr</t>
        </is>
      </c>
      <c r="G99" s="1675" t="n"/>
      <c r="H99" s="1674" t="n"/>
      <c r="I99" s="1674" t="n"/>
      <c r="J99" s="367" t="n">
        <v>43840</v>
      </c>
      <c r="K99" s="367" t="n"/>
      <c r="L99" s="367" t="n"/>
      <c r="M99" s="367" t="n"/>
      <c r="N99" s="367" t="n"/>
      <c r="O99" s="367" t="n"/>
      <c r="P99" s="1491" t="inlineStr">
        <is>
          <t xml:space="preserve">tonyteague@btinternet.com </t>
        </is>
      </c>
      <c r="Q99" s="1698" t="inlineStr">
        <is>
          <t>Mr</t>
        </is>
      </c>
      <c r="R99" s="1699" t="inlineStr">
        <is>
          <t>Tony</t>
        </is>
      </c>
      <c r="S99" s="1699" t="inlineStr">
        <is>
          <t>Teague</t>
        </is>
      </c>
      <c r="T99" s="1700" t="inlineStr">
        <is>
          <t>69</t>
        </is>
      </c>
      <c r="U99" s="1604" t="inlineStr">
        <is>
          <t>07831582824</t>
        </is>
      </c>
      <c r="V99" s="1698" t="inlineStr">
        <is>
          <t>NN7 4SH</t>
        </is>
      </c>
      <c r="W99" s="1698" t="inlineStr">
        <is>
          <t>High View, Main Street</t>
        </is>
      </c>
      <c r="X99" s="1698" t="inlineStr">
        <is>
          <t>Northampton</t>
        </is>
      </c>
      <c r="Y99" s="1698" t="n"/>
      <c r="Z99" s="1674" t="n"/>
      <c r="AA99" s="1674" t="n"/>
      <c r="AC99" s="1674" t="n"/>
    </row>
    <row r="100" ht="12.75" customHeight="1" s="1232">
      <c r="B100" s="511" t="n">
        <v>43841</v>
      </c>
      <c r="C100" s="1607" t="inlineStr">
        <is>
          <t>#01604</t>
        </is>
      </c>
      <c r="D100" s="1675" t="n">
        <v>360</v>
      </c>
      <c r="E100" s="1675" t="n"/>
      <c r="F100" s="1607" t="inlineStr">
        <is>
          <t>4 x 2hrs</t>
        </is>
      </c>
      <c r="G100" s="1675" t="n"/>
      <c r="H100" s="1674" t="n"/>
      <c r="I100" s="1674" t="n"/>
      <c r="J100" s="367" t="n"/>
      <c r="K100" s="367" t="n"/>
      <c r="L100" s="367" t="n"/>
      <c r="M100" s="367" t="n"/>
      <c r="N100" s="367" t="n"/>
      <c r="O100" s="367" t="n"/>
      <c r="P100" s="1491" t="inlineStr">
        <is>
          <t xml:space="preserve">dennis_jeffrey@hotmail.co.uk </t>
        </is>
      </c>
      <c r="Q100" s="1698" t="inlineStr">
        <is>
          <t>Mr</t>
        </is>
      </c>
      <c r="R100" s="1699" t="inlineStr">
        <is>
          <t>Dennis</t>
        </is>
      </c>
      <c r="S100" s="1699" t="inlineStr">
        <is>
          <t>Jeffrey</t>
        </is>
      </c>
      <c r="T100" s="1700" t="inlineStr">
        <is>
          <t>72</t>
        </is>
      </c>
      <c r="U100" s="1604" t="inlineStr">
        <is>
          <t>07921265315</t>
        </is>
      </c>
      <c r="V100" s="1698" t="inlineStr">
        <is>
          <t>SL66JP</t>
        </is>
      </c>
      <c r="W100" s="1698" t="inlineStr">
        <is>
          <t>5 Parkside</t>
        </is>
      </c>
      <c r="X100" s="1698" t="inlineStr">
        <is>
          <t xml:space="preserve">Maidenhead, </t>
        </is>
      </c>
      <c r="Y100" s="1698" t="n"/>
      <c r="Z100" s="1674" t="n"/>
      <c r="AA100" s="1674" t="n"/>
      <c r="AC100" s="1674" t="n"/>
    </row>
    <row r="101" ht="12.75" customHeight="1" s="1232">
      <c r="B101" s="511" t="n">
        <v>43841</v>
      </c>
      <c r="C101" s="1607" t="inlineStr">
        <is>
          <t>#01608</t>
        </is>
      </c>
      <c r="D101" s="1675" t="n">
        <v>120</v>
      </c>
      <c r="E101" s="1675" t="n"/>
      <c r="F101" s="1607" t="inlineStr">
        <is>
          <t>2hrs</t>
        </is>
      </c>
      <c r="G101" s="1675" t="n"/>
      <c r="H101" s="1674" t="n"/>
      <c r="I101" s="1674" t="n"/>
      <c r="J101" s="367" t="n">
        <v>43852</v>
      </c>
      <c r="K101" s="367" t="n"/>
      <c r="L101" s="367" t="n"/>
      <c r="M101" s="367" t="n"/>
      <c r="N101" s="367" t="n"/>
      <c r="O101" s="367" t="n"/>
      <c r="P101" s="1491" t="inlineStr">
        <is>
          <t xml:space="preserve">chris@rharrop.f9.co.uk </t>
        </is>
      </c>
      <c r="Q101" s="1698" t="inlineStr">
        <is>
          <t>Ms</t>
        </is>
      </c>
      <c r="R101" s="1699" t="inlineStr">
        <is>
          <t>Christine</t>
        </is>
      </c>
      <c r="S101" s="1699" t="inlineStr">
        <is>
          <t>Harrop</t>
        </is>
      </c>
      <c r="T101" s="1700" t="inlineStr">
        <is>
          <t>68</t>
        </is>
      </c>
      <c r="U101" s="1604" t="inlineStr">
        <is>
          <t>07914988012</t>
        </is>
      </c>
      <c r="V101" s="1698" t="inlineStr">
        <is>
          <t>OX49 5JW</t>
        </is>
      </c>
      <c r="W101" s="1698" t="n"/>
      <c r="X101" s="1698" t="inlineStr">
        <is>
          <t>Oxford</t>
        </is>
      </c>
      <c r="Y101" s="1698" t="n"/>
      <c r="Z101" s="1674" t="n"/>
      <c r="AA101" s="1674" t="n"/>
      <c r="AC101" s="1674" t="n"/>
    </row>
    <row r="102" ht="12.75" customHeight="1" s="1232">
      <c r="B102" s="511" t="n">
        <v>43849</v>
      </c>
      <c r="C102" s="1607" t="inlineStr">
        <is>
          <t>#01617</t>
        </is>
      </c>
      <c r="D102" s="1675" t="n">
        <v>360</v>
      </c>
      <c r="E102" s="1675" t="n"/>
      <c r="F102" s="1607" t="inlineStr">
        <is>
          <t>4 x 2hrs</t>
        </is>
      </c>
      <c r="G102" s="1675" t="n"/>
      <c r="H102" s="1674" t="n"/>
      <c r="I102" s="1674" t="n"/>
      <c r="J102" s="367" t="n">
        <v>43854</v>
      </c>
      <c r="K102" s="367" t="n"/>
      <c r="L102" s="367" t="n"/>
      <c r="M102" s="367" t="n"/>
      <c r="N102" s="367" t="n"/>
      <c r="O102" s="367" t="n"/>
      <c r="P102" s="1491" t="inlineStr">
        <is>
          <t xml:space="preserve">snavelien@gmail.com </t>
        </is>
      </c>
      <c r="Q102" s="1698" t="inlineStr">
        <is>
          <t>Mr</t>
        </is>
      </c>
      <c r="R102" s="1699" t="inlineStr">
        <is>
          <t>Neil</t>
        </is>
      </c>
      <c r="S102" s="1699" t="inlineStr">
        <is>
          <t>Evans</t>
        </is>
      </c>
      <c r="T102" s="1700" t="inlineStr">
        <is>
          <t>60</t>
        </is>
      </c>
      <c r="U102" s="1604" t="inlineStr">
        <is>
          <t>07834386970</t>
        </is>
      </c>
      <c r="V102" s="1698" t="inlineStr">
        <is>
          <t>Le17 4bp</t>
        </is>
      </c>
      <c r="W102" s="1698" t="inlineStr">
        <is>
          <t>18 Riverside Road</t>
        </is>
      </c>
      <c r="X102" s="1698" t="inlineStr">
        <is>
          <t xml:space="preserve">Lutterworth, </t>
        </is>
      </c>
      <c r="Y102" s="1698" t="n"/>
      <c r="Z102" s="1674" t="n"/>
      <c r="AA102" s="1674" t="n"/>
      <c r="AC102" s="1674" t="n"/>
    </row>
    <row r="103" ht="12.75" customHeight="1" s="1232">
      <c r="B103" s="511" t="n">
        <v>43884</v>
      </c>
      <c r="C103" s="1607" t="inlineStr">
        <is>
          <t>#01655</t>
        </is>
      </c>
      <c r="D103" s="1675" t="n">
        <v>360</v>
      </c>
      <c r="E103" s="1675" t="n"/>
      <c r="F103" s="1607" t="inlineStr">
        <is>
          <t>4 x 2hrs</t>
        </is>
      </c>
      <c r="G103" s="1675" t="n"/>
      <c r="H103" s="1674" t="n"/>
      <c r="I103" s="1674" t="n"/>
      <c r="J103" s="367" t="n"/>
      <c r="K103" s="367" t="n"/>
      <c r="L103" s="367" t="n"/>
      <c r="M103" s="367" t="n"/>
      <c r="N103" s="367" t="n"/>
      <c r="O103" s="367" t="n"/>
      <c r="P103" s="1374" t="inlineStr">
        <is>
          <t xml:space="preserve">jan@nomadians.co.uk </t>
        </is>
      </c>
      <c r="Q103" s="1568" t="inlineStr">
        <is>
          <t>Mrs</t>
        </is>
      </c>
      <c r="R103" s="1610" t="inlineStr">
        <is>
          <t xml:space="preserve">Janet </t>
        </is>
      </c>
      <c r="S103" s="1610" t="inlineStr">
        <is>
          <t>Boulter</t>
        </is>
      </c>
      <c r="T103" s="1604" t="inlineStr">
        <is>
          <t>63</t>
        </is>
      </c>
      <c r="U103" s="1604" t="inlineStr">
        <is>
          <t>07540331590</t>
        </is>
      </c>
      <c r="V103" s="1697" t="inlineStr">
        <is>
          <t>cv370rs</t>
        </is>
      </c>
      <c r="W103" s="1697" t="inlineStr">
        <is>
          <t>2 Coopers Close</t>
        </is>
      </c>
      <c r="X103" s="1568" t="inlineStr">
        <is>
          <t>Stratford Upon Avon</t>
        </is>
      </c>
      <c r="Y103" s="1698" t="n"/>
      <c r="Z103" s="1674" t="n"/>
      <c r="AA103" s="1674" t="n"/>
      <c r="AC103" s="1674" t="n"/>
    </row>
    <row r="104" ht="12.75" customHeight="1" s="1232">
      <c r="B104" s="511" t="n">
        <v>43887</v>
      </c>
      <c r="C104" s="1607" t="inlineStr">
        <is>
          <t>#01660</t>
        </is>
      </c>
      <c r="D104" s="1675" t="n">
        <v>65</v>
      </c>
      <c r="E104" s="1675" t="n"/>
      <c r="F104" s="1607" t="inlineStr">
        <is>
          <t>1hr</t>
        </is>
      </c>
      <c r="G104" s="1675" t="n"/>
      <c r="H104" s="1674" t="n"/>
      <c r="I104" s="1674" t="n"/>
      <c r="J104" s="367" t="n">
        <v>43893</v>
      </c>
      <c r="K104" s="367" t="n"/>
      <c r="L104" s="367" t="n"/>
      <c r="M104" s="367" t="n"/>
      <c r="N104" s="367" t="n"/>
      <c r="O104" s="367" t="n"/>
      <c r="P104" s="1374" t="inlineStr">
        <is>
          <t xml:space="preserve">clarelouise@john-lewis.com </t>
        </is>
      </c>
      <c r="Q104" s="1568" t="inlineStr">
        <is>
          <t>Ms</t>
        </is>
      </c>
      <c r="R104" s="1610" t="inlineStr">
        <is>
          <t>Clare</t>
        </is>
      </c>
      <c r="S104" s="1610" t="inlineStr">
        <is>
          <t>Louise</t>
        </is>
      </c>
      <c r="T104" s="1604" t="inlineStr">
        <is>
          <t>36</t>
        </is>
      </c>
      <c r="U104" s="1604" t="inlineStr">
        <is>
          <t>07854057528</t>
        </is>
      </c>
      <c r="V104" s="1697" t="inlineStr">
        <is>
          <t>WR6 6BY</t>
        </is>
      </c>
      <c r="W104" s="1697" t="inlineStr">
        <is>
          <t>Stone Cottage, The Hill</t>
        </is>
      </c>
      <c r="X104" s="1568" t="inlineStr">
        <is>
          <t>Worcester</t>
        </is>
      </c>
      <c r="Y104" s="1698" t="n"/>
      <c r="Z104" s="1674" t="n"/>
      <c r="AA104" s="1674" t="n"/>
      <c r="AC104" s="1674" t="n"/>
    </row>
    <row r="105" ht="12.75" customHeight="1" s="1232">
      <c r="B105" s="511" t="n">
        <v>43878</v>
      </c>
      <c r="C105" s="1607" t="inlineStr">
        <is>
          <t>#01651</t>
        </is>
      </c>
      <c r="D105" s="1675" t="n">
        <v>360</v>
      </c>
      <c r="E105" s="1675" t="n"/>
      <c r="F105" s="1607" t="inlineStr">
        <is>
          <t>4 x 2hrs</t>
        </is>
      </c>
      <c r="G105" s="1675" t="n"/>
      <c r="H105" s="1674" t="n"/>
      <c r="I105" s="1674" t="n"/>
      <c r="J105" s="367" t="n">
        <v>43913</v>
      </c>
      <c r="K105" s="367" t="n"/>
      <c r="L105" s="367" t="n"/>
      <c r="M105" s="367" t="n"/>
      <c r="N105" s="367" t="n"/>
      <c r="O105" s="367" t="n"/>
      <c r="P105" s="1374" t="inlineStr">
        <is>
          <t>chrisbrownoakcottage@virginmedia.com</t>
        </is>
      </c>
      <c r="Q105" s="1568" t="inlineStr">
        <is>
          <t>Mr</t>
        </is>
      </c>
      <c r="R105" s="1610" t="inlineStr">
        <is>
          <t>Chris</t>
        </is>
      </c>
      <c r="S105" s="1610" t="inlineStr">
        <is>
          <t>Brown</t>
        </is>
      </c>
      <c r="T105" s="1604" t="inlineStr">
        <is>
          <t>70</t>
        </is>
      </c>
      <c r="U105" s="1604" t="inlineStr">
        <is>
          <t>07752050781</t>
        </is>
      </c>
      <c r="V105" s="1697" t="n"/>
      <c r="W105" s="1697" t="n"/>
      <c r="X105" s="1568" t="inlineStr">
        <is>
          <t>Watford</t>
        </is>
      </c>
      <c r="Y105" s="1698" t="n"/>
      <c r="Z105" s="1674" t="n"/>
      <c r="AA105" s="1674" t="n"/>
      <c r="AC105" s="1674" t="n"/>
    </row>
    <row r="106" ht="12.75" customHeight="1" s="1232">
      <c r="B106" s="511" t="n">
        <v>43909</v>
      </c>
      <c r="C106" s="1607" t="inlineStr">
        <is>
          <t>#01681</t>
        </is>
      </c>
      <c r="D106" s="1675" t="n">
        <v>50</v>
      </c>
      <c r="E106" s="1675" t="n"/>
      <c r="F106" s="1607" t="inlineStr">
        <is>
          <t>2 x 1hr</t>
        </is>
      </c>
      <c r="G106" s="1675" t="n"/>
      <c r="H106" s="1674" t="n"/>
      <c r="I106" s="1674" t="n"/>
      <c r="J106" s="367" t="n"/>
      <c r="K106" s="367" t="n"/>
      <c r="L106" s="367" t="n"/>
      <c r="M106" s="367" t="n"/>
      <c r="N106" s="367" t="n"/>
      <c r="O106" s="367" t="n"/>
      <c r="P106" s="1374" t="inlineStr">
        <is>
          <t xml:space="preserve">dennis_jeffrey@hotmail.co.uk </t>
        </is>
      </c>
      <c r="Q106" s="1568" t="inlineStr">
        <is>
          <t>Mr</t>
        </is>
      </c>
      <c r="R106" s="1610" t="inlineStr">
        <is>
          <t xml:space="preserve">Dennis </t>
        </is>
      </c>
      <c r="S106" s="1610" t="inlineStr">
        <is>
          <t>Jeffrey</t>
        </is>
      </c>
      <c r="T106" s="1604" t="inlineStr">
        <is>
          <t>70</t>
        </is>
      </c>
      <c r="U106" s="1604" t="inlineStr">
        <is>
          <t>07921265315</t>
        </is>
      </c>
      <c r="V106" s="1697" t="inlineStr">
        <is>
          <t>SL66JP</t>
        </is>
      </c>
      <c r="W106" s="1697" t="inlineStr">
        <is>
          <t>5 Parkside</t>
        </is>
      </c>
      <c r="X106" s="1568" t="inlineStr">
        <is>
          <t xml:space="preserve">Maidenhead, </t>
        </is>
      </c>
      <c r="Y106" s="1698" t="n"/>
      <c r="Z106" s="1674" t="n"/>
      <c r="AA106" s="1674" t="n"/>
      <c r="AC106" s="1674" t="n"/>
    </row>
    <row r="107" ht="12.75" customHeight="1" s="1232">
      <c r="B107" s="511" t="n">
        <v>43969</v>
      </c>
      <c r="C107" s="1607" t="inlineStr">
        <is>
          <t>#01711</t>
        </is>
      </c>
      <c r="D107" s="1675" t="n">
        <v>35</v>
      </c>
      <c r="E107" s="1675" t="n"/>
      <c r="F107" s="1607" t="inlineStr">
        <is>
          <t>1hr</t>
        </is>
      </c>
      <c r="G107" s="1675" t="n"/>
      <c r="H107" s="1674" t="n"/>
      <c r="I107" s="1674" t="n"/>
      <c r="J107" s="367" t="n"/>
      <c r="K107" s="367" t="n"/>
      <c r="L107" s="367" t="n"/>
      <c r="M107" s="367" t="n"/>
      <c r="N107" s="367" t="n"/>
      <c r="O107" s="367" t="n"/>
      <c r="P107" s="1374" t="inlineStr">
        <is>
          <t xml:space="preserve">alistair_willis@yahoo.co.uk </t>
        </is>
      </c>
      <c r="Q107" s="1568" t="inlineStr">
        <is>
          <t>Mr</t>
        </is>
      </c>
      <c r="R107" s="1610" t="inlineStr">
        <is>
          <t>Alistair</t>
        </is>
      </c>
      <c r="S107" s="1610" t="inlineStr">
        <is>
          <t>Willis</t>
        </is>
      </c>
      <c r="T107" s="1604" t="inlineStr">
        <is>
          <t>48</t>
        </is>
      </c>
      <c r="U107" s="1604" t="inlineStr">
        <is>
          <t>07910195549</t>
        </is>
      </c>
      <c r="V107" s="1697" t="inlineStr">
        <is>
          <t>B14 7ER</t>
        </is>
      </c>
      <c r="W107" s="1697" t="inlineStr">
        <is>
          <t>119 Addison Road</t>
        </is>
      </c>
      <c r="X107" s="1568" t="inlineStr">
        <is>
          <t>Birmimgham</t>
        </is>
      </c>
      <c r="Y107" s="1698" t="n"/>
      <c r="Z107" s="1674" t="n"/>
      <c r="AA107" s="1674" t="n"/>
      <c r="AC107" s="1674" t="n"/>
    </row>
    <row r="108" ht="12.75" customHeight="1" s="1232">
      <c r="B108" s="511" t="n">
        <v>43998</v>
      </c>
      <c r="C108" s="1607" t="n"/>
      <c r="D108" s="1675" t="n">
        <v>120</v>
      </c>
      <c r="E108" s="1675" t="n"/>
      <c r="F108" s="1607" t="inlineStr">
        <is>
          <t>2hrs</t>
        </is>
      </c>
      <c r="G108" s="1675" t="n"/>
      <c r="H108" s="1674" t="n"/>
      <c r="I108" s="1674" t="n"/>
      <c r="J108" s="367" t="n">
        <v>44011</v>
      </c>
      <c r="K108" s="367" t="n"/>
      <c r="L108" s="367" t="n"/>
      <c r="M108" s="367" t="n"/>
      <c r="N108" s="367" t="n"/>
      <c r="O108" s="367" t="n"/>
      <c r="P108" s="1374" t="inlineStr">
        <is>
          <t>Georgina Thorley</t>
        </is>
      </c>
      <c r="Q108" s="1568" t="inlineStr">
        <is>
          <t>Mrs</t>
        </is>
      </c>
      <c r="R108" s="1610" t="inlineStr">
        <is>
          <t xml:space="preserve">Georgina </t>
        </is>
      </c>
      <c r="S108" s="1610" t="inlineStr">
        <is>
          <t>Thorley</t>
        </is>
      </c>
      <c r="T108" s="1604" t="n"/>
      <c r="U108" s="1604" t="inlineStr">
        <is>
          <t>07835331344</t>
        </is>
      </c>
      <c r="V108" s="1697" t="inlineStr">
        <is>
          <t>GL56 0TL</t>
        </is>
      </c>
      <c r="W108" s="1697" t="inlineStr">
        <is>
          <t>Loxley House</t>
        </is>
      </c>
      <c r="X108" s="1568" t="inlineStr">
        <is>
          <t>Moreton On Marsh</t>
        </is>
      </c>
      <c r="Y108" s="1698" t="n"/>
      <c r="Z108" s="1674" t="n"/>
      <c r="AA108" s="1674" t="n"/>
      <c r="AC108" s="1674" t="n"/>
    </row>
    <row r="109" ht="12.75" customHeight="1" s="1232">
      <c r="B109" s="511" t="n">
        <v>44014</v>
      </c>
      <c r="C109" s="1607" t="inlineStr">
        <is>
          <t>#01730</t>
        </is>
      </c>
      <c r="D109" s="1675" t="n">
        <v>360</v>
      </c>
      <c r="E109" s="1675" t="n"/>
      <c r="F109" s="1607" t="inlineStr">
        <is>
          <t>4 x 2hrs</t>
        </is>
      </c>
      <c r="G109" s="1675" t="n"/>
      <c r="H109" s="1674" t="n"/>
      <c r="I109" s="1674" t="n"/>
      <c r="J109" s="367" t="n"/>
      <c r="K109" s="367" t="n"/>
      <c r="L109" s="367" t="n"/>
      <c r="M109" s="367" t="n"/>
      <c r="N109" s="367" t="n"/>
      <c r="O109" s="367" t="n"/>
      <c r="P109" s="1374" t="inlineStr">
        <is>
          <t>zydrune22@yahoo.com</t>
        </is>
      </c>
      <c r="Q109" s="1568" t="inlineStr">
        <is>
          <t>Ms</t>
        </is>
      </c>
      <c r="R109" s="1610" t="inlineStr">
        <is>
          <t xml:space="preserve">Suzie </t>
        </is>
      </c>
      <c r="S109" s="1610" t="inlineStr">
        <is>
          <t>Darbutaite</t>
        </is>
      </c>
      <c r="T109" s="1604" t="inlineStr">
        <is>
          <t>29</t>
        </is>
      </c>
      <c r="U109" s="1604" t="inlineStr">
        <is>
          <t>07415547222</t>
        </is>
      </c>
      <c r="V109" s="1697" t="inlineStr">
        <is>
          <t>nn171nf</t>
        </is>
      </c>
      <c r="W109" s="1697" t="inlineStr">
        <is>
          <t>9 east avenue corby</t>
        </is>
      </c>
      <c r="X109" s="1568" t="inlineStr">
        <is>
          <t>Northampton</t>
        </is>
      </c>
      <c r="Y109" s="1698" t="n"/>
      <c r="Z109" s="1674" t="n"/>
      <c r="AA109" s="1674" t="n"/>
      <c r="AC109" s="1674" t="n"/>
    </row>
    <row r="110" ht="12.75" customHeight="1" s="1232">
      <c r="B110" s="511" t="n">
        <v>44072</v>
      </c>
      <c r="C110" s="1607" t="inlineStr">
        <is>
          <t>#01758</t>
        </is>
      </c>
      <c r="D110" s="1675" t="n">
        <v>360</v>
      </c>
      <c r="E110" s="1675" t="n"/>
      <c r="F110" s="1607" t="inlineStr">
        <is>
          <t>4 x 2hrs</t>
        </is>
      </c>
      <c r="G110" s="1675" t="n"/>
      <c r="H110" s="1674" t="n"/>
      <c r="I110" s="1674" t="n"/>
      <c r="J110" s="367" t="n"/>
      <c r="K110" s="367" t="n"/>
      <c r="L110" s="367" t="n"/>
      <c r="M110" s="367" t="n"/>
      <c r="N110" s="367" t="n"/>
      <c r="O110" s="367" t="n"/>
      <c r="P110" s="1374" t="inlineStr">
        <is>
          <t xml:space="preserve">johnleech@me.com </t>
        </is>
      </c>
      <c r="Q110" s="1568" t="inlineStr">
        <is>
          <t>Mrs</t>
        </is>
      </c>
      <c r="R110" s="1610" t="inlineStr">
        <is>
          <t>Emma</t>
        </is>
      </c>
      <c r="S110" s="1610" t="inlineStr">
        <is>
          <t>Leech</t>
        </is>
      </c>
      <c r="T110" s="1604" t="inlineStr">
        <is>
          <t>45</t>
        </is>
      </c>
      <c r="U110" s="1604" t="inlineStr">
        <is>
          <t>07968150083</t>
        </is>
      </c>
      <c r="V110" s="1697" t="inlineStr">
        <is>
          <t>Cv35 8pp</t>
        </is>
      </c>
      <c r="W110" s="1697" t="inlineStr">
        <is>
          <t>3 Arden Glade</t>
        </is>
      </c>
      <c r="X110" s="1568" t="inlineStr">
        <is>
          <t>Claverdon</t>
        </is>
      </c>
      <c r="Y110" s="1698" t="n"/>
      <c r="Z110" s="1674" t="n"/>
      <c r="AA110" s="1674" t="n"/>
      <c r="AC110" s="1674" t="n"/>
    </row>
    <row r="111" ht="12.75" customHeight="1" s="1232">
      <c r="B111" s="511" t="n">
        <v>44081</v>
      </c>
      <c r="C111" s="1607" t="inlineStr">
        <is>
          <t>#01764</t>
        </is>
      </c>
      <c r="D111" s="1675" t="n">
        <v>65</v>
      </c>
      <c r="E111" s="1675" t="n"/>
      <c r="F111" s="1607" t="inlineStr">
        <is>
          <t>1hr</t>
        </is>
      </c>
      <c r="G111" s="1675" t="n"/>
      <c r="H111" s="1674" t="n"/>
      <c r="I111" s="1674" t="n"/>
      <c r="J111" s="367" t="n">
        <v>44106</v>
      </c>
      <c r="K111" s="367" t="n"/>
      <c r="L111" s="367" t="n"/>
      <c r="M111" s="367" t="n"/>
      <c r="N111" s="367" t="n"/>
      <c r="O111" s="367" t="n"/>
      <c r="P111" s="1374" t="inlineStr">
        <is>
          <t xml:space="preserve">nigeljbailey@tiscali.co.uk </t>
        </is>
      </c>
      <c r="Q111" s="1568" t="inlineStr">
        <is>
          <t>Mr</t>
        </is>
      </c>
      <c r="R111" s="1610" t="inlineStr">
        <is>
          <t>Nigel</t>
        </is>
      </c>
      <c r="S111" s="1610" t="inlineStr">
        <is>
          <t>Bailey</t>
        </is>
      </c>
      <c r="T111" s="1604" t="inlineStr">
        <is>
          <t>60</t>
        </is>
      </c>
      <c r="U111" s="1604" t="inlineStr">
        <is>
          <t>07469951071</t>
        </is>
      </c>
      <c r="V111" s="1697" t="inlineStr">
        <is>
          <t>cv49th</t>
        </is>
      </c>
      <c r="W111" s="1697" t="inlineStr">
        <is>
          <t>26 Tilehurst Drive</t>
        </is>
      </c>
      <c r="X111" s="1568" t="inlineStr">
        <is>
          <t>Coventry</t>
        </is>
      </c>
      <c r="Y111" s="1698" t="n"/>
      <c r="Z111" s="1674" t="n"/>
      <c r="AA111" s="1674" t="n"/>
      <c r="AC111" s="1674" t="n"/>
    </row>
    <row r="112" ht="12.75" customHeight="1" s="1232">
      <c r="B112" s="511" t="n">
        <v>44082</v>
      </c>
      <c r="C112" s="1607" t="inlineStr">
        <is>
          <t>#01765</t>
        </is>
      </c>
      <c r="D112" s="1675" t="n">
        <v>360</v>
      </c>
      <c r="E112" s="1675" t="n"/>
      <c r="F112" s="1607" t="inlineStr">
        <is>
          <t>4 x 2hrs</t>
        </is>
      </c>
      <c r="G112" s="1675" t="n"/>
      <c r="H112" s="1674" t="n"/>
      <c r="I112" s="1674" t="n"/>
      <c r="J112" s="367" t="n"/>
      <c r="K112" s="367" t="n"/>
      <c r="L112" s="367" t="n"/>
      <c r="M112" s="367" t="n"/>
      <c r="N112" s="367" t="n"/>
      <c r="O112" s="367" t="n"/>
      <c r="P112" s="1374" t="inlineStr">
        <is>
          <t xml:space="preserve">m.d.vaness@gmail.com </t>
        </is>
      </c>
      <c r="Q112" s="1568" t="inlineStr">
        <is>
          <t>Ms</t>
        </is>
      </c>
      <c r="R112" s="1610" t="inlineStr">
        <is>
          <t>Monica</t>
        </is>
      </c>
      <c r="S112" s="1610" t="inlineStr">
        <is>
          <t>Vaness</t>
        </is>
      </c>
      <c r="T112" s="1604" t="inlineStr">
        <is>
          <t>44</t>
        </is>
      </c>
      <c r="U112" s="1604" t="inlineStr">
        <is>
          <t>07736413176</t>
        </is>
      </c>
      <c r="V112" s="1697" t="inlineStr">
        <is>
          <t>WR9 7PX</t>
        </is>
      </c>
      <c r="W112" s="1697" t="inlineStr">
        <is>
          <t>10 Richardson Close</t>
        </is>
      </c>
      <c r="X112" s="1568" t="inlineStr">
        <is>
          <t>Wychbold</t>
        </is>
      </c>
      <c r="Y112" s="1698" t="n"/>
      <c r="Z112" s="1674" t="n"/>
      <c r="AA112" s="1674" t="n"/>
      <c r="AC112" s="1674" t="n"/>
    </row>
    <row r="113" ht="12.75" customHeight="1" s="1232">
      <c r="B113" s="511" t="n">
        <v>44089</v>
      </c>
      <c r="C113" s="1607" t="inlineStr">
        <is>
          <t>#01768</t>
        </is>
      </c>
      <c r="D113" s="1675" t="n">
        <v>120</v>
      </c>
      <c r="E113" s="1675" t="n"/>
      <c r="F113" s="1607" t="inlineStr">
        <is>
          <t>2x 1hr</t>
        </is>
      </c>
      <c r="G113" s="1675" t="n"/>
      <c r="H113" s="1674" t="n"/>
      <c r="I113" s="1674" t="n"/>
      <c r="J113" s="367" t="n"/>
      <c r="K113" s="367" t="n"/>
      <c r="L113" s="367" t="n"/>
      <c r="M113" s="367" t="n"/>
      <c r="N113" s="367" t="n"/>
      <c r="O113" s="367" t="n"/>
      <c r="P113" s="1374" t="inlineStr">
        <is>
          <t xml:space="preserve">kyak_anja@icloud.com </t>
        </is>
      </c>
      <c r="Q113" s="1568" t="n"/>
      <c r="R113" s="1610" t="inlineStr">
        <is>
          <t xml:space="preserve">Hiroshi </t>
        </is>
      </c>
      <c r="S113" s="1610" t="inlineStr">
        <is>
          <t>Nishikawa</t>
        </is>
      </c>
      <c r="T113" s="1604" t="n"/>
      <c r="U113" s="1604" t="inlineStr">
        <is>
          <t>07802422617</t>
        </is>
      </c>
      <c r="V113" s="1697" t="inlineStr">
        <is>
          <t>B1 1 RG</t>
        </is>
      </c>
      <c r="W113" s="1697" t="inlineStr">
        <is>
          <t>118 Royal arch apartments, Wharfside Street</t>
        </is>
      </c>
      <c r="X113" s="1568" t="inlineStr">
        <is>
          <t>Birmimgham</t>
        </is>
      </c>
      <c r="Y113" s="1698" t="n"/>
      <c r="Z113" s="1674" t="n"/>
      <c r="AA113" s="1674" t="n"/>
      <c r="AC113" s="1674" t="n"/>
    </row>
    <row r="114" ht="12.75" customHeight="1" s="1232">
      <c r="B114" s="511" t="n">
        <v>44143</v>
      </c>
      <c r="C114" s="1607" t="n"/>
      <c r="D114" s="1675" t="n">
        <v>60</v>
      </c>
      <c r="E114" s="1675" t="n"/>
      <c r="F114" s="1607" t="inlineStr">
        <is>
          <t>2x 1hr</t>
        </is>
      </c>
      <c r="G114" s="1675" t="n"/>
      <c r="H114" s="1674" t="n"/>
      <c r="I114" s="1674" t="n"/>
      <c r="J114" s="367" t="n">
        <v>44146</v>
      </c>
      <c r="K114" s="367" t="n"/>
      <c r="L114" s="367" t="n"/>
      <c r="M114" s="367" t="n"/>
      <c r="N114" s="367" t="n"/>
      <c r="O114" s="367" t="n"/>
      <c r="P114" s="1374" t="inlineStr">
        <is>
          <t>steve@lettoch.com</t>
        </is>
      </c>
      <c r="Q114" s="1568" t="inlineStr">
        <is>
          <t>Mr</t>
        </is>
      </c>
      <c r="R114" s="1610" t="inlineStr">
        <is>
          <t>Steven</t>
        </is>
      </c>
      <c r="S114" s="1610" t="inlineStr">
        <is>
          <t>Rawson</t>
        </is>
      </c>
      <c r="T114" s="1604" t="n"/>
      <c r="U114" s="1604" t="inlineStr">
        <is>
          <t>01796472108</t>
        </is>
      </c>
      <c r="V114" s="1697" t="n"/>
      <c r="W114" s="1697" t="n"/>
      <c r="X114" s="1568" t="n"/>
      <c r="Y114" s="1698" t="n"/>
      <c r="Z114" s="1674" t="n"/>
      <c r="AA114" s="1674" t="n"/>
      <c r="AC114" s="1674" t="n"/>
    </row>
    <row r="115" ht="12.75" customHeight="1" s="1232">
      <c r="B115" s="511" t="n">
        <v>44144</v>
      </c>
      <c r="C115" s="1607" t="n"/>
      <c r="D115" s="1675" t="n">
        <v>35</v>
      </c>
      <c r="E115" s="1675" t="n"/>
      <c r="F115" s="1607" t="inlineStr">
        <is>
          <t>1hr</t>
        </is>
      </c>
      <c r="G115" s="1675" t="n"/>
      <c r="H115" s="1674" t="n"/>
      <c r="I115" s="1674" t="n"/>
      <c r="J115" s="367" t="n">
        <v>44147</v>
      </c>
      <c r="K115" s="367" t="n"/>
      <c r="L115" s="367" t="n"/>
      <c r="M115" s="367" t="n"/>
      <c r="N115" s="367" t="n"/>
      <c r="O115" s="367" t="n"/>
      <c r="P115" s="1374" t="inlineStr">
        <is>
          <t>carniodanieleros@google.com</t>
        </is>
      </c>
      <c r="Q115" s="1568" t="n"/>
      <c r="R115" s="1610" t="inlineStr">
        <is>
          <t xml:space="preserve">Daniel </t>
        </is>
      </c>
      <c r="S115" s="1610" t="inlineStr">
        <is>
          <t>Carnio</t>
        </is>
      </c>
      <c r="T115" s="1604" t="n"/>
      <c r="U115" s="1604" t="inlineStr">
        <is>
          <t>+39 3471172441</t>
        </is>
      </c>
      <c r="V115" s="1697" t="n"/>
      <c r="W115" s="1697" t="n"/>
      <c r="X115" s="1568" t="n"/>
      <c r="Y115" s="1698" t="n"/>
      <c r="Z115" s="1674" t="n"/>
      <c r="AA115" s="1674" t="n"/>
      <c r="AC115" s="1674" t="n"/>
    </row>
    <row r="116" ht="12.75" customHeight="1" s="1232">
      <c r="B116" s="511" t="n">
        <v>44156</v>
      </c>
      <c r="C116" s="1607" t="inlineStr">
        <is>
          <t>#01808</t>
        </is>
      </c>
      <c r="D116" s="1675" t="n">
        <v>270</v>
      </c>
      <c r="E116" s="1675" t="n"/>
      <c r="F116" s="1607" t="inlineStr">
        <is>
          <t>4 x 2hrs</t>
        </is>
      </c>
      <c r="G116" s="1675" t="n"/>
      <c r="H116" s="1674" t="n"/>
      <c r="I116" s="1674" t="n"/>
      <c r="J116" s="367" t="n"/>
      <c r="K116" s="367" t="n"/>
      <c r="L116" s="367" t="n"/>
      <c r="M116" s="367" t="n"/>
      <c r="N116" s="367" t="n"/>
      <c r="O116" s="367" t="n"/>
      <c r="P116" s="1374" t="inlineStr">
        <is>
          <t xml:space="preserve">samreid70@yahoo.co.uk </t>
        </is>
      </c>
      <c r="Q116" s="1568" t="inlineStr">
        <is>
          <t>Mr</t>
        </is>
      </c>
      <c r="R116" s="1610" t="inlineStr">
        <is>
          <t>Sam</t>
        </is>
      </c>
      <c r="S116" s="1610" t="inlineStr">
        <is>
          <t>Reid</t>
        </is>
      </c>
      <c r="T116" s="1604" t="inlineStr">
        <is>
          <t>49</t>
        </is>
      </c>
      <c r="U116" s="1604" t="inlineStr">
        <is>
          <t>07754784179</t>
        </is>
      </c>
      <c r="V116" s="1697" t="inlineStr">
        <is>
          <t>B93 8EE</t>
        </is>
      </c>
      <c r="W116" s="1697" t="inlineStr">
        <is>
          <t>41 Rodborough Rd</t>
        </is>
      </c>
      <c r="X116" s="1568" t="inlineStr">
        <is>
          <t>Knowle</t>
        </is>
      </c>
      <c r="Y116" s="1698" t="n"/>
      <c r="Z116" s="1674" t="n"/>
      <c r="AA116" s="1674" t="n"/>
      <c r="AC116" s="1674" t="n"/>
    </row>
    <row r="117" ht="12.75" customHeight="1" s="1232">
      <c r="B117" s="511" t="n">
        <v>44163</v>
      </c>
      <c r="C117" s="1607" t="inlineStr">
        <is>
          <t>#01816</t>
        </is>
      </c>
      <c r="D117" s="1675" t="n">
        <v>90</v>
      </c>
      <c r="E117" s="1675" t="n"/>
      <c r="F117" s="1607" t="inlineStr">
        <is>
          <t>2x 1hr</t>
        </is>
      </c>
      <c r="G117" s="1675" t="n"/>
      <c r="H117" s="1674" t="n"/>
      <c r="I117" s="1674" t="n"/>
      <c r="J117" s="367" t="n"/>
      <c r="K117" s="367" t="n"/>
      <c r="L117" s="367" t="n"/>
      <c r="M117" s="367" t="n"/>
      <c r="N117" s="367" t="n"/>
      <c r="O117" s="367" t="n"/>
      <c r="P117" s="1374" t="inlineStr">
        <is>
          <t xml:space="preserve">justin.meaden@esurv.co.uk </t>
        </is>
      </c>
      <c r="Q117" s="1568" t="inlineStr">
        <is>
          <t>Mr</t>
        </is>
      </c>
      <c r="R117" s="1610" t="inlineStr">
        <is>
          <t>Justin</t>
        </is>
      </c>
      <c r="S117" s="1610" t="inlineStr">
        <is>
          <t>Meaden</t>
        </is>
      </c>
      <c r="T117" s="1604" t="inlineStr">
        <is>
          <t>50</t>
        </is>
      </c>
      <c r="U117" s="1604" t="inlineStr">
        <is>
          <t>07553070300</t>
        </is>
      </c>
      <c r="V117" s="1697" t="inlineStr">
        <is>
          <t>E4 9HX</t>
        </is>
      </c>
      <c r="W117" s="1697" t="inlineStr">
        <is>
          <t>120 Coolgardie Avenue</t>
        </is>
      </c>
      <c r="X117" s="1568" t="inlineStr">
        <is>
          <t>London</t>
        </is>
      </c>
      <c r="Y117" s="1698" t="n"/>
      <c r="Z117" s="1674" t="n"/>
      <c r="AA117" s="1674" t="n"/>
      <c r="AC117" s="1674" t="n"/>
    </row>
    <row r="118" ht="12.75" customHeight="1" s="1232">
      <c r="B118" s="511" t="n">
        <v>44272</v>
      </c>
      <c r="C118" s="1607" t="n"/>
      <c r="D118" s="1675" t="n">
        <v>1650</v>
      </c>
      <c r="E118" s="1675" t="n"/>
      <c r="F118" s="1607" t="inlineStr">
        <is>
          <t>3 Days</t>
        </is>
      </c>
      <c r="G118" s="1607" t="inlineStr">
        <is>
          <t>Anglesey</t>
        </is>
      </c>
      <c r="H118" s="1674" t="n"/>
      <c r="I118" s="1674" t="n"/>
      <c r="J118" s="367" t="n">
        <v>44374</v>
      </c>
      <c r="K118" s="367" t="n"/>
      <c r="L118" s="367" t="n"/>
      <c r="M118" s="367" t="n"/>
      <c r="N118" s="367" t="n"/>
      <c r="O118" s="367" t="n"/>
      <c r="P118" s="1374" t="inlineStr">
        <is>
          <t>qbagh@outlook.com</t>
        </is>
      </c>
      <c r="Q118" s="1568" t="inlineStr">
        <is>
          <t>Miss</t>
        </is>
      </c>
      <c r="R118" s="1610" t="inlineStr">
        <is>
          <t>Sara</t>
        </is>
      </c>
      <c r="S118" s="1610" t="inlineStr">
        <is>
          <t>Wakil</t>
        </is>
      </c>
      <c r="T118" s="1604" t="inlineStr">
        <is>
          <t>31</t>
        </is>
      </c>
      <c r="U118" s="1604" t="inlineStr">
        <is>
          <t>07480524398</t>
        </is>
      </c>
      <c r="V118" s="1697" t="inlineStr">
        <is>
          <t>Tw15 1ue</t>
        </is>
      </c>
      <c r="W118" s="1697" t="inlineStr">
        <is>
          <t>43 ashford road</t>
        </is>
      </c>
      <c r="X118" s="1568" t="inlineStr">
        <is>
          <t>Surrey ashford</t>
        </is>
      </c>
      <c r="Y118" s="1698" t="n"/>
      <c r="Z118" s="1674" t="n"/>
      <c r="AA118" s="1674" t="n"/>
      <c r="AC118" s="1674" t="n"/>
    </row>
    <row r="119" ht="12.75" customHeight="1" s="1232">
      <c r="B119" s="511" t="n">
        <v>44314</v>
      </c>
      <c r="C119" s="1607" t="inlineStr">
        <is>
          <t>#01929</t>
        </is>
      </c>
      <c r="D119" s="1675" t="n">
        <v>360</v>
      </c>
      <c r="E119" s="1675" t="n"/>
      <c r="F119" s="1607" t="inlineStr">
        <is>
          <t>4 x 2hrs</t>
        </is>
      </c>
      <c r="G119" s="1675" t="n"/>
      <c r="H119" s="1674" t="n"/>
      <c r="I119" s="1674" t="n"/>
      <c r="J119" s="367" t="n"/>
      <c r="K119" s="367" t="n"/>
      <c r="L119" s="367" t="n"/>
      <c r="M119" s="367" t="n"/>
      <c r="N119" s="367" t="n"/>
      <c r="O119" s="367" t="n"/>
      <c r="P119" s="1374" t="inlineStr">
        <is>
          <t xml:space="preserve">w.wheeler@btinternet.com </t>
        </is>
      </c>
      <c r="Q119" s="1568" t="inlineStr">
        <is>
          <t>Mr</t>
        </is>
      </c>
      <c r="R119" s="1610" t="inlineStr">
        <is>
          <t xml:space="preserve">Wayne </t>
        </is>
      </c>
      <c r="S119" s="1610" t="inlineStr">
        <is>
          <t>Wheeler</t>
        </is>
      </c>
      <c r="T119" s="1604" t="inlineStr">
        <is>
          <t>52</t>
        </is>
      </c>
      <c r="U119" s="1604" t="inlineStr">
        <is>
          <t>07850259649</t>
        </is>
      </c>
      <c r="V119" s="1697" t="inlineStr">
        <is>
          <t>wv1 3eg</t>
        </is>
      </c>
      <c r="W119" s="1697" t="inlineStr">
        <is>
          <t>107 Albion Street</t>
        </is>
      </c>
      <c r="X119" s="1568" t="inlineStr">
        <is>
          <t>Wolverhampton</t>
        </is>
      </c>
      <c r="Y119" s="1698" t="n"/>
      <c r="Z119" s="1674" t="n"/>
      <c r="AA119" s="1674" t="n"/>
      <c r="AC119" s="1674" t="n"/>
    </row>
    <row r="120" ht="12.75" customHeight="1" s="1232">
      <c r="B120" s="511" t="n">
        <v>44338</v>
      </c>
      <c r="C120" s="1607" t="inlineStr">
        <is>
          <t>#01950</t>
        </is>
      </c>
      <c r="D120" s="1675" t="n">
        <v>360</v>
      </c>
      <c r="E120" s="1675" t="n"/>
      <c r="F120" s="1607" t="inlineStr">
        <is>
          <t>4 x 2hrs</t>
        </is>
      </c>
      <c r="G120" s="1675" t="n"/>
      <c r="H120" s="1674" t="n"/>
      <c r="I120" s="1674" t="n"/>
      <c r="J120" s="367" t="n"/>
      <c r="K120" s="367" t="n"/>
      <c r="L120" s="367" t="n"/>
      <c r="M120" s="367" t="n"/>
      <c r="N120" s="367" t="n"/>
      <c r="O120" s="367" t="n"/>
      <c r="P120" s="1374" t="inlineStr">
        <is>
          <t xml:space="preserve">nishajha@doctors.net.uk </t>
        </is>
      </c>
      <c r="Q120" s="1568" t="inlineStr">
        <is>
          <t>Dr</t>
        </is>
      </c>
      <c r="R120" s="1610" t="inlineStr">
        <is>
          <t>Nisha a</t>
        </is>
      </c>
      <c r="S120" s="1610" t="inlineStr">
        <is>
          <t>Jh</t>
        </is>
      </c>
      <c r="T120" s="1604" t="inlineStr">
        <is>
          <t>41</t>
        </is>
      </c>
      <c r="U120" s="1604" t="inlineStr">
        <is>
          <t>07852926579</t>
        </is>
      </c>
      <c r="V120" s="1697" t="inlineStr">
        <is>
          <t>CV32 4RT</t>
        </is>
      </c>
      <c r="W120" s="1697" t="inlineStr">
        <is>
          <t>18 Guy street</t>
        </is>
      </c>
      <c r="X120" s="1568" t="inlineStr">
        <is>
          <t>LEAMINGTON SPA</t>
        </is>
      </c>
      <c r="Y120" s="1698" t="n"/>
      <c r="Z120" s="1674" t="n"/>
      <c r="AA120" s="1674" t="n"/>
      <c r="AC120" s="1674" t="n"/>
    </row>
    <row r="121" ht="12.75" customHeight="1" s="1232">
      <c r="B121" s="511" t="n">
        <v>44371</v>
      </c>
      <c r="C121" s="1607" t="inlineStr">
        <is>
          <t>#01973</t>
        </is>
      </c>
      <c r="D121" s="1675" t="n">
        <v>360</v>
      </c>
      <c r="E121" s="1675" t="n"/>
      <c r="F121" s="1607" t="inlineStr">
        <is>
          <t>4 x 2hrs</t>
        </is>
      </c>
      <c r="G121" s="1675" t="n"/>
      <c r="H121" s="1674" t="n"/>
      <c r="I121" s="1674" t="n"/>
      <c r="J121" s="367" t="n"/>
      <c r="K121" s="367" t="n"/>
      <c r="L121" s="367" t="n"/>
      <c r="M121" s="367" t="n"/>
      <c r="N121" s="367" t="n"/>
      <c r="O121" s="367" t="n"/>
      <c r="P121" s="1374" t="inlineStr">
        <is>
          <t xml:space="preserve">staceykania@hotmail.co.uk </t>
        </is>
      </c>
      <c r="Q121" s="1568" t="inlineStr">
        <is>
          <t>Ms</t>
        </is>
      </c>
      <c r="R121" s="1610" t="inlineStr">
        <is>
          <t>Stacey</t>
        </is>
      </c>
      <c r="S121" s="1610" t="inlineStr">
        <is>
          <t>Kania</t>
        </is>
      </c>
      <c r="T121" s="1604" t="inlineStr">
        <is>
          <t>34</t>
        </is>
      </c>
      <c r="U121" s="1604" t="inlineStr">
        <is>
          <t>07747827965</t>
        </is>
      </c>
      <c r="V121" s="1697" t="inlineStr">
        <is>
          <t>ST3 5XN</t>
        </is>
      </c>
      <c r="W121" s="1697" t="inlineStr">
        <is>
          <t>6 Berryfield Grove</t>
        </is>
      </c>
      <c r="X121" s="1568" t="inlineStr">
        <is>
          <t>Stoke On Trent</t>
        </is>
      </c>
      <c r="Y121" s="1698" t="n"/>
      <c r="Z121" s="1674" t="n"/>
      <c r="AA121" s="1674" t="n"/>
      <c r="AC121" s="1674" t="n"/>
    </row>
    <row r="122" ht="12.75" customHeight="1" s="1232">
      <c r="B122" s="511" t="n">
        <v>44372</v>
      </c>
      <c r="C122" s="1607" t="inlineStr">
        <is>
          <t>#01976</t>
        </is>
      </c>
      <c r="D122" s="1675" t="n">
        <v>360</v>
      </c>
      <c r="E122" s="1675" t="n"/>
      <c r="F122" s="1607" t="inlineStr">
        <is>
          <t>4 x 2hrs</t>
        </is>
      </c>
      <c r="G122" s="1675" t="n"/>
      <c r="H122" s="1674" t="n"/>
      <c r="I122" s="1674" t="n"/>
      <c r="J122" s="367" t="n"/>
      <c r="K122" s="367" t="n"/>
      <c r="L122" s="367" t="n"/>
      <c r="M122" s="367" t="n"/>
      <c r="N122" s="367" t="n"/>
      <c r="O122" s="367" t="n"/>
      <c r="P122" s="1374" t="inlineStr">
        <is>
          <t xml:space="preserve">aqefamalik@hotmail.co.uk </t>
        </is>
      </c>
      <c r="Q122" s="1568" t="inlineStr">
        <is>
          <t>Ms</t>
        </is>
      </c>
      <c r="R122" s="1610" t="inlineStr">
        <is>
          <t xml:space="preserve">Aqefa </t>
        </is>
      </c>
      <c r="S122" s="1610" t="inlineStr">
        <is>
          <t>Malik</t>
        </is>
      </c>
      <c r="T122" s="1604" t="inlineStr">
        <is>
          <t>27</t>
        </is>
      </c>
      <c r="U122" s="1604" t="inlineStr">
        <is>
          <t>07904110712</t>
        </is>
      </c>
      <c r="V122" s="1697" t="inlineStr">
        <is>
          <t>B26 1SD</t>
        </is>
      </c>
      <c r="W122" s="1697" t="inlineStr">
        <is>
          <t>154 Barrows Lane</t>
        </is>
      </c>
      <c r="X122" s="1568" t="inlineStr">
        <is>
          <t>Yardley</t>
        </is>
      </c>
      <c r="Y122" s="1698" t="n"/>
      <c r="Z122" s="1674" t="n"/>
      <c r="AA122" s="1674" t="n"/>
      <c r="AC122" s="1674" t="n"/>
    </row>
    <row r="123" ht="12.75" customHeight="1" s="1232">
      <c r="B123" s="511" t="n">
        <v>44395</v>
      </c>
      <c r="C123" s="1607" t="inlineStr">
        <is>
          <t>#01993</t>
        </is>
      </c>
      <c r="D123" s="1675" t="n">
        <v>120</v>
      </c>
      <c r="E123" s="1675" t="n"/>
      <c r="F123" s="1607" t="inlineStr">
        <is>
          <t>2hrs</t>
        </is>
      </c>
      <c r="G123" s="1675" t="n"/>
      <c r="H123" s="1674" t="n"/>
      <c r="I123" s="1674" t="n"/>
      <c r="J123" s="367" t="n">
        <v>44403</v>
      </c>
      <c r="K123" s="367" t="n"/>
      <c r="L123" s="367" t="n"/>
      <c r="M123" s="367" t="n"/>
      <c r="N123" s="367" t="n"/>
      <c r="O123" s="367" t="n"/>
      <c r="P123" s="1374" t="inlineStr">
        <is>
          <t xml:space="preserve">headoffice@incredibleeggs.co.uk </t>
        </is>
      </c>
      <c r="Q123" s="1568" t="inlineStr">
        <is>
          <t>Ms</t>
        </is>
      </c>
      <c r="R123" s="1610" t="inlineStr">
        <is>
          <t>Janet</t>
        </is>
      </c>
      <c r="S123" s="1610" t="inlineStr">
        <is>
          <t>Stuart</t>
        </is>
      </c>
      <c r="T123" s="1604" t="inlineStr">
        <is>
          <t>50</t>
        </is>
      </c>
      <c r="U123" s="1604" t="inlineStr">
        <is>
          <t>07790050674</t>
        </is>
      </c>
      <c r="V123" s="1697" t="n"/>
      <c r="W123" s="1697" t="n"/>
      <c r="X123" s="1568" t="n"/>
      <c r="Y123" s="1698" t="n"/>
      <c r="Z123" s="1674" t="n"/>
      <c r="AA123" s="1674" t="n"/>
      <c r="AC123" s="1674" t="n"/>
    </row>
    <row r="124" ht="12.75" customHeight="1" s="1232">
      <c r="B124" s="511" t="n">
        <v>44424</v>
      </c>
      <c r="C124" s="1607" t="inlineStr">
        <is>
          <t>#02017</t>
        </is>
      </c>
      <c r="D124" s="1675" t="n">
        <v>360</v>
      </c>
      <c r="E124" s="1675" t="n"/>
      <c r="F124" s="1607" t="inlineStr">
        <is>
          <t>5 x 2hrs</t>
        </is>
      </c>
      <c r="G124" s="1675" t="n"/>
      <c r="H124" s="1674" t="n"/>
      <c r="I124" s="1674" t="n"/>
      <c r="J124" s="367" t="n"/>
      <c r="K124" s="367" t="n"/>
      <c r="L124" s="367" t="n"/>
      <c r="M124" s="367" t="n"/>
      <c r="N124" s="367" t="n"/>
      <c r="O124" s="367" t="n"/>
      <c r="P124" s="1491" t="inlineStr">
        <is>
          <t xml:space="preserve">quentmelhuish@gmail.com </t>
        </is>
      </c>
      <c r="Q124" s="1568" t="inlineStr">
        <is>
          <t>Mr</t>
        </is>
      </c>
      <c r="R124" s="1610" t="inlineStr">
        <is>
          <t xml:space="preserve">Quentin </t>
        </is>
      </c>
      <c r="S124" s="1610" t="inlineStr">
        <is>
          <t>Melhuish</t>
        </is>
      </c>
      <c r="T124" s="1604" t="inlineStr">
        <is>
          <t>59</t>
        </is>
      </c>
      <c r="U124" s="1604" t="inlineStr">
        <is>
          <t>07873890383</t>
        </is>
      </c>
      <c r="V124" s="1697" t="inlineStr">
        <is>
          <t>CV3 5LJ</t>
        </is>
      </c>
      <c r="W124" s="1697" t="inlineStr">
        <is>
          <t>8 The Park Paling</t>
        </is>
      </c>
      <c r="X124" s="1568" t="inlineStr">
        <is>
          <t>Coventry</t>
        </is>
      </c>
      <c r="Y124" s="1698" t="n"/>
      <c r="Z124" s="1674" t="n"/>
      <c r="AA124" s="1674" t="n"/>
      <c r="AC124" s="1674" t="n"/>
    </row>
    <row r="125" ht="12.75" customHeight="1" s="1232">
      <c r="B125" s="511" t="n">
        <v>44424</v>
      </c>
      <c r="C125" s="1607" t="inlineStr">
        <is>
          <t>#02019</t>
        </is>
      </c>
      <c r="D125" s="1675" t="n">
        <v>360</v>
      </c>
      <c r="E125" s="1675" t="n"/>
      <c r="F125" s="1607" t="inlineStr">
        <is>
          <t>5 x 2hrs</t>
        </is>
      </c>
      <c r="G125" s="1675" t="n"/>
      <c r="H125" s="1674" t="n"/>
      <c r="I125" s="1674" t="n"/>
      <c r="J125" s="367" t="n"/>
      <c r="K125" s="367" t="n"/>
      <c r="L125" s="367" t="n"/>
      <c r="M125" s="367" t="n"/>
      <c r="N125" s="367" t="n"/>
      <c r="O125" s="367" t="n"/>
      <c r="P125" s="1678" t="inlineStr">
        <is>
          <t xml:space="preserve">jan@nomadians.co.uk </t>
        </is>
      </c>
      <c r="Q125" s="1674" t="inlineStr">
        <is>
          <t>Mrs</t>
        </is>
      </c>
      <c r="R125" s="1674" t="inlineStr">
        <is>
          <t xml:space="preserve">Janet </t>
        </is>
      </c>
      <c r="S125" s="1674" t="inlineStr">
        <is>
          <t>Boulter</t>
        </is>
      </c>
      <c r="T125" s="331" t="inlineStr">
        <is>
          <t>61</t>
        </is>
      </c>
      <c r="U125" s="1674" t="inlineStr">
        <is>
          <t>07540331590</t>
        </is>
      </c>
      <c r="V125" s="1674" t="inlineStr">
        <is>
          <t>CV37 0rs</t>
        </is>
      </c>
      <c r="W125" s="331" t="inlineStr">
        <is>
          <t>2 Coopers Close</t>
        </is>
      </c>
      <c r="X125" s="1674" t="inlineStr">
        <is>
          <t>Stratford upon avon</t>
        </is>
      </c>
      <c r="Y125" s="1698" t="n"/>
      <c r="Z125" s="1674" t="n"/>
      <c r="AA125" s="1674" t="n"/>
      <c r="AC125" s="1674" t="n"/>
    </row>
    <row r="126" ht="12.75" customHeight="1" s="1232">
      <c r="B126" s="511" t="n">
        <v>44433</v>
      </c>
      <c r="C126" s="1607" t="inlineStr">
        <is>
          <t>#02027</t>
        </is>
      </c>
      <c r="D126" s="1675" t="n">
        <v>360</v>
      </c>
      <c r="E126" s="1675" t="n"/>
      <c r="F126" s="1607" t="inlineStr">
        <is>
          <t>5 x 2hrs</t>
        </is>
      </c>
      <c r="G126" s="1675" t="n"/>
      <c r="H126" s="1674" t="n"/>
      <c r="I126" s="1674" t="n"/>
      <c r="J126" s="367" t="n"/>
      <c r="K126" s="367" t="n"/>
      <c r="L126" s="367" t="n"/>
      <c r="M126" s="367" t="n"/>
      <c r="N126" s="367" t="n"/>
      <c r="O126" s="367" t="n"/>
      <c r="P126" s="1678" t="inlineStr">
        <is>
          <t xml:space="preserve">maria_19@hotmail.co.uk </t>
        </is>
      </c>
      <c r="Q126" s="1568" t="inlineStr">
        <is>
          <t>Mrs</t>
        </is>
      </c>
      <c r="R126" s="1568" t="inlineStr">
        <is>
          <t>Maria</t>
        </is>
      </c>
      <c r="S126" s="1674" t="inlineStr">
        <is>
          <t>Iqbal</t>
        </is>
      </c>
      <c r="T126" s="238" t="inlineStr">
        <is>
          <t>32</t>
        </is>
      </c>
      <c r="U126" s="1604" t="inlineStr">
        <is>
          <t>07891133043</t>
        </is>
      </c>
      <c r="V126" s="1674" t="inlineStr">
        <is>
          <t>B11 4PG</t>
        </is>
      </c>
      <c r="W126" s="331" t="inlineStr">
        <is>
          <t>65 Beach Road</t>
        </is>
      </c>
      <c r="X126" s="1568" t="inlineStr">
        <is>
          <t>Sparkhill</t>
        </is>
      </c>
      <c r="Y126" s="1698" t="n"/>
      <c r="Z126" s="1674" t="n"/>
      <c r="AA126" s="1674" t="n"/>
      <c r="AC126" s="1674" t="n"/>
    </row>
    <row r="127" ht="12.75" customHeight="1" s="1232">
      <c r="B127" s="511" t="n">
        <v>44438</v>
      </c>
      <c r="C127" s="1607" t="inlineStr">
        <is>
          <t>#02034</t>
        </is>
      </c>
      <c r="D127" s="1675" t="n">
        <v>360</v>
      </c>
      <c r="E127" s="1675" t="n"/>
      <c r="F127" s="1607" t="inlineStr">
        <is>
          <t>5 x 2hrs</t>
        </is>
      </c>
      <c r="G127" s="1675" t="n"/>
      <c r="H127" s="1674" t="n"/>
      <c r="I127" s="1674" t="n"/>
      <c r="J127" s="367" t="n"/>
      <c r="K127" s="367" t="n"/>
      <c r="L127" s="367" t="n"/>
      <c r="M127" s="367" t="n"/>
      <c r="N127" s="367" t="n"/>
      <c r="O127" s="367" t="n"/>
      <c r="P127" s="1678" t="inlineStr">
        <is>
          <t xml:space="preserve">annewatkinson@talk21.com </t>
        </is>
      </c>
      <c r="Q127" s="1568" t="inlineStr">
        <is>
          <t>Ms</t>
        </is>
      </c>
      <c r="R127" s="1568" t="inlineStr">
        <is>
          <t xml:space="preserve">Anne </t>
        </is>
      </c>
      <c r="S127" s="1568" t="inlineStr">
        <is>
          <t>Watkinson</t>
        </is>
      </c>
      <c r="T127" s="238" t="inlineStr">
        <is>
          <t>70</t>
        </is>
      </c>
      <c r="U127" s="1604" t="inlineStr">
        <is>
          <t>07940178743</t>
        </is>
      </c>
      <c r="V127" s="1674" t="inlineStr">
        <is>
          <t>CV7 7DB</t>
        </is>
      </c>
      <c r="W127" s="331" t="inlineStr">
        <is>
          <t>17 Benton Green Lane</t>
        </is>
      </c>
      <c r="X127" s="1568" t="inlineStr">
        <is>
          <t>Berkswell</t>
        </is>
      </c>
      <c r="Y127" s="1698" t="n"/>
      <c r="Z127" s="1674" t="n"/>
      <c r="AA127" s="1674" t="n"/>
      <c r="AC127" s="1674" t="n"/>
    </row>
    <row r="128" ht="12.75" customHeight="1" s="1232">
      <c r="B128" s="511" t="n">
        <v>44440</v>
      </c>
      <c r="C128" s="1607" t="inlineStr">
        <is>
          <t>#02040</t>
        </is>
      </c>
      <c r="D128" s="1675" t="n">
        <v>360</v>
      </c>
      <c r="E128" s="1675" t="n"/>
      <c r="F128" s="1607" t="inlineStr">
        <is>
          <t>4 x 2hrs</t>
        </is>
      </c>
      <c r="G128" s="1675" t="n"/>
      <c r="H128" s="1674" t="n"/>
      <c r="I128" s="1674" t="n"/>
      <c r="J128" s="367" t="n">
        <v>44460</v>
      </c>
      <c r="K128" s="367" t="n"/>
      <c r="L128" s="367" t="n"/>
      <c r="M128" s="367" t="n"/>
      <c r="N128" s="367" t="n"/>
      <c r="O128" s="367" t="n"/>
      <c r="P128" s="1678" t="inlineStr">
        <is>
          <t xml:space="preserve">clhannis@hotmail.co.uk </t>
        </is>
      </c>
      <c r="Q128" s="1568" t="inlineStr">
        <is>
          <t>Ms</t>
        </is>
      </c>
      <c r="R128" s="1568" t="inlineStr">
        <is>
          <t>Claire</t>
        </is>
      </c>
      <c r="S128" s="1568" t="inlineStr">
        <is>
          <t>Hannis</t>
        </is>
      </c>
      <c r="T128" s="238" t="inlineStr">
        <is>
          <t>50</t>
        </is>
      </c>
      <c r="U128" s="1604" t="inlineStr">
        <is>
          <t>07933239528</t>
        </is>
      </c>
      <c r="V128" s="1674" t="inlineStr">
        <is>
          <t>CV3 5PX</t>
        </is>
      </c>
      <c r="W128" s="331" t="inlineStr">
        <is>
          <t>32 Crediton Close</t>
        </is>
      </c>
      <c r="X128" s="1568" t="inlineStr">
        <is>
          <t>Coventry</t>
        </is>
      </c>
      <c r="Y128" s="1698" t="n"/>
      <c r="Z128" s="1674" t="n"/>
      <c r="AA128" s="1674" t="n"/>
      <c r="AC128" s="1674" t="n"/>
    </row>
    <row r="129" ht="12.75" customHeight="1" s="1232">
      <c r="B129" s="511" t="n">
        <v>44488</v>
      </c>
      <c r="C129" s="1607" t="n"/>
      <c r="D129" s="1675" t="n">
        <v>225</v>
      </c>
      <c r="E129" s="1675" t="n"/>
      <c r="F129" s="1607" t="inlineStr">
        <is>
          <t>4hrs</t>
        </is>
      </c>
      <c r="G129" s="1675" t="n"/>
      <c r="H129" s="1674" t="n"/>
      <c r="I129" s="1674" t="n"/>
      <c r="J129" s="367" t="n">
        <v>44508</v>
      </c>
      <c r="K129" s="367" t="n"/>
      <c r="L129" s="367" t="n"/>
      <c r="M129" s="367" t="n"/>
      <c r="N129" s="367" t="n"/>
      <c r="O129" s="367" t="n"/>
      <c r="P129" s="1678" t="inlineStr">
        <is>
          <t>astjn4@aol.com</t>
        </is>
      </c>
      <c r="Q129" s="1568" t="inlineStr">
        <is>
          <t>Ms</t>
        </is>
      </c>
      <c r="R129" s="1568" t="inlineStr">
        <is>
          <t>Joanne</t>
        </is>
      </c>
      <c r="S129" s="1568" t="inlineStr">
        <is>
          <t>Astle</t>
        </is>
      </c>
      <c r="T129" s="238" t="inlineStr">
        <is>
          <t>52</t>
        </is>
      </c>
      <c r="U129" s="1604" t="inlineStr">
        <is>
          <t>07809016219</t>
        </is>
      </c>
      <c r="V129" s="1674" t="inlineStr">
        <is>
          <t>DE21 6TB</t>
        </is>
      </c>
      <c r="W129" s="331" t="inlineStr">
        <is>
          <t>162 Albert Road</t>
        </is>
      </c>
      <c r="X129" s="1568" t="inlineStr">
        <is>
          <t>Derby</t>
        </is>
      </c>
      <c r="Y129" s="1698" t="n"/>
      <c r="Z129" s="1674" t="n"/>
      <c r="AA129" s="1674" t="n"/>
      <c r="AC129" s="1674" t="n"/>
    </row>
    <row r="130" ht="12.75" customHeight="1" s="1232">
      <c r="B130" s="511" t="n">
        <v>44502</v>
      </c>
      <c r="C130" s="1607" t="n"/>
      <c r="D130" s="1675" t="n">
        <v>110</v>
      </c>
      <c r="E130" s="1675" t="n"/>
      <c r="F130" s="1607" t="inlineStr">
        <is>
          <t>2hrs</t>
        </is>
      </c>
      <c r="G130" s="1675" t="n"/>
      <c r="H130" s="1674" t="n"/>
      <c r="I130" s="1674" t="n"/>
      <c r="J130" s="367" t="n">
        <v>44503</v>
      </c>
      <c r="K130" s="367" t="n"/>
      <c r="L130" s="367" t="n"/>
      <c r="M130" s="367" t="n"/>
      <c r="N130" s="367" t="n"/>
      <c r="O130" s="367" t="n"/>
      <c r="P130" s="1491" t="inlineStr">
        <is>
          <t>sheilacoughlan1958@gmail.com</t>
        </is>
      </c>
      <c r="Q130" s="1698" t="inlineStr">
        <is>
          <t>Mrs</t>
        </is>
      </c>
      <c r="R130" s="1699" t="inlineStr">
        <is>
          <t xml:space="preserve">Sheila </t>
        </is>
      </c>
      <c r="S130" s="1699" t="inlineStr">
        <is>
          <t>Coughlan</t>
        </is>
      </c>
      <c r="T130" s="1700" t="n"/>
      <c r="U130" s="1701" t="inlineStr">
        <is>
          <t>07453947504</t>
        </is>
      </c>
      <c r="V130" s="1698" t="inlineStr">
        <is>
          <t>CV31 1JB</t>
        </is>
      </c>
      <c r="W130" s="1698" t="inlineStr">
        <is>
          <t>3 Rushmore Terrace</t>
        </is>
      </c>
      <c r="X130" s="1698" t="inlineStr">
        <is>
          <t>Leamington Spa</t>
        </is>
      </c>
      <c r="Y130" s="1698" t="n"/>
      <c r="Z130" s="1674" t="n"/>
      <c r="AA130" s="1674" t="n"/>
      <c r="AC130" s="1674" t="n"/>
    </row>
    <row r="131" ht="12.75" customHeight="1" s="1232">
      <c r="B131" s="511" t="n">
        <v>44502</v>
      </c>
      <c r="C131" s="1607" t="n"/>
      <c r="D131" s="1675" t="n">
        <v>110</v>
      </c>
      <c r="E131" s="1675" t="n"/>
      <c r="F131" s="1607" t="inlineStr">
        <is>
          <t>2hrs</t>
        </is>
      </c>
      <c r="G131" s="1675" t="n"/>
      <c r="H131" s="1674" t="n"/>
      <c r="I131" s="1674" t="n"/>
      <c r="J131" s="367" t="n">
        <v>44504</v>
      </c>
      <c r="K131" s="367" t="n"/>
      <c r="L131" s="367" t="n"/>
      <c r="M131" s="367" t="n"/>
      <c r="N131" s="367" t="n"/>
      <c r="O131" s="367" t="n"/>
      <c r="P131" s="1491" t="inlineStr">
        <is>
          <t>sheilacoughlan1958@gmail.com</t>
        </is>
      </c>
      <c r="Q131" s="1698" t="inlineStr">
        <is>
          <t>Mrs</t>
        </is>
      </c>
      <c r="R131" s="1699" t="inlineStr">
        <is>
          <t xml:space="preserve">Sheila </t>
        </is>
      </c>
      <c r="S131" s="1699" t="inlineStr">
        <is>
          <t>Coughlan</t>
        </is>
      </c>
      <c r="T131" s="1700" t="n"/>
      <c r="U131" s="1701" t="inlineStr">
        <is>
          <t>07453947504</t>
        </is>
      </c>
      <c r="V131" s="1698" t="inlineStr">
        <is>
          <t>CV31 1JB</t>
        </is>
      </c>
      <c r="W131" s="1698" t="inlineStr">
        <is>
          <t>3 Rushmore Terrace</t>
        </is>
      </c>
      <c r="X131" s="1698" t="inlineStr">
        <is>
          <t>Leamington Spa</t>
        </is>
      </c>
      <c r="Y131" s="1698" t="n"/>
      <c r="Z131" s="1674" t="n"/>
      <c r="AA131" s="1674" t="n"/>
      <c r="AC131" s="1674" t="n"/>
    </row>
    <row r="132" ht="12.75" customHeight="1" s="1232">
      <c r="B132" s="511" t="n">
        <v>44547</v>
      </c>
      <c r="C132" s="1607" t="inlineStr">
        <is>
          <t>#02134</t>
        </is>
      </c>
      <c r="D132" s="1675" t="n">
        <v>360</v>
      </c>
      <c r="E132" s="1675" t="n"/>
      <c r="F132" s="1607" t="inlineStr">
        <is>
          <t>4 x 2hrs</t>
        </is>
      </c>
      <c r="G132" s="1675" t="n"/>
      <c r="H132" s="1674" t="n"/>
      <c r="I132" s="1674" t="n"/>
      <c r="J132" s="367" t="n"/>
      <c r="K132" s="367" t="n"/>
      <c r="L132" s="367" t="n"/>
      <c r="M132" s="367" t="n"/>
      <c r="N132" s="367" t="n"/>
      <c r="O132" s="367" t="n"/>
      <c r="P132" s="1678" t="inlineStr">
        <is>
          <t xml:space="preserve">yvonne.sharman@plenahealth.co.uk </t>
        </is>
      </c>
      <c r="Q132" s="1568" t="inlineStr">
        <is>
          <t>Mr</t>
        </is>
      </c>
      <c r="R132" s="1568" t="inlineStr">
        <is>
          <t xml:space="preserve">Lyn (den) </t>
        </is>
      </c>
      <c r="S132" s="1568" t="inlineStr">
        <is>
          <t>Sharman</t>
        </is>
      </c>
      <c r="T132" s="238" t="inlineStr">
        <is>
          <t>79</t>
        </is>
      </c>
      <c r="U132" s="1604" t="inlineStr">
        <is>
          <t>07973462718</t>
        </is>
      </c>
      <c r="V132" s="1674" t="inlineStr">
        <is>
          <t>CV34 4DB</t>
        </is>
      </c>
      <c r="W132" s="331" t="inlineStr">
        <is>
          <t>2 Castle Close</t>
        </is>
      </c>
      <c r="X132" s="1568" t="inlineStr">
        <is>
          <t>Warwick</t>
        </is>
      </c>
      <c r="Y132" s="1698" t="n"/>
      <c r="Z132" s="1674" t="n"/>
      <c r="AA132" s="1674" t="n"/>
      <c r="AC132" s="1674" t="n"/>
    </row>
    <row r="133" ht="12.75" customHeight="1" s="1232">
      <c r="B133" s="511" t="n">
        <v>44550</v>
      </c>
      <c r="C133" s="1607" t="inlineStr">
        <is>
          <t>Direct</t>
        </is>
      </c>
      <c r="D133" s="1675" t="n">
        <v>360</v>
      </c>
      <c r="E133" s="1675" t="n"/>
      <c r="F133" s="1607" t="inlineStr">
        <is>
          <t>4 x 2hrs</t>
        </is>
      </c>
      <c r="G133" s="1675" t="n"/>
      <c r="H133" s="1674" t="n"/>
      <c r="I133" s="1674" t="n"/>
      <c r="J133" s="367" t="n"/>
      <c r="K133" s="367" t="n"/>
      <c r="L133" s="367" t="n"/>
      <c r="M133" s="367" t="n"/>
      <c r="N133" s="367" t="n"/>
      <c r="O133" s="367" t="n"/>
      <c r="P133" s="1374" t="inlineStr">
        <is>
          <t>jeffreybalyliss@gmail.com</t>
        </is>
      </c>
      <c r="Q133" s="1568" t="inlineStr">
        <is>
          <t>Mrs</t>
        </is>
      </c>
      <c r="R133" s="1568" t="inlineStr">
        <is>
          <t xml:space="preserve">Bernie </t>
        </is>
      </c>
      <c r="S133" s="1568" t="inlineStr">
        <is>
          <t>Bayliss</t>
        </is>
      </c>
      <c r="T133" s="238" t="n"/>
      <c r="U133" s="1604" t="inlineStr">
        <is>
          <t>07528789979</t>
        </is>
      </c>
      <c r="V133" s="1674" t="n"/>
      <c r="W133" s="331" t="n"/>
      <c r="X133" s="1568" t="n"/>
      <c r="Y133" s="1698" t="n"/>
      <c r="Z133" s="1674" t="n"/>
      <c r="AA133" s="1674" t="n"/>
      <c r="AC133" s="1674" t="n"/>
    </row>
    <row r="134" ht="12.75" customHeight="1" s="1232">
      <c r="B134" s="511" t="n">
        <v>44571</v>
      </c>
      <c r="C134" s="1607" t="inlineStr">
        <is>
          <t>#02159</t>
        </is>
      </c>
      <c r="D134" s="1675" t="n">
        <v>360</v>
      </c>
      <c r="E134" s="1675" t="n"/>
      <c r="F134" s="1607" t="inlineStr">
        <is>
          <t>4 x 2hrs</t>
        </is>
      </c>
      <c r="G134" s="1675" t="n"/>
      <c r="H134" s="1674" t="n"/>
      <c r="I134" s="1674" t="n"/>
      <c r="J134" s="367" t="n"/>
      <c r="K134" s="367" t="n"/>
      <c r="L134" s="367" t="n"/>
      <c r="M134" s="367" t="n"/>
      <c r="N134" s="367" t="n"/>
      <c r="O134" s="367" t="n"/>
      <c r="P134" s="1678" t="inlineStr">
        <is>
          <t xml:space="preserve">mkpayton@sky.com </t>
        </is>
      </c>
      <c r="Q134" s="1568" t="inlineStr">
        <is>
          <t>Mr</t>
        </is>
      </c>
      <c r="R134" s="1568" t="inlineStr">
        <is>
          <t>Matthew</t>
        </is>
      </c>
      <c r="S134" s="1568" t="inlineStr">
        <is>
          <t>Payton</t>
        </is>
      </c>
      <c r="T134" s="238" t="inlineStr">
        <is>
          <t>47</t>
        </is>
      </c>
      <c r="U134" s="1604" t="inlineStr">
        <is>
          <t>07792640004</t>
        </is>
      </c>
      <c r="V134" s="1674" t="inlineStr">
        <is>
          <t>B91 3JR</t>
        </is>
      </c>
      <c r="W134" s="331" t="inlineStr">
        <is>
          <t>67 Lovelace Avenue</t>
        </is>
      </c>
      <c r="X134" s="1568" t="inlineStr">
        <is>
          <t>Solihull</t>
        </is>
      </c>
      <c r="Y134" s="1698" t="n"/>
      <c r="Z134" s="1674" t="n"/>
      <c r="AA134" s="1674" t="n"/>
      <c r="AC134" s="1674" t="n"/>
    </row>
    <row r="135" ht="12.75" customHeight="1" s="1232">
      <c r="B135" s="511" t="n">
        <v>44628</v>
      </c>
      <c r="C135" s="1607" t="inlineStr">
        <is>
          <t>#02199</t>
        </is>
      </c>
      <c r="D135" s="1675" t="n">
        <v>225</v>
      </c>
      <c r="E135" s="1675" t="n"/>
      <c r="F135" s="1607" t="inlineStr">
        <is>
          <t>4hrs</t>
        </is>
      </c>
      <c r="G135" s="1675" t="n"/>
      <c r="H135" s="1674" t="n"/>
      <c r="I135" s="1674" t="n"/>
      <c r="J135" s="367" t="n">
        <v>44636</v>
      </c>
      <c r="K135" s="367" t="n"/>
      <c r="L135" s="367" t="n"/>
      <c r="M135" s="367" t="n"/>
      <c r="N135" s="367" t="n"/>
      <c r="O135" s="367" t="n"/>
      <c r="P135" s="1678" t="inlineStr">
        <is>
          <t xml:space="preserve">alex1962uk@yahoo.co.uk </t>
        </is>
      </c>
      <c r="Q135" s="1568" t="inlineStr">
        <is>
          <t>Mr</t>
        </is>
      </c>
      <c r="R135" s="1568" t="inlineStr">
        <is>
          <t>Alex</t>
        </is>
      </c>
      <c r="S135" s="1568" t="inlineStr">
        <is>
          <t>Lavender</t>
        </is>
      </c>
      <c r="T135" s="238" t="inlineStr">
        <is>
          <t>60</t>
        </is>
      </c>
      <c r="U135" s="1604" t="inlineStr">
        <is>
          <t>07970385403</t>
        </is>
      </c>
      <c r="V135" s="1674" t="inlineStr">
        <is>
          <t>CV37 9FY</t>
        </is>
      </c>
      <c r="W135" s="331" t="inlineStr">
        <is>
          <t>8 Shottery Green</t>
        </is>
      </c>
      <c r="X135" s="1568" t="inlineStr">
        <is>
          <t>Stratford upon avon</t>
        </is>
      </c>
      <c r="Y135" s="1698" t="n"/>
      <c r="Z135" s="1674" t="n"/>
      <c r="AA135" s="1674" t="n"/>
      <c r="AC135" s="1674" t="n"/>
    </row>
    <row r="136" ht="12.75" customHeight="1" s="1232">
      <c r="B136" s="511" t="n">
        <v>44700</v>
      </c>
      <c r="C136" s="1607" t="inlineStr">
        <is>
          <t>#02254</t>
        </is>
      </c>
      <c r="D136" s="1675" t="n">
        <v>360</v>
      </c>
      <c r="E136" s="1675" t="n"/>
      <c r="F136" s="1607" t="inlineStr">
        <is>
          <t>4 x 2hrs</t>
        </is>
      </c>
      <c r="G136" s="1675" t="n"/>
      <c r="H136" s="1674" t="n"/>
      <c r="I136" s="1674" t="n"/>
      <c r="J136" s="367" t="n">
        <v>44707</v>
      </c>
      <c r="K136" s="367" t="n"/>
      <c r="L136" s="367" t="n"/>
      <c r="M136" s="367" t="n"/>
      <c r="N136" s="367" t="n"/>
      <c r="O136" s="367" t="n"/>
      <c r="P136" s="1678" t="inlineStr">
        <is>
          <t xml:space="preserve">tholton101@gmail.com </t>
        </is>
      </c>
      <c r="Q136" s="1568" t="inlineStr">
        <is>
          <t>Mr</t>
        </is>
      </c>
      <c r="R136" s="1568" t="inlineStr">
        <is>
          <t>Terry</t>
        </is>
      </c>
      <c r="S136" s="1568" t="inlineStr">
        <is>
          <t>Holton</t>
        </is>
      </c>
      <c r="T136" s="238" t="inlineStr">
        <is>
          <t>55</t>
        </is>
      </c>
      <c r="U136" s="1604" t="inlineStr">
        <is>
          <t>07841574698</t>
        </is>
      </c>
      <c r="V136" s="1674" t="inlineStr">
        <is>
          <t>CV23 9DY</t>
        </is>
      </c>
      <c r="W136" s="331" t="inlineStr">
        <is>
          <t>3 Raffles Place</t>
        </is>
      </c>
      <c r="X136" s="1568" t="inlineStr">
        <is>
          <t>Rugby</t>
        </is>
      </c>
      <c r="Y136" s="1698" t="n"/>
      <c r="Z136" s="1674" t="n"/>
      <c r="AA136" s="1674" t="n"/>
      <c r="AC136" s="1674" t="n"/>
    </row>
    <row r="137" ht="12.75" customHeight="1" s="1232">
      <c r="B137" s="511" t="n">
        <v>44870</v>
      </c>
      <c r="C137" s="1607" t="inlineStr">
        <is>
          <t>#02362</t>
        </is>
      </c>
      <c r="D137" s="1675" t="n">
        <v>360</v>
      </c>
      <c r="E137" s="1675" t="n"/>
      <c r="F137" s="1607" t="inlineStr">
        <is>
          <t>4 x 2hrs</t>
        </is>
      </c>
      <c r="G137" s="1675" t="n"/>
      <c r="H137" s="1674" t="n"/>
      <c r="I137" s="1674" t="n"/>
      <c r="J137" s="367" t="n">
        <v>44872</v>
      </c>
      <c r="K137" s="367" t="n"/>
      <c r="L137" s="367" t="n"/>
      <c r="M137" s="367" t="n"/>
      <c r="N137" s="367" t="n"/>
      <c r="O137" s="367" t="n"/>
      <c r="P137" s="1678" t="inlineStr">
        <is>
          <t xml:space="preserve">annewatkinson@talk21.com </t>
        </is>
      </c>
      <c r="Q137" s="1568" t="inlineStr">
        <is>
          <t>Ms</t>
        </is>
      </c>
      <c r="R137" s="1568" t="inlineStr">
        <is>
          <t xml:space="preserve">Anne </t>
        </is>
      </c>
      <c r="S137" s="1568" t="inlineStr">
        <is>
          <t>Watkinson</t>
        </is>
      </c>
      <c r="T137" s="238" t="inlineStr">
        <is>
          <t>70</t>
        </is>
      </c>
      <c r="U137" s="1604" t="inlineStr">
        <is>
          <t>07940178743</t>
        </is>
      </c>
      <c r="V137" s="1674" t="inlineStr">
        <is>
          <t>CV7 7DB</t>
        </is>
      </c>
      <c r="W137" s="331" t="inlineStr">
        <is>
          <t>17 Benton Green Lane</t>
        </is>
      </c>
      <c r="X137" s="1568" t="inlineStr">
        <is>
          <t>Berkswell</t>
        </is>
      </c>
      <c r="Y137" s="1698" t="n"/>
      <c r="Z137" s="1674" t="n"/>
      <c r="AA137" s="1674" t="n"/>
      <c r="AC137" s="1674" t="n"/>
    </row>
    <row r="138" ht="12.75" customHeight="1" s="1232">
      <c r="B138" s="511" t="n">
        <v>44873</v>
      </c>
      <c r="C138" s="1607" t="n"/>
      <c r="D138" s="1675" t="n">
        <v>120</v>
      </c>
      <c r="E138" s="1675" t="n"/>
      <c r="F138" s="1607" t="inlineStr">
        <is>
          <t>2hrs</t>
        </is>
      </c>
      <c r="G138" s="1675" t="n"/>
      <c r="H138" s="1674" t="n"/>
      <c r="I138" s="1674" t="n"/>
      <c r="J138" s="367" t="n">
        <v>44895</v>
      </c>
      <c r="K138" s="367" t="n"/>
      <c r="L138" s="367" t="n"/>
      <c r="M138" s="367" t="n"/>
      <c r="N138" s="367" t="n"/>
      <c r="O138" s="367" t="n"/>
      <c r="P138" s="1678" t="inlineStr">
        <is>
          <t>julesjoanne99@gmail.com</t>
        </is>
      </c>
      <c r="Q138" s="1568" t="inlineStr">
        <is>
          <t>Ms</t>
        </is>
      </c>
      <c r="R138" s="1568" t="inlineStr">
        <is>
          <t>Julie</t>
        </is>
      </c>
      <c r="S138" s="1568" t="inlineStr">
        <is>
          <t>Hughes</t>
        </is>
      </c>
      <c r="T138" s="238" t="n"/>
      <c r="U138" s="1604" t="n"/>
      <c r="V138" s="1674" t="n"/>
      <c r="W138" s="331" t="n"/>
      <c r="X138" s="1568" t="n"/>
      <c r="Y138" s="1698" t="n"/>
      <c r="Z138" s="1674" t="n"/>
      <c r="AA138" s="1674" t="n"/>
      <c r="AC138" s="1674" t="n"/>
    </row>
    <row r="139" ht="12.75" customHeight="1" s="1232">
      <c r="B139" s="511" t="n">
        <v>44960</v>
      </c>
      <c r="C139" s="1607" t="inlineStr">
        <is>
          <t>#02427</t>
        </is>
      </c>
      <c r="D139" s="1675" t="n">
        <v>360</v>
      </c>
      <c r="E139" s="1675" t="n"/>
      <c r="F139" s="1607" t="inlineStr">
        <is>
          <t>4 x 2hrs</t>
        </is>
      </c>
      <c r="G139" s="1607" t="inlineStr">
        <is>
          <t>Craig Morley</t>
        </is>
      </c>
      <c r="H139" s="1674" t="n"/>
      <c r="I139" s="1674" t="n"/>
      <c r="J139" s="641" t="n">
        <v>45006</v>
      </c>
      <c r="K139" s="641" t="inlineStr">
        <is>
          <t>?</t>
        </is>
      </c>
      <c r="L139" s="641" t="inlineStr">
        <is>
          <t>?</t>
        </is>
      </c>
      <c r="M139" s="641" t="inlineStr">
        <is>
          <t>?</t>
        </is>
      </c>
      <c r="N139" s="641" t="n"/>
      <c r="O139" s="641" t="n"/>
      <c r="P139" s="1678" t="inlineStr">
        <is>
          <t xml:space="preserve">kwisemo1@gmail.com </t>
        </is>
      </c>
      <c r="Q139" s="1568" t="inlineStr">
        <is>
          <t>Mr</t>
        </is>
      </c>
      <c r="R139" s="1568" t="inlineStr">
        <is>
          <t>Craig</t>
        </is>
      </c>
      <c r="S139" s="1568" t="inlineStr">
        <is>
          <t>Morley</t>
        </is>
      </c>
      <c r="T139" s="238" t="inlineStr">
        <is>
          <t>70</t>
        </is>
      </c>
      <c r="U139" s="1604" t="inlineStr">
        <is>
          <t>18105983030</t>
        </is>
      </c>
      <c r="V139" s="1674" t="n"/>
      <c r="W139" s="331" t="n"/>
      <c r="X139" s="1568" t="inlineStr">
        <is>
          <t>USA</t>
        </is>
      </c>
      <c r="Y139" s="1698" t="n"/>
      <c r="Z139" s="1674" t="n"/>
      <c r="AA139" s="1674" t="n"/>
      <c r="AC139" s="1674" t="n"/>
    </row>
    <row r="140" ht="12.75" customHeight="1" s="1232">
      <c r="B140" s="511" t="n">
        <v>44984</v>
      </c>
      <c r="C140" s="1607" t="inlineStr">
        <is>
          <t>#02442</t>
        </is>
      </c>
      <c r="D140" s="1675" t="n">
        <v>360</v>
      </c>
      <c r="E140" s="1675" t="n"/>
      <c r="F140" s="1607" t="inlineStr">
        <is>
          <t>4 x 2hrs</t>
        </is>
      </c>
      <c r="G140" s="1675" t="n"/>
      <c r="H140" s="1674" t="n"/>
      <c r="I140" s="1674" t="n"/>
      <c r="J140" s="367" t="n"/>
      <c r="K140" s="367" t="n"/>
      <c r="L140" s="367" t="n"/>
      <c r="M140" s="367" t="n"/>
      <c r="N140" s="367" t="n"/>
      <c r="O140" s="367" t="n"/>
      <c r="P140" s="1678" t="inlineStr">
        <is>
          <t xml:space="preserve">sophiehelen07@hotmail.co.uk </t>
        </is>
      </c>
      <c r="Q140" s="1568" t="inlineStr">
        <is>
          <t>Ms</t>
        </is>
      </c>
      <c r="R140" s="1568" t="inlineStr">
        <is>
          <t>Sophie</t>
        </is>
      </c>
      <c r="S140" s="1568" t="inlineStr">
        <is>
          <t>Bates</t>
        </is>
      </c>
      <c r="T140" s="238" t="inlineStr">
        <is>
          <t>30</t>
        </is>
      </c>
      <c r="U140" s="1604" t="inlineStr">
        <is>
          <t>07535700991</t>
        </is>
      </c>
      <c r="V140" s="1674" t="inlineStr">
        <is>
          <t>NN11 6UE</t>
        </is>
      </c>
      <c r="W140" s="331" t="inlineStr">
        <is>
          <t>4 Plowden Close</t>
        </is>
      </c>
      <c r="X140" s="1568" t="inlineStr">
        <is>
          <t>Daventry</t>
        </is>
      </c>
      <c r="Y140" s="1698" t="n"/>
      <c r="Z140" s="1674" t="n"/>
      <c r="AA140" s="1674" t="n"/>
      <c r="AC140" s="1674" t="n"/>
    </row>
    <row r="141" ht="12.75" customHeight="1" s="1232">
      <c r="B141" s="511" t="n">
        <v>44986</v>
      </c>
      <c r="C141" s="1607" t="inlineStr">
        <is>
          <t>#02443</t>
        </is>
      </c>
      <c r="D141" s="1675" t="n">
        <v>360</v>
      </c>
      <c r="E141" s="1675" t="n"/>
      <c r="F141" s="1607" t="inlineStr">
        <is>
          <t>4 x 2hrs</t>
        </is>
      </c>
      <c r="G141" s="1675" t="n"/>
      <c r="H141" s="1674" t="n"/>
      <c r="I141" s="1674" t="n"/>
      <c r="J141" s="367" t="n"/>
      <c r="K141" s="367" t="n"/>
      <c r="L141" s="367" t="n"/>
      <c r="M141" s="367" t="n"/>
      <c r="N141" s="367" t="n"/>
      <c r="O141" s="367" t="n"/>
      <c r="P141" s="1678" t="inlineStr">
        <is>
          <t xml:space="preserve">nickie.wood@hotmail.com </t>
        </is>
      </c>
      <c r="Q141" s="1568" t="inlineStr">
        <is>
          <t>Mrs</t>
        </is>
      </c>
      <c r="R141" s="1568" t="inlineStr">
        <is>
          <t>Nickie</t>
        </is>
      </c>
      <c r="S141" s="1568" t="inlineStr">
        <is>
          <t>Wood</t>
        </is>
      </c>
      <c r="T141" s="238" t="inlineStr">
        <is>
          <t>60</t>
        </is>
      </c>
      <c r="U141" s="1604" t="inlineStr">
        <is>
          <t>07929574004</t>
        </is>
      </c>
      <c r="V141" s="1674" t="inlineStr">
        <is>
          <t>B73 6UE</t>
        </is>
      </c>
      <c r="W141" s="331" t="inlineStr">
        <is>
          <t>18 Coppice View Road</t>
        </is>
      </c>
      <c r="X141" s="1568" t="inlineStr">
        <is>
          <t>Sutton Coldfield</t>
        </is>
      </c>
      <c r="Y141" s="1698" t="n"/>
      <c r="Z141" s="1674" t="n"/>
      <c r="AA141" s="1674" t="n"/>
      <c r="AC141" s="1674" t="n"/>
    </row>
    <row r="142" ht="12.75" customHeight="1" s="1232">
      <c r="B142" s="511" t="n">
        <v>45137</v>
      </c>
      <c r="C142" s="1607" t="inlineStr">
        <is>
          <t>#02560</t>
        </is>
      </c>
      <c r="D142" s="1675" t="n">
        <v>240</v>
      </c>
      <c r="E142" s="1607" t="inlineStr">
        <is>
          <t>Zoom</t>
        </is>
      </c>
      <c r="F142" s="1607" t="inlineStr">
        <is>
          <t>6 x 1hr</t>
        </is>
      </c>
      <c r="G142" s="1675" t="n"/>
      <c r="H142" s="1674" t="n"/>
      <c r="I142" s="1674" t="n"/>
      <c r="J142" s="367" t="n"/>
      <c r="K142" s="367" t="n"/>
      <c r="L142" s="367" t="n"/>
      <c r="M142" s="367" t="n"/>
      <c r="N142" s="367" t="n"/>
      <c r="O142" s="367" t="n"/>
      <c r="P142" s="1678" t="n"/>
      <c r="Q142" s="1568" t="n"/>
      <c r="R142" s="1568" t="n"/>
      <c r="S142" s="1568" t="n"/>
      <c r="T142" s="238" t="n"/>
      <c r="U142" s="1604" t="n"/>
      <c r="V142" s="1674" t="n"/>
      <c r="W142" s="331" t="n"/>
      <c r="X142" s="1568" t="n"/>
      <c r="Y142" s="1698" t="n"/>
      <c r="Z142" s="1674" t="n"/>
      <c r="AA142" s="1674" t="n"/>
      <c r="AC142" s="1674" t="n"/>
    </row>
    <row r="143" ht="12.75" customHeight="1" s="1232">
      <c r="B143" s="511" t="n">
        <v>45226</v>
      </c>
      <c r="C143" s="1607" t="inlineStr">
        <is>
          <t>#02636</t>
        </is>
      </c>
      <c r="D143" s="1675" t="n">
        <v>360</v>
      </c>
      <c r="E143" s="1675" t="n"/>
      <c r="F143" s="1607" t="inlineStr">
        <is>
          <t>4 x 2hrs</t>
        </is>
      </c>
      <c r="G143" s="1675" t="n"/>
      <c r="H143" s="1674" t="n"/>
      <c r="I143" s="1674" t="n"/>
      <c r="J143" s="367" t="n"/>
      <c r="K143" s="367" t="n"/>
      <c r="L143" s="367" t="n"/>
      <c r="M143" s="367" t="n"/>
      <c r="N143" s="367" t="n"/>
      <c r="O143" s="367" t="n"/>
      <c r="P143" s="1678" t="inlineStr">
        <is>
          <t xml:space="preserve">jonnevs1966@gmail.com </t>
        </is>
      </c>
      <c r="Q143" s="1568" t="inlineStr">
        <is>
          <t>Mr</t>
        </is>
      </c>
      <c r="R143" s="1568" t="inlineStr">
        <is>
          <t>John</t>
        </is>
      </c>
      <c r="S143" s="1568" t="inlineStr">
        <is>
          <t>Evans</t>
        </is>
      </c>
      <c r="T143" s="238" t="inlineStr">
        <is>
          <t>57</t>
        </is>
      </c>
      <c r="U143" s="1604" t="inlineStr">
        <is>
          <t>07783928974</t>
        </is>
      </c>
      <c r="V143" s="1674" t="inlineStr">
        <is>
          <t>CV82GD</t>
        </is>
      </c>
      <c r="W143" s="331" t="inlineStr">
        <is>
          <t>Flat 9 2 Stoneleigh Road</t>
        </is>
      </c>
      <c r="X143" s="1568" t="inlineStr">
        <is>
          <t>Kenilworth</t>
        </is>
      </c>
      <c r="Y143" s="1698" t="n"/>
      <c r="Z143" s="1674" t="n"/>
      <c r="AA143" s="1674" t="n"/>
      <c r="AC143" s="1674" t="n"/>
    </row>
    <row r="144" ht="12.75" customHeight="1" s="1232">
      <c r="B144" s="511" t="n">
        <v>45231</v>
      </c>
      <c r="C144" s="1607" t="inlineStr">
        <is>
          <t>#02641</t>
        </is>
      </c>
      <c r="D144" s="1675" t="n">
        <v>270</v>
      </c>
      <c r="E144" s="1607" t="inlineStr">
        <is>
          <t>Zoom</t>
        </is>
      </c>
      <c r="F144" s="1607" t="inlineStr">
        <is>
          <t>4 x 1hr</t>
        </is>
      </c>
      <c r="G144" s="1675" t="n"/>
      <c r="H144" s="1674" t="n"/>
      <c r="I144" s="1674" t="n"/>
      <c r="P144" s="1499" t="inlineStr">
        <is>
          <t xml:space="preserve">b.voules@btinternet.com </t>
        </is>
      </c>
      <c r="Q144" s="91" t="inlineStr">
        <is>
          <t>Ms</t>
        </is>
      </c>
      <c r="R144" s="91" t="inlineStr">
        <is>
          <t>Barbara</t>
        </is>
      </c>
      <c r="S144" s="91" t="inlineStr">
        <is>
          <t>Voules</t>
        </is>
      </c>
      <c r="T144" s="94" t="inlineStr">
        <is>
          <t>73</t>
        </is>
      </c>
      <c r="U144" s="94" t="inlineStr">
        <is>
          <t>07843113310</t>
        </is>
      </c>
      <c r="V144" s="514" t="inlineStr">
        <is>
          <t>BA4 4HX</t>
        </is>
      </c>
      <c r="W144" s="515" t="inlineStr">
        <is>
          <t>34 Walnut Grove</t>
        </is>
      </c>
      <c r="X144" s="513" t="inlineStr">
        <is>
          <t>Shepton Mallet</t>
        </is>
      </c>
      <c r="Y144" s="1697" t="n"/>
      <c r="Z144" s="1674" t="n"/>
      <c r="AA144" s="1674" t="n"/>
      <c r="AC144" s="1674" t="n"/>
    </row>
    <row r="145" ht="12.75" customHeight="1" s="1232">
      <c r="B145" s="511" t="n">
        <v>45294</v>
      </c>
      <c r="C145" s="1607" t="inlineStr">
        <is>
          <t>#02698</t>
        </is>
      </c>
      <c r="D145" s="1675" t="n">
        <v>360</v>
      </c>
      <c r="E145" s="1607" t="n"/>
      <c r="F145" s="1607" t="inlineStr">
        <is>
          <t>4 x2hrs</t>
        </is>
      </c>
      <c r="G145" s="1675" t="n"/>
      <c r="H145" s="1674" t="n"/>
      <c r="I145" s="1674" t="n"/>
      <c r="J145" s="641" t="n">
        <v>45303</v>
      </c>
      <c r="K145" s="641" t="n">
        <v>45317</v>
      </c>
      <c r="L145" s="641" t="n">
        <v>45359</v>
      </c>
      <c r="M145" s="641" t="n">
        <v>45366</v>
      </c>
      <c r="N145" s="641" t="n"/>
      <c r="O145" s="641" t="n"/>
      <c r="P145" s="1499" t="inlineStr">
        <is>
          <t xml:space="preserve">lyn.bowker@yahoo.com </t>
        </is>
      </c>
      <c r="Q145" s="91" t="inlineStr">
        <is>
          <t>Mrs</t>
        </is>
      </c>
      <c r="R145" s="91" t="inlineStr">
        <is>
          <t>Lyn</t>
        </is>
      </c>
      <c r="S145" s="91" t="inlineStr">
        <is>
          <t>Bowker</t>
        </is>
      </c>
      <c r="T145" s="94" t="inlineStr">
        <is>
          <t>58</t>
        </is>
      </c>
      <c r="U145" s="94" t="inlineStr">
        <is>
          <t>07878057840</t>
        </is>
      </c>
      <c r="V145" s="514" t="inlineStr">
        <is>
          <t>CV3 6EA</t>
        </is>
      </c>
      <c r="W145" s="515" t="inlineStr">
        <is>
          <t>108 Green Lane</t>
        </is>
      </c>
      <c r="X145" s="93" t="inlineStr">
        <is>
          <t>Coventry</t>
        </is>
      </c>
      <c r="Y145" s="1697" t="n"/>
      <c r="Z145" s="1674" t="n"/>
      <c r="AA145" s="1674" t="n"/>
      <c r="AC145" s="1674" t="n"/>
    </row>
    <row r="146" ht="12.75" customHeight="1" s="1232">
      <c r="B146" s="511" t="n">
        <v>45369</v>
      </c>
      <c r="C146" s="1607" t="inlineStr">
        <is>
          <t>#02749</t>
        </is>
      </c>
      <c r="D146" s="1675" t="n">
        <v>360</v>
      </c>
      <c r="E146" s="1607" t="n"/>
      <c r="F146" s="1607" t="inlineStr">
        <is>
          <t>4 x2hrs</t>
        </is>
      </c>
      <c r="G146" s="1675" t="n"/>
      <c r="H146" s="1674" t="n"/>
      <c r="I146" s="1674" t="n"/>
      <c r="J146" s="641" t="n">
        <v>45371</v>
      </c>
      <c r="K146" s="641" t="n"/>
      <c r="L146" s="641" t="n"/>
      <c r="M146" s="641" t="n"/>
      <c r="N146" s="641" t="n"/>
      <c r="O146" s="641" t="n"/>
      <c r="P146" s="1499" t="inlineStr">
        <is>
          <t xml:space="preserve">danielle.warwick@aol.co.uk </t>
        </is>
      </c>
      <c r="Q146" s="91" t="inlineStr">
        <is>
          <t>Ms</t>
        </is>
      </c>
      <c r="R146" s="91" t="inlineStr">
        <is>
          <t>Danielle</t>
        </is>
      </c>
      <c r="S146" s="91" t="inlineStr">
        <is>
          <t>Warwick</t>
        </is>
      </c>
      <c r="T146" s="94" t="inlineStr">
        <is>
          <t>31</t>
        </is>
      </c>
      <c r="U146" s="94" t="inlineStr">
        <is>
          <t>07477505054</t>
        </is>
      </c>
      <c r="V146" s="1704" t="inlineStr">
        <is>
          <t>CV34 4TZ</t>
        </is>
      </c>
      <c r="W146" s="515" t="inlineStr">
        <is>
          <t>50 Birch Meadow Close</t>
        </is>
      </c>
      <c r="X146" s="93" t="inlineStr">
        <is>
          <t>Warwick</t>
        </is>
      </c>
      <c r="Y146" s="1697" t="n"/>
      <c r="Z146" s="1674" t="n"/>
      <c r="AA146" s="1674" t="n"/>
      <c r="AC146" s="1674" t="n"/>
    </row>
    <row r="147" ht="12.75" customHeight="1" s="1232">
      <c r="B147" s="511" t="n">
        <v>45377</v>
      </c>
      <c r="C147" s="1607" t="inlineStr">
        <is>
          <t>#02751</t>
        </is>
      </c>
      <c r="D147" s="1675" t="n">
        <v>360</v>
      </c>
      <c r="E147" s="1607" t="n"/>
      <c r="F147" s="1607" t="inlineStr">
        <is>
          <t>4 x2hrs</t>
        </is>
      </c>
      <c r="G147" s="1675" t="n"/>
      <c r="H147" s="1674" t="n"/>
      <c r="I147" s="1674" t="n"/>
      <c r="J147" s="641" t="n">
        <v>45390</v>
      </c>
      <c r="K147" s="641" t="n">
        <v>45391</v>
      </c>
      <c r="L147" s="641" t="n">
        <v>45392</v>
      </c>
      <c r="M147" s="641" t="n">
        <v>45393</v>
      </c>
      <c r="N147" s="641" t="n"/>
      <c r="O147" s="641" t="n"/>
      <c r="P147" s="1499" t="inlineStr">
        <is>
          <t xml:space="preserve">bhu_bansal@hotmail.com </t>
        </is>
      </c>
      <c r="Q147" s="91" t="inlineStr">
        <is>
          <t xml:space="preserve">Mr </t>
        </is>
      </c>
      <c r="R147" s="91" t="inlineStr">
        <is>
          <t xml:space="preserve">Bhupinder </t>
        </is>
      </c>
      <c r="S147" s="91" t="inlineStr">
        <is>
          <t>Bansal</t>
        </is>
      </c>
      <c r="T147" s="94" t="inlineStr">
        <is>
          <t>46</t>
        </is>
      </c>
      <c r="U147" s="94" t="inlineStr">
        <is>
          <t>07957234732</t>
        </is>
      </c>
      <c r="V147" s="514" t="inlineStr">
        <is>
          <t>B49 5LS</t>
        </is>
      </c>
      <c r="W147" s="515" t="inlineStr">
        <is>
          <t>The Cedars, Worcester Road</t>
        </is>
      </c>
      <c r="X147" s="93" t="inlineStr">
        <is>
          <t>Alcester</t>
        </is>
      </c>
      <c r="Y147" s="1697" t="n"/>
      <c r="Z147" s="1674" t="n"/>
      <c r="AA147" s="1674" t="n"/>
      <c r="AC147" s="1674" t="n"/>
    </row>
    <row r="148" ht="12.75" customHeight="1" s="1232">
      <c r="B148" s="511" t="n">
        <v>45387</v>
      </c>
      <c r="C148" s="1607" t="inlineStr">
        <is>
          <t>#02766</t>
        </is>
      </c>
      <c r="D148" s="1675" t="n">
        <v>360</v>
      </c>
      <c r="E148" s="1607" t="n"/>
      <c r="F148" s="1607" t="inlineStr">
        <is>
          <t>4 x2hrs</t>
        </is>
      </c>
      <c r="G148" s="1675" t="n"/>
      <c r="H148" s="1674" t="n"/>
      <c r="I148" s="1674" t="n"/>
      <c r="J148" s="641" t="n"/>
      <c r="K148" s="641" t="n"/>
      <c r="L148" s="641" t="n"/>
      <c r="M148" s="641" t="n"/>
      <c r="N148" s="641" t="n"/>
      <c r="O148" s="641" t="n"/>
      <c r="P148" s="1499" t="inlineStr">
        <is>
          <t xml:space="preserve">jimmy.concannon1@gmail.com </t>
        </is>
      </c>
      <c r="Q148" s="91" t="inlineStr">
        <is>
          <t>Mr</t>
        </is>
      </c>
      <c r="R148" s="91" t="inlineStr">
        <is>
          <t>Jimmy</t>
        </is>
      </c>
      <c r="S148" s="512" t="inlineStr">
        <is>
          <t>Concannon</t>
        </is>
      </c>
      <c r="T148" s="94" t="inlineStr">
        <is>
          <t>58</t>
        </is>
      </c>
      <c r="U148" s="94" t="inlineStr">
        <is>
          <t>07774112960</t>
        </is>
      </c>
      <c r="V148" s="514" t="inlineStr">
        <is>
          <t>CV5 9EF</t>
        </is>
      </c>
      <c r="W148" s="515" t="inlineStr">
        <is>
          <t>235 Browns Lane</t>
        </is>
      </c>
      <c r="X148" s="93" t="inlineStr">
        <is>
          <t>Coventry</t>
        </is>
      </c>
      <c r="Y148" s="1697" t="n"/>
      <c r="Z148" s="1674" t="n"/>
      <c r="AA148" s="1674" t="n"/>
      <c r="AC148" s="1674" t="n"/>
    </row>
    <row r="149" ht="12.75" customHeight="1" s="1232">
      <c r="B149" s="511" t="n">
        <v>45426</v>
      </c>
      <c r="C149" s="1607" t="inlineStr">
        <is>
          <t>#02797</t>
        </is>
      </c>
      <c r="D149" s="1675" t="n">
        <v>360</v>
      </c>
      <c r="E149" s="1607" t="n"/>
      <c r="F149" s="1607" t="inlineStr">
        <is>
          <t>4 x2hrs</t>
        </is>
      </c>
      <c r="G149" s="1675" t="n"/>
      <c r="H149" s="1674" t="n"/>
      <c r="I149" s="1674" t="n"/>
      <c r="J149" s="641" t="n"/>
      <c r="K149" s="641" t="n"/>
      <c r="L149" s="641" t="n"/>
      <c r="M149" s="641" t="n"/>
      <c r="N149" s="641" t="n"/>
      <c r="O149" s="641" t="n"/>
      <c r="P149" s="1499" t="inlineStr">
        <is>
          <t xml:space="preserve">h.twomey@warwick.ac.uk </t>
        </is>
      </c>
      <c r="Q149" s="512" t="n"/>
      <c r="R149" s="91" t="inlineStr">
        <is>
          <t>Claire</t>
        </is>
      </c>
      <c r="S149" s="512" t="inlineStr">
        <is>
          <t xml:space="preserve"> Anderson</t>
        </is>
      </c>
      <c r="T149" s="94" t="inlineStr">
        <is>
          <t>64</t>
        </is>
      </c>
      <c r="U149" s="94" t="inlineStr">
        <is>
          <t>07975752100</t>
        </is>
      </c>
      <c r="V149" s="514" t="n"/>
      <c r="W149" s="515" t="n"/>
      <c r="X149" s="513" t="n"/>
      <c r="Y149" s="1697" t="n"/>
      <c r="Z149" s="1674" t="n"/>
      <c r="AA149" s="1674" t="n"/>
      <c r="AC149" s="1674" t="n"/>
    </row>
    <row r="150" ht="12.75" customHeight="1" s="1232">
      <c r="B150" s="511" t="n">
        <v>45440</v>
      </c>
      <c r="C150" s="1607" t="inlineStr">
        <is>
          <t>#02803</t>
        </is>
      </c>
      <c r="D150" s="1675" t="n">
        <v>360</v>
      </c>
      <c r="E150" s="1607" t="n"/>
      <c r="F150" s="1607" t="inlineStr">
        <is>
          <t>4 x2hrs</t>
        </is>
      </c>
      <c r="G150" s="1675" t="n"/>
      <c r="H150" s="1674" t="n"/>
      <c r="I150" s="1674" t="n"/>
      <c r="J150" s="641" t="n">
        <v>45448</v>
      </c>
      <c r="K150" s="641" t="n"/>
      <c r="L150" s="641" t="n"/>
      <c r="M150" s="641" t="n"/>
      <c r="N150" s="641" t="n"/>
      <c r="O150" s="641" t="n"/>
      <c r="P150" s="1499" t="inlineStr">
        <is>
          <t xml:space="preserve">kirstylilley2903@gmail.com </t>
        </is>
      </c>
      <c r="Q150" s="91" t="inlineStr">
        <is>
          <t>Ms</t>
        </is>
      </c>
      <c r="R150" s="91" t="inlineStr">
        <is>
          <t>Kirsty</t>
        </is>
      </c>
      <c r="S150" s="91" t="inlineStr">
        <is>
          <t>Lilley</t>
        </is>
      </c>
      <c r="T150" s="94" t="inlineStr">
        <is>
          <t>53</t>
        </is>
      </c>
      <c r="U150" s="94" t="inlineStr">
        <is>
          <t>07852251805</t>
        </is>
      </c>
      <c r="V150" s="514" t="inlineStr">
        <is>
          <t>Gl56 0FJ</t>
        </is>
      </c>
      <c r="W150" s="515" t="inlineStr">
        <is>
          <t>33 Kestrel Way</t>
        </is>
      </c>
      <c r="X150" s="513" t="inlineStr">
        <is>
          <t>Moreton-in-Marsh</t>
        </is>
      </c>
      <c r="Y150" s="1697" t="n"/>
      <c r="Z150" s="1674" t="n"/>
      <c r="AA150" s="1674" t="n"/>
      <c r="AC150" s="1674" t="n"/>
    </row>
    <row r="151" ht="12.75" customHeight="1" s="1232">
      <c r="B151" s="511" t="n">
        <v>45444</v>
      </c>
      <c r="C151" s="1607" t="inlineStr">
        <is>
          <t>#02806</t>
        </is>
      </c>
      <c r="D151" s="1675" t="n">
        <v>360</v>
      </c>
      <c r="E151" s="1607" t="n"/>
      <c r="F151" s="1607" t="inlineStr">
        <is>
          <t>4 x2hrs</t>
        </is>
      </c>
      <c r="G151" s="1675" t="n"/>
      <c r="H151" s="1674" t="n"/>
      <c r="I151" s="1674" t="n"/>
      <c r="J151" s="641" t="n"/>
      <c r="K151" s="641" t="n"/>
      <c r="L151" s="641" t="n"/>
      <c r="M151" s="641" t="n"/>
      <c r="N151" s="641" t="n"/>
      <c r="O151" s="641" t="n"/>
      <c r="P151" s="1499" t="inlineStr">
        <is>
          <t xml:space="preserve">23kk01@gmail.com </t>
        </is>
      </c>
      <c r="Q151" s="91" t="inlineStr">
        <is>
          <t>Ms</t>
        </is>
      </c>
      <c r="R151" s="91" t="inlineStr">
        <is>
          <t>Kate</t>
        </is>
      </c>
      <c r="S151" s="91" t="inlineStr">
        <is>
          <t>Irwin</t>
        </is>
      </c>
      <c r="T151" s="94" t="inlineStr">
        <is>
          <t>24</t>
        </is>
      </c>
      <c r="U151" s="94" t="inlineStr">
        <is>
          <t>07707654667</t>
        </is>
      </c>
      <c r="V151" s="514" t="inlineStr">
        <is>
          <t>CV6 1DH</t>
        </is>
      </c>
      <c r="W151" s="515" t="inlineStr">
        <is>
          <t>2 Ralph Road</t>
        </is>
      </c>
      <c r="X151" s="93" t="inlineStr">
        <is>
          <t>Coventry</t>
        </is>
      </c>
      <c r="Y151" s="1697" t="n"/>
      <c r="Z151" s="1674" t="n"/>
      <c r="AA151" s="1674" t="n"/>
      <c r="AC151" s="1674" t="n"/>
    </row>
    <row r="152" ht="12.75" customHeight="1" s="1232">
      <c r="B152" s="511" t="n">
        <v>45537</v>
      </c>
      <c r="C152" s="1607" t="inlineStr">
        <is>
          <t>#02846</t>
        </is>
      </c>
      <c r="D152" s="1675" t="n">
        <v>360</v>
      </c>
      <c r="E152" s="1607" t="n"/>
      <c r="F152" s="1607" t="inlineStr">
        <is>
          <t>4 x2hrs</t>
        </is>
      </c>
      <c r="G152" s="1675" t="n"/>
      <c r="H152" s="1674" t="n"/>
      <c r="I152" s="1674" t="n"/>
      <c r="J152" s="641" t="n">
        <v>45546</v>
      </c>
      <c r="K152" s="641" t="n"/>
      <c r="L152" s="641" t="n"/>
      <c r="M152" s="641" t="n"/>
      <c r="N152" s="641" t="n"/>
      <c r="O152" s="641" t="n"/>
      <c r="P152" s="1499" t="inlineStr">
        <is>
          <t xml:space="preserve">msue91771@gmail.com </t>
        </is>
      </c>
      <c r="Q152" s="91" t="inlineStr">
        <is>
          <t>Ms</t>
        </is>
      </c>
      <c r="R152" s="91" t="inlineStr">
        <is>
          <t>Susan</t>
        </is>
      </c>
      <c r="S152" s="512" t="inlineStr">
        <is>
          <t>Dickman</t>
        </is>
      </c>
      <c r="T152" s="94" t="inlineStr">
        <is>
          <t>64</t>
        </is>
      </c>
      <c r="U152" s="94" t="inlineStr">
        <is>
          <t>07919842474</t>
        </is>
      </c>
      <c r="V152" s="514" t="inlineStr">
        <is>
          <t>B91 3YS</t>
        </is>
      </c>
      <c r="W152" s="515" t="inlineStr">
        <is>
          <t>26 Chipstone Close</t>
        </is>
      </c>
      <c r="X152" s="93" t="inlineStr">
        <is>
          <t>Solihull</t>
        </is>
      </c>
      <c r="Y152" s="1697" t="n"/>
      <c r="Z152" s="1674" t="n"/>
      <c r="AA152" s="1674" t="n"/>
      <c r="AC152" s="1674" t="n"/>
    </row>
    <row r="153" ht="12.75" customHeight="1" s="1232">
      <c r="B153" s="511" t="n">
        <v>45560</v>
      </c>
      <c r="C153" s="1607" t="inlineStr">
        <is>
          <t>#02869</t>
        </is>
      </c>
      <c r="D153" s="1675" t="n">
        <v>360</v>
      </c>
      <c r="E153" s="1607" t="n"/>
      <c r="F153" s="1607" t="inlineStr">
        <is>
          <t>4 x2hrs</t>
        </is>
      </c>
      <c r="G153" s="1675" t="n"/>
      <c r="H153" s="1674" t="n"/>
      <c r="I153" s="1674" t="n"/>
      <c r="J153" s="641" t="n"/>
      <c r="K153" s="641" t="n"/>
      <c r="L153" s="641" t="n"/>
      <c r="M153" s="641" t="n"/>
      <c r="N153" s="641" t="n"/>
      <c r="O153" s="641" t="n"/>
      <c r="P153" s="1499" t="inlineStr">
        <is>
          <t>jackieandnoel@hotmail.co.uk</t>
        </is>
      </c>
      <c r="Q153" s="91" t="inlineStr">
        <is>
          <t>Mrs</t>
        </is>
      </c>
      <c r="R153" s="91" t="inlineStr">
        <is>
          <t>Jacqueline</t>
        </is>
      </c>
      <c r="S153" s="91" t="inlineStr">
        <is>
          <t>Walsh</t>
        </is>
      </c>
      <c r="T153" s="94" t="inlineStr">
        <is>
          <t>64</t>
        </is>
      </c>
      <c r="U153" s="94" t="inlineStr">
        <is>
          <t>07775602040</t>
        </is>
      </c>
      <c r="V153" s="514" t="inlineStr">
        <is>
          <t>CV33 9RL</t>
        </is>
      </c>
      <c r="W153" s="515" t="inlineStr">
        <is>
          <t>10, Savages Close, Bishops Tachbrook</t>
        </is>
      </c>
      <c r="X153" s="93" t="inlineStr">
        <is>
          <t>Leamington spa</t>
        </is>
      </c>
      <c r="Y153" s="1697" t="n"/>
      <c r="Z153" s="1674" t="n"/>
      <c r="AA153" s="1674" t="n"/>
      <c r="AC153" s="1674" t="n"/>
    </row>
    <row r="154" ht="12.75" customHeight="1" s="1232">
      <c r="B154" s="86" t="n">
        <v>45568</v>
      </c>
      <c r="C154" s="1607" t="inlineStr">
        <is>
          <t>#02875</t>
        </is>
      </c>
      <c r="D154" s="1675" t="n">
        <v>360</v>
      </c>
      <c r="E154" s="1607" t="n"/>
      <c r="F154" s="1607" t="inlineStr">
        <is>
          <t>4 x2hrs</t>
        </is>
      </c>
      <c r="G154" s="1675" t="n"/>
      <c r="H154" s="1674" t="n"/>
      <c r="I154" s="1674" t="n"/>
      <c r="J154" s="641" t="n"/>
      <c r="K154" s="641" t="n"/>
      <c r="L154" s="641" t="n"/>
      <c r="M154" s="641" t="n"/>
      <c r="N154" s="641" t="n"/>
      <c r="O154" s="641" t="n"/>
      <c r="P154" s="1374" t="inlineStr">
        <is>
          <t>albanamarina12@outlook.com</t>
        </is>
      </c>
      <c r="Q154" s="91" t="inlineStr">
        <is>
          <t>Mrs</t>
        </is>
      </c>
      <c r="R154" s="91" t="inlineStr">
        <is>
          <t>Nikoleta</t>
        </is>
      </c>
      <c r="S154" s="91" t="inlineStr">
        <is>
          <t>Jorgo</t>
        </is>
      </c>
      <c r="T154" s="94" t="inlineStr">
        <is>
          <t>30</t>
        </is>
      </c>
      <c r="U154" s="94" t="inlineStr">
        <is>
          <t>07830788171</t>
        </is>
      </c>
      <c r="V154" s="514" t="inlineStr">
        <is>
          <t>B31 4ET</t>
        </is>
      </c>
      <c r="W154" s="515" t="inlineStr">
        <is>
          <t>11 Manderville House</t>
        </is>
      </c>
      <c r="X154" s="93" t="inlineStr">
        <is>
          <t>Birmingham</t>
        </is>
      </c>
      <c r="Y154" s="1697" t="n"/>
      <c r="Z154" s="1674" t="n"/>
      <c r="AA154" s="1674" t="n"/>
      <c r="AC154" s="1674" t="n"/>
    </row>
    <row r="155" ht="12.75" customHeight="1" s="1232">
      <c r="C155" s="1607" t="n"/>
      <c r="D155" s="1675" t="n">
        <v>360</v>
      </c>
      <c r="E155" s="1607" t="n"/>
      <c r="F155" s="1607" t="inlineStr">
        <is>
          <t>5 x 1.5hrs</t>
        </is>
      </c>
      <c r="G155" s="1675" t="n"/>
      <c r="H155" s="1674" t="n"/>
      <c r="I155" s="1674" t="n"/>
      <c r="J155" s="641" t="n">
        <v>45580</v>
      </c>
      <c r="K155" s="641" t="n"/>
      <c r="L155" s="641" t="n"/>
      <c r="M155" s="641" t="n"/>
      <c r="N155" s="641" t="n"/>
      <c r="O155" s="641" t="n"/>
      <c r="P155" s="1499" t="inlineStr">
        <is>
          <t>sandradawkes64@yahoo.co.uk</t>
        </is>
      </c>
      <c r="Q155" s="91" t="n"/>
      <c r="R155" s="91" t="inlineStr">
        <is>
          <t>Sandra</t>
        </is>
      </c>
      <c r="S155" s="91" t="inlineStr">
        <is>
          <t>Dawkes</t>
        </is>
      </c>
      <c r="T155" s="94" t="n"/>
      <c r="U155" s="94" t="n"/>
      <c r="V155" s="514" t="n"/>
      <c r="W155" s="515" t="n"/>
      <c r="X155" s="93" t="n"/>
      <c r="Y155" s="1697" t="n"/>
      <c r="Z155" s="1674" t="n"/>
      <c r="AA155" s="1674" t="n"/>
      <c r="AC155" s="1674" t="n"/>
    </row>
    <row r="156" ht="12.75" customHeight="1" s="1232">
      <c r="B156" s="511" t="n">
        <v>45609</v>
      </c>
      <c r="C156" s="1607" t="n"/>
      <c r="D156" s="1675" t="n">
        <v>120</v>
      </c>
      <c r="E156" s="1607" t="n"/>
      <c r="F156" s="1607" t="inlineStr">
        <is>
          <t>1 x 2hrs</t>
        </is>
      </c>
      <c r="G156" s="1675" t="n"/>
      <c r="H156" s="1674" t="n"/>
      <c r="I156" s="1674" t="n"/>
      <c r="J156" s="641" t="n">
        <v>45624</v>
      </c>
      <c r="K156" s="641" t="n"/>
      <c r="L156" s="641" t="n"/>
      <c r="M156" s="641" t="n"/>
      <c r="N156" s="641" t="n"/>
      <c r="O156" s="641" t="n"/>
      <c r="P156" s="1499" t="inlineStr">
        <is>
          <t>lizmartin44@live.co.uk</t>
        </is>
      </c>
      <c r="Q156" s="91" t="inlineStr">
        <is>
          <t>Ms</t>
        </is>
      </c>
      <c r="R156" s="91" t="inlineStr">
        <is>
          <t>Liz</t>
        </is>
      </c>
      <c r="S156" s="91" t="inlineStr">
        <is>
          <t>Martin</t>
        </is>
      </c>
      <c r="T156" s="94" t="n"/>
      <c r="U156" s="94" t="inlineStr">
        <is>
          <t>07805276068</t>
        </is>
      </c>
      <c r="V156" s="514" t="n"/>
      <c r="W156" s="515" t="n"/>
      <c r="X156" s="93" t="n"/>
      <c r="Y156" s="1697" t="n"/>
      <c r="Z156" s="1674" t="n"/>
      <c r="AA156" s="1674" t="n"/>
      <c r="AC156" s="1674" t="n"/>
    </row>
    <row r="157" ht="12.75" customHeight="1" s="1232">
      <c r="B157" s="511" t="n">
        <v>45617</v>
      </c>
      <c r="C157" s="1607" t="n"/>
      <c r="D157" s="1675" t="n">
        <v>360</v>
      </c>
      <c r="E157" s="1607" t="n"/>
      <c r="F157" s="1607" t="inlineStr">
        <is>
          <t>4 x2hrs</t>
        </is>
      </c>
      <c r="G157" s="1675" t="n"/>
      <c r="H157" s="1674" t="n"/>
      <c r="I157" s="1674" t="n"/>
      <c r="J157" s="641" t="n"/>
      <c r="K157" s="641" t="n"/>
      <c r="L157" s="641" t="n"/>
      <c r="M157" s="641" t="n"/>
      <c r="N157" s="641" t="n"/>
      <c r="O157" s="641" t="n"/>
      <c r="P157" s="1499" t="inlineStr">
        <is>
          <t xml:space="preserve">johnlmgilmour@gmail.com </t>
        </is>
      </c>
      <c r="Q157" s="91" t="inlineStr">
        <is>
          <t>Mr</t>
        </is>
      </c>
      <c r="R157" s="91" t="inlineStr">
        <is>
          <t>John Gilmour</t>
        </is>
      </c>
      <c r="S157" s="91" t="inlineStr">
        <is>
          <t>Gilmour</t>
        </is>
      </c>
      <c r="T157" s="94" t="inlineStr">
        <is>
          <t>30</t>
        </is>
      </c>
      <c r="U157" s="94" t="inlineStr">
        <is>
          <t>07774766677</t>
        </is>
      </c>
      <c r="V157" s="514" t="inlineStr">
        <is>
          <t>LD7 1AA</t>
        </is>
      </c>
      <c r="W157" s="515" t="inlineStr">
        <is>
          <t>Wlcywm Street</t>
        </is>
      </c>
      <c r="X157" s="93" t="inlineStr">
        <is>
          <t>Powys</t>
        </is>
      </c>
      <c r="Y157" s="1697" t="n"/>
      <c r="Z157" s="1674" t="n"/>
      <c r="AA157" s="1674" t="n"/>
      <c r="AC157" s="1674" t="n"/>
    </row>
    <row r="158" ht="12.75" customHeight="1" s="1232">
      <c r="B158" s="511" t="n"/>
      <c r="C158" s="1607" t="n"/>
      <c r="D158" s="1675" t="n"/>
      <c r="E158" s="1607" t="n"/>
      <c r="F158" s="1607" t="n"/>
      <c r="G158" s="1675" t="n"/>
      <c r="H158" s="1674" t="n"/>
      <c r="I158" s="1674" t="n"/>
      <c r="J158" s="641" t="n"/>
      <c r="K158" s="641" t="n"/>
      <c r="L158" s="641" t="n"/>
      <c r="M158" s="641" t="n"/>
      <c r="N158" s="641" t="n"/>
      <c r="O158" s="641" t="n"/>
      <c r="P158" s="1499" t="n"/>
      <c r="Q158" s="91" t="n"/>
      <c r="R158" s="91" t="n"/>
      <c r="S158" s="91" t="n"/>
      <c r="T158" s="94" t="n"/>
      <c r="U158" s="94" t="n"/>
      <c r="V158" s="514" t="n"/>
      <c r="W158" s="515" t="n"/>
      <c r="X158" s="93" t="n"/>
      <c r="Y158" s="1697" t="n"/>
      <c r="Z158" s="1674" t="n"/>
      <c r="AA158" s="1674" t="n"/>
      <c r="AC158" s="1674" t="n"/>
    </row>
    <row r="159" ht="12.75" customHeight="1" s="1232">
      <c r="B159" s="511" t="n">
        <v>45674</v>
      </c>
      <c r="C159" s="1607" t="n"/>
      <c r="D159" s="1675" t="n">
        <v>360</v>
      </c>
      <c r="E159" s="1607" t="n"/>
      <c r="F159" s="1607" t="inlineStr">
        <is>
          <t>4 x2hrs</t>
        </is>
      </c>
      <c r="G159" s="1675" t="n"/>
      <c r="H159" s="1674" t="n"/>
      <c r="I159" s="1674" t="n"/>
      <c r="J159" s="641" t="n"/>
      <c r="K159" s="641" t="n"/>
      <c r="L159" s="641" t="n"/>
      <c r="M159" s="641" t="n"/>
      <c r="N159" s="641" t="n"/>
      <c r="O159" s="641" t="n"/>
      <c r="P159" s="1374" t="inlineStr">
        <is>
          <t>jaysapna747@gmail.com</t>
        </is>
      </c>
      <c r="Q159" s="1705" t="inlineStr">
        <is>
          <t>Mrs</t>
        </is>
      </c>
      <c r="R159" s="1706" t="inlineStr">
        <is>
          <t>Sapa</t>
        </is>
      </c>
      <c r="S159" s="1707" t="inlineStr">
        <is>
          <t>Patni</t>
        </is>
      </c>
      <c r="T159" s="1707" t="inlineStr">
        <is>
          <t>41</t>
        </is>
      </c>
      <c r="U159" s="1707" t="inlineStr">
        <is>
          <t>07738069907</t>
        </is>
      </c>
      <c r="V159" s="1646" t="inlineStr">
        <is>
          <t>B92 0BZ</t>
        </is>
      </c>
      <c r="W159" s="1646" t="inlineStr">
        <is>
          <t>24 Diddington Lane</t>
        </is>
      </c>
      <c r="X159" s="1568" t="inlineStr">
        <is>
          <t>Solihull</t>
        </is>
      </c>
      <c r="Y159" s="1708" t="n"/>
      <c r="Z159" s="1674" t="n"/>
      <c r="AA159" s="1674" t="n"/>
      <c r="AC159" s="1674" t="n"/>
    </row>
    <row r="160" ht="12.75" customHeight="1" s="1232">
      <c r="B160" s="511" t="n">
        <v>45706</v>
      </c>
      <c r="C160" s="1607" t="n"/>
      <c r="D160" s="1675" t="n">
        <v>360</v>
      </c>
      <c r="E160" s="1607" t="n"/>
      <c r="F160" s="1607" t="inlineStr">
        <is>
          <t>4 x2hrs</t>
        </is>
      </c>
      <c r="G160" s="1675" t="n"/>
      <c r="H160" s="1674" t="n"/>
      <c r="I160" s="1674" t="n"/>
      <c r="J160" s="641" t="n">
        <v>45748</v>
      </c>
      <c r="K160" s="641" t="n">
        <v>45764</v>
      </c>
      <c r="L160" s="641" t="n"/>
      <c r="M160" s="641" t="n"/>
      <c r="N160" s="641" t="n"/>
      <c r="O160" s="641" t="n"/>
      <c r="P160" s="1499" t="inlineStr">
        <is>
          <t xml:space="preserve">graceoliverhome@gmail.com </t>
        </is>
      </c>
      <c r="Q160" s="91" t="inlineStr">
        <is>
          <t>Ms</t>
        </is>
      </c>
      <c r="R160" s="91" t="inlineStr">
        <is>
          <t>Grace</t>
        </is>
      </c>
      <c r="S160" s="91" t="inlineStr">
        <is>
          <t>Oliver</t>
        </is>
      </c>
      <c r="T160" s="94" t="inlineStr">
        <is>
          <t>25</t>
        </is>
      </c>
      <c r="U160" s="94" t="inlineStr">
        <is>
          <t>07805679109</t>
        </is>
      </c>
      <c r="V160" s="514" t="inlineStr">
        <is>
          <t>DY8 3AY</t>
        </is>
      </c>
      <c r="W160" s="515" t="inlineStr">
        <is>
          <t>43 Mere Road</t>
        </is>
      </c>
      <c r="X160" s="93" t="inlineStr">
        <is>
          <t>Stourbridge</t>
        </is>
      </c>
      <c r="Y160" s="1697" t="n"/>
      <c r="Z160" s="1674" t="n"/>
      <c r="AA160" s="1674" t="n"/>
      <c r="AC160" s="1674" t="n"/>
    </row>
    <row r="161" ht="12.75" customHeight="1" s="1232">
      <c r="B161" s="511" t="n">
        <v>45905</v>
      </c>
      <c r="C161" s="1607" t="n"/>
      <c r="D161" s="1675" t="n">
        <v>360</v>
      </c>
      <c r="E161" s="1607" t="n"/>
      <c r="F161" s="1607" t="inlineStr">
        <is>
          <t>4 x2hrs</t>
        </is>
      </c>
      <c r="G161" s="1675" t="n"/>
      <c r="H161" s="1674" t="n"/>
      <c r="I161" s="1674" t="n"/>
      <c r="J161" s="641" t="n"/>
      <c r="K161" s="641" t="n"/>
      <c r="L161" s="641" t="n"/>
      <c r="M161" s="641" t="n"/>
      <c r="N161" s="641" t="n"/>
      <c r="O161" s="641" t="n"/>
      <c r="P161" s="1499" t="inlineStr">
        <is>
          <t xml:space="preserve">guillaume.lesoin@gmail.com </t>
        </is>
      </c>
      <c r="Q161" s="91" t="n"/>
      <c r="R161" s="91" t="inlineStr">
        <is>
          <t>Claire</t>
        </is>
      </c>
      <c r="S161" s="91" t="inlineStr">
        <is>
          <t>Beucherie</t>
        </is>
      </c>
      <c r="T161" s="94" t="inlineStr">
        <is>
          <t>35</t>
        </is>
      </c>
      <c r="U161" s="94" t="inlineStr">
        <is>
          <t>07845051037</t>
        </is>
      </c>
      <c r="V161" s="514" t="n"/>
      <c r="W161" s="515" t="n"/>
      <c r="X161" s="93" t="n"/>
      <c r="Y161" s="1697" t="n"/>
      <c r="Z161" s="1674" t="n"/>
      <c r="AA161" s="1674" t="n"/>
      <c r="AC161" s="1674" t="n"/>
    </row>
    <row r="162" ht="12.75" customHeight="1" s="1232">
      <c r="B162" s="511" t="n">
        <v>45973</v>
      </c>
      <c r="C162" s="1607" t="n"/>
      <c r="D162" s="1675" t="n">
        <v>240</v>
      </c>
      <c r="E162" s="1607" t="n"/>
      <c r="F162" s="1607" t="inlineStr">
        <is>
          <t>6 x 1hr Zoom</t>
        </is>
      </c>
      <c r="G162" s="1675" t="n"/>
      <c r="H162" s="1674" t="n"/>
      <c r="I162" s="1674" t="n"/>
      <c r="J162" s="641" t="n"/>
      <c r="K162" s="641" t="n"/>
      <c r="L162" s="641" t="n"/>
      <c r="M162" s="641" t="n"/>
      <c r="N162" s="641" t="n"/>
      <c r="O162" s="641" t="n"/>
      <c r="P162" s="1499" t="inlineStr">
        <is>
          <t xml:space="preserve">matthew@drpartridge.com </t>
        </is>
      </c>
      <c r="Q162" s="91" t="n"/>
      <c r="R162" s="91" t="inlineStr">
        <is>
          <t>Matthew</t>
        </is>
      </c>
      <c r="S162" s="91" t="inlineStr">
        <is>
          <t xml:space="preserve"> Partridge</t>
        </is>
      </c>
      <c r="T162" s="94" t="inlineStr">
        <is>
          <t>43</t>
        </is>
      </c>
      <c r="U162" s="94" t="inlineStr">
        <is>
          <t>07475425254</t>
        </is>
      </c>
      <c r="V162" s="514" t="n"/>
      <c r="W162" s="515" t="n"/>
      <c r="X162" s="93" t="n"/>
      <c r="Y162" s="1697" t="n"/>
      <c r="Z162" s="1674" t="n"/>
      <c r="AA162" s="1674" t="n"/>
      <c r="AC162" s="1674" t="n"/>
    </row>
    <row r="163" ht="12.75" customHeight="1" s="1232">
      <c r="B163" s="511" t="n">
        <v>45975</v>
      </c>
      <c r="C163" s="1607" t="n"/>
      <c r="D163" s="1675" t="n">
        <v>240</v>
      </c>
      <c r="E163" s="1607" t="n"/>
      <c r="F163" s="1607" t="inlineStr">
        <is>
          <t>6 x 1hr Zoom</t>
        </is>
      </c>
      <c r="G163" s="1675" t="n"/>
      <c r="H163" s="1674" t="n"/>
      <c r="I163" s="1674" t="n"/>
      <c r="J163" s="641" t="n"/>
      <c r="K163" s="641" t="n"/>
      <c r="L163" s="641" t="n"/>
      <c r="M163" s="641" t="n"/>
      <c r="N163" s="641" t="n"/>
      <c r="O163" s="641" t="n"/>
      <c r="P163" s="1499" t="inlineStr">
        <is>
          <t>georgecherryarts@gmail.com</t>
        </is>
      </c>
      <c r="Q163" s="512" t="n"/>
      <c r="R163" s="91" t="inlineStr">
        <is>
          <t>George</t>
        </is>
      </c>
      <c r="S163" s="91" t="inlineStr">
        <is>
          <t>Cherry</t>
        </is>
      </c>
      <c r="T163" s="94" t="inlineStr">
        <is>
          <t>25</t>
        </is>
      </c>
      <c r="U163" s="94" t="n"/>
      <c r="V163" s="514" t="n"/>
      <c r="W163" s="515" t="n"/>
      <c r="X163" s="513" t="n"/>
      <c r="Y163" s="1697" t="n"/>
      <c r="Z163" s="1674" t="n"/>
      <c r="AA163" s="1674" t="n"/>
      <c r="AC163" s="1674" t="n"/>
    </row>
    <row r="164" ht="12.75" customHeight="1" s="1232">
      <c r="B164" s="511" t="n"/>
      <c r="C164" s="1607" t="n"/>
      <c r="D164" s="1675" t="n"/>
      <c r="E164" s="1607" t="n"/>
      <c r="F164" s="1675" t="n"/>
      <c r="G164" s="1675" t="n"/>
      <c r="H164" s="1674" t="n"/>
      <c r="I164" s="1674" t="n"/>
      <c r="P164" s="1499" t="n"/>
      <c r="Q164" s="512" t="n"/>
      <c r="R164" s="512" t="n"/>
      <c r="S164" s="512" t="n"/>
      <c r="T164" s="514" t="n"/>
      <c r="U164" s="514" t="n"/>
      <c r="V164" s="514" t="n"/>
      <c r="W164" s="515" t="n"/>
      <c r="X164" s="513" t="n"/>
      <c r="Y164" s="1697" t="n"/>
      <c r="Z164" s="1674" t="n"/>
      <c r="AA164" s="1674" t="n"/>
      <c r="AC164" s="1674" t="n"/>
    </row>
    <row r="165" ht="12.75" customHeight="1" s="1232">
      <c r="B165" s="1674" t="n"/>
      <c r="C165" s="1674" t="n"/>
      <c r="D165" s="1675">
        <f>SUM(D6:D146)</f>
        <v/>
      </c>
      <c r="E165" s="1675">
        <f>SUM(E8:E35)</f>
        <v/>
      </c>
      <c r="F165" s="1675" t="n"/>
      <c r="G165" s="1675" t="n"/>
      <c r="H165" s="1674" t="n"/>
      <c r="I165" s="1674" t="n"/>
      <c r="J165" s="1674" t="n"/>
      <c r="K165" s="1674" t="n"/>
      <c r="L165" s="1674" t="n"/>
      <c r="M165" s="1674" t="n"/>
      <c r="N165" s="1674" t="n"/>
      <c r="O165" s="1674" t="n"/>
      <c r="P165" s="1674" t="n"/>
      <c r="Q165" s="1674" t="n"/>
      <c r="R165" s="1674" t="n"/>
      <c r="S165" s="1674" t="n"/>
      <c r="T165" s="331" t="n"/>
      <c r="U165" s="1674" t="n"/>
      <c r="V165" s="1674" t="n"/>
      <c r="W165" s="331" t="n"/>
      <c r="X165" s="1674" t="n"/>
      <c r="Y165" s="1674" t="n"/>
      <c r="Z165" s="1674" t="n"/>
      <c r="AA165" s="1674" t="n"/>
      <c r="AB165" s="1674" t="n"/>
      <c r="AC165" s="1674" t="n"/>
    </row>
    <row r="166" ht="12.75" customHeight="1" s="1232">
      <c r="A166" s="301" t="inlineStr">
        <is>
          <t xml:space="preserve">less paypal </t>
        </is>
      </c>
      <c r="B166" s="1674" t="n"/>
      <c r="C166" s="1674" t="n"/>
      <c r="D166" s="1675">
        <f>D165*3.6%</f>
        <v/>
      </c>
      <c r="E166" s="1675" t="n"/>
      <c r="F166" s="1675" t="n"/>
      <c r="G166" s="1675" t="n"/>
      <c r="H166" s="1674" t="n"/>
      <c r="I166" s="1674" t="n"/>
      <c r="J166" s="1674" t="n"/>
      <c r="K166" s="1674" t="n"/>
      <c r="L166" s="1674" t="n"/>
      <c r="M166" s="1674" t="n"/>
      <c r="N166" s="1674" t="n"/>
      <c r="O166" s="1674" t="n"/>
      <c r="P166" s="1674" t="n"/>
      <c r="Q166" s="1674" t="n"/>
      <c r="R166" s="1674" t="n"/>
      <c r="S166" s="1674" t="n"/>
      <c r="T166" s="331" t="n"/>
      <c r="U166" s="1674" t="n"/>
      <c r="V166" s="1674" t="n"/>
      <c r="W166" s="331" t="n"/>
      <c r="X166" s="1674" t="n"/>
      <c r="Y166" s="1674" t="n"/>
      <c r="Z166" s="1674" t="n"/>
      <c r="AA166" s="1674" t="n"/>
      <c r="AB166" s="1674" t="n"/>
      <c r="AC166" s="1674" t="n"/>
    </row>
    <row r="167" ht="12.75" customHeight="1" s="1232">
      <c r="B167" s="1674" t="inlineStr">
        <is>
          <t>net</t>
        </is>
      </c>
      <c r="C167" s="1674" t="n"/>
      <c r="D167" s="1709">
        <f>D165-D166</f>
        <v/>
      </c>
      <c r="E167" s="1675" t="n"/>
      <c r="F167" s="1675" t="n"/>
      <c r="G167" s="1675" t="n"/>
      <c r="H167" s="1674" t="n"/>
      <c r="I167" s="1674" t="n"/>
      <c r="J167" s="1674" t="n"/>
      <c r="K167" s="1674" t="n"/>
      <c r="L167" s="1674" t="n"/>
      <c r="M167" s="1674" t="n"/>
      <c r="N167" s="1674" t="n"/>
      <c r="O167" s="1674" t="n"/>
      <c r="P167" s="1674" t="n"/>
      <c r="Q167" s="1674" t="n"/>
      <c r="R167" s="1674" t="n"/>
      <c r="S167" s="1674" t="n"/>
      <c r="T167" s="331" t="n"/>
      <c r="U167" s="1674" t="n"/>
      <c r="V167" s="1674" t="n"/>
      <c r="W167" s="331" t="n"/>
      <c r="X167" s="1674" t="n"/>
      <c r="Y167" s="1674" t="n"/>
      <c r="Z167" s="1674" t="n"/>
      <c r="AA167" s="1674" t="n"/>
      <c r="AB167" s="1674" t="n"/>
      <c r="AC167" s="1674" t="n"/>
    </row>
    <row r="168" ht="12.75" customHeight="1" s="1232">
      <c r="B168" s="1674" t="n"/>
      <c r="C168" s="1674" t="n"/>
      <c r="D168" s="1675" t="n"/>
      <c r="E168" s="1675" t="n"/>
      <c r="F168" s="1675" t="n"/>
      <c r="G168" s="1675" t="n"/>
      <c r="H168" s="1674" t="n"/>
      <c r="I168" s="1674" t="n"/>
      <c r="J168" s="1674" t="n"/>
      <c r="K168" s="1674" t="n"/>
      <c r="L168" s="1674" t="n"/>
      <c r="M168" s="1674" t="n"/>
      <c r="N168" s="1674" t="n"/>
      <c r="O168" s="1674" t="n"/>
      <c r="P168" s="1674" t="n"/>
      <c r="Q168" s="1674" t="n"/>
      <c r="R168" s="1674" t="n"/>
      <c r="S168" s="1674" t="n"/>
      <c r="T168" s="331" t="n"/>
      <c r="U168" s="1674" t="n"/>
      <c r="V168" s="1674" t="n"/>
      <c r="W168" s="331" t="n"/>
      <c r="X168" s="1674" t="n"/>
      <c r="Y168" s="1674" t="n"/>
      <c r="Z168" s="1674" t="n"/>
      <c r="AA168" s="1674" t="n"/>
      <c r="AB168" s="1674" t="n"/>
      <c r="AC168" s="1674" t="n"/>
    </row>
    <row r="169" ht="12.75" customHeight="1" s="1232">
      <c r="B169" s="1674" t="n"/>
      <c r="C169" s="1674" t="n"/>
      <c r="D169" s="1675" t="n"/>
      <c r="E169" s="1675" t="n"/>
      <c r="F169" s="1675" t="n"/>
      <c r="G169" s="1675" t="n"/>
      <c r="H169" s="1674" t="n"/>
      <c r="I169" s="1674" t="n"/>
      <c r="J169" s="1674" t="n"/>
      <c r="K169" s="1674" t="n"/>
      <c r="L169" s="1674" t="n"/>
      <c r="M169" s="1674" t="n"/>
      <c r="N169" s="1674" t="n"/>
      <c r="O169" s="1674" t="n"/>
      <c r="P169" s="1674" t="n"/>
      <c r="Q169" s="1674" t="n"/>
      <c r="R169" s="1674" t="n"/>
      <c r="S169" s="1674" t="n"/>
      <c r="T169" s="331" t="n"/>
      <c r="U169" s="1674" t="n"/>
      <c r="V169" s="1674" t="n"/>
      <c r="W169" s="331" t="n"/>
      <c r="X169" s="1674" t="n"/>
      <c r="Y169" s="1674" t="n"/>
      <c r="Z169" s="1674" t="n"/>
      <c r="AA169" s="1674" t="n"/>
      <c r="AB169" s="1674" t="n"/>
      <c r="AC169" s="1674" t="n"/>
    </row>
    <row r="170" ht="12.75" customHeight="1" s="1232">
      <c r="B170" s="1674" t="n"/>
      <c r="C170" s="1674" t="n"/>
      <c r="D170" s="1675" t="n"/>
      <c r="E170" s="1675" t="n"/>
      <c r="F170" s="1675" t="n"/>
      <c r="G170" s="1675" t="n"/>
      <c r="H170" s="1674" t="n"/>
      <c r="I170" s="1674" t="n"/>
      <c r="J170" s="1674" t="n"/>
      <c r="K170" s="1674" t="n"/>
      <c r="L170" s="1674" t="n"/>
      <c r="M170" s="1674" t="n"/>
      <c r="N170" s="1674" t="n"/>
      <c r="O170" s="1674" t="n"/>
      <c r="P170" s="1674" t="n"/>
      <c r="Q170" s="1674" t="n"/>
      <c r="R170" s="1674" t="n"/>
      <c r="S170" s="1674" t="n"/>
      <c r="T170" s="331" t="n"/>
      <c r="U170" s="1674" t="n"/>
      <c r="V170" s="1674" t="n"/>
      <c r="W170" s="331" t="n"/>
      <c r="X170" s="1674" t="n"/>
      <c r="Y170" s="1674" t="n"/>
      <c r="Z170" s="1674" t="n"/>
      <c r="AA170" s="1674" t="n"/>
      <c r="AB170" s="1674" t="n"/>
      <c r="AC170" s="1674" t="n"/>
    </row>
    <row r="171" ht="12.75" customHeight="1" s="1232">
      <c r="B171" s="1674" t="n"/>
      <c r="C171" s="1674" t="n"/>
      <c r="D171" s="1675" t="n"/>
      <c r="E171" s="1675" t="n"/>
      <c r="F171" s="1675" t="n"/>
      <c r="G171" s="1675" t="n"/>
      <c r="H171" s="1674" t="n"/>
      <c r="I171" s="1674" t="n"/>
      <c r="J171" s="1674" t="n"/>
      <c r="K171" s="1674" t="n"/>
      <c r="L171" s="1674" t="n"/>
      <c r="M171" s="1674" t="n"/>
      <c r="N171" s="1674" t="n"/>
      <c r="O171" s="1674" t="n"/>
      <c r="P171" s="1674" t="n"/>
      <c r="Q171" s="1674" t="n"/>
      <c r="R171" s="1674" t="n"/>
      <c r="S171" s="1674" t="n"/>
      <c r="T171" s="331" t="n"/>
      <c r="U171" s="1674" t="n"/>
      <c r="V171" s="1674" t="n"/>
      <c r="W171" s="331" t="n"/>
      <c r="X171" s="1674" t="n"/>
      <c r="Y171" s="1674" t="n"/>
      <c r="Z171" s="1674" t="n"/>
      <c r="AA171" s="1674" t="n"/>
      <c r="AB171" s="1674" t="n"/>
      <c r="AC171" s="1674" t="n"/>
    </row>
    <row r="172" ht="12.75" customHeight="1" s="1232">
      <c r="B172" s="1674" t="n"/>
      <c r="C172" s="1674" t="n"/>
      <c r="D172" s="1675" t="n"/>
      <c r="E172" s="1675" t="n"/>
      <c r="F172" s="1675" t="n"/>
      <c r="G172" s="1675" t="n"/>
      <c r="H172" s="1674" t="n"/>
      <c r="I172" s="1674" t="n"/>
      <c r="J172" s="1674" t="n"/>
      <c r="K172" s="1674" t="n"/>
      <c r="L172" s="1674" t="n"/>
      <c r="M172" s="1674" t="n"/>
      <c r="N172" s="1674" t="n"/>
      <c r="O172" s="1674" t="n"/>
      <c r="P172" s="1674" t="n"/>
      <c r="Q172" s="1674" t="n"/>
      <c r="R172" s="1674" t="n"/>
      <c r="S172" s="1674" t="n"/>
      <c r="T172" s="331" t="n"/>
      <c r="U172" s="1674" t="n"/>
      <c r="V172" s="1674" t="n"/>
      <c r="W172" s="331" t="n"/>
      <c r="X172" s="1674" t="n"/>
      <c r="Y172" s="1674" t="n"/>
      <c r="Z172" s="1674" t="n"/>
      <c r="AA172" s="1674" t="n"/>
      <c r="AB172" s="1674" t="n"/>
      <c r="AC172" s="1674" t="n"/>
    </row>
    <row r="173" ht="12.75" customHeight="1" s="1232">
      <c r="B173" s="1674" t="n"/>
      <c r="C173" s="1674" t="n"/>
      <c r="D173" s="1675" t="n">
        <v>200</v>
      </c>
      <c r="E173" s="371" t="n">
        <v>0.2</v>
      </c>
      <c r="F173" s="371" t="n"/>
      <c r="G173" s="371" t="n"/>
      <c r="H173" s="1710">
        <f>SUM(D173-(D173*E173))</f>
        <v/>
      </c>
      <c r="I173" s="1710" t="n"/>
      <c r="J173" s="1674" t="n"/>
      <c r="K173" s="1674" t="n"/>
      <c r="L173" s="1674" t="n"/>
      <c r="M173" s="1674" t="n"/>
      <c r="N173" s="1674" t="n"/>
      <c r="O173" s="1674" t="n"/>
      <c r="P173" s="1674" t="n"/>
      <c r="Q173" s="1674" t="n"/>
      <c r="R173" s="1674" t="n"/>
      <c r="S173" s="1674" t="n"/>
      <c r="T173" s="331" t="n"/>
      <c r="U173" s="1674" t="n"/>
      <c r="V173" s="1674" t="n"/>
      <c r="W173" s="331" t="n"/>
      <c r="X173" s="1674" t="n"/>
      <c r="Y173" s="1674" t="n"/>
      <c r="Z173" s="1674" t="n"/>
      <c r="AA173" s="1674" t="n"/>
      <c r="AB173" s="1674" t="n"/>
      <c r="AC173" s="1674" t="n"/>
    </row>
    <row r="174" ht="12.75" customHeight="1" s="1232">
      <c r="B174" s="1674" t="n"/>
      <c r="C174" s="1674" t="n"/>
      <c r="D174" s="1675" t="n">
        <v>375</v>
      </c>
      <c r="E174" s="371" t="n">
        <v>0.2</v>
      </c>
      <c r="F174" s="371" t="n"/>
      <c r="G174" s="371" t="n"/>
      <c r="H174" s="1710">
        <f>SUM(D174-(D174*E174))</f>
        <v/>
      </c>
      <c r="I174" s="1710" t="n"/>
      <c r="J174" s="1674" t="n"/>
      <c r="K174" s="1674" t="n"/>
      <c r="L174" s="1674" t="n"/>
      <c r="M174" s="1674" t="n"/>
      <c r="N174" s="1674" t="n"/>
      <c r="O174" s="1674" t="n"/>
      <c r="P174" s="1674" t="n"/>
      <c r="Q174" s="1674" t="n"/>
      <c r="R174" s="1674" t="n"/>
      <c r="S174" s="1674" t="n"/>
      <c r="T174" s="331" t="n"/>
      <c r="U174" s="1674" t="n"/>
      <c r="V174" s="1674" t="n"/>
      <c r="W174" s="331" t="n"/>
      <c r="X174" s="1674" t="n"/>
      <c r="Y174" s="1674" t="n"/>
      <c r="Z174" s="1674" t="n"/>
      <c r="AA174" s="1674" t="n"/>
      <c r="AB174" s="1674" t="n"/>
      <c r="AC174" s="1674" t="n"/>
    </row>
  </sheetData>
  <conditionalFormatting sqref="E9 E13 E15:E18 E22:E23 E25 E27:E28 E35:G41 E42 E43:G43 E45:E50 E51:G72 E73 E74:G75 E76:E143 E144:G164 G27:G34 G42 G45:G50 G76:G143">
    <cfRule type="cellIs" priority="15" operator="greaterThan" dxfId="1">
      <formula>0</formula>
    </cfRule>
  </conditionalFormatting>
  <conditionalFormatting sqref="E8">
    <cfRule type="cellIs" priority="14" operator="greaterThan" dxfId="1">
      <formula>0</formula>
    </cfRule>
  </conditionalFormatting>
  <conditionalFormatting sqref="E26">
    <cfRule type="cellIs" priority="13" operator="greaterThan" dxfId="1">
      <formula>0</formula>
    </cfRule>
  </conditionalFormatting>
  <conditionalFormatting sqref="E7">
    <cfRule type="cellIs" priority="12" operator="greaterThan" dxfId="1">
      <formula>0</formula>
    </cfRule>
  </conditionalFormatting>
  <conditionalFormatting sqref="E10">
    <cfRule type="cellIs" priority="11" operator="greaterThan" dxfId="1">
      <formula>0</formula>
    </cfRule>
  </conditionalFormatting>
  <conditionalFormatting sqref="E14">
    <cfRule type="cellIs" priority="10" operator="greaterThan" dxfId="1">
      <formula>0</formula>
    </cfRule>
  </conditionalFormatting>
  <conditionalFormatting sqref="E19">
    <cfRule type="cellIs" priority="9" operator="greaterThan" dxfId="1">
      <formula>0</formula>
    </cfRule>
  </conditionalFormatting>
  <conditionalFormatting sqref="I24">
    <cfRule type="cellIs" priority="8" operator="greaterThan" dxfId="1">
      <formula>0</formula>
    </cfRule>
  </conditionalFormatting>
  <conditionalFormatting sqref="E29:E34">
    <cfRule type="cellIs" priority="7" operator="greaterThan" dxfId="1">
      <formula>0</formula>
    </cfRule>
  </conditionalFormatting>
  <conditionalFormatting sqref="E44:G44">
    <cfRule type="cellIs" priority="6" operator="greaterThan" dxfId="1">
      <formula>0</formula>
    </cfRule>
  </conditionalFormatting>
  <conditionalFormatting sqref="F45:F48 F50">
    <cfRule type="cellIs" priority="5" operator="greaterThan" dxfId="1">
      <formula>0</formula>
    </cfRule>
  </conditionalFormatting>
  <conditionalFormatting sqref="F49">
    <cfRule type="cellIs" priority="4" operator="greaterThan" dxfId="1">
      <formula>0</formula>
    </cfRule>
  </conditionalFormatting>
  <conditionalFormatting sqref="F73:G73">
    <cfRule type="cellIs" priority="2" operator="greaterThan" dxfId="1">
      <formula>0</formula>
    </cfRule>
  </conditionalFormatting>
  <conditionalFormatting sqref="F76:F143">
    <cfRule type="cellIs" priority="1" operator="greaterThan" dxfId="1">
      <formula>0</formula>
    </cfRule>
  </conditionalFormatting>
  <hyperlinks>
    <hyperlink xmlns:r="http://schemas.openxmlformats.org/officeDocument/2006/relationships" ref="P6" r:id="rId1"/>
    <hyperlink xmlns:r="http://schemas.openxmlformats.org/officeDocument/2006/relationships" ref="P7" r:id="rId2"/>
    <hyperlink xmlns:r="http://schemas.openxmlformats.org/officeDocument/2006/relationships" ref="P8" tooltip="mailto:jmcooke111@btinternet.com" display="mailto:jmcooke111@btinternet.com" r:id="rId3"/>
    <hyperlink xmlns:r="http://schemas.openxmlformats.org/officeDocument/2006/relationships" ref="P11" display="mailto:gjralph@tesco.net" r:id="rId4"/>
    <hyperlink xmlns:r="http://schemas.openxmlformats.org/officeDocument/2006/relationships" ref="P12" r:id="rId5"/>
    <hyperlink xmlns:r="http://schemas.openxmlformats.org/officeDocument/2006/relationships" ref="P15" r:id="rId6"/>
    <hyperlink xmlns:r="http://schemas.openxmlformats.org/officeDocument/2006/relationships" ref="P17" r:id="rId7"/>
    <hyperlink xmlns:r="http://schemas.openxmlformats.org/officeDocument/2006/relationships" ref="P18" r:id="rId8"/>
    <hyperlink xmlns:r="http://schemas.openxmlformats.org/officeDocument/2006/relationships" ref="P19" r:id="rId9"/>
    <hyperlink xmlns:r="http://schemas.openxmlformats.org/officeDocument/2006/relationships" ref="P23" r:id="rId10"/>
    <hyperlink xmlns:r="http://schemas.openxmlformats.org/officeDocument/2006/relationships" ref="P25" r:id="rId11"/>
    <hyperlink xmlns:r="http://schemas.openxmlformats.org/officeDocument/2006/relationships" ref="P26" display="mailto:c.caborn@yahoo.co.uk" r:id="rId12"/>
    <hyperlink xmlns:r="http://schemas.openxmlformats.org/officeDocument/2006/relationships" ref="P27" r:id="rId13"/>
    <hyperlink xmlns:r="http://schemas.openxmlformats.org/officeDocument/2006/relationships" ref="P28" r:id="rId14"/>
    <hyperlink xmlns:r="http://schemas.openxmlformats.org/officeDocument/2006/relationships" ref="P30" r:id="rId15"/>
    <hyperlink xmlns:r="http://schemas.openxmlformats.org/officeDocument/2006/relationships" ref="P32" r:id="rId16"/>
    <hyperlink xmlns:r="http://schemas.openxmlformats.org/officeDocument/2006/relationships" ref="P34" r:id="rId17"/>
    <hyperlink xmlns:r="http://schemas.openxmlformats.org/officeDocument/2006/relationships" ref="P36" r:id="rId18"/>
    <hyperlink xmlns:r="http://schemas.openxmlformats.org/officeDocument/2006/relationships" ref="P38" r:id="rId19"/>
    <hyperlink xmlns:r="http://schemas.openxmlformats.org/officeDocument/2006/relationships" ref="P42" r:id="rId20"/>
    <hyperlink xmlns:r="http://schemas.openxmlformats.org/officeDocument/2006/relationships" ref="P43" r:id="rId21"/>
    <hyperlink xmlns:r="http://schemas.openxmlformats.org/officeDocument/2006/relationships" ref="P44" r:id="rId22"/>
    <hyperlink xmlns:r="http://schemas.openxmlformats.org/officeDocument/2006/relationships" ref="P48" r:id="rId23"/>
    <hyperlink xmlns:r="http://schemas.openxmlformats.org/officeDocument/2006/relationships" ref="P49" r:id="rId24"/>
    <hyperlink xmlns:r="http://schemas.openxmlformats.org/officeDocument/2006/relationships" ref="P50" r:id="rId25"/>
    <hyperlink xmlns:r="http://schemas.openxmlformats.org/officeDocument/2006/relationships" ref="P52" r:id="rId26"/>
    <hyperlink xmlns:r="http://schemas.openxmlformats.org/officeDocument/2006/relationships" ref="P53" r:id="rId27"/>
    <hyperlink xmlns:r="http://schemas.openxmlformats.org/officeDocument/2006/relationships" ref="P54" r:id="rId28"/>
    <hyperlink xmlns:r="http://schemas.openxmlformats.org/officeDocument/2006/relationships" ref="P55" r:id="rId29"/>
    <hyperlink xmlns:r="http://schemas.openxmlformats.org/officeDocument/2006/relationships" ref="P56" r:id="rId30"/>
    <hyperlink xmlns:r="http://schemas.openxmlformats.org/officeDocument/2006/relationships" ref="P58" r:id="rId31"/>
    <hyperlink xmlns:r="http://schemas.openxmlformats.org/officeDocument/2006/relationships" ref="P59" r:id="rId32"/>
    <hyperlink xmlns:r="http://schemas.openxmlformats.org/officeDocument/2006/relationships" ref="P61" r:id="rId33"/>
    <hyperlink xmlns:r="http://schemas.openxmlformats.org/officeDocument/2006/relationships" ref="P63" display="mailto:funsizeclaire@hotmail.co.uk" r:id="rId34"/>
    <hyperlink xmlns:r="http://schemas.openxmlformats.org/officeDocument/2006/relationships" ref="P64" r:id="rId35"/>
    <hyperlink xmlns:r="http://schemas.openxmlformats.org/officeDocument/2006/relationships" ref="P68" r:id="rId36"/>
    <hyperlink xmlns:r="http://schemas.openxmlformats.org/officeDocument/2006/relationships" ref="P76" r:id="rId37"/>
    <hyperlink xmlns:r="http://schemas.openxmlformats.org/officeDocument/2006/relationships" ref="P82" r:id="rId38"/>
    <hyperlink xmlns:r="http://schemas.openxmlformats.org/officeDocument/2006/relationships" ref="P93" r:id="rId39"/>
    <hyperlink xmlns:r="http://schemas.openxmlformats.org/officeDocument/2006/relationships" ref="P98" r:id="rId40"/>
    <hyperlink xmlns:r="http://schemas.openxmlformats.org/officeDocument/2006/relationships" ref="P102" r:id="rId41"/>
    <hyperlink xmlns:r="http://schemas.openxmlformats.org/officeDocument/2006/relationships" ref="P105" r:id="rId42"/>
    <hyperlink xmlns:r="http://schemas.openxmlformats.org/officeDocument/2006/relationships" ref="P109" r:id="rId43"/>
    <hyperlink xmlns:r="http://schemas.openxmlformats.org/officeDocument/2006/relationships" ref="P124" display="mailto:quentmelhuish@gmail.com" r:id="rId44"/>
    <hyperlink xmlns:r="http://schemas.openxmlformats.org/officeDocument/2006/relationships" ref="P125" r:id="rId45"/>
    <hyperlink xmlns:r="http://schemas.openxmlformats.org/officeDocument/2006/relationships" ref="P133" r:id="rId46"/>
    <hyperlink xmlns:r="http://schemas.openxmlformats.org/officeDocument/2006/relationships" ref="P154" r:id="rId47"/>
    <hyperlink xmlns:r="http://schemas.openxmlformats.org/officeDocument/2006/relationships" ref="P159" r:id="rId48"/>
  </hyperlinks>
  <pageMargins left="0.25" right="0.25" top="0.75" bottom="0.75" header="0.3" footer="0.3"/>
  <pageSetup orientation="landscape" paperSize="9" scale="31" fitToHeight="0"/>
</worksheet>
</file>

<file path=xl/worksheets/sheet31.xml><?xml version="1.0" encoding="utf-8"?>
<worksheet xmlns="http://schemas.openxmlformats.org/spreadsheetml/2006/main">
  <sheetPr>
    <tabColor rgb="FFFFC000"/>
    <outlinePr summaryBelow="1" summaryRight="1"/>
    <pageSetUpPr fitToPage="1"/>
  </sheetPr>
  <dimension ref="A1:V159"/>
  <sheetViews>
    <sheetView workbookViewId="0">
      <pane ySplit="1" topLeftCell="A92" activePane="bottomLeft" state="frozen"/>
      <selection activeCell="V27" sqref="V27"/>
      <selection pane="bottomLeft" activeCell="L118" sqref="L118:L119"/>
    </sheetView>
  </sheetViews>
  <sheetFormatPr baseColWidth="8" defaultColWidth="9.1328125" defaultRowHeight="14.65"/>
  <cols>
    <col width="22.59765625" customWidth="1" style="1697" min="1" max="1"/>
    <col width="15.6640625" bestFit="1" customWidth="1" style="1697" min="2" max="2"/>
    <col width="18.46484375" customWidth="1" style="1697" min="3" max="3"/>
    <col width="29.86328125" customWidth="1" style="1697" min="4" max="4"/>
    <col width="19.46484375" customWidth="1" style="1697" min="5" max="5"/>
    <col width="11.19921875" customWidth="1" style="1697" min="6" max="6"/>
    <col width="11.46484375" customWidth="1" style="1568" min="7" max="7"/>
    <col width="11.1328125" customWidth="1" style="1697" min="8" max="8"/>
    <col width="12.19921875" customWidth="1" style="1697" min="9" max="9"/>
    <col width="24" bestFit="1" customWidth="1" style="1697" min="10" max="10"/>
    <col width="6.86328125" bestFit="1" customWidth="1" style="1697" min="11" max="11"/>
    <col width="13.19921875" bestFit="1" customWidth="1" style="1696" min="12" max="12"/>
    <col width="16.6640625" customWidth="1" style="1697" min="13" max="13"/>
    <col width="35" customWidth="1" style="505" min="14" max="14"/>
    <col width="3.86328125" customWidth="1" style="1697" min="15" max="15"/>
    <col width="14.53125" customWidth="1" style="1697" min="16" max="16"/>
    <col width="11" bestFit="1" customWidth="1" style="1697" min="17" max="17"/>
    <col width="27.46484375" bestFit="1" customWidth="1" style="1697" min="18" max="18"/>
    <col width="17.53125" customWidth="1" style="1711" min="19" max="19"/>
    <col width="9.1328125" customWidth="1" style="1697" min="20" max="16384"/>
  </cols>
  <sheetData>
    <row r="1" ht="43.9" customHeight="1" s="1232">
      <c r="A1" s="237" t="inlineStr">
        <is>
          <t>From Date</t>
        </is>
      </c>
      <c r="B1" s="237" t="inlineStr">
        <is>
          <t>To Date</t>
        </is>
      </c>
      <c r="C1" s="485" t="inlineStr">
        <is>
          <t>Date Booked</t>
        </is>
      </c>
      <c r="D1" s="237" t="inlineStr">
        <is>
          <t>Event</t>
        </is>
      </c>
      <c r="E1" s="237" t="inlineStr">
        <is>
          <t>Location</t>
        </is>
      </c>
      <c r="F1" s="237" t="inlineStr">
        <is>
          <t>Duration</t>
        </is>
      </c>
      <c r="G1" s="236" t="inlineStr">
        <is>
          <t>Paid</t>
        </is>
      </c>
      <c r="H1" s="236" t="inlineStr">
        <is>
          <t>Balance</t>
        </is>
      </c>
      <c r="I1" s="1712" t="inlineStr">
        <is>
          <t>Source</t>
        </is>
      </c>
      <c r="J1" s="1618" t="inlineStr">
        <is>
          <t>Booking Ref</t>
        </is>
      </c>
      <c r="K1" s="1713" t="inlineStr">
        <is>
          <t>Prefix</t>
        </is>
      </c>
      <c r="L1" s="1714" t="inlineStr">
        <is>
          <t>First Name</t>
        </is>
      </c>
      <c r="M1" s="1712" t="inlineStr">
        <is>
          <t>Last Name</t>
        </is>
      </c>
      <c r="N1" s="488" t="inlineStr">
        <is>
          <t>Email Address</t>
        </is>
      </c>
      <c r="O1" s="1713" t="inlineStr">
        <is>
          <t>Age</t>
        </is>
      </c>
      <c r="P1" s="1713" t="inlineStr">
        <is>
          <t>Mobile No'</t>
        </is>
      </c>
      <c r="Q1" s="1713" t="inlineStr">
        <is>
          <t>Post Code</t>
        </is>
      </c>
      <c r="R1" s="1713" t="inlineStr">
        <is>
          <t>House No' Street Name</t>
        </is>
      </c>
      <c r="S1" s="488" t="inlineStr">
        <is>
          <t>Town</t>
        </is>
      </c>
    </row>
    <row r="2">
      <c r="A2" s="494" t="n"/>
      <c r="B2" s="494" t="n"/>
      <c r="C2" s="494" t="n"/>
      <c r="D2" s="494" t="n"/>
      <c r="E2" s="494" t="n"/>
      <c r="F2" s="494" t="n"/>
      <c r="G2" s="231" t="n"/>
      <c r="H2" s="495" t="n"/>
      <c r="I2" s="1624" t="inlineStr">
        <is>
          <t>Google</t>
        </is>
      </c>
      <c r="J2" s="1715" t="n"/>
      <c r="K2" s="498" t="inlineStr">
        <is>
          <t>2014</t>
        </is>
      </c>
      <c r="L2" s="1716" t="n"/>
      <c r="M2" s="1716" t="n"/>
      <c r="N2" s="497" t="n"/>
      <c r="O2" s="1717" t="n"/>
      <c r="P2" s="1715" t="n"/>
      <c r="Q2" s="1715" t="n"/>
      <c r="R2" s="1715" t="n"/>
      <c r="S2" s="497" t="n"/>
    </row>
    <row r="3">
      <c r="A3" s="1718" t="n"/>
      <c r="B3" s="1719" t="n">
        <v>45731</v>
      </c>
      <c r="C3" s="1719" t="n">
        <v>45823</v>
      </c>
      <c r="D3" s="1720" t="inlineStr">
        <is>
          <t>Photography Mentoring for Qualification</t>
        </is>
      </c>
      <c r="E3" s="1646" t="inlineStr">
        <is>
          <t>Zoom 3 x 1hr</t>
        </is>
      </c>
      <c r="F3" s="905" t="n"/>
      <c r="G3" s="1721" t="n"/>
      <c r="H3" s="1646" t="n">
        <v>150</v>
      </c>
      <c r="I3" s="1646" t="inlineStr">
        <is>
          <t>JLR</t>
        </is>
      </c>
      <c r="J3" s="1646" t="inlineStr">
        <is>
          <t>IIY#3620895578371vgs</t>
        </is>
      </c>
      <c r="K3" s="86" t="n"/>
      <c r="L3" s="1607" t="inlineStr">
        <is>
          <t>Nicoleta Dinu</t>
        </is>
      </c>
      <c r="M3" s="1607" t="n"/>
      <c r="N3" s="549" t="inlineStr">
        <is>
          <t>ndinu1@jaguarlandrover.com</t>
        </is>
      </c>
      <c r="O3" s="551" t="n"/>
      <c r="P3" s="1604" t="n"/>
      <c r="S3" s="87" t="n"/>
    </row>
    <row r="4">
      <c r="B4" s="1719" t="n">
        <v>45746</v>
      </c>
      <c r="C4" s="1719" t="n">
        <v>45746</v>
      </c>
      <c r="D4" s="1720" t="inlineStr">
        <is>
          <t>Photography Mentoring for Qualification</t>
        </is>
      </c>
      <c r="E4" s="1646" t="inlineStr">
        <is>
          <t>Zoom 3 x 1hr</t>
        </is>
      </c>
      <c r="F4" s="905" t="n"/>
      <c r="G4" s="1721" t="n">
        <v>150</v>
      </c>
      <c r="H4" s="1646" t="n">
        <v>0</v>
      </c>
      <c r="I4" s="1646" t="inlineStr">
        <is>
          <t>Google</t>
        </is>
      </c>
      <c r="J4" s="1646" t="inlineStr">
        <is>
          <t>#03171</t>
        </is>
      </c>
      <c r="K4" s="86" t="n"/>
      <c r="L4" s="1607" t="inlineStr">
        <is>
          <t>John Shilladay</t>
        </is>
      </c>
      <c r="M4" s="1607" t="n"/>
      <c r="N4" s="549" t="inlineStr">
        <is>
          <t>jshillad@jaguarlandrover.com</t>
        </is>
      </c>
      <c r="O4" s="551" t="inlineStr">
        <is>
          <t>63</t>
        </is>
      </c>
      <c r="P4" s="1604" t="inlineStr">
        <is>
          <t>07943503380</t>
        </is>
      </c>
    </row>
    <row r="5" ht="15.95" customHeight="1" s="1232">
      <c r="A5" s="1722" t="n"/>
      <c r="B5" s="1722" t="n"/>
      <c r="C5" s="1722" t="n"/>
      <c r="D5" s="1723" t="n"/>
      <c r="E5" s="1724" t="n"/>
      <c r="F5" s="1030" t="n"/>
      <c r="G5" s="1725" t="n"/>
      <c r="H5" s="1724" t="n"/>
      <c r="I5" s="1724" t="n"/>
      <c r="J5" s="1724" t="n"/>
      <c r="K5" s="880" t="n"/>
      <c r="L5" s="1651" t="n"/>
      <c r="M5" s="1651" t="n"/>
      <c r="N5" s="1726" t="n"/>
      <c r="O5" s="722" t="n"/>
      <c r="P5" s="1727" t="n"/>
      <c r="Q5" s="1728" t="n"/>
      <c r="R5" s="1728" t="n"/>
      <c r="S5" s="879" t="n"/>
      <c r="T5" s="1728" t="n"/>
      <c r="U5" s="1728" t="n"/>
      <c r="V5" s="1728" t="n"/>
    </row>
    <row r="6" ht="15.95" customHeight="1" s="1232">
      <c r="A6" s="1719" t="n"/>
      <c r="B6" s="1719" t="n"/>
      <c r="C6" s="1719" t="n"/>
      <c r="D6" s="1720" t="n"/>
      <c r="E6" s="1646" t="n"/>
      <c r="F6" s="905" t="n"/>
      <c r="G6" s="1721" t="n"/>
      <c r="H6" s="1646" t="n"/>
      <c r="I6" s="1646" t="n"/>
      <c r="J6" s="1646" t="n"/>
      <c r="K6" s="86" t="n"/>
      <c r="L6" s="1607" t="n"/>
      <c r="M6" s="1607" t="n"/>
      <c r="N6" s="1491" t="n"/>
      <c r="O6" s="551" t="n"/>
      <c r="P6" s="1604" t="n"/>
      <c r="S6" s="87" t="n"/>
    </row>
    <row r="7" ht="15.95" customHeight="1" s="1232">
      <c r="A7" s="1719" t="n"/>
      <c r="B7" s="1719" t="n">
        <v>45712</v>
      </c>
      <c r="C7" s="1719" t="n">
        <v>45726</v>
      </c>
      <c r="D7" s="1729" t="inlineStr">
        <is>
          <t>3WK Beginners Course</t>
        </is>
      </c>
      <c r="E7" s="1646" t="inlineStr">
        <is>
          <t>Coventry</t>
        </is>
      </c>
      <c r="F7" s="905" t="inlineStr">
        <is>
          <t>3wks</t>
        </is>
      </c>
      <c r="G7" s="1646" t="n">
        <v>150</v>
      </c>
      <c r="H7" s="1646" t="n"/>
      <c r="I7" s="1646" t="inlineStr">
        <is>
          <t>JLR</t>
        </is>
      </c>
      <c r="J7" s="1646" t="inlineStr">
        <is>
          <t>IIY#1295854328371aMn</t>
        </is>
      </c>
      <c r="K7" s="86" t="inlineStr">
        <is>
          <t>Mr</t>
        </is>
      </c>
      <c r="L7" s="1607" t="inlineStr">
        <is>
          <t>David</t>
        </is>
      </c>
      <c r="M7" s="1607" t="inlineStr">
        <is>
          <t>Rochester</t>
        </is>
      </c>
      <c r="N7" s="1491" t="inlineStr">
        <is>
          <t>drochest@jaguarlandrover.com</t>
        </is>
      </c>
      <c r="O7" s="551" t="n"/>
      <c r="P7" s="1604" t="n"/>
      <c r="S7" s="87" t="n"/>
    </row>
    <row r="8" ht="15.95" customHeight="1" s="1232">
      <c r="A8" s="1719" t="n"/>
      <c r="B8" s="1719" t="n">
        <v>45712</v>
      </c>
      <c r="C8" s="1719" t="n">
        <v>45726</v>
      </c>
      <c r="D8" s="1729" t="inlineStr">
        <is>
          <t>3WK Beginners Course</t>
        </is>
      </c>
      <c r="E8" s="1646" t="inlineStr">
        <is>
          <t>Coventry</t>
        </is>
      </c>
      <c r="F8" s="905" t="inlineStr">
        <is>
          <t>3wks</t>
        </is>
      </c>
      <c r="G8" s="1646" t="n">
        <v>150</v>
      </c>
      <c r="H8" s="1646" t="n"/>
      <c r="I8" s="1646" t="inlineStr">
        <is>
          <t>JLR</t>
        </is>
      </c>
      <c r="J8" s="1646" t="inlineStr">
        <is>
          <t>IIY#4951943858371awi</t>
        </is>
      </c>
      <c r="K8" s="86" t="inlineStr">
        <is>
          <t>Mr</t>
        </is>
      </c>
      <c r="L8" s="1607" t="inlineStr">
        <is>
          <t>Richard</t>
        </is>
      </c>
      <c r="M8" s="1607" t="inlineStr">
        <is>
          <t>Hill</t>
        </is>
      </c>
      <c r="N8" s="1491" t="inlineStr">
        <is>
          <t>rhill12@jaguarlandrover.com</t>
        </is>
      </c>
      <c r="O8" s="551" t="n"/>
      <c r="P8" s="1604" t="n"/>
      <c r="S8" s="87" t="n"/>
    </row>
    <row r="9" ht="15.95" customHeight="1" s="1232">
      <c r="A9" s="1719" t="n"/>
      <c r="B9" s="1718" t="n">
        <v>45712</v>
      </c>
      <c r="C9" s="1718" t="n">
        <v>45726</v>
      </c>
      <c r="D9" s="1730" t="inlineStr">
        <is>
          <t>3WK Beginners Course</t>
        </is>
      </c>
      <c r="E9" s="1643" t="inlineStr">
        <is>
          <t>Coventry</t>
        </is>
      </c>
      <c r="F9" s="1107" t="inlineStr">
        <is>
          <t>3wks</t>
        </is>
      </c>
      <c r="G9" s="1643" t="n">
        <v>150</v>
      </c>
      <c r="H9" s="1643" t="n"/>
      <c r="I9" s="1643" t="inlineStr">
        <is>
          <t>JLR</t>
        </is>
      </c>
      <c r="J9" s="1643" t="inlineStr">
        <is>
          <t>IIY#5175394858371ofg</t>
        </is>
      </c>
      <c r="K9" s="877" t="inlineStr">
        <is>
          <t>Ms</t>
        </is>
      </c>
      <c r="L9" s="1645" t="inlineStr">
        <is>
          <t xml:space="preserve">Chelsea </t>
        </is>
      </c>
      <c r="M9" s="1645" t="inlineStr">
        <is>
          <t>Anderson</t>
        </is>
      </c>
      <c r="N9" s="1731" t="inlineStr">
        <is>
          <t>cander13@jaguarlandrover.com</t>
        </is>
      </c>
      <c r="O9" s="551" t="n"/>
      <c r="P9" s="1732" t="inlineStr">
        <is>
          <t>no show</t>
        </is>
      </c>
      <c r="S9" s="87" t="n"/>
    </row>
    <row r="10" ht="15.95" customHeight="1" s="1232">
      <c r="A10" s="1719" t="n"/>
      <c r="B10" s="1719" t="n">
        <v>45712</v>
      </c>
      <c r="C10" s="1719" t="n">
        <v>45726</v>
      </c>
      <c r="D10" s="1729" t="inlineStr">
        <is>
          <t>3WK Beginners Course</t>
        </is>
      </c>
      <c r="E10" s="1646" t="inlineStr">
        <is>
          <t>Coventry</t>
        </is>
      </c>
      <c r="F10" s="905" t="inlineStr">
        <is>
          <t>3wks</t>
        </is>
      </c>
      <c r="G10" s="1646" t="n">
        <v>150</v>
      </c>
      <c r="H10" s="1646" t="n"/>
      <c r="I10" s="1646" t="inlineStr">
        <is>
          <t>JLR</t>
        </is>
      </c>
      <c r="J10" s="1646" t="inlineStr">
        <is>
          <t>IIY#4797774168371tSB</t>
        </is>
      </c>
      <c r="K10" s="86" t="inlineStr">
        <is>
          <t>Ms</t>
        </is>
      </c>
      <c r="L10" s="1607" t="inlineStr">
        <is>
          <t xml:space="preserve">Cheryl </t>
        </is>
      </c>
      <c r="M10" s="1607" t="inlineStr">
        <is>
          <t>Laverick</t>
        </is>
      </c>
      <c r="N10" s="1491" t="inlineStr">
        <is>
          <t>claveri1@jaguarlandrover.com</t>
        </is>
      </c>
      <c r="O10" s="551" t="n"/>
      <c r="P10" s="1604" t="inlineStr">
        <is>
          <t>07581306990</t>
        </is>
      </c>
      <c r="S10" s="87" t="n"/>
    </row>
    <row r="11" ht="15.95" customHeight="1" s="1232">
      <c r="A11" s="1719" t="n"/>
      <c r="B11" s="1719" t="n"/>
      <c r="C11" s="1719" t="n"/>
      <c r="D11" s="1720" t="n"/>
      <c r="E11" s="1646" t="n"/>
      <c r="F11" s="905" t="n"/>
      <c r="G11" s="1721" t="n"/>
      <c r="H11" s="1646" t="n"/>
      <c r="I11" s="1646" t="n"/>
      <c r="J11" s="1646" t="n"/>
      <c r="K11" s="86" t="n"/>
      <c r="L11" s="1607" t="n"/>
      <c r="M11" s="1607" t="n"/>
      <c r="N11" s="1491" t="n"/>
      <c r="O11" s="551" t="n"/>
      <c r="P11" s="1604" t="n"/>
      <c r="S11" s="87" t="n"/>
    </row>
    <row r="12" ht="15.95" customHeight="1" s="1232">
      <c r="A12" s="1719" t="n"/>
      <c r="B12" s="1719" t="n">
        <v>45742</v>
      </c>
      <c r="C12" s="1719" t="n">
        <v>45756</v>
      </c>
      <c r="D12" s="1729" t="inlineStr">
        <is>
          <t>3WK Beginners Course</t>
        </is>
      </c>
      <c r="E12" s="1646" t="inlineStr">
        <is>
          <t>Coventry</t>
        </is>
      </c>
      <c r="F12" s="905" t="inlineStr">
        <is>
          <t>3wks</t>
        </is>
      </c>
      <c r="G12" s="1721" t="n">
        <v>0</v>
      </c>
      <c r="H12" s="1646" t="n">
        <v>150</v>
      </c>
      <c r="I12" s="1646" t="inlineStr">
        <is>
          <t>JLR</t>
        </is>
      </c>
      <c r="J12" s="1697" t="inlineStr">
        <is>
          <t>IIY#9793493480471ZwA</t>
        </is>
      </c>
      <c r="L12" s="1696" t="inlineStr">
        <is>
          <t>Francesco De Bellis</t>
        </is>
      </c>
      <c r="M12" s="1696" t="n"/>
      <c r="N12" s="1112" t="inlineStr">
        <is>
          <t>fdebelli@jaguarlandrover.com</t>
        </is>
      </c>
      <c r="O12" s="551" t="n"/>
      <c r="P12" s="1604" t="inlineStr">
        <is>
          <t>07920715136</t>
        </is>
      </c>
      <c r="S12" s="87" t="n"/>
    </row>
    <row r="13" ht="15.95" customHeight="1" s="1232">
      <c r="A13" s="1719" t="n"/>
      <c r="B13" s="1719" t="n">
        <v>45742</v>
      </c>
      <c r="C13" s="1719" t="n">
        <v>45756</v>
      </c>
      <c r="D13" s="1729" t="inlineStr">
        <is>
          <t>3WK Beginners Course</t>
        </is>
      </c>
      <c r="E13" s="1646" t="inlineStr">
        <is>
          <t>Coventry</t>
        </is>
      </c>
      <c r="F13" s="905" t="inlineStr">
        <is>
          <t>3wks</t>
        </is>
      </c>
      <c r="G13" s="1721" t="n">
        <v>0</v>
      </c>
      <c r="H13" s="1646" t="n">
        <v>150</v>
      </c>
      <c r="I13" s="1646" t="inlineStr">
        <is>
          <t>JLR</t>
        </is>
      </c>
      <c r="J13" s="1646" t="inlineStr">
        <is>
          <t>IIY#9658346990471xVO</t>
        </is>
      </c>
      <c r="K13" s="86" t="n"/>
      <c r="L13" s="1696" t="inlineStr">
        <is>
          <t>Victor Alagbe</t>
        </is>
      </c>
      <c r="M13" s="1696" t="n"/>
      <c r="N13" s="1491" t="inlineStr">
        <is>
          <t>valagbe@jaguarlandrover.com</t>
        </is>
      </c>
      <c r="O13" s="551" t="n"/>
      <c r="P13" s="1604" t="inlineStr">
        <is>
          <t>07501810705</t>
        </is>
      </c>
      <c r="S13" s="87" t="n"/>
    </row>
    <row r="14" ht="15.95" customHeight="1" s="1232">
      <c r="A14" s="1719" t="n"/>
      <c r="B14" s="1719" t="n">
        <v>45742</v>
      </c>
      <c r="C14" s="1719" t="n">
        <v>45756</v>
      </c>
      <c r="D14" s="1729" t="inlineStr">
        <is>
          <t>3WK Beginners Course</t>
        </is>
      </c>
      <c r="E14" s="1646" t="inlineStr">
        <is>
          <t>Coventry</t>
        </is>
      </c>
      <c r="F14" s="905" t="inlineStr">
        <is>
          <t>3wks</t>
        </is>
      </c>
      <c r="G14" s="1721" t="n">
        <v>0</v>
      </c>
      <c r="H14" s="1646" t="n">
        <v>150</v>
      </c>
      <c r="I14" s="1646" t="inlineStr">
        <is>
          <t>JLR</t>
        </is>
      </c>
      <c r="J14" s="1646" t="inlineStr">
        <is>
          <t>IIY#4415640591471Brv</t>
        </is>
      </c>
      <c r="K14" s="86" t="n"/>
      <c r="L14" s="1696" t="inlineStr">
        <is>
          <t>BALA POLINENI</t>
        </is>
      </c>
      <c r="M14" s="1696" t="n"/>
      <c r="N14" s="1491" t="inlineStr">
        <is>
          <t>bpoline1@jaguarlandrover.com</t>
        </is>
      </c>
      <c r="O14" s="551" t="n"/>
      <c r="P14" s="1604" t="n"/>
      <c r="S14" s="87" t="n"/>
    </row>
    <row r="15" ht="15.95" customHeight="1" s="1232">
      <c r="A15" s="1719" t="n"/>
      <c r="B15" s="1719" t="n"/>
      <c r="C15" s="1719" t="n"/>
      <c r="D15" s="1720" t="n"/>
      <c r="E15" s="1646" t="n"/>
      <c r="F15" s="905" t="n"/>
      <c r="G15" s="1721" t="n"/>
      <c r="H15" s="1646" t="n"/>
      <c r="I15" s="1646" t="n"/>
      <c r="J15" s="1646" t="n"/>
      <c r="K15" s="86" t="n"/>
      <c r="M15" s="1696" t="n"/>
      <c r="N15" s="1491" t="n"/>
      <c r="O15" s="551" t="n"/>
      <c r="P15" s="1604" t="n"/>
      <c r="S15" s="87" t="n"/>
    </row>
    <row r="16" ht="15.95" customHeight="1" s="1232">
      <c r="A16" s="1719" t="n"/>
      <c r="B16" s="1719" t="n"/>
      <c r="C16" s="1719" t="n"/>
      <c r="D16" s="1720" t="n"/>
      <c r="E16" s="1646" t="n"/>
      <c r="F16" s="905" t="n"/>
      <c r="G16" s="1721" t="n"/>
      <c r="H16" s="1646" t="n"/>
      <c r="I16" s="1646" t="n"/>
      <c r="J16" s="1646" t="n"/>
      <c r="K16" s="86" t="n"/>
      <c r="M16" s="1696" t="n"/>
      <c r="N16" s="1491" t="n"/>
      <c r="O16" s="551" t="n"/>
      <c r="P16" s="1604" t="n"/>
      <c r="S16" s="87" t="n"/>
    </row>
    <row r="17" ht="15.95" customHeight="1" s="1232">
      <c r="A17" s="1719" t="n"/>
      <c r="B17" s="1719" t="n">
        <v>45763</v>
      </c>
      <c r="C17" s="1719" t="n">
        <v>45791</v>
      </c>
      <c r="D17" s="1729" t="inlineStr">
        <is>
          <t>5WK Beginners Course</t>
        </is>
      </c>
      <c r="E17" s="1646" t="inlineStr">
        <is>
          <t>Coventry</t>
        </is>
      </c>
      <c r="F17" s="905" t="inlineStr">
        <is>
          <t>5wks</t>
        </is>
      </c>
      <c r="G17" s="1721" t="n">
        <v>250</v>
      </c>
      <c r="H17" s="1646" t="n"/>
      <c r="I17" s="1646" t="inlineStr">
        <is>
          <t>Google</t>
        </is>
      </c>
      <c r="J17" s="1646" t="inlineStr">
        <is>
          <t>#02934</t>
        </is>
      </c>
      <c r="K17" s="86" t="inlineStr">
        <is>
          <t>Mr</t>
        </is>
      </c>
      <c r="L17" s="1607" t="inlineStr">
        <is>
          <t>Richard</t>
        </is>
      </c>
      <c r="M17" s="1696" t="inlineStr">
        <is>
          <t>OConnor</t>
        </is>
      </c>
      <c r="N17" s="1491" t="inlineStr">
        <is>
          <t xml:space="preserve">rfoc123@aol.com </t>
        </is>
      </c>
      <c r="O17" s="551" t="inlineStr">
        <is>
          <t>61</t>
        </is>
      </c>
      <c r="P17" s="1604" t="inlineStr">
        <is>
          <t>07971209705</t>
        </is>
      </c>
      <c r="Q17" s="1697" t="inlineStr">
        <is>
          <t>CV77DD</t>
        </is>
      </c>
      <c r="R17" s="1697" t="inlineStr">
        <is>
          <t>Reaves Green Barn</t>
        </is>
      </c>
      <c r="S17" s="87" t="inlineStr">
        <is>
          <t>Coventry</t>
        </is>
      </c>
    </row>
    <row r="18" ht="15.95" customHeight="1" s="1232">
      <c r="A18" s="1719" t="n"/>
      <c r="B18" s="1719" t="n">
        <v>45763</v>
      </c>
      <c r="C18" s="1719" t="n">
        <v>45777</v>
      </c>
      <c r="D18" s="1729" t="inlineStr">
        <is>
          <t>3WK Beginners Course</t>
        </is>
      </c>
      <c r="E18" s="1646" t="inlineStr">
        <is>
          <t>Coventry</t>
        </is>
      </c>
      <c r="F18" s="905" t="inlineStr">
        <is>
          <t>3wks</t>
        </is>
      </c>
      <c r="G18" s="1721" t="n">
        <v>0</v>
      </c>
      <c r="H18" s="1646" t="n">
        <v>150</v>
      </c>
      <c r="I18" s="1646" t="inlineStr">
        <is>
          <t>JLR</t>
        </is>
      </c>
      <c r="J18" s="1646" t="inlineStr">
        <is>
          <t>IIY#7396680729371dNI</t>
        </is>
      </c>
      <c r="K18" s="86" t="n"/>
      <c r="L18" s="1696" t="inlineStr">
        <is>
          <t xml:space="preserve">Nandeep </t>
        </is>
      </c>
      <c r="M18" s="1696" t="inlineStr">
        <is>
          <t>Bhambra</t>
        </is>
      </c>
      <c r="N18" s="1491" t="inlineStr">
        <is>
          <t>nbhambr2@jaguarlandrover.com</t>
        </is>
      </c>
      <c r="O18" s="551" t="n"/>
      <c r="P18" s="1604" t="n"/>
      <c r="S18" s="87" t="n"/>
    </row>
    <row r="19" ht="15.95" customHeight="1" s="1232">
      <c r="A19" s="1719" t="n"/>
      <c r="B19" s="1719" t="n">
        <v>45763</v>
      </c>
      <c r="C19" s="1719" t="n">
        <v>45777</v>
      </c>
      <c r="D19" s="1729" t="inlineStr">
        <is>
          <t>3WK Beginners Course</t>
        </is>
      </c>
      <c r="E19" s="1646" t="inlineStr">
        <is>
          <t>Coventry</t>
        </is>
      </c>
      <c r="F19" s="905" t="inlineStr">
        <is>
          <t>3wks</t>
        </is>
      </c>
      <c r="G19" s="1721" t="n">
        <v>0</v>
      </c>
      <c r="H19" s="1646" t="n">
        <v>150</v>
      </c>
      <c r="I19" s="1646" t="inlineStr">
        <is>
          <t>JLR</t>
        </is>
      </c>
      <c r="J19" s="1646" t="inlineStr">
        <is>
          <t>IIY#2757828598371meV</t>
        </is>
      </c>
      <c r="K19" s="86" t="n"/>
      <c r="L19" s="1696" t="inlineStr">
        <is>
          <t xml:space="preserve">Rajkumar </t>
        </is>
      </c>
      <c r="M19" s="1696" t="inlineStr">
        <is>
          <t>Nagappan Pillai</t>
        </is>
      </c>
      <c r="N19" s="1491" t="inlineStr">
        <is>
          <t>rnagappa@jaguarlandrover.com</t>
        </is>
      </c>
      <c r="O19" s="551" t="n"/>
      <c r="P19" s="1604" t="n"/>
      <c r="S19" s="87" t="n"/>
    </row>
    <row r="20" ht="15.95" customHeight="1" s="1232">
      <c r="A20" s="1719" t="n"/>
      <c r="B20" s="1719" t="n">
        <v>45763</v>
      </c>
      <c r="C20" s="1719" t="n">
        <v>45777</v>
      </c>
      <c r="D20" s="1729" t="inlineStr">
        <is>
          <t>3WK Beginners Course</t>
        </is>
      </c>
      <c r="E20" s="1646" t="inlineStr">
        <is>
          <t>Coventry</t>
        </is>
      </c>
      <c r="F20" s="905" t="inlineStr">
        <is>
          <t>3wks</t>
        </is>
      </c>
      <c r="G20" s="1721" t="n">
        <v>0</v>
      </c>
      <c r="H20" s="1646" t="n">
        <v>150</v>
      </c>
      <c r="I20" s="1646" t="inlineStr">
        <is>
          <t>JLR</t>
        </is>
      </c>
      <c r="J20" s="1646" t="inlineStr">
        <is>
          <t>IIY#5483395752471PKS</t>
        </is>
      </c>
      <c r="K20" s="86" t="n"/>
      <c r="L20" s="1696" t="inlineStr">
        <is>
          <t>Premananth Subramanian</t>
        </is>
      </c>
      <c r="M20" s="1696" t="n"/>
      <c r="N20" s="1491" t="inlineStr">
        <is>
          <t>psubram7@jaguarlandrover.com</t>
        </is>
      </c>
      <c r="O20" s="551" t="n"/>
      <c r="P20" s="1604" t="inlineStr">
        <is>
          <t>07393070907</t>
        </is>
      </c>
      <c r="S20" s="87" t="n"/>
    </row>
    <row r="21" ht="15.95" customHeight="1" s="1232">
      <c r="A21" s="1719" t="n"/>
      <c r="B21" s="1719" t="n"/>
      <c r="C21" s="1719" t="n"/>
      <c r="D21" s="1720" t="n"/>
      <c r="E21" s="1646" t="n"/>
      <c r="F21" s="905" t="n"/>
      <c r="G21" s="1721" t="n"/>
      <c r="H21" s="1646" t="n"/>
      <c r="I21" s="1646" t="n"/>
      <c r="J21" s="1646" t="n"/>
      <c r="K21" s="86" t="n"/>
      <c r="M21" s="1696" t="n"/>
      <c r="N21" s="1491" t="n"/>
      <c r="O21" s="551" t="n"/>
      <c r="P21" s="1604" t="n"/>
      <c r="S21" s="87" t="n"/>
    </row>
    <row r="22" ht="15.95" customHeight="1" s="1232">
      <c r="A22" s="1719" t="n"/>
      <c r="B22" s="1733" t="n">
        <v>45776</v>
      </c>
      <c r="C22" s="1733" t="n">
        <v>45790</v>
      </c>
      <c r="D22" s="1734" t="inlineStr">
        <is>
          <t>3WK Lightroom Course</t>
        </is>
      </c>
      <c r="E22" s="1646" t="inlineStr">
        <is>
          <t>Coventry</t>
        </is>
      </c>
      <c r="F22" s="905" t="inlineStr">
        <is>
          <t>3wks</t>
        </is>
      </c>
      <c r="G22" s="1721" t="n">
        <v>0</v>
      </c>
      <c r="H22" s="1646" t="n">
        <v>150</v>
      </c>
      <c r="I22" s="1646" t="inlineStr">
        <is>
          <t>JLR</t>
        </is>
      </c>
      <c r="J22" s="1646" t="inlineStr">
        <is>
          <t>IIY#9784390621471qeW</t>
        </is>
      </c>
      <c r="K22" s="86" t="n"/>
      <c r="L22" s="1696" t="inlineStr">
        <is>
          <t>James Lawrence</t>
        </is>
      </c>
      <c r="M22" s="1696" t="n"/>
      <c r="N22" s="1491" t="inlineStr">
        <is>
          <t>jlawre17@jaguarlandrover.com</t>
        </is>
      </c>
      <c r="O22" s="551" t="n"/>
      <c r="P22" s="1604" t="inlineStr">
        <is>
          <t>07427 2325537</t>
        </is>
      </c>
      <c r="S22" s="87" t="n"/>
    </row>
    <row r="23" ht="15.95" customHeight="1" s="1232">
      <c r="A23" s="1719" t="n"/>
      <c r="B23" s="1733" t="n">
        <v>45776</v>
      </c>
      <c r="C23" s="1733" t="n">
        <v>45790</v>
      </c>
      <c r="D23" s="1734" t="inlineStr">
        <is>
          <t>3WK Lightroom Course</t>
        </is>
      </c>
      <c r="E23" s="1646" t="inlineStr">
        <is>
          <t>Coventry</t>
        </is>
      </c>
      <c r="F23" s="905" t="inlineStr">
        <is>
          <t>3wks</t>
        </is>
      </c>
      <c r="G23" s="1721" t="n">
        <v>0</v>
      </c>
      <c r="H23" s="1646" t="n">
        <v>150</v>
      </c>
      <c r="I23" s="1646" t="inlineStr">
        <is>
          <t>JLR</t>
        </is>
      </c>
      <c r="J23" s="1646" t="inlineStr">
        <is>
          <t>IIY#2473345521471eH6</t>
        </is>
      </c>
      <c r="K23" s="86" t="n"/>
      <c r="L23" s="1696" t="inlineStr">
        <is>
          <t>Paul Lewis</t>
        </is>
      </c>
      <c r="M23" s="1696" t="n"/>
      <c r="N23" s="1491" t="inlineStr">
        <is>
          <t>plewis49@jaguarlandrover.com</t>
        </is>
      </c>
      <c r="O23" s="551" t="n"/>
      <c r="P23" s="1604" t="inlineStr">
        <is>
          <t>07811453907</t>
        </is>
      </c>
      <c r="R23" s="1374" t="inlineStr">
        <is>
          <t>paul.lewis982@googlemail.com</t>
        </is>
      </c>
      <c r="S23" s="87" t="n"/>
    </row>
    <row r="24" ht="15.95" customHeight="1" s="1232">
      <c r="A24" s="1719" t="n"/>
      <c r="B24" s="1733" t="n">
        <v>45776</v>
      </c>
      <c r="C24" s="1733" t="n">
        <v>45790</v>
      </c>
      <c r="D24" s="1734" t="inlineStr">
        <is>
          <t>3WK Lightroom Course</t>
        </is>
      </c>
      <c r="E24" s="1646" t="inlineStr">
        <is>
          <t>Coventry</t>
        </is>
      </c>
      <c r="F24" s="905" t="inlineStr">
        <is>
          <t>3wks</t>
        </is>
      </c>
      <c r="G24" s="1721" t="n">
        <v>0</v>
      </c>
      <c r="H24" s="1646" t="n">
        <v>150</v>
      </c>
      <c r="I24" s="1646" t="inlineStr">
        <is>
          <t>JLR</t>
        </is>
      </c>
      <c r="J24" s="1646" t="inlineStr">
        <is>
          <t>IIY#3699288992471NzB</t>
        </is>
      </c>
      <c r="K24" s="86" t="n"/>
      <c r="L24" s="1696" t="inlineStr">
        <is>
          <t>Anil Kumar Siddesh</t>
        </is>
      </c>
      <c r="M24" s="1696" t="n"/>
      <c r="N24" s="1491" t="inlineStr">
        <is>
          <t>asiddesh@jaguarlandrover.com</t>
        </is>
      </c>
      <c r="O24" s="551" t="n"/>
      <c r="P24" s="1604" t="n"/>
      <c r="R24" s="1374" t="n"/>
      <c r="S24" s="87" t="n"/>
    </row>
    <row r="25" ht="15.95" customHeight="1" s="1232">
      <c r="A25" s="1719" t="n"/>
      <c r="K25" s="86" t="n"/>
      <c r="M25" s="1696" t="n"/>
      <c r="O25" s="551" t="n"/>
      <c r="P25" s="1604" t="n"/>
      <c r="R25" s="1374" t="n"/>
      <c r="S25" s="87" t="n"/>
    </row>
    <row r="26" ht="15.95" customHeight="1" s="1232">
      <c r="A26" s="1719" t="n"/>
      <c r="B26" s="1733" t="n"/>
      <c r="C26" s="1733" t="n"/>
      <c r="D26" s="1734" t="n"/>
      <c r="E26" s="1646" t="n"/>
      <c r="F26" s="905" t="n"/>
      <c r="G26" s="1721" t="n"/>
      <c r="H26" s="1646" t="n"/>
      <c r="I26" s="1646" t="n"/>
      <c r="K26" s="86" t="n"/>
      <c r="M26" s="1696" t="n"/>
      <c r="O26" s="551" t="n"/>
      <c r="P26" s="1604" t="n"/>
      <c r="R26" s="1374" t="n"/>
      <c r="S26" s="87" t="n"/>
    </row>
    <row r="27" ht="15.95" customHeight="1" s="1232">
      <c r="A27" s="1719" t="n"/>
      <c r="B27" s="1733" t="n">
        <v>45798</v>
      </c>
      <c r="C27" s="1733">
        <f>B27+14</f>
        <v/>
      </c>
      <c r="D27" s="1734" t="inlineStr">
        <is>
          <t>3WK Lightroom Course</t>
        </is>
      </c>
      <c r="E27" s="1646" t="inlineStr">
        <is>
          <t>Coventry</t>
        </is>
      </c>
      <c r="F27" s="905" t="inlineStr">
        <is>
          <t>3wks</t>
        </is>
      </c>
      <c r="G27" s="1721" t="n">
        <v>0</v>
      </c>
      <c r="H27" s="1697" t="n">
        <v>150</v>
      </c>
      <c r="I27" s="1568" t="inlineStr">
        <is>
          <t>JLR</t>
        </is>
      </c>
      <c r="J27" s="1697" t="inlineStr">
        <is>
          <t>IIY#2528443773471wYf</t>
        </is>
      </c>
      <c r="K27" s="86" t="n"/>
      <c r="L27" s="1607" t="inlineStr">
        <is>
          <t>Cheryl Laverick</t>
        </is>
      </c>
      <c r="M27" s="1696" t="n"/>
      <c r="N27" s="1112" t="inlineStr">
        <is>
          <t>claveri1@jaguarlandrover.com</t>
        </is>
      </c>
      <c r="O27" s="551" t="n"/>
      <c r="P27" s="1604" t="inlineStr">
        <is>
          <t>07581306990</t>
        </is>
      </c>
      <c r="R27" s="1374" t="n"/>
      <c r="S27" s="87" t="n"/>
    </row>
    <row r="28" ht="15.95" customHeight="1" s="1232">
      <c r="A28" s="1719" t="n"/>
      <c r="B28" s="1733" t="n">
        <v>45798</v>
      </c>
      <c r="C28" s="1733">
        <f>B28+14</f>
        <v/>
      </c>
      <c r="D28" s="1734" t="inlineStr">
        <is>
          <t>3WK Lightroom Course</t>
        </is>
      </c>
      <c r="E28" s="1646" t="inlineStr">
        <is>
          <t>Coventry</t>
        </is>
      </c>
      <c r="F28" s="905" t="inlineStr">
        <is>
          <t>3wks</t>
        </is>
      </c>
      <c r="G28" s="1721" t="n">
        <v>0</v>
      </c>
      <c r="H28" s="1697" t="n">
        <v>150</v>
      </c>
      <c r="I28" s="1568" t="inlineStr">
        <is>
          <t>JLR</t>
        </is>
      </c>
      <c r="J28" s="1697" t="inlineStr">
        <is>
          <t>IIY#13653510134717Oa</t>
        </is>
      </c>
      <c r="K28" s="86" t="n"/>
      <c r="L28" s="1696" t="inlineStr">
        <is>
          <t>Goutham Lingannaiah</t>
        </is>
      </c>
      <c r="M28" s="1696" t="n"/>
      <c r="N28" s="1112" t="inlineStr">
        <is>
          <t>glingan1@jaguarlandrover.com</t>
        </is>
      </c>
      <c r="O28" s="551" t="n"/>
      <c r="P28" s="1604" t="inlineStr">
        <is>
          <t>07776684187</t>
        </is>
      </c>
      <c r="R28" s="1374" t="n"/>
      <c r="S28" s="87" t="n"/>
    </row>
    <row r="29" ht="15.95" customHeight="1" s="1232">
      <c r="A29" s="1719" t="n"/>
      <c r="K29" s="86" t="n"/>
      <c r="M29" s="1696" t="n"/>
      <c r="O29" s="551" t="n"/>
      <c r="P29" s="1604" t="n"/>
      <c r="R29" s="1374" t="n"/>
      <c r="S29" s="87" t="n"/>
    </row>
    <row r="30" ht="15.95" customHeight="1" s="1232">
      <c r="A30" s="1719" t="n"/>
      <c r="B30" s="1719" t="n"/>
      <c r="C30" s="1719" t="n"/>
      <c r="D30" s="1720" t="n"/>
      <c r="E30" s="1646" t="n"/>
      <c r="F30" s="905" t="n"/>
      <c r="G30" s="1721" t="n"/>
      <c r="H30" s="1646" t="n"/>
      <c r="I30" s="1646" t="n"/>
      <c r="J30" s="1646" t="n"/>
      <c r="K30" s="86" t="n"/>
      <c r="M30" s="1696" t="n"/>
      <c r="N30" s="1491" t="n"/>
      <c r="O30" s="551" t="n"/>
      <c r="P30" s="1604" t="n"/>
      <c r="S30" s="87" t="n"/>
    </row>
    <row r="31" ht="15.95" customHeight="1" s="1232">
      <c r="A31" s="1719" t="n"/>
      <c r="B31" s="1719" t="n">
        <v>45804</v>
      </c>
      <c r="C31" s="1719" t="n">
        <v>45818</v>
      </c>
      <c r="D31" s="1729" t="inlineStr">
        <is>
          <t>3WK Beginners Course</t>
        </is>
      </c>
      <c r="E31" s="1646" t="inlineStr">
        <is>
          <t>Coventry</t>
        </is>
      </c>
      <c r="F31" s="905" t="inlineStr">
        <is>
          <t>3wks</t>
        </is>
      </c>
      <c r="G31" s="1721" t="n">
        <v>0</v>
      </c>
      <c r="H31" s="1646" t="n">
        <v>150</v>
      </c>
      <c r="I31" s="1646" t="inlineStr">
        <is>
          <t>JLR</t>
        </is>
      </c>
      <c r="J31" s="1646" t="inlineStr">
        <is>
          <t>IIY#36355007393718jX</t>
        </is>
      </c>
      <c r="K31" s="86" t="n"/>
      <c r="L31" s="1696" t="inlineStr">
        <is>
          <t>Casey</t>
        </is>
      </c>
      <c r="M31" s="1696" t="inlineStr">
        <is>
          <t>Clarke</t>
        </is>
      </c>
      <c r="N31" s="1491" t="inlineStr">
        <is>
          <t>cclark11@jaguarlandrover.com</t>
        </is>
      </c>
      <c r="O31" s="551" t="n"/>
      <c r="P31" s="1604" t="n"/>
      <c r="S31" s="87" t="n"/>
    </row>
    <row r="32" ht="15.95" customHeight="1" s="1232">
      <c r="A32" s="1719" t="n"/>
      <c r="B32" s="1719" t="n">
        <v>45804</v>
      </c>
      <c r="C32" s="1719" t="n">
        <v>45818</v>
      </c>
      <c r="D32" s="1729" t="inlineStr">
        <is>
          <t>3WK Beginners Course</t>
        </is>
      </c>
      <c r="E32" s="1646" t="inlineStr">
        <is>
          <t>Coventry</t>
        </is>
      </c>
      <c r="F32" s="905" t="inlineStr">
        <is>
          <t>3wks</t>
        </is>
      </c>
      <c r="G32" s="1721" t="n"/>
      <c r="H32" s="1646" t="n">
        <v>150</v>
      </c>
      <c r="I32" s="1646" t="inlineStr">
        <is>
          <t>JLR</t>
        </is>
      </c>
      <c r="J32" s="1646" t="inlineStr">
        <is>
          <t>IIY#3337168549371BqW</t>
        </is>
      </c>
      <c r="K32" s="86" t="n"/>
      <c r="L32" s="1696" t="inlineStr">
        <is>
          <t>Aoife</t>
        </is>
      </c>
      <c r="M32" s="1696" t="inlineStr">
        <is>
          <t>Doyle</t>
        </is>
      </c>
      <c r="N32" s="549" t="inlineStr">
        <is>
          <t>adoyle6@jaguarlandrover.com</t>
        </is>
      </c>
      <c r="O32" s="551" t="n"/>
      <c r="P32" s="1604" t="n"/>
      <c r="S32" s="87" t="n"/>
    </row>
    <row r="33" ht="15.95" customHeight="1" s="1232">
      <c r="A33" s="1719" t="n"/>
      <c r="B33" s="1719" t="n">
        <v>45804</v>
      </c>
      <c r="C33" s="1719" t="n">
        <v>45818</v>
      </c>
      <c r="D33" s="1729" t="inlineStr">
        <is>
          <t>3WK Beginners Course</t>
        </is>
      </c>
      <c r="E33" s="1646" t="inlineStr">
        <is>
          <t>Coventry</t>
        </is>
      </c>
      <c r="F33" s="905" t="inlineStr">
        <is>
          <t>3wks</t>
        </is>
      </c>
      <c r="G33" s="1721" t="n"/>
      <c r="H33" s="1646" t="n">
        <v>150</v>
      </c>
      <c r="I33" s="1646" t="inlineStr">
        <is>
          <t>JLR</t>
        </is>
      </c>
      <c r="J33" s="1646" t="inlineStr">
        <is>
          <t>IIY#6654429899371evK</t>
        </is>
      </c>
      <c r="K33" s="86" t="n"/>
      <c r="L33" s="1696" t="inlineStr">
        <is>
          <t>Archit Rastogi</t>
        </is>
      </c>
      <c r="M33" s="1696" t="n"/>
      <c r="N33" s="549" t="inlineStr">
        <is>
          <t>arastog1@jaguarlandrover.com</t>
        </is>
      </c>
      <c r="O33" s="551" t="n"/>
      <c r="P33" s="1604" t="n"/>
      <c r="S33" s="87" t="n"/>
    </row>
    <row r="34" ht="15.95" customHeight="1" s="1232">
      <c r="A34" s="1719" t="n"/>
      <c r="B34" s="1719" t="n">
        <v>45804</v>
      </c>
      <c r="C34" s="1719" t="n">
        <v>45818</v>
      </c>
      <c r="D34" s="1729" t="inlineStr">
        <is>
          <t>3WK Beginners Course</t>
        </is>
      </c>
      <c r="E34" s="1646" t="inlineStr">
        <is>
          <t>Coventry</t>
        </is>
      </c>
      <c r="F34" s="905" t="inlineStr">
        <is>
          <t>3wks</t>
        </is>
      </c>
      <c r="G34" s="1721" t="n"/>
      <c r="H34" s="1646" t="n">
        <v>150</v>
      </c>
      <c r="I34" s="1646" t="inlineStr">
        <is>
          <t>JLR</t>
        </is>
      </c>
      <c r="J34" s="1646" t="inlineStr">
        <is>
          <t>IIY#5221971400471t4J</t>
        </is>
      </c>
      <c r="K34" s="86" t="n"/>
      <c r="L34" s="1696" t="inlineStr">
        <is>
          <t>Aparna Balasubramanian</t>
        </is>
      </c>
      <c r="M34" s="1696" t="n"/>
      <c r="N34" s="291" t="inlineStr">
        <is>
          <t>abalasu4@jaguarlandrover.com</t>
        </is>
      </c>
      <c r="O34" s="551" t="n"/>
      <c r="P34" s="1604" t="n"/>
      <c r="S34" s="87" t="n"/>
    </row>
    <row r="35" ht="15.95" customHeight="1" s="1232">
      <c r="A35" s="1719" t="n"/>
      <c r="B35" s="1719" t="n"/>
      <c r="C35" s="1719" t="n"/>
      <c r="D35" s="1729" t="n"/>
      <c r="E35" s="1646" t="n"/>
      <c r="F35" s="905" t="n"/>
      <c r="G35" s="1721" t="n"/>
      <c r="H35" s="1646" t="n"/>
      <c r="I35" s="1646" t="n"/>
      <c r="J35" s="1646" t="n"/>
      <c r="K35" s="86" t="n"/>
      <c r="M35" s="1696" t="n"/>
      <c r="N35" s="291" t="n"/>
      <c r="O35" s="551" t="n"/>
      <c r="P35" s="1604" t="n"/>
      <c r="S35" s="87" t="n"/>
    </row>
    <row r="36" ht="15.95" customHeight="1" s="1232">
      <c r="A36" s="1719" t="n"/>
      <c r="B36" s="1719" t="n">
        <v>45820</v>
      </c>
      <c r="C36" s="1719" t="n">
        <v>45834</v>
      </c>
      <c r="D36" s="1729" t="inlineStr">
        <is>
          <t>3WK Beginners Course</t>
        </is>
      </c>
      <c r="E36" s="1646" t="inlineStr">
        <is>
          <t>Coventry</t>
        </is>
      </c>
      <c r="F36" s="905" t="inlineStr">
        <is>
          <t>3wks</t>
        </is>
      </c>
      <c r="G36" s="1721" t="n"/>
      <c r="H36" s="1646" t="n">
        <v>150</v>
      </c>
      <c r="I36" s="1646" t="inlineStr">
        <is>
          <t>JLR</t>
        </is>
      </c>
      <c r="J36" s="1646" t="inlineStr">
        <is>
          <t>IIY#9738428143471tZb</t>
        </is>
      </c>
      <c r="K36" s="86" t="n"/>
      <c r="L36" s="1696" t="inlineStr">
        <is>
          <t>Olasanmi Olaniyan</t>
        </is>
      </c>
      <c r="M36" s="1696" t="n"/>
      <c r="N36" s="291" t="inlineStr">
        <is>
          <t>oolaniya@jaguarlandrover.com</t>
        </is>
      </c>
      <c r="O36" s="551" t="n"/>
      <c r="P36" s="1604" t="inlineStr">
        <is>
          <t>07414751507</t>
        </is>
      </c>
      <c r="S36" s="87" t="n"/>
    </row>
    <row r="37" ht="15.95" customHeight="1" s="1232">
      <c r="A37" s="1719" t="n"/>
      <c r="B37" s="1719" t="n">
        <v>45820</v>
      </c>
      <c r="C37" s="1719" t="n">
        <v>45834</v>
      </c>
      <c r="D37" s="1729" t="inlineStr">
        <is>
          <t>3WK Beginners Course</t>
        </is>
      </c>
      <c r="E37" s="1646" t="inlineStr">
        <is>
          <t>Coventry</t>
        </is>
      </c>
      <c r="F37" s="905" t="inlineStr">
        <is>
          <t>3wks</t>
        </is>
      </c>
      <c r="G37" s="1721" t="n"/>
      <c r="H37" s="1646" t="n">
        <v>150</v>
      </c>
      <c r="I37" s="1646" t="inlineStr">
        <is>
          <t>JLR</t>
        </is>
      </c>
      <c r="J37" s="1646" t="inlineStr">
        <is>
          <t>IIY#9870547483471jV5</t>
        </is>
      </c>
      <c r="K37" s="86" t="n"/>
      <c r="L37" s="1696" t="inlineStr">
        <is>
          <t>Nuha Alam</t>
        </is>
      </c>
      <c r="M37" s="1696" t="n"/>
      <c r="N37" s="291" t="inlineStr">
        <is>
          <t>nalam1@jaguarlandrover.com</t>
        </is>
      </c>
      <c r="O37" s="551" t="n"/>
      <c r="P37" s="1604" t="inlineStr">
        <is>
          <t>07706655509</t>
        </is>
      </c>
      <c r="S37" s="87" t="n"/>
    </row>
    <row r="38" ht="15.95" customHeight="1" s="1232">
      <c r="A38" s="1719" t="n"/>
      <c r="B38" s="1719" t="n">
        <v>45820</v>
      </c>
      <c r="C38" s="1719" t="n">
        <v>45834</v>
      </c>
      <c r="D38" s="1729" t="inlineStr">
        <is>
          <t>3WK Beginners Course</t>
        </is>
      </c>
      <c r="E38" s="1646" t="inlineStr">
        <is>
          <t>Coventry</t>
        </is>
      </c>
      <c r="F38" s="905" t="inlineStr">
        <is>
          <t>3wks</t>
        </is>
      </c>
      <c r="G38" s="1721" t="n"/>
      <c r="H38" s="1646" t="n">
        <v>150</v>
      </c>
      <c r="I38" s="1646" t="inlineStr">
        <is>
          <t>Google</t>
        </is>
      </c>
      <c r="J38" s="1646" t="inlineStr">
        <is>
          <t>#03004</t>
        </is>
      </c>
      <c r="K38" s="86" t="inlineStr">
        <is>
          <t>Mr</t>
        </is>
      </c>
      <c r="L38" s="1607" t="inlineStr">
        <is>
          <t>Callum</t>
        </is>
      </c>
      <c r="M38" s="1607" t="inlineStr">
        <is>
          <t>Windle</t>
        </is>
      </c>
      <c r="N38" s="291" t="inlineStr">
        <is>
          <t xml:space="preserve">callumw99@hotmail.com </t>
        </is>
      </c>
      <c r="O38" s="551" t="inlineStr">
        <is>
          <t>25</t>
        </is>
      </c>
      <c r="P38" s="1604" t="inlineStr">
        <is>
          <t>07450895718</t>
        </is>
      </c>
      <c r="S38" s="87" t="n"/>
    </row>
    <row r="39" ht="15.95" customHeight="1" s="1232">
      <c r="A39" s="1719" t="n"/>
      <c r="B39" s="1719" t="n"/>
      <c r="C39" s="1719" t="n"/>
      <c r="D39" s="1729" t="n"/>
      <c r="E39" s="1646" t="n"/>
      <c r="F39" s="905" t="n"/>
      <c r="G39" s="1721" t="n"/>
      <c r="H39" s="1646" t="n"/>
      <c r="I39" s="1646" t="n"/>
      <c r="J39" s="1646" t="n"/>
      <c r="K39" s="86" t="n"/>
      <c r="M39" s="1696" t="n"/>
      <c r="N39" s="291" t="n"/>
      <c r="O39" s="551" t="n"/>
      <c r="P39" s="1604" t="n"/>
      <c r="S39" s="87" t="n"/>
    </row>
    <row r="40" ht="15.95" customHeight="1" s="1232">
      <c r="A40" s="1719" t="n"/>
      <c r="B40" s="1719" t="n"/>
      <c r="C40" s="1719" t="n"/>
      <c r="D40" s="1720" t="n"/>
      <c r="E40" s="1646" t="n"/>
      <c r="F40" s="905" t="n"/>
      <c r="G40" s="1721" t="n"/>
      <c r="H40" s="1646" t="n"/>
      <c r="I40" s="1646" t="n"/>
      <c r="J40" s="1646" t="n"/>
      <c r="K40" s="86" t="n"/>
      <c r="M40" s="1696" t="n"/>
      <c r="N40" s="549" t="n"/>
      <c r="O40" s="551" t="n"/>
      <c r="P40" s="1604" t="n"/>
      <c r="S40" s="87" t="n"/>
    </row>
    <row r="41" ht="15.95" customHeight="1" s="1232">
      <c r="A41" s="1719" t="n"/>
      <c r="B41" s="1719" t="n">
        <v>45840</v>
      </c>
      <c r="C41" s="1719" t="n">
        <v>45854</v>
      </c>
      <c r="D41" s="1729" t="inlineStr">
        <is>
          <t>3WK Beginners Course</t>
        </is>
      </c>
      <c r="E41" s="1646" t="inlineStr">
        <is>
          <t>Coventry</t>
        </is>
      </c>
      <c r="F41" s="905" t="inlineStr">
        <is>
          <t>3wks</t>
        </is>
      </c>
      <c r="G41" s="1721" t="n"/>
      <c r="H41" s="1646" t="n">
        <v>150</v>
      </c>
      <c r="I41" s="1646" t="inlineStr">
        <is>
          <t>JLR</t>
        </is>
      </c>
      <c r="J41" s="1646" t="inlineStr">
        <is>
          <t>IIY#5427554140471vik</t>
        </is>
      </c>
      <c r="K41" s="86" t="n"/>
      <c r="L41" s="1696" t="inlineStr">
        <is>
          <t>Sunil Prasad</t>
        </is>
      </c>
      <c r="M41" s="1696" t="n"/>
      <c r="N41" s="549" t="inlineStr">
        <is>
          <t>sprasa11@jaguarlandrover.com</t>
        </is>
      </c>
      <c r="O41" s="551" t="n"/>
      <c r="P41" s="1604" t="n"/>
      <c r="S41" s="87" t="n"/>
    </row>
    <row r="42" ht="15.95" customHeight="1" s="1232">
      <c r="A42" s="1719" t="n"/>
      <c r="B42" s="1719" t="n">
        <v>45840</v>
      </c>
      <c r="C42" s="1719" t="n">
        <v>45854</v>
      </c>
      <c r="D42" s="1729" t="inlineStr">
        <is>
          <t>3WK Beginners Course</t>
        </is>
      </c>
      <c r="E42" s="1646" t="inlineStr">
        <is>
          <t>Coventry</t>
        </is>
      </c>
      <c r="F42" s="905" t="inlineStr">
        <is>
          <t>3wks</t>
        </is>
      </c>
      <c r="G42" s="1721" t="n"/>
      <c r="H42" s="1646" t="n">
        <v>150</v>
      </c>
      <c r="I42" s="1646" t="inlineStr">
        <is>
          <t>JLR</t>
        </is>
      </c>
      <c r="J42" s="1646" t="inlineStr">
        <is>
          <t>IIY#7198650770471ilF</t>
        </is>
      </c>
      <c r="K42" s="86" t="n"/>
      <c r="L42" s="1696" t="inlineStr">
        <is>
          <t>Shashank Herle</t>
        </is>
      </c>
      <c r="M42" s="1696" t="n"/>
      <c r="N42" s="1735" t="inlineStr">
        <is>
          <t>sherle@jaguarlandrover.com</t>
        </is>
      </c>
      <c r="O42" s="551" t="n"/>
      <c r="P42" s="1604" t="n"/>
      <c r="S42" s="87" t="n"/>
    </row>
    <row r="43" ht="15.95" customHeight="1" s="1232">
      <c r="A43" s="1719" t="n"/>
      <c r="B43" s="1719" t="n">
        <v>45840</v>
      </c>
      <c r="C43" s="1719" t="n">
        <v>45854</v>
      </c>
      <c r="D43" s="1729" t="inlineStr">
        <is>
          <t>3WK Beginners Course</t>
        </is>
      </c>
      <c r="E43" s="1646" t="inlineStr">
        <is>
          <t>Coventry</t>
        </is>
      </c>
      <c r="F43" s="905" t="inlineStr">
        <is>
          <t>3wks</t>
        </is>
      </c>
      <c r="G43" s="1721" t="n"/>
      <c r="H43" s="1646" t="n">
        <v>150</v>
      </c>
      <c r="I43" s="1646" t="inlineStr">
        <is>
          <t>JLR</t>
        </is>
      </c>
      <c r="J43" s="1646" t="inlineStr">
        <is>
          <t>IIY#5621191922471ypm</t>
        </is>
      </c>
      <c r="K43" s="86" t="n"/>
      <c r="L43" s="1696" t="inlineStr">
        <is>
          <t>Pradeep Gadag</t>
        </is>
      </c>
      <c r="M43" s="1696" t="n"/>
      <c r="N43" s="549" t="inlineStr">
        <is>
          <t>pgadag2@jaguarlandrover.com</t>
        </is>
      </c>
      <c r="O43" s="551" t="n"/>
      <c r="P43" s="1604" t="n"/>
      <c r="S43" s="87" t="n"/>
    </row>
    <row r="44" ht="15.95" customHeight="1" s="1232">
      <c r="A44" s="1719" t="n"/>
      <c r="B44" s="1719" t="n">
        <v>45840</v>
      </c>
      <c r="C44" s="1719" t="n">
        <v>45854</v>
      </c>
      <c r="D44" s="1729" t="inlineStr">
        <is>
          <t>3WK Beginners Course</t>
        </is>
      </c>
      <c r="E44" s="1646" t="inlineStr">
        <is>
          <t>Coventry</t>
        </is>
      </c>
      <c r="F44" s="905" t="inlineStr">
        <is>
          <t>3wks</t>
        </is>
      </c>
      <c r="G44" s="1721" t="n"/>
      <c r="H44" s="1646" t="n">
        <v>150</v>
      </c>
      <c r="I44" s="1646" t="inlineStr">
        <is>
          <t>JLR</t>
        </is>
      </c>
      <c r="J44" s="1646" t="inlineStr">
        <is>
          <t>IIY#2113796132471ovn</t>
        </is>
      </c>
      <c r="K44" s="86" t="n"/>
      <c r="L44" s="1696" t="inlineStr">
        <is>
          <t>Anna Higginson</t>
        </is>
      </c>
      <c r="M44" s="1696" t="n"/>
      <c r="N44" s="549" t="inlineStr">
        <is>
          <t>ahiggi21@jaguarlandrover.com</t>
        </is>
      </c>
      <c r="O44" s="551" t="n"/>
      <c r="P44" s="1604" t="inlineStr">
        <is>
          <t xml:space="preserve">0780 921 3080 </t>
        </is>
      </c>
      <c r="S44" s="87" t="n"/>
    </row>
    <row r="45" ht="15.95" customHeight="1" s="1232">
      <c r="A45" s="1719" t="n"/>
      <c r="B45" s="1719" t="n"/>
      <c r="C45" s="1719" t="n"/>
      <c r="D45" s="1720" t="n"/>
      <c r="E45" s="1646" t="n"/>
      <c r="F45" s="905" t="n"/>
      <c r="G45" s="1721" t="n"/>
      <c r="H45" s="1646" t="n"/>
      <c r="I45" s="1646" t="n"/>
      <c r="J45" s="1646" t="n"/>
      <c r="K45" s="86" t="n"/>
      <c r="M45" s="1696" t="n"/>
      <c r="N45" s="549" t="n"/>
      <c r="O45" s="551" t="n"/>
      <c r="P45" s="1604" t="n"/>
      <c r="S45" s="87" t="n"/>
    </row>
    <row r="46" ht="15.95" customHeight="1" s="1232">
      <c r="A46" s="1719" t="n"/>
      <c r="B46" s="1719" t="n"/>
      <c r="C46" s="1719" t="n"/>
      <c r="D46" s="1720" t="n"/>
      <c r="E46" s="1646" t="n"/>
      <c r="F46" s="905" t="n"/>
      <c r="G46" s="1721" t="n"/>
      <c r="H46" s="1646" t="n"/>
      <c r="I46" s="1646" t="n"/>
      <c r="J46" s="1646" t="n"/>
      <c r="K46" s="86" t="n"/>
      <c r="M46" s="1696" t="n"/>
      <c r="N46" s="549" t="n"/>
      <c r="O46" s="551" t="n"/>
      <c r="P46" s="1604" t="n"/>
      <c r="S46" s="87" t="n"/>
    </row>
    <row r="47" ht="15.95" customHeight="1" s="1232">
      <c r="A47" s="1719" t="n"/>
      <c r="B47" s="1733" t="n">
        <v>45903</v>
      </c>
      <c r="C47" s="1733" t="n">
        <v>45917</v>
      </c>
      <c r="D47" s="1734" t="inlineStr">
        <is>
          <t>3WK Lightroom Course</t>
        </is>
      </c>
      <c r="E47" s="1646" t="inlineStr">
        <is>
          <t>Coventry</t>
        </is>
      </c>
      <c r="F47" s="905" t="inlineStr">
        <is>
          <t>3wks</t>
        </is>
      </c>
      <c r="G47" s="1721" t="n"/>
      <c r="H47" s="1646" t="n">
        <v>150</v>
      </c>
      <c r="I47" s="1646" t="inlineStr">
        <is>
          <t>JLR</t>
        </is>
      </c>
      <c r="J47" s="1646" t="inlineStr">
        <is>
          <t>IIY#3200851700471DL3</t>
        </is>
      </c>
      <c r="K47" s="86" t="n"/>
      <c r="L47" s="1696" t="inlineStr">
        <is>
          <t>Paul Ebosele</t>
        </is>
      </c>
      <c r="M47" s="1696" t="n"/>
      <c r="N47" s="549" t="inlineStr">
        <is>
          <t>pebosel1@jaguarlandrover.com</t>
        </is>
      </c>
      <c r="O47" s="551" t="n"/>
      <c r="P47" s="1604" t="n"/>
      <c r="S47" s="87" t="n"/>
    </row>
    <row r="48" ht="15.95" customHeight="1" s="1232">
      <c r="A48" s="1719" t="n"/>
      <c r="B48" s="1733" t="n">
        <v>45903</v>
      </c>
      <c r="C48" s="1733" t="n">
        <v>45917</v>
      </c>
      <c r="D48" s="1734" t="inlineStr">
        <is>
          <t>3WK Lightroom Course</t>
        </is>
      </c>
      <c r="E48" s="1646" t="inlineStr">
        <is>
          <t>Coventry</t>
        </is>
      </c>
      <c r="F48" s="905" t="inlineStr">
        <is>
          <t>3wks</t>
        </is>
      </c>
      <c r="G48" s="1721" t="n"/>
      <c r="H48" s="1646" t="n">
        <v>150</v>
      </c>
      <c r="I48" s="1646" t="inlineStr">
        <is>
          <t>JLR</t>
        </is>
      </c>
      <c r="J48" s="1646" t="inlineStr">
        <is>
          <t>IIY#8224552124471WYa</t>
        </is>
      </c>
      <c r="K48" s="86" t="n"/>
      <c r="L48" s="1696" t="inlineStr">
        <is>
          <t>Blessent George</t>
        </is>
      </c>
      <c r="M48" s="1696" t="n"/>
      <c r="N48" s="549" t="inlineStr">
        <is>
          <t>bgeorge4@jaguarlandrover.com</t>
        </is>
      </c>
      <c r="O48" s="551" t="n"/>
      <c r="P48" s="1604" t="n"/>
      <c r="S48" s="87" t="n"/>
    </row>
    <row r="49" ht="15.95" customHeight="1" s="1232">
      <c r="A49" s="1719" t="n"/>
      <c r="B49" s="1733" t="n"/>
      <c r="C49" s="1733" t="n"/>
      <c r="D49" s="1734" t="n"/>
      <c r="E49" s="1646" t="n"/>
      <c r="F49" s="905" t="n"/>
      <c r="G49" s="1721" t="n"/>
      <c r="H49" s="1646" t="n"/>
      <c r="I49" s="1646" t="n"/>
      <c r="J49" s="1646" t="n"/>
      <c r="K49" s="86" t="n"/>
      <c r="M49" s="1696" t="n"/>
      <c r="N49" s="549" t="n"/>
      <c r="O49" s="551" t="n"/>
      <c r="P49" s="1604" t="n"/>
      <c r="S49" s="87" t="n"/>
    </row>
    <row r="50" ht="15.95" customHeight="1" s="1232">
      <c r="A50" s="1719" t="n"/>
      <c r="B50" s="1733" t="n"/>
      <c r="C50" s="1733" t="n"/>
      <c r="D50" s="1734" t="n"/>
      <c r="E50" s="1646" t="n"/>
      <c r="F50" s="905" t="n"/>
      <c r="G50" s="1721" t="n"/>
      <c r="H50" s="1646" t="n"/>
      <c r="I50" s="1646" t="n"/>
      <c r="J50" s="1646" t="n"/>
      <c r="K50" s="86" t="n"/>
      <c r="M50" s="1696" t="n"/>
      <c r="N50" s="549" t="n"/>
      <c r="O50" s="551" t="n"/>
      <c r="P50" s="1604" t="n"/>
      <c r="S50" s="87" t="n"/>
    </row>
    <row r="51" ht="15.95" customHeight="1" s="1232">
      <c r="A51" s="1719" t="n"/>
      <c r="B51" s="1719" t="n">
        <v>45908</v>
      </c>
      <c r="C51" s="1719" t="n">
        <v>45922</v>
      </c>
      <c r="D51" s="1729" t="inlineStr">
        <is>
          <t>3WK Beginners Course</t>
        </is>
      </c>
      <c r="E51" s="1646" t="inlineStr">
        <is>
          <t>Coventry</t>
        </is>
      </c>
      <c r="F51" s="905" t="inlineStr">
        <is>
          <t>3wks</t>
        </is>
      </c>
      <c r="G51" s="1721" t="n"/>
      <c r="H51" s="1646" t="n">
        <v>150</v>
      </c>
      <c r="I51" s="1646" t="inlineStr">
        <is>
          <t>JLR</t>
        </is>
      </c>
      <c r="J51" s="1646" t="inlineStr">
        <is>
          <t>IIY#3962909142471NDK</t>
        </is>
      </c>
      <c r="K51" s="86" t="n"/>
      <c r="L51" s="1696" t="inlineStr">
        <is>
          <t>Joel Wymer</t>
        </is>
      </c>
      <c r="M51" s="1696" t="n"/>
      <c r="N51" s="549" t="inlineStr">
        <is>
          <t>jwymer@jaguarlandrover.com</t>
        </is>
      </c>
      <c r="O51" s="551" t="n"/>
      <c r="P51" s="1604" t="inlineStr">
        <is>
          <t>07867 375 288</t>
        </is>
      </c>
      <c r="S51" s="87" t="n"/>
    </row>
    <row r="52" ht="15.95" customHeight="1" s="1232">
      <c r="A52" s="1719" t="n"/>
      <c r="B52" s="1719" t="n">
        <v>45908</v>
      </c>
      <c r="C52" s="1719" t="n">
        <v>45922</v>
      </c>
      <c r="D52" s="1729" t="inlineStr">
        <is>
          <t>3WK Beginners Course</t>
        </is>
      </c>
      <c r="E52" s="1646" t="inlineStr">
        <is>
          <t>Coventry</t>
        </is>
      </c>
      <c r="F52" s="905" t="inlineStr">
        <is>
          <t>3wks</t>
        </is>
      </c>
      <c r="G52" s="1721" t="n"/>
      <c r="H52" s="1646" t="n">
        <v>150</v>
      </c>
      <c r="I52" s="1646" t="inlineStr">
        <is>
          <t>JLR</t>
        </is>
      </c>
      <c r="J52" s="1646" t="inlineStr">
        <is>
          <t>IIY#68387487424710jI</t>
        </is>
      </c>
      <c r="K52" s="86" t="n"/>
      <c r="L52" s="1696" t="inlineStr">
        <is>
          <t>Sriram Yarlagadda</t>
        </is>
      </c>
      <c r="M52" s="1696" t="n"/>
      <c r="N52" s="549" t="inlineStr">
        <is>
          <t>syarlag4@jaguarlandrover.com</t>
        </is>
      </c>
      <c r="O52" s="551" t="n"/>
      <c r="P52" s="1604" t="n"/>
      <c r="S52" s="87" t="n"/>
    </row>
    <row r="53" ht="15.95" customHeight="1" s="1232">
      <c r="A53" s="1719" t="n"/>
      <c r="B53" s="1719" t="n">
        <v>45908</v>
      </c>
      <c r="C53" s="1719" t="n">
        <v>45922</v>
      </c>
      <c r="D53" s="1729" t="inlineStr">
        <is>
          <t>3WK Beginners Course</t>
        </is>
      </c>
      <c r="E53" s="1646" t="inlineStr">
        <is>
          <t>Coventry</t>
        </is>
      </c>
      <c r="F53" s="905" t="inlineStr">
        <is>
          <t>3wks</t>
        </is>
      </c>
      <c r="G53" s="1721" t="n"/>
      <c r="H53" s="1646" t="n">
        <v>150</v>
      </c>
      <c r="I53" s="1646" t="inlineStr">
        <is>
          <t>JLR</t>
        </is>
      </c>
      <c r="J53" s="1646" t="inlineStr">
        <is>
          <t>IIY#4542116652471zwM</t>
        </is>
      </c>
      <c r="K53" s="86" t="n"/>
      <c r="L53" s="1696" t="inlineStr">
        <is>
          <t>Shishir Kutumbe</t>
        </is>
      </c>
      <c r="M53" s="1696" t="n"/>
      <c r="N53" s="549" t="inlineStr">
        <is>
          <t>skutumbe@jaguarlandrover.com</t>
        </is>
      </c>
      <c r="O53" s="551" t="n"/>
      <c r="P53" s="1604" t="inlineStr">
        <is>
          <t>07714291597</t>
        </is>
      </c>
      <c r="S53" s="87" t="n"/>
    </row>
    <row r="54" ht="15.95" customHeight="1" s="1232">
      <c r="A54" s="1719" t="n"/>
      <c r="B54" s="1719" t="n">
        <v>45908</v>
      </c>
      <c r="C54" s="1719" t="n">
        <v>45922</v>
      </c>
      <c r="D54" s="1729" t="inlineStr">
        <is>
          <t>3WK Beginners Course</t>
        </is>
      </c>
      <c r="E54" s="1646" t="inlineStr">
        <is>
          <t>Coventry</t>
        </is>
      </c>
      <c r="F54" s="905" t="inlineStr">
        <is>
          <t>3wks</t>
        </is>
      </c>
      <c r="G54" s="1721" t="n"/>
      <c r="H54" s="1646" t="n">
        <v>150</v>
      </c>
      <c r="I54" s="1646" t="inlineStr">
        <is>
          <t>JLR</t>
        </is>
      </c>
      <c r="J54" s="1646" t="inlineStr">
        <is>
          <t>IIY#0796680842471faH</t>
        </is>
      </c>
      <c r="K54" s="86" t="n"/>
      <c r="L54" s="1696" t="inlineStr">
        <is>
          <t>Christopher Murray</t>
        </is>
      </c>
      <c r="M54" s="1696" t="n"/>
      <c r="N54" s="549" t="inlineStr">
        <is>
          <t>cmurray1@jaguarlandrover.com</t>
        </is>
      </c>
      <c r="O54" s="551" t="n"/>
      <c r="P54" s="1604" t="n"/>
      <c r="S54" s="87" t="n"/>
    </row>
    <row r="55" ht="15.95" customHeight="1" s="1232">
      <c r="A55" s="1719" t="n"/>
      <c r="B55" s="1719" t="n"/>
      <c r="C55" s="1719" t="n"/>
      <c r="D55" s="1729" t="n"/>
      <c r="E55" s="1646" t="n"/>
      <c r="F55" s="905" t="n"/>
      <c r="G55" s="1721" t="n"/>
      <c r="H55" s="1646" t="n"/>
      <c r="I55" s="1646" t="n"/>
      <c r="J55" s="1646" t="n"/>
      <c r="K55" s="86" t="n"/>
      <c r="M55" s="1696" t="n"/>
      <c r="N55" s="549" t="n"/>
      <c r="O55" s="551" t="n"/>
      <c r="P55" s="1604" t="n"/>
      <c r="S55" s="87" t="n"/>
    </row>
    <row r="56" ht="15.95" customHeight="1" s="1232">
      <c r="A56" s="1719" t="n"/>
      <c r="B56" s="1719" t="n">
        <v>45911</v>
      </c>
      <c r="C56" s="1719" t="n">
        <v>45925</v>
      </c>
      <c r="D56" s="1729" t="inlineStr">
        <is>
          <t>3WK Beginners Course</t>
        </is>
      </c>
      <c r="E56" s="1646" t="inlineStr">
        <is>
          <t>Coventry</t>
        </is>
      </c>
      <c r="F56" s="905" t="inlineStr">
        <is>
          <t>3wks</t>
        </is>
      </c>
      <c r="G56" s="1721" t="n"/>
      <c r="H56" s="1646" t="n">
        <v>150</v>
      </c>
      <c r="I56" s="1646" t="inlineStr">
        <is>
          <t>JLR</t>
        </is>
      </c>
      <c r="J56" s="1646" t="inlineStr">
        <is>
          <t>IIY#07887863434717s6</t>
        </is>
      </c>
      <c r="L56" s="1696" t="inlineStr">
        <is>
          <t>Britt Van Zeeland</t>
        </is>
      </c>
      <c r="M56" s="1696" t="n"/>
      <c r="N56" s="1177" t="inlineStr">
        <is>
          <t>bvanzeel@jaguarlandrover.com</t>
        </is>
      </c>
      <c r="O56" s="551" t="n"/>
      <c r="P56" s="1604" t="n"/>
      <c r="S56" s="87" t="n"/>
    </row>
    <row r="57" ht="15.95" customHeight="1" s="1232">
      <c r="A57" s="1719" t="n"/>
      <c r="B57" s="1719" t="n">
        <v>45911</v>
      </c>
      <c r="C57" s="1719" t="n">
        <v>45925</v>
      </c>
      <c r="D57" s="1729" t="inlineStr">
        <is>
          <t>3WK Beginners Course</t>
        </is>
      </c>
      <c r="E57" s="1646" t="inlineStr">
        <is>
          <t>Coventry</t>
        </is>
      </c>
      <c r="F57" s="905" t="inlineStr">
        <is>
          <t>3wks</t>
        </is>
      </c>
      <c r="G57" s="1721" t="n"/>
      <c r="H57" s="1646" t="n">
        <v>150</v>
      </c>
      <c r="I57" s="1646" t="inlineStr">
        <is>
          <t>JLR</t>
        </is>
      </c>
      <c r="J57" s="1646" t="inlineStr">
        <is>
          <t>IIY#3553765443471X2k</t>
        </is>
      </c>
      <c r="K57" s="86" t="n"/>
      <c r="L57" s="1696" t="inlineStr">
        <is>
          <t>KrishnaKumar Kuttan</t>
        </is>
      </c>
      <c r="N57" s="1735" t="inlineStr">
        <is>
          <t>kkuttan@jaguarlandrover.com</t>
        </is>
      </c>
      <c r="O57" s="551" t="n"/>
      <c r="P57" s="1604" t="n"/>
      <c r="S57" s="87" t="n"/>
    </row>
    <row r="58" ht="15.95" customHeight="1" s="1232">
      <c r="A58" s="1719" t="n"/>
      <c r="B58" s="1719" t="n">
        <v>45911</v>
      </c>
      <c r="C58" s="1719" t="n">
        <v>45925</v>
      </c>
      <c r="D58" s="1729" t="inlineStr">
        <is>
          <t>3WK Beginners Course</t>
        </is>
      </c>
      <c r="E58" s="1646" t="inlineStr">
        <is>
          <t>Coventry</t>
        </is>
      </c>
      <c r="F58" s="905" t="inlineStr">
        <is>
          <t>3wks</t>
        </is>
      </c>
      <c r="G58" s="1721" t="n">
        <v>150</v>
      </c>
      <c r="H58" s="1646" t="n"/>
      <c r="I58" s="1646" t="inlineStr">
        <is>
          <t>Google</t>
        </is>
      </c>
      <c r="J58" s="1646" t="inlineStr">
        <is>
          <t>#03001</t>
        </is>
      </c>
      <c r="K58" s="86" t="n"/>
      <c r="L58" s="1696" t="inlineStr">
        <is>
          <t>Catherine</t>
        </is>
      </c>
      <c r="M58" s="1607" t="inlineStr">
        <is>
          <t>Harris</t>
        </is>
      </c>
      <c r="N58" s="549" t="inlineStr">
        <is>
          <t>cat_nufc@hotmail.com</t>
        </is>
      </c>
      <c r="O58" s="551" t="inlineStr">
        <is>
          <t>35</t>
        </is>
      </c>
      <c r="P58" s="1604" t="inlineStr">
        <is>
          <t>07469975744</t>
        </is>
      </c>
      <c r="S58" s="87" t="n"/>
    </row>
    <row r="59" ht="15.95" customHeight="1" s="1232">
      <c r="A59" s="1719" t="n"/>
      <c r="B59" s="1719" t="n">
        <v>45911</v>
      </c>
      <c r="C59" s="1719" t="n">
        <v>45925</v>
      </c>
      <c r="D59" s="1729" t="inlineStr">
        <is>
          <t>3WK Beginners Course</t>
        </is>
      </c>
      <c r="E59" s="1646" t="inlineStr">
        <is>
          <t>Coventry</t>
        </is>
      </c>
      <c r="F59" s="905" t="inlineStr">
        <is>
          <t>3wks</t>
        </is>
      </c>
      <c r="G59" s="1721" t="n">
        <v>150</v>
      </c>
      <c r="H59" s="1646" t="n"/>
      <c r="I59" s="1646" t="inlineStr">
        <is>
          <t>Google</t>
        </is>
      </c>
      <c r="J59" s="1646" t="inlineStr">
        <is>
          <t>#03038</t>
        </is>
      </c>
      <c r="K59" s="86" t="n"/>
      <c r="L59" s="1696" t="inlineStr">
        <is>
          <t>Chengetai Clifford</t>
        </is>
      </c>
      <c r="M59" s="1696" t="inlineStr">
        <is>
          <t>Katsande</t>
        </is>
      </c>
      <c r="N59" s="549" t="inlineStr">
        <is>
          <t>CliffordKatsande@yahoo.com</t>
        </is>
      </c>
      <c r="O59" s="551" t="inlineStr">
        <is>
          <t>19</t>
        </is>
      </c>
      <c r="P59" s="1604" t="inlineStr">
        <is>
          <t>07958560094</t>
        </is>
      </c>
      <c r="S59" s="87" t="n"/>
    </row>
    <row r="60" ht="15.95" customHeight="1" s="1232">
      <c r="A60" s="1719" t="n"/>
      <c r="B60" s="1719" t="n"/>
      <c r="C60" s="1719" t="n"/>
      <c r="D60" s="1729" t="n"/>
      <c r="E60" s="1646" t="n"/>
      <c r="F60" s="905" t="n"/>
      <c r="G60" s="1721" t="n"/>
      <c r="H60" s="1646" t="n"/>
      <c r="I60" s="1646" t="n"/>
      <c r="J60" s="1646" t="n"/>
      <c r="K60" s="86" t="n"/>
      <c r="M60" s="1696" t="n"/>
      <c r="N60" s="549" t="n"/>
      <c r="O60" s="551" t="n"/>
      <c r="P60" s="1604" t="n"/>
      <c r="S60" s="87" t="n"/>
    </row>
    <row r="61" ht="15.95" customHeight="1" s="1232">
      <c r="A61" s="1719" t="n"/>
      <c r="B61" s="1719" t="n">
        <v>45932</v>
      </c>
      <c r="C61" s="1719" t="n">
        <v>45946</v>
      </c>
      <c r="D61" s="1729" t="inlineStr">
        <is>
          <t>3WK Beginners Course</t>
        </is>
      </c>
      <c r="E61" s="1646" t="inlineStr">
        <is>
          <t>Coventry</t>
        </is>
      </c>
      <c r="F61" s="905" t="inlineStr">
        <is>
          <t>3wks</t>
        </is>
      </c>
      <c r="G61" s="1721" t="n"/>
      <c r="H61" s="1646" t="n">
        <v>150</v>
      </c>
      <c r="I61" s="1646" t="inlineStr">
        <is>
          <t>JLR</t>
        </is>
      </c>
      <c r="J61" s="1646" t="inlineStr">
        <is>
          <t>IIY#4049880282471dvq</t>
        </is>
      </c>
      <c r="K61" s="86" t="n"/>
      <c r="L61" s="1696" t="inlineStr">
        <is>
          <t>Ergin Tasdelen</t>
        </is>
      </c>
      <c r="M61" s="1696" t="n"/>
      <c r="N61" s="549" t="inlineStr">
        <is>
          <t>etasdele@jaguarlandrover.com</t>
        </is>
      </c>
      <c r="O61" s="551" t="n"/>
      <c r="P61" s="1604" t="inlineStr">
        <is>
          <t>07469043497</t>
        </is>
      </c>
      <c r="S61" s="87" t="n"/>
    </row>
    <row r="62" ht="15.95" customHeight="1" s="1232">
      <c r="A62" s="1719" t="n"/>
      <c r="B62" s="1718" t="n">
        <v>45932</v>
      </c>
      <c r="C62" s="1718" t="n">
        <v>45946</v>
      </c>
      <c r="D62" s="1730" t="inlineStr">
        <is>
          <t>3WK Beginners Course</t>
        </is>
      </c>
      <c r="E62" s="1643" t="inlineStr">
        <is>
          <t>Coventry</t>
        </is>
      </c>
      <c r="F62" s="1107" t="inlineStr">
        <is>
          <t>3wks</t>
        </is>
      </c>
      <c r="G62" s="1736" t="n"/>
      <c r="H62" s="1643" t="n">
        <v>150</v>
      </c>
      <c r="I62" s="1643" t="inlineStr">
        <is>
          <t>JLR</t>
        </is>
      </c>
      <c r="J62" s="1643" t="inlineStr">
        <is>
          <t>IIY#7792819582471KRP</t>
        </is>
      </c>
      <c r="K62" s="877" t="n"/>
      <c r="L62" s="1645" t="inlineStr">
        <is>
          <t>Naushad Ali Solanki</t>
        </is>
      </c>
      <c r="M62" s="1645" t="n"/>
      <c r="N62" s="549" t="inlineStr">
        <is>
          <t>nsolank2@jaguarlandrover.com</t>
        </is>
      </c>
      <c r="O62" s="551" t="n"/>
      <c r="P62" s="1604" t="n"/>
      <c r="S62" s="87" t="n"/>
    </row>
    <row r="63" ht="15.95" customHeight="1" s="1232">
      <c r="A63" s="1719" t="n"/>
      <c r="B63" s="1719" t="n">
        <v>45932</v>
      </c>
      <c r="C63" s="1719" t="n">
        <v>45946</v>
      </c>
      <c r="D63" s="1729" t="inlineStr">
        <is>
          <t>3WK Beginners Course</t>
        </is>
      </c>
      <c r="E63" s="1646" t="inlineStr">
        <is>
          <t>Coventry</t>
        </is>
      </c>
      <c r="F63" s="905" t="inlineStr">
        <is>
          <t>3wks</t>
        </is>
      </c>
      <c r="G63" s="1721" t="n"/>
      <c r="H63" s="1646" t="n">
        <v>150</v>
      </c>
      <c r="I63" s="1646" t="inlineStr">
        <is>
          <t>JLR</t>
        </is>
      </c>
      <c r="J63" s="1646" t="inlineStr">
        <is>
          <t>IIY#91554410034718Cq</t>
        </is>
      </c>
      <c r="K63" s="86" t="n"/>
      <c r="L63" s="1696" t="inlineStr">
        <is>
          <t>Murali Mohan Suryanarayana</t>
        </is>
      </c>
      <c r="M63" s="1696" t="n"/>
      <c r="N63" s="549" t="inlineStr">
        <is>
          <t>msuryan1@jaguarlandrover.com</t>
        </is>
      </c>
      <c r="O63" s="551" t="n"/>
      <c r="P63" s="1604" t="n"/>
      <c r="S63" s="87" t="n"/>
    </row>
    <row r="64" ht="15.95" customHeight="1" s="1232">
      <c r="A64" s="1719" t="n"/>
      <c r="B64" s="1719" t="n">
        <v>45932</v>
      </c>
      <c r="C64" s="1719" t="n">
        <v>45946</v>
      </c>
      <c r="D64" s="1729" t="inlineStr">
        <is>
          <t>3WK Beginners Course</t>
        </is>
      </c>
      <c r="E64" s="1646" t="inlineStr">
        <is>
          <t>Coventry</t>
        </is>
      </c>
      <c r="F64" s="905" t="inlineStr">
        <is>
          <t>3wks</t>
        </is>
      </c>
      <c r="G64" s="1721" t="n"/>
      <c r="H64" s="1646" t="n">
        <v>150</v>
      </c>
      <c r="I64" s="1646" t="inlineStr">
        <is>
          <t>JLR</t>
        </is>
      </c>
      <c r="J64" s="1646" t="inlineStr">
        <is>
          <t>IIY#1735343713471DzY</t>
        </is>
      </c>
      <c r="K64" s="86" t="n"/>
      <c r="L64" s="1696" t="inlineStr">
        <is>
          <t>Craig Gedrim</t>
        </is>
      </c>
      <c r="M64" s="1696" t="n"/>
      <c r="N64" s="549" t="inlineStr">
        <is>
          <t>cgedrim@jaguarlandrover.com</t>
        </is>
      </c>
      <c r="O64" s="551" t="n"/>
      <c r="P64" s="1604" t="n"/>
      <c r="S64" s="87" t="n"/>
    </row>
    <row r="65" ht="15.95" customHeight="1" s="1232">
      <c r="A65" s="1719" t="n"/>
      <c r="B65" s="1719" t="n"/>
      <c r="C65" s="1719" t="n"/>
      <c r="D65" s="1720" t="n"/>
      <c r="E65" s="1646" t="n"/>
      <c r="F65" s="905" t="n"/>
      <c r="G65" s="1721" t="n"/>
      <c r="H65" s="1646" t="n"/>
      <c r="I65" s="1646" t="n"/>
      <c r="J65" s="1646" t="n"/>
      <c r="K65" s="86" t="n"/>
      <c r="M65" s="1696" t="n"/>
      <c r="N65" s="549" t="n"/>
      <c r="O65" s="551" t="n"/>
      <c r="P65" s="1604" t="n"/>
      <c r="S65" s="87" t="n"/>
    </row>
    <row r="66" ht="15.95" customHeight="1" s="1232">
      <c r="A66" s="1719" t="n"/>
      <c r="B66" s="1719" t="n">
        <v>45936</v>
      </c>
      <c r="C66" s="1719" t="n">
        <v>45950</v>
      </c>
      <c r="D66" s="1729" t="inlineStr">
        <is>
          <t>3WK Beginners Course</t>
        </is>
      </c>
      <c r="E66" s="1646" t="inlineStr">
        <is>
          <t>Coventry</t>
        </is>
      </c>
      <c r="F66" s="905" t="inlineStr">
        <is>
          <t>3wks</t>
        </is>
      </c>
      <c r="G66" s="1721" t="n"/>
      <c r="H66" s="1646" t="n">
        <v>150</v>
      </c>
      <c r="I66" s="1646" t="inlineStr">
        <is>
          <t>Goolge</t>
        </is>
      </c>
      <c r="J66" s="1646" t="inlineStr">
        <is>
          <t>#03028</t>
        </is>
      </c>
      <c r="K66" s="86" t="n"/>
      <c r="L66" s="1607" t="inlineStr">
        <is>
          <t>Yumna</t>
        </is>
      </c>
      <c r="M66" s="1696" t="inlineStr">
        <is>
          <t xml:space="preserve"> Iqbal</t>
        </is>
      </c>
      <c r="N66" s="549" t="inlineStr">
        <is>
          <t>yumnaiqbal12@gmail.com</t>
        </is>
      </c>
      <c r="O66" s="551" t="inlineStr">
        <is>
          <t>32</t>
        </is>
      </c>
      <c r="P66" s="1604" t="inlineStr">
        <is>
          <t>07767981555</t>
        </is>
      </c>
      <c r="S66" s="87" t="n"/>
    </row>
    <row r="67" ht="15.95" customHeight="1" s="1232">
      <c r="A67" s="1719" t="n"/>
      <c r="B67" s="1719" t="n">
        <v>45936</v>
      </c>
      <c r="C67" s="1719" t="n">
        <v>45950</v>
      </c>
      <c r="D67" s="1729" t="inlineStr">
        <is>
          <t>3WK Beginners Course</t>
        </is>
      </c>
      <c r="E67" s="1646" t="inlineStr">
        <is>
          <t>Coventry</t>
        </is>
      </c>
      <c r="F67" s="905" t="inlineStr">
        <is>
          <t>3wks</t>
        </is>
      </c>
      <c r="G67" s="1721" t="n">
        <v>150</v>
      </c>
      <c r="H67" s="1646" t="n">
        <v>0</v>
      </c>
      <c r="I67" s="1646" t="inlineStr">
        <is>
          <t>Goolge</t>
        </is>
      </c>
      <c r="J67" s="1646" t="inlineStr">
        <is>
          <t>#02572</t>
        </is>
      </c>
      <c r="K67" s="86" t="inlineStr">
        <is>
          <t>Mr</t>
        </is>
      </c>
      <c r="L67" s="1607" t="inlineStr">
        <is>
          <t>John</t>
        </is>
      </c>
      <c r="M67" s="1607" t="inlineStr">
        <is>
          <t>Wilson</t>
        </is>
      </c>
      <c r="N67" s="549" t="inlineStr">
        <is>
          <t xml:space="preserve">info@atmos.productions </t>
        </is>
      </c>
      <c r="O67" s="551" t="n"/>
      <c r="P67" s="1604" t="inlineStr">
        <is>
          <t>07946821466</t>
        </is>
      </c>
      <c r="S67" s="87" t="n"/>
    </row>
    <row r="68" ht="15.95" customHeight="1" s="1232">
      <c r="A68" s="1719" t="n"/>
      <c r="B68" s="1719" t="n">
        <v>45936</v>
      </c>
      <c r="C68" s="1719" t="n">
        <v>45950</v>
      </c>
      <c r="D68" s="1729" t="inlineStr">
        <is>
          <t>3WK Beginners Course</t>
        </is>
      </c>
      <c r="E68" s="1646" t="inlineStr">
        <is>
          <t>Coventry</t>
        </is>
      </c>
      <c r="F68" s="905" t="inlineStr">
        <is>
          <t>3wks</t>
        </is>
      </c>
      <c r="G68" s="1721" t="n">
        <v>150</v>
      </c>
      <c r="H68" s="1646" t="n">
        <v>0</v>
      </c>
      <c r="I68" s="1646" t="inlineStr">
        <is>
          <t>Goolge</t>
        </is>
      </c>
      <c r="J68" s="1646" t="inlineStr">
        <is>
          <t>#03042</t>
        </is>
      </c>
      <c r="K68" s="86" t="inlineStr">
        <is>
          <t>Ms</t>
        </is>
      </c>
      <c r="L68" s="1607" t="inlineStr">
        <is>
          <t>Dianne</t>
        </is>
      </c>
      <c r="M68" s="1607" t="inlineStr">
        <is>
          <t>Morgan</t>
        </is>
      </c>
      <c r="N68" s="549" t="inlineStr">
        <is>
          <t xml:space="preserve">diannemorgan1000@gmail.com </t>
        </is>
      </c>
      <c r="O68" s="551" t="inlineStr">
        <is>
          <t>59</t>
        </is>
      </c>
      <c r="P68" s="1604" t="inlineStr">
        <is>
          <t>07854367856</t>
        </is>
      </c>
      <c r="Q68" s="1697" t="inlineStr">
        <is>
          <t>CV327HJ</t>
        </is>
      </c>
      <c r="S68" s="87" t="n"/>
    </row>
    <row r="69" ht="15.95" customHeight="1" s="1232">
      <c r="A69" s="1719" t="n"/>
      <c r="B69" s="1719" t="n">
        <v>45936</v>
      </c>
      <c r="C69" s="1719" t="n">
        <v>45950</v>
      </c>
      <c r="D69" s="1729" t="inlineStr">
        <is>
          <t>3WK Beginners Course</t>
        </is>
      </c>
      <c r="E69" s="1646" t="inlineStr">
        <is>
          <t>Coventry</t>
        </is>
      </c>
      <c r="F69" s="905" t="inlineStr">
        <is>
          <t>3wks</t>
        </is>
      </c>
      <c r="G69" s="1721" t="n"/>
      <c r="H69" s="1646" t="n">
        <v>150</v>
      </c>
      <c r="I69" s="1646" t="inlineStr">
        <is>
          <t>JLR</t>
        </is>
      </c>
      <c r="J69" s="1646" t="inlineStr">
        <is>
          <t>IIY#3049932194571n9k</t>
        </is>
      </c>
      <c r="K69" s="86" t="n"/>
      <c r="L69" s="1696" t="inlineStr">
        <is>
          <t>Billie Whyte</t>
        </is>
      </c>
      <c r="N69" s="549" t="inlineStr">
        <is>
          <t>bwhyte2@jaguarlandrover.com</t>
        </is>
      </c>
      <c r="O69" s="551" t="n"/>
      <c r="P69" s="1604" t="inlineStr">
        <is>
          <t>07891930649</t>
        </is>
      </c>
      <c r="Q69" s="1374" t="inlineStr">
        <is>
          <t>whyteb2010@aol.co.uk</t>
        </is>
      </c>
      <c r="S69" s="87" t="n"/>
    </row>
    <row r="70" ht="15.95" customHeight="1" s="1232">
      <c r="A70" s="1719" t="n"/>
      <c r="B70" s="1719" t="n"/>
      <c r="C70" s="1719" t="n"/>
      <c r="D70" s="1720" t="n"/>
      <c r="E70" s="1646" t="n"/>
      <c r="F70" s="905" t="n"/>
      <c r="G70" s="1721" t="n"/>
      <c r="H70" s="1646" t="n"/>
      <c r="I70" s="1646" t="n"/>
      <c r="J70" s="1646" t="n"/>
      <c r="K70" s="86" t="n"/>
      <c r="M70" s="1696" t="n"/>
      <c r="N70" s="549" t="n"/>
      <c r="O70" s="551" t="n"/>
      <c r="P70" s="1604" t="n"/>
      <c r="S70" s="87" t="n"/>
    </row>
    <row r="71" ht="15.95" customHeight="1" s="1232">
      <c r="A71" s="1719" t="n"/>
      <c r="B71" s="1719" t="n"/>
      <c r="C71" s="1719" t="n"/>
      <c r="D71" s="1720" t="n"/>
      <c r="E71" s="1646" t="n"/>
      <c r="F71" s="905" t="n"/>
      <c r="G71" s="1721" t="n"/>
      <c r="H71" s="1646" t="n"/>
      <c r="I71" s="1646" t="n"/>
      <c r="J71" s="1646" t="n"/>
      <c r="K71" s="86" t="n"/>
      <c r="M71" s="1696" t="n"/>
      <c r="N71" s="549" t="n"/>
      <c r="O71" s="551" t="n"/>
      <c r="P71" s="1604" t="n"/>
      <c r="S71" s="87" t="n"/>
    </row>
    <row r="72" ht="15" customHeight="1" s="1232">
      <c r="A72" s="1719" t="inlineStr">
        <is>
          <t>cancelled 3rd Nov</t>
        </is>
      </c>
      <c r="B72" s="1718" t="n">
        <v>45964</v>
      </c>
      <c r="C72" s="1718">
        <f>B72+21</f>
        <v/>
      </c>
      <c r="D72" s="1729" t="inlineStr">
        <is>
          <t>3WK Beginners Course</t>
        </is>
      </c>
      <c r="E72" s="1646" t="inlineStr">
        <is>
          <t>Coventry</t>
        </is>
      </c>
      <c r="F72" s="905" t="inlineStr">
        <is>
          <t>3wks</t>
        </is>
      </c>
      <c r="G72" s="1721" t="n"/>
      <c r="H72" s="1646" t="n">
        <v>150</v>
      </c>
      <c r="I72" s="1646" t="inlineStr">
        <is>
          <t>JLR</t>
        </is>
      </c>
      <c r="J72" s="1646" t="inlineStr">
        <is>
          <t>IIY#7756327143471GDx</t>
        </is>
      </c>
      <c r="K72" s="86" t="n"/>
      <c r="L72" s="1696" t="inlineStr">
        <is>
          <t>Siddharth Patil</t>
        </is>
      </c>
      <c r="M72" s="1696" t="n"/>
      <c r="N72" s="549" t="inlineStr">
        <is>
          <t>spati145@jaguarlandrover.com</t>
        </is>
      </c>
      <c r="O72" s="551" t="n"/>
      <c r="P72" s="1604" t="inlineStr">
        <is>
          <t>07510923740</t>
        </is>
      </c>
      <c r="S72" s="87" t="n"/>
    </row>
    <row r="73" ht="15.95" customHeight="1" s="1232">
      <c r="A73" s="1719" t="inlineStr">
        <is>
          <t>cancelled 3rd Nov, illness, needs to pay £50 admin fee to rebook</t>
        </is>
      </c>
      <c r="B73" s="1718" t="n">
        <v>45964</v>
      </c>
      <c r="C73" s="1718">
        <f>B73+21</f>
        <v/>
      </c>
      <c r="D73" s="1729" t="inlineStr">
        <is>
          <t>3WK Beginners Course</t>
        </is>
      </c>
      <c r="E73" s="1646" t="inlineStr">
        <is>
          <t>Coventry</t>
        </is>
      </c>
      <c r="F73" s="905" t="inlineStr">
        <is>
          <t>3wks</t>
        </is>
      </c>
      <c r="G73" s="1721" t="n"/>
      <c r="H73" s="1646" t="n">
        <v>150</v>
      </c>
      <c r="I73" s="1646" t="inlineStr">
        <is>
          <t>Into The Blue</t>
        </is>
      </c>
      <c r="J73" s="1707" t="inlineStr">
        <is>
          <t>2510030121</t>
        </is>
      </c>
      <c r="K73" s="86" t="n"/>
      <c r="L73" s="1607" t="inlineStr">
        <is>
          <t>John Evans</t>
        </is>
      </c>
      <c r="M73" s="1696" t="n"/>
      <c r="N73" s="1190" t="inlineStr">
        <is>
          <t xml:space="preserve"> jonnevs1966@gmail.com</t>
        </is>
      </c>
      <c r="O73" s="551" t="n"/>
      <c r="P73" s="1604" t="inlineStr">
        <is>
          <t>07783928974</t>
        </is>
      </c>
      <c r="S73" s="87" t="n"/>
    </row>
    <row r="74" ht="15.95" customHeight="1" s="1232">
      <c r="A74" s="1719" t="n"/>
      <c r="B74" s="1719" t="n">
        <v>45964</v>
      </c>
      <c r="C74" s="1719">
        <f>B74+21</f>
        <v/>
      </c>
      <c r="D74" s="1729" t="inlineStr">
        <is>
          <t>3WK Beginners Course</t>
        </is>
      </c>
      <c r="E74" s="1646" t="inlineStr">
        <is>
          <t>Coventry</t>
        </is>
      </c>
      <c r="F74" s="905" t="inlineStr">
        <is>
          <t>3wks</t>
        </is>
      </c>
      <c r="G74" s="1721" t="n"/>
      <c r="H74" s="1646" t="n">
        <v>150</v>
      </c>
      <c r="I74" s="1646" t="inlineStr">
        <is>
          <t>Google</t>
        </is>
      </c>
      <c r="J74" s="1707" t="inlineStr">
        <is>
          <t>#03142</t>
        </is>
      </c>
      <c r="K74" s="86" t="inlineStr">
        <is>
          <t>Ms</t>
        </is>
      </c>
      <c r="L74" s="1607" t="inlineStr">
        <is>
          <t>Laura</t>
        </is>
      </c>
      <c r="M74" s="1607" t="inlineStr">
        <is>
          <t>Simpson</t>
        </is>
      </c>
      <c r="N74" s="1190" t="inlineStr">
        <is>
          <t xml:space="preserve">laura.las.simpson@gmail.com </t>
        </is>
      </c>
      <c r="O74" s="551" t="inlineStr">
        <is>
          <t>28</t>
        </is>
      </c>
      <c r="P74" s="1604" t="inlineStr">
        <is>
          <t>07786566877</t>
        </is>
      </c>
      <c r="S74" s="87" t="n"/>
    </row>
    <row r="75" ht="15.95" customHeight="1" s="1232">
      <c r="A75" s="1719" t="n"/>
      <c r="B75" s="1719" t="n">
        <v>45964</v>
      </c>
      <c r="C75" s="1719">
        <f>B75+21</f>
        <v/>
      </c>
      <c r="D75" s="1729" t="inlineStr">
        <is>
          <t>3WK Beginners Course</t>
        </is>
      </c>
      <c r="E75" s="1646" t="inlineStr">
        <is>
          <t>Coventry</t>
        </is>
      </c>
      <c r="F75" s="905" t="inlineStr">
        <is>
          <t>3wks</t>
        </is>
      </c>
      <c r="G75" s="1721" t="n"/>
      <c r="H75" s="1646" t="n">
        <v>150</v>
      </c>
      <c r="I75" s="1646" t="inlineStr">
        <is>
          <t>Google</t>
        </is>
      </c>
      <c r="J75" s="1707" t="inlineStr">
        <is>
          <t>#03142</t>
        </is>
      </c>
      <c r="K75" s="86" t="inlineStr">
        <is>
          <t>Ms</t>
        </is>
      </c>
      <c r="L75" s="1607" t="inlineStr">
        <is>
          <t>Laura</t>
        </is>
      </c>
      <c r="M75" s="1607" t="inlineStr">
        <is>
          <t>Simpson</t>
        </is>
      </c>
      <c r="N75" s="1190" t="inlineStr">
        <is>
          <t xml:space="preserve">laura.las.simpson@gmail.com </t>
        </is>
      </c>
      <c r="O75" s="551" t="inlineStr">
        <is>
          <t>28</t>
        </is>
      </c>
      <c r="P75" s="1604" t="inlineStr">
        <is>
          <t>07786566877</t>
        </is>
      </c>
      <c r="S75" s="87" t="n"/>
    </row>
    <row r="76" ht="15.95" customHeight="1" s="1232">
      <c r="A76" s="1719" t="n"/>
      <c r="B76" s="1719" t="n"/>
      <c r="C76" s="1719" t="n"/>
      <c r="D76" s="1720" t="n"/>
      <c r="E76" s="1646" t="n"/>
      <c r="F76" s="905" t="n"/>
      <c r="G76" s="1721" t="n"/>
      <c r="H76" s="1646" t="n"/>
      <c r="I76" s="1646" t="n"/>
      <c r="J76" s="1646" t="n"/>
      <c r="K76" s="86" t="n"/>
      <c r="M76" s="1696" t="n"/>
      <c r="N76" s="549" t="n"/>
      <c r="O76" s="551" t="n"/>
      <c r="P76" s="1604" t="n"/>
      <c r="S76" s="87" t="n"/>
    </row>
    <row r="77" ht="15.95" customHeight="1" s="1232">
      <c r="A77" s="1719" t="n"/>
      <c r="B77" s="1719" t="n">
        <v>45993</v>
      </c>
      <c r="C77" s="1719" t="n">
        <v>46007</v>
      </c>
      <c r="D77" s="1729" t="inlineStr">
        <is>
          <t>3WK Beginners Course</t>
        </is>
      </c>
      <c r="E77" s="1646" t="inlineStr">
        <is>
          <t>Coventry</t>
        </is>
      </c>
      <c r="F77" s="905" t="inlineStr">
        <is>
          <t>3wks</t>
        </is>
      </c>
      <c r="G77" s="1721" t="n"/>
      <c r="H77" s="1646" t="n">
        <v>150</v>
      </c>
      <c r="I77" s="1646" t="inlineStr">
        <is>
          <t>Google</t>
        </is>
      </c>
      <c r="J77" s="1646" t="inlineStr">
        <is>
          <t>#03154</t>
        </is>
      </c>
      <c r="K77" s="86" t="n"/>
      <c r="L77" s="1696" t="inlineStr">
        <is>
          <t>Gregory Ford</t>
        </is>
      </c>
      <c r="M77" s="1696" t="n"/>
      <c r="N77" s="549" t="inlineStr">
        <is>
          <t xml:space="preserve">gr3gory.ford@gmail.com </t>
        </is>
      </c>
      <c r="O77" s="551" t="inlineStr">
        <is>
          <t>64</t>
        </is>
      </c>
      <c r="P77" s="1604" t="inlineStr">
        <is>
          <t>07878463385</t>
        </is>
      </c>
      <c r="S77" s="87" t="n"/>
    </row>
    <row r="78" ht="15.95" customHeight="1" s="1232">
      <c r="A78" s="1722" t="n"/>
      <c r="B78" s="1722" t="n"/>
      <c r="C78" s="1722" t="n"/>
      <c r="D78" s="1723" t="n"/>
      <c r="E78" s="1724" t="n"/>
      <c r="F78" s="1030" t="n"/>
      <c r="G78" s="1725" t="n"/>
      <c r="H78" s="1724" t="n"/>
      <c r="I78" s="1724" t="n"/>
      <c r="J78" s="1724" t="n"/>
      <c r="K78" s="880" t="n"/>
      <c r="L78" s="1737" t="n"/>
      <c r="M78" s="1737" t="n"/>
      <c r="N78" s="721" t="n"/>
      <c r="O78" s="722" t="n"/>
      <c r="P78" s="1727" t="n"/>
      <c r="Q78" s="1728" t="n"/>
      <c r="R78" s="1728" t="n"/>
      <c r="S78" s="879" t="n"/>
    </row>
    <row r="79" ht="15.95" customHeight="1" s="1232">
      <c r="A79" s="1719" t="n"/>
      <c r="B79" s="1719" t="n">
        <v>46028</v>
      </c>
      <c r="C79" s="1719" t="n">
        <v>46042</v>
      </c>
      <c r="D79" s="1729" t="inlineStr">
        <is>
          <t>3WK Beginners Course</t>
        </is>
      </c>
      <c r="E79" s="1646" t="inlineStr">
        <is>
          <t>Coventry</t>
        </is>
      </c>
      <c r="F79" s="905" t="inlineStr">
        <is>
          <t>3wks</t>
        </is>
      </c>
      <c r="G79" s="1721" t="n"/>
      <c r="H79" s="1646" t="n">
        <v>150</v>
      </c>
      <c r="I79" s="1646" t="inlineStr">
        <is>
          <t>Google</t>
        </is>
      </c>
      <c r="J79" s="1646" t="inlineStr">
        <is>
          <t>#03163</t>
        </is>
      </c>
      <c r="K79" s="86" t="n"/>
      <c r="L79" s="1696" t="inlineStr">
        <is>
          <t>Susan Rollason</t>
        </is>
      </c>
      <c r="M79" s="1696" t="n"/>
      <c r="N79" s="549" t="inlineStr">
        <is>
          <t>susan.rollason@btinternet.com</t>
        </is>
      </c>
      <c r="O79" s="551" t="inlineStr">
        <is>
          <t>50</t>
        </is>
      </c>
      <c r="P79" s="1604" t="inlineStr">
        <is>
          <t>07403593471</t>
        </is>
      </c>
      <c r="S79" s="87" t="n"/>
    </row>
    <row r="80" ht="15.95" customHeight="1" s="1232">
      <c r="A80" s="1719" t="n"/>
      <c r="B80" s="1719" t="n">
        <v>46028</v>
      </c>
      <c r="C80" s="1719" t="n">
        <v>46042</v>
      </c>
      <c r="D80" s="1729" t="inlineStr">
        <is>
          <t>3WK Beginners Course</t>
        </is>
      </c>
      <c r="E80" s="1646" t="inlineStr">
        <is>
          <t>Coventry</t>
        </is>
      </c>
      <c r="F80" s="905" t="inlineStr">
        <is>
          <t>3wks</t>
        </is>
      </c>
      <c r="G80" s="1721" t="n"/>
      <c r="H80" s="1646" t="n">
        <v>150</v>
      </c>
      <c r="I80" s="1646" t="inlineStr">
        <is>
          <t>Google</t>
        </is>
      </c>
      <c r="J80" s="1646" t="inlineStr">
        <is>
          <t>#03171</t>
        </is>
      </c>
      <c r="K80" s="86" t="n"/>
      <c r="L80" s="1607" t="inlineStr">
        <is>
          <t>Debra Moffat</t>
        </is>
      </c>
      <c r="M80" s="1696" t="n"/>
      <c r="N80" s="549" t="inlineStr">
        <is>
          <t>debmoffs@icloud.com</t>
        </is>
      </c>
      <c r="O80" s="551" t="inlineStr">
        <is>
          <t>63</t>
        </is>
      </c>
      <c r="P80" s="1604" t="inlineStr">
        <is>
          <t>07943503380</t>
        </is>
      </c>
      <c r="S80" s="87" t="n"/>
    </row>
    <row r="81" ht="15.95" customHeight="1" s="1232">
      <c r="A81" s="1719" t="n"/>
      <c r="B81" s="1719" t="n">
        <v>46028</v>
      </c>
      <c r="C81" s="1719" t="n">
        <v>46042</v>
      </c>
      <c r="D81" s="1729" t="inlineStr">
        <is>
          <t>3WK Beginners Course</t>
        </is>
      </c>
      <c r="E81" s="1646" t="inlineStr">
        <is>
          <t>Coventry</t>
        </is>
      </c>
      <c r="F81" s="905" t="inlineStr">
        <is>
          <t>3wks</t>
        </is>
      </c>
      <c r="G81" s="1721" t="n"/>
      <c r="H81" s="1646" t="n">
        <v>120</v>
      </c>
      <c r="I81" s="1646" t="inlineStr">
        <is>
          <t>Into the blue</t>
        </is>
      </c>
      <c r="J81" s="1707" t="inlineStr">
        <is>
          <t xml:space="preserve">2512092621 </t>
        </is>
      </c>
      <c r="K81" s="86" t="inlineStr">
        <is>
          <t>Ms</t>
        </is>
      </c>
      <c r="L81" s="1696" t="inlineStr">
        <is>
          <t>Marie</t>
        </is>
      </c>
      <c r="M81" s="1696" t="inlineStr">
        <is>
          <t>Rushworth</t>
        </is>
      </c>
      <c r="N81" s="767" t="inlineStr">
        <is>
          <t>Marie.Rushworth.1@warwick.ac.uk</t>
        </is>
      </c>
      <c r="O81" s="551" t="n"/>
      <c r="P81" s="1604" t="inlineStr">
        <is>
          <t>07984598960</t>
        </is>
      </c>
      <c r="S81" s="87" t="n"/>
    </row>
    <row r="82" ht="15.95" customHeight="1" s="1232">
      <c r="A82" s="1719" t="n"/>
      <c r="B82" s="1719" t="n">
        <v>46028</v>
      </c>
      <c r="C82" s="1719" t="n">
        <v>46042</v>
      </c>
      <c r="D82" s="1729" t="inlineStr">
        <is>
          <t>3WK Beginners Course</t>
        </is>
      </c>
      <c r="E82" s="1646" t="inlineStr">
        <is>
          <t>Coventry</t>
        </is>
      </c>
      <c r="F82" s="905" t="inlineStr">
        <is>
          <t>3wks</t>
        </is>
      </c>
      <c r="G82" s="1721" t="n"/>
      <c r="H82" s="1646" t="n">
        <v>150</v>
      </c>
      <c r="I82" s="1646" t="inlineStr">
        <is>
          <t>Google</t>
        </is>
      </c>
      <c r="J82" s="1646" t="inlineStr">
        <is>
          <t>#03177</t>
        </is>
      </c>
      <c r="K82" s="86" t="n"/>
      <c r="L82" s="1696" t="inlineStr">
        <is>
          <t>carol darmon</t>
        </is>
      </c>
      <c r="M82" s="1696" t="n"/>
      <c r="N82" s="549" t="inlineStr">
        <is>
          <t>lastorders429@gmail.com</t>
        </is>
      </c>
      <c r="O82" s="551" t="inlineStr">
        <is>
          <t>75</t>
        </is>
      </c>
      <c r="P82" s="1604" t="inlineStr">
        <is>
          <t>07922957906</t>
        </is>
      </c>
      <c r="S82" s="87" t="n"/>
    </row>
    <row r="83" ht="15.95" customHeight="1" s="1232">
      <c r="A83" s="1719" t="n"/>
      <c r="B83" s="1719" t="n"/>
      <c r="C83" s="1719" t="n"/>
      <c r="D83" s="1729" t="n"/>
      <c r="E83" s="1646" t="n"/>
      <c r="F83" s="905" t="n"/>
      <c r="G83" s="1721" t="n"/>
      <c r="H83" s="1646" t="n"/>
      <c r="I83" s="1646" t="n"/>
      <c r="J83" s="1646" t="n"/>
      <c r="K83" s="86" t="n"/>
      <c r="M83" s="1696" t="n"/>
      <c r="N83" s="549" t="n"/>
      <c r="O83" s="551" t="n"/>
      <c r="P83" s="1604" t="n"/>
      <c r="S83" s="87" t="n"/>
    </row>
    <row r="84" ht="15.95" customHeight="1" s="1232">
      <c r="S84" s="87" t="n"/>
    </row>
    <row r="85" ht="15.95" customHeight="1" s="1232">
      <c r="A85" s="1719" t="n"/>
      <c r="S85" s="87" t="n"/>
    </row>
    <row r="86" ht="15.95" customHeight="1" s="1232">
      <c r="A86" s="1719" t="n"/>
      <c r="B86" s="1719" t="n"/>
      <c r="C86" s="1719" t="n"/>
      <c r="D86" s="1729" t="n"/>
      <c r="E86" s="1646" t="n"/>
      <c r="F86" s="905" t="n"/>
      <c r="G86" s="1721" t="n"/>
      <c r="H86" s="1646" t="n"/>
      <c r="I86" s="1646" t="n"/>
      <c r="J86" s="1646" t="n"/>
      <c r="K86" s="86" t="n"/>
      <c r="M86" s="1696" t="n"/>
      <c r="N86" s="549" t="n"/>
      <c r="O86" s="551" t="n"/>
      <c r="P86" s="1604" t="n"/>
      <c r="S86" s="87" t="n"/>
    </row>
    <row r="87" ht="15.95" customHeight="1" s="1232">
      <c r="A87" s="1719" t="n"/>
      <c r="B87" s="1719" t="n"/>
      <c r="C87" s="1719" t="n"/>
      <c r="D87" s="1729" t="n"/>
      <c r="E87" s="1646" t="n"/>
      <c r="F87" s="905" t="n"/>
      <c r="G87" s="1721" t="n"/>
      <c r="H87" s="1646" t="n"/>
      <c r="I87" s="1646" t="n"/>
      <c r="J87" s="1646" t="n"/>
      <c r="K87" s="86" t="n"/>
      <c r="M87" s="1696" t="n"/>
      <c r="N87" s="549" t="n"/>
      <c r="O87" s="551" t="n"/>
      <c r="P87" s="1604" t="n"/>
      <c r="S87" s="87" t="n"/>
    </row>
    <row r="88" ht="15.95" customHeight="1" s="1232">
      <c r="S88" s="87" t="n"/>
    </row>
    <row r="89" ht="15.95" customHeight="1" s="1232">
      <c r="A89" s="1719" t="n"/>
      <c r="B89" s="1719" t="n"/>
      <c r="C89" s="1719" t="n"/>
      <c r="D89" s="1734" t="n"/>
      <c r="E89" s="1646" t="n"/>
      <c r="F89" s="905" t="n"/>
      <c r="G89" s="1721" t="n"/>
      <c r="H89" s="1646" t="n"/>
      <c r="I89" s="1646" t="n"/>
      <c r="J89" s="1646" t="n"/>
      <c r="K89" s="86" t="n"/>
      <c r="L89" s="1607" t="n"/>
      <c r="M89" s="1607" t="n"/>
      <c r="N89" s="549" t="n"/>
      <c r="O89" s="551" t="n"/>
      <c r="P89" s="1604" t="n"/>
      <c r="S89" s="87" t="n"/>
    </row>
    <row r="90" ht="15.95" customHeight="1" s="1232">
      <c r="A90" s="1719" t="n"/>
      <c r="B90" s="1719" t="n">
        <v>46086</v>
      </c>
      <c r="C90" s="1719" t="n">
        <v>46100</v>
      </c>
      <c r="D90" s="1729" t="inlineStr">
        <is>
          <t>3WK Beginners Course</t>
        </is>
      </c>
      <c r="E90" s="1646" t="inlineStr">
        <is>
          <t>Coventry</t>
        </is>
      </c>
      <c r="F90" s="905" t="inlineStr">
        <is>
          <t>3wks</t>
        </is>
      </c>
      <c r="G90" s="1721" t="n">
        <v>150</v>
      </c>
      <c r="H90" s="1646" t="n"/>
      <c r="I90" s="1646" t="inlineStr">
        <is>
          <t>Google</t>
        </is>
      </c>
      <c r="J90" s="1646" t="inlineStr">
        <is>
          <t>#03210</t>
        </is>
      </c>
      <c r="K90" s="86" t="n"/>
      <c r="L90" s="1696" t="inlineStr">
        <is>
          <t>Makala Walker</t>
        </is>
      </c>
      <c r="M90" s="1696" t="n"/>
      <c r="N90" s="549" t="inlineStr">
        <is>
          <t>makalaw2017@gmail.com</t>
        </is>
      </c>
      <c r="O90" s="551" t="inlineStr">
        <is>
          <t>24</t>
        </is>
      </c>
      <c r="P90" s="1604" t="inlineStr">
        <is>
          <t>07931981705</t>
        </is>
      </c>
      <c r="S90" s="87" t="n"/>
    </row>
    <row r="91" ht="15.95" customHeight="1" s="1232">
      <c r="A91" s="1719" t="n"/>
      <c r="B91" s="1719" t="n">
        <v>46086</v>
      </c>
      <c r="C91" s="1719" t="n">
        <v>46100</v>
      </c>
      <c r="D91" s="1729" t="inlineStr">
        <is>
          <t>3WK Beginners Course</t>
        </is>
      </c>
      <c r="E91" s="1646" t="inlineStr">
        <is>
          <t>Coventry</t>
        </is>
      </c>
      <c r="F91" s="905" t="inlineStr">
        <is>
          <t>3wks</t>
        </is>
      </c>
      <c r="G91" s="1721" t="n">
        <v>150</v>
      </c>
      <c r="H91" s="1646" t="n"/>
      <c r="I91" s="1646" t="inlineStr">
        <is>
          <t>Google</t>
        </is>
      </c>
      <c r="J91" s="1646" t="inlineStr">
        <is>
          <t>#03218</t>
        </is>
      </c>
      <c r="K91" s="86" t="n"/>
      <c r="L91" s="1696" t="inlineStr">
        <is>
          <t>Robert Taylor</t>
        </is>
      </c>
      <c r="M91" s="1696" t="n"/>
      <c r="N91" s="549" t="inlineStr">
        <is>
          <t xml:space="preserve">roberttaylor020@btinternet.com </t>
        </is>
      </c>
      <c r="O91" s="551" t="inlineStr">
        <is>
          <t>65</t>
        </is>
      </c>
      <c r="P91" s="1604" t="inlineStr">
        <is>
          <t>07771945440</t>
        </is>
      </c>
      <c r="S91" s="87" t="n"/>
    </row>
    <row r="92" ht="15.95" customHeight="1" s="1232">
      <c r="A92" s="1719" t="n"/>
      <c r="B92" s="1719" t="n"/>
      <c r="C92" s="1719" t="n"/>
      <c r="D92" s="1734" t="n"/>
      <c r="E92" s="1646" t="n"/>
      <c r="F92" s="905" t="n"/>
      <c r="G92" s="1721" t="n"/>
      <c r="H92" s="1646" t="n"/>
      <c r="I92" s="1646" t="n"/>
      <c r="J92" s="1646" t="n"/>
      <c r="K92" s="86" t="n"/>
      <c r="L92" s="1607" t="n"/>
      <c r="M92" s="1607" t="n"/>
      <c r="N92" s="549" t="n"/>
      <c r="O92" s="551" t="n"/>
      <c r="P92" s="1604" t="n"/>
      <c r="S92" s="87" t="n"/>
    </row>
    <row r="93" ht="15.95" customHeight="1" s="1232">
      <c r="A93" s="1719" t="n"/>
      <c r="B93" s="1719" t="n"/>
      <c r="C93" s="1719" t="n"/>
      <c r="D93" s="1729" t="n"/>
      <c r="E93" s="1646" t="n"/>
      <c r="F93" s="905" t="n"/>
      <c r="G93" s="1721" t="n"/>
      <c r="H93" s="1646" t="n"/>
      <c r="I93" s="1646" t="n"/>
      <c r="J93" s="1646" t="n"/>
      <c r="K93" s="86" t="n"/>
      <c r="M93" s="1696" t="n"/>
      <c r="N93" s="549" t="n"/>
      <c r="O93" s="551" t="n"/>
      <c r="P93" s="1604" t="n"/>
      <c r="S93" s="87" t="n"/>
    </row>
    <row r="94" ht="15.95" customHeight="1" s="1232">
      <c r="A94" s="1719" t="inlineStr">
        <is>
          <t>moved her from 4 Feb due to not enough booked</t>
        </is>
      </c>
      <c r="B94" s="1719" t="n">
        <v>46090</v>
      </c>
      <c r="C94" s="1719" t="n">
        <v>46104</v>
      </c>
      <c r="D94" s="1729" t="inlineStr">
        <is>
          <t>3WK Beginners Course</t>
        </is>
      </c>
      <c r="E94" s="1646" t="inlineStr">
        <is>
          <t>Coventry</t>
        </is>
      </c>
      <c r="F94" s="905" t="inlineStr">
        <is>
          <t>3wks</t>
        </is>
      </c>
      <c r="G94" s="1721" t="n">
        <v>150</v>
      </c>
      <c r="H94" s="1646" t="n"/>
      <c r="I94" s="1646" t="inlineStr">
        <is>
          <t>Google</t>
        </is>
      </c>
      <c r="J94" s="1646" t="inlineStr">
        <is>
          <t>#03194</t>
        </is>
      </c>
      <c r="K94" s="86" t="n"/>
      <c r="L94" s="1696" t="inlineStr">
        <is>
          <t>Helen Burnett</t>
        </is>
      </c>
      <c r="M94" s="1696" t="n"/>
      <c r="N94" s="549" t="inlineStr">
        <is>
          <t>heleburnett@gmail.com</t>
        </is>
      </c>
      <c r="O94" s="551" t="inlineStr">
        <is>
          <t>59</t>
        </is>
      </c>
      <c r="P94" s="1604" t="inlineStr">
        <is>
          <t>07988799732</t>
        </is>
      </c>
      <c r="S94" s="87" t="n"/>
    </row>
    <row r="95" ht="15.95" customHeight="1" s="1232">
      <c r="A95" s="1719" t="n"/>
      <c r="B95" s="1719" t="n">
        <v>46090</v>
      </c>
      <c r="C95" s="1719" t="n">
        <v>46104</v>
      </c>
      <c r="D95" s="1729" t="inlineStr">
        <is>
          <t>3WK Beginners Course</t>
        </is>
      </c>
      <c r="E95" s="1646" t="inlineStr">
        <is>
          <t>Coventry</t>
        </is>
      </c>
      <c r="F95" s="905" t="inlineStr">
        <is>
          <t>3wks</t>
        </is>
      </c>
      <c r="G95" s="1721" t="n">
        <v>150</v>
      </c>
      <c r="H95" s="1646" t="n"/>
      <c r="I95" s="1646" t="inlineStr">
        <is>
          <t>Google</t>
        </is>
      </c>
      <c r="J95" s="1646" t="inlineStr">
        <is>
          <t>#03216</t>
        </is>
      </c>
      <c r="K95" s="86" t="n"/>
      <c r="L95" s="1696" t="inlineStr">
        <is>
          <t>John Sharp</t>
        </is>
      </c>
      <c r="M95" s="1696" t="n"/>
      <c r="N95" s="549" t="inlineStr">
        <is>
          <t>js1972@live.com</t>
        </is>
      </c>
      <c r="O95" s="551" t="inlineStr">
        <is>
          <t>76</t>
        </is>
      </c>
      <c r="P95" s="1604" t="inlineStr">
        <is>
          <t>07714845070</t>
        </is>
      </c>
      <c r="S95" s="87" t="n"/>
    </row>
    <row r="96" ht="15.95" customHeight="1" s="1232">
      <c r="A96" s="1719" t="n"/>
      <c r="B96" s="1719" t="n"/>
      <c r="C96" s="1719" t="n"/>
      <c r="D96" s="1729" t="n"/>
      <c r="E96" s="1646" t="n"/>
      <c r="F96" s="905" t="n"/>
      <c r="G96" s="1721" t="n"/>
      <c r="H96" s="1646" t="n"/>
      <c r="I96" s="1646" t="n"/>
      <c r="J96" s="1646" t="n"/>
      <c r="K96" s="86" t="n"/>
      <c r="M96" s="1696" t="n"/>
      <c r="N96" s="549" t="n"/>
      <c r="O96" s="551" t="n"/>
      <c r="P96" s="1604" t="n"/>
      <c r="S96" s="87" t="n"/>
    </row>
    <row r="98" ht="15.95" customHeight="1" s="1232">
      <c r="A98" s="1719" t="n"/>
      <c r="B98" s="1719" t="n">
        <v>46113</v>
      </c>
      <c r="C98" s="1719" t="n">
        <v>46127</v>
      </c>
      <c r="D98" s="1729" t="inlineStr">
        <is>
          <t>3WK Beginners Course</t>
        </is>
      </c>
      <c r="E98" s="1646" t="inlineStr">
        <is>
          <t>Coventry</t>
        </is>
      </c>
      <c r="F98" s="905" t="inlineStr">
        <is>
          <t>3wks</t>
        </is>
      </c>
      <c r="G98" s="1646" t="n">
        <v>150</v>
      </c>
      <c r="H98" s="1646" t="n">
        <v>0</v>
      </c>
      <c r="I98" s="1646" t="inlineStr">
        <is>
          <t>Google</t>
        </is>
      </c>
      <c r="J98" s="1646" t="inlineStr">
        <is>
          <t>#03197</t>
        </is>
      </c>
      <c r="K98" s="86" t="n"/>
      <c r="L98" s="1607" t="inlineStr">
        <is>
          <t>Michael Harrott</t>
        </is>
      </c>
      <c r="M98" s="1607" t="n"/>
      <c r="N98" s="549" t="inlineStr">
        <is>
          <t>mick.harrott@btinternet.com</t>
        </is>
      </c>
      <c r="O98" s="551" t="inlineStr">
        <is>
          <t>59</t>
        </is>
      </c>
      <c r="P98" s="1604" t="inlineStr">
        <is>
          <t>07854679655</t>
        </is>
      </c>
      <c r="S98" s="87" t="n"/>
    </row>
    <row r="99" ht="15.95" customHeight="1" s="1232">
      <c r="A99" s="1719" t="n"/>
      <c r="B99" s="1719" t="n">
        <v>46113</v>
      </c>
      <c r="C99" s="1719" t="n">
        <v>46127</v>
      </c>
      <c r="D99" s="1729" t="inlineStr">
        <is>
          <t>3WK Beginners Course</t>
        </is>
      </c>
      <c r="E99" s="1646" t="inlineStr">
        <is>
          <t>Coventry</t>
        </is>
      </c>
      <c r="F99" s="905" t="inlineStr">
        <is>
          <t>3wks</t>
        </is>
      </c>
      <c r="G99" s="1646" t="n">
        <v>150</v>
      </c>
      <c r="H99" s="1646" t="n">
        <v>0</v>
      </c>
      <c r="I99" s="1646" t="inlineStr">
        <is>
          <t>Google</t>
        </is>
      </c>
      <c r="J99" s="1646" t="inlineStr">
        <is>
          <t>#03197</t>
        </is>
      </c>
      <c r="K99" s="86" t="n"/>
      <c r="L99" s="1607" t="inlineStr">
        <is>
          <t>Paul Bailey</t>
        </is>
      </c>
      <c r="M99" s="1607" t="n"/>
      <c r="O99" s="551" t="n"/>
      <c r="P99" s="1604" t="n"/>
      <c r="S99" s="87" t="n"/>
    </row>
    <row r="100" ht="15.95" customHeight="1" s="1232">
      <c r="A100" s="1718" t="inlineStr">
        <is>
          <t>emailed on 27 Jan, dad died so will switch to new date</t>
        </is>
      </c>
      <c r="B100" s="1719" t="n">
        <v>46113</v>
      </c>
      <c r="C100" s="1719" t="n">
        <v>46127</v>
      </c>
      <c r="D100" s="1729" t="inlineStr">
        <is>
          <t>3WK Beginners Course</t>
        </is>
      </c>
      <c r="E100" s="1646" t="inlineStr">
        <is>
          <t>Coventry</t>
        </is>
      </c>
      <c r="F100" s="905" t="inlineStr">
        <is>
          <t>3wks</t>
        </is>
      </c>
      <c r="G100" s="1721" t="n">
        <v>150</v>
      </c>
      <c r="H100" s="1646" t="n">
        <v>0</v>
      </c>
      <c r="I100" s="1646" t="inlineStr">
        <is>
          <t>Google</t>
        </is>
      </c>
      <c r="J100" s="1646" t="inlineStr">
        <is>
          <t>#03188</t>
        </is>
      </c>
      <c r="K100" s="86" t="n"/>
      <c r="L100" s="1696" t="inlineStr">
        <is>
          <t>Heidi Gibbs</t>
        </is>
      </c>
      <c r="M100" s="1696" t="n"/>
      <c r="N100" s="549" t="inlineStr">
        <is>
          <t xml:space="preserve">heidihi50@hotmail.com </t>
        </is>
      </c>
      <c r="O100" s="551" t="inlineStr">
        <is>
          <t>56</t>
        </is>
      </c>
      <c r="P100" s="1604" t="inlineStr">
        <is>
          <t>07795186192</t>
        </is>
      </c>
      <c r="S100" s="87" t="n"/>
    </row>
    <row r="101" ht="15.95" customHeight="1" s="1232">
      <c r="A101" s="1718" t="n"/>
      <c r="B101" s="1719" t="n"/>
      <c r="C101" s="1719" t="n"/>
      <c r="D101" s="1729" t="n"/>
      <c r="E101" s="1646" t="n"/>
      <c r="F101" s="905" t="n"/>
      <c r="G101" s="1721" t="n"/>
      <c r="H101" s="1646" t="n"/>
      <c r="I101" s="1646" t="n"/>
      <c r="J101" s="1646" t="n"/>
      <c r="K101" s="86" t="n"/>
      <c r="M101" s="1696" t="n"/>
      <c r="N101" s="549" t="n"/>
      <c r="O101" s="551" t="n"/>
      <c r="P101" s="1604" t="n"/>
      <c r="S101" s="87" t="n"/>
    </row>
    <row r="102" ht="15.95" customHeight="1" s="1232">
      <c r="A102" s="1718" t="n"/>
      <c r="B102" s="1719" t="n">
        <v>46147</v>
      </c>
      <c r="C102" s="1719" t="n">
        <v>46161</v>
      </c>
      <c r="D102" s="1729" t="inlineStr">
        <is>
          <t>3WK Beginners Course</t>
        </is>
      </c>
      <c r="E102" s="1646" t="inlineStr">
        <is>
          <t>Coventry</t>
        </is>
      </c>
      <c r="F102" s="905" t="inlineStr">
        <is>
          <t>3wks</t>
        </is>
      </c>
      <c r="G102" s="1721" t="n">
        <v>150</v>
      </c>
      <c r="H102" s="1646" t="n"/>
      <c r="I102" s="1646" t="inlineStr">
        <is>
          <t>Google</t>
        </is>
      </c>
      <c r="J102" s="1646" t="inlineStr">
        <is>
          <t>#03288</t>
        </is>
      </c>
      <c r="K102" s="86" t="n"/>
      <c r="L102" s="1607" t="inlineStr">
        <is>
          <t>Helen Skilton</t>
        </is>
      </c>
      <c r="M102" s="1696" t="n"/>
      <c r="N102" s="549" t="inlineStr">
        <is>
          <t xml:space="preserve">helen_skilton@hotmail.com </t>
        </is>
      </c>
      <c r="O102" s="551" t="inlineStr">
        <is>
          <t>59</t>
        </is>
      </c>
      <c r="P102" s="1604" t="inlineStr">
        <is>
          <t>07542248339</t>
        </is>
      </c>
      <c r="S102" s="87" t="n"/>
    </row>
    <row r="103" ht="15.95" customHeight="1" s="1232">
      <c r="A103" s="1718" t="n"/>
      <c r="B103" s="1719" t="n">
        <v>46147</v>
      </c>
      <c r="C103" s="1719" t="n">
        <v>46161</v>
      </c>
      <c r="D103" s="1729" t="inlineStr">
        <is>
          <t>3WK Beginners Course</t>
        </is>
      </c>
      <c r="E103" s="1646" t="inlineStr">
        <is>
          <t>Coventry</t>
        </is>
      </c>
      <c r="F103" s="905" t="inlineStr">
        <is>
          <t>3wks</t>
        </is>
      </c>
      <c r="G103" s="1721" t="n">
        <v>50</v>
      </c>
      <c r="H103" s="1646" t="n">
        <v>100</v>
      </c>
      <c r="I103" s="1646" t="inlineStr">
        <is>
          <t>JLR</t>
        </is>
      </c>
      <c r="J103" s="1707" t="inlineStr">
        <is>
          <t>IIY#4430697505771GqG</t>
        </is>
      </c>
      <c r="K103" s="86" t="n"/>
      <c r="L103" s="1696" t="inlineStr">
        <is>
          <t>George Caus</t>
        </is>
      </c>
      <c r="N103" s="1735" t="inlineStr">
        <is>
          <t>gcaus1@jaguarlandrover.com</t>
        </is>
      </c>
      <c r="O103" s="551" t="n"/>
      <c r="P103" s="1604" t="inlineStr">
        <is>
          <t>07442249662</t>
        </is>
      </c>
      <c r="S103" s="87" t="n"/>
    </row>
    <row r="104" ht="15.95" customHeight="1" s="1232">
      <c r="A104" s="1719" t="n"/>
      <c r="B104" s="1719" t="n">
        <v>46147</v>
      </c>
      <c r="C104" s="1719" t="n">
        <v>46161</v>
      </c>
      <c r="D104" s="1729" t="inlineStr">
        <is>
          <t>3WK Beginners Course</t>
        </is>
      </c>
      <c r="E104" s="1646" t="inlineStr">
        <is>
          <t>Coventry</t>
        </is>
      </c>
      <c r="F104" s="905" t="inlineStr">
        <is>
          <t>3wks</t>
        </is>
      </c>
      <c r="G104" s="1721" t="n">
        <v>50</v>
      </c>
      <c r="H104" s="1646" t="n">
        <v>100</v>
      </c>
      <c r="I104" s="1646" t="inlineStr">
        <is>
          <t>JLR</t>
        </is>
      </c>
      <c r="J104" s="1697" t="inlineStr">
        <is>
          <t>IIY#056134920577120b</t>
        </is>
      </c>
      <c r="K104" s="86" t="n"/>
      <c r="L104" s="1646" t="inlineStr">
        <is>
          <t>Kulvinder Bains</t>
        </is>
      </c>
      <c r="M104" s="1607" t="n"/>
      <c r="N104" s="549" t="inlineStr">
        <is>
          <t>kbains5@jaguarlandrover.com</t>
        </is>
      </c>
      <c r="O104" s="551" t="n"/>
      <c r="P104" s="1604" t="inlineStr">
        <is>
          <t>07930 282858</t>
        </is>
      </c>
      <c r="S104" s="87" t="n"/>
    </row>
    <row r="105" ht="15.95" customHeight="1" s="1232">
      <c r="A105" s="1719" t="n"/>
      <c r="B105" s="1719" t="n">
        <v>46147</v>
      </c>
      <c r="C105" s="1719" t="n">
        <v>46161</v>
      </c>
      <c r="D105" s="1729" t="inlineStr">
        <is>
          <t>3WK Beginners Course</t>
        </is>
      </c>
      <c r="E105" s="1646" t="inlineStr">
        <is>
          <t>Coventry</t>
        </is>
      </c>
      <c r="F105" s="905" t="inlineStr">
        <is>
          <t>3wks</t>
        </is>
      </c>
      <c r="G105" s="1721" t="n">
        <v>50</v>
      </c>
      <c r="H105" s="1646" t="n">
        <v>100</v>
      </c>
      <c r="I105" s="1646" t="inlineStr">
        <is>
          <t>JLR</t>
        </is>
      </c>
      <c r="J105" s="1697" t="inlineStr">
        <is>
          <t>IIY#248719956577127F</t>
        </is>
      </c>
      <c r="K105" s="86" t="n"/>
      <c r="L105" s="1646" t="inlineStr">
        <is>
          <t>Brain Dsouza</t>
        </is>
      </c>
      <c r="M105" s="1607" t="n"/>
      <c r="N105" s="549" t="inlineStr">
        <is>
          <t>bdsouza1@jaguarlandrover.com</t>
        </is>
      </c>
      <c r="O105" s="551" t="n"/>
      <c r="P105" s="1604" t="inlineStr">
        <is>
          <t>07887116121</t>
        </is>
      </c>
      <c r="S105" s="87" t="n"/>
    </row>
    <row r="106" ht="15.95" customHeight="1" s="1232">
      <c r="A106" s="1719" t="n"/>
      <c r="B106" s="1719" t="n"/>
      <c r="C106" s="1719" t="n"/>
      <c r="D106" s="1720" t="n"/>
      <c r="E106" s="1646" t="n"/>
      <c r="F106" s="905" t="n"/>
      <c r="G106" s="1721" t="n"/>
      <c r="H106" s="1646" t="n"/>
      <c r="I106" s="1646" t="n"/>
      <c r="J106" s="1646" t="n"/>
      <c r="K106" s="86" t="n"/>
      <c r="L106" s="1607" t="n"/>
      <c r="M106" s="1607" t="n"/>
      <c r="N106" s="549" t="n"/>
      <c r="O106" s="551" t="n"/>
      <c r="P106" s="1604" t="n"/>
      <c r="S106" s="87" t="n"/>
    </row>
    <row r="107" ht="15.95" customHeight="1" s="1232">
      <c r="A107" s="1719" t="n"/>
      <c r="B107" s="1719" t="n">
        <v>46149</v>
      </c>
      <c r="C107" s="1719" t="n">
        <v>46163</v>
      </c>
      <c r="D107" s="1729" t="inlineStr">
        <is>
          <t>3WK Beginners Course</t>
        </is>
      </c>
      <c r="E107" s="1646" t="inlineStr">
        <is>
          <t>Coventry</t>
        </is>
      </c>
      <c r="F107" s="905" t="inlineStr">
        <is>
          <t>3wks</t>
        </is>
      </c>
      <c r="G107" s="1721" t="n">
        <v>150</v>
      </c>
      <c r="H107" s="1646" t="n">
        <v>0</v>
      </c>
      <c r="I107" s="1646" t="inlineStr">
        <is>
          <t>Google</t>
        </is>
      </c>
      <c r="J107" s="1646" t="inlineStr">
        <is>
          <t>#03257</t>
        </is>
      </c>
      <c r="K107" s="86" t="n"/>
      <c r="L107" s="1607" t="inlineStr">
        <is>
          <t>Martin Morris</t>
        </is>
      </c>
      <c r="M107" s="1607" t="n"/>
      <c r="N107" s="549" t="inlineStr">
        <is>
          <t xml:space="preserve">martin_morris@talk21.com </t>
        </is>
      </c>
      <c r="O107" s="551" t="n">
        <v>63</v>
      </c>
      <c r="P107" s="1604" t="inlineStr">
        <is>
          <t>07881828840</t>
        </is>
      </c>
      <c r="S107" s="87" t="n"/>
    </row>
    <row r="108" ht="15.95" customHeight="1" s="1232">
      <c r="A108" s="1719" t="n"/>
      <c r="B108" s="1719" t="n">
        <v>46149</v>
      </c>
      <c r="C108" s="1719" t="n">
        <v>46163</v>
      </c>
      <c r="D108" s="1729" t="inlineStr">
        <is>
          <t>3WK Beginners Course</t>
        </is>
      </c>
      <c r="E108" s="1646" t="inlineStr">
        <is>
          <t>Coventry</t>
        </is>
      </c>
      <c r="F108" s="905" t="inlineStr">
        <is>
          <t>3wks</t>
        </is>
      </c>
      <c r="G108" s="1721" t="n">
        <v>150</v>
      </c>
      <c r="H108" s="1646" t="n">
        <v>0</v>
      </c>
      <c r="I108" s="1646" t="inlineStr">
        <is>
          <t>Google</t>
        </is>
      </c>
      <c r="J108" s="1646" t="inlineStr">
        <is>
          <t>#03272</t>
        </is>
      </c>
      <c r="K108" s="86" t="n"/>
      <c r="L108" s="1607" t="inlineStr">
        <is>
          <t>Michael Donnelly</t>
        </is>
      </c>
      <c r="M108" s="1607" t="n"/>
      <c r="N108" s="549" t="inlineStr">
        <is>
          <t xml:space="preserve">mjd98670@gmail.com </t>
        </is>
      </c>
      <c r="O108" s="551" t="inlineStr">
        <is>
          <t>73</t>
        </is>
      </c>
      <c r="P108" s="1604" t="inlineStr">
        <is>
          <t>07870755007</t>
        </is>
      </c>
      <c r="S108" s="87" t="n"/>
    </row>
    <row r="109" ht="15.95" customHeight="1" s="1232">
      <c r="A109" s="1719" t="n"/>
      <c r="B109" s="1719" t="n"/>
      <c r="C109" s="1719" t="n"/>
      <c r="D109" s="1720" t="n"/>
      <c r="E109" s="1646" t="n"/>
      <c r="F109" s="905" t="n"/>
      <c r="G109" s="1721" t="n"/>
      <c r="H109" s="1646" t="n"/>
      <c r="I109" s="1646" t="n"/>
      <c r="J109" s="1646" t="n"/>
      <c r="K109" s="86" t="n"/>
      <c r="L109" s="1607" t="n"/>
      <c r="M109" s="1607" t="n"/>
      <c r="N109" s="549" t="n"/>
      <c r="O109" s="551" t="n"/>
      <c r="P109" s="1604" t="n"/>
      <c r="S109" s="87" t="n"/>
    </row>
    <row r="110" ht="15.95" customHeight="1" s="1232">
      <c r="A110" s="1719" t="n"/>
      <c r="B110" s="1719" t="n"/>
      <c r="C110" s="1719" t="n"/>
      <c r="D110" s="1720" t="n"/>
      <c r="E110" s="1646" t="n"/>
      <c r="F110" s="905" t="n"/>
      <c r="G110" s="1721" t="n"/>
      <c r="H110" s="1646" t="n"/>
      <c r="I110" s="1646" t="n"/>
      <c r="J110" s="1646" t="n"/>
      <c r="K110" s="86" t="n"/>
      <c r="L110" s="1607" t="n"/>
      <c r="M110" s="1607" t="n"/>
      <c r="N110" s="549" t="n"/>
      <c r="O110" s="551" t="n"/>
      <c r="P110" s="1604" t="n"/>
      <c r="S110" s="87" t="n"/>
    </row>
    <row r="111" ht="15.95" customHeight="1" s="1232">
      <c r="A111" s="1719" t="n"/>
      <c r="B111" s="1719" t="n">
        <v>46155</v>
      </c>
      <c r="C111" s="1719" t="n">
        <v>46169</v>
      </c>
      <c r="D111" s="1734" t="inlineStr">
        <is>
          <t>3WK Lightroom Course</t>
        </is>
      </c>
      <c r="E111" s="1646" t="inlineStr">
        <is>
          <t>Coventry</t>
        </is>
      </c>
      <c r="F111" s="905" t="inlineStr">
        <is>
          <t>3wks</t>
        </is>
      </c>
      <c r="G111" s="1721" t="n">
        <v>150</v>
      </c>
      <c r="H111" s="1646" t="n">
        <v>0</v>
      </c>
      <c r="I111" s="1646" t="inlineStr">
        <is>
          <t>Google</t>
        </is>
      </c>
      <c r="J111" s="1646" t="inlineStr">
        <is>
          <t>#03200</t>
        </is>
      </c>
      <c r="K111" s="86" t="n"/>
      <c r="L111" s="1607" t="inlineStr">
        <is>
          <t>Sue</t>
        </is>
      </c>
      <c r="M111" s="1607" t="inlineStr">
        <is>
          <t>Green</t>
        </is>
      </c>
      <c r="N111" s="549" t="inlineStr">
        <is>
          <t>sue.familygreen@googlemail.com</t>
        </is>
      </c>
      <c r="O111" s="551" t="inlineStr">
        <is>
          <t>72</t>
        </is>
      </c>
      <c r="P111" s="1604" t="inlineStr">
        <is>
          <t>07799634078</t>
        </is>
      </c>
      <c r="S111" s="87" t="n"/>
    </row>
    <row r="112" ht="15.95" customHeight="1" s="1232">
      <c r="A112" s="1719" t="n"/>
      <c r="B112" s="1719" t="n">
        <v>46155</v>
      </c>
      <c r="C112" s="1719" t="n">
        <v>46169</v>
      </c>
      <c r="D112" s="1734" t="inlineStr">
        <is>
          <t>3WK Lightroom Course</t>
        </is>
      </c>
      <c r="E112" s="1646" t="inlineStr">
        <is>
          <t>Coventry</t>
        </is>
      </c>
      <c r="F112" s="905" t="inlineStr">
        <is>
          <t>3wks</t>
        </is>
      </c>
      <c r="G112" s="1721" t="n">
        <v>150</v>
      </c>
      <c r="H112" s="1646" t="n"/>
      <c r="I112" s="1646" t="inlineStr">
        <is>
          <t>Existing</t>
        </is>
      </c>
      <c r="J112" s="1646" t="inlineStr">
        <is>
          <t>#03242</t>
        </is>
      </c>
      <c r="K112" s="86" t="n"/>
      <c r="L112" s="1607" t="inlineStr">
        <is>
          <t>Mahmood Esmail</t>
        </is>
      </c>
      <c r="M112" s="1607" t="n"/>
      <c r="N112" s="549" t="inlineStr">
        <is>
          <t>mahmood@esmail-architects.co.uk</t>
        </is>
      </c>
      <c r="O112" s="551" t="inlineStr">
        <is>
          <t>59</t>
        </is>
      </c>
      <c r="P112" s="1604" t="inlineStr">
        <is>
          <t>07717841239</t>
        </is>
      </c>
      <c r="S112" s="87" t="n"/>
    </row>
    <row r="113" ht="15.95" customHeight="1" s="1232">
      <c r="A113" s="1719" t="n"/>
      <c r="B113" s="1719" t="n"/>
      <c r="C113" s="1719" t="n"/>
      <c r="D113" s="1734" t="n"/>
      <c r="E113" s="1646" t="n"/>
      <c r="F113" s="905" t="n"/>
      <c r="G113" s="1721" t="n"/>
      <c r="H113" s="1646" t="n"/>
      <c r="I113" s="1646" t="n"/>
      <c r="J113" s="1646" t="n"/>
      <c r="K113" s="86" t="n"/>
      <c r="L113" s="1607" t="n"/>
      <c r="M113" s="1607" t="n"/>
      <c r="N113" s="549" t="n"/>
      <c r="O113" s="551" t="n"/>
      <c r="P113" s="1604" t="n"/>
      <c r="S113" s="87" t="n"/>
    </row>
    <row r="114" ht="15.95" customHeight="1" s="1232">
      <c r="A114" s="1719" t="n"/>
      <c r="B114" s="1719" t="n"/>
      <c r="C114" s="1719" t="n"/>
      <c r="D114" s="1734" t="n"/>
      <c r="E114" s="1646" t="n"/>
      <c r="F114" s="905" t="n"/>
      <c r="G114" s="1721" t="n"/>
      <c r="H114" s="1646" t="n"/>
      <c r="I114" s="1646" t="n"/>
      <c r="J114" s="1646" t="n"/>
      <c r="K114" s="86" t="n"/>
      <c r="L114" s="1607" t="n"/>
      <c r="M114" s="1607" t="n"/>
      <c r="N114" s="549" t="n"/>
      <c r="O114" s="551" t="n"/>
      <c r="P114" s="1604" t="n"/>
      <c r="S114" s="87" t="n"/>
    </row>
    <row r="115" ht="15.95" customHeight="1" s="1232">
      <c r="A115" s="1719" t="n"/>
      <c r="B115" s="1719" t="n"/>
      <c r="C115" s="1719" t="n"/>
      <c r="D115" s="1734" t="n"/>
      <c r="E115" s="1646" t="n"/>
      <c r="F115" s="905" t="n"/>
      <c r="G115" s="1721" t="n"/>
      <c r="H115" s="1646" t="n"/>
      <c r="I115" s="1646" t="n"/>
      <c r="J115" s="1646" t="n"/>
      <c r="K115" s="86" t="n"/>
      <c r="L115" s="1607" t="n"/>
      <c r="M115" s="1607" t="n"/>
      <c r="N115" s="549" t="n"/>
      <c r="O115" s="551" t="n"/>
      <c r="P115" s="1604" t="n"/>
      <c r="S115" s="87" t="n"/>
    </row>
    <row r="116" ht="15.95" customHeight="1" s="1232">
      <c r="A116" s="1719" t="n"/>
      <c r="B116" s="1719" t="n"/>
      <c r="C116" s="1719" t="n"/>
      <c r="D116" s="1734" t="n"/>
      <c r="E116" s="1646" t="n"/>
      <c r="F116" s="905" t="n"/>
      <c r="G116" s="1721" t="n"/>
      <c r="H116" s="1646" t="n"/>
      <c r="I116" s="1646" t="n"/>
      <c r="J116" s="1646" t="n"/>
      <c r="K116" s="86" t="n"/>
      <c r="L116" s="1607" t="n"/>
      <c r="M116" s="1607" t="n"/>
      <c r="N116" s="549" t="n"/>
      <c r="O116" s="551" t="n"/>
      <c r="P116" s="1604" t="n"/>
      <c r="S116" s="87" t="n"/>
    </row>
    <row r="117" ht="15.95" customHeight="1" s="1232">
      <c r="A117" s="1719" t="n"/>
      <c r="B117" s="1719" t="n">
        <v>46204</v>
      </c>
      <c r="C117" s="1719" t="n">
        <v>46218</v>
      </c>
      <c r="D117" s="1729" t="inlineStr">
        <is>
          <t>3WK Beginners Course</t>
        </is>
      </c>
      <c r="E117" s="1646" t="inlineStr">
        <is>
          <t>Coventry</t>
        </is>
      </c>
      <c r="F117" s="905" t="inlineStr">
        <is>
          <t>3wks</t>
        </is>
      </c>
      <c r="G117" s="1721" t="n">
        <v>150</v>
      </c>
      <c r="H117" s="1646" t="n"/>
      <c r="I117" s="1646" t="inlineStr">
        <is>
          <t>Google</t>
        </is>
      </c>
      <c r="J117" s="1646" t="inlineStr">
        <is>
          <t>#03255</t>
        </is>
      </c>
      <c r="K117" s="86" t="n"/>
      <c r="L117" s="1607" t="inlineStr">
        <is>
          <t>Kate</t>
        </is>
      </c>
      <c r="M117" s="1607" t="inlineStr">
        <is>
          <t>Clay</t>
        </is>
      </c>
      <c r="N117" s="549" t="inlineStr">
        <is>
          <t xml:space="preserve">kate.clay901@gmail.com </t>
        </is>
      </c>
      <c r="O117" s="551" t="n">
        <v>46</v>
      </c>
      <c r="P117" s="1604" t="inlineStr">
        <is>
          <t>07985277457</t>
        </is>
      </c>
      <c r="S117" s="87" t="n"/>
    </row>
    <row r="118" ht="15.95" customHeight="1" s="1232">
      <c r="A118" s="1719" t="n"/>
      <c r="B118" s="1719" t="n">
        <v>46204</v>
      </c>
      <c r="C118" s="1719" t="n">
        <v>46218</v>
      </c>
      <c r="D118" s="1729" t="inlineStr">
        <is>
          <t>3WK Beginners Course</t>
        </is>
      </c>
      <c r="E118" s="1646" t="inlineStr">
        <is>
          <t>Coventry</t>
        </is>
      </c>
      <c r="F118" s="905" t="inlineStr">
        <is>
          <t>3wks</t>
        </is>
      </c>
      <c r="G118" s="1721" t="n">
        <v>120</v>
      </c>
      <c r="H118" s="1646" t="n"/>
      <c r="I118" s="1646" t="inlineStr">
        <is>
          <t>Into the Blue</t>
        </is>
      </c>
      <c r="J118" s="1646" t="n"/>
      <c r="K118" s="86" t="n"/>
      <c r="L118" s="1607" t="inlineStr">
        <is>
          <t>Sarah</t>
        </is>
      </c>
      <c r="M118" s="1607" t="inlineStr">
        <is>
          <t>Kuner</t>
        </is>
      </c>
      <c r="N118" s="549" t="inlineStr">
        <is>
          <t>sarahkuner@gmail.com</t>
        </is>
      </c>
      <c r="O118" s="551" t="n"/>
      <c r="P118" s="1604" t="inlineStr">
        <is>
          <t>07956837394</t>
        </is>
      </c>
      <c r="S118" s="87" t="n"/>
    </row>
    <row r="119" ht="15.95" customHeight="1" s="1232">
      <c r="A119" s="1719" t="n"/>
      <c r="B119" s="1719" t="n">
        <v>46204</v>
      </c>
      <c r="C119" s="1719" t="n">
        <v>46218</v>
      </c>
      <c r="D119" s="1729" t="inlineStr">
        <is>
          <t>3WK Beginners Course</t>
        </is>
      </c>
      <c r="E119" s="1646" t="inlineStr">
        <is>
          <t>Coventry</t>
        </is>
      </c>
      <c r="F119" s="905" t="inlineStr">
        <is>
          <t>3wks</t>
        </is>
      </c>
      <c r="G119" s="1721" t="n">
        <v>120</v>
      </c>
      <c r="H119" s="1646" t="n"/>
      <c r="I119" s="1646" t="inlineStr">
        <is>
          <t>Into the Blue</t>
        </is>
      </c>
      <c r="J119" s="1646" t="n"/>
      <c r="K119" s="86" t="n"/>
      <c r="L119" s="1607" t="inlineStr">
        <is>
          <t>Harmit</t>
        </is>
      </c>
      <c r="M119" s="1607" t="inlineStr">
        <is>
          <t>Kuner</t>
        </is>
      </c>
      <c r="N119" s="549" t="inlineStr">
        <is>
          <t>sarahkuner@gmail.com</t>
        </is>
      </c>
      <c r="O119" s="551" t="n"/>
      <c r="P119" s="1604" t="inlineStr">
        <is>
          <t>07956837394</t>
        </is>
      </c>
      <c r="S119" s="87" t="n"/>
    </row>
    <row r="120" ht="15.95" customHeight="1" s="1232">
      <c r="A120" s="1719" t="n"/>
      <c r="B120" s="1719" t="n"/>
      <c r="C120" s="1719" t="n"/>
      <c r="D120" s="1734" t="n"/>
      <c r="E120" s="1646" t="n"/>
      <c r="F120" s="905" t="n"/>
      <c r="G120" s="1721" t="n"/>
      <c r="H120" s="1646" t="n"/>
      <c r="I120" s="1646" t="n"/>
      <c r="J120" s="1646" t="n"/>
      <c r="K120" s="86" t="n"/>
      <c r="L120" s="1607" t="n"/>
      <c r="M120" s="1607" t="n"/>
      <c r="N120" s="549" t="n"/>
      <c r="O120" s="551" t="n"/>
      <c r="P120" s="1604" t="n"/>
      <c r="S120" s="87" t="n"/>
    </row>
    <row r="121" ht="15.95" customHeight="1" s="1232">
      <c r="A121" s="1719" t="n"/>
      <c r="B121" s="1719" t="n">
        <v>46272</v>
      </c>
      <c r="C121" s="1719" t="n">
        <v>46286</v>
      </c>
      <c r="D121" s="1734" t="inlineStr">
        <is>
          <t>3WK Lightroom Course</t>
        </is>
      </c>
      <c r="E121" s="1646" t="inlineStr">
        <is>
          <t>Coventry</t>
        </is>
      </c>
      <c r="F121" s="905" t="inlineStr">
        <is>
          <t>3wks</t>
        </is>
      </c>
      <c r="G121" s="1721" t="n">
        <v>150</v>
      </c>
      <c r="H121" s="1646" t="n">
        <v>0</v>
      </c>
      <c r="I121" s="1646" t="inlineStr">
        <is>
          <t>JLR</t>
        </is>
      </c>
      <c r="J121" s="1646" t="inlineStr">
        <is>
          <t>IIY#3516265085771TY7</t>
        </is>
      </c>
      <c r="K121" s="86" t="n"/>
      <c r="L121" s="1607" t="inlineStr">
        <is>
          <t>Archit Rastogi</t>
        </is>
      </c>
      <c r="M121" s="1607" t="n"/>
      <c r="N121" s="549" t="inlineStr">
        <is>
          <t>arastog1@jaguarlandrover.com</t>
        </is>
      </c>
      <c r="O121" s="551" t="n"/>
      <c r="P121" s="1604" t="n"/>
      <c r="S121" s="87" t="n"/>
    </row>
    <row r="122" ht="15.95" customHeight="1" s="1232">
      <c r="A122" s="1719" t="n"/>
      <c r="B122" s="1719" t="n"/>
      <c r="C122" s="1719" t="n"/>
      <c r="D122" s="1734" t="n"/>
      <c r="E122" s="1646" t="n"/>
      <c r="F122" s="905" t="n"/>
      <c r="G122" s="1721" t="n"/>
      <c r="H122" s="1646" t="n"/>
      <c r="I122" s="1646" t="n"/>
      <c r="J122" s="1646" t="n"/>
      <c r="K122" s="86" t="n"/>
      <c r="L122" s="1607" t="n"/>
      <c r="M122" s="1607" t="n"/>
      <c r="N122" s="549" t="n"/>
      <c r="O122" s="551" t="n"/>
      <c r="P122" s="1604" t="n"/>
      <c r="S122" s="87" t="n"/>
    </row>
    <row r="123" ht="15.95" customHeight="1" s="1232">
      <c r="A123" s="1719" t="n"/>
      <c r="B123" s="1719" t="n"/>
      <c r="C123" s="1719" t="n"/>
      <c r="D123" s="1734" t="n"/>
      <c r="E123" s="1646" t="n"/>
      <c r="F123" s="905" t="n"/>
      <c r="G123" s="1721" t="n"/>
      <c r="H123" s="1646" t="n"/>
      <c r="I123" s="1646" t="n"/>
      <c r="J123" s="1646" t="n"/>
      <c r="K123" s="86" t="n"/>
      <c r="L123" s="1607" t="n"/>
      <c r="M123" s="1607" t="n"/>
      <c r="N123" s="549" t="n"/>
      <c r="O123" s="551" t="n"/>
      <c r="P123" s="1604" t="n"/>
      <c r="S123" s="87" t="n"/>
    </row>
    <row r="124" ht="15.95" customHeight="1" s="1232">
      <c r="A124" s="1719" t="n"/>
      <c r="B124" s="1719" t="n"/>
      <c r="C124" s="1719" t="n"/>
      <c r="D124" s="1734" t="n"/>
      <c r="E124" s="1646" t="n"/>
      <c r="F124" s="905" t="n"/>
      <c r="G124" s="1721" t="n"/>
      <c r="H124" s="1646" t="n"/>
      <c r="I124" s="1646" t="n"/>
      <c r="J124" s="1646" t="n"/>
      <c r="K124" s="86" t="n"/>
      <c r="L124" s="1607" t="n"/>
      <c r="M124" s="1607" t="n"/>
      <c r="N124" s="549" t="n"/>
      <c r="O124" s="551" t="n"/>
      <c r="P124" s="1604" t="n"/>
      <c r="S124" s="87" t="n"/>
    </row>
    <row r="125" ht="15.95" customHeight="1" s="1232">
      <c r="A125" s="1719" t="n"/>
      <c r="B125" s="1719" t="n"/>
      <c r="C125" s="1719" t="n"/>
      <c r="D125" s="1734" t="n"/>
      <c r="E125" s="1646" t="n"/>
      <c r="F125" s="905" t="n"/>
      <c r="G125" s="1721" t="n"/>
      <c r="H125" s="1646" t="n"/>
      <c r="I125" s="1646" t="n"/>
      <c r="J125" s="1646" t="n"/>
      <c r="K125" s="86" t="n"/>
      <c r="L125" s="1607" t="n"/>
      <c r="M125" s="1607" t="n"/>
      <c r="N125" s="549" t="n"/>
      <c r="O125" s="551" t="n"/>
      <c r="P125" s="1604" t="n"/>
      <c r="S125" s="87" t="n"/>
    </row>
    <row r="126" ht="15.95" customHeight="1" s="1232">
      <c r="A126" s="1719" t="n"/>
      <c r="S126" s="87" t="n"/>
    </row>
    <row r="127" ht="15.95" customFormat="1" customHeight="1" s="1728">
      <c r="A127" s="1738" t="n"/>
      <c r="B127" s="1738" t="n"/>
      <c r="C127" s="1739" t="n"/>
      <c r="D127" s="1739" t="n"/>
      <c r="E127" s="1739" t="n"/>
      <c r="F127" s="1739" t="n"/>
      <c r="G127" s="710" t="n"/>
      <c r="H127" s="710" t="n"/>
      <c r="I127" s="1649" t="n"/>
      <c r="J127" s="1649" t="n"/>
      <c r="K127" s="711" t="n"/>
      <c r="L127" s="1737" t="n"/>
      <c r="N127" s="721" t="n"/>
      <c r="O127" s="722" t="n"/>
      <c r="S127" s="1740" t="n"/>
    </row>
    <row r="128">
      <c r="A128" s="543" t="n"/>
      <c r="C128" s="1741" t="n"/>
      <c r="D128" s="1741" t="n"/>
      <c r="E128" s="543" t="inlineStr">
        <is>
          <t>Number of Participants</t>
        </is>
      </c>
      <c r="F128" s="640">
        <f>COUNTIF(N5:N112,"")</f>
        <v/>
      </c>
      <c r="G128" s="87" t="n"/>
      <c r="H128" s="511" t="n"/>
      <c r="I128" s="1696" t="n"/>
      <c r="N128" s="551" t="n"/>
      <c r="P128" s="1491" t="n"/>
      <c r="Q128" s="1699" t="n"/>
      <c r="R128" s="1699" t="n"/>
      <c r="S128" s="1703" t="n"/>
    </row>
    <row r="129">
      <c r="A129" s="543" t="n"/>
      <c r="C129" s="1630" t="n"/>
      <c r="D129" s="1630" t="n"/>
      <c r="E129" s="543" t="n"/>
      <c r="G129" s="87" t="n"/>
      <c r="H129" s="511" t="n"/>
      <c r="I129" s="1696" t="n"/>
      <c r="N129" s="551" t="n"/>
      <c r="P129" s="1491" t="n"/>
      <c r="Q129" s="1699" t="n"/>
      <c r="R129" s="1699" t="n"/>
      <c r="S129" s="1703" t="n"/>
    </row>
    <row r="130">
      <c r="A130" s="543" t="n"/>
      <c r="B130" s="1568" t="n"/>
      <c r="C130" s="1741" t="n"/>
      <c r="D130" s="1741" t="n"/>
      <c r="E130" s="543" t="inlineStr">
        <is>
          <t>Number of Workshops</t>
        </is>
      </c>
      <c r="F130" s="1568" t="n"/>
      <c r="G130" s="1699" t="n"/>
      <c r="H130" s="511" t="n"/>
      <c r="I130" s="1696" t="n"/>
      <c r="N130" s="551" t="n"/>
      <c r="P130" s="1699" t="n"/>
      <c r="Q130" s="1699" t="n"/>
      <c r="R130" s="1699" t="n"/>
      <c r="S130" s="1703" t="n"/>
    </row>
    <row r="132">
      <c r="B132" s="1568" t="inlineStr">
        <is>
          <t>2.5hrs</t>
        </is>
      </c>
      <c r="C132" s="1741" t="n"/>
      <c r="D132" s="1741" t="n"/>
      <c r="E132" s="715" t="inlineStr">
        <is>
          <t>Number of Workshops</t>
        </is>
      </c>
      <c r="G132" s="87" t="n"/>
      <c r="H132" s="511" t="n"/>
      <c r="I132" s="1696" t="n"/>
    </row>
    <row r="133">
      <c r="B133" s="1568" t="inlineStr">
        <is>
          <t>4hrs</t>
        </is>
      </c>
      <c r="C133" s="1741" t="n"/>
      <c r="D133" s="1741" t="n"/>
      <c r="E133" s="715" t="inlineStr">
        <is>
          <t>Number of Workshops</t>
        </is>
      </c>
      <c r="F133" s="1568" t="n"/>
      <c r="G133" s="1699" t="n"/>
      <c r="H133" s="511" t="n"/>
      <c r="I133" s="1696" t="n"/>
    </row>
    <row r="134">
      <c r="B134" s="1568" t="inlineStr">
        <is>
          <t>1 day</t>
        </is>
      </c>
      <c r="C134" s="1741" t="n"/>
      <c r="D134" s="1741" t="n"/>
      <c r="E134" s="715" t="inlineStr">
        <is>
          <t>Number of Workshops</t>
        </is>
      </c>
      <c r="F134" s="1568" t="n"/>
      <c r="G134" s="1699" t="n"/>
      <c r="H134" s="511" t="n"/>
      <c r="I134" s="1696" t="n"/>
    </row>
    <row r="135">
      <c r="B135" s="1568" t="inlineStr">
        <is>
          <t>2 days</t>
        </is>
      </c>
      <c r="C135" s="1741" t="n"/>
      <c r="D135" s="1741" t="n"/>
      <c r="E135" s="715" t="inlineStr">
        <is>
          <t>Number of Workshops</t>
        </is>
      </c>
      <c r="F135" s="1568" t="n"/>
      <c r="G135" s="1699" t="n"/>
      <c r="H135" s="511" t="n"/>
      <c r="I135" s="1696" t="n"/>
    </row>
    <row r="136">
      <c r="B136" s="1568" t="inlineStr">
        <is>
          <t>3 days</t>
        </is>
      </c>
      <c r="C136" s="1741" t="n"/>
      <c r="D136" s="1741" t="n"/>
      <c r="E136" s="715" t="inlineStr">
        <is>
          <t>Number of Workshops</t>
        </is>
      </c>
      <c r="F136" s="1568" t="n"/>
      <c r="G136" s="1699" t="n"/>
      <c r="H136" s="511" t="n"/>
      <c r="I136" s="1696" t="n"/>
    </row>
    <row r="137">
      <c r="B137" s="1568" t="n"/>
      <c r="C137" s="1741" t="n"/>
      <c r="D137" s="1741" t="n"/>
      <c r="E137" s="543" t="n"/>
      <c r="F137" s="1568" t="n"/>
      <c r="G137" s="1699" t="n"/>
      <c r="H137" s="511" t="n"/>
      <c r="I137" s="1696" t="n"/>
    </row>
    <row r="138">
      <c r="C138" s="1741" t="n"/>
      <c r="D138" s="1741" t="n"/>
      <c r="E138" s="518" t="n"/>
      <c r="G138" s="87" t="n"/>
      <c r="H138" s="511" t="n"/>
      <c r="I138" s="1696" t="n"/>
    </row>
    <row r="139">
      <c r="B139" s="1742" t="n"/>
      <c r="C139" s="1741" t="n"/>
      <c r="D139" s="1741" t="n"/>
      <c r="E139" s="519" t="inlineStr">
        <is>
          <t>Totals</t>
        </is>
      </c>
      <c r="F139" s="714">
        <f>COUNTIF(#REF!,"")</f>
        <v/>
      </c>
      <c r="G139" s="1743">
        <f>SUM(G3:G138)</f>
        <v/>
      </c>
      <c r="H139" s="1743">
        <f>SUM(H3:H138)</f>
        <v/>
      </c>
      <c r="I139" s="1744">
        <f>H139+G139</f>
        <v/>
      </c>
    </row>
    <row r="140">
      <c r="C140" s="1741" t="n"/>
      <c r="D140" s="1741" t="n"/>
      <c r="E140" s="504" t="n"/>
      <c r="G140" s="87" t="n"/>
      <c r="I140" s="1696" t="n"/>
    </row>
    <row r="141">
      <c r="G141" s="87" t="inlineStr">
        <is>
          <t>Target</t>
        </is>
      </c>
      <c r="H141" s="511" t="inlineStr">
        <is>
          <t>31 st Dec</t>
        </is>
      </c>
      <c r="I141" s="1696" t="n">
        <v>30000</v>
      </c>
    </row>
    <row r="142">
      <c r="G142" s="87" t="n"/>
      <c r="I142" s="1696" t="n"/>
    </row>
    <row r="143">
      <c r="G143" s="87" t="inlineStr">
        <is>
          <t>per month</t>
        </is>
      </c>
      <c r="H143" s="1697">
        <f>I143/12</f>
        <v/>
      </c>
      <c r="I143" s="1696">
        <f>N139-I141</f>
        <v/>
      </c>
    </row>
    <row r="155">
      <c r="C155" s="1697" t="inlineStr">
        <is>
          <t>Tue 11th Jan</t>
        </is>
      </c>
      <c r="D155" s="1697" t="inlineStr">
        <is>
          <t>Get Off Auto</t>
        </is>
      </c>
    </row>
    <row r="156">
      <c r="C156" s="1697" t="inlineStr">
        <is>
          <t>Tue 18th Jan</t>
        </is>
      </c>
      <c r="D156" s="1697" t="inlineStr">
        <is>
          <t>Exposure</t>
        </is>
      </c>
    </row>
    <row r="157">
      <c r="C157" s="1697" t="inlineStr">
        <is>
          <t>Tue 25th Jan</t>
        </is>
      </c>
      <c r="D157" s="1697" t="inlineStr">
        <is>
          <t>Camera Settings</t>
        </is>
      </c>
    </row>
    <row r="158">
      <c r="C158" s="1697" t="inlineStr">
        <is>
          <t>Tue 1st Feb</t>
        </is>
      </c>
      <c r="D158" s="1697" t="inlineStr">
        <is>
          <t>Composition</t>
        </is>
      </c>
    </row>
    <row r="159">
      <c r="C159" s="1697" t="inlineStr">
        <is>
          <t>Tue 8th Feb</t>
        </is>
      </c>
      <c r="D159" s="1697" t="inlineStr">
        <is>
          <t>Equipment needed</t>
        </is>
      </c>
    </row>
  </sheetData>
  <autoFilter ref="C2:S139"/>
  <conditionalFormatting sqref="M2">
    <cfRule type="cellIs" priority="19" operator="greaterThan" dxfId="1">
      <formula>0</formula>
    </cfRule>
  </conditionalFormatting>
  <conditionalFormatting sqref="I143">
    <cfRule type="cellIs" priority="15" operator="lessThan" dxfId="1">
      <formula>0</formula>
    </cfRule>
    <cfRule type="cellIs" priority="16" operator="greaterThan" dxfId="0">
      <formula>0</formula>
    </cfRule>
    <cfRule type="cellIs" priority="17" operator="lessThan" dxfId="1">
      <formula>28.7</formula>
    </cfRule>
  </conditionalFormatting>
  <hyperlinks>
    <hyperlink xmlns:r="http://schemas.openxmlformats.org/officeDocument/2006/relationships" ref="N12" r:id="rId1"/>
    <hyperlink xmlns:r="http://schemas.openxmlformats.org/officeDocument/2006/relationships" ref="R23" r:id="rId2"/>
    <hyperlink xmlns:r="http://schemas.openxmlformats.org/officeDocument/2006/relationships" ref="N27" r:id="rId3"/>
    <hyperlink xmlns:r="http://schemas.openxmlformats.org/officeDocument/2006/relationships" ref="N28" r:id="rId4"/>
    <hyperlink xmlns:r="http://schemas.openxmlformats.org/officeDocument/2006/relationships" ref="N34" r:id="rId5"/>
    <hyperlink xmlns:r="http://schemas.openxmlformats.org/officeDocument/2006/relationships" ref="N42" r:id="rId6"/>
    <hyperlink xmlns:r="http://schemas.openxmlformats.org/officeDocument/2006/relationships" ref="N56" r:id="rId7"/>
    <hyperlink xmlns:r="http://schemas.openxmlformats.org/officeDocument/2006/relationships" ref="N57" r:id="rId8"/>
    <hyperlink xmlns:r="http://schemas.openxmlformats.org/officeDocument/2006/relationships" ref="Q69" r:id="rId9"/>
    <hyperlink xmlns:r="http://schemas.openxmlformats.org/officeDocument/2006/relationships" ref="N81" r:id="rId10"/>
    <hyperlink xmlns:r="http://schemas.openxmlformats.org/officeDocument/2006/relationships" ref="N103" r:id="rId11"/>
  </hyperlinks>
  <pageMargins left="0.25" right="0.25" top="0.75" bottom="0.75" header="0.3" footer="0.3"/>
  <pageSetup orientation="landscape" paperSize="9" scale="23"/>
  <legacyDrawing xmlns:r="http://schemas.openxmlformats.org/officeDocument/2006/relationships" r:id="anysvml"/>
</worksheet>
</file>

<file path=xl/worksheets/sheet32.xml><?xml version="1.0" encoding="utf-8"?>
<worksheet xmlns="http://schemas.openxmlformats.org/spreadsheetml/2006/main">
  <sheetPr>
    <tabColor theme="4" tint="-0.249977111117893"/>
    <outlinePr summaryBelow="1" summaryRight="1"/>
    <pageSetUpPr fitToPage="1"/>
  </sheetPr>
  <dimension ref="A1:V575"/>
  <sheetViews>
    <sheetView workbookViewId="0">
      <pane ySplit="1" topLeftCell="A515" activePane="bottomLeft" state="frozen"/>
      <selection activeCell="V27" sqref="V27"/>
      <selection pane="bottomLeft" activeCell="Q537" sqref="Q537"/>
    </sheetView>
  </sheetViews>
  <sheetFormatPr baseColWidth="8" defaultColWidth="9.1328125" defaultRowHeight="14.65"/>
  <cols>
    <col width="21.19921875" customWidth="1" style="1697" min="1" max="1"/>
    <col width="15.796875" customWidth="1" style="1697" min="2" max="2"/>
    <col width="26" customWidth="1" style="1697" min="3" max="3"/>
    <col width="42" customWidth="1" style="1697" min="4" max="4"/>
    <col width="8.53125" customWidth="1" style="1697" min="5" max="5"/>
    <col width="13.86328125" customWidth="1" style="1697" min="6" max="6"/>
    <col width="22.46484375" customWidth="1" style="505" min="7" max="7"/>
    <col width="10.53125" customWidth="1" style="1697" min="8" max="8"/>
    <col width="12.796875" customWidth="1" style="1696" min="9" max="9"/>
    <col width="12.33203125" customWidth="1" style="1697" min="10" max="10"/>
    <col width="5.86328125" customWidth="1" style="1697" min="11" max="11"/>
    <col width="18.46484375" customWidth="1" style="1711" min="12" max="12"/>
    <col width="13.53125" customWidth="1" style="1711" min="13" max="13"/>
    <col width="33" customWidth="1" style="1697" min="14" max="14"/>
    <col width="4.53125" customWidth="1" style="1697" min="15" max="15"/>
    <col width="14.46484375" customWidth="1" style="1697" min="16" max="16"/>
    <col width="12.46484375" customWidth="1" style="1697" min="17" max="17"/>
    <col width="38.1328125" customWidth="1" style="1697" min="18" max="18"/>
    <col width="20.6640625" bestFit="1" customWidth="1" style="1697" min="19" max="19"/>
    <col width="9.1328125" customWidth="1" style="1697" min="20" max="16384"/>
  </cols>
  <sheetData>
    <row r="1" ht="43.9" customHeight="1" s="1232">
      <c r="B1" s="485" t="inlineStr">
        <is>
          <t>Event Date</t>
        </is>
      </c>
      <c r="C1" s="486" t="inlineStr">
        <is>
          <t>Workshop-Location/Theme</t>
        </is>
      </c>
      <c r="D1" s="236" t="inlineStr">
        <is>
          <t>Time/Package</t>
        </is>
      </c>
      <c r="E1" s="1712" t="inlineStr">
        <is>
          <t>Duration</t>
        </is>
      </c>
      <c r="F1" s="1712" t="inlineStr">
        <is>
          <t>source</t>
        </is>
      </c>
      <c r="G1" s="488" t="inlineStr">
        <is>
          <t>Order Ref</t>
        </is>
      </c>
      <c r="H1" s="1713" t="inlineStr">
        <is>
          <t>Date Booked</t>
        </is>
      </c>
      <c r="I1" s="1714" t="inlineStr">
        <is>
          <t>Paid</t>
        </is>
      </c>
      <c r="J1" s="1712" t="inlineStr">
        <is>
          <t>Balance</t>
        </is>
      </c>
      <c r="K1" s="1713" t="inlineStr">
        <is>
          <t>Prefix</t>
        </is>
      </c>
      <c r="L1" s="1745" t="inlineStr">
        <is>
          <t>First Name</t>
        </is>
      </c>
      <c r="M1" s="1745" t="inlineStr">
        <is>
          <t>Last Name</t>
        </is>
      </c>
      <c r="N1" s="1713" t="inlineStr">
        <is>
          <t>Email Address</t>
        </is>
      </c>
      <c r="O1" s="491" t="inlineStr">
        <is>
          <t>Age</t>
        </is>
      </c>
      <c r="P1" s="492" t="inlineStr">
        <is>
          <t>Mobile No'</t>
        </is>
      </c>
      <c r="Q1" s="1713" t="inlineStr">
        <is>
          <t>Post Code</t>
        </is>
      </c>
      <c r="R1" s="492" t="inlineStr">
        <is>
          <t>House No' Street Name</t>
        </is>
      </c>
      <c r="S1" s="1713" t="inlineStr">
        <is>
          <t>Town</t>
        </is>
      </c>
    </row>
    <row r="2">
      <c r="B2" s="494" t="n"/>
      <c r="C2" s="495" t="n"/>
      <c r="D2" s="495" t="n"/>
      <c r="E2" s="1715" t="n"/>
      <c r="F2" s="1715" t="n"/>
      <c r="G2" s="497" t="n"/>
      <c r="H2" s="498" t="inlineStr">
        <is>
          <t>2014</t>
        </is>
      </c>
      <c r="I2" s="1716" t="n"/>
      <c r="J2" s="1716" t="n"/>
      <c r="K2" s="1715" t="n"/>
      <c r="L2" s="1746" t="n"/>
      <c r="M2" s="1746" t="n"/>
      <c r="N2" s="1717" t="n"/>
      <c r="O2" s="501" t="n"/>
      <c r="P2" s="502" t="n"/>
      <c r="Q2" s="1715" t="n"/>
      <c r="R2" s="502" t="n"/>
      <c r="S2" s="1715" t="n"/>
    </row>
    <row r="3" ht="10.5" customHeight="1" s="1232">
      <c r="B3" s="503" t="n"/>
      <c r="C3" s="504" t="n"/>
      <c r="D3" s="504" t="n"/>
      <c r="H3" s="506" t="n"/>
      <c r="J3" s="1696" t="n"/>
      <c r="N3" s="1499" t="n"/>
      <c r="O3" s="509" t="n"/>
      <c r="P3" s="510" t="n"/>
      <c r="R3" s="510" t="n"/>
    </row>
    <row r="4">
      <c r="B4" s="1747" t="n"/>
      <c r="C4" s="710" t="n"/>
      <c r="D4" s="710" t="n"/>
      <c r="E4" s="710" t="n"/>
      <c r="F4" s="710" t="n"/>
      <c r="G4" s="1724" t="n"/>
      <c r="H4" s="968" t="n"/>
      <c r="I4" s="1748" t="n"/>
      <c r="J4" s="1724" t="n"/>
      <c r="K4" s="710" t="n"/>
      <c r="L4" s="710" t="n"/>
      <c r="M4" s="710" t="n"/>
      <c r="N4" s="1726" t="n"/>
      <c r="O4" s="971" t="n"/>
      <c r="P4" s="971" t="n"/>
      <c r="Q4" s="710" t="n"/>
      <c r="R4" s="1749" t="n"/>
      <c r="S4" s="1724" t="n"/>
    </row>
    <row r="5">
      <c r="B5" s="1708" t="n"/>
      <c r="C5" s="1708" t="n"/>
      <c r="D5" s="783" t="n"/>
      <c r="E5" s="783" t="n"/>
      <c r="F5" s="783" t="n"/>
      <c r="G5" s="1750" t="n"/>
      <c r="H5" s="785" t="n"/>
      <c r="I5" s="1751" t="n"/>
      <c r="J5" s="1750" t="n"/>
      <c r="K5" s="783" t="n"/>
      <c r="L5" s="783" t="n"/>
      <c r="M5" s="783" t="n"/>
      <c r="N5" s="1374" t="n"/>
      <c r="O5" s="794" t="n"/>
      <c r="P5" s="794" t="n"/>
      <c r="Q5" s="783" t="n"/>
      <c r="R5" s="1752" t="n"/>
      <c r="S5" s="1750" t="n"/>
    </row>
    <row r="7">
      <c r="B7" s="1753" t="n">
        <v>45312</v>
      </c>
      <c r="C7" s="1753" t="inlineStr">
        <is>
          <t>Secret Woodlands</t>
        </is>
      </c>
      <c r="D7" s="883" t="inlineStr">
        <is>
          <t>All Day</t>
        </is>
      </c>
      <c r="E7" s="783" t="inlineStr">
        <is>
          <t>6hrs</t>
        </is>
      </c>
      <c r="F7" s="783" t="inlineStr">
        <is>
          <t>Google</t>
        </is>
      </c>
      <c r="G7" s="1750" t="inlineStr">
        <is>
          <t>#02647</t>
        </is>
      </c>
      <c r="H7" s="785" t="n">
        <v>45237</v>
      </c>
      <c r="I7" s="1751" t="n">
        <v>125</v>
      </c>
      <c r="J7" s="1750" t="n">
        <v>0</v>
      </c>
      <c r="K7" s="783" t="inlineStr">
        <is>
          <t>Ms</t>
        </is>
      </c>
      <c r="L7" s="783" t="inlineStr">
        <is>
          <t>Lucy</t>
        </is>
      </c>
      <c r="M7" s="783" t="inlineStr">
        <is>
          <t>Gutteridge</t>
        </is>
      </c>
      <c r="N7" s="1374" t="inlineStr">
        <is>
          <t xml:space="preserve">lucyg71@hotmail.com </t>
        </is>
      </c>
      <c r="O7" s="794" t="inlineStr">
        <is>
          <t>52</t>
        </is>
      </c>
      <c r="P7" s="794" t="inlineStr">
        <is>
          <t>07488347840</t>
        </is>
      </c>
      <c r="Q7" s="783" t="inlineStr">
        <is>
          <t>Le10 0wg</t>
        </is>
      </c>
      <c r="R7" s="1752" t="inlineStr">
        <is>
          <t>50 Florian way</t>
        </is>
      </c>
      <c r="S7" s="1750" t="inlineStr">
        <is>
          <t>Hinckley</t>
        </is>
      </c>
    </row>
    <row r="8">
      <c r="B8" s="1753" t="n">
        <v>45493</v>
      </c>
      <c r="C8" s="937" t="inlineStr">
        <is>
          <t>Lavender Sunset</t>
        </is>
      </c>
      <c r="D8" s="883" t="n"/>
      <c r="E8" s="783" t="inlineStr">
        <is>
          <t>2.5hrs</t>
        </is>
      </c>
      <c r="F8" s="783" t="inlineStr">
        <is>
          <t>Google</t>
        </is>
      </c>
      <c r="G8" s="1750" t="inlineStr">
        <is>
          <t>#02503</t>
        </is>
      </c>
      <c r="H8" s="785" t="n">
        <v>45051</v>
      </c>
      <c r="I8" s="1751" t="n">
        <v>75</v>
      </c>
      <c r="J8" s="1750" t="n">
        <v>75</v>
      </c>
      <c r="K8" s="86" t="inlineStr">
        <is>
          <t>Ms</t>
        </is>
      </c>
      <c r="L8" s="1607" t="inlineStr">
        <is>
          <t>Fin</t>
        </is>
      </c>
      <c r="M8" s="1607" t="inlineStr">
        <is>
          <t>Simpson</t>
        </is>
      </c>
      <c r="N8" s="767" t="inlineStr">
        <is>
          <t>findlay.simpson@btinternet.com</t>
        </is>
      </c>
      <c r="O8" s="551" t="inlineStr">
        <is>
          <t>72</t>
        </is>
      </c>
      <c r="P8" s="1604" t="inlineStr">
        <is>
          <t>07402172844</t>
        </is>
      </c>
      <c r="Q8" s="1697" t="inlineStr">
        <is>
          <t>GL7 1RG</t>
        </is>
      </c>
      <c r="R8" s="1697" t="inlineStr">
        <is>
          <t>16 St Peter’s Road</t>
        </is>
      </c>
      <c r="S8" s="87" t="inlineStr">
        <is>
          <t>Cirencester</t>
        </is>
      </c>
    </row>
    <row r="10">
      <c r="B10" s="1753" t="n"/>
      <c r="C10" s="783" t="n"/>
      <c r="D10" s="783" t="n"/>
      <c r="E10" s="1568" t="n"/>
      <c r="F10" s="783" t="n"/>
      <c r="G10" s="1750" t="n"/>
      <c r="H10" s="785" t="n"/>
      <c r="I10" s="1751" t="n"/>
      <c r="J10" s="1750" t="n"/>
      <c r="K10" s="86" t="n"/>
      <c r="L10" s="1607" t="n"/>
      <c r="M10" s="1607" t="n"/>
      <c r="N10" s="549" t="n"/>
      <c r="O10" s="551" t="n"/>
      <c r="P10" s="1604" t="n"/>
      <c r="S10" s="87" t="n"/>
    </row>
    <row r="11">
      <c r="B11" s="1754" t="n"/>
      <c r="C11" s="1063" t="n"/>
      <c r="D11" s="1064" t="n"/>
      <c r="E11" s="710" t="n"/>
      <c r="F11" s="710" t="n"/>
      <c r="G11" s="1724" t="n"/>
      <c r="H11" s="968" t="n"/>
      <c r="I11" s="1748" t="n"/>
      <c r="J11" s="1724" t="n"/>
      <c r="K11" s="880" t="n"/>
      <c r="L11" s="1651" t="n"/>
      <c r="M11" s="1651" t="n"/>
      <c r="N11" s="721" t="inlineStr">
        <is>
          <t>mailto:barford.neil@gmail.com</t>
        </is>
      </c>
      <c r="O11" s="722" t="n"/>
      <c r="P11" s="1727" t="n"/>
      <c r="Q11" s="1728" t="n"/>
      <c r="R11" s="1728" t="n"/>
      <c r="S11" s="879" t="n"/>
    </row>
    <row r="12">
      <c r="G12" s="1697" t="n"/>
      <c r="I12" s="1697" t="n"/>
      <c r="L12" s="1697" t="n"/>
      <c r="M12" s="1697" t="n"/>
    </row>
    <row r="13">
      <c r="G13" s="1697" t="n"/>
      <c r="I13" s="1697" t="n"/>
      <c r="L13" s="1697" t="n"/>
      <c r="M13" s="1697" t="n"/>
    </row>
    <row r="14">
      <c r="B14" s="1708" t="n">
        <v>45660</v>
      </c>
      <c r="C14" s="783" t="inlineStr">
        <is>
          <t xml:space="preserve">Woodland Walk </t>
        </is>
      </c>
      <c r="D14" s="783" t="inlineStr">
        <is>
          <t>Hay Woods</t>
        </is>
      </c>
      <c r="E14" s="1568" t="inlineStr">
        <is>
          <t>2hrs</t>
        </is>
      </c>
      <c r="F14" s="1568" t="inlineStr">
        <is>
          <t>Existing</t>
        </is>
      </c>
      <c r="G14" s="87" t="inlineStr">
        <is>
          <t>#02888</t>
        </is>
      </c>
      <c r="H14" s="511" t="n">
        <v>45589</v>
      </c>
      <c r="I14" s="1696" t="n">
        <v>9.949999999999999</v>
      </c>
      <c r="J14" s="1697" t="n">
        <v>0</v>
      </c>
      <c r="K14" s="1646" t="inlineStr">
        <is>
          <t>Mr</t>
        </is>
      </c>
      <c r="L14" s="1705" t="inlineStr">
        <is>
          <t>Jeremy</t>
        </is>
      </c>
      <c r="M14" s="1705" t="inlineStr">
        <is>
          <t>Troth</t>
        </is>
      </c>
      <c r="N14" s="1374" t="inlineStr">
        <is>
          <t xml:space="preserve">jeremytroth@btinternet.com </t>
        </is>
      </c>
      <c r="O14" s="1707" t="inlineStr">
        <is>
          <t>58</t>
        </is>
      </c>
      <c r="P14" s="1707" t="inlineStr">
        <is>
          <t>07592 725533</t>
        </is>
      </c>
      <c r="Q14" s="1646" t="inlineStr">
        <is>
          <t>B91 2PS</t>
        </is>
      </c>
      <c r="R14" s="1646" t="inlineStr">
        <is>
          <t>Flat 2 Monarchs Gate</t>
        </is>
      </c>
      <c r="S14" s="1646" t="inlineStr">
        <is>
          <t>Solihull</t>
        </is>
      </c>
    </row>
    <row r="15">
      <c r="B15" s="1708" t="n">
        <v>45660</v>
      </c>
      <c r="C15" s="783" t="inlineStr">
        <is>
          <t xml:space="preserve">Woodland Walk </t>
        </is>
      </c>
      <c r="D15" s="783" t="inlineStr">
        <is>
          <t>Hay Woods</t>
        </is>
      </c>
      <c r="E15" s="1568" t="inlineStr">
        <is>
          <t>2hrs</t>
        </is>
      </c>
      <c r="F15" s="783" t="inlineStr">
        <is>
          <t>Google</t>
        </is>
      </c>
      <c r="G15" s="1750" t="inlineStr">
        <is>
          <t>#02855</t>
        </is>
      </c>
      <c r="H15" s="785" t="n">
        <v>45547</v>
      </c>
      <c r="I15" s="1751" t="n">
        <v>9.949999999999999</v>
      </c>
      <c r="J15" s="1750" t="n">
        <v>0</v>
      </c>
      <c r="K15" s="86" t="inlineStr">
        <is>
          <t>Ms</t>
        </is>
      </c>
      <c r="L15" s="1607" t="inlineStr">
        <is>
          <t>Jin</t>
        </is>
      </c>
      <c r="M15" s="1607" t="inlineStr">
        <is>
          <t>Zhang</t>
        </is>
      </c>
      <c r="N15" s="549" t="inlineStr">
        <is>
          <t xml:space="preserve">jinzh@hotmail.com </t>
        </is>
      </c>
      <c r="O15" s="551" t="inlineStr">
        <is>
          <t>54</t>
        </is>
      </c>
      <c r="P15" s="1604" t="inlineStr">
        <is>
          <t>07486909998</t>
        </is>
      </c>
      <c r="Q15" s="1697" t="inlineStr">
        <is>
          <t>CV8 1FG</t>
        </is>
      </c>
      <c r="R15" s="1697" t="inlineStr">
        <is>
          <t>2 Towers Close</t>
        </is>
      </c>
      <c r="S15" s="87" t="inlineStr">
        <is>
          <t>Kenilworth</t>
        </is>
      </c>
    </row>
    <row r="16">
      <c r="B16" s="1708" t="n">
        <v>45660</v>
      </c>
      <c r="C16" s="783" t="inlineStr">
        <is>
          <t xml:space="preserve">Woodland Walk </t>
        </is>
      </c>
      <c r="D16" s="783" t="inlineStr">
        <is>
          <t>Hay Woods</t>
        </is>
      </c>
      <c r="E16" s="1568" t="inlineStr">
        <is>
          <t>2hrs</t>
        </is>
      </c>
      <c r="F16" s="1568" t="inlineStr">
        <is>
          <t>Existing</t>
        </is>
      </c>
      <c r="G16" s="1750" t="inlineStr">
        <is>
          <t>#02921</t>
        </is>
      </c>
      <c r="H16" s="785" t="n">
        <v>45648</v>
      </c>
      <c r="I16" s="1751" t="n">
        <v>15</v>
      </c>
      <c r="J16" s="1750" t="n">
        <v>0</v>
      </c>
      <c r="K16" s="86" t="inlineStr">
        <is>
          <t>Mr</t>
        </is>
      </c>
      <c r="L16" s="1607" t="inlineStr">
        <is>
          <t>Michael</t>
        </is>
      </c>
      <c r="M16" s="1607" t="inlineStr">
        <is>
          <t>Jay</t>
        </is>
      </c>
      <c r="N16" s="549" t="inlineStr">
        <is>
          <t xml:space="preserve">mikejaye@btinternet.com </t>
        </is>
      </c>
      <c r="O16" s="551" t="inlineStr">
        <is>
          <t>50</t>
        </is>
      </c>
      <c r="P16" s="1604" t="inlineStr">
        <is>
          <t>07841987147</t>
        </is>
      </c>
      <c r="Q16" s="1697" t="inlineStr">
        <is>
          <t>CV47 1PD</t>
        </is>
      </c>
      <c r="R16" s="1697" t="inlineStr">
        <is>
          <t>10 Bridge End</t>
        </is>
      </c>
      <c r="S16" s="87" t="inlineStr">
        <is>
          <t>Southam</t>
        </is>
      </c>
    </row>
    <row r="17">
      <c r="B17" s="1708" t="n">
        <v>45660</v>
      </c>
      <c r="C17" s="783" t="inlineStr">
        <is>
          <t xml:space="preserve">Woodland Walk </t>
        </is>
      </c>
      <c r="D17" s="783" t="inlineStr">
        <is>
          <t>Hay Woods</t>
        </is>
      </c>
      <c r="E17" s="1568" t="inlineStr">
        <is>
          <t>2hrs</t>
        </is>
      </c>
      <c r="F17" s="783" t="inlineStr">
        <is>
          <t>Google</t>
        </is>
      </c>
      <c r="G17" s="1750" t="inlineStr">
        <is>
          <t>#02928</t>
        </is>
      </c>
      <c r="H17" s="785" t="n">
        <v>45659</v>
      </c>
      <c r="I17" s="1751" t="n">
        <v>15</v>
      </c>
      <c r="J17" s="1750" t="n">
        <v>0</v>
      </c>
      <c r="K17" s="86" t="inlineStr">
        <is>
          <t>Mr</t>
        </is>
      </c>
      <c r="L17" s="1607" t="inlineStr">
        <is>
          <t xml:space="preserve">Anant </t>
        </is>
      </c>
      <c r="M17" s="1607" t="inlineStr">
        <is>
          <t>Bhatia</t>
        </is>
      </c>
      <c r="N17" s="549" t="inlineStr">
        <is>
          <t xml:space="preserve">anant.bhatia92@gmail.com </t>
        </is>
      </c>
      <c r="O17" s="551" t="inlineStr">
        <is>
          <t>33</t>
        </is>
      </c>
      <c r="P17" s="1604" t="inlineStr">
        <is>
          <t xml:space="preserve">07548537910 </t>
        </is>
      </c>
      <c r="Q17" s="1697" t="inlineStr">
        <is>
          <t>CV34 5JQ</t>
        </is>
      </c>
      <c r="R17" s="1697" t="inlineStr">
        <is>
          <t>37 Jones Road</t>
        </is>
      </c>
      <c r="S17" s="87" t="inlineStr">
        <is>
          <t>Warwick</t>
        </is>
      </c>
    </row>
    <row r="18">
      <c r="B18" s="1755" t="n"/>
      <c r="C18" s="1755" t="n"/>
      <c r="D18" s="1755" t="n"/>
      <c r="E18" s="1755" t="n"/>
      <c r="F18" s="1755" t="n"/>
      <c r="G18" s="1059" t="n"/>
      <c r="H18" s="1755" t="n"/>
      <c r="I18" s="1756" t="n"/>
      <c r="J18" s="1755" t="n"/>
      <c r="K18" s="1755" t="n"/>
      <c r="L18" s="1757" t="n"/>
      <c r="M18" s="1757" t="n"/>
      <c r="N18" s="1755" t="n"/>
      <c r="O18" s="1755" t="n"/>
      <c r="P18" s="1755" t="n"/>
      <c r="Q18" s="1755" t="n"/>
      <c r="R18" s="1755" t="n"/>
      <c r="S18" s="1755" t="n"/>
      <c r="T18" s="1755" t="n"/>
    </row>
    <row r="19">
      <c r="B19" s="1708" t="n"/>
      <c r="C19" s="1708" t="n"/>
      <c r="D19" s="1568" t="n"/>
      <c r="F19" s="1568" t="n"/>
      <c r="G19" s="87" t="n"/>
      <c r="H19" s="785" t="n"/>
      <c r="K19" s="1568" t="n"/>
      <c r="L19" s="1610" t="n"/>
      <c r="M19" s="1610" t="n"/>
      <c r="N19" s="1374" t="n"/>
      <c r="O19" s="1604" t="n"/>
      <c r="P19" s="1604" t="n"/>
    </row>
    <row r="21">
      <c r="B21" s="1708" t="n">
        <v>45703</v>
      </c>
      <c r="C21" s="1568" t="inlineStr">
        <is>
          <t>Abstract &amp; Macro</t>
        </is>
      </c>
      <c r="D21" s="1568" t="inlineStr">
        <is>
          <t>Charlecote or Coventry</t>
        </is>
      </c>
      <c r="E21" s="1568" t="inlineStr">
        <is>
          <t>2.5hrs</t>
        </is>
      </c>
      <c r="F21" s="1568" t="inlineStr">
        <is>
          <t>JLR</t>
        </is>
      </c>
      <c r="G21" s="87" t="inlineStr">
        <is>
          <t>IIY#4221637508371yeO</t>
        </is>
      </c>
      <c r="H21" s="785" t="n">
        <v>28</v>
      </c>
      <c r="I21" s="1696" t="n">
        <v>60</v>
      </c>
      <c r="J21" s="1697" t="n">
        <v>0</v>
      </c>
      <c r="K21" s="1568" t="inlineStr">
        <is>
          <t>Mr</t>
        </is>
      </c>
      <c r="L21" s="1610" t="inlineStr">
        <is>
          <t>Andrew</t>
        </is>
      </c>
      <c r="M21" s="1610" t="inlineStr">
        <is>
          <t>Lockwood</t>
        </is>
      </c>
      <c r="N21" s="1374" t="inlineStr">
        <is>
          <t>alockwo3@jaguarlandrover.com</t>
        </is>
      </c>
      <c r="P21" s="1374" t="inlineStr">
        <is>
          <t>7lockwood@googlemail.com</t>
        </is>
      </c>
    </row>
    <row r="23">
      <c r="B23" s="1753" t="n">
        <v>45704</v>
      </c>
      <c r="C23" s="1753" t="n">
        <v>45718</v>
      </c>
      <c r="D23" s="1643" t="inlineStr">
        <is>
          <t>Peak District - Padley / Bolhill</t>
        </is>
      </c>
      <c r="E23" s="1643" t="inlineStr">
        <is>
          <t>All Day</t>
        </is>
      </c>
      <c r="F23" s="1643" t="inlineStr">
        <is>
          <t>Google</t>
        </is>
      </c>
      <c r="G23" s="608" t="inlineStr">
        <is>
          <t>#02794</t>
        </is>
      </c>
      <c r="H23" s="904" t="n">
        <v>45419</v>
      </c>
      <c r="I23" s="1645" t="n">
        <v>150</v>
      </c>
      <c r="J23" s="1643" t="n">
        <v>0</v>
      </c>
      <c r="K23" s="1568" t="inlineStr">
        <is>
          <t>Mr</t>
        </is>
      </c>
      <c r="L23" s="1610" t="inlineStr">
        <is>
          <t>Neil</t>
        </is>
      </c>
      <c r="M23" s="1610" t="inlineStr">
        <is>
          <t>Barford</t>
        </is>
      </c>
      <c r="N23" s="1374" t="inlineStr">
        <is>
          <t>barford.neil@gmail.com</t>
        </is>
      </c>
      <c r="O23" s="1604" t="inlineStr">
        <is>
          <t>61</t>
        </is>
      </c>
      <c r="P23" s="1604" t="inlineStr">
        <is>
          <t>07530694834</t>
        </is>
      </c>
      <c r="Q23" s="1697" t="inlineStr">
        <is>
          <t>LE13 0EH</t>
        </is>
      </c>
      <c r="R23" s="1697" t="inlineStr">
        <is>
          <t>19 winster crescent</t>
        </is>
      </c>
      <c r="S23" s="1697" t="inlineStr">
        <is>
          <t>melton mowbray</t>
        </is>
      </c>
    </row>
    <row r="24">
      <c r="B24" s="1708" t="n"/>
      <c r="C24" s="1708" t="n"/>
      <c r="D24" s="1568" t="n"/>
      <c r="E24" s="1568" t="n"/>
      <c r="F24" s="1568" t="n"/>
      <c r="G24" s="87" t="n"/>
      <c r="H24" s="785" t="n"/>
      <c r="K24" s="1568" t="n"/>
      <c r="L24" s="1610" t="n"/>
      <c r="M24" s="1610" t="n"/>
      <c r="N24" s="1374" t="n"/>
      <c r="O24" s="1604" t="n"/>
      <c r="P24" s="1604" t="n"/>
    </row>
    <row r="25">
      <c r="B25" s="1708" t="n"/>
      <c r="C25" s="1708" t="n"/>
      <c r="D25" s="1568" t="n"/>
      <c r="E25" s="1568" t="n"/>
      <c r="F25" s="1568" t="n"/>
      <c r="G25" s="87" t="n"/>
      <c r="H25" s="785" t="n"/>
      <c r="K25" s="1568" t="n"/>
      <c r="L25" s="1610" t="n"/>
      <c r="M25" s="1610" t="n"/>
      <c r="N25" s="1374" t="n"/>
      <c r="O25" s="1604" t="n"/>
      <c r="P25" s="1604" t="n"/>
    </row>
    <row r="26">
      <c r="B26" s="1708" t="n">
        <v>45708</v>
      </c>
      <c r="C26" s="1708" t="n">
        <v>45711</v>
      </c>
      <c r="D26" s="1568" t="inlineStr">
        <is>
          <t>Hartland Quay</t>
        </is>
      </c>
      <c r="E26" s="1568" t="inlineStr">
        <is>
          <t>4 Days</t>
        </is>
      </c>
      <c r="F26" s="1568" t="inlineStr">
        <is>
          <t>Google</t>
        </is>
      </c>
      <c r="G26" s="87" t="inlineStr">
        <is>
          <t>#02892</t>
        </is>
      </c>
      <c r="H26" s="785" t="n">
        <v>45593</v>
      </c>
      <c r="I26" s="1696" t="n">
        <v>895</v>
      </c>
      <c r="J26" s="1697" t="n">
        <v>0</v>
      </c>
      <c r="K26" s="1568" t="inlineStr">
        <is>
          <t>Mr</t>
        </is>
      </c>
      <c r="L26" s="1610" t="inlineStr">
        <is>
          <t>Steve</t>
        </is>
      </c>
      <c r="M26" s="1610" t="inlineStr">
        <is>
          <t>Cantley</t>
        </is>
      </c>
      <c r="N26" s="1374" t="inlineStr">
        <is>
          <t xml:space="preserve">steve.cantlay@gmail.com </t>
        </is>
      </c>
      <c r="O26" s="1604" t="inlineStr">
        <is>
          <t>62</t>
        </is>
      </c>
      <c r="P26" s="1604" t="inlineStr">
        <is>
          <t>07843386841</t>
        </is>
      </c>
      <c r="Q26" s="1697" t="inlineStr">
        <is>
          <t>CH62 8BH</t>
        </is>
      </c>
      <c r="R26" s="1697" t="inlineStr">
        <is>
          <t>185 Raeburn Avenue</t>
        </is>
      </c>
      <c r="S26" s="1697" t="inlineStr">
        <is>
          <t>Eastham</t>
        </is>
      </c>
    </row>
    <row r="27">
      <c r="B27" s="1708" t="n">
        <v>45708</v>
      </c>
      <c r="C27" s="1708" t="n">
        <v>45711</v>
      </c>
      <c r="D27" s="1568" t="inlineStr">
        <is>
          <t>Hartland Quay</t>
        </is>
      </c>
      <c r="E27" s="1568" t="inlineStr">
        <is>
          <t>4 Days</t>
        </is>
      </c>
      <c r="F27" s="1568" t="inlineStr">
        <is>
          <t>Google</t>
        </is>
      </c>
      <c r="G27" s="87" t="inlineStr">
        <is>
          <t>#02794</t>
        </is>
      </c>
      <c r="H27" s="785" t="n">
        <v>45419</v>
      </c>
      <c r="I27" s="1696" t="n">
        <v>895</v>
      </c>
      <c r="J27" s="1697" t="n">
        <v>0</v>
      </c>
      <c r="K27" s="1568" t="inlineStr">
        <is>
          <t>Mr</t>
        </is>
      </c>
      <c r="L27" s="1610" t="inlineStr">
        <is>
          <t>Neil</t>
        </is>
      </c>
      <c r="M27" s="1610" t="inlineStr">
        <is>
          <t>Barford</t>
        </is>
      </c>
      <c r="N27" s="1374" t="inlineStr">
        <is>
          <t>barford.neil@gmail.com</t>
        </is>
      </c>
      <c r="O27" s="1604" t="inlineStr">
        <is>
          <t>61</t>
        </is>
      </c>
      <c r="P27" s="1604" t="inlineStr">
        <is>
          <t>07530694834</t>
        </is>
      </c>
      <c r="Q27" s="1697" t="inlineStr">
        <is>
          <t>LE13 0EH</t>
        </is>
      </c>
      <c r="R27" s="1697" t="inlineStr">
        <is>
          <t>19 winster crescent</t>
        </is>
      </c>
      <c r="S27" s="1697" t="inlineStr">
        <is>
          <t>melton mowbray</t>
        </is>
      </c>
    </row>
    <row r="28">
      <c r="B28" s="1708" t="n"/>
      <c r="C28" s="1708" t="n"/>
      <c r="D28" s="1568" t="n"/>
      <c r="E28" s="1568" t="n"/>
      <c r="F28" s="1568" t="n"/>
      <c r="G28" s="87" t="n"/>
      <c r="H28" s="785" t="n"/>
      <c r="K28" s="1568" t="n"/>
      <c r="L28" s="1610" t="n"/>
      <c r="M28" s="1610" t="n"/>
      <c r="N28" s="1374" t="n"/>
      <c r="O28" s="1604" t="n"/>
      <c r="P28" s="1604" t="n"/>
    </row>
    <row r="30">
      <c r="B30" s="1708" t="n">
        <v>45715</v>
      </c>
      <c r="C30" s="1708" t="n">
        <v>45718</v>
      </c>
      <c r="D30" s="1568" t="inlineStr">
        <is>
          <t>Northumberland</t>
        </is>
      </c>
      <c r="E30" s="1568" t="inlineStr">
        <is>
          <t>4 Days</t>
        </is>
      </c>
      <c r="F30" s="1568" t="inlineStr">
        <is>
          <t>Google</t>
        </is>
      </c>
      <c r="G30" s="87" t="inlineStr">
        <is>
          <t>#02945</t>
        </is>
      </c>
      <c r="H30" s="785" t="n">
        <v>45683</v>
      </c>
      <c r="I30" s="1696" t="n">
        <v>995</v>
      </c>
      <c r="J30" s="1697" t="n">
        <v>0</v>
      </c>
      <c r="K30" s="1568" t="inlineStr">
        <is>
          <t>Mr</t>
        </is>
      </c>
      <c r="L30" s="1610" t="inlineStr">
        <is>
          <t>Nigel</t>
        </is>
      </c>
      <c r="M30" s="1610" t="inlineStr">
        <is>
          <t>Proctor</t>
        </is>
      </c>
      <c r="N30" s="1374" t="inlineStr">
        <is>
          <t>proctor.nigelp@googlemail.com</t>
        </is>
      </c>
      <c r="O30" s="1604" t="inlineStr">
        <is>
          <t>52</t>
        </is>
      </c>
      <c r="P30" s="1604" t="inlineStr">
        <is>
          <t>07756200968</t>
        </is>
      </c>
      <c r="Q30" s="1697" t="inlineStr">
        <is>
          <t>hp7 9bx</t>
        </is>
      </c>
      <c r="R30" s="1697" t="inlineStr">
        <is>
          <t>56, Hundred Acres Lane</t>
        </is>
      </c>
      <c r="S30" s="1568" t="inlineStr">
        <is>
          <t>Amersham</t>
        </is>
      </c>
    </row>
    <row r="31">
      <c r="B31" s="1708" t="n">
        <v>45715</v>
      </c>
      <c r="C31" s="1708" t="n">
        <v>45718</v>
      </c>
      <c r="D31" s="1568" t="inlineStr">
        <is>
          <t>Northumberland</t>
        </is>
      </c>
      <c r="E31" s="1568" t="inlineStr">
        <is>
          <t>4 Days</t>
        </is>
      </c>
      <c r="F31" s="1568" t="inlineStr">
        <is>
          <t>Exisiting</t>
        </is>
      </c>
      <c r="G31" s="87" t="inlineStr">
        <is>
          <t>#02949</t>
        </is>
      </c>
      <c r="H31" s="785" t="n">
        <v>45686</v>
      </c>
      <c r="I31" s="1696" t="n">
        <v>845.75</v>
      </c>
      <c r="J31" s="1697" t="n">
        <v>0</v>
      </c>
      <c r="K31" s="1568" t="inlineStr">
        <is>
          <t>Ms</t>
        </is>
      </c>
      <c r="L31" s="1610" t="inlineStr">
        <is>
          <t xml:space="preserve">Kirsten </t>
        </is>
      </c>
      <c r="M31" s="1610" t="inlineStr">
        <is>
          <t>Pearce</t>
        </is>
      </c>
      <c r="N31" s="1374" t="inlineStr">
        <is>
          <t xml:space="preserve">knpearce@hotmail.com </t>
        </is>
      </c>
      <c r="O31" s="1604" t="inlineStr">
        <is>
          <t>48</t>
        </is>
      </c>
      <c r="P31" s="1604" t="inlineStr">
        <is>
          <t>07866614574</t>
        </is>
      </c>
      <c r="Q31" s="1697" t="inlineStr">
        <is>
          <t>CV6 2BB</t>
        </is>
      </c>
      <c r="R31" s="1697" t="inlineStr">
        <is>
          <t>101 Birchfield Road</t>
        </is>
      </c>
      <c r="S31" s="1568" t="inlineStr">
        <is>
          <t>Coventry</t>
        </is>
      </c>
    </row>
    <row r="32">
      <c r="B32" s="1708" t="n">
        <v>45715</v>
      </c>
      <c r="C32" s="1708" t="n">
        <v>45718</v>
      </c>
      <c r="D32" s="1568" t="inlineStr">
        <is>
          <t>Northumberland</t>
        </is>
      </c>
      <c r="E32" s="1568" t="inlineStr">
        <is>
          <t>4 Days</t>
        </is>
      </c>
      <c r="F32" s="1568" t="inlineStr">
        <is>
          <t>Exisiting</t>
        </is>
      </c>
      <c r="G32" s="87" t="inlineStr">
        <is>
          <t>#02958</t>
        </is>
      </c>
      <c r="H32" s="785" t="n">
        <v>45705</v>
      </c>
      <c r="I32" s="1696" t="n">
        <v>995</v>
      </c>
      <c r="J32" s="1697" t="n">
        <v>0</v>
      </c>
      <c r="K32" s="1568" t="inlineStr">
        <is>
          <t>Ms</t>
        </is>
      </c>
      <c r="L32" s="1610" t="inlineStr">
        <is>
          <t>Shelly</t>
        </is>
      </c>
      <c r="M32" s="1610" t="inlineStr">
        <is>
          <t>Soo</t>
        </is>
      </c>
      <c r="N32" s="1374" t="inlineStr">
        <is>
          <t xml:space="preserve">shellysoo@ymail.com </t>
        </is>
      </c>
      <c r="O32" s="1604" t="n"/>
      <c r="P32" s="1604" t="inlineStr">
        <is>
          <t xml:space="preserve">07711402504 </t>
        </is>
      </c>
      <c r="Q32" s="1697" t="inlineStr">
        <is>
          <t>LA2 0EN</t>
        </is>
      </c>
      <c r="R32" s="1697" t="inlineStr">
        <is>
          <t>1 Sandside Cottages</t>
        </is>
      </c>
      <c r="S32" s="1568" t="inlineStr">
        <is>
          <t>Lancaster</t>
        </is>
      </c>
    </row>
    <row r="33">
      <c r="B33" s="1708" t="n"/>
      <c r="C33" s="1708" t="n"/>
      <c r="D33" s="1568" t="n"/>
      <c r="E33" s="1568" t="n"/>
      <c r="F33" s="1568" t="n"/>
      <c r="G33" s="87" t="n"/>
      <c r="H33" s="785" t="n"/>
      <c r="K33" s="1568" t="n"/>
      <c r="L33" s="1610" t="n"/>
      <c r="M33" s="1610" t="n"/>
      <c r="N33" s="1374" t="n"/>
      <c r="O33" s="1604" t="n"/>
      <c r="P33" s="1604" t="n"/>
      <c r="S33" s="1568" t="n"/>
    </row>
    <row r="34">
      <c r="B34" s="1708" t="n">
        <v>45721</v>
      </c>
      <c r="C34" s="1708" t="n">
        <v>45721</v>
      </c>
      <c r="D34" s="1568" t="inlineStr">
        <is>
          <t>Woodland Walk - Oakley Wood</t>
        </is>
      </c>
      <c r="E34" s="1568" t="inlineStr">
        <is>
          <t>2hrs</t>
        </is>
      </c>
      <c r="F34" s="1568" t="inlineStr">
        <is>
          <t>JLR</t>
        </is>
      </c>
      <c r="G34" s="87" t="inlineStr">
        <is>
          <t>IIY-#3222657371-#479</t>
        </is>
      </c>
      <c r="H34" s="785" t="n">
        <v>45685</v>
      </c>
      <c r="I34" s="1696" t="n">
        <v>0</v>
      </c>
      <c r="J34" s="1697" t="n">
        <v>12</v>
      </c>
      <c r="K34" s="1568" t="inlineStr">
        <is>
          <t>Ms</t>
        </is>
      </c>
      <c r="L34" s="1610" t="inlineStr">
        <is>
          <t>Holly</t>
        </is>
      </c>
      <c r="M34" s="1604" t="inlineStr">
        <is>
          <t>Pownall</t>
        </is>
      </c>
      <c r="N34" s="1374" t="inlineStr">
        <is>
          <t>hpownall@jaguarlandrover.com</t>
        </is>
      </c>
      <c r="O34" s="1604" t="n"/>
      <c r="P34" s="1604" t="inlineStr">
        <is>
          <t>07928921163</t>
        </is>
      </c>
      <c r="S34" s="1568" t="n"/>
    </row>
    <row r="35">
      <c r="B35" s="1708" t="n">
        <v>45721</v>
      </c>
      <c r="C35" s="1708" t="n">
        <v>45721</v>
      </c>
      <c r="D35" s="1568" t="inlineStr">
        <is>
          <t>Woodland Walk - Oakley Wood</t>
        </is>
      </c>
      <c r="E35" s="1568" t="inlineStr">
        <is>
          <t>2hrs</t>
        </is>
      </c>
      <c r="F35" s="1568" t="inlineStr">
        <is>
          <t>JLR</t>
        </is>
      </c>
      <c r="G35" s="87" t="inlineStr">
        <is>
          <t>IIY-#6465897371-#479</t>
        </is>
      </c>
      <c r="H35" s="785" t="n">
        <v>45685</v>
      </c>
      <c r="I35" s="1696" t="n">
        <v>0</v>
      </c>
      <c r="J35" s="1697" t="n">
        <v>12</v>
      </c>
      <c r="K35" s="1568" t="inlineStr">
        <is>
          <t>Ms</t>
        </is>
      </c>
      <c r="L35" s="1610" t="inlineStr">
        <is>
          <t xml:space="preserve">Mya </t>
        </is>
      </c>
      <c r="M35" s="1610" t="inlineStr">
        <is>
          <t>Sharda</t>
        </is>
      </c>
      <c r="N35" s="1374" t="inlineStr">
        <is>
          <t>msharda@jaguarlandrover.com</t>
        </is>
      </c>
      <c r="O35" s="1604" t="n"/>
      <c r="P35" s="1604" t="inlineStr">
        <is>
          <t>07985238383</t>
        </is>
      </c>
      <c r="S35" s="1568" t="n"/>
    </row>
    <row r="36">
      <c r="B36" s="1708" t="n">
        <v>45721</v>
      </c>
      <c r="C36" s="1708" t="n">
        <v>45721</v>
      </c>
      <c r="D36" s="1568" t="inlineStr">
        <is>
          <t>Woodland Walk - Oakley Wood</t>
        </is>
      </c>
      <c r="F36" s="1568" t="inlineStr">
        <is>
          <t>Google</t>
        </is>
      </c>
      <c r="G36" s="87" t="inlineStr">
        <is>
          <t>#02874</t>
        </is>
      </c>
      <c r="H36" s="785" t="n">
        <v>45567</v>
      </c>
      <c r="I36" s="1696" t="n">
        <v>15</v>
      </c>
      <c r="J36" s="1697" t="n">
        <v>0</v>
      </c>
      <c r="K36" s="1568" t="inlineStr">
        <is>
          <t>Mr</t>
        </is>
      </c>
      <c r="L36" s="1610" t="inlineStr">
        <is>
          <t>Chris</t>
        </is>
      </c>
      <c r="M36" s="1610" t="inlineStr">
        <is>
          <t>Cannings</t>
        </is>
      </c>
      <c r="N36" s="1374" t="inlineStr">
        <is>
          <t>cannings57@gmail.com</t>
        </is>
      </c>
      <c r="O36" s="1604" t="inlineStr">
        <is>
          <t>67</t>
        </is>
      </c>
      <c r="P36" s="1604" t="inlineStr">
        <is>
          <t>07410 702848</t>
        </is>
      </c>
      <c r="Q36" s="1697" t="inlineStr">
        <is>
          <t>SP2 9GH</t>
        </is>
      </c>
      <c r="R36" s="1697" t="inlineStr">
        <is>
          <t>10 Good Lane</t>
        </is>
      </c>
      <c r="S36" s="1697" t="inlineStr">
        <is>
          <t xml:space="preserve">Salisbury, </t>
        </is>
      </c>
    </row>
    <row r="37">
      <c r="B37" s="1708" t="n">
        <v>45721</v>
      </c>
      <c r="C37" s="1708" t="n">
        <v>45721</v>
      </c>
      <c r="D37" s="1568" t="inlineStr">
        <is>
          <t>Woodland Walk - Oakley Wood</t>
        </is>
      </c>
      <c r="F37" s="1568" t="inlineStr">
        <is>
          <t>Google</t>
        </is>
      </c>
      <c r="G37" s="87" t="inlineStr">
        <is>
          <t>#02953</t>
        </is>
      </c>
      <c r="H37" s="785" t="n">
        <v>45692</v>
      </c>
      <c r="I37" s="1696" t="n">
        <v>15</v>
      </c>
      <c r="K37" s="1568" t="inlineStr">
        <is>
          <t>Mr</t>
        </is>
      </c>
      <c r="L37" s="1610" t="inlineStr">
        <is>
          <t>Joshua</t>
        </is>
      </c>
      <c r="M37" s="1610" t="inlineStr">
        <is>
          <t>Hyde</t>
        </is>
      </c>
      <c r="N37" s="1374" t="inlineStr">
        <is>
          <t>Joshua.hyde8@gmail.com</t>
        </is>
      </c>
      <c r="O37" s="1604" t="inlineStr">
        <is>
          <t>34</t>
        </is>
      </c>
      <c r="P37" s="1604" t="inlineStr">
        <is>
          <t>07967131830</t>
        </is>
      </c>
      <c r="Q37" s="1697" t="inlineStr">
        <is>
          <t>B30 2HN</t>
        </is>
      </c>
      <c r="R37" s="1697" t="inlineStr">
        <is>
          <t>66 York Close</t>
        </is>
      </c>
      <c r="S37" s="1568" t="inlineStr">
        <is>
          <t>Birmingham</t>
        </is>
      </c>
    </row>
    <row r="38">
      <c r="B38" s="1753" t="n"/>
      <c r="C38" s="1708" t="n"/>
      <c r="D38" s="1568" t="n"/>
      <c r="F38" s="1568" t="n"/>
      <c r="H38" s="785" t="n"/>
      <c r="K38" s="1568" t="n"/>
      <c r="L38" s="1610" t="n"/>
      <c r="M38" s="1610" t="n"/>
      <c r="N38" s="1374" t="n"/>
      <c r="O38" s="1604" t="n"/>
      <c r="P38" s="1604" t="n"/>
    </row>
    <row r="39">
      <c r="B39" s="1753" t="n"/>
      <c r="C39" s="1708" t="n"/>
      <c r="D39" s="1568" t="n"/>
      <c r="F39" s="1568" t="n"/>
      <c r="G39" s="87" t="n"/>
      <c r="H39" s="785" t="n"/>
      <c r="K39" s="1568" t="n"/>
      <c r="L39" s="1610" t="n"/>
      <c r="M39" s="1610" t="n"/>
      <c r="N39" s="1374" t="n"/>
      <c r="O39" s="1604" t="n"/>
      <c r="P39" s="1604" t="n"/>
    </row>
    <row r="40">
      <c r="B40" s="1753" t="n"/>
      <c r="C40" s="1708" t="n"/>
      <c r="D40" s="1568" t="n"/>
      <c r="F40" s="1568" t="n"/>
      <c r="G40" s="87" t="n"/>
      <c r="H40" s="785" t="n"/>
      <c r="K40" s="1568" t="n"/>
      <c r="L40" s="1610" t="n"/>
      <c r="M40" s="1610" t="n"/>
      <c r="N40" s="1374" t="n"/>
      <c r="O40" s="1604" t="n"/>
      <c r="P40" s="1604" t="n"/>
    </row>
    <row r="41">
      <c r="B41" s="1708" t="n"/>
      <c r="C41" s="1708" t="n"/>
      <c r="D41" s="1568" t="n"/>
      <c r="E41" s="1568" t="n"/>
      <c r="F41" s="1568" t="n"/>
      <c r="G41" s="87" t="n"/>
      <c r="H41" s="785" t="n"/>
      <c r="K41" s="1568" t="n"/>
      <c r="L41" s="1610" t="n"/>
      <c r="M41" s="1610" t="n"/>
      <c r="N41" s="1374" t="n"/>
      <c r="O41" s="1604" t="n"/>
      <c r="P41" s="1604" t="n"/>
      <c r="S41" s="1568" t="n"/>
    </row>
    <row r="42">
      <c r="B42" s="1708" t="n">
        <v>45721</v>
      </c>
      <c r="C42" s="1708" t="n">
        <v>45721</v>
      </c>
      <c r="D42" s="1568" t="inlineStr">
        <is>
          <t>Evening Urban Architecture Photography Workshop</t>
        </is>
      </c>
      <c r="E42" s="1568" t="inlineStr">
        <is>
          <t>2hrs</t>
        </is>
      </c>
      <c r="F42" s="1568" t="inlineStr">
        <is>
          <t>JLR</t>
        </is>
      </c>
      <c r="G42" s="87" t="inlineStr">
        <is>
          <t>IIY#7182105608371uD7</t>
        </is>
      </c>
      <c r="H42" s="785" t="n">
        <v>45686</v>
      </c>
      <c r="I42" s="1697" t="n">
        <v>50</v>
      </c>
      <c r="J42" s="1697" t="n">
        <v>0</v>
      </c>
      <c r="K42" s="1568" t="inlineStr">
        <is>
          <t>Mr</t>
        </is>
      </c>
      <c r="L42" s="1610" t="inlineStr">
        <is>
          <t>Andrew</t>
        </is>
      </c>
      <c r="M42" s="1610" t="inlineStr">
        <is>
          <t>Brady</t>
        </is>
      </c>
      <c r="N42" s="1374" t="inlineStr">
        <is>
          <t>abrady3@jaguarlandrover.com</t>
        </is>
      </c>
      <c r="O42" s="1604" t="n"/>
      <c r="P42" s="1604" t="inlineStr">
        <is>
          <t>07875 331868</t>
        </is>
      </c>
      <c r="S42" s="1568" t="n"/>
    </row>
    <row r="43">
      <c r="B43" s="1708" t="n">
        <v>45721</v>
      </c>
      <c r="C43" s="1708" t="n">
        <v>45721</v>
      </c>
      <c r="D43" s="1568" t="inlineStr">
        <is>
          <t>Evening Urban Architecture Photography Workshop</t>
        </is>
      </c>
      <c r="E43" s="1568" t="inlineStr">
        <is>
          <t>2hrs</t>
        </is>
      </c>
      <c r="F43" s="1568" t="inlineStr">
        <is>
          <t>JLR</t>
        </is>
      </c>
      <c r="G43" s="87" t="inlineStr">
        <is>
          <t>IIY#7182105608371uD7</t>
        </is>
      </c>
      <c r="H43" s="785" t="n">
        <v>45691</v>
      </c>
      <c r="I43" s="1697" t="n">
        <v>50</v>
      </c>
      <c r="J43" s="1697" t="n">
        <v>0</v>
      </c>
      <c r="K43" s="1568" t="inlineStr">
        <is>
          <t>Mr</t>
        </is>
      </c>
      <c r="L43" s="1610" t="inlineStr">
        <is>
          <t xml:space="preserve">Siddharth </t>
        </is>
      </c>
      <c r="M43" s="1610" t="inlineStr">
        <is>
          <t>Manickavasagam</t>
        </is>
      </c>
      <c r="N43" s="1374" t="inlineStr">
        <is>
          <t>smanicka@jaguarlandrover.com</t>
        </is>
      </c>
      <c r="O43" s="1604" t="n"/>
      <c r="P43" s="1604" t="inlineStr">
        <is>
          <t>07585841144</t>
        </is>
      </c>
      <c r="S43" s="1568" t="n"/>
    </row>
    <row r="44">
      <c r="B44" s="1708" t="n">
        <v>45721</v>
      </c>
      <c r="C44" s="1708" t="n">
        <v>45721</v>
      </c>
      <c r="D44" s="1568" t="inlineStr">
        <is>
          <t>Evening Urban Architecture Photography Workshop</t>
        </is>
      </c>
      <c r="E44" s="1568" t="inlineStr">
        <is>
          <t>2hrs</t>
        </is>
      </c>
      <c r="F44" s="1568" t="inlineStr">
        <is>
          <t>JLR</t>
        </is>
      </c>
      <c r="G44" s="87" t="inlineStr">
        <is>
          <t>IIY#6572405319371DHZ</t>
        </is>
      </c>
      <c r="H44" s="785" t="n">
        <v>45700</v>
      </c>
      <c r="I44" s="1697" t="n">
        <v>50</v>
      </c>
      <c r="J44" s="1697" t="n">
        <v>0</v>
      </c>
      <c r="K44" s="1568" t="n"/>
      <c r="L44" s="1610" t="inlineStr">
        <is>
          <t xml:space="preserve">Artemiy </t>
        </is>
      </c>
      <c r="M44" s="1610" t="inlineStr">
        <is>
          <t>Brukhno</t>
        </is>
      </c>
      <c r="N44" s="1374" t="inlineStr">
        <is>
          <t>abrukhno@jaguarlandrover.com</t>
        </is>
      </c>
      <c r="O44" s="1604" t="n"/>
      <c r="P44" s="1604" t="inlineStr">
        <is>
          <t>07305936914</t>
        </is>
      </c>
      <c r="S44" s="1568" t="n"/>
    </row>
    <row r="45">
      <c r="B45" s="1708" t="n">
        <v>45721</v>
      </c>
      <c r="C45" s="1708" t="n">
        <v>45721</v>
      </c>
      <c r="D45" s="1568" t="inlineStr">
        <is>
          <t>Evening Urban Architecture Photography Workshop</t>
        </is>
      </c>
      <c r="E45" s="1568" t="inlineStr">
        <is>
          <t>2hrs</t>
        </is>
      </c>
      <c r="F45" s="1568" t="inlineStr">
        <is>
          <t>JLR</t>
        </is>
      </c>
      <c r="G45" s="87" t="inlineStr">
        <is>
          <t>IIY#5479251089371mvv</t>
        </is>
      </c>
      <c r="H45" s="785" t="n">
        <v>45705</v>
      </c>
      <c r="I45" s="1697" t="n">
        <v>50</v>
      </c>
      <c r="J45" s="1697" t="n">
        <v>0</v>
      </c>
      <c r="K45" s="1568" t="inlineStr">
        <is>
          <t>Mr</t>
        </is>
      </c>
      <c r="L45" s="1610" t="inlineStr">
        <is>
          <t>Phil</t>
        </is>
      </c>
      <c r="M45" s="1610" t="inlineStr">
        <is>
          <t>Page</t>
        </is>
      </c>
      <c r="N45" s="1374" t="inlineStr">
        <is>
          <t>ppage1@jaguarlandrover.com</t>
        </is>
      </c>
      <c r="O45" s="1604" t="n"/>
      <c r="P45" s="1604" t="inlineStr">
        <is>
          <t>07477972560</t>
        </is>
      </c>
      <c r="S45" s="1568" t="n"/>
    </row>
    <row r="46">
      <c r="B46" s="1708" t="n">
        <v>45721</v>
      </c>
      <c r="C46" s="1708" t="n">
        <v>45721</v>
      </c>
      <c r="D46" s="1568" t="inlineStr">
        <is>
          <t>Evening Urban Architecture Photography Workshop</t>
        </is>
      </c>
      <c r="E46" s="1568" t="inlineStr">
        <is>
          <t>2hrs</t>
        </is>
      </c>
      <c r="F46" s="1568" t="inlineStr">
        <is>
          <t>Referral</t>
        </is>
      </c>
      <c r="G46" s="87" t="inlineStr">
        <is>
          <t>#02959</t>
        </is>
      </c>
      <c r="H46" s="785" t="n">
        <v>45705</v>
      </c>
      <c r="I46" s="1697" t="n">
        <v>50</v>
      </c>
      <c r="J46" s="1697" t="n">
        <v>0</v>
      </c>
      <c r="K46" s="1568" t="inlineStr">
        <is>
          <t>Mr</t>
        </is>
      </c>
      <c r="L46" s="1610" t="inlineStr">
        <is>
          <t>John</t>
        </is>
      </c>
      <c r="M46" s="1610" t="inlineStr">
        <is>
          <t>Madigan</t>
        </is>
      </c>
      <c r="N46" s="1374" t="inlineStr">
        <is>
          <t xml:space="preserve">jam.madigan2015@outlook.com </t>
        </is>
      </c>
      <c r="O46" s="1604" t="inlineStr">
        <is>
          <t>60</t>
        </is>
      </c>
      <c r="P46" s="1604" t="inlineStr">
        <is>
          <t>07860419365</t>
        </is>
      </c>
      <c r="Q46" s="1568" t="inlineStr">
        <is>
          <t>CV23 8XT</t>
        </is>
      </c>
      <c r="R46" s="1697" t="inlineStr">
        <is>
          <t>7 Middle Street</t>
        </is>
      </c>
      <c r="S46" s="1568" t="inlineStr">
        <is>
          <t>Rugby</t>
        </is>
      </c>
    </row>
    <row r="47">
      <c r="B47" s="1708" t="n">
        <v>45721</v>
      </c>
      <c r="C47" s="1708" t="n">
        <v>45721</v>
      </c>
      <c r="D47" s="1568" t="inlineStr">
        <is>
          <t>Evening Urban Architecture Photography Workshop</t>
        </is>
      </c>
      <c r="E47" s="1568" t="inlineStr">
        <is>
          <t>2hrs</t>
        </is>
      </c>
      <c r="F47" s="1568" t="inlineStr">
        <is>
          <t>JLR</t>
        </is>
      </c>
      <c r="G47" s="87" t="inlineStr">
        <is>
          <t>IIY#4692912189371IEB</t>
        </is>
      </c>
      <c r="H47" s="785" t="n">
        <v>45706</v>
      </c>
      <c r="I47" s="1697" t="n">
        <v>50</v>
      </c>
      <c r="J47" s="1697" t="n">
        <v>0</v>
      </c>
      <c r="K47" s="1568" t="n"/>
      <c r="L47" s="1610" t="inlineStr">
        <is>
          <t>Raamakrishnan Narayanan Sankaranarayanan</t>
        </is>
      </c>
      <c r="M47" s="1610" t="n"/>
      <c r="N47" s="1374" t="inlineStr">
        <is>
          <t>rnaraya8@jaguarlandrover.com</t>
        </is>
      </c>
      <c r="O47" s="1604" t="n"/>
      <c r="P47" s="1604" t="inlineStr">
        <is>
          <t>07884919061</t>
        </is>
      </c>
      <c r="Q47" s="1568" t="n"/>
      <c r="S47" s="1568" t="n"/>
    </row>
    <row r="48">
      <c r="B48" s="1708" t="n"/>
      <c r="C48" s="1708" t="n"/>
      <c r="D48" s="1568" t="n"/>
      <c r="E48" s="1568" t="n"/>
      <c r="F48" s="1568" t="n"/>
      <c r="G48" s="87" t="n"/>
      <c r="H48" s="785" t="n"/>
      <c r="K48" s="1568" t="n"/>
      <c r="L48" s="1610" t="n"/>
      <c r="M48" s="1610" t="n"/>
      <c r="N48" s="1374" t="n"/>
      <c r="O48" s="1604" t="n"/>
      <c r="P48" s="1604" t="n"/>
      <c r="S48" s="1568" t="n"/>
    </row>
    <row r="50">
      <c r="B50" s="1708" t="n">
        <v>45723</v>
      </c>
      <c r="C50" s="783" t="inlineStr">
        <is>
          <t>Fairy Glen</t>
        </is>
      </c>
      <c r="D50" s="1568" t="inlineStr">
        <is>
          <t>Fairy Glen Betws-y-Coed Photography Workshop -  Wales</t>
        </is>
      </c>
      <c r="E50" s="1568" t="inlineStr">
        <is>
          <t>4hrs</t>
        </is>
      </c>
      <c r="F50" s="1568" t="inlineStr">
        <is>
          <t>Referral</t>
        </is>
      </c>
      <c r="G50" s="1750" t="inlineStr">
        <is>
          <t>#02817</t>
        </is>
      </c>
      <c r="H50" s="785" t="n">
        <v>45472</v>
      </c>
      <c r="I50" s="1751" t="n">
        <v>99</v>
      </c>
      <c r="J50" s="1750" t="n">
        <v>0</v>
      </c>
      <c r="K50" s="86" t="inlineStr">
        <is>
          <t>Mr</t>
        </is>
      </c>
      <c r="L50" s="1607" t="inlineStr">
        <is>
          <t>Jack</t>
        </is>
      </c>
      <c r="M50" s="1607" t="inlineStr">
        <is>
          <t>Rollins</t>
        </is>
      </c>
      <c r="N50" s="549" t="inlineStr">
        <is>
          <t xml:space="preserve">me_jack_360@hotmail.co.uk </t>
        </is>
      </c>
      <c r="O50" s="551" t="inlineStr">
        <is>
          <t>30</t>
        </is>
      </c>
      <c r="P50" s="1604" t="inlineStr">
        <is>
          <t>07783481989</t>
        </is>
      </c>
      <c r="Q50" s="1697" t="inlineStr">
        <is>
          <t>DY8 3QE</t>
        </is>
      </c>
      <c r="R50" s="1568" t="inlineStr">
        <is>
          <t>59 King Street</t>
        </is>
      </c>
      <c r="S50" s="87" t="inlineStr">
        <is>
          <t>Birmingham</t>
        </is>
      </c>
    </row>
    <row r="51">
      <c r="B51" s="1708" t="n">
        <v>45723</v>
      </c>
      <c r="C51" s="783" t="inlineStr">
        <is>
          <t>Fairy Glen</t>
        </is>
      </c>
      <c r="D51" s="1568" t="inlineStr">
        <is>
          <t>Fairy Glen Betws-y-Coed Photography Workshop -  Wales</t>
        </is>
      </c>
      <c r="E51" s="1568" t="inlineStr">
        <is>
          <t>4hrs</t>
        </is>
      </c>
      <c r="F51" s="1568" t="inlineStr">
        <is>
          <t>JLR</t>
        </is>
      </c>
      <c r="G51" s="87" t="inlineStr">
        <is>
          <t>IIY#2553684608371E1l</t>
        </is>
      </c>
      <c r="H51" s="785" t="n">
        <v>45686</v>
      </c>
      <c r="I51" s="1696" t="n">
        <v>0</v>
      </c>
      <c r="J51" s="1697" t="n">
        <v>99</v>
      </c>
      <c r="K51" s="1568" t="inlineStr">
        <is>
          <t>Mr</t>
        </is>
      </c>
      <c r="L51" s="1610" t="inlineStr">
        <is>
          <t>Andrew</t>
        </is>
      </c>
      <c r="M51" s="1610" t="inlineStr">
        <is>
          <t>Brady</t>
        </is>
      </c>
      <c r="N51" s="1374" t="inlineStr">
        <is>
          <t>abrady3@jaguarlandrover.com</t>
        </is>
      </c>
      <c r="O51" s="1604" t="n"/>
      <c r="P51" s="1604" t="n"/>
    </row>
    <row r="52">
      <c r="B52" s="1708" t="n">
        <v>45723</v>
      </c>
      <c r="C52" s="783" t="inlineStr">
        <is>
          <t>Fairy Glen</t>
        </is>
      </c>
      <c r="D52" s="1568" t="inlineStr">
        <is>
          <t>Fairy Glen Betws-y-Coed Photography Workshop -  Wales</t>
        </is>
      </c>
      <c r="E52" s="1568" t="inlineStr">
        <is>
          <t>4hrs</t>
        </is>
      </c>
      <c r="F52" s="1568" t="inlineStr">
        <is>
          <t>JLR</t>
        </is>
      </c>
      <c r="G52" s="505" t="inlineStr">
        <is>
          <t>IIY#6795259228371Hqn</t>
        </is>
      </c>
      <c r="H52" s="785" t="n">
        <v>45687</v>
      </c>
      <c r="I52" s="1696" t="n">
        <v>0</v>
      </c>
      <c r="J52" s="1697" t="n">
        <v>99</v>
      </c>
      <c r="K52" s="1568" t="inlineStr">
        <is>
          <t>Mr</t>
        </is>
      </c>
      <c r="L52" s="1610" t="inlineStr">
        <is>
          <t>Bob</t>
        </is>
      </c>
      <c r="M52" s="1610" t="inlineStr">
        <is>
          <t>Prew</t>
        </is>
      </c>
      <c r="N52" s="1374" t="inlineStr">
        <is>
          <t>rprew@jaguarlandrover.com</t>
        </is>
      </c>
      <c r="P52" s="1604" t="inlineStr">
        <is>
          <t>07368360521</t>
        </is>
      </c>
    </row>
    <row r="53">
      <c r="B53" s="1708" t="n">
        <v>45723</v>
      </c>
      <c r="C53" s="783" t="inlineStr">
        <is>
          <t>Fairy Glen</t>
        </is>
      </c>
      <c r="D53" s="1568" t="inlineStr">
        <is>
          <t>Fairy Glen Betws-y-Coed Photography Workshop -  Wales</t>
        </is>
      </c>
      <c r="E53" s="1568" t="inlineStr">
        <is>
          <t>4hrs</t>
        </is>
      </c>
      <c r="F53" s="1568" t="inlineStr">
        <is>
          <t>JLR</t>
        </is>
      </c>
      <c r="G53" s="505" t="inlineStr">
        <is>
          <t>IIY#2167705328371tdr</t>
        </is>
      </c>
      <c r="H53" s="785" t="n">
        <v>45691</v>
      </c>
      <c r="I53" s="1696" t="n">
        <v>0</v>
      </c>
      <c r="J53" s="1697" t="n">
        <v>99</v>
      </c>
      <c r="K53" s="1646" t="n"/>
      <c r="L53" s="1705" t="inlineStr">
        <is>
          <t xml:space="preserve">Shilpa </t>
        </is>
      </c>
      <c r="M53" s="1706" t="inlineStr">
        <is>
          <t>Dhanapal</t>
        </is>
      </c>
      <c r="N53" s="549" t="inlineStr">
        <is>
          <t>sdhanap1@jaguarlandrover.com</t>
        </is>
      </c>
      <c r="O53" s="1707" t="n"/>
      <c r="P53" s="1758" t="inlineStr">
        <is>
          <t>07423786046</t>
        </is>
      </c>
      <c r="Q53" s="1646" t="n"/>
      <c r="R53" s="1646" t="n"/>
      <c r="S53" s="1646" t="n"/>
    </row>
    <row r="54">
      <c r="B54" s="1708" t="n"/>
      <c r="C54" s="783" t="n"/>
      <c r="D54" s="1568" t="n"/>
      <c r="E54" s="1568" t="n"/>
      <c r="F54" s="1568" t="n"/>
      <c r="H54" s="785" t="n"/>
      <c r="K54" s="1646" t="n"/>
      <c r="L54" s="1705" t="n"/>
      <c r="M54" s="1706" t="n"/>
      <c r="N54" s="549" t="n"/>
      <c r="O54" s="1707" t="n"/>
      <c r="P54" s="1758" t="n"/>
      <c r="Q54" s="1646" t="n"/>
      <c r="R54" s="1646" t="n"/>
      <c r="S54" s="1646" t="n"/>
    </row>
    <row r="55">
      <c r="B55" s="1708" t="n"/>
      <c r="C55" s="783" t="n"/>
      <c r="D55" s="1568" t="n"/>
      <c r="E55" s="1568" t="n"/>
      <c r="F55" s="1568" t="n"/>
      <c r="H55" s="785" t="n"/>
      <c r="K55" s="1646" t="n"/>
      <c r="L55" s="1705" t="n"/>
      <c r="M55" s="1706" t="n"/>
      <c r="N55" s="549" t="n"/>
      <c r="O55" s="1707" t="n"/>
      <c r="P55" s="1758" t="n"/>
      <c r="Q55" s="1646" t="n"/>
      <c r="R55" s="1646" t="n"/>
      <c r="S55" s="1646" t="n"/>
    </row>
    <row r="56">
      <c r="B56" s="1708" t="n"/>
      <c r="C56" s="783" t="n"/>
      <c r="D56" s="1568" t="n"/>
      <c r="E56" s="1568" t="n"/>
      <c r="F56" s="1568" t="n"/>
      <c r="H56" s="785" t="n"/>
      <c r="K56" s="1646" t="n"/>
      <c r="L56" s="1705" t="n"/>
      <c r="M56" s="1706" t="n"/>
      <c r="N56" s="549" t="n"/>
      <c r="O56" s="1707" t="n"/>
      <c r="P56" s="1758" t="n"/>
      <c r="Q56" s="1646" t="n"/>
      <c r="R56" s="1646" t="n"/>
      <c r="S56" s="1646" t="n"/>
    </row>
    <row r="57">
      <c r="B57" s="1708" t="n"/>
      <c r="C57" s="783" t="n"/>
      <c r="D57" s="1568" t="n"/>
      <c r="E57" s="1568" t="n"/>
      <c r="F57" s="1568" t="n"/>
      <c r="H57" s="785" t="n"/>
      <c r="K57" s="1646" t="n"/>
      <c r="L57" s="1705" t="n"/>
      <c r="M57" s="1706" t="n"/>
      <c r="N57" s="549" t="n"/>
      <c r="O57" s="1707" t="n"/>
      <c r="P57" s="1758" t="n"/>
      <c r="Q57" s="1646" t="n"/>
      <c r="R57" s="1646" t="n"/>
      <c r="S57" s="1646" t="n"/>
    </row>
    <row r="58">
      <c r="O58" s="1707" t="n"/>
      <c r="P58" s="1758" t="n"/>
      <c r="Q58" s="1646" t="n"/>
      <c r="R58" s="1646" t="n"/>
      <c r="S58" s="1646" t="n"/>
    </row>
    <row r="59">
      <c r="B59" s="1708" t="n"/>
      <c r="C59" s="783" t="n"/>
      <c r="D59" s="1568" t="n"/>
      <c r="E59" s="1568" t="n"/>
      <c r="F59" s="1568" t="n"/>
      <c r="H59" s="785" t="n"/>
      <c r="K59" s="1646" t="n"/>
      <c r="L59" s="1705" t="n"/>
      <c r="M59" s="1706" t="n"/>
      <c r="N59" s="549" t="n"/>
      <c r="O59" s="1707" t="n"/>
      <c r="P59" s="1758" t="n"/>
      <c r="Q59" s="1646" t="n"/>
      <c r="R59" s="1646" t="n"/>
      <c r="S59" s="1646" t="n"/>
    </row>
    <row r="60">
      <c r="B60" s="1708" t="n"/>
      <c r="C60" s="783" t="n"/>
      <c r="D60" s="1568" t="n"/>
      <c r="E60" s="1568" t="n"/>
      <c r="F60" s="1568" t="n"/>
      <c r="H60" s="785" t="n"/>
      <c r="K60" s="1646" t="n"/>
      <c r="L60" s="1705" t="n"/>
      <c r="M60" s="1706" t="n"/>
      <c r="N60" s="549" t="n"/>
      <c r="O60" s="1707" t="n"/>
      <c r="P60" s="1758" t="n"/>
      <c r="Q60" s="1646" t="n"/>
      <c r="R60" s="1646" t="n"/>
      <c r="S60" s="1646" t="n"/>
    </row>
    <row r="61">
      <c r="B61" s="1708" t="n"/>
      <c r="C61" s="783" t="n"/>
      <c r="D61" s="1568" t="n"/>
      <c r="E61" s="1568" t="n"/>
      <c r="F61" s="1568" t="n"/>
      <c r="H61" s="785" t="n"/>
      <c r="K61" s="1646" t="n"/>
      <c r="L61" s="1705" t="n"/>
      <c r="M61" s="1706" t="n"/>
      <c r="N61" s="549" t="n"/>
      <c r="O61" s="1707" t="n"/>
      <c r="P61" s="1758" t="n"/>
      <c r="Q61" s="1646" t="n"/>
      <c r="R61" s="1646" t="n"/>
      <c r="S61" s="1646" t="n"/>
    </row>
    <row r="62">
      <c r="B62" s="1759" t="n"/>
      <c r="C62" s="1054" t="n"/>
      <c r="D62" s="1054" t="n"/>
      <c r="E62" s="1054" t="n"/>
      <c r="F62" s="1054" t="n"/>
      <c r="G62" s="1760" t="n"/>
      <c r="H62" s="1056" t="n"/>
      <c r="I62" s="1761" t="n"/>
      <c r="J62" s="1760" t="n"/>
      <c r="K62" s="1646" t="n"/>
      <c r="L62" s="1705" t="n"/>
      <c r="M62" s="1706" t="n"/>
      <c r="N62" s="549" t="n"/>
      <c r="O62" s="1707" t="n"/>
      <c r="P62" s="1758" t="n"/>
      <c r="Q62" s="1646" t="n"/>
      <c r="R62" s="1646" t="n"/>
      <c r="S62" s="1646" t="n"/>
    </row>
    <row r="63">
      <c r="B63" s="1708" t="n">
        <v>45757</v>
      </c>
      <c r="C63" s="783" t="inlineStr">
        <is>
          <t>LE Kenilworth</t>
        </is>
      </c>
      <c r="D63" s="783" t="inlineStr">
        <is>
          <t>Kenilworth</t>
        </is>
      </c>
      <c r="E63" s="783" t="inlineStr">
        <is>
          <t>2.5hrs</t>
        </is>
      </c>
      <c r="F63" s="783" t="inlineStr">
        <is>
          <t>Google</t>
        </is>
      </c>
      <c r="G63" s="1750" t="inlineStr">
        <is>
          <t>#02865</t>
        </is>
      </c>
      <c r="H63" s="785" t="n">
        <v>45552</v>
      </c>
      <c r="I63" s="1751" t="n">
        <v>50</v>
      </c>
      <c r="J63" s="1750" t="n">
        <v>0</v>
      </c>
      <c r="K63" s="903" t="inlineStr">
        <is>
          <t>Mr</t>
        </is>
      </c>
      <c r="L63" s="903" t="inlineStr">
        <is>
          <t>Tim</t>
        </is>
      </c>
      <c r="M63" s="903" t="inlineStr">
        <is>
          <t>Bawn</t>
        </is>
      </c>
      <c r="N63" s="1374" t="inlineStr">
        <is>
          <t xml:space="preserve">timkeb@outlook.com </t>
        </is>
      </c>
      <c r="O63" s="794" t="inlineStr">
        <is>
          <t>58</t>
        </is>
      </c>
      <c r="P63" s="794" t="inlineStr">
        <is>
          <t>07743708871</t>
        </is>
      </c>
      <c r="Q63" s="783" t="inlineStr">
        <is>
          <t>NN126BJ</t>
        </is>
      </c>
      <c r="R63" s="1752" t="inlineStr">
        <is>
          <t>16 Poplar Close</t>
        </is>
      </c>
      <c r="S63" s="1750" t="inlineStr">
        <is>
          <t>Towcester</t>
        </is>
      </c>
    </row>
    <row r="64">
      <c r="B64" s="1708" t="n">
        <v>45757</v>
      </c>
      <c r="C64" s="783" t="inlineStr">
        <is>
          <t>LE Kenilworth</t>
        </is>
      </c>
      <c r="D64" s="783" t="inlineStr">
        <is>
          <t>Kenilworth</t>
        </is>
      </c>
      <c r="E64" s="783" t="inlineStr">
        <is>
          <t>2.5hrs</t>
        </is>
      </c>
      <c r="F64" s="783" t="inlineStr">
        <is>
          <t>Google</t>
        </is>
      </c>
      <c r="G64" s="1750" t="inlineStr">
        <is>
          <t>#02877</t>
        </is>
      </c>
      <c r="H64" s="785" t="n">
        <v>45570</v>
      </c>
      <c r="I64" s="1751" t="n">
        <v>50</v>
      </c>
      <c r="J64" s="1750" t="n">
        <v>0</v>
      </c>
      <c r="K64" s="903" t="inlineStr">
        <is>
          <t>Mr</t>
        </is>
      </c>
      <c r="L64" s="903" t="inlineStr">
        <is>
          <t>Tom</t>
        </is>
      </c>
      <c r="M64" s="903" t="inlineStr">
        <is>
          <t>McClure</t>
        </is>
      </c>
      <c r="N64" s="1374" t="inlineStr">
        <is>
          <t xml:space="preserve">tommcclure200@gmail.com </t>
        </is>
      </c>
      <c r="O64" s="794" t="inlineStr">
        <is>
          <t>50</t>
        </is>
      </c>
      <c r="P64" s="794" t="inlineStr">
        <is>
          <t>07817949461</t>
        </is>
      </c>
      <c r="Q64" s="783" t="inlineStr">
        <is>
          <t>LE3 0UF</t>
        </is>
      </c>
      <c r="R64" s="1752" t="inlineStr">
        <is>
          <t>58 Dorchester Road</t>
        </is>
      </c>
      <c r="S64" s="1750" t="inlineStr">
        <is>
          <t>Leicester</t>
        </is>
      </c>
    </row>
    <row r="65">
      <c r="B65" s="1708" t="n">
        <v>45757</v>
      </c>
      <c r="C65" s="783" t="inlineStr">
        <is>
          <t>LE Kenilworth</t>
        </is>
      </c>
      <c r="D65" s="783" t="inlineStr">
        <is>
          <t>Kenilworth</t>
        </is>
      </c>
      <c r="E65" s="1568" t="inlineStr">
        <is>
          <t>4hrs</t>
        </is>
      </c>
      <c r="F65" s="1568" t="inlineStr">
        <is>
          <t>Google</t>
        </is>
      </c>
      <c r="G65" s="1750" t="inlineStr">
        <is>
          <t>#02796</t>
        </is>
      </c>
      <c r="H65" s="785" t="n">
        <v>45426</v>
      </c>
      <c r="I65" s="1751" t="n">
        <v>50</v>
      </c>
      <c r="J65" s="1750" t="n">
        <v>0</v>
      </c>
      <c r="K65" s="86" t="inlineStr">
        <is>
          <t>Mr</t>
        </is>
      </c>
      <c r="L65" s="1607" t="inlineStr">
        <is>
          <t>Neil</t>
        </is>
      </c>
      <c r="M65" s="1607" t="inlineStr">
        <is>
          <t>Barford</t>
        </is>
      </c>
      <c r="N65" s="549" t="inlineStr">
        <is>
          <t xml:space="preserve">barford.neil@gmail.com </t>
        </is>
      </c>
      <c r="O65" s="551" t="inlineStr">
        <is>
          <t>61</t>
        </is>
      </c>
      <c r="P65" s="1604" t="inlineStr">
        <is>
          <t>07530694834</t>
        </is>
      </c>
      <c r="Q65" s="1697" t="inlineStr">
        <is>
          <t>LE13 0EH</t>
        </is>
      </c>
      <c r="R65" s="1568" t="inlineStr">
        <is>
          <t>19 winster crescent</t>
        </is>
      </c>
      <c r="S65" s="87" t="inlineStr">
        <is>
          <t>Melton Mowbray</t>
        </is>
      </c>
    </row>
    <row r="66">
      <c r="B66" s="1708" t="n">
        <v>45757</v>
      </c>
      <c r="C66" s="783" t="inlineStr">
        <is>
          <t>LE Kenilworth</t>
        </is>
      </c>
      <c r="D66" s="783" t="inlineStr">
        <is>
          <t>Kenilworth</t>
        </is>
      </c>
      <c r="E66" s="783" t="inlineStr">
        <is>
          <t>2.5hrs</t>
        </is>
      </c>
      <c r="F66" s="1568" t="inlineStr">
        <is>
          <t>JLR</t>
        </is>
      </c>
      <c r="G66" s="1750" t="inlineStr">
        <is>
          <t>IIY#6240780418371m3H</t>
        </is>
      </c>
      <c r="H66" s="785" t="n">
        <v>45686</v>
      </c>
      <c r="I66" s="1696" t="n">
        <v>0</v>
      </c>
      <c r="J66" s="1697" t="n">
        <v>50</v>
      </c>
      <c r="K66" s="1568" t="inlineStr">
        <is>
          <t>Mr</t>
        </is>
      </c>
      <c r="L66" s="1610" t="inlineStr">
        <is>
          <t>Andrew</t>
        </is>
      </c>
      <c r="M66" s="1610" t="inlineStr">
        <is>
          <t>Lockwood</t>
        </is>
      </c>
      <c r="N66" s="1374" t="inlineStr">
        <is>
          <t>alockwo3@jaguarlandrover.com</t>
        </is>
      </c>
      <c r="O66" s="551" t="n"/>
      <c r="P66" s="1604" t="inlineStr">
        <is>
          <t>07974 213736</t>
        </is>
      </c>
      <c r="R66" s="1568" t="n"/>
      <c r="S66" s="87" t="n"/>
    </row>
    <row r="67">
      <c r="B67" s="1708" t="n">
        <v>45757</v>
      </c>
      <c r="C67" s="783" t="inlineStr">
        <is>
          <t>LE Kenilworth</t>
        </is>
      </c>
      <c r="D67" s="783" t="inlineStr">
        <is>
          <t>Kenilworth</t>
        </is>
      </c>
      <c r="E67" s="783" t="inlineStr">
        <is>
          <t>2.5hrs</t>
        </is>
      </c>
      <c r="F67" s="1568" t="inlineStr">
        <is>
          <t>JLR</t>
        </is>
      </c>
      <c r="G67" s="1750" t="inlineStr">
        <is>
          <t>IIY#0477954338371Qdu</t>
        </is>
      </c>
      <c r="H67" s="785" t="n">
        <v>45691</v>
      </c>
      <c r="J67" s="1697" t="n">
        <v>50</v>
      </c>
      <c r="K67" s="1568" t="inlineStr">
        <is>
          <t>Mr</t>
        </is>
      </c>
      <c r="L67" s="1610" t="inlineStr">
        <is>
          <t>Keith</t>
        </is>
      </c>
      <c r="M67" s="1610" t="inlineStr">
        <is>
          <t>Phillips</t>
        </is>
      </c>
      <c r="N67" s="1374" t="inlineStr">
        <is>
          <t>kphill46@jaguarlandrover.com</t>
        </is>
      </c>
      <c r="O67" s="551" t="n"/>
      <c r="P67" s="1604" t="inlineStr">
        <is>
          <t xml:space="preserve">07821 028 750 </t>
        </is>
      </c>
      <c r="R67" s="1568" t="n"/>
      <c r="S67" s="87" t="n"/>
    </row>
    <row r="68">
      <c r="B68" s="1708" t="n">
        <v>45757</v>
      </c>
      <c r="C68" s="783" t="inlineStr">
        <is>
          <t>LE Kenilworth</t>
        </is>
      </c>
      <c r="D68" s="783" t="inlineStr">
        <is>
          <t>Kenilworth</t>
        </is>
      </c>
      <c r="E68" s="783" t="inlineStr">
        <is>
          <t>2.5hrs</t>
        </is>
      </c>
      <c r="F68" s="1568" t="inlineStr">
        <is>
          <t>JLR</t>
        </is>
      </c>
      <c r="G68" s="1750" t="inlineStr">
        <is>
          <t>IIY#4408849488371hvG</t>
        </is>
      </c>
      <c r="H68" s="785" t="n">
        <v>45698</v>
      </c>
      <c r="I68" s="1751" t="n"/>
      <c r="J68" s="1750" t="n">
        <v>50</v>
      </c>
      <c r="K68" s="86" t="inlineStr">
        <is>
          <t>Mr</t>
        </is>
      </c>
      <c r="L68" s="1607" t="inlineStr">
        <is>
          <t xml:space="preserve">Arun </t>
        </is>
      </c>
      <c r="M68" s="1607" t="inlineStr">
        <is>
          <t>Ambrose</t>
        </is>
      </c>
      <c r="N68" s="549" t="inlineStr">
        <is>
          <t>aambros1@jaguarlandrover.com</t>
        </is>
      </c>
      <c r="O68" s="551" t="n"/>
      <c r="P68" s="1604" t="n"/>
      <c r="R68" s="1568" t="n"/>
      <c r="S68" s="87" t="n"/>
    </row>
    <row r="69">
      <c r="B69" s="1708" t="n"/>
      <c r="C69" s="783" t="n"/>
      <c r="D69" s="783" t="n"/>
      <c r="E69" s="1568" t="n"/>
      <c r="F69" s="1568" t="n"/>
      <c r="G69" s="1750" t="n"/>
      <c r="H69" s="785" t="n"/>
      <c r="I69" s="1751" t="n"/>
      <c r="J69" s="1750" t="n"/>
      <c r="K69" s="86" t="n"/>
      <c r="L69" s="1607" t="n"/>
      <c r="M69" s="1607" t="n"/>
      <c r="N69" s="549" t="n"/>
      <c r="O69" s="551" t="n"/>
      <c r="P69" s="1604" t="n"/>
      <c r="R69" s="1568" t="n"/>
      <c r="S69" s="87" t="n"/>
    </row>
    <row r="70">
      <c r="R70" s="1568" t="n"/>
      <c r="S70" s="87" t="n"/>
    </row>
    <row r="71">
      <c r="B71" s="1708" t="n">
        <v>45760</v>
      </c>
      <c r="C71" s="1708" t="inlineStr">
        <is>
          <t>Secret Woodlands</t>
        </is>
      </c>
      <c r="D71" s="783" t="inlineStr">
        <is>
          <t>All Day</t>
        </is>
      </c>
      <c r="E71" s="783" t="inlineStr">
        <is>
          <t>6hrs</t>
        </is>
      </c>
      <c r="F71" s="1568" t="n"/>
      <c r="G71" s="1750" t="inlineStr">
        <is>
          <t>#02973</t>
        </is>
      </c>
      <c r="H71" s="785" t="n">
        <v>45735</v>
      </c>
      <c r="I71" s="1751" t="n">
        <v>125</v>
      </c>
      <c r="J71" s="1750" t="n">
        <v>0</v>
      </c>
      <c r="K71" s="86" t="inlineStr">
        <is>
          <t>Ms</t>
        </is>
      </c>
      <c r="L71" s="1607" t="inlineStr">
        <is>
          <t>Cheryl</t>
        </is>
      </c>
      <c r="M71" s="1607" t="inlineStr">
        <is>
          <t xml:space="preserve"> Laverick</t>
        </is>
      </c>
      <c r="N71" s="549" t="inlineStr">
        <is>
          <t xml:space="preserve">cheryl.laverick@gmail.com </t>
        </is>
      </c>
      <c r="O71" s="551" t="inlineStr">
        <is>
          <t>32</t>
        </is>
      </c>
      <c r="P71" s="1604" t="inlineStr">
        <is>
          <t>07581306990</t>
        </is>
      </c>
      <c r="Q71" s="1697" t="inlineStr">
        <is>
          <t>CV32 6EB</t>
        </is>
      </c>
      <c r="R71" s="1568" t="inlineStr">
        <is>
          <t>287 Rugby Road</t>
        </is>
      </c>
      <c r="S71" s="87" t="inlineStr">
        <is>
          <t>Leamington Spa</t>
        </is>
      </c>
    </row>
    <row r="72">
      <c r="B72" s="1708" t="n">
        <v>45760</v>
      </c>
      <c r="C72" s="1708" t="inlineStr">
        <is>
          <t>Secret Woodlands</t>
        </is>
      </c>
      <c r="D72" s="783" t="inlineStr">
        <is>
          <t>All Day</t>
        </is>
      </c>
      <c r="E72" s="783" t="inlineStr">
        <is>
          <t>6hrs</t>
        </is>
      </c>
      <c r="F72" s="1568" t="inlineStr">
        <is>
          <t>JLR</t>
        </is>
      </c>
      <c r="G72" s="1750" t="inlineStr">
        <is>
          <t>IIY#9950205633471uyj</t>
        </is>
      </c>
      <c r="H72" s="785" t="n">
        <v>45747</v>
      </c>
      <c r="I72" s="1751" t="n"/>
      <c r="J72" s="1750" t="n">
        <v>125</v>
      </c>
      <c r="K72" s="86" t="n"/>
      <c r="L72" s="1607" t="inlineStr">
        <is>
          <t>Chan Jandu</t>
        </is>
      </c>
      <c r="M72" s="1607" t="n"/>
      <c r="N72" s="549" t="inlineStr">
        <is>
          <t>cjandu@jaguarlandrover.com</t>
        </is>
      </c>
      <c r="O72" s="551" t="n"/>
      <c r="P72" s="1604" t="inlineStr">
        <is>
          <t>07469 036740</t>
        </is>
      </c>
      <c r="R72" s="1568" t="n"/>
      <c r="S72" s="87" t="n"/>
    </row>
    <row r="73">
      <c r="B73" s="1708" t="n"/>
      <c r="C73" s="783" t="n"/>
      <c r="D73" s="783" t="n"/>
      <c r="E73" s="1568" t="n"/>
      <c r="F73" s="1568" t="n"/>
      <c r="G73" s="1750" t="n"/>
      <c r="H73" s="785" t="n"/>
      <c r="I73" s="1751" t="n"/>
      <c r="J73" s="1750" t="n"/>
      <c r="K73" s="86" t="n"/>
      <c r="L73" s="1607" t="n"/>
      <c r="M73" s="1607" t="n"/>
      <c r="N73" s="549" t="n"/>
      <c r="O73" s="551" t="n"/>
      <c r="P73" s="1604" t="n"/>
      <c r="R73" s="1568" t="n"/>
      <c r="S73" s="87" t="n"/>
    </row>
    <row r="74">
      <c r="B74" s="1708" t="n">
        <v>45761</v>
      </c>
      <c r="C74" s="783" t="inlineStr">
        <is>
          <t>Evening Urban Architecture Photography Workshop</t>
        </is>
      </c>
      <c r="D74" s="783" t="inlineStr">
        <is>
          <t>Coventry</t>
        </is>
      </c>
      <c r="E74" s="783" t="inlineStr">
        <is>
          <t>2.5hrs</t>
        </is>
      </c>
      <c r="F74" s="1568" t="inlineStr">
        <is>
          <t>JLR</t>
        </is>
      </c>
      <c r="G74" s="1750" t="inlineStr">
        <is>
          <t>IIY#7801083032471Tf2</t>
        </is>
      </c>
      <c r="H74" s="785" t="n">
        <v>45734</v>
      </c>
      <c r="I74" s="1751" t="n">
        <v>0</v>
      </c>
      <c r="J74" s="1750" t="n">
        <v>50</v>
      </c>
      <c r="K74" s="86" t="n"/>
      <c r="L74" s="1607" t="inlineStr">
        <is>
          <t>Jevgenijs Kitajevs</t>
        </is>
      </c>
      <c r="M74" s="1607" t="n"/>
      <c r="N74" s="549" t="inlineStr">
        <is>
          <t>jkitajev@jaguarlandrover.com</t>
        </is>
      </c>
      <c r="O74" s="551" t="n"/>
      <c r="P74" s="1604" t="inlineStr">
        <is>
          <t>07429249126</t>
        </is>
      </c>
      <c r="R74" s="1568" t="n"/>
      <c r="S74" s="87" t="n"/>
    </row>
    <row r="75">
      <c r="B75" s="1708" t="n">
        <v>45761</v>
      </c>
      <c r="C75" s="783" t="inlineStr">
        <is>
          <t>Evening Urban Architecture Photography Workshop</t>
        </is>
      </c>
      <c r="D75" s="783" t="inlineStr">
        <is>
          <t>Coventry</t>
        </is>
      </c>
      <c r="E75" s="783" t="inlineStr">
        <is>
          <t>2.5hrs</t>
        </is>
      </c>
      <c r="F75" s="1568" t="inlineStr">
        <is>
          <t>JLR</t>
        </is>
      </c>
      <c r="G75" s="1750" t="inlineStr">
        <is>
          <t>IIY#0974925092471MQq</t>
        </is>
      </c>
      <c r="H75" s="785" t="n">
        <v>45741</v>
      </c>
      <c r="I75" s="1751" t="n">
        <v>0</v>
      </c>
      <c r="J75" s="1750" t="n">
        <v>50</v>
      </c>
      <c r="K75" s="86" t="n"/>
      <c r="L75" s="1607" t="inlineStr">
        <is>
          <t>Blessent George</t>
        </is>
      </c>
      <c r="M75" s="1607" t="n"/>
      <c r="N75" s="549" t="inlineStr">
        <is>
          <t>bgeorge4@jaguarlandrover.com</t>
        </is>
      </c>
      <c r="O75" s="551" t="n"/>
      <c r="P75" s="1604" t="n"/>
      <c r="R75" s="1568" t="n"/>
      <c r="S75" s="87" t="n"/>
    </row>
    <row r="76">
      <c r="B76" s="1708" t="n">
        <v>45761</v>
      </c>
      <c r="C76" s="783" t="inlineStr">
        <is>
          <t>Evening Urban Architecture Photography Workshop</t>
        </is>
      </c>
      <c r="D76" s="783" t="inlineStr">
        <is>
          <t>Coventry</t>
        </is>
      </c>
      <c r="E76" s="783" t="inlineStr">
        <is>
          <t>2.5hrs</t>
        </is>
      </c>
      <c r="F76" s="1568" t="inlineStr">
        <is>
          <t>JLR</t>
        </is>
      </c>
      <c r="G76" s="1750" t="inlineStr">
        <is>
          <t>IIY#0574177513471qol</t>
        </is>
      </c>
      <c r="H76" s="785" t="n">
        <v>45745</v>
      </c>
      <c r="I76" s="1751" t="n">
        <v>0</v>
      </c>
      <c r="J76" s="1750" t="n">
        <v>50</v>
      </c>
      <c r="K76" s="86" t="n"/>
      <c r="L76" s="1607" t="inlineStr">
        <is>
          <t>Paul Galbraith</t>
        </is>
      </c>
      <c r="M76" s="1607" t="n"/>
      <c r="N76" s="549" t="inlineStr">
        <is>
          <t>pgalbrai@jaguarlandrover.com</t>
        </is>
      </c>
      <c r="O76" s="551" t="n"/>
      <c r="P76" s="1604" t="inlineStr">
        <is>
          <t>07981525715</t>
        </is>
      </c>
      <c r="R76" s="1568" t="n"/>
      <c r="S76" s="87" t="n"/>
    </row>
    <row r="77">
      <c r="B77" s="1708" t="n">
        <v>45761</v>
      </c>
      <c r="C77" s="783" t="inlineStr">
        <is>
          <t>Evening Urban Architecture Photography Workshop</t>
        </is>
      </c>
      <c r="D77" s="783" t="inlineStr">
        <is>
          <t>Coventry</t>
        </is>
      </c>
      <c r="E77" s="783" t="inlineStr">
        <is>
          <t>2.5hrs</t>
        </is>
      </c>
      <c r="F77" s="1568" t="inlineStr">
        <is>
          <t>JLR</t>
        </is>
      </c>
      <c r="G77" s="1750" t="inlineStr">
        <is>
          <t>IIY#8268734733471H4k</t>
        </is>
      </c>
      <c r="H77" s="785" t="n">
        <v>45747</v>
      </c>
      <c r="I77" s="1751" t="n">
        <v>0</v>
      </c>
      <c r="J77" s="1750" t="n">
        <v>50</v>
      </c>
      <c r="K77" s="86" t="n"/>
      <c r="L77" s="1607" t="inlineStr">
        <is>
          <t>Naveen Prakash Karuppaiah</t>
        </is>
      </c>
      <c r="M77" s="1607" t="n"/>
      <c r="N77" s="549" t="inlineStr">
        <is>
          <t>nkarupp2@jaguarlandrover.com</t>
        </is>
      </c>
      <c r="O77" s="551" t="n"/>
      <c r="P77" s="1604" t="inlineStr">
        <is>
          <t>07909809811</t>
        </is>
      </c>
      <c r="R77" s="1568" t="n"/>
      <c r="S77" s="87" t="n"/>
    </row>
    <row r="78">
      <c r="B78" s="1708" t="n">
        <v>45761</v>
      </c>
      <c r="C78" s="783" t="inlineStr">
        <is>
          <t>Evening Urban Architecture Photography Workshop</t>
        </is>
      </c>
      <c r="D78" s="783" t="inlineStr">
        <is>
          <t>Coventry</t>
        </is>
      </c>
      <c r="E78" s="783" t="inlineStr">
        <is>
          <t>2.5hrs</t>
        </is>
      </c>
      <c r="F78" s="1568" t="inlineStr">
        <is>
          <t>JLR</t>
        </is>
      </c>
      <c r="G78" s="1750" t="inlineStr">
        <is>
          <t>IIY#9753245243471kIB</t>
        </is>
      </c>
      <c r="H78" s="785" t="n">
        <v>45747</v>
      </c>
      <c r="I78" s="1751" t="n">
        <v>0</v>
      </c>
      <c r="J78" s="1750" t="n">
        <v>50</v>
      </c>
      <c r="K78" s="86" t="n"/>
      <c r="L78" s="1607" t="inlineStr">
        <is>
          <t>Rajiv Mohan</t>
        </is>
      </c>
      <c r="M78" s="1607" t="n"/>
      <c r="N78" s="549" t="inlineStr">
        <is>
          <t>rmohan4@jaguarlandrover.com</t>
        </is>
      </c>
      <c r="O78" s="551" t="n"/>
      <c r="P78" s="1604" t="inlineStr">
        <is>
          <t>07776901094</t>
        </is>
      </c>
      <c r="R78" s="1568" t="n"/>
      <c r="S78" s="87" t="n"/>
    </row>
    <row r="79">
      <c r="B79" s="1708" t="n">
        <v>45761</v>
      </c>
      <c r="C79" s="783" t="inlineStr">
        <is>
          <t>Evening Urban Architecture Photography Workshop</t>
        </is>
      </c>
      <c r="D79" s="783" t="inlineStr">
        <is>
          <t>Coventry</t>
        </is>
      </c>
      <c r="E79" s="783" t="inlineStr">
        <is>
          <t>2.5hrs</t>
        </is>
      </c>
      <c r="F79" s="1568" t="inlineStr">
        <is>
          <t>JLR</t>
        </is>
      </c>
      <c r="G79" s="1750" t="inlineStr">
        <is>
          <t>IIY#3206382243471D1U</t>
        </is>
      </c>
      <c r="H79" s="785" t="n">
        <v>45749</v>
      </c>
      <c r="I79" s="1751" t="n">
        <v>0</v>
      </c>
      <c r="J79" s="1750" t="n">
        <v>50</v>
      </c>
      <c r="K79" s="86" t="n"/>
      <c r="L79" s="1607" t="inlineStr">
        <is>
          <t>Andrew Wright</t>
        </is>
      </c>
      <c r="M79" s="1607" t="n"/>
      <c r="N79" s="549" t="inlineStr">
        <is>
          <t>awrigh54@jaguarlandrover.com</t>
        </is>
      </c>
      <c r="O79" s="551" t="n"/>
      <c r="P79" s="1604" t="n"/>
      <c r="R79" s="1568" t="n"/>
      <c r="S79" s="87" t="n"/>
    </row>
    <row r="80">
      <c r="B80" s="1708" t="n">
        <v>45761</v>
      </c>
      <c r="C80" s="783" t="inlineStr">
        <is>
          <t>Evening Urban Architecture Photography Workshop</t>
        </is>
      </c>
      <c r="D80" s="783" t="inlineStr">
        <is>
          <t>Coventry</t>
        </is>
      </c>
      <c r="E80" s="783" t="inlineStr">
        <is>
          <t>2.5hrs</t>
        </is>
      </c>
      <c r="F80" s="1568" t="inlineStr">
        <is>
          <t>JLR</t>
        </is>
      </c>
      <c r="G80" s="1750" t="inlineStr">
        <is>
          <t>IIY#9670497824471Efi</t>
        </is>
      </c>
      <c r="H80" s="785" t="n">
        <v>45757</v>
      </c>
      <c r="I80" s="1751" t="n">
        <v>0</v>
      </c>
      <c r="J80" s="1750" t="n">
        <v>50</v>
      </c>
      <c r="K80" s="1568" t="inlineStr">
        <is>
          <t>Mr</t>
        </is>
      </c>
      <c r="L80" s="1610" t="inlineStr">
        <is>
          <t>Andrew</t>
        </is>
      </c>
      <c r="M80" s="1610" t="inlineStr">
        <is>
          <t>Lockwood</t>
        </is>
      </c>
      <c r="N80" s="1374" t="inlineStr">
        <is>
          <t>alockwo3@jaguarlandrover.com</t>
        </is>
      </c>
      <c r="O80" s="551" t="n"/>
      <c r="P80" s="1604" t="inlineStr">
        <is>
          <t>07974 213736</t>
        </is>
      </c>
      <c r="R80" s="1568" t="n"/>
      <c r="S80" s="87" t="n"/>
    </row>
    <row r="81">
      <c r="B81" s="1708" t="n"/>
      <c r="C81" s="783" t="n"/>
      <c r="D81" s="783" t="n"/>
      <c r="E81" s="783" t="n"/>
      <c r="F81" s="1568" t="n"/>
      <c r="G81" s="1750" t="n"/>
      <c r="H81" s="785" t="n"/>
      <c r="I81" s="1751" t="n"/>
      <c r="J81" s="1750" t="n"/>
      <c r="K81" s="86" t="n"/>
      <c r="L81" s="1607" t="n"/>
      <c r="M81" s="1607" t="n"/>
      <c r="N81" s="549" t="n"/>
      <c r="O81" s="551" t="n"/>
      <c r="P81" s="1604" t="n"/>
      <c r="R81" s="1568" t="n"/>
      <c r="S81" s="87" t="n"/>
    </row>
    <row r="82">
      <c r="B82" s="1753" t="n"/>
      <c r="C82" s="883" t="n"/>
      <c r="D82" s="783" t="n"/>
      <c r="E82" s="783" t="n"/>
      <c r="F82" s="783" t="n"/>
      <c r="G82" s="1750" t="n"/>
      <c r="H82" s="785" t="n"/>
      <c r="I82" s="1751" t="n"/>
      <c r="J82" s="1750" t="n"/>
      <c r="K82" s="1045" t="n"/>
      <c r="L82" s="1762" t="n"/>
      <c r="M82" s="1762" t="n"/>
      <c r="N82" s="549" t="n"/>
      <c r="O82" s="1707" t="n"/>
      <c r="P82" s="1707" t="n"/>
      <c r="Q82" s="1646" t="n"/>
      <c r="R82" s="1646" t="n"/>
      <c r="S82" s="1646" t="n"/>
    </row>
    <row r="83">
      <c r="B83" s="1753" t="n">
        <v>45766</v>
      </c>
      <c r="C83" s="883" t="inlineStr">
        <is>
          <t>Blubebell Woodlands</t>
        </is>
      </c>
      <c r="D83" s="883" t="inlineStr">
        <is>
          <t>All Day</t>
        </is>
      </c>
      <c r="E83" s="1643" t="n"/>
      <c r="F83" s="1643" t="inlineStr">
        <is>
          <t>JLR</t>
        </is>
      </c>
      <c r="G83" s="608" t="inlineStr">
        <is>
          <t>IIY#9345509232471CU1</t>
        </is>
      </c>
      <c r="H83" s="904" t="n">
        <v>45734</v>
      </c>
      <c r="I83" s="1645" t="n">
        <v>0</v>
      </c>
      <c r="J83" s="1643" t="n">
        <v>150</v>
      </c>
      <c r="K83" s="1643" t="n"/>
      <c r="L83" s="1763" t="inlineStr">
        <is>
          <t>Suraiya Kaliravna</t>
        </is>
      </c>
      <c r="M83" s="1763" t="n"/>
      <c r="N83" s="1764" t="inlineStr">
        <is>
          <t>skalirav@jaguarlandrover.com</t>
        </is>
      </c>
      <c r="O83" s="1732" t="n"/>
      <c r="P83" s="1732" t="inlineStr">
        <is>
          <t>07459115146</t>
        </is>
      </c>
    </row>
    <row r="84">
      <c r="B84" s="1708" t="n">
        <v>45766</v>
      </c>
      <c r="C84" s="783" t="inlineStr">
        <is>
          <t>Blubebell Woodlands</t>
        </is>
      </c>
      <c r="D84" s="783" t="inlineStr">
        <is>
          <t>All Day</t>
        </is>
      </c>
      <c r="E84" s="903" t="inlineStr">
        <is>
          <t>8hrs</t>
        </is>
      </c>
      <c r="F84" s="783" t="inlineStr">
        <is>
          <t>Into the Blue</t>
        </is>
      </c>
      <c r="G84" s="1752" t="inlineStr">
        <is>
          <t>2502091003</t>
        </is>
      </c>
      <c r="H84" s="785" t="n">
        <v>45697</v>
      </c>
      <c r="I84" s="1751" t="n">
        <v>140</v>
      </c>
      <c r="J84" s="1750" t="n">
        <v>0</v>
      </c>
      <c r="K84" s="1045" t="inlineStr">
        <is>
          <t>Mr</t>
        </is>
      </c>
      <c r="L84" s="1762" t="inlineStr">
        <is>
          <t>Geraint</t>
        </is>
      </c>
      <c r="M84" s="1762" t="inlineStr">
        <is>
          <t>Williams</t>
        </is>
      </c>
      <c r="N84" s="549" t="inlineStr">
        <is>
          <t>geraintgeester@gmail.com</t>
        </is>
      </c>
      <c r="O84" s="1707" t="n"/>
      <c r="P84" s="1707" t="inlineStr">
        <is>
          <t>07803600862</t>
        </is>
      </c>
      <c r="Q84" s="1646" t="n"/>
      <c r="R84" s="1646" t="n"/>
      <c r="S84" s="1646" t="n"/>
    </row>
    <row r="85">
      <c r="B85" s="1753" t="n">
        <v>45766</v>
      </c>
      <c r="C85" s="883" t="inlineStr">
        <is>
          <t>Blubebell Woodlands</t>
        </is>
      </c>
      <c r="D85" s="783" t="inlineStr">
        <is>
          <t>All Day</t>
        </is>
      </c>
      <c r="E85" s="903" t="inlineStr">
        <is>
          <t>8hrs</t>
        </is>
      </c>
      <c r="F85" s="1568" t="inlineStr">
        <is>
          <t>Exisiting</t>
        </is>
      </c>
      <c r="G85" s="87" t="inlineStr">
        <is>
          <t>#02823</t>
        </is>
      </c>
      <c r="H85" s="785" t="n">
        <v>3.142857141203704</v>
      </c>
      <c r="I85" s="1696" t="n">
        <v>175</v>
      </c>
      <c r="J85" s="1697" t="n">
        <v>0</v>
      </c>
      <c r="K85" s="1568" t="inlineStr">
        <is>
          <t>Mr</t>
        </is>
      </c>
      <c r="L85" s="1610" t="inlineStr">
        <is>
          <t>John</t>
        </is>
      </c>
      <c r="M85" s="1610" t="inlineStr">
        <is>
          <t>Whitehouse</t>
        </is>
      </c>
      <c r="N85" s="1374" t="inlineStr">
        <is>
          <t>john.s.whitehouse@gmail.com</t>
        </is>
      </c>
      <c r="O85" s="1604" t="inlineStr">
        <is>
          <t>41</t>
        </is>
      </c>
      <c r="P85" s="1604" t="inlineStr">
        <is>
          <t>07908557412</t>
        </is>
      </c>
      <c r="Q85" s="1697" t="inlineStr">
        <is>
          <t>WR11 8NQ</t>
        </is>
      </c>
      <c r="R85" s="1697" t="inlineStr">
        <is>
          <t>16 Village Street</t>
        </is>
      </c>
      <c r="S85" s="1697" t="inlineStr">
        <is>
          <t xml:space="preserve">Evesham, </t>
        </is>
      </c>
    </row>
    <row r="86">
      <c r="B86" s="1708" t="n">
        <v>45766</v>
      </c>
      <c r="C86" s="783" t="inlineStr">
        <is>
          <t>Blubebell Woodlands</t>
        </is>
      </c>
      <c r="D86" s="783" t="inlineStr">
        <is>
          <t>All Day</t>
        </is>
      </c>
      <c r="E86" s="903" t="inlineStr">
        <is>
          <t>8hrs</t>
        </is>
      </c>
      <c r="F86" s="1568" t="inlineStr">
        <is>
          <t>JLR</t>
        </is>
      </c>
      <c r="G86" s="87" t="inlineStr">
        <is>
          <t>IIY#8045430942471xTk</t>
        </is>
      </c>
      <c r="H86" s="785" t="n">
        <v>45739</v>
      </c>
      <c r="I86" s="1696" t="n">
        <v>0</v>
      </c>
      <c r="J86" s="1697" t="n">
        <v>150</v>
      </c>
      <c r="K86" s="1568" t="n"/>
      <c r="L86" s="1610" t="inlineStr">
        <is>
          <t>Burak Oguz</t>
        </is>
      </c>
      <c r="M86" s="1610" t="n"/>
      <c r="N86" s="1374" t="inlineStr">
        <is>
          <t>boguz@jaguarlandrover.com</t>
        </is>
      </c>
      <c r="O86" s="1604" t="n"/>
      <c r="P86" s="1604" t="inlineStr">
        <is>
          <t>07377227533</t>
        </is>
      </c>
      <c r="S86" s="1568" t="n"/>
    </row>
    <row r="87">
      <c r="B87" s="1708" t="n">
        <v>45766</v>
      </c>
      <c r="C87" s="783" t="inlineStr">
        <is>
          <t>Blubebell Woodlands</t>
        </is>
      </c>
      <c r="D87" s="783" t="inlineStr">
        <is>
          <t>All Day</t>
        </is>
      </c>
      <c r="E87" s="903" t="inlineStr">
        <is>
          <t>8hrs</t>
        </is>
      </c>
      <c r="F87" s="1568" t="inlineStr">
        <is>
          <t>JLR</t>
        </is>
      </c>
      <c r="G87" s="87" t="inlineStr">
        <is>
          <t>IIY#46295894434711B9</t>
        </is>
      </c>
      <c r="H87" s="785" t="n">
        <v>45751</v>
      </c>
      <c r="I87" s="1696" t="n">
        <v>0</v>
      </c>
      <c r="J87" s="1697" t="n">
        <v>150</v>
      </c>
      <c r="K87" s="1568" t="n"/>
      <c r="L87" s="1610" t="inlineStr">
        <is>
          <t>Murat Yavanirmak</t>
        </is>
      </c>
      <c r="M87" s="1610" t="n"/>
      <c r="N87" s="1374" t="inlineStr">
        <is>
          <t>myavani1@jaguarlandrover.com</t>
        </is>
      </c>
      <c r="O87" s="1604" t="n"/>
      <c r="P87" s="1604" t="inlineStr">
        <is>
          <t>07384 439410</t>
        </is>
      </c>
      <c r="S87" s="1568" t="n"/>
    </row>
    <row r="88">
      <c r="B88" s="1708" t="n">
        <v>45766</v>
      </c>
      <c r="C88" s="783" t="inlineStr">
        <is>
          <t>Blubebell Woodlands</t>
        </is>
      </c>
      <c r="D88" s="783" t="inlineStr">
        <is>
          <t>AM -05:45 - 09:45</t>
        </is>
      </c>
      <c r="E88" s="783" t="inlineStr">
        <is>
          <t>4hrs</t>
        </is>
      </c>
      <c r="F88" s="783" t="inlineStr">
        <is>
          <t>Google</t>
        </is>
      </c>
      <c r="G88" s="1750" t="inlineStr">
        <is>
          <t>#02963</t>
        </is>
      </c>
      <c r="H88" s="785" t="n">
        <v>45714</v>
      </c>
      <c r="I88" s="1751" t="n">
        <v>99</v>
      </c>
      <c r="J88" s="1750" t="n">
        <v>0</v>
      </c>
      <c r="K88" s="1045" t="inlineStr">
        <is>
          <t>Ms</t>
        </is>
      </c>
      <c r="L88" s="1762" t="inlineStr">
        <is>
          <t xml:space="preserve">Jennifer </t>
        </is>
      </c>
      <c r="M88" s="1762" t="inlineStr">
        <is>
          <t>Cole</t>
        </is>
      </c>
      <c r="N88" s="549" t="inlineStr">
        <is>
          <t>jencosphotos@gmail.com</t>
        </is>
      </c>
      <c r="O88" s="1707" t="inlineStr">
        <is>
          <t>29</t>
        </is>
      </c>
      <c r="P88" s="1707" t="inlineStr">
        <is>
          <t>07429530796</t>
        </is>
      </c>
      <c r="Q88" s="1646" t="inlineStr">
        <is>
          <t>NN3 7DY</t>
        </is>
      </c>
      <c r="R88" s="1646" t="inlineStr">
        <is>
          <t>12 Dickens Close</t>
        </is>
      </c>
      <c r="S88" s="1646" t="inlineStr">
        <is>
          <t>Moulton</t>
        </is>
      </c>
    </row>
    <row r="89">
      <c r="B89" s="1708" t="n">
        <v>45766</v>
      </c>
      <c r="C89" s="783" t="inlineStr">
        <is>
          <t>Blubebell Woodlands</t>
        </is>
      </c>
      <c r="D89" s="783" t="inlineStr">
        <is>
          <t>PM -11:00 - 15:00</t>
        </is>
      </c>
      <c r="E89" s="783" t="inlineStr">
        <is>
          <t>4hrs</t>
        </is>
      </c>
      <c r="F89" s="1568" t="inlineStr">
        <is>
          <t>Google</t>
        </is>
      </c>
      <c r="G89" s="87" t="inlineStr">
        <is>
          <t>#02917</t>
        </is>
      </c>
      <c r="H89" s="785" t="n">
        <v>45642</v>
      </c>
      <c r="I89" s="1696" t="n">
        <v>125</v>
      </c>
      <c r="J89" s="1697" t="n">
        <v>0</v>
      </c>
      <c r="K89" s="1568" t="inlineStr">
        <is>
          <t>Mr</t>
        </is>
      </c>
      <c r="L89" s="1610" t="inlineStr">
        <is>
          <t>Tony</t>
        </is>
      </c>
      <c r="M89" s="1610" t="inlineStr">
        <is>
          <t>Genner</t>
        </is>
      </c>
      <c r="N89" s="1374" t="inlineStr">
        <is>
          <t>carolinejenner54@gmail.com</t>
        </is>
      </c>
      <c r="O89" s="1604" t="inlineStr">
        <is>
          <t>66</t>
        </is>
      </c>
      <c r="P89" s="1604" t="inlineStr">
        <is>
          <t>07803508039</t>
        </is>
      </c>
      <c r="Q89" s="1697" t="inlineStr">
        <is>
          <t>BR1 3RN</t>
        </is>
      </c>
      <c r="R89" s="1697" t="inlineStr">
        <is>
          <t>27 Heathfield Road</t>
        </is>
      </c>
      <c r="S89" s="1568" t="inlineStr">
        <is>
          <t>Bromley</t>
        </is>
      </c>
    </row>
    <row r="90">
      <c r="B90" s="1753" t="n">
        <v>45766</v>
      </c>
      <c r="C90" s="883" t="inlineStr">
        <is>
          <t>Blubebell Woodlands</t>
        </is>
      </c>
      <c r="D90" s="783" t="inlineStr">
        <is>
          <t>PM -11:00 - 15:00</t>
        </is>
      </c>
      <c r="E90" s="783" t="inlineStr">
        <is>
          <t>4hrs</t>
        </is>
      </c>
      <c r="F90" s="1568" t="inlineStr">
        <is>
          <t>JLR</t>
        </is>
      </c>
      <c r="G90" s="87" t="inlineStr">
        <is>
          <t>IIY#7801083032471sir</t>
        </is>
      </c>
      <c r="H90" s="785" t="n">
        <v>45734</v>
      </c>
      <c r="I90" s="1696" t="n">
        <v>0</v>
      </c>
      <c r="J90" s="1697" t="n">
        <v>99</v>
      </c>
      <c r="K90" s="1568" t="n"/>
      <c r="L90" s="1610" t="inlineStr">
        <is>
          <t>Jevgenijs Kitajevs</t>
        </is>
      </c>
      <c r="M90" s="1610" t="n"/>
      <c r="N90" s="1374" t="inlineStr">
        <is>
          <t>jkitajev@jaguarlandrover.com</t>
        </is>
      </c>
      <c r="O90" s="1604" t="n"/>
      <c r="P90" s="1604" t="inlineStr">
        <is>
          <t>07429249126</t>
        </is>
      </c>
      <c r="S90" s="1568" t="n"/>
    </row>
    <row r="91">
      <c r="B91" s="1708" t="n">
        <v>45766</v>
      </c>
      <c r="C91" s="783" t="inlineStr">
        <is>
          <t>Blubebell Woodlands</t>
        </is>
      </c>
      <c r="D91" s="783" t="inlineStr">
        <is>
          <t>PM -11:00 - 15:00</t>
        </is>
      </c>
      <c r="E91" s="783" t="inlineStr">
        <is>
          <t>4hrs</t>
        </is>
      </c>
      <c r="F91" s="1568" t="inlineStr">
        <is>
          <t>JLR</t>
        </is>
      </c>
      <c r="G91" s="87" t="inlineStr">
        <is>
          <t>IIY#6441672752471R51</t>
        </is>
      </c>
      <c r="H91" s="785" t="n">
        <v>45738</v>
      </c>
      <c r="I91" s="1696" t="n">
        <v>0</v>
      </c>
      <c r="J91" s="1697" t="n">
        <v>99</v>
      </c>
      <c r="K91" s="1568" t="n"/>
      <c r="L91" s="1610" t="inlineStr">
        <is>
          <t>Soon Seng Leong</t>
        </is>
      </c>
      <c r="M91" s="1610" t="n"/>
      <c r="N91" s="1374" t="inlineStr">
        <is>
          <t>sleong2@jaguarlandrover.com</t>
        </is>
      </c>
      <c r="O91" s="1604" t="n"/>
      <c r="P91" s="1604" t="inlineStr">
        <is>
          <t>07377179839</t>
        </is>
      </c>
      <c r="S91" s="1568" t="n"/>
    </row>
    <row r="92">
      <c r="B92" s="1708" t="n"/>
      <c r="C92" s="783" t="n"/>
      <c r="D92" s="1568" t="n"/>
      <c r="F92" s="1568" t="n"/>
      <c r="G92" s="87" t="n"/>
      <c r="H92" s="785" t="n"/>
      <c r="K92" s="1568" t="n"/>
      <c r="L92" s="1610" t="n"/>
      <c r="M92" s="1610" t="n"/>
      <c r="N92" s="1374" t="n"/>
      <c r="O92" s="1604" t="n"/>
      <c r="P92" s="1604" t="n"/>
      <c r="S92" s="1568" t="n"/>
    </row>
    <row r="93">
      <c r="B93" s="1708" t="n"/>
      <c r="C93" s="783" t="n"/>
      <c r="D93" s="1568" t="n"/>
      <c r="F93" s="1568" t="n"/>
      <c r="G93" s="87" t="n"/>
      <c r="H93" s="785" t="n"/>
      <c r="K93" s="1568" t="n"/>
      <c r="L93" s="1610" t="n"/>
      <c r="M93" s="1610" t="n"/>
      <c r="N93" s="1374" t="n"/>
      <c r="O93" s="1604" t="n"/>
      <c r="P93" s="1604" t="n"/>
      <c r="S93" s="1568" t="n"/>
    </row>
    <row r="94">
      <c r="B94" s="1708" t="n">
        <v>45767</v>
      </c>
      <c r="C94" s="883" t="inlineStr">
        <is>
          <t>Blubebell Woodlands</t>
        </is>
      </c>
      <c r="D94" s="783" t="inlineStr">
        <is>
          <t>AM -05:45 - 09:45</t>
        </is>
      </c>
      <c r="E94" s="783" t="inlineStr">
        <is>
          <t>4hrs</t>
        </is>
      </c>
      <c r="F94" s="1568" t="inlineStr">
        <is>
          <t>Goolge</t>
        </is>
      </c>
      <c r="G94" s="87" t="inlineStr">
        <is>
          <t>#02977</t>
        </is>
      </c>
      <c r="H94" s="785" t="n">
        <v>45739</v>
      </c>
      <c r="I94" s="1696" t="n">
        <v>99</v>
      </c>
      <c r="J94" s="1697" t="n">
        <v>0</v>
      </c>
      <c r="K94" s="1568" t="inlineStr">
        <is>
          <t>Mr</t>
        </is>
      </c>
      <c r="L94" s="1610" t="inlineStr">
        <is>
          <t>Peter</t>
        </is>
      </c>
      <c r="M94" s="1610" t="inlineStr">
        <is>
          <t>Rubon</t>
        </is>
      </c>
      <c r="N94" s="1374" t="inlineStr">
        <is>
          <t>peter.rubin2311@outlook.com</t>
        </is>
      </c>
      <c r="O94" s="1604" t="inlineStr">
        <is>
          <t>65</t>
        </is>
      </c>
      <c r="P94" s="1604" t="inlineStr">
        <is>
          <t>07880481034</t>
        </is>
      </c>
      <c r="Q94" s="1697" t="inlineStr">
        <is>
          <t>OX128JX</t>
        </is>
      </c>
      <c r="R94" s="1697" t="inlineStr">
        <is>
          <t>Jasmine Cottage</t>
        </is>
      </c>
      <c r="S94" s="1568" t="inlineStr">
        <is>
          <t>Oxon</t>
        </is>
      </c>
    </row>
    <row r="95">
      <c r="B95" s="1708" t="n">
        <v>45767</v>
      </c>
      <c r="C95" s="783" t="inlineStr">
        <is>
          <t>Blubebell Woodlands</t>
        </is>
      </c>
      <c r="D95" s="783" t="inlineStr">
        <is>
          <t>AM -05:45 - 09:45</t>
        </is>
      </c>
      <c r="E95" s="783" t="inlineStr">
        <is>
          <t>4hrs</t>
        </is>
      </c>
      <c r="F95" s="1568" t="inlineStr">
        <is>
          <t>Goolge</t>
        </is>
      </c>
      <c r="G95" s="1750" t="inlineStr">
        <is>
          <t>#02988</t>
        </is>
      </c>
      <c r="H95" s="785" t="n">
        <v>45763</v>
      </c>
      <c r="I95" s="1751" t="n">
        <v>99</v>
      </c>
      <c r="J95" s="1750" t="n">
        <v>0</v>
      </c>
      <c r="K95" s="1045" t="inlineStr">
        <is>
          <t>Mr</t>
        </is>
      </c>
      <c r="L95" s="1762" t="inlineStr">
        <is>
          <t>Alec</t>
        </is>
      </c>
      <c r="M95" s="1762" t="inlineStr">
        <is>
          <t>Finnemore</t>
        </is>
      </c>
      <c r="N95" s="549" t="inlineStr">
        <is>
          <t xml:space="preserve">alecf1@gmail.com </t>
        </is>
      </c>
      <c r="O95" s="1707" t="inlineStr">
        <is>
          <t>56</t>
        </is>
      </c>
      <c r="P95" s="1707" t="inlineStr">
        <is>
          <t>07872551996</t>
        </is>
      </c>
      <c r="Q95" s="1697" t="inlineStr">
        <is>
          <t>GU16 9TN</t>
        </is>
      </c>
      <c r="R95" s="1697" t="inlineStr">
        <is>
          <t>27 Habershon Drive</t>
        </is>
      </c>
      <c r="S95" s="1568" t="inlineStr">
        <is>
          <t>Frimley</t>
        </is>
      </c>
    </row>
    <row r="96">
      <c r="B96" s="1708" t="n">
        <v>45767</v>
      </c>
      <c r="C96" s="783" t="inlineStr">
        <is>
          <t>Blubebell Woodlands</t>
        </is>
      </c>
      <c r="D96" s="783" t="inlineStr">
        <is>
          <t>AM -05:45 - 09:45</t>
        </is>
      </c>
      <c r="E96" s="783" t="inlineStr">
        <is>
          <t>4hrs</t>
        </is>
      </c>
      <c r="F96" s="1568" t="inlineStr">
        <is>
          <t>JLR</t>
        </is>
      </c>
      <c r="G96" s="87" t="inlineStr">
        <is>
          <t>IIY#2381720600471a7C</t>
        </is>
      </c>
      <c r="H96" s="785" t="n">
        <v>45712</v>
      </c>
      <c r="I96" s="1696" t="n">
        <v>0</v>
      </c>
      <c r="J96" s="1697" t="n">
        <v>99</v>
      </c>
      <c r="K96" s="1568" t="n"/>
      <c r="L96" s="1610" t="inlineStr">
        <is>
          <t>Phil Houghton</t>
        </is>
      </c>
      <c r="M96" s="1610" t="n"/>
      <c r="N96" s="1374" t="inlineStr">
        <is>
          <t>phought3@jaguarlandrover.com</t>
        </is>
      </c>
      <c r="O96" s="1604" t="n"/>
      <c r="P96" s="1604" t="n"/>
      <c r="S96" s="1568" t="n"/>
    </row>
    <row r="97">
      <c r="B97" s="1708" t="n">
        <v>45767</v>
      </c>
      <c r="C97" s="783" t="inlineStr">
        <is>
          <t>Blubebell Woodlands</t>
        </is>
      </c>
      <c r="D97" s="783" t="inlineStr">
        <is>
          <t>AM -05:45 - 09:45</t>
        </is>
      </c>
      <c r="E97" s="783" t="inlineStr">
        <is>
          <t>4hrs</t>
        </is>
      </c>
      <c r="F97" s="1568" t="inlineStr">
        <is>
          <t>JLR</t>
        </is>
      </c>
      <c r="G97" s="87" t="inlineStr">
        <is>
          <t>IIY#0746450282471ITH</t>
        </is>
      </c>
      <c r="H97" s="785" t="n">
        <v>45741</v>
      </c>
      <c r="J97" s="1697" t="n">
        <v>99</v>
      </c>
      <c r="K97" s="1568" t="n"/>
      <c r="L97" s="1610" t="inlineStr">
        <is>
          <t>Stuart Hurcomb</t>
        </is>
      </c>
      <c r="M97" s="1610" t="n"/>
      <c r="N97" s="1374" t="inlineStr">
        <is>
          <t>shurcomb@jaguarlandrover.com</t>
        </is>
      </c>
      <c r="O97" s="1604" t="n"/>
      <c r="P97" s="1604" t="inlineStr">
        <is>
          <t>07791989593</t>
        </is>
      </c>
      <c r="S97" s="1568" t="n"/>
    </row>
    <row r="98">
      <c r="B98" s="1708" t="n">
        <v>45767</v>
      </c>
      <c r="C98" s="783" t="inlineStr">
        <is>
          <t>Blubebell Woodlands</t>
        </is>
      </c>
      <c r="D98" s="783" t="inlineStr">
        <is>
          <t>AM -05:45 - 09:45</t>
        </is>
      </c>
      <c r="E98" s="783" t="inlineStr">
        <is>
          <t>4hrs</t>
        </is>
      </c>
      <c r="F98" s="1568" t="inlineStr">
        <is>
          <t>JLR</t>
        </is>
      </c>
      <c r="G98" s="87" t="inlineStr">
        <is>
          <t>IIY#5226143214471mok</t>
        </is>
      </c>
      <c r="H98" s="785" t="n">
        <v>45755</v>
      </c>
      <c r="I98" s="1696" t="n">
        <v>0</v>
      </c>
      <c r="J98" s="1697" t="n">
        <v>99</v>
      </c>
      <c r="K98" s="1568" t="n"/>
      <c r="L98" s="1610" t="inlineStr">
        <is>
          <t>Or Shachar</t>
        </is>
      </c>
      <c r="M98" s="1610" t="n"/>
      <c r="N98" s="1374" t="inlineStr">
        <is>
          <t>oshachar@jaguarlandrover.com</t>
        </is>
      </c>
      <c r="O98" s="1604" t="n"/>
      <c r="P98" s="1604" t="inlineStr">
        <is>
          <t>07500158099</t>
        </is>
      </c>
      <c r="S98" s="1568" t="n"/>
    </row>
    <row r="99">
      <c r="B99" s="1708" t="n">
        <v>45767</v>
      </c>
      <c r="C99" s="783" t="inlineStr">
        <is>
          <t>Blubebell Woodlands</t>
        </is>
      </c>
      <c r="D99" s="783" t="inlineStr">
        <is>
          <t>AM -05:45 - 09:45</t>
        </is>
      </c>
      <c r="E99" s="783" t="inlineStr">
        <is>
          <t>4hrs</t>
        </is>
      </c>
      <c r="F99" s="783" t="inlineStr">
        <is>
          <t>JLR</t>
        </is>
      </c>
      <c r="G99" s="1750" t="inlineStr">
        <is>
          <t>IIY#85380587814718vd</t>
        </is>
      </c>
      <c r="H99" s="785" t="n">
        <v>45733</v>
      </c>
      <c r="I99" s="1751" t="n">
        <v>0</v>
      </c>
      <c r="J99" s="1750" t="n">
        <v>99</v>
      </c>
      <c r="K99" s="1045" t="n"/>
      <c r="L99" s="1762" t="inlineStr">
        <is>
          <t>Dinesh Kumar Selvarangan</t>
        </is>
      </c>
      <c r="M99" s="1762" t="n"/>
      <c r="N99" s="549" t="inlineStr">
        <is>
          <t>dselvar1@jaguarlandrover.com</t>
        </is>
      </c>
      <c r="O99" s="1707" t="n"/>
      <c r="P99" s="1707" t="inlineStr">
        <is>
          <t>07818716697</t>
        </is>
      </c>
      <c r="S99" s="1568" t="n"/>
    </row>
    <row r="100">
      <c r="B100" s="1753" t="n"/>
      <c r="C100" s="883" t="n"/>
      <c r="D100" s="783" t="n"/>
      <c r="E100" s="783" t="n"/>
      <c r="F100" s="783" t="n"/>
      <c r="G100" s="1750" t="n"/>
      <c r="H100" s="785" t="n"/>
      <c r="I100" s="1751" t="n"/>
      <c r="J100" s="1750" t="n"/>
      <c r="K100" s="1045" t="n"/>
      <c r="L100" s="1762" t="n"/>
      <c r="M100" s="1762" t="n"/>
      <c r="N100" s="549" t="n"/>
      <c r="O100" s="1707" t="n"/>
      <c r="P100" s="1707" t="n"/>
      <c r="S100" s="1568" t="n"/>
    </row>
    <row r="101">
      <c r="B101" s="1708" t="n">
        <v>45769</v>
      </c>
      <c r="C101" s="783" t="inlineStr">
        <is>
          <t>Blubebell Woodlands</t>
        </is>
      </c>
      <c r="D101" s="783" t="inlineStr">
        <is>
          <t>All Day</t>
        </is>
      </c>
      <c r="E101" s="903" t="inlineStr">
        <is>
          <t>8hrs</t>
        </is>
      </c>
      <c r="F101" s="1568" t="inlineStr">
        <is>
          <t>JLR</t>
        </is>
      </c>
      <c r="G101" s="87" t="inlineStr">
        <is>
          <t>IIY#8704112003471LKP</t>
        </is>
      </c>
      <c r="H101" s="785" t="n">
        <v>45743</v>
      </c>
      <c r="I101" s="1696" t="n">
        <v>0</v>
      </c>
      <c r="J101" s="1697" t="n">
        <v>150</v>
      </c>
      <c r="K101" s="1568" t="n"/>
      <c r="L101" s="1610" t="inlineStr">
        <is>
          <t>Jim Coleman</t>
        </is>
      </c>
      <c r="M101" s="1610" t="n"/>
      <c r="N101" s="1374" t="inlineStr">
        <is>
          <t>jcolema1@jaguarlandrover.com</t>
        </is>
      </c>
      <c r="O101" s="1604" t="n"/>
      <c r="P101" s="1604" t="n"/>
      <c r="S101" s="1568" t="n"/>
    </row>
    <row r="102">
      <c r="B102" s="1708" t="n">
        <v>45769</v>
      </c>
      <c r="C102" s="783" t="inlineStr">
        <is>
          <t>Blubebell Woodlands</t>
        </is>
      </c>
      <c r="D102" s="783" t="inlineStr">
        <is>
          <t>AM -05:45 - 09:45</t>
        </is>
      </c>
      <c r="E102" s="783" t="inlineStr">
        <is>
          <t>4hrs</t>
        </is>
      </c>
      <c r="F102" s="1568" t="inlineStr">
        <is>
          <t>Existing</t>
        </is>
      </c>
      <c r="G102" s="87" t="inlineStr">
        <is>
          <t>#02950</t>
        </is>
      </c>
      <c r="H102" s="785" t="n">
        <v>45687</v>
      </c>
      <c r="I102" s="1696" t="n">
        <v>99</v>
      </c>
      <c r="J102" s="1697" t="n">
        <v>0</v>
      </c>
      <c r="K102" s="1568" t="inlineStr">
        <is>
          <t>Ms</t>
        </is>
      </c>
      <c r="L102" s="1610" t="inlineStr">
        <is>
          <t>Lee Ann</t>
        </is>
      </c>
      <c r="M102" s="1610" t="inlineStr">
        <is>
          <t>Higgins</t>
        </is>
      </c>
      <c r="N102" s="1374" t="inlineStr">
        <is>
          <t xml:space="preserve">leedevee@hotmail.co.uk </t>
        </is>
      </c>
      <c r="O102" s="1604" t="inlineStr">
        <is>
          <t>51</t>
        </is>
      </c>
      <c r="P102" s="1604" t="inlineStr">
        <is>
          <t>07780921160</t>
        </is>
      </c>
      <c r="Q102" s="1697" t="inlineStr">
        <is>
          <t>HP13 6JY</t>
        </is>
      </c>
      <c r="R102" s="1697" t="inlineStr">
        <is>
          <t>26 The Crescent</t>
        </is>
      </c>
      <c r="S102" s="1568" t="inlineStr">
        <is>
          <t>High Wycombe</t>
        </is>
      </c>
    </row>
    <row r="103">
      <c r="B103" s="1708" t="n">
        <v>45769</v>
      </c>
      <c r="C103" s="783" t="inlineStr">
        <is>
          <t>Blubebell Woodlands</t>
        </is>
      </c>
      <c r="D103" s="783" t="inlineStr">
        <is>
          <t>PM -10:30 - 14:30</t>
        </is>
      </c>
      <c r="E103" s="783" t="inlineStr">
        <is>
          <t>4hrs</t>
        </is>
      </c>
      <c r="F103" s="1568" t="inlineStr">
        <is>
          <t>Google</t>
        </is>
      </c>
      <c r="G103" s="87" t="inlineStr">
        <is>
          <t>#02982</t>
        </is>
      </c>
      <c r="H103" s="785" t="n">
        <v>45757</v>
      </c>
      <c r="I103" s="1696" t="n">
        <v>99</v>
      </c>
      <c r="J103" s="1697" t="n">
        <v>0</v>
      </c>
      <c r="K103" s="1568" t="inlineStr">
        <is>
          <t>Ms</t>
        </is>
      </c>
      <c r="L103" s="1610" t="inlineStr">
        <is>
          <t>Pat</t>
        </is>
      </c>
      <c r="M103" s="1610" t="inlineStr">
        <is>
          <t>Gowdie</t>
        </is>
      </c>
      <c r="N103" s="1374" t="inlineStr">
        <is>
          <t xml:space="preserve">pat.gowdie@btinternet.com </t>
        </is>
      </c>
      <c r="O103" s="1604" t="inlineStr">
        <is>
          <t>60</t>
        </is>
      </c>
      <c r="P103" s="1604" t="inlineStr">
        <is>
          <t>07545099194</t>
        </is>
      </c>
      <c r="Q103" s="1697" t="inlineStr">
        <is>
          <t>EN1 2QZ</t>
        </is>
      </c>
      <c r="R103" s="1697" t="inlineStr">
        <is>
          <t>70 Amberley road</t>
        </is>
      </c>
      <c r="S103" s="1568" t="inlineStr">
        <is>
          <t>London</t>
        </is>
      </c>
    </row>
    <row r="104">
      <c r="B104" s="1708" t="n">
        <v>45769</v>
      </c>
      <c r="C104" s="783" t="inlineStr">
        <is>
          <t>Blubebell Woodlands</t>
        </is>
      </c>
      <c r="D104" s="783" t="inlineStr">
        <is>
          <t>PM -10:30 - 14:30</t>
        </is>
      </c>
      <c r="E104" s="783" t="inlineStr">
        <is>
          <t>4hrs</t>
        </is>
      </c>
      <c r="F104" s="1568" t="inlineStr">
        <is>
          <t>Google</t>
        </is>
      </c>
      <c r="G104" s="87" t="inlineStr">
        <is>
          <t>#02971</t>
        </is>
      </c>
      <c r="H104" s="785" t="n">
        <v>45729</v>
      </c>
      <c r="I104" s="1696" t="n">
        <v>99</v>
      </c>
      <c r="J104" s="1697" t="n">
        <v>0</v>
      </c>
      <c r="K104" s="1568" t="inlineStr">
        <is>
          <t>Mrs</t>
        </is>
      </c>
      <c r="L104" s="1610" t="inlineStr">
        <is>
          <t>Ruth</t>
        </is>
      </c>
      <c r="M104" s="1610" t="inlineStr">
        <is>
          <t>Roach</t>
        </is>
      </c>
      <c r="N104" s="1374" t="inlineStr">
        <is>
          <t xml:space="preserve">rar_5423@hotmail.com </t>
        </is>
      </c>
      <c r="O104" s="1604" t="inlineStr">
        <is>
          <t>77</t>
        </is>
      </c>
      <c r="P104" s="1604" t="inlineStr">
        <is>
          <t>07954177745</t>
        </is>
      </c>
      <c r="Q104" s="1697" t="inlineStr">
        <is>
          <t>CV37 6TT</t>
        </is>
      </c>
      <c r="R104" s="1697" t="inlineStr">
        <is>
          <t>8 Swallow Close</t>
        </is>
      </c>
      <c r="S104" s="1568" t="inlineStr">
        <is>
          <t>Stratford-Upon_Avon</t>
        </is>
      </c>
    </row>
    <row r="105">
      <c r="B105" s="1708" t="n">
        <v>45769</v>
      </c>
      <c r="C105" s="883" t="inlineStr">
        <is>
          <t>Bluebell Woodlands</t>
        </is>
      </c>
      <c r="D105" s="783" t="inlineStr">
        <is>
          <t>PM -10:30 - 14:30</t>
        </is>
      </c>
      <c r="E105" s="783" t="inlineStr">
        <is>
          <t>4hrs</t>
        </is>
      </c>
      <c r="F105" s="783" t="inlineStr">
        <is>
          <t>Google</t>
        </is>
      </c>
      <c r="G105" s="1750" t="inlineStr">
        <is>
          <t>#02964</t>
        </is>
      </c>
      <c r="H105" s="785" t="n">
        <v>45714</v>
      </c>
      <c r="I105" s="1751" t="n">
        <v>99</v>
      </c>
      <c r="J105" s="1750" t="n">
        <v>0</v>
      </c>
      <c r="K105" s="1045" t="inlineStr">
        <is>
          <t>Ms</t>
        </is>
      </c>
      <c r="L105" s="1762" t="inlineStr">
        <is>
          <t>Rebecca</t>
        </is>
      </c>
      <c r="M105" s="1762" t="inlineStr">
        <is>
          <t>Bradley</t>
        </is>
      </c>
      <c r="N105" s="1491" t="inlineStr">
        <is>
          <t xml:space="preserve">bradleyrj22@gmail.com </t>
        </is>
      </c>
      <c r="O105" s="1707" t="inlineStr">
        <is>
          <t>33</t>
        </is>
      </c>
      <c r="P105" s="1707" t="inlineStr">
        <is>
          <t>07834628296</t>
        </is>
      </c>
      <c r="Q105" s="1646" t="inlineStr">
        <is>
          <t>CV23 8AN</t>
        </is>
      </c>
      <c r="R105" s="1646" t="inlineStr">
        <is>
          <t>37 Onley Park</t>
        </is>
      </c>
      <c r="S105" s="1646" t="inlineStr">
        <is>
          <t>Rugby</t>
        </is>
      </c>
    </row>
    <row r="106">
      <c r="B106" s="1753" t="n"/>
      <c r="C106" s="883" t="n"/>
      <c r="D106" s="783" t="n"/>
      <c r="E106" s="783" t="n"/>
      <c r="F106" s="783" t="n"/>
      <c r="G106" s="1750" t="n"/>
      <c r="H106" s="785" t="n"/>
      <c r="I106" s="1751" t="n"/>
      <c r="J106" s="1750" t="n"/>
      <c r="K106" s="1045" t="n"/>
      <c r="L106" s="1762" t="n"/>
      <c r="M106" s="1762" t="n"/>
      <c r="N106" s="1491" t="n"/>
      <c r="O106" s="1707" t="n"/>
      <c r="P106" s="1707" t="n"/>
      <c r="Q106" s="1646" t="n"/>
      <c r="R106" s="1646" t="n"/>
      <c r="S106" s="1646" t="n"/>
    </row>
    <row r="108">
      <c r="B108" s="1708" t="n">
        <v>45770</v>
      </c>
      <c r="C108" s="783" t="inlineStr">
        <is>
          <t>Blubebell Woodlands</t>
        </is>
      </c>
      <c r="D108" s="783" t="inlineStr">
        <is>
          <t>AM -05:45 - 09:45</t>
        </is>
      </c>
      <c r="E108" s="783" t="inlineStr">
        <is>
          <t>4hrs</t>
        </is>
      </c>
      <c r="F108" s="1568" t="inlineStr">
        <is>
          <t>Google</t>
        </is>
      </c>
      <c r="G108" s="87" t="inlineStr">
        <is>
          <t>#02982</t>
        </is>
      </c>
      <c r="H108" s="785" t="n">
        <v>45757</v>
      </c>
      <c r="I108" s="1696">
        <f>150-99</f>
        <v/>
      </c>
      <c r="J108" s="1697" t="n">
        <v>0</v>
      </c>
      <c r="K108" s="1568" t="inlineStr">
        <is>
          <t>Ms</t>
        </is>
      </c>
      <c r="L108" s="1610" t="inlineStr">
        <is>
          <t>Pat</t>
        </is>
      </c>
      <c r="M108" s="1610" t="inlineStr">
        <is>
          <t>Gowdie</t>
        </is>
      </c>
      <c r="N108" s="1374" t="inlineStr">
        <is>
          <t xml:space="preserve">pat.gowdie@btinternet.com </t>
        </is>
      </c>
      <c r="O108" s="1604" t="inlineStr">
        <is>
          <t>60</t>
        </is>
      </c>
      <c r="P108" s="1604" t="inlineStr">
        <is>
          <t>07545099194</t>
        </is>
      </c>
      <c r="Q108" s="1697" t="inlineStr">
        <is>
          <t>EN1 2QZ</t>
        </is>
      </c>
      <c r="R108" s="1697" t="inlineStr">
        <is>
          <t>70 Amberley road</t>
        </is>
      </c>
      <c r="S108" s="1568" t="inlineStr">
        <is>
          <t>London</t>
        </is>
      </c>
    </row>
    <row r="109">
      <c r="B109" s="1753" t="n">
        <v>45770</v>
      </c>
      <c r="C109" s="883" t="inlineStr">
        <is>
          <t>Blubebell Woodlands</t>
        </is>
      </c>
      <c r="D109" s="883" t="inlineStr">
        <is>
          <t>AM -05:45 - 09:45</t>
        </is>
      </c>
      <c r="E109" s="883" t="inlineStr">
        <is>
          <t>4hrs</t>
        </is>
      </c>
      <c r="F109" s="1643" t="inlineStr">
        <is>
          <t>Refeeral</t>
        </is>
      </c>
      <c r="G109" s="608" t="inlineStr">
        <is>
          <t>#02887</t>
        </is>
      </c>
      <c r="H109" s="904" t="n">
        <v>45588</v>
      </c>
      <c r="I109" s="1645" t="n">
        <v>125</v>
      </c>
      <c r="J109" s="1643" t="n">
        <v>0</v>
      </c>
      <c r="K109" s="1643" t="inlineStr">
        <is>
          <t>Mrs</t>
        </is>
      </c>
      <c r="L109" s="1763" t="inlineStr">
        <is>
          <t xml:space="preserve">Julie </t>
        </is>
      </c>
      <c r="M109" s="1763" t="inlineStr">
        <is>
          <t>Halstead</t>
        </is>
      </c>
      <c r="N109" s="1764" t="inlineStr">
        <is>
          <t>julie@partsworldgroup.com</t>
        </is>
      </c>
      <c r="O109" s="1604" t="inlineStr">
        <is>
          <t>61</t>
        </is>
      </c>
      <c r="P109" s="1604" t="inlineStr">
        <is>
          <t>07889112511</t>
        </is>
      </c>
      <c r="Q109" s="1697" t="inlineStr">
        <is>
          <t>CV35 0TP</t>
        </is>
      </c>
      <c r="R109" s="1697" t="inlineStr">
        <is>
          <t>5 Orchard Close</t>
        </is>
      </c>
      <c r="S109" s="1568" t="inlineStr">
        <is>
          <t>Warwickshire</t>
        </is>
      </c>
    </row>
    <row r="110">
      <c r="B110" s="1708" t="n">
        <v>45770</v>
      </c>
      <c r="C110" s="783" t="inlineStr">
        <is>
          <t>Blubebell Woodlands</t>
        </is>
      </c>
      <c r="D110" s="783" t="inlineStr">
        <is>
          <t>PM -10:30 - 14:30</t>
        </is>
      </c>
      <c r="E110" s="783" t="inlineStr">
        <is>
          <t>4hrs</t>
        </is>
      </c>
      <c r="F110" s="1568" t="inlineStr">
        <is>
          <t>Google</t>
        </is>
      </c>
      <c r="G110" s="87" t="inlineStr">
        <is>
          <t>#02925</t>
        </is>
      </c>
      <c r="H110" s="785" t="n">
        <v>45655</v>
      </c>
      <c r="I110" s="1696" t="n">
        <v>125</v>
      </c>
      <c r="J110" s="1697" t="n">
        <v>0</v>
      </c>
      <c r="K110" s="1568" t="inlineStr">
        <is>
          <t xml:space="preserve">Mr </t>
        </is>
      </c>
      <c r="L110" s="1610" t="inlineStr">
        <is>
          <t>Robert</t>
        </is>
      </c>
      <c r="M110" s="1604" t="inlineStr">
        <is>
          <t>Minton</t>
        </is>
      </c>
      <c r="N110" s="1374" t="inlineStr">
        <is>
          <t xml:space="preserve">bobandval@bobminton.plus.com </t>
        </is>
      </c>
      <c r="O110" s="1604" t="inlineStr">
        <is>
          <t>74</t>
        </is>
      </c>
      <c r="P110" s="1604" t="inlineStr">
        <is>
          <t>07792335240</t>
        </is>
      </c>
      <c r="Q110" s="1697" t="inlineStr">
        <is>
          <t>WS9 8RF</t>
        </is>
      </c>
      <c r="R110" s="1697" t="inlineStr">
        <is>
          <t>31 NORFOLK CRESCENT</t>
        </is>
      </c>
      <c r="S110" s="1568" t="inlineStr">
        <is>
          <t>walsall</t>
        </is>
      </c>
    </row>
    <row r="111">
      <c r="B111" s="1708" t="n">
        <v>45770</v>
      </c>
      <c r="C111" s="783" t="inlineStr">
        <is>
          <t>Blubebell Woodlands</t>
        </is>
      </c>
      <c r="D111" s="783" t="inlineStr">
        <is>
          <t>PM -10:30 - 14:30</t>
        </is>
      </c>
      <c r="E111" s="783" t="inlineStr">
        <is>
          <t>4hrs</t>
        </is>
      </c>
      <c r="F111" s="1568" t="inlineStr">
        <is>
          <t>Google</t>
        </is>
      </c>
      <c r="G111" s="87" t="inlineStr">
        <is>
          <t>#02925</t>
        </is>
      </c>
      <c r="H111" s="785" t="n">
        <v>45655</v>
      </c>
      <c r="I111" s="1696" t="n">
        <v>125</v>
      </c>
      <c r="J111" s="1697" t="n">
        <v>0</v>
      </c>
      <c r="K111" s="1568" t="inlineStr">
        <is>
          <t xml:space="preserve">Mr </t>
        </is>
      </c>
      <c r="L111" s="1610" t="inlineStr">
        <is>
          <t>Robert</t>
        </is>
      </c>
      <c r="M111" s="1604" t="inlineStr">
        <is>
          <t>Minton</t>
        </is>
      </c>
      <c r="N111" s="1374" t="inlineStr">
        <is>
          <t xml:space="preserve">bobandval@bobminton.plus.com </t>
        </is>
      </c>
      <c r="O111" s="1604" t="inlineStr">
        <is>
          <t>74</t>
        </is>
      </c>
      <c r="P111" s="1604" t="inlineStr">
        <is>
          <t>07792335240</t>
        </is>
      </c>
      <c r="Q111" s="1697" t="inlineStr">
        <is>
          <t>WS9 8RF</t>
        </is>
      </c>
      <c r="R111" s="1697" t="inlineStr">
        <is>
          <t>31 NORFOLK CRESCENT</t>
        </is>
      </c>
      <c r="S111" s="1568" t="inlineStr">
        <is>
          <t>walsall</t>
        </is>
      </c>
    </row>
    <row r="112">
      <c r="B112" s="1708" t="n">
        <v>45770</v>
      </c>
      <c r="C112" s="783" t="inlineStr">
        <is>
          <t>Blubebell Woodlands</t>
        </is>
      </c>
      <c r="D112" s="783" t="inlineStr">
        <is>
          <t>PM -10:30 - 14:30</t>
        </is>
      </c>
      <c r="E112" s="903" t="inlineStr">
        <is>
          <t>8hrs</t>
        </is>
      </c>
      <c r="F112" s="1568" t="inlineStr">
        <is>
          <t>Google</t>
        </is>
      </c>
      <c r="G112" s="87" t="inlineStr">
        <is>
          <t>#02967</t>
        </is>
      </c>
      <c r="H112" s="785" t="n">
        <v>45719</v>
      </c>
      <c r="I112" s="1696" t="n">
        <v>150</v>
      </c>
      <c r="J112" s="1697" t="n">
        <v>0</v>
      </c>
      <c r="K112" s="1568" t="inlineStr">
        <is>
          <t>Mr</t>
        </is>
      </c>
      <c r="L112" s="1610" t="inlineStr">
        <is>
          <t>Iggy</t>
        </is>
      </c>
      <c r="M112" s="1604" t="inlineStr">
        <is>
          <t>Losa</t>
        </is>
      </c>
      <c r="N112" s="1374" t="inlineStr">
        <is>
          <t xml:space="preserve">suddeniglo@gmail.com </t>
        </is>
      </c>
      <c r="O112" s="1604" t="inlineStr">
        <is>
          <t>66</t>
        </is>
      </c>
      <c r="P112" s="1604" t="inlineStr">
        <is>
          <t>07933275817</t>
        </is>
      </c>
      <c r="Q112" s="1697" t="inlineStr">
        <is>
          <t>SK10 3RH</t>
        </is>
      </c>
      <c r="R112" s="1697" t="inlineStr">
        <is>
          <t>44 BRAMPTON AVENUE</t>
        </is>
      </c>
      <c r="S112" s="1568" t="inlineStr">
        <is>
          <t>MACCLESFIELD</t>
        </is>
      </c>
    </row>
    <row r="113">
      <c r="B113" s="1708" t="n"/>
      <c r="C113" s="783" t="n"/>
      <c r="D113" s="783" t="n"/>
      <c r="E113" s="903" t="n"/>
      <c r="F113" s="1568" t="n"/>
      <c r="G113" s="87" t="n"/>
      <c r="H113" s="785" t="n"/>
      <c r="K113" s="1568" t="n"/>
      <c r="L113" s="1610" t="n"/>
      <c r="M113" s="1604" t="n"/>
      <c r="N113" s="1374" t="n"/>
      <c r="O113" s="1604" t="n"/>
      <c r="P113" s="1604" t="n"/>
      <c r="S113" s="1568" t="n"/>
    </row>
    <row r="114">
      <c r="B114" s="1753" t="n">
        <v>45771</v>
      </c>
      <c r="C114" s="883" t="inlineStr">
        <is>
          <t>Blubebell Woodlands</t>
        </is>
      </c>
      <c r="D114" s="883" t="inlineStr">
        <is>
          <t>PM -11:00 - 15:00</t>
        </is>
      </c>
      <c r="E114" s="1172" t="inlineStr">
        <is>
          <t>4hrs</t>
        </is>
      </c>
      <c r="F114" s="1765" t="inlineStr">
        <is>
          <t>JLR</t>
        </is>
      </c>
      <c r="G114" s="608" t="inlineStr">
        <is>
          <t>IIY#8829411243471p2K</t>
        </is>
      </c>
      <c r="H114" s="785" t="n">
        <v>45747</v>
      </c>
      <c r="J114" s="1697" t="n">
        <v>99</v>
      </c>
      <c r="K114" s="1568" t="n"/>
      <c r="L114" s="1610" t="inlineStr">
        <is>
          <t>Kriti Rastogi</t>
        </is>
      </c>
      <c r="M114" s="1604" t="n"/>
      <c r="N114" s="1374" t="inlineStr">
        <is>
          <t>krastogi@jaguarlandrover.com</t>
        </is>
      </c>
      <c r="O114" s="1604" t="n"/>
      <c r="P114" s="1604" t="n"/>
      <c r="S114" s="1568" t="n"/>
    </row>
    <row r="115">
      <c r="B115" s="1753" t="n"/>
      <c r="C115" s="883" t="n"/>
      <c r="D115" s="883" t="n"/>
      <c r="E115" s="1172" t="n"/>
      <c r="F115" s="1765" t="n"/>
      <c r="G115" s="608" t="n"/>
      <c r="H115" s="785" t="n"/>
      <c r="K115" s="1568" t="n"/>
      <c r="L115" s="1610" t="n"/>
      <c r="M115" s="1604" t="n"/>
      <c r="N115" s="1374" t="n"/>
      <c r="O115" s="1604" t="n"/>
      <c r="P115" s="1604" t="n"/>
      <c r="S115" s="1568" t="n"/>
    </row>
    <row r="116">
      <c r="B116" s="1708" t="n">
        <v>45772</v>
      </c>
      <c r="C116" s="783" t="inlineStr">
        <is>
          <t>Blubebell Woodlands</t>
        </is>
      </c>
      <c r="D116" s="783" t="inlineStr">
        <is>
          <t>AM -05:45 - 09:45</t>
        </is>
      </c>
      <c r="E116" s="783" t="inlineStr">
        <is>
          <t>4hrs</t>
        </is>
      </c>
      <c r="F116" s="1568" t="inlineStr">
        <is>
          <t>JLR</t>
        </is>
      </c>
      <c r="G116" s="505" t="inlineStr">
        <is>
          <t>IIY#8826971710471VHQ</t>
        </is>
      </c>
      <c r="H116" s="785" t="n">
        <v>45712</v>
      </c>
      <c r="J116" s="1697" t="n">
        <v>99</v>
      </c>
      <c r="L116" s="1711" t="inlineStr">
        <is>
          <t>Jo James</t>
        </is>
      </c>
      <c r="N116" s="1374" t="inlineStr">
        <is>
          <t>jjames8@jaguarlandrover.com</t>
        </is>
      </c>
      <c r="P116" s="1604" t="inlineStr">
        <is>
          <t>07393753963</t>
        </is>
      </c>
      <c r="R116" s="1374" t="inlineStr">
        <is>
          <t>jojames081@gmail.com</t>
        </is>
      </c>
    </row>
    <row r="117">
      <c r="B117" s="1708" t="n">
        <v>45772</v>
      </c>
      <c r="C117" s="783" t="inlineStr">
        <is>
          <t>Blubebell Woodlands</t>
        </is>
      </c>
      <c r="D117" s="783" t="inlineStr">
        <is>
          <t>AM -05:45 - 09:45</t>
        </is>
      </c>
      <c r="E117" s="783" t="inlineStr">
        <is>
          <t>4hrs</t>
        </is>
      </c>
      <c r="F117" s="1568" t="inlineStr">
        <is>
          <t>Referral</t>
        </is>
      </c>
      <c r="G117" s="87" t="inlineStr">
        <is>
          <t>#02944</t>
        </is>
      </c>
      <c r="H117" s="785" t="n">
        <v>45679</v>
      </c>
      <c r="I117" s="1696" t="n">
        <v>99</v>
      </c>
      <c r="J117" s="1697" t="n">
        <v>0</v>
      </c>
      <c r="K117" s="1568" t="inlineStr">
        <is>
          <t>Mr</t>
        </is>
      </c>
      <c r="L117" s="1610" t="inlineStr">
        <is>
          <t xml:space="preserve">Martin </t>
        </is>
      </c>
      <c r="M117" s="1604" t="inlineStr">
        <is>
          <t>Cooke</t>
        </is>
      </c>
      <c r="N117" s="1374" t="inlineStr">
        <is>
          <t xml:space="preserve">martincooke191@gmail.com </t>
        </is>
      </c>
      <c r="O117" s="1604" t="inlineStr">
        <is>
          <t>63</t>
        </is>
      </c>
      <c r="P117" s="1604" t="inlineStr">
        <is>
          <t>07748181340</t>
        </is>
      </c>
      <c r="Q117" s="1697" t="inlineStr">
        <is>
          <t>LE12 9SY</t>
        </is>
      </c>
      <c r="R117" s="1697" t="inlineStr">
        <is>
          <t>14 Church Lane</t>
        </is>
      </c>
      <c r="S117" s="1568" t="inlineStr">
        <is>
          <t>Loughborough</t>
        </is>
      </c>
    </row>
    <row r="118">
      <c r="B118" s="1708" t="n">
        <v>45772</v>
      </c>
      <c r="C118" s="783" t="inlineStr">
        <is>
          <t>Blubebell Woodlands</t>
        </is>
      </c>
      <c r="D118" s="783" t="inlineStr">
        <is>
          <t>AM -05:45 - 09:45</t>
        </is>
      </c>
      <c r="E118" s="783" t="inlineStr">
        <is>
          <t>4hrs</t>
        </is>
      </c>
      <c r="F118" s="1568" t="inlineStr">
        <is>
          <t>Google</t>
        </is>
      </c>
      <c r="G118" s="1051" t="inlineStr">
        <is>
          <t>#02975</t>
        </is>
      </c>
      <c r="H118" s="785" t="n">
        <v>45736</v>
      </c>
      <c r="I118" s="1696" t="n">
        <v>99</v>
      </c>
      <c r="J118" s="1697" t="n">
        <v>0</v>
      </c>
      <c r="K118" s="1568" t="inlineStr">
        <is>
          <t>Ms</t>
        </is>
      </c>
      <c r="L118" s="1610" t="inlineStr">
        <is>
          <t xml:space="preserve">Elizabeth </t>
        </is>
      </c>
      <c r="M118" s="1604" t="inlineStr">
        <is>
          <t>Lewis</t>
        </is>
      </c>
      <c r="N118" s="1374" t="inlineStr">
        <is>
          <t>liz_lewis@blueyonder.co.uk</t>
        </is>
      </c>
      <c r="O118" s="1604" t="inlineStr">
        <is>
          <t>66</t>
        </is>
      </c>
      <c r="P118" s="1604" t="inlineStr">
        <is>
          <t>07794537299</t>
        </is>
      </c>
      <c r="Q118" s="1697" t="inlineStr">
        <is>
          <t>B31 4RP</t>
        </is>
      </c>
      <c r="R118" s="1697" t="inlineStr">
        <is>
          <t>10 Kingswood Road</t>
        </is>
      </c>
      <c r="S118" s="1568" t="inlineStr">
        <is>
          <t>Northfield</t>
        </is>
      </c>
    </row>
    <row r="119">
      <c r="B119" s="1708" t="n">
        <v>45772</v>
      </c>
      <c r="C119" s="1568" t="inlineStr">
        <is>
          <t>Blubebell Woodlands</t>
        </is>
      </c>
      <c r="D119" s="783" t="inlineStr">
        <is>
          <t>AM -05:45 - 09:45</t>
        </is>
      </c>
      <c r="E119" s="903" t="inlineStr">
        <is>
          <t>4hrs</t>
        </is>
      </c>
      <c r="F119" s="1568" t="inlineStr">
        <is>
          <t>Google</t>
        </is>
      </c>
      <c r="G119" s="87" t="inlineStr">
        <is>
          <t>#02987</t>
        </is>
      </c>
      <c r="H119" s="785" t="n">
        <v>45762</v>
      </c>
      <c r="I119" s="1696" t="n">
        <v>99</v>
      </c>
      <c r="J119" s="1697" t="n">
        <v>0</v>
      </c>
      <c r="K119" s="1568" t="inlineStr">
        <is>
          <t>Mr</t>
        </is>
      </c>
      <c r="L119" s="1610" t="inlineStr">
        <is>
          <t>Colin</t>
        </is>
      </c>
      <c r="M119" s="1604" t="inlineStr">
        <is>
          <t>Stubbs</t>
        </is>
      </c>
      <c r="N119" s="1374" t="inlineStr">
        <is>
          <t>colin.stubbs1961.cs@gmail.com</t>
        </is>
      </c>
      <c r="O119" s="1604" t="inlineStr">
        <is>
          <t>64</t>
        </is>
      </c>
      <c r="P119" s="1604" t="inlineStr">
        <is>
          <t>07949390692</t>
        </is>
      </c>
      <c r="Q119" s="1697" t="inlineStr">
        <is>
          <t>B63 3HJ</t>
        </is>
      </c>
      <c r="R119" s="1697" t="inlineStr">
        <is>
          <t>44 Bromsgrove Road</t>
        </is>
      </c>
      <c r="S119" s="1568" t="inlineStr">
        <is>
          <t>Halesowen</t>
        </is>
      </c>
    </row>
    <row r="120">
      <c r="B120" s="1708" t="n">
        <v>45772</v>
      </c>
      <c r="C120" s="1568" t="inlineStr">
        <is>
          <t>Blubebell Woodlands</t>
        </is>
      </c>
      <c r="D120" s="783" t="inlineStr">
        <is>
          <t>AM -05:45 - 09:45</t>
        </is>
      </c>
      <c r="E120" s="903" t="inlineStr">
        <is>
          <t>4hrs</t>
        </is>
      </c>
      <c r="F120" s="1750" t="inlineStr">
        <is>
          <t>JLR</t>
        </is>
      </c>
      <c r="G120" s="785" t="inlineStr">
        <is>
          <t>IIY#1344999328371X2g</t>
        </is>
      </c>
      <c r="H120" s="785" t="n">
        <v>45691</v>
      </c>
      <c r="I120" s="1750" t="n"/>
      <c r="J120" s="1750" t="n">
        <v>99</v>
      </c>
      <c r="K120" s="1568" t="inlineStr">
        <is>
          <t>Ms</t>
        </is>
      </c>
      <c r="L120" s="1610" t="inlineStr">
        <is>
          <t xml:space="preserve">Gwyn </t>
        </is>
      </c>
      <c r="M120" s="1610" t="inlineStr">
        <is>
          <t>Jones</t>
        </is>
      </c>
      <c r="N120" s="1374" t="inlineStr">
        <is>
          <t>gjones56@jaguarlandrover.com</t>
        </is>
      </c>
      <c r="O120" s="1707" t="n"/>
      <c r="P120" s="1707" t="inlineStr">
        <is>
          <t>07538552560</t>
        </is>
      </c>
      <c r="Q120" s="1646" t="n"/>
      <c r="R120" s="1646" t="n"/>
      <c r="S120" s="1568" t="n"/>
    </row>
    <row r="121">
      <c r="B121" s="1708" t="n">
        <v>45772</v>
      </c>
      <c r="C121" s="1568" t="inlineStr">
        <is>
          <t>Blubebell Woodlands</t>
        </is>
      </c>
      <c r="D121" s="783" t="inlineStr">
        <is>
          <t>AM -05:45 - 09:45</t>
        </is>
      </c>
      <c r="E121" s="903" t="inlineStr">
        <is>
          <t>4hrs</t>
        </is>
      </c>
      <c r="F121" s="1750" t="inlineStr">
        <is>
          <t>JLR</t>
        </is>
      </c>
      <c r="G121" s="785" t="inlineStr">
        <is>
          <t>IIY#0645729122471xv6</t>
        </is>
      </c>
      <c r="H121" s="785" t="n">
        <v>45734</v>
      </c>
      <c r="I121" s="1750" t="n">
        <v>0</v>
      </c>
      <c r="J121" s="1750" t="n">
        <v>99</v>
      </c>
      <c r="K121" s="1705" t="n"/>
      <c r="L121" s="1706" t="inlineStr">
        <is>
          <t>Ioannis Zaproudis</t>
        </is>
      </c>
      <c r="M121" s="1707" t="n"/>
      <c r="N121" s="1374" t="inlineStr">
        <is>
          <t>izaproud@jaguarlandrover.com</t>
        </is>
      </c>
      <c r="O121" s="1707" t="n"/>
      <c r="P121" s="1707" t="inlineStr">
        <is>
          <t>07729001782</t>
        </is>
      </c>
      <c r="Q121" s="1646" t="n"/>
      <c r="R121" s="1646" t="n"/>
      <c r="S121" s="1568" t="n"/>
    </row>
    <row r="122">
      <c r="B122" s="1708" t="n">
        <v>45772</v>
      </c>
      <c r="C122" s="883" t="inlineStr">
        <is>
          <t>Bluebell Woodlands</t>
        </is>
      </c>
      <c r="D122" s="783" t="inlineStr">
        <is>
          <t>AM/PM -10:30 - 14:30</t>
        </is>
      </c>
      <c r="E122" s="783" t="inlineStr">
        <is>
          <t>4hrs</t>
        </is>
      </c>
      <c r="F122" s="783" t="inlineStr">
        <is>
          <t>Into The Blue</t>
        </is>
      </c>
      <c r="G122" s="1752" t="inlineStr">
        <is>
          <t>2411293189</t>
        </is>
      </c>
      <c r="H122" s="785" t="n">
        <v>45661</v>
      </c>
      <c r="I122" s="1751" t="n">
        <v>100</v>
      </c>
      <c r="J122" s="1750" t="n">
        <v>0</v>
      </c>
      <c r="K122" s="1045" t="inlineStr">
        <is>
          <t>Ms</t>
        </is>
      </c>
      <c r="L122" s="1762" t="inlineStr">
        <is>
          <t>Dawn</t>
        </is>
      </c>
      <c r="M122" s="1762" t="inlineStr">
        <is>
          <t>Towers</t>
        </is>
      </c>
      <c r="N122" s="549" t="inlineStr">
        <is>
          <t>dawntowers@btopenworld.com</t>
        </is>
      </c>
      <c r="O122" s="1707" t="n"/>
      <c r="P122" s="1707" t="inlineStr">
        <is>
          <t>07804158046</t>
        </is>
      </c>
      <c r="S122" s="1568" t="n"/>
    </row>
    <row r="123">
      <c r="B123" s="1708" t="n">
        <v>45772</v>
      </c>
      <c r="C123" s="1643" t="inlineStr">
        <is>
          <t>Blubebell Woodlands</t>
        </is>
      </c>
      <c r="D123" s="883" t="inlineStr">
        <is>
          <t>AM/PM -10:30 - 14:30</t>
        </is>
      </c>
      <c r="E123" s="1172" t="inlineStr">
        <is>
          <t>4hrs</t>
        </is>
      </c>
      <c r="F123" s="1765" t="inlineStr">
        <is>
          <t>Referral</t>
        </is>
      </c>
      <c r="G123" s="904" t="inlineStr">
        <is>
          <t>#02935</t>
        </is>
      </c>
      <c r="H123" s="904" t="n">
        <v>45674</v>
      </c>
      <c r="I123" s="1765" t="n">
        <v>99</v>
      </c>
      <c r="J123" s="1765" t="n">
        <v>0</v>
      </c>
      <c r="K123" s="1763" t="inlineStr">
        <is>
          <t>Mrs</t>
        </is>
      </c>
      <c r="L123" s="1766" t="inlineStr">
        <is>
          <t>Sapa</t>
        </is>
      </c>
      <c r="M123" s="1732" t="inlineStr">
        <is>
          <t>Patni</t>
        </is>
      </c>
      <c r="N123" s="1374" t="inlineStr">
        <is>
          <t>jaysapna747@gmail.com</t>
        </is>
      </c>
      <c r="O123" s="1707" t="inlineStr">
        <is>
          <t>41</t>
        </is>
      </c>
      <c r="P123" s="1707" t="inlineStr">
        <is>
          <t>07738069907</t>
        </is>
      </c>
      <c r="Q123" s="1646" t="inlineStr">
        <is>
          <t>B92 0BZ</t>
        </is>
      </c>
      <c r="R123" s="1646" t="inlineStr">
        <is>
          <t>24 Diddington Lane</t>
        </is>
      </c>
      <c r="S123" s="1568" t="inlineStr">
        <is>
          <t>Solihull</t>
        </is>
      </c>
    </row>
    <row r="124">
      <c r="B124" s="1708" t="n">
        <v>45772</v>
      </c>
      <c r="C124" s="1568" t="inlineStr">
        <is>
          <t>Blubebell Woodlands</t>
        </is>
      </c>
      <c r="D124" s="783" t="inlineStr">
        <is>
          <t>AM/PM -10:30 - 14:30</t>
        </is>
      </c>
      <c r="E124" s="903" t="inlineStr">
        <is>
          <t>4hrs</t>
        </is>
      </c>
      <c r="F124" s="1750" t="inlineStr">
        <is>
          <t>JLR</t>
        </is>
      </c>
      <c r="G124" s="785" t="inlineStr">
        <is>
          <t>IIY#95222122224710gJ</t>
        </is>
      </c>
      <c r="H124" s="785" t="n">
        <v>45734</v>
      </c>
      <c r="I124" s="1750" t="n">
        <v>0</v>
      </c>
      <c r="J124" s="1750" t="n">
        <v>99</v>
      </c>
      <c r="K124" s="1705" t="n"/>
      <c r="L124" s="1706" t="inlineStr">
        <is>
          <t>Mihaela Stroe</t>
        </is>
      </c>
      <c r="M124" s="1707" t="n"/>
      <c r="N124" s="1374" t="inlineStr">
        <is>
          <t>mstroe5@jaguarlandrover.com</t>
        </is>
      </c>
      <c r="O124" s="1707" t="n"/>
      <c r="P124" s="1707" t="n"/>
      <c r="Q124" s="1646" t="n"/>
      <c r="R124" s="1646" t="n"/>
      <c r="S124" s="1568" t="n"/>
    </row>
    <row r="125">
      <c r="B125" s="1708" t="n"/>
      <c r="C125" s="1568" t="n"/>
      <c r="D125" s="783" t="n"/>
      <c r="E125" s="903" t="n"/>
      <c r="F125" s="1750" t="n"/>
      <c r="G125" s="785" t="n"/>
      <c r="H125" s="785" t="n"/>
      <c r="I125" s="1750" t="n"/>
      <c r="J125" s="1750" t="n"/>
      <c r="K125" s="1705" t="n"/>
      <c r="L125" s="1706" t="n"/>
      <c r="M125" s="1707" t="n"/>
      <c r="N125" s="1374" t="n"/>
      <c r="O125" s="1707" t="n"/>
      <c r="P125" s="1707" t="n"/>
      <c r="Q125" s="1646" t="n"/>
      <c r="R125" s="1646" t="n"/>
      <c r="S125" s="1568" t="n"/>
    </row>
    <row r="126">
      <c r="B126" s="1708" t="n"/>
      <c r="C126" s="1568" t="n"/>
      <c r="D126" s="783" t="n"/>
      <c r="E126" s="903" t="n"/>
      <c r="F126" s="1750" t="n"/>
      <c r="G126" s="785" t="n"/>
      <c r="H126" s="785" t="n"/>
      <c r="I126" s="1750" t="n"/>
      <c r="J126" s="1750" t="n"/>
      <c r="K126" s="1705" t="n"/>
      <c r="L126" s="1706" t="n"/>
      <c r="M126" s="1707" t="n"/>
      <c r="N126" s="1374" t="n"/>
      <c r="O126" s="1707" t="n"/>
      <c r="P126" s="1707" t="n"/>
      <c r="Q126" s="1646" t="n"/>
      <c r="R126" s="1646" t="n"/>
      <c r="S126" s="1568" t="n"/>
    </row>
    <row r="127">
      <c r="B127" s="1708" t="n">
        <v>45773</v>
      </c>
      <c r="C127" s="783" t="inlineStr">
        <is>
          <t>Bluebell Woodlands</t>
        </is>
      </c>
      <c r="D127" s="783" t="inlineStr">
        <is>
          <t>AM -05:45 - 09:45</t>
        </is>
      </c>
      <c r="E127" s="903" t="inlineStr">
        <is>
          <t>4hrs</t>
        </is>
      </c>
      <c r="F127" s="1568" t="inlineStr">
        <is>
          <t>JLR</t>
        </is>
      </c>
      <c r="G127" s="87" t="inlineStr">
        <is>
          <t>IIY#287904267047181P</t>
        </is>
      </c>
      <c r="H127" s="785" t="n">
        <v>45719</v>
      </c>
      <c r="J127" s="1697" t="n">
        <v>99</v>
      </c>
      <c r="K127" s="1568" t="n"/>
      <c r="L127" s="1610" t="inlineStr">
        <is>
          <t>Shruti Nagpure</t>
        </is>
      </c>
      <c r="M127" s="1610" t="n"/>
      <c r="N127" s="1374" t="inlineStr">
        <is>
          <t>snagpur3@jaguarlandrover.com</t>
        </is>
      </c>
      <c r="O127" s="1604" t="n"/>
      <c r="P127" s="1604" t="inlineStr">
        <is>
          <t>07721150970</t>
        </is>
      </c>
      <c r="S127" s="1568" t="n"/>
    </row>
    <row r="128">
      <c r="B128" s="1708" t="n">
        <v>45773</v>
      </c>
      <c r="C128" s="883" t="inlineStr">
        <is>
          <t>Bluebell Woodlands</t>
        </is>
      </c>
      <c r="D128" s="783" t="inlineStr">
        <is>
          <t>AM -05:45 - 09:45</t>
        </is>
      </c>
      <c r="E128" s="783" t="inlineStr">
        <is>
          <t>4hrs</t>
        </is>
      </c>
      <c r="F128" s="783" t="inlineStr">
        <is>
          <t>JLR</t>
        </is>
      </c>
      <c r="G128" s="1752" t="inlineStr">
        <is>
          <t>IIY#9318014092471dbI</t>
        </is>
      </c>
      <c r="H128" s="785" t="n">
        <v>45742</v>
      </c>
      <c r="I128" s="1751" t="n"/>
      <c r="J128" s="1750" t="n">
        <v>99</v>
      </c>
      <c r="K128" s="1045" t="n"/>
      <c r="L128" s="1762" t="inlineStr">
        <is>
          <t>Roxana Mutu</t>
        </is>
      </c>
      <c r="M128" s="1762" t="n"/>
      <c r="N128" s="549" t="inlineStr">
        <is>
          <t>rmutu1@jaguarlandrover.com</t>
        </is>
      </c>
      <c r="O128" s="1707" t="n"/>
      <c r="P128" s="1707" t="n"/>
      <c r="Q128" s="1646" t="n"/>
      <c r="R128" s="1646" t="n"/>
      <c r="S128" s="1568" t="n"/>
    </row>
    <row r="129">
      <c r="B129" s="1708" t="n"/>
      <c r="C129" s="1568" t="n"/>
      <c r="D129" s="783" t="n"/>
      <c r="E129" s="903" t="n"/>
      <c r="F129" s="1750" t="n"/>
      <c r="G129" s="785" t="n"/>
      <c r="H129" s="785" t="n"/>
      <c r="I129" s="1750" t="n"/>
      <c r="J129" s="1750" t="n"/>
      <c r="K129" s="1705" t="n"/>
      <c r="L129" s="1706" t="n"/>
      <c r="M129" s="1707" t="n"/>
      <c r="N129" s="1374" t="n"/>
      <c r="O129" s="1707" t="n"/>
      <c r="P129" s="1707" t="n"/>
      <c r="Q129" s="1646" t="n"/>
      <c r="R129" s="1646" t="n"/>
      <c r="S129" s="1568" t="n"/>
    </row>
    <row r="131">
      <c r="B131" s="1708" t="n"/>
      <c r="C131" s="1568" t="n"/>
      <c r="D131" s="783" t="n"/>
      <c r="E131" s="903" t="n"/>
      <c r="F131" s="1750" t="n"/>
      <c r="G131" s="785" t="n"/>
      <c r="H131" s="785" t="n"/>
      <c r="I131" s="1750" t="n"/>
      <c r="J131" s="1750" t="n"/>
      <c r="K131" s="1705" t="n"/>
      <c r="L131" s="1706" t="n"/>
      <c r="M131" s="1707" t="n"/>
      <c r="N131" s="1374" t="n"/>
      <c r="O131" s="1707" t="n"/>
      <c r="P131" s="1707" t="n"/>
      <c r="Q131" s="1646" t="n"/>
      <c r="R131" s="1646" t="n"/>
      <c r="S131" s="1568" t="n"/>
    </row>
    <row r="132">
      <c r="B132" s="1708" t="n"/>
      <c r="C132" s="1568" t="n"/>
      <c r="D132" s="783" t="n"/>
      <c r="E132" s="903" t="n"/>
      <c r="F132" s="1750" t="n"/>
      <c r="G132" s="785" t="n"/>
      <c r="H132" s="785" t="n"/>
      <c r="I132" s="1750" t="n"/>
      <c r="J132" s="1750" t="n"/>
      <c r="K132" s="1705" t="n"/>
      <c r="L132" s="1706" t="n"/>
      <c r="M132" s="1707" t="n"/>
      <c r="N132" s="1374" t="n"/>
      <c r="O132" s="1707" t="n"/>
      <c r="P132" s="1707" t="n"/>
      <c r="Q132" s="1646" t="n"/>
      <c r="R132" s="1646" t="n"/>
      <c r="S132" s="1568" t="n"/>
    </row>
    <row r="133">
      <c r="B133" s="1708" t="n">
        <v>45773</v>
      </c>
      <c r="C133" s="1092" t="inlineStr">
        <is>
          <t>Lake Vyrnwy</t>
        </is>
      </c>
      <c r="D133" s="543" t="n"/>
      <c r="E133" s="543" t="inlineStr">
        <is>
          <t>2 Days</t>
        </is>
      </c>
      <c r="F133" s="543" t="inlineStr">
        <is>
          <t>Existing</t>
        </is>
      </c>
      <c r="G133" s="1646" t="inlineStr">
        <is>
          <t>#02693</t>
        </is>
      </c>
      <c r="H133" s="97" t="n">
        <v>45292</v>
      </c>
      <c r="I133" s="1647" t="n">
        <v>525</v>
      </c>
      <c r="J133" s="1646" t="n">
        <v>0</v>
      </c>
      <c r="K133" s="86" t="inlineStr">
        <is>
          <t>Ms</t>
        </is>
      </c>
      <c r="L133" s="1607" t="inlineStr">
        <is>
          <t>Joanne</t>
        </is>
      </c>
      <c r="M133" s="1607" t="inlineStr">
        <is>
          <t>Galloway</t>
        </is>
      </c>
      <c r="N133" s="1094" t="inlineStr">
        <is>
          <t xml:space="preserve">joannegalloway2003@yahoo.co.uk </t>
        </is>
      </c>
      <c r="O133" s="94" t="inlineStr">
        <is>
          <t>63</t>
        </is>
      </c>
      <c r="P133" s="1604" t="inlineStr">
        <is>
          <t>07974437317</t>
        </is>
      </c>
      <c r="Q133" s="1568" t="inlineStr">
        <is>
          <t>B91 2HW</t>
        </is>
      </c>
      <c r="R133" s="1568" t="inlineStr">
        <is>
          <t>177 Lode Lane</t>
        </is>
      </c>
      <c r="S133" s="87" t="inlineStr">
        <is>
          <t>Solihull</t>
        </is>
      </c>
    </row>
    <row r="134">
      <c r="B134" s="1767" t="n"/>
      <c r="C134" s="1092" t="n"/>
      <c r="D134" s="543" t="n"/>
      <c r="E134" s="543" t="n"/>
      <c r="F134" s="543" t="n"/>
      <c r="G134" s="1646" t="n"/>
      <c r="H134" s="97" t="n"/>
      <c r="I134" s="1647" t="n"/>
      <c r="J134" s="1646" t="n"/>
      <c r="K134" s="86" t="n"/>
      <c r="L134" s="1607" t="n"/>
      <c r="M134" s="1607" t="n"/>
      <c r="N134" s="1094" t="n"/>
      <c r="O134" s="94" t="n"/>
      <c r="P134" s="1604" t="n"/>
      <c r="Q134" s="1568" t="n"/>
      <c r="R134" s="1568" t="n"/>
      <c r="S134" s="87" t="n"/>
    </row>
    <row r="135">
      <c r="B135" s="1708" t="n">
        <v>45780</v>
      </c>
      <c r="C135" s="783" t="inlineStr">
        <is>
          <t>Fairy Glen</t>
        </is>
      </c>
      <c r="D135" s="1568" t="inlineStr">
        <is>
          <t>Fairy Glen Betws-y-Coed Photography Workshop -  Wales</t>
        </is>
      </c>
      <c r="E135" s="1568" t="n"/>
      <c r="F135" s="1568" t="inlineStr">
        <is>
          <t>JLR</t>
        </is>
      </c>
      <c r="G135" s="1646" t="inlineStr">
        <is>
          <t>IIY#42113263493712CT</t>
        </is>
      </c>
      <c r="H135" s="97" t="n">
        <v>45701</v>
      </c>
      <c r="I135" s="1647" t="n"/>
      <c r="J135" s="1646" t="n">
        <v>99</v>
      </c>
      <c r="K135" s="86" t="inlineStr">
        <is>
          <t>Ms</t>
        </is>
      </c>
      <c r="L135" s="1607" t="inlineStr">
        <is>
          <t>Grace</t>
        </is>
      </c>
      <c r="M135" s="1607" t="inlineStr">
        <is>
          <t>Black</t>
        </is>
      </c>
      <c r="N135" s="1094" t="inlineStr">
        <is>
          <t>gblack1@jaguarlandrover.com</t>
        </is>
      </c>
      <c r="O135" s="94" t="n"/>
      <c r="P135" s="1604" t="n"/>
      <c r="Q135" s="1568" t="n"/>
      <c r="R135" s="1568" t="n"/>
      <c r="S135" s="87" t="n"/>
    </row>
    <row r="136">
      <c r="B136" s="1708" t="n">
        <v>45780</v>
      </c>
      <c r="C136" s="783" t="inlineStr">
        <is>
          <t>Fairy Glen</t>
        </is>
      </c>
      <c r="D136" s="1568" t="inlineStr">
        <is>
          <t>Fairy Glen Betws-y-Coed Photography Workshop -  Wales</t>
        </is>
      </c>
      <c r="E136" s="1568" t="n"/>
      <c r="F136" s="1568" t="inlineStr">
        <is>
          <t>JLR</t>
        </is>
      </c>
      <c r="G136" s="1646" t="inlineStr">
        <is>
          <t>IIY#6631926799371S30</t>
        </is>
      </c>
      <c r="H136" s="97" t="n">
        <v>45708</v>
      </c>
      <c r="I136" s="1647" t="n"/>
      <c r="J136" s="1646" t="n">
        <v>99</v>
      </c>
      <c r="K136" s="86" t="n"/>
      <c r="L136" s="1607" t="inlineStr">
        <is>
          <t>Dianne Nicholls</t>
        </is>
      </c>
      <c r="M136" s="1607" t="n"/>
      <c r="N136" s="1094" t="inlineStr">
        <is>
          <t>dnicho11@jaguarlandrover.com</t>
        </is>
      </c>
      <c r="O136" s="94" t="n"/>
      <c r="P136" s="1604" t="inlineStr">
        <is>
          <t>07956833926</t>
        </is>
      </c>
      <c r="Q136" s="1568" t="n"/>
      <c r="R136" s="1568" t="n"/>
      <c r="S136" s="87" t="n"/>
    </row>
    <row r="137">
      <c r="B137" s="1708" t="n">
        <v>45780</v>
      </c>
      <c r="C137" s="783" t="inlineStr">
        <is>
          <t>Fairy Glen</t>
        </is>
      </c>
      <c r="D137" s="1568" t="inlineStr">
        <is>
          <t>Fairy Glen Betws-y-Coed Photography Workshop -  Wales</t>
        </is>
      </c>
      <c r="E137" s="1568" t="n"/>
      <c r="F137" s="1568" t="inlineStr">
        <is>
          <t>JLR</t>
        </is>
      </c>
      <c r="G137" s="1646" t="inlineStr">
        <is>
          <t>IIY#2547509228371kQg</t>
        </is>
      </c>
      <c r="H137" s="97" t="n">
        <v>45708</v>
      </c>
      <c r="I137" s="1647" t="n"/>
      <c r="J137" s="1646" t="n">
        <v>99</v>
      </c>
      <c r="K137" s="86" t="n"/>
      <c r="L137" s="1607" t="inlineStr">
        <is>
          <t>Anna Hutchcox</t>
        </is>
      </c>
      <c r="M137" s="1607" t="n"/>
      <c r="N137" s="1094" t="inlineStr">
        <is>
          <t>ahutchco@jaguarlandrover.com</t>
        </is>
      </c>
      <c r="O137" s="94" t="n"/>
      <c r="P137" s="1604" t="inlineStr">
        <is>
          <t>07757001352</t>
        </is>
      </c>
      <c r="Q137" s="1568" t="n"/>
      <c r="R137" s="1568" t="n"/>
      <c r="S137" s="87" t="n"/>
    </row>
    <row r="138">
      <c r="B138" s="1708" t="n">
        <v>45780</v>
      </c>
      <c r="C138" s="783" t="inlineStr">
        <is>
          <t>Fairy Glen</t>
        </is>
      </c>
      <c r="D138" s="1568" t="inlineStr">
        <is>
          <t>Fairy Glen Betws-y-Coed Photography Workshop -  Wales</t>
        </is>
      </c>
      <c r="E138" s="1568" t="n"/>
      <c r="F138" s="1568" t="inlineStr">
        <is>
          <t>JLR</t>
        </is>
      </c>
      <c r="G138" s="1646" t="inlineStr">
        <is>
          <t>IIY#6752526349371NxU</t>
        </is>
      </c>
      <c r="H138" s="97" t="n">
        <v>45708</v>
      </c>
      <c r="I138" s="1647" t="n"/>
      <c r="J138" s="1646" t="n">
        <v>99</v>
      </c>
      <c r="K138" s="86" t="n"/>
      <c r="L138" s="1607" t="inlineStr">
        <is>
          <t>Jonathan Peggs</t>
        </is>
      </c>
      <c r="M138" s="1607" t="n"/>
      <c r="N138" s="1094" t="inlineStr">
        <is>
          <t>jpeggs@jaguarlandrover.com</t>
        </is>
      </c>
      <c r="O138" s="94" t="n"/>
      <c r="P138" s="1604" t="n"/>
      <c r="Q138" s="1568" t="n"/>
      <c r="R138" s="1568" t="n"/>
      <c r="S138" s="87" t="n"/>
    </row>
    <row r="139">
      <c r="B139" s="1767" t="n"/>
      <c r="C139" s="1092" t="n"/>
      <c r="D139" s="543" t="n"/>
      <c r="E139" s="543" t="n"/>
      <c r="F139" s="543" t="n"/>
      <c r="G139" s="1646" t="n"/>
      <c r="H139" s="97" t="n"/>
      <c r="I139" s="1647" t="n"/>
      <c r="J139" s="1646" t="n"/>
      <c r="K139" s="86" t="n"/>
      <c r="L139" s="1607" t="n"/>
      <c r="M139" s="1607" t="n"/>
      <c r="N139" s="1094" t="n"/>
      <c r="O139" s="94" t="n"/>
      <c r="P139" s="1604" t="n"/>
      <c r="Q139" s="1568" t="n"/>
      <c r="R139" s="1568" t="n"/>
      <c r="S139" s="87" t="n"/>
    </row>
    <row r="140">
      <c r="B140" s="1708" t="n"/>
      <c r="C140" s="1568" t="n"/>
      <c r="D140" s="783" t="n"/>
      <c r="E140" s="903" t="n"/>
      <c r="F140" s="1568" t="n"/>
      <c r="G140" s="87" t="n"/>
      <c r="H140" s="785" t="n"/>
      <c r="K140" s="1568" t="n"/>
      <c r="L140" s="1610" t="n"/>
      <c r="M140" s="1604" t="n"/>
      <c r="N140" s="1374" t="n"/>
      <c r="O140" s="1604" t="n"/>
      <c r="P140" s="1604" t="n"/>
      <c r="S140" s="1568" t="n"/>
    </row>
    <row r="142">
      <c r="B142" s="1753" t="n">
        <v>45781</v>
      </c>
      <c r="C142" s="883" t="inlineStr">
        <is>
          <t>Woodland Walk</t>
        </is>
      </c>
      <c r="D142" s="783" t="inlineStr">
        <is>
          <t>Millisons Wood</t>
        </is>
      </c>
      <c r="E142" s="783" t="inlineStr">
        <is>
          <t>2hrs</t>
        </is>
      </c>
      <c r="F142" s="1750" t="inlineStr">
        <is>
          <t>JLR</t>
        </is>
      </c>
      <c r="G142" s="785" t="inlineStr">
        <is>
          <t>IIY#5855109739371bcK</t>
        </is>
      </c>
      <c r="H142" s="785" t="n">
        <v>45701</v>
      </c>
      <c r="I142" s="1750" t="n">
        <v>0</v>
      </c>
      <c r="J142" s="1750" t="n">
        <v>12</v>
      </c>
      <c r="K142" s="1705" t="n"/>
      <c r="L142" s="1766" t="inlineStr">
        <is>
          <t xml:space="preserve">Lee </t>
        </is>
      </c>
      <c r="M142" s="1732" t="inlineStr">
        <is>
          <t>Kelly</t>
        </is>
      </c>
      <c r="N142" s="1374" t="inlineStr">
        <is>
          <t>lkelly5@jaguarlandrover.com</t>
        </is>
      </c>
      <c r="O142" s="1707" t="n"/>
      <c r="P142" s="1707" t="n"/>
      <c r="Q142" s="1646" t="n"/>
      <c r="R142" s="1646" t="n"/>
      <c r="S142" s="1568" t="n"/>
      <c r="T142" s="1708" t="n"/>
    </row>
    <row r="143">
      <c r="B143" s="1753" t="n">
        <v>45781</v>
      </c>
      <c r="C143" s="883" t="inlineStr">
        <is>
          <t>Woodland Walk</t>
        </is>
      </c>
      <c r="D143" s="783" t="inlineStr">
        <is>
          <t>Millisons Wood</t>
        </is>
      </c>
      <c r="E143" s="783" t="inlineStr">
        <is>
          <t>2hrs</t>
        </is>
      </c>
      <c r="F143" s="1750" t="inlineStr">
        <is>
          <t>JLR</t>
        </is>
      </c>
      <c r="G143" s="785" t="inlineStr">
        <is>
          <t>IIY#4588109739371X4x</t>
        </is>
      </c>
      <c r="H143" s="785" t="n">
        <v>45701</v>
      </c>
      <c r="I143" s="1750" t="n">
        <v>0</v>
      </c>
      <c r="J143" s="1750" t="n">
        <v>12</v>
      </c>
      <c r="K143" s="1705" t="n"/>
      <c r="L143" s="1766" t="inlineStr">
        <is>
          <t xml:space="preserve">Aniko </t>
        </is>
      </c>
      <c r="M143" s="1732" t="inlineStr">
        <is>
          <t>Kovacs</t>
        </is>
      </c>
      <c r="N143" s="1374" t="inlineStr">
        <is>
          <t>akovac17@jaguarlandrover.com</t>
        </is>
      </c>
      <c r="O143" s="1707" t="n"/>
      <c r="P143" s="1707" t="n"/>
      <c r="Q143" s="1646" t="n"/>
      <c r="R143" s="1646" t="n"/>
      <c r="S143" s="1568" t="n"/>
      <c r="T143" s="1708" t="n"/>
    </row>
    <row r="144">
      <c r="B144" s="1708" t="n">
        <v>45781</v>
      </c>
      <c r="C144" s="783" t="inlineStr">
        <is>
          <t>Woodland Walk</t>
        </is>
      </c>
      <c r="D144" s="783" t="inlineStr">
        <is>
          <t>Millisons Wood</t>
        </is>
      </c>
      <c r="E144" s="783" t="inlineStr">
        <is>
          <t>2hrs</t>
        </is>
      </c>
      <c r="F144" s="1750" t="inlineStr">
        <is>
          <t>JLR</t>
        </is>
      </c>
      <c r="G144" s="785" t="inlineStr">
        <is>
          <t>IIY#81030724493715su</t>
        </is>
      </c>
      <c r="H144" s="785" t="n">
        <v>45702</v>
      </c>
      <c r="I144" s="1750" t="n"/>
      <c r="J144" s="1750" t="n">
        <v>12</v>
      </c>
      <c r="K144" s="1705" t="n"/>
      <c r="L144" s="1706" t="inlineStr">
        <is>
          <t>Pravin Pawar</t>
        </is>
      </c>
      <c r="M144" s="1707" t="n"/>
      <c r="N144" s="1374" t="inlineStr">
        <is>
          <t>ppawar9@jaguarlandrover.com</t>
        </is>
      </c>
      <c r="O144" s="1707" t="n"/>
      <c r="P144" s="1707" t="n"/>
      <c r="Q144" s="1646" t="n"/>
      <c r="R144" s="1646" t="n"/>
      <c r="S144" s="1568" t="n"/>
      <c r="T144" s="1708" t="n"/>
    </row>
    <row r="145">
      <c r="B145" s="1708" t="n">
        <v>45781</v>
      </c>
      <c r="C145" s="783" t="inlineStr">
        <is>
          <t>Woodland Walk</t>
        </is>
      </c>
      <c r="D145" s="783" t="inlineStr">
        <is>
          <t>Millisons Wood</t>
        </is>
      </c>
      <c r="E145" s="783" t="inlineStr">
        <is>
          <t>2hrs</t>
        </is>
      </c>
      <c r="F145" s="1750" t="inlineStr">
        <is>
          <t>JLR</t>
        </is>
      </c>
      <c r="G145" s="87" t="inlineStr">
        <is>
          <t>IIY#4412234739371jO9</t>
        </is>
      </c>
      <c r="H145" s="785" t="n">
        <v>45702</v>
      </c>
      <c r="J145" s="1697" t="n">
        <v>12</v>
      </c>
      <c r="K145" s="1568" t="n"/>
      <c r="L145" s="1610" t="inlineStr">
        <is>
          <t>Mohamad Chaaban</t>
        </is>
      </c>
      <c r="M145" s="1604" t="n"/>
      <c r="N145" s="1374" t="inlineStr">
        <is>
          <t>mchaaba1@jaguarlandrover.com</t>
        </is>
      </c>
      <c r="O145" s="1604" t="n"/>
      <c r="P145" s="1604" t="n"/>
      <c r="S145" s="1568" t="n"/>
    </row>
    <row r="146">
      <c r="B146" s="1708" t="n">
        <v>45781</v>
      </c>
      <c r="C146" s="783" t="inlineStr">
        <is>
          <t>Woodland Walk</t>
        </is>
      </c>
      <c r="D146" s="783" t="inlineStr">
        <is>
          <t>Millisons Wood</t>
        </is>
      </c>
      <c r="E146" s="783" t="inlineStr">
        <is>
          <t>2hrs</t>
        </is>
      </c>
      <c r="F146" s="1750" t="inlineStr">
        <is>
          <t>JLR</t>
        </is>
      </c>
      <c r="G146" s="87" t="inlineStr">
        <is>
          <t>IIY#7904133259371qIr</t>
        </is>
      </c>
      <c r="H146" s="785" t="n">
        <v>45709</v>
      </c>
      <c r="J146" s="1697" t="n">
        <v>12</v>
      </c>
      <c r="K146" s="1568" t="n"/>
      <c r="L146" s="1610" t="inlineStr">
        <is>
          <t>Tuba Sonmez</t>
        </is>
      </c>
      <c r="M146" s="1604" t="n"/>
      <c r="N146" s="1374" t="inlineStr">
        <is>
          <t>tsonmez@jaguarlandrover.com</t>
        </is>
      </c>
      <c r="O146" s="1604" t="n"/>
      <c r="P146" s="1604" t="n"/>
      <c r="S146" s="1568" t="n"/>
    </row>
    <row r="147">
      <c r="B147" s="1708" t="n">
        <v>45781</v>
      </c>
      <c r="C147" s="783" t="inlineStr">
        <is>
          <t>Woodland Walk</t>
        </is>
      </c>
      <c r="D147" s="783" t="inlineStr">
        <is>
          <t>Millisons Wood</t>
        </is>
      </c>
      <c r="E147" s="783" t="inlineStr">
        <is>
          <t>2hrs</t>
        </is>
      </c>
      <c r="F147" s="1750" t="inlineStr">
        <is>
          <t>JLR</t>
        </is>
      </c>
      <c r="G147" s="87" t="inlineStr">
        <is>
          <t>IIY#5772028243471qmh</t>
        </is>
      </c>
      <c r="H147" s="785" t="n">
        <v>45750</v>
      </c>
      <c r="I147" s="1696" t="n">
        <v>0</v>
      </c>
      <c r="J147" s="1697" t="n">
        <v>15</v>
      </c>
      <c r="K147" s="1568" t="n"/>
      <c r="L147" s="1610" t="inlineStr">
        <is>
          <t>Rajiv Mohan</t>
        </is>
      </c>
      <c r="M147" s="1604" t="n"/>
      <c r="N147" s="1374" t="inlineStr">
        <is>
          <t>rmohan4@jaguarlandrover.com</t>
        </is>
      </c>
      <c r="O147" s="1604" t="n"/>
      <c r="P147" s="1604" t="n"/>
      <c r="S147" s="1568" t="n"/>
    </row>
    <row r="148">
      <c r="B148" s="1708" t="n">
        <v>45781</v>
      </c>
      <c r="C148" s="783" t="inlineStr">
        <is>
          <t>Woodland Walk</t>
        </is>
      </c>
      <c r="D148" s="783" t="inlineStr">
        <is>
          <t>Millisons Wood</t>
        </is>
      </c>
      <c r="E148" s="783" t="inlineStr">
        <is>
          <t>2hrs</t>
        </is>
      </c>
      <c r="F148" s="1750" t="inlineStr">
        <is>
          <t>JLR</t>
        </is>
      </c>
      <c r="G148" s="87" t="inlineStr">
        <is>
          <t>IIY#4990439243471YoC</t>
        </is>
      </c>
      <c r="H148" s="785" t="n">
        <v>45776</v>
      </c>
      <c r="I148" s="1696" t="n">
        <v>0</v>
      </c>
      <c r="J148" s="1697" t="n">
        <v>15</v>
      </c>
      <c r="L148" s="1711" t="inlineStr">
        <is>
          <t>Raluca-Georgiana Cristea</t>
        </is>
      </c>
      <c r="N148" s="1374" t="inlineStr">
        <is>
          <t>rcriste1@jaguarlandrover.com</t>
        </is>
      </c>
      <c r="S148" s="1568" t="n"/>
    </row>
    <row r="149">
      <c r="B149" s="1708" t="n">
        <v>45781</v>
      </c>
      <c r="C149" s="783" t="inlineStr">
        <is>
          <t>Woodland Walk</t>
        </is>
      </c>
      <c r="D149" s="783" t="inlineStr">
        <is>
          <t>Millisons Wood</t>
        </is>
      </c>
      <c r="E149" s="783" t="inlineStr">
        <is>
          <t>2hrs</t>
        </is>
      </c>
      <c r="F149" s="1750" t="inlineStr">
        <is>
          <t>Referral</t>
        </is>
      </c>
      <c r="G149" s="785" t="inlineStr">
        <is>
          <t>#02935</t>
        </is>
      </c>
      <c r="H149" s="785" t="n">
        <v>45674</v>
      </c>
      <c r="I149" s="1750" t="n">
        <v>15</v>
      </c>
      <c r="J149" s="1750" t="n">
        <v>0</v>
      </c>
      <c r="K149" s="1705" t="inlineStr">
        <is>
          <t>Mrs</t>
        </is>
      </c>
      <c r="L149" s="1706" t="inlineStr">
        <is>
          <t>Sapa</t>
        </is>
      </c>
      <c r="M149" s="1707" t="inlineStr">
        <is>
          <t>Patni</t>
        </is>
      </c>
      <c r="N149" s="1374" t="inlineStr">
        <is>
          <t>jaysapna747@gmail.com</t>
        </is>
      </c>
      <c r="O149" s="1707" t="inlineStr">
        <is>
          <t>41</t>
        </is>
      </c>
      <c r="P149" s="1707" t="inlineStr">
        <is>
          <t>07738069907</t>
        </is>
      </c>
      <c r="Q149" s="1646" t="inlineStr">
        <is>
          <t>B92 0BZ</t>
        </is>
      </c>
      <c r="R149" s="1646" t="inlineStr">
        <is>
          <t>24 Diddington Lane</t>
        </is>
      </c>
      <c r="S149" s="1568" t="inlineStr">
        <is>
          <t>Solihull</t>
        </is>
      </c>
      <c r="T149" s="1708" t="n"/>
    </row>
    <row r="150">
      <c r="B150" s="1708" t="n"/>
      <c r="C150" s="1568" t="n"/>
      <c r="D150" s="783" t="n"/>
      <c r="E150" s="903" t="n"/>
      <c r="F150" s="1568" t="n"/>
      <c r="H150" s="785" t="n"/>
      <c r="K150" s="1568" t="n"/>
      <c r="L150" s="1610" t="n"/>
      <c r="M150" s="1604" t="n"/>
      <c r="N150" s="1374" t="n"/>
      <c r="O150" s="1604" t="n"/>
      <c r="P150" s="1604" t="n"/>
      <c r="S150" s="1568" t="n"/>
    </row>
    <row r="151">
      <c r="B151" s="1708" t="n">
        <v>45781</v>
      </c>
      <c r="C151" s="1568" t="inlineStr">
        <is>
          <t>Garden Workshop</t>
        </is>
      </c>
      <c r="D151" s="783" t="inlineStr">
        <is>
          <t>Garden Photography Workshop - Private Garden - Coventry</t>
        </is>
      </c>
      <c r="E151" s="903" t="inlineStr">
        <is>
          <t>2hrs</t>
        </is>
      </c>
      <c r="F151" s="1568" t="inlineStr">
        <is>
          <t>JLR</t>
        </is>
      </c>
      <c r="G151" s="87" t="inlineStr">
        <is>
          <t>IIY-#3222657371-#463</t>
        </is>
      </c>
      <c r="H151" s="785" t="n">
        <v>45685</v>
      </c>
      <c r="I151" s="1696" t="n">
        <v>0</v>
      </c>
      <c r="J151" s="1697" t="n">
        <v>35</v>
      </c>
      <c r="K151" s="1568" t="inlineStr">
        <is>
          <t>Ms</t>
        </is>
      </c>
      <c r="L151" s="1610" t="inlineStr">
        <is>
          <t>Holly</t>
        </is>
      </c>
      <c r="M151" s="1604" t="inlineStr">
        <is>
          <t>Pownall</t>
        </is>
      </c>
      <c r="N151" s="1374" t="inlineStr">
        <is>
          <t>hpownall@jaguarlandrover.com</t>
        </is>
      </c>
      <c r="O151" s="1604" t="n"/>
      <c r="P151" s="1604" t="n"/>
      <c r="S151" s="1568" t="n"/>
    </row>
    <row r="152">
      <c r="B152" s="1708" t="n">
        <v>45781</v>
      </c>
      <c r="C152" s="1568" t="inlineStr">
        <is>
          <t>Garden Workshop</t>
        </is>
      </c>
      <c r="D152" s="783" t="inlineStr">
        <is>
          <t>Garden Photography Workshop - Private Garden - Coventry</t>
        </is>
      </c>
      <c r="E152" s="903" t="inlineStr">
        <is>
          <t>2hrs</t>
        </is>
      </c>
      <c r="F152" s="1568" t="inlineStr">
        <is>
          <t>JLR</t>
        </is>
      </c>
      <c r="G152" s="87" t="inlineStr">
        <is>
          <t>IIY#4537313578371xNs</t>
        </is>
      </c>
      <c r="H152" s="785" t="n">
        <v>45693</v>
      </c>
      <c r="J152" s="1697" t="n">
        <v>35</v>
      </c>
      <c r="K152" s="1568" t="inlineStr">
        <is>
          <t>Mr</t>
        </is>
      </c>
      <c r="L152" s="1610" t="inlineStr">
        <is>
          <t>Paul Farrington</t>
        </is>
      </c>
      <c r="M152" s="1604" t="n"/>
      <c r="N152" s="1374" t="inlineStr">
        <is>
          <t>pfarring@jaguarlandrover.com</t>
        </is>
      </c>
      <c r="O152" s="1604" t="n"/>
      <c r="P152" s="1604" t="n"/>
      <c r="S152" s="1568" t="n"/>
    </row>
    <row r="153">
      <c r="B153" s="1708" t="n">
        <v>45781</v>
      </c>
      <c r="C153" s="1568" t="inlineStr">
        <is>
          <t>Garden Workshop</t>
        </is>
      </c>
      <c r="D153" s="783" t="inlineStr">
        <is>
          <t>Garden Photography Workshop - Private Garden - Coventry</t>
        </is>
      </c>
      <c r="E153" s="903" t="inlineStr">
        <is>
          <t>2hrs</t>
        </is>
      </c>
      <c r="F153" s="1568" t="inlineStr">
        <is>
          <t>JLR</t>
        </is>
      </c>
      <c r="G153" s="87" t="inlineStr">
        <is>
          <t>IIY#0030572449371ikL</t>
        </is>
      </c>
      <c r="H153" s="785" t="n">
        <v>45701</v>
      </c>
      <c r="J153" s="1697" t="n">
        <v>35</v>
      </c>
      <c r="K153" s="1568" t="n"/>
      <c r="L153" s="1610" t="inlineStr">
        <is>
          <t xml:space="preserve">Nicholas Guntrip </t>
        </is>
      </c>
      <c r="M153" s="1604" t="inlineStr">
        <is>
          <t>Hook</t>
        </is>
      </c>
      <c r="N153" s="1374" t="inlineStr">
        <is>
          <t>nguntrip@jaguarlandrover.com</t>
        </is>
      </c>
      <c r="O153" s="1604" t="n"/>
      <c r="P153" s="1604" t="n"/>
      <c r="S153" s="1568" t="n"/>
    </row>
    <row r="154">
      <c r="B154" s="1753" t="n">
        <v>45781</v>
      </c>
      <c r="C154" s="1643" t="inlineStr">
        <is>
          <t>Garden Workshop</t>
        </is>
      </c>
      <c r="D154" s="783" t="inlineStr">
        <is>
          <t>Garden Photography Workshop - Private Garden - Coventry</t>
        </is>
      </c>
      <c r="E154" s="903" t="inlineStr">
        <is>
          <t>2hrs</t>
        </is>
      </c>
      <c r="F154" s="1568" t="inlineStr">
        <is>
          <t>JLR</t>
        </is>
      </c>
      <c r="G154" s="87" t="inlineStr">
        <is>
          <t>IIY#3213924701471IWE</t>
        </is>
      </c>
      <c r="H154" s="785" t="n">
        <v>45720</v>
      </c>
      <c r="J154" s="1697" t="n">
        <v>35</v>
      </c>
      <c r="K154" s="1568" t="n"/>
      <c r="L154" s="1610" t="inlineStr">
        <is>
          <t>Elena Kuznetsova</t>
        </is>
      </c>
      <c r="M154" s="1604" t="n"/>
      <c r="N154" s="1374" t="inlineStr">
        <is>
          <t>ekuznet1@jaguarlandrover.com</t>
        </is>
      </c>
      <c r="O154" s="1604" t="n"/>
      <c r="P154" s="1604" t="n"/>
      <c r="S154" s="1568" t="n"/>
    </row>
    <row r="155">
      <c r="B155" s="1708" t="n">
        <v>45781</v>
      </c>
      <c r="C155" s="1568" t="inlineStr">
        <is>
          <t>Garden Workshop</t>
        </is>
      </c>
      <c r="D155" s="783" t="inlineStr">
        <is>
          <t>Garden Photography Workshop - Private Garden - Coventry</t>
        </is>
      </c>
      <c r="E155" s="1568" t="inlineStr">
        <is>
          <t>2hrs</t>
        </is>
      </c>
      <c r="F155" s="1568" t="inlineStr">
        <is>
          <t>Google</t>
        </is>
      </c>
      <c r="G155" s="87" t="inlineStr">
        <is>
          <t>#02942</t>
        </is>
      </c>
      <c r="H155" s="785" t="n">
        <v>45678</v>
      </c>
      <c r="I155" s="1696" t="n">
        <v>50</v>
      </c>
      <c r="J155" s="1697" t="n">
        <v>0</v>
      </c>
      <c r="K155" s="1568" t="inlineStr">
        <is>
          <t>Mr</t>
        </is>
      </c>
      <c r="L155" s="1610" t="inlineStr">
        <is>
          <t>Peter</t>
        </is>
      </c>
      <c r="M155" s="1610" t="inlineStr">
        <is>
          <t>Fahy</t>
        </is>
      </c>
      <c r="N155" s="1374" t="inlineStr">
        <is>
          <t>kxrcool24@gmail.com</t>
        </is>
      </c>
      <c r="O155" s="1604" t="inlineStr">
        <is>
          <t>52</t>
        </is>
      </c>
      <c r="P155" s="1604" t="inlineStr">
        <is>
          <t>07917101237</t>
        </is>
      </c>
      <c r="Q155" s="1697" t="inlineStr">
        <is>
          <t>CV3 5ND</t>
        </is>
      </c>
      <c r="R155" s="1697" t="inlineStr">
        <is>
          <t>109 Arnold Avenue</t>
        </is>
      </c>
      <c r="S155" s="1568" t="inlineStr">
        <is>
          <t>Coventry</t>
        </is>
      </c>
    </row>
    <row r="156">
      <c r="B156" s="1708" t="n"/>
      <c r="C156" s="1568" t="n"/>
      <c r="D156" s="783" t="n"/>
      <c r="E156" s="1568" t="n"/>
      <c r="F156" s="1568" t="n"/>
      <c r="G156" s="87" t="n"/>
      <c r="H156" s="785" t="n"/>
      <c r="K156" s="1568" t="n"/>
      <c r="L156" s="1610" t="n"/>
      <c r="M156" s="1610" t="n"/>
      <c r="N156" s="1374" t="n"/>
      <c r="O156" s="1604" t="n"/>
      <c r="P156" s="1604" t="n"/>
      <c r="S156" s="1568" t="n"/>
    </row>
    <row r="157">
      <c r="B157" s="1708" t="n">
        <v>45782</v>
      </c>
      <c r="C157" s="1568" t="inlineStr">
        <is>
          <t>Chesterton Windmill</t>
        </is>
      </c>
      <c r="D157" s="1568" t="inlineStr">
        <is>
          <t>5pm 0 7pm</t>
        </is>
      </c>
      <c r="E157" s="1568" t="inlineStr">
        <is>
          <t>2hrs</t>
        </is>
      </c>
      <c r="F157" s="1568" t="inlineStr">
        <is>
          <t>Referral</t>
        </is>
      </c>
      <c r="G157" s="87" t="inlineStr">
        <is>
          <t>#02927</t>
        </is>
      </c>
      <c r="H157" s="785" t="n">
        <v>45659</v>
      </c>
      <c r="I157" s="1696" t="n">
        <v>50</v>
      </c>
      <c r="J157" s="1697" t="n">
        <v>0</v>
      </c>
      <c r="K157" s="1568" t="inlineStr">
        <is>
          <t>Mr</t>
        </is>
      </c>
      <c r="L157" s="1610" t="inlineStr">
        <is>
          <t xml:space="preserve">Timothy </t>
        </is>
      </c>
      <c r="M157" s="1711" t="inlineStr">
        <is>
          <t>Reeve</t>
        </is>
      </c>
      <c r="N157" s="1374" t="inlineStr">
        <is>
          <t>fryingtonite@yahoo.com</t>
        </is>
      </c>
      <c r="O157" s="1604" t="n"/>
      <c r="P157" s="1604" t="inlineStr">
        <is>
          <t>07715704690</t>
        </is>
      </c>
      <c r="Q157" s="1697" t="inlineStr">
        <is>
          <t>B75 7HG</t>
        </is>
      </c>
      <c r="R157" s="1697" t="inlineStr">
        <is>
          <t>305 Rectory Road</t>
        </is>
      </c>
      <c r="S157" s="1568" t="inlineStr">
        <is>
          <t>Sutton Coldfield</t>
        </is>
      </c>
    </row>
    <row r="158">
      <c r="B158" s="1708" t="n">
        <v>45782</v>
      </c>
      <c r="C158" s="1568" t="inlineStr">
        <is>
          <t>Chesterton Windmill</t>
        </is>
      </c>
      <c r="D158" s="1054" t="inlineStr">
        <is>
          <t>Was on Fairy Glen -He did on his own after last cancellation</t>
        </is>
      </c>
      <c r="E158" s="1054" t="inlineStr">
        <is>
          <t>4hrs</t>
        </is>
      </c>
      <c r="F158" s="1054" t="inlineStr">
        <is>
          <t>Existing</t>
        </is>
      </c>
      <c r="G158" s="1760" t="inlineStr">
        <is>
          <t>#02688</t>
        </is>
      </c>
      <c r="H158" s="1056" t="n">
        <v>45292</v>
      </c>
      <c r="I158" s="1761" t="n">
        <v>95</v>
      </c>
      <c r="J158" s="1760" t="n">
        <v>0</v>
      </c>
      <c r="K158" s="1646" t="inlineStr">
        <is>
          <t>Mr</t>
        </is>
      </c>
      <c r="L158" s="1705" t="inlineStr">
        <is>
          <t>Martin</t>
        </is>
      </c>
      <c r="M158" s="1706" t="inlineStr">
        <is>
          <t>Vincent</t>
        </is>
      </c>
      <c r="N158" s="549" t="inlineStr">
        <is>
          <t xml:space="preserve">mvinc74503@aol.com </t>
        </is>
      </c>
      <c r="O158" s="1707" t="inlineStr">
        <is>
          <t>75</t>
        </is>
      </c>
      <c r="P158" s="1758" t="inlineStr">
        <is>
          <t>07968979511</t>
        </is>
      </c>
      <c r="Q158" s="1646" t="inlineStr">
        <is>
          <t>GL6 8EF</t>
        </is>
      </c>
      <c r="R158" s="1646" t="inlineStr">
        <is>
          <t>drey house, randalls green</t>
        </is>
      </c>
      <c r="S158" s="1646" t="inlineStr">
        <is>
          <t>Gloucs</t>
        </is>
      </c>
    </row>
    <row r="159">
      <c r="B159" s="1708" t="n">
        <v>45782</v>
      </c>
      <c r="C159" s="1568" t="inlineStr">
        <is>
          <t>Chesterton Windmill</t>
        </is>
      </c>
      <c r="D159" s="1568" t="n"/>
      <c r="F159" s="1568" t="inlineStr">
        <is>
          <t>JLR</t>
        </is>
      </c>
      <c r="G159" s="87" t="inlineStr">
        <is>
          <t>IIY#9172752670471l8k</t>
        </is>
      </c>
      <c r="H159" s="785" t="n">
        <v>45720</v>
      </c>
      <c r="J159" s="1697" t="n">
        <v>50</v>
      </c>
      <c r="K159" s="1568" t="n"/>
      <c r="L159" s="1610" t="inlineStr">
        <is>
          <t>Aaron Williams</t>
        </is>
      </c>
      <c r="N159" s="1374" t="inlineStr">
        <is>
          <t>awilli60@jaguarlandrover.com</t>
        </is>
      </c>
      <c r="O159" s="1604" t="n"/>
      <c r="P159" s="1604" t="inlineStr">
        <is>
          <t>07979343797</t>
        </is>
      </c>
      <c r="S159" s="1568" t="n"/>
    </row>
    <row r="160">
      <c r="B160" s="1708" t="n">
        <v>45782</v>
      </c>
      <c r="C160" s="1568" t="inlineStr">
        <is>
          <t>Chesterton Windmill</t>
        </is>
      </c>
      <c r="D160" s="1568" t="n"/>
      <c r="F160" s="1568" t="inlineStr">
        <is>
          <t>JLR</t>
        </is>
      </c>
      <c r="G160" s="87" t="inlineStr">
        <is>
          <t>IIY#51747526704712sd</t>
        </is>
      </c>
      <c r="H160" s="785" t="n">
        <v>45720</v>
      </c>
      <c r="J160" s="1697" t="n">
        <v>50</v>
      </c>
      <c r="K160" s="1568" t="n"/>
      <c r="L160" s="1610" t="inlineStr">
        <is>
          <t>Junaid Sipple</t>
        </is>
      </c>
      <c r="N160" s="1374" t="inlineStr">
        <is>
          <t>jsipple@jaguarlandrover.com</t>
        </is>
      </c>
      <c r="O160" s="1604" t="n"/>
      <c r="P160" s="1604" t="inlineStr">
        <is>
          <t>07780 222546</t>
        </is>
      </c>
      <c r="S160" s="1568" t="n"/>
    </row>
    <row r="161">
      <c r="B161" s="1708" t="n">
        <v>45782</v>
      </c>
      <c r="C161" s="1568" t="inlineStr">
        <is>
          <t>Chesterton Windmill</t>
        </is>
      </c>
      <c r="D161" s="1568" t="n"/>
      <c r="F161" s="1568" t="inlineStr">
        <is>
          <t>JLR</t>
        </is>
      </c>
      <c r="G161" s="87" t="inlineStr">
        <is>
          <t>IIY#7684720211471ow8</t>
        </is>
      </c>
      <c r="H161" s="785" t="n">
        <v>45721</v>
      </c>
      <c r="J161" s="1697" t="n">
        <v>50</v>
      </c>
      <c r="K161" s="1568" t="n"/>
      <c r="L161" s="1610" t="inlineStr">
        <is>
          <t>Volkan Ayik</t>
        </is>
      </c>
      <c r="N161" s="1374" t="inlineStr">
        <is>
          <t>vayik@jaguarlandrover.com</t>
        </is>
      </c>
      <c r="O161" s="1604" t="n"/>
      <c r="P161" s="1604" t="inlineStr">
        <is>
          <t>07931420120</t>
        </is>
      </c>
      <c r="S161" s="1568" t="n"/>
    </row>
    <row r="162">
      <c r="B162" s="1708" t="n">
        <v>45782</v>
      </c>
      <c r="C162" s="1568" t="inlineStr">
        <is>
          <t>Chesterton Windmill</t>
        </is>
      </c>
      <c r="D162" s="1568" t="n"/>
      <c r="F162" s="1568" t="inlineStr">
        <is>
          <t>exisiting</t>
        </is>
      </c>
      <c r="G162" s="1568" t="inlineStr">
        <is>
          <t>#02038</t>
        </is>
      </c>
      <c r="H162" s="785" t="n">
        <v>45729</v>
      </c>
      <c r="J162" s="1697" t="n">
        <v>50</v>
      </c>
      <c r="K162" s="1568" t="inlineStr">
        <is>
          <t>Mr</t>
        </is>
      </c>
      <c r="L162" s="1610" t="inlineStr">
        <is>
          <t>Neil</t>
        </is>
      </c>
      <c r="M162" s="1610" t="inlineStr">
        <is>
          <t>Evans</t>
        </is>
      </c>
      <c r="N162" s="1374" t="inlineStr">
        <is>
          <t xml:space="preserve">snavelien@gmail.com </t>
        </is>
      </c>
      <c r="O162" s="1604" t="inlineStr">
        <is>
          <t>65</t>
        </is>
      </c>
      <c r="P162" s="1604" t="inlineStr">
        <is>
          <t>07834386970</t>
        </is>
      </c>
      <c r="Q162" s="1697" t="inlineStr">
        <is>
          <t>LE17 4AP</t>
        </is>
      </c>
      <c r="R162" s="1697" t="inlineStr">
        <is>
          <t>33 Station Road</t>
        </is>
      </c>
      <c r="S162" s="1568" t="inlineStr">
        <is>
          <t>Lutterworth</t>
        </is>
      </c>
    </row>
    <row r="163">
      <c r="B163" s="1708" t="n"/>
      <c r="C163" s="1568" t="n"/>
      <c r="D163" s="1568" t="n"/>
      <c r="F163" s="1568" t="n"/>
      <c r="G163" s="87" t="n"/>
      <c r="H163" s="785" t="n"/>
      <c r="K163" s="1568" t="n"/>
      <c r="L163" s="1610" t="n"/>
      <c r="N163" s="1374" t="n"/>
      <c r="O163" s="1604" t="n"/>
      <c r="P163" s="1604" t="n"/>
      <c r="S163" s="1568" t="n"/>
    </row>
    <row r="164">
      <c r="B164" s="1708" t="n">
        <v>45789</v>
      </c>
      <c r="C164" s="1568" t="inlineStr">
        <is>
          <t>LE Kenilworth</t>
        </is>
      </c>
      <c r="D164" s="783" t="inlineStr">
        <is>
          <t>Kenilworth</t>
        </is>
      </c>
      <c r="E164" s="783" t="inlineStr">
        <is>
          <t>2.5hrs</t>
        </is>
      </c>
      <c r="F164" s="1568" t="inlineStr">
        <is>
          <t>JLR</t>
        </is>
      </c>
      <c r="G164" s="87" t="inlineStr">
        <is>
          <t>IIY#8875517639371dMl</t>
        </is>
      </c>
      <c r="H164" s="785" t="n">
        <v>45700</v>
      </c>
      <c r="J164" s="1697" t="n">
        <v>50</v>
      </c>
      <c r="K164" s="1568" t="inlineStr">
        <is>
          <t>Ms</t>
        </is>
      </c>
      <c r="L164" s="1610" t="inlineStr">
        <is>
          <t xml:space="preserve">Charlotte </t>
        </is>
      </c>
      <c r="M164" s="1711" t="inlineStr">
        <is>
          <t>Brooks</t>
        </is>
      </c>
      <c r="N164" s="1374" t="inlineStr">
        <is>
          <t>cbrooks3@jaguarlandrover.com</t>
        </is>
      </c>
      <c r="O164" s="1604" t="n"/>
      <c r="P164" s="1604" t="n"/>
      <c r="S164" s="1568" t="n"/>
    </row>
    <row r="165">
      <c r="B165" s="1708" t="n">
        <v>45789</v>
      </c>
      <c r="C165" s="1568" t="inlineStr">
        <is>
          <t>LE Kenilworth</t>
        </is>
      </c>
      <c r="D165" s="783" t="inlineStr">
        <is>
          <t>Kenilworth</t>
        </is>
      </c>
      <c r="E165" s="783" t="inlineStr">
        <is>
          <t>2.5hrs</t>
        </is>
      </c>
      <c r="F165" s="1568" t="inlineStr">
        <is>
          <t>JLR</t>
        </is>
      </c>
      <c r="G165" s="87" t="inlineStr">
        <is>
          <t>IIY#4692912189371FFL</t>
        </is>
      </c>
      <c r="H165" s="785" t="n">
        <v>45707</v>
      </c>
      <c r="J165" s="1697" t="n">
        <v>50</v>
      </c>
      <c r="K165" s="1568" t="n"/>
      <c r="L165" s="1610" t="inlineStr">
        <is>
          <t>Raamakrishnan Narayanan Sankaranarayanan</t>
        </is>
      </c>
      <c r="N165" s="1374" t="inlineStr">
        <is>
          <t>rnaraya8@jaguarlandrover.com</t>
        </is>
      </c>
      <c r="O165" s="1604" t="n"/>
      <c r="P165" s="1604" t="n"/>
      <c r="S165" s="1568" t="n"/>
    </row>
    <row r="166">
      <c r="B166" s="1753" t="n">
        <v>45789</v>
      </c>
      <c r="C166" s="1643" t="inlineStr">
        <is>
          <t>LE Kenilworth</t>
        </is>
      </c>
      <c r="D166" s="883" t="inlineStr">
        <is>
          <t>Kenilworth</t>
        </is>
      </c>
      <c r="E166" s="883" t="inlineStr">
        <is>
          <t>2.5hrs</t>
        </is>
      </c>
      <c r="F166" s="1643" t="inlineStr">
        <is>
          <t>JLR</t>
        </is>
      </c>
      <c r="G166" s="87" t="inlineStr">
        <is>
          <t>IIY#6433940310471ai8</t>
        </is>
      </c>
      <c r="H166" s="785" t="n">
        <v>45712</v>
      </c>
      <c r="J166" s="1697" t="n">
        <v>50</v>
      </c>
      <c r="K166" s="1568" t="n"/>
      <c r="L166" s="1610" t="inlineStr">
        <is>
          <t>Asia Begum</t>
        </is>
      </c>
      <c r="N166" s="1374" t="inlineStr">
        <is>
          <t>abegum8@jaguarlandrover.com</t>
        </is>
      </c>
      <c r="O166" s="1604" t="n"/>
      <c r="P166" s="1604" t="n"/>
      <c r="S166" s="1568" t="n"/>
    </row>
    <row r="167">
      <c r="B167" s="1708" t="n">
        <v>45789</v>
      </c>
      <c r="C167" s="1568" t="inlineStr">
        <is>
          <t>LE Kenilworth</t>
        </is>
      </c>
      <c r="D167" s="783" t="inlineStr">
        <is>
          <t>Kenilworth</t>
        </is>
      </c>
      <c r="E167" s="783" t="inlineStr">
        <is>
          <t>2.5hrs</t>
        </is>
      </c>
      <c r="F167" s="1568" t="inlineStr">
        <is>
          <t>JLR</t>
        </is>
      </c>
      <c r="G167" s="87" t="inlineStr">
        <is>
          <t>IIY#76190615704717Bu</t>
        </is>
      </c>
      <c r="H167" s="785" t="n">
        <v>45719</v>
      </c>
      <c r="J167" s="1697" t="n">
        <v>50</v>
      </c>
      <c r="K167" s="1568" t="n"/>
      <c r="L167" s="1610" t="inlineStr">
        <is>
          <t>Kerrie Porter</t>
        </is>
      </c>
      <c r="N167" s="1374" t="inlineStr">
        <is>
          <t>kporte38@jaguarlandrover.com</t>
        </is>
      </c>
      <c r="O167" s="1604" t="n"/>
      <c r="P167" s="1604" t="inlineStr">
        <is>
          <t>07900935410</t>
        </is>
      </c>
      <c r="S167" s="1568" t="n"/>
    </row>
    <row r="168">
      <c r="B168" s="1708" t="n">
        <v>45789</v>
      </c>
      <c r="C168" s="1568" t="inlineStr">
        <is>
          <t>LE Kenilworth</t>
        </is>
      </c>
      <c r="D168" s="783" t="inlineStr">
        <is>
          <t>Kenilworth</t>
        </is>
      </c>
      <c r="E168" s="783" t="inlineStr">
        <is>
          <t>2.5hrs</t>
        </is>
      </c>
      <c r="F168" s="1568" t="inlineStr">
        <is>
          <t>JLR</t>
        </is>
      </c>
      <c r="G168" s="87" t="inlineStr">
        <is>
          <t>IIY#7684720211471voQ</t>
        </is>
      </c>
      <c r="H168" s="785" t="n">
        <v>45733</v>
      </c>
      <c r="I168" s="1696" t="n">
        <v>0</v>
      </c>
      <c r="J168" s="1697" t="n">
        <v>50</v>
      </c>
      <c r="K168" s="1568" t="n"/>
      <c r="L168" s="1610" t="inlineStr">
        <is>
          <t>Volkan Ayik</t>
        </is>
      </c>
      <c r="N168" s="1374" t="inlineStr">
        <is>
          <t>vayik@jaguarlandrover.com</t>
        </is>
      </c>
      <c r="O168" s="1604" t="n"/>
      <c r="P168" s="1604" t="inlineStr">
        <is>
          <t>07931420120</t>
        </is>
      </c>
      <c r="S168" s="1568" t="n"/>
    </row>
    <row r="169">
      <c r="B169" s="1708" t="n">
        <v>45789</v>
      </c>
      <c r="C169" s="1568" t="inlineStr">
        <is>
          <t>LE Kenilworth</t>
        </is>
      </c>
      <c r="D169" s="783" t="inlineStr">
        <is>
          <t>Kenilworth</t>
        </is>
      </c>
      <c r="E169" s="783" t="inlineStr">
        <is>
          <t>2.5hrs</t>
        </is>
      </c>
      <c r="F169" s="1568" t="inlineStr">
        <is>
          <t>Google</t>
        </is>
      </c>
      <c r="G169" s="87" t="inlineStr">
        <is>
          <t>#02984</t>
        </is>
      </c>
      <c r="H169" s="785" t="n">
        <v>45758</v>
      </c>
      <c r="I169" s="1696" t="n">
        <v>50</v>
      </c>
      <c r="J169" s="1697" t="n">
        <v>0</v>
      </c>
      <c r="K169" s="1568" t="inlineStr">
        <is>
          <t>Mr</t>
        </is>
      </c>
      <c r="L169" s="1610" t="inlineStr">
        <is>
          <t>Andrew</t>
        </is>
      </c>
      <c r="M169" s="1610" t="inlineStr">
        <is>
          <t>Clarke</t>
        </is>
      </c>
      <c r="N169" s="1374" t="inlineStr">
        <is>
          <t xml:space="preserve">andrewevansclarke@gmail.com </t>
        </is>
      </c>
      <c r="O169" s="1604" t="inlineStr">
        <is>
          <t>74</t>
        </is>
      </c>
      <c r="P169" s="1604" t="inlineStr">
        <is>
          <t>07834188918</t>
        </is>
      </c>
      <c r="Q169" s="1697" t="inlineStr">
        <is>
          <t>B60 1JF</t>
        </is>
      </c>
      <c r="R169" s="1697" t="inlineStr">
        <is>
          <t>1 Southmead Drive</t>
        </is>
      </c>
      <c r="S169" s="1568" t="inlineStr">
        <is>
          <t>Bromsgrove</t>
        </is>
      </c>
    </row>
    <row r="170">
      <c r="B170" s="1753" t="n">
        <v>45789</v>
      </c>
      <c r="C170" s="1643" t="inlineStr">
        <is>
          <t>LE Kenilworth</t>
        </is>
      </c>
      <c r="D170" s="883" t="inlineStr">
        <is>
          <t>Kenilworth</t>
        </is>
      </c>
      <c r="E170" s="883" t="inlineStr">
        <is>
          <t>2.5hrs</t>
        </is>
      </c>
      <c r="F170" s="1643" t="inlineStr">
        <is>
          <t>JLR</t>
        </is>
      </c>
      <c r="G170" s="608" t="inlineStr">
        <is>
          <t>IIY#3542408521471SdL</t>
        </is>
      </c>
      <c r="H170" s="904" t="n">
        <v>45722</v>
      </c>
      <c r="I170" s="1645" t="n"/>
      <c r="J170" s="1643" t="n">
        <v>50</v>
      </c>
      <c r="K170" s="1643" t="n"/>
      <c r="L170" s="1763" t="inlineStr">
        <is>
          <t>Naveen Lakshmanan</t>
        </is>
      </c>
      <c r="N170" s="1374" t="inlineStr">
        <is>
          <t>nlakshm1@jaguarlandrover.com</t>
        </is>
      </c>
      <c r="O170" s="1604" t="n"/>
      <c r="P170" s="1604" t="n"/>
      <c r="S170" s="1568" t="n"/>
    </row>
    <row r="171">
      <c r="B171" s="1708" t="n"/>
      <c r="C171" s="1568" t="n"/>
      <c r="D171" s="783" t="n"/>
      <c r="E171" s="783" t="n"/>
      <c r="F171" s="1568" t="n"/>
      <c r="G171" s="87" t="n"/>
      <c r="H171" s="785" t="n"/>
      <c r="K171" s="1568" t="n"/>
      <c r="L171" s="1610" t="n"/>
      <c r="M171" s="1610" t="n"/>
      <c r="N171" s="1374" t="n"/>
      <c r="O171" s="1604" t="n"/>
      <c r="P171" s="1604" t="n"/>
      <c r="S171" s="1568" t="n"/>
    </row>
    <row r="172">
      <c r="B172" s="1708" t="n"/>
      <c r="C172" s="1568" t="n"/>
      <c r="D172" s="783" t="n"/>
      <c r="E172" s="783" t="n"/>
      <c r="F172" s="1568" t="n"/>
      <c r="G172" s="87" t="n"/>
      <c r="H172" s="785" t="n"/>
      <c r="K172" s="1568" t="n"/>
      <c r="L172" s="1610" t="n"/>
      <c r="M172" s="1610" t="n"/>
      <c r="N172" s="1374" t="n"/>
      <c r="O172" s="1604" t="n"/>
      <c r="P172" s="1604" t="n"/>
      <c r="S172" s="1568" t="n"/>
    </row>
    <row r="173">
      <c r="B173" s="1708" t="n"/>
      <c r="C173" s="1568" t="n"/>
      <c r="D173" s="783" t="n"/>
      <c r="E173" s="783" t="n"/>
      <c r="F173" s="1568" t="n"/>
      <c r="G173" s="87" t="n"/>
      <c r="H173" s="785" t="n"/>
      <c r="K173" s="1568" t="n"/>
      <c r="L173" s="1610" t="n"/>
      <c r="N173" s="1374" t="n"/>
      <c r="O173" s="1604" t="n"/>
      <c r="P173" s="1604" t="n"/>
      <c r="S173" s="1568" t="n"/>
    </row>
    <row r="174">
      <c r="B174" s="1708" t="n">
        <v>45797</v>
      </c>
      <c r="C174" s="1568" t="inlineStr">
        <is>
          <t>LE Kenilworth</t>
        </is>
      </c>
      <c r="D174" s="783" t="inlineStr">
        <is>
          <t>Kenilworth</t>
        </is>
      </c>
      <c r="E174" s="783" t="inlineStr">
        <is>
          <t>2.5hrs</t>
        </is>
      </c>
      <c r="F174" s="1568" t="inlineStr">
        <is>
          <t>JLR</t>
        </is>
      </c>
      <c r="G174" s="87" t="inlineStr">
        <is>
          <t>IIY#6417108331471ZVj</t>
        </is>
      </c>
      <c r="H174" s="785" t="n">
        <v>45729</v>
      </c>
      <c r="I174" s="1696" t="n">
        <v>0</v>
      </c>
      <c r="J174" s="1697" t="n">
        <v>50</v>
      </c>
      <c r="K174" s="1568" t="n"/>
      <c r="L174" s="1610" t="inlineStr">
        <is>
          <t>Erick Hernandez Baca</t>
        </is>
      </c>
      <c r="N174" s="1374" t="inlineStr">
        <is>
          <t>ehernand@jaguarlandrover.com</t>
        </is>
      </c>
      <c r="O174" s="1604" t="n"/>
      <c r="P174" s="1604" t="n"/>
      <c r="S174" s="1568" t="n"/>
    </row>
    <row r="175">
      <c r="B175" s="1708" t="n">
        <v>45797</v>
      </c>
      <c r="C175" s="1568" t="inlineStr">
        <is>
          <t>LE Kenilworth</t>
        </is>
      </c>
      <c r="D175" s="783" t="inlineStr">
        <is>
          <t>Kenilworth</t>
        </is>
      </c>
      <c r="E175" s="783" t="inlineStr">
        <is>
          <t>2.5hrs</t>
        </is>
      </c>
      <c r="F175" s="1568" t="inlineStr">
        <is>
          <t>JLR</t>
        </is>
      </c>
      <c r="G175" s="87" t="inlineStr">
        <is>
          <t>IIY#4022261721471rXd</t>
        </is>
      </c>
      <c r="H175" s="785" t="n">
        <v>45729</v>
      </c>
      <c r="I175" s="1696" t="n">
        <v>0</v>
      </c>
      <c r="J175" s="1697" t="n">
        <v>50</v>
      </c>
      <c r="K175" s="1568" t="n"/>
      <c r="L175" s="1610" t="inlineStr">
        <is>
          <t>Fatih Sagdic</t>
        </is>
      </c>
      <c r="N175" s="1374" t="inlineStr">
        <is>
          <t>fsagdic1@jaguarlandrover.com</t>
        </is>
      </c>
      <c r="O175" s="1604" t="n"/>
      <c r="P175" s="1604" t="inlineStr">
        <is>
          <t>074256621107</t>
        </is>
      </c>
      <c r="S175" s="1568" t="n"/>
    </row>
    <row r="176">
      <c r="B176" s="1708" t="n">
        <v>45797</v>
      </c>
      <c r="C176" s="1568" t="inlineStr">
        <is>
          <t>LE Kenilworth</t>
        </is>
      </c>
      <c r="D176" s="783" t="inlineStr">
        <is>
          <t>Kenilworth</t>
        </is>
      </c>
      <c r="E176" s="543" t="inlineStr">
        <is>
          <t>2.5hrs</t>
        </is>
      </c>
      <c r="F176" s="543" t="inlineStr">
        <is>
          <t>Google</t>
        </is>
      </c>
      <c r="G176" s="1646" t="inlineStr">
        <is>
          <t>#02864</t>
        </is>
      </c>
      <c r="H176" s="97" t="n">
        <v>45549</v>
      </c>
      <c r="I176" s="1647" t="n">
        <v>50</v>
      </c>
      <c r="J176" s="1646" t="n">
        <v>0</v>
      </c>
      <c r="K176" s="1114" t="inlineStr">
        <is>
          <t>Mr</t>
        </is>
      </c>
      <c r="L176" s="1114" t="inlineStr">
        <is>
          <t>Keir</t>
        </is>
      </c>
      <c r="M176" s="1114" t="inlineStr">
        <is>
          <t>Tyson</t>
        </is>
      </c>
      <c r="N176" s="1501" t="inlineStr">
        <is>
          <t>k.rosstyson2@gmail.com</t>
        </is>
      </c>
      <c r="O176" s="1115" t="inlineStr">
        <is>
          <t>25</t>
        </is>
      </c>
      <c r="P176" s="1115" t="inlineStr">
        <is>
          <t>07583548682</t>
        </is>
      </c>
      <c r="Q176" s="543" t="inlineStr">
        <is>
          <t>CV23 9DL</t>
        </is>
      </c>
      <c r="R176" s="1707" t="inlineStr">
        <is>
          <t>11 Garratt Close</t>
        </is>
      </c>
      <c r="S176" s="1646" t="inlineStr">
        <is>
          <t>Rugby</t>
        </is>
      </c>
    </row>
    <row r="177">
      <c r="B177" s="1708" t="n">
        <v>45797</v>
      </c>
      <c r="C177" s="1568" t="inlineStr">
        <is>
          <t>LE Kenilworth</t>
        </is>
      </c>
      <c r="D177" s="783" t="inlineStr">
        <is>
          <t>Kenilworth</t>
        </is>
      </c>
      <c r="E177" s="783" t="inlineStr">
        <is>
          <t>2.5hrs</t>
        </is>
      </c>
      <c r="F177" s="1568" t="inlineStr">
        <is>
          <t>JLR</t>
        </is>
      </c>
      <c r="G177" s="1646" t="inlineStr">
        <is>
          <t>IIY#2260666122471YAE</t>
        </is>
      </c>
      <c r="H177" s="97" t="n">
        <v>45734</v>
      </c>
      <c r="I177" s="1647" t="n">
        <v>0</v>
      </c>
      <c r="J177" s="1646" t="n">
        <v>50</v>
      </c>
      <c r="K177" s="1114" t="n"/>
      <c r="L177" s="1114" t="inlineStr">
        <is>
          <t>Ioannis Zaproudis</t>
        </is>
      </c>
      <c r="M177" s="1114" t="n"/>
      <c r="N177" s="1501" t="inlineStr">
        <is>
          <t>izaproud@jaguarlandrover.com</t>
        </is>
      </c>
      <c r="O177" s="1115" t="n"/>
      <c r="P177" s="1115" t="inlineStr">
        <is>
          <t>07729001782</t>
        </is>
      </c>
      <c r="Q177" s="543" t="n"/>
      <c r="R177" s="1707" t="n"/>
      <c r="S177" s="1646" t="n"/>
    </row>
    <row r="178">
      <c r="B178" s="1708" t="n">
        <v>45797</v>
      </c>
      <c r="C178" s="1568" t="inlineStr">
        <is>
          <t>LE Kenilworth</t>
        </is>
      </c>
      <c r="D178" s="783" t="inlineStr">
        <is>
          <t>Kenilworth</t>
        </is>
      </c>
      <c r="E178" s="783" t="inlineStr">
        <is>
          <t>2.5hrs</t>
        </is>
      </c>
      <c r="F178" s="1568" t="inlineStr">
        <is>
          <t>JLR</t>
        </is>
      </c>
      <c r="G178" s="1646" t="inlineStr">
        <is>
          <t>IIY#4151414452471iLl</t>
        </is>
      </c>
      <c r="H178" s="97" t="n">
        <v>45737</v>
      </c>
      <c r="I178" s="1647" t="n">
        <v>0</v>
      </c>
      <c r="J178" s="1646" t="n">
        <v>50</v>
      </c>
      <c r="K178" s="1114" t="n"/>
      <c r="L178" s="1114" t="inlineStr">
        <is>
          <t>Ian Burns</t>
        </is>
      </c>
      <c r="M178" s="1114" t="n"/>
      <c r="N178" s="1501" t="inlineStr">
        <is>
          <t>iburns1@jaguarlandrover.com</t>
        </is>
      </c>
      <c r="O178" s="1115" t="n"/>
      <c r="P178" s="1115" t="inlineStr">
        <is>
          <t xml:space="preserve">07881-260433 </t>
        </is>
      </c>
      <c r="Q178" s="543" t="n"/>
      <c r="R178" s="1707" t="n"/>
      <c r="S178" s="1646" t="n"/>
    </row>
    <row r="179">
      <c r="B179" s="1708" t="n">
        <v>45797</v>
      </c>
      <c r="C179" s="1568" t="inlineStr">
        <is>
          <t>LE Kenilworth</t>
        </is>
      </c>
      <c r="D179" s="783" t="inlineStr">
        <is>
          <t>Kenilworth</t>
        </is>
      </c>
      <c r="E179" s="783" t="inlineStr">
        <is>
          <t>2.5hrs</t>
        </is>
      </c>
      <c r="F179" s="1568" t="inlineStr">
        <is>
          <t>JLR</t>
        </is>
      </c>
      <c r="G179" s="87" t="inlineStr">
        <is>
          <t>IIY#77471918034710nw</t>
        </is>
      </c>
      <c r="H179" s="785" t="n">
        <v>45744</v>
      </c>
      <c r="I179" s="1696" t="n">
        <v>0</v>
      </c>
      <c r="J179" s="1697" t="n">
        <v>50</v>
      </c>
      <c r="K179" s="1568" t="n"/>
      <c r="L179" s="1610" t="inlineStr">
        <is>
          <t>Ana Arce</t>
        </is>
      </c>
      <c r="N179" s="1374" t="inlineStr">
        <is>
          <t>aarce@jaguarlandrover.com</t>
        </is>
      </c>
      <c r="O179" s="1604" t="n"/>
      <c r="P179" s="1604" t="inlineStr">
        <is>
          <t>07341705046</t>
        </is>
      </c>
      <c r="S179" s="1568" t="n"/>
    </row>
    <row r="180">
      <c r="B180" s="1708" t="n">
        <v>45797</v>
      </c>
      <c r="C180" s="1646" t="inlineStr">
        <is>
          <t>LE Kenilworth</t>
        </is>
      </c>
      <c r="D180" s="783" t="inlineStr">
        <is>
          <t>Kenilworth</t>
        </is>
      </c>
      <c r="E180" s="783" t="inlineStr">
        <is>
          <t>2.5hrs</t>
        </is>
      </c>
      <c r="F180" s="1646" t="inlineStr">
        <is>
          <t>JLR</t>
        </is>
      </c>
      <c r="G180" s="637" t="inlineStr">
        <is>
          <t>IIY#67958750424717Z8</t>
        </is>
      </c>
      <c r="H180" s="785" t="n">
        <v>45750</v>
      </c>
      <c r="I180" s="1647" t="n">
        <v>0</v>
      </c>
      <c r="J180" s="1646" t="n">
        <v>50</v>
      </c>
      <c r="K180" s="1568" t="n"/>
      <c r="L180" s="1610" t="inlineStr">
        <is>
          <t>Satyam Narine</t>
        </is>
      </c>
      <c r="N180" s="1374" t="inlineStr">
        <is>
          <t>snarine1@jaguarlandrover.com</t>
        </is>
      </c>
      <c r="O180" s="1604" t="n"/>
      <c r="P180" s="1604" t="inlineStr">
        <is>
          <t>07483246020</t>
        </is>
      </c>
      <c r="S180" s="1568" t="n"/>
    </row>
    <row r="181">
      <c r="B181" s="1708" t="n">
        <v>45797</v>
      </c>
      <c r="C181" s="1568" t="inlineStr">
        <is>
          <t>LE Kenilworth</t>
        </is>
      </c>
      <c r="D181" s="783" t="inlineStr">
        <is>
          <t>Kenilworth</t>
        </is>
      </c>
      <c r="E181" s="783" t="inlineStr">
        <is>
          <t>2.5hrs</t>
        </is>
      </c>
      <c r="F181" s="1568" t="inlineStr">
        <is>
          <t>JLR</t>
        </is>
      </c>
      <c r="G181" s="87" t="inlineStr">
        <is>
          <t>IIY#3098058243471XTv</t>
        </is>
      </c>
      <c r="H181" s="785" t="n">
        <v>45751</v>
      </c>
      <c r="I181" s="1696" t="n">
        <v>0</v>
      </c>
      <c r="J181" s="1697" t="n">
        <v>50</v>
      </c>
      <c r="K181" s="1568" t="n"/>
      <c r="L181" s="1610" t="inlineStr">
        <is>
          <t>Ana Alexa</t>
        </is>
      </c>
      <c r="N181" s="1374" t="inlineStr">
        <is>
          <t>aalexa1@jaguarlandrover.com</t>
        </is>
      </c>
      <c r="O181" s="1604" t="n"/>
      <c r="P181" s="1604" t="inlineStr">
        <is>
          <t xml:space="preserve">07469517496 </t>
        </is>
      </c>
      <c r="S181" s="1568" t="n"/>
    </row>
    <row r="183">
      <c r="B183" s="1708" t="n"/>
      <c r="C183" s="1568" t="n"/>
      <c r="D183" s="1568" t="n"/>
      <c r="F183" s="1568" t="n"/>
      <c r="G183" s="87" t="n"/>
      <c r="H183" s="785" t="n"/>
      <c r="K183" s="1568" t="n"/>
      <c r="L183" s="1610" t="n"/>
      <c r="N183" s="1374" t="n"/>
      <c r="O183" s="1604" t="n"/>
      <c r="P183" s="1604" t="n"/>
      <c r="S183" s="1568" t="n"/>
    </row>
    <row r="184">
      <c r="B184" s="1708" t="n"/>
      <c r="C184" s="1568" t="n"/>
      <c r="D184" s="1568" t="n"/>
      <c r="F184" s="1568" t="n"/>
      <c r="G184" s="87" t="n"/>
      <c r="H184" s="785" t="n"/>
      <c r="K184" s="1568" t="n"/>
      <c r="L184" s="1610" t="n"/>
      <c r="N184" s="1374" t="n"/>
      <c r="O184" s="1604" t="n"/>
      <c r="P184" s="1604" t="n"/>
      <c r="S184" s="1568" t="n"/>
    </row>
    <row r="185">
      <c r="B185" s="1708" t="n"/>
      <c r="C185" s="1568" t="n"/>
      <c r="D185" s="1568" t="n"/>
      <c r="F185" s="1568" t="n"/>
      <c r="G185" s="87" t="n"/>
      <c r="H185" s="785" t="n"/>
      <c r="K185" s="1568" t="n"/>
      <c r="L185" s="1610" t="n"/>
      <c r="N185" s="1374" t="n"/>
      <c r="O185" s="1604" t="n"/>
      <c r="P185" s="1604" t="n"/>
      <c r="S185" s="1568" t="n"/>
    </row>
    <row r="186">
      <c r="B186" s="1708" t="n">
        <v>45801</v>
      </c>
      <c r="C186" s="1568" t="inlineStr">
        <is>
          <t>Peak District</t>
        </is>
      </c>
      <c r="D186" s="1568" t="inlineStr">
        <is>
          <t>Padley And Bolehill</t>
        </is>
      </c>
      <c r="F186" s="1568" t="inlineStr">
        <is>
          <t>Into the Blue</t>
        </is>
      </c>
      <c r="G186" s="1051" t="inlineStr">
        <is>
          <t>2401090722</t>
        </is>
      </c>
      <c r="H186" s="785" t="n">
        <v>45532</v>
      </c>
      <c r="I186" s="1696" t="n">
        <v>120</v>
      </c>
      <c r="J186" s="1697" t="n">
        <v>0</v>
      </c>
      <c r="K186" s="1568" t="inlineStr">
        <is>
          <t>Ms</t>
        </is>
      </c>
      <c r="L186" s="1610" t="inlineStr">
        <is>
          <t xml:space="preserve">Sabina </t>
        </is>
      </c>
      <c r="M186" s="1610" t="inlineStr">
        <is>
          <t>Badiani</t>
        </is>
      </c>
      <c r="N186" s="1374" t="inlineStr">
        <is>
          <t>sabina_004@hotmail.com</t>
        </is>
      </c>
    </row>
    <row r="187">
      <c r="B187" s="1708" t="n">
        <v>45801</v>
      </c>
      <c r="C187" s="1568" t="inlineStr">
        <is>
          <t>Peak District</t>
        </is>
      </c>
      <c r="D187" s="1568" t="inlineStr">
        <is>
          <t>Padley And Bolehill</t>
        </is>
      </c>
      <c r="F187" s="1568" t="inlineStr">
        <is>
          <t>JLR</t>
        </is>
      </c>
      <c r="G187" s="505" t="inlineStr">
        <is>
          <t>IIY#8988287613471NiN</t>
        </is>
      </c>
      <c r="H187" s="785" t="n">
        <v>45745</v>
      </c>
      <c r="I187" s="1696" t="n">
        <v>0</v>
      </c>
      <c r="J187" s="1697" t="n">
        <v>150</v>
      </c>
      <c r="L187" s="1711" t="inlineStr">
        <is>
          <t>Lee Tasker</t>
        </is>
      </c>
      <c r="N187" s="1374" t="inlineStr">
        <is>
          <t>ltasker@jaguarlandrover.com</t>
        </is>
      </c>
    </row>
    <row r="188">
      <c r="B188" s="1708" t="n">
        <v>45801</v>
      </c>
      <c r="C188" s="1568" t="inlineStr">
        <is>
          <t>Peak District</t>
        </is>
      </c>
      <c r="D188" s="1568" t="inlineStr">
        <is>
          <t>Padley And Bolehill</t>
        </is>
      </c>
      <c r="F188" s="1568" t="inlineStr">
        <is>
          <t>JLR</t>
        </is>
      </c>
      <c r="G188" s="87" t="inlineStr">
        <is>
          <t>IIY#3737889129371bUM</t>
        </is>
      </c>
      <c r="H188" s="785" t="n">
        <v>45699</v>
      </c>
      <c r="J188" s="1697" t="n">
        <v>150</v>
      </c>
      <c r="K188" s="1568" t="inlineStr">
        <is>
          <t>Mr</t>
        </is>
      </c>
      <c r="L188" s="1610" t="inlineStr">
        <is>
          <t xml:space="preserve">Paul </t>
        </is>
      </c>
      <c r="M188" s="1711" t="inlineStr">
        <is>
          <t>Jackson</t>
        </is>
      </c>
      <c r="N188" s="1374" t="inlineStr">
        <is>
          <t>pjacks36@jaguarlandrover.com</t>
        </is>
      </c>
      <c r="O188" s="1604" t="n"/>
      <c r="P188" s="1604" t="inlineStr">
        <is>
          <t>07400153771</t>
        </is>
      </c>
      <c r="Q188" s="1374" t="inlineStr">
        <is>
          <t>pjacks1969@gmail.com</t>
        </is>
      </c>
      <c r="S188" s="1568" t="n"/>
    </row>
    <row r="189">
      <c r="B189" s="1708" t="n">
        <v>45801</v>
      </c>
      <c r="C189" s="1568" t="inlineStr">
        <is>
          <t>Peak District</t>
        </is>
      </c>
      <c r="D189" s="1568" t="inlineStr">
        <is>
          <t>Padley And Bolehill</t>
        </is>
      </c>
      <c r="F189" s="1568" t="inlineStr">
        <is>
          <t>JLR</t>
        </is>
      </c>
      <c r="G189" s="87" t="inlineStr">
        <is>
          <t>IIY#2883343192471ats</t>
        </is>
      </c>
      <c r="H189" s="785" t="n">
        <v>45742</v>
      </c>
      <c r="J189" s="1697" t="n">
        <v>150</v>
      </c>
      <c r="K189" s="1568" t="n"/>
      <c r="L189" s="1610" t="inlineStr">
        <is>
          <t>Mattia Tosi</t>
        </is>
      </c>
      <c r="N189" s="1374" t="inlineStr">
        <is>
          <t>mtosi1@jaguarlandrover.com</t>
        </is>
      </c>
      <c r="O189" s="1604" t="n"/>
      <c r="P189" s="1604" t="inlineStr">
        <is>
          <t>07923853807</t>
        </is>
      </c>
      <c r="S189" s="1568" t="n"/>
    </row>
    <row r="190">
      <c r="B190" s="1708" t="n">
        <v>45801</v>
      </c>
      <c r="C190" s="1568" t="inlineStr">
        <is>
          <t>Peak District</t>
        </is>
      </c>
      <c r="D190" s="1568" t="inlineStr">
        <is>
          <t>Padley And Bolehill</t>
        </is>
      </c>
      <c r="F190" s="1568" t="inlineStr">
        <is>
          <t>JLR</t>
        </is>
      </c>
      <c r="G190" s="505" t="inlineStr">
        <is>
          <t>IIY#5657288143471Moe</t>
        </is>
      </c>
      <c r="H190" s="785" t="n">
        <v>45747</v>
      </c>
      <c r="J190" s="1697" t="n">
        <v>150</v>
      </c>
      <c r="K190" s="1568" t="n"/>
      <c r="L190" s="1610" t="inlineStr">
        <is>
          <t>Richard Hoar</t>
        </is>
      </c>
      <c r="N190" s="1374" t="inlineStr">
        <is>
          <t>rhoar1@jaguarlandrover.com</t>
        </is>
      </c>
      <c r="O190" s="1604" t="n"/>
      <c r="P190" s="1604" t="inlineStr">
        <is>
          <t>07870 170847</t>
        </is>
      </c>
      <c r="S190" s="1568" t="n"/>
    </row>
    <row r="191">
      <c r="B191" s="1708" t="n">
        <v>45801</v>
      </c>
      <c r="C191" s="1568" t="inlineStr">
        <is>
          <t>Peak District</t>
        </is>
      </c>
      <c r="D191" s="1568" t="inlineStr">
        <is>
          <t>Padley And Bolehill</t>
        </is>
      </c>
      <c r="F191" s="1568" t="inlineStr">
        <is>
          <t>Google</t>
        </is>
      </c>
      <c r="G191" s="1568" t="inlineStr">
        <is>
          <t>#02979</t>
        </is>
      </c>
      <c r="H191" s="785" t="n">
        <v>45745</v>
      </c>
      <c r="I191" s="1696" t="n">
        <v>150</v>
      </c>
      <c r="K191" s="1568" t="inlineStr">
        <is>
          <t>Ms</t>
        </is>
      </c>
      <c r="L191" s="1610" t="inlineStr">
        <is>
          <t xml:space="preserve">Gillian </t>
        </is>
      </c>
      <c r="M191" s="1711" t="inlineStr">
        <is>
          <t>Taylor</t>
        </is>
      </c>
      <c r="N191" s="1374" t="inlineStr">
        <is>
          <t xml:space="preserve">gilliantaylor92@gmail.com </t>
        </is>
      </c>
      <c r="O191" s="1604" t="inlineStr">
        <is>
          <t>59</t>
        </is>
      </c>
      <c r="P191" s="1604" t="inlineStr">
        <is>
          <t>07584850331</t>
        </is>
      </c>
      <c r="Q191" s="1697" t="inlineStr">
        <is>
          <t>Cv23 0ls</t>
        </is>
      </c>
      <c r="R191" s="1697" t="inlineStr">
        <is>
          <t>25 Broad Street</t>
        </is>
      </c>
      <c r="S191" s="1568" t="inlineStr">
        <is>
          <t>Brinklow</t>
        </is>
      </c>
    </row>
    <row r="192">
      <c r="B192" s="1708" t="n">
        <v>45801</v>
      </c>
      <c r="C192" s="1568" t="inlineStr">
        <is>
          <t>Peak District</t>
        </is>
      </c>
      <c r="D192" s="1568" t="inlineStr">
        <is>
          <t>Padley And Bolehill</t>
        </is>
      </c>
      <c r="F192" s="1568" t="inlineStr">
        <is>
          <t>JLR</t>
        </is>
      </c>
      <c r="G192" s="505" t="inlineStr">
        <is>
          <t>IIY#5463948343471pKo</t>
        </is>
      </c>
      <c r="H192" s="785" t="n">
        <v>45753</v>
      </c>
      <c r="I192" s="1696" t="n">
        <v>0</v>
      </c>
      <c r="J192" s="1697" t="n">
        <v>150</v>
      </c>
      <c r="K192" s="1568" t="n"/>
      <c r="L192" s="1610" t="inlineStr">
        <is>
          <t>Swapnil Khante</t>
        </is>
      </c>
      <c r="N192" s="1374" t="inlineStr">
        <is>
          <t>skhante@jaguarlandrover.com</t>
        </is>
      </c>
      <c r="O192" s="1604" t="n"/>
      <c r="P192" s="1604" t="inlineStr">
        <is>
          <t>07424383215</t>
        </is>
      </c>
      <c r="S192" s="1568" t="n"/>
    </row>
    <row r="193">
      <c r="B193" s="1708" t="n">
        <v>45801</v>
      </c>
      <c r="C193" s="1568" t="inlineStr">
        <is>
          <t>Peak District</t>
        </is>
      </c>
      <c r="D193" s="1568" t="inlineStr">
        <is>
          <t>Padley And Bolehill</t>
        </is>
      </c>
      <c r="F193" s="1568" t="inlineStr">
        <is>
          <t>Google</t>
        </is>
      </c>
      <c r="G193" s="87" t="inlineStr">
        <is>
          <t>#02981</t>
        </is>
      </c>
      <c r="H193" s="785" t="n">
        <v>45755</v>
      </c>
      <c r="I193" s="1696" t="n">
        <v>150</v>
      </c>
      <c r="J193" s="1697" t="n">
        <v>0</v>
      </c>
      <c r="K193" s="1568" t="inlineStr">
        <is>
          <t>Mr</t>
        </is>
      </c>
      <c r="L193" s="1610" t="inlineStr">
        <is>
          <t xml:space="preserve">David </t>
        </is>
      </c>
      <c r="M193" s="1610" t="inlineStr">
        <is>
          <t>Owen</t>
        </is>
      </c>
      <c r="N193" s="1374" t="inlineStr">
        <is>
          <t>d.h.o@btinternet.com</t>
        </is>
      </c>
      <c r="O193" s="1604" t="inlineStr">
        <is>
          <t>61</t>
        </is>
      </c>
      <c r="P193" s="1604" t="inlineStr">
        <is>
          <t>07970699712</t>
        </is>
      </c>
      <c r="Q193" s="1697" t="inlineStr">
        <is>
          <t>B93 8JP</t>
        </is>
      </c>
      <c r="R193" s="1697" t="inlineStr">
        <is>
          <t>96 KNOWLE WOOD ROAD</t>
        </is>
      </c>
      <c r="S193" s="1568" t="inlineStr">
        <is>
          <t>Solihull</t>
        </is>
      </c>
    </row>
    <row r="194">
      <c r="B194" s="1753" t="n">
        <v>45801</v>
      </c>
      <c r="C194" s="1643" t="inlineStr">
        <is>
          <t>Peak District</t>
        </is>
      </c>
      <c r="D194" s="1643" t="inlineStr">
        <is>
          <t>Padley And Bolehill</t>
        </is>
      </c>
      <c r="E194" s="1643" t="n"/>
      <c r="F194" s="1643" t="inlineStr">
        <is>
          <t>JLR</t>
        </is>
      </c>
      <c r="G194" s="608" t="inlineStr">
        <is>
          <t>IIY#9849544343471XS0</t>
        </is>
      </c>
      <c r="H194" s="785" t="n">
        <v>45749</v>
      </c>
      <c r="I194" s="1696" t="n">
        <v>0</v>
      </c>
      <c r="J194" s="1643" t="n">
        <v>150</v>
      </c>
      <c r="K194" s="1643" t="n"/>
      <c r="L194" s="1763" t="inlineStr">
        <is>
          <t>Jacinto Carrasco-Munoz Guerra</t>
        </is>
      </c>
      <c r="M194" s="1763" t="n"/>
      <c r="N194" s="1374" t="inlineStr">
        <is>
          <t>jcarras1@jaguarlandrover.com</t>
        </is>
      </c>
      <c r="O194" s="1604" t="n"/>
      <c r="P194" s="1604" t="inlineStr">
        <is>
          <t>07837179945</t>
        </is>
      </c>
      <c r="S194" s="1568" t="n"/>
    </row>
    <row r="196">
      <c r="B196" s="1708" t="n"/>
      <c r="C196" s="1568" t="n"/>
      <c r="D196" s="1568" t="n"/>
      <c r="F196" s="1568" t="n"/>
      <c r="H196" s="785" t="n"/>
      <c r="K196" s="1568" t="n"/>
      <c r="L196" s="1610" t="n"/>
      <c r="N196" s="1374" t="n"/>
      <c r="O196" s="1604" t="n"/>
      <c r="P196" s="1604" t="n"/>
      <c r="S196" s="1568" t="n"/>
    </row>
    <row r="197">
      <c r="P197" s="1604" t="n"/>
      <c r="S197" s="1568" t="n"/>
    </row>
    <row r="198">
      <c r="B198" s="1708" t="n"/>
      <c r="C198" s="783" t="n"/>
      <c r="D198" s="1568" t="n"/>
      <c r="E198" s="1568" t="n"/>
      <c r="F198" s="1568" t="n"/>
      <c r="H198" s="785" t="n"/>
      <c r="K198" s="1646" t="n"/>
      <c r="L198" s="1705" t="n"/>
      <c r="M198" s="1706" t="n"/>
      <c r="N198" s="549" t="n"/>
      <c r="O198" s="1604" t="n"/>
      <c r="P198" s="1604" t="n"/>
      <c r="S198" s="1568" t="n"/>
    </row>
    <row r="199">
      <c r="B199" s="1708" t="n"/>
      <c r="C199" s="783" t="n"/>
      <c r="D199" s="1568" t="n"/>
      <c r="E199" s="1568" t="n"/>
      <c r="F199" s="1568" t="n"/>
      <c r="H199" s="785" t="n"/>
      <c r="K199" s="1646" t="n"/>
      <c r="L199" s="1705" t="n"/>
      <c r="M199" s="1706" t="n"/>
      <c r="N199" s="549" t="n"/>
      <c r="O199" s="1604" t="n"/>
      <c r="P199" s="1604" t="n"/>
      <c r="S199" s="1568" t="n"/>
    </row>
    <row r="200">
      <c r="B200" s="1708" t="n">
        <v>45806</v>
      </c>
      <c r="C200" s="1568" t="inlineStr">
        <is>
          <t>Chesterton Windmill</t>
        </is>
      </c>
      <c r="D200" s="1568" t="n"/>
      <c r="F200" s="1568" t="inlineStr">
        <is>
          <t>JLR</t>
        </is>
      </c>
      <c r="G200" s="87" t="inlineStr">
        <is>
          <t>IIY#6307468761471O4c</t>
        </is>
      </c>
      <c r="H200" s="785" t="n">
        <v>45728</v>
      </c>
      <c r="I200" s="1696" t="n">
        <v>0</v>
      </c>
      <c r="J200" s="1697" t="n">
        <v>50</v>
      </c>
      <c r="K200" s="1568" t="n"/>
      <c r="L200" s="1610" t="inlineStr">
        <is>
          <t>Rowan Floyd</t>
        </is>
      </c>
      <c r="N200" s="1374" t="inlineStr">
        <is>
          <t>rfloyd3@jaguarlandrover.com</t>
        </is>
      </c>
      <c r="O200" s="1604" t="n"/>
      <c r="P200" s="1604" t="inlineStr">
        <is>
          <t>07722 445355</t>
        </is>
      </c>
      <c r="S200" s="1568" t="n"/>
    </row>
    <row r="201">
      <c r="B201" s="1708" t="n">
        <v>45806</v>
      </c>
      <c r="C201" s="1568" t="inlineStr">
        <is>
          <t>Chesterton Windmill</t>
        </is>
      </c>
      <c r="D201" s="1568" t="n"/>
      <c r="F201" s="1568" t="inlineStr">
        <is>
          <t>JLR</t>
        </is>
      </c>
      <c r="G201" s="87" t="inlineStr">
        <is>
          <t>IIY#1425089912471xHh</t>
        </is>
      </c>
      <c r="H201" s="785" t="n">
        <v>45733</v>
      </c>
      <c r="I201" s="1696" t="n">
        <v>0</v>
      </c>
      <c r="J201" s="1697" t="n">
        <v>50</v>
      </c>
      <c r="K201" s="1568" t="n"/>
      <c r="L201" s="1610" t="inlineStr">
        <is>
          <t>Gregory Moys</t>
        </is>
      </c>
      <c r="N201" s="1374" t="inlineStr">
        <is>
          <t>gmoys@jaguarlandrover.com</t>
        </is>
      </c>
      <c r="O201" s="1604" t="n"/>
      <c r="P201" s="1604" t="inlineStr">
        <is>
          <t>07597716914</t>
        </is>
      </c>
      <c r="S201" s="1568" t="n"/>
    </row>
    <row r="202">
      <c r="B202" s="1708" t="n">
        <v>45806</v>
      </c>
      <c r="C202" s="1568" t="inlineStr">
        <is>
          <t>Chesterton Windmill</t>
        </is>
      </c>
      <c r="D202" s="1568" t="n"/>
      <c r="F202" s="1568" t="inlineStr">
        <is>
          <t>JLR</t>
        </is>
      </c>
      <c r="G202" s="87" t="inlineStr">
        <is>
          <t>IIY#3166518642471ZHH</t>
        </is>
      </c>
      <c r="H202" s="785" t="n">
        <v>45736</v>
      </c>
      <c r="I202" s="1696" t="n">
        <v>0</v>
      </c>
      <c r="J202" s="1697" t="n">
        <v>50</v>
      </c>
      <c r="K202" s="1568" t="n"/>
      <c r="L202" s="1610" t="inlineStr">
        <is>
          <t>Pratik Vaishnao</t>
        </is>
      </c>
      <c r="N202" s="1374" t="inlineStr">
        <is>
          <t>pvaishn1@jaguarlandrover.com</t>
        </is>
      </c>
      <c r="O202" s="1604" t="n"/>
      <c r="P202" s="1604" t="inlineStr">
        <is>
          <t>447887076922</t>
        </is>
      </c>
      <c r="S202" s="1568" t="n"/>
    </row>
    <row r="203">
      <c r="B203" s="1708" t="n">
        <v>45806</v>
      </c>
      <c r="C203" s="1568" t="inlineStr">
        <is>
          <t>Chesterton Windmill</t>
        </is>
      </c>
      <c r="D203" s="1568" t="n"/>
      <c r="F203" s="1568" t="inlineStr">
        <is>
          <t>JLR</t>
        </is>
      </c>
      <c r="G203" s="87" t="inlineStr">
        <is>
          <t>IIY#26373647424712a7</t>
        </is>
      </c>
      <c r="H203" s="785" t="n">
        <v>45737</v>
      </c>
      <c r="I203" s="1696" t="n">
        <v>0</v>
      </c>
      <c r="J203" s="1697" t="n">
        <v>50</v>
      </c>
      <c r="K203" s="1568" t="n"/>
      <c r="L203" s="1610" t="inlineStr">
        <is>
          <t>Sara Roberts</t>
        </is>
      </c>
      <c r="N203" s="1374" t="inlineStr">
        <is>
          <t>srickar3@jaguarlandrover.com</t>
        </is>
      </c>
      <c r="O203" s="1604" t="n"/>
      <c r="P203" s="1604" t="inlineStr">
        <is>
          <t>07469021178</t>
        </is>
      </c>
      <c r="Q203" s="1697" t="inlineStr">
        <is>
          <t>saz.rickards@gmail.com</t>
        </is>
      </c>
      <c r="S203" s="1568" t="n"/>
    </row>
    <row r="204">
      <c r="B204" s="1708" t="n">
        <v>45806</v>
      </c>
      <c r="C204" s="1568" t="inlineStr">
        <is>
          <t>Chesterton Windmill</t>
        </is>
      </c>
      <c r="D204" s="1568" t="n"/>
      <c r="F204" s="1568" t="inlineStr">
        <is>
          <t>JLR</t>
        </is>
      </c>
      <c r="G204" s="87" t="inlineStr">
        <is>
          <t>IIY#65903731824710Nr</t>
        </is>
      </c>
      <c r="H204" s="785" t="n">
        <v>45741</v>
      </c>
      <c r="I204" s="1696" t="n">
        <v>0</v>
      </c>
      <c r="J204" s="1697" t="n">
        <v>50</v>
      </c>
      <c r="K204" s="1568" t="n"/>
      <c r="L204" s="1610" t="inlineStr">
        <is>
          <t>Douglas Demori</t>
        </is>
      </c>
      <c r="N204" s="1374" t="inlineStr">
        <is>
          <t>ddemori@jaguarlandrover.com</t>
        </is>
      </c>
      <c r="O204" s="1604" t="n"/>
      <c r="P204" s="1604" t="n"/>
      <c r="S204" s="1568" t="n"/>
    </row>
    <row r="205">
      <c r="B205" s="1708" t="n">
        <v>45806</v>
      </c>
      <c r="C205" s="1568" t="inlineStr">
        <is>
          <t>Chesterton Windmill</t>
        </is>
      </c>
      <c r="D205" s="1568" t="n"/>
      <c r="F205" s="1568" t="inlineStr">
        <is>
          <t>JLR</t>
        </is>
      </c>
      <c r="G205" s="87" t="inlineStr">
        <is>
          <t>IIY#8993165182471If5</t>
        </is>
      </c>
      <c r="H205" s="785" t="n">
        <v>45741</v>
      </c>
      <c r="I205" s="1696" t="n">
        <v>0</v>
      </c>
      <c r="J205" s="1697" t="n">
        <v>50</v>
      </c>
      <c r="K205" s="1568" t="n"/>
      <c r="L205" s="1610" t="inlineStr">
        <is>
          <t>Roger Calvet</t>
        </is>
      </c>
      <c r="N205" s="1374" t="inlineStr">
        <is>
          <t>rcalvet1@jaguarlandrover.com</t>
        </is>
      </c>
      <c r="O205" s="1604" t="n"/>
      <c r="P205" s="1604" t="inlineStr">
        <is>
          <t>07563022218</t>
        </is>
      </c>
      <c r="S205" s="1568" t="n"/>
    </row>
    <row r="206">
      <c r="B206" s="1708" t="n">
        <v>45806</v>
      </c>
      <c r="C206" s="1568" t="inlineStr">
        <is>
          <t>Chesterton Windmill</t>
        </is>
      </c>
      <c r="D206" s="1568" t="n"/>
      <c r="F206" s="1568" t="inlineStr">
        <is>
          <t>JLR</t>
        </is>
      </c>
      <c r="G206" s="87" t="inlineStr">
        <is>
          <t>IIY#367673681347190K</t>
        </is>
      </c>
      <c r="H206" s="785" t="n">
        <v>45745</v>
      </c>
      <c r="I206" s="1696" t="n">
        <v>0</v>
      </c>
      <c r="J206" s="1697" t="n">
        <v>50</v>
      </c>
      <c r="K206" s="1568" t="n"/>
      <c r="L206" s="1610" t="inlineStr">
        <is>
          <t>Steven Martin</t>
        </is>
      </c>
      <c r="N206" s="1374" t="inlineStr">
        <is>
          <t>smarti19@jaguarlandrover.com</t>
        </is>
      </c>
      <c r="O206" s="1604" t="n"/>
      <c r="P206" s="1604" t="inlineStr">
        <is>
          <t>07813070376</t>
        </is>
      </c>
      <c r="S206" s="1568" t="n"/>
    </row>
    <row r="207">
      <c r="B207" s="1708" t="n"/>
      <c r="C207" s="1568" t="n"/>
      <c r="D207" s="1568" t="n"/>
      <c r="F207" s="1568" t="n"/>
      <c r="G207" s="87" t="n"/>
      <c r="H207" s="785" t="n"/>
      <c r="K207" s="1568" t="n"/>
      <c r="L207" s="1610" t="n"/>
      <c r="N207" s="1374" t="n"/>
      <c r="O207" s="1604" t="n"/>
      <c r="P207" s="1604" t="n"/>
      <c r="S207" s="1568" t="n"/>
    </row>
    <row r="208">
      <c r="B208" s="1708" t="n"/>
      <c r="C208" s="1568" t="n"/>
      <c r="D208" s="1568" t="n"/>
      <c r="F208" s="1568" t="n"/>
      <c r="G208" s="87" t="n"/>
      <c r="H208" s="785" t="n"/>
      <c r="K208" s="1568" t="n"/>
      <c r="L208" s="1610" t="n"/>
      <c r="N208" s="1374" t="n"/>
      <c r="O208" s="1604" t="n"/>
      <c r="P208" s="1604" t="n"/>
      <c r="S208" s="1568" t="n"/>
    </row>
    <row r="209">
      <c r="B209" s="1708" t="n">
        <v>45807</v>
      </c>
      <c r="C209" s="1568" t="inlineStr">
        <is>
          <t>Sezincote Garden Photography - Mughal palace in Cotswolds</t>
        </is>
      </c>
      <c r="D209" s="1568" t="inlineStr">
        <is>
          <t>11:00 - 13:30</t>
        </is>
      </c>
      <c r="F209" s="1568" t="inlineStr">
        <is>
          <t>JLR</t>
        </is>
      </c>
      <c r="G209" s="87" t="inlineStr">
        <is>
          <t>IIY#8534084518371fc3</t>
        </is>
      </c>
      <c r="H209" s="785" t="n">
        <v>45686</v>
      </c>
      <c r="I209" s="1696" t="n">
        <v>0</v>
      </c>
      <c r="J209" s="1697" t="n">
        <v>60</v>
      </c>
      <c r="K209" s="1568" t="inlineStr">
        <is>
          <t>Ms</t>
        </is>
      </c>
      <c r="L209" s="1610" t="inlineStr">
        <is>
          <t>Sara</t>
        </is>
      </c>
      <c r="M209" s="1610" t="inlineStr">
        <is>
          <t>Roberts</t>
        </is>
      </c>
      <c r="N209" s="1374" t="inlineStr">
        <is>
          <t>saz.rickards@gmail.com</t>
        </is>
      </c>
      <c r="O209" s="1604" t="n"/>
      <c r="P209" s="1604" t="inlineStr">
        <is>
          <t>07469021178</t>
        </is>
      </c>
      <c r="Q209" s="1697" t="inlineStr">
        <is>
          <t>saz.rickards@gmail.com</t>
        </is>
      </c>
      <c r="S209" s="1568" t="n"/>
    </row>
    <row r="210">
      <c r="B210" s="1708" t="n">
        <v>45807</v>
      </c>
      <c r="C210" s="1568" t="inlineStr">
        <is>
          <t>Sezincote Garden Photography - Mughal palace in Cotswolds</t>
        </is>
      </c>
      <c r="D210" s="1568" t="inlineStr">
        <is>
          <t>11:00 - 13:30</t>
        </is>
      </c>
      <c r="F210" s="1568" t="n"/>
      <c r="G210" s="87" t="n"/>
      <c r="H210" s="785" t="n">
        <v>45687</v>
      </c>
      <c r="I210" s="1696" t="n">
        <v>55</v>
      </c>
      <c r="J210" s="1696" t="n">
        <v>0</v>
      </c>
      <c r="K210" s="1568" t="inlineStr">
        <is>
          <t>Mr</t>
        </is>
      </c>
      <c r="L210" s="1610" t="inlineStr">
        <is>
          <t>Gwyn</t>
        </is>
      </c>
      <c r="M210" s="1610" t="inlineStr">
        <is>
          <t>Jones</t>
        </is>
      </c>
      <c r="N210" s="1374" t="inlineStr">
        <is>
          <t xml:space="preserve">contact@gwyn.me.uk </t>
        </is>
      </c>
      <c r="O210" s="1604" t="n"/>
      <c r="P210" s="1604" t="inlineStr">
        <is>
          <t>07538552560</t>
        </is>
      </c>
      <c r="S210" s="1568" t="n"/>
    </row>
    <row r="211">
      <c r="B211" s="1708" t="n">
        <v>45807</v>
      </c>
      <c r="C211" s="1568" t="inlineStr">
        <is>
          <t>Sezincote Garden Photography - Mughal palace in Cotswolds</t>
        </is>
      </c>
      <c r="D211" s="1568" t="inlineStr">
        <is>
          <t>11:00 - 13:30</t>
        </is>
      </c>
      <c r="F211" s="1568" t="inlineStr">
        <is>
          <t>JLR</t>
        </is>
      </c>
      <c r="G211" s="87" t="inlineStr">
        <is>
          <t>IIY#7962710892471vkI</t>
        </is>
      </c>
      <c r="H211" s="785" t="n">
        <v>45743</v>
      </c>
      <c r="I211" s="1696" t="n">
        <v>0</v>
      </c>
      <c r="J211" s="1696" t="n">
        <v>60</v>
      </c>
      <c r="K211" s="1568" t="n"/>
      <c r="L211" s="1610" t="inlineStr">
        <is>
          <t>Ian Johnson</t>
        </is>
      </c>
      <c r="M211" s="1610" t="n"/>
      <c r="N211" s="1374" t="inlineStr">
        <is>
          <t>ijohnson@jaguarlandrover.com</t>
        </is>
      </c>
      <c r="O211" s="1604" t="n"/>
      <c r="P211" s="1768" t="inlineStr">
        <is>
          <t>07851 499798</t>
        </is>
      </c>
      <c r="S211" s="1568" t="n"/>
    </row>
    <row r="212">
      <c r="B212" s="1708" t="n">
        <v>45807</v>
      </c>
      <c r="C212" s="1568" t="inlineStr">
        <is>
          <t>Sezincote Garden Photography - Mughal palace in Cotswolds</t>
        </is>
      </c>
      <c r="D212" s="1568" t="inlineStr">
        <is>
          <t>11:00 - 13:30</t>
        </is>
      </c>
      <c r="F212" s="1568" t="inlineStr">
        <is>
          <t>JLR</t>
        </is>
      </c>
      <c r="G212" s="87" t="inlineStr">
        <is>
          <t>IIY#8810649803471fU8</t>
        </is>
      </c>
      <c r="H212" s="785" t="n">
        <v>45745</v>
      </c>
      <c r="I212" s="1696" t="n">
        <v>0</v>
      </c>
      <c r="J212" s="1696" t="n">
        <v>60</v>
      </c>
      <c r="K212" s="1568" t="n"/>
      <c r="L212" s="1610" t="inlineStr">
        <is>
          <t>Chang-Jing Kong</t>
        </is>
      </c>
      <c r="M212" s="1610" t="n"/>
      <c r="N212" s="1374" t="inlineStr">
        <is>
          <t>ckong2@jaguarlandrover.com</t>
        </is>
      </c>
      <c r="O212" s="1604" t="n"/>
      <c r="P212" s="1604" t="inlineStr">
        <is>
          <t>07714457110</t>
        </is>
      </c>
      <c r="S212" s="1568" t="n"/>
    </row>
    <row r="213">
      <c r="B213" s="1708" t="n"/>
      <c r="H213" s="785" t="n"/>
    </row>
    <row r="214">
      <c r="B214" s="1708" t="n"/>
      <c r="H214" s="785" t="n"/>
    </row>
    <row r="215">
      <c r="B215" s="1753" t="n">
        <v>45843</v>
      </c>
      <c r="C215" s="1568" t="inlineStr">
        <is>
          <t>Lavender Fields</t>
        </is>
      </c>
      <c r="D215" s="1568" t="inlineStr">
        <is>
          <t>5th or 19th</t>
        </is>
      </c>
      <c r="F215" s="1568" t="inlineStr">
        <is>
          <t>JLR</t>
        </is>
      </c>
      <c r="G215" s="505" t="inlineStr">
        <is>
          <t>IIY#0879679678371Efw</t>
        </is>
      </c>
      <c r="H215" s="785" t="n">
        <v>45694</v>
      </c>
      <c r="I215" s="1696" t="n">
        <v>0</v>
      </c>
      <c r="J215" s="1697" t="n">
        <v>150</v>
      </c>
      <c r="K215" s="1568" t="inlineStr">
        <is>
          <t>Ms</t>
        </is>
      </c>
      <c r="L215" s="1610" t="inlineStr">
        <is>
          <t>Emily</t>
        </is>
      </c>
      <c r="M215" s="1610" t="inlineStr">
        <is>
          <t>Goodwn</t>
        </is>
      </c>
      <c r="N215" s="1374" t="inlineStr">
        <is>
          <t>egoodwin@jaguarlandrover.com</t>
        </is>
      </c>
    </row>
    <row r="216" ht="29.25" customHeight="1" s="1232">
      <c r="B216" s="1753" t="n">
        <v>45843</v>
      </c>
      <c r="C216" s="1568" t="inlineStr">
        <is>
          <t>Lavender Fields</t>
        </is>
      </c>
      <c r="D216" s="1769" t="inlineStr">
        <is>
          <t>Sat 5th July
Sat 19th July</t>
        </is>
      </c>
      <c r="F216" s="1568" t="inlineStr">
        <is>
          <t>JLR</t>
        </is>
      </c>
      <c r="G216" s="505" t="inlineStr">
        <is>
          <t>IIY#77506642193714Zq</t>
        </is>
      </c>
      <c r="H216" s="785" t="n">
        <v>45698</v>
      </c>
      <c r="I216" s="1696" t="n">
        <v>0</v>
      </c>
      <c r="J216" s="1697" t="n">
        <v>150</v>
      </c>
      <c r="K216" s="1568" t="inlineStr">
        <is>
          <t>Mr</t>
        </is>
      </c>
      <c r="L216" s="1610" t="inlineStr">
        <is>
          <t xml:space="preserve">Miles </t>
        </is>
      </c>
      <c r="M216" s="1610" t="inlineStr">
        <is>
          <t>Pixley</t>
        </is>
      </c>
      <c r="N216" s="291" t="inlineStr">
        <is>
          <t>mpixley@jaguarlandrover.com</t>
        </is>
      </c>
    </row>
    <row r="217">
      <c r="B217" s="1753" t="n">
        <v>45843</v>
      </c>
      <c r="C217" s="1643" t="inlineStr">
        <is>
          <t>Lavender Fields Cancelled 4 July</t>
        </is>
      </c>
      <c r="D217" s="1646" t="inlineStr">
        <is>
          <t>5th</t>
        </is>
      </c>
      <c r="F217" s="1568" t="inlineStr">
        <is>
          <t>JLR</t>
        </is>
      </c>
      <c r="G217" s="505" t="inlineStr">
        <is>
          <t>IIY#7780039770471rma</t>
        </is>
      </c>
      <c r="H217" s="785" t="n">
        <v>45719</v>
      </c>
      <c r="I217" s="1696" t="n">
        <v>0</v>
      </c>
      <c r="J217" s="1697" t="n">
        <v>150</v>
      </c>
      <c r="K217" s="1568" t="n"/>
      <c r="L217" s="1763" t="inlineStr">
        <is>
          <t>Laura Wood</t>
        </is>
      </c>
      <c r="M217" s="1610" t="n"/>
      <c r="N217" s="1374" t="inlineStr">
        <is>
          <t>lwood3@jaguarlandrover.com</t>
        </is>
      </c>
      <c r="P217" s="1604" t="inlineStr">
        <is>
          <t xml:space="preserve">07342 026 099 </t>
        </is>
      </c>
    </row>
    <row r="218" ht="29.25" customHeight="1" s="1232">
      <c r="B218" s="1753" t="n">
        <v>45843</v>
      </c>
      <c r="C218" s="1568" t="inlineStr">
        <is>
          <t>Lavender Fields</t>
        </is>
      </c>
      <c r="D218" s="1769" t="inlineStr">
        <is>
          <t>Sat 5th July
Sat 19th July</t>
        </is>
      </c>
      <c r="F218" s="1568" t="inlineStr">
        <is>
          <t>JLR</t>
        </is>
      </c>
      <c r="G218" s="505" t="inlineStr">
        <is>
          <t>IIY#8952708990471IZP</t>
        </is>
      </c>
      <c r="H218" s="785" t="n">
        <v>45719</v>
      </c>
      <c r="I218" s="1696" t="n">
        <v>0</v>
      </c>
      <c r="J218" s="1697" t="n">
        <v>150</v>
      </c>
      <c r="K218" s="1568" t="n"/>
      <c r="L218" s="1610" t="inlineStr">
        <is>
          <t>Brian Edmonds</t>
        </is>
      </c>
      <c r="M218" s="1610" t="n"/>
      <c r="N218" s="1374" t="inlineStr">
        <is>
          <t>bedmon12@jaguarlandrover.com</t>
        </is>
      </c>
      <c r="P218" s="1604" t="inlineStr">
        <is>
          <t>07717530638</t>
        </is>
      </c>
    </row>
    <row r="220" ht="29.25" customHeight="1" s="1232">
      <c r="B220" s="1753" t="n">
        <v>45843</v>
      </c>
      <c r="C220" s="1568" t="inlineStr">
        <is>
          <t>Lavender Fields</t>
        </is>
      </c>
      <c r="D220" s="1769" t="inlineStr">
        <is>
          <t>Sat 5th July
Sat 19th July</t>
        </is>
      </c>
      <c r="F220" s="1568" t="inlineStr">
        <is>
          <t>JLR</t>
        </is>
      </c>
      <c r="G220" s="505" t="inlineStr">
        <is>
          <t>IIY#8468137971471Sbv</t>
        </is>
      </c>
      <c r="H220" s="785" t="n">
        <v>45729</v>
      </c>
      <c r="I220" s="1696" t="n">
        <v>0</v>
      </c>
      <c r="J220" s="1697" t="n">
        <v>150</v>
      </c>
      <c r="K220" s="1568" t="n"/>
      <c r="L220" s="1610" t="inlineStr">
        <is>
          <t>Gregory Morgan</t>
        </is>
      </c>
      <c r="M220" s="1610" t="n"/>
      <c r="N220" s="1374" t="inlineStr">
        <is>
          <t>gmorga28@jaguarlandrover.com</t>
        </is>
      </c>
      <c r="P220" s="1604" t="inlineStr">
        <is>
          <t>07980 576114</t>
        </is>
      </c>
    </row>
    <row r="221">
      <c r="B221" s="1753" t="n">
        <v>45843</v>
      </c>
      <c r="C221" s="1568" t="inlineStr">
        <is>
          <t>Lavender Fields</t>
        </is>
      </c>
      <c r="D221" s="1568" t="inlineStr">
        <is>
          <t>5th</t>
        </is>
      </c>
      <c r="F221" s="1568" t="inlineStr">
        <is>
          <t>Existing</t>
        </is>
      </c>
      <c r="G221" s="87" t="inlineStr">
        <is>
          <t>#02970</t>
        </is>
      </c>
      <c r="H221" s="785" t="n">
        <v>45729</v>
      </c>
      <c r="I221" s="1696" t="n">
        <v>150</v>
      </c>
      <c r="J221" s="1697" t="n">
        <v>0</v>
      </c>
      <c r="K221" s="1568" t="inlineStr">
        <is>
          <t>Mr</t>
        </is>
      </c>
      <c r="L221" s="1610" t="inlineStr">
        <is>
          <t>Neil</t>
        </is>
      </c>
      <c r="M221" s="1610" t="inlineStr">
        <is>
          <t>Evans</t>
        </is>
      </c>
      <c r="N221" s="1374" t="inlineStr">
        <is>
          <t xml:space="preserve">snavelien@gmail.com </t>
        </is>
      </c>
      <c r="O221" s="1604" t="inlineStr">
        <is>
          <t>65</t>
        </is>
      </c>
      <c r="P221" s="1604" t="inlineStr">
        <is>
          <t>07834386970</t>
        </is>
      </c>
      <c r="Q221" s="1697" t="inlineStr">
        <is>
          <t>LE17 4AP</t>
        </is>
      </c>
      <c r="R221" s="1697" t="inlineStr">
        <is>
          <t>33 Station Road</t>
        </is>
      </c>
      <c r="S221" s="1568" t="inlineStr">
        <is>
          <t>Lutterworth</t>
        </is>
      </c>
    </row>
    <row r="222">
      <c r="B222" s="1753" t="n"/>
      <c r="C222" s="1568" t="n"/>
      <c r="D222" s="1568" t="n"/>
      <c r="F222" s="1568" t="n"/>
      <c r="G222" s="87" t="n"/>
      <c r="H222" s="785" t="n"/>
      <c r="K222" s="1568" t="n"/>
      <c r="L222" s="1610" t="n"/>
      <c r="M222" s="1610" t="n"/>
      <c r="N222" s="1374" t="n"/>
      <c r="O222" s="1604" t="n"/>
      <c r="P222" s="1604" t="n"/>
      <c r="S222" s="1568" t="n"/>
    </row>
    <row r="223">
      <c r="B223" s="1753" t="n"/>
      <c r="C223" s="1568" t="n"/>
      <c r="D223" s="1568" t="n"/>
      <c r="F223" s="1568" t="n"/>
      <c r="G223" s="87" t="n"/>
      <c r="H223" s="785" t="n"/>
      <c r="K223" s="1568" t="n"/>
      <c r="L223" s="1610" t="n"/>
      <c r="M223" s="1610" t="n"/>
      <c r="N223" s="1374" t="n"/>
      <c r="O223" s="1604" t="n"/>
      <c r="P223" s="1604" t="n"/>
      <c r="S223" s="1568" t="n"/>
    </row>
    <row r="224">
      <c r="B224" s="1708" t="n">
        <v>45844</v>
      </c>
      <c r="C224" s="1568" t="inlineStr">
        <is>
          <t>Garden Workshop</t>
        </is>
      </c>
      <c r="D224" s="783" t="inlineStr">
        <is>
          <t>Garden Photography Workshop - Private Garden - Coventry</t>
        </is>
      </c>
      <c r="E224" s="1568" t="inlineStr">
        <is>
          <t>2hrs</t>
        </is>
      </c>
      <c r="F224" s="1568" t="inlineStr">
        <is>
          <t>JLR</t>
        </is>
      </c>
      <c r="G224" s="505" t="inlineStr">
        <is>
          <t>IIY#1344999328371uqF</t>
        </is>
      </c>
      <c r="H224" s="785" t="n">
        <v>45691</v>
      </c>
      <c r="J224" s="1697" t="n">
        <v>35</v>
      </c>
      <c r="K224" s="1568" t="inlineStr">
        <is>
          <t>Mr</t>
        </is>
      </c>
      <c r="L224" s="1610" t="inlineStr">
        <is>
          <t xml:space="preserve">Gwyn </t>
        </is>
      </c>
      <c r="M224" s="1610" t="inlineStr">
        <is>
          <t>Jones</t>
        </is>
      </c>
      <c r="N224" s="1374" t="inlineStr">
        <is>
          <t>gjones56@jaguarlandrover.com</t>
        </is>
      </c>
      <c r="S224" s="1568" t="n"/>
    </row>
    <row r="225">
      <c r="B225" s="1708" t="n">
        <v>45844</v>
      </c>
      <c r="C225" s="1568" t="inlineStr">
        <is>
          <t>Garden Workshop</t>
        </is>
      </c>
      <c r="D225" s="783" t="inlineStr">
        <is>
          <t>Garden Photography Workshop - Private Garden - Coventry</t>
        </is>
      </c>
      <c r="E225" s="1568" t="inlineStr">
        <is>
          <t>2hrs</t>
        </is>
      </c>
      <c r="F225" s="1568" t="inlineStr">
        <is>
          <t>JLR</t>
        </is>
      </c>
      <c r="G225" s="505" t="inlineStr">
        <is>
          <t>IIY#2988327719371tFP</t>
        </is>
      </c>
      <c r="H225" s="785" t="n">
        <v>45698</v>
      </c>
      <c r="J225" s="1697" t="n">
        <v>35</v>
      </c>
      <c r="K225" s="1568" t="inlineStr">
        <is>
          <t>Mr</t>
        </is>
      </c>
      <c r="L225" s="1610" t="inlineStr">
        <is>
          <t xml:space="preserve">Edward </t>
        </is>
      </c>
      <c r="M225" s="1711" t="inlineStr">
        <is>
          <t>Andrews</t>
        </is>
      </c>
      <c r="N225" s="291" t="inlineStr">
        <is>
          <t>eandrew1@jaguarlandrover.com</t>
        </is>
      </c>
      <c r="P225" s="1604" t="inlineStr">
        <is>
          <t>(0) 7384 456 081</t>
        </is>
      </c>
      <c r="S225" s="1568" t="n"/>
    </row>
    <row r="226">
      <c r="B226" s="1708" t="n">
        <v>45844</v>
      </c>
      <c r="C226" s="783" t="inlineStr">
        <is>
          <t>Macro and Abstract</t>
        </is>
      </c>
      <c r="D226" s="1568" t="inlineStr">
        <is>
          <t>Cov or Charlecote</t>
        </is>
      </c>
      <c r="E226" s="1568" t="inlineStr">
        <is>
          <t>2.5hrs</t>
        </is>
      </c>
      <c r="F226" s="1568" t="inlineStr">
        <is>
          <t>JLR</t>
        </is>
      </c>
      <c r="G226" s="505" t="inlineStr">
        <is>
          <t>IIY#3512671600471kw5</t>
        </is>
      </c>
      <c r="H226" s="785" t="n">
        <v>45712</v>
      </c>
      <c r="I226" s="1696" t="n">
        <v>0</v>
      </c>
      <c r="J226" s="1697" t="n">
        <v>60</v>
      </c>
      <c r="K226" s="1646" t="n"/>
      <c r="L226" s="1705" t="inlineStr">
        <is>
          <t>Victoria Frankland</t>
        </is>
      </c>
      <c r="M226" s="1706" t="n"/>
      <c r="N226" s="549" t="inlineStr">
        <is>
          <t>vfrankla@jaguarlandrover.com</t>
        </is>
      </c>
      <c r="O226" s="1604" t="n"/>
      <c r="S226" s="1568" t="n"/>
    </row>
    <row r="227">
      <c r="B227" s="1708" t="n">
        <v>45844</v>
      </c>
      <c r="C227" s="1643" t="inlineStr">
        <is>
          <t>Garden Workshop</t>
        </is>
      </c>
      <c r="D227" s="783" t="inlineStr">
        <is>
          <t>Garden Photography Workshop - Private Garden - Coventry</t>
        </is>
      </c>
      <c r="E227" s="1568" t="inlineStr">
        <is>
          <t>2hrs</t>
        </is>
      </c>
      <c r="F227" s="1568" t="inlineStr">
        <is>
          <t>JLR</t>
        </is>
      </c>
      <c r="G227" s="505" t="inlineStr">
        <is>
          <t>IIY#7684720211471Vdu</t>
        </is>
      </c>
      <c r="H227" s="785" t="n">
        <v>45728</v>
      </c>
      <c r="I227" s="1696" t="n">
        <v>0</v>
      </c>
      <c r="J227" s="1697" t="n">
        <v>35</v>
      </c>
      <c r="K227" s="1568" t="n"/>
      <c r="L227" s="1610" t="inlineStr">
        <is>
          <t>Volkan Ayik</t>
        </is>
      </c>
      <c r="N227" s="291" t="inlineStr">
        <is>
          <t>vayik@jaguarlandrover.com</t>
        </is>
      </c>
      <c r="P227" s="1604" t="inlineStr">
        <is>
          <t>07931420120</t>
        </is>
      </c>
      <c r="S227" s="1568" t="n"/>
    </row>
    <row r="228">
      <c r="S228" s="1568" t="n"/>
    </row>
    <row r="229">
      <c r="B229" s="1708" t="n"/>
      <c r="H229" s="785" t="n"/>
      <c r="S229" s="1568" t="n"/>
    </row>
    <row r="230">
      <c r="B230" s="1708" t="n">
        <v>45850</v>
      </c>
      <c r="C230" s="1568" t="inlineStr">
        <is>
          <t>Burnham on Sea  Sunset</t>
        </is>
      </c>
      <c r="D230" s="1697" t="inlineStr">
        <is>
          <t>18:15  20:45</t>
        </is>
      </c>
      <c r="E230" s="1568" t="inlineStr">
        <is>
          <t>2.5hrs</t>
        </is>
      </c>
      <c r="F230" s="1568" t="inlineStr">
        <is>
          <t>JLR</t>
        </is>
      </c>
      <c r="G230" s="505" t="inlineStr">
        <is>
          <t>IIY#8053961089371dJx</t>
        </is>
      </c>
      <c r="H230" s="785" t="n">
        <v>45705</v>
      </c>
      <c r="I230" s="1696" t="n">
        <v>0</v>
      </c>
      <c r="J230" s="1697" t="n">
        <v>95</v>
      </c>
      <c r="K230" s="1568" t="inlineStr">
        <is>
          <t>Mr</t>
        </is>
      </c>
      <c r="L230" s="1610" t="inlineStr">
        <is>
          <t>Phil</t>
        </is>
      </c>
      <c r="M230" s="1610" t="inlineStr">
        <is>
          <t>Page</t>
        </is>
      </c>
      <c r="N230" s="1374" t="inlineStr">
        <is>
          <t>ppage1@jaguarlandrover.com</t>
        </is>
      </c>
      <c r="S230" s="1568" t="n"/>
    </row>
    <row r="231">
      <c r="B231" s="1753" t="n"/>
      <c r="C231" s="1568" t="n"/>
      <c r="D231" s="1568" t="n"/>
      <c r="F231" s="1568" t="n"/>
      <c r="G231" s="87" t="n"/>
      <c r="H231" s="785" t="n"/>
      <c r="K231" s="1568" t="n"/>
      <c r="L231" s="1610" t="n"/>
      <c r="M231" s="1610" t="n"/>
      <c r="N231" s="1374" t="n"/>
      <c r="O231" s="1604" t="n"/>
      <c r="P231" s="1604" t="n"/>
      <c r="S231" s="1568" t="n"/>
    </row>
    <row r="232">
      <c r="B232" s="1753" t="n"/>
      <c r="C232" s="1568" t="n"/>
      <c r="D232" s="1568" t="n"/>
      <c r="F232" s="1568" t="n"/>
      <c r="G232" s="87" t="n"/>
      <c r="H232" s="785" t="n"/>
      <c r="K232" s="1568" t="n"/>
      <c r="L232" s="1610" t="n"/>
      <c r="M232" s="1610" t="n"/>
      <c r="N232" s="1374" t="n"/>
      <c r="O232" s="1604" t="n"/>
      <c r="P232" s="1604" t="n"/>
      <c r="S232" s="1568" t="n"/>
    </row>
    <row r="233">
      <c r="B233" s="1753" t="n">
        <v>45864</v>
      </c>
      <c r="C233" s="1568" t="inlineStr">
        <is>
          <t>Lavender Fields</t>
        </is>
      </c>
      <c r="D233" s="1643" t="inlineStr">
        <is>
          <t>?  Hasn’t responded to multiple emails</t>
        </is>
      </c>
      <c r="F233" s="1568" t="inlineStr">
        <is>
          <t>JLR</t>
        </is>
      </c>
      <c r="G233" s="505" t="inlineStr">
        <is>
          <t>IIY#8902050543471mkd</t>
        </is>
      </c>
      <c r="H233" s="785" t="n">
        <v>45751</v>
      </c>
      <c r="I233" s="1696" t="n">
        <v>0</v>
      </c>
      <c r="J233" s="1697" t="n">
        <v>150</v>
      </c>
      <c r="K233" s="1568" t="n"/>
      <c r="L233" s="1610" t="inlineStr">
        <is>
          <t>Sophie Deeley</t>
        </is>
      </c>
      <c r="M233" s="1610" t="n"/>
      <c r="N233" s="1374" t="inlineStr">
        <is>
          <t>sdeeley3@jaguarlandrover.com</t>
        </is>
      </c>
      <c r="P233" s="1604" t="n"/>
      <c r="Q233" s="1374" t="inlineStr">
        <is>
          <t>sophie.deeley@gmail.com</t>
        </is>
      </c>
    </row>
    <row r="234">
      <c r="B234" s="1753" t="n"/>
      <c r="C234" s="1568" t="n"/>
      <c r="D234" s="1643" t="n"/>
      <c r="F234" s="1568" t="n"/>
      <c r="H234" s="785" t="n"/>
      <c r="K234" s="1568" t="n"/>
      <c r="L234" s="1610" t="n"/>
      <c r="M234" s="1610" t="n"/>
      <c r="N234" s="1374" t="n"/>
      <c r="P234" s="1604" t="n"/>
      <c r="Q234" s="1374" t="n"/>
    </row>
    <row r="235">
      <c r="B235" s="1753" t="n">
        <v>45857</v>
      </c>
      <c r="C235" s="1568" t="inlineStr">
        <is>
          <t>Lavender Fields</t>
        </is>
      </c>
      <c r="D235" s="1568" t="inlineStr">
        <is>
          <t>11th or 19th</t>
        </is>
      </c>
      <c r="F235" s="1568" t="inlineStr">
        <is>
          <t>JLR</t>
        </is>
      </c>
      <c r="G235" s="505" t="inlineStr">
        <is>
          <t>IIY#7065645061471Odp</t>
        </is>
      </c>
      <c r="H235" s="785" t="n">
        <v>45729</v>
      </c>
      <c r="I235" s="1696" t="n">
        <v>0</v>
      </c>
      <c r="J235" s="1697" t="n">
        <v>150</v>
      </c>
      <c r="K235" s="1568" t="n"/>
      <c r="L235" s="1610" t="inlineStr">
        <is>
          <t>Andrew Nelson</t>
        </is>
      </c>
      <c r="M235" s="1610" t="n"/>
      <c r="N235" s="1374" t="inlineStr">
        <is>
          <t>anelson9@jaguarlandrover.com</t>
        </is>
      </c>
      <c r="P235" s="1604" t="n"/>
      <c r="Q235" s="1374" t="n"/>
    </row>
    <row r="236">
      <c r="B236" s="1753" t="n"/>
      <c r="C236" s="1568" t="n"/>
      <c r="D236" s="1643" t="n"/>
      <c r="F236" s="1568" t="n"/>
      <c r="H236" s="785" t="n"/>
      <c r="K236" s="1568" t="n"/>
      <c r="L236" s="1610" t="n"/>
      <c r="M236" s="1610" t="n"/>
      <c r="N236" s="1374" t="n"/>
      <c r="P236" s="1604" t="n"/>
      <c r="Q236" s="1374" t="n"/>
    </row>
    <row r="237">
      <c r="B237" s="1708" t="n"/>
      <c r="C237" s="1568" t="n"/>
      <c r="D237" s="1568" t="n"/>
      <c r="F237" s="1568" t="n"/>
      <c r="H237" s="785" t="n"/>
      <c r="K237" s="1568" t="n"/>
      <c r="L237" s="1610" t="n"/>
      <c r="M237" s="1610" t="n"/>
      <c r="N237" s="1374" t="n"/>
      <c r="P237" s="1604" t="n"/>
    </row>
    <row r="238">
      <c r="B238" s="1708" t="n">
        <v>45885</v>
      </c>
      <c r="C238" s="1568" t="inlineStr">
        <is>
          <t>Heathers Peaks - Sunset</t>
        </is>
      </c>
      <c r="D238" s="1568" t="n"/>
      <c r="F238" s="1568" t="inlineStr">
        <is>
          <t>JLR</t>
        </is>
      </c>
      <c r="G238" s="505" t="inlineStr">
        <is>
          <t>IIY#7483762903471NB9</t>
        </is>
      </c>
      <c r="H238" s="785" t="n">
        <v>45745</v>
      </c>
      <c r="I238" s="1696" t="n">
        <v>0</v>
      </c>
      <c r="J238" s="1697" t="n">
        <v>125</v>
      </c>
      <c r="K238" s="1568" t="n"/>
      <c r="L238" s="1610" t="inlineStr">
        <is>
          <t>Neil Morley</t>
        </is>
      </c>
      <c r="M238" s="1610" t="n"/>
      <c r="N238" s="1374" t="inlineStr">
        <is>
          <t>nmorley1@jaguarlandrover.com</t>
        </is>
      </c>
      <c r="P238" s="1604" t="inlineStr">
        <is>
          <t>007870504187</t>
        </is>
      </c>
    </row>
    <row r="239">
      <c r="B239" s="1708" t="n">
        <v>45885</v>
      </c>
      <c r="C239" s="1568" t="inlineStr">
        <is>
          <t>Heathers Peaks - Sunset</t>
        </is>
      </c>
      <c r="D239" s="1568" t="n"/>
      <c r="F239" s="1568" t="n"/>
      <c r="G239" s="87" t="inlineStr">
        <is>
          <t>#02968</t>
        </is>
      </c>
      <c r="H239" s="785" t="n">
        <v>45720</v>
      </c>
      <c r="I239" s="1696" t="n">
        <v>100</v>
      </c>
      <c r="K239" s="1568" t="inlineStr">
        <is>
          <t>Mr</t>
        </is>
      </c>
      <c r="L239" s="1610" t="inlineStr">
        <is>
          <t>Iggy</t>
        </is>
      </c>
      <c r="M239" s="1604" t="inlineStr">
        <is>
          <t>Losa</t>
        </is>
      </c>
      <c r="N239" s="1374" t="inlineStr">
        <is>
          <t xml:space="preserve">suddeniglo@gmail.com </t>
        </is>
      </c>
      <c r="O239" s="1604" t="inlineStr">
        <is>
          <t>66</t>
        </is>
      </c>
      <c r="P239" s="1604" t="inlineStr">
        <is>
          <t>07933275817</t>
        </is>
      </c>
      <c r="Q239" s="1697" t="inlineStr">
        <is>
          <t>SK10 3RH</t>
        </is>
      </c>
      <c r="R239" s="1697" t="inlineStr">
        <is>
          <t>44 BRAMPTON AVENUE</t>
        </is>
      </c>
      <c r="S239" s="1568" t="inlineStr">
        <is>
          <t>MACCLESFIELD</t>
        </is>
      </c>
    </row>
    <row r="240">
      <c r="B240" s="1708" t="n">
        <v>45885</v>
      </c>
      <c r="C240" s="1568" t="inlineStr">
        <is>
          <t>Heathers Peaks - Sunset</t>
        </is>
      </c>
      <c r="D240" s="1568" t="n"/>
      <c r="F240" s="1568" t="n"/>
      <c r="G240" s="87" t="inlineStr">
        <is>
          <t>#03030</t>
        </is>
      </c>
      <c r="H240" s="785" t="n">
        <v>45848</v>
      </c>
      <c r="I240" s="1696" t="n">
        <v>125</v>
      </c>
      <c r="J240" s="1697" t="n">
        <v>0</v>
      </c>
      <c r="K240" s="1568" t="inlineStr">
        <is>
          <t>Mr</t>
        </is>
      </c>
      <c r="L240" s="1610" t="inlineStr">
        <is>
          <t>Bill</t>
        </is>
      </c>
      <c r="M240" s="1604" t="inlineStr">
        <is>
          <t>Peet</t>
        </is>
      </c>
      <c r="N240" s="1374" t="inlineStr">
        <is>
          <t xml:space="preserve">bill@peets.uk </t>
        </is>
      </c>
      <c r="O240" s="1604" t="inlineStr">
        <is>
          <t>73</t>
        </is>
      </c>
      <c r="P240" s="1604" t="inlineStr">
        <is>
          <t xml:space="preserve">07757656282 </t>
        </is>
      </c>
      <c r="Q240" s="1697" t="inlineStr">
        <is>
          <t>NG16 6AU</t>
        </is>
      </c>
      <c r="S240" s="1568" t="inlineStr">
        <is>
          <t>Selston</t>
        </is>
      </c>
    </row>
    <row r="241">
      <c r="B241" s="1708" t="n">
        <v>45885</v>
      </c>
      <c r="C241" s="1568" t="inlineStr">
        <is>
          <t>Heathers Peaks - Sunset</t>
        </is>
      </c>
      <c r="D241" s="1568" t="n"/>
      <c r="F241" s="1568" t="n"/>
      <c r="G241" s="87" t="inlineStr">
        <is>
          <t>#03040</t>
        </is>
      </c>
      <c r="H241" s="785" t="n">
        <v>45866</v>
      </c>
      <c r="I241" s="1696" t="n">
        <v>100</v>
      </c>
      <c r="J241" s="1697" t="n">
        <v>0</v>
      </c>
      <c r="K241" s="1568" t="inlineStr">
        <is>
          <t>Ms</t>
        </is>
      </c>
      <c r="L241" s="1610" t="inlineStr">
        <is>
          <t>Fiona</t>
        </is>
      </c>
      <c r="M241" s="1604" t="inlineStr">
        <is>
          <t>Carter</t>
        </is>
      </c>
      <c r="N241" s="1374" t="inlineStr">
        <is>
          <t>fionajcarter2@gmail.com</t>
        </is>
      </c>
      <c r="O241" s="1604" t="inlineStr">
        <is>
          <t>67</t>
        </is>
      </c>
      <c r="P241" s="1604" t="inlineStr">
        <is>
          <t>07786858215</t>
        </is>
      </c>
      <c r="Q241" s="1697" t="inlineStr">
        <is>
          <t>BS35 1EG</t>
        </is>
      </c>
      <c r="S241" s="1568" t="inlineStr">
        <is>
          <t>Bristol</t>
        </is>
      </c>
    </row>
    <row r="242">
      <c r="B242" s="1708" t="n"/>
      <c r="C242" s="1568" t="n"/>
      <c r="D242" s="1568" t="n"/>
      <c r="F242" s="1568" t="n"/>
      <c r="G242" s="87" t="n"/>
      <c r="H242" s="785" t="n"/>
      <c r="K242" s="1568" t="n"/>
      <c r="L242" s="1610" t="n"/>
      <c r="M242" s="1604" t="n"/>
      <c r="N242" s="1374" t="n"/>
      <c r="O242" s="1604" t="n"/>
      <c r="P242" s="1604" t="n"/>
      <c r="S242" s="1568" t="n"/>
    </row>
    <row r="243">
      <c r="B243" s="1708" t="n">
        <v>45886</v>
      </c>
      <c r="C243" s="1568" t="inlineStr">
        <is>
          <t>Heathers Peaks - Sunrise</t>
        </is>
      </c>
      <c r="D243" s="1568" t="n"/>
      <c r="F243" s="1568" t="n"/>
      <c r="G243" s="87" t="inlineStr">
        <is>
          <t>#02968</t>
        </is>
      </c>
      <c r="H243" s="785" t="n">
        <v>45720</v>
      </c>
      <c r="I243" s="1696" t="n">
        <v>100</v>
      </c>
      <c r="K243" s="1568" t="inlineStr">
        <is>
          <t>Mr</t>
        </is>
      </c>
      <c r="L243" s="1610" t="inlineStr">
        <is>
          <t>Iggy</t>
        </is>
      </c>
      <c r="M243" s="1604" t="inlineStr">
        <is>
          <t>Losa</t>
        </is>
      </c>
      <c r="N243" s="1374" t="inlineStr">
        <is>
          <t xml:space="preserve">suddeniglo@gmail.com </t>
        </is>
      </c>
      <c r="O243" s="1604" t="inlineStr">
        <is>
          <t>66</t>
        </is>
      </c>
      <c r="P243" s="1604" t="inlineStr">
        <is>
          <t>07933275817</t>
        </is>
      </c>
      <c r="Q243" s="1697" t="inlineStr">
        <is>
          <t>SK10 3RH</t>
        </is>
      </c>
      <c r="R243" s="1697" t="inlineStr">
        <is>
          <t>44 BRAMPTON AVENUE</t>
        </is>
      </c>
      <c r="S243" s="1568" t="inlineStr">
        <is>
          <t>MACCLESFIELD</t>
        </is>
      </c>
    </row>
    <row r="244">
      <c r="B244" s="1708" t="n">
        <v>45886</v>
      </c>
      <c r="C244" s="1568" t="inlineStr">
        <is>
          <t>Heathers Peaks - Sunrise</t>
        </is>
      </c>
      <c r="D244" s="1568" t="n"/>
      <c r="F244" s="1568" t="inlineStr">
        <is>
          <t>JLR</t>
        </is>
      </c>
      <c r="G244" s="505" t="inlineStr">
        <is>
          <t>IIY#7700160724471FXW</t>
        </is>
      </c>
      <c r="H244" s="785" t="n">
        <v>45757</v>
      </c>
      <c r="I244" s="1696" t="n">
        <v>0</v>
      </c>
      <c r="J244" s="1697" t="n">
        <v>125</v>
      </c>
      <c r="K244" s="1568" t="n"/>
      <c r="L244" s="1610" t="inlineStr">
        <is>
          <t>Joanne Tapp</t>
        </is>
      </c>
      <c r="M244" s="1610" t="n"/>
      <c r="N244" s="1374" t="inlineStr">
        <is>
          <t>jtapp2@jaguarlandrover.com</t>
        </is>
      </c>
    </row>
    <row r="245">
      <c r="B245" s="1708" t="n">
        <v>45886</v>
      </c>
      <c r="C245" s="1568" t="inlineStr">
        <is>
          <t>Heathers Peaks - Sunrise</t>
        </is>
      </c>
      <c r="D245" s="1568" t="n"/>
      <c r="F245" s="1568" t="inlineStr">
        <is>
          <t>JLR</t>
        </is>
      </c>
      <c r="H245" s="785" t="n"/>
      <c r="K245" s="1568" t="n"/>
      <c r="L245" s="1610" t="inlineStr">
        <is>
          <t>Andrew Nelson</t>
        </is>
      </c>
      <c r="M245" s="1610" t="n"/>
      <c r="N245" s="1374" t="inlineStr">
        <is>
          <t>anelson9@jaguarlandrover.com</t>
        </is>
      </c>
    </row>
    <row r="246">
      <c r="B246" s="1708" t="n">
        <v>45885</v>
      </c>
      <c r="C246" s="1568" t="inlineStr">
        <is>
          <t>Heathers Peaks - Sunrise</t>
        </is>
      </c>
      <c r="D246" s="1568" t="n"/>
      <c r="F246" s="1568" t="n"/>
      <c r="G246" s="87" t="inlineStr">
        <is>
          <t>#03040</t>
        </is>
      </c>
      <c r="H246" s="785" t="n">
        <v>45866</v>
      </c>
      <c r="I246" s="1696" t="n">
        <v>100</v>
      </c>
      <c r="J246" s="1697" t="n">
        <v>0</v>
      </c>
      <c r="K246" s="1568" t="inlineStr">
        <is>
          <t>Ms</t>
        </is>
      </c>
      <c r="L246" s="1610" t="inlineStr">
        <is>
          <t>Fiona</t>
        </is>
      </c>
      <c r="M246" s="1604" t="inlineStr">
        <is>
          <t>Carter</t>
        </is>
      </c>
      <c r="N246" s="1374" t="inlineStr">
        <is>
          <t>fionajcarter2@gmail.com</t>
        </is>
      </c>
      <c r="O246" s="1604" t="inlineStr">
        <is>
          <t>67</t>
        </is>
      </c>
      <c r="P246" s="1604" t="inlineStr">
        <is>
          <t>07786858215</t>
        </is>
      </c>
      <c r="Q246" s="1697" t="inlineStr">
        <is>
          <t>BS35 1EG</t>
        </is>
      </c>
      <c r="S246" s="1568" t="inlineStr">
        <is>
          <t>Bristol</t>
        </is>
      </c>
    </row>
    <row r="247">
      <c r="B247" s="1708" t="n"/>
      <c r="C247" s="1568" t="n"/>
      <c r="D247" s="1568" t="n"/>
      <c r="F247" s="1568" t="n"/>
      <c r="H247" s="785" t="n"/>
      <c r="K247" s="1568" t="n"/>
      <c r="L247" s="1610" t="n"/>
      <c r="M247" s="1610" t="n"/>
      <c r="N247" s="1374" t="n"/>
    </row>
    <row r="248">
      <c r="B248" s="1708" t="n"/>
      <c r="C248" s="1568" t="n"/>
      <c r="D248" s="1568" t="n"/>
      <c r="F248" s="1568" t="n"/>
      <c r="H248" s="785" t="n"/>
      <c r="K248" s="1568" t="n"/>
      <c r="L248" s="1610" t="n"/>
      <c r="M248" s="1610" t="n"/>
      <c r="N248" s="1374" t="n"/>
    </row>
    <row r="249">
      <c r="B249" s="1708" t="n">
        <v>45897</v>
      </c>
      <c r="C249" s="1568" t="inlineStr">
        <is>
          <t>LE Kenilworth</t>
        </is>
      </c>
      <c r="D249" s="783" t="inlineStr">
        <is>
          <t>Kenilworth</t>
        </is>
      </c>
      <c r="E249" s="783" t="inlineStr">
        <is>
          <t>2.5hrs</t>
        </is>
      </c>
      <c r="F249" s="1568" t="inlineStr">
        <is>
          <t>JLR</t>
        </is>
      </c>
      <c r="G249" s="505" t="inlineStr">
        <is>
          <t>IIY#7889097803471wFx</t>
        </is>
      </c>
      <c r="H249" s="785" t="n">
        <v>45744</v>
      </c>
      <c r="I249" s="1696" t="n">
        <v>0</v>
      </c>
      <c r="J249" s="1697" t="n">
        <v>50</v>
      </c>
      <c r="K249" s="1568" t="n"/>
      <c r="L249" s="1610" t="inlineStr">
        <is>
          <t>Thomas Startin</t>
        </is>
      </c>
      <c r="M249" s="1610" t="n"/>
      <c r="N249" s="1374" t="inlineStr">
        <is>
          <t>tstartin@jaguarlandrover.com</t>
        </is>
      </c>
    </row>
    <row r="250">
      <c r="B250" s="1708" t="n">
        <v>45897</v>
      </c>
      <c r="C250" s="1568" t="inlineStr">
        <is>
          <t>LE Kenilworth</t>
        </is>
      </c>
      <c r="D250" s="783" t="inlineStr">
        <is>
          <t>Kenilworth</t>
        </is>
      </c>
      <c r="E250" s="783" t="inlineStr">
        <is>
          <t>2.5hrs</t>
        </is>
      </c>
      <c r="F250" s="1568" t="inlineStr">
        <is>
          <t>JLR</t>
        </is>
      </c>
      <c r="G250" s="505" t="inlineStr">
        <is>
          <t>IIY#4458074143471XIS</t>
        </is>
      </c>
      <c r="H250" s="785" t="n">
        <v>45776</v>
      </c>
      <c r="I250" s="1696" t="n">
        <v>0</v>
      </c>
      <c r="J250" s="1697" t="n">
        <v>50</v>
      </c>
      <c r="K250" s="1568" t="n"/>
      <c r="L250" s="1610" t="inlineStr">
        <is>
          <t>Roxana Mutu</t>
        </is>
      </c>
      <c r="M250" s="1610" t="n"/>
      <c r="N250" s="1374" t="inlineStr">
        <is>
          <t>rmutu1@jaguarlandrover.com</t>
        </is>
      </c>
    </row>
    <row r="251">
      <c r="B251" s="1708" t="n">
        <v>45897</v>
      </c>
      <c r="C251" s="1568" t="inlineStr">
        <is>
          <t>LE Kenilworth</t>
        </is>
      </c>
      <c r="D251" s="783" t="inlineStr">
        <is>
          <t>Kenilworth</t>
        </is>
      </c>
      <c r="E251" s="783" t="inlineStr">
        <is>
          <t>2.5hrs</t>
        </is>
      </c>
      <c r="F251" s="1568" t="inlineStr">
        <is>
          <t>JLR</t>
        </is>
      </c>
      <c r="G251" s="505" t="inlineStr">
        <is>
          <t>IIY#8268734733471APq</t>
        </is>
      </c>
      <c r="H251" s="785" t="n">
        <v>45780</v>
      </c>
      <c r="I251" s="1696" t="n">
        <v>0</v>
      </c>
      <c r="J251" s="1697" t="n">
        <v>50</v>
      </c>
      <c r="K251" s="1568" t="n"/>
      <c r="L251" s="1610" t="inlineStr">
        <is>
          <t>Naveen Prakash Karuppaiah</t>
        </is>
      </c>
      <c r="N251" s="1177" t="inlineStr">
        <is>
          <t>nkarupp2@jaguarlandrover.com</t>
        </is>
      </c>
    </row>
    <row r="252">
      <c r="B252" s="1708" t="n">
        <v>45897</v>
      </c>
      <c r="C252" s="1568" t="inlineStr">
        <is>
          <t>LE Kenilworth</t>
        </is>
      </c>
      <c r="D252" s="783" t="inlineStr">
        <is>
          <t>Kenilworth</t>
        </is>
      </c>
      <c r="E252" s="783" t="inlineStr">
        <is>
          <t>2.5hrs</t>
        </is>
      </c>
      <c r="F252" s="1568" t="inlineStr">
        <is>
          <t>JLR</t>
        </is>
      </c>
      <c r="H252" s="785" t="n"/>
      <c r="K252" s="1568" t="n"/>
      <c r="L252" s="1610" t="inlineStr">
        <is>
          <t>Andrew Nelson</t>
        </is>
      </c>
      <c r="M252" s="1610" t="n"/>
      <c r="N252" s="1374" t="inlineStr">
        <is>
          <t>anelson9@jaguarlandrover.com</t>
        </is>
      </c>
    </row>
    <row r="253">
      <c r="B253" s="1708" t="n">
        <v>45897</v>
      </c>
      <c r="C253" s="1568" t="inlineStr">
        <is>
          <t>LE Kenilworth</t>
        </is>
      </c>
      <c r="D253" s="783" t="inlineStr">
        <is>
          <t>Kenilworth</t>
        </is>
      </c>
      <c r="E253" s="783" t="inlineStr">
        <is>
          <t>2.5hrs</t>
        </is>
      </c>
      <c r="F253" s="1568" t="inlineStr">
        <is>
          <t>Existing</t>
        </is>
      </c>
      <c r="G253" s="1568" t="inlineStr">
        <is>
          <t>#03049</t>
        </is>
      </c>
      <c r="H253" s="785" t="n">
        <v>45890</v>
      </c>
      <c r="I253" s="1696" t="n">
        <v>50</v>
      </c>
      <c r="K253" s="1568" t="n"/>
      <c r="L253" s="1610" t="inlineStr">
        <is>
          <t>Scott Bremner</t>
        </is>
      </c>
      <c r="N253" s="1374" t="inlineStr">
        <is>
          <t>sbremner@jaguarlandrover.com</t>
        </is>
      </c>
      <c r="O253" s="1604" t="inlineStr">
        <is>
          <t>42</t>
        </is>
      </c>
      <c r="P253" s="1604" t="inlineStr">
        <is>
          <t>07725 886827</t>
        </is>
      </c>
    </row>
    <row r="254">
      <c r="B254" s="1708" t="n">
        <v>45897</v>
      </c>
      <c r="C254" s="1568" t="inlineStr">
        <is>
          <t>LE Kenilworth</t>
        </is>
      </c>
      <c r="D254" s="783" t="inlineStr">
        <is>
          <t>Kenilworth</t>
        </is>
      </c>
      <c r="E254" s="783" t="inlineStr">
        <is>
          <t>2.5hrs</t>
        </is>
      </c>
      <c r="F254" s="1568" t="inlineStr">
        <is>
          <t>Google</t>
        </is>
      </c>
      <c r="G254" s="1568" t="inlineStr">
        <is>
          <t>#03050</t>
        </is>
      </c>
      <c r="H254" s="785" t="n">
        <v>45891</v>
      </c>
      <c r="I254" s="1696" t="n">
        <v>50</v>
      </c>
      <c r="J254" s="1697" t="n">
        <v>0</v>
      </c>
      <c r="K254" s="1568" t="n"/>
      <c r="L254" s="1610" t="inlineStr">
        <is>
          <t>Paul Carey</t>
        </is>
      </c>
      <c r="N254" s="1374" t="inlineStr">
        <is>
          <t xml:space="preserve">paul.carey1136@btinternet.com </t>
        </is>
      </c>
      <c r="O254" s="1604" t="inlineStr">
        <is>
          <t>72</t>
        </is>
      </c>
      <c r="P254" s="1604" t="inlineStr">
        <is>
          <t>07543748269</t>
        </is>
      </c>
    </row>
    <row r="255">
      <c r="B255" s="1708" t="n"/>
      <c r="C255" s="1568" t="n"/>
      <c r="D255" s="1568" t="n"/>
      <c r="F255" s="1568" t="n"/>
      <c r="H255" s="785" t="n"/>
      <c r="K255" s="1568" t="n"/>
      <c r="L255" s="1610" t="n"/>
      <c r="M255" s="1610" t="n"/>
      <c r="N255" s="1374" t="n"/>
    </row>
    <row r="256">
      <c r="B256" s="1708" t="n">
        <v>45900</v>
      </c>
      <c r="C256" s="1708" t="inlineStr">
        <is>
          <t>Secret Woodlands</t>
        </is>
      </c>
      <c r="D256" s="783" t="inlineStr">
        <is>
          <t>All Day</t>
        </is>
      </c>
      <c r="E256" s="783" t="inlineStr">
        <is>
          <t>6hrs</t>
        </is>
      </c>
      <c r="F256" s="783" t="inlineStr">
        <is>
          <t>Google</t>
        </is>
      </c>
      <c r="G256" s="1750" t="inlineStr">
        <is>
          <t>#02814</t>
        </is>
      </c>
      <c r="H256" s="785" t="n">
        <v>45470</v>
      </c>
      <c r="I256" s="1751" t="n">
        <v>125</v>
      </c>
      <c r="J256" s="1750" t="n">
        <v>0</v>
      </c>
      <c r="K256" s="1646" t="inlineStr">
        <is>
          <t>Ms</t>
        </is>
      </c>
      <c r="L256" s="1705" t="inlineStr">
        <is>
          <t>Mandy</t>
        </is>
      </c>
      <c r="M256" s="1706" t="inlineStr">
        <is>
          <t>Watts</t>
        </is>
      </c>
      <c r="N256" s="1374" t="inlineStr">
        <is>
          <t xml:space="preserve">mandywatts189@hotmail.co.uk </t>
        </is>
      </c>
      <c r="O256" s="1707" t="inlineStr">
        <is>
          <t>57</t>
        </is>
      </c>
      <c r="P256" s="1707" t="inlineStr">
        <is>
          <t>07718782168</t>
        </is>
      </c>
      <c r="Q256" s="1646" t="inlineStr">
        <is>
          <t>KT15 3BE</t>
        </is>
      </c>
      <c r="R256" s="1646" t="inlineStr">
        <is>
          <t>52 Lindsay Road</t>
        </is>
      </c>
      <c r="S256" s="1646" t="inlineStr">
        <is>
          <t>Surrey</t>
        </is>
      </c>
    </row>
    <row r="257">
      <c r="B257" s="1708" t="n">
        <v>45900</v>
      </c>
      <c r="C257" s="1708" t="inlineStr">
        <is>
          <t>Secret Woodlands</t>
        </is>
      </c>
      <c r="D257" s="783" t="inlineStr">
        <is>
          <t>All Day</t>
        </is>
      </c>
      <c r="E257" s="783" t="inlineStr">
        <is>
          <t>6hrs</t>
        </is>
      </c>
      <c r="F257" s="783" t="inlineStr">
        <is>
          <t>JLR</t>
        </is>
      </c>
      <c r="G257" s="1750" t="inlineStr">
        <is>
          <t>IIY#5290088443471Nqs</t>
        </is>
      </c>
      <c r="H257" s="785" t="n">
        <v>45758</v>
      </c>
      <c r="I257" s="1751" t="n">
        <v>0</v>
      </c>
      <c r="J257" s="1750" t="n">
        <v>125</v>
      </c>
      <c r="K257" s="1646" t="n"/>
      <c r="L257" s="1705" t="inlineStr">
        <is>
          <t>Anant Bhatia</t>
        </is>
      </c>
      <c r="M257" s="1706" t="n"/>
      <c r="N257" s="1374" t="inlineStr">
        <is>
          <t>abhatia4@jaguarlandrover.com</t>
        </is>
      </c>
      <c r="O257" s="1707" t="n"/>
      <c r="P257" s="1707" t="inlineStr">
        <is>
          <t>07548537910</t>
        </is>
      </c>
      <c r="Q257" s="1646" t="n"/>
      <c r="R257" s="1646" t="n"/>
      <c r="S257" s="1646" t="n"/>
    </row>
    <row r="258">
      <c r="B258" s="1708" t="n">
        <v>45900</v>
      </c>
      <c r="C258" s="1708" t="inlineStr">
        <is>
          <t>Secret Woodlands</t>
        </is>
      </c>
      <c r="D258" s="783" t="inlineStr">
        <is>
          <t>Was booked on Apr workshop</t>
        </is>
      </c>
      <c r="E258" s="783" t="inlineStr">
        <is>
          <t>6hrs</t>
        </is>
      </c>
      <c r="F258" s="1568" t="inlineStr">
        <is>
          <t>JLR</t>
        </is>
      </c>
      <c r="G258" s="1750" t="inlineStr">
        <is>
          <t>IIY#8232208460471diA</t>
        </is>
      </c>
      <c r="H258" s="785" t="n">
        <v>45719</v>
      </c>
      <c r="I258" s="1751" t="n"/>
      <c r="J258" s="1750" t="n">
        <v>125</v>
      </c>
      <c r="K258" s="86" t="n"/>
      <c r="L258" s="1607" t="inlineStr">
        <is>
          <t>Anthony Hartwell</t>
        </is>
      </c>
      <c r="M258" s="1607" t="n"/>
      <c r="N258" s="549" t="inlineStr">
        <is>
          <t>ahartwe1@jaguarlandrover.com</t>
        </is>
      </c>
      <c r="O258" s="551" t="n"/>
      <c r="P258" s="1604" t="inlineStr">
        <is>
          <t>07760 665 695</t>
        </is>
      </c>
      <c r="R258" s="1646" t="n"/>
      <c r="S258" s="1646" t="n"/>
    </row>
    <row r="259">
      <c r="B259" s="1708" t="n"/>
      <c r="C259" s="1708" t="n"/>
      <c r="D259" s="783" t="n"/>
      <c r="E259" s="783" t="n"/>
      <c r="F259" s="783" t="n"/>
      <c r="G259" s="1750" t="n"/>
      <c r="H259" s="785" t="n"/>
      <c r="I259" s="1751" t="n"/>
      <c r="J259" s="1750" t="n"/>
      <c r="K259" s="1646" t="n"/>
      <c r="L259" s="1705" t="n"/>
      <c r="M259" s="1706" t="n"/>
      <c r="N259" s="1374" t="n"/>
      <c r="O259" s="1707" t="n"/>
      <c r="P259" s="1707" t="n"/>
      <c r="Q259" s="1646" t="n"/>
      <c r="R259" s="1646" t="n"/>
      <c r="S259" s="1646" t="n"/>
    </row>
    <row r="260">
      <c r="B260" s="1708" t="n"/>
      <c r="C260" s="1708" t="n"/>
      <c r="D260" s="783" t="n"/>
      <c r="E260" s="783" t="n"/>
      <c r="F260" s="783" t="n"/>
      <c r="G260" s="1750" t="n"/>
      <c r="H260" s="785" t="n"/>
      <c r="I260" s="1751" t="n"/>
      <c r="J260" s="1750" t="n"/>
      <c r="K260" s="1646" t="n"/>
      <c r="L260" s="1705" t="n"/>
      <c r="M260" s="1706" t="n"/>
      <c r="N260" s="1374" t="n"/>
      <c r="O260" s="1707" t="n"/>
      <c r="P260" s="1707" t="n"/>
      <c r="Q260" s="1646" t="n"/>
      <c r="R260" s="1646" t="n"/>
      <c r="S260" s="1646" t="n"/>
    </row>
    <row r="261">
      <c r="B261" s="1708" t="n">
        <v>45916</v>
      </c>
      <c r="C261" s="1568" t="inlineStr">
        <is>
          <t>Chesterton Windmill</t>
        </is>
      </c>
      <c r="E261" s="1568" t="inlineStr">
        <is>
          <t>2.5hrs</t>
        </is>
      </c>
      <c r="F261" s="1568" t="inlineStr">
        <is>
          <t>JLR</t>
        </is>
      </c>
      <c r="G261" s="505" t="inlineStr">
        <is>
          <t>IIY#7303862523471kLO</t>
        </is>
      </c>
      <c r="H261" s="785" t="n">
        <v>45749</v>
      </c>
      <c r="I261" s="1696" t="n">
        <v>0</v>
      </c>
      <c r="J261" s="1697" t="n">
        <v>50</v>
      </c>
      <c r="L261" s="1711" t="inlineStr">
        <is>
          <t>Matthew Davies</t>
        </is>
      </c>
      <c r="N261" s="1374" t="inlineStr">
        <is>
          <t>mdavie32@jaguarlandrover.com</t>
        </is>
      </c>
      <c r="P261" s="1697" t="inlineStr">
        <is>
          <t>07811 657790</t>
        </is>
      </c>
    </row>
    <row r="262">
      <c r="B262" s="1708" t="n">
        <v>45916</v>
      </c>
      <c r="C262" s="1568" t="inlineStr">
        <is>
          <t>Chesterton Windmill</t>
        </is>
      </c>
      <c r="E262" s="1568" t="inlineStr">
        <is>
          <t>2.5hrs</t>
        </is>
      </c>
      <c r="F262" s="1568" t="inlineStr">
        <is>
          <t>JLR</t>
        </is>
      </c>
      <c r="G262" s="505" t="inlineStr">
        <is>
          <t>IIY#3293641613471Qtj</t>
        </is>
      </c>
      <c r="H262" s="785" t="n">
        <v>45749</v>
      </c>
      <c r="I262" s="1696" t="n">
        <v>0</v>
      </c>
      <c r="J262" s="1697" t="n">
        <v>50</v>
      </c>
      <c r="L262" s="1711" t="inlineStr">
        <is>
          <t>Naveen Lakshmanan</t>
        </is>
      </c>
      <c r="N262" s="1374" t="inlineStr">
        <is>
          <t>nlakshm1@jaguarlandrover.com</t>
        </is>
      </c>
    </row>
    <row r="263">
      <c r="B263" s="1708" t="n">
        <v>45916</v>
      </c>
      <c r="C263" s="1568" t="inlineStr">
        <is>
          <t>Chesterton Windmill</t>
        </is>
      </c>
      <c r="E263" s="1568" t="inlineStr">
        <is>
          <t>2.5hrs</t>
        </is>
      </c>
      <c r="F263" s="1568" t="inlineStr">
        <is>
          <t>Existing</t>
        </is>
      </c>
      <c r="G263" s="87" t="inlineStr">
        <is>
          <t>#02995</t>
        </is>
      </c>
      <c r="H263" s="785" t="n">
        <v>45783</v>
      </c>
      <c r="I263" s="1696" t="n">
        <v>0</v>
      </c>
      <c r="J263" s="1697" t="n">
        <v>50</v>
      </c>
      <c r="L263" s="1711" t="inlineStr">
        <is>
          <t>Christopher Dunn</t>
        </is>
      </c>
      <c r="N263" s="1374" t="inlineStr">
        <is>
          <t>cadwitney@gmail.com</t>
        </is>
      </c>
      <c r="O263" s="1604" t="inlineStr">
        <is>
          <t>45</t>
        </is>
      </c>
      <c r="P263" s="1604" t="inlineStr">
        <is>
          <t>07403678681</t>
        </is>
      </c>
      <c r="Q263" s="1697" t="inlineStr">
        <is>
          <t>OX28 6DP</t>
        </is>
      </c>
      <c r="R263" s="1697" t="inlineStr">
        <is>
          <t>15A Burford Road</t>
        </is>
      </c>
      <c r="S263" s="1697" t="inlineStr">
        <is>
          <t>Witney</t>
        </is>
      </c>
    </row>
    <row r="264">
      <c r="B264" s="1708" t="n">
        <v>45916</v>
      </c>
      <c r="C264" s="1568" t="inlineStr">
        <is>
          <t>Chesterton Windmill</t>
        </is>
      </c>
      <c r="E264" s="1568" t="inlineStr">
        <is>
          <t>2.5hrs</t>
        </is>
      </c>
      <c r="F264" s="1568" t="inlineStr">
        <is>
          <t>Existing</t>
        </is>
      </c>
      <c r="G264" s="87" t="inlineStr">
        <is>
          <t>#03003</t>
        </is>
      </c>
      <c r="H264" s="785" t="n">
        <v>45799</v>
      </c>
      <c r="I264" s="1696" t="n">
        <v>50</v>
      </c>
      <c r="J264" s="1697" t="n">
        <v>0</v>
      </c>
      <c r="L264" s="1610" t="inlineStr">
        <is>
          <t>David</t>
        </is>
      </c>
      <c r="M264" s="1610" t="inlineStr">
        <is>
          <t>Pyta</t>
        </is>
      </c>
      <c r="N264" s="1374" t="inlineStr">
        <is>
          <t>dave.pyta@gmail.com</t>
        </is>
      </c>
      <c r="O264" s="1604" t="inlineStr">
        <is>
          <t>59</t>
        </is>
      </c>
      <c r="P264" s="1604" t="inlineStr">
        <is>
          <t>07473977771</t>
        </is>
      </c>
      <c r="R264" s="1697" t="inlineStr">
        <is>
          <t>118 Shorncliffe Road</t>
        </is>
      </c>
    </row>
    <row r="265">
      <c r="B265" s="1708" t="n">
        <v>45916</v>
      </c>
      <c r="C265" s="1568" t="inlineStr">
        <is>
          <t>Chesterton Windmill</t>
        </is>
      </c>
      <c r="E265" s="1568" t="inlineStr">
        <is>
          <t>2.5hrs</t>
        </is>
      </c>
      <c r="F265" s="1568" t="inlineStr">
        <is>
          <t>Existing</t>
        </is>
      </c>
      <c r="G265" s="87" t="inlineStr">
        <is>
          <t>#03003</t>
        </is>
      </c>
      <c r="H265" s="785" t="n">
        <v>45799</v>
      </c>
      <c r="I265" s="1696" t="n">
        <v>50</v>
      </c>
      <c r="J265" s="1697" t="n">
        <v>0</v>
      </c>
      <c r="L265" s="1610" t="inlineStr">
        <is>
          <t>Philippa</t>
        </is>
      </c>
      <c r="N265" s="1374" t="n"/>
      <c r="O265" s="1604" t="n"/>
      <c r="P265" s="1604" t="n"/>
    </row>
    <row r="266">
      <c r="B266" s="1708" t="n">
        <v>45916</v>
      </c>
      <c r="C266" s="1568" t="inlineStr">
        <is>
          <t>Chesterton Windmill</t>
        </is>
      </c>
      <c r="E266" s="1568" t="inlineStr">
        <is>
          <t>2.5hrs</t>
        </is>
      </c>
      <c r="F266" s="1568" t="inlineStr">
        <is>
          <t>Google</t>
        </is>
      </c>
      <c r="G266" s="87" t="inlineStr">
        <is>
          <t>#03048</t>
        </is>
      </c>
      <c r="H266" s="785" t="n">
        <v>45889</v>
      </c>
      <c r="I266" s="1696" t="n">
        <v>50</v>
      </c>
      <c r="J266" s="1697" t="n">
        <v>0</v>
      </c>
      <c r="L266" s="1610" t="inlineStr">
        <is>
          <t>Rich</t>
        </is>
      </c>
      <c r="M266" s="1711" t="inlineStr">
        <is>
          <t>McClaughry</t>
        </is>
      </c>
      <c r="N266" s="1491" t="inlineStr">
        <is>
          <t>richiemack32@hotmail.com</t>
        </is>
      </c>
      <c r="O266" s="1604" t="inlineStr">
        <is>
          <t>42</t>
        </is>
      </c>
      <c r="P266" s="1604" t="inlineStr">
        <is>
          <t>07722911620</t>
        </is>
      </c>
    </row>
    <row r="267">
      <c r="B267" s="1708" t="n"/>
      <c r="H267" s="785" t="n"/>
    </row>
    <row r="268">
      <c r="B268" s="1708" t="n">
        <v>45919</v>
      </c>
      <c r="C268" s="1568" t="inlineStr">
        <is>
          <t>Lake District</t>
        </is>
      </c>
      <c r="D268" s="1568" t="inlineStr">
        <is>
          <t>Lake District</t>
        </is>
      </c>
      <c r="E268" s="1568" t="inlineStr">
        <is>
          <t>3 days</t>
        </is>
      </c>
      <c r="F268" s="1568" t="inlineStr">
        <is>
          <t>Referral</t>
        </is>
      </c>
      <c r="G268" s="87" t="inlineStr">
        <is>
          <t>#02936</t>
        </is>
      </c>
      <c r="H268" s="785" t="n">
        <v>45675</v>
      </c>
      <c r="I268" s="1696">
        <f>895+145</f>
        <v/>
      </c>
      <c r="J268" s="1697" t="n">
        <v>0</v>
      </c>
      <c r="K268" s="1568" t="inlineStr">
        <is>
          <t>Mr</t>
        </is>
      </c>
      <c r="L268" s="1610" t="inlineStr">
        <is>
          <t>John</t>
        </is>
      </c>
      <c r="M268" s="1711" t="inlineStr">
        <is>
          <t>Kitteringham</t>
        </is>
      </c>
      <c r="N268" s="1374" t="inlineStr">
        <is>
          <t>johnkitteringham@hotmail.co.uk</t>
        </is>
      </c>
      <c r="O268" s="1604" t="inlineStr">
        <is>
          <t>71</t>
        </is>
      </c>
      <c r="P268" s="1604" t="inlineStr">
        <is>
          <t>07792361028</t>
        </is>
      </c>
      <c r="Q268" s="1697" t="inlineStr">
        <is>
          <t>SG14 2DE</t>
        </is>
      </c>
      <c r="R268" s="1697" t="inlineStr">
        <is>
          <t>106 Fordwich Rise</t>
        </is>
      </c>
      <c r="S268" s="1568" t="inlineStr">
        <is>
          <t>Hertford</t>
        </is>
      </c>
    </row>
    <row r="269">
      <c r="B269" s="1708" t="n">
        <v>45919</v>
      </c>
      <c r="C269" s="1568" t="inlineStr">
        <is>
          <t>Lake District</t>
        </is>
      </c>
      <c r="D269" s="1568" t="inlineStr">
        <is>
          <t>Lake District + Thu Night</t>
        </is>
      </c>
      <c r="E269" s="1568" t="inlineStr">
        <is>
          <t>3 days</t>
        </is>
      </c>
      <c r="F269" s="1568" t="inlineStr">
        <is>
          <t>Exisiting</t>
        </is>
      </c>
      <c r="G269" s="1568" t="inlineStr">
        <is>
          <t>#03009</t>
        </is>
      </c>
      <c r="H269" s="785" t="n">
        <v>45815</v>
      </c>
      <c r="I269" s="1696" t="n">
        <v>1120</v>
      </c>
      <c r="J269" s="1697" t="n">
        <v>0</v>
      </c>
      <c r="K269" s="86" t="inlineStr">
        <is>
          <t>Ms</t>
        </is>
      </c>
      <c r="L269" s="1607" t="inlineStr">
        <is>
          <t>Joanne</t>
        </is>
      </c>
      <c r="M269" s="1607" t="inlineStr">
        <is>
          <t>Galloway</t>
        </is>
      </c>
      <c r="N269" s="1094" t="inlineStr">
        <is>
          <t xml:space="preserve">joannegalloway2003@yahoo.co.uk </t>
        </is>
      </c>
      <c r="O269" s="94" t="inlineStr">
        <is>
          <t>63</t>
        </is>
      </c>
      <c r="P269" s="1604" t="inlineStr">
        <is>
          <t>07974437317</t>
        </is>
      </c>
      <c r="Q269" s="1568" t="inlineStr">
        <is>
          <t>B91 2HW</t>
        </is>
      </c>
      <c r="R269" s="1568" t="inlineStr">
        <is>
          <t>177 Lode Lane</t>
        </is>
      </c>
      <c r="S269" s="87" t="inlineStr">
        <is>
          <t>Solihull</t>
        </is>
      </c>
    </row>
    <row r="270">
      <c r="B270" s="1708" t="n"/>
      <c r="C270" s="1568" t="n"/>
      <c r="D270" s="1568" t="n"/>
      <c r="E270" s="1568" t="n"/>
      <c r="F270" s="1568" t="n"/>
      <c r="G270" s="1568" t="n"/>
      <c r="H270" s="785" t="n"/>
      <c r="K270" s="86" t="n"/>
      <c r="L270" s="1607" t="n"/>
      <c r="M270" s="1607" t="n"/>
      <c r="N270" s="1094" t="n"/>
      <c r="O270" s="94" t="n"/>
      <c r="P270" s="1604" t="n"/>
      <c r="Q270" s="1568" t="n"/>
      <c r="R270" s="1568" t="n"/>
      <c r="S270" s="87" t="n"/>
    </row>
    <row r="271">
      <c r="B271" s="1753" t="n">
        <v>45924</v>
      </c>
      <c r="C271" s="883" t="inlineStr">
        <is>
          <t>Evening Urban Architecture Photography Workshop</t>
        </is>
      </c>
      <c r="D271" s="883" t="inlineStr">
        <is>
          <t>Coventry</t>
        </is>
      </c>
      <c r="E271" s="883" t="inlineStr">
        <is>
          <t>2.5hrs</t>
        </is>
      </c>
      <c r="F271" s="1643" t="inlineStr">
        <is>
          <t>JLR</t>
        </is>
      </c>
      <c r="G271" s="608" t="inlineStr">
        <is>
          <t>IIY#18711039744712sU</t>
        </is>
      </c>
      <c r="H271" s="904" t="n">
        <v>45783</v>
      </c>
      <c r="I271" s="1645" t="n">
        <v>0</v>
      </c>
      <c r="J271" s="1643" t="n">
        <v>50</v>
      </c>
      <c r="K271" s="1643" t="n"/>
      <c r="L271" s="1763" t="inlineStr">
        <is>
          <t>Scott Bremner</t>
        </is>
      </c>
      <c r="N271" s="1374" t="inlineStr">
        <is>
          <t>sbremner@jaguarlandrover.com</t>
        </is>
      </c>
      <c r="O271" s="1604" t="n"/>
      <c r="P271" s="1604" t="inlineStr">
        <is>
          <t>07725 886827</t>
        </is>
      </c>
      <c r="S271" s="1568" t="n"/>
    </row>
    <row r="272">
      <c r="B272" s="1708" t="n">
        <v>45924</v>
      </c>
      <c r="C272" s="783" t="inlineStr">
        <is>
          <t>Evening Urban Architecture Photography Workshop</t>
        </is>
      </c>
      <c r="D272" s="783" t="inlineStr">
        <is>
          <t>Coventry</t>
        </is>
      </c>
      <c r="E272" s="783" t="inlineStr">
        <is>
          <t>2.5hrs</t>
        </is>
      </c>
      <c r="F272" s="1568" t="inlineStr">
        <is>
          <t>JLR</t>
        </is>
      </c>
      <c r="G272" s="87" t="inlineStr">
        <is>
          <t>IIY#9629774212471Kvv</t>
        </is>
      </c>
      <c r="H272" s="785" t="n">
        <v>45780</v>
      </c>
      <c r="I272" s="1696" t="n">
        <v>0</v>
      </c>
      <c r="J272" s="1697" t="n">
        <v>50</v>
      </c>
      <c r="K272" s="1568" t="n"/>
      <c r="L272" s="1610" t="inlineStr">
        <is>
          <t>Gregory Moys</t>
        </is>
      </c>
      <c r="N272" s="1770" t="inlineStr">
        <is>
          <t>gmoys@jaguarlandrover.com</t>
        </is>
      </c>
      <c r="O272" s="1604" t="n"/>
      <c r="P272" s="1604" t="inlineStr">
        <is>
          <t>07597 716 914</t>
        </is>
      </c>
      <c r="S272" s="1568" t="n"/>
    </row>
    <row r="273">
      <c r="B273" s="1708" t="n">
        <v>45924</v>
      </c>
      <c r="C273" s="783" t="inlineStr">
        <is>
          <t>Evening Urban Architecture Photography Workshop</t>
        </is>
      </c>
      <c r="D273" s="783" t="inlineStr">
        <is>
          <t>Coventry</t>
        </is>
      </c>
      <c r="E273" s="783" t="inlineStr">
        <is>
          <t>2.5hrs</t>
        </is>
      </c>
      <c r="F273" s="1568" t="inlineStr">
        <is>
          <t>Existing</t>
        </is>
      </c>
      <c r="G273" s="87" t="inlineStr">
        <is>
          <t>#03068</t>
        </is>
      </c>
      <c r="H273" s="785" t="n">
        <v>45904</v>
      </c>
      <c r="I273" s="1696" t="n">
        <v>50</v>
      </c>
      <c r="K273" s="1568" t="n"/>
      <c r="L273" s="1610" t="inlineStr">
        <is>
          <t>Sandra Dawkes</t>
        </is>
      </c>
      <c r="N273" s="1374" t="inlineStr">
        <is>
          <t xml:space="preserve">sandradawkes64@yahoo.co.uk </t>
        </is>
      </c>
      <c r="O273" s="1604" t="n"/>
      <c r="P273" s="1604" t="inlineStr">
        <is>
          <t>07748518508</t>
        </is>
      </c>
      <c r="S273" s="1568" t="n"/>
    </row>
    <row r="274">
      <c r="B274" s="1708" t="n">
        <v>45924</v>
      </c>
      <c r="C274" s="783" t="inlineStr">
        <is>
          <t>Evening Urban Architecture Photography Workshop</t>
        </is>
      </c>
      <c r="D274" s="783" t="inlineStr">
        <is>
          <t>Coventry</t>
        </is>
      </c>
      <c r="E274" s="783" t="inlineStr">
        <is>
          <t>2.5hrs</t>
        </is>
      </c>
      <c r="F274" s="1568" t="inlineStr">
        <is>
          <t>Existing</t>
        </is>
      </c>
      <c r="G274" s="87" t="inlineStr">
        <is>
          <t>#03078</t>
        </is>
      </c>
      <c r="H274" s="785" t="n">
        <v>45908</v>
      </c>
      <c r="I274" s="1696" t="n">
        <v>50</v>
      </c>
      <c r="J274" s="1697" t="n">
        <v>0</v>
      </c>
      <c r="K274" s="1568" t="n"/>
      <c r="L274" s="1610" t="inlineStr">
        <is>
          <t>Gillian</t>
        </is>
      </c>
      <c r="M274" s="1610" t="inlineStr">
        <is>
          <t>Perry</t>
        </is>
      </c>
      <c r="N274" s="1374" t="inlineStr">
        <is>
          <t xml:space="preserve">gillian@igapsolutions.com </t>
        </is>
      </c>
      <c r="O274" s="1604" t="inlineStr">
        <is>
          <t>62</t>
        </is>
      </c>
      <c r="P274" s="1604" t="inlineStr">
        <is>
          <t>07778034191</t>
        </is>
      </c>
      <c r="S274" s="1568" t="n"/>
    </row>
    <row r="275">
      <c r="B275" s="1708" t="n">
        <v>45924</v>
      </c>
      <c r="C275" s="783" t="inlineStr">
        <is>
          <t>Evening Urban Architecture Photography Workshop</t>
        </is>
      </c>
      <c r="D275" s="783" t="inlineStr">
        <is>
          <t>Coventry</t>
        </is>
      </c>
      <c r="E275" s="783" t="inlineStr">
        <is>
          <t>2.5hrs</t>
        </is>
      </c>
      <c r="F275" s="1568" t="inlineStr">
        <is>
          <t>Referral</t>
        </is>
      </c>
      <c r="G275" s="87" t="inlineStr">
        <is>
          <t>#03109</t>
        </is>
      </c>
      <c r="H275" s="785" t="n">
        <v>45918</v>
      </c>
      <c r="I275" s="1696" t="n">
        <v>50</v>
      </c>
      <c r="K275" s="1568" t="inlineStr">
        <is>
          <t>Mr</t>
        </is>
      </c>
      <c r="L275" s="1610" t="inlineStr">
        <is>
          <t>James</t>
        </is>
      </c>
      <c r="M275" s="1610" t="inlineStr">
        <is>
          <t>Bevan</t>
        </is>
      </c>
      <c r="N275" s="1374" t="inlineStr">
        <is>
          <t xml:space="preserve">james-bevan@hotmail.co.uk </t>
        </is>
      </c>
      <c r="O275" s="1604" t="n">
        <v>20</v>
      </c>
      <c r="P275" s="1604" t="inlineStr">
        <is>
          <t>07577165210</t>
        </is>
      </c>
      <c r="S275" s="1568" t="n"/>
    </row>
    <row r="276">
      <c r="B276" s="1708" t="n">
        <v>45924</v>
      </c>
      <c r="C276" s="783" t="inlineStr">
        <is>
          <t>Evening Urban Architecture Photography Workshop</t>
        </is>
      </c>
      <c r="D276" s="783" t="inlineStr">
        <is>
          <t>Coventry</t>
        </is>
      </c>
      <c r="E276" s="783" t="inlineStr">
        <is>
          <t>2.5hrs</t>
        </is>
      </c>
      <c r="F276" s="1568" t="inlineStr">
        <is>
          <t>Google</t>
        </is>
      </c>
      <c r="G276" s="87" t="inlineStr">
        <is>
          <t>#03111</t>
        </is>
      </c>
      <c r="H276" s="785" t="n">
        <v>45921</v>
      </c>
      <c r="I276" s="1696" t="n">
        <v>50</v>
      </c>
      <c r="J276" s="1697" t="n">
        <v>0</v>
      </c>
      <c r="K276" s="1568" t="inlineStr">
        <is>
          <t>Mr</t>
        </is>
      </c>
      <c r="L276" s="1610" t="inlineStr">
        <is>
          <t>David</t>
        </is>
      </c>
      <c r="M276" s="1610" t="inlineStr">
        <is>
          <t>Gallagher</t>
        </is>
      </c>
      <c r="N276" s="1374" t="inlineStr">
        <is>
          <t xml:space="preserve">handmade205@gmail.com </t>
        </is>
      </c>
      <c r="O276" s="1604" t="inlineStr">
        <is>
          <t>52</t>
        </is>
      </c>
      <c r="P276" s="1604" t="inlineStr">
        <is>
          <t>07956252762</t>
        </is>
      </c>
      <c r="S276" s="1568" t="n"/>
    </row>
    <row r="277">
      <c r="B277" s="1708" t="n"/>
      <c r="C277" s="783" t="n"/>
      <c r="D277" s="783" t="n"/>
      <c r="E277" s="783" t="n"/>
      <c r="F277" s="1568" t="n"/>
      <c r="G277" s="87" t="n"/>
      <c r="H277" s="785" t="n"/>
      <c r="K277" s="1568" t="n"/>
      <c r="L277" s="1610" t="n"/>
      <c r="N277" s="1374" t="n"/>
      <c r="O277" s="1604" t="n"/>
      <c r="P277" s="1604" t="n"/>
      <c r="S277" s="1568" t="n"/>
    </row>
    <row r="278">
      <c r="B278" s="1708" t="n">
        <v>45926</v>
      </c>
      <c r="C278" s="1184" t="inlineStr">
        <is>
          <t>Hartland Quay</t>
        </is>
      </c>
      <c r="D278" s="783" t="inlineStr">
        <is>
          <t>Husband coming so charde double occupancy</t>
        </is>
      </c>
      <c r="E278" s="783" t="inlineStr">
        <is>
          <t>3 Days</t>
        </is>
      </c>
      <c r="F278" s="1568" t="inlineStr">
        <is>
          <t>Google</t>
        </is>
      </c>
      <c r="G278" s="87" t="inlineStr">
        <is>
          <t>#03014</t>
        </is>
      </c>
      <c r="H278" s="785" t="n">
        <v>45819</v>
      </c>
      <c r="I278" s="1696">
        <f>750+80</f>
        <v/>
      </c>
      <c r="K278" s="1568" t="inlineStr">
        <is>
          <t>Mrs</t>
        </is>
      </c>
      <c r="L278" s="1610" t="inlineStr">
        <is>
          <t xml:space="preserve">Constance </t>
        </is>
      </c>
      <c r="M278" s="1711" t="inlineStr">
        <is>
          <t>Miller</t>
        </is>
      </c>
      <c r="N278" s="1374" t="inlineStr">
        <is>
          <t xml:space="preserve">connie_fm@hotmail.com </t>
        </is>
      </c>
      <c r="O278" s="1604" t="n"/>
      <c r="P278" s="1604" t="n"/>
      <c r="S278" s="1568" t="inlineStr">
        <is>
          <t>Canada</t>
        </is>
      </c>
    </row>
    <row r="279">
      <c r="B279" s="1708" t="n">
        <v>45926</v>
      </c>
      <c r="C279" s="1184" t="inlineStr">
        <is>
          <t>Hartland Quay</t>
        </is>
      </c>
      <c r="D279" s="783" t="inlineStr">
        <is>
          <t>Wife coming so charde double occupancy</t>
        </is>
      </c>
      <c r="E279" s="783" t="inlineStr">
        <is>
          <t>3 Days</t>
        </is>
      </c>
      <c r="F279" s="1568" t="inlineStr">
        <is>
          <t>Google</t>
        </is>
      </c>
      <c r="G279" s="87" t="inlineStr">
        <is>
          <t>#03025</t>
        </is>
      </c>
      <c r="H279" s="785" t="n">
        <v>45838</v>
      </c>
      <c r="I279" s="1696" t="n">
        <v>750</v>
      </c>
      <c r="K279" s="1568" t="inlineStr">
        <is>
          <t>Mr</t>
        </is>
      </c>
      <c r="L279" s="1610" t="inlineStr">
        <is>
          <t xml:space="preserve">Bassam </t>
        </is>
      </c>
      <c r="M279" s="1711" t="inlineStr">
        <is>
          <t>Aljazi</t>
        </is>
      </c>
      <c r="N279" s="1374" t="inlineStr">
        <is>
          <t>bassam.aljazy@gmail.com</t>
        </is>
      </c>
      <c r="O279" s="1604" t="n"/>
      <c r="P279" s="1604" t="n"/>
      <c r="S279" s="1568" t="inlineStr">
        <is>
          <t>Jordan</t>
        </is>
      </c>
    </row>
    <row r="280">
      <c r="B280" s="1708" t="n">
        <v>45926</v>
      </c>
      <c r="C280" s="1184" t="inlineStr">
        <is>
          <t>Hartland Quay</t>
        </is>
      </c>
      <c r="D280" s="783" t="inlineStr">
        <is>
          <t>plus thu night</t>
        </is>
      </c>
      <c r="E280" s="783" t="inlineStr">
        <is>
          <t>3 Days</t>
        </is>
      </c>
      <c r="F280" s="1568" t="inlineStr">
        <is>
          <t>Google</t>
        </is>
      </c>
      <c r="G280" s="87" t="inlineStr">
        <is>
          <t>#03071</t>
        </is>
      </c>
      <c r="H280" s="785" t="n">
        <v>45905</v>
      </c>
      <c r="I280" s="1696" t="n">
        <v>750</v>
      </c>
      <c r="K280" s="1568" t="inlineStr">
        <is>
          <t>Mr</t>
        </is>
      </c>
      <c r="L280" s="1610" t="inlineStr">
        <is>
          <t>Derek</t>
        </is>
      </c>
      <c r="M280" s="1610" t="inlineStr">
        <is>
          <t>Butt</t>
        </is>
      </c>
      <c r="N280" s="1374" t="inlineStr">
        <is>
          <t>pdbutt7@ntlworld.com</t>
        </is>
      </c>
      <c r="O280" s="1604" t="inlineStr">
        <is>
          <t>75</t>
        </is>
      </c>
      <c r="P280" s="1604" t="inlineStr">
        <is>
          <t>07747568482</t>
        </is>
      </c>
      <c r="S280" s="1568" t="n"/>
    </row>
    <row r="281">
      <c r="B281" s="1708" t="n"/>
      <c r="D281" s="1568" t="n"/>
      <c r="E281" s="1568" t="n"/>
      <c r="F281" s="1568" t="n"/>
      <c r="G281" s="87" t="n"/>
      <c r="H281" s="785" t="n"/>
      <c r="K281" s="1568" t="n"/>
      <c r="L281" s="1610" t="n"/>
      <c r="O281" s="1604" t="n"/>
      <c r="P281" s="1604" t="n"/>
      <c r="S281" s="1568" t="n"/>
    </row>
    <row r="282">
      <c r="B282" s="1708" t="n">
        <v>45931</v>
      </c>
      <c r="C282" s="1568" t="inlineStr">
        <is>
          <t>Chesterton Windmill</t>
        </is>
      </c>
      <c r="D282" s="1568" t="n"/>
      <c r="E282" s="1568" t="inlineStr">
        <is>
          <t>2.5hrs</t>
        </is>
      </c>
      <c r="F282" s="1568" t="inlineStr">
        <is>
          <t>JLR</t>
        </is>
      </c>
      <c r="G282" s="87" t="inlineStr">
        <is>
          <t>IIY#5320443613471uIJ</t>
        </is>
      </c>
      <c r="H282" s="785" t="n">
        <v>45749</v>
      </c>
      <c r="I282" s="1696" t="n">
        <v>0</v>
      </c>
      <c r="J282" s="1697" t="n">
        <v>50</v>
      </c>
      <c r="K282" s="1568" t="n"/>
      <c r="L282" s="1610" t="inlineStr">
        <is>
          <t>Charlie Gladden</t>
        </is>
      </c>
      <c r="N282" s="1374" t="inlineStr">
        <is>
          <t>cgladde2@jaguarlandrover.com</t>
        </is>
      </c>
      <c r="O282" s="1604" t="n"/>
      <c r="P282" s="1604" t="inlineStr">
        <is>
          <t>07809219162</t>
        </is>
      </c>
      <c r="S282" s="1568" t="n"/>
    </row>
    <row r="283">
      <c r="B283" s="1708" t="n">
        <v>45931</v>
      </c>
      <c r="C283" s="1568" t="inlineStr">
        <is>
          <t>Chesterton Windmill</t>
        </is>
      </c>
      <c r="E283" s="1568" t="inlineStr">
        <is>
          <t>2.5hrs</t>
        </is>
      </c>
      <c r="F283" s="1568" t="inlineStr">
        <is>
          <t>JLR</t>
        </is>
      </c>
      <c r="G283" s="505" t="inlineStr">
        <is>
          <t>IIY#4621938243471Otp</t>
        </is>
      </c>
      <c r="H283" s="785" t="n">
        <v>45780</v>
      </c>
      <c r="I283" s="1696" t="n">
        <v>0</v>
      </c>
      <c r="J283" s="1697" t="n">
        <v>50</v>
      </c>
      <c r="L283" s="1763" t="inlineStr">
        <is>
          <t>Ana Alexa</t>
        </is>
      </c>
      <c r="N283" s="1770" t="inlineStr">
        <is>
          <t>aalexa1@jaguarlandrover.com</t>
        </is>
      </c>
      <c r="S283" s="1568" t="n"/>
    </row>
    <row r="284">
      <c r="B284" s="1708" t="n">
        <v>45931</v>
      </c>
      <c r="C284" s="1568" t="inlineStr">
        <is>
          <t>Chesterton Windmill</t>
        </is>
      </c>
      <c r="E284" s="1568" t="inlineStr">
        <is>
          <t>2.5hrs</t>
        </is>
      </c>
      <c r="F284" s="1568" t="inlineStr">
        <is>
          <t>JLR</t>
        </is>
      </c>
      <c r="G284" s="87" t="inlineStr">
        <is>
          <t>IIY#1923829243471SLC</t>
        </is>
      </c>
      <c r="H284" s="785" t="n">
        <v>45792</v>
      </c>
      <c r="I284" s="1696" t="n">
        <v>0</v>
      </c>
      <c r="J284" s="1697" t="n">
        <v>50</v>
      </c>
      <c r="K284" s="1568" t="n"/>
      <c r="L284" s="1763" t="inlineStr">
        <is>
          <t xml:space="preserve">Ileana Sandoiu </t>
        </is>
      </c>
      <c r="N284" s="1374" t="inlineStr">
        <is>
          <t>isandoi1@jaguarlandrover.com</t>
        </is>
      </c>
      <c r="O284" s="1604" t="n"/>
      <c r="P284" s="1604" t="inlineStr">
        <is>
          <t>07557049237</t>
        </is>
      </c>
      <c r="S284" s="1568" t="n"/>
    </row>
    <row r="285">
      <c r="B285" s="1708" t="n"/>
      <c r="C285" s="1708" t="n"/>
      <c r="D285" s="1568" t="n"/>
      <c r="E285" s="1568" t="n"/>
      <c r="F285" s="1568" t="n"/>
      <c r="G285" s="87" t="n"/>
      <c r="H285" s="785" t="n"/>
      <c r="K285" s="1568" t="n"/>
      <c r="L285" s="1610" t="n"/>
      <c r="N285" s="1374" t="n"/>
      <c r="O285" s="1604" t="n"/>
      <c r="P285" s="1604" t="n"/>
      <c r="S285" s="1568" t="n"/>
    </row>
    <row r="286">
      <c r="B286" s="1708" t="n"/>
      <c r="C286" s="1708" t="n"/>
      <c r="D286" s="1568" t="n"/>
      <c r="E286" s="1568" t="n"/>
      <c r="F286" s="1568" t="n"/>
      <c r="G286" s="87" t="n"/>
      <c r="H286" s="785" t="n"/>
      <c r="K286" s="1568" t="n"/>
      <c r="L286" s="1610" t="n"/>
      <c r="N286" s="1374" t="n"/>
      <c r="O286" s="1604" t="n"/>
      <c r="P286" s="1604" t="n"/>
      <c r="S286" s="1568" t="n"/>
    </row>
    <row r="287">
      <c r="A287" s="1708" t="n"/>
      <c r="B287" s="1708" t="n">
        <v>45947</v>
      </c>
      <c r="C287" s="783" t="inlineStr">
        <is>
          <t>Woodland Walk</t>
        </is>
      </c>
      <c r="D287" s="783" t="inlineStr">
        <is>
          <t>Piles Coppice</t>
        </is>
      </c>
      <c r="E287" s="783" t="inlineStr">
        <is>
          <t>2hrs</t>
        </is>
      </c>
      <c r="F287" s="1750" t="inlineStr">
        <is>
          <t>Referral</t>
        </is>
      </c>
      <c r="G287" s="785" t="inlineStr">
        <is>
          <t>#02935</t>
        </is>
      </c>
      <c r="H287" s="785" t="n">
        <v>45674</v>
      </c>
      <c r="I287" s="1750" t="n">
        <v>15</v>
      </c>
      <c r="J287" s="1750" t="n">
        <v>0</v>
      </c>
      <c r="K287" s="1705" t="inlineStr">
        <is>
          <t>Mrs</t>
        </is>
      </c>
      <c r="L287" s="1706" t="inlineStr">
        <is>
          <t>Sapa</t>
        </is>
      </c>
      <c r="M287" s="1707" t="inlineStr">
        <is>
          <t>Patni</t>
        </is>
      </c>
      <c r="N287" s="1374" t="inlineStr">
        <is>
          <t>jaysapna747@gmail.com</t>
        </is>
      </c>
      <c r="O287" s="1707" t="inlineStr">
        <is>
          <t>41</t>
        </is>
      </c>
      <c r="P287" s="1707" t="inlineStr">
        <is>
          <t>07738069907</t>
        </is>
      </c>
      <c r="Q287" s="1646" t="inlineStr">
        <is>
          <t>B92 0BZ</t>
        </is>
      </c>
      <c r="R287" s="1646" t="inlineStr">
        <is>
          <t>24 Diddington Lane</t>
        </is>
      </c>
      <c r="S287" s="1568" t="inlineStr">
        <is>
          <t>Solihull</t>
        </is>
      </c>
      <c r="T287" s="1708" t="n"/>
    </row>
    <row r="288">
      <c r="A288" s="1708" t="n"/>
      <c r="B288" s="1708" t="n">
        <v>45947</v>
      </c>
      <c r="C288" s="783" t="inlineStr">
        <is>
          <t>Woodland Walk</t>
        </is>
      </c>
      <c r="D288" s="783" t="inlineStr">
        <is>
          <t>Piles Coppice</t>
        </is>
      </c>
      <c r="E288" s="783" t="inlineStr">
        <is>
          <t>2hrs</t>
        </is>
      </c>
      <c r="F288" s="1750" t="inlineStr">
        <is>
          <t>JLR</t>
        </is>
      </c>
      <c r="G288" s="785" t="inlineStr">
        <is>
          <t>IIY#4020416750471SVj</t>
        </is>
      </c>
      <c r="H288" s="785" t="n">
        <v>45715</v>
      </c>
      <c r="I288" s="1750" t="n"/>
      <c r="J288" s="1750" t="n">
        <v>12</v>
      </c>
      <c r="K288" s="1705" t="n"/>
      <c r="L288" s="1706" t="inlineStr">
        <is>
          <t>Arun Ramajayam</t>
        </is>
      </c>
      <c r="M288" s="1707" t="n"/>
      <c r="N288" s="1374" t="inlineStr">
        <is>
          <t>aramajay@jaguarlandrover.com</t>
        </is>
      </c>
      <c r="O288" s="1707" t="n"/>
      <c r="P288" s="1707" t="n"/>
      <c r="Q288" s="1646" t="n"/>
      <c r="R288" s="1646" t="n"/>
      <c r="S288" s="1568" t="n"/>
      <c r="T288" s="1708" t="n"/>
    </row>
    <row r="289">
      <c r="A289" s="1708" t="n"/>
      <c r="B289" s="1753" t="n">
        <v>45947</v>
      </c>
      <c r="C289" s="883" t="inlineStr">
        <is>
          <t>Woodland Walk</t>
        </is>
      </c>
      <c r="D289" s="883" t="inlineStr">
        <is>
          <t>Piles Coppice</t>
        </is>
      </c>
      <c r="E289" s="783" t="inlineStr">
        <is>
          <t>2hrs</t>
        </is>
      </c>
      <c r="F289" s="1750" t="inlineStr">
        <is>
          <t>JLR</t>
        </is>
      </c>
      <c r="G289" s="785" t="inlineStr">
        <is>
          <t>IIY#7486900011471UWB</t>
        </is>
      </c>
      <c r="H289" s="785" t="n">
        <v>45722</v>
      </c>
      <c r="I289" s="1750" t="n"/>
      <c r="J289" s="1750" t="n">
        <v>12</v>
      </c>
      <c r="K289" s="1705" t="n"/>
      <c r="L289" s="1766" t="inlineStr">
        <is>
          <t>Navin Soni</t>
        </is>
      </c>
      <c r="M289" s="1707" t="n"/>
      <c r="N289" s="1374" t="inlineStr">
        <is>
          <t>nsoni1@jaguarlandrover.com</t>
        </is>
      </c>
      <c r="O289" s="1707" t="n"/>
      <c r="P289" s="1707" t="n"/>
      <c r="Q289" s="1646" t="n"/>
      <c r="R289" s="1646" t="n"/>
      <c r="S289" s="1568" t="n"/>
      <c r="T289" s="1708" t="n"/>
    </row>
    <row r="290">
      <c r="A290" s="1708" t="n"/>
      <c r="B290" s="1708" t="n">
        <v>45947</v>
      </c>
      <c r="C290" s="783" t="inlineStr">
        <is>
          <t>Woodland Walk</t>
        </is>
      </c>
      <c r="D290" s="783" t="inlineStr">
        <is>
          <t>Piles Coppice</t>
        </is>
      </c>
      <c r="E290" s="783" t="inlineStr">
        <is>
          <t>2hrs</t>
        </is>
      </c>
      <c r="F290" s="1750" t="inlineStr">
        <is>
          <t>JLR</t>
        </is>
      </c>
      <c r="G290" s="785" t="inlineStr">
        <is>
          <t>IIY#3479900011471Na7</t>
        </is>
      </c>
      <c r="H290" s="785" t="n">
        <v>45729</v>
      </c>
      <c r="I290" s="1750" t="n"/>
      <c r="J290" s="1750" t="n">
        <v>12</v>
      </c>
      <c r="K290" s="1705" t="n"/>
      <c r="L290" s="1706" t="inlineStr">
        <is>
          <t>Mahendran Divakaran</t>
        </is>
      </c>
      <c r="M290" s="1707" t="n"/>
      <c r="N290" s="1374" t="inlineStr">
        <is>
          <t>mdivaka1@jaguarlandrover.com</t>
        </is>
      </c>
      <c r="O290" s="1707" t="n"/>
      <c r="P290" s="1707" t="inlineStr">
        <is>
          <t>07721872484</t>
        </is>
      </c>
      <c r="Q290" s="1646" t="n"/>
      <c r="R290" s="1646" t="n"/>
      <c r="S290" s="1568" t="n"/>
      <c r="T290" s="1708" t="n"/>
    </row>
    <row r="291">
      <c r="A291" s="1708" t="n"/>
      <c r="B291" s="1708" t="n">
        <v>45947</v>
      </c>
      <c r="C291" s="783" t="inlineStr">
        <is>
          <t>Woodland Walk</t>
        </is>
      </c>
      <c r="D291" s="783" t="inlineStr">
        <is>
          <t>Piles Coppice</t>
        </is>
      </c>
      <c r="E291" s="783" t="inlineStr">
        <is>
          <t>2hrs</t>
        </is>
      </c>
      <c r="F291" s="1750" t="inlineStr">
        <is>
          <t>JLR</t>
        </is>
      </c>
      <c r="G291" s="785" t="inlineStr">
        <is>
          <t>IIY#2607704831471tfz</t>
        </is>
      </c>
      <c r="H291" s="785" t="n">
        <v>45729</v>
      </c>
      <c r="I291" s="1750" t="n">
        <v>0</v>
      </c>
      <c r="J291" s="1750" t="n">
        <v>15</v>
      </c>
      <c r="K291" s="1705" t="n"/>
      <c r="L291" s="1706" t="inlineStr">
        <is>
          <t>Ilkan Akten</t>
        </is>
      </c>
      <c r="M291" s="1707" t="n"/>
      <c r="N291" s="1374" t="inlineStr">
        <is>
          <t>iakten@jaguarlandrover.com</t>
        </is>
      </c>
      <c r="O291" s="1707" t="n"/>
      <c r="P291" s="1707" t="n"/>
      <c r="Q291" s="1646" t="n"/>
      <c r="R291" s="1646" t="n"/>
      <c r="S291" s="1568" t="n"/>
      <c r="T291" s="1708" t="n"/>
    </row>
    <row r="292">
      <c r="A292" s="1708" t="n"/>
      <c r="B292" s="1708" t="n">
        <v>45947</v>
      </c>
      <c r="C292" s="783" t="inlineStr">
        <is>
          <t>Woodland Walk</t>
        </is>
      </c>
      <c r="D292" s="783" t="inlineStr">
        <is>
          <t>Piles Coppice</t>
        </is>
      </c>
      <c r="E292" s="783" t="inlineStr">
        <is>
          <t>2hrs</t>
        </is>
      </c>
      <c r="F292" s="1750" t="inlineStr">
        <is>
          <t>JLR</t>
        </is>
      </c>
      <c r="G292" s="785" t="inlineStr">
        <is>
          <t>IIY#2532450001471abV</t>
        </is>
      </c>
      <c r="H292" s="785" t="n">
        <v>45734</v>
      </c>
      <c r="I292" s="1750" t="n">
        <v>0</v>
      </c>
      <c r="J292" s="1750" t="n">
        <v>12</v>
      </c>
      <c r="K292" s="1705" t="n"/>
      <c r="L292" s="1706" t="inlineStr">
        <is>
          <t>Bridget Connolly</t>
        </is>
      </c>
      <c r="M292" s="1707" t="n"/>
      <c r="N292" s="1374" t="inlineStr">
        <is>
          <t>bconnol1@jaguarlandrover.com</t>
        </is>
      </c>
      <c r="O292" s="1707" t="n"/>
      <c r="P292" s="1707" t="inlineStr">
        <is>
          <t>07912 010 453</t>
        </is>
      </c>
      <c r="Q292" s="1646" t="n"/>
      <c r="R292" s="1646" t="n"/>
      <c r="S292" s="1568" t="n"/>
      <c r="T292" s="1708" t="n"/>
    </row>
    <row r="293">
      <c r="A293" s="1708" t="n"/>
      <c r="B293" s="1753" t="n">
        <v>45947</v>
      </c>
      <c r="C293" s="883" t="inlineStr">
        <is>
          <t>Woodland Walk</t>
        </is>
      </c>
      <c r="D293" s="883" t="inlineStr">
        <is>
          <t>Piles Coppice</t>
        </is>
      </c>
      <c r="E293" s="883" t="inlineStr">
        <is>
          <t>2hrs</t>
        </is>
      </c>
      <c r="F293" s="1765" t="inlineStr">
        <is>
          <t>JLR</t>
        </is>
      </c>
      <c r="G293" s="904" t="inlineStr">
        <is>
          <t>IIY#6858743431471Ak0</t>
        </is>
      </c>
      <c r="H293" s="904" t="n">
        <v>45734</v>
      </c>
      <c r="I293" s="1765" t="n">
        <v>0</v>
      </c>
      <c r="J293" s="1750" t="n">
        <v>15</v>
      </c>
      <c r="K293" s="1705" t="n"/>
      <c r="L293" s="1706" t="inlineStr">
        <is>
          <t>Gopalachary Raghavachary</t>
        </is>
      </c>
      <c r="M293" s="1707" t="n"/>
      <c r="N293" s="1374" t="inlineStr">
        <is>
          <t>graghava@jaguarlandrover.com</t>
        </is>
      </c>
      <c r="O293" s="1707" t="n"/>
      <c r="P293" s="1707" t="n"/>
      <c r="Q293" s="1646" t="n"/>
      <c r="R293" s="1646" t="n"/>
      <c r="S293" s="1568" t="n"/>
      <c r="T293" s="1708" t="n"/>
    </row>
    <row r="294">
      <c r="A294" s="1708" t="n"/>
      <c r="B294" s="1708" t="n"/>
      <c r="C294" s="783" t="n"/>
      <c r="D294" s="783" t="n"/>
      <c r="E294" s="783" t="n"/>
      <c r="F294" s="1750" t="n"/>
      <c r="G294" s="785" t="n"/>
      <c r="H294" s="785" t="n"/>
      <c r="I294" s="1750" t="n"/>
      <c r="J294" s="1750" t="n"/>
      <c r="K294" s="1705" t="n"/>
      <c r="L294" s="1706" t="n"/>
      <c r="M294" s="1707" t="n"/>
      <c r="N294" s="1374" t="n"/>
      <c r="O294" s="1707" t="n"/>
      <c r="P294" s="1707" t="n"/>
      <c r="Q294" s="1646" t="n"/>
      <c r="R294" s="1646" t="n"/>
      <c r="S294" s="1568" t="n"/>
      <c r="T294" s="1708" t="n"/>
    </row>
    <row r="295">
      <c r="A295" s="1708" t="n"/>
      <c r="B295" s="1708" t="n">
        <v>45948</v>
      </c>
      <c r="C295" s="783" t="inlineStr">
        <is>
          <t>Peak District Photography Workshops Padley Gorge</t>
        </is>
      </c>
      <c r="D295" s="1568" t="inlineStr">
        <is>
          <t>Padley And Bolehill</t>
        </is>
      </c>
      <c r="E295" s="783" t="inlineStr">
        <is>
          <t>7hrs</t>
        </is>
      </c>
      <c r="F295" s="1750" t="inlineStr">
        <is>
          <t>JLR</t>
        </is>
      </c>
      <c r="G295" s="785" t="inlineStr">
        <is>
          <t>IIY#4345421642471txD</t>
        </is>
      </c>
      <c r="H295" s="785" t="n">
        <v>45736</v>
      </c>
      <c r="I295" s="1750" t="n">
        <v>0</v>
      </c>
      <c r="J295" s="1750" t="n">
        <v>150</v>
      </c>
      <c r="K295" s="1705" t="n"/>
      <c r="L295" s="1706" t="inlineStr">
        <is>
          <t>Joseph Symonds</t>
        </is>
      </c>
      <c r="M295" s="1707" t="n"/>
      <c r="N295" s="1374" t="inlineStr">
        <is>
          <t>jsymond2@jaguarlandrover.com</t>
        </is>
      </c>
      <c r="O295" s="1707" t="n"/>
      <c r="P295" s="1707" t="inlineStr">
        <is>
          <t>07470 204488</t>
        </is>
      </c>
      <c r="Q295" s="1646" t="n"/>
      <c r="R295" s="1646" t="n"/>
      <c r="S295" s="1568" t="n"/>
      <c r="T295" s="1708" t="n"/>
    </row>
    <row r="296">
      <c r="A296" s="1708" t="n"/>
      <c r="B296" s="1708" t="n">
        <v>45948</v>
      </c>
      <c r="C296" s="783" t="inlineStr">
        <is>
          <t>Peak District Photography Workshops Padley Gorge</t>
        </is>
      </c>
      <c r="D296" s="1568" t="inlineStr">
        <is>
          <t>Padley And Bolehill</t>
        </is>
      </c>
      <c r="E296" s="783" t="inlineStr">
        <is>
          <t>7hrs</t>
        </is>
      </c>
      <c r="F296" s="1568" t="inlineStr">
        <is>
          <t>Into the Blue</t>
        </is>
      </c>
      <c r="G296" s="1086" t="inlineStr">
        <is>
          <t>2501300334</t>
        </is>
      </c>
      <c r="H296" s="785" t="n">
        <v>45687</v>
      </c>
      <c r="I296" s="1750" t="n">
        <v>120</v>
      </c>
      <c r="J296" s="1750" t="n">
        <v>0</v>
      </c>
      <c r="K296" s="1705" t="inlineStr">
        <is>
          <t>Ms</t>
        </is>
      </c>
      <c r="L296" s="1706" t="inlineStr">
        <is>
          <t>Bernadette</t>
        </is>
      </c>
      <c r="M296" s="1707" t="inlineStr">
        <is>
          <t>Hart</t>
        </is>
      </c>
      <c r="N296" s="1374" t="inlineStr">
        <is>
          <t>bernadettehart0@gmail.com</t>
        </is>
      </c>
      <c r="O296" s="1707" t="n"/>
      <c r="P296" s="1707" t="inlineStr">
        <is>
          <t>07803 528139</t>
        </is>
      </c>
      <c r="Q296" s="1646" t="n"/>
      <c r="R296" s="1646" t="n"/>
      <c r="S296" s="1568" t="n"/>
    </row>
    <row r="297">
      <c r="A297" s="1708" t="n"/>
      <c r="B297" s="1708" t="n">
        <v>45948</v>
      </c>
      <c r="C297" s="1568" t="inlineStr">
        <is>
          <t>Peak District</t>
        </is>
      </c>
      <c r="D297" s="1568" t="inlineStr">
        <is>
          <t>Padley And Bolehill</t>
        </is>
      </c>
      <c r="F297" s="1568" t="inlineStr">
        <is>
          <t>Goolge</t>
        </is>
      </c>
      <c r="G297" s="87" t="inlineStr">
        <is>
          <t>#02906</t>
        </is>
      </c>
      <c r="H297" s="785" t="n">
        <v>45625</v>
      </c>
      <c r="I297" s="1696" t="n">
        <v>150</v>
      </c>
      <c r="J297" s="1697" t="n">
        <v>0</v>
      </c>
      <c r="K297" s="1568" t="inlineStr">
        <is>
          <t>Mr</t>
        </is>
      </c>
      <c r="L297" s="1610" t="inlineStr">
        <is>
          <t>Rob</t>
        </is>
      </c>
      <c r="M297" s="1711" t="inlineStr">
        <is>
          <t>MacDonald</t>
        </is>
      </c>
      <c r="N297" s="1374" t="inlineStr">
        <is>
          <t>rob_j_mac@hotmail.com</t>
        </is>
      </c>
      <c r="O297" s="1604" t="inlineStr">
        <is>
          <t>42</t>
        </is>
      </c>
      <c r="P297" s="1604" t="inlineStr">
        <is>
          <t>07853382840</t>
        </is>
      </c>
      <c r="Q297" s="1697" t="inlineStr">
        <is>
          <t>S10 3TQ</t>
        </is>
      </c>
      <c r="R297" s="1697" t="inlineStr">
        <is>
          <t>21 Clarendon Road,</t>
        </is>
      </c>
      <c r="S297" s="1568" t="inlineStr">
        <is>
          <t>Sheffield</t>
        </is>
      </c>
      <c r="T297" s="1708" t="n"/>
    </row>
    <row r="298">
      <c r="A298" s="1708" t="n"/>
      <c r="B298" s="1708" t="n">
        <v>45948</v>
      </c>
      <c r="C298" s="783" t="inlineStr">
        <is>
          <t>Peak District Photography Workshops Padley Gorge</t>
        </is>
      </c>
      <c r="D298" s="1568" t="inlineStr">
        <is>
          <t>Padley And Bolehill</t>
        </is>
      </c>
      <c r="E298" s="783" t="inlineStr">
        <is>
          <t>7hrs</t>
        </is>
      </c>
      <c r="F298" s="1750" t="inlineStr">
        <is>
          <t>JLR</t>
        </is>
      </c>
      <c r="G298" s="785" t="inlineStr">
        <is>
          <t>IIY#4345421642471txD</t>
        </is>
      </c>
      <c r="H298" s="785" t="n">
        <v>45881</v>
      </c>
      <c r="J298" s="1697" t="n">
        <v>150</v>
      </c>
      <c r="K298" s="1568" t="n"/>
      <c r="L298" s="1610" t="inlineStr">
        <is>
          <t>Jonathan Swindell</t>
        </is>
      </c>
      <c r="N298" s="1770" t="inlineStr">
        <is>
          <t>jswinde1@jaguarlandrover.com</t>
        </is>
      </c>
      <c r="O298" s="1604" t="n"/>
      <c r="P298" s="1604" t="inlineStr">
        <is>
          <t>07552 286602</t>
        </is>
      </c>
      <c r="S298" s="1568" t="n"/>
      <c r="T298" s="1708" t="n"/>
    </row>
    <row r="299">
      <c r="A299" s="1708" t="n"/>
      <c r="B299" s="1708" t="n">
        <v>45948</v>
      </c>
      <c r="C299" s="1568" t="inlineStr">
        <is>
          <t>Peak District</t>
        </is>
      </c>
      <c r="D299" s="1568" t="inlineStr">
        <is>
          <t>Padley And Bolehill</t>
        </is>
      </c>
      <c r="E299" s="783" t="inlineStr">
        <is>
          <t>7hrs</t>
        </is>
      </c>
      <c r="F299" s="1750" t="inlineStr">
        <is>
          <t>Existing</t>
        </is>
      </c>
      <c r="G299" s="785" t="inlineStr">
        <is>
          <t>#03134</t>
        </is>
      </c>
      <c r="H299" s="785" t="n">
        <v>45946</v>
      </c>
      <c r="I299" s="1696" t="n">
        <v>150</v>
      </c>
      <c r="K299" s="1568" t="inlineStr">
        <is>
          <t>Mr</t>
        </is>
      </c>
      <c r="L299" s="1610" t="inlineStr">
        <is>
          <t>Neil</t>
        </is>
      </c>
      <c r="M299" s="1610" t="inlineStr">
        <is>
          <t>Barford</t>
        </is>
      </c>
      <c r="N299" s="1374" t="inlineStr">
        <is>
          <t>barford.neil@gmail.com</t>
        </is>
      </c>
      <c r="O299" s="1604" t="inlineStr">
        <is>
          <t>61</t>
        </is>
      </c>
      <c r="P299" s="1604" t="inlineStr">
        <is>
          <t>07530694834</t>
        </is>
      </c>
      <c r="Q299" s="1697" t="inlineStr">
        <is>
          <t>LE13 0EH</t>
        </is>
      </c>
      <c r="R299" s="1697" t="inlineStr">
        <is>
          <t>19 winster crescent</t>
        </is>
      </c>
      <c r="S299" s="1697" t="inlineStr">
        <is>
          <t>melton mowbray</t>
        </is>
      </c>
      <c r="T299" s="1708" t="n"/>
    </row>
    <row r="300">
      <c r="A300" s="1708" t="n"/>
      <c r="B300" s="1708" t="n"/>
      <c r="C300" s="783" t="n"/>
      <c r="D300" s="783" t="n"/>
      <c r="E300" s="783" t="n"/>
      <c r="F300" s="1750" t="n"/>
      <c r="G300" s="785" t="n"/>
      <c r="H300" s="785" t="n"/>
      <c r="I300" s="1750" t="n"/>
      <c r="J300" s="1750" t="n"/>
      <c r="K300" s="1705" t="n"/>
      <c r="L300" s="1706" t="n"/>
      <c r="M300" s="1707" t="n"/>
      <c r="N300" s="1374" t="n"/>
      <c r="O300" s="1707" t="n"/>
      <c r="P300" s="1707" t="n"/>
      <c r="Q300" s="1646" t="n"/>
      <c r="R300" s="1646" t="n"/>
      <c r="S300" s="1568" t="n"/>
      <c r="T300" s="1708" t="n"/>
    </row>
    <row r="301">
      <c r="A301" s="1708" t="n"/>
      <c r="B301" s="1753" t="n">
        <v>46131</v>
      </c>
      <c r="C301" s="1753" t="inlineStr">
        <is>
          <t>Secret Woodlands</t>
        </is>
      </c>
      <c r="D301" s="883" t="inlineStr">
        <is>
          <t>All Day</t>
        </is>
      </c>
      <c r="E301" s="783" t="inlineStr">
        <is>
          <t>6hrs</t>
        </is>
      </c>
      <c r="F301" s="1750" t="inlineStr">
        <is>
          <t>Google</t>
        </is>
      </c>
      <c r="G301" s="785" t="inlineStr">
        <is>
          <t>#03031</t>
        </is>
      </c>
      <c r="H301" s="785" t="n">
        <v>45849</v>
      </c>
      <c r="I301" s="1750" t="n">
        <v>125</v>
      </c>
      <c r="J301" s="1750" t="n">
        <v>0</v>
      </c>
      <c r="K301" s="1705" t="inlineStr">
        <is>
          <t>Ms</t>
        </is>
      </c>
      <c r="L301" s="1706" t="inlineStr">
        <is>
          <t>Kimberley</t>
        </is>
      </c>
      <c r="M301" s="1707" t="inlineStr">
        <is>
          <t xml:space="preserve"> Sneyd</t>
        </is>
      </c>
      <c r="N301" s="1374" t="inlineStr">
        <is>
          <t xml:space="preserve">bimblebury@gmail.com </t>
        </is>
      </c>
      <c r="O301" s="1707" t="inlineStr">
        <is>
          <t>39</t>
        </is>
      </c>
      <c r="P301" s="1707" t="inlineStr">
        <is>
          <t>07872047610</t>
        </is>
      </c>
      <c r="Q301" s="1646" t="inlineStr">
        <is>
          <t>Ws7 4tw</t>
        </is>
      </c>
      <c r="R301" s="1646" t="n"/>
      <c r="S301" s="1568" t="inlineStr">
        <is>
          <t>Staffordshire</t>
        </is>
      </c>
      <c r="T301" s="1708" t="n"/>
    </row>
    <row r="302">
      <c r="A302" s="1708" t="n"/>
      <c r="R302" s="1646" t="n"/>
      <c r="S302" s="1568" t="n"/>
      <c r="T302" s="1708" t="n"/>
    </row>
    <row r="304">
      <c r="A304" s="1708" t="n"/>
      <c r="B304" s="1708" t="n"/>
      <c r="C304" s="783" t="n"/>
      <c r="D304" s="783" t="n"/>
      <c r="E304" s="783" t="n"/>
      <c r="F304" s="1750" t="n"/>
      <c r="G304" s="785" t="n"/>
      <c r="H304" s="785" t="n"/>
      <c r="I304" s="1750" t="n"/>
      <c r="J304" s="1750" t="n"/>
      <c r="K304" s="1705" t="n"/>
      <c r="L304" s="1706" t="n"/>
      <c r="M304" s="1707" t="n"/>
      <c r="N304" s="1374" t="n"/>
      <c r="O304" s="1707" t="n"/>
      <c r="P304" s="1707" t="n"/>
      <c r="Q304" s="1646" t="n"/>
      <c r="R304" s="1646" t="n"/>
      <c r="S304" s="1568" t="n"/>
      <c r="T304" s="1708" t="n"/>
    </row>
    <row r="305">
      <c r="A305" s="1568" t="inlineStr">
        <is>
          <t>cancelled 23 Oct</t>
        </is>
      </c>
      <c r="B305" s="1753" t="n">
        <v>45954</v>
      </c>
      <c r="C305" s="1753" t="inlineStr">
        <is>
          <t>Batsford</t>
        </is>
      </c>
      <c r="D305" s="1771" t="inlineStr">
        <is>
          <t>All Day - 08:00 - 15:30</t>
        </is>
      </c>
      <c r="E305" s="1568" t="inlineStr">
        <is>
          <t>6hrs</t>
        </is>
      </c>
      <c r="F305" s="1568" t="inlineStr">
        <is>
          <t>JLR</t>
        </is>
      </c>
      <c r="G305" s="87" t="inlineStr">
        <is>
          <t>IIY#3213562932471t0T</t>
        </is>
      </c>
      <c r="H305" s="785" t="n">
        <v>45736</v>
      </c>
      <c r="I305" s="1696" t="n">
        <v>0</v>
      </c>
      <c r="J305" s="1697" t="n">
        <v>150</v>
      </c>
      <c r="K305" s="1568" t="n"/>
      <c r="L305" s="1763" t="inlineStr">
        <is>
          <t>Yuvraj Kalbhor</t>
        </is>
      </c>
      <c r="N305" s="1374" t="inlineStr">
        <is>
          <t>ykalbhor@jaguarlandrover.com</t>
        </is>
      </c>
      <c r="O305" s="1604" t="n"/>
      <c r="P305" s="1604" t="n"/>
      <c r="S305" s="1568" t="n"/>
    </row>
    <row r="306">
      <c r="B306" s="1708" t="n">
        <v>45954</v>
      </c>
      <c r="C306" s="1708" t="inlineStr">
        <is>
          <t>Batsford</t>
        </is>
      </c>
      <c r="D306" s="1771" t="inlineStr">
        <is>
          <t>All Day - 08:00 - 15:30</t>
        </is>
      </c>
      <c r="E306" s="1568" t="inlineStr">
        <is>
          <t>6hrs</t>
        </is>
      </c>
      <c r="F306" s="1568" t="inlineStr">
        <is>
          <t>JLR</t>
        </is>
      </c>
      <c r="G306" s="87" t="inlineStr">
        <is>
          <t>IIY#6809706543471pls</t>
        </is>
      </c>
      <c r="H306" s="785" t="n">
        <v>45753</v>
      </c>
      <c r="I306" s="1696" t="n">
        <v>0</v>
      </c>
      <c r="J306" s="1697" t="n">
        <v>150</v>
      </c>
      <c r="K306" s="1568" t="n"/>
      <c r="L306" s="1610" t="inlineStr">
        <is>
          <t>Piotr Rachid Chehab</t>
        </is>
      </c>
      <c r="N306" s="1374" t="inlineStr">
        <is>
          <t>prachidc@jaguarlandrover.com</t>
        </is>
      </c>
      <c r="O306" s="1604" t="n"/>
      <c r="P306" s="1604" t="inlineStr">
        <is>
          <t>07821 196 093</t>
        </is>
      </c>
      <c r="S306" s="1568" t="n"/>
    </row>
    <row r="307">
      <c r="B307" s="1708" t="n">
        <v>45954</v>
      </c>
      <c r="C307" s="1708" t="inlineStr">
        <is>
          <t>Batsford</t>
        </is>
      </c>
      <c r="D307" s="783" t="inlineStr">
        <is>
          <t>AM -08:00 - 11:30</t>
        </is>
      </c>
      <c r="E307" s="1568" t="inlineStr">
        <is>
          <t>3.5hrs</t>
        </is>
      </c>
      <c r="F307" s="1568" t="inlineStr">
        <is>
          <t>Into The Blue</t>
        </is>
      </c>
      <c r="G307" s="1051" t="inlineStr">
        <is>
          <t>2503250955</t>
        </is>
      </c>
      <c r="H307" s="785" t="n">
        <v>45749</v>
      </c>
      <c r="I307" s="1696" t="n">
        <v>0</v>
      </c>
      <c r="J307" s="1697" t="n">
        <v>100</v>
      </c>
      <c r="K307" s="1568" t="inlineStr">
        <is>
          <t>Mr</t>
        </is>
      </c>
      <c r="L307" s="1610" t="inlineStr">
        <is>
          <t>Tim</t>
        </is>
      </c>
      <c r="M307" s="1610" t="inlineStr">
        <is>
          <t>Chance</t>
        </is>
      </c>
      <c r="N307" s="1374" t="inlineStr">
        <is>
          <t>tim.bigcorp@gmail.com</t>
        </is>
      </c>
      <c r="O307" s="1604" t="n"/>
      <c r="P307" s="1604" t="inlineStr">
        <is>
          <t>07858048754</t>
        </is>
      </c>
      <c r="S307" s="1568" t="n"/>
    </row>
    <row r="308">
      <c r="B308" s="1708" t="n">
        <v>45954</v>
      </c>
      <c r="C308" s="1708" t="inlineStr">
        <is>
          <t>Batsford</t>
        </is>
      </c>
      <c r="D308" s="783" t="inlineStr">
        <is>
          <t>AM -08:00 - 11:30</t>
        </is>
      </c>
      <c r="E308" s="1568" t="inlineStr">
        <is>
          <t>3.5hrs</t>
        </is>
      </c>
      <c r="F308" s="1568" t="inlineStr">
        <is>
          <t>JLR</t>
        </is>
      </c>
      <c r="G308" s="87" t="inlineStr">
        <is>
          <t>IIY#2482064703471hCz</t>
        </is>
      </c>
      <c r="H308" s="785" t="n">
        <v>45744</v>
      </c>
      <c r="I308" s="1696" t="n">
        <v>0</v>
      </c>
      <c r="J308" s="1697" t="n">
        <v>99</v>
      </c>
      <c r="K308" s="1568" t="n"/>
      <c r="L308" s="1610" t="inlineStr">
        <is>
          <t>Jez Jerome</t>
        </is>
      </c>
      <c r="N308" s="1374" t="inlineStr">
        <is>
          <t>fjerome@jaguarlandrover.com</t>
        </is>
      </c>
      <c r="O308" s="1604" t="n"/>
      <c r="P308" s="1604" t="inlineStr">
        <is>
          <t>07977 493463</t>
        </is>
      </c>
      <c r="S308" s="1568" t="n"/>
    </row>
    <row r="309">
      <c r="B309" s="1708" t="n">
        <v>45954</v>
      </c>
      <c r="C309" s="1708" t="inlineStr">
        <is>
          <t>Batsford</t>
        </is>
      </c>
      <c r="D309" s="783" t="inlineStr">
        <is>
          <t>AM -08:00 - 11:30</t>
        </is>
      </c>
      <c r="E309" s="1568" t="inlineStr">
        <is>
          <t>3.5hrs</t>
        </is>
      </c>
      <c r="F309" s="1568" t="inlineStr">
        <is>
          <t>Google</t>
        </is>
      </c>
      <c r="G309" s="87" t="inlineStr">
        <is>
          <t>#03044</t>
        </is>
      </c>
      <c r="H309" s="785" t="n">
        <v>45881</v>
      </c>
      <c r="I309" s="1696" t="n">
        <v>99</v>
      </c>
      <c r="J309" s="1697" t="n">
        <v>0</v>
      </c>
      <c r="K309" s="1568" t="inlineStr">
        <is>
          <t>Ms</t>
        </is>
      </c>
      <c r="L309" s="1610" t="inlineStr">
        <is>
          <t>Barbara</t>
        </is>
      </c>
      <c r="M309" s="1610" t="inlineStr">
        <is>
          <t>Mustoe</t>
        </is>
      </c>
      <c r="N309" s="1374" t="inlineStr">
        <is>
          <t>barbaramustoe@gmail.com</t>
        </is>
      </c>
      <c r="O309" s="1604" t="inlineStr">
        <is>
          <t>75</t>
        </is>
      </c>
      <c r="P309" s="1604" t="inlineStr">
        <is>
          <t>07789005773</t>
        </is>
      </c>
      <c r="S309" s="1568" t="n"/>
    </row>
    <row r="310">
      <c r="B310" s="1708" t="n">
        <v>45954</v>
      </c>
      <c r="C310" s="1708" t="inlineStr">
        <is>
          <t>Batsford</t>
        </is>
      </c>
      <c r="D310" s="783" t="inlineStr">
        <is>
          <t>PM -12:00 - 15:30 + tripod</t>
        </is>
      </c>
      <c r="E310" s="1568" t="inlineStr">
        <is>
          <t>3.5hrs</t>
        </is>
      </c>
      <c r="F310" s="1568" t="inlineStr">
        <is>
          <t>Into The Blue</t>
        </is>
      </c>
      <c r="G310" s="1051" t="inlineStr">
        <is>
          <t xml:space="preserve">2501241204 </t>
        </is>
      </c>
      <c r="H310" s="785" t="n">
        <v>45719</v>
      </c>
      <c r="I310" s="1696" t="n">
        <v>0</v>
      </c>
      <c r="J310" s="1697" t="n">
        <v>100</v>
      </c>
      <c r="K310" s="1568" t="inlineStr">
        <is>
          <t>Mr</t>
        </is>
      </c>
      <c r="L310" s="1610" t="inlineStr">
        <is>
          <t>Neil</t>
        </is>
      </c>
      <c r="M310" s="1610" t="inlineStr">
        <is>
          <t>Worgan</t>
        </is>
      </c>
      <c r="N310" s="1374" t="inlineStr">
        <is>
          <t>Worgan928@btinternet.com</t>
        </is>
      </c>
      <c r="O310" s="1604" t="n"/>
      <c r="P310" s="1604" t="inlineStr">
        <is>
          <t>0792 3100361</t>
        </is>
      </c>
      <c r="S310" s="1568" t="n"/>
    </row>
    <row r="311">
      <c r="A311" s="1568" t="inlineStr">
        <is>
          <t>Cancelled on day</t>
        </is>
      </c>
      <c r="B311" s="1708" t="n">
        <v>45954</v>
      </c>
      <c r="C311" s="1708" t="inlineStr">
        <is>
          <t>Batsford</t>
        </is>
      </c>
      <c r="D311" s="783" t="inlineStr">
        <is>
          <t>PM -12:00 - 15:30</t>
        </is>
      </c>
      <c r="E311" s="1568" t="inlineStr">
        <is>
          <t>3.5hrs</t>
        </is>
      </c>
      <c r="F311" s="1568" t="inlineStr">
        <is>
          <t>Existing</t>
        </is>
      </c>
      <c r="G311" s="87" t="inlineStr">
        <is>
          <t>#02995</t>
        </is>
      </c>
      <c r="H311" s="785" t="n">
        <v>45783</v>
      </c>
      <c r="I311" s="1696" t="n">
        <v>0</v>
      </c>
      <c r="J311" s="1697" t="n">
        <v>99</v>
      </c>
      <c r="L311" s="1763" t="inlineStr">
        <is>
          <t>Christopher Dunn</t>
        </is>
      </c>
      <c r="N311" s="1374" t="inlineStr">
        <is>
          <t>cadwitney@gmail.com</t>
        </is>
      </c>
      <c r="O311" s="1604" t="inlineStr">
        <is>
          <t>45</t>
        </is>
      </c>
      <c r="P311" s="1604" t="inlineStr">
        <is>
          <t>07403678681</t>
        </is>
      </c>
      <c r="Q311" s="1697" t="inlineStr">
        <is>
          <t>OX28 6DP</t>
        </is>
      </c>
      <c r="R311" s="1697" t="inlineStr">
        <is>
          <t>15A Burford Road</t>
        </is>
      </c>
      <c r="S311" s="1697" t="inlineStr">
        <is>
          <t>Witney</t>
        </is>
      </c>
    </row>
    <row r="312">
      <c r="B312" s="1708" t="n">
        <v>45954</v>
      </c>
      <c r="C312" s="1708" t="inlineStr">
        <is>
          <t>Batsford</t>
        </is>
      </c>
      <c r="D312" s="783" t="inlineStr">
        <is>
          <t>PM -12:00 - 15:30</t>
        </is>
      </c>
      <c r="E312" s="1568" t="inlineStr">
        <is>
          <t>3.5hrs</t>
        </is>
      </c>
      <c r="F312" s="1568" t="inlineStr">
        <is>
          <t>Google</t>
        </is>
      </c>
      <c r="G312" s="87" t="inlineStr">
        <is>
          <t>#03008</t>
        </is>
      </c>
      <c r="H312" s="785" t="n">
        <v>45815</v>
      </c>
      <c r="I312" s="1696" t="n">
        <v>0</v>
      </c>
      <c r="J312" s="1697">
        <f>297/3</f>
        <v/>
      </c>
      <c r="L312" s="1610" t="inlineStr">
        <is>
          <t xml:space="preserve">Jill </t>
        </is>
      </c>
      <c r="M312" s="1711" t="inlineStr">
        <is>
          <t>Cockerton</t>
        </is>
      </c>
      <c r="N312" s="1374" t="inlineStr">
        <is>
          <t xml:space="preserve">jill_bowman@hotmail.com </t>
        </is>
      </c>
      <c r="O312" s="1604" t="n"/>
      <c r="P312" s="1604" t="inlineStr">
        <is>
          <t>07734153110</t>
        </is>
      </c>
      <c r="Q312" s="1697" t="inlineStr">
        <is>
          <t>N20 8AS</t>
        </is>
      </c>
      <c r="S312" s="1568" t="inlineStr">
        <is>
          <t>London</t>
        </is>
      </c>
    </row>
    <row r="313">
      <c r="B313" s="1708" t="n">
        <v>45954</v>
      </c>
      <c r="C313" s="1708" t="inlineStr">
        <is>
          <t>Batsford</t>
        </is>
      </c>
      <c r="D313" s="783" t="inlineStr">
        <is>
          <t>PM -12:00 - 15:30 + tripod</t>
        </is>
      </c>
      <c r="E313" s="1568" t="inlineStr">
        <is>
          <t>3.5hrs</t>
        </is>
      </c>
      <c r="F313" s="1568" t="inlineStr">
        <is>
          <t>Google</t>
        </is>
      </c>
      <c r="G313" s="87" t="inlineStr">
        <is>
          <t>#03008</t>
        </is>
      </c>
      <c r="H313" s="785" t="n">
        <v>45815</v>
      </c>
      <c r="I313" s="1696" t="n">
        <v>0</v>
      </c>
      <c r="J313" s="1697">
        <f>297/3</f>
        <v/>
      </c>
      <c r="L313" s="1610" t="inlineStr">
        <is>
          <t xml:space="preserve">Jill </t>
        </is>
      </c>
      <c r="M313" s="1711" t="inlineStr">
        <is>
          <t>Cockerton</t>
        </is>
      </c>
      <c r="N313" s="1374" t="inlineStr">
        <is>
          <t xml:space="preserve">jill_bowman@hotmail.com </t>
        </is>
      </c>
      <c r="O313" s="1604" t="n"/>
      <c r="P313" s="1604" t="inlineStr">
        <is>
          <t>07734153110</t>
        </is>
      </c>
      <c r="Q313" s="1697" t="inlineStr">
        <is>
          <t>N20 8AS</t>
        </is>
      </c>
      <c r="S313" s="1568" t="inlineStr">
        <is>
          <t>London</t>
        </is>
      </c>
    </row>
    <row r="314">
      <c r="B314" s="1708" t="n">
        <v>45954</v>
      </c>
      <c r="C314" s="1708" t="inlineStr">
        <is>
          <t>Batsford</t>
        </is>
      </c>
      <c r="D314" s="783" t="inlineStr">
        <is>
          <t>PM -12:00 - 15:30 + tripod</t>
        </is>
      </c>
      <c r="E314" s="1568" t="inlineStr">
        <is>
          <t>3.5hrs</t>
        </is>
      </c>
      <c r="F314" s="1568" t="inlineStr">
        <is>
          <t>Google</t>
        </is>
      </c>
      <c r="G314" s="87" t="inlineStr">
        <is>
          <t>#03008</t>
        </is>
      </c>
      <c r="H314" s="785" t="n">
        <v>45815</v>
      </c>
      <c r="I314" s="1696" t="n">
        <v>0</v>
      </c>
      <c r="J314" s="1697">
        <f>297/3</f>
        <v/>
      </c>
      <c r="L314" s="1610" t="inlineStr">
        <is>
          <t xml:space="preserve">Jill </t>
        </is>
      </c>
      <c r="M314" s="1711" t="inlineStr">
        <is>
          <t>Cockerton</t>
        </is>
      </c>
      <c r="N314" s="1374" t="inlineStr">
        <is>
          <t xml:space="preserve">jill_bowman@hotmail.com </t>
        </is>
      </c>
      <c r="O314" s="1604" t="n"/>
      <c r="P314" s="1604" t="inlineStr">
        <is>
          <t>07734153110</t>
        </is>
      </c>
      <c r="Q314" s="1697" t="inlineStr">
        <is>
          <t>N20 8AS</t>
        </is>
      </c>
      <c r="S314" s="1568" t="inlineStr">
        <is>
          <t>London</t>
        </is>
      </c>
    </row>
    <row r="315">
      <c r="B315" s="1708" t="n"/>
      <c r="C315" s="1708" t="n"/>
      <c r="D315" s="783" t="n"/>
      <c r="E315" s="1568" t="n"/>
      <c r="F315" s="1568" t="n"/>
      <c r="G315" s="87" t="n"/>
      <c r="H315" s="785" t="n"/>
      <c r="N315" s="1374" t="n"/>
      <c r="O315" s="1604" t="n"/>
      <c r="P315" s="1604" t="n"/>
    </row>
    <row r="316">
      <c r="B316" s="1708" t="n"/>
      <c r="C316" s="1708" t="n"/>
      <c r="D316" s="783" t="n"/>
      <c r="E316" s="1568" t="n"/>
      <c r="F316" s="1568" t="n"/>
      <c r="G316" s="87" t="n"/>
      <c r="H316" s="785" t="n"/>
      <c r="N316" s="1374" t="n"/>
      <c r="O316" s="1604" t="n"/>
      <c r="P316" s="1604" t="n"/>
    </row>
    <row r="317">
      <c r="B317" s="1708" t="n">
        <v>45955</v>
      </c>
      <c r="C317" s="1708" t="inlineStr">
        <is>
          <t>Batsford</t>
        </is>
      </c>
      <c r="D317" s="1771" t="inlineStr">
        <is>
          <t>All Day - 08:00 - 15:30</t>
        </is>
      </c>
      <c r="E317" s="1568" t="inlineStr">
        <is>
          <t>6hrs</t>
        </is>
      </c>
      <c r="F317" s="1568" t="inlineStr">
        <is>
          <t>JLR</t>
        </is>
      </c>
      <c r="G317" s="87" t="inlineStr">
        <is>
          <t>IIY#4628289894571Z9y</t>
        </is>
      </c>
      <c r="H317" s="785" t="n">
        <v>45881</v>
      </c>
      <c r="I317" s="1696" t="n">
        <v>0</v>
      </c>
      <c r="J317" s="1697" t="n">
        <v>150</v>
      </c>
      <c r="K317" s="1568" t="n"/>
      <c r="L317" s="1610" t="inlineStr">
        <is>
          <t>Lee Bishop</t>
        </is>
      </c>
      <c r="N317" s="1770" t="inlineStr">
        <is>
          <t>lbishop5@jaguarlandrover.com</t>
        </is>
      </c>
      <c r="O317" s="1604" t="n"/>
      <c r="P317" s="1604" t="inlineStr">
        <is>
          <t>07384 520 100</t>
        </is>
      </c>
      <c r="S317" s="1568" t="n"/>
    </row>
    <row r="318">
      <c r="B318" s="1708" t="n">
        <v>45955</v>
      </c>
      <c r="C318" s="1708" t="inlineStr">
        <is>
          <t>Batsford</t>
        </is>
      </c>
      <c r="D318" s="1771" t="inlineStr">
        <is>
          <t>All Day - 08:00 - 15:30</t>
        </is>
      </c>
      <c r="E318" s="1568" t="inlineStr">
        <is>
          <t>6hrs</t>
        </is>
      </c>
      <c r="F318" s="1568" t="inlineStr">
        <is>
          <t>JLR</t>
        </is>
      </c>
      <c r="G318" s="1051" t="inlineStr">
        <is>
          <t>IIY#20985856914718fT</t>
        </is>
      </c>
      <c r="H318" s="785" t="n">
        <v>45733</v>
      </c>
      <c r="I318" s="1696" t="n">
        <v>0</v>
      </c>
      <c r="J318" s="1697" t="n">
        <v>150</v>
      </c>
      <c r="K318" s="1568" t="n"/>
      <c r="L318" s="1610" t="inlineStr">
        <is>
          <t>Ross Harrison-Keefe</t>
        </is>
      </c>
      <c r="N318" s="1374" t="inlineStr">
        <is>
          <t>rharri37@jaguarlandrover.com</t>
        </is>
      </c>
      <c r="O318" s="1604" t="n"/>
      <c r="P318" s="1604" t="inlineStr">
        <is>
          <t>07921367201</t>
        </is>
      </c>
      <c r="Q318" s="1697" t="inlineStr">
        <is>
          <t>rakeefe86@gmail.com</t>
        </is>
      </c>
      <c r="S318" s="1568" t="n"/>
    </row>
    <row r="319">
      <c r="B319" s="1708" t="n">
        <v>45955</v>
      </c>
      <c r="C319" s="1708" t="inlineStr">
        <is>
          <t>Batsford</t>
        </is>
      </c>
      <c r="D319" s="1771" t="inlineStr">
        <is>
          <t>All Day - 08:00 - 15:30</t>
        </is>
      </c>
      <c r="E319" s="1568" t="inlineStr">
        <is>
          <t>6hrs</t>
        </is>
      </c>
      <c r="F319" s="1568" t="inlineStr">
        <is>
          <t>JLR</t>
        </is>
      </c>
      <c r="G319" s="87" t="inlineStr">
        <is>
          <t>IIY#4713470681471OGb</t>
        </is>
      </c>
      <c r="H319" s="785" t="n">
        <v>45733</v>
      </c>
      <c r="I319" s="1696" t="n">
        <v>0</v>
      </c>
      <c r="J319" s="1697" t="n">
        <v>150</v>
      </c>
      <c r="K319" s="1568" t="n"/>
      <c r="L319" s="1610" t="inlineStr">
        <is>
          <t>Stuart Webber</t>
        </is>
      </c>
      <c r="N319" s="1374" t="inlineStr">
        <is>
          <t>swebber2@jaguarlandrover.com</t>
        </is>
      </c>
      <c r="O319" s="1604" t="n"/>
      <c r="P319" s="1604" t="inlineStr">
        <is>
          <t>07773771798</t>
        </is>
      </c>
      <c r="S319" s="1568" t="n"/>
    </row>
    <row r="320">
      <c r="A320" s="1568" t="inlineStr">
        <is>
          <t>No Show</t>
        </is>
      </c>
      <c r="B320" s="1708" t="n">
        <v>45955</v>
      </c>
      <c r="C320" s="1708" t="inlineStr">
        <is>
          <t>Batsford</t>
        </is>
      </c>
      <c r="D320" s="1771" t="inlineStr">
        <is>
          <t>All Day - 08:00 - 15:30</t>
        </is>
      </c>
      <c r="E320" s="1568" t="inlineStr">
        <is>
          <t>6hrs</t>
        </is>
      </c>
      <c r="F320" s="1568" t="inlineStr">
        <is>
          <t>JLR</t>
        </is>
      </c>
      <c r="G320" s="87" t="inlineStr">
        <is>
          <t>IIY#7351059982471A2N</t>
        </is>
      </c>
      <c r="H320" s="785" t="n">
        <v>45742</v>
      </c>
      <c r="J320" s="1697" t="n">
        <v>150</v>
      </c>
      <c r="K320" s="1568" t="n"/>
      <c r="L320" s="1610" t="inlineStr">
        <is>
          <t>Tom Eagles</t>
        </is>
      </c>
      <c r="N320" s="1374" t="inlineStr">
        <is>
          <t>teagles2@jaguarlandrover.com</t>
        </is>
      </c>
      <c r="O320" s="1604" t="n"/>
      <c r="P320" s="1604" t="inlineStr">
        <is>
          <t>07878644776</t>
        </is>
      </c>
      <c r="Q320" s="1697" t="inlineStr">
        <is>
          <t>swservice@pm.me</t>
        </is>
      </c>
      <c r="S320" s="1568" t="n"/>
    </row>
    <row r="321">
      <c r="A321" s="1568" t="inlineStr">
        <is>
          <t>No Show</t>
        </is>
      </c>
      <c r="B321" s="1708" t="n">
        <v>45955</v>
      </c>
      <c r="C321" s="1708" t="inlineStr">
        <is>
          <t>Batsford</t>
        </is>
      </c>
      <c r="D321" s="1771" t="inlineStr">
        <is>
          <t>All Day - 08:00 - 15:30</t>
        </is>
      </c>
      <c r="E321" s="1568" t="inlineStr">
        <is>
          <t>6hrs</t>
        </is>
      </c>
      <c r="F321" s="1568" t="inlineStr">
        <is>
          <t>JLR</t>
        </is>
      </c>
      <c r="G321" s="87" t="inlineStr">
        <is>
          <t>IIY#5540443343471j9h</t>
        </is>
      </c>
      <c r="H321" s="785" t="n">
        <v>45748</v>
      </c>
      <c r="I321" s="1696" t="n">
        <v>0</v>
      </c>
      <c r="J321" s="1697" t="n">
        <v>150</v>
      </c>
      <c r="K321" s="1568" t="n"/>
      <c r="L321" s="1610" t="inlineStr">
        <is>
          <t>Peter Bell</t>
        </is>
      </c>
      <c r="N321" s="1374" t="inlineStr">
        <is>
          <t>pbell6@jaguarlandrover.com</t>
        </is>
      </c>
      <c r="O321" s="1604" t="n"/>
      <c r="P321" s="1604" t="inlineStr">
        <is>
          <t>07796676612</t>
        </is>
      </c>
      <c r="S321" s="1568" t="n"/>
    </row>
    <row r="322">
      <c r="A322" s="1697" t="inlineStr">
        <is>
          <t>Cancelled 17 Oct</t>
        </is>
      </c>
      <c r="B322" s="1753" t="n">
        <v>45955</v>
      </c>
      <c r="C322" s="1753" t="inlineStr">
        <is>
          <t>Cancelled 17 Oct</t>
        </is>
      </c>
      <c r="D322" s="1771" t="inlineStr">
        <is>
          <t>All Day - 08:00 - 15:30</t>
        </is>
      </c>
      <c r="E322" s="1568" t="inlineStr">
        <is>
          <t>6hrs</t>
        </is>
      </c>
      <c r="F322" s="1568" t="inlineStr">
        <is>
          <t>JLR</t>
        </is>
      </c>
      <c r="G322" s="87" t="inlineStr">
        <is>
          <t>IIY#4581929794471aOr</t>
        </is>
      </c>
      <c r="H322" s="785" t="n">
        <v>45769</v>
      </c>
      <c r="I322" s="1696" t="n">
        <v>0</v>
      </c>
      <c r="J322" s="1697" t="n">
        <v>150</v>
      </c>
      <c r="K322" s="1568" t="n"/>
      <c r="L322" s="1763" t="inlineStr">
        <is>
          <t>Sara Roberts</t>
        </is>
      </c>
      <c r="N322" s="1374" t="inlineStr">
        <is>
          <t>srickar3@jaguarlandrover.com</t>
        </is>
      </c>
      <c r="O322" s="1604" t="n"/>
      <c r="P322" s="1604" t="inlineStr">
        <is>
          <t>07469021178</t>
        </is>
      </c>
      <c r="S322" s="1568" t="n"/>
    </row>
    <row r="323">
      <c r="B323" s="1708" t="n">
        <v>45955</v>
      </c>
      <c r="C323" s="1708" t="inlineStr">
        <is>
          <t>Batsford</t>
        </is>
      </c>
      <c r="D323" s="783" t="inlineStr">
        <is>
          <t>AM -08:00 - 11:30</t>
        </is>
      </c>
      <c r="E323" s="1568" t="inlineStr">
        <is>
          <t>6hrs</t>
        </is>
      </c>
      <c r="F323" s="1568" t="inlineStr">
        <is>
          <t>JLR</t>
        </is>
      </c>
      <c r="G323" s="87" t="inlineStr">
        <is>
          <t>IIY#6590373182471oSO</t>
        </is>
      </c>
      <c r="H323" s="785" t="n">
        <v>45741</v>
      </c>
      <c r="I323" s="1696" t="n">
        <v>0</v>
      </c>
      <c r="J323" s="1697" t="n">
        <v>99</v>
      </c>
      <c r="K323" s="1568" t="n"/>
      <c r="L323" s="1610" t="inlineStr">
        <is>
          <t>Douglas Demori</t>
        </is>
      </c>
      <c r="N323" s="1374" t="inlineStr">
        <is>
          <t>ddemori@jaguarlandrover.com</t>
        </is>
      </c>
      <c r="O323" s="1604" t="n"/>
      <c r="P323" s="1604" t="n"/>
      <c r="S323" s="1568" t="n"/>
    </row>
    <row r="324">
      <c r="B324" s="1708" t="n">
        <v>45955</v>
      </c>
      <c r="C324" s="1708" t="inlineStr">
        <is>
          <t>Batsford + Tripod</t>
        </is>
      </c>
      <c r="D324" s="783" t="inlineStr">
        <is>
          <t>PM -12:00 - 15:30 + Tripod</t>
        </is>
      </c>
      <c r="E324" s="1568" t="inlineStr">
        <is>
          <t>3.5hrs</t>
        </is>
      </c>
      <c r="F324" s="1568" t="inlineStr">
        <is>
          <t>Into the blue</t>
        </is>
      </c>
      <c r="G324" s="1051" t="inlineStr">
        <is>
          <t>2502100957</t>
        </is>
      </c>
      <c r="H324" s="785" t="n">
        <v>45748</v>
      </c>
      <c r="I324" s="1696" t="n">
        <v>100</v>
      </c>
      <c r="J324" s="1697" t="n">
        <v>0</v>
      </c>
      <c r="K324" s="1568" t="n"/>
      <c r="L324" s="1610" t="inlineStr">
        <is>
          <t>Samuel</t>
        </is>
      </c>
      <c r="M324" s="1610" t="inlineStr">
        <is>
          <t>Carter</t>
        </is>
      </c>
      <c r="N324" s="1374" t="inlineStr">
        <is>
          <t>samuel.carter1906@gmail.com</t>
        </is>
      </c>
      <c r="P324" s="1604" t="inlineStr">
        <is>
          <t>07854119536</t>
        </is>
      </c>
      <c r="S324" s="1568" t="n"/>
    </row>
    <row r="325">
      <c r="B325" s="1708" t="n">
        <v>45955</v>
      </c>
      <c r="C325" s="1708" t="inlineStr">
        <is>
          <t>Batsford</t>
        </is>
      </c>
      <c r="D325" s="783" t="inlineStr">
        <is>
          <t>PM -12:00 - 15:30</t>
        </is>
      </c>
      <c r="E325" s="1568" t="inlineStr">
        <is>
          <t>3.5hrs</t>
        </is>
      </c>
      <c r="F325" s="1568" t="inlineStr">
        <is>
          <t>JLR</t>
        </is>
      </c>
      <c r="G325" s="87" t="inlineStr">
        <is>
          <t>IIY#0900389443471E7H</t>
        </is>
      </c>
      <c r="H325" s="785" t="n">
        <v>45751</v>
      </c>
      <c r="I325" s="1696" t="n">
        <v>0</v>
      </c>
      <c r="J325" s="1697" t="n">
        <v>99</v>
      </c>
      <c r="K325" s="1568" t="n"/>
      <c r="L325" s="1610" t="inlineStr">
        <is>
          <t>Ros Freeman</t>
        </is>
      </c>
      <c r="N325" s="1374" t="inlineStr">
        <is>
          <t>rfreema1@jaguarlandrover.com</t>
        </is>
      </c>
      <c r="O325" s="1604" t="n"/>
      <c r="P325" s="1604" t="inlineStr">
        <is>
          <t>07572 267 363</t>
        </is>
      </c>
      <c r="S325" s="1568" t="n"/>
    </row>
    <row r="326">
      <c r="B326" s="1708" t="n"/>
      <c r="C326" s="1708" t="n"/>
      <c r="D326" s="1568" t="n"/>
      <c r="E326" s="1568" t="n"/>
      <c r="F326" s="1568" t="n"/>
      <c r="G326" s="87" t="n"/>
      <c r="H326" s="785" t="n"/>
      <c r="K326" s="1568" t="n"/>
      <c r="L326" s="1610" t="n"/>
      <c r="N326" s="1374" t="n"/>
      <c r="O326" s="1604" t="n"/>
      <c r="P326" s="1604" t="n"/>
      <c r="S326" s="1568" t="n"/>
    </row>
    <row r="327">
      <c r="B327" s="1708" t="n"/>
      <c r="C327" s="1708" t="n"/>
      <c r="D327" s="1568" t="n"/>
      <c r="E327" s="1568" t="n"/>
      <c r="F327" s="1568" t="n"/>
      <c r="G327" s="87" t="n"/>
      <c r="H327" s="785" t="n"/>
      <c r="K327" s="1568" t="n"/>
      <c r="L327" s="1610" t="n"/>
      <c r="N327" s="1374" t="n"/>
      <c r="O327" s="1604" t="n"/>
      <c r="P327" s="1604" t="n"/>
      <c r="S327" s="1568" t="n"/>
    </row>
    <row r="328">
      <c r="B328" s="1708" t="n">
        <v>45956</v>
      </c>
      <c r="C328" s="1708" t="inlineStr">
        <is>
          <t>Batsford</t>
        </is>
      </c>
      <c r="D328" s="783" t="inlineStr">
        <is>
          <t>PM -12:00 - 15:30</t>
        </is>
      </c>
      <c r="E328" s="1568" t="inlineStr">
        <is>
          <t>3.5hrs</t>
        </is>
      </c>
      <c r="F328" s="1568" t="inlineStr">
        <is>
          <t>JLR</t>
        </is>
      </c>
      <c r="G328" s="87" t="inlineStr">
        <is>
          <t>IIY#52261432144718Dv</t>
        </is>
      </c>
      <c r="H328" s="785" t="n">
        <v>45769</v>
      </c>
      <c r="I328" s="1696" t="n">
        <v>0</v>
      </c>
      <c r="J328" s="1697" t="n">
        <v>99</v>
      </c>
      <c r="K328" s="1568" t="n"/>
      <c r="L328" s="1610" t="inlineStr">
        <is>
          <t>Or Shachar</t>
        </is>
      </c>
      <c r="N328" s="1374" t="inlineStr">
        <is>
          <t>oshachar@jaguarlandrover.com</t>
        </is>
      </c>
      <c r="O328" s="1604" t="n"/>
      <c r="P328" s="1604" t="n"/>
      <c r="S328" s="1568" t="n"/>
    </row>
    <row r="329">
      <c r="B329" s="1708" t="n">
        <v>45956</v>
      </c>
      <c r="C329" s="1708" t="inlineStr">
        <is>
          <t>Batsford</t>
        </is>
      </c>
      <c r="D329" s="783" t="inlineStr">
        <is>
          <t>PM -12:00 - 15:30</t>
        </is>
      </c>
      <c r="E329" s="1568" t="inlineStr">
        <is>
          <t>3.5hrs</t>
        </is>
      </c>
      <c r="F329" s="1568" t="inlineStr">
        <is>
          <t>Google</t>
        </is>
      </c>
      <c r="G329" s="87" t="inlineStr">
        <is>
          <t>#02998</t>
        </is>
      </c>
      <c r="H329" s="785" t="n">
        <v>45792</v>
      </c>
      <c r="I329" s="1696" t="n">
        <v>99</v>
      </c>
      <c r="K329" s="1568" t="n"/>
      <c r="L329" s="1610" t="inlineStr">
        <is>
          <t>James</t>
        </is>
      </c>
      <c r="M329" s="1610" t="inlineStr">
        <is>
          <t>Collins</t>
        </is>
      </c>
      <c r="N329" s="1374" t="inlineStr">
        <is>
          <t>emma_thomas1992@hotmail.co.uk</t>
        </is>
      </c>
      <c r="O329" s="1604" t="inlineStr">
        <is>
          <t>39</t>
        </is>
      </c>
      <c r="P329" s="1604" t="inlineStr">
        <is>
          <t>07792628692</t>
        </is>
      </c>
      <c r="Q329" s="1568" t="inlineStr">
        <is>
          <t>GL205TB</t>
        </is>
      </c>
      <c r="S329" s="1568" t="n"/>
    </row>
    <row r="330">
      <c r="B330" s="1708" t="n">
        <v>45956</v>
      </c>
      <c r="C330" s="1708" t="inlineStr">
        <is>
          <t>Batsford</t>
        </is>
      </c>
      <c r="D330" s="1771" t="inlineStr">
        <is>
          <t>All Day - 08:00 - 15:30</t>
        </is>
      </c>
      <c r="E330" s="1568" t="inlineStr">
        <is>
          <t>6hrs</t>
        </is>
      </c>
      <c r="F330" s="1568" t="inlineStr">
        <is>
          <t>Batsford</t>
        </is>
      </c>
      <c r="G330" s="87" t="inlineStr">
        <is>
          <t>#03072</t>
        </is>
      </c>
      <c r="H330" s="785" t="n">
        <v>45905</v>
      </c>
      <c r="I330" s="1696" t="n">
        <v>150</v>
      </c>
      <c r="J330" s="1697" t="n">
        <v>0</v>
      </c>
      <c r="K330" s="1604" t="inlineStr">
        <is>
          <t>38</t>
        </is>
      </c>
      <c r="L330" s="1610" t="inlineStr">
        <is>
          <t>Melanie Valentine</t>
        </is>
      </c>
      <c r="M330" s="1610" t="n"/>
      <c r="N330" s="1374" t="inlineStr">
        <is>
          <t>melanievalentine@hotmail.co.uk</t>
        </is>
      </c>
      <c r="O330" s="1604" t="n"/>
      <c r="P330" s="1604" t="inlineStr">
        <is>
          <t>07772233680</t>
        </is>
      </c>
      <c r="Q330" s="1568" t="n"/>
      <c r="S330" s="1568" t="n"/>
    </row>
    <row r="331">
      <c r="B331" s="1708" t="n">
        <v>45956</v>
      </c>
      <c r="C331" s="1708" t="inlineStr">
        <is>
          <t>Batsford</t>
        </is>
      </c>
      <c r="D331" s="1771" t="inlineStr">
        <is>
          <t>All Day - 08:00 - 15:30</t>
        </is>
      </c>
      <c r="E331" s="1568" t="inlineStr">
        <is>
          <t>6hrs</t>
        </is>
      </c>
      <c r="F331" s="1568" t="inlineStr">
        <is>
          <t>JLR</t>
        </is>
      </c>
      <c r="G331" s="87" t="inlineStr">
        <is>
          <t>IIY#8074526005571yLP</t>
        </is>
      </c>
      <c r="H331" s="785" t="n">
        <v>45881</v>
      </c>
      <c r="I331" s="1696" t="n">
        <v>0</v>
      </c>
      <c r="J331" s="1697" t="n">
        <v>150</v>
      </c>
      <c r="K331" s="1568" t="n"/>
      <c r="L331" s="1610" t="inlineStr">
        <is>
          <t>Christopher Franklin</t>
        </is>
      </c>
      <c r="N331" s="1770" t="inlineStr">
        <is>
          <t>cfrankl4@jaguarlandrover.com</t>
        </is>
      </c>
      <c r="O331" s="1604" t="n"/>
      <c r="P331" s="1604" t="inlineStr">
        <is>
          <t>07971 330910</t>
        </is>
      </c>
      <c r="S331" s="1568" t="n"/>
    </row>
    <row r="332">
      <c r="B332" s="1708" t="n">
        <v>45956</v>
      </c>
      <c r="C332" s="1708" t="inlineStr">
        <is>
          <t>Batsford</t>
        </is>
      </c>
      <c r="D332" s="1771" t="inlineStr">
        <is>
          <t>All Day - 08:00 - 15:30</t>
        </is>
      </c>
      <c r="E332" s="1568" t="inlineStr">
        <is>
          <t>6hrs</t>
        </is>
      </c>
      <c r="F332" s="1568" t="inlineStr">
        <is>
          <t>JLR</t>
        </is>
      </c>
      <c r="G332" s="87" t="inlineStr">
        <is>
          <t>IIY#33320829265711VE</t>
        </is>
      </c>
      <c r="H332" s="785" t="n">
        <v>45910</v>
      </c>
      <c r="I332" s="1696" t="n">
        <v>0</v>
      </c>
      <c r="J332" s="1697" t="n">
        <v>150</v>
      </c>
      <c r="K332" s="1568" t="n"/>
      <c r="L332" s="1610" t="inlineStr">
        <is>
          <t>Supriya Shailapura Madhusudhana</t>
        </is>
      </c>
      <c r="N332" s="1374" t="inlineStr">
        <is>
          <t>sshailap@jaguarlandrover.com</t>
        </is>
      </c>
      <c r="O332" s="1604" t="n"/>
      <c r="P332" s="1604" t="n"/>
      <c r="S332" s="1568" t="n"/>
    </row>
    <row r="333">
      <c r="A333" s="1568" t="inlineStr">
        <is>
          <t>cancelled</t>
        </is>
      </c>
      <c r="B333" s="1753" t="n">
        <v>45956</v>
      </c>
      <c r="C333" s="1753" t="inlineStr">
        <is>
          <t>Batsford</t>
        </is>
      </c>
      <c r="D333" s="1772" t="inlineStr">
        <is>
          <t>All Day - 08:00 - 15:30</t>
        </is>
      </c>
      <c r="E333" s="1643" t="inlineStr">
        <is>
          <t>6hrs</t>
        </is>
      </c>
      <c r="F333" s="1643" t="inlineStr">
        <is>
          <t>JLR</t>
        </is>
      </c>
      <c r="G333" s="608" t="inlineStr">
        <is>
          <t>IIY#7274622558571Vfc</t>
        </is>
      </c>
      <c r="H333" s="904" t="n">
        <v>45923</v>
      </c>
      <c r="I333" s="1645" t="n"/>
      <c r="J333" s="1643" t="n">
        <v>150</v>
      </c>
      <c r="K333" s="1643" t="n"/>
      <c r="L333" s="1763" t="inlineStr">
        <is>
          <t>Deepak Kanakandath</t>
        </is>
      </c>
      <c r="N333" s="1770" t="inlineStr">
        <is>
          <t>dkanaka1@jaguarlandrover.com</t>
        </is>
      </c>
      <c r="O333" s="1604" t="n"/>
      <c r="P333" s="1604" t="inlineStr">
        <is>
          <t>07776043600</t>
        </is>
      </c>
      <c r="S333" s="1568" t="n"/>
    </row>
    <row r="334">
      <c r="B334" s="1708" t="n">
        <v>45956</v>
      </c>
      <c r="C334" s="1708" t="inlineStr">
        <is>
          <t>Batsford</t>
        </is>
      </c>
      <c r="D334" s="1771" t="inlineStr">
        <is>
          <t>All Day - 08:00 - 15:30</t>
        </is>
      </c>
      <c r="E334" s="1568" t="inlineStr">
        <is>
          <t>6hrs</t>
        </is>
      </c>
      <c r="F334" s="1568" t="inlineStr">
        <is>
          <t>JLR</t>
        </is>
      </c>
      <c r="G334" s="87" t="inlineStr">
        <is>
          <t>IIY#8408345399571mU6</t>
        </is>
      </c>
      <c r="H334" s="785" t="n">
        <v>45940</v>
      </c>
      <c r="J334" s="1697" t="n">
        <v>150</v>
      </c>
      <c r="K334" s="1568" t="n"/>
      <c r="L334" s="1610" t="inlineStr">
        <is>
          <t>Simon Worledge</t>
        </is>
      </c>
      <c r="N334" s="1374" t="inlineStr">
        <is>
          <t>sworledg@jaguarlandrover.com</t>
        </is>
      </c>
      <c r="O334" s="1604" t="n"/>
      <c r="P334" s="1604" t="inlineStr">
        <is>
          <t>07850 975 261</t>
        </is>
      </c>
      <c r="R334" s="1374" t="inlineStr">
        <is>
          <t>simonworledge@icloud.com</t>
        </is>
      </c>
      <c r="S334" s="1568" t="n"/>
    </row>
    <row r="335">
      <c r="B335" s="1708" t="n"/>
      <c r="C335" s="1708" t="n"/>
      <c r="D335" s="1568" t="n"/>
      <c r="E335" s="1568" t="n"/>
      <c r="F335" s="1568" t="n"/>
      <c r="G335" s="87" t="n"/>
      <c r="H335" s="785" t="n"/>
      <c r="K335" s="1568" t="n"/>
      <c r="L335" s="1610" t="n"/>
      <c r="N335" s="1374" t="n"/>
      <c r="O335" s="1604" t="n"/>
      <c r="P335" s="1604" t="n"/>
      <c r="S335" s="1568" t="n"/>
    </row>
    <row r="336">
      <c r="A336" s="1568" t="inlineStr">
        <is>
          <t>will book in 2026</t>
        </is>
      </c>
      <c r="B336" s="1753" t="n">
        <v>45959</v>
      </c>
      <c r="C336" s="1753" t="inlineStr">
        <is>
          <t>Batsford</t>
        </is>
      </c>
      <c r="D336" s="883" t="inlineStr">
        <is>
          <t>PM -12:00 - 15:30</t>
        </is>
      </c>
      <c r="E336" s="1643" t="inlineStr">
        <is>
          <t>4hrs</t>
        </is>
      </c>
      <c r="F336" s="1643" t="inlineStr">
        <is>
          <t>Google</t>
        </is>
      </c>
      <c r="G336" s="608" t="inlineStr">
        <is>
          <t>#03017</t>
        </is>
      </c>
      <c r="H336" s="904" t="n">
        <v>45824</v>
      </c>
      <c r="I336" s="1645" t="n">
        <v>99</v>
      </c>
      <c r="J336" s="1643" t="n"/>
      <c r="K336" s="1643" t="inlineStr">
        <is>
          <t>Mrs</t>
        </is>
      </c>
      <c r="L336" s="1763" t="inlineStr">
        <is>
          <t>Jennie</t>
        </is>
      </c>
      <c r="M336" s="1763" t="inlineStr">
        <is>
          <t>Gavin</t>
        </is>
      </c>
      <c r="N336" s="1374" t="inlineStr">
        <is>
          <t>jgavin9999@icloud.com</t>
        </is>
      </c>
      <c r="O336" s="1604" t="inlineStr">
        <is>
          <t>62</t>
        </is>
      </c>
      <c r="P336" s="1604" t="inlineStr">
        <is>
          <t>07901781996</t>
        </is>
      </c>
      <c r="S336" s="1568" t="inlineStr">
        <is>
          <t>Twyford</t>
        </is>
      </c>
    </row>
    <row r="337">
      <c r="S337" s="1568" t="n"/>
    </row>
    <row r="338">
      <c r="B338" s="1708" t="n"/>
      <c r="C338" s="1708" t="n"/>
      <c r="D338" s="783" t="n"/>
      <c r="E338" s="1568" t="n"/>
      <c r="F338" s="1568" t="n"/>
      <c r="G338" s="87" t="n"/>
      <c r="H338" s="785" t="n"/>
      <c r="K338" s="1568" t="n"/>
      <c r="L338" s="1610" t="n"/>
      <c r="M338" s="1610" t="n"/>
      <c r="N338" s="1374" t="n"/>
      <c r="O338" s="1604" t="n"/>
      <c r="P338" s="1604" t="n"/>
      <c r="S338" s="1568" t="n"/>
    </row>
    <row r="339">
      <c r="B339" s="1708" t="n"/>
      <c r="C339" s="1708" t="n"/>
      <c r="D339" s="783" t="n"/>
      <c r="E339" s="1568" t="n"/>
      <c r="F339" s="1568" t="n"/>
      <c r="G339" s="87" t="n"/>
      <c r="H339" s="785" t="n"/>
      <c r="K339" s="1568" t="n"/>
      <c r="L339" s="1610" t="n"/>
      <c r="M339" s="1610" t="n"/>
      <c r="N339" s="1374" t="n"/>
      <c r="O339" s="1604" t="n"/>
      <c r="P339" s="1604" t="n"/>
      <c r="S339" s="1568" t="n"/>
    </row>
    <row r="340">
      <c r="B340" s="1708" t="n">
        <v>45960</v>
      </c>
      <c r="C340" s="1708" t="inlineStr">
        <is>
          <t>Batsford</t>
        </is>
      </c>
      <c r="D340" s="783" t="inlineStr">
        <is>
          <t>AM -08:00 - 11:30</t>
        </is>
      </c>
      <c r="E340" s="1568" t="inlineStr">
        <is>
          <t>4hrs</t>
        </is>
      </c>
      <c r="F340" s="1568" t="inlineStr">
        <is>
          <t>Into the Blue</t>
        </is>
      </c>
      <c r="G340" s="87" t="inlineStr">
        <is>
          <t>2412235312</t>
        </is>
      </c>
      <c r="H340" s="785" t="n">
        <v>45699</v>
      </c>
      <c r="J340" s="1697" t="n">
        <v>100</v>
      </c>
      <c r="K340" s="1568" t="inlineStr">
        <is>
          <t>Ms</t>
        </is>
      </c>
      <c r="L340" s="1610" t="inlineStr">
        <is>
          <t>Caoline</t>
        </is>
      </c>
      <c r="M340" s="1610" t="inlineStr">
        <is>
          <t>Durk</t>
        </is>
      </c>
      <c r="N340" s="1374" t="inlineStr">
        <is>
          <t>caroline@durk.org.uk</t>
        </is>
      </c>
      <c r="O340" s="1604" t="n"/>
      <c r="P340" s="1604" t="inlineStr">
        <is>
          <t>07751166468</t>
        </is>
      </c>
      <c r="S340" s="1568" t="n"/>
    </row>
    <row r="341">
      <c r="B341" s="1708" t="n">
        <v>45960</v>
      </c>
      <c r="C341" s="783" t="inlineStr">
        <is>
          <t>Batsford</t>
        </is>
      </c>
      <c r="D341" s="783" t="inlineStr">
        <is>
          <t>AM -08:00 - 11:30</t>
        </is>
      </c>
      <c r="E341" s="1568" t="inlineStr">
        <is>
          <t>4hrs</t>
        </is>
      </c>
      <c r="F341" s="1568" t="inlineStr">
        <is>
          <t>OneVision</t>
        </is>
      </c>
      <c r="G341" s="87" t="inlineStr">
        <is>
          <t>#03013</t>
        </is>
      </c>
      <c r="H341" s="785" t="n">
        <v>45818</v>
      </c>
      <c r="I341" s="1696" t="n">
        <v>79.2</v>
      </c>
      <c r="J341" s="1697" t="n">
        <v>0</v>
      </c>
      <c r="K341" s="1568" t="inlineStr">
        <is>
          <t>Mr</t>
        </is>
      </c>
      <c r="L341" s="1610" t="inlineStr">
        <is>
          <t>Phil</t>
        </is>
      </c>
      <c r="M341" s="1610" t="inlineStr">
        <is>
          <t>Harvey</t>
        </is>
      </c>
      <c r="N341" s="1374" t="inlineStr">
        <is>
          <t xml:space="preserve">philanthonyharvey@gmail.com </t>
        </is>
      </c>
      <c r="O341" s="1604" t="inlineStr">
        <is>
          <t>60</t>
        </is>
      </c>
      <c r="P341" s="1604" t="inlineStr">
        <is>
          <t>07989199718</t>
        </is>
      </c>
      <c r="Q341" s="1697" t="inlineStr">
        <is>
          <t>GL11 5TL</t>
        </is>
      </c>
      <c r="R341" s="1697" t="inlineStr">
        <is>
          <t>4 Weavers Drive</t>
        </is>
      </c>
      <c r="S341" s="1697" t="inlineStr">
        <is>
          <t>Dursley</t>
        </is>
      </c>
    </row>
    <row r="342">
      <c r="B342" s="1708" t="n">
        <v>45960</v>
      </c>
      <c r="C342" s="783" t="inlineStr">
        <is>
          <t>Batsford</t>
        </is>
      </c>
      <c r="D342" s="783" t="inlineStr">
        <is>
          <t>AM -08:00 - 11:30</t>
        </is>
      </c>
      <c r="E342" s="1568" t="n"/>
      <c r="F342" s="1568" t="inlineStr">
        <is>
          <t>Batsford</t>
        </is>
      </c>
      <c r="G342" s="1750" t="inlineStr">
        <is>
          <t>#02881</t>
        </is>
      </c>
      <c r="H342" s="785" t="n">
        <v>45579</v>
      </c>
      <c r="I342" s="1751" t="n">
        <v>99</v>
      </c>
      <c r="J342" s="1750" t="n">
        <v>0</v>
      </c>
      <c r="K342" s="86" t="inlineStr">
        <is>
          <t>Mr</t>
        </is>
      </c>
      <c r="L342" s="1607" t="inlineStr">
        <is>
          <t>Richard</t>
        </is>
      </c>
      <c r="M342" s="1607" t="inlineStr">
        <is>
          <t>Price</t>
        </is>
      </c>
      <c r="N342" s="549" t="inlineStr">
        <is>
          <t xml:space="preserve">julierossiter@btinternet.com </t>
        </is>
      </c>
      <c r="O342" s="551" t="inlineStr">
        <is>
          <t>63</t>
        </is>
      </c>
      <c r="P342" s="1604" t="inlineStr">
        <is>
          <t>07894608600</t>
        </is>
      </c>
      <c r="Q342" s="1697" t="inlineStr">
        <is>
          <t>CV35 7HW</t>
        </is>
      </c>
      <c r="R342" s="1568" t="inlineStr">
        <is>
          <t>2 Haseley Grange</t>
        </is>
      </c>
      <c r="S342" s="87" t="inlineStr">
        <is>
          <t>Haseley</t>
        </is>
      </c>
    </row>
    <row r="343">
      <c r="B343" s="1708" t="n">
        <v>45960</v>
      </c>
      <c r="C343" s="783" t="inlineStr">
        <is>
          <t>Batsford</t>
        </is>
      </c>
      <c r="D343" s="1771" t="inlineStr">
        <is>
          <t>All Day - 08:00 - 15:30</t>
        </is>
      </c>
      <c r="E343" s="1568" t="inlineStr">
        <is>
          <t>6hrs</t>
        </is>
      </c>
      <c r="F343" s="1568" t="inlineStr">
        <is>
          <t>Google</t>
        </is>
      </c>
      <c r="G343" s="1750" t="inlineStr">
        <is>
          <t>#03037</t>
        </is>
      </c>
      <c r="H343" s="785" t="n">
        <v>45862</v>
      </c>
      <c r="I343" s="1751" t="n">
        <v>150</v>
      </c>
      <c r="J343" s="1750" t="n">
        <v>0</v>
      </c>
      <c r="K343" s="86" t="inlineStr">
        <is>
          <t>Mr</t>
        </is>
      </c>
      <c r="L343" s="1607" t="inlineStr">
        <is>
          <t>Steve</t>
        </is>
      </c>
      <c r="M343" s="1607" t="inlineStr">
        <is>
          <t>Smith</t>
        </is>
      </c>
      <c r="N343" s="549" t="inlineStr">
        <is>
          <t>steve172smith@btinternet.com</t>
        </is>
      </c>
      <c r="O343" s="551" t="inlineStr">
        <is>
          <t>59</t>
        </is>
      </c>
      <c r="P343" s="1604" t="inlineStr">
        <is>
          <t>07722144975</t>
        </is>
      </c>
      <c r="Q343" s="1604" t="inlineStr">
        <is>
          <t>BN2 1FZ</t>
        </is>
      </c>
      <c r="R343" s="1568" t="n"/>
      <c r="S343" s="87" t="inlineStr">
        <is>
          <t>Brighton</t>
        </is>
      </c>
    </row>
    <row r="344">
      <c r="B344" s="1708" t="n">
        <v>45960</v>
      </c>
      <c r="C344" s="783" t="inlineStr">
        <is>
          <t>Batsford</t>
        </is>
      </c>
      <c r="D344" s="783" t="inlineStr">
        <is>
          <t>PM -12:00 - 15:30 + tripod</t>
        </is>
      </c>
      <c r="E344" s="1568" t="n"/>
      <c r="F344" s="1568" t="inlineStr">
        <is>
          <t>Batsford</t>
        </is>
      </c>
      <c r="G344" s="1750" t="inlineStr">
        <is>
          <t>#03076</t>
        </is>
      </c>
      <c r="H344" s="785" t="n">
        <v>45906</v>
      </c>
      <c r="I344" s="1751" t="n">
        <v>99</v>
      </c>
      <c r="J344" s="1750" t="n">
        <v>0</v>
      </c>
      <c r="K344" s="86" t="n"/>
      <c r="L344" s="1607" t="inlineStr">
        <is>
          <t>Andrew Haslam</t>
        </is>
      </c>
      <c r="M344" s="1607" t="n"/>
      <c r="N344" s="767" t="inlineStr">
        <is>
          <t xml:space="preserve">andy.haslam62@gmail.com </t>
        </is>
      </c>
      <c r="O344" s="551" t="inlineStr">
        <is>
          <t>63</t>
        </is>
      </c>
      <c r="P344" s="1604" t="inlineStr">
        <is>
          <t>07961995107</t>
        </is>
      </c>
      <c r="R344" s="1568" t="n"/>
      <c r="S344" s="87" t="n"/>
    </row>
    <row r="345">
      <c r="B345" s="1708" t="n"/>
      <c r="C345" s="783" t="n"/>
      <c r="D345" s="783" t="n"/>
      <c r="E345" s="1568" t="n"/>
      <c r="F345" s="1568" t="n"/>
      <c r="G345" s="1750" t="n"/>
      <c r="H345" s="785" t="n"/>
      <c r="I345" s="1751" t="n"/>
      <c r="J345" s="1750" t="n"/>
      <c r="K345" s="86" t="n"/>
      <c r="L345" s="1607" t="n"/>
      <c r="M345" s="1607" t="n"/>
      <c r="N345" s="549" t="n"/>
      <c r="O345" s="551" t="n"/>
      <c r="P345" s="1604" t="n"/>
      <c r="R345" s="1568" t="n"/>
      <c r="S345" s="87" t="n"/>
    </row>
    <row r="346">
      <c r="A346" s="1643" t="inlineStr">
        <is>
          <t>No Show</t>
        </is>
      </c>
      <c r="B346" s="1708" t="n">
        <v>45961</v>
      </c>
      <c r="C346" s="783" t="inlineStr">
        <is>
          <t>Batsford</t>
        </is>
      </c>
      <c r="D346" s="783" t="inlineStr">
        <is>
          <t>AM -08:00 - 11:30</t>
        </is>
      </c>
      <c r="E346" s="1568" t="n"/>
      <c r="F346" s="1568" t="inlineStr">
        <is>
          <t>JLR</t>
        </is>
      </c>
      <c r="G346" s="1750" t="inlineStr">
        <is>
          <t>IIY#9172752670471ior</t>
        </is>
      </c>
      <c r="H346" s="785" t="n">
        <v>45719</v>
      </c>
      <c r="I346" s="1751" t="n"/>
      <c r="J346" s="1750" t="n">
        <v>99</v>
      </c>
      <c r="K346" s="86" t="n"/>
      <c r="L346" s="1607" t="inlineStr">
        <is>
          <t>Aaron Williams</t>
        </is>
      </c>
      <c r="M346" s="1607" t="n"/>
      <c r="N346" s="291" t="inlineStr">
        <is>
          <t>awilli60@jaguarlandrover.com</t>
        </is>
      </c>
      <c r="O346" s="551" t="n"/>
      <c r="P346" s="1604" t="inlineStr">
        <is>
          <t>07979343797</t>
        </is>
      </c>
      <c r="R346" s="1568" t="n"/>
      <c r="S346" s="87" t="n"/>
    </row>
    <row r="347">
      <c r="A347" s="1643" t="inlineStr">
        <is>
          <t>No Show</t>
        </is>
      </c>
      <c r="B347" s="1708" t="n">
        <v>45961</v>
      </c>
      <c r="C347" s="783" t="inlineStr">
        <is>
          <t>Batsford</t>
        </is>
      </c>
      <c r="D347" s="783" t="inlineStr">
        <is>
          <t>AM -08:00 - 11:30</t>
        </is>
      </c>
      <c r="E347" s="1568" t="n"/>
      <c r="F347" s="1568" t="inlineStr">
        <is>
          <t>JLR</t>
        </is>
      </c>
      <c r="G347" s="505" t="inlineStr">
        <is>
          <t>IIY#5174752670471JS8</t>
        </is>
      </c>
      <c r="H347" s="785" t="n">
        <v>45747</v>
      </c>
      <c r="J347" s="1697" t="n">
        <v>99</v>
      </c>
      <c r="L347" s="1697" t="inlineStr">
        <is>
          <t>Junaid Sipple</t>
        </is>
      </c>
      <c r="N347" s="1374" t="inlineStr">
        <is>
          <t>jsipple@jaguarlandrover.com</t>
        </is>
      </c>
      <c r="O347" s="1604" t="n"/>
      <c r="P347" s="1604" t="inlineStr">
        <is>
          <t>07780 222546</t>
        </is>
      </c>
    </row>
    <row r="351">
      <c r="B351" s="1708" t="n"/>
      <c r="C351" s="783" t="n"/>
      <c r="D351" s="783" t="n"/>
      <c r="E351" s="1568" t="n"/>
      <c r="F351" s="1568" t="n"/>
      <c r="G351" s="87" t="n"/>
      <c r="H351" s="785" t="n"/>
      <c r="K351" s="1568" t="n"/>
      <c r="N351" s="1374" t="n"/>
      <c r="O351" s="1604" t="n"/>
      <c r="P351" s="1604" t="n"/>
    </row>
    <row r="352">
      <c r="B352" s="1708" t="n"/>
      <c r="C352" s="1708" t="n"/>
      <c r="D352" s="543" t="n"/>
      <c r="E352" s="1568" t="n"/>
      <c r="F352" s="1568" t="n"/>
      <c r="G352" s="1646" t="n"/>
      <c r="H352" s="97" t="n"/>
      <c r="I352" s="1647" t="n"/>
      <c r="J352" s="1646" t="n"/>
      <c r="K352" s="86" t="n"/>
      <c r="L352" s="1607" t="n"/>
      <c r="M352" s="1607" t="n"/>
      <c r="N352" s="1094" t="n"/>
      <c r="O352" s="94" t="n"/>
      <c r="P352" s="1604" t="n"/>
      <c r="Q352" s="1568" t="n"/>
      <c r="R352" s="1568" t="n"/>
      <c r="S352" s="87" t="n"/>
    </row>
    <row r="353">
      <c r="B353" s="1708" t="n"/>
    </row>
    <row r="354">
      <c r="A354" s="1708" t="n"/>
      <c r="S354" s="1568" t="n"/>
      <c r="T354" s="1708" t="n"/>
    </row>
    <row r="356">
      <c r="B356" s="1708" t="n"/>
      <c r="C356" s="1568" t="n"/>
      <c r="D356" s="1568" t="n"/>
      <c r="F356" s="1568" t="n"/>
      <c r="G356" s="1086" t="n"/>
      <c r="H356" s="785" t="n"/>
      <c r="I356" s="1750" t="n"/>
      <c r="J356" s="1750" t="n"/>
      <c r="K356" s="1705" t="n"/>
      <c r="L356" s="1706" t="n"/>
      <c r="M356" s="1707" t="n"/>
      <c r="N356" s="1374" t="n"/>
      <c r="O356" s="1707" t="n"/>
      <c r="P356" s="1707" t="n"/>
      <c r="Q356" s="1646" t="n"/>
      <c r="R356" s="1646" t="n"/>
      <c r="S356" s="1568" t="n"/>
    </row>
    <row r="357">
      <c r="B357" s="1708" t="n"/>
      <c r="C357" s="1568" t="n"/>
      <c r="D357" s="1568" t="n"/>
      <c r="F357" s="1568" t="n"/>
      <c r="G357" s="1086" t="n"/>
      <c r="H357" s="785" t="n"/>
      <c r="I357" s="1750" t="n"/>
      <c r="J357" s="1750" t="n"/>
      <c r="K357" s="1705" t="n"/>
      <c r="L357" s="1706" t="n"/>
      <c r="M357" s="1707" t="n"/>
      <c r="N357" s="1374" t="n"/>
      <c r="O357" s="1707" t="n"/>
      <c r="P357" s="1707" t="n"/>
      <c r="Q357" s="1646" t="n"/>
      <c r="R357" s="1646" t="n"/>
      <c r="S357" s="1568" t="n"/>
    </row>
    <row r="358">
      <c r="B358" s="1708" t="n">
        <v>45968</v>
      </c>
      <c r="C358" s="1568" t="inlineStr">
        <is>
          <t>Woodland Photography Walk | Kenilworth | Crackley Woods</t>
        </is>
      </c>
      <c r="D358" s="1568" t="n"/>
      <c r="E358" s="1568" t="inlineStr">
        <is>
          <t>2hrs</t>
        </is>
      </c>
      <c r="F358" s="1568" t="inlineStr">
        <is>
          <t>JLR</t>
        </is>
      </c>
      <c r="G358" s="1086" t="inlineStr">
        <is>
          <t>IIY#5659702298371g0y</t>
        </is>
      </c>
      <c r="H358" s="785" t="n">
        <v>45727</v>
      </c>
      <c r="I358" s="1750" t="n">
        <v>0</v>
      </c>
      <c r="J358" s="1750" t="n">
        <v>12</v>
      </c>
      <c r="K358" s="1705" t="n"/>
      <c r="L358" s="1706" t="inlineStr">
        <is>
          <t>Andrei</t>
        </is>
      </c>
      <c r="M358" s="1707" t="inlineStr">
        <is>
          <t xml:space="preserve"> Giubalca</t>
        </is>
      </c>
      <c r="N358" s="1374" t="inlineStr">
        <is>
          <t>agiubalc@jaguarlandrover.com</t>
        </is>
      </c>
      <c r="O358" s="1707" t="n"/>
      <c r="P358" s="1707" t="n"/>
      <c r="Q358" s="1646" t="n"/>
      <c r="R358" s="1646" t="n"/>
      <c r="S358" s="1568" t="n"/>
    </row>
    <row r="359">
      <c r="B359" s="1708" t="n">
        <v>45968</v>
      </c>
      <c r="C359" s="1568" t="inlineStr">
        <is>
          <t>Woodland Photography Walk | Kenilworth | Crackley Woods</t>
        </is>
      </c>
      <c r="D359" s="1568" t="n"/>
      <c r="E359" s="1568" t="inlineStr">
        <is>
          <t>2hrs</t>
        </is>
      </c>
      <c r="F359" s="1568" t="inlineStr">
        <is>
          <t>JLR</t>
        </is>
      </c>
      <c r="G359" s="1086" t="inlineStr">
        <is>
          <t>IIY#3220620832471DLP</t>
        </is>
      </c>
      <c r="H359" s="785" t="n">
        <v>45736</v>
      </c>
      <c r="I359" s="1750" t="n">
        <v>0</v>
      </c>
      <c r="J359" s="1750" t="n">
        <v>15</v>
      </c>
      <c r="K359" s="1705" t="n"/>
      <c r="L359" s="1706" t="inlineStr">
        <is>
          <t>Elkana Rop</t>
        </is>
      </c>
      <c r="M359" s="1707" t="n"/>
      <c r="N359" s="1374" t="inlineStr">
        <is>
          <t>erop@jaguarlandrover.com</t>
        </is>
      </c>
      <c r="O359" s="1707" t="n"/>
      <c r="P359" s="1707" t="n"/>
      <c r="Q359" s="1646" t="n"/>
      <c r="R359" s="1646" t="n"/>
      <c r="S359" s="1568" t="n"/>
    </row>
    <row r="360">
      <c r="B360" s="1708" t="n">
        <v>45968</v>
      </c>
      <c r="C360" s="1568" t="inlineStr">
        <is>
          <t>Woodland Photography Walk | Kenilworth | Crackley Woods</t>
        </is>
      </c>
      <c r="D360" s="1568" t="n"/>
      <c r="E360" s="1568" t="inlineStr">
        <is>
          <t>2hrs</t>
        </is>
      </c>
      <c r="F360" s="1568" t="inlineStr">
        <is>
          <t>JLR</t>
        </is>
      </c>
      <c r="G360" s="1086" t="inlineStr">
        <is>
          <t>IIY#75652969324711GQ</t>
        </is>
      </c>
      <c r="H360" s="785" t="n">
        <v>45736</v>
      </c>
      <c r="I360" s="1750" t="n">
        <v>0</v>
      </c>
      <c r="J360" s="1750" t="n">
        <v>15</v>
      </c>
      <c r="K360" s="1705" t="n"/>
      <c r="L360" s="1706" t="inlineStr">
        <is>
          <t>Lesly Aguilera Rodriguez</t>
        </is>
      </c>
      <c r="M360" s="1707" t="n"/>
      <c r="N360" s="1374" t="inlineStr">
        <is>
          <t>laguile1@jaguarlandrover.com</t>
        </is>
      </c>
      <c r="O360" s="1707" t="n"/>
      <c r="P360" s="1707" t="n"/>
      <c r="Q360" s="1646" t="n"/>
      <c r="R360" s="1646" t="n"/>
      <c r="S360" s="1568" t="n"/>
    </row>
    <row r="361">
      <c r="B361" s="1708" t="n">
        <v>45968</v>
      </c>
      <c r="C361" s="1568" t="inlineStr">
        <is>
          <t>Woodland Photography Walk | Kenilworth | Crackley Woods</t>
        </is>
      </c>
      <c r="D361" s="1568" t="n"/>
      <c r="E361" s="1568" t="inlineStr">
        <is>
          <t>2hrs</t>
        </is>
      </c>
      <c r="F361" s="1568" t="inlineStr">
        <is>
          <t>JLR</t>
        </is>
      </c>
      <c r="G361" s="1086" t="inlineStr">
        <is>
          <t>IIY#1769015832471HTo</t>
        </is>
      </c>
      <c r="H361" s="785" t="n">
        <v>45736</v>
      </c>
      <c r="I361" s="1750" t="n">
        <v>0</v>
      </c>
      <c r="J361" s="1750" t="n">
        <v>15</v>
      </c>
      <c r="K361" s="1705" t="n"/>
      <c r="L361" s="1706" t="inlineStr">
        <is>
          <t>Isabella Montoya</t>
        </is>
      </c>
      <c r="M361" s="1707" t="n"/>
      <c r="N361" s="1374" t="inlineStr">
        <is>
          <t>imontoy1@jaguarlandrover.com</t>
        </is>
      </c>
      <c r="O361" s="1707" t="n"/>
      <c r="P361" s="1707" t="n"/>
      <c r="Q361" s="1646" t="n"/>
      <c r="R361" s="1646" t="n"/>
      <c r="S361" s="1568" t="n"/>
    </row>
    <row r="362">
      <c r="B362" s="1708" t="n">
        <v>45968</v>
      </c>
      <c r="C362" s="1568" t="inlineStr">
        <is>
          <t>Woodland Photography Walk | Kenilworth | Crackley Woods</t>
        </is>
      </c>
      <c r="D362" s="1568" t="n"/>
      <c r="E362" s="1568" t="inlineStr">
        <is>
          <t>2hrs</t>
        </is>
      </c>
      <c r="F362" s="1568" t="inlineStr">
        <is>
          <t>JLR</t>
        </is>
      </c>
      <c r="G362" s="1086" t="inlineStr">
        <is>
          <t>IIY#6439645742471LCf</t>
        </is>
      </c>
      <c r="H362" s="785" t="n">
        <v>45737</v>
      </c>
      <c r="I362" s="1750" t="n">
        <v>0</v>
      </c>
      <c r="J362" s="1750" t="n">
        <v>15</v>
      </c>
      <c r="L362" s="1711" t="inlineStr">
        <is>
          <t>Sara Roberts</t>
        </is>
      </c>
      <c r="M362" s="1707" t="n"/>
      <c r="N362" s="1374" t="inlineStr">
        <is>
          <t>srickar3@jaguarlandrover.com</t>
        </is>
      </c>
      <c r="O362" s="1707" t="n"/>
      <c r="P362" s="1604" t="inlineStr">
        <is>
          <t>07469021178</t>
        </is>
      </c>
      <c r="Q362" s="1374" t="inlineStr">
        <is>
          <t>saz.rickards@gmail.com</t>
        </is>
      </c>
      <c r="R362" s="1646" t="n"/>
      <c r="S362" s="1568" t="n"/>
    </row>
    <row r="363">
      <c r="B363" s="1708" t="n">
        <v>45968</v>
      </c>
      <c r="C363" s="1568" t="inlineStr">
        <is>
          <t>Woodland Photography Walk | Kenilworth | Crackley Woods</t>
        </is>
      </c>
      <c r="D363" s="1568" t="n"/>
      <c r="E363" s="1568" t="inlineStr">
        <is>
          <t>2hrs</t>
        </is>
      </c>
      <c r="F363" s="1568" t="inlineStr">
        <is>
          <t>JLR</t>
        </is>
      </c>
      <c r="G363" s="1086" t="inlineStr">
        <is>
          <t>IIY#06952245524718yN</t>
        </is>
      </c>
      <c r="H363" s="785" t="n">
        <v>45739</v>
      </c>
      <c r="I363" s="1750" t="n">
        <v>0</v>
      </c>
      <c r="J363" s="1750" t="n">
        <v>15</v>
      </c>
      <c r="K363" s="1705" t="n"/>
      <c r="L363" s="1706" t="inlineStr">
        <is>
          <t>Bhushan Rajendra Bedse</t>
        </is>
      </c>
      <c r="M363" s="1707" t="n"/>
      <c r="N363" s="1374" t="inlineStr">
        <is>
          <t>bbedse1@jaguarlandrover.com</t>
        </is>
      </c>
      <c r="O363" s="1707" t="n"/>
      <c r="P363" s="1707" t="inlineStr">
        <is>
          <t>07405278486</t>
        </is>
      </c>
      <c r="Q363" s="1646" t="n"/>
      <c r="R363" s="1646" t="n"/>
      <c r="S363" s="1568" t="n"/>
    </row>
    <row r="364">
      <c r="B364" s="1708" t="n">
        <v>45968</v>
      </c>
      <c r="C364" s="1568" t="inlineStr">
        <is>
          <t>Woodland Photography Walk | Kenilworth | Crackley Woods</t>
        </is>
      </c>
      <c r="D364" s="1568" t="n"/>
      <c r="E364" s="1568" t="inlineStr">
        <is>
          <t>2hrs</t>
        </is>
      </c>
      <c r="F364" s="1568" t="inlineStr">
        <is>
          <t>JLR</t>
        </is>
      </c>
      <c r="G364" s="1086" t="inlineStr">
        <is>
          <t>IIY#0409268762471xFS</t>
        </is>
      </c>
      <c r="H364" s="785" t="n">
        <v>45740</v>
      </c>
      <c r="I364" s="1750" t="n">
        <v>0</v>
      </c>
      <c r="J364" s="1750" t="n">
        <v>15</v>
      </c>
      <c r="K364" s="1705" t="n"/>
      <c r="L364" s="1706" t="inlineStr">
        <is>
          <t>Morgan Gore</t>
        </is>
      </c>
      <c r="M364" s="1707" t="n"/>
      <c r="N364" s="1374" t="inlineStr">
        <is>
          <t>mgore2@jaguarlandrover.com</t>
        </is>
      </c>
      <c r="O364" s="1707" t="n"/>
      <c r="P364" s="1707" t="inlineStr">
        <is>
          <t>07769 756135</t>
        </is>
      </c>
      <c r="Q364" s="1646" t="n"/>
      <c r="R364" s="1646" t="n"/>
      <c r="S364" s="1568" t="n"/>
    </row>
    <row r="365">
      <c r="B365" s="1708" t="n">
        <v>45968</v>
      </c>
      <c r="C365" s="1568" t="inlineStr">
        <is>
          <t>Woodland Photography Walk | Kenilworth | Crackley Woods</t>
        </is>
      </c>
      <c r="D365" s="1568" t="n"/>
      <c r="E365" s="1568" t="inlineStr">
        <is>
          <t>2hrs</t>
        </is>
      </c>
      <c r="F365" s="1568" t="inlineStr">
        <is>
          <t>JLR</t>
        </is>
      </c>
      <c r="G365" s="1086" t="inlineStr">
        <is>
          <t>IIY#4040941431471LXv</t>
        </is>
      </c>
      <c r="H365" s="785" t="n">
        <v>45740</v>
      </c>
      <c r="I365" s="1750" t="n">
        <v>0</v>
      </c>
      <c r="J365" s="1750" t="n">
        <v>15</v>
      </c>
      <c r="K365" s="1705" t="n"/>
      <c r="L365" s="1706" t="inlineStr">
        <is>
          <t>Simon Underwood</t>
        </is>
      </c>
      <c r="M365" s="1707" t="n"/>
      <c r="N365" s="1374" t="inlineStr">
        <is>
          <t>sunderw2@jaguarlandrover.com</t>
        </is>
      </c>
      <c r="O365" s="1707" t="n"/>
      <c r="P365" s="1707" t="n"/>
      <c r="Q365" s="1646" t="n"/>
      <c r="R365" s="1646" t="n"/>
      <c r="S365" s="1568" t="n"/>
    </row>
    <row r="366">
      <c r="B366" s="1708" t="n">
        <v>45968</v>
      </c>
      <c r="C366" s="1568" t="inlineStr">
        <is>
          <t>Woodland Photography Walk | Kenilworth | Crackley Woods</t>
        </is>
      </c>
      <c r="D366" s="1568" t="n"/>
      <c r="E366" s="1568" t="inlineStr">
        <is>
          <t>2hrs</t>
        </is>
      </c>
      <c r="F366" s="1568" t="inlineStr">
        <is>
          <t>JLR</t>
        </is>
      </c>
      <c r="G366" s="1086" t="inlineStr">
        <is>
          <t>IIY#49186122824714Ck</t>
        </is>
      </c>
      <c r="H366" s="785" t="n">
        <v>45741</v>
      </c>
      <c r="I366" s="1750" t="n">
        <v>0</v>
      </c>
      <c r="J366" s="1750" t="n">
        <v>15</v>
      </c>
      <c r="K366" s="1705" t="n"/>
      <c r="L366" s="1706" t="inlineStr">
        <is>
          <t>Ram Charan R D</t>
        </is>
      </c>
      <c r="M366" s="1707" t="n"/>
      <c r="N366" s="1374" t="inlineStr">
        <is>
          <t>rramasa3@jaguarlandrover.com</t>
        </is>
      </c>
      <c r="O366" s="1707" t="n"/>
      <c r="P366" s="1707" t="n"/>
      <c r="Q366" s="1646" t="n"/>
      <c r="R366" s="1646" t="n"/>
      <c r="S366" s="1568" t="n"/>
    </row>
    <row r="367">
      <c r="A367" s="1643" t="inlineStr">
        <is>
          <t>cancelled 22 Oct</t>
        </is>
      </c>
      <c r="B367" s="1753" t="n">
        <v>45968</v>
      </c>
      <c r="C367" s="1643" t="inlineStr">
        <is>
          <t>Woodland Photography Walk | Kenilworth | Crackley Woods</t>
        </is>
      </c>
      <c r="D367" s="1643" t="n"/>
      <c r="E367" s="1643" t="inlineStr">
        <is>
          <t>2hrs</t>
        </is>
      </c>
      <c r="F367" s="1643" t="inlineStr">
        <is>
          <t>JLR</t>
        </is>
      </c>
      <c r="G367" s="1193" t="inlineStr">
        <is>
          <t>IIY#9857966882471lEn</t>
        </is>
      </c>
      <c r="H367" s="904" t="n">
        <v>45741</v>
      </c>
      <c r="I367" s="1765" t="n">
        <v>0</v>
      </c>
      <c r="J367" s="1765" t="n">
        <v>15</v>
      </c>
      <c r="K367" s="1763" t="n"/>
      <c r="L367" s="1766" t="inlineStr">
        <is>
          <t>Linda Nannfeldt</t>
        </is>
      </c>
      <c r="M367" s="1732" t="n"/>
      <c r="N367" s="1374" t="inlineStr">
        <is>
          <t>lnannfe1@jaguarlandrover.com</t>
        </is>
      </c>
      <c r="O367" s="1707" t="n"/>
      <c r="P367" s="1707" t="inlineStr">
        <is>
          <t>07766 057706</t>
        </is>
      </c>
      <c r="Q367" s="1646" t="n"/>
      <c r="R367" s="1646" t="n"/>
      <c r="S367" s="1568" t="n"/>
    </row>
    <row r="368">
      <c r="B368" s="1708" t="n">
        <v>45968</v>
      </c>
      <c r="C368" s="1568" t="inlineStr">
        <is>
          <t>Woodland Photography Walk | Kenilworth | Crackley Woods</t>
        </is>
      </c>
      <c r="D368" s="1568" t="n"/>
      <c r="E368" s="1568" t="inlineStr">
        <is>
          <t>2hrs</t>
        </is>
      </c>
      <c r="F368" s="1568" t="inlineStr">
        <is>
          <t>JLR</t>
        </is>
      </c>
      <c r="G368" s="1086" t="inlineStr">
        <is>
          <t>IIY#11726341924715uo</t>
        </is>
      </c>
      <c r="H368" s="785" t="n">
        <v>45742</v>
      </c>
      <c r="I368" s="1750" t="n">
        <v>0</v>
      </c>
      <c r="J368" s="1750" t="n">
        <v>15</v>
      </c>
      <c r="K368" s="1705" t="n"/>
      <c r="L368" s="1706" t="inlineStr">
        <is>
          <t>Filippo Brasacchio</t>
        </is>
      </c>
      <c r="M368" s="1707" t="n"/>
      <c r="N368" s="1374" t="inlineStr">
        <is>
          <t>fbrasac1@jaguarlandrover.com</t>
        </is>
      </c>
      <c r="O368" s="1707" t="n"/>
      <c r="P368" s="1707" t="inlineStr">
        <is>
          <t>07542499347</t>
        </is>
      </c>
      <c r="Q368" s="1646" t="n"/>
      <c r="R368" s="1646" t="n"/>
      <c r="S368" s="1568" t="n"/>
    </row>
    <row r="369">
      <c r="B369" s="1708" t="n">
        <v>45968</v>
      </c>
      <c r="C369" s="1568" t="inlineStr">
        <is>
          <t>Woodland Photography Walk | Kenilworth | Crackley Woods</t>
        </is>
      </c>
      <c r="D369" s="1568" t="n"/>
      <c r="E369" s="1568" t="inlineStr">
        <is>
          <t>2hrs</t>
        </is>
      </c>
      <c r="F369" s="1568" t="inlineStr">
        <is>
          <t>JLR</t>
        </is>
      </c>
      <c r="G369" s="1086" t="inlineStr">
        <is>
          <t>IIY#5427535092471L7E</t>
        </is>
      </c>
      <c r="H369" s="785" t="n">
        <v>45742</v>
      </c>
      <c r="I369" s="1750" t="n">
        <v>0</v>
      </c>
      <c r="J369" s="1750" t="n">
        <v>15</v>
      </c>
      <c r="K369" s="1705" t="n"/>
      <c r="L369" s="1706" t="inlineStr">
        <is>
          <t>Blessent George</t>
        </is>
      </c>
      <c r="M369" s="1707" t="n"/>
      <c r="N369" s="1374" t="inlineStr">
        <is>
          <t>bgeorge4@jaguarlandrover.com</t>
        </is>
      </c>
      <c r="O369" s="1707" t="n"/>
      <c r="P369" s="1707" t="n"/>
      <c r="Q369" s="1646" t="n"/>
      <c r="R369" s="1646" t="n"/>
      <c r="S369" s="1568" t="n"/>
    </row>
    <row r="370">
      <c r="B370" s="1708" t="n">
        <v>45968</v>
      </c>
      <c r="C370" s="1568" t="inlineStr">
        <is>
          <t>Woodland Photography Walk | Kenilworth | Crackley Woods</t>
        </is>
      </c>
      <c r="D370" s="1568" t="n"/>
      <c r="E370" s="1568" t="inlineStr">
        <is>
          <t>2hrs</t>
        </is>
      </c>
      <c r="F370" s="1568" t="inlineStr">
        <is>
          <t>JLR</t>
        </is>
      </c>
      <c r="G370" s="1086" t="inlineStr">
        <is>
          <t>IIY#1146234982471lz3</t>
        </is>
      </c>
      <c r="H370" s="785" t="n">
        <v>45742</v>
      </c>
      <c r="I370" s="1750" t="n">
        <v>0</v>
      </c>
      <c r="J370" s="1750" t="n">
        <v>15</v>
      </c>
      <c r="K370" s="1705" t="n"/>
      <c r="L370" s="1706" t="inlineStr">
        <is>
          <t>Sunil Raaj</t>
        </is>
      </c>
      <c r="M370" s="1707" t="n"/>
      <c r="N370" s="1374" t="inlineStr">
        <is>
          <t>smalarva@jaguarlandrover.com</t>
        </is>
      </c>
      <c r="O370" s="1707" t="n"/>
      <c r="P370" s="1707" t="n"/>
      <c r="Q370" s="1646" t="n"/>
      <c r="R370" s="1646" t="n"/>
      <c r="S370" s="1568" t="n"/>
    </row>
    <row r="371">
      <c r="B371" s="1708" t="n">
        <v>45968</v>
      </c>
      <c r="C371" s="1568" t="inlineStr">
        <is>
          <t>Woodland Photography Walk | Kenilworth | Crackley Woods</t>
        </is>
      </c>
      <c r="D371" s="1568" t="n"/>
      <c r="E371" s="1568" t="inlineStr">
        <is>
          <t>2hrs</t>
        </is>
      </c>
      <c r="F371" s="1568" t="inlineStr">
        <is>
          <t>JLR</t>
        </is>
      </c>
      <c r="G371" s="1086" t="inlineStr">
        <is>
          <t>IIY#2815506982471mdv</t>
        </is>
      </c>
      <c r="H371" s="785" t="n">
        <v>45742</v>
      </c>
      <c r="I371" s="1750" t="n">
        <v>0</v>
      </c>
      <c r="J371" s="1750" t="n">
        <v>15</v>
      </c>
      <c r="K371" s="1705" t="n"/>
      <c r="L371" s="1706" t="inlineStr">
        <is>
          <t>Burcu Ece Ilgu</t>
        </is>
      </c>
      <c r="M371" s="1707" t="n"/>
      <c r="N371" s="1374" t="inlineStr">
        <is>
          <t>bilgu@jaguarlandrover.com</t>
        </is>
      </c>
      <c r="O371" s="1707" t="n"/>
      <c r="P371" s="1707" t="inlineStr">
        <is>
          <t>007385799944</t>
        </is>
      </c>
      <c r="Q371" s="1646" t="n"/>
      <c r="R371" s="1646" t="n"/>
      <c r="S371" s="1568" t="n"/>
    </row>
    <row r="372">
      <c r="B372" s="1708" t="n">
        <v>45968</v>
      </c>
      <c r="C372" s="1568" t="inlineStr">
        <is>
          <t>Woodland Photography Walk | Kenilworth | Crackley Woods</t>
        </is>
      </c>
      <c r="D372" s="1568" t="n"/>
      <c r="E372" s="1568" t="inlineStr">
        <is>
          <t>2hrs</t>
        </is>
      </c>
      <c r="F372" s="1568" t="inlineStr">
        <is>
          <t>JLR</t>
        </is>
      </c>
      <c r="G372" s="1086" t="inlineStr">
        <is>
          <t>IIY#5914532292471BEp</t>
        </is>
      </c>
      <c r="H372" s="785" t="n">
        <v>45834</v>
      </c>
      <c r="I372" s="1750" t="n">
        <v>0</v>
      </c>
      <c r="J372" s="1750" t="n">
        <v>15</v>
      </c>
      <c r="K372" s="1705" t="n"/>
      <c r="L372" s="1706" t="inlineStr">
        <is>
          <t>Gouranga Neog</t>
        </is>
      </c>
      <c r="M372" s="1707" t="n"/>
      <c r="N372" s="1374" t="inlineStr">
        <is>
          <t>gneog@jaguarlandrover.com</t>
        </is>
      </c>
      <c r="O372" s="1707" t="n"/>
      <c r="P372" s="1707" t="inlineStr">
        <is>
          <t>07587556164</t>
        </is>
      </c>
      <c r="Q372" s="1646" t="n"/>
      <c r="R372" s="1646" t="n"/>
      <c r="S372" s="1568" t="n"/>
    </row>
    <row r="373">
      <c r="B373" s="1708" t="n">
        <v>45968</v>
      </c>
      <c r="C373" s="1568" t="inlineStr">
        <is>
          <t>Woodland Photography Walk | Kenilworth | Crackley Woods</t>
        </is>
      </c>
      <c r="D373" s="1568" t="n"/>
      <c r="E373" s="1568" t="inlineStr">
        <is>
          <t>2hrs</t>
        </is>
      </c>
      <c r="F373" s="1568" t="inlineStr">
        <is>
          <t>JLR</t>
        </is>
      </c>
      <c r="G373" s="1086" t="inlineStr">
        <is>
          <t>IIY#3479052992471N4M</t>
        </is>
      </c>
      <c r="H373" s="785" t="n">
        <v>45743</v>
      </c>
      <c r="I373" s="1750" t="n">
        <v>0</v>
      </c>
      <c r="J373" s="1750" t="n">
        <v>15</v>
      </c>
      <c r="K373" s="1705" t="n"/>
      <c r="L373" s="1706" t="inlineStr">
        <is>
          <t>Ahmed Alyazji</t>
        </is>
      </c>
      <c r="M373" s="1707" t="n"/>
      <c r="N373" s="1374" t="inlineStr">
        <is>
          <t>aalyazji@jaguarlandrover.com</t>
        </is>
      </c>
      <c r="O373" s="1707" t="n"/>
      <c r="P373" s="1707" t="n"/>
      <c r="Q373" s="1646" t="n"/>
      <c r="R373" s="1646" t="n"/>
      <c r="S373" s="1568" t="n"/>
    </row>
    <row r="374">
      <c r="A374" s="1643" t="inlineStr">
        <is>
          <t>cancelled 3rd Nov</t>
        </is>
      </c>
      <c r="B374" s="1753" t="n">
        <v>45968</v>
      </c>
      <c r="C374" s="1643" t="inlineStr">
        <is>
          <t>Woodland Photography Walk | Kenilworth | Crackley Woods</t>
        </is>
      </c>
      <c r="D374" s="1643" t="n"/>
      <c r="E374" s="1643" t="inlineStr">
        <is>
          <t>2hrs</t>
        </is>
      </c>
      <c r="F374" s="1643" t="inlineStr">
        <is>
          <t>JLR</t>
        </is>
      </c>
      <c r="G374" s="1193" t="inlineStr">
        <is>
          <t>IIY#1518136992471caE</t>
        </is>
      </c>
      <c r="H374" s="904" t="n">
        <v>45743</v>
      </c>
      <c r="I374" s="1765" t="n">
        <v>0</v>
      </c>
      <c r="J374" s="1765" t="n">
        <v>15</v>
      </c>
      <c r="K374" s="1763" t="n"/>
      <c r="L374" s="1766" t="inlineStr">
        <is>
          <t>Alireza Rajabi</t>
        </is>
      </c>
      <c r="M374" s="1707" t="n"/>
      <c r="N374" s="1374" t="inlineStr">
        <is>
          <t>arajabi@jaguarlandrover.com</t>
        </is>
      </c>
      <c r="O374" s="1707" t="n"/>
      <c r="P374" s="1707" t="inlineStr">
        <is>
          <t>07480225869</t>
        </is>
      </c>
      <c r="Q374" s="1646" t="n"/>
      <c r="R374" s="1646" t="n"/>
      <c r="S374" s="1568" t="n"/>
    </row>
    <row r="375">
      <c r="B375" s="1708" t="n">
        <v>45968</v>
      </c>
      <c r="C375" s="1568" t="inlineStr">
        <is>
          <t>Woodland Photography Walk | Kenilworth | Crackley Woods</t>
        </is>
      </c>
      <c r="D375" s="1568" t="n"/>
      <c r="E375" s="1568" t="inlineStr">
        <is>
          <t>2hrs</t>
        </is>
      </c>
      <c r="F375" s="1568" t="inlineStr">
        <is>
          <t>JLR</t>
        </is>
      </c>
      <c r="G375" s="1086" t="inlineStr">
        <is>
          <t>IIY#6099052992471MUw</t>
        </is>
      </c>
      <c r="H375" s="785" t="n">
        <v>45743</v>
      </c>
      <c r="I375" s="1750" t="n">
        <v>0</v>
      </c>
      <c r="J375" s="1750" t="n">
        <v>15</v>
      </c>
      <c r="K375" s="1705" t="n"/>
      <c r="L375" s="1706" t="inlineStr">
        <is>
          <t>Ali Al Badra</t>
        </is>
      </c>
      <c r="M375" s="1707" t="n"/>
      <c r="N375" s="1374" t="inlineStr">
        <is>
          <t>aalbadra@jaguarlandrover.com</t>
        </is>
      </c>
      <c r="O375" s="1707" t="n"/>
      <c r="P375" s="1707" t="n"/>
      <c r="Q375" s="1646" t="n"/>
      <c r="R375" s="1646" t="n"/>
      <c r="S375" s="1568" t="n"/>
    </row>
    <row r="376">
      <c r="B376" s="1708" t="n">
        <v>45968</v>
      </c>
      <c r="C376" s="1568" t="inlineStr">
        <is>
          <t>Woodland Photography Walk | Kenilworth | Crackley Woods</t>
        </is>
      </c>
      <c r="D376" s="1568" t="n"/>
      <c r="E376" s="1568" t="inlineStr">
        <is>
          <t>2hrs</t>
        </is>
      </c>
      <c r="F376" s="1568" t="inlineStr">
        <is>
          <t>JLR</t>
        </is>
      </c>
      <c r="G376" s="1086" t="inlineStr">
        <is>
          <t>IIY#1496711803471tEs</t>
        </is>
      </c>
      <c r="H376" s="785" t="n">
        <v>45744</v>
      </c>
      <c r="I376" s="1750" t="n">
        <v>0</v>
      </c>
      <c r="J376" s="1750" t="n">
        <v>15</v>
      </c>
      <c r="K376" s="1705" t="n"/>
      <c r="L376" s="1706" t="inlineStr">
        <is>
          <t>Tracie Brannan</t>
        </is>
      </c>
      <c r="M376" s="1707" t="n"/>
      <c r="N376" s="1374" t="inlineStr">
        <is>
          <t>tbrannan@jaguarlandrover.com</t>
        </is>
      </c>
      <c r="O376" s="1707" t="n"/>
      <c r="P376" s="1707" t="n"/>
      <c r="Q376" s="1646" t="n"/>
      <c r="R376" s="1646" t="n"/>
      <c r="S376" s="1568" t="n"/>
    </row>
    <row r="377">
      <c r="B377" s="1708" t="n">
        <v>45968</v>
      </c>
      <c r="C377" s="1568" t="inlineStr">
        <is>
          <t>Woodland Photography Walk | Kenilworth | Crackley Woods</t>
        </is>
      </c>
      <c r="D377" s="1568" t="n"/>
      <c r="E377" s="1568" t="inlineStr">
        <is>
          <t>2hrs</t>
        </is>
      </c>
      <c r="F377" s="1568" t="inlineStr">
        <is>
          <t>JLR</t>
        </is>
      </c>
      <c r="G377" s="1086" t="inlineStr">
        <is>
          <t>IIY#5801500803471dsY</t>
        </is>
      </c>
      <c r="H377" s="785" t="n">
        <v>45745</v>
      </c>
      <c r="I377" s="1750" t="n">
        <v>0</v>
      </c>
      <c r="J377" s="1750" t="n">
        <v>15</v>
      </c>
      <c r="K377" s="1705" t="n"/>
      <c r="L377" s="1706" t="inlineStr">
        <is>
          <t>Peter Scarisbrick Miller</t>
        </is>
      </c>
      <c r="M377" s="1707" t="n"/>
      <c r="N377" s="1374" t="inlineStr">
        <is>
          <t>pscarisb@jaguarlandrover.com</t>
        </is>
      </c>
      <c r="O377" s="1707" t="n"/>
      <c r="P377" s="1707" t="n"/>
      <c r="Q377" s="1646" t="n"/>
      <c r="R377" s="1646" t="n"/>
      <c r="S377" s="1568" t="n"/>
    </row>
    <row r="378">
      <c r="B378" s="1708" t="n">
        <v>45968</v>
      </c>
      <c r="C378" s="1568" t="inlineStr">
        <is>
          <t>Woodland Photography Walk | Kenilworth | Crackley Woods</t>
        </is>
      </c>
      <c r="D378" s="1568" t="n"/>
      <c r="E378" s="1568" t="inlineStr">
        <is>
          <t>2hrs</t>
        </is>
      </c>
      <c r="F378" s="1568" t="inlineStr">
        <is>
          <t>JLR</t>
        </is>
      </c>
      <c r="G378" s="1086" t="inlineStr">
        <is>
          <t>IIY#1280108603471nR8</t>
        </is>
      </c>
      <c r="H378" s="785" t="n">
        <v>45745</v>
      </c>
      <c r="I378" s="1750" t="n">
        <v>0</v>
      </c>
      <c r="J378" s="1750" t="n">
        <v>15</v>
      </c>
      <c r="K378" s="1705" t="n"/>
      <c r="L378" s="1706" t="inlineStr">
        <is>
          <t>Artemiy Brukhno</t>
        </is>
      </c>
      <c r="M378" s="1707" t="n"/>
      <c r="N378" s="1374" t="inlineStr">
        <is>
          <t>abrukhno@jaguarlandrover.com</t>
        </is>
      </c>
      <c r="O378" s="1707" t="n"/>
      <c r="P378" s="1707" t="inlineStr">
        <is>
          <t>07305936914</t>
        </is>
      </c>
      <c r="Q378" s="1646" t="n"/>
      <c r="R378" s="1646" t="n"/>
      <c r="S378" s="1568" t="n"/>
    </row>
    <row r="379">
      <c r="B379" s="1708" t="n">
        <v>45968</v>
      </c>
      <c r="C379" s="1568" t="inlineStr">
        <is>
          <t>Woodland Photography Walk | Kenilworth | Crackley Woods</t>
        </is>
      </c>
      <c r="D379" s="1568" t="n"/>
      <c r="E379" s="1568" t="inlineStr">
        <is>
          <t>2hrs</t>
        </is>
      </c>
      <c r="F379" s="1568" t="inlineStr">
        <is>
          <t>JLR</t>
        </is>
      </c>
      <c r="G379" s="1086" t="inlineStr">
        <is>
          <t>IIY#1960487903471V5t</t>
        </is>
      </c>
      <c r="H379" s="785" t="n">
        <v>45745</v>
      </c>
      <c r="I379" s="1750" t="n">
        <v>0</v>
      </c>
      <c r="J379" s="1750" t="n">
        <v>15</v>
      </c>
      <c r="K379" s="1705" t="n"/>
      <c r="L379" s="1706" t="inlineStr">
        <is>
          <t>Ajay Thomas</t>
        </is>
      </c>
      <c r="M379" s="1707" t="n"/>
      <c r="N379" s="1374" t="inlineStr">
        <is>
          <t>athoma44@jaguarlandrover.com</t>
        </is>
      </c>
      <c r="O379" s="1707" t="n"/>
      <c r="P379" s="1707" t="n"/>
      <c r="Q379" s="1646" t="n"/>
      <c r="R379" s="1646" t="n"/>
      <c r="S379" s="1568" t="n"/>
    </row>
    <row r="380">
      <c r="B380" s="1708" t="n">
        <v>45968</v>
      </c>
      <c r="C380" s="1568" t="inlineStr">
        <is>
          <t>Woodland Photography Walk | Kenilworth | Crackley Woods</t>
        </is>
      </c>
      <c r="D380" s="1568" t="n"/>
      <c r="E380" s="1568" t="inlineStr">
        <is>
          <t>2hrs</t>
        </is>
      </c>
      <c r="F380" s="1568" t="inlineStr">
        <is>
          <t>JLR</t>
        </is>
      </c>
      <c r="G380" s="1086" t="inlineStr">
        <is>
          <t>IIY#0845999413471FEC</t>
        </is>
      </c>
      <c r="H380" s="785" t="n">
        <v>45746</v>
      </c>
      <c r="I380" s="1750" t="n">
        <v>0</v>
      </c>
      <c r="J380" s="1750" t="n">
        <v>15</v>
      </c>
      <c r="K380" s="1705" t="n"/>
      <c r="L380" s="1706" t="inlineStr">
        <is>
          <t>Matthew Struthers</t>
        </is>
      </c>
      <c r="M380" s="1707" t="n"/>
      <c r="N380" s="1374" t="inlineStr">
        <is>
          <t>mstruthe@jaguarlandrover.com</t>
        </is>
      </c>
      <c r="O380" s="1707" t="n"/>
      <c r="P380" s="1707" t="n"/>
      <c r="Q380" s="1646" t="n"/>
      <c r="R380" s="1646" t="n"/>
      <c r="S380" s="1568" t="n"/>
    </row>
    <row r="381">
      <c r="B381" s="1708" t="n">
        <v>45968</v>
      </c>
      <c r="C381" s="1568" t="inlineStr">
        <is>
          <t>Woodland Photography Walk | Kenilworth | Crackley Woods</t>
        </is>
      </c>
      <c r="D381" s="1568" t="n"/>
      <c r="E381" s="1568" t="inlineStr">
        <is>
          <t>2hrs</t>
        </is>
      </c>
      <c r="F381" s="1568" t="inlineStr">
        <is>
          <t>JLR</t>
        </is>
      </c>
      <c r="G381" s="1086" t="inlineStr">
        <is>
          <t>IIY#4900262713471EM3</t>
        </is>
      </c>
      <c r="H381" s="785" t="n">
        <v>45746</v>
      </c>
      <c r="I381" s="1750" t="n">
        <v>0</v>
      </c>
      <c r="J381" s="1750" t="n">
        <v>15</v>
      </c>
      <c r="K381" s="1705" t="n"/>
      <c r="L381" s="1706" t="inlineStr">
        <is>
          <t>Bogdan - Ionut Hardulea</t>
        </is>
      </c>
      <c r="M381" s="1707" t="n"/>
      <c r="N381" s="1374" t="inlineStr">
        <is>
          <t>bhardul1@jaguarlandrover.com</t>
        </is>
      </c>
      <c r="O381" s="1707" t="n"/>
      <c r="P381" s="1707" t="n"/>
      <c r="Q381" s="1646" t="n"/>
      <c r="R381" s="1646" t="n"/>
      <c r="S381" s="1568" t="n"/>
    </row>
    <row r="382">
      <c r="B382" s="1708" t="n"/>
      <c r="C382" s="1568" t="n"/>
      <c r="D382" s="1568" t="n"/>
      <c r="F382" s="1568" t="n"/>
      <c r="G382" s="1086" t="n"/>
      <c r="H382" s="785" t="n"/>
      <c r="I382" s="1750" t="n"/>
      <c r="J382" s="1750" t="n"/>
      <c r="K382" s="1705" t="n"/>
      <c r="L382" s="1706" t="n"/>
      <c r="M382" s="1707" t="n"/>
      <c r="N382" s="1374" t="n"/>
      <c r="O382" s="1707" t="n"/>
      <c r="P382" s="1707" t="n"/>
      <c r="Q382" s="1646" t="n"/>
      <c r="R382" s="1646" t="n"/>
      <c r="S382" s="1568" t="n"/>
    </row>
    <row r="383">
      <c r="B383" s="1708" t="n">
        <v>45969</v>
      </c>
      <c r="C383" s="1568" t="inlineStr">
        <is>
          <t>Abstract and Macro Photography Workshop Warwickshire</t>
        </is>
      </c>
      <c r="D383" s="1568" t="n"/>
      <c r="E383" s="1568" t="inlineStr">
        <is>
          <t>2.5hrs</t>
        </is>
      </c>
      <c r="F383" s="1568" t="inlineStr">
        <is>
          <t>JLR</t>
        </is>
      </c>
      <c r="G383" s="1086" t="inlineStr">
        <is>
          <t>IIY#6904749043471aQA</t>
        </is>
      </c>
      <c r="H383" s="785" t="n">
        <v>45747</v>
      </c>
      <c r="I383" s="1750" t="n">
        <v>0</v>
      </c>
      <c r="J383" s="1750" t="n">
        <v>60</v>
      </c>
      <c r="K383" s="1705" t="n"/>
      <c r="L383" s="1706" t="inlineStr">
        <is>
          <t>Daniel Dinu</t>
        </is>
      </c>
      <c r="M383" s="1707" t="n"/>
      <c r="N383" s="1374" t="inlineStr">
        <is>
          <t>ddinu3@jaguarlandrover.com</t>
        </is>
      </c>
      <c r="O383" s="1707" t="n"/>
      <c r="P383" s="1707" t="n"/>
      <c r="Q383" s="1646" t="n"/>
      <c r="R383" s="1646" t="n"/>
      <c r="S383" s="1568" t="n"/>
    </row>
    <row r="384">
      <c r="B384" s="1708" t="n">
        <v>45969</v>
      </c>
      <c r="C384" s="1568" t="inlineStr">
        <is>
          <t>Abstract and Macro Photography Workshop Warwickshire</t>
        </is>
      </c>
      <c r="D384" s="1568" t="n"/>
      <c r="E384" s="1568" t="inlineStr">
        <is>
          <t>2.5hrs</t>
        </is>
      </c>
      <c r="F384" s="1568" t="inlineStr">
        <is>
          <t>JLR</t>
        </is>
      </c>
      <c r="G384" s="1086" t="inlineStr">
        <is>
          <t>IIY#0629919143471usS</t>
        </is>
      </c>
      <c r="H384" s="785" t="n">
        <v>45747</v>
      </c>
      <c r="I384" s="1750" t="n">
        <v>0</v>
      </c>
      <c r="J384" s="1750" t="n">
        <v>60</v>
      </c>
      <c r="K384" s="1705" t="n"/>
      <c r="L384" s="1706" t="inlineStr">
        <is>
          <t>Nicholas Guntrip Hook</t>
        </is>
      </c>
      <c r="M384" s="1707" t="n"/>
      <c r="N384" s="1374" t="inlineStr">
        <is>
          <t>nguntrip@jaguarlandrover.com</t>
        </is>
      </c>
      <c r="O384" s="1707" t="n"/>
      <c r="P384" s="1707" t="inlineStr">
        <is>
          <t>07792202254</t>
        </is>
      </c>
      <c r="Q384" s="1646" t="n"/>
      <c r="R384" s="1646" t="n"/>
      <c r="S384" s="1568" t="n"/>
    </row>
    <row r="385">
      <c r="A385" s="1643" t="inlineStr">
        <is>
          <t>Swithced from woodland masterclass as it was cancelled, so has further credit of £60 to use</t>
        </is>
      </c>
      <c r="B385" s="1708" t="n">
        <v>45969</v>
      </c>
      <c r="C385" s="1568" t="inlineStr">
        <is>
          <t>Abstract and Macro Photography Workshop Warwickshire</t>
        </is>
      </c>
      <c r="D385" s="883" t="n"/>
      <c r="E385" s="1568" t="inlineStr">
        <is>
          <t>2.5hrs</t>
        </is>
      </c>
      <c r="F385" s="1750" t="inlineStr">
        <is>
          <t>Google</t>
        </is>
      </c>
      <c r="G385" s="785" t="inlineStr">
        <is>
          <t>#03131</t>
        </is>
      </c>
      <c r="H385" s="785" t="n">
        <v>45944</v>
      </c>
      <c r="I385" s="1750" t="n">
        <v>65</v>
      </c>
      <c r="J385" s="1750" t="n"/>
      <c r="K385" s="1705" t="inlineStr">
        <is>
          <t>Mrs</t>
        </is>
      </c>
      <c r="L385" s="1706" t="inlineStr">
        <is>
          <t>Nichola Wallis</t>
        </is>
      </c>
      <c r="M385" s="1707" t="n"/>
      <c r="N385" s="1374" t="inlineStr">
        <is>
          <t xml:space="preserve">snowfall33@outlook.com </t>
        </is>
      </c>
      <c r="O385" s="1707" t="inlineStr">
        <is>
          <t>60</t>
        </is>
      </c>
      <c r="P385" s="1707" t="inlineStr">
        <is>
          <t>07951978091</t>
        </is>
      </c>
      <c r="Q385" s="1646" t="n"/>
      <c r="R385" s="1646" t="n"/>
      <c r="S385" s="1568" t="n"/>
    </row>
    <row r="386">
      <c r="B386" s="1708" t="n">
        <v>45969</v>
      </c>
      <c r="C386" s="1568" t="inlineStr">
        <is>
          <t>Abstract and Macro Photography Workshop Warwickshire</t>
        </is>
      </c>
      <c r="D386" s="883" t="n"/>
      <c r="E386" s="1568" t="inlineStr">
        <is>
          <t>2.5hrs</t>
        </is>
      </c>
      <c r="F386" s="1750" t="inlineStr">
        <is>
          <t>Google</t>
        </is>
      </c>
      <c r="G386" s="785" t="inlineStr">
        <is>
          <t>#03149</t>
        </is>
      </c>
      <c r="H386" s="785" t="n">
        <v>45963</v>
      </c>
      <c r="I386" s="1750" t="n">
        <v>65</v>
      </c>
      <c r="J386" s="1750" t="n"/>
      <c r="K386" s="1705" t="n"/>
      <c r="L386" s="1706" t="inlineStr">
        <is>
          <t>Kim Pratt</t>
        </is>
      </c>
      <c r="M386" s="1707" t="n"/>
      <c r="N386" s="1374" t="inlineStr">
        <is>
          <t xml:space="preserve">klp01827@gmail.com </t>
        </is>
      </c>
      <c r="O386" s="1707" t="inlineStr">
        <is>
          <t>56</t>
        </is>
      </c>
      <c r="P386" s="1707" t="inlineStr">
        <is>
          <t xml:space="preserve">07850172273 </t>
        </is>
      </c>
      <c r="Q386" s="1646" t="n"/>
      <c r="R386" s="1646" t="n"/>
      <c r="S386" s="1568" t="n"/>
    </row>
    <row r="387">
      <c r="B387" s="1708" t="n"/>
      <c r="C387" s="1568" t="n"/>
      <c r="D387" s="1568" t="n"/>
      <c r="E387" s="1568" t="n"/>
      <c r="F387" s="1568" t="n"/>
      <c r="G387" s="1086" t="n"/>
      <c r="H387" s="785" t="n"/>
      <c r="I387" s="1750" t="n"/>
      <c r="J387" s="1750" t="n"/>
      <c r="K387" s="1705" t="n"/>
      <c r="L387" s="1706" t="n"/>
      <c r="M387" s="1707" t="n"/>
      <c r="N387" s="1374" t="n"/>
      <c r="O387" s="1707" t="n"/>
      <c r="P387" s="1707" t="n"/>
      <c r="Q387" s="1646" t="n"/>
      <c r="R387" s="1646" t="n"/>
      <c r="S387" s="1568" t="n"/>
    </row>
    <row r="388">
      <c r="B388" s="1708" t="n"/>
      <c r="C388" s="1568" t="n"/>
      <c r="D388" s="1568" t="n"/>
      <c r="E388" s="1568" t="n"/>
      <c r="F388" s="1568" t="n"/>
      <c r="G388" s="1086" t="n"/>
      <c r="H388" s="785" t="n"/>
      <c r="I388" s="1750" t="n"/>
      <c r="J388" s="1750" t="n"/>
      <c r="K388" s="1705" t="n"/>
      <c r="L388" s="1706" t="n"/>
      <c r="M388" s="1707" t="n"/>
      <c r="N388" s="1374" t="n"/>
      <c r="O388" s="1707" t="n"/>
      <c r="P388" s="1707" t="n"/>
      <c r="Q388" s="1646" t="n"/>
      <c r="R388" s="1646" t="n"/>
      <c r="S388" s="1568" t="n"/>
    </row>
    <row r="389">
      <c r="B389" s="1708" t="n">
        <v>45996</v>
      </c>
      <c r="C389" s="1646" t="inlineStr">
        <is>
          <t>Woodland Photography Walk |Solihull| Hay Woods</t>
        </is>
      </c>
      <c r="D389" s="1646" t="n"/>
      <c r="E389" s="1646" t="inlineStr">
        <is>
          <t>2hrs</t>
        </is>
      </c>
      <c r="F389" s="1646" t="inlineStr">
        <is>
          <t>JLR</t>
        </is>
      </c>
      <c r="G389" s="1086" t="inlineStr">
        <is>
          <t>IIY#1260831143471Qcd</t>
        </is>
      </c>
      <c r="H389" s="785" t="n">
        <v>45748</v>
      </c>
      <c r="I389" s="1750" t="n">
        <v>0</v>
      </c>
      <c r="J389" s="1750" t="n">
        <v>15</v>
      </c>
      <c r="K389" s="1705" t="n"/>
      <c r="L389" s="1706" t="inlineStr">
        <is>
          <t>Dadasaheb Jadhav</t>
        </is>
      </c>
      <c r="M389" s="1707" t="n"/>
      <c r="N389" s="1374" t="inlineStr">
        <is>
          <t>djadhav4@jaguarlandrover.com</t>
        </is>
      </c>
      <c r="O389" s="1707" t="n"/>
      <c r="P389" s="1707" t="inlineStr">
        <is>
          <t>07818943144</t>
        </is>
      </c>
      <c r="Q389" s="1643" t="n"/>
      <c r="R389" s="1646" t="n"/>
      <c r="S389" s="1568" t="n"/>
    </row>
    <row r="390">
      <c r="B390" s="1708" t="n">
        <v>45996</v>
      </c>
      <c r="C390" s="1646" t="inlineStr">
        <is>
          <t>Woodland Photography Walk |Solihull| Hay Woods</t>
        </is>
      </c>
      <c r="D390" s="1646" t="n"/>
      <c r="E390" s="1646" t="inlineStr">
        <is>
          <t>2hrs</t>
        </is>
      </c>
      <c r="F390" s="1646" t="inlineStr">
        <is>
          <t>JLR</t>
        </is>
      </c>
      <c r="G390" s="1086" t="inlineStr">
        <is>
          <t>IIY#0332317043471Nhb</t>
        </is>
      </c>
      <c r="H390" s="785" t="n">
        <v>45748</v>
      </c>
      <c r="I390" s="1750" t="n">
        <v>0</v>
      </c>
      <c r="J390" s="1750" t="n">
        <v>15</v>
      </c>
      <c r="K390" s="1705" t="n"/>
      <c r="L390" s="1706" t="inlineStr">
        <is>
          <t>Vedaraj Thakare</t>
        </is>
      </c>
      <c r="M390" s="1707" t="n"/>
      <c r="N390" s="1374" t="inlineStr">
        <is>
          <t>vthakar1@jaguarlandrover.com</t>
        </is>
      </c>
      <c r="O390" s="1707" t="n"/>
      <c r="P390" s="1707" t="inlineStr">
        <is>
          <t>07442783313</t>
        </is>
      </c>
      <c r="Q390" s="1643" t="n"/>
      <c r="R390" s="1646" t="n"/>
      <c r="S390" s="1568" t="n"/>
    </row>
    <row r="391">
      <c r="B391" s="1708" t="n">
        <v>45996</v>
      </c>
      <c r="C391" s="1646" t="inlineStr">
        <is>
          <t>Woodland Photography Walk |Solihull| Hay Woods</t>
        </is>
      </c>
      <c r="D391" s="1646" t="n"/>
      <c r="E391" s="1646" t="inlineStr">
        <is>
          <t>2hrs</t>
        </is>
      </c>
      <c r="F391" s="1646" t="inlineStr">
        <is>
          <t>JLR</t>
        </is>
      </c>
      <c r="G391" s="1086" t="inlineStr">
        <is>
          <t>IIY#7864011723471Tz9</t>
        </is>
      </c>
      <c r="H391" s="785" t="n">
        <v>45748</v>
      </c>
      <c r="I391" s="1750" t="n">
        <v>0</v>
      </c>
      <c r="J391" s="1750" t="n">
        <v>15</v>
      </c>
      <c r="K391" s="1705" t="n"/>
      <c r="L391" s="1706" t="inlineStr">
        <is>
          <t>Stephanie Sanderson</t>
        </is>
      </c>
      <c r="M391" s="1707" t="n"/>
      <c r="N391" s="1374" t="inlineStr">
        <is>
          <t>ssander2@jaguarlandrover.com</t>
        </is>
      </c>
      <c r="O391" s="1707" t="n"/>
      <c r="P391" s="1707" t="inlineStr">
        <is>
          <t>07384 538 185</t>
        </is>
      </c>
      <c r="Q391" s="1643" t="n"/>
      <c r="R391" s="1646" t="n"/>
      <c r="S391" s="1568" t="n"/>
    </row>
    <row r="392">
      <c r="B392" s="1708" t="n">
        <v>45996</v>
      </c>
      <c r="C392" s="1646" t="inlineStr">
        <is>
          <t>Woodland Photography Walk |Solihull| Hay Woods</t>
        </is>
      </c>
      <c r="D392" s="1646" t="n"/>
      <c r="E392" s="1646" t="inlineStr">
        <is>
          <t>2hrs</t>
        </is>
      </c>
      <c r="F392" s="1646" t="inlineStr">
        <is>
          <t>JLR</t>
        </is>
      </c>
      <c r="G392" s="1086" t="inlineStr">
        <is>
          <t>IIY#4434617143471kDz</t>
        </is>
      </c>
      <c r="H392" s="785" t="n">
        <v>45748</v>
      </c>
      <c r="I392" s="1750" t="n">
        <v>0</v>
      </c>
      <c r="J392" s="1750" t="n">
        <v>15</v>
      </c>
      <c r="K392" s="1705" t="n"/>
      <c r="L392" s="1706" t="inlineStr">
        <is>
          <t>Toby Mendes</t>
        </is>
      </c>
      <c r="M392" s="1707" t="n"/>
      <c r="N392" s="291" t="inlineStr">
        <is>
          <t>tmendes1@jaguarlandrover.com</t>
        </is>
      </c>
      <c r="O392" s="1707" t="n"/>
      <c r="P392" s="1707" t="n"/>
      <c r="Q392" s="1643" t="n"/>
      <c r="R392" s="1646" t="n"/>
      <c r="S392" s="1568" t="n"/>
    </row>
    <row r="393">
      <c r="B393" s="1773" t="n">
        <v>45996</v>
      </c>
      <c r="C393" s="1774" t="inlineStr">
        <is>
          <t>Woodland Photography Walk |Solihull| Hay Woods</t>
        </is>
      </c>
      <c r="D393" s="1774" t="n"/>
      <c r="E393" s="1774" t="inlineStr">
        <is>
          <t>2hrs</t>
        </is>
      </c>
      <c r="F393" s="1774" t="inlineStr">
        <is>
          <t>JLR</t>
        </is>
      </c>
      <c r="G393" s="1164" t="inlineStr">
        <is>
          <t>IIY#6283455742471uhg</t>
        </is>
      </c>
      <c r="H393" s="1165" t="n">
        <v>45754</v>
      </c>
      <c r="I393" s="1750" t="n">
        <v>0</v>
      </c>
      <c r="J393" s="1750" t="n">
        <v>15</v>
      </c>
      <c r="K393" s="1705" t="n"/>
      <c r="L393" s="1706" t="inlineStr">
        <is>
          <t>Sara Roberts</t>
        </is>
      </c>
      <c r="M393" s="1707" t="n"/>
      <c r="N393" s="1374" t="inlineStr">
        <is>
          <t>srickar3@jaguarlandrover.com</t>
        </is>
      </c>
      <c r="O393" s="1707" t="n"/>
      <c r="P393" s="1707" t="inlineStr">
        <is>
          <t>07469021178</t>
        </is>
      </c>
      <c r="Q393" s="1374" t="inlineStr">
        <is>
          <t>saz.rickards@gmail.com</t>
        </is>
      </c>
      <c r="R393" s="1646" t="n"/>
      <c r="S393" s="1568" t="n"/>
    </row>
    <row r="394">
      <c r="A394" s="1643" t="inlineStr">
        <is>
          <t>cancelled 28 Nov</t>
        </is>
      </c>
      <c r="B394" s="1775" t="n">
        <v>45996</v>
      </c>
      <c r="C394" s="1776" t="inlineStr">
        <is>
          <t>Woodland Photography Walk |Solihull| Hay Woods</t>
        </is>
      </c>
      <c r="D394" s="1776" t="n"/>
      <c r="E394" s="1776" t="inlineStr">
        <is>
          <t>2hrs</t>
        </is>
      </c>
      <c r="F394" s="1776" t="inlineStr">
        <is>
          <t>JLR</t>
        </is>
      </c>
      <c r="G394" s="1199" t="inlineStr">
        <is>
          <t>IIY#5693288733471hk6</t>
        </is>
      </c>
      <c r="H394" s="1200" t="n">
        <v>45754</v>
      </c>
      <c r="I394" s="1645" t="n">
        <v>0</v>
      </c>
      <c r="J394" s="1643" t="n">
        <v>15</v>
      </c>
      <c r="K394" s="1643" t="n"/>
      <c r="L394" s="1763" t="inlineStr">
        <is>
          <t>Shreyashi Saha</t>
        </is>
      </c>
      <c r="M394" s="1707" t="n"/>
      <c r="N394" s="1374" t="inlineStr">
        <is>
          <t>ssaha7@jaguarlandrover.com</t>
        </is>
      </c>
      <c r="O394" s="1707" t="n"/>
      <c r="P394" s="1707" t="n"/>
      <c r="Q394" s="1646" t="n"/>
      <c r="R394" s="1646" t="n"/>
      <c r="S394" s="1568" t="n"/>
    </row>
    <row r="395">
      <c r="B395" s="1773" t="n">
        <v>45996</v>
      </c>
      <c r="C395" s="1774" t="inlineStr">
        <is>
          <t>Woodland Photography Walk |Solihull| Hay Woods</t>
        </is>
      </c>
      <c r="D395" s="1774" t="n"/>
      <c r="E395" s="1774" t="inlineStr">
        <is>
          <t>2hrs</t>
        </is>
      </c>
      <c r="F395" s="1774" t="inlineStr">
        <is>
          <t>JLR</t>
        </is>
      </c>
      <c r="G395" s="1166" t="inlineStr">
        <is>
          <t>IIY#0089144982471f4Z</t>
        </is>
      </c>
      <c r="H395" s="1165" t="n"/>
      <c r="I395" s="1750" t="n">
        <v>0</v>
      </c>
      <c r="J395" s="1750" t="n">
        <v>15</v>
      </c>
      <c r="K395" s="1705" t="n"/>
      <c r="L395" s="1706" t="inlineStr">
        <is>
          <t>Sunil Raaj</t>
        </is>
      </c>
      <c r="M395" s="1707" t="n"/>
      <c r="N395" s="1374" t="inlineStr">
        <is>
          <t>smalarva@jaguarlandrover.com</t>
        </is>
      </c>
      <c r="O395" s="1707" t="n"/>
      <c r="P395" s="1707" t="n"/>
      <c r="Q395" s="1646" t="n"/>
      <c r="R395" s="1646" t="n"/>
      <c r="S395" s="1568" t="n"/>
    </row>
    <row r="396">
      <c r="B396" s="1773" t="n">
        <v>45996</v>
      </c>
      <c r="C396" s="1774" t="inlineStr">
        <is>
          <t>Woodland Photography Walk |Solihull| Hay Woods</t>
        </is>
      </c>
      <c r="D396" s="1774" t="n"/>
      <c r="E396" s="1774" t="inlineStr">
        <is>
          <t>2hrs</t>
        </is>
      </c>
      <c r="F396" s="1774" t="inlineStr">
        <is>
          <t>JLR</t>
        </is>
      </c>
      <c r="G396" s="1166" t="inlineStr">
        <is>
          <t>IIY#8268734733471qZc</t>
        </is>
      </c>
      <c r="H396" s="1165" t="n">
        <v>45755</v>
      </c>
      <c r="I396" s="1750" t="n">
        <v>0</v>
      </c>
      <c r="J396" s="1750" t="n">
        <v>15</v>
      </c>
      <c r="K396" s="1705" t="n"/>
      <c r="L396" s="1706" t="inlineStr">
        <is>
          <t>Naveen Prakash Karuppaiah</t>
        </is>
      </c>
      <c r="M396" s="1707" t="n"/>
      <c r="N396" s="1374" t="inlineStr">
        <is>
          <t>nkarupp2@jaguarlandrover.com</t>
        </is>
      </c>
      <c r="O396" s="1707" t="n"/>
      <c r="P396" s="1707" t="inlineStr">
        <is>
          <t>07909809811</t>
        </is>
      </c>
      <c r="Q396" s="1646" t="n"/>
      <c r="R396" s="1646" t="n"/>
      <c r="S396" s="1568" t="n"/>
    </row>
    <row r="397">
      <c r="B397" s="1773" t="n">
        <v>45996</v>
      </c>
      <c r="C397" s="1774" t="inlineStr">
        <is>
          <t>Woodland Photography Walk |Solihull| Hay Woods</t>
        </is>
      </c>
      <c r="D397" s="1774" t="n"/>
      <c r="E397" s="1774" t="inlineStr">
        <is>
          <t>2hrs</t>
        </is>
      </c>
      <c r="F397" s="1774" t="inlineStr">
        <is>
          <t>JLR</t>
        </is>
      </c>
      <c r="G397" s="1166" t="inlineStr">
        <is>
          <t>IIY#1740441823471nPv</t>
        </is>
      </c>
      <c r="H397" s="1165" t="n">
        <v>45755</v>
      </c>
      <c r="I397" s="1750" t="n">
        <v>0</v>
      </c>
      <c r="J397" s="1750" t="n">
        <v>15</v>
      </c>
      <c r="K397" s="1705" t="n"/>
      <c r="L397" s="1706" t="inlineStr">
        <is>
          <t>Theresa Halpin</t>
        </is>
      </c>
      <c r="M397" s="1707" t="n"/>
      <c r="N397" s="1374" t="inlineStr">
        <is>
          <t>thalpin@jaguarlandrover.com</t>
        </is>
      </c>
      <c r="O397" s="1707" t="n"/>
      <c r="P397" s="1707" t="n"/>
      <c r="Q397" s="1646" t="n"/>
      <c r="R397" s="1646" t="n"/>
      <c r="S397" s="1568" t="n"/>
    </row>
    <row r="398">
      <c r="P398" s="1707" t="n"/>
      <c r="Q398" s="1646" t="n"/>
      <c r="R398" s="1646" t="n"/>
      <c r="S398" s="1568" t="n"/>
    </row>
    <row r="399">
      <c r="B399" s="1773" t="n">
        <v>0</v>
      </c>
      <c r="C399" s="1774" t="inlineStr">
        <is>
          <t>Woodland Photography Walk |Solihull| Hay Woods</t>
        </is>
      </c>
      <c r="D399" s="1774" t="n"/>
      <c r="E399" s="1774" t="inlineStr">
        <is>
          <t>2hrs</t>
        </is>
      </c>
      <c r="F399" s="1774" t="inlineStr">
        <is>
          <t>JLR</t>
        </is>
      </c>
      <c r="G399" s="1086" t="inlineStr">
        <is>
          <t>IIY#8827864143471ON4</t>
        </is>
      </c>
      <c r="H399" s="785" t="n">
        <v>45785</v>
      </c>
      <c r="I399" s="1750" t="n">
        <v>0</v>
      </c>
      <c r="J399" s="1750" t="n">
        <v>15</v>
      </c>
      <c r="K399" s="1705" t="n"/>
      <c r="L399" s="1706" t="inlineStr">
        <is>
          <t>Kalindi Vyas</t>
        </is>
      </c>
      <c r="M399" s="1707" t="n"/>
      <c r="N399" s="1374" t="inlineStr">
        <is>
          <t>kvyas@jaguarlandrover.com</t>
        </is>
      </c>
      <c r="O399" s="1707" t="n"/>
      <c r="P399" s="1707" t="n"/>
      <c r="Q399" s="1646" t="n"/>
      <c r="R399" s="1646" t="n"/>
      <c r="S399" s="1568" t="n"/>
    </row>
    <row r="400">
      <c r="B400" s="1777" t="n"/>
      <c r="C400" s="1778" t="n"/>
      <c r="D400" s="1778" t="n"/>
      <c r="E400" s="1778" t="n"/>
      <c r="F400" s="1778" t="n"/>
      <c r="G400" s="1204" t="n"/>
      <c r="H400" s="1205" t="n"/>
      <c r="I400" s="1779" t="n"/>
      <c r="J400" s="1779" t="n"/>
      <c r="K400" s="1780" t="n"/>
      <c r="L400" s="1781" t="n"/>
      <c r="M400" s="1782" t="n"/>
      <c r="N400" s="1783" t="n"/>
      <c r="O400" s="1782" t="n"/>
      <c r="P400" s="1782" t="n"/>
      <c r="Q400" s="1779" t="n"/>
      <c r="R400" s="1779" t="n"/>
      <c r="S400" s="1593" t="n"/>
      <c r="T400" s="1778" t="n"/>
      <c r="U400" s="1778" t="n"/>
      <c r="V400" s="1778" t="n"/>
    </row>
    <row r="401">
      <c r="B401" s="1777" t="n"/>
      <c r="C401" s="1778" t="n"/>
      <c r="D401" s="1778" t="n"/>
      <c r="E401" s="1778" t="n"/>
      <c r="F401" s="1778" t="n"/>
      <c r="G401" s="1204" t="n"/>
      <c r="H401" s="1205" t="n"/>
      <c r="I401" s="1779" t="n"/>
      <c r="J401" s="1779" t="n"/>
      <c r="K401" s="1780" t="n"/>
      <c r="L401" s="1781" t="n"/>
      <c r="M401" s="1782" t="n"/>
      <c r="N401" s="1783" t="n"/>
      <c r="O401" s="1782" t="n"/>
      <c r="P401" s="1782" t="n"/>
      <c r="Q401" s="1779" t="n"/>
      <c r="R401" s="1779" t="n"/>
      <c r="S401" s="1593" t="n"/>
      <c r="T401" s="1778" t="n"/>
      <c r="U401" s="1778" t="n"/>
      <c r="V401" s="1778" t="n"/>
    </row>
    <row r="402">
      <c r="B402" s="1708" t="n"/>
      <c r="G402" s="1086" t="n"/>
      <c r="H402" s="785" t="n"/>
      <c r="I402" s="1750" t="n"/>
      <c r="J402" s="1750" t="n"/>
      <c r="K402" s="1705" t="n"/>
      <c r="L402" s="1706" t="n"/>
      <c r="M402" s="1707" t="n"/>
      <c r="N402" s="1374" t="n"/>
      <c r="O402" s="1707" t="n"/>
      <c r="P402" s="1707" t="n"/>
      <c r="Q402" s="1646" t="n"/>
      <c r="R402" s="1646" t="n"/>
      <c r="S402" s="1568" t="n"/>
    </row>
    <row r="403">
      <c r="B403" s="1708" t="n">
        <v>45999</v>
      </c>
      <c r="C403" s="783" t="inlineStr">
        <is>
          <t>Woodland Walk</t>
        </is>
      </c>
      <c r="D403" s="1568" t="inlineStr">
        <is>
          <t>Tile Hill Nature Reserve</t>
        </is>
      </c>
      <c r="E403" s="783" t="inlineStr">
        <is>
          <t>2hrs</t>
        </is>
      </c>
      <c r="F403" s="1750" t="inlineStr">
        <is>
          <t>JLR</t>
        </is>
      </c>
      <c r="G403" s="87" t="inlineStr">
        <is>
          <t>IIY#1972921143471gvC</t>
        </is>
      </c>
      <c r="H403" s="785" t="n">
        <v>45754</v>
      </c>
      <c r="I403" s="1696" t="n">
        <v>0</v>
      </c>
      <c r="J403" s="1697" t="n">
        <v>15</v>
      </c>
      <c r="K403" s="1568" t="n"/>
      <c r="L403" s="1610" t="inlineStr">
        <is>
          <t>Dadasaheb Jadhav</t>
        </is>
      </c>
      <c r="M403" s="1604" t="n"/>
      <c r="N403" s="1374" t="inlineStr">
        <is>
          <t>djadhav4@jaguarlandrover.com</t>
        </is>
      </c>
      <c r="O403" s="1604" t="n"/>
      <c r="P403" s="1604" t="inlineStr">
        <is>
          <t>07818943144</t>
        </is>
      </c>
      <c r="Q403" s="1646" t="n"/>
      <c r="R403" s="1646" t="n"/>
      <c r="S403" s="1568" t="n"/>
    </row>
    <row r="404">
      <c r="B404" s="1753" t="n">
        <v>45999</v>
      </c>
      <c r="C404" s="1643" t="inlineStr">
        <is>
          <t>Woodland Photography Walk</t>
        </is>
      </c>
      <c r="D404" s="1643" t="inlineStr">
        <is>
          <t>Tile Hill Nature Reserve</t>
        </is>
      </c>
      <c r="E404" s="883" t="inlineStr">
        <is>
          <t>2hrs</t>
        </is>
      </c>
      <c r="F404" s="1765" t="inlineStr">
        <is>
          <t>JLR</t>
        </is>
      </c>
      <c r="G404" s="1193" t="inlineStr">
        <is>
          <t>IIY#0685913364471PcF</t>
        </is>
      </c>
      <c r="H404" s="785" t="n">
        <v>45762</v>
      </c>
      <c r="I404" s="1750" t="n">
        <v>0</v>
      </c>
      <c r="J404" s="1750" t="n">
        <v>15</v>
      </c>
      <c r="K404" s="1705" t="n"/>
      <c r="L404" s="1706" t="inlineStr">
        <is>
          <t>Rebecca Saunders</t>
        </is>
      </c>
      <c r="M404" s="1707" t="n"/>
      <c r="N404" s="1374" t="inlineStr">
        <is>
          <t>rsaund22@jaguarlandrover.com</t>
        </is>
      </c>
      <c r="O404" s="1707" t="n"/>
      <c r="P404" s="1707" t="inlineStr">
        <is>
          <t>07504800422</t>
        </is>
      </c>
      <c r="Q404" s="1646" t="n"/>
      <c r="R404" s="1646" t="n"/>
      <c r="S404" s="1568" t="n"/>
    </row>
    <row r="405">
      <c r="B405" s="1708" t="n"/>
      <c r="G405" s="1086" t="n"/>
      <c r="H405" s="785" t="n"/>
      <c r="I405" s="1750" t="n"/>
      <c r="J405" s="1750" t="n"/>
      <c r="K405" s="1705" t="n"/>
      <c r="L405" s="1706" t="n"/>
      <c r="M405" s="1707" t="n"/>
      <c r="N405" s="1374" t="n"/>
      <c r="O405" s="1707" t="n"/>
      <c r="P405" s="1707" t="n"/>
      <c r="Q405" s="1646" t="n"/>
      <c r="R405" s="1646" t="n"/>
      <c r="S405" s="1568" t="n"/>
    </row>
    <row r="406">
      <c r="B406" s="1708" t="n">
        <v>46024</v>
      </c>
      <c r="C406" s="1568" t="inlineStr">
        <is>
          <t>Woodland Photography Walk |Solihull| Hay Woods</t>
        </is>
      </c>
      <c r="D406" s="1568" t="n"/>
      <c r="E406" s="1568" t="inlineStr">
        <is>
          <t>2hrs</t>
        </is>
      </c>
      <c r="F406" s="1568" t="inlineStr">
        <is>
          <t>JLR</t>
        </is>
      </c>
      <c r="G406" s="505" t="inlineStr">
        <is>
          <t>IIY#1416370723471OyW</t>
        </is>
      </c>
      <c r="H406" s="785" t="n">
        <v>45755</v>
      </c>
      <c r="I406" s="1696" t="n">
        <v>0</v>
      </c>
      <c r="J406" s="1697" t="n">
        <v>15</v>
      </c>
      <c r="L406" s="1711" t="inlineStr">
        <is>
          <t>Deion Coe</t>
        </is>
      </c>
      <c r="N406" s="1374" t="inlineStr">
        <is>
          <t>dcoe@jaguarlandrover.com</t>
        </is>
      </c>
      <c r="P406" s="1604" t="n"/>
      <c r="Q406" s="1374" t="n"/>
    </row>
    <row r="407">
      <c r="B407" s="1708" t="n">
        <v>46024</v>
      </c>
      <c r="C407" s="1568" t="inlineStr">
        <is>
          <t>Woodland Photography Walk |Solihull| Hay Woods</t>
        </is>
      </c>
      <c r="D407" s="1568" t="n"/>
      <c r="E407" s="1568" t="inlineStr">
        <is>
          <t>2hrs</t>
        </is>
      </c>
      <c r="F407" s="1568" t="inlineStr">
        <is>
          <t>JLR</t>
        </is>
      </c>
      <c r="G407" s="505" t="inlineStr">
        <is>
          <t>IIY#7239156633471Gz2</t>
        </is>
      </c>
      <c r="H407" s="785" t="n">
        <v>45755</v>
      </c>
      <c r="I407" s="1696" t="n">
        <v>0</v>
      </c>
      <c r="J407" s="1697" t="n">
        <v>15</v>
      </c>
      <c r="L407" s="1711" t="inlineStr">
        <is>
          <t>Ye Tao</t>
        </is>
      </c>
      <c r="N407" s="1374" t="inlineStr">
        <is>
          <t>ytao2@jaguarlandrover.com</t>
        </is>
      </c>
    </row>
    <row r="408">
      <c r="B408" s="1708" t="n">
        <v>46024</v>
      </c>
      <c r="C408" s="1568" t="inlineStr">
        <is>
          <t>Woodland Photography Walk |Solihull| Hay Woods</t>
        </is>
      </c>
      <c r="D408" s="1568" t="n"/>
      <c r="E408" s="1568" t="inlineStr">
        <is>
          <t>2hrs</t>
        </is>
      </c>
      <c r="F408" s="1568" t="inlineStr">
        <is>
          <t>Existing</t>
        </is>
      </c>
      <c r="G408" s="87" t="inlineStr">
        <is>
          <t>#03058</t>
        </is>
      </c>
      <c r="H408" s="785" t="n">
        <v>45896</v>
      </c>
      <c r="I408" s="1696" t="n">
        <v>15</v>
      </c>
      <c r="J408" s="1697" t="n">
        <v>0</v>
      </c>
      <c r="K408" s="1646" t="inlineStr">
        <is>
          <t>Mr</t>
        </is>
      </c>
      <c r="L408" s="1705" t="inlineStr">
        <is>
          <t>Jeremy</t>
        </is>
      </c>
      <c r="M408" s="1705" t="inlineStr">
        <is>
          <t>Troth</t>
        </is>
      </c>
      <c r="N408" s="1374" t="inlineStr">
        <is>
          <t>jeremytroth1@gmail.com</t>
        </is>
      </c>
      <c r="O408" s="1707" t="inlineStr">
        <is>
          <t>58</t>
        </is>
      </c>
      <c r="P408" s="1707" t="inlineStr">
        <is>
          <t>07592 725533</t>
        </is>
      </c>
      <c r="Q408" s="1646" t="inlineStr">
        <is>
          <t>B91 2PS</t>
        </is>
      </c>
      <c r="R408" s="1646" t="inlineStr">
        <is>
          <t>Flat 2 Monarchs Gate</t>
        </is>
      </c>
      <c r="S408" s="1646" t="inlineStr">
        <is>
          <t>Solihull</t>
        </is>
      </c>
    </row>
    <row r="409">
      <c r="B409" s="1773" t="n">
        <v>46024</v>
      </c>
      <c r="C409" s="1774" t="inlineStr">
        <is>
          <t>Woodland Photography Walk |Solihull| Hay Woods</t>
        </is>
      </c>
      <c r="D409" s="1774" t="n"/>
      <c r="E409" s="1774" t="inlineStr">
        <is>
          <t>2hrs</t>
        </is>
      </c>
      <c r="F409" s="1774" t="inlineStr">
        <is>
          <t>JLR</t>
        </is>
      </c>
      <c r="G409" s="1164" t="inlineStr">
        <is>
          <t>IIY#7266631733471Lb3</t>
        </is>
      </c>
      <c r="H409" s="1165" t="n">
        <v>45755</v>
      </c>
      <c r="I409" s="1750" t="n">
        <v>0</v>
      </c>
      <c r="J409" s="1750" t="n">
        <v>15</v>
      </c>
      <c r="K409" s="1705" t="n"/>
      <c r="L409" s="1706" t="inlineStr">
        <is>
          <t>Indianna Long</t>
        </is>
      </c>
      <c r="M409" s="1707" t="n"/>
      <c r="N409" s="1374" t="inlineStr">
        <is>
          <t>ilong@jaguarlandrover.com</t>
        </is>
      </c>
      <c r="O409" s="1707" t="n"/>
    </row>
    <row r="410">
      <c r="B410" s="1773" t="n"/>
      <c r="C410" s="1774" t="n"/>
      <c r="D410" s="1774" t="n"/>
      <c r="E410" s="1774" t="n"/>
      <c r="F410" s="1774" t="n"/>
      <c r="G410" s="1164" t="n"/>
      <c r="H410" s="1165" t="n"/>
      <c r="I410" s="1750" t="n"/>
      <c r="J410" s="1750" t="n"/>
      <c r="K410" s="1705" t="n"/>
      <c r="L410" s="1706" t="n"/>
      <c r="M410" s="1707" t="n"/>
      <c r="N410" s="1374" t="n"/>
      <c r="O410" s="1707" t="n"/>
    </row>
    <row r="411">
      <c r="B411" s="1773" t="n"/>
      <c r="C411" s="1774" t="n"/>
      <c r="D411" s="1774" t="n"/>
      <c r="E411" s="1774" t="n"/>
      <c r="F411" s="1774" t="n"/>
      <c r="G411" s="1164" t="n"/>
      <c r="H411" s="1165" t="n"/>
      <c r="I411" s="1750" t="n"/>
      <c r="J411" s="1750" t="n"/>
      <c r="K411" s="1705" t="n"/>
      <c r="L411" s="1706" t="n"/>
      <c r="M411" s="1707" t="n"/>
      <c r="N411" s="1374" t="n"/>
      <c r="O411" s="1707" t="n"/>
    </row>
    <row r="412">
      <c r="B412" s="1708" t="n">
        <v>46033</v>
      </c>
      <c r="C412" s="1568" t="inlineStr">
        <is>
          <t>The Secrets of Woodland Photography</t>
        </is>
      </c>
      <c r="D412" s="1568" t="n"/>
      <c r="E412" s="1568" t="n"/>
      <c r="F412" s="783" t="inlineStr">
        <is>
          <t>Google</t>
        </is>
      </c>
      <c r="G412" s="1750" t="inlineStr">
        <is>
          <t>#02648</t>
        </is>
      </c>
      <c r="H412" s="785" t="n">
        <v>45237</v>
      </c>
      <c r="I412" s="1751" t="n">
        <v>125</v>
      </c>
      <c r="J412" s="1750" t="n">
        <v>0</v>
      </c>
      <c r="K412" s="1045" t="inlineStr">
        <is>
          <t xml:space="preserve">Mr </t>
        </is>
      </c>
      <c r="L412" s="1762" t="inlineStr">
        <is>
          <t>Alvin</t>
        </is>
      </c>
      <c r="M412" s="1762" t="inlineStr">
        <is>
          <t>Roussel</t>
        </is>
      </c>
      <c r="N412" s="549" t="inlineStr">
        <is>
          <t xml:space="preserve">alvin.roussel@gmail.com </t>
        </is>
      </c>
      <c r="O412" s="1707" t="inlineStr">
        <is>
          <t>67</t>
        </is>
      </c>
      <c r="P412" s="1707" t="inlineStr">
        <is>
          <t>07415517384</t>
        </is>
      </c>
      <c r="Q412" s="1646" t="inlineStr">
        <is>
          <t>CV344SP</t>
        </is>
      </c>
      <c r="R412" s="1646" t="inlineStr">
        <is>
          <t>22 Northgate Street</t>
        </is>
      </c>
      <c r="S412" s="1646" t="inlineStr">
        <is>
          <t>Warwick</t>
        </is>
      </c>
    </row>
    <row r="413">
      <c r="B413" s="1708" t="n">
        <v>46033</v>
      </c>
      <c r="C413" s="1568" t="inlineStr">
        <is>
          <t>The Secrets of Woodland Photography</t>
        </is>
      </c>
      <c r="D413" s="1568" t="n"/>
      <c r="E413" s="1568" t="n"/>
      <c r="F413" s="1568" t="inlineStr">
        <is>
          <t>JLR</t>
        </is>
      </c>
      <c r="G413" s="505" t="inlineStr">
        <is>
          <t>IIY#6564685005571zfQ</t>
        </is>
      </c>
      <c r="H413" s="785" t="n">
        <v>45881</v>
      </c>
      <c r="J413" s="1697" t="n">
        <v>125</v>
      </c>
      <c r="L413" s="1711" t="inlineStr">
        <is>
          <t>Paul Jackson</t>
        </is>
      </c>
      <c r="N413" s="1770" t="inlineStr">
        <is>
          <t>paulj4981@gmail.com</t>
        </is>
      </c>
      <c r="P413" s="1604" t="inlineStr">
        <is>
          <t>07400153771</t>
        </is>
      </c>
    </row>
    <row r="414">
      <c r="B414" s="1708" t="n">
        <v>46033</v>
      </c>
      <c r="C414" s="1568" t="inlineStr">
        <is>
          <t>The Secrets of Woodland Photography</t>
        </is>
      </c>
      <c r="D414" s="1568" t="n"/>
      <c r="E414" s="1568" t="n"/>
      <c r="F414" s="783" t="inlineStr">
        <is>
          <t>Google</t>
        </is>
      </c>
      <c r="G414" s="87" t="inlineStr">
        <is>
          <t>#03160</t>
        </is>
      </c>
      <c r="H414" s="785" t="n">
        <v>45983</v>
      </c>
      <c r="I414" s="1696" t="n">
        <v>125</v>
      </c>
      <c r="L414" s="1610" t="inlineStr">
        <is>
          <t>Martin Millington</t>
        </is>
      </c>
      <c r="N414" s="1770" t="inlineStr">
        <is>
          <t>clare_walton@yahoo.co.uk</t>
        </is>
      </c>
      <c r="O414" s="1604" t="inlineStr">
        <is>
          <t>47</t>
        </is>
      </c>
      <c r="P414" s="1604" t="inlineStr">
        <is>
          <t>07818617343</t>
        </is>
      </c>
      <c r="S414" s="1697" t="inlineStr">
        <is>
          <t>Alcester</t>
        </is>
      </c>
    </row>
    <row r="415">
      <c r="B415" s="1708" t="n"/>
      <c r="D415" s="1568" t="n"/>
      <c r="E415" s="1568" t="n"/>
      <c r="F415" s="1568" t="n"/>
      <c r="H415" s="785" t="n"/>
      <c r="N415" s="1770" t="n"/>
    </row>
    <row r="416">
      <c r="B416" s="1708" t="n">
        <v>46055</v>
      </c>
      <c r="C416" s="1697" t="inlineStr">
        <is>
          <t>Woodland Photography Walk</t>
        </is>
      </c>
      <c r="D416" s="1568" t="inlineStr">
        <is>
          <t>Tile Hill Nature Reserve</t>
        </is>
      </c>
      <c r="E416" s="1568" t="inlineStr">
        <is>
          <t>2hrs</t>
        </is>
      </c>
      <c r="F416" s="1568" t="inlineStr">
        <is>
          <t>JLR</t>
        </is>
      </c>
      <c r="G416" s="505" t="inlineStr">
        <is>
          <t>IIY#08355222334715UW</t>
        </is>
      </c>
      <c r="H416" s="785" t="n"/>
      <c r="I416" s="1696" t="n">
        <v>0</v>
      </c>
      <c r="J416" s="1697" t="n">
        <v>15</v>
      </c>
      <c r="L416" s="1711" t="inlineStr">
        <is>
          <t>Balbir Dubb</t>
        </is>
      </c>
      <c r="N416" s="1374" t="inlineStr">
        <is>
          <t>bdubb@jaguarlandrover.com</t>
        </is>
      </c>
      <c r="P416" s="1604" t="inlineStr">
        <is>
          <t>0)7795 670707</t>
        </is>
      </c>
    </row>
    <row r="417">
      <c r="B417" s="1708" t="n">
        <v>46055</v>
      </c>
      <c r="C417" s="1697" t="inlineStr">
        <is>
          <t>Woodland Photography Walk</t>
        </is>
      </c>
      <c r="D417" s="1568" t="inlineStr">
        <is>
          <t>Tile Hill Nature Reserve</t>
        </is>
      </c>
      <c r="E417" s="1568" t="inlineStr">
        <is>
          <t>2hrs</t>
        </is>
      </c>
      <c r="F417" s="1568" t="inlineStr">
        <is>
          <t>JLR</t>
        </is>
      </c>
      <c r="G417" s="505" t="inlineStr">
        <is>
          <t>IIY#5430706043471WI7</t>
        </is>
      </c>
      <c r="H417" s="785" t="n">
        <v>45755</v>
      </c>
      <c r="I417" s="1696" t="n">
        <v>0</v>
      </c>
      <c r="J417" s="1697" t="n">
        <v>15</v>
      </c>
      <c r="L417" s="1711" t="inlineStr">
        <is>
          <t>Tugba Sahin Tore</t>
        </is>
      </c>
      <c r="N417" s="1374" t="inlineStr">
        <is>
          <t>tsahinto@jaguarlandrover.com</t>
        </is>
      </c>
    </row>
    <row r="418">
      <c r="B418" s="1708" t="n">
        <v>46055</v>
      </c>
      <c r="C418" s="1697" t="inlineStr">
        <is>
          <t>Woodland Photography Walk</t>
        </is>
      </c>
      <c r="D418" s="1568" t="inlineStr">
        <is>
          <t>Tile Hill Nature Reserve</t>
        </is>
      </c>
      <c r="E418" s="1568" t="inlineStr">
        <is>
          <t>2hrs</t>
        </is>
      </c>
      <c r="F418" s="1568" t="inlineStr">
        <is>
          <t>Google</t>
        </is>
      </c>
      <c r="G418" s="87" t="inlineStr">
        <is>
          <t>#03185</t>
        </is>
      </c>
      <c r="H418" s="785" t="n">
        <v>46022</v>
      </c>
      <c r="I418" s="1696" t="n">
        <v>15</v>
      </c>
      <c r="J418" s="1697" t="n">
        <v>0</v>
      </c>
      <c r="L418" s="1711" t="inlineStr">
        <is>
          <t>Bianca Pitis</t>
        </is>
      </c>
      <c r="N418" s="1374" t="inlineStr">
        <is>
          <t>bianca95pitis@gmail.com</t>
        </is>
      </c>
      <c r="O418" s="1604" t="inlineStr">
        <is>
          <t>30</t>
        </is>
      </c>
      <c r="P418" s="1604" t="inlineStr">
        <is>
          <t>07835210212</t>
        </is>
      </c>
    </row>
    <row r="419">
      <c r="B419" s="1708" t="n">
        <v>46055</v>
      </c>
      <c r="C419" s="1697" t="inlineStr">
        <is>
          <t>Woodland Photography Walk</t>
        </is>
      </c>
      <c r="D419" s="1568" t="inlineStr">
        <is>
          <t>Tile Hill Nature Reserve</t>
        </is>
      </c>
      <c r="E419" s="1568" t="inlineStr">
        <is>
          <t>2hrs</t>
        </is>
      </c>
      <c r="F419" s="1568" t="inlineStr">
        <is>
          <t>Google</t>
        </is>
      </c>
      <c r="G419" s="87" t="inlineStr">
        <is>
          <t>#03195</t>
        </is>
      </c>
      <c r="H419" s="785" t="n">
        <v>46033</v>
      </c>
      <c r="I419" s="1696" t="n">
        <v>15</v>
      </c>
      <c r="L419" s="1711" t="inlineStr">
        <is>
          <t>Sue Heady</t>
        </is>
      </c>
      <c r="N419" s="1374" t="inlineStr">
        <is>
          <t>sue@headycommunications.com</t>
        </is>
      </c>
      <c r="O419" s="1604" t="inlineStr">
        <is>
          <t>59</t>
        </is>
      </c>
      <c r="P419" s="1604" t="inlineStr">
        <is>
          <t>07855950705</t>
        </is>
      </c>
    </row>
    <row r="420">
      <c r="B420" s="1708" t="n"/>
      <c r="D420" s="1568" t="n"/>
      <c r="E420" s="1568" t="n"/>
      <c r="F420" s="1568" t="n"/>
      <c r="H420" s="785" t="n"/>
      <c r="N420" s="1374" t="n"/>
    </row>
    <row r="422">
      <c r="B422" s="1708" t="n"/>
      <c r="C422" s="1568" t="n"/>
      <c r="D422" s="1568" t="n"/>
      <c r="E422" s="1568" t="n"/>
      <c r="F422" s="1568" t="n"/>
      <c r="G422" s="87" t="n"/>
      <c r="H422" s="785" t="n"/>
      <c r="K422" s="1568" t="n"/>
      <c r="L422" s="1610" t="n"/>
      <c r="M422" s="1610" t="n"/>
      <c r="N422" s="1374" t="n"/>
      <c r="O422" s="1604" t="n"/>
      <c r="P422" s="1604" t="n"/>
      <c r="S422" s="1568" t="n"/>
    </row>
    <row r="423">
      <c r="B423" s="1708" t="n">
        <v>46088</v>
      </c>
      <c r="C423" s="1568" t="inlineStr">
        <is>
          <t>Fairy Glen</t>
        </is>
      </c>
      <c r="D423" s="1568" t="n"/>
      <c r="E423" s="1568" t="inlineStr">
        <is>
          <t>4hrs</t>
        </is>
      </c>
      <c r="F423" s="1568" t="inlineStr">
        <is>
          <t>Google</t>
        </is>
      </c>
      <c r="G423" s="87" t="inlineStr">
        <is>
          <t>#03202</t>
        </is>
      </c>
      <c r="H423" s="785" t="n">
        <v>46045</v>
      </c>
      <c r="I423" s="1696" t="n">
        <v>125</v>
      </c>
      <c r="J423" s="1697" t="n">
        <v>0</v>
      </c>
      <c r="K423" s="1568" t="n"/>
      <c r="L423" s="1610" t="inlineStr">
        <is>
          <t>Aron</t>
        </is>
      </c>
      <c r="M423" s="1610" t="inlineStr">
        <is>
          <t>Grant</t>
        </is>
      </c>
      <c r="N423" s="1374" t="inlineStr">
        <is>
          <t xml:space="preserve">stefflaa@hotmail.co.uk </t>
        </is>
      </c>
      <c r="O423" s="1604" t="inlineStr">
        <is>
          <t>32</t>
        </is>
      </c>
      <c r="P423" s="1604" t="inlineStr">
        <is>
          <t>07896984583</t>
        </is>
      </c>
      <c r="S423" s="1568" t="n"/>
    </row>
    <row r="424">
      <c r="B424" s="1708" t="n">
        <v>46088</v>
      </c>
      <c r="C424" s="1568" t="inlineStr">
        <is>
          <t>Fairy Glen</t>
        </is>
      </c>
      <c r="D424" s="1568" t="n"/>
      <c r="E424" s="1568" t="inlineStr">
        <is>
          <t>4hrs</t>
        </is>
      </c>
      <c r="F424" s="1568" t="inlineStr">
        <is>
          <t>Existing</t>
        </is>
      </c>
      <c r="G424" s="87" t="inlineStr">
        <is>
          <t>#03220</t>
        </is>
      </c>
      <c r="H424" s="785" t="n">
        <v>46071</v>
      </c>
      <c r="I424" s="1696" t="n">
        <v>125</v>
      </c>
      <c r="K424" s="1568" t="n"/>
      <c r="L424" s="1610" t="inlineStr">
        <is>
          <t>Sandra</t>
        </is>
      </c>
      <c r="M424" s="1610" t="inlineStr">
        <is>
          <t>Dawkes</t>
        </is>
      </c>
      <c r="N424" s="1374" t="inlineStr">
        <is>
          <t xml:space="preserve">sandradawkes64@yahoo.co.uk </t>
        </is>
      </c>
      <c r="O424" s="1604" t="inlineStr">
        <is>
          <t>61</t>
        </is>
      </c>
      <c r="P424" s="1604" t="inlineStr">
        <is>
          <t>07748518508</t>
        </is>
      </c>
      <c r="S424" s="1568" t="n"/>
    </row>
    <row r="425">
      <c r="B425" s="1708" t="n"/>
      <c r="C425" s="1568" t="n"/>
      <c r="D425" s="1568" t="n"/>
      <c r="E425" s="1568" t="n"/>
      <c r="F425" s="1568" t="n"/>
      <c r="G425" s="87" t="n"/>
      <c r="H425" s="785" t="n"/>
      <c r="K425" s="1568" t="n"/>
      <c r="L425" s="1610" t="n"/>
      <c r="M425" s="1610" t="n"/>
      <c r="N425" s="1374" t="n"/>
      <c r="O425" s="1604" t="n"/>
      <c r="P425" s="1604" t="n"/>
      <c r="S425" s="1568" t="n"/>
    </row>
    <row r="426">
      <c r="B426" s="1708" t="n">
        <v>46112</v>
      </c>
      <c r="C426" s="1568" t="inlineStr">
        <is>
          <t>LE Kenilworth</t>
        </is>
      </c>
      <c r="D426" s="783" t="inlineStr">
        <is>
          <t>Kenilworth</t>
        </is>
      </c>
      <c r="E426" s="783" t="inlineStr">
        <is>
          <t>2.5hrs</t>
        </is>
      </c>
      <c r="F426" s="1568" t="inlineStr">
        <is>
          <t>Google</t>
        </is>
      </c>
      <c r="G426" s="87" t="inlineStr">
        <is>
          <t>#03060</t>
        </is>
      </c>
      <c r="H426" s="785" t="n">
        <v>45897</v>
      </c>
      <c r="I426" s="1696" t="n">
        <v>50</v>
      </c>
      <c r="J426" s="1697" t="n">
        <v>0</v>
      </c>
      <c r="K426" s="1568" t="inlineStr">
        <is>
          <t>Mr</t>
        </is>
      </c>
      <c r="L426" s="1610" t="inlineStr">
        <is>
          <t>George</t>
        </is>
      </c>
      <c r="M426" s="1610" t="inlineStr">
        <is>
          <t>King</t>
        </is>
      </c>
      <c r="N426" s="1374" t="inlineStr">
        <is>
          <t xml:space="preserve">george@tergou.com.au </t>
        </is>
      </c>
      <c r="O426" s="1604" t="inlineStr">
        <is>
          <t>67</t>
        </is>
      </c>
      <c r="P426" s="1604" t="n"/>
      <c r="S426" s="1568" t="inlineStr">
        <is>
          <t>Australia</t>
        </is>
      </c>
    </row>
    <row r="427">
      <c r="B427" s="1708" t="n">
        <v>46112</v>
      </c>
      <c r="C427" s="1568" t="inlineStr">
        <is>
          <t>LE Kenilworth</t>
        </is>
      </c>
      <c r="D427" s="783" t="inlineStr">
        <is>
          <t>Kenilworth</t>
        </is>
      </c>
      <c r="E427" s="783" t="inlineStr">
        <is>
          <t>2.5hrs</t>
        </is>
      </c>
      <c r="F427" s="1568" t="inlineStr">
        <is>
          <t>Into The Blue</t>
        </is>
      </c>
      <c r="G427" s="1051" t="inlineStr">
        <is>
          <t>2511305388</t>
        </is>
      </c>
      <c r="H427" s="785" t="n">
        <v>46028</v>
      </c>
      <c r="I427" s="1696" t="n">
        <v>40</v>
      </c>
      <c r="J427" s="1697" t="n">
        <v>0</v>
      </c>
      <c r="K427" s="1568" t="n"/>
      <c r="L427" s="1610" t="inlineStr">
        <is>
          <t>Liz</t>
        </is>
      </c>
      <c r="M427" s="1610" t="inlineStr">
        <is>
          <t>Lewis</t>
        </is>
      </c>
      <c r="N427" s="1374" t="inlineStr">
        <is>
          <t>liz_lewis@blueyonder.co.uk</t>
        </is>
      </c>
      <c r="O427" s="1604" t="n"/>
      <c r="P427" s="1604" t="inlineStr">
        <is>
          <t>07794537299</t>
        </is>
      </c>
      <c r="S427" s="1568" t="n"/>
    </row>
    <row r="428">
      <c r="B428" s="1708" t="n">
        <v>46112</v>
      </c>
      <c r="C428" s="1568" t="inlineStr">
        <is>
          <t>LE Kenilworth</t>
        </is>
      </c>
      <c r="D428" s="783" t="inlineStr">
        <is>
          <t>Kenilworth</t>
        </is>
      </c>
      <c r="E428" s="783" t="inlineStr">
        <is>
          <t>2.5hrs</t>
        </is>
      </c>
      <c r="F428" s="1568" t="inlineStr">
        <is>
          <t>Into The Blue</t>
        </is>
      </c>
      <c r="G428" s="1051" t="inlineStr">
        <is>
          <t>2601061207</t>
        </is>
      </c>
      <c r="H428" s="785" t="n">
        <v>46030</v>
      </c>
      <c r="I428" s="1696" t="n">
        <v>40</v>
      </c>
      <c r="J428" s="1697" t="n">
        <v>0</v>
      </c>
      <c r="K428" s="1568" t="n"/>
      <c r="L428" s="1610" t="inlineStr">
        <is>
          <t>Allison</t>
        </is>
      </c>
      <c r="M428" s="1610" t="inlineStr">
        <is>
          <t>Poole</t>
        </is>
      </c>
      <c r="N428" s="1374" t="inlineStr">
        <is>
          <t>allisonpoole@btinternet.com</t>
        </is>
      </c>
      <c r="O428" s="1604" t="n"/>
      <c r="P428" s="1604" t="inlineStr">
        <is>
          <t>07791691231</t>
        </is>
      </c>
      <c r="S428" s="1568" t="n"/>
    </row>
    <row r="429">
      <c r="B429" s="1708" t="n"/>
      <c r="C429" s="1568" t="n"/>
      <c r="D429" s="783" t="n"/>
      <c r="E429" s="783" t="n"/>
      <c r="F429" s="1568" t="n"/>
      <c r="G429" s="1051" t="n"/>
      <c r="H429" s="785" t="n"/>
      <c r="K429" s="1568" t="n"/>
      <c r="L429" s="1610" t="n"/>
      <c r="M429" s="1610" t="n"/>
      <c r="N429" s="1374" t="n"/>
      <c r="O429" s="1604" t="n"/>
      <c r="P429" s="1604" t="n"/>
      <c r="S429" s="1568" t="n"/>
    </row>
    <row r="430">
      <c r="B430" s="1708" t="n">
        <v>46122</v>
      </c>
      <c r="C430" s="1568" t="inlineStr">
        <is>
          <t>Yorkshire Dales</t>
        </is>
      </c>
      <c r="D430" s="783" t="n"/>
      <c r="E430" s="783" t="inlineStr">
        <is>
          <t>3 Days</t>
        </is>
      </c>
      <c r="F430" s="1568" t="inlineStr">
        <is>
          <t>Google</t>
        </is>
      </c>
      <c r="G430" s="1051" t="inlineStr">
        <is>
          <t>#03203</t>
        </is>
      </c>
      <c r="H430" s="785" t="n">
        <v>46049</v>
      </c>
      <c r="I430" s="1696" t="n">
        <v>825</v>
      </c>
      <c r="J430" s="1697" t="n">
        <v>0</v>
      </c>
      <c r="K430" s="1568" t="n"/>
      <c r="L430" s="1610" t="inlineStr">
        <is>
          <t>Chris</t>
        </is>
      </c>
      <c r="M430" s="1610" t="inlineStr">
        <is>
          <t>Stamp</t>
        </is>
      </c>
      <c r="N430" s="1374" t="inlineStr">
        <is>
          <t>chris63stamp@gmail.com</t>
        </is>
      </c>
      <c r="O430" s="1604" t="inlineStr">
        <is>
          <t>62</t>
        </is>
      </c>
      <c r="P430" s="1604" t="inlineStr">
        <is>
          <t>07740401983</t>
        </is>
      </c>
      <c r="S430" s="1568" t="n"/>
    </row>
    <row r="431">
      <c r="B431" s="1708" t="n">
        <v>46122</v>
      </c>
      <c r="C431" s="1568" t="inlineStr">
        <is>
          <t>Yorkshire Dales</t>
        </is>
      </c>
      <c r="D431" s="783" t="n"/>
      <c r="E431" s="783" t="inlineStr">
        <is>
          <t>3 Days</t>
        </is>
      </c>
      <c r="F431" s="1568" t="inlineStr">
        <is>
          <t>ChatGPT</t>
        </is>
      </c>
      <c r="G431" s="1051" t="inlineStr">
        <is>
          <t>#03217</t>
        </is>
      </c>
      <c r="H431" s="785" t="n">
        <v>46068</v>
      </c>
      <c r="I431" s="1696" t="n">
        <v>825</v>
      </c>
      <c r="J431" s="1697" t="n">
        <v>0</v>
      </c>
      <c r="K431" s="1568" t="n"/>
      <c r="L431" s="1610" t="inlineStr">
        <is>
          <t>Sofia</t>
        </is>
      </c>
      <c r="M431" s="1610" t="inlineStr">
        <is>
          <t>Garza</t>
        </is>
      </c>
      <c r="N431" s="1374" t="inlineStr">
        <is>
          <t xml:space="preserve">sofia.gza@gmail.com </t>
        </is>
      </c>
      <c r="O431" s="1604" t="inlineStr">
        <is>
          <t>37</t>
        </is>
      </c>
      <c r="P431" s="1604" t="n"/>
      <c r="S431" s="1568" t="inlineStr">
        <is>
          <t>Mexico</t>
        </is>
      </c>
    </row>
    <row r="432">
      <c r="B432" s="1708" t="n"/>
      <c r="C432" s="1568" t="n"/>
      <c r="D432" s="783" t="n"/>
      <c r="E432" s="783" t="n"/>
      <c r="F432" s="1568" t="n"/>
      <c r="G432" s="1051" t="n"/>
      <c r="H432" s="785" t="n"/>
      <c r="K432" s="1568" t="n"/>
      <c r="L432" s="1610" t="n"/>
      <c r="M432" s="1610" t="n"/>
      <c r="N432" s="1374" t="n"/>
      <c r="O432" s="1604" t="n"/>
      <c r="P432" s="1604" t="n"/>
      <c r="S432" s="1568" t="n"/>
    </row>
    <row r="433">
      <c r="R433" s="1646" t="n"/>
      <c r="S433" s="1568" t="inlineStr">
        <is>
          <t>Staffordshire</t>
        </is>
      </c>
    </row>
    <row r="434">
      <c r="B434" s="1708" t="n">
        <v>46130</v>
      </c>
      <c r="C434" s="1708" t="inlineStr">
        <is>
          <t>Secret Woodlands</t>
        </is>
      </c>
      <c r="D434" s="783" t="inlineStr">
        <is>
          <t>All Day</t>
        </is>
      </c>
      <c r="E434" s="783" t="inlineStr">
        <is>
          <t>6hrs</t>
        </is>
      </c>
      <c r="F434" s="1750" t="inlineStr">
        <is>
          <t>Google</t>
        </is>
      </c>
      <c r="G434" s="87" t="inlineStr">
        <is>
          <t>#03166</t>
        </is>
      </c>
      <c r="H434" s="785" t="n">
        <v>45996</v>
      </c>
      <c r="I434" s="1696" t="n">
        <v>125</v>
      </c>
      <c r="J434" s="1697" t="n">
        <v>0</v>
      </c>
      <c r="K434" s="1568" t="inlineStr">
        <is>
          <t>Mr</t>
        </is>
      </c>
      <c r="L434" s="1610" t="inlineStr">
        <is>
          <t>Paul</t>
        </is>
      </c>
      <c r="M434" s="1610" t="inlineStr">
        <is>
          <t>Keting</t>
        </is>
      </c>
      <c r="N434" s="1374" t="inlineStr">
        <is>
          <t>paulrkeating@gmail.com</t>
        </is>
      </c>
      <c r="O434" s="1604" t="inlineStr">
        <is>
          <t>35</t>
        </is>
      </c>
      <c r="P434" s="1604" t="inlineStr">
        <is>
          <t>07949812941</t>
        </is>
      </c>
      <c r="Q434" s="1646" t="n"/>
      <c r="R434" s="1646" t="n"/>
      <c r="S434" s="1568" t="n"/>
    </row>
    <row r="435">
      <c r="B435" s="1708" t="n">
        <v>46130</v>
      </c>
      <c r="C435" s="1708" t="inlineStr">
        <is>
          <t>Secret Woodlands</t>
        </is>
      </c>
      <c r="D435" s="783" t="inlineStr">
        <is>
          <t>All Day</t>
        </is>
      </c>
      <c r="E435" s="783" t="inlineStr">
        <is>
          <t>6hrs</t>
        </is>
      </c>
      <c r="F435" s="1750" t="inlineStr">
        <is>
          <t>Google</t>
        </is>
      </c>
      <c r="G435" s="785" t="inlineStr">
        <is>
          <t>#03173</t>
        </is>
      </c>
      <c r="H435" s="785" t="n">
        <v>46000</v>
      </c>
      <c r="I435" s="1750" t="n">
        <v>125</v>
      </c>
      <c r="J435" s="1750" t="n">
        <v>0</v>
      </c>
      <c r="K435" s="1705" t="inlineStr">
        <is>
          <t>Mr</t>
        </is>
      </c>
      <c r="L435" s="1706" t="inlineStr">
        <is>
          <t>Miles</t>
        </is>
      </c>
      <c r="M435" s="1707" t="inlineStr">
        <is>
          <t>Huckle</t>
        </is>
      </c>
      <c r="N435" s="1374" t="inlineStr">
        <is>
          <t>mileshuckle@gmail.com</t>
        </is>
      </c>
      <c r="O435" s="1707" t="inlineStr">
        <is>
          <t>50</t>
        </is>
      </c>
      <c r="P435" s="1707" t="inlineStr">
        <is>
          <t>07779029067</t>
        </is>
      </c>
      <c r="Q435" s="1646" t="n"/>
      <c r="R435" s="1646" t="n"/>
      <c r="S435" s="1568" t="n"/>
    </row>
    <row r="436">
      <c r="B436" s="1708" t="n"/>
      <c r="C436" s="1708" t="n"/>
      <c r="D436" s="783" t="n"/>
      <c r="E436" s="783" t="n"/>
      <c r="F436" s="1750" t="n"/>
      <c r="G436" s="785" t="n"/>
      <c r="H436" s="785" t="n"/>
      <c r="I436" s="1750" t="n"/>
      <c r="J436" s="1750" t="n"/>
      <c r="K436" s="1705" t="n"/>
      <c r="L436" s="1706" t="n"/>
      <c r="M436" s="1707" t="n"/>
      <c r="N436" s="1374" t="n"/>
      <c r="O436" s="1707" t="n"/>
      <c r="P436" s="1707" t="n"/>
      <c r="Q436" s="1646" t="n"/>
      <c r="R436" s="1646" t="n"/>
      <c r="S436" s="1568" t="n"/>
    </row>
    <row r="438">
      <c r="B438" s="1643" t="n"/>
      <c r="C438" s="1643" t="n"/>
      <c r="R438" s="1646" t="n"/>
      <c r="S438" s="1568" t="n"/>
    </row>
    <row r="439">
      <c r="A439" s="1568" t="inlineStr">
        <is>
          <t>broke his arm so credit given as couldn’t do 23 apr anayway</t>
        </is>
      </c>
      <c r="B439" s="1753" t="n">
        <v>46135</v>
      </c>
      <c r="C439" s="883" t="inlineStr">
        <is>
          <t>Blubebell Woodlands</t>
        </is>
      </c>
      <c r="D439" s="783" t="inlineStr">
        <is>
          <t>PM -10:30 - 14:30</t>
        </is>
      </c>
      <c r="E439" s="1643" t="n"/>
      <c r="F439" s="1643" t="inlineStr">
        <is>
          <t>Existing</t>
        </is>
      </c>
      <c r="G439" s="608" t="inlineStr">
        <is>
          <t>#03239</t>
        </is>
      </c>
      <c r="H439" s="904" t="n">
        <v>46106</v>
      </c>
      <c r="I439" s="1645" t="n">
        <v>99</v>
      </c>
      <c r="J439" s="1643" t="n"/>
      <c r="K439" s="1643" t="n"/>
      <c r="L439" s="1763" t="inlineStr">
        <is>
          <t>Neil Barford</t>
        </is>
      </c>
      <c r="N439" s="1374" t="inlineStr">
        <is>
          <t>barford.neil@gmail.com</t>
        </is>
      </c>
      <c r="O439" s="1604" t="inlineStr">
        <is>
          <t>62</t>
        </is>
      </c>
      <c r="P439" s="1604" t="inlineStr">
        <is>
          <t>07530694834</t>
        </is>
      </c>
      <c r="Q439" s="1646" t="n"/>
      <c r="R439" s="1646" t="n"/>
      <c r="S439" s="1568" t="n"/>
    </row>
    <row r="440">
      <c r="B440" s="1708" t="n"/>
      <c r="C440" s="783" t="n"/>
      <c r="D440" s="783" t="n"/>
      <c r="E440" s="783" t="n"/>
      <c r="F440" s="1750" t="n"/>
      <c r="G440" s="785" t="n"/>
      <c r="H440" s="785" t="n"/>
      <c r="I440" s="1750" t="n"/>
      <c r="J440" s="1750" t="n"/>
      <c r="K440" s="1705" t="n"/>
      <c r="L440" s="1706" t="n"/>
      <c r="M440" s="1707" t="n"/>
      <c r="N440" s="1374" t="n"/>
      <c r="O440" s="1707" t="n"/>
      <c r="P440" s="1707" t="n"/>
      <c r="Q440" s="1646" t="n"/>
      <c r="R440" s="1646" t="n"/>
      <c r="S440" s="1568" t="n"/>
    </row>
    <row r="441">
      <c r="B441" s="1708" t="n">
        <v>46137</v>
      </c>
      <c r="C441" s="783" t="inlineStr">
        <is>
          <t>Blubebell Woodlands</t>
        </is>
      </c>
      <c r="D441" s="783" t="inlineStr">
        <is>
          <t>All Day</t>
        </is>
      </c>
      <c r="E441" s="783" t="n"/>
      <c r="F441" s="1750" t="inlineStr">
        <is>
          <t>Google</t>
        </is>
      </c>
      <c r="G441" s="785" t="inlineStr">
        <is>
          <t>#03247</t>
        </is>
      </c>
      <c r="H441" s="785" t="n">
        <v>46119</v>
      </c>
      <c r="I441" s="1750" t="n">
        <v>150</v>
      </c>
      <c r="J441" s="1750" t="n">
        <v>0</v>
      </c>
      <c r="K441" s="1705" t="n"/>
      <c r="L441" s="1706" t="inlineStr">
        <is>
          <t>Mike McMahon</t>
        </is>
      </c>
      <c r="M441" s="1707" t="n"/>
      <c r="N441" s="1374" t="inlineStr">
        <is>
          <t xml:space="preserve">mcmahonmike1984@gmail.com </t>
        </is>
      </c>
      <c r="O441" s="1707" t="inlineStr">
        <is>
          <t>42</t>
        </is>
      </c>
      <c r="P441" s="1707" t="inlineStr">
        <is>
          <t>07725648984</t>
        </is>
      </c>
      <c r="Q441" s="1646" t="n"/>
      <c r="R441" s="1646" t="n"/>
      <c r="S441" s="1568" t="n"/>
    </row>
    <row r="442">
      <c r="B442" s="1708" t="n">
        <v>46137</v>
      </c>
      <c r="C442" s="783" t="inlineStr">
        <is>
          <t>Blubebell Woodlands</t>
        </is>
      </c>
      <c r="D442" s="783" t="inlineStr">
        <is>
          <t>AM -05:45 - 09:45</t>
        </is>
      </c>
      <c r="E442" s="783" t="n"/>
      <c r="F442" s="1750" t="inlineStr">
        <is>
          <t>Google</t>
        </is>
      </c>
      <c r="G442" s="785" t="inlineStr">
        <is>
          <t>#03266</t>
        </is>
      </c>
      <c r="H442" s="785" t="n">
        <v>46136</v>
      </c>
      <c r="I442" s="1750" t="n">
        <v>99</v>
      </c>
      <c r="J442" s="1750" t="n"/>
      <c r="K442" s="1705" t="n"/>
      <c r="L442" s="1706" t="inlineStr">
        <is>
          <t>Neil Lewis</t>
        </is>
      </c>
      <c r="M442" s="1707" t="n"/>
      <c r="N442" s="1374" t="inlineStr">
        <is>
          <t>neillewis004@mac.com</t>
        </is>
      </c>
      <c r="O442" s="1707" t="inlineStr">
        <is>
          <t>67</t>
        </is>
      </c>
      <c r="P442" s="1707" t="inlineStr">
        <is>
          <t>07367405550</t>
        </is>
      </c>
      <c r="Q442" s="1646" t="n"/>
      <c r="R442" s="1646" t="n"/>
      <c r="S442" s="1568" t="n"/>
    </row>
    <row r="443">
      <c r="B443" s="1708" t="n">
        <v>46137</v>
      </c>
      <c r="C443" s="783" t="inlineStr">
        <is>
          <t>Blubebell Woodlands</t>
        </is>
      </c>
      <c r="D443" s="783" t="inlineStr">
        <is>
          <t>AM -05:45 - 09:45</t>
        </is>
      </c>
      <c r="E443" s="783" t="n"/>
      <c r="F443" s="1750" t="inlineStr">
        <is>
          <t>Google</t>
        </is>
      </c>
      <c r="G443" s="785" t="inlineStr">
        <is>
          <t>#03248</t>
        </is>
      </c>
      <c r="H443" s="785" t="n">
        <v>46120</v>
      </c>
      <c r="I443" s="1750" t="n">
        <v>99</v>
      </c>
      <c r="J443" s="1750" t="n">
        <v>0</v>
      </c>
      <c r="K443" s="1705" t="n"/>
      <c r="L443" s="1706" t="inlineStr">
        <is>
          <t>Diana Richards</t>
        </is>
      </c>
      <c r="M443" s="1707" t="n"/>
      <c r="N443" s="1374" t="inlineStr">
        <is>
          <t xml:space="preserve">dianasrichards@hotmail.com </t>
        </is>
      </c>
      <c r="O443" s="1707" t="n"/>
      <c r="P443" s="1707" t="inlineStr">
        <is>
          <t>07979814547</t>
        </is>
      </c>
      <c r="Q443" s="1646" t="n"/>
      <c r="R443" s="1646" t="n"/>
      <c r="S443" s="1568" t="n"/>
    </row>
    <row r="444">
      <c r="B444" s="1708" t="n">
        <v>46137</v>
      </c>
      <c r="C444" s="783" t="inlineStr">
        <is>
          <t>Blubebell Woodlands</t>
        </is>
      </c>
      <c r="D444" s="783" t="inlineStr">
        <is>
          <t>AM -05:45 - 09:45</t>
        </is>
      </c>
      <c r="E444" s="783" t="n"/>
      <c r="F444" s="1750" t="inlineStr">
        <is>
          <t>Google</t>
        </is>
      </c>
      <c r="G444" s="785" t="inlineStr">
        <is>
          <t>#03259</t>
        </is>
      </c>
      <c r="H444" s="785" t="n">
        <v>46129</v>
      </c>
      <c r="I444" s="1750" t="n">
        <v>99</v>
      </c>
      <c r="J444" s="1750" t="n"/>
      <c r="K444" s="1705" t="n"/>
      <c r="L444" s="1706" t="inlineStr">
        <is>
          <t>Ruth Martin</t>
        </is>
      </c>
      <c r="M444" s="1707" t="inlineStr">
        <is>
          <t>Martin</t>
        </is>
      </c>
      <c r="N444" s="1374" t="inlineStr">
        <is>
          <t xml:space="preserve">ruthmartin839@btinternet.com </t>
        </is>
      </c>
      <c r="O444" s="1707" t="inlineStr">
        <is>
          <t>70</t>
        </is>
      </c>
      <c r="P444" s="1707" t="inlineStr">
        <is>
          <t>07792254260</t>
        </is>
      </c>
      <c r="Q444" s="1646" t="n"/>
      <c r="R444" s="1646" t="n"/>
      <c r="S444" s="1568" t="n"/>
    </row>
    <row r="445">
      <c r="B445" s="1708" t="n">
        <v>46137</v>
      </c>
      <c r="C445" s="783" t="inlineStr">
        <is>
          <t>Blubebell Woodlands</t>
        </is>
      </c>
      <c r="D445" s="783" t="inlineStr">
        <is>
          <t>AM -05:45 - 09:45</t>
        </is>
      </c>
      <c r="E445" s="783" t="n"/>
      <c r="F445" s="1750" t="inlineStr">
        <is>
          <t>JLR</t>
        </is>
      </c>
      <c r="G445" s="785" t="inlineStr">
        <is>
          <t>IIY#3029527246771lOl</t>
        </is>
      </c>
      <c r="H445" s="785" t="n">
        <v>46129</v>
      </c>
      <c r="I445" s="1750" t="n">
        <v>99</v>
      </c>
      <c r="J445" s="1750" t="n">
        <v>0</v>
      </c>
      <c r="K445" s="1705" t="n"/>
      <c r="L445" s="1706" t="inlineStr">
        <is>
          <t>David Sadler</t>
        </is>
      </c>
      <c r="M445" s="1707" t="n"/>
      <c r="N445" s="1374" t="inlineStr">
        <is>
          <t>dsadler4@jaguarlandrover.com</t>
        </is>
      </c>
      <c r="O445" s="1707" t="n"/>
      <c r="P445" s="1707" t="inlineStr">
        <is>
          <t>07812 780177</t>
        </is>
      </c>
      <c r="Q445" s="1646" t="n"/>
      <c r="R445" s="1646" t="n"/>
      <c r="S445" s="1568" t="n"/>
    </row>
    <row r="446">
      <c r="B446" s="1708" t="n">
        <v>46137</v>
      </c>
      <c r="C446" s="783" t="inlineStr">
        <is>
          <t>Blubebell Woodlands</t>
        </is>
      </c>
      <c r="D446" s="783" t="inlineStr">
        <is>
          <t>PM -10:30 - 14:30</t>
        </is>
      </c>
      <c r="E446" s="783" t="n"/>
      <c r="F446" s="1750" t="inlineStr">
        <is>
          <t>Existing</t>
        </is>
      </c>
      <c r="G446" s="785" t="inlineStr">
        <is>
          <t>#03237</t>
        </is>
      </c>
      <c r="H446" s="785" t="n">
        <v>46106</v>
      </c>
      <c r="I446" s="1750" t="n">
        <v>99</v>
      </c>
      <c r="J446" s="1750" t="n">
        <v>0</v>
      </c>
      <c r="K446" s="1705" t="n"/>
      <c r="L446" s="1706" t="inlineStr">
        <is>
          <t>Julietta Juras</t>
        </is>
      </c>
      <c r="M446" s="1707" t="n"/>
      <c r="N446" s="1374" t="inlineStr">
        <is>
          <t xml:space="preserve">julietta.juras@protonmail.com </t>
        </is>
      </c>
      <c r="O446" s="1707" t="inlineStr">
        <is>
          <t>53</t>
        </is>
      </c>
      <c r="P446" s="1707" t="inlineStr">
        <is>
          <t>07946602555</t>
        </is>
      </c>
      <c r="Q446" s="1646" t="n"/>
      <c r="R446" s="1646" t="n"/>
      <c r="S446" s="1568" t="n"/>
    </row>
    <row r="447">
      <c r="B447" s="1708" t="n">
        <v>46137</v>
      </c>
      <c r="C447" s="783" t="inlineStr">
        <is>
          <t>Blubebell Woodlands</t>
        </is>
      </c>
      <c r="D447" s="783" t="inlineStr">
        <is>
          <t>PM -10:30 - 14:30</t>
        </is>
      </c>
      <c r="E447" s="783" t="n"/>
      <c r="F447" s="1750" t="inlineStr">
        <is>
          <t>Google</t>
        </is>
      </c>
      <c r="G447" s="785" t="inlineStr">
        <is>
          <t>#03204</t>
        </is>
      </c>
      <c r="H447" s="785" t="n">
        <v>46051</v>
      </c>
      <c r="I447" s="1750">
        <f>198/2</f>
        <v/>
      </c>
      <c r="J447" s="1750" t="n">
        <v>0</v>
      </c>
      <c r="K447" s="1705" t="n"/>
      <c r="L447" s="1706" t="inlineStr">
        <is>
          <t>Caitriona Alexander</t>
        </is>
      </c>
      <c r="M447" s="1707" t="inlineStr">
        <is>
          <t>Alexander</t>
        </is>
      </c>
      <c r="N447" s="1374" t="inlineStr">
        <is>
          <t>cathanly@ymail.com</t>
        </is>
      </c>
      <c r="O447" s="1707" t="inlineStr">
        <is>
          <t>32</t>
        </is>
      </c>
      <c r="P447" s="1707" t="inlineStr">
        <is>
          <t>07717702824</t>
        </is>
      </c>
      <c r="Q447" s="1646" t="n"/>
      <c r="R447" s="1646" t="n"/>
      <c r="S447" s="1568" t="n"/>
    </row>
    <row r="448">
      <c r="B448" s="1708" t="n">
        <v>46137</v>
      </c>
      <c r="C448" s="783" t="inlineStr">
        <is>
          <t>Blubebell Woodlands</t>
        </is>
      </c>
      <c r="D448" s="783" t="inlineStr">
        <is>
          <t>PM -10:30 - 14:30</t>
        </is>
      </c>
      <c r="E448" s="783" t="n"/>
      <c r="F448" s="1750" t="inlineStr">
        <is>
          <t>Google</t>
        </is>
      </c>
      <c r="G448" s="785" t="inlineStr">
        <is>
          <t>#03204</t>
        </is>
      </c>
      <c r="H448" s="785" t="n">
        <v>46051</v>
      </c>
      <c r="I448" s="1750">
        <f>198/2</f>
        <v/>
      </c>
      <c r="J448" s="1750" t="n">
        <v>0</v>
      </c>
      <c r="K448" s="1705" t="n"/>
      <c r="L448" s="1706" t="inlineStr">
        <is>
          <t>Caitriona Alexander</t>
        </is>
      </c>
      <c r="M448" s="1707" t="inlineStr">
        <is>
          <t>Alexander</t>
        </is>
      </c>
      <c r="N448" s="1374" t="inlineStr">
        <is>
          <t>cathanly@ymail.com</t>
        </is>
      </c>
      <c r="O448" s="1707" t="inlineStr">
        <is>
          <t>32</t>
        </is>
      </c>
      <c r="P448" s="1707" t="inlineStr">
        <is>
          <t>07717702824</t>
        </is>
      </c>
      <c r="Q448" s="1646" t="n"/>
      <c r="R448" s="1646" t="n"/>
      <c r="S448" s="1568" t="n"/>
    </row>
    <row r="449">
      <c r="B449" s="1708" t="n"/>
      <c r="C449" s="783" t="n"/>
      <c r="D449" s="783" t="n"/>
      <c r="E449" s="783" t="n"/>
      <c r="F449" s="1750" t="n"/>
      <c r="G449" s="785" t="n"/>
      <c r="H449" s="785" t="n"/>
      <c r="I449" s="1750" t="n"/>
      <c r="J449" s="1750" t="n"/>
      <c r="K449" s="1705" t="n"/>
      <c r="L449" s="1706" t="n"/>
      <c r="M449" s="1707" t="n"/>
      <c r="N449" s="1374" t="n"/>
      <c r="O449" s="1707" t="n"/>
      <c r="P449" s="1707" t="n"/>
      <c r="Q449" s="1646" t="n"/>
      <c r="R449" s="1646" t="n"/>
      <c r="S449" s="1568" t="n"/>
    </row>
    <row r="450">
      <c r="B450" s="1708" t="n"/>
      <c r="C450" s="783" t="n"/>
      <c r="D450" s="783" t="n"/>
      <c r="E450" s="783" t="n"/>
      <c r="F450" s="1750" t="n"/>
      <c r="G450" s="785" t="n"/>
      <c r="H450" s="785" t="n"/>
      <c r="I450" s="1750" t="n"/>
      <c r="J450" s="1750" t="n"/>
      <c r="K450" s="1705" t="n"/>
      <c r="L450" s="1706" t="n"/>
      <c r="M450" s="1707" t="n"/>
      <c r="N450" s="1374" t="n"/>
      <c r="O450" s="1707" t="n"/>
      <c r="P450" s="1707" t="n"/>
      <c r="Q450" s="1646" t="n"/>
      <c r="R450" s="1646" t="n"/>
      <c r="S450" s="1568" t="n"/>
    </row>
    <row r="451">
      <c r="B451" s="1708" t="n"/>
      <c r="C451" s="783" t="n"/>
      <c r="D451" s="783" t="n"/>
      <c r="E451" s="783" t="n"/>
      <c r="F451" s="1750" t="n"/>
      <c r="G451" s="785" t="n"/>
      <c r="H451" s="785" t="n"/>
      <c r="I451" s="1750" t="n"/>
      <c r="J451" s="1750" t="n"/>
      <c r="K451" s="1705" t="n"/>
      <c r="L451" s="1706" t="n"/>
      <c r="M451" s="1707" t="n"/>
      <c r="N451" s="1374" t="n"/>
      <c r="O451" s="1707" t="n"/>
      <c r="P451" s="1707" t="n"/>
      <c r="Q451" s="1646" t="n"/>
      <c r="R451" s="1646" t="n"/>
      <c r="S451" s="1568" t="n"/>
    </row>
    <row r="452">
      <c r="A452" s="1568" t="inlineStr">
        <is>
          <t>paid 1 day for 25 but split over two days</t>
        </is>
      </c>
      <c r="B452" s="1708" t="n">
        <v>46138</v>
      </c>
      <c r="C452" s="783" t="inlineStr">
        <is>
          <t>Blubebell Woodlands</t>
        </is>
      </c>
      <c r="D452" s="783" t="inlineStr">
        <is>
          <t>All Day</t>
        </is>
      </c>
      <c r="E452" s="903" t="inlineStr">
        <is>
          <t>8hrs</t>
        </is>
      </c>
      <c r="F452" s="1568" t="inlineStr">
        <is>
          <t>JLR</t>
        </is>
      </c>
      <c r="G452" s="505" t="inlineStr">
        <is>
          <t>IIY#2913981525571C0X</t>
        </is>
      </c>
      <c r="H452" s="785" t="n">
        <v>45886</v>
      </c>
      <c r="J452" s="1697" t="n">
        <v>150</v>
      </c>
      <c r="L452" s="1610" t="inlineStr">
        <is>
          <t>Michael Smith</t>
        </is>
      </c>
      <c r="M452" s="1610" t="inlineStr">
        <is>
          <t>Smith</t>
        </is>
      </c>
      <c r="N452" s="1374" t="inlineStr">
        <is>
          <t>msmit260@jaguarlandrover.com</t>
        </is>
      </c>
      <c r="P452" s="1604" t="inlineStr">
        <is>
          <t>07752198332</t>
        </is>
      </c>
    </row>
    <row r="453">
      <c r="B453" s="1708" t="n">
        <v>46138</v>
      </c>
      <c r="C453" s="783" t="inlineStr">
        <is>
          <t>Blubebell Woodlands</t>
        </is>
      </c>
      <c r="D453" s="783" t="inlineStr">
        <is>
          <t>AM -05:45 - 09:45</t>
        </is>
      </c>
      <c r="E453" s="903" t="n"/>
      <c r="F453" s="1568" t="inlineStr">
        <is>
          <t>JLR</t>
        </is>
      </c>
      <c r="G453" s="505" t="inlineStr">
        <is>
          <t>IIY#3430806185771yfH</t>
        </is>
      </c>
      <c r="H453" s="785" t="n">
        <v>46125</v>
      </c>
      <c r="J453" s="1697" t="n">
        <v>99</v>
      </c>
      <c r="L453" s="1610" t="inlineStr">
        <is>
          <t>Mihail Radkov</t>
        </is>
      </c>
      <c r="M453" s="1610" t="n"/>
      <c r="N453" s="1374" t="inlineStr">
        <is>
          <t>mradkov1@jaguarlandrover.com</t>
        </is>
      </c>
      <c r="P453" s="1604" t="inlineStr">
        <is>
          <t>07476685235</t>
        </is>
      </c>
    </row>
    <row r="454">
      <c r="B454" s="1708" t="n">
        <v>46138</v>
      </c>
      <c r="C454" s="783" t="inlineStr">
        <is>
          <t>Blubebell Woodlands</t>
        </is>
      </c>
      <c r="D454" s="783" t="inlineStr">
        <is>
          <t>AM -05:45 - 09:45</t>
        </is>
      </c>
      <c r="E454" s="783" t="n"/>
      <c r="F454" s="1750" t="inlineStr">
        <is>
          <t>Goolge</t>
        </is>
      </c>
      <c r="G454" s="785" t="inlineStr">
        <is>
          <t>#03183</t>
        </is>
      </c>
      <c r="H454" s="785" t="n">
        <v>46015</v>
      </c>
      <c r="I454" s="1750" t="n">
        <v>99</v>
      </c>
      <c r="J454" s="1750" t="n">
        <v>0</v>
      </c>
      <c r="K454" s="1705" t="inlineStr">
        <is>
          <t>Mrs</t>
        </is>
      </c>
      <c r="L454" s="1706" t="inlineStr">
        <is>
          <t>Victoria Webb</t>
        </is>
      </c>
      <c r="M454" s="1707" t="inlineStr">
        <is>
          <t>Webb</t>
        </is>
      </c>
      <c r="N454" s="1374" t="inlineStr">
        <is>
          <t>Owenwebb24@hotmail.com</t>
        </is>
      </c>
      <c r="O454" s="1707" t="inlineStr">
        <is>
          <t>42</t>
        </is>
      </c>
      <c r="P454" s="1707" t="inlineStr">
        <is>
          <t>07967664829</t>
        </is>
      </c>
      <c r="Q454" s="1646" t="n"/>
      <c r="R454" s="1646" t="n"/>
      <c r="S454" s="1568" t="n"/>
    </row>
    <row r="455">
      <c r="B455" s="1708" t="n"/>
      <c r="C455" s="783" t="n"/>
      <c r="D455" s="783" t="n"/>
      <c r="E455" s="903" t="n"/>
      <c r="F455" s="1568" t="n"/>
      <c r="H455" s="785" t="n"/>
      <c r="L455" s="1610" t="n"/>
      <c r="M455" s="1610" t="n"/>
      <c r="N455" s="1374" t="n"/>
      <c r="P455" s="1604" t="n"/>
    </row>
    <row r="456">
      <c r="B456" s="1708" t="n"/>
      <c r="C456" s="783" t="n"/>
      <c r="D456" s="783" t="n"/>
      <c r="E456" s="903" t="n"/>
      <c r="F456" s="1568" t="n"/>
      <c r="H456" s="785" t="n"/>
      <c r="L456" s="1610" t="n"/>
      <c r="M456" s="1610" t="n"/>
      <c r="N456" s="1374" t="n"/>
      <c r="P456" s="1604" t="n"/>
    </row>
    <row r="457">
      <c r="B457" s="1708" t="n">
        <v>46140</v>
      </c>
      <c r="C457" s="783" t="inlineStr">
        <is>
          <t>Blubebell Woodlands</t>
        </is>
      </c>
      <c r="D457" s="783" t="inlineStr">
        <is>
          <t>AM -05:45 - 09:45</t>
        </is>
      </c>
      <c r="E457" s="1568" t="n"/>
      <c r="F457" s="1568" t="inlineStr">
        <is>
          <t>Exiting</t>
        </is>
      </c>
      <c r="G457" s="87" t="inlineStr">
        <is>
          <t>#03207</t>
        </is>
      </c>
      <c r="H457" s="785" t="n">
        <v>46052</v>
      </c>
      <c r="I457" s="1750" t="n">
        <v>99</v>
      </c>
      <c r="K457" s="1568" t="inlineStr">
        <is>
          <t>Mrs</t>
        </is>
      </c>
      <c r="L457" s="1610" t="inlineStr">
        <is>
          <t>Jo Galloway</t>
        </is>
      </c>
      <c r="M457" s="1610" t="inlineStr">
        <is>
          <t>Galloway</t>
        </is>
      </c>
      <c r="N457" s="1374" t="inlineStr">
        <is>
          <t xml:space="preserve">joannegalloway2003@yahoo.co.uk </t>
        </is>
      </c>
      <c r="O457" s="1604" t="inlineStr">
        <is>
          <t>66</t>
        </is>
      </c>
      <c r="P457" s="1604" t="inlineStr">
        <is>
          <t xml:space="preserve">07974437317 </t>
        </is>
      </c>
    </row>
    <row r="458">
      <c r="B458" s="1708" t="n">
        <v>46140</v>
      </c>
      <c r="C458" s="783" t="inlineStr">
        <is>
          <t>Blubebell Woodlands</t>
        </is>
      </c>
      <c r="D458" s="783" t="inlineStr">
        <is>
          <t>AM -05:45 - 09:45</t>
        </is>
      </c>
      <c r="E458" s="783" t="n"/>
      <c r="F458" s="1750" t="inlineStr">
        <is>
          <t>Goolge</t>
        </is>
      </c>
      <c r="G458" s="785" t="inlineStr">
        <is>
          <t>#03232</t>
        </is>
      </c>
      <c r="H458" s="785" t="n">
        <v>46096</v>
      </c>
      <c r="I458" s="1750" t="n">
        <v>99</v>
      </c>
      <c r="J458" s="1750" t="n"/>
      <c r="K458" s="1705" t="n"/>
      <c r="L458" s="1706" t="inlineStr">
        <is>
          <t>Sarah Joyce</t>
        </is>
      </c>
      <c r="M458" s="1707" t="n"/>
      <c r="N458" s="1374" t="inlineStr">
        <is>
          <t>sarah.paula.joyce@gmail.com</t>
        </is>
      </c>
      <c r="O458" s="1707" t="inlineStr">
        <is>
          <t>50</t>
        </is>
      </c>
      <c r="P458" s="1707" t="inlineStr">
        <is>
          <t>07791041544</t>
        </is>
      </c>
    </row>
    <row r="459">
      <c r="B459" s="1708" t="n">
        <v>46140</v>
      </c>
      <c r="C459" s="783" t="inlineStr">
        <is>
          <t>Blubebell Woodlands</t>
        </is>
      </c>
      <c r="D459" s="783" t="inlineStr">
        <is>
          <t>AM -05:45 - 09:45</t>
        </is>
      </c>
      <c r="E459" s="783" t="n"/>
      <c r="F459" s="1568" t="inlineStr">
        <is>
          <t>Exiting</t>
        </is>
      </c>
      <c r="G459" s="785" t="inlineStr">
        <is>
          <t>#03238</t>
        </is>
      </c>
      <c r="H459" s="785" t="n">
        <v>46106</v>
      </c>
      <c r="I459" s="1750" t="n">
        <v>99</v>
      </c>
      <c r="J459" s="1750" t="n">
        <v>0</v>
      </c>
      <c r="K459" s="1705" t="n"/>
      <c r="L459" s="1706" t="inlineStr">
        <is>
          <t>Myra Little</t>
        </is>
      </c>
      <c r="M459" s="1707" t="n"/>
      <c r="N459" s="1374" t="inlineStr">
        <is>
          <t xml:space="preserve">myra_little@hotmail.com </t>
        </is>
      </c>
      <c r="O459" s="1707" t="inlineStr">
        <is>
          <t>69</t>
        </is>
      </c>
      <c r="P459" s="1707" t="inlineStr">
        <is>
          <t>07483242312</t>
        </is>
      </c>
    </row>
    <row r="460">
      <c r="B460" s="1708" t="n"/>
      <c r="C460" s="783" t="n"/>
      <c r="D460" s="783" t="n"/>
      <c r="E460" s="783" t="n"/>
      <c r="F460" s="1568" t="n"/>
      <c r="G460" s="785" t="n"/>
      <c r="H460" s="785" t="n"/>
      <c r="I460" s="1750" t="n"/>
      <c r="J460" s="1750" t="n"/>
      <c r="K460" s="1705" t="n"/>
      <c r="L460" s="1706" t="n"/>
      <c r="M460" s="1707" t="n"/>
      <c r="N460" s="1374" t="n"/>
      <c r="O460" s="1707" t="n"/>
      <c r="P460" s="1707" t="n"/>
    </row>
    <row r="461">
      <c r="B461" s="1708" t="n"/>
      <c r="C461" s="783" t="n"/>
      <c r="D461" s="783" t="n"/>
      <c r="E461" s="783" t="n"/>
      <c r="F461" s="1568" t="n"/>
      <c r="G461" s="785" t="n"/>
      <c r="H461" s="785" t="n"/>
      <c r="I461" s="1750" t="n"/>
      <c r="J461" s="1750" t="n"/>
      <c r="K461" s="1705" t="n"/>
      <c r="L461" s="1706" t="n"/>
      <c r="M461" s="1707" t="n"/>
      <c r="N461" s="1374" t="n"/>
      <c r="O461" s="1707" t="n"/>
      <c r="P461" s="1707" t="n"/>
    </row>
    <row r="462">
      <c r="B462" s="1708" t="n"/>
      <c r="C462" s="783" t="n"/>
      <c r="D462" s="783" t="n"/>
      <c r="E462" s="1568" t="n"/>
      <c r="F462" s="1568" t="n"/>
      <c r="G462" s="87" t="n"/>
      <c r="H462" s="785" t="n"/>
      <c r="K462" s="1568" t="n"/>
      <c r="L462" s="1610" t="n"/>
      <c r="M462" s="1610" t="n"/>
      <c r="N462" s="1374" t="n"/>
      <c r="O462" s="1604" t="n"/>
      <c r="P462" s="1604" t="n"/>
    </row>
    <row r="463">
      <c r="B463" s="1708" t="n">
        <v>46142</v>
      </c>
      <c r="C463" s="783" t="inlineStr">
        <is>
          <t>Blubebell Woodlands</t>
        </is>
      </c>
      <c r="D463" s="783" t="inlineStr">
        <is>
          <t>All Day</t>
        </is>
      </c>
      <c r="E463" s="783" t="n"/>
      <c r="F463" s="1750" t="inlineStr">
        <is>
          <t>Goolge</t>
        </is>
      </c>
      <c r="G463" s="785" t="inlineStr">
        <is>
          <t>#03231</t>
        </is>
      </c>
      <c r="H463" s="785" t="n">
        <v>46094</v>
      </c>
      <c r="I463" s="1750" t="n">
        <v>150</v>
      </c>
      <c r="J463" s="1750" t="n">
        <v>0</v>
      </c>
      <c r="K463" s="1705" t="n"/>
      <c r="L463" s="1706" t="inlineStr">
        <is>
          <t>Carolynn Trimble</t>
        </is>
      </c>
      <c r="M463" s="1707" t="n"/>
      <c r="N463" s="1374" t="inlineStr">
        <is>
          <t>cctrim4@aol.com</t>
        </is>
      </c>
      <c r="O463" s="1707" t="inlineStr">
        <is>
          <t>63</t>
        </is>
      </c>
      <c r="P463" s="1707" t="inlineStr">
        <is>
          <t>USA</t>
        </is>
      </c>
      <c r="Q463" s="1646" t="n"/>
    </row>
    <row r="464">
      <c r="B464" s="1708" t="n">
        <v>46142</v>
      </c>
      <c r="C464" s="783" t="inlineStr">
        <is>
          <t>Blubebell Woodlands</t>
        </is>
      </c>
      <c r="D464" s="783" t="inlineStr">
        <is>
          <t>PM -10:30 - 14:30</t>
        </is>
      </c>
      <c r="E464" s="1568" t="n"/>
      <c r="F464" s="1568" t="inlineStr">
        <is>
          <t>JLR</t>
        </is>
      </c>
      <c r="G464" s="87" t="inlineStr">
        <is>
          <t>IIY#27750844057719lH</t>
        </is>
      </c>
      <c r="H464" s="785" t="n"/>
      <c r="J464" s="1697" t="n">
        <v>99</v>
      </c>
      <c r="K464" s="1568" t="n"/>
      <c r="L464" s="1610" t="inlineStr">
        <is>
          <t>Louise Potter</t>
        </is>
      </c>
      <c r="N464" s="1770" t="inlineStr">
        <is>
          <t>lpotter8@jaguarlandrover.com</t>
        </is>
      </c>
      <c r="O464" s="1604" t="n"/>
      <c r="P464" s="1604" t="inlineStr">
        <is>
          <t>07900930631</t>
        </is>
      </c>
    </row>
    <row r="465">
      <c r="B465" s="1708" t="n">
        <v>46142</v>
      </c>
      <c r="C465" s="783" t="inlineStr">
        <is>
          <t>Blubebell Woodlands</t>
        </is>
      </c>
      <c r="D465" s="783" t="inlineStr">
        <is>
          <t>PM -10:30 - 14:30</t>
        </is>
      </c>
      <c r="E465" s="1568" t="n"/>
      <c r="F465" s="1750" t="inlineStr">
        <is>
          <t>Goolge</t>
        </is>
      </c>
      <c r="G465" s="87" t="inlineStr">
        <is>
          <t>#03256</t>
        </is>
      </c>
      <c r="H465" s="785" t="n">
        <v>46126</v>
      </c>
      <c r="I465" s="1696" t="n">
        <v>99</v>
      </c>
      <c r="K465" s="1568" t="n"/>
      <c r="L465" s="1610" t="inlineStr">
        <is>
          <t>Emma Shakesheff</t>
        </is>
      </c>
      <c r="M465" s="1610" t="n"/>
      <c r="N465" s="1374" t="inlineStr">
        <is>
          <t>em_shakesheff@hotmail.co.uk</t>
        </is>
      </c>
      <c r="O465" s="1604" t="inlineStr">
        <is>
          <t>40</t>
        </is>
      </c>
      <c r="P465" s="1604" t="inlineStr">
        <is>
          <t>07707726434</t>
        </is>
      </c>
    </row>
    <row r="466">
      <c r="B466" s="1708" t="n">
        <v>46142</v>
      </c>
      <c r="C466" s="783" t="inlineStr">
        <is>
          <t>Blubebell Woodlands</t>
        </is>
      </c>
      <c r="D466" s="783" t="inlineStr">
        <is>
          <t>PM -10:30 - 14:30</t>
        </is>
      </c>
      <c r="E466" s="1568" t="n"/>
      <c r="F466" s="1750" t="inlineStr">
        <is>
          <t>Goolge</t>
        </is>
      </c>
      <c r="G466" s="87" t="inlineStr">
        <is>
          <t>#03263</t>
        </is>
      </c>
      <c r="H466" s="785" t="n">
        <v>46135</v>
      </c>
      <c r="I466" s="1696" t="n">
        <v>99</v>
      </c>
      <c r="J466" s="1697" t="n">
        <v>0</v>
      </c>
      <c r="K466" s="1568" t="n"/>
      <c r="L466" s="1610" t="inlineStr">
        <is>
          <t>Dave Sharp</t>
        </is>
      </c>
      <c r="M466" s="1610" t="n"/>
      <c r="N466" s="1374" t="inlineStr">
        <is>
          <t>sharpdh13@gmail.com</t>
        </is>
      </c>
      <c r="O466" s="1604" t="inlineStr">
        <is>
          <t>61</t>
        </is>
      </c>
      <c r="P466" s="1604" t="inlineStr">
        <is>
          <t>07989205936</t>
        </is>
      </c>
    </row>
    <row r="467">
      <c r="B467" s="1708" t="n">
        <v>46142</v>
      </c>
      <c r="C467" s="783" t="inlineStr">
        <is>
          <t>Blubebell Woodlands</t>
        </is>
      </c>
      <c r="D467" s="783" t="inlineStr">
        <is>
          <t>PM -10:30 - 14:30</t>
        </is>
      </c>
      <c r="E467" s="1568" t="n"/>
      <c r="F467" s="1750" t="inlineStr">
        <is>
          <t>Existing</t>
        </is>
      </c>
      <c r="G467" s="1051" t="inlineStr">
        <is>
          <t>#03267</t>
        </is>
      </c>
      <c r="H467" s="785" t="n">
        <v>46138</v>
      </c>
      <c r="I467" s="1696" t="n">
        <v>99</v>
      </c>
      <c r="J467" s="1697" t="n">
        <v>0</v>
      </c>
      <c r="K467" s="1568" t="n"/>
      <c r="L467" s="1610" t="inlineStr">
        <is>
          <t>Les Page</t>
        </is>
      </c>
      <c r="M467" s="1610" t="n"/>
      <c r="N467" s="1374" t="inlineStr">
        <is>
          <t xml:space="preserve">les_page2003@yahoo.co.uk </t>
        </is>
      </c>
      <c r="O467" s="1604" t="inlineStr">
        <is>
          <t>65</t>
        </is>
      </c>
      <c r="P467" s="1604" t="inlineStr">
        <is>
          <t>07980809323</t>
        </is>
      </c>
    </row>
    <row r="468">
      <c r="B468" s="1708" t="n"/>
      <c r="C468" s="783" t="n"/>
      <c r="D468" s="783" t="n"/>
      <c r="E468" s="1568" t="n"/>
      <c r="F468" s="1568" t="n"/>
      <c r="G468" s="87" t="n"/>
      <c r="H468" s="785" t="n"/>
      <c r="K468" s="1568" t="n"/>
      <c r="L468" s="1610" t="n"/>
      <c r="M468" s="1610" t="n"/>
      <c r="N468" s="1374" t="n"/>
      <c r="O468" s="1604" t="n"/>
      <c r="P468" s="1604" t="n"/>
    </row>
    <row r="469">
      <c r="A469" s="1643" t="n"/>
    </row>
    <row r="470">
      <c r="A470" s="1643" t="n"/>
    </row>
    <row r="471">
      <c r="B471" s="1708" t="n"/>
      <c r="D471" s="1568" t="n"/>
      <c r="E471" s="1568" t="n"/>
      <c r="F471" s="1568" t="n"/>
      <c r="H471" s="785" t="n"/>
      <c r="L471" s="1610" t="n"/>
      <c r="M471" s="1610" t="n"/>
      <c r="N471" s="1374" t="n"/>
      <c r="P471" s="1604" t="n"/>
    </row>
    <row r="472">
      <c r="B472" s="1708" t="n">
        <v>46148</v>
      </c>
      <c r="C472" s="1568" t="inlineStr">
        <is>
          <t>LE Kenilworth</t>
        </is>
      </c>
      <c r="D472" s="783" t="inlineStr">
        <is>
          <t>Kenilworth</t>
        </is>
      </c>
      <c r="E472" s="783" t="inlineStr">
        <is>
          <t>2.5hrs</t>
        </is>
      </c>
      <c r="F472" s="1568" t="inlineStr">
        <is>
          <t>Google</t>
        </is>
      </c>
      <c r="G472" s="87" t="inlineStr">
        <is>
          <t>#03179</t>
        </is>
      </c>
      <c r="H472" s="785" t="n">
        <v>46013</v>
      </c>
      <c r="I472" s="1696" t="n">
        <v>50</v>
      </c>
      <c r="J472" s="1697" t="n">
        <v>0</v>
      </c>
      <c r="L472" s="1610" t="inlineStr">
        <is>
          <t>Richard</t>
        </is>
      </c>
      <c r="M472" s="1610" t="inlineStr">
        <is>
          <t>Shearwood</t>
        </is>
      </c>
      <c r="N472" s="1374" t="inlineStr">
        <is>
          <t>richard@shearwood.org.uk</t>
        </is>
      </c>
      <c r="O472" s="1604" t="inlineStr">
        <is>
          <t>62</t>
        </is>
      </c>
      <c r="P472" s="1604" t="inlineStr">
        <is>
          <t>07983375833</t>
        </is>
      </c>
    </row>
    <row r="473">
      <c r="B473" s="1708" t="n">
        <v>46148</v>
      </c>
      <c r="C473" s="1568" t="inlineStr">
        <is>
          <t>LE Kenilworth</t>
        </is>
      </c>
      <c r="D473" s="783" t="inlineStr">
        <is>
          <t>Kenilworth</t>
        </is>
      </c>
      <c r="E473" s="783" t="inlineStr">
        <is>
          <t>2.5hrs</t>
        </is>
      </c>
      <c r="F473" s="1568" t="inlineStr">
        <is>
          <t>Existing</t>
        </is>
      </c>
      <c r="G473" s="87" t="inlineStr">
        <is>
          <t>#03234</t>
        </is>
      </c>
      <c r="H473" s="785" t="n">
        <v>46104</v>
      </c>
      <c r="I473" s="1696" t="n">
        <v>50</v>
      </c>
      <c r="J473" s="1697" t="n">
        <v>0</v>
      </c>
      <c r="L473" s="1610" t="inlineStr">
        <is>
          <t>Patricia</t>
        </is>
      </c>
      <c r="M473" s="1610" t="inlineStr">
        <is>
          <t>Pearl</t>
        </is>
      </c>
      <c r="N473" s="1374" t="inlineStr">
        <is>
          <t xml:space="preserve">pearltricia47@gmail.com </t>
        </is>
      </c>
      <c r="O473" s="1604" t="inlineStr">
        <is>
          <t>71</t>
        </is>
      </c>
      <c r="P473" s="1604" t="inlineStr">
        <is>
          <t>07973417176</t>
        </is>
      </c>
    </row>
    <row r="474">
      <c r="B474" s="1708" t="n">
        <v>46148</v>
      </c>
      <c r="C474" s="1568" t="inlineStr">
        <is>
          <t>LE Kenilworth</t>
        </is>
      </c>
      <c r="D474" s="783" t="inlineStr">
        <is>
          <t>Kenilworth</t>
        </is>
      </c>
      <c r="E474" s="783" t="inlineStr">
        <is>
          <t>2.5hrs</t>
        </is>
      </c>
      <c r="F474" s="1568" t="inlineStr">
        <is>
          <t>Existing</t>
        </is>
      </c>
      <c r="G474" s="1051" t="inlineStr">
        <is>
          <t>#03213</t>
        </is>
      </c>
      <c r="H474" s="785" t="n">
        <v>46060</v>
      </c>
      <c r="I474" s="1696" t="n">
        <v>50</v>
      </c>
      <c r="J474" s="1697" t="n">
        <v>0</v>
      </c>
      <c r="K474" s="1568" t="n"/>
      <c r="L474" s="1610" t="inlineStr">
        <is>
          <t>Simon</t>
        </is>
      </c>
      <c r="M474" s="1610" t="inlineStr">
        <is>
          <t>Philpott</t>
        </is>
      </c>
      <c r="N474" s="1374" t="inlineStr">
        <is>
          <t xml:space="preserve">kathryn.philpott@icloud.com </t>
        </is>
      </c>
      <c r="O474" s="1604" t="inlineStr">
        <is>
          <t>45</t>
        </is>
      </c>
      <c r="P474" s="1604" t="inlineStr">
        <is>
          <t>07454110027</t>
        </is>
      </c>
      <c r="S474" s="1568" t="n"/>
    </row>
    <row r="475">
      <c r="B475" s="1708" t="n"/>
      <c r="C475" s="1568" t="n"/>
      <c r="D475" s="783" t="n"/>
      <c r="E475" s="783" t="n"/>
      <c r="F475" s="1568" t="n"/>
      <c r="G475" s="87" t="n"/>
      <c r="H475" s="785" t="n"/>
      <c r="L475" s="1610" t="n"/>
      <c r="M475" s="1610" t="n"/>
      <c r="N475" s="1374" t="n"/>
      <c r="O475" s="1604" t="n"/>
      <c r="P475" s="1604" t="n"/>
    </row>
    <row r="476">
      <c r="B476" s="1708" t="n"/>
      <c r="D476" s="1568" t="n"/>
      <c r="E476" s="1568" t="n"/>
      <c r="F476" s="1568" t="n"/>
      <c r="H476" s="785" t="n"/>
      <c r="L476" s="1610" t="n"/>
      <c r="M476" s="1610" t="n"/>
      <c r="N476" s="1374" t="n"/>
      <c r="P476" s="1604" t="n"/>
    </row>
    <row r="477">
      <c r="B477" s="1708" t="n">
        <v>46150</v>
      </c>
      <c r="C477" s="1697" t="inlineStr">
        <is>
          <t xml:space="preserve">FAIRY GLEN and Fairy Falls </t>
        </is>
      </c>
      <c r="D477" s="1568" t="n"/>
      <c r="E477" s="1568" t="inlineStr">
        <is>
          <t>3hrs</t>
        </is>
      </c>
      <c r="F477" s="1568" t="inlineStr">
        <is>
          <t>Existing</t>
        </is>
      </c>
      <c r="G477" s="87" t="inlineStr">
        <is>
          <t>#03147</t>
        </is>
      </c>
      <c r="H477" s="785" t="n">
        <v>45963</v>
      </c>
      <c r="I477" s="1696" t="n">
        <v>150</v>
      </c>
      <c r="J477" s="1697" t="n">
        <v>0</v>
      </c>
      <c r="K477" s="1568" t="inlineStr">
        <is>
          <t>Mr</t>
        </is>
      </c>
      <c r="L477" s="1610" t="inlineStr">
        <is>
          <t>Simon Whitehouse</t>
        </is>
      </c>
      <c r="M477" s="1610" t="n"/>
      <c r="N477" s="1374" t="inlineStr">
        <is>
          <t>simonwhitehouse6@gmail.com</t>
        </is>
      </c>
      <c r="O477" s="1604" t="inlineStr">
        <is>
          <t>60</t>
        </is>
      </c>
      <c r="P477" s="1604" t="inlineStr">
        <is>
          <t>07946864179</t>
        </is>
      </c>
    </row>
    <row r="478">
      <c r="B478" s="1708" t="n">
        <v>46150</v>
      </c>
      <c r="C478" s="1697" t="inlineStr">
        <is>
          <t xml:space="preserve">FAIRY GLEN and Fairy Falls </t>
        </is>
      </c>
      <c r="D478" s="1568" t="n"/>
      <c r="E478" s="1568" t="inlineStr">
        <is>
          <t>3hrs</t>
        </is>
      </c>
      <c r="F478" s="1568" t="inlineStr">
        <is>
          <t>Exiting</t>
        </is>
      </c>
      <c r="G478" s="87" t="inlineStr">
        <is>
          <t>#03207</t>
        </is>
      </c>
      <c r="H478" s="785" t="n">
        <v>46052</v>
      </c>
      <c r="I478" s="1696" t="n">
        <v>100</v>
      </c>
      <c r="K478" s="1568" t="inlineStr">
        <is>
          <t>Mrs</t>
        </is>
      </c>
      <c r="L478" s="1610" t="inlineStr">
        <is>
          <t>Jo</t>
        </is>
      </c>
      <c r="M478" s="1610" t="inlineStr">
        <is>
          <t>Galloway</t>
        </is>
      </c>
      <c r="N478" s="1374" t="inlineStr">
        <is>
          <t xml:space="preserve">joannegalloway2003@yahoo.co.uk </t>
        </is>
      </c>
      <c r="O478" s="1604" t="inlineStr">
        <is>
          <t>66</t>
        </is>
      </c>
      <c r="P478" s="1604" t="inlineStr">
        <is>
          <t xml:space="preserve">07974437317 </t>
        </is>
      </c>
    </row>
    <row r="479">
      <c r="B479" s="1708" t="n">
        <v>46150</v>
      </c>
      <c r="C479" s="1697" t="inlineStr">
        <is>
          <t xml:space="preserve">FAIRY GLEN and Fairy Falls </t>
        </is>
      </c>
      <c r="D479" s="1568" t="n"/>
      <c r="E479" s="1568" t="inlineStr">
        <is>
          <t>3hrs</t>
        </is>
      </c>
      <c r="F479" s="1568" t="inlineStr">
        <is>
          <t>Existing</t>
        </is>
      </c>
      <c r="G479" s="87" t="inlineStr">
        <is>
          <t>#03212</t>
        </is>
      </c>
      <c r="H479" s="785" t="n">
        <v>45963</v>
      </c>
      <c r="I479" s="1696" t="n">
        <v>150</v>
      </c>
      <c r="J479" s="1697" t="n">
        <v>0</v>
      </c>
      <c r="K479" s="1568" t="n"/>
      <c r="L479" s="1610" t="inlineStr">
        <is>
          <t>Miachel White</t>
        </is>
      </c>
      <c r="M479" s="1610" t="inlineStr">
        <is>
          <t>United States</t>
        </is>
      </c>
      <c r="N479" s="1374" t="inlineStr">
        <is>
          <t>00mjwhite@bsu.edu</t>
        </is>
      </c>
      <c r="O479" s="1604" t="n"/>
      <c r="P479" s="1604" t="n"/>
    </row>
    <row r="480">
      <c r="B480" s="1708" t="n">
        <v>46150</v>
      </c>
      <c r="C480" s="1697" t="inlineStr">
        <is>
          <t xml:space="preserve">FAIRY GLEN and Fairy Falls </t>
        </is>
      </c>
      <c r="D480" s="1568" t="n"/>
      <c r="E480" s="1568" t="inlineStr">
        <is>
          <t>3hrs</t>
        </is>
      </c>
      <c r="F480" s="1568" t="inlineStr">
        <is>
          <t>Existing</t>
        </is>
      </c>
      <c r="G480" s="87" t="inlineStr">
        <is>
          <t>#03212</t>
        </is>
      </c>
      <c r="H480" s="785" t="n">
        <v>45963</v>
      </c>
      <c r="I480" s="1696" t="n">
        <v>150</v>
      </c>
      <c r="J480" s="1697" t="n">
        <v>0</v>
      </c>
      <c r="K480" s="1568" t="n"/>
      <c r="L480" s="1610" t="inlineStr">
        <is>
          <t>Gwen White</t>
        </is>
      </c>
      <c r="M480" s="1610" t="inlineStr">
        <is>
          <t>United States</t>
        </is>
      </c>
      <c r="N480" s="1374" t="n"/>
      <c r="O480" s="1604" t="n"/>
      <c r="P480" s="1604" t="n"/>
    </row>
    <row r="481">
      <c r="B481" s="1708" t="n"/>
      <c r="D481" s="1568" t="n"/>
      <c r="E481" s="1568" t="n"/>
      <c r="F481" s="1568" t="n"/>
      <c r="G481" s="87" t="n"/>
      <c r="H481" s="785" t="n"/>
      <c r="K481" s="1568" t="n"/>
      <c r="L481" s="1610" t="n"/>
      <c r="M481" s="1610" t="n"/>
      <c r="N481" s="1374" t="n"/>
      <c r="O481" s="1604" t="n"/>
      <c r="P481" s="1604" t="n"/>
    </row>
    <row r="482">
      <c r="B482" s="1708" t="n"/>
      <c r="D482" s="1568" t="n"/>
      <c r="E482" s="1568" t="n"/>
      <c r="F482" s="1568" t="n"/>
      <c r="G482" s="87" t="n"/>
      <c r="H482" s="785" t="n"/>
      <c r="K482" s="1568" t="n"/>
      <c r="L482" s="1610" t="n"/>
      <c r="M482" s="1610" t="n"/>
      <c r="N482" s="1374" t="n"/>
      <c r="O482" s="1604" t="n"/>
      <c r="P482" s="1604" t="n"/>
    </row>
    <row r="483">
      <c r="B483" s="1708" t="n">
        <v>46150</v>
      </c>
      <c r="C483" s="1568" t="inlineStr">
        <is>
          <t>Anglesey</t>
        </is>
      </c>
      <c r="D483" s="1568" t="inlineStr">
        <is>
          <t>One bedroom as husband and wife</t>
        </is>
      </c>
      <c r="E483" s="1568" t="inlineStr">
        <is>
          <t>3 Days</t>
        </is>
      </c>
      <c r="F483" s="1568" t="inlineStr">
        <is>
          <t>Google</t>
        </is>
      </c>
      <c r="G483" s="87" t="inlineStr">
        <is>
          <t>#03209</t>
        </is>
      </c>
      <c r="H483" s="785" t="n">
        <v>46057</v>
      </c>
      <c r="I483" s="1696">
        <f>1590/2</f>
        <v/>
      </c>
      <c r="J483" s="1697" t="n">
        <v>0</v>
      </c>
      <c r="L483" s="1610" t="inlineStr">
        <is>
          <t>Miachel White</t>
        </is>
      </c>
      <c r="M483" s="1610" t="inlineStr">
        <is>
          <t>United States</t>
        </is>
      </c>
      <c r="N483" s="1374" t="inlineStr">
        <is>
          <t>00mjwhite@bsu.edu</t>
        </is>
      </c>
      <c r="P483" s="1604" t="n"/>
    </row>
    <row r="484">
      <c r="B484" s="1708" t="n">
        <v>46150</v>
      </c>
      <c r="C484" s="1568" t="inlineStr">
        <is>
          <t>Anglesey</t>
        </is>
      </c>
      <c r="D484" s="1568" t="n"/>
      <c r="E484" s="1568" t="inlineStr">
        <is>
          <t>3 Days</t>
        </is>
      </c>
      <c r="F484" s="1568" t="inlineStr">
        <is>
          <t>Google</t>
        </is>
      </c>
      <c r="G484" s="87" t="inlineStr">
        <is>
          <t>#03209</t>
        </is>
      </c>
      <c r="H484" s="785" t="n">
        <v>46057</v>
      </c>
      <c r="I484" s="1696">
        <f>1590/2</f>
        <v/>
      </c>
      <c r="J484" s="1697" t="n">
        <v>0</v>
      </c>
      <c r="L484" s="1610" t="inlineStr">
        <is>
          <t>Gwen White</t>
        </is>
      </c>
      <c r="M484" s="1610" t="inlineStr">
        <is>
          <t>United States</t>
        </is>
      </c>
      <c r="N484" s="1374" t="n"/>
      <c r="P484" s="1604" t="n"/>
    </row>
    <row r="485">
      <c r="B485" s="1708" t="n">
        <v>46150</v>
      </c>
      <c r="C485" s="1568" t="inlineStr">
        <is>
          <t>Anglesey</t>
        </is>
      </c>
      <c r="D485" s="1568" t="n"/>
      <c r="E485" s="1568" t="inlineStr">
        <is>
          <t>3 Days</t>
        </is>
      </c>
      <c r="F485" s="1568" t="inlineStr">
        <is>
          <t>Google</t>
        </is>
      </c>
      <c r="G485" s="87" t="inlineStr">
        <is>
          <t>#03207</t>
        </is>
      </c>
      <c r="H485" s="785" t="n"/>
      <c r="I485" s="1696" t="n">
        <v>700</v>
      </c>
      <c r="K485" s="1568" t="inlineStr">
        <is>
          <t>Mrs</t>
        </is>
      </c>
      <c r="L485" s="1610" t="inlineStr">
        <is>
          <t>Jo</t>
        </is>
      </c>
      <c r="M485" s="1610" t="inlineStr">
        <is>
          <t>Galloway</t>
        </is>
      </c>
      <c r="N485" s="1374" t="inlineStr">
        <is>
          <t xml:space="preserve">joannegalloway2003@yahoo.co.uk </t>
        </is>
      </c>
      <c r="O485" s="1604" t="inlineStr">
        <is>
          <t>66</t>
        </is>
      </c>
      <c r="P485" s="1604" t="inlineStr">
        <is>
          <t xml:space="preserve">07974437317 </t>
        </is>
      </c>
    </row>
    <row r="486">
      <c r="B486" s="1708" t="n"/>
      <c r="C486" s="1568" t="n"/>
      <c r="D486" s="1568" t="n"/>
      <c r="E486" s="1568" t="n"/>
      <c r="F486" s="1568" t="n"/>
      <c r="G486" s="87" t="n"/>
      <c r="H486" s="785" t="n"/>
      <c r="K486" s="1568" t="n"/>
      <c r="L486" s="1610" t="n"/>
      <c r="M486" s="1610" t="n"/>
      <c r="N486" s="1374" t="n"/>
      <c r="O486" s="1604" t="n"/>
      <c r="P486" s="1604" t="n"/>
    </row>
    <row r="487">
      <c r="B487" s="1708" t="n"/>
      <c r="D487" s="1568" t="n"/>
      <c r="E487" s="1568" t="n"/>
      <c r="F487" s="1568" t="n"/>
      <c r="H487" s="785" t="n"/>
      <c r="L487" s="1610" t="n"/>
      <c r="M487" s="1610" t="n"/>
      <c r="N487" s="1374" t="n"/>
      <c r="P487" s="1604" t="n"/>
    </row>
    <row r="488">
      <c r="B488" s="1708" t="n">
        <v>46158</v>
      </c>
      <c r="C488" s="1697" t="inlineStr">
        <is>
          <t>Peak District Photography Workshops Padley Gorge</t>
        </is>
      </c>
      <c r="D488" s="1568" t="n"/>
      <c r="E488" s="1568" t="inlineStr">
        <is>
          <t>1 Day</t>
        </is>
      </c>
      <c r="F488" s="1568" t="inlineStr">
        <is>
          <t>JLR</t>
        </is>
      </c>
      <c r="G488" s="505" t="inlineStr">
        <is>
          <t>IIY#6414240857571WLc</t>
        </is>
      </c>
      <c r="H488" s="785" t="n">
        <v>45920</v>
      </c>
      <c r="J488" s="1697" t="n">
        <v>150</v>
      </c>
      <c r="L488" s="1610" t="inlineStr">
        <is>
          <t>Paul</t>
        </is>
      </c>
      <c r="M488" s="1610" t="inlineStr">
        <is>
          <t>Farrington</t>
        </is>
      </c>
      <c r="N488" s="1374" t="inlineStr">
        <is>
          <t>pfarring@jaguarlandrover.com</t>
        </is>
      </c>
    </row>
    <row r="489">
      <c r="B489" s="1708" t="n">
        <v>46158</v>
      </c>
      <c r="C489" s="1697" t="inlineStr">
        <is>
          <t>Peak District Photography Workshops Padley Gorge</t>
        </is>
      </c>
      <c r="D489" s="1568" t="n"/>
      <c r="E489" s="1568" t="inlineStr">
        <is>
          <t>1 Day</t>
        </is>
      </c>
      <c r="F489" s="1568" t="inlineStr">
        <is>
          <t>Into The Blue</t>
        </is>
      </c>
      <c r="G489" s="1051" t="inlineStr">
        <is>
          <t>2511273861</t>
        </is>
      </c>
      <c r="H489" s="785" t="n">
        <v>46005</v>
      </c>
      <c r="I489" s="1696" t="n">
        <v>120</v>
      </c>
      <c r="L489" s="1610" t="inlineStr">
        <is>
          <t>Sharon</t>
        </is>
      </c>
      <c r="M489" s="1610" t="inlineStr">
        <is>
          <t>McDonald</t>
        </is>
      </c>
      <c r="N489" s="1374" t="inlineStr">
        <is>
          <t>smcdonald589@gmail.com</t>
        </is>
      </c>
      <c r="P489" s="1604" t="inlineStr">
        <is>
          <t>07792805622</t>
        </is>
      </c>
    </row>
    <row r="490">
      <c r="B490" s="1708" t="n">
        <v>46158</v>
      </c>
      <c r="C490" s="1568" t="inlineStr">
        <is>
          <t>Peak District Photography Workshops Padley Gorge + Tripod</t>
        </is>
      </c>
      <c r="D490" s="1568" t="n"/>
      <c r="E490" s="1568" t="inlineStr">
        <is>
          <t>1 Day</t>
        </is>
      </c>
      <c r="F490" s="1568" t="inlineStr">
        <is>
          <t>Into The Blue</t>
        </is>
      </c>
      <c r="G490" s="1051" t="inlineStr">
        <is>
          <t>2511273861</t>
        </is>
      </c>
      <c r="H490" s="785" t="n">
        <v>46005</v>
      </c>
      <c r="I490" s="1696" t="n">
        <v>120</v>
      </c>
      <c r="L490" s="1610" t="inlineStr">
        <is>
          <t>Sharon</t>
        </is>
      </c>
      <c r="M490" s="1610" t="inlineStr">
        <is>
          <t>McDonald</t>
        </is>
      </c>
      <c r="N490" s="1374" t="inlineStr">
        <is>
          <t>smcdonald589@gmail.com</t>
        </is>
      </c>
      <c r="P490" s="1604" t="inlineStr">
        <is>
          <t>07792805622</t>
        </is>
      </c>
    </row>
    <row r="491">
      <c r="B491" s="1708" t="n">
        <v>46158</v>
      </c>
      <c r="C491" s="1697" t="inlineStr">
        <is>
          <t>Peak District Photography Workshops Padley Gorge</t>
        </is>
      </c>
      <c r="D491" s="1568" t="n"/>
      <c r="E491" s="1568" t="inlineStr">
        <is>
          <t>1 Day</t>
        </is>
      </c>
      <c r="F491" s="1568" t="inlineStr">
        <is>
          <t>Google</t>
        </is>
      </c>
      <c r="G491" s="1051" t="inlineStr">
        <is>
          <t>#03175</t>
        </is>
      </c>
      <c r="H491" s="785" t="n">
        <v>46003</v>
      </c>
      <c r="I491" s="1696" t="n">
        <v>150</v>
      </c>
      <c r="L491" s="1610" t="inlineStr">
        <is>
          <t>Laurice Karen</t>
        </is>
      </c>
      <c r="M491" s="1610" t="inlineStr">
        <is>
          <t>Cabais</t>
        </is>
      </c>
      <c r="N491" s="1374" t="inlineStr">
        <is>
          <t>ckarenlaurice@gmail.com</t>
        </is>
      </c>
      <c r="O491" s="1604" t="inlineStr">
        <is>
          <t>44</t>
        </is>
      </c>
      <c r="P491" s="1604" t="inlineStr">
        <is>
          <t>07802345004</t>
        </is>
      </c>
    </row>
    <row r="492">
      <c r="B492" s="1708" t="n">
        <v>46158</v>
      </c>
      <c r="C492" s="1568" t="inlineStr">
        <is>
          <t>Peak District Photography Workshops Padley Gorge + Tripod</t>
        </is>
      </c>
      <c r="D492" s="1568" t="n"/>
      <c r="E492" s="1568" t="inlineStr">
        <is>
          <t>1 Day</t>
        </is>
      </c>
      <c r="F492" s="1568" t="inlineStr">
        <is>
          <t>Into The Blue</t>
        </is>
      </c>
      <c r="G492" s="1051" t="inlineStr">
        <is>
          <t>2512030559</t>
        </is>
      </c>
      <c r="H492" s="785" t="n">
        <v>46024</v>
      </c>
      <c r="I492" s="1696" t="n">
        <v>120</v>
      </c>
      <c r="J492" s="1697" t="n">
        <v>0</v>
      </c>
      <c r="L492" s="1610" t="inlineStr">
        <is>
          <t>Lisa</t>
        </is>
      </c>
      <c r="M492" s="1610" t="inlineStr">
        <is>
          <t>Vincent</t>
        </is>
      </c>
      <c r="N492" s="1374" t="inlineStr">
        <is>
          <t>l.vincent@hotmail.co.uk</t>
        </is>
      </c>
      <c r="O492" s="1604" t="n"/>
      <c r="P492" s="1604" t="inlineStr">
        <is>
          <t>07934673812</t>
        </is>
      </c>
    </row>
    <row r="493">
      <c r="B493" s="1708" t="n">
        <v>46158</v>
      </c>
      <c r="C493" s="1697" t="inlineStr">
        <is>
          <t>Peak District Photography Workshops Padley Gorge</t>
        </is>
      </c>
      <c r="D493" s="1568" t="n"/>
      <c r="E493" s="1568" t="inlineStr">
        <is>
          <t>1 Day</t>
        </is>
      </c>
      <c r="F493" s="1568" t="inlineStr">
        <is>
          <t>Into The Blue</t>
        </is>
      </c>
      <c r="G493" s="1051" t="inlineStr">
        <is>
          <t>2511200136</t>
        </is>
      </c>
      <c r="H493" s="785" t="n">
        <v>46036</v>
      </c>
      <c r="I493" s="1696" t="n">
        <v>120</v>
      </c>
      <c r="J493" s="1697" t="n">
        <v>0</v>
      </c>
      <c r="L493" s="1610" t="inlineStr">
        <is>
          <t>David</t>
        </is>
      </c>
      <c r="M493" s="1610" t="inlineStr">
        <is>
          <t>Clarke</t>
        </is>
      </c>
      <c r="N493" s="1374" t="inlineStr">
        <is>
          <t>d_clarke@fastmail.fm</t>
        </is>
      </c>
      <c r="O493" s="1604" t="n"/>
      <c r="P493" s="1604" t="inlineStr">
        <is>
          <t>07342058814</t>
        </is>
      </c>
    </row>
    <row r="494">
      <c r="B494" s="1708" t="n">
        <v>46158</v>
      </c>
      <c r="C494" s="1697" t="inlineStr">
        <is>
          <t>Peak District Photography Workshops Padley Gorge</t>
        </is>
      </c>
      <c r="D494" s="1568" t="n"/>
      <c r="E494" s="1568" t="inlineStr">
        <is>
          <t>1 Day</t>
        </is>
      </c>
      <c r="F494" s="1568" t="inlineStr">
        <is>
          <t>Into The Blue</t>
        </is>
      </c>
      <c r="G494" s="1051" t="inlineStr">
        <is>
          <t>2604040178</t>
        </is>
      </c>
      <c r="H494" s="785" t="n">
        <v>46118</v>
      </c>
      <c r="I494" s="1696" t="n">
        <v>120</v>
      </c>
      <c r="J494" s="1697" t="n">
        <v>0</v>
      </c>
      <c r="L494" s="1610" t="inlineStr">
        <is>
          <t>Elizabeth</t>
        </is>
      </c>
      <c r="M494" s="1610" t="inlineStr">
        <is>
          <t>Newall</t>
        </is>
      </c>
      <c r="N494" s="1374" t="inlineStr">
        <is>
          <t>e_newall@yahoo.co.uk</t>
        </is>
      </c>
      <c r="O494" s="1604" t="n"/>
      <c r="P494" s="1604" t="inlineStr">
        <is>
          <t>07866122155</t>
        </is>
      </c>
    </row>
    <row r="495">
      <c r="B495" s="1708" t="n">
        <v>46158</v>
      </c>
      <c r="C495" s="1697" t="inlineStr">
        <is>
          <t>Peak District Photography Workshops Padley Gorge</t>
        </is>
      </c>
      <c r="D495" s="1568" t="n"/>
      <c r="E495" s="1568" t="inlineStr">
        <is>
          <t>1 Day</t>
        </is>
      </c>
      <c r="F495" s="1568" t="inlineStr">
        <is>
          <t>Into The Blue</t>
        </is>
      </c>
      <c r="G495" s="1051" t="inlineStr">
        <is>
          <t>;2604060617</t>
        </is>
      </c>
      <c r="H495" s="785" t="n">
        <v>46118</v>
      </c>
      <c r="I495" s="1696" t="n">
        <v>120</v>
      </c>
      <c r="J495" s="1697" t="n">
        <v>0</v>
      </c>
      <c r="L495" s="1610" t="inlineStr">
        <is>
          <t>Neil</t>
        </is>
      </c>
      <c r="M495" s="1610" t="inlineStr">
        <is>
          <t>Sturgess</t>
        </is>
      </c>
      <c r="N495" s="1374" t="inlineStr">
        <is>
          <t>neilst24@icloud.com</t>
        </is>
      </c>
      <c r="O495" s="1604" t="n"/>
      <c r="P495" s="1604" t="inlineStr">
        <is>
          <t>07795213620</t>
        </is>
      </c>
    </row>
    <row r="496">
      <c r="B496" s="1753" t="n">
        <v>45963</v>
      </c>
      <c r="C496" s="783" t="inlineStr">
        <is>
          <t>Peak District - Padley &amp; Bolehill</t>
        </is>
      </c>
      <c r="D496" s="783" t="inlineStr">
        <is>
          <t>2 Day</t>
        </is>
      </c>
      <c r="E496" s="1568" t="inlineStr">
        <is>
          <t>1 Day</t>
        </is>
      </c>
      <c r="F496" s="1750" t="inlineStr">
        <is>
          <t>JLR</t>
        </is>
      </c>
      <c r="G496" s="785" t="inlineStr">
        <is>
          <t>IIY#8212997615571kCu</t>
        </is>
      </c>
      <c r="H496" s="785" t="n">
        <v>45884</v>
      </c>
      <c r="I496" s="1750" t="n">
        <v>0</v>
      </c>
      <c r="J496" s="1750" t="n">
        <v>150</v>
      </c>
      <c r="K496" s="1705" t="n"/>
      <c r="L496" s="1706" t="inlineStr">
        <is>
          <t>Colin Whittaker</t>
        </is>
      </c>
      <c r="N496" s="1784" t="inlineStr">
        <is>
          <t>cwhitta1@jaguarlandrover.com</t>
        </is>
      </c>
      <c r="O496" s="1707" t="n"/>
      <c r="P496" s="1707" t="inlineStr">
        <is>
          <t>07473 068150</t>
        </is>
      </c>
      <c r="Q496" s="1374" t="inlineStr">
        <is>
          <t>colin.whittaker89@gmail.com</t>
        </is>
      </c>
      <c r="R496" s="1646" t="n"/>
    </row>
    <row r="497">
      <c r="B497" s="1753" t="n"/>
      <c r="C497" s="783" t="n"/>
      <c r="D497" s="783" t="n"/>
      <c r="E497" s="783" t="n"/>
      <c r="F497" s="1750" t="n"/>
      <c r="G497" s="785" t="n"/>
      <c r="H497" s="785" t="n"/>
      <c r="I497" s="1750" t="n"/>
      <c r="J497" s="1750" t="n"/>
      <c r="K497" s="1705" t="n"/>
      <c r="L497" s="1706" t="n"/>
      <c r="N497" s="1784" t="n"/>
      <c r="O497" s="1707" t="n"/>
      <c r="P497" s="1707" t="n"/>
      <c r="Q497" s="1374" t="n"/>
      <c r="R497" s="1646" t="n"/>
    </row>
    <row r="498">
      <c r="B498" s="1753" t="n"/>
      <c r="C498" s="783" t="n"/>
      <c r="D498" s="783" t="n"/>
      <c r="E498" s="783" t="n"/>
      <c r="F498" s="1750" t="n"/>
      <c r="G498" s="785" t="n"/>
      <c r="H498" s="785" t="n"/>
      <c r="I498" s="1750" t="n"/>
      <c r="J498" s="1750" t="n"/>
      <c r="K498" s="1705" t="n"/>
      <c r="L498" s="1706" t="n"/>
      <c r="N498" s="1784" t="n"/>
      <c r="O498" s="1707" t="n"/>
      <c r="P498" s="1707" t="n"/>
      <c r="Q498" s="1374" t="n"/>
      <c r="R498" s="1646" t="n"/>
    </row>
    <row r="499">
      <c r="B499" s="1753" t="n">
        <v>46159</v>
      </c>
      <c r="C499" s="1643" t="inlineStr">
        <is>
          <t>Garden Photography Workshop - Private Garden - Coventry</t>
        </is>
      </c>
      <c r="D499" s="1643" t="n"/>
      <c r="E499" s="1568" t="inlineStr">
        <is>
          <t>2hrs</t>
        </is>
      </c>
      <c r="F499" s="1568" t="inlineStr">
        <is>
          <t>JLR</t>
        </is>
      </c>
      <c r="G499" s="505" t="inlineStr">
        <is>
          <t>IIY#4906362443471QzR</t>
        </is>
      </c>
      <c r="H499" s="785" t="n">
        <v>45790</v>
      </c>
      <c r="I499" s="1696" t="n">
        <v>0</v>
      </c>
      <c r="J499" s="1697" t="n">
        <v>45</v>
      </c>
      <c r="L499" s="1711" t="inlineStr">
        <is>
          <t>Claudia Mathers</t>
        </is>
      </c>
      <c r="N499" s="1770" t="inlineStr">
        <is>
          <t>cmather6@jaguarlandrover.com</t>
        </is>
      </c>
    </row>
    <row r="501">
      <c r="B501" s="1708" t="n"/>
      <c r="D501" s="1568" t="n"/>
      <c r="E501" s="1568" t="n"/>
      <c r="F501" s="1568" t="n"/>
      <c r="G501" s="87" t="n"/>
      <c r="H501" s="785" t="n"/>
      <c r="L501" s="1610" t="n"/>
      <c r="N501" s="1770" t="n"/>
    </row>
    <row r="502">
      <c r="B502" s="1753" t="n">
        <v>46160</v>
      </c>
      <c r="C502" s="1697" t="inlineStr">
        <is>
          <t xml:space="preserve">CHESTERTON WINDMILL </t>
        </is>
      </c>
      <c r="D502" s="1568" t="n"/>
      <c r="E502" s="1568" t="inlineStr">
        <is>
          <t>2hrs</t>
        </is>
      </c>
      <c r="F502" s="1568" t="inlineStr">
        <is>
          <t>Existing</t>
        </is>
      </c>
      <c r="G502" s="87" t="inlineStr">
        <is>
          <t>#03207</t>
        </is>
      </c>
      <c r="H502" s="785" t="n">
        <v>46052</v>
      </c>
      <c r="I502" s="1696" t="n">
        <v>95</v>
      </c>
      <c r="K502" s="1568" t="inlineStr">
        <is>
          <t>Mrs</t>
        </is>
      </c>
      <c r="L502" s="1610" t="inlineStr">
        <is>
          <t>Jo</t>
        </is>
      </c>
      <c r="M502" s="1610" t="inlineStr">
        <is>
          <t>Galloway</t>
        </is>
      </c>
      <c r="N502" s="1374" t="inlineStr">
        <is>
          <t xml:space="preserve">joannegalloway2003@yahoo.co.uk </t>
        </is>
      </c>
      <c r="O502" s="1604" t="inlineStr">
        <is>
          <t>66</t>
        </is>
      </c>
      <c r="P502" s="1604" t="inlineStr">
        <is>
          <t xml:space="preserve">07974437317 </t>
        </is>
      </c>
    </row>
    <row r="503">
      <c r="B503" s="1708" t="n"/>
      <c r="D503" s="1568" t="n"/>
      <c r="E503" s="1568" t="n"/>
      <c r="F503" s="1568" t="n"/>
      <c r="G503" s="87" t="n"/>
      <c r="H503" s="785" t="n"/>
      <c r="K503" s="1568" t="n"/>
      <c r="L503" s="1610" t="n"/>
      <c r="M503" s="1610" t="n"/>
      <c r="N503" s="1374" t="n"/>
      <c r="O503" s="1604" t="n"/>
      <c r="P503" s="1604" t="n"/>
    </row>
    <row r="504">
      <c r="A504" s="1568" t="inlineStr">
        <is>
          <t>Transferred from Batsdford when rained off</t>
        </is>
      </c>
      <c r="B504" s="1708" t="n">
        <v>46171</v>
      </c>
      <c r="C504" s="783" t="inlineStr">
        <is>
          <t>Sezincote Gardens</t>
        </is>
      </c>
      <c r="D504" s="1568" t="inlineStr">
        <is>
          <t>11:00 - 13:30</t>
        </is>
      </c>
      <c r="E504" s="1568" t="inlineStr">
        <is>
          <t>2.5hrs</t>
        </is>
      </c>
      <c r="F504" s="1568" t="inlineStr">
        <is>
          <t>Sezincote</t>
        </is>
      </c>
      <c r="G504" s="87" t="inlineStr">
        <is>
          <t>#03130</t>
        </is>
      </c>
      <c r="H504" s="785" t="n">
        <v>45943</v>
      </c>
      <c r="I504" s="1696" t="n">
        <v>55</v>
      </c>
      <c r="K504" s="1568" t="inlineStr">
        <is>
          <t>Mrs</t>
        </is>
      </c>
      <c r="L504" s="1711" t="inlineStr">
        <is>
          <t>Salome Snook</t>
        </is>
      </c>
      <c r="N504" s="1374" t="inlineStr">
        <is>
          <t>salome@sylimited.com</t>
        </is>
      </c>
      <c r="O504" s="1604" t="inlineStr">
        <is>
          <t>58</t>
        </is>
      </c>
      <c r="P504" s="1604" t="inlineStr">
        <is>
          <t>07793739081</t>
        </is>
      </c>
    </row>
    <row r="505">
      <c r="A505" s="1568" t="inlineStr">
        <is>
          <t>Transferred from Batsdford when rained off</t>
        </is>
      </c>
      <c r="B505" s="1708" t="n">
        <v>46171</v>
      </c>
      <c r="C505" s="783" t="inlineStr">
        <is>
          <t>Sezincote Gardens</t>
        </is>
      </c>
      <c r="D505" s="1568" t="inlineStr">
        <is>
          <t>11:00 - 13:30</t>
        </is>
      </c>
      <c r="E505" s="1568" t="inlineStr">
        <is>
          <t>2.5hrs</t>
        </is>
      </c>
      <c r="F505" s="1568" t="inlineStr">
        <is>
          <t>Sezincote</t>
        </is>
      </c>
      <c r="G505" s="87" t="inlineStr">
        <is>
          <t>#03129</t>
        </is>
      </c>
      <c r="H505" s="785" t="n">
        <v>45943</v>
      </c>
      <c r="I505" s="1696" t="n">
        <v>55</v>
      </c>
      <c r="K505" s="1568" t="inlineStr">
        <is>
          <t>Ms</t>
        </is>
      </c>
      <c r="L505" s="1711" t="inlineStr">
        <is>
          <t>Lindsay Best</t>
        </is>
      </c>
      <c r="N505" s="1374" t="inlineStr">
        <is>
          <t>lindsay_j_best@hotmail.com</t>
        </is>
      </c>
      <c r="O505" s="1604" t="inlineStr">
        <is>
          <t>51</t>
        </is>
      </c>
      <c r="P505" s="1604" t="inlineStr">
        <is>
          <t>07811212041</t>
        </is>
      </c>
    </row>
    <row r="506">
      <c r="A506" s="1568" t="inlineStr">
        <is>
          <t>Transferred from Urban Arch 16 Apr</t>
        </is>
      </c>
      <c r="B506" s="1708" t="n">
        <v>46171</v>
      </c>
      <c r="C506" s="783" t="inlineStr">
        <is>
          <t>Sezincote Gardens</t>
        </is>
      </c>
      <c r="D506" s="1568" t="inlineStr">
        <is>
          <t>11:00 - 13:30</t>
        </is>
      </c>
      <c r="E506" s="783" t="inlineStr">
        <is>
          <t>2.5hrs</t>
        </is>
      </c>
      <c r="F506" s="1568" t="inlineStr">
        <is>
          <t>Existing</t>
        </is>
      </c>
      <c r="G506" s="87" t="inlineStr">
        <is>
          <t>#03199</t>
        </is>
      </c>
      <c r="H506" s="785" t="n">
        <v>46040</v>
      </c>
      <c r="I506" s="1696" t="n">
        <v>50</v>
      </c>
      <c r="J506" s="1697" t="n">
        <v>0</v>
      </c>
      <c r="K506" s="1568" t="inlineStr">
        <is>
          <t>Mr</t>
        </is>
      </c>
      <c r="L506" s="1610" t="inlineStr">
        <is>
          <t>David</t>
        </is>
      </c>
      <c r="M506" s="1610" t="inlineStr">
        <is>
          <t>Pitt</t>
        </is>
      </c>
      <c r="N506" s="1374" t="inlineStr">
        <is>
          <t xml:space="preserve">dlpitt@btinternet.com </t>
        </is>
      </c>
      <c r="O506" s="1604" t="inlineStr">
        <is>
          <t>72</t>
        </is>
      </c>
      <c r="P506" s="1604" t="inlineStr">
        <is>
          <t>07956604384</t>
        </is>
      </c>
    </row>
    <row r="507">
      <c r="A507" s="1568" t="n"/>
      <c r="B507" s="1708" t="n"/>
      <c r="C507" s="783" t="n"/>
      <c r="D507" s="1568" t="n"/>
      <c r="E507" s="1568" t="n"/>
      <c r="F507" s="1568" t="n"/>
      <c r="G507" s="87" t="n"/>
      <c r="H507" s="785" t="n"/>
      <c r="K507" s="1568" t="n"/>
      <c r="N507" s="1374" t="n"/>
      <c r="O507" s="1604" t="n"/>
      <c r="P507" s="1604" t="n"/>
    </row>
    <row r="508">
      <c r="A508" s="1568" t="n"/>
    </row>
    <row r="509">
      <c r="A509" s="1568" t="n"/>
      <c r="B509" s="1708" t="n"/>
      <c r="C509" s="783" t="n"/>
      <c r="D509" s="1568" t="n"/>
      <c r="E509" s="1568" t="n"/>
      <c r="F509" s="1568" t="n"/>
      <c r="G509" s="87" t="n"/>
      <c r="H509" s="785" t="n"/>
      <c r="K509" s="1568" t="n"/>
      <c r="N509" s="1374" t="n"/>
      <c r="O509" s="1604" t="n"/>
      <c r="P509" s="1604" t="n"/>
    </row>
    <row r="510">
      <c r="A510" s="1568" t="n"/>
      <c r="B510" s="1708" t="n"/>
      <c r="C510" s="783" t="n"/>
      <c r="D510" s="1568" t="n"/>
      <c r="E510" s="1568" t="n"/>
      <c r="F510" s="1568" t="n"/>
      <c r="G510" s="87" t="n"/>
      <c r="H510" s="785" t="n"/>
      <c r="K510" s="1568" t="n"/>
      <c r="N510" s="1374" t="n"/>
      <c r="O510" s="1604" t="n"/>
      <c r="P510" s="1604" t="n"/>
    </row>
    <row r="511">
      <c r="B511" s="1708" t="n"/>
      <c r="D511" s="1568" t="n"/>
      <c r="E511" s="1568" t="n"/>
      <c r="F511" s="1568" t="n"/>
      <c r="H511" s="785" t="n"/>
      <c r="N511" s="1770" t="n"/>
    </row>
    <row r="512">
      <c r="B512" s="1708" t="n">
        <v>46207</v>
      </c>
      <c r="C512" s="1697" t="inlineStr">
        <is>
          <t xml:space="preserve">LAVENDER FIELD </t>
        </is>
      </c>
      <c r="D512" s="1568" t="n"/>
      <c r="E512" s="1568" t="inlineStr">
        <is>
          <t>3hrs</t>
        </is>
      </c>
      <c r="F512" s="1568" t="inlineStr">
        <is>
          <t>Batsford</t>
        </is>
      </c>
      <c r="G512" s="87" t="inlineStr">
        <is>
          <t>#03128</t>
        </is>
      </c>
      <c r="H512" s="785" t="n">
        <v>45941</v>
      </c>
      <c r="I512" s="1696" t="n">
        <v>99</v>
      </c>
      <c r="J512" s="1697" t="n">
        <v>51</v>
      </c>
      <c r="K512" s="1568" t="inlineStr">
        <is>
          <t xml:space="preserve">Mr </t>
        </is>
      </c>
      <c r="L512" s="1610" t="inlineStr">
        <is>
          <t>Mark Denning</t>
        </is>
      </c>
      <c r="M512" s="1610" t="n"/>
      <c r="N512" s="1374" t="inlineStr">
        <is>
          <t>mrhdenning@gmail.com</t>
        </is>
      </c>
      <c r="O512" s="1604" t="inlineStr">
        <is>
          <t>68</t>
        </is>
      </c>
      <c r="P512" s="1604" t="inlineStr">
        <is>
          <t>07801749415</t>
        </is>
      </c>
    </row>
    <row r="513">
      <c r="B513" s="1708" t="n">
        <v>46207</v>
      </c>
      <c r="C513" s="1697" t="inlineStr">
        <is>
          <t xml:space="preserve">LAVENDER FIELD </t>
        </is>
      </c>
      <c r="D513" s="1568" t="n"/>
      <c r="E513" s="1568" t="n"/>
      <c r="F513" s="1568" t="inlineStr">
        <is>
          <t>Exiting</t>
        </is>
      </c>
      <c r="G513" s="87" t="inlineStr">
        <is>
          <t>#03207</t>
        </is>
      </c>
      <c r="H513" s="785" t="n">
        <v>46052</v>
      </c>
      <c r="I513" s="1696" t="n">
        <v>150</v>
      </c>
      <c r="K513" s="1568" t="inlineStr">
        <is>
          <t>Mrs</t>
        </is>
      </c>
      <c r="L513" s="1610" t="inlineStr">
        <is>
          <t>Jo</t>
        </is>
      </c>
      <c r="M513" s="1610" t="inlineStr">
        <is>
          <t>Galloway</t>
        </is>
      </c>
      <c r="N513" s="1374" t="inlineStr">
        <is>
          <t xml:space="preserve">joannegalloway2003@yahoo.co.uk </t>
        </is>
      </c>
      <c r="O513" s="1604" t="inlineStr">
        <is>
          <t>66</t>
        </is>
      </c>
      <c r="P513" s="1604" t="inlineStr">
        <is>
          <t xml:space="preserve">07974437317 </t>
        </is>
      </c>
    </row>
    <row r="514">
      <c r="B514" s="1708" t="n"/>
      <c r="D514" s="1568" t="n"/>
      <c r="E514" s="1568" t="n"/>
      <c r="F514" s="1568" t="n"/>
      <c r="G514" s="87" t="n"/>
      <c r="H514" s="785" t="n"/>
      <c r="K514" s="1568" t="n"/>
      <c r="L514" s="1610" t="n"/>
      <c r="M514" s="1610" t="n"/>
      <c r="N514" s="1374" t="n"/>
      <c r="O514" s="1604" t="n"/>
      <c r="P514" s="1604" t="n"/>
    </row>
    <row r="515">
      <c r="B515" s="1708" t="n"/>
      <c r="D515" s="1568" t="n"/>
      <c r="E515" s="1568" t="n"/>
      <c r="F515" s="1568" t="n"/>
      <c r="G515" s="87" t="n"/>
      <c r="H515" s="785" t="n"/>
      <c r="K515" s="1568" t="n"/>
      <c r="L515" s="1610" t="n"/>
      <c r="M515" s="1610" t="n"/>
      <c r="N515" s="1374" t="n"/>
      <c r="O515" s="1604" t="n"/>
      <c r="P515" s="1604" t="n"/>
    </row>
    <row r="516">
      <c r="B516" s="1708" t="n">
        <v>46214</v>
      </c>
      <c r="C516" s="1697" t="inlineStr">
        <is>
          <t xml:space="preserve">LAVENDER FIELD </t>
        </is>
      </c>
      <c r="D516" s="1568" t="n"/>
      <c r="E516" s="1568" t="inlineStr">
        <is>
          <t>3hrs</t>
        </is>
      </c>
      <c r="F516" s="1568" t="inlineStr">
        <is>
          <t>Existing</t>
        </is>
      </c>
      <c r="G516" s="87" t="inlineStr">
        <is>
          <t>#03148</t>
        </is>
      </c>
      <c r="H516" s="785" t="n">
        <v>45963</v>
      </c>
      <c r="I516" s="1696" t="n">
        <v>150</v>
      </c>
      <c r="J516" s="1697" t="n">
        <v>0</v>
      </c>
      <c r="K516" s="1568" t="inlineStr">
        <is>
          <t>Mr</t>
        </is>
      </c>
      <c r="L516" s="1610" t="inlineStr">
        <is>
          <t>Simon Whitehouse</t>
        </is>
      </c>
      <c r="M516" s="1610" t="n"/>
      <c r="N516" s="1374" t="inlineStr">
        <is>
          <t>simonwhitehouse6@gmail.com</t>
        </is>
      </c>
      <c r="O516" s="1604" t="inlineStr">
        <is>
          <t>60</t>
        </is>
      </c>
      <c r="P516" s="1604" t="inlineStr">
        <is>
          <t>07946864179</t>
        </is>
      </c>
    </row>
    <row r="517">
      <c r="B517" s="1708" t="n">
        <v>46214</v>
      </c>
      <c r="C517" s="1697" t="inlineStr">
        <is>
          <t xml:space="preserve">LAVENDER FIELD </t>
        </is>
      </c>
      <c r="D517" s="1568" t="n"/>
      <c r="E517" s="1568" t="inlineStr">
        <is>
          <t>3hrs</t>
        </is>
      </c>
      <c r="F517" s="1568" t="inlineStr">
        <is>
          <t>Existing</t>
        </is>
      </c>
      <c r="G517" s="87" t="inlineStr">
        <is>
          <t>#03244</t>
        </is>
      </c>
      <c r="H517" s="785" t="n">
        <v>46118</v>
      </c>
      <c r="I517" s="1696" t="n">
        <v>150</v>
      </c>
      <c r="K517" s="1568" t="inlineStr">
        <is>
          <t>Mr</t>
        </is>
      </c>
      <c r="L517" s="1610" t="inlineStr">
        <is>
          <t>Geraint Williams</t>
        </is>
      </c>
      <c r="M517" s="1610" t="n"/>
      <c r="N517" s="1374" t="inlineStr">
        <is>
          <t>geraintgeester@gmail.com</t>
        </is>
      </c>
      <c r="O517" s="1604" t="inlineStr">
        <is>
          <t>62</t>
        </is>
      </c>
      <c r="P517" s="1604" t="inlineStr">
        <is>
          <t>07803600862</t>
        </is>
      </c>
    </row>
    <row r="518">
      <c r="B518" s="1708" t="n"/>
      <c r="D518" s="1568" t="n"/>
      <c r="E518" s="1568" t="n"/>
      <c r="F518" s="1568" t="n"/>
      <c r="G518" s="87" t="n"/>
      <c r="H518" s="785" t="n"/>
      <c r="K518" s="1568" t="n"/>
      <c r="L518" s="1610" t="n"/>
      <c r="M518" s="1610" t="n"/>
      <c r="N518" s="1374" t="n"/>
      <c r="O518" s="1604" t="n"/>
      <c r="P518" s="1604" t="n"/>
    </row>
    <row r="519">
      <c r="B519" s="1708" t="n">
        <v>46215</v>
      </c>
      <c r="C519" s="1697" t="inlineStr">
        <is>
          <t>Garden Photography Workshop - Private Garden - Coventry</t>
        </is>
      </c>
      <c r="D519" s="1568" t="n"/>
      <c r="E519" s="1568" t="inlineStr">
        <is>
          <t>2hrs</t>
        </is>
      </c>
      <c r="F519" s="1568" t="inlineStr">
        <is>
          <t>Existing</t>
        </is>
      </c>
      <c r="G519" s="87" t="inlineStr">
        <is>
          <t>#03244</t>
        </is>
      </c>
      <c r="H519" s="785" t="n">
        <v>46118</v>
      </c>
      <c r="I519" s="1696" t="n">
        <v>35</v>
      </c>
      <c r="K519" s="1568" t="inlineStr">
        <is>
          <t>Mr</t>
        </is>
      </c>
      <c r="L519" s="1610" t="inlineStr">
        <is>
          <t>Geraint Williams</t>
        </is>
      </c>
      <c r="M519" s="1610" t="n"/>
      <c r="N519" s="1374" t="inlineStr">
        <is>
          <t>geraintgeester@gmail.com</t>
        </is>
      </c>
      <c r="O519" s="1604" t="inlineStr">
        <is>
          <t>62</t>
        </is>
      </c>
      <c r="P519" s="1604" t="inlineStr">
        <is>
          <t>07803600862</t>
        </is>
      </c>
    </row>
    <row r="520">
      <c r="B520" s="1708" t="n">
        <v>46215</v>
      </c>
      <c r="C520" s="1697" t="inlineStr">
        <is>
          <t>Garden Photography Workshop - Private Garden - Coventry</t>
        </is>
      </c>
      <c r="D520" s="1568" t="n"/>
      <c r="E520" s="1568" t="inlineStr">
        <is>
          <t>2hrs</t>
        </is>
      </c>
      <c r="F520" s="1568" t="inlineStr">
        <is>
          <t>Existing</t>
        </is>
      </c>
      <c r="G520" s="87" t="inlineStr">
        <is>
          <t>#03187</t>
        </is>
      </c>
      <c r="H520" s="785" t="n">
        <v>46028</v>
      </c>
      <c r="I520" s="1696" t="n">
        <v>35</v>
      </c>
      <c r="L520" s="1610" t="inlineStr">
        <is>
          <t>Caroline</t>
        </is>
      </c>
      <c r="M520" s="1711" t="inlineStr">
        <is>
          <t>Durk</t>
        </is>
      </c>
      <c r="N520" s="1770" t="inlineStr">
        <is>
          <t>caroline@durk.org.uk</t>
        </is>
      </c>
      <c r="P520" s="1697" t="inlineStr">
        <is>
          <t>07751166468</t>
        </is>
      </c>
    </row>
    <row r="521">
      <c r="B521" s="1708" t="n"/>
      <c r="D521" s="1568" t="n"/>
      <c r="E521" s="1568" t="n"/>
      <c r="F521" s="1568" t="n"/>
      <c r="G521" s="87" t="n"/>
      <c r="H521" s="785" t="n"/>
      <c r="L521" s="1610" t="n"/>
      <c r="N521" s="1770" t="n"/>
    </row>
    <row r="522">
      <c r="B522" s="1708" t="n">
        <v>46235</v>
      </c>
      <c r="C522" s="1646" t="inlineStr">
        <is>
          <t>Long Exposure Photography Workshop - Burnham on Sea Sunset</t>
        </is>
      </c>
      <c r="D522" s="1646" t="n"/>
      <c r="E522" s="1568" t="inlineStr">
        <is>
          <t>3hrs</t>
        </is>
      </c>
      <c r="F522" s="1568" t="inlineStr">
        <is>
          <t>JLR</t>
        </is>
      </c>
      <c r="G522" s="505" t="inlineStr">
        <is>
          <t>IIY#9619352208571uWc</t>
        </is>
      </c>
      <c r="H522" s="785" t="n"/>
      <c r="J522" s="1697" t="n">
        <v>95</v>
      </c>
      <c r="L522" s="1610" t="inlineStr">
        <is>
          <t>Tom</t>
        </is>
      </c>
      <c r="M522" s="1610" t="inlineStr">
        <is>
          <t>Eagles</t>
        </is>
      </c>
      <c r="N522" s="1374" t="inlineStr">
        <is>
          <t>teagles2@jaguarlandrover.com</t>
        </is>
      </c>
      <c r="P522" s="1604" t="inlineStr">
        <is>
          <t>07878644776</t>
        </is>
      </c>
    </row>
    <row r="523">
      <c r="B523" s="1708" t="n">
        <v>46235</v>
      </c>
      <c r="C523" s="1646" t="inlineStr">
        <is>
          <t>Long Exposure Photography Workshop - Burnham on Sea Sunset</t>
        </is>
      </c>
      <c r="D523" s="1646" t="n"/>
      <c r="E523" s="1568" t="inlineStr">
        <is>
          <t>3hrs</t>
        </is>
      </c>
      <c r="F523" s="1568" t="inlineStr">
        <is>
          <t>Exiting</t>
        </is>
      </c>
      <c r="G523" s="87" t="inlineStr">
        <is>
          <t>#03207</t>
        </is>
      </c>
      <c r="H523" s="785" t="n">
        <v>46052</v>
      </c>
      <c r="I523" s="1696" t="n">
        <v>95</v>
      </c>
      <c r="K523" s="1568" t="inlineStr">
        <is>
          <t>Mrs</t>
        </is>
      </c>
      <c r="L523" s="1610" t="inlineStr">
        <is>
          <t>Jo</t>
        </is>
      </c>
      <c r="M523" s="1610" t="inlineStr">
        <is>
          <t>Galloway</t>
        </is>
      </c>
      <c r="N523" s="1374" t="inlineStr">
        <is>
          <t xml:space="preserve">joannegalloway2003@yahoo.co.uk </t>
        </is>
      </c>
      <c r="O523" s="1604" t="inlineStr">
        <is>
          <t>66</t>
        </is>
      </c>
      <c r="P523" s="1604" t="inlineStr">
        <is>
          <t xml:space="preserve">07974437317 </t>
        </is>
      </c>
    </row>
    <row r="524">
      <c r="B524" s="1708" t="n"/>
      <c r="D524" s="1568" t="n"/>
      <c r="E524" s="1568" t="n"/>
      <c r="F524" s="1568" t="n"/>
      <c r="G524" s="87" t="n"/>
      <c r="H524" s="785" t="n"/>
      <c r="K524" s="1568" t="n"/>
      <c r="L524" s="1610" t="n"/>
      <c r="M524" s="1610" t="n"/>
      <c r="N524" s="1374" t="n"/>
      <c r="O524" s="1604" t="n"/>
      <c r="P524" s="1604" t="n"/>
    </row>
    <row r="525">
      <c r="B525" s="1708" t="n">
        <v>46236</v>
      </c>
      <c r="C525" s="1697" t="inlineStr">
        <is>
          <t>The Secret of WOODLAND PHOTOGRAPHY-</t>
        </is>
      </c>
      <c r="D525" s="1568" t="n"/>
      <c r="E525" s="1568" t="inlineStr">
        <is>
          <t>1 day</t>
        </is>
      </c>
      <c r="F525" s="1568" t="inlineStr">
        <is>
          <t>Google</t>
        </is>
      </c>
      <c r="G525" s="87" t="inlineStr">
        <is>
          <t>#03249</t>
        </is>
      </c>
      <c r="H525" s="785" t="n">
        <v>46120</v>
      </c>
      <c r="I525" s="1696" t="n">
        <v>125</v>
      </c>
      <c r="K525" s="1568" t="inlineStr">
        <is>
          <t>Mrs</t>
        </is>
      </c>
      <c r="L525" s="1610" t="inlineStr">
        <is>
          <t>Regina</t>
        </is>
      </c>
      <c r="M525" s="1610" t="inlineStr">
        <is>
          <t>Asimadi</t>
        </is>
      </c>
      <c r="N525" s="1374" t="inlineStr">
        <is>
          <t>regina.asimadi@gmail.com</t>
        </is>
      </c>
      <c r="O525" s="1604" t="inlineStr">
        <is>
          <t>34</t>
        </is>
      </c>
      <c r="P525" s="1604" t="inlineStr">
        <is>
          <t>07930992743</t>
        </is>
      </c>
    </row>
    <row r="526">
      <c r="B526" s="1708" t="n"/>
      <c r="D526" s="1568" t="n"/>
      <c r="E526" s="1568" t="n"/>
      <c r="F526" s="1568" t="n"/>
      <c r="G526" s="87" t="n"/>
      <c r="H526" s="785" t="n"/>
      <c r="K526" s="1568" t="n"/>
      <c r="L526" s="1610" t="n"/>
      <c r="M526" s="1610" t="n"/>
      <c r="N526" s="1374" t="n"/>
      <c r="O526" s="1604" t="n"/>
      <c r="P526" s="1604" t="n"/>
    </row>
    <row r="527">
      <c r="B527" s="1708" t="n">
        <v>46269</v>
      </c>
      <c r="C527" s="1568" t="inlineStr">
        <is>
          <t>Hartland Quay - devon</t>
        </is>
      </c>
      <c r="D527" s="1568" t="n"/>
      <c r="E527" s="1568" t="inlineStr">
        <is>
          <t>3 days</t>
        </is>
      </c>
      <c r="F527" s="1568" t="inlineStr">
        <is>
          <t>Referral</t>
        </is>
      </c>
      <c r="G527" s="87" t="inlineStr">
        <is>
          <t>#03189</t>
        </is>
      </c>
      <c r="H527" s="785" t="n">
        <v>46029</v>
      </c>
      <c r="I527" s="1696" t="n">
        <v>775</v>
      </c>
      <c r="J527" s="1697" t="n">
        <v>0</v>
      </c>
      <c r="K527" s="1568" t="n"/>
      <c r="L527" s="1610" t="inlineStr">
        <is>
          <t>Penelope Ulander</t>
        </is>
      </c>
      <c r="M527" s="1610" t="n"/>
      <c r="N527" s="1374" t="inlineStr">
        <is>
          <t>pennyulander@gmail.com</t>
        </is>
      </c>
      <c r="O527" s="1604" t="inlineStr">
        <is>
          <t>63</t>
        </is>
      </c>
      <c r="P527" s="1604" t="inlineStr">
        <is>
          <t>6199169048</t>
        </is>
      </c>
      <c r="Q527" s="1568" t="inlineStr">
        <is>
          <t>USA</t>
        </is>
      </c>
    </row>
    <row r="528">
      <c r="B528" s="1708" t="n">
        <v>46269</v>
      </c>
      <c r="C528" s="1568" t="inlineStr">
        <is>
          <t>Hartland Quay - devon</t>
        </is>
      </c>
      <c r="D528" s="1568" t="inlineStr">
        <is>
          <t>Plus Thursday 3rd Sep</t>
        </is>
      </c>
      <c r="E528" s="1568" t="inlineStr">
        <is>
          <t>3 days</t>
        </is>
      </c>
      <c r="F528" s="1568" t="inlineStr">
        <is>
          <t>Existing</t>
        </is>
      </c>
      <c r="G528" s="87" t="inlineStr">
        <is>
          <t>#03251</t>
        </is>
      </c>
      <c r="H528" s="785" t="n">
        <v>46124</v>
      </c>
      <c r="I528" s="1696" t="n">
        <v>775</v>
      </c>
      <c r="K528" s="1568" t="inlineStr">
        <is>
          <t>Mr</t>
        </is>
      </c>
      <c r="L528" s="1610" t="inlineStr">
        <is>
          <t>Peter Orton</t>
        </is>
      </c>
      <c r="M528" s="1610" t="n"/>
      <c r="N528" s="1374" t="inlineStr">
        <is>
          <t>Peter-Orton@msn.com</t>
        </is>
      </c>
      <c r="O528" s="1604" t="n"/>
      <c r="P528" s="1604" t="inlineStr">
        <is>
          <t>07511175288</t>
        </is>
      </c>
      <c r="Q528" s="1568" t="n"/>
    </row>
    <row r="529">
      <c r="B529" s="1708" t="n">
        <v>46269</v>
      </c>
      <c r="C529" s="1568" t="inlineStr">
        <is>
          <t>Hartland Quay - devon</t>
        </is>
      </c>
      <c r="D529" s="1643" t="n"/>
      <c r="E529" s="1643" t="inlineStr">
        <is>
          <t>4 Days</t>
        </is>
      </c>
      <c r="F529" s="1643" t="inlineStr">
        <is>
          <t>Goolge</t>
        </is>
      </c>
      <c r="G529" s="608" t="inlineStr">
        <is>
          <t>#03035</t>
        </is>
      </c>
      <c r="H529" s="904" t="n">
        <v>45858</v>
      </c>
      <c r="I529" s="1645" t="n">
        <v>895</v>
      </c>
      <c r="J529" s="1697" t="n">
        <v>0</v>
      </c>
      <c r="K529" s="1568" t="inlineStr">
        <is>
          <t>Mr</t>
        </is>
      </c>
      <c r="L529" s="1610" t="inlineStr">
        <is>
          <t>Mike Murphy</t>
        </is>
      </c>
      <c r="M529" s="1610" t="inlineStr">
        <is>
          <t>Murphy</t>
        </is>
      </c>
      <c r="N529" s="1374" t="inlineStr">
        <is>
          <t>mike_murphy21@hotmail.com</t>
        </is>
      </c>
      <c r="O529" s="1604" t="inlineStr">
        <is>
          <t>69</t>
        </is>
      </c>
      <c r="P529" s="1604" t="inlineStr">
        <is>
          <t>07802627187</t>
        </is>
      </c>
      <c r="Q529" s="1697" t="inlineStr">
        <is>
          <t>SS7 1RD</t>
        </is>
      </c>
      <c r="R529" s="1697" t="inlineStr">
        <is>
          <t>11 Sheridan Avenue</t>
        </is>
      </c>
      <c r="S529" s="1568" t="inlineStr">
        <is>
          <t>Benfleet</t>
        </is>
      </c>
    </row>
    <row r="530">
      <c r="B530" s="1708" t="n">
        <v>46269</v>
      </c>
      <c r="C530" s="1568" t="inlineStr">
        <is>
          <t>Hartland Quay - devon</t>
        </is>
      </c>
      <c r="D530" s="1568" t="n"/>
      <c r="E530" s="1568" t="inlineStr">
        <is>
          <t>3 days</t>
        </is>
      </c>
      <c r="F530" s="1568" t="inlineStr">
        <is>
          <t>Goolge</t>
        </is>
      </c>
      <c r="G530" s="87" t="inlineStr">
        <is>
          <t>#03270</t>
        </is>
      </c>
      <c r="H530" s="785" t="n">
        <v>46139</v>
      </c>
      <c r="I530" s="1696" t="n">
        <v>775</v>
      </c>
      <c r="J530" s="1697" t="n">
        <v>0</v>
      </c>
      <c r="K530" s="1568" t="inlineStr">
        <is>
          <t>Dr</t>
        </is>
      </c>
      <c r="L530" s="1610" t="inlineStr">
        <is>
          <t>Mike Elliot</t>
        </is>
      </c>
      <c r="M530" s="1610" t="n"/>
      <c r="N530" s="1374" t="inlineStr">
        <is>
          <t>mikeelliott74@outlook.com</t>
        </is>
      </c>
      <c r="O530" s="1604" t="inlineStr">
        <is>
          <t>;52</t>
        </is>
      </c>
      <c r="P530" s="1604" t="inlineStr">
        <is>
          <t>07880095315</t>
        </is>
      </c>
      <c r="Q530" s="1568" t="inlineStr">
        <is>
          <t>OX25 5PD</t>
        </is>
      </c>
      <c r="R530" s="87" t="n"/>
      <c r="S530" s="1568" t="n"/>
    </row>
    <row r="531">
      <c r="B531" s="1708" t="n"/>
      <c r="C531" s="1568" t="n"/>
      <c r="D531" s="1568" t="n"/>
      <c r="E531" s="1568" t="n"/>
      <c r="F531" s="1568" t="n"/>
      <c r="G531" s="87" t="n"/>
      <c r="H531" s="785" t="n"/>
      <c r="K531" s="1568" t="n"/>
      <c r="L531" s="1610" t="n"/>
      <c r="M531" s="1610" t="n"/>
      <c r="N531" s="1374" t="n"/>
      <c r="O531" s="1604" t="n"/>
      <c r="P531" s="1604" t="n"/>
      <c r="Q531" s="1568" t="n"/>
    </row>
    <row r="532">
      <c r="B532" s="1708" t="n">
        <v>46274</v>
      </c>
      <c r="C532" s="1568" t="inlineStr">
        <is>
          <t>Urban Architecture - Coventry</t>
        </is>
      </c>
      <c r="D532" s="1568" t="n"/>
      <c r="E532" s="1568" t="inlineStr">
        <is>
          <t>2hrs</t>
        </is>
      </c>
      <c r="F532" s="1568" t="inlineStr">
        <is>
          <t>Referral</t>
        </is>
      </c>
      <c r="G532" s="87" t="inlineStr">
        <is>
          <t>#03264</t>
        </is>
      </c>
      <c r="H532" s="785" t="n">
        <v>46135</v>
      </c>
      <c r="I532" s="1696" t="n">
        <v>50</v>
      </c>
      <c r="J532" s="1697" t="n">
        <v>0</v>
      </c>
      <c r="K532" s="1568" t="inlineStr">
        <is>
          <t>Mr</t>
        </is>
      </c>
      <c r="L532" s="1610" t="inlineStr">
        <is>
          <t>Matthew Glasgow</t>
        </is>
      </c>
      <c r="M532" s="1610" t="n"/>
      <c r="N532" s="1374" t="inlineStr">
        <is>
          <t>matthewjohnglasgow@hotmail.com</t>
        </is>
      </c>
      <c r="O532" s="1604" t="inlineStr">
        <is>
          <t>42</t>
        </is>
      </c>
      <c r="P532" s="1604" t="inlineStr">
        <is>
          <t>07791539678</t>
        </is>
      </c>
      <c r="Q532" s="1568" t="n"/>
    </row>
    <row r="533">
      <c r="B533" s="1708" t="n"/>
      <c r="C533" s="1568" t="n"/>
      <c r="D533" s="1568" t="n"/>
      <c r="E533" s="1568" t="n"/>
      <c r="F533" s="1568" t="n"/>
      <c r="G533" s="87" t="n"/>
      <c r="H533" s="785" t="n"/>
      <c r="K533" s="1568" t="n"/>
      <c r="L533" s="1610" t="n"/>
      <c r="M533" s="1610" t="n"/>
      <c r="N533" s="1374" t="n"/>
      <c r="O533" s="1604" t="n"/>
      <c r="P533" s="1604" t="n"/>
      <c r="Q533" s="1568" t="n"/>
    </row>
    <row r="534">
      <c r="B534" s="1708" t="n"/>
      <c r="C534" s="1568" t="n"/>
      <c r="D534" s="1568" t="n"/>
      <c r="E534" s="1568" t="n"/>
      <c r="F534" s="1568" t="n"/>
      <c r="G534" s="87" t="n"/>
      <c r="H534" s="785" t="n"/>
      <c r="K534" s="1568" t="n"/>
      <c r="L534" s="1610" t="n"/>
      <c r="M534" s="1610" t="n"/>
      <c r="N534" s="1374" t="n"/>
      <c r="O534" s="1604" t="n"/>
      <c r="P534" s="1604" t="n"/>
      <c r="Q534" s="1568" t="n"/>
    </row>
    <row r="535">
      <c r="B535" s="1708" t="n">
        <v>46291</v>
      </c>
      <c r="C535" s="1568" t="inlineStr">
        <is>
          <t>Fairy Glen</t>
        </is>
      </c>
      <c r="D535" s="1568" t="n"/>
      <c r="E535" s="1568" t="inlineStr">
        <is>
          <t>4hr</t>
        </is>
      </c>
      <c r="F535" s="1568" t="inlineStr">
        <is>
          <t>Google</t>
        </is>
      </c>
      <c r="G535" s="87" t="inlineStr">
        <is>
          <t>#03269</t>
        </is>
      </c>
      <c r="H535" s="785" t="n">
        <v>46138</v>
      </c>
      <c r="I535" s="1696" t="n">
        <v>125</v>
      </c>
      <c r="J535" s="1697" t="n">
        <v>0</v>
      </c>
      <c r="K535" s="1568" t="n"/>
      <c r="L535" s="1610" t="inlineStr">
        <is>
          <t>Gail Johnson</t>
        </is>
      </c>
      <c r="M535" s="1610" t="n"/>
      <c r="N535" s="1374" t="inlineStr">
        <is>
          <t>gail.johnson1964@btinternet.com</t>
        </is>
      </c>
      <c r="O535" s="1604" t="inlineStr">
        <is>
          <t>62</t>
        </is>
      </c>
      <c r="P535" s="1604" t="inlineStr">
        <is>
          <t>07772514695</t>
        </is>
      </c>
      <c r="Q535" s="1568" t="n"/>
    </row>
    <row r="536">
      <c r="B536" s="1708" t="n">
        <v>46291</v>
      </c>
      <c r="C536" s="1568" t="inlineStr">
        <is>
          <t>Fairy Glen</t>
        </is>
      </c>
      <c r="D536" s="1568" t="n"/>
      <c r="E536" s="1568" t="inlineStr">
        <is>
          <t>4hr</t>
        </is>
      </c>
      <c r="F536" s="1568" t="inlineStr">
        <is>
          <t>JLR</t>
        </is>
      </c>
      <c r="G536" s="87" t="inlineStr">
        <is>
          <t>IIY#1212611167771xHx</t>
        </is>
      </c>
      <c r="H536" s="785" t="n">
        <v>46144</v>
      </c>
      <c r="I536" s="1696" t="n">
        <v>100</v>
      </c>
      <c r="K536" s="1568" t="n"/>
      <c r="L536" s="1610" t="inlineStr">
        <is>
          <t>Andrew Morris</t>
        </is>
      </c>
      <c r="M536" s="1610" t="n"/>
      <c r="N536" s="1374" t="inlineStr">
        <is>
          <t>amorri28@jaguarlandrover.com</t>
        </is>
      </c>
      <c r="O536" s="1604" t="n"/>
      <c r="P536" s="1604" t="inlineStr">
        <is>
          <t>07901912227</t>
        </is>
      </c>
      <c r="Q536" s="1374" t="inlineStr">
        <is>
          <t>aj_morris@sky.com</t>
        </is>
      </c>
    </row>
    <row r="537">
      <c r="B537" s="1708" t="n">
        <v>46291</v>
      </c>
      <c r="C537" s="1568" t="inlineStr">
        <is>
          <t>Fairy Glen</t>
        </is>
      </c>
      <c r="D537" s="1568" t="n"/>
      <c r="E537" s="1568" t="inlineStr">
        <is>
          <t>4hr</t>
        </is>
      </c>
      <c r="F537" s="1568" t="inlineStr">
        <is>
          <t>JLR</t>
        </is>
      </c>
      <c r="G537" s="87" t="inlineStr">
        <is>
          <t>IIY#9026836358771Pap</t>
        </is>
      </c>
      <c r="H537" s="785" t="n">
        <v>46161</v>
      </c>
      <c r="I537" s="1696" t="n">
        <v>100</v>
      </c>
      <c r="K537" s="1568" t="n"/>
      <c r="L537" s="1610" t="inlineStr">
        <is>
          <t>Mukesh Kumar</t>
        </is>
      </c>
      <c r="M537" s="1610" t="n"/>
      <c r="N537" s="1374" t="inlineStr">
        <is>
          <t>mkumar87@jaguarlandrover.com</t>
        </is>
      </c>
      <c r="O537" s="1604" t="n"/>
      <c r="P537" s="1604" t="n"/>
    </row>
    <row r="538">
      <c r="B538" s="1708" t="n"/>
      <c r="C538" s="1568" t="n"/>
      <c r="D538" s="1568" t="n"/>
      <c r="E538" s="1568" t="n"/>
      <c r="F538" s="1568" t="n"/>
      <c r="G538" s="87" t="n"/>
      <c r="H538" s="785" t="n"/>
      <c r="K538" s="1568" t="n"/>
      <c r="L538" s="1610" t="n"/>
      <c r="M538" s="1610" t="n"/>
      <c r="N538" s="1374" t="n"/>
      <c r="O538" s="1604" t="n"/>
      <c r="P538" s="1604" t="n"/>
      <c r="Q538" s="1568" t="n"/>
    </row>
    <row r="539">
      <c r="B539" s="1708" t="n"/>
      <c r="C539" s="1568" t="n"/>
      <c r="D539" s="1568" t="n"/>
      <c r="E539" s="1568" t="n"/>
      <c r="F539" s="1568" t="n"/>
      <c r="G539" s="87" t="n"/>
      <c r="H539" s="785" t="n"/>
      <c r="K539" s="1568" t="n"/>
      <c r="L539" s="1610" t="n"/>
      <c r="M539" s="1610" t="n"/>
      <c r="N539" s="1374" t="n"/>
      <c r="O539" s="1604" t="n"/>
      <c r="P539" s="1604" t="n"/>
      <c r="Q539" s="1568" t="n"/>
    </row>
    <row r="540">
      <c r="B540" s="1708" t="n">
        <v>46291</v>
      </c>
      <c r="C540" s="1568" t="inlineStr">
        <is>
          <t>Snowdonia</t>
        </is>
      </c>
      <c r="D540" s="1568" t="n"/>
      <c r="E540" s="1568" t="inlineStr">
        <is>
          <t>2 days</t>
        </is>
      </c>
      <c r="F540" s="1568" t="inlineStr">
        <is>
          <t>Google</t>
        </is>
      </c>
      <c r="G540" s="87" t="inlineStr">
        <is>
          <t>#03243</t>
        </is>
      </c>
      <c r="H540" s="785" t="n">
        <v>46116</v>
      </c>
      <c r="I540" s="1696" t="n">
        <v>595</v>
      </c>
      <c r="J540" s="1697" t="n">
        <v>0</v>
      </c>
      <c r="K540" s="1568" t="n"/>
      <c r="L540" s="1610" t="inlineStr">
        <is>
          <t>Dale Creaser</t>
        </is>
      </c>
      <c r="M540" s="1610" t="n"/>
      <c r="N540" s="1374" t="inlineStr">
        <is>
          <t>dalecreaser@gmail.com</t>
        </is>
      </c>
      <c r="O540" s="1604" t="inlineStr">
        <is>
          <t>58</t>
        </is>
      </c>
      <c r="P540" s="1604" t="inlineStr">
        <is>
          <t>07395812485</t>
        </is>
      </c>
      <c r="Q540" s="1568" t="n"/>
    </row>
    <row r="541">
      <c r="B541" s="1708" t="n"/>
      <c r="C541" s="1568" t="n"/>
      <c r="D541" s="1568" t="n"/>
      <c r="E541" s="1568" t="n"/>
      <c r="F541" s="1568" t="n"/>
      <c r="G541" s="87" t="n"/>
      <c r="H541" s="785" t="n"/>
      <c r="K541" s="1568" t="n"/>
      <c r="L541" s="1610" t="n"/>
      <c r="M541" s="1610" t="n"/>
      <c r="N541" s="1374" t="n"/>
      <c r="O541" s="1604" t="n"/>
      <c r="P541" s="1604" t="n"/>
      <c r="Q541" s="1568" t="n"/>
    </row>
    <row r="542">
      <c r="B542" s="1708" t="n"/>
      <c r="C542" s="1568" t="n"/>
      <c r="D542" s="1568" t="n"/>
      <c r="E542" s="1568" t="n"/>
      <c r="F542" s="1568" t="n"/>
      <c r="G542" s="87" t="n"/>
      <c r="H542" s="785" t="n"/>
      <c r="K542" s="1568" t="n"/>
      <c r="L542" s="1610" t="n"/>
      <c r="M542" s="1610" t="n"/>
      <c r="N542" s="1374" t="n"/>
      <c r="O542" s="1604" t="n"/>
      <c r="P542" s="1604" t="n"/>
      <c r="Q542" s="1568" t="n"/>
    </row>
    <row r="543">
      <c r="B543" s="1708" t="n"/>
      <c r="D543" s="1568" t="n"/>
      <c r="E543" s="1568" t="n"/>
      <c r="F543" s="1568" t="n"/>
      <c r="G543" s="87" t="n"/>
      <c r="H543" s="785" t="n"/>
      <c r="K543" s="1568" t="n"/>
      <c r="L543" s="1610" t="n"/>
      <c r="M543" s="1610" t="n"/>
      <c r="N543" s="1374" t="n"/>
      <c r="O543" s="1604" t="n"/>
      <c r="P543" s="1604" t="n"/>
    </row>
    <row r="544">
      <c r="B544" s="1708" t="n">
        <v>46300</v>
      </c>
      <c r="C544" s="1697" t="inlineStr">
        <is>
          <t xml:space="preserve">CHESTERTON WINDMILL </t>
        </is>
      </c>
      <c r="D544" s="1568" t="n"/>
      <c r="E544" s="1568" t="inlineStr">
        <is>
          <t>2hrs</t>
        </is>
      </c>
      <c r="F544" s="1568" t="inlineStr">
        <is>
          <t>Existing</t>
        </is>
      </c>
      <c r="G544" s="87" t="inlineStr">
        <is>
          <t>#03148</t>
        </is>
      </c>
      <c r="H544" s="785" t="n">
        <v>45963</v>
      </c>
      <c r="I544" s="1696" t="n">
        <v>50</v>
      </c>
      <c r="J544" s="1697" t="n">
        <v>0</v>
      </c>
      <c r="K544" s="1568" t="inlineStr">
        <is>
          <t>Mr</t>
        </is>
      </c>
      <c r="L544" s="1610" t="inlineStr">
        <is>
          <t>Simon Whitehouse</t>
        </is>
      </c>
      <c r="M544" s="1610" t="n"/>
      <c r="N544" s="1374" t="inlineStr">
        <is>
          <t>simonwhitehouse6@gmail.com</t>
        </is>
      </c>
      <c r="O544" s="1604" t="inlineStr">
        <is>
          <t>60</t>
        </is>
      </c>
      <c r="P544" s="1604" t="inlineStr">
        <is>
          <t>07946864179</t>
        </is>
      </c>
    </row>
    <row r="545">
      <c r="B545" s="1708" t="n"/>
      <c r="D545" s="1568" t="n"/>
      <c r="E545" s="1568" t="n"/>
      <c r="F545" s="1568" t="n"/>
      <c r="G545" s="87" t="n"/>
      <c r="H545" s="785" t="n"/>
      <c r="K545" s="1568" t="n"/>
      <c r="L545" s="1610" t="n"/>
      <c r="M545" s="1610" t="n"/>
      <c r="N545" s="1374" t="n"/>
      <c r="O545" s="1604" t="n"/>
      <c r="P545" s="1604" t="n"/>
    </row>
    <row r="546">
      <c r="B546" s="1708" t="n">
        <v>46305</v>
      </c>
      <c r="C546" s="783" t="inlineStr">
        <is>
          <t>Lake Vyrnwey</t>
        </is>
      </c>
      <c r="D546" s="1568" t="n"/>
      <c r="E546" s="1568" t="inlineStr">
        <is>
          <t>2 days</t>
        </is>
      </c>
      <c r="F546" s="1568" t="inlineStr">
        <is>
          <t>Google</t>
        </is>
      </c>
      <c r="G546" s="87" t="inlineStr">
        <is>
          <t>#03261</t>
        </is>
      </c>
      <c r="H546" s="785" t="n">
        <v>46131</v>
      </c>
      <c r="I546" s="1696" t="n">
        <v>575</v>
      </c>
      <c r="J546" s="1697" t="n">
        <v>0</v>
      </c>
      <c r="K546" s="1568" t="inlineStr">
        <is>
          <t>Mr</t>
        </is>
      </c>
      <c r="L546" s="1711" t="inlineStr">
        <is>
          <t>Mahesh Patel</t>
        </is>
      </c>
      <c r="N546" s="1374" t="inlineStr">
        <is>
          <t xml:space="preserve">hpatel_home@hotmail.com </t>
        </is>
      </c>
      <c r="O546" s="1604" t="inlineStr">
        <is>
          <t>52</t>
        </is>
      </c>
      <c r="P546" s="1604" t="inlineStr">
        <is>
          <t>07974248478</t>
        </is>
      </c>
    </row>
    <row r="547">
      <c r="B547" s="1708" t="n"/>
      <c r="D547" s="1568" t="n"/>
      <c r="E547" s="1568" t="n"/>
      <c r="F547" s="1568" t="n"/>
      <c r="G547" s="87" t="n"/>
      <c r="H547" s="785" t="n"/>
      <c r="K547" s="1568" t="n"/>
      <c r="L547" s="1610" t="n"/>
      <c r="M547" s="1610" t="n"/>
      <c r="N547" s="1374" t="n"/>
      <c r="O547" s="1604" t="n"/>
      <c r="P547" s="1604" t="n"/>
    </row>
    <row r="548">
      <c r="B548" s="1708" t="n">
        <v>46313</v>
      </c>
      <c r="C548" s="1697" t="inlineStr">
        <is>
          <t>The Secret of WOODLAND PHOTOGRAPHY-</t>
        </is>
      </c>
      <c r="D548" s="1568" t="n"/>
      <c r="E548" s="1568" t="inlineStr">
        <is>
          <t>1 day</t>
        </is>
      </c>
      <c r="F548" s="1568" t="inlineStr">
        <is>
          <t>Google</t>
        </is>
      </c>
      <c r="G548" s="87" t="inlineStr">
        <is>
          <t>#03181</t>
        </is>
      </c>
      <c r="H548" s="785" t="n">
        <v>46014</v>
      </c>
      <c r="I548" s="1696" t="n">
        <v>125</v>
      </c>
      <c r="J548" s="1697" t="n">
        <v>0</v>
      </c>
      <c r="K548" s="1568" t="n"/>
      <c r="L548" s="1610" t="inlineStr">
        <is>
          <t>Paul</t>
        </is>
      </c>
      <c r="M548" s="1610" t="inlineStr">
        <is>
          <t>Hargrave</t>
        </is>
      </c>
      <c r="N548" s="1374" t="inlineStr">
        <is>
          <t>hargrave195@hotmail.com</t>
        </is>
      </c>
      <c r="O548" s="1604" t="inlineStr">
        <is>
          <t>55</t>
        </is>
      </c>
      <c r="P548" s="1604" t="inlineStr">
        <is>
          <t>07754547871</t>
        </is>
      </c>
    </row>
    <row r="549">
      <c r="B549" s="1708" t="n">
        <v>46313</v>
      </c>
      <c r="C549" s="1697" t="inlineStr">
        <is>
          <t>The Secret of WOODLAND PHOTOGRAPHY-</t>
        </is>
      </c>
      <c r="D549" s="1568" t="n"/>
      <c r="E549" s="1568" t="inlineStr">
        <is>
          <t>1 day</t>
        </is>
      </c>
      <c r="F549" s="1568" t="inlineStr">
        <is>
          <t>Existing</t>
        </is>
      </c>
      <c r="G549" s="87" t="inlineStr">
        <is>
          <t>#03196</t>
        </is>
      </c>
      <c r="H549" s="785" t="n">
        <v>46034</v>
      </c>
      <c r="I549" s="1696" t="n">
        <v>125</v>
      </c>
      <c r="K549" s="1568" t="n"/>
      <c r="L549" s="1610" t="inlineStr">
        <is>
          <t>Alvin Roussel</t>
        </is>
      </c>
      <c r="M549" s="1610" t="n"/>
      <c r="N549" s="1374" t="inlineStr">
        <is>
          <t xml:space="preserve">alvin.roussel@gmail.com </t>
        </is>
      </c>
      <c r="O549" s="1604" t="inlineStr">
        <is>
          <t>69</t>
        </is>
      </c>
      <c r="P549" s="1707" t="inlineStr">
        <is>
          <t>07415517384</t>
        </is>
      </c>
      <c r="Q549" s="1646" t="inlineStr">
        <is>
          <t>CV344SP</t>
        </is>
      </c>
      <c r="R549" s="1646" t="inlineStr">
        <is>
          <t>22 Northgate Street</t>
        </is>
      </c>
      <c r="S549" s="1646" t="inlineStr">
        <is>
          <t>Warwick</t>
        </is>
      </c>
    </row>
    <row r="550">
      <c r="B550" s="1708" t="n">
        <v>46313</v>
      </c>
      <c r="C550" s="1753" t="inlineStr">
        <is>
          <t>Secret Woodlands</t>
        </is>
      </c>
      <c r="D550" s="883" t="inlineStr">
        <is>
          <t>All Day</t>
        </is>
      </c>
      <c r="E550" s="783" t="inlineStr">
        <is>
          <t>6hrs</t>
        </is>
      </c>
      <c r="F550" s="1750" t="inlineStr">
        <is>
          <t>Google</t>
        </is>
      </c>
      <c r="G550" s="785" t="inlineStr">
        <is>
          <t>#03031</t>
        </is>
      </c>
      <c r="H550" s="785" t="n">
        <v>45849</v>
      </c>
      <c r="I550" s="1750" t="n">
        <v>125</v>
      </c>
      <c r="J550" s="1750" t="n">
        <v>0</v>
      </c>
      <c r="K550" s="1705" t="inlineStr">
        <is>
          <t>Ms</t>
        </is>
      </c>
      <c r="L550" s="1706" t="inlineStr">
        <is>
          <t>Kimberley</t>
        </is>
      </c>
      <c r="M550" s="1707" t="inlineStr">
        <is>
          <t xml:space="preserve"> Sneyd</t>
        </is>
      </c>
      <c r="N550" s="1374" t="inlineStr">
        <is>
          <t xml:space="preserve">bimblebury@gmail.com </t>
        </is>
      </c>
      <c r="O550" s="1707" t="inlineStr">
        <is>
          <t>39</t>
        </is>
      </c>
      <c r="P550" s="1707" t="inlineStr">
        <is>
          <t>07872047610</t>
        </is>
      </c>
      <c r="Q550" s="1646" t="inlineStr">
        <is>
          <t>Ws7 4tw</t>
        </is>
      </c>
    </row>
    <row r="551">
      <c r="B551" s="1708" t="n"/>
      <c r="C551" s="1753" t="n"/>
      <c r="D551" s="883" t="n"/>
      <c r="E551" s="783" t="n"/>
      <c r="F551" s="1750" t="n"/>
      <c r="G551" s="785" t="n"/>
      <c r="H551" s="785" t="n"/>
      <c r="I551" s="1750" t="n"/>
      <c r="J551" s="1750" t="n"/>
      <c r="K551" s="1705" t="n"/>
      <c r="L551" s="1706" t="n"/>
      <c r="M551" s="1707" t="n"/>
      <c r="N551" s="1374" t="n"/>
      <c r="O551" s="1707" t="n"/>
      <c r="P551" s="1707" t="n"/>
      <c r="Q551" s="1646" t="n"/>
    </row>
    <row r="552">
      <c r="B552" s="1708" t="n">
        <v>46319</v>
      </c>
      <c r="C552" s="1708" t="inlineStr">
        <is>
          <t>Batsford</t>
        </is>
      </c>
      <c r="D552" s="783" t="inlineStr">
        <is>
          <t>AM -08:00 - 11:30</t>
        </is>
      </c>
      <c r="E552" s="1568" t="inlineStr">
        <is>
          <t>3.5hrs</t>
        </is>
      </c>
      <c r="F552" s="1568" t="inlineStr">
        <is>
          <t>JLR</t>
        </is>
      </c>
      <c r="G552" s="1051" t="inlineStr">
        <is>
          <t>IIY#8528218025771JCl</t>
        </is>
      </c>
      <c r="H552" s="785" t="n">
        <v>46125</v>
      </c>
      <c r="J552" s="1697" t="n">
        <v>99</v>
      </c>
      <c r="K552" s="1568" t="n"/>
      <c r="L552" s="1610" t="inlineStr">
        <is>
          <t>Andrew Barley</t>
        </is>
      </c>
      <c r="M552" s="1610" t="n"/>
      <c r="N552" s="1374" t="inlineStr">
        <is>
          <t>abarley4@jaguarlandrover.com</t>
        </is>
      </c>
      <c r="O552" s="1604" t="n"/>
      <c r="P552" s="1604" t="n"/>
    </row>
    <row r="553">
      <c r="B553" s="1708" t="n">
        <v>46319</v>
      </c>
      <c r="C553" s="1708" t="inlineStr">
        <is>
          <t>Batsford</t>
        </is>
      </c>
      <c r="D553" s="783" t="inlineStr">
        <is>
          <t>PM -12:00 - 15:30</t>
        </is>
      </c>
      <c r="E553" s="1568" t="inlineStr">
        <is>
          <t>3.5hrs</t>
        </is>
      </c>
      <c r="F553" s="1568" t="inlineStr">
        <is>
          <t>JLR</t>
        </is>
      </c>
      <c r="G553" s="505" t="inlineStr">
        <is>
          <t>IIY#7258874848771u2g</t>
        </is>
      </c>
      <c r="H553" s="785" t="n">
        <v>46155</v>
      </c>
      <c r="J553" s="1697" t="n">
        <v>99</v>
      </c>
      <c r="K553" s="1568" t="n"/>
      <c r="L553" s="1610" t="inlineStr">
        <is>
          <t>Holly Pownall</t>
        </is>
      </c>
      <c r="M553" s="1610" t="n"/>
      <c r="N553" s="1112" t="inlineStr">
        <is>
          <t>hpownall@jaguarlandrover.com</t>
        </is>
      </c>
      <c r="O553" s="1604" t="n"/>
      <c r="P553" s="1604" t="inlineStr">
        <is>
          <t>07928921163</t>
        </is>
      </c>
    </row>
    <row r="554">
      <c r="B554" s="1708" t="n"/>
      <c r="D554" s="1568" t="n"/>
      <c r="E554" s="1568" t="n"/>
      <c r="F554" s="1568" t="n"/>
      <c r="G554" s="87" t="n"/>
      <c r="H554" s="785" t="n"/>
      <c r="K554" s="1568" t="n"/>
      <c r="L554" s="1610" t="n"/>
      <c r="M554" s="1610" t="n"/>
      <c r="N554" s="1374" t="n"/>
      <c r="O554" s="1604" t="n"/>
      <c r="P554" s="1604" t="n"/>
    </row>
    <row r="555">
      <c r="B555" s="1708" t="n">
        <v>46327</v>
      </c>
      <c r="C555" s="1697" t="inlineStr">
        <is>
          <t>Peak District Photography Workshops Padley Gorge</t>
        </is>
      </c>
      <c r="D555" s="1568" t="n"/>
      <c r="E555" s="1568" t="inlineStr">
        <is>
          <t>1 Day</t>
        </is>
      </c>
      <c r="F555" s="1568" t="inlineStr">
        <is>
          <t>Into The Blue</t>
        </is>
      </c>
      <c r="G555" s="1051" t="inlineStr">
        <is>
          <t>2602220919</t>
        </is>
      </c>
      <c r="H555" s="785" t="n">
        <v>46108</v>
      </c>
      <c r="I555" s="1696" t="n">
        <v>120</v>
      </c>
      <c r="J555" s="1697" t="n">
        <v>0</v>
      </c>
      <c r="K555" s="1568" t="n"/>
      <c r="L555" s="1610" t="inlineStr">
        <is>
          <t>Sophie Bringlow</t>
        </is>
      </c>
      <c r="M555" s="1610" t="n"/>
      <c r="N555" s="1374" t="inlineStr">
        <is>
          <t>sofih16@hotmail.com</t>
        </is>
      </c>
      <c r="O555" s="1604" t="n"/>
      <c r="P555" s="1604" t="inlineStr">
        <is>
          <t>07568 089471</t>
        </is>
      </c>
    </row>
    <row r="556">
      <c r="B556" s="1708" t="n">
        <v>46327</v>
      </c>
      <c r="C556" s="1697" t="inlineStr">
        <is>
          <t>Peak District Photography Workshops Padley Gorge</t>
        </is>
      </c>
      <c r="D556" s="1568" t="n"/>
      <c r="E556" s="1568" t="inlineStr">
        <is>
          <t>1 Day</t>
        </is>
      </c>
      <c r="F556" s="1568" t="inlineStr">
        <is>
          <t>Google</t>
        </is>
      </c>
      <c r="G556" s="87" t="inlineStr">
        <is>
          <t>#03265</t>
        </is>
      </c>
      <c r="H556" s="785" t="n">
        <v>46136</v>
      </c>
      <c r="I556" s="1696" t="n">
        <v>150</v>
      </c>
      <c r="J556" s="1697" t="n">
        <v>0</v>
      </c>
      <c r="L556" s="1610" t="inlineStr">
        <is>
          <t>Alan Pilkington</t>
        </is>
      </c>
      <c r="N556" s="1374" t="inlineStr">
        <is>
          <t>alanjpilkington@gmail.com</t>
        </is>
      </c>
      <c r="O556" s="1604" t="inlineStr">
        <is>
          <t>62</t>
        </is>
      </c>
      <c r="P556" s="1604" t="inlineStr">
        <is>
          <t>07472350236</t>
        </is>
      </c>
    </row>
    <row r="557">
      <c r="B557" s="1708" t="n">
        <v>46327</v>
      </c>
      <c r="C557" s="1697" t="inlineStr">
        <is>
          <t>Peak District Photography Workshops Padley Gorge</t>
        </is>
      </c>
      <c r="D557" s="1568" t="n"/>
      <c r="E557" s="1568" t="inlineStr">
        <is>
          <t>1 Day</t>
        </is>
      </c>
      <c r="F557" s="1568" t="inlineStr">
        <is>
          <t>Into The Blue</t>
        </is>
      </c>
      <c r="G557" s="505" t="inlineStr">
        <is>
          <t>2605100908</t>
        </is>
      </c>
      <c r="H557" s="785" t="n">
        <v>46164</v>
      </c>
      <c r="I557" s="1696" t="n">
        <v>120</v>
      </c>
      <c r="L557" s="1610" t="inlineStr">
        <is>
          <t>John MacDonald</t>
        </is>
      </c>
      <c r="N557" s="1374" t="inlineStr">
        <is>
          <t>j.macdonald1405@btinternet.com</t>
        </is>
      </c>
      <c r="P557" s="1604" t="inlineStr">
        <is>
          <t>07926 728438</t>
        </is>
      </c>
    </row>
    <row r="558">
      <c r="B558" s="1708" t="n"/>
      <c r="D558" s="1568" t="n"/>
      <c r="E558" s="1568" t="n"/>
      <c r="H558" s="785" t="n"/>
    </row>
    <row r="559">
      <c r="B559" s="1708" t="n"/>
      <c r="D559" s="1568" t="n"/>
      <c r="E559" s="1568" t="n"/>
      <c r="H559" s="785" t="n"/>
    </row>
    <row r="560">
      <c r="D560" s="543" t="inlineStr">
        <is>
          <t>JLR</t>
        </is>
      </c>
      <c r="F560" s="640">
        <f>COUNTIF(F3:F395,"JLR")</f>
        <v/>
      </c>
      <c r="H560" s="785" t="n"/>
      <c r="I560" s="1697">
        <f>SUMIF(F:F, "JLR",I:I)</f>
        <v/>
      </c>
      <c r="J560" s="1697">
        <f>SUMIF(F:F, "JLR",J:J)</f>
        <v/>
      </c>
      <c r="K560" s="1491" t="n"/>
      <c r="N560" s="1699">
        <f>SUM(I560+J560)</f>
        <v/>
      </c>
    </row>
    <row r="561">
      <c r="C561" s="543" t="inlineStr">
        <is>
          <t>Number of Participants</t>
        </is>
      </c>
      <c r="D561" s="543" t="n"/>
      <c r="H561" s="511" t="n"/>
      <c r="K561" s="1568" t="n"/>
      <c r="N561" s="1699" t="n"/>
    </row>
    <row r="562">
      <c r="C562" s="543" t="n"/>
      <c r="D562" s="543" t="n"/>
      <c r="E562" s="1568" t="n"/>
      <c r="F562" s="1568" t="n"/>
      <c r="G562" s="1699" t="n"/>
      <c r="H562" s="511" t="n"/>
      <c r="K562" s="1699" t="n"/>
      <c r="N562" s="1491" t="n"/>
    </row>
    <row r="563">
      <c r="C563" s="543" t="inlineStr">
        <is>
          <t>Number of Workshops</t>
        </is>
      </c>
      <c r="D563" s="543" t="n"/>
      <c r="E563" s="1568" t="n"/>
      <c r="F563" s="1568" t="n"/>
      <c r="G563" s="1699" t="n"/>
      <c r="H563" s="511" t="n"/>
      <c r="K563" s="1568" t="n"/>
      <c r="N563" s="1491" t="n"/>
    </row>
    <row r="564">
      <c r="C564" s="543" t="n"/>
      <c r="D564" s="715" t="n"/>
      <c r="E564" s="1568" t="inlineStr">
        <is>
          <t>2.5hrs</t>
        </is>
      </c>
      <c r="H564" s="511" t="n"/>
      <c r="K564" s="1568" t="inlineStr">
        <is>
          <t>Rr</t>
        </is>
      </c>
      <c r="N564" s="1699" t="n"/>
    </row>
    <row r="565">
      <c r="C565" s="715" t="inlineStr">
        <is>
          <t>Number of Workshops</t>
        </is>
      </c>
      <c r="D565" s="715" t="n"/>
      <c r="E565" s="1568" t="inlineStr">
        <is>
          <t>4hrs</t>
        </is>
      </c>
      <c r="F565" s="1568" t="n"/>
      <c r="G565" s="1699" t="n"/>
      <c r="H565" s="511" t="n"/>
      <c r="K565" s="1568" t="inlineStr">
        <is>
          <t>Rr</t>
        </is>
      </c>
      <c r="N565" s="1491" t="n"/>
    </row>
    <row r="566">
      <c r="C566" s="715" t="inlineStr">
        <is>
          <t>Number of Workshops</t>
        </is>
      </c>
      <c r="D566" s="715" t="n"/>
      <c r="E566" s="1568" t="inlineStr">
        <is>
          <t>1 day</t>
        </is>
      </c>
      <c r="F566" s="1568" t="n"/>
      <c r="G566" s="1699" t="n"/>
      <c r="H566" s="511" t="n"/>
      <c r="K566" s="1568" t="inlineStr">
        <is>
          <t>Ry</t>
        </is>
      </c>
      <c r="N566" s="1491" t="n"/>
    </row>
    <row r="567">
      <c r="C567" s="715" t="inlineStr">
        <is>
          <t>Number of Workshops</t>
        </is>
      </c>
      <c r="D567" s="715" t="n"/>
      <c r="E567" s="1568" t="inlineStr">
        <is>
          <t>2 days</t>
        </is>
      </c>
      <c r="F567" s="1568" t="n"/>
      <c r="G567" s="1699" t="n"/>
      <c r="H567" s="511" t="n"/>
      <c r="K567" s="1568" t="inlineStr">
        <is>
          <t>Ry</t>
        </is>
      </c>
      <c r="N567" s="1374" t="n"/>
    </row>
    <row r="568">
      <c r="C568" s="715" t="inlineStr">
        <is>
          <t>Number of Workshops</t>
        </is>
      </c>
      <c r="D568" s="715" t="n"/>
      <c r="E568" s="1568" t="inlineStr">
        <is>
          <t>3 days</t>
        </is>
      </c>
      <c r="F568" s="1568" t="n"/>
      <c r="G568" s="1699" t="n"/>
      <c r="H568" s="511" t="n"/>
      <c r="K568" s="1568" t="inlineStr">
        <is>
          <t>Ry</t>
        </is>
      </c>
      <c r="N568" s="1374" t="n"/>
    </row>
    <row r="569">
      <c r="C569" s="715" t="inlineStr">
        <is>
          <t>Number of Workshops</t>
        </is>
      </c>
      <c r="D569" s="543" t="n"/>
      <c r="E569" s="1568" t="n"/>
      <c r="F569" s="1568" t="n"/>
      <c r="G569" s="1699" t="n"/>
      <c r="H569" s="511" t="n"/>
      <c r="K569" s="1568" t="n"/>
      <c r="N569" s="1491" t="n"/>
    </row>
    <row r="570">
      <c r="C570" s="543" t="n"/>
      <c r="D570" s="518" t="n"/>
      <c r="H570" s="511" t="n"/>
      <c r="K570" s="1568" t="n"/>
      <c r="N570" s="1699" t="n"/>
    </row>
    <row r="571">
      <c r="C571" s="518" t="n"/>
      <c r="D571" s="519" t="n"/>
      <c r="E571" s="1742" t="n"/>
      <c r="F571" s="714">
        <f>COUNTIF(#REF!,"")</f>
        <v/>
      </c>
      <c r="G571" s="521" t="n"/>
      <c r="H571" s="522">
        <f>SUM(I571+J571)/I573</f>
        <v/>
      </c>
      <c r="I571" s="1744">
        <f>SUM(I7:I570)</f>
        <v/>
      </c>
      <c r="J571" s="1744">
        <f>SUM(J7:J516)</f>
        <v/>
      </c>
      <c r="N571" s="1711">
        <f>J571+I571</f>
        <v/>
      </c>
    </row>
    <row r="572">
      <c r="C572" s="519" t="inlineStr">
        <is>
          <t>Totals</t>
        </is>
      </c>
    </row>
    <row r="573">
      <c r="G573" s="505" t="inlineStr">
        <is>
          <t>Target</t>
        </is>
      </c>
      <c r="H573" s="511" t="inlineStr">
        <is>
          <t>31 st Dec</t>
        </is>
      </c>
      <c r="I573" s="1696" t="n">
        <v>30000</v>
      </c>
    </row>
    <row r="575">
      <c r="G575" s="505" t="inlineStr">
        <is>
          <t>per month</t>
        </is>
      </c>
      <c r="H575" s="1697">
        <f>I575/12</f>
        <v/>
      </c>
      <c r="I575" s="1696">
        <f>N571-I573</f>
        <v/>
      </c>
    </row>
  </sheetData>
  <autoFilter ref="B2:S566"/>
  <conditionalFormatting sqref="J2:M3">
    <cfRule type="cellIs" priority="284" operator="greaterThan" dxfId="1">
      <formula>0</formula>
    </cfRule>
  </conditionalFormatting>
  <conditionalFormatting sqref="I575">
    <cfRule type="cellIs" priority="278" operator="lessThan" dxfId="1">
      <formula>0</formula>
    </cfRule>
    <cfRule type="cellIs" priority="279" operator="greaterThan" dxfId="0">
      <formula>0</formula>
    </cfRule>
    <cfRule type="cellIs" priority="280" operator="lessThan" dxfId="1">
      <formula>28.7</formula>
    </cfRule>
  </conditionalFormatting>
  <conditionalFormatting sqref="H571">
    <cfRule type="cellIs" priority="275" operator="greaterThan" dxfId="0">
      <formula>0.99</formula>
    </cfRule>
    <cfRule type="cellIs" priority="276" operator="lessThan" dxfId="1">
      <formula>0.99</formula>
    </cfRule>
    <cfRule type="cellIs" priority="277" operator="lessThan" dxfId="1">
      <formula>100</formula>
    </cfRule>
  </conditionalFormatting>
  <conditionalFormatting sqref="D82:D84 D94:D100 D109:D110 D117:D118 D125:D129 D131:D132 D155:D156 D224:D227 D336 D338:D339 D351 D440 D452:D463">
    <cfRule type="containsText" priority="213" operator="containsText" dxfId="0" text="PM">
      <formula>NOT(ISERROR(SEARCH("PM",D82)))</formula>
    </cfRule>
    <cfRule type="containsText" priority="211" operator="containsText" dxfId="30" text="All Day">
      <formula>NOT(ISERROR(SEARCH("All Day",D82)))</formula>
    </cfRule>
    <cfRule type="containsText" priority="212" operator="containsText" dxfId="26" text="AM">
      <formula>NOT(ISERROR(SEARCH("AM",D82)))</formula>
    </cfRule>
  </conditionalFormatting>
  <conditionalFormatting sqref="D111:D112 D114:D115 D117:D124 D140 D150:D154">
    <cfRule type="containsText" priority="207" operator="containsText" dxfId="0" text="PM">
      <formula>NOT(ISERROR(SEARCH("PM",D111)))</formula>
    </cfRule>
    <cfRule type="containsText" priority="205" operator="containsText" dxfId="30" text="All Day">
      <formula>NOT(ISERROR(SEARCH("All Day",D111)))</formula>
    </cfRule>
    <cfRule type="containsText" priority="206" operator="containsText" dxfId="26" text="AM">
      <formula>NOT(ISERROR(SEARCH("AM",D111)))</formula>
    </cfRule>
  </conditionalFormatting>
  <conditionalFormatting sqref="D119:D120">
    <cfRule type="containsText" priority="204" operator="containsText" dxfId="0" text="PM">
      <formula>NOT(ISERROR(SEARCH("PM",D119)))</formula>
    </cfRule>
    <cfRule type="containsText" priority="202" operator="containsText" dxfId="30" text="All Day">
      <formula>NOT(ISERROR(SEARCH("All Day",D119)))</formula>
    </cfRule>
    <cfRule type="containsText" priority="203" operator="containsText" dxfId="26" text="AM">
      <formula>NOT(ISERROR(SEARCH("AM",D119)))</formula>
    </cfRule>
  </conditionalFormatting>
  <conditionalFormatting sqref="D105:D106">
    <cfRule type="containsText" priority="186" operator="containsText" dxfId="0" text="PM">
      <formula>NOT(ISERROR(SEARCH("PM",D105)))</formula>
    </cfRule>
    <cfRule type="containsText" priority="184" operator="containsText" dxfId="30" text="All Day">
      <formula>NOT(ISERROR(SEARCH("All Day",D105)))</formula>
    </cfRule>
    <cfRule type="containsText" priority="185" operator="containsText" dxfId="26" text="AM">
      <formula>NOT(ISERROR(SEARCH("AM",D105)))</formula>
    </cfRule>
  </conditionalFormatting>
  <conditionalFormatting sqref="D87">
    <cfRule type="containsText" priority="183" operator="containsText" dxfId="0" text="PM">
      <formula>NOT(ISERROR(SEARCH("PM",D87)))</formula>
    </cfRule>
    <cfRule type="containsText" priority="181" operator="containsText" dxfId="30" text="All Day">
      <formula>NOT(ISERROR(SEARCH("All Day",D87)))</formula>
    </cfRule>
    <cfRule type="containsText" priority="182" operator="containsText" dxfId="26" text="AM">
      <formula>NOT(ISERROR(SEARCH("AM",D87)))</formula>
    </cfRule>
  </conditionalFormatting>
  <conditionalFormatting sqref="D83">
    <cfRule type="containsText" priority="180" operator="containsText" dxfId="0" text="PM">
      <formula>NOT(ISERROR(SEARCH("PM",D83)))</formula>
    </cfRule>
    <cfRule type="containsText" priority="178" operator="containsText" dxfId="30" text="All Day">
      <formula>NOT(ISERROR(SEARCH("All Day",D83)))</formula>
    </cfRule>
    <cfRule type="containsText" priority="179" operator="containsText" dxfId="26" text="AM">
      <formula>NOT(ISERROR(SEARCH("AM",D83)))</formula>
    </cfRule>
  </conditionalFormatting>
  <conditionalFormatting sqref="D102">
    <cfRule type="containsText" priority="171" operator="containsText" dxfId="0" text="PM">
      <formula>NOT(ISERROR(SEARCH("PM",D102)))</formula>
    </cfRule>
    <cfRule type="containsText" priority="169" operator="containsText" dxfId="30" text="All Day">
      <formula>NOT(ISERROR(SEARCH("All Day",D102)))</formula>
    </cfRule>
    <cfRule type="containsText" priority="170" operator="containsText" dxfId="26" text="AM">
      <formula>NOT(ISERROR(SEARCH("AM",D102)))</formula>
    </cfRule>
  </conditionalFormatting>
  <conditionalFormatting sqref="D108">
    <cfRule type="containsText" priority="168" operator="containsText" dxfId="0" text="PM">
      <formula>NOT(ISERROR(SEARCH("PM",D108)))</formula>
    </cfRule>
    <cfRule type="containsText" priority="166" operator="containsText" dxfId="30" text="All Day">
      <formula>NOT(ISERROR(SEARCH("All Day",D108)))</formula>
    </cfRule>
    <cfRule type="containsText" priority="167" operator="containsText" dxfId="26" text="AM">
      <formula>NOT(ISERROR(SEARCH("AM",D108)))</formula>
    </cfRule>
  </conditionalFormatting>
  <conditionalFormatting sqref="D346:D347">
    <cfRule type="containsText" priority="162" operator="containsText" dxfId="0" text="PM">
      <formula>NOT(ISERROR(SEARCH("PM",D346)))</formula>
    </cfRule>
    <cfRule type="containsText" priority="160" operator="containsText" dxfId="30" text="All Day">
      <formula>NOT(ISERROR(SEARCH("All Day",D346)))</formula>
    </cfRule>
    <cfRule type="containsText" priority="161" operator="containsText" dxfId="26" text="AM">
      <formula>NOT(ISERROR(SEARCH("AM",D346)))</formula>
    </cfRule>
  </conditionalFormatting>
  <conditionalFormatting sqref="D306">
    <cfRule type="containsText" priority="153" operator="containsText" dxfId="0" text="PM">
      <formula>NOT(ISERROR(SEARCH("PM",D306)))</formula>
    </cfRule>
    <cfRule type="containsText" priority="151" operator="containsText" dxfId="30" text="All Day">
      <formula>NOT(ISERROR(SEARCH("All Day",D306)))</formula>
    </cfRule>
    <cfRule type="containsText" priority="152" operator="containsText" dxfId="26" text="AM">
      <formula>NOT(ISERROR(SEARCH("AM",D306)))</formula>
    </cfRule>
  </conditionalFormatting>
  <conditionalFormatting sqref="D127">
    <cfRule type="containsText" priority="144" operator="containsText" dxfId="0" text="PM">
      <formula>NOT(ISERROR(SEARCH("PM",D127)))</formula>
    </cfRule>
    <cfRule type="containsText" priority="142" operator="containsText" dxfId="30" text="All Day">
      <formula>NOT(ISERROR(SEARCH("All Day",D127)))</formula>
    </cfRule>
    <cfRule type="containsText" priority="143" operator="containsText" dxfId="26" text="AM">
      <formula>NOT(ISERROR(SEARCH("AM",D127)))</formula>
    </cfRule>
  </conditionalFormatting>
  <conditionalFormatting sqref="D88">
    <cfRule type="containsText" priority="141" operator="containsText" dxfId="0" text="PM">
      <formula>NOT(ISERROR(SEARCH("PM",D88)))</formula>
    </cfRule>
    <cfRule type="containsText" priority="139" operator="containsText" dxfId="30" text="All Day">
      <formula>NOT(ISERROR(SEARCH("All Day",D88)))</formula>
    </cfRule>
    <cfRule type="containsText" priority="140" operator="containsText" dxfId="26" text="AM">
      <formula>NOT(ISERROR(SEARCH("AM",D88)))</formula>
    </cfRule>
  </conditionalFormatting>
  <conditionalFormatting sqref="D85:D86">
    <cfRule type="containsText" priority="138" operator="containsText" dxfId="0" text="PM">
      <formula>NOT(ISERROR(SEARCH("PM",D85)))</formula>
    </cfRule>
    <cfRule type="containsText" priority="136" operator="containsText" dxfId="30" text="All Day">
      <formula>NOT(ISERROR(SEARCH("All Day",D85)))</formula>
    </cfRule>
    <cfRule type="containsText" priority="137" operator="containsText" dxfId="26" text="AM">
      <formula>NOT(ISERROR(SEARCH("AM",D85)))</formula>
    </cfRule>
  </conditionalFormatting>
  <conditionalFormatting sqref="D111:D112">
    <cfRule type="containsText" priority="135" operator="containsText" dxfId="0" text="PM">
      <formula>NOT(ISERROR(SEARCH("PM",D111)))</formula>
    </cfRule>
    <cfRule type="containsText" priority="133" operator="containsText" dxfId="30" text="All Day">
      <formula>NOT(ISERROR(SEARCH("All Day",D111)))</formula>
    </cfRule>
    <cfRule type="containsText" priority="134" operator="containsText" dxfId="26" text="AM">
      <formula>NOT(ISERROR(SEARCH("AM",D111)))</formula>
    </cfRule>
  </conditionalFormatting>
  <conditionalFormatting sqref="D89">
    <cfRule type="containsText" priority="132" operator="containsText" dxfId="0" text="PM">
      <formula>NOT(ISERROR(SEARCH("PM",D89)))</formula>
    </cfRule>
    <cfRule type="containsText" priority="130" operator="containsText" dxfId="30" text="All Day">
      <formula>NOT(ISERROR(SEARCH("All Day",D89)))</formula>
    </cfRule>
    <cfRule type="containsText" priority="131" operator="containsText" dxfId="26" text="AM">
      <formula>NOT(ISERROR(SEARCH("AM",D89)))</formula>
    </cfRule>
  </conditionalFormatting>
  <conditionalFormatting sqref="D90">
    <cfRule type="containsText" priority="129" operator="containsText" dxfId="0" text="PM">
      <formula>NOT(ISERROR(SEARCH("PM",D90)))</formula>
    </cfRule>
    <cfRule type="containsText" priority="127" operator="containsText" dxfId="30" text="All Day">
      <formula>NOT(ISERROR(SEARCH("All Day",D90)))</formula>
    </cfRule>
    <cfRule type="containsText" priority="128" operator="containsText" dxfId="26" text="AM">
      <formula>NOT(ISERROR(SEARCH("AM",D90)))</formula>
    </cfRule>
  </conditionalFormatting>
  <conditionalFormatting sqref="D128">
    <cfRule type="containsText" priority="123" operator="containsText" dxfId="0" text="PM">
      <formula>NOT(ISERROR(SEARCH("PM",D128)))</formula>
    </cfRule>
    <cfRule type="containsText" priority="121" operator="containsText" dxfId="30" text="All Day">
      <formula>NOT(ISERROR(SEARCH("All Day",D128)))</formula>
    </cfRule>
    <cfRule type="containsText" priority="122" operator="containsText" dxfId="26" text="AM">
      <formula>NOT(ISERROR(SEARCH("AM",D128)))</formula>
    </cfRule>
  </conditionalFormatting>
  <conditionalFormatting sqref="D103:D106">
    <cfRule type="containsText" priority="120" operator="containsText" dxfId="0" text="PM">
      <formula>NOT(ISERROR(SEARCH("PM",D103)))</formula>
    </cfRule>
    <cfRule type="containsText" priority="118" operator="containsText" dxfId="30" text="All Day">
      <formula>NOT(ISERROR(SEARCH("All Day",D103)))</formula>
    </cfRule>
    <cfRule type="containsText" priority="119" operator="containsText" dxfId="26" text="AM">
      <formula>NOT(ISERROR(SEARCH("AM",D103)))</formula>
    </cfRule>
  </conditionalFormatting>
  <conditionalFormatting sqref="D307:D309">
    <cfRule type="containsText" priority="117" operator="containsText" dxfId="0" text="PM">
      <formula>NOT(ISERROR(SEARCH("PM",D307)))</formula>
    </cfRule>
    <cfRule type="containsText" priority="115" operator="containsText" dxfId="30" text="All Day">
      <formula>NOT(ISERROR(SEARCH("All Day",D307)))</formula>
    </cfRule>
    <cfRule type="containsText" priority="116" operator="containsText" dxfId="26" text="AM">
      <formula>NOT(ISERROR(SEARCH("AM",D307)))</formula>
    </cfRule>
  </conditionalFormatting>
  <conditionalFormatting sqref="D305">
    <cfRule type="containsText" priority="111" operator="containsText" dxfId="0" text="PM">
      <formula>NOT(ISERROR(SEARCH("PM",D305)))</formula>
    </cfRule>
    <cfRule type="containsText" priority="109" operator="containsText" dxfId="30" text="All Day">
      <formula>NOT(ISERROR(SEARCH("All Day",D305)))</formula>
    </cfRule>
    <cfRule type="containsText" priority="110" operator="containsText" dxfId="26" text="AM">
      <formula>NOT(ISERROR(SEARCH("AM",D305)))</formula>
    </cfRule>
  </conditionalFormatting>
  <conditionalFormatting sqref="D91">
    <cfRule type="containsText" priority="108" operator="containsText" dxfId="0" text="PM">
      <formula>NOT(ISERROR(SEARCH("PM",D91)))</formula>
    </cfRule>
    <cfRule type="containsText" priority="106" operator="containsText" dxfId="30" text="All Day">
      <formula>NOT(ISERROR(SEARCH("All Day",D91)))</formula>
    </cfRule>
    <cfRule type="containsText" priority="107" operator="containsText" dxfId="26" text="AM">
      <formula>NOT(ISERROR(SEARCH("AM",D91)))</formula>
    </cfRule>
  </conditionalFormatting>
  <conditionalFormatting sqref="D324:D325">
    <cfRule type="containsText" priority="105" operator="containsText" dxfId="0" text="PM">
      <formula>NOT(ISERROR(SEARCH("PM",D324)))</formula>
    </cfRule>
    <cfRule type="containsText" priority="103" operator="containsText" dxfId="30" text="All Day">
      <formula>NOT(ISERROR(SEARCH("All Day",D324)))</formula>
    </cfRule>
    <cfRule type="containsText" priority="104" operator="containsText" dxfId="26" text="AM">
      <formula>NOT(ISERROR(SEARCH("AM",D324)))</formula>
    </cfRule>
  </conditionalFormatting>
  <conditionalFormatting sqref="D113">
    <cfRule type="containsText" priority="102" operator="containsText" dxfId="0" text="PM">
      <formula>NOT(ISERROR(SEARCH("PM",D113)))</formula>
    </cfRule>
    <cfRule type="containsText" priority="100" operator="containsText" dxfId="30" text="All Day">
      <formula>NOT(ISERROR(SEARCH("All Day",D113)))</formula>
    </cfRule>
    <cfRule type="containsText" priority="101" operator="containsText" dxfId="26" text="AM">
      <formula>NOT(ISERROR(SEARCH("AM",D113)))</formula>
    </cfRule>
  </conditionalFormatting>
  <conditionalFormatting sqref="D101">
    <cfRule type="containsText" priority="99" operator="containsText" dxfId="0" text="PM">
      <formula>NOT(ISERROR(SEARCH("PM",D101)))</formula>
    </cfRule>
    <cfRule type="containsText" priority="97" operator="containsText" dxfId="30" text="All Day">
      <formula>NOT(ISERROR(SEARCH("All Day",D101)))</formula>
    </cfRule>
    <cfRule type="containsText" priority="98" operator="containsText" dxfId="26" text="AM">
      <formula>NOT(ISERROR(SEARCH("AM",D101)))</formula>
    </cfRule>
  </conditionalFormatting>
  <conditionalFormatting sqref="D116">
    <cfRule type="containsText" priority="93" operator="containsText" dxfId="0" text="PM">
      <formula>NOT(ISERROR(SEARCH("PM",D116)))</formula>
    </cfRule>
    <cfRule type="containsText" priority="91" operator="containsText" dxfId="30" text="All Day">
      <formula>NOT(ISERROR(SEARCH("All Day",D116)))</formula>
    </cfRule>
    <cfRule type="containsText" priority="92" operator="containsText" dxfId="26" text="AM">
      <formula>NOT(ISERROR(SEARCH("AM",D116)))</formula>
    </cfRule>
  </conditionalFormatting>
  <conditionalFormatting sqref="D122:D124">
    <cfRule type="containsText" priority="90" operator="containsText" dxfId="0" text="PM">
      <formula>NOT(ISERROR(SEARCH("PM",D122)))</formula>
    </cfRule>
    <cfRule type="containsText" priority="88" operator="containsText" dxfId="108" text="AM/PM">
      <formula>NOT(ISERROR(SEARCH("AM/PM",D122)))</formula>
    </cfRule>
    <cfRule type="containsText" priority="89" operator="containsText" dxfId="26" text="AM">
      <formula>NOT(ISERROR(SEARCH("AM",D122)))</formula>
    </cfRule>
  </conditionalFormatting>
  <conditionalFormatting sqref="D328:D329">
    <cfRule type="containsText" priority="87" operator="containsText" dxfId="0" text="PM">
      <formula>NOT(ISERROR(SEARCH("PM",D328)))</formula>
    </cfRule>
    <cfRule type="containsText" priority="85" operator="containsText" dxfId="30" text="All Day">
      <formula>NOT(ISERROR(SEARCH("All Day",D328)))</formula>
    </cfRule>
    <cfRule type="containsText" priority="86" operator="containsText" dxfId="26" text="AM">
      <formula>NOT(ISERROR(SEARCH("AM",D328)))</formula>
    </cfRule>
  </conditionalFormatting>
  <conditionalFormatting sqref="D323">
    <cfRule type="containsText" priority="84" operator="containsText" dxfId="0" text="PM">
      <formula>NOT(ISERROR(SEARCH("PM",D323)))</formula>
    </cfRule>
    <cfRule type="containsText" priority="82" operator="containsText" dxfId="30" text="All Day">
      <formula>NOT(ISERROR(SEARCH("All Day",D323)))</formula>
    </cfRule>
    <cfRule type="containsText" priority="83" operator="containsText" dxfId="26" text="AM">
      <formula>NOT(ISERROR(SEARCH("AM",D323)))</formula>
    </cfRule>
  </conditionalFormatting>
  <conditionalFormatting sqref="D310:D316">
    <cfRule type="containsText" priority="81" operator="containsText" dxfId="0" text="PM">
      <formula>NOT(ISERROR(SEARCH("PM",D310)))</formula>
    </cfRule>
    <cfRule type="containsText" priority="79" operator="containsText" dxfId="30" text="All Day">
      <formula>NOT(ISERROR(SEARCH("All Day",D310)))</formula>
    </cfRule>
    <cfRule type="containsText" priority="80" operator="containsText" dxfId="26" text="AM">
      <formula>NOT(ISERROR(SEARCH("AM",D310)))</formula>
    </cfRule>
  </conditionalFormatting>
  <conditionalFormatting sqref="D340:D342">
    <cfRule type="containsText" priority="78" operator="containsText" dxfId="0" text="PM">
      <formula>NOT(ISERROR(SEARCH("PM",D340)))</formula>
    </cfRule>
    <cfRule type="containsText" priority="76" operator="containsText" dxfId="30" text="All Day">
      <formula>NOT(ISERROR(SEARCH("All Day",D340)))</formula>
    </cfRule>
    <cfRule type="containsText" priority="77" operator="containsText" dxfId="26" text="AM">
      <formula>NOT(ISERROR(SEARCH("AM",D340)))</formula>
    </cfRule>
  </conditionalFormatting>
  <conditionalFormatting sqref="D468">
    <cfRule type="containsText" priority="75" operator="containsText" dxfId="0" text="PM">
      <formula>NOT(ISERROR(SEARCH("PM",D468)))</formula>
    </cfRule>
    <cfRule type="containsText" priority="73" operator="containsText" dxfId="30" text="All Day">
      <formula>NOT(ISERROR(SEARCH("All Day",D468)))</formula>
    </cfRule>
    <cfRule type="containsText" priority="74" operator="containsText" dxfId="26" text="AM">
      <formula>NOT(ISERROR(SEARCH("AM",D468)))</formula>
    </cfRule>
  </conditionalFormatting>
  <conditionalFormatting sqref="D344">
    <cfRule type="containsText" priority="72" operator="containsText" dxfId="0" text="PM">
      <formula>NOT(ISERROR(SEARCH("PM",D344)))</formula>
    </cfRule>
    <cfRule type="containsText" priority="70" operator="containsText" dxfId="30" text="All Day">
      <formula>NOT(ISERROR(SEARCH("All Day",D344)))</formula>
    </cfRule>
    <cfRule type="containsText" priority="71" operator="containsText" dxfId="26" text="AM">
      <formula>NOT(ISERROR(SEARCH("AM",D344)))</formula>
    </cfRule>
  </conditionalFormatting>
  <conditionalFormatting sqref="D454">
    <cfRule type="containsText" priority="66" operator="containsText" dxfId="0" text="PM">
      <formula>NOT(ISERROR(SEARCH("PM",D454)))</formula>
    </cfRule>
    <cfRule type="containsText" priority="64" operator="containsText" dxfId="30" text="All Day">
      <formula>NOT(ISERROR(SEARCH("All Day",D454)))</formula>
    </cfRule>
    <cfRule type="containsText" priority="65" operator="containsText" dxfId="26" text="AM">
      <formula>NOT(ISERROR(SEARCH("AM",D454)))</formula>
    </cfRule>
  </conditionalFormatting>
  <conditionalFormatting sqref="D443:D444">
    <cfRule type="containsText" priority="63" operator="containsText" dxfId="0" text="PM">
      <formula>NOT(ISERROR(SEARCH("PM",D443)))</formula>
    </cfRule>
    <cfRule type="containsText" priority="61" operator="containsText" dxfId="30" text="All Day">
      <formula>NOT(ISERROR(SEARCH("All Day",D443)))</formula>
    </cfRule>
    <cfRule type="containsText" priority="62" operator="containsText" dxfId="26" text="AM">
      <formula>NOT(ISERROR(SEARCH("AM",D443)))</formula>
    </cfRule>
  </conditionalFormatting>
  <conditionalFormatting sqref="D463">
    <cfRule type="containsText" priority="57" operator="containsText" dxfId="0" text="PM">
      <formula>NOT(ISERROR(SEARCH("PM",D463)))</formula>
    </cfRule>
    <cfRule type="containsText" priority="55" operator="containsText" dxfId="30" text="All Day">
      <formula>NOT(ISERROR(SEARCH("All Day",D463)))</formula>
    </cfRule>
    <cfRule type="containsText" priority="56" operator="containsText" dxfId="26" text="AM">
      <formula>NOT(ISERROR(SEARCH("AM",D463)))</formula>
    </cfRule>
  </conditionalFormatting>
  <conditionalFormatting sqref="D445 D451">
    <cfRule type="containsText" priority="54" operator="containsText" dxfId="0" text="PM">
      <formula>NOT(ISERROR(SEARCH("PM",D445)))</formula>
    </cfRule>
    <cfRule type="containsText" priority="52" operator="containsText" dxfId="30" text="All Day">
      <formula>NOT(ISERROR(SEARCH("All Day",D445)))</formula>
    </cfRule>
    <cfRule type="containsText" priority="53" operator="containsText" dxfId="26" text="AM">
      <formula>NOT(ISERROR(SEARCH("AM",D445)))</formula>
    </cfRule>
    <cfRule type="containsText" priority="51" operator="containsText" dxfId="0" text="PM">
      <formula>NOT(ISERROR(SEARCH("PM",D445)))</formula>
    </cfRule>
    <cfRule type="containsText" priority="49" operator="containsText" dxfId="30" text="All Day">
      <formula>NOT(ISERROR(SEARCH("All Day",D445)))</formula>
    </cfRule>
    <cfRule type="containsText" priority="50" operator="containsText" dxfId="26" text="AM">
      <formula>NOT(ISERROR(SEARCH("AM",D445)))</formula>
    </cfRule>
  </conditionalFormatting>
  <conditionalFormatting sqref="D439">
    <cfRule type="containsText" priority="48" operator="containsText" dxfId="0" text="PM">
      <formula>NOT(ISERROR(SEARCH("PM",D439)))</formula>
    </cfRule>
    <cfRule type="containsText" priority="46" operator="containsText" dxfId="30" text="All Day">
      <formula>NOT(ISERROR(SEARCH("All Day",D439)))</formula>
    </cfRule>
    <cfRule type="containsText" priority="47" operator="containsText" dxfId="26" text="AM">
      <formula>NOT(ISERROR(SEARCH("AM",D439)))</formula>
    </cfRule>
  </conditionalFormatting>
  <conditionalFormatting sqref="D464:D467">
    <cfRule type="containsText" priority="45" operator="containsText" dxfId="0" text="PM">
      <formula>NOT(ISERROR(SEARCH("PM",D464)))</formula>
    </cfRule>
    <cfRule type="containsText" priority="43" operator="containsText" dxfId="30" text="All Day">
      <formula>NOT(ISERROR(SEARCH("All Day",D464)))</formula>
    </cfRule>
    <cfRule type="containsText" priority="44" operator="containsText" dxfId="26" text="AM">
      <formula>NOT(ISERROR(SEARCH("AM",D464)))</formula>
    </cfRule>
  </conditionalFormatting>
  <conditionalFormatting sqref="D446 D450">
    <cfRule type="containsText" priority="42" operator="containsText" dxfId="0" text="PM">
      <formula>NOT(ISERROR(SEARCH("PM",D446)))</formula>
    </cfRule>
    <cfRule type="containsText" priority="40" operator="containsText" dxfId="30" text="All Day">
      <formula>NOT(ISERROR(SEARCH("All Day",D446)))</formula>
    </cfRule>
    <cfRule type="containsText" priority="41" operator="containsText" dxfId="26" text="AM">
      <formula>NOT(ISERROR(SEARCH("AM",D446)))</formula>
    </cfRule>
  </conditionalFormatting>
  <conditionalFormatting sqref="D452">
    <cfRule type="containsText" priority="36" operator="containsText" dxfId="0" text="PM">
      <formula>NOT(ISERROR(SEARCH("PM",D452)))</formula>
    </cfRule>
    <cfRule type="containsText" priority="34" operator="containsText" dxfId="30" text="All Day">
      <formula>NOT(ISERROR(SEARCH("All Day",D452)))</formula>
    </cfRule>
    <cfRule type="containsText" priority="35" operator="containsText" dxfId="26" text="AM">
      <formula>NOT(ISERROR(SEARCH("AM",D452)))</formula>
    </cfRule>
  </conditionalFormatting>
  <conditionalFormatting sqref="D441:D442">
    <cfRule type="containsText" priority="33" operator="containsText" dxfId="0" text="PM">
      <formula>NOT(ISERROR(SEARCH("PM",D441)))</formula>
    </cfRule>
    <cfRule type="containsText" priority="31" operator="containsText" dxfId="30" text="All Day">
      <formula>NOT(ISERROR(SEARCH("All Day",D441)))</formula>
    </cfRule>
    <cfRule type="containsText" priority="32" operator="containsText" dxfId="26" text="AM">
      <formula>NOT(ISERROR(SEARCH("AM",D441)))</formula>
    </cfRule>
    <cfRule type="containsText" priority="30" operator="containsText" dxfId="0" text="PM">
      <formula>NOT(ISERROR(SEARCH("PM",D441)))</formula>
    </cfRule>
    <cfRule type="containsText" priority="28" operator="containsText" dxfId="30" text="All Day">
      <formula>NOT(ISERROR(SEARCH("All Day",D441)))</formula>
    </cfRule>
    <cfRule type="containsText" priority="29" operator="containsText" dxfId="26" text="AM">
      <formula>NOT(ISERROR(SEARCH("AM",D441)))</formula>
    </cfRule>
  </conditionalFormatting>
  <conditionalFormatting sqref="D552">
    <cfRule type="containsText" priority="27" operator="containsText" dxfId="0" text="PM">
      <formula>NOT(ISERROR(SEARCH("PM",D552)))</formula>
    </cfRule>
    <cfRule type="containsText" priority="25" operator="containsText" dxfId="30" text="All Day">
      <formula>NOT(ISERROR(SEARCH("All Day",D552)))</formula>
    </cfRule>
    <cfRule type="containsText" priority="26" operator="containsText" dxfId="26" text="AM">
      <formula>NOT(ISERROR(SEARCH("AM",D552)))</formula>
    </cfRule>
  </conditionalFormatting>
  <conditionalFormatting sqref="D453">
    <cfRule type="containsText" priority="24" operator="containsText" dxfId="0" text="PM">
      <formula>NOT(ISERROR(SEARCH("PM",D453)))</formula>
    </cfRule>
    <cfRule type="containsText" priority="22" operator="containsText" dxfId="30" text="All Day">
      <formula>NOT(ISERROR(SEARCH("All Day",D453)))</formula>
    </cfRule>
    <cfRule type="containsText" priority="23" operator="containsText" dxfId="26" text="AM">
      <formula>NOT(ISERROR(SEARCH("AM",D453)))</formula>
    </cfRule>
  </conditionalFormatting>
  <conditionalFormatting sqref="D447">
    <cfRule type="containsText" priority="21" operator="containsText" dxfId="0" text="PM">
      <formula>NOT(ISERROR(SEARCH("PM",D447)))</formula>
    </cfRule>
    <cfRule type="containsText" priority="19" operator="containsText" dxfId="30" text="All Day">
      <formula>NOT(ISERROR(SEARCH("All Day",D447)))</formula>
    </cfRule>
    <cfRule type="containsText" priority="20" operator="containsText" dxfId="26" text="AM">
      <formula>NOT(ISERROR(SEARCH("AM",D447)))</formula>
    </cfRule>
    <cfRule type="containsText" priority="18" operator="containsText" dxfId="0" text="PM">
      <formula>NOT(ISERROR(SEARCH("PM",D447)))</formula>
    </cfRule>
    <cfRule type="containsText" priority="16" operator="containsText" dxfId="30" text="All Day">
      <formula>NOT(ISERROR(SEARCH("All Day",D447)))</formula>
    </cfRule>
    <cfRule type="containsText" priority="17" operator="containsText" dxfId="26" text="AM">
      <formula>NOT(ISERROR(SEARCH("AM",D447)))</formula>
    </cfRule>
  </conditionalFormatting>
  <conditionalFormatting sqref="D449">
    <cfRule type="containsText" priority="15" operator="containsText" dxfId="0" text="PM">
      <formula>NOT(ISERROR(SEARCH("PM",D449)))</formula>
    </cfRule>
    <cfRule type="containsText" priority="13" operator="containsText" dxfId="30" text="All Day">
      <formula>NOT(ISERROR(SEARCH("All Day",D449)))</formula>
    </cfRule>
    <cfRule type="containsText" priority="14" operator="containsText" dxfId="26" text="AM">
      <formula>NOT(ISERROR(SEARCH("AM",D449)))</formula>
    </cfRule>
    <cfRule type="containsText" priority="12" operator="containsText" dxfId="0" text="PM">
      <formula>NOT(ISERROR(SEARCH("PM",D449)))</formula>
    </cfRule>
    <cfRule type="containsText" priority="10" operator="containsText" dxfId="30" text="All Day">
      <formula>NOT(ISERROR(SEARCH("All Day",D449)))</formula>
    </cfRule>
    <cfRule type="containsText" priority="11" operator="containsText" dxfId="26" text="AM">
      <formula>NOT(ISERROR(SEARCH("AM",D449)))</formula>
    </cfRule>
  </conditionalFormatting>
  <conditionalFormatting sqref="D448">
    <cfRule type="containsText" priority="9" operator="containsText" dxfId="0" text="PM">
      <formula>NOT(ISERROR(SEARCH("PM",D448)))</formula>
    </cfRule>
    <cfRule type="containsText" priority="7" operator="containsText" dxfId="30" text="All Day">
      <formula>NOT(ISERROR(SEARCH("All Day",D448)))</formula>
    </cfRule>
    <cfRule type="containsText" priority="8" operator="containsText" dxfId="26" text="AM">
      <formula>NOT(ISERROR(SEARCH("AM",D448)))</formula>
    </cfRule>
    <cfRule type="containsText" priority="6" operator="containsText" dxfId="0" text="PM">
      <formula>NOT(ISERROR(SEARCH("PM",D448)))</formula>
    </cfRule>
    <cfRule type="containsText" priority="4" operator="containsText" dxfId="30" text="All Day">
      <formula>NOT(ISERROR(SEARCH("All Day",D448)))</formula>
    </cfRule>
    <cfRule type="containsText" priority="5" operator="containsText" dxfId="26" text="AM">
      <formula>NOT(ISERROR(SEARCH("AM",D448)))</formula>
    </cfRule>
  </conditionalFormatting>
  <conditionalFormatting sqref="D553">
    <cfRule type="containsText" priority="3" operator="containsText" dxfId="0" text="PM">
      <formula>NOT(ISERROR(SEARCH("PM",D553)))</formula>
    </cfRule>
    <cfRule type="containsText" priority="1" operator="containsText" dxfId="30" text="All Day">
      <formula>NOT(ISERROR(SEARCH("All Day",D553)))</formula>
    </cfRule>
    <cfRule type="containsText" priority="2" operator="containsText" dxfId="26" text="AM">
      <formula>NOT(ISERROR(SEARCH("AM",D553)))</formula>
    </cfRule>
  </conditionalFormatting>
  <hyperlinks>
    <hyperlink xmlns:r="http://schemas.openxmlformats.org/officeDocument/2006/relationships" ref="N11" display="barford.neil@gmail.com" r:id="rId1"/>
    <hyperlink xmlns:r="http://schemas.openxmlformats.org/officeDocument/2006/relationships" ref="N21" r:id="rId2"/>
    <hyperlink xmlns:r="http://schemas.openxmlformats.org/officeDocument/2006/relationships" ref="P21" r:id="rId3"/>
    <hyperlink xmlns:r="http://schemas.openxmlformats.org/officeDocument/2006/relationships" ref="N36" r:id="rId4"/>
    <hyperlink xmlns:r="http://schemas.openxmlformats.org/officeDocument/2006/relationships" ref="N52" r:id="rId5"/>
    <hyperlink xmlns:r="http://schemas.openxmlformats.org/officeDocument/2006/relationships" ref="N66" r:id="rId6"/>
    <hyperlink xmlns:r="http://schemas.openxmlformats.org/officeDocument/2006/relationships" ref="N80" r:id="rId7"/>
    <hyperlink xmlns:r="http://schemas.openxmlformats.org/officeDocument/2006/relationships" ref="N85" r:id="rId8"/>
    <hyperlink xmlns:r="http://schemas.openxmlformats.org/officeDocument/2006/relationships" ref="N105" display="mailto:bradleyrj22@gmail.com" r:id="rId9"/>
    <hyperlink xmlns:r="http://schemas.openxmlformats.org/officeDocument/2006/relationships" ref="N109" r:id="rId10"/>
    <hyperlink xmlns:r="http://schemas.openxmlformats.org/officeDocument/2006/relationships" ref="N116" r:id="rId11"/>
    <hyperlink xmlns:r="http://schemas.openxmlformats.org/officeDocument/2006/relationships" ref="R116" r:id="rId12"/>
    <hyperlink xmlns:r="http://schemas.openxmlformats.org/officeDocument/2006/relationships" ref="N120" r:id="rId13"/>
    <hyperlink xmlns:r="http://schemas.openxmlformats.org/officeDocument/2006/relationships" ref="N123" r:id="rId14"/>
    <hyperlink xmlns:r="http://schemas.openxmlformats.org/officeDocument/2006/relationships" ref="N148" r:id="rId15"/>
    <hyperlink xmlns:r="http://schemas.openxmlformats.org/officeDocument/2006/relationships" ref="N149" r:id="rId16"/>
    <hyperlink xmlns:r="http://schemas.openxmlformats.org/officeDocument/2006/relationships" ref="N155" r:id="rId17"/>
    <hyperlink xmlns:r="http://schemas.openxmlformats.org/officeDocument/2006/relationships" ref="N186" r:id="rId18"/>
    <hyperlink xmlns:r="http://schemas.openxmlformats.org/officeDocument/2006/relationships" ref="N187" r:id="rId19"/>
    <hyperlink xmlns:r="http://schemas.openxmlformats.org/officeDocument/2006/relationships" ref="Q188" r:id="rId20"/>
    <hyperlink xmlns:r="http://schemas.openxmlformats.org/officeDocument/2006/relationships" ref="N215" r:id="rId21"/>
    <hyperlink xmlns:r="http://schemas.openxmlformats.org/officeDocument/2006/relationships" ref="N216" r:id="rId22"/>
    <hyperlink xmlns:r="http://schemas.openxmlformats.org/officeDocument/2006/relationships" ref="N224" r:id="rId23"/>
    <hyperlink xmlns:r="http://schemas.openxmlformats.org/officeDocument/2006/relationships" ref="N225" r:id="rId24"/>
    <hyperlink xmlns:r="http://schemas.openxmlformats.org/officeDocument/2006/relationships" ref="Q233" r:id="rId25"/>
    <hyperlink xmlns:r="http://schemas.openxmlformats.org/officeDocument/2006/relationships" ref="N251" r:id="rId26"/>
    <hyperlink xmlns:r="http://schemas.openxmlformats.org/officeDocument/2006/relationships" ref="N261" r:id="rId27"/>
    <hyperlink xmlns:r="http://schemas.openxmlformats.org/officeDocument/2006/relationships" ref="N262" r:id="rId28"/>
    <hyperlink xmlns:r="http://schemas.openxmlformats.org/officeDocument/2006/relationships" ref="N263" r:id="rId29"/>
    <hyperlink xmlns:r="http://schemas.openxmlformats.org/officeDocument/2006/relationships" ref="N264" r:id="rId30"/>
    <hyperlink xmlns:r="http://schemas.openxmlformats.org/officeDocument/2006/relationships" ref="N266" r:id="rId31"/>
    <hyperlink xmlns:r="http://schemas.openxmlformats.org/officeDocument/2006/relationships" ref="N268" r:id="rId32"/>
    <hyperlink xmlns:r="http://schemas.openxmlformats.org/officeDocument/2006/relationships" ref="N272" r:id="rId33"/>
    <hyperlink xmlns:r="http://schemas.openxmlformats.org/officeDocument/2006/relationships" ref="N283" r:id="rId34"/>
    <hyperlink xmlns:r="http://schemas.openxmlformats.org/officeDocument/2006/relationships" ref="N287" r:id="rId35"/>
    <hyperlink xmlns:r="http://schemas.openxmlformats.org/officeDocument/2006/relationships" ref="N296" r:id="rId36"/>
    <hyperlink xmlns:r="http://schemas.openxmlformats.org/officeDocument/2006/relationships" ref="N297" r:id="rId37"/>
    <hyperlink xmlns:r="http://schemas.openxmlformats.org/officeDocument/2006/relationships" ref="N298" r:id="rId38"/>
    <hyperlink xmlns:r="http://schemas.openxmlformats.org/officeDocument/2006/relationships" ref="N307" r:id="rId39"/>
    <hyperlink xmlns:r="http://schemas.openxmlformats.org/officeDocument/2006/relationships" ref="N311" r:id="rId40"/>
    <hyperlink xmlns:r="http://schemas.openxmlformats.org/officeDocument/2006/relationships" ref="N317" r:id="rId41"/>
    <hyperlink xmlns:r="http://schemas.openxmlformats.org/officeDocument/2006/relationships" ref="N331" r:id="rId42"/>
    <hyperlink xmlns:r="http://schemas.openxmlformats.org/officeDocument/2006/relationships" ref="N333" r:id="rId43"/>
    <hyperlink xmlns:r="http://schemas.openxmlformats.org/officeDocument/2006/relationships" ref="R334" r:id="rId44"/>
    <hyperlink xmlns:r="http://schemas.openxmlformats.org/officeDocument/2006/relationships" ref="N344" r:id="rId45"/>
    <hyperlink xmlns:r="http://schemas.openxmlformats.org/officeDocument/2006/relationships" ref="N346" r:id="rId46"/>
    <hyperlink xmlns:r="http://schemas.openxmlformats.org/officeDocument/2006/relationships" ref="N362" r:id="rId47"/>
    <hyperlink xmlns:r="http://schemas.openxmlformats.org/officeDocument/2006/relationships" ref="Q362" r:id="rId48"/>
    <hyperlink xmlns:r="http://schemas.openxmlformats.org/officeDocument/2006/relationships" ref="N389" r:id="rId49"/>
    <hyperlink xmlns:r="http://schemas.openxmlformats.org/officeDocument/2006/relationships" ref="N390" r:id="rId50"/>
    <hyperlink xmlns:r="http://schemas.openxmlformats.org/officeDocument/2006/relationships" ref="N391" r:id="rId51"/>
    <hyperlink xmlns:r="http://schemas.openxmlformats.org/officeDocument/2006/relationships" ref="N392" r:id="rId52"/>
    <hyperlink xmlns:r="http://schemas.openxmlformats.org/officeDocument/2006/relationships" ref="Q393" r:id="rId53"/>
    <hyperlink xmlns:r="http://schemas.openxmlformats.org/officeDocument/2006/relationships" ref="N406" r:id="rId54"/>
    <hyperlink xmlns:r="http://schemas.openxmlformats.org/officeDocument/2006/relationships" ref="N407" r:id="rId55"/>
    <hyperlink xmlns:r="http://schemas.openxmlformats.org/officeDocument/2006/relationships" ref="N408" r:id="rId56"/>
    <hyperlink xmlns:r="http://schemas.openxmlformats.org/officeDocument/2006/relationships" ref="N413" r:id="rId57"/>
    <hyperlink xmlns:r="http://schemas.openxmlformats.org/officeDocument/2006/relationships" ref="N435" r:id="rId58"/>
    <hyperlink xmlns:r="http://schemas.openxmlformats.org/officeDocument/2006/relationships" ref="N439" r:id="rId59"/>
    <hyperlink xmlns:r="http://schemas.openxmlformats.org/officeDocument/2006/relationships" ref="N464" r:id="rId60"/>
    <hyperlink xmlns:r="http://schemas.openxmlformats.org/officeDocument/2006/relationships" ref="N472" r:id="rId61"/>
    <hyperlink xmlns:r="http://schemas.openxmlformats.org/officeDocument/2006/relationships" ref="N489" r:id="rId62"/>
    <hyperlink xmlns:r="http://schemas.openxmlformats.org/officeDocument/2006/relationships" ref="N490" r:id="rId63"/>
    <hyperlink xmlns:r="http://schemas.openxmlformats.org/officeDocument/2006/relationships" ref="N496" r:id="rId64"/>
    <hyperlink xmlns:r="http://schemas.openxmlformats.org/officeDocument/2006/relationships" ref="Q496" r:id="rId65"/>
    <hyperlink xmlns:r="http://schemas.openxmlformats.org/officeDocument/2006/relationships" ref="N499" r:id="rId66"/>
    <hyperlink xmlns:r="http://schemas.openxmlformats.org/officeDocument/2006/relationships" ref="N504" r:id="rId67"/>
    <hyperlink xmlns:r="http://schemas.openxmlformats.org/officeDocument/2006/relationships" ref="N505" r:id="rId68"/>
    <hyperlink xmlns:r="http://schemas.openxmlformats.org/officeDocument/2006/relationships" ref="N512" r:id="rId69"/>
    <hyperlink xmlns:r="http://schemas.openxmlformats.org/officeDocument/2006/relationships" ref="Q536" r:id="rId70"/>
    <hyperlink xmlns:r="http://schemas.openxmlformats.org/officeDocument/2006/relationships" ref="N553" r:id="rId71"/>
    <hyperlink xmlns:r="http://schemas.openxmlformats.org/officeDocument/2006/relationships" ref="N556" r:id="rId72"/>
    <hyperlink xmlns:r="http://schemas.openxmlformats.org/officeDocument/2006/relationships" ref="N557" r:id="rId73"/>
  </hyperlinks>
  <pageMargins left="0.25" right="0.25" top="0.75" bottom="0.75" header="0.3" footer="0.3"/>
  <pageSetup orientation="landscape" paperSize="9" scale="10"/>
  <legacyDrawing xmlns:r="http://schemas.openxmlformats.org/officeDocument/2006/relationships" r:id="anysvml"/>
</worksheet>
</file>

<file path=xl/worksheets/sheet33.xml><?xml version="1.0" encoding="utf-8"?>
<worksheet xmlns="http://schemas.openxmlformats.org/spreadsheetml/2006/main">
  <sheetPr>
    <outlinePr summaryBelow="1" summaryRight="1"/>
    <pageSetUpPr fitToPage="1"/>
  </sheetPr>
  <dimension ref="A1:Y297"/>
  <sheetViews>
    <sheetView topLeftCell="C1" workbookViewId="0">
      <pane ySplit="1" topLeftCell="A217" activePane="bottomLeft" state="frozen"/>
      <selection pane="bottomLeft" activeCell="H263" sqref="H263"/>
    </sheetView>
  </sheetViews>
  <sheetFormatPr baseColWidth="8" defaultColWidth="9.1328125" defaultRowHeight="14.25"/>
  <cols>
    <col width="7.19921875" customWidth="1" style="1096" min="1" max="1"/>
    <col width="10.6640625" customWidth="1" style="1096" min="2" max="2"/>
    <col width="13.33203125" customWidth="1" style="1096" min="3" max="3"/>
    <col width="17.19921875" customWidth="1" style="1096" min="4" max="4"/>
    <col width="27.1328125" customWidth="1" style="1082" min="5" max="5"/>
    <col hidden="1" width="19.796875" customWidth="1" style="1082" min="6" max="6"/>
    <col width="55.53125" customWidth="1" style="1082" min="7" max="7"/>
    <col width="15.86328125" customWidth="1" style="1785" min="8" max="9"/>
    <col width="8.86328125" customWidth="1" style="1082" min="10" max="10"/>
    <col width="8" customWidth="1" style="1082" min="11" max="11"/>
    <col hidden="1" width="12.19921875" customWidth="1" style="1082" min="12" max="12"/>
    <col width="23.33203125" customWidth="1" style="1082" min="13" max="13"/>
    <col width="26.46484375" customWidth="1" style="1082" min="14" max="14"/>
    <col width="7.6640625" customWidth="1" style="1082" min="15" max="16"/>
    <col width="11.33203125" customWidth="1" style="1082" min="17" max="17"/>
    <col width="8.53125" customWidth="1" style="1082" min="18" max="18"/>
    <col width="11.86328125" customWidth="1" style="1082" min="19" max="19"/>
    <col width="15.33203125" customWidth="1" style="1082" min="20" max="21"/>
    <col width="9.86328125" bestFit="1" customWidth="1" style="1082" min="22" max="22"/>
    <col width="11.796875" customWidth="1" style="1082" min="23" max="23"/>
    <col width="9.1328125" customWidth="1" style="1082" min="24" max="24"/>
    <col width="10.796875" bestFit="1" customWidth="1" style="1082" min="25" max="25"/>
    <col width="9.1328125" customWidth="1" style="1082" min="26" max="16384"/>
  </cols>
  <sheetData>
    <row r="1" customFormat="1" s="1084">
      <c r="A1" s="1095" t="n"/>
      <c r="B1" s="1095" t="inlineStr">
        <is>
          <t>Diff</t>
        </is>
      </c>
      <c r="C1" s="1095" t="inlineStr">
        <is>
          <t>Difference</t>
        </is>
      </c>
      <c r="D1" s="1095" t="inlineStr">
        <is>
          <t>Download  List</t>
        </is>
      </c>
      <c r="E1" s="1084" t="inlineStr">
        <is>
          <t>Request ID</t>
        </is>
      </c>
      <c r="F1" s="1084" t="inlineStr">
        <is>
          <t>Session Status</t>
        </is>
      </c>
      <c r="G1" s="1084" t="inlineStr">
        <is>
          <t>Course Name</t>
        </is>
      </c>
      <c r="H1" s="1786" t="inlineStr">
        <is>
          <t>Start date</t>
        </is>
      </c>
      <c r="I1" s="1786" t="inlineStr">
        <is>
          <t>End date</t>
        </is>
      </c>
      <c r="J1" s="1084" t="inlineStr">
        <is>
          <t>Start Time</t>
        </is>
      </c>
      <c r="K1" s="1084" t="inlineStr">
        <is>
          <t>End Time</t>
        </is>
      </c>
      <c r="L1" s="1084" t="inlineStr">
        <is>
          <t>Location</t>
        </is>
      </c>
      <c r="M1" s="1084" t="inlineStr">
        <is>
          <t>Requestor Name</t>
        </is>
      </c>
      <c r="N1" s="1084" t="inlineStr">
        <is>
          <t>Requestor Email</t>
        </is>
      </c>
      <c r="O1" s="1084" t="inlineStr">
        <is>
          <t>Currency</t>
        </is>
      </c>
      <c r="P1" s="1084" t="inlineStr">
        <is>
          <t>Pay Supplier</t>
        </is>
      </c>
      <c r="Q1" s="1084" t="inlineStr">
        <is>
          <t>Invoice Value</t>
        </is>
      </c>
      <c r="R1" s="1084" t="inlineStr">
        <is>
          <t>Tree Planted</t>
        </is>
      </c>
      <c r="S1" s="1084" t="inlineStr">
        <is>
          <t>Cancel Cut off</t>
        </is>
      </c>
      <c r="T1" s="1132" t="inlineStr">
        <is>
          <t>Invoice</t>
        </is>
      </c>
      <c r="U1" s="1132" t="inlineStr">
        <is>
          <t>Invoice ref</t>
        </is>
      </c>
      <c r="V1" s="1084" t="inlineStr">
        <is>
          <t>Due</t>
        </is>
      </c>
      <c r="W1" s="1084" t="inlineStr">
        <is>
          <t>Paid</t>
        </is>
      </c>
      <c r="X1" s="1084" t="inlineStr">
        <is>
          <t>Date</t>
        </is>
      </c>
      <c r="Y1" s="1084" t="inlineStr">
        <is>
          <t>Outstanding</t>
        </is>
      </c>
    </row>
    <row r="2">
      <c r="A2" s="1096" t="n">
        <v>1</v>
      </c>
      <c r="B2" s="1096">
        <f>IF(COUNTIF(E$2:E$273, D2)=0, "Missing in D", "")</f>
        <v/>
      </c>
      <c r="C2" s="1096">
        <f>IF(COUNTIF(D$2:D$273, E2)=0, "Missing in E", "")</f>
        <v/>
      </c>
      <c r="D2" s="1096" t="inlineStr">
        <is>
          <t>IIY#08355222334715UW</t>
        </is>
      </c>
      <c r="E2" s="1155" t="inlineStr">
        <is>
          <t>IIY#4221637508371yeO</t>
        </is>
      </c>
      <c r="F2" s="1155" t="inlineStr">
        <is>
          <t>Seat Booking Confirmed</t>
        </is>
      </c>
      <c r="G2" s="1155" t="inlineStr">
        <is>
          <t>Abstract and Macro Photography Workshop Warwickshire</t>
        </is>
      </c>
      <c r="H2" s="1787" t="n">
        <v>45703</v>
      </c>
      <c r="I2" s="1787" t="n">
        <v>45703</v>
      </c>
      <c r="J2" s="1155" t="inlineStr">
        <is>
          <t>10:00:00</t>
        </is>
      </c>
      <c r="K2" s="1155" t="inlineStr">
        <is>
          <t>12:30:00</t>
        </is>
      </c>
      <c r="L2" s="1155" t="n"/>
      <c r="M2" s="1155" t="inlineStr">
        <is>
          <t>Andrew Lockwood</t>
        </is>
      </c>
      <c r="N2" s="1155" t="inlineStr">
        <is>
          <t>alockwo3@jaguarlandrover.com</t>
        </is>
      </c>
      <c r="O2" s="1155" t="inlineStr">
        <is>
          <t>GBP</t>
        </is>
      </c>
      <c r="P2" s="1155" t="n"/>
      <c r="Q2" s="1788" t="n">
        <v>60</v>
      </c>
      <c r="R2" s="1082" t="n">
        <v>1</v>
      </c>
      <c r="S2" s="1121">
        <f>H2-12</f>
        <v/>
      </c>
      <c r="T2" s="1121" t="n">
        <v>45703</v>
      </c>
      <c r="U2" s="1121" t="n"/>
      <c r="V2" s="1789">
        <f>H2+45</f>
        <v/>
      </c>
      <c r="W2" s="1082" t="n">
        <v>60</v>
      </c>
      <c r="X2" s="1121" t="n">
        <v>45757</v>
      </c>
      <c r="Y2" s="1790">
        <f>Q2-W2</f>
        <v/>
      </c>
    </row>
    <row r="3">
      <c r="A3" s="1096" t="n">
        <v>2</v>
      </c>
      <c r="B3" s="1096">
        <f>IF(COUNTIF(E$2:E$273, D3)=0, "Missing in D", "")</f>
        <v/>
      </c>
      <c r="C3" s="1096">
        <f>IF(COUNTIF(D$2:D$273, E3)=0, "Missing in E", "")</f>
        <v/>
      </c>
      <c r="D3" s="1096" t="inlineStr">
        <is>
          <t>IIY#7864011723471Tz9</t>
        </is>
      </c>
      <c r="E3" s="1155" t="inlineStr">
        <is>
          <t>IIY#8694275528371a5q</t>
        </is>
      </c>
      <c r="F3" s="1155" t="inlineStr">
        <is>
          <t>Seat Booking Confirmed</t>
        </is>
      </c>
      <c r="G3" s="1155" t="inlineStr">
        <is>
          <t>Photography Lessons - Private 1-2-1</t>
        </is>
      </c>
      <c r="H3" s="1787" t="n">
        <v>45707</v>
      </c>
      <c r="I3" s="1787" t="n">
        <v>45707</v>
      </c>
      <c r="J3" s="1157" t="n">
        <v>0.7916666666666666</v>
      </c>
      <c r="K3" s="1157" t="n">
        <v>0.8333333333333334</v>
      </c>
      <c r="L3" s="1155" t="n"/>
      <c r="M3" s="1155" t="inlineStr">
        <is>
          <t>Jo James</t>
        </is>
      </c>
      <c r="N3" s="1155" t="inlineStr">
        <is>
          <t>jjames8@jaguarlandrover.com</t>
        </is>
      </c>
      <c r="O3" s="1155" t="inlineStr">
        <is>
          <t>GBP</t>
        </is>
      </c>
      <c r="P3" s="1155" t="n"/>
      <c r="Q3" s="1788" t="n">
        <v>50</v>
      </c>
      <c r="R3" s="1082" t="n">
        <v>1</v>
      </c>
      <c r="S3" s="1121">
        <f>H3-12</f>
        <v/>
      </c>
      <c r="T3" s="1121" t="n">
        <v>45707</v>
      </c>
      <c r="U3" s="1121" t="n"/>
      <c r="V3" s="1789">
        <f>H3+45</f>
        <v/>
      </c>
      <c r="W3" s="1082" t="n">
        <v>50</v>
      </c>
      <c r="X3" s="1121" t="n">
        <v>45757</v>
      </c>
      <c r="Y3" s="1790">
        <f>Q3-W3</f>
        <v/>
      </c>
    </row>
    <row r="4">
      <c r="A4" s="1096" t="n">
        <v>3</v>
      </c>
      <c r="B4" s="1096">
        <f>IF(COUNTIF(E$2:E$273, D4)=0, "Missing in D", "")</f>
        <v/>
      </c>
      <c r="C4" s="1096">
        <f>IF(COUNTIF(D$2:D$273, E4)=0, "Missing in E", "")</f>
        <v/>
      </c>
      <c r="E4" s="1155" t="inlineStr">
        <is>
          <t>IIY#5175394858371ofg</t>
        </is>
      </c>
      <c r="F4" s="1155" t="inlineStr">
        <is>
          <t>Seat Booking Confirmed</t>
        </is>
      </c>
      <c r="G4" s="1155" t="inlineStr">
        <is>
          <t>Camera Courses For Beginners</t>
        </is>
      </c>
      <c r="H4" s="1787" t="n">
        <v>45712</v>
      </c>
      <c r="I4" s="1787" t="n">
        <v>45712</v>
      </c>
      <c r="J4" s="1157" t="n">
        <v>0.7916666666666666</v>
      </c>
      <c r="K4" s="1157" t="n">
        <v>0.875</v>
      </c>
      <c r="L4" s="1155" t="n"/>
      <c r="M4" s="1155" t="inlineStr">
        <is>
          <t>Chelsea Anderson</t>
        </is>
      </c>
      <c r="N4" s="1155" t="inlineStr">
        <is>
          <t>cander13@jaguarlandrover.com</t>
        </is>
      </c>
      <c r="O4" s="1155" t="inlineStr">
        <is>
          <t>GBP</t>
        </is>
      </c>
      <c r="P4" s="1155" t="n"/>
      <c r="Q4" s="1788" t="n">
        <v>150</v>
      </c>
      <c r="R4" s="1082" t="n">
        <v>1</v>
      </c>
      <c r="S4" s="1121">
        <f>H4-12</f>
        <v/>
      </c>
      <c r="T4" s="1121" t="n">
        <v>45712</v>
      </c>
      <c r="U4" s="1121" t="n"/>
      <c r="V4" s="1789">
        <f>H4+45</f>
        <v/>
      </c>
      <c r="W4" s="1082" t="n">
        <v>150</v>
      </c>
      <c r="X4" s="1121" t="n">
        <v>45757</v>
      </c>
      <c r="Y4" s="1790">
        <f>Q4-W4</f>
        <v/>
      </c>
    </row>
    <row r="5">
      <c r="A5" s="1096" t="n">
        <v>4</v>
      </c>
      <c r="B5" s="1096">
        <f>IF(COUNTIF(E$2:E$273, D5)=0, "Missing in D", "")</f>
        <v/>
      </c>
      <c r="C5" s="1096">
        <f>IF(COUNTIF(D$2:D$273, E5)=0, "Missing in E", "")</f>
        <v/>
      </c>
      <c r="E5" s="1155" t="inlineStr">
        <is>
          <t>IIY#4951943858371awi</t>
        </is>
      </c>
      <c r="F5" s="1155" t="inlineStr">
        <is>
          <t>Seat Booking Confirmed</t>
        </is>
      </c>
      <c r="G5" s="1155" t="inlineStr">
        <is>
          <t>Camera Courses For Beginners</t>
        </is>
      </c>
      <c r="H5" s="1787" t="n">
        <v>45712</v>
      </c>
      <c r="I5" s="1787" t="n">
        <v>45712</v>
      </c>
      <c r="J5" s="1157" t="n">
        <v>0.7916666666666666</v>
      </c>
      <c r="K5" s="1157" t="n">
        <v>0.875</v>
      </c>
      <c r="L5" s="1155" t="n"/>
      <c r="M5" s="1155" t="inlineStr">
        <is>
          <t>Richard Hill</t>
        </is>
      </c>
      <c r="N5" s="1155" t="inlineStr">
        <is>
          <t>rhill12@jaguarlandrover.com</t>
        </is>
      </c>
      <c r="O5" s="1155" t="inlineStr">
        <is>
          <t>GBP</t>
        </is>
      </c>
      <c r="P5" s="1155" t="n"/>
      <c r="Q5" s="1788" t="n">
        <v>150</v>
      </c>
      <c r="R5" s="1082" t="n">
        <v>1</v>
      </c>
      <c r="S5" s="1121">
        <f>H5-12</f>
        <v/>
      </c>
      <c r="T5" s="1121" t="n">
        <v>45712</v>
      </c>
      <c r="U5" s="1121" t="n"/>
      <c r="V5" s="1789">
        <f>H5+45</f>
        <v/>
      </c>
      <c r="W5" s="1082" t="n">
        <v>150</v>
      </c>
      <c r="X5" s="1121" t="n">
        <v>45757</v>
      </c>
      <c r="Y5" s="1790">
        <f>Q5-W5</f>
        <v/>
      </c>
    </row>
    <row r="6">
      <c r="A6" s="1096" t="n">
        <v>5</v>
      </c>
      <c r="B6" s="1096">
        <f>IF(COUNTIF(E$2:E$273, D6)=0, "Missing in D", "")</f>
        <v/>
      </c>
      <c r="C6" s="1096">
        <f>IF(COUNTIF(D$2:D$273, E6)=0, "Missing in E", "")</f>
        <v/>
      </c>
      <c r="E6" s="1155" t="inlineStr">
        <is>
          <t>IIY#4797774168371tSB</t>
        </is>
      </c>
      <c r="F6" s="1155" t="inlineStr">
        <is>
          <t>Seat Booking Confirmed</t>
        </is>
      </c>
      <c r="G6" s="1155" t="inlineStr">
        <is>
          <t>Camera Courses For Beginners</t>
        </is>
      </c>
      <c r="H6" s="1787" t="n">
        <v>45712</v>
      </c>
      <c r="I6" s="1787" t="n">
        <v>45712</v>
      </c>
      <c r="J6" s="1157" t="n">
        <v>0.7916666666666666</v>
      </c>
      <c r="K6" s="1157" t="n">
        <v>0.875</v>
      </c>
      <c r="L6" s="1155" t="n"/>
      <c r="M6" s="1155" t="inlineStr">
        <is>
          <t>Cheryl Laverick</t>
        </is>
      </c>
      <c r="N6" s="1155" t="inlineStr">
        <is>
          <t>claveri1@jaguarlandrover.com</t>
        </is>
      </c>
      <c r="O6" s="1155" t="inlineStr">
        <is>
          <t>GBP</t>
        </is>
      </c>
      <c r="P6" s="1155" t="n"/>
      <c r="Q6" s="1788" t="n">
        <v>150</v>
      </c>
      <c r="R6" s="1082" t="n">
        <v>1</v>
      </c>
      <c r="S6" s="1121">
        <f>H6-12</f>
        <v/>
      </c>
      <c r="T6" s="1121" t="n">
        <v>45712</v>
      </c>
      <c r="U6" s="1121" t="n"/>
      <c r="V6" s="1789">
        <f>H6+45</f>
        <v/>
      </c>
      <c r="W6" s="1082" t="n">
        <v>150</v>
      </c>
      <c r="X6" s="1121" t="n">
        <v>45757</v>
      </c>
      <c r="Y6" s="1790">
        <f>Q6-W6</f>
        <v/>
      </c>
    </row>
    <row r="7">
      <c r="A7" s="1096" t="n">
        <v>6</v>
      </c>
      <c r="B7" s="1096">
        <f>IF(COUNTIF(E$2:E$273, D7)=0, "Missing in D", "")</f>
        <v/>
      </c>
      <c r="C7" s="1096">
        <f>IF(COUNTIF(D$2:D$273, E7)=0, "Missing in E", "")</f>
        <v/>
      </c>
      <c r="E7" s="1155" t="inlineStr">
        <is>
          <t>IIY#1295854328371aMn</t>
        </is>
      </c>
      <c r="F7" s="1155" t="inlineStr">
        <is>
          <t>Seat Booking Confirmed</t>
        </is>
      </c>
      <c r="G7" s="1155" t="inlineStr">
        <is>
          <t>Camera Courses For Beginners</t>
        </is>
      </c>
      <c r="H7" s="1787" t="n">
        <v>45712</v>
      </c>
      <c r="I7" s="1787" t="n">
        <v>45726</v>
      </c>
      <c r="J7" s="1157" t="n">
        <v>0.7916666666666666</v>
      </c>
      <c r="K7" s="1157" t="n">
        <v>0.875</v>
      </c>
      <c r="L7" s="1155" t="n"/>
      <c r="M7" s="1155" t="inlineStr">
        <is>
          <t>David Rochester</t>
        </is>
      </c>
      <c r="N7" s="1155" t="inlineStr">
        <is>
          <t>drochest@jaguarlandrover.com</t>
        </is>
      </c>
      <c r="O7" s="1155" t="inlineStr">
        <is>
          <t>GBP</t>
        </is>
      </c>
      <c r="P7" s="1155" t="n"/>
      <c r="Q7" s="1788" t="n">
        <v>150</v>
      </c>
      <c r="R7" s="1082" t="n">
        <v>1</v>
      </c>
      <c r="S7" s="1121">
        <f>H7-12</f>
        <v/>
      </c>
      <c r="T7" s="1121" t="n">
        <v>45712</v>
      </c>
      <c r="U7" s="1121" t="n"/>
      <c r="V7" s="1789">
        <f>H7+45</f>
        <v/>
      </c>
      <c r="W7" s="1082" t="n">
        <v>150</v>
      </c>
      <c r="X7" s="1121" t="n">
        <v>45757</v>
      </c>
      <c r="Y7" s="1790">
        <f>Q7-W7</f>
        <v/>
      </c>
    </row>
    <row r="8">
      <c r="A8" s="1096" t="n">
        <v>7</v>
      </c>
      <c r="B8" s="1096">
        <f>IF(COUNTIF(E$2:E$273, D8)=0, "Missing in D", "")</f>
        <v/>
      </c>
      <c r="C8" s="1096">
        <f>IF(COUNTIF(D$2:D$273, E8)=0, "Missing in E", "")</f>
        <v/>
      </c>
      <c r="E8" s="1155" t="inlineStr">
        <is>
          <t>IIY-#3222657371-#479</t>
        </is>
      </c>
      <c r="F8" s="1155" t="inlineStr">
        <is>
          <t>Seat Booking Confirmed</t>
        </is>
      </c>
      <c r="G8" s="1155" t="inlineStr">
        <is>
          <t>Woodland Photography Walk</t>
        </is>
      </c>
      <c r="H8" s="1787" t="n">
        <v>45721</v>
      </c>
      <c r="I8" s="1787" t="n">
        <v>45721</v>
      </c>
      <c r="J8" s="1155" t="inlineStr">
        <is>
          <t>09:30:00</t>
        </is>
      </c>
      <c r="K8" s="1155" t="inlineStr">
        <is>
          <t>11:30:00</t>
        </is>
      </c>
      <c r="L8" s="1155" t="n"/>
      <c r="M8" s="1155" t="inlineStr">
        <is>
          <t>Holly Pownall</t>
        </is>
      </c>
      <c r="N8" s="1155" t="inlineStr">
        <is>
          <t>hpownall@jaguarlandrover.com</t>
        </is>
      </c>
      <c r="O8" s="1155" t="inlineStr">
        <is>
          <t>GBP</t>
        </is>
      </c>
      <c r="P8" s="1155" t="n"/>
      <c r="Q8" s="1788" t="n">
        <v>12</v>
      </c>
      <c r="R8" s="1082" t="n">
        <v>1</v>
      </c>
      <c r="S8" s="1121">
        <f>H8-12</f>
        <v/>
      </c>
      <c r="T8" s="1121" t="n">
        <v>45721</v>
      </c>
      <c r="U8" s="1121" t="n"/>
      <c r="V8" s="1789">
        <f>H8+45</f>
        <v/>
      </c>
      <c r="W8" s="1082" t="n">
        <v>12</v>
      </c>
      <c r="X8" s="1121" t="n">
        <v>45783</v>
      </c>
      <c r="Y8" s="1790">
        <f>Q8-W8</f>
        <v/>
      </c>
    </row>
    <row r="9">
      <c r="A9" s="1096" t="n">
        <v>8</v>
      </c>
      <c r="B9" s="1096">
        <f>IF(COUNTIF(E$2:E$273, D9)=0, "Missing in D", "")</f>
        <v/>
      </c>
      <c r="C9" s="1096">
        <f>IF(COUNTIF(D$2:D$273, E9)=0, "Missing in E", "")</f>
        <v/>
      </c>
      <c r="E9" s="1155" t="inlineStr">
        <is>
          <t>IIY-#6465897371-#479</t>
        </is>
      </c>
      <c r="F9" s="1155" t="inlineStr">
        <is>
          <t>Seat Booking Confirmed</t>
        </is>
      </c>
      <c r="G9" s="1155" t="inlineStr">
        <is>
          <t>Woodland Photography Walk</t>
        </is>
      </c>
      <c r="H9" s="1787" t="n">
        <v>45721</v>
      </c>
      <c r="I9" s="1787" t="n">
        <v>45721</v>
      </c>
      <c r="J9" s="1155" t="inlineStr">
        <is>
          <t>09:30:00</t>
        </is>
      </c>
      <c r="K9" s="1155" t="inlineStr">
        <is>
          <t>11:30:00</t>
        </is>
      </c>
      <c r="L9" s="1155" t="n"/>
      <c r="M9" s="1155" t="inlineStr">
        <is>
          <t>Mya Sharda</t>
        </is>
      </c>
      <c r="N9" s="1155" t="inlineStr">
        <is>
          <t>msharda@jaguarlandrover.com</t>
        </is>
      </c>
      <c r="O9" s="1155" t="inlineStr">
        <is>
          <t>GBP</t>
        </is>
      </c>
      <c r="P9" s="1155" t="n"/>
      <c r="Q9" s="1788" t="n">
        <v>12</v>
      </c>
      <c r="R9" s="1082" t="n">
        <v>1</v>
      </c>
      <c r="S9" s="1121">
        <f>H9-12</f>
        <v/>
      </c>
      <c r="T9" s="1121" t="n">
        <v>45721</v>
      </c>
      <c r="U9" s="1121" t="n"/>
      <c r="V9" s="1789">
        <f>H9+45</f>
        <v/>
      </c>
      <c r="W9" s="1082" t="n">
        <v>12</v>
      </c>
      <c r="X9" s="1121" t="n">
        <v>45783</v>
      </c>
      <c r="Y9" s="1790">
        <f>Q9-W9</f>
        <v/>
      </c>
    </row>
    <row r="10">
      <c r="A10" s="1096" t="n">
        <v>9</v>
      </c>
      <c r="B10" s="1096">
        <f>IF(COUNTIF(E$2:E$273, D10)=0, "Missing in D", "")</f>
        <v/>
      </c>
      <c r="C10" s="1096">
        <f>IF(COUNTIF(D$2:D$273, E10)=0, "Missing in E", "")</f>
        <v/>
      </c>
      <c r="E10" s="1155" t="inlineStr">
        <is>
          <t>IIY#5479251089371mvv</t>
        </is>
      </c>
      <c r="F10" s="1155" t="inlineStr">
        <is>
          <t>Seat Booking Confirmed</t>
        </is>
      </c>
      <c r="G10" s="1155" t="inlineStr">
        <is>
          <t>Evening Urban Architecture Photography Workshop</t>
        </is>
      </c>
      <c r="H10" s="1787" t="n">
        <v>45721</v>
      </c>
      <c r="I10" s="1787" t="n">
        <v>45721</v>
      </c>
      <c r="J10" s="1157" t="n">
        <v>0.7708333333333334</v>
      </c>
      <c r="K10" s="1157" t="n">
        <v>0.875</v>
      </c>
      <c r="L10" s="1155" t="n"/>
      <c r="M10" s="1155" t="inlineStr">
        <is>
          <t>Phil Page</t>
        </is>
      </c>
      <c r="N10" s="1155" t="inlineStr">
        <is>
          <t>ppage1@jaguarlandrover.com</t>
        </is>
      </c>
      <c r="O10" s="1155" t="inlineStr">
        <is>
          <t>GBP</t>
        </is>
      </c>
      <c r="P10" s="1155" t="n"/>
      <c r="Q10" s="1788" t="n">
        <v>50</v>
      </c>
      <c r="S10" s="1121">
        <f>H10-12</f>
        <v/>
      </c>
      <c r="T10" s="1121" t="n">
        <v>45721</v>
      </c>
      <c r="U10" s="1121" t="n"/>
      <c r="V10" s="1789">
        <f>H10+45</f>
        <v/>
      </c>
      <c r="W10" s="1082" t="n">
        <v>50</v>
      </c>
      <c r="X10" s="1121" t="n">
        <v>45764</v>
      </c>
      <c r="Y10" s="1790">
        <f>Q10-W10</f>
        <v/>
      </c>
    </row>
    <row r="11">
      <c r="A11" s="1096" t="n">
        <v>10</v>
      </c>
      <c r="B11" s="1096">
        <f>IF(COUNTIF(E$2:E$273, D11)=0, "Missing in D", "")</f>
        <v/>
      </c>
      <c r="C11" s="1096">
        <f>IF(COUNTIF(D$2:D$273, E11)=0, "Missing in E", "")</f>
        <v/>
      </c>
      <c r="E11" s="1155" t="inlineStr">
        <is>
          <t>IIY#6572405319371DHZ</t>
        </is>
      </c>
      <c r="F11" s="1155" t="inlineStr">
        <is>
          <t>Seat Booking Confirmed</t>
        </is>
      </c>
      <c r="G11" s="1155" t="inlineStr">
        <is>
          <t>Evening Urban Architecture Photography Workshop</t>
        </is>
      </c>
      <c r="H11" s="1787" t="n">
        <v>45721</v>
      </c>
      <c r="I11" s="1787" t="n">
        <v>45721</v>
      </c>
      <c r="J11" s="1157" t="n">
        <v>0.7708333333333334</v>
      </c>
      <c r="K11" s="1157" t="n">
        <v>0.875</v>
      </c>
      <c r="L11" s="1155" t="n"/>
      <c r="M11" s="1155" t="inlineStr">
        <is>
          <t>Artemiy Brukhno</t>
        </is>
      </c>
      <c r="N11" s="1155" t="inlineStr">
        <is>
          <t>abrukhno@jaguarlandrover.com</t>
        </is>
      </c>
      <c r="O11" s="1155" t="inlineStr">
        <is>
          <t>GBP</t>
        </is>
      </c>
      <c r="P11" s="1155" t="n"/>
      <c r="Q11" s="1788" t="n">
        <v>50</v>
      </c>
      <c r="R11" s="1082" t="n">
        <v>1</v>
      </c>
      <c r="S11" s="1121">
        <f>H11-12</f>
        <v/>
      </c>
      <c r="T11" s="1121" t="n">
        <v>45721</v>
      </c>
      <c r="U11" s="1121" t="n"/>
      <c r="V11" s="1789">
        <f>H11+45</f>
        <v/>
      </c>
      <c r="W11" s="1082" t="n">
        <v>50</v>
      </c>
      <c r="X11" s="1121" t="n">
        <v>45764</v>
      </c>
      <c r="Y11" s="1790">
        <f>Q11-W11</f>
        <v/>
      </c>
    </row>
    <row r="12">
      <c r="A12" s="1096" t="n">
        <v>11</v>
      </c>
      <c r="B12" s="1096">
        <f>IF(COUNTIF(E$2:E$273, D12)=0, "Missing in D", "")</f>
        <v/>
      </c>
      <c r="C12" s="1096">
        <f>IF(COUNTIF(D$2:D$273, E12)=0, "Missing in E", "")</f>
        <v/>
      </c>
      <c r="E12" s="1155" t="inlineStr">
        <is>
          <t>IIY#4692912189371IEB</t>
        </is>
      </c>
      <c r="F12" s="1155" t="inlineStr">
        <is>
          <t>Seat Booking Confirmed</t>
        </is>
      </c>
      <c r="G12" s="1155" t="inlineStr">
        <is>
          <t>Evening Urban Architecture Photography Workshop</t>
        </is>
      </c>
      <c r="H12" s="1787" t="n">
        <v>45721</v>
      </c>
      <c r="I12" s="1787" t="n">
        <v>45721</v>
      </c>
      <c r="J12" s="1157" t="n">
        <v>0.7708333333333334</v>
      </c>
      <c r="K12" s="1157" t="n">
        <v>0.875</v>
      </c>
      <c r="L12" s="1155" t="n"/>
      <c r="M12" s="1155" t="inlineStr">
        <is>
          <t>Raamakrishnan Narayanan Sankaranarayanan</t>
        </is>
      </c>
      <c r="N12" s="1155" t="inlineStr">
        <is>
          <t>rnaraya8@jaguarlandrover.com</t>
        </is>
      </c>
      <c r="O12" s="1155" t="inlineStr">
        <is>
          <t>GBP</t>
        </is>
      </c>
      <c r="P12" s="1155" t="n"/>
      <c r="Q12" s="1788" t="n">
        <v>50</v>
      </c>
      <c r="S12" s="1121">
        <f>H12-12</f>
        <v/>
      </c>
      <c r="T12" s="1121" t="n">
        <v>45721</v>
      </c>
      <c r="U12" s="1121" t="n"/>
      <c r="V12" s="1789">
        <f>H12+45</f>
        <v/>
      </c>
      <c r="W12" s="1082" t="n">
        <v>50</v>
      </c>
      <c r="X12" s="1121" t="n">
        <v>45764</v>
      </c>
      <c r="Y12" s="1790">
        <f>Q12-W12</f>
        <v/>
      </c>
    </row>
    <row r="13">
      <c r="A13" s="1096" t="n">
        <v>12</v>
      </c>
      <c r="B13" s="1096">
        <f>IF(COUNTIF(E$2:E$273, D13)=0, "Missing in D", "")</f>
        <v/>
      </c>
      <c r="C13" s="1096">
        <f>IF(COUNTIF(D$2:D$273, E13)=0, "Missing in E", "")</f>
        <v/>
      </c>
      <c r="E13" s="1155" t="inlineStr">
        <is>
          <t>IIY#7182105608371uD7</t>
        </is>
      </c>
      <c r="F13" s="1155" t="inlineStr">
        <is>
          <t>Seat Booking Confirmed</t>
        </is>
      </c>
      <c r="G13" s="1155" t="inlineStr">
        <is>
          <t>Evening Urban Architecture Photography Workshop</t>
        </is>
      </c>
      <c r="H13" s="1787" t="n">
        <v>45721</v>
      </c>
      <c r="I13" s="1787" t="n">
        <v>45721</v>
      </c>
      <c r="J13" s="1155" t="inlineStr">
        <is>
          <t>18:30:00</t>
        </is>
      </c>
      <c r="K13" s="1155" t="inlineStr">
        <is>
          <t>21:00:00</t>
        </is>
      </c>
      <c r="L13" s="1155" t="n"/>
      <c r="M13" s="1155" t="inlineStr">
        <is>
          <t>Andrew Brady</t>
        </is>
      </c>
      <c r="N13" s="1155" t="inlineStr">
        <is>
          <t>abrady3@jaguarlandrover.com</t>
        </is>
      </c>
      <c r="O13" s="1155" t="inlineStr">
        <is>
          <t>GBP</t>
        </is>
      </c>
      <c r="P13" s="1155" t="n"/>
      <c r="Q13" s="1788" t="n">
        <v>50</v>
      </c>
      <c r="R13" s="1082" t="n">
        <v>1</v>
      </c>
      <c r="S13" s="1121">
        <f>H13-12</f>
        <v/>
      </c>
      <c r="T13" s="1121" t="n">
        <v>45721</v>
      </c>
      <c r="U13" s="1121" t="n"/>
      <c r="V13" s="1789">
        <f>H13+45</f>
        <v/>
      </c>
      <c r="W13" s="1082" t="n">
        <v>50</v>
      </c>
      <c r="X13" s="1121" t="n">
        <v>45764</v>
      </c>
      <c r="Y13" s="1790">
        <f>Q13-W13</f>
        <v/>
      </c>
    </row>
    <row r="14">
      <c r="A14" s="1096" t="n">
        <v>13</v>
      </c>
      <c r="B14" s="1096">
        <f>IF(COUNTIF(E$2:E$273, D14)=0, "Missing in D", "")</f>
        <v/>
      </c>
      <c r="C14" s="1096">
        <f>IF(COUNTIF(D$2:D$273, E14)=0, "Missing in E", "")</f>
        <v/>
      </c>
      <c r="E14" s="1155" t="inlineStr">
        <is>
          <t>IIY#4349216758371OLk</t>
        </is>
      </c>
      <c r="F14" s="1155" t="inlineStr">
        <is>
          <t>Seat Booking Confirmed</t>
        </is>
      </c>
      <c r="G14" s="1155" t="inlineStr">
        <is>
          <t>Evening Urban Architecture Photography Workshop</t>
        </is>
      </c>
      <c r="H14" s="1787" t="n">
        <v>45721</v>
      </c>
      <c r="I14" s="1787" t="n">
        <v>45721</v>
      </c>
      <c r="J14" s="1157" t="n">
        <v>0.7708333333333334</v>
      </c>
      <c r="K14" s="1157" t="n">
        <v>0.875</v>
      </c>
      <c r="L14" s="1155" t="n"/>
      <c r="M14" s="1155" t="inlineStr">
        <is>
          <t>Siddharth Manickavasagam</t>
        </is>
      </c>
      <c r="N14" s="1155" t="inlineStr">
        <is>
          <t>smanicka@jaguarlandrover.com</t>
        </is>
      </c>
      <c r="O14" s="1155" t="inlineStr">
        <is>
          <t>GBP</t>
        </is>
      </c>
      <c r="P14" s="1155" t="n"/>
      <c r="Q14" s="1788" t="n">
        <v>50</v>
      </c>
      <c r="R14" s="1082" t="n">
        <v>1</v>
      </c>
      <c r="S14" s="1121">
        <f>H14-12</f>
        <v/>
      </c>
      <c r="T14" s="1121" t="n">
        <v>45721</v>
      </c>
      <c r="U14" s="1121" t="n"/>
      <c r="V14" s="1789">
        <f>H14+45</f>
        <v/>
      </c>
      <c r="W14" s="1082" t="n">
        <v>50</v>
      </c>
      <c r="X14" s="1121" t="n">
        <v>45764</v>
      </c>
      <c r="Y14" s="1790">
        <f>Q14-W14</f>
        <v/>
      </c>
    </row>
    <row r="15">
      <c r="A15" s="1096" t="n">
        <v>14</v>
      </c>
      <c r="B15" s="1096">
        <f>IF(COUNTIF(E$2:E$273, D15)=0, "Missing in D", "")</f>
        <v/>
      </c>
      <c r="C15" s="1096">
        <f>IF(COUNTIF(D$2:D$273, E15)=0, "Missing in E", "")</f>
        <v/>
      </c>
      <c r="E15" s="1155" t="inlineStr">
        <is>
          <t>IIY#2553684608371E1l</t>
        </is>
      </c>
      <c r="F15" s="1155" t="inlineStr">
        <is>
          <t>Seat Booking Confirmed</t>
        </is>
      </c>
      <c r="G15" s="1155" t="inlineStr">
        <is>
          <t>Fairy Glen Betws-y-Coed Photography Workshop -  Wales</t>
        </is>
      </c>
      <c r="H15" s="1787" t="n">
        <v>45723</v>
      </c>
      <c r="I15" s="1787" t="n">
        <v>45723</v>
      </c>
      <c r="J15" s="1155" t="inlineStr">
        <is>
          <t>09:30:00</t>
        </is>
      </c>
      <c r="K15" s="1155" t="inlineStr">
        <is>
          <t>13:30:00</t>
        </is>
      </c>
      <c r="L15" s="1155" t="n"/>
      <c r="M15" s="1155" t="inlineStr">
        <is>
          <t>Andrew Brady</t>
        </is>
      </c>
      <c r="N15" s="1155" t="inlineStr">
        <is>
          <t>abrady3@jaguarlandrover.com</t>
        </is>
      </c>
      <c r="O15" s="1155" t="inlineStr">
        <is>
          <t>GBP</t>
        </is>
      </c>
      <c r="P15" s="1155" t="n"/>
      <c r="Q15" s="1788" t="n">
        <v>95</v>
      </c>
      <c r="R15" s="1082" t="n">
        <v>1</v>
      </c>
      <c r="S15" s="1121">
        <f>H15-12</f>
        <v/>
      </c>
      <c r="T15" s="1121" t="n">
        <v>45723</v>
      </c>
      <c r="U15" s="1121" t="n"/>
      <c r="V15" s="1789">
        <f>H15+45</f>
        <v/>
      </c>
      <c r="W15" s="1082" t="n">
        <v>95</v>
      </c>
      <c r="X15" s="1121" t="n">
        <v>45771</v>
      </c>
      <c r="Y15" s="1790">
        <f>Q15-W15</f>
        <v/>
      </c>
    </row>
    <row r="16">
      <c r="A16" s="1096" t="n">
        <v>15</v>
      </c>
      <c r="B16" s="1096">
        <f>IF(COUNTIF(E$2:E$273, D16)=0, "Missing in D", "")</f>
        <v/>
      </c>
      <c r="C16" s="1096">
        <f>IF(COUNTIF(D$2:D$273, E16)=0, "Missing in E", "")</f>
        <v/>
      </c>
      <c r="E16" s="1155" t="inlineStr">
        <is>
          <t>IIY#2167705328371tdr</t>
        </is>
      </c>
      <c r="F16" s="1155" t="inlineStr">
        <is>
          <t>Seat Booking Confirmed</t>
        </is>
      </c>
      <c r="G16" s="1155" t="inlineStr">
        <is>
          <t>Fairy Glen Betws-y-Coed Photography Workshop - Wales</t>
        </is>
      </c>
      <c r="H16" s="1787" t="n">
        <v>45723</v>
      </c>
      <c r="I16" s="1787" t="n">
        <v>45723</v>
      </c>
      <c r="J16" s="1157" t="n">
        <v>0.3958333333333333</v>
      </c>
      <c r="K16" s="1157" t="n">
        <v>0.5625</v>
      </c>
      <c r="L16" s="1155" t="n"/>
      <c r="M16" s="1155" t="inlineStr">
        <is>
          <t>Shilpa Dhanapal</t>
        </is>
      </c>
      <c r="N16" s="1155" t="inlineStr">
        <is>
          <t>sdhanap1@jaguarlandrover.com</t>
        </is>
      </c>
      <c r="O16" s="1155" t="inlineStr">
        <is>
          <t>GBP</t>
        </is>
      </c>
      <c r="P16" s="1155" t="n"/>
      <c r="Q16" s="1788" t="n">
        <v>95</v>
      </c>
      <c r="R16" s="1082" t="n">
        <v>1</v>
      </c>
      <c r="S16" s="1121">
        <f>H16-12</f>
        <v/>
      </c>
      <c r="T16" s="1121" t="n">
        <v>45723</v>
      </c>
      <c r="U16" s="1121" t="n"/>
      <c r="V16" s="1789">
        <f>H16+45</f>
        <v/>
      </c>
      <c r="W16" s="1082" t="n">
        <v>95</v>
      </c>
      <c r="X16" s="1121" t="n">
        <v>45771</v>
      </c>
      <c r="Y16" s="1790">
        <f>Q16-W16</f>
        <v/>
      </c>
    </row>
    <row r="17">
      <c r="A17" s="1096" t="n">
        <v>16</v>
      </c>
      <c r="B17" s="1096">
        <f>IF(COUNTIF(E$2:E$273, D17)=0, "Missing in D", "")</f>
        <v/>
      </c>
      <c r="C17" s="1096">
        <f>IF(COUNTIF(D$2:D$273, E17)=0, "Missing in E", "")</f>
        <v/>
      </c>
      <c r="E17" s="1155" t="inlineStr">
        <is>
          <t>IIY#6795259228371Hqn</t>
        </is>
      </c>
      <c r="F17" s="1155" t="inlineStr">
        <is>
          <t>Seat Booking Confirmed</t>
        </is>
      </c>
      <c r="G17" s="1155" t="inlineStr">
        <is>
          <t>Fairy Glen Betws-y-Coed Photography Workshop - Wales</t>
        </is>
      </c>
      <c r="H17" s="1787" t="n">
        <v>45723</v>
      </c>
      <c r="I17" s="1787" t="n">
        <v>45723</v>
      </c>
      <c r="J17" s="1157" t="n">
        <v>0.3958333333333333</v>
      </c>
      <c r="K17" s="1157" t="n">
        <v>0.5625</v>
      </c>
      <c r="L17" s="1155" t="n"/>
      <c r="M17" s="1155" t="inlineStr">
        <is>
          <t>Bob Prew</t>
        </is>
      </c>
      <c r="N17" s="1155" t="inlineStr">
        <is>
          <t>rprew@jaguarlandrover.com</t>
        </is>
      </c>
      <c r="O17" s="1155" t="inlineStr">
        <is>
          <t>GBP</t>
        </is>
      </c>
      <c r="P17" s="1155" t="n"/>
      <c r="Q17" s="1788" t="n">
        <v>95</v>
      </c>
      <c r="R17" s="1082" t="n">
        <v>1</v>
      </c>
      <c r="S17" s="1121">
        <f>H17-12</f>
        <v/>
      </c>
      <c r="T17" s="1121" t="n">
        <v>45723</v>
      </c>
      <c r="U17" s="1121" t="n"/>
      <c r="V17" s="1789">
        <f>H17+45</f>
        <v/>
      </c>
      <c r="W17" s="1082" t="n">
        <v>95</v>
      </c>
      <c r="X17" s="1121" t="n">
        <v>45771</v>
      </c>
      <c r="Y17" s="1790">
        <f>Q17-W17</f>
        <v/>
      </c>
    </row>
    <row r="18">
      <c r="A18" s="1096" t="n">
        <v>17</v>
      </c>
      <c r="B18" s="1096">
        <f>IF(COUNTIF(E$2:E$273, D18)=0, "Missing in D", "")</f>
        <v/>
      </c>
      <c r="C18" s="1096">
        <f>IF(COUNTIF(D$2:D$273, E18)=0, "Missing in E", "")</f>
        <v/>
      </c>
      <c r="E18" s="1155" t="inlineStr">
        <is>
          <t>IIY#1215502958371RBB</t>
        </is>
      </c>
      <c r="F18" s="1155" t="inlineStr">
        <is>
          <t>Seat Booking Confirmed</t>
        </is>
      </c>
      <c r="G18" s="1155" t="inlineStr">
        <is>
          <t>Photography Lessons - Private 1-2-1</t>
        </is>
      </c>
      <c r="H18" s="1787" t="n">
        <v>45730</v>
      </c>
      <c r="I18" s="1787" t="n">
        <v>45730</v>
      </c>
      <c r="J18" s="1157" t="n">
        <v>0.625</v>
      </c>
      <c r="K18" s="1157" t="n">
        <v>0.6666666666666666</v>
      </c>
      <c r="L18" s="1155" t="n"/>
      <c r="M18" s="1155" t="inlineStr">
        <is>
          <t>Chloe Taylor</t>
        </is>
      </c>
      <c r="N18" s="1155" t="inlineStr">
        <is>
          <t>ctaylo37@jaguarlandrover.com</t>
        </is>
      </c>
      <c r="O18" s="1155" t="inlineStr">
        <is>
          <t>GBP</t>
        </is>
      </c>
      <c r="P18" s="1155" t="n"/>
      <c r="Q18" s="1788" t="n">
        <v>50</v>
      </c>
      <c r="R18" s="1082" t="n">
        <v>1</v>
      </c>
      <c r="S18" s="1121">
        <f>H18-12</f>
        <v/>
      </c>
      <c r="T18" s="1121" t="n">
        <v>45757</v>
      </c>
      <c r="U18" s="1179" t="inlineStr">
        <is>
          <t>20250314-01</t>
        </is>
      </c>
      <c r="V18" s="1789">
        <f>H18+45</f>
        <v/>
      </c>
      <c r="W18" s="1082" t="n">
        <v>50</v>
      </c>
      <c r="X18" s="1121" t="n">
        <v>45800</v>
      </c>
      <c r="Y18" s="1790">
        <f>Q18-W18</f>
        <v/>
      </c>
    </row>
    <row r="19">
      <c r="A19" s="1096" t="n">
        <v>18</v>
      </c>
      <c r="B19" s="1096">
        <f>IF(COUNTIF(E$2:E$273, D19)=0, "Missing in D", "")</f>
        <v/>
      </c>
      <c r="C19" s="1096">
        <f>IF(COUNTIF(D$2:D$273, E19)=0, "Missing in E", "")</f>
        <v/>
      </c>
      <c r="E19" s="1155" t="inlineStr">
        <is>
          <t>IIY#7650391549371nrb</t>
        </is>
      </c>
      <c r="F19" s="1155" t="inlineStr">
        <is>
          <t>Seat Booking Confirmed</t>
        </is>
      </c>
      <c r="G19" s="1155" t="inlineStr">
        <is>
          <t>Photography Lessons - Private 1-2-1</t>
        </is>
      </c>
      <c r="H19" s="1787" t="n">
        <v>45735</v>
      </c>
      <c r="I19" s="1787" t="n">
        <v>45735</v>
      </c>
      <c r="J19" s="1157" t="n">
        <v>0.6666666666666666</v>
      </c>
      <c r="K19" s="1157" t="n">
        <v>0.7083333333333334</v>
      </c>
      <c r="L19" s="1155" t="n"/>
      <c r="M19" s="1155" t="inlineStr">
        <is>
          <t>Ian Burns</t>
        </is>
      </c>
      <c r="N19" s="1155" t="inlineStr">
        <is>
          <t>iburns1@jaguarlandrover.com</t>
        </is>
      </c>
      <c r="O19" s="1155" t="inlineStr">
        <is>
          <t>GBP</t>
        </is>
      </c>
      <c r="P19" s="1155" t="n"/>
      <c r="Q19" s="1788" t="n">
        <v>50</v>
      </c>
      <c r="S19" s="1121">
        <f>H19-12</f>
        <v/>
      </c>
      <c r="T19" s="1121" t="n">
        <v>45735</v>
      </c>
      <c r="U19" s="1121" t="n"/>
      <c r="V19" s="1789">
        <f>H19+45</f>
        <v/>
      </c>
      <c r="W19" s="1082" t="n">
        <v>50</v>
      </c>
      <c r="X19" s="1121" t="n">
        <v>45783</v>
      </c>
      <c r="Y19" s="1790">
        <f>Q19-W19</f>
        <v/>
      </c>
    </row>
    <row r="20">
      <c r="A20" s="1096" t="n">
        <v>19</v>
      </c>
      <c r="B20" s="1096">
        <f>IF(COUNTIF(E$2:E$273, D20)=0, "Missing in D", "")</f>
        <v/>
      </c>
      <c r="C20" s="1096">
        <f>IF(COUNTIF(D$2:D$273, E20)=0, "Missing in E", "")</f>
        <v/>
      </c>
      <c r="E20" s="1155" t="inlineStr">
        <is>
          <t>IIY#3620895578371vgs</t>
        </is>
      </c>
      <c r="F20" s="1155" t="inlineStr">
        <is>
          <t>Seat Booking Confirmed</t>
        </is>
      </c>
      <c r="G20" s="1155" t="inlineStr">
        <is>
          <t>Photography Mentoring for Qualification</t>
        </is>
      </c>
      <c r="H20" s="1787" t="n">
        <v>45736</v>
      </c>
      <c r="I20" s="1787" t="n">
        <v>45823</v>
      </c>
      <c r="J20" s="1157" t="n">
        <v>0.3333333333333333</v>
      </c>
      <c r="K20" s="1157" t="n">
        <v>0.8333333333333334</v>
      </c>
      <c r="L20" s="1155" t="n"/>
      <c r="M20" s="1155" t="inlineStr">
        <is>
          <t>Nicoleta Dinu</t>
        </is>
      </c>
      <c r="N20" s="1155" t="inlineStr">
        <is>
          <t>ndinu1@jaguarlandrover.com</t>
        </is>
      </c>
      <c r="O20" s="1155" t="inlineStr">
        <is>
          <t>GBP</t>
        </is>
      </c>
      <c r="P20" s="1155" t="n"/>
      <c r="Q20" s="1788" t="n">
        <v>150</v>
      </c>
      <c r="S20" s="1121">
        <f>H20-12</f>
        <v/>
      </c>
      <c r="T20" s="1121" t="n">
        <v>45736</v>
      </c>
      <c r="U20" s="1121" t="n"/>
      <c r="V20" s="1789">
        <f>H20+45</f>
        <v/>
      </c>
      <c r="W20" s="1082" t="n">
        <v>150</v>
      </c>
      <c r="X20" s="1121" t="n">
        <v>45783</v>
      </c>
      <c r="Y20" s="1790">
        <f>Q20-W20</f>
        <v/>
      </c>
    </row>
    <row r="21">
      <c r="A21" s="1096" t="n">
        <v>20</v>
      </c>
      <c r="B21" s="1096">
        <f>IF(COUNTIF(E$2:E$273, D21)=0, "Missing in D", "")</f>
        <v/>
      </c>
      <c r="C21" s="1096">
        <f>IF(COUNTIF(D$2:D$273, E21)=0, "Missing in E", "")</f>
        <v/>
      </c>
      <c r="E21" s="1155" t="inlineStr">
        <is>
          <t>IIY#4415640591471Brv</t>
        </is>
      </c>
      <c r="F21" s="1155" t="inlineStr">
        <is>
          <t>Seat Booking Confirmed</t>
        </is>
      </c>
      <c r="G21" s="1155" t="inlineStr">
        <is>
          <t>Camera Courses For Beginners</t>
        </is>
      </c>
      <c r="H21" s="1787" t="n">
        <v>45742</v>
      </c>
      <c r="I21" s="1787" t="n">
        <v>45756</v>
      </c>
      <c r="J21" s="1157" t="n">
        <v>0.7916666666666666</v>
      </c>
      <c r="K21" s="1157" t="n">
        <v>0.875</v>
      </c>
      <c r="L21" s="1155" t="n"/>
      <c r="M21" s="1155" t="inlineStr">
        <is>
          <t>BALA POLINENI</t>
        </is>
      </c>
      <c r="N21" s="1155" t="inlineStr">
        <is>
          <t>bpoline1@jaguarlandrover.com</t>
        </is>
      </c>
      <c r="O21" s="1155" t="inlineStr">
        <is>
          <t>GBP</t>
        </is>
      </c>
      <c r="P21" s="1155" t="n"/>
      <c r="Q21" s="1788" t="n">
        <v>150</v>
      </c>
      <c r="S21" s="1121">
        <f>H21-12</f>
        <v/>
      </c>
      <c r="T21" s="1121" t="n">
        <v>45742</v>
      </c>
      <c r="U21" s="1121" t="n"/>
      <c r="V21" s="1789">
        <f>H21+45</f>
        <v/>
      </c>
      <c r="W21" s="1788" t="n">
        <v>150</v>
      </c>
      <c r="X21" s="1121" t="n">
        <v>45789</v>
      </c>
      <c r="Y21" s="1790">
        <f>Q21-W21</f>
        <v/>
      </c>
    </row>
    <row r="22">
      <c r="A22" s="1096" t="n">
        <v>21</v>
      </c>
      <c r="B22" s="1096">
        <f>IF(COUNTIF(E$2:E$273, D22)=0, "Missing in D", "")</f>
        <v/>
      </c>
      <c r="C22" s="1096">
        <f>IF(COUNTIF(D$2:D$273, E22)=0, "Missing in E", "")</f>
        <v/>
      </c>
      <c r="E22" s="1155" t="inlineStr">
        <is>
          <t>IIY#9658346990471xVO</t>
        </is>
      </c>
      <c r="F22" s="1155" t="inlineStr">
        <is>
          <t>Seat Booking Confirmed</t>
        </is>
      </c>
      <c r="G22" s="1155" t="inlineStr">
        <is>
          <t>Camera Courses For Beginners</t>
        </is>
      </c>
      <c r="H22" s="1787" t="n">
        <v>45742</v>
      </c>
      <c r="I22" s="1787" t="n">
        <v>45756</v>
      </c>
      <c r="J22" s="1157" t="n">
        <v>0.7916666666666666</v>
      </c>
      <c r="K22" s="1157" t="n">
        <v>0.875</v>
      </c>
      <c r="L22" s="1155" t="n"/>
      <c r="M22" s="1155" t="inlineStr">
        <is>
          <t>Victor Alagbe</t>
        </is>
      </c>
      <c r="N22" s="1155" t="inlineStr">
        <is>
          <t>valagbe@jaguarlandrover.com</t>
        </is>
      </c>
      <c r="O22" s="1155" t="inlineStr">
        <is>
          <t>GBP</t>
        </is>
      </c>
      <c r="P22" s="1155" t="n"/>
      <c r="Q22" s="1788" t="n">
        <v>150</v>
      </c>
      <c r="S22" s="1121">
        <f>H22-12</f>
        <v/>
      </c>
      <c r="T22" s="1121" t="n">
        <v>45742</v>
      </c>
      <c r="U22" s="1121" t="n"/>
      <c r="V22" s="1789">
        <f>H22+45</f>
        <v/>
      </c>
      <c r="W22" s="1788" t="n">
        <v>150</v>
      </c>
      <c r="X22" s="1121" t="n">
        <v>45789</v>
      </c>
      <c r="Y22" s="1790">
        <f>Q22-W22</f>
        <v/>
      </c>
    </row>
    <row r="23">
      <c r="A23" s="1096" t="n">
        <v>22</v>
      </c>
      <c r="B23" s="1096">
        <f>IF(COUNTIF(E$2:E$273, D23)=0, "Missing in D", "")</f>
        <v/>
      </c>
      <c r="C23" s="1096">
        <f>IF(COUNTIF(D$2:D$273, E23)=0, "Missing in E", "")</f>
        <v/>
      </c>
      <c r="E23" s="1155" t="inlineStr">
        <is>
          <t>IIY#9793493480471ZwA</t>
        </is>
      </c>
      <c r="F23" s="1155" t="inlineStr">
        <is>
          <t>Seat Booking Confirmed</t>
        </is>
      </c>
      <c r="G23" s="1155" t="inlineStr">
        <is>
          <t>Camera Courses For Beginners</t>
        </is>
      </c>
      <c r="H23" s="1787" t="n">
        <v>45742</v>
      </c>
      <c r="I23" s="1787" t="n">
        <v>45756</v>
      </c>
      <c r="J23" s="1157" t="n">
        <v>0.7916666666666666</v>
      </c>
      <c r="K23" s="1157" t="n">
        <v>0.875</v>
      </c>
      <c r="L23" s="1155" t="n"/>
      <c r="M23" s="1155" t="inlineStr">
        <is>
          <t>Francesco De Bellis</t>
        </is>
      </c>
      <c r="N23" s="1155" t="inlineStr">
        <is>
          <t>fdebelli@jaguarlandrover.com</t>
        </is>
      </c>
      <c r="O23" s="1155" t="inlineStr">
        <is>
          <t>GBP</t>
        </is>
      </c>
      <c r="P23" s="1155" t="n"/>
      <c r="Q23" s="1788" t="n">
        <v>150</v>
      </c>
      <c r="S23" s="1121">
        <f>H23-12</f>
        <v/>
      </c>
      <c r="T23" s="1121" t="n">
        <v>45742</v>
      </c>
      <c r="U23" s="1121" t="n"/>
      <c r="V23" s="1789">
        <f>H23+45</f>
        <v/>
      </c>
      <c r="W23" s="1788" t="n">
        <v>150</v>
      </c>
      <c r="X23" s="1121" t="n">
        <v>45789</v>
      </c>
      <c r="Y23" s="1790">
        <f>Q23-W23</f>
        <v/>
      </c>
    </row>
    <row r="24">
      <c r="A24" s="1096" t="n">
        <v>23</v>
      </c>
      <c r="B24" s="1096">
        <f>IF(COUNTIF(E$2:E$273, D24)=0, "Missing in D", "")</f>
        <v/>
      </c>
      <c r="C24" s="1096">
        <f>IF(COUNTIF(D$2:D$273, E24)=0, "Missing in E", "")</f>
        <v/>
      </c>
      <c r="E24" s="1155" t="inlineStr">
        <is>
          <t>IIY#3848333811471ZVX</t>
        </is>
      </c>
      <c r="F24" s="1155" t="inlineStr">
        <is>
          <t>Seat Booking Confirmed</t>
        </is>
      </c>
      <c r="G24" s="1155" t="inlineStr">
        <is>
          <t>Photography Lessons - Private 1-2-1 (1HR)</t>
        </is>
      </c>
      <c r="H24" s="1787" t="n">
        <v>45743</v>
      </c>
      <c r="I24" s="1787" t="n">
        <v>45743</v>
      </c>
      <c r="J24" s="1157" t="n">
        <v>0.3333333333333333</v>
      </c>
      <c r="K24" s="1157" t="n">
        <v>0.7083333333333334</v>
      </c>
      <c r="L24" s="1155" t="n"/>
      <c r="M24" s="1155" t="inlineStr">
        <is>
          <t>Richard Parr</t>
        </is>
      </c>
      <c r="N24" s="1155" t="inlineStr">
        <is>
          <t>rparr1@jaguarlandrover.com</t>
        </is>
      </c>
      <c r="O24" s="1155" t="inlineStr">
        <is>
          <t>GBP</t>
        </is>
      </c>
      <c r="P24" s="1155" t="n"/>
      <c r="Q24" s="1788" t="n">
        <v>50</v>
      </c>
      <c r="S24" s="1121">
        <f>H24-12</f>
        <v/>
      </c>
      <c r="T24" s="1121" t="n">
        <v>45743</v>
      </c>
      <c r="U24" s="1121" t="n"/>
      <c r="V24" s="1789">
        <f>H24+45</f>
        <v/>
      </c>
      <c r="W24" s="1788" t="n">
        <v>50</v>
      </c>
      <c r="X24" s="1121" t="n">
        <v>45789</v>
      </c>
      <c r="Y24" s="1790">
        <f>Q24-W24</f>
        <v/>
      </c>
    </row>
    <row r="25">
      <c r="A25" s="1096" t="n">
        <v>24</v>
      </c>
      <c r="B25" s="1096">
        <f>IF(COUNTIF(E$2:E$273, D25)=0, "Missing in D", "")</f>
        <v/>
      </c>
      <c r="C25" s="1096">
        <f>IF(COUNTIF(D$2:D$273, E25)=0, "Missing in E", "")</f>
        <v/>
      </c>
      <c r="E25" s="1155" t="inlineStr">
        <is>
          <t>IIY#3512671600471kw5</t>
        </is>
      </c>
      <c r="F25" s="1155" t="inlineStr">
        <is>
          <t>Seat Booking Confirmed</t>
        </is>
      </c>
      <c r="G25" s="1155" t="inlineStr">
        <is>
          <t>Abstract and Macro Photography Workshop Warwickshire</t>
        </is>
      </c>
      <c r="H25" s="1787" t="n">
        <v>45745</v>
      </c>
      <c r="I25" s="1787" t="n">
        <v>45745</v>
      </c>
      <c r="J25" s="1157" t="n">
        <v>0.4166666666666667</v>
      </c>
      <c r="K25" s="1157" t="n">
        <v>0.5208333333333334</v>
      </c>
      <c r="L25" s="1155" t="n"/>
      <c r="M25" s="1155" t="inlineStr">
        <is>
          <t>Victoria Frankland</t>
        </is>
      </c>
      <c r="N25" s="1155" t="inlineStr">
        <is>
          <t>vfrankla@jaguarlandrover.com</t>
        </is>
      </c>
      <c r="O25" s="1155" t="inlineStr">
        <is>
          <t>GBP</t>
        </is>
      </c>
      <c r="P25" s="1155" t="n"/>
      <c r="Q25" s="1788" t="n">
        <v>60</v>
      </c>
      <c r="S25" s="1121">
        <f>H25-12</f>
        <v/>
      </c>
      <c r="T25" s="1121" t="n">
        <v>45745</v>
      </c>
      <c r="U25" s="1121" t="n"/>
      <c r="V25" s="1789">
        <f>H25+45</f>
        <v/>
      </c>
      <c r="W25" s="1788" t="n">
        <v>60</v>
      </c>
      <c r="X25" s="1121" t="n">
        <v>45789</v>
      </c>
      <c r="Y25" s="1790">
        <f>Q25-W25</f>
        <v/>
      </c>
    </row>
    <row r="26">
      <c r="A26" s="1096" t="n">
        <v>25</v>
      </c>
      <c r="B26" s="1096">
        <f>IF(COUNTIF(E$2:E$273, D26)=0, "Missing in D", "")</f>
        <v/>
      </c>
      <c r="C26" s="1096">
        <f>IF(COUNTIF(D$2:D$273, E26)=0, "Missing in E", "")</f>
        <v/>
      </c>
      <c r="E26" s="1155" t="inlineStr">
        <is>
          <t>IIY#1813740713471xFD</t>
        </is>
      </c>
      <c r="F26" s="1155" t="inlineStr">
        <is>
          <t>Seat Booking Confirmed</t>
        </is>
      </c>
      <c r="G26" s="1155" t="inlineStr">
        <is>
          <t>Photography Mentoring for Qualification</t>
        </is>
      </c>
      <c r="H26" s="1787" t="n">
        <v>45747</v>
      </c>
      <c r="I26" s="1787" t="n">
        <v>45747</v>
      </c>
      <c r="J26" s="1157" t="n">
        <v>0.3333333333333333</v>
      </c>
      <c r="K26" s="1157" t="n">
        <v>0.7083333333333334</v>
      </c>
      <c r="L26" s="1155" t="inlineStr">
        <is>
          <t>Online|</t>
        </is>
      </c>
      <c r="M26" s="1155" t="inlineStr">
        <is>
          <t>John Shilladay</t>
        </is>
      </c>
      <c r="N26" s="1155" t="inlineStr">
        <is>
          <t>jshillad@jaguarlandrover.com</t>
        </is>
      </c>
      <c r="O26" s="1155" t="inlineStr">
        <is>
          <t>GBP</t>
        </is>
      </c>
      <c r="P26" s="1155" t="n"/>
      <c r="Q26" s="1791" t="n">
        <v>150</v>
      </c>
      <c r="S26" s="1121">
        <f>H26-12</f>
        <v/>
      </c>
      <c r="T26" s="1121" t="n">
        <v>45747</v>
      </c>
      <c r="U26" s="1179" t="inlineStr">
        <is>
          <t>20250331-01</t>
        </is>
      </c>
      <c r="V26" s="1789">
        <f>H26+45</f>
        <v/>
      </c>
      <c r="W26" s="1082" t="n">
        <v>150</v>
      </c>
      <c r="X26" s="1121" t="n">
        <v>45800</v>
      </c>
      <c r="Y26" s="1790">
        <f>Q26-W26</f>
        <v/>
      </c>
    </row>
    <row r="27">
      <c r="A27" s="1096" t="n">
        <v>26</v>
      </c>
      <c r="B27" s="1096">
        <f>IF(COUNTIF(E$2:E$273, D27)=0, "Missing in D", "")</f>
        <v/>
      </c>
      <c r="C27" s="1096">
        <f>IF(COUNTIF(D$2:D$273, E27)=0, "Missing in E", "")</f>
        <v/>
      </c>
      <c r="E27" s="1155" t="inlineStr">
        <is>
          <t>IIY#5488650911471bVH</t>
        </is>
      </c>
      <c r="F27" s="1155" t="inlineStr">
        <is>
          <t>Seat Booking Confirmed</t>
        </is>
      </c>
      <c r="G27" s="1155" t="inlineStr">
        <is>
          <t>Photography Lessons - Private 1-2-1 (1HR)</t>
        </is>
      </c>
      <c r="H27" s="1787" t="n">
        <v>45750</v>
      </c>
      <c r="I27" s="1787" t="n">
        <v>45750</v>
      </c>
      <c r="J27" s="1157" t="n">
        <v>0.6666666666666666</v>
      </c>
      <c r="K27" s="1157" t="n">
        <v>0.7083333333333334</v>
      </c>
      <c r="L27" s="1155" t="n"/>
      <c r="M27" s="1155" t="inlineStr">
        <is>
          <t>Jarvis Simpson</t>
        </is>
      </c>
      <c r="N27" s="1155" t="inlineStr">
        <is>
          <t>psimpso4@jaguarlandrover.com</t>
        </is>
      </c>
      <c r="O27" s="1155" t="inlineStr">
        <is>
          <t>GBP</t>
        </is>
      </c>
      <c r="P27" s="1155" t="n"/>
      <c r="Q27" s="1788" t="n">
        <v>50</v>
      </c>
      <c r="S27" s="1121">
        <f>H27-12</f>
        <v/>
      </c>
      <c r="T27" s="1121" t="n">
        <v>45750</v>
      </c>
      <c r="U27" s="1121" t="inlineStr">
        <is>
          <t>20250403-01</t>
        </is>
      </c>
      <c r="V27" s="1789">
        <f>H27+45</f>
        <v/>
      </c>
      <c r="W27" s="1088" t="n">
        <v>50</v>
      </c>
      <c r="X27" s="1179" t="n">
        <v>45799</v>
      </c>
      <c r="Y27" s="1790">
        <f>Q27-W27</f>
        <v/>
      </c>
    </row>
    <row r="28">
      <c r="A28" s="1096" t="n">
        <v>27</v>
      </c>
      <c r="B28" s="1096">
        <f>IF(COUNTIF(E$2:E$273, D28)=0, "Missing in D", "")</f>
        <v/>
      </c>
      <c r="C28" s="1096">
        <f>IF(COUNTIF(D$2:D$273, E28)=0, "Missing in E", "")</f>
        <v/>
      </c>
      <c r="E28" s="1155" t="inlineStr">
        <is>
          <t>IIY#3674368692471Brj</t>
        </is>
      </c>
      <c r="F28" s="1155" t="inlineStr">
        <is>
          <t>Seat Booking Confirmed</t>
        </is>
      </c>
      <c r="G28" s="1155" t="inlineStr">
        <is>
          <t>Photography Lessons - Private 1-2-1 (1HR)</t>
        </is>
      </c>
      <c r="H28" s="1787" t="n">
        <v>45755</v>
      </c>
      <c r="I28" s="1787" t="n">
        <v>45755</v>
      </c>
      <c r="J28" s="1157" t="n">
        <v>0.6041666666666666</v>
      </c>
      <c r="K28" s="1157" t="n">
        <v>0.6458333333333334</v>
      </c>
      <c r="L28" s="1155" t="inlineStr">
        <is>
          <t>Coventry|</t>
        </is>
      </c>
      <c r="M28" s="1155" t="inlineStr">
        <is>
          <t>Andrew Morris</t>
        </is>
      </c>
      <c r="N28" s="1155" t="inlineStr">
        <is>
          <t>amorri28@jaguarlandrover.com</t>
        </is>
      </c>
      <c r="O28" s="1155" t="inlineStr">
        <is>
          <t>GBP</t>
        </is>
      </c>
      <c r="P28" s="1155" t="n"/>
      <c r="Q28" s="1791" t="n">
        <v>65</v>
      </c>
      <c r="S28" s="1121">
        <f>H28-12</f>
        <v/>
      </c>
      <c r="T28" s="1121" t="n">
        <v>45755</v>
      </c>
      <c r="U28" s="1179" t="inlineStr">
        <is>
          <t>20250408-01</t>
        </is>
      </c>
      <c r="V28" s="1789">
        <f>H28+45</f>
        <v/>
      </c>
      <c r="W28" s="1082" t="n">
        <v>65</v>
      </c>
      <c r="X28" s="1121" t="n">
        <v>45800</v>
      </c>
      <c r="Y28" s="1790">
        <f>Q28-W28</f>
        <v/>
      </c>
    </row>
    <row r="29">
      <c r="A29" s="1096" t="n">
        <v>28</v>
      </c>
      <c r="B29" s="1096">
        <f>IF(COUNTIF(E$2:E$273, D29)=0, "Missing in D", "")</f>
        <v/>
      </c>
      <c r="C29" s="1096">
        <f>IF(COUNTIF(D$2:D$273, E29)=0, "Missing in E", "")</f>
        <v/>
      </c>
      <c r="E29" s="1155" t="inlineStr">
        <is>
          <t>IIY#7009228801471hwd</t>
        </is>
      </c>
      <c r="F29" s="1155" t="inlineStr">
        <is>
          <t>Seat Booking Confirmed</t>
        </is>
      </c>
      <c r="G29" s="1155" t="inlineStr">
        <is>
          <t>Photography Lessons - Private 1-2-1 (1HR)</t>
        </is>
      </c>
      <c r="H29" s="1787" t="n">
        <v>45755</v>
      </c>
      <c r="I29" s="1787" t="n">
        <v>45755</v>
      </c>
      <c r="J29" s="1157" t="n">
        <v>0.5</v>
      </c>
      <c r="K29" s="1157" t="n">
        <v>0.5416666666666666</v>
      </c>
      <c r="L29" s="1155" t="n"/>
      <c r="M29" s="1155" t="inlineStr">
        <is>
          <t>Yogesh Rajanandam</t>
        </is>
      </c>
      <c r="N29" s="1155" t="inlineStr">
        <is>
          <t>yrajana1@jaguarlandrover.com</t>
        </is>
      </c>
      <c r="O29" s="1155" t="inlineStr">
        <is>
          <t>GBP</t>
        </is>
      </c>
      <c r="P29" s="1155" t="n"/>
      <c r="Q29" s="1788" t="n">
        <v>50</v>
      </c>
      <c r="S29" s="1121">
        <f>H29-12</f>
        <v/>
      </c>
      <c r="T29" s="1121" t="n">
        <v>45755</v>
      </c>
      <c r="U29" s="1179" t="inlineStr">
        <is>
          <t>20250408-01</t>
        </is>
      </c>
      <c r="V29" s="1789">
        <f>H29+45</f>
        <v/>
      </c>
      <c r="W29" s="1082" t="n">
        <v>50</v>
      </c>
      <c r="X29" s="1121" t="n">
        <v>45800</v>
      </c>
      <c r="Y29" s="1790">
        <f>Q29-W29</f>
        <v/>
      </c>
    </row>
    <row r="30">
      <c r="A30" s="1096" t="n">
        <v>29</v>
      </c>
      <c r="B30" s="1096">
        <f>IF(COUNTIF(E$2:E$273, D30)=0, "Missing in D", "")</f>
        <v/>
      </c>
      <c r="C30" s="1096">
        <f>IF(COUNTIF(D$2:D$273, E30)=0, "Missing in E", "")</f>
        <v/>
      </c>
      <c r="E30" s="1167" t="inlineStr">
        <is>
          <t>IIY#2337895871471CsV</t>
        </is>
      </c>
      <c r="F30" s="1167" t="inlineStr">
        <is>
          <t>Seat Booking Confirmed</t>
        </is>
      </c>
      <c r="G30" s="1167" t="inlineStr">
        <is>
          <t>Photography Lessons - Private 1-2-1 (1HR)</t>
        </is>
      </c>
      <c r="H30" s="1792" t="n">
        <v>45757</v>
      </c>
      <c r="I30" s="1792" t="n">
        <v>45757</v>
      </c>
      <c r="J30" s="1169" t="n">
        <v>0.6666666666666666</v>
      </c>
      <c r="K30" s="1169" t="n">
        <v>0.7083333333333334</v>
      </c>
      <c r="L30" s="1167" t="n"/>
      <c r="M30" s="1167" t="inlineStr">
        <is>
          <t>Ewan Atkinson</t>
        </is>
      </c>
      <c r="N30" s="1167" t="inlineStr">
        <is>
          <t>eatkinso@jaguarlandrover.com</t>
        </is>
      </c>
      <c r="O30" s="1167" t="inlineStr">
        <is>
          <t>GBP</t>
        </is>
      </c>
      <c r="P30" s="1167" t="n"/>
      <c r="Q30" s="1793" t="n">
        <v>65</v>
      </c>
      <c r="R30" s="1150" t="n"/>
      <c r="S30" s="1121">
        <f>H30-12</f>
        <v/>
      </c>
      <c r="T30" s="1170" t="n">
        <v>45757</v>
      </c>
      <c r="U30" s="1179" t="inlineStr">
        <is>
          <t>20250410-01</t>
        </is>
      </c>
      <c r="V30" s="1789">
        <f>H30+45</f>
        <v/>
      </c>
      <c r="W30" s="1082" t="n">
        <v>65</v>
      </c>
      <c r="X30" s="1121" t="n">
        <v>45800</v>
      </c>
      <c r="Y30" s="1790">
        <f>Q30-W30</f>
        <v/>
      </c>
    </row>
    <row r="31">
      <c r="A31" s="1096" t="n">
        <v>30</v>
      </c>
      <c r="B31" s="1096">
        <f>IF(COUNTIF(E$2:E$273, D31)=0, "Missing in D", "")</f>
        <v/>
      </c>
      <c r="C31" s="1096">
        <f>IF(COUNTIF(D$2:D$273, E31)=0, "Missing in E", "")</f>
        <v/>
      </c>
      <c r="E31" s="1155" t="inlineStr">
        <is>
          <t>IIY#4408849488371hvG</t>
        </is>
      </c>
      <c r="F31" s="1155" t="inlineStr">
        <is>
          <t>Seat Booking Confirmed</t>
        </is>
      </c>
      <c r="G31" s="1155" t="inlineStr">
        <is>
          <t>Long Exposure Photography Workshop - Sunset - Kenilworth</t>
        </is>
      </c>
      <c r="H31" s="1787" t="n">
        <v>45757</v>
      </c>
      <c r="I31" s="1787" t="n">
        <v>45757</v>
      </c>
      <c r="J31" s="1157" t="n">
        <v>0.7708333333333334</v>
      </c>
      <c r="K31" s="1157" t="n">
        <v>0.8645833333333334</v>
      </c>
      <c r="L31" s="1155" t="n"/>
      <c r="M31" s="1155" t="inlineStr">
        <is>
          <t>Arun Ambrose</t>
        </is>
      </c>
      <c r="N31" s="1155" t="inlineStr">
        <is>
          <t>aambros1@jaguarlandrover.com</t>
        </is>
      </c>
      <c r="O31" s="1155" t="inlineStr">
        <is>
          <t>GBP</t>
        </is>
      </c>
      <c r="P31" s="1155" t="n"/>
      <c r="Q31" s="1788" t="n">
        <v>50</v>
      </c>
      <c r="R31" s="1082" t="n">
        <v>1</v>
      </c>
      <c r="S31" s="1121">
        <f>H31-12</f>
        <v/>
      </c>
      <c r="T31" s="1170" t="n">
        <v>45757</v>
      </c>
      <c r="U31" s="1170" t="n"/>
      <c r="V31" s="1789">
        <f>H31+45</f>
        <v/>
      </c>
      <c r="W31" s="1088" t="n">
        <v>50</v>
      </c>
      <c r="X31" s="1179" t="n">
        <v>45799</v>
      </c>
      <c r="Y31" s="1790">
        <f>Q31-W31</f>
        <v/>
      </c>
    </row>
    <row r="32">
      <c r="A32" s="1096" t="n">
        <v>31</v>
      </c>
      <c r="B32" s="1096">
        <f>IF(COUNTIF(E$2:E$273, D32)=0, "Missing in D", "")</f>
        <v/>
      </c>
      <c r="C32" s="1096">
        <f>IF(COUNTIF(D$2:D$273, E32)=0, "Missing in E", "")</f>
        <v/>
      </c>
      <c r="E32" s="1155" t="inlineStr">
        <is>
          <t>IIY#6240780418371m3H</t>
        </is>
      </c>
      <c r="F32" s="1155" t="inlineStr">
        <is>
          <t>Seat Booking Confirmed</t>
        </is>
      </c>
      <c r="G32" s="1155" t="inlineStr">
        <is>
          <t>Long Exposure Photography Workshop - Sunset - Kenilworth</t>
        </is>
      </c>
      <c r="H32" s="1787" t="n">
        <v>45757</v>
      </c>
      <c r="I32" s="1787" t="n">
        <v>45757</v>
      </c>
      <c r="J32" s="1157" t="n">
        <v>0.7708333333333334</v>
      </c>
      <c r="K32" s="1157" t="n">
        <v>0.8645833333333334</v>
      </c>
      <c r="L32" s="1155" t="n"/>
      <c r="M32" s="1155" t="inlineStr">
        <is>
          <t>Andrew Lockwood</t>
        </is>
      </c>
      <c r="N32" s="1155" t="inlineStr">
        <is>
          <t>alockwo3@jaguarlandrover.com</t>
        </is>
      </c>
      <c r="O32" s="1155" t="inlineStr">
        <is>
          <t>GBP</t>
        </is>
      </c>
      <c r="P32" s="1155" t="n"/>
      <c r="Q32" s="1788" t="n">
        <v>50</v>
      </c>
      <c r="R32" s="1082" t="n">
        <v>1</v>
      </c>
      <c r="S32" s="1121">
        <f>H32-12</f>
        <v/>
      </c>
      <c r="T32" s="1170" t="n">
        <v>45757</v>
      </c>
      <c r="U32" s="1170" t="n"/>
      <c r="V32" s="1794">
        <f>H32+45</f>
        <v/>
      </c>
      <c r="W32" s="1088" t="n">
        <v>50</v>
      </c>
      <c r="X32" s="1179" t="n">
        <v>45799</v>
      </c>
      <c r="Y32" s="1790">
        <f>Q32-W32</f>
        <v/>
      </c>
    </row>
    <row r="33">
      <c r="A33" s="1096" t="n">
        <v>32</v>
      </c>
      <c r="B33" s="1096">
        <f>IF(COUNTIF(E$2:E$273, D33)=0, "Missing in D", "")</f>
        <v/>
      </c>
      <c r="C33" s="1096">
        <f>IF(COUNTIF(D$2:D$273, E33)=0, "Missing in E", "")</f>
        <v/>
      </c>
      <c r="E33" s="1155" t="inlineStr">
        <is>
          <t>IIY#0477954338371Qdu</t>
        </is>
      </c>
      <c r="F33" s="1155" t="inlineStr">
        <is>
          <t>Seat Booking Confirmed</t>
        </is>
      </c>
      <c r="G33" s="1155" t="inlineStr">
        <is>
          <t>Long Exposure Photography Workshop - Sunset - Kenilworth</t>
        </is>
      </c>
      <c r="H33" s="1787" t="n">
        <v>45757</v>
      </c>
      <c r="I33" s="1787" t="n">
        <v>45757</v>
      </c>
      <c r="J33" s="1157" t="n">
        <v>0.7708333333333334</v>
      </c>
      <c r="K33" s="1157" t="n">
        <v>0.8645833333333334</v>
      </c>
      <c r="L33" s="1155" t="n"/>
      <c r="M33" s="1155" t="inlineStr">
        <is>
          <t>Keith Phillips</t>
        </is>
      </c>
      <c r="N33" s="1155" t="inlineStr">
        <is>
          <t>kphill46@jaguarlandrover.com</t>
        </is>
      </c>
      <c r="O33" s="1155" t="inlineStr">
        <is>
          <t>GBP</t>
        </is>
      </c>
      <c r="P33" s="1155" t="n"/>
      <c r="Q33" s="1788" t="n">
        <v>50</v>
      </c>
      <c r="R33" s="1082" t="n">
        <v>1</v>
      </c>
      <c r="S33" s="1121">
        <f>H33-12</f>
        <v/>
      </c>
      <c r="T33" s="1170" t="n">
        <v>45757</v>
      </c>
      <c r="U33" s="1170" t="n"/>
      <c r="V33" s="1789">
        <f>H33+45</f>
        <v/>
      </c>
      <c r="W33" s="1088" t="n">
        <v>50</v>
      </c>
      <c r="X33" s="1179" t="n">
        <v>45799</v>
      </c>
      <c r="Y33" s="1790">
        <f>Q33-W33</f>
        <v/>
      </c>
    </row>
    <row r="34">
      <c r="A34" s="1096" t="n">
        <v>33</v>
      </c>
      <c r="B34" s="1096">
        <f>IF(COUNTIF(E$2:E$273, D34)=0, "Missing in D", "")</f>
        <v/>
      </c>
      <c r="C34" s="1096">
        <f>IF(COUNTIF(D$2:D$273, E34)=0, "Missing in E", "")</f>
        <v/>
      </c>
      <c r="E34" s="1155" t="inlineStr">
        <is>
          <t>IIY#9950205633471uyj</t>
        </is>
      </c>
      <c r="F34" s="1155" t="inlineStr">
        <is>
          <t>Seat Booking Confirmed</t>
        </is>
      </c>
      <c r="G34" s="1155" t="inlineStr">
        <is>
          <t>The Secrets of Woodland Photography - 1-Day Masterclass</t>
        </is>
      </c>
      <c r="H34" s="1787" t="inlineStr">
        <is>
          <t>13 Apr 2025</t>
        </is>
      </c>
      <c r="I34" s="1787" t="inlineStr">
        <is>
          <t>13 Apr 2025</t>
        </is>
      </c>
      <c r="J34" s="1157" t="inlineStr">
        <is>
          <t>10:00:00</t>
        </is>
      </c>
      <c r="K34" s="1157" t="inlineStr">
        <is>
          <t>16:00:00</t>
        </is>
      </c>
      <c r="L34" s="1155" t="inlineStr">
        <is>
          <t>Coventry|</t>
        </is>
      </c>
      <c r="M34" s="1155" t="inlineStr">
        <is>
          <t>Chan Jandu</t>
        </is>
      </c>
      <c r="N34" s="1155" t="inlineStr">
        <is>
          <t>cjandu@jaguarlandrover.com</t>
        </is>
      </c>
      <c r="O34" s="1155" t="inlineStr">
        <is>
          <t>GBP</t>
        </is>
      </c>
      <c r="P34" s="1155" t="n"/>
      <c r="Q34" s="1791" t="n">
        <v>125</v>
      </c>
      <c r="S34" s="1121">
        <f>H34-12</f>
        <v/>
      </c>
      <c r="T34" s="1121" t="n">
        <v>45760</v>
      </c>
      <c r="U34" s="1121" t="inlineStr">
        <is>
          <t>20250413-01</t>
        </is>
      </c>
      <c r="V34" s="1789">
        <f>H34+45</f>
        <v/>
      </c>
      <c r="W34" s="1791" t="n">
        <v>125</v>
      </c>
      <c r="X34" s="1121" t="n">
        <v>45797</v>
      </c>
      <c r="Y34" s="1790">
        <f>Q34-W34</f>
        <v/>
      </c>
    </row>
    <row r="35">
      <c r="A35" s="1096" t="n">
        <v>34</v>
      </c>
      <c r="B35" s="1096">
        <f>IF(COUNTIF(E$2:E$273, D35)=0, "Missing in D", "")</f>
        <v/>
      </c>
      <c r="C35" s="1096">
        <f>IF(COUNTIF(D$2:D$273, E35)=0, "Missing in E", "")</f>
        <v/>
      </c>
      <c r="E35" s="1155" t="inlineStr">
        <is>
          <t>IIY#8232208460471diA</t>
        </is>
      </c>
      <c r="F35" s="1155" t="inlineStr">
        <is>
          <t>Seat Booking Confirmed</t>
        </is>
      </c>
      <c r="G35" s="1155" t="inlineStr">
        <is>
          <t>The Secrets of Woodland Photography - 1-Day Masterclass</t>
        </is>
      </c>
      <c r="H35" s="1787" t="inlineStr">
        <is>
          <t>13 Apr 2025</t>
        </is>
      </c>
      <c r="I35" s="1787" t="inlineStr">
        <is>
          <t>13 Apr 2025</t>
        </is>
      </c>
      <c r="J35" s="1157" t="inlineStr">
        <is>
          <t>10:00:00</t>
        </is>
      </c>
      <c r="K35" s="1157" t="inlineStr">
        <is>
          <t>16:00:00</t>
        </is>
      </c>
      <c r="L35" s="1155" t="inlineStr">
        <is>
          <t>Coventry|</t>
        </is>
      </c>
      <c r="M35" s="1155" t="inlineStr">
        <is>
          <t>Anthony Hartwell</t>
        </is>
      </c>
      <c r="N35" s="1155" t="inlineStr">
        <is>
          <t>ahartwe1@jaguarlandrover.com</t>
        </is>
      </c>
      <c r="O35" s="1155" t="inlineStr">
        <is>
          <t>GBP</t>
        </is>
      </c>
      <c r="P35" s="1155" t="n"/>
      <c r="Q35" s="1788" t="n">
        <v>125</v>
      </c>
      <c r="S35" s="1121">
        <f>H35-12</f>
        <v/>
      </c>
      <c r="T35" s="1121" t="n">
        <v>45760</v>
      </c>
      <c r="U35" s="1121" t="inlineStr">
        <is>
          <t>20250413-01</t>
        </is>
      </c>
      <c r="V35" s="1789">
        <f>H35+45</f>
        <v/>
      </c>
      <c r="W35" s="1788" t="n">
        <v>125</v>
      </c>
      <c r="X35" s="1121" t="n">
        <v>45797</v>
      </c>
      <c r="Y35" s="1790">
        <f>Q35-W35</f>
        <v/>
      </c>
    </row>
    <row r="36">
      <c r="A36" s="1096" t="n">
        <v>35</v>
      </c>
      <c r="B36" s="1096">
        <f>IF(COUNTIF(E$2:E$273, D36)=0, "Missing in D", "")</f>
        <v/>
      </c>
      <c r="C36" s="1096">
        <f>IF(COUNTIF(D$2:D$273, E36)=0, "Missing in E", "")</f>
        <v/>
      </c>
      <c r="E36" s="1155" t="inlineStr">
        <is>
          <t>IIY#7312658992471LRs</t>
        </is>
      </c>
      <c r="F36" s="1155" t="inlineStr">
        <is>
          <t>Seat Booking Confirmed</t>
        </is>
      </c>
      <c r="G36" s="1155" t="inlineStr">
        <is>
          <t>Photography Lessons - Private 1-2-1 (1HR)</t>
        </is>
      </c>
      <c r="H36" s="1787" t="inlineStr">
        <is>
          <t>14 Apr 2025</t>
        </is>
      </c>
      <c r="I36" s="1787" t="inlineStr">
        <is>
          <t>14 Apr 2025</t>
        </is>
      </c>
      <c r="J36" s="1157" t="inlineStr">
        <is>
          <t>12:30:00</t>
        </is>
      </c>
      <c r="K36" s="1157" t="inlineStr">
        <is>
          <t>13:30:00</t>
        </is>
      </c>
      <c r="L36" s="1155" t="inlineStr">
        <is>
          <t>Coventry|</t>
        </is>
      </c>
      <c r="M36" s="1155" t="inlineStr">
        <is>
          <t>Blessent George</t>
        </is>
      </c>
      <c r="N36" s="1155" t="inlineStr">
        <is>
          <t>bgeorge4@jaguarlandrover.com</t>
        </is>
      </c>
      <c r="O36" s="1155" t="inlineStr">
        <is>
          <t>GBP</t>
        </is>
      </c>
      <c r="P36" s="1155" t="n"/>
      <c r="Q36" s="1791" t="n">
        <v>65</v>
      </c>
      <c r="S36" s="1121">
        <f>H36-12</f>
        <v/>
      </c>
      <c r="T36" s="1121" t="n">
        <v>45761</v>
      </c>
      <c r="U36" s="1121" t="inlineStr">
        <is>
          <t>20250414-01</t>
        </is>
      </c>
      <c r="V36" s="1789">
        <f>H36+45</f>
        <v/>
      </c>
      <c r="W36" s="1082" t="n">
        <v>65</v>
      </c>
      <c r="X36" s="1121" t="n">
        <v>45797</v>
      </c>
      <c r="Y36" s="1790">
        <f>Q36-W36</f>
        <v/>
      </c>
    </row>
    <row r="37">
      <c r="A37" s="1096" t="n">
        <v>36</v>
      </c>
      <c r="B37" s="1096">
        <f>IF(COUNTIF(E$2:E$273, D37)=0, "Missing in D", "")</f>
        <v/>
      </c>
      <c r="C37" s="1096">
        <f>IF(COUNTIF(D$2:D$273, E37)=0, "Missing in E", "")</f>
        <v/>
      </c>
      <c r="E37" s="1155" t="inlineStr">
        <is>
          <t>IIY#8409656732471iHl</t>
        </is>
      </c>
      <c r="F37" s="1155" t="inlineStr">
        <is>
          <t>Seat Booking Confirmed</t>
        </is>
      </c>
      <c r="G37" s="1155" t="inlineStr">
        <is>
          <t>Photography Lessons - Private 1-2-1 (1HR)</t>
        </is>
      </c>
      <c r="H37" s="1787" t="inlineStr">
        <is>
          <t>14 Apr 2025</t>
        </is>
      </c>
      <c r="I37" s="1787" t="inlineStr">
        <is>
          <t>14 Apr 2025</t>
        </is>
      </c>
      <c r="J37" s="1157" t="inlineStr">
        <is>
          <t>16:00:00</t>
        </is>
      </c>
      <c r="K37" s="1157" t="inlineStr">
        <is>
          <t>17:00:00</t>
        </is>
      </c>
      <c r="L37" s="1155" t="inlineStr">
        <is>
          <t>Coventry|</t>
        </is>
      </c>
      <c r="M37" s="1155" t="inlineStr">
        <is>
          <t>Gerry Daykin</t>
        </is>
      </c>
      <c r="N37" s="1155" t="inlineStr">
        <is>
          <t>gdaykin1@jaguarlandrover.com</t>
        </is>
      </c>
      <c r="O37" s="1155" t="inlineStr">
        <is>
          <t>GBP</t>
        </is>
      </c>
      <c r="P37" s="1155" t="n"/>
      <c r="Q37" s="1788" t="n">
        <v>50</v>
      </c>
      <c r="S37" s="1121">
        <f>H37-12</f>
        <v/>
      </c>
      <c r="T37" s="1121" t="n">
        <v>45761</v>
      </c>
      <c r="U37" s="1121" t="inlineStr">
        <is>
          <t>20250414-01</t>
        </is>
      </c>
      <c r="V37" s="1789">
        <f>H37+45</f>
        <v/>
      </c>
      <c r="W37" s="1082" t="n">
        <v>50</v>
      </c>
      <c r="X37" s="1121" t="n">
        <v>45797</v>
      </c>
      <c r="Y37" s="1790">
        <f>Q37-W37</f>
        <v/>
      </c>
    </row>
    <row r="38">
      <c r="A38" s="1096" t="n">
        <v>37</v>
      </c>
      <c r="B38" s="1096">
        <f>IF(COUNTIF(E$2:E$273, D38)=0, "Missing in D", "")</f>
        <v/>
      </c>
      <c r="C38" s="1096">
        <f>IF(COUNTIF(D$2:D$273, E38)=0, "Missing in E", "")</f>
        <v/>
      </c>
      <c r="E38" s="1155" t="inlineStr">
        <is>
          <t>IIY#7801083032471Tf2</t>
        </is>
      </c>
      <c r="F38" s="1155" t="inlineStr">
        <is>
          <t>Seat Booking Confirmed</t>
        </is>
      </c>
      <c r="G38" s="1155" t="inlineStr">
        <is>
          <t>Evening Urban Architecture Photography Workshop</t>
        </is>
      </c>
      <c r="H38" s="1787" t="inlineStr">
        <is>
          <t>14 Apr 2025</t>
        </is>
      </c>
      <c r="I38" s="1787" t="inlineStr">
        <is>
          <t>14 Apr 2025</t>
        </is>
      </c>
      <c r="J38" s="1157" t="inlineStr">
        <is>
          <t>19:00:00</t>
        </is>
      </c>
      <c r="K38" s="1157" t="inlineStr">
        <is>
          <t>21:00:00</t>
        </is>
      </c>
      <c r="L38" s="1155" t="inlineStr">
        <is>
          <t>Coventry|</t>
        </is>
      </c>
      <c r="M38" s="1155" t="inlineStr">
        <is>
          <t>Jevgenijs Kitajevs</t>
        </is>
      </c>
      <c r="N38" s="1155" t="inlineStr">
        <is>
          <t>jkitajev@jaguarlandrover.com</t>
        </is>
      </c>
      <c r="O38" s="1155" t="inlineStr">
        <is>
          <t>GBP</t>
        </is>
      </c>
      <c r="P38" s="1155" t="n"/>
      <c r="Q38" s="1788" t="n">
        <v>50</v>
      </c>
      <c r="S38" s="1121">
        <f>H38-12</f>
        <v/>
      </c>
      <c r="T38" s="1121" t="n">
        <v>45761</v>
      </c>
      <c r="U38" s="1121" t="inlineStr">
        <is>
          <t>20250414-02</t>
        </is>
      </c>
      <c r="V38" s="1789">
        <f>H38+45</f>
        <v/>
      </c>
      <c r="W38" s="1788" t="n">
        <v>50</v>
      </c>
      <c r="X38" s="1121" t="n">
        <v>45797</v>
      </c>
      <c r="Y38" s="1790">
        <f>Q38-W38</f>
        <v/>
      </c>
    </row>
    <row r="39">
      <c r="A39" s="1096" t="n">
        <v>38</v>
      </c>
      <c r="B39" s="1096">
        <f>IF(COUNTIF(E$2:E$273, D39)=0, "Missing in D", "")</f>
        <v/>
      </c>
      <c r="C39" s="1096">
        <f>IF(COUNTIF(D$2:D$273, E39)=0, "Missing in E", "")</f>
        <v/>
      </c>
      <c r="E39" s="1155" t="inlineStr">
        <is>
          <t>IIY#0974925092471MQq</t>
        </is>
      </c>
      <c r="F39" s="1155" t="inlineStr">
        <is>
          <t>Seat Booking Confirmed</t>
        </is>
      </c>
      <c r="G39" s="1155" t="inlineStr">
        <is>
          <t>Evening Urban Architecture Photography Workshop</t>
        </is>
      </c>
      <c r="H39" s="1787" t="inlineStr">
        <is>
          <t>14 Apr 2025</t>
        </is>
      </c>
      <c r="I39" s="1787" t="inlineStr">
        <is>
          <t>14 Apr 2025</t>
        </is>
      </c>
      <c r="J39" s="1157" t="inlineStr">
        <is>
          <t>19:00:00</t>
        </is>
      </c>
      <c r="K39" s="1157" t="inlineStr">
        <is>
          <t>21:00:00</t>
        </is>
      </c>
      <c r="L39" s="1155" t="inlineStr">
        <is>
          <t>Coventry|</t>
        </is>
      </c>
      <c r="M39" s="1155" t="inlineStr">
        <is>
          <t>Blessent George</t>
        </is>
      </c>
      <c r="N39" s="1155" t="inlineStr">
        <is>
          <t>bgeorge4@jaguarlandrover.com</t>
        </is>
      </c>
      <c r="O39" s="1155" t="inlineStr">
        <is>
          <t>GBP</t>
        </is>
      </c>
      <c r="P39" s="1155" t="n"/>
      <c r="Q39" s="1788" t="n">
        <v>50</v>
      </c>
      <c r="S39" s="1121">
        <f>H39-12</f>
        <v/>
      </c>
      <c r="T39" s="1121" t="n">
        <v>45761</v>
      </c>
      <c r="U39" s="1121" t="inlineStr">
        <is>
          <t>20250414-02</t>
        </is>
      </c>
      <c r="V39" s="1789">
        <f>H39+45</f>
        <v/>
      </c>
      <c r="W39" s="1788" t="n">
        <v>50</v>
      </c>
      <c r="X39" s="1121" t="n">
        <v>45797</v>
      </c>
      <c r="Y39" s="1790">
        <f>Q39-W39</f>
        <v/>
      </c>
    </row>
    <row r="40">
      <c r="A40" s="1096" t="n">
        <v>39</v>
      </c>
      <c r="B40" s="1096">
        <f>IF(COUNTIF(E$2:E$273, D40)=0, "Missing in D", "")</f>
        <v/>
      </c>
      <c r="C40" s="1096">
        <f>IF(COUNTIF(D$2:D$273, E40)=0, "Missing in E", "")</f>
        <v/>
      </c>
      <c r="E40" s="1155" t="inlineStr">
        <is>
          <t>IIY#0574177513471qol</t>
        </is>
      </c>
      <c r="F40" s="1155" t="inlineStr">
        <is>
          <t>Seat Booking Confirmed</t>
        </is>
      </c>
      <c r="G40" s="1155" t="inlineStr">
        <is>
          <t>Evening Urban Architecture Photography Workshop</t>
        </is>
      </c>
      <c r="H40" s="1787" t="inlineStr">
        <is>
          <t>14 Apr 2025</t>
        </is>
      </c>
      <c r="I40" s="1787" t="inlineStr">
        <is>
          <t>14 Apr 2025</t>
        </is>
      </c>
      <c r="J40" s="1157" t="inlineStr">
        <is>
          <t>19:00:00</t>
        </is>
      </c>
      <c r="K40" s="1157" t="inlineStr">
        <is>
          <t>21:00:00</t>
        </is>
      </c>
      <c r="L40" s="1155" t="inlineStr">
        <is>
          <t>Coventry|</t>
        </is>
      </c>
      <c r="M40" s="1155" t="inlineStr">
        <is>
          <t>Paul Galbraith</t>
        </is>
      </c>
      <c r="N40" s="1155" t="inlineStr">
        <is>
          <t>pgalbrai@jaguarlandrover.com</t>
        </is>
      </c>
      <c r="O40" s="1155" t="inlineStr">
        <is>
          <t>GBP</t>
        </is>
      </c>
      <c r="P40" s="1155" t="n"/>
      <c r="Q40" s="1791" t="n">
        <v>50</v>
      </c>
      <c r="S40" s="1121">
        <f>H40-12</f>
        <v/>
      </c>
      <c r="T40" s="1121" t="n">
        <v>45761</v>
      </c>
      <c r="U40" s="1121" t="inlineStr">
        <is>
          <t>20250414-02</t>
        </is>
      </c>
      <c r="V40" s="1789">
        <f>H40+45</f>
        <v/>
      </c>
      <c r="W40" s="1791" t="n">
        <v>50</v>
      </c>
      <c r="X40" s="1121" t="n">
        <v>45797</v>
      </c>
      <c r="Y40" s="1790">
        <f>Q40-W40</f>
        <v/>
      </c>
    </row>
    <row r="41">
      <c r="A41" s="1096" t="n">
        <v>40</v>
      </c>
      <c r="B41" s="1096">
        <f>IF(COUNTIF(E$2:E$273, D41)=0, "Missing in D", "")</f>
        <v/>
      </c>
      <c r="C41" s="1096">
        <f>IF(COUNTIF(D$2:D$273, E41)=0, "Missing in E", "")</f>
        <v/>
      </c>
      <c r="E41" s="1155" t="inlineStr">
        <is>
          <t>IIY#8268734733471H4k</t>
        </is>
      </c>
      <c r="F41" s="1155" t="inlineStr">
        <is>
          <t>Seat Booking Confirmed</t>
        </is>
      </c>
      <c r="G41" s="1155" t="inlineStr">
        <is>
          <t>Evening Urban Architecture Photography Workshop</t>
        </is>
      </c>
      <c r="H41" s="1787" t="inlineStr">
        <is>
          <t>14 Apr 2025</t>
        </is>
      </c>
      <c r="I41" s="1787" t="inlineStr">
        <is>
          <t>14 Apr 2025</t>
        </is>
      </c>
      <c r="J41" s="1157" t="inlineStr">
        <is>
          <t>19:00:00</t>
        </is>
      </c>
      <c r="K41" s="1157" t="inlineStr">
        <is>
          <t>21:00:00</t>
        </is>
      </c>
      <c r="L41" s="1155" t="inlineStr">
        <is>
          <t>Coventry|</t>
        </is>
      </c>
      <c r="M41" s="1155" t="inlineStr">
        <is>
          <t>Naveen Prakash Karuppaiah</t>
        </is>
      </c>
      <c r="N41" s="1155" t="inlineStr">
        <is>
          <t>nkarupp2@jaguarlandrover.com</t>
        </is>
      </c>
      <c r="O41" s="1155" t="inlineStr">
        <is>
          <t>GBP</t>
        </is>
      </c>
      <c r="P41" s="1155" t="n"/>
      <c r="Q41" s="1791" t="n">
        <v>50</v>
      </c>
      <c r="S41" s="1121">
        <f>H41-12</f>
        <v/>
      </c>
      <c r="T41" s="1121" t="n">
        <v>45761</v>
      </c>
      <c r="U41" s="1121" t="inlineStr">
        <is>
          <t>20250414-02</t>
        </is>
      </c>
      <c r="V41" s="1789">
        <f>H41+45</f>
        <v/>
      </c>
      <c r="W41" s="1791" t="n">
        <v>50</v>
      </c>
      <c r="X41" s="1121" t="n">
        <v>45797</v>
      </c>
      <c r="Y41" s="1790">
        <f>Q41-W41</f>
        <v/>
      </c>
    </row>
    <row r="42">
      <c r="A42" s="1096" t="n">
        <v>41</v>
      </c>
      <c r="B42" s="1096">
        <f>IF(COUNTIF(E$2:E$273, D42)=0, "Missing in D", "")</f>
        <v/>
      </c>
      <c r="C42" s="1096">
        <f>IF(COUNTIF(D$2:D$273, E42)=0, "Missing in E", "")</f>
        <v/>
      </c>
      <c r="E42" s="1155" t="inlineStr">
        <is>
          <t>IIY#3206382243471D1U</t>
        </is>
      </c>
      <c r="F42" s="1155" t="inlineStr">
        <is>
          <t>Seat Booking Confirmed</t>
        </is>
      </c>
      <c r="G42" s="1155" t="inlineStr">
        <is>
          <t>Evening Urban Architecture Photography Workshop</t>
        </is>
      </c>
      <c r="H42" s="1787" t="inlineStr">
        <is>
          <t>14 Apr 2025</t>
        </is>
      </c>
      <c r="I42" s="1787" t="inlineStr">
        <is>
          <t>14 Apr 2025</t>
        </is>
      </c>
      <c r="J42" s="1157" t="inlineStr">
        <is>
          <t>19:00:00</t>
        </is>
      </c>
      <c r="K42" s="1157" t="inlineStr">
        <is>
          <t>21:00:00</t>
        </is>
      </c>
      <c r="L42" s="1155" t="inlineStr">
        <is>
          <t>Coventry|</t>
        </is>
      </c>
      <c r="M42" s="1155" t="inlineStr">
        <is>
          <t>Andrew Wright</t>
        </is>
      </c>
      <c r="N42" s="1155" t="inlineStr">
        <is>
          <t>awrigh54@jaguarlandrover.com</t>
        </is>
      </c>
      <c r="O42" s="1155" t="inlineStr">
        <is>
          <t>GBP</t>
        </is>
      </c>
      <c r="P42" s="1155" t="n"/>
      <c r="Q42" s="1791" t="n">
        <v>50</v>
      </c>
      <c r="S42" s="1121">
        <f>H42-12</f>
        <v/>
      </c>
      <c r="T42" s="1121" t="n">
        <v>45761</v>
      </c>
      <c r="U42" s="1121" t="inlineStr">
        <is>
          <t>20250414-02</t>
        </is>
      </c>
      <c r="V42" s="1789">
        <f>H42+45</f>
        <v/>
      </c>
      <c r="W42" s="1791" t="n">
        <v>50</v>
      </c>
      <c r="X42" s="1121" t="n">
        <v>45797</v>
      </c>
      <c r="Y42" s="1790">
        <f>Q42-W42</f>
        <v/>
      </c>
    </row>
    <row r="43">
      <c r="A43" s="1096" t="n">
        <v>42</v>
      </c>
      <c r="B43" s="1096">
        <f>IF(COUNTIF(E$2:E$273, D43)=0, "Missing in D", "")</f>
        <v/>
      </c>
      <c r="C43" s="1096">
        <f>IF(COUNTIF(D$2:D$273, E43)=0, "Missing in E", "")</f>
        <v/>
      </c>
      <c r="E43" s="1155" t="inlineStr">
        <is>
          <t>IIY#9753245243471kIB</t>
        </is>
      </c>
      <c r="F43" s="1155" t="inlineStr">
        <is>
          <t>Seat Booking Confirmed</t>
        </is>
      </c>
      <c r="G43" s="1155" t="inlineStr">
        <is>
          <t>Evening Urban Architecture Photography Workshop</t>
        </is>
      </c>
      <c r="H43" s="1787" t="inlineStr">
        <is>
          <t>14 Apr 2025</t>
        </is>
      </c>
      <c r="I43" s="1787" t="inlineStr">
        <is>
          <t>14 Apr 2025</t>
        </is>
      </c>
      <c r="J43" s="1157" t="inlineStr">
        <is>
          <t>19:00:00</t>
        </is>
      </c>
      <c r="K43" s="1157" t="inlineStr">
        <is>
          <t>21:00:00</t>
        </is>
      </c>
      <c r="L43" s="1155" t="inlineStr">
        <is>
          <t>Coventry|</t>
        </is>
      </c>
      <c r="M43" s="1155" t="inlineStr">
        <is>
          <t>Rajiv Mohan</t>
        </is>
      </c>
      <c r="N43" s="1155" t="inlineStr">
        <is>
          <t>rmohan4@jaguarlandrover.com</t>
        </is>
      </c>
      <c r="O43" s="1155" t="inlineStr">
        <is>
          <t>GBP</t>
        </is>
      </c>
      <c r="P43" s="1155" t="n"/>
      <c r="Q43" s="1791" t="n">
        <v>50</v>
      </c>
      <c r="S43" s="1121">
        <f>H43-12</f>
        <v/>
      </c>
      <c r="T43" s="1121" t="n">
        <v>45761</v>
      </c>
      <c r="U43" s="1121" t="inlineStr">
        <is>
          <t>20250414-02</t>
        </is>
      </c>
      <c r="V43" s="1789">
        <f>H43+45</f>
        <v/>
      </c>
      <c r="W43" s="1791" t="n">
        <v>50</v>
      </c>
      <c r="X43" s="1121" t="n">
        <v>45797</v>
      </c>
      <c r="Y43" s="1790">
        <f>Q43-W43</f>
        <v/>
      </c>
    </row>
    <row r="44">
      <c r="A44" s="1096" t="n">
        <v>43</v>
      </c>
      <c r="B44" s="1096">
        <f>IF(COUNTIF(E$2:E$273, D44)=0, "Missing in D", "")</f>
        <v/>
      </c>
      <c r="C44" s="1096">
        <f>IF(COUNTIF(D$2:D$273, E44)=0, "Missing in E", "")</f>
        <v/>
      </c>
      <c r="E44" s="1155" t="inlineStr">
        <is>
          <t>IIY#9670497824471Efi</t>
        </is>
      </c>
      <c r="F44" s="1155" t="inlineStr">
        <is>
          <t>Seat Booking Confirmed</t>
        </is>
      </c>
      <c r="G44" s="1155" t="inlineStr">
        <is>
          <t>Evening Urban Architecture Photography Workshop</t>
        </is>
      </c>
      <c r="H44" s="1787" t="inlineStr">
        <is>
          <t>14 Apr 2025</t>
        </is>
      </c>
      <c r="I44" s="1787" t="inlineStr">
        <is>
          <t>14 Apr 2025</t>
        </is>
      </c>
      <c r="J44" s="1157" t="inlineStr">
        <is>
          <t>19:00:00</t>
        </is>
      </c>
      <c r="K44" s="1157" t="inlineStr">
        <is>
          <t>21:00:00</t>
        </is>
      </c>
      <c r="L44" s="1155" t="inlineStr">
        <is>
          <t>Coventry|</t>
        </is>
      </c>
      <c r="M44" s="1155" t="inlineStr">
        <is>
          <t>Andrew Lockwood</t>
        </is>
      </c>
      <c r="N44" s="1155" t="inlineStr">
        <is>
          <t>alockwo3@jaguarlandrover.com</t>
        </is>
      </c>
      <c r="O44" s="1155" t="inlineStr">
        <is>
          <t>GBP</t>
        </is>
      </c>
      <c r="P44" s="1155" t="n"/>
      <c r="Q44" s="1791" t="n">
        <v>50</v>
      </c>
      <c r="S44" s="1121">
        <f>H44-12</f>
        <v/>
      </c>
      <c r="T44" s="1121" t="n">
        <v>45761</v>
      </c>
      <c r="U44" s="1121" t="inlineStr">
        <is>
          <t>20250414-02</t>
        </is>
      </c>
      <c r="V44" s="1789">
        <f>H44+45</f>
        <v/>
      </c>
      <c r="W44" s="1791" t="n">
        <v>50</v>
      </c>
      <c r="X44" s="1121" t="n">
        <v>45797</v>
      </c>
      <c r="Y44" s="1790">
        <f>Q44-W44</f>
        <v/>
      </c>
    </row>
    <row r="45">
      <c r="A45" s="1096" t="n">
        <v>44</v>
      </c>
      <c r="B45" s="1096">
        <f>IF(COUNTIF(E$2:E$273, D45)=0, "Missing in D", "")</f>
        <v/>
      </c>
      <c r="C45" s="1096">
        <f>IF(COUNTIF(D$2:D$273, E45)=0, "Missing in E", "")</f>
        <v/>
      </c>
      <c r="E45" s="1155" t="inlineStr">
        <is>
          <t>IIY#0168714982471rsp</t>
        </is>
      </c>
      <c r="F45" s="1155" t="inlineStr">
        <is>
          <t>Seat Booking Confirmed</t>
        </is>
      </c>
      <c r="G45" s="1155" t="inlineStr">
        <is>
          <t>Photography Lessons - Private 1-2-1 (2hr)</t>
        </is>
      </c>
      <c r="H45" s="1787" t="inlineStr">
        <is>
          <t>15 Apr 2025</t>
        </is>
      </c>
      <c r="I45" s="1787" t="inlineStr">
        <is>
          <t>15 Apr 2025</t>
        </is>
      </c>
      <c r="J45" s="1157" t="inlineStr">
        <is>
          <t>09:00:00</t>
        </is>
      </c>
      <c r="K45" s="1157" t="inlineStr">
        <is>
          <t>11:00:00</t>
        </is>
      </c>
      <c r="L45" s="1155" t="inlineStr">
        <is>
          <t>Coventry|</t>
        </is>
      </c>
      <c r="M45" s="1155" t="inlineStr">
        <is>
          <t>Sunil Raaj</t>
        </is>
      </c>
      <c r="N45" s="1155" t="inlineStr">
        <is>
          <t>smalarva@jaguarlandrover.com</t>
        </is>
      </c>
      <c r="O45" s="1155" t="inlineStr">
        <is>
          <t>GBP</t>
        </is>
      </c>
      <c r="P45" s="1155" t="n"/>
      <c r="Q45" s="1791" t="n">
        <v>120</v>
      </c>
      <c r="S45" s="1121">
        <f>H45-12</f>
        <v/>
      </c>
      <c r="T45" s="1121" t="n">
        <v>45762</v>
      </c>
      <c r="U45" s="1121" t="inlineStr">
        <is>
          <t>20250415-01</t>
        </is>
      </c>
      <c r="V45" s="1789">
        <f>H45+45</f>
        <v/>
      </c>
      <c r="W45" s="1082" t="n">
        <v>120</v>
      </c>
      <c r="X45" s="1121" t="n">
        <v>45797</v>
      </c>
      <c r="Y45" s="1790">
        <f>Q45-W45</f>
        <v/>
      </c>
    </row>
    <row r="46">
      <c r="A46" s="1096" t="n">
        <v>45</v>
      </c>
      <c r="B46" s="1096">
        <f>IF(COUNTIF(E$2:E$273, D46)=0, "Missing in D", "")</f>
        <v/>
      </c>
      <c r="C46" s="1096">
        <f>IF(COUNTIF(D$2:D$273, E46)=0, "Missing in E", "")</f>
        <v/>
      </c>
      <c r="E46" s="1155" t="inlineStr">
        <is>
          <t>IIY#6581198513471ur9</t>
        </is>
      </c>
      <c r="F46" s="1155" t="inlineStr">
        <is>
          <t>Seat Booking Confirmed</t>
        </is>
      </c>
      <c r="G46" s="1155" t="inlineStr">
        <is>
          <t>Photography Lessons - Private 1-2-1 (2hr)</t>
        </is>
      </c>
      <c r="H46" s="1787" t="inlineStr">
        <is>
          <t>15 Apr 2025</t>
        </is>
      </c>
      <c r="I46" s="1787" t="inlineStr">
        <is>
          <t>17 Jun 2025</t>
        </is>
      </c>
      <c r="J46" s="1157" t="inlineStr">
        <is>
          <t>16:00:00</t>
        </is>
      </c>
      <c r="K46" s="1157" t="inlineStr">
        <is>
          <t>18:00:00</t>
        </is>
      </c>
      <c r="L46" s="1155" t="inlineStr">
        <is>
          <t>Coventry|</t>
        </is>
      </c>
      <c r="M46" s="1155" t="inlineStr">
        <is>
          <t>Dadasaheb Jadhav</t>
        </is>
      </c>
      <c r="N46" s="1155" t="inlineStr">
        <is>
          <t>djadhav4@jaguarlandrover.com</t>
        </is>
      </c>
      <c r="O46" s="1155" t="inlineStr">
        <is>
          <t>GBP</t>
        </is>
      </c>
      <c r="P46" s="1155" t="n"/>
      <c r="Q46" s="1791" t="n">
        <v>120</v>
      </c>
      <c r="S46" s="1121">
        <f>H46-12</f>
        <v/>
      </c>
      <c r="T46" s="1121" t="n">
        <v>45762</v>
      </c>
      <c r="U46" s="1121" t="inlineStr">
        <is>
          <t>20250415-02</t>
        </is>
      </c>
      <c r="V46" s="1789">
        <f>H46+45</f>
        <v/>
      </c>
      <c r="W46" s="1082" t="n">
        <v>120</v>
      </c>
      <c r="X46" s="1121" t="n">
        <v>45797</v>
      </c>
      <c r="Y46" s="1790">
        <f>Q46-W46</f>
        <v/>
      </c>
    </row>
    <row r="47">
      <c r="A47" s="1096" t="n">
        <v>46</v>
      </c>
      <c r="B47" s="1096">
        <f>IF(COUNTIF(E$2:E$273, D47)=0, "Missing in D", "")</f>
        <v/>
      </c>
      <c r="C47" s="1096">
        <f>IF(COUNTIF(D$2:D$273, E47)=0, "Missing in E", "")</f>
        <v/>
      </c>
      <c r="E47" s="1155" t="inlineStr">
        <is>
          <t>IIY#5771278692471YW8</t>
        </is>
      </c>
      <c r="F47" s="1155" t="inlineStr">
        <is>
          <t>Seat Booking Confirmed</t>
        </is>
      </c>
      <c r="G47" s="1155" t="inlineStr">
        <is>
          <t>Photography Lessons - Private 1-2-1 (1HR)</t>
        </is>
      </c>
      <c r="H47" s="1787" t="inlineStr">
        <is>
          <t>16 Apr 2025</t>
        </is>
      </c>
      <c r="I47" s="1787" t="inlineStr">
        <is>
          <t>16 Apr 2025</t>
        </is>
      </c>
      <c r="J47" s="1157" t="inlineStr">
        <is>
          <t>12:00:00</t>
        </is>
      </c>
      <c r="K47" s="1157" t="inlineStr">
        <is>
          <t>13:00:00</t>
        </is>
      </c>
      <c r="L47" s="1155" t="inlineStr">
        <is>
          <t>Coventry|</t>
        </is>
      </c>
      <c r="M47" s="1155" t="inlineStr">
        <is>
          <t>Andrew Morris</t>
        </is>
      </c>
      <c r="N47" s="1155" t="inlineStr">
        <is>
          <t>amorri28@jaguarlandrover.com</t>
        </is>
      </c>
      <c r="O47" s="1155" t="inlineStr">
        <is>
          <t>GBP</t>
        </is>
      </c>
      <c r="P47" s="1155" t="n"/>
      <c r="Q47" s="1788" t="n">
        <v>65</v>
      </c>
      <c r="S47" s="1121">
        <f>H47-12</f>
        <v/>
      </c>
      <c r="T47" s="1121" t="n">
        <v>45763</v>
      </c>
      <c r="U47" s="1121" t="inlineStr">
        <is>
          <t>20250416-01</t>
        </is>
      </c>
      <c r="V47" s="1789">
        <f>H47+45</f>
        <v/>
      </c>
      <c r="W47" s="1082" t="n">
        <v>65</v>
      </c>
      <c r="X47" s="1121" t="n">
        <v>45797</v>
      </c>
      <c r="Y47" s="1790">
        <f>Q47-W47</f>
        <v/>
      </c>
    </row>
    <row r="48">
      <c r="A48" s="1096" t="n">
        <v>47</v>
      </c>
      <c r="B48" s="1096">
        <f>IF(COUNTIF(E$2:E$273, D48)=0, "Missing in D", "")</f>
        <v/>
      </c>
      <c r="C48" s="1096">
        <f>IF(COUNTIF(D$2:D$273, E48)=0, "Missing in E", "")</f>
        <v/>
      </c>
      <c r="E48" s="1155" t="inlineStr">
        <is>
          <t>IIY#2757828598371meV</t>
        </is>
      </c>
      <c r="F48" s="1155" t="inlineStr">
        <is>
          <t>Seat Booking Confirmed</t>
        </is>
      </c>
      <c r="G48" s="1155" t="inlineStr">
        <is>
          <t>Camera Courses For Beginners</t>
        </is>
      </c>
      <c r="H48" s="1787" t="inlineStr">
        <is>
          <t>16 Apr 2025</t>
        </is>
      </c>
      <c r="I48" s="1787" t="inlineStr">
        <is>
          <t>30 Apr 2025</t>
        </is>
      </c>
      <c r="J48" s="1157" t="inlineStr">
        <is>
          <t>19:00:00</t>
        </is>
      </c>
      <c r="K48" s="1157" t="inlineStr">
        <is>
          <t>21:00:00</t>
        </is>
      </c>
      <c r="L48" s="1155" t="inlineStr">
        <is>
          <t>Coventry|</t>
        </is>
      </c>
      <c r="M48" s="1155" t="inlineStr">
        <is>
          <t>Rajkumar Nagappan Pillai</t>
        </is>
      </c>
      <c r="N48" s="1155" t="inlineStr">
        <is>
          <t>rnagappa@jaguarlandrover.com</t>
        </is>
      </c>
      <c r="O48" s="1155" t="inlineStr">
        <is>
          <t>GBP</t>
        </is>
      </c>
      <c r="P48" s="1155" t="n"/>
      <c r="Q48" s="1788" t="n">
        <v>150</v>
      </c>
      <c r="S48" s="1121">
        <f>H48-12</f>
        <v/>
      </c>
      <c r="T48" s="1121" t="n">
        <v>45763</v>
      </c>
      <c r="U48" s="1121" t="inlineStr">
        <is>
          <t>20250416-02</t>
        </is>
      </c>
      <c r="V48" s="1789">
        <f>H48+45</f>
        <v/>
      </c>
      <c r="W48" s="1082" t="n">
        <v>150</v>
      </c>
      <c r="X48" s="1121" t="n">
        <v>45797</v>
      </c>
      <c r="Y48" s="1790">
        <f>Q48-W48</f>
        <v/>
      </c>
    </row>
    <row r="49">
      <c r="A49" s="1096" t="n">
        <v>48</v>
      </c>
      <c r="B49" s="1096">
        <f>IF(COUNTIF(E$2:E$273, D49)=0, "Missing in D", "")</f>
        <v/>
      </c>
      <c r="C49" s="1096">
        <f>IF(COUNTIF(D$2:D$273, E49)=0, "Missing in E", "")</f>
        <v/>
      </c>
      <c r="E49" s="1155" t="inlineStr">
        <is>
          <t>IIY#7396680729371dNI</t>
        </is>
      </c>
      <c r="F49" s="1155" t="inlineStr">
        <is>
          <t>Seat Booking Confirmed</t>
        </is>
      </c>
      <c r="G49" s="1155" t="inlineStr">
        <is>
          <t>Camera Courses For Beginners</t>
        </is>
      </c>
      <c r="H49" s="1787" t="inlineStr">
        <is>
          <t>16 Apr 2025</t>
        </is>
      </c>
      <c r="I49" s="1787" t="inlineStr">
        <is>
          <t>30 Apr 2025</t>
        </is>
      </c>
      <c r="J49" s="1157" t="inlineStr">
        <is>
          <t>19:00:00</t>
        </is>
      </c>
      <c r="K49" s="1157" t="inlineStr">
        <is>
          <t>21:00:00</t>
        </is>
      </c>
      <c r="L49" s="1155" t="inlineStr">
        <is>
          <t>Coventry|</t>
        </is>
      </c>
      <c r="M49" s="1155" t="inlineStr">
        <is>
          <t>Nandeep Bhambra</t>
        </is>
      </c>
      <c r="N49" s="1155" t="inlineStr">
        <is>
          <t>nbhambr2@jaguarlandrover.com</t>
        </is>
      </c>
      <c r="O49" s="1155" t="inlineStr">
        <is>
          <t>GBP</t>
        </is>
      </c>
      <c r="P49" s="1155" t="n"/>
      <c r="Q49" s="1788" t="n">
        <v>150</v>
      </c>
      <c r="S49" s="1121">
        <f>H49-12</f>
        <v/>
      </c>
      <c r="T49" s="1121" t="n">
        <v>45763</v>
      </c>
      <c r="U49" s="1121" t="inlineStr">
        <is>
          <t>20250416-02</t>
        </is>
      </c>
      <c r="V49" s="1789">
        <f>H49+45</f>
        <v/>
      </c>
      <c r="W49" s="1082" t="n">
        <v>150</v>
      </c>
      <c r="X49" s="1121" t="n">
        <v>45797</v>
      </c>
      <c r="Y49" s="1790">
        <f>Q49-W49</f>
        <v/>
      </c>
    </row>
    <row r="50">
      <c r="A50" s="1096" t="n">
        <v>49</v>
      </c>
      <c r="B50" s="1096">
        <f>IF(COUNTIF(E$2:E$273, D50)=0, "Missing in D", "")</f>
        <v/>
      </c>
      <c r="C50" s="1096">
        <f>IF(COUNTIF(D$2:D$273, E50)=0, "Missing in E", "")</f>
        <v/>
      </c>
      <c r="E50" s="1155" t="inlineStr">
        <is>
          <t>IIY#5483395752471PKS</t>
        </is>
      </c>
      <c r="F50" s="1155" t="inlineStr">
        <is>
          <t>Seat Booking Confirmed</t>
        </is>
      </c>
      <c r="G50" s="1155" t="inlineStr">
        <is>
          <t>Camera Courses For Beginners</t>
        </is>
      </c>
      <c r="H50" s="1787" t="inlineStr">
        <is>
          <t>16 Apr 2025</t>
        </is>
      </c>
      <c r="I50" s="1787" t="inlineStr">
        <is>
          <t>30 Apr 2025</t>
        </is>
      </c>
      <c r="J50" s="1157" t="inlineStr">
        <is>
          <t>19:00:00</t>
        </is>
      </c>
      <c r="K50" s="1157" t="inlineStr">
        <is>
          <t>21:00:00</t>
        </is>
      </c>
      <c r="L50" s="1155" t="inlineStr">
        <is>
          <t>Coventry|</t>
        </is>
      </c>
      <c r="M50" s="1155" t="inlineStr">
        <is>
          <t>Premananth Subramanian</t>
        </is>
      </c>
      <c r="N50" s="1155" t="inlineStr">
        <is>
          <t>psubram7@jaguarlandrover.com</t>
        </is>
      </c>
      <c r="O50" s="1155" t="inlineStr">
        <is>
          <t>GBP</t>
        </is>
      </c>
      <c r="P50" s="1155" t="n"/>
      <c r="Q50" s="1788" t="n">
        <v>150</v>
      </c>
      <c r="S50" s="1121">
        <f>H50-12</f>
        <v/>
      </c>
      <c r="T50" s="1121" t="n">
        <v>45763</v>
      </c>
      <c r="U50" s="1121" t="inlineStr">
        <is>
          <t>20250416-02</t>
        </is>
      </c>
      <c r="V50" s="1789">
        <f>H50+45</f>
        <v/>
      </c>
      <c r="W50" s="1082" t="n">
        <v>150</v>
      </c>
      <c r="X50" s="1121" t="n">
        <v>45797</v>
      </c>
      <c r="Y50" s="1790">
        <f>Q50-W50</f>
        <v/>
      </c>
    </row>
    <row r="51">
      <c r="A51" s="1096" t="n">
        <v>50</v>
      </c>
      <c r="B51" s="1096">
        <f>IF(COUNTIF(E$2:E$273, D51)=0, "Missing in D", "")</f>
        <v/>
      </c>
      <c r="C51" s="1096">
        <f>IF(COUNTIF(D$2:D$273, E51)=0, "Missing in E", "")</f>
        <v/>
      </c>
      <c r="E51" s="1155" t="inlineStr">
        <is>
          <t>IIY#85380587814718vd</t>
        </is>
      </c>
      <c r="F51" s="1155" t="inlineStr">
        <is>
          <t>Seat Booking Confirmed</t>
        </is>
      </c>
      <c r="G51" s="1155" t="inlineStr">
        <is>
          <t>Bluebell Photography Workshop Half-Day - Warwickshire</t>
        </is>
      </c>
      <c r="H51" s="1787" t="inlineStr">
        <is>
          <t>17 Apr 2025</t>
        </is>
      </c>
      <c r="I51" s="1787" t="inlineStr">
        <is>
          <t>17 Apr 2025</t>
        </is>
      </c>
      <c r="J51" s="1157" t="inlineStr">
        <is>
          <t>05:45:00</t>
        </is>
      </c>
      <c r="K51" s="1157" t="inlineStr">
        <is>
          <t>09:45:00</t>
        </is>
      </c>
      <c r="L51" s="1155" t="inlineStr">
        <is>
          <t>Warwickshire|</t>
        </is>
      </c>
      <c r="M51" s="1155" t="inlineStr">
        <is>
          <t>Dinesh Kumar Selvarangan</t>
        </is>
      </c>
      <c r="N51" s="1155" t="inlineStr">
        <is>
          <t>dselvar1@jaguarlandrover.com</t>
        </is>
      </c>
      <c r="O51" s="1155" t="inlineStr">
        <is>
          <t>GBP</t>
        </is>
      </c>
      <c r="P51" s="1155" t="n"/>
      <c r="Q51" s="1791" t="n">
        <v>99</v>
      </c>
      <c r="S51" s="1121">
        <f>H51-12</f>
        <v/>
      </c>
      <c r="T51" s="1121" t="n">
        <v>45773</v>
      </c>
      <c r="U51" s="1121" t="n"/>
      <c r="V51" s="1789">
        <f>H51+45</f>
        <v/>
      </c>
      <c r="W51" s="1791" t="n">
        <v>99</v>
      </c>
      <c r="X51" s="1121" t="n">
        <v>45818</v>
      </c>
      <c r="Y51" s="1790">
        <f>Q51-W51</f>
        <v/>
      </c>
    </row>
    <row r="52">
      <c r="A52" s="1096" t="n">
        <v>51</v>
      </c>
      <c r="B52" s="1096">
        <f>IF(COUNTIF(E$2:E$273, D52)=0, "Missing in D", "")</f>
        <v/>
      </c>
      <c r="C52" s="1096">
        <f>IF(COUNTIF(D$2:D$273, E52)=0, "Missing in E", "")</f>
        <v/>
      </c>
      <c r="E52" s="1155" t="inlineStr">
        <is>
          <t>IIY#9318014092471dbI</t>
        </is>
      </c>
      <c r="F52" s="1155" t="inlineStr">
        <is>
          <t>Seat Booking Confirmed</t>
        </is>
      </c>
      <c r="G52" s="1155" t="inlineStr">
        <is>
          <t>Bluebell Photography Workshop Half-Day - Warwickshire</t>
        </is>
      </c>
      <c r="H52" s="1787" t="inlineStr">
        <is>
          <t>18 Apr 2025</t>
        </is>
      </c>
      <c r="I52" s="1787" t="inlineStr">
        <is>
          <t>18 Apr 2025</t>
        </is>
      </c>
      <c r="J52" s="1157" t="inlineStr">
        <is>
          <t>05:45:00</t>
        </is>
      </c>
      <c r="K52" s="1157" t="inlineStr">
        <is>
          <t>09:45:00</t>
        </is>
      </c>
      <c r="L52" s="1155" t="inlineStr">
        <is>
          <t>Warwickshire|</t>
        </is>
      </c>
      <c r="M52" s="1155" t="inlineStr">
        <is>
          <t>Roxana Mutu</t>
        </is>
      </c>
      <c r="N52" s="1155" t="inlineStr">
        <is>
          <t>rmutu1@jaguarlandrover.com</t>
        </is>
      </c>
      <c r="O52" s="1155" t="inlineStr">
        <is>
          <t>GBP</t>
        </is>
      </c>
      <c r="P52" s="1155" t="n"/>
      <c r="Q52" s="1788" t="n">
        <v>99</v>
      </c>
      <c r="S52" s="1121">
        <f>H52-12</f>
        <v/>
      </c>
      <c r="T52" s="1121" t="n">
        <v>45773</v>
      </c>
      <c r="U52" s="1121" t="n"/>
      <c r="V52" s="1789">
        <f>H52+45</f>
        <v/>
      </c>
      <c r="W52" s="1788" t="n">
        <v>99</v>
      </c>
      <c r="X52" s="1121" t="n">
        <v>45818</v>
      </c>
      <c r="Y52" s="1790">
        <f>Q52-W52</f>
        <v/>
      </c>
    </row>
    <row r="53">
      <c r="A53" s="1096" t="n">
        <v>52</v>
      </c>
      <c r="B53" s="1096">
        <f>IF(COUNTIF(E$2:E$273, D53)=0, "Missing in D", "")</f>
        <v/>
      </c>
      <c r="C53" s="1096">
        <f>IF(COUNTIF(D$2:D$273, E53)=0, "Missing in E", "")</f>
        <v/>
      </c>
      <c r="E53" s="1155" t="inlineStr">
        <is>
          <t>IIY#9345509232471CU1</t>
        </is>
      </c>
      <c r="F53" s="1155" t="inlineStr">
        <is>
          <t>Seat Booking Confirmed</t>
        </is>
      </c>
      <c r="G53" s="1155" t="inlineStr">
        <is>
          <t>Bluebell Photography Workshop 1 Day - Warwickshire</t>
        </is>
      </c>
      <c r="H53" s="1787" t="inlineStr">
        <is>
          <t>19 Apr 2025</t>
        </is>
      </c>
      <c r="I53" s="1787" t="inlineStr">
        <is>
          <t>19 Apr 2025</t>
        </is>
      </c>
      <c r="J53" s="1157" t="inlineStr">
        <is>
          <t>05:45:00</t>
        </is>
      </c>
      <c r="K53" s="1157" t="inlineStr">
        <is>
          <t>15:00:00</t>
        </is>
      </c>
      <c r="L53" s="1155" t="inlineStr">
        <is>
          <t>Warwickshire|</t>
        </is>
      </c>
      <c r="M53" s="1155" t="inlineStr">
        <is>
          <t>Suraiya Kaliravna</t>
        </is>
      </c>
      <c r="N53" s="1155" t="inlineStr">
        <is>
          <t>skalirav@jaguarlandrover.com</t>
        </is>
      </c>
      <c r="O53" s="1155" t="inlineStr">
        <is>
          <t>GBP</t>
        </is>
      </c>
      <c r="P53" s="1155" t="n"/>
      <c r="Q53" s="1788" t="n">
        <v>150</v>
      </c>
      <c r="S53" s="1121">
        <f>H53-12</f>
        <v/>
      </c>
      <c r="T53" s="1121" t="n">
        <v>45773</v>
      </c>
      <c r="U53" s="1121" t="n"/>
      <c r="V53" s="1789">
        <f>H53+45</f>
        <v/>
      </c>
      <c r="W53" s="1788" t="n">
        <v>150</v>
      </c>
      <c r="X53" s="1121" t="n">
        <v>45818</v>
      </c>
      <c r="Y53" s="1790">
        <f>Q53-W53</f>
        <v/>
      </c>
    </row>
    <row r="54">
      <c r="A54" s="1096" t="n">
        <v>53</v>
      </c>
      <c r="B54" s="1096">
        <f>IF(COUNTIF(E$2:E$273, D54)=0, "Missing in D", "")</f>
        <v/>
      </c>
      <c r="C54" s="1096">
        <f>IF(COUNTIF(D$2:D$273, E54)=0, "Missing in E", "")</f>
        <v/>
      </c>
      <c r="E54" s="1155" t="inlineStr">
        <is>
          <t>IIY#8045430942471xTk</t>
        </is>
      </c>
      <c r="F54" s="1155" t="inlineStr">
        <is>
          <t>Seat Booking Confirmed</t>
        </is>
      </c>
      <c r="G54" s="1155" t="inlineStr">
        <is>
          <t>Bluebell Photography Workshop 1 Day - Warwickshire</t>
        </is>
      </c>
      <c r="H54" s="1787" t="inlineStr">
        <is>
          <t>19 Apr 2025</t>
        </is>
      </c>
      <c r="I54" s="1787" t="inlineStr">
        <is>
          <t>19 Apr 2025</t>
        </is>
      </c>
      <c r="J54" s="1157" t="inlineStr">
        <is>
          <t>05:45:00</t>
        </is>
      </c>
      <c r="K54" s="1157" t="inlineStr">
        <is>
          <t>15:00:00</t>
        </is>
      </c>
      <c r="L54" s="1155" t="inlineStr">
        <is>
          <t>Warwickshire|</t>
        </is>
      </c>
      <c r="M54" s="1155" t="inlineStr">
        <is>
          <t>Burak Oguz</t>
        </is>
      </c>
      <c r="N54" s="1155" t="inlineStr">
        <is>
          <t>boguz@jaguarlandrover.com</t>
        </is>
      </c>
      <c r="O54" s="1155" t="inlineStr">
        <is>
          <t>GBP</t>
        </is>
      </c>
      <c r="P54" s="1155" t="n"/>
      <c r="Q54" s="1788" t="n">
        <v>150</v>
      </c>
      <c r="S54" s="1121">
        <f>H54-12</f>
        <v/>
      </c>
      <c r="T54" s="1121" t="n">
        <v>45773</v>
      </c>
      <c r="U54" s="1121" t="n"/>
      <c r="V54" s="1789">
        <f>H54+45</f>
        <v/>
      </c>
      <c r="W54" s="1788" t="n">
        <v>150</v>
      </c>
      <c r="X54" s="1121" t="n">
        <v>45818</v>
      </c>
      <c r="Y54" s="1790">
        <f>Q54-W54</f>
        <v/>
      </c>
    </row>
    <row r="55">
      <c r="A55" s="1096" t="n">
        <v>54</v>
      </c>
      <c r="B55" s="1096">
        <f>IF(COUNTIF(E$2:E$273, D55)=0, "Missing in D", "")</f>
        <v/>
      </c>
      <c r="C55" s="1096">
        <f>IF(COUNTIF(D$2:D$273, E55)=0, "Missing in E", "")</f>
        <v/>
      </c>
      <c r="E55" s="1155" t="inlineStr">
        <is>
          <t>IIY#46295894434711B9</t>
        </is>
      </c>
      <c r="F55" s="1155" t="inlineStr">
        <is>
          <t>Seat Booking Confirmed</t>
        </is>
      </c>
      <c r="G55" s="1155" t="inlineStr">
        <is>
          <t>Bluebell Photography Workshop 1 Day - Warwickshire</t>
        </is>
      </c>
      <c r="H55" s="1787" t="inlineStr">
        <is>
          <t>19 Apr 2025</t>
        </is>
      </c>
      <c r="I55" s="1787" t="inlineStr">
        <is>
          <t>19 Apr 2025</t>
        </is>
      </c>
      <c r="J55" s="1157" t="inlineStr">
        <is>
          <t>05:45:00</t>
        </is>
      </c>
      <c r="K55" s="1157" t="inlineStr">
        <is>
          <t>15:00:00</t>
        </is>
      </c>
      <c r="L55" s="1155" t="inlineStr">
        <is>
          <t>Warwickshire|</t>
        </is>
      </c>
      <c r="M55" s="1155" t="inlineStr">
        <is>
          <t>Murat Yavanirmak</t>
        </is>
      </c>
      <c r="N55" s="1155" t="inlineStr">
        <is>
          <t>myavani1@jaguarlandrover.com</t>
        </is>
      </c>
      <c r="O55" s="1155" t="inlineStr">
        <is>
          <t>GBP</t>
        </is>
      </c>
      <c r="P55" s="1155" t="n"/>
      <c r="Q55" s="1788" t="n">
        <v>150</v>
      </c>
      <c r="S55" s="1121">
        <f>H55-12</f>
        <v/>
      </c>
      <c r="T55" s="1121" t="n">
        <v>45773</v>
      </c>
      <c r="U55" s="1121" t="n"/>
      <c r="V55" s="1789">
        <f>H55+45</f>
        <v/>
      </c>
      <c r="W55" s="1788" t="n">
        <v>150</v>
      </c>
      <c r="X55" s="1121" t="n">
        <v>45818</v>
      </c>
      <c r="Y55" s="1790">
        <f>Q55-W55</f>
        <v/>
      </c>
    </row>
    <row r="56">
      <c r="A56" s="1096" t="n">
        <v>55</v>
      </c>
      <c r="B56" s="1096">
        <f>IF(COUNTIF(E$2:E$273, D56)=0, "Missing in D", "")</f>
        <v/>
      </c>
      <c r="C56" s="1096">
        <f>IF(COUNTIF(D$2:D$273, E56)=0, "Missing in E", "")</f>
        <v/>
      </c>
      <c r="E56" s="1155" t="inlineStr">
        <is>
          <t>IIY#287904267047181P</t>
        </is>
      </c>
      <c r="F56" s="1155" t="inlineStr">
        <is>
          <t>Seat Booking Confirmed</t>
        </is>
      </c>
      <c r="G56" s="1155" t="inlineStr">
        <is>
          <t>Bluebell Photography Workshop Half-Day - Warwickshire</t>
        </is>
      </c>
      <c r="H56" s="1787" t="inlineStr">
        <is>
          <t>19 Apr 2025</t>
        </is>
      </c>
      <c r="I56" s="1787" t="inlineStr">
        <is>
          <t>19 Apr 2025</t>
        </is>
      </c>
      <c r="J56" s="1157" t="inlineStr">
        <is>
          <t>05:45:00</t>
        </is>
      </c>
      <c r="K56" s="1157" t="inlineStr">
        <is>
          <t>15:00:00</t>
        </is>
      </c>
      <c r="L56" s="1155" t="inlineStr">
        <is>
          <t>Stratford Upon Avon|</t>
        </is>
      </c>
      <c r="M56" s="1155" t="inlineStr">
        <is>
          <t>Shruti Nagpure</t>
        </is>
      </c>
      <c r="N56" s="1155" t="inlineStr">
        <is>
          <t>snagpur3@jaguarlandrover.com</t>
        </is>
      </c>
      <c r="O56" s="1155" t="inlineStr">
        <is>
          <t>GBP</t>
        </is>
      </c>
      <c r="P56" s="1155" t="n"/>
      <c r="Q56" s="1791" t="n">
        <v>99</v>
      </c>
      <c r="S56" s="1121">
        <f>H56-12</f>
        <v/>
      </c>
      <c r="T56" s="1121" t="n">
        <v>45773</v>
      </c>
      <c r="U56" s="1121" t="n"/>
      <c r="V56" s="1789">
        <f>H56+45</f>
        <v/>
      </c>
      <c r="W56" s="1791" t="n">
        <v>99</v>
      </c>
      <c r="X56" s="1121" t="n">
        <v>45818</v>
      </c>
      <c r="Y56" s="1790">
        <f>Q56-W56</f>
        <v/>
      </c>
    </row>
    <row r="57">
      <c r="A57" s="1096" t="n">
        <v>56</v>
      </c>
      <c r="B57" s="1096">
        <f>IF(COUNTIF(E$2:E$273, D57)=0, "Missing in D", "")</f>
        <v/>
      </c>
      <c r="C57" s="1096">
        <f>IF(COUNTIF(D$2:D$273, E57)=0, "Missing in E", "")</f>
        <v/>
      </c>
      <c r="E57" s="1155" t="inlineStr">
        <is>
          <t>IIY#7801083032471sir</t>
        </is>
      </c>
      <c r="F57" s="1155" t="inlineStr">
        <is>
          <t>Seat Booking Confirmed</t>
        </is>
      </c>
      <c r="G57" s="1155" t="inlineStr">
        <is>
          <t>Bluebell Photography Workshop Half-Day - Warwickshire</t>
        </is>
      </c>
      <c r="H57" s="1787" t="inlineStr">
        <is>
          <t>19 Apr 2025</t>
        </is>
      </c>
      <c r="I57" s="1787" t="inlineStr">
        <is>
          <t>19 Apr 2025</t>
        </is>
      </c>
      <c r="J57" s="1157" t="inlineStr">
        <is>
          <t>11:00:00</t>
        </is>
      </c>
      <c r="K57" s="1157" t="inlineStr">
        <is>
          <t>15:00:00</t>
        </is>
      </c>
      <c r="L57" s="1155" t="inlineStr">
        <is>
          <t>Warwickshire|</t>
        </is>
      </c>
      <c r="M57" s="1155" t="inlineStr">
        <is>
          <t>Jevgenijs Kitajevs</t>
        </is>
      </c>
      <c r="N57" s="1155" t="inlineStr">
        <is>
          <t>jkitajev@jaguarlandrover.com</t>
        </is>
      </c>
      <c r="O57" s="1155" t="inlineStr">
        <is>
          <t>GBP</t>
        </is>
      </c>
      <c r="P57" s="1155" t="n"/>
      <c r="Q57" s="1788" t="n">
        <v>99</v>
      </c>
      <c r="S57" s="1121">
        <f>H57-12</f>
        <v/>
      </c>
      <c r="T57" s="1121" t="n">
        <v>45773</v>
      </c>
      <c r="U57" s="1121" t="n"/>
      <c r="V57" s="1789">
        <f>H57+45</f>
        <v/>
      </c>
      <c r="W57" s="1788" t="n">
        <v>99</v>
      </c>
      <c r="X57" s="1121" t="n">
        <v>45818</v>
      </c>
      <c r="Y57" s="1790">
        <f>Q57-W57</f>
        <v/>
      </c>
    </row>
    <row r="58">
      <c r="A58" s="1096" t="n">
        <v>57</v>
      </c>
      <c r="B58" s="1096">
        <f>IF(COUNTIF(E$2:E$273, D58)=0, "Missing in D", "")</f>
        <v/>
      </c>
      <c r="C58" s="1096">
        <f>IF(COUNTIF(D$2:D$273, E58)=0, "Missing in E", "")</f>
        <v/>
      </c>
      <c r="E58" s="1155" t="inlineStr">
        <is>
          <t>IIY#6441672752471R51</t>
        </is>
      </c>
      <c r="F58" s="1155" t="inlineStr">
        <is>
          <t>Seat Booking Confirmed</t>
        </is>
      </c>
      <c r="G58" s="1155" t="inlineStr">
        <is>
          <t>Bluebell Photography Workshop Half-Day - Warwickshire</t>
        </is>
      </c>
      <c r="H58" s="1787" t="inlineStr">
        <is>
          <t>19 Apr 2025</t>
        </is>
      </c>
      <c r="I58" s="1787" t="inlineStr">
        <is>
          <t>19 Apr 2025</t>
        </is>
      </c>
      <c r="J58" s="1157" t="inlineStr">
        <is>
          <t>11:00:00</t>
        </is>
      </c>
      <c r="K58" s="1157" t="inlineStr">
        <is>
          <t>15:00:00</t>
        </is>
      </c>
      <c r="L58" s="1155" t="inlineStr">
        <is>
          <t>Warwickshire|</t>
        </is>
      </c>
      <c r="M58" s="1155" t="inlineStr">
        <is>
          <t>Soon Seng Leong</t>
        </is>
      </c>
      <c r="N58" s="1155" t="inlineStr">
        <is>
          <t>sleong2@jaguarlandrover.com</t>
        </is>
      </c>
      <c r="O58" s="1155" t="inlineStr">
        <is>
          <t>GBP</t>
        </is>
      </c>
      <c r="P58" s="1155" t="n"/>
      <c r="Q58" s="1788" t="n">
        <v>99</v>
      </c>
      <c r="S58" s="1121">
        <f>H58-12</f>
        <v/>
      </c>
      <c r="T58" s="1121" t="n">
        <v>45773</v>
      </c>
      <c r="U58" s="1121" t="n"/>
      <c r="V58" s="1789">
        <f>H58+45</f>
        <v/>
      </c>
      <c r="W58" s="1788" t="n">
        <v>99</v>
      </c>
      <c r="X58" s="1121" t="n">
        <v>45818</v>
      </c>
      <c r="Y58" s="1790">
        <f>Q58-W58</f>
        <v/>
      </c>
    </row>
    <row r="59">
      <c r="A59" s="1096" t="n">
        <v>58</v>
      </c>
      <c r="B59" s="1096">
        <f>IF(COUNTIF(E$2:E$273, D59)=0, "Missing in D", "")</f>
        <v/>
      </c>
      <c r="C59" s="1096">
        <f>IF(COUNTIF(D$2:D$273, E59)=0, "Missing in E", "")</f>
        <v/>
      </c>
      <c r="E59" s="1155" t="inlineStr">
        <is>
          <t>IIY#2381720600471a7C</t>
        </is>
      </c>
      <c r="F59" s="1155" t="inlineStr">
        <is>
          <t>Seat Booking Confirmed</t>
        </is>
      </c>
      <c r="G59" s="1155" t="inlineStr">
        <is>
          <t>Bluebell Photography Workshop Half-Day - Warwickshire</t>
        </is>
      </c>
      <c r="H59" s="1787" t="inlineStr">
        <is>
          <t>20 Apr 2025</t>
        </is>
      </c>
      <c r="I59" s="1787" t="inlineStr">
        <is>
          <t>20 Apr 2025</t>
        </is>
      </c>
      <c r="J59" s="1157" t="inlineStr">
        <is>
          <t>05:45:00</t>
        </is>
      </c>
      <c r="K59" s="1157" t="inlineStr">
        <is>
          <t>10:00:00</t>
        </is>
      </c>
      <c r="L59" s="1155" t="inlineStr">
        <is>
          <t>Stratford Upon Avon|</t>
        </is>
      </c>
      <c r="M59" s="1155" t="inlineStr">
        <is>
          <t>Phil Houghton</t>
        </is>
      </c>
      <c r="N59" s="1155" t="inlineStr">
        <is>
          <t>phought3@jaguarlandrover.com</t>
        </is>
      </c>
      <c r="O59" s="1155" t="inlineStr">
        <is>
          <t>GBP</t>
        </is>
      </c>
      <c r="P59" s="1155" t="n"/>
      <c r="Q59" s="1791" t="n">
        <v>99</v>
      </c>
      <c r="S59" s="1121">
        <f>H59-12</f>
        <v/>
      </c>
      <c r="T59" s="1121" t="n">
        <v>45773</v>
      </c>
      <c r="U59" s="1121" t="n"/>
      <c r="V59" s="1789">
        <f>H59+45</f>
        <v/>
      </c>
      <c r="W59" s="1791" t="n">
        <v>99</v>
      </c>
      <c r="X59" s="1121" t="n">
        <v>45818</v>
      </c>
      <c r="Y59" s="1790">
        <f>Q59-W59</f>
        <v/>
      </c>
    </row>
    <row r="60">
      <c r="A60" s="1096" t="n">
        <v>59</v>
      </c>
      <c r="B60" s="1096">
        <f>IF(COUNTIF(E$2:E$273, D60)=0, "Missing in D", "")</f>
        <v/>
      </c>
      <c r="C60" s="1096">
        <f>IF(COUNTIF(D$2:D$273, E60)=0, "Missing in E", "")</f>
        <v/>
      </c>
      <c r="E60" s="1155" t="inlineStr">
        <is>
          <t>IIY#0746450282471ITH</t>
        </is>
      </c>
      <c r="F60" s="1155" t="inlineStr">
        <is>
          <t>Seat Booking Confirmed</t>
        </is>
      </c>
      <c r="G60" s="1155" t="inlineStr">
        <is>
          <t>Bluebell Photography Workshop Half-Day - Warwickshire</t>
        </is>
      </c>
      <c r="H60" s="1787" t="inlineStr">
        <is>
          <t>20 Apr 2025</t>
        </is>
      </c>
      <c r="I60" s="1787" t="inlineStr">
        <is>
          <t>20 Apr 2025</t>
        </is>
      </c>
      <c r="J60" s="1157" t="inlineStr">
        <is>
          <t>05:45:00</t>
        </is>
      </c>
      <c r="K60" s="1157" t="inlineStr">
        <is>
          <t>09:45:00</t>
        </is>
      </c>
      <c r="L60" s="1155" t="inlineStr">
        <is>
          <t>Warwickshire|</t>
        </is>
      </c>
      <c r="M60" s="1155" t="inlineStr">
        <is>
          <t>Stuart Hurcomb</t>
        </is>
      </c>
      <c r="N60" s="1155" t="inlineStr">
        <is>
          <t>shurcomb@jaguarlandrover.com</t>
        </is>
      </c>
      <c r="O60" s="1155" t="inlineStr">
        <is>
          <t>GBP</t>
        </is>
      </c>
      <c r="P60" s="1155" t="n"/>
      <c r="Q60" s="1788" t="n">
        <v>99</v>
      </c>
      <c r="R60" s="1082" t="n">
        <v>1</v>
      </c>
      <c r="S60" s="1121">
        <f>H60-12</f>
        <v/>
      </c>
      <c r="T60" s="1121" t="n">
        <v>45773</v>
      </c>
      <c r="U60" s="1121" t="n"/>
      <c r="V60" s="1789">
        <f>H60+45</f>
        <v/>
      </c>
      <c r="W60" s="1788" t="n">
        <v>99</v>
      </c>
      <c r="X60" s="1121" t="n">
        <v>45818</v>
      </c>
      <c r="Y60" s="1790">
        <f>Q60-W60</f>
        <v/>
      </c>
    </row>
    <row r="61">
      <c r="A61" s="1096" t="n">
        <v>60</v>
      </c>
      <c r="B61" s="1096">
        <f>IF(COUNTIF(E$2:E$273, D61)=0, "Missing in D", "")</f>
        <v/>
      </c>
      <c r="C61" s="1096">
        <f>IF(COUNTIF(D$2:D$273, E61)=0, "Missing in E", "")</f>
        <v/>
      </c>
      <c r="E61" s="1155" t="inlineStr">
        <is>
          <t>IIY#5226143214471mok</t>
        </is>
      </c>
      <c r="F61" s="1155" t="inlineStr">
        <is>
          <t>Seat Booking Confirmed</t>
        </is>
      </c>
      <c r="G61" s="1155" t="inlineStr">
        <is>
          <t>Bluebell Photography Workshop Half-Day - Warwickshire</t>
        </is>
      </c>
      <c r="H61" s="1787" t="inlineStr">
        <is>
          <t>20 Apr 2025</t>
        </is>
      </c>
      <c r="I61" s="1787" t="inlineStr">
        <is>
          <t>20 Apr 2025</t>
        </is>
      </c>
      <c r="J61" s="1157" t="inlineStr">
        <is>
          <t>05:45:00</t>
        </is>
      </c>
      <c r="K61" s="1157" t="inlineStr">
        <is>
          <t>09:45:00</t>
        </is>
      </c>
      <c r="L61" s="1155" t="inlineStr">
        <is>
          <t>Warwickshire|</t>
        </is>
      </c>
      <c r="M61" s="1155" t="inlineStr">
        <is>
          <t>Or Shachar</t>
        </is>
      </c>
      <c r="N61" s="1155" t="inlineStr">
        <is>
          <t>oshachar@jaguarlandrover.com</t>
        </is>
      </c>
      <c r="O61" s="1155" t="inlineStr">
        <is>
          <t>GBP</t>
        </is>
      </c>
      <c r="P61" s="1155" t="n"/>
      <c r="Q61" s="1788" t="n">
        <v>99</v>
      </c>
      <c r="S61" s="1121">
        <f>H61-12</f>
        <v/>
      </c>
      <c r="T61" s="1121" t="n">
        <v>45773</v>
      </c>
      <c r="U61" s="1121" t="n"/>
      <c r="V61" s="1789">
        <f>H61+45</f>
        <v/>
      </c>
      <c r="W61" s="1788" t="n">
        <v>99</v>
      </c>
      <c r="X61" s="1121" t="n">
        <v>45818</v>
      </c>
      <c r="Y61" s="1790">
        <f>Q61-W61</f>
        <v/>
      </c>
    </row>
    <row r="62">
      <c r="A62" s="1096" t="n">
        <v>61</v>
      </c>
      <c r="B62" s="1096">
        <f>IF(COUNTIF(E$2:E$273, D62)=0, "Missing in D", "")</f>
        <v/>
      </c>
      <c r="C62" s="1096">
        <f>IF(COUNTIF(D$2:D$273, E62)=0, "Missing in E", "")</f>
        <v/>
      </c>
      <c r="E62" s="1155" t="inlineStr">
        <is>
          <t>IIY#8704112003471LKP</t>
        </is>
      </c>
      <c r="F62" s="1155" t="inlineStr">
        <is>
          <t>Seat Booking Confirmed</t>
        </is>
      </c>
      <c r="G62" s="1155" t="inlineStr">
        <is>
          <t>Bluebell Photography Workshop 1 Day - Warwickshire</t>
        </is>
      </c>
      <c r="H62" s="1787" t="inlineStr">
        <is>
          <t>22 Apr 2025</t>
        </is>
      </c>
      <c r="I62" s="1787" t="inlineStr">
        <is>
          <t>22 Apr 2025</t>
        </is>
      </c>
      <c r="J62" s="1157" t="inlineStr">
        <is>
          <t>05:45:00</t>
        </is>
      </c>
      <c r="K62" s="1157" t="inlineStr">
        <is>
          <t>15:00:00</t>
        </is>
      </c>
      <c r="L62" s="1155" t="inlineStr">
        <is>
          <t>Warwickshire|</t>
        </is>
      </c>
      <c r="M62" s="1155" t="inlineStr">
        <is>
          <t>Jim Coleman</t>
        </is>
      </c>
      <c r="N62" s="1155" t="inlineStr">
        <is>
          <t>jcolema1@jaguarlandrover.com</t>
        </is>
      </c>
      <c r="O62" s="1155" t="inlineStr">
        <is>
          <t>GBP</t>
        </is>
      </c>
      <c r="P62" s="1155" t="n"/>
      <c r="Q62" s="1788" t="n">
        <v>150</v>
      </c>
      <c r="S62" s="1121">
        <f>H62-12</f>
        <v/>
      </c>
      <c r="T62" s="1121" t="n">
        <v>45773</v>
      </c>
      <c r="U62" s="1121" t="n"/>
      <c r="V62" s="1789">
        <f>H62+45</f>
        <v/>
      </c>
      <c r="W62" s="1788" t="n">
        <v>150</v>
      </c>
      <c r="X62" s="1121" t="n">
        <v>45818</v>
      </c>
      <c r="Y62" s="1790">
        <f>Q62-W62</f>
        <v/>
      </c>
    </row>
    <row r="63">
      <c r="A63" s="1096" t="n">
        <v>62</v>
      </c>
      <c r="B63" s="1096">
        <f>IF(COUNTIF(E$2:E$273, D63)=0, "Missing in D", "")</f>
        <v/>
      </c>
      <c r="C63" s="1096">
        <f>IF(COUNTIF(D$2:D$273, E63)=0, "Missing in E", "")</f>
        <v/>
      </c>
      <c r="E63" s="1155" t="inlineStr">
        <is>
          <t>IIY#8826971710471VHQ</t>
        </is>
      </c>
      <c r="F63" s="1155" t="inlineStr">
        <is>
          <t>Seat Booking Confirmed</t>
        </is>
      </c>
      <c r="G63" s="1155" t="inlineStr">
        <is>
          <t>Bluebell Photography Workshop Half-Day - Warwickshire</t>
        </is>
      </c>
      <c r="H63" s="1787" t="inlineStr">
        <is>
          <t>23 Apr 2025</t>
        </is>
      </c>
      <c r="I63" s="1787" t="inlineStr">
        <is>
          <t>23 Apr 2025</t>
        </is>
      </c>
      <c r="J63" s="1157" t="inlineStr">
        <is>
          <t>05:45:00</t>
        </is>
      </c>
      <c r="K63" s="1157" t="inlineStr">
        <is>
          <t>10:00:00</t>
        </is>
      </c>
      <c r="L63" s="1155" t="inlineStr">
        <is>
          <t>Stratford Upon Avon|</t>
        </is>
      </c>
      <c r="M63" s="1155" t="inlineStr">
        <is>
          <t>Jo James</t>
        </is>
      </c>
      <c r="N63" s="1155" t="inlineStr">
        <is>
          <t>jjames8@jaguarlandrover.com</t>
        </is>
      </c>
      <c r="O63" s="1155" t="inlineStr">
        <is>
          <t>GBP</t>
        </is>
      </c>
      <c r="P63" s="1155" t="n"/>
      <c r="Q63" s="1788" t="n">
        <v>99</v>
      </c>
      <c r="S63" s="1121">
        <f>H63-12</f>
        <v/>
      </c>
      <c r="T63" s="1121" t="n">
        <v>45773</v>
      </c>
      <c r="U63" s="1121" t="n"/>
      <c r="V63" s="1789">
        <f>H63+45</f>
        <v/>
      </c>
      <c r="W63" s="1788" t="n">
        <v>99</v>
      </c>
      <c r="X63" s="1121" t="n">
        <v>45818</v>
      </c>
      <c r="Y63" s="1790">
        <f>Q63-W63</f>
        <v/>
      </c>
    </row>
    <row r="64">
      <c r="A64" s="1096" t="n">
        <v>63</v>
      </c>
      <c r="B64" s="1096">
        <f>IF(COUNTIF(E$2:E$273, D64)=0, "Missing in D", "")</f>
        <v/>
      </c>
      <c r="C64" s="1096">
        <f>IF(COUNTIF(D$2:D$273, E64)=0, "Missing in E", "")</f>
        <v/>
      </c>
      <c r="E64" s="1155" t="inlineStr">
        <is>
          <t>IIY#8829411243471p2K</t>
        </is>
      </c>
      <c r="F64" s="1155" t="inlineStr">
        <is>
          <t>Seat Booking Confirmed</t>
        </is>
      </c>
      <c r="G64" s="1155" t="inlineStr">
        <is>
          <t>Bluebell Photography Workshop Half-Day - Warwickshire</t>
        </is>
      </c>
      <c r="H64" s="1787" t="inlineStr">
        <is>
          <t>24 Apr 2025</t>
        </is>
      </c>
      <c r="I64" s="1787" t="inlineStr">
        <is>
          <t>24 Apr 2025</t>
        </is>
      </c>
      <c r="J64" s="1157" t="inlineStr">
        <is>
          <t>11:00:00</t>
        </is>
      </c>
      <c r="K64" s="1157" t="inlineStr">
        <is>
          <t>15:00:00</t>
        </is>
      </c>
      <c r="L64" s="1155" t="inlineStr">
        <is>
          <t>Warwickshire|</t>
        </is>
      </c>
      <c r="M64" s="1155" t="inlineStr">
        <is>
          <t>Kriti Rastogi</t>
        </is>
      </c>
      <c r="N64" s="1155" t="inlineStr">
        <is>
          <t>krastogi@jaguarlandrover.com</t>
        </is>
      </c>
      <c r="O64" s="1155" t="inlineStr">
        <is>
          <t>GBP</t>
        </is>
      </c>
      <c r="P64" s="1155" t="n"/>
      <c r="Q64" s="1788" t="n">
        <v>99</v>
      </c>
      <c r="S64" s="1121">
        <f>H64-12</f>
        <v/>
      </c>
      <c r="T64" s="1121" t="n">
        <v>45773</v>
      </c>
      <c r="U64" s="1121" t="n"/>
      <c r="V64" s="1789">
        <f>H64+45</f>
        <v/>
      </c>
      <c r="W64" s="1788" t="n">
        <v>99</v>
      </c>
      <c r="X64" s="1121" t="n">
        <v>45818</v>
      </c>
      <c r="Y64" s="1790">
        <f>Q64-W64</f>
        <v/>
      </c>
    </row>
    <row r="65">
      <c r="A65" s="1096" t="n">
        <v>64</v>
      </c>
      <c r="B65" s="1096">
        <f>IF(COUNTIF(E$2:E$273, D65)=0, "Missing in D", "")</f>
        <v/>
      </c>
      <c r="C65" s="1096">
        <f>IF(COUNTIF(D$2:D$273, E65)=0, "Missing in E", "")</f>
        <v/>
      </c>
      <c r="E65" s="1155" t="inlineStr">
        <is>
          <t>IIY#1344999328371X2g</t>
        </is>
      </c>
      <c r="F65" s="1155" t="inlineStr">
        <is>
          <t>Seat Booking Confirmed</t>
        </is>
      </c>
      <c r="G65" s="1155" t="inlineStr">
        <is>
          <t>Bluebell Photography Workshop Half-Day - Warwickshire</t>
        </is>
      </c>
      <c r="H65" s="1787" t="inlineStr">
        <is>
          <t>25 Apr 2025</t>
        </is>
      </c>
      <c r="I65" s="1787" t="inlineStr">
        <is>
          <t>25 Apr 2025</t>
        </is>
      </c>
      <c r="J65" s="1157" t="inlineStr">
        <is>
          <t>05:45:00</t>
        </is>
      </c>
      <c r="K65" s="1157" t="inlineStr">
        <is>
          <t>10:00:00</t>
        </is>
      </c>
      <c r="L65" s="1155" t="inlineStr">
        <is>
          <t>Coventry|</t>
        </is>
      </c>
      <c r="M65" s="1155" t="inlineStr">
        <is>
          <t>Gwyn Jones</t>
        </is>
      </c>
      <c r="N65" s="1155" t="inlineStr">
        <is>
          <t>gjones56@jaguarlandrover.com</t>
        </is>
      </c>
      <c r="O65" s="1155" t="inlineStr">
        <is>
          <t>GBP</t>
        </is>
      </c>
      <c r="P65" s="1155" t="n"/>
      <c r="Q65" s="1788" t="n">
        <v>99</v>
      </c>
      <c r="S65" s="1121">
        <f>H65-12</f>
        <v/>
      </c>
      <c r="T65" s="1121" t="n">
        <v>45773</v>
      </c>
      <c r="U65" s="1121" t="n"/>
      <c r="V65" s="1789">
        <f>H65+45</f>
        <v/>
      </c>
      <c r="W65" s="1788" t="n">
        <v>99</v>
      </c>
      <c r="X65" s="1121" t="n">
        <v>45818</v>
      </c>
      <c r="Y65" s="1790">
        <f>Q65-W65</f>
        <v/>
      </c>
    </row>
    <row r="66">
      <c r="A66" s="1096" t="n">
        <v>65</v>
      </c>
      <c r="B66" s="1096">
        <f>IF(COUNTIF(E$2:E$273, D66)=0, "Missing in D", "")</f>
        <v/>
      </c>
      <c r="C66" s="1096">
        <f>IF(COUNTIF(D$2:D$273, E66)=0, "Missing in E", "")</f>
        <v/>
      </c>
      <c r="E66" s="1155" t="inlineStr">
        <is>
          <t>IIY#0645729122471xv6</t>
        </is>
      </c>
      <c r="F66" s="1155" t="inlineStr">
        <is>
          <t>Seat Booking Confirmed</t>
        </is>
      </c>
      <c r="G66" s="1155" t="inlineStr">
        <is>
          <t>Bluebell Photography Workshop Half-Day - Warwickshire</t>
        </is>
      </c>
      <c r="H66" s="1787" t="inlineStr">
        <is>
          <t>25 Apr 2025</t>
        </is>
      </c>
      <c r="I66" s="1787" t="inlineStr">
        <is>
          <t>25 Apr 2025</t>
        </is>
      </c>
      <c r="J66" s="1157" t="inlineStr">
        <is>
          <t>05:45:00</t>
        </is>
      </c>
      <c r="K66" s="1157" t="inlineStr">
        <is>
          <t>09:45:00</t>
        </is>
      </c>
      <c r="L66" s="1155" t="inlineStr">
        <is>
          <t>Warwickshire|</t>
        </is>
      </c>
      <c r="M66" s="1155" t="inlineStr">
        <is>
          <t>Ioannis Zaproudis</t>
        </is>
      </c>
      <c r="N66" s="1155" t="inlineStr">
        <is>
          <t>izaproud@jaguarlandrover.com</t>
        </is>
      </c>
      <c r="O66" s="1155" t="inlineStr">
        <is>
          <t>GBP</t>
        </is>
      </c>
      <c r="P66" s="1155" t="n"/>
      <c r="Q66" s="1788" t="n">
        <v>99</v>
      </c>
      <c r="S66" s="1121">
        <f>H66-12</f>
        <v/>
      </c>
      <c r="T66" s="1121" t="n">
        <v>45773</v>
      </c>
      <c r="U66" s="1121" t="n"/>
      <c r="V66" s="1789">
        <f>H66+45</f>
        <v/>
      </c>
      <c r="W66" s="1788" t="n">
        <v>99</v>
      </c>
      <c r="X66" s="1121" t="n">
        <v>45818</v>
      </c>
      <c r="Y66" s="1790">
        <f>Q66-W66</f>
        <v/>
      </c>
    </row>
    <row r="67">
      <c r="A67" s="1096" t="n">
        <v>66</v>
      </c>
      <c r="B67" s="1096">
        <f>IF(COUNTIF(E$2:E$273, D67)=0, "Missing in D", "")</f>
        <v/>
      </c>
      <c r="C67" s="1096">
        <f>IF(COUNTIF(D$2:D$273, E67)=0, "Missing in E", "")</f>
        <v/>
      </c>
      <c r="E67" s="1155" t="inlineStr">
        <is>
          <t>IIY#95222122224710gJ</t>
        </is>
      </c>
      <c r="F67" s="1155" t="inlineStr">
        <is>
          <t>Seat Booking Confirmed</t>
        </is>
      </c>
      <c r="G67" s="1155" t="inlineStr">
        <is>
          <t>Bluebell Photography Workshop Half-Day - Warwickshire</t>
        </is>
      </c>
      <c r="H67" s="1787" t="inlineStr">
        <is>
          <t>25 Apr 2025</t>
        </is>
      </c>
      <c r="I67" s="1787" t="inlineStr">
        <is>
          <t>25 Apr 2025</t>
        </is>
      </c>
      <c r="J67" s="1157" t="inlineStr">
        <is>
          <t>11:00:00</t>
        </is>
      </c>
      <c r="K67" s="1157" t="inlineStr">
        <is>
          <t>15:00:00</t>
        </is>
      </c>
      <c r="L67" s="1155" t="inlineStr">
        <is>
          <t>Warwickshire|</t>
        </is>
      </c>
      <c r="M67" s="1155" t="inlineStr">
        <is>
          <t>Mihaela Stroe</t>
        </is>
      </c>
      <c r="N67" s="1155" t="inlineStr">
        <is>
          <t>mstroe5@jaguarlandrover.com</t>
        </is>
      </c>
      <c r="O67" s="1155" t="inlineStr">
        <is>
          <t>GBP</t>
        </is>
      </c>
      <c r="P67" s="1155" t="n"/>
      <c r="Q67" s="1788" t="n">
        <v>99</v>
      </c>
      <c r="S67" s="1121">
        <f>H67-12</f>
        <v/>
      </c>
      <c r="T67" s="1121" t="n">
        <v>45773</v>
      </c>
      <c r="U67" s="1121" t="n"/>
      <c r="V67" s="1789">
        <f>H67+45</f>
        <v/>
      </c>
      <c r="W67" s="1788" t="n">
        <v>99</v>
      </c>
      <c r="X67" s="1121" t="n">
        <v>45818</v>
      </c>
      <c r="Y67" s="1790">
        <f>Q67-W67</f>
        <v/>
      </c>
    </row>
    <row r="68">
      <c r="A68" s="1096" t="n">
        <v>67</v>
      </c>
      <c r="B68" s="1096">
        <f>IF(COUNTIF(E$2:E$273, D68)=0, "Missing in D", "")</f>
        <v/>
      </c>
      <c r="C68" s="1096">
        <f>IF(COUNTIF(D$2:D$273, E68)=0, "Missing in E", "")</f>
        <v/>
      </c>
      <c r="E68" s="1155" t="inlineStr">
        <is>
          <t>IIY#2473345521471eH6</t>
        </is>
      </c>
      <c r="F68" s="1155" t="inlineStr">
        <is>
          <t>Seat Booking Confirmed</t>
        </is>
      </c>
      <c r="G68" s="1155" t="inlineStr">
        <is>
          <t>Photo Editing Classes - Lightroom Classic</t>
        </is>
      </c>
      <c r="H68" s="1787" t="inlineStr">
        <is>
          <t>29 Apr 2025</t>
        </is>
      </c>
      <c r="I68" s="1787" t="inlineStr">
        <is>
          <t>13 May 2025</t>
        </is>
      </c>
      <c r="J68" s="1157" t="inlineStr">
        <is>
          <t>19:00:00</t>
        </is>
      </c>
      <c r="K68" s="1157" t="inlineStr">
        <is>
          <t>21:00:00</t>
        </is>
      </c>
      <c r="L68" s="1155" t="inlineStr">
        <is>
          <t>Coventry|</t>
        </is>
      </c>
      <c r="M68" s="1155" t="inlineStr">
        <is>
          <t>Paul Lewis</t>
        </is>
      </c>
      <c r="N68" s="1155" t="inlineStr">
        <is>
          <t>plewis49@jaguarlandrover.com</t>
        </is>
      </c>
      <c r="O68" s="1155" t="inlineStr">
        <is>
          <t>GBP</t>
        </is>
      </c>
      <c r="P68" s="1155" t="n"/>
      <c r="Q68" s="1788" t="n">
        <v>150</v>
      </c>
      <c r="S68" s="1121">
        <f>H68-12</f>
        <v/>
      </c>
      <c r="T68" s="1121" t="n">
        <v>45776</v>
      </c>
      <c r="U68" s="1121" t="n"/>
      <c r="V68" s="1789">
        <f>H68+45</f>
        <v/>
      </c>
      <c r="W68" s="1082" t="n">
        <v>150</v>
      </c>
      <c r="X68" s="1121" t="n">
        <v>45820</v>
      </c>
      <c r="Y68" s="1790">
        <f>Q68-W68</f>
        <v/>
      </c>
    </row>
    <row r="69">
      <c r="A69" s="1096" t="n">
        <v>68</v>
      </c>
      <c r="B69" s="1096">
        <f>IF(COUNTIF(E$2:E$273, D69)=0, "Missing in D", "")</f>
        <v/>
      </c>
      <c r="C69" s="1096">
        <f>IF(COUNTIF(D$2:D$273, E69)=0, "Missing in E", "")</f>
        <v/>
      </c>
      <c r="E69" s="1155" t="inlineStr">
        <is>
          <t>IIY#9784390621471qeW</t>
        </is>
      </c>
      <c r="F69" s="1155" t="inlineStr">
        <is>
          <t>Seat Booking Confirmed</t>
        </is>
      </c>
      <c r="G69" s="1155" t="inlineStr">
        <is>
          <t>Photo Editing Classes - Lightroom Classic</t>
        </is>
      </c>
      <c r="H69" s="1787" t="inlineStr">
        <is>
          <t>29 Apr 2025</t>
        </is>
      </c>
      <c r="I69" s="1787" t="inlineStr">
        <is>
          <t>13 May 2025</t>
        </is>
      </c>
      <c r="J69" s="1157" t="inlineStr">
        <is>
          <t>19:00:00</t>
        </is>
      </c>
      <c r="K69" s="1157" t="inlineStr">
        <is>
          <t>21:00:00</t>
        </is>
      </c>
      <c r="L69" s="1155" t="inlineStr">
        <is>
          <t>Coventry|</t>
        </is>
      </c>
      <c r="M69" s="1155" t="inlineStr">
        <is>
          <t>James Lawrence</t>
        </is>
      </c>
      <c r="N69" s="1155" t="inlineStr">
        <is>
          <t>jlawre17@jaguarlandrover.com</t>
        </is>
      </c>
      <c r="O69" s="1155" t="inlineStr">
        <is>
          <t>GBP</t>
        </is>
      </c>
      <c r="P69" s="1155" t="n"/>
      <c r="Q69" s="1788" t="n">
        <v>150</v>
      </c>
      <c r="S69" s="1121">
        <f>H69-12</f>
        <v/>
      </c>
      <c r="T69" s="1121" t="n">
        <v>45776</v>
      </c>
      <c r="U69" s="1121" t="n"/>
      <c r="V69" s="1789">
        <f>H69+45</f>
        <v/>
      </c>
      <c r="W69" s="1082" t="n">
        <v>150</v>
      </c>
      <c r="X69" s="1121" t="n">
        <v>45820</v>
      </c>
      <c r="Y69" s="1790">
        <f>Q69-W69</f>
        <v/>
      </c>
    </row>
    <row r="70">
      <c r="A70" s="1096" t="n">
        <v>69</v>
      </c>
      <c r="B70" s="1096">
        <f>IF(COUNTIF(E$2:E$273, D70)=0, "Missing in D", "")</f>
        <v/>
      </c>
      <c r="C70" s="1096">
        <f>IF(COUNTIF(D$2:D$273, E70)=0, "Missing in E", "")</f>
        <v/>
      </c>
      <c r="E70" s="1155" t="inlineStr">
        <is>
          <t>IIY#3699288992471NzB</t>
        </is>
      </c>
      <c r="F70" s="1155" t="inlineStr">
        <is>
          <t>Seat Booking Confirmed</t>
        </is>
      </c>
      <c r="G70" s="1155" t="inlineStr">
        <is>
          <t>Photo Editing Classes - Lightroom Classic</t>
        </is>
      </c>
      <c r="H70" s="1787" t="inlineStr">
        <is>
          <t>29 Apr 2025</t>
        </is>
      </c>
      <c r="I70" s="1787" t="inlineStr">
        <is>
          <t>13 May 2025</t>
        </is>
      </c>
      <c r="J70" s="1157" t="inlineStr">
        <is>
          <t>19:00:00</t>
        </is>
      </c>
      <c r="K70" s="1157" t="inlineStr">
        <is>
          <t>21:00:00</t>
        </is>
      </c>
      <c r="L70" s="1155" t="inlineStr">
        <is>
          <t>Coventry|</t>
        </is>
      </c>
      <c r="M70" s="1155" t="inlineStr">
        <is>
          <t>Anil Kumar Siddesh</t>
        </is>
      </c>
      <c r="N70" s="1155" t="inlineStr">
        <is>
          <t>asiddesh@jaguarlandrover.com</t>
        </is>
      </c>
      <c r="O70" s="1155" t="inlineStr">
        <is>
          <t>GBP</t>
        </is>
      </c>
      <c r="P70" s="1155" t="n"/>
      <c r="Q70" s="1788" t="n">
        <v>150</v>
      </c>
      <c r="S70" s="1121">
        <f>H70-12</f>
        <v/>
      </c>
      <c r="T70" s="1121" t="n">
        <v>45776</v>
      </c>
      <c r="U70" s="1121" t="n"/>
      <c r="V70" s="1789">
        <f>H70+45</f>
        <v/>
      </c>
      <c r="W70" s="1082" t="n">
        <v>150</v>
      </c>
      <c r="X70" s="1121" t="n">
        <v>45820</v>
      </c>
      <c r="Y70" s="1790">
        <f>Q70-W70</f>
        <v/>
      </c>
    </row>
    <row r="71">
      <c r="A71" s="1096" t="n">
        <v>70</v>
      </c>
      <c r="B71" s="1096">
        <f>IF(COUNTIF(E$2:E$273, D71)=0, "Missing in D", "")</f>
        <v/>
      </c>
      <c r="C71" s="1096">
        <f>IF(COUNTIF(D$2:D$273, E71)=0, "Missing in E", "")</f>
        <v/>
      </c>
      <c r="E71" s="1155" t="inlineStr">
        <is>
          <t>IIY#2410727791471r6v</t>
        </is>
      </c>
      <c r="F71" s="1155" t="inlineStr">
        <is>
          <t>Seat Booking Confirmed</t>
        </is>
      </c>
      <c r="G71" s="1155" t="inlineStr">
        <is>
          <t>Photography Lessons - Private 1-2-1 (1HR)</t>
        </is>
      </c>
      <c r="H71" s="1787" t="inlineStr">
        <is>
          <t>01 May 2025</t>
        </is>
      </c>
      <c r="I71" s="1787" t="inlineStr">
        <is>
          <t>17 May 2025</t>
        </is>
      </c>
      <c r="J71" s="1157" t="inlineStr">
        <is>
          <t>08:00:00</t>
        </is>
      </c>
      <c r="K71" s="1157" t="inlineStr">
        <is>
          <t>17:00:00</t>
        </is>
      </c>
      <c r="L71" s="1155" t="inlineStr">
        <is>
          <t>Coventry|</t>
        </is>
      </c>
      <c r="M71" s="1155" t="inlineStr">
        <is>
          <t>Shankar Ganesan</t>
        </is>
      </c>
      <c r="N71" s="1155" t="inlineStr">
        <is>
          <t>sganesa4@jaguarlandrover.com</t>
        </is>
      </c>
      <c r="O71" s="1155" t="inlineStr">
        <is>
          <t>GBP</t>
        </is>
      </c>
      <c r="P71" s="1155" t="n"/>
      <c r="Q71" s="1788" t="n">
        <v>65</v>
      </c>
      <c r="S71" s="1121">
        <f>H71-12</f>
        <v/>
      </c>
      <c r="T71" s="1121" t="n">
        <v>45778</v>
      </c>
      <c r="U71" s="1121" t="n"/>
      <c r="V71" s="1789">
        <f>H71+45</f>
        <v/>
      </c>
      <c r="W71" s="1082" t="n">
        <v>65</v>
      </c>
      <c r="X71" s="1121" t="n">
        <v>45820</v>
      </c>
      <c r="Y71" s="1790">
        <f>Q71-W71</f>
        <v/>
      </c>
    </row>
    <row r="72">
      <c r="A72" s="1096" t="n">
        <v>71</v>
      </c>
      <c r="B72" s="1096">
        <f>IF(COUNTIF(E$2:E$273, D72)=0, "Missing in D", "")</f>
        <v/>
      </c>
      <c r="C72" s="1096">
        <f>IF(COUNTIF(D$2:D$273, E72)=0, "Missing in E", "")</f>
        <v/>
      </c>
      <c r="E72" s="1155" t="inlineStr">
        <is>
          <t>IIY#42113263493712CT</t>
        </is>
      </c>
      <c r="F72" s="1155" t="inlineStr">
        <is>
          <t>Seat Booking Confirmed</t>
        </is>
      </c>
      <c r="G72" s="1155" t="inlineStr">
        <is>
          <t>Fairy Glen Betws-y-Coed Photography Workshop -  Wales</t>
        </is>
      </c>
      <c r="H72" s="1787" t="inlineStr">
        <is>
          <t>03 May 2025</t>
        </is>
      </c>
      <c r="I72" s="1787" t="inlineStr">
        <is>
          <t>03 May 2025</t>
        </is>
      </c>
      <c r="J72" s="1157" t="inlineStr">
        <is>
          <t>10:00:00</t>
        </is>
      </c>
      <c r="K72" s="1157" t="inlineStr">
        <is>
          <t>13:30:00</t>
        </is>
      </c>
      <c r="L72" s="1155" t="inlineStr">
        <is>
          <t>Betws-y-Coed|</t>
        </is>
      </c>
      <c r="M72" s="1155" t="inlineStr">
        <is>
          <t>Grace Black</t>
        </is>
      </c>
      <c r="N72" s="1155" t="inlineStr">
        <is>
          <t>gblack1@jaguarlandrover.com</t>
        </is>
      </c>
      <c r="O72" s="1155" t="inlineStr">
        <is>
          <t>GBP</t>
        </is>
      </c>
      <c r="P72" s="1155" t="n"/>
      <c r="Q72" s="1788" t="n">
        <v>95</v>
      </c>
      <c r="S72" s="1121">
        <f>H72-12</f>
        <v/>
      </c>
      <c r="T72" s="1121" t="n">
        <v>45780</v>
      </c>
      <c r="U72" s="1121" t="n"/>
      <c r="V72" s="1789">
        <f>H72+45</f>
        <v/>
      </c>
      <c r="W72" s="1082" t="n">
        <v>95</v>
      </c>
      <c r="X72" s="1121" t="n">
        <v>45820</v>
      </c>
      <c r="Y72" s="1790">
        <f>Q72-W72</f>
        <v/>
      </c>
    </row>
    <row r="73">
      <c r="A73" s="1096" t="n">
        <v>72</v>
      </c>
      <c r="B73" s="1096">
        <f>IF(COUNTIF(E$2:E$273, D73)=0, "Missing in D", "")</f>
        <v/>
      </c>
      <c r="C73" s="1096">
        <f>IF(COUNTIF(D$2:D$273, E73)=0, "Missing in E", "")</f>
        <v/>
      </c>
      <c r="E73" s="1155" t="inlineStr">
        <is>
          <t>IIY#6752526349371NxU</t>
        </is>
      </c>
      <c r="F73" s="1155" t="inlineStr">
        <is>
          <t>Seat Booking Confirmed</t>
        </is>
      </c>
      <c r="G73" s="1155" t="inlineStr">
        <is>
          <t>Fairy Glen Betws-y-Coed Photography Workshop -  Wales</t>
        </is>
      </c>
      <c r="H73" s="1787" t="inlineStr">
        <is>
          <t>03 May 2025</t>
        </is>
      </c>
      <c r="I73" s="1787" t="inlineStr">
        <is>
          <t>03 May 2025</t>
        </is>
      </c>
      <c r="J73" s="1157" t="inlineStr">
        <is>
          <t>10:00:00</t>
        </is>
      </c>
      <c r="K73" s="1157" t="inlineStr">
        <is>
          <t>13:30:00</t>
        </is>
      </c>
      <c r="L73" s="1155" t="inlineStr">
        <is>
          <t>Betws-y-Coed|</t>
        </is>
      </c>
      <c r="M73" s="1155" t="inlineStr">
        <is>
          <t>Jonathan Peggs</t>
        </is>
      </c>
      <c r="N73" s="1155" t="inlineStr">
        <is>
          <t>jpeggs@jaguarlandrover.com</t>
        </is>
      </c>
      <c r="O73" s="1155" t="inlineStr">
        <is>
          <t>GBP</t>
        </is>
      </c>
      <c r="P73" s="1155" t="n"/>
      <c r="Q73" s="1788" t="n">
        <v>95</v>
      </c>
      <c r="S73" s="1121">
        <f>H73-12</f>
        <v/>
      </c>
      <c r="T73" s="1121" t="n">
        <v>45780</v>
      </c>
      <c r="U73" s="1121" t="n"/>
      <c r="V73" s="1789">
        <f>H73+45</f>
        <v/>
      </c>
      <c r="W73" s="1082" t="n">
        <v>95</v>
      </c>
      <c r="X73" s="1121" t="n">
        <v>45820</v>
      </c>
      <c r="Y73" s="1790">
        <f>Q73-W73</f>
        <v/>
      </c>
    </row>
    <row r="74">
      <c r="A74" s="1096" t="n">
        <v>73</v>
      </c>
      <c r="B74" s="1096">
        <f>IF(COUNTIF(E$2:E$273, D74)=0, "Missing in D", "")</f>
        <v/>
      </c>
      <c r="C74" s="1096">
        <f>IF(COUNTIF(D$2:D$273, E74)=0, "Missing in E", "")</f>
        <v/>
      </c>
      <c r="E74" s="1155" t="inlineStr">
        <is>
          <t>IIY#6631926799371S30</t>
        </is>
      </c>
      <c r="F74" s="1155" t="inlineStr">
        <is>
          <t>Seat Booking Confirmed</t>
        </is>
      </c>
      <c r="G74" s="1155" t="inlineStr">
        <is>
          <t>Fairy Glen Betws-y-Coed Photography Workshop -  Wales</t>
        </is>
      </c>
      <c r="H74" s="1787" t="inlineStr">
        <is>
          <t>03 May 2025</t>
        </is>
      </c>
      <c r="I74" s="1787" t="inlineStr">
        <is>
          <t>03 May 2025</t>
        </is>
      </c>
      <c r="J74" s="1157" t="inlineStr">
        <is>
          <t>10:00:00</t>
        </is>
      </c>
      <c r="K74" s="1157" t="inlineStr">
        <is>
          <t>13:30:00</t>
        </is>
      </c>
      <c r="L74" s="1155" t="inlineStr">
        <is>
          <t>Betws-y-Coed|</t>
        </is>
      </c>
      <c r="M74" s="1155" t="inlineStr">
        <is>
          <t>Dianne Nicholls</t>
        </is>
      </c>
      <c r="N74" s="1155" t="inlineStr">
        <is>
          <t>dnicho11@jaguarlandrover.com</t>
        </is>
      </c>
      <c r="O74" s="1155" t="inlineStr">
        <is>
          <t>GBP</t>
        </is>
      </c>
      <c r="P74" s="1155" t="n"/>
      <c r="Q74" s="1788" t="n">
        <v>95</v>
      </c>
      <c r="S74" s="1121">
        <f>H74-12</f>
        <v/>
      </c>
      <c r="T74" s="1121" t="n">
        <v>45780</v>
      </c>
      <c r="U74" s="1121" t="n"/>
      <c r="V74" s="1789">
        <f>H74+45</f>
        <v/>
      </c>
      <c r="W74" s="1082" t="n">
        <v>95</v>
      </c>
      <c r="X74" s="1121" t="n">
        <v>45820</v>
      </c>
      <c r="Y74" s="1790">
        <f>Q74-W74</f>
        <v/>
      </c>
    </row>
    <row r="75">
      <c r="A75" s="1096" t="n">
        <v>74</v>
      </c>
      <c r="B75" s="1096">
        <f>IF(COUNTIF(E$2:E$273, D75)=0, "Missing in D", "")</f>
        <v/>
      </c>
      <c r="C75" s="1096">
        <f>IF(COUNTIF(D$2:D$273, E75)=0, "Missing in E", "")</f>
        <v/>
      </c>
      <c r="D75" s="1096" t="inlineStr">
        <is>
          <t>Last Review request</t>
        </is>
      </c>
      <c r="E75" s="1155" t="inlineStr">
        <is>
          <t>IIY#2547509228371kQg</t>
        </is>
      </c>
      <c r="F75" s="1155" t="inlineStr">
        <is>
          <t>Seat Booking Confirmed</t>
        </is>
      </c>
      <c r="G75" s="1155" t="inlineStr">
        <is>
          <t>Fairy Glen Betws-y-Coed Photography Workshop -  Wales</t>
        </is>
      </c>
      <c r="H75" s="1787" t="inlineStr">
        <is>
          <t>03 May 2025</t>
        </is>
      </c>
      <c r="I75" s="1787" t="inlineStr">
        <is>
          <t>03 May 2025</t>
        </is>
      </c>
      <c r="J75" s="1157" t="inlineStr">
        <is>
          <t>10:30:00</t>
        </is>
      </c>
      <c r="K75" s="1157" t="inlineStr">
        <is>
          <t>14:00:00</t>
        </is>
      </c>
      <c r="L75" s="1155" t="inlineStr">
        <is>
          <t>Coventry|</t>
        </is>
      </c>
      <c r="M75" s="1155" t="inlineStr">
        <is>
          <t>Anna Hutchcox</t>
        </is>
      </c>
      <c r="N75" s="1155" t="inlineStr">
        <is>
          <t>ahutchco@jaguarlandrover.com</t>
        </is>
      </c>
      <c r="O75" s="1155" t="inlineStr">
        <is>
          <t>GBP</t>
        </is>
      </c>
      <c r="P75" s="1155" t="n"/>
      <c r="Q75" s="1788" t="n">
        <v>95</v>
      </c>
      <c r="S75" s="1121">
        <f>H75-12</f>
        <v/>
      </c>
      <c r="T75" s="1121" t="n">
        <v>45780</v>
      </c>
      <c r="U75" s="1121" t="n"/>
      <c r="V75" s="1789">
        <f>H75+45</f>
        <v/>
      </c>
      <c r="W75" s="1082" t="n">
        <v>95</v>
      </c>
      <c r="X75" s="1121" t="n">
        <v>45820</v>
      </c>
      <c r="Y75" s="1790">
        <f>Q75-W75</f>
        <v/>
      </c>
    </row>
    <row r="76">
      <c r="A76" s="1096" t="n">
        <v>75</v>
      </c>
      <c r="B76" s="1096">
        <f>IF(COUNTIF(E$2:E$273, D76)=0, "Missing in D", "")</f>
        <v/>
      </c>
      <c r="C76" s="1096">
        <f>IF(COUNTIF(D$2:D$273, E76)=0, "Missing in E", "")</f>
        <v/>
      </c>
      <c r="E76" s="1155" t="inlineStr">
        <is>
          <t>IIY#4412234739371jO9</t>
        </is>
      </c>
      <c r="F76" s="1155" t="inlineStr">
        <is>
          <t>Seat Booking Confirmed</t>
        </is>
      </c>
      <c r="G76" s="1155" t="inlineStr">
        <is>
          <t>Woodland Photography Walk</t>
        </is>
      </c>
      <c r="H76" s="1787" t="inlineStr">
        <is>
          <t>04 May 2025</t>
        </is>
      </c>
      <c r="I76" s="1787" t="inlineStr">
        <is>
          <t>04 May 2025</t>
        </is>
      </c>
      <c r="J76" s="1157" t="inlineStr">
        <is>
          <t>09:30:00</t>
        </is>
      </c>
      <c r="K76" s="1157" t="inlineStr">
        <is>
          <t>11:30:00</t>
        </is>
      </c>
      <c r="L76" s="1155" t="inlineStr">
        <is>
          <t>Solihull|</t>
        </is>
      </c>
      <c r="M76" s="1155" t="inlineStr">
        <is>
          <t>Mohamad Chaaban</t>
        </is>
      </c>
      <c r="N76" s="1155" t="inlineStr">
        <is>
          <t>mchaaba1@jaguarlandrover.com</t>
        </is>
      </c>
      <c r="O76" s="1155" t="inlineStr">
        <is>
          <t>GBP</t>
        </is>
      </c>
      <c r="P76" s="1155" t="n"/>
      <c r="Q76" s="1788" t="n">
        <v>12</v>
      </c>
      <c r="S76" s="1121">
        <f>H76-12</f>
        <v/>
      </c>
      <c r="T76" s="1121" t="n">
        <v>45781</v>
      </c>
      <c r="U76" s="1121" t="n"/>
      <c r="V76" s="1789">
        <f>H76+45</f>
        <v/>
      </c>
      <c r="W76" s="1082" t="n">
        <v>12</v>
      </c>
      <c r="X76" s="1121" t="n">
        <v>45820</v>
      </c>
      <c r="Y76" s="1790">
        <f>Q76-W76</f>
        <v/>
      </c>
    </row>
    <row r="77">
      <c r="A77" s="1096" t="n">
        <v>76</v>
      </c>
      <c r="B77" s="1096">
        <f>IF(COUNTIF(E$2:E$273, D77)=0, "Missing in D", "")</f>
        <v/>
      </c>
      <c r="C77" s="1096">
        <f>IF(COUNTIF(D$2:D$273, E77)=0, "Missing in E", "")</f>
        <v/>
      </c>
      <c r="E77" s="1155" t="inlineStr">
        <is>
          <t>IIY#5855109739371bcK</t>
        </is>
      </c>
      <c r="F77" s="1155" t="inlineStr">
        <is>
          <t>Seat Booking Confirmed</t>
        </is>
      </c>
      <c r="G77" s="1155" t="inlineStr">
        <is>
          <t>Woodland Photography Walk</t>
        </is>
      </c>
      <c r="H77" s="1787" t="inlineStr">
        <is>
          <t>04 May 2025</t>
        </is>
      </c>
      <c r="I77" s="1787" t="inlineStr">
        <is>
          <t>04 May 2025</t>
        </is>
      </c>
      <c r="J77" s="1157" t="inlineStr">
        <is>
          <t>09:30:00</t>
        </is>
      </c>
      <c r="K77" s="1157" t="inlineStr">
        <is>
          <t>11:30:00</t>
        </is>
      </c>
      <c r="L77" s="1155" t="inlineStr">
        <is>
          <t>Solihull|</t>
        </is>
      </c>
      <c r="M77" s="1155" t="inlineStr">
        <is>
          <t>Lee Kelly</t>
        </is>
      </c>
      <c r="N77" s="1155" t="inlineStr">
        <is>
          <t>lkelly5@jaguarlandrover.com</t>
        </is>
      </c>
      <c r="O77" s="1155" t="inlineStr">
        <is>
          <t>GBP</t>
        </is>
      </c>
      <c r="P77" s="1155" t="n"/>
      <c r="Q77" s="1788" t="n">
        <v>12</v>
      </c>
      <c r="S77" s="1121">
        <f>H77-12</f>
        <v/>
      </c>
      <c r="T77" s="1121" t="n">
        <v>45781</v>
      </c>
      <c r="U77" s="1121" t="n"/>
      <c r="V77" s="1789">
        <f>H77+45</f>
        <v/>
      </c>
      <c r="W77" s="1082" t="n">
        <v>12</v>
      </c>
      <c r="X77" s="1121" t="n">
        <v>45820</v>
      </c>
      <c r="Y77" s="1790">
        <f>Q77-W77</f>
        <v/>
      </c>
    </row>
    <row r="78">
      <c r="A78" s="1096" t="n">
        <v>77</v>
      </c>
      <c r="B78" s="1096">
        <f>IF(COUNTIF(E$2:E$273, D78)=0, "Missing in D", "")</f>
        <v/>
      </c>
      <c r="C78" s="1096">
        <f>IF(COUNTIF(D$2:D$273, E78)=0, "Missing in E", "")</f>
        <v/>
      </c>
      <c r="E78" s="1155" t="inlineStr">
        <is>
          <t>IIY#4588109739371X4x</t>
        </is>
      </c>
      <c r="F78" s="1155" t="inlineStr">
        <is>
          <t>Seat Booking Confirmed</t>
        </is>
      </c>
      <c r="G78" s="1155" t="inlineStr">
        <is>
          <t>Woodland Photography Walk</t>
        </is>
      </c>
      <c r="H78" s="1787" t="inlineStr">
        <is>
          <t>04 May 2025</t>
        </is>
      </c>
      <c r="I78" s="1787" t="inlineStr">
        <is>
          <t>04 May 2025</t>
        </is>
      </c>
      <c r="J78" s="1157" t="inlineStr">
        <is>
          <t>09:30:00</t>
        </is>
      </c>
      <c r="K78" s="1157" t="inlineStr">
        <is>
          <t>11:30:00</t>
        </is>
      </c>
      <c r="L78" s="1155" t="inlineStr">
        <is>
          <t>Solihull|</t>
        </is>
      </c>
      <c r="M78" s="1155" t="inlineStr">
        <is>
          <t>Aniko Kovacs</t>
        </is>
      </c>
      <c r="N78" s="1155" t="inlineStr">
        <is>
          <t>akovac17@jaguarlandrover.com</t>
        </is>
      </c>
      <c r="O78" s="1155" t="inlineStr">
        <is>
          <t>GBP</t>
        </is>
      </c>
      <c r="P78" s="1155" t="n"/>
      <c r="Q78" s="1791" t="n">
        <v>12</v>
      </c>
      <c r="S78" s="1121">
        <f>H78-12</f>
        <v/>
      </c>
      <c r="T78" s="1121" t="n">
        <v>45781</v>
      </c>
      <c r="U78" s="1121" t="n"/>
      <c r="V78" s="1789">
        <f>H78+45</f>
        <v/>
      </c>
      <c r="W78" s="1082" t="n">
        <v>12</v>
      </c>
      <c r="X78" s="1121" t="n">
        <v>45820</v>
      </c>
      <c r="Y78" s="1790">
        <f>Q78-W78</f>
        <v/>
      </c>
    </row>
    <row r="79">
      <c r="A79" s="1096" t="n">
        <v>78</v>
      </c>
      <c r="B79" s="1096">
        <f>IF(COUNTIF(E$2:E$273, D79)=0, "Missing in D", "")</f>
        <v/>
      </c>
      <c r="C79" s="1096">
        <f>IF(COUNTIF(D$2:D$273, E79)=0, "Missing in E", "")</f>
        <v/>
      </c>
      <c r="E79" s="1155" t="inlineStr">
        <is>
          <t>IIY#81030724493715su</t>
        </is>
      </c>
      <c r="F79" s="1155" t="inlineStr">
        <is>
          <t>Seat Booking Confirmed</t>
        </is>
      </c>
      <c r="G79" s="1155" t="inlineStr">
        <is>
          <t>Woodland Photography Walk</t>
        </is>
      </c>
      <c r="H79" s="1787" t="inlineStr">
        <is>
          <t>04 May 2025</t>
        </is>
      </c>
      <c r="I79" s="1787" t="inlineStr">
        <is>
          <t>04 May 2025</t>
        </is>
      </c>
      <c r="J79" s="1157" t="inlineStr">
        <is>
          <t>09:30:00</t>
        </is>
      </c>
      <c r="K79" s="1157" t="inlineStr">
        <is>
          <t>11:30:00</t>
        </is>
      </c>
      <c r="L79" s="1155" t="inlineStr">
        <is>
          <t>Solihull|</t>
        </is>
      </c>
      <c r="M79" s="1155" t="inlineStr">
        <is>
          <t>Pravin Pawar</t>
        </is>
      </c>
      <c r="N79" s="1155" t="inlineStr">
        <is>
          <t>ppawar9@jaguarlandrover.com</t>
        </is>
      </c>
      <c r="O79" s="1155" t="inlineStr">
        <is>
          <t>GBP</t>
        </is>
      </c>
      <c r="P79" s="1155" t="n"/>
      <c r="Q79" s="1791" t="n">
        <v>12</v>
      </c>
      <c r="S79" s="1121">
        <f>H79-12</f>
        <v/>
      </c>
      <c r="T79" s="1121" t="n">
        <v>45781</v>
      </c>
      <c r="U79" s="1121" t="n"/>
      <c r="V79" s="1789">
        <f>H79+45</f>
        <v/>
      </c>
      <c r="W79" s="1082" t="n">
        <v>12</v>
      </c>
      <c r="X79" s="1121" t="n">
        <v>45820</v>
      </c>
      <c r="Y79" s="1790">
        <f>Q79-W79</f>
        <v/>
      </c>
    </row>
    <row r="80">
      <c r="A80" s="1096" t="n">
        <v>79</v>
      </c>
      <c r="B80" s="1096">
        <f>IF(COUNTIF(E$2:E$273, D80)=0, "Missing in D", "")</f>
        <v/>
      </c>
      <c r="C80" s="1096">
        <f>IF(COUNTIF(D$2:D$273, E80)=0, "Missing in E", "")</f>
        <v/>
      </c>
      <c r="E80" s="1155" t="inlineStr">
        <is>
          <t>IIY#7904133259371qIr</t>
        </is>
      </c>
      <c r="F80" s="1155" t="inlineStr">
        <is>
          <t>Seat Booking Confirmed</t>
        </is>
      </c>
      <c r="G80" s="1155" t="inlineStr">
        <is>
          <t>Woodland Photography Walk</t>
        </is>
      </c>
      <c r="H80" s="1787" t="inlineStr">
        <is>
          <t>04 May 2025</t>
        </is>
      </c>
      <c r="I80" s="1787" t="inlineStr">
        <is>
          <t>04 May 2025</t>
        </is>
      </c>
      <c r="J80" s="1157" t="inlineStr">
        <is>
          <t>09:30:00</t>
        </is>
      </c>
      <c r="K80" s="1157" t="inlineStr">
        <is>
          <t>11:30:00</t>
        </is>
      </c>
      <c r="L80" s="1155" t="inlineStr">
        <is>
          <t>Solihull|</t>
        </is>
      </c>
      <c r="M80" s="1155" t="inlineStr">
        <is>
          <t>Tuba Sonmez</t>
        </is>
      </c>
      <c r="N80" s="1155" t="inlineStr">
        <is>
          <t>tsonmez@jaguarlandrover.com</t>
        </is>
      </c>
      <c r="O80" s="1155" t="inlineStr">
        <is>
          <t>GBP</t>
        </is>
      </c>
      <c r="P80" s="1155" t="n"/>
      <c r="Q80" s="1788" t="n">
        <v>12</v>
      </c>
      <c r="S80" s="1121">
        <f>H80-12</f>
        <v/>
      </c>
      <c r="T80" s="1121" t="n">
        <v>45781</v>
      </c>
      <c r="U80" s="1121" t="n"/>
      <c r="V80" s="1789">
        <f>H80+45</f>
        <v/>
      </c>
      <c r="W80" s="1082" t="n">
        <v>12</v>
      </c>
      <c r="X80" s="1121" t="n">
        <v>45820</v>
      </c>
      <c r="Y80" s="1790">
        <f>Q80-W80</f>
        <v/>
      </c>
    </row>
    <row r="81">
      <c r="A81" s="1096" t="n">
        <v>80</v>
      </c>
      <c r="B81" s="1096">
        <f>IF(COUNTIF(E$2:E$273, D81)=0, "Missing in D", "")</f>
        <v/>
      </c>
      <c r="C81" s="1096">
        <f>IF(COUNTIF(D$2:D$273, E81)=0, "Missing in E", "")</f>
        <v/>
      </c>
      <c r="E81" s="1155" t="inlineStr">
        <is>
          <t>IIY#1972921143471gvC</t>
        </is>
      </c>
      <c r="F81" s="1155" t="inlineStr">
        <is>
          <t>Seat Booking Confirmed</t>
        </is>
      </c>
      <c r="G81" s="1155" t="inlineStr">
        <is>
          <t>Woodland Photography Walk</t>
        </is>
      </c>
      <c r="H81" s="1787" t="inlineStr">
        <is>
          <t>04 May 2025</t>
        </is>
      </c>
      <c r="I81" s="1787" t="inlineStr">
        <is>
          <t>04 May 2025</t>
        </is>
      </c>
      <c r="J81" s="1157" t="inlineStr">
        <is>
          <t>09:30:00</t>
        </is>
      </c>
      <c r="K81" s="1157" t="inlineStr">
        <is>
          <t>11:30:00</t>
        </is>
      </c>
      <c r="L81" s="1155" t="inlineStr">
        <is>
          <t>Solihull|</t>
        </is>
      </c>
      <c r="M81" s="1155" t="inlineStr">
        <is>
          <t>Dadasaheb Jadhav</t>
        </is>
      </c>
      <c r="N81" s="1155" t="inlineStr">
        <is>
          <t>djadhav4@jaguarlandrover.com</t>
        </is>
      </c>
      <c r="O81" s="1155" t="inlineStr">
        <is>
          <t>GBP</t>
        </is>
      </c>
      <c r="P81" s="1155" t="n"/>
      <c r="Q81" s="1788" t="n">
        <v>15</v>
      </c>
      <c r="S81" s="1121">
        <f>H81-12</f>
        <v/>
      </c>
      <c r="T81" s="1121" t="n">
        <v>45781</v>
      </c>
      <c r="U81" s="1121" t="n"/>
      <c r="V81" s="1789">
        <f>H81+45</f>
        <v/>
      </c>
      <c r="W81" s="1082" t="n">
        <v>15</v>
      </c>
      <c r="X81" s="1121" t="n">
        <v>45820</v>
      </c>
      <c r="Y81" s="1790">
        <f>Q81-W81</f>
        <v/>
      </c>
    </row>
    <row r="82">
      <c r="A82" s="1096" t="n">
        <v>81</v>
      </c>
      <c r="B82" s="1096">
        <f>IF(COUNTIF(E$2:E$273, D82)=0, "Missing in D", "")</f>
        <v/>
      </c>
      <c r="C82" s="1096">
        <f>IF(COUNTIF(D$2:D$273, E82)=0, "Missing in E", "")</f>
        <v/>
      </c>
      <c r="E82" s="1155" t="inlineStr">
        <is>
          <t>IIY#5772028243471qmh</t>
        </is>
      </c>
      <c r="F82" s="1155" t="inlineStr">
        <is>
          <t>Seat Booking Confirmed</t>
        </is>
      </c>
      <c r="G82" s="1155" t="inlineStr">
        <is>
          <t>Woodland Photography Walk</t>
        </is>
      </c>
      <c r="H82" s="1787" t="inlineStr">
        <is>
          <t>04 May 2025</t>
        </is>
      </c>
      <c r="I82" s="1787" t="inlineStr">
        <is>
          <t>04 May 2025</t>
        </is>
      </c>
      <c r="J82" s="1157" t="inlineStr">
        <is>
          <t>09:30:00</t>
        </is>
      </c>
      <c r="K82" s="1157" t="inlineStr">
        <is>
          <t>11:30:00</t>
        </is>
      </c>
      <c r="L82" s="1155" t="inlineStr">
        <is>
          <t>Solihull|</t>
        </is>
      </c>
      <c r="M82" s="1155" t="inlineStr">
        <is>
          <t>Rajiv Mohan</t>
        </is>
      </c>
      <c r="N82" s="1155" t="inlineStr">
        <is>
          <t>rmohan4@jaguarlandrover.com</t>
        </is>
      </c>
      <c r="O82" s="1155" t="inlineStr">
        <is>
          <t>GBP</t>
        </is>
      </c>
      <c r="P82" s="1155" t="n"/>
      <c r="Q82" s="1788" t="n">
        <v>15</v>
      </c>
      <c r="R82" s="1082" t="n">
        <v>1</v>
      </c>
      <c r="S82" s="1121">
        <f>H82-12</f>
        <v/>
      </c>
      <c r="T82" s="1121" t="n">
        <v>45781</v>
      </c>
      <c r="U82" s="1121" t="n"/>
      <c r="V82" s="1789">
        <f>H82+45</f>
        <v/>
      </c>
      <c r="W82" s="1082" t="n">
        <v>15</v>
      </c>
      <c r="X82" s="1121" t="n">
        <v>45820</v>
      </c>
      <c r="Y82" s="1790">
        <f>Q82-W82</f>
        <v/>
      </c>
    </row>
    <row r="83">
      <c r="A83" s="1096" t="n">
        <v>82</v>
      </c>
      <c r="B83" s="1096">
        <f>IF(COUNTIF(E$2:E$273, D83)=0, "Missing in D", "")</f>
        <v/>
      </c>
      <c r="C83" s="1096">
        <f>IF(COUNTIF(D$2:D$273, E83)=0, "Missing in E", "")</f>
        <v/>
      </c>
      <c r="E83" s="1155" t="inlineStr">
        <is>
          <t>IIY#4990439243471YoC</t>
        </is>
      </c>
      <c r="F83" s="1155" t="inlineStr">
        <is>
          <t>Seat Booking Confirmed</t>
        </is>
      </c>
      <c r="G83" s="1155" t="inlineStr">
        <is>
          <t>Woodland Photography Walk</t>
        </is>
      </c>
      <c r="H83" s="1787" t="inlineStr">
        <is>
          <t>04 May 2025</t>
        </is>
      </c>
      <c r="I83" s="1787" t="inlineStr">
        <is>
          <t>04 May 2025</t>
        </is>
      </c>
      <c r="J83" s="1157" t="inlineStr">
        <is>
          <t>09:30:00</t>
        </is>
      </c>
      <c r="K83" s="1157" t="inlineStr">
        <is>
          <t>11:30:00</t>
        </is>
      </c>
      <c r="L83" s="1155" t="inlineStr">
        <is>
          <t>Solihull|</t>
        </is>
      </c>
      <c r="M83" s="1155" t="inlineStr">
        <is>
          <t>Raluca-Georgiana Cristea</t>
        </is>
      </c>
      <c r="N83" s="1155" t="inlineStr">
        <is>
          <t>rcriste1@jaguarlandrover.com</t>
        </is>
      </c>
      <c r="O83" s="1155" t="inlineStr">
        <is>
          <t>GBP</t>
        </is>
      </c>
      <c r="P83" s="1155" t="n"/>
      <c r="Q83" s="1791" t="n">
        <v>15</v>
      </c>
      <c r="S83" s="1121">
        <f>H83-12</f>
        <v/>
      </c>
      <c r="T83" s="1121" t="n">
        <v>45781</v>
      </c>
      <c r="U83" s="1121" t="n"/>
      <c r="V83" s="1789">
        <f>H83+45</f>
        <v/>
      </c>
      <c r="W83" s="1082" t="n">
        <v>15</v>
      </c>
      <c r="X83" s="1121" t="n">
        <v>45820</v>
      </c>
      <c r="Y83" s="1790">
        <f>Q83-W83</f>
        <v/>
      </c>
    </row>
    <row r="84">
      <c r="A84" s="1096" t="n">
        <v>83</v>
      </c>
      <c r="B84" s="1096">
        <f>IF(COUNTIF(E$2:E$273, D84)=0, "Missing in D", "")</f>
        <v/>
      </c>
      <c r="C84" s="1096">
        <f>IF(COUNTIF(D$2:D$273, E84)=0, "Missing in E", "")</f>
        <v/>
      </c>
      <c r="E84" s="1155" t="inlineStr">
        <is>
          <t>IIY-#3222657371-#463</t>
        </is>
      </c>
      <c r="F84" s="1155" t="inlineStr">
        <is>
          <t>Seat Booking Confirmed</t>
        </is>
      </c>
      <c r="G84" s="1155" t="inlineStr">
        <is>
          <t>Garden Photography Workshop - Private Garden - Coventry</t>
        </is>
      </c>
      <c r="H84" s="1787" t="inlineStr">
        <is>
          <t>04 May 2025</t>
        </is>
      </c>
      <c r="I84" s="1787" t="inlineStr">
        <is>
          <t>04 May 2025</t>
        </is>
      </c>
      <c r="J84" s="1157" t="inlineStr">
        <is>
          <t>15:00:00</t>
        </is>
      </c>
      <c r="K84" s="1157" t="inlineStr">
        <is>
          <t>17:30:00</t>
        </is>
      </c>
      <c r="L84" s="1155" t="inlineStr">
        <is>
          <t>Coventry|</t>
        </is>
      </c>
      <c r="M84" s="1155" t="inlineStr">
        <is>
          <t>Holly Pownall</t>
        </is>
      </c>
      <c r="N84" s="1155" t="inlineStr">
        <is>
          <t>hpownall@jaguarlandrover.com</t>
        </is>
      </c>
      <c r="O84" s="1155" t="inlineStr">
        <is>
          <t>GBP</t>
        </is>
      </c>
      <c r="P84" s="1155" t="n"/>
      <c r="Q84" s="1788" t="n">
        <v>35</v>
      </c>
      <c r="R84" s="1082" t="n">
        <v>1</v>
      </c>
      <c r="S84" s="1121">
        <f>H84-12</f>
        <v/>
      </c>
      <c r="T84" s="1121" t="n">
        <v>45781</v>
      </c>
      <c r="U84" s="1121" t="n"/>
      <c r="V84" s="1789">
        <f>H84+45</f>
        <v/>
      </c>
      <c r="W84" s="1082" t="n">
        <v>35</v>
      </c>
      <c r="X84" s="1121" t="n">
        <v>45820</v>
      </c>
      <c r="Y84" s="1790">
        <f>Q84-W84</f>
        <v/>
      </c>
    </row>
    <row r="85">
      <c r="A85" s="1096" t="n">
        <v>84</v>
      </c>
      <c r="B85" s="1096">
        <f>IF(COUNTIF(E$2:E$273, D85)=0, "Missing in D", "")</f>
        <v/>
      </c>
      <c r="C85" s="1096">
        <f>IF(COUNTIF(D$2:D$273, E85)=0, "Missing in E", "")</f>
        <v/>
      </c>
      <c r="E85" s="1155" t="inlineStr">
        <is>
          <t>IIY#4537313578371xNs</t>
        </is>
      </c>
      <c r="F85" s="1155" t="inlineStr">
        <is>
          <t>Seat Booking Confirmed</t>
        </is>
      </c>
      <c r="G85" s="1155" t="inlineStr">
        <is>
          <t>Garden Photography Workshop - Private Garden - Coventry</t>
        </is>
      </c>
      <c r="H85" s="1787" t="inlineStr">
        <is>
          <t>04 May 2025</t>
        </is>
      </c>
      <c r="I85" s="1787" t="inlineStr">
        <is>
          <t>04 May 2025</t>
        </is>
      </c>
      <c r="J85" s="1157" t="inlineStr">
        <is>
          <t>15:00:00</t>
        </is>
      </c>
      <c r="K85" s="1157" t="inlineStr">
        <is>
          <t>17:30:00</t>
        </is>
      </c>
      <c r="L85" s="1155" t="inlineStr">
        <is>
          <t>Coventry|</t>
        </is>
      </c>
      <c r="M85" s="1155" t="inlineStr">
        <is>
          <t>Paul Farrington</t>
        </is>
      </c>
      <c r="N85" s="1155" t="inlineStr">
        <is>
          <t>pfarring@jaguarlandrover.com</t>
        </is>
      </c>
      <c r="O85" s="1155" t="inlineStr">
        <is>
          <t>GBP</t>
        </is>
      </c>
      <c r="P85" s="1155" t="n"/>
      <c r="Q85" s="1788" t="n">
        <v>35</v>
      </c>
      <c r="S85" s="1121">
        <f>H85-12</f>
        <v/>
      </c>
      <c r="T85" s="1121" t="n">
        <v>45781</v>
      </c>
      <c r="U85" s="1121" t="n"/>
      <c r="V85" s="1789">
        <f>H85+45</f>
        <v/>
      </c>
      <c r="W85" s="1082" t="n">
        <v>35</v>
      </c>
      <c r="X85" s="1121" t="n">
        <v>45820</v>
      </c>
      <c r="Y85" s="1790">
        <f>Q85-W85</f>
        <v/>
      </c>
    </row>
    <row r="86">
      <c r="A86" s="1096" t="n">
        <v>85</v>
      </c>
      <c r="B86" s="1096">
        <f>IF(COUNTIF(E$2:E$273, D86)=0, "Missing in D", "")</f>
        <v/>
      </c>
      <c r="C86" s="1096">
        <f>IF(COUNTIF(D$2:D$273, E86)=0, "Missing in E", "")</f>
        <v/>
      </c>
      <c r="E86" s="1155" t="inlineStr">
        <is>
          <t>IIY#0030572449371ikL</t>
        </is>
      </c>
      <c r="F86" s="1155" t="inlineStr">
        <is>
          <t>Seat Booking Confirmed</t>
        </is>
      </c>
      <c r="G86" s="1155" t="inlineStr">
        <is>
          <t>Garden Photography Workshop - Private Garden - Coventry</t>
        </is>
      </c>
      <c r="H86" s="1787" t="inlineStr">
        <is>
          <t>04 May 2025</t>
        </is>
      </c>
      <c r="I86" s="1787" t="inlineStr">
        <is>
          <t>04 May 2025</t>
        </is>
      </c>
      <c r="J86" s="1157" t="inlineStr">
        <is>
          <t>15:00:00</t>
        </is>
      </c>
      <c r="K86" s="1157" t="inlineStr">
        <is>
          <t>17:30:00</t>
        </is>
      </c>
      <c r="L86" s="1155" t="inlineStr">
        <is>
          <t>Coventry|</t>
        </is>
      </c>
      <c r="M86" s="1155" t="inlineStr">
        <is>
          <t>Nicholas Guntrip Hook</t>
        </is>
      </c>
      <c r="N86" s="1155" t="inlineStr">
        <is>
          <t>nguntrip@jaguarlandrover.com</t>
        </is>
      </c>
      <c r="O86" s="1155" t="inlineStr">
        <is>
          <t>GBP</t>
        </is>
      </c>
      <c r="P86" s="1155" t="n"/>
      <c r="Q86" s="1788" t="n">
        <v>35</v>
      </c>
      <c r="S86" s="1121">
        <f>H86-12</f>
        <v/>
      </c>
      <c r="T86" s="1121" t="n">
        <v>45781</v>
      </c>
      <c r="U86" s="1121" t="n"/>
      <c r="V86" s="1789">
        <f>H86+45</f>
        <v/>
      </c>
      <c r="W86" s="1082" t="n">
        <v>35</v>
      </c>
      <c r="X86" s="1121" t="n">
        <v>45820</v>
      </c>
      <c r="Y86" s="1790">
        <f>Q86-W86</f>
        <v/>
      </c>
    </row>
    <row r="87">
      <c r="A87" s="1096" t="n">
        <v>86</v>
      </c>
      <c r="B87" s="1096">
        <f>IF(COUNTIF(E$2:E$273, D87)=0, "Missing in D", "")</f>
        <v/>
      </c>
      <c r="C87" s="1096">
        <f>IF(COUNTIF(D$2:D$273, E87)=0, "Missing in E", "")</f>
        <v/>
      </c>
      <c r="E87" s="1155" t="inlineStr">
        <is>
          <t>IIY#3213924701471IWE</t>
        </is>
      </c>
      <c r="F87" s="1155" t="inlineStr">
        <is>
          <t>Seat Booking Confirmed</t>
        </is>
      </c>
      <c r="G87" s="1155" t="inlineStr">
        <is>
          <t>Garden Photography Workshop - Private Garden - Coventry</t>
        </is>
      </c>
      <c r="H87" s="1787" t="inlineStr">
        <is>
          <t>04 May 2025</t>
        </is>
      </c>
      <c r="I87" s="1787" t="inlineStr">
        <is>
          <t>04 May 2025</t>
        </is>
      </c>
      <c r="J87" s="1157" t="inlineStr">
        <is>
          <t>15:00:00</t>
        </is>
      </c>
      <c r="K87" s="1157" t="inlineStr">
        <is>
          <t>17:30:00</t>
        </is>
      </c>
      <c r="L87" s="1155" t="inlineStr">
        <is>
          <t>Coventry|</t>
        </is>
      </c>
      <c r="M87" s="1155" t="inlineStr">
        <is>
          <t>Elena Kuznetsova</t>
        </is>
      </c>
      <c r="N87" s="1155" t="inlineStr">
        <is>
          <t>ekuznet1@jaguarlandrover.com</t>
        </is>
      </c>
      <c r="O87" s="1155" t="inlineStr">
        <is>
          <t>GBP</t>
        </is>
      </c>
      <c r="P87" s="1155" t="n"/>
      <c r="Q87" s="1788" t="n">
        <v>35</v>
      </c>
      <c r="S87" s="1121">
        <f>H87-12</f>
        <v/>
      </c>
      <c r="T87" s="1121" t="n">
        <v>45781</v>
      </c>
      <c r="U87" s="1121" t="n"/>
      <c r="V87" s="1789">
        <f>H87+45</f>
        <v/>
      </c>
      <c r="W87" s="1082" t="n">
        <v>35</v>
      </c>
      <c r="X87" s="1121" t="n">
        <v>45820</v>
      </c>
      <c r="Y87" s="1790">
        <f>Q87-W87</f>
        <v/>
      </c>
    </row>
    <row r="88">
      <c r="A88" s="1096" t="n">
        <v>87</v>
      </c>
      <c r="B88" s="1096">
        <f>IF(COUNTIF(E$2:E$273, D88)=0, "Missing in D", "")</f>
        <v/>
      </c>
      <c r="C88" s="1096">
        <f>IF(COUNTIF(D$2:D$273, E88)=0, "Missing in E", "")</f>
        <v/>
      </c>
      <c r="E88" s="1155" t="inlineStr">
        <is>
          <t>IIY#51747526704712sd</t>
        </is>
      </c>
      <c r="F88" s="1155" t="inlineStr">
        <is>
          <t>Seat Booking Confirmed</t>
        </is>
      </c>
      <c r="G88" s="1155" t="inlineStr">
        <is>
          <t>Sunset Photographic Workshop - Chesterton Windmill</t>
        </is>
      </c>
      <c r="H88" s="1787" t="inlineStr">
        <is>
          <t>05 May 2025</t>
        </is>
      </c>
      <c r="I88" s="1787" t="inlineStr">
        <is>
          <t>05 May 2025</t>
        </is>
      </c>
      <c r="J88" s="1155" t="inlineStr">
        <is>
          <t>17:30:00</t>
        </is>
      </c>
      <c r="K88" s="1155" t="inlineStr">
        <is>
          <t>19:30:00</t>
        </is>
      </c>
      <c r="L88" s="1155" t="inlineStr">
        <is>
          <t>Chesterton|</t>
        </is>
      </c>
      <c r="M88" s="1155" t="inlineStr">
        <is>
          <t>Junaid Sipple</t>
        </is>
      </c>
      <c r="N88" s="1155" t="inlineStr">
        <is>
          <t>jsipple@jaguarlandrover.com</t>
        </is>
      </c>
      <c r="O88" s="1155" t="inlineStr">
        <is>
          <t>GBP</t>
        </is>
      </c>
      <c r="P88" s="1155" t="n"/>
      <c r="Q88" s="1788" t="n">
        <v>50</v>
      </c>
      <c r="S88" s="1121">
        <f>H88-12</f>
        <v/>
      </c>
      <c r="T88" s="1121" t="n">
        <v>45782</v>
      </c>
      <c r="U88" s="1121" t="n"/>
      <c r="V88" s="1789">
        <f>H88+45</f>
        <v/>
      </c>
      <c r="W88" s="1082" t="n">
        <v>50</v>
      </c>
      <c r="X88" s="1121" t="n">
        <v>45820</v>
      </c>
      <c r="Y88" s="1790">
        <f>Q88-W88</f>
        <v/>
      </c>
    </row>
    <row r="89">
      <c r="A89" s="1096" t="n">
        <v>88</v>
      </c>
      <c r="B89" s="1096">
        <f>IF(COUNTIF(E$2:E$273, D89)=0, "Missing in D", "")</f>
        <v/>
      </c>
      <c r="C89" s="1096">
        <f>IF(COUNTIF(D$2:D$273, E89)=0, "Missing in E", "")</f>
        <v/>
      </c>
      <c r="E89" s="1155" t="inlineStr">
        <is>
          <t>IIY#9172752670471l8k</t>
        </is>
      </c>
      <c r="F89" s="1155" t="inlineStr">
        <is>
          <t>Seat Booking Confirmed</t>
        </is>
      </c>
      <c r="G89" s="1155" t="inlineStr">
        <is>
          <t>Sunset Photographic Workshop - Chesterton Windmill</t>
        </is>
      </c>
      <c r="H89" s="1787" t="inlineStr">
        <is>
          <t>05 May 2025</t>
        </is>
      </c>
      <c r="I89" s="1787" t="inlineStr">
        <is>
          <t>05 May 2025</t>
        </is>
      </c>
      <c r="J89" s="1157" t="inlineStr">
        <is>
          <t>17:30:00</t>
        </is>
      </c>
      <c r="K89" s="1157" t="inlineStr">
        <is>
          <t>19:30:00</t>
        </is>
      </c>
      <c r="L89" s="1155" t="inlineStr">
        <is>
          <t>Chesterton|</t>
        </is>
      </c>
      <c r="M89" s="1155" t="inlineStr">
        <is>
          <t>Aaron Williams</t>
        </is>
      </c>
      <c r="N89" s="1155" t="inlineStr">
        <is>
          <t>awilli60@jaguarlandrover.com</t>
        </is>
      </c>
      <c r="O89" s="1155" t="inlineStr">
        <is>
          <t>GBP</t>
        </is>
      </c>
      <c r="P89" s="1155" t="n"/>
      <c r="Q89" s="1788" t="n">
        <v>50</v>
      </c>
      <c r="S89" s="1121">
        <f>H89-12</f>
        <v/>
      </c>
      <c r="T89" s="1121" t="n">
        <v>45782</v>
      </c>
      <c r="U89" s="1121" t="n"/>
      <c r="V89" s="1789">
        <f>H89+45</f>
        <v/>
      </c>
      <c r="W89" s="1082" t="n">
        <v>50</v>
      </c>
      <c r="X89" s="1121" t="n">
        <v>45820</v>
      </c>
      <c r="Y89" s="1790">
        <f>Q89-W89</f>
        <v/>
      </c>
    </row>
    <row r="90">
      <c r="A90" s="1096" t="n">
        <v>89</v>
      </c>
      <c r="B90" s="1096">
        <f>IF(COUNTIF(E$2:E$273, D90)=0, "Missing in D", "")</f>
        <v/>
      </c>
      <c r="C90" s="1096">
        <f>IF(COUNTIF(D$2:D$273, E90)=0, "Missing in E", "")</f>
        <v/>
      </c>
      <c r="E90" s="1155" t="inlineStr">
        <is>
          <t>IIY#7684720211471ow8</t>
        </is>
      </c>
      <c r="F90" s="1155" t="inlineStr">
        <is>
          <t>Seat Booking Confirmed</t>
        </is>
      </c>
      <c r="G90" s="1155" t="inlineStr">
        <is>
          <t>Sunset Photographic Workshop - Chesterton Windmill</t>
        </is>
      </c>
      <c r="H90" s="1787" t="inlineStr">
        <is>
          <t>05 May 2025</t>
        </is>
      </c>
      <c r="I90" s="1787" t="inlineStr">
        <is>
          <t>05 May 2025</t>
        </is>
      </c>
      <c r="J90" s="1157" t="inlineStr">
        <is>
          <t>17:30:00</t>
        </is>
      </c>
      <c r="K90" s="1157" t="inlineStr">
        <is>
          <t>19:30:00</t>
        </is>
      </c>
      <c r="L90" s="1155" t="inlineStr">
        <is>
          <t>Chesterton|</t>
        </is>
      </c>
      <c r="M90" s="1155" t="inlineStr">
        <is>
          <t>Volkan Ayik</t>
        </is>
      </c>
      <c r="N90" s="1155" t="inlineStr">
        <is>
          <t>vayik@jaguarlandrover.com</t>
        </is>
      </c>
      <c r="O90" s="1155" t="inlineStr">
        <is>
          <t>GBP</t>
        </is>
      </c>
      <c r="P90" s="1155" t="n"/>
      <c r="Q90" s="1788" t="n">
        <v>50</v>
      </c>
      <c r="S90" s="1121">
        <f>H90-12</f>
        <v/>
      </c>
      <c r="T90" s="1121" t="n">
        <v>45782</v>
      </c>
      <c r="U90" s="1121" t="n"/>
      <c r="V90" s="1789">
        <f>H90+45</f>
        <v/>
      </c>
      <c r="W90" s="1082" t="n">
        <v>50</v>
      </c>
      <c r="X90" s="1121" t="n">
        <v>45820</v>
      </c>
      <c r="Y90" s="1790">
        <f>Q90-W90</f>
        <v/>
      </c>
    </row>
    <row r="91">
      <c r="A91" s="1096" t="n">
        <v>90</v>
      </c>
      <c r="B91" s="1096">
        <f>IF(COUNTIF(E$2:E$273, D91)=0, "Missing in D", "")</f>
        <v/>
      </c>
      <c r="C91" s="1096">
        <f>IF(COUNTIF(D$2:D$273, E91)=0, "Missing in E", "")</f>
        <v/>
      </c>
      <c r="E91" s="1155" t="inlineStr">
        <is>
          <t>IIY#6274128904471chf</t>
        </is>
      </c>
      <c r="F91" s="1155" t="inlineStr">
        <is>
          <t>Seat Booking Confirmed</t>
        </is>
      </c>
      <c r="G91" s="1155" t="inlineStr">
        <is>
          <t>Photography Lessons - Private 1-2-1 (1HR)</t>
        </is>
      </c>
      <c r="H91" s="1787" t="n">
        <v>45789</v>
      </c>
      <c r="I91" s="1787" t="n">
        <v>45789</v>
      </c>
      <c r="J91" s="1157" t="n">
        <v>0.5416666666666666</v>
      </c>
      <c r="K91" s="1157" t="n">
        <v>0.5833333333333334</v>
      </c>
      <c r="L91" s="1155" t="inlineStr">
        <is>
          <t>Coventry|</t>
        </is>
      </c>
      <c r="M91" s="1155" t="inlineStr">
        <is>
          <t>Johnson Soundarapandian</t>
        </is>
      </c>
      <c r="N91" s="1155" t="inlineStr">
        <is>
          <t>jsounda2@jaguarlandrover.com</t>
        </is>
      </c>
      <c r="O91" s="1155" t="inlineStr">
        <is>
          <t>GBP</t>
        </is>
      </c>
      <c r="P91" s="1155" t="n"/>
      <c r="Q91" s="1791" t="n">
        <v>65</v>
      </c>
      <c r="S91" s="1121">
        <f>H91-12</f>
        <v/>
      </c>
      <c r="T91" s="1121" t="n">
        <v>45789</v>
      </c>
      <c r="U91" s="1121" t="n"/>
      <c r="V91" s="1789">
        <f>H91+45</f>
        <v/>
      </c>
      <c r="W91" s="1082" t="n">
        <v>65</v>
      </c>
      <c r="X91" s="1121" t="n">
        <v>45828</v>
      </c>
      <c r="Y91" s="1790">
        <f>Q91-W91</f>
        <v/>
      </c>
    </row>
    <row r="92">
      <c r="A92" s="1096" t="n">
        <v>91</v>
      </c>
      <c r="B92" s="1096">
        <f>IF(COUNTIF(E$2:E$273, D92)=0, "Missing in D", "")</f>
        <v/>
      </c>
      <c r="C92" s="1096">
        <f>IF(COUNTIF(D$2:D$273, E92)=0, "Missing in E", "")</f>
        <v/>
      </c>
      <c r="E92" s="1155" t="inlineStr">
        <is>
          <t>IIY#8875517639371dMl</t>
        </is>
      </c>
      <c r="F92" s="1155" t="inlineStr">
        <is>
          <t>Seat Booking Confirmed</t>
        </is>
      </c>
      <c r="G92" s="1155" t="inlineStr">
        <is>
          <t>Long Exposure Photography Workshop - Sunset - Kenilworth</t>
        </is>
      </c>
      <c r="H92" s="1787" t="inlineStr">
        <is>
          <t>12 May 2025</t>
        </is>
      </c>
      <c r="I92" s="1787" t="inlineStr">
        <is>
          <t>12 May 2025</t>
        </is>
      </c>
      <c r="J92" s="1157" t="inlineStr">
        <is>
          <t>19:00:00</t>
        </is>
      </c>
      <c r="K92" s="1157" t="inlineStr">
        <is>
          <t>21:30:00</t>
        </is>
      </c>
      <c r="L92" s="1155" t="inlineStr">
        <is>
          <t>Kenilworth|</t>
        </is>
      </c>
      <c r="M92" s="1155" t="inlineStr">
        <is>
          <t>Charlotte Brooks</t>
        </is>
      </c>
      <c r="N92" s="1155" t="inlineStr">
        <is>
          <t>cbrooks3@jaguarlandrover.com</t>
        </is>
      </c>
      <c r="O92" s="1155" t="inlineStr">
        <is>
          <t>GBP</t>
        </is>
      </c>
      <c r="P92" s="1155" t="n"/>
      <c r="Q92" s="1788" t="n">
        <v>50</v>
      </c>
      <c r="S92" s="1121">
        <f>H92-12</f>
        <v/>
      </c>
      <c r="T92" s="1121" t="n">
        <v>45789</v>
      </c>
      <c r="U92" s="1121" t="n"/>
      <c r="V92" s="1789">
        <f>H92+45</f>
        <v/>
      </c>
      <c r="W92" s="1082" t="n">
        <v>50</v>
      </c>
      <c r="X92" s="1121" t="n">
        <v>45828</v>
      </c>
      <c r="Y92" s="1790">
        <f>Q92-W92</f>
        <v/>
      </c>
    </row>
    <row r="93">
      <c r="A93" s="1096" t="n">
        <v>92</v>
      </c>
      <c r="B93" s="1096">
        <f>IF(COUNTIF(E$2:E$273, D93)=0, "Missing in D", "")</f>
        <v/>
      </c>
      <c r="C93" s="1096">
        <f>IF(COUNTIF(D$2:D$273, E93)=0, "Missing in E", "")</f>
        <v/>
      </c>
      <c r="E93" s="1155" t="inlineStr">
        <is>
          <t>IIY#4692912189371FFL</t>
        </is>
      </c>
      <c r="F93" s="1155" t="inlineStr">
        <is>
          <t>Seat Booking Confirmed</t>
        </is>
      </c>
      <c r="G93" s="1155" t="inlineStr">
        <is>
          <t>Long Exposure Photography Workshop - Sunset - Kenilworth</t>
        </is>
      </c>
      <c r="H93" s="1787" t="inlineStr">
        <is>
          <t>12 May 2025</t>
        </is>
      </c>
      <c r="I93" s="1787" t="inlineStr">
        <is>
          <t>12 May 2025</t>
        </is>
      </c>
      <c r="J93" s="1157" t="inlineStr">
        <is>
          <t>19:00:00</t>
        </is>
      </c>
      <c r="K93" s="1157" t="inlineStr">
        <is>
          <t>21:30:00</t>
        </is>
      </c>
      <c r="L93" s="1155" t="inlineStr">
        <is>
          <t>Kenilworth|</t>
        </is>
      </c>
      <c r="M93" s="1155" t="inlineStr">
        <is>
          <t>Raamakrishnan Narayanan Sankaranarayanan</t>
        </is>
      </c>
      <c r="N93" s="1155" t="inlineStr">
        <is>
          <t>rnaraya8@jaguarlandrover.com</t>
        </is>
      </c>
      <c r="O93" s="1155" t="inlineStr">
        <is>
          <t>GBP</t>
        </is>
      </c>
      <c r="P93" s="1155" t="n"/>
      <c r="Q93" s="1788" t="n">
        <v>50</v>
      </c>
      <c r="S93" s="1121">
        <f>H93-12</f>
        <v/>
      </c>
      <c r="T93" s="1121" t="n">
        <v>45789</v>
      </c>
      <c r="U93" s="1121" t="n"/>
      <c r="V93" s="1789">
        <f>H93+45</f>
        <v/>
      </c>
      <c r="W93" s="1082" t="n">
        <v>50</v>
      </c>
      <c r="X93" s="1121" t="n">
        <v>45828</v>
      </c>
      <c r="Y93" s="1790">
        <f>Q93-W93</f>
        <v/>
      </c>
    </row>
    <row r="94">
      <c r="A94" s="1096" t="n">
        <v>93</v>
      </c>
      <c r="B94" s="1096">
        <f>IF(COUNTIF(E$2:E$273, D94)=0, "Missing in D", "")</f>
        <v/>
      </c>
      <c r="C94" s="1096">
        <f>IF(COUNTIF(D$2:D$273, E94)=0, "Missing in E", "")</f>
        <v/>
      </c>
      <c r="E94" s="1155" t="inlineStr">
        <is>
          <t>IIY#6433940310471ai8</t>
        </is>
      </c>
      <c r="F94" s="1155" t="inlineStr">
        <is>
          <t>Seat Booking Confirmed</t>
        </is>
      </c>
      <c r="G94" s="1155" t="inlineStr">
        <is>
          <t>Long Exposure Photography Workshop - Sunset - Kenilworth</t>
        </is>
      </c>
      <c r="H94" s="1787" t="inlineStr">
        <is>
          <t>12 May 2025</t>
        </is>
      </c>
      <c r="I94" s="1787" t="inlineStr">
        <is>
          <t>12 May 2025</t>
        </is>
      </c>
      <c r="J94" s="1157" t="inlineStr">
        <is>
          <t>19:00:00</t>
        </is>
      </c>
      <c r="K94" s="1157" t="inlineStr">
        <is>
          <t>21:30:00</t>
        </is>
      </c>
      <c r="L94" s="1155" t="inlineStr">
        <is>
          <t>Kenilworth|</t>
        </is>
      </c>
      <c r="M94" s="1155" t="inlineStr">
        <is>
          <t>Asia Begum</t>
        </is>
      </c>
      <c r="N94" s="1155" t="inlineStr">
        <is>
          <t>abegum8@jaguarlandrover.com</t>
        </is>
      </c>
      <c r="O94" s="1155" t="inlineStr">
        <is>
          <t>GBP</t>
        </is>
      </c>
      <c r="P94" s="1155" t="n"/>
      <c r="Q94" s="1791" t="n">
        <v>50</v>
      </c>
      <c r="S94" s="1121">
        <f>H94-12</f>
        <v/>
      </c>
      <c r="T94" s="1121" t="n">
        <v>45789</v>
      </c>
      <c r="U94" s="1121" t="n"/>
      <c r="V94" s="1789">
        <f>H94+45</f>
        <v/>
      </c>
      <c r="W94" s="1082" t="n">
        <v>50</v>
      </c>
      <c r="X94" s="1121" t="n">
        <v>45828</v>
      </c>
      <c r="Y94" s="1790">
        <f>Q94-W94</f>
        <v/>
      </c>
    </row>
    <row r="95">
      <c r="A95" s="1096" t="n">
        <v>94</v>
      </c>
      <c r="B95" s="1096">
        <f>IF(COUNTIF(E$2:E$273, D95)=0, "Missing in D", "")</f>
        <v/>
      </c>
      <c r="C95" s="1096">
        <f>IF(COUNTIF(D$2:D$273, E95)=0, "Missing in E", "")</f>
        <v/>
      </c>
      <c r="E95" s="1155" t="inlineStr">
        <is>
          <t>IIY#76190615704717Bu</t>
        </is>
      </c>
      <c r="F95" s="1155" t="inlineStr">
        <is>
          <t>Seat Booking Confirmed</t>
        </is>
      </c>
      <c r="G95" s="1155" t="inlineStr">
        <is>
          <t>Long Exposure Photography Workshop - Sunset - Kenilworth</t>
        </is>
      </c>
      <c r="H95" s="1787" t="inlineStr">
        <is>
          <t>12 May 2025</t>
        </is>
      </c>
      <c r="I95" s="1787" t="inlineStr">
        <is>
          <t>12 May 2025</t>
        </is>
      </c>
      <c r="J95" s="1157" t="inlineStr">
        <is>
          <t>19:00:00</t>
        </is>
      </c>
      <c r="K95" s="1157" t="inlineStr">
        <is>
          <t>21:30:00</t>
        </is>
      </c>
      <c r="L95" s="1155" t="inlineStr">
        <is>
          <t>Kenilworth|</t>
        </is>
      </c>
      <c r="M95" s="1155" t="inlineStr">
        <is>
          <t>Kerrie Porter</t>
        </is>
      </c>
      <c r="N95" s="1155" t="inlineStr">
        <is>
          <t>kporte38@jaguarlandrover.com</t>
        </is>
      </c>
      <c r="O95" s="1155" t="inlineStr">
        <is>
          <t>GBP</t>
        </is>
      </c>
      <c r="P95" s="1155" t="n"/>
      <c r="Q95" s="1788" t="n">
        <v>50</v>
      </c>
      <c r="S95" s="1121">
        <f>H95-12</f>
        <v/>
      </c>
      <c r="T95" s="1121" t="n">
        <v>45789</v>
      </c>
      <c r="U95" s="1121" t="n"/>
      <c r="V95" s="1789">
        <f>H95+45</f>
        <v/>
      </c>
      <c r="W95" s="1082" t="n">
        <v>50</v>
      </c>
      <c r="X95" s="1121" t="n">
        <v>45828</v>
      </c>
      <c r="Y95" s="1790">
        <f>Q95-W95</f>
        <v/>
      </c>
    </row>
    <row r="96">
      <c r="A96" s="1096" t="n">
        <v>95</v>
      </c>
      <c r="B96" s="1096">
        <f>IF(COUNTIF(E$2:E$273, D96)=0, "Missing in D", "")</f>
        <v/>
      </c>
      <c r="C96" s="1096">
        <f>IF(COUNTIF(D$2:D$273, E96)=0, "Missing in E", "")</f>
        <v/>
      </c>
      <c r="E96" s="1155" t="inlineStr">
        <is>
          <t>IIY#7684720211471voQ</t>
        </is>
      </c>
      <c r="F96" s="1155" t="inlineStr">
        <is>
          <t>Seat Booking Confirmed</t>
        </is>
      </c>
      <c r="G96" s="1155" t="inlineStr">
        <is>
          <t>Long Exposure Photography Workshop - Sunset - Kenilworth</t>
        </is>
      </c>
      <c r="H96" s="1787" t="inlineStr">
        <is>
          <t>12 May 2025</t>
        </is>
      </c>
      <c r="I96" s="1787" t="inlineStr">
        <is>
          <t>12 May 2025</t>
        </is>
      </c>
      <c r="J96" s="1157" t="inlineStr">
        <is>
          <t>19:00:00</t>
        </is>
      </c>
      <c r="K96" s="1157" t="inlineStr">
        <is>
          <t>21:30:00</t>
        </is>
      </c>
      <c r="L96" s="1155" t="inlineStr">
        <is>
          <t>Kenilworth|</t>
        </is>
      </c>
      <c r="M96" s="1155" t="inlineStr">
        <is>
          <t>Volkan Ayik</t>
        </is>
      </c>
      <c r="N96" s="1155" t="inlineStr">
        <is>
          <t>vayik@jaguarlandrover.com</t>
        </is>
      </c>
      <c r="O96" s="1155" t="inlineStr">
        <is>
          <t>GBP</t>
        </is>
      </c>
      <c r="P96" s="1155" t="n"/>
      <c r="Q96" s="1788" t="n">
        <v>50</v>
      </c>
      <c r="S96" s="1121">
        <f>H96-12</f>
        <v/>
      </c>
      <c r="T96" s="1121" t="n">
        <v>45789</v>
      </c>
      <c r="U96" s="1121" t="n"/>
      <c r="V96" s="1789">
        <f>H96+45</f>
        <v/>
      </c>
      <c r="W96" s="1082" t="n">
        <v>50</v>
      </c>
      <c r="X96" s="1121" t="n">
        <v>45828</v>
      </c>
      <c r="Y96" s="1790">
        <f>Q96-W96</f>
        <v/>
      </c>
    </row>
    <row r="97">
      <c r="A97" s="1096" t="n">
        <v>96</v>
      </c>
      <c r="B97" s="1096">
        <f>IF(COUNTIF(E$2:E$273, D97)=0, "Missing in D", "")</f>
        <v/>
      </c>
      <c r="C97" s="1096">
        <f>IF(COUNTIF(D$2:D$273, E97)=0, "Missing in E", "")</f>
        <v/>
      </c>
      <c r="E97" s="1155" t="inlineStr">
        <is>
          <t>IIY#3542408521471SdL</t>
        </is>
      </c>
      <c r="F97" s="1155" t="inlineStr">
        <is>
          <t>Seat Booking Confirmed</t>
        </is>
      </c>
      <c r="G97" s="1155" t="inlineStr">
        <is>
          <t>Long Exposure Photography Workshop - Sunset - Kenilworth</t>
        </is>
      </c>
      <c r="H97" s="1787" t="inlineStr">
        <is>
          <t>12 May 2025</t>
        </is>
      </c>
      <c r="I97" s="1787" t="inlineStr">
        <is>
          <t>12 May 2025</t>
        </is>
      </c>
      <c r="J97" s="1157" t="inlineStr">
        <is>
          <t>19:00:00</t>
        </is>
      </c>
      <c r="K97" s="1157" t="inlineStr">
        <is>
          <t>21:30:00</t>
        </is>
      </c>
      <c r="L97" s="1155" t="inlineStr">
        <is>
          <t>Kenilworth|</t>
        </is>
      </c>
      <c r="M97" s="1155" t="inlineStr">
        <is>
          <t>Naveen Lakshmanan</t>
        </is>
      </c>
      <c r="N97" s="1155" t="inlineStr">
        <is>
          <t>nlakshm1@jaguarlandrover.com</t>
        </is>
      </c>
      <c r="O97" s="1155" t="inlineStr">
        <is>
          <t>GBP</t>
        </is>
      </c>
      <c r="P97" s="1155" t="n"/>
      <c r="Q97" s="1788" t="n">
        <v>50</v>
      </c>
      <c r="S97" s="1121">
        <f>H97-12</f>
        <v/>
      </c>
      <c r="T97" s="1121" t="n">
        <v>45789</v>
      </c>
      <c r="U97" s="1121" t="n"/>
      <c r="V97" s="1789">
        <f>H97+45</f>
        <v/>
      </c>
      <c r="W97" s="1082" t="n">
        <v>50</v>
      </c>
      <c r="X97" s="1121" t="n">
        <v>45828</v>
      </c>
      <c r="Y97" s="1790">
        <f>Q97-W97</f>
        <v/>
      </c>
    </row>
    <row r="98">
      <c r="A98" s="1096" t="n">
        <v>97</v>
      </c>
      <c r="B98" s="1096">
        <f>IF(COUNTIF(E$2:E$273, D98)=0, "Missing in D", "")</f>
        <v/>
      </c>
      <c r="C98" s="1096">
        <f>IF(COUNTIF(D$2:D$273, E98)=0, "Missing in E", "")</f>
        <v/>
      </c>
      <c r="E98" s="1155" t="inlineStr">
        <is>
          <t>IIY#9221252781471MyP</t>
        </is>
      </c>
      <c r="F98" s="1155" t="inlineStr">
        <is>
          <t>Seat Booking Confirmed</t>
        </is>
      </c>
      <c r="G98" s="1155" t="inlineStr">
        <is>
          <t>Photography Lessons - Private 1-2-1 (1HR)</t>
        </is>
      </c>
      <c r="H98" s="1787" t="inlineStr">
        <is>
          <t>13 May 2025</t>
        </is>
      </c>
      <c r="I98" s="1787" t="inlineStr">
        <is>
          <t>13 May 2025</t>
        </is>
      </c>
      <c r="J98" s="1157" t="inlineStr">
        <is>
          <t>16:00:00</t>
        </is>
      </c>
      <c r="K98" s="1157" t="inlineStr">
        <is>
          <t>17:00:00</t>
        </is>
      </c>
      <c r="L98" s="1155" t="inlineStr">
        <is>
          <t>Coventry|</t>
        </is>
      </c>
      <c r="M98" s="1155" t="inlineStr">
        <is>
          <t>Samantha Arnold</t>
        </is>
      </c>
      <c r="N98" s="1155" t="inlineStr">
        <is>
          <t>sarnold4@jaguarlandrover.com</t>
        </is>
      </c>
      <c r="O98" s="1155" t="inlineStr">
        <is>
          <t>GBP</t>
        </is>
      </c>
      <c r="P98" s="1155" t="n"/>
      <c r="Q98" s="1791" t="n">
        <v>65</v>
      </c>
      <c r="S98" s="1121">
        <f>H98-12</f>
        <v/>
      </c>
      <c r="T98" s="1121" t="n">
        <v>45790</v>
      </c>
      <c r="U98" s="1121" t="n"/>
      <c r="V98" s="1789">
        <f>H98+45</f>
        <v/>
      </c>
      <c r="W98" s="1082" t="n">
        <v>65</v>
      </c>
      <c r="X98" s="1121" t="n">
        <v>45838</v>
      </c>
      <c r="Y98" s="1790">
        <f>Q98-W98</f>
        <v/>
      </c>
    </row>
    <row r="99">
      <c r="A99" s="1096" t="n">
        <v>98</v>
      </c>
      <c r="B99" s="1096">
        <f>IF(COUNTIF(E$2:E$273, D99)=0, "Missing in D", "")</f>
        <v/>
      </c>
      <c r="C99" s="1096">
        <f>IF(COUNTIF(D$2:D$273, E99)=0, "Missing in E", "")</f>
        <v/>
      </c>
      <c r="E99" s="1167" t="inlineStr">
        <is>
          <t>IIY#67958750424717Z8</t>
        </is>
      </c>
      <c r="F99" s="1155" t="inlineStr">
        <is>
          <t>Seat Booking Confirmed</t>
        </is>
      </c>
      <c r="G99" s="1155" t="inlineStr">
        <is>
          <t>Long Exposure Photography Workshop - Sunset - Kenilworth</t>
        </is>
      </c>
      <c r="H99" s="1787" t="n">
        <v>45797</v>
      </c>
      <c r="I99" s="1787" t="n">
        <v>45797</v>
      </c>
      <c r="J99" s="1157" t="n">
        <v>0.7604166666666666</v>
      </c>
      <c r="K99" s="1157" t="n">
        <v>0.8645833333333334</v>
      </c>
      <c r="L99" s="1155" t="inlineStr">
        <is>
          <t>Kenilworth|</t>
        </is>
      </c>
      <c r="M99" s="1167" t="inlineStr">
        <is>
          <t>Satyam Narine</t>
        </is>
      </c>
      <c r="N99" s="1155" t="inlineStr">
        <is>
          <t>snarine1@jaguarlandrover.com</t>
        </is>
      </c>
      <c r="O99" s="1155" t="inlineStr">
        <is>
          <t>GBP</t>
        </is>
      </c>
      <c r="P99" s="1155" t="n"/>
      <c r="Q99" s="1788" t="n">
        <v>50</v>
      </c>
      <c r="S99" s="1121">
        <f>H99-12</f>
        <v/>
      </c>
      <c r="T99" s="1121" t="n">
        <v>45797</v>
      </c>
      <c r="U99" s="1121" t="n"/>
      <c r="V99" s="1789">
        <f>H99+45</f>
        <v/>
      </c>
      <c r="W99" s="1788" t="n">
        <v>50</v>
      </c>
      <c r="X99" s="1121" t="n">
        <v>45847</v>
      </c>
      <c r="Y99" s="1790">
        <f>Q99-W99</f>
        <v/>
      </c>
    </row>
    <row r="100">
      <c r="A100" s="1096" t="n">
        <v>99</v>
      </c>
      <c r="B100" s="1096">
        <f>IF(COUNTIF(E$2:E$273, D100)=0, "Missing in D", "")</f>
        <v/>
      </c>
      <c r="C100" s="1096">
        <f>IF(COUNTIF(D$2:D$273, E100)=0, "Missing in E", "")</f>
        <v/>
      </c>
      <c r="E100" s="1155" t="inlineStr">
        <is>
          <t>IIY#4022261721471rXd</t>
        </is>
      </c>
      <c r="F100" s="1155" t="inlineStr">
        <is>
          <t>Seat Booking Confirmed</t>
        </is>
      </c>
      <c r="G100" s="1155" t="inlineStr">
        <is>
          <t>Long Exposure Photography Workshop - Sunset - Kenilworth</t>
        </is>
      </c>
      <c r="H100" s="1787" t="inlineStr">
        <is>
          <t>20 May 2025</t>
        </is>
      </c>
      <c r="I100" s="1787" t="inlineStr">
        <is>
          <t>20 May 2025</t>
        </is>
      </c>
      <c r="J100" s="1157" t="inlineStr">
        <is>
          <t>19:00:00</t>
        </is>
      </c>
      <c r="K100" s="1157" t="inlineStr">
        <is>
          <t>21:30:00</t>
        </is>
      </c>
      <c r="L100" s="1155" t="inlineStr">
        <is>
          <t>Kenilworth|</t>
        </is>
      </c>
      <c r="M100" s="1155" t="inlineStr">
        <is>
          <t>Fatih Sagdic</t>
        </is>
      </c>
      <c r="N100" s="1155" t="inlineStr">
        <is>
          <t>fsagdic1@jaguarlandrover.com</t>
        </is>
      </c>
      <c r="O100" s="1155" t="inlineStr">
        <is>
          <t>GBP</t>
        </is>
      </c>
      <c r="P100" s="1155" t="n"/>
      <c r="Q100" s="1788" t="n">
        <v>50</v>
      </c>
      <c r="S100" s="1121">
        <f>H100-12</f>
        <v/>
      </c>
      <c r="T100" s="1121" t="n">
        <v>45797</v>
      </c>
      <c r="U100" s="1121" t="n"/>
      <c r="V100" s="1789">
        <f>H100+45</f>
        <v/>
      </c>
      <c r="W100" s="1788" t="n">
        <v>50</v>
      </c>
      <c r="X100" s="1121" t="n">
        <v>45847</v>
      </c>
      <c r="Y100" s="1790">
        <f>Q100-W100</f>
        <v/>
      </c>
    </row>
    <row r="101">
      <c r="A101" s="1096" t="n">
        <v>100</v>
      </c>
      <c r="B101" s="1096">
        <f>IF(COUNTIF(E$2:E$273, D101)=0, "Missing in D", "")</f>
        <v/>
      </c>
      <c r="C101" s="1096">
        <f>IF(COUNTIF(D$2:D$273, E101)=0, "Missing in E", "")</f>
        <v/>
      </c>
      <c r="E101" s="1155" t="inlineStr">
        <is>
          <t>IIY#6417108331471ZVj</t>
        </is>
      </c>
      <c r="F101" s="1155" t="inlineStr">
        <is>
          <t>Seat Booking Confirmed</t>
        </is>
      </c>
      <c r="G101" s="1155" t="inlineStr">
        <is>
          <t>Long Exposure Photography Workshop - Sunset - Kenilworth</t>
        </is>
      </c>
      <c r="H101" s="1787" t="inlineStr">
        <is>
          <t>20 May 2025</t>
        </is>
      </c>
      <c r="I101" s="1787" t="inlineStr">
        <is>
          <t>20 May 2025</t>
        </is>
      </c>
      <c r="J101" s="1157" t="inlineStr">
        <is>
          <t>19:00:00</t>
        </is>
      </c>
      <c r="K101" s="1157" t="inlineStr">
        <is>
          <t>21:30:00</t>
        </is>
      </c>
      <c r="L101" s="1155" t="inlineStr">
        <is>
          <t>Kenilworth|</t>
        </is>
      </c>
      <c r="M101" s="1155" t="inlineStr">
        <is>
          <t>Erick Hernandez Baca</t>
        </is>
      </c>
      <c r="N101" s="1155" t="inlineStr">
        <is>
          <t>ehernand@jaguarlandrover.com</t>
        </is>
      </c>
      <c r="O101" s="1155" t="inlineStr">
        <is>
          <t>GBP</t>
        </is>
      </c>
      <c r="P101" s="1155" t="n"/>
      <c r="Q101" s="1791" t="n">
        <v>50</v>
      </c>
      <c r="S101" s="1121">
        <f>H101-12</f>
        <v/>
      </c>
      <c r="T101" s="1121" t="n">
        <v>45797</v>
      </c>
      <c r="U101" s="1121" t="n"/>
      <c r="V101" s="1789">
        <f>H101+45</f>
        <v/>
      </c>
      <c r="W101" s="1791" t="n">
        <v>50</v>
      </c>
      <c r="X101" s="1121" t="n">
        <v>45847</v>
      </c>
      <c r="Y101" s="1790">
        <f>Q101-W101</f>
        <v/>
      </c>
    </row>
    <row r="102">
      <c r="A102" s="1096" t="n">
        <v>102</v>
      </c>
      <c r="B102" s="1096">
        <f>IF(COUNTIF(E$2:E$273, D102)=0, "Missing in D", "")</f>
        <v/>
      </c>
      <c r="C102" s="1096">
        <f>IF(COUNTIF(D$2:D$273, E102)=0, "Missing in E", "")</f>
        <v/>
      </c>
      <c r="E102" s="1155" t="inlineStr">
        <is>
          <t>IIY#2260666122471YAE</t>
        </is>
      </c>
      <c r="F102" s="1155" t="inlineStr">
        <is>
          <t>Seat Booking Confirmed</t>
        </is>
      </c>
      <c r="G102" s="1155" t="inlineStr">
        <is>
          <t>Long Exposure Photography Workshop - Sunset - Kenilworth</t>
        </is>
      </c>
      <c r="H102" s="1787" t="inlineStr">
        <is>
          <t>20 May 2025</t>
        </is>
      </c>
      <c r="I102" s="1787" t="inlineStr">
        <is>
          <t>20 May 2025</t>
        </is>
      </c>
      <c r="J102" s="1157" t="inlineStr">
        <is>
          <t>19:00:00</t>
        </is>
      </c>
      <c r="K102" s="1157" t="inlineStr">
        <is>
          <t>21:30:00</t>
        </is>
      </c>
      <c r="L102" s="1155" t="inlineStr">
        <is>
          <t>Kenilworth|</t>
        </is>
      </c>
      <c r="M102" s="1155" t="inlineStr">
        <is>
          <t>Ioannis Zaproudis</t>
        </is>
      </c>
      <c r="N102" s="1155" t="inlineStr">
        <is>
          <t>izaproud@jaguarlandrover.com</t>
        </is>
      </c>
      <c r="O102" s="1155" t="inlineStr">
        <is>
          <t>GBP</t>
        </is>
      </c>
      <c r="P102" s="1155" t="n"/>
      <c r="Q102" s="1788" t="n">
        <v>50</v>
      </c>
      <c r="S102" s="1121">
        <f>H102-12</f>
        <v/>
      </c>
      <c r="T102" s="1121" t="n">
        <v>45797</v>
      </c>
      <c r="U102" s="1121" t="n"/>
      <c r="V102" s="1789">
        <f>H102+45</f>
        <v/>
      </c>
      <c r="W102" s="1788" t="n">
        <v>50</v>
      </c>
      <c r="X102" s="1121" t="n">
        <v>45847</v>
      </c>
      <c r="Y102" s="1790">
        <f>Q102-W102</f>
        <v/>
      </c>
    </row>
    <row r="103">
      <c r="A103" s="1096" t="n">
        <v>103</v>
      </c>
      <c r="B103" s="1096">
        <f>IF(COUNTIF(E$2:E$273, D103)=0, "Missing in D", "")</f>
        <v/>
      </c>
      <c r="C103" s="1096">
        <f>IF(COUNTIF(D$2:D$273, E103)=0, "Missing in E", "")</f>
        <v/>
      </c>
      <c r="E103" s="1155" t="inlineStr">
        <is>
          <t>IIY#4151414452471iLl</t>
        </is>
      </c>
      <c r="F103" s="1155" t="inlineStr">
        <is>
          <t>Seat Booking Confirmed</t>
        </is>
      </c>
      <c r="G103" s="1155" t="inlineStr">
        <is>
          <t>Long Exposure Photography Workshop - Sunset - Kenilworth</t>
        </is>
      </c>
      <c r="H103" s="1787" t="inlineStr">
        <is>
          <t>20 May 2025</t>
        </is>
      </c>
      <c r="I103" s="1787" t="inlineStr">
        <is>
          <t>20 May 2025</t>
        </is>
      </c>
      <c r="J103" s="1157" t="inlineStr">
        <is>
          <t>19:00:00</t>
        </is>
      </c>
      <c r="K103" s="1157" t="inlineStr">
        <is>
          <t>21:30:00</t>
        </is>
      </c>
      <c r="L103" s="1155" t="inlineStr">
        <is>
          <t>Kenilworth|</t>
        </is>
      </c>
      <c r="M103" s="1155" t="inlineStr">
        <is>
          <t>Ian Burns</t>
        </is>
      </c>
      <c r="N103" s="1155" t="inlineStr">
        <is>
          <t>iburns1@jaguarlandrover.com</t>
        </is>
      </c>
      <c r="O103" s="1155" t="inlineStr">
        <is>
          <t>GBP</t>
        </is>
      </c>
      <c r="P103" s="1155" t="n"/>
      <c r="Q103" s="1788" t="n">
        <v>50</v>
      </c>
      <c r="S103" s="1121">
        <f>H103-12</f>
        <v/>
      </c>
      <c r="T103" s="1121" t="n">
        <v>45797</v>
      </c>
      <c r="U103" s="1121" t="n"/>
      <c r="V103" s="1789">
        <f>H103+45</f>
        <v/>
      </c>
      <c r="W103" s="1788" t="n">
        <v>50</v>
      </c>
      <c r="X103" s="1121" t="n">
        <v>45847</v>
      </c>
      <c r="Y103" s="1790">
        <f>Q103-W103</f>
        <v/>
      </c>
    </row>
    <row r="104">
      <c r="A104" s="1096" t="n">
        <v>104</v>
      </c>
      <c r="B104" s="1096">
        <f>IF(COUNTIF(E$2:E$273, D104)=0, "Missing in D", "")</f>
        <v/>
      </c>
      <c r="C104" s="1096">
        <f>IF(COUNTIF(D$2:D$273, E104)=0, "Missing in E", "")</f>
        <v/>
      </c>
      <c r="E104" s="1155" t="inlineStr">
        <is>
          <t>IIY#77471918034710nw</t>
        </is>
      </c>
      <c r="F104" s="1155" t="inlineStr">
        <is>
          <t>Seat Booking Confirmed</t>
        </is>
      </c>
      <c r="G104" s="1155" t="inlineStr">
        <is>
          <t>Long Exposure Photography Workshop - Sunset - Kenilworth</t>
        </is>
      </c>
      <c r="H104" s="1787" t="inlineStr">
        <is>
          <t>20 May 2025</t>
        </is>
      </c>
      <c r="I104" s="1787" t="inlineStr">
        <is>
          <t>20 May 2025</t>
        </is>
      </c>
      <c r="J104" s="1157" t="inlineStr">
        <is>
          <t>19:00:00</t>
        </is>
      </c>
      <c r="K104" s="1157" t="inlineStr">
        <is>
          <t>21:30:00</t>
        </is>
      </c>
      <c r="L104" s="1155" t="inlineStr">
        <is>
          <t>Kenilworth|</t>
        </is>
      </c>
      <c r="M104" s="1155" t="inlineStr">
        <is>
          <t>Ana Arce</t>
        </is>
      </c>
      <c r="N104" s="1155" t="inlineStr">
        <is>
          <t>aarce@jaguarlandrover.com</t>
        </is>
      </c>
      <c r="O104" s="1155" t="inlineStr">
        <is>
          <t>GBP</t>
        </is>
      </c>
      <c r="P104" s="1155" t="n"/>
      <c r="Q104" s="1791" t="n">
        <v>50</v>
      </c>
      <c r="S104" s="1121">
        <f>H104-12</f>
        <v/>
      </c>
      <c r="T104" s="1121" t="n">
        <v>45797</v>
      </c>
      <c r="U104" s="1121" t="n"/>
      <c r="V104" s="1789">
        <f>H104+45</f>
        <v/>
      </c>
      <c r="W104" s="1791" t="n">
        <v>50</v>
      </c>
      <c r="X104" s="1121" t="n">
        <v>45847</v>
      </c>
      <c r="Y104" s="1790">
        <f>Q104-W104</f>
        <v/>
      </c>
    </row>
    <row r="105">
      <c r="A105" s="1096" t="n">
        <v>105</v>
      </c>
      <c r="B105" s="1096">
        <f>IF(COUNTIF(E$2:E$273, D105)=0, "Missing in D", "")</f>
        <v/>
      </c>
      <c r="C105" s="1096">
        <f>IF(COUNTIF(D$2:D$273, E105)=0, "Missing in E", "")</f>
        <v/>
      </c>
      <c r="E105" s="1155" t="inlineStr">
        <is>
          <t>IIY#3098058243471XTv</t>
        </is>
      </c>
      <c r="F105" s="1155" t="inlineStr">
        <is>
          <t>Seat Booking Confirmed</t>
        </is>
      </c>
      <c r="G105" s="1155" t="inlineStr">
        <is>
          <t>Long Exposure Photography Workshop - Sunset - Kenilworth</t>
        </is>
      </c>
      <c r="H105" s="1787" t="inlineStr">
        <is>
          <t>20 May 2025</t>
        </is>
      </c>
      <c r="I105" s="1787" t="inlineStr">
        <is>
          <t>20 May 2025</t>
        </is>
      </c>
      <c r="J105" s="1157" t="inlineStr">
        <is>
          <t>19:00:00</t>
        </is>
      </c>
      <c r="K105" s="1157" t="inlineStr">
        <is>
          <t>21:30:00</t>
        </is>
      </c>
      <c r="L105" s="1155" t="inlineStr">
        <is>
          <t>Kenilworth|</t>
        </is>
      </c>
      <c r="M105" s="1155" t="inlineStr">
        <is>
          <t>Ana Alexa</t>
        </is>
      </c>
      <c r="N105" s="1155" t="inlineStr">
        <is>
          <t>aalexa1@jaguarlandrover.com</t>
        </is>
      </c>
      <c r="O105" s="1155" t="inlineStr">
        <is>
          <t>GBP</t>
        </is>
      </c>
      <c r="P105" s="1155" t="n"/>
      <c r="Q105" s="1788" t="n">
        <v>50</v>
      </c>
      <c r="S105" s="1121">
        <f>H105-12</f>
        <v/>
      </c>
      <c r="T105" s="1121" t="n">
        <v>45797</v>
      </c>
      <c r="U105" s="1121" t="n"/>
      <c r="V105" s="1789">
        <f>H105+45</f>
        <v/>
      </c>
      <c r="W105" s="1788" t="n">
        <v>50</v>
      </c>
      <c r="X105" s="1121" t="n">
        <v>45847</v>
      </c>
      <c r="Y105" s="1790">
        <f>Q105-W105</f>
        <v/>
      </c>
    </row>
    <row r="106">
      <c r="A106" s="1096" t="n">
        <v>106</v>
      </c>
      <c r="B106" s="1096">
        <f>IF(COUNTIF(E$2:E$273, D106)=0, "Missing in D", "")</f>
        <v/>
      </c>
      <c r="C106" s="1096">
        <f>IF(COUNTIF(D$2:D$273, E106)=0, "Missing in E", "")</f>
        <v/>
      </c>
      <c r="E106" s="1155" t="inlineStr">
        <is>
          <t>IIY#13653510134717Oa</t>
        </is>
      </c>
      <c r="F106" s="1155" t="inlineStr">
        <is>
          <t>Seat Booking Confirmed</t>
        </is>
      </c>
      <c r="G106" s="1155" t="inlineStr">
        <is>
          <t>Photo Editing Classes - Lightroom Classic</t>
        </is>
      </c>
      <c r="H106" s="1787" t="inlineStr">
        <is>
          <t>21 May 2025</t>
        </is>
      </c>
      <c r="I106" s="1787" t="inlineStr">
        <is>
          <t>04 Jun 2025</t>
        </is>
      </c>
      <c r="J106" s="1157" t="inlineStr">
        <is>
          <t>19:00:00</t>
        </is>
      </c>
      <c r="K106" s="1157" t="inlineStr">
        <is>
          <t>21:00:00</t>
        </is>
      </c>
      <c r="L106" s="1155" t="inlineStr">
        <is>
          <t>Coventry|</t>
        </is>
      </c>
      <c r="M106" s="1155" t="inlineStr">
        <is>
          <t>Goutham Lingannaiah</t>
        </is>
      </c>
      <c r="N106" s="1155" t="inlineStr">
        <is>
          <t>glingan1@jaguarlandrover.com</t>
        </is>
      </c>
      <c r="O106" s="1155" t="inlineStr">
        <is>
          <t>GBP</t>
        </is>
      </c>
      <c r="P106" s="1155" t="n"/>
      <c r="Q106" s="1791" t="n">
        <v>150</v>
      </c>
      <c r="S106" s="1121">
        <f>H106-12</f>
        <v/>
      </c>
      <c r="T106" s="1121" t="n">
        <v>45798</v>
      </c>
      <c r="U106" s="1121" t="n"/>
      <c r="V106" s="1789">
        <f>H106+45</f>
        <v/>
      </c>
      <c r="W106" s="1791" t="n">
        <v>150</v>
      </c>
      <c r="X106" s="1121" t="n">
        <v>45847</v>
      </c>
      <c r="Y106" s="1790">
        <f>Q106-W106</f>
        <v/>
      </c>
    </row>
    <row r="107">
      <c r="A107" s="1096" t="n">
        <v>107</v>
      </c>
      <c r="B107" s="1096">
        <f>IF(COUNTIF(E$2:E$273, D107)=0, "Missing in D", "")</f>
        <v/>
      </c>
      <c r="C107" s="1096">
        <f>IF(COUNTIF(D$2:D$273, E107)=0, "Missing in E", "")</f>
        <v/>
      </c>
      <c r="E107" s="1155" t="inlineStr">
        <is>
          <t>IIY#2528443773471wYf</t>
        </is>
      </c>
      <c r="F107" s="1155" t="inlineStr">
        <is>
          <t>Seat Booking Confirmed</t>
        </is>
      </c>
      <c r="G107" s="1155" t="inlineStr">
        <is>
          <t>Photo Editing Classes - Lightroom Classic</t>
        </is>
      </c>
      <c r="H107" s="1787" t="inlineStr">
        <is>
          <t>21 May 2025</t>
        </is>
      </c>
      <c r="I107" s="1787" t="inlineStr">
        <is>
          <t>04 Jun 2025</t>
        </is>
      </c>
      <c r="J107" s="1157" t="inlineStr">
        <is>
          <t>19:00:00</t>
        </is>
      </c>
      <c r="K107" s="1157" t="inlineStr">
        <is>
          <t>21:00:00</t>
        </is>
      </c>
      <c r="L107" s="1155" t="inlineStr">
        <is>
          <t>Coventry|</t>
        </is>
      </c>
      <c r="M107" s="1155" t="inlineStr">
        <is>
          <t>Cheryl Laverick</t>
        </is>
      </c>
      <c r="N107" s="1155" t="inlineStr">
        <is>
          <t>claveri1@jaguarlandrover.com</t>
        </is>
      </c>
      <c r="O107" s="1155" t="inlineStr">
        <is>
          <t>GBP</t>
        </is>
      </c>
      <c r="P107" s="1155" t="n"/>
      <c r="Q107" s="1791" t="n">
        <v>150</v>
      </c>
      <c r="S107" s="1121">
        <f>H107-12</f>
        <v/>
      </c>
      <c r="T107" s="1121" t="n">
        <v>45798</v>
      </c>
      <c r="U107" s="1121" t="n"/>
      <c r="V107" s="1789">
        <f>H107+45</f>
        <v/>
      </c>
      <c r="W107" s="1791" t="n">
        <v>150</v>
      </c>
      <c r="X107" s="1121" t="n">
        <v>45847</v>
      </c>
      <c r="Y107" s="1790">
        <f>Q107-W107</f>
        <v/>
      </c>
    </row>
    <row r="108">
      <c r="A108" s="1096" t="n">
        <v>108</v>
      </c>
      <c r="B108" s="1096">
        <f>IF(COUNTIF(E$2:E$273, D108)=0, "Missing in D", "")</f>
        <v/>
      </c>
      <c r="C108" s="1096">
        <f>IF(COUNTIF(D$2:D$273, E108)=0, "Missing in E", "")</f>
        <v/>
      </c>
      <c r="E108" s="1181" t="inlineStr">
        <is>
          <t>IIY#4917778953471cP7</t>
        </is>
      </c>
      <c r="F108" s="1181" t="inlineStr">
        <is>
          <t>Seat Booking Confirmed</t>
        </is>
      </c>
      <c r="G108" s="1181" t="inlineStr">
        <is>
          <t>Photography Lessons - Private 1-2-1 (1HR)</t>
        </is>
      </c>
      <c r="H108" s="1795" t="n">
        <v>45799</v>
      </c>
      <c r="I108" s="1795" t="n">
        <v>45793</v>
      </c>
      <c r="J108" s="1183" t="n">
        <v>0.3333333333333333</v>
      </c>
      <c r="K108" s="1183" t="n">
        <v>0.7083333333333334</v>
      </c>
      <c r="L108" s="1181" t="inlineStr">
        <is>
          <t>Coventry|</t>
        </is>
      </c>
      <c r="M108" s="1181" t="inlineStr">
        <is>
          <t>Tobias Rochester-Bremmer</t>
        </is>
      </c>
      <c r="N108" s="1181" t="inlineStr">
        <is>
          <t>troches2@jaguarlandrover.com</t>
        </is>
      </c>
      <c r="O108" s="1181" t="inlineStr">
        <is>
          <t>GBP</t>
        </is>
      </c>
      <c r="P108" s="1181" t="n"/>
      <c r="Q108" s="1791" t="n">
        <v>65</v>
      </c>
      <c r="S108" s="1121">
        <f>H108-12</f>
        <v/>
      </c>
      <c r="T108" s="1121" t="n">
        <v>45799</v>
      </c>
      <c r="U108" s="1121" t="n"/>
      <c r="V108" s="1789">
        <f>H108+45</f>
        <v/>
      </c>
      <c r="W108" s="1791" t="n">
        <v>65</v>
      </c>
      <c r="X108" s="1121" t="n">
        <v>45847</v>
      </c>
      <c r="Y108" s="1790">
        <f>Q108-W108</f>
        <v/>
      </c>
    </row>
    <row r="109">
      <c r="A109" s="1096" t="n">
        <v>109</v>
      </c>
      <c r="B109" s="1096">
        <f>IF(COUNTIF(E$2:E$273, D109)=0, "Missing in D", "")</f>
        <v/>
      </c>
      <c r="C109" s="1096">
        <f>IF(COUNTIF(D$2:D$273, E109)=0, "Missing in E", "")</f>
        <v/>
      </c>
      <c r="E109" s="1155" t="inlineStr">
        <is>
          <t>IIY#7134117613471M3Y</t>
        </is>
      </c>
      <c r="F109" s="1155" t="inlineStr">
        <is>
          <t>Seat Booking Confirmed</t>
        </is>
      </c>
      <c r="G109" s="1155" t="inlineStr">
        <is>
          <t>Photography Lessons - Private 1-2-1 (2hr)</t>
        </is>
      </c>
      <c r="H109" s="1787" t="n">
        <v>45799</v>
      </c>
      <c r="I109" s="1787" t="n">
        <v>45799</v>
      </c>
      <c r="J109" s="1157" t="n">
        <v>0.375</v>
      </c>
      <c r="K109" s="1157" t="n">
        <v>0.4583333333333333</v>
      </c>
      <c r="L109" s="1155" t="inlineStr">
        <is>
          <t>Coventry|</t>
        </is>
      </c>
      <c r="M109" s="1155" t="inlineStr">
        <is>
          <t>DineshKumar Nawal</t>
        </is>
      </c>
      <c r="N109" s="1155" t="inlineStr">
        <is>
          <t>dnawal@jaguarlandrover.com</t>
        </is>
      </c>
      <c r="O109" s="1155" t="inlineStr">
        <is>
          <t>GBP</t>
        </is>
      </c>
      <c r="P109" s="1155" t="n"/>
      <c r="Q109" s="1791" t="n">
        <v>120</v>
      </c>
      <c r="S109" s="1121">
        <f>H109-12</f>
        <v/>
      </c>
      <c r="T109" s="1121" t="n">
        <v>45799</v>
      </c>
      <c r="U109" s="1121" t="n"/>
      <c r="V109" s="1789">
        <f>H109+45</f>
        <v/>
      </c>
      <c r="W109" s="1791" t="n">
        <v>120</v>
      </c>
      <c r="X109" s="1121" t="n">
        <v>45847</v>
      </c>
      <c r="Y109" s="1790">
        <f>Q109-W109</f>
        <v/>
      </c>
    </row>
    <row r="110">
      <c r="A110" s="1096" t="n">
        <v>110</v>
      </c>
      <c r="B110" s="1096">
        <f>IF(COUNTIF(E$2:E$273, D110)=0, "Missing in D", "")</f>
        <v/>
      </c>
      <c r="C110" s="1096">
        <f>IF(COUNTIF(D$2:D$273, E110)=0, "Missing in E", "")</f>
        <v/>
      </c>
      <c r="E110" s="1155" t="inlineStr">
        <is>
          <t>IIY#3737889129371bUM</t>
        </is>
      </c>
      <c r="F110" s="1155" t="inlineStr">
        <is>
          <t>Seat Booking Confirmed</t>
        </is>
      </c>
      <c r="G110" s="1155" t="inlineStr">
        <is>
          <t>Peak District Photography Workshops Padley Gorge</t>
        </is>
      </c>
      <c r="H110" s="1787" t="inlineStr">
        <is>
          <t>24 May 2025</t>
        </is>
      </c>
      <c r="I110" s="1787" t="inlineStr">
        <is>
          <t>24 May 2025</t>
        </is>
      </c>
      <c r="J110" s="1157" t="inlineStr">
        <is>
          <t>09:30:00</t>
        </is>
      </c>
      <c r="K110" s="1157" t="inlineStr">
        <is>
          <t>16:15:00</t>
        </is>
      </c>
      <c r="L110" s="1155" t="inlineStr">
        <is>
          <t>Grindleford|</t>
        </is>
      </c>
      <c r="M110" s="1155" t="inlineStr">
        <is>
          <t>Paul Jackson</t>
        </is>
      </c>
      <c r="N110" s="1155" t="inlineStr">
        <is>
          <t>pjacks36@jaguarlandrover.com</t>
        </is>
      </c>
      <c r="O110" s="1155" t="inlineStr">
        <is>
          <t>GBP</t>
        </is>
      </c>
      <c r="P110" s="1155" t="n"/>
      <c r="Q110" s="1788" t="n">
        <v>150</v>
      </c>
      <c r="S110" s="1121">
        <f>H110-12</f>
        <v/>
      </c>
      <c r="T110" s="1121" t="n">
        <v>45801</v>
      </c>
      <c r="U110" s="1082" t="inlineStr">
        <is>
          <t>20250524-01</t>
        </is>
      </c>
      <c r="V110" s="1789">
        <f>H110+45</f>
        <v/>
      </c>
      <c r="W110" s="1788" t="n">
        <v>150</v>
      </c>
      <c r="X110" s="1121" t="n">
        <v>45847</v>
      </c>
      <c r="Y110" s="1790">
        <f>Q110-W110</f>
        <v/>
      </c>
    </row>
    <row r="111">
      <c r="A111" s="1096" t="n">
        <v>111</v>
      </c>
      <c r="B111" s="1096">
        <f>IF(COUNTIF(E$2:E$273, D111)=0, "Missing in D", "")</f>
        <v/>
      </c>
      <c r="C111" s="1096">
        <f>IF(COUNTIF(D$2:D$273, E111)=0, "Missing in E", "")</f>
        <v/>
      </c>
      <c r="E111" s="1155" t="inlineStr">
        <is>
          <t>IIY#2883343192471ats</t>
        </is>
      </c>
      <c r="F111" s="1155" t="inlineStr">
        <is>
          <t>Seat Booking Confirmed</t>
        </is>
      </c>
      <c r="G111" s="1155" t="inlineStr">
        <is>
          <t>Peak District Photography Workshops Padley Gorge</t>
        </is>
      </c>
      <c r="H111" s="1787" t="inlineStr">
        <is>
          <t>24 May 2025</t>
        </is>
      </c>
      <c r="I111" s="1787" t="inlineStr">
        <is>
          <t>24 May 2025</t>
        </is>
      </c>
      <c r="J111" s="1157" t="inlineStr">
        <is>
          <t>09:30:00</t>
        </is>
      </c>
      <c r="K111" s="1157" t="inlineStr">
        <is>
          <t>16:15:00</t>
        </is>
      </c>
      <c r="L111" s="1155" t="inlineStr">
        <is>
          <t>Grindleford|</t>
        </is>
      </c>
      <c r="M111" s="1155" t="inlineStr">
        <is>
          <t>Mattia Tosi</t>
        </is>
      </c>
      <c r="N111" s="1155" t="inlineStr">
        <is>
          <t>mtosi1@jaguarlandrover.com</t>
        </is>
      </c>
      <c r="O111" s="1155" t="inlineStr">
        <is>
          <t>GBP</t>
        </is>
      </c>
      <c r="P111" s="1155" t="n"/>
      <c r="Q111" s="1791" t="n">
        <v>150</v>
      </c>
      <c r="S111" s="1121">
        <f>H111-12</f>
        <v/>
      </c>
      <c r="T111" s="1121" t="n">
        <v>45801</v>
      </c>
      <c r="U111" s="1082" t="inlineStr">
        <is>
          <t>20250524-01</t>
        </is>
      </c>
      <c r="V111" s="1789">
        <f>H111+45</f>
        <v/>
      </c>
      <c r="W111" s="1791" t="n">
        <v>150</v>
      </c>
      <c r="X111" s="1121" t="n">
        <v>45847</v>
      </c>
      <c r="Y111" s="1790">
        <f>Q111-W111</f>
        <v/>
      </c>
    </row>
    <row r="112">
      <c r="A112" s="1096" t="n">
        <v>112</v>
      </c>
      <c r="B112" s="1096">
        <f>IF(COUNTIF(E$2:E$273, D112)=0, "Missing in D", "")</f>
        <v/>
      </c>
      <c r="C112" s="1096">
        <f>IF(COUNTIF(D$2:D$273, E112)=0, "Missing in E", "")</f>
        <v/>
      </c>
      <c r="E112" s="1155" t="inlineStr">
        <is>
          <t>IIY#8988287613471NiN</t>
        </is>
      </c>
      <c r="F112" s="1155" t="inlineStr">
        <is>
          <t>Seat Booking Confirmed</t>
        </is>
      </c>
      <c r="G112" s="1155" t="inlineStr">
        <is>
          <t>Peak District Photography Workshops Padley Gorge</t>
        </is>
      </c>
      <c r="H112" s="1787" t="inlineStr">
        <is>
          <t>24 May 2025</t>
        </is>
      </c>
      <c r="I112" s="1787" t="inlineStr">
        <is>
          <t>24 May 2025</t>
        </is>
      </c>
      <c r="J112" s="1157" t="inlineStr">
        <is>
          <t>09:30:00</t>
        </is>
      </c>
      <c r="K112" s="1157" t="inlineStr">
        <is>
          <t>16:15:00</t>
        </is>
      </c>
      <c r="L112" s="1155" t="inlineStr">
        <is>
          <t>Grindleford|</t>
        </is>
      </c>
      <c r="M112" s="1155" t="inlineStr">
        <is>
          <t>Lee Tasker</t>
        </is>
      </c>
      <c r="N112" s="1155" t="inlineStr">
        <is>
          <t>ltasker@jaguarlandrover.com</t>
        </is>
      </c>
      <c r="O112" s="1155" t="inlineStr">
        <is>
          <t>GBP</t>
        </is>
      </c>
      <c r="P112" s="1155" t="n"/>
      <c r="Q112" s="1791" t="n">
        <v>150</v>
      </c>
      <c r="S112" s="1121">
        <f>H112-12</f>
        <v/>
      </c>
      <c r="T112" s="1121" t="n">
        <v>45801</v>
      </c>
      <c r="U112" s="1082" t="inlineStr">
        <is>
          <t>20250524-01</t>
        </is>
      </c>
      <c r="V112" s="1789">
        <f>H112+45</f>
        <v/>
      </c>
      <c r="W112" s="1791" t="n">
        <v>150</v>
      </c>
      <c r="X112" s="1121" t="n">
        <v>45847</v>
      </c>
      <c r="Y112" s="1790">
        <f>Q112-W112</f>
        <v/>
      </c>
    </row>
    <row r="113">
      <c r="A113" s="1096" t="n">
        <v>113</v>
      </c>
      <c r="B113" s="1096">
        <f>IF(COUNTIF(E$2:E$273, D113)=0, "Missing in D", "")</f>
        <v/>
      </c>
      <c r="C113" s="1096">
        <f>IF(COUNTIF(D$2:D$273, E113)=0, "Missing in E", "")</f>
        <v/>
      </c>
      <c r="E113" s="1155" t="inlineStr">
        <is>
          <t>IIY#5657288143471Moe</t>
        </is>
      </c>
      <c r="F113" s="1155" t="inlineStr">
        <is>
          <t>Seat Booking Confirmed</t>
        </is>
      </c>
      <c r="G113" s="1155" t="inlineStr">
        <is>
          <t>Peak District Photography Workshops Padley Gorge</t>
        </is>
      </c>
      <c r="H113" s="1787" t="inlineStr">
        <is>
          <t>24 May 2025</t>
        </is>
      </c>
      <c r="I113" s="1787" t="inlineStr">
        <is>
          <t>24 May 2025</t>
        </is>
      </c>
      <c r="J113" s="1157" t="inlineStr">
        <is>
          <t>09:30:00</t>
        </is>
      </c>
      <c r="K113" s="1157" t="inlineStr">
        <is>
          <t>16:15:00</t>
        </is>
      </c>
      <c r="L113" s="1155" t="inlineStr">
        <is>
          <t>Grindleford|</t>
        </is>
      </c>
      <c r="M113" s="1155" t="inlineStr">
        <is>
          <t>Richard Hoar</t>
        </is>
      </c>
      <c r="N113" s="1155" t="inlineStr">
        <is>
          <t>rhoar1@jaguarlandrover.com</t>
        </is>
      </c>
      <c r="O113" s="1155" t="inlineStr">
        <is>
          <t>GBP</t>
        </is>
      </c>
      <c r="P113" s="1155" t="n"/>
      <c r="Q113" s="1788" t="n">
        <v>150</v>
      </c>
      <c r="S113" s="1121">
        <f>H113-12</f>
        <v/>
      </c>
      <c r="T113" s="1121" t="n">
        <v>45801</v>
      </c>
      <c r="U113" s="1082" t="inlineStr">
        <is>
          <t>20250524-01</t>
        </is>
      </c>
      <c r="V113" s="1789">
        <f>H113+45</f>
        <v/>
      </c>
      <c r="W113" s="1788" t="n">
        <v>150</v>
      </c>
      <c r="X113" s="1121" t="n">
        <v>45847</v>
      </c>
      <c r="Y113" s="1790">
        <f>Q113-W113</f>
        <v/>
      </c>
    </row>
    <row r="114">
      <c r="A114" s="1096" t="n">
        <v>114</v>
      </c>
      <c r="B114" s="1096">
        <f>IF(COUNTIF(E$2:E$273, D114)=0, "Missing in D", "")</f>
        <v/>
      </c>
      <c r="C114" s="1096">
        <f>IF(COUNTIF(D$2:D$273, E114)=0, "Missing in E", "")</f>
        <v/>
      </c>
      <c r="E114" s="1181" t="inlineStr">
        <is>
          <t>IIY#9849544343471XS0</t>
        </is>
      </c>
      <c r="F114" s="1181" t="inlineStr">
        <is>
          <t>Seat Booking Confirmed</t>
        </is>
      </c>
      <c r="G114" s="1181" t="inlineStr">
        <is>
          <t>Peak District Photography Workshops Padley Gorge</t>
        </is>
      </c>
      <c r="H114" s="1795" t="inlineStr">
        <is>
          <t>24 May 2025</t>
        </is>
      </c>
      <c r="I114" s="1795" t="inlineStr">
        <is>
          <t>24 May 2025</t>
        </is>
      </c>
      <c r="J114" s="1183" t="inlineStr">
        <is>
          <t>09:30:00</t>
        </is>
      </c>
      <c r="K114" s="1183" t="inlineStr">
        <is>
          <t>16:15:00</t>
        </is>
      </c>
      <c r="L114" s="1181" t="inlineStr">
        <is>
          <t>Grindleford|</t>
        </is>
      </c>
      <c r="M114" s="1181" t="inlineStr">
        <is>
          <t>Jacinto Carrasco-Munoz Guerra</t>
        </is>
      </c>
      <c r="N114" s="1181" t="inlineStr">
        <is>
          <t>jcarras1@jaguarlandrover.com</t>
        </is>
      </c>
      <c r="O114" s="1181" t="inlineStr">
        <is>
          <t>GBP</t>
        </is>
      </c>
      <c r="P114" s="1181" t="n"/>
      <c r="Q114" s="1788" t="n">
        <v>150</v>
      </c>
      <c r="S114" s="1121">
        <f>H114-12</f>
        <v/>
      </c>
      <c r="T114" s="1121" t="n">
        <v>45801</v>
      </c>
      <c r="U114" s="1082" t="inlineStr">
        <is>
          <t>20250524-01</t>
        </is>
      </c>
      <c r="V114" s="1789">
        <f>H114+45</f>
        <v/>
      </c>
      <c r="W114" s="1788" t="n">
        <v>150</v>
      </c>
      <c r="X114" s="1121" t="n">
        <v>45847</v>
      </c>
      <c r="Y114" s="1790">
        <f>Q114-W114</f>
        <v/>
      </c>
    </row>
    <row r="115">
      <c r="A115" s="1096" t="n">
        <v>115</v>
      </c>
      <c r="B115" s="1096">
        <f>IF(COUNTIF(E$2:E$273, D115)=0, "Missing in D", "")</f>
        <v/>
      </c>
      <c r="C115" s="1096">
        <f>IF(COUNTIF(D$2:D$273, E115)=0, "Missing in E", "")</f>
        <v/>
      </c>
      <c r="E115" s="1155" t="inlineStr">
        <is>
          <t>IIY#5463948343471pKo</t>
        </is>
      </c>
      <c r="F115" s="1155" t="inlineStr">
        <is>
          <t>Seat Booking Confirmed</t>
        </is>
      </c>
      <c r="G115" s="1155" t="inlineStr">
        <is>
          <t>Peak District Photography Workshops Padley Gorge</t>
        </is>
      </c>
      <c r="H115" s="1787" t="inlineStr">
        <is>
          <t>24 May 2025</t>
        </is>
      </c>
      <c r="I115" s="1787" t="inlineStr">
        <is>
          <t>24 May 2025</t>
        </is>
      </c>
      <c r="J115" s="1157" t="inlineStr">
        <is>
          <t>09:30:00</t>
        </is>
      </c>
      <c r="K115" s="1157" t="inlineStr">
        <is>
          <t>16:15:00</t>
        </is>
      </c>
      <c r="L115" s="1155" t="inlineStr">
        <is>
          <t>Grindleford|</t>
        </is>
      </c>
      <c r="M115" s="1155" t="inlineStr">
        <is>
          <t>Swapnil Khante</t>
        </is>
      </c>
      <c r="N115" s="1155" t="inlineStr">
        <is>
          <t>skhante@jaguarlandrover.com</t>
        </is>
      </c>
      <c r="O115" s="1155" t="inlineStr">
        <is>
          <t>GBP</t>
        </is>
      </c>
      <c r="P115" s="1155" t="n"/>
      <c r="Q115" s="1788" t="n">
        <v>150</v>
      </c>
      <c r="S115" s="1121">
        <f>H115-12</f>
        <v/>
      </c>
      <c r="T115" s="1121" t="n">
        <v>45801</v>
      </c>
      <c r="U115" s="1082" t="inlineStr">
        <is>
          <t>20250524-01</t>
        </is>
      </c>
      <c r="V115" s="1789">
        <f>H115+45</f>
        <v/>
      </c>
      <c r="W115" s="1788" t="n">
        <v>150</v>
      </c>
      <c r="X115" s="1121" t="n">
        <v>45847</v>
      </c>
      <c r="Y115" s="1790">
        <f>Q115-W115</f>
        <v/>
      </c>
    </row>
    <row r="116">
      <c r="A116" s="1096" t="n">
        <v>116</v>
      </c>
      <c r="B116" s="1096">
        <f>IF(COUNTIF(E$2:E$273, D116)=0, "Missing in D", "")</f>
        <v/>
      </c>
      <c r="C116" s="1096">
        <f>IF(COUNTIF(D$2:D$273, E116)=0, "Missing in E", "")</f>
        <v/>
      </c>
      <c r="E116" s="1155" t="inlineStr">
        <is>
          <t>IIY#45570895434715lW</t>
        </is>
      </c>
      <c r="F116" s="1155" t="inlineStr">
        <is>
          <t>Seat Booking Confirmed</t>
        </is>
      </c>
      <c r="G116" s="1155" t="inlineStr">
        <is>
          <t>Photography Lessons - Private 1-2-1 (1HR)</t>
        </is>
      </c>
      <c r="H116" s="1787" t="n">
        <v>45804</v>
      </c>
      <c r="I116" s="1787" t="n">
        <v>45804</v>
      </c>
      <c r="J116" s="1157" t="n">
        <v>0.6666666666666666</v>
      </c>
      <c r="K116" s="1157" t="n">
        <v>0.7083333333333334</v>
      </c>
      <c r="L116" s="1155" t="inlineStr">
        <is>
          <t>Coventry|</t>
        </is>
      </c>
      <c r="M116" s="1155" t="inlineStr">
        <is>
          <t>Jason Holdsworth</t>
        </is>
      </c>
      <c r="N116" s="1155" t="inlineStr">
        <is>
          <t>jholdsw2@jaguarlandrover.com</t>
        </is>
      </c>
      <c r="O116" s="1155" t="inlineStr">
        <is>
          <t>GBP</t>
        </is>
      </c>
      <c r="P116" s="1155" t="n"/>
      <c r="Q116" s="1791" t="n">
        <v>65</v>
      </c>
      <c r="S116" s="1121">
        <f>H116-12</f>
        <v/>
      </c>
      <c r="T116" s="1121" t="n">
        <v>45804</v>
      </c>
      <c r="U116" s="1082" t="inlineStr">
        <is>
          <t>20250527-01</t>
        </is>
      </c>
      <c r="V116" s="1789">
        <f>H116+45</f>
        <v/>
      </c>
      <c r="W116" s="1791" t="n">
        <v>65</v>
      </c>
      <c r="X116" s="1121" t="n">
        <v>45849</v>
      </c>
      <c r="Y116" s="1790">
        <f>Q116-W116</f>
        <v/>
      </c>
    </row>
    <row r="117">
      <c r="A117" s="1096" t="n">
        <v>117</v>
      </c>
      <c r="B117" s="1096">
        <f>IF(COUNTIF(E$2:E$273, D117)=0, "Missing in D", "")</f>
        <v/>
      </c>
      <c r="C117" s="1096">
        <f>IF(COUNTIF(D$2:D$273, E117)=0, "Missing in E", "")</f>
        <v/>
      </c>
      <c r="E117" s="1155" t="inlineStr">
        <is>
          <t>IIY#36355007393718jX</t>
        </is>
      </c>
      <c r="F117" s="1155" t="inlineStr">
        <is>
          <t>Seat Booking Confirmed</t>
        </is>
      </c>
      <c r="G117" s="1155" t="inlineStr">
        <is>
          <t>Camera Courses For Beginners</t>
        </is>
      </c>
      <c r="H117" s="1787" t="inlineStr">
        <is>
          <t>27 May 2025</t>
        </is>
      </c>
      <c r="I117" s="1787" t="inlineStr">
        <is>
          <t>10 Jun 2025</t>
        </is>
      </c>
      <c r="J117" s="1157" t="inlineStr">
        <is>
          <t>19:00:00</t>
        </is>
      </c>
      <c r="K117" s="1157" t="inlineStr">
        <is>
          <t>21:00:00</t>
        </is>
      </c>
      <c r="L117" s="1155" t="inlineStr">
        <is>
          <t>Coventry|</t>
        </is>
      </c>
      <c r="M117" s="1155" t="inlineStr">
        <is>
          <t>Casey Clarke</t>
        </is>
      </c>
      <c r="N117" s="1155" t="inlineStr">
        <is>
          <t>cclark11@jaguarlandrover.com</t>
        </is>
      </c>
      <c r="O117" s="1155" t="inlineStr">
        <is>
          <t>GBP</t>
        </is>
      </c>
      <c r="P117" s="1155" t="n"/>
      <c r="Q117" s="1788" t="n">
        <v>150</v>
      </c>
      <c r="S117" s="1121">
        <f>H117-12</f>
        <v/>
      </c>
      <c r="T117" s="1121" t="n">
        <v>45804</v>
      </c>
      <c r="U117" s="1082" t="inlineStr">
        <is>
          <t>20250527-02</t>
        </is>
      </c>
      <c r="V117" s="1789">
        <f>H117+45</f>
        <v/>
      </c>
      <c r="W117" s="1788" t="n">
        <v>150</v>
      </c>
      <c r="X117" s="1121" t="n">
        <v>45849</v>
      </c>
      <c r="Y117" s="1790">
        <f>Q117-W117</f>
        <v/>
      </c>
    </row>
    <row r="118">
      <c r="A118" s="1096" t="n">
        <v>118</v>
      </c>
      <c r="B118" s="1096">
        <f>IF(COUNTIF(E$2:E$273, D118)=0, "Missing in D", "")</f>
        <v/>
      </c>
      <c r="C118" s="1096">
        <f>IF(COUNTIF(D$2:D$273, E118)=0, "Missing in E", "")</f>
        <v/>
      </c>
      <c r="E118" s="1155" t="inlineStr">
        <is>
          <t>IIY#3337168549371BqW</t>
        </is>
      </c>
      <c r="F118" s="1155" t="inlineStr">
        <is>
          <t>Seat Booking Confirmed</t>
        </is>
      </c>
      <c r="G118" s="1155" t="inlineStr">
        <is>
          <t>Camera Courses For Beginners</t>
        </is>
      </c>
      <c r="H118" s="1787" t="inlineStr">
        <is>
          <t>27 May 2025</t>
        </is>
      </c>
      <c r="I118" s="1787" t="inlineStr">
        <is>
          <t>10 Jun 2025</t>
        </is>
      </c>
      <c r="J118" s="1157" t="inlineStr">
        <is>
          <t>19:00:00</t>
        </is>
      </c>
      <c r="K118" s="1157" t="inlineStr">
        <is>
          <t>21:00:00</t>
        </is>
      </c>
      <c r="L118" s="1155" t="inlineStr">
        <is>
          <t>Coventry|</t>
        </is>
      </c>
      <c r="M118" s="1155" t="inlineStr">
        <is>
          <t>Aoife Doyle</t>
        </is>
      </c>
      <c r="N118" s="1155" t="inlineStr">
        <is>
          <t>adoyle6@jaguarlandrover.com</t>
        </is>
      </c>
      <c r="O118" s="1155" t="inlineStr">
        <is>
          <t>GBP</t>
        </is>
      </c>
      <c r="P118" s="1155" t="n"/>
      <c r="Q118" s="1788" t="n">
        <v>150</v>
      </c>
      <c r="S118" s="1121">
        <f>H118-12</f>
        <v/>
      </c>
      <c r="T118" s="1121" t="n">
        <v>45804</v>
      </c>
      <c r="U118" s="1082" t="inlineStr">
        <is>
          <t>20250527-02</t>
        </is>
      </c>
      <c r="V118" s="1789">
        <f>H118+45</f>
        <v/>
      </c>
      <c r="W118" s="1788" t="n">
        <v>150</v>
      </c>
      <c r="X118" s="1121" t="n">
        <v>45849</v>
      </c>
      <c r="Y118" s="1790">
        <f>Q118-W118</f>
        <v/>
      </c>
    </row>
    <row r="119">
      <c r="A119" s="1096" t="n">
        <v>119</v>
      </c>
      <c r="B119" s="1096">
        <f>IF(COUNTIF(E$2:E$273, D119)=0, "Missing in D", "")</f>
        <v/>
      </c>
      <c r="C119" s="1096">
        <f>IF(COUNTIF(D$2:D$273, E119)=0, "Missing in E", "")</f>
        <v/>
      </c>
      <c r="E119" s="1155" t="inlineStr">
        <is>
          <t>IIY#6654429899371evK</t>
        </is>
      </c>
      <c r="F119" s="1155" t="inlineStr">
        <is>
          <t>Seat Booking Confirmed</t>
        </is>
      </c>
      <c r="G119" s="1155" t="inlineStr">
        <is>
          <t>Camera Courses For Beginners</t>
        </is>
      </c>
      <c r="H119" s="1787" t="inlineStr">
        <is>
          <t>27 May 2025</t>
        </is>
      </c>
      <c r="I119" s="1787" t="inlineStr">
        <is>
          <t>10 Jun 2025</t>
        </is>
      </c>
      <c r="J119" s="1157" t="inlineStr">
        <is>
          <t>19:00:00</t>
        </is>
      </c>
      <c r="K119" s="1157" t="inlineStr">
        <is>
          <t>21:00:00</t>
        </is>
      </c>
      <c r="L119" s="1155" t="inlineStr">
        <is>
          <t>Coventry|</t>
        </is>
      </c>
      <c r="M119" s="1155" t="inlineStr">
        <is>
          <t>Archit Rastogi</t>
        </is>
      </c>
      <c r="N119" s="1155" t="inlineStr">
        <is>
          <t>arastog1@jaguarlandrover.com</t>
        </is>
      </c>
      <c r="O119" s="1155" t="inlineStr">
        <is>
          <t>GBP</t>
        </is>
      </c>
      <c r="P119" s="1155" t="n"/>
      <c r="Q119" s="1791" t="n">
        <v>150</v>
      </c>
      <c r="S119" s="1121">
        <f>H119-12</f>
        <v/>
      </c>
      <c r="T119" s="1121" t="n">
        <v>45804</v>
      </c>
      <c r="U119" s="1082" t="inlineStr">
        <is>
          <t>20250527-02</t>
        </is>
      </c>
      <c r="V119" s="1789">
        <f>H119+45</f>
        <v/>
      </c>
      <c r="W119" s="1791" t="n">
        <v>150</v>
      </c>
      <c r="X119" s="1121" t="n">
        <v>45849</v>
      </c>
      <c r="Y119" s="1790">
        <f>Q119-W119</f>
        <v/>
      </c>
    </row>
    <row r="120">
      <c r="A120" s="1096" t="n">
        <v>120</v>
      </c>
      <c r="B120" s="1096">
        <f>IF(COUNTIF(E$2:E$273, D120)=0, "Missing in D", "")</f>
        <v/>
      </c>
      <c r="C120" s="1096">
        <f>IF(COUNTIF(D$2:D$273, E120)=0, "Missing in E", "")</f>
        <v/>
      </c>
      <c r="E120" s="1155" t="inlineStr">
        <is>
          <t>IIY#5221971400471t4J</t>
        </is>
      </c>
      <c r="F120" s="1155" t="inlineStr">
        <is>
          <t>Seat Booking Confirmed</t>
        </is>
      </c>
      <c r="G120" s="1155" t="inlineStr">
        <is>
          <t>Camera Courses For Beginners</t>
        </is>
      </c>
      <c r="H120" s="1787" t="inlineStr">
        <is>
          <t>27 May 2025</t>
        </is>
      </c>
      <c r="I120" s="1787" t="inlineStr">
        <is>
          <t>27 May 2025</t>
        </is>
      </c>
      <c r="J120" s="1157" t="inlineStr">
        <is>
          <t>19:00:00</t>
        </is>
      </c>
      <c r="K120" s="1157" t="inlineStr">
        <is>
          <t>21:00:00</t>
        </is>
      </c>
      <c r="L120" s="1155" t="inlineStr">
        <is>
          <t>Coventry|</t>
        </is>
      </c>
      <c r="M120" s="1155" t="inlineStr">
        <is>
          <t>Aparna Balasubramanian</t>
        </is>
      </c>
      <c r="N120" s="1155" t="inlineStr">
        <is>
          <t>abalasu4@jaguarlandrover.com</t>
        </is>
      </c>
      <c r="O120" s="1155" t="inlineStr">
        <is>
          <t>GBP</t>
        </is>
      </c>
      <c r="P120" s="1155" t="n"/>
      <c r="Q120" s="1788" t="n">
        <v>150</v>
      </c>
      <c r="S120" s="1121">
        <f>H120-12</f>
        <v/>
      </c>
      <c r="T120" s="1121" t="n">
        <v>45804</v>
      </c>
      <c r="U120" s="1082" t="inlineStr">
        <is>
          <t>20250527-02</t>
        </is>
      </c>
      <c r="V120" s="1789">
        <f>H120+45</f>
        <v/>
      </c>
      <c r="W120" s="1788" t="n">
        <v>150</v>
      </c>
      <c r="X120" s="1121" t="n">
        <v>45849</v>
      </c>
      <c r="Y120" s="1790">
        <f>Q120-W120</f>
        <v/>
      </c>
    </row>
    <row r="121">
      <c r="A121" s="1096" t="n">
        <v>121</v>
      </c>
      <c r="B121" s="1096">
        <f>IF(COUNTIF(E$2:E$273, D121)=0, "Missing in D", "")</f>
        <v/>
      </c>
      <c r="C121" s="1096">
        <f>IF(COUNTIF(D$2:D$273, E121)=0, "Missing in E", "")</f>
        <v/>
      </c>
      <c r="E121" s="1155" t="inlineStr">
        <is>
          <t>IIY#7673577182471cZr</t>
        </is>
      </c>
      <c r="F121" s="1155" t="inlineStr">
        <is>
          <t>Seat Booking Confirmed</t>
        </is>
      </c>
      <c r="G121" s="1155" t="inlineStr">
        <is>
          <t>Photography Lessons - Private 1-2-1 (2hr)</t>
        </is>
      </c>
      <c r="H121" s="1787" t="n">
        <v>45805</v>
      </c>
      <c r="I121" s="1787" t="n">
        <v>45805</v>
      </c>
      <c r="J121" s="1157" t="n">
        <v>0.6041666666666666</v>
      </c>
      <c r="K121" s="1157" t="n">
        <v>0.6875</v>
      </c>
      <c r="L121" s="1155" t="inlineStr">
        <is>
          <t>Coventry|</t>
        </is>
      </c>
      <c r="M121" s="1155" t="inlineStr">
        <is>
          <t>Mark Schofield</t>
        </is>
      </c>
      <c r="N121" s="1155" t="inlineStr">
        <is>
          <t>mschofi1@jaguarlandrover.com</t>
        </is>
      </c>
      <c r="O121" s="1155" t="inlineStr">
        <is>
          <t>GBP</t>
        </is>
      </c>
      <c r="P121" s="1155" t="n"/>
      <c r="Q121" s="1791" t="n">
        <v>120</v>
      </c>
      <c r="S121" s="1121">
        <f>H121-12</f>
        <v/>
      </c>
      <c r="T121" s="1121" t="n">
        <v>45805</v>
      </c>
      <c r="U121" s="1082" t="inlineStr">
        <is>
          <t>20250528-01</t>
        </is>
      </c>
      <c r="V121" s="1789">
        <f>H121+45</f>
        <v/>
      </c>
      <c r="W121" s="1791" t="n">
        <v>120</v>
      </c>
      <c r="X121" s="1121" t="n">
        <v>45849</v>
      </c>
      <c r="Y121" s="1790">
        <f>Q121-W121</f>
        <v/>
      </c>
    </row>
    <row r="122">
      <c r="A122" s="1096" t="n">
        <v>122</v>
      </c>
      <c r="B122" s="1096">
        <f>IF(COUNTIF(E$2:E$273, D122)=0, "Missing in D", "")</f>
        <v/>
      </c>
      <c r="C122" s="1096">
        <f>IF(COUNTIF(D$2:D$273, E122)=0, "Missing in E", "")</f>
        <v/>
      </c>
      <c r="E122" s="1155" t="inlineStr">
        <is>
          <t>IIY#6307468761471O4c</t>
        </is>
      </c>
      <c r="F122" s="1155" t="inlineStr">
        <is>
          <t>Seat Booking Confirmed</t>
        </is>
      </c>
      <c r="G122" s="1155" t="inlineStr">
        <is>
          <t>Sunset Photographic Workshop - Chesterton Windmill</t>
        </is>
      </c>
      <c r="H122" s="1787" t="inlineStr">
        <is>
          <t>29 May 2025</t>
        </is>
      </c>
      <c r="I122" s="1787" t="inlineStr">
        <is>
          <t>29 May 2025</t>
        </is>
      </c>
      <c r="J122" s="1157" t="inlineStr">
        <is>
          <t>18:30:00</t>
        </is>
      </c>
      <c r="K122" s="1157" t="inlineStr">
        <is>
          <t>21:00:00</t>
        </is>
      </c>
      <c r="L122" s="1155" t="inlineStr">
        <is>
          <t>Chesterton|</t>
        </is>
      </c>
      <c r="M122" s="1155" t="inlineStr">
        <is>
          <t>Rowan Floyd</t>
        </is>
      </c>
      <c r="N122" s="1155" t="inlineStr">
        <is>
          <t>rfloyd3@jaguarlandrover.com</t>
        </is>
      </c>
      <c r="O122" s="1155" t="inlineStr">
        <is>
          <t>GBP</t>
        </is>
      </c>
      <c r="P122" s="1155" t="n"/>
      <c r="Q122" s="1788" t="n">
        <v>50</v>
      </c>
      <c r="R122" s="1082" t="n">
        <v>1</v>
      </c>
      <c r="S122" s="1121">
        <f>H122-12</f>
        <v/>
      </c>
      <c r="T122" s="1121" t="n">
        <v>45806</v>
      </c>
      <c r="U122" s="1082" t="inlineStr">
        <is>
          <t>20250529-01</t>
        </is>
      </c>
      <c r="V122" s="1789">
        <f>H122+45</f>
        <v/>
      </c>
      <c r="W122" s="1788" t="n">
        <v>50</v>
      </c>
      <c r="X122" s="1121" t="n">
        <v>45849</v>
      </c>
      <c r="Y122" s="1790">
        <f>Q122-W122</f>
        <v/>
      </c>
    </row>
    <row r="123">
      <c r="A123" s="1096" t="n">
        <v>123</v>
      </c>
      <c r="B123" s="1096">
        <f>IF(COUNTIF(E$2:E$273, D123)=0, "Missing in D", "")</f>
        <v/>
      </c>
      <c r="C123" s="1096">
        <f>IF(COUNTIF(D$2:D$273, E123)=0, "Missing in E", "")</f>
        <v/>
      </c>
      <c r="E123" s="1155" t="inlineStr">
        <is>
          <t>IIY#1425089912471xHh</t>
        </is>
      </c>
      <c r="F123" s="1155" t="inlineStr">
        <is>
          <t>Seat Booking Confirmed</t>
        </is>
      </c>
      <c r="G123" s="1155" t="inlineStr">
        <is>
          <t>Sunset Photographic Workshop - Chesterton Windmill</t>
        </is>
      </c>
      <c r="H123" s="1787" t="inlineStr">
        <is>
          <t>29 May 2025</t>
        </is>
      </c>
      <c r="I123" s="1787" t="inlineStr">
        <is>
          <t>29 May 2025</t>
        </is>
      </c>
      <c r="J123" s="1157" t="inlineStr">
        <is>
          <t>18:30:00</t>
        </is>
      </c>
      <c r="K123" s="1157" t="inlineStr">
        <is>
          <t>21:00:00</t>
        </is>
      </c>
      <c r="L123" s="1155" t="inlineStr">
        <is>
          <t>Chesterton|</t>
        </is>
      </c>
      <c r="M123" s="1155" t="inlineStr">
        <is>
          <t>Gregory Moys</t>
        </is>
      </c>
      <c r="N123" s="1155" t="inlineStr">
        <is>
          <t>gmoys@jaguarlandrover.com</t>
        </is>
      </c>
      <c r="O123" s="1155" t="inlineStr">
        <is>
          <t>GBP</t>
        </is>
      </c>
      <c r="P123" s="1155" t="n"/>
      <c r="Q123" s="1788" t="n">
        <v>50</v>
      </c>
      <c r="S123" s="1121">
        <f>H123-12</f>
        <v/>
      </c>
      <c r="T123" s="1121" t="n">
        <v>45806</v>
      </c>
      <c r="U123" s="1082" t="inlineStr">
        <is>
          <t>20250529-01</t>
        </is>
      </c>
      <c r="V123" s="1789">
        <f>H123+45</f>
        <v/>
      </c>
      <c r="W123" s="1788" t="n">
        <v>50</v>
      </c>
      <c r="X123" s="1121" t="n">
        <v>45849</v>
      </c>
      <c r="Y123" s="1790">
        <f>Q123-W123</f>
        <v/>
      </c>
    </row>
    <row r="124">
      <c r="A124" s="1096" t="n">
        <v>124</v>
      </c>
      <c r="B124" s="1096">
        <f>IF(COUNTIF(E$2:E$273, D124)=0, "Missing in D", "")</f>
        <v/>
      </c>
      <c r="C124" s="1096">
        <f>IF(COUNTIF(D$2:D$273, E124)=0, "Missing in E", "")</f>
        <v/>
      </c>
      <c r="E124" s="1155" t="inlineStr">
        <is>
          <t>IIY#3166518642471ZHH</t>
        </is>
      </c>
      <c r="F124" s="1155" t="inlineStr">
        <is>
          <t>Seat Booking Confirmed</t>
        </is>
      </c>
      <c r="G124" s="1155" t="inlineStr">
        <is>
          <t>Sunset Photographic Workshop - Chesterton Windmill</t>
        </is>
      </c>
      <c r="H124" s="1787" t="inlineStr">
        <is>
          <t>29 May 2025</t>
        </is>
      </c>
      <c r="I124" s="1787" t="inlineStr">
        <is>
          <t>29 May 2025</t>
        </is>
      </c>
      <c r="J124" s="1157" t="inlineStr">
        <is>
          <t>18:30:00</t>
        </is>
      </c>
      <c r="K124" s="1157" t="inlineStr">
        <is>
          <t>21:00:00</t>
        </is>
      </c>
      <c r="L124" s="1155" t="inlineStr">
        <is>
          <t>Chesterton|</t>
        </is>
      </c>
      <c r="M124" s="1155" t="inlineStr">
        <is>
          <t>Pratik Vaishnao</t>
        </is>
      </c>
      <c r="N124" s="1155" t="inlineStr">
        <is>
          <t>pvaishn1@jaguarlandrover.com</t>
        </is>
      </c>
      <c r="O124" s="1155" t="inlineStr">
        <is>
          <t>GBP</t>
        </is>
      </c>
      <c r="P124" s="1155" t="n"/>
      <c r="Q124" s="1791" t="n">
        <v>50</v>
      </c>
      <c r="S124" s="1121">
        <f>H124-12</f>
        <v/>
      </c>
      <c r="T124" s="1121" t="n">
        <v>45806</v>
      </c>
      <c r="U124" s="1082" t="inlineStr">
        <is>
          <t>20250529-01</t>
        </is>
      </c>
      <c r="V124" s="1789">
        <f>H124+45</f>
        <v/>
      </c>
      <c r="W124" s="1791" t="n">
        <v>50</v>
      </c>
      <c r="X124" s="1121" t="n">
        <v>45849</v>
      </c>
      <c r="Y124" s="1790">
        <f>Q124-W124</f>
        <v/>
      </c>
    </row>
    <row r="125">
      <c r="A125" s="1096" t="n">
        <v>125</v>
      </c>
      <c r="B125" s="1096">
        <f>IF(COUNTIF(E$2:E$273, D125)=0, "Missing in D", "")</f>
        <v/>
      </c>
      <c r="C125" s="1096">
        <f>IF(COUNTIF(D$2:D$273, E125)=0, "Missing in E", "")</f>
        <v/>
      </c>
      <c r="E125" s="1155" t="inlineStr">
        <is>
          <t>IIY#26373647424712a7</t>
        </is>
      </c>
      <c r="F125" s="1155" t="inlineStr">
        <is>
          <t>Seat Booking Confirmed</t>
        </is>
      </c>
      <c r="G125" s="1155" t="inlineStr">
        <is>
          <t>Sunset Photographic Workshop - Chesterton Windmill</t>
        </is>
      </c>
      <c r="H125" s="1787" t="inlineStr">
        <is>
          <t>29 May 2025</t>
        </is>
      </c>
      <c r="I125" s="1787" t="inlineStr">
        <is>
          <t>29 May 2025</t>
        </is>
      </c>
      <c r="J125" s="1157" t="inlineStr">
        <is>
          <t>18:30:00</t>
        </is>
      </c>
      <c r="K125" s="1157" t="inlineStr">
        <is>
          <t>21:00:00</t>
        </is>
      </c>
      <c r="L125" s="1155" t="inlineStr">
        <is>
          <t>Chesterton|</t>
        </is>
      </c>
      <c r="M125" s="1155" t="inlineStr">
        <is>
          <t>Sara Roberts</t>
        </is>
      </c>
      <c r="N125" s="1155" t="inlineStr">
        <is>
          <t>srickar3@jaguarlandrover.com</t>
        </is>
      </c>
      <c r="O125" s="1155" t="inlineStr">
        <is>
          <t>GBP</t>
        </is>
      </c>
      <c r="P125" s="1155" t="n"/>
      <c r="Q125" s="1791" t="n">
        <v>50</v>
      </c>
      <c r="S125" s="1121">
        <f>H125-12</f>
        <v/>
      </c>
      <c r="T125" s="1121" t="n">
        <v>45806</v>
      </c>
      <c r="U125" s="1082" t="inlineStr">
        <is>
          <t>20250529-01</t>
        </is>
      </c>
      <c r="V125" s="1789">
        <f>H125+45</f>
        <v/>
      </c>
      <c r="W125" s="1791" t="n">
        <v>50</v>
      </c>
      <c r="X125" s="1121" t="n">
        <v>45849</v>
      </c>
      <c r="Y125" s="1790">
        <f>Q125-W125</f>
        <v/>
      </c>
    </row>
    <row r="126">
      <c r="A126" s="1096" t="n">
        <v>126</v>
      </c>
      <c r="B126" s="1096">
        <f>IF(COUNTIF(E$2:E$273, D126)=0, "Missing in D", "")</f>
        <v/>
      </c>
      <c r="C126" s="1096">
        <f>IF(COUNTIF(D$2:D$273, E126)=0, "Missing in E", "")</f>
        <v/>
      </c>
      <c r="E126" s="1155" t="inlineStr">
        <is>
          <t>IIY#65903731824710Nr</t>
        </is>
      </c>
      <c r="F126" s="1155" t="inlineStr">
        <is>
          <t>Seat Booking Confirmed</t>
        </is>
      </c>
      <c r="G126" s="1155" t="inlineStr">
        <is>
          <t>Sunset Photographic Workshop - Chesterton Windmill</t>
        </is>
      </c>
      <c r="H126" s="1787" t="inlineStr">
        <is>
          <t>29 May 2025</t>
        </is>
      </c>
      <c r="I126" s="1787" t="inlineStr">
        <is>
          <t>29 May 2025</t>
        </is>
      </c>
      <c r="J126" s="1157" t="inlineStr">
        <is>
          <t>18:30:00</t>
        </is>
      </c>
      <c r="K126" s="1157" t="inlineStr">
        <is>
          <t>21:00:00</t>
        </is>
      </c>
      <c r="L126" s="1155" t="inlineStr">
        <is>
          <t>Chesterton|</t>
        </is>
      </c>
      <c r="M126" s="1155" t="inlineStr">
        <is>
          <t>Douglas Demori</t>
        </is>
      </c>
      <c r="N126" s="1155" t="inlineStr">
        <is>
          <t>ddemori@jaguarlandrover.com</t>
        </is>
      </c>
      <c r="O126" s="1155" t="inlineStr">
        <is>
          <t>GBP</t>
        </is>
      </c>
      <c r="P126" s="1155" t="n"/>
      <c r="Q126" s="1791" t="n">
        <v>50</v>
      </c>
      <c r="S126" s="1121">
        <f>H126-12</f>
        <v/>
      </c>
      <c r="T126" s="1121" t="n">
        <v>45806</v>
      </c>
      <c r="U126" s="1082" t="inlineStr">
        <is>
          <t>20250529-01</t>
        </is>
      </c>
      <c r="V126" s="1789">
        <f>H126+45</f>
        <v/>
      </c>
      <c r="W126" s="1791" t="n">
        <v>50</v>
      </c>
      <c r="X126" s="1121" t="n">
        <v>45849</v>
      </c>
      <c r="Y126" s="1790">
        <f>Q126-W126</f>
        <v/>
      </c>
    </row>
    <row r="127">
      <c r="A127" s="1096" t="n">
        <v>127</v>
      </c>
      <c r="B127" s="1096">
        <f>IF(COUNTIF(E$2:E$273, D127)=0, "Missing in D", "")</f>
        <v/>
      </c>
      <c r="C127" s="1096">
        <f>IF(COUNTIF(D$2:D$273, E127)=0, "Missing in E", "")</f>
        <v/>
      </c>
      <c r="E127" s="1155" t="inlineStr">
        <is>
          <t>IIY#8993165182471If5</t>
        </is>
      </c>
      <c r="F127" s="1155" t="inlineStr">
        <is>
          <t>Seat Booking Confirmed</t>
        </is>
      </c>
      <c r="G127" s="1155" t="inlineStr">
        <is>
          <t>Sunset Photographic Workshop - Chesterton Windmill</t>
        </is>
      </c>
      <c r="H127" s="1787" t="inlineStr">
        <is>
          <t>29 May 2025</t>
        </is>
      </c>
      <c r="I127" s="1787" t="inlineStr">
        <is>
          <t>29 May 2025</t>
        </is>
      </c>
      <c r="J127" s="1157" t="inlineStr">
        <is>
          <t>18:30:00</t>
        </is>
      </c>
      <c r="K127" s="1157" t="inlineStr">
        <is>
          <t>21:00:00</t>
        </is>
      </c>
      <c r="L127" s="1155" t="inlineStr">
        <is>
          <t>Chesterton|</t>
        </is>
      </c>
      <c r="M127" s="1155" t="inlineStr">
        <is>
          <t>Roger Calvet</t>
        </is>
      </c>
      <c r="N127" s="1155" t="inlineStr">
        <is>
          <t>rcalvet1@jaguarlandrover.com</t>
        </is>
      </c>
      <c r="O127" s="1155" t="inlineStr">
        <is>
          <t>GBP</t>
        </is>
      </c>
      <c r="P127" s="1155" t="n"/>
      <c r="Q127" s="1788" t="n">
        <v>50</v>
      </c>
      <c r="S127" s="1121">
        <f>H127-12</f>
        <v/>
      </c>
      <c r="T127" s="1121" t="n">
        <v>45806</v>
      </c>
      <c r="U127" s="1082" t="inlineStr">
        <is>
          <t>20250529-01</t>
        </is>
      </c>
      <c r="V127" s="1789">
        <f>H127+45</f>
        <v/>
      </c>
      <c r="W127" s="1788" t="n">
        <v>50</v>
      </c>
      <c r="X127" s="1121" t="n">
        <v>45849</v>
      </c>
      <c r="Y127" s="1790">
        <f>Q127-W127</f>
        <v/>
      </c>
    </row>
    <row r="128">
      <c r="A128" s="1096" t="n">
        <v>128</v>
      </c>
      <c r="B128" s="1096">
        <f>IF(COUNTIF(E$2:E$273, D128)=0, "Missing in D", "")</f>
        <v/>
      </c>
      <c r="C128" s="1096">
        <f>IF(COUNTIF(D$2:D$273, E128)=0, "Missing in E", "")</f>
        <v/>
      </c>
      <c r="E128" s="1155" t="inlineStr">
        <is>
          <t>IIY#367673681347190K</t>
        </is>
      </c>
      <c r="F128" s="1155" t="inlineStr">
        <is>
          <t>Seat Booking Confirmed</t>
        </is>
      </c>
      <c r="G128" s="1155" t="inlineStr">
        <is>
          <t>Sunset Photographic Workshop - Chesterton Windmill</t>
        </is>
      </c>
      <c r="H128" s="1787" t="inlineStr">
        <is>
          <t>29 May 2025</t>
        </is>
      </c>
      <c r="I128" s="1787" t="inlineStr">
        <is>
          <t>29 May 2025</t>
        </is>
      </c>
      <c r="J128" s="1157" t="inlineStr">
        <is>
          <t>18:30:00</t>
        </is>
      </c>
      <c r="K128" s="1157" t="inlineStr">
        <is>
          <t>21:00:00</t>
        </is>
      </c>
      <c r="L128" s="1155" t="inlineStr">
        <is>
          <t>Chesterton|</t>
        </is>
      </c>
      <c r="M128" s="1155" t="inlineStr">
        <is>
          <t>Steven Martin</t>
        </is>
      </c>
      <c r="N128" s="1155" t="inlineStr">
        <is>
          <t>smarti19@jaguarlandrover.com</t>
        </is>
      </c>
      <c r="O128" s="1155" t="inlineStr">
        <is>
          <t>GBP</t>
        </is>
      </c>
      <c r="P128" s="1155" t="n"/>
      <c r="Q128" s="1788" t="n">
        <v>50</v>
      </c>
      <c r="S128" s="1121">
        <f>H128-12</f>
        <v/>
      </c>
      <c r="T128" s="1121" t="n">
        <v>45806</v>
      </c>
      <c r="U128" s="1082" t="inlineStr">
        <is>
          <t>20250529-01</t>
        </is>
      </c>
      <c r="V128" s="1789">
        <f>H128+45</f>
        <v/>
      </c>
      <c r="W128" s="1788" t="n">
        <v>50</v>
      </c>
      <c r="X128" s="1121" t="n">
        <v>45849</v>
      </c>
      <c r="Y128" s="1790">
        <f>Q128-W128</f>
        <v/>
      </c>
    </row>
    <row r="129">
      <c r="A129" s="1096" t="n">
        <v>129</v>
      </c>
      <c r="B129" s="1096">
        <f>IF(COUNTIF(E$2:E$273, D129)=0, "Missing in D", "")</f>
        <v/>
      </c>
      <c r="C129" s="1096">
        <f>IF(COUNTIF(D$2:D$273, E129)=0, "Missing in E", "")</f>
        <v/>
      </c>
      <c r="E129" s="1155" t="inlineStr">
        <is>
          <t>IIY#8534084518371fc3</t>
        </is>
      </c>
      <c r="F129" s="1155" t="inlineStr">
        <is>
          <t>Seat Booking Confirmed</t>
        </is>
      </c>
      <c r="G129" s="1155" t="inlineStr">
        <is>
          <t>Sezincote Garden Photography - Mughal palace in Cotswolds</t>
        </is>
      </c>
      <c r="H129" s="1787" t="inlineStr">
        <is>
          <t>30 May 2025</t>
        </is>
      </c>
      <c r="I129" s="1787" t="inlineStr">
        <is>
          <t>30 May 2025</t>
        </is>
      </c>
      <c r="J129" s="1157" t="inlineStr">
        <is>
          <t>11:00:00</t>
        </is>
      </c>
      <c r="K129" s="1157" t="inlineStr">
        <is>
          <t>13:30:00</t>
        </is>
      </c>
      <c r="L129" s="1155" t="inlineStr">
        <is>
          <t>Coventry|</t>
        </is>
      </c>
      <c r="M129" s="1155" t="inlineStr">
        <is>
          <t>Sara Roberts</t>
        </is>
      </c>
      <c r="N129" s="1155" t="inlineStr">
        <is>
          <t>srickar3@jaguarlandrover.com</t>
        </is>
      </c>
      <c r="O129" s="1155" t="inlineStr">
        <is>
          <t>GBP</t>
        </is>
      </c>
      <c r="P129" s="1155" t="n"/>
      <c r="Q129" s="1788" t="n">
        <v>60</v>
      </c>
      <c r="S129" s="1121">
        <f>H129-12</f>
        <v/>
      </c>
      <c r="T129" s="1121" t="n">
        <v>45807</v>
      </c>
      <c r="U129" s="1082" t="inlineStr">
        <is>
          <t>20250530-01</t>
        </is>
      </c>
      <c r="V129" s="1789">
        <f>H129+45</f>
        <v/>
      </c>
      <c r="W129" s="1788" t="n">
        <v>60</v>
      </c>
      <c r="X129" s="1121" t="n">
        <v>45849</v>
      </c>
      <c r="Y129" s="1790">
        <f>Q129-W129</f>
        <v/>
      </c>
    </row>
    <row r="130">
      <c r="A130" s="1096" t="n">
        <v>130</v>
      </c>
      <c r="B130" s="1096">
        <f>IF(COUNTIF(E$2:E$273, D130)=0, "Missing in D", "")</f>
        <v/>
      </c>
      <c r="C130" s="1096">
        <f>IF(COUNTIF(D$2:D$273, E130)=0, "Missing in E", "")</f>
        <v/>
      </c>
      <c r="E130" s="1155" t="inlineStr">
        <is>
          <t>IIY#7962710892471vkI</t>
        </is>
      </c>
      <c r="F130" s="1155" t="inlineStr">
        <is>
          <t>Seat Booking Confirmed</t>
        </is>
      </c>
      <c r="G130" s="1155" t="inlineStr">
        <is>
          <t>Sezincote Garden Photography - Mughal palace in Cotswolds</t>
        </is>
      </c>
      <c r="H130" s="1787" t="inlineStr">
        <is>
          <t>30 May 2025</t>
        </is>
      </c>
      <c r="I130" s="1787" t="inlineStr">
        <is>
          <t>30 May 2025</t>
        </is>
      </c>
      <c r="J130" s="1157" t="inlineStr">
        <is>
          <t>11:00:00</t>
        </is>
      </c>
      <c r="K130" s="1157" t="inlineStr">
        <is>
          <t>13:30:00</t>
        </is>
      </c>
      <c r="L130" s="1155" t="inlineStr">
        <is>
          <t>Moreton In Marsh|</t>
        </is>
      </c>
      <c r="M130" s="1155" t="inlineStr">
        <is>
          <t>Ian Johnson</t>
        </is>
      </c>
      <c r="N130" s="1155" t="inlineStr">
        <is>
          <t>ijohnson@jaguarlandrover.com</t>
        </is>
      </c>
      <c r="O130" s="1155" t="inlineStr">
        <is>
          <t>GBP</t>
        </is>
      </c>
      <c r="P130" s="1155" t="n"/>
      <c r="Q130" s="1788" t="n">
        <v>60</v>
      </c>
      <c r="S130" s="1121">
        <f>H130-12</f>
        <v/>
      </c>
      <c r="T130" s="1121" t="n">
        <v>45807</v>
      </c>
      <c r="U130" s="1082" t="inlineStr">
        <is>
          <t>20250530-01</t>
        </is>
      </c>
      <c r="V130" s="1789">
        <f>H130+45</f>
        <v/>
      </c>
      <c r="W130" s="1788" t="n">
        <v>60</v>
      </c>
      <c r="X130" s="1121" t="n">
        <v>45849</v>
      </c>
      <c r="Y130" s="1790">
        <f>Q130-W130</f>
        <v/>
      </c>
    </row>
    <row r="131">
      <c r="A131" s="1096" t="n">
        <v>131</v>
      </c>
      <c r="B131" s="1096">
        <f>IF(COUNTIF(E$2:E$273, D131)=0, "Missing in D", "")</f>
        <v/>
      </c>
      <c r="C131" s="1096">
        <f>IF(COUNTIF(D$2:D$273, E131)=0, "Missing in E", "")</f>
        <v/>
      </c>
      <c r="E131" s="1155" t="inlineStr">
        <is>
          <t>IIY#8810649803471fU8</t>
        </is>
      </c>
      <c r="F131" s="1155" t="inlineStr">
        <is>
          <t>Seat Booking Confirmed</t>
        </is>
      </c>
      <c r="G131" s="1155" t="inlineStr">
        <is>
          <t>Sezincote Garden Photography - Mughal palace in Cotswolds</t>
        </is>
      </c>
      <c r="H131" s="1787" t="inlineStr">
        <is>
          <t>30 May 2025</t>
        </is>
      </c>
      <c r="I131" s="1787" t="inlineStr">
        <is>
          <t>30 May 2025</t>
        </is>
      </c>
      <c r="J131" s="1157" t="inlineStr">
        <is>
          <t>11:00:00</t>
        </is>
      </c>
      <c r="K131" s="1157" t="inlineStr">
        <is>
          <t>13:30:00</t>
        </is>
      </c>
      <c r="L131" s="1155" t="inlineStr">
        <is>
          <t>Moreton In Marsh|</t>
        </is>
      </c>
      <c r="M131" s="1155" t="inlineStr">
        <is>
          <t>Chang-Jing Kong</t>
        </is>
      </c>
      <c r="N131" s="1155" t="inlineStr">
        <is>
          <t>ckong2@jaguarlandrover.com</t>
        </is>
      </c>
      <c r="O131" s="1155" t="inlineStr">
        <is>
          <t>GBP</t>
        </is>
      </c>
      <c r="P131" s="1155" t="n"/>
      <c r="Q131" s="1791" t="n">
        <v>60</v>
      </c>
      <c r="S131" s="1121">
        <f>H131-12</f>
        <v/>
      </c>
      <c r="T131" s="1121" t="n">
        <v>45807</v>
      </c>
      <c r="U131" s="1082" t="inlineStr">
        <is>
          <t>20250530-01</t>
        </is>
      </c>
      <c r="V131" s="1789">
        <f>H131+45</f>
        <v/>
      </c>
      <c r="W131" s="1791" t="n">
        <v>60</v>
      </c>
      <c r="X131" s="1121" t="n">
        <v>45849</v>
      </c>
      <c r="Y131" s="1790">
        <f>Q131-W131</f>
        <v/>
      </c>
    </row>
    <row r="132">
      <c r="A132" s="1096" t="n">
        <v>132</v>
      </c>
      <c r="B132" s="1096">
        <f>IF(COUNTIF(E$2:E$273, D132)=0, "Missing in D", "")</f>
        <v/>
      </c>
      <c r="C132" s="1096">
        <f>IF(COUNTIF(D$2:D$273, E132)=0, "Missing in E", "")</f>
        <v/>
      </c>
      <c r="E132" s="1155" t="inlineStr">
        <is>
          <t>IIY#9621908904471Z9R</t>
        </is>
      </c>
      <c r="F132" s="1155" t="inlineStr">
        <is>
          <t>Seat Booking Confirmed</t>
        </is>
      </c>
      <c r="G132" s="1155" t="inlineStr">
        <is>
          <t>Photography Lessons - Private 1-2-1 (1HR)</t>
        </is>
      </c>
      <c r="H132" s="1787" t="n">
        <v>45814</v>
      </c>
      <c r="I132" s="1787" t="n">
        <v>45814</v>
      </c>
      <c r="J132" s="1157" t="n">
        <v>0.6666666666666666</v>
      </c>
      <c r="K132" s="1157" t="n">
        <v>0.7083333333333334</v>
      </c>
      <c r="L132" s="1155" t="inlineStr">
        <is>
          <t>Coventry|</t>
        </is>
      </c>
      <c r="M132" s="1155" t="inlineStr">
        <is>
          <t>Paul Johnson</t>
        </is>
      </c>
      <c r="N132" s="1155" t="inlineStr">
        <is>
          <t>pjohnso1@jaguarlandrover.com</t>
        </is>
      </c>
      <c r="O132" s="1155" t="inlineStr">
        <is>
          <t>GBP</t>
        </is>
      </c>
      <c r="P132" s="1155" t="n"/>
      <c r="Q132" s="1791" t="n">
        <v>65</v>
      </c>
      <c r="S132" s="1121">
        <f>H132-12</f>
        <v/>
      </c>
      <c r="T132" s="1121" t="n">
        <v>45814</v>
      </c>
      <c r="U132" s="1082" t="inlineStr">
        <is>
          <t>20250606-01</t>
        </is>
      </c>
      <c r="V132" s="1789">
        <f>H132+45</f>
        <v/>
      </c>
      <c r="W132" s="1791" t="n">
        <v>65</v>
      </c>
      <c r="X132" s="1121" t="n">
        <v>45856</v>
      </c>
      <c r="Y132" s="1790">
        <f>Q132-W132</f>
        <v/>
      </c>
    </row>
    <row r="133">
      <c r="A133" s="1096" t="n">
        <v>133</v>
      </c>
      <c r="B133" s="1096">
        <f>IF(COUNTIF(E$2:E$273, D133)=0, "Missing in D", "")</f>
        <v/>
      </c>
      <c r="C133" s="1096">
        <f>IF(COUNTIF(D$2:D$273, E133)=0, "Missing in E", "")</f>
        <v/>
      </c>
      <c r="E133" s="1155" t="inlineStr">
        <is>
          <t>IIY#9738428143471tZb</t>
        </is>
      </c>
      <c r="F133" s="1155" t="inlineStr">
        <is>
          <t>Seat Booking Confirmed</t>
        </is>
      </c>
      <c r="G133" s="1155" t="inlineStr">
        <is>
          <t>Camera Courses For Beginners</t>
        </is>
      </c>
      <c r="H133" s="1787" t="inlineStr">
        <is>
          <t>12 Jun 2025</t>
        </is>
      </c>
      <c r="I133" s="1787" t="n">
        <v>45834</v>
      </c>
      <c r="J133" s="1157" t="inlineStr">
        <is>
          <t>19:00:00</t>
        </is>
      </c>
      <c r="K133" s="1157" t="inlineStr">
        <is>
          <t>21:00:00</t>
        </is>
      </c>
      <c r="L133" s="1155" t="inlineStr">
        <is>
          <t>Coventry|</t>
        </is>
      </c>
      <c r="M133" s="1155" t="inlineStr">
        <is>
          <t>Olasanmi Olaniyan</t>
        </is>
      </c>
      <c r="N133" s="1155" t="inlineStr">
        <is>
          <t>oolaniya@jaguarlandrover.com</t>
        </is>
      </c>
      <c r="O133" s="1155" t="inlineStr">
        <is>
          <t>GBP</t>
        </is>
      </c>
      <c r="P133" s="1155" t="n"/>
      <c r="Q133" s="1791" t="n">
        <v>150</v>
      </c>
      <c r="S133" s="1121">
        <f>H133-12</f>
        <v/>
      </c>
      <c r="T133" s="1121" t="n">
        <v>45820</v>
      </c>
      <c r="U133" s="1082" t="inlineStr">
        <is>
          <t>20250612-01</t>
        </is>
      </c>
      <c r="V133" s="1789">
        <f>H133+45</f>
        <v/>
      </c>
      <c r="W133" s="1791" t="n">
        <v>150</v>
      </c>
      <c r="X133" s="1121" t="n">
        <v>45862</v>
      </c>
      <c r="Y133" s="1790">
        <f>Q133-W133</f>
        <v/>
      </c>
    </row>
    <row r="134">
      <c r="A134" s="1096" t="n">
        <v>134</v>
      </c>
      <c r="B134" s="1096">
        <f>IF(COUNTIF(E$2:E$273, D134)=0, "Missing in D", "")</f>
        <v/>
      </c>
      <c r="C134" s="1096">
        <f>IF(COUNTIF(D$2:D$273, E134)=0, "Missing in E", "")</f>
        <v/>
      </c>
      <c r="E134" s="1155" t="inlineStr">
        <is>
          <t>IIY#9870547483471jV5</t>
        </is>
      </c>
      <c r="F134" s="1155" t="inlineStr">
        <is>
          <t>Seat Booking Confirmed</t>
        </is>
      </c>
      <c r="G134" s="1155" t="inlineStr">
        <is>
          <t>Camera Courses For Beginners</t>
        </is>
      </c>
      <c r="H134" s="1787" t="inlineStr">
        <is>
          <t>12 Jun 2025</t>
        </is>
      </c>
      <c r="I134" s="1787" t="n">
        <v>45834</v>
      </c>
      <c r="J134" s="1157" t="inlineStr">
        <is>
          <t>19:00:00</t>
        </is>
      </c>
      <c r="K134" s="1157" t="inlineStr">
        <is>
          <t>21:00:00</t>
        </is>
      </c>
      <c r="L134" s="1155" t="inlineStr">
        <is>
          <t>Coventry|</t>
        </is>
      </c>
      <c r="M134" s="1155" t="inlineStr">
        <is>
          <t>Nuha Alam</t>
        </is>
      </c>
      <c r="N134" s="1155" t="inlineStr">
        <is>
          <t>nalam1@jaguarlandrover.com</t>
        </is>
      </c>
      <c r="O134" s="1155" t="inlineStr">
        <is>
          <t>GBP</t>
        </is>
      </c>
      <c r="P134" s="1155" t="n"/>
      <c r="Q134" s="1791" t="n">
        <v>150</v>
      </c>
      <c r="S134" s="1121">
        <f>H134-12</f>
        <v/>
      </c>
      <c r="T134" s="1121" t="n">
        <v>45820</v>
      </c>
      <c r="U134" s="1082" t="inlineStr">
        <is>
          <t>20250612-01</t>
        </is>
      </c>
      <c r="V134" s="1789">
        <f>H134+45</f>
        <v/>
      </c>
      <c r="W134" s="1791" t="n">
        <v>150</v>
      </c>
      <c r="X134" s="1121" t="n">
        <v>45862</v>
      </c>
      <c r="Y134" s="1790">
        <f>Q134-W134</f>
        <v/>
      </c>
    </row>
    <row r="135">
      <c r="A135" s="1096" t="n">
        <v>135</v>
      </c>
      <c r="B135" s="1096">
        <f>IF(COUNTIF(E$2:E$273, D135)=0, "Missing in D", "")</f>
        <v/>
      </c>
      <c r="C135" s="1096">
        <f>IF(COUNTIF(D$2:D$273, E135)=0, "Missing in E", "")</f>
        <v/>
      </c>
      <c r="E135" s="1155" t="inlineStr">
        <is>
          <t>IIY#1885119613471J08</t>
        </is>
      </c>
      <c r="F135" s="1155" t="inlineStr">
        <is>
          <t>Seat Booking Confirmed</t>
        </is>
      </c>
      <c r="G135" s="1155" t="inlineStr">
        <is>
          <t>Photography Lessons - Private 1-2-1 (2hr)</t>
        </is>
      </c>
      <c r="H135" s="1787" t="n">
        <v>45821</v>
      </c>
      <c r="I135" s="1787" t="n">
        <v>45821</v>
      </c>
      <c r="J135" s="1157" t="n">
        <v>0.5833333333333334</v>
      </c>
      <c r="K135" s="1157" t="n">
        <v>0.6666666666666666</v>
      </c>
      <c r="L135" s="1155" t="inlineStr">
        <is>
          <t>Coventry|</t>
        </is>
      </c>
      <c r="M135" s="1155" t="inlineStr">
        <is>
          <t>Emily Coleman</t>
        </is>
      </c>
      <c r="N135" s="1155" t="inlineStr">
        <is>
          <t>ecoleman@jaguarlandrover.com</t>
        </is>
      </c>
      <c r="O135" s="1155" t="inlineStr">
        <is>
          <t>GBP</t>
        </is>
      </c>
      <c r="P135" s="1155" t="n"/>
      <c r="Q135" s="1791" t="n">
        <v>120</v>
      </c>
      <c r="S135" s="1121">
        <f>H135-12</f>
        <v/>
      </c>
      <c r="T135" s="1121" t="n">
        <v>45821</v>
      </c>
      <c r="U135" s="1082" t="inlineStr">
        <is>
          <t>20250613-01</t>
        </is>
      </c>
      <c r="V135" s="1789">
        <f>H135+45</f>
        <v/>
      </c>
      <c r="W135" s="1791" t="n">
        <v>120</v>
      </c>
      <c r="X135" s="1121" t="n">
        <v>45862</v>
      </c>
      <c r="Y135" s="1790">
        <f>Q135-W135</f>
        <v/>
      </c>
    </row>
    <row r="136">
      <c r="A136" s="1096" t="n">
        <v>136</v>
      </c>
      <c r="B136" s="1096">
        <f>IF(COUNTIF(E$2:E$273, D136)=0, "Missing in D", "")</f>
        <v/>
      </c>
      <c r="C136" s="1096">
        <f>IF(COUNTIF(D$2:D$273, E136)=0, "Missing in E", "")</f>
        <v/>
      </c>
      <c r="E136" s="1155" t="inlineStr">
        <is>
          <t>IIY#5427554140471vik</t>
        </is>
      </c>
      <c r="F136" s="1155" t="inlineStr">
        <is>
          <t>Seat Booking Confirmed</t>
        </is>
      </c>
      <c r="G136" s="1155" t="inlineStr">
        <is>
          <t>Camera Courses For Beginners</t>
        </is>
      </c>
      <c r="H136" s="1787" t="inlineStr">
        <is>
          <t>02 Jul 2025</t>
        </is>
      </c>
      <c r="I136" s="1787" t="inlineStr">
        <is>
          <t>16 Jul 2025</t>
        </is>
      </c>
      <c r="J136" s="1157" t="inlineStr">
        <is>
          <t>19:00:00</t>
        </is>
      </c>
      <c r="K136" s="1157" t="inlineStr">
        <is>
          <t>21:00:00</t>
        </is>
      </c>
      <c r="L136" s="1155" t="inlineStr">
        <is>
          <t>Coventry|</t>
        </is>
      </c>
      <c r="M136" s="1155" t="inlineStr">
        <is>
          <t>Sunil Prasad</t>
        </is>
      </c>
      <c r="N136" s="1155" t="inlineStr">
        <is>
          <t>sprasa11@jaguarlandrover.com</t>
        </is>
      </c>
      <c r="O136" s="1155" t="inlineStr">
        <is>
          <t>GBP</t>
        </is>
      </c>
      <c r="P136" s="1155" t="n"/>
      <c r="Q136" s="1788" t="n">
        <v>150</v>
      </c>
      <c r="S136" s="1121">
        <f>H136-12</f>
        <v/>
      </c>
      <c r="T136" s="1121" t="n">
        <v>45840</v>
      </c>
      <c r="U136" s="1082" t="inlineStr">
        <is>
          <t>20250702-01</t>
        </is>
      </c>
      <c r="V136" s="1789">
        <f>H136+45</f>
        <v/>
      </c>
      <c r="W136" s="1791" t="n">
        <v>150</v>
      </c>
      <c r="X136" s="1121" t="n">
        <v>45884</v>
      </c>
      <c r="Y136" s="1790">
        <f>Q136-W136</f>
        <v/>
      </c>
    </row>
    <row r="137">
      <c r="A137" s="1096" t="n">
        <v>137</v>
      </c>
      <c r="B137" s="1096">
        <f>IF(COUNTIF(E$2:E$273, D137)=0, "Missing in D", "")</f>
        <v/>
      </c>
      <c r="C137" s="1096">
        <f>IF(COUNTIF(D$2:D$273, E137)=0, "Missing in E", "")</f>
        <v/>
      </c>
      <c r="E137" s="1155" t="inlineStr">
        <is>
          <t>IIY#7198650770471ilF</t>
        </is>
      </c>
      <c r="F137" s="1155" t="inlineStr">
        <is>
          <t>Seat Booking Confirmed</t>
        </is>
      </c>
      <c r="G137" s="1155" t="inlineStr">
        <is>
          <t>Camera Courses For Beginners</t>
        </is>
      </c>
      <c r="H137" s="1787" t="inlineStr">
        <is>
          <t>02 Jul 2025</t>
        </is>
      </c>
      <c r="I137" s="1787" t="inlineStr">
        <is>
          <t>16 Jul 2025</t>
        </is>
      </c>
      <c r="J137" s="1157" t="inlineStr">
        <is>
          <t>19:00:00</t>
        </is>
      </c>
      <c r="K137" s="1157" t="inlineStr">
        <is>
          <t>21:00:00</t>
        </is>
      </c>
      <c r="L137" s="1155" t="inlineStr">
        <is>
          <t>Coventry|</t>
        </is>
      </c>
      <c r="M137" s="1155" t="inlineStr">
        <is>
          <t>Shashank Herle</t>
        </is>
      </c>
      <c r="N137" s="1155" t="inlineStr">
        <is>
          <t>sherle@jaguarlandrover.com</t>
        </is>
      </c>
      <c r="O137" s="1155" t="inlineStr">
        <is>
          <t>GBP</t>
        </is>
      </c>
      <c r="P137" s="1155" t="n"/>
      <c r="Q137" s="1788" t="n">
        <v>150</v>
      </c>
      <c r="S137" s="1121">
        <f>H137-12</f>
        <v/>
      </c>
      <c r="T137" s="1121" t="n">
        <v>45840</v>
      </c>
      <c r="U137" s="1082" t="inlineStr">
        <is>
          <t>20250702-01</t>
        </is>
      </c>
      <c r="V137" s="1789">
        <f>H137+45</f>
        <v/>
      </c>
      <c r="W137" s="1791" t="n">
        <v>150</v>
      </c>
      <c r="X137" s="1121" t="n">
        <v>45884</v>
      </c>
      <c r="Y137" s="1790">
        <f>Q137-W137</f>
        <v/>
      </c>
    </row>
    <row r="138">
      <c r="A138" s="1096" t="n">
        <v>138</v>
      </c>
      <c r="B138" s="1096">
        <f>IF(COUNTIF(E$2:E$273, D138)=0, "Missing in D", "")</f>
        <v/>
      </c>
      <c r="C138" s="1096">
        <f>IF(COUNTIF(D$2:D$273, E138)=0, "Missing in E", "")</f>
        <v/>
      </c>
      <c r="E138" s="1155" t="inlineStr">
        <is>
          <t>IIY#5621191922471ypm</t>
        </is>
      </c>
      <c r="F138" s="1155" t="inlineStr">
        <is>
          <t>Seat Booking Confirmed</t>
        </is>
      </c>
      <c r="G138" s="1155" t="inlineStr">
        <is>
          <t>Camera Courses For Beginners</t>
        </is>
      </c>
      <c r="H138" s="1787" t="inlineStr">
        <is>
          <t>02 Jul 2025</t>
        </is>
      </c>
      <c r="I138" s="1787" t="inlineStr">
        <is>
          <t>16 Jul 2025</t>
        </is>
      </c>
      <c r="J138" s="1157" t="inlineStr">
        <is>
          <t>19:00:00</t>
        </is>
      </c>
      <c r="K138" s="1157" t="inlineStr">
        <is>
          <t>21:00:00</t>
        </is>
      </c>
      <c r="L138" s="1155" t="inlineStr">
        <is>
          <t>Coventry|</t>
        </is>
      </c>
      <c r="M138" s="1155" t="inlineStr">
        <is>
          <t>Pradeep Gadag</t>
        </is>
      </c>
      <c r="N138" s="1155" t="inlineStr">
        <is>
          <t>pgadag2@jaguarlandrover.com</t>
        </is>
      </c>
      <c r="O138" s="1155" t="inlineStr">
        <is>
          <t>GBP</t>
        </is>
      </c>
      <c r="P138" s="1155" t="n"/>
      <c r="Q138" s="1788" t="n">
        <v>150</v>
      </c>
      <c r="S138" s="1121">
        <f>H138-12</f>
        <v/>
      </c>
      <c r="T138" s="1121" t="n">
        <v>45840</v>
      </c>
      <c r="U138" s="1082" t="inlineStr">
        <is>
          <t>20250702-01</t>
        </is>
      </c>
      <c r="V138" s="1789">
        <f>H138+45</f>
        <v/>
      </c>
      <c r="W138" s="1791" t="n">
        <v>150</v>
      </c>
      <c r="X138" s="1121" t="n">
        <v>45884</v>
      </c>
      <c r="Y138" s="1790">
        <f>Q138-W138</f>
        <v/>
      </c>
    </row>
    <row r="139">
      <c r="A139" s="1096" t="n">
        <v>139</v>
      </c>
      <c r="B139" s="1096">
        <f>IF(COUNTIF(E$2:E$273, D139)=0, "Missing in D", "")</f>
        <v/>
      </c>
      <c r="C139" s="1096">
        <f>IF(COUNTIF(D$2:D$273, E139)=0, "Missing in E", "")</f>
        <v/>
      </c>
      <c r="D139" s="1096" t="inlineStr">
        <is>
          <t>Last Review request</t>
        </is>
      </c>
      <c r="E139" s="1155" t="inlineStr">
        <is>
          <t>IIY#2113796132471ovn</t>
        </is>
      </c>
      <c r="F139" s="1155" t="inlineStr">
        <is>
          <t>Seat Booking Confirmed</t>
        </is>
      </c>
      <c r="G139" s="1155" t="inlineStr">
        <is>
          <t>Camera Courses For Beginners</t>
        </is>
      </c>
      <c r="H139" s="1787" t="inlineStr">
        <is>
          <t>02 Jul 2025</t>
        </is>
      </c>
      <c r="I139" s="1787" t="inlineStr">
        <is>
          <t>16 Jul 2025</t>
        </is>
      </c>
      <c r="J139" s="1157" t="inlineStr">
        <is>
          <t>19:00:00</t>
        </is>
      </c>
      <c r="K139" s="1157" t="inlineStr">
        <is>
          <t>21:00:00</t>
        </is>
      </c>
      <c r="L139" s="1155" t="inlineStr">
        <is>
          <t>Coventry|</t>
        </is>
      </c>
      <c r="M139" s="1155" t="inlineStr">
        <is>
          <t>Anna Higginson</t>
        </is>
      </c>
      <c r="N139" s="1155" t="inlineStr">
        <is>
          <t>ahiggi21@jaguarlandrover.com</t>
        </is>
      </c>
      <c r="O139" s="1155" t="inlineStr">
        <is>
          <t>GBP</t>
        </is>
      </c>
      <c r="P139" s="1155" t="n"/>
      <c r="Q139" s="1788" t="n">
        <v>150</v>
      </c>
      <c r="R139" s="1082" t="n">
        <v>1</v>
      </c>
      <c r="S139" s="1121">
        <f>H139-12</f>
        <v/>
      </c>
      <c r="T139" s="1121" t="n">
        <v>45840</v>
      </c>
      <c r="U139" s="1082" t="inlineStr">
        <is>
          <t>20250702-01</t>
        </is>
      </c>
      <c r="V139" s="1789">
        <f>H139+45</f>
        <v/>
      </c>
      <c r="W139" s="1791" t="n">
        <v>150</v>
      </c>
      <c r="X139" s="1121" t="n">
        <v>45884</v>
      </c>
      <c r="Y139" s="1790">
        <f>Q139-W139</f>
        <v/>
      </c>
    </row>
    <row r="140">
      <c r="A140" s="1096" t="n">
        <v>140</v>
      </c>
      <c r="B140" s="1096">
        <f>IF(COUNTIF(E$2:E$273, D140)=0, "Missing in D", "")</f>
        <v/>
      </c>
      <c r="C140" s="1096">
        <f>IF(COUNTIF(D$2:D$273, E140)=0, "Missing in E", "")</f>
        <v/>
      </c>
      <c r="E140" s="1155" t="inlineStr">
        <is>
          <t>IIY#1344999328371uqF</t>
        </is>
      </c>
      <c r="F140" s="1155" t="inlineStr">
        <is>
          <t>Seat Booking Confirmed</t>
        </is>
      </c>
      <c r="G140" s="1155" t="inlineStr">
        <is>
          <t>Garden Photography Workshop - Private Garden - Coventry</t>
        </is>
      </c>
      <c r="H140" s="1787" t="inlineStr">
        <is>
          <t>06 Jul 2025</t>
        </is>
      </c>
      <c r="I140" s="1787" t="inlineStr">
        <is>
          <t>06 Jul 2025</t>
        </is>
      </c>
      <c r="J140" s="1157" t="inlineStr">
        <is>
          <t>15:00:00</t>
        </is>
      </c>
      <c r="K140" s="1157" t="inlineStr">
        <is>
          <t>17:30:00</t>
        </is>
      </c>
      <c r="L140" s="1155" t="inlineStr">
        <is>
          <t>Coventry|</t>
        </is>
      </c>
      <c r="M140" s="1155" t="inlineStr">
        <is>
          <t>Gwyn Jones</t>
        </is>
      </c>
      <c r="N140" s="1155" t="inlineStr">
        <is>
          <t>gjones56@jaguarlandrover.com</t>
        </is>
      </c>
      <c r="O140" s="1155" t="inlineStr">
        <is>
          <t>GBP</t>
        </is>
      </c>
      <c r="P140" s="1155" t="n"/>
      <c r="Q140" s="1788" t="n">
        <v>35</v>
      </c>
      <c r="R140" s="1082" t="n">
        <v>1</v>
      </c>
      <c r="S140" s="1121">
        <f>H140-12</f>
        <v/>
      </c>
      <c r="T140" s="1121" t="n">
        <v>45844</v>
      </c>
      <c r="U140" s="1082" t="inlineStr">
        <is>
          <t>20250706-01</t>
        </is>
      </c>
      <c r="V140" s="1789">
        <f>H140+45</f>
        <v/>
      </c>
      <c r="W140" s="1791" t="n">
        <v>35</v>
      </c>
      <c r="X140" s="1121" t="n">
        <v>45884</v>
      </c>
      <c r="Y140" s="1790">
        <f>Q140-W140</f>
        <v/>
      </c>
    </row>
    <row r="141">
      <c r="A141" s="1096" t="n">
        <v>141</v>
      </c>
      <c r="B141" s="1096">
        <f>IF(COUNTIF(E$2:E$273, D141)=0, "Missing in D", "")</f>
        <v/>
      </c>
      <c r="C141" s="1096">
        <f>IF(COUNTIF(D$2:D$273, E141)=0, "Missing in E", "")</f>
        <v/>
      </c>
      <c r="E141" s="1155" t="inlineStr">
        <is>
          <t>IIY#2988327719371tFP</t>
        </is>
      </c>
      <c r="F141" s="1155" t="inlineStr">
        <is>
          <t>Seat Booking Confirmed</t>
        </is>
      </c>
      <c r="G141" s="1155" t="inlineStr">
        <is>
          <t>Garden Photography Workshop - Private Garden - Coventry</t>
        </is>
      </c>
      <c r="H141" s="1787" t="inlineStr">
        <is>
          <t>06 Jul 2025</t>
        </is>
      </c>
      <c r="I141" s="1787" t="inlineStr">
        <is>
          <t>06 Jul 2025</t>
        </is>
      </c>
      <c r="J141" s="1157" t="inlineStr">
        <is>
          <t>15:00:00</t>
        </is>
      </c>
      <c r="K141" s="1157" t="inlineStr">
        <is>
          <t>17:30:00</t>
        </is>
      </c>
      <c r="L141" s="1155" t="inlineStr">
        <is>
          <t>Coventry|</t>
        </is>
      </c>
      <c r="M141" s="1155" t="inlineStr">
        <is>
          <t>Edward Andrews</t>
        </is>
      </c>
      <c r="N141" s="1155" t="inlineStr">
        <is>
          <t>eandrew1@jaguarlandrover.com</t>
        </is>
      </c>
      <c r="O141" s="1155" t="inlineStr">
        <is>
          <t>GBP</t>
        </is>
      </c>
      <c r="P141" s="1155" t="n"/>
      <c r="Q141" s="1788" t="n">
        <v>35</v>
      </c>
      <c r="S141" s="1121">
        <f>H141-12</f>
        <v/>
      </c>
      <c r="T141" s="1121" t="n">
        <v>45844</v>
      </c>
      <c r="U141" s="1082" t="inlineStr">
        <is>
          <t>20250706-01</t>
        </is>
      </c>
      <c r="V141" s="1789">
        <f>H141+45</f>
        <v/>
      </c>
      <c r="W141" s="1791" t="n">
        <v>35</v>
      </c>
      <c r="X141" s="1121" t="n">
        <v>45884</v>
      </c>
      <c r="Y141" s="1790">
        <f>Q141-W141</f>
        <v/>
      </c>
    </row>
    <row r="142">
      <c r="A142" s="1096" t="n">
        <v>142</v>
      </c>
      <c r="B142" s="1096">
        <f>IF(COUNTIF(E$2:E$273, D142)=0, "Missing in D", "")</f>
        <v/>
      </c>
      <c r="C142" s="1096">
        <f>IF(COUNTIF(D$2:D$273, E142)=0, "Missing in E", "")</f>
        <v/>
      </c>
      <c r="E142" s="1155" t="inlineStr">
        <is>
          <t>IIY#7684720211471Vdu</t>
        </is>
      </c>
      <c r="F142" s="1155" t="inlineStr">
        <is>
          <t>Seat Booking Confirmed</t>
        </is>
      </c>
      <c r="G142" s="1155" t="inlineStr">
        <is>
          <t>Garden Photography Workshop - Private Garden - Coventry</t>
        </is>
      </c>
      <c r="H142" s="1787" t="inlineStr">
        <is>
          <t>06 Jul 2025</t>
        </is>
      </c>
      <c r="I142" s="1787" t="inlineStr">
        <is>
          <t>06 Jul 2025</t>
        </is>
      </c>
      <c r="J142" s="1157" t="inlineStr">
        <is>
          <t>15:00:00</t>
        </is>
      </c>
      <c r="K142" s="1157" t="inlineStr">
        <is>
          <t>17:30:00</t>
        </is>
      </c>
      <c r="L142" s="1155" t="inlineStr">
        <is>
          <t>Coventry|</t>
        </is>
      </c>
      <c r="M142" s="1155" t="inlineStr">
        <is>
          <t>Volkan Ayik</t>
        </is>
      </c>
      <c r="N142" s="1155" t="inlineStr">
        <is>
          <t>vayik@jaguarlandrover.com</t>
        </is>
      </c>
      <c r="O142" s="1155" t="inlineStr">
        <is>
          <t>GBP</t>
        </is>
      </c>
      <c r="P142" s="1155" t="n"/>
      <c r="Q142" s="1788" t="n">
        <v>35</v>
      </c>
      <c r="S142" s="1121">
        <f>H142-12</f>
        <v/>
      </c>
      <c r="T142" s="1121" t="n">
        <v>45844</v>
      </c>
      <c r="U142" s="1082" t="inlineStr">
        <is>
          <t>20250706-01</t>
        </is>
      </c>
      <c r="V142" s="1789">
        <f>H142+45</f>
        <v/>
      </c>
      <c r="W142" s="1791" t="n">
        <v>35</v>
      </c>
      <c r="X142" s="1121" t="n">
        <v>45884</v>
      </c>
      <c r="Y142" s="1790">
        <f>Q142-W142</f>
        <v/>
      </c>
    </row>
    <row r="143">
      <c r="A143" s="1096" t="n">
        <v>143</v>
      </c>
      <c r="B143" s="1096">
        <f>IF(COUNTIF(E$2:E$273, D143)=0, "Missing in D", "")</f>
        <v/>
      </c>
      <c r="C143" s="1096">
        <f>IF(COUNTIF(D$2:D$273, E143)=0, "Missing in E", "")</f>
        <v/>
      </c>
      <c r="E143" s="1155" t="inlineStr">
        <is>
          <t>IIY#8053961089371dJx</t>
        </is>
      </c>
      <c r="F143" s="1155" t="inlineStr">
        <is>
          <t>Seat Booking Confirmed</t>
        </is>
      </c>
      <c r="G143" s="1155" t="inlineStr">
        <is>
          <t>Long Exposure Photography Workshop - Burnham on Sea Sunset</t>
        </is>
      </c>
      <c r="H143" s="1787" t="inlineStr">
        <is>
          <t>12 Jul 2025</t>
        </is>
      </c>
      <c r="I143" s="1787" t="inlineStr">
        <is>
          <t>12 Jul 2025</t>
        </is>
      </c>
      <c r="J143" s="1157" t="inlineStr">
        <is>
          <t>18:15:00</t>
        </is>
      </c>
      <c r="K143" s="1157" t="inlineStr">
        <is>
          <t>20:45:00</t>
        </is>
      </c>
      <c r="L143" s="1155" t="inlineStr">
        <is>
          <t>Burnham on Sea|</t>
        </is>
      </c>
      <c r="M143" s="1155" t="inlineStr">
        <is>
          <t>Phil Page</t>
        </is>
      </c>
      <c r="N143" s="1155" t="inlineStr">
        <is>
          <t>ppage1@jaguarlandrover.com</t>
        </is>
      </c>
      <c r="O143" s="1155" t="inlineStr">
        <is>
          <t>GBP</t>
        </is>
      </c>
      <c r="P143" s="1155" t="n"/>
      <c r="Q143" s="1788" t="n">
        <v>95</v>
      </c>
      <c r="S143" s="1121">
        <f>H143-12</f>
        <v/>
      </c>
      <c r="T143" s="1121" t="n">
        <v>45850</v>
      </c>
      <c r="U143" s="1082" t="inlineStr">
        <is>
          <t>20250712-01</t>
        </is>
      </c>
      <c r="V143" s="1789">
        <f>H143+45</f>
        <v/>
      </c>
      <c r="W143" s="1791" t="n">
        <v>95</v>
      </c>
      <c r="X143" s="1121" t="n">
        <v>45891</v>
      </c>
      <c r="Y143" s="1790">
        <f>Q143-W143</f>
        <v/>
      </c>
    </row>
    <row r="144">
      <c r="A144" s="1096" t="n">
        <v>144</v>
      </c>
      <c r="B144" s="1096">
        <f>IF(COUNTIF(E$2:E$273, D144)=0, "Missing in D", "")</f>
        <v/>
      </c>
      <c r="C144" s="1096">
        <f>IF(COUNTIF(D$2:D$273, E144)=0, "Missing in E", "")</f>
        <v/>
      </c>
      <c r="E144" s="1155" t="inlineStr">
        <is>
          <t>IIY#7780039770471rma</t>
        </is>
      </c>
      <c r="F144" s="1155" t="inlineStr">
        <is>
          <t>Seat Booking Confirmed</t>
        </is>
      </c>
      <c r="G144" s="1155" t="inlineStr">
        <is>
          <t>Lavender Photography Workshop Gloucestershire at Sunset</t>
        </is>
      </c>
      <c r="H144" s="1787" t="inlineStr">
        <is>
          <t>26 Jul 2025</t>
        </is>
      </c>
      <c r="I144" s="1787" t="inlineStr">
        <is>
          <t>26 Jul 2025</t>
        </is>
      </c>
      <c r="J144" s="1157" t="inlineStr">
        <is>
          <t>17:10:00</t>
        </is>
      </c>
      <c r="K144" s="1157" t="inlineStr">
        <is>
          <t>20:30:00</t>
        </is>
      </c>
      <c r="L144" s="1155" t="inlineStr">
        <is>
          <t>Moreton In Marsh|</t>
        </is>
      </c>
      <c r="M144" s="1155" t="inlineStr">
        <is>
          <t>Laura Wood</t>
        </is>
      </c>
      <c r="N144" s="1155" t="inlineStr">
        <is>
          <t>lwood3@jaguarlandrover.com</t>
        </is>
      </c>
      <c r="O144" s="1155" t="inlineStr">
        <is>
          <t>GBP</t>
        </is>
      </c>
      <c r="P144" s="1155" t="n"/>
      <c r="Q144" s="1788" t="n">
        <v>150</v>
      </c>
      <c r="S144" s="1121">
        <f>H144-12</f>
        <v/>
      </c>
      <c r="T144" s="1121" t="n">
        <v>45864</v>
      </c>
      <c r="U144" s="1082" t="inlineStr">
        <is>
          <t>20250726-01</t>
        </is>
      </c>
      <c r="V144" s="1789">
        <f>H144+45</f>
        <v/>
      </c>
      <c r="W144" s="1791" t="n">
        <v>150</v>
      </c>
      <c r="X144" s="1121" t="n">
        <v>45906</v>
      </c>
      <c r="Y144" s="1790">
        <f>Q144-W144</f>
        <v/>
      </c>
    </row>
    <row r="145">
      <c r="A145" s="1096" t="n">
        <v>145</v>
      </c>
      <c r="B145" s="1096">
        <f>IF(COUNTIF(E$2:E$273, D145)=0, "Missing in D", "")</f>
        <v/>
      </c>
      <c r="C145" s="1096">
        <f>IF(COUNTIF(D$2:D$273, E145)=0, "Missing in E", "")</f>
        <v/>
      </c>
      <c r="E145" s="1155" t="inlineStr">
        <is>
          <t>IIY#0879679678371Efw</t>
        </is>
      </c>
      <c r="F145" s="1155" t="inlineStr">
        <is>
          <t>Seat Booking Confirmed</t>
        </is>
      </c>
      <c r="G145" s="1155" t="inlineStr">
        <is>
          <t>Lavender Photography Workshop Gloucestershire at Sunset</t>
        </is>
      </c>
      <c r="H145" s="1787" t="inlineStr">
        <is>
          <t>26 Jul 2025</t>
        </is>
      </c>
      <c r="I145" s="1787" t="inlineStr">
        <is>
          <t>26 Jul 2025</t>
        </is>
      </c>
      <c r="J145" s="1157" t="inlineStr">
        <is>
          <t>17:15:00</t>
        </is>
      </c>
      <c r="K145" s="1157" t="inlineStr">
        <is>
          <t>20:30:00</t>
        </is>
      </c>
      <c r="L145" s="1155" t="inlineStr">
        <is>
          <t>Moreton In Marsh|</t>
        </is>
      </c>
      <c r="M145" s="1155" t="inlineStr">
        <is>
          <t>Emily Goodwin</t>
        </is>
      </c>
      <c r="N145" s="1155" t="inlineStr">
        <is>
          <t>egoodwin@jaguarlandrover.com</t>
        </is>
      </c>
      <c r="O145" s="1155" t="inlineStr">
        <is>
          <t>GBP</t>
        </is>
      </c>
      <c r="P145" s="1155" t="n"/>
      <c r="Q145" s="1788" t="n">
        <v>150</v>
      </c>
      <c r="R145" s="1082" t="n">
        <v>1</v>
      </c>
      <c r="S145" s="1121">
        <f>H145-12</f>
        <v/>
      </c>
      <c r="T145" s="1121" t="n">
        <v>45864</v>
      </c>
      <c r="U145" s="1082" t="inlineStr">
        <is>
          <t>20250726-01</t>
        </is>
      </c>
      <c r="V145" s="1789">
        <f>H145+45</f>
        <v/>
      </c>
      <c r="W145" s="1791" t="n">
        <v>150</v>
      </c>
      <c r="X145" s="1121" t="n">
        <v>45906</v>
      </c>
      <c r="Y145" s="1790">
        <f>Q145-W145</f>
        <v/>
      </c>
    </row>
    <row r="146">
      <c r="A146" s="1096" t="n">
        <v>146</v>
      </c>
      <c r="B146" s="1096">
        <f>IF(COUNTIF(E$2:E$273, D146)=0, "Missing in D", "")</f>
        <v/>
      </c>
      <c r="C146" s="1096">
        <f>IF(COUNTIF(D$2:D$273, E146)=0, "Missing in E", "")</f>
        <v/>
      </c>
      <c r="E146" s="1155" t="inlineStr">
        <is>
          <t>IIY#77506642193714Zq</t>
        </is>
      </c>
      <c r="F146" s="1155" t="inlineStr">
        <is>
          <t>Seat Booking Confirmed</t>
        </is>
      </c>
      <c r="G146" s="1155" t="inlineStr">
        <is>
          <t>Lavender Photography Workshop Gloucestershire at Sunset</t>
        </is>
      </c>
      <c r="H146" s="1787" t="inlineStr">
        <is>
          <t>26 Jul 2025</t>
        </is>
      </c>
      <c r="I146" s="1787" t="inlineStr">
        <is>
          <t>26 Jul 2025</t>
        </is>
      </c>
      <c r="J146" s="1157" t="inlineStr">
        <is>
          <t>17:15:00</t>
        </is>
      </c>
      <c r="K146" s="1157" t="inlineStr">
        <is>
          <t>20:30:00</t>
        </is>
      </c>
      <c r="L146" s="1155" t="inlineStr">
        <is>
          <t>Moreton In Marsh|</t>
        </is>
      </c>
      <c r="M146" s="1155" t="inlineStr">
        <is>
          <t>Miles Pixley</t>
        </is>
      </c>
      <c r="N146" s="1155" t="inlineStr">
        <is>
          <t>mpixley@jaguarlandrover.com</t>
        </is>
      </c>
      <c r="O146" s="1155" t="inlineStr">
        <is>
          <t>GBP</t>
        </is>
      </c>
      <c r="P146" s="1155" t="n"/>
      <c r="Q146" s="1788" t="n">
        <v>150</v>
      </c>
      <c r="S146" s="1121">
        <f>H146-12</f>
        <v/>
      </c>
      <c r="T146" s="1121" t="n">
        <v>45864</v>
      </c>
      <c r="U146" s="1082" t="inlineStr">
        <is>
          <t>20250726-01</t>
        </is>
      </c>
      <c r="V146" s="1789">
        <f>H146+45</f>
        <v/>
      </c>
      <c r="W146" s="1791" t="n">
        <v>150</v>
      </c>
      <c r="X146" s="1121" t="n">
        <v>45906</v>
      </c>
      <c r="Y146" s="1790">
        <f>Q146-W146</f>
        <v/>
      </c>
    </row>
    <row r="147">
      <c r="A147" s="1096" t="n">
        <v>147</v>
      </c>
      <c r="B147" s="1096">
        <f>IF(COUNTIF(E$2:E$273, D147)=0, "Missing in D", "")</f>
        <v/>
      </c>
      <c r="C147" s="1096">
        <f>IF(COUNTIF(D$2:D$273, E147)=0, "Missing in E", "")</f>
        <v/>
      </c>
      <c r="E147" s="1155" t="inlineStr">
        <is>
          <t>IIY#8952708990471IZP</t>
        </is>
      </c>
      <c r="F147" s="1155" t="inlineStr">
        <is>
          <t>Seat Booking Confirmed</t>
        </is>
      </c>
      <c r="G147" s="1155" t="inlineStr">
        <is>
          <t>Lavender Photography Workshop Gloucestershire at Sunset</t>
        </is>
      </c>
      <c r="H147" s="1787" t="inlineStr">
        <is>
          <t>26 Jul 2025</t>
        </is>
      </c>
      <c r="I147" s="1787" t="inlineStr">
        <is>
          <t>26 Jul 2025</t>
        </is>
      </c>
      <c r="J147" s="1157" t="inlineStr">
        <is>
          <t>17:15:00</t>
        </is>
      </c>
      <c r="K147" s="1157" t="inlineStr">
        <is>
          <t>20:30:00</t>
        </is>
      </c>
      <c r="L147" s="1155" t="inlineStr">
        <is>
          <t>Moreton In Marsh|</t>
        </is>
      </c>
      <c r="M147" s="1155" t="inlineStr">
        <is>
          <t>Brian Edmonds</t>
        </is>
      </c>
      <c r="N147" s="1155" t="inlineStr">
        <is>
          <t>bedmon12@jaguarlandrover.com</t>
        </is>
      </c>
      <c r="O147" s="1155" t="inlineStr">
        <is>
          <t>GBP</t>
        </is>
      </c>
      <c r="P147" s="1155" t="n"/>
      <c r="Q147" s="1788" t="n">
        <v>150</v>
      </c>
      <c r="R147" s="1082" t="n">
        <v>1</v>
      </c>
      <c r="S147" s="1121">
        <f>H147-12</f>
        <v/>
      </c>
      <c r="T147" s="1121" t="n">
        <v>45864</v>
      </c>
      <c r="U147" s="1082" t="inlineStr">
        <is>
          <t>20250726-01</t>
        </is>
      </c>
      <c r="V147" s="1789">
        <f>H147+45</f>
        <v/>
      </c>
      <c r="W147" s="1791" t="n">
        <v>150</v>
      </c>
      <c r="X147" s="1121" t="n">
        <v>45906</v>
      </c>
      <c r="Y147" s="1790">
        <f>Q147-W147</f>
        <v/>
      </c>
    </row>
    <row r="148">
      <c r="A148" s="1096" t="n">
        <v>148</v>
      </c>
      <c r="B148" s="1096">
        <f>IF(COUNTIF(E$2:E$273, D148)=0, "Missing in D", "")</f>
        <v/>
      </c>
      <c r="C148" s="1096">
        <f>IF(COUNTIF(D$2:D$273, E148)=0, "Missing in E", "")</f>
        <v/>
      </c>
      <c r="E148" s="1155" t="inlineStr">
        <is>
          <t>IIY#7065645061471Odp</t>
        </is>
      </c>
      <c r="F148" s="1155" t="inlineStr">
        <is>
          <t>Seat Booking Confirmed</t>
        </is>
      </c>
      <c r="G148" s="1155" t="inlineStr">
        <is>
          <t>Lavender Photography Workshop Gloucestershire at Sunset</t>
        </is>
      </c>
      <c r="H148" s="1787" t="inlineStr">
        <is>
          <t>26 Jul 2025</t>
        </is>
      </c>
      <c r="I148" s="1787" t="inlineStr">
        <is>
          <t>26 Jul 2025</t>
        </is>
      </c>
      <c r="J148" s="1157" t="inlineStr">
        <is>
          <t>17:15:00</t>
        </is>
      </c>
      <c r="K148" s="1157" t="inlineStr">
        <is>
          <t>20:30:00</t>
        </is>
      </c>
      <c r="L148" s="1155" t="inlineStr">
        <is>
          <t>Moreton In Marsh|</t>
        </is>
      </c>
      <c r="M148" s="1155" t="inlineStr">
        <is>
          <t>Andrew Nelson</t>
        </is>
      </c>
      <c r="N148" s="1155" t="inlineStr">
        <is>
          <t>anelson9@jaguarlandrover.com</t>
        </is>
      </c>
      <c r="O148" s="1155" t="inlineStr">
        <is>
          <t>GBP</t>
        </is>
      </c>
      <c r="P148" s="1155" t="n"/>
      <c r="Q148" s="1788" t="n">
        <v>150</v>
      </c>
      <c r="S148" s="1121">
        <f>H148-12</f>
        <v/>
      </c>
      <c r="T148" s="1121" t="n">
        <v>45864</v>
      </c>
      <c r="U148" s="1082" t="inlineStr">
        <is>
          <t>20250726-01</t>
        </is>
      </c>
      <c r="V148" s="1789">
        <f>H148+45</f>
        <v/>
      </c>
      <c r="W148" s="1791" t="n">
        <v>150</v>
      </c>
      <c r="X148" s="1121" t="n">
        <v>45906</v>
      </c>
      <c r="Y148" s="1790">
        <f>Q148-W148</f>
        <v/>
      </c>
    </row>
    <row r="149">
      <c r="A149" s="1096" t="n">
        <v>149</v>
      </c>
      <c r="B149" s="1096">
        <f>IF(COUNTIF(E$2:E$273, D149)=0, "Missing in D", "")</f>
        <v/>
      </c>
      <c r="C149" s="1096">
        <f>IF(COUNTIF(D$2:D$273, E149)=0, "Missing in E", "")</f>
        <v/>
      </c>
      <c r="E149" s="1155" t="inlineStr">
        <is>
          <t>IIY#8468137971471Sbv</t>
        </is>
      </c>
      <c r="F149" s="1155" t="inlineStr">
        <is>
          <t>Seat Booking Confirmed</t>
        </is>
      </c>
      <c r="G149" s="1155" t="inlineStr">
        <is>
          <t>Lavender Photography Workshop Gloucestershire at Sunset</t>
        </is>
      </c>
      <c r="H149" s="1787" t="inlineStr">
        <is>
          <t>26 Jul 2025</t>
        </is>
      </c>
      <c r="I149" s="1787" t="inlineStr">
        <is>
          <t>26 Jul 2025</t>
        </is>
      </c>
      <c r="J149" s="1157" t="inlineStr">
        <is>
          <t>17:15:00</t>
        </is>
      </c>
      <c r="K149" s="1157" t="inlineStr">
        <is>
          <t>20:30:00</t>
        </is>
      </c>
      <c r="L149" s="1155" t="inlineStr">
        <is>
          <t>Moreton In Marsh|</t>
        </is>
      </c>
      <c r="M149" s="1155" t="inlineStr">
        <is>
          <t>Gregory Morgan</t>
        </is>
      </c>
      <c r="N149" s="1155" t="inlineStr">
        <is>
          <t>gmorga28@jaguarlandrover.com</t>
        </is>
      </c>
      <c r="O149" s="1155" t="inlineStr">
        <is>
          <t>GBP</t>
        </is>
      </c>
      <c r="P149" s="1155" t="n"/>
      <c r="Q149" s="1788" t="n">
        <v>150</v>
      </c>
      <c r="S149" s="1121">
        <f>H149-12</f>
        <v/>
      </c>
      <c r="T149" s="1121" t="n">
        <v>45864</v>
      </c>
      <c r="U149" s="1082" t="inlineStr">
        <is>
          <t>20250726-01</t>
        </is>
      </c>
      <c r="V149" s="1789">
        <f>H149+45</f>
        <v/>
      </c>
      <c r="W149" s="1791" t="n">
        <v>150</v>
      </c>
      <c r="X149" s="1121" t="n">
        <v>45906</v>
      </c>
      <c r="Y149" s="1790">
        <f>Q149-W149</f>
        <v/>
      </c>
    </row>
    <row r="150">
      <c r="A150" s="1096" t="n">
        <v>150</v>
      </c>
      <c r="B150" s="1096">
        <f>IF(COUNTIF(E$2:E$273, D150)=0, "Missing in D", "")</f>
        <v/>
      </c>
      <c r="C150" s="1096">
        <f>IF(COUNTIF(D$2:D$273, E150)=0, "Missing in E", "")</f>
        <v/>
      </c>
      <c r="E150" s="1155" t="inlineStr">
        <is>
          <t>IIY#8902050543471mkd</t>
        </is>
      </c>
      <c r="F150" s="1155" t="inlineStr">
        <is>
          <t>Seat Booking Confirmed</t>
        </is>
      </c>
      <c r="G150" s="1155" t="inlineStr">
        <is>
          <t>Lavender Photography Workshop Gloucestershire at Sunset</t>
        </is>
      </c>
      <c r="H150" s="1787" t="inlineStr">
        <is>
          <t>26 Jul 2025</t>
        </is>
      </c>
      <c r="I150" s="1787" t="inlineStr">
        <is>
          <t>26 Jul 2025</t>
        </is>
      </c>
      <c r="J150" s="1157" t="inlineStr">
        <is>
          <t>17:15:00</t>
        </is>
      </c>
      <c r="K150" s="1157" t="inlineStr">
        <is>
          <t>20:30:00</t>
        </is>
      </c>
      <c r="L150" s="1155" t="inlineStr">
        <is>
          <t>Moreton In Marsh|</t>
        </is>
      </c>
      <c r="M150" s="1155" t="inlineStr">
        <is>
          <t>Sophie Deeley</t>
        </is>
      </c>
      <c r="N150" s="1155" t="inlineStr">
        <is>
          <t>sdeeley3@jaguarlandrover.com</t>
        </is>
      </c>
      <c r="O150" s="1155" t="inlineStr">
        <is>
          <t>GBP</t>
        </is>
      </c>
      <c r="P150" s="1155" t="n"/>
      <c r="Q150" s="1791" t="n">
        <v>150</v>
      </c>
      <c r="S150" s="1121">
        <f>H150-12</f>
        <v/>
      </c>
      <c r="T150" s="1121" t="n">
        <v>45864</v>
      </c>
      <c r="U150" s="1082" t="inlineStr">
        <is>
          <t>20250726-01</t>
        </is>
      </c>
      <c r="V150" s="1789">
        <f>H150+45</f>
        <v/>
      </c>
      <c r="W150" s="1791" t="n">
        <v>150</v>
      </c>
      <c r="X150" s="1121" t="n">
        <v>45906</v>
      </c>
      <c r="Y150" s="1790">
        <f>Q150-W150</f>
        <v/>
      </c>
    </row>
    <row r="151">
      <c r="A151" s="1096" t="n">
        <v>151</v>
      </c>
      <c r="B151" s="1096">
        <f>IF(COUNTIF(E$2:E$273, D151)=0, "Missing in D", "")</f>
        <v/>
      </c>
      <c r="C151" s="1096">
        <f>IF(COUNTIF(D$2:D$273, E151)=0, "Missing in E", "")</f>
        <v/>
      </c>
      <c r="E151" s="1155" t="inlineStr">
        <is>
          <t>IIY#7483762903471NB9</t>
        </is>
      </c>
      <c r="F151" s="1155" t="inlineStr">
        <is>
          <t>Seat Booking Confirmed</t>
        </is>
      </c>
      <c r="G151" s="1155" t="inlineStr">
        <is>
          <t>Peak District Photography Workshops - Heathers</t>
        </is>
      </c>
      <c r="H151" s="1787" t="inlineStr">
        <is>
          <t>16 Aug 2025</t>
        </is>
      </c>
      <c r="I151" s="1787" t="inlineStr">
        <is>
          <t>16 Aug 2025</t>
        </is>
      </c>
      <c r="J151" s="1157" t="inlineStr">
        <is>
          <t>18:00:00</t>
        </is>
      </c>
      <c r="K151" s="1157" t="inlineStr">
        <is>
          <t>21:30:00</t>
        </is>
      </c>
      <c r="L151" s="1155" t="inlineStr">
        <is>
          <t>Grindleford|</t>
        </is>
      </c>
      <c r="M151" s="1155" t="inlineStr">
        <is>
          <t>Neil Morley</t>
        </is>
      </c>
      <c r="N151" s="1155" t="inlineStr">
        <is>
          <t>nmorley1@jaguarlandrover.com</t>
        </is>
      </c>
      <c r="O151" s="1155" t="inlineStr">
        <is>
          <t>GBP</t>
        </is>
      </c>
      <c r="P151" s="1155" t="n"/>
      <c r="Q151" s="1791" t="n">
        <v>125</v>
      </c>
      <c r="S151" s="1121">
        <f>H151-12</f>
        <v/>
      </c>
      <c r="T151" s="1121" t="n">
        <v>45886</v>
      </c>
      <c r="U151" s="1082" t="inlineStr">
        <is>
          <t>20250817-01</t>
        </is>
      </c>
      <c r="V151" s="1789">
        <f>H151+45</f>
        <v/>
      </c>
      <c r="W151" s="1788" t="n">
        <v>125</v>
      </c>
      <c r="X151" s="1121" t="n">
        <v>45926</v>
      </c>
      <c r="Y151" s="1790">
        <f>Q151-W151</f>
        <v/>
      </c>
    </row>
    <row r="152">
      <c r="A152" s="1096" t="n">
        <v>152</v>
      </c>
      <c r="B152" s="1096">
        <f>IF(COUNTIF(E$2:E$273, D152)=0, "Missing in D", "")</f>
        <v/>
      </c>
      <c r="C152" s="1096">
        <f>IF(COUNTIF(D$2:D$273, E152)=0, "Missing in E", "")</f>
        <v/>
      </c>
      <c r="E152" s="1155" t="inlineStr">
        <is>
          <t>IIY#7700160724471FXW</t>
        </is>
      </c>
      <c r="F152" s="1155" t="inlineStr">
        <is>
          <t>Seat Booking Confirmed</t>
        </is>
      </c>
      <c r="G152" s="1155" t="inlineStr">
        <is>
          <t>Peak District Photography Workshops - Heathers</t>
        </is>
      </c>
      <c r="H152" s="1787" t="inlineStr">
        <is>
          <t>17 Aug 2025</t>
        </is>
      </c>
      <c r="I152" s="1787" t="inlineStr">
        <is>
          <t>17 Aug 2025</t>
        </is>
      </c>
      <c r="J152" s="1157" t="inlineStr">
        <is>
          <t>05:15:00</t>
        </is>
      </c>
      <c r="K152" s="1157" t="inlineStr">
        <is>
          <t>09:30:00</t>
        </is>
      </c>
      <c r="L152" s="1155" t="inlineStr">
        <is>
          <t>Grindleford|</t>
        </is>
      </c>
      <c r="M152" s="1155" t="inlineStr">
        <is>
          <t>Joanne Tapp</t>
        </is>
      </c>
      <c r="N152" s="1155" t="inlineStr">
        <is>
          <t>jtapp2@jaguarlandrover.com</t>
        </is>
      </c>
      <c r="O152" s="1155" t="inlineStr">
        <is>
          <t>GBP</t>
        </is>
      </c>
      <c r="P152" s="1155" t="n"/>
      <c r="Q152" s="1791" t="n">
        <v>125</v>
      </c>
      <c r="S152" s="1121">
        <f>H152-12</f>
        <v/>
      </c>
      <c r="T152" s="1121" t="n">
        <v>45886</v>
      </c>
      <c r="U152" s="1082" t="inlineStr">
        <is>
          <t>20250817-01</t>
        </is>
      </c>
      <c r="V152" s="1789">
        <f>H152+45</f>
        <v/>
      </c>
      <c r="W152" s="1788" t="n">
        <v>125</v>
      </c>
      <c r="X152" s="1121" t="n">
        <v>45926</v>
      </c>
      <c r="Y152" s="1790">
        <f>Q152-W152</f>
        <v/>
      </c>
    </row>
    <row r="153">
      <c r="A153" s="1096" t="n">
        <v>153</v>
      </c>
      <c r="B153" s="1096">
        <f>IF(COUNTIF(E$2:E$273, D153)=0, "Missing in D", "")</f>
        <v/>
      </c>
      <c r="C153" s="1096">
        <f>IF(COUNTIF(D$2:D$273, E153)=0, "Missing in E", "")</f>
        <v/>
      </c>
      <c r="E153" s="1155" t="inlineStr">
        <is>
          <t>IIY#7889097803471wFx</t>
        </is>
      </c>
      <c r="F153" s="1155" t="inlineStr">
        <is>
          <t>Seat Booking Confirmed</t>
        </is>
      </c>
      <c r="G153" s="1155" t="inlineStr">
        <is>
          <t>Long Exposure Photography Workshop - Sunset - Kenilworth</t>
        </is>
      </c>
      <c r="H153" s="1787" t="inlineStr">
        <is>
          <t>28 Aug 2025</t>
        </is>
      </c>
      <c r="I153" s="1787" t="inlineStr">
        <is>
          <t>28 Aug 2025</t>
        </is>
      </c>
      <c r="J153" s="1157" t="inlineStr">
        <is>
          <t>18:15:00</t>
        </is>
      </c>
      <c r="K153" s="1157" t="inlineStr">
        <is>
          <t>20:45:00</t>
        </is>
      </c>
      <c r="L153" s="1155" t="inlineStr">
        <is>
          <t>Kenilworth|</t>
        </is>
      </c>
      <c r="M153" s="1155" t="inlineStr">
        <is>
          <t>Thomas Startin</t>
        </is>
      </c>
      <c r="N153" s="1155" t="inlineStr">
        <is>
          <t>tstartin@jaguarlandrover.com</t>
        </is>
      </c>
      <c r="O153" s="1155" t="inlineStr">
        <is>
          <t>GBP</t>
        </is>
      </c>
      <c r="P153" s="1155" t="n"/>
      <c r="Q153" s="1791" t="n">
        <v>50</v>
      </c>
      <c r="S153" s="1121">
        <f>H153-12</f>
        <v/>
      </c>
      <c r="T153" s="1121" t="n">
        <v>45897</v>
      </c>
      <c r="U153" s="1082" t="inlineStr">
        <is>
          <t>20250828-01</t>
        </is>
      </c>
      <c r="V153" s="1789">
        <f>H153+45</f>
        <v/>
      </c>
      <c r="W153" s="1788" t="n">
        <v>50</v>
      </c>
      <c r="X153" s="1121" t="n">
        <v>45933</v>
      </c>
      <c r="Y153" s="1790">
        <f>Q153-W153</f>
        <v/>
      </c>
    </row>
    <row r="154">
      <c r="A154" s="1096" t="n">
        <v>154</v>
      </c>
      <c r="B154" s="1096">
        <f>IF(COUNTIF(E$2:E$273, D154)=0, "Missing in D", "")</f>
        <v/>
      </c>
      <c r="C154" s="1096">
        <f>IF(COUNTIF(D$2:D$273, E154)=0, "Missing in E", "")</f>
        <v/>
      </c>
      <c r="E154" s="1155" t="inlineStr">
        <is>
          <t>IIY#4458074143471XIS</t>
        </is>
      </c>
      <c r="F154" s="1155" t="inlineStr">
        <is>
          <t>Seat Booking Confirmed</t>
        </is>
      </c>
      <c r="G154" s="1155" t="inlineStr">
        <is>
          <t>Long Exposure Photography Workshop - Sunset - Kenilworth</t>
        </is>
      </c>
      <c r="H154" s="1787" t="n">
        <v>45897</v>
      </c>
      <c r="I154" s="1787" t="n">
        <v>45897</v>
      </c>
      <c r="J154" s="1157" t="n">
        <v>0.7604166666666666</v>
      </c>
      <c r="K154" s="1157" t="n">
        <v>0.8645833333333334</v>
      </c>
      <c r="L154" s="1155" t="inlineStr">
        <is>
          <t>Kenilworth|</t>
        </is>
      </c>
      <c r="M154" s="1155" t="inlineStr">
        <is>
          <t>Roxana Mutu</t>
        </is>
      </c>
      <c r="N154" s="1155" t="inlineStr">
        <is>
          <t>rmutu1@jaguarlandrover.com</t>
        </is>
      </c>
      <c r="O154" s="1155" t="inlineStr">
        <is>
          <t>GBP</t>
        </is>
      </c>
      <c r="P154" s="1155" t="n"/>
      <c r="Q154" s="1791" t="n">
        <v>50</v>
      </c>
      <c r="S154" s="1121">
        <f>H154-12</f>
        <v/>
      </c>
      <c r="T154" s="1121" t="n">
        <v>45897</v>
      </c>
      <c r="U154" s="1082" t="inlineStr">
        <is>
          <t>20250828-01</t>
        </is>
      </c>
      <c r="V154" s="1789">
        <f>H154+45</f>
        <v/>
      </c>
      <c r="W154" s="1788" t="n">
        <v>50</v>
      </c>
      <c r="X154" s="1121" t="n">
        <v>45933</v>
      </c>
      <c r="Y154" s="1790">
        <f>Q154-W154</f>
        <v/>
      </c>
    </row>
    <row r="155">
      <c r="A155" s="1096" t="n">
        <v>155</v>
      </c>
      <c r="B155" s="1096">
        <f>IF(COUNTIF(E$2:E$273, D155)=0, "Missing in D", "")</f>
        <v/>
      </c>
      <c r="C155" s="1096">
        <f>IF(COUNTIF(D$2:D$273, E155)=0, "Missing in E", "")</f>
        <v/>
      </c>
      <c r="E155" s="1155" t="inlineStr">
        <is>
          <t>IIY#8268734733471APq</t>
        </is>
      </c>
      <c r="F155" s="1155" t="inlineStr">
        <is>
          <t>Seat Booking Confirmed</t>
        </is>
      </c>
      <c r="G155" s="1155" t="inlineStr">
        <is>
          <t>Long Exposure Photography Workshop - Sunset - Kenilworth</t>
        </is>
      </c>
      <c r="H155" s="1787" t="n">
        <v>45897</v>
      </c>
      <c r="I155" s="1787" t="n">
        <v>45897</v>
      </c>
      <c r="J155" s="1157" t="n">
        <v>0.7708333333333334</v>
      </c>
      <c r="K155" s="1157" t="n">
        <v>0.875</v>
      </c>
      <c r="L155" s="1155" t="inlineStr">
        <is>
          <t>Kenilworth|</t>
        </is>
      </c>
      <c r="M155" s="1155" t="inlineStr">
        <is>
          <t>Naveen Prakash Karuppaiah</t>
        </is>
      </c>
      <c r="N155" s="1155" t="inlineStr">
        <is>
          <t>nkarupp2@jaguarlandrover.com</t>
        </is>
      </c>
      <c r="O155" s="1155" t="inlineStr">
        <is>
          <t>GBP</t>
        </is>
      </c>
      <c r="P155" s="1155" t="n"/>
      <c r="Q155" s="1791" t="n">
        <v>50</v>
      </c>
      <c r="S155" s="1121">
        <f>H155-12</f>
        <v/>
      </c>
      <c r="T155" s="1121" t="n">
        <v>45897</v>
      </c>
      <c r="U155" s="1082" t="inlineStr">
        <is>
          <t>20250828-01</t>
        </is>
      </c>
      <c r="V155" s="1789">
        <f>H155+45</f>
        <v/>
      </c>
      <c r="W155" s="1788" t="n">
        <v>50</v>
      </c>
      <c r="X155" s="1121" t="n">
        <v>45933</v>
      </c>
      <c r="Y155" s="1790">
        <f>Q155-W155</f>
        <v/>
      </c>
    </row>
    <row r="156">
      <c r="A156" s="1096" t="n">
        <v>156</v>
      </c>
      <c r="B156" s="1096">
        <f>IF(COUNTIF(E$2:E$273, D156)=0, "Missing in D", "")</f>
        <v/>
      </c>
      <c r="C156" s="1096">
        <f>IF(COUNTIF(D$2:D$273, E156)=0, "Missing in E", "")</f>
        <v/>
      </c>
      <c r="E156" s="1155" t="inlineStr">
        <is>
          <t>IIY#5290088443471Nqs</t>
        </is>
      </c>
      <c r="F156" s="1155" t="inlineStr">
        <is>
          <t>Seat Booking Confirmed</t>
        </is>
      </c>
      <c r="G156" s="1155" t="inlineStr">
        <is>
          <t>The Secrets of Woodland Photography - 1-Day Masterclass</t>
        </is>
      </c>
      <c r="H156" s="1787" t="inlineStr">
        <is>
          <t>31 Aug 2025</t>
        </is>
      </c>
      <c r="I156" s="1787" t="inlineStr">
        <is>
          <t>31 Aug 2025</t>
        </is>
      </c>
      <c r="J156" s="1157" t="inlineStr">
        <is>
          <t>10:00:00</t>
        </is>
      </c>
      <c r="K156" s="1157" t="inlineStr">
        <is>
          <t>16:00:00</t>
        </is>
      </c>
      <c r="L156" s="1155" t="inlineStr">
        <is>
          <t>Coventry|</t>
        </is>
      </c>
      <c r="M156" s="1155" t="inlineStr">
        <is>
          <t>Anant Bhatia</t>
        </is>
      </c>
      <c r="N156" s="1155" t="inlineStr">
        <is>
          <t>abhatia4@jaguarlandrover.com</t>
        </is>
      </c>
      <c r="O156" s="1155" t="inlineStr">
        <is>
          <t>GBP</t>
        </is>
      </c>
      <c r="P156" s="1155" t="n"/>
      <c r="Q156" s="1791" t="n">
        <v>125</v>
      </c>
      <c r="S156" s="1121">
        <f>H156-12</f>
        <v/>
      </c>
      <c r="T156" s="1121" t="n">
        <v>45900</v>
      </c>
      <c r="U156" s="1082" t="inlineStr">
        <is>
          <t>20250831-01</t>
        </is>
      </c>
      <c r="V156" s="1789">
        <f>H156+45</f>
        <v/>
      </c>
      <c r="W156" s="1788" t="n">
        <v>125</v>
      </c>
      <c r="X156" s="1121" t="n">
        <v>45974</v>
      </c>
      <c r="Y156" s="1790">
        <f>Q156-W156</f>
        <v/>
      </c>
    </row>
    <row r="157">
      <c r="A157" s="1096" t="n">
        <v>157</v>
      </c>
      <c r="B157" s="1096">
        <f>IF(COUNTIF(E$2:E$273, D157)=0, "Missing in D", "")</f>
        <v/>
      </c>
      <c r="C157" s="1096">
        <f>IF(COUNTIF(D$2:D$273, E157)=0, "Missing in E", "")</f>
        <v/>
      </c>
      <c r="E157" s="1155" t="inlineStr">
        <is>
          <t>IIY#3200851700471DL3</t>
        </is>
      </c>
      <c r="F157" s="1155" t="inlineStr">
        <is>
          <t>Seat Booking Confirmed</t>
        </is>
      </c>
      <c r="G157" s="1155" t="inlineStr">
        <is>
          <t>Photo Editing Classes - Lightroom Classic</t>
        </is>
      </c>
      <c r="H157" s="1787" t="inlineStr">
        <is>
          <t>03 Sep 2025</t>
        </is>
      </c>
      <c r="I157" s="1787" t="inlineStr">
        <is>
          <t>17 Sep 2025</t>
        </is>
      </c>
      <c r="J157" s="1157" t="inlineStr">
        <is>
          <t>19:00:00</t>
        </is>
      </c>
      <c r="K157" s="1157" t="inlineStr">
        <is>
          <t>21:00:00</t>
        </is>
      </c>
      <c r="L157" s="1155" t="inlineStr">
        <is>
          <t>Coventry|</t>
        </is>
      </c>
      <c r="M157" s="1155" t="inlineStr">
        <is>
          <t>Paul Ebosele</t>
        </is>
      </c>
      <c r="N157" s="1155" t="inlineStr">
        <is>
          <t>pebosel1@jaguarlandrover.com</t>
        </is>
      </c>
      <c r="O157" s="1155" t="inlineStr">
        <is>
          <t>GBP</t>
        </is>
      </c>
      <c r="P157" s="1155" t="n"/>
      <c r="Q157" s="1788" t="n">
        <v>150</v>
      </c>
      <c r="S157" s="1121">
        <f>H157-12</f>
        <v/>
      </c>
      <c r="T157" s="1121" t="n">
        <v>45903</v>
      </c>
      <c r="U157" s="1082" t="inlineStr">
        <is>
          <t>20250903-01</t>
        </is>
      </c>
      <c r="V157" s="1789">
        <f>H157+45</f>
        <v/>
      </c>
      <c r="W157" s="1788" t="n">
        <v>150</v>
      </c>
      <c r="X157" s="1121" t="n">
        <v>45974</v>
      </c>
      <c r="Y157" s="1790">
        <f>Q157-W157</f>
        <v/>
      </c>
    </row>
    <row r="158">
      <c r="A158" s="1096" t="n">
        <v>158</v>
      </c>
      <c r="B158" s="1096">
        <f>IF(COUNTIF(E$2:E$273, D158)=0, "Missing in D", "")</f>
        <v/>
      </c>
      <c r="C158" s="1096">
        <f>IF(COUNTIF(D$2:D$273, E158)=0, "Missing in E", "")</f>
        <v/>
      </c>
      <c r="E158" s="1155" t="inlineStr">
        <is>
          <t>IIY#8224552124471WYa</t>
        </is>
      </c>
      <c r="F158" s="1155" t="inlineStr">
        <is>
          <t>Seat Booking Confirmed</t>
        </is>
      </c>
      <c r="G158" s="1155" t="inlineStr">
        <is>
          <t>Photo Editing Classes - Lightroom Classic</t>
        </is>
      </c>
      <c r="H158" s="1787" t="inlineStr">
        <is>
          <t>03 Sep 2025</t>
        </is>
      </c>
      <c r="I158" s="1787" t="inlineStr">
        <is>
          <t>17 Sep 2025</t>
        </is>
      </c>
      <c r="J158" s="1157" t="inlineStr">
        <is>
          <t>19:00:00</t>
        </is>
      </c>
      <c r="K158" s="1157" t="inlineStr">
        <is>
          <t>21:00:00</t>
        </is>
      </c>
      <c r="L158" s="1155" t="inlineStr">
        <is>
          <t>Coventry|</t>
        </is>
      </c>
      <c r="M158" s="1155" t="inlineStr">
        <is>
          <t>Blessent George</t>
        </is>
      </c>
      <c r="N158" s="1155" t="inlineStr">
        <is>
          <t>bgeorge4@jaguarlandrover.com</t>
        </is>
      </c>
      <c r="O158" s="1155" t="inlineStr">
        <is>
          <t>GBP</t>
        </is>
      </c>
      <c r="P158" s="1155" t="n"/>
      <c r="Q158" s="1791" t="n">
        <v>150</v>
      </c>
      <c r="S158" s="1121">
        <f>H158-12</f>
        <v/>
      </c>
      <c r="T158" s="1121" t="n">
        <v>45903</v>
      </c>
      <c r="U158" s="1082" t="inlineStr">
        <is>
          <t>20250903-01</t>
        </is>
      </c>
      <c r="V158" s="1789">
        <f>H158+45</f>
        <v/>
      </c>
      <c r="W158" s="1788" t="n">
        <v>150</v>
      </c>
      <c r="X158" s="1121" t="n">
        <v>45974</v>
      </c>
      <c r="Y158" s="1790">
        <f>Q158-W158</f>
        <v/>
      </c>
    </row>
    <row r="159">
      <c r="A159" s="1096" t="n">
        <v>159</v>
      </c>
      <c r="B159" s="1096">
        <f>IF(COUNTIF(E$2:E$273, D159)=0, "Missing in D", "")</f>
        <v/>
      </c>
      <c r="C159" s="1096">
        <f>IF(COUNTIF(D$2:D$273, E159)=0, "Missing in E", "")</f>
        <v/>
      </c>
      <c r="E159" s="1155" t="inlineStr">
        <is>
          <t>IIY#3962909142471NDK</t>
        </is>
      </c>
      <c r="F159" s="1155" t="inlineStr">
        <is>
          <t>Seat Booking Confirmed</t>
        </is>
      </c>
      <c r="G159" s="1155" t="inlineStr">
        <is>
          <t>Camera Courses For Beginners</t>
        </is>
      </c>
      <c r="H159" s="1787" t="inlineStr">
        <is>
          <t>08 Sep 2025</t>
        </is>
      </c>
      <c r="I159" s="1787" t="inlineStr">
        <is>
          <t>08 Sep 2025</t>
        </is>
      </c>
      <c r="J159" s="1157" t="inlineStr">
        <is>
          <t>19:00:00</t>
        </is>
      </c>
      <c r="K159" s="1157" t="inlineStr">
        <is>
          <t>21:00:00</t>
        </is>
      </c>
      <c r="L159" s="1155" t="inlineStr">
        <is>
          <t>Coventry|</t>
        </is>
      </c>
      <c r="M159" s="1155" t="inlineStr">
        <is>
          <t>Joel Wymer</t>
        </is>
      </c>
      <c r="N159" s="1155" t="inlineStr">
        <is>
          <t>jwymer@jaguarlandrover.com</t>
        </is>
      </c>
      <c r="O159" s="1155" t="inlineStr">
        <is>
          <t>GBP</t>
        </is>
      </c>
      <c r="P159" s="1155" t="n"/>
      <c r="Q159" s="1788" t="n">
        <v>150</v>
      </c>
      <c r="S159" s="1121">
        <f>H159-12</f>
        <v/>
      </c>
      <c r="T159" s="1121" t="n">
        <v>45908</v>
      </c>
      <c r="U159" s="1082" t="inlineStr">
        <is>
          <t>20250908-01</t>
        </is>
      </c>
      <c r="V159" s="1789">
        <f>H159+45</f>
        <v/>
      </c>
      <c r="W159" s="1788" t="n">
        <v>150</v>
      </c>
      <c r="X159" s="1121" t="n">
        <v>45974</v>
      </c>
      <c r="Y159" s="1790">
        <f>Q159-W159</f>
        <v/>
      </c>
    </row>
    <row r="160">
      <c r="A160" s="1096" t="n">
        <v>160</v>
      </c>
      <c r="B160" s="1096">
        <f>IF(COUNTIF(E$2:E$273, D160)=0, "Missing in D", "")</f>
        <v/>
      </c>
      <c r="C160" s="1096">
        <f>IF(COUNTIF(D$2:D$273, E160)=0, "Missing in E", "")</f>
        <v/>
      </c>
      <c r="E160" s="1155" t="inlineStr">
        <is>
          <t>IIY#68387487424710jI</t>
        </is>
      </c>
      <c r="F160" s="1155" t="inlineStr">
        <is>
          <t>Seat Booking Confirmed</t>
        </is>
      </c>
      <c r="G160" s="1155" t="inlineStr">
        <is>
          <t>Camera Courses For Beginners</t>
        </is>
      </c>
      <c r="H160" s="1787" t="inlineStr">
        <is>
          <t>08 Sep 2025</t>
        </is>
      </c>
      <c r="I160" s="1787" t="inlineStr">
        <is>
          <t>22 Sep 2025</t>
        </is>
      </c>
      <c r="J160" s="1157" t="inlineStr">
        <is>
          <t>19:00:00</t>
        </is>
      </c>
      <c r="K160" s="1157" t="inlineStr">
        <is>
          <t>21:00:00</t>
        </is>
      </c>
      <c r="L160" s="1155" t="inlineStr">
        <is>
          <t>Coventry|</t>
        </is>
      </c>
      <c r="M160" s="1155" t="inlineStr">
        <is>
          <t>Sriram Yarlagadda</t>
        </is>
      </c>
      <c r="N160" s="1155" t="inlineStr">
        <is>
          <t>syarlag4@jaguarlandrover.com</t>
        </is>
      </c>
      <c r="O160" s="1155" t="inlineStr">
        <is>
          <t>GBP</t>
        </is>
      </c>
      <c r="P160" s="1155" t="n"/>
      <c r="Q160" s="1788" t="n">
        <v>150</v>
      </c>
      <c r="S160" s="1121">
        <f>H160-12</f>
        <v/>
      </c>
      <c r="T160" s="1121" t="n">
        <v>45908</v>
      </c>
      <c r="U160" s="1082" t="inlineStr">
        <is>
          <t>20250908-01</t>
        </is>
      </c>
      <c r="V160" s="1789">
        <f>H160+45</f>
        <v/>
      </c>
      <c r="W160" s="1788" t="n">
        <v>150</v>
      </c>
      <c r="X160" s="1121" t="n">
        <v>45974</v>
      </c>
      <c r="Y160" s="1790">
        <f>Q160-W160</f>
        <v/>
      </c>
    </row>
    <row r="161">
      <c r="A161" s="1096" t="n">
        <v>161</v>
      </c>
      <c r="B161" s="1096">
        <f>IF(COUNTIF(E$2:E$273, D161)=0, "Missing in D", "")</f>
        <v/>
      </c>
      <c r="C161" s="1096">
        <f>IF(COUNTIF(D$2:D$273, E161)=0, "Missing in E", "")</f>
        <v/>
      </c>
      <c r="E161" s="1155" t="inlineStr">
        <is>
          <t>IIY#0796680842471faH</t>
        </is>
      </c>
      <c r="F161" s="1155" t="inlineStr">
        <is>
          <t>Seat Booking Confirmed</t>
        </is>
      </c>
      <c r="G161" s="1155" t="inlineStr">
        <is>
          <t>Camera Courses For Beginners</t>
        </is>
      </c>
      <c r="H161" s="1787" t="inlineStr">
        <is>
          <t>08 Sep 2025</t>
        </is>
      </c>
      <c r="I161" s="1787" t="inlineStr">
        <is>
          <t>08 Sep 2025</t>
        </is>
      </c>
      <c r="J161" s="1157" t="inlineStr">
        <is>
          <t>19:00:00</t>
        </is>
      </c>
      <c r="K161" s="1157" t="inlineStr">
        <is>
          <t>21:00:00</t>
        </is>
      </c>
      <c r="L161" s="1155" t="inlineStr">
        <is>
          <t>Coventry|</t>
        </is>
      </c>
      <c r="M161" s="1155" t="inlineStr">
        <is>
          <t>Christopher Murray</t>
        </is>
      </c>
      <c r="N161" s="1155" t="inlineStr">
        <is>
          <t>cmurray1@jaguarlandrover.com</t>
        </is>
      </c>
      <c r="O161" s="1155" t="inlineStr">
        <is>
          <t>GBP</t>
        </is>
      </c>
      <c r="P161" s="1155" t="n"/>
      <c r="Q161" s="1791" t="n">
        <v>150</v>
      </c>
      <c r="S161" s="1121">
        <f>H161-12</f>
        <v/>
      </c>
      <c r="T161" s="1121" t="n">
        <v>45908</v>
      </c>
      <c r="U161" s="1082" t="inlineStr">
        <is>
          <t>20250908-01</t>
        </is>
      </c>
      <c r="V161" s="1789">
        <f>H161+45</f>
        <v/>
      </c>
      <c r="W161" s="1788" t="n">
        <v>150</v>
      </c>
      <c r="X161" s="1121" t="n">
        <v>45974</v>
      </c>
      <c r="Y161" s="1790">
        <f>Q161-W161</f>
        <v/>
      </c>
    </row>
    <row r="162">
      <c r="A162" s="1096" t="n">
        <v>162</v>
      </c>
      <c r="B162" s="1096">
        <f>IF(COUNTIF(E$2:E$273, D162)=0, "Missing in D", "")</f>
        <v/>
      </c>
      <c r="C162" s="1096">
        <f>IF(COUNTIF(D$2:D$273, E162)=0, "Missing in E", "")</f>
        <v/>
      </c>
      <c r="E162" s="1155" t="inlineStr">
        <is>
          <t>IIY#4542116652471zwM</t>
        </is>
      </c>
      <c r="F162" s="1155" t="inlineStr">
        <is>
          <t>Seat Booking Confirmed</t>
        </is>
      </c>
      <c r="G162" s="1155" t="inlineStr">
        <is>
          <t>Camera Courses For Beginners</t>
        </is>
      </c>
      <c r="H162" s="1787" t="inlineStr">
        <is>
          <t>08 Sep 2025</t>
        </is>
      </c>
      <c r="I162" s="1787" t="inlineStr">
        <is>
          <t>08 Sep 2025</t>
        </is>
      </c>
      <c r="J162" s="1157" t="inlineStr">
        <is>
          <t>19:00:00</t>
        </is>
      </c>
      <c r="K162" s="1157" t="inlineStr">
        <is>
          <t>21:00:00</t>
        </is>
      </c>
      <c r="L162" s="1155" t="inlineStr">
        <is>
          <t>Coventry|</t>
        </is>
      </c>
      <c r="M162" s="1155" t="inlineStr">
        <is>
          <t>Shishir Kutumbe</t>
        </is>
      </c>
      <c r="N162" s="1155" t="inlineStr">
        <is>
          <t>skutumbe@jaguarlandrover.com</t>
        </is>
      </c>
      <c r="O162" s="1155" t="inlineStr">
        <is>
          <t>GBP</t>
        </is>
      </c>
      <c r="P162" s="1155" t="n"/>
      <c r="Q162" s="1791" t="n">
        <v>150</v>
      </c>
      <c r="S162" s="1121">
        <f>H162-12</f>
        <v/>
      </c>
      <c r="T162" s="1121" t="n">
        <v>45908</v>
      </c>
      <c r="U162" s="1082" t="inlineStr">
        <is>
          <t>20250908-01</t>
        </is>
      </c>
      <c r="V162" s="1789">
        <f>H162+45</f>
        <v/>
      </c>
      <c r="W162" s="1788" t="n">
        <v>150</v>
      </c>
      <c r="X162" s="1121" t="n">
        <v>45974</v>
      </c>
      <c r="Y162" s="1790">
        <f>Q162-W162</f>
        <v/>
      </c>
    </row>
    <row r="163">
      <c r="A163" s="1096" t="n">
        <v>163</v>
      </c>
      <c r="B163" s="1096">
        <f>IF(COUNTIF(E$2:E$273, D163)=0, "Missing in D", "")</f>
        <v/>
      </c>
      <c r="C163" s="1096">
        <f>IF(COUNTIF(D$2:D$273, E163)=0, "Missing in E", "")</f>
        <v/>
      </c>
      <c r="E163" s="1155" t="inlineStr">
        <is>
          <t>IIY#07887863434717s6</t>
        </is>
      </c>
      <c r="F163" s="1155" t="inlineStr">
        <is>
          <t>Seat Booking Confirmed</t>
        </is>
      </c>
      <c r="G163" s="1155" t="inlineStr">
        <is>
          <t>Camera Courses For Beginners</t>
        </is>
      </c>
      <c r="H163" s="1787" t="n">
        <v>45911</v>
      </c>
      <c r="I163" s="1787" t="n">
        <v>45925</v>
      </c>
      <c r="J163" s="1157" t="n">
        <v>0.7916666666666666</v>
      </c>
      <c r="K163" s="1157" t="n">
        <v>0.875</v>
      </c>
      <c r="L163" s="1155" t="inlineStr">
        <is>
          <t>Coventry|</t>
        </is>
      </c>
      <c r="M163" s="1155" t="inlineStr">
        <is>
          <t>Britt Van Zeeland</t>
        </is>
      </c>
      <c r="N163" s="1155" t="inlineStr">
        <is>
          <t>bvanzeel@jaguarlandrover.com</t>
        </is>
      </c>
      <c r="O163" s="1155" t="inlineStr">
        <is>
          <t>GBP</t>
        </is>
      </c>
      <c r="P163" s="1155" t="n"/>
      <c r="Q163" s="1791" t="n">
        <v>150</v>
      </c>
      <c r="S163" s="1121">
        <f>H163-12</f>
        <v/>
      </c>
      <c r="T163" s="1121" t="n">
        <v>45911</v>
      </c>
      <c r="U163" s="1082" t="inlineStr">
        <is>
          <t>20250911-01</t>
        </is>
      </c>
      <c r="V163" s="1789">
        <f>H163+45</f>
        <v/>
      </c>
      <c r="W163" s="1788" t="n">
        <v>150</v>
      </c>
      <c r="X163" s="1121" t="n">
        <v>45974</v>
      </c>
      <c r="Y163" s="1790">
        <f>Q163-W163</f>
        <v/>
      </c>
    </row>
    <row r="164">
      <c r="A164" s="1096" t="n">
        <v>164</v>
      </c>
      <c r="B164" s="1096">
        <f>IF(COUNTIF(E$2:E$273, D164)=0, "Missing in D", "")</f>
        <v/>
      </c>
      <c r="C164" s="1096">
        <f>IF(COUNTIF(D$2:D$273, E164)=0, "Missing in E", "")</f>
        <v/>
      </c>
      <c r="E164" s="1155" t="inlineStr">
        <is>
          <t>IIY#3553765443471X2k</t>
        </is>
      </c>
      <c r="F164" s="1155" t="inlineStr">
        <is>
          <t>Seat Booking Confirmed</t>
        </is>
      </c>
      <c r="G164" s="1155" t="inlineStr">
        <is>
          <t>Camera Courses For Beginners</t>
        </is>
      </c>
      <c r="H164" s="1787" t="n">
        <v>45911</v>
      </c>
      <c r="I164" s="1787" t="n">
        <v>45925</v>
      </c>
      <c r="J164" s="1157" t="n">
        <v>0.7916666666666666</v>
      </c>
      <c r="K164" s="1157" t="n">
        <v>0.875</v>
      </c>
      <c r="L164" s="1155" t="inlineStr">
        <is>
          <t>Coventry|</t>
        </is>
      </c>
      <c r="M164" s="1155" t="inlineStr">
        <is>
          <t>KrishnaKumar Kuttan</t>
        </is>
      </c>
      <c r="N164" s="1155" t="inlineStr">
        <is>
          <t>kkuttan@jaguarlandrover.com</t>
        </is>
      </c>
      <c r="O164" s="1155" t="inlineStr">
        <is>
          <t>GBP</t>
        </is>
      </c>
      <c r="P164" s="1155" t="n"/>
      <c r="Q164" s="1791" t="n">
        <v>150</v>
      </c>
      <c r="S164" s="1121">
        <f>H164-12</f>
        <v/>
      </c>
      <c r="T164" s="1121" t="n">
        <v>45911</v>
      </c>
      <c r="U164" s="1082" t="inlineStr">
        <is>
          <t>20250911-01</t>
        </is>
      </c>
      <c r="V164" s="1789">
        <f>H164+45</f>
        <v/>
      </c>
      <c r="W164" s="1788" t="n">
        <v>150</v>
      </c>
      <c r="X164" s="1121" t="n">
        <v>45974</v>
      </c>
      <c r="Y164" s="1790">
        <f>Q164-W164</f>
        <v/>
      </c>
    </row>
    <row r="165">
      <c r="A165" s="1096" t="n">
        <v>165</v>
      </c>
      <c r="B165" s="1096">
        <f>IF(COUNTIF(E$2:E$273, D165)=0, "Missing in D", "")</f>
        <v/>
      </c>
      <c r="C165" s="1096">
        <f>IF(COUNTIF(D$2:D$273, E165)=0, "Missing in E", "")</f>
        <v/>
      </c>
      <c r="E165" s="1155" t="inlineStr">
        <is>
          <t>IIY#3293641613471Qtj</t>
        </is>
      </c>
      <c r="F165" s="1155" t="inlineStr">
        <is>
          <t>Seat Booking Confirmed</t>
        </is>
      </c>
      <c r="G165" s="1155" t="inlineStr">
        <is>
          <t>Sunset Photographic Workshop - Chesterton Windmill</t>
        </is>
      </c>
      <c r="H165" s="1787" t="inlineStr">
        <is>
          <t>16 Sep 2025</t>
        </is>
      </c>
      <c r="I165" s="1787" t="inlineStr">
        <is>
          <t>16 Sep 2025</t>
        </is>
      </c>
      <c r="J165" s="1157" t="inlineStr">
        <is>
          <t>18:30:00</t>
        </is>
      </c>
      <c r="K165" s="1157" t="inlineStr">
        <is>
          <t>21:00:00</t>
        </is>
      </c>
      <c r="L165" s="1155" t="inlineStr">
        <is>
          <t>Chesterton|</t>
        </is>
      </c>
      <c r="M165" s="1155" t="inlineStr">
        <is>
          <t>Naveen Lakshmanan</t>
        </is>
      </c>
      <c r="N165" s="1155" t="inlineStr">
        <is>
          <t>nlakshm1@jaguarlandrover.com</t>
        </is>
      </c>
      <c r="O165" s="1155" t="inlineStr">
        <is>
          <t>GBP</t>
        </is>
      </c>
      <c r="P165" s="1155" t="n"/>
      <c r="Q165" s="1788" t="n">
        <v>50</v>
      </c>
      <c r="S165" s="1121">
        <f>H165-12</f>
        <v/>
      </c>
      <c r="T165" s="1121" t="n">
        <v>45916</v>
      </c>
      <c r="U165" s="1082" t="inlineStr">
        <is>
          <t>20250916-01</t>
        </is>
      </c>
      <c r="V165" s="1789">
        <f>H165+45</f>
        <v/>
      </c>
      <c r="W165" s="1788" t="n">
        <v>50</v>
      </c>
      <c r="X165" s="1121" t="n">
        <v>45974</v>
      </c>
      <c r="Y165" s="1790">
        <f>Q165-W165</f>
        <v/>
      </c>
    </row>
    <row r="166">
      <c r="A166" s="1096" t="n">
        <v>166</v>
      </c>
      <c r="B166" s="1096">
        <f>IF(COUNTIF(E$2:E$273, D166)=0, "Missing in D", "")</f>
        <v/>
      </c>
      <c r="C166" s="1096">
        <f>IF(COUNTIF(D$2:D$273, E166)=0, "Missing in E", "")</f>
        <v/>
      </c>
      <c r="E166" s="1155" t="inlineStr">
        <is>
          <t>IIY#7303862523471kLO</t>
        </is>
      </c>
      <c r="F166" s="1155" t="inlineStr">
        <is>
          <t>Seat Booking Confirmed</t>
        </is>
      </c>
      <c r="G166" s="1155" t="inlineStr">
        <is>
          <t>Sunset Photographic Workshop - Chesterton Windmill</t>
        </is>
      </c>
      <c r="H166" s="1787" t="inlineStr">
        <is>
          <t>16 Sep 2025</t>
        </is>
      </c>
      <c r="I166" s="1787" t="inlineStr">
        <is>
          <t>16 Sep 2025</t>
        </is>
      </c>
      <c r="J166" s="1157" t="inlineStr">
        <is>
          <t>18:30:00</t>
        </is>
      </c>
      <c r="K166" s="1157" t="inlineStr">
        <is>
          <t>21:00:00</t>
        </is>
      </c>
      <c r="L166" s="1155" t="inlineStr">
        <is>
          <t>Chesterton|</t>
        </is>
      </c>
      <c r="M166" s="1155" t="inlineStr">
        <is>
          <t>Matthew Davies</t>
        </is>
      </c>
      <c r="N166" s="1155" t="inlineStr">
        <is>
          <t>mdavie32@jaguarlandrover.com</t>
        </is>
      </c>
      <c r="O166" s="1155" t="inlineStr">
        <is>
          <t>GBP</t>
        </is>
      </c>
      <c r="P166" s="1155" t="n"/>
      <c r="Q166" s="1788" t="n">
        <v>50</v>
      </c>
      <c r="S166" s="1121">
        <f>H166-12</f>
        <v/>
      </c>
      <c r="T166" s="1121" t="n">
        <v>45916</v>
      </c>
      <c r="U166" s="1082" t="inlineStr">
        <is>
          <t>20250916-01</t>
        </is>
      </c>
      <c r="V166" s="1789">
        <f>H166+45</f>
        <v/>
      </c>
      <c r="W166" s="1788" t="n">
        <v>50</v>
      </c>
      <c r="X166" s="1121" t="n">
        <v>45974</v>
      </c>
      <c r="Y166" s="1790">
        <f>Q166-W166</f>
        <v/>
      </c>
    </row>
    <row r="167">
      <c r="A167" s="1096" t="n">
        <v>167</v>
      </c>
      <c r="B167" s="1096">
        <f>IF(COUNTIF(E$2:E$273, D167)=0, "Missing in D", "")</f>
        <v/>
      </c>
      <c r="C167" s="1096">
        <f>IF(COUNTIF(D$2:D$273, E167)=0, "Missing in E", "")</f>
        <v/>
      </c>
      <c r="E167" s="1155" t="inlineStr">
        <is>
          <t>IIY#5017288028571cwG</t>
        </is>
      </c>
      <c r="F167" s="1155" t="inlineStr">
        <is>
          <t>Seat Booking Confirmed</t>
        </is>
      </c>
      <c r="G167" s="1155" t="inlineStr">
        <is>
          <t>Photography Mentoring for Qualification</t>
        </is>
      </c>
      <c r="H167" s="1787" t="n">
        <v>45924</v>
      </c>
      <c r="I167" s="1787" t="n">
        <v>45959</v>
      </c>
      <c r="J167" s="1157" t="n">
        <v>0.3333333333333333</v>
      </c>
      <c r="K167" s="1157" t="n">
        <v>0.8333333333333334</v>
      </c>
      <c r="L167" s="1155" t="inlineStr">
        <is>
          <t>Online|</t>
        </is>
      </c>
      <c r="M167" s="1155" t="inlineStr">
        <is>
          <t>Scott Bremner</t>
        </is>
      </c>
      <c r="N167" s="1155" t="inlineStr">
        <is>
          <t>sbremner@jaguarlandrover.com</t>
        </is>
      </c>
      <c r="O167" s="1155" t="inlineStr">
        <is>
          <t>GBP</t>
        </is>
      </c>
      <c r="P167" s="1155" t="n">
        <v>0</v>
      </c>
      <c r="Q167" s="1791" t="n">
        <v>150</v>
      </c>
      <c r="S167" s="1121">
        <f>H167-12</f>
        <v/>
      </c>
      <c r="T167" s="1121" t="n">
        <v>45924</v>
      </c>
      <c r="U167" s="1082" t="inlineStr">
        <is>
          <t>20250924-01</t>
        </is>
      </c>
      <c r="V167" s="1789">
        <f>H167+45</f>
        <v/>
      </c>
      <c r="W167" s="1788" t="n">
        <v>150</v>
      </c>
      <c r="X167" s="1121" t="n">
        <v>45974</v>
      </c>
      <c r="Y167" s="1790">
        <f>Q167-W167</f>
        <v/>
      </c>
    </row>
    <row r="168">
      <c r="A168" s="1096" t="n">
        <v>169</v>
      </c>
      <c r="B168" s="1096">
        <f>IF(COUNTIF(E$2:E$273, D168)=0, "Missing in D", "")</f>
        <v/>
      </c>
      <c r="C168" s="1096">
        <f>IF(COUNTIF(D$2:D$273, E168)=0, "Missing in E", "")</f>
        <v/>
      </c>
      <c r="E168" s="1155" t="inlineStr">
        <is>
          <t>IIY#9629774212471Kvv</t>
        </is>
      </c>
      <c r="F168" s="1155" t="inlineStr">
        <is>
          <t>Seat Booking Confirmed</t>
        </is>
      </c>
      <c r="G168" s="1155" t="inlineStr">
        <is>
          <t>Evening Urban Architecture Photography Workshop</t>
        </is>
      </c>
      <c r="H168" s="1787" t="n">
        <v>45924</v>
      </c>
      <c r="I168" s="1787" t="n">
        <v>45924</v>
      </c>
      <c r="J168" s="1157" t="n">
        <v>0.75</v>
      </c>
      <c r="K168" s="1157" t="n">
        <v>0.8333333333333334</v>
      </c>
      <c r="L168" s="1155" t="inlineStr">
        <is>
          <t>Coventry|</t>
        </is>
      </c>
      <c r="M168" s="1155" t="inlineStr">
        <is>
          <t>Gregory Moys</t>
        </is>
      </c>
      <c r="N168" s="1155" t="inlineStr">
        <is>
          <t>gmoys@jaguarlandrover.com</t>
        </is>
      </c>
      <c r="O168" s="1155" t="inlineStr">
        <is>
          <t>GBP</t>
        </is>
      </c>
      <c r="P168" s="1155" t="n"/>
      <c r="Q168" s="1791" t="n">
        <v>50</v>
      </c>
      <c r="S168" s="1121">
        <f>H168-12</f>
        <v/>
      </c>
      <c r="T168" s="1121" t="n">
        <v>45924</v>
      </c>
      <c r="U168" s="1082" t="inlineStr">
        <is>
          <t>20250924-02</t>
        </is>
      </c>
      <c r="V168" s="1789">
        <f>H168+45</f>
        <v/>
      </c>
      <c r="W168" s="1788" t="n">
        <v>50</v>
      </c>
      <c r="X168" s="1121" t="n">
        <v>45974</v>
      </c>
      <c r="Y168" s="1790">
        <f>Q168-W168</f>
        <v/>
      </c>
    </row>
    <row r="169">
      <c r="A169" s="1096" t="n">
        <v>170</v>
      </c>
      <c r="B169" s="1096">
        <f>IF(COUNTIF(E$2:E$273, D169)=0, "Missing in D", "")</f>
        <v/>
      </c>
      <c r="C169" s="1096">
        <f>IF(COUNTIF(D$2:D$273, E169)=0, "Missing in E", "")</f>
        <v/>
      </c>
      <c r="E169" s="1155" t="inlineStr">
        <is>
          <t>IIY#5320443613471uIJ</t>
        </is>
      </c>
      <c r="F169" s="1155" t="inlineStr">
        <is>
          <t>Seat Booking Confirmed</t>
        </is>
      </c>
      <c r="G169" s="1155" t="inlineStr">
        <is>
          <t>Sunset Photographic Workshop - Chesterton Windmill</t>
        </is>
      </c>
      <c r="H169" s="1787" t="inlineStr">
        <is>
          <t>01 Oct 2025</t>
        </is>
      </c>
      <c r="I169" s="1787" t="inlineStr">
        <is>
          <t>01 Oct 2025</t>
        </is>
      </c>
      <c r="J169" s="1157" t="inlineStr">
        <is>
          <t>18:00:00</t>
        </is>
      </c>
      <c r="K169" s="1157" t="inlineStr">
        <is>
          <t>20:30:00</t>
        </is>
      </c>
      <c r="L169" s="1155" t="inlineStr">
        <is>
          <t>Chesterton|</t>
        </is>
      </c>
      <c r="M169" s="1155" t="inlineStr">
        <is>
          <t>Charlie Gladden</t>
        </is>
      </c>
      <c r="N169" s="1155" t="inlineStr">
        <is>
          <t>cgladde2@jaguarlandrover.com</t>
        </is>
      </c>
      <c r="O169" s="1155" t="inlineStr">
        <is>
          <t>GBP</t>
        </is>
      </c>
      <c r="P169" s="1155" t="n"/>
      <c r="Q169" s="1791" t="n">
        <v>50</v>
      </c>
      <c r="S169" s="1121">
        <f>H169-12</f>
        <v/>
      </c>
      <c r="T169" s="1121" t="n">
        <v>45931</v>
      </c>
      <c r="U169" s="1082" t="inlineStr">
        <is>
          <t>20251001-01</t>
        </is>
      </c>
      <c r="V169" s="1789">
        <f>H169+45</f>
        <v/>
      </c>
      <c r="W169" s="1788" t="n">
        <v>50</v>
      </c>
      <c r="X169" s="1121" t="n">
        <v>45974</v>
      </c>
      <c r="Y169" s="1790">
        <f>Q169-W169</f>
        <v/>
      </c>
    </row>
    <row r="170">
      <c r="A170" s="1096" t="n">
        <v>171</v>
      </c>
      <c r="B170" s="1096">
        <f>IF(COUNTIF(E$2:E$273, D170)=0, "Missing in D", "")</f>
        <v/>
      </c>
      <c r="C170" s="1096">
        <f>IF(COUNTIF(D$2:D$273, E170)=0, "Missing in E", "")</f>
        <v/>
      </c>
      <c r="E170" s="1155" t="inlineStr">
        <is>
          <t>IIY#1923829243471SLC</t>
        </is>
      </c>
      <c r="F170" s="1155" t="inlineStr">
        <is>
          <t>Seat Booking Confirmed</t>
        </is>
      </c>
      <c r="G170" s="1155" t="inlineStr">
        <is>
          <t>Sunset Photographic Workshop - Chesterton Windmill</t>
        </is>
      </c>
      <c r="H170" s="1787" t="n">
        <v>45931</v>
      </c>
      <c r="I170" s="1787" t="n">
        <v>45931</v>
      </c>
      <c r="J170" s="1157" t="n">
        <v>0.75</v>
      </c>
      <c r="K170" s="1157" t="n">
        <v>0.8541666666666666</v>
      </c>
      <c r="L170" s="1155" t="inlineStr">
        <is>
          <t>Chesterton|</t>
        </is>
      </c>
      <c r="M170" s="1155" t="inlineStr">
        <is>
          <t>Ileana Sandoiu</t>
        </is>
      </c>
      <c r="N170" s="1155" t="inlineStr">
        <is>
          <t>isandoi1@jaguarlandrover.com</t>
        </is>
      </c>
      <c r="O170" s="1155" t="inlineStr">
        <is>
          <t>GBP</t>
        </is>
      </c>
      <c r="P170" s="1155" t="n"/>
      <c r="Q170" s="1791" t="n">
        <v>50</v>
      </c>
      <c r="S170" s="1121">
        <f>H170-12</f>
        <v/>
      </c>
      <c r="T170" s="1121" t="n">
        <v>45931</v>
      </c>
      <c r="U170" s="1082" t="inlineStr">
        <is>
          <t>20251001-01</t>
        </is>
      </c>
      <c r="V170" s="1789">
        <f>H170+45</f>
        <v/>
      </c>
      <c r="W170" s="1788" t="n">
        <v>50</v>
      </c>
      <c r="X170" s="1121" t="n">
        <v>45974</v>
      </c>
      <c r="Y170" s="1790">
        <f>Q170-W170</f>
        <v/>
      </c>
    </row>
    <row r="171">
      <c r="A171" s="1096" t="n">
        <v>172</v>
      </c>
      <c r="B171" s="1096">
        <f>IF(COUNTIF(E$2:E$273, D171)=0, "Missing in D", "")</f>
        <v/>
      </c>
      <c r="C171" s="1096">
        <f>IF(COUNTIF(D$2:D$273, E171)=0, "Missing in E", "")</f>
        <v/>
      </c>
      <c r="E171" s="1181" t="inlineStr">
        <is>
          <t>IIY#4621938243471Otp</t>
        </is>
      </c>
      <c r="F171" s="1155" t="inlineStr">
        <is>
          <t>Seat Booking Confirmed</t>
        </is>
      </c>
      <c r="G171" s="1155" t="inlineStr">
        <is>
          <t>Sunset Photographic Workshop - Chesterton Windmill</t>
        </is>
      </c>
      <c r="H171" s="1787" t="n">
        <v>45931</v>
      </c>
      <c r="I171" s="1787" t="n">
        <v>45916</v>
      </c>
      <c r="J171" s="1157" t="n">
        <v>0.7708333333333334</v>
      </c>
      <c r="K171" s="1157" t="n">
        <v>0.875</v>
      </c>
      <c r="L171" s="1155" t="inlineStr">
        <is>
          <t>Chesterton|</t>
        </is>
      </c>
      <c r="M171" s="1155" t="inlineStr">
        <is>
          <t>Ana Alexa</t>
        </is>
      </c>
      <c r="N171" s="1155" t="inlineStr">
        <is>
          <t>aalexa1@jaguarlandrover.com</t>
        </is>
      </c>
      <c r="O171" s="1155" t="inlineStr">
        <is>
          <t>GBP</t>
        </is>
      </c>
      <c r="P171" s="1155" t="n"/>
      <c r="Q171" s="1791" t="n">
        <v>50</v>
      </c>
      <c r="S171" s="1121">
        <f>H171-12</f>
        <v/>
      </c>
      <c r="T171" s="1121" t="n">
        <v>45931</v>
      </c>
      <c r="U171" s="1082" t="inlineStr">
        <is>
          <t>20251001-01</t>
        </is>
      </c>
      <c r="V171" s="1789">
        <f>H171+45</f>
        <v/>
      </c>
      <c r="W171" s="1788" t="n">
        <v>50</v>
      </c>
      <c r="X171" s="1121" t="n">
        <v>45974</v>
      </c>
      <c r="Y171" s="1790">
        <f>Q171-W171</f>
        <v/>
      </c>
    </row>
    <row r="172">
      <c r="A172" s="1096" t="n">
        <v>173</v>
      </c>
      <c r="B172" s="1096">
        <f>IF(COUNTIF(E$2:E$273, D172)=0, "Missing in D", "")</f>
        <v/>
      </c>
      <c r="C172" s="1096">
        <f>IF(COUNTIF(D$2:D$273, E172)=0, "Missing in E", "")</f>
        <v/>
      </c>
      <c r="E172" s="1155" t="inlineStr">
        <is>
          <t>IIY#4049880282471dvq</t>
        </is>
      </c>
      <c r="F172" s="1155" t="inlineStr">
        <is>
          <t>Seat Booking Confirmed</t>
        </is>
      </c>
      <c r="G172" s="1155" t="inlineStr">
        <is>
          <t>Camera Courses For Beginners</t>
        </is>
      </c>
      <c r="H172" s="1787" t="inlineStr">
        <is>
          <t>02 Oct 2025</t>
        </is>
      </c>
      <c r="I172" s="1787" t="inlineStr">
        <is>
          <t>02 Oct 2025</t>
        </is>
      </c>
      <c r="J172" s="1157" t="inlineStr">
        <is>
          <t>19:00:00</t>
        </is>
      </c>
      <c r="K172" s="1157" t="inlineStr">
        <is>
          <t>21:00:00</t>
        </is>
      </c>
      <c r="L172" s="1155" t="inlineStr">
        <is>
          <t>Coventry|</t>
        </is>
      </c>
      <c r="M172" s="1155" t="inlineStr">
        <is>
          <t>Ergin Tasdelen</t>
        </is>
      </c>
      <c r="N172" s="1155" t="inlineStr">
        <is>
          <t>etasdele@jaguarlandrover.com</t>
        </is>
      </c>
      <c r="O172" s="1155" t="inlineStr">
        <is>
          <t>GBP</t>
        </is>
      </c>
      <c r="P172" s="1155" t="n"/>
      <c r="Q172" s="1788" t="n">
        <v>150</v>
      </c>
      <c r="S172" s="1121">
        <f>H172-12</f>
        <v/>
      </c>
      <c r="T172" s="1121" t="n">
        <v>45932</v>
      </c>
      <c r="U172" s="1082" t="inlineStr">
        <is>
          <t>20251002-01</t>
        </is>
      </c>
      <c r="V172" s="1789">
        <f>H172+45</f>
        <v/>
      </c>
      <c r="W172" s="1788" t="n">
        <v>150</v>
      </c>
      <c r="X172" s="1121" t="n">
        <v>45974</v>
      </c>
      <c r="Y172" s="1790">
        <f>Q172-W172</f>
        <v/>
      </c>
    </row>
    <row r="173">
      <c r="A173" s="1096" t="n">
        <v>174</v>
      </c>
      <c r="B173" s="1096">
        <f>IF(COUNTIF(E$2:E$273, D173)=0, "Missing in D", "")</f>
        <v/>
      </c>
      <c r="C173" s="1096">
        <f>IF(COUNTIF(D$2:D$273, E173)=0, "Missing in E", "")</f>
        <v/>
      </c>
      <c r="E173" s="1155" t="inlineStr">
        <is>
          <t>IIY#7792819582471KRP</t>
        </is>
      </c>
      <c r="F173" s="1155" t="inlineStr">
        <is>
          <t>Seat Booking Confirmed</t>
        </is>
      </c>
      <c r="G173" s="1155" t="inlineStr">
        <is>
          <t>Camera Courses For Beginners</t>
        </is>
      </c>
      <c r="H173" s="1787" t="inlineStr">
        <is>
          <t>02 Oct 2025</t>
        </is>
      </c>
      <c r="I173" s="1787" t="inlineStr">
        <is>
          <t>02 Oct 2025</t>
        </is>
      </c>
      <c r="J173" s="1157" t="inlineStr">
        <is>
          <t>19:00:00</t>
        </is>
      </c>
      <c r="K173" s="1157" t="inlineStr">
        <is>
          <t>21:00:00</t>
        </is>
      </c>
      <c r="L173" s="1155" t="inlineStr">
        <is>
          <t>Coventry|</t>
        </is>
      </c>
      <c r="M173" s="1155" t="inlineStr">
        <is>
          <t>Naushad Ali Solanki</t>
        </is>
      </c>
      <c r="N173" s="1155" t="inlineStr">
        <is>
          <t>nsolank2@jaguarlandrover.com</t>
        </is>
      </c>
      <c r="O173" s="1155" t="inlineStr">
        <is>
          <t>GBP</t>
        </is>
      </c>
      <c r="P173" s="1155" t="n"/>
      <c r="Q173" s="1788" t="n">
        <v>150</v>
      </c>
      <c r="S173" s="1121">
        <f>H173-12</f>
        <v/>
      </c>
      <c r="T173" s="1121" t="n">
        <v>45932</v>
      </c>
      <c r="U173" s="1082" t="inlineStr">
        <is>
          <t>20251002-01</t>
        </is>
      </c>
      <c r="V173" s="1789">
        <f>H173+45</f>
        <v/>
      </c>
      <c r="W173" s="1788" t="n">
        <v>150</v>
      </c>
      <c r="X173" s="1121" t="n">
        <v>45974</v>
      </c>
      <c r="Y173" s="1790">
        <f>Q173-W173</f>
        <v/>
      </c>
    </row>
    <row r="174">
      <c r="A174" s="1096" t="n">
        <v>175</v>
      </c>
      <c r="B174" s="1096">
        <f>IF(COUNTIF(E$2:E$273, D174)=0, "Missing in D", "")</f>
        <v/>
      </c>
      <c r="C174" s="1096">
        <f>IF(COUNTIF(D$2:D$273, E174)=0, "Missing in E", "")</f>
        <v/>
      </c>
      <c r="E174" s="1155" t="inlineStr">
        <is>
          <t>IIY#91554410034718Cq</t>
        </is>
      </c>
      <c r="F174" s="1155" t="inlineStr">
        <is>
          <t>Seat Booking Confirmed</t>
        </is>
      </c>
      <c r="G174" s="1155" t="inlineStr">
        <is>
          <t>Camera Courses For Beginners</t>
        </is>
      </c>
      <c r="H174" s="1787" t="inlineStr">
        <is>
          <t>02 Oct 2025</t>
        </is>
      </c>
      <c r="I174" s="1787" t="inlineStr">
        <is>
          <t>02 Oct 2025</t>
        </is>
      </c>
      <c r="J174" s="1157" t="inlineStr">
        <is>
          <t>19:00:00</t>
        </is>
      </c>
      <c r="K174" s="1157" t="inlineStr">
        <is>
          <t>21:00:00</t>
        </is>
      </c>
      <c r="L174" s="1155" t="inlineStr">
        <is>
          <t>Coventry|</t>
        </is>
      </c>
      <c r="M174" s="1155" t="inlineStr">
        <is>
          <t>Murali Mohan Suryanarayana</t>
        </is>
      </c>
      <c r="N174" s="1155" t="inlineStr">
        <is>
          <t>msuryan1@jaguarlandrover.com</t>
        </is>
      </c>
      <c r="O174" s="1155" t="inlineStr">
        <is>
          <t>GBP</t>
        </is>
      </c>
      <c r="P174" s="1155" t="n"/>
      <c r="Q174" s="1791" t="n">
        <v>150</v>
      </c>
      <c r="S174" s="1121">
        <f>H174-12</f>
        <v/>
      </c>
      <c r="T174" s="1121" t="n">
        <v>45932</v>
      </c>
      <c r="U174" s="1082" t="inlineStr">
        <is>
          <t>20251002-01</t>
        </is>
      </c>
      <c r="V174" s="1789">
        <f>H174+45</f>
        <v/>
      </c>
      <c r="W174" s="1788" t="n">
        <v>150</v>
      </c>
      <c r="X174" s="1121" t="n">
        <v>45974</v>
      </c>
      <c r="Y174" s="1790">
        <f>Q174-W174</f>
        <v/>
      </c>
    </row>
    <row r="175">
      <c r="A175" s="1096" t="n">
        <v>177</v>
      </c>
      <c r="B175" s="1096">
        <f>IF(COUNTIF(E$2:E$273, D175)=0, "Missing in D", "")</f>
        <v/>
      </c>
      <c r="C175" s="1096">
        <f>IF(COUNTIF(D$2:D$273, E175)=0, "Missing in E", "")</f>
        <v/>
      </c>
      <c r="E175" s="1155" t="inlineStr">
        <is>
          <t>IIY#1735343713471DzY</t>
        </is>
      </c>
      <c r="F175" s="1155" t="inlineStr">
        <is>
          <t>Seat Booking Confirmed</t>
        </is>
      </c>
      <c r="G175" s="1155" t="inlineStr">
        <is>
          <t>Camera Courses For Beginners</t>
        </is>
      </c>
      <c r="H175" s="1787" t="inlineStr">
        <is>
          <t>02 Oct 2025</t>
        </is>
      </c>
      <c r="I175" s="1787" t="inlineStr">
        <is>
          <t>02 Oct 2025</t>
        </is>
      </c>
      <c r="J175" s="1157" t="inlineStr">
        <is>
          <t>19:00:00</t>
        </is>
      </c>
      <c r="K175" s="1157" t="inlineStr">
        <is>
          <t>21:00:00</t>
        </is>
      </c>
      <c r="L175" s="1155" t="inlineStr">
        <is>
          <t>Coventry|</t>
        </is>
      </c>
      <c r="M175" s="1155" t="inlineStr">
        <is>
          <t>Craig Gedrim</t>
        </is>
      </c>
      <c r="N175" s="1155" t="inlineStr">
        <is>
          <t>cgedrim@jaguarlandrover.com</t>
        </is>
      </c>
      <c r="O175" s="1155" t="inlineStr">
        <is>
          <t>GBP</t>
        </is>
      </c>
      <c r="P175" s="1155" t="n"/>
      <c r="Q175" s="1788" t="n">
        <v>150</v>
      </c>
      <c r="S175" s="1121">
        <f>H175-12</f>
        <v/>
      </c>
      <c r="T175" s="1121" t="n">
        <v>45932</v>
      </c>
      <c r="U175" s="1082" t="inlineStr">
        <is>
          <t>20251002-01</t>
        </is>
      </c>
      <c r="V175" s="1789">
        <f>H175+45</f>
        <v/>
      </c>
      <c r="W175" s="1788" t="n">
        <v>150</v>
      </c>
      <c r="X175" s="1121" t="n">
        <v>45974</v>
      </c>
      <c r="Y175" s="1790">
        <f>Q175-W175</f>
        <v/>
      </c>
    </row>
    <row r="176">
      <c r="A176" s="1096" t="n">
        <v>178</v>
      </c>
      <c r="B176" s="1096">
        <f>IF(COUNTIF(E$2:E$273, D176)=0, "Missing in D", "")</f>
        <v/>
      </c>
      <c r="C176" s="1096">
        <f>IF(COUNTIF(D$2:D$273, E176)=0, "Missing in E", "")</f>
        <v/>
      </c>
      <c r="E176" s="1155" t="inlineStr">
        <is>
          <t>IIY#3049932194571n9k</t>
        </is>
      </c>
      <c r="F176" s="1155" t="n"/>
      <c r="G176" s="1155" t="inlineStr">
        <is>
          <t>Camera Courses For Beginners</t>
        </is>
      </c>
      <c r="H176" s="1796" t="n">
        <v>45936</v>
      </c>
      <c r="I176" s="1796" t="n">
        <v>45950</v>
      </c>
      <c r="J176" s="1157" t="n">
        <v>0.7916666666666666</v>
      </c>
      <c r="K176" s="1157" t="n">
        <v>0.875</v>
      </c>
      <c r="L176" s="1155" t="inlineStr">
        <is>
          <t>Coventry|</t>
        </is>
      </c>
      <c r="M176" s="1155" t="inlineStr">
        <is>
          <t>Billie Whyte</t>
        </is>
      </c>
      <c r="N176" s="1155" t="inlineStr">
        <is>
          <t>bwhyte2@jaguarlandrover.com</t>
        </is>
      </c>
      <c r="O176" s="1155" t="inlineStr">
        <is>
          <t>GBP</t>
        </is>
      </c>
      <c r="P176" s="1155" t="n"/>
      <c r="Q176" s="1791" t="n">
        <v>150</v>
      </c>
      <c r="S176" s="1121">
        <f>H176-12</f>
        <v/>
      </c>
      <c r="T176" s="1121" t="n">
        <v>45936</v>
      </c>
      <c r="U176" s="1082" t="inlineStr">
        <is>
          <t>20251006-01</t>
        </is>
      </c>
      <c r="V176" s="1789">
        <f>H176+45</f>
        <v/>
      </c>
      <c r="W176" s="1788" t="n">
        <v>150</v>
      </c>
      <c r="X176" s="1121" t="n">
        <v>45974</v>
      </c>
      <c r="Y176" s="1790">
        <f>Q176-W176</f>
        <v/>
      </c>
    </row>
    <row r="177">
      <c r="A177" s="1096" t="n">
        <v>179</v>
      </c>
      <c r="B177" s="1096">
        <f>IF(COUNTIF(E$2:E$273, D177)=0, "Missing in D", "")</f>
        <v/>
      </c>
      <c r="C177" s="1096">
        <f>IF(COUNTIF(D$2:D$273, E177)=0, "Missing in E", "")</f>
        <v/>
      </c>
      <c r="E177" s="1155" t="inlineStr">
        <is>
          <t>IIY#4020416750471SVj</t>
        </is>
      </c>
      <c r="F177" s="1155" t="inlineStr">
        <is>
          <t>Seat Booking Confirmed</t>
        </is>
      </c>
      <c r="G177" s="1155" t="inlineStr">
        <is>
          <t>Woodland Photography Walk</t>
        </is>
      </c>
      <c r="H177" s="1787" t="inlineStr">
        <is>
          <t>17 Oct 2025</t>
        </is>
      </c>
      <c r="I177" s="1787" t="inlineStr">
        <is>
          <t>17 Oct 2025</t>
        </is>
      </c>
      <c r="J177" s="1157" t="inlineStr">
        <is>
          <t>09:30:00</t>
        </is>
      </c>
      <c r="K177" s="1157" t="inlineStr">
        <is>
          <t>11:30:00</t>
        </is>
      </c>
      <c r="L177" s="1155" t="inlineStr">
        <is>
          <t>Solihull|</t>
        </is>
      </c>
      <c r="M177" s="1155" t="inlineStr">
        <is>
          <t>Arun Ramajayam</t>
        </is>
      </c>
      <c r="N177" s="1155" t="inlineStr">
        <is>
          <t>aramajay@jaguarlandrover.com</t>
        </is>
      </c>
      <c r="O177" s="1155" t="inlineStr">
        <is>
          <t>GBP</t>
        </is>
      </c>
      <c r="P177" s="1155" t="n"/>
      <c r="Q177" s="1788" t="n">
        <v>12</v>
      </c>
      <c r="S177" s="1121">
        <f>H177-12</f>
        <v/>
      </c>
      <c r="T177" s="1121" t="n">
        <v>45947</v>
      </c>
      <c r="U177" s="1082" t="inlineStr">
        <is>
          <t>20251017-01</t>
        </is>
      </c>
      <c r="V177" s="1789">
        <f>H177+45</f>
        <v/>
      </c>
      <c r="W177" s="1788" t="n">
        <v>12</v>
      </c>
      <c r="X177" s="1121" t="n">
        <v>45996</v>
      </c>
      <c r="Y177" s="1790">
        <f>Q177-W177</f>
        <v/>
      </c>
    </row>
    <row r="178">
      <c r="A178" s="1096" t="n">
        <v>180</v>
      </c>
      <c r="B178" s="1096">
        <f>IF(COUNTIF(E$2:E$273, D178)=0, "Missing in D", "")</f>
        <v/>
      </c>
      <c r="C178" s="1096">
        <f>IF(COUNTIF(D$2:D$273, E178)=0, "Missing in E", "")</f>
        <v/>
      </c>
      <c r="E178" s="1155" t="inlineStr">
        <is>
          <t>IIY#2532450001471abV</t>
        </is>
      </c>
      <c r="F178" s="1155" t="inlineStr">
        <is>
          <t>Seat Booking Confirmed</t>
        </is>
      </c>
      <c r="G178" s="1155" t="inlineStr">
        <is>
          <t>Woodland Photography Walk</t>
        </is>
      </c>
      <c r="H178" s="1787" t="inlineStr">
        <is>
          <t>17 Oct 2025</t>
        </is>
      </c>
      <c r="I178" s="1787" t="inlineStr">
        <is>
          <t>17 Oct 2025</t>
        </is>
      </c>
      <c r="J178" s="1157" t="inlineStr">
        <is>
          <t>09:30:00</t>
        </is>
      </c>
      <c r="K178" s="1157" t="inlineStr">
        <is>
          <t>11:30:00</t>
        </is>
      </c>
      <c r="L178" s="1155" t="inlineStr">
        <is>
          <t>Solihull|</t>
        </is>
      </c>
      <c r="M178" s="1155" t="inlineStr">
        <is>
          <t>Bridget Connolly</t>
        </is>
      </c>
      <c r="N178" s="1155" t="inlineStr">
        <is>
          <t>bconnol1@jaguarlandrover.com</t>
        </is>
      </c>
      <c r="O178" s="1155" t="inlineStr">
        <is>
          <t>GBP</t>
        </is>
      </c>
      <c r="P178" s="1155" t="n"/>
      <c r="Q178" s="1788" t="n">
        <v>12</v>
      </c>
      <c r="S178" s="1121">
        <f>H178-12</f>
        <v/>
      </c>
      <c r="T178" s="1121" t="n">
        <v>45947</v>
      </c>
      <c r="U178" s="1082" t="inlineStr">
        <is>
          <t>20251017-01</t>
        </is>
      </c>
      <c r="V178" s="1789">
        <f>H178+45</f>
        <v/>
      </c>
      <c r="W178" s="1788" t="n">
        <v>12</v>
      </c>
      <c r="X178" s="1121" t="n">
        <v>45996</v>
      </c>
      <c r="Y178" s="1790">
        <f>Q178-W178</f>
        <v/>
      </c>
    </row>
    <row r="179">
      <c r="A179" s="1096" t="n">
        <v>182</v>
      </c>
      <c r="B179" s="1096">
        <f>IF(COUNTIF(E$2:E$273, D179)=0, "Missing in D", "")</f>
        <v/>
      </c>
      <c r="C179" s="1096">
        <f>IF(COUNTIF(D$2:D$273, E179)=0, "Missing in E", "")</f>
        <v/>
      </c>
      <c r="E179" s="1181" t="inlineStr">
        <is>
          <t>IIY#7486900011471UWB</t>
        </is>
      </c>
      <c r="F179" s="1155" t="inlineStr">
        <is>
          <t>Seat Booking Confirmed</t>
        </is>
      </c>
      <c r="G179" s="1155" t="inlineStr">
        <is>
          <t>Woodland Photography Walk</t>
        </is>
      </c>
      <c r="H179" s="1787" t="inlineStr">
        <is>
          <t>17 Oct 2025</t>
        </is>
      </c>
      <c r="I179" s="1787" t="inlineStr">
        <is>
          <t>17 Oct 2025</t>
        </is>
      </c>
      <c r="J179" s="1157" t="inlineStr">
        <is>
          <t>09:30:00</t>
        </is>
      </c>
      <c r="K179" s="1157" t="inlineStr">
        <is>
          <t>11:30:00</t>
        </is>
      </c>
      <c r="L179" s="1155" t="inlineStr">
        <is>
          <t>Solihull|</t>
        </is>
      </c>
      <c r="M179" s="1155" t="inlineStr">
        <is>
          <t>Navin Soni</t>
        </is>
      </c>
      <c r="N179" s="1155" t="inlineStr">
        <is>
          <t>nsoni1@jaguarlandrover.com</t>
        </is>
      </c>
      <c r="O179" s="1155" t="inlineStr">
        <is>
          <t>GBP</t>
        </is>
      </c>
      <c r="P179" s="1155" t="n"/>
      <c r="Q179" s="1788" t="n">
        <v>12</v>
      </c>
      <c r="S179" s="1121">
        <f>H179-12</f>
        <v/>
      </c>
      <c r="T179" s="1121" t="n">
        <v>45947</v>
      </c>
      <c r="U179" s="1082" t="inlineStr">
        <is>
          <t>20251017-01</t>
        </is>
      </c>
      <c r="V179" s="1789">
        <f>H179+45</f>
        <v/>
      </c>
      <c r="W179" s="1788" t="n">
        <v>12</v>
      </c>
      <c r="X179" s="1121" t="n">
        <v>45996</v>
      </c>
      <c r="Y179" s="1790">
        <f>Q179-W179</f>
        <v/>
      </c>
    </row>
    <row r="180">
      <c r="A180" s="1096" t="n">
        <v>183</v>
      </c>
      <c r="B180" s="1096">
        <f>IF(COUNTIF(E$2:E$273, D180)=0, "Missing in D", "")</f>
        <v/>
      </c>
      <c r="C180" s="1096">
        <f>IF(COUNTIF(D$2:D$273, E180)=0, "Missing in E", "")</f>
        <v/>
      </c>
      <c r="E180" s="1155" t="inlineStr">
        <is>
          <t>IIY#3479900011471Na7</t>
        </is>
      </c>
      <c r="F180" s="1155" t="inlineStr">
        <is>
          <t>Seat Booking Confirmed</t>
        </is>
      </c>
      <c r="G180" s="1155" t="inlineStr">
        <is>
          <t>Woodland Photography Walk</t>
        </is>
      </c>
      <c r="H180" s="1787" t="inlineStr">
        <is>
          <t>17 Oct 2025</t>
        </is>
      </c>
      <c r="I180" s="1787" t="inlineStr">
        <is>
          <t>17 Oct 2025</t>
        </is>
      </c>
      <c r="J180" s="1157" t="inlineStr">
        <is>
          <t>09:30:00</t>
        </is>
      </c>
      <c r="K180" s="1157" t="inlineStr">
        <is>
          <t>11:30:00</t>
        </is>
      </c>
      <c r="L180" s="1155" t="inlineStr">
        <is>
          <t>Solihull|</t>
        </is>
      </c>
      <c r="M180" s="1155" t="inlineStr">
        <is>
          <t>Mahendran Divakaran</t>
        </is>
      </c>
      <c r="N180" s="1155" t="inlineStr">
        <is>
          <t>mdivaka1@jaguarlandrover.com</t>
        </is>
      </c>
      <c r="O180" s="1155" t="inlineStr">
        <is>
          <t>GBP</t>
        </is>
      </c>
      <c r="P180" s="1155" t="n"/>
      <c r="Q180" s="1788" t="n">
        <v>12</v>
      </c>
      <c r="S180" s="1121">
        <f>H180-12</f>
        <v/>
      </c>
      <c r="T180" s="1121" t="n">
        <v>45947</v>
      </c>
      <c r="U180" s="1082" t="inlineStr">
        <is>
          <t>20251017-01</t>
        </is>
      </c>
      <c r="V180" s="1789">
        <f>H180+45</f>
        <v/>
      </c>
      <c r="W180" s="1788" t="n">
        <v>12</v>
      </c>
      <c r="X180" s="1121" t="n">
        <v>45996</v>
      </c>
      <c r="Y180" s="1790">
        <f>Q180-W180</f>
        <v/>
      </c>
    </row>
    <row r="181">
      <c r="A181" s="1096" t="n">
        <v>184</v>
      </c>
      <c r="B181" s="1096">
        <f>IF(COUNTIF(E$2:E$273, D181)=0, "Missing in D", "")</f>
        <v/>
      </c>
      <c r="C181" s="1096">
        <f>IF(COUNTIF(D$2:D$273, E181)=0, "Missing in E", "")</f>
        <v/>
      </c>
      <c r="E181" s="1181" t="inlineStr">
        <is>
          <t>IIY#6858743431471Ak0</t>
        </is>
      </c>
      <c r="F181" s="1155" t="inlineStr">
        <is>
          <t>Seat Booking Confirmed</t>
        </is>
      </c>
      <c r="G181" s="1155" t="inlineStr">
        <is>
          <t>Woodland Photography Walk</t>
        </is>
      </c>
      <c r="H181" s="1787" t="inlineStr">
        <is>
          <t>17 Oct 2025</t>
        </is>
      </c>
      <c r="I181" s="1787" t="inlineStr">
        <is>
          <t>17 Oct 2025</t>
        </is>
      </c>
      <c r="J181" s="1157" t="inlineStr">
        <is>
          <t>09:30:00</t>
        </is>
      </c>
      <c r="K181" s="1157" t="inlineStr">
        <is>
          <t>11:30:00</t>
        </is>
      </c>
      <c r="L181" s="1155" t="inlineStr">
        <is>
          <t>Solihull|</t>
        </is>
      </c>
      <c r="M181" s="1155" t="inlineStr">
        <is>
          <t>Gopalachary Raghavachary</t>
        </is>
      </c>
      <c r="N181" s="1155" t="inlineStr">
        <is>
          <t>graghava@jaguarlandrover.com</t>
        </is>
      </c>
      <c r="O181" s="1155" t="inlineStr">
        <is>
          <t>GBP</t>
        </is>
      </c>
      <c r="P181" s="1155" t="n"/>
      <c r="Q181" s="1788" t="n">
        <v>15</v>
      </c>
      <c r="S181" s="1121">
        <f>H181-12</f>
        <v/>
      </c>
      <c r="T181" s="1121" t="n">
        <v>45947</v>
      </c>
      <c r="U181" s="1082" t="inlineStr">
        <is>
          <t>20251017-01</t>
        </is>
      </c>
      <c r="V181" s="1789">
        <f>H181+45</f>
        <v/>
      </c>
      <c r="W181" s="1788" t="n">
        <v>15</v>
      </c>
      <c r="X181" s="1121" t="n">
        <v>45996</v>
      </c>
      <c r="Y181" s="1790">
        <f>Q181-W181</f>
        <v/>
      </c>
    </row>
    <row r="182">
      <c r="A182" s="1096" t="n">
        <v>185</v>
      </c>
      <c r="B182" s="1096">
        <f>IF(COUNTIF(E$2:E$273, D182)=0, "Missing in D", "")</f>
        <v/>
      </c>
      <c r="C182" s="1096">
        <f>IF(COUNTIF(D$2:D$273, E182)=0, "Missing in E", "")</f>
        <v/>
      </c>
      <c r="E182" s="1155" t="inlineStr">
        <is>
          <t>IIY#2607704831471tfz</t>
        </is>
      </c>
      <c r="F182" s="1155" t="inlineStr">
        <is>
          <t>Seat Booking Confirmed</t>
        </is>
      </c>
      <c r="G182" s="1155" t="inlineStr">
        <is>
          <t>Woodland Photography Walk</t>
        </is>
      </c>
      <c r="H182" s="1787" t="inlineStr">
        <is>
          <t>17 Oct 2025</t>
        </is>
      </c>
      <c r="I182" s="1787" t="inlineStr">
        <is>
          <t>17 Oct 2025</t>
        </is>
      </c>
      <c r="J182" s="1157" t="inlineStr">
        <is>
          <t>09:30:00</t>
        </is>
      </c>
      <c r="K182" s="1157" t="inlineStr">
        <is>
          <t>11:30:00</t>
        </is>
      </c>
      <c r="L182" s="1155" t="inlineStr">
        <is>
          <t>Solihull|</t>
        </is>
      </c>
      <c r="M182" s="1155" t="inlineStr">
        <is>
          <t>Ilkan Akten</t>
        </is>
      </c>
      <c r="N182" s="1155" t="inlineStr">
        <is>
          <t>iakten@jaguarlandrover.com</t>
        </is>
      </c>
      <c r="O182" s="1155" t="inlineStr">
        <is>
          <t>GBP</t>
        </is>
      </c>
      <c r="P182" s="1155" t="n"/>
      <c r="Q182" s="1788" t="n">
        <v>15</v>
      </c>
      <c r="S182" s="1121">
        <f>H182-12</f>
        <v/>
      </c>
      <c r="T182" s="1121" t="n">
        <v>45947</v>
      </c>
      <c r="U182" s="1082" t="inlineStr">
        <is>
          <t>20251017-01</t>
        </is>
      </c>
      <c r="V182" s="1789">
        <f>H182+45</f>
        <v/>
      </c>
      <c r="W182" s="1788" t="n">
        <v>15</v>
      </c>
      <c r="X182" s="1121" t="n">
        <v>45996</v>
      </c>
      <c r="Y182" s="1790">
        <f>Q182-W182</f>
        <v/>
      </c>
    </row>
    <row r="183">
      <c r="A183" s="1096" t="n">
        <v>186</v>
      </c>
      <c r="B183" s="1096">
        <f>IF(COUNTIF(E$2:E$273, D183)=0, "Missing in D", "")</f>
        <v/>
      </c>
      <c r="C183" s="1096">
        <f>IF(COUNTIF(D$2:D$273, E183)=0, "Missing in E", "")</f>
        <v/>
      </c>
      <c r="E183" s="1155" t="inlineStr">
        <is>
          <t>IIY#4345421642471txD</t>
        </is>
      </c>
      <c r="F183" s="1155" t="inlineStr">
        <is>
          <t>Seat Booking Confirmed</t>
        </is>
      </c>
      <c r="G183" s="1155" t="inlineStr">
        <is>
          <t>Peak District Photography Workshops Padley Gorge</t>
        </is>
      </c>
      <c r="H183" s="1787" t="inlineStr">
        <is>
          <t>18 Oct 2025</t>
        </is>
      </c>
      <c r="I183" s="1787" t="inlineStr">
        <is>
          <t>18 Oct 2025</t>
        </is>
      </c>
      <c r="J183" s="1157" t="inlineStr">
        <is>
          <t>09:30:00</t>
        </is>
      </c>
      <c r="K183" s="1157" t="inlineStr">
        <is>
          <t>16:00:00</t>
        </is>
      </c>
      <c r="L183" s="1155" t="inlineStr">
        <is>
          <t>Grindleford|</t>
        </is>
      </c>
      <c r="M183" s="1155" t="inlineStr">
        <is>
          <t>Joseph Symonds</t>
        </is>
      </c>
      <c r="N183" s="1155" t="inlineStr">
        <is>
          <t>jsymond2@jaguarlandrover.com</t>
        </is>
      </c>
      <c r="O183" s="1155" t="inlineStr">
        <is>
          <t>GBP</t>
        </is>
      </c>
      <c r="P183" s="1155" t="n"/>
      <c r="Q183" s="1788" t="n">
        <v>150</v>
      </c>
      <c r="S183" s="1121">
        <f>H183-12</f>
        <v/>
      </c>
      <c r="T183" s="1121" t="n">
        <v>45948</v>
      </c>
      <c r="U183" s="1082" t="inlineStr">
        <is>
          <t>20251018-01</t>
        </is>
      </c>
      <c r="V183" s="1789">
        <f>H183+45</f>
        <v/>
      </c>
      <c r="W183" s="1788" t="n">
        <v>150</v>
      </c>
      <c r="X183" s="1121" t="n">
        <v>45996</v>
      </c>
      <c r="Y183" s="1790">
        <f>Q183-W183</f>
        <v/>
      </c>
    </row>
    <row r="184">
      <c r="A184" s="1096" t="n">
        <v>187</v>
      </c>
      <c r="B184" s="1096">
        <f>IF(COUNTIF(E$2:E$273, D184)=0, "Missing in D", "")</f>
        <v/>
      </c>
      <c r="C184" s="1096">
        <f>IF(COUNTIF(D$2:D$273, E184)=0, "Missing in E", "")</f>
        <v/>
      </c>
      <c r="E184" s="1167" t="inlineStr">
        <is>
          <t>IIY#4232937094571zCO</t>
        </is>
      </c>
      <c r="F184" s="1167" t="n"/>
      <c r="G184" s="1167" t="inlineStr">
        <is>
          <t>Peak District Photography Workshops Padley Gorge</t>
        </is>
      </c>
      <c r="H184" s="1797" t="n">
        <v>45948</v>
      </c>
      <c r="I184" s="1797" t="n">
        <v>45948</v>
      </c>
      <c r="J184" s="1169" t="n">
        <v>0.3958333333333333</v>
      </c>
      <c r="K184" s="1169" t="n">
        <v>0.6770833333333334</v>
      </c>
      <c r="L184" s="1167" t="inlineStr">
        <is>
          <t>Grindleford|</t>
        </is>
      </c>
      <c r="M184" s="1167" t="inlineStr">
        <is>
          <t>Jonathan Swindell</t>
        </is>
      </c>
      <c r="N184" s="1167" t="inlineStr">
        <is>
          <t>jswinde1@jaguarlandrover.com</t>
        </is>
      </c>
      <c r="O184" s="1155" t="inlineStr">
        <is>
          <t>GBP</t>
        </is>
      </c>
      <c r="P184" s="1155" t="n"/>
      <c r="Q184" s="1791" t="n">
        <v>150</v>
      </c>
      <c r="S184" s="1121">
        <f>H184-12</f>
        <v/>
      </c>
      <c r="T184" s="1121" t="n">
        <v>45948</v>
      </c>
      <c r="U184" s="1082" t="inlineStr">
        <is>
          <t>20251018-01</t>
        </is>
      </c>
      <c r="V184" s="1789">
        <f>H184+45</f>
        <v/>
      </c>
      <c r="W184" s="1791" t="n">
        <v>150</v>
      </c>
      <c r="X184" s="1121" t="n">
        <v>45996</v>
      </c>
      <c r="Y184" s="1790">
        <f>Q184-W184</f>
        <v/>
      </c>
    </row>
    <row r="185">
      <c r="A185" s="1096" t="n">
        <v>189</v>
      </c>
      <c r="B185" s="1096">
        <f>IF(COUNTIF(E$2:E$273, D185)=0, "Missing in D", "")</f>
        <v/>
      </c>
      <c r="C185" s="1096">
        <f>IF(COUNTIF(D$2:D$273, E185)=0, "Missing in E", "")</f>
        <v/>
      </c>
      <c r="E185" s="1155" t="inlineStr">
        <is>
          <t>IIY#3213562932471t0T</t>
        </is>
      </c>
      <c r="F185" s="1155" t="inlineStr">
        <is>
          <t>Seat Booking Confirmed</t>
        </is>
      </c>
      <c r="G185" s="1155" t="inlineStr">
        <is>
          <t>Batsford Arboretum 1-Day Autumn Photography Workshop</t>
        </is>
      </c>
      <c r="H185" s="1787" t="inlineStr">
        <is>
          <t>24 Oct 2025</t>
        </is>
      </c>
      <c r="I185" s="1787" t="inlineStr">
        <is>
          <t>24 Oct 2025</t>
        </is>
      </c>
      <c r="J185" s="1157" t="inlineStr">
        <is>
          <t>08:00:00</t>
        </is>
      </c>
      <c r="K185" s="1157" t="inlineStr">
        <is>
          <t>15:30:00</t>
        </is>
      </c>
      <c r="L185" s="1155" t="inlineStr">
        <is>
          <t>Gloucestershire|</t>
        </is>
      </c>
      <c r="M185" s="1155" t="inlineStr">
        <is>
          <t>Yuvraj Kalbhor</t>
        </is>
      </c>
      <c r="N185" s="1155" t="inlineStr">
        <is>
          <t>ykalbhor@jaguarlandrover.com</t>
        </is>
      </c>
      <c r="O185" s="1155" t="inlineStr">
        <is>
          <t>GBP</t>
        </is>
      </c>
      <c r="P185" s="1155" t="n"/>
      <c r="Q185" s="1791" t="n">
        <v>150</v>
      </c>
      <c r="S185" s="1121">
        <f>H185-12</f>
        <v/>
      </c>
      <c r="T185" s="1121" t="n">
        <v>45954</v>
      </c>
      <c r="U185" s="1082" t="inlineStr">
        <is>
          <t>20251024-01</t>
        </is>
      </c>
      <c r="V185" s="1789">
        <f>H185+45</f>
        <v/>
      </c>
      <c r="W185" s="1791" t="n">
        <v>150</v>
      </c>
      <c r="X185" s="1121" t="n">
        <v>45996</v>
      </c>
      <c r="Y185" s="1790">
        <f>Q185-W185</f>
        <v/>
      </c>
    </row>
    <row r="186">
      <c r="A186" s="1096" t="n">
        <v>190</v>
      </c>
      <c r="B186" s="1096">
        <f>IF(COUNTIF(E$2:E$273, D186)=0, "Missing in D", "")</f>
        <v/>
      </c>
      <c r="C186" s="1096">
        <f>IF(COUNTIF(D$2:D$273, E186)=0, "Missing in E", "")</f>
        <v/>
      </c>
      <c r="E186" s="1155" t="inlineStr">
        <is>
          <t>IIY#6809706543471pls</t>
        </is>
      </c>
      <c r="F186" s="1155" t="inlineStr">
        <is>
          <t>Seat Booking Confirmed</t>
        </is>
      </c>
      <c r="G186" s="1155" t="inlineStr">
        <is>
          <t>Batsford Arboretum 1-Day Autumn Photography Workshop</t>
        </is>
      </c>
      <c r="H186" s="1787" t="inlineStr">
        <is>
          <t>24 Oct 2025</t>
        </is>
      </c>
      <c r="I186" s="1787" t="inlineStr">
        <is>
          <t>24 Oct 2025</t>
        </is>
      </c>
      <c r="J186" s="1157" t="inlineStr">
        <is>
          <t>08:00:00</t>
        </is>
      </c>
      <c r="K186" s="1157" t="inlineStr">
        <is>
          <t>15:30:00</t>
        </is>
      </c>
      <c r="L186" s="1155" t="inlineStr">
        <is>
          <t>Gloucestershire|</t>
        </is>
      </c>
      <c r="M186" s="1155" t="inlineStr">
        <is>
          <t>Piotr Rachid Chehab</t>
        </is>
      </c>
      <c r="N186" s="1155" t="inlineStr">
        <is>
          <t>prachidc@jaguarlandrover.com</t>
        </is>
      </c>
      <c r="O186" s="1155" t="inlineStr">
        <is>
          <t>GBP</t>
        </is>
      </c>
      <c r="P186" s="1155" t="n"/>
      <c r="Q186" s="1788" t="n">
        <v>150</v>
      </c>
      <c r="S186" s="1121">
        <f>H186-12</f>
        <v/>
      </c>
      <c r="T186" s="1121" t="n">
        <v>45954</v>
      </c>
      <c r="U186" s="1082" t="inlineStr">
        <is>
          <t>20251024-01</t>
        </is>
      </c>
      <c r="V186" s="1789">
        <f>H186+45</f>
        <v/>
      </c>
      <c r="W186" s="1788" t="n">
        <v>150</v>
      </c>
      <c r="X186" s="1121" t="n">
        <v>45996</v>
      </c>
      <c r="Y186" s="1790">
        <f>Q186-W186</f>
        <v/>
      </c>
    </row>
    <row r="187">
      <c r="A187" s="1096" t="n">
        <v>191</v>
      </c>
      <c r="B187" s="1096">
        <f>IF(COUNTIF(E$2:E$273, D187)=0, "Missing in D", "")</f>
        <v/>
      </c>
      <c r="C187" s="1096">
        <f>IF(COUNTIF(D$2:D$273, E187)=0, "Missing in E", "")</f>
        <v/>
      </c>
      <c r="E187" s="1155" t="inlineStr">
        <is>
          <t>IIY#2482064703471hCz</t>
        </is>
      </c>
      <c r="F187" s="1155" t="inlineStr">
        <is>
          <t>Seat Booking Confirmed</t>
        </is>
      </c>
      <c r="G187" s="1155" t="inlineStr">
        <is>
          <t>Batsford Arboretum Autumn Half-Day Photography Workshop</t>
        </is>
      </c>
      <c r="H187" s="1787" t="inlineStr">
        <is>
          <t>24 Oct 2025</t>
        </is>
      </c>
      <c r="I187" s="1787" t="inlineStr">
        <is>
          <t>24 Oct 2025</t>
        </is>
      </c>
      <c r="J187" s="1157" t="inlineStr">
        <is>
          <t>08:00:00</t>
        </is>
      </c>
      <c r="K187" s="1157" t="inlineStr">
        <is>
          <t>11:30:00</t>
        </is>
      </c>
      <c r="L187" s="1155" t="inlineStr">
        <is>
          <t>Moreton In Marsh|</t>
        </is>
      </c>
      <c r="M187" s="1155" t="inlineStr">
        <is>
          <t>Jez Jerome</t>
        </is>
      </c>
      <c r="N187" s="1155" t="inlineStr">
        <is>
          <t>fjerome@jaguarlandrover.com</t>
        </is>
      </c>
      <c r="O187" s="1155" t="inlineStr">
        <is>
          <t>GBP</t>
        </is>
      </c>
      <c r="P187" s="1155" t="n"/>
      <c r="Q187" s="1791" t="n">
        <v>99</v>
      </c>
      <c r="S187" s="1121">
        <f>H187-12</f>
        <v/>
      </c>
      <c r="T187" s="1121" t="n">
        <v>45954</v>
      </c>
      <c r="U187" s="1082" t="inlineStr">
        <is>
          <t>20251024-01</t>
        </is>
      </c>
      <c r="V187" s="1789">
        <f>H187+45</f>
        <v/>
      </c>
      <c r="W187" s="1791" t="n">
        <v>99</v>
      </c>
      <c r="X187" s="1121" t="n">
        <v>45996</v>
      </c>
      <c r="Y187" s="1790">
        <f>Q187-W187</f>
        <v/>
      </c>
    </row>
    <row r="188">
      <c r="A188" s="1096" t="n">
        <v>192</v>
      </c>
      <c r="B188" s="1096">
        <f>IF(COUNTIF(E$2:E$273, D188)=0, "Missing in D", "")</f>
        <v/>
      </c>
      <c r="C188" s="1096">
        <f>IF(COUNTIF(D$2:D$273, E188)=0, "Missing in E", "")</f>
        <v/>
      </c>
      <c r="E188" s="1155" t="inlineStr">
        <is>
          <t>IIY#4713470681471OGb</t>
        </is>
      </c>
      <c r="F188" s="1155" t="inlineStr">
        <is>
          <t>Seat Booking Confirmed</t>
        </is>
      </c>
      <c r="G188" s="1155" t="inlineStr">
        <is>
          <t>Batsford Arboretum 1-Day Autumn Photography Workshop</t>
        </is>
      </c>
      <c r="H188" s="1787" t="inlineStr">
        <is>
          <t>25 Oct 2025</t>
        </is>
      </c>
      <c r="I188" s="1787" t="inlineStr">
        <is>
          <t>25 Oct 2025</t>
        </is>
      </c>
      <c r="J188" s="1157" t="inlineStr">
        <is>
          <t>08:00:00</t>
        </is>
      </c>
      <c r="K188" s="1157" t="inlineStr">
        <is>
          <t>17:00:00</t>
        </is>
      </c>
      <c r="L188" s="1155" t="inlineStr">
        <is>
          <t>Gloucestershire|</t>
        </is>
      </c>
      <c r="M188" s="1155" t="inlineStr">
        <is>
          <t>Stuart Webber</t>
        </is>
      </c>
      <c r="N188" s="1155" t="inlineStr">
        <is>
          <t>swebber2@jaguarlandrover.com</t>
        </is>
      </c>
      <c r="O188" s="1155" t="inlineStr">
        <is>
          <t>GBP</t>
        </is>
      </c>
      <c r="P188" s="1155" t="n"/>
      <c r="Q188" s="1788" t="n">
        <v>150</v>
      </c>
      <c r="S188" s="1121">
        <f>H188-12</f>
        <v/>
      </c>
      <c r="T188" s="1121" t="n">
        <v>45955</v>
      </c>
      <c r="U188" s="1082" t="inlineStr">
        <is>
          <t>20251025-01</t>
        </is>
      </c>
      <c r="V188" s="1789">
        <f>H188+45</f>
        <v/>
      </c>
      <c r="W188" s="1788" t="n">
        <v>150</v>
      </c>
      <c r="X188" s="1121" t="n">
        <v>45996</v>
      </c>
      <c r="Y188" s="1790">
        <f>Q188-W188</f>
        <v/>
      </c>
    </row>
    <row r="189">
      <c r="A189" s="1096" t="n">
        <v>193</v>
      </c>
      <c r="B189" s="1096">
        <f>IF(COUNTIF(E$2:E$273, D189)=0, "Missing in D", "")</f>
        <v/>
      </c>
      <c r="C189" s="1096">
        <f>IF(COUNTIF(D$2:D$273, E189)=0, "Missing in E", "")</f>
        <v/>
      </c>
      <c r="E189" s="1155" t="inlineStr">
        <is>
          <t>IIY#20985856914718fT</t>
        </is>
      </c>
      <c r="F189" s="1155" t="inlineStr">
        <is>
          <t>Seat Booking Confirmed</t>
        </is>
      </c>
      <c r="G189" s="1155" t="inlineStr">
        <is>
          <t>Batsford Arboretum 1-Day Autumn Photography Workshop</t>
        </is>
      </c>
      <c r="H189" s="1787" t="inlineStr">
        <is>
          <t>25 Oct 2025</t>
        </is>
      </c>
      <c r="I189" s="1787" t="inlineStr">
        <is>
          <t>25 Oct 2025</t>
        </is>
      </c>
      <c r="J189" s="1157" t="inlineStr">
        <is>
          <t>08:00:00</t>
        </is>
      </c>
      <c r="K189" s="1157" t="inlineStr">
        <is>
          <t>15:15:00</t>
        </is>
      </c>
      <c r="L189" s="1155" t="inlineStr">
        <is>
          <t>Gloucestershire|</t>
        </is>
      </c>
      <c r="M189" s="1155" t="inlineStr">
        <is>
          <t>Ross Harrison-Keefe</t>
        </is>
      </c>
      <c r="N189" s="1155" t="inlineStr">
        <is>
          <t>rharri37@jaguarlandrover.com</t>
        </is>
      </c>
      <c r="O189" s="1155" t="inlineStr">
        <is>
          <t>GBP</t>
        </is>
      </c>
      <c r="P189" s="1155" t="n"/>
      <c r="Q189" s="1788" t="n">
        <v>150</v>
      </c>
      <c r="S189" s="1121">
        <f>H189-12</f>
        <v/>
      </c>
      <c r="T189" s="1121" t="n">
        <v>45955</v>
      </c>
      <c r="U189" s="1082" t="inlineStr">
        <is>
          <t>20251025-01</t>
        </is>
      </c>
      <c r="V189" s="1789">
        <f>H189+45</f>
        <v/>
      </c>
      <c r="W189" s="1788" t="n">
        <v>150</v>
      </c>
      <c r="X189" s="1121" t="n">
        <v>45996</v>
      </c>
      <c r="Y189" s="1790">
        <f>Q189-W189</f>
        <v/>
      </c>
    </row>
    <row r="190">
      <c r="A190" s="1096" t="n">
        <v>194</v>
      </c>
      <c r="B190" s="1096">
        <f>IF(COUNTIF(E$2:E$273, D190)=0, "Missing in D", "")</f>
        <v/>
      </c>
      <c r="C190" s="1096">
        <f>IF(COUNTIF(D$2:D$273, E190)=0, "Missing in E", "")</f>
        <v/>
      </c>
      <c r="E190" s="1155" t="inlineStr">
        <is>
          <t>IIY#7351059982471A2N</t>
        </is>
      </c>
      <c r="F190" s="1155" t="inlineStr">
        <is>
          <t>Seat Booking Confirmed</t>
        </is>
      </c>
      <c r="G190" s="1155" t="inlineStr">
        <is>
          <t>Batsford Arboretum 1-Day Autumn Photography Workshop</t>
        </is>
      </c>
      <c r="H190" s="1787" t="inlineStr">
        <is>
          <t>25 Oct 2025</t>
        </is>
      </c>
      <c r="I190" s="1787" t="inlineStr">
        <is>
          <t>25 Oct 2025</t>
        </is>
      </c>
      <c r="J190" s="1157" t="inlineStr">
        <is>
          <t>08:00:00</t>
        </is>
      </c>
      <c r="K190" s="1157" t="inlineStr">
        <is>
          <t>15:30:00</t>
        </is>
      </c>
      <c r="L190" s="1155" t="inlineStr">
        <is>
          <t>Gloucestershire|</t>
        </is>
      </c>
      <c r="M190" s="1155" t="inlineStr">
        <is>
          <t>Tom Eagles</t>
        </is>
      </c>
      <c r="N190" s="1155" t="inlineStr">
        <is>
          <t>teagles2@jaguarlandrover.com</t>
        </is>
      </c>
      <c r="O190" s="1155" t="inlineStr">
        <is>
          <t>GBP</t>
        </is>
      </c>
      <c r="P190" s="1155" t="n"/>
      <c r="Q190" s="1788" t="n">
        <v>150</v>
      </c>
      <c r="S190" s="1121">
        <f>H190-12</f>
        <v/>
      </c>
      <c r="T190" s="1121" t="n">
        <v>45955</v>
      </c>
      <c r="U190" s="1082" t="inlineStr">
        <is>
          <t>20251025-01</t>
        </is>
      </c>
      <c r="V190" s="1789">
        <f>H190+45</f>
        <v/>
      </c>
      <c r="W190" s="1788" t="n">
        <v>150</v>
      </c>
      <c r="X190" s="1121" t="n">
        <v>45996</v>
      </c>
      <c r="Y190" s="1790">
        <f>Q190-W190</f>
        <v/>
      </c>
    </row>
    <row r="191">
      <c r="A191" s="1096" t="n">
        <v>195</v>
      </c>
      <c r="B191" s="1096">
        <f>IF(COUNTIF(E$2:E$273, D191)=0, "Missing in D", "")</f>
        <v/>
      </c>
      <c r="C191" s="1096">
        <f>IF(COUNTIF(D$2:D$273, E191)=0, "Missing in E", "")</f>
        <v/>
      </c>
      <c r="E191" s="1155" t="inlineStr">
        <is>
          <t>IIY#5540443343471j9h</t>
        </is>
      </c>
      <c r="F191" s="1155" t="inlineStr">
        <is>
          <t>Seat Booking Confirmed</t>
        </is>
      </c>
      <c r="G191" s="1155" t="inlineStr">
        <is>
          <t>Batsford Arboretum 1-Day Autumn Photography Workshop</t>
        </is>
      </c>
      <c r="H191" s="1787" t="inlineStr">
        <is>
          <t>25 Oct 2025</t>
        </is>
      </c>
      <c r="I191" s="1787" t="inlineStr">
        <is>
          <t>25 Oct 2025</t>
        </is>
      </c>
      <c r="J191" s="1157" t="inlineStr">
        <is>
          <t>08:00:00</t>
        </is>
      </c>
      <c r="K191" s="1157" t="inlineStr">
        <is>
          <t>15:30:00</t>
        </is>
      </c>
      <c r="L191" s="1155" t="inlineStr">
        <is>
          <t>Gloucestershire|</t>
        </is>
      </c>
      <c r="M191" s="1155" t="inlineStr">
        <is>
          <t>Peter Bell</t>
        </is>
      </c>
      <c r="N191" s="1155" t="inlineStr">
        <is>
          <t>pbell6@jaguarlandrover.com</t>
        </is>
      </c>
      <c r="O191" s="1155" t="inlineStr">
        <is>
          <t>GBP</t>
        </is>
      </c>
      <c r="P191" s="1155" t="n"/>
      <c r="Q191" s="1788" t="n">
        <v>150</v>
      </c>
      <c r="S191" s="1121">
        <f>H191-12</f>
        <v/>
      </c>
      <c r="T191" s="1121" t="n">
        <v>45955</v>
      </c>
      <c r="U191" s="1082" t="inlineStr">
        <is>
          <t>20251025-01</t>
        </is>
      </c>
      <c r="V191" s="1789">
        <f>H191+45</f>
        <v/>
      </c>
      <c r="W191" s="1788" t="n">
        <v>150</v>
      </c>
      <c r="X191" s="1121" t="n">
        <v>45996</v>
      </c>
      <c r="Y191" s="1790">
        <f>Q191-W191</f>
        <v/>
      </c>
    </row>
    <row r="192">
      <c r="A192" s="1096" t="n">
        <v>196</v>
      </c>
      <c r="B192" s="1096">
        <f>IF(COUNTIF(E$2:E$273, D192)=0, "Missing in D", "")</f>
        <v/>
      </c>
      <c r="C192" s="1096">
        <f>IF(COUNTIF(D$2:D$273, E192)=0, "Missing in E", "")</f>
        <v/>
      </c>
      <c r="E192" s="1155" t="inlineStr">
        <is>
          <t>IIY#6590373182471oSO</t>
        </is>
      </c>
      <c r="F192" s="1155" t="inlineStr">
        <is>
          <t>Seat Booking Confirmed</t>
        </is>
      </c>
      <c r="G192" s="1155" t="inlineStr">
        <is>
          <t>Batsford Arboretum Autumn Half-Day Photography Workshop</t>
        </is>
      </c>
      <c r="H192" s="1787" t="inlineStr">
        <is>
          <t>25 Oct 2025</t>
        </is>
      </c>
      <c r="I192" s="1787" t="inlineStr">
        <is>
          <t>25 Oct 2025</t>
        </is>
      </c>
      <c r="J192" s="1157" t="inlineStr">
        <is>
          <t>08:00:00</t>
        </is>
      </c>
      <c r="K192" s="1157" t="inlineStr">
        <is>
          <t>11:30:00</t>
        </is>
      </c>
      <c r="L192" s="1155" t="inlineStr">
        <is>
          <t>Moreton In Marsh|</t>
        </is>
      </c>
      <c r="M192" s="1155" t="inlineStr">
        <is>
          <t>Douglas Demori</t>
        </is>
      </c>
      <c r="N192" s="1155" t="inlineStr">
        <is>
          <t>ddemori@jaguarlandrover.com</t>
        </is>
      </c>
      <c r="O192" s="1155" t="inlineStr">
        <is>
          <t>GBP</t>
        </is>
      </c>
      <c r="P192" s="1155" t="n"/>
      <c r="Q192" s="1791" t="n">
        <v>99</v>
      </c>
      <c r="S192" s="1121">
        <f>H192-12</f>
        <v/>
      </c>
      <c r="T192" s="1121" t="n">
        <v>45955</v>
      </c>
      <c r="U192" s="1082" t="inlineStr">
        <is>
          <t>20251025-01</t>
        </is>
      </c>
      <c r="V192" s="1789">
        <f>H192+45</f>
        <v/>
      </c>
      <c r="W192" s="1791" t="n">
        <v>99</v>
      </c>
      <c r="X192" s="1121" t="n">
        <v>45996</v>
      </c>
      <c r="Y192" s="1790">
        <f>Q192-W192</f>
        <v/>
      </c>
    </row>
    <row r="193">
      <c r="A193" s="1096" t="n">
        <v>197</v>
      </c>
      <c r="B193" s="1096">
        <f>IF(COUNTIF(E$2:E$273, D193)=0, "Missing in D", "")</f>
        <v/>
      </c>
      <c r="C193" s="1096">
        <f>IF(COUNTIF(D$2:D$273, E193)=0, "Missing in E", "")</f>
        <v/>
      </c>
      <c r="E193" s="1155" t="inlineStr">
        <is>
          <t>IIY#4581929794471aOr</t>
        </is>
      </c>
      <c r="F193" s="1155" t="inlineStr">
        <is>
          <t>Seat Booking Confirmed</t>
        </is>
      </c>
      <c r="G193" s="1155" t="inlineStr">
        <is>
          <t>Batsford Arboretum 1-Day Autumn Photography Workshop</t>
        </is>
      </c>
      <c r="H193" s="1787" t="inlineStr">
        <is>
          <t>25 Oct 2025</t>
        </is>
      </c>
      <c r="I193" s="1787" t="inlineStr">
        <is>
          <t>25 Oct 2025</t>
        </is>
      </c>
      <c r="J193" s="1157" t="n">
        <v>0.3333333333333333</v>
      </c>
      <c r="K193" s="1157" t="n">
        <v>0.6458333333333334</v>
      </c>
      <c r="L193" s="1155" t="inlineStr">
        <is>
          <t>Gloucestershire|</t>
        </is>
      </c>
      <c r="M193" s="1155" t="inlineStr">
        <is>
          <t>Sara Roberts</t>
        </is>
      </c>
      <c r="N193" s="1155" t="inlineStr">
        <is>
          <t>srickar3@jaguarlandrover.com</t>
        </is>
      </c>
      <c r="O193" s="1155" t="inlineStr">
        <is>
          <t>GBP</t>
        </is>
      </c>
      <c r="P193" s="1155" t="n"/>
      <c r="Q193" s="1791" t="n">
        <v>150</v>
      </c>
      <c r="S193" s="1121">
        <f>H193-12</f>
        <v/>
      </c>
      <c r="T193" s="1121" t="n">
        <v>45955</v>
      </c>
      <c r="U193" s="1082" t="inlineStr">
        <is>
          <t>20251025-01</t>
        </is>
      </c>
      <c r="V193" s="1789">
        <f>H193+45</f>
        <v/>
      </c>
      <c r="W193" s="1791" t="n">
        <v>150</v>
      </c>
      <c r="X193" s="1121" t="n">
        <v>45996</v>
      </c>
      <c r="Y193" s="1790">
        <f>Q193-W193</f>
        <v/>
      </c>
    </row>
    <row r="194">
      <c r="A194" s="1096" t="n">
        <v>198</v>
      </c>
      <c r="B194" s="1096">
        <f>IF(COUNTIF(E$2:E$273, D194)=0, "Missing in D", "")</f>
        <v/>
      </c>
      <c r="C194" s="1096">
        <f>IF(COUNTIF(D$2:D$273, E194)=0, "Missing in E", "")</f>
        <v/>
      </c>
      <c r="E194" s="1155" t="inlineStr">
        <is>
          <t>IIY#4628289894571Z9y</t>
        </is>
      </c>
      <c r="F194" s="1155" t="n"/>
      <c r="G194" s="1155" t="inlineStr">
        <is>
          <t>Batsford Arboretum 1-Day Autumn Photography Workshop</t>
        </is>
      </c>
      <c r="H194" s="1787" t="inlineStr">
        <is>
          <t>25 Oct 2025</t>
        </is>
      </c>
      <c r="I194" s="1787" t="inlineStr">
        <is>
          <t>25 Oct 2025</t>
        </is>
      </c>
      <c r="J194" s="1157" t="n">
        <v>0.3333333333333333</v>
      </c>
      <c r="K194" s="1157" t="n">
        <v>0.6458333333333334</v>
      </c>
      <c r="L194" s="1155" t="inlineStr">
        <is>
          <t>Gloucestershire|</t>
        </is>
      </c>
      <c r="M194" s="1155" t="inlineStr">
        <is>
          <t>Lee Bishop</t>
        </is>
      </c>
      <c r="N194" s="1155" t="inlineStr">
        <is>
          <t>lbishop5@jaguarlandrover.com</t>
        </is>
      </c>
      <c r="O194" s="1155" t="inlineStr">
        <is>
          <t>GBP</t>
        </is>
      </c>
      <c r="P194" s="1155" t="n"/>
      <c r="Q194" s="1791" t="n">
        <v>150</v>
      </c>
      <c r="S194" s="1121">
        <f>H194-12</f>
        <v/>
      </c>
      <c r="T194" s="1121" t="n">
        <v>45955</v>
      </c>
      <c r="U194" s="1082" t="inlineStr">
        <is>
          <t>20251025-01</t>
        </is>
      </c>
      <c r="V194" s="1789">
        <f>H194+45</f>
        <v/>
      </c>
      <c r="W194" s="1791" t="n">
        <v>150</v>
      </c>
      <c r="X194" s="1121" t="n">
        <v>45996</v>
      </c>
      <c r="Y194" s="1790">
        <f>Q194-W194</f>
        <v/>
      </c>
    </row>
    <row r="195">
      <c r="A195" s="1096" t="n">
        <v>199</v>
      </c>
      <c r="B195" s="1096">
        <f>IF(COUNTIF(E$2:E$273, D195)=0, "Missing in D", "")</f>
        <v/>
      </c>
      <c r="C195" s="1096">
        <f>IF(COUNTIF(D$2:D$273, E195)=0, "Missing in E", "")</f>
        <v/>
      </c>
      <c r="E195" s="1155" t="inlineStr">
        <is>
          <t>IIY#0900389443471E7H</t>
        </is>
      </c>
      <c r="F195" s="1155" t="inlineStr">
        <is>
          <t>Seat Booking Confirmed</t>
        </is>
      </c>
      <c r="G195" s="1155" t="inlineStr">
        <is>
          <t>Batsford Arboretum Autumn Half-Day Photography Workshop</t>
        </is>
      </c>
      <c r="H195" s="1798" t="inlineStr">
        <is>
          <t>25 Oct 2025</t>
        </is>
      </c>
      <c r="I195" s="1787" t="inlineStr">
        <is>
          <t>25 Oct 2025</t>
        </is>
      </c>
      <c r="J195" s="1157" t="inlineStr">
        <is>
          <t>12:00:00</t>
        </is>
      </c>
      <c r="K195" s="1157" t="inlineStr">
        <is>
          <t>15:30:00</t>
        </is>
      </c>
      <c r="L195" s="1155" t="inlineStr">
        <is>
          <t>Moreton In Marsh|</t>
        </is>
      </c>
      <c r="M195" s="1155" t="inlineStr">
        <is>
          <t>Ros Freeman</t>
        </is>
      </c>
      <c r="N195" s="1155" t="inlineStr">
        <is>
          <t>rfreema1@jaguarlandrover.com</t>
        </is>
      </c>
      <c r="O195" s="1155" t="inlineStr">
        <is>
          <t>GBP</t>
        </is>
      </c>
      <c r="P195" s="1155" t="n"/>
      <c r="Q195" s="1791" t="n">
        <v>99</v>
      </c>
      <c r="S195" s="1121">
        <f>H195-12</f>
        <v/>
      </c>
      <c r="T195" s="1121" t="n">
        <v>45955</v>
      </c>
      <c r="U195" s="1082" t="inlineStr">
        <is>
          <t>20251025-01</t>
        </is>
      </c>
      <c r="V195" s="1789">
        <f>H195+45</f>
        <v/>
      </c>
      <c r="W195" s="1791" t="n">
        <v>99</v>
      </c>
      <c r="X195" s="1121" t="n">
        <v>45996</v>
      </c>
      <c r="Y195" s="1790">
        <f>Q195-W195</f>
        <v/>
      </c>
    </row>
    <row r="196">
      <c r="A196" s="1096" t="n">
        <v>200</v>
      </c>
      <c r="B196" s="1096">
        <f>IF(COUNTIF(E$2:E$273, D196)=0, "Missing in D", "")</f>
        <v/>
      </c>
      <c r="C196" s="1096">
        <f>IF(COUNTIF(D$2:D$273, E196)=0, "Missing in E", "")</f>
        <v/>
      </c>
      <c r="E196" s="1155" t="inlineStr">
        <is>
          <t>IIY#8074526005571yLP</t>
        </is>
      </c>
      <c r="F196" s="1155" t="n"/>
      <c r="G196" s="1155" t="inlineStr">
        <is>
          <t>Batsford Arboretum 1-Day Autumn Photography Workshop</t>
        </is>
      </c>
      <c r="H196" s="1796" t="n">
        <v>45956</v>
      </c>
      <c r="I196" s="1796" t="n">
        <v>45956</v>
      </c>
      <c r="J196" s="1157" t="n">
        <v>0.3333333333333333</v>
      </c>
      <c r="K196" s="1157" t="n">
        <v>0.6458333333333334</v>
      </c>
      <c r="L196" s="1155" t="inlineStr">
        <is>
          <t>Gloucestershire|</t>
        </is>
      </c>
      <c r="M196" s="1155" t="inlineStr">
        <is>
          <t>Christopher Franklin</t>
        </is>
      </c>
      <c r="N196" s="1155" t="inlineStr">
        <is>
          <t>cfrankl4@jaguarlandrover.com</t>
        </is>
      </c>
      <c r="O196" s="1155" t="inlineStr">
        <is>
          <t>GBP</t>
        </is>
      </c>
      <c r="P196" s="1155" t="n"/>
      <c r="Q196" s="1791" t="n">
        <v>150</v>
      </c>
      <c r="S196" s="1121">
        <f>H196-12</f>
        <v/>
      </c>
      <c r="T196" s="1121" t="n">
        <v>45956</v>
      </c>
      <c r="U196" s="1082" t="inlineStr">
        <is>
          <t>20251026-01</t>
        </is>
      </c>
      <c r="V196" s="1789">
        <f>H196+45</f>
        <v/>
      </c>
      <c r="W196" s="1791" t="n">
        <v>150</v>
      </c>
      <c r="X196" s="1121" t="n">
        <v>45996</v>
      </c>
      <c r="Y196" s="1790">
        <f>Q196-W196</f>
        <v/>
      </c>
    </row>
    <row r="197">
      <c r="A197" s="1096" t="n">
        <v>201</v>
      </c>
      <c r="B197" s="1096">
        <f>IF(COUNTIF(E$2:E$273, D197)=0, "Missing in D", "")</f>
        <v/>
      </c>
      <c r="C197" s="1096">
        <f>IF(COUNTIF(D$2:D$273, E197)=0, "Missing in E", "")</f>
        <v/>
      </c>
      <c r="E197" s="1155" t="inlineStr">
        <is>
          <t>IIY#33320829265711VE</t>
        </is>
      </c>
      <c r="F197" s="1155" t="n"/>
      <c r="G197" s="1155" t="inlineStr">
        <is>
          <t>Batsford Arboretum 1-Day Autumn Photography Workshop</t>
        </is>
      </c>
      <c r="H197" s="1796" t="n">
        <v>45956</v>
      </c>
      <c r="I197" s="1796" t="n">
        <v>45956</v>
      </c>
      <c r="J197" s="1157" t="n">
        <v>0.3333333333333333</v>
      </c>
      <c r="K197" s="1157" t="n">
        <v>0.6458333333333334</v>
      </c>
      <c r="L197" s="1155" t="inlineStr">
        <is>
          <t>Gloucestershire|</t>
        </is>
      </c>
      <c r="M197" s="1155" t="inlineStr">
        <is>
          <t>Supriya Shailapura Madhusudhana</t>
        </is>
      </c>
      <c r="N197" s="1155" t="inlineStr">
        <is>
          <t>sshailap@jaguarlandrover.com</t>
        </is>
      </c>
      <c r="O197" s="1155" t="inlineStr">
        <is>
          <t>GBP</t>
        </is>
      </c>
      <c r="P197" s="1155" t="n"/>
      <c r="Q197" s="1791" t="n">
        <v>150</v>
      </c>
      <c r="S197" s="1121">
        <f>H197-12</f>
        <v/>
      </c>
      <c r="T197" s="1121" t="n">
        <v>45956</v>
      </c>
      <c r="U197" s="1082" t="inlineStr">
        <is>
          <t>20251026-01</t>
        </is>
      </c>
      <c r="V197" s="1789">
        <f>H197+45</f>
        <v/>
      </c>
      <c r="W197" s="1791" t="n">
        <v>150</v>
      </c>
      <c r="X197" s="1121" t="n">
        <v>45996</v>
      </c>
      <c r="Y197" s="1790">
        <f>Q197-W197</f>
        <v/>
      </c>
    </row>
    <row r="198">
      <c r="A198" s="1096" t="n">
        <v>202</v>
      </c>
      <c r="B198" s="1096">
        <f>IF(COUNTIF(E$2:E$273, D198)=0, "Missing in D", "")</f>
        <v/>
      </c>
      <c r="C198" s="1096">
        <f>IF(COUNTIF(D$2:D$273, E198)=0, "Missing in E", "")</f>
        <v/>
      </c>
      <c r="E198" s="1181" t="inlineStr">
        <is>
          <t>IIY#7274622558571Vfc</t>
        </is>
      </c>
      <c r="F198" s="1155" t="inlineStr">
        <is>
          <t>Seat Booking Confirmed</t>
        </is>
      </c>
      <c r="G198" s="1155" t="inlineStr">
        <is>
          <t>Batsford Arboretum 1-Day Autumn Photography Workshop</t>
        </is>
      </c>
      <c r="H198" s="1796" t="n">
        <v>45956</v>
      </c>
      <c r="I198" s="1796" t="n">
        <v>45956</v>
      </c>
      <c r="J198" s="1157" t="n">
        <v>0.3333333333333333</v>
      </c>
      <c r="K198" s="1157" t="n">
        <v>0.6458333333333334</v>
      </c>
      <c r="L198" s="1155" t="inlineStr">
        <is>
          <t>Gloucestershire|</t>
        </is>
      </c>
      <c r="M198" s="1155" t="inlineStr">
        <is>
          <t>Deepak Kanakandath</t>
        </is>
      </c>
      <c r="N198" s="1155" t="inlineStr">
        <is>
          <t>dkanaka1@jaguarlandrover.com</t>
        </is>
      </c>
      <c r="O198" s="1155" t="inlineStr">
        <is>
          <t>GBP</t>
        </is>
      </c>
      <c r="P198" s="1155" t="n">
        <v>0</v>
      </c>
      <c r="Q198" s="1791" t="n">
        <v>150</v>
      </c>
      <c r="S198" s="1121">
        <f>H198-12</f>
        <v/>
      </c>
      <c r="T198" s="1121" t="n">
        <v>45956</v>
      </c>
      <c r="U198" s="1082" t="inlineStr">
        <is>
          <t>20251026-01</t>
        </is>
      </c>
      <c r="V198" s="1799">
        <f>H198+45</f>
        <v/>
      </c>
      <c r="W198" s="1791" t="n">
        <v>150</v>
      </c>
      <c r="X198" s="1121" t="n">
        <v>45996</v>
      </c>
      <c r="Y198" s="1800">
        <f>Q198-W198</f>
        <v/>
      </c>
    </row>
    <row r="199">
      <c r="A199" s="1096" t="n">
        <v>203</v>
      </c>
      <c r="B199" s="1096">
        <f>IF(COUNTIF(E$2:E$273, D199)=0, "Missing in D", "")</f>
        <v/>
      </c>
      <c r="C199" s="1096">
        <f>IF(COUNTIF(D$2:D$273, E199)=0, "Missing in E", "")</f>
        <v/>
      </c>
      <c r="E199" s="1155" t="inlineStr">
        <is>
          <t>IIY#8408345399571mU6</t>
        </is>
      </c>
      <c r="F199" s="1155" t="inlineStr">
        <is>
          <t>Seat Booking Confirmed</t>
        </is>
      </c>
      <c r="G199" s="1155" t="inlineStr">
        <is>
          <t>Batsford Arboretum 1-Day Autumn Photography Workshop</t>
        </is>
      </c>
      <c r="H199" s="1796" t="n">
        <v>45956</v>
      </c>
      <c r="I199" s="1796" t="n">
        <v>45956</v>
      </c>
      <c r="J199" s="1157" t="n">
        <v>0.3333333333333333</v>
      </c>
      <c r="K199" s="1157" t="n">
        <v>0.6458333333333334</v>
      </c>
      <c r="L199" s="1155" t="inlineStr">
        <is>
          <t>Gloucestershire|</t>
        </is>
      </c>
      <c r="M199" s="1155" t="inlineStr">
        <is>
          <t>Simon Worledge</t>
        </is>
      </c>
      <c r="N199" s="1155" t="inlineStr">
        <is>
          <t>sworledg@jaguarlandrover.com</t>
        </is>
      </c>
      <c r="O199" s="1155" t="inlineStr">
        <is>
          <t>GBP</t>
        </is>
      </c>
      <c r="P199" s="1155" t="n">
        <v>0</v>
      </c>
      <c r="Q199" s="1791" t="n">
        <v>150</v>
      </c>
      <c r="S199" s="1121">
        <f>H199-12</f>
        <v/>
      </c>
      <c r="T199" s="1121" t="n">
        <v>45956</v>
      </c>
      <c r="U199" s="1082" t="inlineStr">
        <is>
          <t>20251026-01</t>
        </is>
      </c>
      <c r="V199" s="1789">
        <f>H199+45</f>
        <v/>
      </c>
      <c r="W199" s="1791" t="n">
        <v>150</v>
      </c>
      <c r="X199" s="1121" t="n">
        <v>45996</v>
      </c>
      <c r="Y199" s="1790">
        <f>Q199-W199</f>
        <v/>
      </c>
    </row>
    <row r="200">
      <c r="A200" s="1096" t="n">
        <v>204</v>
      </c>
      <c r="B200" s="1096">
        <f>IF(COUNTIF(E$2:E$273, D200)=0, "Missing in D", "")</f>
        <v/>
      </c>
      <c r="C200" s="1096">
        <f>IF(COUNTIF(D$2:D$273, E200)=0, "Missing in E", "")</f>
        <v/>
      </c>
      <c r="E200" s="1196" t="inlineStr">
        <is>
          <t>IIY#52261432144718Dv</t>
        </is>
      </c>
      <c r="F200" s="1155" t="inlineStr">
        <is>
          <t>Seat Booking Confirmed</t>
        </is>
      </c>
      <c r="G200" s="1155" t="inlineStr">
        <is>
          <t>Batsford Arboretum Autumn Half-Day Photography Workshop</t>
        </is>
      </c>
      <c r="H200" s="1796" t="n">
        <v>45956</v>
      </c>
      <c r="I200" s="1796" t="n">
        <v>45956</v>
      </c>
      <c r="J200" s="1157" t="n">
        <v>0.5</v>
      </c>
      <c r="K200" s="1157" t="n">
        <v>0.6458333333333334</v>
      </c>
      <c r="L200" s="1155" t="inlineStr">
        <is>
          <t>Moreton In Marsh|</t>
        </is>
      </c>
      <c r="M200" s="1155" t="inlineStr">
        <is>
          <t>Or Shachar</t>
        </is>
      </c>
      <c r="N200" s="1155" t="inlineStr">
        <is>
          <t>oshachar@jaguarlandrover.com</t>
        </is>
      </c>
      <c r="O200" s="1155" t="inlineStr">
        <is>
          <t>GBP</t>
        </is>
      </c>
      <c r="P200" s="1155" t="n"/>
      <c r="Q200" s="1791" t="n">
        <v>99</v>
      </c>
      <c r="R200" s="1088" t="n"/>
      <c r="S200" s="1121">
        <f>H200-12</f>
        <v/>
      </c>
      <c r="T200" s="1121" t="n">
        <v>45956</v>
      </c>
      <c r="U200" s="1082" t="inlineStr">
        <is>
          <t>20251026-01</t>
        </is>
      </c>
      <c r="V200" s="1789">
        <f>H200+45</f>
        <v/>
      </c>
      <c r="W200" s="1791" t="n">
        <v>99</v>
      </c>
      <c r="X200" s="1121" t="n">
        <v>45996</v>
      </c>
      <c r="Y200" s="1790">
        <f>Q200-W200</f>
        <v/>
      </c>
    </row>
    <row r="201">
      <c r="A201" s="1096" t="n">
        <v>205</v>
      </c>
      <c r="B201" s="1096">
        <f>IF(COUNTIF(E$2:E$273, D201)=0, "Missing in D", "")</f>
        <v/>
      </c>
      <c r="C201" s="1096">
        <f>IF( COUNTIF(D$2:D$273,#REF!)=0, "Missing in E", "")</f>
        <v/>
      </c>
      <c r="E201" s="1155" t="inlineStr">
        <is>
          <t>IIY#9172752670471ior</t>
        </is>
      </c>
      <c r="F201" s="1155" t="inlineStr">
        <is>
          <t>Seat Booking Confirmed</t>
        </is>
      </c>
      <c r="G201" s="1155" t="inlineStr">
        <is>
          <t>Batsford Arboretum Autumn Half-Day Photography Workshop</t>
        </is>
      </c>
      <c r="H201" s="1787" t="inlineStr">
        <is>
          <t>31 Oct 2025</t>
        </is>
      </c>
      <c r="I201" s="1787" t="inlineStr">
        <is>
          <t>31 Oct 2025</t>
        </is>
      </c>
      <c r="J201" s="1157" t="inlineStr">
        <is>
          <t>08:00:00</t>
        </is>
      </c>
      <c r="K201" s="1157" t="inlineStr">
        <is>
          <t>15:30:00</t>
        </is>
      </c>
      <c r="L201" s="1155" t="inlineStr">
        <is>
          <t>Moreton In Marsh|</t>
        </is>
      </c>
      <c r="M201" s="1155" t="inlineStr">
        <is>
          <t>Aaron Williams</t>
        </is>
      </c>
      <c r="N201" s="1155" t="inlineStr">
        <is>
          <t>awilli60@jaguarlandrover.com</t>
        </is>
      </c>
      <c r="O201" s="1155" t="inlineStr">
        <is>
          <t>GBP</t>
        </is>
      </c>
      <c r="P201" s="1155" t="n"/>
      <c r="Q201" s="1788" t="n">
        <v>99</v>
      </c>
      <c r="S201" s="1121">
        <f>H201-12</f>
        <v/>
      </c>
      <c r="T201" s="1121" t="n">
        <v>45961</v>
      </c>
      <c r="U201" s="1082" t="inlineStr">
        <is>
          <t>20251031-01</t>
        </is>
      </c>
      <c r="V201" s="1789">
        <f>H201+45</f>
        <v/>
      </c>
      <c r="W201" s="1791" t="n">
        <v>99</v>
      </c>
      <c r="X201" s="1121" t="n">
        <v>46003</v>
      </c>
      <c r="Y201" s="1790">
        <f>Q201-W201</f>
        <v/>
      </c>
    </row>
    <row r="202">
      <c r="A202" s="1096" t="n">
        <v>206</v>
      </c>
      <c r="B202" s="1096">
        <f>IF(COUNTIF(E$2:E$273, D202)=0, "Missing in D", "")</f>
        <v/>
      </c>
      <c r="C202" s="1096">
        <f>IF( COUNTIF(D$2:D$273,#REF!)=0, "Missing in E", "")</f>
        <v/>
      </c>
      <c r="E202" s="1181" t="inlineStr">
        <is>
          <t>IIY#5174752670471JS8</t>
        </is>
      </c>
      <c r="F202" s="1181" t="inlineStr">
        <is>
          <t>Seat Booking Confirmed</t>
        </is>
      </c>
      <c r="G202" s="1181" t="inlineStr">
        <is>
          <t>Batsford Arboretum Autumn Half-Day Photography Workshop</t>
        </is>
      </c>
      <c r="H202" s="1795" t="inlineStr">
        <is>
          <t>31 Oct 2025</t>
        </is>
      </c>
      <c r="I202" s="1795" t="inlineStr">
        <is>
          <t>31 Oct 2025</t>
        </is>
      </c>
      <c r="J202" s="1183" t="inlineStr">
        <is>
          <t>08:00:00</t>
        </is>
      </c>
      <c r="K202" s="1183" t="inlineStr">
        <is>
          <t>15:30:00</t>
        </is>
      </c>
      <c r="L202" s="1181" t="inlineStr">
        <is>
          <t>Moreton In Marsh|</t>
        </is>
      </c>
      <c r="M202" s="1181" t="inlineStr">
        <is>
          <t>Junaid Sipple</t>
        </is>
      </c>
      <c r="N202" s="1181" t="inlineStr">
        <is>
          <t>jsipple@jaguarlandrover.com</t>
        </is>
      </c>
      <c r="O202" s="1181" t="inlineStr">
        <is>
          <t>GBP</t>
        </is>
      </c>
      <c r="P202" s="1181" t="n"/>
      <c r="Q202" s="1801" t="n">
        <v>99</v>
      </c>
      <c r="S202" s="1121">
        <f>H202-12</f>
        <v/>
      </c>
      <c r="T202" s="1121" t="n">
        <v>45961</v>
      </c>
      <c r="U202" s="1082" t="inlineStr">
        <is>
          <t>20251031-01</t>
        </is>
      </c>
      <c r="V202" s="1789">
        <f>H202+45</f>
        <v/>
      </c>
      <c r="W202" s="1791" t="n">
        <v>99</v>
      </c>
      <c r="X202" s="1121" t="n">
        <v>46003</v>
      </c>
      <c r="Y202" s="1790">
        <f>Q202-W202</f>
        <v/>
      </c>
    </row>
    <row r="203">
      <c r="A203" s="1096" t="n">
        <v>207</v>
      </c>
      <c r="B203" s="1096">
        <f>IF(COUNTIF(E$2:E$273, D203)=0, "Missing in D", "")</f>
        <v/>
      </c>
      <c r="C203" s="1096">
        <f>IF( COUNTIF(D$2:D$273,#REF!)=0, "Missing in E", "")</f>
        <v/>
      </c>
      <c r="E203" s="1155" t="inlineStr">
        <is>
          <t>IIY#8212997615571kCu</t>
        </is>
      </c>
      <c r="F203" s="1155" t="n"/>
      <c r="G203" s="1155" t="inlineStr">
        <is>
          <t>Peak District Photography Workshops Padley Gorge</t>
        </is>
      </c>
      <c r="H203" s="1787" t="n">
        <v>45963</v>
      </c>
      <c r="I203" s="1787" t="n">
        <v>45963</v>
      </c>
      <c r="J203" s="1157" t="n">
        <v>0.3958333333333333</v>
      </c>
      <c r="K203" s="1157" t="n">
        <v>0.6666666666666666</v>
      </c>
      <c r="L203" s="1155" t="inlineStr">
        <is>
          <t>Grindleford|</t>
        </is>
      </c>
      <c r="M203" s="1155" t="inlineStr">
        <is>
          <t>Colin Whittaker</t>
        </is>
      </c>
      <c r="N203" s="1155" t="inlineStr">
        <is>
          <t>cwhitta1@jaguarlandrover.com</t>
        </is>
      </c>
      <c r="O203" s="1155" t="inlineStr">
        <is>
          <t>GBP</t>
        </is>
      </c>
      <c r="P203" s="1155" t="n"/>
      <c r="Q203" s="1791" t="n">
        <v>150</v>
      </c>
      <c r="S203" s="1121">
        <f>H203-12</f>
        <v/>
      </c>
      <c r="T203" s="1121" t="n">
        <v>45963</v>
      </c>
      <c r="U203" s="1082" t="inlineStr">
        <is>
          <t>20251102-01</t>
        </is>
      </c>
      <c r="V203" s="1789">
        <f>H203+45</f>
        <v/>
      </c>
      <c r="W203" s="1791" t="n">
        <v>150</v>
      </c>
      <c r="X203" s="1121" t="n">
        <v>46003</v>
      </c>
      <c r="Y203" s="1790">
        <f>Q203-W203</f>
        <v/>
      </c>
    </row>
    <row r="204">
      <c r="A204" s="1096" t="n">
        <v>208</v>
      </c>
      <c r="B204" s="1096">
        <f>IF(COUNTIF(E$2:E$273, D204)=0, "Missing in D", "")</f>
        <v/>
      </c>
      <c r="C204" s="1096">
        <f>IF( COUNTIF(D$2:D$273,#REF!)=0, "Missing in E", "")</f>
        <v/>
      </c>
      <c r="E204" s="1155" t="inlineStr">
        <is>
          <t>IIY#7756327143471GDx</t>
        </is>
      </c>
      <c r="F204" s="1155" t="inlineStr">
        <is>
          <t>Seat Booking Confirmed</t>
        </is>
      </c>
      <c r="G204" s="1155" t="inlineStr">
        <is>
          <t>Camera Courses For Beginners</t>
        </is>
      </c>
      <c r="H204" s="1787" t="inlineStr">
        <is>
          <t>03 Nov 2025</t>
        </is>
      </c>
      <c r="I204" s="1787" t="inlineStr">
        <is>
          <t>20 Nov 2025</t>
        </is>
      </c>
      <c r="J204" s="1157" t="inlineStr">
        <is>
          <t>19:00:00</t>
        </is>
      </c>
      <c r="K204" s="1157" t="inlineStr">
        <is>
          <t>21:00:00</t>
        </is>
      </c>
      <c r="L204" s="1155" t="inlineStr">
        <is>
          <t>Coventry|</t>
        </is>
      </c>
      <c r="M204" s="1155" t="inlineStr">
        <is>
          <t>Siddharth Patil</t>
        </is>
      </c>
      <c r="N204" s="1155" t="inlineStr">
        <is>
          <t>spati145@jaguarlandrover.com</t>
        </is>
      </c>
      <c r="O204" s="1155" t="inlineStr">
        <is>
          <t>GBP</t>
        </is>
      </c>
      <c r="P204" s="1155" t="n"/>
      <c r="Q204" s="1788" t="n">
        <v>150</v>
      </c>
      <c r="S204" s="1121">
        <f>H204-12</f>
        <v/>
      </c>
      <c r="T204" s="1121" t="n">
        <v>45964</v>
      </c>
      <c r="U204" s="1082" t="inlineStr">
        <is>
          <t>20251103-01</t>
        </is>
      </c>
      <c r="V204" s="1789">
        <f>H204+45</f>
        <v/>
      </c>
      <c r="W204" s="1791" t="n">
        <v>150</v>
      </c>
      <c r="X204" s="1121" t="n">
        <v>46010</v>
      </c>
      <c r="Y204" s="1790">
        <f>Q204-W204</f>
        <v/>
      </c>
    </row>
    <row r="205">
      <c r="A205" s="1096" t="n">
        <v>209</v>
      </c>
      <c r="B205" s="1096">
        <f>IF(COUNTIF(E$2:E$273, D205)=0, "Missing in D", "")</f>
        <v/>
      </c>
      <c r="C205" s="1096">
        <f>IF(COUNTIF(D$2:D$273, E205)=0, "Missing in E", "")</f>
        <v/>
      </c>
      <c r="E205" s="1155" t="inlineStr">
        <is>
          <t>IIY#5659702298371g0y</t>
        </is>
      </c>
      <c r="F205" s="1155" t="inlineStr">
        <is>
          <t>Seat Booking Confirmed</t>
        </is>
      </c>
      <c r="G205" s="1155" t="inlineStr">
        <is>
          <t>Woodland Photography Walk</t>
        </is>
      </c>
      <c r="H205" s="1787" t="inlineStr">
        <is>
          <t>07 Nov 2025</t>
        </is>
      </c>
      <c r="I205" s="1787" t="inlineStr">
        <is>
          <t>07 Nov 2025</t>
        </is>
      </c>
      <c r="J205" s="1157" t="inlineStr">
        <is>
          <t>09:30:00</t>
        </is>
      </c>
      <c r="K205" s="1157" t="inlineStr">
        <is>
          <t>11:30:00</t>
        </is>
      </c>
      <c r="L205" s="1155" t="inlineStr">
        <is>
          <t>Solihull|</t>
        </is>
      </c>
      <c r="M205" s="1155" t="inlineStr">
        <is>
          <t>Andrei Giubalca</t>
        </is>
      </c>
      <c r="N205" s="1155" t="inlineStr">
        <is>
          <t>agiubalc@jaguarlandrover.com</t>
        </is>
      </c>
      <c r="O205" s="1155" t="inlineStr">
        <is>
          <t>GBP</t>
        </is>
      </c>
      <c r="P205" s="1155" t="n"/>
      <c r="Q205" s="1788" t="n">
        <v>12</v>
      </c>
      <c r="S205" s="1121">
        <f>H205-12</f>
        <v/>
      </c>
      <c r="T205" s="1121" t="n">
        <v>45968</v>
      </c>
      <c r="U205" s="1082" t="inlineStr">
        <is>
          <t>20251107-01</t>
        </is>
      </c>
      <c r="V205" s="1789">
        <f>H205+45</f>
        <v/>
      </c>
      <c r="W205" s="1791" t="n">
        <v>12</v>
      </c>
      <c r="X205" s="1121" t="n">
        <v>46010</v>
      </c>
      <c r="Y205" s="1790">
        <f>Q205-W205</f>
        <v/>
      </c>
    </row>
    <row r="206">
      <c r="A206" s="1096" t="n">
        <v>210</v>
      </c>
      <c r="B206" s="1096">
        <f>IF(COUNTIF(E$2:E$273, D206)=0, "Missing in D", "")</f>
        <v/>
      </c>
      <c r="C206" s="1096">
        <f>IF(COUNTIF(D$2:D$273, E206)=0, "Missing in E", "")</f>
        <v/>
      </c>
      <c r="E206" s="1155" t="inlineStr">
        <is>
          <t>IIY#4040941431471LXv</t>
        </is>
      </c>
      <c r="F206" s="1155" t="inlineStr">
        <is>
          <t>Seat Booking Confirmed</t>
        </is>
      </c>
      <c r="G206" s="1155" t="inlineStr">
        <is>
          <t>Woodland Photography Walk</t>
        </is>
      </c>
      <c r="H206" s="1787" t="inlineStr">
        <is>
          <t>07 Nov 2025</t>
        </is>
      </c>
      <c r="I206" s="1787" t="inlineStr">
        <is>
          <t>07 Nov 2025</t>
        </is>
      </c>
      <c r="J206" s="1157" t="inlineStr">
        <is>
          <t>09:30:00</t>
        </is>
      </c>
      <c r="K206" s="1157" t="inlineStr">
        <is>
          <t>11:30:00</t>
        </is>
      </c>
      <c r="L206" s="1155" t="inlineStr">
        <is>
          <t>Solihull|</t>
        </is>
      </c>
      <c r="M206" s="1155" t="inlineStr">
        <is>
          <t>Simon Underwood</t>
        </is>
      </c>
      <c r="N206" s="1155" t="inlineStr">
        <is>
          <t>sunderw2@jaguarlandrover.com</t>
        </is>
      </c>
      <c r="O206" s="1155" t="inlineStr">
        <is>
          <t>GBP</t>
        </is>
      </c>
      <c r="P206" s="1155" t="n"/>
      <c r="Q206" s="1788" t="n">
        <v>15</v>
      </c>
      <c r="S206" s="1121">
        <f>H206-12</f>
        <v/>
      </c>
      <c r="T206" s="1121" t="n">
        <v>45968</v>
      </c>
      <c r="U206" s="1082" t="inlineStr">
        <is>
          <t>20251107-01</t>
        </is>
      </c>
      <c r="V206" s="1789">
        <f>H206+45</f>
        <v/>
      </c>
      <c r="W206" s="1791" t="n">
        <v>15</v>
      </c>
      <c r="X206" s="1121" t="n">
        <v>46010</v>
      </c>
      <c r="Y206" s="1790">
        <f>Q206-W206</f>
        <v/>
      </c>
    </row>
    <row r="207">
      <c r="A207" s="1096" t="n">
        <v>211</v>
      </c>
      <c r="B207" s="1096">
        <f>IF(COUNTIF(E$2:E$273, D207)=0, "Missing in D", "")</f>
        <v/>
      </c>
      <c r="C207" s="1096">
        <f>IF( COUNTIF(D$2:D$273,#REF!)=0, "Missing in E", "")</f>
        <v/>
      </c>
      <c r="E207" s="1155" t="inlineStr">
        <is>
          <t>IIY#3220620832471DLP</t>
        </is>
      </c>
      <c r="F207" s="1155" t="inlineStr">
        <is>
          <t>Seat Booking Confirmed</t>
        </is>
      </c>
      <c r="G207" s="1155" t="inlineStr">
        <is>
          <t>Woodland Photography Walk</t>
        </is>
      </c>
      <c r="H207" s="1787" t="inlineStr">
        <is>
          <t>07 Nov 2025</t>
        </is>
      </c>
      <c r="I207" s="1787" t="inlineStr">
        <is>
          <t>07 Nov 2025</t>
        </is>
      </c>
      <c r="J207" s="1157" t="inlineStr">
        <is>
          <t>09:30:00</t>
        </is>
      </c>
      <c r="K207" s="1157" t="inlineStr">
        <is>
          <t>11:30:00</t>
        </is>
      </c>
      <c r="L207" s="1155" t="inlineStr">
        <is>
          <t>Solihull|</t>
        </is>
      </c>
      <c r="M207" s="1155" t="inlineStr">
        <is>
          <t>Elkana Rop</t>
        </is>
      </c>
      <c r="N207" s="1155" t="inlineStr">
        <is>
          <t>erop@jaguarlandrover.com</t>
        </is>
      </c>
      <c r="O207" s="1155" t="inlineStr">
        <is>
          <t>GBP</t>
        </is>
      </c>
      <c r="P207" s="1155" t="n"/>
      <c r="Q207" s="1791" t="n">
        <v>15</v>
      </c>
      <c r="S207" s="1121">
        <f>H207-12</f>
        <v/>
      </c>
      <c r="T207" s="1121" t="n">
        <v>45968</v>
      </c>
      <c r="U207" s="1082" t="inlineStr">
        <is>
          <t>20251107-01</t>
        </is>
      </c>
      <c r="V207" s="1789">
        <f>H207+45</f>
        <v/>
      </c>
      <c r="W207" s="1791" t="n">
        <v>15</v>
      </c>
      <c r="X207" s="1121" t="n">
        <v>46010</v>
      </c>
      <c r="Y207" s="1790">
        <f>Q207-W207</f>
        <v/>
      </c>
    </row>
    <row r="208">
      <c r="A208" s="1096" t="n">
        <v>212</v>
      </c>
      <c r="B208" s="1096">
        <f>IF(COUNTIF(E$2:E$273, D208)=0, "Missing in D", "")</f>
        <v/>
      </c>
      <c r="C208" s="1096">
        <f>IF( COUNTIF(D$2:D$273,#REF!)=0, "Missing in E", "")</f>
        <v/>
      </c>
      <c r="E208" s="1155" t="inlineStr">
        <is>
          <t>IIY#1769015832471HTo</t>
        </is>
      </c>
      <c r="F208" s="1155" t="inlineStr">
        <is>
          <t>Seat Booking Confirmed</t>
        </is>
      </c>
      <c r="G208" s="1155" t="inlineStr">
        <is>
          <t>Woodland Photography Walk</t>
        </is>
      </c>
      <c r="H208" s="1787" t="inlineStr">
        <is>
          <t>07 Nov 2025</t>
        </is>
      </c>
      <c r="I208" s="1787" t="inlineStr">
        <is>
          <t>07 Nov 2025</t>
        </is>
      </c>
      <c r="J208" s="1157" t="inlineStr">
        <is>
          <t>09:30:00</t>
        </is>
      </c>
      <c r="K208" s="1157" t="inlineStr">
        <is>
          <t>11:30:00</t>
        </is>
      </c>
      <c r="L208" s="1155" t="inlineStr">
        <is>
          <t>Solihull|</t>
        </is>
      </c>
      <c r="M208" s="1155" t="inlineStr">
        <is>
          <t>Isabella Montoya</t>
        </is>
      </c>
      <c r="N208" s="1155" t="inlineStr">
        <is>
          <t>imontoy1@jaguarlandrover.com</t>
        </is>
      </c>
      <c r="O208" s="1155" t="inlineStr">
        <is>
          <t>GBP</t>
        </is>
      </c>
      <c r="P208" s="1155" t="n"/>
      <c r="Q208" s="1788" t="n">
        <v>15</v>
      </c>
      <c r="S208" s="1121">
        <f>H208-12</f>
        <v/>
      </c>
      <c r="T208" s="1121" t="n">
        <v>45968</v>
      </c>
      <c r="U208" s="1082" t="inlineStr">
        <is>
          <t>20251107-01</t>
        </is>
      </c>
      <c r="V208" s="1789">
        <f>H208+45</f>
        <v/>
      </c>
      <c r="W208" s="1791" t="n">
        <v>15</v>
      </c>
      <c r="X208" s="1121" t="n">
        <v>46010</v>
      </c>
      <c r="Y208" s="1790">
        <f>Q208-W208</f>
        <v/>
      </c>
    </row>
    <row r="209">
      <c r="A209" s="1096" t="n">
        <v>213</v>
      </c>
      <c r="B209" s="1096">
        <f>IF(COUNTIF(E$2:E$273, D209)=0, "Missing in D", "")</f>
        <v/>
      </c>
      <c r="C209" s="1096">
        <f>IF( COUNTIF(D$2:D$273,#REF!)=0, "Missing in E", "")</f>
        <v/>
      </c>
      <c r="E209" s="1155" t="inlineStr">
        <is>
          <t>IIY#75652969324711GQ</t>
        </is>
      </c>
      <c r="F209" s="1155" t="inlineStr">
        <is>
          <t>Seat Booking Confirmed</t>
        </is>
      </c>
      <c r="G209" s="1155" t="inlineStr">
        <is>
          <t>Woodland Photography Walk</t>
        </is>
      </c>
      <c r="H209" s="1787" t="inlineStr">
        <is>
          <t>07 Nov 2025</t>
        </is>
      </c>
      <c r="I209" s="1787" t="inlineStr">
        <is>
          <t>07 Nov 2025</t>
        </is>
      </c>
      <c r="J209" s="1157" t="inlineStr">
        <is>
          <t>09:30:00</t>
        </is>
      </c>
      <c r="K209" s="1157" t="inlineStr">
        <is>
          <t>11:30:00</t>
        </is>
      </c>
      <c r="L209" s="1155" t="inlineStr">
        <is>
          <t>Solihull|</t>
        </is>
      </c>
      <c r="M209" s="1155" t="inlineStr">
        <is>
          <t>Lesly Aguilera Rodriguez</t>
        </is>
      </c>
      <c r="N209" s="1155" t="inlineStr">
        <is>
          <t>laguile1@jaguarlandrover.com</t>
        </is>
      </c>
      <c r="O209" s="1155" t="inlineStr">
        <is>
          <t>GBP</t>
        </is>
      </c>
      <c r="P209" s="1155" t="n"/>
      <c r="Q209" s="1788" t="n">
        <v>15</v>
      </c>
      <c r="S209" s="1121">
        <f>H209-12</f>
        <v/>
      </c>
      <c r="T209" s="1121" t="n">
        <v>45968</v>
      </c>
      <c r="U209" s="1082" t="inlineStr">
        <is>
          <t>20251107-01</t>
        </is>
      </c>
      <c r="V209" s="1789">
        <f>H209+45</f>
        <v/>
      </c>
      <c r="W209" s="1791" t="n">
        <v>15</v>
      </c>
      <c r="X209" s="1121" t="n">
        <v>46010</v>
      </c>
      <c r="Y209" s="1790">
        <f>Q209-W209</f>
        <v/>
      </c>
    </row>
    <row r="210">
      <c r="A210" s="1096" t="n">
        <v>214</v>
      </c>
      <c r="B210" s="1096">
        <f>IF(COUNTIF(E$2:E$273, D210)=0, "Missing in D", "")</f>
        <v/>
      </c>
      <c r="C210" s="1096">
        <f>IF( COUNTIF(D$2:D$273,#REF!)=0, "Missing in E", "")</f>
        <v/>
      </c>
      <c r="E210" s="1155" t="inlineStr">
        <is>
          <t>IIY#6439645742471LCf</t>
        </is>
      </c>
      <c r="F210" s="1155" t="inlineStr">
        <is>
          <t>Seat Booking Confirmed</t>
        </is>
      </c>
      <c r="G210" s="1155" t="inlineStr">
        <is>
          <t>Woodland Photography Walk</t>
        </is>
      </c>
      <c r="H210" s="1787" t="inlineStr">
        <is>
          <t>07 Nov 2025</t>
        </is>
      </c>
      <c r="I210" s="1787" t="inlineStr">
        <is>
          <t>07 Nov 2025</t>
        </is>
      </c>
      <c r="J210" s="1157" t="inlineStr">
        <is>
          <t>09:30:00</t>
        </is>
      </c>
      <c r="K210" s="1157" t="inlineStr">
        <is>
          <t>11:30:00</t>
        </is>
      </c>
      <c r="L210" s="1155" t="inlineStr">
        <is>
          <t>Solihull|</t>
        </is>
      </c>
      <c r="M210" s="1155" t="inlineStr">
        <is>
          <t>Sara Roberts</t>
        </is>
      </c>
      <c r="N210" s="1155" t="inlineStr">
        <is>
          <t>srickar3@jaguarlandrover.com</t>
        </is>
      </c>
      <c r="O210" s="1155" t="inlineStr">
        <is>
          <t>GBP</t>
        </is>
      </c>
      <c r="P210" s="1155" t="n"/>
      <c r="Q210" s="1791" t="n">
        <v>15</v>
      </c>
      <c r="S210" s="1121">
        <f>H210-12</f>
        <v/>
      </c>
      <c r="T210" s="1121" t="n">
        <v>45968</v>
      </c>
      <c r="U210" s="1082" t="inlineStr">
        <is>
          <t>20251107-01</t>
        </is>
      </c>
      <c r="V210" s="1789">
        <f>H210+45</f>
        <v/>
      </c>
      <c r="W210" s="1791" t="n">
        <v>15</v>
      </c>
      <c r="X210" s="1121" t="n">
        <v>46010</v>
      </c>
      <c r="Y210" s="1790">
        <f>Q210-W210</f>
        <v/>
      </c>
    </row>
    <row r="211">
      <c r="A211" s="1096" t="n">
        <v>215</v>
      </c>
      <c r="B211" s="1096">
        <f>IF(COUNTIF(E$2:E$273, D211)=0, "Missing in D", "")</f>
        <v/>
      </c>
      <c r="C211" s="1096">
        <f>IF( COUNTIF(D$2:D$273,#REF!)=0, "Missing in E", "")</f>
        <v/>
      </c>
      <c r="E211" s="1155" t="inlineStr">
        <is>
          <t>IIY#06952245524718yN</t>
        </is>
      </c>
      <c r="F211" s="1155" t="inlineStr">
        <is>
          <t>Seat Booking Confirmed</t>
        </is>
      </c>
      <c r="G211" s="1155" t="inlineStr">
        <is>
          <t>Woodland Photography Walk</t>
        </is>
      </c>
      <c r="H211" s="1787" t="inlineStr">
        <is>
          <t>07 Nov 2025</t>
        </is>
      </c>
      <c r="I211" s="1787" t="inlineStr">
        <is>
          <t>07 Nov 2025</t>
        </is>
      </c>
      <c r="J211" s="1157" t="inlineStr">
        <is>
          <t>09:30:00</t>
        </is>
      </c>
      <c r="K211" s="1157" t="inlineStr">
        <is>
          <t>11:30:00</t>
        </is>
      </c>
      <c r="L211" s="1155" t="inlineStr">
        <is>
          <t>Solihull|</t>
        </is>
      </c>
      <c r="M211" s="1155" t="inlineStr">
        <is>
          <t>Bhushan Rajendra Bedse</t>
        </is>
      </c>
      <c r="N211" s="1155" t="inlineStr">
        <is>
          <t>bbedse1@jaguarlandrover.com</t>
        </is>
      </c>
      <c r="O211" s="1155" t="inlineStr">
        <is>
          <t>GBP</t>
        </is>
      </c>
      <c r="P211" s="1155" t="n"/>
      <c r="Q211" s="1788" t="n">
        <v>15</v>
      </c>
      <c r="S211" s="1121">
        <f>H211-12</f>
        <v/>
      </c>
      <c r="T211" s="1121" t="n">
        <v>45968</v>
      </c>
      <c r="U211" s="1082" t="inlineStr">
        <is>
          <t>20251107-01</t>
        </is>
      </c>
      <c r="V211" s="1789">
        <f>H211+45</f>
        <v/>
      </c>
      <c r="W211" s="1791" t="n">
        <v>15</v>
      </c>
      <c r="X211" s="1121" t="n">
        <v>46010</v>
      </c>
      <c r="Y211" s="1790">
        <f>Q211-W211</f>
        <v/>
      </c>
    </row>
    <row r="212">
      <c r="A212" s="1096" t="n">
        <v>216</v>
      </c>
      <c r="B212" s="1096">
        <f>IF(COUNTIF(E$2:E$273, D212)=0, "Missing in D", "")</f>
        <v/>
      </c>
      <c r="C212" s="1096">
        <f>IF( COUNTIF(D$2:D$273,#REF!)=0, "Missing in E", "")</f>
        <v/>
      </c>
      <c r="E212" s="1155" t="inlineStr">
        <is>
          <t>IIY#0409268762471xFS</t>
        </is>
      </c>
      <c r="F212" s="1155" t="inlineStr">
        <is>
          <t>Seat Booking Confirmed</t>
        </is>
      </c>
      <c r="G212" s="1155" t="inlineStr">
        <is>
          <t>Woodland Photography Walk</t>
        </is>
      </c>
      <c r="H212" s="1787" t="inlineStr">
        <is>
          <t>07 Nov 2025</t>
        </is>
      </c>
      <c r="I212" s="1787" t="inlineStr">
        <is>
          <t>07 Nov 2025</t>
        </is>
      </c>
      <c r="J212" s="1157" t="inlineStr">
        <is>
          <t>09:30:00</t>
        </is>
      </c>
      <c r="K212" s="1157" t="inlineStr">
        <is>
          <t>11:30:00</t>
        </is>
      </c>
      <c r="L212" s="1155" t="inlineStr">
        <is>
          <t>Solihull|</t>
        </is>
      </c>
      <c r="M212" s="1155" t="inlineStr">
        <is>
          <t>Morgan Gore</t>
        </is>
      </c>
      <c r="N212" s="1155" t="inlineStr">
        <is>
          <t>mgore2@jaguarlandrover.com</t>
        </is>
      </c>
      <c r="O212" s="1155" t="inlineStr">
        <is>
          <t>GBP</t>
        </is>
      </c>
      <c r="P212" s="1155" t="n"/>
      <c r="Q212" s="1791" t="n">
        <v>15</v>
      </c>
      <c r="S212" s="1121">
        <f>H212-12</f>
        <v/>
      </c>
      <c r="T212" s="1121" t="n">
        <v>45968</v>
      </c>
      <c r="U212" s="1082" t="inlineStr">
        <is>
          <t>20251107-01</t>
        </is>
      </c>
      <c r="V212" s="1789">
        <f>H212+45</f>
        <v/>
      </c>
      <c r="W212" s="1791" t="n">
        <v>15</v>
      </c>
      <c r="X212" s="1121" t="n">
        <v>46010</v>
      </c>
      <c r="Y212" s="1790">
        <f>Q212-W212</f>
        <v/>
      </c>
    </row>
    <row r="213">
      <c r="A213" s="1096" t="n">
        <v>217</v>
      </c>
      <c r="B213" s="1096">
        <f>IF(COUNTIF(E$2:E$273, D213)=0, "Missing in D", "")</f>
        <v/>
      </c>
      <c r="C213" s="1096">
        <f>IF( COUNTIF(D$2:D$273,#REF!)=0, "Missing in E", "")</f>
        <v/>
      </c>
      <c r="E213" s="1155" t="inlineStr">
        <is>
          <t>IIY#49186122824714Ck</t>
        </is>
      </c>
      <c r="F213" s="1155" t="inlineStr">
        <is>
          <t>Seat Booking Confirmed</t>
        </is>
      </c>
      <c r="G213" s="1155" t="inlineStr">
        <is>
          <t>Woodland Photography Walk</t>
        </is>
      </c>
      <c r="H213" s="1787" t="inlineStr">
        <is>
          <t>07 Nov 2025</t>
        </is>
      </c>
      <c r="I213" s="1787" t="inlineStr">
        <is>
          <t>07 Nov 2025</t>
        </is>
      </c>
      <c r="J213" s="1157" t="inlineStr">
        <is>
          <t>09:30:00</t>
        </is>
      </c>
      <c r="K213" s="1157" t="inlineStr">
        <is>
          <t>11:30:00</t>
        </is>
      </c>
      <c r="L213" s="1155" t="inlineStr">
        <is>
          <t>Solihull|</t>
        </is>
      </c>
      <c r="M213" s="1155" t="inlineStr">
        <is>
          <t>Ram Charan R D</t>
        </is>
      </c>
      <c r="N213" s="1155" t="inlineStr">
        <is>
          <t>rramasa3@jaguarlandrover.com</t>
        </is>
      </c>
      <c r="O213" s="1155" t="inlineStr">
        <is>
          <t>GBP</t>
        </is>
      </c>
      <c r="P213" s="1155" t="n"/>
      <c r="Q213" s="1788" t="n">
        <v>15</v>
      </c>
      <c r="S213" s="1121">
        <f>H213-12</f>
        <v/>
      </c>
      <c r="T213" s="1121" t="n">
        <v>45968</v>
      </c>
      <c r="U213" s="1082" t="inlineStr">
        <is>
          <t>20251107-01</t>
        </is>
      </c>
      <c r="V213" s="1789">
        <f>H213+45</f>
        <v/>
      </c>
      <c r="W213" s="1791" t="n">
        <v>15</v>
      </c>
      <c r="X213" s="1121" t="n">
        <v>46010</v>
      </c>
      <c r="Y213" s="1790">
        <f>Q213-W213</f>
        <v/>
      </c>
    </row>
    <row r="214">
      <c r="A214" s="1096" t="n">
        <v>218</v>
      </c>
      <c r="B214" s="1096">
        <f>IF(COUNTIF(E$2:E$273, D214)=0, "Missing in D", "")</f>
        <v/>
      </c>
      <c r="C214" s="1096">
        <f>IF( COUNTIF(D$2:D$273,#REF!)=0, "Missing in E", "")</f>
        <v/>
      </c>
      <c r="E214" s="1181" t="inlineStr">
        <is>
          <t>IIY#9857966882471lEn</t>
        </is>
      </c>
      <c r="F214" s="1155" t="inlineStr">
        <is>
          <t>Seat Booking Confirmed</t>
        </is>
      </c>
      <c r="G214" s="1155" t="inlineStr">
        <is>
          <t>Woodland Photography Walk</t>
        </is>
      </c>
      <c r="H214" s="1787" t="inlineStr">
        <is>
          <t>07 Nov 2025</t>
        </is>
      </c>
      <c r="I214" s="1787" t="inlineStr">
        <is>
          <t>07 Nov 2025</t>
        </is>
      </c>
      <c r="J214" s="1157" t="inlineStr">
        <is>
          <t>09:30:00</t>
        </is>
      </c>
      <c r="K214" s="1157" t="inlineStr">
        <is>
          <t>11:30:00</t>
        </is>
      </c>
      <c r="L214" s="1155" t="inlineStr">
        <is>
          <t>Solihull|</t>
        </is>
      </c>
      <c r="M214" s="1155" t="inlineStr">
        <is>
          <t>Linda Nannfeldt</t>
        </is>
      </c>
      <c r="N214" s="1155" t="inlineStr">
        <is>
          <t>lnannfe1@jaguarlandrover.com</t>
        </is>
      </c>
      <c r="O214" s="1155" t="inlineStr">
        <is>
          <t>GBP</t>
        </is>
      </c>
      <c r="P214" s="1155" t="n"/>
      <c r="Q214" s="1788" t="n">
        <v>15</v>
      </c>
      <c r="S214" s="1121">
        <f>H214-12</f>
        <v/>
      </c>
      <c r="T214" s="1121" t="n">
        <v>45968</v>
      </c>
      <c r="U214" s="1082" t="inlineStr">
        <is>
          <t>20251107-01</t>
        </is>
      </c>
      <c r="V214" s="1789">
        <f>H214+45</f>
        <v/>
      </c>
      <c r="W214" s="1791" t="n">
        <v>15</v>
      </c>
      <c r="X214" s="1121" t="n">
        <v>46010</v>
      </c>
      <c r="Y214" s="1790">
        <f>Q214-W214</f>
        <v/>
      </c>
    </row>
    <row r="215">
      <c r="A215" s="1096" t="n">
        <v>219</v>
      </c>
      <c r="B215" s="1096">
        <f>IF(COUNTIF(E$2:E$273, D215)=0, "Missing in D", "")</f>
        <v/>
      </c>
      <c r="C215" s="1096">
        <f>IF( COUNTIF(D$2:D$273,#REF!)=0, "Missing in E", "")</f>
        <v/>
      </c>
      <c r="E215" s="1155" t="inlineStr">
        <is>
          <t>IIY#1146234982471lz3</t>
        </is>
      </c>
      <c r="F215" s="1155" t="inlineStr">
        <is>
          <t>Seat Booking Confirmed</t>
        </is>
      </c>
      <c r="G215" s="1155" t="inlineStr">
        <is>
          <t>Woodland Photography Walk</t>
        </is>
      </c>
      <c r="H215" s="1787" t="inlineStr">
        <is>
          <t>07 Nov 2025</t>
        </is>
      </c>
      <c r="I215" s="1787" t="inlineStr">
        <is>
          <t>07 Nov 2025</t>
        </is>
      </c>
      <c r="J215" s="1157" t="inlineStr">
        <is>
          <t>09:30:00</t>
        </is>
      </c>
      <c r="K215" s="1157" t="inlineStr">
        <is>
          <t>11:30:00</t>
        </is>
      </c>
      <c r="L215" s="1155" t="inlineStr">
        <is>
          <t>Solihull|</t>
        </is>
      </c>
      <c r="M215" s="1155" t="inlineStr">
        <is>
          <t>Sunil Raaj</t>
        </is>
      </c>
      <c r="N215" s="1155" t="inlineStr">
        <is>
          <t>smalarva@jaguarlandrover.com</t>
        </is>
      </c>
      <c r="O215" s="1155" t="inlineStr">
        <is>
          <t>GBP</t>
        </is>
      </c>
      <c r="P215" s="1155" t="n"/>
      <c r="Q215" s="1788" t="n">
        <v>15</v>
      </c>
      <c r="S215" s="1121">
        <f>H215-12</f>
        <v/>
      </c>
      <c r="T215" s="1121" t="n">
        <v>45968</v>
      </c>
      <c r="U215" s="1082" t="inlineStr">
        <is>
          <t>20251107-01</t>
        </is>
      </c>
      <c r="V215" s="1789">
        <f>H215+45</f>
        <v/>
      </c>
      <c r="W215" s="1791" t="n">
        <v>15</v>
      </c>
      <c r="X215" s="1121" t="n">
        <v>46010</v>
      </c>
      <c r="Y215" s="1790">
        <f>Q215-W215</f>
        <v/>
      </c>
    </row>
    <row r="216">
      <c r="A216" s="1096" t="n">
        <v>220</v>
      </c>
      <c r="B216" s="1096">
        <f>IF(COUNTIF(E$2:E$273, D216)=0, "Missing in D", "")</f>
        <v/>
      </c>
      <c r="C216" s="1096">
        <f>IF( COUNTIF(D$2:D$273,#REF!)=0, "Missing in E", "")</f>
        <v/>
      </c>
      <c r="E216" s="1155" t="inlineStr">
        <is>
          <t>IIY#2815506982471mdv</t>
        </is>
      </c>
      <c r="F216" s="1155" t="inlineStr">
        <is>
          <t>Seat Booking Confirmed</t>
        </is>
      </c>
      <c r="G216" s="1155" t="inlineStr">
        <is>
          <t>Woodland Photography Walk</t>
        </is>
      </c>
      <c r="H216" s="1787" t="inlineStr">
        <is>
          <t>07 Nov 2025</t>
        </is>
      </c>
      <c r="I216" s="1787" t="inlineStr">
        <is>
          <t>07 Nov 2025</t>
        </is>
      </c>
      <c r="J216" s="1157" t="inlineStr">
        <is>
          <t>09:30:00</t>
        </is>
      </c>
      <c r="K216" s="1157" t="inlineStr">
        <is>
          <t>11:30:00</t>
        </is>
      </c>
      <c r="L216" s="1155" t="inlineStr">
        <is>
          <t>Solihull|</t>
        </is>
      </c>
      <c r="M216" s="1155" t="inlineStr">
        <is>
          <t>Burcu Ece Ilgu</t>
        </is>
      </c>
      <c r="N216" s="1155" t="inlineStr">
        <is>
          <t>bilgu@jaguarlandrover.com</t>
        </is>
      </c>
      <c r="O216" s="1155" t="inlineStr">
        <is>
          <t>GBP</t>
        </is>
      </c>
      <c r="P216" s="1155" t="n"/>
      <c r="Q216" s="1791" t="n">
        <v>15</v>
      </c>
      <c r="S216" s="1121">
        <f>H216-12</f>
        <v/>
      </c>
      <c r="T216" s="1121" t="n">
        <v>45968</v>
      </c>
      <c r="U216" s="1082" t="inlineStr">
        <is>
          <t>20251107-01</t>
        </is>
      </c>
      <c r="V216" s="1789">
        <f>H216+45</f>
        <v/>
      </c>
      <c r="W216" s="1791" t="n">
        <v>15</v>
      </c>
      <c r="X216" s="1121" t="n">
        <v>46010</v>
      </c>
      <c r="Y216" s="1790">
        <f>Q216-W216</f>
        <v/>
      </c>
    </row>
    <row r="217">
      <c r="A217" s="1096" t="n">
        <v>221</v>
      </c>
      <c r="B217" s="1096">
        <f>IF(COUNTIF(E$2:E$273, D217)=0, "Missing in D", "")</f>
        <v/>
      </c>
      <c r="C217" s="1096">
        <f>IF( COUNTIF(D$2:D$273,#REF!)=0, "Missing in E", "")</f>
        <v/>
      </c>
      <c r="E217" s="1155" t="inlineStr">
        <is>
          <t>IIY#5427535092471L7E</t>
        </is>
      </c>
      <c r="F217" s="1155" t="inlineStr">
        <is>
          <t>Seat Booking Confirmed</t>
        </is>
      </c>
      <c r="G217" s="1155" t="inlineStr">
        <is>
          <t>Woodland Photography Walk</t>
        </is>
      </c>
      <c r="H217" s="1787" t="inlineStr">
        <is>
          <t>07 Nov 2025</t>
        </is>
      </c>
      <c r="I217" s="1787" t="inlineStr">
        <is>
          <t>07 Nov 2025</t>
        </is>
      </c>
      <c r="J217" s="1157" t="inlineStr">
        <is>
          <t>09:30:00</t>
        </is>
      </c>
      <c r="K217" s="1157" t="inlineStr">
        <is>
          <t>11:30:00</t>
        </is>
      </c>
      <c r="L217" s="1155" t="inlineStr">
        <is>
          <t>Solihull|</t>
        </is>
      </c>
      <c r="M217" s="1155" t="inlineStr">
        <is>
          <t>Blessent George</t>
        </is>
      </c>
      <c r="N217" s="1155" t="inlineStr">
        <is>
          <t>bgeorge4@jaguarlandrover.com</t>
        </is>
      </c>
      <c r="O217" s="1155" t="inlineStr">
        <is>
          <t>GBP</t>
        </is>
      </c>
      <c r="P217" s="1155" t="n"/>
      <c r="Q217" s="1788" t="n">
        <v>15</v>
      </c>
      <c r="S217" s="1121">
        <f>H217-12</f>
        <v/>
      </c>
      <c r="T217" s="1121" t="n">
        <v>45968</v>
      </c>
      <c r="U217" s="1082" t="inlineStr">
        <is>
          <t>20251107-01</t>
        </is>
      </c>
      <c r="V217" s="1789">
        <f>H217+45</f>
        <v/>
      </c>
      <c r="W217" s="1791" t="n">
        <v>15</v>
      </c>
      <c r="X217" s="1121" t="n">
        <v>46010</v>
      </c>
      <c r="Y217" s="1790">
        <f>Q217-W217</f>
        <v/>
      </c>
    </row>
    <row r="218">
      <c r="A218" s="1096" t="n">
        <v>222</v>
      </c>
      <c r="B218" s="1096">
        <f>IF(COUNTIF(E$2:E$273, D218)=0, "Missing in D", "")</f>
        <v/>
      </c>
      <c r="C218" s="1096">
        <f>IF( COUNTIF(D$2:D$273,#REF!)=0, "Missing in E", "")</f>
        <v/>
      </c>
      <c r="E218" s="1155" t="inlineStr">
        <is>
          <t>IIY#11726341924715uo</t>
        </is>
      </c>
      <c r="F218" s="1155" t="inlineStr">
        <is>
          <t>Seat Booking Confirmed</t>
        </is>
      </c>
      <c r="G218" s="1155" t="inlineStr">
        <is>
          <t>Woodland Photography Walk</t>
        </is>
      </c>
      <c r="H218" s="1787" t="inlineStr">
        <is>
          <t>07 Nov 2025</t>
        </is>
      </c>
      <c r="I218" s="1787" t="inlineStr">
        <is>
          <t>07 Nov 2025</t>
        </is>
      </c>
      <c r="J218" s="1157" t="inlineStr">
        <is>
          <t>09:30:00</t>
        </is>
      </c>
      <c r="K218" s="1157" t="inlineStr">
        <is>
          <t>11:30:00</t>
        </is>
      </c>
      <c r="L218" s="1155" t="inlineStr">
        <is>
          <t>Solihull|</t>
        </is>
      </c>
      <c r="M218" s="1155" t="inlineStr">
        <is>
          <t>Filippo Brasacchio</t>
        </is>
      </c>
      <c r="N218" s="1155" t="inlineStr">
        <is>
          <t>fbrasac1@jaguarlandrover.com</t>
        </is>
      </c>
      <c r="O218" s="1155" t="inlineStr">
        <is>
          <t>GBP</t>
        </is>
      </c>
      <c r="P218" s="1155" t="n"/>
      <c r="Q218" s="1788" t="n">
        <v>15</v>
      </c>
      <c r="S218" s="1121">
        <f>H218-12</f>
        <v/>
      </c>
      <c r="T218" s="1121" t="n">
        <v>45968</v>
      </c>
      <c r="U218" s="1082" t="inlineStr">
        <is>
          <t>20251107-01</t>
        </is>
      </c>
      <c r="V218" s="1789">
        <f>H218+45</f>
        <v/>
      </c>
      <c r="W218" s="1791" t="n">
        <v>15</v>
      </c>
      <c r="X218" s="1121" t="n">
        <v>46010</v>
      </c>
      <c r="Y218" s="1790">
        <f>Q218-W218</f>
        <v/>
      </c>
    </row>
    <row r="219">
      <c r="A219" s="1096" t="n">
        <v>223</v>
      </c>
      <c r="B219" s="1096">
        <f>IF(COUNTIF(E$2:E$273, D219)=0, "Missing in D", "")</f>
        <v/>
      </c>
      <c r="C219" s="1096">
        <f>IF( COUNTIF(D$2:D$273,#REF!)=0, "Missing in E", "")</f>
        <v/>
      </c>
      <c r="E219" s="1155" t="inlineStr">
        <is>
          <t>IIY#5914532292471BEp</t>
        </is>
      </c>
      <c r="F219" s="1155" t="inlineStr">
        <is>
          <t>Seat Booking Confirmed</t>
        </is>
      </c>
      <c r="G219" s="1155" t="inlineStr">
        <is>
          <t>Woodland Photography Walk</t>
        </is>
      </c>
      <c r="H219" s="1787" t="inlineStr">
        <is>
          <t>07 Nov 2025</t>
        </is>
      </c>
      <c r="I219" s="1787" t="inlineStr">
        <is>
          <t>07 Nov 2025</t>
        </is>
      </c>
      <c r="J219" s="1157" t="inlineStr">
        <is>
          <t>09:30:00</t>
        </is>
      </c>
      <c r="K219" s="1157" t="inlineStr">
        <is>
          <t>11:30:00</t>
        </is>
      </c>
      <c r="L219" s="1155" t="inlineStr">
        <is>
          <t>Solihull|</t>
        </is>
      </c>
      <c r="M219" s="1155" t="inlineStr">
        <is>
          <t>Gouranga Neog</t>
        </is>
      </c>
      <c r="N219" s="1155" t="inlineStr">
        <is>
          <t>gneog@jaguarlandrover.com</t>
        </is>
      </c>
      <c r="O219" s="1155" t="inlineStr">
        <is>
          <t>GBP</t>
        </is>
      </c>
      <c r="P219" s="1155" t="n"/>
      <c r="Q219" s="1788" t="n">
        <v>15</v>
      </c>
      <c r="S219" s="1121">
        <f>H219-12</f>
        <v/>
      </c>
      <c r="T219" s="1121" t="n">
        <v>45968</v>
      </c>
      <c r="U219" s="1082" t="inlineStr">
        <is>
          <t>20251107-01</t>
        </is>
      </c>
      <c r="V219" s="1789">
        <f>H219+45</f>
        <v/>
      </c>
      <c r="W219" s="1791" t="n">
        <v>15</v>
      </c>
      <c r="X219" s="1121" t="n">
        <v>46010</v>
      </c>
      <c r="Y219" s="1790">
        <f>Q219-W219</f>
        <v/>
      </c>
    </row>
    <row r="220">
      <c r="A220" s="1096" t="n">
        <v>224</v>
      </c>
      <c r="B220" s="1096">
        <f>IF(COUNTIF(E$2:E$273, D220)=0, "Missing in D", "")</f>
        <v/>
      </c>
      <c r="C220" s="1096">
        <f>IF( COUNTIF(D$2:D$273,#REF!)=0, "Missing in E", "")</f>
        <v/>
      </c>
      <c r="E220" s="1155" t="inlineStr">
        <is>
          <t>IIY#3479052992471N4M</t>
        </is>
      </c>
      <c r="F220" s="1155" t="inlineStr">
        <is>
          <t>Seat Booking Confirmed</t>
        </is>
      </c>
      <c r="G220" s="1155" t="inlineStr">
        <is>
          <t>Woodland Photography Walk</t>
        </is>
      </c>
      <c r="H220" s="1787" t="inlineStr">
        <is>
          <t>07 Nov 2025</t>
        </is>
      </c>
      <c r="I220" s="1787" t="inlineStr">
        <is>
          <t>07 Nov 2025</t>
        </is>
      </c>
      <c r="J220" s="1157" t="inlineStr">
        <is>
          <t>09:30:00</t>
        </is>
      </c>
      <c r="K220" s="1157" t="inlineStr">
        <is>
          <t>11:30:00</t>
        </is>
      </c>
      <c r="L220" s="1155" t="inlineStr">
        <is>
          <t>Solihull|</t>
        </is>
      </c>
      <c r="M220" s="1155" t="inlineStr">
        <is>
          <t>Ahmed Alyazji</t>
        </is>
      </c>
      <c r="N220" s="1155" t="inlineStr">
        <is>
          <t>aalyazji@jaguarlandrover.com</t>
        </is>
      </c>
      <c r="O220" s="1155" t="inlineStr">
        <is>
          <t>GBP</t>
        </is>
      </c>
      <c r="P220" s="1155" t="n"/>
      <c r="Q220" s="1788" t="n">
        <v>15</v>
      </c>
      <c r="S220" s="1121">
        <f>H220-12</f>
        <v/>
      </c>
      <c r="T220" s="1121" t="n">
        <v>45968</v>
      </c>
      <c r="U220" s="1082" t="inlineStr">
        <is>
          <t>20251107-01</t>
        </is>
      </c>
      <c r="V220" s="1789">
        <f>H220+45</f>
        <v/>
      </c>
      <c r="W220" s="1791" t="n">
        <v>15</v>
      </c>
      <c r="X220" s="1121" t="n">
        <v>46010</v>
      </c>
      <c r="Y220" s="1790">
        <f>Q220-W220</f>
        <v/>
      </c>
    </row>
    <row r="221">
      <c r="A221" s="1096" t="n">
        <v>225</v>
      </c>
      <c r="B221" s="1096">
        <f>IF(COUNTIF(E$2:E$273, D221)=0, "Missing in D", "")</f>
        <v/>
      </c>
      <c r="C221" s="1096">
        <f>IF( COUNTIF(D$2:D$273,#REF!)=0, "Missing in E", "")</f>
        <v/>
      </c>
      <c r="E221" s="1155" t="inlineStr">
        <is>
          <t>IIY#6099052992471MUw</t>
        </is>
      </c>
      <c r="F221" s="1155" t="inlineStr">
        <is>
          <t>Seat Booking Confirmed</t>
        </is>
      </c>
      <c r="G221" s="1155" t="inlineStr">
        <is>
          <t>Woodland Photography Walk</t>
        </is>
      </c>
      <c r="H221" s="1787" t="inlineStr">
        <is>
          <t>07 Nov 2025</t>
        </is>
      </c>
      <c r="I221" s="1787" t="inlineStr">
        <is>
          <t>07 Nov 2025</t>
        </is>
      </c>
      <c r="J221" s="1157" t="inlineStr">
        <is>
          <t>09:30:00</t>
        </is>
      </c>
      <c r="K221" s="1157" t="inlineStr">
        <is>
          <t>11:30:00</t>
        </is>
      </c>
      <c r="L221" s="1155" t="inlineStr">
        <is>
          <t>Solihull|</t>
        </is>
      </c>
      <c r="M221" s="1155" t="inlineStr">
        <is>
          <t>Ali Al Badra</t>
        </is>
      </c>
      <c r="N221" s="1155" t="inlineStr">
        <is>
          <t>aalbadra@jaguarlandrover.com</t>
        </is>
      </c>
      <c r="O221" s="1155" t="inlineStr">
        <is>
          <t>GBP</t>
        </is>
      </c>
      <c r="P221" s="1155" t="n"/>
      <c r="Q221" s="1791" t="n">
        <v>15</v>
      </c>
      <c r="S221" s="1121">
        <f>H221-12</f>
        <v/>
      </c>
      <c r="T221" s="1121" t="n">
        <v>45968</v>
      </c>
      <c r="U221" s="1082" t="inlineStr">
        <is>
          <t>20251107-01</t>
        </is>
      </c>
      <c r="V221" s="1789">
        <f>H221+45</f>
        <v/>
      </c>
      <c r="W221" s="1791" t="n">
        <v>15</v>
      </c>
      <c r="X221" s="1121" t="n">
        <v>46010</v>
      </c>
      <c r="Y221" s="1790">
        <f>Q221-W221</f>
        <v/>
      </c>
    </row>
    <row r="222">
      <c r="A222" s="1096" t="n">
        <v>227</v>
      </c>
      <c r="B222" s="1096">
        <f>IF(COUNTIF(E$2:E$273, D222)=0, "Missing in D", "")</f>
        <v/>
      </c>
      <c r="C222" s="1096">
        <f>IF( COUNTIF(D$2:D$273,#REF!)=0, "Missing in E", "")</f>
        <v/>
      </c>
      <c r="E222" s="1155" t="inlineStr">
        <is>
          <t>IIY#1518136992471caE</t>
        </is>
      </c>
      <c r="F222" s="1155" t="inlineStr">
        <is>
          <t>Seat Booking Confirmed</t>
        </is>
      </c>
      <c r="G222" s="1155" t="inlineStr">
        <is>
          <t>Woodland Photography Walk</t>
        </is>
      </c>
      <c r="H222" s="1787" t="inlineStr">
        <is>
          <t>07 Nov 2025</t>
        </is>
      </c>
      <c r="I222" s="1787" t="inlineStr">
        <is>
          <t>07 Nov 2025</t>
        </is>
      </c>
      <c r="J222" s="1157" t="inlineStr">
        <is>
          <t>09:30:00</t>
        </is>
      </c>
      <c r="K222" s="1157" t="inlineStr">
        <is>
          <t>11:30:00</t>
        </is>
      </c>
      <c r="L222" s="1155" t="inlineStr">
        <is>
          <t>Solihull|</t>
        </is>
      </c>
      <c r="M222" s="1155" t="inlineStr">
        <is>
          <t>Alireza Rajabi</t>
        </is>
      </c>
      <c r="N222" s="1155" t="inlineStr">
        <is>
          <t>arajabi@jaguarlandrover.com</t>
        </is>
      </c>
      <c r="O222" s="1155" t="inlineStr">
        <is>
          <t>GBP</t>
        </is>
      </c>
      <c r="P222" s="1155" t="n"/>
      <c r="Q222" s="1788" t="n">
        <v>15</v>
      </c>
      <c r="S222" s="1121">
        <f>H222-12</f>
        <v/>
      </c>
      <c r="T222" s="1121" t="n">
        <v>45968</v>
      </c>
      <c r="U222" s="1082" t="inlineStr">
        <is>
          <t>20251107-01</t>
        </is>
      </c>
      <c r="V222" s="1789">
        <f>H222+45</f>
        <v/>
      </c>
      <c r="W222" s="1791" t="n">
        <v>15</v>
      </c>
      <c r="X222" s="1121" t="n">
        <v>46010</v>
      </c>
      <c r="Y222" s="1790">
        <f>Q222-W222</f>
        <v/>
      </c>
    </row>
    <row r="223">
      <c r="A223" s="1096" t="n">
        <v>228</v>
      </c>
      <c r="B223" s="1096">
        <f>IF(COUNTIF(E$2:E$273, D223)=0, "Missing in D", "")</f>
        <v/>
      </c>
      <c r="C223" s="1096">
        <f>IF( COUNTIF(D$2:D$273,#REF!)=0, "Missing in E", "")</f>
        <v/>
      </c>
      <c r="E223" s="1155" t="inlineStr">
        <is>
          <t>IIY#1280108603471nR8</t>
        </is>
      </c>
      <c r="F223" s="1155" t="inlineStr">
        <is>
          <t>Seat Booking Confirmed</t>
        </is>
      </c>
      <c r="G223" s="1155" t="inlineStr">
        <is>
          <t>Woodland Photography Walk</t>
        </is>
      </c>
      <c r="H223" s="1787" t="inlineStr">
        <is>
          <t>07 Nov 2025</t>
        </is>
      </c>
      <c r="I223" s="1787" t="inlineStr">
        <is>
          <t>07 Nov 2025</t>
        </is>
      </c>
      <c r="J223" s="1157" t="inlineStr">
        <is>
          <t>09:30:00</t>
        </is>
      </c>
      <c r="K223" s="1157" t="inlineStr">
        <is>
          <t>11:30:00</t>
        </is>
      </c>
      <c r="L223" s="1155" t="inlineStr">
        <is>
          <t>Solihull|</t>
        </is>
      </c>
      <c r="M223" s="1155" t="inlineStr">
        <is>
          <t>Artemiy Brukhno</t>
        </is>
      </c>
      <c r="N223" s="1155" t="inlineStr">
        <is>
          <t>abrukhno@jaguarlandrover.com</t>
        </is>
      </c>
      <c r="O223" s="1155" t="inlineStr">
        <is>
          <t>GBP</t>
        </is>
      </c>
      <c r="P223" s="1155" t="n"/>
      <c r="Q223" s="1788" t="n">
        <v>15</v>
      </c>
      <c r="S223" s="1121">
        <f>H223-12</f>
        <v/>
      </c>
      <c r="T223" s="1121" t="n">
        <v>45968</v>
      </c>
      <c r="U223" s="1082" t="inlineStr">
        <is>
          <t>20251107-01</t>
        </is>
      </c>
      <c r="V223" s="1789">
        <f>H223+45</f>
        <v/>
      </c>
      <c r="W223" s="1791" t="n">
        <v>15</v>
      </c>
      <c r="X223" s="1121" t="n">
        <v>46010</v>
      </c>
      <c r="Y223" s="1790">
        <f>Q223-W223</f>
        <v/>
      </c>
    </row>
    <row r="224">
      <c r="A224" s="1096" t="n">
        <v>229</v>
      </c>
      <c r="B224" s="1096">
        <f>IF(COUNTIF(E$2:E$273, D224)=0, "Missing in D", "")</f>
        <v/>
      </c>
      <c r="C224" s="1096">
        <f>IF( COUNTIF(D$2:D$273,#REF!)=0, "Missing in E", "")</f>
        <v/>
      </c>
      <c r="E224" s="1155" t="inlineStr">
        <is>
          <t>IIY#5801500803471dsY</t>
        </is>
      </c>
      <c r="F224" s="1155" t="inlineStr">
        <is>
          <t>Seat Booking Confirmed</t>
        </is>
      </c>
      <c r="G224" s="1155" t="inlineStr">
        <is>
          <t>Woodland Photography Walk</t>
        </is>
      </c>
      <c r="H224" s="1787" t="inlineStr">
        <is>
          <t>07 Nov 2025</t>
        </is>
      </c>
      <c r="I224" s="1787" t="inlineStr">
        <is>
          <t>07 Nov 2025</t>
        </is>
      </c>
      <c r="J224" s="1157" t="inlineStr">
        <is>
          <t>09:30:00</t>
        </is>
      </c>
      <c r="K224" s="1157" t="inlineStr">
        <is>
          <t>11:30:00</t>
        </is>
      </c>
      <c r="L224" s="1155" t="inlineStr">
        <is>
          <t>Solihull|</t>
        </is>
      </c>
      <c r="M224" s="1155" t="inlineStr">
        <is>
          <t>Peter Scarisbrick Miller</t>
        </is>
      </c>
      <c r="N224" s="1155" t="inlineStr">
        <is>
          <t>pscarisb@jaguarlandrover.com</t>
        </is>
      </c>
      <c r="O224" s="1155" t="inlineStr">
        <is>
          <t>GBP</t>
        </is>
      </c>
      <c r="P224" s="1155" t="n"/>
      <c r="Q224" s="1788" t="n">
        <v>15</v>
      </c>
      <c r="S224" s="1121">
        <f>H224-12</f>
        <v/>
      </c>
      <c r="T224" s="1121" t="n">
        <v>45968</v>
      </c>
      <c r="U224" s="1082" t="inlineStr">
        <is>
          <t>20251107-01</t>
        </is>
      </c>
      <c r="V224" s="1789">
        <f>H224+45</f>
        <v/>
      </c>
      <c r="W224" s="1791" t="n">
        <v>15</v>
      </c>
      <c r="X224" s="1121" t="n">
        <v>46010</v>
      </c>
      <c r="Y224" s="1790">
        <f>Q224-W224</f>
        <v/>
      </c>
    </row>
    <row r="225">
      <c r="A225" s="1096" t="n">
        <v>230</v>
      </c>
      <c r="B225" s="1096">
        <f>IF(COUNTIF(E$2:E$273, D225)=0, "Missing in D", "")</f>
        <v/>
      </c>
      <c r="C225" s="1096">
        <f>IF( COUNTIF(D$2:D$273,#REF!)=0, "Missing in E", "")</f>
        <v/>
      </c>
      <c r="E225" s="1155" t="inlineStr">
        <is>
          <t>IIY#1496711803471tEs</t>
        </is>
      </c>
      <c r="F225" s="1155" t="inlineStr">
        <is>
          <t>Seat Booking Confirmed</t>
        </is>
      </c>
      <c r="G225" s="1155" t="inlineStr">
        <is>
          <t>Woodland Photography Walk</t>
        </is>
      </c>
      <c r="H225" s="1787" t="inlineStr">
        <is>
          <t>07 Nov 2025</t>
        </is>
      </c>
      <c r="I225" s="1787" t="inlineStr">
        <is>
          <t>07 Nov 2025</t>
        </is>
      </c>
      <c r="J225" s="1157" t="inlineStr">
        <is>
          <t>09:30:00</t>
        </is>
      </c>
      <c r="K225" s="1157" t="inlineStr">
        <is>
          <t>11:30:00</t>
        </is>
      </c>
      <c r="L225" s="1155" t="inlineStr">
        <is>
          <t>Solihull|</t>
        </is>
      </c>
      <c r="M225" s="1155" t="inlineStr">
        <is>
          <t>Tracie Brannan</t>
        </is>
      </c>
      <c r="N225" s="1155" t="inlineStr">
        <is>
          <t>tbrannan@jaguarlandrover.com</t>
        </is>
      </c>
      <c r="O225" s="1155" t="inlineStr">
        <is>
          <t>GBP</t>
        </is>
      </c>
      <c r="P225" s="1155" t="n"/>
      <c r="Q225" s="1791" t="n">
        <v>15</v>
      </c>
      <c r="S225" s="1121">
        <f>H225-12</f>
        <v/>
      </c>
      <c r="T225" s="1121" t="n">
        <v>45968</v>
      </c>
      <c r="U225" s="1082" t="inlineStr">
        <is>
          <t>20251107-01</t>
        </is>
      </c>
      <c r="V225" s="1789">
        <f>H225+45</f>
        <v/>
      </c>
      <c r="W225" s="1791" t="n">
        <v>15</v>
      </c>
      <c r="X225" s="1121" t="n">
        <v>46010</v>
      </c>
      <c r="Y225" s="1790">
        <f>Q225-W225</f>
        <v/>
      </c>
    </row>
    <row r="226">
      <c r="A226" s="1096" t="n">
        <v>231</v>
      </c>
      <c r="B226" s="1096">
        <f>IF(COUNTIF(E$2:E$273, D226)=0, "Missing in D", "")</f>
        <v/>
      </c>
      <c r="C226" s="1096">
        <f>IF( COUNTIF(D$2:D$273,#REF!)=0, "Missing in E", "")</f>
        <v/>
      </c>
      <c r="E226" s="1155" t="inlineStr">
        <is>
          <t>IIY#1960487903471V5t</t>
        </is>
      </c>
      <c r="F226" s="1155" t="inlineStr">
        <is>
          <t>Seat Booking Confirmed</t>
        </is>
      </c>
      <c r="G226" s="1155" t="inlineStr">
        <is>
          <t>Woodland Photography Walk</t>
        </is>
      </c>
      <c r="H226" s="1787" t="inlineStr">
        <is>
          <t>07 Nov 2025</t>
        </is>
      </c>
      <c r="I226" s="1787" t="inlineStr">
        <is>
          <t>07 Nov 2025</t>
        </is>
      </c>
      <c r="J226" s="1157" t="inlineStr">
        <is>
          <t>09:30:00</t>
        </is>
      </c>
      <c r="K226" s="1157" t="inlineStr">
        <is>
          <t>11:30:00</t>
        </is>
      </c>
      <c r="L226" s="1155" t="inlineStr">
        <is>
          <t>Solihull|</t>
        </is>
      </c>
      <c r="M226" s="1155" t="inlineStr">
        <is>
          <t>Ajay Thomas</t>
        </is>
      </c>
      <c r="N226" s="1155" t="inlineStr">
        <is>
          <t>athoma44@jaguarlandrover.com</t>
        </is>
      </c>
      <c r="O226" s="1155" t="inlineStr">
        <is>
          <t>GBP</t>
        </is>
      </c>
      <c r="P226" s="1155" t="n"/>
      <c r="Q226" s="1791" t="n">
        <v>15</v>
      </c>
      <c r="S226" s="1121">
        <f>H226-12</f>
        <v/>
      </c>
      <c r="T226" s="1121" t="n">
        <v>45968</v>
      </c>
      <c r="U226" s="1082" t="inlineStr">
        <is>
          <t>20251107-01</t>
        </is>
      </c>
      <c r="V226" s="1789">
        <f>H226+45</f>
        <v/>
      </c>
      <c r="W226" s="1791" t="n">
        <v>15</v>
      </c>
      <c r="X226" s="1121" t="n">
        <v>46010</v>
      </c>
      <c r="Y226" s="1790">
        <f>Q226-W226</f>
        <v/>
      </c>
    </row>
    <row r="227">
      <c r="E227" s="1155" t="inlineStr">
        <is>
          <t>IIY#0845999413471FEC</t>
        </is>
      </c>
      <c r="F227" s="1155" t="inlineStr">
        <is>
          <t>Seat Booking Confirmed</t>
        </is>
      </c>
      <c r="G227" s="1155" t="inlineStr">
        <is>
          <t>Woodland Photography Walk</t>
        </is>
      </c>
      <c r="H227" s="1787" t="inlineStr">
        <is>
          <t>07 Nov 2025</t>
        </is>
      </c>
      <c r="I227" s="1787" t="inlineStr">
        <is>
          <t>07 Nov 2025</t>
        </is>
      </c>
      <c r="J227" s="1157" t="inlineStr">
        <is>
          <t>09:30:00</t>
        </is>
      </c>
      <c r="K227" s="1157" t="inlineStr">
        <is>
          <t>11:30:00</t>
        </is>
      </c>
      <c r="L227" s="1155" t="inlineStr">
        <is>
          <t>Solihull|</t>
        </is>
      </c>
      <c r="M227" s="1155" t="inlineStr">
        <is>
          <t>Matthew Struthers</t>
        </is>
      </c>
      <c r="N227" s="1155" t="inlineStr">
        <is>
          <t>mstruthe@jaguarlandrover.com</t>
        </is>
      </c>
      <c r="O227" s="1155" t="inlineStr">
        <is>
          <t>GBP</t>
        </is>
      </c>
      <c r="P227" s="1155" t="n"/>
      <c r="Q227" s="1788" t="n">
        <v>15</v>
      </c>
      <c r="S227" s="1121">
        <f>H227-12</f>
        <v/>
      </c>
      <c r="T227" s="1121" t="n">
        <v>45968</v>
      </c>
      <c r="U227" s="1082" t="inlineStr">
        <is>
          <t>20251107-01</t>
        </is>
      </c>
      <c r="V227" s="1789">
        <f>H227+45</f>
        <v/>
      </c>
      <c r="W227" s="1791" t="n">
        <v>15</v>
      </c>
      <c r="X227" s="1121" t="n">
        <v>46010</v>
      </c>
      <c r="Y227" s="1790">
        <f>Q227-W227</f>
        <v/>
      </c>
    </row>
    <row r="228">
      <c r="E228" s="1155" t="inlineStr">
        <is>
          <t>IIY#4900262713471EM3</t>
        </is>
      </c>
      <c r="F228" s="1155" t="inlineStr">
        <is>
          <t>Seat Booking Confirmed</t>
        </is>
      </c>
      <c r="G228" s="1155" t="inlineStr">
        <is>
          <t>Woodland Photography Walk</t>
        </is>
      </c>
      <c r="H228" s="1787" t="inlineStr">
        <is>
          <t>07 Nov 2025</t>
        </is>
      </c>
      <c r="I228" s="1787" t="inlineStr">
        <is>
          <t>07 Nov 2025</t>
        </is>
      </c>
      <c r="J228" s="1157" t="inlineStr">
        <is>
          <t>09:30:00</t>
        </is>
      </c>
      <c r="K228" s="1157" t="inlineStr">
        <is>
          <t>11:30:00</t>
        </is>
      </c>
      <c r="L228" s="1155" t="inlineStr">
        <is>
          <t>Solihull|</t>
        </is>
      </c>
      <c r="M228" s="1155" t="inlineStr">
        <is>
          <t>Bogdan - Ionut Hardulea</t>
        </is>
      </c>
      <c r="N228" s="1155" t="inlineStr">
        <is>
          <t>bhardul1@jaguarlandrover.com</t>
        </is>
      </c>
      <c r="O228" s="1155" t="inlineStr">
        <is>
          <t>GBP</t>
        </is>
      </c>
      <c r="P228" s="1155" t="n"/>
      <c r="Q228" s="1791" t="n">
        <v>15</v>
      </c>
      <c r="S228" s="1121">
        <f>H228-12</f>
        <v/>
      </c>
      <c r="T228" s="1121" t="n">
        <v>45968</v>
      </c>
      <c r="U228" s="1082" t="inlineStr">
        <is>
          <t>20251107-01</t>
        </is>
      </c>
      <c r="V228" s="1789">
        <f>H228+45</f>
        <v/>
      </c>
      <c r="W228" s="1791" t="n">
        <v>15</v>
      </c>
      <c r="X228" s="1121" t="n">
        <v>46010</v>
      </c>
      <c r="Y228" s="1790">
        <f>Q228-W228</f>
        <v/>
      </c>
    </row>
    <row r="229">
      <c r="E229" s="1155" t="inlineStr">
        <is>
          <t>IIY#6904749043471aQA</t>
        </is>
      </c>
      <c r="F229" s="1155" t="inlineStr">
        <is>
          <t>Seat Booking Confirmed</t>
        </is>
      </c>
      <c r="G229" s="1155" t="inlineStr">
        <is>
          <t>Abstract and Macro Photography Workshop Warwickshire</t>
        </is>
      </c>
      <c r="H229" s="1787" t="inlineStr">
        <is>
          <t>08 Nov 2025</t>
        </is>
      </c>
      <c r="I229" s="1787" t="inlineStr">
        <is>
          <t>08 Nov 2025</t>
        </is>
      </c>
      <c r="J229" s="1157" t="inlineStr">
        <is>
          <t>10:00:00</t>
        </is>
      </c>
      <c r="K229" s="1157" t="inlineStr">
        <is>
          <t>12:30:00</t>
        </is>
      </c>
      <c r="L229" s="1155" t="inlineStr">
        <is>
          <t>Wellsbourne|</t>
        </is>
      </c>
      <c r="M229" s="1155" t="inlineStr">
        <is>
          <t>Daniel Dinu</t>
        </is>
      </c>
      <c r="N229" s="1155" t="inlineStr">
        <is>
          <t>ddinu3@jaguarlandrover.com</t>
        </is>
      </c>
      <c r="O229" s="1155" t="inlineStr">
        <is>
          <t>GBP</t>
        </is>
      </c>
      <c r="P229" s="1155" t="n"/>
      <c r="Q229" s="1791" t="n">
        <v>60</v>
      </c>
      <c r="S229" s="1121">
        <f>H229-12</f>
        <v/>
      </c>
      <c r="T229" s="1121" t="n">
        <v>45969</v>
      </c>
      <c r="U229" s="1082" t="inlineStr">
        <is>
          <t>20251108-01</t>
        </is>
      </c>
      <c r="V229" s="1789">
        <f>H229+45</f>
        <v/>
      </c>
      <c r="W229" s="1791" t="n">
        <v>60</v>
      </c>
      <c r="X229" s="1121" t="n">
        <v>46010</v>
      </c>
      <c r="Y229" s="1790">
        <f>Q229-W229</f>
        <v/>
      </c>
    </row>
    <row r="230">
      <c r="E230" s="1155" t="inlineStr">
        <is>
          <t>IIY#0629919143471usS</t>
        </is>
      </c>
      <c r="F230" s="1155" t="inlineStr">
        <is>
          <t>Seat Booking Confirmed</t>
        </is>
      </c>
      <c r="G230" s="1155" t="inlineStr">
        <is>
          <t>Abstract and Macro Photography Workshop Warwickshire</t>
        </is>
      </c>
      <c r="H230" s="1787" t="inlineStr">
        <is>
          <t>08 Nov 2025</t>
        </is>
      </c>
      <c r="I230" s="1787" t="inlineStr">
        <is>
          <t>08 Nov 2025</t>
        </is>
      </c>
      <c r="J230" s="1157" t="inlineStr">
        <is>
          <t>10:00:00</t>
        </is>
      </c>
      <c r="K230" s="1157" t="inlineStr">
        <is>
          <t>12:30:00</t>
        </is>
      </c>
      <c r="L230" s="1155" t="inlineStr">
        <is>
          <t>Wellsbourne|</t>
        </is>
      </c>
      <c r="M230" s="1155" t="inlineStr">
        <is>
          <t>Nicholas Guntrip Hook</t>
        </is>
      </c>
      <c r="N230" s="1155" t="inlineStr">
        <is>
          <t>nguntrip@jaguarlandrover.com</t>
        </is>
      </c>
      <c r="O230" s="1155" t="inlineStr">
        <is>
          <t>GBP</t>
        </is>
      </c>
      <c r="P230" s="1155" t="n"/>
      <c r="Q230" s="1791" t="n">
        <v>60</v>
      </c>
      <c r="S230" s="1121">
        <f>H230-12</f>
        <v/>
      </c>
      <c r="T230" s="1121" t="n">
        <v>45969</v>
      </c>
      <c r="U230" s="1082" t="inlineStr">
        <is>
          <t>20251108-01</t>
        </is>
      </c>
      <c r="V230" s="1789">
        <f>H230+45</f>
        <v/>
      </c>
      <c r="W230" s="1791" t="n">
        <v>60</v>
      </c>
      <c r="X230" s="1121" t="n">
        <v>46010</v>
      </c>
      <c r="Y230" s="1790">
        <f>Q230-W230</f>
        <v/>
      </c>
    </row>
    <row r="231">
      <c r="E231" s="1155" t="inlineStr">
        <is>
          <t>IIY#6283455742471uhg</t>
        </is>
      </c>
      <c r="F231" s="1155" t="inlineStr">
        <is>
          <t>Seat Booking Confirmed</t>
        </is>
      </c>
      <c r="G231" s="1155" t="inlineStr">
        <is>
          <t>Woodland Photography Walk</t>
        </is>
      </c>
      <c r="H231" s="1787" t="inlineStr">
        <is>
          <t>05 Dec 2025</t>
        </is>
      </c>
      <c r="I231" s="1787" t="inlineStr">
        <is>
          <t>05 Dec 2025</t>
        </is>
      </c>
      <c r="J231" s="1157" t="inlineStr">
        <is>
          <t>09:30:00</t>
        </is>
      </c>
      <c r="K231" s="1157" t="inlineStr">
        <is>
          <t>11:30:00</t>
        </is>
      </c>
      <c r="L231" s="1155" t="inlineStr">
        <is>
          <t>Solihull|</t>
        </is>
      </c>
      <c r="M231" s="1155" t="inlineStr">
        <is>
          <t>Sara Roberts</t>
        </is>
      </c>
      <c r="N231" s="1155" t="inlineStr">
        <is>
          <t>srickar3@jaguarlandrover.com</t>
        </is>
      </c>
      <c r="O231" s="1155" t="inlineStr">
        <is>
          <t>GBP</t>
        </is>
      </c>
      <c r="P231" s="1155" t="n"/>
      <c r="Q231" s="1791" t="n">
        <v>15</v>
      </c>
      <c r="S231" s="1121">
        <f>H231-12</f>
        <v/>
      </c>
      <c r="T231" s="1121" t="n">
        <v>45996</v>
      </c>
      <c r="U231" s="1082" t="inlineStr">
        <is>
          <t>20251205-01</t>
        </is>
      </c>
      <c r="V231" s="1789">
        <f>H231+45</f>
        <v/>
      </c>
      <c r="W231" s="1791" t="n">
        <v>15</v>
      </c>
      <c r="X231" s="1121" t="n">
        <v>46045</v>
      </c>
      <c r="Y231" s="1790">
        <f>Q231-W231</f>
        <v/>
      </c>
    </row>
    <row r="232">
      <c r="E232" s="1155" t="inlineStr">
        <is>
          <t>IIY#0089144982471f4Z</t>
        </is>
      </c>
      <c r="F232" s="1155" t="inlineStr">
        <is>
          <t>Seat Booking Confirmed</t>
        </is>
      </c>
      <c r="G232" s="1155" t="inlineStr">
        <is>
          <t>Woodland Photography Walk</t>
        </is>
      </c>
      <c r="H232" s="1787" t="inlineStr">
        <is>
          <t>05 Dec 2025</t>
        </is>
      </c>
      <c r="I232" s="1787" t="inlineStr">
        <is>
          <t>05 Dec 2025</t>
        </is>
      </c>
      <c r="J232" s="1157" t="inlineStr">
        <is>
          <t>09:30:00</t>
        </is>
      </c>
      <c r="K232" s="1157" t="inlineStr">
        <is>
          <t>11:30:00</t>
        </is>
      </c>
      <c r="L232" s="1155" t="inlineStr">
        <is>
          <t>Solihull|</t>
        </is>
      </c>
      <c r="M232" s="1155" t="inlineStr">
        <is>
          <t>Sunil Raaj</t>
        </is>
      </c>
      <c r="N232" s="1155" t="inlineStr">
        <is>
          <t>smalarva@jaguarlandrover.com</t>
        </is>
      </c>
      <c r="O232" s="1155" t="inlineStr">
        <is>
          <t>GBP</t>
        </is>
      </c>
      <c r="P232" s="1155" t="n"/>
      <c r="Q232" s="1791" t="n">
        <v>15</v>
      </c>
      <c r="S232" s="1121">
        <f>H232-12</f>
        <v/>
      </c>
      <c r="T232" s="1121" t="n">
        <v>45996</v>
      </c>
      <c r="U232" s="1082" t="inlineStr">
        <is>
          <t>20251205-01</t>
        </is>
      </c>
      <c r="V232" s="1789">
        <f>H232+45</f>
        <v/>
      </c>
      <c r="W232" s="1791" t="n">
        <v>15</v>
      </c>
      <c r="X232" s="1121" t="n">
        <v>46045</v>
      </c>
      <c r="Y232" s="1790">
        <f>Q232-W232</f>
        <v/>
      </c>
    </row>
    <row r="233">
      <c r="E233" s="1155" t="inlineStr">
        <is>
          <t>IIY#7864011723471Tz9</t>
        </is>
      </c>
      <c r="F233" s="1155" t="inlineStr">
        <is>
          <t>Seat Booking Confirmed</t>
        </is>
      </c>
      <c r="G233" s="1155" t="inlineStr">
        <is>
          <t>Woodland Photography Walk</t>
        </is>
      </c>
      <c r="H233" s="1787" t="inlineStr">
        <is>
          <t>05 Dec 2025</t>
        </is>
      </c>
      <c r="I233" s="1787" t="inlineStr">
        <is>
          <t>05 Dec 2025</t>
        </is>
      </c>
      <c r="J233" s="1157" t="inlineStr">
        <is>
          <t>09:30:00</t>
        </is>
      </c>
      <c r="K233" s="1157" t="inlineStr">
        <is>
          <t>11:30:00</t>
        </is>
      </c>
      <c r="L233" s="1155" t="inlineStr">
        <is>
          <t>Solihull|</t>
        </is>
      </c>
      <c r="M233" s="1155" t="inlineStr">
        <is>
          <t>Stephanie Sanderson</t>
        </is>
      </c>
      <c r="N233" s="1155" t="inlineStr">
        <is>
          <t>ssander2@jaguarlandrover.com</t>
        </is>
      </c>
      <c r="O233" s="1155" t="inlineStr">
        <is>
          <t>GBP</t>
        </is>
      </c>
      <c r="P233" s="1155" t="n"/>
      <c r="Q233" s="1791" t="n">
        <v>15</v>
      </c>
      <c r="S233" s="1121">
        <f>H233-12</f>
        <v/>
      </c>
      <c r="T233" s="1121" t="n">
        <v>45996</v>
      </c>
      <c r="U233" s="1082" t="inlineStr">
        <is>
          <t>20251205-01</t>
        </is>
      </c>
      <c r="V233" s="1789">
        <f>H233+45</f>
        <v/>
      </c>
      <c r="W233" s="1791" t="n">
        <v>15</v>
      </c>
      <c r="X233" s="1121" t="n">
        <v>46045</v>
      </c>
      <c r="Y233" s="1790">
        <f>Q233-W233</f>
        <v/>
      </c>
    </row>
    <row r="234">
      <c r="E234" s="1155" t="inlineStr">
        <is>
          <t>IIY#1740441823471nPv</t>
        </is>
      </c>
      <c r="F234" s="1155" t="inlineStr">
        <is>
          <t>Seat Booking Confirmed</t>
        </is>
      </c>
      <c r="G234" s="1155" t="inlineStr">
        <is>
          <t>Woodland Photography Walk</t>
        </is>
      </c>
      <c r="H234" s="1787" t="inlineStr">
        <is>
          <t>05 Dec 2025</t>
        </is>
      </c>
      <c r="I234" s="1787" t="inlineStr">
        <is>
          <t>05 Dec 2025</t>
        </is>
      </c>
      <c r="J234" s="1157" t="inlineStr">
        <is>
          <t>09:30:00</t>
        </is>
      </c>
      <c r="K234" s="1157" t="inlineStr">
        <is>
          <t>11:30:00</t>
        </is>
      </c>
      <c r="L234" s="1155" t="inlineStr">
        <is>
          <t>Solihull|</t>
        </is>
      </c>
      <c r="M234" s="1155" t="inlineStr">
        <is>
          <t>Theresa Halpin</t>
        </is>
      </c>
      <c r="N234" s="1155" t="inlineStr">
        <is>
          <t>thalpin@jaguarlandrover.com</t>
        </is>
      </c>
      <c r="O234" s="1155" t="inlineStr">
        <is>
          <t>GBP</t>
        </is>
      </c>
      <c r="P234" s="1155" t="n"/>
      <c r="Q234" s="1791" t="n">
        <v>15</v>
      </c>
      <c r="S234" s="1121">
        <f>H234-12</f>
        <v/>
      </c>
      <c r="T234" s="1121" t="n">
        <v>45996</v>
      </c>
      <c r="U234" s="1082" t="inlineStr">
        <is>
          <t>20251205-01</t>
        </is>
      </c>
      <c r="V234" s="1789">
        <f>H234+45</f>
        <v/>
      </c>
      <c r="W234" s="1791" t="n">
        <v>15</v>
      </c>
      <c r="X234" s="1121" t="n">
        <v>46045</v>
      </c>
      <c r="Y234" s="1790">
        <f>Q234-W234</f>
        <v/>
      </c>
    </row>
    <row r="235">
      <c r="E235" s="1155" t="inlineStr">
        <is>
          <t>IIY#8268734733471qZc</t>
        </is>
      </c>
      <c r="F235" s="1155" t="inlineStr">
        <is>
          <t>Seat Booking Confirmed</t>
        </is>
      </c>
      <c r="G235" s="1155" t="inlineStr">
        <is>
          <t>Woodland Photography Walk</t>
        </is>
      </c>
      <c r="H235" s="1787" t="inlineStr">
        <is>
          <t>05 Dec 2025</t>
        </is>
      </c>
      <c r="I235" s="1787" t="inlineStr">
        <is>
          <t>05 Dec 2025</t>
        </is>
      </c>
      <c r="J235" s="1157" t="inlineStr">
        <is>
          <t>09:30:00</t>
        </is>
      </c>
      <c r="K235" s="1157" t="inlineStr">
        <is>
          <t>11:30:00</t>
        </is>
      </c>
      <c r="L235" s="1155" t="inlineStr">
        <is>
          <t>Solihull|</t>
        </is>
      </c>
      <c r="M235" s="1155" t="inlineStr">
        <is>
          <t>Naveen Prakash Karuppaiah</t>
        </is>
      </c>
      <c r="N235" s="1155" t="inlineStr">
        <is>
          <t>nkarupp2@jaguarlandrover.com</t>
        </is>
      </c>
      <c r="O235" s="1155" t="inlineStr">
        <is>
          <t>GBP</t>
        </is>
      </c>
      <c r="P235" s="1155" t="n"/>
      <c r="Q235" s="1788" t="n">
        <v>15</v>
      </c>
      <c r="S235" s="1121">
        <f>H235-12</f>
        <v/>
      </c>
      <c r="T235" s="1121" t="n">
        <v>45996</v>
      </c>
      <c r="U235" s="1082" t="inlineStr">
        <is>
          <t>20251205-01</t>
        </is>
      </c>
      <c r="V235" s="1789">
        <f>H235+45</f>
        <v/>
      </c>
      <c r="W235" s="1791" t="n">
        <v>15</v>
      </c>
      <c r="X235" s="1121" t="n">
        <v>46045</v>
      </c>
      <c r="Y235" s="1790">
        <f>Q235-W235</f>
        <v/>
      </c>
    </row>
    <row r="236">
      <c r="E236" s="1155" t="inlineStr">
        <is>
          <t>IIY#5693288733471hk6</t>
        </is>
      </c>
      <c r="F236" s="1155" t="inlineStr">
        <is>
          <t>Seat Booking Confirmed</t>
        </is>
      </c>
      <c r="G236" s="1155" t="inlineStr">
        <is>
          <t>Woodland Photography Walk</t>
        </is>
      </c>
      <c r="H236" s="1787" t="inlineStr">
        <is>
          <t>05 Dec 2025</t>
        </is>
      </c>
      <c r="I236" s="1787" t="inlineStr">
        <is>
          <t>05 Dec 2025</t>
        </is>
      </c>
      <c r="J236" s="1157" t="inlineStr">
        <is>
          <t>09:30:00</t>
        </is>
      </c>
      <c r="K236" s="1157" t="inlineStr">
        <is>
          <t>11:30:00</t>
        </is>
      </c>
      <c r="L236" s="1155" t="inlineStr">
        <is>
          <t>Solihull|</t>
        </is>
      </c>
      <c r="M236" s="1155" t="inlineStr">
        <is>
          <t>Shreyashi Saha</t>
        </is>
      </c>
      <c r="N236" s="1155" t="inlineStr">
        <is>
          <t>ssaha7@jaguarlandrover.com</t>
        </is>
      </c>
      <c r="O236" s="1155" t="inlineStr">
        <is>
          <t>GBP</t>
        </is>
      </c>
      <c r="P236" s="1155" t="n"/>
      <c r="Q236" s="1791" t="n">
        <v>15</v>
      </c>
      <c r="S236" s="1121">
        <f>H236-12</f>
        <v/>
      </c>
      <c r="T236" s="1121" t="n">
        <v>45996</v>
      </c>
      <c r="U236" s="1082" t="inlineStr">
        <is>
          <t>20251205-01</t>
        </is>
      </c>
      <c r="V236" s="1789">
        <f>H236+45</f>
        <v/>
      </c>
      <c r="W236" s="1791" t="n">
        <v>15</v>
      </c>
      <c r="X236" s="1121" t="n">
        <v>46045</v>
      </c>
      <c r="Y236" s="1790">
        <f>Q236-W236</f>
        <v/>
      </c>
    </row>
    <row r="237">
      <c r="E237" s="1155" t="inlineStr">
        <is>
          <t>IIY#0332317043471Nhb</t>
        </is>
      </c>
      <c r="F237" s="1155" t="inlineStr">
        <is>
          <t>Seat Booking Confirmed</t>
        </is>
      </c>
      <c r="G237" s="1155" t="inlineStr">
        <is>
          <t>Woodland Photography Walk</t>
        </is>
      </c>
      <c r="H237" s="1787" t="inlineStr">
        <is>
          <t>05 Dec 2025</t>
        </is>
      </c>
      <c r="I237" s="1787" t="inlineStr">
        <is>
          <t>05 Dec 2025</t>
        </is>
      </c>
      <c r="J237" s="1157" t="inlineStr">
        <is>
          <t>09:30:00</t>
        </is>
      </c>
      <c r="K237" s="1157" t="inlineStr">
        <is>
          <t>11:30:00</t>
        </is>
      </c>
      <c r="L237" s="1155" t="inlineStr">
        <is>
          <t>Solihull|</t>
        </is>
      </c>
      <c r="M237" s="1155" t="inlineStr">
        <is>
          <t>Vedaraj Thakare</t>
        </is>
      </c>
      <c r="N237" s="1155" t="inlineStr">
        <is>
          <t>vthakar1@jaguarlandrover.com</t>
        </is>
      </c>
      <c r="O237" s="1155" t="inlineStr">
        <is>
          <t>GBP</t>
        </is>
      </c>
      <c r="P237" s="1155" t="n"/>
      <c r="Q237" s="1788" t="n">
        <v>15</v>
      </c>
      <c r="S237" s="1121">
        <f>H237-12</f>
        <v/>
      </c>
      <c r="T237" s="1121" t="n">
        <v>45996</v>
      </c>
      <c r="U237" s="1082" t="inlineStr">
        <is>
          <t>20251205-01</t>
        </is>
      </c>
      <c r="V237" s="1789">
        <f>H237+45</f>
        <v/>
      </c>
      <c r="W237" s="1791" t="n">
        <v>15</v>
      </c>
      <c r="X237" s="1121" t="n">
        <v>46045</v>
      </c>
      <c r="Y237" s="1790">
        <f>Q237-W237</f>
        <v/>
      </c>
    </row>
    <row r="238">
      <c r="E238" s="1155" t="inlineStr">
        <is>
          <t>IIY#1260831143471Qcd</t>
        </is>
      </c>
      <c r="F238" s="1155" t="inlineStr">
        <is>
          <t>Seat Booking Confirmed</t>
        </is>
      </c>
      <c r="G238" s="1155" t="inlineStr">
        <is>
          <t>Woodland Photography Walk</t>
        </is>
      </c>
      <c r="H238" s="1787" t="inlineStr">
        <is>
          <t>05 Dec 2025</t>
        </is>
      </c>
      <c r="I238" s="1787" t="inlineStr">
        <is>
          <t>05 Dec 2025</t>
        </is>
      </c>
      <c r="J238" s="1157" t="inlineStr">
        <is>
          <t>09:30:00</t>
        </is>
      </c>
      <c r="K238" s="1157" t="inlineStr">
        <is>
          <t>11:30:00</t>
        </is>
      </c>
      <c r="L238" s="1155" t="inlineStr">
        <is>
          <t>Solihull|</t>
        </is>
      </c>
      <c r="M238" s="1155" t="inlineStr">
        <is>
          <t>Dadasaheb Jadhav</t>
        </is>
      </c>
      <c r="N238" s="1155" t="inlineStr">
        <is>
          <t>djadhav4@jaguarlandrover.com</t>
        </is>
      </c>
      <c r="O238" s="1155" t="inlineStr">
        <is>
          <t>GBP</t>
        </is>
      </c>
      <c r="P238" s="1155" t="n"/>
      <c r="Q238" s="1791" t="n">
        <v>15</v>
      </c>
      <c r="S238" s="1121">
        <f>H238-12</f>
        <v/>
      </c>
      <c r="T238" s="1121" t="n">
        <v>45996</v>
      </c>
      <c r="U238" s="1082" t="inlineStr">
        <is>
          <t>20251205-01</t>
        </is>
      </c>
      <c r="V238" s="1789">
        <f>H238+45</f>
        <v/>
      </c>
      <c r="W238" s="1791" t="n">
        <v>15</v>
      </c>
      <c r="X238" s="1121" t="n">
        <v>46045</v>
      </c>
      <c r="Y238" s="1790">
        <f>Q238-W238</f>
        <v/>
      </c>
    </row>
    <row r="239">
      <c r="E239" s="1155" t="inlineStr">
        <is>
          <t>IIY#4434617143471kDz</t>
        </is>
      </c>
      <c r="F239" s="1155" t="inlineStr">
        <is>
          <t>Seat Booking Confirmed</t>
        </is>
      </c>
      <c r="G239" s="1155" t="inlineStr">
        <is>
          <t>Woodland Photography Walk</t>
        </is>
      </c>
      <c r="H239" s="1787" t="inlineStr">
        <is>
          <t>05 Dec 2025</t>
        </is>
      </c>
      <c r="I239" s="1787" t="inlineStr">
        <is>
          <t>05 Dec 2025</t>
        </is>
      </c>
      <c r="J239" s="1157" t="inlineStr">
        <is>
          <t>09:30:00</t>
        </is>
      </c>
      <c r="K239" s="1157" t="inlineStr">
        <is>
          <t>11:30:00</t>
        </is>
      </c>
      <c r="L239" s="1155" t="inlineStr">
        <is>
          <t>Solihull|</t>
        </is>
      </c>
      <c r="M239" s="1155" t="inlineStr">
        <is>
          <t>Toby Mendes</t>
        </is>
      </c>
      <c r="N239" s="1155" t="inlineStr">
        <is>
          <t>tmendes1@jaguarlandrover.com</t>
        </is>
      </c>
      <c r="O239" s="1155" t="inlineStr">
        <is>
          <t>GBP</t>
        </is>
      </c>
      <c r="P239" s="1155" t="n"/>
      <c r="Q239" s="1791" t="n">
        <v>15</v>
      </c>
      <c r="S239" s="1121">
        <f>H239-12</f>
        <v/>
      </c>
      <c r="T239" s="1121" t="n">
        <v>45996</v>
      </c>
      <c r="U239" s="1082" t="inlineStr">
        <is>
          <t>20251205-01</t>
        </is>
      </c>
      <c r="V239" s="1789">
        <f>H239+45</f>
        <v/>
      </c>
      <c r="W239" s="1791" t="n">
        <v>15</v>
      </c>
      <c r="X239" s="1121" t="n">
        <v>46045</v>
      </c>
      <c r="Y239" s="1790">
        <f>Q239-W239</f>
        <v/>
      </c>
    </row>
    <row r="240">
      <c r="E240" s="1155" t="inlineStr">
        <is>
          <t>IIY#8827864143471ON4</t>
        </is>
      </c>
      <c r="F240" s="1155" t="inlineStr">
        <is>
          <t>Seat Booking Confirmed</t>
        </is>
      </c>
      <c r="G240" s="1155" t="inlineStr">
        <is>
          <t>Woodland Photography Walk</t>
        </is>
      </c>
      <c r="H240" s="1201" t="inlineStr">
        <is>
          <t>05 Dec 2025</t>
        </is>
      </c>
      <c r="I240" s="1201" t="inlineStr">
        <is>
          <t>05 Dec 2025</t>
        </is>
      </c>
      <c r="J240" s="1157" t="n">
        <v>0.3958333333333333</v>
      </c>
      <c r="K240" s="1157" t="n">
        <v>0.4791666666666667</v>
      </c>
      <c r="L240" s="1155" t="inlineStr">
        <is>
          <t>Solihull|</t>
        </is>
      </c>
      <c r="M240" s="1155" t="inlineStr">
        <is>
          <t>Kalindi Vyas</t>
        </is>
      </c>
      <c r="N240" s="1155" t="inlineStr">
        <is>
          <t>kvyas@jaguarlandrover.com</t>
        </is>
      </c>
      <c r="O240" s="1155" t="inlineStr">
        <is>
          <t>GBP</t>
        </is>
      </c>
      <c r="P240" s="1155" t="n"/>
      <c r="Q240" s="1791" t="n">
        <v>15</v>
      </c>
      <c r="S240" s="1121">
        <f>H240-12</f>
        <v/>
      </c>
      <c r="T240" s="1121" t="n">
        <v>45996</v>
      </c>
      <c r="U240" s="1082" t="inlineStr">
        <is>
          <t>20251205-01</t>
        </is>
      </c>
      <c r="V240" s="1789">
        <f>H240+45</f>
        <v/>
      </c>
      <c r="W240" s="1791" t="n">
        <v>15</v>
      </c>
      <c r="X240" s="1121" t="n">
        <v>46045</v>
      </c>
      <c r="Y240" s="1790">
        <f>Q240-W240</f>
        <v/>
      </c>
    </row>
    <row r="241">
      <c r="E241" s="1155" t="inlineStr">
        <is>
          <t>IIY#0685913364471PcF</t>
        </is>
      </c>
      <c r="F241" s="1155" t="inlineStr">
        <is>
          <t>Seat Booking Confirmed</t>
        </is>
      </c>
      <c r="G241" s="1155" t="inlineStr">
        <is>
          <t>Woodland Photography Walk</t>
        </is>
      </c>
      <c r="H241" s="1796" t="n">
        <v>45999</v>
      </c>
      <c r="I241" s="1796" t="n">
        <v>45999</v>
      </c>
      <c r="J241" s="1157" t="n">
        <v>0.3958333333333333</v>
      </c>
      <c r="K241" s="1157" t="n">
        <v>0.4791666666666667</v>
      </c>
      <c r="L241" s="1155" t="inlineStr">
        <is>
          <t>Solihull|</t>
        </is>
      </c>
      <c r="M241" s="1155" t="inlineStr">
        <is>
          <t>Rebecca Saunders</t>
        </is>
      </c>
      <c r="N241" s="1155" t="inlineStr">
        <is>
          <t>rsaund22@jaguarlandrover.com</t>
        </is>
      </c>
      <c r="O241" s="1155" t="inlineStr">
        <is>
          <t>GBP</t>
        </is>
      </c>
      <c r="P241" s="1155" t="n"/>
      <c r="Q241" s="1791" t="n">
        <v>15</v>
      </c>
      <c r="S241" s="1121">
        <f>H241-12</f>
        <v/>
      </c>
      <c r="T241" s="1121" t="n">
        <v>45999</v>
      </c>
      <c r="U241" s="1082" t="inlineStr">
        <is>
          <t>20251208-01</t>
        </is>
      </c>
      <c r="V241" s="1789">
        <f>H241+45</f>
        <v/>
      </c>
      <c r="W241" s="1791" t="n">
        <v>15</v>
      </c>
      <c r="X241" s="1121" t="n">
        <v>46045</v>
      </c>
      <c r="Y241" s="1790">
        <f>Q241-W241</f>
        <v/>
      </c>
    </row>
    <row r="242">
      <c r="E242" s="1155" t="inlineStr">
        <is>
          <t>IIY#1416370723471OyW</t>
        </is>
      </c>
      <c r="F242" s="1155" t="inlineStr">
        <is>
          <t>Seat Booking Confirmed</t>
        </is>
      </c>
      <c r="G242" s="1155" t="inlineStr">
        <is>
          <t>Woodland Photography Walk</t>
        </is>
      </c>
      <c r="H242" s="1796" t="inlineStr">
        <is>
          <t>02 Jan 2026</t>
        </is>
      </c>
      <c r="I242" s="1796" t="inlineStr">
        <is>
          <t>02 Jan 2026</t>
        </is>
      </c>
      <c r="J242" s="1157" t="inlineStr">
        <is>
          <t>09:30:00</t>
        </is>
      </c>
      <c r="K242" s="1157" t="inlineStr">
        <is>
          <t>11:30:00</t>
        </is>
      </c>
      <c r="L242" s="1155" t="inlineStr">
        <is>
          <t>Solihull|</t>
        </is>
      </c>
      <c r="M242" s="1155" t="inlineStr">
        <is>
          <t>Deion Coe</t>
        </is>
      </c>
      <c r="N242" s="1155" t="inlineStr">
        <is>
          <t>dcoe@jaguarlandrover.com</t>
        </is>
      </c>
      <c r="O242" s="1155" t="inlineStr">
        <is>
          <t>GBP</t>
        </is>
      </c>
      <c r="P242" s="1155" t="n"/>
      <c r="Q242" s="1791" t="n">
        <v>15</v>
      </c>
      <c r="S242" s="1121">
        <f>H242-12</f>
        <v/>
      </c>
      <c r="T242" s="1121" t="n">
        <v>46024</v>
      </c>
      <c r="U242" s="1082" t="inlineStr">
        <is>
          <t>20260102-01</t>
        </is>
      </c>
      <c r="V242" s="1789">
        <f>H242+45</f>
        <v/>
      </c>
      <c r="W242" s="1791" t="n">
        <v>15</v>
      </c>
      <c r="X242" s="1121" t="n">
        <v>46066</v>
      </c>
      <c r="Y242" s="1790">
        <f>Q242-W242</f>
        <v/>
      </c>
    </row>
    <row r="243">
      <c r="E243" s="1155" t="inlineStr">
        <is>
          <t>IIY#7239156633471Gz2</t>
        </is>
      </c>
      <c r="F243" s="1155" t="inlineStr">
        <is>
          <t>Seat Booking Confirmed</t>
        </is>
      </c>
      <c r="G243" s="1155" t="inlineStr">
        <is>
          <t>Woodland Photography Walk</t>
        </is>
      </c>
      <c r="H243" s="1796" t="inlineStr">
        <is>
          <t>02 Jan 2026</t>
        </is>
      </c>
      <c r="I243" s="1796" t="inlineStr">
        <is>
          <t>02 Jan 2026</t>
        </is>
      </c>
      <c r="J243" s="1157" t="inlineStr">
        <is>
          <t>09:30:00</t>
        </is>
      </c>
      <c r="K243" s="1157" t="inlineStr">
        <is>
          <t>11:30:00</t>
        </is>
      </c>
      <c r="L243" s="1155" t="inlineStr">
        <is>
          <t>Solihull|</t>
        </is>
      </c>
      <c r="M243" s="1155" t="inlineStr">
        <is>
          <t>Ye Tao</t>
        </is>
      </c>
      <c r="N243" s="1155" t="inlineStr">
        <is>
          <t>ytao2@jaguarlandrover.com</t>
        </is>
      </c>
      <c r="O243" s="1155" t="inlineStr">
        <is>
          <t>GBP</t>
        </is>
      </c>
      <c r="P243" s="1155" t="n"/>
      <c r="Q243" s="1791" t="n">
        <v>15</v>
      </c>
      <c r="S243" s="1121">
        <f>H243-12</f>
        <v/>
      </c>
      <c r="T243" s="1121" t="n">
        <v>46024</v>
      </c>
      <c r="U243" s="1082" t="inlineStr">
        <is>
          <t>20260102-01</t>
        </is>
      </c>
      <c r="V243" s="1789">
        <f>H243+45</f>
        <v/>
      </c>
      <c r="W243" s="1791" t="n">
        <v>15</v>
      </c>
      <c r="X243" s="1121" t="n">
        <v>46066</v>
      </c>
      <c r="Y243" s="1790">
        <f>Q243-W243</f>
        <v/>
      </c>
    </row>
    <row r="244">
      <c r="E244" s="1155" t="inlineStr">
        <is>
          <t>IIY#7266631733471Lb3</t>
        </is>
      </c>
      <c r="F244" s="1155" t="inlineStr">
        <is>
          <t>Seat Booking Confirmed</t>
        </is>
      </c>
      <c r="G244" s="1155" t="inlineStr">
        <is>
          <t>Woodland Photography Walk</t>
        </is>
      </c>
      <c r="H244" s="1796" t="inlineStr">
        <is>
          <t>02 Jan 2026</t>
        </is>
      </c>
      <c r="I244" s="1796" t="inlineStr">
        <is>
          <t>02 Jan 2026</t>
        </is>
      </c>
      <c r="J244" s="1157" t="inlineStr">
        <is>
          <t>09:30:00</t>
        </is>
      </c>
      <c r="K244" s="1157" t="inlineStr">
        <is>
          <t>11:30:00</t>
        </is>
      </c>
      <c r="L244" s="1155" t="inlineStr">
        <is>
          <t>Solihull|</t>
        </is>
      </c>
      <c r="M244" s="1155" t="inlineStr">
        <is>
          <t>Indianna Long</t>
        </is>
      </c>
      <c r="N244" s="1155" t="inlineStr">
        <is>
          <t>ilong@jaguarlandrover.com</t>
        </is>
      </c>
      <c r="O244" s="1155" t="inlineStr">
        <is>
          <t>GBP</t>
        </is>
      </c>
      <c r="P244" s="1155" t="n"/>
      <c r="Q244" s="1791" t="n">
        <v>15</v>
      </c>
      <c r="S244" s="1121">
        <f>H244-12</f>
        <v/>
      </c>
      <c r="T244" s="1121" t="n">
        <v>46024</v>
      </c>
      <c r="U244" s="1082" t="inlineStr">
        <is>
          <t>20260102-01</t>
        </is>
      </c>
      <c r="V244" s="1789">
        <f>H244+45</f>
        <v/>
      </c>
      <c r="W244" s="1791" t="n">
        <v>15</v>
      </c>
      <c r="X244" s="1121" t="n">
        <v>46066</v>
      </c>
      <c r="Y244" s="1790">
        <f>Q244-W244</f>
        <v/>
      </c>
    </row>
    <row r="245">
      <c r="E245" s="1155" t="inlineStr">
        <is>
          <t>IIY#6564685005571zfQ</t>
        </is>
      </c>
      <c r="F245" s="1155" t="n"/>
      <c r="G245" s="1155" t="inlineStr">
        <is>
          <t>The Secrets of Woodland Photography - 1-Day Masterclass</t>
        </is>
      </c>
      <c r="H245" s="1787" t="n">
        <v>46033</v>
      </c>
      <c r="I245" s="1787" t="n">
        <v>46033</v>
      </c>
      <c r="J245" s="1157" t="n">
        <v>0.4166666666666667</v>
      </c>
      <c r="K245" s="1157" t="n">
        <v>0.6666666666666666</v>
      </c>
      <c r="L245" s="1155" t="inlineStr">
        <is>
          <t>Coventry|</t>
        </is>
      </c>
      <c r="M245" s="1155" t="inlineStr">
        <is>
          <t>Paul Jackson</t>
        </is>
      </c>
      <c r="N245" s="1155" t="inlineStr">
        <is>
          <t>pjacks36@jaguarlandrover.com</t>
        </is>
      </c>
      <c r="O245" s="1155" t="inlineStr">
        <is>
          <t>GBP</t>
        </is>
      </c>
      <c r="P245" s="1155" t="n"/>
      <c r="Q245" s="1791" t="n">
        <v>125</v>
      </c>
      <c r="S245" s="1121">
        <f>H245-12</f>
        <v/>
      </c>
      <c r="T245" s="1121" t="n">
        <v>46033</v>
      </c>
      <c r="U245" s="1082" t="inlineStr">
        <is>
          <t>20260111-01</t>
        </is>
      </c>
      <c r="V245" s="1789">
        <f>H245+45</f>
        <v/>
      </c>
      <c r="W245" s="1791" t="n">
        <v>125</v>
      </c>
      <c r="X245" s="1121" t="n">
        <v>46073</v>
      </c>
      <c r="Y245" s="1790">
        <f>Q245-W245</f>
        <v/>
      </c>
    </row>
    <row r="246">
      <c r="E246" s="1155" t="inlineStr">
        <is>
          <t>IIY#08355222334715UW</t>
        </is>
      </c>
      <c r="F246" s="1155" t="inlineStr">
        <is>
          <t>Seat Booking Confirmed</t>
        </is>
      </c>
      <c r="G246" s="1155" t="inlineStr">
        <is>
          <t>Woodland Photography Walk</t>
        </is>
      </c>
      <c r="H246" s="1796" t="inlineStr">
        <is>
          <t>02 Feb 2026</t>
        </is>
      </c>
      <c r="I246" s="1796" t="inlineStr">
        <is>
          <t>02 Feb 2026</t>
        </is>
      </c>
      <c r="J246" s="1155" t="inlineStr">
        <is>
          <t>09:30:00</t>
        </is>
      </c>
      <c r="K246" s="1155" t="inlineStr">
        <is>
          <t>11:30:00</t>
        </is>
      </c>
      <c r="L246" s="1155" t="inlineStr">
        <is>
          <t>Solihull|</t>
        </is>
      </c>
      <c r="M246" s="1155" t="inlineStr">
        <is>
          <t>Balbir Dubb</t>
        </is>
      </c>
      <c r="N246" s="1155" t="inlineStr">
        <is>
          <t>bdubb@jaguarlandrover.com</t>
        </is>
      </c>
      <c r="O246" s="1155" t="inlineStr">
        <is>
          <t>GBP</t>
        </is>
      </c>
      <c r="P246" s="1155" t="n"/>
      <c r="Q246" s="1791" t="n">
        <v>15</v>
      </c>
      <c r="S246" s="1121">
        <f>H246-12</f>
        <v/>
      </c>
      <c r="T246" s="1121" t="n">
        <v>46055</v>
      </c>
      <c r="U246" s="1082" t="inlineStr">
        <is>
          <t>20260202-01</t>
        </is>
      </c>
      <c r="V246" s="1789">
        <f>H246+45</f>
        <v/>
      </c>
      <c r="W246" s="1791" t="n">
        <v>15</v>
      </c>
      <c r="X246" s="1121" t="n">
        <v>46094</v>
      </c>
      <c r="Y246" s="1790">
        <f>Q246-W246</f>
        <v/>
      </c>
    </row>
    <row r="247">
      <c r="E247" s="1155" t="inlineStr">
        <is>
          <t>IIY#5430706043471WI7</t>
        </is>
      </c>
      <c r="F247" s="1155" t="inlineStr">
        <is>
          <t>Seat Booking Confirmed</t>
        </is>
      </c>
      <c r="G247" s="1155" t="inlineStr">
        <is>
          <t>Woodland Photography Walk</t>
        </is>
      </c>
      <c r="H247" s="1796" t="inlineStr">
        <is>
          <t>02 Feb 2026</t>
        </is>
      </c>
      <c r="I247" s="1796" t="inlineStr">
        <is>
          <t>02 Feb 2026</t>
        </is>
      </c>
      <c r="J247" s="1155" t="inlineStr">
        <is>
          <t>09:30:00</t>
        </is>
      </c>
      <c r="K247" s="1155" t="inlineStr">
        <is>
          <t>11:30:00</t>
        </is>
      </c>
      <c r="L247" s="1155" t="inlineStr">
        <is>
          <t>Solihull|</t>
        </is>
      </c>
      <c r="M247" s="1155" t="inlineStr">
        <is>
          <t>Tugba Sahin Tore</t>
        </is>
      </c>
      <c r="N247" s="1155" t="inlineStr">
        <is>
          <t>tsahinto@jaguarlandrover.com</t>
        </is>
      </c>
      <c r="O247" s="1155" t="inlineStr">
        <is>
          <t>GBP</t>
        </is>
      </c>
      <c r="P247" s="1155" t="n"/>
      <c r="Q247" s="1791" t="n">
        <v>15</v>
      </c>
      <c r="S247" s="1121">
        <f>H247-12</f>
        <v/>
      </c>
      <c r="T247" s="1121" t="n">
        <v>46055</v>
      </c>
      <c r="U247" s="1082" t="inlineStr">
        <is>
          <t>20260202-01</t>
        </is>
      </c>
      <c r="V247" s="1789">
        <f>H247+45</f>
        <v/>
      </c>
      <c r="W247" s="1791" t="n">
        <v>15</v>
      </c>
      <c r="X247" s="1121" t="n">
        <v>46094</v>
      </c>
      <c r="Y247" s="1790">
        <f>Q247-W247</f>
        <v/>
      </c>
    </row>
    <row r="248">
      <c r="E248" s="1155" t="inlineStr">
        <is>
          <t>IIY#6910444206771DYq</t>
        </is>
      </c>
      <c r="F248" s="1155" t="inlineStr">
        <is>
          <t>Seat Booking Confirmed</t>
        </is>
      </c>
      <c r="G248" s="1155" t="inlineStr">
        <is>
          <t>Photography Lessons - Private 1-2-1 (2hr)</t>
        </is>
      </c>
      <c r="H248" s="1787" t="n">
        <v>46136</v>
      </c>
      <c r="I248" s="1787" t="n">
        <v>46136</v>
      </c>
      <c r="J248" s="1157" t="n">
        <v>0.625</v>
      </c>
      <c r="K248" s="1157" t="n">
        <v>0.7083333333333334</v>
      </c>
      <c r="L248" s="1155" t="inlineStr">
        <is>
          <t>Coventry|</t>
        </is>
      </c>
      <c r="M248" s="1155" t="inlineStr">
        <is>
          <t>Esther Anyanwu</t>
        </is>
      </c>
      <c r="N248" s="1155" t="inlineStr">
        <is>
          <t>eanyanwu@jaguarlandrover.com</t>
        </is>
      </c>
      <c r="O248" s="1155" t="inlineStr">
        <is>
          <t>GBP</t>
        </is>
      </c>
      <c r="P248" s="1155" t="n">
        <v>20</v>
      </c>
      <c r="Q248" s="1791" t="n">
        <v>100</v>
      </c>
      <c r="S248" s="1121">
        <f>H248-12</f>
        <v/>
      </c>
      <c r="T248" s="1121" t="n">
        <v>46136</v>
      </c>
      <c r="U248" s="1082" t="inlineStr">
        <is>
          <t>20260424-01</t>
        </is>
      </c>
      <c r="V248" s="1789">
        <f>H248+45</f>
        <v/>
      </c>
      <c r="W248" s="1791" t="n"/>
      <c r="Y248" s="1790">
        <f>Q248-W248</f>
        <v/>
      </c>
    </row>
    <row r="249">
      <c r="E249" s="1155" t="inlineStr">
        <is>
          <t>IIY#3029527246771lOl</t>
        </is>
      </c>
      <c r="F249" s="1155" t="inlineStr">
        <is>
          <t>Seat Booking Confirmed</t>
        </is>
      </c>
      <c r="G249" s="1155" t="inlineStr">
        <is>
          <t>Bluebell Photography Workshop Half-Day - Warwickshire</t>
        </is>
      </c>
      <c r="H249" s="1787" t="n">
        <v>46137</v>
      </c>
      <c r="I249" s="1787" t="n">
        <v>46137</v>
      </c>
      <c r="J249" s="1157" t="n">
        <v>0.2395833333333333</v>
      </c>
      <c r="K249" s="1157" t="n">
        <v>0.40625</v>
      </c>
      <c r="L249" s="1155" t="inlineStr">
        <is>
          <t>Warwickshire|</t>
        </is>
      </c>
      <c r="M249" s="1155" t="inlineStr">
        <is>
          <t>David Sadler</t>
        </is>
      </c>
      <c r="N249" s="1155" t="inlineStr">
        <is>
          <t>dsadler4@jaguarlandrover.com</t>
        </is>
      </c>
      <c r="O249" s="1155" t="inlineStr">
        <is>
          <t>GBP</t>
        </is>
      </c>
      <c r="P249" s="1155" t="n">
        <v>0</v>
      </c>
      <c r="Q249" s="1791" t="n">
        <v>99</v>
      </c>
      <c r="S249" s="1121">
        <f>H249-12</f>
        <v/>
      </c>
      <c r="T249" s="1121" t="n">
        <v>46138</v>
      </c>
      <c r="U249" s="1082" t="inlineStr">
        <is>
          <t>20260426-01</t>
        </is>
      </c>
      <c r="V249" s="1789">
        <f>H249+45</f>
        <v/>
      </c>
      <c r="W249" s="1791" t="n"/>
      <c r="Y249" s="1790">
        <f>Q249-W249</f>
        <v/>
      </c>
    </row>
    <row r="250">
      <c r="E250" s="1155" t="inlineStr">
        <is>
          <t>IIY#2913981525571C0X</t>
        </is>
      </c>
      <c r="F250" s="1155" t="n"/>
      <c r="G250" s="1155" t="inlineStr">
        <is>
          <t>Bluebell Photography Workshop 1 Day - Warwickshire</t>
        </is>
      </c>
      <c r="H250" s="1787" t="n">
        <v>46138</v>
      </c>
      <c r="I250" s="1787" t="n">
        <v>46138</v>
      </c>
      <c r="J250" s="1157" t="n">
        <v>0.2395833333333333</v>
      </c>
      <c r="K250" s="1157" t="n">
        <v>0.625</v>
      </c>
      <c r="L250" s="1155" t="inlineStr">
        <is>
          <t>Warwickshire|</t>
        </is>
      </c>
      <c r="M250" s="1155" t="inlineStr">
        <is>
          <t>Michael Smith</t>
        </is>
      </c>
      <c r="N250" s="1155" t="inlineStr">
        <is>
          <t>msmit260@jaguarlandrover.com</t>
        </is>
      </c>
      <c r="O250" s="1155" t="inlineStr">
        <is>
          <t>GBP</t>
        </is>
      </c>
      <c r="P250" s="1155" t="n"/>
      <c r="Q250" s="1791" t="n">
        <v>150</v>
      </c>
      <c r="S250" s="1121">
        <f>H250-12</f>
        <v/>
      </c>
      <c r="T250" s="1121" t="n">
        <v>46138</v>
      </c>
      <c r="U250" s="1082" t="inlineStr">
        <is>
          <t>20260426-01</t>
        </is>
      </c>
      <c r="V250" s="1789">
        <f>H250+45</f>
        <v/>
      </c>
      <c r="W250" s="1791" t="n"/>
      <c r="Y250" s="1790">
        <f>Q250-W250</f>
        <v/>
      </c>
    </row>
    <row r="251">
      <c r="E251" s="1155" t="inlineStr">
        <is>
          <t>IIY#3430806185771yfH</t>
        </is>
      </c>
      <c r="F251" s="1155" t="inlineStr">
        <is>
          <t>Seat Booking Confirmed</t>
        </is>
      </c>
      <c r="G251" s="1155" t="inlineStr">
        <is>
          <t>Bluebell Photography Workshop Half-Day - Warwickshire</t>
        </is>
      </c>
      <c r="H251" s="1787" t="n">
        <v>46138</v>
      </c>
      <c r="I251" s="1787" t="n">
        <v>46138</v>
      </c>
      <c r="J251" s="1157" t="n">
        <v>0.2395833333333333</v>
      </c>
      <c r="K251" s="1157" t="n">
        <v>0.40625</v>
      </c>
      <c r="L251" s="1155" t="inlineStr">
        <is>
          <t>Warwickshire|</t>
        </is>
      </c>
      <c r="M251" s="1155" t="inlineStr">
        <is>
          <t>Mihail Radkov</t>
        </is>
      </c>
      <c r="N251" s="1155" t="inlineStr">
        <is>
          <t>mradkov1@jaguarlandrover.com</t>
        </is>
      </c>
      <c r="O251" s="1155" t="inlineStr">
        <is>
          <t>GBP</t>
        </is>
      </c>
      <c r="P251" s="1155" t="n">
        <v>0</v>
      </c>
      <c r="Q251" s="1791" t="n">
        <v>99</v>
      </c>
      <c r="S251" s="1121">
        <f>H251-12</f>
        <v/>
      </c>
      <c r="T251" s="1121" t="n">
        <v>46138</v>
      </c>
      <c r="U251" s="1082" t="inlineStr">
        <is>
          <t>20260426-01</t>
        </is>
      </c>
      <c r="V251" s="1789">
        <f>H251+45</f>
        <v/>
      </c>
      <c r="W251" s="1791" t="n"/>
      <c r="Y251" s="1790">
        <f>Q251-W251</f>
        <v/>
      </c>
    </row>
    <row r="252">
      <c r="E252" s="1155" t="inlineStr">
        <is>
          <t>IIY#27750844057719lH</t>
        </is>
      </c>
      <c r="F252" s="1155" t="inlineStr">
        <is>
          <t>Seat Booking Confirmed</t>
        </is>
      </c>
      <c r="G252" s="1155" t="inlineStr">
        <is>
          <t>Bluebell Photography Workshop Half-Day - Warwickshire</t>
        </is>
      </c>
      <c r="H252" s="1787" t="n">
        <v>46142</v>
      </c>
      <c r="I252" s="1787" t="n">
        <v>46142</v>
      </c>
      <c r="J252" s="1157" t="n">
        <v>0.4583333333333333</v>
      </c>
      <c r="K252" s="1157" t="n">
        <v>0.625</v>
      </c>
      <c r="L252" s="1155" t="inlineStr">
        <is>
          <t>Warwickshire|</t>
        </is>
      </c>
      <c r="M252" s="1155" t="inlineStr">
        <is>
          <t>Louise Potter</t>
        </is>
      </c>
      <c r="N252" s="1155" t="inlineStr">
        <is>
          <t>lpotter8@jaguarlandrover.com</t>
        </is>
      </c>
      <c r="O252" s="1155" t="inlineStr">
        <is>
          <t>GBP</t>
        </is>
      </c>
      <c r="P252" s="1155" t="n">
        <v>0</v>
      </c>
      <c r="Q252" s="1791" t="n">
        <v>99</v>
      </c>
      <c r="S252" s="1121">
        <f>H252-12</f>
        <v/>
      </c>
      <c r="T252" s="1121" t="n">
        <v>46142</v>
      </c>
      <c r="U252" s="1082" t="inlineStr">
        <is>
          <t>20260430-01</t>
        </is>
      </c>
      <c r="V252" s="1789">
        <f>H252+45</f>
        <v/>
      </c>
      <c r="W252" s="1791" t="n"/>
      <c r="Y252" s="1790">
        <f>Q252-W252</f>
        <v/>
      </c>
    </row>
    <row r="253">
      <c r="E253" s="1155" t="inlineStr">
        <is>
          <t>IIY#9619352208571uWc</t>
        </is>
      </c>
      <c r="F253" s="1155" t="inlineStr">
        <is>
          <t>Seat Booking Confirmed</t>
        </is>
      </c>
      <c r="G253" s="1155" t="inlineStr">
        <is>
          <t>Long Exposure Photography Workshop - Burnham on Sea Sunset</t>
        </is>
      </c>
      <c r="H253" s="1787" t="n">
        <v>46144</v>
      </c>
      <c r="I253" s="1787" t="n">
        <v>46144</v>
      </c>
      <c r="J253" s="1157" t="n">
        <v>0.7708333333333334</v>
      </c>
      <c r="K253" s="1157" t="n">
        <v>0.875</v>
      </c>
      <c r="L253" s="1155" t="inlineStr">
        <is>
          <t>Burnham on Sea|</t>
        </is>
      </c>
      <c r="M253" s="1155" t="inlineStr">
        <is>
          <t>Tom Eagles</t>
        </is>
      </c>
      <c r="N253" s="1155" t="inlineStr">
        <is>
          <t>teagles2@jaguarlandrover.com</t>
        </is>
      </c>
      <c r="O253" s="1155" t="inlineStr">
        <is>
          <t>GBP</t>
        </is>
      </c>
      <c r="P253" s="1155" t="n">
        <v>0</v>
      </c>
      <c r="Q253" s="1791" t="n">
        <v>95</v>
      </c>
      <c r="S253" s="1121">
        <f>H253-12</f>
        <v/>
      </c>
      <c r="T253" s="1121" t="n">
        <v>46144</v>
      </c>
      <c r="U253" s="1082" t="inlineStr">
        <is>
          <t>20260502-01</t>
        </is>
      </c>
      <c r="V253" s="1789">
        <f>H253+45</f>
        <v/>
      </c>
      <c r="W253" s="1791" t="n"/>
      <c r="Y253" s="1790">
        <f>Q253-W253</f>
        <v/>
      </c>
    </row>
    <row r="254">
      <c r="E254" s="1155" t="inlineStr">
        <is>
          <t>IIY#4430697505771GqG</t>
        </is>
      </c>
      <c r="F254" s="1155" t="inlineStr">
        <is>
          <t>Seat Booking Confirmed</t>
        </is>
      </c>
      <c r="G254" s="1155" t="inlineStr">
        <is>
          <t>Camera Courses For Beginners</t>
        </is>
      </c>
      <c r="H254" s="1787" t="n">
        <v>46147</v>
      </c>
      <c r="I254" s="1787" t="n">
        <v>46161</v>
      </c>
      <c r="J254" s="1157" t="n">
        <v>0.7916666666666666</v>
      </c>
      <c r="K254" s="1157" t="n">
        <v>0.875</v>
      </c>
      <c r="L254" s="1155" t="inlineStr">
        <is>
          <t>Coventry|</t>
        </is>
      </c>
      <c r="M254" s="1155" t="inlineStr">
        <is>
          <t>George Caus</t>
        </is>
      </c>
      <c r="N254" s="1155" t="inlineStr">
        <is>
          <t>gcaus1@jaguarlandrover.com</t>
        </is>
      </c>
      <c r="O254" s="1155" t="inlineStr">
        <is>
          <t>GBP</t>
        </is>
      </c>
      <c r="P254" s="1155" t="n">
        <v>50</v>
      </c>
      <c r="Q254" s="1791" t="n">
        <v>100</v>
      </c>
      <c r="S254" s="1121">
        <f>H254-12</f>
        <v/>
      </c>
      <c r="T254" s="1121" t="n">
        <v>46147</v>
      </c>
      <c r="U254" s="1082" t="inlineStr">
        <is>
          <t>20260505-01</t>
        </is>
      </c>
      <c r="V254" s="1789">
        <f>H254+45</f>
        <v/>
      </c>
      <c r="W254" s="1791" t="n"/>
      <c r="Y254" s="1790">
        <f>Q254-W254</f>
        <v/>
      </c>
    </row>
    <row r="255">
      <c r="E255" s="1155" t="inlineStr">
        <is>
          <t>IIY#056134920577120b</t>
        </is>
      </c>
      <c r="F255" s="1155" t="inlineStr">
        <is>
          <t>Seat Booking Confirmed</t>
        </is>
      </c>
      <c r="G255" s="1155" t="inlineStr">
        <is>
          <t>Camera Courses For Beginners</t>
        </is>
      </c>
      <c r="H255" s="1787" t="n">
        <v>46147</v>
      </c>
      <c r="I255" s="1787" t="n">
        <v>46161</v>
      </c>
      <c r="J255" s="1157" t="n">
        <v>0.7916666666666666</v>
      </c>
      <c r="K255" s="1157" t="n">
        <v>0.875</v>
      </c>
      <c r="L255" s="1155" t="inlineStr">
        <is>
          <t>Coventry|</t>
        </is>
      </c>
      <c r="M255" s="1155" t="inlineStr">
        <is>
          <t>Kulvinder Bains</t>
        </is>
      </c>
      <c r="N255" s="1155" t="inlineStr">
        <is>
          <t>kbains5@jaguarlandrover.com</t>
        </is>
      </c>
      <c r="O255" s="1155" t="inlineStr">
        <is>
          <t>GBP</t>
        </is>
      </c>
      <c r="P255" s="1155" t="n">
        <v>50</v>
      </c>
      <c r="Q255" s="1791" t="n">
        <v>100</v>
      </c>
      <c r="S255" s="1121">
        <f>H255-12</f>
        <v/>
      </c>
      <c r="T255" s="1121" t="n">
        <v>46147</v>
      </c>
      <c r="U255" s="1082" t="inlineStr">
        <is>
          <t>20260505-01</t>
        </is>
      </c>
      <c r="V255" s="1789">
        <f>H255+45</f>
        <v/>
      </c>
      <c r="W255" s="1791" t="n"/>
      <c r="Y255" s="1790">
        <f>Q255-W255</f>
        <v/>
      </c>
    </row>
    <row r="256">
      <c r="E256" s="1155" t="inlineStr">
        <is>
          <t>IIY#248719956577127F</t>
        </is>
      </c>
      <c r="F256" s="1155" t="inlineStr">
        <is>
          <t>Seat Booking Confirmed</t>
        </is>
      </c>
      <c r="G256" s="1155" t="inlineStr">
        <is>
          <t>Camera Courses For Beginners</t>
        </is>
      </c>
      <c r="H256" s="1787" t="n">
        <v>46147</v>
      </c>
      <c r="I256" s="1787" t="n">
        <v>46161</v>
      </c>
      <c r="J256" s="1157" t="n">
        <v>0.7916666666666666</v>
      </c>
      <c r="K256" s="1157" t="n">
        <v>0.875</v>
      </c>
      <c r="L256" s="1155" t="inlineStr">
        <is>
          <t>Coventry|</t>
        </is>
      </c>
      <c r="M256" s="1155" t="inlineStr">
        <is>
          <t>Brain Dsouza</t>
        </is>
      </c>
      <c r="N256" s="1155" t="inlineStr">
        <is>
          <t>bdsouza1@jaguarlandrover.com</t>
        </is>
      </c>
      <c r="O256" s="1155" t="inlineStr">
        <is>
          <t>GBP</t>
        </is>
      </c>
      <c r="P256" s="1155" t="n">
        <v>50</v>
      </c>
      <c r="Q256" s="1791" t="n">
        <v>100</v>
      </c>
      <c r="S256" s="1121">
        <f>H256-12</f>
        <v/>
      </c>
      <c r="T256" s="1121" t="n">
        <v>46147</v>
      </c>
      <c r="U256" s="1082" t="inlineStr">
        <is>
          <t>20260505-01</t>
        </is>
      </c>
      <c r="V256" s="1789">
        <f>H256+45</f>
        <v/>
      </c>
      <c r="W256" s="1791" t="n"/>
      <c r="Y256" s="1790">
        <f>Q256-W256</f>
        <v/>
      </c>
    </row>
    <row r="257">
      <c r="E257" s="1155" t="inlineStr">
        <is>
          <t>IIY#6414240857571WLc</t>
        </is>
      </c>
      <c r="F257" s="1155" t="inlineStr">
        <is>
          <t>Seat Booking Confirmed</t>
        </is>
      </c>
      <c r="G257" s="1155" t="inlineStr">
        <is>
          <t>Peak District Photography Workshops Padley Gorge</t>
        </is>
      </c>
      <c r="H257" s="1787" t="n">
        <v>46158</v>
      </c>
      <c r="I257" s="1787" t="n">
        <v>46158</v>
      </c>
      <c r="J257" s="1157" t="n">
        <v>0.3958333333333333</v>
      </c>
      <c r="K257" s="1157" t="n">
        <v>0.6666666666666666</v>
      </c>
      <c r="L257" s="1155" t="inlineStr">
        <is>
          <t>Grindleford|</t>
        </is>
      </c>
      <c r="M257" s="1155" t="inlineStr">
        <is>
          <t>Paul Farrington</t>
        </is>
      </c>
      <c r="N257" s="1155" t="inlineStr">
        <is>
          <t>pfarring@jaguarlandrover.com</t>
        </is>
      </c>
      <c r="O257" s="1155" t="inlineStr">
        <is>
          <t>GBP</t>
        </is>
      </c>
      <c r="P257" s="1155" t="n">
        <v>0</v>
      </c>
      <c r="Q257" s="1791" t="n">
        <v>150</v>
      </c>
      <c r="S257" s="1121">
        <f>H257-12</f>
        <v/>
      </c>
      <c r="T257" s="1121" t="n">
        <v>46158</v>
      </c>
      <c r="U257" s="1082" t="inlineStr">
        <is>
          <t>20260516-01</t>
        </is>
      </c>
      <c r="V257" s="1789">
        <f>H257+45</f>
        <v/>
      </c>
      <c r="W257" s="1791" t="n"/>
      <c r="Y257" s="1790">
        <f>Q257-W257</f>
        <v/>
      </c>
    </row>
    <row r="258">
      <c r="E258" s="1155" t="inlineStr">
        <is>
          <t>IIY#4906362443471QzR</t>
        </is>
      </c>
      <c r="F258" s="1155" t="inlineStr">
        <is>
          <t>Seat Booking Confirmed</t>
        </is>
      </c>
      <c r="G258" s="1155" t="inlineStr">
        <is>
          <t>Garden Photography Workshop - Private Garden - Coventry</t>
        </is>
      </c>
      <c r="H258" s="1796" t="n">
        <v>46159</v>
      </c>
      <c r="I258" s="1796" t="n">
        <v>46159</v>
      </c>
      <c r="J258" s="1157" t="n">
        <v>0.625</v>
      </c>
      <c r="K258" s="1157" t="n">
        <v>0.7083333333333334</v>
      </c>
      <c r="L258" s="1155" t="inlineStr">
        <is>
          <t>Coventry|</t>
        </is>
      </c>
      <c r="M258" s="1155" t="inlineStr">
        <is>
          <t>Claudia Mathers</t>
        </is>
      </c>
      <c r="N258" s="1155" t="inlineStr">
        <is>
          <t>cmather6@jaguarlandrover.com</t>
        </is>
      </c>
      <c r="O258" s="1155" t="inlineStr">
        <is>
          <t>GBP</t>
        </is>
      </c>
      <c r="P258" s="1155" t="n">
        <v>0</v>
      </c>
      <c r="Q258" s="1791" t="n">
        <v>45</v>
      </c>
      <c r="S258" s="1121">
        <f>H258-12</f>
        <v/>
      </c>
      <c r="T258" s="1121" t="n">
        <v>46159</v>
      </c>
      <c r="U258" s="1082" t="inlineStr">
        <is>
          <t>20260517-01</t>
        </is>
      </c>
      <c r="V258" s="1789">
        <f>H258+45</f>
        <v/>
      </c>
      <c r="W258" s="1791" t="n"/>
      <c r="Y258" s="1790">
        <f>Q258-W258</f>
        <v/>
      </c>
    </row>
    <row r="259">
      <c r="E259" s="1083" t="inlineStr">
        <is>
          <t>IIY#3516265085771TY7</t>
        </is>
      </c>
      <c r="F259" s="1083" t="inlineStr">
        <is>
          <t>Seat Booking Confirmed</t>
        </is>
      </c>
      <c r="G259" s="1083" t="inlineStr">
        <is>
          <t>Photo Editing Classes - Lightroom Classic</t>
        </is>
      </c>
      <c r="H259" s="1802" t="n">
        <v>46272</v>
      </c>
      <c r="I259" s="1802" t="n">
        <v>46286</v>
      </c>
      <c r="J259" s="1085" t="n">
        <v>0.7916666666666666</v>
      </c>
      <c r="K259" s="1085" t="n">
        <v>0.875</v>
      </c>
      <c r="L259" s="1083" t="inlineStr">
        <is>
          <t>Coventry|</t>
        </is>
      </c>
      <c r="M259" s="1083" t="inlineStr">
        <is>
          <t>Archit Rastogi</t>
        </is>
      </c>
      <c r="N259" s="1083" t="inlineStr">
        <is>
          <t>arastog1@jaguarlandrover.com</t>
        </is>
      </c>
      <c r="O259" s="1083" t="inlineStr">
        <is>
          <t>GBP</t>
        </is>
      </c>
      <c r="P259" s="1083" t="n">
        <v>50</v>
      </c>
      <c r="Q259" s="1791" t="n">
        <v>100</v>
      </c>
      <c r="S259" s="1121">
        <f>H259-12</f>
        <v/>
      </c>
      <c r="V259" s="1789">
        <f>H259+45</f>
        <v/>
      </c>
      <c r="W259" s="1791" t="n"/>
      <c r="Y259" s="1790">
        <f>Q259-W259</f>
        <v/>
      </c>
    </row>
    <row r="260">
      <c r="E260" s="1083" t="inlineStr">
        <is>
          <t>IIY#8528218025771JCl</t>
        </is>
      </c>
      <c r="F260" s="1083" t="inlineStr">
        <is>
          <t>Seat Booking Confirmed</t>
        </is>
      </c>
      <c r="G260" s="1083" t="inlineStr">
        <is>
          <t>Batsford Arboretum Autumn Half-Day Photography Workshop</t>
        </is>
      </c>
      <c r="H260" s="1802" t="n">
        <v>46319</v>
      </c>
      <c r="I260" s="1802" t="n">
        <v>46319</v>
      </c>
      <c r="J260" s="1085" t="n">
        <v>0.3333333333333333</v>
      </c>
      <c r="K260" s="1085" t="n">
        <v>0.4791666666666667</v>
      </c>
      <c r="L260" s="1083" t="inlineStr">
        <is>
          <t>Moreton In Marsh|</t>
        </is>
      </c>
      <c r="M260" s="1083" t="inlineStr">
        <is>
          <t>Andrew Barley</t>
        </is>
      </c>
      <c r="N260" s="1083" t="inlineStr">
        <is>
          <t>abarley4@jaguarlandrover.com</t>
        </is>
      </c>
      <c r="O260" s="1083" t="inlineStr">
        <is>
          <t>GBP</t>
        </is>
      </c>
      <c r="P260" s="1083" t="n">
        <v>0</v>
      </c>
      <c r="Q260" s="1791" t="n">
        <v>99</v>
      </c>
      <c r="S260" s="1121">
        <f>H260-12</f>
        <v/>
      </c>
      <c r="V260" s="1789">
        <f>H260+45</f>
        <v/>
      </c>
      <c r="W260" s="1791" t="n"/>
      <c r="Y260" s="1790">
        <f>Q260-W260</f>
        <v/>
      </c>
    </row>
    <row r="261">
      <c r="E261" s="1083" t="inlineStr">
        <is>
          <t>IIY#7258874848771u2g</t>
        </is>
      </c>
      <c r="F261" s="1083" t="inlineStr">
        <is>
          <t>Seat Booking Confirmed</t>
        </is>
      </c>
      <c r="G261" s="1083" t="inlineStr">
        <is>
          <t>Batsford Arboretum Autumn Half-Day Photography Workshop</t>
        </is>
      </c>
      <c r="H261" s="1802" t="n">
        <v>46319</v>
      </c>
      <c r="I261" s="1802" t="n">
        <v>46319</v>
      </c>
      <c r="J261" s="1085" t="n">
        <v>0.5</v>
      </c>
      <c r="K261" s="1085" t="n">
        <v>0.6458333333333334</v>
      </c>
      <c r="L261" s="1083" t="inlineStr">
        <is>
          <t>Moreton In Marsh|</t>
        </is>
      </c>
      <c r="M261" s="1083" t="inlineStr">
        <is>
          <t>Holly Pownall</t>
        </is>
      </c>
      <c r="N261" s="1083" t="inlineStr">
        <is>
          <t>hpownall@jaguarlandrover.com</t>
        </is>
      </c>
      <c r="O261" s="1083" t="inlineStr">
        <is>
          <t>GBP</t>
        </is>
      </c>
      <c r="P261" s="1083" t="n">
        <v>0</v>
      </c>
      <c r="Q261" s="1791" t="n">
        <v>99</v>
      </c>
      <c r="S261" s="1121">
        <f>H261-12</f>
        <v/>
      </c>
      <c r="V261" s="1789">
        <f>H261+45</f>
        <v/>
      </c>
      <c r="Y261" s="1790">
        <f>Q261-W261</f>
        <v/>
      </c>
    </row>
    <row r="262">
      <c r="E262" s="1083" t="inlineStr">
        <is>
          <t>IIY#1212611167771xHx</t>
        </is>
      </c>
      <c r="F262" s="1083" t="n"/>
      <c r="G262" s="1083" t="inlineStr">
        <is>
          <t>Fairy Glen Betws-y-Coed Photography Workshop - Wales</t>
        </is>
      </c>
      <c r="H262" s="1802" t="n">
        <v>46291</v>
      </c>
      <c r="I262" s="1802" t="n">
        <v>46291</v>
      </c>
      <c r="J262" s="1085" t="n">
        <v>0.4166666666666667</v>
      </c>
      <c r="K262" s="1085" t="n">
        <v>0.5625</v>
      </c>
      <c r="L262" s="1083" t="inlineStr">
        <is>
          <t>Betws-y-Coed|</t>
        </is>
      </c>
      <c r="M262" s="1083" t="inlineStr">
        <is>
          <t>Andrew Morris</t>
        </is>
      </c>
      <c r="N262" s="1083" t="inlineStr">
        <is>
          <t>amorri28@jaguarlandrover.com</t>
        </is>
      </c>
      <c r="O262" s="1083" t="inlineStr">
        <is>
          <t>GBP</t>
        </is>
      </c>
      <c r="P262" s="1083" t="n">
        <v>0</v>
      </c>
      <c r="Q262" s="1791" t="n">
        <v>100</v>
      </c>
      <c r="S262" s="1121">
        <f>H262-12</f>
        <v/>
      </c>
      <c r="V262" s="1789">
        <f>H262+45</f>
        <v/>
      </c>
      <c r="Y262" s="1790">
        <f>Q262-W262</f>
        <v/>
      </c>
    </row>
    <row r="263">
      <c r="E263" s="1083" t="inlineStr">
        <is>
          <t>IIY#9026836358771Pap</t>
        </is>
      </c>
      <c r="F263" s="1083" t="n"/>
      <c r="G263" s="1083" t="inlineStr">
        <is>
          <t>Fairy Glen Betws-y-Coed Photography Workshop - Wales</t>
        </is>
      </c>
      <c r="H263" s="1802" t="n">
        <v>46291</v>
      </c>
      <c r="I263" s="1802" t="n">
        <v>46291</v>
      </c>
      <c r="J263" s="1085" t="n">
        <v>0.4166666666666667</v>
      </c>
      <c r="K263" s="1085" t="n">
        <v>0.5625</v>
      </c>
      <c r="L263" s="1083" t="inlineStr">
        <is>
          <t>Betws-y-Coed|</t>
        </is>
      </c>
      <c r="M263" s="1083" t="inlineStr">
        <is>
          <t>Mukesh Kumar</t>
        </is>
      </c>
      <c r="N263" s="1083" t="inlineStr">
        <is>
          <t>mkumar87@jaguarlandrover.com</t>
        </is>
      </c>
      <c r="O263" s="1083" t="inlineStr">
        <is>
          <t>GBP</t>
        </is>
      </c>
      <c r="P263" s="1083" t="n">
        <v>0</v>
      </c>
      <c r="Q263" s="1791" t="n">
        <v>100</v>
      </c>
      <c r="S263" s="1121">
        <f>H263-12</f>
        <v/>
      </c>
      <c r="V263" s="1789">
        <f>H263+45</f>
        <v/>
      </c>
      <c r="Y263" s="1790">
        <f>Q263-W263</f>
        <v/>
      </c>
    </row>
    <row r="264">
      <c r="E264" s="1083" t="n"/>
      <c r="F264" s="1083" t="n"/>
      <c r="G264" s="1083" t="n"/>
      <c r="H264" s="1802" t="n"/>
      <c r="I264" s="1802" t="n"/>
      <c r="J264" s="1085" t="n"/>
      <c r="K264" s="1085" t="n"/>
      <c r="L264" s="1083" t="n"/>
      <c r="M264" s="1083" t="n"/>
      <c r="N264" s="1083" t="n"/>
      <c r="O264" s="1083" t="n"/>
      <c r="P264" s="1083" t="n"/>
      <c r="Q264" s="1791" t="n"/>
      <c r="S264" s="1121">
        <f>H264-12</f>
        <v/>
      </c>
      <c r="V264" s="1789">
        <f>H264+45</f>
        <v/>
      </c>
      <c r="Y264" s="1790">
        <f>Q264-W264</f>
        <v/>
      </c>
    </row>
    <row r="265">
      <c r="E265" s="1083" t="n"/>
      <c r="F265" s="1083" t="n"/>
      <c r="G265" s="1083" t="n"/>
      <c r="H265" s="1802" t="n"/>
      <c r="I265" s="1802" t="n"/>
      <c r="J265" s="1085" t="n"/>
      <c r="K265" s="1085" t="n"/>
      <c r="L265" s="1083" t="n"/>
      <c r="M265" s="1083" t="n"/>
      <c r="N265" s="1083" t="n"/>
      <c r="O265" s="1083" t="n"/>
      <c r="P265" s="1083" t="n"/>
      <c r="Q265" s="1791" t="n"/>
      <c r="S265" s="1121">
        <f>H265-12</f>
        <v/>
      </c>
      <c r="V265" s="1789">
        <f>H265+45</f>
        <v/>
      </c>
      <c r="Y265" s="1790">
        <f>Q265-W265</f>
        <v/>
      </c>
    </row>
    <row r="266">
      <c r="E266" s="1083" t="n"/>
      <c r="F266" s="1083" t="n"/>
      <c r="G266" s="1083" t="n"/>
      <c r="H266" s="1802" t="n"/>
      <c r="I266" s="1802" t="n"/>
      <c r="J266" s="1085" t="n"/>
      <c r="K266" s="1085" t="n"/>
      <c r="L266" s="1083" t="n"/>
      <c r="M266" s="1083" t="n"/>
      <c r="N266" s="1083" t="n"/>
      <c r="O266" s="1083" t="n"/>
      <c r="P266" s="1083" t="n"/>
      <c r="Q266" s="1791" t="n"/>
      <c r="S266" s="1121">
        <f>H266-12</f>
        <v/>
      </c>
      <c r="V266" s="1789">
        <f>H266+45</f>
        <v/>
      </c>
      <c r="Y266" s="1790">
        <f>Q266-W266</f>
        <v/>
      </c>
    </row>
    <row r="267">
      <c r="E267" s="1083" t="n"/>
      <c r="F267" s="1083" t="n"/>
      <c r="G267" s="1083" t="n"/>
      <c r="H267" s="1802" t="n"/>
      <c r="I267" s="1802" t="n"/>
      <c r="J267" s="1085" t="n"/>
      <c r="K267" s="1085" t="n"/>
      <c r="L267" s="1083" t="n"/>
      <c r="M267" s="1083" t="n"/>
      <c r="N267" s="1083" t="n"/>
      <c r="O267" s="1083" t="n"/>
      <c r="P267" s="1083" t="n"/>
      <c r="Q267" s="1791" t="n"/>
      <c r="S267" s="1121">
        <f>H267-12</f>
        <v/>
      </c>
      <c r="V267" s="1789">
        <f>H267+45</f>
        <v/>
      </c>
      <c r="Y267" s="1790">
        <f>Q267-W267</f>
        <v/>
      </c>
    </row>
    <row r="268">
      <c r="E268" s="1083" t="n"/>
      <c r="F268" s="1083" t="n"/>
      <c r="G268" s="1083" t="n"/>
      <c r="H268" s="1802" t="n"/>
      <c r="I268" s="1802" t="n"/>
      <c r="J268" s="1085" t="n"/>
      <c r="K268" s="1085" t="n"/>
      <c r="L268" s="1083" t="n"/>
      <c r="M268" s="1083" t="n"/>
      <c r="N268" s="1083" t="n"/>
      <c r="O268" s="1083" t="n"/>
      <c r="P268" s="1083" t="n"/>
      <c r="Q268" s="1791" t="n"/>
      <c r="S268" s="1121">
        <f>H268-12</f>
        <v/>
      </c>
      <c r="V268" s="1789">
        <f>H268+45</f>
        <v/>
      </c>
      <c r="Y268" s="1790">
        <f>Q268-W268</f>
        <v/>
      </c>
    </row>
    <row r="269">
      <c r="E269" s="1083" t="n"/>
      <c r="F269" s="1083" t="n"/>
      <c r="G269" s="1083" t="n"/>
      <c r="H269" s="1802" t="n"/>
      <c r="I269" s="1802" t="n"/>
      <c r="J269" s="1085" t="n"/>
      <c r="K269" s="1085" t="n"/>
      <c r="L269" s="1083" t="n"/>
      <c r="M269" s="1083" t="n"/>
      <c r="N269" s="1083" t="n"/>
      <c r="O269" s="1083" t="n"/>
      <c r="P269" s="1083" t="n"/>
      <c r="Q269" s="1791" t="n"/>
      <c r="S269" s="1121">
        <f>H269-12</f>
        <v/>
      </c>
      <c r="V269" s="1789">
        <f>H269+45</f>
        <v/>
      </c>
      <c r="Y269" s="1790">
        <f>Q269-W269</f>
        <v/>
      </c>
    </row>
    <row r="270">
      <c r="E270" s="1083" t="n"/>
      <c r="F270" s="1083" t="n"/>
      <c r="G270" s="1083" t="n"/>
      <c r="H270" s="1802" t="n"/>
      <c r="I270" s="1802" t="n"/>
      <c r="J270" s="1085" t="n"/>
      <c r="K270" s="1085" t="n"/>
      <c r="L270" s="1083" t="n"/>
      <c r="M270" s="1083" t="n"/>
      <c r="N270" s="1083" t="n"/>
      <c r="O270" s="1083" t="n"/>
      <c r="P270" s="1083" t="n"/>
      <c r="Q270" s="1791" t="n"/>
      <c r="S270" s="1121">
        <f>H270-12</f>
        <v/>
      </c>
      <c r="V270" s="1789">
        <f>H270+45</f>
        <v/>
      </c>
      <c r="Y270" s="1790">
        <f>Q270-W270</f>
        <v/>
      </c>
    </row>
    <row r="271">
      <c r="E271" s="1083" t="n"/>
      <c r="F271" s="1083" t="n"/>
      <c r="G271" s="1083" t="n"/>
      <c r="H271" s="1802" t="n"/>
      <c r="I271" s="1802" t="n"/>
      <c r="J271" s="1085" t="n"/>
      <c r="K271" s="1085" t="n"/>
      <c r="L271" s="1083" t="n"/>
      <c r="M271" s="1083" t="n"/>
      <c r="N271" s="1083" t="n"/>
      <c r="O271" s="1083" t="n"/>
      <c r="P271" s="1083" t="n"/>
      <c r="Q271" s="1791" t="n"/>
      <c r="S271" s="1121" t="n"/>
      <c r="V271" s="1789" t="n"/>
      <c r="Y271" s="1790" t="n"/>
    </row>
    <row r="272">
      <c r="E272" s="1133" t="n"/>
      <c r="F272" s="1133" t="n"/>
      <c r="G272" s="1133" t="n"/>
      <c r="H272" s="1802" t="n"/>
      <c r="I272" s="1802" t="n"/>
      <c r="J272" s="1134" t="n"/>
      <c r="K272" s="1134" t="n"/>
      <c r="L272" s="1133" t="n"/>
      <c r="M272" s="1133" t="n"/>
      <c r="N272" s="1133" t="n"/>
      <c r="O272" s="1133" t="n"/>
      <c r="P272" s="1133" t="n"/>
      <c r="Q272" s="1791" t="n"/>
      <c r="Y272" s="1790">
        <f>Q272-W272</f>
        <v/>
      </c>
    </row>
    <row r="273" customFormat="1" s="1135">
      <c r="A273" s="1096" t="n"/>
      <c r="B273" s="1096" t="n"/>
      <c r="C273" s="1096" t="n"/>
      <c r="D273" s="1096" t="n"/>
      <c r="H273" s="1803" t="n"/>
      <c r="I273" s="1803" t="n"/>
      <c r="O273" s="1136">
        <f>COUNTIF(E1:E273, "IIY*")</f>
        <v/>
      </c>
      <c r="P273" s="1136" t="n"/>
      <c r="Q273" s="1804">
        <f>SUM(Q2:Q272)</f>
        <v/>
      </c>
      <c r="R273" s="1136">
        <f>SUM(R2:R272)</f>
        <v/>
      </c>
      <c r="S273" s="1136" t="n"/>
      <c r="T273" s="1804">
        <f>O273=IF(COUNTIF(E1:E273, "IIY*") &lt;&gt; 0, Q273 / COUNTIF(E1:E273, "IIY*"),0)</f>
        <v/>
      </c>
      <c r="U273" s="1804" t="n"/>
      <c r="W273" s="1804">
        <f>SUM(W2:W272)</f>
        <v/>
      </c>
      <c r="Y273" s="1804">
        <f>SUM(Y2:Y272)</f>
        <v/>
      </c>
    </row>
    <row r="274">
      <c r="E274" s="1133" t="n"/>
      <c r="F274" s="1133" t="n"/>
      <c r="G274" s="1133" t="n"/>
      <c r="H274" s="1805" t="n"/>
      <c r="I274" s="1805" t="n"/>
      <c r="J274" s="1134" t="n"/>
      <c r="K274" s="1134" t="n"/>
      <c r="L274" s="1133" t="n"/>
      <c r="M274" s="1133" t="n"/>
      <c r="N274" s="1133" t="n"/>
      <c r="O274" s="1133" t="n"/>
      <c r="P274" s="1133" t="n"/>
      <c r="Q274" s="1791" t="n"/>
      <c r="R274" s="1133" t="n"/>
      <c r="S274" s="1133" t="n"/>
      <c r="T274" s="1133" t="n"/>
      <c r="U274" s="1133" t="n"/>
      <c r="V274" s="1133" t="n"/>
      <c r="W274" s="1133" t="n"/>
      <c r="X274" s="1133" t="n"/>
      <c r="Y274" s="1806" t="n"/>
    </row>
    <row r="276">
      <c r="D276" s="1158" t="n"/>
      <c r="Q276" s="1790" t="n"/>
    </row>
    <row r="277">
      <c r="E277" s="1088" t="inlineStr">
        <is>
          <t>IIY#4917778953471cP7</t>
        </is>
      </c>
      <c r="F277" s="1088" t="inlineStr">
        <is>
          <t>Seat Booking Confirmed</t>
        </is>
      </c>
      <c r="G277" s="1088" t="inlineStr">
        <is>
          <t>Photography Lessons - Private 1-2-1 (1HR)</t>
        </is>
      </c>
      <c r="H277" s="1807" t="n">
        <v>45793</v>
      </c>
      <c r="I277" s="1807" t="n">
        <v>45793</v>
      </c>
      <c r="J277" s="1161" t="n">
        <v>0.3333333333333333</v>
      </c>
      <c r="K277" s="1161" t="n">
        <v>0.7083333333333334</v>
      </c>
      <c r="L277" s="1088" t="inlineStr">
        <is>
          <t>Coventry|</t>
        </is>
      </c>
      <c r="M277" s="1088" t="inlineStr">
        <is>
          <t>Tobias Rochester-Bremmer</t>
        </is>
      </c>
      <c r="N277" s="1088" t="inlineStr">
        <is>
          <t>troches2@jaguarlandrover.com</t>
        </is>
      </c>
      <c r="O277" s="1088" t="inlineStr">
        <is>
          <t>GBP</t>
        </is>
      </c>
      <c r="P277" s="1088" t="n"/>
      <c r="Q277" s="1791" t="n">
        <v>50</v>
      </c>
    </row>
    <row r="285">
      <c r="E285" s="1088" t="inlineStr">
        <is>
          <t>Cancelled</t>
        </is>
      </c>
    </row>
    <row r="287">
      <c r="E287" s="1087" t="inlineStr">
        <is>
          <t>IIY-#5298697371-#464</t>
        </is>
      </c>
      <c r="F287" s="1087" t="inlineStr">
        <is>
          <t>Seat Booking Confirmed</t>
        </is>
      </c>
      <c r="G287" s="1087" t="inlineStr">
        <is>
          <t>Evening Urban Architecture Photography Workshop</t>
        </is>
      </c>
      <c r="H287" s="1808" t="inlineStr">
        <is>
          <t>05 Mar 2025</t>
        </is>
      </c>
      <c r="I287" s="1808" t="inlineStr">
        <is>
          <t>05 Mar 2025</t>
        </is>
      </c>
      <c r="J287" s="1087" t="inlineStr">
        <is>
          <t>18:30:00</t>
        </is>
      </c>
      <c r="K287" s="1087" t="inlineStr">
        <is>
          <t>21:00:00</t>
        </is>
      </c>
      <c r="L287" s="1087" t="n"/>
      <c r="M287" s="1087" t="inlineStr">
        <is>
          <t>Luis Mora Matos</t>
        </is>
      </c>
      <c r="N287" s="1087" t="inlineStr">
        <is>
          <t>lmatos2@jaguarlandrover.com</t>
        </is>
      </c>
      <c r="O287" s="1087" t="inlineStr">
        <is>
          <t>GBP</t>
        </is>
      </c>
      <c r="P287" s="1087" t="n"/>
      <c r="Q287" s="1801" t="n">
        <v>50</v>
      </c>
      <c r="R287" s="1088" t="inlineStr">
        <is>
          <t>Cancelled 31 Jan</t>
        </is>
      </c>
      <c r="S287" s="1088" t="n"/>
    </row>
    <row r="288">
      <c r="E288" s="1087" t="inlineStr">
        <is>
          <t>IIY#6261708929371gl8</t>
        </is>
      </c>
      <c r="F288" s="1087" t="inlineStr">
        <is>
          <t>Seat Booking Confirmed</t>
        </is>
      </c>
      <c r="G288" s="1087" t="inlineStr">
        <is>
          <t>Camera Courses For Beginners</t>
        </is>
      </c>
      <c r="H288" s="1808" t="n">
        <v>45763</v>
      </c>
      <c r="I288" s="1808" t="n">
        <v>45777</v>
      </c>
      <c r="J288" s="1110" t="n">
        <v>0.7916666666666666</v>
      </c>
      <c r="K288" s="1110" t="n">
        <v>0.875</v>
      </c>
      <c r="L288" s="1087" t="n"/>
      <c r="M288" s="1087" t="inlineStr">
        <is>
          <t>Zhiar Mawlood</t>
        </is>
      </c>
      <c r="N288" s="1087" t="inlineStr">
        <is>
          <t>zmawlood@jaguarlandrover.com</t>
        </is>
      </c>
      <c r="O288" s="1087" t="inlineStr">
        <is>
          <t>GBP</t>
        </is>
      </c>
      <c r="P288" s="1087" t="n"/>
      <c r="Q288" s="1801" t="n">
        <v>150</v>
      </c>
      <c r="R288" s="1088" t="inlineStr">
        <is>
          <t>cancelled 25/2</t>
        </is>
      </c>
      <c r="S288" s="1088" t="n"/>
      <c r="T288" s="1088" t="n"/>
      <c r="U288" s="1088" t="n"/>
    </row>
    <row r="289">
      <c r="E289" s="1087" t="inlineStr">
        <is>
          <t>IIY#7201037600471xFd</t>
        </is>
      </c>
      <c r="F289" s="1087" t="inlineStr">
        <is>
          <t>Seat Booking Confirmed</t>
        </is>
      </c>
      <c r="G289" s="1087" t="inlineStr">
        <is>
          <t>Sunset Photographic Workshop - Chesterton Windmill</t>
        </is>
      </c>
      <c r="H289" s="1808" t="n">
        <v>45782</v>
      </c>
      <c r="I289" s="1808" t="n">
        <v>45782</v>
      </c>
      <c r="J289" s="1110" t="n">
        <v>0.7291666666666666</v>
      </c>
      <c r="K289" s="1110" t="n">
        <v>0.8125</v>
      </c>
      <c r="L289" s="1087" t="n"/>
      <c r="M289" s="1087" t="inlineStr">
        <is>
          <t>Satyam Narine</t>
        </is>
      </c>
      <c r="N289" s="1087" t="inlineStr">
        <is>
          <t>snarine1@jaguarlandrover.com</t>
        </is>
      </c>
      <c r="O289" s="1087" t="inlineStr">
        <is>
          <t>GBP</t>
        </is>
      </c>
      <c r="P289" s="1087" t="n"/>
      <c r="Q289" s="1801" t="n">
        <v>50</v>
      </c>
      <c r="R289" s="1082" t="inlineStr">
        <is>
          <t>cancelled 13/3</t>
        </is>
      </c>
    </row>
    <row r="290">
      <c r="E290" s="1087" t="inlineStr">
        <is>
          <t>IIY#7217050510471SdA</t>
        </is>
      </c>
      <c r="F290" s="1087" t="inlineStr">
        <is>
          <t>Seat Booking Confirmed</t>
        </is>
      </c>
      <c r="G290" s="1087" t="inlineStr">
        <is>
          <t>Long Exposure Photography Workshop - Sunset - Kenilworth</t>
        </is>
      </c>
      <c r="H290" s="1808" t="n">
        <v>45789</v>
      </c>
      <c r="I290" s="1808" t="n">
        <v>45789</v>
      </c>
      <c r="J290" s="1110" t="n">
        <v>0.7916666666666666</v>
      </c>
      <c r="K290" s="1110" t="n">
        <v>0.8958333333333334</v>
      </c>
      <c r="L290" s="1087" t="n"/>
      <c r="M290" s="1087" t="inlineStr">
        <is>
          <t>Dinesh Kumar Selvarangan</t>
        </is>
      </c>
      <c r="N290" s="1087" t="inlineStr">
        <is>
          <t>dselvar1@jaguarlandrover.com</t>
        </is>
      </c>
      <c r="O290" s="1087" t="inlineStr">
        <is>
          <t>GBP</t>
        </is>
      </c>
      <c r="P290" s="1087" t="n"/>
      <c r="Q290" s="1801" t="n">
        <v>50</v>
      </c>
      <c r="R290" s="1082" t="inlineStr">
        <is>
          <t>cancelled 15/3</t>
        </is>
      </c>
    </row>
    <row r="291">
      <c r="E291" s="1087" t="inlineStr">
        <is>
          <t>IIY#4718290552471P3P</t>
        </is>
      </c>
      <c r="F291" s="1087" t="inlineStr">
        <is>
          <t>Seat Booking Confirmed</t>
        </is>
      </c>
      <c r="G291" s="1087" t="inlineStr">
        <is>
          <t>Long Exposure Photography Workshop - Sunset - Kenilworth</t>
        </is>
      </c>
      <c r="H291" s="1808" t="n">
        <v>45797</v>
      </c>
      <c r="I291" s="1808" t="n">
        <v>45797</v>
      </c>
      <c r="J291" s="1110" t="n">
        <v>0.7916666666666666</v>
      </c>
      <c r="K291" s="1110" t="n">
        <v>0.8958333333333334</v>
      </c>
      <c r="L291" s="1087" t="n"/>
      <c r="M291" s="1087" t="inlineStr">
        <is>
          <t>Malith Sumanasekera</t>
        </is>
      </c>
      <c r="N291" s="1087" t="inlineStr">
        <is>
          <t>msumana1@jaguarlandrover.com</t>
        </is>
      </c>
      <c r="O291" s="1087" t="inlineStr">
        <is>
          <t>GBP</t>
        </is>
      </c>
      <c r="P291" s="1087" t="n"/>
      <c r="Q291" s="1801" t="n">
        <v>50</v>
      </c>
      <c r="R291" s="1088" t="inlineStr">
        <is>
          <t>cancelled 26 Mar</t>
        </is>
      </c>
      <c r="S291" s="1088" t="n"/>
      <c r="T291" s="1088" t="n"/>
      <c r="U291" s="1088" t="n"/>
      <c r="V291" s="1799">
        <f>H291+45</f>
        <v/>
      </c>
      <c r="W291" s="1088" t="n"/>
    </row>
    <row r="297">
      <c r="Q297" s="1809">
        <f>SUM(Q286:Q296)</f>
        <v/>
      </c>
      <c r="R297" s="1809">
        <f>SUM(R286:R296)</f>
        <v/>
      </c>
      <c r="S297" s="1809" t="n"/>
    </row>
  </sheetData>
  <pageMargins left="0.7" right="0.7" top="0.75" bottom="0.75" header="0.3" footer="0.3"/>
  <pageSetup orientation="landscape" paperSize="9" scale="42" fitToHeight="0"/>
  <legacyDrawing xmlns:r="http://schemas.openxmlformats.org/officeDocument/2006/relationships" r:id="anysvml"/>
</worksheet>
</file>

<file path=xl/worksheets/sheet34.xml><?xml version="1.0" encoding="utf-8"?>
<worksheet xmlns="http://schemas.openxmlformats.org/spreadsheetml/2006/main">
  <sheetPr>
    <outlinePr summaryBelow="1" summaryRight="1"/>
    <pageSetUpPr fitToPage="1"/>
  </sheetPr>
  <dimension ref="A1:K8"/>
  <sheetViews>
    <sheetView showGridLines="0" workbookViewId="0">
      <selection activeCell="J24" sqref="J24"/>
    </sheetView>
  </sheetViews>
  <sheetFormatPr baseColWidth="8" defaultRowHeight="12.75"/>
  <cols>
    <col width="23.53125" customWidth="1" style="1232" min="1" max="1"/>
    <col hidden="1" width="12.19921875" customWidth="1" style="1232" min="2" max="2"/>
    <col width="22.19921875" customWidth="1" style="1232" min="3" max="3"/>
    <col width="17.19921875" customWidth="1" style="1232" min="4" max="4"/>
    <col width="18.46484375" customWidth="1" style="1232" min="5" max="5"/>
    <col width="9.46484375" customWidth="1" style="1232" min="6" max="6"/>
    <col width="9.1328125" customWidth="1" style="1232" min="7" max="7"/>
    <col hidden="1" width="3.33203125" customWidth="1" style="1232" min="8" max="8"/>
    <col width="16.796875" customWidth="1" style="1232" min="9" max="9"/>
    <col width="28.46484375" customWidth="1" style="1232" min="10" max="10"/>
    <col width="48.46484375" customWidth="1" style="1232" min="11" max="11"/>
  </cols>
  <sheetData>
    <row r="1" ht="26" customHeight="1" s="1232">
      <c r="A1" s="1810" t="inlineStr">
        <is>
          <t>Request ID</t>
        </is>
      </c>
      <c r="B1" s="1810" t="inlineStr">
        <is>
          <t>Session Status</t>
        </is>
      </c>
      <c r="C1" s="1810" t="inlineStr">
        <is>
          <t>Course Name</t>
        </is>
      </c>
      <c r="D1" s="1810" t="inlineStr">
        <is>
          <t>Start date</t>
        </is>
      </c>
      <c r="E1" s="1810" t="inlineStr">
        <is>
          <t>End date</t>
        </is>
      </c>
      <c r="F1" s="1810" t="inlineStr">
        <is>
          <t>Start Time</t>
        </is>
      </c>
      <c r="G1" s="1810" t="inlineStr">
        <is>
          <t>End Time</t>
        </is>
      </c>
      <c r="H1" s="1810" t="inlineStr">
        <is>
          <t>Location</t>
        </is>
      </c>
      <c r="I1" s="1811" t="inlineStr">
        <is>
          <t>Requestor Name</t>
        </is>
      </c>
      <c r="J1" s="1810" t="inlineStr">
        <is>
          <t>Requestor Email</t>
        </is>
      </c>
      <c r="K1" s="1810" t="inlineStr">
        <is>
          <t>Attendees Signature</t>
        </is>
      </c>
    </row>
    <row r="2" ht="26" customHeight="1" s="1232">
      <c r="A2" s="1810" t="n"/>
      <c r="B2" s="1810" t="n"/>
      <c r="C2" s="1810" t="n"/>
      <c r="D2" s="1810" t="n"/>
      <c r="E2" s="1810" t="n"/>
      <c r="F2" s="1810" t="n"/>
      <c r="G2" s="1810" t="n"/>
      <c r="H2" s="1810" t="n"/>
      <c r="I2" s="1810" t="n"/>
      <c r="J2" s="1810" t="n"/>
    </row>
    <row r="7" ht="43.9" customHeight="1" s="1232">
      <c r="A7" s="1812" t="inlineStr">
        <is>
          <t>IIY#3512671600471kw5</t>
        </is>
      </c>
      <c r="B7" s="1813" t="inlineStr">
        <is>
          <t>Seat Booking Confirmed</t>
        </is>
      </c>
      <c r="C7" s="1813" t="inlineStr">
        <is>
          <t>Abstract and Macro Photography Workshop Warwickshire</t>
        </is>
      </c>
      <c r="D7" s="1103" t="n">
        <v>45745</v>
      </c>
      <c r="E7" s="1103" t="n">
        <v>45745</v>
      </c>
      <c r="F7" s="1814" t="n">
        <v>0.4166666666666667</v>
      </c>
      <c r="G7" s="1814" t="n">
        <v>0.5208333333333334</v>
      </c>
      <c r="H7" s="1815" t="n"/>
      <c r="I7" s="1815" t="inlineStr">
        <is>
          <t>Victoria Frankland</t>
        </is>
      </c>
      <c r="J7" s="1816" t="inlineStr">
        <is>
          <t>vfrankla@jaguarlandrover.com</t>
        </is>
      </c>
      <c r="K7" s="1816" t="n"/>
    </row>
    <row r="8" ht="44" customHeight="1" s="1232">
      <c r="A8" s="1812" t="n"/>
      <c r="B8" s="1813" t="n"/>
      <c r="C8" s="1813" t="n"/>
      <c r="D8" s="1103" t="n"/>
      <c r="E8" s="1103" t="n"/>
      <c r="F8" s="1814" t="n"/>
      <c r="G8" s="1814" t="n"/>
      <c r="H8" s="1815" t="n"/>
      <c r="I8" s="1815" t="n"/>
      <c r="J8" s="1816" t="n"/>
      <c r="K8" s="1816" t="n"/>
    </row>
  </sheetData>
  <pageMargins left="0.25" right="0.25" top="0.75" bottom="0.75" header="0.3" footer="0.3"/>
  <pageSetup orientation="landscape" paperSize="9" scale="75"/>
</worksheet>
</file>

<file path=xl/worksheets/sheet35.xml><?xml version="1.0" encoding="utf-8"?>
<worksheet xmlns="http://schemas.openxmlformats.org/spreadsheetml/2006/main">
  <sheetPr>
    <outlinePr summaryBelow="1" summaryRight="1"/>
    <pageSetUpPr fitToPage="1"/>
  </sheetPr>
  <dimension ref="A2:AD94"/>
  <sheetViews>
    <sheetView workbookViewId="0">
      <pane ySplit="2" topLeftCell="A59" activePane="bottomLeft" state="frozen"/>
      <selection pane="bottomLeft" activeCell="H65" sqref="H65:H94"/>
    </sheetView>
  </sheetViews>
  <sheetFormatPr baseColWidth="8" defaultRowHeight="12.75"/>
  <cols>
    <col width="14.6640625" bestFit="1" customWidth="1" style="1232" min="1" max="1"/>
    <col width="18.796875" bestFit="1" customWidth="1" style="1232" min="2" max="2"/>
    <col width="7.1328125" bestFit="1" customWidth="1" style="1232" min="3" max="3"/>
    <col width="6.46484375" bestFit="1" customWidth="1" style="1232" min="4" max="4"/>
    <col width="12.53125" bestFit="1" customWidth="1" style="1232" min="5" max="5"/>
    <col width="13.1328125" bestFit="1" customWidth="1" style="1232" min="6" max="6"/>
    <col width="7.46484375" bestFit="1" customWidth="1" style="1232" min="7" max="7"/>
    <col width="10" bestFit="1" customWidth="1" style="1232" min="8" max="8"/>
    <col width="6.1328125" bestFit="1" customWidth="1" style="1232" min="9" max="9"/>
    <col width="28.796875" customWidth="1" style="1232" min="10" max="10"/>
    <col width="4.796875" bestFit="1" customWidth="1" style="1232" min="11" max="11"/>
    <col width="9.46484375" bestFit="1" customWidth="1" style="1232" min="12" max="12"/>
    <col width="14.19921875" bestFit="1" customWidth="1" style="1232" min="13" max="13"/>
    <col width="4.33203125" bestFit="1" customWidth="1" style="1232" min="14" max="14"/>
    <col width="14.46484375" bestFit="1" customWidth="1" style="1232" min="15" max="15"/>
    <col width="10.46484375" customWidth="1" style="1232" min="16" max="16"/>
  </cols>
  <sheetData>
    <row r="2" ht="14.65" customHeight="1" s="1232">
      <c r="P2" s="1817" t="n">
        <v>45399</v>
      </c>
      <c r="R2" s="1818" t="n">
        <v>45400</v>
      </c>
      <c r="T2" s="1817" t="n">
        <v>45401</v>
      </c>
      <c r="V2" s="1818" t="n">
        <v>45402</v>
      </c>
      <c r="X2" s="1817" t="n">
        <v>45403</v>
      </c>
      <c r="Z2" s="1818" t="n">
        <v>45404</v>
      </c>
      <c r="AB2" s="1817" t="n">
        <v>45405</v>
      </c>
    </row>
    <row r="3" ht="13.15" customHeight="1" s="1232">
      <c r="P3" s="1819" t="inlineStr">
        <is>
          <t>AM</t>
        </is>
      </c>
      <c r="Q3" s="1819" t="inlineStr">
        <is>
          <t>PM</t>
        </is>
      </c>
      <c r="R3" s="1434" t="inlineStr">
        <is>
          <t>AM</t>
        </is>
      </c>
      <c r="S3" s="1434" t="inlineStr">
        <is>
          <t>PM</t>
        </is>
      </c>
      <c r="T3" s="1819" t="inlineStr">
        <is>
          <t>AM</t>
        </is>
      </c>
      <c r="U3" s="1819" t="inlineStr">
        <is>
          <t>PM</t>
        </is>
      </c>
      <c r="V3" s="1434" t="inlineStr">
        <is>
          <t>AM</t>
        </is>
      </c>
      <c r="W3" s="1434" t="inlineStr">
        <is>
          <t>PM</t>
        </is>
      </c>
      <c r="X3" s="1819" t="inlineStr">
        <is>
          <t>AM</t>
        </is>
      </c>
      <c r="Y3" s="1819" t="inlineStr">
        <is>
          <t>PM</t>
        </is>
      </c>
      <c r="Z3" s="1434" t="inlineStr">
        <is>
          <t>AM</t>
        </is>
      </c>
      <c r="AA3" s="1434" t="inlineStr">
        <is>
          <t>PM</t>
        </is>
      </c>
      <c r="AB3" s="1819" t="inlineStr">
        <is>
          <t>AM</t>
        </is>
      </c>
      <c r="AC3" s="1819" t="inlineStr">
        <is>
          <t>PM</t>
        </is>
      </c>
    </row>
    <row r="4" ht="14.65" customHeight="1" s="1232">
      <c r="A4" s="1708" t="n">
        <v>45409</v>
      </c>
      <c r="B4" s="783" t="inlineStr">
        <is>
          <t>Bluebell Woodlands</t>
        </is>
      </c>
      <c r="C4" s="783" t="inlineStr">
        <is>
          <t>AM</t>
        </is>
      </c>
      <c r="D4" s="783" t="inlineStr">
        <is>
          <t>4hrs</t>
        </is>
      </c>
      <c r="E4" s="783" t="inlineStr">
        <is>
          <t>Google</t>
        </is>
      </c>
      <c r="F4" s="1750" t="inlineStr">
        <is>
          <t>#02719</t>
        </is>
      </c>
      <c r="G4" s="785" t="n">
        <v>45331</v>
      </c>
      <c r="H4" s="1751" t="n">
        <v>99</v>
      </c>
      <c r="I4" s="1750" t="n">
        <v>0</v>
      </c>
      <c r="J4" s="1374" t="inlineStr">
        <is>
          <t xml:space="preserve">photo@the-hut.net </t>
        </is>
      </c>
      <c r="K4" s="1820" t="inlineStr">
        <is>
          <t>Mr</t>
        </is>
      </c>
      <c r="L4" s="1821" t="inlineStr">
        <is>
          <t>David</t>
        </is>
      </c>
      <c r="M4" s="1822" t="inlineStr">
        <is>
          <t>Orchard</t>
        </is>
      </c>
      <c r="N4" s="1707" t="inlineStr">
        <is>
          <t>60</t>
        </is>
      </c>
      <c r="O4" s="1758" t="inlineStr">
        <is>
          <t>07779696602</t>
        </is>
      </c>
      <c r="P4" s="1038" t="n"/>
      <c r="Q4" s="1038" t="n"/>
      <c r="R4" s="568" t="n"/>
      <c r="S4" s="568" t="n"/>
      <c r="T4" s="1038" t="n"/>
      <c r="U4" s="1038" t="n"/>
      <c r="V4" s="1004" t="n">
        <v>1</v>
      </c>
      <c r="W4" s="568" t="n"/>
      <c r="X4" s="1038" t="n"/>
      <c r="Y4" s="1038" t="n"/>
      <c r="Z4" s="568" t="n"/>
      <c r="AA4" s="568" t="n"/>
      <c r="AB4" s="1038" t="n"/>
      <c r="AC4" s="1038" t="n"/>
      <c r="AD4" s="1823">
        <f>SUM(P4:AC4)</f>
        <v/>
      </c>
    </row>
    <row r="5" ht="14.65" customHeight="1" s="1232">
      <c r="A5" s="1708" t="n">
        <v>45409</v>
      </c>
      <c r="B5" s="783" t="inlineStr">
        <is>
          <t>Bluebell Woodlands</t>
        </is>
      </c>
      <c r="C5" s="783" t="inlineStr">
        <is>
          <t>AM</t>
        </is>
      </c>
      <c r="D5" s="783" t="inlineStr">
        <is>
          <t>4hrs</t>
        </is>
      </c>
      <c r="E5" s="783" t="inlineStr">
        <is>
          <t>Google</t>
        </is>
      </c>
      <c r="F5" s="1750" t="inlineStr">
        <is>
          <t>#02721</t>
        </is>
      </c>
      <c r="G5" s="785" t="n">
        <v>45334</v>
      </c>
      <c r="H5" s="1751" t="n">
        <v>99</v>
      </c>
      <c r="I5" s="1750" t="n">
        <v>0</v>
      </c>
      <c r="J5" s="1374" t="inlineStr">
        <is>
          <t xml:space="preserve">the_dward@hotmail.com </t>
        </is>
      </c>
      <c r="K5" s="1820" t="inlineStr">
        <is>
          <t>Mr</t>
        </is>
      </c>
      <c r="L5" s="1821" t="inlineStr">
        <is>
          <t xml:space="preserve">Edd </t>
        </is>
      </c>
      <c r="M5" s="1822" t="inlineStr">
        <is>
          <t>Berrill</t>
        </is>
      </c>
      <c r="N5" s="1707" t="inlineStr">
        <is>
          <t>40</t>
        </is>
      </c>
      <c r="O5" s="1758" t="inlineStr">
        <is>
          <t>07772987583</t>
        </is>
      </c>
      <c r="P5" s="1038" t="n"/>
      <c r="Q5" s="1038" t="n"/>
      <c r="R5" s="568" t="n"/>
      <c r="S5" s="568" t="n"/>
      <c r="T5" s="1038" t="n"/>
      <c r="U5" s="1038" t="n"/>
      <c r="V5" s="568" t="n">
        <v>1</v>
      </c>
      <c r="W5" s="568" t="n"/>
      <c r="X5" s="1038" t="n">
        <v>1</v>
      </c>
      <c r="Y5" s="1038" t="n">
        <v>1</v>
      </c>
      <c r="Z5" s="568" t="n"/>
      <c r="AA5" s="568" t="n"/>
      <c r="AB5" s="1038" t="n"/>
      <c r="AC5" s="1038" t="n"/>
      <c r="AD5" s="1823">
        <f>SUM(P5:AC5)</f>
        <v/>
      </c>
    </row>
    <row r="6" ht="14.65" customHeight="1" s="1232">
      <c r="A6" s="1708" t="n">
        <v>45409</v>
      </c>
      <c r="B6" s="783" t="inlineStr">
        <is>
          <t>Bluebell Woodlands</t>
        </is>
      </c>
      <c r="C6" s="783" t="inlineStr">
        <is>
          <t>AM</t>
        </is>
      </c>
      <c r="D6" s="783" t="inlineStr">
        <is>
          <t>4hrs</t>
        </is>
      </c>
      <c r="E6" s="783" t="inlineStr">
        <is>
          <t>Into The Blue</t>
        </is>
      </c>
      <c r="F6" s="1752" t="inlineStr">
        <is>
          <t>2310300859</t>
        </is>
      </c>
      <c r="G6" s="785" t="n">
        <v>45361</v>
      </c>
      <c r="H6" s="1751" t="n">
        <v>100</v>
      </c>
      <c r="I6" s="1750" t="n">
        <v>0</v>
      </c>
      <c r="J6" s="1374" t="inlineStr">
        <is>
          <t>cathykibble@googlemail.com</t>
        </is>
      </c>
      <c r="K6" s="936" t="inlineStr">
        <is>
          <t>Ms</t>
        </is>
      </c>
      <c r="L6" s="936" t="inlineStr">
        <is>
          <t>Kathy</t>
        </is>
      </c>
      <c r="M6" s="936" t="inlineStr">
        <is>
          <t>Kibble</t>
        </is>
      </c>
      <c r="N6" s="794" t="n"/>
      <c r="O6" s="794" t="inlineStr">
        <is>
          <t>07538 640941</t>
        </is>
      </c>
      <c r="P6" s="1038" t="n"/>
      <c r="Q6" s="1038" t="n"/>
      <c r="R6" s="568" t="n">
        <v>1</v>
      </c>
      <c r="S6" s="568" t="n">
        <v>1</v>
      </c>
      <c r="T6" s="1038" t="n">
        <v>1</v>
      </c>
      <c r="U6" s="1038" t="n">
        <v>1</v>
      </c>
      <c r="V6" s="568" t="n"/>
      <c r="W6" s="568" t="n"/>
      <c r="X6" s="1038" t="n"/>
      <c r="Y6" s="1038" t="n"/>
      <c r="Z6" s="568" t="n"/>
      <c r="AA6" s="568" t="n"/>
      <c r="AB6" s="1038" t="n"/>
      <c r="AC6" s="1038" t="n"/>
      <c r="AD6" s="1823">
        <f>SUM(P6:AC6)</f>
        <v/>
      </c>
    </row>
    <row r="7" ht="14.65" customHeight="1" s="1232">
      <c r="A7" s="1708" t="n">
        <v>45409</v>
      </c>
      <c r="B7" s="783" t="inlineStr">
        <is>
          <t>Bluebell Woodlands</t>
        </is>
      </c>
      <c r="C7" s="783" t="inlineStr">
        <is>
          <t>AM</t>
        </is>
      </c>
      <c r="D7" s="783" t="inlineStr">
        <is>
          <t>4hrs</t>
        </is>
      </c>
      <c r="E7" s="783" t="inlineStr">
        <is>
          <t>Existing</t>
        </is>
      </c>
      <c r="F7" s="1752" t="inlineStr">
        <is>
          <t>#02765</t>
        </is>
      </c>
      <c r="G7" s="785" t="n">
        <v>45386</v>
      </c>
      <c r="H7" s="1751" t="n">
        <v>99</v>
      </c>
      <c r="I7" s="1750" t="n">
        <v>0</v>
      </c>
      <c r="J7" s="1374" t="inlineStr">
        <is>
          <t xml:space="preserve">mikejaye@btinternet.com </t>
        </is>
      </c>
      <c r="K7" s="936" t="inlineStr">
        <is>
          <t>Mr</t>
        </is>
      </c>
      <c r="L7" s="936" t="inlineStr">
        <is>
          <t>Michael</t>
        </is>
      </c>
      <c r="M7" s="936" t="inlineStr">
        <is>
          <t>Jaye</t>
        </is>
      </c>
      <c r="N7" s="794" t="inlineStr">
        <is>
          <t>49</t>
        </is>
      </c>
      <c r="O7" s="794" t="inlineStr">
        <is>
          <t xml:space="preserve">07841987147 </t>
        </is>
      </c>
      <c r="P7" s="1038" t="n"/>
      <c r="Q7" s="1038" t="n"/>
      <c r="R7" s="568" t="n"/>
      <c r="S7" s="568" t="n"/>
      <c r="T7" s="1038" t="n"/>
      <c r="U7" s="1038" t="n"/>
      <c r="V7" s="568" t="n">
        <v>1</v>
      </c>
      <c r="W7" s="568" t="n"/>
      <c r="X7" s="1038" t="n">
        <v>1</v>
      </c>
      <c r="Y7" s="1038" t="n"/>
      <c r="Z7" s="568" t="n"/>
      <c r="AA7" s="568" t="n"/>
      <c r="AB7" s="1038" t="n"/>
      <c r="AC7" s="1038" t="n"/>
      <c r="AD7" s="1823">
        <f>SUM(P7:AC7)</f>
        <v/>
      </c>
    </row>
    <row r="8" ht="14.65" customHeight="1" s="1232">
      <c r="A8" s="1708" t="n">
        <v>45409</v>
      </c>
      <c r="B8" s="783" t="inlineStr">
        <is>
          <t>Bluebell Woodlands</t>
        </is>
      </c>
      <c r="C8" s="783" t="inlineStr">
        <is>
          <t>PM</t>
        </is>
      </c>
      <c r="D8" s="783" t="inlineStr">
        <is>
          <t>4hrs</t>
        </is>
      </c>
      <c r="E8" s="783" t="inlineStr">
        <is>
          <t>Google</t>
        </is>
      </c>
      <c r="F8" s="1750" t="inlineStr">
        <is>
          <t>#02517</t>
        </is>
      </c>
      <c r="G8" s="785" t="n">
        <v>45082</v>
      </c>
      <c r="H8" s="1751" t="n">
        <v>99</v>
      </c>
      <c r="I8" s="1750" t="n">
        <v>0</v>
      </c>
      <c r="J8" s="1374" t="inlineStr">
        <is>
          <t xml:space="preserve">kelricho2000@yahoo.co.uk </t>
        </is>
      </c>
      <c r="K8" s="936" t="inlineStr">
        <is>
          <t>Ms</t>
        </is>
      </c>
      <c r="L8" s="936" t="inlineStr">
        <is>
          <t>Kelly</t>
        </is>
      </c>
      <c r="M8" s="936" t="inlineStr">
        <is>
          <t>Richardson</t>
        </is>
      </c>
      <c r="N8" s="794" t="inlineStr">
        <is>
          <t>44</t>
        </is>
      </c>
      <c r="O8" s="794" t="inlineStr">
        <is>
          <t>07854740468</t>
        </is>
      </c>
      <c r="P8" s="1038" t="n"/>
      <c r="Q8" s="1038" t="n"/>
      <c r="R8" s="568" t="n"/>
      <c r="S8" s="568" t="n"/>
      <c r="T8" s="1038" t="n"/>
      <c r="U8" s="1038" t="n"/>
      <c r="V8" s="568" t="n"/>
      <c r="W8" s="568" t="n"/>
      <c r="X8" s="1038" t="n"/>
      <c r="Y8" s="1040" t="n">
        <v>1</v>
      </c>
      <c r="Z8" s="568" t="n"/>
      <c r="AA8" s="568" t="n"/>
      <c r="AB8" s="1038" t="n"/>
      <c r="AC8" s="1038" t="n"/>
      <c r="AD8" s="1823">
        <f>SUM(P8:AC8)</f>
        <v/>
      </c>
    </row>
    <row r="9" ht="14.65" customHeight="1" s="1232">
      <c r="A9" s="1708" t="n">
        <v>45410</v>
      </c>
      <c r="B9" s="783" t="inlineStr">
        <is>
          <t>Bluebell Woodlands</t>
        </is>
      </c>
      <c r="C9" s="783" t="inlineStr">
        <is>
          <t>AM</t>
        </is>
      </c>
      <c r="D9" s="783" t="inlineStr">
        <is>
          <t>4hrs</t>
        </is>
      </c>
      <c r="E9" s="783" t="inlineStr">
        <is>
          <t>Google</t>
        </is>
      </c>
      <c r="F9" s="1750" t="inlineStr">
        <is>
          <t>#02648</t>
        </is>
      </c>
      <c r="G9" s="785" t="n">
        <v>45237</v>
      </c>
      <c r="H9" s="1751" t="n">
        <v>125</v>
      </c>
      <c r="I9" s="1750" t="n">
        <v>0</v>
      </c>
      <c r="J9" s="1374" t="inlineStr">
        <is>
          <t xml:space="preserve">alvin.roussel@gmail.com </t>
        </is>
      </c>
      <c r="K9" s="1820" t="n"/>
      <c r="L9" s="1821" t="inlineStr">
        <is>
          <t>Alvin</t>
        </is>
      </c>
      <c r="M9" s="1822" t="inlineStr">
        <is>
          <t>Roussel</t>
        </is>
      </c>
      <c r="N9" s="1707" t="inlineStr">
        <is>
          <t>67</t>
        </is>
      </c>
      <c r="O9" s="1707" t="inlineStr">
        <is>
          <t>07415517384</t>
        </is>
      </c>
      <c r="P9" s="1038" t="n"/>
      <c r="Q9" s="1038" t="n"/>
      <c r="R9" s="568" t="n"/>
      <c r="S9" s="568" t="n"/>
      <c r="T9" s="1038" t="n"/>
      <c r="U9" s="1038" t="n"/>
      <c r="V9" s="568" t="n"/>
      <c r="W9" s="568" t="n"/>
      <c r="X9" s="1038" t="n">
        <v>1</v>
      </c>
      <c r="Y9" s="1038" t="n"/>
      <c r="Z9" s="568" t="n"/>
      <c r="AA9" s="568" t="n">
        <v>1</v>
      </c>
      <c r="AB9" s="1038" t="n">
        <v>1</v>
      </c>
      <c r="AC9" s="1038" t="n">
        <v>1</v>
      </c>
      <c r="AD9" s="1823">
        <f>SUM(P9:AC9)</f>
        <v/>
      </c>
    </row>
    <row r="10" ht="14.65" customHeight="1" s="1232">
      <c r="A10" s="1708" t="n">
        <v>45410</v>
      </c>
      <c r="B10" s="783" t="inlineStr">
        <is>
          <t>Bluebell Woodlands</t>
        </is>
      </c>
      <c r="C10" s="783" t="inlineStr">
        <is>
          <t>AM</t>
        </is>
      </c>
      <c r="D10" s="783" t="inlineStr">
        <is>
          <t>4hrs</t>
        </is>
      </c>
      <c r="E10" s="783" t="inlineStr">
        <is>
          <t>Existing</t>
        </is>
      </c>
      <c r="F10" s="1750" t="inlineStr">
        <is>
          <t>#02729</t>
        </is>
      </c>
      <c r="G10" s="785" t="n">
        <v>45344</v>
      </c>
      <c r="H10" s="1751" t="n">
        <v>99</v>
      </c>
      <c r="I10" s="1750" t="n">
        <v>0</v>
      </c>
      <c r="J10" s="549" t="inlineStr">
        <is>
          <t xml:space="preserve">ispan.emoke@gmail.com </t>
        </is>
      </c>
      <c r="K10" s="86" t="inlineStr">
        <is>
          <t>Mrs</t>
        </is>
      </c>
      <c r="L10" s="1608" t="inlineStr">
        <is>
          <t xml:space="preserve">Emoke </t>
        </is>
      </c>
      <c r="M10" s="1608" t="inlineStr">
        <is>
          <t>Ispan</t>
        </is>
      </c>
      <c r="N10" s="551" t="inlineStr">
        <is>
          <t>33</t>
        </is>
      </c>
      <c r="O10" s="1604" t="inlineStr">
        <is>
          <t>07944241202</t>
        </is>
      </c>
      <c r="P10" s="1038" t="n"/>
      <c r="Q10" s="1038" t="n"/>
      <c r="R10" s="568" t="n"/>
      <c r="S10" s="568" t="n"/>
      <c r="T10" s="1038" t="n"/>
      <c r="U10" s="1038" t="n"/>
      <c r="V10" s="568" t="n"/>
      <c r="W10" s="568" t="n"/>
      <c r="X10" s="1038" t="n"/>
      <c r="Y10" s="1040" t="n">
        <v>1</v>
      </c>
      <c r="Z10" s="568" t="n"/>
      <c r="AA10" s="568" t="n"/>
      <c r="AB10" s="1038" t="n"/>
      <c r="AC10" s="1038" t="n"/>
      <c r="AD10" s="1823">
        <f>SUM(P10:AC10)</f>
        <v/>
      </c>
    </row>
    <row r="11" ht="14.65" customHeight="1" s="1232">
      <c r="A11" s="1708" t="n">
        <v>45411</v>
      </c>
      <c r="B11" s="885" t="inlineStr">
        <is>
          <t>Bluebell Woodlands</t>
        </is>
      </c>
      <c r="C11" s="783" t="inlineStr">
        <is>
          <t>AM</t>
        </is>
      </c>
      <c r="D11" s="783" t="inlineStr">
        <is>
          <t>4hrs</t>
        </is>
      </c>
      <c r="E11" s="783" t="inlineStr">
        <is>
          <t>Existing</t>
        </is>
      </c>
      <c r="F11" s="1750" t="inlineStr">
        <is>
          <t>#02514</t>
        </is>
      </c>
      <c r="G11" s="785" t="n">
        <v>45077</v>
      </c>
      <c r="H11" s="1751" t="n">
        <v>125</v>
      </c>
      <c r="I11" s="1750" t="n">
        <v>0</v>
      </c>
      <c r="J11" s="549" t="inlineStr">
        <is>
          <t xml:space="preserve">dave@davidproctor.com </t>
        </is>
      </c>
      <c r="K11" s="935" t="inlineStr">
        <is>
          <t>Mr</t>
        </is>
      </c>
      <c r="L11" s="1608" t="inlineStr">
        <is>
          <t xml:space="preserve">David </t>
        </is>
      </c>
      <c r="M11" s="1608" t="inlineStr">
        <is>
          <t>Proctor</t>
        </is>
      </c>
      <c r="N11" s="551" t="inlineStr">
        <is>
          <t>59</t>
        </is>
      </c>
      <c r="O11" s="1604" t="inlineStr">
        <is>
          <t>07515962930</t>
        </is>
      </c>
      <c r="P11" s="1038" t="n">
        <v>1</v>
      </c>
      <c r="Q11" s="1038" t="n"/>
      <c r="R11" s="568" t="n">
        <v>1</v>
      </c>
      <c r="S11" s="568" t="n">
        <v>1</v>
      </c>
      <c r="T11" s="1038" t="n">
        <v>1</v>
      </c>
      <c r="U11" s="1038" t="n">
        <v>1</v>
      </c>
      <c r="V11" s="568" t="n"/>
      <c r="W11" s="568" t="n"/>
      <c r="X11" s="1038" t="n"/>
      <c r="Y11" s="1038" t="n"/>
      <c r="Z11" s="568" t="n"/>
      <c r="AA11" s="568" t="n"/>
      <c r="AB11" s="1038" t="n"/>
      <c r="AC11" s="1038" t="n"/>
      <c r="AD11" s="1823">
        <f>SUM(P11:AC11)</f>
        <v/>
      </c>
    </row>
    <row r="12" ht="14.65" customHeight="1" s="1232">
      <c r="A12" s="1708" t="n">
        <v>45412</v>
      </c>
      <c r="B12" s="885" t="inlineStr">
        <is>
          <t>Bluebell Woodlands</t>
        </is>
      </c>
      <c r="C12" s="783" t="inlineStr">
        <is>
          <t>PM</t>
        </is>
      </c>
      <c r="D12" s="783" t="inlineStr">
        <is>
          <t>4hrs</t>
        </is>
      </c>
      <c r="E12" s="783" t="inlineStr">
        <is>
          <t>Existing</t>
        </is>
      </c>
      <c r="F12" s="1750" t="inlineStr">
        <is>
          <t>#02753</t>
        </is>
      </c>
      <c r="G12" s="785" t="n">
        <v>45377</v>
      </c>
      <c r="H12" s="1751" t="n">
        <v>99</v>
      </c>
      <c r="I12" s="1750" t="n">
        <v>0</v>
      </c>
      <c r="J12" s="549" t="inlineStr">
        <is>
          <t xml:space="preserve">mike.manorcroft@gmail.com </t>
        </is>
      </c>
      <c r="K12" s="935" t="inlineStr">
        <is>
          <t>Mr</t>
        </is>
      </c>
      <c r="L12" s="1608" t="inlineStr">
        <is>
          <t>Mike</t>
        </is>
      </c>
      <c r="M12" s="1608" t="inlineStr">
        <is>
          <t>Charlton</t>
        </is>
      </c>
      <c r="N12" s="551" t="inlineStr">
        <is>
          <t>70</t>
        </is>
      </c>
      <c r="O12" s="1604" t="inlineStr">
        <is>
          <t>07500224031</t>
        </is>
      </c>
      <c r="P12" s="1038" t="n"/>
      <c r="Q12" s="1038" t="n"/>
      <c r="R12" s="568" t="n"/>
      <c r="S12" s="568" t="n">
        <v>1</v>
      </c>
      <c r="T12" s="1038" t="n"/>
      <c r="U12" s="1038" t="n"/>
      <c r="V12" s="568" t="n"/>
      <c r="W12" s="568" t="n"/>
      <c r="X12" s="1038" t="n"/>
      <c r="Y12" s="1038" t="n"/>
      <c r="Z12" s="568" t="n"/>
      <c r="AA12" s="568" t="n">
        <v>1</v>
      </c>
      <c r="AB12" s="1038" t="n"/>
      <c r="AC12" s="1038" t="n">
        <v>1</v>
      </c>
      <c r="AD12" s="1823">
        <f>SUM(P12:AC12)</f>
        <v/>
      </c>
    </row>
    <row r="13" ht="14.65" customHeight="1" s="1232">
      <c r="A13" s="1708" t="n">
        <v>45412</v>
      </c>
      <c r="B13" s="783" t="inlineStr">
        <is>
          <t>Bluebell Woodlands</t>
        </is>
      </c>
      <c r="C13" s="783" t="inlineStr">
        <is>
          <t>All Day</t>
        </is>
      </c>
      <c r="D13" s="783" t="inlineStr">
        <is>
          <t>8hrs</t>
        </is>
      </c>
      <c r="E13" s="783" t="inlineStr">
        <is>
          <t>Existing</t>
        </is>
      </c>
      <c r="F13" s="1750" t="inlineStr">
        <is>
          <t>#02754</t>
        </is>
      </c>
      <c r="G13" s="785" t="n">
        <v>45378</v>
      </c>
      <c r="H13" s="1751" t="n">
        <v>150</v>
      </c>
      <c r="I13" s="1750" t="n">
        <v>0</v>
      </c>
      <c r="J13" s="1824" t="inlineStr">
        <is>
          <t xml:space="preserve">huw8118@btinternet.com </t>
        </is>
      </c>
      <c r="K13" s="1035" t="inlineStr">
        <is>
          <t>Mr</t>
        </is>
      </c>
      <c r="L13" s="1035" t="inlineStr">
        <is>
          <t>Huw</t>
        </is>
      </c>
      <c r="M13" s="1035" t="inlineStr">
        <is>
          <t>Jones</t>
        </is>
      </c>
      <c r="N13" s="887" t="inlineStr">
        <is>
          <t>60</t>
        </is>
      </c>
      <c r="O13" s="794" t="inlineStr">
        <is>
          <t>07527710547</t>
        </is>
      </c>
      <c r="P13" s="1038" t="n">
        <v>1</v>
      </c>
      <c r="Q13" s="1038" t="n">
        <v>1</v>
      </c>
      <c r="R13" s="568" t="n"/>
      <c r="S13" s="568" t="n"/>
      <c r="T13" s="1038" t="n">
        <v>1</v>
      </c>
      <c r="U13" s="1038" t="n">
        <v>1</v>
      </c>
      <c r="V13" s="568" t="n"/>
      <c r="W13" s="568" t="n"/>
      <c r="X13" s="1038" t="n"/>
      <c r="Y13" s="1038" t="n"/>
      <c r="Z13" s="568" t="n">
        <v>1</v>
      </c>
      <c r="AA13" s="568" t="n">
        <v>1</v>
      </c>
      <c r="AB13" s="1038" t="n">
        <v>1</v>
      </c>
      <c r="AC13" s="1038" t="n">
        <v>1</v>
      </c>
      <c r="AD13" s="1823">
        <f>SUM(P13:AC13)</f>
        <v/>
      </c>
    </row>
    <row r="14" ht="25.5" customHeight="1" s="1232">
      <c r="A14" s="1708" t="n">
        <v>45412</v>
      </c>
      <c r="B14" s="783" t="inlineStr">
        <is>
          <t>Bluebell Woodlands</t>
        </is>
      </c>
      <c r="C14" s="783" t="inlineStr">
        <is>
          <t>All Day</t>
        </is>
      </c>
      <c r="D14" s="783" t="inlineStr">
        <is>
          <t>8hrs</t>
        </is>
      </c>
      <c r="E14" s="783" t="inlineStr">
        <is>
          <t>Existing</t>
        </is>
      </c>
      <c r="F14" s="1750" t="inlineStr">
        <is>
          <t>#02755</t>
        </is>
      </c>
      <c r="G14" s="785" t="n">
        <v>45380</v>
      </c>
      <c r="H14" s="1751" t="n">
        <v>140</v>
      </c>
      <c r="I14" s="1750" t="n">
        <v>0</v>
      </c>
      <c r="J14" s="549" t="inlineStr">
        <is>
          <t xml:space="preserve">joannegalloway2003@yahoo.co.uk </t>
        </is>
      </c>
      <c r="K14" s="935" t="inlineStr">
        <is>
          <t>Ms</t>
        </is>
      </c>
      <c r="L14" s="1608" t="inlineStr">
        <is>
          <t>Joanne</t>
        </is>
      </c>
      <c r="M14" s="1608" t="inlineStr">
        <is>
          <t>Galloway</t>
        </is>
      </c>
      <c r="N14" s="551" t="inlineStr">
        <is>
          <t>63</t>
        </is>
      </c>
      <c r="O14" s="1604" t="inlineStr">
        <is>
          <t>07974437317</t>
        </is>
      </c>
      <c r="P14" s="1038" t="n"/>
      <c r="Q14" s="1038" t="n"/>
      <c r="R14" s="568" t="n"/>
      <c r="S14" s="568" t="n"/>
      <c r="T14" s="1038" t="n"/>
      <c r="U14" s="1038" t="n"/>
      <c r="V14" s="568" t="n">
        <v>1</v>
      </c>
      <c r="W14" s="568" t="n">
        <v>1</v>
      </c>
      <c r="X14" s="1038" t="n">
        <v>1</v>
      </c>
      <c r="Y14" s="1038" t="n">
        <v>1</v>
      </c>
      <c r="Z14" s="568" t="n">
        <v>1</v>
      </c>
      <c r="AA14" s="568" t="n">
        <v>1</v>
      </c>
      <c r="AB14" s="1038" t="n">
        <v>1</v>
      </c>
      <c r="AC14" s="1038" t="n">
        <v>1</v>
      </c>
      <c r="AD14" s="1823">
        <f>SUM(P14:AC14)</f>
        <v/>
      </c>
    </row>
    <row r="15" ht="14.65" customHeight="1" s="1232">
      <c r="A15" s="1708" t="n">
        <v>45413</v>
      </c>
      <c r="B15" s="783" t="inlineStr">
        <is>
          <t>Bluebell Woodlands</t>
        </is>
      </c>
      <c r="C15" s="783" t="inlineStr">
        <is>
          <t>AM</t>
        </is>
      </c>
      <c r="D15" s="783" t="inlineStr">
        <is>
          <t>4hrs</t>
        </is>
      </c>
      <c r="E15" s="783" t="inlineStr">
        <is>
          <t>Into The Blue</t>
        </is>
      </c>
      <c r="F15" s="1750" t="n"/>
      <c r="G15" s="785" t="n">
        <v>45313</v>
      </c>
      <c r="H15" s="1751" t="n">
        <v>79.2</v>
      </c>
      <c r="I15" s="1750" t="n">
        <v>0</v>
      </c>
      <c r="J15" s="549" t="inlineStr">
        <is>
          <t>Stephen.frost01@gmail.com</t>
        </is>
      </c>
      <c r="K15" s="877" t="inlineStr">
        <is>
          <t>Mr</t>
        </is>
      </c>
      <c r="L15" s="1645" t="inlineStr">
        <is>
          <t>Stephen</t>
        </is>
      </c>
      <c r="M15" s="1645" t="inlineStr">
        <is>
          <t>Frost</t>
        </is>
      </c>
      <c r="N15" s="551" t="n"/>
      <c r="O15" s="1604" t="inlineStr">
        <is>
          <t>07760614013</t>
        </is>
      </c>
      <c r="P15" s="1038" t="n"/>
      <c r="Q15" s="1038" t="n"/>
      <c r="R15" s="568" t="n"/>
      <c r="S15" s="568" t="n"/>
      <c r="T15" s="1038" t="n"/>
      <c r="U15" s="1038" t="n"/>
      <c r="V15" s="568" t="n"/>
      <c r="W15" s="568" t="n"/>
      <c r="X15" s="1038" t="n"/>
      <c r="Y15" s="1038" t="n"/>
      <c r="Z15" s="568" t="n"/>
      <c r="AA15" s="568" t="n"/>
      <c r="AB15" s="1038" t="n"/>
      <c r="AC15" s="1038" t="n"/>
      <c r="AD15" s="1823">
        <f>SUM(P15:AC15)</f>
        <v/>
      </c>
    </row>
    <row r="16" ht="14.65" customHeight="1" s="1232">
      <c r="A16" s="1708" t="n">
        <v>45413</v>
      </c>
      <c r="B16" s="783" t="inlineStr">
        <is>
          <t>Bluebell Woodlands</t>
        </is>
      </c>
      <c r="C16" s="783" t="inlineStr">
        <is>
          <t>AM</t>
        </is>
      </c>
      <c r="D16" s="783" t="inlineStr">
        <is>
          <t>4hrs</t>
        </is>
      </c>
      <c r="E16" s="783" t="inlineStr">
        <is>
          <t>Into The Blue</t>
        </is>
      </c>
      <c r="F16" s="1750" t="n"/>
      <c r="G16" s="785" t="n">
        <v>45362</v>
      </c>
      <c r="H16" s="1751" t="n">
        <v>79.2</v>
      </c>
      <c r="I16" s="1750" t="n">
        <v>0</v>
      </c>
      <c r="J16" s="549" t="inlineStr">
        <is>
          <t>anniemitchell2@yahoo.co.uk</t>
        </is>
      </c>
      <c r="K16" s="935" t="inlineStr">
        <is>
          <t>Ms</t>
        </is>
      </c>
      <c r="L16" s="1608" t="inlineStr">
        <is>
          <t>Annie</t>
        </is>
      </c>
      <c r="M16" s="1608" t="inlineStr">
        <is>
          <t>Mitchell</t>
        </is>
      </c>
      <c r="N16" s="551" t="n"/>
      <c r="O16" s="1604" t="inlineStr">
        <is>
          <t>07866273335</t>
        </is>
      </c>
      <c r="P16" s="1038" t="n"/>
      <c r="Q16" s="1038" t="n"/>
      <c r="R16" s="568" t="n">
        <v>1</v>
      </c>
      <c r="S16" s="568" t="n"/>
      <c r="T16" s="1038" t="n">
        <v>1</v>
      </c>
      <c r="U16" s="1038" t="n"/>
      <c r="V16" s="568" t="n">
        <v>1</v>
      </c>
      <c r="W16" s="568" t="n"/>
      <c r="X16" s="1038" t="n">
        <v>1</v>
      </c>
      <c r="Y16" s="1038" t="n"/>
      <c r="Z16" s="568" t="n">
        <v>1</v>
      </c>
      <c r="AA16" s="568" t="n"/>
      <c r="AB16" s="1038" t="n">
        <v>1</v>
      </c>
      <c r="AC16" s="1038" t="n"/>
      <c r="AD16" s="1823">
        <f>SUM(P16:AC16)</f>
        <v/>
      </c>
    </row>
    <row r="17" ht="14.65" customHeight="1" s="1232">
      <c r="A17" s="1708" t="n">
        <v>45413</v>
      </c>
      <c r="B17" s="783" t="inlineStr">
        <is>
          <t>Bluebell Woodlands</t>
        </is>
      </c>
      <c r="C17" s="783" t="inlineStr">
        <is>
          <t>PM</t>
        </is>
      </c>
      <c r="D17" s="783" t="inlineStr">
        <is>
          <t>4hrs</t>
        </is>
      </c>
      <c r="E17" s="783" t="inlineStr">
        <is>
          <t>Existing</t>
        </is>
      </c>
      <c r="F17" s="1750" t="inlineStr">
        <is>
          <t>#02752</t>
        </is>
      </c>
      <c r="G17" s="785" t="n">
        <v>45377</v>
      </c>
      <c r="H17" s="1751" t="n">
        <v>99</v>
      </c>
      <c r="I17" s="1750" t="n">
        <v>0</v>
      </c>
      <c r="J17" s="549" t="inlineStr">
        <is>
          <t xml:space="preserve">ipadofian@me.com </t>
        </is>
      </c>
      <c r="K17" s="935" t="inlineStr">
        <is>
          <t>Mr</t>
        </is>
      </c>
      <c r="L17" s="1608" t="inlineStr">
        <is>
          <t>Ian</t>
        </is>
      </c>
      <c r="M17" s="1608" t="inlineStr">
        <is>
          <t>Douglas</t>
        </is>
      </c>
      <c r="N17" s="551" t="inlineStr">
        <is>
          <t>64</t>
        </is>
      </c>
      <c r="O17" s="1604" t="inlineStr">
        <is>
          <t>07453665361</t>
        </is>
      </c>
      <c r="P17" s="1038" t="n"/>
      <c r="Q17" s="1038" t="n">
        <v>1</v>
      </c>
      <c r="R17" s="568" t="n"/>
      <c r="S17" s="568" t="n"/>
      <c r="T17" s="1038" t="n"/>
      <c r="U17" s="1038" t="n"/>
      <c r="V17" s="568" t="n"/>
      <c r="W17" s="568" t="n">
        <v>1</v>
      </c>
      <c r="X17" s="1038" t="n"/>
      <c r="Y17" s="1038" t="n">
        <v>1</v>
      </c>
      <c r="Z17" s="568" t="n"/>
      <c r="AA17" s="568" t="n"/>
      <c r="AB17" s="1038" t="n"/>
      <c r="AC17" s="1038" t="n"/>
      <c r="AD17" s="1823">
        <f>SUM(P17:AC17)</f>
        <v/>
      </c>
    </row>
    <row r="18" ht="14.65" customHeight="1" s="1232">
      <c r="A18" s="1708" t="n">
        <v>45414</v>
      </c>
      <c r="B18" s="783" t="inlineStr">
        <is>
          <t>Bluebell Woodlands</t>
        </is>
      </c>
      <c r="C18" s="783" t="inlineStr">
        <is>
          <t>AM</t>
        </is>
      </c>
      <c r="D18" s="783" t="inlineStr">
        <is>
          <t>4hrs</t>
        </is>
      </c>
      <c r="E18" s="783" t="inlineStr">
        <is>
          <t>Google</t>
        </is>
      </c>
      <c r="F18" s="1750" t="inlineStr">
        <is>
          <t>#02718</t>
        </is>
      </c>
      <c r="G18" s="785" t="n">
        <v>45330</v>
      </c>
      <c r="H18" s="1751" t="n">
        <v>99</v>
      </c>
      <c r="I18" s="1750" t="n">
        <v>0</v>
      </c>
      <c r="J18" s="549" t="inlineStr">
        <is>
          <t xml:space="preserve">jane@gp-it.co.uk </t>
        </is>
      </c>
      <c r="K18" s="935" t="inlineStr">
        <is>
          <t>Ms</t>
        </is>
      </c>
      <c r="L18" s="1608" t="inlineStr">
        <is>
          <t>Jane</t>
        </is>
      </c>
      <c r="M18" s="1608" t="inlineStr">
        <is>
          <t>Harris</t>
        </is>
      </c>
      <c r="N18" s="551" t="inlineStr">
        <is>
          <t>70</t>
        </is>
      </c>
      <c r="O18" s="1604" t="inlineStr">
        <is>
          <t>07876127335</t>
        </is>
      </c>
      <c r="P18" s="1038" t="n">
        <v>1</v>
      </c>
      <c r="Q18" s="1038" t="n"/>
      <c r="R18" s="568" t="n"/>
      <c r="S18" s="568" t="n"/>
      <c r="T18" s="1038" t="n">
        <v>1</v>
      </c>
      <c r="U18" s="1038" t="n"/>
      <c r="V18" s="568" t="n"/>
      <c r="W18" s="568" t="n"/>
      <c r="X18" s="1038" t="n"/>
      <c r="Y18" s="1038" t="n"/>
      <c r="Z18" s="568" t="n">
        <v>1</v>
      </c>
      <c r="AA18" s="568" t="n"/>
      <c r="AB18" s="1038" t="n">
        <v>1</v>
      </c>
      <c r="AC18" s="1038" t="n"/>
      <c r="AD18" s="1823">
        <f>SUM(P18:AC18)</f>
        <v/>
      </c>
    </row>
    <row r="19" ht="14.65" customHeight="1" s="1232">
      <c r="A19" s="1708" t="n">
        <v>45414</v>
      </c>
      <c r="B19" s="783" t="inlineStr">
        <is>
          <t>Bluebell Woodlands</t>
        </is>
      </c>
      <c r="C19" s="783" t="inlineStr">
        <is>
          <t>AM</t>
        </is>
      </c>
      <c r="D19" s="783" t="inlineStr">
        <is>
          <t>4hrs</t>
        </is>
      </c>
      <c r="E19" s="783" t="inlineStr">
        <is>
          <t>Google</t>
        </is>
      </c>
      <c r="F19" s="1750" t="inlineStr">
        <is>
          <t>#02718</t>
        </is>
      </c>
      <c r="G19" s="785" t="n">
        <v>45330</v>
      </c>
      <c r="H19" s="1751" t="n">
        <v>99</v>
      </c>
      <c r="I19" s="1750" t="n">
        <v>0</v>
      </c>
      <c r="J19" s="549" t="inlineStr">
        <is>
          <t xml:space="preserve">jane@gp-it.co.uk </t>
        </is>
      </c>
      <c r="K19" s="935" t="inlineStr">
        <is>
          <t>Mr</t>
        </is>
      </c>
      <c r="L19" s="1608" t="inlineStr">
        <is>
          <t>Peter</t>
        </is>
      </c>
      <c r="M19" s="1608" t="inlineStr">
        <is>
          <t>Harris</t>
        </is>
      </c>
      <c r="N19" s="551" t="inlineStr">
        <is>
          <t>70</t>
        </is>
      </c>
      <c r="O19" s="1604" t="inlineStr">
        <is>
          <t>07768115639</t>
        </is>
      </c>
      <c r="P19" s="1038" t="n">
        <v>1</v>
      </c>
      <c r="Q19" s="1038" t="n"/>
      <c r="R19" s="568" t="n"/>
      <c r="S19" s="568" t="n"/>
      <c r="T19" s="1038" t="n">
        <v>1</v>
      </c>
      <c r="U19" s="1038" t="n"/>
      <c r="V19" s="568" t="n"/>
      <c r="W19" s="568" t="n"/>
      <c r="X19" s="1038" t="n"/>
      <c r="Y19" s="1038" t="n"/>
      <c r="Z19" s="568" t="n">
        <v>1</v>
      </c>
      <c r="AA19" s="568" t="n"/>
      <c r="AB19" s="1038" t="n">
        <v>1</v>
      </c>
      <c r="AC19" s="1038" t="n"/>
      <c r="AD19" s="1823">
        <f>SUM(P19:AC19)</f>
        <v/>
      </c>
    </row>
    <row r="20" ht="14.65" customHeight="1" s="1232">
      <c r="A20" s="1708" t="n">
        <v>45414</v>
      </c>
      <c r="B20" s="783" t="inlineStr">
        <is>
          <t>Bluebell Woodlands</t>
        </is>
      </c>
      <c r="C20" s="783" t="inlineStr">
        <is>
          <t>PM</t>
        </is>
      </c>
      <c r="D20" s="783" t="inlineStr">
        <is>
          <t>4hrs</t>
        </is>
      </c>
      <c r="E20" s="783" t="inlineStr">
        <is>
          <t>Existing</t>
        </is>
      </c>
      <c r="F20" s="1750" t="inlineStr">
        <is>
          <t>#02645</t>
        </is>
      </c>
      <c r="G20" s="785" t="n">
        <v>45234</v>
      </c>
      <c r="H20" s="1751" t="n">
        <v>99</v>
      </c>
      <c r="I20" s="1750" t="n">
        <v>0</v>
      </c>
      <c r="J20" s="549" t="inlineStr">
        <is>
          <t xml:space="preserve">ambra.minoli@protonmail.com </t>
        </is>
      </c>
      <c r="K20" s="936" t="inlineStr">
        <is>
          <t>Ms</t>
        </is>
      </c>
      <c r="L20" s="936" t="inlineStr">
        <is>
          <t xml:space="preserve">Ambra </t>
        </is>
      </c>
      <c r="M20" s="936" t="inlineStr">
        <is>
          <t>Minoli</t>
        </is>
      </c>
      <c r="N20" s="794" t="inlineStr">
        <is>
          <t>29</t>
        </is>
      </c>
      <c r="O20" s="794" t="inlineStr">
        <is>
          <t>07449843109</t>
        </is>
      </c>
      <c r="P20" s="1038" t="n"/>
      <c r="Q20" s="1038" t="n"/>
      <c r="R20" s="568" t="n"/>
      <c r="S20" s="568" t="n">
        <v>1</v>
      </c>
      <c r="T20" s="1038" t="n"/>
      <c r="U20" s="1038" t="n">
        <v>1</v>
      </c>
      <c r="V20" s="568" t="n"/>
      <c r="W20" s="568" t="n">
        <v>1</v>
      </c>
      <c r="X20" s="1038" t="n"/>
      <c r="Y20" s="1038" t="n">
        <v>1</v>
      </c>
      <c r="Z20" s="568" t="n"/>
      <c r="AA20" s="568" t="n"/>
      <c r="AB20" s="1038" t="n"/>
      <c r="AC20" s="1038" t="n">
        <v>1</v>
      </c>
      <c r="AD20" s="1823">
        <f>SUM(P20:AC20)</f>
        <v/>
      </c>
    </row>
    <row r="21" ht="14.65" customHeight="1" s="1232">
      <c r="A21" s="1708" t="n">
        <v>45417</v>
      </c>
      <c r="B21" s="885" t="inlineStr">
        <is>
          <t>Bluebell Woodlands</t>
        </is>
      </c>
      <c r="C21" s="783" t="inlineStr">
        <is>
          <t>PM</t>
        </is>
      </c>
      <c r="D21" s="783" t="inlineStr">
        <is>
          <t>2.5hrs</t>
        </is>
      </c>
      <c r="E21" s="783" t="inlineStr">
        <is>
          <t>Google</t>
        </is>
      </c>
      <c r="F21" s="1750" t="inlineStr">
        <is>
          <t>#02511</t>
        </is>
      </c>
      <c r="G21" s="511" t="n">
        <v>45075</v>
      </c>
      <c r="H21" s="1751" t="n">
        <v>99</v>
      </c>
      <c r="I21" s="1750" t="n">
        <v>0</v>
      </c>
      <c r="J21" s="767" t="inlineStr">
        <is>
          <t>drsanjay.kumar@btinternet.com</t>
        </is>
      </c>
      <c r="K21" s="935" t="inlineStr">
        <is>
          <t>Dr</t>
        </is>
      </c>
      <c r="L21" s="1608" t="inlineStr">
        <is>
          <t>Sanjay</t>
        </is>
      </c>
      <c r="M21" s="1608" t="inlineStr">
        <is>
          <t>Kumar</t>
        </is>
      </c>
      <c r="N21" s="551" t="inlineStr">
        <is>
          <t>57</t>
        </is>
      </c>
      <c r="O21" s="1604" t="inlineStr">
        <is>
          <t>07980618814</t>
        </is>
      </c>
      <c r="P21" s="1038" t="n"/>
      <c r="Q21" s="1038" t="n"/>
      <c r="R21" s="568" t="n"/>
      <c r="S21" s="1004" t="n">
        <v>1</v>
      </c>
      <c r="T21" s="1038" t="n"/>
      <c r="U21" s="1038" t="n"/>
      <c r="V21" s="568" t="n"/>
      <c r="W21" s="568" t="n"/>
      <c r="X21" s="1038" t="n"/>
      <c r="Y21" s="1038" t="n"/>
      <c r="Z21" s="568" t="n"/>
      <c r="AA21" s="568" t="n"/>
      <c r="AB21" s="1038" t="n"/>
      <c r="AC21" s="1038" t="n"/>
      <c r="AD21" s="1823">
        <f>SUM(P21:AC21)</f>
        <v/>
      </c>
    </row>
    <row r="22" ht="14.65" customHeight="1" s="1232">
      <c r="A22" s="1708" t="n">
        <v>45417</v>
      </c>
      <c r="B22" s="885" t="inlineStr">
        <is>
          <t>Bluebell Woodlands</t>
        </is>
      </c>
      <c r="C22" s="783" t="inlineStr">
        <is>
          <t>PM</t>
        </is>
      </c>
      <c r="D22" s="1568" t="inlineStr">
        <is>
          <t>4hrs</t>
        </is>
      </c>
      <c r="E22" s="1568" t="inlineStr">
        <is>
          <t>Google</t>
        </is>
      </c>
      <c r="F22" s="87" t="inlineStr">
        <is>
          <t>#02678</t>
        </is>
      </c>
      <c r="G22" s="511" t="n">
        <v>45282</v>
      </c>
      <c r="H22" s="1696" t="n">
        <v>60</v>
      </c>
      <c r="I22" s="1697" t="n">
        <v>0</v>
      </c>
      <c r="J22" s="1491" t="inlineStr">
        <is>
          <t xml:space="preserve">lcs3878@btinternet.com </t>
        </is>
      </c>
      <c r="K22" s="1820" t="inlineStr">
        <is>
          <t>Ms</t>
        </is>
      </c>
      <c r="L22" s="1821" t="inlineStr">
        <is>
          <t>Laura</t>
        </is>
      </c>
      <c r="M22" s="1821" t="inlineStr">
        <is>
          <t>Cooper-Smith</t>
        </is>
      </c>
      <c r="N22" s="1707" t="inlineStr">
        <is>
          <t>27</t>
        </is>
      </c>
      <c r="O22" s="1707" t="inlineStr">
        <is>
          <t>07495455697</t>
        </is>
      </c>
      <c r="P22" s="1038" t="n"/>
      <c r="Q22" s="1038" t="n"/>
      <c r="R22" s="568" t="n"/>
      <c r="S22" s="568" t="n"/>
      <c r="T22" s="1038" t="n"/>
      <c r="U22" s="1038" t="n"/>
      <c r="V22" s="568" t="n"/>
      <c r="W22" s="568" t="n"/>
      <c r="X22" s="1038" t="n"/>
      <c r="Y22" s="1040" t="n">
        <v>1</v>
      </c>
      <c r="Z22" s="568" t="n"/>
      <c r="AA22" s="568" t="n"/>
      <c r="AB22" s="1038" t="n"/>
      <c r="AC22" s="1038" t="n"/>
      <c r="AD22" s="1823">
        <f>SUM(P22:AC22)</f>
        <v/>
      </c>
    </row>
    <row r="23" ht="14.65" customHeight="1" s="1232">
      <c r="A23" s="1708" t="n">
        <v>45417</v>
      </c>
      <c r="B23" s="885" t="inlineStr">
        <is>
          <t>Bluebell Woodlands</t>
        </is>
      </c>
      <c r="C23" s="783" t="inlineStr">
        <is>
          <t>PM</t>
        </is>
      </c>
      <c r="D23" s="1568" t="inlineStr">
        <is>
          <t>4hrs</t>
        </is>
      </c>
      <c r="E23" s="1568" t="inlineStr">
        <is>
          <t>Google</t>
        </is>
      </c>
      <c r="F23" s="87" t="inlineStr">
        <is>
          <t>#02678</t>
        </is>
      </c>
      <c r="G23" s="511" t="n">
        <v>45282</v>
      </c>
      <c r="H23" s="1696" t="n">
        <v>60</v>
      </c>
      <c r="I23" s="1697" t="n">
        <v>0</v>
      </c>
      <c r="J23" s="1491" t="inlineStr">
        <is>
          <t xml:space="preserve">lcs3878@btinternet.com </t>
        </is>
      </c>
      <c r="K23" s="1820" t="inlineStr">
        <is>
          <t>Ms</t>
        </is>
      </c>
      <c r="L23" s="1821" t="inlineStr">
        <is>
          <t>Laura</t>
        </is>
      </c>
      <c r="M23" s="1821" t="inlineStr">
        <is>
          <t>Cooper-Smith</t>
        </is>
      </c>
      <c r="N23" s="1707" t="inlineStr">
        <is>
          <t>27</t>
        </is>
      </c>
      <c r="O23" s="1707" t="inlineStr">
        <is>
          <t>07495455697</t>
        </is>
      </c>
      <c r="P23" s="1038" t="n"/>
      <c r="Q23" s="1038" t="n"/>
      <c r="R23" s="568" t="n"/>
      <c r="S23" s="568" t="n"/>
      <c r="T23" s="1038" t="n"/>
      <c r="U23" s="1038" t="n"/>
      <c r="V23" s="568" t="n"/>
      <c r="W23" s="568" t="n"/>
      <c r="X23" s="1038" t="n"/>
      <c r="Y23" s="1040" t="n">
        <v>1</v>
      </c>
      <c r="Z23" s="568" t="n"/>
      <c r="AA23" s="568" t="n"/>
      <c r="AB23" s="1038" t="n"/>
      <c r="AC23" s="1038" t="n"/>
      <c r="AD23" s="1823">
        <f>SUM(P23:AC23)</f>
        <v/>
      </c>
    </row>
    <row r="24" ht="14.65" customHeight="1" s="1232">
      <c r="A24" s="1825" t="n">
        <v>45404</v>
      </c>
      <c r="B24" s="783" t="inlineStr">
        <is>
          <t>Bluebell Woodlands</t>
        </is>
      </c>
      <c r="C24" s="783" t="inlineStr">
        <is>
          <t>AM</t>
        </is>
      </c>
      <c r="D24" s="783" t="inlineStr">
        <is>
          <t>4hrs</t>
        </is>
      </c>
      <c r="E24" s="783" t="inlineStr">
        <is>
          <t>Existing</t>
        </is>
      </c>
      <c r="F24" s="543" t="inlineStr">
        <is>
          <t>#02769</t>
        </is>
      </c>
      <c r="G24" s="511" t="n">
        <v>45390</v>
      </c>
      <c r="H24" s="1250" t="n">
        <v>99</v>
      </c>
      <c r="I24" s="1250" t="n">
        <v>0</v>
      </c>
      <c r="J24" s="767" t="inlineStr">
        <is>
          <t xml:space="preserve">steveandsally@outlook.com </t>
        </is>
      </c>
      <c r="K24" s="935" t="inlineStr">
        <is>
          <t>Mr</t>
        </is>
      </c>
      <c r="L24" s="1608" t="inlineStr">
        <is>
          <t>Stephen</t>
        </is>
      </c>
      <c r="M24" s="1608" t="inlineStr">
        <is>
          <t>Fitchett</t>
        </is>
      </c>
      <c r="N24" s="1428" t="inlineStr">
        <is>
          <t>60</t>
        </is>
      </c>
      <c r="O24" s="1428" t="inlineStr">
        <is>
          <t>07540269157</t>
        </is>
      </c>
      <c r="P24" s="1826" t="n"/>
      <c r="Q24" s="1826" t="n"/>
      <c r="T24" s="1826" t="n"/>
      <c r="U24" s="1826" t="n"/>
      <c r="X24" s="1826" t="n"/>
      <c r="Y24" s="1826" t="n"/>
      <c r="Z24" s="1004" t="n">
        <v>1</v>
      </c>
      <c r="AA24" s="568" t="n"/>
      <c r="AB24" s="1826" t="n"/>
      <c r="AC24" s="1826" t="n"/>
      <c r="AD24" s="1823">
        <f>SUM(P24:AC24)</f>
        <v/>
      </c>
    </row>
    <row r="25" ht="14.65" customHeight="1" s="1232">
      <c r="G25" s="511" t="n"/>
      <c r="P25" s="1826" t="n"/>
      <c r="Q25" s="1826" t="n"/>
      <c r="T25" s="1826" t="n"/>
      <c r="U25" s="1826" t="n"/>
      <c r="X25" s="1826" t="n"/>
      <c r="Y25" s="1826" t="n"/>
      <c r="Z25" s="568" t="n"/>
      <c r="AA25" s="568" t="n"/>
      <c r="AB25" s="1826" t="n"/>
      <c r="AC25" s="1826" t="n"/>
      <c r="AD25" s="1823">
        <f>SUM(P25:AC25)</f>
        <v/>
      </c>
    </row>
    <row r="26" ht="14.65" customHeight="1" s="1232">
      <c r="G26" s="511" t="n"/>
      <c r="P26" s="1827">
        <f>SUM(P4:P25)</f>
        <v/>
      </c>
      <c r="Q26" s="1827">
        <f>SUM(Q4:Q25)</f>
        <v/>
      </c>
      <c r="R26" s="1823">
        <f>SUM(R4:R25)</f>
        <v/>
      </c>
      <c r="S26" s="1823">
        <f>SUM(S4:S25)</f>
        <v/>
      </c>
      <c r="T26" s="1827">
        <f>SUM(T4:T25)</f>
        <v/>
      </c>
      <c r="U26" s="1827">
        <f>SUM(U4:U25)</f>
        <v/>
      </c>
      <c r="V26" s="1823">
        <f>SUM(V4:V25)</f>
        <v/>
      </c>
      <c r="W26" s="1823">
        <f>SUM(W4:W25)</f>
        <v/>
      </c>
      <c r="X26" s="1827">
        <f>SUM(X4:X25)</f>
        <v/>
      </c>
      <c r="Y26" s="1827">
        <f>SUM(Y4:Y25)</f>
        <v/>
      </c>
      <c r="Z26" s="568">
        <f>SUM(Z4:Z25)</f>
        <v/>
      </c>
      <c r="AA26" s="568">
        <f>SUM(AA4:AA25)</f>
        <v/>
      </c>
      <c r="AB26" s="1823">
        <f>SUM(AB4:AB25)</f>
        <v/>
      </c>
      <c r="AC26" s="1823">
        <f>SUM(AC4:AC25)</f>
        <v/>
      </c>
      <c r="AD26" s="1823" t="n"/>
    </row>
    <row r="27" ht="14.65" customHeight="1" s="1232">
      <c r="G27" s="511" t="n"/>
      <c r="H27" s="1250">
        <f>SUM(H3:H26)</f>
        <v/>
      </c>
      <c r="Z27" s="568" t="n"/>
      <c r="AA27" s="568" t="n"/>
    </row>
    <row r="28" ht="14.65" customHeight="1" s="1232">
      <c r="G28" s="511" t="n"/>
      <c r="Z28" s="568" t="n"/>
      <c r="AA28" s="568" t="n"/>
    </row>
    <row r="29" ht="14.65" customHeight="1" s="1232">
      <c r="G29" s="511" t="n"/>
      <c r="Z29" s="568" t="n"/>
      <c r="AA29" s="568" t="n"/>
    </row>
    <row r="30" ht="14.65" customHeight="1" s="1232">
      <c r="G30" s="511" t="n"/>
      <c r="Z30" s="568" t="n"/>
      <c r="AA30" s="568" t="n"/>
    </row>
    <row r="31" ht="14.65" customHeight="1" s="1232">
      <c r="P31" s="1817" t="n">
        <v>45399</v>
      </c>
      <c r="R31" s="1818" t="n">
        <v>45400</v>
      </c>
      <c r="T31" s="1817" t="n">
        <v>45401</v>
      </c>
      <c r="V31" s="1818" t="n">
        <v>45402</v>
      </c>
      <c r="X31" s="1817" t="n">
        <v>45403</v>
      </c>
      <c r="Z31" s="1818" t="n">
        <v>45404</v>
      </c>
      <c r="AB31" s="1817" t="n">
        <v>45405</v>
      </c>
    </row>
    <row r="32" ht="13.15" customHeight="1" s="1232">
      <c r="P32" s="1819" t="inlineStr">
        <is>
          <t>AM</t>
        </is>
      </c>
      <c r="Q32" s="1819" t="inlineStr">
        <is>
          <t>PM</t>
        </is>
      </c>
      <c r="R32" s="1434" t="inlineStr">
        <is>
          <t>AM</t>
        </is>
      </c>
      <c r="S32" s="1434" t="inlineStr">
        <is>
          <t>PM</t>
        </is>
      </c>
      <c r="T32" s="1819" t="inlineStr">
        <is>
          <t>AM</t>
        </is>
      </c>
      <c r="U32" s="1819" t="inlineStr">
        <is>
          <t>PM</t>
        </is>
      </c>
      <c r="V32" s="1434" t="inlineStr">
        <is>
          <t>AM</t>
        </is>
      </c>
      <c r="W32" s="1434" t="inlineStr">
        <is>
          <t>PM</t>
        </is>
      </c>
      <c r="X32" s="1819" t="inlineStr">
        <is>
          <t>AM</t>
        </is>
      </c>
      <c r="Y32" s="1819" t="inlineStr">
        <is>
          <t>PM</t>
        </is>
      </c>
      <c r="Z32" s="1434" t="inlineStr">
        <is>
          <t>AM</t>
        </is>
      </c>
      <c r="AA32" s="1434" t="inlineStr">
        <is>
          <t>PM</t>
        </is>
      </c>
      <c r="AB32" s="1819" t="inlineStr">
        <is>
          <t>AM</t>
        </is>
      </c>
      <c r="AC32" s="1819" t="inlineStr">
        <is>
          <t>PM</t>
        </is>
      </c>
    </row>
    <row r="54">
      <c r="P54" s="1826" t="n"/>
      <c r="Q54" s="1826" t="n"/>
      <c r="T54" s="1826" t="n"/>
      <c r="U54" s="1826" t="n"/>
      <c r="X54" s="1826" t="n"/>
      <c r="Y54" s="1826" t="n"/>
      <c r="Z54" s="568" t="n"/>
      <c r="AA54" s="568" t="n"/>
      <c r="AB54" s="1826" t="n"/>
      <c r="AC54" s="1826" t="n"/>
      <c r="AD54" s="1823">
        <f>SUM(P54:AC54)</f>
        <v/>
      </c>
    </row>
    <row r="55">
      <c r="P55" s="1827">
        <f>SUM(P33:P54)</f>
        <v/>
      </c>
      <c r="Q55" s="1827">
        <f>SUM(Q33:Q54)</f>
        <v/>
      </c>
      <c r="R55" s="1823">
        <f>SUM(R33:R54)</f>
        <v/>
      </c>
      <c r="S55" s="1823">
        <f>SUM(S33:S54)</f>
        <v/>
      </c>
      <c r="T55" s="1827">
        <f>SUM(T33:T54)</f>
        <v/>
      </c>
      <c r="U55" s="1827">
        <f>SUM(U33:U54)</f>
        <v/>
      </c>
      <c r="V55" s="1823">
        <f>SUM(V33:V54)</f>
        <v/>
      </c>
      <c r="W55" s="1823">
        <f>SUM(W33:W54)</f>
        <v/>
      </c>
      <c r="X55" s="1827">
        <f>SUM(X33:X54)</f>
        <v/>
      </c>
      <c r="Y55" s="1827">
        <f>SUM(Y33:Y54)</f>
        <v/>
      </c>
      <c r="Z55" s="568">
        <f>SUM(Z33:Z54)</f>
        <v/>
      </c>
      <c r="AA55" s="568">
        <f>SUM(AA33:AA54)</f>
        <v/>
      </c>
      <c r="AB55" s="1823">
        <f>SUM(AB33:AB54)</f>
        <v/>
      </c>
      <c r="AC55" s="1823">
        <f>SUM(AC33:AC54)</f>
        <v/>
      </c>
      <c r="AD55" s="1823" t="n"/>
    </row>
    <row r="65" ht="14.65" customHeight="1" s="1232">
      <c r="A65" s="1708" t="n">
        <v>45400</v>
      </c>
      <c r="B65" s="885" t="inlineStr">
        <is>
          <t>Bluebell Woodlands</t>
        </is>
      </c>
      <c r="C65" s="783" t="inlineStr">
        <is>
          <t>All Day</t>
        </is>
      </c>
      <c r="D65" s="783" t="inlineStr">
        <is>
          <t>8hrs</t>
        </is>
      </c>
      <c r="E65" s="783" t="inlineStr">
        <is>
          <t>Google</t>
        </is>
      </c>
      <c r="F65" s="1828" t="inlineStr">
        <is>
          <t>#02771</t>
        </is>
      </c>
      <c r="G65" s="785" t="n">
        <v>45391</v>
      </c>
      <c r="H65" s="1751" t="n">
        <v>150</v>
      </c>
      <c r="I65" s="1750" t="n">
        <v>0</v>
      </c>
      <c r="J65" s="549" t="inlineStr">
        <is>
          <t xml:space="preserve">kurt-saas-fee@gmx.com </t>
        </is>
      </c>
      <c r="K65" s="1042" t="inlineStr">
        <is>
          <t>Mr</t>
        </is>
      </c>
      <c r="L65" s="1829" t="inlineStr">
        <is>
          <t>Kurt</t>
        </is>
      </c>
      <c r="M65" s="1829" t="inlineStr">
        <is>
          <t>Mueller</t>
        </is>
      </c>
      <c r="N65" s="794" t="inlineStr">
        <is>
          <t>69</t>
        </is>
      </c>
      <c r="O65" s="794" t="inlineStr">
        <is>
          <t>07944717113</t>
        </is>
      </c>
      <c r="P65" s="1038" t="n"/>
      <c r="Q65" s="1038" t="n"/>
      <c r="R65" s="568" t="n">
        <v>1</v>
      </c>
      <c r="S65" s="568" t="n">
        <v>1</v>
      </c>
      <c r="T65" s="1038" t="n"/>
      <c r="U65" s="1038" t="n"/>
      <c r="V65" s="568" t="n"/>
      <c r="W65" s="568" t="n"/>
      <c r="X65" s="1038" t="n"/>
      <c r="Y65" s="1038" t="n"/>
      <c r="Z65" s="568" t="n"/>
      <c r="AA65" s="568" t="n"/>
      <c r="AB65" s="1038" t="n"/>
      <c r="AC65" s="1038" t="n"/>
      <c r="AD65" s="1823" t="n"/>
    </row>
    <row r="66" ht="14.65" customHeight="1" s="1232">
      <c r="A66" s="1708" t="n">
        <v>45400</v>
      </c>
      <c r="B66" s="783" t="inlineStr">
        <is>
          <t>Bluebell Woodlands</t>
        </is>
      </c>
      <c r="C66" s="783" t="inlineStr">
        <is>
          <t>AM</t>
        </is>
      </c>
      <c r="D66" s="783" t="inlineStr">
        <is>
          <t>4hrs</t>
        </is>
      </c>
      <c r="E66" s="783" t="inlineStr">
        <is>
          <t>Into The Blue</t>
        </is>
      </c>
      <c r="F66" s="1750" t="n"/>
      <c r="G66" s="785" t="n">
        <v>45362</v>
      </c>
      <c r="H66" s="1751" t="n">
        <v>79.2</v>
      </c>
      <c r="I66" s="1750" t="n">
        <v>0</v>
      </c>
      <c r="J66" s="549" t="inlineStr">
        <is>
          <t>anniemitchell2@yahoo.co.uk</t>
        </is>
      </c>
      <c r="K66" s="1042" t="inlineStr">
        <is>
          <t>Ms</t>
        </is>
      </c>
      <c r="L66" s="1829" t="inlineStr">
        <is>
          <t>Annie</t>
        </is>
      </c>
      <c r="M66" s="1829" t="inlineStr">
        <is>
          <t>Mitchell</t>
        </is>
      </c>
      <c r="N66" s="551" t="n"/>
      <c r="O66" s="1604" t="inlineStr">
        <is>
          <t>07866273335</t>
        </is>
      </c>
      <c r="P66" s="1038" t="n"/>
      <c r="Q66" s="1038" t="n"/>
      <c r="R66" s="568" t="n">
        <v>1</v>
      </c>
      <c r="S66" s="568" t="n"/>
      <c r="T66" s="1038" t="n">
        <v>1</v>
      </c>
      <c r="U66" s="1038" t="n"/>
      <c r="V66" s="568" t="n">
        <v>1</v>
      </c>
      <c r="W66" s="568" t="n"/>
      <c r="X66" s="1038" t="n">
        <v>1</v>
      </c>
      <c r="Y66" s="1038" t="n"/>
      <c r="Z66" s="568" t="n">
        <v>1</v>
      </c>
      <c r="AA66" s="568" t="n"/>
      <c r="AB66" s="1038" t="n">
        <v>1</v>
      </c>
      <c r="AC66" s="1038" t="n"/>
      <c r="AD66" s="1823">
        <f>SUM(P66:AC66)</f>
        <v/>
      </c>
    </row>
    <row r="67" ht="14.65" customHeight="1" s="1232">
      <c r="A67" s="1708" t="n">
        <v>45400</v>
      </c>
      <c r="B67" s="783" t="inlineStr">
        <is>
          <t>Bluebell Woodlands</t>
        </is>
      </c>
      <c r="C67" s="783" t="inlineStr">
        <is>
          <t>AM</t>
        </is>
      </c>
      <c r="D67" s="783" t="inlineStr">
        <is>
          <t>4hrs</t>
        </is>
      </c>
      <c r="E67" s="783" t="inlineStr">
        <is>
          <t>Into The Blue</t>
        </is>
      </c>
      <c r="F67" s="1828" t="inlineStr">
        <is>
          <t>2310300859</t>
        </is>
      </c>
      <c r="G67" s="785" t="n">
        <v>45361</v>
      </c>
      <c r="H67" s="1751" t="n">
        <v>100</v>
      </c>
      <c r="I67" s="1750" t="n">
        <v>0</v>
      </c>
      <c r="J67" s="549" t="inlineStr">
        <is>
          <t>cathykibble@googlemail.com</t>
        </is>
      </c>
      <c r="K67" s="1042" t="inlineStr">
        <is>
          <t>Ms</t>
        </is>
      </c>
      <c r="L67" s="1829" t="inlineStr">
        <is>
          <t>Kathy</t>
        </is>
      </c>
      <c r="M67" s="1829" t="inlineStr">
        <is>
          <t>Kibble</t>
        </is>
      </c>
      <c r="N67" s="794" t="n"/>
      <c r="O67" s="794" t="inlineStr">
        <is>
          <t>07538 640941</t>
        </is>
      </c>
      <c r="P67" s="1038" t="n"/>
      <c r="Q67" s="1038" t="n"/>
      <c r="R67" s="568" t="n">
        <v>1</v>
      </c>
      <c r="S67" s="568" t="n">
        <v>1</v>
      </c>
      <c r="T67" s="1038" t="n">
        <v>1</v>
      </c>
      <c r="U67" s="1038" t="n">
        <v>1</v>
      </c>
      <c r="V67" s="568" t="n"/>
      <c r="W67" s="568" t="n"/>
      <c r="X67" s="1038" t="n"/>
      <c r="Y67" s="1038" t="n"/>
      <c r="Z67" s="568" t="n"/>
      <c r="AA67" s="568" t="n"/>
      <c r="AB67" s="1038" t="n"/>
      <c r="AC67" s="1038" t="n"/>
      <c r="AD67" s="1823">
        <f>SUM(P67:AC67)</f>
        <v/>
      </c>
    </row>
    <row r="68" ht="14.65" customHeight="1" s="1232">
      <c r="A68" s="1708" t="n">
        <v>45400</v>
      </c>
      <c r="B68" s="885" t="inlineStr">
        <is>
          <t>Bluebell Woodlands</t>
        </is>
      </c>
      <c r="C68" s="783" t="inlineStr">
        <is>
          <t>AM</t>
        </is>
      </c>
      <c r="D68" s="783" t="inlineStr">
        <is>
          <t>4hrs</t>
        </is>
      </c>
      <c r="E68" s="783" t="inlineStr">
        <is>
          <t>Existing</t>
        </is>
      </c>
      <c r="F68" s="1828" t="inlineStr">
        <is>
          <t>#02514</t>
        </is>
      </c>
      <c r="G68" s="785" t="n">
        <v>45077</v>
      </c>
      <c r="H68" s="1751" t="n">
        <v>125</v>
      </c>
      <c r="I68" s="1750" t="n">
        <v>0</v>
      </c>
      <c r="J68" s="549" t="inlineStr">
        <is>
          <t xml:space="preserve">dave@davidproctor.com </t>
        </is>
      </c>
      <c r="K68" s="1042" t="inlineStr">
        <is>
          <t>Mr</t>
        </is>
      </c>
      <c r="L68" s="1829" t="inlineStr">
        <is>
          <t xml:space="preserve">David </t>
        </is>
      </c>
      <c r="M68" s="1829" t="inlineStr">
        <is>
          <t>Proctor</t>
        </is>
      </c>
      <c r="N68" s="551" t="inlineStr">
        <is>
          <t>59</t>
        </is>
      </c>
      <c r="O68" s="1604" t="inlineStr">
        <is>
          <t>07515962930</t>
        </is>
      </c>
      <c r="P68" s="1038" t="n">
        <v>1</v>
      </c>
      <c r="Q68" s="1038" t="n"/>
      <c r="R68" s="568" t="n">
        <v>1</v>
      </c>
      <c r="S68" s="568" t="n">
        <v>1</v>
      </c>
      <c r="T68" s="1038" t="n">
        <v>1</v>
      </c>
      <c r="U68" s="1038" t="n">
        <v>1</v>
      </c>
      <c r="V68" s="568" t="n"/>
      <c r="W68" s="568" t="n"/>
      <c r="X68" s="1038" t="n"/>
      <c r="Y68" s="1038" t="n"/>
      <c r="Z68" s="568" t="n"/>
      <c r="AA68" s="568" t="n"/>
      <c r="AB68" s="1038" t="n"/>
      <c r="AC68" s="1038" t="n"/>
      <c r="AD68" s="1823">
        <f>SUM(P68:AC68)</f>
        <v/>
      </c>
    </row>
    <row r="69" ht="14.65" customHeight="1" s="1232">
      <c r="A69" s="1708" t="n">
        <v>45400</v>
      </c>
      <c r="B69" s="885" t="inlineStr">
        <is>
          <t>Bluebell Woodlands</t>
        </is>
      </c>
      <c r="C69" s="783" t="inlineStr">
        <is>
          <t>PM</t>
        </is>
      </c>
      <c r="D69" s="783" t="inlineStr">
        <is>
          <t>4hrs</t>
        </is>
      </c>
      <c r="E69" s="783" t="inlineStr">
        <is>
          <t>Google</t>
        </is>
      </c>
      <c r="F69" s="1828" t="inlineStr">
        <is>
          <t>#02511</t>
        </is>
      </c>
      <c r="G69" s="511" t="n">
        <v>45075</v>
      </c>
      <c r="H69" s="1751" t="n">
        <v>99</v>
      </c>
      <c r="I69" s="1750" t="n">
        <v>0</v>
      </c>
      <c r="J69" s="549" t="inlineStr">
        <is>
          <t>drsanjay.kumar@btinternet.com</t>
        </is>
      </c>
      <c r="K69" s="1042" t="inlineStr">
        <is>
          <t>Dr</t>
        </is>
      </c>
      <c r="L69" s="1829" t="inlineStr">
        <is>
          <t>Sanjay</t>
        </is>
      </c>
      <c r="M69" s="1829" t="inlineStr">
        <is>
          <t>Kumar</t>
        </is>
      </c>
      <c r="N69" s="551" t="inlineStr">
        <is>
          <t>57</t>
        </is>
      </c>
      <c r="O69" s="1604" t="inlineStr">
        <is>
          <t>07980618814</t>
        </is>
      </c>
      <c r="P69" s="1038" t="n"/>
      <c r="Q69" s="1038" t="n"/>
      <c r="R69" s="568" t="n"/>
      <c r="S69" s="1004" t="n">
        <v>1</v>
      </c>
      <c r="T69" s="1038" t="n"/>
      <c r="U69" s="1038" t="n"/>
      <c r="V69" s="568" t="n"/>
      <c r="W69" s="568" t="n"/>
      <c r="X69" s="1038" t="n"/>
      <c r="Y69" s="1038" t="n"/>
      <c r="Z69" s="568" t="n"/>
      <c r="AA69" s="568" t="n"/>
      <c r="AB69" s="1038" t="n"/>
      <c r="AC69" s="1038" t="n"/>
      <c r="AD69" s="1823">
        <f>SUM(P69:AC69)</f>
        <v/>
      </c>
    </row>
    <row r="70" ht="14.65" customHeight="1" s="1232">
      <c r="A70" s="1708" t="n">
        <v>45400</v>
      </c>
      <c r="B70" s="783" t="inlineStr">
        <is>
          <t>Bluebell Woodlands</t>
        </is>
      </c>
      <c r="C70" s="783" t="inlineStr">
        <is>
          <t>PM</t>
        </is>
      </c>
      <c r="D70" s="783" t="inlineStr">
        <is>
          <t>4hrs</t>
        </is>
      </c>
      <c r="E70" s="783" t="inlineStr">
        <is>
          <t>Existing</t>
        </is>
      </c>
      <c r="F70" s="1828" t="inlineStr">
        <is>
          <t>#02645</t>
        </is>
      </c>
      <c r="G70" s="785" t="n">
        <v>45234</v>
      </c>
      <c r="H70" s="1751" t="n">
        <v>99</v>
      </c>
      <c r="I70" s="1750" t="n">
        <v>0</v>
      </c>
      <c r="J70" s="549" t="inlineStr">
        <is>
          <t xml:space="preserve">ambra.minoli@protonmail.com </t>
        </is>
      </c>
      <c r="K70" s="1042" t="inlineStr">
        <is>
          <t>Ms</t>
        </is>
      </c>
      <c r="L70" s="1829" t="inlineStr">
        <is>
          <t xml:space="preserve">Ambra </t>
        </is>
      </c>
      <c r="M70" s="1829" t="inlineStr">
        <is>
          <t>Minoli</t>
        </is>
      </c>
      <c r="N70" s="794" t="inlineStr">
        <is>
          <t>29</t>
        </is>
      </c>
      <c r="O70" s="794" t="inlineStr">
        <is>
          <t>07449843109</t>
        </is>
      </c>
      <c r="P70" s="1038" t="n"/>
      <c r="Q70" s="1038" t="n"/>
      <c r="R70" s="568" t="n"/>
      <c r="S70" s="568" t="n">
        <v>1</v>
      </c>
      <c r="T70" s="1038" t="n"/>
      <c r="U70" s="1038" t="n">
        <v>1</v>
      </c>
      <c r="V70" s="568" t="n"/>
      <c r="W70" s="568" t="n">
        <v>1</v>
      </c>
      <c r="X70" s="1038" t="n"/>
      <c r="Y70" s="1038" t="n">
        <v>1</v>
      </c>
      <c r="Z70" s="568" t="n"/>
      <c r="AA70" s="568" t="n"/>
      <c r="AB70" s="1038" t="n"/>
      <c r="AC70" s="1038" t="n">
        <v>1</v>
      </c>
      <c r="AD70" s="1823">
        <f>SUM(P70:AC70)</f>
        <v/>
      </c>
    </row>
    <row r="71" ht="14.65" customHeight="1" s="1232">
      <c r="A71" s="1708" t="n">
        <v>45400</v>
      </c>
      <c r="B71" s="885" t="inlineStr">
        <is>
          <t>Bluebell Woodlands</t>
        </is>
      </c>
      <c r="C71" s="783" t="inlineStr">
        <is>
          <t>PM</t>
        </is>
      </c>
      <c r="D71" s="783" t="inlineStr">
        <is>
          <t>4hrs</t>
        </is>
      </c>
      <c r="E71" s="783" t="inlineStr">
        <is>
          <t>Google</t>
        </is>
      </c>
      <c r="F71" s="1828" t="inlineStr">
        <is>
          <t>#02770</t>
        </is>
      </c>
      <c r="G71" s="785" t="n">
        <v>45390</v>
      </c>
      <c r="H71" s="1751" t="n">
        <v>99</v>
      </c>
      <c r="I71" s="1750" t="n">
        <v>0</v>
      </c>
      <c r="J71" s="549" t="inlineStr">
        <is>
          <t xml:space="preserve">willowad1963@yahoo.co.uk </t>
        </is>
      </c>
      <c r="K71" s="1042" t="inlineStr">
        <is>
          <t>Mr</t>
        </is>
      </c>
      <c r="L71" s="1829" t="inlineStr">
        <is>
          <t>Adrian</t>
        </is>
      </c>
      <c r="M71" s="1829" t="inlineStr">
        <is>
          <t>Thomas</t>
        </is>
      </c>
      <c r="N71" s="794" t="inlineStr">
        <is>
          <t>65</t>
        </is>
      </c>
      <c r="O71" s="794" t="inlineStr">
        <is>
          <t>07891213763</t>
        </is>
      </c>
      <c r="P71" s="1038" t="n"/>
      <c r="Q71" s="1038" t="n"/>
      <c r="R71" s="568" t="n"/>
      <c r="S71" s="568" t="n">
        <v>1</v>
      </c>
      <c r="T71" s="1038" t="n"/>
      <c r="U71" s="1038" t="n"/>
      <c r="V71" s="568" t="n"/>
      <c r="W71" s="568" t="n"/>
      <c r="X71" s="1038" t="n"/>
      <c r="Y71" s="1038" t="n"/>
      <c r="Z71" s="568" t="n"/>
      <c r="AA71" s="568" t="n"/>
      <c r="AB71" s="1038" t="n"/>
      <c r="AC71" s="1038" t="n"/>
      <c r="AD71" s="1823">
        <f>SUM(P71:AC71)</f>
        <v/>
      </c>
    </row>
    <row r="72" ht="14.65" customHeight="1" s="1232">
      <c r="A72" s="1708" t="n"/>
      <c r="B72" s="783" t="n"/>
      <c r="C72" s="783" t="n"/>
      <c r="D72" s="783" t="n"/>
      <c r="E72" s="783" t="n"/>
      <c r="F72" s="1828" t="n"/>
      <c r="G72" s="785" t="n"/>
      <c r="H72" s="1751" t="n"/>
      <c r="I72" s="1750" t="n"/>
      <c r="J72" s="549" t="n"/>
      <c r="K72" s="1042" t="n"/>
      <c r="L72" s="1829" t="n"/>
      <c r="M72" s="1829" t="n"/>
      <c r="N72" s="794" t="n"/>
      <c r="O72" s="794" t="n"/>
      <c r="P72" s="1038" t="n"/>
      <c r="Q72" s="1038" t="n"/>
      <c r="R72" s="568" t="n"/>
      <c r="S72" s="568" t="n"/>
      <c r="T72" s="1038" t="n"/>
      <c r="U72" s="1038" t="n"/>
      <c r="V72" s="568" t="n"/>
      <c r="W72" s="568" t="n"/>
      <c r="X72" s="1038" t="n"/>
      <c r="Y72" s="1038" t="n"/>
      <c r="Z72" s="568" t="n"/>
      <c r="AA72" s="568" t="n"/>
      <c r="AB72" s="1038" t="n"/>
      <c r="AC72" s="1038" t="n"/>
      <c r="AD72" s="1823" t="n"/>
    </row>
    <row r="73" ht="14.65" customHeight="1" s="1232">
      <c r="A73" s="1708" t="n"/>
      <c r="B73" s="783" t="n"/>
      <c r="C73" s="783" t="n"/>
      <c r="D73" s="783" t="n"/>
      <c r="E73" s="783" t="n"/>
      <c r="F73" s="1828" t="n"/>
      <c r="G73" s="785" t="n"/>
      <c r="H73" s="1751" t="n"/>
      <c r="I73" s="1750" t="n"/>
      <c r="J73" s="549" t="n"/>
      <c r="K73" s="1042" t="n"/>
      <c r="L73" s="1829" t="n"/>
      <c r="M73" s="1829" t="n"/>
      <c r="N73" s="794" t="n"/>
      <c r="O73" s="794" t="n"/>
      <c r="P73" s="1038" t="n"/>
      <c r="Q73" s="1038" t="n"/>
      <c r="R73" s="568" t="n"/>
      <c r="S73" s="568" t="n"/>
      <c r="T73" s="1038" t="n"/>
      <c r="U73" s="1038" t="n"/>
      <c r="V73" s="568" t="n"/>
      <c r="W73" s="568" t="n"/>
      <c r="X73" s="1038" t="n"/>
      <c r="Y73" s="1038" t="n"/>
      <c r="Z73" s="568" t="n"/>
      <c r="AA73" s="568" t="n"/>
      <c r="AB73" s="1038" t="n"/>
      <c r="AC73" s="1038" t="n"/>
      <c r="AD73" s="1823" t="n"/>
    </row>
    <row r="74" ht="14.65" customHeight="1" s="1232">
      <c r="A74" s="1708" t="n">
        <v>45402</v>
      </c>
      <c r="B74" s="783" t="inlineStr">
        <is>
          <t>Bluebell Woodlands</t>
        </is>
      </c>
      <c r="C74" s="783" t="inlineStr">
        <is>
          <t>AM</t>
        </is>
      </c>
      <c r="D74" s="783" t="inlineStr">
        <is>
          <t>4hrs</t>
        </is>
      </c>
      <c r="E74" s="783" t="inlineStr">
        <is>
          <t>Google</t>
        </is>
      </c>
      <c r="F74" s="1828" t="inlineStr">
        <is>
          <t>#02719</t>
        </is>
      </c>
      <c r="G74" s="785" t="n">
        <v>45331</v>
      </c>
      <c r="H74" s="1751" t="n">
        <v>99</v>
      </c>
      <c r="I74" s="1750" t="n">
        <v>0</v>
      </c>
      <c r="J74" s="549" t="inlineStr">
        <is>
          <t xml:space="preserve">photo@the-hut.net </t>
        </is>
      </c>
      <c r="K74" s="1042" t="inlineStr">
        <is>
          <t>Mr</t>
        </is>
      </c>
      <c r="L74" s="1829" t="inlineStr">
        <is>
          <t>David</t>
        </is>
      </c>
      <c r="M74" s="1829" t="inlineStr">
        <is>
          <t>Orchard</t>
        </is>
      </c>
      <c r="N74" s="1707" t="inlineStr">
        <is>
          <t>60</t>
        </is>
      </c>
      <c r="O74" s="1758" t="inlineStr">
        <is>
          <t>07779696602</t>
        </is>
      </c>
      <c r="P74" s="1038" t="n"/>
      <c r="Q74" s="1038" t="n"/>
      <c r="R74" s="568" t="n"/>
      <c r="S74" s="568" t="n"/>
      <c r="T74" s="1038" t="n"/>
      <c r="U74" s="1038" t="n"/>
      <c r="V74" s="1004" t="n">
        <v>1</v>
      </c>
      <c r="W74" s="568" t="n"/>
      <c r="X74" s="1038" t="n"/>
      <c r="Y74" s="1038" t="n"/>
      <c r="Z74" s="568" t="n"/>
      <c r="AA74" s="568" t="n"/>
      <c r="AB74" s="1038" t="n"/>
      <c r="AC74" s="1038" t="n"/>
      <c r="AD74" s="1823">
        <f>SUM(P74:AC74)</f>
        <v/>
      </c>
    </row>
    <row r="75" ht="14.65" customHeight="1" s="1232">
      <c r="A75" s="1708" t="n">
        <v>45402</v>
      </c>
      <c r="B75" s="783" t="inlineStr">
        <is>
          <t>Bluebell Woodlands</t>
        </is>
      </c>
      <c r="C75" s="783" t="inlineStr">
        <is>
          <t>AM</t>
        </is>
      </c>
      <c r="D75" s="783" t="inlineStr">
        <is>
          <t>4hrs</t>
        </is>
      </c>
      <c r="E75" s="783" t="inlineStr">
        <is>
          <t>Google</t>
        </is>
      </c>
      <c r="F75" s="1828" t="inlineStr">
        <is>
          <t>#02721</t>
        </is>
      </c>
      <c r="G75" s="785" t="n">
        <v>45334</v>
      </c>
      <c r="H75" s="1751" t="n">
        <v>99</v>
      </c>
      <c r="I75" s="1750" t="n">
        <v>0</v>
      </c>
      <c r="J75" s="549" t="inlineStr">
        <is>
          <t xml:space="preserve">the_dward@hotmail.com </t>
        </is>
      </c>
      <c r="K75" s="1042" t="inlineStr">
        <is>
          <t>Mr</t>
        </is>
      </c>
      <c r="L75" s="1829" t="inlineStr">
        <is>
          <t xml:space="preserve">Edd </t>
        </is>
      </c>
      <c r="M75" s="1829" t="inlineStr">
        <is>
          <t>Berrill</t>
        </is>
      </c>
      <c r="N75" s="1707" t="inlineStr">
        <is>
          <t>40</t>
        </is>
      </c>
      <c r="O75" s="1758" t="inlineStr">
        <is>
          <t>07772987583</t>
        </is>
      </c>
      <c r="P75" s="1038" t="n"/>
      <c r="Q75" s="1038" t="n"/>
      <c r="R75" s="568" t="n"/>
      <c r="S75" s="568" t="n"/>
      <c r="T75" s="1038" t="n"/>
      <c r="U75" s="1038" t="n"/>
      <c r="V75" s="568" t="n">
        <v>1</v>
      </c>
      <c r="W75" s="568" t="n"/>
      <c r="X75" s="1038" t="n">
        <v>1</v>
      </c>
      <c r="Y75" s="1038" t="n">
        <v>1</v>
      </c>
      <c r="Z75" s="568" t="n"/>
      <c r="AA75" s="568" t="n"/>
      <c r="AB75" s="1038" t="n"/>
      <c r="AC75" s="1038" t="n"/>
      <c r="AD75" s="1823">
        <f>SUM(P75:AC75)</f>
        <v/>
      </c>
    </row>
    <row r="76" ht="14.65" customHeight="1" s="1232">
      <c r="A76" s="1708" t="n">
        <v>45402</v>
      </c>
      <c r="B76" s="783" t="inlineStr">
        <is>
          <t>Bluebell Woodlands</t>
        </is>
      </c>
      <c r="C76" s="783" t="inlineStr">
        <is>
          <t>AM</t>
        </is>
      </c>
      <c r="D76" s="783" t="inlineStr">
        <is>
          <t>4hrs</t>
        </is>
      </c>
      <c r="E76" s="783" t="inlineStr">
        <is>
          <t>Existing</t>
        </is>
      </c>
      <c r="F76" s="1828" t="inlineStr">
        <is>
          <t>#02765</t>
        </is>
      </c>
      <c r="G76" s="785" t="n">
        <v>45386</v>
      </c>
      <c r="H76" s="1751" t="n">
        <v>99</v>
      </c>
      <c r="I76" s="1750" t="n">
        <v>0</v>
      </c>
      <c r="J76" s="549" t="inlineStr">
        <is>
          <t xml:space="preserve">mikejaye@btinternet.com </t>
        </is>
      </c>
      <c r="K76" s="1042" t="inlineStr">
        <is>
          <t>Mr</t>
        </is>
      </c>
      <c r="L76" s="1829" t="inlineStr">
        <is>
          <t>Michael</t>
        </is>
      </c>
      <c r="M76" s="1829" t="inlineStr">
        <is>
          <t>Jaye</t>
        </is>
      </c>
      <c r="N76" s="794" t="inlineStr">
        <is>
          <t>49</t>
        </is>
      </c>
      <c r="O76" s="794" t="inlineStr">
        <is>
          <t xml:space="preserve">07841987147 </t>
        </is>
      </c>
      <c r="P76" s="1038" t="n"/>
      <c r="Q76" s="1038" t="n"/>
      <c r="R76" s="568" t="n"/>
      <c r="S76" s="568" t="n"/>
      <c r="T76" s="1038" t="n"/>
      <c r="U76" s="1038" t="n"/>
      <c r="V76" s="568" t="n">
        <v>1</v>
      </c>
      <c r="W76" s="568" t="n"/>
      <c r="X76" s="1038" t="n">
        <v>1</v>
      </c>
      <c r="Y76" s="1038" t="n"/>
      <c r="Z76" s="568" t="n"/>
      <c r="AA76" s="568" t="n"/>
      <c r="AB76" s="1038" t="n"/>
      <c r="AC76" s="1038" t="n"/>
      <c r="AD76" s="1823">
        <f>SUM(P76:AC76)</f>
        <v/>
      </c>
    </row>
    <row r="77" ht="14.65" customHeight="1" s="1232">
      <c r="A77" s="1708" t="n">
        <v>45413</v>
      </c>
      <c r="B77" s="783" t="inlineStr">
        <is>
          <t>Bluebell Woodlands</t>
        </is>
      </c>
      <c r="C77" s="783" t="inlineStr">
        <is>
          <t>AM</t>
        </is>
      </c>
      <c r="D77" s="783" t="inlineStr">
        <is>
          <t>4hrs</t>
        </is>
      </c>
      <c r="E77" s="783" t="inlineStr">
        <is>
          <t>Into The Blue</t>
        </is>
      </c>
      <c r="F77" s="1750" t="n"/>
      <c r="G77" s="785" t="n">
        <v>45313</v>
      </c>
      <c r="H77" s="1751" t="n">
        <v>79.2</v>
      </c>
      <c r="I77" s="1750" t="n">
        <v>0</v>
      </c>
      <c r="J77" s="549" t="inlineStr">
        <is>
          <t>Stephen.frost01@gmail.com</t>
        </is>
      </c>
      <c r="K77" s="1042" t="inlineStr">
        <is>
          <t>Mr</t>
        </is>
      </c>
      <c r="L77" s="1829" t="inlineStr">
        <is>
          <t>Stephen</t>
        </is>
      </c>
      <c r="M77" s="1829" t="inlineStr">
        <is>
          <t>Frost</t>
        </is>
      </c>
      <c r="N77" s="551" t="n"/>
      <c r="O77" s="1604" t="inlineStr">
        <is>
          <t>07760614013</t>
        </is>
      </c>
      <c r="P77" s="1038" t="n"/>
      <c r="Q77" s="1038" t="n"/>
      <c r="R77" s="568" t="n"/>
      <c r="S77" s="568" t="n"/>
      <c r="T77" s="1038" t="n"/>
      <c r="U77" s="1038" t="n"/>
      <c r="V77" s="568" t="n"/>
      <c r="W77" s="568" t="n"/>
      <c r="X77" s="1038" t="n"/>
      <c r="Y77" s="1038" t="n"/>
      <c r="Z77" s="568" t="n"/>
      <c r="AA77" s="568" t="n"/>
      <c r="AB77" s="1038" t="n"/>
      <c r="AC77" s="1038" t="n"/>
      <c r="AD77" s="1823">
        <f>SUM(P77:AC77)</f>
        <v/>
      </c>
    </row>
    <row r="78" ht="14.65" customHeight="1" s="1232">
      <c r="A78" s="1708" t="n"/>
      <c r="B78" s="783" t="n"/>
      <c r="C78" s="783" t="n"/>
      <c r="D78" s="783" t="n"/>
      <c r="E78" s="783" t="n"/>
      <c r="F78" s="1828" t="n"/>
      <c r="G78" s="785" t="n"/>
      <c r="H78" s="1751" t="n"/>
      <c r="I78" s="1750" t="n"/>
      <c r="J78" s="549" t="n"/>
      <c r="K78" s="1042" t="n"/>
      <c r="L78" s="1829" t="n"/>
      <c r="M78" s="1829" t="n"/>
      <c r="N78" s="551" t="n"/>
      <c r="O78" s="1604" t="n"/>
      <c r="P78" s="1038" t="n"/>
      <c r="Q78" s="1038" t="n"/>
      <c r="R78" s="568" t="n"/>
      <c r="S78" s="568" t="n"/>
      <c r="T78" s="1038" t="n"/>
      <c r="U78" s="1038" t="n"/>
      <c r="V78" s="568" t="n"/>
      <c r="W78" s="568" t="n"/>
      <c r="X78" s="1038" t="n"/>
      <c r="Y78" s="1038" t="n"/>
      <c r="Z78" s="568" t="n"/>
      <c r="AA78" s="568" t="n"/>
      <c r="AB78" s="1038" t="n"/>
      <c r="AC78" s="1038" t="n"/>
      <c r="AD78" s="1823" t="n"/>
    </row>
    <row r="79" ht="14.65" customHeight="1" s="1232">
      <c r="D79" s="783" t="n"/>
      <c r="E79" s="783" t="n"/>
      <c r="F79" s="1828" t="n"/>
      <c r="J79" s="549" t="n"/>
      <c r="K79" s="1042" t="n"/>
      <c r="L79" s="1829" t="n"/>
      <c r="M79" s="1829" t="n"/>
    </row>
    <row r="80" ht="14.65" customHeight="1" s="1232">
      <c r="A80" s="1708" t="n">
        <v>45403</v>
      </c>
      <c r="B80" s="783" t="inlineStr">
        <is>
          <t>Bluebell Woodlands</t>
        </is>
      </c>
      <c r="C80" s="783" t="inlineStr">
        <is>
          <t>PM</t>
        </is>
      </c>
      <c r="D80" s="783" t="inlineStr">
        <is>
          <t>4hrs</t>
        </is>
      </c>
      <c r="E80" s="783" t="inlineStr">
        <is>
          <t>Existing</t>
        </is>
      </c>
      <c r="F80" s="1828" t="inlineStr">
        <is>
          <t>#02729</t>
        </is>
      </c>
      <c r="G80" s="785" t="n">
        <v>45344</v>
      </c>
      <c r="H80" s="1751" t="n">
        <v>99</v>
      </c>
      <c r="I80" s="1750" t="n">
        <v>0</v>
      </c>
      <c r="J80" s="549" t="inlineStr">
        <is>
          <t xml:space="preserve">ispan.emoke@gmail.com </t>
        </is>
      </c>
      <c r="K80" s="1042" t="inlineStr">
        <is>
          <t>Mrs</t>
        </is>
      </c>
      <c r="L80" s="1829" t="inlineStr">
        <is>
          <t xml:space="preserve">Emoke </t>
        </is>
      </c>
      <c r="M80" s="1829" t="inlineStr">
        <is>
          <t>Ispan</t>
        </is>
      </c>
      <c r="N80" s="551" t="inlineStr">
        <is>
          <t>33</t>
        </is>
      </c>
      <c r="O80" s="1604" t="inlineStr">
        <is>
          <t>07944241202</t>
        </is>
      </c>
      <c r="P80" s="1038" t="n"/>
      <c r="Q80" s="1038" t="n"/>
      <c r="R80" s="568" t="n"/>
      <c r="S80" s="568" t="n"/>
      <c r="T80" s="1038" t="n"/>
      <c r="U80" s="1038" t="n"/>
      <c r="V80" s="568" t="n"/>
      <c r="W80" s="568" t="n"/>
      <c r="X80" s="1038" t="n"/>
      <c r="Y80" s="1040" t="n">
        <v>1</v>
      </c>
      <c r="Z80" s="568" t="n"/>
      <c r="AA80" s="568" t="n"/>
      <c r="AB80" s="1038" t="n"/>
      <c r="AC80" s="1038" t="n"/>
      <c r="AD80" s="1823">
        <f>SUM(P80:AC80)</f>
        <v/>
      </c>
    </row>
    <row r="81" ht="14.65" customHeight="1" s="1232">
      <c r="A81" s="1708" t="n">
        <v>45403</v>
      </c>
      <c r="B81" s="783" t="inlineStr">
        <is>
          <t>Bluebell Woodlands</t>
        </is>
      </c>
      <c r="C81" s="783" t="inlineStr">
        <is>
          <t>PM</t>
        </is>
      </c>
      <c r="D81" s="783" t="inlineStr">
        <is>
          <t>4hrs</t>
        </is>
      </c>
      <c r="E81" s="783" t="inlineStr">
        <is>
          <t>Google</t>
        </is>
      </c>
      <c r="F81" s="1828" t="inlineStr">
        <is>
          <t>#02517</t>
        </is>
      </c>
      <c r="G81" s="785" t="n">
        <v>45082</v>
      </c>
      <c r="H81" s="1751" t="n">
        <v>99</v>
      </c>
      <c r="I81" s="1750" t="n">
        <v>0</v>
      </c>
      <c r="J81" s="549" t="inlineStr">
        <is>
          <t xml:space="preserve">kelricho2000@yahoo.co.uk </t>
        </is>
      </c>
      <c r="K81" s="1042" t="inlineStr">
        <is>
          <t>Ms</t>
        </is>
      </c>
      <c r="L81" s="1829" t="inlineStr">
        <is>
          <t>Kelly</t>
        </is>
      </c>
      <c r="M81" s="1829" t="inlineStr">
        <is>
          <t>Richardson</t>
        </is>
      </c>
      <c r="N81" s="794" t="inlineStr">
        <is>
          <t>44</t>
        </is>
      </c>
      <c r="O81" s="794" t="inlineStr">
        <is>
          <t>07854740468</t>
        </is>
      </c>
      <c r="P81" s="1038" t="n"/>
      <c r="Q81" s="1038" t="n"/>
      <c r="R81" s="568" t="n"/>
      <c r="S81" s="568" t="n"/>
      <c r="T81" s="1038" t="n"/>
      <c r="U81" s="1038" t="n"/>
      <c r="V81" s="568" t="n"/>
      <c r="W81" s="568" t="n"/>
      <c r="X81" s="1038" t="n"/>
      <c r="Y81" s="1040" t="n">
        <v>1</v>
      </c>
      <c r="Z81" s="568" t="n"/>
      <c r="AA81" s="568" t="n"/>
      <c r="AB81" s="1038" t="n"/>
      <c r="AC81" s="1038" t="n"/>
      <c r="AD81" s="1823">
        <f>SUM(P81:AC81)</f>
        <v/>
      </c>
    </row>
    <row r="82" ht="14.65" customHeight="1" s="1232">
      <c r="A82" s="1708" t="n">
        <v>45403</v>
      </c>
      <c r="B82" s="885" t="inlineStr">
        <is>
          <t>Bluebell Woodlands</t>
        </is>
      </c>
      <c r="C82" s="783" t="inlineStr">
        <is>
          <t>PM</t>
        </is>
      </c>
      <c r="D82" s="783" t="inlineStr">
        <is>
          <t>4hrs</t>
        </is>
      </c>
      <c r="E82" s="783" t="inlineStr">
        <is>
          <t>Google</t>
        </is>
      </c>
      <c r="F82" s="1828" t="inlineStr">
        <is>
          <t>#02678</t>
        </is>
      </c>
      <c r="G82" s="511" t="n">
        <v>45282</v>
      </c>
      <c r="H82" s="1696" t="n">
        <v>60</v>
      </c>
      <c r="I82" s="1697" t="n">
        <v>0</v>
      </c>
      <c r="J82" s="549" t="inlineStr">
        <is>
          <t xml:space="preserve">lcs3878@btinternet.com </t>
        </is>
      </c>
      <c r="K82" s="1042" t="inlineStr">
        <is>
          <t>Ms</t>
        </is>
      </c>
      <c r="L82" s="1829" t="inlineStr">
        <is>
          <t>Laura</t>
        </is>
      </c>
      <c r="M82" s="1829" t="inlineStr">
        <is>
          <t>Cooper-Smith</t>
        </is>
      </c>
      <c r="N82" s="1707" t="inlineStr">
        <is>
          <t>27</t>
        </is>
      </c>
      <c r="O82" s="1707" t="inlineStr">
        <is>
          <t>07495455697</t>
        </is>
      </c>
      <c r="P82" s="1038" t="n"/>
      <c r="Q82" s="1038" t="n"/>
      <c r="R82" s="568" t="n"/>
      <c r="S82" s="568" t="n"/>
      <c r="T82" s="1038" t="n"/>
      <c r="U82" s="1038" t="n"/>
      <c r="V82" s="568" t="n"/>
      <c r="W82" s="568" t="n"/>
      <c r="X82" s="1038" t="n"/>
      <c r="Y82" s="1040" t="n">
        <v>1</v>
      </c>
      <c r="Z82" s="568" t="n"/>
      <c r="AA82" s="568" t="n"/>
      <c r="AB82" s="1038" t="n"/>
      <c r="AC82" s="1038" t="n"/>
      <c r="AD82" s="1823">
        <f>SUM(P82:AC82)</f>
        <v/>
      </c>
    </row>
    <row r="83" ht="14.65" customHeight="1" s="1232">
      <c r="A83" s="1708" t="n">
        <v>45403</v>
      </c>
      <c r="B83" s="885" t="inlineStr">
        <is>
          <t>Bluebell Woodlands</t>
        </is>
      </c>
      <c r="C83" s="783" t="inlineStr">
        <is>
          <t>PM</t>
        </is>
      </c>
      <c r="D83" s="783" t="inlineStr">
        <is>
          <t>4hrs</t>
        </is>
      </c>
      <c r="E83" s="783" t="inlineStr">
        <is>
          <t>Google</t>
        </is>
      </c>
      <c r="F83" s="1828" t="inlineStr">
        <is>
          <t>#02678</t>
        </is>
      </c>
      <c r="G83" s="511" t="n">
        <v>45282</v>
      </c>
      <c r="H83" s="1696" t="n">
        <v>60</v>
      </c>
      <c r="I83" s="1697" t="n">
        <v>0</v>
      </c>
      <c r="J83" s="549" t="inlineStr">
        <is>
          <t xml:space="preserve">lcs3878@btinternet.com </t>
        </is>
      </c>
      <c r="K83" s="1042" t="inlineStr">
        <is>
          <t>Ms</t>
        </is>
      </c>
      <c r="L83" s="1829" t="inlineStr">
        <is>
          <t>Laura</t>
        </is>
      </c>
      <c r="M83" s="1829" t="inlineStr">
        <is>
          <t>Cooper-Smith</t>
        </is>
      </c>
      <c r="N83" s="1707" t="inlineStr">
        <is>
          <t>27</t>
        </is>
      </c>
      <c r="O83" s="1707" t="inlineStr">
        <is>
          <t>07495455697</t>
        </is>
      </c>
      <c r="P83" s="1038" t="n"/>
      <c r="Q83" s="1038" t="n"/>
      <c r="R83" s="568" t="n"/>
      <c r="S83" s="568" t="n"/>
      <c r="T83" s="1038" t="n"/>
      <c r="U83" s="1038" t="n"/>
      <c r="V83" s="568" t="n"/>
      <c r="W83" s="568" t="n"/>
      <c r="X83" s="1038" t="n"/>
      <c r="Y83" s="1040" t="n">
        <v>1</v>
      </c>
      <c r="Z83" s="568" t="n"/>
      <c r="AA83" s="568" t="n"/>
      <c r="AB83" s="1038" t="n"/>
      <c r="AC83" s="1038" t="n"/>
      <c r="AD83" s="1823">
        <f>SUM(P83:AC83)</f>
        <v/>
      </c>
    </row>
    <row r="84" ht="14.65" customHeight="1" s="1232">
      <c r="A84" s="1708" t="n">
        <v>45403</v>
      </c>
      <c r="B84" s="783" t="inlineStr">
        <is>
          <t>Bluebell Woodlands</t>
        </is>
      </c>
      <c r="C84" s="783" t="inlineStr">
        <is>
          <t>PM</t>
        </is>
      </c>
      <c r="D84" s="783" t="inlineStr">
        <is>
          <t>4hrs</t>
        </is>
      </c>
      <c r="E84" s="783" t="inlineStr">
        <is>
          <t>Existing</t>
        </is>
      </c>
      <c r="F84" s="1828" t="inlineStr">
        <is>
          <t>#02752</t>
        </is>
      </c>
      <c r="G84" s="785" t="n">
        <v>45377</v>
      </c>
      <c r="H84" s="1751" t="n">
        <v>99</v>
      </c>
      <c r="I84" s="1750" t="n">
        <v>0</v>
      </c>
      <c r="J84" s="549" t="inlineStr">
        <is>
          <t xml:space="preserve">ipadofian@me.com </t>
        </is>
      </c>
      <c r="K84" s="1042" t="inlineStr">
        <is>
          <t>Mr</t>
        </is>
      </c>
      <c r="L84" s="1829" t="inlineStr">
        <is>
          <t>Ian</t>
        </is>
      </c>
      <c r="M84" s="1829" t="inlineStr">
        <is>
          <t>Douglas</t>
        </is>
      </c>
      <c r="N84" s="551" t="inlineStr">
        <is>
          <t>64</t>
        </is>
      </c>
      <c r="O84" s="1604" t="inlineStr">
        <is>
          <t>07453665361</t>
        </is>
      </c>
      <c r="P84" s="1038" t="n"/>
      <c r="Q84" s="1038" t="n">
        <v>1</v>
      </c>
      <c r="R84" s="568" t="n"/>
      <c r="S84" s="568" t="n"/>
      <c r="T84" s="1038" t="n"/>
      <c r="U84" s="1038" t="n"/>
      <c r="V84" s="568" t="n"/>
      <c r="W84" s="568" t="n">
        <v>1</v>
      </c>
      <c r="X84" s="1038" t="n"/>
      <c r="Y84" s="1038" t="n">
        <v>1</v>
      </c>
      <c r="Z84" s="568" t="n"/>
      <c r="AA84" s="568" t="n"/>
      <c r="AB84" s="1038" t="n"/>
      <c r="AC84" s="1038" t="n"/>
      <c r="AD84" s="1823">
        <f>SUM(P84:AC84)</f>
        <v/>
      </c>
    </row>
    <row r="85" ht="14.65" customHeight="1" s="1232">
      <c r="D85" s="783" t="n"/>
      <c r="E85" s="783" t="n"/>
      <c r="F85" s="1828" t="n"/>
      <c r="J85" s="549" t="n"/>
      <c r="K85" s="1042" t="n"/>
      <c r="L85" s="1829" t="n"/>
      <c r="M85" s="1829" t="n"/>
    </row>
    <row r="86" ht="14.65" customHeight="1" s="1232">
      <c r="A86" s="1708" t="n"/>
      <c r="B86" s="1708" t="n"/>
      <c r="D86" s="783" t="n"/>
      <c r="E86" s="783" t="n"/>
      <c r="F86" s="1828" t="n"/>
      <c r="J86" s="549" t="n"/>
      <c r="K86" s="1042" t="n"/>
      <c r="L86" s="1829" t="n"/>
      <c r="M86" s="1829" t="n"/>
    </row>
    <row r="87" ht="14.65" customHeight="1" s="1232">
      <c r="A87" s="1708" t="n"/>
      <c r="B87" s="1708" t="n"/>
      <c r="D87" s="783" t="n"/>
      <c r="E87" s="783" t="n"/>
      <c r="F87" s="1828" t="n"/>
      <c r="J87" s="549" t="n"/>
      <c r="K87" s="1042" t="n"/>
      <c r="L87" s="1829" t="n"/>
      <c r="M87" s="1829" t="n"/>
    </row>
    <row r="88" ht="14.65" customHeight="1" s="1232">
      <c r="A88" s="1825" t="n">
        <v>45404</v>
      </c>
      <c r="B88" s="783" t="inlineStr">
        <is>
          <t>Bluebell Woodlands</t>
        </is>
      </c>
      <c r="C88" s="783" t="inlineStr">
        <is>
          <t>All Day</t>
        </is>
      </c>
      <c r="D88" s="783" t="inlineStr">
        <is>
          <t>8hrs</t>
        </is>
      </c>
      <c r="E88" s="783" t="inlineStr">
        <is>
          <t>Existing</t>
        </is>
      </c>
      <c r="F88" s="1828" t="inlineStr">
        <is>
          <t>#02754</t>
        </is>
      </c>
      <c r="G88" s="785" t="n">
        <v>45378</v>
      </c>
      <c r="H88" s="1751" t="n">
        <v>150</v>
      </c>
      <c r="I88" s="1750" t="n">
        <v>0</v>
      </c>
      <c r="J88" s="549" t="inlineStr">
        <is>
          <t xml:space="preserve">huw8118@btinternet.com </t>
        </is>
      </c>
      <c r="K88" s="1042" t="inlineStr">
        <is>
          <t>Mr</t>
        </is>
      </c>
      <c r="L88" s="1829" t="inlineStr">
        <is>
          <t>Huw</t>
        </is>
      </c>
      <c r="M88" s="1829" t="inlineStr">
        <is>
          <t>Jones</t>
        </is>
      </c>
      <c r="N88" s="887" t="inlineStr">
        <is>
          <t>60</t>
        </is>
      </c>
      <c r="O88" s="794" t="inlineStr">
        <is>
          <t>07527710547</t>
        </is>
      </c>
      <c r="P88" s="1038" t="n">
        <v>1</v>
      </c>
      <c r="Q88" s="1038" t="n">
        <v>1</v>
      </c>
      <c r="R88" s="568" t="n"/>
      <c r="S88" s="568" t="n"/>
      <c r="T88" s="1038" t="n">
        <v>1</v>
      </c>
      <c r="U88" s="1038" t="n">
        <v>1</v>
      </c>
      <c r="V88" s="568" t="n"/>
      <c r="W88" s="568" t="n"/>
      <c r="X88" s="1038" t="n"/>
      <c r="Y88" s="1038" t="n"/>
      <c r="Z88" s="568" t="n">
        <v>1</v>
      </c>
      <c r="AA88" s="568" t="n">
        <v>1</v>
      </c>
      <c r="AB88" s="1038" t="n">
        <v>1</v>
      </c>
      <c r="AC88" s="1038" t="n">
        <v>1</v>
      </c>
      <c r="AD88" s="1823">
        <f>SUM(P88:AC88)</f>
        <v/>
      </c>
    </row>
    <row r="89" ht="11.75" customHeight="1" s="1232">
      <c r="A89" s="1825" t="n">
        <v>45404</v>
      </c>
      <c r="B89" s="783" t="inlineStr">
        <is>
          <t>Bluebell Woodlands</t>
        </is>
      </c>
      <c r="C89" s="783" t="inlineStr">
        <is>
          <t>All Day</t>
        </is>
      </c>
      <c r="D89" s="783" t="inlineStr">
        <is>
          <t>8hrs</t>
        </is>
      </c>
      <c r="E89" s="783" t="inlineStr">
        <is>
          <t>Existing</t>
        </is>
      </c>
      <c r="F89" s="1828" t="inlineStr">
        <is>
          <t>#02755</t>
        </is>
      </c>
      <c r="G89" s="785" t="n">
        <v>45380</v>
      </c>
      <c r="H89" s="1751" t="n">
        <v>140</v>
      </c>
      <c r="I89" s="1750" t="n">
        <v>0</v>
      </c>
      <c r="J89" s="549" t="inlineStr">
        <is>
          <t xml:space="preserve">joannegalloway2003@yahoo.co.uk </t>
        </is>
      </c>
      <c r="K89" s="1042" t="inlineStr">
        <is>
          <t>Ms</t>
        </is>
      </c>
      <c r="L89" s="1829" t="inlineStr">
        <is>
          <t>Joanne</t>
        </is>
      </c>
      <c r="M89" s="1829" t="inlineStr">
        <is>
          <t>Galloway</t>
        </is>
      </c>
      <c r="N89" s="551" t="inlineStr">
        <is>
          <t>63</t>
        </is>
      </c>
      <c r="O89" s="1604" t="inlineStr">
        <is>
          <t>07974437317</t>
        </is>
      </c>
      <c r="P89" s="1038" t="n"/>
      <c r="Q89" s="1038" t="n"/>
      <c r="R89" s="568" t="n"/>
      <c r="S89" s="568" t="n"/>
      <c r="T89" s="1038" t="n"/>
      <c r="U89" s="1038" t="n"/>
      <c r="V89" s="568" t="n">
        <v>1</v>
      </c>
      <c r="W89" s="568" t="n">
        <v>1</v>
      </c>
      <c r="X89" s="1038" t="n">
        <v>1</v>
      </c>
      <c r="Y89" s="1038" t="n">
        <v>1</v>
      </c>
      <c r="Z89" s="568" t="n">
        <v>1</v>
      </c>
      <c r="AA89" s="568" t="n">
        <v>1</v>
      </c>
      <c r="AB89" s="1038" t="n">
        <v>1</v>
      </c>
      <c r="AC89" s="1038" t="n">
        <v>1</v>
      </c>
      <c r="AD89" s="1823">
        <f>SUM(P89:AC89)</f>
        <v/>
      </c>
    </row>
    <row r="90" ht="14.65" customHeight="1" s="1232">
      <c r="A90" s="1825" t="n">
        <v>45404</v>
      </c>
      <c r="B90" s="783" t="inlineStr">
        <is>
          <t>Bluebell Woodlands</t>
        </is>
      </c>
      <c r="C90" s="783" t="inlineStr">
        <is>
          <t>AM</t>
        </is>
      </c>
      <c r="D90" s="783" t="inlineStr">
        <is>
          <t>4hrs</t>
        </is>
      </c>
      <c r="E90" s="783" t="inlineStr">
        <is>
          <t>Existing</t>
        </is>
      </c>
      <c r="F90" s="1828" t="inlineStr">
        <is>
          <t>#02769</t>
        </is>
      </c>
      <c r="G90" s="511" t="n">
        <v>45390</v>
      </c>
      <c r="H90" s="1250" t="n">
        <v>99</v>
      </c>
      <c r="I90" s="1250" t="n">
        <v>0</v>
      </c>
      <c r="J90" s="549" t="inlineStr">
        <is>
          <t xml:space="preserve">steveandsally@outlook.com </t>
        </is>
      </c>
      <c r="K90" s="1042" t="inlineStr">
        <is>
          <t>Mr</t>
        </is>
      </c>
      <c r="L90" s="1829" t="inlineStr">
        <is>
          <t>Stephen</t>
        </is>
      </c>
      <c r="M90" s="1829" t="inlineStr">
        <is>
          <t>Fitchett</t>
        </is>
      </c>
      <c r="N90" s="1428" t="inlineStr">
        <is>
          <t>60</t>
        </is>
      </c>
      <c r="O90" s="1428" t="inlineStr">
        <is>
          <t>07540269157</t>
        </is>
      </c>
      <c r="P90" s="1826" t="n"/>
      <c r="Q90" s="1826" t="n"/>
      <c r="T90" s="1826" t="n"/>
      <c r="U90" s="1826" t="n"/>
      <c r="X90" s="1826" t="n"/>
      <c r="Y90" s="1826" t="n"/>
      <c r="Z90" s="1004" t="n">
        <v>1</v>
      </c>
      <c r="AA90" s="568" t="n"/>
      <c r="AB90" s="1826" t="n"/>
      <c r="AC90" s="1826" t="n"/>
      <c r="AD90" s="1823">
        <f>SUM(P90:AC90)</f>
        <v/>
      </c>
    </row>
    <row r="91" ht="14.65" customHeight="1" s="1232">
      <c r="A91" s="1825" t="n">
        <v>45404</v>
      </c>
      <c r="B91" s="783" t="inlineStr">
        <is>
          <t>Bluebell Woodlands</t>
        </is>
      </c>
      <c r="C91" s="783" t="inlineStr">
        <is>
          <t>AM</t>
        </is>
      </c>
      <c r="D91" s="783" t="inlineStr">
        <is>
          <t>4hrs</t>
        </is>
      </c>
      <c r="E91" s="783" t="inlineStr">
        <is>
          <t>Google</t>
        </is>
      </c>
      <c r="F91" s="1828" t="inlineStr">
        <is>
          <t>#02718</t>
        </is>
      </c>
      <c r="G91" s="785" t="n">
        <v>45330</v>
      </c>
      <c r="H91" s="1751" t="n">
        <v>99</v>
      </c>
      <c r="I91" s="1750" t="n">
        <v>0</v>
      </c>
      <c r="J91" s="549" t="inlineStr">
        <is>
          <t xml:space="preserve">jane@gp-it.co.uk </t>
        </is>
      </c>
      <c r="K91" s="1042" t="inlineStr">
        <is>
          <t>Ms</t>
        </is>
      </c>
      <c r="L91" s="1829" t="inlineStr">
        <is>
          <t>Jane</t>
        </is>
      </c>
      <c r="M91" s="1829" t="inlineStr">
        <is>
          <t>Harris</t>
        </is>
      </c>
      <c r="N91" s="551" t="inlineStr">
        <is>
          <t>70</t>
        </is>
      </c>
      <c r="O91" s="1604" t="inlineStr">
        <is>
          <t>07876127335</t>
        </is>
      </c>
      <c r="P91" s="1038" t="n">
        <v>1</v>
      </c>
      <c r="Q91" s="1038" t="n"/>
      <c r="R91" s="568" t="n"/>
      <c r="S91" s="568" t="n"/>
      <c r="T91" s="1038" t="n">
        <v>1</v>
      </c>
      <c r="U91" s="1038" t="n"/>
      <c r="V91" s="568" t="n"/>
      <c r="W91" s="568" t="n"/>
      <c r="X91" s="1038" t="n"/>
      <c r="Y91" s="1038" t="n"/>
      <c r="Z91" s="568" t="n">
        <v>1</v>
      </c>
      <c r="AA91" s="568" t="n"/>
      <c r="AB91" s="1038" t="n">
        <v>1</v>
      </c>
      <c r="AC91" s="1038" t="n"/>
      <c r="AD91" s="1823">
        <f>SUM(P91:AC91)</f>
        <v/>
      </c>
    </row>
    <row r="92" ht="14.65" customHeight="1" s="1232">
      <c r="A92" s="1825" t="n">
        <v>45404</v>
      </c>
      <c r="B92" s="783" t="inlineStr">
        <is>
          <t>Bluebell Woodlands</t>
        </is>
      </c>
      <c r="C92" s="783" t="inlineStr">
        <is>
          <t>AM</t>
        </is>
      </c>
      <c r="D92" s="783" t="inlineStr">
        <is>
          <t>4hrs</t>
        </is>
      </c>
      <c r="E92" s="783" t="inlineStr">
        <is>
          <t>Google</t>
        </is>
      </c>
      <c r="F92" s="1828" t="inlineStr">
        <is>
          <t>#02718</t>
        </is>
      </c>
      <c r="G92" s="785" t="n">
        <v>45330</v>
      </c>
      <c r="H92" s="1751" t="n">
        <v>99</v>
      </c>
      <c r="I92" s="1750" t="n">
        <v>0</v>
      </c>
      <c r="J92" s="549" t="inlineStr">
        <is>
          <t xml:space="preserve">jane@gp-it.co.uk </t>
        </is>
      </c>
      <c r="K92" s="1042" t="inlineStr">
        <is>
          <t>Mr</t>
        </is>
      </c>
      <c r="L92" s="1829" t="inlineStr">
        <is>
          <t>Peter</t>
        </is>
      </c>
      <c r="M92" s="1829" t="inlineStr">
        <is>
          <t>Harris</t>
        </is>
      </c>
      <c r="N92" s="551" t="inlineStr">
        <is>
          <t>70</t>
        </is>
      </c>
      <c r="O92" s="1604" t="inlineStr">
        <is>
          <t>07768115639</t>
        </is>
      </c>
      <c r="P92" s="1038" t="n">
        <v>1</v>
      </c>
      <c r="Q92" s="1038" t="n"/>
      <c r="R92" s="568" t="n"/>
      <c r="S92" s="568" t="n"/>
      <c r="T92" s="1038" t="n">
        <v>1</v>
      </c>
      <c r="U92" s="1038" t="n"/>
      <c r="V92" s="568" t="n"/>
      <c r="W92" s="568" t="n"/>
      <c r="X92" s="1038" t="n"/>
      <c r="Y92" s="1038" t="n"/>
      <c r="Z92" s="568" t="n">
        <v>1</v>
      </c>
      <c r="AA92" s="568" t="n"/>
      <c r="AB92" s="1038" t="n">
        <v>1</v>
      </c>
      <c r="AC92" s="1038" t="n"/>
      <c r="AD92" s="1823">
        <f>SUM(P92:AC92)</f>
        <v/>
      </c>
    </row>
    <row r="93" ht="14.65" customHeight="1" s="1232">
      <c r="A93" s="1825" t="n">
        <v>45404</v>
      </c>
      <c r="B93" s="783" t="inlineStr">
        <is>
          <t>Bluebell Woodlands</t>
        </is>
      </c>
      <c r="C93" s="783" t="inlineStr">
        <is>
          <t>PM</t>
        </is>
      </c>
      <c r="D93" s="783" t="inlineStr">
        <is>
          <t>4hrs</t>
        </is>
      </c>
      <c r="E93" s="783" t="inlineStr">
        <is>
          <t>Google</t>
        </is>
      </c>
      <c r="F93" s="1828" t="inlineStr">
        <is>
          <t>#02648</t>
        </is>
      </c>
      <c r="G93" s="785" t="n">
        <v>45237</v>
      </c>
      <c r="H93" s="1751" t="n">
        <v>125</v>
      </c>
      <c r="I93" s="1750" t="n">
        <v>0</v>
      </c>
      <c r="J93" s="549" t="inlineStr">
        <is>
          <t xml:space="preserve">alvin.roussel@gmail.com </t>
        </is>
      </c>
      <c r="K93" s="1042" t="inlineStr">
        <is>
          <t>Mr</t>
        </is>
      </c>
      <c r="L93" s="1829" t="inlineStr">
        <is>
          <t>Alvin</t>
        </is>
      </c>
      <c r="M93" s="1829" t="inlineStr">
        <is>
          <t>Roussel</t>
        </is>
      </c>
      <c r="N93" s="1707" t="inlineStr">
        <is>
          <t>67</t>
        </is>
      </c>
      <c r="O93" s="1707" t="inlineStr">
        <is>
          <t>07415517384</t>
        </is>
      </c>
      <c r="P93" s="1038" t="n"/>
      <c r="Q93" s="1038" t="n"/>
      <c r="R93" s="568" t="n"/>
      <c r="S93" s="568" t="n"/>
      <c r="T93" s="1038" t="n"/>
      <c r="U93" s="1038" t="n"/>
      <c r="V93" s="568" t="n"/>
      <c r="W93" s="568" t="n"/>
      <c r="X93" s="1038" t="n"/>
      <c r="Y93" s="1038" t="n"/>
      <c r="Z93" s="568" t="n"/>
      <c r="AA93" s="568" t="n">
        <v>1</v>
      </c>
      <c r="AB93" s="1038" t="n"/>
      <c r="AC93" s="1038" t="n">
        <v>1</v>
      </c>
      <c r="AD93" s="1823">
        <f>SUM(P93:AC93)</f>
        <v/>
      </c>
    </row>
    <row r="94" ht="14.65" customHeight="1" s="1232">
      <c r="A94" s="1825" t="n">
        <v>45404</v>
      </c>
      <c r="B94" s="885" t="inlineStr">
        <is>
          <t>Bluebell Woodlands</t>
        </is>
      </c>
      <c r="C94" s="783" t="inlineStr">
        <is>
          <t>PM</t>
        </is>
      </c>
      <c r="D94" s="783" t="inlineStr">
        <is>
          <t>4hrs</t>
        </is>
      </c>
      <c r="E94" s="783" t="inlineStr">
        <is>
          <t>Existing</t>
        </is>
      </c>
      <c r="F94" s="1828" t="inlineStr">
        <is>
          <t>#02753</t>
        </is>
      </c>
      <c r="G94" s="785" t="n">
        <v>45377</v>
      </c>
      <c r="H94" s="1751" t="n">
        <v>99</v>
      </c>
      <c r="I94" s="1750" t="n">
        <v>0</v>
      </c>
      <c r="J94" s="549" t="inlineStr">
        <is>
          <t xml:space="preserve">mike.manorcroft@gmail.com </t>
        </is>
      </c>
      <c r="K94" s="1042" t="inlineStr">
        <is>
          <t>Mr</t>
        </is>
      </c>
      <c r="L94" s="1829" t="inlineStr">
        <is>
          <t>Mike</t>
        </is>
      </c>
      <c r="M94" s="1829" t="inlineStr">
        <is>
          <t>Charlton</t>
        </is>
      </c>
      <c r="N94" s="551" t="inlineStr">
        <is>
          <t>70</t>
        </is>
      </c>
      <c r="O94" s="1604" t="inlineStr">
        <is>
          <t>07500224031</t>
        </is>
      </c>
      <c r="P94" s="1038" t="n"/>
      <c r="Q94" s="1038" t="n"/>
      <c r="R94" s="568" t="n"/>
      <c r="S94" s="568" t="n">
        <v>1</v>
      </c>
      <c r="T94" s="1038" t="n"/>
      <c r="U94" s="1038" t="n"/>
      <c r="V94" s="568" t="n"/>
      <c r="W94" s="568" t="n"/>
      <c r="X94" s="1038" t="n"/>
      <c r="Y94" s="1038" t="n"/>
      <c r="Z94" s="568" t="n"/>
      <c r="AA94" s="568" t="n">
        <v>1</v>
      </c>
      <c r="AB94" s="1038" t="n"/>
      <c r="AC94" s="1038" t="n">
        <v>1</v>
      </c>
      <c r="AD94" s="1823">
        <f>SUM(P94:AC94)</f>
        <v/>
      </c>
    </row>
  </sheetData>
  <mergeCells count="14">
    <mergeCell ref="V2:W2"/>
    <mergeCell ref="T2:U2"/>
    <mergeCell ref="Z2:AA2"/>
    <mergeCell ref="X2:Y2"/>
    <mergeCell ref="AB2:AC2"/>
    <mergeCell ref="R2:S2"/>
    <mergeCell ref="P2:Q2"/>
    <mergeCell ref="X31:Y31"/>
    <mergeCell ref="V31:W31"/>
    <mergeCell ref="AB31:AC31"/>
    <mergeCell ref="Z31:AA31"/>
    <mergeCell ref="P31:Q31"/>
    <mergeCell ref="T31:U31"/>
    <mergeCell ref="R31:S31"/>
  </mergeCells>
  <conditionalFormatting sqref="AD4:AD25 AD54 AD60:AD62 AD65:AD78 AD80:AD84 AD88:AD94">
    <cfRule type="cellIs" priority="4" operator="lessThan" dxfId="1">
      <formula>2</formula>
    </cfRule>
  </conditionalFormatting>
  <conditionalFormatting sqref="C60:C62 C65:C78 C80:C84 C88:C94">
    <cfRule type="containsText" priority="1" operator="containsText" dxfId="0" text="pm">
      <formula>NOT(ISERROR(SEARCH("pm",C60)))</formula>
    </cfRule>
    <cfRule type="containsText" priority="2" operator="containsText" dxfId="26" text="AM">
      <formula>NOT(ISERROR(SEARCH("AM",C60)))</formula>
    </cfRule>
  </conditionalFormatting>
  <hyperlinks>
    <hyperlink xmlns:r="http://schemas.openxmlformats.org/officeDocument/2006/relationships" ref="J6" r:id="rId1"/>
    <hyperlink xmlns:r="http://schemas.openxmlformats.org/officeDocument/2006/relationships" ref="J20" r:id="rId2"/>
    <hyperlink xmlns:r="http://schemas.openxmlformats.org/officeDocument/2006/relationships" ref="J21" r:id="rId3"/>
    <hyperlink xmlns:r="http://schemas.openxmlformats.org/officeDocument/2006/relationships" ref="J67" r:id="rId4"/>
    <hyperlink xmlns:r="http://schemas.openxmlformats.org/officeDocument/2006/relationships" ref="J69" r:id="rId5"/>
    <hyperlink xmlns:r="http://schemas.openxmlformats.org/officeDocument/2006/relationships" ref="J70" r:id="rId6"/>
  </hyperlinks>
  <pageMargins left="0.7" right="0.7" top="0.75" bottom="0.75" header="0.3" footer="0.3"/>
  <pageSetup orientation="landscape" paperSize="9" scale="15"/>
  <legacyDrawing xmlns:r="http://schemas.openxmlformats.org/officeDocument/2006/relationships" r:id="anysvml"/>
</worksheet>
</file>

<file path=xl/worksheets/sheet36.xml><?xml version="1.0" encoding="utf-8"?>
<worksheet xmlns="http://schemas.openxmlformats.org/spreadsheetml/2006/main">
  <sheetPr>
    <tabColor rgb="FFFFC000"/>
    <outlinePr summaryBelow="1" summaryRight="1"/>
    <pageSetUpPr/>
  </sheetPr>
  <dimension ref="A1:F41"/>
  <sheetViews>
    <sheetView workbookViewId="0">
      <selection activeCell="C8" sqref="C8"/>
    </sheetView>
  </sheetViews>
  <sheetFormatPr baseColWidth="8" defaultRowHeight="12.75"/>
  <cols>
    <col width="36.86328125" bestFit="1" customWidth="1" style="1232" min="1" max="1"/>
    <col width="17.53125" bestFit="1" customWidth="1" style="1232" min="2" max="2"/>
    <col width="11.46484375" bestFit="1" customWidth="1" style="1232" min="3" max="3"/>
    <col width="8.6640625" bestFit="1" customWidth="1" style="1232" min="4" max="4"/>
    <col width="7.86328125" bestFit="1" customWidth="1" style="1232" min="5" max="5"/>
    <col width="12.33203125" bestFit="1" customWidth="1" style="1232" min="6" max="6"/>
    <col width="7.86328125" bestFit="1" customWidth="1" style="1232" min="7" max="7"/>
    <col width="12.33203125" bestFit="1" customWidth="1" style="1232" min="8" max="8"/>
  </cols>
  <sheetData>
    <row r="1">
      <c r="A1" s="1659" t="inlineStr">
        <is>
          <t>Source</t>
        </is>
      </c>
      <c r="B1" s="1250" t="inlineStr">
        <is>
          <t>(All)</t>
        </is>
      </c>
    </row>
    <row r="3">
      <c r="A3" s="1659" t="inlineStr">
        <is>
          <t>Sum of Paid</t>
        </is>
      </c>
      <c r="B3" s="1659" t="inlineStr">
        <is>
          <t>Column Labels</t>
        </is>
      </c>
    </row>
    <row r="4">
      <c r="A4" s="1659" t="inlineStr">
        <is>
          <t>Row Labels</t>
        </is>
      </c>
      <c r="B4" s="1250" t="inlineStr">
        <is>
          <t>Coventry</t>
        </is>
      </c>
      <c r="C4" s="1250" t="inlineStr">
        <is>
          <t>Kenilworth</t>
        </is>
      </c>
      <c r="D4" s="1250" t="inlineStr">
        <is>
          <t>Solihull</t>
        </is>
      </c>
      <c r="E4" s="1250" t="inlineStr">
        <is>
          <t>(blank)</t>
        </is>
      </c>
      <c r="F4" s="1250" t="inlineStr">
        <is>
          <t>Grand Total</t>
        </is>
      </c>
    </row>
    <row r="5">
      <c r="A5" s="1662" t="inlineStr">
        <is>
          <t>RPS Course</t>
        </is>
      </c>
      <c r="B5" s="572" t="n">
        <v>1580</v>
      </c>
      <c r="C5" s="572" t="n"/>
      <c r="D5" s="572" t="n"/>
      <c r="E5" s="572" t="n"/>
      <c r="F5" s="572" t="n">
        <v>1580</v>
      </c>
    </row>
    <row r="6">
      <c r="A6" s="1662" t="inlineStr">
        <is>
          <t>Beginners Photography</t>
        </is>
      </c>
      <c r="B6" s="572" t="n">
        <v>1190</v>
      </c>
      <c r="C6" s="572" t="n"/>
      <c r="D6" s="572" t="n"/>
      <c r="E6" s="572" t="n"/>
      <c r="F6" s="572" t="n">
        <v>1190</v>
      </c>
    </row>
    <row r="7">
      <c r="A7" s="1662" t="inlineStr">
        <is>
          <t>Better Portraits Workshop</t>
        </is>
      </c>
      <c r="B7" s="572" t="n">
        <v>721.5</v>
      </c>
      <c r="C7" s="572" t="n"/>
      <c r="D7" s="572" t="n"/>
      <c r="E7" s="572" t="n"/>
      <c r="F7" s="572" t="n">
        <v>721.5</v>
      </c>
    </row>
    <row r="8">
      <c r="A8" s="1662" t="inlineStr">
        <is>
          <t>Beginners Lightroom</t>
        </is>
      </c>
      <c r="B8" s="572" t="n"/>
      <c r="C8" s="572" t="n">
        <v>475</v>
      </c>
      <c r="D8" s="572" t="n">
        <v>225</v>
      </c>
      <c r="E8" s="572" t="n"/>
      <c r="F8" s="572" t="n">
        <v>700</v>
      </c>
    </row>
    <row r="9">
      <c r="A9" s="1662" t="inlineStr">
        <is>
          <t>Intermediates Photography Course</t>
        </is>
      </c>
      <c r="B9" s="572" t="n"/>
      <c r="C9" s="572" t="n">
        <v>275</v>
      </c>
      <c r="D9" s="572" t="n"/>
      <c r="E9" s="572" t="n"/>
      <c r="F9" s="572" t="n">
        <v>275</v>
      </c>
    </row>
    <row r="10">
      <c r="A10" s="1662" t="inlineStr">
        <is>
          <t>Get Off Auto</t>
        </is>
      </c>
      <c r="B10" s="572" t="n">
        <v>270</v>
      </c>
      <c r="C10" s="572" t="n"/>
      <c r="D10" s="572" t="n"/>
      <c r="E10" s="572" t="n"/>
      <c r="F10" s="572" t="n">
        <v>270</v>
      </c>
    </row>
    <row r="11">
      <c r="A11" s="1662" t="inlineStr">
        <is>
          <t>Beginners Lightroom do in 2020 Kenilworth</t>
        </is>
      </c>
      <c r="B11" s="572" t="n"/>
      <c r="C11" s="572" t="n">
        <v>250</v>
      </c>
      <c r="D11" s="572" t="n"/>
      <c r="E11" s="572" t="n"/>
      <c r="F11" s="572" t="n">
        <v>250</v>
      </c>
    </row>
    <row r="12">
      <c r="A12" s="1662" t="inlineStr">
        <is>
          <t>B&amp;W Mastercalss</t>
        </is>
      </c>
      <c r="B12" s="572" t="n">
        <v>45</v>
      </c>
      <c r="C12" s="572" t="n"/>
      <c r="D12" s="572" t="n"/>
      <c r="E12" s="572" t="n"/>
      <c r="F12" s="572" t="n">
        <v>45</v>
      </c>
    </row>
    <row r="13">
      <c r="A13" s="1662" t="inlineStr">
        <is>
          <t>Image Sharing Masteclass</t>
        </is>
      </c>
      <c r="B13" s="572" t="n">
        <v>45</v>
      </c>
      <c r="C13" s="572" t="n"/>
      <c r="D13" s="572" t="n"/>
      <c r="E13" s="572" t="n"/>
      <c r="F13" s="572" t="n">
        <v>45</v>
      </c>
    </row>
    <row r="14">
      <c r="A14" s="1662" t="inlineStr">
        <is>
          <t>(blank)</t>
        </is>
      </c>
      <c r="B14" s="572" t="n"/>
      <c r="C14" s="572" t="n"/>
      <c r="D14" s="572" t="n"/>
      <c r="E14" s="572" t="n"/>
      <c r="F14" s="572" t="n"/>
    </row>
    <row r="15">
      <c r="A15" s="1662" t="inlineStr">
        <is>
          <t>Grand Total</t>
        </is>
      </c>
      <c r="B15" s="572" t="n">
        <v>3851.5</v>
      </c>
      <c r="C15" s="572" t="n">
        <v>1000</v>
      </c>
      <c r="D15" s="572" t="n">
        <v>225</v>
      </c>
      <c r="E15" s="572" t="n"/>
      <c r="F15" s="572" t="n">
        <v>5076.5</v>
      </c>
    </row>
    <row r="27">
      <c r="A27" s="1659" t="inlineStr">
        <is>
          <t>Duration</t>
        </is>
      </c>
      <c r="B27" s="1250" t="inlineStr">
        <is>
          <t>(All)</t>
        </is>
      </c>
    </row>
    <row r="29">
      <c r="A29" s="1659" t="inlineStr">
        <is>
          <t>Count of Paid</t>
        </is>
      </c>
      <c r="B29" s="1659" t="inlineStr">
        <is>
          <t>Column Labels</t>
        </is>
      </c>
    </row>
    <row r="30">
      <c r="A30" s="1659" t="inlineStr">
        <is>
          <t>Row Labels</t>
        </is>
      </c>
      <c r="B30" s="1250" t="inlineStr">
        <is>
          <t>Coventry</t>
        </is>
      </c>
      <c r="C30" s="1250" t="inlineStr">
        <is>
          <t>Kenilworth</t>
        </is>
      </c>
      <c r="D30" s="1250" t="inlineStr">
        <is>
          <t>Solihull</t>
        </is>
      </c>
      <c r="E30" s="1250" t="inlineStr">
        <is>
          <t>(blank)</t>
        </is>
      </c>
      <c r="F30" s="1250" t="inlineStr">
        <is>
          <t>Grand Total</t>
        </is>
      </c>
    </row>
    <row r="31">
      <c r="A31" s="1662" t="inlineStr">
        <is>
          <t>Get Off Auto</t>
        </is>
      </c>
      <c r="B31" s="572" t="n">
        <v>9</v>
      </c>
      <c r="C31" s="572" t="n"/>
      <c r="D31" s="572" t="n"/>
      <c r="E31" s="572" t="n"/>
      <c r="F31" s="572" t="n">
        <v>9</v>
      </c>
    </row>
    <row r="32">
      <c r="A32" s="1662" t="inlineStr">
        <is>
          <t>Beginners Photography</t>
        </is>
      </c>
      <c r="B32" s="572" t="n">
        <v>5</v>
      </c>
      <c r="C32" s="572" t="n"/>
      <c r="D32" s="572" t="n"/>
      <c r="E32" s="572" t="n"/>
      <c r="F32" s="572" t="n">
        <v>5</v>
      </c>
    </row>
    <row r="33">
      <c r="A33" s="1662" t="inlineStr">
        <is>
          <t>RPS Course</t>
        </is>
      </c>
      <c r="B33" s="572" t="n">
        <v>4</v>
      </c>
      <c r="C33" s="572" t="n"/>
      <c r="D33" s="572" t="n"/>
      <c r="E33" s="572" t="n"/>
      <c r="F33" s="572" t="n">
        <v>4</v>
      </c>
    </row>
    <row r="34">
      <c r="A34" s="1662" t="inlineStr">
        <is>
          <t>Better Portraits Workshop</t>
        </is>
      </c>
      <c r="B34" s="572" t="n">
        <v>4</v>
      </c>
      <c r="C34" s="572" t="n"/>
      <c r="D34" s="572" t="n"/>
      <c r="E34" s="572" t="n"/>
      <c r="F34" s="572" t="n">
        <v>4</v>
      </c>
    </row>
    <row r="35">
      <c r="A35" s="1662" t="inlineStr">
        <is>
          <t>Beginners Lightroom</t>
        </is>
      </c>
      <c r="B35" s="572" t="n"/>
      <c r="C35" s="572" t="n">
        <v>2</v>
      </c>
      <c r="D35" s="572" t="n">
        <v>1</v>
      </c>
      <c r="E35" s="572" t="n"/>
      <c r="F35" s="572" t="n">
        <v>3</v>
      </c>
    </row>
    <row r="36">
      <c r="A36" s="1662" t="inlineStr">
        <is>
          <t>B&amp;W Mastercalss</t>
        </is>
      </c>
      <c r="B36" s="572" t="n">
        <v>1</v>
      </c>
      <c r="C36" s="572" t="n"/>
      <c r="D36" s="572" t="n"/>
      <c r="E36" s="572" t="n"/>
      <c r="F36" s="572" t="n">
        <v>1</v>
      </c>
    </row>
    <row r="37">
      <c r="A37" s="1662" t="inlineStr">
        <is>
          <t>Intermediates Photography Course</t>
        </is>
      </c>
      <c r="B37" s="572" t="n"/>
      <c r="C37" s="572" t="n">
        <v>1</v>
      </c>
      <c r="D37" s="572" t="n"/>
      <c r="E37" s="572" t="n"/>
      <c r="F37" s="572" t="n">
        <v>1</v>
      </c>
    </row>
    <row r="38">
      <c r="A38" s="1662" t="inlineStr">
        <is>
          <t>Beginners Lightroom do in 2020 Kenilworth</t>
        </is>
      </c>
      <c r="B38" s="572" t="n"/>
      <c r="C38" s="572" t="n">
        <v>1</v>
      </c>
      <c r="D38" s="572" t="n"/>
      <c r="E38" s="572" t="n"/>
      <c r="F38" s="572" t="n">
        <v>1</v>
      </c>
    </row>
    <row r="39">
      <c r="A39" s="1662" t="inlineStr">
        <is>
          <t>Image Sharing Masteclass</t>
        </is>
      </c>
      <c r="B39" s="572" t="n">
        <v>1</v>
      </c>
      <c r="C39" s="572" t="n"/>
      <c r="D39" s="572" t="n"/>
      <c r="E39" s="572" t="n"/>
      <c r="F39" s="572" t="n">
        <v>1</v>
      </c>
    </row>
    <row r="40">
      <c r="A40" s="1662" t="inlineStr">
        <is>
          <t>(blank)</t>
        </is>
      </c>
      <c r="B40" s="572" t="n"/>
      <c r="C40" s="572" t="n"/>
      <c r="D40" s="572" t="n"/>
      <c r="E40" s="572" t="n"/>
      <c r="F40" s="572" t="n"/>
    </row>
    <row r="41">
      <c r="A41" s="1662" t="inlineStr">
        <is>
          <t>Grand Total</t>
        </is>
      </c>
      <c r="B41" s="572" t="n">
        <v>24</v>
      </c>
      <c r="C41" s="572" t="n">
        <v>4</v>
      </c>
      <c r="D41" s="572" t="n">
        <v>1</v>
      </c>
      <c r="E41" s="572" t="n"/>
      <c r="F41" s="572" t="n">
        <v>29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>
  <sheetPr>
    <tabColor rgb="FFFF0066"/>
    <outlinePr summaryBelow="1" summaryRight="1"/>
    <pageSetUpPr fitToPage="1"/>
  </sheetPr>
  <dimension ref="A2:ED84"/>
  <sheetViews>
    <sheetView topLeftCell="G1" workbookViewId="0">
      <selection activeCell="G21" sqref="G21"/>
    </sheetView>
  </sheetViews>
  <sheetFormatPr baseColWidth="8" defaultColWidth="9.1328125" defaultRowHeight="13.5"/>
  <cols>
    <col width="5.19921875" customWidth="1" style="75" min="1" max="1"/>
    <col width="11.19921875" bestFit="1" customWidth="1" style="1830" min="2" max="2"/>
    <col width="12.46484375" customWidth="1" style="1559" min="3" max="3"/>
    <col width="13" customWidth="1" style="1559" min="4" max="4"/>
    <col width="10.796875" customWidth="1" style="1830" min="5" max="5"/>
    <col width="18.19921875" customWidth="1" style="1830" min="6" max="6"/>
    <col width="37.6640625" customWidth="1" style="1830" min="7" max="7"/>
    <col width="9.1328125" customWidth="1" style="1830" min="8" max="8"/>
    <col width="18.1328125" customWidth="1" style="1830" min="9" max="9"/>
    <col width="16.1328125" bestFit="1" customWidth="1" style="1830" min="10" max="10"/>
    <col hidden="1" width="8.46484375" customWidth="1" style="656" min="11" max="11"/>
    <col hidden="1" width="14.46484375" customWidth="1" style="656" min="12" max="12"/>
    <col width="17.46484375" customWidth="1" style="656" min="13" max="13"/>
    <col width="10.1328125" bestFit="1" customWidth="1" style="656" min="14" max="14"/>
    <col width="8.86328125" customWidth="1" style="591" min="15" max="15"/>
    <col hidden="1" width="15.53125" customWidth="1" style="591" min="16" max="16"/>
    <col hidden="1" width="11.796875" customWidth="1" style="591" min="17" max="17"/>
    <col width="9.46484375" customWidth="1" style="591" min="18" max="18"/>
    <col hidden="1" width="12.19921875" customWidth="1" style="1830" min="19" max="19"/>
    <col hidden="1" width="11.1328125" customWidth="1" style="1830" min="20" max="20"/>
    <col hidden="1" width="11.33203125" customWidth="1" style="1830" min="21" max="21"/>
    <col hidden="1" width="8.46484375" customWidth="1" style="1830" min="22" max="22"/>
    <col hidden="1" width="8.53125" customWidth="1" style="1830" min="23" max="23"/>
    <col hidden="1" width="11.19921875" customWidth="1" style="1830" min="24" max="24"/>
    <col hidden="1" width="12" customWidth="1" style="1830" min="25" max="25"/>
    <col hidden="1" width="10.33203125" customWidth="1" style="1830" min="26" max="26"/>
    <col hidden="1" width="10.19921875" customWidth="1" style="1830" min="27" max="28"/>
    <col hidden="1" width="13.46484375" customWidth="1" style="1831" min="29" max="34"/>
    <col hidden="1" width="13.19921875" customWidth="1" style="1831" min="35" max="37"/>
    <col hidden="1" width="13.19921875" customWidth="1" style="1830" min="38" max="42"/>
    <col hidden="1" width="12.53125" customWidth="1" style="1830" min="43" max="43"/>
    <col hidden="1" width="11.796875" customWidth="1" style="1830" min="44" max="44"/>
    <col hidden="1" width="12.46484375" customWidth="1" style="1830" min="45" max="45"/>
    <col hidden="1" width="12.19921875" customWidth="1" style="1830" min="46" max="46"/>
    <col hidden="1" width="12.1328125" customWidth="1" style="1830" min="47" max="47"/>
    <col hidden="1" width="11.53125" customWidth="1" style="1830" min="48" max="48"/>
    <col hidden="1" width="12" customWidth="1" style="1830" min="49" max="49"/>
    <col hidden="1" width="11.1328125" customWidth="1" style="1830" min="50" max="50"/>
    <col hidden="1" width="11.46484375" customWidth="1" style="1830" min="51" max="51"/>
    <col hidden="1" width="11.86328125" customWidth="1" style="1830" min="52" max="52"/>
    <col hidden="1" width="10.86328125" customWidth="1" style="1830" min="53" max="53"/>
    <col hidden="1" width="12.46484375" customWidth="1" style="1830" min="54" max="54"/>
    <col hidden="1" width="11.6640625" customWidth="1" style="1830" min="55" max="55"/>
    <col hidden="1" width="11.46484375" customWidth="1" style="1830" min="56" max="56"/>
    <col hidden="1" width="12.53125" customWidth="1" style="1830" min="57" max="66"/>
    <col hidden="1" width="11" customWidth="1" style="1830" min="67" max="68"/>
    <col hidden="1" width="11.53125" customWidth="1" style="1830" min="69" max="69"/>
    <col hidden="1" width="9.1328125" customWidth="1" style="1830" min="70" max="73"/>
    <col hidden="1" width="12.19921875" customWidth="1" style="1830" min="74" max="74"/>
    <col hidden="1" width="11.33203125" customWidth="1" style="1830" min="75" max="75"/>
    <col hidden="1" width="12.1328125" customWidth="1" style="1830" min="76" max="78"/>
    <col hidden="1" width="12.46484375" customWidth="1" style="1830" min="79" max="79"/>
    <col hidden="1" width="12.1328125" customWidth="1" style="1830" min="80" max="81"/>
    <col hidden="1" width="11.1328125" customWidth="1" style="1830" min="82" max="82"/>
    <col hidden="1" width="11.796875" customWidth="1" style="1830" min="83" max="83"/>
    <col hidden="1" width="12.1328125" customWidth="1" style="1830" min="84" max="84"/>
    <col hidden="1" width="11.796875" customWidth="1" style="1830" min="85" max="85"/>
    <col hidden="1" width="11.86328125" customWidth="1" style="1830" min="86" max="86"/>
    <col hidden="1" width="12.1328125" customWidth="1" style="1830" min="87" max="88"/>
    <col hidden="1" width="12.19921875" customWidth="1" style="1830" min="89" max="89"/>
    <col width="12.1328125" bestFit="1" customWidth="1" style="1830" min="90" max="90"/>
    <col width="11.86328125" bestFit="1" customWidth="1" style="1830" min="91" max="91"/>
    <col width="12.1328125" bestFit="1" customWidth="1" style="1830" min="92" max="92"/>
    <col width="12.1328125" customWidth="1" style="1830" min="93" max="93"/>
    <col width="9.1328125" customWidth="1" style="1830" min="94" max="95"/>
    <col width="11.33203125" bestFit="1" customWidth="1" style="1830" min="96" max="96"/>
    <col width="10.6640625" bestFit="1" customWidth="1" style="1830" min="97" max="97"/>
    <col width="12.46484375" bestFit="1" customWidth="1" style="1830" min="98" max="98"/>
    <col width="11.796875" bestFit="1" customWidth="1" style="1830" min="99" max="99"/>
    <col width="12.1328125" bestFit="1" customWidth="1" style="1830" min="100" max="100"/>
    <col width="9.1328125" customWidth="1" style="1830" min="101" max="102"/>
    <col width="10.796875" bestFit="1" customWidth="1" style="1830" min="103" max="103"/>
    <col width="11.1328125" bestFit="1" customWidth="1" style="1830" min="104" max="104"/>
    <col width="12.1328125" bestFit="1" customWidth="1" style="1830" min="105" max="105"/>
    <col width="10.19921875" bestFit="1" customWidth="1" style="1830" min="106" max="106"/>
    <col width="10.53125" bestFit="1" customWidth="1" style="1830" min="107" max="107"/>
    <col width="9.1328125" customWidth="1" style="1830" min="108" max="109"/>
    <col width="12.1328125" bestFit="1" customWidth="1" style="1830" min="110" max="110"/>
    <col width="9.1328125" customWidth="1" style="1830" min="111" max="112"/>
    <col width="11.6640625" bestFit="1" customWidth="1" style="1830" min="113" max="113"/>
    <col width="11.86328125" bestFit="1" customWidth="1" style="1830" min="114" max="115"/>
    <col width="11.33203125" bestFit="1" customWidth="1" style="1830" min="116" max="116"/>
    <col width="11.1328125" bestFit="1" customWidth="1" style="1830" min="117" max="117"/>
    <col width="10.53125" bestFit="1" customWidth="1" style="1830" min="118" max="118"/>
    <col width="11.46484375" bestFit="1" customWidth="1" style="1830" min="119" max="119"/>
    <col width="11.796875" bestFit="1" customWidth="1" style="1830" min="120" max="120"/>
    <col width="11.33203125" bestFit="1" customWidth="1" style="1830" min="121" max="121"/>
    <col width="11.1328125" bestFit="1" customWidth="1" style="1830" min="122" max="122"/>
    <col width="9.1328125" customWidth="1" style="1830" min="123" max="16384"/>
  </cols>
  <sheetData>
    <row r="2" ht="24.75" customHeight="1" s="1232">
      <c r="G2" s="1832" t="n"/>
      <c r="I2" s="1833" t="inlineStr">
        <is>
          <t>RPS Distinctions Course</t>
        </is>
      </c>
      <c r="J2" s="1832" t="n"/>
      <c r="K2" s="654" t="n"/>
      <c r="L2" s="1834" t="n"/>
      <c r="M2" s="1834" t="n"/>
      <c r="N2" s="1834" t="n"/>
      <c r="O2" s="1832" t="n"/>
      <c r="P2" s="1832" t="n"/>
      <c r="Q2" s="1832" t="n"/>
      <c r="R2" s="1832" t="n"/>
    </row>
    <row r="3" ht="12.75" customHeight="1" s="1232">
      <c r="G3" s="1832" t="n"/>
      <c r="I3" s="1832" t="n"/>
      <c r="J3" s="1832" t="n"/>
      <c r="K3" s="654" t="n"/>
      <c r="L3" s="1834" t="n"/>
      <c r="M3" s="1834" t="n"/>
      <c r="N3" s="1834" t="n"/>
      <c r="O3" s="1832" t="n"/>
      <c r="P3" s="1832" t="n"/>
      <c r="Q3" s="1832" t="n"/>
      <c r="R3" s="1832" t="n"/>
    </row>
    <row r="4" ht="12.75" customHeight="1" s="1232">
      <c r="G4" s="1832" t="n"/>
      <c r="I4" s="1832" t="n"/>
      <c r="J4" s="1832" t="n"/>
      <c r="K4" s="654" t="n"/>
      <c r="L4" s="1834" t="n"/>
      <c r="M4" s="1834" t="n"/>
      <c r="N4" s="1834" t="n"/>
      <c r="O4" s="1832" t="n"/>
      <c r="P4" s="1832" t="n"/>
      <c r="Q4" s="1832" t="n"/>
      <c r="R4" s="1832" t="n"/>
    </row>
    <row r="5">
      <c r="F5" s="1835" t="inlineStr">
        <is>
          <t>Awaiting Payment</t>
        </is>
      </c>
    </row>
    <row r="6">
      <c r="F6" s="1836" t="inlineStr">
        <is>
          <t>Verified</t>
        </is>
      </c>
    </row>
    <row r="7">
      <c r="F7" s="1837" t="inlineStr">
        <is>
          <t>redeemed</t>
        </is>
      </c>
    </row>
    <row r="9" ht="38.25" customFormat="1" customHeight="1" s="1838">
      <c r="A9" s="251" t="inlineStr">
        <is>
          <t>No'</t>
        </is>
      </c>
      <c r="B9" s="1839" t="inlineStr">
        <is>
          <t>Date Booked</t>
        </is>
      </c>
      <c r="C9" s="1840" t="inlineStr">
        <is>
          <t>Paid</t>
        </is>
      </c>
      <c r="D9" s="1841" t="inlineStr">
        <is>
          <t>Balance</t>
        </is>
      </c>
      <c r="E9" s="1842" t="inlineStr">
        <is>
          <t>Source</t>
        </is>
      </c>
      <c r="F9" s="1842" t="inlineStr">
        <is>
          <t>Voucher Ref</t>
        </is>
      </c>
      <c r="G9" s="1839" t="inlineStr">
        <is>
          <t>Email Address</t>
        </is>
      </c>
      <c r="H9" s="1839" t="inlineStr">
        <is>
          <t>Prefix</t>
        </is>
      </c>
      <c r="I9" s="1839" t="inlineStr">
        <is>
          <t>First Name</t>
        </is>
      </c>
      <c r="J9" s="1839" t="inlineStr">
        <is>
          <t>Last Name</t>
        </is>
      </c>
      <c r="K9" s="596" t="inlineStr">
        <is>
          <t>Age</t>
        </is>
      </c>
      <c r="L9" s="596" t="inlineStr">
        <is>
          <t>Mobile No'</t>
        </is>
      </c>
      <c r="M9" s="596" t="inlineStr">
        <is>
          <t>Status</t>
        </is>
      </c>
      <c r="N9" s="596" t="inlineStr">
        <is>
          <t>Distinction</t>
        </is>
      </c>
      <c r="O9" s="597" t="inlineStr">
        <is>
          <t>No' Booked</t>
        </is>
      </c>
      <c r="P9" s="596" t="inlineStr">
        <is>
          <t>Advisory</t>
        </is>
      </c>
      <c r="Q9" s="597" t="inlineStr">
        <is>
          <t>Submission</t>
        </is>
      </c>
      <c r="R9" s="597" t="inlineStr">
        <is>
          <t>Started</t>
        </is>
      </c>
      <c r="S9" s="614" t="inlineStr">
        <is>
          <t>Mar 7th</t>
        </is>
      </c>
      <c r="T9" s="614" t="inlineStr">
        <is>
          <t>Apr 5th</t>
        </is>
      </c>
      <c r="U9" s="614" t="inlineStr">
        <is>
          <t>Apr 16th</t>
        </is>
      </c>
      <c r="V9" s="614" t="inlineStr">
        <is>
          <t>Apr 27th</t>
        </is>
      </c>
      <c r="W9" s="614" t="inlineStr">
        <is>
          <t>May 14th</t>
        </is>
      </c>
      <c r="X9" s="614" t="inlineStr">
        <is>
          <t>May 15th</t>
        </is>
      </c>
      <c r="Y9" s="614" t="inlineStr">
        <is>
          <t>Jun 4th</t>
        </is>
      </c>
      <c r="Z9" s="614" t="inlineStr">
        <is>
          <t>Jun 22nd</t>
        </is>
      </c>
      <c r="AA9" s="614" t="inlineStr">
        <is>
          <t>Jul 10th</t>
        </is>
      </c>
      <c r="AB9" s="614" t="inlineStr">
        <is>
          <t>Jul 17th</t>
        </is>
      </c>
      <c r="AC9" s="614" t="inlineStr">
        <is>
          <t>Aug 7th</t>
        </is>
      </c>
      <c r="AD9" s="614" t="inlineStr">
        <is>
          <t>Aug 29th</t>
        </is>
      </c>
      <c r="AE9" s="614" t="inlineStr">
        <is>
          <t>Sep 12th</t>
        </is>
      </c>
      <c r="AF9" s="614" t="inlineStr">
        <is>
          <t>Oct 1st</t>
        </is>
      </c>
      <c r="AG9" s="614" t="inlineStr">
        <is>
          <t>Oct 10th</t>
        </is>
      </c>
      <c r="AH9" s="614" t="inlineStr">
        <is>
          <t>Nov 7th</t>
        </is>
      </c>
      <c r="AI9" s="614" t="inlineStr">
        <is>
          <t>Nov 28th</t>
        </is>
      </c>
      <c r="AJ9" s="614" t="inlineStr">
        <is>
          <t>Dec 12th</t>
        </is>
      </c>
      <c r="AK9" s="614" t="inlineStr">
        <is>
          <t>Jan 4th</t>
        </is>
      </c>
      <c r="AL9" s="614" t="inlineStr">
        <is>
          <t>Jan 9th</t>
        </is>
      </c>
      <c r="AM9" s="614" t="inlineStr">
        <is>
          <t>Jan 21st</t>
        </is>
      </c>
      <c r="AN9" s="614" t="inlineStr">
        <is>
          <t>Feb 6th</t>
        </is>
      </c>
      <c r="AO9" s="614" t="inlineStr">
        <is>
          <t>Feb 21st</t>
        </is>
      </c>
      <c r="AP9" s="614" t="inlineStr">
        <is>
          <t>Mar 4th</t>
        </is>
      </c>
      <c r="AQ9" s="614" t="inlineStr">
        <is>
          <t>Mar 20th</t>
        </is>
      </c>
      <c r="AR9" s="614" t="inlineStr">
        <is>
          <t>Apr 1st</t>
        </is>
      </c>
      <c r="AS9" s="614" t="inlineStr">
        <is>
          <t>Apr 10th</t>
        </is>
      </c>
      <c r="AT9" s="614" t="inlineStr">
        <is>
          <t>Apr 29th</t>
        </is>
      </c>
      <c r="AU9" s="614" t="inlineStr">
        <is>
          <t>May 15th</t>
        </is>
      </c>
      <c r="AV9" s="614" t="inlineStr">
        <is>
          <t>Other</t>
        </is>
      </c>
      <c r="AW9" s="614" t="inlineStr">
        <is>
          <t>Jun 24th</t>
        </is>
      </c>
      <c r="AX9" s="614" t="inlineStr">
        <is>
          <t>Jul 10th</t>
        </is>
      </c>
      <c r="AY9" s="614" t="inlineStr">
        <is>
          <t>Jul 22nd</t>
        </is>
      </c>
      <c r="AZ9" s="614" t="inlineStr">
        <is>
          <t>Aug 14th</t>
        </is>
      </c>
      <c r="BA9" s="614" t="inlineStr">
        <is>
          <t>Aug 28th</t>
        </is>
      </c>
      <c r="BB9" s="614" t="inlineStr">
        <is>
          <t>Sep 16th</t>
        </is>
      </c>
      <c r="BC9" s="614" t="inlineStr">
        <is>
          <t>Oct 7th</t>
        </is>
      </c>
      <c r="BD9" s="614" t="inlineStr">
        <is>
          <t>Oct 16th</t>
        </is>
      </c>
      <c r="BE9" s="614" t="inlineStr">
        <is>
          <t>Jan 13th</t>
        </is>
      </c>
      <c r="BF9" s="614" t="inlineStr">
        <is>
          <t>Jan 22nd</t>
        </is>
      </c>
      <c r="BG9" s="614" t="inlineStr">
        <is>
          <t>Feb 10th</t>
        </is>
      </c>
      <c r="BH9" s="614" t="inlineStr">
        <is>
          <t>Feb 24th</t>
        </is>
      </c>
      <c r="BI9" s="614" t="inlineStr">
        <is>
          <t>Mar 5th</t>
        </is>
      </c>
      <c r="BJ9" s="614" t="inlineStr">
        <is>
          <t>1st Apr</t>
        </is>
      </c>
      <c r="BK9" s="614" t="inlineStr">
        <is>
          <t>7th Apr</t>
        </is>
      </c>
      <c r="BL9" s="614" t="inlineStr">
        <is>
          <t>22nd Apr</t>
        </is>
      </c>
      <c r="BM9" s="614" t="n"/>
      <c r="BN9" s="614" t="inlineStr">
        <is>
          <t>27th May</t>
        </is>
      </c>
      <c r="BO9" s="614" t="inlineStr">
        <is>
          <t>8th Jun</t>
        </is>
      </c>
      <c r="BP9" s="614" t="inlineStr">
        <is>
          <t>22nd Jun</t>
        </is>
      </c>
      <c r="BQ9" s="614" t="inlineStr">
        <is>
          <t>8th Jul</t>
        </is>
      </c>
      <c r="BR9" s="614" t="inlineStr">
        <is>
          <t>29th Jul</t>
        </is>
      </c>
      <c r="BS9" s="614" t="inlineStr">
        <is>
          <t>5th Aug</t>
        </is>
      </c>
      <c r="BT9" s="614" t="inlineStr">
        <is>
          <t>26th Aug</t>
        </is>
      </c>
      <c r="BU9" s="614" t="inlineStr">
        <is>
          <t>2nd Sep</t>
        </is>
      </c>
      <c r="BV9" s="614" t="inlineStr">
        <is>
          <t>30th Sep</t>
        </is>
      </c>
      <c r="BW9" s="614" t="inlineStr">
        <is>
          <t>19th Oct</t>
        </is>
      </c>
      <c r="BX9" s="614" t="inlineStr">
        <is>
          <t>23rd Nov</t>
        </is>
      </c>
      <c r="BY9" s="614" t="inlineStr">
        <is>
          <t>6th Jan</t>
        </is>
      </c>
      <c r="BZ9" s="614" t="inlineStr">
        <is>
          <t>24th Feb</t>
        </is>
      </c>
      <c r="CA9" s="614" t="inlineStr">
        <is>
          <t>26th Apr</t>
        </is>
      </c>
      <c r="CB9" s="614" t="inlineStr">
        <is>
          <t>30th June</t>
        </is>
      </c>
      <c r="CC9" s="614" t="inlineStr">
        <is>
          <t>14th July</t>
        </is>
      </c>
      <c r="CD9" s="614" t="inlineStr">
        <is>
          <t>10th Aug</t>
        </is>
      </c>
      <c r="CE9" s="614" t="inlineStr">
        <is>
          <t>1st Sep</t>
        </is>
      </c>
      <c r="CF9" s="614" t="inlineStr">
        <is>
          <t>20th Sep</t>
        </is>
      </c>
      <c r="CG9" s="614" t="inlineStr">
        <is>
          <t>11th Oct</t>
        </is>
      </c>
      <c r="CH9" s="614" t="inlineStr">
        <is>
          <t>20th Oct</t>
        </is>
      </c>
      <c r="CI9" s="614" t="inlineStr">
        <is>
          <t>8th Nov</t>
        </is>
      </c>
      <c r="CJ9" s="614" t="inlineStr">
        <is>
          <t>29th Nov</t>
        </is>
      </c>
      <c r="CK9" s="614" t="inlineStr">
        <is>
          <t>8th Dec</t>
        </is>
      </c>
      <c r="CL9" s="614" t="inlineStr">
        <is>
          <t>5th Jan</t>
        </is>
      </c>
      <c r="CM9" s="614" t="inlineStr">
        <is>
          <t>24th Jan</t>
        </is>
      </c>
      <c r="CN9" s="614" t="inlineStr">
        <is>
          <t>3rd Feb</t>
        </is>
      </c>
      <c r="CO9" s="614" t="inlineStr">
        <is>
          <t>28th Feb</t>
        </is>
      </c>
      <c r="CP9" s="614" t="inlineStr">
        <is>
          <t>9th Mar</t>
        </is>
      </c>
      <c r="CQ9" s="614" t="inlineStr">
        <is>
          <t>28th Mar</t>
        </is>
      </c>
      <c r="CR9" s="614" t="inlineStr">
        <is>
          <t>1/4</t>
        </is>
      </c>
      <c r="CS9" s="614" t="inlineStr">
        <is>
          <t>21 Apr</t>
        </is>
      </c>
      <c r="CT9" s="614" t="inlineStr">
        <is>
          <t>9 May</t>
        </is>
      </c>
      <c r="CU9" s="614" t="inlineStr">
        <is>
          <t>26 May</t>
        </is>
      </c>
      <c r="CV9" s="614" t="inlineStr">
        <is>
          <t>8 Jun</t>
        </is>
      </c>
      <c r="CW9" s="614" t="inlineStr">
        <is>
          <t>27 Jun</t>
        </is>
      </c>
      <c r="CX9" s="614" t="inlineStr">
        <is>
          <t>6 Jul</t>
        </is>
      </c>
      <c r="CY9" s="614" t="inlineStr">
        <is>
          <t>28/7</t>
        </is>
      </c>
      <c r="CZ9" s="614" t="inlineStr">
        <is>
          <t>15/9</t>
        </is>
      </c>
      <c r="DA9" s="614" t="inlineStr">
        <is>
          <t>26/9</t>
        </is>
      </c>
      <c r="DB9" s="614" t="inlineStr">
        <is>
          <t>11/10</t>
        </is>
      </c>
      <c r="DC9" s="614" t="inlineStr">
        <is>
          <t>18/10</t>
        </is>
      </c>
      <c r="DD9" s="614" t="inlineStr">
        <is>
          <t>9/11</t>
        </is>
      </c>
      <c r="DE9" s="614" t="inlineStr">
        <is>
          <t>21/11</t>
        </is>
      </c>
      <c r="DF9" s="614" t="inlineStr">
        <is>
          <t>7/12</t>
        </is>
      </c>
      <c r="DG9" s="614" t="inlineStr">
        <is>
          <t>5/1</t>
        </is>
      </c>
      <c r="DH9" s="614" t="inlineStr">
        <is>
          <t>23/1</t>
        </is>
      </c>
      <c r="DI9" s="614" t="inlineStr">
        <is>
          <t>15/2</t>
        </is>
      </c>
      <c r="DJ9" s="614" t="inlineStr">
        <is>
          <t>27/2</t>
        </is>
      </c>
      <c r="DK9" s="614" t="inlineStr">
        <is>
          <t>11/4</t>
        </is>
      </c>
      <c r="DL9" s="614" t="inlineStr">
        <is>
          <t>29/6</t>
        </is>
      </c>
      <c r="DM9" s="614" t="inlineStr">
        <is>
          <t>11/7</t>
        </is>
      </c>
      <c r="DN9" s="614" t="inlineStr">
        <is>
          <t>31/10</t>
        </is>
      </c>
      <c r="DO9" s="614" t="inlineStr">
        <is>
          <t>28/11</t>
        </is>
      </c>
      <c r="DP9" s="614" t="inlineStr">
        <is>
          <t>22/4</t>
        </is>
      </c>
      <c r="DQ9" s="614" t="inlineStr">
        <is>
          <t>16/5</t>
        </is>
      </c>
      <c r="DR9" s="614" t="inlineStr">
        <is>
          <t>15/8</t>
        </is>
      </c>
    </row>
    <row r="10" ht="9" customHeight="1" s="1232">
      <c r="A10" s="186" t="n"/>
      <c r="B10" s="1843" t="n"/>
      <c r="C10" s="1844" t="n"/>
      <c r="D10" s="1844" t="n"/>
      <c r="E10" s="1843" t="n"/>
      <c r="F10" s="1843" t="n"/>
      <c r="G10" s="1845" t="n"/>
      <c r="H10" s="1846" t="n"/>
      <c r="I10" s="1846" t="n"/>
      <c r="J10" s="1846" t="n"/>
      <c r="K10" s="602" t="n"/>
      <c r="L10" s="657" t="n"/>
      <c r="M10" s="657" t="n"/>
      <c r="N10" s="657" t="n"/>
      <c r="O10" s="603" t="n"/>
      <c r="P10" s="603" t="n"/>
      <c r="Q10" s="603" t="n"/>
      <c r="R10" s="603" t="n"/>
      <c r="AL10" s="1847" t="n"/>
      <c r="AM10" s="1847" t="n"/>
      <c r="AN10" s="1847" t="n"/>
      <c r="AO10" s="1847" t="n"/>
      <c r="AP10" s="1847" t="n"/>
      <c r="AQ10" s="1847" t="n"/>
      <c r="AR10" s="1847" t="n"/>
      <c r="AS10" s="1847" t="n"/>
      <c r="AT10" s="1847" t="n"/>
      <c r="AU10" s="1847" t="n"/>
      <c r="BE10" s="1848" t="n"/>
      <c r="BF10" s="1848" t="n"/>
      <c r="BG10" s="1848" t="n"/>
      <c r="BH10" s="1848" t="n"/>
      <c r="BI10" s="1848" t="n"/>
      <c r="BJ10" s="1848" t="n"/>
      <c r="BK10" s="1848" t="n"/>
      <c r="BL10" s="1848" t="n"/>
      <c r="BM10" s="1848" t="n"/>
      <c r="BN10" s="1848" t="n"/>
      <c r="BO10" s="1848" t="n"/>
      <c r="BP10" s="1848" t="n"/>
      <c r="BQ10" s="1848" t="n"/>
      <c r="BR10" s="1848" t="n"/>
      <c r="CB10" s="1848" t="n"/>
      <c r="CC10" s="1848" t="n"/>
      <c r="CD10" s="1848" t="n"/>
      <c r="CE10" s="1848" t="n"/>
      <c r="CF10" s="1848" t="n"/>
      <c r="CG10" s="1848" t="n"/>
      <c r="CH10" s="1848" t="n"/>
      <c r="CI10" s="1848" t="n"/>
      <c r="CJ10" s="1848" t="n"/>
    </row>
    <row r="11" ht="14.65" customHeight="1" s="1232">
      <c r="A11" s="75" t="n">
        <v>1</v>
      </c>
      <c r="B11" s="1849" t="n">
        <v>43131</v>
      </c>
      <c r="C11" s="1645" t="n">
        <v>395</v>
      </c>
      <c r="D11" s="1645" t="n">
        <v>0</v>
      </c>
      <c r="E11" s="1850" t="inlineStr">
        <is>
          <t>Direct</t>
        </is>
      </c>
      <c r="F11" s="1850" t="inlineStr">
        <is>
          <t>Existing</t>
        </is>
      </c>
      <c r="G11" s="1851" t="inlineStr">
        <is>
          <t>christophparker@googlemail.com</t>
        </is>
      </c>
      <c r="H11" s="239" t="inlineStr">
        <is>
          <t>Mr</t>
        </is>
      </c>
      <c r="I11" s="239" t="inlineStr">
        <is>
          <t>Chris</t>
        </is>
      </c>
      <c r="J11" s="240" t="inlineStr">
        <is>
          <t>Parker</t>
        </is>
      </c>
      <c r="K11" s="658" t="n"/>
      <c r="L11" s="662" t="n">
        <v>7470403496</v>
      </c>
      <c r="M11" s="662" t="n"/>
      <c r="N11" s="662" t="inlineStr">
        <is>
          <t>A</t>
        </is>
      </c>
      <c r="O11" s="645">
        <f>COUNTA(S11:EB11)</f>
        <v/>
      </c>
      <c r="P11" s="645" t="n"/>
      <c r="Q11" s="645" t="n"/>
      <c r="R11" s="726" t="n">
        <v>43191</v>
      </c>
      <c r="S11" s="1852" t="n"/>
      <c r="T11" s="1852" t="n"/>
      <c r="U11" s="1852" t="n">
        <v>43206</v>
      </c>
      <c r="V11" s="1852" t="n"/>
      <c r="W11" s="1852" t="n"/>
      <c r="X11" s="1852" t="n"/>
      <c r="Y11" s="1852" t="n"/>
      <c r="Z11" s="1852" t="n"/>
      <c r="AA11" s="1852" t="n"/>
      <c r="AB11" s="1852" t="n"/>
      <c r="AC11" s="1847" t="n"/>
      <c r="AD11" s="1847" t="n"/>
      <c r="AE11" s="1847" t="n"/>
      <c r="AF11" s="1847" t="n"/>
      <c r="AG11" s="1853" t="n"/>
      <c r="AH11" s="1847" t="n">
        <v>43411</v>
      </c>
      <c r="AI11" s="1853" t="n"/>
      <c r="AJ11" s="1847" t="n"/>
      <c r="AK11" s="1847" t="n"/>
      <c r="AL11" s="1847" t="n">
        <v>43474</v>
      </c>
      <c r="AM11" s="1847" t="n"/>
      <c r="AN11" s="1847" t="n"/>
      <c r="AO11" s="1847" t="n">
        <v>43517</v>
      </c>
      <c r="AP11" s="1847" t="n"/>
      <c r="AQ11" s="1847" t="n"/>
      <c r="AR11" s="1847" t="n"/>
      <c r="AS11" s="1847" t="n"/>
      <c r="AT11" s="1853" t="n">
        <v>43584</v>
      </c>
      <c r="AU11" s="1847" t="n"/>
      <c r="BE11" s="1848" t="n"/>
      <c r="BF11" s="1848" t="n"/>
      <c r="BG11" s="1848" t="n"/>
      <c r="BH11" s="1848" t="n"/>
      <c r="BI11" s="1848" t="n"/>
      <c r="BJ11" s="1848" t="n"/>
      <c r="BK11" s="1848" t="n"/>
      <c r="BL11" s="1848" t="n"/>
      <c r="BM11" s="1848" t="n"/>
      <c r="BN11" s="1848" t="n"/>
      <c r="BO11" s="1848" t="n"/>
      <c r="BP11" s="1848" t="n"/>
      <c r="BQ11" s="1848" t="n"/>
      <c r="BR11" s="1848" t="n"/>
      <c r="BV11" s="1848" t="n"/>
      <c r="BW11" s="1848" t="n"/>
      <c r="BX11" s="1848" t="n"/>
      <c r="BY11" s="1848" t="n"/>
      <c r="BZ11" s="1848" t="n"/>
      <c r="CA11" s="1848" t="n"/>
      <c r="CB11" s="1848" t="n"/>
      <c r="CC11" s="1848" t="n"/>
      <c r="CD11" s="1848" t="n"/>
      <c r="CE11" s="1848" t="n"/>
      <c r="CF11" s="1848" t="n"/>
      <c r="CG11" s="1848" t="n">
        <v>44480</v>
      </c>
      <c r="CH11" s="1848" t="n"/>
      <c r="CI11" s="1848" t="n"/>
      <c r="CJ11" s="1848" t="n"/>
      <c r="CK11" s="1848" t="n"/>
      <c r="CL11" s="1848" t="n"/>
      <c r="CM11" s="1848" t="n"/>
      <c r="CN11" s="1848" t="n"/>
      <c r="CO11" s="1848" t="n"/>
      <c r="CP11" s="1848" t="n"/>
      <c r="CQ11" s="1848" t="n"/>
      <c r="CR11" s="1848" t="n"/>
      <c r="CS11" s="1848" t="n"/>
      <c r="CT11" s="1848" t="n"/>
      <c r="CU11" s="1848" t="n"/>
      <c r="CV11" s="1848" t="n"/>
      <c r="CW11" s="1848" t="n"/>
      <c r="CX11" s="1848" t="n"/>
      <c r="CY11" s="1848" t="n"/>
      <c r="CZ11" s="1848" t="n"/>
      <c r="DA11" s="1848" t="n"/>
      <c r="DB11" s="1848" t="n"/>
      <c r="DC11" s="1848" t="n"/>
      <c r="DD11" s="1848" t="n"/>
      <c r="DE11" s="1848" t="n"/>
      <c r="DF11" s="1848" t="n"/>
      <c r="DG11" s="1848" t="n"/>
      <c r="DH11" s="1848" t="n"/>
      <c r="DI11" s="1848" t="n"/>
      <c r="DJ11" s="1848" t="n"/>
      <c r="DK11" s="1848" t="n"/>
      <c r="DL11" s="1848" t="n"/>
      <c r="DM11" s="1848" t="n"/>
      <c r="DN11" s="1848" t="n"/>
      <c r="DO11" s="1848" t="n"/>
      <c r="DP11" s="1848" t="n"/>
      <c r="DR11" s="1848" t="n"/>
    </row>
    <row r="12" ht="14.65" customHeight="1" s="1232">
      <c r="A12" s="75" t="n">
        <v>2</v>
      </c>
      <c r="O12" s="645">
        <f>COUNTA(S12:EB12)</f>
        <v/>
      </c>
      <c r="DG12" s="1848" t="n"/>
      <c r="DH12" s="1848" t="n"/>
      <c r="DI12" s="1848" t="n"/>
      <c r="DJ12" s="1848" t="n"/>
      <c r="DK12" s="1848" t="n"/>
      <c r="DL12" s="1848" t="n"/>
      <c r="DM12" s="1848" t="n"/>
      <c r="DN12" s="1848" t="n"/>
      <c r="DO12" s="1848" t="n"/>
      <c r="DP12" s="1848" t="n"/>
      <c r="DR12" s="1848" t="n"/>
    </row>
    <row r="13" ht="18" customHeight="1" s="1232">
      <c r="A13" s="851" t="n">
        <v>3</v>
      </c>
      <c r="B13" s="1849" t="n">
        <v>43793</v>
      </c>
      <c r="C13" s="1645" t="n">
        <v>395</v>
      </c>
      <c r="D13" s="1645" t="n">
        <v>0</v>
      </c>
      <c r="E13" s="1850" t="inlineStr">
        <is>
          <t>#01532</t>
        </is>
      </c>
      <c r="F13" s="1850" t="inlineStr">
        <is>
          <t>Existing</t>
        </is>
      </c>
      <c r="G13" s="1854" t="inlineStr">
        <is>
          <t>con.mchugh@gmail.com</t>
        </is>
      </c>
      <c r="H13" s="239" t="inlineStr">
        <is>
          <t>Mr</t>
        </is>
      </c>
      <c r="I13" s="239" t="inlineStr">
        <is>
          <t xml:space="preserve">Con </t>
        </is>
      </c>
      <c r="J13" s="240" t="inlineStr">
        <is>
          <t>McHugh</t>
        </is>
      </c>
      <c r="N13" s="656" t="inlineStr">
        <is>
          <t>A</t>
        </is>
      </c>
      <c r="O13" s="645">
        <f>COUNTA(S13:EB13)</f>
        <v/>
      </c>
      <c r="R13" s="726" t="n">
        <v>43862</v>
      </c>
      <c r="BE13" s="1848" t="n"/>
      <c r="BF13" s="1848" t="n"/>
      <c r="BG13" s="1848" t="n">
        <v>43871</v>
      </c>
      <c r="BH13" s="1848" t="n"/>
      <c r="BI13" s="1848" t="n"/>
      <c r="BJ13" s="1848" t="n"/>
      <c r="BK13" s="1848" t="n"/>
      <c r="BL13" s="1848" t="n"/>
      <c r="BM13" s="1848" t="n"/>
      <c r="BN13" s="1848" t="n"/>
      <c r="BO13" s="1848" t="n"/>
      <c r="BP13" s="1848" t="n"/>
      <c r="BQ13" s="1848" t="n"/>
      <c r="BR13" s="1848" t="n"/>
      <c r="BV13" s="1848" t="n"/>
      <c r="BW13" s="1848" t="n"/>
      <c r="BX13" s="1848" t="n"/>
      <c r="BY13" s="1848" t="n"/>
      <c r="BZ13" s="1848" t="n"/>
      <c r="CA13" s="1848" t="n"/>
      <c r="CB13" s="1848" t="n"/>
      <c r="CC13" s="1848" t="n"/>
      <c r="CD13" s="1848" t="n"/>
      <c r="CE13" s="1848" t="n"/>
      <c r="CF13" s="1848" t="n"/>
      <c r="CG13" s="1848" t="n"/>
      <c r="CH13" s="1848" t="n"/>
      <c r="CI13" s="1848" t="n"/>
      <c r="CJ13" s="1848" t="n"/>
      <c r="CK13" s="1848" t="n"/>
      <c r="CL13" s="1848" t="n"/>
      <c r="CM13" s="1848" t="n"/>
      <c r="CN13" s="1848" t="n"/>
      <c r="CO13" s="1848" t="n"/>
      <c r="CP13" s="1848" t="n"/>
      <c r="CQ13" s="1848" t="n"/>
      <c r="CR13" s="1848" t="n"/>
      <c r="CS13" s="1848" t="n"/>
      <c r="CT13" s="1848" t="n"/>
      <c r="CU13" s="1848" t="n"/>
      <c r="CV13" s="1848" t="n"/>
      <c r="CW13" s="1848" t="n"/>
      <c r="CX13" s="1848" t="n"/>
      <c r="CY13" s="1848" t="n"/>
      <c r="CZ13" s="1848" t="n"/>
      <c r="DA13" s="1848" t="n"/>
      <c r="DB13" s="1848" t="n"/>
      <c r="DC13" s="1848" t="n"/>
      <c r="DD13" s="1848" t="n"/>
      <c r="DE13" s="1848" t="n"/>
      <c r="DF13" s="1848" t="n"/>
      <c r="DG13" s="1848" t="n"/>
      <c r="DH13" s="1848" t="n"/>
      <c r="DI13" s="1848" t="n"/>
      <c r="DJ13" s="1848" t="n"/>
      <c r="DK13" s="1848" t="n"/>
      <c r="DL13" s="1848" t="n"/>
      <c r="DM13" s="1848" t="n"/>
      <c r="DN13" s="1848" t="n"/>
      <c r="DO13" s="1848" t="n"/>
      <c r="DP13" s="1848" t="n"/>
      <c r="DR13" s="1848" t="n"/>
    </row>
    <row r="14" ht="15" customHeight="1" s="1232">
      <c r="A14" s="75" t="n">
        <v>4</v>
      </c>
      <c r="B14" s="1849" t="n">
        <v>43836</v>
      </c>
      <c r="C14" s="1645" t="n">
        <v>0</v>
      </c>
      <c r="D14" s="1645" t="n">
        <v>0</v>
      </c>
      <c r="E14" s="1850" t="inlineStr">
        <is>
          <t>#01598</t>
        </is>
      </c>
      <c r="F14" s="1850" t="inlineStr">
        <is>
          <t>Friend</t>
        </is>
      </c>
      <c r="G14" s="1854" t="inlineStr">
        <is>
          <t>robert.griffiths30@btinternet.com</t>
        </is>
      </c>
      <c r="H14" s="239" t="inlineStr">
        <is>
          <t>Mr</t>
        </is>
      </c>
      <c r="I14" s="239" t="inlineStr">
        <is>
          <t>Bob</t>
        </is>
      </c>
      <c r="J14" s="240" t="inlineStr">
        <is>
          <t>Griffiths</t>
        </is>
      </c>
      <c r="N14" s="656" t="inlineStr">
        <is>
          <t>L</t>
        </is>
      </c>
      <c r="O14" s="645">
        <f>COUNTA(S14:EB14)</f>
        <v/>
      </c>
      <c r="R14" s="726" t="n">
        <v>43862</v>
      </c>
      <c r="BE14" s="1848" t="n"/>
      <c r="BF14" s="1848" t="n"/>
      <c r="BG14" s="1848" t="n">
        <v>43871</v>
      </c>
      <c r="BH14" s="1848" t="n"/>
      <c r="BI14" s="1848" t="n"/>
      <c r="BJ14" s="1848" t="n">
        <v>43922</v>
      </c>
      <c r="BK14" s="1848" t="n"/>
      <c r="BL14" s="1848" t="n"/>
      <c r="BM14" s="1848" t="n"/>
      <c r="BN14" s="1848" t="n"/>
      <c r="BO14" s="1848" t="n"/>
      <c r="BP14" s="1848" t="n"/>
      <c r="BQ14" s="1848" t="n"/>
      <c r="BR14" s="1848" t="n"/>
      <c r="BV14" s="1848" t="n"/>
      <c r="BW14" s="1848" t="n"/>
      <c r="BX14" s="1848" t="n"/>
      <c r="BY14" s="1848" t="n"/>
      <c r="BZ14" s="1848" t="n"/>
      <c r="CA14" s="1848" t="n"/>
      <c r="CB14" s="1848" t="n"/>
      <c r="CC14" s="1848" t="n"/>
      <c r="CD14" s="1848" t="n"/>
      <c r="CE14" s="1848" t="n"/>
      <c r="CF14" s="1848" t="n"/>
      <c r="CG14" s="1848" t="n"/>
      <c r="CH14" s="1848" t="n"/>
      <c r="CI14" s="1848" t="n"/>
      <c r="CJ14" s="1848" t="n"/>
      <c r="CK14" s="1848" t="n"/>
      <c r="CL14" s="1848" t="n"/>
      <c r="CM14" s="1848" t="n"/>
      <c r="CN14" s="1848" t="n"/>
      <c r="CO14" s="1848" t="n"/>
      <c r="CP14" s="1848" t="n"/>
      <c r="CQ14" s="1848" t="n"/>
      <c r="CR14" s="1848" t="n"/>
      <c r="CS14" s="1848" t="n"/>
      <c r="CT14" s="1848" t="n"/>
      <c r="CU14" s="1848" t="n"/>
      <c r="CV14" s="1848" t="n"/>
      <c r="CW14" s="1848" t="n"/>
      <c r="CX14" s="1848" t="n"/>
      <c r="CY14" s="1848" t="n"/>
      <c r="CZ14" s="1848" t="n"/>
      <c r="DA14" s="1848" t="n"/>
      <c r="DB14" s="1848" t="n"/>
      <c r="DC14" s="1848" t="n"/>
      <c r="DD14" s="1848" t="n"/>
      <c r="DE14" s="1848" t="n"/>
      <c r="DF14" s="1848" t="n"/>
      <c r="DG14" s="1848" t="n"/>
      <c r="DH14" s="1848" t="n"/>
      <c r="DI14" s="1848" t="n"/>
      <c r="DJ14" s="1848" t="n"/>
      <c r="DK14" s="1848" t="n"/>
      <c r="DL14" s="1848" t="n"/>
      <c r="DM14" s="1848" t="n"/>
      <c r="DN14" s="1848" t="n"/>
      <c r="DO14" s="1848" t="n"/>
      <c r="DP14" s="1848" t="n"/>
      <c r="DR14" s="1848" t="n"/>
    </row>
    <row r="15" ht="18" customHeight="1" s="1232">
      <c r="A15" s="851" t="n">
        <v>5</v>
      </c>
      <c r="B15" s="1855" t="n">
        <v>43836</v>
      </c>
      <c r="C15" s="1607" t="n">
        <v>395</v>
      </c>
      <c r="D15" s="1607" t="n"/>
      <c r="E15" s="1856" t="inlineStr">
        <is>
          <t>#01603</t>
        </is>
      </c>
      <c r="F15" s="1856" t="inlineStr">
        <is>
          <t>Existing</t>
        </is>
      </c>
      <c r="G15" s="1857" t="inlineStr">
        <is>
          <t>helen.sotheran@gmail.com</t>
        </is>
      </c>
      <c r="H15" s="91" t="inlineStr">
        <is>
          <t>Mrs</t>
        </is>
      </c>
      <c r="I15" s="91" t="inlineStr">
        <is>
          <t>Helen</t>
        </is>
      </c>
      <c r="J15" s="93" t="inlineStr">
        <is>
          <t>Sotheran</t>
        </is>
      </c>
      <c r="N15" s="656" t="inlineStr">
        <is>
          <t>L</t>
        </is>
      </c>
      <c r="O15" s="645">
        <f>COUNTA(S15:EB15)</f>
        <v/>
      </c>
      <c r="R15" s="726" t="inlineStr">
        <is>
          <t>Jan -20</t>
        </is>
      </c>
      <c r="BI15" s="1848" t="n"/>
      <c r="BJ15" s="1848" t="n">
        <v>43922</v>
      </c>
      <c r="BP15" s="1848" t="n"/>
      <c r="BQ15" s="1848" t="n"/>
      <c r="BR15" s="1848" t="n"/>
      <c r="BV15" s="1848" t="n">
        <v>3.333333333333333</v>
      </c>
      <c r="BW15" s="1848" t="n"/>
      <c r="BX15" s="1848" t="n">
        <v>44158</v>
      </c>
      <c r="BY15" s="1848" t="n"/>
      <c r="BZ15" s="1848" t="n"/>
      <c r="CA15" s="1848" t="n">
        <v>44312</v>
      </c>
      <c r="CB15" s="1848" t="n"/>
      <c r="CC15" s="1848" t="n"/>
      <c r="CD15" s="1848" t="n"/>
      <c r="CE15" s="1848" t="n"/>
      <c r="CF15" s="1848" t="n"/>
      <c r="CG15" s="1848" t="n"/>
      <c r="CH15" s="1848" t="n"/>
      <c r="CI15" s="1848" t="n"/>
      <c r="CJ15" s="1848" t="n"/>
      <c r="CK15" s="1848" t="n"/>
      <c r="CL15" s="1848" t="n"/>
      <c r="CM15" s="1848" t="n"/>
      <c r="CN15" s="1848" t="n"/>
      <c r="CO15" s="1848" t="n"/>
      <c r="CP15" s="1848" t="n"/>
      <c r="CQ15" s="1848" t="n"/>
      <c r="CR15" s="1848" t="n"/>
      <c r="CS15" s="1848" t="n"/>
      <c r="CT15" s="1848" t="n"/>
      <c r="CU15" s="1848" t="n"/>
      <c r="CV15" s="1848" t="n"/>
      <c r="CW15" s="1848" t="n"/>
      <c r="CX15" s="1848" t="n"/>
      <c r="CY15" s="1848" t="n"/>
      <c r="CZ15" s="1848" t="n"/>
      <c r="DA15" s="1848" t="n"/>
      <c r="DB15" s="1848" t="n"/>
      <c r="DC15" s="1848" t="n"/>
      <c r="DD15" s="1848" t="n"/>
      <c r="DE15" s="1848" t="n"/>
      <c r="DF15" s="1848" t="n"/>
      <c r="DG15" s="1848" t="n"/>
      <c r="DH15" s="1848" t="n"/>
      <c r="DI15" s="1848" t="n"/>
      <c r="DJ15" s="1848" t="n"/>
      <c r="DK15" s="1848" t="n"/>
      <c r="DL15" s="1848" t="n"/>
      <c r="DM15" s="1848" t="n"/>
      <c r="DN15" s="1848" t="n"/>
      <c r="DO15" s="1848" t="n"/>
      <c r="DP15" s="1848" t="n"/>
      <c r="DR15" s="1848" t="n"/>
    </row>
    <row r="16" ht="18" customHeight="1" s="1232">
      <c r="A16" s="75" t="n">
        <v>6</v>
      </c>
      <c r="B16" s="1849" t="n">
        <v>43841</v>
      </c>
      <c r="C16" s="1645" t="n">
        <v>395</v>
      </c>
      <c r="D16" s="1645" t="n"/>
      <c r="E16" s="1850" t="inlineStr">
        <is>
          <t>#01606</t>
        </is>
      </c>
      <c r="F16" s="1850" t="inlineStr">
        <is>
          <t>Existing</t>
        </is>
      </c>
      <c r="G16" s="1854" t="inlineStr">
        <is>
          <t xml:space="preserve">tonyteague@btinternet.com </t>
        </is>
      </c>
      <c r="H16" s="239" t="inlineStr">
        <is>
          <t>Mr</t>
        </is>
      </c>
      <c r="I16" s="239" t="inlineStr">
        <is>
          <t>Tony</t>
        </is>
      </c>
      <c r="J16" s="240" t="inlineStr">
        <is>
          <t>Teague</t>
        </is>
      </c>
      <c r="K16" s="864" t="n"/>
      <c r="L16" s="864" t="n"/>
      <c r="M16" s="864" t="n"/>
      <c r="N16" s="656" t="inlineStr">
        <is>
          <t>A</t>
        </is>
      </c>
      <c r="O16" s="645">
        <f>COUNTA(S16:EB16)</f>
        <v/>
      </c>
      <c r="R16" s="726" t="inlineStr">
        <is>
          <t>Jan -20</t>
        </is>
      </c>
      <c r="BE16" s="1848" t="n"/>
      <c r="BF16" s="1848" t="n"/>
      <c r="BG16" s="1848" t="n">
        <v>43871</v>
      </c>
      <c r="BH16" s="1848" t="n"/>
      <c r="BI16" s="1848" t="n"/>
      <c r="BJ16" s="1848" t="n"/>
      <c r="BK16" s="1848" t="n"/>
      <c r="BP16" s="1848" t="n"/>
      <c r="BQ16" s="1848" t="n"/>
      <c r="BR16" s="1848" t="n"/>
      <c r="BV16" s="1848" t="n"/>
      <c r="BW16" s="1848" t="n">
        <v>44123</v>
      </c>
      <c r="BX16" s="1848" t="n"/>
      <c r="BY16" s="1848" t="n"/>
      <c r="BZ16" s="1848" t="n"/>
      <c r="CA16" s="1848" t="n"/>
      <c r="CB16" s="1848" t="n"/>
      <c r="CC16" s="1848" t="n"/>
      <c r="CD16" s="1848" t="n"/>
      <c r="CE16" s="1848" t="n"/>
      <c r="CF16" s="1848" t="n"/>
      <c r="CG16" s="1848" t="n">
        <v>44480</v>
      </c>
      <c r="CH16" s="1848" t="n"/>
      <c r="CI16" s="1848" t="n"/>
      <c r="CJ16" s="1848" t="n">
        <v>44529</v>
      </c>
      <c r="CK16" s="1848" t="n">
        <v>44538</v>
      </c>
      <c r="CL16" s="1848" t="n"/>
      <c r="CM16" s="1848" t="n"/>
      <c r="CN16" s="1848" t="n"/>
      <c r="CO16" s="1848" t="n"/>
      <c r="CP16" s="1848" t="n"/>
      <c r="CQ16" s="1848" t="n"/>
      <c r="CR16" s="1848" t="n"/>
      <c r="CS16" s="1848" t="n"/>
      <c r="CT16" s="1848" t="n"/>
      <c r="CU16" s="1848" t="n"/>
      <c r="CV16" s="1848" t="n"/>
      <c r="CW16" s="1848" t="n"/>
      <c r="CX16" s="1848" t="n"/>
      <c r="CY16" s="1848" t="n"/>
      <c r="CZ16" s="1848" t="n"/>
      <c r="DA16" s="1848" t="n"/>
      <c r="DB16" s="1848" t="n"/>
      <c r="DC16" s="1848" t="n"/>
      <c r="DD16" s="1848" t="n"/>
      <c r="DE16" s="1848" t="n"/>
      <c r="DF16" s="1848" t="n"/>
      <c r="DG16" s="1848" t="n"/>
      <c r="DH16" s="1848" t="n"/>
      <c r="DI16" s="1848" t="n"/>
      <c r="DJ16" s="1848" t="n"/>
      <c r="DK16" s="1848" t="n"/>
      <c r="DL16" s="1848" t="n"/>
      <c r="DM16" s="1848" t="n"/>
      <c r="DN16" s="1848" t="n"/>
      <c r="DO16" s="1848" t="n"/>
      <c r="DP16" s="1848" t="n"/>
      <c r="DR16" s="1848" t="n"/>
    </row>
    <row r="17" ht="18" customHeight="1" s="1232">
      <c r="A17" s="851" t="n">
        <v>7</v>
      </c>
      <c r="B17" s="1849" t="n">
        <v>44420</v>
      </c>
      <c r="C17" s="1645" t="n">
        <v>395</v>
      </c>
      <c r="D17" s="1645" t="n"/>
      <c r="E17" s="1850" t="inlineStr">
        <is>
          <t>#02010</t>
        </is>
      </c>
      <c r="F17" s="1850" t="inlineStr">
        <is>
          <t>Google</t>
        </is>
      </c>
      <c r="G17" s="1854" t="inlineStr">
        <is>
          <t xml:space="preserve">mark@chalets1066.com </t>
        </is>
      </c>
      <c r="H17" s="239" t="inlineStr">
        <is>
          <t xml:space="preserve">Mr </t>
        </is>
      </c>
      <c r="I17" s="239" t="inlineStr">
        <is>
          <t>Mark</t>
        </is>
      </c>
      <c r="J17" s="240" t="inlineStr">
        <is>
          <t>Nathan</t>
        </is>
      </c>
      <c r="M17" s="656" t="inlineStr">
        <is>
          <t>Extended Nov 2022</t>
        </is>
      </c>
      <c r="N17" s="656" t="inlineStr">
        <is>
          <t>L</t>
        </is>
      </c>
      <c r="O17" s="645">
        <f>COUNTA(S17:EB17)</f>
        <v/>
      </c>
      <c r="R17" s="726" t="n">
        <v>44409</v>
      </c>
      <c r="BE17" s="1848" t="n"/>
      <c r="BF17" s="1848" t="n"/>
      <c r="BG17" s="1848" t="n"/>
      <c r="BH17" s="1848" t="n"/>
      <c r="BI17" s="1848" t="n"/>
      <c r="BJ17" s="1848" t="n"/>
      <c r="BK17" s="1848" t="n"/>
      <c r="BL17" s="1848" t="n"/>
      <c r="BM17" s="1848" t="n"/>
      <c r="BN17" s="1848" t="n"/>
      <c r="BO17" s="1848" t="n"/>
      <c r="BP17" s="1848" t="n"/>
      <c r="BQ17" s="1848" t="n"/>
      <c r="BR17" s="1848" t="n"/>
      <c r="CB17" s="1848" t="n"/>
      <c r="CC17" s="1848" t="n"/>
      <c r="CD17" s="1848" t="n"/>
      <c r="CE17" s="1848" t="n">
        <v>44440</v>
      </c>
      <c r="CF17" s="1848" t="n"/>
      <c r="CG17" s="1848" t="n"/>
      <c r="CH17" s="1848" t="n"/>
      <c r="CI17" s="1848" t="n"/>
      <c r="CJ17" s="1848" t="n"/>
      <c r="CK17" s="1848" t="n">
        <v>44538</v>
      </c>
      <c r="CL17" s="1848" t="n"/>
      <c r="CM17" s="1848" t="n"/>
      <c r="CN17" s="1848" t="n"/>
      <c r="CO17" s="1848" t="n"/>
      <c r="CS17" s="1848" t="n"/>
      <c r="CT17" s="1848" t="n"/>
      <c r="CU17" s="1848" t="n"/>
      <c r="CV17" s="1848" t="n"/>
      <c r="CW17" s="1848" t="n"/>
      <c r="CX17" s="1848" t="n"/>
      <c r="CY17" s="1848" t="n"/>
      <c r="CZ17" s="1848" t="n"/>
      <c r="DA17" s="1848" t="n"/>
      <c r="DB17" s="1848" t="n"/>
      <c r="DC17" s="1848" t="n"/>
      <c r="DD17" s="1848" t="n"/>
      <c r="DE17" s="1848" t="n"/>
      <c r="DF17" s="1848" t="n">
        <v>44902</v>
      </c>
      <c r="DG17" s="1848" t="n"/>
      <c r="DH17" s="1848" t="n"/>
      <c r="DI17" s="1848" t="n"/>
      <c r="DJ17" s="1848" t="n"/>
      <c r="DK17" s="1848" t="n"/>
      <c r="DL17" s="1848" t="n"/>
      <c r="DM17" s="1848" t="n"/>
      <c r="DN17" s="1848" t="n"/>
      <c r="DO17" s="1848" t="n"/>
      <c r="DP17" s="1848" t="n"/>
      <c r="DQ17" s="1848" t="n"/>
      <c r="DR17" s="1848" t="n"/>
    </row>
    <row r="18" ht="18" customHeight="1" s="1232">
      <c r="A18" s="75" t="n">
        <v>8</v>
      </c>
      <c r="B18" s="1855" t="n">
        <v>44652</v>
      </c>
      <c r="C18" s="1607" t="n">
        <v>395</v>
      </c>
      <c r="D18" s="1607" t="n"/>
      <c r="E18" s="1856" t="inlineStr">
        <is>
          <t>#02243</t>
        </is>
      </c>
      <c r="F18" s="1856" t="inlineStr">
        <is>
          <t>JLR</t>
        </is>
      </c>
      <c r="G18" s="1857" t="inlineStr">
        <is>
          <t xml:space="preserve">schampi100@gmail.com </t>
        </is>
      </c>
      <c r="H18" s="91" t="inlineStr">
        <is>
          <t>Mr</t>
        </is>
      </c>
      <c r="I18" s="91" t="inlineStr">
        <is>
          <t>Stephen</t>
        </is>
      </c>
      <c r="J18" s="93" t="inlineStr">
        <is>
          <t>Champion</t>
        </is>
      </c>
      <c r="M18" s="656" t="inlineStr">
        <is>
          <t>07468473735</t>
        </is>
      </c>
      <c r="N18" s="656" t="inlineStr">
        <is>
          <t>L</t>
        </is>
      </c>
      <c r="O18" s="645">
        <f>COUNTA(S18:EB18)</f>
        <v/>
      </c>
      <c r="R18" s="726" t="inlineStr">
        <is>
          <t>Apr-22</t>
        </is>
      </c>
      <c r="CK18" s="1848" t="n"/>
      <c r="CL18" s="1848" t="n"/>
      <c r="CM18" s="1848" t="n"/>
      <c r="CN18" s="1848" t="n"/>
      <c r="CO18" s="1848" t="n"/>
      <c r="CT18" s="1848" t="n">
        <v>44690</v>
      </c>
      <c r="CU18" s="1848" t="n">
        <v>44707</v>
      </c>
      <c r="CV18" s="1848" t="n"/>
      <c r="CW18" s="1848" t="n"/>
      <c r="CX18" s="1848" t="n"/>
      <c r="CY18" s="1848" t="n"/>
      <c r="CZ18" s="1848" t="n"/>
      <c r="DA18" s="1848" t="n"/>
      <c r="DB18" s="1848" t="n"/>
      <c r="DC18" s="1848" t="n"/>
      <c r="DD18" s="1848" t="n"/>
      <c r="DE18" s="1848" t="n"/>
      <c r="DF18" s="1848" t="n"/>
      <c r="DG18" s="1848" t="n"/>
      <c r="DH18" s="1848" t="n"/>
      <c r="DI18" s="1848" t="n"/>
      <c r="DJ18" s="1848" t="n"/>
      <c r="DK18" s="1848" t="n"/>
      <c r="DL18" s="1848" t="n"/>
      <c r="DM18" s="1848" t="n"/>
      <c r="DN18" s="1848" t="n"/>
      <c r="DO18" s="1848" t="n"/>
      <c r="DP18" s="1848" t="n"/>
      <c r="DQ18" s="1848" t="n"/>
      <c r="DR18" s="1848" t="n"/>
    </row>
    <row r="19" ht="18" customHeight="1" s="1232">
      <c r="A19" s="851" t="n">
        <v>9</v>
      </c>
      <c r="B19" s="1855" t="n">
        <v>44859</v>
      </c>
      <c r="C19" s="1607" t="n">
        <v>395</v>
      </c>
      <c r="D19" s="1559" t="n">
        <v>0</v>
      </c>
      <c r="E19" s="1856" t="inlineStr">
        <is>
          <t>#02358</t>
        </is>
      </c>
      <c r="F19" s="1856" t="inlineStr">
        <is>
          <t>Google</t>
        </is>
      </c>
      <c r="G19" s="1858" t="inlineStr">
        <is>
          <t>johnson.pete@btinternet.com</t>
        </is>
      </c>
      <c r="H19" s="91" t="inlineStr">
        <is>
          <t>Mr</t>
        </is>
      </c>
      <c r="I19" s="91" t="inlineStr">
        <is>
          <t>Peter</t>
        </is>
      </c>
      <c r="J19" s="91" t="inlineStr">
        <is>
          <t>Johnson</t>
        </is>
      </c>
      <c r="K19" s="1855" t="n"/>
      <c r="L19" s="1607" t="n"/>
      <c r="M19" s="1559" t="inlineStr">
        <is>
          <t>07974350876</t>
        </is>
      </c>
      <c r="N19" s="656" t="inlineStr">
        <is>
          <t>L</t>
        </is>
      </c>
      <c r="O19" s="645">
        <f>COUNTA(S19:EB19)</f>
        <v/>
      </c>
      <c r="R19" s="726" t="n">
        <v>45658</v>
      </c>
      <c r="DJ19" s="1848" t="n">
        <v>44984</v>
      </c>
      <c r="DL19" s="1848" t="n"/>
      <c r="DM19" s="1848" t="n">
        <v>45118</v>
      </c>
      <c r="DN19" s="1848" t="n"/>
      <c r="DO19" s="1848" t="n"/>
      <c r="DP19" s="1848" t="n"/>
      <c r="DQ19" s="1848" t="n"/>
      <c r="DR19" s="1848" t="n"/>
    </row>
    <row r="20" ht="18" customHeight="1" s="1232">
      <c r="A20" s="75" t="n">
        <v>10</v>
      </c>
      <c r="B20" s="1855" t="n">
        <v>45498</v>
      </c>
      <c r="C20" s="1559" t="n">
        <v>395</v>
      </c>
      <c r="E20" s="1830" t="inlineStr">
        <is>
          <t>#02825</t>
        </is>
      </c>
      <c r="F20" s="1830" t="inlineStr">
        <is>
          <t>Google</t>
        </is>
      </c>
      <c r="G20" s="1858" t="inlineStr">
        <is>
          <t>myra_little@hotmail.com</t>
        </is>
      </c>
      <c r="H20" s="91" t="inlineStr">
        <is>
          <t>Ms</t>
        </is>
      </c>
      <c r="I20" s="91" t="inlineStr">
        <is>
          <t>Myra</t>
        </is>
      </c>
      <c r="J20" s="91" t="inlineStr">
        <is>
          <t>Little</t>
        </is>
      </c>
      <c r="M20" s="1048" t="inlineStr">
        <is>
          <t>07483242312</t>
        </is>
      </c>
      <c r="N20" s="656" t="inlineStr">
        <is>
          <t>L</t>
        </is>
      </c>
      <c r="O20" s="645">
        <f>COUNTA(S20:EB20)</f>
        <v/>
      </c>
      <c r="R20" s="726" t="inlineStr">
        <is>
          <t>Jul-24</t>
        </is>
      </c>
      <c r="DR20" s="1848" t="n">
        <v>45519</v>
      </c>
    </row>
    <row r="21" ht="18" customHeight="1" s="1232">
      <c r="A21" s="851" t="n">
        <v>11</v>
      </c>
      <c r="B21" s="1855" t="n">
        <v>45628</v>
      </c>
      <c r="C21" s="1559" t="n">
        <v>395</v>
      </c>
      <c r="D21" s="1559" t="n">
        <v>0</v>
      </c>
      <c r="E21" s="1830" t="inlineStr">
        <is>
          <t>#02908</t>
        </is>
      </c>
      <c r="F21" s="1830" t="inlineStr">
        <is>
          <t>Google</t>
        </is>
      </c>
      <c r="G21" s="1858" t="inlineStr">
        <is>
          <t xml:space="preserve">cadwitney@gmail.com </t>
        </is>
      </c>
      <c r="H21" s="91" t="inlineStr">
        <is>
          <t>Mr</t>
        </is>
      </c>
      <c r="I21" s="91" t="inlineStr">
        <is>
          <t>Chris</t>
        </is>
      </c>
      <c r="J21" s="91" t="inlineStr">
        <is>
          <t>dunn</t>
        </is>
      </c>
      <c r="M21" s="1048" t="inlineStr">
        <is>
          <t>07403678681</t>
        </is>
      </c>
      <c r="N21" s="656" t="inlineStr">
        <is>
          <t>L</t>
        </is>
      </c>
      <c r="O21" s="645">
        <f>COUNTA(S21:EB21)</f>
        <v/>
      </c>
      <c r="R21" s="726" t="n">
        <v>45627</v>
      </c>
      <c r="DR21" s="1848" t="n"/>
    </row>
    <row r="22" ht="18" customHeight="1" s="1232">
      <c r="A22" s="75" t="n">
        <v>12</v>
      </c>
      <c r="B22" s="1855" t="n"/>
      <c r="G22" s="1858" t="n"/>
      <c r="H22" s="91" t="n"/>
      <c r="I22" s="91" t="n"/>
      <c r="J22" s="91" t="n"/>
      <c r="M22" s="1048" t="n"/>
      <c r="O22" s="645" t="n"/>
      <c r="R22" s="726" t="n"/>
      <c r="DR22" s="1848" t="n"/>
    </row>
    <row r="23" ht="18" customHeight="1" s="1232">
      <c r="A23" s="75" t="n">
        <v>13</v>
      </c>
      <c r="B23" s="1855" t="n"/>
      <c r="G23" s="1858" t="n"/>
      <c r="H23" s="91" t="n"/>
      <c r="I23" s="91" t="n"/>
      <c r="J23" s="91" t="n"/>
      <c r="M23" s="1048" t="n"/>
      <c r="O23" s="645" t="n"/>
      <c r="R23" s="726" t="n"/>
      <c r="DR23" s="1848" t="n"/>
    </row>
    <row r="24" ht="18" customHeight="1" s="1232">
      <c r="A24" s="75" t="n">
        <v>14</v>
      </c>
      <c r="B24" s="1855" t="n"/>
      <c r="G24" s="1858" t="n"/>
      <c r="H24" s="91" t="n"/>
      <c r="I24" s="91" t="n"/>
      <c r="J24" s="91" t="n"/>
      <c r="M24" s="1048" t="n"/>
      <c r="O24" s="645" t="n"/>
      <c r="R24" s="726" t="n"/>
      <c r="DL24" s="1848" t="n"/>
      <c r="DM24" s="1848" t="n"/>
      <c r="DN24" s="1848" t="n"/>
      <c r="DO24" s="1848" t="n"/>
      <c r="DP24" s="1848" t="n"/>
      <c r="DQ24" s="1848" t="n"/>
      <c r="DR24" s="1848" t="n"/>
    </row>
    <row r="25" ht="18" customHeight="1" s="1232">
      <c r="B25" s="1855" t="n"/>
      <c r="G25" s="1858" t="n"/>
      <c r="H25" s="91" t="n"/>
      <c r="I25" s="91" t="n"/>
      <c r="J25" s="91" t="n"/>
      <c r="M25" s="1048" t="n"/>
      <c r="O25" s="645" t="n"/>
      <c r="R25" s="726" t="n"/>
      <c r="CM25" s="1848" t="n"/>
      <c r="CN25" s="1848" t="n"/>
      <c r="CO25" s="1848" t="n"/>
      <c r="CT25" s="1848" t="n"/>
      <c r="CU25" s="1848" t="n"/>
      <c r="CV25" s="1848" t="n"/>
      <c r="CW25" s="1848" t="n"/>
      <c r="CX25" s="1848" t="n"/>
      <c r="CY25" s="1848" t="n"/>
      <c r="CZ25" s="1848" t="n"/>
      <c r="DA25" s="1848" t="n"/>
      <c r="DB25" s="1848" t="n"/>
      <c r="DC25" s="1848" t="n"/>
      <c r="DD25" s="1848" t="n"/>
      <c r="DE25" s="1848" t="n"/>
      <c r="DF25" s="1848" t="n"/>
      <c r="DG25" s="1848" t="n"/>
      <c r="DH25" s="1848" t="n"/>
      <c r="DI25" s="1848" t="n"/>
      <c r="DJ25" s="1848" t="n"/>
      <c r="DK25" s="1848" t="n"/>
      <c r="DL25" s="1848" t="n"/>
      <c r="DM25" s="1848" t="n"/>
      <c r="DN25" s="1848" t="n"/>
      <c r="DO25" s="1848" t="n"/>
      <c r="DP25" s="1848" t="n"/>
      <c r="DQ25" s="1848" t="n"/>
      <c r="DR25" s="1848" t="n"/>
    </row>
    <row r="26" ht="18" customHeight="1" s="1232">
      <c r="B26" s="1855" t="n"/>
      <c r="G26" s="1857" t="n"/>
      <c r="H26" s="91" t="n"/>
      <c r="I26" s="91" t="n"/>
      <c r="J26" s="91" t="n"/>
      <c r="O26" s="645" t="n"/>
      <c r="R26" s="726" t="n"/>
      <c r="BE26" s="1848" t="n"/>
      <c r="BF26" s="1848" t="n"/>
      <c r="BG26" s="1848" t="n"/>
      <c r="BH26" s="1848" t="n"/>
      <c r="BI26" s="1848" t="n"/>
      <c r="BJ26" s="1848" t="n"/>
      <c r="BK26" s="1848" t="n"/>
      <c r="BL26" s="1848" t="n"/>
      <c r="BM26" s="1848" t="n"/>
      <c r="BN26" s="1848" t="n"/>
      <c r="BO26" s="1848" t="n"/>
      <c r="BP26" s="1848" t="n"/>
      <c r="BQ26" s="1848" t="n"/>
      <c r="BR26" s="1848" t="n"/>
      <c r="CB26" s="1848" t="n"/>
      <c r="CC26" s="1848" t="n"/>
      <c r="CD26" s="1848" t="n"/>
      <c r="CE26" s="1848" t="n"/>
      <c r="CF26" s="1848" t="n"/>
      <c r="CG26" s="1848" t="n"/>
      <c r="CH26" s="1848" t="n"/>
      <c r="CI26" s="1848" t="n"/>
      <c r="CJ26" s="1848" t="n"/>
      <c r="CK26" s="1848" t="n"/>
      <c r="CL26" s="1848" t="n"/>
      <c r="CM26" s="1848" t="n"/>
      <c r="CN26" s="1848" t="n"/>
      <c r="CO26" s="1848" t="n"/>
      <c r="CT26" s="1848" t="n"/>
      <c r="CU26" s="1848" t="n"/>
      <c r="CV26" s="1848" t="n"/>
      <c r="CW26" s="1848" t="n"/>
      <c r="CX26" s="1848" t="n"/>
      <c r="CY26" s="1848" t="n"/>
      <c r="CZ26" s="1848" t="n"/>
      <c r="DA26" s="1848" t="n"/>
      <c r="DB26" s="1848" t="n"/>
      <c r="DC26" s="1848" t="n"/>
      <c r="DD26" s="1848" t="n"/>
      <c r="DE26" s="1848" t="n"/>
      <c r="DF26" s="1848" t="n"/>
      <c r="DG26" s="1848" t="n"/>
      <c r="DH26" s="1848" t="n"/>
      <c r="DI26" s="1848" t="n"/>
      <c r="DJ26" s="1848" t="n"/>
      <c r="DK26" s="1848" t="n"/>
      <c r="DL26" s="1848" t="n"/>
      <c r="DM26" s="1848" t="n"/>
      <c r="DN26" s="1848" t="n"/>
      <c r="DO26" s="1848" t="n"/>
      <c r="DP26" s="1848" t="n"/>
      <c r="DQ26" s="1848" t="n"/>
      <c r="DR26" s="1848" t="n"/>
    </row>
    <row r="27" ht="18" customHeight="1" s="1232">
      <c r="B27" s="1855" t="n"/>
      <c r="G27" s="1857" t="n"/>
      <c r="H27" s="91" t="n"/>
      <c r="I27" s="91" t="n"/>
      <c r="J27" s="91" t="n"/>
      <c r="O27" s="645" t="n"/>
      <c r="R27" s="726" t="n"/>
      <c r="BE27" s="1848" t="n"/>
      <c r="BF27" s="1848" t="n"/>
      <c r="BG27" s="1848" t="n"/>
      <c r="BH27" s="1848" t="n"/>
      <c r="BI27" s="1848" t="n"/>
      <c r="BJ27" s="1848" t="n"/>
      <c r="BK27" s="1848" t="n"/>
      <c r="BL27" s="1848" t="n"/>
      <c r="BM27" s="1848" t="n"/>
      <c r="BN27" s="1848" t="n"/>
      <c r="BO27" s="1848" t="n"/>
      <c r="BP27" s="1848" t="n"/>
      <c r="BQ27" s="1848" t="n"/>
      <c r="BR27" s="1848" t="n"/>
      <c r="CB27" s="1848" t="n"/>
      <c r="CC27" s="1848" t="n"/>
      <c r="CD27" s="1848" t="n"/>
      <c r="CE27" s="1848" t="n"/>
      <c r="CF27" s="1848" t="n"/>
      <c r="CG27" s="1848" t="n"/>
      <c r="CH27" s="1848" t="n"/>
      <c r="CI27" s="1848" t="n"/>
      <c r="CJ27" s="1848" t="n"/>
      <c r="CK27" s="1848" t="n"/>
      <c r="CL27" s="1848" t="n"/>
      <c r="CM27" s="1848" t="n"/>
      <c r="CN27" s="1848" t="n"/>
      <c r="CO27" s="1848" t="n"/>
      <c r="CT27" s="1848" t="n"/>
      <c r="CU27" s="1848" t="n"/>
      <c r="CV27" s="1848" t="n"/>
      <c r="CW27" s="1848" t="n"/>
      <c r="CX27" s="1848" t="n"/>
      <c r="CY27" s="1848" t="n"/>
      <c r="CZ27" s="1848" t="n"/>
      <c r="DA27" s="1848" t="n"/>
      <c r="DB27" s="1848" t="n"/>
      <c r="DC27" s="1848" t="n"/>
      <c r="DD27" s="1848" t="n"/>
      <c r="DE27" s="1848" t="n"/>
      <c r="DF27" s="1848" t="n"/>
      <c r="DG27" s="1848" t="n"/>
      <c r="DH27" s="1848" t="n"/>
      <c r="DI27" s="1848" t="n"/>
      <c r="DJ27" s="1848" t="n"/>
      <c r="DK27" s="1848" t="n"/>
      <c r="DL27" s="1848" t="n"/>
      <c r="DM27" s="1848" t="n"/>
      <c r="DN27" s="1848" t="n"/>
      <c r="DO27" s="1848" t="n"/>
      <c r="DP27" s="1848" t="n"/>
      <c r="DQ27" s="1848" t="n"/>
    </row>
    <row r="28" ht="18" customHeight="1" s="1232">
      <c r="A28" s="247" t="n"/>
      <c r="O28" s="774">
        <f>SUM(S28:CB28)</f>
        <v/>
      </c>
      <c r="P28" s="645">
        <f>COUNTA(P11:P14)</f>
        <v/>
      </c>
      <c r="Q28" s="645">
        <f>COUNTA(Q11:Q14)</f>
        <v/>
      </c>
      <c r="R28" s="645" t="n"/>
      <c r="S28" s="645">
        <f>COUNTA(S11:S25)</f>
        <v/>
      </c>
      <c r="T28" s="645">
        <f>COUNTA(T11:T25)</f>
        <v/>
      </c>
      <c r="U28" s="645">
        <f>COUNTA(U11:U25)</f>
        <v/>
      </c>
      <c r="V28" s="645">
        <f>COUNTA(V11:V25)</f>
        <v/>
      </c>
      <c r="W28" s="645">
        <f>COUNTA(W11:W25)</f>
        <v/>
      </c>
      <c r="X28" s="645">
        <f>COUNTA(X11:X25)</f>
        <v/>
      </c>
      <c r="Y28" s="645">
        <f>COUNTA(Y11:Y25)</f>
        <v/>
      </c>
      <c r="Z28" s="645">
        <f>COUNTA(Z11:Z25)</f>
        <v/>
      </c>
      <c r="AA28" s="645">
        <f>COUNTA(AA11:AA25)</f>
        <v/>
      </c>
      <c r="AB28" s="645">
        <f>COUNTA(AB11:AB25)</f>
        <v/>
      </c>
      <c r="AC28" s="645">
        <f>COUNTA(AC11:AC25)</f>
        <v/>
      </c>
      <c r="AD28" s="645">
        <f>COUNTA(AD11:AD25)</f>
        <v/>
      </c>
      <c r="AE28" s="645">
        <f>COUNTA(AE11:AE25)</f>
        <v/>
      </c>
      <c r="AF28" s="645">
        <f>COUNTA(AF11:AF25)</f>
        <v/>
      </c>
      <c r="AG28" s="645">
        <f>COUNTA(AG11:AG25)</f>
        <v/>
      </c>
      <c r="AH28" s="645">
        <f>COUNTA(AH11:AH25)</f>
        <v/>
      </c>
      <c r="AI28" s="645">
        <f>COUNTA(AI11:AI25)</f>
        <v/>
      </c>
      <c r="AJ28" s="645">
        <f>COUNTA(AJ11:AJ25)</f>
        <v/>
      </c>
      <c r="AK28" s="645">
        <f>COUNTA(AK11:AK25)</f>
        <v/>
      </c>
      <c r="AL28" s="645">
        <f>COUNTA(AL11:AL25)</f>
        <v/>
      </c>
      <c r="AM28" s="645">
        <f>COUNTA(AM11:AM25)</f>
        <v/>
      </c>
      <c r="AN28" s="645">
        <f>COUNTA(AN11:AN25)</f>
        <v/>
      </c>
      <c r="AO28" s="645">
        <f>COUNTA(AO11:AO25)</f>
        <v/>
      </c>
      <c r="AP28" s="645">
        <f>COUNTA(AP11:AP25)</f>
        <v/>
      </c>
      <c r="AQ28" s="645">
        <f>COUNTA(AQ11:AQ25)</f>
        <v/>
      </c>
      <c r="AR28" s="645">
        <f>COUNTA(AR11:AR25)</f>
        <v/>
      </c>
      <c r="AS28" s="645">
        <f>COUNTA(AS11:AS25)</f>
        <v/>
      </c>
      <c r="AT28" s="645">
        <f>COUNTA(AT11:AT25)</f>
        <v/>
      </c>
      <c r="AU28" s="645">
        <f>COUNTA(AU11:AU25)</f>
        <v/>
      </c>
      <c r="AV28" s="645">
        <f>COUNTA(AV11:AV25)</f>
        <v/>
      </c>
      <c r="AW28" s="645">
        <f>COUNTA(AW11:AW25)</f>
        <v/>
      </c>
      <c r="AX28" s="645">
        <f>COUNTA(AX11:AX25)</f>
        <v/>
      </c>
      <c r="AY28" s="645">
        <f>COUNTA(AY11:AY25)</f>
        <v/>
      </c>
      <c r="AZ28" s="645">
        <f>COUNTA(AZ11:AZ25)</f>
        <v/>
      </c>
      <c r="BA28" s="645">
        <f>COUNTA(BA11:BA25)</f>
        <v/>
      </c>
      <c r="BB28" s="645">
        <f>COUNTA(BB11:BB25)</f>
        <v/>
      </c>
      <c r="BC28" s="645">
        <f>COUNTA(BC11:BC25)</f>
        <v/>
      </c>
      <c r="BD28" s="645">
        <f>COUNTA(BD11:BD25)</f>
        <v/>
      </c>
      <c r="BE28" s="645">
        <f>COUNTA(BE11:BE25)</f>
        <v/>
      </c>
      <c r="BF28" s="645">
        <f>COUNTA(BF11:BF25)</f>
        <v/>
      </c>
      <c r="BG28" s="645">
        <f>COUNTA(BG11:BG25)</f>
        <v/>
      </c>
      <c r="BH28" s="645">
        <f>COUNTA(BH11:BH25)</f>
        <v/>
      </c>
      <c r="BI28" s="645">
        <f>COUNTA(BI11:BI25)</f>
        <v/>
      </c>
      <c r="BJ28" s="645">
        <f>COUNTA(BJ11:BJ25)</f>
        <v/>
      </c>
      <c r="BK28" s="645">
        <f>COUNTA(BK11:BK25)</f>
        <v/>
      </c>
      <c r="BL28" s="645">
        <f>COUNTA(BL11:BL25)</f>
        <v/>
      </c>
      <c r="BM28" s="645">
        <f>COUNTA(BM11:BM25)</f>
        <v/>
      </c>
      <c r="BN28" s="645">
        <f>COUNTA(BN11:BN25)</f>
        <v/>
      </c>
      <c r="BO28" s="645">
        <f>COUNTA(BO11:BO25)</f>
        <v/>
      </c>
      <c r="BP28" s="645">
        <f>COUNTA(BP11:BP25)</f>
        <v/>
      </c>
      <c r="BQ28" s="645">
        <f>COUNTA(BQ11:BQ25)</f>
        <v/>
      </c>
      <c r="BR28" s="645">
        <f>COUNTA(BR11:BR25)</f>
        <v/>
      </c>
      <c r="BS28" s="645">
        <f>COUNTA(BS11:BS25)</f>
        <v/>
      </c>
      <c r="BT28" s="645">
        <f>COUNTA(BT11:BT25)</f>
        <v/>
      </c>
      <c r="BU28" s="645">
        <f>COUNTA(BU11:BU25)</f>
        <v/>
      </c>
      <c r="BV28" s="645">
        <f>COUNTA(BV11:BV25)</f>
        <v/>
      </c>
      <c r="BW28" s="645">
        <f>COUNTA(BW11:BW25)</f>
        <v/>
      </c>
      <c r="BX28" s="645">
        <f>COUNTA(BX11:BX25)</f>
        <v/>
      </c>
      <c r="BY28" s="645">
        <f>COUNTA(BY11:BY25)</f>
        <v/>
      </c>
      <c r="BZ28" s="645">
        <f>COUNTA(BZ11:BZ25)</f>
        <v/>
      </c>
      <c r="CA28" s="645">
        <f>COUNTA(CA11:CA25)</f>
        <v/>
      </c>
      <c r="CB28" s="645">
        <f>COUNTA(CB11:CB25)</f>
        <v/>
      </c>
      <c r="CC28" s="645">
        <f>COUNTA(CC11:CC25)</f>
        <v/>
      </c>
      <c r="CD28" s="645">
        <f>COUNTA(CD11:CD25)</f>
        <v/>
      </c>
      <c r="CE28" s="645">
        <f>COUNTA(CE11:CE25)</f>
        <v/>
      </c>
      <c r="CF28" s="645">
        <f>COUNTA(CF11:CF25)</f>
        <v/>
      </c>
      <c r="CG28" s="645">
        <f>COUNTA(CG11:CG25)</f>
        <v/>
      </c>
      <c r="CH28" s="645">
        <f>COUNTA(CH11:CH25)</f>
        <v/>
      </c>
      <c r="CI28" s="645">
        <f>COUNTA(CI11:CI25)</f>
        <v/>
      </c>
      <c r="CJ28" s="645">
        <f>COUNTA(CJ11:CJ25)</f>
        <v/>
      </c>
      <c r="CK28" s="645">
        <f>COUNTA(CK11:CK25)</f>
        <v/>
      </c>
      <c r="CL28" s="645">
        <f>COUNTA(CL11:CL25)</f>
        <v/>
      </c>
      <c r="CM28" s="645">
        <f>COUNTA(CM11:CM25)</f>
        <v/>
      </c>
      <c r="CN28" s="645">
        <f>COUNTA(CN11:CN25)</f>
        <v/>
      </c>
      <c r="CO28" s="645">
        <f>COUNTA(CO11:CO25)</f>
        <v/>
      </c>
      <c r="CP28" s="645">
        <f>COUNTA(CP11:CP25)</f>
        <v/>
      </c>
      <c r="CQ28" s="645">
        <f>COUNTA(CQ11:CQ25)</f>
        <v/>
      </c>
      <c r="CR28" s="645">
        <f>COUNTA(CR11:CR25)</f>
        <v/>
      </c>
      <c r="CS28" s="645">
        <f>COUNTA(CS11:CS25)</f>
        <v/>
      </c>
      <c r="CT28" s="645">
        <f>COUNTA(CT11:CT25)</f>
        <v/>
      </c>
      <c r="CU28" s="645">
        <f>COUNTA(CU11:CU25)</f>
        <v/>
      </c>
      <c r="CV28" s="645">
        <f>COUNTA(CV11:CV25)</f>
        <v/>
      </c>
      <c r="CW28" s="645">
        <f>COUNTA(CW11:CW25)</f>
        <v/>
      </c>
      <c r="CX28" s="645">
        <f>COUNTA(CX11:CX25)</f>
        <v/>
      </c>
      <c r="CY28" s="645">
        <f>COUNTA(CY11:CY25)</f>
        <v/>
      </c>
      <c r="CZ28" s="645">
        <f>COUNTA(CZ11:CZ25)</f>
        <v/>
      </c>
      <c r="DA28" s="645">
        <f>COUNTA(DA11:DA25)</f>
        <v/>
      </c>
      <c r="DB28" s="645">
        <f>COUNTA(DB11:DB25)</f>
        <v/>
      </c>
      <c r="DC28" s="645">
        <f>COUNTA(DC11:DC25)</f>
        <v/>
      </c>
      <c r="DD28" s="645">
        <f>COUNTA(DD11:DD25)</f>
        <v/>
      </c>
      <c r="DE28" s="645">
        <f>COUNTA(DE11:DE25)</f>
        <v/>
      </c>
      <c r="DF28" s="645">
        <f>COUNTA(DF11:DF25)</f>
        <v/>
      </c>
      <c r="DG28" s="645">
        <f>COUNTA(DG11:DG25)</f>
        <v/>
      </c>
      <c r="DH28" s="645">
        <f>COUNTA(DH11:DH25)</f>
        <v/>
      </c>
      <c r="DI28" s="645">
        <f>COUNTA(DI11:DI25)</f>
        <v/>
      </c>
      <c r="DJ28" s="645">
        <f>COUNTA(DJ11:DJ25)</f>
        <v/>
      </c>
      <c r="DK28" s="645">
        <f>COUNTA(DK11:DK25)</f>
        <v/>
      </c>
      <c r="DL28" s="645">
        <f>COUNTA(DL11:DL25)</f>
        <v/>
      </c>
      <c r="DM28" s="645">
        <f>COUNTA(DM11:DM25)</f>
        <v/>
      </c>
      <c r="DN28" s="645">
        <f>COUNTA(DN11:DN25)</f>
        <v/>
      </c>
      <c r="DO28" s="645">
        <f>COUNTA(DO11:DO25)</f>
        <v/>
      </c>
      <c r="DP28" s="645">
        <f>COUNTA(DP11:DP25)</f>
        <v/>
      </c>
      <c r="DQ28" s="645">
        <f>COUNTA(DQ11:DQ25)</f>
        <v/>
      </c>
      <c r="DR28" s="645">
        <f>COUNTA(DR11:DR25)</f>
        <v/>
      </c>
      <c r="DS28" s="645">
        <f>COUNTA(DS11:DS25)</f>
        <v/>
      </c>
      <c r="DT28" s="645">
        <f>COUNTA(DT11:DT25)</f>
        <v/>
      </c>
      <c r="DU28" s="645">
        <f>COUNTA(DU11:DU25)</f>
        <v/>
      </c>
      <c r="DV28" s="645">
        <f>COUNTA(DV11:DV25)</f>
        <v/>
      </c>
      <c r="DW28" s="645">
        <f>COUNTA(DW11:DW25)</f>
        <v/>
      </c>
      <c r="DX28" s="645">
        <f>COUNTA(DX11:DX25)</f>
        <v/>
      </c>
      <c r="DY28" s="645">
        <f>COUNTA(DY11:DY25)</f>
        <v/>
      </c>
      <c r="DZ28" s="645">
        <f>COUNTA(DZ11:DZ25)</f>
        <v/>
      </c>
      <c r="EA28" s="645">
        <f>COUNTA(EA11:EA25)</f>
        <v/>
      </c>
      <c r="EB28" s="645">
        <f>COUNTA(EB11:EB25)</f>
        <v/>
      </c>
      <c r="EC28" s="645">
        <f>COUNTA(EC11:EC25)</f>
        <v/>
      </c>
      <c r="ED28" s="645">
        <f>COUNTA(ED11:ED25)</f>
        <v/>
      </c>
    </row>
    <row r="29" ht="18" customHeight="1" s="1232">
      <c r="A29" s="247" t="n"/>
      <c r="B29" s="1859" t="inlineStr">
        <is>
          <t>Finished</t>
        </is>
      </c>
      <c r="C29" s="1607" t="n"/>
      <c r="D29" s="1830" t="n"/>
      <c r="F29" s="1856" t="n"/>
      <c r="G29" s="1857" t="n"/>
      <c r="H29" s="91" t="n"/>
      <c r="I29" s="91" t="n"/>
      <c r="J29" s="93" t="n"/>
      <c r="K29" s="1831" t="n"/>
      <c r="L29" s="1831" t="n"/>
      <c r="M29" s="1831" t="n"/>
      <c r="N29" s="1831" t="n"/>
      <c r="O29" s="645" t="n"/>
      <c r="P29" s="645" t="n"/>
      <c r="Q29" s="645" t="n"/>
      <c r="R29" s="645" t="n"/>
      <c r="T29" s="1860" t="n"/>
      <c r="U29" s="1860" t="n"/>
      <c r="V29" s="1860" t="n"/>
      <c r="W29" s="1860" t="n"/>
      <c r="X29" s="1860" t="n"/>
      <c r="Y29" s="1860" t="n"/>
      <c r="Z29" s="1860" t="n"/>
      <c r="AA29" s="1860" t="n"/>
      <c r="AB29" s="1860" t="n"/>
      <c r="AC29" s="1861" t="n"/>
      <c r="AD29" s="1861" t="n"/>
      <c r="AE29" s="1861" t="n"/>
      <c r="AL29" s="1847" t="n"/>
      <c r="AM29" s="1847" t="n"/>
      <c r="AN29" s="1847" t="n"/>
      <c r="AO29" s="1847" t="n"/>
      <c r="AP29" s="1847" t="n"/>
      <c r="AQ29" s="1847" t="n"/>
      <c r="AR29" s="1847" t="n"/>
      <c r="AS29" s="1847" t="n"/>
      <c r="AT29" s="1847" t="n"/>
      <c r="AU29" s="1847" t="n"/>
      <c r="CZ29" s="1848" t="n"/>
      <c r="DA29" s="1848" t="n"/>
      <c r="DB29" s="1848" t="n"/>
      <c r="DC29" s="1848" t="n"/>
      <c r="DD29" s="1848" t="n"/>
      <c r="DE29" s="1848" t="n"/>
      <c r="DF29" s="1848" t="n"/>
      <c r="DG29" s="1848" t="n"/>
      <c r="DH29" s="1848" t="n"/>
      <c r="DI29" s="1848" t="n"/>
      <c r="DJ29" s="1848" t="n"/>
      <c r="DK29" s="1848" t="n"/>
      <c r="DL29" s="1848" t="n"/>
      <c r="DM29" s="1848" t="n"/>
      <c r="DN29" s="1848" t="n"/>
      <c r="DO29" s="1848" t="n"/>
      <c r="DP29" s="1848" t="n"/>
      <c r="DQ29" s="1848" t="n"/>
    </row>
    <row r="30" ht="18" customHeight="1" s="1232">
      <c r="A30" s="247" t="n"/>
      <c r="B30" s="1859" t="n"/>
      <c r="C30" s="1607" t="n"/>
      <c r="D30" s="1830" t="n"/>
      <c r="F30" s="1856" t="n"/>
      <c r="G30" s="1857" t="n"/>
      <c r="H30" s="91" t="n"/>
      <c r="I30" s="91" t="n"/>
      <c r="J30" s="93" t="n"/>
      <c r="K30" s="1831" t="n"/>
      <c r="L30" s="1831" t="n"/>
      <c r="M30" s="1831" t="n"/>
      <c r="N30" s="1831" t="n"/>
      <c r="O30" s="645" t="n"/>
      <c r="P30" s="645" t="n"/>
      <c r="Q30" s="645" t="n"/>
      <c r="R30" s="645" t="n"/>
      <c r="T30" s="1860" t="n"/>
      <c r="U30" s="1860" t="n"/>
      <c r="V30" s="1860" t="n"/>
      <c r="W30" s="1860" t="n"/>
      <c r="X30" s="1860" t="n"/>
      <c r="Y30" s="1860" t="n"/>
      <c r="Z30" s="1860" t="n"/>
      <c r="AA30" s="1860" t="n"/>
      <c r="AB30" s="1860" t="n"/>
      <c r="AC30" s="1861" t="n"/>
      <c r="AD30" s="1861" t="n"/>
      <c r="AE30" s="1861" t="n"/>
      <c r="AL30" s="1847" t="n"/>
      <c r="AM30" s="1847" t="n"/>
      <c r="AN30" s="1847" t="n"/>
      <c r="AO30" s="1847" t="n"/>
      <c r="AP30" s="1847" t="n"/>
      <c r="AQ30" s="1847" t="n"/>
      <c r="AR30" s="1847" t="n"/>
      <c r="AS30" s="1847" t="n"/>
      <c r="AT30" s="1847" t="n"/>
      <c r="AU30" s="1847" t="n"/>
      <c r="CZ30" s="1848" t="n"/>
      <c r="DA30" s="1848" t="n"/>
      <c r="DB30" s="1848" t="n"/>
      <c r="DC30" s="1848" t="n"/>
      <c r="DD30" s="1848" t="n"/>
      <c r="DE30" s="1848" t="n"/>
      <c r="DF30" s="1848" t="n"/>
      <c r="DG30" s="1848" t="n"/>
      <c r="DH30" s="1848" t="n"/>
      <c r="DI30" s="1848" t="n"/>
      <c r="DJ30" s="1848" t="n"/>
      <c r="DK30" s="1848" t="n"/>
      <c r="DL30" s="1848" t="n"/>
      <c r="DM30" s="1848" t="n"/>
      <c r="DN30" s="1848" t="n"/>
      <c r="DO30" s="1848" t="n"/>
      <c r="DP30" s="1848" t="n"/>
      <c r="DQ30" s="1848" t="n"/>
    </row>
    <row r="31" ht="18" customHeight="1" s="1232">
      <c r="A31" s="247" t="n"/>
      <c r="B31" s="1855" t="n">
        <v>44805</v>
      </c>
      <c r="C31" s="1607" t="n">
        <v>318.75</v>
      </c>
      <c r="E31" s="1856" t="inlineStr">
        <is>
          <t>#02326</t>
        </is>
      </c>
      <c r="F31" s="1856" t="inlineStr">
        <is>
          <t>Existing</t>
        </is>
      </c>
      <c r="G31" s="1857" t="inlineStr">
        <is>
          <t>alistair_willis@yahoo.co.uk</t>
        </is>
      </c>
      <c r="H31" s="753" t="inlineStr">
        <is>
          <t>Mr</t>
        </is>
      </c>
      <c r="I31" s="753" t="inlineStr">
        <is>
          <t xml:space="preserve">Alistair </t>
        </is>
      </c>
      <c r="J31" s="753" t="inlineStr">
        <is>
          <t>Willis</t>
        </is>
      </c>
      <c r="K31" s="658" t="n">
        <v>45</v>
      </c>
      <c r="L31" s="659" t="n">
        <v>7910195549</v>
      </c>
      <c r="M31" s="659" t="inlineStr">
        <is>
          <t>A</t>
        </is>
      </c>
      <c r="N31" s="659" t="inlineStr">
        <is>
          <t>A</t>
        </is>
      </c>
      <c r="O31" s="645">
        <f>COUNTA(S31:EB31)</f>
        <v/>
      </c>
      <c r="P31" s="645" t="inlineStr">
        <is>
          <t>Show</t>
        </is>
      </c>
      <c r="Q31" s="745" t="n">
        <v>43740</v>
      </c>
      <c r="R31" s="726" t="n">
        <v>44805</v>
      </c>
      <c r="CK31" s="1848" t="n"/>
      <c r="CL31" s="1848" t="n"/>
      <c r="CM31" s="1848" t="n"/>
      <c r="CN31" s="1848" t="n"/>
      <c r="CO31" s="1848" t="n"/>
      <c r="CT31" s="1848" t="n"/>
      <c r="CU31" s="1848" t="n"/>
      <c r="CV31" s="1848" t="n"/>
      <c r="CW31" s="1848" t="n"/>
      <c r="CX31" s="1848" t="n"/>
      <c r="CY31" s="1848" t="n"/>
      <c r="CZ31" s="1848" t="n"/>
      <c r="DA31" s="1848" t="n"/>
      <c r="DB31" s="1848" t="n"/>
      <c r="DC31" s="1848" t="n"/>
      <c r="DD31" s="1848" t="n"/>
      <c r="DE31" s="1848" t="n"/>
      <c r="DF31" s="1848" t="n"/>
      <c r="DG31" s="1848" t="n"/>
      <c r="DH31" s="1848" t="n"/>
      <c r="DI31" s="1848" t="n"/>
      <c r="DJ31" s="1848" t="n">
        <v>44984</v>
      </c>
      <c r="DK31" s="1848" t="n"/>
      <c r="DL31" s="1848" t="n">
        <v>45106</v>
      </c>
      <c r="DM31" s="1848" t="n"/>
      <c r="DN31" s="1848" t="n"/>
      <c r="DO31" s="1848" t="n">
        <v>45258</v>
      </c>
      <c r="DP31" s="1848" t="n">
        <v>45404</v>
      </c>
      <c r="DQ31" s="1848" t="n">
        <v>45428</v>
      </c>
    </row>
    <row r="32" ht="18" customHeight="1" s="1232">
      <c r="A32" s="247" t="n"/>
      <c r="B32" s="1855" t="n">
        <v>44996</v>
      </c>
      <c r="C32" s="1607" t="n">
        <v>395</v>
      </c>
      <c r="D32" s="1559" t="n">
        <v>0</v>
      </c>
      <c r="E32" s="1856" t="inlineStr">
        <is>
          <t>#02458</t>
        </is>
      </c>
      <c r="F32" s="1856" t="inlineStr">
        <is>
          <t>Google</t>
        </is>
      </c>
      <c r="G32" s="1857" t="inlineStr">
        <is>
          <t>slates67@icloud.com</t>
        </is>
      </c>
      <c r="H32" s="753" t="inlineStr">
        <is>
          <t>Mr</t>
        </is>
      </c>
      <c r="I32" s="753" t="inlineStr">
        <is>
          <t>Ian</t>
        </is>
      </c>
      <c r="J32" s="753" t="inlineStr">
        <is>
          <t>Slater</t>
        </is>
      </c>
      <c r="K32" s="1855" t="n"/>
      <c r="L32" s="1607" t="n"/>
      <c r="M32" s="1831" t="inlineStr">
        <is>
          <t>L</t>
        </is>
      </c>
      <c r="N32" s="656" t="inlineStr">
        <is>
          <t>L</t>
        </is>
      </c>
      <c r="O32" s="645">
        <f>COUNTA(S32:EB32)</f>
        <v/>
      </c>
      <c r="R32" s="726" t="inlineStr">
        <is>
          <t>Mar-23</t>
        </is>
      </c>
      <c r="CR32" s="1848" t="n"/>
      <c r="DK32" s="1848" t="n">
        <v>45027</v>
      </c>
      <c r="DL32" s="1848" t="n"/>
      <c r="DM32" s="1848" t="n">
        <v>45118</v>
      </c>
      <c r="DN32" s="1848" t="n">
        <v>45230</v>
      </c>
      <c r="DO32" s="1848" t="n">
        <v>45258</v>
      </c>
      <c r="DP32" s="1848" t="n"/>
      <c r="DQ32" s="1848" t="n"/>
    </row>
    <row r="33" ht="18" customHeight="1" s="1232">
      <c r="A33" s="247" t="n"/>
      <c r="B33" s="1855" t="n">
        <v>44265</v>
      </c>
      <c r="C33" s="1607" t="n">
        <v>395</v>
      </c>
      <c r="D33" s="1607" t="n"/>
      <c r="E33" s="1830" t="inlineStr">
        <is>
          <t>#01882</t>
        </is>
      </c>
      <c r="F33" s="1830" t="inlineStr">
        <is>
          <t>Existing</t>
        </is>
      </c>
      <c r="G33" s="1857" t="inlineStr">
        <is>
          <t xml:space="preserve">peter@hagger.org </t>
        </is>
      </c>
      <c r="H33" s="239" t="inlineStr">
        <is>
          <t>Mr</t>
        </is>
      </c>
      <c r="I33" s="239" t="inlineStr">
        <is>
          <t>Peter</t>
        </is>
      </c>
      <c r="J33" s="239" t="inlineStr">
        <is>
          <t>Hagger</t>
        </is>
      </c>
      <c r="K33" s="656" t="inlineStr">
        <is>
          <t>73</t>
        </is>
      </c>
      <c r="L33" s="656" t="inlineStr">
        <is>
          <t>07802580314</t>
        </is>
      </c>
      <c r="M33" s="656" t="inlineStr">
        <is>
          <t>07802580314</t>
        </is>
      </c>
      <c r="N33" s="656" t="inlineStr">
        <is>
          <t>L</t>
        </is>
      </c>
      <c r="O33" s="645">
        <f>COUNTA(S33:DE33)</f>
        <v/>
      </c>
      <c r="R33" s="726" t="inlineStr">
        <is>
          <t>Mar-21</t>
        </is>
      </c>
      <c r="BE33" s="1848" t="n"/>
      <c r="BF33" s="1848" t="n"/>
      <c r="BG33" s="1848" t="n"/>
      <c r="BH33" s="1848" t="n"/>
      <c r="BI33" s="1848" t="n"/>
      <c r="BJ33" s="1848" t="n"/>
      <c r="BK33" s="1848" t="n"/>
      <c r="BL33" s="1848" t="n"/>
      <c r="BM33" s="1848" t="n"/>
      <c r="BN33" s="1848" t="n"/>
      <c r="BO33" s="1848" t="n"/>
      <c r="BP33" s="1848" t="n"/>
      <c r="BQ33" s="1848" t="n"/>
      <c r="BR33" s="1848" t="n"/>
      <c r="CA33" s="1848" t="n">
        <v>44312</v>
      </c>
      <c r="CB33" s="1848" t="n"/>
      <c r="CC33" s="1848" t="n"/>
      <c r="CD33" s="1848" t="n">
        <v>44418</v>
      </c>
      <c r="CE33" s="1848" t="n"/>
      <c r="CF33" s="1848" t="n"/>
      <c r="CG33" s="1848" t="n">
        <v>44480</v>
      </c>
      <c r="CH33" s="1848" t="n"/>
      <c r="CI33" s="1848" t="n"/>
      <c r="CJ33" s="1848" t="n">
        <v>44529</v>
      </c>
      <c r="CK33" s="1848" t="n"/>
      <c r="CL33" s="1848" t="n"/>
      <c r="CM33" s="1848" t="n">
        <v>44585</v>
      </c>
      <c r="CN33" s="1848" t="n"/>
      <c r="CO33" s="1848" t="n"/>
      <c r="CQ33" s="1848" t="n"/>
      <c r="CR33" s="1848" t="n"/>
      <c r="CS33" s="1848" t="n"/>
      <c r="CT33" s="1848" t="n"/>
      <c r="CU33" s="1848" t="n"/>
      <c r="CV33" s="1848" t="n">
        <v>44720</v>
      </c>
      <c r="CW33" s="1848" t="n"/>
      <c r="CX33" s="1848" t="n"/>
      <c r="CY33" s="1848" t="n"/>
      <c r="CZ33" s="1848" t="n"/>
      <c r="DA33" s="1848" t="n"/>
      <c r="DB33" s="1848" t="n"/>
      <c r="DC33" s="1848" t="n"/>
      <c r="DD33" s="1848" t="n"/>
      <c r="DE33" s="1848" t="n"/>
      <c r="DF33" s="1848" t="n"/>
      <c r="DG33" s="1848" t="n"/>
      <c r="DH33" s="1848" t="n"/>
      <c r="DI33" s="1848" t="n"/>
      <c r="DJ33" s="1848" t="n"/>
      <c r="DK33" s="1848" t="n"/>
      <c r="DL33" s="1848" t="n"/>
      <c r="DM33" s="1848" t="n"/>
      <c r="DN33" s="1848" t="n"/>
      <c r="DO33" s="1848" t="n"/>
      <c r="DP33" s="1848" t="n"/>
      <c r="DQ33" s="1848" t="n"/>
    </row>
    <row r="34" ht="18" customHeight="1" s="1232">
      <c r="A34" s="247" t="n"/>
      <c r="B34" s="1855" t="n">
        <v>44281</v>
      </c>
      <c r="C34" s="1607" t="n">
        <v>395</v>
      </c>
      <c r="D34" s="1607" t="n"/>
      <c r="E34" s="1856" t="inlineStr">
        <is>
          <t>#01897</t>
        </is>
      </c>
      <c r="F34" s="1856" t="inlineStr">
        <is>
          <t>Google</t>
        </is>
      </c>
      <c r="G34" s="1857" t="inlineStr">
        <is>
          <t>s.a.hunt@icloud.com</t>
        </is>
      </c>
      <c r="H34" s="239" t="inlineStr">
        <is>
          <t>Ms</t>
        </is>
      </c>
      <c r="I34" s="239" t="inlineStr">
        <is>
          <t>Sharon</t>
        </is>
      </c>
      <c r="J34" s="240" t="inlineStr">
        <is>
          <t>Hunt</t>
        </is>
      </c>
      <c r="M34" s="656" t="inlineStr">
        <is>
          <t>07766238769</t>
        </is>
      </c>
      <c r="N34" s="656" t="inlineStr">
        <is>
          <t>L</t>
        </is>
      </c>
      <c r="O34" s="645">
        <f>COUNTA(S34:DE34)</f>
        <v/>
      </c>
      <c r="R34" s="726" t="inlineStr">
        <is>
          <t>Mar-21</t>
        </is>
      </c>
      <c r="CA34" s="1848" t="n">
        <v>44312</v>
      </c>
      <c r="CB34" s="1848" t="n"/>
      <c r="CC34" s="1848" t="n">
        <v>44391</v>
      </c>
      <c r="CD34" s="1848" t="n"/>
      <c r="CE34" s="1848" t="n"/>
      <c r="CF34" s="1848" t="n"/>
      <c r="CG34" s="1848" t="n"/>
      <c r="CH34" s="1848" t="n"/>
      <c r="CI34" s="1848" t="n">
        <v>44508</v>
      </c>
      <c r="CJ34" s="1848" t="n"/>
      <c r="CK34" s="1848" t="n"/>
      <c r="CL34" s="1848" t="n"/>
      <c r="CM34" s="1848" t="n">
        <v>44585</v>
      </c>
      <c r="CN34" s="1848" t="n"/>
      <c r="CO34" s="1848" t="n"/>
      <c r="CT34" s="1848" t="n"/>
      <c r="CU34" s="1848" t="n"/>
      <c r="CV34" s="1848" t="n"/>
      <c r="CW34" s="1848" t="n"/>
      <c r="CX34" s="1848" t="n"/>
      <c r="CY34" s="1848" t="n">
        <v>44770</v>
      </c>
      <c r="CZ34" s="1848" t="n">
        <v>44819</v>
      </c>
      <c r="DA34" s="1848" t="n"/>
      <c r="DB34" s="1848" t="n">
        <v>44845</v>
      </c>
      <c r="DC34" s="1848" t="n"/>
      <c r="DD34" s="1848" t="n"/>
      <c r="DE34" s="1848" t="n"/>
      <c r="DF34" s="1848" t="n"/>
      <c r="DG34" s="1848" t="n"/>
      <c r="DH34" s="1848" t="n"/>
      <c r="DI34" s="1848" t="n"/>
      <c r="DJ34" s="1848" t="n"/>
      <c r="DK34" s="1848" t="n"/>
      <c r="DL34" s="1848" t="n"/>
      <c r="DM34" s="1848" t="n"/>
      <c r="DN34" s="1848" t="n"/>
      <c r="DO34" s="1848" t="n"/>
      <c r="DP34" s="1848" t="n"/>
      <c r="DQ34" s="1848" t="n"/>
    </row>
    <row r="35" ht="18" customHeight="1" s="1232">
      <c r="A35" s="247" t="n"/>
      <c r="B35" s="1855" t="n">
        <v>43727</v>
      </c>
      <c r="C35" s="1607" t="n">
        <v>335.75</v>
      </c>
      <c r="D35" s="1607" t="n">
        <v>0</v>
      </c>
      <c r="E35" s="1856" t="inlineStr">
        <is>
          <t>#01471</t>
        </is>
      </c>
      <c r="F35" s="1856" t="inlineStr">
        <is>
          <t>Existing</t>
        </is>
      </c>
      <c r="G35" s="1857" t="inlineStr">
        <is>
          <t xml:space="preserve">jl_jordan@icloud.com </t>
        </is>
      </c>
      <c r="H35" s="753" t="inlineStr">
        <is>
          <t>Mrs</t>
        </is>
      </c>
      <c r="I35" s="754" t="inlineStr">
        <is>
          <t>Janice</t>
        </is>
      </c>
      <c r="J35" s="753" t="inlineStr">
        <is>
          <t>Jordan</t>
        </is>
      </c>
      <c r="K35" s="1831" t="n"/>
      <c r="L35" s="1831" t="n"/>
      <c r="M35" s="1831" t="inlineStr">
        <is>
          <t>L</t>
        </is>
      </c>
      <c r="N35" s="1831" t="inlineStr">
        <is>
          <t>L</t>
        </is>
      </c>
      <c r="O35" s="645">
        <f>COUNTA(S35:DE35)</f>
        <v/>
      </c>
      <c r="R35" s="726" t="n">
        <v>43739</v>
      </c>
      <c r="BD35" s="1848" t="n">
        <v>43754</v>
      </c>
      <c r="BE35" s="1848" t="n"/>
      <c r="BF35" s="1848" t="n"/>
      <c r="BG35" s="1848" t="n">
        <v>43871</v>
      </c>
      <c r="BH35" s="1848" t="n"/>
      <c r="BI35" s="1848" t="n"/>
      <c r="BJ35" s="1848" t="n"/>
      <c r="BK35" s="1848" t="n"/>
      <c r="BL35" s="1848" t="n"/>
      <c r="BM35" s="1848" t="n"/>
      <c r="BN35" s="1848" t="n"/>
      <c r="BO35" s="1848" t="n"/>
      <c r="BP35" s="1848" t="n"/>
      <c r="BQ35" s="1848" t="n"/>
      <c r="BR35" s="1848" t="n"/>
      <c r="BV35" s="1848" t="n"/>
      <c r="BW35" s="1848" t="n"/>
      <c r="BX35" s="1848" t="n"/>
      <c r="BY35" s="1848" t="n"/>
      <c r="BZ35" s="1848" t="n"/>
      <c r="CA35" s="1848" t="n"/>
      <c r="CB35" s="1848" t="n"/>
      <c r="CC35" s="1848" t="n">
        <v>44391</v>
      </c>
      <c r="CD35" s="1848" t="n"/>
      <c r="CE35" s="1848" t="n"/>
      <c r="CF35" s="1848" t="n"/>
      <c r="CG35" s="1848" t="n"/>
      <c r="CH35" s="1848" t="n"/>
      <c r="CI35" s="1848" t="n"/>
      <c r="CJ35" s="1848" t="n"/>
      <c r="CK35" s="1848" t="n"/>
      <c r="CL35" s="1848" t="n"/>
      <c r="CM35" s="1848" t="n"/>
      <c r="CN35" s="1848" t="n">
        <v>44595</v>
      </c>
      <c r="CO35" s="1848" t="n"/>
      <c r="CP35" s="1848" t="n"/>
      <c r="CQ35" s="1848" t="n"/>
      <c r="CR35" s="1848" t="n"/>
      <c r="CS35" s="1848" t="n">
        <v>44672</v>
      </c>
      <c r="CT35" s="1848" t="n"/>
      <c r="CU35" s="1848" t="n"/>
      <c r="CV35" s="1848" t="n"/>
      <c r="CW35" s="1848" t="n"/>
      <c r="CX35" s="1848" t="n"/>
      <c r="CY35" s="1848" t="n"/>
      <c r="CZ35" s="1848" t="n"/>
      <c r="DA35" s="1848" t="n"/>
      <c r="DB35" s="1848" t="n"/>
      <c r="DC35" s="1848" t="n">
        <v>44852</v>
      </c>
      <c r="DD35" s="1848" t="n"/>
      <c r="DE35" s="1848" t="n"/>
      <c r="DF35" s="1848" t="n"/>
      <c r="DG35" s="1848" t="n"/>
      <c r="DH35" s="1848" t="n"/>
      <c r="DI35" s="1848" t="n"/>
      <c r="DJ35" s="1848" t="n"/>
      <c r="DK35" s="1848" t="n"/>
      <c r="DL35" s="1848" t="n"/>
      <c r="DM35" s="1848" t="n"/>
      <c r="DN35" s="1848" t="n"/>
      <c r="DO35" s="1848" t="n"/>
      <c r="DP35" s="1848" t="n"/>
      <c r="DQ35" s="1848" t="n"/>
    </row>
    <row r="36" ht="18" customHeight="1" s="1232">
      <c r="A36" s="851" t="n">
        <v>1</v>
      </c>
      <c r="B36" s="1855" t="n">
        <v>43131</v>
      </c>
      <c r="C36" s="1607">
        <f>335.75+200</f>
        <v/>
      </c>
      <c r="D36" s="1856" t="n"/>
      <c r="E36" s="1856" t="inlineStr">
        <is>
          <t>#00893</t>
        </is>
      </c>
      <c r="F36" s="1856" t="inlineStr">
        <is>
          <t>Pick N Mix</t>
        </is>
      </c>
      <c r="G36" s="1629" t="inlineStr">
        <is>
          <t xml:space="preserve">knpearce@hotmail.com </t>
        </is>
      </c>
      <c r="H36" s="753" t="inlineStr">
        <is>
          <t>Miss</t>
        </is>
      </c>
      <c r="I36" s="753" t="inlineStr">
        <is>
          <t>Kirsten</t>
        </is>
      </c>
      <c r="J36" s="754" t="inlineStr">
        <is>
          <t>Pearce</t>
        </is>
      </c>
      <c r="K36" s="658" t="n">
        <v>41</v>
      </c>
      <c r="L36" s="658" t="n">
        <v>7866614574</v>
      </c>
      <c r="M36" s="658" t="inlineStr">
        <is>
          <t>L</t>
        </is>
      </c>
      <c r="N36" s="658" t="inlineStr">
        <is>
          <t>L</t>
        </is>
      </c>
      <c r="O36" s="645">
        <f>COUNTA(S36:CZ36)</f>
        <v/>
      </c>
      <c r="P36" s="645" t="inlineStr">
        <is>
          <t>Show</t>
        </is>
      </c>
      <c r="Q36" s="645" t="n"/>
      <c r="R36" s="726" t="n">
        <v>43191</v>
      </c>
      <c r="S36" s="1852" t="n"/>
      <c r="T36" s="1852" t="n">
        <v>43195</v>
      </c>
      <c r="U36" s="1852" t="n"/>
      <c r="V36" s="1852" t="n"/>
      <c r="W36" s="1852" t="n"/>
      <c r="X36" s="1852" t="n"/>
      <c r="Y36" s="1852" t="n">
        <v>43255</v>
      </c>
      <c r="Z36" s="1852" t="n"/>
      <c r="AA36" s="1852" t="n">
        <v>43291</v>
      </c>
      <c r="AB36" s="1852" t="n"/>
      <c r="AC36" s="1847" t="n"/>
      <c r="AD36" s="1847" t="n">
        <v>43341</v>
      </c>
      <c r="AE36" s="1847" t="n"/>
      <c r="AF36" s="1847" t="n"/>
      <c r="AG36" s="1862" t="n"/>
      <c r="AH36" s="1847" t="n"/>
      <c r="AI36" s="1853" t="n"/>
      <c r="AJ36" s="1847" t="n"/>
      <c r="AK36" s="1847" t="n"/>
      <c r="AL36" s="1847" t="n"/>
      <c r="AM36" s="1847" t="n"/>
      <c r="AN36" s="1847" t="n">
        <v>43502</v>
      </c>
      <c r="AO36" s="1847" t="n"/>
      <c r="AP36" s="1847" t="n"/>
      <c r="AQ36" s="1847" t="n"/>
      <c r="AR36" s="1847" t="n"/>
      <c r="AS36" s="1847" t="n"/>
      <c r="AT36" s="1847" t="n"/>
      <c r="AU36" s="1847" t="n"/>
      <c r="BE36" s="1848" t="n"/>
      <c r="BF36" s="1848" t="n"/>
      <c r="BG36" s="1848" t="n"/>
      <c r="BH36" s="1848" t="n"/>
      <c r="BI36" s="1848" t="n"/>
      <c r="BJ36" s="1848" t="n"/>
      <c r="BK36" s="1848" t="n"/>
      <c r="BL36" s="1848" t="n"/>
      <c r="BM36" s="1848" t="n"/>
      <c r="BN36" s="1848" t="n"/>
      <c r="BO36" s="1848" t="n"/>
      <c r="BP36" s="1848" t="n"/>
      <c r="BQ36" s="1848" t="n"/>
      <c r="BR36" s="1848" t="n"/>
      <c r="BV36" s="1848" t="n"/>
      <c r="BW36" s="1848" t="n"/>
      <c r="BX36" s="1848" t="n"/>
      <c r="BY36" s="1848" t="n"/>
      <c r="BZ36" s="1848" t="n"/>
      <c r="CA36" s="1848" t="n"/>
      <c r="CB36" s="1848" t="n"/>
      <c r="CC36" s="1848" t="n">
        <v>44391</v>
      </c>
      <c r="CD36" s="1848" t="n"/>
      <c r="CE36" s="1848" t="n"/>
      <c r="CF36" s="1848" t="n"/>
      <c r="CG36" s="1848" t="n"/>
      <c r="CH36" s="1848" t="n"/>
      <c r="CI36" s="1848" t="n"/>
      <c r="CJ36" s="1848" t="n"/>
      <c r="CK36" s="1848" t="n"/>
      <c r="CL36" s="1848" t="n"/>
      <c r="CM36" s="1848" t="n"/>
      <c r="CN36" s="1848" t="n">
        <v>44595</v>
      </c>
      <c r="CO36" s="1848" t="n"/>
      <c r="CP36" s="1848" t="n"/>
      <c r="CQ36" s="1848" t="n"/>
      <c r="CR36" s="1848" t="n"/>
      <c r="CS36" s="1848" t="n">
        <v>44672</v>
      </c>
      <c r="CT36" s="1848" t="n"/>
      <c r="CU36" s="1848" t="n"/>
      <c r="CV36" s="1848" t="n"/>
      <c r="CW36" s="1848" t="n"/>
      <c r="CX36" s="1848" t="n"/>
      <c r="CY36" s="1848" t="n"/>
      <c r="CZ36" s="1848" t="n"/>
      <c r="DA36" s="1848" t="n"/>
      <c r="DB36" s="1848" t="n"/>
      <c r="DC36" s="1848" t="n"/>
      <c r="DD36" s="1848" t="n"/>
      <c r="DE36" s="1848" t="n"/>
      <c r="DF36" s="1848" t="n"/>
      <c r="DG36" s="1848" t="n"/>
      <c r="DH36" s="1848" t="n"/>
      <c r="DI36" s="1848" t="n"/>
      <c r="DJ36" s="1848" t="n"/>
      <c r="DK36" s="1848" t="n"/>
      <c r="DL36" s="1848" t="n"/>
      <c r="DM36" s="1848" t="n"/>
      <c r="DN36" s="1848" t="n"/>
      <c r="DO36" s="1848" t="n"/>
      <c r="DP36" s="1848" t="n"/>
      <c r="DQ36" s="1848" t="n"/>
    </row>
    <row r="37" ht="18" customHeight="1" s="1232">
      <c r="A37" s="857" t="n"/>
      <c r="B37" s="1855" t="n">
        <v>44449</v>
      </c>
      <c r="C37" s="1559" t="n">
        <v>150</v>
      </c>
      <c r="D37" s="1559" t="inlineStr">
        <is>
          <t>4 classes</t>
        </is>
      </c>
      <c r="E37" s="1830" t="inlineStr">
        <is>
          <t>#02047</t>
        </is>
      </c>
      <c r="F37" s="1830" t="inlineStr">
        <is>
          <t>Google</t>
        </is>
      </c>
      <c r="G37" s="1857" t="inlineStr">
        <is>
          <t xml:space="preserve">max@dobres.com </t>
        </is>
      </c>
      <c r="H37" s="753" t="inlineStr">
        <is>
          <t>Mr</t>
        </is>
      </c>
      <c r="I37" s="753" t="inlineStr">
        <is>
          <t>Max</t>
        </is>
      </c>
      <c r="J37" s="753" t="inlineStr">
        <is>
          <t>Dobres</t>
        </is>
      </c>
      <c r="M37" s="656" t="inlineStr">
        <is>
          <t>L</t>
        </is>
      </c>
      <c r="N37" s="656" t="inlineStr">
        <is>
          <t>L</t>
        </is>
      </c>
      <c r="O37" s="645">
        <f>COUNTA(S37:CP37)</f>
        <v/>
      </c>
      <c r="R37" s="726" t="n">
        <v>44440</v>
      </c>
      <c r="BE37" s="1848" t="n"/>
      <c r="BF37" s="1848" t="n"/>
      <c r="BG37" s="1848" t="n"/>
      <c r="BH37" s="1848" t="n"/>
      <c r="BI37" s="1848" t="n"/>
      <c r="BJ37" s="1848" t="n"/>
      <c r="BK37" s="1848" t="n"/>
      <c r="BL37" s="1848" t="n"/>
      <c r="BM37" s="1848" t="n"/>
      <c r="BN37" s="1848" t="n"/>
      <c r="BO37" s="1848" t="n"/>
      <c r="BP37" s="1848" t="n"/>
      <c r="BQ37" s="1848" t="n"/>
      <c r="BR37" s="1848" t="n"/>
      <c r="CB37" s="1848" t="n"/>
      <c r="CC37" s="1848" t="n"/>
      <c r="CD37" s="1848" t="n"/>
      <c r="CE37" s="1848" t="n"/>
      <c r="CF37" s="1848" t="n"/>
      <c r="CG37" s="1848" t="n"/>
      <c r="CH37" s="1848" t="n"/>
      <c r="CI37" s="1848" t="n"/>
      <c r="CJ37" s="1848" t="n">
        <v>44529</v>
      </c>
    </row>
    <row r="38" ht="18" customHeight="1" s="1232">
      <c r="A38" s="857" t="n"/>
      <c r="B38" s="1855" t="n">
        <v>43614</v>
      </c>
      <c r="C38" s="1607" t="n">
        <v>395</v>
      </c>
      <c r="D38" s="1830" t="n">
        <v>0</v>
      </c>
      <c r="E38" s="1830" t="inlineStr">
        <is>
          <t>#01372</t>
        </is>
      </c>
      <c r="F38" s="1856" t="inlineStr">
        <is>
          <t>Google</t>
        </is>
      </c>
      <c r="G38" s="1857" t="inlineStr">
        <is>
          <t xml:space="preserve">vincenzo.albano@gmail.com </t>
        </is>
      </c>
      <c r="H38" s="753" t="inlineStr">
        <is>
          <t>Mr</t>
        </is>
      </c>
      <c r="I38" s="753" t="inlineStr">
        <is>
          <t>Vincenzo</t>
        </is>
      </c>
      <c r="J38" s="753" t="inlineStr">
        <is>
          <t>Albano</t>
        </is>
      </c>
      <c r="K38" s="1830" t="n"/>
      <c r="L38" s="1830" t="n"/>
      <c r="M38" s="660" t="inlineStr">
        <is>
          <t>A</t>
        </is>
      </c>
      <c r="N38" s="1831" t="inlineStr">
        <is>
          <t>A</t>
        </is>
      </c>
      <c r="O38" s="645">
        <f>COUNTA(S38:BD38)</f>
        <v/>
      </c>
      <c r="P38" s="1830" t="n"/>
      <c r="Q38" s="645" t="inlineStr">
        <is>
          <t>Oct</t>
        </is>
      </c>
      <c r="R38" s="726" t="n">
        <v>43586</v>
      </c>
      <c r="AC38" s="1830" t="n"/>
      <c r="AD38" s="1830" t="n"/>
      <c r="AE38" s="1830" t="n"/>
      <c r="AF38" s="1830" t="n"/>
      <c r="AG38" s="1830" t="n"/>
      <c r="AH38" s="1830" t="n"/>
      <c r="AI38" s="1830" t="n"/>
      <c r="AJ38" s="1830" t="n"/>
      <c r="AK38" s="1830" t="n"/>
      <c r="AV38" s="1847" t="n">
        <v>43618</v>
      </c>
      <c r="AW38" s="1847" t="n">
        <v>43635</v>
      </c>
      <c r="AX38" s="1847" t="n">
        <v>43650</v>
      </c>
      <c r="AY38" s="1847" t="n">
        <v>43671</v>
      </c>
      <c r="AZ38" s="1847" t="n">
        <v>43690</v>
      </c>
      <c r="BA38" s="1847" t="n">
        <v>43718</v>
      </c>
    </row>
    <row r="39" ht="18" customHeight="1" s="1232">
      <c r="A39" s="247" t="n"/>
      <c r="B39" s="1855" t="n">
        <v>43133</v>
      </c>
      <c r="C39" s="1856" t="n">
        <v>395</v>
      </c>
      <c r="D39" s="1856" t="n">
        <v>0</v>
      </c>
      <c r="E39" s="1856" t="inlineStr">
        <is>
          <t>#00924</t>
        </is>
      </c>
      <c r="F39" s="1856" t="inlineStr">
        <is>
          <t>Existing</t>
        </is>
      </c>
      <c r="G39" s="1629" t="inlineStr">
        <is>
          <t>jackirosin@gmail.com</t>
        </is>
      </c>
      <c r="H39" s="753" t="inlineStr">
        <is>
          <t>Mrs</t>
        </is>
      </c>
      <c r="I39" s="753" t="inlineStr">
        <is>
          <t>Jacki</t>
        </is>
      </c>
      <c r="J39" s="753" t="inlineStr">
        <is>
          <t>Rosin</t>
        </is>
      </c>
      <c r="K39" s="658" t="n"/>
      <c r="L39" s="660" t="n">
        <v>7790819935</v>
      </c>
      <c r="M39" s="660" t="inlineStr">
        <is>
          <t>A</t>
        </is>
      </c>
      <c r="N39" s="660" t="inlineStr">
        <is>
          <t>A</t>
        </is>
      </c>
      <c r="O39" s="645">
        <f>COUNTA(S39:BD39)</f>
        <v/>
      </c>
      <c r="P39" s="645" t="inlineStr">
        <is>
          <t>Show</t>
        </is>
      </c>
      <c r="Q39" s="645" t="inlineStr">
        <is>
          <t>Mid Oct</t>
        </is>
      </c>
      <c r="R39" s="726" t="n">
        <v>43160</v>
      </c>
      <c r="S39" s="1852" t="n">
        <v>43166</v>
      </c>
      <c r="T39" s="1852" t="n"/>
      <c r="U39" s="1852" t="n"/>
      <c r="V39" s="1852" t="n"/>
      <c r="W39" s="1852" t="n"/>
      <c r="X39" s="1852" t="n"/>
      <c r="Y39" s="1852" t="n"/>
      <c r="Z39" s="1852" t="n"/>
      <c r="AA39" s="1852" t="n"/>
      <c r="AB39" s="1852" t="n">
        <v>43298</v>
      </c>
      <c r="AC39" s="1847" t="n">
        <v>43319</v>
      </c>
      <c r="AD39" s="1847" t="n"/>
      <c r="AE39" s="1847" t="n"/>
      <c r="AF39" s="1847" t="n"/>
      <c r="AG39" s="1853" t="n"/>
      <c r="AH39" s="1847" t="n">
        <v>43411</v>
      </c>
      <c r="AI39" s="1853" t="n"/>
      <c r="AJ39" s="1847" t="n"/>
      <c r="AK39" s="1847" t="n"/>
      <c r="AL39" s="1847" t="n">
        <v>43474</v>
      </c>
      <c r="AM39" s="1847" t="n"/>
      <c r="AN39" s="1847" t="n"/>
      <c r="AO39" s="1847" t="n">
        <v>43517</v>
      </c>
      <c r="AP39" s="1847" t="n"/>
      <c r="AQ39" s="1847" t="n"/>
      <c r="AR39" s="1847" t="n"/>
      <c r="AS39" s="1863" t="n">
        <v>43565</v>
      </c>
      <c r="AT39" s="1847" t="n"/>
      <c r="AU39" s="1847" t="n"/>
      <c r="AZ39" s="1863" t="n">
        <v>43691</v>
      </c>
      <c r="BB39" s="1863" t="n">
        <v>43724</v>
      </c>
    </row>
    <row r="40" ht="18" customHeight="1" s="1232">
      <c r="A40" s="875" t="n"/>
      <c r="B40" s="1855" t="n">
        <v>43407</v>
      </c>
      <c r="C40" s="1607" t="n">
        <v>395</v>
      </c>
      <c r="D40" s="1607" t="n">
        <v>0</v>
      </c>
      <c r="E40" s="1856" t="inlineStr">
        <is>
          <t>#001149</t>
        </is>
      </c>
      <c r="F40" s="1856" t="inlineStr">
        <is>
          <t>Existing</t>
        </is>
      </c>
      <c r="G40" s="1857" t="inlineStr">
        <is>
          <t xml:space="preserve">dennis_jeffrey@hotmail.co.uk </t>
        </is>
      </c>
      <c r="H40" s="753" t="inlineStr">
        <is>
          <t>Mr</t>
        </is>
      </c>
      <c r="I40" s="753" t="inlineStr">
        <is>
          <t xml:space="preserve">Dennis </t>
        </is>
      </c>
      <c r="J40" s="753" t="inlineStr">
        <is>
          <t>Jeffrey</t>
        </is>
      </c>
      <c r="K40" s="658" t="n"/>
      <c r="L40" s="1831" t="n"/>
      <c r="M40" s="1831" t="inlineStr">
        <is>
          <t>L</t>
        </is>
      </c>
      <c r="N40" s="1831" t="inlineStr">
        <is>
          <t>L</t>
        </is>
      </c>
      <c r="O40" s="645">
        <f>COUNTA(S40:CZ40)</f>
        <v/>
      </c>
      <c r="P40" s="645" t="n"/>
      <c r="Q40" s="645" t="n"/>
      <c r="R40" s="726" t="n">
        <v>43466</v>
      </c>
      <c r="T40" s="1860" t="n"/>
      <c r="U40" s="1860" t="n"/>
      <c r="V40" s="1860" t="n"/>
      <c r="W40" s="1860" t="n"/>
      <c r="X40" s="1860" t="n"/>
      <c r="Y40" s="1860" t="n"/>
      <c r="Z40" s="1860" t="n"/>
      <c r="AA40" s="1860" t="n"/>
      <c r="AB40" s="1860" t="n"/>
      <c r="AC40" s="1861" t="n"/>
      <c r="AD40" s="1861" t="n"/>
      <c r="AE40" s="1861" t="n"/>
      <c r="AL40" s="1847" t="n"/>
      <c r="AM40" s="1847" t="n"/>
      <c r="AN40" s="1847" t="n">
        <v>43502</v>
      </c>
      <c r="AO40" s="1847" t="n"/>
      <c r="AP40" s="1847" t="n"/>
      <c r="AQ40" s="1847" t="n"/>
      <c r="AR40" s="1847" t="n"/>
      <c r="AS40" s="1847" t="n"/>
      <c r="AT40" s="1847" t="n"/>
      <c r="AU40" s="1847" t="n"/>
      <c r="AX40" s="1847" t="n"/>
      <c r="AY40" s="1847" t="n">
        <v>43668</v>
      </c>
      <c r="BC40" s="1848" t="n"/>
      <c r="BD40" s="1848" t="n">
        <v>43754</v>
      </c>
      <c r="BE40" s="1848" t="n"/>
      <c r="BF40" s="1848" t="n"/>
      <c r="BG40" s="1848" t="n"/>
      <c r="BH40" s="1848" t="n"/>
      <c r="BI40" s="1848" t="n"/>
      <c r="BJ40" s="1848" t="n"/>
      <c r="BK40" s="1848" t="n"/>
      <c r="BL40" s="1848" t="n"/>
      <c r="BM40" s="1848" t="n"/>
      <c r="BN40" s="1848" t="n">
        <v>43978</v>
      </c>
      <c r="BO40" s="1848" t="n"/>
      <c r="BP40" s="1848" t="n"/>
      <c r="BQ40" s="1848" t="n"/>
      <c r="BR40" s="1848" t="n"/>
      <c r="BV40" s="1848" t="n"/>
      <c r="BW40" s="1848" t="n"/>
      <c r="BX40" s="1848" t="n"/>
      <c r="BY40" s="1848" t="n"/>
      <c r="BZ40" s="1848" t="n">
        <v>44251</v>
      </c>
      <c r="CA40" s="1848" t="n"/>
      <c r="CB40" s="1848" t="n"/>
      <c r="CC40" s="1848" t="n"/>
      <c r="CD40" s="1848" t="n"/>
      <c r="CE40" s="1848" t="n"/>
      <c r="CF40" s="1848" t="n"/>
      <c r="CG40" s="1848" t="n"/>
      <c r="CH40" s="1848" t="n"/>
      <c r="CI40" s="1848" t="n"/>
      <c r="CJ40" s="1848" t="n"/>
      <c r="CK40" s="1848" t="n"/>
      <c r="CL40" s="1848" t="n"/>
      <c r="CM40" s="1848" t="n"/>
      <c r="CN40" s="1848" t="n"/>
      <c r="CO40" s="1848" t="n"/>
      <c r="CP40" s="1848" t="n"/>
      <c r="CQ40" s="1848" t="n"/>
      <c r="CR40" s="1848" t="n"/>
      <c r="CS40" s="1848" t="n"/>
    </row>
    <row r="41" ht="18" customHeight="1" s="1232">
      <c r="A41" s="247" t="n"/>
      <c r="B41" s="1855" t="n">
        <v>43911</v>
      </c>
      <c r="C41" s="1607" t="n">
        <v>395</v>
      </c>
      <c r="D41" s="1559" t="n">
        <v>0</v>
      </c>
      <c r="F41" s="1830" t="inlineStr">
        <is>
          <t>Existing</t>
        </is>
      </c>
      <c r="G41" s="1857" t="inlineStr">
        <is>
          <t>georgiek272@gmail.com</t>
        </is>
      </c>
      <c r="H41" s="753" t="inlineStr">
        <is>
          <t>Ms</t>
        </is>
      </c>
      <c r="I41" s="753" t="inlineStr">
        <is>
          <t>George</t>
        </is>
      </c>
      <c r="J41" s="753" t="inlineStr">
        <is>
          <t>Hughes</t>
        </is>
      </c>
      <c r="M41" s="656" t="inlineStr">
        <is>
          <t>L</t>
        </is>
      </c>
      <c r="N41" s="656" t="inlineStr">
        <is>
          <t>L</t>
        </is>
      </c>
      <c r="O41" s="645">
        <f>COUNTA(S17:CZ17)</f>
        <v/>
      </c>
      <c r="R41" s="726" t="inlineStr">
        <is>
          <t>Mar-20</t>
        </is>
      </c>
      <c r="BE41" s="1848" t="n"/>
      <c r="BF41" s="1848" t="n"/>
      <c r="BG41" s="1848" t="n"/>
      <c r="BH41" s="1848" t="n"/>
      <c r="BI41" s="1848" t="n"/>
      <c r="BJ41" s="1848" t="n"/>
      <c r="BK41" s="1848" t="n"/>
      <c r="BL41" s="1848" t="n"/>
      <c r="BM41" s="1848" t="n"/>
      <c r="BN41" s="1848" t="n">
        <v>43978</v>
      </c>
      <c r="BO41" s="1848" t="n"/>
      <c r="BP41" s="1848" t="n"/>
      <c r="BQ41" s="1848" t="n">
        <v>44020</v>
      </c>
      <c r="BR41" s="1848" t="n"/>
      <c r="BV41" s="1848" t="n"/>
      <c r="BW41" s="1848" t="n">
        <v>44123</v>
      </c>
      <c r="BX41" s="1848" t="n"/>
      <c r="BY41" s="1848" t="n">
        <v>44202</v>
      </c>
      <c r="BZ41" s="1848" t="n"/>
      <c r="CA41" s="1848" t="n"/>
      <c r="CB41" s="1848" t="n"/>
      <c r="CC41" s="1848" t="n"/>
      <c r="CD41" s="1848" t="n"/>
      <c r="CE41" s="1848" t="n"/>
      <c r="CF41" s="1848" t="n"/>
      <c r="CG41" s="1848" t="n"/>
      <c r="CH41" s="1848" t="n"/>
      <c r="CI41" s="1848" t="n"/>
      <c r="CJ41" s="1848" t="n"/>
      <c r="CK41" s="1848" t="n"/>
      <c r="CL41" s="1848" t="n"/>
      <c r="CM41" s="1848" t="n"/>
      <c r="CN41" s="1848" t="n"/>
      <c r="CO41" s="1848" t="n"/>
      <c r="CP41" s="1848" t="n"/>
      <c r="CQ41" s="1848" t="n"/>
      <c r="CR41" s="1848" t="n"/>
    </row>
    <row r="42" ht="18" customHeight="1" s="1232">
      <c r="A42" s="247" t="n"/>
      <c r="B42" s="1855" t="n">
        <v>43263</v>
      </c>
      <c r="C42" s="1607" t="n">
        <v>395</v>
      </c>
      <c r="D42" s="1856" t="n">
        <v>0</v>
      </c>
      <c r="E42" s="1856" t="inlineStr">
        <is>
          <t>#01039</t>
        </is>
      </c>
      <c r="F42" s="1856" t="inlineStr">
        <is>
          <t>Existing</t>
        </is>
      </c>
      <c r="G42" s="1857" t="inlineStr">
        <is>
          <t xml:space="preserve">francis.peckham@gmail.com </t>
        </is>
      </c>
      <c r="H42" s="753" t="inlineStr">
        <is>
          <t>Mr</t>
        </is>
      </c>
      <c r="I42" s="753" t="inlineStr">
        <is>
          <t>Francis</t>
        </is>
      </c>
      <c r="J42" s="753" t="inlineStr">
        <is>
          <t>Peckham</t>
        </is>
      </c>
      <c r="K42" s="658" t="inlineStr">
        <is>
          <t>60</t>
        </is>
      </c>
      <c r="L42" s="663" t="inlineStr">
        <is>
          <t>07772331677</t>
        </is>
      </c>
      <c r="M42" s="663" t="inlineStr">
        <is>
          <t>L</t>
        </is>
      </c>
      <c r="N42" s="663" t="inlineStr">
        <is>
          <t>L</t>
        </is>
      </c>
      <c r="O42" s="645">
        <f>COUNTA(#REF!)</f>
        <v/>
      </c>
      <c r="P42" s="645" t="inlineStr">
        <is>
          <t>Jun</t>
        </is>
      </c>
      <c r="Q42" s="645" t="inlineStr">
        <is>
          <t>Oct</t>
        </is>
      </c>
      <c r="R42" s="726" t="n">
        <v>43313</v>
      </c>
      <c r="T42" s="1860" t="n"/>
      <c r="U42" s="1860" t="n"/>
      <c r="V42" s="1860" t="n"/>
      <c r="W42" s="1860" t="n"/>
      <c r="X42" s="1860" t="n"/>
      <c r="Y42" s="1860" t="n"/>
      <c r="Z42" s="1860" t="n"/>
      <c r="AA42" s="1860" t="n"/>
      <c r="AB42" s="1860" t="n"/>
      <c r="AC42" s="1861" t="n"/>
      <c r="AD42" s="1861" t="n"/>
      <c r="AE42" s="1861" t="n"/>
      <c r="AL42" s="1847" t="n"/>
      <c r="AM42" s="1847" t="n"/>
      <c r="AN42" s="1847" t="n"/>
      <c r="AO42" s="1847" t="n"/>
      <c r="AP42" s="1847" t="n"/>
      <c r="AQ42" s="1847" t="n"/>
      <c r="AR42" s="1847" t="n"/>
      <c r="AS42" s="1847" t="n"/>
      <c r="AT42" s="1847" t="n"/>
      <c r="AU42" s="1847" t="n"/>
    </row>
    <row r="43" ht="18" customHeight="1" s="1232">
      <c r="A43" s="247" t="n"/>
      <c r="B43" s="1855" t="n">
        <v>43132</v>
      </c>
      <c r="C43" s="1607" t="n">
        <v>395</v>
      </c>
      <c r="D43" s="1607" t="n">
        <v>0</v>
      </c>
      <c r="E43" s="1856" t="inlineStr">
        <is>
          <t>#00895</t>
        </is>
      </c>
      <c r="F43" s="1856" t="inlineStr">
        <is>
          <t>Existing</t>
        </is>
      </c>
      <c r="G43" s="1629" t="inlineStr">
        <is>
          <t xml:space="preserve">jan@nomadians.co.uk </t>
        </is>
      </c>
      <c r="H43" s="753" t="inlineStr">
        <is>
          <t>Mrs</t>
        </is>
      </c>
      <c r="I43" s="753" t="inlineStr">
        <is>
          <t xml:space="preserve">Janet </t>
        </is>
      </c>
      <c r="J43" s="754" t="inlineStr">
        <is>
          <t>Boulter</t>
        </is>
      </c>
      <c r="K43" s="848" t="n">
        <v>61</v>
      </c>
      <c r="L43" s="849" t="inlineStr">
        <is>
          <t>07540331590</t>
        </is>
      </c>
      <c r="M43" s="663" t="inlineStr">
        <is>
          <t>L</t>
        </is>
      </c>
      <c r="N43" s="660" t="inlineStr">
        <is>
          <t>L</t>
        </is>
      </c>
      <c r="O43" s="645">
        <f>COUNTA(S10:CZ10)</f>
        <v/>
      </c>
      <c r="P43" s="645" t="n"/>
      <c r="Q43" s="645" t="n"/>
      <c r="R43" s="726" t="n">
        <v>43160</v>
      </c>
      <c r="S43" s="1852" t="n">
        <v>43166</v>
      </c>
      <c r="T43" s="1852" t="n"/>
      <c r="U43" s="1852" t="n"/>
      <c r="V43" s="1852" t="n"/>
      <c r="W43" s="1852" t="n"/>
      <c r="X43" s="1852" t="n"/>
      <c r="Y43" s="1852" t="n"/>
      <c r="Z43" s="1852" t="n">
        <v>43273</v>
      </c>
      <c r="AA43" s="1852" t="n"/>
      <c r="AB43" s="1852" t="n"/>
      <c r="AC43" s="1847" t="n"/>
      <c r="AD43" s="1847" t="n">
        <v>43341</v>
      </c>
      <c r="AE43" s="1847" t="n"/>
      <c r="AF43" s="1847" t="n"/>
      <c r="AG43" s="1853" t="n"/>
      <c r="AH43" s="1847" t="n"/>
      <c r="AI43" s="1853" t="n"/>
      <c r="AJ43" s="1847" t="n"/>
      <c r="AK43" s="1847" t="n"/>
      <c r="AL43" s="1847" t="n"/>
      <c r="AM43" s="1847" t="n">
        <v>43486</v>
      </c>
      <c r="AN43" s="1847" t="n"/>
      <c r="AO43" s="1847" t="n">
        <v>43517</v>
      </c>
      <c r="AP43" s="1847" t="n"/>
      <c r="AQ43" s="1847" t="n">
        <v>43544</v>
      </c>
      <c r="AR43" s="1847" t="n"/>
      <c r="AS43" s="1847" t="n"/>
      <c r="AT43" s="1847" t="n"/>
      <c r="AU43" s="1863" t="n">
        <v>43600</v>
      </c>
      <c r="AY43" s="1847" t="n">
        <v>43668</v>
      </c>
      <c r="BD43" s="1848" t="n"/>
      <c r="BE43" s="1848" t="n"/>
      <c r="BF43" s="1848" t="n"/>
      <c r="BG43" s="1848" t="n"/>
      <c r="BH43" s="1848" t="n"/>
      <c r="BI43" s="1848" t="n"/>
      <c r="BJ43" s="1848" t="n"/>
      <c r="BK43" s="1848" t="n"/>
      <c r="BL43" s="1848" t="n"/>
      <c r="BM43" s="1848" t="n"/>
      <c r="BN43" s="1848" t="n"/>
      <c r="BO43" s="1848" t="n"/>
      <c r="BP43" s="1848" t="n"/>
      <c r="BQ43" s="1848" t="n"/>
      <c r="BR43" s="1848" t="n"/>
      <c r="BV43" s="1848" t="n">
        <v>44104</v>
      </c>
      <c r="BW43" s="1848" t="n"/>
      <c r="BX43" s="1848" t="n"/>
      <c r="BY43" s="1848" t="n"/>
      <c r="BZ43" s="1848" t="n"/>
      <c r="CA43" s="1848" t="n"/>
      <c r="CB43" s="1848" t="n"/>
      <c r="CC43" s="1848" t="n"/>
      <c r="CD43" s="1848" t="n"/>
      <c r="CE43" s="1848" t="n"/>
      <c r="CF43" s="1848" t="n"/>
    </row>
    <row r="44" ht="18" customHeight="1" s="1232">
      <c r="A44" s="247" t="n"/>
      <c r="B44" s="1855" t="n">
        <v>43132</v>
      </c>
      <c r="C44" s="1607" t="n">
        <v>395</v>
      </c>
      <c r="D44" s="1607" t="n">
        <v>0</v>
      </c>
      <c r="E44" s="1856" t="inlineStr">
        <is>
          <t>#00896</t>
        </is>
      </c>
      <c r="F44" s="1856" t="inlineStr">
        <is>
          <t>Existing</t>
        </is>
      </c>
      <c r="G44" s="1702" t="inlineStr">
        <is>
          <t>pjekirby@btinternet.com</t>
        </is>
      </c>
      <c r="H44" s="753" t="inlineStr">
        <is>
          <t>Mr</t>
        </is>
      </c>
      <c r="I44" s="753" t="inlineStr">
        <is>
          <t xml:space="preserve">Paul </t>
        </is>
      </c>
      <c r="J44" s="754" t="inlineStr">
        <is>
          <t>Kirby</t>
        </is>
      </c>
      <c r="K44" s="658" t="n">
        <v>64</v>
      </c>
      <c r="L44" s="660" t="n">
        <v>7469932296</v>
      </c>
      <c r="M44" s="660" t="inlineStr">
        <is>
          <t>L</t>
        </is>
      </c>
      <c r="N44" s="768" t="inlineStr">
        <is>
          <t>L</t>
        </is>
      </c>
      <c r="O44" s="645">
        <f>COUNTA(S44:BD44)</f>
        <v/>
      </c>
      <c r="P44" s="645" t="inlineStr">
        <is>
          <t>Online</t>
        </is>
      </c>
      <c r="Q44" s="745" t="n">
        <v>43649</v>
      </c>
      <c r="R44" s="726" t="n">
        <v>43221</v>
      </c>
      <c r="S44" s="1852" t="n"/>
      <c r="T44" s="1852" t="n"/>
      <c r="U44" s="1852" t="n"/>
      <c r="V44" s="1852" t="n"/>
      <c r="W44" s="1852" t="n"/>
      <c r="X44" s="1852" t="n">
        <v>43235</v>
      </c>
      <c r="Y44" s="1852" t="n"/>
      <c r="Z44" s="1852" t="n"/>
      <c r="AA44" s="1852" t="n">
        <v>43291</v>
      </c>
      <c r="AB44" s="1852" t="n"/>
      <c r="AC44" s="1847" t="n"/>
      <c r="AD44" s="1847" t="n"/>
      <c r="AE44" s="1847" t="n">
        <v>43355</v>
      </c>
      <c r="AF44" s="1847" t="n"/>
      <c r="AG44" s="1853" t="n"/>
      <c r="AH44" s="1847" t="n">
        <v>43411</v>
      </c>
      <c r="AI44" s="1853" t="n"/>
      <c r="AJ44" s="1847" t="n"/>
      <c r="AK44" s="1847" t="n"/>
      <c r="AL44" s="1847" t="n">
        <v>43474</v>
      </c>
      <c r="AM44" s="1847" t="n"/>
      <c r="AN44" s="1847" t="n"/>
      <c r="AO44" s="1847" t="n"/>
      <c r="AP44" s="1847" t="n"/>
      <c r="AQ44" s="1847" t="n"/>
      <c r="AR44" s="1847" t="n"/>
      <c r="AS44" s="1847" t="n"/>
      <c r="AT44" s="1847" t="n">
        <v>43584</v>
      </c>
      <c r="AU44" s="1847" t="n"/>
    </row>
    <row r="45" ht="18" customHeight="1" s="1232">
      <c r="A45" s="247" t="n"/>
      <c r="B45" s="1855" t="n">
        <v>43146</v>
      </c>
      <c r="C45" s="1607" t="n">
        <v>395</v>
      </c>
      <c r="D45" s="1830" t="n">
        <v>0</v>
      </c>
      <c r="E45" s="1830" t="inlineStr">
        <is>
          <t>#00940</t>
        </is>
      </c>
      <c r="F45" s="1856" t="inlineStr">
        <is>
          <t>Existing</t>
        </is>
      </c>
      <c r="G45" s="1702" t="inlineStr">
        <is>
          <t>annewatkinson@talk21.com</t>
        </is>
      </c>
      <c r="H45" s="753" t="inlineStr">
        <is>
          <t>Ms</t>
        </is>
      </c>
      <c r="I45" s="753" t="inlineStr">
        <is>
          <t>Anne</t>
        </is>
      </c>
      <c r="J45" s="754" t="inlineStr">
        <is>
          <t>Watkinson</t>
        </is>
      </c>
      <c r="K45" s="658" t="n"/>
      <c r="L45" s="1864" t="n"/>
      <c r="M45" s="1864" t="inlineStr">
        <is>
          <t>L</t>
        </is>
      </c>
      <c r="N45" s="1865" t="inlineStr">
        <is>
          <t>L</t>
        </is>
      </c>
      <c r="O45" s="645">
        <f>COUNTA(S45:BD45)</f>
        <v/>
      </c>
      <c r="P45" s="645" t="inlineStr">
        <is>
          <t>Jun</t>
        </is>
      </c>
      <c r="Q45" s="745" t="n">
        <v>43649</v>
      </c>
      <c r="R45" s="726" t="n">
        <v>43160</v>
      </c>
      <c r="S45" s="1852" t="n">
        <v>43166</v>
      </c>
      <c r="T45" s="1852" t="n"/>
      <c r="U45" s="1852" t="n"/>
      <c r="V45" s="1852" t="n"/>
      <c r="W45" s="1852" t="n"/>
      <c r="X45" s="1852" t="n"/>
      <c r="Y45" s="1852" t="n"/>
      <c r="Z45" s="1852" t="n">
        <v>43273</v>
      </c>
      <c r="AA45" s="1852" t="n"/>
      <c r="AB45" s="1852" t="n"/>
      <c r="AC45" s="1847" t="n">
        <v>43319</v>
      </c>
      <c r="AD45" s="1847" t="n"/>
      <c r="AE45" s="1847" t="n">
        <v>43355</v>
      </c>
      <c r="AF45" s="1847" t="n"/>
      <c r="AG45" s="1853" t="n"/>
      <c r="AH45" s="1847" t="n">
        <v>43411</v>
      </c>
      <c r="AI45" s="1853" t="n"/>
      <c r="AJ45" s="1847" t="n"/>
      <c r="AK45" s="1847" t="n"/>
      <c r="AL45" s="1847" t="n">
        <v>43474</v>
      </c>
      <c r="AM45" s="1847" t="n"/>
      <c r="AN45" s="1847" t="n"/>
      <c r="AO45" s="1847" t="n"/>
      <c r="AP45" s="1847" t="n"/>
      <c r="AQ45" s="1847" t="n">
        <v>43544</v>
      </c>
      <c r="AR45" s="1847" t="n"/>
      <c r="AS45" s="1847" t="n"/>
      <c r="AT45" s="1863" t="n">
        <v>43584</v>
      </c>
      <c r="AU45" s="1863" t="n">
        <v>43600</v>
      </c>
      <c r="AV45" s="1863" t="n">
        <v>43633</v>
      </c>
    </row>
    <row r="46" ht="18" customHeight="1" s="1232">
      <c r="A46" s="247" t="n"/>
      <c r="B46" s="1855" t="n">
        <v>43158</v>
      </c>
      <c r="C46" s="1607" t="n">
        <v>316</v>
      </c>
      <c r="D46" s="1856" t="n">
        <v>0</v>
      </c>
      <c r="E46" s="1856" t="n"/>
      <c r="F46" s="1856" t="inlineStr">
        <is>
          <t>Existing</t>
        </is>
      </c>
      <c r="G46" s="1857" t="inlineStr">
        <is>
          <t>joyceejames@me.com</t>
        </is>
      </c>
      <c r="H46" s="753" t="inlineStr">
        <is>
          <t>Mrs</t>
        </is>
      </c>
      <c r="I46" s="753" t="inlineStr">
        <is>
          <t>Joyce</t>
        </is>
      </c>
      <c r="J46" s="754" t="inlineStr">
        <is>
          <t>James</t>
        </is>
      </c>
      <c r="K46" s="658" t="n">
        <v>55</v>
      </c>
      <c r="L46" s="663" t="n"/>
      <c r="M46" s="663" t="inlineStr">
        <is>
          <t>L</t>
        </is>
      </c>
      <c r="N46" s="770" t="inlineStr">
        <is>
          <t>L</t>
        </is>
      </c>
      <c r="O46" s="645">
        <f>COUNTA(S46:BD46)</f>
        <v/>
      </c>
      <c r="P46" s="645" t="inlineStr">
        <is>
          <t>Apr</t>
        </is>
      </c>
      <c r="Q46" s="745" t="n">
        <v>43650</v>
      </c>
      <c r="R46" s="726" t="n">
        <v>43252</v>
      </c>
      <c r="S46" s="1852" t="n"/>
      <c r="T46" s="1852" t="n"/>
      <c r="U46" s="1852" t="n"/>
      <c r="V46" s="1852" t="n"/>
      <c r="W46" s="1852" t="n"/>
      <c r="X46" s="1852" t="n"/>
      <c r="Y46" s="1852" t="n">
        <v>43255</v>
      </c>
      <c r="Z46" s="1852" t="n"/>
      <c r="AA46" s="1852" t="n"/>
      <c r="AB46" s="1852" t="n">
        <v>43298</v>
      </c>
      <c r="AC46" s="1847" t="n"/>
      <c r="AD46" s="1847" t="n"/>
      <c r="AE46" s="1847" t="n"/>
      <c r="AF46" s="1847" t="n"/>
      <c r="AG46" s="1853" t="n"/>
      <c r="AH46" s="1830" t="n"/>
      <c r="AI46" s="1853" t="n"/>
      <c r="AJ46" s="1847" t="n"/>
      <c r="AK46" s="1847" t="n"/>
      <c r="AL46" s="1847" t="n"/>
      <c r="AM46" s="1847" t="n">
        <v>43486</v>
      </c>
      <c r="AN46" s="1847" t="n"/>
      <c r="AO46" s="1847" t="n"/>
      <c r="AP46" s="1847" t="n">
        <v>43528</v>
      </c>
      <c r="AQ46" s="1847" t="n">
        <v>43544</v>
      </c>
      <c r="AR46" s="1847" t="n"/>
      <c r="AS46" s="1847" t="n"/>
      <c r="AT46" s="1847" t="n">
        <v>43584</v>
      </c>
      <c r="AU46" s="1847" t="n"/>
    </row>
    <row r="52" ht="18" customHeight="1" s="1232">
      <c r="B52" s="1855" t="n">
        <v>43212</v>
      </c>
      <c r="C52" s="1607" t="n">
        <v>395</v>
      </c>
      <c r="D52" s="1607" t="n">
        <v>0</v>
      </c>
      <c r="E52" s="1856" t="inlineStr">
        <is>
          <t>#01005</t>
        </is>
      </c>
      <c r="F52" s="1856" t="inlineStr">
        <is>
          <t>Referral</t>
        </is>
      </c>
      <c r="G52" s="1857" t="inlineStr">
        <is>
          <t>alistair_willis@yahoo.co.uk</t>
        </is>
      </c>
      <c r="H52" s="239" t="inlineStr">
        <is>
          <t>Mr</t>
        </is>
      </c>
      <c r="I52" s="239" t="inlineStr">
        <is>
          <t xml:space="preserve">Alistair </t>
        </is>
      </c>
      <c r="J52" s="240" t="inlineStr">
        <is>
          <t>Willis</t>
        </is>
      </c>
      <c r="K52" s="658" t="n">
        <v>45</v>
      </c>
      <c r="L52" s="659" t="n">
        <v>7910195549</v>
      </c>
      <c r="M52" s="659" t="n"/>
      <c r="N52" s="659" t="inlineStr">
        <is>
          <t>L</t>
        </is>
      </c>
      <c r="O52" s="645">
        <f>COUNTA(S52:CZ52)</f>
        <v/>
      </c>
      <c r="P52" s="645" t="inlineStr">
        <is>
          <t>Show</t>
        </is>
      </c>
      <c r="Q52" s="745" t="n">
        <v>43740</v>
      </c>
      <c r="R52" s="726" t="n">
        <v>43221</v>
      </c>
      <c r="S52" s="1852" t="n"/>
      <c r="T52" s="1852" t="n"/>
      <c r="U52" s="1852" t="n"/>
      <c r="V52" s="1852" t="n"/>
      <c r="W52" s="1852" t="n"/>
      <c r="X52" s="1852" t="n">
        <v>43235</v>
      </c>
      <c r="Y52" s="1852" t="n"/>
      <c r="Z52" s="1852" t="n"/>
      <c r="AA52" s="1852" t="n"/>
      <c r="AB52" s="1852" t="n">
        <v>43298</v>
      </c>
      <c r="AC52" s="1847" t="n"/>
      <c r="AD52" s="1847" t="n"/>
      <c r="AE52" s="1847" t="n"/>
      <c r="AF52" s="1847" t="n"/>
      <c r="AG52" s="1853" t="n"/>
      <c r="AH52" s="1847" t="n"/>
      <c r="AI52" s="1866" t="n"/>
      <c r="AJ52" s="1847" t="n"/>
      <c r="AK52" s="1847" t="n"/>
      <c r="AL52" s="1847" t="n"/>
      <c r="AM52" s="1847" t="n"/>
      <c r="AN52" s="1847" t="n">
        <v>43502</v>
      </c>
      <c r="AO52" s="1847" t="n"/>
      <c r="AP52" s="1853" t="n">
        <v>43528</v>
      </c>
      <c r="AQ52" s="1847" t="n"/>
      <c r="AR52" s="1847" t="n"/>
      <c r="AS52" s="1847" t="n">
        <v>43565</v>
      </c>
      <c r="AT52" s="1847" t="n"/>
      <c r="AU52" s="1847" t="n">
        <v>43600</v>
      </c>
      <c r="BE52" s="1848" t="n"/>
      <c r="BF52" s="1848" t="n"/>
      <c r="BG52" s="1848" t="n"/>
      <c r="BH52" s="1848" t="n"/>
      <c r="BI52" s="1848" t="n"/>
      <c r="BJ52" s="1848" t="n"/>
      <c r="BK52" s="1848" t="n"/>
      <c r="BL52" s="1848" t="n"/>
      <c r="BM52" s="1848" t="n"/>
      <c r="BN52" s="1848" t="n"/>
      <c r="BO52" s="1848" t="n"/>
      <c r="BP52" s="1848" t="n"/>
      <c r="BQ52" s="1848" t="n"/>
      <c r="BR52" s="1848" t="n"/>
      <c r="BV52" s="1848" t="n"/>
      <c r="BW52" s="1848" t="n"/>
      <c r="BX52" s="1848" t="n"/>
      <c r="BY52" s="1848" t="n"/>
      <c r="BZ52" s="1848" t="n"/>
    </row>
    <row r="53" ht="18" customHeight="1" s="1232">
      <c r="B53" s="1855" t="n">
        <v>43558</v>
      </c>
      <c r="C53" s="1607" t="n">
        <v>355.5</v>
      </c>
      <c r="D53" s="1607" t="n">
        <v>0</v>
      </c>
      <c r="E53" s="1856" t="n"/>
      <c r="F53" s="1856" t="inlineStr">
        <is>
          <t>Existing</t>
        </is>
      </c>
      <c r="G53" s="1702" t="inlineStr">
        <is>
          <t xml:space="preserve">esterriordan@hotmail.co.uk </t>
        </is>
      </c>
      <c r="H53" s="239" t="inlineStr">
        <is>
          <t>Mrs</t>
        </is>
      </c>
      <c r="I53" s="239" t="inlineStr">
        <is>
          <t xml:space="preserve">Ester </t>
        </is>
      </c>
      <c r="J53" s="239" t="inlineStr">
        <is>
          <t xml:space="preserve">Riordan </t>
        </is>
      </c>
      <c r="K53" s="1830" t="n"/>
      <c r="L53" s="1830" t="n"/>
      <c r="M53" s="1830" t="n"/>
      <c r="N53" s="1831" t="inlineStr">
        <is>
          <t>L</t>
        </is>
      </c>
      <c r="O53" s="645">
        <f>COUNTA(S53:CZ53)</f>
        <v/>
      </c>
      <c r="P53" s="1830" t="n"/>
      <c r="Q53" s="1830" t="n"/>
      <c r="R53" s="726" t="n">
        <v>43565</v>
      </c>
      <c r="AC53" s="1830" t="n"/>
      <c r="AD53" s="1830" t="n"/>
      <c r="AE53" s="1830" t="n"/>
      <c r="AF53" s="1830" t="n"/>
      <c r="AG53" s="1830" t="n"/>
      <c r="AH53" s="1830" t="n"/>
      <c r="AI53" s="1830" t="n"/>
      <c r="AJ53" s="1830" t="n"/>
      <c r="AK53" s="1830" t="n"/>
      <c r="AS53" s="1847" t="n">
        <v>43565</v>
      </c>
      <c r="BE53" s="1848" t="n"/>
      <c r="BF53" s="1848" t="n"/>
      <c r="BG53" s="1848" t="n"/>
      <c r="BH53" s="1848" t="n"/>
      <c r="BI53" s="1848" t="n"/>
      <c r="BJ53" s="1848" t="n"/>
      <c r="BK53" s="1848" t="n"/>
      <c r="BL53" s="1848" t="n"/>
      <c r="BM53" s="1848" t="n"/>
      <c r="BN53" s="1848" t="n"/>
      <c r="BO53" s="1848" t="n"/>
      <c r="BP53" s="1848" t="n"/>
      <c r="BQ53" s="1848" t="n"/>
      <c r="BR53" s="1848" t="n"/>
      <c r="BV53" s="1848" t="n"/>
      <c r="BW53" s="1848" t="n"/>
      <c r="BX53" s="1848" t="n"/>
      <c r="BY53" s="1848" t="n"/>
      <c r="BZ53" s="1848" t="n"/>
    </row>
    <row r="54" ht="18" customHeight="1" s="1232">
      <c r="B54" s="1849" t="n"/>
      <c r="C54" s="1867" t="n">
        <v>395</v>
      </c>
      <c r="D54" s="1867" t="n"/>
      <c r="E54" s="1868" t="n"/>
      <c r="F54" s="1868" t="inlineStr">
        <is>
          <t>Existing</t>
        </is>
      </c>
      <c r="G54" s="1854" t="inlineStr">
        <is>
          <t xml:space="preserve">lynne.gavin@virgin.net </t>
        </is>
      </c>
      <c r="H54" s="239" t="inlineStr">
        <is>
          <t>Ms</t>
        </is>
      </c>
      <c r="I54" s="239" t="inlineStr">
        <is>
          <t>Lynne</t>
        </is>
      </c>
      <c r="J54" s="239" t="inlineStr">
        <is>
          <t>Gavin</t>
        </is>
      </c>
      <c r="K54" s="864" t="n"/>
      <c r="L54" s="864" t="n"/>
      <c r="M54" s="864" t="n"/>
      <c r="N54" s="864" t="inlineStr">
        <is>
          <t>L</t>
        </is>
      </c>
      <c r="O54" s="865">
        <f>COUNTA(S54:CZ54)</f>
        <v/>
      </c>
      <c r="P54" s="866" t="n"/>
      <c r="Q54" s="866" t="n"/>
      <c r="R54" s="867" t="inlineStr">
        <is>
          <t>Feb 2021</t>
        </is>
      </c>
      <c r="S54" s="1868" t="n"/>
      <c r="T54" s="1868" t="n"/>
      <c r="U54" s="1868" t="n"/>
      <c r="V54" s="1868" t="n"/>
      <c r="W54" s="1868" t="n"/>
      <c r="X54" s="1868" t="n"/>
      <c r="Y54" s="1868" t="n"/>
      <c r="Z54" s="1868" t="n"/>
      <c r="AA54" s="1868" t="n"/>
      <c r="AB54" s="1868" t="n"/>
      <c r="AC54" s="1869" t="n"/>
      <c r="AD54" s="1869" t="n"/>
      <c r="AE54" s="1869" t="n"/>
      <c r="AF54" s="1869" t="n"/>
      <c r="AG54" s="1869" t="n"/>
      <c r="AH54" s="1869" t="n"/>
      <c r="AI54" s="1869" t="n"/>
      <c r="AJ54" s="1869" t="n"/>
      <c r="AK54" s="1869" t="n"/>
      <c r="AL54" s="1868" t="n"/>
      <c r="AM54" s="1868" t="n"/>
      <c r="AN54" s="1868" t="n"/>
      <c r="AO54" s="1868" t="n"/>
      <c r="AP54" s="1868" t="n"/>
      <c r="AQ54" s="1868" t="n"/>
      <c r="AR54" s="1868" t="n"/>
      <c r="AS54" s="1868" t="n"/>
      <c r="AT54" s="1868" t="n"/>
      <c r="AU54" s="1868" t="n"/>
      <c r="AV54" s="1868" t="n"/>
      <c r="AW54" s="1868" t="n"/>
      <c r="AX54" s="1868" t="n"/>
      <c r="AY54" s="1868" t="n"/>
      <c r="AZ54" s="1868" t="n"/>
      <c r="BA54" s="1868" t="n"/>
      <c r="BB54" s="1868" t="n"/>
      <c r="BC54" s="1868" t="n"/>
      <c r="BD54" s="1868" t="n"/>
      <c r="BE54" s="1868" t="n"/>
      <c r="BF54" s="1868" t="n"/>
      <c r="BG54" s="1868" t="n"/>
      <c r="BH54" s="1868" t="n"/>
      <c r="BI54" s="1868" t="n"/>
      <c r="BJ54" s="1868" t="n"/>
      <c r="BK54" s="1868" t="n"/>
      <c r="BL54" s="1868" t="n"/>
      <c r="BM54" s="1868" t="n"/>
      <c r="BN54" s="1868" t="n"/>
      <c r="BO54" s="1868" t="n"/>
      <c r="BP54" s="1868" t="n"/>
      <c r="BQ54" s="1868" t="n"/>
      <c r="BR54" s="1868" t="n"/>
      <c r="BS54" s="1868" t="n"/>
      <c r="BT54" s="1868" t="n"/>
      <c r="BU54" s="1868" t="n"/>
      <c r="BV54" s="1870" t="n"/>
      <c r="BW54" s="1870" t="n"/>
      <c r="BX54" s="1870" t="n"/>
      <c r="BY54" s="1870" t="n"/>
      <c r="BZ54" s="1870" t="n">
        <v>44251</v>
      </c>
    </row>
    <row r="55" ht="18" customHeight="1" s="1232">
      <c r="B55" s="1849" t="n">
        <v>43640</v>
      </c>
      <c r="C55" s="1645" t="n">
        <v>395</v>
      </c>
      <c r="D55" s="1868" t="n">
        <v>0</v>
      </c>
      <c r="E55" s="1850" t="inlineStr">
        <is>
          <t>#01393</t>
        </is>
      </c>
      <c r="F55" s="1850" t="inlineStr">
        <is>
          <t>Existing</t>
        </is>
      </c>
      <c r="G55" s="1854" t="inlineStr">
        <is>
          <t xml:space="preserve">frank2807@gmail.com </t>
        </is>
      </c>
      <c r="H55" s="239" t="inlineStr">
        <is>
          <t>Mr</t>
        </is>
      </c>
      <c r="I55" s="239" t="inlineStr">
        <is>
          <t>Frank</t>
        </is>
      </c>
      <c r="J55" s="240" t="inlineStr">
        <is>
          <t>Lovett</t>
        </is>
      </c>
      <c r="K55" s="1869" t="n"/>
      <c r="L55" s="1869" t="n"/>
      <c r="M55" s="1869" t="n"/>
      <c r="N55" s="1869" t="inlineStr">
        <is>
          <t>L</t>
        </is>
      </c>
      <c r="O55" s="865">
        <f>COUNTA(S55:BN55)</f>
        <v/>
      </c>
      <c r="P55" s="865" t="n"/>
      <c r="Q55" s="865" t="n"/>
      <c r="R55" s="867" t="n">
        <v>43647</v>
      </c>
      <c r="T55" s="1860" t="n"/>
      <c r="U55" s="1860" t="n"/>
      <c r="V55" s="1860" t="n"/>
      <c r="W55" s="1860" t="n"/>
      <c r="X55" s="1860" t="n"/>
      <c r="Y55" s="1860" t="n"/>
      <c r="Z55" s="1860" t="n"/>
      <c r="AA55" s="1860" t="n"/>
      <c r="AB55" s="1860" t="n"/>
      <c r="AC55" s="1861" t="n"/>
      <c r="AD55" s="1861" t="n"/>
      <c r="AE55" s="1861" t="n"/>
      <c r="AL55" s="1847" t="n"/>
      <c r="AM55" s="1847" t="n"/>
      <c r="AN55" s="1847" t="n"/>
      <c r="AO55" s="1847" t="n"/>
      <c r="AP55" s="1847" t="n"/>
      <c r="AQ55" s="1847" t="n"/>
      <c r="AR55" s="1847" t="n"/>
      <c r="AS55" s="1847" t="n"/>
      <c r="AT55" s="1847" t="n"/>
      <c r="AU55" s="1847" t="n"/>
      <c r="AY55" s="1847" t="n">
        <v>43668</v>
      </c>
      <c r="BD55" s="1848" t="n">
        <v>43754</v>
      </c>
      <c r="BE55" s="1848" t="n"/>
      <c r="BF55" s="1848" t="n"/>
      <c r="BG55" s="1848" t="n"/>
      <c r="BH55" s="1848" t="n"/>
      <c r="BI55" s="1848" t="n"/>
      <c r="BJ55" s="1848" t="n">
        <v>43922</v>
      </c>
      <c r="BK55" s="1848" t="n"/>
      <c r="BL55" s="1848" t="n"/>
      <c r="BM55" s="1848" t="n"/>
      <c r="BN55" s="1848" t="n"/>
      <c r="BO55" s="1848" t="n"/>
      <c r="BP55" s="1848" t="n"/>
      <c r="BQ55" s="1848" t="n"/>
      <c r="BR55" s="1848" t="n"/>
    </row>
    <row r="56" ht="18" customHeight="1" s="1232">
      <c r="B56" s="1849" t="n">
        <v>43474</v>
      </c>
      <c r="C56" s="1645" t="n">
        <v>395</v>
      </c>
      <c r="D56" s="1868" t="n">
        <v>0</v>
      </c>
      <c r="E56" s="1868" t="inlineStr">
        <is>
          <t>#001215</t>
        </is>
      </c>
      <c r="F56" s="1850" t="inlineStr">
        <is>
          <t>Google</t>
        </is>
      </c>
      <c r="G56" s="1871" t="inlineStr">
        <is>
          <t>diana.saville@icloud.com</t>
        </is>
      </c>
      <c r="H56" s="239" t="inlineStr">
        <is>
          <t>Mrs</t>
        </is>
      </c>
      <c r="I56" s="239" t="inlineStr">
        <is>
          <t xml:space="preserve">Diana </t>
        </is>
      </c>
      <c r="J56" s="240" t="inlineStr">
        <is>
          <t>Saville</t>
        </is>
      </c>
      <c r="K56" s="727" t="inlineStr">
        <is>
          <t>64</t>
        </is>
      </c>
      <c r="L56" s="1872" t="inlineStr">
        <is>
          <t>07557551669</t>
        </is>
      </c>
      <c r="M56" s="1872" t="n"/>
      <c r="N56" s="1869" t="inlineStr">
        <is>
          <t>L</t>
        </is>
      </c>
      <c r="O56" s="865">
        <f>COUNTA(S56:BD56)</f>
        <v/>
      </c>
      <c r="P56" s="865" t="n"/>
      <c r="Q56" s="865" t="n"/>
      <c r="R56" s="867" t="n">
        <v>43466</v>
      </c>
      <c r="AC56" s="1830" t="n"/>
      <c r="AD56" s="1830" t="n"/>
      <c r="AE56" s="1830" t="n"/>
      <c r="AF56" s="1830" t="n"/>
      <c r="AG56" s="1830" t="n"/>
      <c r="AH56" s="1830" t="n"/>
      <c r="AI56" s="1830" t="n"/>
      <c r="AJ56" s="1830" t="n"/>
      <c r="AK56" s="1830" t="n"/>
      <c r="AM56" s="1847" t="n">
        <v>43486</v>
      </c>
    </row>
    <row r="57" ht="18" customHeight="1" s="1232">
      <c r="B57" s="1849" t="n">
        <v>43131</v>
      </c>
      <c r="C57" s="1645" t="n">
        <v>395</v>
      </c>
      <c r="D57" s="1850" t="n">
        <v>0</v>
      </c>
      <c r="E57" s="1850" t="inlineStr">
        <is>
          <t>#00894</t>
        </is>
      </c>
      <c r="F57" s="1850" t="inlineStr">
        <is>
          <t>Existing</t>
        </is>
      </c>
      <c r="G57" s="1873" t="inlineStr">
        <is>
          <t xml:space="preserve">clive.turner@virgin.net </t>
        </is>
      </c>
      <c r="H57" s="239" t="inlineStr">
        <is>
          <t>Mr</t>
        </is>
      </c>
      <c r="I57" s="240" t="inlineStr">
        <is>
          <t xml:space="preserve">Clive </t>
        </is>
      </c>
      <c r="J57" s="239" t="inlineStr">
        <is>
          <t>Turner</t>
        </is>
      </c>
      <c r="K57" s="727" t="n">
        <v>69</v>
      </c>
      <c r="L57" s="727" t="n">
        <v>7961355075</v>
      </c>
      <c r="M57" s="727" t="n"/>
      <c r="N57" s="727" t="inlineStr">
        <is>
          <t>L</t>
        </is>
      </c>
      <c r="O57" s="865">
        <f>COUNTA(S57:AT57)</f>
        <v/>
      </c>
      <c r="P57" s="865" t="n"/>
      <c r="Q57" s="865" t="n"/>
      <c r="R57" s="867" t="n">
        <v>43191</v>
      </c>
      <c r="S57" s="1874" t="n"/>
      <c r="T57" s="1874" t="n"/>
      <c r="U57" s="1874" t="n">
        <v>43206</v>
      </c>
      <c r="V57" s="1874" t="n"/>
      <c r="W57" s="1874" t="n"/>
      <c r="X57" s="1874" t="n"/>
      <c r="Y57" s="1874" t="n"/>
      <c r="Z57" s="1874" t="n"/>
      <c r="AA57" s="1874" t="n"/>
      <c r="AB57" s="1874" t="n"/>
      <c r="AC57" s="1853" t="n"/>
      <c r="AD57" s="1853" t="n"/>
      <c r="AE57" s="1853" t="n"/>
      <c r="AF57" s="1853" t="n"/>
      <c r="AG57" s="1853" t="n"/>
      <c r="AH57" s="1853" t="n"/>
      <c r="AI57" s="1853" t="n"/>
      <c r="AJ57" s="1853" t="n"/>
      <c r="AK57" s="1853" t="n"/>
      <c r="AL57" s="1853" t="n"/>
      <c r="AM57" s="1853" t="n"/>
      <c r="AN57" s="1853" t="n"/>
      <c r="AO57" s="1853" t="n"/>
      <c r="AP57" s="1853" t="n"/>
      <c r="AQ57" s="1853" t="n"/>
      <c r="AR57" s="1853" t="n"/>
      <c r="AS57" s="1853" t="n"/>
      <c r="AT57" s="1853" t="n"/>
      <c r="AU57" s="1853" t="n"/>
      <c r="AV57" s="1868" t="n"/>
      <c r="AW57" s="1868" t="n"/>
      <c r="AX57" s="1868" t="n"/>
      <c r="AY57" s="1868" t="n"/>
      <c r="AZ57" s="1868" t="n"/>
      <c r="BA57" s="1868" t="n"/>
      <c r="BB57" s="1868" t="n"/>
      <c r="BC57" s="1868" t="n"/>
      <c r="BD57" s="1868" t="n"/>
      <c r="BE57" s="1868" t="n"/>
      <c r="BF57" s="1868" t="n"/>
      <c r="BG57" s="1868" t="n"/>
      <c r="BH57" s="1868" t="n"/>
      <c r="BI57" s="1868" t="n"/>
      <c r="BJ57" s="1868" t="n"/>
      <c r="BK57" s="1868" t="n"/>
      <c r="BL57" s="1868" t="n"/>
      <c r="BM57" s="1868" t="n"/>
      <c r="BN57" s="1868" t="n"/>
      <c r="BO57" s="1868" t="n"/>
      <c r="BP57" s="1868" t="n"/>
      <c r="BQ57" s="1868" t="n"/>
      <c r="BR57" s="1868" t="n"/>
      <c r="BS57" s="1868" t="n"/>
      <c r="BT57" s="1868" t="n"/>
      <c r="BU57" s="1868" t="n"/>
      <c r="BV57" s="1868" t="n"/>
      <c r="BW57" s="1868" t="n"/>
      <c r="BX57" s="1868" t="n"/>
      <c r="BY57" s="1868" t="n"/>
      <c r="BZ57" s="1868" t="n"/>
    </row>
    <row r="58" ht="18" customHeight="1" s="1232">
      <c r="B58" s="1849" t="n">
        <v>43137</v>
      </c>
      <c r="C58" s="1850" t="n">
        <v>395</v>
      </c>
      <c r="D58" s="1868" t="n">
        <v>0</v>
      </c>
      <c r="E58" s="1868" t="inlineStr">
        <is>
          <t>Direct</t>
        </is>
      </c>
      <c r="F58" s="1850" t="inlineStr">
        <is>
          <t>Existing</t>
        </is>
      </c>
      <c r="G58" s="1764" t="inlineStr">
        <is>
          <t>imlaurab@hotmail.co.uk</t>
        </is>
      </c>
      <c r="H58" s="1850" t="inlineStr">
        <is>
          <t>Miss</t>
        </is>
      </c>
      <c r="I58" s="1850" t="inlineStr">
        <is>
          <t>Laura</t>
        </is>
      </c>
      <c r="J58" s="1850" t="inlineStr">
        <is>
          <t>Byrne</t>
        </is>
      </c>
      <c r="K58" s="728" t="n">
        <v>23</v>
      </c>
      <c r="L58" s="728" t="n">
        <v>7557766387</v>
      </c>
      <c r="M58" s="728" t="n"/>
      <c r="N58" s="728" t="inlineStr">
        <is>
          <t>A</t>
        </is>
      </c>
      <c r="O58" s="865">
        <f>COUNTA(S58:AT58)</f>
        <v/>
      </c>
      <c r="P58" s="865" t="n"/>
      <c r="Q58" s="865" t="n"/>
      <c r="R58" s="867" t="n">
        <v>43191</v>
      </c>
      <c r="S58" s="1874" t="n"/>
      <c r="T58" s="1874" t="n">
        <v>43195</v>
      </c>
      <c r="U58" s="1874" t="n"/>
      <c r="V58" s="1874" t="n"/>
      <c r="W58" s="1874" t="n"/>
      <c r="X58" s="1874" t="n"/>
      <c r="Y58" s="1874" t="n">
        <v>43255</v>
      </c>
      <c r="Z58" s="1874" t="n"/>
      <c r="AA58" s="1874" t="n"/>
      <c r="AB58" s="1874" t="n"/>
      <c r="AC58" s="1853" t="n">
        <v>43319</v>
      </c>
      <c r="AD58" s="1853" t="n"/>
      <c r="AE58" s="1853" t="n"/>
      <c r="AF58" s="1853" t="n"/>
      <c r="AG58" s="1853" t="n"/>
      <c r="AH58" s="1853" t="n"/>
      <c r="AI58" s="1853" t="n"/>
      <c r="AJ58" s="1853" t="n"/>
      <c r="AK58" s="1853" t="n"/>
      <c r="AL58" s="1853" t="n"/>
      <c r="AM58" s="1853" t="n"/>
      <c r="AN58" s="1853" t="n"/>
      <c r="AO58" s="1853" t="n"/>
      <c r="AP58" s="1853" t="n"/>
      <c r="AQ58" s="1853" t="n"/>
      <c r="AR58" s="1853" t="n"/>
      <c r="AS58" s="1853" t="n"/>
      <c r="AT58" s="1853" t="n"/>
      <c r="AU58" s="1853" t="n"/>
      <c r="AV58" s="1868" t="n"/>
      <c r="AW58" s="1868" t="n"/>
      <c r="AX58" s="1868" t="n"/>
      <c r="AY58" s="1868" t="n"/>
      <c r="AZ58" s="1868" t="n"/>
      <c r="BA58" s="1868" t="n"/>
      <c r="BB58" s="1868" t="n"/>
      <c r="BC58" s="1868" t="n"/>
      <c r="BD58" s="1868" t="n"/>
      <c r="BE58" s="1868" t="n"/>
      <c r="BF58" s="1868" t="n"/>
      <c r="BG58" s="1868" t="n"/>
      <c r="BH58" s="1868" t="n"/>
      <c r="BI58" s="1868" t="n"/>
      <c r="BJ58" s="1868" t="n"/>
      <c r="BK58" s="1868" t="n"/>
      <c r="BL58" s="1868" t="n"/>
      <c r="BM58" s="1868" t="n"/>
      <c r="BN58" s="1868" t="n"/>
      <c r="BO58" s="1868" t="n"/>
      <c r="BP58" s="1868" t="n"/>
      <c r="BQ58" s="1868" t="n"/>
      <c r="BR58" s="1868" t="n"/>
      <c r="BS58" s="1868" t="n"/>
      <c r="BT58" s="1868" t="n"/>
      <c r="BU58" s="1868" t="n"/>
      <c r="BV58" s="1868" t="n"/>
      <c r="BW58" s="1868" t="n"/>
      <c r="BX58" s="1868" t="n"/>
      <c r="BY58" s="1868" t="n"/>
      <c r="BZ58" s="1868" t="n"/>
    </row>
    <row r="59" ht="18" customHeight="1" s="1232">
      <c r="B59" s="1849" t="n">
        <v>43157</v>
      </c>
      <c r="C59" s="1645" t="n">
        <v>395</v>
      </c>
      <c r="D59" s="1868" t="n">
        <v>0</v>
      </c>
      <c r="E59" s="1868" t="inlineStr">
        <is>
          <t>Direct</t>
        </is>
      </c>
      <c r="F59" s="1868" t="inlineStr">
        <is>
          <t>Existing</t>
        </is>
      </c>
      <c r="G59" s="1871" t="inlineStr">
        <is>
          <t>battisonmatt@googlemail.com</t>
        </is>
      </c>
      <c r="H59" s="239" t="inlineStr">
        <is>
          <t>Mr</t>
        </is>
      </c>
      <c r="I59" s="239" t="inlineStr">
        <is>
          <t>Matt</t>
        </is>
      </c>
      <c r="J59" s="240" t="inlineStr">
        <is>
          <t xml:space="preserve"> Battison </t>
        </is>
      </c>
      <c r="K59" s="727" t="n"/>
      <c r="L59" s="1875" t="n"/>
      <c r="M59" s="1875" t="n"/>
      <c r="N59" s="1875" t="inlineStr">
        <is>
          <t>A</t>
        </is>
      </c>
      <c r="O59" s="865">
        <f>COUNTA(S59:BD59)</f>
        <v/>
      </c>
      <c r="P59" s="865" t="n"/>
      <c r="Q59" s="865" t="n"/>
      <c r="R59" s="867" t="n">
        <v>43160</v>
      </c>
      <c r="S59" s="1874" t="n">
        <v>43166</v>
      </c>
      <c r="T59" s="1874" t="n"/>
      <c r="U59" s="1874" t="n"/>
      <c r="V59" s="1874" t="n"/>
      <c r="W59" s="1874" t="n"/>
      <c r="X59" s="1874" t="n"/>
      <c r="Y59" s="1874" t="n"/>
      <c r="Z59" s="1874" t="n"/>
      <c r="AA59" s="1874" t="n"/>
      <c r="AB59" s="1874" t="n"/>
      <c r="AC59" s="1853" t="n"/>
      <c r="AD59" s="1853" t="n">
        <v>43341</v>
      </c>
      <c r="AE59" s="1853" t="n"/>
      <c r="AF59" s="1853" t="n"/>
      <c r="AG59" s="1853" t="n"/>
      <c r="AH59" s="1853" t="n"/>
      <c r="AI59" s="1853" t="n"/>
      <c r="AJ59" s="1853" t="n"/>
      <c r="AK59" s="1853" t="n"/>
      <c r="AL59" s="1853" t="n"/>
      <c r="AM59" s="1853" t="n"/>
      <c r="AN59" s="1853" t="n"/>
      <c r="AO59" s="1853" t="n"/>
      <c r="AP59" s="1853" t="n"/>
      <c r="AQ59" s="1853" t="n"/>
      <c r="AR59" s="1853" t="n"/>
      <c r="AS59" s="1853" t="n"/>
      <c r="AT59" s="1853" t="n"/>
      <c r="AU59" s="1853" t="n"/>
      <c r="AV59" s="1868" t="n"/>
      <c r="AW59" s="1868" t="n"/>
      <c r="AX59" s="1868" t="n"/>
      <c r="AY59" s="1868" t="n"/>
      <c r="AZ59" s="1868" t="n"/>
      <c r="BA59" s="1868" t="n"/>
      <c r="BB59" s="1868" t="n"/>
      <c r="BC59" s="1868" t="n"/>
      <c r="BD59" s="1868" t="n"/>
      <c r="BE59" s="1868" t="n"/>
      <c r="BF59" s="1868" t="n"/>
      <c r="BG59" s="1868" t="n"/>
      <c r="BH59" s="1868" t="n"/>
      <c r="BI59" s="1868" t="n"/>
      <c r="BJ59" s="1868" t="n"/>
      <c r="BK59" s="1868" t="n"/>
      <c r="BL59" s="1868" t="n"/>
      <c r="BM59" s="1868" t="n"/>
      <c r="BN59" s="1868" t="n"/>
      <c r="BO59" s="1868" t="n"/>
      <c r="BP59" s="1868" t="n"/>
      <c r="BQ59" s="1868" t="n"/>
      <c r="BR59" s="1868" t="n"/>
      <c r="BS59" s="1868" t="n"/>
      <c r="BT59" s="1868" t="n"/>
      <c r="BU59" s="1868" t="n"/>
      <c r="BV59" s="1868" t="n"/>
      <c r="BW59" s="1868" t="n"/>
      <c r="BX59" s="1868" t="n"/>
      <c r="BY59" s="1868" t="n"/>
      <c r="BZ59" s="1868" t="n"/>
    </row>
    <row r="60" ht="18" customHeight="1" s="1232">
      <c r="T60" s="1852" t="n"/>
      <c r="U60" s="1852" t="n"/>
      <c r="V60" s="1852" t="n"/>
      <c r="W60" s="1852" t="n"/>
      <c r="X60" s="1852" t="n"/>
      <c r="Y60" s="1852" t="n"/>
      <c r="Z60" s="1860" t="n"/>
      <c r="AA60" s="1860" t="n"/>
      <c r="AB60" s="1876" t="n"/>
      <c r="AC60" s="1877" t="n"/>
      <c r="AD60" s="1877" t="n"/>
      <c r="AE60" s="1877" t="n"/>
      <c r="AL60" s="1847" t="n"/>
      <c r="AM60" s="1847" t="n"/>
      <c r="AN60" s="1847" t="n"/>
      <c r="AO60" s="1847" t="n"/>
      <c r="AP60" s="1847" t="n"/>
      <c r="AQ60" s="1847" t="n"/>
      <c r="AR60" s="1847" t="n"/>
      <c r="AS60" s="1847" t="n"/>
      <c r="AT60" s="1847" t="n"/>
      <c r="AU60" s="1847" t="n"/>
    </row>
    <row r="61" ht="14.65" customHeight="1" s="1232">
      <c r="S61" s="1876" t="n"/>
      <c r="T61" s="1876" t="n"/>
      <c r="U61" s="1876" t="n"/>
      <c r="V61" s="1876" t="n"/>
      <c r="W61" s="1876" t="n"/>
      <c r="X61" s="1876" t="n"/>
      <c r="Y61" s="1876" t="n"/>
      <c r="Z61" s="1876" t="n"/>
      <c r="AA61" s="1876" t="n"/>
      <c r="AB61" s="1876" t="n"/>
      <c r="AC61" s="1877" t="n"/>
      <c r="AD61" s="1877" t="n"/>
      <c r="AE61" s="1877" t="n"/>
      <c r="AL61" s="1847" t="n"/>
      <c r="AM61" s="1847" t="n"/>
      <c r="AN61" s="1847" t="n"/>
      <c r="AO61" s="1847" t="n"/>
      <c r="AP61" s="1847" t="n"/>
      <c r="AQ61" s="1847" t="n"/>
      <c r="AR61" s="1847" t="n"/>
      <c r="AS61" s="1847" t="n"/>
      <c r="AT61" s="1847" t="n"/>
      <c r="AU61" s="1847" t="n"/>
    </row>
    <row r="62" ht="14.65" customHeight="1" s="1232">
      <c r="B62" s="1878" t="inlineStr">
        <is>
          <t>Count</t>
        </is>
      </c>
      <c r="C62" s="1879" t="inlineStr">
        <is>
          <t>Net</t>
        </is>
      </c>
      <c r="D62" s="1879" t="inlineStr">
        <is>
          <t>Gross</t>
        </is>
      </c>
      <c r="E62" s="1878" t="inlineStr">
        <is>
          <t>Avg</t>
        </is>
      </c>
      <c r="M62" s="645">
        <f>COUNTA(M38:M60)</f>
        <v/>
      </c>
      <c r="S62" s="1876" t="n"/>
      <c r="T62" s="1876" t="n"/>
      <c r="U62" s="1876" t="n"/>
      <c r="V62" s="1876" t="n"/>
      <c r="W62" s="1876" t="n"/>
      <c r="X62" s="1876" t="n"/>
      <c r="Y62" s="1876" t="n"/>
      <c r="Z62" s="1876" t="n"/>
      <c r="AA62" s="1876" t="n"/>
      <c r="AB62" s="1876" t="n"/>
      <c r="AC62" s="1877" t="n"/>
      <c r="AD62" s="1877" t="n"/>
      <c r="AE62" s="1877" t="n"/>
    </row>
    <row r="63">
      <c r="B63" s="138">
        <f>COUNTIF(B11:B61,"&gt;0")</f>
        <v/>
      </c>
      <c r="C63" s="1880">
        <f>SUM(C11:C62)</f>
        <v/>
      </c>
      <c r="D63" s="1559">
        <f>SUM(D11:D42)</f>
        <v/>
      </c>
      <c r="E63" s="1830">
        <f>SUM(C63+D63)/B63</f>
        <v/>
      </c>
    </row>
    <row r="64">
      <c r="S64" s="1876" t="n"/>
      <c r="T64" s="1876" t="n"/>
      <c r="U64" s="1876" t="n"/>
      <c r="V64" s="1876" t="n"/>
      <c r="W64" s="1876" t="n"/>
      <c r="X64" s="1876" t="n"/>
      <c r="Y64" s="1876" t="n"/>
      <c r="Z64" s="1876" t="n"/>
      <c r="AA64" s="1876" t="n"/>
      <c r="AB64" s="1876" t="n"/>
      <c r="AC64" s="1877" t="n"/>
      <c r="AD64" s="1877" t="n"/>
      <c r="AE64" s="1877" t="n"/>
    </row>
    <row r="65">
      <c r="S65" s="1876" t="n"/>
      <c r="T65" s="1876" t="n"/>
      <c r="U65" s="1876" t="n"/>
      <c r="V65" s="1876" t="n"/>
      <c r="W65" s="1876" t="n"/>
      <c r="X65" s="1876" t="n"/>
      <c r="Y65" s="1876" t="n"/>
      <c r="Z65" s="1876" t="n"/>
      <c r="AA65" s="1876" t="n"/>
      <c r="AB65" s="1876" t="n"/>
      <c r="AC65" s="1877" t="n"/>
      <c r="AD65" s="1877" t="n"/>
      <c r="AE65" s="1877" t="n"/>
    </row>
    <row r="66">
      <c r="C66" s="1880">
        <f>SUM(C11:C60)</f>
        <v/>
      </c>
      <c r="D66" s="1880">
        <f>SUM(D11:D42)</f>
        <v/>
      </c>
      <c r="E66" s="1830">
        <f>D66+C66</f>
        <v/>
      </c>
      <c r="S66" s="1876" t="n"/>
      <c r="T66" s="1876" t="n"/>
      <c r="U66" s="1876" t="n"/>
      <c r="V66" s="1876" t="n"/>
      <c r="W66" s="1876" t="n"/>
      <c r="X66" s="1876" t="n"/>
      <c r="Y66" s="1876" t="n"/>
      <c r="Z66" s="1876" t="n"/>
      <c r="AA66" s="1876" t="n"/>
      <c r="AB66" s="1876" t="n"/>
      <c r="AC66" s="1877" t="n"/>
      <c r="AD66" s="1877" t="n"/>
      <c r="AE66" s="1877" t="n"/>
    </row>
    <row r="69">
      <c r="B69" s="1830" t="inlineStr">
        <is>
          <t>booking admin</t>
        </is>
      </c>
      <c r="C69" s="1559" t="n">
        <v>1.5</v>
      </c>
      <c r="D69" s="1559">
        <f>C69*B63</f>
        <v/>
      </c>
    </row>
    <row r="70">
      <c r="B70" s="1830" t="inlineStr">
        <is>
          <t>room</t>
        </is>
      </c>
      <c r="C70" s="1559" t="n">
        <v>0</v>
      </c>
      <c r="D70" s="1559">
        <f>C70*4</f>
        <v/>
      </c>
    </row>
    <row r="71">
      <c r="B71" s="1830" t="inlineStr">
        <is>
          <t>time</t>
        </is>
      </c>
      <c r="C71" s="1559" t="n">
        <v>50</v>
      </c>
      <c r="D71" s="1559">
        <f>SUM(C71*3)*6</f>
        <v/>
      </c>
    </row>
    <row r="72">
      <c r="B72" s="1830" t="inlineStr">
        <is>
          <t>food</t>
        </is>
      </c>
      <c r="C72" s="1559" t="n">
        <v>3</v>
      </c>
      <c r="D72" s="1559">
        <f>SUM(C72*3)*6</f>
        <v/>
      </c>
    </row>
    <row r="73">
      <c r="B73" s="1830" t="inlineStr">
        <is>
          <t>Folders</t>
        </is>
      </c>
      <c r="C73" s="1559" t="n">
        <v>0</v>
      </c>
      <c r="D73" s="1559">
        <f>C73*B63</f>
        <v/>
      </c>
    </row>
    <row r="74">
      <c r="B74" s="1830" t="inlineStr">
        <is>
          <t>petrol</t>
        </is>
      </c>
      <c r="C74" s="1559" t="n">
        <v>0</v>
      </c>
      <c r="D74" s="1559">
        <f>C74*4</f>
        <v/>
      </c>
    </row>
    <row r="75">
      <c r="B75" s="1830" t="inlineStr">
        <is>
          <t>paypal</t>
        </is>
      </c>
      <c r="C75" s="245" t="n">
        <v>0.036</v>
      </c>
      <c r="D75" s="1559">
        <f>C63*C75</f>
        <v/>
      </c>
    </row>
    <row r="77">
      <c r="C77" s="1559" t="inlineStr">
        <is>
          <t>Cost</t>
        </is>
      </c>
      <c r="D77" s="1559">
        <f>SUM(D69:D76)</f>
        <v/>
      </c>
    </row>
    <row r="78">
      <c r="C78" s="1559" t="inlineStr">
        <is>
          <t>Profit</t>
        </is>
      </c>
      <c r="D78" s="1880">
        <f>C66+D66-D77</f>
        <v/>
      </c>
    </row>
    <row r="80" ht="14.65" customHeight="1" s="1232">
      <c r="B80" s="1881" t="n"/>
      <c r="C80" s="1607" t="n"/>
      <c r="D80" s="1856" t="n">
        <v>395</v>
      </c>
      <c r="E80" s="1856" t="n"/>
      <c r="F80" s="1856" t="n"/>
      <c r="G80" s="1629" t="n"/>
      <c r="H80" s="1568" t="n"/>
      <c r="I80" s="1568" t="inlineStr">
        <is>
          <t>Clarke Gardener</t>
        </is>
      </c>
      <c r="J80" s="1856" t="n"/>
      <c r="K80" s="663" t="n"/>
      <c r="L80" s="1864" t="n"/>
    </row>
    <row r="81" ht="14.65" customHeight="1" s="1232">
      <c r="B81" s="1881" t="n"/>
      <c r="C81" s="1607" t="n"/>
      <c r="D81" s="1856" t="n">
        <v>395</v>
      </c>
      <c r="E81" s="1856" t="n"/>
      <c r="F81" s="1856" t="n"/>
      <c r="G81" s="1856" t="n"/>
      <c r="H81" s="1856" t="n"/>
      <c r="I81" s="1850" t="inlineStr">
        <is>
          <t>Greg Sant</t>
        </is>
      </c>
      <c r="J81" s="1568" t="n"/>
      <c r="K81" s="1882" t="n"/>
      <c r="L81" s="1864" t="n"/>
    </row>
    <row r="82" ht="14.65" customHeight="1" s="1232">
      <c r="B82" s="1881" t="n"/>
      <c r="C82" s="1607" t="n"/>
      <c r="D82" s="1856" t="n">
        <v>395</v>
      </c>
      <c r="E82" s="1856" t="n"/>
      <c r="F82" s="1856" t="n"/>
      <c r="G82" s="1856" t="n"/>
      <c r="H82" s="1856" t="n"/>
      <c r="I82" s="1643" t="inlineStr">
        <is>
          <t>Chris Johnson</t>
        </is>
      </c>
      <c r="J82" s="93" t="n"/>
      <c r="K82" s="666" t="n"/>
      <c r="L82" s="1864" t="n"/>
    </row>
    <row r="83" ht="14.65" customHeight="1" s="1232">
      <c r="B83" s="1881" t="n"/>
      <c r="C83" s="1590" t="n"/>
      <c r="D83" s="1856" t="n">
        <v>395</v>
      </c>
      <c r="E83" s="1883" t="n"/>
      <c r="F83" s="1883" t="n"/>
      <c r="G83" s="1856" t="n"/>
      <c r="H83" s="1856" t="n"/>
      <c r="I83" s="1850" t="inlineStr">
        <is>
          <t>Jim Crabtree</t>
        </is>
      </c>
      <c r="J83" s="1856" t="n"/>
      <c r="K83" s="663" t="n"/>
      <c r="L83" s="1864" t="n"/>
    </row>
    <row r="84" ht="14.65" customHeight="1" s="1232">
      <c r="B84" s="1855" t="n">
        <v>43137</v>
      </c>
      <c r="C84" s="1856" t="n">
        <v>395</v>
      </c>
      <c r="D84" s="1830" t="n"/>
      <c r="E84" s="1830" t="inlineStr">
        <is>
          <t>#00902</t>
        </is>
      </c>
      <c r="F84" s="1856" t="inlineStr">
        <is>
          <t>Existing</t>
        </is>
      </c>
      <c r="G84" s="1374" t="inlineStr">
        <is>
          <t>robertjsmith@btinternet.com</t>
        </is>
      </c>
      <c r="H84" s="1856" t="inlineStr">
        <is>
          <t>Mr</t>
        </is>
      </c>
      <c r="I84" s="1856" t="inlineStr">
        <is>
          <t>Robert Smith</t>
        </is>
      </c>
      <c r="J84" s="611" t="inlineStr">
        <is>
          <t>Smith</t>
        </is>
      </c>
      <c r="K84" s="1882" t="inlineStr">
        <is>
          <t>58</t>
        </is>
      </c>
      <c r="L84" s="660" t="n">
        <v>7772846158</v>
      </c>
      <c r="M84" s="660" t="n"/>
      <c r="N84" s="660" t="n"/>
      <c r="O84" s="645" t="n"/>
      <c r="P84" s="645" t="n"/>
      <c r="Q84" s="645" t="n"/>
      <c r="R84" s="645" t="n"/>
      <c r="S84" s="1852" t="n">
        <v>43166</v>
      </c>
    </row>
  </sheetData>
  <conditionalFormatting sqref="C78:D78">
    <cfRule type="cellIs" priority="1" operator="lessThan" dxfId="1">
      <formula>0</formula>
    </cfRule>
  </conditionalFormatting>
  <hyperlinks>
    <hyperlink xmlns:r="http://schemas.openxmlformats.org/officeDocument/2006/relationships" ref="G15" r:id="rId1"/>
    <hyperlink xmlns:r="http://schemas.openxmlformats.org/officeDocument/2006/relationships" ref="G19" r:id="rId2"/>
    <hyperlink xmlns:r="http://schemas.openxmlformats.org/officeDocument/2006/relationships" ref="G20" r:id="rId3"/>
    <hyperlink xmlns:r="http://schemas.openxmlformats.org/officeDocument/2006/relationships" ref="G31" r:id="rId4"/>
    <hyperlink xmlns:r="http://schemas.openxmlformats.org/officeDocument/2006/relationships" ref="G32" r:id="rId5"/>
    <hyperlink xmlns:r="http://schemas.openxmlformats.org/officeDocument/2006/relationships" ref="G34" r:id="rId6"/>
    <hyperlink xmlns:r="http://schemas.openxmlformats.org/officeDocument/2006/relationships" ref="G44" r:id="rId7"/>
    <hyperlink xmlns:r="http://schemas.openxmlformats.org/officeDocument/2006/relationships" ref="G45" r:id="rId8"/>
    <hyperlink xmlns:r="http://schemas.openxmlformats.org/officeDocument/2006/relationships" ref="G46" r:id="rId9"/>
    <hyperlink xmlns:r="http://schemas.openxmlformats.org/officeDocument/2006/relationships" ref="G52" r:id="rId10"/>
    <hyperlink xmlns:r="http://schemas.openxmlformats.org/officeDocument/2006/relationships" ref="G56" r:id="rId11"/>
    <hyperlink xmlns:r="http://schemas.openxmlformats.org/officeDocument/2006/relationships" ref="G58" r:id="rId12"/>
    <hyperlink xmlns:r="http://schemas.openxmlformats.org/officeDocument/2006/relationships" ref="G59" r:id="rId13"/>
    <hyperlink xmlns:r="http://schemas.openxmlformats.org/officeDocument/2006/relationships" ref="G84" r:id="rId14"/>
  </hyperlinks>
  <pageMargins left="0.25" right="0.25" top="0.75" bottom="0.75" header="0.3" footer="0.3"/>
  <pageSetup orientation="landscape" paperSize="9" scale="38"/>
  <headerFooter alignWithMargins="0">
    <oddHeader>&amp;LPage &amp;P of &amp;N&amp;C&amp;"Arial,Bold"&amp;14 Solihull - Tudor Court&amp;R&amp;"Arial,Bold"&amp;18 &amp;A</oddHeader>
    <oddFooter>&amp;L&amp;F&amp;R&amp;A</oddFooter>
    <evenHeader/>
    <evenFooter/>
    <firstHeader/>
    <firstFooter/>
  </headerFooter>
  <legacyDrawing xmlns:r="http://schemas.openxmlformats.org/officeDocument/2006/relationships" r:id="anysvml"/>
</worksheet>
</file>

<file path=xl/worksheets/sheet38.xml><?xml version="1.0" encoding="utf-8"?>
<worksheet xmlns="http://schemas.openxmlformats.org/spreadsheetml/2006/main">
  <sheetPr>
    <tabColor rgb="FF758CEF"/>
    <outlinePr summaryBelow="1" summaryRight="1"/>
    <pageSetUpPr fitToPage="1"/>
  </sheetPr>
  <dimension ref="A1:V115"/>
  <sheetViews>
    <sheetView workbookViewId="0">
      <pane ySplit="1" topLeftCell="A46" activePane="bottomLeft" state="frozen"/>
      <selection activeCell="V27" sqref="V27"/>
      <selection pane="bottomLeft" activeCell="A93" sqref="A93"/>
    </sheetView>
  </sheetViews>
  <sheetFormatPr baseColWidth="8" defaultColWidth="9.1328125" defaultRowHeight="12.75"/>
  <cols>
    <col width="13.53125" bestFit="1" customWidth="1" style="1260" min="1" max="1"/>
    <col width="34.1328125" customWidth="1" style="1260" min="2" max="2"/>
    <col width="11" bestFit="1" customWidth="1" style="1260" min="3" max="3"/>
    <col width="11" customWidth="1" style="1260" min="4" max="4"/>
    <col width="12.19921875" customWidth="1" style="85" min="5" max="5"/>
    <col width="12.46484375" customWidth="1" style="1260" min="6" max="6"/>
    <col width="12.796875" bestFit="1" customWidth="1" style="1515" min="7" max="7"/>
    <col width="11.86328125" bestFit="1" customWidth="1" style="1260" min="8" max="8"/>
    <col width="39.53125" bestFit="1" customWidth="1" style="1260" min="9" max="9"/>
    <col width="8.19921875" bestFit="1" customWidth="1" style="1260" min="10" max="10"/>
    <col width="11.1328125" bestFit="1" customWidth="1" style="1260" min="11" max="11"/>
    <col width="15.796875" bestFit="1" customWidth="1" style="1260" min="12" max="12"/>
    <col width="9.19921875" bestFit="1" customWidth="1" style="1260" min="13" max="13"/>
    <col width="20.796875" bestFit="1" customWidth="1" style="1260" min="14" max="14"/>
    <col width="13.53125" bestFit="1" customWidth="1" style="1260" min="15" max="15"/>
    <col width="26.46484375" customWidth="1" style="1260" min="16" max="16"/>
    <col width="16.19921875" customWidth="1" style="1260" min="17" max="17"/>
    <col width="19.1328125" bestFit="1" customWidth="1" style="1260" min="18" max="18"/>
    <col width="13.1328125" bestFit="1" customWidth="1" style="1260" min="19" max="19"/>
    <col width="88.46484375" bestFit="1" customWidth="1" style="1260" min="20" max="20"/>
    <col width="69.1328125" bestFit="1" customWidth="1" style="1260" min="21" max="21"/>
    <col width="69.796875" bestFit="1" customWidth="1" style="1260" min="22" max="22"/>
    <col width="9.1328125" customWidth="1" style="1260" min="23" max="16384"/>
  </cols>
  <sheetData>
    <row r="1" ht="29.25" customHeight="1" s="1232">
      <c r="A1" s="237" t="inlineStr">
        <is>
          <t>Event Date</t>
        </is>
      </c>
      <c r="B1" s="236" t="inlineStr">
        <is>
          <t>Master Classes</t>
        </is>
      </c>
      <c r="C1" s="1618" t="inlineStr">
        <is>
          <t>Duration</t>
        </is>
      </c>
      <c r="D1" s="1618" t="inlineStr">
        <is>
          <t>source</t>
        </is>
      </c>
      <c r="E1" s="109" t="inlineStr">
        <is>
          <t>Order Ref</t>
        </is>
      </c>
      <c r="F1" s="1621" t="inlineStr">
        <is>
          <t>Date Booked</t>
        </is>
      </c>
      <c r="G1" s="1620" t="inlineStr">
        <is>
          <t>Paid</t>
        </is>
      </c>
      <c r="H1" s="1618" t="inlineStr">
        <is>
          <t>Balance</t>
        </is>
      </c>
      <c r="I1" s="1621" t="inlineStr">
        <is>
          <t>Email Address</t>
        </is>
      </c>
      <c r="J1" s="1621" t="inlineStr">
        <is>
          <t>Prefix</t>
        </is>
      </c>
      <c r="K1" s="1621" t="inlineStr">
        <is>
          <t>First Name</t>
        </is>
      </c>
      <c r="L1" s="1621" t="inlineStr">
        <is>
          <t>Last Name</t>
        </is>
      </c>
      <c r="M1" s="235" t="inlineStr">
        <is>
          <t>Age</t>
        </is>
      </c>
      <c r="N1" s="110" t="inlineStr">
        <is>
          <t>Mobile No'</t>
        </is>
      </c>
      <c r="O1" s="1621" t="inlineStr">
        <is>
          <t>Post Code</t>
        </is>
      </c>
      <c r="P1" s="110" t="inlineStr">
        <is>
          <t>House No' Street Name</t>
        </is>
      </c>
      <c r="Q1" s="1621" t="inlineStr">
        <is>
          <t>Town</t>
        </is>
      </c>
      <c r="R1" s="1618" t="inlineStr">
        <is>
          <t>Camera Make/Model</t>
        </is>
      </c>
      <c r="S1" s="1621" t="inlineStr">
        <is>
          <t>yrs doing photography</t>
        </is>
      </c>
      <c r="T1" s="1622" t="inlineStr">
        <is>
          <t>Type of Photography interested in</t>
        </is>
      </c>
      <c r="U1" s="1622" t="inlineStr">
        <is>
          <t>Alt Email</t>
        </is>
      </c>
      <c r="V1" s="1623" t="inlineStr">
        <is>
          <t>Accepted T&amp;Cs</t>
        </is>
      </c>
    </row>
    <row r="2" ht="14.65" customHeight="1" s="1232">
      <c r="A2" s="232" t="n"/>
      <c r="B2" s="231" t="n"/>
      <c r="C2" s="1624" t="n"/>
      <c r="D2" s="1624" t="n"/>
      <c r="E2" s="103" t="n"/>
      <c r="F2" s="102" t="inlineStr">
        <is>
          <t>2014</t>
        </is>
      </c>
      <c r="G2" s="1626" t="n"/>
      <c r="H2" s="1626" t="n"/>
      <c r="I2" s="1627" t="n"/>
      <c r="J2" s="1624" t="n"/>
      <c r="K2" s="1624" t="n"/>
      <c r="L2" s="1624" t="n"/>
      <c r="M2" s="230" t="n"/>
      <c r="N2" s="104" t="n"/>
      <c r="O2" s="1624" t="n"/>
      <c r="P2" s="104" t="n"/>
      <c r="Q2" s="1624" t="n"/>
      <c r="R2" s="1624" t="n"/>
      <c r="S2" s="1624" t="n"/>
      <c r="T2" s="1624" t="n"/>
      <c r="U2" s="1624" t="n"/>
      <c r="V2" s="1624" t="n"/>
    </row>
    <row r="3" ht="10.5" customHeight="1" s="1232">
      <c r="A3" s="142" t="n"/>
      <c r="B3" s="198" t="n"/>
      <c r="C3" s="1568" t="n"/>
      <c r="D3" s="1568" t="n"/>
      <c r="E3" s="87" t="n"/>
      <c r="F3" s="99" t="n"/>
      <c r="G3" s="1607" t="n"/>
      <c r="H3" s="1607" t="n"/>
      <c r="I3" s="1629" t="n"/>
      <c r="J3" s="1568" t="n"/>
      <c r="K3" s="1568" t="n"/>
      <c r="L3" s="1568" t="n"/>
      <c r="M3" s="197" t="n"/>
      <c r="N3" s="88" t="n"/>
      <c r="O3" s="1568" t="n"/>
      <c r="P3" s="88" t="n"/>
      <c r="Q3" s="1568" t="n"/>
      <c r="R3" s="1568" t="n"/>
      <c r="S3" s="1568" t="n"/>
      <c r="T3" s="1568" t="n"/>
      <c r="U3" s="1568" t="n"/>
      <c r="V3" s="1568" t="n"/>
    </row>
    <row r="4" ht="15.75" customHeight="1" s="1232">
      <c r="A4" s="1568" t="n"/>
      <c r="B4" s="1568" t="n"/>
      <c r="C4" s="1568" t="n"/>
      <c r="D4" s="1568" t="n"/>
      <c r="E4" s="87" t="n"/>
      <c r="F4" s="1568" t="n"/>
      <c r="G4" s="1607" t="n"/>
      <c r="H4" s="1568" t="n"/>
      <c r="I4" s="1568" t="n"/>
      <c r="J4" s="1568" t="n"/>
      <c r="K4" s="1568" t="n"/>
      <c r="L4" s="1568" t="n"/>
      <c r="M4" s="1568" t="n"/>
      <c r="N4" s="1568" t="n"/>
      <c r="O4" s="1568" t="n"/>
      <c r="P4" s="1568" t="n"/>
      <c r="Q4" s="1568" t="n"/>
      <c r="R4" s="1568" t="n"/>
      <c r="V4" s="1568" t="n"/>
    </row>
    <row r="5" ht="15.75" customHeight="1" s="1232">
      <c r="A5" s="239" t="n"/>
      <c r="B5" s="93" t="n"/>
      <c r="C5" s="1568" t="n"/>
      <c r="D5" s="1568" t="n"/>
      <c r="E5" s="1568" t="n"/>
      <c r="F5" s="86" t="n"/>
      <c r="G5" s="1607" t="n"/>
      <c r="H5" s="1568" t="n"/>
      <c r="I5" s="95" t="n"/>
      <c r="J5" s="91" t="n"/>
      <c r="K5" s="93" t="n"/>
      <c r="L5" s="91" t="n"/>
      <c r="M5" s="94" t="n"/>
      <c r="N5" s="76" t="n"/>
      <c r="O5" s="93" t="n"/>
      <c r="P5" s="91" t="n"/>
      <c r="Q5" s="93" t="n"/>
      <c r="R5" s="1568" t="n"/>
      <c r="S5" s="1568" t="n"/>
      <c r="T5" s="1568" t="n"/>
      <c r="U5" s="1568" t="n"/>
      <c r="V5" s="1568" t="n"/>
    </row>
    <row r="6" ht="15.75" customHeight="1" s="1232">
      <c r="A6" s="91" t="n">
        <v>42746</v>
      </c>
      <c r="B6" s="93" t="inlineStr">
        <is>
          <t>Creative Composition</t>
        </is>
      </c>
      <c r="C6" s="1568" t="inlineStr">
        <is>
          <t>3hrs</t>
        </is>
      </c>
      <c r="D6" s="1568" t="inlineStr">
        <is>
          <t>existing</t>
        </is>
      </c>
      <c r="E6" s="1568" t="inlineStr">
        <is>
          <t>#00482</t>
        </is>
      </c>
      <c r="F6" s="86" t="n">
        <v>42949</v>
      </c>
      <c r="G6" s="1607" t="n">
        <v>38.25</v>
      </c>
      <c r="H6" s="1568" t="n">
        <v>0</v>
      </c>
      <c r="I6" s="1567" t="inlineStr">
        <is>
          <t xml:space="preserve">mike.h.g@btinternet.com </t>
        </is>
      </c>
      <c r="J6" s="91" t="inlineStr">
        <is>
          <t>Mr</t>
        </is>
      </c>
      <c r="K6" s="93" t="inlineStr">
        <is>
          <t xml:space="preserve">Michael </t>
        </is>
      </c>
      <c r="L6" s="91" t="inlineStr">
        <is>
          <t>Goodwin</t>
        </is>
      </c>
      <c r="M6" s="94" t="inlineStr">
        <is>
          <t>79</t>
        </is>
      </c>
      <c r="N6" s="76" t="inlineStr">
        <is>
          <t>01217067876</t>
        </is>
      </c>
      <c r="O6" s="93" t="inlineStr">
        <is>
          <t>B92 7EE</t>
        </is>
      </c>
      <c r="P6" s="88" t="inlineStr">
        <is>
          <t>112 Kineton Green Road</t>
        </is>
      </c>
      <c r="Q6" s="1568" t="inlineStr">
        <is>
          <t>Oiton</t>
        </is>
      </c>
      <c r="R6" s="1568" t="n"/>
      <c r="S6" s="1568" t="n"/>
      <c r="T6" s="1568" t="n"/>
      <c r="U6" s="1568" t="n"/>
      <c r="V6" s="1568" t="n"/>
    </row>
    <row r="7" ht="15.75" customHeight="1" s="1232">
      <c r="A7" s="91" t="n">
        <v>42746</v>
      </c>
      <c r="B7" s="93" t="inlineStr">
        <is>
          <t>Creative Composition</t>
        </is>
      </c>
      <c r="C7" s="1568" t="inlineStr">
        <is>
          <t>3hrs</t>
        </is>
      </c>
      <c r="D7" s="1568" t="inlineStr">
        <is>
          <t>existing</t>
        </is>
      </c>
      <c r="E7" s="1568" t="inlineStr">
        <is>
          <t>#00535</t>
        </is>
      </c>
      <c r="F7" s="86" t="n">
        <v>42673</v>
      </c>
      <c r="G7" s="1607" t="n">
        <v>45</v>
      </c>
      <c r="H7" s="1568" t="n">
        <v>0</v>
      </c>
      <c r="I7" s="95" t="inlineStr">
        <is>
          <t xml:space="preserve">chrisjohnson305@btinternet.com </t>
        </is>
      </c>
      <c r="J7" s="91" t="inlineStr">
        <is>
          <t>Mr</t>
        </is>
      </c>
      <c r="K7" s="93" t="inlineStr">
        <is>
          <t>Chris</t>
        </is>
      </c>
      <c r="L7" s="91" t="inlineStr">
        <is>
          <t xml:space="preserve"> Johnson </t>
        </is>
      </c>
      <c r="M7" s="94" t="inlineStr">
        <is>
          <t>47</t>
        </is>
      </c>
      <c r="N7" s="76" t="inlineStr">
        <is>
          <t>07789061593</t>
        </is>
      </c>
      <c r="O7" s="93" t="inlineStr">
        <is>
          <t xml:space="preserve">B90 1RJ </t>
        </is>
      </c>
      <c r="P7" s="91" t="inlineStr">
        <is>
          <t xml:space="preserve">68 Lady Lane </t>
        </is>
      </c>
      <c r="Q7" s="93" t="inlineStr">
        <is>
          <t>Shirley</t>
        </is>
      </c>
      <c r="R7" s="1568" t="n"/>
      <c r="S7" s="1568" t="n"/>
      <c r="T7" s="1568" t="n"/>
      <c r="U7" s="1568" t="n"/>
      <c r="V7" s="1568" t="n"/>
    </row>
    <row r="8" ht="15.75" customHeight="1" s="1232">
      <c r="A8" s="91" t="n">
        <v>42746</v>
      </c>
      <c r="B8" s="93" t="inlineStr">
        <is>
          <t>Creative Composition</t>
        </is>
      </c>
      <c r="C8" s="1568" t="inlineStr">
        <is>
          <t>3hrs</t>
        </is>
      </c>
      <c r="D8" s="1568" t="inlineStr">
        <is>
          <t>existing</t>
        </is>
      </c>
      <c r="E8" s="1568" t="inlineStr">
        <is>
          <t>Pick N Mix</t>
        </is>
      </c>
      <c r="F8" s="86" t="n">
        <v>42709</v>
      </c>
      <c r="G8" s="1607" t="n">
        <v>45</v>
      </c>
      <c r="H8" s="1568" t="n">
        <v>0</v>
      </c>
      <c r="I8" s="95" t="inlineStr">
        <is>
          <t xml:space="preserve">maxinewatts@me.com </t>
        </is>
      </c>
      <c r="J8" s="91" t="inlineStr">
        <is>
          <t>Ms</t>
        </is>
      </c>
      <c r="K8" s="93" t="inlineStr">
        <is>
          <t xml:space="preserve">Maxine </t>
        </is>
      </c>
      <c r="L8" s="91" t="inlineStr">
        <is>
          <t>Watts</t>
        </is>
      </c>
      <c r="M8" s="94" t="inlineStr">
        <is>
          <t>56</t>
        </is>
      </c>
      <c r="N8" s="76" t="inlineStr">
        <is>
          <t>07833367500</t>
        </is>
      </c>
      <c r="O8" s="93" t="inlineStr">
        <is>
          <t>CV35 8BU</t>
        </is>
      </c>
      <c r="P8" s="91" t="inlineStr">
        <is>
          <t>Watchbury Farm, 24a High St,</t>
        </is>
      </c>
      <c r="Q8" s="93" t="inlineStr">
        <is>
          <t>Barford</t>
        </is>
      </c>
      <c r="R8" s="1568" t="n"/>
      <c r="S8" s="1568" t="n"/>
      <c r="T8" s="1568" t="n"/>
      <c r="U8" s="1568" t="n"/>
      <c r="V8" s="1568" t="n"/>
    </row>
    <row r="9" ht="15.75" customHeight="1" s="1232">
      <c r="A9" s="239" t="n"/>
      <c r="B9" s="93" t="n"/>
      <c r="C9" s="1568" t="n"/>
      <c r="D9" s="1568" t="n"/>
      <c r="E9" s="1568" t="n"/>
      <c r="F9" s="86" t="n"/>
      <c r="G9" s="1607" t="n"/>
      <c r="H9" s="1568" t="n"/>
      <c r="I9" s="95" t="n"/>
      <c r="J9" s="91" t="n"/>
      <c r="K9" s="93" t="n"/>
      <c r="L9" s="91" t="n"/>
      <c r="M9" s="94" t="n"/>
      <c r="N9" s="76" t="n"/>
      <c r="O9" s="93" t="n"/>
      <c r="P9" s="91" t="n"/>
      <c r="Q9" s="93" t="n"/>
      <c r="R9" s="1568" t="n"/>
      <c r="S9" s="1568" t="n"/>
      <c r="T9" s="1568" t="n"/>
      <c r="U9" s="1568" t="n"/>
      <c r="V9" s="1568" t="n"/>
    </row>
    <row r="10" ht="15.75" customHeight="1" s="1232">
      <c r="A10" s="91" t="n"/>
      <c r="B10" s="93" t="n"/>
      <c r="C10" s="1568" t="n"/>
      <c r="D10" s="1568" t="n"/>
      <c r="E10" s="1568" t="n"/>
      <c r="F10" s="86" t="n"/>
      <c r="G10" s="1607" t="n"/>
      <c r="H10" s="1568" t="n"/>
      <c r="I10" s="95" t="n"/>
      <c r="J10" s="91" t="n"/>
      <c r="K10" s="93" t="n"/>
      <c r="L10" s="91" t="n"/>
      <c r="M10" s="94" t="n"/>
      <c r="N10" s="76" t="n"/>
      <c r="O10" s="93" t="n"/>
      <c r="P10" s="91" t="n"/>
      <c r="Q10" s="93" t="n"/>
      <c r="R10" s="1568" t="n"/>
      <c r="S10" s="1568" t="n"/>
      <c r="T10" s="1568" t="n"/>
      <c r="U10" s="1568" t="n"/>
      <c r="V10" s="1568" t="n"/>
    </row>
    <row r="11" ht="15.75" customHeight="1" s="1232">
      <c r="A11" s="91" t="n">
        <v>42753</v>
      </c>
      <c r="B11" s="93" t="inlineStr">
        <is>
          <t>Editing Photos</t>
        </is>
      </c>
      <c r="C11" s="1646" t="inlineStr">
        <is>
          <t>3hrs</t>
        </is>
      </c>
      <c r="D11" s="1646" t="inlineStr">
        <is>
          <t>existing</t>
        </is>
      </c>
      <c r="E11" s="1646" t="inlineStr">
        <is>
          <t>#00535</t>
        </is>
      </c>
      <c r="F11" s="97" t="n">
        <v>42673</v>
      </c>
      <c r="G11" s="1647" t="n">
        <v>45</v>
      </c>
      <c r="H11" s="1646" t="n">
        <v>0</v>
      </c>
      <c r="I11" s="95" t="inlineStr">
        <is>
          <t xml:space="preserve">chrisjohnson305@btinternet.com </t>
        </is>
      </c>
      <c r="J11" s="91" t="inlineStr">
        <is>
          <t>Mr</t>
        </is>
      </c>
      <c r="K11" s="93" t="inlineStr">
        <is>
          <t>Chris</t>
        </is>
      </c>
      <c r="L11" s="91" t="inlineStr">
        <is>
          <t xml:space="preserve"> Johnson </t>
        </is>
      </c>
      <c r="M11" s="94" t="inlineStr">
        <is>
          <t>47</t>
        </is>
      </c>
      <c r="N11" s="76" t="inlineStr">
        <is>
          <t>07789061593</t>
        </is>
      </c>
      <c r="O11" s="93" t="inlineStr">
        <is>
          <t xml:space="preserve">B90 1RJ </t>
        </is>
      </c>
      <c r="P11" s="91" t="inlineStr">
        <is>
          <t xml:space="preserve">68 Lady Lane </t>
        </is>
      </c>
      <c r="Q11" s="93" t="inlineStr">
        <is>
          <t>Shirley</t>
        </is>
      </c>
      <c r="R11" s="1568" t="n"/>
      <c r="S11" s="1568" t="n"/>
      <c r="T11" s="1568" t="n"/>
      <c r="U11" s="1568" t="n"/>
      <c r="V11" s="1568" t="n"/>
    </row>
    <row r="12" ht="15.75" customHeight="1" s="1232">
      <c r="A12" s="91" t="n">
        <v>42753</v>
      </c>
      <c r="B12" s="93" t="inlineStr">
        <is>
          <t>Editing Photos</t>
        </is>
      </c>
      <c r="C12" s="1646" t="inlineStr">
        <is>
          <t>3hrs</t>
        </is>
      </c>
      <c r="D12" s="1646" t="inlineStr">
        <is>
          <t>existing</t>
        </is>
      </c>
      <c r="E12" s="1646" t="inlineStr">
        <is>
          <t>#00449</t>
        </is>
      </c>
      <c r="F12" s="243" t="n">
        <v>42508</v>
      </c>
      <c r="G12" s="1647" t="n">
        <v>45</v>
      </c>
      <c r="H12" s="1646" t="n">
        <v>0</v>
      </c>
      <c r="I12" s="1884" t="inlineStr">
        <is>
          <t>louisanutter@virginmedia.com</t>
        </is>
      </c>
      <c r="J12" s="239" t="inlineStr">
        <is>
          <t>Ms</t>
        </is>
      </c>
      <c r="K12" s="240" t="inlineStr">
        <is>
          <t xml:space="preserve">Louisa </t>
        </is>
      </c>
      <c r="L12" s="239" t="inlineStr">
        <is>
          <t xml:space="preserve">Nutter </t>
        </is>
      </c>
      <c r="M12" s="242" t="inlineStr">
        <is>
          <t>39</t>
        </is>
      </c>
      <c r="N12" s="76" t="inlineStr">
        <is>
          <t>07968030264</t>
        </is>
      </c>
      <c r="O12" s="93" t="inlineStr">
        <is>
          <t xml:space="preserve">B90 4SX </t>
        </is>
      </c>
      <c r="P12" s="88" t="inlineStr">
        <is>
          <t xml:space="preserve">7 Lakeside Drive </t>
        </is>
      </c>
      <c r="Q12" s="1568" t="inlineStr">
        <is>
          <t>Shirley</t>
        </is>
      </c>
      <c r="R12" s="1568" t="n"/>
      <c r="S12" s="1568" t="n"/>
      <c r="T12" s="1568" t="n"/>
      <c r="U12" s="1568" t="n"/>
      <c r="V12" s="1568" t="n"/>
    </row>
    <row r="13" ht="15.75" customHeight="1" s="1232">
      <c r="A13" s="91" t="n">
        <v>42753</v>
      </c>
      <c r="B13" s="93" t="inlineStr">
        <is>
          <t>Editing Photos</t>
        </is>
      </c>
      <c r="C13" s="1646" t="inlineStr">
        <is>
          <t>3hrs</t>
        </is>
      </c>
      <c r="D13" s="1646" t="inlineStr">
        <is>
          <t>existing</t>
        </is>
      </c>
      <c r="E13" s="1646" t="inlineStr">
        <is>
          <t>Pick N Mix</t>
        </is>
      </c>
      <c r="F13" s="97" t="n">
        <v>42709</v>
      </c>
      <c r="G13" s="1647" t="n">
        <v>45</v>
      </c>
      <c r="H13" s="1646" t="n">
        <v>0</v>
      </c>
      <c r="I13" s="95" t="inlineStr">
        <is>
          <t xml:space="preserve">maxinewatts@me.com </t>
        </is>
      </c>
      <c r="J13" s="91" t="inlineStr">
        <is>
          <t>Ms</t>
        </is>
      </c>
      <c r="K13" s="93" t="inlineStr">
        <is>
          <t xml:space="preserve">Maxine </t>
        </is>
      </c>
      <c r="L13" s="91" t="inlineStr">
        <is>
          <t>Watts</t>
        </is>
      </c>
      <c r="M13" s="94" t="inlineStr">
        <is>
          <t>56</t>
        </is>
      </c>
      <c r="N13" s="76" t="inlineStr">
        <is>
          <t>07833367500</t>
        </is>
      </c>
      <c r="O13" s="93" t="inlineStr">
        <is>
          <t>CV35 8BU</t>
        </is>
      </c>
      <c r="P13" s="91" t="inlineStr">
        <is>
          <t>Watchbury Farm, 24a High St,</t>
        </is>
      </c>
      <c r="Q13" s="93" t="inlineStr">
        <is>
          <t>Barford</t>
        </is>
      </c>
      <c r="R13" s="1568" t="n"/>
      <c r="S13" s="1568" t="n"/>
      <c r="T13" s="1568" t="n"/>
      <c r="U13" s="1568" t="n"/>
      <c r="V13" s="1568" t="n"/>
    </row>
    <row r="14" ht="15.75" customHeight="1" s="1232">
      <c r="A14" s="91" t="n">
        <v>42753</v>
      </c>
      <c r="B14" s="93" t="inlineStr">
        <is>
          <t>Editing Photos</t>
        </is>
      </c>
      <c r="C14" s="1646" t="inlineStr">
        <is>
          <t>3hrs</t>
        </is>
      </c>
      <c r="D14" s="1646" t="inlineStr">
        <is>
          <t>existing</t>
        </is>
      </c>
      <c r="E14" s="1646" t="inlineStr">
        <is>
          <t>#0555</t>
        </is>
      </c>
      <c r="F14" s="97" t="n">
        <v>42705</v>
      </c>
      <c r="G14" s="1647">
        <f>114.75/3</f>
        <v/>
      </c>
      <c r="H14" s="1646" t="n">
        <v>0</v>
      </c>
      <c r="I14" s="95" t="inlineStr">
        <is>
          <t xml:space="preserve">uklynnh@gmail.com </t>
        </is>
      </c>
      <c r="J14" s="91" t="inlineStr">
        <is>
          <t>Ms</t>
        </is>
      </c>
      <c r="K14" s="93" t="inlineStr">
        <is>
          <t xml:space="preserve">Lynn </t>
        </is>
      </c>
      <c r="L14" s="91" t="inlineStr">
        <is>
          <t xml:space="preserve">Hughes </t>
        </is>
      </c>
      <c r="M14" s="94" t="inlineStr">
        <is>
          <t>54</t>
        </is>
      </c>
      <c r="N14" s="76" t="inlineStr">
        <is>
          <t xml:space="preserve">07736 059442 </t>
        </is>
      </c>
      <c r="O14" s="93" t="inlineStr">
        <is>
          <t xml:space="preserve">CV37 </t>
        </is>
      </c>
      <c r="P14" s="91" t="inlineStr">
        <is>
          <t xml:space="preserve">131 Loxley Road </t>
        </is>
      </c>
      <c r="Q14" s="93" t="inlineStr">
        <is>
          <t>Stratford Upon Avon</t>
        </is>
      </c>
      <c r="R14" s="1568" t="n"/>
      <c r="S14" s="1568" t="n"/>
      <c r="T14" s="1568" t="n"/>
      <c r="U14" s="1568" t="n"/>
      <c r="V14" s="1568" t="n"/>
    </row>
    <row r="17" ht="15.75" customHeight="1" s="1232">
      <c r="A17" s="91" t="n">
        <v>42758</v>
      </c>
      <c r="B17" s="93" t="inlineStr">
        <is>
          <t>Bracketing and Filters</t>
        </is>
      </c>
      <c r="C17" s="1568" t="inlineStr">
        <is>
          <t>3hrs</t>
        </is>
      </c>
      <c r="D17" s="1568" t="inlineStr">
        <is>
          <t>Email</t>
        </is>
      </c>
      <c r="E17" s="1568" t="inlineStr">
        <is>
          <t>#00509</t>
        </is>
      </c>
      <c r="F17" s="86" t="n">
        <v>42623</v>
      </c>
      <c r="G17" s="1607" t="n">
        <v>45</v>
      </c>
      <c r="H17" s="1568" t="n">
        <v>0</v>
      </c>
      <c r="I17" s="1884" t="inlineStr">
        <is>
          <t xml:space="preserve">annewatkinson@talk21.com </t>
        </is>
      </c>
      <c r="J17" s="91" t="inlineStr">
        <is>
          <t>Ms</t>
        </is>
      </c>
      <c r="K17" s="93" t="inlineStr">
        <is>
          <t xml:space="preserve">Anne </t>
        </is>
      </c>
      <c r="L17" s="91" t="inlineStr">
        <is>
          <t xml:space="preserve">Watkinson </t>
        </is>
      </c>
      <c r="M17" s="94" t="inlineStr">
        <is>
          <t>65</t>
        </is>
      </c>
      <c r="N17" s="76" t="inlineStr">
        <is>
          <t>07940178743</t>
        </is>
      </c>
      <c r="O17" s="93" t="inlineStr">
        <is>
          <t>CV7 7DB</t>
        </is>
      </c>
      <c r="P17" s="88" t="inlineStr">
        <is>
          <t xml:space="preserve">17 Benton Green Lane </t>
        </is>
      </c>
      <c r="Q17" s="1568" t="n"/>
    </row>
    <row r="18" ht="15.75" customHeight="1" s="1232">
      <c r="A18" s="91" t="n">
        <v>42758</v>
      </c>
      <c r="B18" s="93" t="inlineStr">
        <is>
          <t>Bracketing and Filters</t>
        </is>
      </c>
      <c r="C18" s="1568" t="inlineStr">
        <is>
          <t>3hrs</t>
        </is>
      </c>
      <c r="D18" s="1568" t="inlineStr">
        <is>
          <t>existing</t>
        </is>
      </c>
      <c r="E18" s="1568" t="inlineStr">
        <is>
          <t>#0555</t>
        </is>
      </c>
      <c r="F18" s="86" t="n">
        <v>42705</v>
      </c>
      <c r="G18" s="1607">
        <f>114.75/3</f>
        <v/>
      </c>
      <c r="H18" s="1568" t="n">
        <v>0</v>
      </c>
      <c r="I18" s="95" t="inlineStr">
        <is>
          <t xml:space="preserve">uklynnh@gmail.com </t>
        </is>
      </c>
      <c r="J18" s="91" t="inlineStr">
        <is>
          <t>Ms</t>
        </is>
      </c>
      <c r="K18" s="93" t="inlineStr">
        <is>
          <t xml:space="preserve">Lynn </t>
        </is>
      </c>
      <c r="L18" s="91" t="inlineStr">
        <is>
          <t xml:space="preserve">Hughes </t>
        </is>
      </c>
      <c r="M18" s="94" t="inlineStr">
        <is>
          <t>54</t>
        </is>
      </c>
      <c r="N18" s="76" t="inlineStr">
        <is>
          <t xml:space="preserve">07736 059442 </t>
        </is>
      </c>
      <c r="O18" s="93" t="inlineStr">
        <is>
          <t xml:space="preserve">CV37 </t>
        </is>
      </c>
      <c r="P18" s="91" t="inlineStr">
        <is>
          <t xml:space="preserve">131 Loxley Road </t>
        </is>
      </c>
      <c r="Q18" s="93" t="inlineStr">
        <is>
          <t>Stratford Upon Avon</t>
        </is>
      </c>
    </row>
    <row r="19" ht="15.75" customHeight="1" s="1232">
      <c r="A19" s="91" t="n">
        <v>42758</v>
      </c>
      <c r="B19" s="93" t="inlineStr">
        <is>
          <t>Bracketing and Filters</t>
        </is>
      </c>
      <c r="C19" s="1568" t="inlineStr">
        <is>
          <t>3hrs</t>
        </is>
      </c>
      <c r="D19" s="1568" t="inlineStr">
        <is>
          <t>existing</t>
        </is>
      </c>
      <c r="E19" s="1568" t="inlineStr">
        <is>
          <t>#00584</t>
        </is>
      </c>
      <c r="F19" s="86" t="n">
        <v>42739</v>
      </c>
      <c r="G19" s="1607">
        <f>135/3</f>
        <v/>
      </c>
      <c r="H19" s="1568" t="n">
        <v>0</v>
      </c>
      <c r="I19" s="95" t="inlineStr">
        <is>
          <t xml:space="preserve">janet.roberts70@btinternet.com </t>
        </is>
      </c>
      <c r="J19" s="91" t="inlineStr">
        <is>
          <t>Mrs</t>
        </is>
      </c>
      <c r="K19" s="93" t="inlineStr">
        <is>
          <t>Janet</t>
        </is>
      </c>
      <c r="L19" s="91" t="inlineStr">
        <is>
          <t>Roberts</t>
        </is>
      </c>
      <c r="M19" s="94" t="inlineStr">
        <is>
          <t>59</t>
        </is>
      </c>
      <c r="N19" s="76" t="inlineStr">
        <is>
          <t>07764625015</t>
        </is>
      </c>
      <c r="O19" s="93" t="inlineStr">
        <is>
          <t xml:space="preserve">CV7 7RA </t>
        </is>
      </c>
      <c r="P19" s="91" t="inlineStr">
        <is>
          <t xml:space="preserve">70 Riddings Hill </t>
        </is>
      </c>
      <c r="Q19" s="93" t="inlineStr">
        <is>
          <t>Coventry</t>
        </is>
      </c>
    </row>
    <row r="20" ht="15.75" customHeight="1" s="1232">
      <c r="A20" s="91" t="n"/>
      <c r="B20" s="93" t="n"/>
      <c r="C20" s="1568" t="n"/>
      <c r="D20" s="1568" t="n"/>
      <c r="E20" s="1568" t="n"/>
      <c r="F20" s="86" t="n"/>
      <c r="G20" s="1607" t="n"/>
      <c r="H20" s="1568" t="n"/>
      <c r="I20" s="95" t="n"/>
      <c r="J20" s="91" t="n"/>
      <c r="K20" s="93" t="n"/>
      <c r="L20" s="91" t="n"/>
      <c r="M20" s="94" t="n"/>
      <c r="N20" s="76" t="n"/>
      <c r="O20" s="93" t="n"/>
      <c r="P20" s="91" t="n"/>
      <c r="Q20" s="93" t="n"/>
    </row>
    <row r="21" ht="15.75" customHeight="1" s="1232"/>
    <row r="22" ht="15.75" customHeight="1" s="1232">
      <c r="A22" s="239" t="n"/>
      <c r="B22" s="93" t="n"/>
      <c r="C22" s="1568" t="n"/>
      <c r="D22" s="1568" t="n"/>
      <c r="E22" s="1568" t="n"/>
      <c r="F22" s="86" t="n"/>
      <c r="G22" s="1607" t="n"/>
      <c r="H22" s="1568" t="n"/>
      <c r="I22" s="95" t="n"/>
      <c r="J22" s="91" t="n"/>
      <c r="K22" s="93" t="n"/>
      <c r="L22" s="91" t="n"/>
      <c r="M22" s="94" t="n"/>
      <c r="N22" s="76" t="n"/>
      <c r="O22" s="93" t="n"/>
      <c r="P22" s="91" t="n"/>
      <c r="Q22" s="93" t="n"/>
    </row>
    <row r="23" ht="14.65" customHeight="1" s="1232">
      <c r="A23" s="91" t="n">
        <v>42800</v>
      </c>
      <c r="B23" s="93" t="inlineStr">
        <is>
          <t>Critique Night</t>
        </is>
      </c>
      <c r="C23" s="1568" t="inlineStr">
        <is>
          <t>3hrs</t>
        </is>
      </c>
      <c r="D23" s="1568" t="inlineStr">
        <is>
          <t>existing</t>
        </is>
      </c>
      <c r="E23" s="1568" t="inlineStr">
        <is>
          <t>#00535</t>
        </is>
      </c>
      <c r="F23" s="86" t="n">
        <v>42673</v>
      </c>
      <c r="G23" s="1607" t="n">
        <v>45</v>
      </c>
      <c r="H23" s="1568" t="n">
        <v>0</v>
      </c>
      <c r="I23" s="1094" t="inlineStr">
        <is>
          <t xml:space="preserve">chrisjohnson305@btinternet.com </t>
        </is>
      </c>
      <c r="J23" s="91" t="inlineStr">
        <is>
          <t>Mr</t>
        </is>
      </c>
      <c r="K23" s="93" t="inlineStr">
        <is>
          <t>Chris</t>
        </is>
      </c>
      <c r="L23" s="91" t="inlineStr">
        <is>
          <t xml:space="preserve"> Johnson </t>
        </is>
      </c>
      <c r="M23" s="94" t="inlineStr">
        <is>
          <t>47</t>
        </is>
      </c>
      <c r="N23" s="76" t="inlineStr">
        <is>
          <t>07789061593</t>
        </is>
      </c>
      <c r="O23" s="93" t="inlineStr">
        <is>
          <t xml:space="preserve">B90 1RJ </t>
        </is>
      </c>
      <c r="P23" s="91" t="inlineStr">
        <is>
          <t xml:space="preserve">68 Lady Lane </t>
        </is>
      </c>
      <c r="Q23" s="93" t="inlineStr">
        <is>
          <t>Shirley</t>
        </is>
      </c>
    </row>
    <row r="24" ht="14.65" customHeight="1" s="1232">
      <c r="A24" s="91" t="n">
        <v>42800</v>
      </c>
      <c r="B24" s="93" t="inlineStr">
        <is>
          <t>Critique Night</t>
        </is>
      </c>
      <c r="C24" s="1568" t="inlineStr">
        <is>
          <t>3hrs</t>
        </is>
      </c>
      <c r="D24" s="1568" t="inlineStr">
        <is>
          <t>existing</t>
        </is>
      </c>
      <c r="E24" s="1568" t="inlineStr">
        <is>
          <t>Pick N Mix</t>
        </is>
      </c>
      <c r="F24" s="86" t="n">
        <v>42738</v>
      </c>
      <c r="G24" s="1607" t="n">
        <v>40</v>
      </c>
      <c r="H24" s="1568" t="n">
        <v>0</v>
      </c>
      <c r="I24" s="1094" t="inlineStr">
        <is>
          <t>con.mchugh@gmail.com</t>
        </is>
      </c>
      <c r="J24" s="91" t="inlineStr">
        <is>
          <t>Mr</t>
        </is>
      </c>
      <c r="K24" s="93" t="inlineStr">
        <is>
          <t xml:space="preserve">Con </t>
        </is>
      </c>
      <c r="L24" s="91" t="inlineStr">
        <is>
          <t>McHugh</t>
        </is>
      </c>
      <c r="M24" s="94" t="n">
        <v>55</v>
      </c>
      <c r="N24" s="76" t="inlineStr">
        <is>
          <t>07968894002</t>
        </is>
      </c>
      <c r="O24" s="93" t="inlineStr">
        <is>
          <t>CV37 0RT</t>
        </is>
      </c>
      <c r="P24" s="91" t="inlineStr">
        <is>
          <t>8 Hurdlers Ln</t>
        </is>
      </c>
      <c r="Q24" s="93" t="inlineStr">
        <is>
          <t>Snitterfield</t>
        </is>
      </c>
    </row>
    <row r="25" ht="14.65" customHeight="1" s="1232">
      <c r="A25" s="91" t="n">
        <v>42800</v>
      </c>
      <c r="B25" s="93" t="inlineStr">
        <is>
          <t>Critique Night</t>
        </is>
      </c>
      <c r="C25" s="1568" t="inlineStr">
        <is>
          <t>3hrs</t>
        </is>
      </c>
      <c r="D25" s="1568" t="inlineStr">
        <is>
          <t>Google</t>
        </is>
      </c>
      <c r="E25" s="87" t="inlineStr">
        <is>
          <t>#00597</t>
        </is>
      </c>
      <c r="F25" s="86" t="n">
        <v>42766</v>
      </c>
      <c r="G25" s="1607" t="n">
        <v>50</v>
      </c>
      <c r="H25" s="1568" t="n">
        <v>0</v>
      </c>
      <c r="I25" s="1501" t="inlineStr">
        <is>
          <t>vytesh@gmail.com</t>
        </is>
      </c>
      <c r="J25" s="91" t="inlineStr">
        <is>
          <t>Mr</t>
        </is>
      </c>
      <c r="K25" s="1568" t="inlineStr">
        <is>
          <t xml:space="preserve">Pavan </t>
        </is>
      </c>
      <c r="L25" s="1568" t="inlineStr">
        <is>
          <t>Kumar</t>
        </is>
      </c>
      <c r="M25" s="1604" t="inlineStr">
        <is>
          <t>31</t>
        </is>
      </c>
      <c r="N25" s="1604" t="inlineStr">
        <is>
          <t>07494780451</t>
        </is>
      </c>
      <c r="O25" s="1568" t="inlineStr">
        <is>
          <t>CV3 2EZ</t>
        </is>
      </c>
      <c r="P25" s="1568" t="inlineStr">
        <is>
          <t>12 Cypress Croft</t>
        </is>
      </c>
      <c r="Q25" s="1568" t="inlineStr">
        <is>
          <t>Coventry</t>
        </is>
      </c>
    </row>
    <row r="26" ht="15.75" customHeight="1" s="1232">
      <c r="A26" s="91" t="n"/>
      <c r="B26" s="93" t="n"/>
      <c r="C26" s="1568" t="n"/>
      <c r="D26" s="1568" t="n"/>
      <c r="E26" s="1568" t="n"/>
      <c r="F26" s="86" t="n"/>
      <c r="G26" s="1607" t="n"/>
      <c r="H26" s="1568" t="n"/>
      <c r="I26" s="1610" t="n"/>
      <c r="J26" s="91" t="n"/>
      <c r="K26" s="93" t="n"/>
      <c r="L26" s="91" t="n"/>
      <c r="M26" s="94" t="n"/>
      <c r="N26" s="76" t="n"/>
      <c r="O26" s="93" t="n"/>
      <c r="P26" s="88" t="n"/>
      <c r="Q26" s="1568" t="n"/>
    </row>
    <row r="27" ht="15.75" customHeight="1" s="1232">
      <c r="A27" s="91" t="n">
        <v>42802</v>
      </c>
      <c r="B27" s="93" t="inlineStr">
        <is>
          <t>Landscape Photography</t>
        </is>
      </c>
      <c r="C27" s="1568" t="inlineStr">
        <is>
          <t>3hrs</t>
        </is>
      </c>
      <c r="D27" s="1568" t="inlineStr">
        <is>
          <t>existing</t>
        </is>
      </c>
      <c r="E27" s="87" t="inlineStr">
        <is>
          <t>#00547</t>
        </is>
      </c>
      <c r="F27" s="86" t="n">
        <v>42699</v>
      </c>
      <c r="G27" s="1607" t="n">
        <v>42.5</v>
      </c>
      <c r="H27" s="1568" t="n">
        <v>0</v>
      </c>
      <c r="I27" s="1501" t="inlineStr">
        <is>
          <t>jamiebeardmore@yahoo.co.uk</t>
        </is>
      </c>
      <c r="J27" s="1568" t="inlineStr">
        <is>
          <t>Mr</t>
        </is>
      </c>
      <c r="K27" s="1568" t="inlineStr">
        <is>
          <t xml:space="preserve">Jamie </t>
        </is>
      </c>
      <c r="L27" s="1568" t="inlineStr">
        <is>
          <t xml:space="preserve">Beardmore </t>
        </is>
      </c>
      <c r="M27" s="1568" t="inlineStr">
        <is>
          <t>38</t>
        </is>
      </c>
      <c r="N27" s="1568" t="inlineStr">
        <is>
          <t>07930919369</t>
        </is>
      </c>
      <c r="O27" s="1568" t="inlineStr">
        <is>
          <t xml:space="preserve">CV1 4DE </t>
        </is>
      </c>
      <c r="P27" s="1568" t="inlineStr">
        <is>
          <t xml:space="preserve">32 Middleborough </t>
        </is>
      </c>
      <c r="Q27" s="1568" t="inlineStr">
        <is>
          <t>Coventry</t>
        </is>
      </c>
    </row>
    <row r="28" ht="15.75" customHeight="1" s="1232">
      <c r="A28" s="91" t="n">
        <v>42802</v>
      </c>
      <c r="B28" s="93" t="inlineStr">
        <is>
          <t>Landscape Photography</t>
        </is>
      </c>
      <c r="C28" s="1568" t="inlineStr">
        <is>
          <t>3hrs</t>
        </is>
      </c>
      <c r="D28" s="1568" t="inlineStr">
        <is>
          <t>existing</t>
        </is>
      </c>
      <c r="E28" s="87" t="inlineStr">
        <is>
          <t>Pick n Mix</t>
        </is>
      </c>
      <c r="F28" s="86" t="n">
        <v>42773</v>
      </c>
      <c r="G28" s="1607" t="n">
        <v>40</v>
      </c>
      <c r="H28" s="1568" t="n">
        <v>0</v>
      </c>
      <c r="I28" s="1501" t="inlineStr">
        <is>
          <t>chriswalkland@gmail.com</t>
        </is>
      </c>
      <c r="J28" s="91" t="inlineStr">
        <is>
          <t>Mr</t>
        </is>
      </c>
      <c r="K28" s="1568" t="inlineStr">
        <is>
          <t>Chris</t>
        </is>
      </c>
      <c r="L28" s="1568" t="inlineStr">
        <is>
          <t>Walkland</t>
        </is>
      </c>
      <c r="M28" s="197" t="inlineStr">
        <is>
          <t>51</t>
        </is>
      </c>
      <c r="N28" s="238" t="inlineStr">
        <is>
          <t>07801388996</t>
        </is>
      </c>
      <c r="O28" s="1568" t="inlineStr">
        <is>
          <t>cv8 2bh</t>
        </is>
      </c>
      <c r="P28" s="88" t="inlineStr">
        <is>
          <t>148</t>
        </is>
      </c>
      <c r="Q28" s="1568" t="inlineStr">
        <is>
          <t>kenilworth</t>
        </is>
      </c>
    </row>
    <row r="29" ht="15.75" customHeight="1" s="1232">
      <c r="A29" s="91" t="n">
        <v>42802</v>
      </c>
      <c r="B29" s="93" t="inlineStr">
        <is>
          <t>Landscape Photography</t>
        </is>
      </c>
      <c r="C29" s="1568" t="inlineStr">
        <is>
          <t>3hrs</t>
        </is>
      </c>
      <c r="D29" s="1568" t="inlineStr">
        <is>
          <t>existing</t>
        </is>
      </c>
      <c r="E29" s="87" t="inlineStr">
        <is>
          <t>Pick n Mix</t>
        </is>
      </c>
      <c r="F29" s="86" t="n">
        <v>42773</v>
      </c>
      <c r="G29" s="1607" t="n">
        <v>40</v>
      </c>
      <c r="H29" s="1568" t="n">
        <v>0</v>
      </c>
      <c r="I29" s="1567" t="inlineStr">
        <is>
          <t>suewalkland@gmail.com</t>
        </is>
      </c>
      <c r="J29" s="91" t="inlineStr">
        <is>
          <t>Mrs</t>
        </is>
      </c>
      <c r="K29" s="1568" t="inlineStr">
        <is>
          <t>Sue</t>
        </is>
      </c>
      <c r="L29" s="1568" t="inlineStr">
        <is>
          <t>Walkland</t>
        </is>
      </c>
      <c r="M29" s="197" t="inlineStr">
        <is>
          <t>51</t>
        </is>
      </c>
      <c r="N29" s="238" t="inlineStr">
        <is>
          <t>07801388996</t>
        </is>
      </c>
      <c r="O29" s="1568" t="inlineStr">
        <is>
          <t>cv8 2bh</t>
        </is>
      </c>
      <c r="P29" s="88" t="inlineStr">
        <is>
          <t>148</t>
        </is>
      </c>
      <c r="Q29" s="1568" t="inlineStr">
        <is>
          <t>kenilworth</t>
        </is>
      </c>
    </row>
    <row r="33" ht="15.75" customHeight="1" s="1232">
      <c r="A33" s="91" t="n">
        <v>42831</v>
      </c>
      <c r="B33" s="93" t="inlineStr">
        <is>
          <t>Portrait Masterclass</t>
        </is>
      </c>
      <c r="C33" s="1568" t="inlineStr">
        <is>
          <t>3hrs</t>
        </is>
      </c>
      <c r="D33" s="1568" t="inlineStr">
        <is>
          <t>existing</t>
        </is>
      </c>
      <c r="E33" s="1568" t="inlineStr">
        <is>
          <t>#00535</t>
        </is>
      </c>
      <c r="F33" s="86" t="n">
        <v>42673</v>
      </c>
      <c r="G33" s="1607" t="n">
        <v>50</v>
      </c>
      <c r="H33" s="1568" t="n">
        <v>0</v>
      </c>
      <c r="I33" s="95" t="inlineStr">
        <is>
          <t xml:space="preserve">chrisjohnson305@btinternet.com </t>
        </is>
      </c>
      <c r="J33" s="91" t="inlineStr">
        <is>
          <t>Mr</t>
        </is>
      </c>
      <c r="K33" s="93" t="inlineStr">
        <is>
          <t>Chris</t>
        </is>
      </c>
      <c r="L33" s="91" t="inlineStr">
        <is>
          <t xml:space="preserve"> Johnson </t>
        </is>
      </c>
      <c r="M33" s="94" t="inlineStr">
        <is>
          <t>47</t>
        </is>
      </c>
      <c r="N33" s="76" t="inlineStr">
        <is>
          <t>07789061593</t>
        </is>
      </c>
      <c r="O33" s="93" t="inlineStr">
        <is>
          <t xml:space="preserve">B90 1RJ </t>
        </is>
      </c>
      <c r="P33" s="91" t="inlineStr">
        <is>
          <t xml:space="preserve">68 Lady Lane </t>
        </is>
      </c>
      <c r="Q33" s="93" t="inlineStr">
        <is>
          <t>Shirley</t>
        </is>
      </c>
      <c r="R33" s="1568" t="n"/>
    </row>
    <row r="34" ht="14.65" customHeight="1" s="1232">
      <c r="A34" s="91" t="n">
        <v>42831</v>
      </c>
      <c r="B34" s="93" t="inlineStr">
        <is>
          <t>Portrait Masterclass</t>
        </is>
      </c>
      <c r="C34" s="1568" t="inlineStr">
        <is>
          <t>3hrs</t>
        </is>
      </c>
      <c r="D34" s="1568" t="inlineStr">
        <is>
          <t>existing</t>
        </is>
      </c>
      <c r="E34" s="87" t="inlineStr">
        <is>
          <t>#00546</t>
        </is>
      </c>
      <c r="F34" s="86" t="n">
        <v>42699</v>
      </c>
      <c r="G34" s="1607" t="n">
        <v>42.5</v>
      </c>
      <c r="H34" s="1568" t="n">
        <v>0</v>
      </c>
      <c r="I34" s="1629" t="inlineStr">
        <is>
          <t>jamiebeardmore@yahoo.co.uk</t>
        </is>
      </c>
      <c r="J34" s="1568" t="inlineStr">
        <is>
          <t>Mr</t>
        </is>
      </c>
      <c r="K34" s="1568" t="inlineStr">
        <is>
          <t xml:space="preserve">Jamie </t>
        </is>
      </c>
      <c r="L34" s="1568" t="inlineStr">
        <is>
          <t xml:space="preserve">Beardmore </t>
        </is>
      </c>
      <c r="M34" s="1568" t="inlineStr">
        <is>
          <t>38</t>
        </is>
      </c>
      <c r="N34" s="1568" t="inlineStr">
        <is>
          <t>07930919369</t>
        </is>
      </c>
      <c r="O34" s="1568" t="inlineStr">
        <is>
          <t xml:space="preserve">CV1 4DE </t>
        </is>
      </c>
      <c r="P34" s="1568" t="inlineStr">
        <is>
          <t xml:space="preserve">32 Middleborough </t>
        </is>
      </c>
      <c r="Q34" s="1568" t="inlineStr">
        <is>
          <t>Coventry</t>
        </is>
      </c>
      <c r="R34" s="1568" t="n"/>
    </row>
    <row r="35" ht="14.25" customHeight="1" s="1232">
      <c r="A35" s="91" t="n">
        <v>42831</v>
      </c>
      <c r="B35" s="93" t="inlineStr">
        <is>
          <t>Portrait Masterclass</t>
        </is>
      </c>
      <c r="C35" s="1568" t="inlineStr">
        <is>
          <t>3hrs</t>
        </is>
      </c>
      <c r="D35" s="1568" t="inlineStr">
        <is>
          <t>existing</t>
        </is>
      </c>
      <c r="E35" s="1568" t="inlineStr">
        <is>
          <t>#0555</t>
        </is>
      </c>
      <c r="F35" s="86" t="n">
        <v>42705</v>
      </c>
      <c r="G35" s="1607">
        <f>114.75/3</f>
        <v/>
      </c>
      <c r="H35" s="1568" t="n">
        <v>0</v>
      </c>
      <c r="I35" s="1094" t="inlineStr">
        <is>
          <t xml:space="preserve">uklynnh@gmail.com </t>
        </is>
      </c>
      <c r="J35" s="91" t="inlineStr">
        <is>
          <t>Ms</t>
        </is>
      </c>
      <c r="K35" s="93" t="inlineStr">
        <is>
          <t xml:space="preserve">Lynn </t>
        </is>
      </c>
      <c r="L35" s="91" t="inlineStr">
        <is>
          <t xml:space="preserve">Hughes </t>
        </is>
      </c>
      <c r="M35" s="94" t="inlineStr">
        <is>
          <t>54</t>
        </is>
      </c>
      <c r="N35" s="76" t="inlineStr">
        <is>
          <t xml:space="preserve">07736 059442 </t>
        </is>
      </c>
      <c r="O35" s="93" t="inlineStr">
        <is>
          <t xml:space="preserve">CV37 </t>
        </is>
      </c>
      <c r="P35" s="91" t="inlineStr">
        <is>
          <t xml:space="preserve">131 Loxley Road </t>
        </is>
      </c>
      <c r="Q35" s="93" t="inlineStr">
        <is>
          <t>Stratford Upon Avon</t>
        </is>
      </c>
      <c r="R35" s="1568" t="n"/>
    </row>
    <row r="36" ht="14.65" customHeight="1" s="1232">
      <c r="A36" s="239" t="n"/>
      <c r="B36" s="93" t="n"/>
      <c r="C36" s="1568" t="n"/>
      <c r="D36" s="1568" t="n"/>
      <c r="E36" s="87" t="n"/>
      <c r="F36" s="86" t="n"/>
      <c r="G36" s="1607" t="n"/>
      <c r="H36" s="1568" t="n"/>
      <c r="I36" s="1629" t="n"/>
      <c r="J36" s="1568" t="n"/>
      <c r="K36" s="1568" t="n"/>
      <c r="L36" s="1568" t="n"/>
      <c r="M36" s="1568" t="n"/>
      <c r="N36" s="1568" t="n"/>
      <c r="O36" s="1568" t="n"/>
      <c r="P36" s="1568" t="n"/>
      <c r="Q36" s="1568" t="n"/>
      <c r="R36" s="1568" t="n"/>
    </row>
    <row r="37" ht="15.75" customHeight="1" s="1232">
      <c r="A37" s="91" t="n"/>
    </row>
    <row r="39" ht="14.65" customHeight="1" s="1232">
      <c r="A39" s="91" t="n"/>
      <c r="B39" s="93" t="n"/>
      <c r="C39" s="1568" t="n"/>
      <c r="D39" s="1568" t="n"/>
      <c r="E39" s="87" t="n"/>
      <c r="F39" s="86" t="n"/>
      <c r="G39" s="1607" t="n"/>
      <c r="H39" s="1568" t="n"/>
      <c r="I39" s="1629" t="n"/>
      <c r="J39" s="1568" t="n"/>
      <c r="K39" s="1568" t="n"/>
      <c r="L39" s="1568" t="n"/>
      <c r="M39" s="1568" t="n"/>
      <c r="N39" s="1568" t="n"/>
      <c r="O39" s="1568" t="n"/>
      <c r="P39" s="1568" t="n"/>
      <c r="Q39" s="1568" t="n"/>
      <c r="R39" s="1568" t="n"/>
    </row>
    <row r="40" ht="14.65" customHeight="1" s="1232">
      <c r="A40" s="91" t="n">
        <v>42914</v>
      </c>
      <c r="B40" s="93" t="inlineStr">
        <is>
          <t>Macro Masterclass</t>
        </is>
      </c>
      <c r="C40" s="1568" t="inlineStr">
        <is>
          <t>3hrs</t>
        </is>
      </c>
      <c r="D40" s="1568" t="inlineStr">
        <is>
          <t>existing</t>
        </is>
      </c>
      <c r="E40" s="87" t="inlineStr">
        <is>
          <t>Direct</t>
        </is>
      </c>
      <c r="F40" s="86" t="n">
        <v>42814</v>
      </c>
      <c r="G40" s="1607" t="n">
        <v>50</v>
      </c>
      <c r="H40" s="1568" t="n">
        <v>0</v>
      </c>
      <c r="I40" s="1501" t="inlineStr">
        <is>
          <t>greg.sant@sky.com</t>
        </is>
      </c>
      <c r="J40" s="1568" t="inlineStr">
        <is>
          <t>Mr</t>
        </is>
      </c>
      <c r="K40" s="1568" t="inlineStr">
        <is>
          <t>Greg</t>
        </is>
      </c>
      <c r="L40" s="1568" t="inlineStr">
        <is>
          <t>Sant</t>
        </is>
      </c>
      <c r="M40" s="202" t="inlineStr">
        <is>
          <t>67</t>
        </is>
      </c>
      <c r="N40" s="88" t="inlineStr">
        <is>
          <t xml:space="preserve"> 07773336357 </t>
        </is>
      </c>
      <c r="O40" s="1568" t="inlineStr">
        <is>
          <t xml:space="preserve">CV57LG </t>
        </is>
      </c>
      <c r="P40" s="88" t="inlineStr">
        <is>
          <t>29 Eastern Green Road</t>
        </is>
      </c>
      <c r="Q40" s="1568" t="inlineStr">
        <is>
          <t>Coventry</t>
        </is>
      </c>
      <c r="R40" s="1568" t="n"/>
    </row>
    <row r="41" ht="14.65" customHeight="1" s="1232">
      <c r="A41" s="91" t="n">
        <v>42914</v>
      </c>
      <c r="B41" s="93" t="inlineStr">
        <is>
          <t>Macro Masterclass</t>
        </is>
      </c>
      <c r="C41" s="1568" t="inlineStr">
        <is>
          <t>3hrs</t>
        </is>
      </c>
      <c r="D41" s="1568" t="inlineStr">
        <is>
          <t>existing</t>
        </is>
      </c>
      <c r="E41" s="87" t="inlineStr">
        <is>
          <t>Pick n Mix</t>
        </is>
      </c>
      <c r="F41" s="86" t="n">
        <v>42831</v>
      </c>
      <c r="G41" s="1607" t="n">
        <v>45</v>
      </c>
      <c r="H41" s="1568" t="n">
        <v>0</v>
      </c>
      <c r="I41" s="1501" t="inlineStr">
        <is>
          <t>c.j.franklin1@ntlworld.com</t>
        </is>
      </c>
      <c r="J41" s="1568" t="inlineStr">
        <is>
          <t>Mr</t>
        </is>
      </c>
      <c r="K41" s="1568" t="inlineStr">
        <is>
          <t>Chris</t>
        </is>
      </c>
      <c r="L41" s="1568" t="inlineStr">
        <is>
          <t>Franklin</t>
        </is>
      </c>
      <c r="M41" s="202" t="inlineStr">
        <is>
          <t>33</t>
        </is>
      </c>
      <c r="N41" s="88" t="inlineStr">
        <is>
          <t>07971330910</t>
        </is>
      </c>
      <c r="O41" s="1568" t="inlineStr">
        <is>
          <t>Cv21 2hq</t>
        </is>
      </c>
      <c r="P41" s="88" t="inlineStr">
        <is>
          <t>91</t>
        </is>
      </c>
      <c r="Q41" s="1568" t="inlineStr">
        <is>
          <t>Rugby</t>
        </is>
      </c>
      <c r="R41" s="1568" t="inlineStr">
        <is>
          <t>Nikon d7200</t>
        </is>
      </c>
    </row>
    <row r="42" ht="14.65" customHeight="1" s="1232">
      <c r="A42" s="91" t="n">
        <v>42914</v>
      </c>
      <c r="B42" s="93" t="inlineStr">
        <is>
          <t>Macro Masterclass</t>
        </is>
      </c>
      <c r="C42" s="1568" t="inlineStr">
        <is>
          <t>3hrs</t>
        </is>
      </c>
      <c r="D42" s="1568" t="inlineStr">
        <is>
          <t>existing</t>
        </is>
      </c>
      <c r="E42" s="87" t="inlineStr">
        <is>
          <t>Pick n Mix</t>
        </is>
      </c>
      <c r="F42" s="86" t="n">
        <v>5</v>
      </c>
      <c r="G42" s="1515" t="n">
        <v>45</v>
      </c>
      <c r="H42" s="1568" t="n">
        <v>0</v>
      </c>
      <c r="I42" s="1501" t="inlineStr">
        <is>
          <t>studio@sublime-creative.co.uk</t>
        </is>
      </c>
      <c r="J42" s="1568" t="inlineStr">
        <is>
          <t>Mr</t>
        </is>
      </c>
      <c r="K42" s="1568" t="inlineStr">
        <is>
          <t>Steve</t>
        </is>
      </c>
      <c r="L42" s="1568" t="inlineStr">
        <is>
          <t>Parish</t>
        </is>
      </c>
      <c r="M42" s="1604" t="inlineStr">
        <is>
          <t>42</t>
        </is>
      </c>
      <c r="N42" s="1604" t="inlineStr">
        <is>
          <t>07968198734</t>
        </is>
      </c>
      <c r="O42" s="1568" t="inlineStr">
        <is>
          <t>CV34 6LB</t>
        </is>
      </c>
      <c r="P42" s="1568" t="inlineStr">
        <is>
          <t>18 Byron Avenue</t>
        </is>
      </c>
      <c r="Q42" s="1568" t="inlineStr">
        <is>
          <t>Warwick</t>
        </is>
      </c>
    </row>
    <row r="43" ht="14.65" customHeight="1" s="1232">
      <c r="A43" s="91" t="n">
        <v>42914</v>
      </c>
      <c r="B43" s="93" t="inlineStr">
        <is>
          <t>Macro Masterclass</t>
        </is>
      </c>
      <c r="C43" s="1568" t="inlineStr">
        <is>
          <t>3hrs</t>
        </is>
      </c>
      <c r="D43" s="1568" t="inlineStr">
        <is>
          <t>existing</t>
        </is>
      </c>
      <c r="E43" s="85" t="inlineStr">
        <is>
          <t>Direct</t>
        </is>
      </c>
      <c r="F43" s="86" t="n">
        <v>42886</v>
      </c>
      <c r="G43" s="1515" t="n">
        <v>37.5</v>
      </c>
      <c r="H43" s="1568" t="n">
        <v>0</v>
      </c>
      <c r="I43" s="1629" t="inlineStr">
        <is>
          <t>christophparker@googlemail.com</t>
        </is>
      </c>
      <c r="J43" s="1568" t="inlineStr">
        <is>
          <t>Mr</t>
        </is>
      </c>
      <c r="K43" s="91" t="inlineStr">
        <is>
          <t>Chris</t>
        </is>
      </c>
      <c r="L43" s="91" t="inlineStr">
        <is>
          <t>Parker</t>
        </is>
      </c>
    </row>
    <row r="50" ht="14.65" customHeight="1" s="1232">
      <c r="A50" s="91" t="n">
        <v>42998</v>
      </c>
      <c r="B50" s="93" t="inlineStr">
        <is>
          <t>Creative Editing</t>
        </is>
      </c>
      <c r="C50" s="1568" t="inlineStr">
        <is>
          <t>3hrs</t>
        </is>
      </c>
      <c r="D50" s="1568" t="inlineStr">
        <is>
          <t>existing</t>
        </is>
      </c>
      <c r="E50" s="85" t="inlineStr">
        <is>
          <t>Direct</t>
        </is>
      </c>
      <c r="F50" s="86" t="n">
        <v>42973</v>
      </c>
      <c r="G50" s="1515" t="n">
        <v>35</v>
      </c>
      <c r="H50" s="1568" t="n">
        <v>0</v>
      </c>
      <c r="I50" s="1374" t="inlineStr">
        <is>
          <t>chrisparker1954@btinternet.com</t>
        </is>
      </c>
      <c r="J50" s="1568" t="inlineStr">
        <is>
          <t>Mr</t>
        </is>
      </c>
      <c r="K50" s="91" t="inlineStr">
        <is>
          <t>Chris</t>
        </is>
      </c>
      <c r="L50" s="91" t="inlineStr">
        <is>
          <t>Parker</t>
        </is>
      </c>
      <c r="N50" s="94" t="inlineStr">
        <is>
          <t>07470403496</t>
        </is>
      </c>
    </row>
    <row r="51" ht="14.65" customHeight="1" s="1232">
      <c r="A51" s="91" t="n">
        <v>42998</v>
      </c>
      <c r="B51" s="93" t="inlineStr">
        <is>
          <t>Creative Editing</t>
        </is>
      </c>
      <c r="C51" s="1568" t="inlineStr">
        <is>
          <t>3hrs</t>
        </is>
      </c>
      <c r="D51" s="1568" t="inlineStr">
        <is>
          <t>existing</t>
        </is>
      </c>
      <c r="E51" s="85" t="inlineStr">
        <is>
          <t>#00732</t>
        </is>
      </c>
      <c r="F51" s="86" t="n">
        <v>42979</v>
      </c>
      <c r="G51" s="1515" t="n">
        <v>39</v>
      </c>
      <c r="H51" s="1568" t="n">
        <v>0</v>
      </c>
      <c r="I51" s="1629" t="inlineStr">
        <is>
          <t xml:space="preserve">pjekirby@btinternet.com </t>
        </is>
      </c>
      <c r="J51" s="1568" t="inlineStr">
        <is>
          <t>Mr</t>
        </is>
      </c>
      <c r="K51" s="91" t="inlineStr">
        <is>
          <t>Paul</t>
        </is>
      </c>
      <c r="L51" s="91" t="inlineStr">
        <is>
          <t>Kirby</t>
        </is>
      </c>
      <c r="M51" s="1282" t="inlineStr">
        <is>
          <t>64</t>
        </is>
      </c>
      <c r="N51" s="1282" t="inlineStr">
        <is>
          <t>07469932296</t>
        </is>
      </c>
      <c r="O51" s="1260" t="inlineStr">
        <is>
          <t>GL56 9RG</t>
        </is>
      </c>
      <c r="P51" s="1260" t="inlineStr">
        <is>
          <t>6 Church Farm Lane</t>
        </is>
      </c>
      <c r="Q51" s="1260" t="inlineStr">
        <is>
          <t>Moreton-in-Marsh</t>
        </is>
      </c>
    </row>
    <row r="52" ht="14.65" customHeight="1" s="1232">
      <c r="A52" s="91" t="n">
        <v>42998</v>
      </c>
      <c r="B52" s="93" t="inlineStr">
        <is>
          <t>Creative Editing</t>
        </is>
      </c>
      <c r="C52" s="1568" t="inlineStr">
        <is>
          <t>3hrs</t>
        </is>
      </c>
      <c r="D52" s="1568" t="inlineStr">
        <is>
          <t>existing</t>
        </is>
      </c>
      <c r="E52" s="85" t="inlineStr">
        <is>
          <t>#00745</t>
        </is>
      </c>
      <c r="F52" s="86" t="n">
        <v>42996</v>
      </c>
      <c r="G52" s="1515" t="n">
        <v>50</v>
      </c>
      <c r="H52" s="1568" t="n">
        <v>0</v>
      </c>
      <c r="I52" s="1629" t="inlineStr">
        <is>
          <t xml:space="preserve">imlaurab@hotmail.co.uk </t>
        </is>
      </c>
      <c r="J52" s="1568" t="inlineStr">
        <is>
          <t>Ms</t>
        </is>
      </c>
      <c r="K52" s="91" t="inlineStr">
        <is>
          <t>Laura</t>
        </is>
      </c>
      <c r="L52" s="91" t="inlineStr">
        <is>
          <t>Byrne</t>
        </is>
      </c>
      <c r="M52" s="1282" t="inlineStr">
        <is>
          <t>24</t>
        </is>
      </c>
      <c r="N52" s="1282" t="inlineStr">
        <is>
          <t>07557766387</t>
        </is>
      </c>
      <c r="O52" s="1260" t="inlineStr">
        <is>
          <t>B28 8LD</t>
        </is>
      </c>
      <c r="P52" s="1260" t="inlineStr">
        <is>
          <t>56 Brooklands Road</t>
        </is>
      </c>
      <c r="Q52" s="1260" t="inlineStr">
        <is>
          <t>Birmingham</t>
        </is>
      </c>
    </row>
    <row r="53" ht="14.65" customHeight="1" s="1232">
      <c r="A53" s="91" t="n"/>
      <c r="B53" s="93" t="n"/>
      <c r="C53" s="1568" t="n"/>
      <c r="D53" s="1568" t="n"/>
      <c r="F53" s="86" t="n"/>
      <c r="H53" s="1568" t="n"/>
      <c r="I53" s="1629" t="n"/>
      <c r="J53" s="1568" t="n"/>
      <c r="K53" s="91" t="n"/>
      <c r="L53" s="91" t="n"/>
    </row>
    <row r="54" ht="14.65" customHeight="1" s="1232">
      <c r="A54" s="91" t="n"/>
      <c r="B54" s="93" t="n"/>
      <c r="C54" s="1568" t="n"/>
      <c r="D54" s="1568" t="n"/>
      <c r="F54" s="86" t="n"/>
      <c r="H54" s="1568" t="n"/>
      <c r="I54" s="1629" t="n"/>
      <c r="J54" s="1568" t="n"/>
      <c r="K54" s="91" t="n"/>
      <c r="L54" s="91" t="n"/>
    </row>
    <row r="56" ht="14.65" customHeight="1" s="1232">
      <c r="A56" s="91" t="n"/>
      <c r="B56" s="93" t="n"/>
      <c r="C56" s="1568" t="n"/>
      <c r="D56" s="1568" t="n"/>
      <c r="F56" s="86" t="n"/>
      <c r="H56" s="1568" t="n"/>
      <c r="I56" s="1501" t="n"/>
      <c r="J56" s="1568" t="n"/>
      <c r="K56" s="1568" t="n"/>
      <c r="L56" s="1568" t="n"/>
      <c r="M56" s="88" t="n"/>
      <c r="N56" s="1568" t="n"/>
      <c r="O56" s="1568" t="n"/>
      <c r="P56" s="88" t="n"/>
      <c r="Q56" s="1568" t="n"/>
    </row>
    <row r="57" ht="14.65" customHeight="1" s="1232">
      <c r="A57" s="91" t="n">
        <v>43033</v>
      </c>
      <c r="B57" s="93" t="inlineStr">
        <is>
          <t>Photo Critique</t>
        </is>
      </c>
      <c r="C57" s="1568" t="inlineStr">
        <is>
          <t>2.5hrs</t>
        </is>
      </c>
      <c r="D57" s="1568" t="inlineStr">
        <is>
          <t>existing</t>
        </is>
      </c>
      <c r="E57" s="85" t="inlineStr">
        <is>
          <t>#00716</t>
        </is>
      </c>
      <c r="F57" s="86" t="n">
        <v>42937</v>
      </c>
      <c r="G57" s="1515" t="n">
        <v>35</v>
      </c>
      <c r="H57" s="1568" t="n">
        <v>0</v>
      </c>
      <c r="I57" s="1629" t="inlineStr">
        <is>
          <t>jeandance007@gmail.com</t>
        </is>
      </c>
      <c r="J57" s="1568" t="inlineStr">
        <is>
          <t>Ms</t>
        </is>
      </c>
      <c r="K57" s="91" t="inlineStr">
        <is>
          <t>Jean</t>
        </is>
      </c>
      <c r="L57" s="91" t="inlineStr">
        <is>
          <t>Dance</t>
        </is>
      </c>
      <c r="M57" s="1282" t="inlineStr">
        <is>
          <t>83</t>
        </is>
      </c>
      <c r="N57" s="1282" t="inlineStr">
        <is>
          <t>07456641075</t>
        </is>
      </c>
      <c r="O57" s="1260" t="inlineStr">
        <is>
          <t>CV 35 7 AW</t>
        </is>
      </c>
      <c r="P57" s="1260" t="inlineStr">
        <is>
          <t xml:space="preserve">98 Shrewley Common </t>
        </is>
      </c>
      <c r="Q57" s="1568" t="inlineStr">
        <is>
          <t>Warwick</t>
        </is>
      </c>
    </row>
    <row r="58" ht="14.65" customHeight="1" s="1232">
      <c r="A58" s="91" t="n">
        <v>43033</v>
      </c>
      <c r="B58" s="93" t="inlineStr">
        <is>
          <t>Photo Critique</t>
        </is>
      </c>
      <c r="C58" s="1568" t="inlineStr">
        <is>
          <t>2.5hrs</t>
        </is>
      </c>
      <c r="D58" s="1568" t="inlineStr">
        <is>
          <t>existing</t>
        </is>
      </c>
      <c r="E58" s="85" t="inlineStr">
        <is>
          <t>#00724</t>
        </is>
      </c>
      <c r="F58" s="86" t="n">
        <v>42962</v>
      </c>
      <c r="G58" s="1515" t="n">
        <v>45</v>
      </c>
      <c r="H58" s="1568" t="n">
        <v>0</v>
      </c>
      <c r="I58" s="1501" t="inlineStr">
        <is>
          <t xml:space="preserve">jan@nomadians.co.uk </t>
        </is>
      </c>
      <c r="J58" s="1568" t="inlineStr">
        <is>
          <t>Mrs</t>
        </is>
      </c>
      <c r="K58" s="1568" t="inlineStr">
        <is>
          <t xml:space="preserve">Janet </t>
        </is>
      </c>
      <c r="L58" s="1568" t="inlineStr">
        <is>
          <t>Boulter</t>
        </is>
      </c>
      <c r="M58" s="88" t="inlineStr">
        <is>
          <t>61</t>
        </is>
      </c>
      <c r="N58" s="1568" t="inlineStr">
        <is>
          <t>07540331590</t>
        </is>
      </c>
      <c r="O58" s="1568" t="inlineStr">
        <is>
          <t>CV37 0rs</t>
        </is>
      </c>
      <c r="P58" s="88" t="inlineStr">
        <is>
          <t>2 Coopers Close</t>
        </is>
      </c>
      <c r="Q58" s="1568" t="inlineStr">
        <is>
          <t>Stratford upon avon</t>
        </is>
      </c>
    </row>
    <row r="59" ht="14.65" customHeight="1" s="1232">
      <c r="A59" s="91" t="n">
        <v>43033</v>
      </c>
      <c r="B59" s="93" t="inlineStr">
        <is>
          <t>Photo Critique</t>
        </is>
      </c>
      <c r="C59" s="1568" t="inlineStr">
        <is>
          <t>2.5hrs</t>
        </is>
      </c>
      <c r="D59" s="1568" t="inlineStr">
        <is>
          <t>Google</t>
        </is>
      </c>
      <c r="E59" s="85" t="inlineStr">
        <is>
          <t>#00744</t>
        </is>
      </c>
      <c r="F59" s="86" t="n">
        <v>42994</v>
      </c>
      <c r="G59" s="1515" t="n">
        <v>50</v>
      </c>
      <c r="H59" s="1568" t="n">
        <v>0</v>
      </c>
      <c r="I59" s="1629" t="inlineStr">
        <is>
          <t xml:space="preserve">emilie.moslard@gmail.com </t>
        </is>
      </c>
      <c r="J59" s="1568" t="inlineStr">
        <is>
          <t xml:space="preserve">Mr </t>
        </is>
      </c>
      <c r="K59" s="91" t="inlineStr">
        <is>
          <t>Vincent</t>
        </is>
      </c>
      <c r="L59" s="91" t="inlineStr">
        <is>
          <t>Moslard</t>
        </is>
      </c>
      <c r="M59" s="1282" t="inlineStr">
        <is>
          <t>40</t>
        </is>
      </c>
      <c r="N59" s="1282" t="inlineStr">
        <is>
          <t>07468715220</t>
        </is>
      </c>
      <c r="O59" s="1260" t="inlineStr">
        <is>
          <t>CV32 5XW</t>
        </is>
      </c>
      <c r="P59" s="1260" t="inlineStr">
        <is>
          <t>3 Granville Street</t>
        </is>
      </c>
      <c r="Q59" s="1260" t="inlineStr">
        <is>
          <t>Leamington Spa</t>
        </is>
      </c>
    </row>
    <row r="65" ht="14.65" customHeight="1" s="1232">
      <c r="A65" s="91" t="n">
        <v>43081</v>
      </c>
      <c r="B65" s="93" t="inlineStr">
        <is>
          <t>Photo Critique</t>
        </is>
      </c>
      <c r="C65" s="1568" t="inlineStr">
        <is>
          <t>2.5hrs</t>
        </is>
      </c>
      <c r="D65" s="1568" t="inlineStr">
        <is>
          <t>existing</t>
        </is>
      </c>
      <c r="E65" s="85" t="inlineStr">
        <is>
          <t>Picn N Mix</t>
        </is>
      </c>
      <c r="F65" s="86" t="n">
        <v>43008</v>
      </c>
      <c r="G65" s="1515" t="n">
        <v>40</v>
      </c>
      <c r="H65" s="1568" t="n"/>
      <c r="I65" s="1629" t="inlineStr">
        <is>
          <t>con.mchugh@gmail.com</t>
        </is>
      </c>
      <c r="J65" s="1568" t="inlineStr">
        <is>
          <t xml:space="preserve">Mr </t>
        </is>
      </c>
      <c r="K65" s="91" t="inlineStr">
        <is>
          <t>Con</t>
        </is>
      </c>
      <c r="L65" s="91" t="inlineStr">
        <is>
          <t>McHugh</t>
        </is>
      </c>
    </row>
    <row r="66" ht="14.65" customHeight="1" s="1232">
      <c r="A66" s="91" t="n">
        <v>43081</v>
      </c>
      <c r="B66" s="93" t="inlineStr">
        <is>
          <t>Photo Critique</t>
        </is>
      </c>
      <c r="C66" s="1568" t="inlineStr">
        <is>
          <t>2.5hrs</t>
        </is>
      </c>
      <c r="D66" s="1568" t="inlineStr">
        <is>
          <t>existing</t>
        </is>
      </c>
      <c r="E66" s="85" t="inlineStr">
        <is>
          <t>#00724</t>
        </is>
      </c>
      <c r="F66" s="86" t="n">
        <v>42962</v>
      </c>
      <c r="G66" s="1515" t="n">
        <v>45</v>
      </c>
      <c r="H66" s="1568" t="n">
        <v>0</v>
      </c>
      <c r="I66" s="1374" t="inlineStr">
        <is>
          <t xml:space="preserve">jan@nomadians.co.uk </t>
        </is>
      </c>
      <c r="J66" s="1568" t="inlineStr">
        <is>
          <t>Mrs</t>
        </is>
      </c>
      <c r="K66" s="1568" t="inlineStr">
        <is>
          <t xml:space="preserve">Janet </t>
        </is>
      </c>
      <c r="L66" s="1568" t="inlineStr">
        <is>
          <t>Boulter</t>
        </is>
      </c>
      <c r="M66" s="88" t="inlineStr">
        <is>
          <t>61</t>
        </is>
      </c>
      <c r="N66" s="1568" t="inlineStr">
        <is>
          <t>07540331590</t>
        </is>
      </c>
      <c r="O66" s="1568" t="inlineStr">
        <is>
          <t>CV37 0rs</t>
        </is>
      </c>
      <c r="P66" s="88" t="inlineStr">
        <is>
          <t>2 Coopers Close</t>
        </is>
      </c>
      <c r="Q66" s="1568" t="inlineStr">
        <is>
          <t>Stratford upon avon</t>
        </is>
      </c>
    </row>
    <row r="67" ht="14.65" customHeight="1" s="1232">
      <c r="A67" s="91" t="n"/>
      <c r="B67" s="93" t="n"/>
      <c r="C67" s="1568" t="n"/>
      <c r="D67" s="1568" t="n"/>
      <c r="F67" s="86" t="n"/>
      <c r="H67" s="1568" t="n"/>
      <c r="I67" s="1629" t="n"/>
      <c r="J67" s="1568" t="n"/>
      <c r="K67" s="91" t="n"/>
      <c r="L67" s="91" t="n"/>
      <c r="M67" s="1282" t="n"/>
      <c r="N67" s="1282" t="n"/>
    </row>
    <row r="68" ht="14.65" customHeight="1" s="1232">
      <c r="A68" s="91" t="n">
        <v>43108</v>
      </c>
      <c r="B68" s="93" t="inlineStr">
        <is>
          <t>Creative Editing</t>
        </is>
      </c>
      <c r="C68" s="1568" t="inlineStr">
        <is>
          <t>2.5hrs</t>
        </is>
      </c>
      <c r="D68" s="1568" t="inlineStr">
        <is>
          <t>existing</t>
        </is>
      </c>
      <c r="E68" s="85" t="inlineStr">
        <is>
          <t>Picn N Mix</t>
        </is>
      </c>
      <c r="F68" s="86" t="n">
        <v>43008</v>
      </c>
      <c r="G68" s="1515" t="n">
        <v>40</v>
      </c>
      <c r="H68" s="1568" t="n"/>
      <c r="I68" s="1629" t="inlineStr">
        <is>
          <t>con.mchugh@gmail.com</t>
        </is>
      </c>
      <c r="J68" s="1568" t="inlineStr">
        <is>
          <t xml:space="preserve">Mr </t>
        </is>
      </c>
      <c r="K68" s="91" t="inlineStr">
        <is>
          <t>Con</t>
        </is>
      </c>
      <c r="L68" s="91" t="inlineStr">
        <is>
          <t>McHugh</t>
        </is>
      </c>
    </row>
    <row r="69" ht="14.65" customHeight="1" s="1232">
      <c r="A69" s="91" t="n">
        <v>43108</v>
      </c>
      <c r="B69" s="93" t="inlineStr">
        <is>
          <t>Creative Editing</t>
        </is>
      </c>
      <c r="C69" s="1568" t="inlineStr">
        <is>
          <t>2.5hrs</t>
        </is>
      </c>
      <c r="D69" s="1568" t="inlineStr">
        <is>
          <t>existing</t>
        </is>
      </c>
      <c r="E69" s="85" t="inlineStr">
        <is>
          <t>#00788</t>
        </is>
      </c>
      <c r="F69" s="86" t="n">
        <v>43048</v>
      </c>
      <c r="G69" s="1515" t="n">
        <v>50</v>
      </c>
      <c r="H69" s="1568" t="n">
        <v>0</v>
      </c>
      <c r="I69" s="1374" t="inlineStr">
        <is>
          <t xml:space="preserve">jan@nomadians.co.uk </t>
        </is>
      </c>
      <c r="J69" s="1568" t="inlineStr">
        <is>
          <t>Mrs</t>
        </is>
      </c>
      <c r="K69" s="1568" t="inlineStr">
        <is>
          <t xml:space="preserve">Janet </t>
        </is>
      </c>
      <c r="L69" s="1568" t="inlineStr">
        <is>
          <t>Boulter</t>
        </is>
      </c>
      <c r="M69" s="88" t="inlineStr">
        <is>
          <t>61</t>
        </is>
      </c>
      <c r="N69" s="1568" t="inlineStr">
        <is>
          <t>07540331590</t>
        </is>
      </c>
      <c r="O69" s="1568" t="inlineStr">
        <is>
          <t>CV37 0rs</t>
        </is>
      </c>
      <c r="P69" s="88" t="inlineStr">
        <is>
          <t>2 Coopers Close</t>
        </is>
      </c>
      <c r="Q69" s="1568" t="inlineStr">
        <is>
          <t>Stratford upon avon</t>
        </is>
      </c>
    </row>
    <row r="70" ht="14.65" customHeight="1" s="1232">
      <c r="A70" s="91" t="n"/>
      <c r="B70" s="93" t="n"/>
      <c r="C70" s="1568" t="n"/>
      <c r="D70" s="1568" t="n"/>
      <c r="F70" s="86" t="n"/>
      <c r="H70" s="1568" t="n"/>
      <c r="I70" s="1629" t="n"/>
      <c r="J70" s="1568" t="n"/>
      <c r="K70" s="91" t="n"/>
      <c r="L70" s="91" t="n"/>
      <c r="M70" s="1282" t="n"/>
      <c r="N70" s="1282" t="n"/>
    </row>
    <row r="71" ht="14.65" customHeight="1" s="1232">
      <c r="A71" s="91" t="n">
        <v>43143</v>
      </c>
      <c r="B71" s="93" t="inlineStr">
        <is>
          <t>Macro Masterclass</t>
        </is>
      </c>
      <c r="C71" s="1568" t="inlineStr">
        <is>
          <t>2.5hrs</t>
        </is>
      </c>
      <c r="D71" s="1568" t="inlineStr">
        <is>
          <t>existing</t>
        </is>
      </c>
      <c r="E71" s="85" t="inlineStr">
        <is>
          <t>#00788</t>
        </is>
      </c>
      <c r="F71" s="86" t="n">
        <v>43048</v>
      </c>
      <c r="G71" s="1515" t="n">
        <v>50</v>
      </c>
      <c r="H71" s="1568" t="n">
        <v>0</v>
      </c>
      <c r="I71" s="1374" t="inlineStr">
        <is>
          <t xml:space="preserve">jan@nomadians.co.uk </t>
        </is>
      </c>
      <c r="J71" s="1568" t="inlineStr">
        <is>
          <t>Mrs</t>
        </is>
      </c>
      <c r="K71" s="1568" t="inlineStr">
        <is>
          <t xml:space="preserve">Janet </t>
        </is>
      </c>
      <c r="L71" s="1568" t="inlineStr">
        <is>
          <t>Boulter</t>
        </is>
      </c>
      <c r="M71" s="88" t="inlineStr">
        <is>
          <t>61</t>
        </is>
      </c>
      <c r="N71" s="1568" t="inlineStr">
        <is>
          <t>07540331590</t>
        </is>
      </c>
      <c r="O71" s="1568" t="inlineStr">
        <is>
          <t>CV37 0rs</t>
        </is>
      </c>
      <c r="P71" s="88" t="inlineStr">
        <is>
          <t>2 Coopers Close</t>
        </is>
      </c>
      <c r="Q71" s="1568" t="inlineStr">
        <is>
          <t>Stratford upon avon</t>
        </is>
      </c>
    </row>
    <row r="72" ht="14.65" customHeight="1" s="1232">
      <c r="A72" s="91" t="n">
        <v>43143</v>
      </c>
      <c r="B72" s="93" t="inlineStr">
        <is>
          <t>Macro Masterclass</t>
        </is>
      </c>
      <c r="C72" s="1568" t="inlineStr">
        <is>
          <t>2.5hrs</t>
        </is>
      </c>
      <c r="D72" s="1568" t="inlineStr">
        <is>
          <t>existing</t>
        </is>
      </c>
      <c r="E72" s="85" t="inlineStr">
        <is>
          <t>#00835</t>
        </is>
      </c>
      <c r="F72" s="86" t="n">
        <v>43103</v>
      </c>
      <c r="G72" s="1515" t="n">
        <v>40</v>
      </c>
      <c r="H72" s="1568" t="n">
        <v>0</v>
      </c>
      <c r="I72" s="1629" t="inlineStr">
        <is>
          <t>con.mchugh@gmail.com</t>
        </is>
      </c>
      <c r="J72" s="1568" t="inlineStr">
        <is>
          <t xml:space="preserve">Mr </t>
        </is>
      </c>
      <c r="K72" s="91" t="inlineStr">
        <is>
          <t>Con</t>
        </is>
      </c>
      <c r="L72" s="91" t="inlineStr">
        <is>
          <t>McHugh</t>
        </is>
      </c>
      <c r="M72" s="1282" t="n"/>
      <c r="N72" s="1282" t="inlineStr">
        <is>
          <t>07968894002</t>
        </is>
      </c>
    </row>
    <row r="73" ht="14.65" customHeight="1" s="1232">
      <c r="A73" s="91" t="n">
        <v>43143</v>
      </c>
      <c r="B73" s="93" t="inlineStr">
        <is>
          <t>Macro Masterclass</t>
        </is>
      </c>
      <c r="C73" s="1568" t="inlineStr">
        <is>
          <t>2.5hrs</t>
        </is>
      </c>
      <c r="D73" s="1568" t="inlineStr">
        <is>
          <t>existing</t>
        </is>
      </c>
      <c r="E73" s="85" t="inlineStr">
        <is>
          <t>Gift Voucher</t>
        </is>
      </c>
      <c r="F73" s="86" t="n">
        <v>43106</v>
      </c>
      <c r="G73" s="1515" t="n">
        <v>50</v>
      </c>
      <c r="H73" s="1568" t="n">
        <v>0</v>
      </c>
      <c r="I73" s="547" t="inlineStr">
        <is>
          <t xml:space="preserve">jl_jordan@icloud.com </t>
        </is>
      </c>
      <c r="J73" s="91" t="inlineStr">
        <is>
          <t>Mrs</t>
        </is>
      </c>
      <c r="K73" s="91" t="inlineStr">
        <is>
          <t>Janice</t>
        </is>
      </c>
      <c r="L73" s="91" t="inlineStr">
        <is>
          <t xml:space="preserve"> Jordan</t>
        </is>
      </c>
      <c r="M73" s="94" t="inlineStr">
        <is>
          <t>55</t>
        </is>
      </c>
      <c r="N73" s="76" t="inlineStr">
        <is>
          <t>07909684226</t>
        </is>
      </c>
      <c r="O73" s="1697" t="inlineStr">
        <is>
          <t>CV35 9LH</t>
        </is>
      </c>
      <c r="P73" s="1697" t="inlineStr">
        <is>
          <t>8 Staple Hill House</t>
        </is>
      </c>
      <c r="Q73" s="1568" t="inlineStr">
        <is>
          <t>Wellsbourne</t>
        </is>
      </c>
    </row>
    <row r="74" ht="14.65" customHeight="1" s="1232">
      <c r="A74" s="91" t="n">
        <v>43143</v>
      </c>
      <c r="B74" s="93" t="inlineStr">
        <is>
          <t>Macro Masterclass</t>
        </is>
      </c>
      <c r="C74" s="1568" t="inlineStr">
        <is>
          <t>2.5hrs</t>
        </is>
      </c>
      <c r="D74" s="1568" t="inlineStr">
        <is>
          <t>existing</t>
        </is>
      </c>
      <c r="F74" s="86" t="n"/>
      <c r="H74" s="1568" t="n"/>
      <c r="I74" s="1629" t="inlineStr">
        <is>
          <t xml:space="preserve">harriet.bowley@hotmail.co.uk </t>
        </is>
      </c>
      <c r="J74" s="1568" t="inlineStr">
        <is>
          <t>Mrs</t>
        </is>
      </c>
      <c r="K74" s="91" t="inlineStr">
        <is>
          <t>Harriet</t>
        </is>
      </c>
      <c r="L74" s="91" t="inlineStr">
        <is>
          <t>Bowley</t>
        </is>
      </c>
      <c r="M74" s="1282" t="inlineStr">
        <is>
          <t>38</t>
        </is>
      </c>
      <c r="N74" s="1282" t="inlineStr">
        <is>
          <t>07825953725</t>
        </is>
      </c>
      <c r="O74" s="1260" t="inlineStr">
        <is>
          <t>CV32 5AQ</t>
        </is>
      </c>
      <c r="P74" s="1260" t="inlineStr">
        <is>
          <t>49 Grove Street</t>
        </is>
      </c>
      <c r="Q74" s="1260" t="inlineStr">
        <is>
          <t>Leamington Spa</t>
        </is>
      </c>
    </row>
    <row r="83" ht="14.65" customHeight="1" s="1232">
      <c r="A83" s="239" t="n">
        <v>43164</v>
      </c>
      <c r="B83" s="240" t="inlineStr">
        <is>
          <t>B&amp;W Mastercalss</t>
        </is>
      </c>
      <c r="C83" s="1568" t="inlineStr">
        <is>
          <t>2.5hrs</t>
        </is>
      </c>
      <c r="D83" s="1568" t="inlineStr">
        <is>
          <t>existing</t>
        </is>
      </c>
      <c r="E83" s="85" t="inlineStr">
        <is>
          <t>#00885</t>
        </is>
      </c>
      <c r="F83" s="86" t="n">
        <v>43127</v>
      </c>
      <c r="G83" s="1515">
        <f>135/3</f>
        <v/>
      </c>
      <c r="H83" s="1568" t="n">
        <v>0</v>
      </c>
      <c r="I83" s="1374" t="inlineStr">
        <is>
          <t>derekrobbins@sky.com</t>
        </is>
      </c>
      <c r="J83" s="1568" t="inlineStr">
        <is>
          <t xml:space="preserve">Mr </t>
        </is>
      </c>
      <c r="K83" s="91" t="inlineStr">
        <is>
          <t>Derek</t>
        </is>
      </c>
      <c r="L83" s="91" t="inlineStr">
        <is>
          <t>Robbins</t>
        </is>
      </c>
      <c r="M83" s="1282" t="inlineStr">
        <is>
          <t>73</t>
        </is>
      </c>
      <c r="N83" s="1282" t="inlineStr">
        <is>
          <t>07971480724</t>
        </is>
      </c>
      <c r="O83" s="1260" t="inlineStr">
        <is>
          <t>B91 2BU</t>
        </is>
      </c>
      <c r="P83" s="1260" t="inlineStr">
        <is>
          <t>49 Beauchamp Road</t>
        </is>
      </c>
      <c r="Q83" s="1260" t="inlineStr">
        <is>
          <t>Solihull</t>
        </is>
      </c>
    </row>
    <row r="84" ht="14.65" customHeight="1" s="1232">
      <c r="A84" s="239" t="n">
        <v>43152</v>
      </c>
      <c r="B84" s="240" t="inlineStr">
        <is>
          <t>Image Sharing Masteclass</t>
        </is>
      </c>
      <c r="C84" s="1568" t="inlineStr">
        <is>
          <t>2.5hrs</t>
        </is>
      </c>
      <c r="D84" s="1568" t="inlineStr">
        <is>
          <t>existing</t>
        </is>
      </c>
      <c r="E84" s="85" t="inlineStr">
        <is>
          <t>#00885</t>
        </is>
      </c>
      <c r="F84" s="86" t="n">
        <v>43127</v>
      </c>
      <c r="G84" s="1515">
        <f>135/3</f>
        <v/>
      </c>
      <c r="H84" s="1568" t="n">
        <v>0</v>
      </c>
      <c r="I84" s="1629" t="inlineStr">
        <is>
          <t>derekrobbins@sky.com</t>
        </is>
      </c>
      <c r="J84" s="1568" t="inlineStr">
        <is>
          <t xml:space="preserve">Mr </t>
        </is>
      </c>
      <c r="K84" s="91" t="inlineStr">
        <is>
          <t>Derek</t>
        </is>
      </c>
      <c r="L84" s="91" t="inlineStr">
        <is>
          <t>Robbins</t>
        </is>
      </c>
      <c r="M84" s="1282" t="inlineStr">
        <is>
          <t>73</t>
        </is>
      </c>
      <c r="N84" s="1282" t="inlineStr">
        <is>
          <t>07971480724</t>
        </is>
      </c>
      <c r="O84" s="1260" t="inlineStr">
        <is>
          <t>B91 2BU</t>
        </is>
      </c>
      <c r="P84" s="1260" t="inlineStr">
        <is>
          <t>49 Beauchamp Road</t>
        </is>
      </c>
      <c r="Q84" s="1260" t="inlineStr">
        <is>
          <t>Solihull</t>
        </is>
      </c>
    </row>
    <row r="85" ht="14.65" customHeight="1" s="1232">
      <c r="A85" s="91" t="n"/>
      <c r="B85" s="93" t="n"/>
      <c r="C85" s="1568" t="n"/>
      <c r="D85" s="1568" t="n"/>
      <c r="F85" s="86" t="n"/>
      <c r="H85" s="1568" t="n"/>
      <c r="I85" s="1629" t="n"/>
      <c r="J85" s="1568" t="n"/>
      <c r="K85" s="91" t="n"/>
      <c r="L85" s="91" t="n"/>
    </row>
    <row r="86" ht="14.65" customHeight="1" s="1232">
      <c r="A86" s="91" t="n">
        <v>43180</v>
      </c>
      <c r="B86" s="93" t="inlineStr">
        <is>
          <t>Creative Editing</t>
        </is>
      </c>
      <c r="C86" s="1568" t="inlineStr">
        <is>
          <t>2.5hrs</t>
        </is>
      </c>
      <c r="D86" s="1568" t="inlineStr">
        <is>
          <t>existing</t>
        </is>
      </c>
      <c r="E86" s="85" t="inlineStr">
        <is>
          <t>#00854</t>
        </is>
      </c>
      <c r="F86" s="86" t="n">
        <v>43112</v>
      </c>
      <c r="G86" s="1515" t="n">
        <v>50</v>
      </c>
      <c r="H86" s="1260" t="n">
        <v>0</v>
      </c>
      <c r="I86" s="1629" t="inlineStr">
        <is>
          <t xml:space="preserve">jackirosin@gmail.com </t>
        </is>
      </c>
      <c r="J86" s="1568" t="inlineStr">
        <is>
          <t>Mrs</t>
        </is>
      </c>
      <c r="K86" s="91" t="inlineStr">
        <is>
          <t>Jackie</t>
        </is>
      </c>
      <c r="L86" s="91" t="inlineStr">
        <is>
          <t>Rosin</t>
        </is>
      </c>
      <c r="N86" s="1282" t="inlineStr">
        <is>
          <t>07790819935</t>
        </is>
      </c>
      <c r="O86" s="1260" t="inlineStr">
        <is>
          <t>cv7 7az</t>
        </is>
      </c>
      <c r="P86" s="1260" t="inlineStr">
        <is>
          <t>4 The Moat</t>
        </is>
      </c>
      <c r="Q86" s="1260" t="inlineStr">
        <is>
          <t>Coventry</t>
        </is>
      </c>
    </row>
    <row r="87" ht="14.65" customHeight="1" s="1232">
      <c r="A87" s="91" t="n">
        <v>43180</v>
      </c>
      <c r="B87" s="93" t="inlineStr">
        <is>
          <t>Creative Editing</t>
        </is>
      </c>
      <c r="C87" s="1568" t="inlineStr">
        <is>
          <t>2.5hrs</t>
        </is>
      </c>
      <c r="D87" s="1568" t="inlineStr">
        <is>
          <t>existing</t>
        </is>
      </c>
      <c r="E87" s="85" t="inlineStr">
        <is>
          <t>#00855</t>
        </is>
      </c>
      <c r="F87" s="86" t="n">
        <v>43112</v>
      </c>
      <c r="G87" s="1515" t="n">
        <v>50</v>
      </c>
      <c r="H87" s="1260" t="n">
        <v>0</v>
      </c>
      <c r="I87" s="1374" t="inlineStr">
        <is>
          <t>judy.longthorn@gmail.com</t>
        </is>
      </c>
      <c r="J87" s="1260" t="inlineStr">
        <is>
          <t>Mrs</t>
        </is>
      </c>
      <c r="K87" s="1260" t="inlineStr">
        <is>
          <t>Judith</t>
        </is>
      </c>
      <c r="L87" s="1260" t="inlineStr">
        <is>
          <t>Longthorn</t>
        </is>
      </c>
      <c r="M87" s="1282" t="inlineStr">
        <is>
          <t>60</t>
        </is>
      </c>
      <c r="N87" s="1282" t="inlineStr">
        <is>
          <t>07722328724</t>
        </is>
      </c>
      <c r="O87" s="1260" t="inlineStr">
        <is>
          <t>CV22 6LA</t>
        </is>
      </c>
      <c r="P87" s="1260" t="inlineStr">
        <is>
          <t>54 Cymbeline Way</t>
        </is>
      </c>
      <c r="Q87" s="1260" t="inlineStr">
        <is>
          <t>Rugby</t>
        </is>
      </c>
    </row>
    <row r="88" ht="14.65" customHeight="1" s="1232">
      <c r="A88" s="91" t="n">
        <v>43180</v>
      </c>
      <c r="B88" s="93" t="inlineStr">
        <is>
          <t>Creative Editing</t>
        </is>
      </c>
      <c r="C88" s="1568" t="inlineStr">
        <is>
          <t>2.5hrs</t>
        </is>
      </c>
      <c r="D88" s="1568" t="inlineStr">
        <is>
          <t>existing</t>
        </is>
      </c>
      <c r="E88" s="85" t="inlineStr">
        <is>
          <t>Pick N Mix</t>
        </is>
      </c>
      <c r="F88" s="86" t="n">
        <v>43167</v>
      </c>
      <c r="G88" s="1515" t="n">
        <v>42.5</v>
      </c>
      <c r="H88" s="1260" t="n">
        <v>0</v>
      </c>
      <c r="I88" s="547" t="inlineStr">
        <is>
          <t xml:space="preserve">garrymsuch@btinternet.com </t>
        </is>
      </c>
      <c r="J88" s="91" t="inlineStr">
        <is>
          <t>Mr</t>
        </is>
      </c>
      <c r="K88" s="91" t="inlineStr">
        <is>
          <t>Garry</t>
        </is>
      </c>
      <c r="L88" s="91" t="inlineStr">
        <is>
          <t>Such</t>
        </is>
      </c>
      <c r="M88" s="94" t="inlineStr">
        <is>
          <t>52</t>
        </is>
      </c>
      <c r="N88" s="76" t="inlineStr">
        <is>
          <t>07939441419</t>
        </is>
      </c>
    </row>
    <row r="89" ht="14.65" customHeight="1" s="1232">
      <c r="A89" s="91" t="n">
        <v>43180</v>
      </c>
      <c r="B89" s="93" t="inlineStr">
        <is>
          <t>Creative Editing</t>
        </is>
      </c>
      <c r="C89" s="1568" t="inlineStr">
        <is>
          <t>2.5hrs</t>
        </is>
      </c>
      <c r="D89" s="1568" t="inlineStr">
        <is>
          <t>existing</t>
        </is>
      </c>
      <c r="F89" s="86" t="n">
        <v>43168</v>
      </c>
      <c r="G89" s="1515" t="n">
        <v>50</v>
      </c>
      <c r="H89" s="1260" t="n">
        <v>0</v>
      </c>
      <c r="I89" s="1374" t="inlineStr">
        <is>
          <t>robertjsmith@btinternet.com</t>
        </is>
      </c>
      <c r="J89" s="1856" t="inlineStr">
        <is>
          <t>Mr</t>
        </is>
      </c>
      <c r="K89" s="1856" t="inlineStr">
        <is>
          <t>Robert Smith</t>
        </is>
      </c>
      <c r="L89" s="611" t="inlineStr">
        <is>
          <t>Smith</t>
        </is>
      </c>
      <c r="M89" s="1885" t="inlineStr">
        <is>
          <t>58</t>
        </is>
      </c>
      <c r="N89" s="1885" t="inlineStr">
        <is>
          <t>07772846158</t>
        </is>
      </c>
    </row>
    <row r="90" ht="14.65" customHeight="1" s="1232">
      <c r="A90" s="91" t="n"/>
      <c r="B90" s="93" t="n"/>
      <c r="C90" s="1568" t="n"/>
      <c r="D90" s="1568" t="n"/>
      <c r="F90" s="86" t="n"/>
      <c r="I90" s="547" t="n"/>
      <c r="J90" s="91" t="n"/>
      <c r="K90" s="91" t="n"/>
      <c r="L90" s="91" t="n"/>
      <c r="M90" s="94" t="n"/>
      <c r="N90" s="76" t="n"/>
    </row>
    <row r="91" ht="14.65" customHeight="1" s="1232">
      <c r="A91" s="91" t="n"/>
      <c r="B91" s="93" t="n"/>
      <c r="C91" s="1568" t="n"/>
      <c r="D91" s="1568" t="n"/>
      <c r="F91" s="86" t="n"/>
      <c r="I91" s="547" t="n"/>
      <c r="J91" s="91" t="n"/>
      <c r="K91" s="91" t="n"/>
      <c r="L91" s="91" t="n"/>
      <c r="M91" s="94" t="n"/>
      <c r="N91" s="76" t="n"/>
    </row>
    <row r="92" ht="14.65" customHeight="1" s="1232">
      <c r="A92" s="91" t="n"/>
      <c r="B92" s="93" t="n"/>
      <c r="C92" s="1568" t="n"/>
      <c r="D92" s="1568" t="n"/>
      <c r="F92" s="86" t="n"/>
      <c r="I92" s="547" t="n"/>
      <c r="J92" s="91" t="n"/>
      <c r="K92" s="91" t="n"/>
      <c r="L92" s="91" t="n"/>
      <c r="M92" s="94" t="n"/>
      <c r="N92" s="76" t="n"/>
    </row>
    <row r="93" ht="14.65" customHeight="1" s="1232">
      <c r="A93" s="239" t="n">
        <v>43192</v>
      </c>
      <c r="B93" s="93" t="inlineStr">
        <is>
          <t>Critique Class</t>
        </is>
      </c>
      <c r="C93" s="1568" t="inlineStr">
        <is>
          <t>2.5hrs</t>
        </is>
      </c>
      <c r="D93" s="1568" t="inlineStr">
        <is>
          <t>existing</t>
        </is>
      </c>
      <c r="E93" s="85" t="inlineStr">
        <is>
          <t>#00825</t>
        </is>
      </c>
      <c r="F93" s="86" t="n">
        <v>43090</v>
      </c>
      <c r="G93" s="1515" t="n">
        <v>50</v>
      </c>
      <c r="H93" s="1568" t="n">
        <v>0</v>
      </c>
      <c r="I93" s="1374" t="inlineStr">
        <is>
          <t xml:space="preserve">mark4harrison@gmail.com </t>
        </is>
      </c>
      <c r="J93" s="1568" t="inlineStr">
        <is>
          <t>Mr</t>
        </is>
      </c>
      <c r="K93" s="91" t="inlineStr">
        <is>
          <t>Mark</t>
        </is>
      </c>
      <c r="L93" s="91" t="inlineStr">
        <is>
          <t>Harrison</t>
        </is>
      </c>
      <c r="M93" s="1282" t="inlineStr">
        <is>
          <t>68</t>
        </is>
      </c>
      <c r="N93" s="1282" t="inlineStr">
        <is>
          <t>07970753758</t>
        </is>
      </c>
      <c r="O93" s="1260" t="inlineStr">
        <is>
          <t>CV5 6NS</t>
        </is>
      </c>
      <c r="P93" s="1260" t="inlineStr">
        <is>
          <t>39 Broadway</t>
        </is>
      </c>
      <c r="Q93" s="1260" t="inlineStr">
        <is>
          <t>Coventry</t>
        </is>
      </c>
    </row>
    <row r="94" ht="14.65" customHeight="1" s="1232">
      <c r="A94" s="91" t="n"/>
      <c r="B94" s="93" t="n"/>
      <c r="C94" s="1568" t="n"/>
      <c r="D94" s="1568" t="n"/>
      <c r="F94" s="86" t="n"/>
      <c r="I94" s="1374" t="n"/>
      <c r="M94" s="1282" t="n"/>
      <c r="N94" s="1282" t="n"/>
    </row>
    <row r="95" ht="14.65" customHeight="1" s="1232">
      <c r="A95" s="91" t="n"/>
      <c r="B95" s="93" t="n"/>
      <c r="C95" s="1568" t="n"/>
      <c r="D95" s="1568" t="n"/>
      <c r="F95" s="86" t="n"/>
      <c r="I95" s="1374" t="n"/>
      <c r="M95" s="1282" t="n"/>
      <c r="N95" s="1282" t="n"/>
    </row>
    <row r="96" ht="14.65" customHeight="1" s="1232">
      <c r="A96" s="91" t="n">
        <v>43194</v>
      </c>
      <c r="B96" s="93" t="inlineStr">
        <is>
          <t>Macro Masterclass</t>
        </is>
      </c>
      <c r="C96" s="1568" t="inlineStr">
        <is>
          <t>2.5hrs</t>
        </is>
      </c>
      <c r="D96" s="1568" t="inlineStr">
        <is>
          <t>existing</t>
        </is>
      </c>
      <c r="E96" s="85" t="inlineStr">
        <is>
          <t>#00849</t>
        </is>
      </c>
      <c r="F96" s="86" t="n">
        <v>43110</v>
      </c>
      <c r="G96" s="1515" t="n">
        <v>40</v>
      </c>
      <c r="H96" s="1568" t="n">
        <v>0</v>
      </c>
      <c r="I96" s="1629" t="inlineStr">
        <is>
          <t xml:space="preserve">joyceejames@me.com </t>
        </is>
      </c>
      <c r="J96" s="1568" t="inlineStr">
        <is>
          <t>Mrs</t>
        </is>
      </c>
      <c r="K96" s="91" t="inlineStr">
        <is>
          <t>Joyce</t>
        </is>
      </c>
      <c r="L96" s="91" t="inlineStr">
        <is>
          <t>James</t>
        </is>
      </c>
      <c r="M96" s="1282" t="inlineStr">
        <is>
          <t>59</t>
        </is>
      </c>
      <c r="N96" s="1282" t="inlineStr">
        <is>
          <t>07799641900</t>
        </is>
      </c>
      <c r="O96" s="1260" t="inlineStr">
        <is>
          <t>CV21 4PH</t>
        </is>
      </c>
      <c r="P96" s="1260" t="inlineStr">
        <is>
          <t>4 Archers Spinney,</t>
        </is>
      </c>
      <c r="Q96" s="1260" t="inlineStr">
        <is>
          <t>Watts Lane, Hillmorton</t>
        </is>
      </c>
    </row>
    <row r="97" ht="14.65" customHeight="1" s="1232">
      <c r="A97" s="91" t="n">
        <v>43194</v>
      </c>
      <c r="B97" s="93" t="inlineStr">
        <is>
          <t>Macro Masterclass</t>
        </is>
      </c>
      <c r="C97" s="1568" t="inlineStr">
        <is>
          <t>2.5hrs</t>
        </is>
      </c>
      <c r="D97" s="1568" t="inlineStr">
        <is>
          <t>existing</t>
        </is>
      </c>
      <c r="E97" s="85" t="inlineStr">
        <is>
          <t>#00885</t>
        </is>
      </c>
      <c r="F97" s="86" t="n">
        <v>43127</v>
      </c>
      <c r="G97" s="1515">
        <f>135/3</f>
        <v/>
      </c>
      <c r="H97" s="1568" t="n">
        <v>0</v>
      </c>
      <c r="I97" s="1629" t="inlineStr">
        <is>
          <t>derekrobbins@sky.com</t>
        </is>
      </c>
      <c r="J97" s="1568" t="inlineStr">
        <is>
          <t xml:space="preserve">Mr </t>
        </is>
      </c>
      <c r="K97" s="91" t="inlineStr">
        <is>
          <t>Derek</t>
        </is>
      </c>
      <c r="L97" s="91" t="inlineStr">
        <is>
          <t>Robbins</t>
        </is>
      </c>
      <c r="M97" s="1282" t="inlineStr">
        <is>
          <t>73</t>
        </is>
      </c>
      <c r="N97" s="1282" t="inlineStr">
        <is>
          <t>07971480724</t>
        </is>
      </c>
      <c r="O97" s="1260" t="inlineStr">
        <is>
          <t>B91 2BU</t>
        </is>
      </c>
      <c r="P97" s="1260" t="inlineStr">
        <is>
          <t>49 Beauchamp Road</t>
        </is>
      </c>
      <c r="Q97" s="1260" t="inlineStr">
        <is>
          <t>Solihull</t>
        </is>
      </c>
    </row>
    <row r="98" ht="14.65" customHeight="1" s="1232">
      <c r="A98" s="91" t="n">
        <v>43194</v>
      </c>
      <c r="B98" s="93" t="inlineStr">
        <is>
          <t>Macro Masterclass</t>
        </is>
      </c>
      <c r="C98" s="1568" t="inlineStr">
        <is>
          <t>2.5hrs</t>
        </is>
      </c>
      <c r="D98" s="1568" t="inlineStr">
        <is>
          <t>existing</t>
        </is>
      </c>
      <c r="E98" s="648" t="inlineStr">
        <is>
          <t>#00956</t>
        </is>
      </c>
      <c r="F98" s="86" t="n">
        <v>43164</v>
      </c>
      <c r="G98" s="1515" t="n">
        <v>50</v>
      </c>
      <c r="H98" s="1568" t="n">
        <v>0</v>
      </c>
      <c r="I98" s="1629" t="inlineStr">
        <is>
          <t>jackirosin@gmail.com</t>
        </is>
      </c>
      <c r="J98" s="1856" t="inlineStr">
        <is>
          <t>Mrs</t>
        </is>
      </c>
      <c r="K98" s="1856" t="inlineStr">
        <is>
          <t>Jacki</t>
        </is>
      </c>
      <c r="L98" s="1856" t="inlineStr">
        <is>
          <t>Rosin</t>
        </is>
      </c>
      <c r="M98" s="1856" t="n"/>
      <c r="N98" s="1885" t="inlineStr">
        <is>
          <t>07790819935</t>
        </is>
      </c>
    </row>
    <row r="99" ht="14.65" customHeight="1" s="1232">
      <c r="A99" s="91" t="n"/>
      <c r="B99" s="93" t="n"/>
      <c r="C99" s="1568" t="n"/>
      <c r="D99" s="1568" t="n"/>
      <c r="F99" s="86" t="n"/>
      <c r="H99" s="1568" t="n"/>
      <c r="I99" s="1629" t="n"/>
      <c r="J99" s="1568" t="n"/>
      <c r="K99" s="91" t="n"/>
      <c r="L99" s="91" t="n"/>
      <c r="M99" s="1282" t="n"/>
      <c r="N99" s="1282" t="n"/>
    </row>
    <row r="100" ht="14.65" customHeight="1" s="1232">
      <c r="A100" s="239" t="n"/>
      <c r="B100" s="93" t="n"/>
      <c r="C100" s="1568" t="n"/>
      <c r="D100" s="1568" t="n"/>
      <c r="E100" s="1699" t="n"/>
      <c r="F100" s="86" t="n"/>
      <c r="I100" s="1490" t="n"/>
      <c r="J100" s="1698" t="n"/>
      <c r="K100" s="1699" t="n"/>
      <c r="L100" s="1699" t="n"/>
      <c r="M100" s="1700" t="n"/>
      <c r="N100" s="1701" t="n"/>
      <c r="O100" s="1698" t="n"/>
      <c r="P100" s="1698" t="n"/>
      <c r="Q100" s="1698" t="n"/>
    </row>
    <row r="101" ht="14.65" customHeight="1" s="1232">
      <c r="A101" s="91" t="n">
        <v>43416</v>
      </c>
      <c r="B101" s="93" t="inlineStr">
        <is>
          <t>Bracketing &amp; Filters Master Class</t>
        </is>
      </c>
      <c r="C101" s="1568" t="inlineStr">
        <is>
          <t>2.5hrs</t>
        </is>
      </c>
      <c r="D101" s="1568" t="inlineStr">
        <is>
          <t>Facebook</t>
        </is>
      </c>
      <c r="E101" s="1699" t="inlineStr">
        <is>
          <t>#01128</t>
        </is>
      </c>
      <c r="F101" s="86" t="n">
        <v>43390</v>
      </c>
      <c r="G101" s="1515" t="n">
        <v>50</v>
      </c>
      <c r="H101" s="1260" t="n">
        <v>0</v>
      </c>
      <c r="I101" s="1490" t="inlineStr">
        <is>
          <t xml:space="preserve">johngrant.rr@gmail.com </t>
        </is>
      </c>
      <c r="J101" s="1698" t="inlineStr">
        <is>
          <t>Mr</t>
        </is>
      </c>
      <c r="K101" s="1699" t="inlineStr">
        <is>
          <t xml:space="preserve">John </t>
        </is>
      </c>
      <c r="L101" s="1699" t="inlineStr">
        <is>
          <t>Grant</t>
        </is>
      </c>
      <c r="M101" s="1700" t="inlineStr">
        <is>
          <t>64</t>
        </is>
      </c>
      <c r="N101" s="1701" t="inlineStr">
        <is>
          <t>07969444960</t>
        </is>
      </c>
      <c r="O101" s="1698" t="inlineStr">
        <is>
          <t>CV6 6JT</t>
        </is>
      </c>
      <c r="P101" s="1698" t="inlineStr">
        <is>
          <t>20 Pembury Avenue</t>
        </is>
      </c>
      <c r="Q101" s="1698" t="inlineStr">
        <is>
          <t>Coventry</t>
        </is>
      </c>
    </row>
    <row r="102" ht="14.65" customHeight="1" s="1232">
      <c r="A102" s="91" t="n">
        <v>43416</v>
      </c>
      <c r="B102" s="93" t="inlineStr">
        <is>
          <t>Bracketing &amp; Filters Master Class</t>
        </is>
      </c>
      <c r="C102" s="1568" t="inlineStr">
        <is>
          <t>2.5hrs</t>
        </is>
      </c>
      <c r="D102" s="1568" t="inlineStr">
        <is>
          <t>Facebook</t>
        </is>
      </c>
      <c r="E102" s="1699" t="inlineStr">
        <is>
          <t>#01134</t>
        </is>
      </c>
      <c r="F102" s="86" t="n">
        <v>43391</v>
      </c>
      <c r="G102" s="1515" t="n">
        <v>50</v>
      </c>
      <c r="H102" s="1260" t="n">
        <v>0</v>
      </c>
      <c r="I102" s="1490" t="inlineStr">
        <is>
          <t xml:space="preserve">pennysimpson@virginmedia.com </t>
        </is>
      </c>
      <c r="J102" s="1698" t="inlineStr">
        <is>
          <t>Mrs</t>
        </is>
      </c>
      <c r="K102" s="1699" t="inlineStr">
        <is>
          <t xml:space="preserve">Penny </t>
        </is>
      </c>
      <c r="L102" s="1699" t="inlineStr">
        <is>
          <t>Simpson</t>
        </is>
      </c>
      <c r="M102" s="1700" t="inlineStr">
        <is>
          <t>71</t>
        </is>
      </c>
      <c r="N102" s="1701" t="inlineStr">
        <is>
          <t>07808122706</t>
        </is>
      </c>
      <c r="O102" s="1698" t="inlineStr">
        <is>
          <t>CV3 6HP</t>
        </is>
      </c>
      <c r="P102" s="1698" t="inlineStr">
        <is>
          <t>28 Asthill Grove</t>
        </is>
      </c>
      <c r="Q102" s="1698" t="inlineStr">
        <is>
          <t>Coventry</t>
        </is>
      </c>
    </row>
    <row r="103" ht="14.65" customHeight="1" s="1232">
      <c r="A103" s="239" t="n"/>
      <c r="B103" s="93" t="n"/>
      <c r="C103" s="1568" t="n"/>
      <c r="D103" s="1568" t="n"/>
      <c r="E103" s="1699" t="n"/>
      <c r="F103" s="86" t="n"/>
      <c r="I103" s="1490" t="n"/>
      <c r="J103" s="1698" t="n"/>
      <c r="K103" s="1699" t="n"/>
      <c r="L103" s="1699" t="n"/>
      <c r="M103" s="1700" t="n"/>
      <c r="N103" s="1701" t="n"/>
      <c r="O103" s="1698" t="n"/>
      <c r="P103" s="1698" t="n"/>
      <c r="Q103" s="1698" t="n"/>
    </row>
    <row r="104" ht="14.65" customHeight="1" s="1232">
      <c r="A104" s="91" t="n"/>
      <c r="B104" s="93" t="n"/>
      <c r="C104" s="1568" t="n"/>
      <c r="D104" s="1568" t="n"/>
      <c r="F104" s="86" t="n"/>
      <c r="H104" s="1568" t="n"/>
      <c r="I104" s="1629" t="n"/>
      <c r="J104" s="1568" t="n"/>
      <c r="K104" s="91" t="n"/>
      <c r="L104" s="91" t="n"/>
      <c r="M104" s="1282" t="n"/>
      <c r="N104" s="1282" t="n"/>
    </row>
    <row r="105" ht="14.65" customHeight="1" s="1232">
      <c r="A105" s="91" t="n">
        <v>43481</v>
      </c>
      <c r="B105" s="93" t="inlineStr">
        <is>
          <t>Creative Edting</t>
        </is>
      </c>
      <c r="C105" s="1568" t="inlineStr">
        <is>
          <t>2.5hrs</t>
        </is>
      </c>
      <c r="D105" s="1568" t="inlineStr">
        <is>
          <t>Exisiting</t>
        </is>
      </c>
      <c r="E105" s="85" t="inlineStr">
        <is>
          <t>#01100</t>
        </is>
      </c>
      <c r="F105" s="86" t="n">
        <v>43363</v>
      </c>
      <c r="G105" s="1515" t="n">
        <v>37.5</v>
      </c>
      <c r="H105" s="1568" t="n">
        <v>0</v>
      </c>
      <c r="I105" s="1629" t="inlineStr">
        <is>
          <t xml:space="preserve">alistair_willis@yahoo.co.uk </t>
        </is>
      </c>
      <c r="J105" s="1568" t="inlineStr">
        <is>
          <t>Mr</t>
        </is>
      </c>
      <c r="K105" s="91" t="inlineStr">
        <is>
          <t>Alistair</t>
        </is>
      </c>
      <c r="L105" s="91" t="inlineStr">
        <is>
          <t>Willis</t>
        </is>
      </c>
      <c r="M105" s="1282" t="inlineStr">
        <is>
          <t>46</t>
        </is>
      </c>
      <c r="N105" s="1282" t="inlineStr">
        <is>
          <t>07910195549</t>
        </is>
      </c>
      <c r="O105" s="1260" t="inlineStr">
        <is>
          <t>B14 7ER</t>
        </is>
      </c>
      <c r="P105" s="1260" t="inlineStr">
        <is>
          <t>119 Addison Road</t>
        </is>
      </c>
      <c r="Q105" s="1260" t="inlineStr">
        <is>
          <t>Birmingham</t>
        </is>
      </c>
    </row>
    <row r="106" ht="14.65" customHeight="1" s="1232">
      <c r="A106" s="91" t="n"/>
      <c r="B106" s="240" t="n"/>
      <c r="C106" s="1568" t="n"/>
      <c r="D106" s="1568" t="n"/>
      <c r="F106" s="86" t="n"/>
      <c r="H106" s="1568" t="n"/>
      <c r="I106" s="1374" t="n"/>
      <c r="N106" s="1282" t="n"/>
    </row>
    <row r="107" ht="14.65" customHeight="1" s="1232">
      <c r="A107" s="91" t="n"/>
      <c r="B107" s="240" t="n"/>
      <c r="C107" s="1568" t="n"/>
      <c r="D107" s="1568" t="n"/>
      <c r="F107" s="86" t="n"/>
      <c r="H107" s="1568" t="n"/>
      <c r="I107" s="1374" t="n"/>
      <c r="N107" s="1282" t="n"/>
    </row>
    <row r="108" ht="14.65" customHeight="1" s="1232">
      <c r="B108" s="240" t="inlineStr">
        <is>
          <t>Masterclass TBA</t>
        </is>
      </c>
      <c r="C108" s="1568" t="n"/>
      <c r="D108" s="1568" t="n"/>
      <c r="E108" s="85" t="inlineStr">
        <is>
          <t>#00849</t>
        </is>
      </c>
      <c r="F108" s="86" t="n">
        <v>43110</v>
      </c>
      <c r="G108" s="1515">
        <f>135/3</f>
        <v/>
      </c>
      <c r="H108" s="1568" t="n">
        <v>0</v>
      </c>
      <c r="I108" s="1629" t="inlineStr">
        <is>
          <t xml:space="preserve">joyceejames@me.com </t>
        </is>
      </c>
      <c r="J108" s="1568" t="inlineStr">
        <is>
          <t>Mrs</t>
        </is>
      </c>
      <c r="K108" s="91" t="inlineStr">
        <is>
          <t>Joyce</t>
        </is>
      </c>
      <c r="L108" s="91" t="inlineStr">
        <is>
          <t>James</t>
        </is>
      </c>
      <c r="M108" s="1282" t="inlineStr">
        <is>
          <t>59</t>
        </is>
      </c>
      <c r="N108" s="1282" t="inlineStr">
        <is>
          <t>07799641900</t>
        </is>
      </c>
      <c r="O108" s="1260" t="inlineStr">
        <is>
          <t>CV21 4PH</t>
        </is>
      </c>
      <c r="P108" s="1260" t="inlineStr">
        <is>
          <t>4 Archers Spinney,</t>
        </is>
      </c>
      <c r="Q108" s="1260" t="inlineStr">
        <is>
          <t>Watts Lane, Hillmorton</t>
        </is>
      </c>
    </row>
    <row r="109" ht="14.65" customHeight="1" s="1232">
      <c r="B109" s="240" t="inlineStr">
        <is>
          <t>Masterclass TBA</t>
        </is>
      </c>
      <c r="C109" s="1568" t="n"/>
      <c r="D109" s="1568" t="n"/>
      <c r="E109" s="85" t="inlineStr">
        <is>
          <t>#00849</t>
        </is>
      </c>
      <c r="F109" s="86" t="n">
        <v>43110</v>
      </c>
      <c r="G109" s="1515">
        <f>135/3</f>
        <v/>
      </c>
      <c r="H109" s="1568" t="n">
        <v>0</v>
      </c>
      <c r="I109" s="1629" t="inlineStr">
        <is>
          <t xml:space="preserve">joyceejames@me.com </t>
        </is>
      </c>
      <c r="J109" s="1568" t="inlineStr">
        <is>
          <t>Mrs</t>
        </is>
      </c>
      <c r="K109" s="91" t="inlineStr">
        <is>
          <t>Joyce</t>
        </is>
      </c>
      <c r="L109" s="91" t="inlineStr">
        <is>
          <t>James</t>
        </is>
      </c>
      <c r="M109" s="1282" t="inlineStr">
        <is>
          <t>59</t>
        </is>
      </c>
      <c r="N109" s="1282" t="inlineStr">
        <is>
          <t>07799641900</t>
        </is>
      </c>
      <c r="O109" s="1260" t="inlineStr">
        <is>
          <t>CV21 4PH</t>
        </is>
      </c>
      <c r="P109" s="1260" t="inlineStr">
        <is>
          <t>4 Archers Spinney,</t>
        </is>
      </c>
      <c r="Q109" s="1260" t="inlineStr">
        <is>
          <t>Watts Lane, Hillmorton</t>
        </is>
      </c>
    </row>
    <row r="111" ht="14.65" customHeight="1" s="1232">
      <c r="A111" s="239" t="n"/>
      <c r="B111" s="93" t="n"/>
      <c r="C111" s="1568" t="n"/>
      <c r="D111" s="1568" t="n"/>
      <c r="F111" s="86" t="n"/>
      <c r="H111" s="1568" t="n"/>
      <c r="I111" s="1629" t="n"/>
      <c r="J111" s="1568" t="n"/>
      <c r="K111" s="91" t="n"/>
      <c r="L111" s="91" t="n"/>
      <c r="M111" s="1282" t="n"/>
      <c r="N111" s="1282" t="n"/>
    </row>
    <row r="112" ht="29.25" customHeight="1" s="1232">
      <c r="A112" s="239" t="n">
        <v>42809</v>
      </c>
      <c r="B112" s="240" t="inlineStr">
        <is>
          <t>Lightroom Organisation</t>
        </is>
      </c>
      <c r="C112" s="1568" t="inlineStr">
        <is>
          <t>3hrs</t>
        </is>
      </c>
      <c r="D112" s="1568" t="inlineStr">
        <is>
          <t>existing</t>
        </is>
      </c>
      <c r="E112" s="1568" t="inlineStr">
        <is>
          <t>Pick N Mix</t>
        </is>
      </c>
      <c r="F112" s="86" t="n">
        <v>42709</v>
      </c>
      <c r="G112" s="1607" t="n">
        <v>45</v>
      </c>
      <c r="H112" s="1568" t="n">
        <v>0</v>
      </c>
      <c r="I112" s="95" t="inlineStr">
        <is>
          <t xml:space="preserve">maxinewatts@me.com </t>
        </is>
      </c>
      <c r="J112" s="91" t="inlineStr">
        <is>
          <t>Ms</t>
        </is>
      </c>
      <c r="K112" s="93" t="inlineStr">
        <is>
          <t xml:space="preserve">Maxine </t>
        </is>
      </c>
      <c r="L112" s="91" t="inlineStr">
        <is>
          <t>Watts</t>
        </is>
      </c>
      <c r="M112" s="94" t="inlineStr">
        <is>
          <t>56</t>
        </is>
      </c>
      <c r="N112" s="76" t="inlineStr">
        <is>
          <t>07833367500</t>
        </is>
      </c>
      <c r="O112" s="93" t="inlineStr">
        <is>
          <t>CV35 8BU</t>
        </is>
      </c>
      <c r="P112" s="91" t="inlineStr">
        <is>
          <t>Watchbury Farm, 24a High St,</t>
        </is>
      </c>
      <c r="Q112" s="93" t="inlineStr">
        <is>
          <t>Barford</t>
        </is>
      </c>
    </row>
    <row r="113" ht="14.65" customHeight="1" s="1232">
      <c r="A113" s="239" t="n">
        <v>42814</v>
      </c>
      <c r="B113" s="240" t="inlineStr">
        <is>
          <t>Choosing and setting up your DSLR</t>
        </is>
      </c>
      <c r="C113" s="1568" t="inlineStr">
        <is>
          <t>3hrs</t>
        </is>
      </c>
      <c r="D113" s="1568" t="inlineStr">
        <is>
          <t>existing</t>
        </is>
      </c>
      <c r="E113" s="87" t="inlineStr">
        <is>
          <t>#00643</t>
        </is>
      </c>
      <c r="F113" s="86" t="n">
        <v>42812</v>
      </c>
      <c r="G113" s="1607" t="n">
        <v>50</v>
      </c>
      <c r="H113" s="1568" t="n">
        <v>0</v>
      </c>
      <c r="I113" s="1629" t="inlineStr">
        <is>
          <t xml:space="preserve">rebecca.sackley@gmail.com </t>
        </is>
      </c>
      <c r="J113" s="1568" t="inlineStr">
        <is>
          <t>Miss</t>
        </is>
      </c>
      <c r="K113" s="1568" t="inlineStr">
        <is>
          <t>Rebecca</t>
        </is>
      </c>
      <c r="L113" s="1568" t="inlineStr">
        <is>
          <t>Long</t>
        </is>
      </c>
      <c r="M113" s="1604" t="inlineStr">
        <is>
          <t>37</t>
        </is>
      </c>
      <c r="N113" s="1604" t="inlineStr">
        <is>
          <t>07795263630</t>
        </is>
      </c>
      <c r="O113" s="1568" t="inlineStr">
        <is>
          <t>B91 2ty</t>
        </is>
      </c>
      <c r="P113" s="1568" t="inlineStr">
        <is>
          <t>58 middlewood close</t>
        </is>
      </c>
      <c r="Q113" s="1568" t="inlineStr">
        <is>
          <t>Solihull</t>
        </is>
      </c>
    </row>
    <row r="114" ht="14.65" customHeight="1" s="1232">
      <c r="A114" s="239" t="n"/>
      <c r="B114" s="93" t="n"/>
      <c r="C114" s="1568" t="n"/>
      <c r="D114" s="1568" t="n"/>
      <c r="E114" s="87" t="n"/>
      <c r="F114" s="86" t="n"/>
      <c r="G114" s="1607" t="n"/>
      <c r="H114" s="1568" t="n"/>
      <c r="I114" s="1629" t="n"/>
      <c r="J114" s="1568" t="n"/>
      <c r="K114" s="1568" t="n"/>
      <c r="L114" s="1568" t="n"/>
      <c r="M114" s="1568" t="n"/>
      <c r="N114" s="1568" t="n"/>
      <c r="O114" s="1568" t="n"/>
      <c r="P114" s="1568" t="n"/>
      <c r="Q114" s="1568" t="n"/>
    </row>
    <row r="115" ht="14.65" customHeight="1" s="1232">
      <c r="A115" s="1630" t="n"/>
      <c r="B115" s="201" t="inlineStr">
        <is>
          <t>Totals</t>
        </is>
      </c>
      <c r="C115" s="1652" t="n"/>
      <c r="D115" s="1652" t="n"/>
      <c r="E115" s="90" t="n"/>
      <c r="F115" s="1652" t="n"/>
      <c r="G115" s="1654">
        <f>SUM(G4:G114)</f>
        <v/>
      </c>
      <c r="H115" s="1654">
        <f>SUM(H2:H3)</f>
        <v/>
      </c>
      <c r="I115" s="1568" t="n"/>
      <c r="J115" s="1568" t="n"/>
      <c r="K115" s="88" t="n"/>
      <c r="L115" s="1568" t="n"/>
      <c r="M115" s="197" t="n"/>
      <c r="N115" s="88" t="n"/>
      <c r="O115" s="1568" t="n"/>
      <c r="P115" s="88" t="n"/>
      <c r="Q115" s="1568" t="n"/>
    </row>
  </sheetData>
  <autoFilter ref="A2:V116"/>
  <conditionalFormatting sqref="H2:H3">
    <cfRule type="cellIs" priority="1" operator="greaterThan" dxfId="1">
      <formula>0</formula>
    </cfRule>
  </conditionalFormatting>
  <hyperlinks>
    <hyperlink xmlns:r="http://schemas.openxmlformats.org/officeDocument/2006/relationships" ref="I6" r:id="rId1"/>
    <hyperlink xmlns:r="http://schemas.openxmlformats.org/officeDocument/2006/relationships" ref="I8" r:id="rId2"/>
    <hyperlink xmlns:r="http://schemas.openxmlformats.org/officeDocument/2006/relationships" ref="I12" r:id="rId3"/>
    <hyperlink xmlns:r="http://schemas.openxmlformats.org/officeDocument/2006/relationships" ref="I13" r:id="rId4"/>
    <hyperlink xmlns:r="http://schemas.openxmlformats.org/officeDocument/2006/relationships" ref="I17" r:id="rId5"/>
    <hyperlink xmlns:r="http://schemas.openxmlformats.org/officeDocument/2006/relationships" ref="I23" r:id="rId6"/>
    <hyperlink xmlns:r="http://schemas.openxmlformats.org/officeDocument/2006/relationships" ref="I24" r:id="rId7"/>
    <hyperlink xmlns:r="http://schemas.openxmlformats.org/officeDocument/2006/relationships" ref="I25" r:id="rId8"/>
    <hyperlink xmlns:r="http://schemas.openxmlformats.org/officeDocument/2006/relationships" ref="I27" r:id="rId9"/>
    <hyperlink xmlns:r="http://schemas.openxmlformats.org/officeDocument/2006/relationships" ref="I28" r:id="rId10"/>
    <hyperlink xmlns:r="http://schemas.openxmlformats.org/officeDocument/2006/relationships" ref="I34" r:id="rId11"/>
    <hyperlink xmlns:r="http://schemas.openxmlformats.org/officeDocument/2006/relationships" ref="I35" r:id="rId12"/>
    <hyperlink xmlns:r="http://schemas.openxmlformats.org/officeDocument/2006/relationships" ref="I40" r:id="rId13"/>
    <hyperlink xmlns:r="http://schemas.openxmlformats.org/officeDocument/2006/relationships" ref="I42" r:id="rId14"/>
    <hyperlink xmlns:r="http://schemas.openxmlformats.org/officeDocument/2006/relationships" ref="I43" r:id="rId15"/>
    <hyperlink xmlns:r="http://schemas.openxmlformats.org/officeDocument/2006/relationships" ref="I50" r:id="rId16"/>
    <hyperlink xmlns:r="http://schemas.openxmlformats.org/officeDocument/2006/relationships" ref="I58" r:id="rId17"/>
    <hyperlink xmlns:r="http://schemas.openxmlformats.org/officeDocument/2006/relationships" ref="I66" r:id="rId18"/>
    <hyperlink xmlns:r="http://schemas.openxmlformats.org/officeDocument/2006/relationships" ref="I69" r:id="rId19"/>
    <hyperlink xmlns:r="http://schemas.openxmlformats.org/officeDocument/2006/relationships" ref="I71" r:id="rId20"/>
    <hyperlink xmlns:r="http://schemas.openxmlformats.org/officeDocument/2006/relationships" ref="I83" r:id="rId21"/>
    <hyperlink xmlns:r="http://schemas.openxmlformats.org/officeDocument/2006/relationships" ref="I87" r:id="rId22"/>
    <hyperlink xmlns:r="http://schemas.openxmlformats.org/officeDocument/2006/relationships" ref="I89" r:id="rId23"/>
    <hyperlink xmlns:r="http://schemas.openxmlformats.org/officeDocument/2006/relationships" ref="I93" r:id="rId24"/>
    <hyperlink xmlns:r="http://schemas.openxmlformats.org/officeDocument/2006/relationships" ref="I112" r:id="rId25"/>
  </hyperlinks>
  <pageMargins left="0.25" right="0.25" top="0.75" bottom="0.75" header="0.3" footer="0.3"/>
  <pageSetup orientation="landscape" paperSize="9" scale="27" fitToHeight="0" horizontalDpi="300" verticalDpi="300"/>
  <legacyDrawing xmlns:r="http://schemas.openxmlformats.org/officeDocument/2006/relationships" r:id="anysvml"/>
</worksheet>
</file>

<file path=xl/worksheets/sheet39.xml><?xml version="1.0" encoding="utf-8"?>
<worksheet xmlns="http://schemas.openxmlformats.org/spreadsheetml/2006/main">
  <sheetPr>
    <tabColor rgb="FFFFFF00"/>
    <outlinePr summaryBelow="1" summaryRight="1"/>
    <pageSetUpPr fitToPage="1"/>
  </sheetPr>
  <dimension ref="A2:T42"/>
  <sheetViews>
    <sheetView workbookViewId="0">
      <selection activeCell="R55" sqref="R55"/>
    </sheetView>
  </sheetViews>
  <sheetFormatPr baseColWidth="8" defaultColWidth="9.1328125" defaultRowHeight="13.5"/>
  <cols>
    <col width="5.19921875" customWidth="1" style="373" min="1" max="1"/>
    <col width="10.1328125" bestFit="1" customWidth="1" style="1886" min="2" max="2"/>
    <col width="12.46484375" customWidth="1" style="1887" min="3" max="3"/>
    <col width="13" customWidth="1" style="1887" min="4" max="4"/>
    <col width="10.796875" customWidth="1" style="1886" min="5" max="5"/>
    <col width="18.19921875" customWidth="1" style="1886" min="6" max="6"/>
    <col width="27.796875" bestFit="1" customWidth="1" style="1886" min="7" max="7"/>
    <col width="9.1328125" customWidth="1" style="1886" min="8" max="8"/>
    <col width="18.1328125" customWidth="1" style="1886" min="9" max="9"/>
    <col width="16.1328125" bestFit="1" customWidth="1" style="1886" min="10" max="10"/>
    <col width="8.46484375" bestFit="1" customWidth="1" style="379" min="11" max="11"/>
    <col width="14.46484375" bestFit="1" customWidth="1" style="379" min="12" max="12"/>
    <col width="11" customWidth="1" style="1886" min="13" max="13"/>
    <col width="25.796875" bestFit="1" customWidth="1" style="1886" min="14" max="14"/>
    <col width="12.1328125" customWidth="1" style="1886" min="15" max="15"/>
    <col width="14.1328125" customWidth="1" style="1886" min="16" max="16"/>
    <col width="11.46484375" customWidth="1" style="1886" min="17" max="17"/>
    <col width="27.19921875" customWidth="1" style="1886" min="18" max="18"/>
    <col width="15.86328125" customWidth="1" style="1886" min="19" max="19"/>
    <col width="14.86328125" customWidth="1" style="1886" min="20" max="20"/>
    <col width="9.1328125" customWidth="1" style="1886" min="21" max="16384"/>
  </cols>
  <sheetData>
    <row r="2" ht="27.75" customHeight="1" s="1232">
      <c r="G2" s="1888" t="n"/>
      <c r="I2" s="1889" t="inlineStr">
        <is>
          <t>Intentions Course</t>
        </is>
      </c>
      <c r="J2" s="1888" t="n"/>
      <c r="K2" s="377" t="n"/>
      <c r="L2" s="1888" t="n"/>
      <c r="M2" s="1888" t="n"/>
    </row>
    <row r="3">
      <c r="F3" s="1890" t="inlineStr">
        <is>
          <t>Awaiting Payment</t>
        </is>
      </c>
    </row>
    <row r="4">
      <c r="F4" s="1891" t="inlineStr">
        <is>
          <t>Verified</t>
        </is>
      </c>
    </row>
    <row r="5">
      <c r="F5" s="1892" t="inlineStr">
        <is>
          <t>redeemed</t>
        </is>
      </c>
    </row>
    <row r="7" ht="38.25" customFormat="1" customHeight="1" s="1893">
      <c r="A7" s="382" t="inlineStr">
        <is>
          <t>No'</t>
        </is>
      </c>
      <c r="B7" s="1894" t="inlineStr">
        <is>
          <t>Date Booked</t>
        </is>
      </c>
      <c r="C7" s="1895" t="inlineStr">
        <is>
          <t>balance</t>
        </is>
      </c>
      <c r="D7" s="1896" t="inlineStr">
        <is>
          <t>Paid</t>
        </is>
      </c>
      <c r="E7" s="1897" t="inlineStr">
        <is>
          <t>Source</t>
        </is>
      </c>
      <c r="F7" s="1897" t="inlineStr">
        <is>
          <t>Voucher Ref</t>
        </is>
      </c>
      <c r="G7" s="1894" t="inlineStr">
        <is>
          <t>Email Address</t>
        </is>
      </c>
      <c r="H7" s="1894" t="inlineStr">
        <is>
          <t>Prefix</t>
        </is>
      </c>
      <c r="I7" s="1894" t="inlineStr">
        <is>
          <t>First Name</t>
        </is>
      </c>
      <c r="J7" s="1894" t="inlineStr">
        <is>
          <t>Last Name</t>
        </is>
      </c>
      <c r="K7" s="387" t="inlineStr">
        <is>
          <t>Age</t>
        </is>
      </c>
      <c r="L7" s="388" t="inlineStr">
        <is>
          <t>Mobile No'</t>
        </is>
      </c>
      <c r="M7" s="1894" t="inlineStr">
        <is>
          <t>Post Code</t>
        </is>
      </c>
      <c r="N7" s="1894" t="inlineStr">
        <is>
          <t>House No' Street Name</t>
        </is>
      </c>
      <c r="O7" s="1894" t="inlineStr">
        <is>
          <t>Town</t>
        </is>
      </c>
      <c r="P7" s="1897" t="inlineStr">
        <is>
          <t>Camera Make/Model</t>
        </is>
      </c>
      <c r="Q7" s="1894" t="inlineStr">
        <is>
          <t>yrs doing photography</t>
        </is>
      </c>
      <c r="R7" s="1898" t="inlineStr">
        <is>
          <t>Type of Photography interested in</t>
        </is>
      </c>
      <c r="S7" s="1899" t="inlineStr">
        <is>
          <t>Emergency Contact Name</t>
        </is>
      </c>
      <c r="T7" s="1900" t="inlineStr">
        <is>
          <t>Emergency Contact Number</t>
        </is>
      </c>
    </row>
    <row r="8" ht="14.65" customHeight="1" s="1232">
      <c r="A8" s="393" t="inlineStr">
        <is>
          <t>EG</t>
        </is>
      </c>
      <c r="B8" s="1901" t="n">
        <v>41001</v>
      </c>
      <c r="C8" s="1902" t="n"/>
      <c r="D8" s="1902" t="n"/>
      <c r="E8" s="1901" t="n"/>
      <c r="F8" s="1901" t="n"/>
      <c r="G8" s="1903" t="n"/>
      <c r="H8" s="1904" t="n"/>
      <c r="I8" s="1904" t="n"/>
      <c r="J8" s="1904" t="n"/>
      <c r="K8" s="398" t="n"/>
      <c r="L8" s="399" t="n"/>
      <c r="M8" s="1904" t="n"/>
      <c r="N8" s="1904" t="n"/>
      <c r="O8" s="1904" t="n"/>
      <c r="P8" s="1904" t="n"/>
      <c r="Q8" s="1904" t="n"/>
      <c r="R8" s="1904" t="n"/>
      <c r="S8" s="1904" t="n"/>
      <c r="T8" s="400" t="n"/>
    </row>
    <row r="9" ht="18" customHeight="1" s="1232">
      <c r="A9" s="401" t="n">
        <v>1</v>
      </c>
      <c r="B9" s="1905" t="n">
        <v>43365</v>
      </c>
      <c r="C9" s="1906" t="n">
        <v>0</v>
      </c>
      <c r="D9" s="1906" t="n">
        <v>371.25</v>
      </c>
      <c r="E9" s="1699" t="inlineStr">
        <is>
          <t>Exisiting</t>
        </is>
      </c>
      <c r="F9" s="1701" t="inlineStr">
        <is>
          <t>#01106</t>
        </is>
      </c>
      <c r="G9" s="1907" t="inlineStr">
        <is>
          <t>m.s.clark@open.ac.uk</t>
        </is>
      </c>
      <c r="H9" s="1699" t="inlineStr">
        <is>
          <t>Miss</t>
        </is>
      </c>
      <c r="I9" s="1699" t="inlineStr">
        <is>
          <t xml:space="preserve">Madeleine </t>
        </is>
      </c>
      <c r="J9" s="1908" t="inlineStr">
        <is>
          <t>Clark</t>
        </is>
      </c>
      <c r="K9" s="1701" t="inlineStr">
        <is>
          <t>64</t>
        </is>
      </c>
      <c r="L9" s="1701" t="inlineStr">
        <is>
          <t>07534347894</t>
        </is>
      </c>
      <c r="M9" s="1908" t="inlineStr">
        <is>
          <t>CV8 3DA</t>
        </is>
      </c>
      <c r="N9" s="1908" t="inlineStr">
        <is>
          <t>8 The Bank</t>
        </is>
      </c>
      <c r="O9" s="1699" t="inlineStr">
        <is>
          <t>Stoneleigh</t>
        </is>
      </c>
      <c r="P9" s="1908" t="n"/>
      <c r="Q9" s="1908" t="n"/>
      <c r="R9" s="1908" t="n"/>
      <c r="S9" s="1909" t="n"/>
    </row>
    <row r="10" ht="18" customHeight="1" s="1232">
      <c r="A10" s="401" t="n">
        <v>2</v>
      </c>
      <c r="B10" s="1905" t="n">
        <v>43419</v>
      </c>
      <c r="C10" s="1906" t="n">
        <v>0</v>
      </c>
      <c r="D10" s="1908" t="n">
        <v>75</v>
      </c>
      <c r="E10" s="1699" t="inlineStr">
        <is>
          <t>Exisiting</t>
        </is>
      </c>
      <c r="F10" s="1701" t="inlineStr">
        <is>
          <t>PnM</t>
        </is>
      </c>
      <c r="G10" s="1491" t="inlineStr">
        <is>
          <t xml:space="preserve">jl_jordan@icloud.com </t>
        </is>
      </c>
      <c r="H10" s="1699" t="inlineStr">
        <is>
          <t>Mrs</t>
        </is>
      </c>
      <c r="I10" s="1699" t="inlineStr">
        <is>
          <t>Janice</t>
        </is>
      </c>
      <c r="J10" s="1699" t="inlineStr">
        <is>
          <t xml:space="preserve"> Jordan</t>
        </is>
      </c>
      <c r="K10" s="1908" t="inlineStr">
        <is>
          <t>55</t>
        </is>
      </c>
      <c r="L10" s="1701" t="inlineStr">
        <is>
          <t>07909684226</t>
        </is>
      </c>
      <c r="M10" s="1908" t="inlineStr">
        <is>
          <t>CV35 9LH</t>
        </is>
      </c>
      <c r="N10" s="1908" t="inlineStr">
        <is>
          <t>8 Staple Hill House</t>
        </is>
      </c>
      <c r="O10" s="1908" t="inlineStr">
        <is>
          <t>Wellsbourne</t>
        </is>
      </c>
      <c r="P10" s="1908" t="n"/>
      <c r="Q10" s="1910" t="n"/>
      <c r="R10" s="1908" t="n"/>
      <c r="S10" s="1909" t="n"/>
    </row>
    <row r="11" ht="18" customHeight="1" s="1232">
      <c r="A11" s="401" t="n">
        <v>3</v>
      </c>
      <c r="B11" s="1905" t="n">
        <v>43422</v>
      </c>
      <c r="C11" s="1906" t="n">
        <v>0</v>
      </c>
      <c r="D11" s="1908" t="n">
        <v>396</v>
      </c>
      <c r="E11" s="1699" t="inlineStr">
        <is>
          <t>Exisiting</t>
        </is>
      </c>
      <c r="F11" s="1701" t="inlineStr">
        <is>
          <t>PnM</t>
        </is>
      </c>
      <c r="G11" s="1911" t="inlineStr">
        <is>
          <t>con.mchugh@gmail.com</t>
        </is>
      </c>
      <c r="H11" s="1703" t="inlineStr">
        <is>
          <t>Mr</t>
        </is>
      </c>
      <c r="I11" s="1703" t="inlineStr">
        <is>
          <t xml:space="preserve">Con </t>
        </is>
      </c>
      <c r="J11" s="1703" t="inlineStr">
        <is>
          <t>McHugh</t>
        </is>
      </c>
      <c r="K11" s="1912" t="inlineStr">
        <is>
          <t>55</t>
        </is>
      </c>
      <c r="L11" s="1912" t="inlineStr">
        <is>
          <t>07968894002</t>
        </is>
      </c>
      <c r="M11" s="1699" t="inlineStr">
        <is>
          <t>CV37 7PY</t>
        </is>
      </c>
      <c r="N11" s="1908" t="inlineStr">
        <is>
          <t>9 Ashley Court</t>
        </is>
      </c>
      <c r="O11" s="1908" t="inlineStr">
        <is>
          <t>Shipston Road, Stratford upon Avon</t>
        </is>
      </c>
      <c r="P11" s="1908" t="n"/>
      <c r="Q11" s="1908" t="n"/>
      <c r="R11" s="1908" t="n"/>
      <c r="S11" s="1909" t="n"/>
    </row>
    <row r="12" ht="18" customHeight="1" s="1232">
      <c r="A12" s="401" t="n">
        <v>4</v>
      </c>
      <c r="B12" s="1905" t="n"/>
      <c r="C12" s="1913" t="n"/>
      <c r="D12" s="1908" t="n"/>
      <c r="E12" s="1699" t="n"/>
      <c r="F12" s="1701" t="n"/>
      <c r="G12" s="1491" t="n"/>
      <c r="H12" s="1908" t="n"/>
      <c r="I12" s="1908" t="n"/>
      <c r="J12" s="1908" t="n"/>
      <c r="K12" s="1914" t="n"/>
      <c r="L12" s="1914" t="n"/>
      <c r="M12" s="1908" t="n"/>
      <c r="N12" s="1908" t="n"/>
      <c r="O12" s="1908" t="n"/>
      <c r="P12" s="1908" t="n"/>
      <c r="Q12" s="1908" t="n"/>
      <c r="R12" s="1908" t="n"/>
      <c r="S12" s="1909" t="n"/>
      <c r="T12" s="1915" t="n"/>
    </row>
    <row r="13" ht="18" customHeight="1" s="1232">
      <c r="A13" s="401" t="n">
        <v>5</v>
      </c>
      <c r="B13" s="1905" t="n"/>
      <c r="C13" s="1910" t="n"/>
      <c r="D13" s="1910" t="n"/>
      <c r="E13" s="1910" t="n"/>
      <c r="F13" s="1914" t="n"/>
      <c r="G13" s="1907" t="n"/>
      <c r="H13" s="1908" t="n"/>
      <c r="I13" s="1908" t="n"/>
      <c r="J13" s="1908" t="n"/>
      <c r="K13" s="1908" t="n"/>
      <c r="L13" s="1908" t="n"/>
      <c r="M13" s="1908" t="n"/>
      <c r="N13" s="1908" t="n"/>
      <c r="O13" s="1908" t="n"/>
      <c r="P13" s="1908" t="n"/>
      <c r="Q13" s="1908" t="n"/>
      <c r="R13" s="1908" t="n"/>
      <c r="S13" s="1909" t="n"/>
    </row>
    <row r="14" ht="18" customHeight="1" s="1232">
      <c r="A14" s="401" t="n">
        <v>6</v>
      </c>
      <c r="B14" s="1905" t="n"/>
      <c r="C14" s="1908" t="n"/>
      <c r="D14" s="1908" t="n"/>
      <c r="E14" s="1908" t="n"/>
      <c r="F14" s="1914" t="n"/>
      <c r="G14" s="1907" t="n"/>
      <c r="H14" s="1908" t="n"/>
      <c r="I14" s="1908" t="n"/>
      <c r="J14" s="1908" t="n"/>
      <c r="K14" s="1914" t="n"/>
      <c r="L14" s="1914" t="n"/>
      <c r="M14" s="1908" t="n"/>
      <c r="N14" s="1908" t="n"/>
      <c r="O14" s="1908" t="n"/>
      <c r="P14" s="1908" t="n"/>
      <c r="Q14" s="1908" t="n"/>
      <c r="R14" s="1908" t="n"/>
      <c r="S14" s="1909" t="n"/>
    </row>
    <row r="15" ht="18" customHeight="1" s="1232">
      <c r="A15" s="401" t="n">
        <v>7</v>
      </c>
      <c r="B15" s="1908" t="n"/>
      <c r="C15" s="1908" t="n"/>
      <c r="D15" s="1908" t="n"/>
      <c r="E15" s="1908" t="n"/>
      <c r="F15" s="1914" t="n"/>
      <c r="G15" s="1907" t="n"/>
      <c r="H15" s="1908" t="n"/>
      <c r="I15" s="1908" t="n"/>
      <c r="J15" s="1908" t="n"/>
      <c r="K15" s="1914" t="n"/>
      <c r="L15" s="1914" t="n"/>
      <c r="M15" s="1908" t="n"/>
      <c r="N15" s="1908" t="n"/>
      <c r="O15" s="1908" t="n"/>
      <c r="P15" s="1908" t="n"/>
      <c r="Q15" s="1908" t="n"/>
      <c r="R15" s="1908" t="n"/>
      <c r="S15" s="1909" t="n"/>
    </row>
    <row r="16" ht="18" customHeight="1" s="1232">
      <c r="A16" s="401" t="n">
        <v>8</v>
      </c>
      <c r="B16" s="1908" t="n"/>
      <c r="C16" s="1908" t="n"/>
      <c r="D16" s="1908" t="n"/>
      <c r="E16" s="1908" t="n"/>
      <c r="F16" s="1908" t="n"/>
      <c r="G16" s="1907" t="n"/>
      <c r="H16" s="1908" t="n"/>
      <c r="I16" s="1908" t="n"/>
      <c r="J16" s="1908" t="n"/>
      <c r="K16" s="1914" t="n"/>
      <c r="L16" s="1914" t="n"/>
      <c r="M16" s="1908" t="n"/>
      <c r="N16" s="1908" t="n"/>
      <c r="O16" s="1908" t="n"/>
      <c r="P16" s="1908" t="n"/>
      <c r="Q16" s="1908" t="n"/>
      <c r="R16" s="1908" t="n"/>
      <c r="S16" s="1909" t="n"/>
    </row>
    <row r="17" ht="18" customHeight="1" s="1232">
      <c r="A17" s="401" t="n">
        <v>9</v>
      </c>
      <c r="B17" s="1908" t="n"/>
      <c r="C17" s="1908" t="n"/>
      <c r="D17" s="1908" t="n"/>
      <c r="E17" s="1908" t="n"/>
      <c r="F17" s="1908" t="n"/>
      <c r="G17" s="1916" t="n"/>
      <c r="H17" s="1908" t="n"/>
      <c r="I17" s="1908" t="n"/>
      <c r="J17" s="1908" t="n"/>
      <c r="K17" s="535" t="n"/>
      <c r="L17" s="535" t="n"/>
      <c r="M17" s="1908" t="n"/>
      <c r="N17" s="1908" t="n"/>
      <c r="O17" s="1908" t="n"/>
      <c r="P17" s="1908" t="n"/>
      <c r="Q17" s="1908" t="n"/>
      <c r="R17" s="1908" t="n"/>
      <c r="S17" s="1909" t="n"/>
    </row>
    <row r="18" ht="18" customHeight="1" s="1232">
      <c r="A18" s="401" t="n">
        <v>10</v>
      </c>
      <c r="B18" s="1908" t="n"/>
      <c r="C18" s="1910" t="n"/>
      <c r="D18" s="1910" t="n"/>
      <c r="E18" s="1910" t="n"/>
      <c r="F18" s="1910" t="n"/>
      <c r="G18" s="1910" t="n"/>
      <c r="H18" s="1910" t="n"/>
      <c r="I18" s="1910" t="n"/>
      <c r="J18" s="1910" t="n"/>
      <c r="K18" s="1910" t="n"/>
      <c r="L18" s="1910" t="n"/>
      <c r="M18" s="1910" t="n"/>
      <c r="N18" s="1910" t="n"/>
      <c r="O18" s="1910" t="n"/>
      <c r="P18" s="1910" t="n"/>
      <c r="Q18" s="1908" t="n"/>
      <c r="R18" s="1908" t="n"/>
      <c r="S18" s="1909" t="n"/>
    </row>
    <row r="19" ht="18" customHeight="1" s="1232" thickBot="1">
      <c r="A19" s="401" t="n"/>
      <c r="B19" s="1905" t="n"/>
      <c r="C19" s="1908" t="n"/>
      <c r="D19" s="1908" t="n"/>
      <c r="E19" s="1908" t="n"/>
      <c r="F19" s="1914" t="n"/>
      <c r="G19" s="1907" t="n"/>
      <c r="H19" s="1908" t="n"/>
      <c r="I19" s="1908" t="n"/>
      <c r="J19" s="1908" t="n"/>
      <c r="K19" s="1908" t="n"/>
      <c r="L19" s="1908" t="n"/>
      <c r="M19" s="1908" t="n"/>
      <c r="N19" s="1908" t="n"/>
      <c r="O19" s="1908" t="n"/>
      <c r="P19" s="1908" t="n"/>
      <c r="Q19" s="1908" t="n"/>
      <c r="R19" s="1908" t="n"/>
      <c r="S19" s="1909" t="n"/>
    </row>
    <row r="20" ht="18" customHeight="1" s="1232" thickBot="1">
      <c r="A20" s="401" t="n"/>
      <c r="B20" s="1908" t="n"/>
      <c r="C20" s="1906" t="n"/>
      <c r="D20" s="1906" t="n"/>
      <c r="E20" s="1908" t="n"/>
      <c r="F20" s="1908" t="n"/>
      <c r="G20" s="1907" t="n"/>
      <c r="H20" s="1908" t="n"/>
      <c r="I20" s="1908" t="n"/>
      <c r="J20" s="1908" t="n"/>
      <c r="K20" s="1914" t="n"/>
      <c r="L20" s="1914" t="n"/>
      <c r="M20" s="1908" t="n"/>
      <c r="N20" s="1917" t="n"/>
      <c r="O20" s="1918" t="n"/>
      <c r="P20" s="1919" t="n"/>
      <c r="Q20" s="1919" t="n"/>
      <c r="R20" s="1919" t="n"/>
      <c r="S20" s="1920" t="n"/>
      <c r="T20" s="1921" t="n"/>
    </row>
    <row r="21" ht="18" customHeight="1" s="1232">
      <c r="A21" s="401" t="n"/>
      <c r="B21" s="1910" t="n"/>
      <c r="C21" s="1910" t="n"/>
      <c r="D21" s="1910" t="n"/>
      <c r="E21" s="1910" t="n"/>
      <c r="F21" s="1910" t="n"/>
      <c r="G21" s="1910" t="n"/>
      <c r="H21" s="1910" t="n"/>
      <c r="I21" s="1910" t="n"/>
      <c r="J21" s="1910" t="n"/>
      <c r="K21" s="1910" t="n"/>
      <c r="L21" s="1910" t="n"/>
      <c r="M21" s="1910" t="n"/>
      <c r="N21" s="1910" t="n"/>
      <c r="O21" s="1910" t="n"/>
      <c r="P21" s="1910" t="n"/>
      <c r="Q21" s="1910" t="n"/>
      <c r="R21" s="1910" t="n"/>
    </row>
    <row r="22" ht="18" customHeight="1" s="1232">
      <c r="A22" s="401" t="n"/>
      <c r="B22" s="1922" t="n"/>
      <c r="C22" s="1906" t="n"/>
      <c r="D22" s="1906" t="n"/>
      <c r="E22" s="1908" t="n"/>
      <c r="F22" s="1908" t="n"/>
      <c r="G22" s="1908" t="n"/>
      <c r="H22" s="1908" t="n"/>
      <c r="I22" s="1908" t="n"/>
      <c r="J22" s="1908" t="n"/>
      <c r="K22" s="535" t="n"/>
      <c r="L22" s="1908" t="n"/>
      <c r="M22" s="1908" t="n"/>
      <c r="N22" s="1908" t="n"/>
      <c r="O22" s="1908" t="n"/>
      <c r="P22" s="1908" t="n"/>
      <c r="Q22" s="1908" t="n"/>
      <c r="R22" s="1908" t="n"/>
      <c r="S22" s="1909" t="n"/>
    </row>
    <row r="23" ht="18" customHeight="1" s="1232">
      <c r="A23" s="401" t="n"/>
      <c r="B23" s="1923" t="n"/>
      <c r="C23" s="1924" t="n"/>
      <c r="D23" s="1924" t="n"/>
      <c r="E23" s="1925" t="n"/>
      <c r="F23" s="1925" t="n"/>
      <c r="G23" s="1909" t="n"/>
      <c r="H23" s="1909" t="n"/>
      <c r="I23" s="1909" t="n"/>
      <c r="J23" s="1909" t="n"/>
      <c r="K23" s="405" t="n"/>
      <c r="L23" s="1909" t="n"/>
      <c r="M23" s="1909" t="n"/>
      <c r="N23" s="1909" t="n"/>
      <c r="O23" s="1909" t="n"/>
      <c r="P23" s="1909" t="n"/>
      <c r="Q23" s="1909" t="n"/>
      <c r="R23" s="1909" t="n"/>
      <c r="S23" s="1909" t="n"/>
    </row>
    <row r="24" ht="18" customHeight="1" s="1232">
      <c r="A24" s="401" t="n"/>
      <c r="B24" s="1923" t="n"/>
      <c r="C24" s="1924" t="n"/>
      <c r="D24" s="1924" t="n"/>
      <c r="E24" s="1925" t="n"/>
      <c r="F24" s="1925" t="n"/>
      <c r="G24" s="1909" t="n"/>
      <c r="H24" s="1909" t="n"/>
      <c r="I24" s="1909" t="n"/>
      <c r="J24" s="1909" t="n"/>
      <c r="K24" s="405" t="n"/>
      <c r="L24" s="1909" t="n"/>
      <c r="M24" s="1909" t="n"/>
      <c r="N24" s="1909" t="n"/>
      <c r="O24" s="1909" t="n"/>
      <c r="P24" s="1909" t="n"/>
      <c r="Q24" s="1909" t="n"/>
      <c r="R24" s="1909" t="n"/>
      <c r="S24" s="1909" t="n"/>
    </row>
    <row r="25" ht="14.65" customHeight="1" s="1232">
      <c r="A25" s="411" t="n"/>
      <c r="B25" s="1909" t="n"/>
      <c r="C25" s="1926" t="n"/>
      <c r="D25" s="1926" t="n"/>
      <c r="E25" s="1909" t="n"/>
      <c r="F25" s="1909" t="n"/>
      <c r="G25" s="1909" t="n"/>
      <c r="H25" s="1909" t="n"/>
      <c r="I25" s="1909" t="n"/>
      <c r="J25" s="1909" t="n"/>
      <c r="K25" s="405" t="n"/>
      <c r="L25" s="405" t="n"/>
      <c r="M25" s="1909" t="n"/>
      <c r="N25" s="1909" t="n"/>
      <c r="O25" s="1909" t="n"/>
      <c r="P25" s="1909" t="n"/>
      <c r="Q25" s="1909" t="n"/>
      <c r="R25" s="1909" t="n"/>
      <c r="S25" s="1909" t="n"/>
    </row>
    <row r="26">
      <c r="B26" s="1927" t="inlineStr">
        <is>
          <t>Count</t>
        </is>
      </c>
      <c r="C26" s="1928" t="inlineStr">
        <is>
          <t>Net</t>
        </is>
      </c>
      <c r="D26" s="1928" t="inlineStr">
        <is>
          <t>Gross</t>
        </is>
      </c>
      <c r="E26" s="1927" t="inlineStr">
        <is>
          <t>Avg</t>
        </is>
      </c>
    </row>
    <row r="27">
      <c r="B27" s="415">
        <f>COUNTIF(B9:B18,"&gt;0")</f>
        <v/>
      </c>
      <c r="C27" s="1929">
        <f>SUM(C9:C26)</f>
        <v/>
      </c>
      <c r="D27" s="1887">
        <f>SUM(D9:D22)</f>
        <v/>
      </c>
      <c r="E27" s="1886">
        <f>SUM(C27+D27)/B27</f>
        <v/>
      </c>
    </row>
    <row r="30">
      <c r="C30" s="1929">
        <f>SUM(C9:C24)</f>
        <v/>
      </c>
      <c r="D30" s="1929">
        <f>SUM(D9:D24)</f>
        <v/>
      </c>
      <c r="E30" s="1886">
        <f>D30+C30</f>
        <v/>
      </c>
    </row>
    <row r="33">
      <c r="B33" s="1886" t="inlineStr">
        <is>
          <t>booking admin</t>
        </is>
      </c>
      <c r="C33" s="1887" t="n">
        <v>1.5</v>
      </c>
      <c r="D33" s="1887">
        <f>C33*B27</f>
        <v/>
      </c>
    </row>
    <row r="34">
      <c r="B34" s="1886" t="inlineStr">
        <is>
          <t>room</t>
        </is>
      </c>
      <c r="C34" s="1887" t="n">
        <v>0</v>
      </c>
      <c r="D34" s="1887">
        <f>C34*4</f>
        <v/>
      </c>
    </row>
    <row r="35">
      <c r="B35" s="1886" t="inlineStr">
        <is>
          <t>time</t>
        </is>
      </c>
      <c r="C35" s="1887" t="n">
        <v>50</v>
      </c>
      <c r="D35" s="1887">
        <f>C35*8</f>
        <v/>
      </c>
    </row>
    <row r="36">
      <c r="B36" s="1886" t="inlineStr">
        <is>
          <t>food</t>
        </is>
      </c>
      <c r="C36" s="1887" t="n">
        <v>2</v>
      </c>
      <c r="D36" s="1887" t="n">
        <v>10</v>
      </c>
    </row>
    <row r="37">
      <c r="B37" s="1886" t="inlineStr">
        <is>
          <t>Folders</t>
        </is>
      </c>
      <c r="C37" s="1887" t="n">
        <v>0</v>
      </c>
      <c r="D37" s="1887">
        <f>C37*B27</f>
        <v/>
      </c>
    </row>
    <row r="38">
      <c r="B38" s="1886" t="inlineStr">
        <is>
          <t>petrol</t>
        </is>
      </c>
      <c r="C38" s="1887" t="n">
        <v>0</v>
      </c>
      <c r="D38" s="1887">
        <f>C38*4</f>
        <v/>
      </c>
    </row>
    <row r="39">
      <c r="B39" s="1886" t="inlineStr">
        <is>
          <t>paypal</t>
        </is>
      </c>
      <c r="C39" s="417" t="n">
        <v>0.036</v>
      </c>
      <c r="D39" s="1887">
        <f>C27*C39</f>
        <v/>
      </c>
    </row>
    <row r="41">
      <c r="C41" s="1887" t="inlineStr">
        <is>
          <t>Cost</t>
        </is>
      </c>
      <c r="D41" s="1887">
        <f>SUM(D33:D40)</f>
        <v/>
      </c>
    </row>
    <row r="42">
      <c r="C42" s="1887" t="inlineStr">
        <is>
          <t>Profit</t>
        </is>
      </c>
      <c r="D42" s="1929">
        <f>C30+D30-D41</f>
        <v/>
      </c>
    </row>
  </sheetData>
  <conditionalFormatting sqref="C42:D42">
    <cfRule type="cellIs" priority="1" operator="lessThan" dxfId="1">
      <formula>0</formula>
    </cfRule>
  </conditionalFormatting>
  <pageMargins left="0.25" right="0.25" top="0.75" bottom="0.75" header="0.3" footer="0.3"/>
  <pageSetup orientation="landscape" paperSize="9" scale="32"/>
  <headerFooter alignWithMargins="0">
    <oddHeader>&amp;LPage &amp;P of &amp;N&amp;C&amp;"Arial,Bold"&amp;14 Solihull - Tudor Court&amp;R&amp;"Arial,Bold"&amp;18 &amp;A</oddHeader>
    <oddFooter>&amp;L&amp;F&amp;R&amp;A</oddFooter>
    <evenHeader/>
    <evenFooter/>
    <firstHeader/>
    <firstFooter/>
  </headerFooter>
</worksheet>
</file>

<file path=xl/worksheets/sheet40.xml><?xml version="1.0" encoding="utf-8"?>
<worksheet xmlns="http://schemas.openxmlformats.org/spreadsheetml/2006/main">
  <sheetPr>
    <tabColor rgb="FFFFFF00"/>
    <outlinePr summaryBelow="1" summaryRight="1"/>
    <pageSetUpPr fitToPage="1"/>
  </sheetPr>
  <dimension ref="A2:T42"/>
  <sheetViews>
    <sheetView workbookViewId="0">
      <selection activeCell="G9" sqref="G9:G11"/>
    </sheetView>
  </sheetViews>
  <sheetFormatPr baseColWidth="8" defaultColWidth="9.1328125" defaultRowHeight="13.5"/>
  <cols>
    <col width="5.19921875" customWidth="1" style="373" min="1" max="1"/>
    <col width="10.1328125" bestFit="1" customWidth="1" style="1886" min="2" max="2"/>
    <col width="12.46484375" customWidth="1" style="1887" min="3" max="3"/>
    <col width="13" customWidth="1" style="1887" min="4" max="4"/>
    <col width="10.796875" customWidth="1" style="1886" min="5" max="5"/>
    <col width="18.19921875" customWidth="1" style="1886" min="6" max="6"/>
    <col width="27.796875" bestFit="1" customWidth="1" style="1886" min="7" max="7"/>
    <col width="9.1328125" customWidth="1" style="1886" min="8" max="8"/>
    <col width="18.1328125" customWidth="1" style="1886" min="9" max="9"/>
    <col width="16.1328125" bestFit="1" customWidth="1" style="1886" min="10" max="10"/>
    <col width="8.46484375" bestFit="1" customWidth="1" style="379" min="11" max="11"/>
    <col width="14.46484375" bestFit="1" customWidth="1" style="379" min="12" max="12"/>
    <col width="11" customWidth="1" style="1886" min="13" max="13"/>
    <col width="25.796875" bestFit="1" customWidth="1" style="1886" min="14" max="14"/>
    <col width="12.1328125" customWidth="1" style="1886" min="15" max="15"/>
    <col width="14.1328125" customWidth="1" style="1886" min="16" max="16"/>
    <col width="11.46484375" customWidth="1" style="1886" min="17" max="17"/>
    <col width="27.19921875" customWidth="1" style="1886" min="18" max="18"/>
    <col width="15.86328125" customWidth="1" style="1886" min="19" max="19"/>
    <col width="14.86328125" customWidth="1" style="1886" min="20" max="20"/>
    <col width="9.1328125" customWidth="1" style="1886" min="21" max="16384"/>
  </cols>
  <sheetData>
    <row r="2" ht="27.75" customHeight="1" s="1232">
      <c r="G2" s="1888" t="n"/>
      <c r="I2" s="1889" t="inlineStr">
        <is>
          <t>Intentions Course</t>
        </is>
      </c>
      <c r="J2" s="1888" t="n"/>
      <c r="K2" s="377" t="n"/>
      <c r="L2" s="1888" t="n"/>
      <c r="M2" s="1888" t="n"/>
    </row>
    <row r="3">
      <c r="F3" s="1890" t="inlineStr">
        <is>
          <t>Awaiting Payment</t>
        </is>
      </c>
    </row>
    <row r="4">
      <c r="F4" s="1891" t="inlineStr">
        <is>
          <t>Verified</t>
        </is>
      </c>
    </row>
    <row r="5">
      <c r="F5" s="1892" t="inlineStr">
        <is>
          <t>redeemed</t>
        </is>
      </c>
    </row>
    <row r="7" ht="38.25" customFormat="1" customHeight="1" s="1893">
      <c r="A7" s="382" t="inlineStr">
        <is>
          <t>No'</t>
        </is>
      </c>
      <c r="B7" s="1894" t="inlineStr">
        <is>
          <t>Date Booked</t>
        </is>
      </c>
      <c r="C7" s="1895" t="inlineStr">
        <is>
          <t>balance</t>
        </is>
      </c>
      <c r="D7" s="1896" t="inlineStr">
        <is>
          <t>Paid</t>
        </is>
      </c>
      <c r="E7" s="1897" t="inlineStr">
        <is>
          <t>Source</t>
        </is>
      </c>
      <c r="F7" s="1897" t="inlineStr">
        <is>
          <t>Voucher Ref</t>
        </is>
      </c>
      <c r="G7" s="1894" t="inlineStr">
        <is>
          <t>Email Address</t>
        </is>
      </c>
      <c r="H7" s="1894" t="inlineStr">
        <is>
          <t>Prefix</t>
        </is>
      </c>
      <c r="I7" s="1894" t="inlineStr">
        <is>
          <t>First Name</t>
        </is>
      </c>
      <c r="J7" s="1894" t="inlineStr">
        <is>
          <t>Last Name</t>
        </is>
      </c>
      <c r="K7" s="387" t="inlineStr">
        <is>
          <t>Age</t>
        </is>
      </c>
      <c r="L7" s="388" t="inlineStr">
        <is>
          <t>Mobile No'</t>
        </is>
      </c>
      <c r="M7" s="1894" t="inlineStr">
        <is>
          <t>Post Code</t>
        </is>
      </c>
      <c r="N7" s="1894" t="inlineStr">
        <is>
          <t>House No' Street Name</t>
        </is>
      </c>
      <c r="O7" s="1894" t="inlineStr">
        <is>
          <t>Town</t>
        </is>
      </c>
      <c r="P7" s="1897" t="inlineStr">
        <is>
          <t>Camera Make/Model</t>
        </is>
      </c>
      <c r="Q7" s="1894" t="inlineStr">
        <is>
          <t>yrs doing photography</t>
        </is>
      </c>
      <c r="R7" s="1898" t="inlineStr">
        <is>
          <t>Type of Photography interested in</t>
        </is>
      </c>
      <c r="S7" s="1899" t="inlineStr">
        <is>
          <t>Emergency Contact Name</t>
        </is>
      </c>
      <c r="T7" s="1900" t="inlineStr">
        <is>
          <t>Emergency Contact Number</t>
        </is>
      </c>
    </row>
    <row r="8" ht="14.65" customHeight="1" s="1232">
      <c r="A8" s="393" t="inlineStr">
        <is>
          <t>EG</t>
        </is>
      </c>
      <c r="B8" s="1901" t="n">
        <v>41001</v>
      </c>
      <c r="C8" s="1902" t="n"/>
      <c r="D8" s="1902" t="n"/>
      <c r="E8" s="1901" t="n"/>
      <c r="F8" s="1901" t="n"/>
      <c r="G8" s="1903" t="n"/>
      <c r="H8" s="1904" t="n"/>
      <c r="I8" s="1904" t="n"/>
      <c r="J8" s="1904" t="n"/>
      <c r="K8" s="398" t="n"/>
      <c r="L8" s="399" t="n"/>
      <c r="M8" s="1904" t="n"/>
      <c r="N8" s="1904" t="n"/>
      <c r="O8" s="1904" t="n"/>
      <c r="P8" s="1904" t="n"/>
      <c r="Q8" s="1904" t="n"/>
      <c r="R8" s="1904" t="n"/>
      <c r="S8" s="1904" t="n"/>
      <c r="T8" s="400" t="n"/>
    </row>
    <row r="9" ht="18" customHeight="1" s="1232">
      <c r="A9" s="401" t="n">
        <v>1</v>
      </c>
      <c r="B9" s="1905" t="n">
        <v>43049</v>
      </c>
      <c r="C9" s="1906" t="n">
        <v>0</v>
      </c>
      <c r="D9" s="1906" t="n">
        <v>427.5</v>
      </c>
      <c r="E9" s="1699" t="inlineStr">
        <is>
          <t>Existing</t>
        </is>
      </c>
      <c r="F9" s="1701" t="inlineStr">
        <is>
          <t>Pick N Mix</t>
        </is>
      </c>
      <c r="G9" s="1907" t="inlineStr">
        <is>
          <t>c.j.franklin1@ntlworld.com</t>
        </is>
      </c>
      <c r="H9" s="1908" t="inlineStr">
        <is>
          <t>Mr</t>
        </is>
      </c>
      <c r="I9" s="1908" t="inlineStr">
        <is>
          <t>Chris</t>
        </is>
      </c>
      <c r="J9" s="1908" t="inlineStr">
        <is>
          <t>Franklin</t>
        </is>
      </c>
      <c r="K9" s="1914" t="inlineStr">
        <is>
          <t>33</t>
        </is>
      </c>
      <c r="L9" s="1914" t="inlineStr">
        <is>
          <t>07971330910</t>
        </is>
      </c>
      <c r="M9" s="1908" t="inlineStr">
        <is>
          <t>Cv21 2hq</t>
        </is>
      </c>
      <c r="N9" s="1908" t="inlineStr">
        <is>
          <t>91</t>
        </is>
      </c>
      <c r="O9" s="1908" t="inlineStr">
        <is>
          <t>Rugby</t>
        </is>
      </c>
      <c r="P9" s="1908" t="inlineStr">
        <is>
          <t>Nikon d7200</t>
        </is>
      </c>
      <c r="Q9" s="1908" t="n"/>
      <c r="R9" s="1908" t="n"/>
      <c r="S9" s="1909" t="n"/>
    </row>
    <row r="10" ht="18" customHeight="1" s="1232">
      <c r="A10" s="401" t="n">
        <v>2</v>
      </c>
      <c r="B10" s="1905" t="n">
        <v>43077</v>
      </c>
      <c r="C10" s="1906" t="n">
        <v>0</v>
      </c>
      <c r="D10" s="1908" t="n">
        <v>475</v>
      </c>
      <c r="E10" s="1699" t="inlineStr">
        <is>
          <t>Existing</t>
        </is>
      </c>
      <c r="F10" s="1699" t="inlineStr">
        <is>
          <t>#00810</t>
        </is>
      </c>
      <c r="G10" s="1911" t="inlineStr">
        <is>
          <t xml:space="preserve">chrisjohnson305@btinternet.com </t>
        </is>
      </c>
      <c r="H10" s="1703" t="inlineStr">
        <is>
          <t>Mr</t>
        </is>
      </c>
      <c r="I10" s="1703" t="inlineStr">
        <is>
          <t>Chris</t>
        </is>
      </c>
      <c r="J10" s="1703" t="inlineStr">
        <is>
          <t>Johnson</t>
        </is>
      </c>
      <c r="K10" s="1912" t="inlineStr">
        <is>
          <t>58</t>
        </is>
      </c>
      <c r="L10" s="1912" t="inlineStr">
        <is>
          <t>07549013266</t>
        </is>
      </c>
      <c r="M10" s="1699" t="inlineStr">
        <is>
          <t>B90 1RJ</t>
        </is>
      </c>
      <c r="N10" s="1908" t="inlineStr">
        <is>
          <t>68 Lady Lane</t>
        </is>
      </c>
      <c r="O10" s="1908" t="inlineStr">
        <is>
          <t>Solihull</t>
        </is>
      </c>
      <c r="P10" s="1908" t="n"/>
      <c r="Q10" s="1908" t="n"/>
      <c r="S10" s="1909" t="n"/>
    </row>
    <row r="11" ht="18" customHeight="1" s="1232">
      <c r="A11" s="401" t="n">
        <v>3</v>
      </c>
      <c r="B11" s="1905" t="n">
        <v>43135</v>
      </c>
      <c r="C11" s="1913" t="n">
        <v>0</v>
      </c>
      <c r="D11" s="1908" t="n">
        <v>495</v>
      </c>
      <c r="E11" s="1699" t="inlineStr">
        <is>
          <t>Existing</t>
        </is>
      </c>
      <c r="F11" s="1701" t="inlineStr">
        <is>
          <t>#00901</t>
        </is>
      </c>
      <c r="G11" s="1491" t="inlineStr">
        <is>
          <t xml:space="preserve">seelypix@gmail.com </t>
        </is>
      </c>
      <c r="H11" s="1908" t="inlineStr">
        <is>
          <t>Mr</t>
        </is>
      </c>
      <c r="I11" s="1908" t="inlineStr">
        <is>
          <t>John</t>
        </is>
      </c>
      <c r="J11" s="1908" t="inlineStr">
        <is>
          <t>Seely</t>
        </is>
      </c>
      <c r="K11" s="1914" t="inlineStr">
        <is>
          <t>76</t>
        </is>
      </c>
      <c r="L11" s="1914" t="inlineStr">
        <is>
          <t>07411170250</t>
        </is>
      </c>
      <c r="M11" s="1908" t="inlineStr">
        <is>
          <t>WR10 3HT</t>
        </is>
      </c>
      <c r="N11" s="1908" t="inlineStr">
        <is>
          <t>11 Parkwood</t>
        </is>
      </c>
      <c r="O11" s="1908" t="inlineStr">
        <is>
          <t>Pershore</t>
        </is>
      </c>
      <c r="P11" s="1908" t="n"/>
      <c r="Q11" s="1908" t="n"/>
      <c r="R11" s="1908" t="n"/>
      <c r="S11" s="1909" t="n"/>
    </row>
    <row r="12" ht="18" customHeight="1" s="1232">
      <c r="A12" s="401" t="n">
        <v>4</v>
      </c>
      <c r="C12" s="1886" t="n"/>
      <c r="D12" s="1886" t="n"/>
      <c r="K12" s="1886" t="n"/>
      <c r="L12" s="1886" t="n"/>
      <c r="R12" s="1908" t="n"/>
      <c r="S12" s="1909" t="n"/>
      <c r="T12" s="1915" t="n"/>
    </row>
    <row r="13" ht="18" customHeight="1" s="1232">
      <c r="A13" s="401" t="n">
        <v>5</v>
      </c>
      <c r="B13" s="1905" t="n"/>
      <c r="C13" s="1910" t="n"/>
      <c r="D13" s="1910" t="n"/>
      <c r="E13" s="1910" t="n"/>
      <c r="F13" s="1914" t="n"/>
      <c r="G13" s="1907" t="n"/>
      <c r="H13" s="1908" t="n"/>
      <c r="I13" s="1908" t="n"/>
      <c r="J13" s="1908" t="n"/>
      <c r="K13" s="1908" t="n"/>
      <c r="L13" s="1908" t="n"/>
      <c r="M13" s="1908" t="n"/>
      <c r="N13" s="1908" t="n"/>
      <c r="O13" s="1908" t="n"/>
      <c r="P13" s="1908" t="n"/>
      <c r="Q13" s="1908" t="n"/>
      <c r="R13" s="1908" t="n"/>
      <c r="S13" s="1909" t="n"/>
    </row>
    <row r="14" ht="18" customHeight="1" s="1232">
      <c r="A14" s="401" t="n">
        <v>6</v>
      </c>
      <c r="B14" s="1905" t="n"/>
      <c r="C14" s="1908" t="n"/>
      <c r="D14" s="1908" t="n"/>
      <c r="E14" s="1908" t="n"/>
      <c r="F14" s="1914" t="n"/>
      <c r="G14" s="1907" t="n"/>
      <c r="H14" s="1908" t="n"/>
      <c r="I14" s="1908" t="n"/>
      <c r="J14" s="1908" t="n"/>
      <c r="K14" s="1914" t="n"/>
      <c r="L14" s="1914" t="n"/>
      <c r="M14" s="1908" t="n"/>
      <c r="N14" s="1908" t="n"/>
      <c r="O14" s="1908" t="n"/>
      <c r="P14" s="1908" t="n"/>
      <c r="Q14" s="1908" t="n"/>
      <c r="R14" s="1908" t="n"/>
      <c r="S14" s="1909" t="n"/>
    </row>
    <row r="15" ht="18" customHeight="1" s="1232">
      <c r="A15" s="401" t="n">
        <v>7</v>
      </c>
      <c r="B15" s="1905" t="n">
        <v>43025</v>
      </c>
      <c r="C15" s="1906" t="n">
        <v>200</v>
      </c>
      <c r="D15" s="1908" t="n">
        <v>275</v>
      </c>
      <c r="E15" s="1699" t="inlineStr">
        <is>
          <t>ELS</t>
        </is>
      </c>
      <c r="F15" s="1701" t="inlineStr">
        <is>
          <t>ELS</t>
        </is>
      </c>
      <c r="G15" s="1491" t="inlineStr">
        <is>
          <t>rwardle3@jaguarlandrover.com</t>
        </is>
      </c>
      <c r="H15" s="1699" t="inlineStr">
        <is>
          <t>Mr</t>
        </is>
      </c>
      <c r="I15" s="1699" t="inlineStr">
        <is>
          <t>Richard</t>
        </is>
      </c>
      <c r="J15" s="1699" t="inlineStr">
        <is>
          <t>Wardle</t>
        </is>
      </c>
      <c r="K15" s="1908" t="n"/>
      <c r="L15" s="1701" t="inlineStr">
        <is>
          <t>07469 038982</t>
        </is>
      </c>
      <c r="M15" s="1908" t="n"/>
      <c r="N15" s="1908" t="n"/>
      <c r="O15" s="1908" t="n"/>
      <c r="P15" s="1908" t="n"/>
      <c r="Q15" s="1910" t="n"/>
      <c r="R15" s="1908" t="n"/>
      <c r="S15" s="1909" t="n"/>
    </row>
    <row r="16" ht="18" customHeight="1" s="1232">
      <c r="A16" s="401" t="n">
        <v>8</v>
      </c>
      <c r="B16" s="1908" t="n"/>
      <c r="C16" s="1908" t="n"/>
      <c r="D16" s="1908" t="n"/>
      <c r="E16" s="1908" t="n"/>
      <c r="F16" s="1908" t="n"/>
      <c r="G16" s="1907" t="n"/>
      <c r="H16" s="1908" t="n"/>
      <c r="I16" s="1908" t="n"/>
      <c r="J16" s="1908" t="n"/>
      <c r="K16" s="1914" t="n"/>
      <c r="L16" s="1914" t="n"/>
      <c r="M16" s="1908" t="n"/>
      <c r="N16" s="1908" t="n"/>
      <c r="O16" s="1908" t="n"/>
      <c r="P16" s="1908" t="n"/>
      <c r="Q16" s="1908" t="n"/>
      <c r="R16" s="1908" t="n"/>
      <c r="S16" s="1909" t="n"/>
    </row>
    <row r="17" ht="18" customHeight="1" s="1232">
      <c r="A17" s="401" t="n">
        <v>9</v>
      </c>
      <c r="B17" s="1908" t="n"/>
      <c r="C17" s="1908" t="n"/>
      <c r="D17" s="1908" t="n"/>
      <c r="E17" s="1908" t="n"/>
      <c r="F17" s="1908" t="n"/>
      <c r="G17" s="1916" t="n"/>
      <c r="H17" s="1908" t="n"/>
      <c r="I17" s="1908" t="n"/>
      <c r="J17" s="1908" t="n"/>
      <c r="K17" s="535" t="n"/>
      <c r="L17" s="535" t="n"/>
      <c r="M17" s="1908" t="n"/>
      <c r="N17" s="1908" t="n"/>
      <c r="O17" s="1908" t="n"/>
      <c r="P17" s="1908" t="n"/>
      <c r="Q17" s="1908" t="n"/>
      <c r="R17" s="1908" t="n"/>
      <c r="S17" s="1909" t="n"/>
    </row>
    <row r="18" ht="18" customHeight="1" s="1232">
      <c r="A18" s="401" t="n">
        <v>10</v>
      </c>
      <c r="B18" s="1908" t="n"/>
      <c r="C18" s="1910" t="n"/>
      <c r="D18" s="1910" t="n"/>
      <c r="E18" s="1910" t="n"/>
      <c r="F18" s="1910" t="n"/>
      <c r="G18" s="1910" t="n"/>
      <c r="H18" s="1910" t="n"/>
      <c r="I18" s="1910" t="n"/>
      <c r="J18" s="1910" t="n"/>
      <c r="K18" s="1910" t="n"/>
      <c r="L18" s="1910" t="n"/>
      <c r="M18" s="1910" t="n"/>
      <c r="N18" s="1910" t="n"/>
      <c r="O18" s="1910" t="n"/>
      <c r="P18" s="1910" t="n"/>
      <c r="Q18" s="1908" t="n"/>
      <c r="R18" s="1908" t="n"/>
      <c r="S18" s="1909" t="n"/>
    </row>
    <row r="19" ht="18" customHeight="1" s="1232" thickBot="1">
      <c r="A19" s="401" t="n"/>
      <c r="B19" s="1905" t="n"/>
      <c r="C19" s="1908" t="n"/>
      <c r="D19" s="1908" t="n"/>
      <c r="E19" s="1908" t="n"/>
      <c r="F19" s="1914" t="n"/>
      <c r="G19" s="1907" t="n"/>
      <c r="H19" s="1908" t="n"/>
      <c r="I19" s="1908" t="n"/>
      <c r="J19" s="1908" t="n"/>
      <c r="K19" s="1908" t="n"/>
      <c r="L19" s="1908" t="n"/>
      <c r="M19" s="1908" t="n"/>
      <c r="N19" s="1908" t="n"/>
      <c r="O19" s="1908" t="n"/>
      <c r="P19" s="1908" t="n"/>
      <c r="Q19" s="1908" t="n"/>
      <c r="R19" s="1908" t="n"/>
      <c r="S19" s="1909" t="n"/>
    </row>
    <row r="20" ht="18" customHeight="1" s="1232" thickBot="1">
      <c r="A20" s="401" t="n"/>
      <c r="B20" s="1908" t="n"/>
      <c r="C20" s="1906" t="n"/>
      <c r="D20" s="1906" t="n"/>
      <c r="E20" s="1908" t="n"/>
      <c r="F20" s="1908" t="n"/>
      <c r="G20" s="1907" t="n"/>
      <c r="H20" s="1908" t="n"/>
      <c r="I20" s="1908" t="n"/>
      <c r="J20" s="1908" t="n"/>
      <c r="K20" s="1914" t="n"/>
      <c r="L20" s="1914" t="n"/>
      <c r="M20" s="1908" t="n"/>
      <c r="N20" s="1917" t="n"/>
      <c r="O20" s="1918" t="n"/>
      <c r="P20" s="1919" t="n"/>
      <c r="Q20" s="1919" t="n"/>
      <c r="R20" s="1919" t="n"/>
      <c r="S20" s="1920" t="n"/>
      <c r="T20" s="1921" t="n"/>
    </row>
    <row r="21" ht="18" customHeight="1" s="1232">
      <c r="A21" s="401" t="n"/>
      <c r="B21" s="1910" t="n"/>
      <c r="C21" s="1910" t="n"/>
      <c r="D21" s="1910" t="n"/>
      <c r="E21" s="1910" t="n"/>
      <c r="F21" s="1910" t="n"/>
      <c r="G21" s="1910" t="n"/>
      <c r="H21" s="1910" t="n"/>
      <c r="I21" s="1910" t="n"/>
      <c r="J21" s="1910" t="n"/>
      <c r="K21" s="1910" t="n"/>
      <c r="L21" s="1910" t="n"/>
      <c r="M21" s="1910" t="n"/>
      <c r="N21" s="1910" t="n"/>
      <c r="O21" s="1910" t="n"/>
      <c r="P21" s="1910" t="n"/>
      <c r="Q21" s="1910" t="n"/>
      <c r="R21" s="1910" t="n"/>
    </row>
    <row r="22" ht="18" customHeight="1" s="1232">
      <c r="A22" s="401" t="n"/>
      <c r="B22" s="1922" t="n"/>
      <c r="C22" s="1906" t="n"/>
      <c r="D22" s="1906" t="n"/>
      <c r="E22" s="1908" t="n"/>
      <c r="F22" s="1908" t="n"/>
      <c r="G22" s="1908" t="n"/>
      <c r="H22" s="1908" t="n"/>
      <c r="I22" s="1908" t="n"/>
      <c r="J22" s="1908" t="n"/>
      <c r="K22" s="535" t="n"/>
      <c r="L22" s="1908" t="n"/>
      <c r="M22" s="1908" t="n"/>
      <c r="N22" s="1908" t="n"/>
      <c r="O22" s="1908" t="n"/>
      <c r="P22" s="1908" t="n"/>
      <c r="Q22" s="1908" t="n"/>
      <c r="R22" s="1908" t="n"/>
      <c r="S22" s="1909" t="n"/>
    </row>
    <row r="23" ht="18" customHeight="1" s="1232">
      <c r="A23" s="401" t="n"/>
      <c r="B23" s="1923" t="n"/>
      <c r="C23" s="1924" t="n"/>
      <c r="D23" s="1924" t="n"/>
      <c r="E23" s="1925" t="n"/>
      <c r="F23" s="1925" t="n"/>
      <c r="G23" s="1909" t="n"/>
      <c r="H23" s="1909" t="n"/>
      <c r="I23" s="1909" t="n"/>
      <c r="J23" s="1909" t="n"/>
      <c r="K23" s="405" t="n"/>
      <c r="L23" s="1909" t="n"/>
      <c r="M23" s="1909" t="n"/>
      <c r="N23" s="1909" t="n"/>
      <c r="O23" s="1909" t="n"/>
      <c r="P23" s="1909" t="n"/>
      <c r="Q23" s="1909" t="n"/>
      <c r="R23" s="1909" t="n"/>
      <c r="S23" s="1909" t="n"/>
    </row>
    <row r="24" ht="18" customHeight="1" s="1232">
      <c r="A24" s="401" t="n"/>
      <c r="B24" s="1923" t="n"/>
      <c r="C24" s="1924" t="n"/>
      <c r="D24" s="1924" t="n"/>
      <c r="E24" s="1925" t="n"/>
      <c r="F24" s="1925" t="n"/>
      <c r="G24" s="1909" t="n"/>
      <c r="H24" s="1909" t="n"/>
      <c r="I24" s="1909" t="n"/>
      <c r="J24" s="1909" t="n"/>
      <c r="K24" s="405" t="n"/>
      <c r="L24" s="1909" t="n"/>
      <c r="M24" s="1909" t="n"/>
      <c r="N24" s="1909" t="n"/>
      <c r="O24" s="1909" t="n"/>
      <c r="P24" s="1909" t="n"/>
      <c r="Q24" s="1909" t="n"/>
      <c r="R24" s="1909" t="n"/>
      <c r="S24" s="1909" t="n"/>
    </row>
    <row r="25" ht="14.65" customHeight="1" s="1232">
      <c r="A25" s="411" t="n"/>
      <c r="B25" s="1909" t="n"/>
      <c r="C25" s="1926" t="n"/>
      <c r="D25" s="1926" t="n"/>
      <c r="E25" s="1909" t="n"/>
      <c r="F25" s="1909" t="n"/>
      <c r="G25" s="1909" t="n"/>
      <c r="H25" s="1909" t="n"/>
      <c r="I25" s="1909" t="n"/>
      <c r="J25" s="1909" t="n"/>
      <c r="K25" s="405" t="n"/>
      <c r="L25" s="405" t="n"/>
      <c r="M25" s="1909" t="n"/>
      <c r="N25" s="1909" t="n"/>
      <c r="O25" s="1909" t="n"/>
      <c r="P25" s="1909" t="n"/>
      <c r="Q25" s="1909" t="n"/>
      <c r="R25" s="1909" t="n"/>
      <c r="S25" s="1909" t="n"/>
    </row>
    <row r="26">
      <c r="B26" s="1927" t="inlineStr">
        <is>
          <t>Count</t>
        </is>
      </c>
      <c r="C26" s="1928" t="inlineStr">
        <is>
          <t>Net</t>
        </is>
      </c>
      <c r="D26" s="1928" t="inlineStr">
        <is>
          <t>Gross</t>
        </is>
      </c>
      <c r="E26" s="1927" t="inlineStr">
        <is>
          <t>Avg</t>
        </is>
      </c>
    </row>
    <row r="27">
      <c r="B27" s="415">
        <f>COUNTIF(B9:B18,"&gt;0")</f>
        <v/>
      </c>
      <c r="C27" s="1929">
        <f>SUM(C9:C26)</f>
        <v/>
      </c>
      <c r="D27" s="1887">
        <f>SUM(D9:D22)</f>
        <v/>
      </c>
      <c r="E27" s="1886">
        <f>SUM(C27+D27)/B27</f>
        <v/>
      </c>
    </row>
    <row r="30">
      <c r="C30" s="1929">
        <f>SUM(C9:C24)</f>
        <v/>
      </c>
      <c r="D30" s="1929">
        <f>SUM(D9:D24)</f>
        <v/>
      </c>
      <c r="E30" s="1886">
        <f>D30+C30</f>
        <v/>
      </c>
    </row>
    <row r="33">
      <c r="B33" s="1886" t="inlineStr">
        <is>
          <t>booking admin</t>
        </is>
      </c>
      <c r="C33" s="1887" t="n">
        <v>1.5</v>
      </c>
      <c r="D33" s="1887">
        <f>C33*B27</f>
        <v/>
      </c>
    </row>
    <row r="34">
      <c r="B34" s="1886" t="inlineStr">
        <is>
          <t>room</t>
        </is>
      </c>
      <c r="C34" s="1887" t="n">
        <v>0</v>
      </c>
      <c r="D34" s="1887">
        <f>C34*4</f>
        <v/>
      </c>
    </row>
    <row r="35">
      <c r="B35" s="1886" t="inlineStr">
        <is>
          <t>time</t>
        </is>
      </c>
      <c r="C35" s="1887" t="n">
        <v>50</v>
      </c>
      <c r="D35" s="1887">
        <f>C35*8</f>
        <v/>
      </c>
    </row>
    <row r="36">
      <c r="B36" s="1886" t="inlineStr">
        <is>
          <t>food</t>
        </is>
      </c>
      <c r="C36" s="1887" t="n">
        <v>2</v>
      </c>
      <c r="D36" s="1887" t="n">
        <v>10</v>
      </c>
    </row>
    <row r="37">
      <c r="B37" s="1886" t="inlineStr">
        <is>
          <t>Folders</t>
        </is>
      </c>
      <c r="C37" s="1887" t="n">
        <v>0</v>
      </c>
      <c r="D37" s="1887">
        <f>C37*B27</f>
        <v/>
      </c>
    </row>
    <row r="38">
      <c r="B38" s="1886" t="inlineStr">
        <is>
          <t>petrol</t>
        </is>
      </c>
      <c r="C38" s="1887" t="n">
        <v>0</v>
      </c>
      <c r="D38" s="1887">
        <f>C38*4</f>
        <v/>
      </c>
    </row>
    <row r="39">
      <c r="B39" s="1886" t="inlineStr">
        <is>
          <t>paypal</t>
        </is>
      </c>
      <c r="C39" s="417" t="n">
        <v>0.036</v>
      </c>
      <c r="D39" s="1887">
        <f>C27*C39</f>
        <v/>
      </c>
    </row>
    <row r="41">
      <c r="C41" s="1887" t="inlineStr">
        <is>
          <t>Cost</t>
        </is>
      </c>
      <c r="D41" s="1887">
        <f>SUM(D33:D40)</f>
        <v/>
      </c>
    </row>
    <row r="42">
      <c r="C42" s="1887" t="inlineStr">
        <is>
          <t>Profit</t>
        </is>
      </c>
      <c r="D42" s="1929">
        <f>C30+D30-D41</f>
        <v/>
      </c>
    </row>
  </sheetData>
  <conditionalFormatting sqref="C42:D42">
    <cfRule type="cellIs" priority="1" operator="lessThan" dxfId="1">
      <formula>0</formula>
    </cfRule>
  </conditionalFormatting>
  <hyperlinks>
    <hyperlink xmlns:r="http://schemas.openxmlformats.org/officeDocument/2006/relationships" ref="G11" r:id="rId1"/>
    <hyperlink xmlns:r="http://schemas.openxmlformats.org/officeDocument/2006/relationships" ref="G15" r:id="rId2"/>
  </hyperlinks>
  <pageMargins left="0.25" right="0.25" top="0.75" bottom="0.75" header="0.3" footer="0.3"/>
  <pageSetup orientation="landscape" paperSize="9" scale="32"/>
  <headerFooter alignWithMargins="0">
    <oddHeader>&amp;LPage &amp;P of &amp;N&amp;C&amp;"Arial,Bold"&amp;14 Solihull - Tudor Court&amp;R&amp;"Arial,Bold"&amp;18 &amp;A</oddHeader>
    <oddFooter>&amp;L&amp;F&amp;R&amp;A</oddFooter>
    <evenHeader/>
    <evenFooter/>
    <firstHeader/>
    <firstFooter/>
  </headerFooter>
</worksheet>
</file>

<file path=xl/worksheets/sheet41.xml><?xml version="1.0" encoding="utf-8"?>
<worksheet xmlns="http://schemas.openxmlformats.org/spreadsheetml/2006/main">
  <sheetPr>
    <outlinePr summaryBelow="1" summaryRight="1"/>
    <pageSetUpPr/>
  </sheetPr>
  <dimension ref="A1:C246"/>
  <sheetViews>
    <sheetView workbookViewId="0">
      <selection activeCell="A1" sqref="A1"/>
    </sheetView>
  </sheetViews>
  <sheetFormatPr baseColWidth="8" defaultRowHeight="15"/>
  <sheetData>
    <row r="1">
      <c r="A1" t="inlineStr">
        <is>
          <t>event_text</t>
        </is>
      </c>
      <c r="B1" t="inlineStr">
        <is>
          <t>canonical_product</t>
        </is>
      </c>
      <c r="C1" t="inlineStr">
        <is>
          <t>landing_page_url</t>
        </is>
      </c>
    </row>
    <row r="2">
      <c r="A2" t="inlineStr">
        <is>
          <t>1-2-1</t>
        </is>
      </c>
      <c r="B2" t="inlineStr">
        <is>
          <t>1-2-1 Single Session - 1hr (Face-to-Face)</t>
        </is>
      </c>
      <c r="C2" t="inlineStr">
        <is>
          <t>https://www.alanranger.com/private-photography-lessons</t>
        </is>
      </c>
    </row>
    <row r="3">
      <c r="A3" t="inlineStr">
        <is>
          <t>1-2-1 Balance</t>
        </is>
      </c>
      <c r="B3" t="inlineStr">
        <is>
          <t>1-2-1 Single Session - 1hr (Face-to-Face)</t>
        </is>
      </c>
      <c r="C3" t="inlineStr">
        <is>
          <t>https://www.alanranger.com/private-photography-lessons</t>
        </is>
      </c>
    </row>
    <row r="4">
      <c r="A4" t="inlineStr">
        <is>
          <t>1-2-1 F2F</t>
        </is>
      </c>
      <c r="B4" t="inlineStr">
        <is>
          <t>1-2-1 Single Session - 1hr (Face-to-Face)</t>
        </is>
      </c>
      <c r="C4" t="inlineStr">
        <is>
          <t>https://www.alanranger.com/private-photography-lessons</t>
        </is>
      </c>
    </row>
    <row r="5">
      <c r="A5" t="inlineStr">
        <is>
          <t>1-2-1 Zoom</t>
        </is>
      </c>
      <c r="B5" t="inlineStr">
        <is>
          <t>1-2-1 Single Session - 1hr Zoom</t>
        </is>
      </c>
      <c r="C5" t="inlineStr">
        <is>
          <t>https://www.alanranger.com/photography-lessons-online-121</t>
        </is>
      </c>
    </row>
    <row r="6">
      <c r="A6" t="inlineStr">
        <is>
          <t>1-2-1 lesson</t>
        </is>
      </c>
      <c r="B6" t="inlineStr">
        <is>
          <t>1-2-1 Single Session - 1hr (Face-to-Face)</t>
        </is>
      </c>
      <c r="C6" t="inlineStr">
        <is>
          <t>https://www.alanranger.com/private-photography-lessons</t>
        </is>
      </c>
    </row>
    <row r="7">
      <c r="A7" t="inlineStr">
        <is>
          <t>1-2-1 s</t>
        </is>
      </c>
      <c r="B7" t="inlineStr">
        <is>
          <t>1-2-1 Package - Zoom Multi-Session</t>
        </is>
      </c>
      <c r="C7" t="inlineStr">
        <is>
          <t>https://www.alanranger.com/photography-lessons-online-121</t>
        </is>
      </c>
    </row>
    <row r="8">
      <c r="A8" t="inlineStr">
        <is>
          <t>121</t>
        </is>
      </c>
      <c r="B8" t="inlineStr">
        <is>
          <t>1-2-1 Single Session - 1hr (Face-to-Face)</t>
        </is>
      </c>
      <c r="C8" t="inlineStr">
        <is>
          <t>https://www.alanranger.com/private-photography-lessons</t>
        </is>
      </c>
    </row>
    <row r="9">
      <c r="A9" t="inlineStr">
        <is>
          <t>15 Exams</t>
        </is>
      </c>
      <c r="B9" t="inlineStr">
        <is>
          <t>Academy - Membership / eBook / Exams (historical bundle)</t>
        </is>
      </c>
      <c r="C9" t="inlineStr">
        <is>
          <t>https://www.alanranger.com/free-online-photography-course</t>
        </is>
      </c>
    </row>
    <row r="10">
      <c r="A10" t="inlineStr">
        <is>
          <t>1hr</t>
        </is>
      </c>
      <c r="B10" t="inlineStr">
        <is>
          <t>1-2-1 Single Session - 1hr (Face-to-Face)</t>
        </is>
      </c>
      <c r="C10" t="inlineStr">
        <is>
          <t>https://www.alanranger.com/private-photography-lessons</t>
        </is>
      </c>
    </row>
    <row r="11">
      <c r="A11" t="inlineStr">
        <is>
          <t>1hr 1-2-1</t>
        </is>
      </c>
      <c r="B11" t="inlineStr">
        <is>
          <t>1-2-1 Single Session - 1hr (Face-to-Face)</t>
        </is>
      </c>
      <c r="C11" t="inlineStr">
        <is>
          <t>https://www.alanranger.com/private-photography-lessons</t>
        </is>
      </c>
    </row>
    <row r="12">
      <c r="A12" t="inlineStr">
        <is>
          <t>1hr 1-2-1 F2F</t>
        </is>
      </c>
      <c r="B12" t="inlineStr">
        <is>
          <t>1-2-1 Single Session - 1hr (Face-to-Face)</t>
        </is>
      </c>
      <c r="C12" t="inlineStr">
        <is>
          <t>https://www.alanranger.com/private-photography-lessons</t>
        </is>
      </c>
    </row>
    <row r="13">
      <c r="A13" t="inlineStr">
        <is>
          <t>1hr F2F</t>
        </is>
      </c>
      <c r="B13" t="inlineStr">
        <is>
          <t>1-2-1 Single Session - 1hr (Face-to-Face)</t>
        </is>
      </c>
      <c r="C13" t="inlineStr">
        <is>
          <t>https://www.alanranger.com/private-photography-lessons</t>
        </is>
      </c>
    </row>
    <row r="14">
      <c r="A14" t="inlineStr">
        <is>
          <t>1hr F2F 1-2-1</t>
        </is>
      </c>
      <c r="B14" t="inlineStr">
        <is>
          <t>1-2-1 Single Session - 1hr (Face-to-Face)</t>
        </is>
      </c>
      <c r="C14" t="inlineStr">
        <is>
          <t>https://www.alanranger.com/private-photography-lessons</t>
        </is>
      </c>
    </row>
    <row r="15">
      <c r="A15" t="inlineStr">
        <is>
          <t>1hr Zoom</t>
        </is>
      </c>
      <c r="B15" t="inlineStr">
        <is>
          <t>1-2-1 Single Session - 1hr Zoom</t>
        </is>
      </c>
      <c r="C15" t="inlineStr">
        <is>
          <t>https://www.alanranger.com/photography-lessons-online-121</t>
        </is>
      </c>
    </row>
    <row r="16">
      <c r="A16" t="inlineStr">
        <is>
          <t>1hrs 1-2-1</t>
        </is>
      </c>
      <c r="B16" t="inlineStr">
        <is>
          <t>1-2-1 Single Session - 1hr (Face-to-Face)</t>
        </is>
      </c>
      <c r="C16" t="inlineStr">
        <is>
          <t>https://www.alanranger.com/private-photography-lessons</t>
        </is>
      </c>
    </row>
    <row r="17">
      <c r="A17" t="inlineStr">
        <is>
          <t>2 Places Macro</t>
        </is>
      </c>
      <c r="B17" t="inlineStr">
        <is>
          <t>MACRO Photography Workshops Warwickshire - Various</t>
        </is>
      </c>
      <c r="C17" t="inlineStr">
        <is>
          <t>https://www.alanranger.com/landscape-photography-workshops</t>
        </is>
      </c>
    </row>
    <row r="18">
      <c r="A18" t="inlineStr">
        <is>
          <t>2 x Chesterton</t>
        </is>
      </c>
      <c r="B18" t="inlineStr">
        <is>
          <t>Photography Workshops CHESTERTON WINDMILL - Warwickshire</t>
        </is>
      </c>
      <c r="C18" t="inlineStr">
        <is>
          <t>https://www.alanranger.com/landscape-photography-workshops</t>
        </is>
      </c>
    </row>
    <row r="19">
      <c r="A19" t="inlineStr">
        <is>
          <t>2 x Sezincote</t>
        </is>
      </c>
      <c r="B19" t="inlineStr">
        <is>
          <t>SEZINCOTE Garden Photography Workshop - Gloucs 29 May</t>
        </is>
      </c>
      <c r="C19" t="inlineStr">
        <is>
          <t>https://www.alanranger.com/landscape-photography-workshops</t>
        </is>
      </c>
    </row>
    <row r="20">
      <c r="A20" t="inlineStr">
        <is>
          <t>2hr 1-2-1</t>
        </is>
      </c>
      <c r="B20" t="inlineStr">
        <is>
          <t>1-2-1 Single Session - 2hr (Face-to-Face)</t>
        </is>
      </c>
      <c r="C20" t="inlineStr">
        <is>
          <t>https://www.alanranger.com/private-photography-lessons</t>
        </is>
      </c>
    </row>
    <row r="21">
      <c r="A21" t="inlineStr">
        <is>
          <t>2hr F2F</t>
        </is>
      </c>
      <c r="B21" t="inlineStr">
        <is>
          <t>1-2-1 Single Session - 2hr (Face-to-Face)</t>
        </is>
      </c>
      <c r="C21" t="inlineStr">
        <is>
          <t>https://www.alanranger.com/private-photography-lessons</t>
        </is>
      </c>
    </row>
    <row r="22">
      <c r="A22" t="inlineStr">
        <is>
          <t>2hr F2F 121</t>
        </is>
      </c>
      <c r="B22" t="inlineStr">
        <is>
          <t>1-2-1 Single Session - 2hr (Face-to-Face)</t>
        </is>
      </c>
      <c r="C22" t="inlineStr">
        <is>
          <t>https://www.alanranger.com/private-photography-lessons</t>
        </is>
      </c>
    </row>
    <row r="23">
      <c r="A23" t="inlineStr">
        <is>
          <t>2hr Zoom 1-2-1</t>
        </is>
      </c>
      <c r="B23" t="inlineStr">
        <is>
          <t>1-2-1 Single Session - 1hr Zoom</t>
        </is>
      </c>
      <c r="C23" t="inlineStr">
        <is>
          <t>https://www.alanranger.com/photography-lessons-online-121</t>
        </is>
      </c>
    </row>
    <row r="24">
      <c r="A24" t="inlineStr">
        <is>
          <t>2hr f2f 1-2-1</t>
        </is>
      </c>
      <c r="B24" t="inlineStr">
        <is>
          <t>1-2-1 Single Session - 2hr (Face-to-Face)</t>
        </is>
      </c>
      <c r="C24" t="inlineStr">
        <is>
          <t>https://www.alanranger.com/private-photography-lessons</t>
        </is>
      </c>
    </row>
    <row r="25">
      <c r="A25" t="inlineStr">
        <is>
          <t>2hrs 1-2-1</t>
        </is>
      </c>
      <c r="B25" t="inlineStr">
        <is>
          <t>1-2-1 Single Session - 2hr (Face-to-Face)</t>
        </is>
      </c>
      <c r="C25" t="inlineStr">
        <is>
          <t>https://www.alanranger.com/private-photography-lessons</t>
        </is>
      </c>
    </row>
    <row r="26">
      <c r="A26" t="inlineStr">
        <is>
          <t>2hrs F-2-F</t>
        </is>
      </c>
      <c r="B26" t="inlineStr">
        <is>
          <t>1-2-1 Single Session - 2hr (Face-to-Face)</t>
        </is>
      </c>
      <c r="C26" t="inlineStr">
        <is>
          <t>https://www.alanranger.com/private-photography-lessons</t>
        </is>
      </c>
    </row>
    <row r="27">
      <c r="A27" t="inlineStr">
        <is>
          <t>2hrs F2F 1-2-1</t>
        </is>
      </c>
      <c r="B27" t="inlineStr">
        <is>
          <t>1-2-1 Single Session - 2hr (Face-to-Face)</t>
        </is>
      </c>
      <c r="C27" t="inlineStr">
        <is>
          <t>https://www.alanranger.com/private-photography-lessons</t>
        </is>
      </c>
    </row>
    <row r="28">
      <c r="A28" t="inlineStr">
        <is>
          <t>35 PDF Bundle</t>
        </is>
      </c>
      <c r="B28" t="inlineStr">
        <is>
          <t>Academy - Membership / eBook / Exams (historical bundle)</t>
        </is>
      </c>
      <c r="C28" t="inlineStr">
        <is>
          <t>https://www.alanranger.com/free-online-photography-course</t>
        </is>
      </c>
    </row>
    <row r="29">
      <c r="A29" t="inlineStr">
        <is>
          <t>3hr Location 1-2-1</t>
        </is>
      </c>
      <c r="B29" t="inlineStr">
        <is>
          <t>1-2-1 Single Session - 2hr (Face-to-Face)</t>
        </is>
      </c>
      <c r="C29" t="inlineStr">
        <is>
          <t>https://www.alanranger.com/private-photography-lessons</t>
        </is>
      </c>
    </row>
    <row r="30">
      <c r="A30" t="inlineStr">
        <is>
          <t>3wk Camera Course</t>
        </is>
      </c>
      <c r="B30" t="inlineStr">
        <is>
          <t>5 Week Beginners Photography Course (RETIRED format)</t>
        </is>
      </c>
      <c r="C30" t="inlineStr">
        <is>
          <t>https://www.alanranger.com/beginners-photography-classes</t>
        </is>
      </c>
    </row>
    <row r="31">
      <c r="A31" t="inlineStr">
        <is>
          <t>4 1hr Zooms</t>
        </is>
      </c>
      <c r="B31" t="inlineStr">
        <is>
          <t>1-2-1 Package - 4 x 1hr Zoom</t>
        </is>
      </c>
      <c r="C31" t="inlineStr">
        <is>
          <t>https://www.alanranger.com/photography-lessons-online-121</t>
        </is>
      </c>
    </row>
    <row r="32">
      <c r="A32" t="inlineStr">
        <is>
          <t>4 x 1 hr zooms</t>
        </is>
      </c>
      <c r="B32" t="inlineStr">
        <is>
          <t>1-2-1 Package - 4 x 1hr Zoom</t>
        </is>
      </c>
      <c r="C32" t="inlineStr">
        <is>
          <t>https://www.alanranger.com/photography-lessons-online-121</t>
        </is>
      </c>
    </row>
    <row r="33">
      <c r="A33" t="inlineStr">
        <is>
          <t>4 x 1hr 1-2-1</t>
        </is>
      </c>
      <c r="B33" t="inlineStr">
        <is>
          <t>1-2-1 Package - 4 x 1hr Zoom</t>
        </is>
      </c>
      <c r="C33" t="inlineStr">
        <is>
          <t>https://www.alanranger.com/photography-lessons-online-121</t>
        </is>
      </c>
    </row>
    <row r="34">
      <c r="A34" t="inlineStr">
        <is>
          <t>4 x 1hr 1-2-1s</t>
        </is>
      </c>
      <c r="B34" t="inlineStr">
        <is>
          <t>1-2-1 Package - 4 x 1hr Zoom</t>
        </is>
      </c>
      <c r="C34" t="inlineStr">
        <is>
          <t>https://www.alanranger.com/photography-lessons-online-121</t>
        </is>
      </c>
    </row>
    <row r="35">
      <c r="A35" t="inlineStr">
        <is>
          <t>4 x 1hr Zoom</t>
        </is>
      </c>
      <c r="B35" t="inlineStr">
        <is>
          <t>1-2-1 Package - 4 x 1hr Zoom</t>
        </is>
      </c>
      <c r="C35" t="inlineStr">
        <is>
          <t>https://www.alanranger.com/photography-lessons-online-121</t>
        </is>
      </c>
    </row>
    <row r="36">
      <c r="A36" t="inlineStr">
        <is>
          <t>4 x 2hr 1-2-1</t>
        </is>
      </c>
      <c r="B36" t="inlineStr">
        <is>
          <t>1-2-1 Package - 4 x 2hr Face-to-Face (the GBP360 4-for-3)</t>
        </is>
      </c>
      <c r="C36" t="inlineStr">
        <is>
          <t>https://www.alanranger.com/private-photography-lessons</t>
        </is>
      </c>
    </row>
    <row r="37">
      <c r="A37" t="inlineStr">
        <is>
          <t>4 x 2hr 1-2-1 F2F</t>
        </is>
      </c>
      <c r="B37" t="inlineStr">
        <is>
          <t>1-2-1 Package - 4 x 2hr Face-to-Face (the GBP360 4-for-3)</t>
        </is>
      </c>
      <c r="C37" t="inlineStr">
        <is>
          <t>https://www.alanranger.com/private-photography-lessons</t>
        </is>
      </c>
    </row>
    <row r="38">
      <c r="A38" t="inlineStr">
        <is>
          <t>4 x 2hr 1-2-1 Lessons</t>
        </is>
      </c>
      <c r="B38" t="inlineStr">
        <is>
          <t>1-2-1 Package - 4 x 2hr Face-to-Face (the GBP360 4-for-3)</t>
        </is>
      </c>
      <c r="C38" t="inlineStr">
        <is>
          <t>https://www.alanranger.com/private-photography-lessons</t>
        </is>
      </c>
    </row>
    <row r="39">
      <c r="A39" t="inlineStr">
        <is>
          <t>4 x 2hr 1-2-1s</t>
        </is>
      </c>
      <c r="B39" t="inlineStr">
        <is>
          <t>1-2-1 Package - 4 x 2hr Face-to-Face (the GBP360 4-for-3)</t>
        </is>
      </c>
      <c r="C39" t="inlineStr">
        <is>
          <t>https://www.alanranger.com/private-photography-lessons</t>
        </is>
      </c>
    </row>
    <row r="40">
      <c r="A40" t="inlineStr">
        <is>
          <t>4 x 2hr 121s</t>
        </is>
      </c>
      <c r="B40" t="inlineStr">
        <is>
          <t>1-2-1 Package - 4 x 2hr Face-to-Face (the GBP360 4-for-3)</t>
        </is>
      </c>
      <c r="C40" t="inlineStr">
        <is>
          <t>https://www.alanranger.com/private-photography-lessons</t>
        </is>
      </c>
    </row>
    <row r="41">
      <c r="A41" t="inlineStr">
        <is>
          <t>4 x 2hr sessions</t>
        </is>
      </c>
      <c r="B41" t="inlineStr">
        <is>
          <t>1-2-1 Package - 4 x 2hr Face-to-Face (the GBP360 4-for-3)</t>
        </is>
      </c>
      <c r="C41" t="inlineStr">
        <is>
          <t>https://www.alanranger.com/private-photography-lessons</t>
        </is>
      </c>
    </row>
    <row r="42">
      <c r="A42" t="inlineStr">
        <is>
          <t>4 x 2hrs</t>
        </is>
      </c>
      <c r="B42" t="inlineStr">
        <is>
          <t>1-2-1 Package - 4 x 2hr Face-to-Face (the GBP360 4-for-3)</t>
        </is>
      </c>
      <c r="C42" t="inlineStr">
        <is>
          <t>https://www.alanranger.com/private-photography-lessons</t>
        </is>
      </c>
    </row>
    <row r="43">
      <c r="A43" t="inlineStr">
        <is>
          <t>4 x1hr Zooms</t>
        </is>
      </c>
      <c r="B43" t="inlineStr">
        <is>
          <t>1-2-1 Package - 4 x 1hr Zoom</t>
        </is>
      </c>
      <c r="C43" t="inlineStr">
        <is>
          <t>https://www.alanranger.com/photography-lessons-online-121</t>
        </is>
      </c>
    </row>
    <row r="44">
      <c r="A44" t="inlineStr">
        <is>
          <t>4 x2hr 1-2-1s</t>
        </is>
      </c>
      <c r="B44" t="inlineStr">
        <is>
          <t>1-2-1 Package - 4 x 2hr Face-to-Face (the GBP360 4-for-3)</t>
        </is>
      </c>
      <c r="C44" t="inlineStr">
        <is>
          <t>https://www.alanranger.com/private-photography-lessons</t>
        </is>
      </c>
    </row>
    <row r="45">
      <c r="A45" t="inlineStr">
        <is>
          <t>4hrs 1-2-1</t>
        </is>
      </c>
      <c r="B45" t="inlineStr">
        <is>
          <t>1-2-1 Package - Zoom Multi-Session</t>
        </is>
      </c>
      <c r="C45" t="inlineStr">
        <is>
          <t>https://www.alanranger.com/photography-lessons-online-121</t>
        </is>
      </c>
    </row>
    <row r="46">
      <c r="A46" t="inlineStr">
        <is>
          <t>4hrs for 2 People</t>
        </is>
      </c>
      <c r="B46" t="inlineStr">
        <is>
          <t>Commission - Commercial / Product Shoot</t>
        </is>
      </c>
      <c r="C46" t="inlineStr">
        <is>
          <t>https://www.alanranger.com/professional-commercial-photographer-coventry</t>
        </is>
      </c>
    </row>
    <row r="47">
      <c r="A47" t="inlineStr">
        <is>
          <t>4x2hr 1-2-1s</t>
        </is>
      </c>
      <c r="B47" t="inlineStr">
        <is>
          <t>1-2-1 Package - 4 x 2hr Face-to-Face (the GBP360 4-for-3)</t>
        </is>
      </c>
      <c r="C47" t="inlineStr">
        <is>
          <t>https://www.alanranger.com/private-photography-lessons</t>
        </is>
      </c>
    </row>
    <row r="48">
      <c r="A48" t="inlineStr">
        <is>
          <t>4x2hr 121s</t>
        </is>
      </c>
      <c r="B48" t="inlineStr">
        <is>
          <t>1-2-1 Package - 4 x 2hr Face-to-Face (the GBP360 4-for-3)</t>
        </is>
      </c>
      <c r="C48" t="inlineStr">
        <is>
          <t>https://www.alanranger.com/private-photography-lessons</t>
        </is>
      </c>
    </row>
    <row r="49">
      <c r="A49" t="inlineStr">
        <is>
          <t>5wk Beginners</t>
        </is>
      </c>
      <c r="B49" t="inlineStr">
        <is>
          <t>5 Week Beginners Photography Course (RETIRED format)</t>
        </is>
      </c>
      <c r="C49" t="inlineStr">
        <is>
          <t>https://www.alanranger.com/beginners-photography-classes</t>
        </is>
      </c>
    </row>
    <row r="50">
      <c r="A50" t="inlineStr">
        <is>
          <t>5wk Beginners Course</t>
        </is>
      </c>
      <c r="B50" t="inlineStr">
        <is>
          <t>5 Week Beginners Photography Course (RETIRED format)</t>
        </is>
      </c>
      <c r="C50" t="inlineStr">
        <is>
          <t>https://www.alanranger.com/beginners-photography-classes</t>
        </is>
      </c>
    </row>
    <row r="51">
      <c r="A51" t="inlineStr">
        <is>
          <t>6 Zoom Lessons</t>
        </is>
      </c>
      <c r="B51" t="inlineStr">
        <is>
          <t>1-2-1 Package - Zoom Multi-Session</t>
        </is>
      </c>
      <c r="C51" t="inlineStr">
        <is>
          <t>https://www.alanranger.com/photography-lessons-online-121</t>
        </is>
      </c>
    </row>
    <row r="52">
      <c r="A52" t="inlineStr">
        <is>
          <t>6 x 1hr Zooms</t>
        </is>
      </c>
      <c r="B52" t="inlineStr">
        <is>
          <t>1-2-1 Package - 4 x 1hr Zoom</t>
        </is>
      </c>
      <c r="C52" t="inlineStr">
        <is>
          <t>https://www.alanranger.com/photography-lessons-online-121</t>
        </is>
      </c>
    </row>
    <row r="53">
      <c r="A53" t="inlineStr">
        <is>
          <t>6 x 1hr sessions</t>
        </is>
      </c>
      <c r="B53" t="inlineStr">
        <is>
          <t>1-2-1 Package - Zoom Multi-Session</t>
        </is>
      </c>
      <c r="C53" t="inlineStr">
        <is>
          <t>https://www.alanranger.com/photography-lessons-online-121</t>
        </is>
      </c>
    </row>
    <row r="54">
      <c r="A54" t="inlineStr">
        <is>
          <t>Abstract</t>
        </is>
      </c>
      <c r="B54" t="inlineStr">
        <is>
          <t>MACRO Photography Workshops Warwickshire - Various</t>
        </is>
      </c>
      <c r="C54" t="inlineStr">
        <is>
          <t>https://www.alanranger.com/landscape-photography-workshops</t>
        </is>
      </c>
    </row>
    <row r="55">
      <c r="A55" t="inlineStr">
        <is>
          <t>Abstract and Macro Photography Workshop Warw</t>
        </is>
      </c>
      <c r="B55" t="inlineStr">
        <is>
          <t>MACRO Photography Workshops Warwickshire - Various</t>
        </is>
      </c>
      <c r="C55" t="inlineStr">
        <is>
          <t>https://www.alanranger.com/landscape-photography-workshops</t>
        </is>
      </c>
    </row>
    <row r="56">
      <c r="A56" t="inlineStr">
        <is>
          <t>Abstract and Macro Photography Workshop Warwickshire</t>
        </is>
      </c>
      <c r="B56" t="inlineStr">
        <is>
          <t>MACRO Photography Workshops Warwickshire - Various</t>
        </is>
      </c>
      <c r="C56" t="inlineStr">
        <is>
          <t>https://www.alanranger.com/landscape-photography-workshops</t>
        </is>
      </c>
    </row>
    <row r="57">
      <c r="A57" t="inlineStr">
        <is>
          <t>Academby Book</t>
        </is>
      </c>
      <c r="B57" t="inlineStr">
        <is>
          <t>Academy - Membership / eBook / Exams (historical bundle)</t>
        </is>
      </c>
      <c r="C57" t="inlineStr">
        <is>
          <t>https://www.alanranger.com/free-online-photography-course</t>
        </is>
      </c>
    </row>
    <row r="58">
      <c r="A58" t="inlineStr">
        <is>
          <t>Academby Book +PDFs</t>
        </is>
      </c>
      <c r="B58" t="inlineStr">
        <is>
          <t>Academy - Membership / eBook / Exams (historical bundle)</t>
        </is>
      </c>
      <c r="C58" t="inlineStr">
        <is>
          <t>https://www.alanranger.com/free-online-photography-course</t>
        </is>
      </c>
    </row>
    <row r="59">
      <c r="A59" t="inlineStr">
        <is>
          <t>Academy</t>
        </is>
      </c>
      <c r="B59" t="inlineStr">
        <is>
          <t>Academy - Membership / eBook / Exams (historical bundle)</t>
        </is>
      </c>
      <c r="C59" t="inlineStr">
        <is>
          <t>https://www.alanranger.com/free-online-photography-course</t>
        </is>
      </c>
    </row>
    <row r="60">
      <c r="A60" t="inlineStr">
        <is>
          <t>Academy Exams</t>
        </is>
      </c>
      <c r="B60" t="inlineStr">
        <is>
          <t>Academy - Membership / eBook / Exams (historical bundle)</t>
        </is>
      </c>
      <c r="C60" t="inlineStr">
        <is>
          <t>https://www.alanranger.com/free-online-photography-course</t>
        </is>
      </c>
    </row>
    <row r="61">
      <c r="A61" t="inlineStr">
        <is>
          <t>Academy Membership</t>
        </is>
      </c>
      <c r="B61" t="inlineStr">
        <is>
          <t>Academy - Membership / eBook / Exams (historical bundle)</t>
        </is>
      </c>
      <c r="C61" t="inlineStr">
        <is>
          <t>https://www.alanranger.com/free-online-photography-course</t>
        </is>
      </c>
    </row>
    <row r="62">
      <c r="A62" t="inlineStr">
        <is>
          <t>Academy eBook</t>
        </is>
      </c>
      <c r="B62" t="inlineStr">
        <is>
          <t>Academy - Membership / eBook / Exams (historical bundle)</t>
        </is>
      </c>
      <c r="C62" t="inlineStr">
        <is>
          <t>https://www.alanranger.com/free-online-photography-course</t>
        </is>
      </c>
    </row>
    <row r="63">
      <c r="A63" t="inlineStr">
        <is>
          <t>Air BnB Shoot</t>
        </is>
      </c>
      <c r="B63" t="inlineStr">
        <is>
          <t>Commission - Commercial / Product Shoot</t>
        </is>
      </c>
      <c r="C63" t="inlineStr">
        <is>
          <t>https://www.alanranger.com/professional-commercial-photographer-coventry</t>
        </is>
      </c>
    </row>
    <row r="64">
      <c r="A64" t="inlineStr">
        <is>
          <t>Anglesey 2 places</t>
        </is>
      </c>
      <c r="B64" t="inlineStr">
        <is>
          <t>ANGLESEY Landscape Photography Workshop -  May 2027</t>
        </is>
      </c>
      <c r="C64" t="inlineStr">
        <is>
          <t>https://www.alanranger.com/photography-workshops</t>
        </is>
      </c>
    </row>
    <row r="65">
      <c r="A65" t="inlineStr">
        <is>
          <t>Annual Member</t>
        </is>
      </c>
      <c r="B65" t="inlineStr">
        <is>
          <t>Academy - Membership / eBook / Exams (historical bundle)</t>
        </is>
      </c>
      <c r="C65" t="inlineStr">
        <is>
          <t>https://www.alanranger.com/free-online-photography-course</t>
        </is>
      </c>
    </row>
    <row r="66">
      <c r="A66" t="inlineStr">
        <is>
          <t>Annual Mentoring</t>
        </is>
      </c>
      <c r="B66" t="inlineStr">
        <is>
          <t>Mentoring - Monthly Subscription</t>
        </is>
      </c>
      <c r="C66" t="inlineStr">
        <is>
          <t>https://www.alanranger.com/photography-mentoring-online-assignments</t>
        </is>
      </c>
    </row>
    <row r="67">
      <c r="A67" t="inlineStr">
        <is>
          <t>Annual PnM</t>
        </is>
      </c>
      <c r="B67" t="inlineStr">
        <is>
          <t>Pick N Mix Payment Plan</t>
        </is>
      </c>
      <c r="C67" t="inlineStr">
        <is>
          <t>https://www.alanranger.com/photography-payment-plan</t>
        </is>
      </c>
    </row>
    <row r="68">
      <c r="A68" t="inlineStr">
        <is>
          <t>Architecture</t>
        </is>
      </c>
      <c r="B68" t="inlineStr">
        <is>
          <t>URBAN ARCHITECTURE Photography Workshops - Coventry 9 Sep</t>
        </is>
      </c>
      <c r="C68" t="inlineStr">
        <is>
          <t>https://www.alanranger.com/landscape-photography-workshops</t>
        </is>
      </c>
    </row>
    <row r="69">
      <c r="A69" t="inlineStr">
        <is>
          <t>Artfully Walls</t>
        </is>
      </c>
      <c r="B69" t="inlineStr">
        <is>
          <t>Royalties &amp; Affiliate Income</t>
        </is>
      </c>
      <c r="C69" t="inlineStr">
        <is>
          <t>https://www.alanranger.com/fine-art-prints</t>
        </is>
      </c>
    </row>
    <row r="70">
      <c r="A70" t="inlineStr">
        <is>
          <t>Artwork Photography</t>
        </is>
      </c>
      <c r="B70" t="inlineStr">
        <is>
          <t>Commission - Commercial / Product Shoot</t>
        </is>
      </c>
      <c r="C70" t="inlineStr">
        <is>
          <t>https://www.alanranger.com/professional-commercial-photographer-coventry</t>
        </is>
      </c>
    </row>
    <row r="71">
      <c r="A71" t="inlineStr">
        <is>
          <t>Author Photos</t>
        </is>
      </c>
      <c r="B71" t="inlineStr">
        <is>
          <t>Commission - Commercial / Product Shoot</t>
        </is>
      </c>
      <c r="C71" t="inlineStr">
        <is>
          <t>https://www.alanranger.com/professional-commercial-photographer-coventry</t>
        </is>
      </c>
    </row>
    <row r="72">
      <c r="A72" t="inlineStr">
        <is>
          <t>Autumn Creative</t>
        </is>
      </c>
      <c r="B72" t="inlineStr">
        <is>
          <t>Commission - Commercial / Product Shoot</t>
        </is>
      </c>
      <c r="C72" t="inlineStr">
        <is>
          <t>https://www.alanranger.com/professional-commercial-photographer-coventry</t>
        </is>
      </c>
    </row>
    <row r="73">
      <c r="A73" t="inlineStr">
        <is>
          <t>BLUEBELL WOODLANDS</t>
        </is>
      </c>
      <c r="B73" t="inlineStr">
        <is>
          <t>BLUEBELL WOODLANDS Photography - Warks - 20 Apr- 30 Apr</t>
        </is>
      </c>
      <c r="C73" t="inlineStr">
        <is>
          <t>https://www.alanranger.com/one-day-landscape-photography-workshops</t>
        </is>
      </c>
    </row>
    <row r="74">
      <c r="A74" t="inlineStr">
        <is>
          <t>BURNHAM ON SEA</t>
        </is>
      </c>
      <c r="B74" t="inlineStr">
        <is>
          <t>BURNHAM ON SEA Long Exposure Photography Workshop 1 Aug</t>
        </is>
      </c>
      <c r="C74" t="inlineStr">
        <is>
          <t>https://www.alanranger.com/landscape-photography-workshops</t>
        </is>
      </c>
    </row>
    <row r="75">
      <c r="A75" t="inlineStr">
        <is>
          <t>Balance for Peak District</t>
        </is>
      </c>
      <c r="B75" t="inlineStr">
        <is>
          <t>PEAK DISTRICT Photography Workshops - May, Oct and Nov</t>
        </is>
      </c>
      <c r="C75" t="inlineStr">
        <is>
          <t>https://www.alanranger.com/one-day-landscape-photography-workshops</t>
        </is>
      </c>
    </row>
    <row r="76">
      <c r="A76" t="inlineStr">
        <is>
          <t>Batsford</t>
        </is>
      </c>
      <c r="B76" t="inlineStr">
        <is>
          <t>Gift Voucher - Digital eCard</t>
        </is>
      </c>
      <c r="C76" t="inlineStr">
        <is>
          <t>https://www.alanranger.com/photography-gift-vouchers</t>
        </is>
      </c>
    </row>
    <row r="77">
      <c r="A77" t="inlineStr">
        <is>
          <t>Batsford &amp; Chesterton</t>
        </is>
      </c>
      <c r="B77" t="inlineStr">
        <is>
          <t>BATSFORD Arboretum Autumn Photography Workshops 23 - 31 Oct</t>
        </is>
      </c>
      <c r="C77" t="inlineStr">
        <is>
          <t>https://www.alanranger.com/one-day-landscape-photography-workshops</t>
        </is>
      </c>
    </row>
    <row r="78">
      <c r="A78" t="inlineStr">
        <is>
          <t>Batsford 24 Oct</t>
        </is>
      </c>
      <c r="B78" t="inlineStr">
        <is>
          <t>BATSFORD Arboretum Autumn Photography Workshops 23 - 31 Oct</t>
        </is>
      </c>
      <c r="C78" t="inlineStr">
        <is>
          <t>https://www.alanranger.com/one-day-landscape-photography-workshops</t>
        </is>
      </c>
    </row>
    <row r="79">
      <c r="A79" t="inlineStr">
        <is>
          <t>Batsford 29 oct</t>
        </is>
      </c>
      <c r="B79" t="inlineStr">
        <is>
          <t>BATSFORD Arboretum Autumn Photography Workshops 23 - 31 Oct</t>
        </is>
      </c>
      <c r="C79" t="inlineStr">
        <is>
          <t>https://www.alanranger.com/one-day-landscape-photography-workshops</t>
        </is>
      </c>
    </row>
    <row r="80">
      <c r="A80" t="inlineStr">
        <is>
          <t>Batsford Arboretum 1-Day Autumn Photography</t>
        </is>
      </c>
      <c r="B80" t="inlineStr">
        <is>
          <t>BATSFORD Arboretum Autumn Photography Workshops 23 - 31 Oct</t>
        </is>
      </c>
      <c r="C80" t="inlineStr">
        <is>
          <t>https://www.alanranger.com/one-day-landscape-photography-workshops</t>
        </is>
      </c>
    </row>
    <row r="81">
      <c r="A81" t="inlineStr">
        <is>
          <t>Batsford Arboretum 1-Day Autumn Photography Workshop</t>
        </is>
      </c>
      <c r="B81" t="inlineStr">
        <is>
          <t>BATSFORD Arboretum Autumn Photography Workshops 23 - 31 Oct</t>
        </is>
      </c>
      <c r="C81" t="inlineStr">
        <is>
          <t>https://www.alanranger.com/one-day-landscape-photography-workshops</t>
        </is>
      </c>
    </row>
    <row r="82">
      <c r="A82" t="inlineStr">
        <is>
          <t>Batsford Arboretum Autumn Half-Day Photograp</t>
        </is>
      </c>
      <c r="B82" t="inlineStr">
        <is>
          <t>BATSFORD Arboretum Autumn Photography Workshops 23 - 31 Oct</t>
        </is>
      </c>
      <c r="C82" t="inlineStr">
        <is>
          <t>https://www.alanranger.com/one-day-landscape-photography-workshops</t>
        </is>
      </c>
    </row>
    <row r="83">
      <c r="A83" t="inlineStr">
        <is>
          <t>Batsford Arboretum Autumn Half-Day Photography Workshop</t>
        </is>
      </c>
      <c r="B83" t="inlineStr">
        <is>
          <t>BATSFORD Arboretum Autumn Photography Workshops 23 - 31 Oct</t>
        </is>
      </c>
      <c r="C83" t="inlineStr">
        <is>
          <t>https://www.alanranger.com/one-day-landscape-photography-workshops</t>
        </is>
      </c>
    </row>
    <row r="84">
      <c r="A84" t="inlineStr">
        <is>
          <t>Beginners Camera</t>
        </is>
      </c>
      <c r="B84" t="inlineStr">
        <is>
          <t>5 Week Beginners Photography Course (RETIRED format)</t>
        </is>
      </c>
      <c r="C84" t="inlineStr">
        <is>
          <t>https://www.alanranger.com/beginners-photography-classes</t>
        </is>
      </c>
    </row>
    <row r="85">
      <c r="A85" t="inlineStr">
        <is>
          <t>Beginners Course</t>
        </is>
      </c>
      <c r="B85" t="inlineStr">
        <is>
          <t>5 Week Beginners Photography Course (RETIRED format)</t>
        </is>
      </c>
      <c r="C85" t="inlineStr">
        <is>
          <t>https://www.alanranger.com/beginners-photography-classes</t>
        </is>
      </c>
    </row>
    <row r="86">
      <c r="A86" t="inlineStr">
        <is>
          <t>Biggin Hall Enquiry</t>
        </is>
      </c>
      <c r="B86" t="inlineStr">
        <is>
          <t>Commission - Commercial / Product Shoot</t>
        </is>
      </c>
      <c r="C86" t="inlineStr">
        <is>
          <t>https://www.alanranger.com/professional-commercial-photographer-coventry</t>
        </is>
      </c>
    </row>
    <row r="87">
      <c r="A87" t="inlineStr">
        <is>
          <t>Blog Post</t>
        </is>
      </c>
      <c r="B87" t="inlineStr">
        <is>
          <t>Commission - Editorial / Guest Blog / Judging</t>
        </is>
      </c>
      <c r="C87" t="inlineStr"/>
    </row>
    <row r="88">
      <c r="A88" t="inlineStr">
        <is>
          <t>Blubells</t>
        </is>
      </c>
      <c r="B88" t="inlineStr">
        <is>
          <t>BLUEBELL WOODLANDS Photography - Warks - 20 Apr- 30 Apr</t>
        </is>
      </c>
      <c r="C88" t="inlineStr">
        <is>
          <t>https://www.alanranger.com/one-day-landscape-photography-workshops</t>
        </is>
      </c>
    </row>
    <row r="89">
      <c r="A89" t="inlineStr">
        <is>
          <t>Bluebells</t>
        </is>
      </c>
      <c r="B89" t="inlineStr">
        <is>
          <t>BLUEBELL WOODLANDS Photography - Warks - 20 Apr- 30 Apr</t>
        </is>
      </c>
      <c r="C89" t="inlineStr">
        <is>
          <t>https://www.alanranger.com/one-day-landscape-photography-workshops</t>
        </is>
      </c>
    </row>
    <row r="90">
      <c r="A90" t="inlineStr">
        <is>
          <t>Burnham</t>
        </is>
      </c>
      <c r="B90" t="inlineStr">
        <is>
          <t>BURNHAM ON SEA Long Exposure Photography Workshop 1 Aug</t>
        </is>
      </c>
      <c r="C90" t="inlineStr">
        <is>
          <t>https://www.alanranger.com/landscape-photography-workshops</t>
        </is>
      </c>
    </row>
    <row r="91">
      <c r="A91" t="inlineStr">
        <is>
          <t>CHESTERTON WINDMILL</t>
        </is>
      </c>
      <c r="B91" t="inlineStr">
        <is>
          <t>Photography Workshops CHESTERTON WINDMILL - Warwickshire</t>
        </is>
      </c>
      <c r="C91" t="inlineStr">
        <is>
          <t>https://www.alanranger.com/landscape-photography-workshops</t>
        </is>
      </c>
    </row>
    <row r="92">
      <c r="A92" t="inlineStr">
        <is>
          <t>Camera Club Talk</t>
        </is>
      </c>
      <c r="B92" t="inlineStr">
        <is>
          <t>Commission - Corporate / Staff Training</t>
        </is>
      </c>
      <c r="C92" t="inlineStr">
        <is>
          <t>https://www.alanranger.com/corporate-photography-training</t>
        </is>
      </c>
    </row>
    <row r="93">
      <c r="A93" t="inlineStr">
        <is>
          <t>Camera Course</t>
        </is>
      </c>
      <c r="B93" t="inlineStr">
        <is>
          <t>Beginners Photography Course | 3 Weekly Evening Classes</t>
        </is>
      </c>
      <c r="C93" t="inlineStr">
        <is>
          <t>https://www.alanranger.com/beginners-photography-classes</t>
        </is>
      </c>
    </row>
    <row r="94">
      <c r="A94" t="inlineStr">
        <is>
          <t>Camera Course Nov</t>
        </is>
      </c>
      <c r="B94" t="inlineStr">
        <is>
          <t>5 Week Beginners Photography Course (RETIRED format)</t>
        </is>
      </c>
      <c r="C94" t="inlineStr">
        <is>
          <t>https://www.alanranger.com/beginners-photography-classes</t>
        </is>
      </c>
    </row>
    <row r="95">
      <c r="A95" t="inlineStr">
        <is>
          <t>Camera Courses For Beginners</t>
        </is>
      </c>
      <c r="B95" t="inlineStr">
        <is>
          <t>Beginners Photography Course | 3 Weekly Evening Classes</t>
        </is>
      </c>
      <c r="C95" t="inlineStr">
        <is>
          <t>https://www.alanranger.com/beginners-photography-classes</t>
        </is>
      </c>
    </row>
    <row r="96">
      <c r="A96" t="inlineStr">
        <is>
          <t>Card royalies</t>
        </is>
      </c>
      <c r="B96" t="inlineStr">
        <is>
          <t>Royalties &amp; Affiliate Income</t>
        </is>
      </c>
      <c r="C96" t="inlineStr">
        <is>
          <t>https://www.alanranger.com/fine-art-prints</t>
        </is>
      </c>
    </row>
    <row r="97">
      <c r="A97" t="inlineStr">
        <is>
          <t>Cards</t>
        </is>
      </c>
      <c r="B97" t="inlineStr">
        <is>
          <t>Print Sale - Generic (historical)</t>
        </is>
      </c>
      <c r="C97" t="inlineStr">
        <is>
          <t>https://www.alanranger.com/fine-art-prints</t>
        </is>
      </c>
    </row>
    <row r="98">
      <c r="A98" t="inlineStr">
        <is>
          <t>Chesterton</t>
        </is>
      </c>
      <c r="B98" t="inlineStr">
        <is>
          <t>Photography Workshops CHESTERTON WINDMILL - Warwickshire</t>
        </is>
      </c>
      <c r="C98" t="inlineStr">
        <is>
          <t>https://www.alanranger.com/landscape-photography-workshops</t>
        </is>
      </c>
    </row>
    <row r="99">
      <c r="A99" t="inlineStr">
        <is>
          <t>Christmas Walk</t>
        </is>
      </c>
      <c r="B99" t="inlineStr">
        <is>
          <t>Christmas Photography Seasonal Workshops | Warwickshire</t>
        </is>
      </c>
      <c r="C99" t="inlineStr">
        <is>
          <t>https://www.alanranger.com/landscape-photography-workshops</t>
        </is>
      </c>
    </row>
    <row r="100">
      <c r="A100" t="inlineStr">
        <is>
          <t>Clent Hills</t>
        </is>
      </c>
      <c r="B100" t="inlineStr">
        <is>
          <t>Non-Residential Workshop - Generic (historical)</t>
        </is>
      </c>
      <c r="C100" t="inlineStr">
        <is>
          <t>https://www.alanranger.com/landscape-photography-workshops</t>
        </is>
      </c>
    </row>
    <row r="101">
      <c r="A101" t="inlineStr">
        <is>
          <t>Consultancy</t>
        </is>
      </c>
      <c r="B101" t="inlineStr">
        <is>
          <t>Commission - Corporate / Staff Training</t>
        </is>
      </c>
      <c r="C101" t="inlineStr">
        <is>
          <t>https://www.alanranger.com/corporate-photography-training</t>
        </is>
      </c>
    </row>
    <row r="102">
      <c r="A102" t="inlineStr">
        <is>
          <t>Corporate Training</t>
        </is>
      </c>
      <c r="B102" t="inlineStr">
        <is>
          <t>Commission - Corporate / Staff Training</t>
        </is>
      </c>
      <c r="C102" t="inlineStr">
        <is>
          <t>https://www.alanranger.com/corporate-photography-training</t>
        </is>
      </c>
    </row>
    <row r="103">
      <c r="A103" t="inlineStr">
        <is>
          <t>Cov Urban</t>
        </is>
      </c>
      <c r="B103" t="inlineStr">
        <is>
          <t>URBAN ARCHITECTURE Photography Workshops - Coventry 9 Sep</t>
        </is>
      </c>
      <c r="C103" t="inlineStr">
        <is>
          <t>https://www.alanranger.com/landscape-photography-workshops</t>
        </is>
      </c>
    </row>
    <row r="104">
      <c r="A104" t="inlineStr">
        <is>
          <t>Devon</t>
        </is>
      </c>
      <c r="B104" t="inlineStr">
        <is>
          <t>Landscape Photography DEVON Workshops - Various Dates</t>
        </is>
      </c>
      <c r="C104" t="inlineStr">
        <is>
          <t>https://www.alanranger.com/photography-workshops</t>
        </is>
      </c>
    </row>
    <row r="105">
      <c r="A105" t="inlineStr">
        <is>
          <t>Digital Gidt Card</t>
        </is>
      </c>
      <c r="B105" t="inlineStr">
        <is>
          <t>Gift Voucher - Digital eCard</t>
        </is>
      </c>
      <c r="C105" t="inlineStr">
        <is>
          <t>https://www.alanranger.com/photography-gift-vouchers</t>
        </is>
      </c>
    </row>
    <row r="106">
      <c r="A106" t="inlineStr">
        <is>
          <t>Digital Gift Card</t>
        </is>
      </c>
      <c r="B106" t="inlineStr">
        <is>
          <t>Gift Voucher - Digital eCard</t>
        </is>
      </c>
      <c r="C106" t="inlineStr">
        <is>
          <t>https://www.alanranger.com/photography-gift-vouchers</t>
        </is>
      </c>
    </row>
    <row r="107">
      <c r="A107" t="inlineStr">
        <is>
          <t>Digital Voucher</t>
        </is>
      </c>
      <c r="B107" t="inlineStr">
        <is>
          <t>Gift Voucher - Digital eCard</t>
        </is>
      </c>
      <c r="C107" t="inlineStr">
        <is>
          <t>https://www.alanranger.com/photography-gift-vouchers</t>
        </is>
      </c>
    </row>
    <row r="108">
      <c r="A108" t="inlineStr">
        <is>
          <t>Digital e-Card</t>
        </is>
      </c>
      <c r="B108" t="inlineStr">
        <is>
          <t>Gift Voucher - Digital eCard</t>
        </is>
      </c>
      <c r="C108" t="inlineStr">
        <is>
          <t>https://www.alanranger.com/photography-gift-vouchers</t>
        </is>
      </c>
    </row>
    <row r="109">
      <c r="A109" t="inlineStr">
        <is>
          <t>Donation</t>
        </is>
      </c>
      <c r="B109" t="inlineStr">
        <is>
          <t>Academy - Membership / eBook / Exams (historical bundle)</t>
        </is>
      </c>
      <c r="C109" t="inlineStr">
        <is>
          <t>https://www.alanranger.com/free-online-photography-course</t>
        </is>
      </c>
    </row>
    <row r="110">
      <c r="A110" t="inlineStr">
        <is>
          <t>Dorset</t>
        </is>
      </c>
      <c r="B110" t="inlineStr">
        <is>
          <t>DORSET Landscape Photography Workshop Purbeck 25 - 27 Sep</t>
        </is>
      </c>
      <c r="C110" t="inlineStr">
        <is>
          <t>https://www.alanranger.com/photography-workshops</t>
        </is>
      </c>
    </row>
    <row r="111">
      <c r="A111" t="inlineStr">
        <is>
          <t>E-Book</t>
        </is>
      </c>
      <c r="B111" t="inlineStr">
        <is>
          <t>Academy - Membership / eBook / Exams (historical bundle)</t>
        </is>
      </c>
      <c r="C111" t="inlineStr">
        <is>
          <t>https://www.alanranger.com/free-online-photography-course</t>
        </is>
      </c>
    </row>
    <row r="112">
      <c r="A112" t="inlineStr">
        <is>
          <t>E-Book Foundation</t>
        </is>
      </c>
      <c r="B112" t="inlineStr">
        <is>
          <t>Academy - Membership / eBook / Exams (historical bundle)</t>
        </is>
      </c>
      <c r="C112" t="inlineStr">
        <is>
          <t>https://www.alanranger.com/free-online-photography-course</t>
        </is>
      </c>
    </row>
    <row r="113">
      <c r="A113" t="inlineStr">
        <is>
          <t>E-book online course</t>
        </is>
      </c>
      <c r="B113" t="inlineStr">
        <is>
          <t>Academy - Membership / eBook / Exams (historical bundle)</t>
        </is>
      </c>
      <c r="C113" t="inlineStr">
        <is>
          <t>https://www.alanranger.com/free-online-photography-course</t>
        </is>
      </c>
    </row>
    <row r="114">
      <c r="A114" t="inlineStr">
        <is>
          <t>Ebook</t>
        </is>
      </c>
      <c r="B114" t="inlineStr">
        <is>
          <t>Academy - Membership / eBook / Exams (historical bundle)</t>
        </is>
      </c>
      <c r="C114" t="inlineStr">
        <is>
          <t>https://www.alanranger.com/free-online-photography-course</t>
        </is>
      </c>
    </row>
    <row r="115">
      <c r="A115" t="inlineStr">
        <is>
          <t>Evening Urban Architecture Photography Works</t>
        </is>
      </c>
      <c r="B115" t="inlineStr">
        <is>
          <t>URBAN ARCHITECTURE Photography Workshops - Coventry 9 Sep</t>
        </is>
      </c>
      <c r="C115" t="inlineStr">
        <is>
          <t>https://www.alanranger.com/landscape-photography-workshops</t>
        </is>
      </c>
    </row>
    <row r="116">
      <c r="A116" t="inlineStr">
        <is>
          <t>Evening Urban Architecture Photography Workshop</t>
        </is>
      </c>
      <c r="B116" t="inlineStr">
        <is>
          <t>URBAN ARCHITECTURE Photography Workshops - Coventry 9 Sep</t>
        </is>
      </c>
      <c r="C116" t="inlineStr">
        <is>
          <t>https://www.alanranger.com/landscape-photography-workshops</t>
        </is>
      </c>
    </row>
    <row r="117">
      <c r="A117" t="inlineStr">
        <is>
          <t>Exams Module</t>
        </is>
      </c>
      <c r="B117" t="inlineStr">
        <is>
          <t>Academy - Membership / eBook / Exams (historical bundle)</t>
        </is>
      </c>
      <c r="C117" t="inlineStr">
        <is>
          <t>https://www.alanranger.com/free-online-photography-course</t>
        </is>
      </c>
    </row>
    <row r="118">
      <c r="A118" t="inlineStr">
        <is>
          <t>Extra Night</t>
        </is>
      </c>
      <c r="B118" t="inlineStr">
        <is>
          <t>Residential Workshop - Add-on (Extra Night/B&amp;B)</t>
        </is>
      </c>
      <c r="C118" t="inlineStr">
        <is>
          <t>https://www.alanranger.com/photography-workshops</t>
        </is>
      </c>
    </row>
    <row r="119">
      <c r="A119" t="inlineStr">
        <is>
          <t>Extra Night B&amp;B</t>
        </is>
      </c>
      <c r="B119" t="inlineStr">
        <is>
          <t>Residential Workshop - Add-on (Extra Night/B&amp;B)</t>
        </is>
      </c>
      <c r="C119" t="inlineStr">
        <is>
          <t>https://www.alanranger.com/photography-workshops</t>
        </is>
      </c>
    </row>
    <row r="120">
      <c r="A120" t="inlineStr">
        <is>
          <t>Extra night B&amp;B</t>
        </is>
      </c>
      <c r="B120" t="inlineStr">
        <is>
          <t>Residential Workshop - Add-on (Extra Night/B&amp;B)</t>
        </is>
      </c>
      <c r="C120" t="inlineStr">
        <is>
          <t>https://www.alanranger.com/photography-workshops</t>
        </is>
      </c>
    </row>
    <row r="121">
      <c r="A121" t="inlineStr">
        <is>
          <t>F2F 1-2-1</t>
        </is>
      </c>
      <c r="B121" t="inlineStr">
        <is>
          <t>1-2-1 Single Session - 2hr (Face-to-Face)</t>
        </is>
      </c>
      <c r="C121" t="inlineStr">
        <is>
          <t>https://www.alanranger.com/private-photography-lessons</t>
        </is>
      </c>
    </row>
    <row r="122">
      <c r="A122" t="inlineStr">
        <is>
          <t>Fairy Glen</t>
        </is>
      </c>
      <c r="B122" t="inlineStr">
        <is>
          <t>FAIRY GLEN and Fairy Falls Long Exposure Photography</t>
        </is>
      </c>
      <c r="C122" t="inlineStr">
        <is>
          <t>https://www.alanranger.com/landscape-photography-workshops</t>
        </is>
      </c>
    </row>
    <row r="123">
      <c r="A123" t="inlineStr">
        <is>
          <t>Fairy Glen Betws-y-Coed Photography Workshop</t>
        </is>
      </c>
      <c r="B123" t="inlineStr">
        <is>
          <t>FAIRY GLEN and Fairy Falls Long Exposure Photography</t>
        </is>
      </c>
      <c r="C123" t="inlineStr">
        <is>
          <t>https://www.alanranger.com/landscape-photography-workshops</t>
        </is>
      </c>
    </row>
    <row r="124">
      <c r="A124" t="inlineStr">
        <is>
          <t>Fairy Glen Betws-y-Coed Photography Workshop -  Wales</t>
        </is>
      </c>
      <c r="B124" t="inlineStr">
        <is>
          <t>FAIRY GLEN and Fairy Falls Long Exposure Photography</t>
        </is>
      </c>
      <c r="C124" t="inlineStr">
        <is>
          <t>https://www.alanranger.com/landscape-photography-workshops</t>
        </is>
      </c>
    </row>
    <row r="125">
      <c r="A125" t="inlineStr">
        <is>
          <t>Garden Photography</t>
        </is>
      </c>
      <c r="B125" t="inlineStr">
        <is>
          <t>The Art of GARDEN PHOTOGRAPHY  - Coventry -  May and July</t>
        </is>
      </c>
      <c r="C125" t="inlineStr">
        <is>
          <t>https://www.alanranger.com/landscape-photography-workshops</t>
        </is>
      </c>
    </row>
    <row r="126">
      <c r="A126" t="inlineStr">
        <is>
          <t>Garden Photography Workshop - Private Garden</t>
        </is>
      </c>
      <c r="B126" t="inlineStr">
        <is>
          <t>The Art of GARDEN PHOTOGRAPHY  - Coventry -  May and July</t>
        </is>
      </c>
      <c r="C126" t="inlineStr">
        <is>
          <t>https://www.alanranger.com/landscape-photography-workshops</t>
        </is>
      </c>
    </row>
    <row r="127">
      <c r="A127" t="inlineStr">
        <is>
          <t>Garden Photography Workshop - Private Garden - Coventry</t>
        </is>
      </c>
      <c r="B127" t="inlineStr">
        <is>
          <t>The Art of GARDEN PHOTOGRAPHY  - Coventry -  May and July</t>
        </is>
      </c>
      <c r="C127" t="inlineStr">
        <is>
          <t>https://www.alanranger.com/landscape-photography-workshops</t>
        </is>
      </c>
    </row>
    <row r="128">
      <c r="A128" t="inlineStr">
        <is>
          <t>Garden Workshop</t>
        </is>
      </c>
      <c r="B128" t="inlineStr">
        <is>
          <t>The Art of GARDEN PHOTOGRAPHY  - Coventry -  May and July</t>
        </is>
      </c>
      <c r="C128" t="inlineStr">
        <is>
          <t>https://www.alanranger.com/landscape-photography-workshops</t>
        </is>
      </c>
    </row>
    <row r="129">
      <c r="A129" t="inlineStr">
        <is>
          <t>Get Off Auto</t>
        </is>
      </c>
      <c r="B129" t="inlineStr">
        <is>
          <t>Get Off Auto Beginners Class (RETIRED)</t>
        </is>
      </c>
      <c r="C129" t="inlineStr">
        <is>
          <t>https://www.alanranger.com/beginners-photography-classes</t>
        </is>
      </c>
    </row>
    <row r="130">
      <c r="A130" t="inlineStr">
        <is>
          <t>Gift Voucher</t>
        </is>
      </c>
      <c r="B130" t="inlineStr">
        <is>
          <t>Gift Voucher - Digital eCard</t>
        </is>
      </c>
      <c r="C130" t="inlineStr">
        <is>
          <t>https://www.alanranger.com/photography-gift-vouchers</t>
        </is>
      </c>
    </row>
    <row r="131">
      <c r="A131" t="inlineStr">
        <is>
          <t>Gower</t>
        </is>
      </c>
      <c r="B131" t="inlineStr">
        <is>
          <t>GOWER Landscape Photography Wales - 28 Aug - 30 Aug 2026</t>
        </is>
      </c>
      <c r="C131" t="inlineStr">
        <is>
          <t>https://www.alanranger.com/photography-workshops</t>
        </is>
      </c>
    </row>
    <row r="132">
      <c r="A132" t="inlineStr">
        <is>
          <t>Guest Blog</t>
        </is>
      </c>
      <c r="B132" t="inlineStr">
        <is>
          <t>Commission - Editorial / Guest Blog / Judging</t>
        </is>
      </c>
      <c r="C132" t="inlineStr"/>
    </row>
    <row r="133">
      <c r="A133" t="inlineStr">
        <is>
          <t>Hartland</t>
        </is>
      </c>
      <c r="B133" t="inlineStr">
        <is>
          <t>Landscape Photography DEVON Workshops - Various Dates</t>
        </is>
      </c>
      <c r="C133" t="inlineStr">
        <is>
          <t>https://www.alanranger.com/photography-workshops</t>
        </is>
      </c>
    </row>
    <row r="134">
      <c r="A134" t="inlineStr">
        <is>
          <t>Hartland Double Occ</t>
        </is>
      </c>
      <c r="B134" t="inlineStr">
        <is>
          <t>Residential Workshop - Add-on (Extra Night/B&amp;B)</t>
        </is>
      </c>
      <c r="C134" t="inlineStr">
        <is>
          <t>https://www.alanranger.com/photography-workshops</t>
        </is>
      </c>
    </row>
    <row r="135">
      <c r="A135" t="inlineStr">
        <is>
          <t>Hartland Quay</t>
        </is>
      </c>
      <c r="B135" t="inlineStr">
        <is>
          <t>Landscape Photography DEVON Workshops - Various Dates</t>
        </is>
      </c>
      <c r="C135" t="inlineStr">
        <is>
          <t>https://www.alanranger.com/photography-workshops</t>
        </is>
      </c>
    </row>
    <row r="136">
      <c r="A136" t="inlineStr">
        <is>
          <t>Hay Wood</t>
        </is>
      </c>
      <c r="B136" t="inlineStr">
        <is>
          <t>Woodland Photography Walk - Warwickshire (half-day low-cost)</t>
        </is>
      </c>
      <c r="C136" t="inlineStr">
        <is>
          <t>https://www.alanranger.com/landscape-photography-workshops</t>
        </is>
      </c>
    </row>
    <row r="137">
      <c r="A137" t="inlineStr">
        <is>
          <t>Hay Woods</t>
        </is>
      </c>
      <c r="B137" t="inlineStr">
        <is>
          <t>Woodland Photography Walk - Warwickshire (half-day low-cost)</t>
        </is>
      </c>
      <c r="C137" t="inlineStr">
        <is>
          <t>https://www.alanranger.com/landscape-photography-workshops</t>
        </is>
      </c>
    </row>
    <row r="138">
      <c r="A138" t="inlineStr">
        <is>
          <t>Heathers</t>
        </is>
      </c>
      <c r="B138" t="inlineStr">
        <is>
          <t>PEAK DISTRICT HEATHER Photography Workshops - 15-16 Aug</t>
        </is>
      </c>
      <c r="C138" t="inlineStr">
        <is>
          <t>https://www.alanranger.com/landscape-photography-workshops</t>
        </is>
      </c>
    </row>
    <row r="139">
      <c r="A139" t="inlineStr">
        <is>
          <t>Judging</t>
        </is>
      </c>
      <c r="B139" t="inlineStr">
        <is>
          <t>Commission - Editorial / Guest Blog / Judging</t>
        </is>
      </c>
      <c r="C139" t="inlineStr"/>
    </row>
    <row r="140">
      <c r="A140" t="inlineStr">
        <is>
          <t>Judging Fees</t>
        </is>
      </c>
      <c r="B140" t="inlineStr">
        <is>
          <t>Commission - Editorial / Guest Blog / Judging</t>
        </is>
      </c>
      <c r="C140" t="inlineStr"/>
    </row>
    <row r="141">
      <c r="A141" t="inlineStr">
        <is>
          <t>KENILWORTH Sunset</t>
        </is>
      </c>
      <c r="B141" t="inlineStr">
        <is>
          <t>Long Exposure Photography Workshop KENILWORTH Sunset</t>
        </is>
      </c>
      <c r="C141" t="inlineStr">
        <is>
          <t>https://www.alanranger.com/landscape-photography-workshops</t>
        </is>
      </c>
    </row>
    <row r="142">
      <c r="A142" t="inlineStr">
        <is>
          <t>Kase Affiliates</t>
        </is>
      </c>
      <c r="B142" t="inlineStr">
        <is>
          <t>Royalties &amp; Affiliate Income</t>
        </is>
      </c>
      <c r="C142" t="inlineStr">
        <is>
          <t>https://www.alanranger.com/fine-art-prints</t>
        </is>
      </c>
    </row>
    <row r="143">
      <c r="A143" t="inlineStr">
        <is>
          <t>Kenilworth</t>
        </is>
      </c>
      <c r="B143" t="inlineStr">
        <is>
          <t>Long Exposure Photography Workshop KENILWORTH Sunset</t>
        </is>
      </c>
      <c r="C143" t="inlineStr">
        <is>
          <t>https://www.alanranger.com/landscape-photography-workshops</t>
        </is>
      </c>
    </row>
    <row r="144">
      <c r="A144" t="inlineStr">
        <is>
          <t>Kenilworth Castle</t>
        </is>
      </c>
      <c r="B144" t="inlineStr">
        <is>
          <t>Long Exposure Photography Workshop KENILWORTH Sunset</t>
        </is>
      </c>
      <c r="C144" t="inlineStr">
        <is>
          <t>https://www.alanranger.com/landscape-photography-workshops</t>
        </is>
      </c>
    </row>
    <row r="145">
      <c r="A145" t="inlineStr">
        <is>
          <t>Kenilworth LE</t>
        </is>
      </c>
      <c r="B145" t="inlineStr">
        <is>
          <t>Long Exposure Photography Workshop KENILWORTH Sunset</t>
        </is>
      </c>
      <c r="C145" t="inlineStr">
        <is>
          <t>https://www.alanranger.com/landscape-photography-workshops</t>
        </is>
      </c>
    </row>
    <row r="146">
      <c r="A146" t="inlineStr">
        <is>
          <t>Kirsten</t>
        </is>
      </c>
      <c r="B146" t="inlineStr">
        <is>
          <t>Pick N Mix Payment Plan</t>
        </is>
      </c>
      <c r="C146" t="inlineStr">
        <is>
          <t>https://www.alanranger.com/photography-payment-plan</t>
        </is>
      </c>
    </row>
    <row r="147">
      <c r="A147" t="inlineStr">
        <is>
          <t>LAVENDER FIELD Photography</t>
        </is>
      </c>
      <c r="B147" t="inlineStr">
        <is>
          <t>LAVENDER FIELD Photography Workshop - Gloucestershire July</t>
        </is>
      </c>
      <c r="C147" t="inlineStr">
        <is>
          <t>https://www.alanranger.com/landscape-photography-workshops</t>
        </is>
      </c>
    </row>
    <row r="148">
      <c r="A148" t="inlineStr">
        <is>
          <t>LE Kenilworth</t>
        </is>
      </c>
      <c r="B148" t="inlineStr">
        <is>
          <t>Long Exposure Photography Workshop KENILWORTH Sunset</t>
        </is>
      </c>
      <c r="C148" t="inlineStr">
        <is>
          <t>https://www.alanranger.com/landscape-photography-workshops</t>
        </is>
      </c>
    </row>
    <row r="149">
      <c r="A149" t="inlineStr">
        <is>
          <t>LR Course</t>
        </is>
      </c>
      <c r="B149" t="inlineStr">
        <is>
          <t>Lightroom Courses for Beginners Photo Editing - Coventry</t>
        </is>
      </c>
      <c r="C149" t="inlineStr">
        <is>
          <t>https://www.alanranger.com/photo-editing-course-coventry</t>
        </is>
      </c>
    </row>
    <row r="150">
      <c r="A150" t="inlineStr">
        <is>
          <t>Lake Distrct</t>
        </is>
      </c>
      <c r="B150" t="inlineStr">
        <is>
          <t>LAKE DISTRICT Photography Workshops - Jan - Mar - Sep - Nov</t>
        </is>
      </c>
      <c r="C150" t="inlineStr">
        <is>
          <t>https://www.alanranger.com/photography-workshops</t>
        </is>
      </c>
    </row>
    <row r="151">
      <c r="A151" t="inlineStr">
        <is>
          <t>Lake District</t>
        </is>
      </c>
      <c r="B151" t="inlineStr">
        <is>
          <t>LAKE DISTRICT Photography Workshops - Jan - Mar - Sep - Nov</t>
        </is>
      </c>
      <c r="C151" t="inlineStr">
        <is>
          <t>https://www.alanranger.com/photography-workshops</t>
        </is>
      </c>
    </row>
    <row r="152">
      <c r="A152" t="inlineStr">
        <is>
          <t>Lake Vyrnwy</t>
        </is>
      </c>
      <c r="B152" t="inlineStr">
        <is>
          <t>WALES Photography Workshop | Lake Vyrnwy 10-11 Oct</t>
        </is>
      </c>
      <c r="C152" t="inlineStr">
        <is>
          <t>https://www.alanranger.com/photography-workshops</t>
        </is>
      </c>
    </row>
    <row r="153">
      <c r="A153" t="inlineStr">
        <is>
          <t>Lavendar</t>
        </is>
      </c>
      <c r="B153" t="inlineStr">
        <is>
          <t>LAVENDER FIELD Photography Workshop - Gloucestershire July</t>
        </is>
      </c>
      <c r="C153" t="inlineStr">
        <is>
          <t>https://www.alanranger.com/landscape-photography-workshops</t>
        </is>
      </c>
    </row>
    <row r="154">
      <c r="A154" t="inlineStr">
        <is>
          <t>Lavender</t>
        </is>
      </c>
      <c r="B154" t="inlineStr">
        <is>
          <t>LAVENDER FIELD Photography Workshop - Gloucestershire July</t>
        </is>
      </c>
      <c r="C154" t="inlineStr">
        <is>
          <t>https://www.alanranger.com/landscape-photography-workshops</t>
        </is>
      </c>
    </row>
    <row r="155">
      <c r="A155" t="inlineStr">
        <is>
          <t>Lavender Photography Workshop Gloucestershir</t>
        </is>
      </c>
      <c r="B155" t="inlineStr">
        <is>
          <t>LAVENDER FIELD Photography Workshop - Gloucestershire July</t>
        </is>
      </c>
      <c r="C155" t="inlineStr">
        <is>
          <t>https://www.alanranger.com/landscape-photography-workshops</t>
        </is>
      </c>
    </row>
    <row r="156">
      <c r="A156" t="inlineStr">
        <is>
          <t>Lavender Photography Workshop Gloucestershire at Sunset</t>
        </is>
      </c>
      <c r="B156" t="inlineStr">
        <is>
          <t>LAVENDER FIELD Photography Workshop - Gloucestershire July</t>
        </is>
      </c>
      <c r="C156" t="inlineStr">
        <is>
          <t>https://www.alanranger.com/landscape-photography-workshops</t>
        </is>
      </c>
    </row>
    <row r="157">
      <c r="A157" t="inlineStr">
        <is>
          <t>Lightoom</t>
        </is>
      </c>
      <c r="B157" t="inlineStr">
        <is>
          <t>Lightroom Courses for Beginners Photo Editing - Coventry</t>
        </is>
      </c>
      <c r="C157" t="inlineStr">
        <is>
          <t>https://www.alanranger.com/photo-editing-course-coventry</t>
        </is>
      </c>
    </row>
    <row r="158">
      <c r="A158" t="inlineStr">
        <is>
          <t>Lightroom Course</t>
        </is>
      </c>
      <c r="B158" t="inlineStr">
        <is>
          <t>Lightroom Courses for Beginners Photo Editing - Coventry</t>
        </is>
      </c>
      <c r="C158" t="inlineStr">
        <is>
          <t>https://www.alanranger.com/photo-editing-course-coventry</t>
        </is>
      </c>
    </row>
    <row r="159">
      <c r="A159" t="inlineStr">
        <is>
          <t>Long Exposure Photography Workshop - Burnham</t>
        </is>
      </c>
      <c r="B159" t="inlineStr">
        <is>
          <t>BURNHAM ON SEA Long Exposure Photography Workshop 1 Aug</t>
        </is>
      </c>
      <c r="C159" t="inlineStr">
        <is>
          <t>https://www.alanranger.com/landscape-photography-workshops</t>
        </is>
      </c>
    </row>
    <row r="160">
      <c r="A160" t="inlineStr">
        <is>
          <t>Long Exposure Photography Workshop - Burnham on Sea Sunset</t>
        </is>
      </c>
      <c r="B160" t="inlineStr">
        <is>
          <t>BURNHAM ON SEA Long Exposure Photography Workshop 1 Aug</t>
        </is>
      </c>
      <c r="C160" t="inlineStr">
        <is>
          <t>https://www.alanranger.com/landscape-photography-workshops</t>
        </is>
      </c>
    </row>
    <row r="161">
      <c r="A161" t="inlineStr">
        <is>
          <t>Long Exposure Photography Workshop - Sunset</t>
        </is>
      </c>
      <c r="B161" t="inlineStr">
        <is>
          <t>Long Exposure Photography Workshop KENILWORTH Sunset</t>
        </is>
      </c>
      <c r="C161" t="inlineStr">
        <is>
          <t>https://www.alanranger.com/landscape-photography-workshops</t>
        </is>
      </c>
    </row>
    <row r="162">
      <c r="A162" t="inlineStr">
        <is>
          <t>Long Exposure Photography Workshop - Sunset - Kenilworth</t>
        </is>
      </c>
      <c r="B162" t="inlineStr">
        <is>
          <t>Long Exposure Photography Workshop KENILWORTH Sunset</t>
        </is>
      </c>
      <c r="C162" t="inlineStr">
        <is>
          <t>https://www.alanranger.com/landscape-photography-workshops</t>
        </is>
      </c>
    </row>
    <row r="163">
      <c r="A163" t="inlineStr">
        <is>
          <t>Macro</t>
        </is>
      </c>
      <c r="B163" t="inlineStr">
        <is>
          <t>MACRO Photography Workshops Warwickshire - Various</t>
        </is>
      </c>
      <c r="C163" t="inlineStr">
        <is>
          <t>https://www.alanranger.com/landscape-photography-workshops</t>
        </is>
      </c>
    </row>
    <row r="164">
      <c r="A164" t="inlineStr">
        <is>
          <t>Macro Workshop</t>
        </is>
      </c>
      <c r="B164" t="inlineStr">
        <is>
          <t>MACRO Photography Workshops Warwickshire - Various</t>
        </is>
      </c>
      <c r="C164" t="inlineStr">
        <is>
          <t>https://www.alanranger.com/landscape-photography-workshops</t>
        </is>
      </c>
    </row>
    <row r="165">
      <c r="A165" t="inlineStr">
        <is>
          <t>Mentoring</t>
        </is>
      </c>
      <c r="B165" t="inlineStr">
        <is>
          <t>Mentoring - Monthly Subscription</t>
        </is>
      </c>
      <c r="C165" t="inlineStr">
        <is>
          <t>https://www.alanranger.com/photography-mentoring-online-assignments</t>
        </is>
      </c>
    </row>
    <row r="166">
      <c r="A166" t="inlineStr">
        <is>
          <t>Mentoring RPS</t>
        </is>
      </c>
      <c r="B166" t="inlineStr">
        <is>
          <t>RPS Mentoring Course (historical)</t>
        </is>
      </c>
      <c r="C166" t="inlineStr">
        <is>
          <t>https://www.alanranger.com/rps-courses-mentoring-distinctions</t>
        </is>
      </c>
    </row>
    <row r="167">
      <c r="A167" t="inlineStr">
        <is>
          <t>Mentoring Subs</t>
        </is>
      </c>
      <c r="B167" t="inlineStr">
        <is>
          <t>Mentoring - Monthly Subscription</t>
        </is>
      </c>
      <c r="C167" t="inlineStr">
        <is>
          <t>https://www.alanranger.com/photography-mentoring-online-assignments</t>
        </is>
      </c>
    </row>
    <row r="168">
      <c r="A168" t="inlineStr">
        <is>
          <t>Monthly Mentoring</t>
        </is>
      </c>
      <c r="B168" t="inlineStr">
        <is>
          <t>Mentoring - Monthly Subscription</t>
        </is>
      </c>
      <c r="C168" t="inlineStr">
        <is>
          <t>https://www.alanranger.com/photography-mentoring-online-assignments</t>
        </is>
      </c>
    </row>
    <row r="169">
      <c r="A169" t="inlineStr">
        <is>
          <t>Norfolk</t>
        </is>
      </c>
      <c r="B169" t="inlineStr">
        <is>
          <t>Landscape Photography Workshop NORFOLK - Coastal 20 - 22 Nov</t>
        </is>
      </c>
      <c r="C169" t="inlineStr">
        <is>
          <t>https://www.alanranger.com/photography-workshops</t>
        </is>
      </c>
    </row>
    <row r="170">
      <c r="A170" t="inlineStr">
        <is>
          <t>Norfolk extra night</t>
        </is>
      </c>
      <c r="B170" t="inlineStr">
        <is>
          <t>Residential Workshop - Add-on (Extra Night/B&amp;B)</t>
        </is>
      </c>
      <c r="C170" t="inlineStr">
        <is>
          <t>https://www.alanranger.com/photography-workshops</t>
        </is>
      </c>
    </row>
    <row r="171">
      <c r="A171" t="inlineStr">
        <is>
          <t>Norfolk-Suffolk</t>
        </is>
      </c>
      <c r="B171" t="inlineStr">
        <is>
          <t>Commission - Commercial / Product Shoot</t>
        </is>
      </c>
      <c r="C171" t="inlineStr">
        <is>
          <t>https://www.alanranger.com/professional-commercial-photographer-coventry</t>
        </is>
      </c>
    </row>
    <row r="172">
      <c r="A172" t="inlineStr">
        <is>
          <t>Northumberland</t>
        </is>
      </c>
      <c r="B172" t="inlineStr">
        <is>
          <t>NORTHUMBERLAND Photography Workshops - Mar 18 - 21</t>
        </is>
      </c>
      <c r="C172" t="inlineStr">
        <is>
          <t>https://www.alanranger.com/photography-workshops</t>
        </is>
      </c>
    </row>
    <row r="173">
      <c r="A173" t="inlineStr">
        <is>
          <t>Northumbria</t>
        </is>
      </c>
      <c r="B173" t="inlineStr">
        <is>
          <t>NORTHUMBERLAND Photography Workshops - Mar 18 - 21</t>
        </is>
      </c>
      <c r="C173" t="inlineStr">
        <is>
          <t>https://www.alanranger.com/photography-workshops</t>
        </is>
      </c>
    </row>
    <row r="174">
      <c r="A174" t="inlineStr">
        <is>
          <t>On Location</t>
        </is>
      </c>
      <c r="B174" t="inlineStr">
        <is>
          <t>Commission - Commercial / Product Shoot</t>
        </is>
      </c>
      <c r="C174" t="inlineStr">
        <is>
          <t>https://www.alanranger.com/professional-commercial-photographer-coventry</t>
        </is>
      </c>
    </row>
    <row r="175">
      <c r="A175" t="inlineStr">
        <is>
          <t>PWA Training</t>
        </is>
      </c>
      <c r="B175" t="inlineStr">
        <is>
          <t>Commission - Corporate / Staff Training</t>
        </is>
      </c>
      <c r="C175" t="inlineStr">
        <is>
          <t>https://www.alanranger.com/corporate-photography-training</t>
        </is>
      </c>
    </row>
    <row r="176">
      <c r="A176" t="inlineStr">
        <is>
          <t>Padley</t>
        </is>
      </c>
      <c r="B176" t="inlineStr">
        <is>
          <t>PEAK DISTRICT Photography Workshops - May, Oct and Nov</t>
        </is>
      </c>
      <c r="C176" t="inlineStr">
        <is>
          <t>https://www.alanranger.com/one-day-landscape-photography-workshops</t>
        </is>
      </c>
    </row>
    <row r="177">
      <c r="A177" t="inlineStr">
        <is>
          <t>Peak District</t>
        </is>
      </c>
      <c r="B177" t="inlineStr">
        <is>
          <t>PEAK DISTRICT Photography Workshops - May, Oct and Nov</t>
        </is>
      </c>
      <c r="C177" t="inlineStr">
        <is>
          <t>https://www.alanranger.com/one-day-landscape-photography-workshops</t>
        </is>
      </c>
    </row>
    <row r="178">
      <c r="A178" t="inlineStr">
        <is>
          <t>Peak District May 2025</t>
        </is>
      </c>
      <c r="B178" t="inlineStr">
        <is>
          <t>PEAK DISTRICT Photography Workshops - May, Oct and Nov</t>
        </is>
      </c>
      <c r="C178" t="inlineStr">
        <is>
          <t>https://www.alanranger.com/one-day-landscape-photography-workshops</t>
        </is>
      </c>
    </row>
    <row r="179">
      <c r="A179" t="inlineStr">
        <is>
          <t>Peak District Oct</t>
        </is>
      </c>
      <c r="B179" t="inlineStr">
        <is>
          <t>PEAK DISTRICT Photography Workshops - May, Oct and Nov</t>
        </is>
      </c>
      <c r="C179" t="inlineStr">
        <is>
          <t>https://www.alanranger.com/one-day-landscape-photography-workshops</t>
        </is>
      </c>
    </row>
    <row r="180">
      <c r="A180" t="inlineStr">
        <is>
          <t>Peak District Photography Workshops - Heathe</t>
        </is>
      </c>
      <c r="B180" t="inlineStr">
        <is>
          <t>PEAK DISTRICT HEATHER Photography Workshops - 15-16 Aug</t>
        </is>
      </c>
      <c r="C180" t="inlineStr">
        <is>
          <t>https://www.alanranger.com/landscape-photography-workshops</t>
        </is>
      </c>
    </row>
    <row r="181">
      <c r="A181" t="inlineStr">
        <is>
          <t>Peak District Photography Workshops - Heathers</t>
        </is>
      </c>
      <c r="B181" t="inlineStr">
        <is>
          <t>PEAK DISTRICT HEATHER Photography Workshops - 15-16 Aug</t>
        </is>
      </c>
      <c r="C181" t="inlineStr">
        <is>
          <t>https://www.alanranger.com/landscape-photography-workshops</t>
        </is>
      </c>
    </row>
    <row r="182">
      <c r="A182" t="inlineStr">
        <is>
          <t>Peak District Photography Workshops Padley G</t>
        </is>
      </c>
      <c r="B182" t="inlineStr">
        <is>
          <t>PEAK DISTRICT Photography Workshops - May, Oct and Nov</t>
        </is>
      </c>
      <c r="C182" t="inlineStr">
        <is>
          <t>https://www.alanranger.com/one-day-landscape-photography-workshops</t>
        </is>
      </c>
    </row>
    <row r="183">
      <c r="A183" t="inlineStr">
        <is>
          <t>Peak District Photography Workshops Padley Gorge</t>
        </is>
      </c>
      <c r="B183" t="inlineStr">
        <is>
          <t>PEAK DISTRICT Photography Workshops - May, Oct and Nov</t>
        </is>
      </c>
      <c r="C183" t="inlineStr">
        <is>
          <t>https://www.alanranger.com/one-day-landscape-photography-workshops</t>
        </is>
      </c>
    </row>
    <row r="184">
      <c r="A184" t="inlineStr">
        <is>
          <t>Photo Editing</t>
        </is>
      </c>
      <c r="B184" t="inlineStr">
        <is>
          <t>Commission - Editorial / Guest Blog / Judging</t>
        </is>
      </c>
      <c r="C184" t="inlineStr"/>
    </row>
    <row r="185">
      <c r="A185" t="inlineStr">
        <is>
          <t>Photo Editing Classes - Lightroom Classic</t>
        </is>
      </c>
      <c r="B185" t="inlineStr">
        <is>
          <t>Lightroom Courses for Beginners Photo Editing - Coventry</t>
        </is>
      </c>
      <c r="C185" t="inlineStr">
        <is>
          <t>https://www.alanranger.com/photo-editing-course-coventry</t>
        </is>
      </c>
    </row>
    <row r="186">
      <c r="A186" t="inlineStr">
        <is>
          <t>Photo shoot sculpture</t>
        </is>
      </c>
      <c r="B186" t="inlineStr">
        <is>
          <t>Commission - Commercial / Product Shoot</t>
        </is>
      </c>
      <c r="C186" t="inlineStr">
        <is>
          <t>https://www.alanranger.com/professional-commercial-photographer-coventry</t>
        </is>
      </c>
    </row>
    <row r="187">
      <c r="A187" t="inlineStr">
        <is>
          <t>Photography Lessons - Private 1-2-1 (1HR)</t>
        </is>
      </c>
      <c r="B187" t="inlineStr">
        <is>
          <t>1-2-1 Single Session - 1hr (Face-to-Face)</t>
        </is>
      </c>
      <c r="C187" t="inlineStr">
        <is>
          <t>https://www.alanranger.com/private-photography-lessons</t>
        </is>
      </c>
    </row>
    <row r="188">
      <c r="A188" t="inlineStr">
        <is>
          <t>Photography Lessons - Private 1-2-1 (2hr)</t>
        </is>
      </c>
      <c r="B188" t="inlineStr">
        <is>
          <t>1-2-1 Single Session - 2hr (Face-to-Face)</t>
        </is>
      </c>
      <c r="C188" t="inlineStr">
        <is>
          <t>https://www.alanranger.com/private-photography-lessons</t>
        </is>
      </c>
    </row>
    <row r="189">
      <c r="A189" t="inlineStr">
        <is>
          <t>Photography Mentoring for Qualification</t>
        </is>
      </c>
      <c r="B189" t="inlineStr">
        <is>
          <t>RPS Mentoring Course (historical)</t>
        </is>
      </c>
      <c r="C189" t="inlineStr">
        <is>
          <t>https://www.alanranger.com/rps-courses-mentoring-distinctions</t>
        </is>
      </c>
    </row>
    <row r="190">
      <c r="A190" t="inlineStr">
        <is>
          <t>Pick N Mix Payments</t>
        </is>
      </c>
      <c r="B190" t="inlineStr">
        <is>
          <t>Pick N Mix Payment Plan</t>
        </is>
      </c>
      <c r="C190" t="inlineStr">
        <is>
          <t>https://www.alanranger.com/photography-payment-plan</t>
        </is>
      </c>
    </row>
    <row r="191">
      <c r="A191" t="inlineStr">
        <is>
          <t>PnM Balance</t>
        </is>
      </c>
      <c r="B191" t="inlineStr">
        <is>
          <t>Pick N Mix Payment Plan</t>
        </is>
      </c>
      <c r="C191" t="inlineStr">
        <is>
          <t>https://www.alanranger.com/photography-payment-plan</t>
        </is>
      </c>
    </row>
    <row r="192">
      <c r="A192" t="inlineStr">
        <is>
          <t>Pocket Guides</t>
        </is>
      </c>
      <c r="B192" t="inlineStr">
        <is>
          <t>Print Sale - Generic (historical)</t>
        </is>
      </c>
      <c r="C192" t="inlineStr">
        <is>
          <t>https://www.alanranger.com/fine-art-prints</t>
        </is>
      </c>
    </row>
    <row r="193">
      <c r="A193" t="inlineStr">
        <is>
          <t>Poppies</t>
        </is>
      </c>
      <c r="B193" t="inlineStr">
        <is>
          <t>Poppy Fields Photography Workshops | Worcestershire</t>
        </is>
      </c>
      <c r="C193" t="inlineStr">
        <is>
          <t>https://www.alanranger.com/landscape-photography-workshops</t>
        </is>
      </c>
    </row>
    <row r="194">
      <c r="A194" t="inlineStr">
        <is>
          <t>Portrait Shoot</t>
        </is>
      </c>
      <c r="B194" t="inlineStr">
        <is>
          <t>Commission - Commercial / Product Shoot</t>
        </is>
      </c>
      <c r="C194" t="inlineStr">
        <is>
          <t>https://www.alanranger.com/professional-commercial-photographer-coventry</t>
        </is>
      </c>
    </row>
    <row r="195">
      <c r="A195" t="inlineStr">
        <is>
          <t>Print Sale</t>
        </is>
      </c>
      <c r="B195" t="inlineStr">
        <is>
          <t>Print Sale - Generic (historical)</t>
        </is>
      </c>
      <c r="C195" t="inlineStr">
        <is>
          <t>https://www.alanranger.com/fine-art-prints</t>
        </is>
      </c>
    </row>
    <row r="196">
      <c r="A196" t="inlineStr">
        <is>
          <t>Print Sales</t>
        </is>
      </c>
      <c r="B196" t="inlineStr">
        <is>
          <t>Print Sale - Generic (historical)</t>
        </is>
      </c>
      <c r="C196" t="inlineStr">
        <is>
          <t>https://www.alanranger.com/fine-art-prints</t>
        </is>
      </c>
    </row>
    <row r="197">
      <c r="A197" t="inlineStr">
        <is>
          <t>Print royalties</t>
        </is>
      </c>
      <c r="B197" t="inlineStr">
        <is>
          <t>Royalties &amp; Affiliate Income</t>
        </is>
      </c>
      <c r="C197" t="inlineStr">
        <is>
          <t>https://www.alanranger.com/fine-art-prints</t>
        </is>
      </c>
    </row>
    <row r="198">
      <c r="A198" t="inlineStr">
        <is>
          <t>Print sales</t>
        </is>
      </c>
      <c r="B198" t="inlineStr">
        <is>
          <t>Print Sale - Generic (historical)</t>
        </is>
      </c>
      <c r="C198" t="inlineStr">
        <is>
          <t>https://www.alanranger.com/fine-art-prints</t>
        </is>
      </c>
    </row>
    <row r="199">
      <c r="A199" t="inlineStr">
        <is>
          <t>Prints</t>
        </is>
      </c>
      <c r="B199" t="inlineStr">
        <is>
          <t>Print Sale - Generic (historical)</t>
        </is>
      </c>
      <c r="C199" t="inlineStr">
        <is>
          <t>https://www.alanranger.com/fine-art-prints</t>
        </is>
      </c>
    </row>
    <row r="200">
      <c r="A200" t="inlineStr">
        <is>
          <t>Product Shoot</t>
        </is>
      </c>
      <c r="B200" t="inlineStr">
        <is>
          <t>Commission - Commercial / Product Shoot</t>
        </is>
      </c>
      <c r="C200" t="inlineStr">
        <is>
          <t>https://www.alanranger.com/professional-commercial-photographer-coventry</t>
        </is>
      </c>
    </row>
    <row r="201">
      <c r="A201" t="inlineStr">
        <is>
          <t>RPS</t>
        </is>
      </c>
      <c r="B201" t="inlineStr">
        <is>
          <t>RPS Mentoring Course (historical)</t>
        </is>
      </c>
      <c r="C201" t="inlineStr">
        <is>
          <t>https://www.alanranger.com/rps-courses-mentoring-distinctions</t>
        </is>
      </c>
    </row>
    <row r="202">
      <c r="A202" t="inlineStr">
        <is>
          <t>RPS Course</t>
        </is>
      </c>
      <c r="B202" t="inlineStr">
        <is>
          <t>RPS Mentoring Course (historical)</t>
        </is>
      </c>
      <c r="C202" t="inlineStr">
        <is>
          <t>https://www.alanranger.com/rps-courses-mentoring-distinctions</t>
        </is>
      </c>
    </row>
    <row r="203">
      <c r="A203" t="inlineStr">
        <is>
          <t>RPS Ext Course</t>
        </is>
      </c>
      <c r="B203" t="inlineStr">
        <is>
          <t>RPS Mentoring Course (historical)</t>
        </is>
      </c>
      <c r="C203" t="inlineStr">
        <is>
          <t>https://www.alanranger.com/rps-courses-mentoring-distinctions</t>
        </is>
      </c>
    </row>
    <row r="204">
      <c r="A204" t="inlineStr">
        <is>
          <t>Royalties</t>
        </is>
      </c>
      <c r="B204" t="inlineStr">
        <is>
          <t>Royalties &amp; Affiliate Income</t>
        </is>
      </c>
      <c r="C204" t="inlineStr">
        <is>
          <t>https://www.alanranger.com/fine-art-prints</t>
        </is>
      </c>
    </row>
    <row r="205">
      <c r="A205" t="inlineStr">
        <is>
          <t>Royalty</t>
        </is>
      </c>
      <c r="B205" t="inlineStr">
        <is>
          <t>Royalties &amp; Affiliate Income</t>
        </is>
      </c>
      <c r="C205" t="inlineStr">
        <is>
          <t>https://www.alanranger.com/fine-art-prints</t>
        </is>
      </c>
    </row>
    <row r="206">
      <c r="A206" t="inlineStr">
        <is>
          <t>Screfix Job</t>
        </is>
      </c>
      <c r="B206" t="inlineStr">
        <is>
          <t>Commission - Commercial / Product Shoot</t>
        </is>
      </c>
      <c r="C206" t="inlineStr">
        <is>
          <t>https://www.alanranger.com/professional-commercial-photographer-coventry</t>
        </is>
      </c>
    </row>
    <row r="207">
      <c r="A207" t="inlineStr">
        <is>
          <t>Secrets of Woodlands</t>
        </is>
      </c>
      <c r="B207" t="inlineStr">
        <is>
          <t>The Secret of WOODLAND PHOTOGRAPHY- 1-Day Jan, Apr, Aug, Oct</t>
        </is>
      </c>
      <c r="C207" t="inlineStr">
        <is>
          <t>https://www.alanranger.com/one-day-landscape-photography-workshops</t>
        </is>
      </c>
    </row>
    <row r="208">
      <c r="A208" t="inlineStr">
        <is>
          <t>Sensor Clean</t>
        </is>
      </c>
      <c r="B208" t="inlineStr">
        <is>
          <t>Sensor Clean Service (historical)</t>
        </is>
      </c>
      <c r="C208" t="inlineStr">
        <is>
          <t>https://www.alanranger.com/photography-shop-services</t>
        </is>
      </c>
    </row>
    <row r="209">
      <c r="A209" t="inlineStr">
        <is>
          <t>Sensor Clean x 3</t>
        </is>
      </c>
      <c r="B209" t="inlineStr">
        <is>
          <t>Sensor Clean Service (historical)</t>
        </is>
      </c>
      <c r="C209" t="inlineStr">
        <is>
          <t>https://www.alanranger.com/photography-shop-services</t>
        </is>
      </c>
    </row>
    <row r="210">
      <c r="A210" t="inlineStr">
        <is>
          <t>Sezincote</t>
        </is>
      </c>
      <c r="B210" t="inlineStr">
        <is>
          <t>SEZINCOTE Garden Photography Workshop - Gloucs 29 May</t>
        </is>
      </c>
      <c r="C210" t="inlineStr">
        <is>
          <t>https://www.alanranger.com/landscape-photography-workshops</t>
        </is>
      </c>
    </row>
    <row r="211">
      <c r="A211" t="inlineStr">
        <is>
          <t>Sezincote Garden Photography - Mughal palace</t>
        </is>
      </c>
      <c r="B211" t="inlineStr">
        <is>
          <t>SEZINCOTE Garden Photography Workshop - Gloucs 29 May</t>
        </is>
      </c>
      <c r="C211" t="inlineStr">
        <is>
          <t>https://www.alanranger.com/landscape-photography-workshops</t>
        </is>
      </c>
    </row>
    <row r="212">
      <c r="A212" t="inlineStr">
        <is>
          <t>Sezincote Garden Photography - Mughal palace in Cotswolds</t>
        </is>
      </c>
      <c r="B212" t="inlineStr">
        <is>
          <t>SEZINCOTE Garden Photography Workshop - Gloucs 29 May</t>
        </is>
      </c>
      <c r="C212" t="inlineStr">
        <is>
          <t>https://www.alanranger.com/landscape-photography-workshops</t>
        </is>
      </c>
    </row>
    <row r="213">
      <c r="A213" t="inlineStr">
        <is>
          <t>Snowdonia</t>
        </is>
      </c>
      <c r="B213" t="inlineStr">
        <is>
          <t>Landscape Photography SNOWDONIA - Sat 26 - Sun 27 Sep 2026</t>
        </is>
      </c>
      <c r="C213" t="inlineStr">
        <is>
          <t>https://www.alanranger.com/photography-workshops</t>
        </is>
      </c>
    </row>
    <row r="214">
      <c r="A214" t="inlineStr">
        <is>
          <t>Staff Training</t>
        </is>
      </c>
      <c r="B214" t="inlineStr">
        <is>
          <t>Commission - Corporate / Staff Training</t>
        </is>
      </c>
      <c r="C214" t="inlineStr">
        <is>
          <t>https://www.alanranger.com/corporate-photography-training</t>
        </is>
      </c>
    </row>
    <row r="215">
      <c r="A215" t="inlineStr">
        <is>
          <t>Stratford</t>
        </is>
      </c>
      <c r="B215" t="inlineStr">
        <is>
          <t>Non-Residential Workshop - Generic (historical)</t>
        </is>
      </c>
      <c r="C215" t="inlineStr">
        <is>
          <t>https://www.alanranger.com/landscape-photography-workshops</t>
        </is>
      </c>
    </row>
    <row r="216">
      <c r="A216" t="inlineStr">
        <is>
          <t>Sunset Photographic Workshop - Chesterton Wi</t>
        </is>
      </c>
      <c r="B216" t="inlineStr">
        <is>
          <t>Photography Workshops CHESTERTON WINDMILL - Warwickshire</t>
        </is>
      </c>
      <c r="C216" t="inlineStr">
        <is>
          <t>https://www.alanranger.com/landscape-photography-workshops</t>
        </is>
      </c>
    </row>
    <row r="217">
      <c r="A217" t="inlineStr">
        <is>
          <t>Sunset Photographic Workshop - Chesterton Windmill</t>
        </is>
      </c>
      <c r="B217" t="inlineStr">
        <is>
          <t>Photography Workshops CHESTERTON WINDMILL - Warwickshire</t>
        </is>
      </c>
      <c r="C217" t="inlineStr">
        <is>
          <t>https://www.alanranger.com/landscape-photography-workshops</t>
        </is>
      </c>
    </row>
    <row r="218">
      <c r="A218" t="inlineStr">
        <is>
          <t>The Secrets of Woodland Photography - 1-Day</t>
        </is>
      </c>
      <c r="B218" t="inlineStr">
        <is>
          <t>The Secret of WOODLAND PHOTOGRAPHY- 1-Day Jan, Apr, Aug, Oct</t>
        </is>
      </c>
      <c r="C218" t="inlineStr">
        <is>
          <t>https://www.alanranger.com/one-day-landscape-photography-workshops</t>
        </is>
      </c>
    </row>
    <row r="219">
      <c r="A219" t="inlineStr">
        <is>
          <t>The Secrets of Woodland Photography - 1-Day Masterclass</t>
        </is>
      </c>
      <c r="B219" t="inlineStr">
        <is>
          <t>The Secret of WOODLAND PHOTOGRAPHY- 1-Day Jan, Apr, Aug, Oct</t>
        </is>
      </c>
      <c r="C219" t="inlineStr">
        <is>
          <t>https://www.alanranger.com/one-day-landscape-photography-workshops</t>
        </is>
      </c>
    </row>
    <row r="220">
      <c r="A220" t="inlineStr">
        <is>
          <t>Travel Costs</t>
        </is>
      </c>
      <c r="B220" t="inlineStr">
        <is>
          <t>Royalties &amp; Affiliate Income</t>
        </is>
      </c>
      <c r="C220" t="inlineStr">
        <is>
          <t>https://www.alanranger.com/fine-art-prints</t>
        </is>
      </c>
    </row>
    <row r="221">
      <c r="A221" t="inlineStr">
        <is>
          <t>Tripod</t>
        </is>
      </c>
      <c r="B221" t="inlineStr">
        <is>
          <t>Print Sale - Generic (historical)</t>
        </is>
      </c>
      <c r="C221" t="inlineStr">
        <is>
          <t>https://www.alanranger.com/fine-art-prints</t>
        </is>
      </c>
    </row>
    <row r="222">
      <c r="A222" t="inlineStr">
        <is>
          <t>Urban</t>
        </is>
      </c>
      <c r="B222" t="inlineStr">
        <is>
          <t>URBAN ARCHITECTURE Photography Workshops - Coventry 9 Sep</t>
        </is>
      </c>
      <c r="C222" t="inlineStr">
        <is>
          <t>https://www.alanranger.com/landscape-photography-workshops</t>
        </is>
      </c>
    </row>
    <row r="223">
      <c r="A223" t="inlineStr">
        <is>
          <t>Urban Arch</t>
        </is>
      </c>
      <c r="B223" t="inlineStr">
        <is>
          <t>URBAN ARCHITECTURE Photography Workshops - Coventry 9 Sep</t>
        </is>
      </c>
      <c r="C223" t="inlineStr">
        <is>
          <t>https://www.alanranger.com/landscape-photography-workshops</t>
        </is>
      </c>
    </row>
    <row r="224">
      <c r="A224" t="inlineStr">
        <is>
          <t>Urban Architecture</t>
        </is>
      </c>
      <c r="B224" t="inlineStr">
        <is>
          <t>URBAN ARCHITECTURE Photography Workshops - Coventry 9 Sep</t>
        </is>
      </c>
      <c r="C224" t="inlineStr">
        <is>
          <t>https://www.alanranger.com/landscape-photography-workshops</t>
        </is>
      </c>
    </row>
    <row r="225">
      <c r="A225" t="inlineStr">
        <is>
          <t>Urban Coventry</t>
        </is>
      </c>
      <c r="B225" t="inlineStr">
        <is>
          <t>URBAN ARCHITECTURE Photography Workshops - Coventry 9 Sep</t>
        </is>
      </c>
      <c r="C225" t="inlineStr">
        <is>
          <t>https://www.alanranger.com/landscape-photography-workshops</t>
        </is>
      </c>
    </row>
    <row r="226">
      <c r="A226" t="inlineStr">
        <is>
          <t>Urban Workshop</t>
        </is>
      </c>
      <c r="B226" t="inlineStr">
        <is>
          <t>URBAN ARCHITECTURE Photography Workshops - Coventry 9 Sep</t>
        </is>
      </c>
      <c r="C226" t="inlineStr">
        <is>
          <t>https://www.alanranger.com/landscape-photography-workshops</t>
        </is>
      </c>
    </row>
    <row r="227">
      <c r="A227" t="inlineStr">
        <is>
          <t>Various</t>
        </is>
      </c>
      <c r="B227" t="inlineStr">
        <is>
          <t>Non-Residential Workshop - Generic (historical)</t>
        </is>
      </c>
      <c r="C227" t="inlineStr">
        <is>
          <t>https://www.alanranger.com/landscape-photography-workshops</t>
        </is>
      </c>
    </row>
    <row r="228">
      <c r="A228" t="inlineStr">
        <is>
          <t>WALES Photography Workshop</t>
        </is>
      </c>
      <c r="B228" t="inlineStr">
        <is>
          <t>WALES Photography Workshop | Lake Vyrnwy 10-11 Oct</t>
        </is>
      </c>
      <c r="C228" t="inlineStr">
        <is>
          <t>https://www.alanranger.com/photography-workshops</t>
        </is>
      </c>
    </row>
    <row r="229">
      <c r="A229" t="inlineStr">
        <is>
          <t>Warwickshire</t>
        </is>
      </c>
      <c r="B229" t="inlineStr">
        <is>
          <t>1-2-1 Single Session - 2hr (Face-to-Face)</t>
        </is>
      </c>
      <c r="C229" t="inlineStr">
        <is>
          <t>https://www.alanranger.com/private-photography-lessons</t>
        </is>
      </c>
    </row>
    <row r="230">
      <c r="A230" t="inlineStr">
        <is>
          <t>Woodland Masterclass</t>
        </is>
      </c>
      <c r="B230" t="inlineStr">
        <is>
          <t>The Secret of WOODLAND PHOTOGRAPHY- 1-Day Jan, Apr, Aug, Oct</t>
        </is>
      </c>
      <c r="C230" t="inlineStr">
        <is>
          <t>https://www.alanranger.com/one-day-landscape-photography-workshops</t>
        </is>
      </c>
    </row>
    <row r="231">
      <c r="A231" t="inlineStr">
        <is>
          <t>Woodland Photography Walk</t>
        </is>
      </c>
      <c r="B231" t="inlineStr">
        <is>
          <t>Woodland Photography Walk - Warwickshire (half-day low-cost)</t>
        </is>
      </c>
      <c r="C231" t="inlineStr">
        <is>
          <t>https://www.alanranger.com/landscape-photography-workshops</t>
        </is>
      </c>
    </row>
    <row r="232">
      <c r="A232" t="inlineStr">
        <is>
          <t>Woodland Walk</t>
        </is>
      </c>
      <c r="B232" t="inlineStr">
        <is>
          <t>Woodland Photography Walk - Warwickshire (half-day low-cost)</t>
        </is>
      </c>
      <c r="C232" t="inlineStr">
        <is>
          <t>https://www.alanranger.com/landscape-photography-workshops</t>
        </is>
      </c>
    </row>
    <row r="233">
      <c r="A233" t="inlineStr">
        <is>
          <t>Woodland Walks</t>
        </is>
      </c>
      <c r="B233" t="inlineStr">
        <is>
          <t>Woodland Photography Walk - Warwickshire (half-day low-cost)</t>
        </is>
      </c>
      <c r="C233" t="inlineStr">
        <is>
          <t>https://www.alanranger.com/landscape-photography-workshops</t>
        </is>
      </c>
    </row>
    <row r="234">
      <c r="A234" t="inlineStr">
        <is>
          <t>Woodland masterclass</t>
        </is>
      </c>
      <c r="B234" t="inlineStr">
        <is>
          <t>The Secret of WOODLAND PHOTOGRAPHY- 1-Day Jan, Apr, Aug, Oct</t>
        </is>
      </c>
      <c r="C234" t="inlineStr">
        <is>
          <t>https://www.alanranger.com/one-day-landscape-photography-workshops</t>
        </is>
      </c>
    </row>
    <row r="235">
      <c r="A235" t="inlineStr">
        <is>
          <t>Woodlands Masterclass</t>
        </is>
      </c>
      <c r="B235" t="inlineStr">
        <is>
          <t>The Secret of WOODLAND PHOTOGRAPHY- 1-Day Jan, Apr, Aug, Oct</t>
        </is>
      </c>
      <c r="C235" t="inlineStr">
        <is>
          <t>https://www.alanranger.com/one-day-landscape-photography-workshops</t>
        </is>
      </c>
    </row>
    <row r="236">
      <c r="A236" t="inlineStr">
        <is>
          <t>Yorkshire Dales</t>
        </is>
      </c>
      <c r="B236" t="inlineStr">
        <is>
          <t>Landscape YORKSHIRE DALES Photography Workshop - 16 - 18 Apr</t>
        </is>
      </c>
      <c r="C236" t="inlineStr">
        <is>
          <t>https://www.alanranger.com/photography-workshops</t>
        </is>
      </c>
    </row>
    <row r="237">
      <c r="A237" t="inlineStr">
        <is>
          <t>Zomm 1hr</t>
        </is>
      </c>
      <c r="B237" t="inlineStr">
        <is>
          <t>1-2-1 Single Session - 1hr Zoom</t>
        </is>
      </c>
      <c r="C237" t="inlineStr">
        <is>
          <t>https://www.alanranger.com/photography-lessons-online-121</t>
        </is>
      </c>
    </row>
    <row r="238">
      <c r="A238" t="inlineStr">
        <is>
          <t>Zoom 1 Hr</t>
        </is>
      </c>
      <c r="B238" t="inlineStr">
        <is>
          <t>1-2-1 Single Session - 1hr Zoom</t>
        </is>
      </c>
      <c r="C238" t="inlineStr">
        <is>
          <t>https://www.alanranger.com/photography-lessons-online-121</t>
        </is>
      </c>
    </row>
    <row r="239">
      <c r="A239" t="inlineStr">
        <is>
          <t>Zoom 1-2-1s</t>
        </is>
      </c>
      <c r="B239" t="inlineStr">
        <is>
          <t>1-2-1 Package - 4 x 1hr Zoom</t>
        </is>
      </c>
      <c r="C239" t="inlineStr">
        <is>
          <t>https://www.alanranger.com/photography-lessons-online-121</t>
        </is>
      </c>
    </row>
    <row r="240">
      <c r="A240" t="inlineStr">
        <is>
          <t>Zoom 1hr</t>
        </is>
      </c>
      <c r="B240" t="inlineStr">
        <is>
          <t>1-2-1 Single Session - 1hr Zoom</t>
        </is>
      </c>
      <c r="C240" t="inlineStr">
        <is>
          <t>https://www.alanranger.com/photography-lessons-online-121</t>
        </is>
      </c>
    </row>
    <row r="241">
      <c r="A241" t="inlineStr">
        <is>
          <t>Zoom Package</t>
        </is>
      </c>
      <c r="B241" t="inlineStr">
        <is>
          <t>1-2-1 Package - Zoom Multi-Session</t>
        </is>
      </c>
      <c r="C241" t="inlineStr">
        <is>
          <t>https://www.alanranger.com/photography-lessons-online-121</t>
        </is>
      </c>
    </row>
    <row r="242">
      <c r="A242" t="inlineStr">
        <is>
          <t>Zoom Package 8 x 1hr</t>
        </is>
      </c>
      <c r="B242" t="inlineStr">
        <is>
          <t>1-2-1 Package - Zoom Multi-Session</t>
        </is>
      </c>
      <c r="C242" t="inlineStr">
        <is>
          <t>https://www.alanranger.com/photography-lessons-online-121</t>
        </is>
      </c>
    </row>
    <row r="243">
      <c r="A243" t="inlineStr">
        <is>
          <t>e-Book</t>
        </is>
      </c>
      <c r="B243" t="inlineStr">
        <is>
          <t>Academy - Membership / eBook / Exams (historical bundle)</t>
        </is>
      </c>
      <c r="C243" t="inlineStr">
        <is>
          <t>https://www.alanranger.com/free-online-photography-course</t>
        </is>
      </c>
    </row>
    <row r="244">
      <c r="A244" t="inlineStr">
        <is>
          <t>eBook Academy</t>
        </is>
      </c>
      <c r="B244" t="inlineStr">
        <is>
          <t>Academy - Membership / eBook / Exams (historical bundle)</t>
        </is>
      </c>
      <c r="C244" t="inlineStr">
        <is>
          <t>https://www.alanranger.com/free-online-photography-course</t>
        </is>
      </c>
    </row>
    <row r="245">
      <c r="A245" t="inlineStr">
        <is>
          <t>sensore clean</t>
        </is>
      </c>
      <c r="B245" t="inlineStr">
        <is>
          <t>Sensor Clean Service (historical)</t>
        </is>
      </c>
      <c r="C245" t="inlineStr">
        <is>
          <t>https://www.alanranger.com/photography-shop-services</t>
        </is>
      </c>
    </row>
    <row r="246">
      <c r="A246" t="inlineStr">
        <is>
          <t>woodland Masterclass</t>
        </is>
      </c>
      <c r="B246" t="inlineStr">
        <is>
          <t>The Secret of WOODLAND PHOTOGRAPHY- 1-Day Jan, Apr, Aug, Oct</t>
        </is>
      </c>
      <c r="C246" t="inlineStr">
        <is>
          <t>https://www.alanranger.com/one-day-landscape-photography-workshops</t>
        </is>
      </c>
    </row>
  </sheetData>
  <pageMargins left="0.75" right="0.75" top="1" bottom="1" header="0.5" footer="0.5"/>
</worksheet>
</file>

<file path=xl/worksheets/sheet42.xml><?xml version="1.0" encoding="utf-8"?>
<worksheet xmlns="http://schemas.openxmlformats.org/spreadsheetml/2006/main">
  <sheetPr>
    <outlinePr summaryBelow="1" summaryRight="1"/>
    <pageSetUpPr/>
  </sheetPr>
  <dimension ref="A1:A100"/>
  <sheetViews>
    <sheetView workbookViewId="0">
      <selection activeCell="A1" sqref="A1"/>
    </sheetView>
  </sheetViews>
  <sheetFormatPr baseColWidth="8" defaultRowHeight="15"/>
  <sheetData>
    <row r="1">
      <c r="A1" t="inlineStr">
        <is>
          <t>canonical_product</t>
        </is>
      </c>
    </row>
    <row r="2">
      <c r="A2" t="inlineStr">
        <is>
          <t>#02 Top 10 Tips - To make a photograph | Professional Tips</t>
        </is>
      </c>
    </row>
    <row r="3">
      <c r="A3" t="inlineStr">
        <is>
          <t>#04 Top 10 Tips - To better composition | Professional Tips</t>
        </is>
      </c>
    </row>
    <row r="4">
      <c r="A4" t="inlineStr">
        <is>
          <t>#05 Top 10 Tips - To better portraits | Professional Tips</t>
        </is>
      </c>
    </row>
    <row r="5">
      <c r="A5" t="inlineStr">
        <is>
          <t>#06 Top 10 Tips - To better landscapes | Professional Tips</t>
        </is>
      </c>
    </row>
    <row r="6">
      <c r="A6" t="inlineStr">
        <is>
          <t>#07 Top 10 Tips - To better Black and white photos</t>
        </is>
      </c>
    </row>
    <row r="7">
      <c r="A7" t="inlineStr">
        <is>
          <t>1-2-1 Package - 4 x 1hr Zoom</t>
        </is>
      </c>
    </row>
    <row r="8">
      <c r="A8" t="inlineStr">
        <is>
          <t>1-2-1 Package - 4 x 2hr Face-to-Face (the GBP360 4-for-3)</t>
        </is>
      </c>
    </row>
    <row r="9">
      <c r="A9" t="inlineStr">
        <is>
          <t>1-2-1 Package - Zoom Multi-Session</t>
        </is>
      </c>
    </row>
    <row r="10">
      <c r="A10" t="inlineStr">
        <is>
          <t>1-2-1 Single Session - 1hr (Face-to-Face)</t>
        </is>
      </c>
    </row>
    <row r="11">
      <c r="A11" t="inlineStr">
        <is>
          <t>1-2-1 Single Session - 1hr Zoom</t>
        </is>
      </c>
    </row>
    <row r="12">
      <c r="A12" t="inlineStr">
        <is>
          <t>1-2-1 Single Session - 2hr (Face-to-Face)</t>
        </is>
      </c>
    </row>
    <row r="13">
      <c r="A13" t="inlineStr">
        <is>
          <t>10 Composition PDFs — Photography Field Checklists Bundle</t>
        </is>
      </c>
    </row>
    <row r="14">
      <c r="A14" t="inlineStr">
        <is>
          <t>10 Genre PDFs — Photography Field Checklists Bundle</t>
        </is>
      </c>
    </row>
    <row r="15">
      <c r="A15" t="inlineStr">
        <is>
          <t>15 Camera Settings — Photography Field Checklists PDF Bundle</t>
        </is>
      </c>
    </row>
    <row r="16">
      <c r="A16" t="inlineStr">
        <is>
          <t>35 PDFs — 1 Page Photography Field Checklists Bundle</t>
        </is>
      </c>
    </row>
    <row r="17">
      <c r="A17" t="inlineStr">
        <is>
          <t>4 x 2hr Private Photography Classes - Face to Face Coventry</t>
        </is>
      </c>
    </row>
    <row r="18">
      <c r="A18" t="inlineStr">
        <is>
          <t>5 Week Beginners Photography Course (RETIRED format)</t>
        </is>
      </c>
    </row>
    <row r="19">
      <c r="A19" t="inlineStr">
        <is>
          <t>A3 Mounted Fine Art Print - Unframed | Professional</t>
        </is>
      </c>
    </row>
    <row r="20">
      <c r="A20" t="inlineStr">
        <is>
          <t>ANGLESEY Landscape Photography Workshop -  May 2027</t>
        </is>
      </c>
    </row>
    <row r="21">
      <c r="A21" t="inlineStr">
        <is>
          <t>Academy - Membership / eBook / Exams (historical bundle)</t>
        </is>
      </c>
    </row>
    <row r="22">
      <c r="A22" t="inlineStr">
        <is>
          <t>Alan Ranger Academy - Photography Foundation Course eBook</t>
        </is>
      </c>
    </row>
    <row r="23">
      <c r="A23" t="inlineStr">
        <is>
          <t>Annual Pick N Mix Subscription | Interest Free Payment Plan</t>
        </is>
      </c>
    </row>
    <row r="24">
      <c r="A24" t="inlineStr">
        <is>
          <t>BATSFORD Arboretum Autumn Photography Workshops 23 - 31 Oct</t>
        </is>
      </c>
    </row>
    <row r="25">
      <c r="A25" t="inlineStr">
        <is>
          <t>BLUEBELL WOODLANDS Photography - Warks - 20 Apr- 30 Apr</t>
        </is>
      </c>
    </row>
    <row r="26">
      <c r="A26" t="inlineStr">
        <is>
          <t>BURNHAM ON SEA Long Exposure Photography Workshop 1 Aug</t>
        </is>
      </c>
    </row>
    <row r="27">
      <c r="A27" t="inlineStr">
        <is>
          <t>Beginners Photography Classes - Coventry - Get Off Auto</t>
        </is>
      </c>
    </row>
    <row r="28">
      <c r="A28" t="inlineStr">
        <is>
          <t>Beginners Photography Course | 3 Weekly Evening Classes</t>
        </is>
      </c>
    </row>
    <row r="29">
      <c r="A29" t="inlineStr">
        <is>
          <t>Beginners Portrait Photography Course - Coventry - 1 Day</t>
        </is>
      </c>
    </row>
    <row r="30">
      <c r="A30" t="inlineStr">
        <is>
          <t>Brandon Marsh Photography Workshop | Nature Reserve Coventry</t>
        </is>
      </c>
    </row>
    <row r="31">
      <c r="A31" t="inlineStr">
        <is>
          <t>Calendar 2022 - UK Landscape Images from Alan Ranger</t>
        </is>
      </c>
    </row>
    <row r="32">
      <c r="A32" t="inlineStr">
        <is>
          <t>Christmas Photography Seasonal Workshops | Warwickshire</t>
        </is>
      </c>
    </row>
    <row r="33">
      <c r="A33" t="inlineStr">
        <is>
          <t>Commission - Commercial / Product Shoot</t>
        </is>
      </c>
    </row>
    <row r="34">
      <c r="A34" t="inlineStr">
        <is>
          <t>Commission - Corporate / Staff Training</t>
        </is>
      </c>
    </row>
    <row r="35">
      <c r="A35" t="inlineStr">
        <is>
          <t>Commission - Editorial / Guest Blog / Judging</t>
        </is>
      </c>
    </row>
    <row r="36">
      <c r="A36" t="inlineStr">
        <is>
          <t>DARTMOOR Photography Workshop - Landscapes - 9th - 11th Oct</t>
        </is>
      </c>
    </row>
    <row r="37">
      <c r="A37" t="inlineStr">
        <is>
          <t>DORSET Landscape Photography Workshop Purbeck 25 - 27 Sep</t>
        </is>
      </c>
    </row>
    <row r="38">
      <c r="A38" t="inlineStr">
        <is>
          <t>EXMOOR Photography Workshop - Sat 18 - Sun 19 Jul 2026</t>
        </is>
      </c>
    </row>
    <row r="39">
      <c r="A39" t="inlineStr">
        <is>
          <t>FAIRY GLEN and Fairy Falls Long Exposure Photography</t>
        </is>
      </c>
    </row>
    <row r="40">
      <c r="A40" t="inlineStr">
        <is>
          <t>Fine Art Photography Prints - Canvas wrap-round - Multi Size</t>
        </is>
      </c>
    </row>
    <row r="41">
      <c r="A41" t="inlineStr">
        <is>
          <t>Fine Art Photography Prints - Unframed Prints - Multi Sizes</t>
        </is>
      </c>
    </row>
    <row r="42">
      <c r="A42" t="inlineStr">
        <is>
          <t>Fireworks Photography Workshop | Long Exposure | Kenilworth</t>
        </is>
      </c>
    </row>
    <row r="43">
      <c r="A43" t="inlineStr">
        <is>
          <t>Foundation Digital Pack – 60 Modules, Checklists &amp; Exams</t>
        </is>
      </c>
    </row>
    <row r="44">
      <c r="A44" t="inlineStr">
        <is>
          <t>Framed Fine Art Photography Prints - Multiple Sizes</t>
        </is>
      </c>
    </row>
    <row r="45">
      <c r="A45" t="inlineStr">
        <is>
          <t>GOWER Landscape Photography Wales - 28 Aug - 30 Aug 2026</t>
        </is>
      </c>
    </row>
    <row r="46">
      <c r="A46" t="inlineStr">
        <is>
          <t>Get Off Auto Beginners Class (RETIRED)</t>
        </is>
      </c>
    </row>
    <row r="47">
      <c r="A47" t="inlineStr">
        <is>
          <t>Gift Voucher - Digital eCard</t>
        </is>
      </c>
    </row>
    <row r="48">
      <c r="A48" t="inlineStr">
        <is>
          <t>Intermediates Intentions Photography Project Course</t>
        </is>
      </c>
    </row>
    <row r="49">
      <c r="A49" t="inlineStr">
        <is>
          <t>Intermediates Lightroom Photo Editing Course | Coventry</t>
        </is>
      </c>
    </row>
    <row r="50">
      <c r="A50" t="inlineStr">
        <is>
          <t>KERRY - Southern Ireland Photography Workshop - Mar 2026</t>
        </is>
      </c>
    </row>
    <row r="51">
      <c r="A51" t="inlineStr">
        <is>
          <t>LAKE DISTRICT Photography Workshops - Jan - Mar - Sep - Nov</t>
        </is>
      </c>
    </row>
    <row r="52">
      <c r="A52" t="inlineStr">
        <is>
          <t>LAVENDER FIELD Photography Workshop - Gloucestershire July</t>
        </is>
      </c>
    </row>
    <row r="53">
      <c r="A53" t="inlineStr">
        <is>
          <t>Landscape Photography DEVON Workshops - Various Dates</t>
        </is>
      </c>
    </row>
    <row r="54">
      <c r="A54" t="inlineStr">
        <is>
          <t>Landscape Photography SNOWDONIA - Sat 26 - Sun 27 Sep 2026</t>
        </is>
      </c>
    </row>
    <row r="55">
      <c r="A55" t="inlineStr">
        <is>
          <t>Landscape Photography Workshop Glencoe | 15 - 17 Mar 2021</t>
        </is>
      </c>
    </row>
    <row r="56">
      <c r="A56" t="inlineStr">
        <is>
          <t>Landscape Photography Workshop NORFOLK - Coastal 20 - 22 Nov</t>
        </is>
      </c>
    </row>
    <row r="57">
      <c r="A57" t="inlineStr">
        <is>
          <t>Landscape YORKSHIRE DALES Photography Workshop - 16 - 18 Apr</t>
        </is>
      </c>
    </row>
    <row r="58">
      <c r="A58" t="inlineStr">
        <is>
          <t>Lightroom Courses for Beginners Photo Editing - Coventry</t>
        </is>
      </c>
    </row>
    <row r="59">
      <c r="A59" t="inlineStr">
        <is>
          <t>Long Exposure Photography Workshop KENILWORTH Sunset</t>
        </is>
      </c>
    </row>
    <row r="60">
      <c r="A60" t="inlineStr">
        <is>
          <t>MACRO Photography Workshops Warwickshire - Various</t>
        </is>
      </c>
    </row>
    <row r="61">
      <c r="A61" t="inlineStr">
        <is>
          <t>Mentoring - Monthly Subscription</t>
        </is>
      </c>
    </row>
    <row r="62">
      <c r="A62" t="inlineStr">
        <is>
          <t>Monthly Online Photography Mentoring for 1 Year - Zoom</t>
        </is>
      </c>
    </row>
    <row r="63">
      <c r="A63" t="inlineStr">
        <is>
          <t>Monthly Photography Mentoring Sessions - Online - Zoom</t>
        </is>
      </c>
    </row>
    <row r="64">
      <c r="A64" t="inlineStr">
        <is>
          <t>Monthly Pick N Mix Subscription | Interest Free Payment Plan</t>
        </is>
      </c>
    </row>
    <row r="65">
      <c r="A65" t="inlineStr">
        <is>
          <t>NANT MILL Woodlands and Waterfalls Photo Workshop 30 May</t>
        </is>
      </c>
    </row>
    <row r="66">
      <c r="A66" t="inlineStr">
        <is>
          <t>NORTH YORKSHIRE Landscape Photography Workshop - Sep 2026</t>
        </is>
      </c>
    </row>
    <row r="67">
      <c r="A67" t="inlineStr">
        <is>
          <t>NORTHUMBERLAND Photography Workshops - Mar 18 - 21</t>
        </is>
      </c>
    </row>
    <row r="68">
      <c r="A68" t="inlineStr">
        <is>
          <t>Non-Residential Workshop - Generic (historical)</t>
        </is>
      </c>
    </row>
    <row r="69">
      <c r="A69" t="inlineStr">
        <is>
          <t>North Cotswolds Landscape Photography Workshop | 1 Day</t>
        </is>
      </c>
    </row>
    <row r="70">
      <c r="A70" t="inlineStr">
        <is>
          <t>Online Photography Classes 121 - Zoom - Package Options</t>
        </is>
      </c>
    </row>
    <row r="71">
      <c r="A71" t="inlineStr">
        <is>
          <t>PEAK DISTRICT HEATHER Photography Workshops - 15-16 Aug</t>
        </is>
      </c>
    </row>
    <row r="72">
      <c r="A72" t="inlineStr">
        <is>
          <t>PEAK DISTRICT Photography Workshops - May, Oct and Nov</t>
        </is>
      </c>
    </row>
    <row r="73">
      <c r="A73" t="inlineStr">
        <is>
          <t>Photo Print Preparation Service 30-min – File Check &amp; Advice</t>
        </is>
      </c>
    </row>
    <row r="74">
      <c r="A74" t="inlineStr">
        <is>
          <t>Photography Gift Vouchers | Digital eCard | Email Delivery</t>
        </is>
      </c>
    </row>
    <row r="75">
      <c r="A75" t="inlineStr">
        <is>
          <t>Photography Masterclasses-Learn and improve your photography</t>
        </is>
      </c>
    </row>
    <row r="76">
      <c r="A76" t="inlineStr">
        <is>
          <t>Photography Tips Pocket Guides - Professional Tips</t>
        </is>
      </c>
    </row>
    <row r="77">
      <c r="A77" t="inlineStr">
        <is>
          <t>Photography Workshops CHESTERTON WINDMILL - Warwickshire</t>
        </is>
      </c>
    </row>
    <row r="78">
      <c r="A78" t="inlineStr">
        <is>
          <t>Pick N Mix Payment Plan</t>
        </is>
      </c>
    </row>
    <row r="79">
      <c r="A79" t="inlineStr">
        <is>
          <t>Poppy Fields Photography Workshops | Worcestershire</t>
        </is>
      </c>
    </row>
    <row r="80">
      <c r="A80" t="inlineStr">
        <is>
          <t>Print Sale - Generic (historical)</t>
        </is>
      </c>
    </row>
    <row r="81">
      <c r="A81" t="inlineStr">
        <is>
          <t>Professional Black and White Photography Course | Coventry</t>
        </is>
      </c>
    </row>
    <row r="82">
      <c r="A82" t="inlineStr">
        <is>
          <t>Professional Digital DSLR Camera Sensor Clean | Coventry</t>
        </is>
      </c>
    </row>
    <row r="83">
      <c r="A83" t="inlineStr">
        <is>
          <t>Quarterly Pick N Mix Subscription | Interest Free Payments</t>
        </is>
      </c>
    </row>
    <row r="84">
      <c r="A84" t="inlineStr">
        <is>
          <t>RPS Courses - Independent RPS Mentoring for RPS Distinctions</t>
        </is>
      </c>
    </row>
    <row r="85">
      <c r="A85" t="inlineStr">
        <is>
          <t>RPS Mentoring Course (historical)</t>
        </is>
      </c>
    </row>
    <row r="86">
      <c r="A86" t="inlineStr">
        <is>
          <t>Residential Workshop - Add-on (Extra Night/B&amp;B)</t>
        </is>
      </c>
    </row>
    <row r="87">
      <c r="A87" t="inlineStr">
        <is>
          <t>Royalties &amp; Affiliate Income</t>
        </is>
      </c>
    </row>
    <row r="88">
      <c r="A88" t="inlineStr">
        <is>
          <t>SEZINCOTE Garden Photography Workshop - Gloucs 29 May</t>
        </is>
      </c>
    </row>
    <row r="89">
      <c r="A89" t="inlineStr">
        <is>
          <t>SOMERSET Landscape Photography Workshops 9 - 11 May 2025</t>
        </is>
      </c>
    </row>
    <row r="90">
      <c r="A90" t="inlineStr">
        <is>
          <t>SUFFOLK Landscape Photography Workshops - 5th-7th Feb</t>
        </is>
      </c>
    </row>
    <row r="91">
      <c r="A91" t="inlineStr">
        <is>
          <t>Sensor Clean Service (historical)</t>
        </is>
      </c>
    </row>
    <row r="92">
      <c r="A92" t="inlineStr">
        <is>
          <t>Shropshire Landscape Photography Workshop | Shrewsbury</t>
        </is>
      </c>
    </row>
    <row r="93">
      <c r="A93" t="inlineStr">
        <is>
          <t>The Art of GARDEN PHOTOGRAPHY  - Coventry -  May and July</t>
        </is>
      </c>
    </row>
    <row r="94">
      <c r="A94" t="inlineStr">
        <is>
          <t>The Secret of WOODLAND PHOTOGRAPHY- 1-Day Jan, Apr, Aug, Oct</t>
        </is>
      </c>
    </row>
    <row r="95">
      <c r="A95" t="inlineStr">
        <is>
          <t>URBAN ARCHITECTURE Photography Workshops - Coventry 9 Sep</t>
        </is>
      </c>
    </row>
    <row r="96">
      <c r="A96" t="inlineStr">
        <is>
          <t>Viewing Frames for Composition | Used by Professionals</t>
        </is>
      </c>
    </row>
    <row r="97">
      <c r="A97" t="inlineStr">
        <is>
          <t>Voucher/Plan Redemption - not a product sale</t>
        </is>
      </c>
    </row>
    <row r="98">
      <c r="A98" t="inlineStr">
        <is>
          <t>WALES Photography Workshop | Lake Vyrnwy 10-11 Oct</t>
        </is>
      </c>
    </row>
    <row r="99">
      <c r="A99" t="inlineStr">
        <is>
          <t>WARWICKSHIRE Woodland PHOTOGRAPHY WALKS - Monthly - 2hrs</t>
        </is>
      </c>
    </row>
    <row r="100">
      <c r="A100" t="inlineStr">
        <is>
          <t>Woodland Photography Walk - Warwickshire (half-day low-cost)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alan</dc:creator>
  <dcterms:created xmlns:dcterms="http://purl.org/dc/terms/" xmlns:xsi="http://www.w3.org/2001/XMLSchema-instance" xsi:type="dcterms:W3CDTF">2013-05-23T16:58:39Z</dcterms:created>
  <dcterms:modified xmlns:dcterms="http://purl.org/dc/terms/" xmlns:xsi="http://www.w3.org/2001/XMLSchema-instance" xsi:type="dcterms:W3CDTF">2026-05-27T15:57:57Z</dcterms:modified>
  <cp:lastModifiedBy>Alan Ranger Photography</cp:lastModifiedBy>
  <cp:lastPrinted>2026-05-14T14:48:49Z</cp:lastPrinted>
</cp:coreProperties>
</file>